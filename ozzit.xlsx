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1)), CHOOSE( _xlpm.Return, _xlpm.Result, _xlpm.Help, _xlpm.TimelineMessage)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<sst xmlns="http://schemas.openxmlformats.org/spreadsheetml/2006/main" count="1307" uniqueCount="433">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</sst>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xf numFmtId="0" fontId="30" fillId="3" borderId="1" xfId="4" applyFont="1" applyFill="1" applyAlignment="1">
      <alignment vertical="center"/>
    </xf>
    <xf numFmtId="0" fontId="7" fillId="3" borderId="0" xfId="4" applyFill="1" applyBorder="1" applyAlignment="1">
      <alignment vertical="center"/>
    </xf>
    <xf numFmtId="170" fontId="0" fillId="3" borderId="0" xfId="0" applyAlignment="1">
      <alignmen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9" fillId="3" borderId="0" xfId="6" applyFill="1" applyBorder="1" applyAlignment="1">
      <alignment horizontal="lef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0" fontId="26" fillId="3" borderId="1" xfId="4" applyFont="1" applyFill="1" applyAlignment="1">
      <alignment vertical="center"/>
    </xf>
    <xf numFmtId="0" fontId="19" fillId="3" borderId="4" xfId="4" applyFont="1" applyFill="1" applyBorder="1" applyAlignment="1">
      <alignment vertical="center"/>
    </xf>
    <xf numFmtId="170" fontId="16" fillId="3" borderId="0" xfId="0" applyFont="1" applyAlignment="1">
      <alignmen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1" fillId="3" borderId="0" xfId="0" applyFont="1" applyAlignment="1">
      <alignment horizontal="justify" vertical="center" wrapText="1"/>
    </xf>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alignment vertical="center" textRotation="0" wrapText="0" indent="0" justifyLastLine="0" shrinkToFit="0" readingOrder="0"/>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 dataDxfId="0" headerRowBorderDxfId="104" tableBorderDxfId="103" totalsRowBorderDxfId="10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5" dataCellStyle="Normal"/>
    <tableColumn id="2" xr3:uid="{76839C3B-3EC2-40F2-81C2-6D135E40FBA6}" name="Type" dataDxfId="4" dataCellStyle="Normal"/>
    <tableColumn id="3" xr3:uid="{5B6D5F10-72F2-4715-ACCD-BF95E741A80D}" name="Title" dataDxfId="3" dataCellStyle="Normal"/>
    <tableColumn id="4" xr3:uid="{D2D85F75-2F37-4E40-93BA-D87F4C2D6609}" name="Description" dataDxfId="2"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101" tableBorderDxfId="100" headerRowCellStyle="Heading 4" dataCellStyle="Normal">
  <tableColumns count="5">
    <tableColumn id="1" xr3:uid="{7D34D60D-18E7-4641-B4A2-59AC83E6C68D}" name="Description" dataDxfId="99" dataCellStyle="Normal"/>
    <tableColumn id="5" xr3:uid="{5C4B1DF4-321D-45B4-94FD-F21E11BE8170}" name="Amount" dataCellStyle="Comma"/>
    <tableColumn id="6" xr3:uid="{D529C6B1-F81D-439C-BB56-0322F320B0A3}" name="Schedule" dataDxfId="98" dataCellStyle="Normal"/>
    <tableColumn id="7" xr3:uid="{301F598C-47A5-4F95-BD52-84840182A552}" name="First Date" dataDxfId="97" dataCellStyle="Normal"/>
    <tableColumn id="8" xr3:uid="{46ACF518-C1D3-42C5-85CE-768B1CFF9CA6}" name="Last Date" dataDxfId="96"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95" dataCellStyle="Date"/>
    <tableColumn id="4" xr3:uid="{E7A1112B-1A2E-4C4B-99BB-62655380D290}" name="End" dataDxfId="94"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93">
  <tableColumns count="2">
    <tableColumn id="1" xr3:uid="{09682A99-D267-492D-80D6-A3113C779826}" name="Rate Starts" dataDxfId="92"/>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91">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90"/>
    <tableColumn id="3" xr3:uid="{D061B372-ECBB-4AC7-8F3E-8257CEB4F6E5}" name="Rate" dataDxfId="89"/>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8">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7"/>
    <tableColumn id="2" xr3:uid="{79DA44A7-4A21-4C6E-8C8C-41674C03FEEB}" name="Customer" dataDxfId="86" totalsRowDxfId="85"/>
    <tableColumn id="3" xr3:uid="{92AC1C45-CF57-4BBD-949C-2EC5D3E6AF7B}" name="Issued" dataDxfId="84" totalsRowDxfId="83" dataCellStyle="Date"/>
    <tableColumn id="5" xr3:uid="{F2FDDABA-5386-4E67-A17D-FC6B0B4768BB}" name="Exp. Receipt" dataDxfId="82" totalsRowDxfId="81"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80" headerRowBorderDxfId="79" tableBorderDxfId="78" totalsRowBorderDxfId="77" headerRowCellStyle="Normal" dataCellStyle="Normal">
  <tableColumns count="5">
    <tableColumn id="1" xr3:uid="{236BCEDB-033C-46F4-BF25-E806968D8A02}" name="Description" dataDxfId="76" dataCellStyle="Normal"/>
    <tableColumn id="2" xr3:uid="{40576D21-ABA4-4C25-B77C-72FD088677A9}" name="Principal" dataDxfId="75" dataCellStyle="Normal"/>
    <tableColumn id="3" xr3:uid="{678DCD7B-F069-4C89-B96A-30AA357080CE}" name="APR" dataDxfId="74" dataCellStyle="Normal"/>
    <tableColumn id="4" xr3:uid="{89E167E2-FF0C-4117-901F-D0F22A874926}" name="Term" dataDxfId="73" dataCellStyle="Normal"/>
    <tableColumn id="5" xr3:uid="{E4765A92-1277-4CC3-93E2-6617C16EF57C}" name="Start Date" dataDxfId="72"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71">
  <tableColumns count="8">
    <tableColumn id="1" xr3:uid="{3DC97C56-E689-4B29-BA74-58FE6B1433D8}" name="Asset"/>
    <tableColumn id="3" xr3:uid="{FBDD88E0-BC00-46AC-AD3F-228997525D6E}" name="Amount" dataDxfId="70" dataCellStyle="Comma"/>
    <tableColumn id="2" xr3:uid="{3BF79E07-B001-4F2A-9C33-0C2BDE81F76F}" name="Acquired" dataDxfId="69" dataCellStyle="Comma"/>
    <tableColumn id="4" xr3:uid="{6B638B7E-4C96-47FF-B6FE-5D44AC0861F7}" name="Life" dataDxfId="68" dataCellStyle="Comma"/>
    <tableColumn id="5" xr3:uid="{003DACA5-A355-4CCA-9114-D7FB750E9408}" name="Salvage" dataDxfId="67" dataCellStyle="Comma"/>
    <tableColumn id="7" xr3:uid="{467FA274-2BA1-40BC-AB1A-165CD8AA8666}" name="Date" dataDxfId="66">
      <calculatedColumnFormula>EDATE(tblAssets[[#This Row],[Acquired]],(tblAssets[[#This Row],[Life]]+1)*12)</calculatedColumnFormula>
    </tableColumn>
    <tableColumn id="6" xr3:uid="{D4055390-AE58-49EE-803D-0D8626A6C534}" name="Cost" dataDxfId="65" dataCellStyle="Comma"/>
    <tableColumn id="8" xr3:uid="{7A0DD268-0AE6-40AC-B65C-AA3B074320EE}" name="Method" dataDxfId="6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63">
  <tableColumns count="8">
    <tableColumn id="1" xr3:uid="{803FA25E-C2E6-41D7-B7E6-98BB0DAA635D}" name="Asset"/>
    <tableColumn id="3" xr3:uid="{D88F1E0F-B130-4CC9-8B20-60852E179DB2}" name="Amount" dataDxfId="62" dataCellStyle="Comma"/>
    <tableColumn id="2" xr3:uid="{40912A85-9538-4DAD-ADE0-A041034D91E7}" name="Acquired" dataDxfId="61" dataCellStyle="Comma"/>
    <tableColumn id="4" xr3:uid="{3FE24404-251A-4D60-B2F9-E26B72B2B60F}" name="Life" dataDxfId="60" dataCellStyle="Comma"/>
    <tableColumn id="5" xr3:uid="{5C252732-1710-4532-8BD1-4049FE86E4C1}" name="Salvage" dataDxfId="59" dataCellStyle="Comma"/>
    <tableColumn id="7" xr3:uid="{09322415-8546-4084-9207-C958715F1CB0}" name="Date" dataDxfId="58"/>
    <tableColumn id="6" xr3:uid="{08248333-F3EE-48B7-B36D-1E455B39A01F}" name="Cost" dataDxfId="57" dataCellStyle="Comma"/>
    <tableColumn id="8" xr3:uid="{5D691FE8-396E-44A0-A7B6-5786D5A0FE4A}" name="Method" dataDxfId="56"/>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55">
  <tableColumns count="8">
    <tableColumn id="1" xr3:uid="{12B857A1-D058-4766-951D-EC2B90600210}" name="Asset"/>
    <tableColumn id="3" xr3:uid="{70BB7CB3-603F-4A66-8B5B-13F9D0DF2D01}" name="Amount" dataDxfId="54" dataCellStyle="Comma"/>
    <tableColumn id="2" xr3:uid="{EDA3D2E2-2DFB-4D36-9B47-79C63A0448C5}" name="Acquired" dataDxfId="53" dataCellStyle="Comma"/>
    <tableColumn id="4" xr3:uid="{701A7B0E-AB6A-4ABB-A806-A93F8F31AA22}" name="Life" dataDxfId="52" dataCellStyle="Comma"/>
    <tableColumn id="5" xr3:uid="{8C5850B1-9E17-4AF2-B6CF-2DA73CB8878E}" name="Salvage" dataDxfId="51" dataCellStyle="Comma"/>
    <tableColumn id="7" xr3:uid="{94DF0EB5-9EF6-44F0-AC75-6AAD171BF5A6}" name="Date" dataDxfId="50"/>
    <tableColumn id="6" xr3:uid="{DCA26E9B-04F9-44E5-A8BF-3EE4E3BD261A}" name="Cost" dataDxfId="49" dataCellStyle="Comma"/>
    <tableColumn id="8" xr3:uid="{AC920514-4DFE-46FA-8D72-57FB8DA6D25A}" name="Method" dataDxfId="4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7">
  <tableColumns count="8">
    <tableColumn id="1" xr3:uid="{D59EB568-3AE9-4C0E-BABE-841567F1A1D8}" name="Asset"/>
    <tableColumn id="3" xr3:uid="{F1DCDFDA-DD48-4587-B8B1-FB34DD46AD28}" name="Amount" dataDxfId="46" dataCellStyle="Comma"/>
    <tableColumn id="2" xr3:uid="{BDEFE750-304D-4148-B134-1AFA3BB15D5E}" name="Acquired" dataDxfId="45" dataCellStyle="Comma"/>
    <tableColumn id="4" xr3:uid="{DD2DAEB8-F5C0-4FBE-9EC1-3EB432A664CC}" name="Life" dataDxfId="44" dataCellStyle="Comma"/>
    <tableColumn id="5" xr3:uid="{107096B8-9D6F-4081-B7E1-4B5A2397BE6E}" name="Salvage" dataDxfId="43" dataCellStyle="Comma"/>
    <tableColumn id="7" xr3:uid="{7EAA20AC-0A9B-4A95-BCDC-4ABBE7EA0D2E}" name="Date" dataDxfId="42"/>
    <tableColumn id="6" xr3:uid="{712E69C9-89C1-41CE-91C9-E474B80891D2}" name="Cost" dataDxfId="41" dataCellStyle="Comma"/>
    <tableColumn id="8" xr3:uid="{CACAE2E3-537D-42AB-B331-7563F2E1F1F5}" name="Method" dataDxfId="4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9" headerRowBorderDxfId="38" tableBorderDxfId="37" totalsRowBorderDxfId="36" headerRowCellStyle="Normal" dataCellStyle="Normal">
  <tableColumns count="4">
    <tableColumn id="1" xr3:uid="{D63FC0D0-1595-4B0D-AE60-B4A5C5F1DBB3}" name="Description" dataDxfId="35" dataCellStyle="Normal"/>
    <tableColumn id="2" xr3:uid="{A91EDCB9-E40C-4499-8392-2F7F915A86B0}" name="Principal" dataDxfId="34" dataCellStyle="Normal"/>
    <tableColumn id="5" xr3:uid="{4C5C779D-4467-4BBC-A168-07337D91F84B}" name="Start" dataDxfId="33" dataCellStyle="Normal"/>
    <tableColumn id="3" xr3:uid="{1C6DB1C7-B2DD-414B-8D0B-2C56459DFB05}" name="APR" dataDxfId="32"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31">
      <calculatedColumnFormula>E21</calculatedColumnFormula>
    </tableColumn>
    <tableColumn id="2" xr3:uid="{5BCB3455-E19C-449D-8ABD-C6DF5E7DDEB9}" name="Onboarding" dataDxfId="30"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213" customWidth="1"/>
    <col min="2" max="2" width="111.625" style="222" customWidth="1"/>
    <col min="3" max="16384" width="8.875" style="213"/>
  </cols>
  <sheetData>
    <row r="1" spans="1:2" ht="63.75" x14ac:dyDescent="0.25">
      <c r="A1" s="211" t="s">
        <v>427</v>
      </c>
      <c r="B1" s="212"/>
    </row>
    <row r="2" spans="1:2" ht="15.75" x14ac:dyDescent="0.25">
      <c r="A2" s="214" t="s">
        <v>428</v>
      </c>
      <c r="B2" s="215"/>
    </row>
    <row r="3" spans="1:2" ht="20.100000000000001" customHeight="1" x14ac:dyDescent="0.25">
      <c r="A3" s="216" t="s">
        <v>429</v>
      </c>
      <c r="B3" s="217"/>
    </row>
    <row r="4" spans="1:2" ht="47.25" x14ac:dyDescent="0.25">
      <c r="A4" s="218"/>
      <c r="B4" s="217" t="s">
        <v>212</v>
      </c>
    </row>
    <row r="5" spans="1:2" ht="31.5" x14ac:dyDescent="0.25">
      <c r="A5" s="135"/>
      <c r="B5" s="217" t="s">
        <v>213</v>
      </c>
    </row>
    <row r="6" spans="1:2" ht="15.75" x14ac:dyDescent="0.25">
      <c r="A6" s="132"/>
      <c r="B6" s="219"/>
    </row>
    <row r="7" spans="1:2" ht="32.1" customHeight="1" x14ac:dyDescent="0.25">
      <c r="A7" s="220" t="s">
        <v>202</v>
      </c>
      <c r="B7" s="221"/>
    </row>
    <row r="8" spans="1:2" ht="47.25" x14ac:dyDescent="0.25">
      <c r="B8" s="217" t="s">
        <v>405</v>
      </c>
    </row>
    <row r="9" spans="1:2" ht="15.75" x14ac:dyDescent="0.25">
      <c r="B9" s="217"/>
    </row>
    <row r="10" spans="1:2" ht="47.25" x14ac:dyDescent="0.25">
      <c r="B10" s="217" t="s">
        <v>214</v>
      </c>
    </row>
    <row r="11" spans="1:2" ht="15.75" x14ac:dyDescent="0.25">
      <c r="B11" s="217"/>
    </row>
    <row r="12" spans="1:2" ht="47.25" x14ac:dyDescent="0.25">
      <c r="B12" s="217" t="s">
        <v>264</v>
      </c>
    </row>
    <row r="13" spans="1:2" ht="15.75" x14ac:dyDescent="0.25">
      <c r="A13" s="132"/>
      <c r="B13" s="219"/>
    </row>
    <row r="14" spans="1:2" ht="32.1" customHeight="1" x14ac:dyDescent="0.25">
      <c r="A14" s="220" t="s">
        <v>203</v>
      </c>
      <c r="B14" s="221"/>
    </row>
    <row r="15" spans="1:2" ht="126" x14ac:dyDescent="0.25">
      <c r="B15" s="217" t="s">
        <v>210</v>
      </c>
    </row>
    <row r="17" spans="1:2" ht="32.1" customHeight="1" x14ac:dyDescent="0.25">
      <c r="A17" s="220" t="s">
        <v>206</v>
      </c>
      <c r="B17" s="221"/>
    </row>
    <row r="18" spans="1:2" ht="47.25" x14ac:dyDescent="0.25">
      <c r="B18" s="217" t="s">
        <v>215</v>
      </c>
    </row>
    <row r="19" spans="1:2" ht="15.75" x14ac:dyDescent="0.25">
      <c r="B19" s="217"/>
    </row>
    <row r="20" spans="1:2" ht="78.75" x14ac:dyDescent="0.25">
      <c r="A20" s="133"/>
      <c r="B20" s="217" t="s">
        <v>216</v>
      </c>
    </row>
    <row r="21" spans="1:2" ht="15.75" x14ac:dyDescent="0.25">
      <c r="A21" s="132"/>
      <c r="B21" s="219"/>
    </row>
    <row r="22" spans="1:2" ht="32.1" customHeight="1" x14ac:dyDescent="0.25">
      <c r="A22" s="220" t="s">
        <v>204</v>
      </c>
      <c r="B22" s="221"/>
    </row>
    <row r="23" spans="1:2" ht="31.5" x14ac:dyDescent="0.25">
      <c r="B23" s="217" t="s">
        <v>205</v>
      </c>
    </row>
    <row r="24" spans="1:2" ht="15.75" x14ac:dyDescent="0.25">
      <c r="B24" s="217"/>
    </row>
    <row r="25" spans="1:2" ht="31.5" x14ac:dyDescent="0.25">
      <c r="A25" s="134"/>
      <c r="B25" s="217"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96" bestFit="1" customWidth="1"/>
    <col min="2" max="2" width="9.875" style="196" bestFit="1" customWidth="1"/>
    <col min="3" max="3" width="30.5" style="196" bestFit="1" customWidth="1"/>
    <col min="4" max="4" width="90.25" style="196" bestFit="1" customWidth="1"/>
    <col min="5" max="16384" width="9" style="196"/>
  </cols>
  <sheetData>
    <row r="1" spans="1:6" ht="46.5" x14ac:dyDescent="0.25">
      <c r="A1" s="194" t="s">
        <v>8</v>
      </c>
      <c r="B1" s="195"/>
      <c r="C1" s="195"/>
      <c r="D1" s="195"/>
      <c r="E1" s="195"/>
      <c r="F1" s="195"/>
    </row>
    <row r="2" spans="1:6" ht="21" x14ac:dyDescent="0.25">
      <c r="A2" s="197" t="s">
        <v>12</v>
      </c>
      <c r="B2" s="198"/>
      <c r="C2" s="198"/>
      <c r="D2" s="198"/>
      <c r="E2" s="199"/>
      <c r="F2" s="199"/>
    </row>
    <row r="3" spans="1:6" x14ac:dyDescent="0.25">
      <c r="A3" s="200" t="s">
        <v>299</v>
      </c>
      <c r="B3" s="201"/>
      <c r="C3" s="201"/>
      <c r="D3" s="202"/>
    </row>
    <row r="4" spans="1:6" x14ac:dyDescent="0.25">
      <c r="A4" s="203" t="s">
        <v>0</v>
      </c>
      <c r="B4" s="204" t="s">
        <v>1</v>
      </c>
      <c r="C4" s="205" t="s">
        <v>3</v>
      </c>
      <c r="D4" s="204" t="s">
        <v>7</v>
      </c>
    </row>
    <row r="5" spans="1:6" x14ac:dyDescent="0.25">
      <c r="A5" s="206" t="s">
        <v>207</v>
      </c>
      <c r="B5" s="207" t="s">
        <v>10</v>
      </c>
      <c r="C5" s="208" t="s">
        <v>208</v>
      </c>
      <c r="D5" s="209" t="s">
        <v>209</v>
      </c>
    </row>
    <row r="6" spans="1:6" x14ac:dyDescent="0.25">
      <c r="A6" s="206" t="s">
        <v>9</v>
      </c>
      <c r="B6" s="207" t="s">
        <v>10</v>
      </c>
      <c r="C6" s="208" t="s">
        <v>8</v>
      </c>
      <c r="D6" s="209" t="s">
        <v>11</v>
      </c>
    </row>
    <row r="7" spans="1:6" x14ac:dyDescent="0.25">
      <c r="A7" s="210" t="s">
        <v>225</v>
      </c>
      <c r="B7" s="207" t="s">
        <v>226</v>
      </c>
      <c r="C7" s="208" t="s">
        <v>12</v>
      </c>
      <c r="D7" s="209" t="s">
        <v>299</v>
      </c>
    </row>
    <row r="8" spans="1:6" x14ac:dyDescent="0.25">
      <c r="A8" s="206" t="s">
        <v>321</v>
      </c>
      <c r="B8" s="207" t="s">
        <v>10</v>
      </c>
      <c r="C8" s="208" t="s">
        <v>321</v>
      </c>
      <c r="D8" s="209"/>
    </row>
    <row r="9" spans="1:6" x14ac:dyDescent="0.25">
      <c r="A9" s="210" t="s">
        <v>322</v>
      </c>
      <c r="B9" s="207" t="s">
        <v>226</v>
      </c>
      <c r="C9" s="208" t="s">
        <v>314</v>
      </c>
      <c r="D9" s="209"/>
    </row>
    <row r="10" spans="1:6" x14ac:dyDescent="0.25">
      <c r="A10" s="206" t="s">
        <v>44</v>
      </c>
      <c r="B10" s="207" t="s">
        <v>10</v>
      </c>
      <c r="C10" s="208" t="s">
        <v>44</v>
      </c>
      <c r="D10" s="209" t="s">
        <v>71</v>
      </c>
    </row>
    <row r="11" spans="1:6" x14ac:dyDescent="0.25">
      <c r="A11" s="206" t="s">
        <v>45</v>
      </c>
      <c r="B11" s="207" t="s">
        <v>10</v>
      </c>
      <c r="C11" s="208" t="s">
        <v>45</v>
      </c>
      <c r="D11" s="209" t="s">
        <v>72</v>
      </c>
    </row>
    <row r="12" spans="1:6" x14ac:dyDescent="0.25">
      <c r="A12" s="206" t="s">
        <v>46</v>
      </c>
      <c r="B12" s="207" t="s">
        <v>10</v>
      </c>
      <c r="C12" s="208" t="s">
        <v>46</v>
      </c>
      <c r="D12" s="209" t="s">
        <v>73</v>
      </c>
    </row>
    <row r="13" spans="1:6" x14ac:dyDescent="0.25">
      <c r="A13" s="210" t="s">
        <v>227</v>
      </c>
      <c r="B13" s="207" t="s">
        <v>226</v>
      </c>
      <c r="C13" s="208" t="s">
        <v>96</v>
      </c>
      <c r="D13" s="209" t="s">
        <v>97</v>
      </c>
    </row>
    <row r="14" spans="1:6" x14ac:dyDescent="0.25">
      <c r="A14" s="206" t="s">
        <v>47</v>
      </c>
      <c r="B14" s="207" t="s">
        <v>10</v>
      </c>
      <c r="C14" s="208" t="s">
        <v>47</v>
      </c>
      <c r="D14" s="209" t="s">
        <v>74</v>
      </c>
    </row>
    <row r="15" spans="1:6" x14ac:dyDescent="0.25">
      <c r="A15" s="210" t="s">
        <v>228</v>
      </c>
      <c r="B15" s="207" t="s">
        <v>226</v>
      </c>
      <c r="C15" s="208" t="s">
        <v>119</v>
      </c>
      <c r="D15" s="209"/>
    </row>
    <row r="16" spans="1:6" x14ac:dyDescent="0.25">
      <c r="A16" s="206" t="s">
        <v>48</v>
      </c>
      <c r="B16" s="207" t="s">
        <v>10</v>
      </c>
      <c r="C16" s="208" t="s">
        <v>48</v>
      </c>
      <c r="D16" s="209" t="s">
        <v>75</v>
      </c>
    </row>
    <row r="17" spans="1:4" x14ac:dyDescent="0.25">
      <c r="A17" s="206" t="s">
        <v>49</v>
      </c>
      <c r="B17" s="207" t="s">
        <v>10</v>
      </c>
      <c r="C17" s="208" t="s">
        <v>49</v>
      </c>
      <c r="D17" s="209" t="s">
        <v>76</v>
      </c>
    </row>
    <row r="18" spans="1:4" x14ac:dyDescent="0.25">
      <c r="A18" s="206" t="s">
        <v>50</v>
      </c>
      <c r="B18" s="207" t="s">
        <v>10</v>
      </c>
      <c r="C18" s="208" t="s">
        <v>50</v>
      </c>
      <c r="D18" s="209" t="s">
        <v>77</v>
      </c>
    </row>
    <row r="19" spans="1:4" x14ac:dyDescent="0.25">
      <c r="A19" s="210" t="s">
        <v>229</v>
      </c>
      <c r="B19" s="207" t="s">
        <v>226</v>
      </c>
      <c r="C19" s="208" t="s">
        <v>56</v>
      </c>
      <c r="D19" s="209"/>
    </row>
    <row r="20" spans="1:4" x14ac:dyDescent="0.25">
      <c r="A20" s="210" t="s">
        <v>230</v>
      </c>
      <c r="B20" s="207" t="s">
        <v>226</v>
      </c>
      <c r="C20" s="208" t="s">
        <v>55</v>
      </c>
      <c r="D20" s="209"/>
    </row>
    <row r="21" spans="1:4" x14ac:dyDescent="0.25">
      <c r="A21" s="206" t="s">
        <v>51</v>
      </c>
      <c r="B21" s="207" t="s">
        <v>10</v>
      </c>
      <c r="C21" s="208" t="s">
        <v>51</v>
      </c>
      <c r="D21" s="209" t="s">
        <v>78</v>
      </c>
    </row>
    <row r="22" spans="1:4" x14ac:dyDescent="0.25">
      <c r="A22" s="210" t="s">
        <v>231</v>
      </c>
      <c r="B22" s="207" t="s">
        <v>226</v>
      </c>
      <c r="C22" s="208" t="s">
        <v>231</v>
      </c>
      <c r="D22" s="209"/>
    </row>
    <row r="23" spans="1:4" x14ac:dyDescent="0.25">
      <c r="A23" s="206" t="s">
        <v>52</v>
      </c>
      <c r="B23" s="207" t="s">
        <v>10</v>
      </c>
      <c r="C23" s="208" t="s">
        <v>52</v>
      </c>
      <c r="D23" s="209" t="s">
        <v>79</v>
      </c>
    </row>
    <row r="24" spans="1:4" x14ac:dyDescent="0.25">
      <c r="A24" s="210" t="s">
        <v>233</v>
      </c>
      <c r="B24" s="207" t="s">
        <v>226</v>
      </c>
      <c r="C24" s="208" t="s">
        <v>154</v>
      </c>
      <c r="D24" s="209"/>
    </row>
    <row r="25" spans="1:4" x14ac:dyDescent="0.25">
      <c r="A25" s="210" t="s">
        <v>232</v>
      </c>
      <c r="B25" s="207" t="s">
        <v>226</v>
      </c>
      <c r="C25" s="208" t="s">
        <v>146</v>
      </c>
      <c r="D25" s="209"/>
    </row>
    <row r="26" spans="1:4" x14ac:dyDescent="0.25">
      <c r="A26" s="206" t="s">
        <v>53</v>
      </c>
      <c r="B26" s="207" t="s">
        <v>10</v>
      </c>
      <c r="C26" s="208" t="s">
        <v>53</v>
      </c>
      <c r="D26" s="209" t="s">
        <v>80</v>
      </c>
    </row>
    <row r="27" spans="1:4" x14ac:dyDescent="0.25">
      <c r="A27" s="206" t="s">
        <v>54</v>
      </c>
      <c r="B27" s="207" t="s">
        <v>10</v>
      </c>
      <c r="C27" s="208" t="s">
        <v>54</v>
      </c>
      <c r="D27" s="209" t="s">
        <v>81</v>
      </c>
    </row>
    <row r="28" spans="1:4" x14ac:dyDescent="0.25">
      <c r="A28" s="206" t="s">
        <v>58</v>
      </c>
      <c r="B28" s="207" t="s">
        <v>325</v>
      </c>
      <c r="C28" s="208" t="s">
        <v>58</v>
      </c>
      <c r="D28" s="209" t="s">
        <v>256</v>
      </c>
    </row>
    <row r="29" spans="1:4" x14ac:dyDescent="0.25">
      <c r="A29" s="206" t="s">
        <v>59</v>
      </c>
      <c r="B29" s="207" t="s">
        <v>10</v>
      </c>
      <c r="C29" s="208" t="s">
        <v>59</v>
      </c>
      <c r="D29" s="209" t="s">
        <v>82</v>
      </c>
    </row>
    <row r="30" spans="1:4" x14ac:dyDescent="0.25">
      <c r="A30" s="210" t="s">
        <v>234</v>
      </c>
      <c r="B30" s="207" t="s">
        <v>226</v>
      </c>
      <c r="C30" s="208" t="s">
        <v>193</v>
      </c>
      <c r="D30" s="209"/>
    </row>
    <row r="31" spans="1:4" x14ac:dyDescent="0.25">
      <c r="A31" s="206" t="s">
        <v>67</v>
      </c>
      <c r="B31" s="207" t="s">
        <v>10</v>
      </c>
      <c r="C31" s="208" t="s">
        <v>67</v>
      </c>
      <c r="D31" s="209" t="s">
        <v>91</v>
      </c>
    </row>
    <row r="32" spans="1:4" x14ac:dyDescent="0.25">
      <c r="A32" s="206" t="s">
        <v>65</v>
      </c>
      <c r="B32" s="207" t="s">
        <v>10</v>
      </c>
      <c r="C32" s="208" t="s">
        <v>65</v>
      </c>
      <c r="D32" s="209" t="s">
        <v>88</v>
      </c>
    </row>
    <row r="33" spans="1:4" x14ac:dyDescent="0.25">
      <c r="A33" s="206" t="s">
        <v>60</v>
      </c>
      <c r="B33" s="207" t="s">
        <v>10</v>
      </c>
      <c r="C33" s="208" t="s">
        <v>60</v>
      </c>
      <c r="D33" s="209" t="s">
        <v>83</v>
      </c>
    </row>
    <row r="34" spans="1:4" x14ac:dyDescent="0.25">
      <c r="A34" s="206" t="s">
        <v>184</v>
      </c>
      <c r="B34" s="207" t="s">
        <v>10</v>
      </c>
      <c r="C34" s="208" t="s">
        <v>184</v>
      </c>
      <c r="D34" s="209" t="s">
        <v>185</v>
      </c>
    </row>
    <row r="35" spans="1:4" x14ac:dyDescent="0.25">
      <c r="A35" s="206" t="s">
        <v>61</v>
      </c>
      <c r="B35" s="207" t="s">
        <v>10</v>
      </c>
      <c r="C35" s="208" t="s">
        <v>61</v>
      </c>
      <c r="D35" s="209" t="s">
        <v>84</v>
      </c>
    </row>
    <row r="36" spans="1:4" x14ac:dyDescent="0.25">
      <c r="A36" s="210" t="s">
        <v>235</v>
      </c>
      <c r="B36" s="207" t="s">
        <v>226</v>
      </c>
      <c r="C36" s="208" t="s">
        <v>171</v>
      </c>
      <c r="D36" s="209"/>
    </row>
    <row r="37" spans="1:4" x14ac:dyDescent="0.25">
      <c r="A37" s="206" t="s">
        <v>68</v>
      </c>
      <c r="B37" s="207" t="s">
        <v>10</v>
      </c>
      <c r="C37" s="208" t="s">
        <v>68</v>
      </c>
      <c r="D37" s="209" t="s">
        <v>92</v>
      </c>
    </row>
    <row r="38" spans="1:4" x14ac:dyDescent="0.25">
      <c r="A38" s="210" t="s">
        <v>236</v>
      </c>
      <c r="B38" s="207" t="s">
        <v>226</v>
      </c>
      <c r="C38" s="208" t="s">
        <v>171</v>
      </c>
      <c r="D38" s="209"/>
    </row>
    <row r="39" spans="1:4" x14ac:dyDescent="0.25">
      <c r="A39" s="206" t="s">
        <v>237</v>
      </c>
      <c r="B39" s="207" t="s">
        <v>10</v>
      </c>
      <c r="C39" s="208" t="s">
        <v>237</v>
      </c>
      <c r="D39" s="209" t="s">
        <v>243</v>
      </c>
    </row>
    <row r="40" spans="1:4" x14ac:dyDescent="0.25">
      <c r="A40" s="210" t="s">
        <v>238</v>
      </c>
      <c r="B40" s="207" t="s">
        <v>226</v>
      </c>
      <c r="C40" s="208" t="s">
        <v>171</v>
      </c>
      <c r="D40" s="209"/>
    </row>
    <row r="41" spans="1:4" x14ac:dyDescent="0.25">
      <c r="A41" s="206" t="s">
        <v>239</v>
      </c>
      <c r="B41" s="207" t="s">
        <v>10</v>
      </c>
      <c r="C41" s="208" t="s">
        <v>239</v>
      </c>
      <c r="D41" s="209" t="s">
        <v>244</v>
      </c>
    </row>
    <row r="42" spans="1:4" x14ac:dyDescent="0.25">
      <c r="A42" s="210" t="s">
        <v>240</v>
      </c>
      <c r="B42" s="207" t="s">
        <v>226</v>
      </c>
      <c r="C42" s="208" t="s">
        <v>171</v>
      </c>
      <c r="D42" s="209"/>
    </row>
    <row r="43" spans="1:4" x14ac:dyDescent="0.25">
      <c r="A43" s="206" t="s">
        <v>62</v>
      </c>
      <c r="B43" s="207" t="s">
        <v>10</v>
      </c>
      <c r="C43" s="208" t="s">
        <v>62</v>
      </c>
      <c r="D43" s="209" t="s">
        <v>85</v>
      </c>
    </row>
    <row r="44" spans="1:4" x14ac:dyDescent="0.25">
      <c r="A44" s="210" t="s">
        <v>241</v>
      </c>
      <c r="B44" s="207" t="s">
        <v>226</v>
      </c>
      <c r="C44" s="208" t="s">
        <v>191</v>
      </c>
      <c r="D44" s="209"/>
    </row>
    <row r="45" spans="1:4" x14ac:dyDescent="0.25">
      <c r="A45" s="206" t="s">
        <v>63</v>
      </c>
      <c r="B45" s="207" t="s">
        <v>10</v>
      </c>
      <c r="C45" s="208" t="s">
        <v>63</v>
      </c>
      <c r="D45" s="209" t="s">
        <v>86</v>
      </c>
    </row>
    <row r="46" spans="1:4" x14ac:dyDescent="0.25">
      <c r="A46" s="206" t="s">
        <v>302</v>
      </c>
      <c r="B46" s="207" t="s">
        <v>10</v>
      </c>
      <c r="C46" s="208" t="s">
        <v>302</v>
      </c>
      <c r="D46" s="209" t="s">
        <v>303</v>
      </c>
    </row>
    <row r="47" spans="1:4" x14ac:dyDescent="0.25">
      <c r="A47" s="206" t="s">
        <v>64</v>
      </c>
      <c r="B47" s="207" t="s">
        <v>10</v>
      </c>
      <c r="C47" s="208" t="s">
        <v>64</v>
      </c>
      <c r="D47" s="209" t="s">
        <v>87</v>
      </c>
    </row>
    <row r="48" spans="1:4" x14ac:dyDescent="0.25">
      <c r="A48" s="206" t="s">
        <v>242</v>
      </c>
      <c r="B48" s="207" t="s">
        <v>10</v>
      </c>
      <c r="C48" s="208" t="s">
        <v>242</v>
      </c>
      <c r="D48" s="209" t="s">
        <v>245</v>
      </c>
    </row>
    <row r="49" spans="1:4" x14ac:dyDescent="0.25">
      <c r="A49" s="206" t="s">
        <v>66</v>
      </c>
      <c r="B49" s="207" t="s">
        <v>10</v>
      </c>
      <c r="C49" s="208" t="s">
        <v>66</v>
      </c>
      <c r="D49" s="209" t="s">
        <v>90</v>
      </c>
    </row>
    <row r="50" spans="1:4" x14ac:dyDescent="0.25">
      <c r="A50" s="206" t="s">
        <v>69</v>
      </c>
      <c r="B50" s="207" t="s">
        <v>10</v>
      </c>
      <c r="C50" s="208" t="s">
        <v>69</v>
      </c>
      <c r="D50" s="209" t="s">
        <v>93</v>
      </c>
    </row>
    <row r="51" spans="1:4" x14ac:dyDescent="0.25">
      <c r="A51" s="206" t="s">
        <v>70</v>
      </c>
      <c r="B51" s="207" t="s">
        <v>10</v>
      </c>
      <c r="C51" s="208" t="s">
        <v>70</v>
      </c>
      <c r="D51" s="209" t="s">
        <v>94</v>
      </c>
    </row>
    <row r="52" spans="1:4" x14ac:dyDescent="0.25">
      <c r="A52" s="206" t="s">
        <v>248</v>
      </c>
      <c r="B52" s="207" t="s">
        <v>10</v>
      </c>
      <c r="C52" s="208" t="s">
        <v>248</v>
      </c>
      <c r="D52" s="209" t="s">
        <v>255</v>
      </c>
    </row>
    <row r="53" spans="1:4" x14ac:dyDescent="0.25">
      <c r="A53" s="206" t="s">
        <v>280</v>
      </c>
      <c r="B53" s="207" t="s">
        <v>10</v>
      </c>
      <c r="C53" s="208" t="s">
        <v>280</v>
      </c>
      <c r="D53" s="209" t="s">
        <v>289</v>
      </c>
    </row>
    <row r="54" spans="1:4" x14ac:dyDescent="0.25">
      <c r="A54" s="206" t="s">
        <v>247</v>
      </c>
      <c r="B54" s="207" t="s">
        <v>10</v>
      </c>
      <c r="C54" s="208" t="s">
        <v>247</v>
      </c>
      <c r="D54" s="209" t="s">
        <v>89</v>
      </c>
    </row>
    <row r="55" spans="1:4" x14ac:dyDescent="0.25">
      <c r="A55" s="206" t="s">
        <v>246</v>
      </c>
      <c r="B55" s="207" t="s">
        <v>10</v>
      </c>
      <c r="C55" s="208" t="s">
        <v>246</v>
      </c>
      <c r="D55" s="209" t="s">
        <v>260</v>
      </c>
    </row>
    <row r="56" spans="1:4" x14ac:dyDescent="0.25">
      <c r="A56" s="206" t="s">
        <v>249</v>
      </c>
      <c r="B56" s="207" t="s">
        <v>10</v>
      </c>
      <c r="C56" s="208" t="s">
        <v>249</v>
      </c>
      <c r="D56" s="209" t="s">
        <v>259</v>
      </c>
    </row>
    <row r="57" spans="1:4" x14ac:dyDescent="0.25">
      <c r="A57" s="206" t="s">
        <v>250</v>
      </c>
      <c r="B57" s="207" t="s">
        <v>10</v>
      </c>
      <c r="C57" s="208" t="s">
        <v>250</v>
      </c>
      <c r="D57" s="209" t="s">
        <v>258</v>
      </c>
    </row>
    <row r="58" spans="1:4" x14ac:dyDescent="0.25">
      <c r="A58" s="206" t="s">
        <v>251</v>
      </c>
      <c r="B58" s="207" t="s">
        <v>10</v>
      </c>
      <c r="C58" s="208" t="s">
        <v>251</v>
      </c>
      <c r="D58" s="209" t="s">
        <v>261</v>
      </c>
    </row>
    <row r="59" spans="1:4" x14ac:dyDescent="0.25">
      <c r="A59" s="206" t="s">
        <v>252</v>
      </c>
      <c r="B59" s="207" t="s">
        <v>10</v>
      </c>
      <c r="C59" s="208" t="s">
        <v>252</v>
      </c>
      <c r="D59" s="209" t="s">
        <v>257</v>
      </c>
    </row>
    <row r="60" spans="1:4" x14ac:dyDescent="0.25">
      <c r="A60" s="206" t="s">
        <v>253</v>
      </c>
      <c r="B60" s="207" t="s">
        <v>10</v>
      </c>
      <c r="C60" s="208" t="s">
        <v>253</v>
      </c>
      <c r="D60" s="209" t="s">
        <v>262</v>
      </c>
    </row>
    <row r="61" spans="1:4" x14ac:dyDescent="0.25">
      <c r="A61" s="206" t="s">
        <v>254</v>
      </c>
      <c r="B61" s="207" t="s">
        <v>10</v>
      </c>
      <c r="C61" s="208" t="s">
        <v>254</v>
      </c>
      <c r="D61" s="209" t="s">
        <v>263</v>
      </c>
    </row>
    <row r="62" spans="1:4" x14ac:dyDescent="0.25">
      <c r="A62" s="206" t="s">
        <v>281</v>
      </c>
      <c r="B62" s="207" t="s">
        <v>10</v>
      </c>
      <c r="C62" s="208" t="s">
        <v>281</v>
      </c>
      <c r="D62" s="209" t="s">
        <v>286</v>
      </c>
    </row>
    <row r="63" spans="1:4" x14ac:dyDescent="0.25">
      <c r="A63" s="206" t="s">
        <v>282</v>
      </c>
      <c r="B63" s="207" t="s">
        <v>10</v>
      </c>
      <c r="C63" s="208" t="s">
        <v>282</v>
      </c>
      <c r="D63" s="209" t="s">
        <v>285</v>
      </c>
    </row>
    <row r="64" spans="1:4" x14ac:dyDescent="0.25">
      <c r="A64" s="206" t="s">
        <v>283</v>
      </c>
      <c r="B64" s="207" t="s">
        <v>10</v>
      </c>
      <c r="C64" s="208" t="s">
        <v>283</v>
      </c>
      <c r="D64" s="209" t="s">
        <v>287</v>
      </c>
    </row>
    <row r="65" spans="1:4" x14ac:dyDescent="0.25">
      <c r="A65" s="206" t="s">
        <v>284</v>
      </c>
      <c r="B65" s="207" t="s">
        <v>10</v>
      </c>
      <c r="C65" s="208" t="s">
        <v>284</v>
      </c>
      <c r="D65" s="209" t="s">
        <v>288</v>
      </c>
    </row>
    <row r="66" spans="1:4" x14ac:dyDescent="0.25">
      <c r="A66" s="206" t="s">
        <v>295</v>
      </c>
      <c r="B66" s="207" t="s">
        <v>10</v>
      </c>
      <c r="C66" s="208" t="s">
        <v>295</v>
      </c>
      <c r="D66" s="209" t="s">
        <v>72</v>
      </c>
    </row>
    <row r="67" spans="1:4" x14ac:dyDescent="0.25">
      <c r="A67" s="210" t="s">
        <v>296</v>
      </c>
      <c r="B67" s="207" t="s">
        <v>226</v>
      </c>
      <c r="C67" s="208" t="s">
        <v>291</v>
      </c>
      <c r="D67" s="209"/>
    </row>
    <row r="68" spans="1:4" x14ac:dyDescent="0.25">
      <c r="A68" s="206" t="s">
        <v>297</v>
      </c>
      <c r="B68" s="207" t="s">
        <v>10</v>
      </c>
      <c r="C68" s="208" t="s">
        <v>297</v>
      </c>
      <c r="D68" s="209" t="s">
        <v>298</v>
      </c>
    </row>
    <row r="69" spans="1:4" x14ac:dyDescent="0.25">
      <c r="A69" s="206" t="s">
        <v>323</v>
      </c>
      <c r="B69" s="207" t="s">
        <v>10</v>
      </c>
      <c r="C69" s="208" t="s">
        <v>323</v>
      </c>
      <c r="D69" s="209" t="s">
        <v>324</v>
      </c>
    </row>
    <row r="70" spans="1:4" x14ac:dyDescent="0.25">
      <c r="A70" s="206" t="s">
        <v>408</v>
      </c>
      <c r="B70" s="207" t="s">
        <v>10</v>
      </c>
      <c r="C70" s="208" t="s">
        <v>408</v>
      </c>
      <c r="D70" s="209" t="s">
        <v>409</v>
      </c>
    </row>
  </sheetData>
  <mergeCells count="3">
    <mergeCell ref="A3:D3"/>
    <mergeCell ref="A2:D2"/>
    <mergeCell ref="A1:F1"/>
  </mergeCells>
  <conditionalFormatting sqref="C5:C69">
    <cfRule type="expression" dxfId="29"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60" t="str">
        <f ca="1">_xlfn.TEXTAFTER(CELL("filename",A1),"]")</f>
        <v>Data Validation</v>
      </c>
      <c r="B1" s="160"/>
      <c r="C1" s="160"/>
      <c r="D1" s="160"/>
      <c r="E1" s="160"/>
      <c r="F1" s="160"/>
      <c r="G1" s="160"/>
      <c r="H1" s="160"/>
      <c r="I1" s="6"/>
      <c r="J1" s="6"/>
      <c r="K1" s="6"/>
      <c r="L1" s="6"/>
      <c r="M1" s="6"/>
    </row>
    <row r="2" spans="1:13" x14ac:dyDescent="0.25">
      <c r="A2" s="161" t="s">
        <v>305</v>
      </c>
      <c r="B2" s="162"/>
      <c r="C2" s="162"/>
      <c r="D2" s="162"/>
      <c r="E2" s="162"/>
      <c r="F2" s="162"/>
      <c r="G2" s="162"/>
      <c r="H2" s="162"/>
      <c r="I2" s="162"/>
      <c r="J2" s="162"/>
      <c r="K2" s="162"/>
      <c r="L2" s="162"/>
      <c r="M2" s="163"/>
    </row>
    <row r="4" spans="1:13" ht="21" x14ac:dyDescent="0.35">
      <c r="A4" s="164" t="s">
        <v>314</v>
      </c>
      <c r="B4" s="165"/>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60" t="str">
        <f ca="1">_xlfn.TEXTAFTER(CELL("filename",A1),"]")</f>
        <v>oz.CountDOWλ</v>
      </c>
      <c r="B1" s="160"/>
      <c r="C1" s="160"/>
      <c r="D1" s="160"/>
      <c r="E1" s="160"/>
      <c r="F1" s="160"/>
      <c r="G1" s="160"/>
      <c r="H1" s="160"/>
      <c r="I1" s="160"/>
      <c r="J1" s="160"/>
      <c r="K1" s="160"/>
      <c r="L1" s="160"/>
      <c r="M1" s="160"/>
      <c r="N1" s="6"/>
    </row>
    <row r="2" spans="1:17" x14ac:dyDescent="0.25">
      <c r="A2" s="161" t="s">
        <v>71</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8" priority="1" stopIfTrue="1" operator="lessThan">
      <formula>0</formula>
    </cfRule>
    <cfRule type="notContainsBlanks" dxfId="27" priority="2" stopIfTrue="1">
      <formula>LEN(TRIM(F18))&gt;0</formula>
    </cfRule>
  </conditionalFormatting>
  <conditionalFormatting sqref="F19:NA19">
    <cfRule type="cellIs" dxfId="26" priority="3" stopIfTrue="1" operator="lessThan">
      <formula>0</formula>
    </cfRule>
    <cfRule type="notContainsBlanks" dxfId="25"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60" t="str">
        <f ca="1">_xlfn.TEXTAFTER(CELL("filename",A1),"]")</f>
        <v>oz.IsBetweenλ</v>
      </c>
      <c r="B1" s="160"/>
      <c r="C1" s="160"/>
      <c r="D1" s="160"/>
      <c r="E1" s="160"/>
      <c r="F1" s="160"/>
      <c r="G1" s="160"/>
      <c r="H1" s="160"/>
      <c r="I1" s="160"/>
      <c r="J1" s="160"/>
      <c r="K1" s="160"/>
      <c r="L1" s="160"/>
      <c r="M1" s="160"/>
      <c r="N1" s="6"/>
    </row>
    <row r="2" spans="1:17" x14ac:dyDescent="0.25">
      <c r="A2" s="161" t="s">
        <v>72</v>
      </c>
      <c r="B2" s="166"/>
      <c r="C2" s="166"/>
      <c r="D2" s="166"/>
      <c r="E2" s="166"/>
      <c r="F2" s="166"/>
      <c r="G2" s="166"/>
      <c r="H2" s="166"/>
      <c r="I2" s="166"/>
      <c r="J2" s="166"/>
      <c r="K2" s="166"/>
      <c r="L2" s="166"/>
      <c r="M2" s="166"/>
      <c r="N2" s="166"/>
      <c r="O2" s="166"/>
      <c r="P2" s="166"/>
      <c r="Q2" s="166"/>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24" priority="1" stopIfTrue="1" operator="lessThan">
      <formula>0</formula>
    </cfRule>
    <cfRule type="notContainsBlanks" dxfId="23" priority="2" stopIfTrue="1">
      <formula>LEN(TRIM(F22))&gt;0</formula>
    </cfRule>
  </conditionalFormatting>
  <conditionalFormatting sqref="F23:NA23">
    <cfRule type="cellIs" dxfId="22" priority="3" stopIfTrue="1" operator="lessThan">
      <formula>0</formula>
    </cfRule>
    <cfRule type="notContainsBlanks" dxfId="21"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60" t="str">
        <f ca="1">_xlfn.TEXTAFTER(CELL("filename",A1),"]")</f>
        <v>oz.IsOccurrenceDateλ</v>
      </c>
      <c r="B1" s="160"/>
      <c r="C1" s="160"/>
      <c r="D1" s="160"/>
      <c r="E1" s="160"/>
      <c r="F1" s="160"/>
      <c r="G1" s="160"/>
      <c r="H1" s="160"/>
      <c r="I1" s="160"/>
      <c r="J1" s="160"/>
      <c r="K1" s="160"/>
      <c r="L1" s="160"/>
      <c r="M1" s="160"/>
      <c r="N1" s="160"/>
      <c r="O1" s="160"/>
      <c r="P1" s="160"/>
    </row>
    <row r="2" spans="1:16" x14ac:dyDescent="0.25">
      <c r="A2" s="161" t="s">
        <v>73</v>
      </c>
      <c r="B2" s="162"/>
      <c r="C2" s="162"/>
      <c r="D2" s="162"/>
      <c r="E2" s="162"/>
      <c r="F2" s="162"/>
      <c r="G2" s="162"/>
      <c r="H2" s="162"/>
      <c r="I2" s="162"/>
      <c r="J2" s="162"/>
      <c r="K2" s="162"/>
      <c r="L2" s="162"/>
      <c r="M2" s="162"/>
      <c r="N2" s="162"/>
      <c r="O2" s="162"/>
      <c r="P2" s="163"/>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67" t="s">
        <v>96</v>
      </c>
      <c r="B31" s="168"/>
      <c r="C31" s="168"/>
      <c r="D31" s="168"/>
      <c r="E31" s="168"/>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56" t="s">
        <v>97</v>
      </c>
      <c r="B32" s="157"/>
      <c r="C32" s="157"/>
      <c r="D32" s="157"/>
      <c r="E32" s="157"/>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60" t="str">
        <f ca="1">_xlfn.TEXTAFTER(CELL("filename",A1),"]")</f>
        <v>oz.OverLapDaysλ</v>
      </c>
      <c r="B1" s="160"/>
      <c r="C1" s="160"/>
      <c r="D1" s="160"/>
      <c r="E1" s="160"/>
      <c r="F1" s="160"/>
      <c r="G1" s="160"/>
      <c r="H1" s="160"/>
      <c r="I1" s="160"/>
      <c r="J1" s="160"/>
      <c r="K1" s="160"/>
      <c r="L1" s="160"/>
      <c r="M1" s="160"/>
      <c r="N1" s="160"/>
      <c r="O1" s="160"/>
    </row>
    <row r="2" spans="1:15" x14ac:dyDescent="0.25">
      <c r="A2" s="161" t="s">
        <v>74</v>
      </c>
      <c r="B2" s="162"/>
      <c r="C2" s="162"/>
      <c r="D2" s="162"/>
      <c r="E2" s="162"/>
      <c r="F2" s="162"/>
      <c r="G2" s="162"/>
      <c r="H2" s="162"/>
      <c r="I2" s="162"/>
      <c r="J2" s="162"/>
      <c r="K2" s="162"/>
      <c r="L2" s="162"/>
      <c r="M2" s="162"/>
      <c r="N2" s="163"/>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67" t="s">
        <v>119</v>
      </c>
      <c r="B20" s="168"/>
      <c r="C20" s="168"/>
      <c r="D20" s="168"/>
      <c r="E20" s="168"/>
    </row>
    <row r="21" spans="1:19" x14ac:dyDescent="0.25">
      <c r="A21" s="156"/>
      <c r="B21" s="157"/>
      <c r="C21" s="157"/>
      <c r="D21" s="157"/>
      <c r="E21" s="157"/>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60" t="str">
        <f ca="1">_xlfn.TEXTAFTER(CELL("filename",A1),"]")</f>
        <v>oz.Periodsλ</v>
      </c>
      <c r="B1" s="160"/>
      <c r="C1" s="160"/>
      <c r="D1" s="160"/>
      <c r="E1" s="160"/>
      <c r="F1" s="160"/>
      <c r="G1" s="160"/>
      <c r="H1" s="160"/>
      <c r="I1" s="160"/>
      <c r="J1" s="160"/>
      <c r="K1" s="160"/>
      <c r="L1" s="160"/>
      <c r="M1" s="160"/>
      <c r="N1" s="160"/>
      <c r="O1" s="160"/>
      <c r="P1" s="160"/>
    </row>
    <row r="2" spans="1:20" x14ac:dyDescent="0.25">
      <c r="A2" s="161" t="s">
        <v>75</v>
      </c>
      <c r="B2" s="166"/>
      <c r="C2" s="166"/>
      <c r="D2" s="166"/>
      <c r="E2" s="166"/>
      <c r="F2" s="166"/>
      <c r="G2" s="166"/>
      <c r="H2" s="166"/>
      <c r="I2" s="166"/>
      <c r="J2" s="166"/>
      <c r="K2" s="166"/>
      <c r="L2" s="166"/>
      <c r="M2" s="166"/>
      <c r="N2" s="166"/>
      <c r="O2" s="166"/>
      <c r="P2" s="166"/>
      <c r="Q2" s="166"/>
      <c r="R2" s="166"/>
      <c r="S2" s="166"/>
      <c r="T2" s="166"/>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20"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60" t="str">
        <f ca="1">_xlfn.TEXTAFTER(CELL("filename",A1),"]")</f>
        <v>oz.PeriodLabelλ</v>
      </c>
      <c r="B1" s="160"/>
      <c r="C1" s="160"/>
      <c r="D1" s="160"/>
      <c r="E1" s="160"/>
      <c r="F1" s="160"/>
      <c r="G1" s="160"/>
      <c r="H1" s="160"/>
      <c r="I1" s="160"/>
      <c r="J1" s="160"/>
      <c r="K1" s="160"/>
      <c r="L1" s="160"/>
      <c r="M1" s="160"/>
      <c r="N1" s="160"/>
      <c r="O1" s="160"/>
      <c r="P1" s="160"/>
    </row>
    <row r="2" spans="1:16" x14ac:dyDescent="0.25">
      <c r="A2" s="161" t="s">
        <v>76</v>
      </c>
      <c r="B2" s="162"/>
      <c r="C2" s="162"/>
      <c r="D2" s="162"/>
      <c r="E2" s="162"/>
      <c r="F2" s="162"/>
      <c r="G2" s="162"/>
      <c r="H2" s="162"/>
      <c r="I2" s="162"/>
      <c r="J2" s="162"/>
      <c r="K2" s="162"/>
      <c r="L2" s="162"/>
      <c r="M2" s="162"/>
      <c r="N2" s="162"/>
      <c r="O2" s="162"/>
      <c r="P2" s="163"/>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60" t="str">
        <f ca="1">_xlfn.TEXTAFTER(CELL("filename",A1),"]")</f>
        <v>oz.ScheduleRatesλ</v>
      </c>
      <c r="B1" s="160"/>
      <c r="C1" s="160"/>
      <c r="D1" s="160"/>
      <c r="E1" s="160"/>
      <c r="F1" s="160"/>
      <c r="G1" s="160"/>
      <c r="H1" s="160"/>
      <c r="I1" s="160"/>
      <c r="J1" s="160"/>
      <c r="K1" s="160"/>
      <c r="L1" s="160"/>
      <c r="M1" s="160"/>
      <c r="N1" s="6"/>
    </row>
    <row r="2" spans="1:15" x14ac:dyDescent="0.25">
      <c r="A2" s="161" t="s">
        <v>77</v>
      </c>
      <c r="B2" s="166"/>
      <c r="C2" s="166"/>
      <c r="D2" s="166"/>
      <c r="E2" s="166"/>
      <c r="F2" s="166"/>
      <c r="G2" s="166"/>
      <c r="H2" s="166"/>
      <c r="I2" s="166"/>
      <c r="J2" s="166"/>
      <c r="K2" s="166"/>
      <c r="L2" s="166"/>
      <c r="M2" s="166"/>
      <c r="N2" s="166"/>
      <c r="O2" s="166"/>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59" t="s">
        <v>57</v>
      </c>
      <c r="B20" s="159"/>
      <c r="C20" s="159"/>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59" t="s">
        <v>32</v>
      </c>
      <c r="B25" s="159"/>
      <c r="C25" s="159"/>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59" t="s">
        <v>56</v>
      </c>
      <c r="B33" s="170"/>
      <c r="C33" s="10"/>
    </row>
    <row r="34" spans="1:17" x14ac:dyDescent="0.25">
      <c r="A34" s="156"/>
      <c r="B34" s="158"/>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59" t="s">
        <v>55</v>
      </c>
      <c r="B40" s="169"/>
      <c r="C40" s="170"/>
    </row>
    <row r="41" spans="1:17" x14ac:dyDescent="0.25">
      <c r="A41" s="156"/>
      <c r="B41" s="157"/>
      <c r="C41" s="158"/>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60" t="str">
        <f ca="1">_xlfn.TEXTAFTER(CELL("filename",A1),"]")</f>
        <v>oz.ScheduleRatesByItemsλ</v>
      </c>
      <c r="B1" s="160"/>
      <c r="C1" s="160"/>
      <c r="D1" s="160"/>
      <c r="E1" s="160"/>
      <c r="F1" s="160"/>
      <c r="G1" s="160"/>
      <c r="H1" s="160"/>
      <c r="I1" s="160"/>
      <c r="J1" s="160"/>
      <c r="K1" s="160"/>
      <c r="L1" s="160"/>
      <c r="M1" s="160"/>
      <c r="N1" s="160"/>
      <c r="O1" s="160"/>
      <c r="P1" s="160"/>
    </row>
    <row r="2" spans="1:16" x14ac:dyDescent="0.25">
      <c r="A2" s="161" t="s">
        <v>78</v>
      </c>
      <c r="B2" s="162"/>
      <c r="C2" s="162"/>
      <c r="D2" s="162"/>
      <c r="E2" s="162"/>
      <c r="F2" s="162"/>
      <c r="G2" s="162"/>
      <c r="H2" s="162"/>
      <c r="I2" s="162"/>
      <c r="J2" s="162"/>
      <c r="K2" s="162"/>
      <c r="L2" s="162"/>
      <c r="M2" s="162"/>
      <c r="N2" s="162"/>
      <c r="O2" s="162"/>
      <c r="P2" s="163"/>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71" t="s">
        <v>231</v>
      </c>
      <c r="E22" s="172"/>
      <c r="F22" s="172"/>
    </row>
    <row r="23" spans="1:20" x14ac:dyDescent="0.25">
      <c r="D23" s="173"/>
      <c r="E23" s="172"/>
      <c r="F23" s="172"/>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9"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60" t="str">
        <f ca="1">_xlfn.TEXTAFTER(CELL("filename",A1),"]")</f>
        <v>oz.ScheduleValuesλ</v>
      </c>
      <c r="B1" s="160"/>
      <c r="C1" s="160"/>
      <c r="D1" s="160"/>
      <c r="E1" s="160"/>
      <c r="F1" s="160"/>
      <c r="G1" s="160"/>
      <c r="H1" s="160"/>
      <c r="I1" s="160"/>
      <c r="J1" s="160"/>
      <c r="K1" s="160"/>
      <c r="L1" s="160"/>
      <c r="M1" s="160"/>
      <c r="N1" s="160"/>
      <c r="O1" s="160"/>
      <c r="P1" s="160"/>
      <c r="Q1" s="160"/>
      <c r="R1" s="160"/>
      <c r="S1" s="160"/>
      <c r="T1" s="160"/>
    </row>
    <row r="2" spans="1:20" x14ac:dyDescent="0.25">
      <c r="A2" s="161" t="s">
        <v>79</v>
      </c>
      <c r="B2" s="162"/>
      <c r="C2" s="162"/>
      <c r="D2" s="162"/>
      <c r="E2" s="162"/>
      <c r="F2" s="162"/>
      <c r="G2" s="162"/>
      <c r="H2" s="162"/>
      <c r="I2" s="162"/>
      <c r="J2" s="162"/>
      <c r="K2" s="162"/>
      <c r="L2" s="162"/>
      <c r="M2" s="162"/>
      <c r="N2" s="162"/>
      <c r="O2" s="162"/>
      <c r="P2" s="163"/>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174" t="s">
        <v>148</v>
      </c>
      <c r="B17" s="174"/>
      <c r="C17" s="174"/>
      <c r="E17" s="171" t="s">
        <v>154</v>
      </c>
      <c r="F17" s="176"/>
      <c r="G17" s="176"/>
      <c r="H17" s="176"/>
      <c r="I17" s="177"/>
    </row>
    <row r="18" spans="1:24" x14ac:dyDescent="0.25">
      <c r="E18" s="173"/>
      <c r="F18" s="178"/>
      <c r="G18" s="178"/>
      <c r="H18" s="178"/>
      <c r="I18" s="178"/>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71" t="s">
        <v>146</v>
      </c>
      <c r="B25" s="175"/>
      <c r="C25" s="175"/>
      <c r="E25" cm="1">
        <f t="array" ref="E25">100 + ROW() - ROW(tblCO[#Headers])</f>
        <v>106</v>
      </c>
      <c r="F25" t="s">
        <v>142</v>
      </c>
      <c r="G25" s="34">
        <v>46242</v>
      </c>
      <c r="H25" s="34">
        <f>tblCO[[#This Row],[Issued]]+_xlfn.XLOOKUP(tblCO[[#This Row],[Customer]],tblCT[Customer], tblCT[Terms])</f>
        <v>46272</v>
      </c>
      <c r="I25">
        <v>1985</v>
      </c>
    </row>
    <row r="26" spans="1:24" x14ac:dyDescent="0.25">
      <c r="A26" s="173"/>
      <c r="B26" s="172"/>
      <c r="C26" s="172"/>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60" t="str">
        <f ca="1">_xlfn.TEXTAFTER(CELL("filename",A1),"]")</f>
        <v>oz.ScheduleValuesByItemsλ</v>
      </c>
      <c r="B1" s="160"/>
      <c r="C1" s="160"/>
      <c r="D1" s="160"/>
      <c r="E1" s="160"/>
      <c r="F1" s="160"/>
      <c r="G1" s="160"/>
      <c r="H1" s="160"/>
      <c r="I1" s="160"/>
      <c r="J1" s="160"/>
      <c r="K1" s="160"/>
      <c r="L1" s="160"/>
      <c r="M1" s="160"/>
      <c r="N1" s="160"/>
      <c r="O1" s="160"/>
      <c r="P1" s="160"/>
      <c r="Q1" s="160"/>
    </row>
    <row r="2" spans="1:17" x14ac:dyDescent="0.25">
      <c r="A2" s="161" t="s">
        <v>80</v>
      </c>
      <c r="B2" s="162"/>
      <c r="C2" s="162"/>
      <c r="D2" s="162"/>
      <c r="E2" s="162"/>
      <c r="F2" s="162"/>
      <c r="G2" s="162"/>
      <c r="H2" s="162"/>
      <c r="I2" s="162"/>
      <c r="J2" s="162"/>
      <c r="K2" s="162"/>
      <c r="L2" s="162"/>
      <c r="M2" s="162"/>
      <c r="N2" s="162"/>
      <c r="O2" s="162"/>
      <c r="P2" s="162"/>
      <c r="Q2" s="163"/>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174" t="s">
        <v>148</v>
      </c>
      <c r="B22" s="174"/>
      <c r="C22" s="174"/>
      <c r="E22" s="164" t="s">
        <v>154</v>
      </c>
      <c r="F22" s="179"/>
      <c r="G22" s="179"/>
      <c r="H22" s="179"/>
      <c r="I22" s="165"/>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180" t="s">
        <v>146</v>
      </c>
      <c r="B30" s="181"/>
      <c r="C30" s="181"/>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60" t="str">
        <f ca="1">_xlfn.TEXTAFTER(CELL("filename",A1),"]")</f>
        <v>oz.Timelineλ</v>
      </c>
      <c r="B1" s="160"/>
      <c r="C1" s="160"/>
      <c r="D1" s="160"/>
      <c r="E1" s="160"/>
      <c r="F1" s="160"/>
      <c r="G1" s="160"/>
      <c r="H1" s="160"/>
      <c r="I1" s="160"/>
      <c r="J1" s="160"/>
      <c r="K1" s="160"/>
      <c r="L1" s="160"/>
      <c r="M1" s="160"/>
      <c r="N1" s="160"/>
    </row>
    <row r="2" spans="1:17" x14ac:dyDescent="0.25">
      <c r="A2" s="161" t="s">
        <v>81</v>
      </c>
      <c r="B2" s="166"/>
      <c r="C2" s="166"/>
      <c r="D2" s="166"/>
      <c r="E2" s="166"/>
      <c r="F2" s="166"/>
      <c r="G2" s="166"/>
      <c r="H2" s="166"/>
      <c r="I2" s="166"/>
      <c r="J2" s="166"/>
      <c r="K2" s="166"/>
      <c r="L2" s="166"/>
      <c r="M2" s="166"/>
      <c r="N2" s="166"/>
      <c r="O2" s="166"/>
      <c r="P2" s="166"/>
      <c r="Q2" s="166"/>
    </row>
    <row r="3" spans="1:17" x14ac:dyDescent="0.25">
      <c r="A3" s="182"/>
      <c r="B3" s="182"/>
      <c r="C3" s="182"/>
      <c r="D3" s="182"/>
      <c r="E3" s="182"/>
      <c r="F3" s="182"/>
      <c r="G3" s="182"/>
      <c r="H3" s="182"/>
      <c r="I3" s="182"/>
      <c r="J3" s="182"/>
      <c r="K3" s="182"/>
      <c r="L3" s="182"/>
      <c r="M3" s="182"/>
      <c r="N3" s="182"/>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60" t="str">
        <f ca="1">_xlfn.TEXTAFTER(CELL("filename",A1),"]")</f>
        <v>oz.Amortiseλ</v>
      </c>
      <c r="B1" s="160"/>
      <c r="C1" s="160"/>
      <c r="D1" s="160"/>
      <c r="E1" s="160"/>
      <c r="F1" s="160"/>
      <c r="G1" s="160"/>
      <c r="H1" s="160"/>
      <c r="I1" s="160"/>
      <c r="J1" s="160"/>
      <c r="K1" s="160"/>
      <c r="L1" s="160"/>
      <c r="M1" s="160"/>
      <c r="N1" s="160"/>
      <c r="O1" s="160"/>
      <c r="P1" s="160"/>
    </row>
    <row r="2" spans="1:17" x14ac:dyDescent="0.25">
      <c r="A2" s="161" t="s">
        <v>82</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183"/>
      <c r="L3" s="183"/>
      <c r="M3" s="183"/>
      <c r="N3" s="183"/>
      <c r="O3" s="183"/>
      <c r="P3" s="183"/>
    </row>
    <row r="4" spans="1:17" x14ac:dyDescent="0.25">
      <c r="A4" s="24" t="str" cm="1">
        <f t="array" ref="A4:B19">oz.Amortiseλ()</f>
        <v>FUNCTION:</v>
      </c>
      <c r="B4" t="str">
        <v>Amortiseλ( Principals, APRs, Terms, StartDates, [Timeline])</v>
      </c>
      <c r="K4" s="183"/>
      <c r="L4" s="183"/>
      <c r="M4" s="183"/>
      <c r="N4" s="183"/>
      <c r="O4" s="183"/>
      <c r="P4" s="183"/>
    </row>
    <row r="5" spans="1:17" x14ac:dyDescent="0.25">
      <c r="A5" t="str">
        <v>DESCRIPTION:</v>
      </c>
      <c r="B5" t="str">
        <v>Creates an amortisation schedule array for one or more loans.</v>
      </c>
      <c r="K5" s="183"/>
      <c r="L5" s="183"/>
      <c r="M5" s="183"/>
      <c r="N5" s="183"/>
      <c r="O5" s="183"/>
      <c r="P5" s="183"/>
    </row>
    <row r="6" spans="1:17" x14ac:dyDescent="0.25">
      <c r="A6" t="str">
        <v/>
      </c>
      <c r="B6" t="str">
        <v>Payments are assumed monthly. On periods shorter than a month the figures for each month land in the period holding its start, the rest nil.</v>
      </c>
      <c r="K6" s="183"/>
      <c r="L6" s="183"/>
      <c r="M6" s="183"/>
      <c r="N6" s="183"/>
      <c r="O6" s="183"/>
      <c r="P6" s="183"/>
    </row>
    <row r="7" spans="1:17" x14ac:dyDescent="0.25">
      <c r="A7" t="str">
        <v/>
      </c>
      <c r="B7" t="str">
        <v>Use LabelAmortiseλ() to apply labels to this function's results:</v>
      </c>
      <c r="K7" s="183"/>
      <c r="L7" s="183"/>
      <c r="M7" s="183"/>
      <c r="N7" s="183"/>
      <c r="O7" s="183"/>
      <c r="P7" s="183"/>
    </row>
    <row r="8" spans="1:17" x14ac:dyDescent="0.25">
      <c r="A8" t="str">
        <v/>
      </c>
      <c r="B8" t="str">
        <v>Use SumAmortiseλ() to apply totals to this function's results:</v>
      </c>
      <c r="K8" s="183"/>
      <c r="L8" s="183"/>
      <c r="M8" s="183"/>
      <c r="N8" s="183"/>
      <c r="O8" s="183"/>
      <c r="P8" s="183"/>
    </row>
    <row r="9" spans="1:17" x14ac:dyDescent="0.25">
      <c r="A9" t="str">
        <v>WEBPAGE:</v>
      </c>
      <c r="B9" t="str">
        <v>https://github.com/ryanduguid/Ozzit</v>
      </c>
      <c r="K9" s="183"/>
      <c r="L9" s="183"/>
      <c r="M9" s="183"/>
      <c r="N9" s="183"/>
      <c r="O9" s="183"/>
      <c r="P9" s="183"/>
    </row>
    <row r="10" spans="1:17" x14ac:dyDescent="0.25">
      <c r="A10" t="str">
        <v>VERSION:</v>
      </c>
      <c r="B10" t="str">
        <v>20 Aug 2026</v>
      </c>
      <c r="K10" s="183"/>
      <c r="L10" s="183"/>
      <c r="M10" s="183"/>
      <c r="N10" s="183"/>
      <c r="O10" s="183"/>
      <c r="P10" s="183"/>
    </row>
    <row r="11" spans="1:17" x14ac:dyDescent="0.25">
      <c r="A11" t="str">
        <v>PARAMETERS:</v>
      </c>
      <c r="B11" t="str">
        <v/>
      </c>
      <c r="K11" s="183"/>
      <c r="L11" s="183"/>
      <c r="M11" s="183"/>
      <c r="N11" s="183"/>
      <c r="O11" s="183"/>
      <c r="P11" s="183"/>
    </row>
    <row r="12" spans="1:17" x14ac:dyDescent="0.25">
      <c r="A12" t="str">
        <v>Principals</v>
      </c>
      <c r="B12" t="str">
        <v>(Required) Loan/debt amounts.</v>
      </c>
      <c r="K12" s="183"/>
      <c r="L12" s="183"/>
      <c r="M12" s="183"/>
      <c r="N12" s="183"/>
      <c r="O12" s="183"/>
      <c r="P12" s="183"/>
    </row>
    <row r="13" spans="1:17" x14ac:dyDescent="0.25">
      <c r="A13" t="str">
        <v>APRs</v>
      </c>
      <c r="B13" t="str">
        <v>(Required) Annual Percentage Rates for interest.</v>
      </c>
      <c r="K13" s="183"/>
      <c r="L13" s="183"/>
      <c r="M13" s="183"/>
      <c r="N13" s="183"/>
      <c r="O13" s="183"/>
      <c r="P13" s="183"/>
    </row>
    <row r="14" spans="1:17" x14ac:dyDescent="0.25">
      <c r="A14" t="str">
        <v>Terms</v>
      </c>
      <c r="B14" t="str">
        <v>(Required) Number of months for loans/debts.</v>
      </c>
      <c r="K14" s="183"/>
      <c r="L14" s="183"/>
      <c r="M14" s="183"/>
      <c r="N14" s="183"/>
      <c r="O14" s="183"/>
      <c r="P14" s="183"/>
    </row>
    <row r="15" spans="1:17" x14ac:dyDescent="0.25">
      <c r="A15" t="str">
        <v>StartDates</v>
      </c>
      <c r="B15" t="str">
        <v>(Required) Dates debts are issued.</v>
      </c>
      <c r="K15" s="183"/>
      <c r="L15" s="183"/>
      <c r="M15" s="183"/>
      <c r="N15" s="183"/>
      <c r="O15" s="183"/>
      <c r="P15" s="183"/>
    </row>
    <row r="16" spans="1:17" x14ac:dyDescent="0.25">
      <c r="A16" t="str">
        <v>Timeline</v>
      </c>
      <c r="B16" t="str">
        <v>(Optional) An array of dates. If omitted, a row of months starting on start date will be added</v>
      </c>
    </row>
    <row r="17" spans="1:23" x14ac:dyDescent="0.25">
      <c r="A17" t="str">
        <v>EXAMPLES:</v>
      </c>
      <c r="B17" t="str">
        <v/>
      </c>
    </row>
    <row r="18" spans="1:23" x14ac:dyDescent="0.25">
      <c r="A18" t="str">
        <v>Result</v>
      </c>
      <c r="B18" t="str">
        <v>Formula (oz is assumed to be the module's name)</v>
      </c>
    </row>
    <row r="19" spans="1:23" x14ac:dyDescent="0.25">
      <c r="A19" t="str">
        <v/>
      </c>
      <c r="B19" t="str">
        <v>=oz.Amortiseλ(10000, 5%, 4 * 12, "2026-07-01")</v>
      </c>
    </row>
    <row r="21" spans="1:23" ht="21" x14ac:dyDescent="0.35">
      <c r="A21" s="171" t="s">
        <v>193</v>
      </c>
      <c r="B21" s="175"/>
      <c r="C21" s="175"/>
      <c r="D21" s="175"/>
      <c r="E21" s="175"/>
    </row>
    <row r="22" spans="1:23" x14ac:dyDescent="0.25">
      <c r="A22" s="173"/>
      <c r="B22" s="172"/>
      <c r="C22" s="172"/>
      <c r="D22" s="172"/>
      <c r="E22" s="172"/>
      <c r="G22" s="78" t="s">
        <v>18</v>
      </c>
      <c r="H22" s="17" t="s">
        <v>2</v>
      </c>
    </row>
    <row r="23" spans="1:23" x14ac:dyDescent="0.25">
      <c r="A23" s="65" t="s">
        <v>7</v>
      </c>
      <c r="B23" s="81" t="s">
        <v>161</v>
      </c>
      <c r="C23" s="81" t="s">
        <v>162</v>
      </c>
      <c r="D23" s="81" t="s">
        <v>163</v>
      </c>
      <c r="E23" s="81" t="s">
        <v>164</v>
      </c>
      <c r="F23" s="67"/>
      <c r="G23" s="121" t="s">
        <v>197</v>
      </c>
      <c r="H23" s="143"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
        <v>166</v>
      </c>
      <c r="B24" s="71">
        <v>51216</v>
      </c>
      <c r="C24" s="72">
        <v>7.0000000000000007E-2</v>
      </c>
      <c r="D24" s="73">
        <v>10</v>
      </c>
      <c r="E24" s="74">
        <v>46266</v>
      </c>
      <c r="G24" s="75" t="str" cm="1">
        <f t="array" ref="G24:G43">oz.LabelAmortiseλ(tblLoans[Description])</f>
        <v>Renovation Debt Issuance</v>
      </c>
      <c r="H24" s="79" cm="1">
        <f t="array" ref="H24:H43">oz.SumAmortiseλ(_xlfn.ANCHORARRAY(I24))</f>
        <v>0</v>
      </c>
      <c r="I24" s="80"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41">
        <v>0</v>
      </c>
    </row>
    <row r="25" spans="1:23" x14ac:dyDescent="0.25">
      <c r="A25" s="82" t="s">
        <v>167</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168</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41"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41">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s="77"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8" priority="1">
      <formula>FIND("Closing",$G28)</formula>
    </cfRule>
  </conditionalFormatting>
  <conditionalFormatting sqref="G24:P27 H24:V40 Q24:CM42 G29:P42">
    <cfRule type="expression" dxfId="17"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60" t="str">
        <f ca="1">_xlfn.TEXTAFTER(CELL("filename",A1),"]")</f>
        <v>oz.LabelAmortiseλ</v>
      </c>
      <c r="B1" s="160"/>
      <c r="C1" s="160"/>
      <c r="D1" s="160"/>
      <c r="E1" s="160"/>
      <c r="F1" s="160"/>
      <c r="G1" s="160"/>
      <c r="H1" s="160"/>
      <c r="I1" s="160"/>
      <c r="J1" s="160"/>
      <c r="K1" s="160"/>
      <c r="L1" s="160"/>
      <c r="M1" s="160"/>
      <c r="N1" s="160"/>
      <c r="O1" s="160"/>
      <c r="P1" s="160"/>
    </row>
    <row r="2" spans="1:18" x14ac:dyDescent="0.25">
      <c r="A2" s="161" t="s">
        <v>91</v>
      </c>
      <c r="B2" s="166"/>
      <c r="C2" s="166"/>
      <c r="D2" s="166"/>
      <c r="E2" s="166"/>
      <c r="F2" s="166"/>
      <c r="G2" s="166"/>
      <c r="H2" s="166"/>
      <c r="I2" s="166"/>
      <c r="J2" s="166"/>
      <c r="K2" s="166"/>
      <c r="L2" s="166"/>
      <c r="M2" s="166"/>
      <c r="N2" s="166"/>
      <c r="O2" s="166"/>
      <c r="P2" s="166"/>
      <c r="Q2" s="166"/>
      <c r="R2" s="166"/>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180" t="s">
        <v>193</v>
      </c>
      <c r="B21" s="181"/>
      <c r="C21" s="181"/>
      <c r="D21" s="181"/>
      <c r="E21" s="181"/>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6" priority="1">
      <formula>FIND("Closing",$G28)</formula>
    </cfRule>
  </conditionalFormatting>
  <conditionalFormatting sqref="G24:W27 H28:W40">
    <cfRule type="expression" dxfId="15" priority="2">
      <formula>FIND("Closing",$G24)</formula>
    </cfRule>
  </conditionalFormatting>
  <conditionalFormatting sqref="G29:W40">
    <cfRule type="expression" dxfId="14"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60" t="str">
        <f ca="1">_xlfn.TEXTAFTER(CELL("filename",A1),"]")</f>
        <v>oz.SumAmortiseλ</v>
      </c>
      <c r="B1" s="160"/>
      <c r="C1" s="160"/>
      <c r="D1" s="160"/>
      <c r="E1" s="160"/>
      <c r="F1" s="160"/>
      <c r="G1" s="160"/>
      <c r="H1" s="160"/>
      <c r="I1" s="160"/>
      <c r="J1" s="160"/>
      <c r="K1" s="160"/>
      <c r="L1" s="160"/>
      <c r="M1" s="160"/>
      <c r="N1" s="160"/>
      <c r="O1" s="160"/>
      <c r="P1" s="160"/>
    </row>
    <row r="2" spans="1:17" x14ac:dyDescent="0.25">
      <c r="A2" s="161" t="s">
        <v>88</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174" t="s">
        <v>193</v>
      </c>
      <c r="B21" s="174"/>
      <c r="C21" s="174"/>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13" priority="1">
      <formula>MOD(ROW(),2)=0</formula>
    </cfRule>
  </conditionalFormatting>
  <conditionalFormatting sqref="G24:CN27 G28 I28:CN28 I29:W40">
    <cfRule type="expression" dxfId="12" priority="3">
      <formula>FIND("Closing",$G24)</formula>
    </cfRule>
  </conditionalFormatting>
  <conditionalFormatting sqref="G29:CN41">
    <cfRule type="expression" dxfId="11" priority="4">
      <formula>FIND("Closing",$G29)</formula>
    </cfRule>
  </conditionalFormatting>
  <conditionalFormatting sqref="H28:H40">
    <cfRule type="expression" dxfId="10"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60" t="str">
        <f ca="1">_xlfn.TEXTAFTER(CELL("filename",A1),"]")</f>
        <v>oz.Corkscrewλ</v>
      </c>
      <c r="B1" s="160"/>
      <c r="C1" s="160"/>
      <c r="D1" s="160"/>
      <c r="E1" s="160"/>
      <c r="F1" s="160"/>
      <c r="G1" s="160"/>
      <c r="H1" s="160"/>
      <c r="I1" s="160"/>
      <c r="J1" s="160"/>
      <c r="K1" s="160"/>
      <c r="L1" s="160"/>
      <c r="M1" s="160"/>
      <c r="N1" s="160"/>
      <c r="O1" s="160"/>
      <c r="P1" s="160"/>
      <c r="Q1" s="160"/>
      <c r="R1" s="160"/>
      <c r="S1" s="160"/>
    </row>
    <row r="2" spans="1:19" x14ac:dyDescent="0.25">
      <c r="A2" s="161" t="s">
        <v>83</v>
      </c>
      <c r="B2" s="162"/>
      <c r="C2" s="162"/>
      <c r="D2" s="162"/>
      <c r="E2" s="162"/>
      <c r="F2" s="162"/>
      <c r="G2" s="162"/>
      <c r="H2" s="162"/>
      <c r="I2" s="162"/>
      <c r="J2" s="162"/>
      <c r="K2" s="162"/>
      <c r="L2" s="162"/>
      <c r="M2" s="162"/>
      <c r="N2" s="162"/>
      <c r="O2" s="162"/>
      <c r="P2" s="163"/>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174" t="s">
        <v>148</v>
      </c>
      <c r="B22" s="174"/>
      <c r="C22" s="174"/>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60" t="str">
        <f ca="1">_xlfn.TEXTAFTER(CELL("filename",A1),"]")</f>
        <v>oz.Cumulativeλ</v>
      </c>
      <c r="B1" s="160"/>
      <c r="C1" s="160"/>
      <c r="D1" s="160"/>
      <c r="E1" s="160"/>
      <c r="F1" s="160"/>
      <c r="G1" s="160"/>
      <c r="H1" s="160"/>
      <c r="I1" s="160"/>
      <c r="J1" s="160"/>
      <c r="K1" s="160"/>
      <c r="L1" s="160"/>
      <c r="M1" s="160"/>
      <c r="N1" s="160"/>
      <c r="O1" s="160"/>
      <c r="P1" s="160"/>
    </row>
    <row r="2" spans="1:16" x14ac:dyDescent="0.25">
      <c r="A2" s="161" t="s">
        <v>185</v>
      </c>
      <c r="B2" s="162"/>
      <c r="C2" s="162"/>
      <c r="D2" s="162"/>
      <c r="E2" s="162"/>
      <c r="F2" s="162"/>
      <c r="G2" s="162"/>
      <c r="H2" s="162"/>
      <c r="I2" s="162"/>
      <c r="J2" s="162"/>
      <c r="K2" s="162"/>
      <c r="L2" s="162"/>
      <c r="M2" s="162"/>
      <c r="N2" s="162"/>
      <c r="O2" s="162"/>
      <c r="P2" s="163"/>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174" t="s">
        <v>148</v>
      </c>
      <c r="B16" s="174"/>
      <c r="C16" s="174"/>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60" t="str">
        <f ca="1">_xlfn.TEXTAFTER(CELL("filename",A1),"]")</f>
        <v>oz.Depreciateλ</v>
      </c>
      <c r="B1" s="160"/>
      <c r="C1" s="160"/>
      <c r="D1" s="160"/>
      <c r="E1" s="160"/>
      <c r="F1" s="160"/>
      <c r="G1" s="160"/>
      <c r="H1" s="160"/>
      <c r="I1" s="160"/>
      <c r="J1" s="160"/>
      <c r="K1" s="160"/>
      <c r="L1" s="160"/>
      <c r="M1" s="160"/>
      <c r="N1" s="160"/>
      <c r="O1" s="160"/>
      <c r="P1" s="160"/>
      <c r="Q1" s="160"/>
    </row>
    <row r="2" spans="1:18" x14ac:dyDescent="0.25">
      <c r="A2" s="161" t="s">
        <v>84</v>
      </c>
      <c r="B2" s="186"/>
      <c r="C2" s="186"/>
      <c r="D2" s="186"/>
      <c r="E2" s="186"/>
      <c r="F2" s="186"/>
      <c r="G2" s="186"/>
      <c r="H2" s="186"/>
      <c r="I2" s="186"/>
      <c r="J2" s="186"/>
      <c r="K2" s="186"/>
      <c r="L2" s="186"/>
      <c r="M2" s="186"/>
      <c r="N2" s="186"/>
      <c r="O2" s="186"/>
      <c r="P2" s="186"/>
      <c r="Q2" s="187"/>
    </row>
    <row r="3" spans="1:18" x14ac:dyDescent="0.25">
      <c r="A3" s="4"/>
      <c r="B3" s="4"/>
      <c r="C3" s="4"/>
      <c r="D3" s="4"/>
      <c r="E3" s="4"/>
      <c r="F3" s="4"/>
      <c r="G3" s="4"/>
      <c r="H3" s="4"/>
      <c r="I3" s="4"/>
      <c r="J3" s="4"/>
      <c r="K3" s="189"/>
      <c r="L3" s="189"/>
      <c r="M3" s="189"/>
      <c r="N3" s="189"/>
      <c r="O3" s="189"/>
      <c r="P3" s="189"/>
      <c r="Q3" s="189"/>
      <c r="R3" s="189"/>
    </row>
    <row r="4" spans="1:18" x14ac:dyDescent="0.25">
      <c r="A4" s="55" t="str" cm="1">
        <f t="array" ref="A4:B30">oz.Depreciateλ()</f>
        <v>FUNCTION:</v>
      </c>
      <c r="B4" t="str">
        <v>Depreciateλ(InitialValues, InServiceDates, LifeInYears, Timeline,</v>
      </c>
      <c r="K4" s="189"/>
      <c r="L4" s="189"/>
      <c r="M4" s="189"/>
      <c r="N4" s="189"/>
      <c r="O4" s="189"/>
      <c r="P4" s="189"/>
      <c r="Q4" s="189"/>
      <c r="R4" s="189"/>
    </row>
    <row r="5" spans="1:18" x14ac:dyDescent="0.25">
      <c r="A5" t="str">
        <v/>
      </c>
      <c r="B5" t="str">
        <v>[SalvageValues], [DisposalDates], [DisposalCosts], [Methods], [Factors])</v>
      </c>
      <c r="K5" s="189"/>
      <c r="L5" s="189"/>
      <c r="M5" s="189"/>
      <c r="N5" s="189"/>
      <c r="O5" s="189"/>
      <c r="P5" s="189"/>
      <c r="Q5" s="189"/>
      <c r="R5" s="189"/>
    </row>
    <row r="6" spans="1:18" x14ac:dyDescent="0.25">
      <c r="A6" t="str">
        <v>DESCRIPTION:</v>
      </c>
      <c r="B6" t="str">
        <v>Creates an array of CAPEX, depreciation, and book values for a model's timeline</v>
      </c>
      <c r="K6" s="189"/>
      <c r="L6" s="189"/>
      <c r="M6" s="189"/>
      <c r="N6" s="189"/>
      <c r="O6" s="189"/>
      <c r="P6" s="189"/>
      <c r="Q6" s="189"/>
      <c r="R6" s="189"/>
    </row>
    <row r="7" spans="1:18" x14ac:dyDescent="0.25">
      <c r="A7" t="str">
        <v>WEBPAGE:</v>
      </c>
      <c r="B7" t="str">
        <v>https://github.com/ryanduguid/Ozzit</v>
      </c>
      <c r="K7" s="189"/>
      <c r="L7" s="189"/>
      <c r="M7" s="189"/>
      <c r="N7" s="189"/>
      <c r="O7" s="189"/>
      <c r="P7" s="189"/>
      <c r="Q7" s="189"/>
      <c r="R7" s="189"/>
    </row>
    <row r="8" spans="1:18" x14ac:dyDescent="0.25">
      <c r="A8" t="str">
        <v>VERSION:</v>
      </c>
      <c r="B8" t="str">
        <v>20 Aug 2026</v>
      </c>
      <c r="K8" s="189"/>
      <c r="L8" s="189"/>
      <c r="M8" s="189"/>
      <c r="N8" s="189"/>
      <c r="O8" s="189"/>
      <c r="P8" s="189"/>
      <c r="Q8" s="189"/>
      <c r="R8" s="189"/>
    </row>
    <row r="9" spans="1:18" x14ac:dyDescent="0.25">
      <c r="A9" t="str">
        <v>NOTES:</v>
      </c>
      <c r="B9" t="str">
        <v>The methods used here differ from Excel's functions in several ways. Please see webpage for details.</v>
      </c>
      <c r="K9" s="189"/>
      <c r="L9" s="189"/>
      <c r="M9" s="189"/>
      <c r="N9" s="189"/>
      <c r="O9" s="189"/>
      <c r="P9" s="189"/>
      <c r="Q9" s="189"/>
      <c r="R9" s="189"/>
    </row>
    <row r="10" spans="1:18" x14ac:dyDescent="0.25">
      <c r="A10" t="str">
        <v>PARAMETERS:</v>
      </c>
      <c r="B10" t="str">
        <v/>
      </c>
      <c r="K10" s="189"/>
      <c r="L10" s="189"/>
      <c r="M10" s="189"/>
      <c r="N10" s="189"/>
      <c r="O10" s="189"/>
      <c r="P10" s="189"/>
      <c r="Q10" s="189"/>
      <c r="R10" s="189"/>
    </row>
    <row r="11" spans="1:18" x14ac:dyDescent="0.25">
      <c r="A11" t="str">
        <v>InitialValues</v>
      </c>
      <c r="B11" t="str">
        <v>(Required) The purchase values of each asset to depreciate</v>
      </c>
      <c r="K11" s="189"/>
      <c r="L11" s="189"/>
      <c r="M11" s="189"/>
      <c r="N11" s="189"/>
      <c r="O11" s="189"/>
      <c r="P11" s="189"/>
      <c r="Q11" s="189"/>
      <c r="R11" s="189"/>
    </row>
    <row r="12" spans="1:18" x14ac:dyDescent="0.25">
      <c r="A12" t="str">
        <v>InServiceDates</v>
      </c>
      <c r="B12" t="str">
        <v>(Required) The dates from which to start depreciating each asset</v>
      </c>
      <c r="K12" s="189"/>
      <c r="L12" s="189"/>
      <c r="M12" s="189"/>
      <c r="N12" s="189"/>
      <c r="O12" s="189"/>
      <c r="P12" s="189"/>
      <c r="Q12" s="189"/>
      <c r="R12" s="189"/>
    </row>
    <row r="13" spans="1:18" x14ac:dyDescent="0.25">
      <c r="A13" t="str">
        <v>LifeInYears</v>
      </c>
      <c r="B13" t="str">
        <v>(Required) The whole number of years over which to depreciate each asset.</v>
      </c>
      <c r="K13" s="189"/>
      <c r="L13" s="189"/>
      <c r="M13" s="189"/>
      <c r="N13" s="189"/>
      <c r="O13" s="189"/>
      <c r="P13" s="189"/>
      <c r="Q13" s="189"/>
      <c r="R13" s="189"/>
    </row>
    <row r="14" spans="1:18" x14ac:dyDescent="0.25">
      <c r="A14" t="str">
        <v/>
      </c>
      <c r="B14" t="str">
        <v>More than 0 and no more than 100. A date here is not a life:</v>
      </c>
      <c r="K14" s="189"/>
      <c r="L14" s="189"/>
      <c r="M14" s="189"/>
      <c r="N14" s="189"/>
      <c r="O14" s="189"/>
      <c r="P14" s="189"/>
      <c r="Q14" s="189"/>
      <c r="R14" s="189"/>
    </row>
    <row r="15" spans="1:18" x14ac:dyDescent="0.25">
      <c r="A15" t="str">
        <v/>
      </c>
      <c r="B15" t="str">
        <v>the arguments read InitialValues, InServiceDates, LifeInYears, Timeline.</v>
      </c>
      <c r="K15" s="189"/>
      <c r="L15" s="189"/>
      <c r="M15" s="189"/>
      <c r="N15" s="189"/>
      <c r="O15" s="189"/>
      <c r="P15" s="189"/>
      <c r="Q15" s="189"/>
      <c r="R15" s="189"/>
    </row>
    <row r="16" spans="1:18" x14ac:dyDescent="0.25">
      <c r="A16" t="str">
        <v>Timeline</v>
      </c>
      <c r="B16" t="str">
        <v>(Required) The model's timeline or a row of period start dates.</v>
      </c>
      <c r="K16" s="189"/>
      <c r="L16" s="189"/>
      <c r="M16" s="189"/>
      <c r="N16" s="189"/>
      <c r="O16" s="189"/>
      <c r="P16" s="189"/>
      <c r="Q16" s="189"/>
      <c r="R16" s="189"/>
    </row>
    <row r="17" spans="1:18" x14ac:dyDescent="0.25">
      <c r="A17" t="str">
        <v/>
      </c>
      <c r="B17" t="str">
        <v>Timeline can be any interval: days, weeks, months, quarters or years</v>
      </c>
      <c r="K17" s="189"/>
      <c r="L17" s="189"/>
      <c r="M17" s="189"/>
      <c r="N17" s="189"/>
      <c r="O17" s="189"/>
      <c r="P17" s="189"/>
      <c r="Q17" s="189"/>
      <c r="R17" s="189"/>
    </row>
    <row r="18" spans="1:18" x14ac:dyDescent="0.25">
      <c r="A18" t="str">
        <v>SalvageValues</v>
      </c>
      <c r="B18" t="str">
        <v>(Optional: Default = 0) The book values of each asset after fully depreciated.</v>
      </c>
      <c r="K18" s="189"/>
      <c r="L18" s="189"/>
      <c r="M18" s="189"/>
      <c r="N18" s="189"/>
      <c r="O18" s="189"/>
      <c r="P18" s="189"/>
      <c r="Q18" s="189"/>
      <c r="R18" s="189"/>
    </row>
    <row r="19" spans="1:18" x14ac:dyDescent="0.25">
      <c r="A19" t="str">
        <v>DisposalDates</v>
      </c>
      <c r="B19" t="str">
        <v>(Optional: Default = End of life) The dates on which the assets are removed from the books.</v>
      </c>
      <c r="K19" s="189"/>
      <c r="L19" s="189"/>
      <c r="M19" s="189"/>
      <c r="N19" s="189"/>
      <c r="O19" s="189"/>
      <c r="P19" s="189"/>
      <c r="Q19" s="189"/>
      <c r="R19" s="189"/>
    </row>
    <row r="20" spans="1:18" x14ac:dyDescent="0.25">
      <c r="A20" t="str">
        <v/>
      </c>
      <c r="B20" t="str">
        <v>A disposal before the end of life writes the remaining book value off in that month.</v>
      </c>
      <c r="K20" s="189"/>
      <c r="L20" s="189"/>
      <c r="M20" s="189"/>
      <c r="N20" s="189"/>
      <c r="O20" s="189"/>
      <c r="P20" s="189"/>
      <c r="Q20" s="189"/>
      <c r="R20" s="189"/>
    </row>
    <row r="21" spans="1:18" x14ac:dyDescent="0.25">
      <c r="A21" t="str">
        <v>DisposalCosts</v>
      </c>
      <c r="B21" t="str">
        <v>(Optional: Default = 0) The costs of removing each asset from the books, charged in the disposal period.</v>
      </c>
      <c r="K21" s="189"/>
      <c r="L21" s="189"/>
      <c r="M21" s="189"/>
      <c r="N21" s="189"/>
      <c r="O21" s="189"/>
      <c r="P21" s="189"/>
      <c r="Q21" s="189"/>
      <c r="R21" s="189"/>
    </row>
    <row r="22" spans="1:18" x14ac:dyDescent="0.25">
      <c r="A22" t="str">
        <v>Methods</v>
      </c>
      <c r="B22" t="str">
        <v>(Optional: Default = SLN) The desired depreciation method. Must be one of these method codes:</v>
      </c>
      <c r="K22" s="189"/>
      <c r="L22" s="189"/>
      <c r="M22" s="189"/>
      <c r="N22" s="189"/>
      <c r="O22" s="189"/>
      <c r="P22" s="189"/>
      <c r="Q22" s="189"/>
      <c r="R22" s="189"/>
    </row>
    <row r="23" spans="1:18" x14ac:dyDescent="0.25">
      <c r="A23" t="str">
        <v/>
      </c>
      <c r="B23" t="str">
        <v>SLN=Straight Line Depreciation</v>
      </c>
      <c r="K23" s="190" t="s">
        <v>211</v>
      </c>
      <c r="L23" s="190"/>
      <c r="M23" s="190"/>
      <c r="N23" s="190"/>
      <c r="O23" s="190"/>
      <c r="P23" s="190"/>
      <c r="Q23" s="190"/>
      <c r="R23" s="190"/>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174" t="s">
        <v>148</v>
      </c>
      <c r="B35" s="174"/>
      <c r="C35" s="174"/>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67" t="s">
        <v>171</v>
      </c>
      <c r="B43" s="168"/>
      <c r="C43" s="168"/>
      <c r="D43" s="168"/>
      <c r="E43" s="168"/>
      <c r="F43" s="168"/>
      <c r="G43" s="168"/>
      <c r="H43" s="188"/>
    </row>
    <row r="44" spans="1:131" x14ac:dyDescent="0.25">
      <c r="A44" s="184"/>
      <c r="B44" s="185"/>
      <c r="C44" s="185"/>
      <c r="D44" s="185"/>
      <c r="E44" s="185"/>
      <c r="F44" s="185"/>
      <c r="G44" s="185"/>
      <c r="H44" s="18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60" t="str">
        <f ca="1">_xlfn.TEXTAFTER(CELL("filename",A1),"]")</f>
        <v>oz.LabelDepreciateλ</v>
      </c>
      <c r="B1" s="160"/>
      <c r="C1" s="160"/>
      <c r="D1" s="160"/>
      <c r="E1" s="160"/>
      <c r="F1" s="160"/>
      <c r="G1" s="160"/>
      <c r="H1" s="160"/>
      <c r="I1" s="160"/>
      <c r="J1" s="160"/>
      <c r="K1" s="160"/>
      <c r="L1" s="160"/>
      <c r="M1" s="160"/>
      <c r="N1" s="160"/>
      <c r="O1" s="160"/>
      <c r="P1" s="160"/>
      <c r="Q1" s="160"/>
    </row>
    <row r="2" spans="1:20" x14ac:dyDescent="0.25">
      <c r="A2" s="161" t="s">
        <v>92</v>
      </c>
      <c r="B2" s="186"/>
      <c r="C2" s="186"/>
      <c r="D2" s="186"/>
      <c r="E2" s="186"/>
      <c r="F2" s="186"/>
      <c r="G2" s="186"/>
      <c r="H2" s="186"/>
      <c r="I2" s="186"/>
      <c r="J2" s="186"/>
      <c r="K2" s="186"/>
      <c r="L2" s="186"/>
      <c r="M2" s="186"/>
      <c r="N2" s="186"/>
      <c r="O2" s="186"/>
      <c r="P2" s="186"/>
      <c r="Q2" s="187"/>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191"/>
      <c r="N4" s="191"/>
      <c r="O4" s="191"/>
      <c r="P4" s="191"/>
      <c r="Q4" s="191"/>
      <c r="R4" s="191"/>
      <c r="S4" s="191"/>
      <c r="T4" s="191"/>
    </row>
    <row r="5" spans="1:20" x14ac:dyDescent="0.25">
      <c r="A5" t="str">
        <v>DESCRIPTION:</v>
      </c>
      <c r="B5" t="str">
        <v>Create row labels for the depreciation schedule array produced by Depreciateλ</v>
      </c>
      <c r="M5" s="191"/>
      <c r="N5" s="191"/>
      <c r="O5" s="191"/>
      <c r="P5" s="191"/>
      <c r="Q5" s="191"/>
      <c r="R5" s="191"/>
      <c r="S5" s="191"/>
      <c r="T5" s="191"/>
    </row>
    <row r="6" spans="1:20" x14ac:dyDescent="0.25">
      <c r="A6" t="str">
        <v>WEBPAGE:</v>
      </c>
      <c r="B6" t="str">
        <v>https://github.com/ryanduguid/Ozzit</v>
      </c>
      <c r="M6" s="191"/>
      <c r="N6" s="191"/>
      <c r="O6" s="191"/>
      <c r="P6" s="191"/>
      <c r="Q6" s="191"/>
      <c r="R6" s="191"/>
      <c r="S6" s="191"/>
      <c r="T6" s="191"/>
    </row>
    <row r="7" spans="1:20" x14ac:dyDescent="0.25">
      <c r="A7" t="str">
        <v>VERSION:</v>
      </c>
      <c r="B7" t="str">
        <v>20 Aug 2026</v>
      </c>
      <c r="K7" s="126"/>
      <c r="L7" s="126"/>
      <c r="M7" s="191"/>
      <c r="N7" s="191"/>
      <c r="O7" s="191"/>
      <c r="P7" s="191"/>
      <c r="Q7" s="191"/>
      <c r="R7" s="191"/>
      <c r="S7" s="191"/>
      <c r="T7" s="191"/>
    </row>
    <row r="8" spans="1:20" x14ac:dyDescent="0.25">
      <c r="A8" t="str">
        <v>PARAMETERS:</v>
      </c>
      <c r="B8" t="str">
        <v/>
      </c>
      <c r="K8" s="126"/>
      <c r="L8" s="126"/>
      <c r="M8" s="191"/>
      <c r="N8" s="191"/>
      <c r="O8" s="191"/>
      <c r="P8" s="191"/>
      <c r="Q8" s="191"/>
      <c r="R8" s="191"/>
      <c r="S8" s="191"/>
      <c r="T8" s="191"/>
    </row>
    <row r="9" spans="1:20" x14ac:dyDescent="0.25">
      <c r="A9" t="str">
        <v>AssetNames</v>
      </c>
      <c r="B9" t="str">
        <v>(Required) The names or descriptions of each asset in the depreciation schedule produced by Depreciateλ</v>
      </c>
      <c r="K9" s="126"/>
      <c r="L9" s="126"/>
      <c r="M9" s="191"/>
      <c r="N9" s="191"/>
      <c r="O9" s="191"/>
      <c r="P9" s="191"/>
      <c r="Q9" s="191"/>
      <c r="R9" s="191"/>
      <c r="S9" s="191"/>
      <c r="T9" s="191"/>
    </row>
    <row r="10" spans="1:20" x14ac:dyDescent="0.25">
      <c r="A10" t="str">
        <v>EXAMPLES:</v>
      </c>
      <c r="B10" t="str">
        <v/>
      </c>
      <c r="K10" s="126"/>
      <c r="L10" s="126"/>
      <c r="M10" s="191"/>
      <c r="N10" s="191"/>
      <c r="O10" s="191"/>
      <c r="P10" s="191"/>
      <c r="Q10" s="191"/>
      <c r="R10" s="191"/>
      <c r="S10" s="191"/>
      <c r="T10" s="191"/>
    </row>
    <row r="11" spans="1:20" x14ac:dyDescent="0.25">
      <c r="A11" t="str">
        <v>Result</v>
      </c>
      <c r="B11" t="str">
        <v>Formula (oz is assumed to be the module's name)</v>
      </c>
      <c r="K11" s="126"/>
      <c r="L11" s="126"/>
      <c r="M11" s="191"/>
      <c r="N11" s="191"/>
      <c r="O11" s="191"/>
      <c r="P11" s="191"/>
      <c r="Q11" s="191"/>
      <c r="R11" s="191"/>
      <c r="S11" s="191"/>
      <c r="T11" s="191"/>
    </row>
    <row r="12" spans="1:20" x14ac:dyDescent="0.25">
      <c r="A12" t="str">
        <v/>
      </c>
      <c r="B12" t="str">
        <v>=oz.LabelDepreciateλ(tblAssets[Asset Name])</v>
      </c>
      <c r="K12" s="126"/>
      <c r="L12" s="126"/>
      <c r="M12" s="191"/>
      <c r="N12" s="191"/>
      <c r="O12" s="191"/>
      <c r="P12" s="191"/>
      <c r="Q12" s="191"/>
      <c r="R12" s="191"/>
      <c r="S12" s="191"/>
      <c r="T12" s="191"/>
    </row>
    <row r="13" spans="1:20" x14ac:dyDescent="0.25">
      <c r="K13" s="126"/>
      <c r="L13" s="126"/>
      <c r="M13" s="191"/>
      <c r="N13" s="191"/>
      <c r="O13" s="191"/>
      <c r="P13" s="191"/>
      <c r="Q13" s="191"/>
      <c r="R13" s="191"/>
      <c r="S13" s="191"/>
      <c r="T13" s="191"/>
    </row>
    <row r="15" spans="1:20" ht="21" x14ac:dyDescent="0.35">
      <c r="A15" s="174" t="s">
        <v>148</v>
      </c>
      <c r="B15" s="174"/>
      <c r="C15" s="174"/>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67" t="s">
        <v>171</v>
      </c>
      <c r="B23" s="168"/>
      <c r="C23" s="168"/>
      <c r="D23" s="168"/>
      <c r="E23" s="168"/>
      <c r="F23" s="168"/>
      <c r="G23" s="168"/>
      <c r="H23" s="188"/>
    </row>
    <row r="24" spans="1:23" x14ac:dyDescent="0.25">
      <c r="A24" s="184"/>
      <c r="B24" s="185"/>
      <c r="C24" s="185"/>
      <c r="D24" s="185"/>
      <c r="E24" s="185"/>
      <c r="F24" s="185"/>
      <c r="G24" s="185"/>
      <c r="H24" s="185"/>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60" t="str">
        <f ca="1">_xlfn.TEXTAFTER(CELL("filename",A1),"]")</f>
        <v>oz.SumDepreciateλ</v>
      </c>
      <c r="B1" s="160"/>
      <c r="C1" s="160"/>
      <c r="D1" s="160"/>
      <c r="E1" s="160"/>
      <c r="F1" s="160"/>
      <c r="G1" s="160"/>
      <c r="H1" s="160"/>
      <c r="I1" s="160"/>
      <c r="J1" s="160"/>
      <c r="K1" s="160"/>
      <c r="L1" s="160"/>
      <c r="M1" s="160"/>
      <c r="N1" s="160"/>
      <c r="O1" s="160"/>
      <c r="P1" s="160"/>
      <c r="Q1" s="160"/>
    </row>
    <row r="2" spans="1:20" x14ac:dyDescent="0.25">
      <c r="A2" s="161" t="s">
        <v>243</v>
      </c>
      <c r="B2" s="186"/>
      <c r="C2" s="186"/>
      <c r="D2" s="186"/>
      <c r="E2" s="186"/>
      <c r="F2" s="186"/>
      <c r="G2" s="186"/>
      <c r="H2" s="186"/>
      <c r="I2" s="186"/>
      <c r="J2" s="186"/>
      <c r="K2" s="186"/>
      <c r="L2" s="186"/>
      <c r="M2" s="186"/>
      <c r="N2" s="186"/>
      <c r="O2" s="186"/>
      <c r="P2" s="186"/>
      <c r="Q2" s="187"/>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191"/>
      <c r="N4" s="191"/>
      <c r="O4" s="191"/>
      <c r="P4" s="191"/>
      <c r="Q4" s="191"/>
      <c r="R4" s="191"/>
      <c r="S4" s="191"/>
      <c r="T4" s="191"/>
    </row>
    <row r="5" spans="1:20" x14ac:dyDescent="0.25">
      <c r="A5" t="str">
        <v>DESCRIPTION:</v>
      </c>
      <c r="B5" t="str">
        <v>Create row totals for Depreciateλ</v>
      </c>
      <c r="M5" s="191"/>
      <c r="N5" s="191"/>
      <c r="O5" s="191"/>
      <c r="P5" s="191"/>
      <c r="Q5" s="191"/>
      <c r="R5" s="191"/>
      <c r="S5" s="191"/>
      <c r="T5" s="191"/>
    </row>
    <row r="6" spans="1:20" x14ac:dyDescent="0.25">
      <c r="A6" t="str">
        <v>WEBPAGE:</v>
      </c>
      <c r="B6" t="str">
        <v>https://github.com/ryanduguid/Ozzit</v>
      </c>
      <c r="M6" s="191"/>
      <c r="N6" s="191"/>
      <c r="O6" s="191"/>
      <c r="P6" s="191"/>
      <c r="Q6" s="191"/>
      <c r="R6" s="191"/>
      <c r="S6" s="191"/>
      <c r="T6" s="191"/>
    </row>
    <row r="7" spans="1:20" x14ac:dyDescent="0.25">
      <c r="A7" t="str">
        <v>VERSION:</v>
      </c>
      <c r="B7" t="str">
        <v>20 Aug 2026</v>
      </c>
      <c r="K7" s="126"/>
      <c r="L7" s="126"/>
      <c r="M7" s="191"/>
      <c r="N7" s="191"/>
      <c r="O7" s="191"/>
      <c r="P7" s="191"/>
      <c r="Q7" s="191"/>
      <c r="R7" s="191"/>
      <c r="S7" s="191"/>
      <c r="T7" s="191"/>
    </row>
    <row r="8" spans="1:20" x14ac:dyDescent="0.25">
      <c r="A8" t="str">
        <v>PARAMETERS:</v>
      </c>
      <c r="B8" t="str">
        <v/>
      </c>
      <c r="K8" s="126"/>
      <c r="L8" s="126"/>
      <c r="M8" s="191"/>
      <c r="N8" s="191"/>
      <c r="O8" s="191"/>
      <c r="P8" s="191"/>
      <c r="Q8" s="191"/>
      <c r="R8" s="191"/>
      <c r="S8" s="191"/>
      <c r="T8" s="191"/>
    </row>
    <row r="9" spans="1:20" x14ac:dyDescent="0.25">
      <c r="A9" t="str">
        <v>DepreciationSchedule</v>
      </c>
      <c r="B9" t="str">
        <v>(Required) An array produced by Depreciateλ</v>
      </c>
      <c r="K9" s="126"/>
      <c r="L9" s="126"/>
      <c r="M9" s="191"/>
      <c r="N9" s="191"/>
      <c r="O9" s="191"/>
      <c r="P9" s="191"/>
      <c r="Q9" s="191"/>
      <c r="R9" s="191"/>
      <c r="S9" s="191"/>
      <c r="T9" s="191"/>
    </row>
    <row r="10" spans="1:20" x14ac:dyDescent="0.25">
      <c r="A10" t="str">
        <v/>
      </c>
      <c r="B10" t="str">
        <v/>
      </c>
      <c r="K10" s="126"/>
      <c r="L10" s="126"/>
      <c r="M10" s="191"/>
      <c r="N10" s="191"/>
      <c r="O10" s="191"/>
      <c r="P10" s="191"/>
      <c r="Q10" s="191"/>
      <c r="R10" s="191"/>
      <c r="S10" s="191"/>
      <c r="T10" s="191"/>
    </row>
    <row r="11" spans="1:20" x14ac:dyDescent="0.25">
      <c r="A11" t="str">
        <v>EXAMPLES:</v>
      </c>
      <c r="B11" t="str">
        <v/>
      </c>
      <c r="K11" s="126"/>
      <c r="L11" s="126"/>
      <c r="M11" s="191"/>
      <c r="N11" s="191"/>
      <c r="O11" s="191"/>
      <c r="P11" s="191"/>
      <c r="Q11" s="191"/>
      <c r="R11" s="191"/>
      <c r="S11" s="191"/>
      <c r="T11" s="191"/>
    </row>
    <row r="12" spans="1:20" x14ac:dyDescent="0.25">
      <c r="A12" t="str">
        <v>Result</v>
      </c>
      <c r="B12" t="str">
        <v>Formula (oz is assumed to be the module's name)</v>
      </c>
      <c r="K12" s="126"/>
      <c r="L12" s="126"/>
      <c r="M12" s="191"/>
      <c r="N12" s="191"/>
      <c r="O12" s="191"/>
      <c r="P12" s="191"/>
      <c r="Q12" s="191"/>
      <c r="R12" s="191"/>
      <c r="S12" s="191"/>
      <c r="T12" s="191"/>
    </row>
    <row r="13" spans="1:20" x14ac:dyDescent="0.25">
      <c r="A13" t="str">
        <v/>
      </c>
      <c r="B13" t="str">
        <v>=oz.SumDepreciateλ(DepreciationSchedule)</v>
      </c>
      <c r="K13" s="126"/>
      <c r="L13" s="126"/>
      <c r="M13" s="191"/>
      <c r="N13" s="191"/>
      <c r="O13" s="191"/>
      <c r="P13" s="191"/>
      <c r="Q13" s="191"/>
      <c r="R13" s="191"/>
      <c r="S13" s="191"/>
      <c r="T13" s="191"/>
    </row>
    <row r="15" spans="1:20" ht="21" x14ac:dyDescent="0.35">
      <c r="A15" s="174" t="s">
        <v>148</v>
      </c>
      <c r="B15" s="174"/>
      <c r="C15" s="174"/>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67" t="s">
        <v>171</v>
      </c>
      <c r="B23" s="168"/>
      <c r="C23" s="168"/>
      <c r="D23" s="168"/>
      <c r="E23" s="168"/>
      <c r="F23" s="168"/>
      <c r="G23" s="168"/>
      <c r="H23" s="188"/>
    </row>
    <row r="24" spans="1:23" x14ac:dyDescent="0.25">
      <c r="A24" s="184"/>
      <c r="B24" s="185"/>
      <c r="C24" s="185"/>
      <c r="D24" s="185"/>
      <c r="E24" s="185"/>
      <c r="F24" s="185"/>
      <c r="G24" s="185"/>
      <c r="H24" s="185"/>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60" t="str">
        <f ca="1">_xlfn.TEXTAFTER(CELL("filename",A1),"]")</f>
        <v>oz.SumContainsλ</v>
      </c>
      <c r="B1" s="160"/>
      <c r="C1" s="160"/>
      <c r="D1" s="160"/>
      <c r="E1" s="160"/>
      <c r="F1" s="160"/>
      <c r="G1" s="160"/>
      <c r="H1" s="160"/>
      <c r="I1" s="160"/>
      <c r="J1" s="160"/>
      <c r="K1" s="160"/>
      <c r="L1" s="160"/>
      <c r="M1" s="160"/>
      <c r="N1" s="160"/>
      <c r="O1" s="160"/>
      <c r="P1" s="160"/>
      <c r="Q1" s="160"/>
    </row>
    <row r="2" spans="1:20" x14ac:dyDescent="0.25">
      <c r="A2" s="161" t="s">
        <v>244</v>
      </c>
      <c r="B2" s="186"/>
      <c r="C2" s="186"/>
      <c r="D2" s="186"/>
      <c r="E2" s="186"/>
      <c r="F2" s="186"/>
      <c r="G2" s="186"/>
      <c r="H2" s="186"/>
      <c r="I2" s="186"/>
      <c r="J2" s="186"/>
      <c r="K2" s="186"/>
      <c r="L2" s="186"/>
      <c r="M2" s="186"/>
      <c r="N2" s="186"/>
      <c r="O2" s="186"/>
      <c r="P2" s="186"/>
      <c r="Q2" s="187"/>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191"/>
      <c r="N4" s="191"/>
      <c r="O4" s="191"/>
      <c r="P4" s="191"/>
      <c r="Q4" s="191"/>
      <c r="R4" s="191"/>
      <c r="S4" s="191"/>
      <c r="T4" s="191"/>
    </row>
    <row r="5" spans="1:20" x14ac:dyDescent="0.25">
      <c r="A5" t="str">
        <v>DESCRIPTION:</v>
      </c>
      <c r="B5" t="str">
        <v>Creates a row of column totals for each row in an array where</v>
      </c>
      <c r="M5" s="191"/>
      <c r="N5" s="191"/>
      <c r="O5" s="191"/>
      <c r="P5" s="191"/>
      <c r="Q5" s="191"/>
      <c r="R5" s="191"/>
      <c r="S5" s="191"/>
      <c r="T5" s="191"/>
    </row>
    <row r="6" spans="1:20" x14ac:dyDescent="0.25">
      <c r="A6" t="str">
        <v/>
      </c>
      <c r="B6" t="str">
        <v>its labels contain a unique letter, word, or phrase.</v>
      </c>
      <c r="M6" s="191"/>
      <c r="N6" s="191"/>
      <c r="O6" s="191"/>
      <c r="P6" s="191"/>
      <c r="Q6" s="191"/>
      <c r="R6" s="191"/>
      <c r="S6" s="191"/>
      <c r="T6" s="191"/>
    </row>
    <row r="7" spans="1:20" x14ac:dyDescent="0.25">
      <c r="A7" t="str">
        <v>SEE ALSO:</v>
      </c>
      <c r="B7" t="str">
        <v>Excel 365 now has GROUPBY and PIVOTBY for formula-driven aggregation.</v>
      </c>
      <c r="K7" s="126"/>
      <c r="L7" s="126"/>
      <c r="M7" s="191"/>
      <c r="N7" s="191"/>
      <c r="O7" s="191"/>
      <c r="P7" s="191"/>
      <c r="Q7" s="191"/>
      <c r="R7" s="191"/>
      <c r="S7" s="191"/>
      <c r="T7" s="191"/>
    </row>
    <row r="8" spans="1:20" x14ac:dyDescent="0.25">
      <c r="A8" t="str">
        <v>WEBPAGE:</v>
      </c>
      <c r="B8" t="str">
        <v>https://github.com/ryanduguid/Ozzit</v>
      </c>
      <c r="K8" s="126"/>
      <c r="L8" s="126"/>
      <c r="M8" s="191"/>
      <c r="N8" s="191"/>
      <c r="O8" s="191"/>
      <c r="P8" s="191"/>
      <c r="Q8" s="191"/>
      <c r="R8" s="191"/>
      <c r="S8" s="191"/>
      <c r="T8" s="191"/>
    </row>
    <row r="9" spans="1:20" x14ac:dyDescent="0.25">
      <c r="A9" t="str">
        <v>VERSION:</v>
      </c>
      <c r="B9" t="str">
        <v>20 Aug 2026</v>
      </c>
      <c r="K9" s="126"/>
      <c r="L9" s="126"/>
      <c r="M9" s="191"/>
      <c r="N9" s="191"/>
      <c r="O9" s="191"/>
      <c r="P9" s="191"/>
      <c r="Q9" s="191"/>
      <c r="R9" s="191"/>
      <c r="S9" s="191"/>
      <c r="T9" s="191"/>
    </row>
    <row r="10" spans="1:20" x14ac:dyDescent="0.25">
      <c r="A10" t="str">
        <v>PARAMETERS:</v>
      </c>
      <c r="B10" t="str">
        <v/>
      </c>
      <c r="K10" s="126"/>
      <c r="L10" s="126"/>
      <c r="M10" s="191"/>
      <c r="N10" s="191"/>
      <c r="O10" s="191"/>
      <c r="P10" s="191"/>
      <c r="Q10" s="191"/>
      <c r="R10" s="191"/>
      <c r="S10" s="191"/>
      <c r="T10" s="191"/>
    </row>
    <row r="11" spans="1:20" x14ac:dyDescent="0.25">
      <c r="A11" t="str">
        <v>ValuesToFilter</v>
      </c>
      <c r="B11" t="str">
        <v>(Required) An array of values to be filtered</v>
      </c>
      <c r="K11" s="126"/>
      <c r="L11" s="126"/>
      <c r="M11" s="191"/>
      <c r="N11" s="191"/>
      <c r="O11" s="191"/>
      <c r="P11" s="191"/>
      <c r="Q11" s="191"/>
      <c r="R11" s="191"/>
      <c r="S11" s="191"/>
      <c r="T11" s="191"/>
    </row>
    <row r="12" spans="1:20" x14ac:dyDescent="0.25">
      <c r="A12" t="str">
        <v>ValueLabels</v>
      </c>
      <c r="B12" t="str">
        <v>(Required) An array containing the values' labels</v>
      </c>
      <c r="K12" s="126"/>
      <c r="L12" s="126"/>
      <c r="M12" s="191"/>
      <c r="N12" s="191"/>
      <c r="O12" s="191"/>
      <c r="P12" s="191"/>
      <c r="Q12" s="191"/>
      <c r="R12" s="191"/>
      <c r="S12" s="191"/>
      <c r="T12" s="191"/>
    </row>
    <row r="13" spans="1:20" x14ac:dyDescent="0.25">
      <c r="A13" t="str">
        <v>FilterByText</v>
      </c>
      <c r="B13" t="str">
        <v>(Required) A unique letter, word or phrase to find contained in ValueLabels</v>
      </c>
      <c r="K13" s="126"/>
      <c r="L13" s="126"/>
      <c r="M13" s="191"/>
      <c r="N13" s="191"/>
      <c r="O13" s="191"/>
      <c r="P13" s="191"/>
      <c r="Q13" s="191"/>
      <c r="R13" s="191"/>
      <c r="S13" s="191"/>
      <c r="T13" s="191"/>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174" t="s">
        <v>148</v>
      </c>
      <c r="B18" s="174"/>
      <c r="C18" s="174"/>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67" t="s">
        <v>171</v>
      </c>
      <c r="B26" s="168"/>
      <c r="C26" s="168"/>
      <c r="D26" s="168"/>
      <c r="E26" s="168"/>
      <c r="F26" s="168"/>
      <c r="G26" s="168"/>
      <c r="H26" s="188"/>
    </row>
    <row r="27" spans="1:23" x14ac:dyDescent="0.25">
      <c r="A27" s="184"/>
      <c r="B27" s="185"/>
      <c r="C27" s="185"/>
      <c r="D27" s="185"/>
      <c r="E27" s="185"/>
      <c r="F27" s="185"/>
      <c r="G27" s="185"/>
      <c r="H27" s="185"/>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60" t="str">
        <f ca="1">_xlfn.TEXTAFTER(CELL("filename",A1),"]")</f>
        <v>oz.IntOnIntλ</v>
      </c>
      <c r="B1" s="160"/>
      <c r="C1" s="160"/>
      <c r="D1" s="160"/>
      <c r="E1" s="160"/>
      <c r="F1" s="160"/>
      <c r="G1" s="160"/>
      <c r="H1" s="160"/>
      <c r="I1" s="160"/>
      <c r="J1" s="160"/>
      <c r="K1" s="160"/>
      <c r="L1" s="160"/>
      <c r="M1" s="160"/>
      <c r="N1" s="160"/>
      <c r="O1" s="160"/>
      <c r="P1" s="160"/>
    </row>
    <row r="2" spans="1:17" x14ac:dyDescent="0.25">
      <c r="A2" s="161" t="s">
        <v>85</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174" t="s">
        <v>148</v>
      </c>
      <c r="B17" s="174"/>
      <c r="C17" s="174"/>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192"/>
      <c r="B24" s="192"/>
      <c r="C24" s="192"/>
      <c r="D24" s="192"/>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171" t="s">
        <v>191</v>
      </c>
      <c r="B25" s="175"/>
      <c r="C25" s="175"/>
      <c r="D25" s="175"/>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173"/>
      <c r="B26" s="172"/>
      <c r="C26" s="172"/>
      <c r="D26" s="172"/>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60" t="str">
        <f ca="1">_xlfn.TEXTAFTER(CELL("filename",A1),"]")</f>
        <v>oz.IRRλ</v>
      </c>
      <c r="B1" s="160"/>
      <c r="C1" s="160"/>
      <c r="D1" s="160"/>
      <c r="E1" s="160"/>
      <c r="F1" s="160"/>
      <c r="G1" s="160"/>
      <c r="H1" s="160"/>
      <c r="I1" s="160"/>
      <c r="J1" s="160"/>
    </row>
    <row r="2" spans="1:18" x14ac:dyDescent="0.25">
      <c r="A2" s="161" t="s">
        <v>86</v>
      </c>
      <c r="B2" s="166"/>
      <c r="C2" s="166"/>
      <c r="D2" s="166"/>
      <c r="E2" s="166"/>
      <c r="F2" s="166"/>
      <c r="G2" s="166"/>
      <c r="H2" s="166"/>
      <c r="I2" s="166"/>
      <c r="J2" s="166"/>
      <c r="K2" s="166"/>
      <c r="L2" s="166"/>
      <c r="M2" s="166"/>
      <c r="N2" s="166"/>
      <c r="O2" s="166"/>
      <c r="P2" s="166"/>
      <c r="Q2" s="166"/>
      <c r="R2" s="166"/>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174" t="s">
        <v>148</v>
      </c>
      <c r="B23" s="174"/>
      <c r="C23" s="174"/>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60" t="str">
        <f ca="1">_xlfn.TEXTAFTER(CELL("filename",A1),"]")</f>
        <v>oz.Reversalλ</v>
      </c>
      <c r="B1" s="160"/>
      <c r="C1" s="160"/>
      <c r="D1" s="160"/>
      <c r="E1" s="160"/>
      <c r="F1" s="160"/>
      <c r="G1" s="160"/>
      <c r="H1" s="160"/>
      <c r="I1" s="160"/>
      <c r="J1" s="160"/>
      <c r="K1" s="160"/>
      <c r="L1" s="160"/>
      <c r="M1" s="160"/>
      <c r="N1" s="160"/>
      <c r="O1" s="160"/>
      <c r="P1" s="160"/>
    </row>
    <row r="2" spans="1:18" x14ac:dyDescent="0.25">
      <c r="A2" s="161" t="s">
        <v>300</v>
      </c>
      <c r="B2" s="166"/>
      <c r="C2" s="166"/>
      <c r="D2" s="166"/>
      <c r="E2" s="166"/>
      <c r="F2" s="166"/>
      <c r="G2" s="166"/>
      <c r="H2" s="166"/>
      <c r="I2" s="166"/>
      <c r="J2" s="166"/>
      <c r="K2" s="166"/>
      <c r="L2" s="166"/>
      <c r="M2" s="166"/>
      <c r="N2" s="166"/>
      <c r="O2" s="166"/>
      <c r="P2" s="166"/>
      <c r="Q2" s="166"/>
      <c r="R2" s="166"/>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174" t="s">
        <v>148</v>
      </c>
      <c r="B17" s="174"/>
      <c r="C17" s="174"/>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60" t="str">
        <f ca="1">_xlfn.TEXTAFTER(CELL("filename",A1),"]")</f>
        <v>oz.Movementλ</v>
      </c>
      <c r="B1" s="160"/>
      <c r="C1" s="160"/>
      <c r="D1" s="160"/>
      <c r="E1" s="160"/>
      <c r="F1" s="160"/>
      <c r="G1" s="160"/>
      <c r="H1" s="160"/>
      <c r="I1" s="160"/>
      <c r="J1" s="160"/>
      <c r="K1" s="160"/>
      <c r="L1" s="160"/>
      <c r="M1" s="160"/>
      <c r="N1" s="160"/>
      <c r="O1" s="160"/>
      <c r="P1" s="160"/>
    </row>
    <row r="2" spans="1:16" x14ac:dyDescent="0.25">
      <c r="A2" s="161" t="s">
        <v>87</v>
      </c>
      <c r="B2" s="162"/>
      <c r="C2" s="162"/>
      <c r="D2" s="162"/>
      <c r="E2" s="162"/>
      <c r="F2" s="162"/>
      <c r="G2" s="162"/>
      <c r="H2" s="162"/>
      <c r="I2" s="162"/>
      <c r="J2" s="162"/>
      <c r="K2" s="162"/>
      <c r="L2" s="162"/>
      <c r="M2" s="162"/>
      <c r="N2" s="162"/>
      <c r="O2" s="162"/>
      <c r="P2" s="163"/>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174" t="s">
        <v>148</v>
      </c>
      <c r="B15" s="174"/>
      <c r="C15" s="174"/>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60" t="str">
        <f ca="1">_xlfn.TEXTAFTER(CELL("filename",A1),"]")</f>
        <v>oz.RollingSumλ</v>
      </c>
      <c r="B1" s="160"/>
      <c r="C1" s="160"/>
      <c r="D1" s="160"/>
      <c r="E1" s="160"/>
      <c r="F1" s="160"/>
      <c r="G1" s="160"/>
      <c r="H1" s="160"/>
      <c r="I1" s="160"/>
      <c r="J1" s="160"/>
      <c r="K1" s="160"/>
      <c r="L1" s="160"/>
      <c r="M1" s="160"/>
      <c r="N1" s="160"/>
      <c r="O1" s="160"/>
      <c r="P1" s="160"/>
    </row>
    <row r="2" spans="1:18" x14ac:dyDescent="0.25">
      <c r="A2" s="161" t="s">
        <v>245</v>
      </c>
      <c r="B2" s="166"/>
      <c r="C2" s="166"/>
      <c r="D2" s="166"/>
      <c r="E2" s="166"/>
      <c r="F2" s="166"/>
      <c r="G2" s="166"/>
      <c r="H2" s="166"/>
      <c r="I2" s="166"/>
      <c r="J2" s="166"/>
      <c r="K2" s="166"/>
      <c r="L2" s="166"/>
      <c r="M2" s="166"/>
      <c r="N2" s="166"/>
      <c r="O2" s="166"/>
      <c r="P2" s="166"/>
      <c r="Q2" s="166"/>
      <c r="R2" s="166"/>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174" t="s">
        <v>148</v>
      </c>
      <c r="B17" s="174"/>
      <c r="C17" s="174"/>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60" t="str">
        <f ca="1">_xlfn.TEXTAFTER(CELL("filename",A1),"]")</f>
        <v>oz.SumPeriodsλ</v>
      </c>
      <c r="B1" s="160"/>
      <c r="C1" s="160"/>
      <c r="D1" s="160"/>
      <c r="E1" s="160"/>
      <c r="F1" s="160"/>
      <c r="G1" s="160"/>
      <c r="H1" s="160"/>
      <c r="I1" s="160"/>
      <c r="J1" s="160"/>
      <c r="K1" s="160"/>
      <c r="L1" s="160"/>
      <c r="M1" s="160"/>
      <c r="N1" s="160"/>
      <c r="O1" s="160"/>
      <c r="P1" s="160"/>
      <c r="Q1" s="160"/>
    </row>
    <row r="2" spans="1:17" x14ac:dyDescent="0.25">
      <c r="A2" s="161" t="s">
        <v>90</v>
      </c>
      <c r="B2" s="162"/>
      <c r="C2" s="162"/>
      <c r="D2" s="162"/>
      <c r="E2" s="162"/>
      <c r="F2" s="162"/>
      <c r="G2" s="162"/>
      <c r="H2" s="162"/>
      <c r="I2" s="162"/>
      <c r="J2" s="162"/>
      <c r="K2" s="162"/>
      <c r="L2" s="162"/>
      <c r="M2" s="162"/>
      <c r="N2" s="162"/>
      <c r="O2" s="163"/>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193" t="s">
        <v>97</v>
      </c>
      <c r="B21" s="193"/>
      <c r="C21" s="193"/>
      <c r="D21" s="193"/>
      <c r="E21" s="193"/>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60" t="str">
        <f ca="1">_xlfn.TEXTAFTER(CELL("filename",A1),"]")</f>
        <v>oz.TimelineOffsetλ</v>
      </c>
      <c r="B1" s="160"/>
      <c r="C1" s="160"/>
      <c r="D1" s="160"/>
      <c r="E1" s="160"/>
      <c r="F1" s="160"/>
      <c r="G1" s="160"/>
      <c r="H1" s="160"/>
      <c r="I1" s="160"/>
      <c r="J1" s="160"/>
      <c r="K1" s="160"/>
      <c r="L1" s="160"/>
      <c r="M1" s="160"/>
      <c r="N1" s="160"/>
      <c r="O1" s="160"/>
      <c r="P1" s="160"/>
    </row>
    <row r="2" spans="1:18" x14ac:dyDescent="0.25">
      <c r="A2" s="161" t="s">
        <v>93</v>
      </c>
      <c r="B2" s="166"/>
      <c r="C2" s="166"/>
      <c r="D2" s="166"/>
      <c r="E2" s="166"/>
      <c r="F2" s="166"/>
      <c r="G2" s="166"/>
      <c r="H2" s="166"/>
      <c r="I2" s="166"/>
      <c r="J2" s="166"/>
      <c r="K2" s="166"/>
      <c r="L2" s="166"/>
      <c r="M2" s="166"/>
      <c r="N2" s="166"/>
      <c r="O2" s="166"/>
      <c r="P2" s="166"/>
      <c r="Q2" s="166"/>
      <c r="R2" s="166"/>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60" t="str">
        <f ca="1">_xlfn.TEXTAFTER(CELL("filename",A1),"]")</f>
        <v>oz.TimelinePositionλ</v>
      </c>
      <c r="B1" s="160"/>
      <c r="C1" s="160"/>
      <c r="D1" s="160"/>
      <c r="E1" s="160"/>
      <c r="F1" s="160"/>
      <c r="G1" s="160"/>
      <c r="H1" s="160"/>
      <c r="I1" s="160"/>
      <c r="J1" s="160"/>
      <c r="K1" s="160"/>
      <c r="L1" s="160"/>
      <c r="M1" s="160"/>
      <c r="N1" s="160"/>
      <c r="O1" s="160"/>
      <c r="P1" s="160"/>
    </row>
    <row r="2" spans="1:17" x14ac:dyDescent="0.25">
      <c r="A2" s="161" t="s">
        <v>94</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174" t="s">
        <v>193</v>
      </c>
      <c r="B20" s="174"/>
      <c r="C20" s="174"/>
      <c r="G20" s="164" t="s">
        <v>201</v>
      </c>
      <c r="H20" s="179"/>
      <c r="I20" s="179"/>
      <c r="J20" s="179"/>
      <c r="K20" s="179"/>
      <c r="L20" s="179"/>
      <c r="M20" s="179"/>
      <c r="N20" s="179"/>
      <c r="O20" s="179"/>
      <c r="P20" s="179"/>
      <c r="Q20" s="179"/>
      <c r="R20" s="179"/>
      <c r="S20" s="179"/>
      <c r="T20" s="179"/>
      <c r="U20" s="179"/>
      <c r="V20" s="179"/>
      <c r="W20" s="165"/>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64" t="s">
        <v>200</v>
      </c>
      <c r="H30" s="179"/>
      <c r="I30" s="179"/>
      <c r="J30" s="179"/>
      <c r="K30" s="179"/>
      <c r="L30" s="179"/>
      <c r="M30" s="179"/>
      <c r="N30" s="179"/>
      <c r="O30" s="179"/>
      <c r="P30" s="179"/>
      <c r="Q30" s="179"/>
      <c r="R30" s="179"/>
      <c r="S30" s="179"/>
      <c r="T30" s="179"/>
      <c r="U30" s="179"/>
      <c r="V30" s="179"/>
      <c r="W30" s="165"/>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9" priority="7">
      <formula>MOD(ROW(),2)=0</formula>
    </cfRule>
  </conditionalFormatting>
  <conditionalFormatting sqref="G33:H33">
    <cfRule type="expression" dxfId="8" priority="1">
      <formula>FIND("Closing",$G33)</formula>
    </cfRule>
  </conditionalFormatting>
  <conditionalFormatting sqref="G23:W28">
    <cfRule type="expression" dxfId="7" priority="9">
      <formula>FIND("Closing",$G23)</formula>
    </cfRule>
  </conditionalFormatting>
  <conditionalFormatting sqref="H27:H28">
    <cfRule type="expression" dxfId="6"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60" t="str">
        <f ca="1">_xlfn.TEXTAFTER(CELL("filename",A1),"]")</f>
        <v>oz.AboutEssentialsλ</v>
      </c>
      <c r="B1" s="160"/>
      <c r="C1" s="160"/>
      <c r="D1" s="160"/>
      <c r="E1" s="160"/>
      <c r="F1" s="6"/>
      <c r="G1" s="6"/>
      <c r="H1" s="6"/>
      <c r="I1" s="6"/>
    </row>
    <row r="2" spans="1:9" x14ac:dyDescent="0.25">
      <c r="A2" s="161" t="s">
        <v>255</v>
      </c>
      <c r="B2" s="162"/>
      <c r="C2" s="162"/>
      <c r="D2" s="162"/>
      <c r="E2" s="162"/>
      <c r="F2" s="162"/>
      <c r="G2" s="162"/>
      <c r="H2" s="162"/>
      <c r="I2" s="163"/>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60" t="str">
        <f ca="1">_xlfn.TEXTAFTER(CELL("filename",A1),"]")</f>
        <v>oz.CountCλ</v>
      </c>
      <c r="B1" s="160"/>
      <c r="C1" s="160"/>
      <c r="D1" s="160"/>
      <c r="E1" s="160"/>
      <c r="F1" s="160"/>
      <c r="G1" s="160"/>
      <c r="H1" s="160"/>
      <c r="I1" s="160"/>
      <c r="J1" s="160"/>
      <c r="K1" s="160"/>
    </row>
    <row r="2" spans="1:17" x14ac:dyDescent="0.25">
      <c r="A2" s="161" t="s">
        <v>289</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60" t="str">
        <f ca="1">_xlfn.TEXTAFTER(CELL("filename",A1),"]")</f>
        <v>oz.SumRowsλ</v>
      </c>
      <c r="B1" s="160"/>
      <c r="C1" s="160"/>
      <c r="D1" s="160"/>
      <c r="E1" s="160"/>
      <c r="F1" s="160"/>
      <c r="G1" s="160"/>
      <c r="H1" s="160"/>
      <c r="I1" s="160"/>
      <c r="J1" s="160"/>
      <c r="K1" s="160"/>
    </row>
    <row r="2" spans="1:17" x14ac:dyDescent="0.25">
      <c r="A2" s="161" t="s">
        <v>89</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174" t="s">
        <v>148</v>
      </c>
      <c r="B17" s="174"/>
      <c r="C17" s="174"/>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60" t="str">
        <f ca="1">_xlfn.TEXTAFTER(CELL("filename",A1),"]")</f>
        <v>oz.SumColsλ</v>
      </c>
      <c r="B1" s="160"/>
      <c r="C1" s="160"/>
      <c r="D1" s="160"/>
      <c r="E1" s="160"/>
      <c r="F1" s="160"/>
      <c r="G1" s="160"/>
      <c r="H1" s="160"/>
      <c r="I1" s="160"/>
      <c r="J1" s="160"/>
      <c r="K1" s="160"/>
      <c r="L1" s="160"/>
      <c r="M1" s="160"/>
      <c r="N1" s="160"/>
      <c r="O1" s="160"/>
      <c r="P1" s="160"/>
    </row>
    <row r="2" spans="1:19" x14ac:dyDescent="0.25">
      <c r="A2" s="161" t="s">
        <v>260</v>
      </c>
      <c r="B2" s="166"/>
      <c r="C2" s="166"/>
      <c r="D2" s="166"/>
      <c r="E2" s="166"/>
      <c r="F2" s="166"/>
      <c r="G2" s="166"/>
      <c r="H2" s="166"/>
      <c r="I2" s="166"/>
      <c r="J2" s="166"/>
      <c r="K2" s="166"/>
      <c r="L2" s="166"/>
      <c r="M2" s="166"/>
      <c r="N2" s="166"/>
      <c r="O2" s="166"/>
      <c r="P2" s="166"/>
      <c r="Q2" s="166"/>
      <c r="R2" s="166"/>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174" t="s">
        <v>148</v>
      </c>
      <c r="B14" s="174"/>
      <c r="C14" s="174"/>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oz.AvgRowsλ</v>
      </c>
      <c r="B1" s="160"/>
      <c r="C1" s="160"/>
      <c r="D1" s="160"/>
      <c r="E1" s="160"/>
      <c r="F1" s="160"/>
      <c r="G1" s="160"/>
      <c r="H1" s="160"/>
      <c r="I1" s="160"/>
      <c r="J1" s="160"/>
      <c r="K1" s="160"/>
    </row>
    <row r="2" spans="1:18" x14ac:dyDescent="0.25">
      <c r="A2" s="161" t="s">
        <v>259</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60" t="str">
        <f ca="1">_xlfn.TEXTAFTER(CELL("filename",A1),"]")</f>
        <v>oz.AvgColsλ</v>
      </c>
      <c r="B1" s="160"/>
      <c r="C1" s="160"/>
      <c r="D1" s="160"/>
      <c r="E1" s="160"/>
      <c r="F1" s="160"/>
      <c r="G1" s="160"/>
      <c r="H1" s="160"/>
      <c r="I1" s="160"/>
      <c r="J1" s="160"/>
      <c r="K1" s="160"/>
      <c r="L1" s="160"/>
      <c r="M1" s="160"/>
      <c r="N1" s="160"/>
      <c r="O1" s="160"/>
      <c r="P1" s="160"/>
    </row>
    <row r="2" spans="1:19" x14ac:dyDescent="0.25">
      <c r="A2" s="161" t="s">
        <v>258</v>
      </c>
      <c r="B2" s="166"/>
      <c r="C2" s="166"/>
      <c r="D2" s="166"/>
      <c r="E2" s="166"/>
      <c r="F2" s="166"/>
      <c r="G2" s="166"/>
      <c r="H2" s="166"/>
      <c r="I2" s="166"/>
      <c r="J2" s="166"/>
      <c r="K2" s="166"/>
      <c r="L2" s="166"/>
      <c r="M2" s="166"/>
      <c r="N2" s="166"/>
      <c r="O2" s="166"/>
      <c r="P2" s="166"/>
      <c r="Q2" s="166"/>
      <c r="R2" s="166"/>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174" t="s">
        <v>148</v>
      </c>
      <c r="B14" s="174"/>
      <c r="C14" s="174"/>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oz.MinRowsλ</v>
      </c>
      <c r="B1" s="160"/>
      <c r="C1" s="160"/>
      <c r="D1" s="160"/>
      <c r="E1" s="160"/>
      <c r="F1" s="160"/>
      <c r="G1" s="160"/>
      <c r="H1" s="160"/>
      <c r="I1" s="160"/>
      <c r="J1" s="160"/>
      <c r="K1" s="160"/>
    </row>
    <row r="2" spans="1:18" x14ac:dyDescent="0.25">
      <c r="A2" s="161" t="s">
        <v>261</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60" t="str">
        <f ca="1">_xlfn.TEXTAFTER(CELL("filename",A1),"]")</f>
        <v>oz.MinColsλ</v>
      </c>
      <c r="B1" s="160"/>
      <c r="C1" s="160"/>
      <c r="D1" s="160"/>
      <c r="E1" s="160"/>
      <c r="F1" s="160"/>
      <c r="G1" s="160"/>
      <c r="H1" s="160"/>
      <c r="I1" s="160"/>
      <c r="J1" s="160"/>
      <c r="K1" s="160"/>
      <c r="L1" s="160"/>
      <c r="M1" s="160"/>
      <c r="N1" s="160"/>
      <c r="O1" s="160"/>
      <c r="P1" s="160"/>
    </row>
    <row r="2" spans="1:19" x14ac:dyDescent="0.25">
      <c r="A2" s="161" t="s">
        <v>257</v>
      </c>
      <c r="B2" s="166"/>
      <c r="C2" s="166"/>
      <c r="D2" s="166"/>
      <c r="E2" s="166"/>
      <c r="F2" s="166"/>
      <c r="G2" s="166"/>
      <c r="H2" s="166"/>
      <c r="I2" s="166"/>
      <c r="J2" s="166"/>
      <c r="K2" s="166"/>
      <c r="L2" s="166"/>
      <c r="M2" s="166"/>
      <c r="N2" s="166"/>
      <c r="O2" s="166"/>
      <c r="P2" s="166"/>
      <c r="Q2" s="166"/>
      <c r="R2" s="166"/>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174" t="s">
        <v>148</v>
      </c>
      <c r="B14" s="174"/>
      <c r="C14" s="174"/>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oz.MaxRowsλ</v>
      </c>
      <c r="B1" s="160"/>
      <c r="C1" s="160"/>
      <c r="D1" s="160"/>
      <c r="E1" s="160"/>
      <c r="F1" s="160"/>
      <c r="G1" s="160"/>
      <c r="H1" s="160"/>
      <c r="I1" s="160"/>
      <c r="J1" s="160"/>
      <c r="K1" s="160"/>
    </row>
    <row r="2" spans="1:18" x14ac:dyDescent="0.25">
      <c r="A2" s="161" t="s">
        <v>262</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60" t="str">
        <f ca="1">_xlfn.TEXTAFTER(CELL("filename",A1),"]")</f>
        <v>oz.MaxColsλ</v>
      </c>
      <c r="B1" s="160"/>
      <c r="C1" s="160"/>
      <c r="D1" s="160"/>
      <c r="E1" s="160"/>
      <c r="F1" s="160"/>
      <c r="G1" s="160"/>
      <c r="H1" s="160"/>
      <c r="I1" s="160"/>
      <c r="J1" s="160"/>
      <c r="K1" s="160"/>
      <c r="L1" s="160"/>
      <c r="M1" s="160"/>
      <c r="N1" s="160"/>
      <c r="O1" s="160"/>
      <c r="P1" s="160"/>
    </row>
    <row r="2" spans="1:19" x14ac:dyDescent="0.25">
      <c r="A2" s="161" t="s">
        <v>263</v>
      </c>
      <c r="B2" s="166"/>
      <c r="C2" s="166"/>
      <c r="D2" s="166"/>
      <c r="E2" s="166"/>
      <c r="F2" s="166"/>
      <c r="G2" s="166"/>
      <c r="H2" s="166"/>
      <c r="I2" s="166"/>
      <c r="J2" s="166"/>
      <c r="K2" s="166"/>
      <c r="L2" s="166"/>
      <c r="M2" s="166"/>
      <c r="N2" s="166"/>
      <c r="O2" s="166"/>
      <c r="P2" s="166"/>
      <c r="Q2" s="166"/>
      <c r="R2" s="166"/>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174" t="s">
        <v>148</v>
      </c>
      <c r="B14" s="174"/>
      <c r="C14" s="174"/>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oz.CountRowsλ</v>
      </c>
      <c r="B1" s="160"/>
      <c r="C1" s="160"/>
      <c r="D1" s="160"/>
      <c r="E1" s="160"/>
      <c r="F1" s="160"/>
      <c r="G1" s="160"/>
      <c r="H1" s="160"/>
      <c r="I1" s="160"/>
      <c r="J1" s="160"/>
      <c r="K1" s="160"/>
    </row>
    <row r="2" spans="1:18" x14ac:dyDescent="0.25">
      <c r="A2" s="161" t="s">
        <v>286</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oz.CountColsλ</v>
      </c>
      <c r="B1" s="160"/>
      <c r="C1" s="160"/>
      <c r="D1" s="160"/>
      <c r="E1" s="160"/>
      <c r="F1" s="160"/>
      <c r="G1" s="160"/>
      <c r="H1" s="160"/>
      <c r="I1" s="160"/>
      <c r="J1" s="160"/>
      <c r="K1" s="160"/>
    </row>
    <row r="2" spans="1:18" x14ac:dyDescent="0.25">
      <c r="A2" s="161" t="s">
        <v>285</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oz.CountARowsλ</v>
      </c>
      <c r="B1" s="160"/>
      <c r="C1" s="160"/>
      <c r="D1" s="160"/>
      <c r="E1" s="160"/>
      <c r="F1" s="160"/>
      <c r="G1" s="160"/>
      <c r="H1" s="160"/>
      <c r="I1" s="160"/>
      <c r="J1" s="160"/>
      <c r="K1" s="160"/>
    </row>
    <row r="2" spans="1:18" x14ac:dyDescent="0.25">
      <c r="A2" s="161" t="s">
        <v>430</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60" t="str">
        <f ca="1">_xlfn.TEXTAFTER(CELL("filename",A1),"]")</f>
        <v>oz.CountAColsλ</v>
      </c>
      <c r="B1" s="160"/>
      <c r="C1" s="160"/>
      <c r="D1" s="160"/>
      <c r="E1" s="160"/>
      <c r="F1" s="160"/>
      <c r="G1" s="160"/>
      <c r="H1" s="160"/>
      <c r="I1" s="160"/>
      <c r="J1" s="160"/>
      <c r="K1" s="160"/>
    </row>
    <row r="2" spans="1:18" x14ac:dyDescent="0.25">
      <c r="A2" s="161" t="s">
        <v>431</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174" t="s">
        <v>148</v>
      </c>
      <c r="B14" s="174"/>
      <c r="C14" s="174"/>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60" t="str">
        <f ca="1">_xlfn.TEXTAFTER(CELL("filename",A1),"]")</f>
        <v>oz.IsBetweenEλ</v>
      </c>
      <c r="B1" s="160"/>
      <c r="C1" s="160"/>
      <c r="D1" s="160"/>
      <c r="E1" s="160"/>
      <c r="F1" s="160"/>
      <c r="G1" s="160"/>
      <c r="H1" s="160"/>
      <c r="I1" s="160"/>
      <c r="J1" s="160"/>
      <c r="K1" s="160"/>
    </row>
    <row r="2" spans="1:17" x14ac:dyDescent="0.25">
      <c r="A2" s="161" t="s">
        <v>72</v>
      </c>
      <c r="B2" s="166"/>
      <c r="C2" s="166"/>
      <c r="D2" s="166"/>
      <c r="E2" s="166"/>
      <c r="F2" s="166"/>
      <c r="G2" s="166"/>
      <c r="H2" s="166"/>
      <c r="I2" s="166"/>
      <c r="J2" s="166"/>
      <c r="K2" s="166"/>
      <c r="L2" s="166"/>
      <c r="M2" s="166"/>
      <c r="N2" s="166"/>
      <c r="O2" s="166"/>
      <c r="P2" s="166"/>
      <c r="Q2" s="166"/>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174" t="s">
        <v>148</v>
      </c>
      <c r="B18" s="174"/>
      <c r="C18" s="174"/>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180" t="s">
        <v>291</v>
      </c>
      <c r="B26" s="181"/>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60" t="str">
        <f ca="1">_xlfn.TEXTAFTER(CELL("filename",A1),"]")</f>
        <v>oz.RangeToDAEλ</v>
      </c>
      <c r="B1" s="160"/>
      <c r="C1" s="160"/>
      <c r="D1" s="160"/>
      <c r="E1" s="160"/>
      <c r="F1" s="160"/>
      <c r="G1" s="160"/>
      <c r="H1" s="160"/>
      <c r="I1" s="160"/>
      <c r="J1" s="160"/>
      <c r="K1" s="160"/>
    </row>
    <row r="2" spans="1:18" x14ac:dyDescent="0.25">
      <c r="A2" s="161" t="s">
        <v>298</v>
      </c>
      <c r="B2" s="166"/>
      <c r="C2" s="166"/>
      <c r="D2" s="166"/>
      <c r="E2" s="166"/>
      <c r="F2" s="166"/>
      <c r="G2" s="166"/>
      <c r="H2" s="166"/>
      <c r="I2" s="166"/>
      <c r="J2" s="166"/>
      <c r="K2" s="166"/>
      <c r="L2" s="166"/>
      <c r="M2" s="166"/>
      <c r="N2" s="166"/>
      <c r="O2" s="166"/>
      <c r="P2" s="166"/>
      <c r="Q2" s="166"/>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174" t="s">
        <v>148</v>
      </c>
      <c r="B18" s="174"/>
      <c r="C18" s="174"/>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60" t="str">
        <f ca="1">_xlfn.TEXTAFTER(CELL("filename",A1),"]")</f>
        <v>oz.FinancialRatios</v>
      </c>
      <c r="B1" s="160"/>
      <c r="C1" s="160"/>
      <c r="D1" s="160"/>
      <c r="E1" s="160"/>
      <c r="F1" s="160"/>
      <c r="G1" s="160"/>
      <c r="H1" s="160"/>
      <c r="I1" s="160"/>
      <c r="J1" s="160"/>
      <c r="K1" s="160"/>
    </row>
    <row r="2" spans="1:11" x14ac:dyDescent="0.25">
      <c r="A2" s="161" t="s">
        <v>432</v>
      </c>
      <c r="B2" s="192"/>
      <c r="C2" s="192"/>
      <c r="D2" s="192"/>
      <c r="E2" s="192"/>
      <c r="F2" s="192"/>
      <c r="G2" s="192"/>
      <c r="H2" s="192"/>
      <c r="I2" s="192"/>
      <c r="J2" s="192"/>
      <c r="K2" s="192"/>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SQBGACgAIABTAGkAbgBnAGwAZQA/ACwAIABEAHAAUAAsACAATQBBAFgAKAAgAFQAaQBtAGUAbABpAG4AZQApACAALQAgAEkATgBEAEUAWAAoACAAVABpAG0AZQBsAGkAbgBlACwAIABDAE8AVQBOAFQAQQAoACAAVABpAG0AZQBsAGkAbgBlACkAIAAtACAAMQAp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DAHYAdABTAHQAYQByAHQ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CAHkARABhAHQAZQAsACAAIAAgACAAIAAgACAAIAAgACAAIAAgACAATQBNAFUATABUACgAIABBAG0AbwByAHQAaQBzAGEAdABpAG8AbgBTAGMAaABlAGQALAAgACgAIABUAE8AQwBPAEwAKAAgAEIAdQBjAGsAZQB0AHMAKQAgAD0AIABTAEUAUQBVAEUATgBDAEUAKAAgADEALAAgAEMATwBVAE4AVABBACgAIABUAGkAbQBlAGwAaQBuAGUAKQApACkAIAAqACAAM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MQApACkALABcAG4AIAAgACAAIAAgACAAIAAgAEMASABPAE8AUwBFACgAIABSAGUAdAB1AHIAbgAsACAAUgBlAHMAdQBsAHQALAAgAEgAZQBsAHAALAAgAFQAaQBtAGUAbABpAG4AZQ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