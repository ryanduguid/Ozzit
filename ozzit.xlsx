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3.xml" ContentType="application/vnd.openxmlformats-officedocument.spreadsheetml.table+xml"/>
  <Override PartName="/xl/drawings/drawing5.xml" ContentType="application/vnd.openxmlformats-officedocument.drawing+xml"/>
  <Override PartName="/xl/tables/table4.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drawings/drawing9.xml" ContentType="application/vnd.openxmlformats-officedocument.drawing+xml"/>
  <Override PartName="/xl/tables/table7.xml" ContentType="application/vnd.openxmlformats-officedocument.spreadsheetml.table+xml"/>
  <Override PartName="/xl/drawings/drawing10.xml" ContentType="application/vnd.openxmlformats-officedocument.drawing+xml"/>
  <Override PartName="/xl/tables/table8.xml" ContentType="application/vnd.openxmlformats-officedocument.spreadsheetml.table+xml"/>
  <Override PartName="/xl/tables/table9.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0.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1.xml" ContentType="application/vnd.openxmlformats-officedocument.spreadsheetml.table+xml"/>
  <Override PartName="/xl/drawings/drawing19.xml" ContentType="application/vnd.openxmlformats-officedocument.drawing+xml"/>
  <Override PartName="/xl/tables/table12.xml" ContentType="application/vnd.openxmlformats-officedocument.spreadsheetml.table+xml"/>
  <Override PartName="/xl/drawings/drawing20.xml" ContentType="application/vnd.openxmlformats-officedocument.drawing+xml"/>
  <Override PartName="/xl/tables/table13.xml" ContentType="application/vnd.openxmlformats-officedocument.spreadsheetml.table+xml"/>
  <Override PartName="/xl/drawings/drawing21.xml" ContentType="application/vnd.openxmlformats-officedocument.drawing+xml"/>
  <Override PartName="/xl/tables/table14.xml" ContentType="application/vnd.openxmlformats-officedocument.spreadsheetml.table+xml"/>
  <Override PartName="/xl/drawings/drawing22.xml" ContentType="application/vnd.openxmlformats-officedocument.drawing+xml"/>
  <Override PartName="/xl/tables/table15.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6.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workbookPr codeName="ThisWorkbook"/>
  <bookViews>
    <workbookView xWindow="0" yWindow="0" windowWidth="28800" windowHeight="16000" xr2:uid="{9D40AE0A-C643-4032-94D1-3D65DF585AF3}"/>
  </bookViews>
  <sheets>
    <sheet name="Cover" sheetId="103" r:id="rId1"/>
    <sheet name="TOC" sheetId="19" r:id="rId2"/>
    <sheet name="Data Validation" sheetId="129" r:id="rId3"/>
    <sheet name="Australian tax" sheetId="132" r:id="rId4"/>
    <sheet name="oz.CountDOWλ" sheetId="41" r:id="rId5"/>
    <sheet name="oz.IsBetweenλ" sheetId="43" r:id="rId6"/>
    <sheet name="oz.IsOccurrenceDateλ" sheetId="44" r:id="rId7"/>
    <sheet name="oz.OverLapDaysλ" sheetId="45" r:id="rId8"/>
    <sheet name="oz.Periodsλ" sheetId="46" r:id="rId9"/>
    <sheet name="oz.PeriodLabelλ" sheetId="47" r:id="rId10"/>
    <sheet name="oz.ScheduleRatesλ" sheetId="48" r:id="rId11"/>
    <sheet name="oz.ScheduleRatesByItemsλ" sheetId="49" r:id="rId12"/>
    <sheet name="oz.ScheduleValuesλ" sheetId="50" r:id="rId13"/>
    <sheet name="oz.ScheduleValuesByItemsλ" sheetId="51" r:id="rId14"/>
    <sheet name="oz.Timelineλ" sheetId="52" r:id="rId15"/>
    <sheet name="oz.Amortiseλ" sheetId="76" r:id="rId16"/>
    <sheet name="oz.LabelAmortiseλ" sheetId="90" r:id="rId17"/>
    <sheet name="oz.SumAmortiseλ" sheetId="83" r:id="rId18"/>
    <sheet name="oz.Corkscrewλ" sheetId="77" r:id="rId19"/>
    <sheet name="oz.Cumulativeλ" sheetId="99" r:id="rId20"/>
    <sheet name="oz.Depreciateλ" sheetId="78" r:id="rId21"/>
    <sheet name="oz.LabelDepreciateλ" sheetId="106" r:id="rId22"/>
    <sheet name="oz.SumDepreciateλ" sheetId="107" r:id="rId23"/>
    <sheet name="oz.SumContainsλ" sheetId="108" r:id="rId24"/>
    <sheet name="oz.IntOnIntλ" sheetId="80" r:id="rId25"/>
    <sheet name="oz.IRRλ" sheetId="81" r:id="rId26"/>
    <sheet name="oz.Reversalλ" sheetId="128" r:id="rId27"/>
    <sheet name="oz.Movementλ" sheetId="82" r:id="rId28"/>
    <sheet name="oz.RollingSumλ" sheetId="105" r:id="rId29"/>
    <sheet name="oz.SumPeriodsλ" sheetId="89" r:id="rId30"/>
    <sheet name="oz.TimelineOffsetλ" sheetId="96" r:id="rId31"/>
    <sheet name="oz.TimelinePositionλ" sheetId="97" r:id="rId32"/>
    <sheet name="oz.AboutEssentialsλ" sheetId="110" r:id="rId33"/>
    <sheet name="oz.CountCλ" sheetId="118" r:id="rId34"/>
    <sheet name="oz.SumRowsλ" sheetId="87" r:id="rId35"/>
    <sheet name="oz.SumColsλ" sheetId="88" r:id="rId36"/>
    <sheet name="oz.AvgRowsλ" sheetId="111" r:id="rId37"/>
    <sheet name="oz.AvgColsλ" sheetId="112" r:id="rId38"/>
    <sheet name="oz.MinRowsλ" sheetId="113" r:id="rId39"/>
    <sheet name="oz.MinColsλ" sheetId="114" r:id="rId40"/>
    <sheet name="oz.MaxRowsλ" sheetId="115" r:id="rId41"/>
    <sheet name="oz.MaxColsλ" sheetId="116" r:id="rId42"/>
    <sheet name="oz.CountRowsλ" sheetId="119" r:id="rId43"/>
    <sheet name="oz.CountColsλ" sheetId="120" r:id="rId44"/>
    <sheet name="oz.CountARowsλ" sheetId="122" r:id="rId45"/>
    <sheet name="oz.CountAColsλ" sheetId="123" r:id="rId46"/>
    <sheet name="oz.IsBetweenEλ" sheetId="125" r:id="rId47"/>
    <sheet name="oz.RangeToDAEλ" sheetId="126" r:id="rId48"/>
    <sheet name="oz.FinancialRatios" sheetId="131" r:id="rId49"/>
  </sheets>
  <definedNames>
    <definedName name="oz.AboutDatesλ" comment="Displays this module's repository URL and function list">TRIM( _xlfn.TEXTSPLIT( "About:                 →Ozzit compliant LAMBDAs dealing with dates. Suggested module name: oz¶" &amp; "Version:               →6 Sep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"DateDifλ               →Whole years, months or days between two dates, and the remainders¶" &amp; "FinancialYearλ         →Labels dates with their Australian financial year, starting 1 July¶" &amp;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 "ABOUT:             →Ozzit's Financial Models module. Suggested module name: oz¶" &amp; "VERSION:           →6 Sep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→Creates averages for preceding values of a set size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"LEASES (AASB 16)   →¶" &amp; "LeaseLiabilityλ    →Present value of the lease payments that are not paid at the commencement date¶" &amp; "LeaseScheduleλ     →Unwinds a lease liability into opening, payment, interest and closing rows¶" &amp; "LeaseRemeasureλ    →Remeasures a lease liability for revised payments and adjusts the right-of-use asset¶" &amp; "ROUScheduleλ       →Depreciates a right-of-use asset in a straight line over the lease term¶" &amp; "→¶" &amp; "RATES              →¶" &amp; "PeriodRateλ        →Converts an effective annual rate to the equivalent rate per period¶" &amp; "AnnualRateλ        →Converts a rate per period to the effective annual rate¶" &amp; "DayCountRateλ      →Interest rate for each timeline period under a day count convention¶"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 )</definedName>
    <definedName name="oz.AboutRatiosλ" comment="Displays this module's repository URL and function list">TRIM(_xlfn.TEXTSPLIT("About: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"DPRλ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 across a model's periods">_xlfn.LAMBDA(_xlop.Principal,_xlop.APR,_xlop.Term,_xlop.ModelPeriods,_xlop.StartPeriod,_xlop.MonthsPerPeriod, _xlfn.LET(_xlpm.Help, TRIM(_xlfn.TEXTSPLIT( "FUNCTION:      →AmortiseBλ(Principal, APR, Term, ModelPeriods, [StartPeriod], [MonthsPerPeriod])¶" &amp; "DESCRIPTION:   →Creates an amortisation schedule for a debt/loan across a model's periods.¶" &amp; "ROW CONTENTS:  →Opening Balance¶" &amp; "               →Interest Portion¶" &amp; "               →Repayment¶" &amp; "               →Closing Balance¶" &amp; "               →Principal Portion¶" &amp; "WEBPAGE:       →https://github.com/ryanduguid/Ozzit¶" &amp; "VERSION:       →20 Aug 2026¶" &amp; "PARAMETERS:    →¶" &amp; "Principal      →(Required) Principal opening balance.¶" &amp; "APR            →(Required) Annual percentage rate.¶" &amp; "Term           →(Required) Number of periods to pay off the debt.¶" &amp; "ModelPeriods   →(Required) Number of model periods.¶" &amp; "StartPeriod    →(Optional) Period when the debt is issued. Defaults to 1.¶" &amp; "MonthsPerPeriod→(Optional) Number of months in each period. Defaults to 1.¶" &amp; "EXAMPLES:      →¶" &amp; "Result         →Formula (oz is assumed to be the module's name)¶" &amp; "5 rows, 60 cols→=oz.AmortiseBλ(10000, 3%, 48, 60)", "→", "¶" ) ), _xlpm.Help?, OR( _xlfn.ISOMITTED( _xlpm.Principal), _xlfn.ISOMITTED( _xlpm.APR), _xlfn.ISOMITTED( _xlpm.Term), _xlfn.ISOMITTED( _xlpm.ModelPeriods)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_xlpm.Errors, _xlfn.VSTACK( NOT( ISNUMBER( _xlpm.Principal)), NOT( ISNUMBER( _xlpm.APR)), NOT( ISNUMBER( _xlpm.Term)), NOT( ISNUMBER( _xlpm.ModelPeriods)) ), _xlpm.Messages, _xlfn._xlws.FILTER( _xlpm.ErrMsgs, _xlpm.Errors, ""), _xlpm.StartPeriod, IF( ISNUMBER( _xlpm.StartPeriod), _xlpm.StartPeriod, 1), _xlpm.MonthsPerPeriod, IF( ISNUMBER( _xlpm.MonthsPerPeriod), _xlpm.MonthsPerPeriod, 1), _xlpm.Rate, _xlpm.APR / 12 * _xlpm.MonthsPerPeriod, _xlpm.Periods, _xlfn.SEQUENCE( 1, _xlpm.ModelPeriods), _xlpm.Closings, _xlfn.SCAN( _xlpm.Principal, _xlpm.Periods, _xlfn.LAMBDA(_xlpm.Carried,_xlpm.Period, _xlfn.LET(_xlpm.Remaining, IF( _xlpm.Period &lt; _xlpm.StartPeriod, 0, MAX( _xlpm.Term - _xlpm.Period + _xlpm.StartPeriod, 0)), _xlpm.Opening, IF( _xlpm.Remaining = 0, 0, _xlpm.Carried), _xlpm.Interest, _xlpm.Opening * _xlpm.Rate, _xlpm.Payment, IF( _xlpm.Remaining = 0, 0, MIN( -PMT( _xlpm.Rate, _xlpm.Remaining, _xlpm.Opening), _xlpm.Opening + _xlpm.Interest)), IF( _xlpm.Period &lt; _xlpm.StartPeriod, _xlpm.Carried, _xlpm.Opening + _xlpm.Interest - _xlpm.Payment) ) ) ), _xlpm.Carried, IF( _xlpm.ModelPeriods = 1, _xlpm.Principal, _xlfn.HSTACK( _xlpm.Principal, _xlfn.DROP( _xlpm.Closings, , -1))), _xlpm.Remaining, IF( _xlpm.Periods &lt; _xlpm.StartPeriod, 0, IF( _xlpm.Term - _xlpm.Periods + _xlpm.StartPeriod &gt; 0, _xlpm.Term - _xlpm.Periods + _xlpm.StartPeriod, 0)), _xlpm.Opening, IF( _xlpm.Remaining = 0, 0, _xlpm.Carried), _xlpm.Interest, _xlpm.Opening * _xlpm.Rate, _xlpm.Level, IF( _xlpm.Remaining = 0, 0, -PMT( _xlpm.Rate, _xlpm.Remaining, _xlpm.Opening)), _xlpm.Payment, IF( _xlpm.Level &lt; _xlpm.Opening + _xlpm.Interest, _xlpm.Level, _xlpm.Opening + _xlpm.Interest), _xlpm.Closing, _xlpm.Opening + _xlpm.Interest - _xlpm.Payment, _xlpm.Portion, _xlpm.Payment - _xlpm.Interest, _xlpm.Result, _xlfn.VSTACK( _xlpm.Opening, _xlpm.Interest, _xlpm.Payment, _xlpm.Closing, _xlpm.Portion), _xlpm.Return, IF( _xlpm.Help?, 2, IF( OR( _xlpm.Errors), 3, 1)), CHOOSE( _xlpm.Return, _xlpm.Result, _xlpm.Help, _xlpm.Messages) ) )</definedName>
    <definedName name="oz.Amortiseλ" comment="Creates a corkscrew amortisation schedule">_xlfn.LAMBDA(_xlop.Principals,_xlop.APRs,_xlop.Terms,_xlop.StartDates,_xlop.Timeline, _xlfn.LET( _xlpm.Help, TRIM(_xlfn.TEXTSPLIT( "FUNCTION:      →Amortiseλ( Principals, APRs, Terms, StartDates, [Timeline])¶" &amp; "DESCRIPTION:   →Creates an amortisation schedule array for one or more loans.¶" &amp; "→Payments are assumed monthly. On periods shorter than a month the figures for each month land in the period holding its start, the rest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(oz is assumed to be the module's name)¶" &amp; "→=oz.Amortiseλ(10000, 5%, 4 * 12, ""2026-07-01"")", "→", "¶" ) ), _xlpm.MpY, 12, _xlpm.ADpM, 30.42, _xlpm.Help?, OR( _xlfn.ISOMITTED( _xlpm.Principals), _xlfn.ISOMITTED( _xlpm.APRs), _xlfn.ISOMITTED( _xlpm.Terms), _xlfn.ISOMITTED( _xlpm.StartDates) ), _xlpm.CvtStarts, IF( ISNUMBER( _xlpm.StartDates), _xlpm.StartDates, DATEVALUE( _xlpm.StartDates)), _xlpm.Timeline, IF( _xlfn.ISOMITTED( _xlpm.Timeline), _xlfn.LET(_xlpm.LastMonths, EDATE( _xlpm.CvtStarts, _xlpm.Terms - 1), _xlpm.MinDate, MIN( _xlpm.CvtStarts), _xlpm.LastMonth, MAX( _xlpm.LastMonths), _xlpm.MaxTerm, ( YEAR( _xlpm.LastMonth) - YEAR( _xlpm.MinDate)) * _xlpm.MpY + MONTH( _xlpm.LastMonth) - MONTH( _xlpm.MinDate) + 1, EDATE( _xlpm.MinDate, _xlfn.SEQUENCE( 1, _xlpm.MaxTerm, 0))), _xlpm.Timeline ), _xlpm.FirstPeriod, INDEX( _xlpm.Timeline, 1), _xlpm.Single?, COUNTA( _xlpm.Timeline) &lt; 2, _xlpm.SecondPeriod, IF( _xlpm.Single?, EDATE( _xlpm.FirstPeriod, 1), INDEX( _xlpm.Timeline, 2)), _xlpm.DpP, _xlpm.SecondPeriod - _xlpm.FirstPeriod, _xlpm.LastGap, IF( _xlpm.Single?, _xlpm.DpP, MAX( _xlpm.Timeline) - INDEX( _xlpm.Timeline, COUNTA( _xlpm.Timeline) - 1)), _xlpm.SubMonthly?, _xlpm.DpP &lt; 28, _xlpm.MpP, MAX( _xlfn.SINGLE(ROUND( _xlpm.DpP / _xlpm.ADpM, 0)), 1), _xlpm.Schedule, _xlfn.LAMBDA(_xlpm.Asset, _xlfn.LET( _xlpm.Principal, INDEX( _xlpm.Principals, _xlpm.Asset), _xlpm.APR, INDEX( _xlpm.APRs, _xlpm.Asset), _xlpm.Term, INDEX( _xlpm.Terms, _xlpm.Asset), _xlpm.StartDate, INDEX( _xlpm.CvtStarts, _xlpm.Asset), _xlpm.Periods, ROUNDUP(_xlpm.Term / _xlpm.MpP, 0), _xlpm.Rows, 1, _xlpm.Cols, _xlpm.Periods, _xlpm.Rate, _xlpm.APR / _xlpm.MpY, _xlpm.MonthlyPayment, PMT( _xlpm.Rate, _xlpm.Term, _xlpm.Principal), _xlpm.MonthlyPrincipal, -FV(_xlpm.Rate, _xlfn.SEQUENCE( 1, _xlpm.Term, 0), _xlpm.MonthlyPayment, _xlpm.Principal), _xlpm.MonthlyInterest, _xlpm.MonthlyPrincipal * _xlpm.Rate, _xlpm.DebtIssueArray, _xlfn.EXPAND(_xlpm.Principal, 1, _xlpm.Periods, 0), _xlpm.PrincipalArray, IF( _xlpm.MpP = 1, _xlpm.MonthlyPrincipal, _xlfn.MAKEARRAY( 1, _xlpm.Periods, _xlfn.LAMBDA(_xlpm.R,_xlpm.C, _xlfn.LET(_xlpm.Idx, (_xlpm.C - 1) * _xlpm.MpP + 1, INDEX( _xlpm.MonthlyPrincipal, _xlpm.Idx) ) ) ) ), _xlpm.InterestArray, IF( _xlpm.MpP = 1, _xlpm.MonthlyInterest, _xlfn.LET( _xlpm.MoInt, _xlfn.EXPAND( _xlpm.MonthlyInterest, 1, ROUNDUP( _xlpm.Term/ _xlpm.MpP, 0) * _xlpm.MpP, 0), _xlfn.MAKEARRAY( 1, _xlpm.Periods, _xlfn.LAMBDA(_xlpm.R,_xlpm.C, _xlfn.LET(_xlpm.Idx, (_xlpm.C - 1) * _xlpm.MpP + 1, SUM( _xlfn.CHOOSECOLS(_xlpm.MoInt, _xlfn.SEQUENCE(1, _xlpm.MpP, _xlpm.Idx))) ) ) ) ) ), _xlpm.PaymentArray, _xlfn.LET(_xlpm.MoPmt, _xlfn.EXPAND( _xlfn.SEQUENCE(1, _xlpm.Term, _xlpm.MonthlyPayment, 0), 1, ROUNDUP( _xlpm.Term/ _xlpm.MpP, 0) * _xlpm.MpP, 0), _xlfn.MAKEARRAY( 1, _xlpm.Periods, _xlfn.LAMBDA(_xlpm.R,_xlpm.C, _xlfn.LET(_xlpm.Idx, (_xlpm.C - 1) * _xlpm.MpP + 1, SUM( _xlfn.CHOOSECOLS(_xlpm.MoPmt, _xlfn.SEQUENCE(1, _xlpm.MpP, _xlpm.Idx))) ) ) ) ), _xlpm.ClosingArray, _xlpm.PrincipalArray + _xlpm.InterestArray + _xlpm.PaymentArray, _xlpm.PortionArray, -_xlpm.PaymentArray - _xlpm.InterestArray, _xlpm.AmortisationSched, _xlfn.VSTACK( _xlpm.DebtIssueArray, _xlpm.PrincipalArray, _xlpm.InterestArray, _xlpm.PaymentArray, _xlpm.ClosingArray, _xlpm.PortionArray), _xlpm.Offset, oz.TimelineOffsetλ(_xlpm.StartDate, _xlpm.Timeline), _xlpm.MonthStarts, EDATE( _xlpm.StartDate, _xlfn.SEQUENCE( , _xlpm.Periods, 0)), _xlpm.Buckets, IFERROR( MATCH( _xlpm.MonthStarts, _xlpm.Timeline, 1), 0) * ( _xlpm.MonthStarts &lt; MAX( _xlpm.Timeline) + _xlpm.LastGap), _xlpm.ByDate, MMULT( _xlpm.AmortisationSched, ( _xlfn.TOCOL( _xlpm.Buckets) = _xlfn.SEQUENCE( 1, COUNTA( _xlpm.Timeline))) * 1), IF( _xlpm.SubMonthly?, _xlpm.ByDate, oz.TimelinePositionλ(_xlpm.AmortisationSched, _xlpm.Timeline, _xlpm.Offset)) ) ), _xlpm.Result, _xlfn.REDUCE( 0, _xlfn.SEQUENCE( ROWS( _xlpm.Principals)), _xlfn.LAMBDA(_xlpm.Acc,_xlpm.Asset, _xlfn.LET(_xlpm.NewBlock, _xlpm.Schedule( _xlpm.Asset), IF( _xlpm.Asset = 1, _xlpm.NewBlock, _xlfn.VSTACK( _xlpm.Acc, _xlfn.EXPAND({" "}, 1, COUNTA(_xlpm.Timeline), " "), _xlpm.NewBlock)) ) ) ), CHOOSE(_xlpm.Help? + 1, _xlpm.Result, _xlpm.Help) ) )</definedName>
    <definedName name="oz.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oz.AnnualRateλ" comment="Converts a rate per period to the effective annual rate, the inverse of PeriodRateλ">_xlfn.LAMBDA(_xlop.PeriodRate,_xlop.PeriodsPerYear, _xlfn.LET( _xlpm.Help, TRIM(_xlfn.TEXTSPLIT( "FUNCTION:      →AnnualRateλ(PeriodRate, [PeriodsPerYear])¶" &amp; "DESCRIPTION:   →Converts a rate per period to the effective annual rate.¶NOTES!         →(1 + PeriodRate) ^ PeriodsPerYear - 1, the inverse of PeriodRateλ().¶               →Use it to state a rate per period, such as a lease rate solved per¶               →month, as the annual figure a reader expects.¶" &amp; "WEBPAGE:       →https://github.com/ryanduguid/Ozzit¶" &amp; "VERSION:       →6 Sep 2026¶" &amp; "PARAMETERS:    →¶" &amp; "PeriodRate     →(Required) Rate per period, or a row or column of them.¶" &amp; "PeriodsPerYear →(Optional: Default = 12) Periods in a year: 12 for months, 4 for quarters, 1 for years.¶" &amp; "EXAMPLES:      →¶" &amp; "→Formula (oz is assumed to be the module's name)¶" &amp; "→=oz.AnnualRateλ(0.01)¶" &amp; "→Result¶" &amp; "→0.126825", "→", "¶" )), _xlpm.Help?, _xlfn.ISOMITTED(_xlpm.PeriodRate), _xlpm.Periods, IF(OR(_xlfn.ISOMITTED(_xlpm.PeriodsPerYear), NOT(ISNUMBER(_xlpm.PeriodsPerYear))), 12, _xlpm.PeriodsPerYear), _xlpm.Result, (1 + _xlpm.PeriodRate) ^ _xlpm.Periods - 1, CHOOSE( _xlpm.Help? + 1, _xlpm.Result, _xlpm.Help) ) )</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 "FUNCTION: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(oz is assumed to be the module's name)¶" &amp; "5                  →=oz.BVPSλ(20.0, 5.0, AVERAGE( 2.9, 3.1) )", "→", "¶" ) ), _xlpm.Help?, OR( _xlfn.ISOMITTED( _xlpm.ShareholdersEquity), _xlfn.ISOMITTED( _xlpm.PreferredStock), _xlfn.ISOMITTED( _xlpm.AverageSharesOutstanding) ), _xlpm.Result, (_xlpm.ShareholdersEquity - _xlpm.PreferredStock)/_xlpm.AverageSharesOutstanding, CHOOSE(_xlpm.Help? + 1, _xlpm.Result, _xlpm.Help) ) )</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 "FUNCTION: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 ), _xlpm.Help?, OR( _xlfn.ISOMITTED( _xlpm.Cash), _xlfn.ISOMITTED( _xlpm.Liabilities ) ), _xlpm.Result, _xlpm.Cash/_xlpm.Liabilities, CHOOSE(_xlpm.Help? + 1, _xlpm.Result, _xlpm.Help) ) )</definedName>
    <definedName name="oz.CorkScrewReversalλ" comment="Create a corkscrew where the opening balance is reversed in the next period based on a timing parameter.">_xlfn.LAMBDA(_xlop.Opening,_xlop.ReversalFlags,_xlop.Flow1,_xlop.Flow2,_xlop.Flow3,_xlop.Flow4, _xlfn.LET(_xlpm.Help, TRIM(_xlfn.TEXTSPLIT( "FUNCTION:      →CorkScrewReversalλ( Opening, ReversalFlags, Flow1, [Flow2], [Flow3], [Flow4])¶" &amp; "DESCRIPTION:   →Create a corkscrew where the opening balance is reversed in the next period based on a timing parameter¶" &amp; "WEBPAGE:       →https://github.com/ryanduguid/Ozzit¶"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 _xlfn.ISOMITTED( _xlpm.Opening), _xlfn.ISOMITTED( _xlpm.ReversalFlags), _xlfn.ISOMITTED( _xlpm.Flow1)), _xlpm.Cols, COLUMNS(_xlpm.Flow1), _xlpm.Rows, IF(_xlfn.ISOMITTED(_xlpm.Flow2), 1, IF(_xlfn.ISOMITTED(_xlpm.Flow3), 2, IF(_xlfn.ISOMITTED(_xlpm.Flow4), 3, 4) ) ), _xlpm.PeriodArray, _xlfn.SWITCH(_xlpm.Rows, 1, _xlpm.Flow1, 2, _xlfn.VSTACK(_xlpm.Flow1, _xlpm.Flow2), 3, _xlfn.VSTACK(_xlpm.Flow1, _xlpm.Flow2, _xlpm.Flow3), 4, _xlfn.VSTACK(_xlpm.Flow1, _xlpm.Flow2, _xlpm.Flow3, _xlpm.Flow4) ), _xlpm.PeriodTotal, _xlfn.BYCOL(_xlpm.PeriodArray, _xlfn.LAMBDA(_xlpm.Col, SUM(_xlpm.Col))), _xlpm.Flags, INDEX( _xlpm.ReversalFlags, 1, _xlfn.SEQUENCE( , _xlpm.Cols)), _xlpm.Closings, _xlfn.SCAN( _xlpm.Opening, _xlfn.SEQUENCE( , _xlpm.Cols), _xlfn.LAMBDA(_xlpm.Acc,_xlpm.Col, _xlpm.Acc * ( 1 - INDEX( _xlpm.Flags, 1, _xlpm.Col)) + INDEX( _xlpm.PeriodTotal, 1, _xlpm.Col) ) ), _xlpm.Openings, IF( _xlpm.Cols = 1, _xlpm.Opening, _xlfn.HSTACK( _xlpm.Opening, _xlfn.DROP( _xlpm.Closings, , -1))), _xlpm.Reversals, -_xlpm.Flags * _xlpm.Openings, _xlpm.Result, _xlfn.VSTACK( _xlpm.Openings, _xlpm.Reversals, _xlpm.PeriodArray, _xlpm.Closings), CHOOSE(_xlpm.Help? + 1, _xlpm.Result, _xlpm.Help) ) )</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→https://github.com/ryanduguid/Ozzit¶"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Corkscrewλ.">_xlfn.LAMBDA(_xlop.Opening,_xlop.Flow1,_xlop.Flow2,_xlop.Flow3,_xlop.Flow4,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_xlfn.VSTACK(_xlpm.ErrorsInArgs,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column">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column">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column">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column">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TRIM(_xlfn.TEXTSPLIT("FUNCTION:      →CountCUλ(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Cλ" comment="Count occurrences of character(s) in a string">_xlfn.LAMBDA(_xlop.Text,_xlop.Characters, _xlfn.LET(_xlpm.Help, TRIM(_xlfn.TEXTSPLIT("FUNCTION:      →CountCλ(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→20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_xlfn.LAMBDA(_xlop.Assets,_xlop.Liabilities, _xlfn.LET(_xlpm.Help, TRIM(_xlfn.TEXTSPLIT( "FUNCTION:      →CurrentRatioλ( Assets, Liabilities)¶" &amp; "DESCRIPTION:   →Measures a company’s ability to pay short-term obligations  ¶" &amp; "→(Current Assets/Liabilities)¶" &amp; "WEBPAGE:       →https://www.investopedia.com/terms/c/currentratio.asp ¶" &amp; "VERSION:       →20 Aug 2026¶" &amp; "PARAMETERS:→¶" &amp; "Assets         →(Required) Current Assets. Includes: ¶" &amp; "→Cash ¶" &amp; "→Accounts receivable ¶" &amp; "→Inventory ¶" &amp; "→Vendor non-trade receivables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(oz is assumed to be the module's name)¶" &amp; "1.075          →=oz.CurrentRatioλ( 134.836, 125.481)", "→", "¶" ) ), _xlpm.Help?, OR( _xlfn.ISOMITTED( _xlpm.Assets), _xlfn.ISOMITTED( _xlpm.Liabilities ) ), _xlpm.Result, _xlpm.Assets/_xlpm.Liabilities, CHOOSE(_xlpm.Help? + 1, _xlpm.Result, _xlpm.Help) ) )</definedName>
    <definedName name="oz.DateDifλ" comment="Whole years, months or days between two dates, and the remainders DATEDIF gets wrong">_xlfn.LAMBDA(_xlop.StartDate,_xlop.EndDate,_xlop.Unit, _xlfn.LET( _xlpm.Help, TRIM(_xlfn.TEXTSPLIT( "FUNCTION:      →DateDifλ(StartDate, EndDate, [Unit])¶" &amp; "DESCRIPTION:   →Whole years, months or days between two dates, and the remainders.¶NOTES!         →Excel's DATEDIF is undocumented and its MD unit can return a negative¶               →or wrong day count around month ends. This counts a month as complete¶               →when EDATE() of the start date has arrived, so a month after 31 January¶               →is the last day of February, and takes every remainder from that same¶               →anniversary. A reversed range or an unknown unit returns #NUM!.¶" &amp; "WEBPAGE:       →https://github.com/ryanduguid/Ozzit¶" &amp; "VERSION:       →6 Sep 2026¶" &amp; "PARAMETERS:    →¶" &amp; "StartDate      →(Required) The earlier date, numeric or text.¶" &amp; "EndDate        →(Required) The later date, numeric or text.¶" &amp; "Unit           →(Optional: Default = D) Y whole years, M whole months, D days, YM months left after the whole years, YD days left after the whole years, MD days left after the whole months.¶" &amp; "EXAMPLES:      →¶" &amp; "→Formula (oz is assumed to be the module's name)¶" &amp; "→=oz.DateDifλ(DATE(2026,1,31), DATE(2026,3,1), ""MD"")¶" &amp; "→Result¶" &amp; "→1", "→", "¶" )), _xlpm.Help?, OR(_xlfn.ISOMITTED(_xlpm.StartDate), _xlfn.ISOMITTED(_xlpm.EndDate)), _xlpm.Start, IF(ISNUMBER(_xlpm.StartDate), _xlpm.StartDate, DATEVALUE(_xlpm.StartDate)), _xlpm.Finish, IF(ISNUMBER(_xlpm.EndDate), _xlpm.EndDate, DATEVALUE(_xlpm.EndDate)), _xlpm.Code, IF(OR(_xlfn.ISOMITTED(_xlpm.Unit), _xlpm.Unit = ""), "D", UPPER(_xlpm.Unit)), _xlpm.RawMonths, 12 * (YEAR(_xlpm.Finish) - YEAR(_xlpm.Start)) + MONTH(_xlpm.Finish) - MONTH(_xlpm.Start), _xlpm.Months, _xlpm.RawMonths - (EDATE(_xlpm.Start, _xlpm.RawMonths) &gt; _xlpm.Finish), _xlpm.Years, INT(_xlpm.Months / 12), _xlpm.Result, IF(_xlpm.Finish &lt; _xlpm.Start, #NUM!, _xlfn.SWITCH(_xlpm.Code, "Y", _xlpm.Years, "M", _xlpm.Months, "D", _xlpm.Finish - _xlpm.Start, "YM", _xlpm.Months - 12 * _xlpm.Years, "YD", _xlpm.Finish - EDATE(_xlpm.Start, 12 * _xlpm.Years), "MD", _xlpm.Finish - EDATE(_xlpm.Start, _xlpm.Months), #NUM!)), CHOOSE( _xlpm.Help? + 1, _xlpm.Result, _xlpm.Help) ) )</definedName>
    <definedName name="oz.DayCountRateλ" comment="Interest rate for each period of a timeline under a day count convention: 30/360, Actual/360, Actual/365 or Actual/Actual">_xlfn.LAMBDA(_xlop.Timeline,_xlop.APR,_xlop.Convention,_xlop.EndDates, _xlfn.LET( _xlpm.Help, TRIM(_xlfn.TEXTSPLIT( "FUNCTION:      →DayCountRateλ(Timeline, APR, [Convention], [EndDates])¶" &amp; "DESCRIPTION:   →Interest rate for each period of a timeline under a day count convention.¶NOTES!         →Returns a row with one rate per timeline period, whichever way the¶               →timeline runs: APR multiplied by the days in the period and divided by¶               →the days in the year, as the convention counts them. Pass the result to¶               →DebtSculptVariableλ() or DebtSculptVariableLRVλ() as PeriodRates in place¶               →of a flat twelfth of the APR. With start dates each period runs from its¶               →date to the day before the next, and the last period takes its length¶               →from the one before it; with end dates each runs from the day after the¶               →previous date to its own, and the first period is the one inferred. A¶               →gap of 28 days or more is read as whole calendar months, a shorter one¶               →as days. 30/360 counts every month as 30 days on the European rule.¶               →Under Actual/Actual each calendar year uses its own length as the¶               →denominator (the ISDA rule), including periods spanning several years.¶" &amp; "WEBPAGE:       →https://github.com/ryanduguid/Ozzit¶" &amp; "VERSION:       →10 Sep 2026¶" &amp; "PARAMETERS:    →¶" &amp; "Timeline       →(Required) A row or column of period dates, at least two, evenly spaced.¶" &amp; "APR            →(Required) Annual percentage rate, one value or one per period.¶" &amp; "Convention     →(Optional: Default = 3) 1 = 30/360, 2 = Actual/360, 3 = Actual/365, 4 = Actual/Actual. Any other number is #VALUE!.¶" &amp; "EndDates       →(Optional: Default = FALSE) TRUE, or a number other than 0, when the timeline shows period end dates rather than start dates.¶" &amp; "EXAMPLES:      →¶" &amp; "→Formula (oz is assumed to be the module's name)¶" &amp; "→=oz.DayCountRateλ(EDATE(DATE(2026,7,1), {0,1,2}), 0.073)¶" &amp; "→Result¶" &amp; "→0.0062, 0.0062, 0.0060", "→", "¶" )), _xlpm.Help?, OR(_xlfn.ISOMITTED(_xlpm.Timeline), _xlfn.ISOMITTED(_xlpm.APR)), _xlpm.Method, IF(OR(_xlfn.ISOMITTED(_xlpm.Convention), NOT(ISNUMBER(_xlpm.Convention))), 3, _xlpm.Convention), _xlpm.EndFlag, IF(ISLOGICAL(_xlpm.EndDates), _xlpm.EndDates, IF(ISNUMBER(_xlpm.EndDates), _xlpm.EndDates &lt;&gt; 0, FALSE)), _xlpm.Row, IF(ROWS(_xlpm.Timeline) = 1, _xlpm.Timeline, TRANSPOSE(_xlpm.Timeline)), _xlpm.Dates, IF(ISNUMBER(_xlpm.Row), _xlpm.Row, DATEVALUE(_xlpm.Row)), _xlpm.Rate, IF(ROWS(_xlpm.APR) = 1, _xlpm.APR, TRANSPOSE(_xlpm.APR)), _xlpm.Count, COLUMNS(_xlpm.Dates), _xlpm.FirstGap, INDEX(_xlpm.Dates, 1, 2) - INDEX(_xlpm.Dates, 1, 1), _xlpm.LastGap, INDEX(_xlpm.Dates, 1, _xlpm.Count) - INDEX(_xlpm.Dates, 1, _xlpm.Count - 1), _xlpm.FirstDate, INDEX(_xlpm.Dates, 1, 1), _xlpm.FirstMonths, ROUND(_xlpm.FirstGap / 30.5, 0), _xlpm.FirstStart, IF(_xlpm.FirstGap &lt; 28, _xlpm.FirstDate - _xlpm.FirstGap, IF(DAY(_xlpm.FirstDate + 1) = 1, EOMONTH(_xlpm.FirstDate, -_xlpm.FirstMonths), EDATE(_xlpm.FirstDate, -_xlpm.FirstMonths))) + 1, _xlpm.LastDate, INDEX(_xlpm.Dates, 1, _xlpm.Count), _xlpm.LastMonths, ROUND(_xlpm.LastGap / 30.5, 0), _xlpm.LastEnd, IF(_xlpm.LastGap &lt; 28, _xlpm.LastDate + _xlpm.LastGap, IF(DAY(_xlpm.LastDate + 1) = 1, EOMONTH(_xlpm.LastDate, _xlpm.LastMonths), EDATE(_xlpm.LastDate, _xlpm.LastMonths))) - 1, _xlpm.Starts, IF(_xlpm.EndFlag, _xlfn.HSTACK(_xlpm.FirstStart, _xlfn.DROP(_xlpm.Dates, , -1) + 1), _xlpm.Dates), _xlpm.Ends, IF(_xlpm.EndFlag, _xlpm.Dates, _xlfn.HSTACK(_xlfn.DROP(_xlpm.Dates, , 1) - 1, _xlpm.LastEnd)), _xlpm.Next, _xlpm.Ends + 1, _xlpm.Days, IF(_xlpm.Method = 1, 360 * (YEAR(_xlpm.Next) - YEAR(_xlpm.Starts)) + 30 * (MONTH(_xlpm.Next) - MONTH(_xlpm.Starts)) + IF(DAY(_xlpm.Next) &gt; 30, 30, DAY(_xlpm.Next)) - IF(DAY(_xlpm.Starts) &gt; 30, 30, DAY(_xlpm.Starts)), _xlpm.Next - _xlpm.Starts), _xlpm.YearOne, YEAR(_xlpm.Starts), _xlpm.Boundary, DATE(_xlpm.YearOne + 1, 1, 1), _xlpm.Split, IF(_xlpm.Next &lt; _xlpm.Boundary, _xlpm.Next, _xlpm.Boundary), _xlpm.DaysOne, IF(DAY(DATE(_xlpm.YearOne, 2, 29)) = 29, 366, 365), _xlpm.YearLast, YEAR(_xlpm.Next), _xlpm.LastYearStart, DATE(_xlpm.YearLast, 1, 1), _xlpm.DaysLast, DATE(_xlpm.YearLast + 1, 1, 1) - _xlpm.LastYearStart, _xlpm.Fraction, _xlfn.SWITCH(_xlpm.Method, 1, _xlpm.Days / 360, 2, _xlpm.Days / 360, 4, (_xlpm.Split - _xlpm.Starts) / _xlpm.DaysOne + IF(_xlpm.YearLast &gt; _xlpm.YearOne, _xlpm.YearLast - _xlpm.YearOne - 1 + (_xlpm.Next - _xlpm.LastYearStart) / _xlpm.DaysLast, 0), _xlpm.Days / 365), _xlpm.Rates, _xlpm.Rate * _xlpm.Fraction, _xlpm.Result, IF(OR(_xlpm.Count &lt; 2, NOT(OR(_xlpm.Method = {1,2,3,4}))), #VALUE!, _xlpm.Rates), CHOOSE( _xlpm.Help? + 1, _xlpm.Result, _xlpm.Help) ) )</definedName>
    <definedName name="oz.DBλ" comment="Fixed declining balance depreciation method for one asset or asset class.">_xlfn.LAMBDA(_xlop.Cost,_xlop.Salvage,_xlop.Life,_xlop.Months, _xlfn.LET( _xlpm.Help, TRIM(_xlfn.TEXTSPLIT( "FUNCTION:      →DBλ(Cost, Salvage, Life, [Months])¶" &amp; "DESCRIPTION:   →Fixed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"Months         →(Optional) Number of months in the first year to depreciate.¶" &amp; "EXAMPLES:      →¶" &amp; "→Formula (oz is assumed to be the module's name)¶" &amp; "→=oz.DBλ(1000, 100, 5)¶" &amp; "→Result¶" &amp; "→369.00,232.84,146.92,92.71,58.53", "→", "¶" ) ), _xlpm.Help?, OR( _xlfn.ISOMITTED( _xlpm.Cost), _xlfn.ISOMITTED( _xlpm.Salvage), _xlfn.ISOMITTED( _xlpm.Life) ), _xlpm.Months, IF( _xlfn.ISOMITTED( _xlpm.Months), 12, _xlpm.Months), _xlpm.Depn, DB( _xlpm.Cost, _xlpm.Salvage, _xlpm.Life, _xlfn.SEQUENCE( , MAX( _xlpm.Life - 1, 1)), _xlpm.Months), _xlpm.Result, IF( _xlpm.Life &lt; 2, _xlpm.Cost - _xlpm.Salvage, _xlfn.HSTACK( _xlpm.Depn, _xlpm.Cost - SUM( _xlpm.Depn) - _xlpm.Salvage)), CHOOSE( _xlpm.Help? + 1, _xlpm.Result, _xlpm.Help) ) )</definedName>
    <definedName name="oz.DDBλ" comment="Double-declining balance depreciation method for one asset or asset class.">_xlfn.LAMBDA(_xlop.Cost,_xlop.Salvage,_xlop.Life,_xlop.Factor, _xlfn.LET( _xlpm.Help, TRIM(_xlfn.TEXTSPLIT( "FUNCTION:      →DDBλ(Cost, Salvage, Life, [Factor])¶" &amp; "DESCRIPTION:   →Double-declining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"EXAMPLES:      →¶" &amp; "→Formula (oz is assumed to be the module's name)¶" &amp; "→=oz.DDBλ(1000, 100, 5)¶" &amp; "→Result¶" &amp; "→400.00,240.00,144.00,86.40,29.60", "→", "¶" ) ), _xlpm.Help?, OR( _xlfn.ISOMITTED( _xlpm.Cost), _xlfn.ISOMITTED( _xlpm.Salvage), _xlfn.ISOMITTED( _xlpm.Life) ), _xlpm.Factor, IF( _xlfn.ISOMITTED( _xlpm.Factor), 2, _xlpm.Factor), _xlpm.Depn, DDB( _xlpm.Cost, _xlpm.Salvage, _xlpm.Life, _xlfn.SEQUENCE( , MAX( _xlpm.Life - 1, 1)), _xlpm.Factor), _xlpm.Result, IF( _xlpm.Life &lt; 2, _xlpm.Cost - _xlpm.Salvage, _xlfn.HSTACK( _xlpm.Depn, _xlpm.Cost - SUM( _xlpm.Depn) - _xlpm.Salvage)), CHOOSE( _xlpm.Help? + 1, _xlpm.Result, _xlpm.Help) ) )</definedName>
    <definedName name="oz.DebtRatioλ" comment="Measures the extent of a company’s leverage">_xlfn.LAMBDA(_xlop.TotalDebt,_xlop.TotalAssets, _xlfn.LET(_xlpm.Help, TRIM(_xlfn.TEXTSPLIT( "FUNCTION: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"SEE ALSO:      →DebtToAssetRatioλ computes the same ratio under its longer name.¶" &amp; "EXAMPLES:      →Formula (oz is assumed to be the module's name)¶" &amp; ".3             →=oz.DebtRatioλ(30.0, 100.0)", "→", "¶" ) ), _xlpm.Help?, OR( _xlfn.ISOMITTED( _xlpm.TotalDebt), _xlfn.ISOMITTED( _xlpm.TotalAssets) ), _xlpm.Result, _xlpm.TotalDebt/_xlpm.TotalAssets, CHOOSE(_xlpm.Help? + 1, _xlpm.Result, _xlpm.Help) ) )</definedName>
    <definedName name="oz.DebtSculptFixedλ" comment="Creates a debt sculpting schedule where APR and DSCR are fixed for all periods">_xlfn.LAMBDA(_xlop.OpeningBalance,_xlop.Debt,_xlop.CFADS,_xlop.DSCR,_xlop.APR,_xlop.MonthsPerPeriod, _xlfn.LET(_xlpm.Help, TRIM(_xlfn.TEXTSPLIT( "FUNCTION:          →DebtSculptFixedλ([OpeningBalance], Debt, CFADS, DSCR, APR, [MonthsPerPeriod])¶" &amp; "DESCRIPTION:       →Creates a Debt Sculpting schedule where APR and DSCR are fixed for all periods¶"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Debt Service Coverage Ratio, one number for all periods¶" &amp; "APR                →(Required) Interest's Annual Percentage Rate, one number for all periods¶" &amp; "MonthsPerPeriod    →(Optional) Defaults to one month per period.¶" &amp; "EXAMPLES:          →¶" &amp; "Result             →Formula (oz is assumed to be the module's name)¶" &amp; "4 rows, 3 cols     →=oz.DebtSculptFixedλ(, {1000,0,0}, {300,300,300}, 1.2, 6%, 12)", "→", "¶" ) ), _xlpm.Help?, OR( _xlfn.ISOMITTED( _xlpm.Debt), _xlfn.ISOMITTED( _xlpm.CFADS), _xlfn.ISOMITTED( _xlpm.DSCR), _xlfn.ISOMITTED( _xlpm.APR) ), _xlpm.ErrMsgs, {"Debt must be one row of new debt with at least two periods";"CFADS must be one row with the same number of periods as Debt";"DSCR must be a single number holding debt service coverage ratio for all periods";"APR must be a single number holding interest's annual percentage rate for all periods"}, _xlpm.Errors, _xlfn.VSTACK( OR( ROWS( _xlpm.Debt) &lt;&gt; 1, COLUMNS( _xlpm.Debt) &lt;= 1), OR( ROWS( _xlpm.CFADS) &lt;&gt; 1, COLUMNS( _xlpm.CFADS) &lt;&gt; COLUMNS( _xlpm.Debt)), NOT( AND( ISNUMBER( _xlpm.DSCR), ROWS( _xlpm.DSCR) = 1, COLUMNS( _xlpm.DSCR) = 1)), NOT( AND( ISNUMBER( _xlpm.APR), ROWS( _xlpm.APR) = 1, COLUMNS( _xlpm.APR) = 1)) ), _xlpm.Messages, _xlfn._xlws.FILTER( _xlpm.ErrMsgs, _xlpm.Errors, ""), _xlpm.OpeningBalance, IF( ISNUMBER( _xlpm.OpeningBalance), _xlpm.OpeningBalance, 0), _xlpm.MonthsPerPeriod, IF( ISNUMBER( _xlpm.MonthsPerPeriod), _xlpm.MonthsPerPeriod, 1), _xlpm.Rate, _xlpm.APR / 12 * _xlpm.MonthsPerPeriod, _xlpm.Periods, _xlfn.SEQUENCE( 1, COLUMNS( _xlpm.Debt)), _xlpm.NewDebt, INDEX( _xlpm.Debt, 1, _xlpm.Periods), _xlpm.Cash, INDEX( _xlpm.CFADS, 1, _xlpm.Periods), _xlpm.Closings, _xlfn.SCAN( _xlpm.OpeningBalance, _xlpm.Periods, _xlfn.LAMBDA(_xlpm.Carried,_xlpm.Period, _xlfn.LET(_xlpm.Opening, _xlpm.Carried + INDEX( _xlpm.NewDebt, 1, _xlpm.Period), _xlpm.Interest, _xlpm.Opening * _xlpm.Rate, _xlpm.Payment, MIN( INDEX( _xlpm.Cash, 1, _xlpm.Period) / _xlpm.DSCR, _xlpm.Opening + _xlpm.Interest), _xlpm.Opening + _xlpm.Interest - _xlpm.Payment ) ) ), _xlpm.Carried, IF( COLUMNS( _xlpm.Debt) = 1, _xlpm.OpeningBalance, _xlfn.HSTACK( _xlpm.OpeningBalance, _xlfn.DROP( _xlpm.Closings, , -1))), _xlpm.Opening, _xlpm.Carried + _xlpm.NewDebt, _xlpm.Interest, _xlpm.Opening * _xlpm.Rate, _xlpm.Service, _xlpm.Cash / _xlpm.DSCR, _xlpm.Payment,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SculptVariableLRVλ" comment="Creates a debt sculpting schedule where APR and DSCR are set for each period, with interest charged on the average balance">_xlfn.LAMBDA(_xlop.OpeningBalance,_xlop.Debt,_xlop.CFADS,_xlop.DSCR,_xlop.APR,_xlop.MonthsPerPeriod,_xlop.PeriodRates, _xlfn.LET(_xlpm.Help, TRIM(_xlfn.TEXTSPLIT( "FUNCTION:          →DebtSculptVariableLRVλ([OpeningBalance], Debt, CFADS, DSCR, APR, [MonthsPerPeriod], [PeriodRates])¶" &amp; "DESCRIPTION:       →Creates a Debt Sculpting schedule where APR and DSCR are set for each period.¶" &amp; "                   →Interest is charged on the average balance over the period, the method¶" &amp; "                   →presented by Lance Rubin, and the principal repaid is what the cash¶" &amp; "                   →available for debt service leaves after that interest.¶" &amp; "SUGGESTED ROW IDS: →Debt opening balance¶" &amp; "                   →Interest on Principal Balance¶" &amp; "                   →Principal repayments¶"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→=oz.DebtSculptVariableLRVλ(,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periods";"CFADS must be one row with the same number of periods as Debt";"DSCR must be one row with the same number of periods as Debt";"APR or PeriodRates must be one row with the same number of periods as Debt"}, _xlpm.Errors, _xlfn.VSTACK( OR( ROWS( _xlpm.Debt) &lt;&gt; 1, COLUMNS( _xlpm.Debt) &lt;= 1), OR( ROWS( _xlpm.CFADS) &lt;&gt; 1, COLUMNS( _xlpm.CFADS) &lt;&gt; COLUMNS( _xlpm.Debt)), OR( ROWS( _xlpm.DSCR) &lt;&gt; 1, COLUMNS( _xlpm.DSCR) &lt;&gt; COLUMNS( _xlpm.Debt)),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_xlpm.Cash, INDEX( _xlpm.CFADS, 1, _xlpm.Periods), _xlpm.Cover, INDEX( _xlpm.DSCR, 1, _xlpm.Periods), _xlpm.Closings, _xlfn.SCAN( _xlpm.OpeningBalance, _xlpm.Periods, _xlfn.LAMBDA(_xlpm.Carried,_xlpm.Period, _xlfn.LET(_xlpm.Opening, _xlpm.Carried + INDEX( _xlpm.NewDebt, 1, _xlpm.Period), _xlpm.Interest, oz.InterestLRVλ( INDEX( _xlpm.Cash, 1, _xlpm.Period), INDEX( _xlpm.Cover, 1, _xlpm.Period), _xlpm.Opening, INDEX( _xlpm.Rates, 1, _xlpm.Period)), _xlpm.Payment, MIN( INDEX( _xlpm.Cash, 1, _xlpm.Period) / INDEX( _xlpm.Cover, 1, _xlpm.Period) - _xlpm.Interest, _xlpm.Opening), _xlpm.Opening - _xlpm.Payment ) ) ), _xlpm.Carried, IF( COLUMNS( _xlpm.Debt) = 1, _xlpm.OpeningBalance, _xlfn.HSTACK( _xlpm.OpeningBalance, _xlfn.DROP( _xlpm.Closings, , -1))), _xlpm.Opening, _xlpm.Carried + _xlpm.NewDebt, _xlpm.Interest, _xlfn.MAP( _xlpm.Periods, _xlfn.LAMBDA(_xlpm.Period, oz.InterestLRVλ( INDEX( _xlpm.Cash, 1, _xlpm.Period), INDEX( _xlpm.Cover, 1, _xlpm.Period), INDEX( _xlpm.Opening, 1, _xlpm.Period), INDEX( _xlpm.Rates, 1, _xlpm.Period)) ) ), _xlpm.Available, _xlpm.Cash / _xlpm.Cover - _xlpm.Interest, _xlpm.Payment, IF( _xlpm.Available &lt; _xlpm.Opening, _xlpm.Available, _xlpm.Opening), _xlpm.Closing, _xlpm.Opening - _xlpm.Payment, _xlpm.Result, _xlfn.VSTACK( _xlpm.Opening, _xlpm.Interest, -_xlpm.Payment, _xlpm.Closing), _xlpm.Return, IF( _xlpm.Help?, 2, IF( OR( _xlpm.Errors), 3, 1)), CHOOSE( _xlpm.Return, _xlpm.Result, _xlpm.Help, _xlpm.Messages) ) )</definedName>
    <definedName name="oz.DebtSculptVariableλ" comment="Creates a debt sculpting schedule where APR and DSCR are set for each period">_xlfn.LAMBDA(_xlop.OpeningBalance,_xlop.Debt,_xlop.CFADS,_xlop.DSCR,_xlop.APR,_xlop.MonthsPerPeriod,_xlop.PeriodRates, _xlfn.LET(_xlpm.Help, TRIM(_xlfn.TEXTSPLIT( "FUNCTION:          →DebtSculptVariableλ([OpeningBalance], Debt, CFADS, DSCR, APR, [MonthsPerPeriod], [PeriodRates])¶" &amp; "DESCRIPTION:       →Creates a Debt Sculpting schedule where APR and DSCR are set for each period¶"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periods";"CFADS must be one row with the same number of periods as Debt";"DSCR must be one row with the same number of periods as Debt";"APR or PeriodRates must be one row with the same number of periods as Debt"}, _xlpm.Errors, _xlfn.VSTACK( OR( ROWS( _xlpm.Debt) &lt;&gt; 1, COLUMNS( _xlpm.Debt) &lt;= 1), OR( ROWS( _xlpm.CFADS) &lt;&gt; 1, COLUMNS( _xlpm.CFADS) &lt;&gt; COLUMNS( _xlpm.Debt)), OR( ROWS( _xlpm.DSCR) &lt;&gt; 1, COLUMNS( _xlpm.DSCR) &lt;&gt; COLUMNS( _xlpm.Debt)),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_xlpm.Cash, INDEX( _xlpm.CFADS, 1, _xlpm.Periods), _xlpm.Cover, INDEX( _xlpm.DSCR, 1, _xlpm.Periods), _xlpm.Closings, _xlfn.SCAN( _xlpm.OpeningBalance, _xlpm.Periods, _xlfn.LAMBDA(_xlpm.Carried,_xlpm.Period, _xlfn.LET(_xlpm.Opening, _xlpm.Carried + INDEX( _xlpm.NewDebt, 1, _xlpm.Period), _xlpm.Interest, _xlpm.Opening * INDEX( _xlpm.Rates, 1, _xlpm.Period), _xlpm.Payment, MIN( INDEX( _xlpm.Cash, 1, _xlpm.Period) / INDEX( _xlpm.Cover, 1, _xlpm.Period), _xlpm.Opening + _xlpm.Interest), _xlpm.Opening + _xlpm.Interest - _xlpm.Payment ) ) ), _xlpm.Carried, IF( COLUMNS( _xlpm.Debt) = 1, _xlpm.OpeningBalance, _xlfn.HSTACK( _xlpm.OpeningBalance, _xlfn.DROP( _xlpm.Closings, , -1))), _xlpm.Opening, _xlpm.Carried + _xlpm.NewDebt, _xlpm.Interest, _xlpm.Opening * _xlpm.Rates, _xlpm.Service, _xlpm.Cash / _xlpm.Cover, _xlpm.Payment,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ToAssetRatioλ" comment="Analysts can compare one company's leverage with that of other _x000a_companies in the same industry. (Total Debt/Total Assets)">_xlfn.LAMBDA(_xlop.TotalDebt,_xlop.TotalAssets, _xlfn.LET(_xlpm.Help, TRIM(_xlfn.TEXTSPLIT( "FUNCTION: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Total Assets ¶" &amp; "SEE ALSO:          →DebtRatioλ computes the same ratio under its shorter name.¶" &amp; "EXAMPLES:          →Formula (oz is assumed to be the module's name)¶" &amp; ".49873             →=oz.DebtToAssetRatioλ(31.845, 63.852 )", "→", "¶" ) ), _xlpm.Help?, OR( _xlfn.ISOMITTED( _xlpm.TotalDebt), _xlfn.ISOMITTED( _xlpm.TotalAssets) ), _xlpm.Result, _xlpm.TotalDebt /_xlpm.TotalAssets, CHOOSE(_xlpm.Help? + 1, _xlpm.Result, _xlpm.Help) ) )</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 "FUNCTION: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 ), _xlpm.Help?, OR( _xlfn.ISOMITTED( _xlpm.TotalLiabilities), _xlfn.ISOMITTED( _xlpm.ShareholdersEquity) ), _xlpm.Result, _xlpm.TotalLiabilities/_xlpm.ShareholdersEquity, CHOOSE(_xlpm.Help? + 1, _xlpm.Result, _xlpm.Help) ) )</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_xlfn.LAMBDA(_xlop.InitialValues,_xlop.InServiceDates,_xlop.LifeInYears,_xlop.Timeline,_xlop.SalvageValues,_xlop.DisposalDates,_xlop.DisposalCosts,_xlop.Methods,_xlop.Factors,_xlfn.LET(_xlpm.Help,TRIM(_xlfn.TEXTSPLIT("FUNCTION:      →Depreciateλ(InitialValues, InServiceDates, LifeInYears, Timeline, ¶"&amp;"               →[SalvageValues], [DisposalDates], [DisposalCosts], [Methods], [Factors])¶"&amp;"DESCRIPTION:   →Creates an array of CAPEX, depreciation, and book values for a model's timeline¶"&amp;"WEBPAGE:       →https://github.com/ryanduguid/Ozzit ¶"&amp;"VERSION:       →20 Aug 2026¶"&amp;"NOTES:         →The methods used here differ from Excel's functions in several ways. Please see webpage for details.¶"&amp;"PARAMETERS:    →¶"&amp;"InitialValues  →(Required) The purchase values of each asset to depreciate¶"&amp;"InServiceDates →(Required) The dates from which to start depreciating each asset¶"&amp;"LifeInYears    →(Required) The whole number of years over which to depreciate each asset.¶"&amp;"               →More than 0 and no more than 100. A date here is not a life:¶"&amp;"               →the arguments read InitialValues, InServiceDates, LifeInYears, Timeline.¶"&amp;"Timeline       →(Required) The model's timeline or a row of period start dates. ¶"&amp;"               →Timeline can be any interval: days, weeks, months, quarters or years¶"&amp;"SalvageValues  →(Optional: Default = 0) The book values of each asset after fully depreciated.¶"&amp;"DisposalDates  →(Optional: Default = End of life) The dates on which the assets are removed from the books.¶"&amp;"→A disposal before the end of life writes the remaining book value off in that month.¶"&amp;"DisposalCosts  →(Optional: Default = 0) The costs of removing each asset from the books, charged in the disposal period.¶"&amp;"Methods        →(Optional: Default = SLN) The desired depreciation method. Must be one of these method codes: ¶"&amp;"→SLN=Straight Line Depreciation¶"&amp;"→SYD=Sum of Year's Digits¶"&amp;"→DB =Declining Balance¶"&amp;"→DDB=Double Declining Balance¶"&amp;"→VDB=Variable Declining Balance¶"&amp;"→DV =Diminishing balance at 200% of straight line. Salvage value ignored¶"&amp;"→PC =Straight line, whole years. Salvage value ignored¶"&amp;"Factors        →(Optional: Default = 2) Only applicable to DDB and VDB methods.","→","¶")),_xlpm.Help?,OR(_xlfn.ISOMITTED(_xlpm.InitialValues),_xlfn.ISOMITTED(_xlpm.LifeInYears),_xlfn.ISOMITTED(_xlpm.InServiceDates),_xlfn.ISOMITTED(_xlpm.Timeline)),_xlpm.MethodArray,{"SLN","SYD","DB","DDB","VDB","DV","PC"},_xlpm.Mpy,12,_xlpm.LifeGiven,IF(_xlfn.ISOMITTED(_xlpm.LifeInYears),1,_xlpm.LifeInYears),_xlpm.LifeNums,IFERROR(VALUE(_xlpm.LifeGiven),-1),_xlpm.BadLife?,OR(MIN(_xlpm.LifeNums)&lt;=0,MAX(_xlpm.LifeNums)&gt;100,SUMPRODUCT(--(MOD(_xlpm.LifeNums,1)&lt;&gt;0))&gt;0),_xlpm.LifeMessage,"LifeInYears must be a whole number of years greater than 0 and no more than 100. "&amp;"Check the argument order: InitialValues, InServiceDates, LifeInYears, Timeline.",_xlpm.SalvageValues,IF(_xlfn.ISOMITTED(_xlpm.SalvageValues),_xlfn.MAP(_xlpm.InitialValues,_xlfn.LAMBDA(_xlpm.Ele,0)),_xlfn.MAP(_xlpm.SalvageValues,_xlfn.LAMBDA(_xlpm.v,IFERROR(VALUE(_xlpm.v),0)))),_xlpm.CvtSrvDates,IF(NOT(_xlfn.ISOMITTED(_xlpm.InServiceDates)),IF(ISNUMBER(_xlpm.InServiceDates),_xlpm.InServiceDates,DATEVALUE(_xlpm.InServiceDates))),_xlpm.DisposalDates,IF(_xlfn.ISOMITTED(_xlpm.DisposalDates),EDATE(+_xlpm.CvtSrvDates,_xlpm.LifeInYears*12),_xlfn.MAKEARRAY(ROWS(_xlpm.DisposalDates),1,_xlfn.LAMBDA(_xlpm.R,_xlpm.C,IF(INDEX(_xlpm.DisposalDates,_xlpm.R)="",EDATE(INDEX(_xlpm.CvtSrvDates,_xlpm.R),INDEX(_xlpm.LifeInYears,_xlpm.R)*12),INDEX(_xlpm.DisposalDates,_xlpm.R))))),_xlpm.DisposalCosts,IF(_xlfn.ISOMITTED(_xlpm.DisposalCosts),_xlfn.MAP(_xlpm.InitialValues,_xlfn.LAMBDA(_xlpm.Ele,0)),_xlpm.DisposalCosts),_xlpm.Methods,IF(_xlfn.ISOMITTED(_xlpm.Methods),_xlfn.MAP(_xlpm.InitialValues,_xlfn.LAMBDA(_xlpm.Ele,"SLN")),_xlfn.MAP(_xlpm.Methods,_xlfn.LAMBDA(_xlpm.v,IF(TRIM(_xlpm.v)="","SLN",_xlpm.v)))),_xlpm.Factors,IF(_xlfn.ISOMITTED(_xlpm.Factors),_xlfn.MAP(_xlpm.InitialValues,_xlfn.LAMBDA(_xlpm.Ele,2)),_xlfn.MAP(_xlpm.Factors,_xlfn.LAMBDA(_xlpm.v,IF(TRIM(_xlpm.v)="",2,_xlpm.v)))),_xlpm.TimelineCols,COLUMNS(_xlpm.Timeline),_xlpm.FirstPeriod,INDEX(_xlpm.Timeline,1),_xlpm.SecondPeriod,INDEX(_xlpm.Timeline,2),_xlpm.DpP,_xlpm.SecondPeriod-_xlpm.FirstPeriod,_xlpm.SubMonthly?,_xlpm.DpP&lt;28,_xlpm.MpP,MAX(_xlfn.SINGLE(ROUND(_xlpm.DpP/30.5,0)),1),_xlpm.LastGap,MAX(_xlpm.Timeline)-INDEX(_xlpm.Timeline,_xlpm.TimelineCols-1),_xlpm.LastEnd,IF(_xlpm.SubMonthly?,MAX(_xlpm.Timeline)+_xlpm.LastGap,EDATE(MAX(_xlpm.Timeline),_xlpm.MpP))-1,_xlpm.EndDates,_xlfn.HSTACK(_xlfn.MAP(_xlfn.SEQUENCE(,_xlpm.TimelineCols-1),_xlfn.LAMBDA(_xlpm.n,INDEX(_xlpm.Timeline,_xlpm.n+1)-1)),_xlpm.LastEnd),_xlpm.Result,_xlfn.REDUCE(0,_xlfn.SEQUENCE(ROWS(_xlpm.InitialValues)),_xlfn.LAMBDA(_xlpm.Block,_xlpm.Asset,_xlfn.LET(_xlpm.Method,_xlfn.SINGLE(INDEX(_xlpm.Methods,_xlpm.Asset)),_xlpm.Years,IF(_xlpm.BadLife?,1,_xlfn.SINGLE(INDEX(_xlpm.LifeInYears,_xlpm.Asset))),_xlpm.InitialValue,_xlfn.SINGLE(INDEX(_xlpm.InitialValues,_xlpm.Asset)),_xlpm.SalvageValue,IF(OR(_xlpm.Method="DV",_xlpm.Method="PC"),0,_xlfn.SINGLE(INDEX(_xlpm.SalvageValues,_xlpm.Asset))),_xlpm.InServiceDate,_xlfn.SINGLE(INDEX(_xlpm.CvtSrvDates,_xlpm.Asset)),_xlpm.DisposalDate,_xlfn.SINGLE(INDEX(_xlpm.DisposalDates,_xlpm.Asset)),_xlpm.DisposalCost,_xlfn.SINGLE(INDEX(_xlpm.DisposalCosts,_xlpm.Asset)),_xlpm.Factor,_xlfn.SINGLE(INDEX(_xlpm.Factors,_xlpm.Asset)),_xlpm.LifeInMonths,oz.PeriodDiffλ(_xlpm.InServiceDate,_xlpm.DisposalDate,"M"),_xlpm.Depreciate,CHOOSE(MATCH(_xlfn.SINGLE(_xlpm.Method),_xlpm.MethodArray,0),oz.SLNλ(_xlpm.InitialValue,_xlpm.SalvageValue,_xlpm.Years),oz.SYDλ(_xlpm.InitialValue,_xlpm.SalvageValue,_xlpm.Years),oz.DBλ(_xlpm.InitialValue,_xlpm.SalvageValue,_xlpm.Years),oz.DDBλ(_xlpm.InitialValue,_xlpm.SalvageValue,_xlpm.Years,_xlpm.Factor),oz.VDBλ(_xlpm.InitialValue,_xlpm.SalvageValue,_xlpm.Years,_xlpm.Factor),oz.DiminishingValueλ(_xlpm.InitialValue,_xlpm.Years),oz.PrimeCostλ(_xlpm.InitialValue,_xlpm.Years),),_xlpm.Monthly,oz.Allocateλ(_xlpm.Depreciate,"Y","M"),_xlpm.Months,_xlpm.LifeInMonths-1,_xlpm.Allocate,IF(_xlpm.Months&lt;1,_xlpm.InitialValue,IF(_xlpm.Months&gt;=COLUMNS(_xlpm.Monthly),_xlfn.HSTACK(_xlfn.EXPAND(_xlpm.Monthly,1,_xlpm.Months,0),_xlpm.SalvageValue),_xlfn.HSTACK(_xlfn.TAKE(_xlpm.Monthly,,_xlpm.Months),_xlpm.InitialValue-SUM(_xlfn.TAKE(_xlpm.Monthly,,_xlpm.Months))))),_xlpm.Opening,_xlfn.DROP(_xlfn.HSTACK(_xlpm.InitialValue,_xlfn.SCAN(_xlpm.InitialValue,_xlpm.Allocate,_xlfn.LAMBDA(_xlpm.Acc,_xlpm.Val,_xlpm.Acc-_xlpm.Val))),0,-1),_xlpm.AssetTimeline,EDATE(_xlpm.InServiceDate,_xlfn.SEQUENCE(,_xlpm.LifeInMonths,0)),_xlpm.Buckets,IFERROR(MATCH(_xlpm.AssetTimeline,_xlpm.Timeline,1),0)*(_xlpm.AssetTimeline&lt;=_xlpm.LastEnd),_xlpm.InPeriod,(_xlfn.TOCOL(_xlpm.Buckets)=_xlfn.SEQUENCE(1,_xlpm.TimelineCols))*1,_xlpm.Depreciation,MMULT(_xlpm.Allocate,_xlpm.InPeriod),_xlpm.CAPEX,_xlpm.InitialValue*(_xlpm.Timeline&lt;=_xlpm.InServiceDate)*(_xlpm.EndDates&gt;=_xlpm.InServiceDate),_xlpm.Earlier,IF(_xlpm.LifeInMonths=1,0,_xlfn.HSTACK(0,_xlfn.DROP(_xlpm.Buckets,,-1))),_xlpm.FirstInPeriod,(_xlpm.Buckets&lt;&gt;_xlpm.Earlier)*(_xlpm.Buckets&gt;0),_xlpm.OpeningAmount,MMULT(_xlpm.Opening*_xlpm.FirstInPeriod,_xlpm.InPeriod),_xlpm.BookValue,_xlpm.OpeningAmount-_xlpm.Depreciation,_xlpm.SalesRevenue,_xlpm.SalvageValue*(_xlpm.Timeline&lt;=_xlpm.DisposalDate)*(_xlpm.EndDates&gt;=_xlpm.DisposalDate),_xlpm.DisposalExp,_xlpm.DisposalCost*(_xlpm.Timeline&lt;=_xlpm.DisposalDate)*(_xlpm.EndDates&gt;=_xlpm.DisposalDate),_xlpm.NewBlock,_xlfn.VSTACK(_xlpm.CAPEX,_xlpm.OpeningAmount,_xlpm.Depreciation,_xlpm.BookValue,_xlpm.SalesRevenue,_xlpm.DisposalExp),_xlpm.Result,IF(_xlpm.Asset=1,_xlpm.NewBlock,_xlfn.VSTACK(_xlpm.Block,_xlfn.EXPAND("",1,_xlpm.TimelineCols,""),_xlpm.NewBlock)),_xlpm.Result))),_xlpm.Return,IF(_xlpm.Help?,2,IF(_xlpm.BadLife?,3,1)),CHOOSE(_xlpm.Return,_xlpm.Result,_xlpm.Help,_xlpm.LifeMessage)))</definedName>
    <definedName name="oz.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oz.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Revenue - Certain Operating Expenses¶" &amp; "TotalDebtService   →(Required) Interest * (1-Tax Rate), principal, sinking fund,¶" &amp; "→and lease payments due in the coming year¶" &amp; "EXAMPLES:          →Formula (oz is assumed to be the module's name)¶" &amp; "6.142857           →=oz.DSCRλ(2150.0, 350.0)", "→", "¶")), _xlpm.Help?, OR(_xlfn.ISOMITTED(_xlpm.NetOperatingIncome), _xlfn.ISOMITTED(_xlpm.TotalDebtService)), _xlpm.Result, _xlpm.NetOperatingIncome / _xlpm.TotalDebtService, CHOOSE(_xlpm.Help? + 1, _xlpm.Result, _xlpm.Help)))</definedName>
    <definedName name="oz.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→20 Aug 2026¶" &amp; "PARAMETERS:→¶" &amp; "AverageInventory→  (Required) Average of period open and close Inventory¶" &amp; "CostOfGoodsSold→   (Required) Cost of Goods Sold (COGS) ¶" &amp; "EXAMPLES:          →Formula (oz is assumed to be the module's name)¶" &amp; "40.8949 days       →=oz.DSIλ(54.9, 490 )", "→", "¶")), _xlpm.Help?, OR(_xlfn.ISOMITTED(_xlpm.AverageInventory), _xlfn.ISOMITTED(_xlpm.CostOfGoodsSold)), _xlpm.DpY, 365, _xlpm.Result, _xlpm.AverageInventory / _xlpm.CostOfGoodsSold * _xlpm.DpY, CHOOSE(_xlpm.Help? + 1, _xlpm.Result, _xlpm.Help)))</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(oz is assumed to be the module's name)¶" &amp; "1.909548           →=oz.EPSλ( 7.6,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Yearλ" comment="Labels dates with their Australian financial year, which starts on 1 July">_xlfn.LAMBDA(_xlop.Dates,_xlop.StartMonth, _xlfn.LET( _xlpm.Help, TRIM(_xlfn.TEXTSPLIT( "FUNCTION:      →FinancialYearλ(Dates, [StartMonth])¶" &amp; "DESCRIPTION:   →Labels dates with their Australian financial year, which starts on 1 July.¶" &amp; "WEBPAGE:       →https://github.com/ryanduguid/Ozzit¶" &amp; "VERSION:       →20 Aug 2026¶" &amp; "PARAMETERS:    →¶" &amp; "Dates          →(Required) One or more dates, numeric or text. A blank cell returns a blank.¶" &amp; "StartMonth     →(Optional: Default = 7) Month the financial year starts.¶" &amp; "EXAMPLES:      →¶" &amp; "→Formula (oz is assumed to be the module's name)¶" &amp; "→=oz.FinancialYearλ(DATE(2026,8,15))¶" &amp; "→Result¶" &amp; "→FY2027", "→", "¶" )), _xlpm.Help?, _xlfn.ISOMITTED(_xlpm.Dates), _xlpm.FYStart, IF(_xlfn.ISOMITTED(_xlpm.StartMonth), 7, _xlpm.StartMonth), _xlpm.CvtDates, IF( _xlfn.ISOMITTED( _xlpm.Dates), FALSE, IF( ISNUMBER( _xlpm.Dates), _xlpm.Dates, IF( _xlpm.Dates = "", 0, DATEVALUE( _xlpm.Dates))) ), _xlpm.Result, IF(_xlpm.CvtDates = 0, "", "FY" &amp; TEXT(YEAR(_xlpm.CvtDates) + (_xlpm.FYStart&gt;1) * (MONTH(_xlpm.CvtDates) &gt;= _xlpm.FYStart), "0000")), CHOOSE( _xlpm.Help? + 1, _xlpm.Result, _xlpm.Help) ) )</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_xlfn.LAMBDA(_xlop.Amounts,_xlop.Rate, _xlfn.LET(_xlpm.Help, TRIM(_xlfn.TEXTSPLIT("FUNCTION:      →GSTAddλ(Amounts, [Rate])¶" &amp; "DESCRIPTION:   →Adds GST to one or more GST-exclusive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_xlpm.Help?, _xlfn.ISOMITTED(_xlpm.Amounts), _xlpm.GSTRate, IF(OR(_xlfn.ISOMITTED(_xlpm.Rate), TRIM(_xlpm.Rate &amp; "")=""), 0.1, _xlpm.Rate), _xlpm.Result, IF(TRIM(_xlpm.Amounts &amp; "")="", "", _xlpm.Amounts * (1 + _xlpm.GSTRate)), CHOOSE(_xlpm.Help? + 1, _xlpm.Result, _xlpm.Help)))</definedName>
    <definedName name="oz.GSTExtractλ" comment="Returns the GST contained in one or more GST-inclusive amounts.">_xlfn.LAMBDA(_xlop.Amounts,_xlop.Rate, _xlfn.LET(_xlpm.Help, TRIM(_xlfn.TEXTSPLIT("FUNCTION:      →GSTExtractλ(Amounts, [Rate])¶" &amp; "DESCRIPTION:   →Returns the GST contained in one or more GST-inclusive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on the average balance over the period, the method presented by Lance Rubin">_xlfn.LAMBDA(_xlop.CFADS,_xlop.DSCR,_xlop.Principal,_xlop.InterestRate, _xlfn.LET(_xlpm.Help, TRIM(_xlfn.TEXTSPLIT( "FUNCTION:      →InterestLRVλ(CFADS, DSCR, Principal, InterestRate)¶" &amp; "DESCRIPTION:   →Calculates debt sculpting interest using the method presented by Lance Rubin.¶" &amp; "→Interest is charged on the average balance over the period, with the¶" &amp; "→principal repaid capped at the principal outstanding. The average balance¶" &amp; "→depends on the interest and the interest on the average balance, which¶" &amp; "→is solved in closed form rather than by iteration.¶" &amp; "WEBPAGE:       →https://github.com/ryanduguid/Ozzit¶" &amp; "VERSION:       →20 Aug 2026¶" &amp; "PARAMETERS:    →¶" &amp; "CFADS          →(Required) Cash Flow Available for Debt Service for this period¶" &amp; "DSCR           →(Required) Debt Service Coverage Ratio for this period¶" &amp; "Principal      →(Required) Principal balance for this period¶" &amp; "InterestRate   →(Required) Interest rate for this period (eg. APR/Days in this year * Days in this period)¶" &amp; "EXAMPLES:      →¶" &amp; "Result         →Formula (oz is assumed to be the module's name)¶" &amp; "222.90         →=oz.InterestLRVλ( 6666.37, 3.50, 90000, 3%/12)", "→", "¶" ) ), _xlpm.Help?, OR( _xlfn.ISOMITTED( _xlpm.CFADS), _xlfn.ISOMITTED( _xlpm.DSCR), _xlfn.ISOMITTED( _xlpm.Principal), _xlfn.ISOMITTED( _xlpm.InterestRate) ), _xlpm.ErrMsgs, {"CFADS must be a single number holding cash available for debt service for this period";"DSCR must be a single number holding debt service coverage ratio for this period";"Principal must be a single number holding this period's opening debt balance";"InterestRate must be a single number holding this period's interest rate (APR/Days in this year * Days in this period)"}, _xlpm.Errors, _xlfn.VSTACK( NOT( AND( ISNUMBER( _xlpm.CFADS), COLUMNS( _xlpm.CFADS) = 1)), NOT( AND( ISNUMBER( _xlpm.DSCR), COLUMNS( _xlpm.DSCR) = 1)), NOT( AND( ISNUMBER( _xlpm.Principal), COLUMNS( _xlpm.Principal) = 1)), NOT( AND( ISNUMBER( _xlpm.InterestRate), COLUMNS( _xlpm.InterestRate) = 1)) ), _xlpm.Messages, _xlfn._xlws.FILTER( _xlpm.ErrMsgs, _xlpm.Errors, ""), _xlpm.DebtService, _xlpm.CFADS / _xlpm.DSCR, _xlpm.Capped?, _xlpm.DebtService &gt;= _xlpm.Principal * ( 1 + _xlpm.InterestRate / 2), _xlpm.Interest, IF( _xlpm.Capped?, _xlpm.Principal * _xlpm.InterestRate / 2, _xlpm.InterestRate * ( 2 * _xlpm.Principal - _xlpm.DebtService) / ( 2 - _xlpm.InterestRate) ), _xlpm.Result, MAX( _xlpm.Interest, 0), _xlpm.Return, IF( _xlpm.Help?, 2, IF( OR( _xlpm.Errors), 3, 1)), CHOOSE( _xlpm.Return, _xlpm.Result, _xlpm.Help, _xlpm.Messages) ) )</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whether a value is one of a list of items">_xlfn.LAMBDA(_xlop.Value,_xlop.List, _xlfn.LET(_xlpm.Help, TRIM(_xlfn.TEXTSPLIT( "FUNCTION:      →IsInListUλ(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→=IsInListUλ(1, {2,3,4})¶" &amp; "TRUE           →=IsInListUλ(1, {1,3,5})¶" &amp; "→", "→", "¶" ) ), _xlpm.Help?, OR( _xlfn.ISOMITTED( _xlpm.Value), _xlfn.ISOMITTED( _xlpm.List) ), _xlpm.Result, ISNUMBER( _xlfn.XMATCH( _xlpm.Value, _xlfn.TOCOL( _xlpm.List), 0)), CHOOSE(_xlpm.Help? + 1, _xlpm.Result, _xlpm.Help) ) )</definedName>
    <definedName name="oz.IsInListλ" comment="Determine whether a value is one of a list of items">_xlfn.LAMBDA(_xlop.Value,_xlop.List, _xlfn.LET(_xlpm.Help, TRIM(_xlfn.TEXTSPLIT( "FUNCTION:      →IsInListλ(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→=IsInListλ(1, {2,3,4})¶" &amp; "TRUE           →=IsInListλ(1, {1,3,5})¶" &amp; "→", "→", "¶" ) ), _xlpm.Help?, OR( _xlfn.ISOMITTED( _xlpm.Value), _xlfn.ISOMITTED( _xlpm.List) ), _xlpm.Result, ISNUMBER( _xlfn.XMATCH( _xlpm.Value, _xlfn.TOCOL( _xlpm.List), 0)), CHOOSE(_xlpm.Help? + 1, _xlpm.Result, _xlpm.Help) ) )</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 _xlpm.Help, TRIM(_xlfn.TEXTSPLIT( "FUNCTION: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"NOTE!          →A monthly, quarterly, semi-annual or annual item that starts on the 29th, 30th or 31st¶" &amp; "→falls on the last day of any shorter month.¶" &amp; "EXAMPLES:      →¶" &amp; "Result         →Formula (oz is assumed to be the module's name)¶" &amp; "72             →=SUM(N(oz.IsOccurrenceDateλ(SEQUENCE(,90,""1/7/2026""), ""1/7/2026"", ""10/9/2026"", ""D"")))¶" &amp; "01             →=SUM(N(oz.IsOccurrenceDateλ(SEQUENCE(,90,""1/7/2026""), ""1/7/2026"", ""10/9/2026"", ""O"")))¶" &amp; "11             →=SUM(N(oz.IsOccurrenceDateλ(SEQUENCE(,90,""1/7/2026""), ""1/7/2026"", ""10/9/2026"", ""W"")))", "→", "¶" ) ), _xlpm.SemiAnnually, 6, _xlpm.Quarterly, 3, _xlpm.Biweekly, 14, _xlpm.Weekly, 7, _xlpm.Mon2Sun, 2, _xlpm.Friday, 5, _xlpm.Help?, OR( _xlfn.ISOMITTED( _xlpm.Dates), _xlfn.ISOMITTED( _xlpm.FirstOccurrence) ), _xlpm.CvtDates, IF( _xlfn.ISOMITTED( _xlpm.Dates), FALSE, IF( ISNUMBER( _xlpm.Dates), _xlpm.Dates, DATEVALUE( _xlpm.Dates)) ), _xlpm.CvtFirsts, IF( _xlfn.ISOMITTED( _xlpm.FirstOccurrence), FALSE, IF( ISNUMBER( _xlpm.FirstOccurrence), _xlpm.FirstOccurrence, DATEVALUE( _xlpm.FirstOccurrence)) ), _xlpm.CvtLasts, IF( _xlfn.ISOMITTED( _xlpm.LastOccurrence), FALSE, IF( OR( ISNUMBER( _xlpm.LastOccurrence), TRIM( _xlpm.LastOccurrence) = ""), _xlpm.LastOccurrence, DATEVALUE( _xlpm.LastOccurrence)) ), _xlpm.Repeats, IF( OR( _xlfn.ISOMITTED(_xlpm.Repeats), TRIM( _xlpm.Repeats) = "" ), "O", LEFT(_xlpm.Repeats, 1)), _xlpm.MonthEnds, DAY( EOMONTH( _xlpm.CvtDates, 0)), _xlpm.SameDay, DAY( _xlpm.CvtDates) = IF( DAY( _xlpm.CvtFirsts) &gt; _xlpm.MonthEnds, _xlpm.MonthEnds, DAY( _xlpm.CvtFirsts)), _xlpm.SameMonth, MONTH( _xlpm.CvtDates) = MONTH( _xlpm.CvtFirsts), _xlpm.Test, ( _xlpm.CvtFirsts &lt;= _xlpm.CvtDates) * IF(TRIM( _xlpm.CvtLasts) = "", 1, _xlpm.CvtDates &lt;= _xlpm.CvtLasts) * _xlfn.SWITCH( _xlpm.Repeats, "O", _xlpm.CvtDates = _xlpm.CvtFirsts, "A", _xlpm.SameDay * _xlpm.SameMonth, "S", _xlpm.SameDay * (MOD( MONTH( _xlpm.CvtDates), _xlpm.SemiAnnually) = MOD( MONTH( _xlpm.CvtFirsts), _xlpm.SemiAnnually)), "Q", _xlpm.SameDay * (MOD( MONTH( _xlpm.CvtDates), _xlpm.Quarterly) = MOD( MONTH( _xlpm.CvtFirsts), _xlpm.Quarterly)), "M", _xlpm.SameDay, "B", MOD( _xlpm.CvtDates, _xlpm.Biweekly) = MOD( _xlpm.CvtFirsts, _xlpm.Biweekly), "W", MOD( _xlpm.CvtDates, _xlpm.Weekly) = MOD( _xlpm.CvtFirsts, _xlpm.Weekly), "X", WEEKDAY( _xlpm.CvtDates, _xlpm.Mon2Sun) &lt;= _xlpm.Friday, "D", TRUE, 0 ), _xlpm.Result, _xlpm.Test = 1, CHOOSE( _xlpm.Help? + 1, _xlpm.Result, _xlpm.Help) ) )</definedName>
    <definedName name="oz.LabelAmortiseλ" comment="Create labels for Amortiseλ">_xlfn.LAMBDA(_xlop.LoanNames,_xlop.LoanAmounts,_xlop.LoanAPRs,_xlop.LoanTerms, _xlfn.LET( _xlpm.Help, TRIM(_xlfn.TEXTSPLIT( "FUNCTION: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 ), _xlpm.Help?, _xlfn.ISOMITTED( _xlpm.LoanNames), _xlpm.Optionals, NOT( OR( _xlfn.ISOMITTED( _xlpm.LoanAmounts), _xlfn.ISOMITTED( _xlpm.LoanAPRs), _xlfn.ISOMITTED( _xlpm.LoanTerms) )), _xlpm.Result, _xlfn.MAKEARRAY( ROWS( _xlpm.LoanNames) * 7 - 1, IF( _xlpm.Optionals, 3, 1), _xlfn.LAMBDA(_xlpm.Row,_xlpm.Col, _xlfn.LET(_xlpm.Idx, QUOTIENT( _xlpm.Row - 1, 7) + 1, _xlpm.Line, MOD( _xlpm.Row - 1, 7) + 1, _xlpm.LoanName, INDEX( _xlpm.LoanNames, _xlpm.Idx), _xlpm.LoanAmount, IF(_xlfn.ISOMITTED( _xlpm.LoanAmounts), 0, INDEX( _xlpm.LoanAmounts, _xlpm.Idx)), _xlpm.LoanAPR, IF(_xlfn.ISOMITTED( _xlpm.LoanAPRs), 0, INDEX( _xlpm.LoanAPRs, _xlpm.Idx)), _xlpm.LoanTerm, IF(_xlfn.ISOMITTED( _xlpm.LoanTerms), 0, INDEX( _xlpm.LoanTerms, _xlpm.Idx)), _xlfn.SWITCH( _xlpm.Col, 1, _xlfn.SWITCH( _xlpm.Line, 1, _xlpm.LoanName &amp; " Debt Issuance", 2, _xlpm.LoanName &amp; " Debt Balance", 3, _xlpm.LoanName &amp; " Interest", 4, _xlpm.LoanName &amp; " Debt Services", 5, _xlpm.LoanName &amp; " Closing Balance", 6, _xlpm.LoanName &amp; " Debt Repayment", ""), 2, _xlfn.SWITCH( _xlpm.Line, 1, _xlpm.LoanAmount, 3, TEXT( _xlpm.LoanAPR, "0.00%"), 4, _xlpm.LoanTerm, ""), 3, _xlfn.SWITCH( _xlpm.Line, 3, "APR", 4, "Months", "") ) ) ) ), CHOOSE(_xlpm.Help? + 1, _xlpm.Result, _xlpm.Help) ) )</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LeaseLiabilityλ" comment="Present value of the lease payments that are not paid at the commencement date">_xlfn.LAMBDA(_xlop.Payments,_xlop.Rate,_xlop.InAdvance, _xlfn.LET( _xlpm.Help, TRIM(_xlfn.TEXTSPLIT( "FUNCTION:      →LeaseLiabilityλ(Payments, Rate, [InAdvance])¶" &amp; "DESCRIPTION:   →Present value of the lease payments that are not paid at the commencement date.¶NOTES!         →AASB 16 paragraph 26 measures the lease liability at the present value¶               →of the lease payments not paid at the commencement date, discounted at¶               →the interest rate implicit in the lease where that rate can be readily¶               →determined and at the lessee's incremental borrowing rate where it¶               →cannot. When InAdvance is TRUE, the first supplied payment is paid at¶               →the measurement date and excluded from the liability. Add a payment¶               →made at or before commencement to the right-of-use asset cost instead.¶               →Rate is per period. Convert an effective annual rate with¶               →PeriodRateλ(AnnualRate, PeriodsPerYear). Divide a nominal annual rate¶               →by PeriodsPerYear only when its compounding periods match the payments.¶               →Include an amount expected to be payable under a¶               →residual value guarantee, or the exercise price of a purchase option,¶               →in the final period where paragraph 27 brings it into the lease¶               →payments. IRRλ() over the same cash flows gives an implicit rate per year;¶               →convert it to the rate per period, (1 + annual) ^ (1 / 12) - 1 for months,¶               →before passing it here.¶               →Arithmetic only: this does not determine the lease term, decide what is¶               →a lease payment, or decide whether the arrangement contains a lease.¶               →AASB 16 compilation checked 24 August 2026.¶"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"→=oz.LeaseLiabilityλ({100,100,100}, 0.05)¶" &amp; "→Result¶" &amp; "→272.32", "→", "¶" )), _xlpm.Help?, OR(_xlfn.ISOMITTED(_xlpm.Payments), _xlfn.ISOMITTED(_xlpm.Rate)), _xlpm.Advance?, IF(OR(_xlfn.ISOMITTED(_xlpm.InAdvance), TRIM(_xlpm.InAdvance &amp; "")=""), FALSE, _xlpm.InAdvance), _xlpm.Flat, IF(ROWS(_xlpm.Payments) = 1, _xlpm.Payments, TRANSPOSE(_xlpm.Payments)), _xlpm.Count, COLUMNS(_xlpm.Flat), _xlpm.LiabilityPayments, IF(AND(_xlpm.Advance?, _xlpm.Count &gt; 1), _xlfn.DROP(_xlpm.Flat, , 1), IF(_xlpm.Advance?, 0, _xlpm.Flat)), _xlpm.Exponents, _xlfn.SEQUENCE(1, COLUMNS(_xlpm.LiabilityPayments)), _xlpm.Result, SUM(_xlpm.LiabilityPayments / (1 + _xlpm.Rate) ^ _xlpm.Exponents), CHOOSE( _xlpm.Help? + 1, _xlpm.Result, _xlpm.Help) ) )</definedName>
    <definedName name="oz.LeaseRemeasureλ" comment="Remeasures an AASB 16 lease liability for revised payments and adjusts the right-of-use asset">_xlfn.LAMBDA(_xlop.RevisedPayments,_xlop.Rate,_xlop.CarryingLiability,_xlop.CarryingROU,_xlop.InAdvance, _xlfn.LET( _xlpm.Help, TRIM(_xlfn.TEXTSPLIT( "FUNCTION:      →LeaseRemeasureλ(RevisedPayments, Rate, CarryingLiability, CarryingROU, [InAdvance])¶" &amp; "DESCRIPTION:   →Remeasures a lease liability for revised payments and adjusts the asset.¶NOTES!         →Returns four rows: revised lease liability, adjustment, revised¶               →right-of-use asset, amount recognised in profit or loss. AASB 16¶               →paragraph 42(b) remeasures the liability where future payments change¶               →because an index or a rate used to determine them has changed, and¶               →only when the cash flows change. Paragraph 43 keeps the discount rate¶               →unchanged for that revision, and uses a revised rate only where the¶               →change arises from a floating interest rate, so pass the original rate¶               →unless it is the rate itself that moved. When InAdvance is TRUE, the¶               →first revised payment is paid at the remeasurement date and excluded¶               →from the revised liability. Paragraph 39 takes the remeasurement to the¶               →right-of-use asset, and where that asset is reduced to nil any further¶               →reduction goes to profit or loss: row four carries that remainder,¶               →negative, because it is a credit. Arithmetic only.¶               →AASB 16 compilation checked 24 August 2026.¶" &amp; "WEBPAGE:       →https://github.com/ryanduguid/Ozzit¶" &amp; "VERSION:       →24 Aug 2026¶" &amp; "PARAMETERS:    →¶" &amp; "RevisedPayments→(Required) Revised lease payments for the remaining term, one per period, positive. Include a payment made at the remeasurement date first when InAdvance is TRUE.¶" &amp; "Rate           →(Required) Discount rate per period. Unchanged, unless a floating rate moved.¶" &amp; "CarryingLiability→(Required) Lease liability carried immediately before the remeasurement.¶" &amp; "CarryingROU    →(Required) Right-of-use asset carried immediately before the remeasurement.¶" &amp; "InAdvance      →(Optional: Default = FALSE) TRUE when the first revised payment is paid at the remeasurement date.¶" &amp; "EXAMPLES:      →¶" &amp; "→Formula (oz is assumed to be the module's name)¶" &amp; "→=oz.LeaseRemeasureλ({110,110}, 0.05, 185.94, 181.55)¶" &amp; "→Result¶" &amp; "→204.54¶" &amp; "→ 18.60¶" &amp; "→200.15¶" &amp; "→  0.00", "→", "¶" )), _xlpm.Help?, OR(_xlfn.ISOMITTED(_xlpm.RevisedPayments), _xlfn.ISOMITTED(_xlpm.Rate), _xlfn.ISOMITTED(_xlpm.CarryingLiability), _xlfn.ISOMITTED(_xlpm.CarryingROU)), _xlpm.Advance?, IF(OR(_xlfn.ISOMITTED(_xlpm.InAdvance), TRIM(_xlpm.InAdvance &amp; "")=""), FALSE, _xlpm.InAdvance), _xlpm.Revised, oz.LeaseLiabilityλ(_xlpm.RevisedPayments, _xlpm.Rate, _xlpm.Advance?), _xlpm.Adjustment, _xlpm.Revised - _xlpm.CarryingLiability, _xlpm.RawAsset, _xlpm.CarryingROU + _xlpm.Adjustment, _xlpm.Result, _xlfn.VSTACK(_xlpm.Revised, _xlpm.Adjustment, MAX(_xlpm.RawAsset, 0), MIN(_xlpm.RawAsset, 0)), CHOOSE( _xlpm.Help? + 1, _xlpm.Result, _xlpm.Help) ) )</definedName>
    <definedName name="oz.LeaseScheduleλ" comment="Unwinds an AASB 16 lease liability: opening, payment, interest and closing for each period">_xlfn.LAMBDA(_xlop.Payments,_xlop.Rate,_xlop.InAdvance, _xlfn.LET( _xlpm.Help, TRIM(_xlfn.TEXTSPLIT( "FUNCTION:      →LeaseScheduleλ(Payments, Rate, [InAdvance])¶" &amp; "DESCRIPTION:   →Unwinds an AASB 16 lease liability over its term.¶NOTES!         →Returns four rows: opening liability, payment, interest, closing¶               →liability. When InAdvance is TRUE, the first supplied payment is paid¶               →at the measurement date and is excluded from both the opening liability¶               →and the payment row. Each remaining payment follows one period of¶               →interest, so closing is opening plus interest less payment and the last¶               →closing balance is nil. The result has one fewer column for payments in¶               →advance; a sole measurement-date payment returns one zero column. The¶               →opening balance is LeaseLiabilityλ() on the same arguments. Pair this¶               →with ROUScheduleλ() for the asset that sits opposite it: the two¶               →together give the front-loaded expense profile AASB 16 produces.¶               →Arithmetic only, on the payments and rate you supply.¶"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"→=oz.LeaseScheduleλ({100,100,100}, 0.05)¶" &amp; "→Result¶" &amp; "→272.32, 185.94,  95.24¶" &amp; "→100.00, 100.00, 100.00¶" &amp; "→ 13.62,   9.30,   4.76¶" &amp; "→185.94,  95.24,   0.00", "→", "¶" )), _xlpm.Help?, OR(_xlfn.ISOMITTED(_xlpm.Payments), _xlfn.ISOMITTED(_xlpm.Rate)), _xlpm.Advance?, IF(OR(_xlfn.ISOMITTED(_xlpm.InAdvance), TRIM(_xlpm.InAdvance &amp; "")=""), FALSE, _xlpm.InAdvance), _xlpm.Flat, IF(ROWS(_xlpm.Payments) = 1, _xlpm.Payments, TRANSPOSE(_xlpm.Payments)), _xlpm.InputCount, COLUMNS(_xlpm.Flat), _xlpm.LiabilityPayments, IF(AND(_xlpm.Advance?, _xlpm.InputCount &gt; 1), _xlfn.DROP(_xlpm.Flat, , 1), IF(_xlpm.Advance?, 0, _xlpm.Flat)), _xlpm.Count, COLUMNS(_xlpm.LiabilityPayments), _xlpm.Opening1, oz.LeaseLiabilityλ(_xlpm.Flat, _xlpm.Rate, _xlpm.Advance?), _xlpm.Closings, _xlfn.SCAN(_xlpm.Opening1, _xlpm.LiabilityPayments, _xlfn.LAMBDA(_xlpm.Balance,_xlpm.Payment, _xlpm.Balance * (1 + _xlpm.Rate) - _xlpm.Payment)), _xlpm.Openings, IF(_xlpm.Count = 1, _xlpm.Opening1, _xlfn.HSTACK(_xlpm.Opening1, _xlfn.DROP(_xlpm.Closings, , -1))), _xlpm.Interest, _xlpm.Openings * _xlpm.Rate, _xlpm.Result, _xlfn.VSTACK(_xlpm.Openings, _xlpm.LiabilityPayments, _xlpm.Interest, _xlpm.Closings), CHOOSE( _xlpm.Help? + 1, _xlpm.Result, _xlpm.Help) ) )</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 "FUNCTION:      →MinColsUλ(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"→=oz.MinColsUλ( SEQUENCE(5,5))", "→", "¶" ) ), _xlpm.Help?, _xlfn.ISOMITTED( _xlpm.Array), _xlpm.Result, _xlfn.BYCOL( _xlpm.Array, _xlfn.LAMBDA(_xlpm.Col, MIN(_xlpm.Col))), CHOOSE(_xlpm.Help? + 1, _xlpm.Result, _xlpm.Help) ) )</definedName>
    <definedName name="oz.MinColsλ" comment="Get the minimum for each Column">_xlfn.LAMBDA(_xlop.Array, _xlfn.LET(_xlpm.Help, TRIM(_xlfn.TEXTSPLIT( "FUNCTION:      →MinColsλ(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"→=oz.MinColsλ( SEQUENCE(5,5))", "→", "¶" ) ), _xlpm.Help?, _xlfn.ISOMITTED( _xlpm.Array), _xlpm.Result, _xlfn.BYCOL( _xlpm.Array, _xlfn.LAMBDA(_xlpm.Col, MIN(_xlpm.Col))), CHOOSE(_xlpm.Help? + 1, _xlpm.Result, _xlpm.Help) ) )</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_xlfn.LAMBDA(_xlop.BeginningValues,_xlop.Values, _xlfn.LET(_xlpm.Help, TRIM(_xlfn.TEXTSPLIT( "FUNCTION:      →Movementλ( [BeginningValues], Values)¶" &amp; "DESCRIPTION:   →Create a row of differences from column to column¶" &amp; "WEBPAGE:       →https://github.com/ryanduguid/Ozzit¶" &amp; "VERSION:       →20 Aug 2026¶" &amp; "PARAMETERS:    →¶" &amp; "BeginningValues→(Optional) Defaults to 0. One value, or one per row of Values¶" &amp; "Values         →(Required) A row (or rows) of values to compare column to column¶" &amp; "EXAMPLES:      →¶" &amp; "Result         →Formula (oz is assumed to be the module's name)¶" &amp; "100,10,20,-30  →=oz.Movementλ(,{100,110,130,100})", "→", "¶" ) ), _xlpm.Help?, _xlfn.ISOMITTED( _xlpm.Values), _xlpm.BeginningValues, IF(OR(_xlfn.ISOMITTED(_xlpm.BeginningValues), _xlpm.BeginningValues=""), 0, _xlpm.BeginningValues), _xlpm.Rows, ROWS( _xlpm.Values), _xlpm.Cols, COLUMNS( _xlpm.Values), _xlpm.Begins, _xlfn.SEQUENCE( _xlpm.Rows, 1, 0, 0) + _xlpm.BeginningValues, _xlpm.Previous, IF( _xlpm.Cols = 1, _xlpm.Begins, _xlfn.HSTACK( _xlpm.Begins, _xlfn.DROP( _xlpm.Values, , -1))), _xlpm.Result, _xlpm.Values - _xlpm.Previous, CHOOSE(_xlpm.Help? + 1, _xlpm.Result, _xlpm.Help) ) )</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how readily current liabilities are covered by cash flows generated from oper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 "FUNCTION: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&amp; "→less COGS and less the other operating expenses¶" &amp; "Revenue            →(Required) Revenue¶" &amp; "EXAMPLES:          →Formula (oz is assumed to be the module's name)¶" &amp; "40%                →=oz.OperatingMarginλ( .8, 2.0 )", "→", "¶" ) ), _xlpm.Help?, OR( _xlfn.ISOMITTED( _xlpm.OperatingEarnings), _xlfn.ISOMITTED( _xlpm.Revenue) ), _xlpm.Result, _xlpm.OperatingEarnings/_xlpm.Revenue, CHOOSE(_xlpm.Help? + 1, _xlpm.Result, _xlpm.Help) ) )</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 "FUNCTION: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excluding COGS, which is¶" &amp; "→supplied separately and added by the formula. Can include:¶" &amp; "→Accounting and legal fees¶" &amp; "→Bank charges¶" &amp; "→Sales and marketing costs¶" &amp; "→Non-capitalised research¶" &amp; "→development (R&amp;D) expenses¶"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 ), _xlpm.Help?, OR( _xlfn.ISOMITTED( _xlpm.OperatingExpenses), _xlfn.ISOMITTED( _xlpm.CostOfGoodsSold), _xlfn.ISOMITTED( _xlpm.NetSales) ), _xlpm.Result, (_xlpm.OperatingExpenses+_xlpm.CostOfGoodsSold)/_xlpm.NetSales, CHOOSE(_xlpm.Help? + 1, _xlpm.Result, _xlpm.Help) ) )</definedName>
    <definedName name="oz.OverLapDaysλ" comment="Return how many days overlap two period ranges.">_xlfn.LAMBDA(_xlop.Period1Start,_xlop.Period1End,_xlop.Period2Start,_xlop.Period2End, _xlfn.LET( _xlpm.Help, TRIM(_xlfn.TEXTSPLIT( "FUNCTION: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Second period's end date.¶" &amp; "EXAMPLES:      →¶" &amp; "Result         →Formula (oz is assumed to be the module's name)¶" &amp; "5              →=oz.OverLapDaysλ(08, 14, 10, 17)¶" &amp; "8              →=oz.OverLapDaysλ(10, 20, 11, 18)¶" &amp; "2              →=oz.OverLapDaysλ(""17/7/2026"", ""25/7/2026"", ""7/7/2026"", ""18/7/2026"")", "→", "¶" ) ), _xlpm.Help?, OR( _xlfn.ISOMITTED( _xlpm.Period1Start), _xlfn.ISOMITTED( _xlpm.Period1End), _xlfn.ISOMITTED( _xlpm.Period2Start), _xlfn.ISOMITTED( _xlpm.Period2End) ), _xlpm.CvtP1Start, IF( _xlfn.ISOMITTED( _xlpm.Period1Start), FALSE, IF( ISNUMBER( _xlpm.Period1Start), _xlpm.Period1Start, DATEVALUE( _xlpm.Period1Start)) ), _xlpm.CvtP1End, IF( _xlfn.ISOMITTED( _xlpm.Period1End), FALSE, IF( ISNUMBER( _xlpm.Period1End), _xlpm.Period1End, DATEVALUE( _xlpm.Period1End)) ), _xlpm.CvtP2Start, IF( _xlfn.ISOMITTED( _xlpm.Period2Start), FALSE, IF( ISNUMBER( _xlpm.Period2Start), _xlpm.Period2Start, DATEVALUE( _xlpm.Period2Start)) ), _xlpm.CvtP2End, IF( _xlfn.ISOMITTED( _xlpm.Period2End), FALSE, IF( ISNUMBER( _xlpm.Period2End), _xlpm.Period2End, DATEVALUE( _xlpm.Period2End)) ), _xlpm.MinOfEnd, IF(_xlpm.CvtP2End &lt;= _xlpm.CvtP1End, _xlpm.CvtP2End, _xlpm.CvtP1End), _xlpm.MaxOfStart, IF(_xlpm.CvtP2Start &gt;= _xlpm.CvtP1Start, _xlpm.CvtP2Start, _xlpm.CvtP1Start), _xlpm.Days, _xlpm.MinOfEnd - _xlpm.MaxOfStart + 1, _xlpm.Result, IF(_xlpm.Days &gt; 0, _xlpm.Days, 0), CHOOSE( _xlpm.Help? + 1, _xlpm.Result, _xlpm.Help) ) )</definedName>
    <definedName name="oz.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"2              →=oz.PeriodDiffλ(""2026-01-01"",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oz.PeriodLabelλ" comment="Creates a label for a date based on period interval">_xlfn.LAMBDA(_xlop.Date,_xlop.Interval, _xlfn.LET( _xlpm.Help, TRIM(_xlfn.TEXTSPLIT( "FUNCTION: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 ), _xlpm.Help?, _xlfn.ISOMITTED( _xlpm.Date), _xlpm.CvtDate, IF( _xlfn.ISOMITTED( _xlpm.Date), FALSE, IF( ISNUMBER( _xlpm.Date), _xlpm.Date, DATEVALUE( _xlpm.Date)) ), _xlpm.Interval, IF( _xlfn.ISOMITTED( _xlpm.Interval), "M", _xlpm.Interval), _xlpm.Result, _xlfn.SWITCH(_xlpm.Interval, "D", TEXT(_xlpm.CvtDate, "yyyy-mmm-dd"), "W", YEAR(_xlpm.CvtDate) &amp; ":W" &amp; TEXT(QUOTIENT(_xlpm.CvtDate - DATE(YEAR(_xlpm.CvtDate), 1, 0) - 1, 7) + 1, "00"), "I", YEAR(_xlpm.CvtDate + 4 - WEEKDAY(_xlpm.CvtDate, 2)) &amp; ":W" &amp; TEXT(_xlfn.ISOWEEKNUM(_xlpm.CvtDate), "00"), "M", TEXT(_xlpm.CvtDate, "YYYY-MMM"), "Q", YEAR(_xlpm.CvtDate) &amp; ":Q" &amp; QUOTIENT(MONTH(_xlpm.CvtDate) - 1, 3) + 1, "S", YEAR(_xlpm.CvtDate) &amp; ":S" &amp; QUOTIENT(MONTH(_xlpm.CvtDate) - 1, 6) + 1, "A", TEXT(_xlpm.CvtDate, "YYYY"), "Y", TEXT(_xlpm.CvtDate, "YYYY"), #VALUE! ), CHOOSE( _xlpm.Help? + 1, _xlpm.Result, _xlpm.Help) ) )</definedName>
    <definedName name="oz.PeriodRateλ" comment="Converts an effective annual rate to the equivalent rate per period, the rate the lease functions take">_xlfn.LAMBDA(_xlop.AnnualRate,_xlop.PeriodsPerYear, _xlfn.LET( _xlpm.Help, TRIM(_xlfn.TEXTSPLIT( "FUNCTION:      →PeriodRateλ(AnnualRate, [PeriodsPerYear])¶" &amp; "DESCRIPTION:   →Converts an effective annual rate to the equivalent rate per period.¶NOTES!         →(1 + AnnualRate) ^ (1 / PeriodsPerYear) - 1, so compounding the result¶               →PeriodsPerYear times gives the annual rate back. This is the rate per¶               →period that LeaseLiabilityλ(), LeaseScheduleλ() and LeaseRemeasureλ()¶               →take. It is for an effective annual rate. A nominal annual percentage¶               →rate that compounds monthly is already APR / 12 per month, so do not¶               →pass it here; EFFECT() turns one into the effective rate this takes.¶               →AnnualRateλ() is the inverse.¶" &amp; "WEBPAGE:       →https://github.com/ryanduguid/Ozzit¶" &amp; "VERSION:       →6 Sep 2026¶" &amp; "PARAMETERS:    →¶" &amp; "AnnualRate     →(Required) Effective annual rate, or a row or column of them.¶" &amp; "PeriodsPerYear →(Optional: Default = 12) Periods in a year: 12 for months, 4 for quarters, 1 for years.¶" &amp; "EXAMPLES:      →¶" &amp; "→Formula (oz is assumed to be the module's name)¶" &amp; "→=oz.PeriodRateλ(0.05)¶" &amp; "→Result¶" &amp; "→0.004074", "→", "¶" )), _xlpm.Help?, _xlfn.ISOMITTED(_xlpm.AnnualRate), _xlpm.Periods, IF(OR(_xlfn.ISOMITTED(_xlpm.PeriodsPerYear), NOT(ISNUMBER(_xlpm.PeriodsPerYear))), 12, _xlpm.PeriodsPerYear), _xlpm.Result, (1 + _xlpm.AnnualRate) ^ (1 / _xlpm.Periods) - 1, CHOOSE( _xlpm.Help? + 1, _xlpm.Result, _xlpm.Help) ) )</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 _xlpm.Help, TRIM(_xlfn.TEXTSPLIT( "FUNCTION:      →Periodsλ(Starts, Ends, [Intervals])¶" &amp; "DESCRIPTION:   →Determine the number of periods from Starts to Ends inclusive.¶" &amp; "→Differences to Excel's DATEDIF are:¶" &amp; "→* Interval includes Weeks &amp; Quarters¶" &amp; "→* Counts the period starts crossed, so a part period at the end counts¶" &amp; "→* Returns negative values if Starts is after Ends¶" &amp; "WEBPAGE:       →https://github.com/ryanduguid/Ozzit¶" &amp; "PARAMETERS:    →¶" &amp; "Starts         →(Required) First date (normally older). A single date or an array of dates.¶" &amp; "Ends           →(Required) Second date (normally newer). A single date or an array the same shape as Starts.¶" &amp; "→A single Starts or Ends is applied to every date in the other.¶" &amp; "Intervals      →(Optional) Days, Weeks, Months (default), Quarters, or Years (D, W, M, Q, Y).¶" &amp; "→One code, or an array of codes the same shape as the dates.¶" &amp; "EXAMPLES:      →¶" &amp; "Result         →Formula (oz is assumed to be the module's name)¶" &amp; "2              →=oz.Periodsλ(""31/7/2026"", ""15/9/2026"")¶" &amp; "-2             →=oz.Periodsλ(""15/9/2026"", ""31/7/2026"")¶" &amp; "-12            →=oz.Periodsλ(""15/7/2027"", ""16/7/2026"")¶" &amp; "-52            →=oz.Periodsλ(""15/7/2027"", ""16/7/2026"", ""W"")", "→", "¶" ) ), _xlpm.Help?, OR( _xlfn.ISOMITTED( _xlpm.Starts), _xlfn.ISOMITTED( _xlpm.Ends) ), _xlpm.CvtStarts, IF( _xlfn.ISOMITTED( _xlpm.Starts), FALSE, IF( ISNUMBER( _xlpm.Starts), _xlpm.Starts, DATEVALUE( _xlpm.Starts)) ), _xlpm.CvtEnds, IF( _xlfn.ISOMITTED( _xlpm.Ends), FALSE, IF( ISNUMBER( _xlpm.Ends), _xlpm.Ends, DATEVALUE( _xlpm.Ends)) ), _xlpm.Intervals, IF( _xlfn.ISOMITTED( _xlpm.Intervals), "M", _xlpm.Intervals), _xlpm.MPY, 12, _xlpm.MPQ, 3, _xlpm.DPW, 7, _xlpm.WPY, 53, _xlpm.QPY, 4, _xlpm.Earliest, IF( _xlpm.CvtStarts &lt;= _xlpm.CvtEnds, _xlpm.CvtStarts, _xlpm.CvtEnds), _xlpm.Latest, IF( _xlpm.CvtStarts &lt;= _xlpm.CvtEnds, _xlpm.CvtEnds, _xlpm.CvtStarts), _xlpm.Sign, SIGN( _xlpm.CvtEnds - _xlpm.CvtStarts), _xlpm.Years, YEAR( _xlpm.Latest) - YEAR( _xlpm.Earliest), _xlpm.Periods, ( _xlpm.Intervals = "D") * ( _xlpm.Latest - _xlpm.Earliest) + ( _xlpm.Intervals = "W") * ( _xlpm.WPY * _xlpm.Years + QUOTIENT( _xlpm.Latest - DATE( YEAR( _xlpm.Latest), 1, 0) - 1, _xlpm.DPW) - QUOTIENT( _xlpm.Earliest - DATE( YEAR( _xlpm.Earliest), 1, 0) - 1, _xlpm.DPW)) + ( _xlpm.Intervals = "M") * ( _xlpm.MPY * _xlpm.Years + MONTH( _xlpm.Latest) - MONTH( _xlpm.Earliest)) + ( _xlpm.Intervals = "Q") * ( _xlpm.QPY * _xlpm.Years + QUOTIENT( MONTH( _xlpm.Latest) - 1, _xlpm.MPQ) - QUOTIENT( MONTH( _xlpm.Earliest) - 1, _xlpm.MPQ)) + ( _xlpm.Intervals = "Y") * _xlpm.Years, _xlpm.Known, IF( ISNUMBER( _xlfn.XMATCH( _xlpm.Intervals, {"D","W","M","Q","Y"}, 0)), 1, #N/A), _xlpm.Result, _xlpm.Sign * _xlpm.Periods * _xlpm.Known, CHOOSE( _xlpm.Help? + 1, _xlpm.Result, _xlpm.Help) ) )</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Book Value Per share ¶" &amp; "→(Total assets - intangible assets - total liabilities) ÷ number of outstanding shares ¶" &amp; "EXAMPLES:          →Formula (oz is assumed to be the module's name)¶" &amp; "2.0                →=oz.PriceToBookRatioλ( 5, 2.50 )", "→", "¶")), _xlpm.Help?, OR(_xlfn.ISOMITTED(_xlpm.MarketPricePerShare), _xlfn.ISOMITTED(_xlpm.BookValuePerShare)), _xlpm.Result, _xlpm.MarketPricePerShare / _xlpm.BookValuePerShare, CHOOSE(_xlpm.Help? + 1, _xlpm.Result, _xlpm.Help)))</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 "FUNCTION: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"47.3%              →=oz.RetentionRatioλ( 19.869, 41.981)", "→", "¶" ) ), _xlpm.Help?, OR( _xlfn.ISOMITTED( _xlpm.RetainedEarnings), _xlfn.ISOMITTED( _xlpm.NetIncome) ), _xlpm.Result, _xlpm.RetainedEarnings/_xlpm.NetIncome, CHOOSE(_xlpm.Help? + 1, _xlpm.Result, _xlpm.Help) ) )</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"0,-100,-110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Average Shareholders' Equity)">_xlfn.LAMBDA(_xlop.NetIncome,_xlop.ShareholdersEquity,_xlop.OpeningEquity, _xlfn.LET(_xlpm.Help, TRIM(_xlfn.TEXTSPLIT( "FUNCTION:          →ROEλ( NetIncome, ShareholdersEquity, [OpeningEquity])¶" &amp; "DESCRIPTION:       →Return on equity ratio is considered a gauge of a corporation's ¶" &amp; "→profitability and how efficient it is in generating profits¶" &amp; "→(Net Income/ Average Shareholders' Equity)¶" &amp; "WEBPAGE:           →https://www.investopedia.com/terms/r/returnonequity.asp ¶" &amp; "VERSION:           →6 Sep 2026¶" &amp; "PARAMETERS:→¶" &amp; "NetIncome          →(Required) Net Income¶" &amp; "ShareholdersEquity →(Required) Shareholders' Equity at the period close. Give the average of open and close here when OpeningEquity is left out ¶" &amp; "OpeningEquity      →(Optional) Shareholders' Equity at the period open. When given, the ratio divides by the average of OpeningEquity and ShareholdersEquity ¶" &amp; "EXAMPLES:          →Formula (oz is assumed to be the module's name)¶" &amp; "23.6213%           →=oz.ROEλ( 59.972, 256.144, 251.635 )¶" &amp; "23.6213%           →=oz.ROEλ( 59.972, AVERAGE(251.635, 256.144) )", "→", "¶" ) ), _xlpm.Help?, OR( _xlfn.ISOMITTED( _xlpm.NetIncome), _xlfn.ISOMITTED( _xlpm.ShareholdersEquity) ), _xlpm.Opening, IF( _xlfn.ISOMITTED( _xlpm.OpeningEquity), _xlpm.ShareholdersEquity, IF( ISNUMBER( _xlpm.OpeningEquity), _xlpm.OpeningEquity, _xlpm.ShareholdersEquity) ), _xlpm.Result, _xlpm.NetIncome / ((_xlpm.ShareholdersEquity + _xlpm.Opening) / 2), CHOOSE(_xlpm.Help? + 1, _xlpm.Result, _xlpm.Help) ) )</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→https://www.investopedia.com/terms/r/returnoninvestment.asp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 "FUNCTION:      →RollingAvgλ( Values, Size)¶" &amp; "DESCRIPTION:   →Creates averages for preceding values of a set size moving¶" &amp; "→from beginning to end over a row of values¶" &amp; "WEBPAGE:       →https://github.com/ryanduguid/Ozzit¶" &amp; "VERSION:       →20 Aug 2026¶" &amp; "PARAMETERS:    →¶" &amp; "Values         →(Required) A row of values to be averaged.¶" &amp; "Size           →(Required) The number of values to average that ¶" &amp; "→include and precede the current value¶" &amp; "EXAMPLES:      →¶" &amp; "Result         →Formula (oz is assumed to be the module's name)¶" &amp; "1,1.5,2,3,4    →=oz.RollingAvgλ(SEQUENCE(, 5), 3)", "→", "¶" ) ), _xlpm.Help?, OR( _xlfn.ISOMITTED( _xlpm.Values), _xlfn.ISOMITTED( _xlpm.Size)), _xlpm.Counter, _xlfn.SEQUENCE(, COLUMNS( _xlpm.Values)), _xlpm.Result, _xlfn.MAP( _xlpm.Counter, _xlfn.LAMBDA(_xlpm.Val, AVERAGE( _xlfn.CHOOSECOLS( _xlpm.Values, _xlfn.SEQUENCE( 1, MIN( _xlpm.Val, _xlpm.Size), MAX( 1, _xlpm.Val - _xlpm.Size + 1)))) ) ), CHOOSE(_xlpm.Help? + 1, _xlpm.Result, _xlpm.Help) ) )</definedName>
    <definedName name="oz.RollingMaxλ" comment="Creates the maximum for preceding values of a set size moving from beginning to end over a row of values.">_xlfn.LAMBDA(_xlop.Values,_xlop.Size, _xlfn.LET(_xlpm.Help, TRIM(_xlfn.TEXTSPLIT( "FUNCTION:      →RollingMaxλ( Values, Size)¶" &amp; "DESCRIPTION:   →Creates the maximum for preceding values of a set size moving¶" &amp; "→from beginning to end over a row of values¶" &amp; "WEBPAGE:       →https://github.com/ryanduguid/Ozzit¶" &amp; "VERSION:       →20 Aug 2026¶" &amp; "PARAMETERS:    →¶" &amp; "Values         →(Required) A row of values to be maxed.¶" &amp; "Size           →(Required) The number of values to find the maximum of that ¶" &amp; "→include and precede the current value¶" &amp; "EXAMPLES:      →¶" &amp; "Result         →Formula (oz is assumed to be the module's name)¶" &amp; "5,5,5,6,6,7    →=oz.RollingMaxλ({5,3,4,6,3,7}, 3)", "→", "¶" ) ), _xlpm.Help?, OR( _xlfn.ISOMITTED( _xlpm.Values), _xlfn.ISOMITTED( _xlpm.Size)), _xlpm.Counter, _xlfn.SEQUENCE(, COLUMNS( _xlpm.Values)), _xlpm.Result, _xlfn.MAP( _xlpm.Counter, _xlfn.LAMBDA(_xlpm.Val, MAX( _xlfn.CHOOSECOLS( _xlpm.Values, _xlfn.SEQUENCE( 1, MIN( _xlpm.Val, _xlpm.Size), MAX( 1, _xlpm.Val - _xlpm.Size + 1)))) ) ), CHOOSE(_xlpm.Help? + 1, _xlpm.Result, _xlpm.Help) ) )</definedName>
    <definedName name="oz.RollingMinλ" comment="Creates the Minimum for preceding values of a set size moving from beginning to end over a row of values.">_xlfn.LAMBDA(_xlop.Values,_xlop.Size, _xlfn.LET(_xlpm.Help, TRIM(_xlfn.TEXTSPLIT( "FUNCTION:      →RollingMinλ( Values, Size)¶" &amp; "DESCRIPTION:   →Creates the minimum for preceding values of a set size moving¶" &amp; "→from beginning to end over a row of values¶" &amp; "WEBPAGE:       →https://github.com/ryanduguid/Ozzit¶" &amp; "VERSION:       →20 Aug 2026¶" &amp; "PARAMETERS:    →¶" &amp; "Values         →(Required) A row of values to take the minimum of.¶" &amp; "Size           →(Required) The number of values to find the minimum of that ¶" &amp; "→include and precede the current value¶" &amp; "EXAMPLES:      →¶" &amp; "Result         →Formula (oz is assumed to be the module's name)¶" &amp; "5,3,3,3,2,2    →=oz.RollingMinλ({5,3,4,6,2,7}, 3)", "→", "¶" ) ), _xlpm.Help?, OR( _xlfn.ISOMITTED( _xlpm.Values), _xlfn.ISOMITTED( _xlpm.Size)), _xlpm.Counter, _xlfn.SEQUENCE(, COLUMNS( _xlpm.Values)), _xlpm.Result, _xlfn.MAP( _xlpm.Counter, _xlfn.LAMBDA(_xlpm.Val, MIN( _xlfn.CHOOSECOLS( _xlpm.Values, _xlfn.SEQUENCE( 1, MIN( _xlpm.Val, _xlpm.Size), MAX( 1, _xlpm.Val - _xlpm.Size + 1)))) ) ), CHOOSE(_xlpm.Help? + 1, _xlpm.Result, _xlpm.Help) ) )</definedName>
    <definedName name="oz.RollingSumλ" comment="Creates totals for preceding values of a set size moving from beginning to end over a row of values.">_xlfn.LAMBDA(_xlop.Values,_xlop.Size, _xlfn.LET(_xlpm.Help, TRIM(_xlfn.TEXTSPLIT( "FUNCTION:      →RollingSumλ( Values, Size)¶" &amp; "DESCRIPTION:   →Creates totals for preceding values of a set size moving¶" &amp; "→from beginning to end over a row of values¶" &amp; "WEBPAGE:       →https://github.com/ryanduguid/Ozzit¶" &amp; "VERSION:       →20 Aug 2026¶" &amp; "PARAMETERS:    →¶" &amp; "Values         →(Required) A row of values to be totalled.¶" &amp; "Size           →(Required) The number of values to total that ¶" &amp; "→include and precede the current value¶" &amp; "EXAMPLES:      →¶" &amp; "Result         →Formula (oz is assumed to be the module's name)¶" &amp; "1,3,6,9,12     →=oz.RollingSumλ(SEQUENCE(, 5), 3)", "→", "¶" ) ), _xlpm.Help?, OR( _xlfn.ISOMITTED( _xlpm.Values), _xlfn.ISOMITTED( _xlpm.Size)), _xlpm.Counter, _xlfn.SEQUENCE(, COLUMNS( _xlpm.Values)), _xlpm.Result, _xlfn.MAP( _xlpm.Counter, _xlfn.LAMBDA(_xlpm.Val, SUM( _xlfn.CHOOSECOLS( _xlpm.Values, _xlfn.SEQUENCE( 1, MIN( _xlpm.Val, _xlpm.Size), MAX( 1, _xlpm.Val - _xlpm.Size + 1)))) ) ), CHOOSE(_xlpm.Help? + 1, _xlpm.Result, _xlpm.Help) ) )</definedName>
    <definedName name="oz.ROUScheduleλ" comment="Straight-line right-of-use asset schedule: opening, depreciation and closing for each period">_xlfn.LAMBDA(_xlop.Cost,_xlop.Periods, _xlfn.LET( _xlpm.Help, TRIM(_xlfn.TEXTSPLIT( "FUNCTION:      →ROUScheduleλ(Cost, Periods)¶" &amp; "DESCRIPTION:   →Depreciates a right-of-use asset in a straight line over the lease term.¶NOTES!         →Returns three rows: opening carrying amount, depreciation, closing¶               →carrying amount. AASB 16 paragraph 24 measures the asset at cost,¶               →comprising the initial lease liability, lease payments made at or¶               →before the commencement date less incentives received, initial direct¶               →costs, and an estimate of dismantling and restoration costs. Add those¶               →up yourself and pass the total as Cost. Depreciate over the lease term¶               →where ownership does not transfer, and over the useful life where it¶               →does. Cost and Periods are single values, not arrays. Arithmetic only.¶               →AASB 16 compilation checked 24 August 2026.¶" &amp; "WEBPAGE:       →https://github.com/ryanduguid/Ozzit¶" &amp; "VERSION:       →24 Aug 2026¶" &amp; "PARAMETERS:    →¶" &amp; "Cost           →(Required) Initial carrying amount of the right-of-use asset.¶" &amp; "Periods        →(Required) Number of periods to depreciate over, at least 1.¶" &amp; "EXAMPLES:      →¶" &amp; "→Formula (oz is assumed to be the module's name)¶" &amp; "→=oz.ROUScheduleλ(300, 3)¶" &amp; "→Result¶" &amp; "→300, 200, 100¶" &amp; "→100, 100, 100¶" &amp; "→200, 100,   0", "→", "¶" )), _xlpm.Help?, OR(_xlfn.ISOMITTED(_xlpm.Cost), _xlfn.ISOMITTED(_xlpm.Periods)), _xlpm.Valid?, AND(ISNUMBER(_xlpm.Cost), ISNUMBER(_xlpm.Periods), _xlpm.Periods &gt;= 1), _xlpm.Count, IF(_xlpm.Valid?, INT(_xlpm.Periods), 1), _xlpm.Charge, IF(_xlpm.Valid?, _xlpm.Cost / _xlpm.Count, 0), _xlpm.Index, _xlfn.SEQUENCE(1, _xlpm.Count), _xlpm.Result, IF(_xlpm.Valid?, _xlfn.VSTACK( _xlpm.Cost - _xlpm.Charge * (_xlpm.Index - 1), _xlfn.SEQUENCE(1, _xlpm.Count, _xlpm.Charge, 0), _xlpm.Cost - _xlpm.Charge * _xlpm.Index), "ROUScheduleλ needs a numeric Cost and Periods of at least 1"), CHOOSE( _xlpm.Help? + 1, _xlpm.Result, _xlpm.Help) ) )</definedName>
    <definedName name="oz.ScheduleRatesByItemsλ" comment="Schedule rates that persist until replaced in a timeline for each item in a list.">_xlfn.LAMBDA(_xlop.PeriodEnds,_xlop.ItemFilter,_xlop.ItemList,_xlop.EffectiveList,_xlop.RateList, _xlfn.LET( _xlpm.Help, TRIM(_xlfn.TEXTSPLIT( "FUNCTION: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of period end dates (timeline).¶" &amp; "ItemFilter     →(Required) A column of 1 or more items to filter a rate schedule by. ¶" &amp; "               →A 'rate schedule' is a table/list where each row contains a unique item/effective date pair with a rate.¶" &amp; "→An item with no rate in the schedule scores nought in every period.¶" &amp; "ItemList       →(Required) Items in a rate schedule.¶" &amp; "EffectiveList  →(Required) Effective dates in the rate schedule.¶" &amp; "RateList       →(Required) Rates in a rate schedule for each item/effective date pair.¶" &amp; "EXAMPLES:      →¶" &amp; "Result         →Formula (oz is assumed to be the module's name)¶" &amp; "→=oz.ScheduleRatesByItemsλ( oz.Timelineλ( ""1/7/2026""), UNIQUE( tblRates[Unit]),¶" &amp; "→tblRates[Unit], tblRates[Effective], tblRates[Rent])", "→", "¶" ) ), _xlpm.Help?, OR( _xlfn.ISOMITTED( _xlpm.PeriodEnds), _xlfn.ISOMITTED( _xlpm.ItemFilter), _xlfn.ISOMITTED( _xlpm.ItemList), _xlfn.ISOMITTED( _xlpm.EffectiveList), _xlfn.ISOMITTED( _xlpm.RateList)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_xlpm.Result, _xlfn.DROP( _xlfn.REDUCE( 0, _xlfn.SEQUENCE( ROWS( _xlpm.Items)), _xlfn.LAMBDA(_xlpm.Acc,_xlpm.Row, _xlfn.LET(_xlpm.Item, INDEX( _xlpm.Items, _xlpm.Row), _xlpm.ItemDates, _xlfn._xlws.FILTER( _xlpm.CvtEffDates, _xlpm.ItemList = _xlpm.Item, -1), _xlpm.ItemRates, _xlfn._xlws.FILTER( _xlpm.RateList, _xlpm.ItemList = _xlpm.Item, 0), _xlfn.VSTACK( _xlpm.Acc, _xlfn.XLOOKUP( _xlpm.CvtPrdEnds, _xlpm.ItemDates, _xlpm.ItemRates, 0, -1, -1)) ) ) ), 1 ), CHOOSE( _xlpm.Help? + 1, _xlpm.Result, _xlpm.Help) ) )</definedName>
    <definedName name="oz.ScheduleRatesλ" comment="Schedule rates that persist until replaced in a timeline.">_xlfn.LAMBDA(_xlop.PeriodEnds,_xlop.RateStarts,_xlop.Rates, _xlfn.LET( _xlpm.Help, TRIM(_xlfn.TEXTSPLIT( "FUNCTION: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 ), _xlpm.s, 1, _xlpm.Help?, OR( _xlfn.ISOMITTED( _xlpm.PeriodEnds), _xlfn.ISOMITTED( _xlpm.RateStarts), _xlfn.ISOMITTED( _xlpm.Rates) ), _xlpm.CvtEnds, IF( _xlfn.ISOMITTED( _xlpm.PeriodEnds), FALSE, IF( ISNUMBER( _xlpm.PeriodEnds), _xlpm.PeriodEnds, DATEVALUE( _xlpm.PeriodEnds)) ), _xlpm.CvtStarts, IF( _xlfn.ISOMITTED( _xlpm.RateStarts), FALSE, IF( ISNUMBER( _xlpm.RateStarts), _xlpm.RateStarts, DATEVALUE( _xlpm.RateStarts)) ), _xlpm.Result, _xlfn.XLOOKUP(_xlpm.CvtEnds, _xlpm.CvtStarts, _xlpm.Rates, "", -1, -1), CHOOSE( _xlpm.Help? + 1, _xlpm.Result, _xlpm.Help) ) )</definedName>
    <definedName name="oz.ScheduleValuesByItemsλ" comment="Schedule and sum values in a timeline for each item.">_xlfn.LAMBDA(_xlop.PeriodStarts,_xlop.PeriodEnds,_xlop.ItemFilter,_xlop.ItemList,_xlop.EffectiveList,_xlop.ValueList, _xlfn.LET( _xlpm.Help, TRIM(_xlfn.TEXTSPLIT( "FUNCTION: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"→An item with no rows in the schedule totals nought in every period.¶" &amp; "EXAMPLES:      →¶" &amp; "Result         →Formula (oz is assumed to be the module's name)¶" &amp; "→=oz.ScheduleValuesByItemsλ( oz.Timelineλ( ""1/7/2026""),  oz.Timelineλ( ""1/7/2026"",,,FALSE), ¶" &amp; "→UNIQUE( tblExp[Items]), tblExp[Items], tblExp[Dates], tblExp[Amount])", "→", "¶" ) ), _xlpm.Help?, OR( _xlfn.ISOMITTED( _xlpm.PeriodStarts), _xlfn.ISOMITTED( _xlpm.PeriodEnds), _xlfn.ISOMITTED( _xlpm.ItemFilter), _xlfn.ISOMITTED( _xlpm.ItemList), _xlfn.ISOMITTED( _xlpm.EffectiveList), _xlfn.ISOMITTED( _xlpm.ValueList)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_xlpm.Belongs, ( _xlpm.Items = _xlfn.TOROW( _xlpm.ItemList)) * ( _xlpm.Items &lt;&gt; ""), _xlpm.Falls, ( _xlfn.TOCOL( _xlpm.CvtEffDates) &gt;= _xlpm.CvtPrdStarts) * ( _xlfn.TOCOL( _xlpm.CvtEffDates) &lt;= _xlpm.CvtPrdEnds) * _xlfn.TOCOL( _xlpm.ValueList), _xlpm.Result, MMULT( _xlpm.Belongs, _xlpm.Falls), CHOOSE( _xlpm.Help? + 1, _xlpm.Result, _xlpm.Help) ) )</definedName>
    <definedName name="oz.ScheduleValuesλ" comment="Schedules values in a timeline from a schedule in a table.">_xlfn.LAMBDA(_xlop.PeriodStarts,_xlop.PeriodEnds,_xlop.Values,_xlop.EffectiveDates, _xlfn.LET( _xlpm.Help, TRIM(_xlfn.TEXTSPLIT( "FUNCTION:      →ScheduleValuesλ(PeriodStarts, PeriodEnds, Values, EffectiveDates)¶" &amp; "DESCRIPTION:   →Place values from a table into a timeline's appropriate period.¶" &amp; "WEBSITE:       →https://github.com/ryanduguid/Ozzit ¶" &amp; "PARAMETERS:    →¶" &amp; "PeriodStarts   →(Required) A row of period start dates (timeline).¶" &amp; "PeriodEnds     →(Required) A row of period end dates (timeline).¶" &amp; "Values         →(Required) A column or row of values to be scheduled.¶" &amp; "EffectiveDates →(Required) When each value is scheduled, in the same orientation as Values.¶" &amp; "EXAMPLES:→¶" &amp; "Result         →Formula (oz is assumed to be the module's name)¶" &amp; "→=oz.ScheduleValuesλ(Timelineλ(""1/7/2026""), Timelineλ(""1/7/2026"",,,FALSE), {1;3}, {""1/7/2026""; ""15/8/2026""})", "→", "¶" ) ), _xlpm.Help?, OR( _xlfn.ISOMITTED( _xlpm.PeriodStarts), _xlfn.ISOMITTED( _xlpm.PeriodEnds), _xlfn.ISOMITTED( _xlpm.Values), _xlfn.ISOMITTED( _xlpm.EffectiveDates)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_xlpm.EffectiveDates), FALSE, IF( ISNUMBER( _xlpm.EffectiveDates), _xlpm.EffectiveDates, DATEVALUE( _xlpm.EffectiveDates)) ), _xlpm.Result, _xlfn.BYCOL( _xlfn.SEQUENCE(, COLUMNS(_xlpm.CvtPrdStarts)), _xlfn.LAMBDA(_xlpm.Period, _xlfn.LET(_xlpm.StartDate, INDEX(_xlpm.CvtPrdStarts, _xlpm.Period), _xlpm.EndDate, INDEX(_xlpm.CvtPrdEnds, _xlpm.Period), SUM(_xlpm.Values * (_xlpm.CvtEffDates &gt;= _xlpm.StartDate) * (_xlpm.CvtEffDates &lt;= _xlpm.EndDate)) ) ) ), CHOOSE( _xlpm.Help? + 1, _xlpm.Result, _xlpm.Help) ) )</definedName>
    <definedName name="oz.SLNλ" comment="Straight Line depreciation method for one asset or asset class.">_xlfn.LAMBDA(_xlop.Cost,_xlop.Salvage,_xlop.Life, _xlfn.LET( _xlpm.Help, TRIM(_xlfn.TEXTSPLIT( "FUNCTION: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 ), _xlpm.Help?, OR( _xlfn.ISOMITTED( _xlpm.Cost), _xlfn.ISOMITTED( _xlpm.Salvage), _xlfn.ISOMITTED( _xlpm.Life) ), _xlpm.Depn, SLN( _xlpm.Cost, _xlpm.Salvage, _xlpm.Life), _xlpm.Whole, INT( _xlpm.Life), _xlpm.Result, IF( _xlpm.Whole = _xlpm.Life, _xlfn.EXPAND( _xlpm.Depn, 1, _xlpm.Life, _xlpm.Depn), IF( _xlpm.Whole = 0, _xlpm.Cost - _xlpm.Salvage, _xlfn.HSTACK( _xlfn.EXPAND( _xlpm.Depn, 1, _xlpm.Whole, _xlpm.Depn), _xlpm.Cost - _xlpm.Salvage - _xlpm.Depn * _xlpm.Whole))), CHOOSE( _xlpm.Help? + 1, _xlpm.Result, _xlpm.Help) ) )</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 "FUNCTION:      →SumPeriodsλ( Values, Dates, PeriodStarts)¶" &amp; "DESCRIPTION:   →Summarises values where each value column is for one day ¶" &amp; "→into one column for each period. ¶" &amp; "SEE ALSO:      →Excel 365 now has GROUPBY and PIVOTBY for formula-driven aggregation.¶" &amp; "VERSION:       →20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 ), _xlpm.Help?, OR( _xlfn.ISOMITTED( _xlpm.Values), _xlfn.ISOMITTED( _xlpm.Dates), _xlfn.ISOMITTED( _xlpm.PeriodStarts)), _xlpm.PrdNum, IFERROR( MATCH( _xlpm.Dates, _xlpm.PeriodStarts, 1), 0), _xlpm.InPeriod, ( _xlfn.TOCOL( _xlpm.PrdNum) = _xlfn.SEQUENCE( 1, COLUMNS( _xlpm.PeriodStarts))) * 1, _xlpm.Result, MMULT( _xlpm.Values * 1, _xlpm.InPeriod), CHOOSE(_xlpm.Help? + 1, _xlpm.Result, _xlpm.Help) ) )</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 _xlpm.Help, TRIM(_xlfn.TEXTSPLIT( "FUNCTION: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 ), _xlpm.Help?, OR( _xlfn.ISOMITTED( _xlpm.Date), _xlfn.ISOMITTED( _xlpm.Timeline) ), _xlpm.Date, _xlfn.SINGLE(IF( ISTEXT( _xlpm.Date), DATEVALUE( _xlpm.Date), _xlpm.Date)), _xlpm.Period1, INDEX( _xlpm.Timeline, 1), _xlpm.Period2, IF( COUNTA( _xlpm.Timeline) &lt; 2, EDATE( _xlpm.Period1, 1), INDEX( _xlpm.Timeline, 2)), _xlpm.DpP, _xlpm.Period2 - _xlpm.Period1, _xlpm.MpP, MAX( ROUND( _xlpm.DpP/30.5, 0), 1), _xlpm.SubMonthly?, ROUND( _xlpm.DpP/30.5, 0) = 0, _xlpm.Direction, IF(_xlpm.Date &lt; _xlpm.Period1, -1, 1), _xlpm.MonthDiff, _xlfn.SINGLE(DATEDIF( MIN( _xlpm.Period1, _xlpm.Date), MAX( _xlpm.Period1, _xlpm.Date), "M")), _xlpm.PeriodDiff, QUOTIENT( _xlpm.MonthDiff, _xlpm.MpP), _xlpm.PeriodSeq, _xlfn.SEQUENCE( 1, _xlpm.PeriodDiff + 2, IF( _xlpm.Direction = 1, 0, -( _xlpm.PeriodDiff + 1))), _xlpm.SearchTimeline, EDATE( _xlpm.Period1, _xlpm.PeriodSeq * _xlpm.MpP), _xlpm.ByMonth, MATCH( _xlpm.Date, _xlpm.SearchTimeline, 1) - IF( _xlpm.Direction = 1, 1, _xlpm.PeriodDiff + 2), _xlpm.Result, IF( _xlpm.SubMonthly?, INT( (_xlpm.Date - _xlpm.Period1) / _xlpm.DpP), _xlpm.ByMonth), CHOOSE( _xlpm.Help? + 1, _xlpm.Result, _xlpm.Help) ) )</definedName>
    <definedName name="oz.TimelinePositionλ" comment="Crops an array based on a model's timeline">_xlfn.LAMBDA(_xlop.Array,_xlop.Timeline,_xlop.Offset, _xlfn.LET( _xlpm.Help, TRIM(_xlfn.TEXTSPLIT( "FUNCTION: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 ), _xlpm.Help?, OR( _xlfn.ISOMITTED( _xlpm.Array), _xlfn.ISOMITTED( _xlpm.Timeline), _xlfn.ISOMITTED( _xlpm.Offset) ), _xlpm.Offset, _xlfn.SINGLE(_xlpm.Offset), _xlpm.Rows, ROWS(_xlpm.Array), _xlpm.Cols, COLUMNS(_xlpm.Array), _xlpm.Result, IF( OR( COLUMNS( _xlpm.Timeline) &gt; 1, ROWS( _xlpm.Timeline) = 1), _xlfn.MAKEARRAY( _xlpm.Rows, COLUMNS( _xlpm.Timeline), _xlfn.LAMBDA(_xlpm.R,_xlpm.C, IF( ((_xlpm.C - _xlpm.Offset) &gt;= 1) * (( _xlpm.C - _xlpm.Offset) &lt;= _xlpm.Cols) = 1, INDEX( _xlpm.Array, _xlpm.R, _xlpm.C - _xlpm.Offset), 0) ) ), _xlfn.MAKEARRAY( ROWS( _xlpm.Timeline), _xlpm.Cols, _xlfn.LAMBDA(_xlpm.R,_xlpm.C, IF( ((_xlpm.R - _xlpm.Offset) &gt;= 1) * (( _xlpm.R - _xlpm.Offset) &lt;= _xlpm.Rows) = 1, INDEX( _xlpm.Array, _xlpm.R - _xlpm.Offset, _xlpm.C), 0) ) ) ), CHOOSE(_xlpm.Help? + 1, _xlpm.Result, _xlpm.Help) ) )</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_xlnm.Print_Area" localSheetId="15">oz.Amortiseλ!$A$1:$V$43</definedName>
    <definedName name="_xlnm.Print_Area" localSheetId="20">oz.Depreciateλ!$A$1:$V$65</definedName>
    <definedName name="_xlnm.Print_Area" localSheetId="6">oz.IsOccurrenceDateλ!$A$1:$V$39</definedName>
    <definedName name="_xlnm.Print_Area" localSheetId="17">oz.SumAmortiseλ!$A$1:$V$43</definedName>
    <definedName name="_xlnm.Print_Area" localSheetId="29">oz.SumPeriodsλ!$A$1:$V$38</definedName>
    <definedName name="_xlnm.Print_Area" localSheetId="30">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3"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4"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F20" i="41" s="1" a="1"/>
  <c r="A4" i="41" a="1"/>
  <c r="A1" i="41"/>
  <c r="B23" i="132" a="1"/>
  <c r="B19" i="132" a="1"/>
  <c r="B16" i="132" a="1"/>
  <c r="B9" i="132" a="1"/>
  <c r="B11" i="132" s="1"/>
  <c r="B8" i="132" a="1"/>
  <c r="B10" i="132" s="1"/>
  <c r="A1" i="132"/>
  <c r="A1" i="129"/>
  <c r="I24" i="83" l="1" a="1"/>
  <c r="I24" i="90" a="1"/>
  <c r="I24"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4"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<sst xmlns="http://schemas.openxmlformats.org/spreadsheetml/2006/main" count="1307" uniqueCount="433">
  <si>
    <t>Name</t>
  </si>
  <si>
    <t>Type</t>
  </si>
  <si>
    <t>Y</t>
  </si>
  <si>
    <t>Title</t>
  </si>
  <si>
    <t>Subtotal</t>
  </si>
  <si>
    <t>Total</t>
  </si>
  <si>
    <t>Date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</si>
  <si>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</si>
  <si>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</si>
  <si>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</si>
  <si>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</si>
  <si>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</si>
  <si>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</si>
  <si>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</si>
  <si>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</si>
  <si>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</si>
  <si>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</si>
  <si>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</si>
  <si>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</si>
  <si>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</si>
  <si>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</si>
  <si>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</si>
  <si>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</si>
  <si>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</si>
  <si>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</si>
  <si>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</si>
  <si>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</si>
  <si>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</si>
  <si>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</si>
  <si>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</si>
  <si>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</si>
  <si>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</si>
  <si>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</si>
  <si>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</si>
  <si>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</si>
  <si>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</si>
  <si>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</si>
  <si>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</si>
  <si>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</si>
  <si>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</si>
  <si>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</si>
  <si>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</si>
  <si>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</si>
  <si>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</si>
  <si>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</si>
  <si>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</si>
  <si>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</si>
  <si>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</si>
  <si>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</si>
  <si>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</si>
  <si>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</si>
  <si>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</si>
  <si>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</si>
  <si>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</si>
  <si>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</si>
  <si>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</si>
  <si>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</si>
  <si>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</si>
  <si>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</si>
  <si>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</si>
  <si>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</si>
  <si>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</si>
  <si>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</si>
  <si>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</si>
  <si>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</si>
  <si>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</si>
  <si>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</si>
  <si>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</si>
  <si>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</si>
  <si>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</si>
  <si>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</si>
  <si>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</si>
  <si>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</si>
  <si>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</si>
  <si>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</si>
  <si>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</si>
  <si>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</si>
  <si>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</si>
  <si>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</si>
  <si>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</si>
  <si>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</si>
  <si>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</si>
  <si>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</si>
  <si>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</si>
  <si>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</si>
  <si>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</si>
  <si>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</si>
  <si>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</si>
  <si>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</si>
  <si>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</si>
  <si>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</si>
  <si>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</si>
  <si>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</si>
  <si>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</si>
  <si>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</si>
  <si>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</si>
  <si>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</si>
  <si>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</si>
  <si>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</si>
  <si>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</si>
  <si>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</si>
  <si>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</si>
  <si>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</si>
  <si>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</si>
  <si>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</si>
  <si>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</si>
  <si>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</si>
  <si>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</si>
  <si>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</si>
  <si>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</si>
  <si>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</si>
  <si>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</si>
  <si>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</si>
  <si>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</si>
  <si>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</si>
  <si>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</si>
  <si>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</si>
  <si>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</si>
  <si>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</si>
  <si>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</si>
  <si>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</si>
  <si>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</si>
  <si>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</si>
  <si>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B2733"/>
        <rFont val="Aptos"/>
        <family val="2"/>
      </rPr>
      <t>↓  Dates→</t>
    </r>
  </si>
  <si>
    <t>IsOccurrenceDateλ(Dates, FirstOccurrence, [LastOccurrence], [Repeats])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</si>
  <si>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</si>
  <si>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</si>
  <si>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</si>
  <si>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</si>
  <si>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</si>
  <si>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</si>
  <si>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</si>
  <si>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</si>
  <si>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</si>
  <si>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</si>
  <si>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</si>
  <si>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</si>
  <si>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</si>
  <si>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</si>
  <si>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</si>
  <si>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</si>
  <si>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</si>
  <si>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</si>
  <si>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</si>
  <si>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</si>
  <si>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</si>
  <si>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</si>
  <si>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</si>
  <si>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</si>
  <si>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</si>
  <si>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</si>
  <si>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</si>
  <si>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</si>
  <si>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</si>
  <si>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</si>
  <si>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</si>
  <si>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</si>
  <si>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</si>
  <si>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</si>
  <si>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</si>
  <si>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</si>
  <si>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</si>
  <si>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</si>
  <si>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</si>
  <si>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</si>
  <si>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</si>
  <si>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</si>
  <si>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</si>
  <si>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</si>
  <si>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</si>
  <si>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</si>
  <si>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</si>
  <si>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</si>
  <si>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</si>
  <si>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</si>
  <si>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</si>
  <si>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</si>
  <si>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</si>
  <si>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</si>
  <si>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</si>
  <si>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</si>
  <si>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</si>
  <si>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</si>
  <si>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</si>
  <si>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</si>
  <si>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</si>
  <si>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</si>
  <si>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</si>
  <si>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</si>
  <si>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</si>
  <si>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</si>
  <si>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</si>
  <si>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</si>
  <si>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</si>
  <si>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</si>
  <si>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</si>
  <si>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</si>
  <si>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</si>
  <si>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</si>
  <si>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</si>
  <si>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</si>
  <si>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</si>
  <si>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</si>
  <si>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</si>
  <si>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</si>
  <si>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pale purple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</si>
  <si>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</si>
  <si>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</si>
  <si>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</si>
  <si>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</si>
  <si>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</si>
  <si>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</si>
  <si>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</si>
  <si>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</si>
  <si>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</si>
  <si>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</si>
  <si>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</si>
  <si>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</si>
  <si>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</si>
  <si>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</si>
  <si>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</si>
  <si>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</si>
  <si>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</si>
  <si>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</si>
  <si>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</si>
  <si>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</si>
  <si>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</si>
  <si>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</si>
  <si>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</si>
  <si>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</si>
  <si>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</si>
  <si>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</si>
  <si>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</si>
  <si>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</si>
  <si>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</si>
  <si>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</si>
  <si>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</si>
  <si>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</si>
  <si>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</si>
  <si>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oz.SumContainsλ</t>
  </si>
  <si>
    <t>tblAssets111214</t>
  </si>
  <si>
    <t>tblPhases</t>
  </si>
  <si>
    <t>oz.RollingSumλ</t>
  </si>
  <si>
    <t>Create row totals for CAPEX, Depreciation,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</si>
  <si>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</si>
  <si>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</si>
  <si>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</si>
  <si>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</si>
  <si>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</si>
  <si>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</si>
  <si>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</si>
  <si>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</si>
  <si>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</si>
  <si>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</si>
  <si>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</si>
  <si>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</si>
  <si>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</si>
  <si>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</si>
  <si>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</si>
  <si>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</si>
  <si>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</si>
  <si>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</si>
  <si>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</si>
  <si>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</si>
  <si>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</si>
  <si>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</si>
  <si>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</si>
  <si>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</si>
  <si>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</si>
  <si>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</si>
  <si>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</si>
  <si>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</si>
  <si>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</si>
  <si>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</si>
  <si>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</si>
  <si>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</si>
  <si>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</si>
  <si>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</si>
  <si>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</si>
  <si>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</si>
  <si>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</si>
  <si>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</si>
  <si>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</si>
  <si>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</si>
  <si>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</si>
  <si>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</si>
  <si>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</si>
  <si>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</si>
  <si>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</si>
  <si>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</si>
  <si>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</si>
  <si>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</si>
  <si>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</si>
  <si>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</si>
  <si>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</si>
  <si>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</si>
  <si>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</si>
  <si>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</si>
  <si>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</si>
  <si>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</si>
  <si>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</si>
  <si>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</si>
  <si>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</si>
  <si>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</si>
  <si>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</si>
  <si>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</si>
  <si>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</si>
  <si>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</si>
  <si>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</si>
  <si>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</si>
  <si>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</si>
  <si>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</si>
  <si>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</si>
  <si>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</si>
  <si>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</si>
  <si>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</si>
  <si>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</si>
  <si>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</si>
  <si>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</si>
  <si>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</si>
  <si>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</si>
  <si>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</si>
  <si>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</si>
  <si>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</si>
  <si>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</si>
  <si>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</si>
  <si>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AboutRatiosλ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</si>
  <si>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</si>
  <si>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</si>
  <si>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</si>
  <si>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</si>
  <si>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</si>
  <si>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</si>
  <si>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</si>
  <si>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</si>
  <si>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</si>
  <si>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</si>
  <si>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</si>
  <si>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</si>
  <si>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</si>
  <si>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</si>
  <si>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</si>
  <si>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</si>
  <si>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</si>
  <si>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</si>
  <si>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</si>
  <si>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</si>
  <si>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</si>
  <si>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</si>
  <si>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</si>
  <si>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</si>
  <si>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</si>
  <si>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</si>
  <si>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</si>
  <si>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</si>
  <si>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</si>
  <si>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</si>
  <si>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</si>
  <si>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</si>
  <si>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</si>
  <si>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</si>
  <si>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</si>
  <si>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</si>
  <si>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</si>
  <si>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</si>
  <si>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</si>
  <si>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</si>
  <si>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</si>
  <si>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</si>
  <si>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</si>
  <si>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</si>
  <si>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</si>
  <si>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</si>
  <si>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</si>
  <si>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</si>
  <si>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</si>
  <si>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</si>
  <si>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</si>
  <si>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</si>
  <si>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</si>
  <si>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</si>
  <si>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</si>
  <si>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</si>
  <si>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</si>
  <si>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</si>
  <si>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</si>
  <si>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</si>
  <si>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</si>
  <si>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</si>
  <si>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</si>
  <si>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</si>
  <si>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</si>
  <si>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</si>
  <si>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</si>
  <si>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</si>
  <si>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DPRλ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</si>
  <si>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</si>
  <si>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</si>
  <si>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</si>
  <si>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</si>
  <si>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</si>
  <si>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</si>
  <si>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</si>
  <si>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</si>
  <si>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</si>
  <si>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</si>
  <si>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</si>
  <si>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</si>
  <si>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</si>
  <si>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</si>
  <si>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</si>
  <si>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</si>
  <si>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</si>
  <si>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</si>
  <si>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</si>
  <si>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</si>
  <si>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</si>
  <si>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</si>
  <si>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</si>
  <si>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</si>
  <si>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</si>
  <si>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</si>
  <si>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</si>
  <si>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</si>
  <si>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</si>
  <si>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</si>
  <si>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</si>
  <si>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</si>
  <si>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</si>
  <si>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20 August 2026    -    130 functions    -    Microsoft 365 or Excel 2024 and later</t>
  </si>
  <si>
    <t>Count all non-empty cells in each row of an array</t>
  </si>
  <si>
    <t>Count all non-empty cells in each column of an array</t>
  </si>
  <si>
    <t>Three dozen financial ratios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</si>
</sst>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quot;$&quot;#,##0_);[Red]\(&quot;$&quot;#,##0\)"/>
    <numFmt numFmtId="165" formatCode="&quot;$&quot;#,##0.00_);[Red]\(&quot;$&quot;#,##0.00\)"/>
    <numFmt numFmtId="166" formatCode="#,##0.0%_);[Red]\(#,##0.0%\)"/>
    <numFmt numFmtId="167" formatCode="d\-mmm\-yyyy"/>
    <numFmt numFmtId="168" formatCode="dd/mm/yyyy"/>
    <numFmt numFmtId="169" formatCode="#,###;#,###;\-"/>
    <numFmt numFmtId="170" formatCode="#,###;[Red]\(#,###\);\-"/>
    <numFmt numFmtId="171" formatCode="#,##0.00%_);[Red]\(#,##0.00%\)"/>
    <numFmt numFmtId="172" formatCode="#,##0.00000_);[Red]\(#,##0.00000\)"/>
  </numFmts>
  <fonts count="31" x14ac:knownFonts="1">
    <font>
      <sz val="11"/>
      <color rgb="FF000000"/>
      <name val="Aptos"/>
      <family val="2"/>
      <scheme val="minor"/>
    </font>
    <font>
      <sz val="11"/>
      <color theme="1"/>
      <name val="Aptos"/>
      <family val="2"/>
      <scheme val="minor"/>
    </font>
    <font>
      <b/>
      <sz val="11"/>
      <color rgb="FF2B2733"/>
      <name val="Aptos"/>
      <family val="2"/>
      <scheme val="minor"/>
    </font>
    <font>
      <b/>
      <sz val="11"/>
      <color rgb="FF000000"/>
      <name val="Aptos"/>
      <family val="2"/>
      <scheme val="minor"/>
    </font>
    <font>
      <sz val="11"/>
      <color rgb="FF000000"/>
      <name val="Aptos"/>
      <family val="2"/>
      <scheme val="minor"/>
    </font>
    <font>
      <sz val="11"/>
      <color rgb="FF5C2D91"/>
      <name val="Aptos"/>
      <family val="2"/>
      <scheme val="minor"/>
    </font>
    <font>
      <i/>
      <sz val="11"/>
      <color rgb="FF6E6862"/>
      <name val="Aptos"/>
      <family val="2"/>
      <scheme val="minor"/>
    </font>
    <font>
      <b/>
      <sz val="36"/>
      <color rgb="FF5C2D91"/>
      <name val="Aptos Display"/>
    </font>
    <font>
      <b/>
      <sz val="20"/>
      <color rgb="FF5C2D91"/>
      <name val="Aptos Display"/>
    </font>
    <font>
      <b/>
      <sz val="16"/>
      <color rgb="FF5C2D91"/>
      <name val="Aptos Display"/>
    </font>
    <font>
      <u/>
      <sz val="11"/>
      <color theme="10"/>
      <name val="Aptos"/>
      <family val="2"/>
      <scheme val="minor"/>
    </font>
    <font>
      <sz val="10"/>
      <color rgb="FFFFFFFF"/>
      <name val="Aptos"/>
      <family val="2"/>
      <scheme val="minor"/>
    </font>
    <font>
      <b/>
      <sz val="11"/>
      <color rgb="FF5C2D91"/>
      <name val="Aptos"/>
      <family val="2"/>
      <scheme val="minor"/>
    </font>
    <font>
      <sz val="11"/>
      <color rgb="FF000000"/>
      <name val="Aptos"/>
      <family val="2"/>
      <scheme val="minor"/>
    </font>
    <font>
      <b/>
      <sz val="11"/>
      <color rgb="FF5C2D91"/>
      <name val="Aptos"/>
      <family val="2"/>
      <scheme val="minor"/>
    </font>
    <font>
      <sz val="12"/>
      <color rgb="FF000000"/>
      <name val="Aptos"/>
      <family val="2"/>
    </font>
    <font>
      <sz val="11"/>
      <color rgb="FF000000"/>
      <name val="Aptos"/>
      <family val="2"/>
    </font>
    <font>
      <sz val="36"/>
      <color rgb="FF04001F"/>
      <name val="Aptos"/>
      <family val="2"/>
    </font>
    <font>
      <b/>
      <sz val="12"/>
      <color rgb="FF000000"/>
      <name val="Aptos"/>
      <family val="2"/>
    </font>
    <font>
      <b/>
      <sz val="48"/>
      <color rgb="FF5C2D91"/>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11"/>
      <color rgb="FF2B2733"/>
      <name val="Aptos"/>
      <family val="2"/>
    </font>
    <font>
      <b/>
      <sz val="48"/>
      <color rgb="FF5C2D91"/>
      <name val="Aptos Display"/>
      <family val="2"/>
    </font>
    <font>
      <sz val="12"/>
      <color rgb="FF6E6862"/>
      <name val="Aptos"/>
      <family val="2"/>
    </font>
    <font>
      <sz val="10"/>
      <color rgb="FF6E6862"/>
      <name val="Aptos"/>
      <family val="2"/>
    </font>
    <font>
      <b/>
      <sz val="22"/>
      <color rgb="FF04001F"/>
      <name val="Aptos Display"/>
      <family val="2"/>
    </font>
    <font>
      <b/>
      <sz val="26"/>
      <color rgb="FF5C2D91"/>
      <name val="Aptos Display"/>
      <family val="2"/>
    </font>
  </fonts>
  <fills count="10">
    <fill>
      <patternFill patternType="none"/>
    </fill>
    <fill>
      <patternFill patternType="gray125"/>
    </fill>
    <fill>
      <patternFill patternType="solid">
        <fgColor theme="0" tint="-4.9989318521683403E-2"/>
        <bgColor rgb="FF000000"/>
      </patternFill>
    </fill>
    <fill>
      <patternFill patternType="solid">
        <fgColor indexed="9"/>
        <bgColor rgb="FF000000"/>
      </patternFill>
    </fill>
    <fill>
      <patternFill patternType="solid">
        <fgColor rgb="FFDED9E8"/>
        <bgColor rgb="FF000000"/>
      </patternFill>
    </fill>
    <fill>
      <patternFill patternType="solid">
        <fgColor rgb="FFF3F1F6"/>
      </patternFill>
    </fill>
    <fill>
      <patternFill patternType="solid">
        <fgColor theme="4"/>
        <bgColor rgb="FF000000"/>
      </patternFill>
    </fill>
    <fill>
      <patternFill patternType="solid">
        <fgColor rgb="FFF3F1F6"/>
        <bgColor rgb="FF000000"/>
      </patternFill>
    </fill>
    <fill>
      <patternFill patternType="solid">
        <fgColor rgb="FFF5F5F5"/>
        <bgColor rgb="FF000000"/>
      </patternFill>
    </fill>
    <fill>
      <patternFill patternType="solid">
        <fgColor rgb="FFF3F1F5"/>
        <bgColor rgb="FF000000"/>
      </patternFill>
    </fill>
  </fills>
  <borders count="21">
    <border>
      <left/>
      <right/>
      <top/>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16">
    <xf numFmtId="170" fontId="0" fillId="3" borderId="0" applyBorder="0" applyAlignment="0"/>
    <xf numFmtId="40" fontId="1" fillId="0" borderId="0" applyFont="0" applyFill="0" applyBorder="0" applyProtection="0">
      <alignment horizontal="right" vertical="top"/>
    </xf>
    <xf numFmtId="165" fontId="1" fillId="0" borderId="0" applyFont="0" applyFill="0" applyBorder="0" applyProtection="0">
      <alignment horizontal="right" vertical="top"/>
    </xf>
    <xf numFmtId="166" fontId="1" fillId="0" borderId="0" applyFont="0" applyFill="0" applyBorder="0" applyProtection="0">
      <alignment horizontal="right" vertical="top"/>
    </xf>
    <xf numFmtId="0" fontId="7" fillId="0" borderId="1" applyNumberFormat="0" applyFill="0" applyAlignment="0" applyProtection="0"/>
    <xf numFmtId="0" fontId="8" fillId="0" borderId="1" applyNumberFormat="0" applyFill="0" applyAlignment="0" applyProtection="0"/>
    <xf numFmtId="0" fontId="9" fillId="0" borderId="1" applyNumberFormat="0" applyFill="0" applyAlignment="0" applyProtection="0"/>
    <xf numFmtId="0" fontId="2" fillId="7" borderId="6" applyNumberFormat="0" applyAlignment="0" applyProtection="0"/>
    <xf numFmtId="0" fontId="5" fillId="4" borderId="1" applyNumberFormat="0" applyAlignment="0" applyProtection="0">
      <protection locked="0"/>
    </xf>
    <xf numFmtId="0" fontId="4" fillId="2" borderId="1" applyNumberFormat="0" applyAlignment="0">
      <protection locked="0"/>
    </xf>
    <xf numFmtId="0" fontId="6" fillId="0" borderId="1" applyNumberFormat="0" applyFill="0" applyAlignment="0" applyProtection="0"/>
    <xf numFmtId="0" fontId="3" fillId="0" borderId="7" applyNumberFormat="0" applyFill="0" applyAlignment="0" applyProtection="0"/>
    <xf numFmtId="0" fontId="4" fillId="5" borderId="0" applyNumberFormat="0" applyBorder="0" applyAlignment="0"/>
    <xf numFmtId="0" fontId="3" fillId="3" borderId="5" applyNumberFormat="0" applyFill="0" applyAlignment="0" applyProtection="0"/>
    <xf numFmtId="167" fontId="4" fillId="3" borderId="0" applyFont="0" applyFill="0" applyBorder="0" applyProtection="0">
      <alignment horizontal="right" vertical="top"/>
    </xf>
    <xf numFmtId="0" fontId="10" fillId="3" borderId="0" applyNumberFormat="0" applyFill="0" applyBorder="0" applyAlignment="0"/>
  </cellStyleXfs>
  <cellXfs count="220">
    <xf numFmtId="170" fontId="0" fillId="3" borderId="0" xfId="0"/>
    <xf numFmtId="167" fontId="2" fillId="7" borderId="6" xfId="7" applyNumberFormat="1" applyAlignment="1">
      <alignment horizontal="right" vertical="top"/>
    </xf>
    <xf numFmtId="170" fontId="3" fillId="3" borderId="0" xfId="0" applyFont="1"/>
    <xf numFmtId="170" fontId="0" fillId="3" borderId="0" xfId="0" quotePrefix="1"/>
    <xf numFmtId="0" fontId="6" fillId="3" borderId="1" xfId="10" applyFill="1"/>
    <xf numFmtId="170" fontId="11" fillId="6" borderId="8" xfId="0" applyFont="1" applyFill="1" applyBorder="1" applyAlignment="1"/>
    <xf numFmtId="170" fontId="11" fillId="6" borderId="9" xfId="0" applyFont="1" applyFill="1" applyBorder="1" applyAlignment="1"/>
    <xf numFmtId="170" fontId="11" fillId="6" borderId="12" xfId="0" applyFont="1" applyFill="1" applyBorder="1" applyAlignment="1"/>
    <xf numFmtId="170" fontId="0" fillId="3" borderId="10" xfId="0" applyBorder="1" applyAlignment="1"/>
    <xf numFmtId="170" fontId="0" fillId="3" borderId="0" xfId="0" applyBorder="1" applyAlignment="1"/>
    <xf numFmtId="170" fontId="3" fillId="3" borderId="10" xfId="0" applyFont="1" applyBorder="1" applyAlignment="1"/>
    <xf numFmtId="170" fontId="0" fillId="3" borderId="11" xfId="0" quotePrefix="1" applyBorder="1" applyAlignment="1"/>
    <xf numFmtId="0" fontId="7" fillId="3" borderId="1" xfId="4" applyFill="1"/>
    <xf numFmtId="170" fontId="0" fillId="3" borderId="0" xfId="0" applyAlignment="1">
      <alignment horizontal="right"/>
    </xf>
    <xf numFmtId="0" fontId="2" fillId="7" borderId="6" xfId="7"/>
    <xf numFmtId="0" fontId="2" fillId="7" borderId="6" xfId="7" applyAlignment="1">
      <alignment horizontal="right"/>
    </xf>
    <xf numFmtId="0" fontId="9" fillId="3" borderId="1" xfId="6" applyFill="1" applyAlignment="1">
      <alignment horizontal="left"/>
    </xf>
    <xf numFmtId="0" fontId="4" fillId="2" borderId="1" xfId="9" applyAlignment="1">
      <alignment horizontal="right"/>
      <protection locked="0"/>
    </xf>
    <xf numFmtId="167" fontId="4" fillId="2" borderId="1" xfId="14" applyFill="1" applyBorder="1" applyProtection="1">
      <alignment horizontal="right" vertical="top"/>
      <protection locked="0"/>
    </xf>
    <xf numFmtId="167" fontId="0" fillId="3" borderId="0" xfId="0" applyNumberFormat="1"/>
    <xf numFmtId="170" fontId="0" fillId="3" borderId="0" xfId="0" applyAlignment="1">
      <alignment horizontal="left" indent="1"/>
    </xf>
    <xf numFmtId="0" fontId="4" fillId="2" borderId="1" xfId="14" applyNumberFormat="1" applyFill="1" applyBorder="1" applyProtection="1">
      <alignment horizontal="right" vertical="top"/>
      <protection locked="0"/>
    </xf>
    <xf numFmtId="170" fontId="0" fillId="3" borderId="1" xfId="0" applyBorder="1" applyAlignment="1">
      <alignment horizontal="right"/>
    </xf>
    <xf numFmtId="0" fontId="4" fillId="2" borderId="1" xfId="9">
      <protection locked="0"/>
    </xf>
    <xf numFmtId="170" fontId="3" fillId="3" borderId="0" xfId="0" applyFont="1" applyAlignment="1">
      <alignment horizontal="right"/>
    </xf>
    <xf numFmtId="0" fontId="2" fillId="7" borderId="13" xfId="7" applyBorder="1" applyAlignment="1">
      <alignment horizontal="right"/>
    </xf>
    <xf numFmtId="0" fontId="3" fillId="5" borderId="0" xfId="12" applyFont="1" applyBorder="1" applyAlignment="1">
      <alignment horizontal="right"/>
    </xf>
    <xf numFmtId="167" fontId="3" fillId="5" borderId="0" xfId="14" applyFont="1" applyFill="1" applyBorder="1">
      <alignment horizontal="right" vertical="top"/>
    </xf>
    <xf numFmtId="167" fontId="2" fillId="7" borderId="13" xfId="14" applyFont="1" applyFill="1" applyBorder="1">
      <alignment horizontal="right" vertical="top"/>
    </xf>
    <xf numFmtId="0" fontId="5" fillId="4" borderId="1" xfId="8" applyNumberFormat="1" applyAlignment="1" applyProtection="1">
      <alignment horizontal="right" vertical="top"/>
    </xf>
    <xf numFmtId="0" fontId="5" fillId="4" borderId="1" xfId="8" applyProtection="1"/>
    <xf numFmtId="167" fontId="2" fillId="7" borderId="0" xfId="14" applyFont="1" applyFill="1" applyBorder="1">
      <alignment horizontal="right" vertical="top"/>
    </xf>
    <xf numFmtId="170" fontId="0" fillId="3" borderId="0" xfId="0" applyBorder="1" applyAlignment="1">
      <alignment horizontal="left" indent="1"/>
    </xf>
    <xf numFmtId="170" fontId="3" fillId="3" borderId="0" xfId="0" applyFont="1" applyBorder="1" applyAlignment="1">
      <alignment horizontal="left"/>
    </xf>
    <xf numFmtId="170" fontId="3" fillId="3" borderId="0" xfId="0" applyFont="1" applyBorder="1" applyAlignment="1">
      <alignment horizontal="right"/>
    </xf>
    <xf numFmtId="167" fontId="5" fillId="4" borderId="14" xfId="8" applyNumberFormat="1" applyBorder="1" applyAlignment="1" applyProtection="1">
      <alignment horizontal="right" vertical="top"/>
    </xf>
    <xf numFmtId="40" fontId="0" fillId="3" borderId="0" xfId="1" applyFont="1" applyFill="1" applyBorder="1">
      <alignment horizontal="right" vertical="top"/>
    </xf>
    <xf numFmtId="170" fontId="0" fillId="3" borderId="4" xfId="0" applyBorder="1" applyAlignment="1"/>
    <xf numFmtId="38" fontId="0" fillId="3" borderId="1" xfId="0" applyNumberFormat="1" applyBorder="1" applyAlignment="1">
      <alignment horizontal="right" vertical="top"/>
    </xf>
    <xf numFmtId="168" fontId="0" fillId="3" borderId="1" xfId="0" applyNumberFormat="1" applyBorder="1" applyAlignment="1">
      <alignment horizontal="right" vertical="top"/>
    </xf>
    <xf numFmtId="167" fontId="0" fillId="3" borderId="0" xfId="14" applyFont="1">
      <alignment horizontal="right" vertical="top"/>
    </xf>
    <xf numFmtId="169" fontId="5" fillId="4" borderId="1" xfId="8" applyNumberFormat="1" applyProtection="1"/>
    <xf numFmtId="38" fontId="0" fillId="3" borderId="0" xfId="0" applyNumberFormat="1" applyBorder="1" applyAlignment="1">
      <alignment horizontal="right" vertical="top"/>
    </xf>
    <xf numFmtId="168" fontId="0" fillId="3" borderId="0" xfId="0" applyNumberFormat="1" applyBorder="1" applyAlignment="1">
      <alignment horizontal="right" vertical="top"/>
    </xf>
    <xf numFmtId="169" fontId="2" fillId="7" borderId="6" xfId="7" applyNumberFormat="1" applyAlignment="1"/>
    <xf numFmtId="169" fontId="2" fillId="7" borderId="6" xfId="7" applyNumberFormat="1" applyAlignment="1">
      <alignment horizontal="right" wrapText="1"/>
    </xf>
    <xf numFmtId="169" fontId="2" fillId="7" borderId="6" xfId="7" applyNumberFormat="1" applyAlignment="1">
      <alignment horizontal="center"/>
    </xf>
    <xf numFmtId="40" fontId="0" fillId="3" borderId="0" xfId="1" applyFont="1" applyFill="1">
      <alignment horizontal="right" vertical="top"/>
    </xf>
    <xf numFmtId="169" fontId="2" fillId="7" borderId="6" xfId="7" applyNumberFormat="1"/>
    <xf numFmtId="169" fontId="3" fillId="5" borderId="0" xfId="12" applyNumberFormat="1" applyFont="1"/>
    <xf numFmtId="167" fontId="3" fillId="5" borderId="0" xfId="12" applyNumberFormat="1" applyFont="1" applyAlignment="1">
      <alignment horizontal="right" vertical="top"/>
    </xf>
    <xf numFmtId="0" fontId="6" fillId="3" borderId="15" xfId="10" applyFill="1" applyBorder="1" applyAlignment="1">
      <alignment horizontal="left"/>
    </xf>
    <xf numFmtId="0" fontId="9" fillId="3" borderId="16" xfId="6" applyFill="1" applyBorder="1" applyAlignment="1"/>
    <xf numFmtId="169" fontId="5" fillId="4" borderId="1" xfId="8" applyNumberFormat="1" applyAlignment="1" applyProtection="1">
      <alignment horizontal="right" vertical="top"/>
    </xf>
    <xf numFmtId="169" fontId="2" fillId="7" borderId="13" xfId="7" applyNumberFormat="1" applyBorder="1" applyAlignment="1">
      <alignment horizontal="right"/>
    </xf>
    <xf numFmtId="167" fontId="2" fillId="7" borderId="13" xfId="7" applyNumberFormat="1" applyBorder="1" applyAlignment="1">
      <alignment horizontal="right" vertical="top"/>
    </xf>
    <xf numFmtId="170" fontId="3" fillId="3" borderId="0" xfId="0" applyFont="1" applyBorder="1"/>
    <xf numFmtId="170" fontId="3" fillId="3" borderId="0" xfId="13" applyNumberFormat="1" applyBorder="1" applyAlignment="1">
      <alignment horizontal="right"/>
    </xf>
    <xf numFmtId="170" fontId="3" fillId="3" borderId="0" xfId="13" applyNumberFormat="1" applyBorder="1"/>
    <xf numFmtId="170" fontId="2" fillId="7" borderId="6" xfId="7" applyNumberFormat="1" applyAlignment="1">
      <alignment horizontal="right"/>
    </xf>
    <xf numFmtId="170" fontId="2" fillId="7" borderId="6" xfId="7" applyNumberFormat="1"/>
    <xf numFmtId="170" fontId="5" fillId="4" borderId="1" xfId="8" applyNumberFormat="1" applyProtection="1"/>
    <xf numFmtId="167" fontId="4" fillId="2" borderId="1" xfId="9" applyNumberFormat="1">
      <protection locked="0"/>
    </xf>
    <xf numFmtId="38" fontId="4" fillId="2" borderId="1" xfId="9" applyNumberFormat="1" applyAlignment="1">
      <alignment horizontal="right" vertical="top"/>
      <protection locked="0"/>
    </xf>
    <xf numFmtId="167" fontId="3" fillId="5" borderId="0" xfId="12" applyNumberFormat="1" applyFont="1" applyBorder="1" applyAlignment="1">
      <alignment horizontal="right" vertical="top"/>
    </xf>
    <xf numFmtId="169" fontId="2" fillId="7" borderId="6" xfId="7" applyNumberFormat="1" applyAlignment="1">
      <alignment horizontal="right"/>
    </xf>
    <xf numFmtId="170" fontId="3" fillId="3" borderId="5" xfId="13" applyNumberFormat="1"/>
    <xf numFmtId="0" fontId="0" fillId="3" borderId="0" xfId="0" applyNumberFormat="1"/>
    <xf numFmtId="0" fontId="4" fillId="3" borderId="0" xfId="0" applyNumberFormat="1" applyFont="1" applyAlignment="1">
      <alignment horizontal="right" vertical="top"/>
    </xf>
    <xf numFmtId="167" fontId="3" fillId="5" borderId="0" xfId="12" applyNumberFormat="1" applyFont="1" applyBorder="1" applyAlignment="1">
      <alignment horizontal="right"/>
    </xf>
    <xf numFmtId="170" fontId="3" fillId="3" borderId="7" xfId="11" applyNumberFormat="1" applyFill="1"/>
    <xf numFmtId="170" fontId="0" fillId="3" borderId="8" xfId="0" applyBorder="1"/>
    <xf numFmtId="170" fontId="0" fillId="3" borderId="9" xfId="0" applyBorder="1"/>
    <xf numFmtId="170" fontId="0" fillId="3" borderId="0" xfId="0" applyBorder="1"/>
    <xf numFmtId="0" fontId="2" fillId="7" borderId="0" xfId="7" applyBorder="1" applyAlignment="1">
      <alignment horizontal="left"/>
    </xf>
    <xf numFmtId="0" fontId="2" fillId="7" borderId="0" xfId="7" applyBorder="1"/>
    <xf numFmtId="38" fontId="0" fillId="3" borderId="10" xfId="0" applyNumberFormat="1" applyBorder="1" applyAlignment="1">
      <alignment horizontal="right" vertical="top"/>
    </xf>
    <xf numFmtId="38" fontId="0" fillId="3" borderId="18" xfId="0" applyNumberFormat="1" applyBorder="1" applyAlignment="1">
      <alignment horizontal="right" vertical="top"/>
    </xf>
    <xf numFmtId="10" fontId="0" fillId="3" borderId="18" xfId="0" applyNumberFormat="1" applyBorder="1"/>
    <xf numFmtId="170" fontId="0" fillId="3" borderId="18" xfId="0" applyBorder="1"/>
    <xf numFmtId="167" fontId="0" fillId="3" borderId="18" xfId="0" applyNumberFormat="1" applyBorder="1" applyAlignment="1">
      <alignment horizontal="right" vertical="top"/>
    </xf>
    <xf numFmtId="170" fontId="0" fillId="3" borderId="0" xfId="0" applyAlignment="1">
      <alignment horizontal="left"/>
    </xf>
    <xf numFmtId="40" fontId="0" fillId="3" borderId="0" xfId="1" applyFont="1" applyFill="1" applyAlignment="1">
      <alignment horizontal="left" vertical="top"/>
    </xf>
    <xf numFmtId="165" fontId="0" fillId="3" borderId="0" xfId="0" applyNumberFormat="1" applyAlignment="1">
      <alignment horizontal="left"/>
    </xf>
    <xf numFmtId="170" fontId="3" fillId="3" borderId="1" xfId="0" applyFont="1" applyBorder="1" applyAlignment="1">
      <alignment horizontal="left"/>
    </xf>
    <xf numFmtId="170" fontId="0" fillId="3" borderId="0" xfId="0" applyAlignment="1">
      <alignment horizontal="right" vertical="top"/>
    </xf>
    <xf numFmtId="170" fontId="5" fillId="4" borderId="1" xfId="8" applyNumberFormat="1" applyAlignment="1" applyProtection="1">
      <alignment horizontal="right" vertical="top"/>
    </xf>
    <xf numFmtId="170" fontId="0" fillId="3" borderId="9" xfId="0" applyBorder="1" applyAlignment="1">
      <alignment horizontal="right"/>
    </xf>
    <xf numFmtId="38" fontId="0" fillId="3" borderId="10" xfId="0" applyNumberFormat="1" applyBorder="1" applyAlignment="1">
      <alignment horizontal="left" vertical="top"/>
    </xf>
    <xf numFmtId="169" fontId="2" fillId="7" borderId="13" xfId="7" applyNumberFormat="1" applyBorder="1"/>
    <xf numFmtId="169" fontId="2" fillId="7" borderId="0" xfId="7" applyNumberFormat="1" applyBorder="1" applyAlignment="1">
      <alignment horizontal="right"/>
    </xf>
    <xf numFmtId="170" fontId="0" fillId="3" borderId="1" xfId="0" applyBorder="1"/>
    <xf numFmtId="170" fontId="0" fillId="3" borderId="0" xfId="0" applyAlignment="1">
      <alignment wrapText="1"/>
    </xf>
    <xf numFmtId="170" fontId="0" fillId="3" borderId="0" xfId="0" applyAlignment="1">
      <alignment horizontal="right" wrapText="1"/>
    </xf>
    <xf numFmtId="38" fontId="0" fillId="3" borderId="0" xfId="1" applyNumberFormat="1" applyFont="1" applyFill="1">
      <alignment horizontal="right" vertical="top"/>
    </xf>
    <xf numFmtId="167" fontId="0" fillId="3" borderId="0" xfId="1" applyNumberFormat="1" applyFont="1" applyFill="1">
      <alignment horizontal="right" vertical="top"/>
    </xf>
    <xf numFmtId="38" fontId="0" fillId="3" borderId="0" xfId="1" applyNumberFormat="1" applyFont="1" applyFill="1" applyBorder="1">
      <alignment horizontal="right" vertical="top"/>
    </xf>
    <xf numFmtId="166" fontId="0" fillId="3" borderId="0" xfId="3" applyFont="1" applyFill="1">
      <alignment horizontal="right" vertical="top"/>
    </xf>
    <xf numFmtId="170" fontId="2" fillId="7" borderId="0" xfId="7" applyNumberFormat="1" applyBorder="1"/>
    <xf numFmtId="170" fontId="2" fillId="7" borderId="0" xfId="7" applyNumberFormat="1" applyBorder="1" applyAlignment="1">
      <alignment horizontal="right"/>
    </xf>
    <xf numFmtId="166" fontId="5" fillId="4" borderId="1" xfId="8" applyNumberFormat="1" applyAlignment="1" applyProtection="1">
      <alignment horizontal="right" vertical="top"/>
    </xf>
    <xf numFmtId="170" fontId="0" fillId="3" borderId="1" xfId="0" applyBorder="1" applyAlignment="1">
      <alignment horizontal="right" vertical="top"/>
    </xf>
    <xf numFmtId="170" fontId="3" fillId="3" borderId="0" xfId="11" applyNumberFormat="1" applyFill="1" applyBorder="1"/>
    <xf numFmtId="170" fontId="12" fillId="4" borderId="19" xfId="8" applyNumberFormat="1" applyFont="1" applyBorder="1" applyProtection="1"/>
    <xf numFmtId="0" fontId="3" fillId="3" borderId="5" xfId="13" applyNumberFormat="1"/>
    <xf numFmtId="0" fontId="3" fillId="3" borderId="5" xfId="13" applyNumberFormat="1" applyAlignment="1">
      <alignment horizontal="right" vertical="top"/>
    </xf>
    <xf numFmtId="40" fontId="0" fillId="3" borderId="0" xfId="0" applyNumberFormat="1"/>
    <xf numFmtId="38" fontId="0" fillId="3" borderId="0" xfId="0" applyNumberFormat="1"/>
    <xf numFmtId="168" fontId="0" fillId="3" borderId="0" xfId="0" applyNumberFormat="1"/>
    <xf numFmtId="0" fontId="8" fillId="3" borderId="1" xfId="5" applyNumberFormat="1" applyFill="1"/>
    <xf numFmtId="170" fontId="14" fillId="9" borderId="1" xfId="0" applyFont="1" applyFill="1" applyBorder="1"/>
    <xf numFmtId="170" fontId="14" fillId="9" borderId="1" xfId="0" applyFont="1" applyFill="1" applyBorder="1" applyAlignment="1">
      <alignment horizontal="right"/>
    </xf>
    <xf numFmtId="38" fontId="13" fillId="3" borderId="18" xfId="0" applyNumberFormat="1" applyFont="1" applyBorder="1" applyAlignment="1">
      <alignment horizontal="left" vertical="top"/>
    </xf>
    <xf numFmtId="38" fontId="13" fillId="3" borderId="18" xfId="0" applyNumberFormat="1" applyFont="1" applyBorder="1" applyAlignment="1">
      <alignment horizontal="right" vertical="top"/>
    </xf>
    <xf numFmtId="10" fontId="13" fillId="3" borderId="18" xfId="0" applyNumberFormat="1" applyFont="1" applyBorder="1"/>
    <xf numFmtId="170" fontId="13" fillId="3" borderId="18" xfId="0" applyFont="1" applyBorder="1"/>
    <xf numFmtId="167" fontId="13" fillId="3" borderId="18" xfId="0" applyNumberFormat="1" applyFont="1" applyBorder="1" applyAlignment="1">
      <alignment horizontal="right" vertical="top"/>
    </xf>
    <xf numFmtId="38" fontId="13" fillId="8" borderId="18" xfId="0" applyNumberFormat="1" applyFont="1" applyFill="1" applyBorder="1" applyAlignment="1">
      <alignment horizontal="left" vertical="top"/>
    </xf>
    <xf numFmtId="38" fontId="13" fillId="8" borderId="18" xfId="0" applyNumberFormat="1" applyFont="1" applyFill="1" applyBorder="1" applyAlignment="1">
      <alignment horizontal="right" vertical="top"/>
    </xf>
    <xf numFmtId="10" fontId="13" fillId="8" borderId="18" xfId="0" applyNumberFormat="1" applyFont="1" applyFill="1" applyBorder="1"/>
    <xf numFmtId="170" fontId="13" fillId="8" borderId="18" xfId="0" applyFont="1" applyFill="1" applyBorder="1"/>
    <xf numFmtId="167" fontId="13" fillId="8" borderId="18" xfId="0" applyNumberFormat="1" applyFont="1" applyFill="1" applyBorder="1" applyAlignment="1">
      <alignment horizontal="right" vertical="top"/>
    </xf>
    <xf numFmtId="38" fontId="13" fillId="3" borderId="1" xfId="0" applyNumberFormat="1" applyFont="1" applyBorder="1" applyAlignment="1">
      <alignment horizontal="left" vertical="top"/>
    </xf>
    <xf numFmtId="38" fontId="13" fillId="3" borderId="1" xfId="0" applyNumberFormat="1" applyFont="1" applyBorder="1" applyAlignment="1">
      <alignment horizontal="right" vertical="top"/>
    </xf>
    <xf numFmtId="10" fontId="13" fillId="3" borderId="1" xfId="0" applyNumberFormat="1" applyFont="1" applyBorder="1"/>
    <xf numFmtId="170" fontId="13" fillId="3" borderId="1" xfId="0" applyFont="1" applyBorder="1"/>
    <xf numFmtId="167" fontId="13" fillId="3" borderId="1" xfId="0" applyNumberFormat="1" applyFont="1" applyBorder="1" applyAlignment="1">
      <alignment horizontal="right" vertical="top"/>
    </xf>
    <xf numFmtId="0" fontId="2" fillId="7" borderId="6" xfId="7" applyAlignment="1">
      <alignment horizontal="left"/>
    </xf>
    <xf numFmtId="170" fontId="5" fillId="4" borderId="1" xfId="8" applyNumberFormat="1" applyAlignment="1" applyProtection="1">
      <alignment horizontal="left"/>
    </xf>
    <xf numFmtId="170" fontId="3" fillId="5" borderId="0" xfId="12" applyNumberFormat="1" applyFont="1"/>
    <xf numFmtId="167" fontId="4" fillId="2" borderId="1" xfId="9" applyNumberFormat="1" applyAlignment="1">
      <alignment horizontal="right" vertical="top"/>
      <protection locked="0"/>
    </xf>
    <xf numFmtId="170" fontId="4" fillId="2" borderId="1" xfId="9" applyNumberFormat="1">
      <protection locked="0"/>
    </xf>
    <xf numFmtId="170" fontId="10" fillId="3" borderId="0" xfId="15" applyNumberFormat="1" applyAlignment="1"/>
    <xf numFmtId="170" fontId="10" fillId="3" borderId="0" xfId="15" applyNumberFormat="1" applyAlignment="1">
      <alignment horizontal="center"/>
    </xf>
    <xf numFmtId="170" fontId="0" fillId="3" borderId="4" xfId="0" applyBorder="1"/>
    <xf numFmtId="170" fontId="5" fillId="4" borderId="0" xfId="8" applyNumberFormat="1" applyBorder="1" applyProtection="1"/>
    <xf numFmtId="170" fontId="0" fillId="3" borderId="10" xfId="0" applyBorder="1" applyAlignment="1">
      <alignment horizontal="left" indent="1"/>
    </xf>
    <xf numFmtId="0" fontId="9" fillId="3" borderId="0" xfId="6" applyFill="1" applyBorder="1" applyAlignment="1">
      <alignment horizontal="left"/>
    </xf>
    <xf numFmtId="0" fontId="6" fillId="3" borderId="1" xfId="10" applyFill="1" applyAlignment="1"/>
    <xf numFmtId="0" fontId="6" fillId="3" borderId="0" xfId="10" applyFill="1" applyBorder="1" applyAlignment="1"/>
    <xf numFmtId="170" fontId="16" fillId="3" borderId="0" xfId="0" applyFont="1"/>
    <xf numFmtId="170" fontId="15" fillId="3" borderId="0" xfId="0" applyFont="1" applyAlignment="1">
      <alignment horizontal="justify" vertical="center"/>
    </xf>
    <xf numFmtId="170" fontId="18" fillId="3" borderId="0" xfId="0" applyFont="1" applyAlignment="1">
      <alignment horizontal="justify" vertical="center"/>
    </xf>
    <xf numFmtId="170" fontId="16" fillId="3" borderId="0" xfId="0" applyFont="1" applyAlignment="1">
      <alignment horizontal="justify" vertical="center"/>
    </xf>
    <xf numFmtId="170" fontId="21" fillId="3" borderId="0" xfId="0" applyFont="1"/>
    <xf numFmtId="170" fontId="20" fillId="3" borderId="0" xfId="0" applyFont="1" applyAlignment="1">
      <alignment horizontal="justify" vertical="center"/>
    </xf>
    <xf numFmtId="170" fontId="20" fillId="3" borderId="0" xfId="0" applyFont="1" applyAlignment="1">
      <alignment horizontal="justify" vertical="top" wrapText="1"/>
    </xf>
    <xf numFmtId="170" fontId="21" fillId="3" borderId="0" xfId="0" applyFont="1" applyAlignment="1">
      <alignment horizontal="justify" vertical="top" wrapText="1"/>
    </xf>
    <xf numFmtId="170" fontId="22" fillId="3" borderId="0" xfId="0" applyFont="1" applyAlignment="1">
      <alignment horizontal="justify" vertical="top" wrapText="1"/>
    </xf>
    <xf numFmtId="167" fontId="2" fillId="7" borderId="6" xfId="7" applyNumberFormat="1" applyAlignment="1">
      <alignment horizontal="left" vertical="top"/>
    </xf>
    <xf numFmtId="170" fontId="3" fillId="4" borderId="7" xfId="11" applyNumberFormat="1" applyFill="1" applyProtection="1"/>
    <xf numFmtId="167" fontId="2" fillId="7" borderId="0" xfId="7" applyNumberFormat="1" applyBorder="1" applyAlignment="1">
      <alignment horizontal="right" vertical="top"/>
    </xf>
    <xf numFmtId="170" fontId="0" fillId="3" borderId="7" xfId="0" applyBorder="1"/>
    <xf numFmtId="171" fontId="4" fillId="2" borderId="1" xfId="9" applyNumberFormat="1" applyAlignment="1">
      <alignment horizontal="right" vertical="top"/>
      <protection locked="0"/>
    </xf>
    <xf numFmtId="171" fontId="0" fillId="3" borderId="0" xfId="3" applyNumberFormat="1" applyFont="1" applyFill="1">
      <alignment horizontal="right" vertical="top"/>
    </xf>
    <xf numFmtId="171" fontId="5" fillId="4" borderId="1" xfId="8" applyNumberFormat="1" applyAlignment="1" applyProtection="1">
      <alignment horizontal="right" vertical="top"/>
    </xf>
    <xf numFmtId="0" fontId="2" fillId="7" borderId="2" xfId="7" applyBorder="1"/>
    <xf numFmtId="170" fontId="0" fillId="3" borderId="0" xfId="0" applyAlignment="1">
      <alignment horizontal="justify" vertical="center"/>
    </xf>
    <xf numFmtId="170" fontId="0" fillId="3" borderId="0" xfId="0" applyAlignment="1">
      <alignment horizontal="justify" vertical="top" wrapText="1"/>
    </xf>
    <xf numFmtId="170" fontId="23" fillId="0" borderId="1" xfId="8" applyNumberFormat="1" applyFont="1" applyFill="1" applyProtection="1"/>
    <xf numFmtId="170" fontId="24" fillId="3" borderId="0" xfId="0" applyFont="1" applyBorder="1"/>
    <xf numFmtId="170" fontId="24" fillId="8" borderId="0" xfId="0" applyFont="1" applyFill="1" applyBorder="1"/>
    <xf numFmtId="167" fontId="24" fillId="8" borderId="0" xfId="0" applyNumberFormat="1" applyFont="1" applyFill="1" applyBorder="1"/>
    <xf numFmtId="167" fontId="24" fillId="3" borderId="0" xfId="0" applyNumberFormat="1" applyFont="1" applyBorder="1"/>
    <xf numFmtId="38" fontId="24" fillId="3" borderId="0" xfId="1" applyNumberFormat="1" applyFont="1" applyFill="1" applyBorder="1">
      <alignment horizontal="right" vertical="top"/>
    </xf>
    <xf numFmtId="167" fontId="24" fillId="3" borderId="0" xfId="1" applyNumberFormat="1" applyFont="1" applyFill="1" applyBorder="1">
      <alignment horizontal="right" vertical="top"/>
    </xf>
    <xf numFmtId="165" fontId="0" fillId="3" borderId="0" xfId="2" applyFont="1" applyFill="1">
      <alignment horizontal="right" vertical="top"/>
    </xf>
    <xf numFmtId="172" fontId="0" fillId="3" borderId="0" xfId="1" applyNumberFormat="1" applyFont="1" applyFill="1">
      <alignment horizontal="right" vertical="top"/>
    </xf>
    <xf numFmtId="170" fontId="17" fillId="3" borderId="0" xfId="0" applyFont="1" applyAlignment="1">
      <alignment horizontal="left" vertical="center" indent="1"/>
    </xf>
    <xf numFmtId="0" fontId="2" fillId="0" borderId="0" xfId="0" applyNumberFormat="1" applyFont="1" applyFill="1"/>
    <xf numFmtId="164" fontId="0" fillId="0" borderId="0" xfId="0" applyNumberFormat="1" applyFill="1"/>
    <xf numFmtId="168" fontId="0" fillId="0" borderId="0" xfId="0" applyNumberFormat="1" applyFill="1"/>
    <xf numFmtId="170" fontId="28" fillId="3" borderId="0" xfId="0" applyFont="1"/>
    <xf numFmtId="170" fontId="29" fillId="3" borderId="0" xfId="0" applyFont="1" applyAlignment="1">
      <alignment horizontal="left" vertical="center" indent="1"/>
    </xf>
    <xf numFmtId="170" fontId="17" fillId="3" borderId="0" xfId="0" applyFont="1" applyAlignment="1">
      <alignment horizontal="left" vertical="center" indent="1"/>
    </xf>
    <xf numFmtId="170" fontId="27" fillId="3" borderId="1" xfId="10" applyNumberFormat="1" applyFont="1" applyFill="1" applyAlignment="1">
      <alignment horizontal="left" vertical="top" wrapText="1"/>
    </xf>
    <xf numFmtId="170" fontId="20" fillId="3" borderId="15" xfId="0" applyFont="1" applyBorder="1" applyAlignment="1">
      <alignment horizontal="left" vertical="top" wrapText="1"/>
    </xf>
    <xf numFmtId="0" fontId="26" fillId="3" borderId="1" xfId="4" applyFont="1" applyFill="1" applyAlignment="1"/>
    <xf numFmtId="0" fontId="19" fillId="3" borderId="4" xfId="4" applyFont="1" applyFill="1" applyBorder="1" applyAlignment="1"/>
    <xf numFmtId="0" fontId="6" fillId="3" borderId="1" xfId="10" applyFill="1" applyAlignment="1">
      <alignment horizontal="left"/>
    </xf>
    <xf numFmtId="0" fontId="6" fillId="3" borderId="16" xfId="10" applyFill="1" applyBorder="1" applyAlignment="1">
      <alignment horizontal="left"/>
    </xf>
    <xf numFmtId="0" fontId="6" fillId="3" borderId="4" xfId="10" applyFill="1" applyBorder="1" applyAlignment="1">
      <alignment horizontal="left"/>
    </xf>
    <xf numFmtId="0" fontId="9" fillId="3" borderId="1" xfId="6" applyFill="1" applyAlignment="1">
      <alignment horizontal="left"/>
    </xf>
    <xf numFmtId="0" fontId="6" fillId="3" borderId="20" xfId="10" applyFill="1" applyBorder="1" applyAlignment="1">
      <alignment horizontal="left"/>
    </xf>
    <xf numFmtId="0" fontId="30" fillId="3" borderId="1" xfId="4" applyFont="1" applyFill="1" applyAlignment="1"/>
    <xf numFmtId="0" fontId="7" fillId="3" borderId="0" xfId="4" applyFill="1" applyBorder="1" applyAlignment="1"/>
    <xf numFmtId="0" fontId="7" fillId="3" borderId="1" xfId="4" applyFill="1"/>
    <xf numFmtId="0" fontId="6" fillId="3" borderId="1" xfId="10" applyFill="1" applyAlignment="1"/>
    <xf numFmtId="0" fontId="6" fillId="3" borderId="16" xfId="10" applyFill="1" applyBorder="1" applyAlignment="1"/>
    <xf numFmtId="0" fontId="6" fillId="3" borderId="4" xfId="10" applyFill="1" applyBorder="1" applyAlignment="1"/>
    <xf numFmtId="170" fontId="9" fillId="3" borderId="3" xfId="6" applyNumberFormat="1" applyFill="1" applyBorder="1"/>
    <xf numFmtId="170" fontId="9" fillId="3" borderId="4" xfId="6" applyNumberFormat="1" applyFill="1" applyBorder="1"/>
    <xf numFmtId="0" fontId="6" fillId="3" borderId="0" xfId="10" applyFill="1" applyBorder="1" applyAlignment="1"/>
    <xf numFmtId="0" fontId="9" fillId="3" borderId="1" xfId="6" applyFill="1" applyAlignment="1"/>
    <xf numFmtId="0" fontId="9" fillId="3" borderId="16" xfId="6" applyFill="1" applyBorder="1" applyAlignment="1"/>
    <xf numFmtId="0" fontId="9" fillId="3" borderId="16" xfId="6" applyFill="1" applyBorder="1" applyAlignment="1">
      <alignment horizontal="left"/>
    </xf>
    <xf numFmtId="0" fontId="9" fillId="3" borderId="4" xfId="6" applyFill="1" applyBorder="1" applyAlignment="1">
      <alignment horizontal="left"/>
    </xf>
    <xf numFmtId="170" fontId="9" fillId="3" borderId="1" xfId="6" applyNumberFormat="1" applyFill="1" applyAlignment="1"/>
    <xf numFmtId="170" fontId="0" fillId="3" borderId="0" xfId="0" applyAlignment="1"/>
    <xf numFmtId="170" fontId="6" fillId="3" borderId="1" xfId="10" applyNumberFormat="1" applyFill="1" applyAlignment="1"/>
    <xf numFmtId="170" fontId="9" fillId="3" borderId="1" xfId="6" applyNumberFormat="1" applyFill="1"/>
    <xf numFmtId="170" fontId="9" fillId="3" borderId="0" xfId="6" applyNumberFormat="1" applyFill="1" applyBorder="1" applyAlignment="1"/>
    <xf numFmtId="170" fontId="9" fillId="3" borderId="16" xfId="6" applyNumberFormat="1" applyFill="1" applyBorder="1" applyAlignment="1"/>
    <xf numFmtId="170" fontId="9" fillId="3" borderId="4" xfId="6" applyNumberFormat="1" applyFill="1" applyBorder="1" applyAlignment="1"/>
    <xf numFmtId="170" fontId="0" fillId="3" borderId="15" xfId="0" applyBorder="1" applyAlignment="1"/>
    <xf numFmtId="170" fontId="9" fillId="3" borderId="16" xfId="6" applyNumberFormat="1" applyFill="1" applyBorder="1"/>
    <xf numFmtId="170" fontId="9" fillId="3" borderId="17" xfId="6" applyNumberFormat="1" applyFill="1" applyBorder="1"/>
    <xf numFmtId="170" fontId="9" fillId="3" borderId="0" xfId="6" applyNumberFormat="1" applyFill="1" applyBorder="1"/>
    <xf numFmtId="0" fontId="6" fillId="3" borderId="1" xfId="10" applyFill="1"/>
    <xf numFmtId="0" fontId="10" fillId="3" borderId="0" xfId="15" applyFill="1" applyBorder="1"/>
    <xf numFmtId="170" fontId="6" fillId="5" borderId="1" xfId="10" applyNumberFormat="1" applyFill="1" applyAlignment="1">
      <alignment horizontal="center"/>
    </xf>
    <xf numFmtId="170" fontId="3" fillId="5" borderId="15" xfId="12" applyNumberFormat="1" applyFont="1" applyBorder="1" applyAlignment="1">
      <alignment horizontal="center"/>
    </xf>
    <xf numFmtId="0" fontId="10" fillId="3" borderId="16" xfId="15" applyFill="1" applyBorder="1" applyAlignment="1"/>
    <xf numFmtId="0" fontId="10" fillId="3" borderId="4" xfId="15" applyFill="1" applyBorder="1" applyAlignment="1"/>
    <xf numFmtId="0" fontId="9" fillId="3" borderId="4" xfId="6" applyFill="1" applyBorder="1" applyAlignment="1"/>
    <xf numFmtId="170" fontId="10" fillId="3" borderId="0" xfId="15" applyNumberFormat="1" applyAlignment="1">
      <alignment horizontal="left"/>
    </xf>
    <xf numFmtId="170" fontId="3" fillId="3" borderId="0" xfId="0" applyFont="1" applyAlignment="1">
      <alignment horizontal="center"/>
    </xf>
    <xf numFmtId="170" fontId="10" fillId="3" borderId="0" xfId="15" applyNumberFormat="1" applyAlignment="1">
      <alignment horizontal="center"/>
    </xf>
    <xf numFmtId="170" fontId="0" fillId="3" borderId="0" xfId="0"/>
    <xf numFmtId="0" fontId="6" fillId="3" borderId="1" xfId="10" applyNumberFormat="1" applyFill="1"/>
  </cellXfs>
  <cellStyles count="16">
    <cellStyle name="20% - Accent3" xfId="12" builtinId="38" customBuiltin="1"/>
    <cellStyle name="Comma" xfId="1" builtinId="3" customBuiltin="1"/>
    <cellStyle name="Currency" xfId="2" builtinId="4" customBuiltin="1"/>
    <cellStyle name="Date" xfId="14" xr:uid="{C72C3396-F861-493F-A49C-3DC9BC911B67}"/>
    <cellStyle name="Explanatory Text" xfId="10" builtinId="53" customBuiltin="1"/>
    <cellStyle name="Good" xfId="8" builtinId="26" customBuiltin="1"/>
    <cellStyle name="Heading 1" xfId="5" builtinId="16" customBuiltin="1"/>
    <cellStyle name="Heading 2" xfId="6" builtinId="17" customBuiltin="1"/>
    <cellStyle name="Heading 4" xfId="7" builtinId="19" customBuiltin="1"/>
    <cellStyle name="Hyperlink" xfId="15" builtinId="8" customBuiltin="1"/>
    <cellStyle name="Input" xfId="9" builtinId="20" customBuiltin="1"/>
    <cellStyle name="Normal" xfId="0" builtinId="0" customBuiltin="1"/>
    <cellStyle name="Percent" xfId="3" builtinId="5" customBuiltin="1"/>
    <cellStyle name="Subtotal" xfId="13" xr:uid="{1289E415-E420-43E7-8197-31B5EA30D3F5}"/>
    <cellStyle name="Title" xfId="4" builtinId="15" customBuiltin="1"/>
    <cellStyle name="Total" xfId="11" builtinId="25" customBuiltin="1"/>
  </cellStyles>
  <dxfs count="145">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B2733"/>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2B2733"/>
        <name val="Aptos"/>
        <scheme val="minor"/>
      </font>
      <numFmt numFmtId="167" formatCode="d\-mmm\-yyyy"/>
      <fill>
        <patternFill patternType="solid">
          <fgColor rgb="FF000000"/>
          <bgColor rgb="FFF3F1F6"/>
        </patternFill>
      </fill>
      <border>
        <left/>
        <right/>
        <top/>
        <bottom/>
      </border>
    </dxf>
    <dxf>
      <font>
        <b/>
        <i val="0"/>
        <strike val="0"/>
        <u val="none"/>
        <color rgb="FFFF0000"/>
        <name val="Aptos"/>
        <scheme val="minor"/>
      </font>
      <numFmt numFmtId="167" formatCode="d\-mmm\-yyyy"/>
      <fill>
        <patternFill patternType="solid">
          <fgColor rgb="FF000000"/>
          <bgColor rgb="FFF3F1F6"/>
        </patternFill>
      </fill>
      <border>
        <left/>
        <right/>
        <top/>
        <bottom/>
      </border>
    </dxf>
    <dxf>
      <font>
        <b/>
        <i val="0"/>
        <strike val="0"/>
        <u val="none"/>
        <color rgb="FF2B2733"/>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000000"/>
        <name val="Aptos"/>
        <scheme val="minor"/>
      </font>
      <numFmt numFmtId="167" formatCode="d\-mmm\-yyyy"/>
      <fill>
        <patternFill patternType="solid">
          <fgColor rgb="FF000000"/>
          <bgColor rgb="FFF3F1F6"/>
        </patternFill>
      </fill>
      <border>
        <left/>
        <right/>
        <top/>
        <bottom/>
      </border>
    </dxf>
    <dxf>
      <font>
        <b/>
        <i val="0"/>
        <strike val="0"/>
        <u val="none"/>
        <color rgb="FFFF0000"/>
        <name val="Aptos"/>
        <scheme val="minor"/>
      </font>
      <numFmt numFmtId="167" formatCode="d\-mmm\-yyyy"/>
      <fill>
        <patternFill patternType="solid">
          <fgColor rgb="FF000000"/>
          <bgColor rgb="FFF3F1F6"/>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3"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numFmt numFmtId="0" formatCode="General"/>
    </dxf>
    <dxf>
      <numFmt numFmtId="170" formatCode="#,###;[Red]\(#,###\);\-"/>
    </dxf>
    <dxf>
      <numFmt numFmtId="0" formatCode="General"/>
    </dxf>
    <dxf>
      <numFmt numFmtId="170" formatCode="#,###;[Red]\(#,###\);\-"/>
    </dxf>
    <dxf>
      <numFmt numFmtId="0" formatCode="General"/>
    </dxf>
    <dxf>
      <numFmt numFmtId="167" formatCode="d\-mmm\-yyyy"/>
    </dxf>
    <dxf>
      <alignment horizontal="right" vertical="bottom" textRotation="0" wrapText="0" indent="0" justifyLastLine="0" shrinkToFit="0" readingOrder="0"/>
    </dxf>
    <dxf>
      <numFmt numFmtId="174"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68" formatCode="dd/mm/yyyy"/>
      <alignment horizontal="right" vertical="top" textRotation="0" wrapText="0" indent="0" justifyLastLine="0" shrinkToFit="0" readingOrder="0"/>
    </dxf>
    <dxf>
      <numFmt numFmtId="168" formatCode="dd/mm/yyyy"/>
      <alignment horizontal="right" vertical="top" textRotation="0" wrapText="0" indent="0" justifyLastLine="0" shrinkToFit="0" readingOrder="0"/>
    </dxf>
    <dxf>
      <numFmt numFmtId="173"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8E4EC"/>
          </stop>
        </gradientFill>
      </fill>
      <border>
        <left/>
        <right/>
        <top/>
        <bottom/>
        <vertical/>
        <horizontal/>
      </border>
    </dxf>
    <dxf>
      <font>
        <b/>
        <i/>
        <strike val="0"/>
        <u val="none"/>
        <color rgb="FF5C2D91"/>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3F1F6"/>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D0CAD7"/>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5C2D91"/>
      </font>
      <fill>
        <patternFill patternType="solid">
          <fgColor rgb="FF000000"/>
          <bgColor rgb="FFF3F1F5"/>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3F1F6"/>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3F1F6"/>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3F1F6"/>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CECEC"/>
        </patternFill>
      </fill>
    </dxf>
    <dxf>
      <font>
        <b val="0"/>
        <i val="0"/>
        <strike val="0"/>
        <u val="none"/>
        <color rgb="FF000000"/>
      </font>
      <fill>
        <patternFill patternType="solid">
          <fgColor rgb="FF000000"/>
          <bgColor theme="0"/>
        </patternFill>
      </fill>
    </dxf>
    <dxf>
      <font>
        <b/>
        <i val="0"/>
        <strike val="0"/>
        <u val="none"/>
        <color rgb="FF2B2733"/>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DDBE0"/>
        </patternFill>
      </fill>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44"/>
      <tableStyleElement type="headerRow" dxfId="143"/>
      <tableStyleElement type="totalRow" dxfId="142"/>
      <tableStyleElement type="firstColumn" dxfId="141"/>
      <tableStyleElement type="lastColumn" dxfId="140"/>
      <tableStyleElement type="firstRowStripe" dxfId="139"/>
      <tableStyleElement type="secondRowStripe" dxfId="138"/>
      <tableStyleElement type="firstColumnStripe" dxfId="137"/>
      <tableStyleElement type="secondColumnStripe" dxfId="136"/>
      <tableStyleElement type="firstHeaderCell" dxfId="135"/>
      <tableStyleElement type="firstSubtotalColumn" dxfId="134"/>
      <tableStyleElement type="secondSubtotalColumn" dxfId="133"/>
      <tableStyleElement type="thirdSubtotalColumn" dxfId="132"/>
      <tableStyleElement type="firstSubtotalRow" dxfId="131"/>
      <tableStyleElement type="secondSubtotalRow" dxfId="130"/>
      <tableStyleElement type="thirdSubtotalRow" dxfId="129"/>
      <tableStyleElement type="blankRow" dxfId="128"/>
      <tableStyleElement type="firstColumnSubheading" dxfId="127"/>
      <tableStyleElement type="secondColumnSubheading" dxfId="126"/>
      <tableStyleElement type="thirdColumnSubheading" dxfId="125"/>
      <tableStyleElement type="firstRowSubheading" dxfId="124"/>
      <tableStyleElement type="secondRowSubheading" dxfId="123"/>
      <tableStyleElement type="thirdRowSubheading" dxfId="122"/>
      <tableStyleElement type="pageFieldLabels" dxfId="121"/>
      <tableStyleElement type="pageFieldValues" dxfId="120"/>
    </tableStyle>
    <tableStyle name="SlicerStyleCustom" pivot="0" table="0" count="10" xr9:uid="{5583AEBA-1008-475D-89EE-D361CCD569FA}">
      <tableStyleElement type="wholeTable" dxfId="119"/>
      <tableStyleElement type="headerRow" dxfId="118"/>
    </tableStyle>
    <tableStyle name="TableStyleCustom" pivot="0" count="13" xr9:uid="{82219DB9-28E2-4769-B17E-6F2684D96709}">
      <tableStyleElement type="wholeTable" dxfId="117"/>
      <tableStyleElement type="headerRow" dxfId="116"/>
      <tableStyleElement type="totalRow" dxfId="115"/>
      <tableStyleElement type="firstColumn" dxfId="114"/>
      <tableStyleElement type="lastColumn" dxfId="113"/>
      <tableStyleElement type="firstRowStripe" dxfId="112"/>
      <tableStyleElement type="secondRowStripe" dxfId="111"/>
      <tableStyleElement type="firstColumnStripe" dxfId="110"/>
      <tableStyleElement type="secondColumnStripe" dxfId="109"/>
      <tableStyleElement type="firstHeaderCell" dxfId="108"/>
      <tableStyleElement type="lastHeaderCell" dxfId="107"/>
      <tableStyleElement type="firstTotalCell" dxfId="106"/>
      <tableStyleElement type="lastTotalCell" dxfId="105"/>
    </tableStyle>
    <tableStyle name="TimelineStyleCustom" pivot="0" table="0" count="9" xr9:uid="{0053D245-5C8F-45C9-BD89-9660704DE07B}">
      <tableStyleElement type="wholeTable" dxfId="104"/>
      <tableStyleElement type="headerRow" dxfId="103"/>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DAD9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CECEC"/>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02" headerRowBorderDxfId="101" tableBorderDxfId="100" totalsRowBorderDxfId="99"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98" dataCellStyle="Normal"/>
    <tableColumn id="2" xr3:uid="{76839C3B-3EC2-40F2-81C2-6D135E40FBA6}" name="Type" dataDxfId="97" dataCellStyle="Normal"/>
    <tableColumn id="3" xr3:uid="{5B6D5F10-72F2-4715-ACCD-BF95E741A80D}" name="Title" dataDxfId="96"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4001F"/>
      </a:dk2>
      <a:lt2>
        <a:srgbClr val="E7E6E6"/>
      </a:lt2>
      <a:accent1>
        <a:srgbClr val="5C2D91"/>
      </a:accent1>
      <a:accent2>
        <a:srgbClr val="4F485E"/>
      </a:accent2>
      <a:accent3>
        <a:srgbClr val="DED9E8"/>
      </a:accent3>
      <a:accent4>
        <a:srgbClr val="6E6862"/>
      </a:accent4>
      <a:accent5>
        <a:srgbClr val="B1AFAD"/>
      </a:accent5>
      <a:accent6>
        <a:srgbClr val="DCDAD7"/>
      </a:accent6>
      <a:hlink>
        <a:srgbClr val="5C2D91"/>
      </a:hlink>
      <a:folHlink>
        <a:srgbClr val="7A5AB5"/>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drawing" Target="../drawings/drawing10.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drawing" Target="../drawings/drawing1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drawing" Target="../drawings/drawing18.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drawing" Target="../drawings/drawing19.xml"/></Relationships>
</file>

<file path=xl/worksheets/_rels/sheet2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drawing" Target="../drawings/drawing20.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drawing" Target="../drawings/drawing21.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drawing" Target="../drawings/drawing22.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4F485E"/>
    <pageSetUpPr fitToPage="1"/>
  </sheetPr>
  <dimension ref="A1:B38"/>
  <sheetViews>
    <sheetView showGridLines="0" tabSelected="1" zoomScaleNormal="100" workbookViewId="0">
      <selection sqref="A1:B1"/>
    </sheetView>
  </sheetViews>
  <sheetFormatPr defaultColWidth="8.875" defaultRowHeight="15" x14ac:dyDescent="0.25"/>
  <cols>
    <col min="1" max="1" width="10.625" style="140" customWidth="1"/>
    <col min="2" max="2" width="111.625" style="147" customWidth="1"/>
    <col min="3" max="3" width="37.875" style="140" customWidth="1"/>
    <col min="4" max="16384" width="8.875" style="140"/>
  </cols>
  <sheetData>
    <row r="1" spans="1:2" ht="62.1" customHeight="1" x14ac:dyDescent="1">
      <c r="A1" s="177" t="s">
        <v>427</v>
      </c>
      <c r="B1" s="178"/>
    </row>
    <row r="2" spans="1:2" ht="30" customHeight="1" x14ac:dyDescent="0.25">
      <c r="A2" s="175" t="s">
        <v>428</v>
      </c>
      <c r="B2" s="176"/>
    </row>
    <row r="3" spans="1:2" ht="20.100000000000001" customHeight="1" x14ac:dyDescent="0.25">
      <c r="A3" s="172" t="s">
        <v>429</v>
      </c>
      <c r="B3" s="146"/>
    </row>
    <row r="4" spans="1:2" ht="47.25" x14ac:dyDescent="0.25">
      <c r="A4" s="144"/>
      <c r="B4" s="146" t="s">
        <v>212</v>
      </c>
    </row>
    <row r="5" spans="1:2" ht="31.5" x14ac:dyDescent="0.25">
      <c r="A5" s="145"/>
      <c r="B5" s="146" t="s">
        <v>213</v>
      </c>
    </row>
    <row r="6" spans="1:2" ht="343.9" customHeight="1" x14ac:dyDescent="0.25">
      <c r="A6" s="141"/>
    </row>
    <row r="7" spans="1:2" ht="15.75" x14ac:dyDescent="0.25">
      <c r="A7" s="141"/>
    </row>
    <row r="8" spans="1:2" ht="15.75" x14ac:dyDescent="0.25">
      <c r="A8" s="141"/>
      <c r="B8" s="148"/>
    </row>
    <row r="9" spans="1:2" ht="32.1" customHeight="1" x14ac:dyDescent="0.25">
      <c r="A9" s="173" t="s">
        <v>202</v>
      </c>
      <c r="B9" s="174"/>
    </row>
    <row r="10" spans="1:2" ht="47.25" x14ac:dyDescent="0.25">
      <c r="B10" s="146" t="s">
        <v>405</v>
      </c>
    </row>
    <row r="11" spans="1:2" ht="15.75" x14ac:dyDescent="0.25">
      <c r="B11" s="146"/>
    </row>
    <row r="12" spans="1:2" ht="47.25" x14ac:dyDescent="0.25">
      <c r="B12" s="146" t="s">
        <v>214</v>
      </c>
    </row>
    <row r="13" spans="1:2" ht="15.75" x14ac:dyDescent="0.25">
      <c r="B13" s="146"/>
    </row>
    <row r="14" spans="1:2" ht="47.25" x14ac:dyDescent="0.25">
      <c r="B14" s="146" t="s">
        <v>264</v>
      </c>
    </row>
    <row r="15" spans="1:2" ht="15.75" x14ac:dyDescent="0.25">
      <c r="A15" s="141"/>
      <c r="B15" s="148"/>
    </row>
    <row r="16" spans="1:2" ht="32.1" customHeight="1" x14ac:dyDescent="0.25">
      <c r="A16" s="173" t="s">
        <v>203</v>
      </c>
      <c r="B16" s="174"/>
    </row>
    <row r="17" spans="1:2" ht="126" x14ac:dyDescent="0.25">
      <c r="B17" s="146" t="s">
        <v>210</v>
      </c>
    </row>
    <row r="18" spans="1:2" ht="15.75" x14ac:dyDescent="0.25">
      <c r="A18" s="141"/>
      <c r="B18" s="148"/>
    </row>
    <row r="19" spans="1:2" ht="32.1" customHeight="1" x14ac:dyDescent="0.25">
      <c r="A19" s="173" t="s">
        <v>206</v>
      </c>
      <c r="B19" s="174"/>
    </row>
    <row r="20" spans="1:2" ht="47.25" x14ac:dyDescent="0.25">
      <c r="B20" s="146" t="s">
        <v>215</v>
      </c>
    </row>
    <row r="21" spans="1:2" ht="15.75" x14ac:dyDescent="0.25">
      <c r="B21" s="146"/>
    </row>
    <row r="22" spans="1:2" ht="78.75" x14ac:dyDescent="0.25">
      <c r="A22" s="142"/>
      <c r="B22" s="146" t="s">
        <v>216</v>
      </c>
    </row>
    <row r="23" spans="1:2" ht="15.75" x14ac:dyDescent="0.25">
      <c r="A23" s="141"/>
      <c r="B23" s="148"/>
    </row>
    <row r="24" spans="1:2" ht="32.1" customHeight="1" x14ac:dyDescent="0.25">
      <c r="A24" s="173" t="s">
        <v>204</v>
      </c>
      <c r="B24" s="174"/>
    </row>
    <row r="25" spans="1:2" ht="31.5" x14ac:dyDescent="0.25">
      <c r="B25" s="146" t="s">
        <v>205</v>
      </c>
    </row>
    <row r="26" spans="1:2" ht="15.75" x14ac:dyDescent="0.25">
      <c r="B26" s="146"/>
    </row>
    <row r="27" spans="1:2" ht="31.5" x14ac:dyDescent="0.25">
      <c r="A27" s="143"/>
      <c r="B27" s="146" t="s">
        <v>217</v>
      </c>
    </row>
    <row r="28" spans="1:2" ht="15.75" x14ac:dyDescent="0.25">
      <c r="A28" s="141"/>
      <c r="B28" s="148"/>
    </row>
    <row r="29" spans="1:2" ht="46.5" x14ac:dyDescent="0.25">
      <c r="B29" s="168"/>
    </row>
    <row r="30" spans="1:2" ht="15.75" x14ac:dyDescent="0.25">
      <c r="A30" s="142"/>
    </row>
    <row r="31" spans="1:2" ht="15.75" x14ac:dyDescent="0.25">
      <c r="A31" s="142"/>
      <c r="B31" s="146"/>
    </row>
    <row r="32" spans="1:2" ht="15.75" x14ac:dyDescent="0.25">
      <c r="A32" s="142"/>
    </row>
    <row r="33" spans="1:2" ht="15.75" x14ac:dyDescent="0.25">
      <c r="A33" s="142"/>
    </row>
    <row r="34" spans="1:2" ht="15.75" x14ac:dyDescent="0.25">
      <c r="A34" s="142"/>
      <c r="B34" s="146"/>
    </row>
    <row r="35" spans="1:2" ht="15.75" x14ac:dyDescent="0.25">
      <c r="A35" s="141"/>
    </row>
    <row r="36" spans="1:2" ht="15.75" x14ac:dyDescent="0.25">
      <c r="A36" s="141"/>
    </row>
    <row r="37" spans="1:2" customFormat="1" x14ac:dyDescent="0.25">
      <c r="A37" s="157"/>
      <c r="B37" s="158"/>
    </row>
    <row r="38" spans="1:2" ht="15.75" x14ac:dyDescent="0.25">
      <c r="A38" s="141"/>
    </row>
  </sheetData>
  <mergeCells count="6">
    <mergeCell ref="A24:B24"/>
    <mergeCell ref="A2:B2"/>
    <mergeCell ref="A9:B9"/>
    <mergeCell ref="A1:B1"/>
    <mergeCell ref="A16:B16"/>
    <mergeCell ref="A19:B19"/>
  </mergeCells>
  <hyperlinks>
    <hyperlink ref="A1" location="'TOC'!$A$1" display="'TOC'!$A$1" xr:uid="{548439FC-8440-4ED8-8C6A-E47C1C0F11EB}"/>
  </hyperlinks>
  <pageMargins left="0.7" right="0.7" top="0.75" bottom="0.75" header="0.3" footer="0.3"/>
  <pageSetup paperSize="9" scale="68" fitToHeight="0" orientation="portrait" horizontalDpi="360" verticalDpi="3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4F485E"/>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sqref="A1:F1"/>
    </sheetView>
  </sheetViews>
  <sheetFormatPr defaultRowHeight="15" x14ac:dyDescent="0.25"/>
  <cols>
    <col min="1" max="1" width="31.5" bestFit="1" customWidth="1"/>
    <col min="2" max="2" width="9.875" bestFit="1" customWidth="1"/>
    <col min="3" max="3" width="30.5" bestFit="1" customWidth="1"/>
    <col min="4" max="4" width="90.25" bestFit="1" customWidth="1"/>
  </cols>
  <sheetData>
    <row r="1" spans="1:6" ht="46.5" x14ac:dyDescent="0.7">
      <c r="A1" s="184" t="s">
        <v>8</v>
      </c>
      <c r="B1" s="185"/>
      <c r="C1" s="185"/>
      <c r="D1" s="185"/>
      <c r="E1" s="185"/>
      <c r="F1" s="185"/>
    </row>
    <row r="2" spans="1:6" ht="21" x14ac:dyDescent="0.35">
      <c r="A2" s="182" t="s">
        <v>12</v>
      </c>
      <c r="B2" s="183"/>
      <c r="C2" s="183"/>
      <c r="D2" s="183"/>
      <c r="E2" s="137"/>
      <c r="F2" s="137"/>
    </row>
    <row r="3" spans="1:6" x14ac:dyDescent="0.25">
      <c r="A3" s="179" t="s">
        <v>299</v>
      </c>
      <c r="B3" s="180"/>
      <c r="C3" s="180"/>
      <c r="D3" s="181"/>
    </row>
    <row r="4" spans="1:6" x14ac:dyDescent="0.25">
      <c r="A4" s="5" t="s">
        <v>0</v>
      </c>
      <c r="B4" s="6" t="s">
        <v>1</v>
      </c>
      <c r="C4" s="7" t="s">
        <v>3</v>
      </c>
      <c r="D4" s="6" t="s">
        <v>7</v>
      </c>
    </row>
    <row r="5" spans="1:6" x14ac:dyDescent="0.25">
      <c r="A5" s="10" t="s">
        <v>207</v>
      </c>
      <c r="B5" s="8" t="s">
        <v>10</v>
      </c>
      <c r="C5" s="11" t="s">
        <v>208</v>
      </c>
      <c r="D5" s="9" t="s">
        <v>209</v>
      </c>
    </row>
    <row r="6" spans="1:6" x14ac:dyDescent="0.25">
      <c r="A6" s="10" t="s">
        <v>9</v>
      </c>
      <c r="B6" s="8" t="s">
        <v>10</v>
      </c>
      <c r="C6" s="11" t="s">
        <v>8</v>
      </c>
      <c r="D6" s="9" t="s">
        <v>11</v>
      </c>
    </row>
    <row r="7" spans="1:6" x14ac:dyDescent="0.25">
      <c r="A7" s="136" t="s">
        <v>225</v>
      </c>
      <c r="B7" s="8" t="s">
        <v>226</v>
      </c>
      <c r="C7" s="11" t="s">
        <v>12</v>
      </c>
      <c r="D7" s="9" t="s">
        <v>299</v>
      </c>
    </row>
    <row r="8" spans="1:6" x14ac:dyDescent="0.25">
      <c r="A8" s="10" t="s">
        <v>321</v>
      </c>
      <c r="B8" s="8" t="s">
        <v>10</v>
      </c>
      <c r="C8" s="11" t="s">
        <v>321</v>
      </c>
      <c r="D8" s="9"/>
    </row>
    <row r="9" spans="1:6" x14ac:dyDescent="0.25">
      <c r="A9" s="136" t="s">
        <v>322</v>
      </c>
      <c r="B9" s="8" t="s">
        <v>226</v>
      </c>
      <c r="C9" s="11" t="s">
        <v>314</v>
      </c>
      <c r="D9" s="9"/>
    </row>
    <row r="10" spans="1:6" x14ac:dyDescent="0.25">
      <c r="A10" s="10" t="s">
        <v>44</v>
      </c>
      <c r="B10" s="8" t="s">
        <v>10</v>
      </c>
      <c r="C10" s="11" t="s">
        <v>44</v>
      </c>
      <c r="D10" s="9" t="s">
        <v>71</v>
      </c>
    </row>
    <row r="11" spans="1:6" x14ac:dyDescent="0.25">
      <c r="A11" s="10" t="s">
        <v>45</v>
      </c>
      <c r="B11" s="8" t="s">
        <v>10</v>
      </c>
      <c r="C11" s="11" t="s">
        <v>45</v>
      </c>
      <c r="D11" s="9" t="s">
        <v>72</v>
      </c>
    </row>
    <row r="12" spans="1:6" x14ac:dyDescent="0.25">
      <c r="A12" s="10" t="s">
        <v>46</v>
      </c>
      <c r="B12" s="8" t="s">
        <v>10</v>
      </c>
      <c r="C12" s="11" t="s">
        <v>46</v>
      </c>
      <c r="D12" s="9" t="s">
        <v>73</v>
      </c>
    </row>
    <row r="13" spans="1:6" x14ac:dyDescent="0.25">
      <c r="A13" s="136" t="s">
        <v>227</v>
      </c>
      <c r="B13" s="8" t="s">
        <v>226</v>
      </c>
      <c r="C13" s="11" t="s">
        <v>96</v>
      </c>
      <c r="D13" s="9" t="s">
        <v>97</v>
      </c>
    </row>
    <row r="14" spans="1:6" x14ac:dyDescent="0.25">
      <c r="A14" s="10" t="s">
        <v>47</v>
      </c>
      <c r="B14" s="8" t="s">
        <v>10</v>
      </c>
      <c r="C14" s="11" t="s">
        <v>47</v>
      </c>
      <c r="D14" s="9" t="s">
        <v>74</v>
      </c>
    </row>
    <row r="15" spans="1:6" x14ac:dyDescent="0.25">
      <c r="A15" s="136" t="s">
        <v>228</v>
      </c>
      <c r="B15" s="8" t="s">
        <v>226</v>
      </c>
      <c r="C15" s="11" t="s">
        <v>119</v>
      </c>
      <c r="D15" s="9"/>
    </row>
    <row r="16" spans="1:6" x14ac:dyDescent="0.25">
      <c r="A16" s="10" t="s">
        <v>48</v>
      </c>
      <c r="B16" s="8" t="s">
        <v>10</v>
      </c>
      <c r="C16" s="11" t="s">
        <v>48</v>
      </c>
      <c r="D16" s="9" t="s">
        <v>75</v>
      </c>
    </row>
    <row r="17" spans="1:4" x14ac:dyDescent="0.25">
      <c r="A17" s="10" t="s">
        <v>49</v>
      </c>
      <c r="B17" s="8" t="s">
        <v>10</v>
      </c>
      <c r="C17" s="11" t="s">
        <v>49</v>
      </c>
      <c r="D17" s="9" t="s">
        <v>76</v>
      </c>
    </row>
    <row r="18" spans="1:4" x14ac:dyDescent="0.25">
      <c r="A18" s="10" t="s">
        <v>50</v>
      </c>
      <c r="B18" s="8" t="s">
        <v>10</v>
      </c>
      <c r="C18" s="11" t="s">
        <v>50</v>
      </c>
      <c r="D18" s="9" t="s">
        <v>77</v>
      </c>
    </row>
    <row r="19" spans="1:4" x14ac:dyDescent="0.25">
      <c r="A19" s="136" t="s">
        <v>229</v>
      </c>
      <c r="B19" s="8" t="s">
        <v>226</v>
      </c>
      <c r="C19" s="11" t="s">
        <v>56</v>
      </c>
      <c r="D19" s="9"/>
    </row>
    <row r="20" spans="1:4" x14ac:dyDescent="0.25">
      <c r="A20" s="136" t="s">
        <v>230</v>
      </c>
      <c r="B20" s="8" t="s">
        <v>226</v>
      </c>
      <c r="C20" s="11" t="s">
        <v>55</v>
      </c>
      <c r="D20" s="9"/>
    </row>
    <row r="21" spans="1:4" x14ac:dyDescent="0.25">
      <c r="A21" s="10" t="s">
        <v>51</v>
      </c>
      <c r="B21" s="8" t="s">
        <v>10</v>
      </c>
      <c r="C21" s="11" t="s">
        <v>51</v>
      </c>
      <c r="D21" s="9" t="s">
        <v>78</v>
      </c>
    </row>
    <row r="22" spans="1:4" x14ac:dyDescent="0.25">
      <c r="A22" s="136" t="s">
        <v>231</v>
      </c>
      <c r="B22" s="8" t="s">
        <v>226</v>
      </c>
      <c r="C22" s="11" t="s">
        <v>231</v>
      </c>
      <c r="D22" s="9"/>
    </row>
    <row r="23" spans="1:4" x14ac:dyDescent="0.25">
      <c r="A23" s="10" t="s">
        <v>52</v>
      </c>
      <c r="B23" s="8" t="s">
        <v>10</v>
      </c>
      <c r="C23" s="11" t="s">
        <v>52</v>
      </c>
      <c r="D23" s="9" t="s">
        <v>79</v>
      </c>
    </row>
    <row r="24" spans="1:4" x14ac:dyDescent="0.25">
      <c r="A24" s="136" t="s">
        <v>233</v>
      </c>
      <c r="B24" s="8" t="s">
        <v>226</v>
      </c>
      <c r="C24" s="11" t="s">
        <v>154</v>
      </c>
      <c r="D24" s="9"/>
    </row>
    <row r="25" spans="1:4" x14ac:dyDescent="0.25">
      <c r="A25" s="136" t="s">
        <v>232</v>
      </c>
      <c r="B25" s="8" t="s">
        <v>226</v>
      </c>
      <c r="C25" s="11" t="s">
        <v>146</v>
      </c>
      <c r="D25" s="9"/>
    </row>
    <row r="26" spans="1:4" x14ac:dyDescent="0.25">
      <c r="A26" s="10" t="s">
        <v>53</v>
      </c>
      <c r="B26" s="8" t="s">
        <v>10</v>
      </c>
      <c r="C26" s="11" t="s">
        <v>53</v>
      </c>
      <c r="D26" s="9" t="s">
        <v>80</v>
      </c>
    </row>
    <row r="27" spans="1:4" x14ac:dyDescent="0.25">
      <c r="A27" s="10" t="s">
        <v>54</v>
      </c>
      <c r="B27" s="8" t="s">
        <v>10</v>
      </c>
      <c r="C27" s="11" t="s">
        <v>54</v>
      </c>
      <c r="D27" s="9" t="s">
        <v>81</v>
      </c>
    </row>
    <row r="28" spans="1:4" x14ac:dyDescent="0.25">
      <c r="A28" s="10" t="s">
        <v>58</v>
      </c>
      <c r="B28" s="8" t="s">
        <v>325</v>
      </c>
      <c r="C28" s="11" t="s">
        <v>58</v>
      </c>
      <c r="D28" s="9" t="s">
        <v>256</v>
      </c>
    </row>
    <row r="29" spans="1:4" x14ac:dyDescent="0.25">
      <c r="A29" s="10" t="s">
        <v>59</v>
      </c>
      <c r="B29" s="8" t="s">
        <v>10</v>
      </c>
      <c r="C29" s="11" t="s">
        <v>59</v>
      </c>
      <c r="D29" s="9" t="s">
        <v>82</v>
      </c>
    </row>
    <row r="30" spans="1:4" x14ac:dyDescent="0.25">
      <c r="A30" s="136" t="s">
        <v>234</v>
      </c>
      <c r="B30" s="8" t="s">
        <v>226</v>
      </c>
      <c r="C30" s="11" t="s">
        <v>193</v>
      </c>
      <c r="D30" s="9"/>
    </row>
    <row r="31" spans="1:4" x14ac:dyDescent="0.25">
      <c r="A31" s="10" t="s">
        <v>67</v>
      </c>
      <c r="B31" s="8" t="s">
        <v>10</v>
      </c>
      <c r="C31" s="11" t="s">
        <v>67</v>
      </c>
      <c r="D31" s="9" t="s">
        <v>91</v>
      </c>
    </row>
    <row r="32" spans="1:4" x14ac:dyDescent="0.25">
      <c r="A32" s="10" t="s">
        <v>65</v>
      </c>
      <c r="B32" s="8" t="s">
        <v>10</v>
      </c>
      <c r="C32" s="11" t="s">
        <v>65</v>
      </c>
      <c r="D32" s="9" t="s">
        <v>88</v>
      </c>
    </row>
    <row r="33" spans="1:4" x14ac:dyDescent="0.25">
      <c r="A33" s="10" t="s">
        <v>60</v>
      </c>
      <c r="B33" s="8" t="s">
        <v>10</v>
      </c>
      <c r="C33" s="11" t="s">
        <v>60</v>
      </c>
      <c r="D33" s="9" t="s">
        <v>83</v>
      </c>
    </row>
    <row r="34" spans="1:4" x14ac:dyDescent="0.25">
      <c r="A34" s="10" t="s">
        <v>184</v>
      </c>
      <c r="B34" s="8" t="s">
        <v>10</v>
      </c>
      <c r="C34" s="11" t="s">
        <v>184</v>
      </c>
      <c r="D34" s="9" t="s">
        <v>185</v>
      </c>
    </row>
    <row r="35" spans="1:4" x14ac:dyDescent="0.25">
      <c r="A35" s="10" t="s">
        <v>61</v>
      </c>
      <c r="B35" s="8" t="s">
        <v>10</v>
      </c>
      <c r="C35" s="11" t="s">
        <v>61</v>
      </c>
      <c r="D35" s="9" t="s">
        <v>84</v>
      </c>
    </row>
    <row r="36" spans="1:4" x14ac:dyDescent="0.25">
      <c r="A36" s="136" t="s">
        <v>235</v>
      </c>
      <c r="B36" s="8" t="s">
        <v>226</v>
      </c>
      <c r="C36" s="11" t="s">
        <v>171</v>
      </c>
      <c r="D36" s="9"/>
    </row>
    <row r="37" spans="1:4" x14ac:dyDescent="0.25">
      <c r="A37" s="10" t="s">
        <v>68</v>
      </c>
      <c r="B37" s="8" t="s">
        <v>10</v>
      </c>
      <c r="C37" s="11" t="s">
        <v>68</v>
      </c>
      <c r="D37" s="9" t="s">
        <v>92</v>
      </c>
    </row>
    <row r="38" spans="1:4" x14ac:dyDescent="0.25">
      <c r="A38" s="136" t="s">
        <v>236</v>
      </c>
      <c r="B38" s="8" t="s">
        <v>226</v>
      </c>
      <c r="C38" s="11" t="s">
        <v>171</v>
      </c>
      <c r="D38" s="9"/>
    </row>
    <row r="39" spans="1:4" x14ac:dyDescent="0.25">
      <c r="A39" s="10" t="s">
        <v>237</v>
      </c>
      <c r="B39" s="8" t="s">
        <v>10</v>
      </c>
      <c r="C39" s="11" t="s">
        <v>237</v>
      </c>
      <c r="D39" s="9" t="s">
        <v>243</v>
      </c>
    </row>
    <row r="40" spans="1:4" x14ac:dyDescent="0.25">
      <c r="A40" s="136" t="s">
        <v>238</v>
      </c>
      <c r="B40" s="8" t="s">
        <v>226</v>
      </c>
      <c r="C40" s="11" t="s">
        <v>171</v>
      </c>
      <c r="D40" s="9"/>
    </row>
    <row r="41" spans="1:4" x14ac:dyDescent="0.25">
      <c r="A41" s="10" t="s">
        <v>239</v>
      </c>
      <c r="B41" s="8" t="s">
        <v>10</v>
      </c>
      <c r="C41" s="11" t="s">
        <v>239</v>
      </c>
      <c r="D41" s="9" t="s">
        <v>244</v>
      </c>
    </row>
    <row r="42" spans="1:4" x14ac:dyDescent="0.25">
      <c r="A42" s="136" t="s">
        <v>240</v>
      </c>
      <c r="B42" s="8" t="s">
        <v>226</v>
      </c>
      <c r="C42" s="11" t="s">
        <v>171</v>
      </c>
      <c r="D42" s="9"/>
    </row>
    <row r="43" spans="1:4" x14ac:dyDescent="0.25">
      <c r="A43" s="10" t="s">
        <v>62</v>
      </c>
      <c r="B43" s="8" t="s">
        <v>10</v>
      </c>
      <c r="C43" s="11" t="s">
        <v>62</v>
      </c>
      <c r="D43" s="9" t="s">
        <v>85</v>
      </c>
    </row>
    <row r="44" spans="1:4" x14ac:dyDescent="0.25">
      <c r="A44" s="136" t="s">
        <v>241</v>
      </c>
      <c r="B44" s="8" t="s">
        <v>226</v>
      </c>
      <c r="C44" s="11" t="s">
        <v>191</v>
      </c>
      <c r="D44" s="9"/>
    </row>
    <row r="45" spans="1:4" x14ac:dyDescent="0.25">
      <c r="A45" s="10" t="s">
        <v>63</v>
      </c>
      <c r="B45" s="8" t="s">
        <v>10</v>
      </c>
      <c r="C45" s="11" t="s">
        <v>63</v>
      </c>
      <c r="D45" s="9" t="s">
        <v>86</v>
      </c>
    </row>
    <row r="46" spans="1:4" x14ac:dyDescent="0.25">
      <c r="A46" s="10" t="s">
        <v>302</v>
      </c>
      <c r="B46" s="8" t="s">
        <v>10</v>
      </c>
      <c r="C46" s="11" t="s">
        <v>302</v>
      </c>
      <c r="D46" s="9" t="s">
        <v>303</v>
      </c>
    </row>
    <row r="47" spans="1:4" x14ac:dyDescent="0.25">
      <c r="A47" s="10" t="s">
        <v>64</v>
      </c>
      <c r="B47" s="8" t="s">
        <v>10</v>
      </c>
      <c r="C47" s="11" t="s">
        <v>64</v>
      </c>
      <c r="D47" s="9" t="s">
        <v>87</v>
      </c>
    </row>
    <row r="48" spans="1:4" x14ac:dyDescent="0.25">
      <c r="A48" s="10" t="s">
        <v>242</v>
      </c>
      <c r="B48" s="8" t="s">
        <v>10</v>
      </c>
      <c r="C48" s="11" t="s">
        <v>242</v>
      </c>
      <c r="D48" s="9" t="s">
        <v>245</v>
      </c>
    </row>
    <row r="49" spans="1:4" x14ac:dyDescent="0.25">
      <c r="A49" s="10" t="s">
        <v>66</v>
      </c>
      <c r="B49" s="8" t="s">
        <v>10</v>
      </c>
      <c r="C49" s="11" t="s">
        <v>66</v>
      </c>
      <c r="D49" s="9" t="s">
        <v>90</v>
      </c>
    </row>
    <row r="50" spans="1:4" x14ac:dyDescent="0.25">
      <c r="A50" s="10" t="s">
        <v>69</v>
      </c>
      <c r="B50" s="8" t="s">
        <v>10</v>
      </c>
      <c r="C50" s="11" t="s">
        <v>69</v>
      </c>
      <c r="D50" s="9" t="s">
        <v>93</v>
      </c>
    </row>
    <row r="51" spans="1:4" x14ac:dyDescent="0.25">
      <c r="A51" s="10" t="s">
        <v>70</v>
      </c>
      <c r="B51" s="8" t="s">
        <v>10</v>
      </c>
      <c r="C51" s="11" t="s">
        <v>70</v>
      </c>
      <c r="D51" s="9" t="s">
        <v>94</v>
      </c>
    </row>
    <row r="52" spans="1:4" x14ac:dyDescent="0.25">
      <c r="A52" s="10" t="s">
        <v>248</v>
      </c>
      <c r="B52" s="8" t="s">
        <v>10</v>
      </c>
      <c r="C52" s="11" t="s">
        <v>248</v>
      </c>
      <c r="D52" s="9" t="s">
        <v>255</v>
      </c>
    </row>
    <row r="53" spans="1:4" x14ac:dyDescent="0.25">
      <c r="A53" s="10" t="s">
        <v>280</v>
      </c>
      <c r="B53" s="8" t="s">
        <v>10</v>
      </c>
      <c r="C53" s="11" t="s">
        <v>280</v>
      </c>
      <c r="D53" s="9" t="s">
        <v>289</v>
      </c>
    </row>
    <row r="54" spans="1:4" x14ac:dyDescent="0.25">
      <c r="A54" s="10" t="s">
        <v>247</v>
      </c>
      <c r="B54" s="8" t="s">
        <v>10</v>
      </c>
      <c r="C54" s="11" t="s">
        <v>247</v>
      </c>
      <c r="D54" s="9" t="s">
        <v>89</v>
      </c>
    </row>
    <row r="55" spans="1:4" x14ac:dyDescent="0.25">
      <c r="A55" s="10" t="s">
        <v>246</v>
      </c>
      <c r="B55" s="8" t="s">
        <v>10</v>
      </c>
      <c r="C55" s="11" t="s">
        <v>246</v>
      </c>
      <c r="D55" s="9" t="s">
        <v>260</v>
      </c>
    </row>
    <row r="56" spans="1:4" x14ac:dyDescent="0.25">
      <c r="A56" s="10" t="s">
        <v>249</v>
      </c>
      <c r="B56" s="8" t="s">
        <v>10</v>
      </c>
      <c r="C56" s="11" t="s">
        <v>249</v>
      </c>
      <c r="D56" s="9" t="s">
        <v>259</v>
      </c>
    </row>
    <row r="57" spans="1:4" x14ac:dyDescent="0.25">
      <c r="A57" s="10" t="s">
        <v>250</v>
      </c>
      <c r="B57" s="8" t="s">
        <v>10</v>
      </c>
      <c r="C57" s="11" t="s">
        <v>250</v>
      </c>
      <c r="D57" s="9" t="s">
        <v>258</v>
      </c>
    </row>
    <row r="58" spans="1:4" x14ac:dyDescent="0.25">
      <c r="A58" s="10" t="s">
        <v>251</v>
      </c>
      <c r="B58" s="8" t="s">
        <v>10</v>
      </c>
      <c r="C58" s="11" t="s">
        <v>251</v>
      </c>
      <c r="D58" s="9" t="s">
        <v>261</v>
      </c>
    </row>
    <row r="59" spans="1:4" x14ac:dyDescent="0.25">
      <c r="A59" s="10" t="s">
        <v>252</v>
      </c>
      <c r="B59" s="8" t="s">
        <v>10</v>
      </c>
      <c r="C59" s="11" t="s">
        <v>252</v>
      </c>
      <c r="D59" s="9" t="s">
        <v>257</v>
      </c>
    </row>
    <row r="60" spans="1:4" x14ac:dyDescent="0.25">
      <c r="A60" s="10" t="s">
        <v>253</v>
      </c>
      <c r="B60" s="8" t="s">
        <v>10</v>
      </c>
      <c r="C60" s="11" t="s">
        <v>253</v>
      </c>
      <c r="D60" s="9" t="s">
        <v>262</v>
      </c>
    </row>
    <row r="61" spans="1:4" x14ac:dyDescent="0.25">
      <c r="A61" s="10" t="s">
        <v>254</v>
      </c>
      <c r="B61" s="8" t="s">
        <v>10</v>
      </c>
      <c r="C61" s="11" t="s">
        <v>254</v>
      </c>
      <c r="D61" s="9" t="s">
        <v>263</v>
      </c>
    </row>
    <row r="62" spans="1:4" x14ac:dyDescent="0.25">
      <c r="A62" s="10" t="s">
        <v>281</v>
      </c>
      <c r="B62" s="8" t="s">
        <v>10</v>
      </c>
      <c r="C62" s="11" t="s">
        <v>281</v>
      </c>
      <c r="D62" s="9" t="s">
        <v>286</v>
      </c>
    </row>
    <row r="63" spans="1:4" x14ac:dyDescent="0.25">
      <c r="A63" s="10" t="s">
        <v>282</v>
      </c>
      <c r="B63" s="8" t="s">
        <v>10</v>
      </c>
      <c r="C63" s="11" t="s">
        <v>282</v>
      </c>
      <c r="D63" s="9" t="s">
        <v>285</v>
      </c>
    </row>
    <row r="64" spans="1:4" x14ac:dyDescent="0.25">
      <c r="A64" s="10" t="s">
        <v>283</v>
      </c>
      <c r="B64" s="8" t="s">
        <v>10</v>
      </c>
      <c r="C64" s="11" t="s">
        <v>283</v>
      </c>
      <c r="D64" s="9" t="s">
        <v>287</v>
      </c>
    </row>
    <row r="65" spans="1:4" x14ac:dyDescent="0.25">
      <c r="A65" s="10" t="s">
        <v>284</v>
      </c>
      <c r="B65" s="8" t="s">
        <v>10</v>
      </c>
      <c r="C65" s="11" t="s">
        <v>284</v>
      </c>
      <c r="D65" s="9" t="s">
        <v>288</v>
      </c>
    </row>
    <row r="66" spans="1:4" x14ac:dyDescent="0.25">
      <c r="A66" s="10" t="s">
        <v>295</v>
      </c>
      <c r="B66" s="8" t="s">
        <v>10</v>
      </c>
      <c r="C66" s="11" t="s">
        <v>295</v>
      </c>
      <c r="D66" s="9" t="s">
        <v>72</v>
      </c>
    </row>
    <row r="67" spans="1:4" x14ac:dyDescent="0.25">
      <c r="A67" s="136" t="s">
        <v>296</v>
      </c>
      <c r="B67" s="8" t="s">
        <v>226</v>
      </c>
      <c r="C67" s="11" t="s">
        <v>291</v>
      </c>
      <c r="D67" s="9"/>
    </row>
    <row r="68" spans="1:4" x14ac:dyDescent="0.25">
      <c r="A68" s="10" t="s">
        <v>297</v>
      </c>
      <c r="B68" s="8" t="s">
        <v>10</v>
      </c>
      <c r="C68" s="11" t="s">
        <v>297</v>
      </c>
      <c r="D68" s="9" t="s">
        <v>298</v>
      </c>
    </row>
    <row r="69" spans="1:4" x14ac:dyDescent="0.25">
      <c r="A69" s="10" t="s">
        <v>323</v>
      </c>
      <c r="B69" s="8" t="s">
        <v>10</v>
      </c>
      <c r="C69" s="11" t="s">
        <v>323</v>
      </c>
      <c r="D69" s="9" t="s">
        <v>324</v>
      </c>
    </row>
    <row r="70" spans="1:4" x14ac:dyDescent="0.25">
      <c r="A70" s="10" t="s">
        <v>408</v>
      </c>
      <c r="B70" s="8" t="s">
        <v>10</v>
      </c>
      <c r="C70" s="11" t="s">
        <v>408</v>
      </c>
      <c r="D70" s="9" t="s">
        <v>409</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λ'!$A$1" display="'oz.SumContainsλ'!$A$1" xr:uid="{5C8DAB05-8B34-4E16-BE14-BDB67049DC49}"/>
    <hyperlink ref="A42" location="'oz.SumContainsλ'!$A$29:$H$31" display="'oz.SumContainsλ'!$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4F485E"/>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186" t="str">
        <f ca="1">_xlfn.TEXTAFTER(CELL("filename",A1),"]")</f>
        <v>Data Validation</v>
      </c>
      <c r="B1" s="186"/>
      <c r="C1" s="186"/>
      <c r="D1" s="186"/>
      <c r="E1" s="186"/>
      <c r="F1" s="186"/>
      <c r="G1" s="186"/>
      <c r="H1" s="186"/>
      <c r="I1" s="12"/>
      <c r="J1" s="12"/>
      <c r="K1" s="12"/>
      <c r="L1" s="12"/>
      <c r="M1" s="12"/>
    </row>
    <row r="2" spans="1:13" x14ac:dyDescent="0.25">
      <c r="A2" s="187" t="s">
        <v>305</v>
      </c>
      <c r="B2" s="188"/>
      <c r="C2" s="188"/>
      <c r="D2" s="188"/>
      <c r="E2" s="188"/>
      <c r="F2" s="188"/>
      <c r="G2" s="188"/>
      <c r="H2" s="188"/>
      <c r="I2" s="188"/>
      <c r="J2" s="188"/>
      <c r="K2" s="188"/>
      <c r="L2" s="188"/>
      <c r="M2" s="189"/>
    </row>
    <row r="4" spans="1:13" ht="21" x14ac:dyDescent="0.35">
      <c r="A4" s="190" t="s">
        <v>314</v>
      </c>
      <c r="B4" s="191"/>
    </row>
    <row r="6" spans="1:13" x14ac:dyDescent="0.25">
      <c r="A6" t="s">
        <v>175</v>
      </c>
      <c r="B6" t="s">
        <v>7</v>
      </c>
    </row>
    <row r="7" spans="1:13" x14ac:dyDescent="0.25">
      <c r="A7" t="s">
        <v>304</v>
      </c>
      <c r="B7" t="s">
        <v>307</v>
      </c>
    </row>
    <row r="8" spans="1:13" x14ac:dyDescent="0.25">
      <c r="A8" t="s">
        <v>177</v>
      </c>
      <c r="B8" t="s">
        <v>308</v>
      </c>
    </row>
    <row r="9" spans="1:13" x14ac:dyDescent="0.25">
      <c r="A9" t="s">
        <v>178</v>
      </c>
      <c r="B9" t="s">
        <v>313</v>
      </c>
    </row>
    <row r="10" spans="1:13" x14ac:dyDescent="0.25">
      <c r="A10" t="s">
        <v>176</v>
      </c>
      <c r="B10" t="s">
        <v>306</v>
      </c>
    </row>
    <row r="11" spans="1:13" x14ac:dyDescent="0.25">
      <c r="A11" t="s">
        <v>309</v>
      </c>
      <c r="B11" t="s">
        <v>310</v>
      </c>
    </row>
    <row r="12" spans="1:13" x14ac:dyDescent="0.25">
      <c r="A12" t="s">
        <v>311</v>
      </c>
      <c r="B12" t="s">
        <v>312</v>
      </c>
    </row>
    <row r="13" spans="1:13" x14ac:dyDescent="0.25">
      <c r="A13" t="s">
        <v>406</v>
      </c>
      <c r="B13" t="s">
        <v>407</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C2D91"/>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12" t="str">
        <f ca="1">_xlfn.TEXTAFTER(CELL("filename",A1),"]")</f>
        <v>Australian tax</v>
      </c>
    </row>
    <row r="2" spans="1:6" x14ac:dyDescent="0.25">
      <c r="A2" t="s">
        <v>410</v>
      </c>
    </row>
    <row r="4" spans="1:6" x14ac:dyDescent="0.25">
      <c r="A4" s="169" t="s">
        <v>411</v>
      </c>
    </row>
    <row r="5" spans="1:6" x14ac:dyDescent="0.25">
      <c r="A5" s="169" t="s">
        <v>183</v>
      </c>
      <c r="B5" s="169" t="s">
        <v>412</v>
      </c>
    </row>
    <row r="6" spans="1:6" x14ac:dyDescent="0.25">
      <c r="A6" s="170">
        <v>50000</v>
      </c>
      <c r="B6">
        <v>5</v>
      </c>
    </row>
    <row r="8" spans="1:6" x14ac:dyDescent="0.25">
      <c r="A8" t="s">
        <v>413</v>
      </c>
      <c r="B8" s="170" cm="1">
        <f t="array" ref="B8:F8">oz.DiminishingValueλ($A$6,$B$6)</f>
        <v>20000</v>
      </c>
      <c r="C8">
        <v>12000</v>
      </c>
      <c r="D8">
        <v>7200</v>
      </c>
      <c r="E8">
        <v>4320</v>
      </c>
      <c r="F8">
        <v>6480</v>
      </c>
    </row>
    <row r="9" spans="1:6" x14ac:dyDescent="0.25">
      <c r="A9" t="s">
        <v>414</v>
      </c>
      <c r="B9" s="170" cm="1">
        <f t="array" ref="B9:F9">oz.PrimeCostλ($A$6,$B$6)</f>
        <v>10000</v>
      </c>
      <c r="C9">
        <v>10000</v>
      </c>
      <c r="D9">
        <v>10000</v>
      </c>
      <c r="E9">
        <v>10000</v>
      </c>
      <c r="F9">
        <v>10000</v>
      </c>
    </row>
    <row r="10" spans="1:6" x14ac:dyDescent="0.25">
      <c r="A10" t="s">
        <v>415</v>
      </c>
      <c r="B10" s="170">
        <f>SUM(_xlfn.ANCHORARRAY(B8))</f>
        <v>50000</v>
      </c>
    </row>
    <row r="11" spans="1:6" x14ac:dyDescent="0.25">
      <c r="A11" t="s">
        <v>416</v>
      </c>
      <c r="B11" s="170">
        <f>SUM(_xlfn.ANCHORARRAY(B9))</f>
        <v>50000</v>
      </c>
    </row>
    <row r="12" spans="1:6" x14ac:dyDescent="0.25">
      <c r="A12" t="s">
        <v>417</v>
      </c>
    </row>
    <row r="13" spans="1:6" x14ac:dyDescent="0.25">
      <c r="A13" t="s">
        <v>418</v>
      </c>
    </row>
    <row r="14" spans="1:6" x14ac:dyDescent="0.25">
      <c r="A14" s="169" t="s">
        <v>419</v>
      </c>
    </row>
    <row r="15" spans="1:6" x14ac:dyDescent="0.25">
      <c r="A15" s="169" t="s">
        <v>420</v>
      </c>
      <c r="B15" s="169" t="s">
        <v>421</v>
      </c>
    </row>
    <row r="16" spans="1:6" x14ac:dyDescent="0.25">
      <c r="A16" s="170">
        <v>1000</v>
      </c>
      <c r="B16" s="170" cm="1">
        <f t="array" ref="B16">oz.GSTAddλ(A16)</f>
        <v>1100</v>
      </c>
    </row>
    <row r="18" spans="1:2" x14ac:dyDescent="0.25">
      <c r="A18" s="169" t="s">
        <v>422</v>
      </c>
      <c r="B18" s="169" t="s">
        <v>423</v>
      </c>
    </row>
    <row r="19" spans="1:2" x14ac:dyDescent="0.25">
      <c r="A19" s="170">
        <v>1100</v>
      </c>
      <c r="B19" s="170" cm="1">
        <f t="array" ref="B19">oz.GSTExtractλ(A19)</f>
        <v>99.999999999999986</v>
      </c>
    </row>
    <row r="21" spans="1:2" x14ac:dyDescent="0.25">
      <c r="A21" s="169" t="s">
        <v>424</v>
      </c>
    </row>
    <row r="22" spans="1:2" x14ac:dyDescent="0.25">
      <c r="A22" s="169" t="s">
        <v>6</v>
      </c>
      <c r="B22" s="169" t="s">
        <v>425</v>
      </c>
    </row>
    <row r="23" spans="1:2" x14ac:dyDescent="0.25">
      <c r="A23" s="171">
        <v>46203</v>
      </c>
      <c r="B23" t="str" cm="1">
        <f t="array" ref="B23:B26">oz.FinancialYearλ(A23:A26)</f>
        <v>FY2026</v>
      </c>
    </row>
    <row r="24" spans="1:2" x14ac:dyDescent="0.25">
      <c r="A24" s="171">
        <v>46204</v>
      </c>
      <c r="B24" t="str">
        <v>FY2027</v>
      </c>
    </row>
    <row r="25" spans="1:2" x14ac:dyDescent="0.25">
      <c r="A25" s="171">
        <v>46249</v>
      </c>
      <c r="B25" t="str">
        <v>FY2027</v>
      </c>
    </row>
    <row r="26" spans="1:2" x14ac:dyDescent="0.25">
      <c r="A26" s="171">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2B1A54"/>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186" t="str">
        <f ca="1">_xlfn.TEXTAFTER(CELL("filename",A1),"]")</f>
        <v>oz.CountDOWλ</v>
      </c>
      <c r="B1" s="186"/>
      <c r="C1" s="186"/>
      <c r="D1" s="186"/>
      <c r="E1" s="186"/>
      <c r="F1" s="186"/>
      <c r="G1" s="186"/>
      <c r="H1" s="186"/>
      <c r="I1" s="186"/>
      <c r="J1" s="186"/>
      <c r="K1" s="186"/>
      <c r="L1" s="186"/>
      <c r="M1" s="186"/>
      <c r="N1" s="12"/>
    </row>
    <row r="2" spans="1:17" x14ac:dyDescent="0.25">
      <c r="A2" s="187" t="s">
        <v>71</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c r="L3" s="4"/>
      <c r="M3" s="4"/>
      <c r="N3" s="4"/>
    </row>
    <row r="4" spans="1:17" x14ac:dyDescent="0.25">
      <c r="A4" s="30"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=oz.CountDOWλ("23/7/2026", "11/8/2026", 1)</v>
      </c>
    </row>
    <row r="18" spans="1:17" x14ac:dyDescent="0.25">
      <c r="E18" s="26" t="s">
        <v>26</v>
      </c>
      <c r="F18" s="27" cm="1">
        <f t="array" ref="F18:Q18">oz.Timelineλ($B$21,$B$22,$B$23)</f>
        <v>46204</v>
      </c>
      <c r="G18" s="27">
        <v>46569</v>
      </c>
      <c r="H18" s="27">
        <v>46935</v>
      </c>
      <c r="I18" s="27">
        <v>47300</v>
      </c>
      <c r="J18" s="27">
        <v>47665</v>
      </c>
      <c r="K18" s="27">
        <v>48030</v>
      </c>
      <c r="L18" s="27">
        <v>48396</v>
      </c>
      <c r="M18" s="27">
        <v>48761</v>
      </c>
      <c r="N18" s="27">
        <v>49126</v>
      </c>
      <c r="O18" s="27">
        <v>49491</v>
      </c>
      <c r="P18" s="27">
        <v>49857</v>
      </c>
      <c r="Q18" s="27">
        <v>50222</v>
      </c>
    </row>
    <row r="19" spans="1:17" x14ac:dyDescent="0.25">
      <c r="A19" s="14" t="s">
        <v>13</v>
      </c>
      <c r="B19" s="15" t="s">
        <v>14</v>
      </c>
      <c r="C19" s="14" t="s">
        <v>15</v>
      </c>
      <c r="E19" s="25" t="s">
        <v>27</v>
      </c>
      <c r="F19" s="28" cm="1">
        <f t="array" ref="F19:Q19">oz.Timelineλ($B$21,$B$22,$B$23,FALSE)</f>
        <v>46568</v>
      </c>
      <c r="G19" s="28">
        <v>46934</v>
      </c>
      <c r="H19" s="28">
        <v>47299</v>
      </c>
      <c r="I19" s="28">
        <v>47664</v>
      </c>
      <c r="J19" s="28">
        <v>48029</v>
      </c>
      <c r="K19" s="28">
        <v>48395</v>
      </c>
      <c r="L19" s="28">
        <v>48760</v>
      </c>
      <c r="M19" s="28">
        <v>49125</v>
      </c>
      <c r="N19" s="28">
        <v>49490</v>
      </c>
      <c r="O19" s="28">
        <v>49856</v>
      </c>
      <c r="P19" s="28">
        <v>50221</v>
      </c>
      <c r="Q19" s="28">
        <v>50586</v>
      </c>
    </row>
    <row r="20" spans="1:17" x14ac:dyDescent="0.25">
      <c r="A20" s="2" t="s">
        <v>25</v>
      </c>
      <c r="F20" s="29"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20" t="s">
        <v>26</v>
      </c>
      <c r="B21" s="18">
        <v>46204</v>
      </c>
      <c r="C21" t="s">
        <v>21</v>
      </c>
    </row>
    <row r="22" spans="1:17" x14ac:dyDescent="0.25">
      <c r="A22" s="20" t="s">
        <v>17</v>
      </c>
      <c r="B22" s="21">
        <v>12</v>
      </c>
      <c r="C22" t="s">
        <v>21</v>
      </c>
    </row>
    <row r="23" spans="1:17" x14ac:dyDescent="0.25">
      <c r="A23" s="20" t="s">
        <v>18</v>
      </c>
      <c r="B23" s="17" t="s">
        <v>2</v>
      </c>
      <c r="C23" t="s">
        <v>29</v>
      </c>
    </row>
    <row r="24" spans="1:17" x14ac:dyDescent="0.25">
      <c r="A24" s="2" t="s">
        <v>28</v>
      </c>
      <c r="B24" s="22">
        <f>MATCH(C24,{"Sunday","Monday","Tuesday","Wednesday","Thursday","Friday","Saturday"},0)</f>
        <v>1</v>
      </c>
      <c r="C24" s="23" t="s">
        <v>95</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2B1A54"/>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186" t="str">
        <f ca="1">_xlfn.TEXTAFTER(CELL("filename",A1),"]")</f>
        <v>oz.IsBetweenλ</v>
      </c>
      <c r="B1" s="186"/>
      <c r="C1" s="186"/>
      <c r="D1" s="186"/>
      <c r="E1" s="186"/>
      <c r="F1" s="186"/>
      <c r="G1" s="186"/>
      <c r="H1" s="186"/>
      <c r="I1" s="186"/>
      <c r="J1" s="186"/>
      <c r="K1" s="186"/>
      <c r="L1" s="186"/>
      <c r="M1" s="186"/>
      <c r="N1" s="12"/>
    </row>
    <row r="2" spans="1:17" x14ac:dyDescent="0.25">
      <c r="A2" s="187" t="s">
        <v>72</v>
      </c>
      <c r="B2" s="192"/>
      <c r="C2" s="192"/>
      <c r="D2" s="192"/>
      <c r="E2" s="192"/>
      <c r="F2" s="192"/>
      <c r="G2" s="192"/>
      <c r="H2" s="192"/>
      <c r="I2" s="192"/>
      <c r="J2" s="192"/>
      <c r="K2" s="192"/>
      <c r="L2" s="192"/>
      <c r="M2" s="192"/>
      <c r="N2" s="192"/>
      <c r="O2" s="192"/>
      <c r="P2" s="192"/>
      <c r="Q2" s="192"/>
    </row>
    <row r="3" spans="1:17" x14ac:dyDescent="0.25">
      <c r="A3" s="138"/>
      <c r="B3" s="139"/>
      <c r="C3" s="139"/>
      <c r="D3" s="139"/>
      <c r="E3" s="139"/>
      <c r="F3" s="139"/>
      <c r="G3" s="139"/>
      <c r="H3" s="139"/>
      <c r="I3" s="139"/>
      <c r="J3" s="139"/>
      <c r="K3" s="139"/>
      <c r="L3" s="139"/>
      <c r="M3" s="139"/>
      <c r="N3" s="139"/>
      <c r="O3" s="139"/>
      <c r="P3" s="139"/>
      <c r="Q3" s="139"/>
    </row>
    <row r="4" spans="1:17" x14ac:dyDescent="0.25">
      <c r="A4" s="61"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26" t="s">
        <v>26</v>
      </c>
      <c r="F22" s="31" cm="1">
        <f t="array" ref="F22:Q22">oz.Timelineλ($B$25,$B$26,$B$27)</f>
        <v>46204</v>
      </c>
      <c r="G22" s="27">
        <v>46235</v>
      </c>
      <c r="H22" s="27">
        <v>46266</v>
      </c>
      <c r="I22" s="27">
        <v>46296</v>
      </c>
      <c r="J22" s="27">
        <v>46327</v>
      </c>
      <c r="K22" s="27">
        <v>46357</v>
      </c>
      <c r="L22" s="27">
        <v>46388</v>
      </c>
      <c r="M22" s="27">
        <v>46419</v>
      </c>
      <c r="N22" s="27">
        <v>46447</v>
      </c>
      <c r="O22" s="27">
        <v>46478</v>
      </c>
      <c r="P22" s="27">
        <v>46508</v>
      </c>
      <c r="Q22" s="27">
        <v>46539</v>
      </c>
    </row>
    <row r="23" spans="1:17" x14ac:dyDescent="0.25">
      <c r="A23" s="14" t="s">
        <v>13</v>
      </c>
      <c r="B23" s="15" t="s">
        <v>14</v>
      </c>
      <c r="C23" s="14" t="s">
        <v>15</v>
      </c>
      <c r="E23" s="25" t="s">
        <v>27</v>
      </c>
      <c r="F23" s="28" cm="1">
        <f t="array" ref="F23:Q23">oz.Timelineλ($B$25,$B$26,$B$27,FALSE)</f>
        <v>46234</v>
      </c>
      <c r="G23" s="28">
        <v>46265</v>
      </c>
      <c r="H23" s="28">
        <v>46295</v>
      </c>
      <c r="I23" s="28">
        <v>46326</v>
      </c>
      <c r="J23" s="28">
        <v>46356</v>
      </c>
      <c r="K23" s="28">
        <v>46387</v>
      </c>
      <c r="L23" s="28">
        <v>46418</v>
      </c>
      <c r="M23" s="28">
        <v>46446</v>
      </c>
      <c r="N23" s="28">
        <v>46477</v>
      </c>
      <c r="O23" s="28">
        <v>46507</v>
      </c>
      <c r="P23" s="28">
        <v>46538</v>
      </c>
      <c r="Q23" s="28">
        <v>46568</v>
      </c>
    </row>
    <row r="24" spans="1:17" x14ac:dyDescent="0.25">
      <c r="A24" s="2" t="s">
        <v>25</v>
      </c>
    </row>
    <row r="25" spans="1:17" x14ac:dyDescent="0.25">
      <c r="A25" s="20" t="s">
        <v>26</v>
      </c>
      <c r="B25" s="18">
        <v>46204</v>
      </c>
      <c r="C25" t="s">
        <v>21</v>
      </c>
    </row>
    <row r="26" spans="1:17" x14ac:dyDescent="0.25">
      <c r="A26" s="20" t="s">
        <v>17</v>
      </c>
      <c r="B26" s="21">
        <v>12</v>
      </c>
      <c r="C26" t="s">
        <v>21</v>
      </c>
    </row>
    <row r="27" spans="1:17" x14ac:dyDescent="0.25">
      <c r="A27" s="20" t="s">
        <v>18</v>
      </c>
      <c r="B27" s="17" t="s">
        <v>20</v>
      </c>
      <c r="C27" t="s">
        <v>29</v>
      </c>
    </row>
    <row r="28" spans="1:17" x14ac:dyDescent="0.25">
      <c r="A28" s="20"/>
      <c r="B28" s="22"/>
    </row>
    <row r="29" spans="1:17" x14ac:dyDescent="0.25">
      <c r="A29" s="2" t="s">
        <v>30</v>
      </c>
      <c r="B29" s="18">
        <v>46249</v>
      </c>
      <c r="C29" t="s">
        <v>21</v>
      </c>
      <c r="F29" s="86" cm="1">
        <f t="array" ref="F29:Q29">N( oz.IsBetweenλ(B29,_xlfn.ANCHORARRAY( $F$22),_xlfn.ANCHORARRAY( $F$23)))</f>
        <v>0</v>
      </c>
      <c r="G29">
        <v>1</v>
      </c>
      <c r="H29">
        <v>0</v>
      </c>
      <c r="I29">
        <v>0</v>
      </c>
      <c r="J29">
        <v>0</v>
      </c>
      <c r="K29">
        <v>0</v>
      </c>
      <c r="L29">
        <v>0</v>
      </c>
      <c r="M29">
        <v>0</v>
      </c>
      <c r="N29">
        <v>0</v>
      </c>
      <c r="O29">
        <v>0</v>
      </c>
      <c r="P29">
        <v>0</v>
      </c>
      <c r="Q29">
        <v>0</v>
      </c>
    </row>
    <row r="31" spans="1:17" x14ac:dyDescent="0.25">
      <c r="A31" s="33" t="s">
        <v>31</v>
      </c>
      <c r="B31" s="18">
        <v>46213</v>
      </c>
      <c r="C31" t="s">
        <v>21</v>
      </c>
      <c r="F31" s="53"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8">
        <v>46275</v>
      </c>
      <c r="C32" t="s">
        <v>21</v>
      </c>
      <c r="F32">
        <v>0</v>
      </c>
      <c r="G32">
        <v>0</v>
      </c>
      <c r="H32">
        <v>1</v>
      </c>
      <c r="I32">
        <v>0</v>
      </c>
      <c r="J32">
        <v>0</v>
      </c>
      <c r="K32">
        <v>0</v>
      </c>
      <c r="L32">
        <v>0</v>
      </c>
      <c r="M32">
        <v>0</v>
      </c>
      <c r="N32">
        <v>0</v>
      </c>
      <c r="O32">
        <v>0</v>
      </c>
      <c r="P32">
        <v>0</v>
      </c>
      <c r="Q32">
        <v>0</v>
      </c>
    </row>
    <row r="33" spans="2:17" x14ac:dyDescent="0.25">
      <c r="B33" s="18">
        <v>46361</v>
      </c>
      <c r="C33" t="s">
        <v>21</v>
      </c>
      <c r="F33">
        <v>0</v>
      </c>
      <c r="G33">
        <v>0</v>
      </c>
      <c r="H33">
        <v>0</v>
      </c>
      <c r="I33">
        <v>0</v>
      </c>
      <c r="J33">
        <v>0</v>
      </c>
      <c r="K33">
        <v>1</v>
      </c>
      <c r="L33">
        <v>0</v>
      </c>
      <c r="M33">
        <v>0</v>
      </c>
      <c r="N33">
        <v>0</v>
      </c>
      <c r="O33">
        <v>0</v>
      </c>
      <c r="P33">
        <v>0</v>
      </c>
      <c r="Q33">
        <v>0</v>
      </c>
    </row>
    <row r="34" spans="2:17" x14ac:dyDescent="0.25">
      <c r="B34" s="18">
        <v>46453</v>
      </c>
      <c r="C34" t="s">
        <v>21</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2B1A54"/>
    <pageSetUpPr fitToPage="1"/>
  </sheetPr>
  <dimension ref="A1:NH39"/>
  <sheetViews>
    <sheetView showGridLines="0" workbookViewId="0">
      <pane xSplit="7" topLeftCell="H1" activePane="topRight" state="frozen"/>
      <selection sqref="A1:P1"/>
      <selection pane="topRight" activeCell="H1" sqref="H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186" t="str">
        <f ca="1">_xlfn.TEXTAFTER(CELL("filename",A1),"]")</f>
        <v>oz.IsOccurrenceDateλ</v>
      </c>
      <c r="B1" s="186"/>
      <c r="C1" s="186"/>
      <c r="D1" s="186"/>
      <c r="E1" s="186"/>
      <c r="F1" s="186"/>
      <c r="G1" s="186"/>
      <c r="H1" s="186"/>
      <c r="I1" s="186"/>
      <c r="J1" s="186"/>
      <c r="K1" s="186"/>
      <c r="L1" s="186"/>
      <c r="M1" s="186"/>
      <c r="N1" s="186"/>
      <c r="O1" s="186"/>
      <c r="P1" s="186"/>
    </row>
    <row r="2" spans="1:16" x14ac:dyDescent="0.25">
      <c r="A2" s="187" t="s">
        <v>73</v>
      </c>
      <c r="B2" s="188"/>
      <c r="C2" s="188"/>
      <c r="D2" s="188"/>
      <c r="E2" s="188"/>
      <c r="F2" s="188"/>
      <c r="G2" s="188"/>
      <c r="H2" s="188"/>
      <c r="I2" s="188"/>
      <c r="J2" s="188"/>
      <c r="K2" s="188"/>
      <c r="L2" s="188"/>
      <c r="M2" s="188"/>
      <c r="N2" s="188"/>
      <c r="O2" s="188"/>
      <c r="P2" s="189"/>
    </row>
    <row r="4" spans="1:16" x14ac:dyDescent="0.25">
      <c r="A4" s="30" t="str" cm="1">
        <f t="array" ref="A4:B30">oz.IsOccurrenceDateλ()</f>
        <v>FUNCTION:</v>
      </c>
      <c r="B4" t="str">
        <v>IsOccurrenceDateλ(Dates, FirstOccurrence, [LastOccurrence], [Repeats])</v>
      </c>
      <c r="K4" t="s">
        <v>124</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NOTE!</v>
      </c>
      <c r="B24" t="str">
        <v>A monthly, quarterly, semi-annual or annual item that starts on the 29th, 30th or 31st</v>
      </c>
    </row>
    <row r="25" spans="1:372" x14ac:dyDescent="0.25">
      <c r="A25" t="str">
        <v/>
      </c>
      <c r="B25" t="str">
        <v>falls on the last day of any shorter month.</v>
      </c>
    </row>
    <row r="26" spans="1:372" x14ac:dyDescent="0.25">
      <c r="A26" t="str">
        <v>EXAMPLES:</v>
      </c>
      <c r="B26" t="str">
        <v/>
      </c>
    </row>
    <row r="27" spans="1:372" x14ac:dyDescent="0.25">
      <c r="A27" t="str">
        <v>Result</v>
      </c>
      <c r="B27" t="str">
        <v>Formula (oz is assumed to be the module's name)</v>
      </c>
    </row>
    <row r="28" spans="1:372" x14ac:dyDescent="0.25">
      <c r="A28" t="str">
        <v>72</v>
      </c>
      <c r="B28" t="str">
        <v>=SUM(N(oz.IsOccurrenceDateλ(SEQUENCE(,90,"1/7/2026"), "1/7/2026", "10/9/2026", "D")))</v>
      </c>
    </row>
    <row r="29" spans="1:372" x14ac:dyDescent="0.25">
      <c r="A29" t="str">
        <v>01</v>
      </c>
      <c r="B29" t="str">
        <v>=SUM(N(oz.IsOccurrenceDateλ(SEQUENCE(,90,"1/7/2026"), "1/7/2026", "10/9/2026", "O")))</v>
      </c>
    </row>
    <row r="30" spans="1:372" x14ac:dyDescent="0.25">
      <c r="A30" t="str">
        <v>11</v>
      </c>
      <c r="B30" t="str">
        <v>=SUM(N(oz.IsOccurrenceDateλ(SEQUENCE(,90,"1/7/2026"), "1/7/2026", "10/9/2026", "W")))</v>
      </c>
    </row>
    <row r="31" spans="1:372" ht="21" x14ac:dyDescent="0.35">
      <c r="A31" s="193" t="s">
        <v>96</v>
      </c>
      <c r="B31" s="194"/>
      <c r="C31" s="194"/>
      <c r="D31" s="194"/>
      <c r="E31" s="194"/>
      <c r="F31" s="52"/>
      <c r="G31" s="34" t="s">
        <v>122</v>
      </c>
      <c r="H31" s="56" cm="1">
        <f t="array" ref="H31:NH31">oz.Cumulativeλ(_xlfn.ANCHORARRAY(H32))</f>
        <v>3981</v>
      </c>
      <c r="I31" s="56">
        <v>3962</v>
      </c>
      <c r="J31" s="56">
        <v>3868</v>
      </c>
      <c r="K31" s="56">
        <v>3868</v>
      </c>
      <c r="L31" s="56">
        <v>-632</v>
      </c>
      <c r="M31" s="56">
        <v>-651</v>
      </c>
      <c r="N31" s="56">
        <v>-670</v>
      </c>
      <c r="O31" s="56">
        <v>-689</v>
      </c>
      <c r="P31" s="56">
        <v>-708</v>
      </c>
      <c r="Q31" s="56">
        <v>-1302</v>
      </c>
      <c r="R31" s="56">
        <v>-1302</v>
      </c>
      <c r="S31" s="56">
        <v>-1302</v>
      </c>
      <c r="T31" s="56">
        <v>-1321</v>
      </c>
      <c r="U31" s="56">
        <v>-1340</v>
      </c>
      <c r="V31" s="56">
        <v>4641</v>
      </c>
      <c r="W31" s="56">
        <v>4622</v>
      </c>
      <c r="X31" s="56">
        <v>4528</v>
      </c>
      <c r="Y31" s="56">
        <v>4528</v>
      </c>
      <c r="Z31" s="56">
        <v>4528</v>
      </c>
      <c r="AA31" s="56">
        <v>4509</v>
      </c>
      <c r="AB31" s="56">
        <v>4490</v>
      </c>
      <c r="AC31" s="56">
        <v>4471</v>
      </c>
      <c r="AD31" s="56">
        <v>4452</v>
      </c>
      <c r="AE31" s="56">
        <v>4358</v>
      </c>
      <c r="AF31" s="56">
        <v>4358</v>
      </c>
      <c r="AG31" s="56">
        <v>4358</v>
      </c>
      <c r="AH31" s="56">
        <v>4339</v>
      </c>
      <c r="AI31" s="56">
        <v>4320</v>
      </c>
      <c r="AJ31" s="56">
        <v>10301</v>
      </c>
      <c r="AK31" s="56">
        <v>10282</v>
      </c>
      <c r="AL31" s="56">
        <v>10188</v>
      </c>
      <c r="AM31" s="56">
        <v>10188</v>
      </c>
      <c r="AN31" s="56">
        <v>10188</v>
      </c>
      <c r="AO31" s="56">
        <v>10169</v>
      </c>
      <c r="AP31" s="56">
        <v>10150</v>
      </c>
      <c r="AQ31" s="56">
        <v>5631</v>
      </c>
      <c r="AR31" s="56">
        <v>5612</v>
      </c>
      <c r="AS31" s="56">
        <v>5518</v>
      </c>
      <c r="AT31" s="56">
        <v>5518</v>
      </c>
      <c r="AU31" s="56">
        <v>5518</v>
      </c>
      <c r="AV31" s="56">
        <v>5499</v>
      </c>
      <c r="AW31" s="56">
        <v>5480</v>
      </c>
      <c r="AX31" s="56">
        <v>11461</v>
      </c>
      <c r="AY31" s="56">
        <v>11442</v>
      </c>
      <c r="AZ31" s="56">
        <v>11348</v>
      </c>
      <c r="BA31" s="56">
        <v>11348</v>
      </c>
      <c r="BB31" s="56">
        <v>11348</v>
      </c>
      <c r="BC31" s="56">
        <v>11329</v>
      </c>
      <c r="BD31" s="56">
        <v>11310</v>
      </c>
      <c r="BE31" s="56">
        <v>11291</v>
      </c>
      <c r="BF31" s="56">
        <v>11272</v>
      </c>
      <c r="BG31" s="56">
        <v>11178</v>
      </c>
      <c r="BH31" s="56">
        <v>11178</v>
      </c>
      <c r="BI31" s="56">
        <v>11178</v>
      </c>
      <c r="BJ31" s="56">
        <v>11159</v>
      </c>
      <c r="BK31" s="56">
        <v>11140</v>
      </c>
      <c r="BL31" s="56">
        <v>17121</v>
      </c>
      <c r="BM31" s="56">
        <v>17102</v>
      </c>
      <c r="BN31" s="56">
        <v>17008</v>
      </c>
      <c r="BO31" s="56">
        <v>17008</v>
      </c>
      <c r="BP31" s="56">
        <v>17008</v>
      </c>
      <c r="BQ31" s="56">
        <v>16989</v>
      </c>
      <c r="BR31" s="56">
        <v>16970</v>
      </c>
      <c r="BS31" s="56">
        <v>16951</v>
      </c>
      <c r="BT31" s="56">
        <v>16932</v>
      </c>
      <c r="BU31" s="56">
        <v>16838</v>
      </c>
      <c r="BV31" s="56">
        <v>12338</v>
      </c>
      <c r="BW31" s="56">
        <v>12338</v>
      </c>
      <c r="BX31" s="56">
        <v>12319</v>
      </c>
      <c r="BY31" s="56">
        <v>12300</v>
      </c>
      <c r="BZ31" s="56">
        <v>18281</v>
      </c>
      <c r="CA31" s="56">
        <v>18262</v>
      </c>
      <c r="CB31" s="56">
        <v>18168</v>
      </c>
      <c r="CC31" s="56">
        <v>18168</v>
      </c>
      <c r="CD31" s="56">
        <v>18168</v>
      </c>
      <c r="CE31" s="56">
        <v>18149</v>
      </c>
      <c r="CF31" s="56">
        <v>18130</v>
      </c>
      <c r="CG31" s="56">
        <v>18111</v>
      </c>
      <c r="CH31" s="56">
        <v>18092</v>
      </c>
      <c r="CI31" s="56">
        <v>17998</v>
      </c>
      <c r="CJ31" s="56">
        <v>17998</v>
      </c>
      <c r="CK31" s="56">
        <v>17998</v>
      </c>
      <c r="CL31" s="56">
        <v>17979</v>
      </c>
      <c r="CM31" s="56">
        <v>17960</v>
      </c>
      <c r="CN31" s="56">
        <v>23941</v>
      </c>
      <c r="CO31" s="56">
        <v>23922</v>
      </c>
      <c r="CP31" s="56">
        <v>23828</v>
      </c>
      <c r="CQ31" s="56">
        <v>23828</v>
      </c>
      <c r="CR31" s="56">
        <v>23828</v>
      </c>
      <c r="CS31" s="56">
        <v>23809</v>
      </c>
      <c r="CT31" s="56">
        <v>23790</v>
      </c>
      <c r="CU31" s="56">
        <v>23771</v>
      </c>
      <c r="CV31" s="56">
        <v>23752</v>
      </c>
      <c r="CW31" s="56">
        <v>23658</v>
      </c>
      <c r="CX31" s="56">
        <v>23658</v>
      </c>
      <c r="CY31" s="56">
        <v>23658</v>
      </c>
      <c r="CZ31" s="56">
        <v>19139</v>
      </c>
      <c r="DA31" s="56">
        <v>19120</v>
      </c>
      <c r="DB31" s="56">
        <v>25101</v>
      </c>
      <c r="DC31" s="56">
        <v>25082</v>
      </c>
      <c r="DD31" s="56">
        <v>24988</v>
      </c>
      <c r="DE31" s="56">
        <v>24488</v>
      </c>
      <c r="DF31" s="56">
        <v>24488</v>
      </c>
      <c r="DG31" s="56">
        <v>24469</v>
      </c>
      <c r="DH31" s="56">
        <v>24450</v>
      </c>
      <c r="DI31" s="56">
        <v>24431</v>
      </c>
      <c r="DJ31" s="56">
        <v>24412</v>
      </c>
      <c r="DK31" s="56">
        <v>24318</v>
      </c>
      <c r="DL31" s="56">
        <v>24318</v>
      </c>
      <c r="DM31" s="56">
        <v>24318</v>
      </c>
      <c r="DN31" s="56">
        <v>24299</v>
      </c>
      <c r="DO31" s="56">
        <v>24280</v>
      </c>
      <c r="DP31" s="56">
        <v>30261</v>
      </c>
      <c r="DQ31" s="56">
        <v>30242</v>
      </c>
      <c r="DR31" s="56">
        <v>30148</v>
      </c>
      <c r="DS31" s="56">
        <v>30148</v>
      </c>
      <c r="DT31" s="56">
        <v>30148</v>
      </c>
      <c r="DU31" s="56">
        <v>30129</v>
      </c>
      <c r="DV31" s="56">
        <v>30110</v>
      </c>
      <c r="DW31" s="56">
        <v>30091</v>
      </c>
      <c r="DX31" s="56">
        <v>30072</v>
      </c>
      <c r="DY31" s="56">
        <v>29978</v>
      </c>
      <c r="DZ31" s="56">
        <v>29978</v>
      </c>
      <c r="EA31" s="56">
        <v>29978</v>
      </c>
      <c r="EB31" s="56">
        <v>29959</v>
      </c>
      <c r="EC31" s="56">
        <v>29940</v>
      </c>
      <c r="ED31" s="56">
        <v>35921</v>
      </c>
      <c r="EE31" s="56">
        <v>31402</v>
      </c>
      <c r="EF31" s="56">
        <v>31308</v>
      </c>
      <c r="EG31" s="56">
        <v>31308</v>
      </c>
      <c r="EH31" s="56">
        <v>31308</v>
      </c>
      <c r="EI31" s="56">
        <v>31289</v>
      </c>
      <c r="EJ31" s="56">
        <v>31270</v>
      </c>
      <c r="EK31" s="56">
        <v>31251</v>
      </c>
      <c r="EL31" s="56">
        <v>31232</v>
      </c>
      <c r="EM31" s="56">
        <v>31138</v>
      </c>
      <c r="EN31" s="56">
        <v>31138</v>
      </c>
      <c r="EO31" s="56">
        <v>31138</v>
      </c>
      <c r="EP31" s="56">
        <v>31119</v>
      </c>
      <c r="EQ31" s="56">
        <v>31100</v>
      </c>
      <c r="ER31" s="56">
        <v>37081</v>
      </c>
      <c r="ES31" s="56">
        <v>37062</v>
      </c>
      <c r="ET31" s="56">
        <v>36968</v>
      </c>
      <c r="EU31" s="56">
        <v>36968</v>
      </c>
      <c r="EV31" s="56">
        <v>36968</v>
      </c>
      <c r="EW31" s="56">
        <v>36949</v>
      </c>
      <c r="EX31" s="56">
        <v>36930</v>
      </c>
      <c r="EY31" s="56">
        <v>36911</v>
      </c>
      <c r="EZ31" s="56">
        <v>36892</v>
      </c>
      <c r="FA31" s="56">
        <v>36798</v>
      </c>
      <c r="FB31" s="56">
        <v>36798</v>
      </c>
      <c r="FC31" s="56">
        <v>36798</v>
      </c>
      <c r="FD31" s="56">
        <v>36779</v>
      </c>
      <c r="FE31" s="56">
        <v>36760</v>
      </c>
      <c r="FF31" s="56">
        <v>42741</v>
      </c>
      <c r="FG31" s="56">
        <v>42722</v>
      </c>
      <c r="FH31" s="56">
        <v>42628</v>
      </c>
      <c r="FI31" s="56">
        <v>38128</v>
      </c>
      <c r="FJ31" s="56">
        <v>38128</v>
      </c>
      <c r="FK31" s="56">
        <v>38109</v>
      </c>
      <c r="FL31" s="56">
        <v>38090</v>
      </c>
      <c r="FM31" s="56">
        <v>38071</v>
      </c>
      <c r="FN31" s="56">
        <v>38052</v>
      </c>
      <c r="FO31" s="56">
        <v>37958</v>
      </c>
      <c r="FP31" s="56">
        <v>37958</v>
      </c>
      <c r="FQ31" s="56">
        <v>37958</v>
      </c>
      <c r="FR31" s="56">
        <v>37939</v>
      </c>
      <c r="FS31" s="56">
        <v>37920</v>
      </c>
      <c r="FT31" s="56">
        <v>43901</v>
      </c>
      <c r="FU31" s="56">
        <v>43882</v>
      </c>
      <c r="FV31" s="56">
        <v>43788</v>
      </c>
      <c r="FW31" s="56">
        <v>43788</v>
      </c>
      <c r="FX31" s="56">
        <v>43788</v>
      </c>
      <c r="FY31" s="56">
        <v>43769</v>
      </c>
      <c r="FZ31" s="56">
        <v>43750</v>
      </c>
      <c r="GA31" s="56">
        <v>43731</v>
      </c>
      <c r="GB31" s="56">
        <v>43712</v>
      </c>
      <c r="GC31" s="56">
        <v>43618</v>
      </c>
      <c r="GD31" s="56">
        <v>43618</v>
      </c>
      <c r="GE31" s="56">
        <v>43618</v>
      </c>
      <c r="GF31" s="56">
        <v>43599</v>
      </c>
      <c r="GG31" s="56">
        <v>43580</v>
      </c>
      <c r="GH31" s="56">
        <v>49561</v>
      </c>
      <c r="GI31" s="56">
        <v>49542</v>
      </c>
      <c r="GJ31" s="56">
        <v>47448</v>
      </c>
      <c r="GK31" s="56">
        <v>47448</v>
      </c>
      <c r="GL31" s="56">
        <v>47448</v>
      </c>
      <c r="GM31" s="56">
        <v>47429</v>
      </c>
      <c r="GN31" s="56">
        <v>42910</v>
      </c>
      <c r="GO31" s="56">
        <v>42891</v>
      </c>
      <c r="GP31" s="56">
        <v>42872</v>
      </c>
      <c r="GQ31" s="56">
        <v>42778</v>
      </c>
      <c r="GR31" s="56">
        <v>42778</v>
      </c>
      <c r="GS31" s="56">
        <v>42278</v>
      </c>
      <c r="GT31" s="56">
        <v>42259</v>
      </c>
      <c r="GU31" s="56">
        <v>42240</v>
      </c>
      <c r="GV31" s="56">
        <v>48221</v>
      </c>
      <c r="GW31" s="56">
        <v>48202</v>
      </c>
      <c r="GX31" s="56">
        <v>48108</v>
      </c>
      <c r="GY31" s="56">
        <v>48108</v>
      </c>
      <c r="GZ31" s="56">
        <v>48108</v>
      </c>
      <c r="HA31" s="56">
        <v>48089</v>
      </c>
      <c r="HB31" s="56">
        <v>48070</v>
      </c>
      <c r="HC31" s="56">
        <v>48051</v>
      </c>
      <c r="HD31" s="56">
        <v>48032</v>
      </c>
      <c r="HE31" s="56">
        <v>47938</v>
      </c>
      <c r="HF31" s="56">
        <v>47938</v>
      </c>
      <c r="HG31" s="56">
        <v>47938</v>
      </c>
      <c r="HH31" s="56">
        <v>47919</v>
      </c>
      <c r="HI31" s="56">
        <v>47900</v>
      </c>
      <c r="HJ31" s="56">
        <v>53881</v>
      </c>
      <c r="HK31" s="56">
        <v>53862</v>
      </c>
      <c r="HL31" s="56">
        <v>53768</v>
      </c>
      <c r="HM31" s="56">
        <v>53768</v>
      </c>
      <c r="HN31" s="56">
        <v>53768</v>
      </c>
      <c r="HO31" s="56">
        <v>53749</v>
      </c>
      <c r="HP31" s="56">
        <v>53730</v>
      </c>
      <c r="HQ31" s="56">
        <v>53711</v>
      </c>
      <c r="HR31" s="56">
        <v>53692</v>
      </c>
      <c r="HS31" s="56">
        <v>49098</v>
      </c>
      <c r="HT31" s="56">
        <v>49098</v>
      </c>
      <c r="HU31" s="56">
        <v>49098</v>
      </c>
      <c r="HV31" s="56">
        <v>49079</v>
      </c>
      <c r="HW31" s="56">
        <v>49060</v>
      </c>
      <c r="HX31" s="56">
        <v>55041</v>
      </c>
      <c r="HY31" s="56">
        <v>55022</v>
      </c>
      <c r="HZ31" s="56">
        <v>54928</v>
      </c>
      <c r="IA31" s="56">
        <v>54928</v>
      </c>
      <c r="IB31" s="56">
        <v>54928</v>
      </c>
      <c r="IC31" s="56">
        <v>54909</v>
      </c>
      <c r="ID31" s="56">
        <v>54890</v>
      </c>
      <c r="IE31" s="56">
        <v>54871</v>
      </c>
      <c r="IF31" s="56">
        <v>54852</v>
      </c>
      <c r="IG31" s="56">
        <v>54758</v>
      </c>
      <c r="IH31" s="56">
        <v>54758</v>
      </c>
      <c r="II31" s="56">
        <v>54758</v>
      </c>
      <c r="IJ31" s="56">
        <v>54739</v>
      </c>
      <c r="IK31" s="56">
        <v>54720</v>
      </c>
      <c r="IL31" s="56">
        <v>60701</v>
      </c>
      <c r="IM31" s="56">
        <v>60682</v>
      </c>
      <c r="IN31" s="56">
        <v>60588</v>
      </c>
      <c r="IO31" s="56">
        <v>60588</v>
      </c>
      <c r="IP31" s="56">
        <v>60588</v>
      </c>
      <c r="IQ31" s="56">
        <v>60569</v>
      </c>
      <c r="IR31" s="56">
        <v>60550</v>
      </c>
      <c r="IS31" s="56">
        <v>60531</v>
      </c>
      <c r="IT31" s="56">
        <v>60512</v>
      </c>
      <c r="IU31" s="56">
        <v>55918</v>
      </c>
      <c r="IV31" s="56">
        <v>55918</v>
      </c>
      <c r="IW31" s="56">
        <v>55918</v>
      </c>
      <c r="IX31" s="56">
        <v>55899</v>
      </c>
      <c r="IY31" s="56">
        <v>55880</v>
      </c>
      <c r="IZ31" s="56">
        <v>61861</v>
      </c>
      <c r="JA31" s="56">
        <v>61842</v>
      </c>
      <c r="JB31" s="56">
        <v>61748</v>
      </c>
      <c r="JC31" s="56">
        <v>61748</v>
      </c>
      <c r="JD31" s="56">
        <v>61748</v>
      </c>
      <c r="JE31" s="56">
        <v>61729</v>
      </c>
      <c r="JF31" s="56">
        <v>61710</v>
      </c>
      <c r="JG31" s="56">
        <v>61691</v>
      </c>
      <c r="JH31" s="56">
        <v>61672</v>
      </c>
      <c r="JI31" s="56">
        <v>61578</v>
      </c>
      <c r="JJ31" s="56">
        <v>61578</v>
      </c>
      <c r="JK31" s="56">
        <v>61578</v>
      </c>
      <c r="JL31" s="56">
        <v>61559</v>
      </c>
      <c r="JM31" s="56">
        <v>61540</v>
      </c>
      <c r="JN31" s="56">
        <v>67521</v>
      </c>
      <c r="JO31" s="56">
        <v>67502</v>
      </c>
      <c r="JP31" s="56">
        <v>67408</v>
      </c>
      <c r="JQ31" s="56">
        <v>67408</v>
      </c>
      <c r="JR31" s="56">
        <v>67408</v>
      </c>
      <c r="JS31" s="56">
        <v>67389</v>
      </c>
      <c r="JT31" s="56">
        <v>67370</v>
      </c>
      <c r="JU31" s="56">
        <v>67351</v>
      </c>
      <c r="JV31" s="56">
        <v>67332</v>
      </c>
      <c r="JW31" s="56">
        <v>67238</v>
      </c>
      <c r="JX31" s="56">
        <v>67238</v>
      </c>
      <c r="JY31" s="56">
        <v>67238</v>
      </c>
      <c r="JZ31" s="56">
        <v>62719</v>
      </c>
      <c r="KA31" s="56">
        <v>62700</v>
      </c>
      <c r="KB31" s="56">
        <v>68681</v>
      </c>
      <c r="KC31" s="56">
        <v>68662</v>
      </c>
      <c r="KD31" s="56">
        <v>68568</v>
      </c>
      <c r="KE31" s="56">
        <v>68068</v>
      </c>
      <c r="KF31" s="56">
        <v>68068</v>
      </c>
      <c r="KG31" s="56">
        <v>68049</v>
      </c>
      <c r="KH31" s="56">
        <v>68030</v>
      </c>
      <c r="KI31" s="56">
        <v>68011</v>
      </c>
      <c r="KJ31" s="56">
        <v>67992</v>
      </c>
      <c r="KK31" s="56">
        <v>67898</v>
      </c>
      <c r="KL31" s="56">
        <v>67898</v>
      </c>
      <c r="KM31" s="56">
        <v>67898</v>
      </c>
      <c r="KN31" s="56">
        <v>67879</v>
      </c>
      <c r="KO31" s="56">
        <v>67860</v>
      </c>
      <c r="KP31" s="56">
        <v>73841</v>
      </c>
      <c r="KQ31" s="56">
        <v>73822</v>
      </c>
      <c r="KR31" s="56">
        <v>73728</v>
      </c>
      <c r="KS31" s="56">
        <v>73728</v>
      </c>
      <c r="KT31" s="56">
        <v>73728</v>
      </c>
      <c r="KU31" s="56">
        <v>73709</v>
      </c>
      <c r="KV31" s="56">
        <v>73690</v>
      </c>
      <c r="KW31" s="56">
        <v>73671</v>
      </c>
      <c r="KX31" s="56">
        <v>73652</v>
      </c>
      <c r="KY31" s="56">
        <v>73558</v>
      </c>
      <c r="KZ31" s="56">
        <v>73558</v>
      </c>
      <c r="LA31" s="56">
        <v>73558</v>
      </c>
      <c r="LB31" s="56">
        <v>73539</v>
      </c>
      <c r="LC31" s="56">
        <v>73520</v>
      </c>
      <c r="LD31" s="56">
        <v>75001</v>
      </c>
      <c r="LE31" s="56">
        <v>74982</v>
      </c>
      <c r="LF31" s="56">
        <v>74888</v>
      </c>
      <c r="LG31" s="56">
        <v>74888</v>
      </c>
      <c r="LH31" s="56">
        <v>74888</v>
      </c>
      <c r="LI31" s="56">
        <v>74869</v>
      </c>
      <c r="LJ31" s="56">
        <v>74850</v>
      </c>
      <c r="LK31" s="56">
        <v>74831</v>
      </c>
      <c r="LL31" s="56">
        <v>74812</v>
      </c>
      <c r="LM31" s="56">
        <v>74718</v>
      </c>
      <c r="LN31" s="56">
        <v>74718</v>
      </c>
      <c r="LO31" s="56">
        <v>74718</v>
      </c>
      <c r="LP31" s="56">
        <v>74699</v>
      </c>
      <c r="LQ31" s="56">
        <v>74680</v>
      </c>
      <c r="LR31" s="56">
        <v>80661</v>
      </c>
      <c r="LS31" s="56">
        <v>80642</v>
      </c>
      <c r="LT31" s="56">
        <v>80548</v>
      </c>
      <c r="LU31" s="56">
        <v>80548</v>
      </c>
      <c r="LV31" s="56">
        <v>80548</v>
      </c>
      <c r="LW31" s="56">
        <v>80529</v>
      </c>
      <c r="LX31" s="56">
        <v>80510</v>
      </c>
      <c r="LY31" s="56">
        <v>80491</v>
      </c>
      <c r="LZ31" s="56">
        <v>80472</v>
      </c>
      <c r="MA31" s="56">
        <v>80378</v>
      </c>
      <c r="MB31" s="56">
        <v>80378</v>
      </c>
      <c r="MC31" s="56">
        <v>80378</v>
      </c>
      <c r="MD31" s="56">
        <v>80359</v>
      </c>
      <c r="ME31" s="56">
        <v>80340</v>
      </c>
      <c r="MF31" s="56">
        <v>86321</v>
      </c>
      <c r="MG31" s="56">
        <v>86302</v>
      </c>
      <c r="MH31" s="56">
        <v>86208</v>
      </c>
      <c r="MI31" s="56">
        <v>81708</v>
      </c>
      <c r="MJ31" s="56">
        <v>81708</v>
      </c>
      <c r="MK31" s="56">
        <v>81689</v>
      </c>
      <c r="ML31" s="56">
        <v>81670</v>
      </c>
      <c r="MM31" s="56">
        <v>81651</v>
      </c>
      <c r="MN31" s="56">
        <v>81632</v>
      </c>
      <c r="MO31" s="56">
        <v>81538</v>
      </c>
      <c r="MP31" s="56">
        <v>81538</v>
      </c>
      <c r="MQ31" s="56">
        <v>81538</v>
      </c>
      <c r="MR31" s="56">
        <v>81519</v>
      </c>
      <c r="MS31" s="56">
        <v>81500</v>
      </c>
      <c r="MT31" s="56">
        <v>87481</v>
      </c>
      <c r="MU31" s="56">
        <v>87462</v>
      </c>
      <c r="MV31" s="56">
        <v>87368</v>
      </c>
      <c r="MW31" s="56">
        <v>87368</v>
      </c>
      <c r="MX31" s="56">
        <v>87368</v>
      </c>
      <c r="MY31" s="56">
        <v>87349</v>
      </c>
      <c r="MZ31" s="56">
        <v>87330</v>
      </c>
      <c r="NA31" s="56">
        <v>87311</v>
      </c>
      <c r="NB31" s="56">
        <v>87292</v>
      </c>
      <c r="NC31" s="56">
        <v>87198</v>
      </c>
      <c r="ND31" s="56">
        <v>87198</v>
      </c>
      <c r="NE31" s="56">
        <v>87198</v>
      </c>
      <c r="NF31" s="56">
        <v>87179</v>
      </c>
      <c r="NG31" s="56">
        <v>87160</v>
      </c>
      <c r="NH31" s="56">
        <v>93141</v>
      </c>
    </row>
    <row r="32" spans="1:372" x14ac:dyDescent="0.25">
      <c r="A32" s="179" t="s">
        <v>97</v>
      </c>
      <c r="B32" s="180"/>
      <c r="C32" s="180"/>
      <c r="D32" s="180"/>
      <c r="E32" s="180"/>
      <c r="F32" s="51"/>
      <c r="G32" s="57" t="s">
        <v>121</v>
      </c>
      <c r="H32" s="58" cm="1">
        <f t="array" ref="H32:NH32">oz.SumColsλ(_xlfn.ANCHORARRAY($H$34))</f>
        <v>3981</v>
      </c>
      <c r="I32" s="58">
        <v>-19</v>
      </c>
      <c r="J32" s="58">
        <v>-94</v>
      </c>
      <c r="K32" s="58">
        <v>0</v>
      </c>
      <c r="L32" s="58">
        <v>-4500</v>
      </c>
      <c r="M32" s="58">
        <v>-19</v>
      </c>
      <c r="N32" s="58">
        <v>-19</v>
      </c>
      <c r="O32" s="58">
        <v>-19</v>
      </c>
      <c r="P32" s="58">
        <v>-19</v>
      </c>
      <c r="Q32" s="58">
        <v>-594</v>
      </c>
      <c r="R32" s="58">
        <v>0</v>
      </c>
      <c r="S32" s="58">
        <v>0</v>
      </c>
      <c r="T32" s="58">
        <v>-19</v>
      </c>
      <c r="U32" s="58">
        <v>-19</v>
      </c>
      <c r="V32" s="58">
        <v>5981</v>
      </c>
      <c r="W32" s="58">
        <v>-19</v>
      </c>
      <c r="X32" s="58">
        <v>-94</v>
      </c>
      <c r="Y32" s="58">
        <v>0</v>
      </c>
      <c r="Z32" s="58">
        <v>0</v>
      </c>
      <c r="AA32" s="58">
        <v>-19</v>
      </c>
      <c r="AB32" s="58">
        <v>-19</v>
      </c>
      <c r="AC32" s="58">
        <v>-19</v>
      </c>
      <c r="AD32" s="58">
        <v>-19</v>
      </c>
      <c r="AE32" s="58">
        <v>-94</v>
      </c>
      <c r="AF32" s="58">
        <v>0</v>
      </c>
      <c r="AG32" s="58">
        <v>0</v>
      </c>
      <c r="AH32" s="58">
        <v>-19</v>
      </c>
      <c r="AI32" s="58">
        <v>-19</v>
      </c>
      <c r="AJ32" s="58">
        <v>5981</v>
      </c>
      <c r="AK32" s="58">
        <v>-19</v>
      </c>
      <c r="AL32" s="58">
        <v>-94</v>
      </c>
      <c r="AM32" s="58">
        <v>0</v>
      </c>
      <c r="AN32" s="58">
        <v>0</v>
      </c>
      <c r="AO32" s="58">
        <v>-19</v>
      </c>
      <c r="AP32" s="58">
        <v>-19</v>
      </c>
      <c r="AQ32" s="58">
        <v>-4519</v>
      </c>
      <c r="AR32" s="58">
        <v>-19</v>
      </c>
      <c r="AS32" s="58">
        <v>-94</v>
      </c>
      <c r="AT32" s="58">
        <v>0</v>
      </c>
      <c r="AU32" s="58">
        <v>0</v>
      </c>
      <c r="AV32" s="58">
        <v>-19</v>
      </c>
      <c r="AW32" s="58">
        <v>-19</v>
      </c>
      <c r="AX32" s="58">
        <v>5981</v>
      </c>
      <c r="AY32" s="58">
        <v>-19</v>
      </c>
      <c r="AZ32" s="58">
        <v>-94</v>
      </c>
      <c r="BA32" s="58">
        <v>0</v>
      </c>
      <c r="BB32" s="58">
        <v>0</v>
      </c>
      <c r="BC32" s="58">
        <v>-19</v>
      </c>
      <c r="BD32" s="58">
        <v>-19</v>
      </c>
      <c r="BE32" s="58">
        <v>-19</v>
      </c>
      <c r="BF32" s="58">
        <v>-19</v>
      </c>
      <c r="BG32" s="58">
        <v>-94</v>
      </c>
      <c r="BH32" s="58">
        <v>0</v>
      </c>
      <c r="BI32" s="58">
        <v>0</v>
      </c>
      <c r="BJ32" s="58">
        <v>-19</v>
      </c>
      <c r="BK32" s="58">
        <v>-19</v>
      </c>
      <c r="BL32" s="58">
        <v>5981</v>
      </c>
      <c r="BM32" s="58">
        <v>-19</v>
      </c>
      <c r="BN32" s="58">
        <v>-94</v>
      </c>
      <c r="BO32" s="58">
        <v>0</v>
      </c>
      <c r="BP32" s="58">
        <v>0</v>
      </c>
      <c r="BQ32" s="58">
        <v>-19</v>
      </c>
      <c r="BR32" s="58">
        <v>-19</v>
      </c>
      <c r="BS32" s="58">
        <v>-19</v>
      </c>
      <c r="BT32" s="58">
        <v>-19</v>
      </c>
      <c r="BU32" s="58">
        <v>-94</v>
      </c>
      <c r="BV32" s="58">
        <v>-4500</v>
      </c>
      <c r="BW32" s="58">
        <v>0</v>
      </c>
      <c r="BX32" s="58">
        <v>-19</v>
      </c>
      <c r="BY32" s="58">
        <v>-19</v>
      </c>
      <c r="BZ32" s="58">
        <v>5981</v>
      </c>
      <c r="CA32" s="58">
        <v>-19</v>
      </c>
      <c r="CB32" s="58">
        <v>-94</v>
      </c>
      <c r="CC32" s="58">
        <v>0</v>
      </c>
      <c r="CD32" s="58">
        <v>0</v>
      </c>
      <c r="CE32" s="58">
        <v>-19</v>
      </c>
      <c r="CF32" s="58">
        <v>-19</v>
      </c>
      <c r="CG32" s="58">
        <v>-19</v>
      </c>
      <c r="CH32" s="58">
        <v>-19</v>
      </c>
      <c r="CI32" s="58">
        <v>-94</v>
      </c>
      <c r="CJ32" s="58">
        <v>0</v>
      </c>
      <c r="CK32" s="58">
        <v>0</v>
      </c>
      <c r="CL32" s="58">
        <v>-19</v>
      </c>
      <c r="CM32" s="58">
        <v>-19</v>
      </c>
      <c r="CN32" s="58">
        <v>5981</v>
      </c>
      <c r="CO32" s="58">
        <v>-19</v>
      </c>
      <c r="CP32" s="58">
        <v>-94</v>
      </c>
      <c r="CQ32" s="58">
        <v>0</v>
      </c>
      <c r="CR32" s="58">
        <v>0</v>
      </c>
      <c r="CS32" s="58">
        <v>-19</v>
      </c>
      <c r="CT32" s="58">
        <v>-19</v>
      </c>
      <c r="CU32" s="58">
        <v>-19</v>
      </c>
      <c r="CV32" s="58">
        <v>-19</v>
      </c>
      <c r="CW32" s="58">
        <v>-94</v>
      </c>
      <c r="CX32" s="58">
        <v>0</v>
      </c>
      <c r="CY32" s="58">
        <v>0</v>
      </c>
      <c r="CZ32" s="58">
        <v>-4519</v>
      </c>
      <c r="DA32" s="58">
        <v>-19</v>
      </c>
      <c r="DB32" s="58">
        <v>5981</v>
      </c>
      <c r="DC32" s="58">
        <v>-19</v>
      </c>
      <c r="DD32" s="58">
        <v>-94</v>
      </c>
      <c r="DE32" s="58">
        <v>-500</v>
      </c>
      <c r="DF32" s="58">
        <v>0</v>
      </c>
      <c r="DG32" s="58">
        <v>-19</v>
      </c>
      <c r="DH32" s="58">
        <v>-19</v>
      </c>
      <c r="DI32" s="58">
        <v>-19</v>
      </c>
      <c r="DJ32" s="58">
        <v>-19</v>
      </c>
      <c r="DK32" s="58">
        <v>-94</v>
      </c>
      <c r="DL32" s="58">
        <v>0</v>
      </c>
      <c r="DM32" s="58">
        <v>0</v>
      </c>
      <c r="DN32" s="58">
        <v>-19</v>
      </c>
      <c r="DO32" s="58">
        <v>-19</v>
      </c>
      <c r="DP32" s="58">
        <v>5981</v>
      </c>
      <c r="DQ32" s="58">
        <v>-19</v>
      </c>
      <c r="DR32" s="58">
        <v>-94</v>
      </c>
      <c r="DS32" s="58">
        <v>0</v>
      </c>
      <c r="DT32" s="58">
        <v>0</v>
      </c>
      <c r="DU32" s="58">
        <v>-19</v>
      </c>
      <c r="DV32" s="58">
        <v>-19</v>
      </c>
      <c r="DW32" s="58">
        <v>-19</v>
      </c>
      <c r="DX32" s="58">
        <v>-19</v>
      </c>
      <c r="DY32" s="58">
        <v>-94</v>
      </c>
      <c r="DZ32" s="58">
        <v>0</v>
      </c>
      <c r="EA32" s="58">
        <v>0</v>
      </c>
      <c r="EB32" s="58">
        <v>-19</v>
      </c>
      <c r="EC32" s="58">
        <v>-19</v>
      </c>
      <c r="ED32" s="58">
        <v>5981</v>
      </c>
      <c r="EE32" s="58">
        <v>-4519</v>
      </c>
      <c r="EF32" s="58">
        <v>-94</v>
      </c>
      <c r="EG32" s="58">
        <v>0</v>
      </c>
      <c r="EH32" s="58">
        <v>0</v>
      </c>
      <c r="EI32" s="58">
        <v>-19</v>
      </c>
      <c r="EJ32" s="58">
        <v>-19</v>
      </c>
      <c r="EK32" s="58">
        <v>-19</v>
      </c>
      <c r="EL32" s="58">
        <v>-19</v>
      </c>
      <c r="EM32" s="58">
        <v>-94</v>
      </c>
      <c r="EN32" s="58">
        <v>0</v>
      </c>
      <c r="EO32" s="58">
        <v>0</v>
      </c>
      <c r="EP32" s="58">
        <v>-19</v>
      </c>
      <c r="EQ32" s="58">
        <v>-19</v>
      </c>
      <c r="ER32" s="58">
        <v>5981</v>
      </c>
      <c r="ES32" s="58">
        <v>-19</v>
      </c>
      <c r="ET32" s="58">
        <v>-94</v>
      </c>
      <c r="EU32" s="58">
        <v>0</v>
      </c>
      <c r="EV32" s="58">
        <v>0</v>
      </c>
      <c r="EW32" s="58">
        <v>-19</v>
      </c>
      <c r="EX32" s="58">
        <v>-19</v>
      </c>
      <c r="EY32" s="58">
        <v>-19</v>
      </c>
      <c r="EZ32" s="58">
        <v>-19</v>
      </c>
      <c r="FA32" s="58">
        <v>-94</v>
      </c>
      <c r="FB32" s="58">
        <v>0</v>
      </c>
      <c r="FC32" s="58">
        <v>0</v>
      </c>
      <c r="FD32" s="58">
        <v>-19</v>
      </c>
      <c r="FE32" s="58">
        <v>-19</v>
      </c>
      <c r="FF32" s="58">
        <v>5981</v>
      </c>
      <c r="FG32" s="58">
        <v>-19</v>
      </c>
      <c r="FH32" s="58">
        <v>-94</v>
      </c>
      <c r="FI32" s="58">
        <v>-4500</v>
      </c>
      <c r="FJ32" s="58">
        <v>0</v>
      </c>
      <c r="FK32" s="58">
        <v>-19</v>
      </c>
      <c r="FL32" s="58">
        <v>-19</v>
      </c>
      <c r="FM32" s="58">
        <v>-19</v>
      </c>
      <c r="FN32" s="58">
        <v>-19</v>
      </c>
      <c r="FO32" s="58">
        <v>-94</v>
      </c>
      <c r="FP32" s="58">
        <v>0</v>
      </c>
      <c r="FQ32" s="58">
        <v>0</v>
      </c>
      <c r="FR32" s="58">
        <v>-19</v>
      </c>
      <c r="FS32" s="58">
        <v>-19</v>
      </c>
      <c r="FT32" s="58">
        <v>5981</v>
      </c>
      <c r="FU32" s="58">
        <v>-19</v>
      </c>
      <c r="FV32" s="58">
        <v>-94</v>
      </c>
      <c r="FW32" s="58">
        <v>0</v>
      </c>
      <c r="FX32" s="58">
        <v>0</v>
      </c>
      <c r="FY32" s="58">
        <v>-19</v>
      </c>
      <c r="FZ32" s="58">
        <v>-19</v>
      </c>
      <c r="GA32" s="58">
        <v>-19</v>
      </c>
      <c r="GB32" s="58">
        <v>-19</v>
      </c>
      <c r="GC32" s="58">
        <v>-94</v>
      </c>
      <c r="GD32" s="58">
        <v>0</v>
      </c>
      <c r="GE32" s="58">
        <v>0</v>
      </c>
      <c r="GF32" s="58">
        <v>-19</v>
      </c>
      <c r="GG32" s="58">
        <v>-19</v>
      </c>
      <c r="GH32" s="58">
        <v>5981</v>
      </c>
      <c r="GI32" s="58">
        <v>-19</v>
      </c>
      <c r="GJ32" s="58">
        <v>-2094</v>
      </c>
      <c r="GK32" s="58">
        <v>0</v>
      </c>
      <c r="GL32" s="58">
        <v>0</v>
      </c>
      <c r="GM32" s="58">
        <v>-19</v>
      </c>
      <c r="GN32" s="58">
        <v>-4519</v>
      </c>
      <c r="GO32" s="58">
        <v>-19</v>
      </c>
      <c r="GP32" s="58">
        <v>-19</v>
      </c>
      <c r="GQ32" s="58">
        <v>-94</v>
      </c>
      <c r="GR32" s="58">
        <v>0</v>
      </c>
      <c r="GS32" s="58">
        <v>-500</v>
      </c>
      <c r="GT32" s="58">
        <v>-19</v>
      </c>
      <c r="GU32" s="58">
        <v>-19</v>
      </c>
      <c r="GV32" s="58">
        <v>5981</v>
      </c>
      <c r="GW32" s="58">
        <v>-19</v>
      </c>
      <c r="GX32" s="58">
        <v>-94</v>
      </c>
      <c r="GY32" s="58">
        <v>0</v>
      </c>
      <c r="GZ32" s="58">
        <v>0</v>
      </c>
      <c r="HA32" s="58">
        <v>-19</v>
      </c>
      <c r="HB32" s="58">
        <v>-19</v>
      </c>
      <c r="HC32" s="58">
        <v>-19</v>
      </c>
      <c r="HD32" s="58">
        <v>-19</v>
      </c>
      <c r="HE32" s="58">
        <v>-94</v>
      </c>
      <c r="HF32" s="58">
        <v>0</v>
      </c>
      <c r="HG32" s="58">
        <v>0</v>
      </c>
      <c r="HH32" s="58">
        <v>-19</v>
      </c>
      <c r="HI32" s="58">
        <v>-19</v>
      </c>
      <c r="HJ32" s="58">
        <v>5981</v>
      </c>
      <c r="HK32" s="58">
        <v>-19</v>
      </c>
      <c r="HL32" s="58">
        <v>-94</v>
      </c>
      <c r="HM32" s="58">
        <v>0</v>
      </c>
      <c r="HN32" s="58">
        <v>0</v>
      </c>
      <c r="HO32" s="58">
        <v>-19</v>
      </c>
      <c r="HP32" s="58">
        <v>-19</v>
      </c>
      <c r="HQ32" s="58">
        <v>-19</v>
      </c>
      <c r="HR32" s="58">
        <v>-19</v>
      </c>
      <c r="HS32" s="58">
        <v>-4594</v>
      </c>
      <c r="HT32" s="58">
        <v>0</v>
      </c>
      <c r="HU32" s="58">
        <v>0</v>
      </c>
      <c r="HV32" s="58">
        <v>-19</v>
      </c>
      <c r="HW32" s="58">
        <v>-19</v>
      </c>
      <c r="HX32" s="58">
        <v>5981</v>
      </c>
      <c r="HY32" s="58">
        <v>-19</v>
      </c>
      <c r="HZ32" s="58">
        <v>-94</v>
      </c>
      <c r="IA32" s="58">
        <v>0</v>
      </c>
      <c r="IB32" s="58">
        <v>0</v>
      </c>
      <c r="IC32" s="58">
        <v>-19</v>
      </c>
      <c r="ID32" s="58">
        <v>-19</v>
      </c>
      <c r="IE32" s="58">
        <v>-19</v>
      </c>
      <c r="IF32" s="58">
        <v>-19</v>
      </c>
      <c r="IG32" s="58">
        <v>-94</v>
      </c>
      <c r="IH32" s="58">
        <v>0</v>
      </c>
      <c r="II32" s="58">
        <v>0</v>
      </c>
      <c r="IJ32" s="58">
        <v>-19</v>
      </c>
      <c r="IK32" s="58">
        <v>-19</v>
      </c>
      <c r="IL32" s="58">
        <v>5981</v>
      </c>
      <c r="IM32" s="58">
        <v>-19</v>
      </c>
      <c r="IN32" s="58">
        <v>-94</v>
      </c>
      <c r="IO32" s="58">
        <v>0</v>
      </c>
      <c r="IP32" s="58">
        <v>0</v>
      </c>
      <c r="IQ32" s="58">
        <v>-19</v>
      </c>
      <c r="IR32" s="58">
        <v>-19</v>
      </c>
      <c r="IS32" s="58">
        <v>-19</v>
      </c>
      <c r="IT32" s="58">
        <v>-19</v>
      </c>
      <c r="IU32" s="58">
        <v>-4594</v>
      </c>
      <c r="IV32" s="58">
        <v>0</v>
      </c>
      <c r="IW32" s="58">
        <v>0</v>
      </c>
      <c r="IX32" s="58">
        <v>-19</v>
      </c>
      <c r="IY32" s="58">
        <v>-19</v>
      </c>
      <c r="IZ32" s="58">
        <v>5981</v>
      </c>
      <c r="JA32" s="58">
        <v>-19</v>
      </c>
      <c r="JB32" s="58">
        <v>-94</v>
      </c>
      <c r="JC32" s="58">
        <v>0</v>
      </c>
      <c r="JD32" s="58">
        <v>0</v>
      </c>
      <c r="JE32" s="58">
        <v>-19</v>
      </c>
      <c r="JF32" s="58">
        <v>-19</v>
      </c>
      <c r="JG32" s="58">
        <v>-19</v>
      </c>
      <c r="JH32" s="58">
        <v>-19</v>
      </c>
      <c r="JI32" s="58">
        <v>-94</v>
      </c>
      <c r="JJ32" s="58">
        <v>0</v>
      </c>
      <c r="JK32" s="58">
        <v>0</v>
      </c>
      <c r="JL32" s="58">
        <v>-19</v>
      </c>
      <c r="JM32" s="58">
        <v>-19</v>
      </c>
      <c r="JN32" s="58">
        <v>5981</v>
      </c>
      <c r="JO32" s="58">
        <v>-19</v>
      </c>
      <c r="JP32" s="58">
        <v>-94</v>
      </c>
      <c r="JQ32" s="58">
        <v>0</v>
      </c>
      <c r="JR32" s="58">
        <v>0</v>
      </c>
      <c r="JS32" s="58">
        <v>-19</v>
      </c>
      <c r="JT32" s="58">
        <v>-19</v>
      </c>
      <c r="JU32" s="58">
        <v>-19</v>
      </c>
      <c r="JV32" s="58">
        <v>-19</v>
      </c>
      <c r="JW32" s="58">
        <v>-94</v>
      </c>
      <c r="JX32" s="58">
        <v>0</v>
      </c>
      <c r="JY32" s="58">
        <v>0</v>
      </c>
      <c r="JZ32" s="58">
        <v>-4519</v>
      </c>
      <c r="KA32" s="58">
        <v>-19</v>
      </c>
      <c r="KB32" s="58">
        <v>5981</v>
      </c>
      <c r="KC32" s="58">
        <v>-19</v>
      </c>
      <c r="KD32" s="58">
        <v>-94</v>
      </c>
      <c r="KE32" s="58">
        <v>-500</v>
      </c>
      <c r="KF32" s="58">
        <v>0</v>
      </c>
      <c r="KG32" s="58">
        <v>-19</v>
      </c>
      <c r="KH32" s="58">
        <v>-19</v>
      </c>
      <c r="KI32" s="58">
        <v>-19</v>
      </c>
      <c r="KJ32" s="58">
        <v>-19</v>
      </c>
      <c r="KK32" s="58">
        <v>-94</v>
      </c>
      <c r="KL32" s="58">
        <v>0</v>
      </c>
      <c r="KM32" s="58">
        <v>0</v>
      </c>
      <c r="KN32" s="58">
        <v>-19</v>
      </c>
      <c r="KO32" s="58">
        <v>-19</v>
      </c>
      <c r="KP32" s="58">
        <v>5981</v>
      </c>
      <c r="KQ32" s="58">
        <v>-19</v>
      </c>
      <c r="KR32" s="58">
        <v>-94</v>
      </c>
      <c r="KS32" s="58">
        <v>0</v>
      </c>
      <c r="KT32" s="58">
        <v>0</v>
      </c>
      <c r="KU32" s="58">
        <v>-19</v>
      </c>
      <c r="KV32" s="58">
        <v>-19</v>
      </c>
      <c r="KW32" s="58">
        <v>-19</v>
      </c>
      <c r="KX32" s="58">
        <v>-19</v>
      </c>
      <c r="KY32" s="58">
        <v>-94</v>
      </c>
      <c r="KZ32" s="58">
        <v>0</v>
      </c>
      <c r="LA32" s="58">
        <v>0</v>
      </c>
      <c r="LB32" s="58">
        <v>-19</v>
      </c>
      <c r="LC32" s="58">
        <v>-19</v>
      </c>
      <c r="LD32" s="58">
        <v>1481</v>
      </c>
      <c r="LE32" s="58">
        <v>-19</v>
      </c>
      <c r="LF32" s="58">
        <v>-94</v>
      </c>
      <c r="LG32" s="58">
        <v>0</v>
      </c>
      <c r="LH32" s="58">
        <v>0</v>
      </c>
      <c r="LI32" s="58">
        <v>-19</v>
      </c>
      <c r="LJ32" s="58">
        <v>-19</v>
      </c>
      <c r="LK32" s="58">
        <v>-19</v>
      </c>
      <c r="LL32" s="58">
        <v>-19</v>
      </c>
      <c r="LM32" s="58">
        <v>-94</v>
      </c>
      <c r="LN32" s="58">
        <v>0</v>
      </c>
      <c r="LO32" s="58">
        <v>0</v>
      </c>
      <c r="LP32" s="58">
        <v>-19</v>
      </c>
      <c r="LQ32" s="58">
        <v>-19</v>
      </c>
      <c r="LR32" s="58">
        <v>5981</v>
      </c>
      <c r="LS32" s="58">
        <v>-19</v>
      </c>
      <c r="LT32" s="58">
        <v>-94</v>
      </c>
      <c r="LU32" s="58">
        <v>0</v>
      </c>
      <c r="LV32" s="58">
        <v>0</v>
      </c>
      <c r="LW32" s="58">
        <v>-19</v>
      </c>
      <c r="LX32" s="58">
        <v>-19</v>
      </c>
      <c r="LY32" s="58">
        <v>-19</v>
      </c>
      <c r="LZ32" s="58">
        <v>-19</v>
      </c>
      <c r="MA32" s="58">
        <v>-94</v>
      </c>
      <c r="MB32" s="58">
        <v>0</v>
      </c>
      <c r="MC32" s="58">
        <v>0</v>
      </c>
      <c r="MD32" s="58">
        <v>-19</v>
      </c>
      <c r="ME32" s="58">
        <v>-19</v>
      </c>
      <c r="MF32" s="58">
        <v>5981</v>
      </c>
      <c r="MG32" s="58">
        <v>-19</v>
      </c>
      <c r="MH32" s="58">
        <v>-94</v>
      </c>
      <c r="MI32" s="58">
        <v>-4500</v>
      </c>
      <c r="MJ32" s="58">
        <v>0</v>
      </c>
      <c r="MK32" s="58">
        <v>-19</v>
      </c>
      <c r="ML32" s="58">
        <v>-19</v>
      </c>
      <c r="MM32" s="58">
        <v>-19</v>
      </c>
      <c r="MN32" s="58">
        <v>-19</v>
      </c>
      <c r="MO32" s="58">
        <v>-94</v>
      </c>
      <c r="MP32" s="58">
        <v>0</v>
      </c>
      <c r="MQ32" s="58">
        <v>0</v>
      </c>
      <c r="MR32" s="58">
        <v>-19</v>
      </c>
      <c r="MS32" s="58">
        <v>-19</v>
      </c>
      <c r="MT32" s="58">
        <v>5981</v>
      </c>
      <c r="MU32" s="58">
        <v>-19</v>
      </c>
      <c r="MV32" s="58">
        <v>-94</v>
      </c>
      <c r="MW32" s="58">
        <v>0</v>
      </c>
      <c r="MX32" s="58">
        <v>0</v>
      </c>
      <c r="MY32" s="58">
        <v>-19</v>
      </c>
      <c r="MZ32" s="58">
        <v>-19</v>
      </c>
      <c r="NA32" s="58">
        <v>-19</v>
      </c>
      <c r="NB32" s="58">
        <v>-19</v>
      </c>
      <c r="NC32" s="58">
        <v>-94</v>
      </c>
      <c r="ND32" s="58">
        <v>0</v>
      </c>
      <c r="NE32" s="58">
        <v>0</v>
      </c>
      <c r="NF32" s="58">
        <v>-19</v>
      </c>
      <c r="NG32" s="58">
        <v>-19</v>
      </c>
      <c r="NH32" s="58">
        <v>5981</v>
      </c>
    </row>
    <row r="33" spans="1:372" x14ac:dyDescent="0.25">
      <c r="A33" s="44" t="s">
        <v>7</v>
      </c>
      <c r="B33" s="45" t="s">
        <v>125</v>
      </c>
      <c r="C33" s="45" t="s">
        <v>98</v>
      </c>
      <c r="D33" s="46" t="s">
        <v>99</v>
      </c>
      <c r="E33" s="44" t="s">
        <v>100</v>
      </c>
      <c r="G33" s="54" t="s">
        <v>123</v>
      </c>
      <c r="H33" s="55" cm="1">
        <f t="array" ref="H33:NH33">oz.Timelineλ("1/7/2026", 365, "D")</f>
        <v>46204</v>
      </c>
      <c r="I33" s="55">
        <v>46205</v>
      </c>
      <c r="J33" s="55">
        <v>46206</v>
      </c>
      <c r="K33" s="55">
        <v>46207</v>
      </c>
      <c r="L33" s="55">
        <v>46208</v>
      </c>
      <c r="M33" s="55">
        <v>46209</v>
      </c>
      <c r="N33" s="55">
        <v>46210</v>
      </c>
      <c r="O33" s="55">
        <v>46211</v>
      </c>
      <c r="P33" s="55">
        <v>46212</v>
      </c>
      <c r="Q33" s="55">
        <v>46213</v>
      </c>
      <c r="R33" s="55">
        <v>46214</v>
      </c>
      <c r="S33" s="55">
        <v>46215</v>
      </c>
      <c r="T33" s="55">
        <v>46216</v>
      </c>
      <c r="U33" s="55">
        <v>46217</v>
      </c>
      <c r="V33" s="55">
        <v>46218</v>
      </c>
      <c r="W33" s="55">
        <v>46219</v>
      </c>
      <c r="X33" s="55">
        <v>46220</v>
      </c>
      <c r="Y33" s="55">
        <v>46221</v>
      </c>
      <c r="Z33" s="55">
        <v>46222</v>
      </c>
      <c r="AA33" s="55">
        <v>46223</v>
      </c>
      <c r="AB33" s="55">
        <v>46224</v>
      </c>
      <c r="AC33" s="55">
        <v>46225</v>
      </c>
      <c r="AD33" s="55">
        <v>46226</v>
      </c>
      <c r="AE33" s="55">
        <v>46227</v>
      </c>
      <c r="AF33" s="55">
        <v>46228</v>
      </c>
      <c r="AG33" s="55">
        <v>46229</v>
      </c>
      <c r="AH33" s="55">
        <v>46230</v>
      </c>
      <c r="AI33" s="55">
        <v>46231</v>
      </c>
      <c r="AJ33" s="55">
        <v>46232</v>
      </c>
      <c r="AK33" s="55">
        <v>46233</v>
      </c>
      <c r="AL33" s="55">
        <v>46234</v>
      </c>
      <c r="AM33" s="55">
        <v>46235</v>
      </c>
      <c r="AN33" s="55">
        <v>46236</v>
      </c>
      <c r="AO33" s="55">
        <v>46237</v>
      </c>
      <c r="AP33" s="55">
        <v>46238</v>
      </c>
      <c r="AQ33" s="55">
        <v>46239</v>
      </c>
      <c r="AR33" s="55">
        <v>46240</v>
      </c>
      <c r="AS33" s="55">
        <v>46241</v>
      </c>
      <c r="AT33" s="55">
        <v>46242</v>
      </c>
      <c r="AU33" s="55">
        <v>46243</v>
      </c>
      <c r="AV33" s="55">
        <v>46244</v>
      </c>
      <c r="AW33" s="55">
        <v>46245</v>
      </c>
      <c r="AX33" s="55">
        <v>46246</v>
      </c>
      <c r="AY33" s="55">
        <v>46247</v>
      </c>
      <c r="AZ33" s="55">
        <v>46248</v>
      </c>
      <c r="BA33" s="55">
        <v>46249</v>
      </c>
      <c r="BB33" s="55">
        <v>46250</v>
      </c>
      <c r="BC33" s="55">
        <v>46251</v>
      </c>
      <c r="BD33" s="55">
        <v>46252</v>
      </c>
      <c r="BE33" s="55">
        <v>46253</v>
      </c>
      <c r="BF33" s="55">
        <v>46254</v>
      </c>
      <c r="BG33" s="55">
        <v>46255</v>
      </c>
      <c r="BH33" s="55">
        <v>46256</v>
      </c>
      <c r="BI33" s="55">
        <v>46257</v>
      </c>
      <c r="BJ33" s="55">
        <v>46258</v>
      </c>
      <c r="BK33" s="55">
        <v>46259</v>
      </c>
      <c r="BL33" s="55">
        <v>46260</v>
      </c>
      <c r="BM33" s="55">
        <v>46261</v>
      </c>
      <c r="BN33" s="55">
        <v>46262</v>
      </c>
      <c r="BO33" s="55">
        <v>46263</v>
      </c>
      <c r="BP33" s="55">
        <v>46264</v>
      </c>
      <c r="BQ33" s="55">
        <v>46265</v>
      </c>
      <c r="BR33" s="55">
        <v>46266</v>
      </c>
      <c r="BS33" s="55">
        <v>46267</v>
      </c>
      <c r="BT33" s="55">
        <v>46268</v>
      </c>
      <c r="BU33" s="55">
        <v>46269</v>
      </c>
      <c r="BV33" s="55">
        <v>46270</v>
      </c>
      <c r="BW33" s="55">
        <v>46271</v>
      </c>
      <c r="BX33" s="55">
        <v>46272</v>
      </c>
      <c r="BY33" s="55">
        <v>46273</v>
      </c>
      <c r="BZ33" s="55">
        <v>46274</v>
      </c>
      <c r="CA33" s="55">
        <v>46275</v>
      </c>
      <c r="CB33" s="55">
        <v>46276</v>
      </c>
      <c r="CC33" s="55">
        <v>46277</v>
      </c>
      <c r="CD33" s="55">
        <v>46278</v>
      </c>
      <c r="CE33" s="55">
        <v>46279</v>
      </c>
      <c r="CF33" s="55">
        <v>46280</v>
      </c>
      <c r="CG33" s="55">
        <v>46281</v>
      </c>
      <c r="CH33" s="55">
        <v>46282</v>
      </c>
      <c r="CI33" s="55">
        <v>46283</v>
      </c>
      <c r="CJ33" s="55">
        <v>46284</v>
      </c>
      <c r="CK33" s="55">
        <v>46285</v>
      </c>
      <c r="CL33" s="55">
        <v>46286</v>
      </c>
      <c r="CM33" s="55">
        <v>46287</v>
      </c>
      <c r="CN33" s="55">
        <v>46288</v>
      </c>
      <c r="CO33" s="55">
        <v>46289</v>
      </c>
      <c r="CP33" s="55">
        <v>46290</v>
      </c>
      <c r="CQ33" s="55">
        <v>46291</v>
      </c>
      <c r="CR33" s="55">
        <v>46292</v>
      </c>
      <c r="CS33" s="55">
        <v>46293</v>
      </c>
      <c r="CT33" s="55">
        <v>46294</v>
      </c>
      <c r="CU33" s="55">
        <v>46295</v>
      </c>
      <c r="CV33" s="55">
        <v>46296</v>
      </c>
      <c r="CW33" s="55">
        <v>46297</v>
      </c>
      <c r="CX33" s="55">
        <v>46298</v>
      </c>
      <c r="CY33" s="55">
        <v>46299</v>
      </c>
      <c r="CZ33" s="55">
        <v>46300</v>
      </c>
      <c r="DA33" s="55">
        <v>46301</v>
      </c>
      <c r="DB33" s="55">
        <v>46302</v>
      </c>
      <c r="DC33" s="55">
        <v>46303</v>
      </c>
      <c r="DD33" s="55">
        <v>46304</v>
      </c>
      <c r="DE33" s="55">
        <v>46305</v>
      </c>
      <c r="DF33" s="55">
        <v>46306</v>
      </c>
      <c r="DG33" s="55">
        <v>46307</v>
      </c>
      <c r="DH33" s="55">
        <v>46308</v>
      </c>
      <c r="DI33" s="55">
        <v>46309</v>
      </c>
      <c r="DJ33" s="55">
        <v>46310</v>
      </c>
      <c r="DK33" s="55">
        <v>46311</v>
      </c>
      <c r="DL33" s="55">
        <v>46312</v>
      </c>
      <c r="DM33" s="55">
        <v>46313</v>
      </c>
      <c r="DN33" s="55">
        <v>46314</v>
      </c>
      <c r="DO33" s="55">
        <v>46315</v>
      </c>
      <c r="DP33" s="55">
        <v>46316</v>
      </c>
      <c r="DQ33" s="55">
        <v>46317</v>
      </c>
      <c r="DR33" s="55">
        <v>46318</v>
      </c>
      <c r="DS33" s="55">
        <v>46319</v>
      </c>
      <c r="DT33" s="55">
        <v>46320</v>
      </c>
      <c r="DU33" s="55">
        <v>46321</v>
      </c>
      <c r="DV33" s="55">
        <v>46322</v>
      </c>
      <c r="DW33" s="55">
        <v>46323</v>
      </c>
      <c r="DX33" s="55">
        <v>46324</v>
      </c>
      <c r="DY33" s="55">
        <v>46325</v>
      </c>
      <c r="DZ33" s="55">
        <v>46326</v>
      </c>
      <c r="EA33" s="55">
        <v>46327</v>
      </c>
      <c r="EB33" s="55">
        <v>46328</v>
      </c>
      <c r="EC33" s="55">
        <v>46329</v>
      </c>
      <c r="ED33" s="55">
        <v>46330</v>
      </c>
      <c r="EE33" s="55">
        <v>46331</v>
      </c>
      <c r="EF33" s="55">
        <v>46332</v>
      </c>
      <c r="EG33" s="55">
        <v>46333</v>
      </c>
      <c r="EH33" s="55">
        <v>46334</v>
      </c>
      <c r="EI33" s="55">
        <v>46335</v>
      </c>
      <c r="EJ33" s="55">
        <v>46336</v>
      </c>
      <c r="EK33" s="55">
        <v>46337</v>
      </c>
      <c r="EL33" s="55">
        <v>46338</v>
      </c>
      <c r="EM33" s="55">
        <v>46339</v>
      </c>
      <c r="EN33" s="55">
        <v>46340</v>
      </c>
      <c r="EO33" s="55">
        <v>46341</v>
      </c>
      <c r="EP33" s="55">
        <v>46342</v>
      </c>
      <c r="EQ33" s="55">
        <v>46343</v>
      </c>
      <c r="ER33" s="55">
        <v>46344</v>
      </c>
      <c r="ES33" s="55">
        <v>46345</v>
      </c>
      <c r="ET33" s="55">
        <v>46346</v>
      </c>
      <c r="EU33" s="55">
        <v>46347</v>
      </c>
      <c r="EV33" s="55">
        <v>46348</v>
      </c>
      <c r="EW33" s="55">
        <v>46349</v>
      </c>
      <c r="EX33" s="55">
        <v>46350</v>
      </c>
      <c r="EY33" s="55">
        <v>46351</v>
      </c>
      <c r="EZ33" s="55">
        <v>46352</v>
      </c>
      <c r="FA33" s="55">
        <v>46353</v>
      </c>
      <c r="FB33" s="55">
        <v>46354</v>
      </c>
      <c r="FC33" s="55">
        <v>46355</v>
      </c>
      <c r="FD33" s="55">
        <v>46356</v>
      </c>
      <c r="FE33" s="55">
        <v>46357</v>
      </c>
      <c r="FF33" s="55">
        <v>46358</v>
      </c>
      <c r="FG33" s="55">
        <v>46359</v>
      </c>
      <c r="FH33" s="55">
        <v>46360</v>
      </c>
      <c r="FI33" s="55">
        <v>46361</v>
      </c>
      <c r="FJ33" s="55">
        <v>46362</v>
      </c>
      <c r="FK33" s="55">
        <v>46363</v>
      </c>
      <c r="FL33" s="55">
        <v>46364</v>
      </c>
      <c r="FM33" s="55">
        <v>46365</v>
      </c>
      <c r="FN33" s="55">
        <v>46366</v>
      </c>
      <c r="FO33" s="55">
        <v>46367</v>
      </c>
      <c r="FP33" s="55">
        <v>46368</v>
      </c>
      <c r="FQ33" s="55">
        <v>46369</v>
      </c>
      <c r="FR33" s="55">
        <v>46370</v>
      </c>
      <c r="FS33" s="55">
        <v>46371</v>
      </c>
      <c r="FT33" s="55">
        <v>46372</v>
      </c>
      <c r="FU33" s="55">
        <v>46373</v>
      </c>
      <c r="FV33" s="55">
        <v>46374</v>
      </c>
      <c r="FW33" s="55">
        <v>46375</v>
      </c>
      <c r="FX33" s="55">
        <v>46376</v>
      </c>
      <c r="FY33" s="55">
        <v>46377</v>
      </c>
      <c r="FZ33" s="55">
        <v>46378</v>
      </c>
      <c r="GA33" s="55">
        <v>46379</v>
      </c>
      <c r="GB33" s="55">
        <v>46380</v>
      </c>
      <c r="GC33" s="55">
        <v>46381</v>
      </c>
      <c r="GD33" s="55">
        <v>46382</v>
      </c>
      <c r="GE33" s="55">
        <v>46383</v>
      </c>
      <c r="GF33" s="55">
        <v>46384</v>
      </c>
      <c r="GG33" s="55">
        <v>46385</v>
      </c>
      <c r="GH33" s="55">
        <v>46386</v>
      </c>
      <c r="GI33" s="55">
        <v>46387</v>
      </c>
      <c r="GJ33" s="55">
        <v>46388</v>
      </c>
      <c r="GK33" s="55">
        <v>46389</v>
      </c>
      <c r="GL33" s="55">
        <v>46390</v>
      </c>
      <c r="GM33" s="55">
        <v>46391</v>
      </c>
      <c r="GN33" s="55">
        <v>46392</v>
      </c>
      <c r="GO33" s="55">
        <v>46393</v>
      </c>
      <c r="GP33" s="55">
        <v>46394</v>
      </c>
      <c r="GQ33" s="55">
        <v>46395</v>
      </c>
      <c r="GR33" s="55">
        <v>46396</v>
      </c>
      <c r="GS33" s="55">
        <v>46397</v>
      </c>
      <c r="GT33" s="55">
        <v>46398</v>
      </c>
      <c r="GU33" s="55">
        <v>46399</v>
      </c>
      <c r="GV33" s="55">
        <v>46400</v>
      </c>
      <c r="GW33" s="55">
        <v>46401</v>
      </c>
      <c r="GX33" s="55">
        <v>46402</v>
      </c>
      <c r="GY33" s="55">
        <v>46403</v>
      </c>
      <c r="GZ33" s="55">
        <v>46404</v>
      </c>
      <c r="HA33" s="55">
        <v>46405</v>
      </c>
      <c r="HB33" s="55">
        <v>46406</v>
      </c>
      <c r="HC33" s="55">
        <v>46407</v>
      </c>
      <c r="HD33" s="55">
        <v>46408</v>
      </c>
      <c r="HE33" s="55">
        <v>46409</v>
      </c>
      <c r="HF33" s="55">
        <v>46410</v>
      </c>
      <c r="HG33" s="55">
        <v>46411</v>
      </c>
      <c r="HH33" s="55">
        <v>46412</v>
      </c>
      <c r="HI33" s="55">
        <v>46413</v>
      </c>
      <c r="HJ33" s="55">
        <v>46414</v>
      </c>
      <c r="HK33" s="55">
        <v>46415</v>
      </c>
      <c r="HL33" s="55">
        <v>46416</v>
      </c>
      <c r="HM33" s="55">
        <v>46417</v>
      </c>
      <c r="HN33" s="55">
        <v>46418</v>
      </c>
      <c r="HO33" s="55">
        <v>46419</v>
      </c>
      <c r="HP33" s="55">
        <v>46420</v>
      </c>
      <c r="HQ33" s="55">
        <v>46421</v>
      </c>
      <c r="HR33" s="55">
        <v>46422</v>
      </c>
      <c r="HS33" s="55">
        <v>46423</v>
      </c>
      <c r="HT33" s="55">
        <v>46424</v>
      </c>
      <c r="HU33" s="55">
        <v>46425</v>
      </c>
      <c r="HV33" s="55">
        <v>46426</v>
      </c>
      <c r="HW33" s="55">
        <v>46427</v>
      </c>
      <c r="HX33" s="55">
        <v>46428</v>
      </c>
      <c r="HY33" s="55">
        <v>46429</v>
      </c>
      <c r="HZ33" s="55">
        <v>46430</v>
      </c>
      <c r="IA33" s="55">
        <v>46431</v>
      </c>
      <c r="IB33" s="55">
        <v>46432</v>
      </c>
      <c r="IC33" s="55">
        <v>46433</v>
      </c>
      <c r="ID33" s="55">
        <v>46434</v>
      </c>
      <c r="IE33" s="55">
        <v>46435</v>
      </c>
      <c r="IF33" s="55">
        <v>46436</v>
      </c>
      <c r="IG33" s="55">
        <v>46437</v>
      </c>
      <c r="IH33" s="55">
        <v>46438</v>
      </c>
      <c r="II33" s="55">
        <v>46439</v>
      </c>
      <c r="IJ33" s="55">
        <v>46440</v>
      </c>
      <c r="IK33" s="55">
        <v>46441</v>
      </c>
      <c r="IL33" s="55">
        <v>46442</v>
      </c>
      <c r="IM33" s="55">
        <v>46443</v>
      </c>
      <c r="IN33" s="55">
        <v>46444</v>
      </c>
      <c r="IO33" s="55">
        <v>46445</v>
      </c>
      <c r="IP33" s="55">
        <v>46446</v>
      </c>
      <c r="IQ33" s="55">
        <v>46447</v>
      </c>
      <c r="IR33" s="55">
        <v>46448</v>
      </c>
      <c r="IS33" s="55">
        <v>46449</v>
      </c>
      <c r="IT33" s="55">
        <v>46450</v>
      </c>
      <c r="IU33" s="55">
        <v>46451</v>
      </c>
      <c r="IV33" s="55">
        <v>46452</v>
      </c>
      <c r="IW33" s="55">
        <v>46453</v>
      </c>
      <c r="IX33" s="55">
        <v>46454</v>
      </c>
      <c r="IY33" s="55">
        <v>46455</v>
      </c>
      <c r="IZ33" s="55">
        <v>46456</v>
      </c>
      <c r="JA33" s="55">
        <v>46457</v>
      </c>
      <c r="JB33" s="55">
        <v>46458</v>
      </c>
      <c r="JC33" s="55">
        <v>46459</v>
      </c>
      <c r="JD33" s="55">
        <v>46460</v>
      </c>
      <c r="JE33" s="55">
        <v>46461</v>
      </c>
      <c r="JF33" s="55">
        <v>46462</v>
      </c>
      <c r="JG33" s="55">
        <v>46463</v>
      </c>
      <c r="JH33" s="55">
        <v>46464</v>
      </c>
      <c r="JI33" s="55">
        <v>46465</v>
      </c>
      <c r="JJ33" s="55">
        <v>46466</v>
      </c>
      <c r="JK33" s="55">
        <v>46467</v>
      </c>
      <c r="JL33" s="55">
        <v>46468</v>
      </c>
      <c r="JM33" s="55">
        <v>46469</v>
      </c>
      <c r="JN33" s="55">
        <v>46470</v>
      </c>
      <c r="JO33" s="55">
        <v>46471</v>
      </c>
      <c r="JP33" s="55">
        <v>46472</v>
      </c>
      <c r="JQ33" s="55">
        <v>46473</v>
      </c>
      <c r="JR33" s="55">
        <v>46474</v>
      </c>
      <c r="JS33" s="55">
        <v>46475</v>
      </c>
      <c r="JT33" s="55">
        <v>46476</v>
      </c>
      <c r="JU33" s="55">
        <v>46477</v>
      </c>
      <c r="JV33" s="55">
        <v>46478</v>
      </c>
      <c r="JW33" s="55">
        <v>46479</v>
      </c>
      <c r="JX33" s="55">
        <v>46480</v>
      </c>
      <c r="JY33" s="55">
        <v>46481</v>
      </c>
      <c r="JZ33" s="55">
        <v>46482</v>
      </c>
      <c r="KA33" s="55">
        <v>46483</v>
      </c>
      <c r="KB33" s="55">
        <v>46484</v>
      </c>
      <c r="KC33" s="55">
        <v>46485</v>
      </c>
      <c r="KD33" s="55">
        <v>46486</v>
      </c>
      <c r="KE33" s="55">
        <v>46487</v>
      </c>
      <c r="KF33" s="55">
        <v>46488</v>
      </c>
      <c r="KG33" s="55">
        <v>46489</v>
      </c>
      <c r="KH33" s="55">
        <v>46490</v>
      </c>
      <c r="KI33" s="55">
        <v>46491</v>
      </c>
      <c r="KJ33" s="55">
        <v>46492</v>
      </c>
      <c r="KK33" s="55">
        <v>46493</v>
      </c>
      <c r="KL33" s="55">
        <v>46494</v>
      </c>
      <c r="KM33" s="55">
        <v>46495</v>
      </c>
      <c r="KN33" s="55">
        <v>46496</v>
      </c>
      <c r="KO33" s="55">
        <v>46497</v>
      </c>
      <c r="KP33" s="55">
        <v>46498</v>
      </c>
      <c r="KQ33" s="55">
        <v>46499</v>
      </c>
      <c r="KR33" s="55">
        <v>46500</v>
      </c>
      <c r="KS33" s="55">
        <v>46501</v>
      </c>
      <c r="KT33" s="55">
        <v>46502</v>
      </c>
      <c r="KU33" s="55">
        <v>46503</v>
      </c>
      <c r="KV33" s="55">
        <v>46504</v>
      </c>
      <c r="KW33" s="55">
        <v>46505</v>
      </c>
      <c r="KX33" s="55">
        <v>46506</v>
      </c>
      <c r="KY33" s="55">
        <v>46507</v>
      </c>
      <c r="KZ33" s="55">
        <v>46508</v>
      </c>
      <c r="LA33" s="55">
        <v>46509</v>
      </c>
      <c r="LB33" s="55">
        <v>46510</v>
      </c>
      <c r="LC33" s="55">
        <v>46511</v>
      </c>
      <c r="LD33" s="55">
        <v>46512</v>
      </c>
      <c r="LE33" s="55">
        <v>46513</v>
      </c>
      <c r="LF33" s="55">
        <v>46514</v>
      </c>
      <c r="LG33" s="55">
        <v>46515</v>
      </c>
      <c r="LH33" s="55">
        <v>46516</v>
      </c>
      <c r="LI33" s="55">
        <v>46517</v>
      </c>
      <c r="LJ33" s="55">
        <v>46518</v>
      </c>
      <c r="LK33" s="55">
        <v>46519</v>
      </c>
      <c r="LL33" s="55">
        <v>46520</v>
      </c>
      <c r="LM33" s="55">
        <v>46521</v>
      </c>
      <c r="LN33" s="55">
        <v>46522</v>
      </c>
      <c r="LO33" s="55">
        <v>46523</v>
      </c>
      <c r="LP33" s="55">
        <v>46524</v>
      </c>
      <c r="LQ33" s="55">
        <v>46525</v>
      </c>
      <c r="LR33" s="55">
        <v>46526</v>
      </c>
      <c r="LS33" s="55">
        <v>46527</v>
      </c>
      <c r="LT33" s="55">
        <v>46528</v>
      </c>
      <c r="LU33" s="55">
        <v>46529</v>
      </c>
      <c r="LV33" s="55">
        <v>46530</v>
      </c>
      <c r="LW33" s="55">
        <v>46531</v>
      </c>
      <c r="LX33" s="55">
        <v>46532</v>
      </c>
      <c r="LY33" s="55">
        <v>46533</v>
      </c>
      <c r="LZ33" s="55">
        <v>46534</v>
      </c>
      <c r="MA33" s="55">
        <v>46535</v>
      </c>
      <c r="MB33" s="55">
        <v>46536</v>
      </c>
      <c r="MC33" s="55">
        <v>46537</v>
      </c>
      <c r="MD33" s="55">
        <v>46538</v>
      </c>
      <c r="ME33" s="55">
        <v>46539</v>
      </c>
      <c r="MF33" s="55">
        <v>46540</v>
      </c>
      <c r="MG33" s="55">
        <v>46541</v>
      </c>
      <c r="MH33" s="55">
        <v>46542</v>
      </c>
      <c r="MI33" s="55">
        <v>46543</v>
      </c>
      <c r="MJ33" s="55">
        <v>46544</v>
      </c>
      <c r="MK33" s="55">
        <v>46545</v>
      </c>
      <c r="ML33" s="55">
        <v>46546</v>
      </c>
      <c r="MM33" s="55">
        <v>46547</v>
      </c>
      <c r="MN33" s="55">
        <v>46548</v>
      </c>
      <c r="MO33" s="55">
        <v>46549</v>
      </c>
      <c r="MP33" s="55">
        <v>46550</v>
      </c>
      <c r="MQ33" s="55">
        <v>46551</v>
      </c>
      <c r="MR33" s="55">
        <v>46552</v>
      </c>
      <c r="MS33" s="55">
        <v>46553</v>
      </c>
      <c r="MT33" s="55">
        <v>46554</v>
      </c>
      <c r="MU33" s="55">
        <v>46555</v>
      </c>
      <c r="MV33" s="55">
        <v>46556</v>
      </c>
      <c r="MW33" s="55">
        <v>46557</v>
      </c>
      <c r="MX33" s="55">
        <v>46558</v>
      </c>
      <c r="MY33" s="55">
        <v>46559</v>
      </c>
      <c r="MZ33" s="55">
        <v>46560</v>
      </c>
      <c r="NA33" s="55">
        <v>46561</v>
      </c>
      <c r="NB33" s="55">
        <v>46562</v>
      </c>
      <c r="NC33" s="55">
        <v>46563</v>
      </c>
      <c r="ND33" s="55">
        <v>46564</v>
      </c>
      <c r="NE33" s="55">
        <v>46565</v>
      </c>
      <c r="NF33" s="55">
        <v>46566</v>
      </c>
      <c r="NG33" s="55">
        <v>46567</v>
      </c>
      <c r="NH33" s="55">
        <v>46568</v>
      </c>
    </row>
    <row r="34" spans="1:372" x14ac:dyDescent="0.25">
      <c r="A34" s="37" t="s">
        <v>103</v>
      </c>
      <c r="B34" s="36">
        <v>6000</v>
      </c>
      <c r="C34" s="38" t="s">
        <v>101</v>
      </c>
      <c r="D34" s="39">
        <v>46204</v>
      </c>
      <c r="E34" s="39"/>
      <c r="G34" cm="1">
        <f t="array" ref="G34:G39">oz.SumRowsλ(_xlfn.ANCHORARRAY(H34))</f>
        <v>162000</v>
      </c>
      <c r="H34" s="41"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37" t="s">
        <v>104</v>
      </c>
      <c r="B35" s="36">
        <v>-4500</v>
      </c>
      <c r="C35" s="38" t="s">
        <v>20</v>
      </c>
      <c r="D35" s="39">
        <v>46208</v>
      </c>
      <c r="E35" s="39">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37" t="s">
        <v>105</v>
      </c>
      <c r="B36" s="36">
        <v>-2000</v>
      </c>
      <c r="C36" s="38" t="s">
        <v>106</v>
      </c>
      <c r="D36" s="39">
        <v>46204</v>
      </c>
      <c r="E36" s="39"/>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37" t="s">
        <v>110</v>
      </c>
      <c r="B37" s="36">
        <v>-500</v>
      </c>
      <c r="C37" s="38" t="s">
        <v>109</v>
      </c>
      <c r="D37" s="39">
        <v>46213</v>
      </c>
      <c r="E37" s="39"/>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37" t="s">
        <v>108</v>
      </c>
      <c r="B38" s="36">
        <v>-75</v>
      </c>
      <c r="C38" s="38" t="s">
        <v>107</v>
      </c>
      <c r="D38" s="39">
        <v>46206</v>
      </c>
      <c r="E38" s="39"/>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8" t="s">
        <v>111</v>
      </c>
      <c r="B39" s="36">
        <v>-19</v>
      </c>
      <c r="C39" s="42" t="s">
        <v>102</v>
      </c>
      <c r="D39" s="43">
        <v>46204</v>
      </c>
      <c r="E39" s="43"/>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ignoredErrors>
    <ignoredError sqref="B34" calculatedColumn="1"/>
  </ignoredErrors>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2B1A54"/>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186" t="str">
        <f ca="1">_xlfn.TEXTAFTER(CELL("filename",A1),"]")</f>
        <v>oz.OverLapDaysλ</v>
      </c>
      <c r="B1" s="186"/>
      <c r="C1" s="186"/>
      <c r="D1" s="186"/>
      <c r="E1" s="186"/>
      <c r="F1" s="186"/>
      <c r="G1" s="186"/>
      <c r="H1" s="186"/>
      <c r="I1" s="186"/>
      <c r="J1" s="186"/>
      <c r="K1" s="186"/>
      <c r="L1" s="186"/>
      <c r="M1" s="186"/>
      <c r="N1" s="186"/>
      <c r="O1" s="186"/>
    </row>
    <row r="2" spans="1:15" x14ac:dyDescent="0.25">
      <c r="A2" s="187" t="s">
        <v>74</v>
      </c>
      <c r="B2" s="188"/>
      <c r="C2" s="188"/>
      <c r="D2" s="188"/>
      <c r="E2" s="188"/>
      <c r="F2" s="188"/>
      <c r="G2" s="188"/>
      <c r="H2" s="188"/>
      <c r="I2" s="188"/>
      <c r="J2" s="188"/>
      <c r="K2" s="188"/>
      <c r="L2" s="188"/>
      <c r="M2" s="188"/>
      <c r="N2" s="189"/>
      <c r="O2" s="4"/>
    </row>
    <row r="4" spans="1:15" x14ac:dyDescent="0.25">
      <c r="A4" s="41"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Second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=oz.OverLapDaysλ("17/7/2026", "25/7/2026", "7/7/2026", "18/7/2026")</v>
      </c>
    </row>
    <row r="20" spans="1:19" ht="21" x14ac:dyDescent="0.35">
      <c r="A20" s="193" t="s">
        <v>119</v>
      </c>
      <c r="B20" s="194"/>
      <c r="C20" s="194"/>
      <c r="D20" s="194"/>
      <c r="E20" s="194"/>
    </row>
    <row r="21" spans="1:19" x14ac:dyDescent="0.25">
      <c r="A21" s="179"/>
      <c r="B21" s="180"/>
      <c r="C21" s="180"/>
      <c r="D21" s="180"/>
      <c r="E21" s="180"/>
      <c r="G21" s="49" t="s">
        <v>27</v>
      </c>
      <c r="H21" s="50" cm="1">
        <f t="array" ref="H21:S21">oz.Timelineλ("1/7/2026", ,,FALSE)</f>
        <v>46234</v>
      </c>
      <c r="I21" s="50">
        <v>46265</v>
      </c>
      <c r="J21" s="50">
        <v>46295</v>
      </c>
      <c r="K21" s="50">
        <v>46326</v>
      </c>
      <c r="L21" s="50">
        <v>46356</v>
      </c>
      <c r="M21" s="50">
        <v>46387</v>
      </c>
      <c r="N21" s="50">
        <v>46418</v>
      </c>
      <c r="O21" s="50">
        <v>46446</v>
      </c>
      <c r="P21" s="50">
        <v>46477</v>
      </c>
      <c r="Q21" s="50">
        <v>46507</v>
      </c>
      <c r="R21" s="50">
        <v>46538</v>
      </c>
      <c r="S21" s="50">
        <v>46568</v>
      </c>
    </row>
    <row r="22" spans="1:19" x14ac:dyDescent="0.25">
      <c r="A22" s="13" t="s">
        <v>120</v>
      </c>
      <c r="B22" t="s">
        <v>117</v>
      </c>
      <c r="C22" s="13" t="s">
        <v>112</v>
      </c>
      <c r="D22" s="13" t="s">
        <v>113</v>
      </c>
      <c r="E22" s="13" t="s">
        <v>114</v>
      </c>
      <c r="G22" s="48" t="s">
        <v>152</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116</v>
      </c>
      <c r="C23" s="40">
        <v>46249</v>
      </c>
      <c r="D23" s="40">
        <v>46453</v>
      </c>
      <c r="E23" s="47">
        <v>12</v>
      </c>
      <c r="G23" cm="1">
        <f t="array" ref="G23:G25">oz.SumRowsλ(_xlfn.ANCHORARRAY(H23))</f>
        <v>2460</v>
      </c>
      <c r="H23" s="41"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115</v>
      </c>
      <c r="C24" s="40">
        <v>46218</v>
      </c>
      <c r="D24" s="40">
        <v>46286</v>
      </c>
      <c r="E24" s="47">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118</v>
      </c>
      <c r="C25" s="40">
        <v>46204</v>
      </c>
      <c r="D25" s="40">
        <v>46234</v>
      </c>
      <c r="E25" s="47">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2B1A54"/>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186" t="str">
        <f ca="1">_xlfn.TEXTAFTER(CELL("filename",A1),"]")</f>
        <v>oz.Periodsλ</v>
      </c>
      <c r="B1" s="186"/>
      <c r="C1" s="186"/>
      <c r="D1" s="186"/>
      <c r="E1" s="186"/>
      <c r="F1" s="186"/>
      <c r="G1" s="186"/>
      <c r="H1" s="186"/>
      <c r="I1" s="186"/>
      <c r="J1" s="186"/>
      <c r="K1" s="186"/>
      <c r="L1" s="186"/>
      <c r="M1" s="186"/>
      <c r="N1" s="186"/>
      <c r="O1" s="186"/>
      <c r="P1" s="186"/>
    </row>
    <row r="2" spans="1:20" x14ac:dyDescent="0.25">
      <c r="A2" s="187" t="s">
        <v>75</v>
      </c>
      <c r="B2" s="192"/>
      <c r="C2" s="192"/>
      <c r="D2" s="192"/>
      <c r="E2" s="192"/>
      <c r="F2" s="192"/>
      <c r="G2" s="192"/>
      <c r="H2" s="192"/>
      <c r="I2" s="192"/>
      <c r="J2" s="192"/>
      <c r="K2" s="192"/>
      <c r="L2" s="192"/>
      <c r="M2" s="192"/>
      <c r="N2" s="192"/>
      <c r="O2" s="192"/>
      <c r="P2" s="192"/>
      <c r="Q2" s="192"/>
      <c r="R2" s="192"/>
      <c r="S2" s="192"/>
      <c r="T2" s="192"/>
    </row>
    <row r="4" spans="1:20" x14ac:dyDescent="0.25">
      <c r="A4" s="61" t="str" cm="1">
        <f t="array" ref="A4:B22">oz.Periodsλ()</f>
        <v>FUNCTION:</v>
      </c>
      <c r="B4" t="str">
        <v>Periodsλ(Starts, Ends, [Intervals])</v>
      </c>
    </row>
    <row r="5" spans="1:20" x14ac:dyDescent="0.25">
      <c r="A5" t="str">
        <v>DESCRIPTION:</v>
      </c>
      <c r="B5" t="str">
        <v>Determine the number of periods from Starts to Ends inclusive.</v>
      </c>
    </row>
    <row r="6" spans="1:20" x14ac:dyDescent="0.25">
      <c r="A6" t="str">
        <v/>
      </c>
      <c r="B6" t="str">
        <v>Differences to Excel's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Starts is after Ends</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A single date or an array of dates.</v>
      </c>
    </row>
    <row r="13" spans="1:20" x14ac:dyDescent="0.25">
      <c r="A13" t="str">
        <v>Ends</v>
      </c>
      <c r="B13" t="str">
        <v>(Required) Second date (normally newer). A single date or an array the same shape as Starts.</v>
      </c>
    </row>
    <row r="14" spans="1:20" x14ac:dyDescent="0.25">
      <c r="A14" t="str">
        <v/>
      </c>
      <c r="B14" t="str">
        <v>A single Starts or Ends is applied to every date in the other.</v>
      </c>
    </row>
    <row r="15" spans="1:20" x14ac:dyDescent="0.25">
      <c r="A15" t="str">
        <v>Intervals</v>
      </c>
      <c r="B15" t="str">
        <v>(Optional) Days, Weeks, Months (default), Quarters, or Years (D, W, M, Q, Y).</v>
      </c>
    </row>
    <row r="16" spans="1:20" x14ac:dyDescent="0.25">
      <c r="A16" t="str">
        <v/>
      </c>
      <c r="B16" t="str">
        <v>One code, or an array of codes the same shape as the dates.</v>
      </c>
    </row>
    <row r="17" spans="1:4" x14ac:dyDescent="0.25">
      <c r="A17" t="str">
        <v>EXAMPLES:</v>
      </c>
      <c r="B17" t="str">
        <v/>
      </c>
    </row>
    <row r="18" spans="1:4" x14ac:dyDescent="0.25">
      <c r="A18" t="str">
        <v>Result</v>
      </c>
      <c r="B18" t="str">
        <v>Formula (oz is assumed to be the module's name)</v>
      </c>
    </row>
    <row r="19" spans="1:4" x14ac:dyDescent="0.25">
      <c r="A19" t="str">
        <v>2</v>
      </c>
      <c r="B19" t="str">
        <v>=oz.Periodsλ("31/7/2026", "15/9/2026")</v>
      </c>
    </row>
    <row r="20" spans="1:4" x14ac:dyDescent="0.25">
      <c r="A20" t="str">
        <v>-2</v>
      </c>
      <c r="B20" t="str">
        <v>=oz.Periodsλ("15/9/2026", "31/7/2026")</v>
      </c>
    </row>
    <row r="21" spans="1:4" x14ac:dyDescent="0.25">
      <c r="A21" t="str">
        <v>-12</v>
      </c>
      <c r="B21" t="str">
        <v>=oz.Periodsλ("15/7/2027", "16/7/2026")</v>
      </c>
    </row>
    <row r="22" spans="1:4" x14ac:dyDescent="0.25">
      <c r="A22" t="str">
        <v>-52</v>
      </c>
      <c r="B22" t="str">
        <v>=oz.Periodsλ("15/7/2027", "16/7/2026", "W")</v>
      </c>
    </row>
    <row r="24" spans="1:4" x14ac:dyDescent="0.25">
      <c r="A24" s="59" t="s">
        <v>126</v>
      </c>
      <c r="B24" s="59" t="s">
        <v>127</v>
      </c>
      <c r="C24" s="60" t="s">
        <v>18</v>
      </c>
      <c r="D24" s="60" t="s">
        <v>17</v>
      </c>
    </row>
    <row r="25" spans="1:4" x14ac:dyDescent="0.25">
      <c r="A25" s="40">
        <v>46262</v>
      </c>
      <c r="B25" s="40">
        <v>46537</v>
      </c>
      <c r="C25" t="s">
        <v>20</v>
      </c>
      <c r="D25" s="61" cm="1">
        <f t="array" ref="D25:D29">oz.Periodsλ(A25:A29,B25:B29,C25:C29)</f>
        <v>9</v>
      </c>
    </row>
    <row r="26" spans="1:4" x14ac:dyDescent="0.25">
      <c r="A26" s="40">
        <v>46386</v>
      </c>
      <c r="B26" s="40">
        <v>46784</v>
      </c>
      <c r="C26" t="s">
        <v>109</v>
      </c>
      <c r="D26">
        <v>5</v>
      </c>
    </row>
    <row r="27" spans="1:4" x14ac:dyDescent="0.25">
      <c r="A27" s="40">
        <v>46204</v>
      </c>
      <c r="B27" s="40">
        <v>47300</v>
      </c>
      <c r="C27" t="s">
        <v>2</v>
      </c>
      <c r="D27">
        <v>3</v>
      </c>
    </row>
    <row r="28" spans="1:4" x14ac:dyDescent="0.25">
      <c r="A28" s="40">
        <v>46325</v>
      </c>
      <c r="B28" s="40">
        <v>46692</v>
      </c>
      <c r="C28" t="s">
        <v>107</v>
      </c>
      <c r="D28">
        <v>53</v>
      </c>
    </row>
    <row r="29" spans="1:4" x14ac:dyDescent="0.25">
      <c r="A29" s="40">
        <v>46446</v>
      </c>
      <c r="B29" s="40">
        <v>46812</v>
      </c>
      <c r="C29" t="s">
        <v>426</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2B1A54"/>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186" t="str">
        <f ca="1">_xlfn.TEXTAFTER(CELL("filename",A1),"]")</f>
        <v>oz.PeriodLabelλ</v>
      </c>
      <c r="B1" s="186"/>
      <c r="C1" s="186"/>
      <c r="D1" s="186"/>
      <c r="E1" s="186"/>
      <c r="F1" s="186"/>
      <c r="G1" s="186"/>
      <c r="H1" s="186"/>
      <c r="I1" s="186"/>
      <c r="J1" s="186"/>
      <c r="K1" s="186"/>
      <c r="L1" s="186"/>
      <c r="M1" s="186"/>
      <c r="N1" s="186"/>
      <c r="O1" s="186"/>
      <c r="P1" s="186"/>
    </row>
    <row r="2" spans="1:16" x14ac:dyDescent="0.25">
      <c r="A2" s="187" t="s">
        <v>76</v>
      </c>
      <c r="B2" s="188"/>
      <c r="C2" s="188"/>
      <c r="D2" s="188"/>
      <c r="E2" s="188"/>
      <c r="F2" s="188"/>
      <c r="G2" s="188"/>
      <c r="H2" s="188"/>
      <c r="I2" s="188"/>
      <c r="J2" s="188"/>
      <c r="K2" s="188"/>
      <c r="L2" s="188"/>
      <c r="M2" s="188"/>
      <c r="N2" s="188"/>
      <c r="O2" s="188"/>
      <c r="P2" s="189"/>
    </row>
    <row r="4" spans="1:16" x14ac:dyDescent="0.25">
      <c r="A4" s="61"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2026-Aug-26</v>
      </c>
      <c r="B19" t="str">
        <v>=oz.PeriodLabelλ(DATEVALUE("26/8/2026"), "D")</v>
      </c>
    </row>
    <row r="20" spans="1:14" x14ac:dyDescent="0.25">
      <c r="A20" t="str">
        <v>2026-Aug</v>
      </c>
      <c r="B20" t="str">
        <v>=oz.PeriodLabelλ(DATEVALUE("26/8/2026"), "M")</v>
      </c>
    </row>
    <row r="21" spans="1:14" x14ac:dyDescent="0.25">
      <c r="A21" t="str">
        <v>2026:Q3</v>
      </c>
      <c r="B21" t="str">
        <v>=oz.PeriodLabelλ(DATEVALUE("26/8/2026"), "Q")</v>
      </c>
    </row>
    <row r="22" spans="1:14" x14ac:dyDescent="0.25">
      <c r="A22" t="str">
        <v>2026</v>
      </c>
      <c r="B22" t="str">
        <v>=oz.PeriodLabelλ(DATEVALUE("26/8/2026"), "Y")</v>
      </c>
    </row>
    <row r="25" spans="1:14" x14ac:dyDescent="0.25">
      <c r="A25" t="s">
        <v>25</v>
      </c>
      <c r="B25" t="s">
        <v>129</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128</v>
      </c>
      <c r="B26" s="131" t="s">
        <v>2</v>
      </c>
      <c r="C26" s="61"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2B1A54"/>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186" t="str">
        <f ca="1">_xlfn.TEXTAFTER(CELL("filename",A1),"]")</f>
        <v>oz.ScheduleRatesλ</v>
      </c>
      <c r="B1" s="186"/>
      <c r="C1" s="186"/>
      <c r="D1" s="186"/>
      <c r="E1" s="186"/>
      <c r="F1" s="186"/>
      <c r="G1" s="186"/>
      <c r="H1" s="186"/>
      <c r="I1" s="186"/>
      <c r="J1" s="186"/>
      <c r="K1" s="186"/>
      <c r="L1" s="186"/>
      <c r="M1" s="186"/>
      <c r="N1" s="12"/>
    </row>
    <row r="2" spans="1:15" x14ac:dyDescent="0.25">
      <c r="A2" s="187" t="s">
        <v>77</v>
      </c>
      <c r="B2" s="192"/>
      <c r="C2" s="192"/>
      <c r="D2" s="192"/>
      <c r="E2" s="192"/>
      <c r="F2" s="192"/>
      <c r="G2" s="192"/>
      <c r="H2" s="192"/>
      <c r="I2" s="192"/>
      <c r="J2" s="192"/>
      <c r="K2" s="192"/>
      <c r="L2" s="192"/>
      <c r="M2" s="192"/>
      <c r="N2" s="192"/>
      <c r="O2" s="192"/>
    </row>
    <row r="4" spans="1:15" x14ac:dyDescent="0.25">
      <c r="A4" s="30"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=oz.ScheduleRatesλ(Timelineλ("1/7/2026",5,"W"),{46208; 46216; 46222}, {10; 20; 30})</v>
      </c>
    </row>
    <row r="18" spans="1:17" x14ac:dyDescent="0.25">
      <c r="E18" s="26" t="s">
        <v>26</v>
      </c>
      <c r="F18" s="31" cm="1">
        <f t="array" ref="F18:Q18">oz.Timelineλ($B$21,$B$22,$B$23)</f>
        <v>46204</v>
      </c>
      <c r="G18" s="31">
        <v>46235</v>
      </c>
      <c r="H18" s="31">
        <v>46266</v>
      </c>
      <c r="I18" s="31">
        <v>46296</v>
      </c>
      <c r="J18" s="31">
        <v>46327</v>
      </c>
      <c r="K18" s="31">
        <v>46357</v>
      </c>
      <c r="L18" s="31">
        <v>46388</v>
      </c>
      <c r="M18" s="31">
        <v>46419</v>
      </c>
      <c r="N18" s="31">
        <v>46447</v>
      </c>
      <c r="O18" s="31">
        <v>46478</v>
      </c>
      <c r="P18" s="31">
        <v>46508</v>
      </c>
      <c r="Q18" s="31">
        <v>46539</v>
      </c>
    </row>
    <row r="19" spans="1:17" x14ac:dyDescent="0.25">
      <c r="A19" s="14" t="s">
        <v>13</v>
      </c>
      <c r="B19" s="15" t="s">
        <v>14</v>
      </c>
      <c r="C19" s="14" t="s">
        <v>15</v>
      </c>
      <c r="E19" s="25" t="s">
        <v>27</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182" t="s">
        <v>57</v>
      </c>
      <c r="B20" s="182"/>
      <c r="C20" s="182"/>
    </row>
    <row r="21" spans="1:17" x14ac:dyDescent="0.25">
      <c r="A21" s="20" t="s">
        <v>26</v>
      </c>
      <c r="B21" s="18">
        <v>46204</v>
      </c>
      <c r="C21" t="s">
        <v>21</v>
      </c>
    </row>
    <row r="22" spans="1:17" x14ac:dyDescent="0.25">
      <c r="A22" s="20" t="s">
        <v>17</v>
      </c>
      <c r="B22" s="21">
        <v>12</v>
      </c>
      <c r="C22" t="s">
        <v>21</v>
      </c>
    </row>
    <row r="23" spans="1:17" x14ac:dyDescent="0.25">
      <c r="A23" s="20" t="s">
        <v>18</v>
      </c>
      <c r="B23" s="17" t="s">
        <v>20</v>
      </c>
      <c r="C23" t="s">
        <v>29</v>
      </c>
    </row>
    <row r="25" spans="1:17" ht="21" x14ac:dyDescent="0.35">
      <c r="A25" s="182" t="s">
        <v>32</v>
      </c>
      <c r="B25" s="182"/>
      <c r="C25" s="182"/>
    </row>
    <row r="26" spans="1:17" x14ac:dyDescent="0.25">
      <c r="A26" s="32" t="s">
        <v>33</v>
      </c>
      <c r="B26" s="18">
        <v>46204</v>
      </c>
      <c r="C26" t="s">
        <v>21</v>
      </c>
    </row>
    <row r="27" spans="1:17" x14ac:dyDescent="0.25">
      <c r="A27" s="32" t="s">
        <v>34</v>
      </c>
      <c r="B27" s="18">
        <v>46357</v>
      </c>
      <c r="C27" t="s">
        <v>21</v>
      </c>
    </row>
    <row r="28" spans="1:17" x14ac:dyDescent="0.25">
      <c r="A28" s="32" t="s">
        <v>35</v>
      </c>
      <c r="B28" s="23">
        <v>5</v>
      </c>
      <c r="C28" t="s">
        <v>37</v>
      </c>
    </row>
    <row r="29" spans="1:17" x14ac:dyDescent="0.25">
      <c r="A29" s="32" t="s">
        <v>36</v>
      </c>
      <c r="B29" s="23">
        <v>10</v>
      </c>
      <c r="C29" t="s">
        <v>37</v>
      </c>
      <c r="F29" s="30"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182" t="s">
        <v>56</v>
      </c>
      <c r="B33" s="196"/>
      <c r="C33" s="16"/>
    </row>
    <row r="34" spans="1:17" x14ac:dyDescent="0.25">
      <c r="A34" s="179"/>
      <c r="B34" s="181"/>
    </row>
    <row r="35" spans="1:17" x14ac:dyDescent="0.25">
      <c r="A35" s="34" t="s">
        <v>38</v>
      </c>
      <c r="B35" s="24" t="s">
        <v>39</v>
      </c>
      <c r="F35" s="30"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9">
        <v>46204</v>
      </c>
      <c r="B36">
        <v>100</v>
      </c>
    </row>
    <row r="37" spans="1:17" x14ac:dyDescent="0.25">
      <c r="A37" s="19">
        <v>46280</v>
      </c>
      <c r="B37">
        <v>125</v>
      </c>
    </row>
    <row r="38" spans="1:17" x14ac:dyDescent="0.25">
      <c r="A38" s="19">
        <v>46371</v>
      </c>
      <c r="B38">
        <v>150</v>
      </c>
    </row>
    <row r="40" spans="1:17" ht="21" x14ac:dyDescent="0.35">
      <c r="A40" s="182" t="s">
        <v>55</v>
      </c>
      <c r="B40" s="195"/>
      <c r="C40" s="196"/>
    </row>
    <row r="41" spans="1:17" x14ac:dyDescent="0.25">
      <c r="A41" s="179"/>
      <c r="B41" s="180"/>
      <c r="C41" s="181"/>
    </row>
    <row r="42" spans="1:17" x14ac:dyDescent="0.25">
      <c r="A42" s="13" t="s">
        <v>40</v>
      </c>
      <c r="B42" s="13" t="s">
        <v>41</v>
      </c>
      <c r="C42" s="13" t="s">
        <v>42</v>
      </c>
      <c r="F42" s="30"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9">
        <v>46204</v>
      </c>
      <c r="B43">
        <v>10</v>
      </c>
      <c r="C43">
        <f>SUMIFS(tblUnits[Units Built],tblUnits[Ready Dates],"&lt;=" &amp; tblUnits[[#This Row],[Ready Dates]])</f>
        <v>10</v>
      </c>
    </row>
    <row r="44" spans="1:17" x14ac:dyDescent="0.25">
      <c r="A44" s="19">
        <v>46235</v>
      </c>
      <c r="B44">
        <v>10</v>
      </c>
      <c r="C44">
        <f>SUMIFS(tblUnits[Units Built],tblUnits[Ready Dates],"&lt;=" &amp; tblUnits[[#This Row],[Ready Dates]])</f>
        <v>20</v>
      </c>
    </row>
    <row r="45" spans="1:17" x14ac:dyDescent="0.25">
      <c r="A45" s="19">
        <v>46296</v>
      </c>
      <c r="B45">
        <v>5</v>
      </c>
      <c r="C45">
        <f>SUMIFS(tblUnits[Units Built],tblUnits[Ready Dates],"&lt;=" &amp; tblUnits[[#This Row],[Ready Dates]])</f>
        <v>25</v>
      </c>
    </row>
    <row r="46" spans="1:17" x14ac:dyDescent="0.25">
      <c r="A46" s="19">
        <v>46327</v>
      </c>
      <c r="B46">
        <v>15</v>
      </c>
      <c r="C46">
        <f>SUMIFS(tblUnits[Units Built],tblUnits[Ready Dates],"&lt;=" &amp; tblUnits[[#This Row],[Ready Dates]])</f>
        <v>40</v>
      </c>
    </row>
    <row r="48" spans="1:17" x14ac:dyDescent="0.25">
      <c r="A48" s="2" t="s">
        <v>43</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drawing r:id="rId1"/>
  <tableParts count="2">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2B1A54"/>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186" t="str">
        <f ca="1">_xlfn.TEXTAFTER(CELL("filename",A1),"]")</f>
        <v>oz.ScheduleRatesByItemsλ</v>
      </c>
      <c r="B1" s="186"/>
      <c r="C1" s="186"/>
      <c r="D1" s="186"/>
      <c r="E1" s="186"/>
      <c r="F1" s="186"/>
      <c r="G1" s="186"/>
      <c r="H1" s="186"/>
      <c r="I1" s="186"/>
      <c r="J1" s="186"/>
      <c r="K1" s="186"/>
      <c r="L1" s="186"/>
      <c r="M1" s="186"/>
      <c r="N1" s="186"/>
      <c r="O1" s="186"/>
      <c r="P1" s="186"/>
    </row>
    <row r="2" spans="1:16" x14ac:dyDescent="0.25">
      <c r="A2" s="187" t="s">
        <v>78</v>
      </c>
      <c r="B2" s="188"/>
      <c r="C2" s="188"/>
      <c r="D2" s="188"/>
      <c r="E2" s="188"/>
      <c r="F2" s="188"/>
      <c r="G2" s="188"/>
      <c r="H2" s="188"/>
      <c r="I2" s="188"/>
      <c r="J2" s="188"/>
      <c r="K2" s="188"/>
      <c r="L2" s="188"/>
      <c r="M2" s="188"/>
      <c r="N2" s="188"/>
      <c r="O2" s="188"/>
      <c r="P2" s="189"/>
    </row>
    <row r="4" spans="1:16" x14ac:dyDescent="0.25">
      <c r="A4" s="61"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of period end dates (timeline).</v>
      </c>
    </row>
    <row r="11" spans="1:16" x14ac:dyDescent="0.25">
      <c r="A11" t="str">
        <v>ItemFilter</v>
      </c>
      <c r="B11" t="str">
        <v>(Required) A column of 1 or more items to filter a rate schedule by.</v>
      </c>
    </row>
    <row r="12" spans="1:16" x14ac:dyDescent="0.25">
      <c r="A12" t="str">
        <v/>
      </c>
      <c r="B12" t="str">
        <v>A 'rate schedule' is a table/list where each row contains a unique item/effective date pair with a rate.</v>
      </c>
    </row>
    <row r="13" spans="1:16" x14ac:dyDescent="0.25">
      <c r="A13" t="str">
        <v/>
      </c>
      <c r="B13" t="str">
        <v>An item with no rate in the schedule scores nought in every period.</v>
      </c>
    </row>
    <row r="14" spans="1:16" x14ac:dyDescent="0.25">
      <c r="A14" t="str">
        <v>ItemList</v>
      </c>
      <c r="B14" t="str">
        <v>(Required) Items in a rate schedule.</v>
      </c>
    </row>
    <row r="15" spans="1:16" x14ac:dyDescent="0.25">
      <c r="A15" t="str">
        <v>EffectiveList</v>
      </c>
      <c r="B15" t="str">
        <v>(Required) Effective dates in the rate schedule.</v>
      </c>
    </row>
    <row r="16" spans="1:16" x14ac:dyDescent="0.25">
      <c r="A16" t="str">
        <v>RateList</v>
      </c>
      <c r="B16" t="str">
        <v>(Required) Rates in a rate schedule for each item/effective date pair.</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oz.Timelineλ( "1/7/2026"), UNIQUE( tblRates[Unit]),</v>
      </c>
    </row>
    <row r="20" spans="1:20" x14ac:dyDescent="0.25">
      <c r="A20" t="str">
        <v/>
      </c>
      <c r="B20" t="str">
        <v>tblRates[Unit], tblRates[Effective], tblRates[Rent])</v>
      </c>
    </row>
    <row r="22" spans="1:20" ht="21" x14ac:dyDescent="0.35">
      <c r="D22" s="197" t="s">
        <v>231</v>
      </c>
      <c r="E22" s="198"/>
      <c r="F22" s="198"/>
    </row>
    <row r="23" spans="1:20" x14ac:dyDescent="0.25">
      <c r="D23" s="199"/>
      <c r="E23" s="198"/>
      <c r="F23" s="198"/>
      <c r="I23" s="24" t="s">
        <v>130</v>
      </c>
    </row>
    <row r="24" spans="1:20" x14ac:dyDescent="0.25">
      <c r="A24" s="14" t="s">
        <v>0</v>
      </c>
      <c r="B24" s="14" t="s">
        <v>14</v>
      </c>
      <c r="D24" t="s">
        <v>131</v>
      </c>
      <c r="E24" s="13" t="s">
        <v>132</v>
      </c>
      <c r="F24" s="13" t="s">
        <v>133</v>
      </c>
      <c r="H24" s="14" t="s">
        <v>134</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112</v>
      </c>
      <c r="B25" s="62">
        <v>46204</v>
      </c>
      <c r="D25" t="s">
        <v>135</v>
      </c>
      <c r="E25" s="40">
        <v>46227</v>
      </c>
      <c r="F25">
        <v>291</v>
      </c>
      <c r="H25" t="str" cm="1">
        <f t="array" ref="H25:H29">_xlfn._xlws.SORT(_xlfn.UNIQUE(tblItems[Item]))</f>
        <v>Unit 100</v>
      </c>
      <c r="I25" s="61"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18</v>
      </c>
      <c r="B26" s="23" t="s">
        <v>20</v>
      </c>
      <c r="D26" t="s">
        <v>137</v>
      </c>
      <c r="E26" s="40">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17</v>
      </c>
      <c r="B27" s="63">
        <v>12</v>
      </c>
      <c r="D27" t="s">
        <v>139</v>
      </c>
      <c r="E27" s="40">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136</v>
      </c>
      <c r="E28" s="40">
        <v>46298</v>
      </c>
      <c r="F28">
        <v>291</v>
      </c>
      <c r="H28" t="str">
        <v>Unit 400</v>
      </c>
      <c r="I28">
        <v>0</v>
      </c>
      <c r="J28">
        <v>0</v>
      </c>
      <c r="K28">
        <v>0</v>
      </c>
      <c r="L28">
        <v>0</v>
      </c>
      <c r="M28">
        <v>0</v>
      </c>
      <c r="N28">
        <v>0</v>
      </c>
      <c r="O28">
        <v>0</v>
      </c>
      <c r="P28">
        <v>250</v>
      </c>
      <c r="Q28">
        <v>275</v>
      </c>
      <c r="R28">
        <v>300</v>
      </c>
      <c r="S28">
        <v>300</v>
      </c>
      <c r="T28">
        <v>300</v>
      </c>
    </row>
    <row r="29" spans="1:20" x14ac:dyDescent="0.25">
      <c r="D29" t="s">
        <v>137</v>
      </c>
      <c r="E29" s="40">
        <v>46357</v>
      </c>
      <c r="F29">
        <v>520</v>
      </c>
      <c r="H29" t="str">
        <v>Unit 500</v>
      </c>
      <c r="I29">
        <v>0</v>
      </c>
      <c r="J29">
        <v>100</v>
      </c>
      <c r="K29">
        <v>100</v>
      </c>
      <c r="L29">
        <v>100</v>
      </c>
      <c r="M29">
        <v>100</v>
      </c>
      <c r="N29">
        <v>125</v>
      </c>
      <c r="O29">
        <v>125</v>
      </c>
      <c r="P29">
        <v>125</v>
      </c>
      <c r="Q29">
        <v>125</v>
      </c>
      <c r="R29">
        <v>125</v>
      </c>
      <c r="S29">
        <v>150</v>
      </c>
      <c r="T29">
        <v>150</v>
      </c>
    </row>
    <row r="30" spans="1:20" x14ac:dyDescent="0.25">
      <c r="D30" t="s">
        <v>139</v>
      </c>
      <c r="E30" s="40">
        <v>46357</v>
      </c>
      <c r="F30">
        <v>125</v>
      </c>
    </row>
    <row r="31" spans="1:20" x14ac:dyDescent="0.25">
      <c r="D31" t="s">
        <v>135</v>
      </c>
      <c r="E31" s="40">
        <v>46424</v>
      </c>
      <c r="F31">
        <v>295</v>
      </c>
    </row>
    <row r="32" spans="1:20" x14ac:dyDescent="0.25">
      <c r="D32" t="s">
        <v>138</v>
      </c>
      <c r="E32" s="40">
        <v>46429</v>
      </c>
      <c r="F32">
        <v>250</v>
      </c>
      <c r="J32">
        <f>SIGN(0)</f>
        <v>0</v>
      </c>
    </row>
    <row r="33" spans="4:6" x14ac:dyDescent="0.25">
      <c r="D33" t="s">
        <v>138</v>
      </c>
      <c r="E33" s="40">
        <v>46457</v>
      </c>
      <c r="F33">
        <v>275</v>
      </c>
    </row>
    <row r="34" spans="4:6" x14ac:dyDescent="0.25">
      <c r="D34" t="s">
        <v>136</v>
      </c>
      <c r="E34" s="40">
        <v>46482</v>
      </c>
      <c r="F34">
        <v>325</v>
      </c>
    </row>
    <row r="35" spans="4:6" x14ac:dyDescent="0.25">
      <c r="D35" t="s">
        <v>137</v>
      </c>
      <c r="E35" s="40">
        <v>46500</v>
      </c>
      <c r="F35">
        <v>535</v>
      </c>
    </row>
    <row r="36" spans="4:6" x14ac:dyDescent="0.25">
      <c r="D36" t="s">
        <v>138</v>
      </c>
      <c r="E36" s="40">
        <v>46502</v>
      </c>
      <c r="F36">
        <v>300</v>
      </c>
    </row>
    <row r="37" spans="4:6" x14ac:dyDescent="0.25">
      <c r="D37" t="s">
        <v>139</v>
      </c>
      <c r="E37" s="40">
        <v>46512</v>
      </c>
      <c r="F37">
        <v>150</v>
      </c>
    </row>
    <row r="38" spans="4:6" x14ac:dyDescent="0.25">
      <c r="D38" t="s">
        <v>135</v>
      </c>
      <c r="E38" s="40">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2B1A54"/>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186" t="str">
        <f ca="1">_xlfn.TEXTAFTER(CELL("filename",A1),"]")</f>
        <v>oz.ScheduleValuesλ</v>
      </c>
      <c r="B1" s="186"/>
      <c r="C1" s="186"/>
      <c r="D1" s="186"/>
      <c r="E1" s="186"/>
      <c r="F1" s="186"/>
      <c r="G1" s="186"/>
      <c r="H1" s="186"/>
      <c r="I1" s="186"/>
      <c r="J1" s="186"/>
      <c r="K1" s="186"/>
      <c r="L1" s="186"/>
      <c r="M1" s="186"/>
      <c r="N1" s="186"/>
      <c r="O1" s="186"/>
      <c r="P1" s="186"/>
      <c r="Q1" s="186"/>
      <c r="R1" s="186"/>
      <c r="S1" s="186"/>
      <c r="T1" s="186"/>
    </row>
    <row r="2" spans="1:20" x14ac:dyDescent="0.25">
      <c r="A2" s="187" t="s">
        <v>79</v>
      </c>
      <c r="B2" s="188"/>
      <c r="C2" s="188"/>
      <c r="D2" s="188"/>
      <c r="E2" s="188"/>
      <c r="F2" s="188"/>
      <c r="G2" s="188"/>
      <c r="H2" s="188"/>
      <c r="I2" s="188"/>
      <c r="J2" s="188"/>
      <c r="K2" s="188"/>
      <c r="L2" s="188"/>
      <c r="M2" s="188"/>
      <c r="N2" s="188"/>
      <c r="O2" s="188"/>
      <c r="P2" s="189"/>
      <c r="Q2" s="4"/>
      <c r="R2" s="4"/>
      <c r="S2" s="4"/>
      <c r="T2" s="4"/>
    </row>
    <row r="4" spans="1:20" x14ac:dyDescent="0.25">
      <c r="A4" s="61"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row of period start dates (timeline).</v>
      </c>
    </row>
    <row r="9" spans="1:20" x14ac:dyDescent="0.25">
      <c r="A9" t="str">
        <v>PeriodEnds</v>
      </c>
      <c r="B9" t="str">
        <v>(Required) A row of period end dates (timeline).</v>
      </c>
    </row>
    <row r="10" spans="1:20" x14ac:dyDescent="0.25">
      <c r="A10" t="str">
        <v>Values</v>
      </c>
      <c r="B10" t="str">
        <v>(Required) A column or row of values to be scheduled.</v>
      </c>
    </row>
    <row r="11" spans="1:20" x14ac:dyDescent="0.25">
      <c r="A11" t="str">
        <v>EffectiveDates</v>
      </c>
      <c r="B11" t="str">
        <v>(Required) When each value is scheduled, in the same orientation as Values.</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=oz.ScheduleValuesλ(Timelineλ("1/7/2026"), Timelineλ("1/7/2026",,,FALSE), {1;3}, {"1/7/2026"; "15/8/2026"})</v>
      </c>
    </row>
    <row r="17" spans="1:24" ht="21" x14ac:dyDescent="0.35">
      <c r="A17" s="200" t="s">
        <v>148</v>
      </c>
      <c r="B17" s="200"/>
      <c r="C17" s="200"/>
      <c r="E17" s="197" t="s">
        <v>154</v>
      </c>
      <c r="F17" s="202"/>
      <c r="G17" s="202"/>
      <c r="H17" s="202"/>
      <c r="I17" s="203"/>
    </row>
    <row r="18" spans="1:24" x14ac:dyDescent="0.25">
      <c r="E18" s="199"/>
      <c r="F18" s="204"/>
      <c r="G18" s="204"/>
      <c r="H18" s="204"/>
      <c r="I18" s="204"/>
      <c r="L18" s="65" t="s">
        <v>155</v>
      </c>
      <c r="M18" s="64" cm="1">
        <f t="array" ref="M18:X18">oz.Timelineλ(B20,B21,B22, FALSE)</f>
        <v>46234</v>
      </c>
      <c r="N18" s="64">
        <v>46265</v>
      </c>
      <c r="O18" s="64">
        <v>46295</v>
      </c>
      <c r="P18" s="64">
        <v>46326</v>
      </c>
      <c r="Q18" s="64">
        <v>46356</v>
      </c>
      <c r="R18" s="64">
        <v>46387</v>
      </c>
      <c r="S18" s="64">
        <v>46418</v>
      </c>
      <c r="T18" s="64">
        <v>46446</v>
      </c>
      <c r="U18" s="64">
        <v>46477</v>
      </c>
      <c r="V18" s="64">
        <v>46507</v>
      </c>
      <c r="W18" s="64">
        <v>46538</v>
      </c>
      <c r="X18" s="64">
        <v>46568</v>
      </c>
    </row>
    <row r="19" spans="1:24" x14ac:dyDescent="0.25">
      <c r="A19" s="60" t="s">
        <v>149</v>
      </c>
      <c r="B19" s="60" t="s">
        <v>14</v>
      </c>
      <c r="C19" s="60" t="s">
        <v>15</v>
      </c>
      <c r="E19" s="13" t="s">
        <v>156</v>
      </c>
      <c r="F19" t="s">
        <v>140</v>
      </c>
      <c r="G19" t="s">
        <v>145</v>
      </c>
      <c r="H19" t="s">
        <v>150</v>
      </c>
      <c r="I19" t="s">
        <v>125</v>
      </c>
      <c r="L19" s="48" t="s">
        <v>152</v>
      </c>
      <c r="M19" s="55"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112</v>
      </c>
      <c r="B20" s="40">
        <v>46204</v>
      </c>
      <c r="C20" t="s">
        <v>21</v>
      </c>
      <c r="E20" cm="1">
        <f t="array" ref="E20">100 + ROW() - ROW(tblCO[#Headers])</f>
        <v>101</v>
      </c>
      <c r="F20" t="s">
        <v>142</v>
      </c>
      <c r="G20" s="40">
        <v>46207</v>
      </c>
      <c r="H20" s="40">
        <f>tblCO[[#This Row],[Issued]]+_xlfn.XLOOKUP(tblCO[[#This Row],[Customer]],tblCT[Customer], tblCT[Terms])</f>
        <v>46237</v>
      </c>
      <c r="I20">
        <v>1000</v>
      </c>
      <c r="K20" s="2" t="s">
        <v>151</v>
      </c>
      <c r="L20">
        <f>SUM(_xlfn.ANCHORARRAY(M20))</f>
        <v>62370</v>
      </c>
      <c r="M20" s="61"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17</v>
      </c>
      <c r="B21">
        <v>12</v>
      </c>
      <c r="C21" t="s">
        <v>22</v>
      </c>
      <c r="E21" cm="1">
        <f t="array" ref="E21">100 + ROW() - ROW(tblCO[#Headers])</f>
        <v>102</v>
      </c>
      <c r="F21" t="s">
        <v>143</v>
      </c>
      <c r="G21" s="40">
        <v>46214</v>
      </c>
      <c r="H21" s="40">
        <f>tblCO[[#This Row],[Issued]]+_xlfn.XLOOKUP(tblCO[[#This Row],[Customer]],tblCT[Customer], tblCT[Terms])</f>
        <v>46334</v>
      </c>
      <c r="I21">
        <v>1197</v>
      </c>
      <c r="K21" s="2" t="s">
        <v>153</v>
      </c>
      <c r="L21">
        <f>SUM(_xlfn.ANCHORARRAY(M21))</f>
        <v>62370</v>
      </c>
      <c r="M21" s="61"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18</v>
      </c>
      <c r="B22" t="s">
        <v>20</v>
      </c>
      <c r="E22" cm="1">
        <f t="array" ref="E22">100 + ROW() - ROW(tblCO[#Headers])</f>
        <v>103</v>
      </c>
      <c r="F22" t="s">
        <v>144</v>
      </c>
      <c r="G22" s="40">
        <v>46221</v>
      </c>
      <c r="H22" s="40">
        <f>tblCO[[#This Row],[Issued]]+_xlfn.XLOOKUP(tblCO[[#This Row],[Customer]],tblCT[Customer], tblCT[Terms])</f>
        <v>46266</v>
      </c>
      <c r="I22">
        <v>1394</v>
      </c>
      <c r="K22" s="2" t="s">
        <v>158</v>
      </c>
      <c r="L22">
        <f>SUM(_xlfn.ANCHORARRAY(M22))</f>
        <v>0</v>
      </c>
      <c r="M22" s="66" cm="1">
        <f t="array" ref="M22:X22">_xlfn.ANCHORARRAY(M20)-_xlfn.ANCHORARRAY(M21)</f>
        <v>5182</v>
      </c>
      <c r="N22" s="66">
        <v>5546</v>
      </c>
      <c r="O22" s="66">
        <v>7107</v>
      </c>
      <c r="P22" s="66">
        <v>3743</v>
      </c>
      <c r="Q22" s="66">
        <v>10062</v>
      </c>
      <c r="R22" s="66">
        <v>-19775</v>
      </c>
      <c r="S22" s="66">
        <v>-7713</v>
      </c>
      <c r="T22" s="66">
        <v>-4152</v>
      </c>
      <c r="U22" s="66">
        <v>0</v>
      </c>
      <c r="V22" s="66">
        <v>0</v>
      </c>
      <c r="W22" s="66">
        <v>0</v>
      </c>
      <c r="X22" s="66">
        <v>0</v>
      </c>
    </row>
    <row r="23" spans="1:24" x14ac:dyDescent="0.25">
      <c r="E23" cm="1">
        <f t="array" ref="E23">100 + ROW() - ROW(tblCO[#Headers])</f>
        <v>104</v>
      </c>
      <c r="F23" t="s">
        <v>194</v>
      </c>
      <c r="G23" s="40">
        <v>46228</v>
      </c>
      <c r="H23" s="40">
        <f>tblCO[[#This Row],[Issued]]+_xlfn.XLOOKUP(tblCO[[#This Row],[Customer]],tblCT[Customer], tblCT[Terms])</f>
        <v>46288</v>
      </c>
      <c r="I23">
        <v>1591</v>
      </c>
      <c r="K23" s="2"/>
    </row>
    <row r="24" spans="1:24" x14ac:dyDescent="0.25">
      <c r="E24" cm="1">
        <f t="array" ref="E24">100 + ROW() - ROW(tblCO[#Headers])</f>
        <v>105</v>
      </c>
      <c r="F24" t="s">
        <v>195</v>
      </c>
      <c r="G24" s="40">
        <v>46235</v>
      </c>
      <c r="H24" s="40">
        <f>tblCO[[#This Row],[Issued]]+_xlfn.XLOOKUP(tblCO[[#This Row],[Customer]],tblCT[Customer], tblCT[Terms])</f>
        <v>46250</v>
      </c>
      <c r="I24">
        <v>1788</v>
      </c>
      <c r="K24" s="2" t="s">
        <v>157</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197" t="s">
        <v>146</v>
      </c>
      <c r="B25" s="201"/>
      <c r="C25" s="201"/>
      <c r="E25" cm="1">
        <f t="array" ref="E25">100 + ROW() - ROW(tblCO[#Headers])</f>
        <v>106</v>
      </c>
      <c r="F25" t="s">
        <v>142</v>
      </c>
      <c r="G25" s="40">
        <v>46242</v>
      </c>
      <c r="H25" s="40">
        <f>tblCO[[#This Row],[Issued]]+_xlfn.XLOOKUP(tblCO[[#This Row],[Customer]],tblCT[Customer], tblCT[Terms])</f>
        <v>46272</v>
      </c>
      <c r="I25">
        <v>1985</v>
      </c>
    </row>
    <row r="26" spans="1:24" x14ac:dyDescent="0.25">
      <c r="A26" s="199"/>
      <c r="B26" s="198"/>
      <c r="C26" s="198"/>
      <c r="E26" cm="1">
        <f t="array" ref="E26">100 + ROW() - ROW(tblCO[#Headers])</f>
        <v>107</v>
      </c>
      <c r="F26" t="s">
        <v>143</v>
      </c>
      <c r="G26" s="40">
        <v>46249</v>
      </c>
      <c r="H26" s="40">
        <f>tblCO[[#This Row],[Issued]]+_xlfn.XLOOKUP(tblCO[[#This Row],[Customer]],tblCT[Customer], tblCT[Terms])</f>
        <v>46369</v>
      </c>
      <c r="I26">
        <v>2182</v>
      </c>
    </row>
    <row r="27" spans="1:24" x14ac:dyDescent="0.25">
      <c r="A27" s="13" t="s">
        <v>147</v>
      </c>
      <c r="B27" t="s">
        <v>140</v>
      </c>
      <c r="C27" s="13" t="s">
        <v>141</v>
      </c>
      <c r="E27" cm="1">
        <f t="array" ref="E27">100 + ROW() - ROW(tblCO[#Headers])</f>
        <v>108</v>
      </c>
      <c r="F27" t="s">
        <v>144</v>
      </c>
      <c r="G27" s="40">
        <v>46256</v>
      </c>
      <c r="H27" s="40">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142</v>
      </c>
      <c r="C28">
        <v>30</v>
      </c>
      <c r="E28" cm="1">
        <f t="array" ref="E28">100 + ROW() - ROW(tblCO[#Headers])</f>
        <v>109</v>
      </c>
      <c r="F28" t="s">
        <v>194</v>
      </c>
      <c r="G28" s="40">
        <v>46266</v>
      </c>
      <c r="H28" s="40">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143</v>
      </c>
      <c r="C29">
        <v>120</v>
      </c>
      <c r="E29" cm="1">
        <f t="array" ref="E29">100 + ROW() - ROW(tblCO[#Headers])</f>
        <v>110</v>
      </c>
      <c r="F29" t="s">
        <v>195</v>
      </c>
      <c r="G29" s="40">
        <v>46273</v>
      </c>
      <c r="H29" s="40">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144</v>
      </c>
      <c r="C30">
        <v>45</v>
      </c>
      <c r="E30" cm="1">
        <f t="array" ref="E30">100 + ROW() - ROW(tblCO[#Headers])</f>
        <v>111</v>
      </c>
      <c r="F30" t="s">
        <v>142</v>
      </c>
      <c r="G30" s="40">
        <v>46280</v>
      </c>
      <c r="H30" s="40">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194</v>
      </c>
      <c r="C31">
        <v>60</v>
      </c>
      <c r="E31" cm="1">
        <f t="array" ref="E31">100 + ROW() - ROW(tblCO[#Headers])</f>
        <v>112</v>
      </c>
      <c r="F31" t="s">
        <v>143</v>
      </c>
      <c r="G31" s="40">
        <v>46287</v>
      </c>
      <c r="H31" s="40">
        <f>tblCO[[#This Row],[Issued]]+_xlfn.XLOOKUP(tblCO[[#This Row],[Customer]],tblCT[Customer], tblCT[Terms])</f>
        <v>46407</v>
      </c>
      <c r="I31">
        <v>3167</v>
      </c>
    </row>
    <row r="32" spans="1:24" x14ac:dyDescent="0.25">
      <c r="A32" cm="1">
        <f t="array" ref="A32">ROW()-ROW(tblCT[#Headers])</f>
        <v>5</v>
      </c>
      <c r="B32" t="s">
        <v>195</v>
      </c>
      <c r="C32">
        <v>15</v>
      </c>
      <c r="E32" cm="1">
        <f t="array" ref="E32">100 + ROW() - ROW(tblCO[#Headers])</f>
        <v>113</v>
      </c>
      <c r="F32" t="s">
        <v>144</v>
      </c>
      <c r="G32" s="40">
        <v>46294</v>
      </c>
      <c r="H32" s="40">
        <f>tblCO[[#This Row],[Issued]]+_xlfn.XLOOKUP(tblCO[[#This Row],[Customer]],tblCT[Customer], tblCT[Terms])</f>
        <v>46339</v>
      </c>
      <c r="I32">
        <v>3364</v>
      </c>
    </row>
    <row r="33" spans="5:9" x14ac:dyDescent="0.25">
      <c r="E33" cm="1">
        <f t="array" ref="E33">100 + ROW() - ROW(tblCO[#Headers])</f>
        <v>114</v>
      </c>
      <c r="F33" t="s">
        <v>194</v>
      </c>
      <c r="G33" s="40">
        <v>46300</v>
      </c>
      <c r="H33" s="40">
        <f>tblCO[[#This Row],[Issued]]+_xlfn.XLOOKUP(tblCO[[#This Row],[Customer]],tblCT[Customer], tblCT[Terms])</f>
        <v>46360</v>
      </c>
      <c r="I33">
        <v>3561</v>
      </c>
    </row>
    <row r="34" spans="5:9" x14ac:dyDescent="0.25">
      <c r="E34" cm="1">
        <f t="array" ref="E34">100 + ROW() - ROW(tblCO[#Headers])</f>
        <v>115</v>
      </c>
      <c r="F34" t="s">
        <v>195</v>
      </c>
      <c r="G34" s="40">
        <v>46307</v>
      </c>
      <c r="H34" s="40">
        <f>tblCO[[#This Row],[Issued]]+_xlfn.XLOOKUP(tblCO[[#This Row],[Customer]],tblCT[Customer], tblCT[Terms])</f>
        <v>46322</v>
      </c>
      <c r="I34">
        <v>3758</v>
      </c>
    </row>
    <row r="35" spans="5:9" x14ac:dyDescent="0.25">
      <c r="E35" cm="1">
        <f t="array" ref="E35">100 + ROW() - ROW(tblCO[#Headers])</f>
        <v>116</v>
      </c>
      <c r="F35" t="s">
        <v>142</v>
      </c>
      <c r="G35" s="40">
        <v>46314</v>
      </c>
      <c r="H35" s="40">
        <f>tblCO[[#This Row],[Issued]]+_xlfn.XLOOKUP(tblCO[[#This Row],[Customer]],tblCT[Customer], tblCT[Terms])</f>
        <v>46344</v>
      </c>
      <c r="I35">
        <v>3955</v>
      </c>
    </row>
    <row r="36" spans="5:9" x14ac:dyDescent="0.25">
      <c r="E36" cm="1">
        <f t="array" ref="E36">100 + ROW() - ROW(tblCO[#Headers])</f>
        <v>117</v>
      </c>
      <c r="F36" t="s">
        <v>143</v>
      </c>
      <c r="G36" s="40">
        <v>46321</v>
      </c>
      <c r="H36" s="40">
        <f>tblCO[[#This Row],[Issued]]+_xlfn.XLOOKUP(tblCO[[#This Row],[Customer]],tblCT[Customer], tblCT[Terms])</f>
        <v>46441</v>
      </c>
      <c r="I36">
        <v>4152</v>
      </c>
    </row>
    <row r="37" spans="5:9" x14ac:dyDescent="0.25">
      <c r="E37" cm="1">
        <f t="array" ref="E37">100 + ROW() - ROW(tblCO[#Headers])</f>
        <v>118</v>
      </c>
      <c r="F37" t="s">
        <v>144</v>
      </c>
      <c r="G37" s="40">
        <v>46329</v>
      </c>
      <c r="H37" s="40">
        <f>tblCO[[#This Row],[Issued]]+_xlfn.XLOOKUP(tblCO[[#This Row],[Customer]],tblCT[Customer], tblCT[Terms])</f>
        <v>46374</v>
      </c>
      <c r="I37">
        <v>4349</v>
      </c>
    </row>
    <row r="38" spans="5:9" x14ac:dyDescent="0.25">
      <c r="E38" cm="1">
        <f t="array" ref="E38">100 + ROW() - ROW(tblCO[#Headers])</f>
        <v>119</v>
      </c>
      <c r="F38" t="s">
        <v>194</v>
      </c>
      <c r="G38" s="40">
        <v>46336</v>
      </c>
      <c r="H38" s="40">
        <f>tblCO[[#This Row],[Issued]]+_xlfn.XLOOKUP(tblCO[[#This Row],[Customer]],tblCT[Customer], tblCT[Terms])</f>
        <v>46396</v>
      </c>
      <c r="I38">
        <v>4546</v>
      </c>
    </row>
    <row r="39" spans="5:9" x14ac:dyDescent="0.25">
      <c r="E39" cm="1">
        <f t="array" ref="E39">100 + ROW() - ROW(tblCO[#Headers])</f>
        <v>120</v>
      </c>
      <c r="F39" t="s">
        <v>195</v>
      </c>
      <c r="G39" s="40">
        <v>46343</v>
      </c>
      <c r="H39" s="40">
        <f>tblCO[[#This Row],[Issued]]+_xlfn.XLOOKUP(tblCO[[#This Row],[Customer]],tblCT[Customer], tblCT[Terms])</f>
        <v>46358</v>
      </c>
      <c r="I39">
        <v>4743</v>
      </c>
    </row>
    <row r="40" spans="5:9" x14ac:dyDescent="0.25">
      <c r="E40" cm="1">
        <f t="array" ref="E40">100 + ROW() - ROW(tblCO[#Headers])</f>
        <v>121</v>
      </c>
      <c r="F40" t="s">
        <v>142</v>
      </c>
      <c r="G40" s="40">
        <v>46350</v>
      </c>
      <c r="H40" s="40">
        <f>tblCO[[#This Row],[Issued]]+_xlfn.XLOOKUP(tblCO[[#This Row],[Customer]],tblCT[Customer], tblCT[Terms])</f>
        <v>46380</v>
      </c>
      <c r="I40">
        <v>4940</v>
      </c>
    </row>
    <row r="41" spans="5:9" x14ac:dyDescent="0.25">
      <c r="E41" s="67" t="s">
        <v>5</v>
      </c>
      <c r="F41" s="67"/>
      <c r="G41" s="68"/>
      <c r="H41" s="68"/>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drawing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2B1A54"/>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186" t="str">
        <f ca="1">_xlfn.TEXTAFTER(CELL("filename",A1),"]")</f>
        <v>oz.ScheduleValuesByItemsλ</v>
      </c>
      <c r="B1" s="186"/>
      <c r="C1" s="186"/>
      <c r="D1" s="186"/>
      <c r="E1" s="186"/>
      <c r="F1" s="186"/>
      <c r="G1" s="186"/>
      <c r="H1" s="186"/>
      <c r="I1" s="186"/>
      <c r="J1" s="186"/>
      <c r="K1" s="186"/>
      <c r="L1" s="186"/>
      <c r="M1" s="186"/>
      <c r="N1" s="186"/>
      <c r="O1" s="186"/>
      <c r="P1" s="186"/>
      <c r="Q1" s="186"/>
    </row>
    <row r="2" spans="1:17" x14ac:dyDescent="0.25">
      <c r="A2" s="187" t="s">
        <v>80</v>
      </c>
      <c r="B2" s="188"/>
      <c r="C2" s="188"/>
      <c r="D2" s="188"/>
      <c r="E2" s="188"/>
      <c r="F2" s="188"/>
      <c r="G2" s="188"/>
      <c r="H2" s="188"/>
      <c r="I2" s="188"/>
      <c r="J2" s="188"/>
      <c r="K2" s="188"/>
      <c r="L2" s="188"/>
      <c r="M2" s="188"/>
      <c r="N2" s="188"/>
      <c r="O2" s="188"/>
      <c r="P2" s="188"/>
      <c r="Q2" s="189"/>
    </row>
    <row r="3" spans="1:17" x14ac:dyDescent="0.25">
      <c r="A3" s="138"/>
      <c r="B3" s="139"/>
      <c r="C3" s="139"/>
      <c r="D3" s="139"/>
      <c r="E3" s="139"/>
      <c r="F3" s="139"/>
      <c r="G3" s="139"/>
      <c r="H3" s="139"/>
      <c r="I3" s="139"/>
      <c r="J3" s="139"/>
      <c r="K3" s="139"/>
      <c r="L3" s="139"/>
      <c r="M3" s="139"/>
      <c r="N3" s="139"/>
      <c r="O3" s="139"/>
      <c r="P3" s="139"/>
      <c r="Q3" s="139"/>
    </row>
    <row r="4" spans="1:17" x14ac:dyDescent="0.25">
      <c r="A4" s="61"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
      </c>
      <c r="B15" t="str">
        <v>An item with no rows in the schedule totals nought in every period.</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oz.Timelineλ( "1/7/2026"), oz.Timelineλ( "1/7/2026",,,FALSE),</v>
      </c>
    </row>
    <row r="19" spans="1:24" x14ac:dyDescent="0.25">
      <c r="A19" t="str">
        <v/>
      </c>
      <c r="B19" t="str">
        <v>UNIQUE( tblExp[Items]), tblExp[Items], tblExp[Dates], tblExp[Amount])</v>
      </c>
    </row>
    <row r="22" spans="1:24" ht="21" x14ac:dyDescent="0.35">
      <c r="A22" s="200" t="s">
        <v>148</v>
      </c>
      <c r="B22" s="200"/>
      <c r="C22" s="200"/>
      <c r="E22" s="190" t="s">
        <v>154</v>
      </c>
      <c r="F22" s="205"/>
      <c r="G22" s="205"/>
      <c r="H22" s="205"/>
      <c r="I22" s="191"/>
      <c r="L22" s="65" t="s">
        <v>155</v>
      </c>
      <c r="M22" s="69" cm="1">
        <f t="array" ref="M22:X22">oz.Timelineλ($B$25, $B$26, $B$27, FALSE)</f>
        <v>46234</v>
      </c>
      <c r="N22" s="69">
        <v>46265</v>
      </c>
      <c r="O22" s="69">
        <v>46295</v>
      </c>
      <c r="P22" s="69">
        <v>46326</v>
      </c>
      <c r="Q22" s="69">
        <v>46356</v>
      </c>
      <c r="R22" s="69">
        <v>46387</v>
      </c>
      <c r="S22" s="69">
        <v>46418</v>
      </c>
      <c r="T22" s="69">
        <v>46446</v>
      </c>
      <c r="U22" s="69">
        <v>46477</v>
      </c>
      <c r="V22" s="69">
        <v>46507</v>
      </c>
      <c r="W22" s="69">
        <v>46538</v>
      </c>
      <c r="X22" s="69">
        <v>46568</v>
      </c>
    </row>
    <row r="23" spans="1:24" x14ac:dyDescent="0.25">
      <c r="K23" s="60" t="s">
        <v>140</v>
      </c>
      <c r="L23" s="48" t="s">
        <v>152</v>
      </c>
      <c r="M23" s="55"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60" t="s">
        <v>149</v>
      </c>
      <c r="B24" s="60" t="s">
        <v>14</v>
      </c>
      <c r="C24" s="60" t="s">
        <v>15</v>
      </c>
      <c r="E24" s="59" t="str" cm="1">
        <f t="array" ref="E24:I46">tblCO[#All]</f>
        <v>Inv.#</v>
      </c>
      <c r="F24" s="59" t="str">
        <v>Customer</v>
      </c>
      <c r="G24" s="59" t="str">
        <v>Issued</v>
      </c>
      <c r="H24" s="59" t="str">
        <v>Exp. Receipt</v>
      </c>
      <c r="I24" s="59" t="str">
        <v>Amount</v>
      </c>
      <c r="L24" s="24" t="s">
        <v>151</v>
      </c>
    </row>
    <row r="25" spans="1:24" x14ac:dyDescent="0.25">
      <c r="A25" t="s">
        <v>112</v>
      </c>
      <c r="B25" s="40">
        <v>46204</v>
      </c>
      <c r="C25" t="s">
        <v>21</v>
      </c>
      <c r="E25">
        <v>101</v>
      </c>
      <c r="F25" t="str">
        <v>ACME</v>
      </c>
      <c r="G25" s="40">
        <v>46207</v>
      </c>
      <c r="H25" s="40">
        <v>46237</v>
      </c>
      <c r="I25">
        <v>1000</v>
      </c>
      <c r="K25" t="str" cm="1">
        <f t="array" ref="K25:K29">tblCT[Customer]</f>
        <v>ACME</v>
      </c>
      <c r="L25" cm="1">
        <f t="array" ref="L25:L29">oz.SumRowsλ(_xlfn.ANCHORARRAY(M25))</f>
        <v>14850</v>
      </c>
      <c r="M25" s="61"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17</v>
      </c>
      <c r="B26">
        <v>12</v>
      </c>
      <c r="C26" t="s">
        <v>22</v>
      </c>
      <c r="E26">
        <v>102</v>
      </c>
      <c r="F26" t="str">
        <v>Wool*Art</v>
      </c>
      <c r="G26" s="40">
        <v>46214</v>
      </c>
      <c r="H26" s="40">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18</v>
      </c>
      <c r="B27" t="s">
        <v>20</v>
      </c>
      <c r="E27">
        <v>103</v>
      </c>
      <c r="F27" t="str">
        <v>Town Hall</v>
      </c>
      <c r="G27" s="40">
        <v>46221</v>
      </c>
      <c r="H27" s="40">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40">
        <v>46228</v>
      </c>
      <c r="H28" s="40">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40">
        <v>46235</v>
      </c>
      <c r="H29" s="40">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206" t="s">
        <v>146</v>
      </c>
      <c r="B30" s="207"/>
      <c r="C30" s="207"/>
      <c r="E30">
        <v>106</v>
      </c>
      <c r="F30" t="str">
        <v>ACME</v>
      </c>
      <c r="G30" s="40">
        <v>46242</v>
      </c>
      <c r="H30" s="40">
        <v>46272</v>
      </c>
      <c r="I30">
        <v>1985</v>
      </c>
      <c r="K30" s="66" t="s">
        <v>159</v>
      </c>
      <c r="L30" s="66">
        <f>SUM(_xlfn.ANCHORARRAY(M30))</f>
        <v>62370</v>
      </c>
      <c r="M30" s="66" cm="1">
        <f t="array" ref="M30:X30">oz.SumColsλ(_xlfn.ANCHORARRAY(M25))</f>
        <v>5182</v>
      </c>
      <c r="N30" s="66">
        <v>8334</v>
      </c>
      <c r="O30" s="66">
        <v>14850</v>
      </c>
      <c r="P30" s="66">
        <v>15426</v>
      </c>
      <c r="Q30" s="66">
        <v>18578</v>
      </c>
      <c r="R30" s="66">
        <v>0</v>
      </c>
      <c r="S30" s="66">
        <v>0</v>
      </c>
      <c r="T30" s="66">
        <v>0</v>
      </c>
      <c r="U30" s="66">
        <v>0</v>
      </c>
      <c r="V30" s="66">
        <v>0</v>
      </c>
      <c r="W30" s="66">
        <v>0</v>
      </c>
      <c r="X30" s="66">
        <v>0</v>
      </c>
    </row>
    <row r="31" spans="1:24" x14ac:dyDescent="0.25">
      <c r="E31">
        <v>107</v>
      </c>
      <c r="F31" t="str">
        <v>Wool*Art</v>
      </c>
      <c r="G31" s="40">
        <v>46249</v>
      </c>
      <c r="H31" s="40">
        <v>46369</v>
      </c>
      <c r="I31">
        <v>2182</v>
      </c>
    </row>
    <row r="32" spans="1:24" x14ac:dyDescent="0.25">
      <c r="A32" s="59" t="str" cm="1">
        <f t="array" ref="A32:C37">tblCT[#All]</f>
        <v>ID#</v>
      </c>
      <c r="B32" s="60" t="str">
        <v>Customer</v>
      </c>
      <c r="C32" s="59" t="str">
        <v>Terms</v>
      </c>
      <c r="E32">
        <v>108</v>
      </c>
      <c r="F32" t="str">
        <v>Town Hall</v>
      </c>
      <c r="G32" s="40">
        <v>46256</v>
      </c>
      <c r="H32" s="40">
        <v>46301</v>
      </c>
      <c r="I32">
        <v>2379</v>
      </c>
      <c r="L32" s="24" t="s">
        <v>160</v>
      </c>
    </row>
    <row r="33" spans="1:24" x14ac:dyDescent="0.25">
      <c r="A33">
        <v>1</v>
      </c>
      <c r="B33" t="str">
        <v>ACME</v>
      </c>
      <c r="C33">
        <v>30</v>
      </c>
      <c r="E33">
        <v>109</v>
      </c>
      <c r="F33" t="str">
        <v>Jacqie Penee</v>
      </c>
      <c r="G33" s="40">
        <v>46266</v>
      </c>
      <c r="H33" s="40">
        <v>46326</v>
      </c>
      <c r="I33">
        <v>2576</v>
      </c>
      <c r="K33" t="str" cm="1">
        <f t="array" ref="K33:K37">tblCT[Customer]</f>
        <v>ACME</v>
      </c>
      <c r="L33" cm="1">
        <f t="array" ref="L33:L37">oz.SumRowsλ(_xlfn.ANCHORARRAY(M33))</f>
        <v>14850</v>
      </c>
      <c r="M33" s="61"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40">
        <v>46273</v>
      </c>
      <c r="H34" s="40">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40">
        <v>46280</v>
      </c>
      <c r="H35" s="40">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40">
        <v>46287</v>
      </c>
      <c r="H36" s="40">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40">
        <v>46294</v>
      </c>
      <c r="H37" s="40">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40">
        <v>46300</v>
      </c>
      <c r="H38" s="40">
        <v>46360</v>
      </c>
      <c r="I38">
        <v>3561</v>
      </c>
      <c r="K38" s="66" t="s">
        <v>159</v>
      </c>
      <c r="L38" s="66">
        <f>SUM(_xlfn.ANCHORARRAY(M38))</f>
        <v>62370</v>
      </c>
      <c r="M38" s="66" cm="1">
        <f t="array" ref="M38:X38">oz.SumColsλ(_xlfn.ANCHORARRAY(M33))</f>
        <v>0</v>
      </c>
      <c r="N38" s="66">
        <v>2788</v>
      </c>
      <c r="O38" s="66">
        <v>7743</v>
      </c>
      <c r="P38" s="66">
        <v>11683</v>
      </c>
      <c r="Q38" s="66">
        <v>8516</v>
      </c>
      <c r="R38" s="66">
        <v>19775</v>
      </c>
      <c r="S38" s="66">
        <v>7713</v>
      </c>
      <c r="T38" s="66">
        <v>4152</v>
      </c>
      <c r="U38" s="66">
        <v>0</v>
      </c>
      <c r="V38" s="66">
        <v>0</v>
      </c>
      <c r="W38" s="66">
        <v>0</v>
      </c>
      <c r="X38" s="66">
        <v>0</v>
      </c>
    </row>
    <row r="39" spans="1:24" x14ac:dyDescent="0.25">
      <c r="E39">
        <v>115</v>
      </c>
      <c r="F39" t="str">
        <v>Amazonia</v>
      </c>
      <c r="G39" s="40">
        <v>46307</v>
      </c>
      <c r="H39" s="40">
        <v>46322</v>
      </c>
      <c r="I39">
        <v>3758</v>
      </c>
    </row>
    <row r="40" spans="1:24" ht="15.75" thickBot="1" x14ac:dyDescent="0.3">
      <c r="E40">
        <v>116</v>
      </c>
      <c r="F40" t="str">
        <v>ACME</v>
      </c>
      <c r="G40" s="40">
        <v>46314</v>
      </c>
      <c r="H40" s="40">
        <v>46344</v>
      </c>
      <c r="I40">
        <v>3955</v>
      </c>
      <c r="L40" s="24" t="s">
        <v>158</v>
      </c>
      <c r="M40" s="70" cm="1">
        <f t="array" ref="M40:X40">_xlfn.ANCHORARRAY(M30)-_xlfn.ANCHORARRAY(M38)</f>
        <v>5182</v>
      </c>
      <c r="N40" s="70">
        <v>5546</v>
      </c>
      <c r="O40" s="70">
        <v>7107</v>
      </c>
      <c r="P40" s="70">
        <v>3743</v>
      </c>
      <c r="Q40" s="70">
        <v>10062</v>
      </c>
      <c r="R40" s="70">
        <v>-19775</v>
      </c>
      <c r="S40" s="70">
        <v>-7713</v>
      </c>
      <c r="T40" s="70">
        <v>-4152</v>
      </c>
      <c r="U40" s="70">
        <v>0</v>
      </c>
      <c r="V40" s="70">
        <v>0</v>
      </c>
      <c r="W40" s="70">
        <v>0</v>
      </c>
      <c r="X40" s="70">
        <v>0</v>
      </c>
    </row>
    <row r="41" spans="1:24" ht="15.75" thickTop="1" x14ac:dyDescent="0.25">
      <c r="E41">
        <v>117</v>
      </c>
      <c r="F41" t="str">
        <v>Wool*Art</v>
      </c>
      <c r="G41" s="40">
        <v>46321</v>
      </c>
      <c r="H41" s="40">
        <v>46441</v>
      </c>
      <c r="I41">
        <v>4152</v>
      </c>
    </row>
    <row r="42" spans="1:24" x14ac:dyDescent="0.25">
      <c r="E42">
        <v>118</v>
      </c>
      <c r="F42" t="str">
        <v>Town Hall</v>
      </c>
      <c r="G42" s="40">
        <v>46329</v>
      </c>
      <c r="H42" s="40">
        <v>46374</v>
      </c>
      <c r="I42">
        <v>4349</v>
      </c>
      <c r="L42" s="24" t="s">
        <v>157</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40">
        <v>46336</v>
      </c>
      <c r="H43" s="40">
        <v>46396</v>
      </c>
      <c r="I43">
        <v>4546</v>
      </c>
    </row>
    <row r="44" spans="1:24" x14ac:dyDescent="0.25">
      <c r="E44">
        <v>120</v>
      </c>
      <c r="F44" t="str">
        <v>Amazonia</v>
      </c>
      <c r="G44" s="40">
        <v>46343</v>
      </c>
      <c r="H44" s="40">
        <v>46358</v>
      </c>
      <c r="I44">
        <v>4743</v>
      </c>
    </row>
    <row r="45" spans="1:24" x14ac:dyDescent="0.25">
      <c r="E45">
        <v>121</v>
      </c>
      <c r="F45" t="str">
        <v>ACME</v>
      </c>
      <c r="G45" s="40">
        <v>46350</v>
      </c>
      <c r="H45" s="40">
        <v>46380</v>
      </c>
      <c r="I45">
        <v>4940</v>
      </c>
    </row>
    <row r="46" spans="1:24" x14ac:dyDescent="0.25">
      <c r="E46" s="104" t="str">
        <v>Total</v>
      </c>
      <c r="F46" s="104">
        <v>0</v>
      </c>
      <c r="G46" s="105">
        <v>0</v>
      </c>
      <c r="H46" s="105">
        <v>0</v>
      </c>
      <c r="I46" s="66">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2B1A54"/>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186" t="str">
        <f ca="1">_xlfn.TEXTAFTER(CELL("filename",A1),"]")</f>
        <v>oz.Timelineλ</v>
      </c>
      <c r="B1" s="186"/>
      <c r="C1" s="186"/>
      <c r="D1" s="186"/>
      <c r="E1" s="186"/>
      <c r="F1" s="186"/>
      <c r="G1" s="186"/>
      <c r="H1" s="186"/>
      <c r="I1" s="186"/>
      <c r="J1" s="186"/>
      <c r="K1" s="186"/>
      <c r="L1" s="186"/>
      <c r="M1" s="186"/>
      <c r="N1" s="186"/>
    </row>
    <row r="2" spans="1:17" x14ac:dyDescent="0.25">
      <c r="A2" s="187" t="s">
        <v>81</v>
      </c>
      <c r="B2" s="192"/>
      <c r="C2" s="192"/>
      <c r="D2" s="192"/>
      <c r="E2" s="192"/>
      <c r="F2" s="192"/>
      <c r="G2" s="192"/>
      <c r="H2" s="192"/>
      <c r="I2" s="192"/>
      <c r="J2" s="192"/>
      <c r="K2" s="192"/>
      <c r="L2" s="192"/>
      <c r="M2" s="192"/>
      <c r="N2" s="192"/>
      <c r="O2" s="192"/>
      <c r="P2" s="192"/>
      <c r="Q2" s="192"/>
    </row>
    <row r="3" spans="1:17" x14ac:dyDescent="0.25">
      <c r="A3" s="208"/>
      <c r="B3" s="208"/>
      <c r="C3" s="208"/>
      <c r="D3" s="208"/>
      <c r="E3" s="208"/>
      <c r="F3" s="208"/>
      <c r="G3" s="208"/>
      <c r="H3" s="208"/>
      <c r="I3" s="208"/>
      <c r="J3" s="208"/>
      <c r="K3" s="208"/>
      <c r="L3" s="208"/>
      <c r="M3" s="208"/>
      <c r="N3" s="208"/>
    </row>
    <row r="4" spans="1:17" x14ac:dyDescent="0.25">
      <c r="A4" s="30"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25</v>
      </c>
    </row>
    <row r="19" spans="1:16" x14ac:dyDescent="0.25">
      <c r="A19" s="14" t="s">
        <v>13</v>
      </c>
      <c r="B19" s="15" t="s">
        <v>14</v>
      </c>
      <c r="C19" s="14" t="s">
        <v>15</v>
      </c>
      <c r="E19" s="35"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16</v>
      </c>
      <c r="B20" s="18">
        <v>46204</v>
      </c>
      <c r="C20" t="s">
        <v>21</v>
      </c>
    </row>
    <row r="21" spans="1:16" x14ac:dyDescent="0.25">
      <c r="A21" t="s">
        <v>17</v>
      </c>
      <c r="B21" s="17">
        <v>12</v>
      </c>
      <c r="C21" t="s">
        <v>22</v>
      </c>
    </row>
    <row r="22" spans="1:16" x14ac:dyDescent="0.25">
      <c r="A22" t="s">
        <v>18</v>
      </c>
      <c r="B22" s="17" t="s">
        <v>20</v>
      </c>
      <c r="C22" t="s">
        <v>24</v>
      </c>
    </row>
    <row r="23" spans="1:16" x14ac:dyDescent="0.25">
      <c r="A23" t="s">
        <v>19</v>
      </c>
      <c r="B23" s="17" t="b">
        <v>1</v>
      </c>
      <c r="C23" t="s">
        <v>23</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5C2D91"/>
    <pageSetUpPr fitToPage="1"/>
  </sheetPr>
  <dimension ref="A1:DW43"/>
  <sheetViews>
    <sheetView showGridLines="0" workbookViewId="0">
      <pane xSplit="8" topLeftCell="I1" activePane="topRight" state="frozen"/>
      <selection sqref="A1:P1"/>
      <selection pane="topRight" activeCell="I1" sqref="I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186" t="str">
        <f ca="1">_xlfn.TEXTAFTER(CELL("filename",A1),"]")</f>
        <v>oz.Amortiseλ</v>
      </c>
      <c r="B1" s="186"/>
      <c r="C1" s="186"/>
      <c r="D1" s="186"/>
      <c r="E1" s="186"/>
      <c r="F1" s="186"/>
      <c r="G1" s="186"/>
      <c r="H1" s="186"/>
      <c r="I1" s="186"/>
      <c r="J1" s="186"/>
      <c r="K1" s="186"/>
      <c r="L1" s="186"/>
      <c r="M1" s="186"/>
      <c r="N1" s="186"/>
      <c r="O1" s="186"/>
      <c r="P1" s="186"/>
    </row>
    <row r="2" spans="1:17" x14ac:dyDescent="0.25">
      <c r="A2" s="187" t="s">
        <v>82</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209"/>
      <c r="L3" s="209"/>
      <c r="M3" s="209"/>
      <c r="N3" s="209"/>
      <c r="O3" s="209"/>
      <c r="P3" s="209"/>
    </row>
    <row r="4" spans="1:17" x14ac:dyDescent="0.25">
      <c r="A4" s="30" t="str" cm="1">
        <f t="array" ref="A4:B19">oz.Amortiseλ()</f>
        <v>FUNCTION:</v>
      </c>
      <c r="B4" t="str">
        <v>Amortiseλ( Principals, APRs, Terms, StartDates, [Timeline])</v>
      </c>
      <c r="K4" s="209"/>
      <c r="L4" s="209"/>
      <c r="M4" s="209"/>
      <c r="N4" s="209"/>
      <c r="O4" s="209"/>
      <c r="P4" s="209"/>
    </row>
    <row r="5" spans="1:17" x14ac:dyDescent="0.25">
      <c r="A5" t="str">
        <v>DESCRIPTION:</v>
      </c>
      <c r="B5" t="str">
        <v>Creates an amortisation schedule array for one or more loans.</v>
      </c>
      <c r="K5" s="209"/>
      <c r="L5" s="209"/>
      <c r="M5" s="209"/>
      <c r="N5" s="209"/>
      <c r="O5" s="209"/>
      <c r="P5" s="209"/>
    </row>
    <row r="6" spans="1:17" x14ac:dyDescent="0.25">
      <c r="A6" t="str">
        <v/>
      </c>
      <c r="B6" t="str">
        <v>Payments are assumed monthly. On periods shorter than a month the figures for each month land in the period holding its start, the rest nil.</v>
      </c>
      <c r="K6" s="209"/>
      <c r="L6" s="209"/>
      <c r="M6" s="209"/>
      <c r="N6" s="209"/>
      <c r="O6" s="209"/>
      <c r="P6" s="209"/>
    </row>
    <row r="7" spans="1:17" x14ac:dyDescent="0.25">
      <c r="A7" t="str">
        <v/>
      </c>
      <c r="B7" t="str">
        <v>Use LabelAmortiseλ() to apply labels to this function's results:</v>
      </c>
      <c r="K7" s="209"/>
      <c r="L7" s="209"/>
      <c r="M7" s="209"/>
      <c r="N7" s="209"/>
      <c r="O7" s="209"/>
      <c r="P7" s="209"/>
    </row>
    <row r="8" spans="1:17" x14ac:dyDescent="0.25">
      <c r="A8" t="str">
        <v/>
      </c>
      <c r="B8" t="str">
        <v>Use SumAmortiseλ() to apply totals to this function's results:</v>
      </c>
      <c r="K8" s="209"/>
      <c r="L8" s="209"/>
      <c r="M8" s="209"/>
      <c r="N8" s="209"/>
      <c r="O8" s="209"/>
      <c r="P8" s="209"/>
    </row>
    <row r="9" spans="1:17" x14ac:dyDescent="0.25">
      <c r="A9" t="str">
        <v>WEBPAGE:</v>
      </c>
      <c r="B9" t="str">
        <v>https://github.com/ryanduguid/Ozzit</v>
      </c>
      <c r="K9" s="209"/>
      <c r="L9" s="209"/>
      <c r="M9" s="209"/>
      <c r="N9" s="209"/>
      <c r="O9" s="209"/>
      <c r="P9" s="209"/>
    </row>
    <row r="10" spans="1:17" x14ac:dyDescent="0.25">
      <c r="A10" t="str">
        <v>VERSION:</v>
      </c>
      <c r="B10" t="str">
        <v>20 Aug 2026</v>
      </c>
      <c r="K10" s="209"/>
      <c r="L10" s="209"/>
      <c r="M10" s="209"/>
      <c r="N10" s="209"/>
      <c r="O10" s="209"/>
      <c r="P10" s="209"/>
    </row>
    <row r="11" spans="1:17" x14ac:dyDescent="0.25">
      <c r="A11" t="str">
        <v>PARAMETERS:</v>
      </c>
      <c r="B11" t="str">
        <v/>
      </c>
      <c r="K11" s="209"/>
      <c r="L11" s="209"/>
      <c r="M11" s="209"/>
      <c r="N11" s="209"/>
      <c r="O11" s="209"/>
      <c r="P11" s="209"/>
    </row>
    <row r="12" spans="1:17" x14ac:dyDescent="0.25">
      <c r="A12" t="str">
        <v>Principals</v>
      </c>
      <c r="B12" t="str">
        <v>(Required) Loan/debt amounts.</v>
      </c>
      <c r="K12" s="209"/>
      <c r="L12" s="209"/>
      <c r="M12" s="209"/>
      <c r="N12" s="209"/>
      <c r="O12" s="209"/>
      <c r="P12" s="209"/>
    </row>
    <row r="13" spans="1:17" x14ac:dyDescent="0.25">
      <c r="A13" t="str">
        <v>APRs</v>
      </c>
      <c r="B13" t="str">
        <v>(Required) Annual Percentage Rates for interest.</v>
      </c>
      <c r="K13" s="209"/>
      <c r="L13" s="209"/>
      <c r="M13" s="209"/>
      <c r="N13" s="209"/>
      <c r="O13" s="209"/>
      <c r="P13" s="209"/>
    </row>
    <row r="14" spans="1:17" x14ac:dyDescent="0.25">
      <c r="A14" t="str">
        <v>Terms</v>
      </c>
      <c r="B14" t="str">
        <v>(Required) Number of months for loans/debts.</v>
      </c>
      <c r="K14" s="209"/>
      <c r="L14" s="209"/>
      <c r="M14" s="209"/>
      <c r="N14" s="209"/>
      <c r="O14" s="209"/>
      <c r="P14" s="209"/>
    </row>
    <row r="15" spans="1:17" x14ac:dyDescent="0.25">
      <c r="A15" t="str">
        <v>StartDates</v>
      </c>
      <c r="B15" t="str">
        <v>(Required) Dates debts are issued.</v>
      </c>
      <c r="K15" s="209"/>
      <c r="L15" s="209"/>
      <c r="M15" s="209"/>
      <c r="N15" s="209"/>
      <c r="O15" s="209"/>
      <c r="P15" s="209"/>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(oz is assumed to be the module's name)</v>
      </c>
    </row>
    <row r="19" spans="1:127" x14ac:dyDescent="0.25">
      <c r="A19" t="str">
        <v/>
      </c>
      <c r="B19" t="str">
        <v>=oz.Amortiseλ(10000, 5%, 4 * 12, "2026-07-01")</v>
      </c>
    </row>
    <row r="21" spans="1:127" ht="21" x14ac:dyDescent="0.35">
      <c r="A21" s="197" t="s">
        <v>193</v>
      </c>
      <c r="B21" s="201"/>
      <c r="C21" s="201"/>
      <c r="D21" s="201"/>
      <c r="E21" s="201"/>
    </row>
    <row r="22" spans="1:127" x14ac:dyDescent="0.25">
      <c r="A22" s="199"/>
      <c r="B22" s="198"/>
      <c r="C22" s="198"/>
      <c r="D22" s="198"/>
      <c r="E22" s="198"/>
      <c r="G22" s="84" t="s">
        <v>18</v>
      </c>
      <c r="H22" s="23" t="s">
        <v>2</v>
      </c>
    </row>
    <row r="23" spans="1:127" x14ac:dyDescent="0.25">
      <c r="A23" s="71" t="s">
        <v>7</v>
      </c>
      <c r="B23" s="87" t="s">
        <v>161</v>
      </c>
      <c r="C23" s="87" t="s">
        <v>162</v>
      </c>
      <c r="D23" s="87" t="s">
        <v>163</v>
      </c>
      <c r="E23" s="87" t="s">
        <v>164</v>
      </c>
      <c r="F23" s="73"/>
      <c r="G23" s="127" t="s">
        <v>197</v>
      </c>
      <c r="H23" s="156"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88" t="s">
        <v>166</v>
      </c>
      <c r="B24" s="77">
        <v>51216</v>
      </c>
      <c r="C24" s="78">
        <v>7.0000000000000007E-2</v>
      </c>
      <c r="D24" s="79">
        <v>10</v>
      </c>
      <c r="E24" s="80">
        <v>46266</v>
      </c>
      <c r="G24" s="81" t="str" cm="1">
        <f t="array" ref="G24:G43">oz.LabelAmortiseλ(tblLoans[Description])</f>
        <v>Renovation Debt Issuance</v>
      </c>
      <c r="H24" s="85" cm="1">
        <f t="array" ref="H24:H43">oz.SumAmortiseλ(_xlfn.ANCHORARRAY(I24))</f>
        <v>0</v>
      </c>
      <c r="I24" s="86" cm="1">
        <f t="array" ref="I24:W43">oz.Amortiseλ(tblLoans[Principal],tblLoans[APR],tblLoans[Term],tblLoans[Start Date],_xlfn.ANCHORARRAY( I23))</f>
        <v>51216</v>
      </c>
      <c r="J24" s="85">
        <v>0</v>
      </c>
      <c r="K24" s="85">
        <v>0</v>
      </c>
      <c r="L24" s="85">
        <v>0</v>
      </c>
      <c r="M24" s="85">
        <v>0</v>
      </c>
      <c r="N24" s="85">
        <v>0</v>
      </c>
      <c r="O24" s="85">
        <v>0</v>
      </c>
      <c r="P24" s="85">
        <v>0</v>
      </c>
      <c r="Q24" s="85">
        <v>0</v>
      </c>
      <c r="R24" s="85">
        <v>0</v>
      </c>
      <c r="S24" s="85">
        <v>0</v>
      </c>
      <c r="T24" s="85">
        <v>0</v>
      </c>
      <c r="U24" s="85">
        <v>0</v>
      </c>
      <c r="V24" s="85">
        <v>0</v>
      </c>
      <c r="W24" s="47">
        <v>0</v>
      </c>
      <c r="X24" s="47"/>
      <c r="Y24" s="47"/>
      <c r="Z24" s="47"/>
      <c r="AA24" s="47"/>
      <c r="AB24" s="47"/>
      <c r="AC24" s="47"/>
      <c r="AD24" s="47"/>
      <c r="AE24" s="47"/>
      <c r="AF24" s="47"/>
      <c r="AG24" s="47"/>
      <c r="AH24" s="47"/>
      <c r="AI24" s="47"/>
      <c r="AJ24" s="47"/>
      <c r="AK24" s="47"/>
      <c r="AL24" s="47"/>
      <c r="AM24" s="47"/>
      <c r="AN24" s="47"/>
      <c r="AO24" s="47"/>
      <c r="AP24" s="47"/>
      <c r="AQ24" s="47"/>
      <c r="AR24" s="47"/>
      <c r="AS24" s="47"/>
      <c r="AT24" s="47"/>
      <c r="AU24" s="47"/>
      <c r="AV24" s="47"/>
      <c r="AW24" s="47"/>
      <c r="AX24" s="47"/>
      <c r="AY24" s="47"/>
      <c r="AZ24" s="47"/>
      <c r="BA24" s="47"/>
      <c r="BB24" s="47"/>
      <c r="BC24" s="47"/>
      <c r="BD24" s="47"/>
      <c r="BE24" s="47"/>
      <c r="BF24" s="47"/>
      <c r="BG24" s="47"/>
      <c r="BH24" s="47"/>
      <c r="BI24" s="47"/>
      <c r="BJ24" s="47"/>
      <c r="BK24" s="47"/>
      <c r="BL24" s="47"/>
      <c r="BM24" s="47"/>
      <c r="BN24" s="47"/>
      <c r="BO24" s="47"/>
      <c r="BP24" s="47"/>
      <c r="BQ24" s="47"/>
      <c r="BR24" s="47"/>
      <c r="BS24" s="47"/>
      <c r="BT24" s="47"/>
      <c r="BU24" s="47"/>
      <c r="BV24" s="47"/>
      <c r="BW24" s="47"/>
      <c r="BX24" s="47"/>
      <c r="BY24" s="47"/>
      <c r="BZ24" s="47"/>
      <c r="CA24" s="47"/>
    </row>
    <row r="25" spans="1:127" x14ac:dyDescent="0.25">
      <c r="A25" s="88" t="s">
        <v>167</v>
      </c>
      <c r="B25" s="77">
        <v>46218</v>
      </c>
      <c r="C25" s="78">
        <v>6.5000000000000002E-2</v>
      </c>
      <c r="D25" s="79">
        <v>10</v>
      </c>
      <c r="E25" s="80">
        <v>46204</v>
      </c>
      <c r="G25" s="81" t="str">
        <v>Renovation Debt Balance</v>
      </c>
      <c r="H25" s="85">
        <v>0</v>
      </c>
      <c r="I25" s="85">
        <v>51216</v>
      </c>
      <c r="J25" s="85">
        <v>0</v>
      </c>
      <c r="K25" s="85">
        <v>0</v>
      </c>
      <c r="L25" s="85">
        <v>0</v>
      </c>
      <c r="M25" s="85">
        <v>0</v>
      </c>
      <c r="N25" s="85">
        <v>0</v>
      </c>
      <c r="O25" s="85">
        <v>0</v>
      </c>
      <c r="P25" s="85">
        <v>0</v>
      </c>
      <c r="Q25" s="85">
        <v>0</v>
      </c>
      <c r="R25" s="85">
        <v>0</v>
      </c>
      <c r="S25" s="85">
        <v>0</v>
      </c>
      <c r="T25" s="85">
        <v>0</v>
      </c>
      <c r="U25" s="85">
        <v>0</v>
      </c>
      <c r="V25" s="85">
        <v>0</v>
      </c>
      <c r="W25" s="47">
        <v>0</v>
      </c>
      <c r="X25" s="47"/>
      <c r="Y25" s="47"/>
      <c r="Z25" s="47"/>
      <c r="AA25" s="47"/>
      <c r="AB25" s="47"/>
      <c r="AC25" s="47"/>
      <c r="AD25" s="47"/>
      <c r="AE25" s="47"/>
      <c r="AF25" s="47"/>
      <c r="AG25" s="47"/>
      <c r="AH25" s="47"/>
      <c r="AI25" s="47"/>
      <c r="AJ25" s="47"/>
      <c r="AK25" s="47"/>
      <c r="AL25" s="47"/>
      <c r="AM25" s="47"/>
      <c r="AN25" s="47"/>
      <c r="AO25" s="47"/>
      <c r="AP25" s="47"/>
      <c r="AQ25" s="47"/>
      <c r="AR25" s="47"/>
      <c r="AS25" s="47"/>
      <c r="AT25" s="47"/>
      <c r="AU25" s="47"/>
      <c r="AV25" s="47"/>
      <c r="AW25" s="47"/>
      <c r="AX25" s="47"/>
      <c r="AY25" s="47"/>
      <c r="AZ25" s="47"/>
      <c r="BA25" s="47"/>
      <c r="BB25" s="47"/>
      <c r="BC25" s="47"/>
      <c r="BD25" s="47"/>
      <c r="BE25" s="47"/>
      <c r="BF25" s="47"/>
      <c r="BG25" s="47"/>
      <c r="BH25" s="47"/>
      <c r="BI25" s="47"/>
      <c r="BJ25" s="47"/>
      <c r="BK25" s="47"/>
      <c r="BL25" s="47"/>
      <c r="BM25" s="47"/>
      <c r="BN25" s="47"/>
      <c r="BO25" s="47"/>
      <c r="BP25" s="47"/>
      <c r="BQ25" s="47"/>
      <c r="BR25" s="47"/>
      <c r="BS25" s="47"/>
      <c r="BT25" s="47"/>
      <c r="BU25" s="47"/>
      <c r="BV25" s="47"/>
      <c r="BW25" s="47"/>
      <c r="BX25" s="47"/>
      <c r="BY25" s="47"/>
      <c r="BZ25" s="47"/>
      <c r="CA25" s="47"/>
    </row>
    <row r="26" spans="1:127" x14ac:dyDescent="0.25">
      <c r="A26" s="88" t="s">
        <v>168</v>
      </c>
      <c r="B26" s="77">
        <v>500000</v>
      </c>
      <c r="C26" s="78">
        <v>0.08</v>
      </c>
      <c r="D26" s="79">
        <v>30</v>
      </c>
      <c r="E26" s="80">
        <v>46569</v>
      </c>
      <c r="G26" s="81" t="str">
        <v>Renovation Interest</v>
      </c>
      <c r="H26" s="85">
        <v>1657.5152357087741</v>
      </c>
      <c r="I26" s="85">
        <v>1657.5152357087741</v>
      </c>
      <c r="J26" s="85">
        <v>0</v>
      </c>
      <c r="K26" s="85">
        <v>0</v>
      </c>
      <c r="L26" s="85">
        <v>0</v>
      </c>
      <c r="M26" s="85">
        <v>0</v>
      </c>
      <c r="N26" s="85">
        <v>0</v>
      </c>
      <c r="O26" s="85">
        <v>0</v>
      </c>
      <c r="P26" s="85">
        <v>0</v>
      </c>
      <c r="Q26" s="85">
        <v>0</v>
      </c>
      <c r="R26" s="85">
        <v>0</v>
      </c>
      <c r="S26" s="85">
        <v>0</v>
      </c>
      <c r="T26" s="85">
        <v>0</v>
      </c>
      <c r="U26" s="85">
        <v>0</v>
      </c>
      <c r="V26" s="85">
        <v>0</v>
      </c>
      <c r="W26" s="47">
        <v>0</v>
      </c>
      <c r="X26" s="47"/>
      <c r="Y26" s="47"/>
      <c r="Z26" s="47"/>
      <c r="AA26" s="47"/>
      <c r="AB26" s="47"/>
      <c r="AC26" s="47"/>
      <c r="AD26" s="47"/>
      <c r="AE26" s="47"/>
      <c r="AF26" s="47"/>
      <c r="AG26" s="47"/>
      <c r="AH26" s="47"/>
      <c r="AI26" s="47"/>
      <c r="AJ26" s="47"/>
      <c r="AK26" s="47"/>
      <c r="AL26" s="47"/>
      <c r="AM26" s="47"/>
      <c r="AN26" s="47"/>
      <c r="AO26" s="47"/>
      <c r="AP26" s="47"/>
      <c r="AQ26" s="47"/>
      <c r="AR26" s="47"/>
      <c r="AS26" s="47"/>
      <c r="AT26" s="47"/>
      <c r="AU26" s="47"/>
      <c r="AV26" s="47"/>
      <c r="AW26" s="47"/>
      <c r="AX26" s="47"/>
      <c r="AY26" s="47"/>
      <c r="AZ26" s="47"/>
      <c r="BA26" s="47"/>
      <c r="BB26" s="47"/>
      <c r="BC26" s="47"/>
      <c r="BD26" s="47"/>
      <c r="BE26" s="47"/>
      <c r="BF26" s="47"/>
      <c r="BG26" s="47"/>
      <c r="BH26" s="47"/>
      <c r="BI26" s="47"/>
      <c r="BJ26" s="47"/>
      <c r="BK26" s="47"/>
      <c r="BL26" s="47"/>
      <c r="BM26" s="47"/>
      <c r="BN26" s="47"/>
      <c r="BO26" s="47"/>
      <c r="BP26" s="47"/>
      <c r="BQ26" s="47"/>
      <c r="BR26" s="47"/>
      <c r="BS26" s="47"/>
      <c r="BT26" s="47"/>
      <c r="BU26" s="47"/>
      <c r="BV26" s="47"/>
      <c r="BW26" s="47"/>
      <c r="BX26" s="47"/>
      <c r="BY26" s="47"/>
      <c r="BZ26" s="47"/>
      <c r="CA26" s="47"/>
    </row>
    <row r="27" spans="1:127" x14ac:dyDescent="0.25">
      <c r="G27" s="81" t="str">
        <v>Renovation Debt Services</v>
      </c>
      <c r="H27" s="85">
        <v>-52873.515235708772</v>
      </c>
      <c r="I27" s="85">
        <v>-52873.515235708772</v>
      </c>
      <c r="J27" s="85">
        <v>0</v>
      </c>
      <c r="K27" s="85">
        <v>0</v>
      </c>
      <c r="L27" s="85">
        <v>0</v>
      </c>
      <c r="M27" s="85">
        <v>0</v>
      </c>
      <c r="N27" s="85">
        <v>0</v>
      </c>
      <c r="O27" s="85">
        <v>0</v>
      </c>
      <c r="P27" s="85">
        <v>0</v>
      </c>
      <c r="Q27" s="85">
        <v>0</v>
      </c>
      <c r="R27" s="85">
        <v>0</v>
      </c>
      <c r="S27" s="85">
        <v>0</v>
      </c>
      <c r="T27" s="85">
        <v>0</v>
      </c>
      <c r="U27" s="85">
        <v>0</v>
      </c>
      <c r="V27" s="85">
        <v>0</v>
      </c>
      <c r="W27" s="47">
        <v>0</v>
      </c>
      <c r="X27" s="47"/>
      <c r="Y27" s="47"/>
      <c r="Z27" s="47"/>
      <c r="AA27" s="47"/>
      <c r="AB27" s="47"/>
      <c r="AC27" s="47"/>
      <c r="AD27" s="47"/>
      <c r="AE27" s="47"/>
      <c r="AF27" s="47"/>
      <c r="AG27" s="47"/>
      <c r="AH27" s="47"/>
      <c r="AI27" s="47"/>
      <c r="AJ27" s="47"/>
      <c r="AK27" s="47"/>
      <c r="AL27" s="47"/>
      <c r="AM27" s="47"/>
      <c r="AN27" s="47"/>
      <c r="AO27" s="47"/>
      <c r="AP27" s="47"/>
      <c r="AQ27" s="47"/>
      <c r="AR27" s="47"/>
      <c r="AS27" s="47"/>
      <c r="AT27" s="47"/>
      <c r="AU27" s="47"/>
      <c r="AV27" s="47"/>
      <c r="AW27" s="47"/>
      <c r="AX27" s="47"/>
      <c r="AY27" s="47"/>
      <c r="AZ27" s="47"/>
      <c r="BA27" s="47"/>
      <c r="BB27" s="47"/>
      <c r="BC27" s="47"/>
      <c r="BD27" s="47"/>
      <c r="BE27" s="47"/>
      <c r="BF27" s="47"/>
      <c r="BG27" s="47"/>
      <c r="BH27" s="47"/>
      <c r="BI27" s="47"/>
      <c r="BJ27" s="47"/>
      <c r="BK27" s="47"/>
      <c r="BL27" s="47"/>
      <c r="BM27" s="47"/>
      <c r="BN27" s="47"/>
      <c r="BO27" s="47"/>
      <c r="BP27" s="47"/>
      <c r="BQ27" s="47"/>
      <c r="BR27" s="47"/>
      <c r="BS27" s="47"/>
      <c r="BT27" s="47"/>
      <c r="BU27" s="47"/>
      <c r="BV27" s="47"/>
      <c r="BW27" s="47"/>
      <c r="BX27" s="47"/>
      <c r="BY27" s="47"/>
      <c r="BZ27" s="47"/>
      <c r="CA27" s="47"/>
    </row>
    <row r="28" spans="1:127" x14ac:dyDescent="0.25">
      <c r="G28" s="81" t="str">
        <v>Renovation Closing Balance</v>
      </c>
      <c r="H28" s="85">
        <v>0</v>
      </c>
      <c r="I28" s="85">
        <v>0</v>
      </c>
      <c r="J28" s="85">
        <v>0</v>
      </c>
      <c r="K28" s="85">
        <v>0</v>
      </c>
      <c r="L28" s="85">
        <v>0</v>
      </c>
      <c r="M28" s="85">
        <v>0</v>
      </c>
      <c r="N28" s="85">
        <v>0</v>
      </c>
      <c r="O28" s="85">
        <v>0</v>
      </c>
      <c r="P28" s="85">
        <v>0</v>
      </c>
      <c r="Q28" s="85">
        <v>0</v>
      </c>
      <c r="R28" s="85">
        <v>0</v>
      </c>
      <c r="S28" s="85">
        <v>0</v>
      </c>
      <c r="T28" s="85">
        <v>0</v>
      </c>
      <c r="U28" s="85">
        <v>0</v>
      </c>
      <c r="V28" s="85">
        <v>0</v>
      </c>
      <c r="W28" s="47">
        <v>0</v>
      </c>
      <c r="X28" s="47"/>
      <c r="Y28" s="47"/>
      <c r="Z28" s="47"/>
      <c r="AA28" s="47"/>
      <c r="AB28" s="47"/>
      <c r="AC28" s="47"/>
      <c r="AD28" s="47"/>
      <c r="AE28" s="47"/>
      <c r="AF28" s="47"/>
      <c r="AG28" s="47"/>
      <c r="AH28" s="47"/>
      <c r="AI28" s="47"/>
      <c r="AJ28" s="47"/>
      <c r="AK28" s="47"/>
      <c r="AL28" s="47"/>
      <c r="AM28" s="47"/>
      <c r="AN28" s="47"/>
      <c r="AO28" s="47"/>
      <c r="AP28" s="47"/>
      <c r="AQ28" s="47"/>
      <c r="AR28" s="47"/>
      <c r="AS28" s="47"/>
      <c r="AT28" s="47"/>
      <c r="AU28" s="47"/>
      <c r="AV28" s="47"/>
      <c r="AW28" s="47"/>
      <c r="AX28" s="47"/>
      <c r="AY28" s="47"/>
      <c r="AZ28" s="47"/>
      <c r="BA28" s="47"/>
      <c r="BB28" s="47"/>
      <c r="BC28" s="47"/>
      <c r="BD28" s="47"/>
      <c r="BE28" s="47"/>
      <c r="BF28" s="47"/>
      <c r="BG28" s="47"/>
      <c r="BH28" s="47"/>
      <c r="BI28" s="47"/>
      <c r="BJ28" s="47"/>
      <c r="BK28" s="47"/>
      <c r="BL28" s="47"/>
      <c r="BM28" s="47"/>
      <c r="BN28" s="47"/>
      <c r="BO28" s="47"/>
      <c r="BP28" s="47"/>
      <c r="BQ28" s="47"/>
      <c r="BR28" s="47"/>
      <c r="BS28" s="47"/>
      <c r="BT28" s="47"/>
      <c r="BU28" s="47"/>
      <c r="BV28" s="47"/>
      <c r="BW28" s="47"/>
      <c r="BX28" s="47"/>
      <c r="BY28" s="47"/>
      <c r="BZ28" s="47"/>
      <c r="CA28" s="47"/>
    </row>
    <row r="29" spans="1:127" x14ac:dyDescent="0.25">
      <c r="G29" s="81" t="str">
        <v>Renovation Debt Repayment</v>
      </c>
      <c r="H29" s="85">
        <v>51216</v>
      </c>
      <c r="I29" s="85">
        <v>51216</v>
      </c>
      <c r="J29" s="85">
        <v>0</v>
      </c>
      <c r="K29" s="85">
        <v>0</v>
      </c>
      <c r="L29" s="85">
        <v>0</v>
      </c>
      <c r="M29" s="85">
        <v>0</v>
      </c>
      <c r="N29" s="85">
        <v>0</v>
      </c>
      <c r="O29" s="85">
        <v>0</v>
      </c>
      <c r="P29" s="85">
        <v>0</v>
      </c>
      <c r="Q29" s="85">
        <v>0</v>
      </c>
      <c r="R29" s="85">
        <v>0</v>
      </c>
      <c r="S29" s="85">
        <v>0</v>
      </c>
      <c r="T29" s="85">
        <v>0</v>
      </c>
      <c r="U29" s="85">
        <v>0</v>
      </c>
      <c r="V29" s="85">
        <v>0</v>
      </c>
      <c r="W29" s="47">
        <v>0</v>
      </c>
      <c r="X29" s="47"/>
      <c r="Y29" s="47"/>
      <c r="Z29" s="47"/>
      <c r="AA29" s="47"/>
      <c r="AB29" s="47"/>
      <c r="AC29" s="47"/>
      <c r="AD29" s="47"/>
      <c r="AE29" s="47"/>
      <c r="AF29" s="47"/>
      <c r="AG29" s="47"/>
      <c r="AH29" s="47"/>
      <c r="AI29" s="47"/>
      <c r="AJ29" s="47"/>
      <c r="AK29" s="47"/>
      <c r="AL29" s="47"/>
      <c r="AM29" s="47"/>
      <c r="AN29" s="47"/>
      <c r="AO29" s="47"/>
      <c r="AP29" s="47"/>
      <c r="AQ29" s="47"/>
      <c r="AR29" s="47"/>
      <c r="AS29" s="47"/>
      <c r="AT29" s="47"/>
      <c r="AU29" s="47"/>
      <c r="AV29" s="47"/>
      <c r="AW29" s="47"/>
      <c r="AX29" s="47"/>
      <c r="AY29" s="47"/>
      <c r="AZ29" s="47"/>
      <c r="BA29" s="47"/>
      <c r="BB29" s="47"/>
      <c r="BC29" s="47"/>
      <c r="BD29" s="47"/>
      <c r="BE29" s="47"/>
      <c r="BF29" s="47"/>
      <c r="BG29" s="47"/>
      <c r="BH29" s="47"/>
      <c r="BI29" s="47"/>
      <c r="BJ29" s="47"/>
      <c r="BK29" s="47"/>
      <c r="BL29" s="47"/>
      <c r="BM29" s="47"/>
      <c r="BN29" s="47"/>
      <c r="BO29" s="47"/>
      <c r="BP29" s="47"/>
      <c r="BQ29" s="47"/>
      <c r="BR29" s="47"/>
      <c r="BS29" s="47"/>
      <c r="BT29" s="47"/>
      <c r="BU29" s="47"/>
      <c r="BV29" s="47"/>
      <c r="BW29" s="47"/>
      <c r="BX29" s="47"/>
      <c r="BY29" s="47"/>
      <c r="BZ29" s="47"/>
      <c r="CA29" s="47"/>
    </row>
    <row r="30" spans="1:127" x14ac:dyDescent="0.25">
      <c r="G30" s="81" t="str">
        <v/>
      </c>
      <c r="H30" s="85">
        <v>0</v>
      </c>
      <c r="I30" s="85" t="str">
        <v xml:space="preserve"> </v>
      </c>
      <c r="J30" s="85" t="str">
        <v xml:space="preserve"> </v>
      </c>
      <c r="K30" s="85" t="str">
        <v xml:space="preserve"> </v>
      </c>
      <c r="L30" s="85" t="str">
        <v xml:space="preserve"> </v>
      </c>
      <c r="M30" s="85" t="str">
        <v xml:space="preserve"> </v>
      </c>
      <c r="N30" s="85" t="str">
        <v xml:space="preserve"> </v>
      </c>
      <c r="O30" s="85" t="str">
        <v xml:space="preserve"> </v>
      </c>
      <c r="P30" s="85" t="str">
        <v xml:space="preserve"> </v>
      </c>
      <c r="Q30" s="85" t="str">
        <v xml:space="preserve"> </v>
      </c>
      <c r="R30" s="85" t="str">
        <v xml:space="preserve"> </v>
      </c>
      <c r="S30" s="85" t="str">
        <v xml:space="preserve"> </v>
      </c>
      <c r="T30" s="85" t="str">
        <v xml:space="preserve"> </v>
      </c>
      <c r="U30" s="85" t="str">
        <v xml:space="preserve"> </v>
      </c>
      <c r="V30" s="85" t="str">
        <v xml:space="preserve"> </v>
      </c>
      <c r="W30" s="47" t="str">
        <v xml:space="preserve"> </v>
      </c>
      <c r="X30" s="47"/>
      <c r="Y30" s="47"/>
      <c r="Z30" s="47"/>
      <c r="AA30" s="47"/>
      <c r="AB30" s="47"/>
      <c r="AC30" s="47"/>
      <c r="AD30" s="47"/>
      <c r="AE30" s="47"/>
      <c r="AF30" s="47"/>
      <c r="AG30" s="47"/>
      <c r="AH30" s="47"/>
      <c r="AI30" s="47"/>
      <c r="AJ30" s="47"/>
      <c r="AK30" s="47"/>
      <c r="AL30" s="47"/>
      <c r="AM30" s="47"/>
      <c r="AN30" s="47"/>
      <c r="AO30" s="47"/>
      <c r="AP30" s="47"/>
      <c r="AQ30" s="47"/>
      <c r="AR30" s="47"/>
      <c r="AS30" s="47"/>
      <c r="AT30" s="47"/>
      <c r="AU30" s="47"/>
      <c r="AV30" s="47"/>
      <c r="AW30" s="47"/>
      <c r="AX30" s="47"/>
      <c r="AY30" s="47"/>
      <c r="AZ30" s="47"/>
      <c r="BA30" s="47"/>
      <c r="BB30" s="47"/>
      <c r="BC30" s="47"/>
      <c r="BD30" s="47"/>
      <c r="BE30" s="47"/>
      <c r="BF30" s="47"/>
      <c r="BG30" s="47"/>
      <c r="BH30" s="47"/>
      <c r="BI30" s="47"/>
      <c r="BJ30" s="47"/>
      <c r="BK30" s="47"/>
      <c r="BL30" s="47"/>
      <c r="BM30" s="47"/>
      <c r="BN30" s="47"/>
      <c r="BO30" s="47"/>
      <c r="BP30" s="47"/>
      <c r="BQ30" s="47"/>
      <c r="BR30" s="47"/>
      <c r="BS30" s="47"/>
      <c r="BT30" s="47"/>
      <c r="BU30" s="47"/>
      <c r="BV30" s="47"/>
      <c r="BW30" s="47"/>
      <c r="BX30" s="47"/>
      <c r="BY30" s="47"/>
      <c r="BZ30" s="47"/>
      <c r="CA30" s="47"/>
    </row>
    <row r="31" spans="1:127" x14ac:dyDescent="0.25">
      <c r="G31" s="81" t="str">
        <v>New sign Debt Issuance</v>
      </c>
      <c r="H31" s="85">
        <v>0</v>
      </c>
      <c r="I31" s="85">
        <v>46218</v>
      </c>
      <c r="J31" s="85">
        <v>0</v>
      </c>
      <c r="K31" s="85">
        <v>0</v>
      </c>
      <c r="L31" s="85">
        <v>0</v>
      </c>
      <c r="M31" s="85">
        <v>0</v>
      </c>
      <c r="N31" s="85">
        <v>0</v>
      </c>
      <c r="O31" s="85">
        <v>0</v>
      </c>
      <c r="P31" s="85">
        <v>0</v>
      </c>
      <c r="Q31" s="85">
        <v>0</v>
      </c>
      <c r="R31" s="85">
        <v>0</v>
      </c>
      <c r="S31" s="85">
        <v>0</v>
      </c>
      <c r="T31" s="85">
        <v>0</v>
      </c>
      <c r="U31" s="85">
        <v>0</v>
      </c>
      <c r="V31" s="85">
        <v>0</v>
      </c>
      <c r="W31" s="47">
        <v>0</v>
      </c>
      <c r="X31" s="47"/>
      <c r="Y31" s="47"/>
      <c r="Z31" s="47"/>
      <c r="AA31" s="47"/>
      <c r="AB31" s="47"/>
      <c r="AC31" s="47"/>
      <c r="AD31" s="47"/>
      <c r="AE31" s="47"/>
      <c r="AF31" s="47"/>
      <c r="AG31" s="47"/>
      <c r="AH31" s="47"/>
      <c r="AI31" s="47"/>
      <c r="AJ31" s="47"/>
      <c r="AK31" s="47"/>
      <c r="AL31" s="47"/>
      <c r="AM31" s="47"/>
      <c r="AN31" s="47"/>
      <c r="AO31" s="47"/>
      <c r="AP31" s="47"/>
      <c r="AQ31" s="47"/>
      <c r="AR31" s="47"/>
      <c r="AS31" s="47"/>
      <c r="AT31" s="47"/>
      <c r="AU31" s="47"/>
      <c r="AV31" s="47"/>
      <c r="AW31" s="47"/>
      <c r="AX31" s="47"/>
      <c r="AY31" s="47"/>
      <c r="AZ31" s="47"/>
      <c r="BA31" s="47"/>
      <c r="BB31" s="47"/>
      <c r="BC31" s="47"/>
      <c r="BD31" s="47"/>
      <c r="BE31" s="47"/>
      <c r="BF31" s="47"/>
      <c r="BG31" s="47"/>
      <c r="BH31" s="47"/>
      <c r="BI31" s="47"/>
      <c r="BJ31" s="47"/>
      <c r="BK31" s="47"/>
      <c r="BL31" s="47"/>
      <c r="BM31" s="47"/>
      <c r="BN31" s="47"/>
      <c r="BO31" s="47"/>
      <c r="BP31" s="47"/>
      <c r="BQ31" s="47"/>
      <c r="BR31" s="47"/>
      <c r="BS31" s="47"/>
      <c r="BT31" s="47"/>
      <c r="BU31" s="47"/>
      <c r="BV31" s="47"/>
      <c r="BW31" s="47"/>
      <c r="BX31" s="47"/>
      <c r="BY31" s="47"/>
      <c r="BZ31" s="47"/>
      <c r="CA31" s="47"/>
    </row>
    <row r="32" spans="1:127" x14ac:dyDescent="0.25">
      <c r="G32" s="81" t="str">
        <v>New sign Debt Balance</v>
      </c>
      <c r="H32" s="85">
        <v>0</v>
      </c>
      <c r="I32" s="85">
        <v>46218</v>
      </c>
      <c r="J32" s="85">
        <v>0</v>
      </c>
      <c r="K32" s="85">
        <v>0</v>
      </c>
      <c r="L32" s="85">
        <v>0</v>
      </c>
      <c r="M32" s="85">
        <v>0</v>
      </c>
      <c r="N32" s="85">
        <v>0</v>
      </c>
      <c r="O32" s="85">
        <v>0</v>
      </c>
      <c r="P32" s="85">
        <v>0</v>
      </c>
      <c r="Q32" s="85">
        <v>0</v>
      </c>
      <c r="R32" s="85">
        <v>0</v>
      </c>
      <c r="S32" s="85">
        <v>0</v>
      </c>
      <c r="T32" s="85">
        <v>0</v>
      </c>
      <c r="U32" s="85">
        <v>0</v>
      </c>
      <c r="V32" s="85">
        <v>0</v>
      </c>
      <c r="W32" s="47">
        <v>0</v>
      </c>
      <c r="X32" s="47"/>
      <c r="Y32" s="47"/>
      <c r="Z32" s="47"/>
      <c r="AA32" s="47"/>
      <c r="AB32" s="47"/>
      <c r="AC32" s="47"/>
      <c r="AD32" s="47"/>
      <c r="AE32" s="47"/>
      <c r="AF32" s="47"/>
      <c r="AG32" s="47"/>
      <c r="AH32" s="47"/>
      <c r="AI32" s="47"/>
      <c r="AJ32" s="47"/>
      <c r="AK32" s="47"/>
      <c r="AL32" s="47"/>
      <c r="AM32" s="47"/>
      <c r="AN32" s="47"/>
      <c r="AO32" s="47"/>
      <c r="AP32" s="47"/>
      <c r="AQ32" s="47"/>
      <c r="AR32" s="47"/>
      <c r="AS32" s="47"/>
      <c r="AT32" s="47"/>
      <c r="AU32" s="47"/>
      <c r="AV32" s="47"/>
      <c r="AW32" s="47"/>
      <c r="AX32" s="47"/>
      <c r="AY32" s="47"/>
      <c r="AZ32" s="47"/>
      <c r="BA32" s="47"/>
      <c r="BB32" s="47"/>
      <c r="BC32" s="47"/>
      <c r="BD32" s="47"/>
      <c r="BE32" s="47"/>
      <c r="BF32" s="47"/>
      <c r="BG32" s="47"/>
      <c r="BH32" s="47"/>
      <c r="BI32" s="47"/>
      <c r="BJ32" s="47"/>
      <c r="BK32" s="47"/>
      <c r="BL32" s="47"/>
      <c r="BM32" s="47"/>
      <c r="BN32" s="47"/>
      <c r="BO32" s="47"/>
      <c r="BP32" s="47"/>
      <c r="BQ32" s="47"/>
      <c r="BR32" s="47"/>
      <c r="BS32" s="47"/>
      <c r="BT32" s="47"/>
      <c r="BU32" s="47"/>
      <c r="BV32" s="47"/>
      <c r="BW32" s="47"/>
      <c r="BX32" s="47"/>
      <c r="BY32" s="47"/>
      <c r="BZ32" s="47"/>
      <c r="CA32" s="47"/>
    </row>
    <row r="33" spans="7:79" x14ac:dyDescent="0.25">
      <c r="G33" s="81" t="str">
        <v>New sign Interest</v>
      </c>
      <c r="H33" s="85">
        <v>1388.0679156179572</v>
      </c>
      <c r="I33" s="85">
        <v>1388.0679156179572</v>
      </c>
      <c r="J33" s="85">
        <v>0</v>
      </c>
      <c r="K33" s="85">
        <v>0</v>
      </c>
      <c r="L33" s="85">
        <v>0</v>
      </c>
      <c r="M33" s="85">
        <v>0</v>
      </c>
      <c r="N33" s="85">
        <v>0</v>
      </c>
      <c r="O33" s="85">
        <v>0</v>
      </c>
      <c r="P33" s="85">
        <v>0</v>
      </c>
      <c r="Q33" s="85">
        <v>0</v>
      </c>
      <c r="R33" s="85">
        <v>0</v>
      </c>
      <c r="S33" s="85">
        <v>0</v>
      </c>
      <c r="T33" s="85">
        <v>0</v>
      </c>
      <c r="U33" s="85">
        <v>0</v>
      </c>
      <c r="V33" s="85">
        <v>0</v>
      </c>
      <c r="W33" s="47">
        <v>0</v>
      </c>
      <c r="X33" s="47"/>
      <c r="Y33" s="47"/>
      <c r="Z33" s="47"/>
      <c r="AA33" s="47"/>
      <c r="AB33" s="47"/>
      <c r="AC33" s="47"/>
      <c r="AD33" s="47"/>
      <c r="AE33" s="47"/>
      <c r="AF33" s="47"/>
      <c r="AG33" s="47"/>
      <c r="AH33" s="47"/>
      <c r="AI33" s="47"/>
      <c r="AJ33" s="47"/>
      <c r="AK33" s="47"/>
      <c r="AL33" s="47"/>
      <c r="AM33" s="47"/>
      <c r="AN33" s="47"/>
      <c r="AO33" s="47"/>
      <c r="AP33" s="47"/>
      <c r="AQ33" s="47"/>
      <c r="AR33" s="47"/>
      <c r="AS33" s="47"/>
      <c r="AT33" s="47"/>
      <c r="AU33" s="47"/>
      <c r="AV33" s="47"/>
      <c r="AW33" s="47"/>
      <c r="AX33" s="47"/>
      <c r="AY33" s="47"/>
      <c r="AZ33" s="47"/>
      <c r="BA33" s="47"/>
      <c r="BB33" s="47"/>
      <c r="BC33" s="47"/>
      <c r="BD33" s="47"/>
      <c r="BE33" s="47"/>
      <c r="BF33" s="47"/>
      <c r="BG33" s="47"/>
      <c r="BH33" s="47"/>
      <c r="BI33" s="47"/>
      <c r="BJ33" s="47"/>
      <c r="BK33" s="47"/>
      <c r="BL33" s="47"/>
      <c r="BM33" s="47"/>
      <c r="BN33" s="47"/>
      <c r="BO33" s="47"/>
      <c r="BP33" s="47"/>
      <c r="BQ33" s="47"/>
      <c r="BR33" s="47"/>
      <c r="BS33" s="47"/>
      <c r="BT33" s="47"/>
      <c r="BU33" s="47"/>
      <c r="BV33" s="47"/>
      <c r="BW33" s="47"/>
      <c r="BX33" s="47"/>
      <c r="BY33" s="47"/>
      <c r="BZ33" s="47"/>
      <c r="CA33" s="47"/>
    </row>
    <row r="34" spans="7:79" x14ac:dyDescent="0.25">
      <c r="G34" s="81" t="str">
        <v>New sign Debt Services</v>
      </c>
      <c r="H34" s="85">
        <v>-47606.067915617947</v>
      </c>
      <c r="I34" s="85">
        <v>-47606.067915617947</v>
      </c>
      <c r="J34" s="85">
        <v>0</v>
      </c>
      <c r="K34" s="85">
        <v>0</v>
      </c>
      <c r="L34" s="85">
        <v>0</v>
      </c>
      <c r="M34" s="85">
        <v>0</v>
      </c>
      <c r="N34" s="85">
        <v>0</v>
      </c>
      <c r="O34" s="85">
        <v>0</v>
      </c>
      <c r="P34" s="85">
        <v>0</v>
      </c>
      <c r="Q34" s="85">
        <v>0</v>
      </c>
      <c r="R34" s="85">
        <v>0</v>
      </c>
      <c r="S34" s="85">
        <v>0</v>
      </c>
      <c r="T34" s="85">
        <v>0</v>
      </c>
      <c r="U34" s="85">
        <v>0</v>
      </c>
      <c r="V34" s="85">
        <v>0</v>
      </c>
      <c r="W34" s="47">
        <v>0</v>
      </c>
      <c r="X34" s="47"/>
      <c r="Y34" s="47"/>
      <c r="Z34" s="47"/>
      <c r="AA34" s="47"/>
      <c r="AB34" s="47"/>
      <c r="AC34" s="47"/>
      <c r="AD34" s="47"/>
      <c r="AE34" s="47"/>
      <c r="AF34" s="47"/>
      <c r="AG34" s="47"/>
      <c r="AH34" s="47"/>
      <c r="AI34" s="47"/>
      <c r="AJ34" s="47"/>
      <c r="AK34" s="47"/>
      <c r="AL34" s="47"/>
      <c r="AM34" s="47"/>
      <c r="AN34" s="47"/>
      <c r="AO34" s="47"/>
      <c r="AP34" s="47"/>
      <c r="AQ34" s="47"/>
      <c r="AR34" s="47"/>
      <c r="AS34" s="47"/>
      <c r="AT34" s="47"/>
      <c r="AU34" s="47"/>
      <c r="AV34" s="47"/>
      <c r="AW34" s="47"/>
      <c r="AX34" s="47"/>
      <c r="AY34" s="47"/>
      <c r="AZ34" s="47"/>
      <c r="BA34" s="47"/>
      <c r="BB34" s="47"/>
      <c r="BC34" s="47"/>
      <c r="BD34" s="47"/>
      <c r="BE34" s="47"/>
      <c r="BF34" s="47"/>
      <c r="BG34" s="47"/>
      <c r="BH34" s="47"/>
      <c r="BI34" s="47"/>
      <c r="BJ34" s="47"/>
      <c r="BK34" s="47"/>
      <c r="BL34" s="47"/>
      <c r="BM34" s="47"/>
      <c r="BN34" s="47"/>
      <c r="BO34" s="47"/>
      <c r="BP34" s="47"/>
      <c r="BQ34" s="47"/>
      <c r="BR34" s="47"/>
      <c r="BS34" s="47"/>
      <c r="BT34" s="47"/>
      <c r="BU34" s="47"/>
      <c r="BV34" s="47"/>
      <c r="BW34" s="47"/>
      <c r="BX34" s="47"/>
      <c r="BY34" s="47"/>
      <c r="BZ34" s="47"/>
      <c r="CA34" s="47"/>
    </row>
    <row r="35" spans="7:79" x14ac:dyDescent="0.25">
      <c r="G35" s="82" t="str">
        <v>New sign Closing Balance</v>
      </c>
      <c r="H35" s="85">
        <v>0</v>
      </c>
      <c r="I35" s="85">
        <v>7.2759576141834259E-12</v>
      </c>
      <c r="J35" s="85">
        <v>0</v>
      </c>
      <c r="K35" s="85">
        <v>0</v>
      </c>
      <c r="L35" s="85">
        <v>0</v>
      </c>
      <c r="M35" s="85">
        <v>0</v>
      </c>
      <c r="N35" s="85">
        <v>0</v>
      </c>
      <c r="O35" s="85">
        <v>0</v>
      </c>
      <c r="P35" s="85">
        <v>0</v>
      </c>
      <c r="Q35" s="85">
        <v>0</v>
      </c>
      <c r="R35" s="85">
        <v>0</v>
      </c>
      <c r="S35" s="85">
        <v>0</v>
      </c>
      <c r="T35" s="85">
        <v>0</v>
      </c>
      <c r="U35" s="85">
        <v>0</v>
      </c>
      <c r="V35" s="85">
        <v>0</v>
      </c>
      <c r="W35">
        <v>0</v>
      </c>
    </row>
    <row r="36" spans="7:79" x14ac:dyDescent="0.25">
      <c r="G36" s="82" t="str">
        <v>New sign Debt Repayment</v>
      </c>
      <c r="H36" s="85">
        <v>46217.999999999993</v>
      </c>
      <c r="I36" s="85">
        <v>46217.999999999993</v>
      </c>
      <c r="J36" s="85">
        <v>0</v>
      </c>
      <c r="K36" s="85">
        <v>0</v>
      </c>
      <c r="L36" s="85">
        <v>0</v>
      </c>
      <c r="M36" s="85">
        <v>0</v>
      </c>
      <c r="N36" s="85">
        <v>0</v>
      </c>
      <c r="O36" s="85">
        <v>0</v>
      </c>
      <c r="P36" s="85">
        <v>0</v>
      </c>
      <c r="Q36" s="85">
        <v>0</v>
      </c>
      <c r="R36" s="85">
        <v>0</v>
      </c>
      <c r="S36" s="85">
        <v>0</v>
      </c>
      <c r="T36" s="85">
        <v>0</v>
      </c>
      <c r="U36" s="85">
        <v>0</v>
      </c>
      <c r="V36" s="85">
        <v>0</v>
      </c>
      <c r="W36">
        <v>0</v>
      </c>
    </row>
    <row r="37" spans="7:79" x14ac:dyDescent="0.25">
      <c r="G37" s="82" t="str">
        <v/>
      </c>
      <c r="H37" s="85">
        <v>0</v>
      </c>
      <c r="I37" s="85" t="str">
        <v xml:space="preserve"> </v>
      </c>
      <c r="J37" s="85" t="str">
        <v xml:space="preserve"> </v>
      </c>
      <c r="K37" s="85" t="str">
        <v xml:space="preserve"> </v>
      </c>
      <c r="L37" s="85" t="str">
        <v xml:space="preserve"> </v>
      </c>
      <c r="M37" s="85" t="str">
        <v xml:space="preserve"> </v>
      </c>
      <c r="N37" s="85" t="str">
        <v xml:space="preserve"> </v>
      </c>
      <c r="O37" s="85" t="str">
        <v xml:space="preserve"> </v>
      </c>
      <c r="P37" s="85" t="str">
        <v xml:space="preserve"> </v>
      </c>
      <c r="Q37" s="85" t="str">
        <v xml:space="preserve"> </v>
      </c>
      <c r="R37" s="85" t="str">
        <v xml:space="preserve"> </v>
      </c>
      <c r="S37" s="85" t="str">
        <v xml:space="preserve"> </v>
      </c>
      <c r="T37" s="85" t="str">
        <v xml:space="preserve"> </v>
      </c>
      <c r="U37" s="85" t="str">
        <v xml:space="preserve"> </v>
      </c>
      <c r="V37" s="85" t="str">
        <v xml:space="preserve"> </v>
      </c>
      <c r="W37" t="str">
        <v xml:space="preserve"> </v>
      </c>
    </row>
    <row r="38" spans="7:79" x14ac:dyDescent="0.25">
      <c r="G38" s="82" t="str">
        <v>Parking Lot Debt Issuance</v>
      </c>
      <c r="H38" s="85">
        <v>0</v>
      </c>
      <c r="I38" s="85">
        <v>0</v>
      </c>
      <c r="J38" s="85">
        <v>500000</v>
      </c>
      <c r="K38" s="85">
        <v>0</v>
      </c>
      <c r="L38" s="85">
        <v>0</v>
      </c>
      <c r="M38" s="85">
        <v>0</v>
      </c>
      <c r="N38" s="85">
        <v>0</v>
      </c>
      <c r="O38" s="85">
        <v>0</v>
      </c>
      <c r="P38" s="85">
        <v>0</v>
      </c>
      <c r="Q38" s="85">
        <v>0</v>
      </c>
      <c r="R38" s="85">
        <v>0</v>
      </c>
      <c r="S38" s="85">
        <v>0</v>
      </c>
      <c r="T38" s="85">
        <v>0</v>
      </c>
      <c r="U38" s="85">
        <v>0</v>
      </c>
      <c r="V38" s="85">
        <v>0</v>
      </c>
      <c r="W38">
        <v>0</v>
      </c>
    </row>
    <row r="39" spans="7:79" x14ac:dyDescent="0.25">
      <c r="G39" s="81" t="str">
        <v>Parking Lot Debt Balance</v>
      </c>
      <c r="H39" s="85">
        <v>0</v>
      </c>
      <c r="I39" s="85">
        <v>0</v>
      </c>
      <c r="J39" s="85">
        <v>500000</v>
      </c>
      <c r="K39" s="85">
        <v>311871.30198002694</v>
      </c>
      <c r="L39" s="85">
        <v>108128.01480805682</v>
      </c>
      <c r="M39" s="85">
        <v>0</v>
      </c>
      <c r="N39" s="85">
        <v>0</v>
      </c>
      <c r="O39" s="85">
        <v>0</v>
      </c>
      <c r="P39" s="85">
        <v>0</v>
      </c>
      <c r="Q39" s="85">
        <v>0</v>
      </c>
      <c r="R39" s="85">
        <v>0</v>
      </c>
      <c r="S39" s="85">
        <v>0</v>
      </c>
      <c r="T39" s="85">
        <v>0</v>
      </c>
      <c r="U39" s="85">
        <v>0</v>
      </c>
      <c r="V39" s="85">
        <v>0</v>
      </c>
      <c r="W39">
        <v>0</v>
      </c>
    </row>
    <row r="40" spans="7:79" x14ac:dyDescent="0.25">
      <c r="G40" s="81" t="str">
        <v>Parking Lot Interest</v>
      </c>
      <c r="H40" s="85">
        <v>53324.857595300615</v>
      </c>
      <c r="I40" s="85">
        <v>0</v>
      </c>
      <c r="J40" s="85">
        <v>33201.245018145353</v>
      </c>
      <c r="K40" s="85">
        <v>17586.655866148452</v>
      </c>
      <c r="L40" s="85">
        <v>2536.9567110068115</v>
      </c>
      <c r="M40" s="85">
        <v>0</v>
      </c>
      <c r="N40" s="85">
        <v>0</v>
      </c>
      <c r="O40" s="85">
        <v>0</v>
      </c>
      <c r="P40" s="85">
        <v>0</v>
      </c>
      <c r="Q40" s="85">
        <v>0</v>
      </c>
      <c r="R40" s="85">
        <v>0</v>
      </c>
      <c r="S40" s="85">
        <v>0</v>
      </c>
      <c r="T40" s="85">
        <v>0</v>
      </c>
      <c r="U40" s="85">
        <v>0</v>
      </c>
      <c r="V40" s="85">
        <v>0</v>
      </c>
      <c r="W40">
        <v>0</v>
      </c>
    </row>
    <row r="41" spans="7:79" x14ac:dyDescent="0.25">
      <c r="G41" s="8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83"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drawing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5C2D91"/>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186" t="str">
        <f ca="1">_xlfn.TEXTAFTER(CELL("filename",A1),"]")</f>
        <v>oz.LabelAmortiseλ</v>
      </c>
      <c r="B1" s="186"/>
      <c r="C1" s="186"/>
      <c r="D1" s="186"/>
      <c r="E1" s="186"/>
      <c r="F1" s="186"/>
      <c r="G1" s="186"/>
      <c r="H1" s="186"/>
      <c r="I1" s="186"/>
      <c r="J1" s="186"/>
      <c r="K1" s="186"/>
      <c r="L1" s="186"/>
      <c r="M1" s="186"/>
      <c r="N1" s="186"/>
      <c r="O1" s="186"/>
      <c r="P1" s="186"/>
    </row>
    <row r="2" spans="1:18" x14ac:dyDescent="0.25">
      <c r="A2" s="187" t="s">
        <v>91</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c r="K3" s="4"/>
      <c r="L3" s="4"/>
      <c r="M3" s="4"/>
      <c r="N3" s="4"/>
      <c r="O3" s="4"/>
      <c r="P3" s="4"/>
    </row>
    <row r="4" spans="1:18" x14ac:dyDescent="0.25">
      <c r="A4" s="61"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206" t="s">
        <v>193</v>
      </c>
      <c r="B21" s="207"/>
      <c r="C21" s="207"/>
      <c r="D21" s="207"/>
      <c r="E21" s="207"/>
    </row>
    <row r="22" spans="1:23" x14ac:dyDescent="0.25">
      <c r="G22" s="84" t="s">
        <v>18</v>
      </c>
      <c r="H22" s="23" t="s">
        <v>2</v>
      </c>
    </row>
    <row r="23" spans="1:23" x14ac:dyDescent="0.25">
      <c r="A23" s="110" t="str" cm="1">
        <f t="array" ref="A23:E26">tblLoans[#All]</f>
        <v>Description</v>
      </c>
      <c r="B23" s="111" t="str">
        <v>Principal</v>
      </c>
      <c r="C23" s="111" t="str">
        <v>APR</v>
      </c>
      <c r="D23" s="111" t="str">
        <v>Term</v>
      </c>
      <c r="E23" s="111" t="str">
        <v>Start Date</v>
      </c>
      <c r="G23" s="127" t="s">
        <v>197</v>
      </c>
      <c r="H23" s="14"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112" t="str">
        <v>Renovation</v>
      </c>
      <c r="B24" s="113">
        <v>51216</v>
      </c>
      <c r="C24" s="114">
        <v>7.0000000000000007E-2</v>
      </c>
      <c r="D24" s="115">
        <v>10</v>
      </c>
      <c r="E24" s="116">
        <v>46266</v>
      </c>
      <c r="G24" s="128" t="str" cm="1">
        <f t="array" ref="G24:G43">oz.LabelAmortiseλ(tblLoans[Description])</f>
        <v>Renovation Debt Issuance</v>
      </c>
      <c r="H24" s="101" cm="1">
        <f t="array" ref="H24:H43">oz.SumAmortiseλ(_xlfn.ANCHORARRAY(I24))</f>
        <v>0</v>
      </c>
      <c r="I24" s="101" cm="1">
        <f t="array" ref="I24:W43">oz.Amortiseλ(tblLoans[Principal],tblLoans[APR],tblLoans[Term],tblLoans[Start Date],_xlfn.ANCHORARRAY( I23))</f>
        <v>51216</v>
      </c>
      <c r="J24" s="85">
        <v>0</v>
      </c>
      <c r="K24" s="85">
        <v>0</v>
      </c>
      <c r="L24" s="85">
        <v>0</v>
      </c>
      <c r="M24" s="85">
        <v>0</v>
      </c>
      <c r="N24" s="85">
        <v>0</v>
      </c>
      <c r="O24" s="85">
        <v>0</v>
      </c>
      <c r="P24" s="85">
        <v>0</v>
      </c>
      <c r="Q24" s="85">
        <v>0</v>
      </c>
      <c r="R24" s="85">
        <v>0</v>
      </c>
      <c r="S24" s="85">
        <v>0</v>
      </c>
      <c r="T24" s="85">
        <v>0</v>
      </c>
      <c r="U24" s="85">
        <v>0</v>
      </c>
      <c r="V24" s="85">
        <v>0</v>
      </c>
      <c r="W24" s="85">
        <v>0</v>
      </c>
    </row>
    <row r="25" spans="1:23" x14ac:dyDescent="0.25">
      <c r="A25" s="117" t="str">
        <v>New sign</v>
      </c>
      <c r="B25" s="118">
        <v>46218</v>
      </c>
      <c r="C25" s="119">
        <v>6.5000000000000002E-2</v>
      </c>
      <c r="D25" s="120">
        <v>10</v>
      </c>
      <c r="E25" s="121">
        <v>46204</v>
      </c>
      <c r="G25" s="81" t="str">
        <v>Renovation Debt Balance</v>
      </c>
      <c r="H25" s="85">
        <v>0</v>
      </c>
      <c r="I25" s="85">
        <v>51216</v>
      </c>
      <c r="J25" s="85">
        <v>0</v>
      </c>
      <c r="K25" s="85">
        <v>0</v>
      </c>
      <c r="L25" s="85">
        <v>0</v>
      </c>
      <c r="M25" s="85">
        <v>0</v>
      </c>
      <c r="N25" s="85">
        <v>0</v>
      </c>
      <c r="O25" s="85">
        <v>0</v>
      </c>
      <c r="P25" s="85">
        <v>0</v>
      </c>
      <c r="Q25" s="85">
        <v>0</v>
      </c>
      <c r="R25" s="85">
        <v>0</v>
      </c>
      <c r="S25" s="85">
        <v>0</v>
      </c>
      <c r="T25" s="85">
        <v>0</v>
      </c>
      <c r="U25" s="85">
        <v>0</v>
      </c>
      <c r="V25" s="85">
        <v>0</v>
      </c>
      <c r="W25" s="85">
        <v>0</v>
      </c>
    </row>
    <row r="26" spans="1:23" x14ac:dyDescent="0.25">
      <c r="A26" s="122" t="str">
        <v>Parking Lot</v>
      </c>
      <c r="B26" s="123">
        <v>500000</v>
      </c>
      <c r="C26" s="124">
        <v>0.08</v>
      </c>
      <c r="D26" s="125">
        <v>30</v>
      </c>
      <c r="E26" s="126">
        <v>46569</v>
      </c>
      <c r="G26" s="81" t="str">
        <v>Renovation Interest</v>
      </c>
      <c r="H26" s="85">
        <v>1657.5152357087741</v>
      </c>
      <c r="I26" s="85">
        <v>1657.5152357087741</v>
      </c>
      <c r="J26" s="85">
        <v>0</v>
      </c>
      <c r="K26" s="85">
        <v>0</v>
      </c>
      <c r="L26" s="85">
        <v>0</v>
      </c>
      <c r="M26" s="85">
        <v>0</v>
      </c>
      <c r="N26" s="85">
        <v>0</v>
      </c>
      <c r="O26" s="85">
        <v>0</v>
      </c>
      <c r="P26" s="85">
        <v>0</v>
      </c>
      <c r="Q26" s="85">
        <v>0</v>
      </c>
      <c r="R26" s="85">
        <v>0</v>
      </c>
      <c r="S26" s="85">
        <v>0</v>
      </c>
      <c r="T26" s="85">
        <v>0</v>
      </c>
      <c r="U26" s="85">
        <v>0</v>
      </c>
      <c r="V26" s="85">
        <v>0</v>
      </c>
      <c r="W26" s="85">
        <v>0</v>
      </c>
    </row>
    <row r="27" spans="1:23" x14ac:dyDescent="0.25">
      <c r="G27" s="81" t="str">
        <v>Renovation Debt Services</v>
      </c>
      <c r="H27" s="85">
        <v>-52873.515235708772</v>
      </c>
      <c r="I27" s="85">
        <v>-52873.515235708772</v>
      </c>
      <c r="J27" s="85">
        <v>0</v>
      </c>
      <c r="K27" s="85">
        <v>0</v>
      </c>
      <c r="L27" s="85">
        <v>0</v>
      </c>
      <c r="M27" s="85">
        <v>0</v>
      </c>
      <c r="N27" s="85">
        <v>0</v>
      </c>
      <c r="O27" s="85">
        <v>0</v>
      </c>
      <c r="P27" s="85">
        <v>0</v>
      </c>
      <c r="Q27" s="85">
        <v>0</v>
      </c>
      <c r="R27" s="85">
        <v>0</v>
      </c>
      <c r="S27" s="85">
        <v>0</v>
      </c>
      <c r="T27" s="85">
        <v>0</v>
      </c>
      <c r="U27" s="85">
        <v>0</v>
      </c>
      <c r="V27" s="85">
        <v>0</v>
      </c>
      <c r="W27" s="85">
        <v>0</v>
      </c>
    </row>
    <row r="28" spans="1:23" x14ac:dyDescent="0.25">
      <c r="G28" s="81" t="str">
        <v>Renovation Closing Balance</v>
      </c>
      <c r="H28" s="85">
        <v>0</v>
      </c>
      <c r="I28" s="85">
        <v>0</v>
      </c>
      <c r="J28" s="85">
        <v>0</v>
      </c>
      <c r="K28" s="85">
        <v>0</v>
      </c>
      <c r="L28" s="85">
        <v>0</v>
      </c>
      <c r="M28" s="85">
        <v>0</v>
      </c>
      <c r="N28" s="85">
        <v>0</v>
      </c>
      <c r="O28" s="85">
        <v>0</v>
      </c>
      <c r="P28" s="85">
        <v>0</v>
      </c>
      <c r="Q28" s="85">
        <v>0</v>
      </c>
      <c r="R28" s="85">
        <v>0</v>
      </c>
      <c r="S28" s="85">
        <v>0</v>
      </c>
      <c r="T28" s="85">
        <v>0</v>
      </c>
      <c r="U28" s="85">
        <v>0</v>
      </c>
      <c r="V28" s="85">
        <v>0</v>
      </c>
      <c r="W28" s="85">
        <v>0</v>
      </c>
    </row>
    <row r="29" spans="1:23" x14ac:dyDescent="0.25">
      <c r="G29" s="81" t="str">
        <v>Renovation Debt Repayment</v>
      </c>
      <c r="H29" s="85">
        <v>51216</v>
      </c>
      <c r="I29" s="85">
        <v>51216</v>
      </c>
      <c r="J29" s="85">
        <v>0</v>
      </c>
      <c r="K29" s="85">
        <v>0</v>
      </c>
      <c r="L29" s="85">
        <v>0</v>
      </c>
      <c r="M29" s="85">
        <v>0</v>
      </c>
      <c r="N29" s="85">
        <v>0</v>
      </c>
      <c r="O29" s="85">
        <v>0</v>
      </c>
      <c r="P29" s="85">
        <v>0</v>
      </c>
      <c r="Q29" s="85">
        <v>0</v>
      </c>
      <c r="R29" s="85">
        <v>0</v>
      </c>
      <c r="S29" s="85">
        <v>0</v>
      </c>
      <c r="T29" s="85">
        <v>0</v>
      </c>
      <c r="U29" s="85">
        <v>0</v>
      </c>
      <c r="V29" s="85">
        <v>0</v>
      </c>
      <c r="W29" s="85">
        <v>0</v>
      </c>
    </row>
    <row r="30" spans="1:23" x14ac:dyDescent="0.25">
      <c r="G30" s="81" t="str">
        <v/>
      </c>
      <c r="H30" s="85">
        <v>0</v>
      </c>
      <c r="I30" s="85" t="str">
        <v xml:space="preserve"> </v>
      </c>
      <c r="J30" s="85" t="str">
        <v xml:space="preserve"> </v>
      </c>
      <c r="K30" s="85" t="str">
        <v xml:space="preserve"> </v>
      </c>
      <c r="L30" s="85" t="str">
        <v xml:space="preserve"> </v>
      </c>
      <c r="M30" s="85" t="str">
        <v xml:space="preserve"> </v>
      </c>
      <c r="N30" s="85" t="str">
        <v xml:space="preserve"> </v>
      </c>
      <c r="O30" s="85" t="str">
        <v xml:space="preserve"> </v>
      </c>
      <c r="P30" s="85" t="str">
        <v xml:space="preserve"> </v>
      </c>
      <c r="Q30" s="85" t="str">
        <v xml:space="preserve"> </v>
      </c>
      <c r="R30" s="85" t="str">
        <v xml:space="preserve"> </v>
      </c>
      <c r="S30" s="85" t="str">
        <v xml:space="preserve"> </v>
      </c>
      <c r="T30" s="85" t="str">
        <v xml:space="preserve"> </v>
      </c>
      <c r="U30" s="85" t="str">
        <v xml:space="preserve"> </v>
      </c>
      <c r="V30" s="85" t="str">
        <v xml:space="preserve"> </v>
      </c>
      <c r="W30" s="85" t="str">
        <v xml:space="preserve"> </v>
      </c>
    </row>
    <row r="31" spans="1:23" x14ac:dyDescent="0.25">
      <c r="G31" s="81" t="str">
        <v>New sign Debt Issuance</v>
      </c>
      <c r="H31" s="85">
        <v>0</v>
      </c>
      <c r="I31" s="85">
        <v>46218</v>
      </c>
      <c r="J31" s="85">
        <v>0</v>
      </c>
      <c r="K31" s="85">
        <v>0</v>
      </c>
      <c r="L31" s="85">
        <v>0</v>
      </c>
      <c r="M31" s="85">
        <v>0</v>
      </c>
      <c r="N31" s="85">
        <v>0</v>
      </c>
      <c r="O31" s="85">
        <v>0</v>
      </c>
      <c r="P31" s="85">
        <v>0</v>
      </c>
      <c r="Q31" s="85">
        <v>0</v>
      </c>
      <c r="R31" s="85">
        <v>0</v>
      </c>
      <c r="S31" s="85">
        <v>0</v>
      </c>
      <c r="T31" s="85">
        <v>0</v>
      </c>
      <c r="U31" s="85">
        <v>0</v>
      </c>
      <c r="V31" s="85">
        <v>0</v>
      </c>
      <c r="W31" s="85">
        <v>0</v>
      </c>
    </row>
    <row r="32" spans="1:23" x14ac:dyDescent="0.25">
      <c r="G32" s="81" t="str">
        <v>New sign Debt Balance</v>
      </c>
      <c r="H32" s="85">
        <v>0</v>
      </c>
      <c r="I32" s="85">
        <v>46218</v>
      </c>
      <c r="J32" s="85">
        <v>0</v>
      </c>
      <c r="K32" s="85">
        <v>0</v>
      </c>
      <c r="L32" s="85">
        <v>0</v>
      </c>
      <c r="M32" s="85">
        <v>0</v>
      </c>
      <c r="N32" s="85">
        <v>0</v>
      </c>
      <c r="O32" s="85">
        <v>0</v>
      </c>
      <c r="P32" s="85">
        <v>0</v>
      </c>
      <c r="Q32" s="85">
        <v>0</v>
      </c>
      <c r="R32" s="85">
        <v>0</v>
      </c>
      <c r="S32" s="85">
        <v>0</v>
      </c>
      <c r="T32" s="85">
        <v>0</v>
      </c>
      <c r="U32" s="85">
        <v>0</v>
      </c>
      <c r="V32" s="85">
        <v>0</v>
      </c>
      <c r="W32" s="85">
        <v>0</v>
      </c>
    </row>
    <row r="33" spans="7:23" x14ac:dyDescent="0.25">
      <c r="G33" s="81" t="str">
        <v>New sign Interest</v>
      </c>
      <c r="H33" s="85">
        <v>1388.0679156179572</v>
      </c>
      <c r="I33" s="85">
        <v>1388.0679156179572</v>
      </c>
      <c r="J33" s="85">
        <v>0</v>
      </c>
      <c r="K33" s="85">
        <v>0</v>
      </c>
      <c r="L33" s="85">
        <v>0</v>
      </c>
      <c r="M33" s="85">
        <v>0</v>
      </c>
      <c r="N33" s="85">
        <v>0</v>
      </c>
      <c r="O33" s="85">
        <v>0</v>
      </c>
      <c r="P33" s="85">
        <v>0</v>
      </c>
      <c r="Q33" s="85">
        <v>0</v>
      </c>
      <c r="R33" s="85">
        <v>0</v>
      </c>
      <c r="S33" s="85">
        <v>0</v>
      </c>
      <c r="T33" s="85">
        <v>0</v>
      </c>
      <c r="U33" s="85">
        <v>0</v>
      </c>
      <c r="V33" s="85">
        <v>0</v>
      </c>
      <c r="W33" s="85">
        <v>0</v>
      </c>
    </row>
    <row r="34" spans="7:23" x14ac:dyDescent="0.25">
      <c r="G34" s="81" t="str">
        <v>New sign Debt Services</v>
      </c>
      <c r="H34" s="85">
        <v>-47606.067915617947</v>
      </c>
      <c r="I34" s="85">
        <v>-47606.067915617947</v>
      </c>
      <c r="J34" s="85">
        <v>0</v>
      </c>
      <c r="K34" s="85">
        <v>0</v>
      </c>
      <c r="L34" s="85">
        <v>0</v>
      </c>
      <c r="M34" s="85">
        <v>0</v>
      </c>
      <c r="N34" s="85">
        <v>0</v>
      </c>
      <c r="O34" s="85">
        <v>0</v>
      </c>
      <c r="P34" s="85">
        <v>0</v>
      </c>
      <c r="Q34" s="85">
        <v>0</v>
      </c>
      <c r="R34" s="85">
        <v>0</v>
      </c>
      <c r="S34" s="85">
        <v>0</v>
      </c>
      <c r="T34" s="85">
        <v>0</v>
      </c>
      <c r="U34" s="85">
        <v>0</v>
      </c>
      <c r="V34" s="85">
        <v>0</v>
      </c>
      <c r="W34" s="85">
        <v>0</v>
      </c>
    </row>
    <row r="35" spans="7:23" x14ac:dyDescent="0.25">
      <c r="G35" s="82" t="str">
        <v>New sign Closing Balance</v>
      </c>
      <c r="H35" s="85">
        <v>0</v>
      </c>
      <c r="I35" s="85">
        <v>7.2759576141834259E-12</v>
      </c>
      <c r="J35" s="85">
        <v>0</v>
      </c>
      <c r="K35" s="85">
        <v>0</v>
      </c>
      <c r="L35" s="85">
        <v>0</v>
      </c>
      <c r="M35" s="85">
        <v>0</v>
      </c>
      <c r="N35" s="85">
        <v>0</v>
      </c>
      <c r="O35" s="85">
        <v>0</v>
      </c>
      <c r="P35" s="85">
        <v>0</v>
      </c>
      <c r="Q35" s="85">
        <v>0</v>
      </c>
      <c r="R35" s="85">
        <v>0</v>
      </c>
      <c r="S35" s="85">
        <v>0</v>
      </c>
      <c r="T35" s="85">
        <v>0</v>
      </c>
      <c r="U35" s="85">
        <v>0</v>
      </c>
      <c r="V35" s="85">
        <v>0</v>
      </c>
      <c r="W35" s="85">
        <v>0</v>
      </c>
    </row>
    <row r="36" spans="7:23" x14ac:dyDescent="0.25">
      <c r="G36" s="82" t="str">
        <v>New sign Debt Repayment</v>
      </c>
      <c r="H36" s="85">
        <v>46217.999999999993</v>
      </c>
      <c r="I36" s="85">
        <v>46217.999999999993</v>
      </c>
      <c r="J36" s="85">
        <v>0</v>
      </c>
      <c r="K36" s="85">
        <v>0</v>
      </c>
      <c r="L36" s="85">
        <v>0</v>
      </c>
      <c r="M36" s="85">
        <v>0</v>
      </c>
      <c r="N36" s="85">
        <v>0</v>
      </c>
      <c r="O36" s="85">
        <v>0</v>
      </c>
      <c r="P36" s="85">
        <v>0</v>
      </c>
      <c r="Q36" s="85">
        <v>0</v>
      </c>
      <c r="R36" s="85">
        <v>0</v>
      </c>
      <c r="S36" s="85">
        <v>0</v>
      </c>
      <c r="T36" s="85">
        <v>0</v>
      </c>
      <c r="U36" s="85">
        <v>0</v>
      </c>
      <c r="V36" s="85">
        <v>0</v>
      </c>
      <c r="W36" s="85">
        <v>0</v>
      </c>
    </row>
    <row r="37" spans="7:23" x14ac:dyDescent="0.25">
      <c r="G37" s="82" t="str">
        <v/>
      </c>
      <c r="H37" s="85">
        <v>0</v>
      </c>
      <c r="I37" s="85" t="str">
        <v xml:space="preserve"> </v>
      </c>
      <c r="J37" s="85" t="str">
        <v xml:space="preserve"> </v>
      </c>
      <c r="K37" s="85" t="str">
        <v xml:space="preserve"> </v>
      </c>
      <c r="L37" s="85" t="str">
        <v xml:space="preserve"> </v>
      </c>
      <c r="M37" s="85" t="str">
        <v xml:space="preserve"> </v>
      </c>
      <c r="N37" s="85" t="str">
        <v xml:space="preserve"> </v>
      </c>
      <c r="O37" s="85" t="str">
        <v xml:space="preserve"> </v>
      </c>
      <c r="P37" s="85" t="str">
        <v xml:space="preserve"> </v>
      </c>
      <c r="Q37" s="85" t="str">
        <v xml:space="preserve"> </v>
      </c>
      <c r="R37" s="85" t="str">
        <v xml:space="preserve"> </v>
      </c>
      <c r="S37" s="85" t="str">
        <v xml:space="preserve"> </v>
      </c>
      <c r="T37" s="85" t="str">
        <v xml:space="preserve"> </v>
      </c>
      <c r="U37" s="85" t="str">
        <v xml:space="preserve"> </v>
      </c>
      <c r="V37" s="85" t="str">
        <v xml:space="preserve"> </v>
      </c>
      <c r="W37" s="85" t="str">
        <v xml:space="preserve"> </v>
      </c>
    </row>
    <row r="38" spans="7:23" x14ac:dyDescent="0.25">
      <c r="G38" s="82" t="str">
        <v>Parking Lot Debt Issuance</v>
      </c>
      <c r="H38" s="85">
        <v>0</v>
      </c>
      <c r="I38" s="85">
        <v>0</v>
      </c>
      <c r="J38" s="85">
        <v>500000</v>
      </c>
      <c r="K38" s="85">
        <v>0</v>
      </c>
      <c r="L38" s="85">
        <v>0</v>
      </c>
      <c r="M38" s="85">
        <v>0</v>
      </c>
      <c r="N38" s="85">
        <v>0</v>
      </c>
      <c r="O38" s="85">
        <v>0</v>
      </c>
      <c r="P38" s="85">
        <v>0</v>
      </c>
      <c r="Q38" s="85">
        <v>0</v>
      </c>
      <c r="R38" s="85">
        <v>0</v>
      </c>
      <c r="S38" s="85">
        <v>0</v>
      </c>
      <c r="T38" s="85">
        <v>0</v>
      </c>
      <c r="U38" s="85">
        <v>0</v>
      </c>
      <c r="V38" s="85">
        <v>0</v>
      </c>
      <c r="W38" s="85">
        <v>0</v>
      </c>
    </row>
    <row r="39" spans="7:23" x14ac:dyDescent="0.25">
      <c r="G39" s="81" t="str">
        <v>Parking Lot Debt Balance</v>
      </c>
      <c r="H39" s="85">
        <v>0</v>
      </c>
      <c r="I39" s="85">
        <v>0</v>
      </c>
      <c r="J39" s="85">
        <v>500000</v>
      </c>
      <c r="K39" s="85">
        <v>311871.30198002694</v>
      </c>
      <c r="L39" s="85">
        <v>108128.01480805682</v>
      </c>
      <c r="M39" s="85">
        <v>0</v>
      </c>
      <c r="N39" s="85">
        <v>0</v>
      </c>
      <c r="O39" s="85">
        <v>0</v>
      </c>
      <c r="P39" s="85">
        <v>0</v>
      </c>
      <c r="Q39" s="85">
        <v>0</v>
      </c>
      <c r="R39" s="85">
        <v>0</v>
      </c>
      <c r="S39" s="85">
        <v>0</v>
      </c>
      <c r="T39" s="85">
        <v>0</v>
      </c>
      <c r="U39" s="85">
        <v>0</v>
      </c>
      <c r="V39" s="85">
        <v>0</v>
      </c>
      <c r="W39" s="85">
        <v>0</v>
      </c>
    </row>
    <row r="40" spans="7:23" x14ac:dyDescent="0.25">
      <c r="G40" s="81" t="str">
        <v>Parking Lot Interest</v>
      </c>
      <c r="H40" s="85">
        <v>53324.857595300615</v>
      </c>
      <c r="I40" s="85">
        <v>0</v>
      </c>
      <c r="J40" s="85">
        <v>33201.245018145353</v>
      </c>
      <c r="K40" s="85">
        <v>17586.655866148452</v>
      </c>
      <c r="L40" s="85">
        <v>2536.9567110068115</v>
      </c>
      <c r="M40" s="85">
        <v>0</v>
      </c>
      <c r="N40" s="85">
        <v>0</v>
      </c>
      <c r="O40" s="85">
        <v>0</v>
      </c>
      <c r="P40" s="85">
        <v>0</v>
      </c>
      <c r="Q40" s="85">
        <v>0</v>
      </c>
      <c r="R40" s="85">
        <v>0</v>
      </c>
      <c r="S40" s="85">
        <v>0</v>
      </c>
      <c r="T40" s="85">
        <v>0</v>
      </c>
      <c r="U40" s="85">
        <v>0</v>
      </c>
      <c r="V40" s="85">
        <v>0</v>
      </c>
      <c r="W40" s="85">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5C2D91"/>
    <pageSetUpPr fitToPage="1"/>
  </sheetPr>
  <dimension ref="A1:DX43"/>
  <sheetViews>
    <sheetView showGridLines="0" workbookViewId="0">
      <pane xSplit="8" topLeftCell="I1" activePane="topRight" state="frozen"/>
      <selection sqref="A1:P1"/>
      <selection pane="topRight" activeCell="I1" sqref="I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186" t="str">
        <f ca="1">_xlfn.TEXTAFTER(CELL("filename",A1),"]")</f>
        <v>oz.SumAmortiseλ</v>
      </c>
      <c r="B1" s="186"/>
      <c r="C1" s="186"/>
      <c r="D1" s="186"/>
      <c r="E1" s="186"/>
      <c r="F1" s="186"/>
      <c r="G1" s="186"/>
      <c r="H1" s="186"/>
      <c r="I1" s="186"/>
      <c r="J1" s="186"/>
      <c r="K1" s="186"/>
      <c r="L1" s="186"/>
      <c r="M1" s="186"/>
      <c r="N1" s="186"/>
      <c r="O1" s="186"/>
      <c r="P1" s="186"/>
    </row>
    <row r="2" spans="1:17" x14ac:dyDescent="0.25">
      <c r="A2" s="187" t="s">
        <v>88</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c r="L3" s="4"/>
      <c r="M3" s="4"/>
      <c r="N3" s="4"/>
      <c r="O3" s="4"/>
      <c r="P3" s="4"/>
    </row>
    <row r="4" spans="1:17" x14ac:dyDescent="0.25">
      <c r="A4" s="61"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128" ht="21" x14ac:dyDescent="0.35">
      <c r="A21" s="200" t="s">
        <v>193</v>
      </c>
      <c r="B21" s="200"/>
      <c r="C21" s="200"/>
    </row>
    <row r="22" spans="1:128" x14ac:dyDescent="0.25">
      <c r="G22" s="84" t="s">
        <v>18</v>
      </c>
      <c r="H22" s="23" t="s">
        <v>2</v>
      </c>
    </row>
    <row r="23" spans="1:128" x14ac:dyDescent="0.25">
      <c r="A23" s="60" t="str" cm="1">
        <f t="array" ref="A23:E26">tblLoans[#All]</f>
        <v>Description</v>
      </c>
      <c r="B23" s="59" t="str">
        <v>Principal</v>
      </c>
      <c r="C23" s="59" t="str">
        <v>APR</v>
      </c>
      <c r="D23" s="59" t="str">
        <v>Term</v>
      </c>
      <c r="E23" s="59" t="str">
        <v>Start Date</v>
      </c>
      <c r="F23" s="73"/>
      <c r="G23" s="74" t="s">
        <v>6</v>
      </c>
      <c r="H23" s="75"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88" t="str">
        <v>Renovation</v>
      </c>
      <c r="B24" s="77">
        <v>51216</v>
      </c>
      <c r="C24" s="78">
        <v>7.0000000000000007E-2</v>
      </c>
      <c r="D24" s="79">
        <v>10</v>
      </c>
      <c r="E24" s="80">
        <v>46266</v>
      </c>
      <c r="G24" s="81" t="str" cm="1">
        <f t="array" ref="G24:G43">oz.LabelAmortiseλ(tblLoans[Description])</f>
        <v>Renovation Debt Issuance</v>
      </c>
      <c r="H24" s="86" cm="1">
        <f t="array" ref="H24:H43">oz.SumAmortiseλ(_xlfn.ANCHORARRAY(I24))</f>
        <v>0</v>
      </c>
      <c r="I24" s="101" cm="1">
        <f t="array" ref="I24:W43">oz.Amortiseλ(tblLoans[Principal],tblLoans[APR],tblLoans[Term],tblLoans[Start Date],_xlfn.ANCHORARRAY( I23))</f>
        <v>51216</v>
      </c>
      <c r="J24" s="85">
        <v>0</v>
      </c>
      <c r="K24" s="85">
        <v>0</v>
      </c>
      <c r="L24" s="85">
        <v>0</v>
      </c>
      <c r="M24" s="85">
        <v>0</v>
      </c>
      <c r="N24" s="85">
        <v>0</v>
      </c>
      <c r="O24" s="85">
        <v>0</v>
      </c>
      <c r="P24" s="85">
        <v>0</v>
      </c>
      <c r="Q24" s="85">
        <v>0</v>
      </c>
      <c r="R24" s="85">
        <v>0</v>
      </c>
      <c r="S24" s="85">
        <v>0</v>
      </c>
      <c r="T24" s="85">
        <v>0</v>
      </c>
      <c r="U24" s="85">
        <v>0</v>
      </c>
      <c r="V24" s="85">
        <v>0</v>
      </c>
      <c r="W24" s="85">
        <v>0</v>
      </c>
      <c r="X24" s="47"/>
      <c r="Y24" s="47"/>
      <c r="Z24" s="47"/>
      <c r="AA24" s="47"/>
      <c r="AB24" s="47"/>
      <c r="AC24" s="47"/>
      <c r="AD24" s="47"/>
      <c r="AE24" s="47"/>
      <c r="AF24" s="47"/>
      <c r="AG24" s="47"/>
      <c r="AH24" s="47"/>
      <c r="AI24" s="47"/>
      <c r="AJ24" s="47"/>
      <c r="AK24" s="47"/>
      <c r="AL24" s="47"/>
      <c r="AM24" s="47"/>
      <c r="AN24" s="47"/>
      <c r="AO24" s="47"/>
      <c r="AP24" s="47"/>
      <c r="AQ24" s="47"/>
      <c r="AR24" s="47"/>
      <c r="AS24" s="47"/>
      <c r="AT24" s="47"/>
      <c r="AU24" s="47"/>
      <c r="AV24" s="47"/>
      <c r="AW24" s="47"/>
      <c r="AX24" s="47"/>
      <c r="AY24" s="47"/>
      <c r="AZ24" s="47"/>
      <c r="BA24" s="47"/>
      <c r="BB24" s="47"/>
      <c r="BC24" s="47"/>
      <c r="BD24" s="47"/>
      <c r="BE24" s="47"/>
      <c r="BF24" s="47"/>
      <c r="BG24" s="47"/>
      <c r="BH24" s="47"/>
      <c r="BI24" s="47"/>
      <c r="BJ24" s="47"/>
      <c r="BK24" s="47"/>
      <c r="BL24" s="47"/>
      <c r="BM24" s="47"/>
      <c r="BN24" s="47"/>
      <c r="BO24" s="47"/>
      <c r="BP24" s="47"/>
      <c r="BQ24" s="47"/>
      <c r="BR24" s="47"/>
      <c r="BS24" s="47"/>
      <c r="BT24" s="47"/>
      <c r="BU24" s="47"/>
      <c r="BV24" s="47"/>
      <c r="BW24" s="47"/>
      <c r="BX24" s="47"/>
      <c r="BY24" s="47"/>
      <c r="BZ24" s="47"/>
      <c r="CA24" s="47"/>
      <c r="CB24" s="47"/>
    </row>
    <row r="25" spans="1:128" x14ac:dyDescent="0.25">
      <c r="A25" s="88" t="str">
        <v>New sign</v>
      </c>
      <c r="B25" s="77">
        <v>46218</v>
      </c>
      <c r="C25" s="78">
        <v>6.5000000000000002E-2</v>
      </c>
      <c r="D25" s="79">
        <v>10</v>
      </c>
      <c r="E25" s="80">
        <v>46204</v>
      </c>
      <c r="G25" s="81" t="str">
        <v>Renovation Debt Balance</v>
      </c>
      <c r="H25" s="85">
        <v>0</v>
      </c>
      <c r="I25" s="85">
        <v>51216</v>
      </c>
      <c r="J25" s="85">
        <v>0</v>
      </c>
      <c r="K25" s="85">
        <v>0</v>
      </c>
      <c r="L25" s="85">
        <v>0</v>
      </c>
      <c r="M25" s="85">
        <v>0</v>
      </c>
      <c r="N25" s="85">
        <v>0</v>
      </c>
      <c r="O25" s="85">
        <v>0</v>
      </c>
      <c r="P25" s="85">
        <v>0</v>
      </c>
      <c r="Q25" s="85">
        <v>0</v>
      </c>
      <c r="R25" s="85">
        <v>0</v>
      </c>
      <c r="S25" s="85">
        <v>0</v>
      </c>
      <c r="T25" s="85">
        <v>0</v>
      </c>
      <c r="U25" s="85">
        <v>0</v>
      </c>
      <c r="V25" s="85">
        <v>0</v>
      </c>
      <c r="W25" s="85">
        <v>0</v>
      </c>
      <c r="X25" s="47"/>
      <c r="Y25" s="47"/>
      <c r="Z25" s="47"/>
      <c r="AA25" s="47"/>
      <c r="AB25" s="47"/>
      <c r="AC25" s="47"/>
      <c r="AD25" s="47"/>
      <c r="AE25" s="47"/>
      <c r="AF25" s="47"/>
      <c r="AG25" s="47"/>
      <c r="AH25" s="47"/>
      <c r="AI25" s="47"/>
      <c r="AJ25" s="47"/>
      <c r="AK25" s="47"/>
      <c r="AL25" s="47"/>
      <c r="AM25" s="47"/>
      <c r="AN25" s="47"/>
      <c r="AO25" s="47"/>
      <c r="AP25" s="47"/>
      <c r="AQ25" s="47"/>
      <c r="AR25" s="47"/>
      <c r="AS25" s="47"/>
      <c r="AT25" s="47"/>
      <c r="AU25" s="47"/>
      <c r="AV25" s="47"/>
      <c r="AW25" s="47"/>
      <c r="AX25" s="47"/>
      <c r="AY25" s="47"/>
      <c r="AZ25" s="47"/>
      <c r="BA25" s="47"/>
      <c r="BB25" s="47"/>
      <c r="BC25" s="47"/>
      <c r="BD25" s="47"/>
      <c r="BE25" s="47"/>
      <c r="BF25" s="47"/>
      <c r="BG25" s="47"/>
      <c r="BH25" s="47"/>
      <c r="BI25" s="47"/>
      <c r="BJ25" s="47"/>
      <c r="BK25" s="47"/>
      <c r="BL25" s="47"/>
      <c r="BM25" s="47"/>
      <c r="BN25" s="47"/>
      <c r="BO25" s="47"/>
      <c r="BP25" s="47"/>
      <c r="BQ25" s="47"/>
      <c r="BR25" s="47"/>
      <c r="BS25" s="47"/>
      <c r="BT25" s="47"/>
      <c r="BU25" s="47"/>
      <c r="BV25" s="47"/>
      <c r="BW25" s="47"/>
      <c r="BX25" s="47"/>
      <c r="BY25" s="47"/>
      <c r="BZ25" s="47"/>
      <c r="CA25" s="47"/>
      <c r="CB25" s="47"/>
    </row>
    <row r="26" spans="1:128" x14ac:dyDescent="0.25">
      <c r="A26" s="88" t="str">
        <v>Parking Lot</v>
      </c>
      <c r="B26" s="77">
        <v>500000</v>
      </c>
      <c r="C26" s="78">
        <v>0.08</v>
      </c>
      <c r="D26" s="79">
        <v>30</v>
      </c>
      <c r="E26" s="80">
        <v>46569</v>
      </c>
      <c r="G26" s="81" t="str">
        <v>Renovation Interest</v>
      </c>
      <c r="H26" s="85">
        <v>1657.5152357087741</v>
      </c>
      <c r="I26" s="85">
        <v>1657.5152357087741</v>
      </c>
      <c r="J26" s="85">
        <v>0</v>
      </c>
      <c r="K26" s="85">
        <v>0</v>
      </c>
      <c r="L26" s="85">
        <v>0</v>
      </c>
      <c r="M26" s="85">
        <v>0</v>
      </c>
      <c r="N26" s="85">
        <v>0</v>
      </c>
      <c r="O26" s="85">
        <v>0</v>
      </c>
      <c r="P26" s="85">
        <v>0</v>
      </c>
      <c r="Q26" s="85">
        <v>0</v>
      </c>
      <c r="R26" s="85">
        <v>0</v>
      </c>
      <c r="S26" s="85">
        <v>0</v>
      </c>
      <c r="T26" s="85">
        <v>0</v>
      </c>
      <c r="U26" s="85">
        <v>0</v>
      </c>
      <c r="V26" s="85">
        <v>0</v>
      </c>
      <c r="W26" s="85">
        <v>0</v>
      </c>
      <c r="X26" s="47"/>
      <c r="Y26" s="47"/>
      <c r="Z26" s="47"/>
      <c r="AA26" s="47"/>
      <c r="AB26" s="47"/>
      <c r="AC26" s="47"/>
      <c r="AD26" s="47"/>
      <c r="AE26" s="47"/>
      <c r="AF26" s="47"/>
      <c r="AG26" s="47"/>
      <c r="AH26" s="47"/>
      <c r="AI26" s="47"/>
      <c r="AJ26" s="47"/>
      <c r="AK26" s="47"/>
      <c r="AL26" s="47"/>
      <c r="AM26" s="47"/>
      <c r="AN26" s="47"/>
      <c r="AO26" s="47"/>
      <c r="AP26" s="47"/>
      <c r="AQ26" s="47"/>
      <c r="AR26" s="47"/>
      <c r="AS26" s="47"/>
      <c r="AT26" s="47"/>
      <c r="AU26" s="47"/>
      <c r="AV26" s="47"/>
      <c r="AW26" s="47"/>
      <c r="AX26" s="47"/>
      <c r="AY26" s="47"/>
      <c r="AZ26" s="47"/>
      <c r="BA26" s="47"/>
      <c r="BB26" s="47"/>
      <c r="BC26" s="47"/>
      <c r="BD26" s="47"/>
      <c r="BE26" s="47"/>
      <c r="BF26" s="47"/>
      <c r="BG26" s="47"/>
      <c r="BH26" s="47"/>
      <c r="BI26" s="47"/>
      <c r="BJ26" s="47"/>
      <c r="BK26" s="47"/>
      <c r="BL26" s="47"/>
      <c r="BM26" s="47"/>
      <c r="BN26" s="47"/>
      <c r="BO26" s="47"/>
      <c r="BP26" s="47"/>
      <c r="BQ26" s="47"/>
      <c r="BR26" s="47"/>
      <c r="BS26" s="47"/>
      <c r="BT26" s="47"/>
      <c r="BU26" s="47"/>
      <c r="BV26" s="47"/>
      <c r="BW26" s="47"/>
      <c r="BX26" s="47"/>
      <c r="BY26" s="47"/>
      <c r="BZ26" s="47"/>
      <c r="CA26" s="47"/>
      <c r="CB26" s="47"/>
    </row>
    <row r="27" spans="1:128" x14ac:dyDescent="0.25">
      <c r="G27" s="81" t="str">
        <v>Renovation Debt Services</v>
      </c>
      <c r="H27" s="85">
        <v>-52873.515235708772</v>
      </c>
      <c r="I27" s="85">
        <v>-52873.515235708772</v>
      </c>
      <c r="J27" s="85">
        <v>0</v>
      </c>
      <c r="K27" s="85">
        <v>0</v>
      </c>
      <c r="L27" s="85">
        <v>0</v>
      </c>
      <c r="M27" s="85">
        <v>0</v>
      </c>
      <c r="N27" s="85">
        <v>0</v>
      </c>
      <c r="O27" s="85">
        <v>0</v>
      </c>
      <c r="P27" s="85">
        <v>0</v>
      </c>
      <c r="Q27" s="85">
        <v>0</v>
      </c>
      <c r="R27" s="85">
        <v>0</v>
      </c>
      <c r="S27" s="85">
        <v>0</v>
      </c>
      <c r="T27" s="85">
        <v>0</v>
      </c>
      <c r="U27" s="85">
        <v>0</v>
      </c>
      <c r="V27" s="85">
        <v>0</v>
      </c>
      <c r="W27" s="85">
        <v>0</v>
      </c>
      <c r="X27" s="47"/>
      <c r="Y27" s="47"/>
      <c r="Z27" s="47"/>
      <c r="AA27" s="47"/>
      <c r="AB27" s="47"/>
      <c r="AC27" s="47"/>
      <c r="AD27" s="47"/>
      <c r="AE27" s="47"/>
      <c r="AF27" s="47"/>
      <c r="AG27" s="47"/>
      <c r="AH27" s="47"/>
      <c r="AI27" s="47"/>
      <c r="AJ27" s="47"/>
      <c r="AK27" s="47"/>
      <c r="AL27" s="47"/>
      <c r="AM27" s="47"/>
      <c r="AN27" s="47"/>
      <c r="AO27" s="47"/>
      <c r="AP27" s="47"/>
      <c r="AQ27" s="47"/>
      <c r="AR27" s="47"/>
      <c r="AS27" s="47"/>
      <c r="AT27" s="47"/>
      <c r="AU27" s="47"/>
      <c r="AV27" s="47"/>
      <c r="AW27" s="47"/>
      <c r="AX27" s="47"/>
      <c r="AY27" s="47"/>
      <c r="AZ27" s="47"/>
      <c r="BA27" s="47"/>
      <c r="BB27" s="47"/>
      <c r="BC27" s="47"/>
      <c r="BD27" s="47"/>
      <c r="BE27" s="47"/>
      <c r="BF27" s="47"/>
      <c r="BG27" s="47"/>
      <c r="BH27" s="47"/>
      <c r="BI27" s="47"/>
      <c r="BJ27" s="47"/>
      <c r="BK27" s="47"/>
      <c r="BL27" s="47"/>
      <c r="BM27" s="47"/>
      <c r="BN27" s="47"/>
      <c r="BO27" s="47"/>
      <c r="BP27" s="47"/>
      <c r="BQ27" s="47"/>
      <c r="BR27" s="47"/>
      <c r="BS27" s="47"/>
      <c r="BT27" s="47"/>
      <c r="BU27" s="47"/>
      <c r="BV27" s="47"/>
      <c r="BW27" s="47"/>
      <c r="BX27" s="47"/>
      <c r="BY27" s="47"/>
      <c r="BZ27" s="47"/>
      <c r="CA27" s="47"/>
      <c r="CB27" s="47"/>
    </row>
    <row r="28" spans="1:128" x14ac:dyDescent="0.25">
      <c r="G28" s="81" t="str">
        <v>Renovation Closing Balance</v>
      </c>
      <c r="H28" s="85">
        <v>0</v>
      </c>
      <c r="I28" s="85">
        <v>0</v>
      </c>
      <c r="J28" s="85">
        <v>0</v>
      </c>
      <c r="K28" s="85">
        <v>0</v>
      </c>
      <c r="L28" s="85">
        <v>0</v>
      </c>
      <c r="M28" s="85">
        <v>0</v>
      </c>
      <c r="N28" s="85">
        <v>0</v>
      </c>
      <c r="O28" s="85">
        <v>0</v>
      </c>
      <c r="P28" s="85">
        <v>0</v>
      </c>
      <c r="Q28" s="85">
        <v>0</v>
      </c>
      <c r="R28" s="85">
        <v>0</v>
      </c>
      <c r="S28" s="85">
        <v>0</v>
      </c>
      <c r="T28" s="85">
        <v>0</v>
      </c>
      <c r="U28" s="85">
        <v>0</v>
      </c>
      <c r="V28" s="85">
        <v>0</v>
      </c>
      <c r="W28" s="85">
        <v>0</v>
      </c>
      <c r="X28" s="47"/>
      <c r="Y28" s="47"/>
      <c r="Z28" s="47"/>
      <c r="AA28" s="47"/>
      <c r="AB28" s="47"/>
      <c r="AC28" s="47"/>
      <c r="AD28" s="47"/>
      <c r="AE28" s="47"/>
      <c r="AF28" s="47"/>
      <c r="AG28" s="47"/>
      <c r="AH28" s="47"/>
      <c r="AI28" s="47"/>
      <c r="AJ28" s="47"/>
      <c r="AK28" s="47"/>
      <c r="AL28" s="47"/>
      <c r="AM28" s="47"/>
      <c r="AN28" s="47"/>
      <c r="AO28" s="47"/>
      <c r="AP28" s="47"/>
      <c r="AQ28" s="47"/>
      <c r="AR28" s="47"/>
      <c r="AS28" s="47"/>
      <c r="AT28" s="47"/>
      <c r="AU28" s="47"/>
      <c r="AV28" s="47"/>
      <c r="AW28" s="47"/>
      <c r="AX28" s="47"/>
      <c r="AY28" s="47"/>
      <c r="AZ28" s="47"/>
      <c r="BA28" s="47"/>
      <c r="BB28" s="47"/>
      <c r="BC28" s="47"/>
      <c r="BD28" s="47"/>
      <c r="BE28" s="47"/>
      <c r="BF28" s="47"/>
      <c r="BG28" s="47"/>
      <c r="BH28" s="47"/>
      <c r="BI28" s="47"/>
      <c r="BJ28" s="47"/>
      <c r="BK28" s="47"/>
      <c r="BL28" s="47"/>
      <c r="BM28" s="47"/>
      <c r="BN28" s="47"/>
      <c r="BO28" s="47"/>
      <c r="BP28" s="47"/>
      <c r="BQ28" s="47"/>
      <c r="BR28" s="47"/>
      <c r="BS28" s="47"/>
      <c r="BT28" s="47"/>
      <c r="BU28" s="47"/>
      <c r="BV28" s="47"/>
      <c r="BW28" s="47"/>
      <c r="BX28" s="47"/>
      <c r="BY28" s="47"/>
      <c r="BZ28" s="47"/>
      <c r="CA28" s="47"/>
      <c r="CB28" s="47"/>
    </row>
    <row r="29" spans="1:128" x14ac:dyDescent="0.25">
      <c r="G29" s="81" t="str">
        <v>Renovation Debt Repayment</v>
      </c>
      <c r="H29" s="85">
        <v>51216</v>
      </c>
      <c r="I29" s="85">
        <v>51216</v>
      </c>
      <c r="J29" s="85">
        <v>0</v>
      </c>
      <c r="K29" s="85">
        <v>0</v>
      </c>
      <c r="L29" s="85">
        <v>0</v>
      </c>
      <c r="M29" s="85">
        <v>0</v>
      </c>
      <c r="N29" s="85">
        <v>0</v>
      </c>
      <c r="O29" s="85">
        <v>0</v>
      </c>
      <c r="P29" s="85">
        <v>0</v>
      </c>
      <c r="Q29" s="85">
        <v>0</v>
      </c>
      <c r="R29" s="85">
        <v>0</v>
      </c>
      <c r="S29" s="85">
        <v>0</v>
      </c>
      <c r="T29" s="85">
        <v>0</v>
      </c>
      <c r="U29" s="85">
        <v>0</v>
      </c>
      <c r="V29" s="85">
        <v>0</v>
      </c>
      <c r="W29" s="85">
        <v>0</v>
      </c>
      <c r="X29" s="47"/>
      <c r="Y29" s="47"/>
      <c r="Z29" s="47"/>
      <c r="AA29" s="47"/>
      <c r="AB29" s="47"/>
      <c r="AC29" s="47"/>
      <c r="AD29" s="47"/>
      <c r="AE29" s="47"/>
      <c r="AF29" s="47"/>
      <c r="AG29" s="47"/>
      <c r="AH29" s="47"/>
      <c r="AI29" s="47"/>
      <c r="AJ29" s="47"/>
      <c r="AK29" s="47"/>
      <c r="AL29" s="47"/>
      <c r="AM29" s="47"/>
      <c r="AN29" s="47"/>
      <c r="AO29" s="47"/>
      <c r="AP29" s="47"/>
      <c r="AQ29" s="47"/>
      <c r="AR29" s="47"/>
      <c r="AS29" s="47"/>
      <c r="AT29" s="47"/>
      <c r="AU29" s="47"/>
      <c r="AV29" s="47"/>
      <c r="AW29" s="47"/>
      <c r="AX29" s="47"/>
      <c r="AY29" s="47"/>
      <c r="AZ29" s="47"/>
      <c r="BA29" s="47"/>
      <c r="BB29" s="47"/>
      <c r="BC29" s="47"/>
      <c r="BD29" s="47"/>
      <c r="BE29" s="47"/>
      <c r="BF29" s="47"/>
      <c r="BG29" s="47"/>
      <c r="BH29" s="47"/>
      <c r="BI29" s="47"/>
      <c r="BJ29" s="47"/>
      <c r="BK29" s="47"/>
      <c r="BL29" s="47"/>
      <c r="BM29" s="47"/>
      <c r="BN29" s="47"/>
      <c r="BO29" s="47"/>
      <c r="BP29" s="47"/>
      <c r="BQ29" s="47"/>
      <c r="BR29" s="47"/>
      <c r="BS29" s="47"/>
      <c r="BT29" s="47"/>
      <c r="BU29" s="47"/>
      <c r="BV29" s="47"/>
      <c r="BW29" s="47"/>
      <c r="BX29" s="47"/>
      <c r="BY29" s="47"/>
      <c r="BZ29" s="47"/>
      <c r="CA29" s="47"/>
      <c r="CB29" s="47"/>
    </row>
    <row r="30" spans="1:128" x14ac:dyDescent="0.25">
      <c r="G30" s="81" t="str">
        <v/>
      </c>
      <c r="H30" s="85">
        <v>0</v>
      </c>
      <c r="I30" s="85" t="str">
        <v xml:space="preserve"> </v>
      </c>
      <c r="J30" s="85" t="str">
        <v xml:space="preserve"> </v>
      </c>
      <c r="K30" s="85" t="str">
        <v xml:space="preserve"> </v>
      </c>
      <c r="L30" s="85" t="str">
        <v xml:space="preserve"> </v>
      </c>
      <c r="M30" s="85" t="str">
        <v xml:space="preserve"> </v>
      </c>
      <c r="N30" s="85" t="str">
        <v xml:space="preserve"> </v>
      </c>
      <c r="O30" s="85" t="str">
        <v xml:space="preserve"> </v>
      </c>
      <c r="P30" s="85" t="str">
        <v xml:space="preserve"> </v>
      </c>
      <c r="Q30" s="85" t="str">
        <v xml:space="preserve"> </v>
      </c>
      <c r="R30" s="85" t="str">
        <v xml:space="preserve"> </v>
      </c>
      <c r="S30" s="85" t="str">
        <v xml:space="preserve"> </v>
      </c>
      <c r="T30" s="85" t="str">
        <v xml:space="preserve"> </v>
      </c>
      <c r="U30" s="85" t="str">
        <v xml:space="preserve"> </v>
      </c>
      <c r="V30" s="85" t="str">
        <v xml:space="preserve"> </v>
      </c>
      <c r="W30" s="85" t="str">
        <v xml:space="preserve"> </v>
      </c>
      <c r="X30" s="47"/>
      <c r="Y30" s="47"/>
      <c r="Z30" s="47"/>
      <c r="AA30" s="47"/>
      <c r="AB30" s="47"/>
      <c r="AC30" s="47"/>
      <c r="AD30" s="47"/>
      <c r="AE30" s="47"/>
      <c r="AF30" s="47"/>
      <c r="AG30" s="47"/>
      <c r="AH30" s="47"/>
      <c r="AI30" s="47"/>
      <c r="AJ30" s="47"/>
      <c r="AK30" s="47"/>
      <c r="AL30" s="47"/>
      <c r="AM30" s="47"/>
      <c r="AN30" s="47"/>
      <c r="AO30" s="47"/>
      <c r="AP30" s="47"/>
      <c r="AQ30" s="47"/>
      <c r="AR30" s="47"/>
      <c r="AS30" s="47"/>
      <c r="AT30" s="47"/>
      <c r="AU30" s="47"/>
      <c r="AV30" s="47"/>
      <c r="AW30" s="47"/>
      <c r="AX30" s="47"/>
      <c r="AY30" s="47"/>
      <c r="AZ30" s="47"/>
      <c r="BA30" s="47"/>
      <c r="BB30" s="47"/>
      <c r="BC30" s="47"/>
      <c r="BD30" s="47"/>
      <c r="BE30" s="47"/>
      <c r="BF30" s="47"/>
      <c r="BG30" s="47"/>
      <c r="BH30" s="47"/>
      <c r="BI30" s="47"/>
      <c r="BJ30" s="47"/>
      <c r="BK30" s="47"/>
      <c r="BL30" s="47"/>
      <c r="BM30" s="47"/>
      <c r="BN30" s="47"/>
      <c r="BO30" s="47"/>
      <c r="BP30" s="47"/>
      <c r="BQ30" s="47"/>
      <c r="BR30" s="47"/>
      <c r="BS30" s="47"/>
      <c r="BT30" s="47"/>
      <c r="BU30" s="47"/>
      <c r="BV30" s="47"/>
      <c r="BW30" s="47"/>
      <c r="BX30" s="47"/>
      <c r="BY30" s="47"/>
      <c r="BZ30" s="47"/>
      <c r="CA30" s="47"/>
      <c r="CB30" s="47"/>
    </row>
    <row r="31" spans="1:128" x14ac:dyDescent="0.25">
      <c r="G31" s="81" t="str">
        <v>New sign Debt Issuance</v>
      </c>
      <c r="H31" s="85">
        <v>0</v>
      </c>
      <c r="I31" s="85">
        <v>46218</v>
      </c>
      <c r="J31" s="85">
        <v>0</v>
      </c>
      <c r="K31" s="85">
        <v>0</v>
      </c>
      <c r="L31" s="85">
        <v>0</v>
      </c>
      <c r="M31" s="85">
        <v>0</v>
      </c>
      <c r="N31" s="85">
        <v>0</v>
      </c>
      <c r="O31" s="85">
        <v>0</v>
      </c>
      <c r="P31" s="85">
        <v>0</v>
      </c>
      <c r="Q31" s="85">
        <v>0</v>
      </c>
      <c r="R31" s="85">
        <v>0</v>
      </c>
      <c r="S31" s="85">
        <v>0</v>
      </c>
      <c r="T31" s="85">
        <v>0</v>
      </c>
      <c r="U31" s="85">
        <v>0</v>
      </c>
      <c r="V31" s="85">
        <v>0</v>
      </c>
      <c r="W31" s="85">
        <v>0</v>
      </c>
      <c r="X31" s="47"/>
      <c r="Y31" s="47"/>
      <c r="Z31" s="47"/>
      <c r="AA31" s="47"/>
      <c r="AB31" s="47"/>
      <c r="AC31" s="47"/>
      <c r="AD31" s="47"/>
      <c r="AE31" s="47"/>
      <c r="AF31" s="47"/>
      <c r="AG31" s="47"/>
      <c r="AH31" s="47"/>
      <c r="AI31" s="47"/>
      <c r="AJ31" s="47"/>
      <c r="AK31" s="47"/>
      <c r="AL31" s="47"/>
      <c r="AM31" s="47"/>
      <c r="AN31" s="47"/>
      <c r="AO31" s="47"/>
      <c r="AP31" s="47"/>
      <c r="AQ31" s="47"/>
      <c r="AR31" s="47"/>
      <c r="AS31" s="47"/>
      <c r="AT31" s="47"/>
      <c r="AU31" s="47"/>
      <c r="AV31" s="47"/>
      <c r="AW31" s="47"/>
      <c r="AX31" s="47"/>
      <c r="AY31" s="47"/>
      <c r="AZ31" s="47"/>
      <c r="BA31" s="47"/>
      <c r="BB31" s="47"/>
      <c r="BC31" s="47"/>
      <c r="BD31" s="47"/>
      <c r="BE31" s="47"/>
      <c r="BF31" s="47"/>
      <c r="BG31" s="47"/>
      <c r="BH31" s="47"/>
      <c r="BI31" s="47"/>
      <c r="BJ31" s="47"/>
      <c r="BK31" s="47"/>
      <c r="BL31" s="47"/>
      <c r="BM31" s="47"/>
      <c r="BN31" s="47"/>
      <c r="BO31" s="47"/>
      <c r="BP31" s="47"/>
      <c r="BQ31" s="47"/>
      <c r="BR31" s="47"/>
      <c r="BS31" s="47"/>
      <c r="BT31" s="47"/>
      <c r="BU31" s="47"/>
      <c r="BV31" s="47"/>
      <c r="BW31" s="47"/>
      <c r="BX31" s="47"/>
      <c r="BY31" s="47"/>
      <c r="BZ31" s="47"/>
      <c r="CA31" s="47"/>
      <c r="CB31" s="47"/>
    </row>
    <row r="32" spans="1:128" x14ac:dyDescent="0.25">
      <c r="G32" s="81" t="str">
        <v>New sign Debt Balance</v>
      </c>
      <c r="H32" s="85">
        <v>0</v>
      </c>
      <c r="I32" s="85">
        <v>46218</v>
      </c>
      <c r="J32" s="85">
        <v>0</v>
      </c>
      <c r="K32" s="85">
        <v>0</v>
      </c>
      <c r="L32" s="85">
        <v>0</v>
      </c>
      <c r="M32" s="85">
        <v>0</v>
      </c>
      <c r="N32" s="85">
        <v>0</v>
      </c>
      <c r="O32" s="85">
        <v>0</v>
      </c>
      <c r="P32" s="85">
        <v>0</v>
      </c>
      <c r="Q32" s="85">
        <v>0</v>
      </c>
      <c r="R32" s="85">
        <v>0</v>
      </c>
      <c r="S32" s="85">
        <v>0</v>
      </c>
      <c r="T32" s="85">
        <v>0</v>
      </c>
      <c r="U32" s="85">
        <v>0</v>
      </c>
      <c r="V32" s="85">
        <v>0</v>
      </c>
      <c r="W32" s="85">
        <v>0</v>
      </c>
      <c r="X32" s="47"/>
      <c r="Y32" s="47"/>
      <c r="Z32" s="47"/>
      <c r="AA32" s="47"/>
      <c r="AB32" s="47"/>
      <c r="AC32" s="47"/>
      <c r="AD32" s="47"/>
      <c r="AE32" s="47"/>
      <c r="AF32" s="47"/>
      <c r="AG32" s="47"/>
      <c r="AH32" s="47"/>
      <c r="AI32" s="47"/>
      <c r="AJ32" s="47"/>
      <c r="AK32" s="47"/>
      <c r="AL32" s="47"/>
      <c r="AM32" s="47"/>
      <c r="AN32" s="47"/>
      <c r="AO32" s="47"/>
      <c r="AP32" s="47"/>
      <c r="AQ32" s="47"/>
      <c r="AR32" s="47"/>
      <c r="AS32" s="47"/>
      <c r="AT32" s="47"/>
      <c r="AU32" s="47"/>
      <c r="AV32" s="47"/>
      <c r="AW32" s="47"/>
      <c r="AX32" s="47"/>
      <c r="AY32" s="47"/>
      <c r="AZ32" s="47"/>
      <c r="BA32" s="47"/>
      <c r="BB32" s="47"/>
      <c r="BC32" s="47"/>
      <c r="BD32" s="47"/>
      <c r="BE32" s="47"/>
      <c r="BF32" s="47"/>
      <c r="BG32" s="47"/>
      <c r="BH32" s="47"/>
      <c r="BI32" s="47"/>
      <c r="BJ32" s="47"/>
      <c r="BK32" s="47"/>
      <c r="BL32" s="47"/>
      <c r="BM32" s="47"/>
      <c r="BN32" s="47"/>
      <c r="BO32" s="47"/>
      <c r="BP32" s="47"/>
      <c r="BQ32" s="47"/>
      <c r="BR32" s="47"/>
      <c r="BS32" s="47"/>
      <c r="BT32" s="47"/>
      <c r="BU32" s="47"/>
      <c r="BV32" s="47"/>
      <c r="BW32" s="47"/>
      <c r="BX32" s="47"/>
      <c r="BY32" s="47"/>
      <c r="BZ32" s="47"/>
      <c r="CA32" s="47"/>
      <c r="CB32" s="47"/>
    </row>
    <row r="33" spans="7:80" x14ac:dyDescent="0.25">
      <c r="G33" s="81" t="str">
        <v>New sign Interest</v>
      </c>
      <c r="H33" s="85">
        <v>1388.0679156179572</v>
      </c>
      <c r="I33" s="85">
        <v>1388.0679156179572</v>
      </c>
      <c r="J33" s="85">
        <v>0</v>
      </c>
      <c r="K33" s="85">
        <v>0</v>
      </c>
      <c r="L33" s="85">
        <v>0</v>
      </c>
      <c r="M33" s="85">
        <v>0</v>
      </c>
      <c r="N33" s="85">
        <v>0</v>
      </c>
      <c r="O33" s="85">
        <v>0</v>
      </c>
      <c r="P33" s="85">
        <v>0</v>
      </c>
      <c r="Q33" s="85">
        <v>0</v>
      </c>
      <c r="R33" s="85">
        <v>0</v>
      </c>
      <c r="S33" s="85">
        <v>0</v>
      </c>
      <c r="T33" s="85">
        <v>0</v>
      </c>
      <c r="U33" s="85">
        <v>0</v>
      </c>
      <c r="V33" s="85">
        <v>0</v>
      </c>
      <c r="W33" s="85">
        <v>0</v>
      </c>
      <c r="X33" s="47"/>
      <c r="Y33" s="47"/>
      <c r="Z33" s="47"/>
      <c r="AA33" s="47"/>
      <c r="AB33" s="47"/>
      <c r="AC33" s="47"/>
      <c r="AD33" s="47"/>
      <c r="AE33" s="47"/>
      <c r="AF33" s="47"/>
      <c r="AG33" s="47"/>
      <c r="AH33" s="47"/>
      <c r="AI33" s="47"/>
      <c r="AJ33" s="47"/>
      <c r="AK33" s="47"/>
      <c r="AL33" s="47"/>
      <c r="AM33" s="47"/>
      <c r="AN33" s="47"/>
      <c r="AO33" s="47"/>
      <c r="AP33" s="47"/>
      <c r="AQ33" s="47"/>
      <c r="AR33" s="47"/>
      <c r="AS33" s="47"/>
      <c r="AT33" s="47"/>
      <c r="AU33" s="47"/>
      <c r="AV33" s="47"/>
      <c r="AW33" s="47"/>
      <c r="AX33" s="47"/>
      <c r="AY33" s="47"/>
      <c r="AZ33" s="47"/>
      <c r="BA33" s="47"/>
      <c r="BB33" s="47"/>
      <c r="BC33" s="47"/>
      <c r="BD33" s="47"/>
      <c r="BE33" s="47"/>
      <c r="BF33" s="47"/>
      <c r="BG33" s="47"/>
      <c r="BH33" s="47"/>
      <c r="BI33" s="47"/>
      <c r="BJ33" s="47"/>
      <c r="BK33" s="47"/>
      <c r="BL33" s="47"/>
      <c r="BM33" s="47"/>
      <c r="BN33" s="47"/>
      <c r="BO33" s="47"/>
      <c r="BP33" s="47"/>
      <c r="BQ33" s="47"/>
      <c r="BR33" s="47"/>
      <c r="BS33" s="47"/>
      <c r="BT33" s="47"/>
      <c r="BU33" s="47"/>
      <c r="BV33" s="47"/>
      <c r="BW33" s="47"/>
      <c r="BX33" s="47"/>
      <c r="BY33" s="47"/>
      <c r="BZ33" s="47"/>
      <c r="CA33" s="47"/>
      <c r="CB33" s="47"/>
    </row>
    <row r="34" spans="7:80" x14ac:dyDescent="0.25">
      <c r="G34" s="81" t="str">
        <v>New sign Debt Services</v>
      </c>
      <c r="H34" s="85">
        <v>-47606.067915617947</v>
      </c>
      <c r="I34" s="85">
        <v>-47606.067915617947</v>
      </c>
      <c r="J34" s="85">
        <v>0</v>
      </c>
      <c r="K34" s="85">
        <v>0</v>
      </c>
      <c r="L34" s="85">
        <v>0</v>
      </c>
      <c r="M34" s="85">
        <v>0</v>
      </c>
      <c r="N34" s="85">
        <v>0</v>
      </c>
      <c r="O34" s="85">
        <v>0</v>
      </c>
      <c r="P34" s="85">
        <v>0</v>
      </c>
      <c r="Q34" s="85">
        <v>0</v>
      </c>
      <c r="R34" s="85">
        <v>0</v>
      </c>
      <c r="S34" s="85">
        <v>0</v>
      </c>
      <c r="T34" s="85">
        <v>0</v>
      </c>
      <c r="U34" s="85">
        <v>0</v>
      </c>
      <c r="V34" s="85">
        <v>0</v>
      </c>
      <c r="W34" s="85">
        <v>0</v>
      </c>
      <c r="X34" s="47"/>
      <c r="Y34" s="47"/>
      <c r="Z34" s="47"/>
      <c r="AA34" s="47"/>
      <c r="AB34" s="47"/>
      <c r="AC34" s="47"/>
      <c r="AD34" s="47"/>
      <c r="AE34" s="47"/>
      <c r="AF34" s="47"/>
      <c r="AG34" s="47"/>
      <c r="AH34" s="47"/>
      <c r="AI34" s="47"/>
      <c r="AJ34" s="47"/>
      <c r="AK34" s="47"/>
      <c r="AL34" s="47"/>
      <c r="AM34" s="47"/>
      <c r="AN34" s="47"/>
      <c r="AO34" s="47"/>
      <c r="AP34" s="47"/>
      <c r="AQ34" s="47"/>
      <c r="AR34" s="47"/>
      <c r="AS34" s="47"/>
      <c r="AT34" s="47"/>
      <c r="AU34" s="47"/>
      <c r="AV34" s="47"/>
      <c r="AW34" s="47"/>
      <c r="AX34" s="47"/>
      <c r="AY34" s="47"/>
      <c r="AZ34" s="47"/>
      <c r="BA34" s="47"/>
      <c r="BB34" s="47"/>
      <c r="BC34" s="47"/>
      <c r="BD34" s="47"/>
      <c r="BE34" s="47"/>
      <c r="BF34" s="47"/>
      <c r="BG34" s="47"/>
      <c r="BH34" s="47"/>
      <c r="BI34" s="47"/>
      <c r="BJ34" s="47"/>
      <c r="BK34" s="47"/>
      <c r="BL34" s="47"/>
      <c r="BM34" s="47"/>
      <c r="BN34" s="47"/>
      <c r="BO34" s="47"/>
      <c r="BP34" s="47"/>
      <c r="BQ34" s="47"/>
      <c r="BR34" s="47"/>
      <c r="BS34" s="47"/>
      <c r="BT34" s="47"/>
      <c r="BU34" s="47"/>
      <c r="BV34" s="47"/>
      <c r="BW34" s="47"/>
      <c r="BX34" s="47"/>
      <c r="BY34" s="47"/>
      <c r="BZ34" s="47"/>
      <c r="CA34" s="47"/>
      <c r="CB34" s="47"/>
    </row>
    <row r="35" spans="7:80" x14ac:dyDescent="0.25">
      <c r="G35" s="82" t="str">
        <v>New sign Closing Balance</v>
      </c>
      <c r="H35" s="85">
        <v>0</v>
      </c>
      <c r="I35" s="85">
        <v>7.2759576141834259E-12</v>
      </c>
      <c r="J35" s="85">
        <v>0</v>
      </c>
      <c r="K35" s="85">
        <v>0</v>
      </c>
      <c r="L35" s="85">
        <v>0</v>
      </c>
      <c r="M35" s="85">
        <v>0</v>
      </c>
      <c r="N35" s="85">
        <v>0</v>
      </c>
      <c r="O35" s="85">
        <v>0</v>
      </c>
      <c r="P35" s="85">
        <v>0</v>
      </c>
      <c r="Q35" s="85">
        <v>0</v>
      </c>
      <c r="R35" s="85">
        <v>0</v>
      </c>
      <c r="S35" s="85">
        <v>0</v>
      </c>
      <c r="T35" s="85">
        <v>0</v>
      </c>
      <c r="U35" s="85">
        <v>0</v>
      </c>
      <c r="V35" s="85">
        <v>0</v>
      </c>
      <c r="W35" s="85">
        <v>0</v>
      </c>
    </row>
    <row r="36" spans="7:80" x14ac:dyDescent="0.25">
      <c r="G36" s="82" t="str">
        <v>New sign Debt Repayment</v>
      </c>
      <c r="H36" s="85">
        <v>46217.999999999993</v>
      </c>
      <c r="I36" s="85">
        <v>46217.999999999993</v>
      </c>
      <c r="J36" s="85">
        <v>0</v>
      </c>
      <c r="K36" s="85">
        <v>0</v>
      </c>
      <c r="L36" s="85">
        <v>0</v>
      </c>
      <c r="M36" s="85">
        <v>0</v>
      </c>
      <c r="N36" s="85">
        <v>0</v>
      </c>
      <c r="O36" s="85">
        <v>0</v>
      </c>
      <c r="P36" s="85">
        <v>0</v>
      </c>
      <c r="Q36" s="85">
        <v>0</v>
      </c>
      <c r="R36" s="85">
        <v>0</v>
      </c>
      <c r="S36" s="85">
        <v>0</v>
      </c>
      <c r="T36" s="85">
        <v>0</v>
      </c>
      <c r="U36" s="85">
        <v>0</v>
      </c>
      <c r="V36" s="85">
        <v>0</v>
      </c>
      <c r="W36" s="85">
        <v>0</v>
      </c>
    </row>
    <row r="37" spans="7:80" x14ac:dyDescent="0.25">
      <c r="G37" s="82" t="str">
        <v/>
      </c>
      <c r="H37" s="85">
        <v>0</v>
      </c>
      <c r="I37" s="85" t="str">
        <v xml:space="preserve"> </v>
      </c>
      <c r="J37" s="85" t="str">
        <v xml:space="preserve"> </v>
      </c>
      <c r="K37" s="85" t="str">
        <v xml:space="preserve"> </v>
      </c>
      <c r="L37" s="85" t="str">
        <v xml:space="preserve"> </v>
      </c>
      <c r="M37" s="85" t="str">
        <v xml:space="preserve"> </v>
      </c>
      <c r="N37" s="85" t="str">
        <v xml:space="preserve"> </v>
      </c>
      <c r="O37" s="85" t="str">
        <v xml:space="preserve"> </v>
      </c>
      <c r="P37" s="85" t="str">
        <v xml:space="preserve"> </v>
      </c>
      <c r="Q37" s="85" t="str">
        <v xml:space="preserve"> </v>
      </c>
      <c r="R37" s="85" t="str">
        <v xml:space="preserve"> </v>
      </c>
      <c r="S37" s="85" t="str">
        <v xml:space="preserve"> </v>
      </c>
      <c r="T37" s="85" t="str">
        <v xml:space="preserve"> </v>
      </c>
      <c r="U37" s="85" t="str">
        <v xml:space="preserve"> </v>
      </c>
      <c r="V37" s="85" t="str">
        <v xml:space="preserve"> </v>
      </c>
      <c r="W37" s="85" t="str">
        <v xml:space="preserve"> </v>
      </c>
    </row>
    <row r="38" spans="7:80" x14ac:dyDescent="0.25">
      <c r="G38" s="82" t="str">
        <v>Parking Lot Debt Issuance</v>
      </c>
      <c r="H38" s="85">
        <v>0</v>
      </c>
      <c r="I38" s="85">
        <v>0</v>
      </c>
      <c r="J38" s="85">
        <v>500000</v>
      </c>
      <c r="K38" s="85">
        <v>0</v>
      </c>
      <c r="L38" s="85">
        <v>0</v>
      </c>
      <c r="M38" s="85">
        <v>0</v>
      </c>
      <c r="N38" s="85">
        <v>0</v>
      </c>
      <c r="O38" s="85">
        <v>0</v>
      </c>
      <c r="P38" s="85">
        <v>0</v>
      </c>
      <c r="Q38" s="85">
        <v>0</v>
      </c>
      <c r="R38" s="85">
        <v>0</v>
      </c>
      <c r="S38" s="85">
        <v>0</v>
      </c>
      <c r="T38" s="85">
        <v>0</v>
      </c>
      <c r="U38" s="85">
        <v>0</v>
      </c>
      <c r="V38" s="85">
        <v>0</v>
      </c>
      <c r="W38" s="85">
        <v>0</v>
      </c>
    </row>
    <row r="39" spans="7:80" x14ac:dyDescent="0.25">
      <c r="G39" s="81" t="str">
        <v>Parking Lot Debt Balance</v>
      </c>
      <c r="H39" s="85">
        <v>0</v>
      </c>
      <c r="I39" s="85">
        <v>0</v>
      </c>
      <c r="J39" s="85">
        <v>500000</v>
      </c>
      <c r="K39" s="85">
        <v>311871.30198002694</v>
      </c>
      <c r="L39" s="85">
        <v>108128.01480805682</v>
      </c>
      <c r="M39" s="85">
        <v>0</v>
      </c>
      <c r="N39" s="85">
        <v>0</v>
      </c>
      <c r="O39" s="85">
        <v>0</v>
      </c>
      <c r="P39" s="85">
        <v>0</v>
      </c>
      <c r="Q39" s="85">
        <v>0</v>
      </c>
      <c r="R39" s="85">
        <v>0</v>
      </c>
      <c r="S39" s="85">
        <v>0</v>
      </c>
      <c r="T39" s="85">
        <v>0</v>
      </c>
      <c r="U39" s="85">
        <v>0</v>
      </c>
      <c r="V39" s="85">
        <v>0</v>
      </c>
      <c r="W39" s="85">
        <v>0</v>
      </c>
    </row>
    <row r="40" spans="7:80" x14ac:dyDescent="0.25">
      <c r="G40" s="81" t="str">
        <v>Parking Lot Interest</v>
      </c>
      <c r="H40" s="85">
        <v>53324.857595300615</v>
      </c>
      <c r="I40" s="85">
        <v>0</v>
      </c>
      <c r="J40" s="85">
        <v>33201.245018145353</v>
      </c>
      <c r="K40" s="85">
        <v>17586.655866148452</v>
      </c>
      <c r="L40" s="85">
        <v>2536.9567110068115</v>
      </c>
      <c r="M40" s="85">
        <v>0</v>
      </c>
      <c r="N40" s="85">
        <v>0</v>
      </c>
      <c r="O40" s="85">
        <v>0</v>
      </c>
      <c r="P40" s="85">
        <v>0</v>
      </c>
      <c r="Q40" s="85">
        <v>0</v>
      </c>
      <c r="R40" s="85">
        <v>0</v>
      </c>
      <c r="S40" s="85">
        <v>0</v>
      </c>
      <c r="T40" s="85">
        <v>0</v>
      </c>
      <c r="U40" s="85">
        <v>0</v>
      </c>
      <c r="V40" s="85">
        <v>0</v>
      </c>
      <c r="W40" s="85">
        <v>0</v>
      </c>
    </row>
    <row r="41" spans="7:80" x14ac:dyDescent="0.25">
      <c r="G41" s="8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5C2D91"/>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oz.Corkscrewλ</v>
      </c>
      <c r="B1" s="186"/>
      <c r="C1" s="186"/>
      <c r="D1" s="186"/>
      <c r="E1" s="186"/>
      <c r="F1" s="186"/>
      <c r="G1" s="186"/>
      <c r="H1" s="186"/>
      <c r="I1" s="186"/>
      <c r="J1" s="186"/>
      <c r="K1" s="186"/>
      <c r="L1" s="186"/>
      <c r="M1" s="186"/>
      <c r="N1" s="186"/>
      <c r="O1" s="186"/>
      <c r="P1" s="186"/>
      <c r="Q1" s="186"/>
      <c r="R1" s="186"/>
      <c r="S1" s="186"/>
    </row>
    <row r="2" spans="1:19" x14ac:dyDescent="0.25">
      <c r="A2" s="187" t="s">
        <v>83</v>
      </c>
      <c r="B2" s="188"/>
      <c r="C2" s="188"/>
      <c r="D2" s="188"/>
      <c r="E2" s="188"/>
      <c r="F2" s="188"/>
      <c r="G2" s="188"/>
      <c r="H2" s="188"/>
      <c r="I2" s="188"/>
      <c r="J2" s="188"/>
      <c r="K2" s="188"/>
      <c r="L2" s="188"/>
      <c r="M2" s="188"/>
      <c r="N2" s="188"/>
      <c r="O2" s="188"/>
      <c r="P2" s="189"/>
      <c r="Q2" s="4"/>
      <c r="R2" s="4"/>
      <c r="S2" s="4"/>
    </row>
    <row r="3" spans="1:19" x14ac:dyDescent="0.25">
      <c r="A3" s="4"/>
      <c r="B3" s="4"/>
      <c r="C3" s="4"/>
      <c r="D3" s="4"/>
      <c r="E3" s="4"/>
      <c r="F3" s="4"/>
      <c r="G3" s="4"/>
      <c r="H3" s="4"/>
      <c r="I3" s="4"/>
      <c r="J3" s="4"/>
      <c r="K3" s="4"/>
      <c r="L3" s="4"/>
      <c r="M3" s="4"/>
      <c r="N3" s="4"/>
      <c r="O3" s="4"/>
      <c r="P3" s="4"/>
      <c r="Q3" s="4"/>
      <c r="R3" s="4"/>
      <c r="S3" s="4"/>
    </row>
    <row r="4" spans="1:19" x14ac:dyDescent="0.25">
      <c r="A4" s="61"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200" t="s">
        <v>148</v>
      </c>
      <c r="B22" s="200"/>
      <c r="C22" s="200"/>
    </row>
    <row r="23" spans="1:18" x14ac:dyDescent="0.25">
      <c r="F23" s="90" t="s">
        <v>155</v>
      </c>
      <c r="G23" s="64" cm="1">
        <f t="array" ref="G23:R23">oz.Timelineλ($B$25, $B$26, $B$27, FALSE)</f>
        <v>46234</v>
      </c>
      <c r="H23" s="64">
        <v>46265</v>
      </c>
      <c r="I23" s="64">
        <v>46295</v>
      </c>
      <c r="J23" s="64">
        <v>46326</v>
      </c>
      <c r="K23" s="64">
        <v>46356</v>
      </c>
      <c r="L23" s="64">
        <v>46387</v>
      </c>
      <c r="M23" s="64">
        <v>46418</v>
      </c>
      <c r="N23" s="64">
        <v>46446</v>
      </c>
      <c r="O23" s="64">
        <v>46477</v>
      </c>
      <c r="P23" s="64">
        <v>46507</v>
      </c>
      <c r="Q23" s="64">
        <v>46538</v>
      </c>
      <c r="R23" s="64">
        <v>46568</v>
      </c>
    </row>
    <row r="24" spans="1:18" x14ac:dyDescent="0.25">
      <c r="A24" s="60" t="s">
        <v>149</v>
      </c>
      <c r="B24" s="60" t="s">
        <v>14</v>
      </c>
      <c r="C24" s="60" t="s">
        <v>15</v>
      </c>
      <c r="F24" s="89" t="s">
        <v>152</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112</v>
      </c>
      <c r="B25" s="40">
        <v>46204</v>
      </c>
      <c r="C25" t="s">
        <v>21</v>
      </c>
      <c r="E25" s="2" t="s">
        <v>151</v>
      </c>
      <c r="F25">
        <f>SUM(_xlfn.ANCHORARRAY(G25))</f>
        <v>62370</v>
      </c>
      <c r="G25" s="91"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17</v>
      </c>
      <c r="B26">
        <v>12</v>
      </c>
      <c r="C26" t="s">
        <v>22</v>
      </c>
      <c r="E26" s="2" t="s">
        <v>153</v>
      </c>
      <c r="F26">
        <f>SUM(_xlfn.ANCHORARRAY(G26))</f>
        <v>62370</v>
      </c>
      <c r="G26" s="91"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18</v>
      </c>
      <c r="B27" t="s">
        <v>20</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169</v>
      </c>
      <c r="G29" s="61"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151</v>
      </c>
      <c r="G30">
        <v>5182</v>
      </c>
      <c r="H30">
        <v>8334</v>
      </c>
      <c r="I30">
        <v>14850</v>
      </c>
      <c r="J30">
        <v>15426</v>
      </c>
      <c r="K30">
        <v>18578</v>
      </c>
      <c r="L30">
        <v>0</v>
      </c>
      <c r="M30">
        <v>0</v>
      </c>
      <c r="N30">
        <v>0</v>
      </c>
      <c r="O30">
        <v>0</v>
      </c>
      <c r="P30">
        <v>0</v>
      </c>
      <c r="Q30">
        <v>0</v>
      </c>
      <c r="R30">
        <v>0</v>
      </c>
    </row>
    <row r="31" spans="1:18" x14ac:dyDescent="0.25">
      <c r="E31" t="s">
        <v>153</v>
      </c>
      <c r="G31">
        <v>0</v>
      </c>
      <c r="H31">
        <v>-2788</v>
      </c>
      <c r="I31">
        <v>-7743</v>
      </c>
      <c r="J31">
        <v>-11683</v>
      </c>
      <c r="K31">
        <v>-8516</v>
      </c>
      <c r="L31">
        <v>-19775</v>
      </c>
      <c r="M31">
        <v>-7713</v>
      </c>
      <c r="N31">
        <v>-4152</v>
      </c>
      <c r="O31">
        <v>0</v>
      </c>
      <c r="P31">
        <v>0</v>
      </c>
      <c r="Q31">
        <v>0</v>
      </c>
      <c r="R31">
        <v>0</v>
      </c>
    </row>
    <row r="32" spans="1:18" x14ac:dyDescent="0.25">
      <c r="E32" t="s">
        <v>30</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5C2D91"/>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6" t="str">
        <f ca="1">_xlfn.TEXTAFTER(CELL("filename",A1),"]")</f>
        <v>oz.Cumulativeλ</v>
      </c>
      <c r="B1" s="186"/>
      <c r="C1" s="186"/>
      <c r="D1" s="186"/>
      <c r="E1" s="186"/>
      <c r="F1" s="186"/>
      <c r="G1" s="186"/>
      <c r="H1" s="186"/>
      <c r="I1" s="186"/>
      <c r="J1" s="186"/>
      <c r="K1" s="186"/>
      <c r="L1" s="186"/>
      <c r="M1" s="186"/>
      <c r="N1" s="186"/>
      <c r="O1" s="186"/>
      <c r="P1" s="186"/>
    </row>
    <row r="2" spans="1:16" x14ac:dyDescent="0.25">
      <c r="A2" s="187" t="s">
        <v>185</v>
      </c>
      <c r="B2" s="188"/>
      <c r="C2" s="188"/>
      <c r="D2" s="188"/>
      <c r="E2" s="188"/>
      <c r="F2" s="188"/>
      <c r="G2" s="188"/>
      <c r="H2" s="188"/>
      <c r="I2" s="188"/>
      <c r="J2" s="188"/>
      <c r="K2" s="188"/>
      <c r="L2" s="188"/>
      <c r="M2" s="188"/>
      <c r="N2" s="188"/>
      <c r="O2" s="188"/>
      <c r="P2" s="189"/>
    </row>
    <row r="3" spans="1:16" x14ac:dyDescent="0.25">
      <c r="A3" s="4"/>
      <c r="B3" s="4"/>
      <c r="C3" s="4"/>
      <c r="D3" s="4"/>
      <c r="E3" s="4"/>
      <c r="F3" s="4"/>
      <c r="G3" s="4"/>
      <c r="H3" s="4"/>
      <c r="I3" s="4"/>
      <c r="J3" s="4"/>
      <c r="K3" s="4"/>
      <c r="L3" s="4"/>
      <c r="M3" s="4"/>
      <c r="N3" s="4"/>
      <c r="O3" s="4"/>
      <c r="P3" s="4"/>
    </row>
    <row r="4" spans="1:16" x14ac:dyDescent="0.25">
      <c r="A4" s="61"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20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1" x14ac:dyDescent="0.35">
      <c r="A16" s="200" t="s">
        <v>148</v>
      </c>
      <c r="B16" s="200"/>
      <c r="C16" s="200"/>
    </row>
    <row r="17" spans="1:18" x14ac:dyDescent="0.25">
      <c r="F17" s="90" t="s">
        <v>155</v>
      </c>
      <c r="G17" s="64" cm="1">
        <f t="array" ref="G17:R17">oz.Timelineλ($B$19, $B$20, $B$21, FALSE)</f>
        <v>46234</v>
      </c>
      <c r="H17" s="64">
        <v>46265</v>
      </c>
      <c r="I17" s="64">
        <v>46295</v>
      </c>
      <c r="J17" s="64">
        <v>46326</v>
      </c>
      <c r="K17" s="64">
        <v>46356</v>
      </c>
      <c r="L17" s="64">
        <v>46387</v>
      </c>
      <c r="M17" s="64">
        <v>46418</v>
      </c>
      <c r="N17" s="64">
        <v>46446</v>
      </c>
      <c r="O17" s="64">
        <v>46477</v>
      </c>
      <c r="P17" s="64">
        <v>46507</v>
      </c>
      <c r="Q17" s="64">
        <v>46538</v>
      </c>
      <c r="R17" s="64">
        <v>46568</v>
      </c>
    </row>
    <row r="18" spans="1:18" x14ac:dyDescent="0.25">
      <c r="A18" s="60" t="s">
        <v>149</v>
      </c>
      <c r="B18" s="60" t="s">
        <v>14</v>
      </c>
      <c r="C18" s="60" t="s">
        <v>15</v>
      </c>
      <c r="F18" s="89" t="s">
        <v>152</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112</v>
      </c>
      <c r="B19" s="40">
        <v>46204</v>
      </c>
      <c r="C19" t="s">
        <v>21</v>
      </c>
      <c r="E19" s="2" t="s">
        <v>151</v>
      </c>
      <c r="F19">
        <f>SUM(_xlfn.ANCHORARRAY(G19))</f>
        <v>62370</v>
      </c>
      <c r="G19" s="91"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17</v>
      </c>
      <c r="B20">
        <v>12</v>
      </c>
      <c r="C20" t="s">
        <v>22</v>
      </c>
      <c r="E20" s="2" t="s">
        <v>153</v>
      </c>
      <c r="F20">
        <f>SUM(_xlfn.ANCHORARRAY(G20))</f>
        <v>62370</v>
      </c>
      <c r="G20" s="91"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18</v>
      </c>
      <c r="B21" t="s">
        <v>20</v>
      </c>
      <c r="E21" s="2" t="s">
        <v>4</v>
      </c>
      <c r="G21" s="66" cm="1">
        <f t="array" ref="G21:R21">_xlfn.ANCHORARRAY(G19)-_xlfn.ANCHORARRAY(G20)</f>
        <v>5182</v>
      </c>
      <c r="H21" s="66">
        <v>5546</v>
      </c>
      <c r="I21" s="66">
        <v>7107</v>
      </c>
      <c r="J21" s="66">
        <v>3743</v>
      </c>
      <c r="K21" s="66">
        <v>10062</v>
      </c>
      <c r="L21" s="66">
        <v>-19775</v>
      </c>
      <c r="M21" s="66">
        <v>-7713</v>
      </c>
      <c r="N21" s="66">
        <v>-4152</v>
      </c>
      <c r="O21" s="66">
        <v>0</v>
      </c>
      <c r="P21" s="66">
        <v>0</v>
      </c>
      <c r="Q21" s="66">
        <v>0</v>
      </c>
      <c r="R21" s="66">
        <v>0</v>
      </c>
    </row>
    <row r="22" spans="1:18" x14ac:dyDescent="0.25">
      <c r="E22" s="2" t="s">
        <v>170</v>
      </c>
      <c r="G22" s="61"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5C2D91"/>
    <pageSetUpPr fitToPage="1"/>
  </sheetPr>
  <dimension ref="A1:EA65"/>
  <sheetViews>
    <sheetView showGridLines="0" workbookViewId="0">
      <pane xSplit="11" topLeftCell="L1" activePane="topRight" state="frozen"/>
      <selection sqref="A1:Q1"/>
      <selection pane="topRight" activeCell="L1" sqref="L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186" t="str">
        <f ca="1">_xlfn.TEXTAFTER(CELL("filename",A1),"]")</f>
        <v>oz.Depreciateλ</v>
      </c>
      <c r="B1" s="186"/>
      <c r="C1" s="186"/>
      <c r="D1" s="186"/>
      <c r="E1" s="186"/>
      <c r="F1" s="186"/>
      <c r="G1" s="186"/>
      <c r="H1" s="186"/>
      <c r="I1" s="186"/>
      <c r="J1" s="186"/>
      <c r="K1" s="186"/>
      <c r="L1" s="186"/>
      <c r="M1" s="186"/>
      <c r="N1" s="186"/>
      <c r="O1" s="186"/>
      <c r="P1" s="186"/>
      <c r="Q1" s="186"/>
    </row>
    <row r="2" spans="1:18" x14ac:dyDescent="0.25">
      <c r="A2" s="187" t="s">
        <v>84</v>
      </c>
      <c r="B2" s="212"/>
      <c r="C2" s="212"/>
      <c r="D2" s="212"/>
      <c r="E2" s="212"/>
      <c r="F2" s="212"/>
      <c r="G2" s="212"/>
      <c r="H2" s="212"/>
      <c r="I2" s="212"/>
      <c r="J2" s="212"/>
      <c r="K2" s="212"/>
      <c r="L2" s="212"/>
      <c r="M2" s="212"/>
      <c r="N2" s="212"/>
      <c r="O2" s="212"/>
      <c r="P2" s="212"/>
      <c r="Q2" s="213"/>
    </row>
    <row r="3" spans="1:18" x14ac:dyDescent="0.25">
      <c r="A3" s="4"/>
      <c r="B3" s="4"/>
      <c r="C3" s="4"/>
      <c r="D3" s="4"/>
      <c r="E3" s="4"/>
      <c r="F3" s="4"/>
      <c r="G3" s="4"/>
      <c r="H3" s="4"/>
      <c r="I3" s="4"/>
      <c r="J3" s="4"/>
      <c r="K3" s="215"/>
      <c r="L3" s="215"/>
      <c r="M3" s="215"/>
      <c r="N3" s="215"/>
      <c r="O3" s="215"/>
      <c r="P3" s="215"/>
      <c r="Q3" s="215"/>
      <c r="R3" s="215"/>
    </row>
    <row r="4" spans="1:18" x14ac:dyDescent="0.25">
      <c r="A4" s="61" t="str" cm="1">
        <f t="array" ref="A4:B30">oz.Depreciateλ()</f>
        <v>FUNCTION:</v>
      </c>
      <c r="B4" t="str">
        <v>Depreciateλ(InitialValues, InServiceDates, LifeInYears, Timeline,</v>
      </c>
      <c r="K4" s="215"/>
      <c r="L4" s="215"/>
      <c r="M4" s="215"/>
      <c r="N4" s="215"/>
      <c r="O4" s="215"/>
      <c r="P4" s="215"/>
      <c r="Q4" s="215"/>
      <c r="R4" s="215"/>
    </row>
    <row r="5" spans="1:18" x14ac:dyDescent="0.25">
      <c r="A5" t="str">
        <v/>
      </c>
      <c r="B5" t="str">
        <v>[SalvageValues], [DisposalDates], [DisposalCosts], [Methods], [Factors])</v>
      </c>
      <c r="K5" s="215"/>
      <c r="L5" s="215"/>
      <c r="M5" s="215"/>
      <c r="N5" s="215"/>
      <c r="O5" s="215"/>
      <c r="P5" s="215"/>
      <c r="Q5" s="215"/>
      <c r="R5" s="215"/>
    </row>
    <row r="6" spans="1:18" x14ac:dyDescent="0.25">
      <c r="A6" t="str">
        <v>DESCRIPTION:</v>
      </c>
      <c r="B6" t="str">
        <v>Creates an array of CAPEX, depreciation, and book values for a model's timeline</v>
      </c>
      <c r="K6" s="215"/>
      <c r="L6" s="215"/>
      <c r="M6" s="215"/>
      <c r="N6" s="215"/>
      <c r="O6" s="215"/>
      <c r="P6" s="215"/>
      <c r="Q6" s="215"/>
      <c r="R6" s="215"/>
    </row>
    <row r="7" spans="1:18" x14ac:dyDescent="0.25">
      <c r="A7" t="str">
        <v>WEBPAGE:</v>
      </c>
      <c r="B7" t="str">
        <v>https://github.com/ryanduguid/Ozzit</v>
      </c>
      <c r="K7" s="215"/>
      <c r="L7" s="215"/>
      <c r="M7" s="215"/>
      <c r="N7" s="215"/>
      <c r="O7" s="215"/>
      <c r="P7" s="215"/>
      <c r="Q7" s="215"/>
      <c r="R7" s="215"/>
    </row>
    <row r="8" spans="1:18" x14ac:dyDescent="0.25">
      <c r="A8" t="str">
        <v>VERSION:</v>
      </c>
      <c r="B8" t="str">
        <v>20 Aug 2026</v>
      </c>
      <c r="K8" s="215"/>
      <c r="L8" s="215"/>
      <c r="M8" s="215"/>
      <c r="N8" s="215"/>
      <c r="O8" s="215"/>
      <c r="P8" s="215"/>
      <c r="Q8" s="215"/>
      <c r="R8" s="215"/>
    </row>
    <row r="9" spans="1:18" x14ac:dyDescent="0.25">
      <c r="A9" t="str">
        <v>NOTES:</v>
      </c>
      <c r="B9" t="str">
        <v>The methods used here differ from Excel's functions in several ways. Please see webpage for details.</v>
      </c>
      <c r="K9" s="215"/>
      <c r="L9" s="215"/>
      <c r="M9" s="215"/>
      <c r="N9" s="215"/>
      <c r="O9" s="215"/>
      <c r="P9" s="215"/>
      <c r="Q9" s="215"/>
      <c r="R9" s="215"/>
    </row>
    <row r="10" spans="1:18" x14ac:dyDescent="0.25">
      <c r="A10" t="str">
        <v>PARAMETERS:</v>
      </c>
      <c r="B10" t="str">
        <v/>
      </c>
      <c r="K10" s="215"/>
      <c r="L10" s="215"/>
      <c r="M10" s="215"/>
      <c r="N10" s="215"/>
      <c r="O10" s="215"/>
      <c r="P10" s="215"/>
      <c r="Q10" s="215"/>
      <c r="R10" s="215"/>
    </row>
    <row r="11" spans="1:18" x14ac:dyDescent="0.25">
      <c r="A11" t="str">
        <v>InitialValues</v>
      </c>
      <c r="B11" t="str">
        <v>(Required) The purchase values of each asset to depreciate</v>
      </c>
      <c r="K11" s="215"/>
      <c r="L11" s="215"/>
      <c r="M11" s="215"/>
      <c r="N11" s="215"/>
      <c r="O11" s="215"/>
      <c r="P11" s="215"/>
      <c r="Q11" s="215"/>
      <c r="R11" s="215"/>
    </row>
    <row r="12" spans="1:18" x14ac:dyDescent="0.25">
      <c r="A12" t="str">
        <v>InServiceDates</v>
      </c>
      <c r="B12" t="str">
        <v>(Required) The dates from which to start depreciating each asset</v>
      </c>
      <c r="K12" s="215"/>
      <c r="L12" s="215"/>
      <c r="M12" s="215"/>
      <c r="N12" s="215"/>
      <c r="O12" s="215"/>
      <c r="P12" s="215"/>
      <c r="Q12" s="215"/>
      <c r="R12" s="215"/>
    </row>
    <row r="13" spans="1:18" x14ac:dyDescent="0.25">
      <c r="A13" t="str">
        <v>LifeInYears</v>
      </c>
      <c r="B13" t="str">
        <v>(Required) The whole number of years over which to depreciate each asset.</v>
      </c>
      <c r="K13" s="215"/>
      <c r="L13" s="215"/>
      <c r="M13" s="215"/>
      <c r="N13" s="215"/>
      <c r="O13" s="215"/>
      <c r="P13" s="215"/>
      <c r="Q13" s="215"/>
      <c r="R13" s="215"/>
    </row>
    <row r="14" spans="1:18" x14ac:dyDescent="0.25">
      <c r="A14" t="str">
        <v/>
      </c>
      <c r="B14" t="str">
        <v>More than 0 and no more than 100. A date here is not a life:</v>
      </c>
      <c r="K14" s="215"/>
      <c r="L14" s="215"/>
      <c r="M14" s="215"/>
      <c r="N14" s="215"/>
      <c r="O14" s="215"/>
      <c r="P14" s="215"/>
      <c r="Q14" s="215"/>
      <c r="R14" s="215"/>
    </row>
    <row r="15" spans="1:18" x14ac:dyDescent="0.25">
      <c r="A15" t="str">
        <v/>
      </c>
      <c r="B15" t="str">
        <v>the arguments read InitialValues, InServiceDates, LifeInYears, Timeline.</v>
      </c>
      <c r="K15" s="215"/>
      <c r="L15" s="215"/>
      <c r="M15" s="215"/>
      <c r="N15" s="215"/>
      <c r="O15" s="215"/>
      <c r="P15" s="215"/>
      <c r="Q15" s="215"/>
      <c r="R15" s="215"/>
    </row>
    <row r="16" spans="1:18" x14ac:dyDescent="0.25">
      <c r="A16" t="str">
        <v>Timeline</v>
      </c>
      <c r="B16" t="str">
        <v>(Required) The model's timeline or a row of period start dates.</v>
      </c>
      <c r="K16" s="215"/>
      <c r="L16" s="215"/>
      <c r="M16" s="215"/>
      <c r="N16" s="215"/>
      <c r="O16" s="215"/>
      <c r="P16" s="215"/>
      <c r="Q16" s="215"/>
      <c r="R16" s="215"/>
    </row>
    <row r="17" spans="1:18" x14ac:dyDescent="0.25">
      <c r="A17" t="str">
        <v/>
      </c>
      <c r="B17" t="str">
        <v>Timeline can be any interval: days, weeks, months, quarters or years</v>
      </c>
      <c r="K17" s="215"/>
      <c r="L17" s="215"/>
      <c r="M17" s="215"/>
      <c r="N17" s="215"/>
      <c r="O17" s="215"/>
      <c r="P17" s="215"/>
      <c r="Q17" s="215"/>
      <c r="R17" s="215"/>
    </row>
    <row r="18" spans="1:18" x14ac:dyDescent="0.25">
      <c r="A18" t="str">
        <v>SalvageValues</v>
      </c>
      <c r="B18" t="str">
        <v>(Optional: Default = 0) The book values of each asset after fully depreciated.</v>
      </c>
      <c r="K18" s="215"/>
      <c r="L18" s="215"/>
      <c r="M18" s="215"/>
      <c r="N18" s="215"/>
      <c r="O18" s="215"/>
      <c r="P18" s="215"/>
      <c r="Q18" s="215"/>
      <c r="R18" s="215"/>
    </row>
    <row r="19" spans="1:18" x14ac:dyDescent="0.25">
      <c r="A19" t="str">
        <v>DisposalDates</v>
      </c>
      <c r="B19" t="str">
        <v>(Optional: Default = End of life) The dates on which the assets are removed from the books.</v>
      </c>
      <c r="K19" s="215"/>
      <c r="L19" s="215"/>
      <c r="M19" s="215"/>
      <c r="N19" s="215"/>
      <c r="O19" s="215"/>
      <c r="P19" s="215"/>
      <c r="Q19" s="215"/>
      <c r="R19" s="215"/>
    </row>
    <row r="20" spans="1:18" x14ac:dyDescent="0.25">
      <c r="A20" t="str">
        <v/>
      </c>
      <c r="B20" t="str">
        <v>A disposal before the end of life writes the remaining book value off in that month.</v>
      </c>
      <c r="K20" s="215"/>
      <c r="L20" s="215"/>
      <c r="M20" s="215"/>
      <c r="N20" s="215"/>
      <c r="O20" s="215"/>
      <c r="P20" s="215"/>
      <c r="Q20" s="215"/>
      <c r="R20" s="215"/>
    </row>
    <row r="21" spans="1:18" x14ac:dyDescent="0.25">
      <c r="A21" t="str">
        <v>DisposalCosts</v>
      </c>
      <c r="B21" t="str">
        <v>(Optional: Default = 0) The costs of removing each asset from the books, charged in the disposal period.</v>
      </c>
      <c r="K21" s="215"/>
      <c r="L21" s="215"/>
      <c r="M21" s="215"/>
      <c r="N21" s="215"/>
      <c r="O21" s="215"/>
      <c r="P21" s="215"/>
      <c r="Q21" s="215"/>
      <c r="R21" s="215"/>
    </row>
    <row r="22" spans="1:18" x14ac:dyDescent="0.25">
      <c r="A22" t="str">
        <v>Methods</v>
      </c>
      <c r="B22" t="str">
        <v>(Optional: Default = SLN) The desired depreciation method. Must be one of these method codes:</v>
      </c>
      <c r="K22" s="215"/>
      <c r="L22" s="215"/>
      <c r="M22" s="215"/>
      <c r="N22" s="215"/>
      <c r="O22" s="215"/>
      <c r="P22" s="215"/>
      <c r="Q22" s="215"/>
      <c r="R22" s="215"/>
    </row>
    <row r="23" spans="1:18" x14ac:dyDescent="0.25">
      <c r="A23" t="str">
        <v/>
      </c>
      <c r="B23" t="str">
        <v>SLN=Straight Line Depreciation</v>
      </c>
      <c r="K23" s="216" t="s">
        <v>211</v>
      </c>
      <c r="L23" s="216"/>
      <c r="M23" s="216"/>
      <c r="N23" s="216"/>
      <c r="O23" s="216"/>
      <c r="P23" s="216"/>
      <c r="Q23" s="216"/>
      <c r="R23" s="216"/>
    </row>
    <row r="24" spans="1:18" x14ac:dyDescent="0.25">
      <c r="A24" t="str">
        <v/>
      </c>
      <c r="B24" t="str">
        <v>SYD=Sum of Year's Digits</v>
      </c>
    </row>
    <row r="25" spans="1:18" x14ac:dyDescent="0.25">
      <c r="A25" t="str">
        <v/>
      </c>
      <c r="B25" t="str">
        <v>DB =Declining Balance</v>
      </c>
    </row>
    <row r="26" spans="1:18" x14ac:dyDescent="0.25">
      <c r="A26" t="str">
        <v/>
      </c>
      <c r="B26" t="str">
        <v>DDB=Double Declining Balance</v>
      </c>
    </row>
    <row r="27" spans="1:18" x14ac:dyDescent="0.25">
      <c r="A27" t="str">
        <v/>
      </c>
      <c r="B27" t="str">
        <v>VDB=Variable Declining Balance</v>
      </c>
    </row>
    <row r="28" spans="1:18" x14ac:dyDescent="0.25">
      <c r="A28" t="str">
        <v/>
      </c>
      <c r="B28" t="str">
        <v>DV =Diminishing balance at 200% of straight line. Salvage value ignored</v>
      </c>
    </row>
    <row r="29" spans="1:18" x14ac:dyDescent="0.25">
      <c r="A29" t="str">
        <v/>
      </c>
      <c r="B29" t="str">
        <v>PC =Straight line, whole years. Salvage value ignored</v>
      </c>
    </row>
    <row r="30" spans="1:18" x14ac:dyDescent="0.25">
      <c r="A30" t="str">
        <v>Factors</v>
      </c>
      <c r="B30" t="str">
        <v>(Optional: Default = 2) Only applicable to DDB and VDB methods.</v>
      </c>
    </row>
    <row r="35" spans="1:131" ht="21" x14ac:dyDescent="0.35">
      <c r="A35" s="200" t="s">
        <v>148</v>
      </c>
      <c r="B35" s="200"/>
      <c r="C35" s="200"/>
      <c r="J35" s="2" t="s">
        <v>165</v>
      </c>
    </row>
    <row r="37" spans="1:131" x14ac:dyDescent="0.25">
      <c r="A37" s="60" t="s">
        <v>149</v>
      </c>
      <c r="B37" s="60" t="s">
        <v>14</v>
      </c>
      <c r="C37" s="60" t="s">
        <v>15</v>
      </c>
      <c r="J37" s="89" t="s">
        <v>7</v>
      </c>
      <c r="K37" s="89" t="s">
        <v>152</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112</v>
      </c>
      <c r="B38" s="40">
        <v>46204</v>
      </c>
      <c r="C38" t="s">
        <v>21</v>
      </c>
      <c r="J38" t="s">
        <v>218</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17</v>
      </c>
      <c r="B39">
        <v>120</v>
      </c>
      <c r="C39" t="s">
        <v>22</v>
      </c>
      <c r="J39" t="s">
        <v>219</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18</v>
      </c>
      <c r="B40" t="s">
        <v>2</v>
      </c>
      <c r="J40" t="s">
        <v>220</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221</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222</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193" t="s">
        <v>171</v>
      </c>
      <c r="B43" s="194"/>
      <c r="C43" s="194"/>
      <c r="D43" s="194"/>
      <c r="E43" s="194"/>
      <c r="F43" s="194"/>
      <c r="G43" s="194"/>
      <c r="H43" s="214"/>
    </row>
    <row r="44" spans="1:131" x14ac:dyDescent="0.25">
      <c r="A44" s="210"/>
      <c r="B44" s="211"/>
      <c r="C44" s="211"/>
      <c r="D44" s="211"/>
      <c r="E44" s="211"/>
      <c r="F44" s="211"/>
      <c r="G44" s="211"/>
      <c r="H44" s="211"/>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92" t="s">
        <v>172</v>
      </c>
      <c r="B45" s="93" t="s">
        <v>125</v>
      </c>
      <c r="C45" s="93" t="s">
        <v>173</v>
      </c>
      <c r="D45" s="93" t="s">
        <v>182</v>
      </c>
      <c r="E45" s="93" t="s">
        <v>174</v>
      </c>
      <c r="F45" s="93" t="s">
        <v>6</v>
      </c>
      <c r="G45" s="93" t="s">
        <v>183</v>
      </c>
      <c r="H45" s="92" t="s">
        <v>175</v>
      </c>
      <c r="J45" s="89" t="s">
        <v>7</v>
      </c>
      <c r="K45" s="89" t="s">
        <v>152</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179</v>
      </c>
      <c r="B46" s="94">
        <v>25000</v>
      </c>
      <c r="C46" s="19">
        <v>46235</v>
      </c>
      <c r="D46" s="94">
        <v>8</v>
      </c>
      <c r="E46" s="94">
        <v>1000</v>
      </c>
      <c r="F46" s="19">
        <f>EDATE(tblAssets[[#This Row],[Acquired]],(tblAssets[[#This Row],[Life]]+1)*12)</f>
        <v>49522</v>
      </c>
      <c r="G46" s="94">
        <v>500</v>
      </c>
      <c r="H46" s="19" t="s">
        <v>311</v>
      </c>
      <c r="J46" t="str" cm="1">
        <f t="array" ref="J46:J65">oz.LabelDepreciateλ(tblAssets[Asset])</f>
        <v>Cutter CAPEX</v>
      </c>
      <c r="K46" cm="1">
        <f t="array" ref="K46:K65">oz.SumDepreciateλ(_xlfn.ANCHORARRAY(L46))</f>
        <v>25000</v>
      </c>
      <c r="L46" s="61" cm="1">
        <f t="array" ref="L46:EA65">oz.Depreciateλ(tblAssets[Amount],tblAssets[Acquired],tblAssets[Life],_xlfn.ANCHORARRAY(L45),tblAssets[Salvage],tblAssets[Date],tblAssets[Cost],tblAssets[Method])</f>
        <v>25000</v>
      </c>
      <c r="M46" s="159">
        <v>0</v>
      </c>
      <c r="N46" s="159">
        <v>0</v>
      </c>
      <c r="O46" s="159">
        <v>0</v>
      </c>
      <c r="P46" s="159">
        <v>0</v>
      </c>
      <c r="Q46" s="159">
        <v>0</v>
      </c>
      <c r="R46" s="159">
        <v>0</v>
      </c>
      <c r="S46" s="159">
        <v>0</v>
      </c>
      <c r="T46" s="159">
        <v>0</v>
      </c>
      <c r="U46" s="159">
        <v>0</v>
      </c>
      <c r="V46" s="159">
        <v>0</v>
      </c>
      <c r="W46" s="159">
        <v>0</v>
      </c>
      <c r="X46" s="159">
        <v>0</v>
      </c>
      <c r="Y46" s="159">
        <v>0</v>
      </c>
      <c r="Z46" s="159">
        <v>0</v>
      </c>
      <c r="AA46" s="159">
        <v>0</v>
      </c>
      <c r="AB46" s="159">
        <v>0</v>
      </c>
      <c r="AC46" s="159">
        <v>0</v>
      </c>
      <c r="AD46" s="159">
        <v>0</v>
      </c>
      <c r="AE46" s="159">
        <v>0</v>
      </c>
      <c r="AF46" s="159">
        <v>0</v>
      </c>
      <c r="AG46" s="159">
        <v>0</v>
      </c>
      <c r="AH46" s="159">
        <v>0</v>
      </c>
      <c r="AI46" s="159">
        <v>0</v>
      </c>
      <c r="AJ46" s="159">
        <v>0</v>
      </c>
      <c r="AK46" s="159">
        <v>0</v>
      </c>
      <c r="AL46" s="159">
        <v>0</v>
      </c>
      <c r="AM46" s="159">
        <v>0</v>
      </c>
      <c r="AN46" s="159">
        <v>0</v>
      </c>
      <c r="AO46" s="159">
        <v>0</v>
      </c>
      <c r="AP46" s="159">
        <v>0</v>
      </c>
      <c r="AQ46" s="159">
        <v>0</v>
      </c>
      <c r="AR46" s="159">
        <v>0</v>
      </c>
      <c r="AS46" s="159">
        <v>0</v>
      </c>
      <c r="AT46" s="159">
        <v>0</v>
      </c>
      <c r="AU46" s="159">
        <v>0</v>
      </c>
      <c r="AV46" s="159">
        <v>0</v>
      </c>
      <c r="AW46" s="159">
        <v>0</v>
      </c>
      <c r="AX46" s="159">
        <v>0</v>
      </c>
      <c r="AY46" s="159">
        <v>0</v>
      </c>
      <c r="AZ46" s="159">
        <v>0</v>
      </c>
      <c r="BA46" s="159">
        <v>0</v>
      </c>
      <c r="BB46" s="159">
        <v>0</v>
      </c>
      <c r="BC46" s="159">
        <v>0</v>
      </c>
      <c r="BD46" s="159">
        <v>0</v>
      </c>
      <c r="BE46" s="159">
        <v>0</v>
      </c>
      <c r="BF46" s="159">
        <v>0</v>
      </c>
      <c r="BG46" s="159">
        <v>0</v>
      </c>
      <c r="BH46" s="159">
        <v>0</v>
      </c>
      <c r="BI46" s="159">
        <v>0</v>
      </c>
      <c r="BJ46" s="159">
        <v>0</v>
      </c>
      <c r="BK46" s="159">
        <v>0</v>
      </c>
      <c r="BL46" s="159">
        <v>0</v>
      </c>
      <c r="BM46" s="159">
        <v>0</v>
      </c>
      <c r="BN46" s="159">
        <v>0</v>
      </c>
      <c r="BO46" s="159">
        <v>0</v>
      </c>
      <c r="BP46" s="159">
        <v>0</v>
      </c>
      <c r="BQ46" s="159">
        <v>0</v>
      </c>
      <c r="BR46" s="159">
        <v>0</v>
      </c>
      <c r="BS46" s="159">
        <v>0</v>
      </c>
      <c r="BT46" s="159">
        <v>0</v>
      </c>
      <c r="BU46" s="159">
        <v>0</v>
      </c>
      <c r="BV46" s="159">
        <v>0</v>
      </c>
      <c r="BW46" s="159">
        <v>0</v>
      </c>
      <c r="BX46" s="159">
        <v>0</v>
      </c>
      <c r="BY46" s="159">
        <v>0</v>
      </c>
      <c r="BZ46" s="159">
        <v>0</v>
      </c>
      <c r="CA46" s="159">
        <v>0</v>
      </c>
      <c r="CB46" s="159">
        <v>0</v>
      </c>
      <c r="CC46" s="159">
        <v>0</v>
      </c>
      <c r="CD46" s="159">
        <v>0</v>
      </c>
      <c r="CE46" s="159">
        <v>0</v>
      </c>
      <c r="CF46" s="159">
        <v>0</v>
      </c>
      <c r="CG46" s="159">
        <v>0</v>
      </c>
      <c r="CH46" s="159">
        <v>0</v>
      </c>
      <c r="CI46" s="159">
        <v>0</v>
      </c>
      <c r="CJ46" s="159">
        <v>0</v>
      </c>
      <c r="CK46" s="159">
        <v>0</v>
      </c>
      <c r="CL46" s="159">
        <v>0</v>
      </c>
      <c r="CM46" s="159">
        <v>0</v>
      </c>
      <c r="CN46" s="159">
        <v>0</v>
      </c>
      <c r="CO46" s="159">
        <v>0</v>
      </c>
      <c r="CP46" s="159">
        <v>0</v>
      </c>
      <c r="CQ46" s="159">
        <v>0</v>
      </c>
      <c r="CR46" s="159">
        <v>0</v>
      </c>
      <c r="CS46" s="159">
        <v>0</v>
      </c>
      <c r="CT46" s="159">
        <v>0</v>
      </c>
      <c r="CU46" s="159">
        <v>0</v>
      </c>
      <c r="CV46" s="159">
        <v>0</v>
      </c>
      <c r="CW46" s="159">
        <v>0</v>
      </c>
      <c r="CX46" s="159">
        <v>0</v>
      </c>
      <c r="CY46" s="159">
        <v>0</v>
      </c>
      <c r="CZ46" s="159">
        <v>0</v>
      </c>
      <c r="DA46" s="159">
        <v>0</v>
      </c>
      <c r="DB46" s="159">
        <v>0</v>
      </c>
      <c r="DC46" s="159">
        <v>0</v>
      </c>
      <c r="DD46" s="159">
        <v>0</v>
      </c>
      <c r="DE46" s="159">
        <v>0</v>
      </c>
      <c r="DF46" s="159">
        <v>0</v>
      </c>
      <c r="DG46" s="159">
        <v>0</v>
      </c>
      <c r="DH46" s="159">
        <v>0</v>
      </c>
      <c r="DI46" s="159">
        <v>0</v>
      </c>
      <c r="DJ46" s="159">
        <v>0</v>
      </c>
      <c r="DK46" s="159">
        <v>0</v>
      </c>
      <c r="DL46" s="159">
        <v>0</v>
      </c>
      <c r="DM46" s="159">
        <v>0</v>
      </c>
      <c r="DN46" s="159">
        <v>0</v>
      </c>
      <c r="DO46" s="159">
        <v>0</v>
      </c>
      <c r="DP46" s="159">
        <v>0</v>
      </c>
      <c r="DQ46" s="159">
        <v>0</v>
      </c>
      <c r="DR46" s="159">
        <v>0</v>
      </c>
      <c r="DS46" s="159">
        <v>0</v>
      </c>
      <c r="DT46" s="159">
        <v>0</v>
      </c>
      <c r="DU46" s="159">
        <v>0</v>
      </c>
      <c r="DV46" s="159">
        <v>0</v>
      </c>
      <c r="DW46" s="159">
        <v>0</v>
      </c>
      <c r="DX46" s="159">
        <v>0</v>
      </c>
      <c r="DY46" s="159">
        <v>0</v>
      </c>
      <c r="DZ46">
        <v>0</v>
      </c>
      <c r="EA46">
        <v>0</v>
      </c>
    </row>
    <row r="47" spans="1:131" x14ac:dyDescent="0.25">
      <c r="A47" s="161" t="s">
        <v>180</v>
      </c>
      <c r="B47" s="164">
        <v>10000</v>
      </c>
      <c r="C47" s="165">
        <v>46296</v>
      </c>
      <c r="D47" s="96">
        <v>10</v>
      </c>
      <c r="E47" s="96">
        <v>500</v>
      </c>
      <c r="F47" s="162">
        <f>EDATE(tblAssets[[#This Row],[Acquired]],(tblAssets[[#This Row],[Life]]+1)*12)</f>
        <v>50314</v>
      </c>
      <c r="G47" s="164">
        <v>100</v>
      </c>
      <c r="H47" s="162" t="s">
        <v>177</v>
      </c>
      <c r="J47" t="str">
        <v>Cutter Opening Value</v>
      </c>
      <c r="K47">
        <v>0</v>
      </c>
      <c r="L47" s="159">
        <v>25000</v>
      </c>
      <c r="M47" s="159">
        <v>19270.869999999981</v>
      </c>
      <c r="N47" s="159">
        <v>14453.06999999998</v>
      </c>
      <c r="O47" s="159">
        <v>10839.829999999987</v>
      </c>
      <c r="P47" s="159">
        <v>8129.8449999999939</v>
      </c>
      <c r="Q47" s="159">
        <v>6097.466249999994</v>
      </c>
      <c r="R47" s="159">
        <v>4425.3971874999888</v>
      </c>
      <c r="S47" s="159">
        <v>2781.1914583333219</v>
      </c>
      <c r="T47" s="159">
        <v>1136.9857291666553</v>
      </c>
      <c r="U47" s="159">
        <v>999.99999999998863</v>
      </c>
      <c r="V47" s="159">
        <v>0</v>
      </c>
      <c r="W47" s="159">
        <v>0</v>
      </c>
      <c r="X47" s="159">
        <v>0</v>
      </c>
      <c r="Y47" s="159">
        <v>0</v>
      </c>
      <c r="Z47" s="159">
        <v>0</v>
      </c>
      <c r="AA47" s="159">
        <v>0</v>
      </c>
      <c r="AB47" s="159">
        <v>0</v>
      </c>
      <c r="AC47" s="159">
        <v>0</v>
      </c>
      <c r="AD47" s="159">
        <v>0</v>
      </c>
      <c r="AE47" s="159">
        <v>0</v>
      </c>
      <c r="AF47" s="159">
        <v>0</v>
      </c>
      <c r="AG47" s="159">
        <v>0</v>
      </c>
      <c r="AH47" s="159">
        <v>0</v>
      </c>
      <c r="AI47" s="159">
        <v>0</v>
      </c>
      <c r="AJ47" s="159">
        <v>0</v>
      </c>
      <c r="AK47" s="159">
        <v>0</v>
      </c>
      <c r="AL47" s="159">
        <v>0</v>
      </c>
      <c r="AM47" s="159">
        <v>0</v>
      </c>
      <c r="AN47" s="159">
        <v>0</v>
      </c>
      <c r="AO47" s="159">
        <v>0</v>
      </c>
      <c r="AP47" s="159">
        <v>0</v>
      </c>
      <c r="AQ47" s="159">
        <v>0</v>
      </c>
      <c r="AR47" s="159">
        <v>0</v>
      </c>
      <c r="AS47" s="159">
        <v>0</v>
      </c>
      <c r="AT47" s="159">
        <v>0</v>
      </c>
      <c r="AU47" s="159">
        <v>0</v>
      </c>
      <c r="AV47" s="159">
        <v>0</v>
      </c>
      <c r="AW47" s="159">
        <v>0</v>
      </c>
      <c r="AX47" s="159">
        <v>0</v>
      </c>
      <c r="AY47" s="159">
        <v>0</v>
      </c>
      <c r="AZ47" s="159">
        <v>0</v>
      </c>
      <c r="BA47" s="159">
        <v>0</v>
      </c>
      <c r="BB47" s="159">
        <v>0</v>
      </c>
      <c r="BC47" s="159">
        <v>0</v>
      </c>
      <c r="BD47" s="159">
        <v>0</v>
      </c>
      <c r="BE47" s="159">
        <v>0</v>
      </c>
      <c r="BF47" s="159">
        <v>0</v>
      </c>
      <c r="BG47" s="159">
        <v>0</v>
      </c>
      <c r="BH47" s="159">
        <v>0</v>
      </c>
      <c r="BI47" s="159">
        <v>0</v>
      </c>
      <c r="BJ47" s="159">
        <v>0</v>
      </c>
      <c r="BK47" s="159">
        <v>0</v>
      </c>
      <c r="BL47" s="159">
        <v>0</v>
      </c>
      <c r="BM47" s="159">
        <v>0</v>
      </c>
      <c r="BN47" s="159">
        <v>0</v>
      </c>
      <c r="BO47" s="159">
        <v>0</v>
      </c>
      <c r="BP47" s="159">
        <v>0</v>
      </c>
      <c r="BQ47" s="159">
        <v>0</v>
      </c>
      <c r="BR47" s="159">
        <v>0</v>
      </c>
      <c r="BS47" s="159">
        <v>0</v>
      </c>
      <c r="BT47" s="159">
        <v>0</v>
      </c>
      <c r="BU47" s="159">
        <v>0</v>
      </c>
      <c r="BV47" s="159">
        <v>0</v>
      </c>
      <c r="BW47" s="159">
        <v>0</v>
      </c>
      <c r="BX47" s="159">
        <v>0</v>
      </c>
      <c r="BY47" s="159">
        <v>0</v>
      </c>
      <c r="BZ47" s="159">
        <v>0</v>
      </c>
      <c r="CA47" s="159">
        <v>0</v>
      </c>
      <c r="CB47" s="159">
        <v>0</v>
      </c>
      <c r="CC47" s="159">
        <v>0</v>
      </c>
      <c r="CD47" s="159">
        <v>0</v>
      </c>
      <c r="CE47" s="159">
        <v>0</v>
      </c>
      <c r="CF47" s="159">
        <v>0</v>
      </c>
      <c r="CG47" s="159">
        <v>0</v>
      </c>
      <c r="CH47" s="159">
        <v>0</v>
      </c>
      <c r="CI47" s="159">
        <v>0</v>
      </c>
      <c r="CJ47" s="159">
        <v>0</v>
      </c>
      <c r="CK47" s="159">
        <v>0</v>
      </c>
      <c r="CL47" s="159">
        <v>0</v>
      </c>
      <c r="CM47" s="159">
        <v>0</v>
      </c>
      <c r="CN47" s="159">
        <v>0</v>
      </c>
      <c r="CO47" s="159">
        <v>0</v>
      </c>
      <c r="CP47" s="159">
        <v>0</v>
      </c>
      <c r="CQ47" s="159">
        <v>0</v>
      </c>
      <c r="CR47" s="159">
        <v>0</v>
      </c>
      <c r="CS47" s="159">
        <v>0</v>
      </c>
      <c r="CT47" s="159">
        <v>0</v>
      </c>
      <c r="CU47" s="159">
        <v>0</v>
      </c>
      <c r="CV47" s="159">
        <v>0</v>
      </c>
      <c r="CW47" s="159">
        <v>0</v>
      </c>
      <c r="CX47" s="159">
        <v>0</v>
      </c>
      <c r="CY47" s="159">
        <v>0</v>
      </c>
      <c r="CZ47" s="159">
        <v>0</v>
      </c>
      <c r="DA47" s="159">
        <v>0</v>
      </c>
      <c r="DB47" s="159">
        <v>0</v>
      </c>
      <c r="DC47" s="159">
        <v>0</v>
      </c>
      <c r="DD47" s="159">
        <v>0</v>
      </c>
      <c r="DE47" s="159">
        <v>0</v>
      </c>
      <c r="DF47" s="159">
        <v>0</v>
      </c>
      <c r="DG47" s="159">
        <v>0</v>
      </c>
      <c r="DH47" s="159">
        <v>0</v>
      </c>
      <c r="DI47" s="159">
        <v>0</v>
      </c>
      <c r="DJ47" s="159">
        <v>0</v>
      </c>
      <c r="DK47" s="159">
        <v>0</v>
      </c>
      <c r="DL47" s="159">
        <v>0</v>
      </c>
      <c r="DM47" s="159">
        <v>0</v>
      </c>
      <c r="DN47" s="159">
        <v>0</v>
      </c>
      <c r="DO47" s="159">
        <v>0</v>
      </c>
      <c r="DP47" s="159">
        <v>0</v>
      </c>
      <c r="DQ47" s="159">
        <v>0</v>
      </c>
      <c r="DR47" s="159">
        <v>0</v>
      </c>
      <c r="DS47" s="159">
        <v>0</v>
      </c>
      <c r="DT47" s="159">
        <v>0</v>
      </c>
      <c r="DU47" s="159">
        <v>0</v>
      </c>
      <c r="DV47" s="159">
        <v>0</v>
      </c>
      <c r="DW47" s="159">
        <v>0</v>
      </c>
      <c r="DX47" s="159">
        <v>0</v>
      </c>
      <c r="DY47" s="159">
        <v>0</v>
      </c>
      <c r="DZ47">
        <v>0</v>
      </c>
      <c r="EA47">
        <v>0</v>
      </c>
    </row>
    <row r="48" spans="1:131" x14ac:dyDescent="0.25">
      <c r="A48" s="160" t="s">
        <v>181</v>
      </c>
      <c r="B48" s="164">
        <v>50181</v>
      </c>
      <c r="C48" s="165">
        <v>46204</v>
      </c>
      <c r="D48" s="96">
        <v>20</v>
      </c>
      <c r="E48" s="96"/>
      <c r="F48" s="163">
        <f>EDATE(tblAssets[[#This Row],[Acquired]],(tblAssets[[#This Row],[Life]]+1)*12)</f>
        <v>53874</v>
      </c>
      <c r="G48" s="164">
        <v>250</v>
      </c>
      <c r="H48" s="163" t="s">
        <v>178</v>
      </c>
      <c r="J48" t="str">
        <v>Cutter Depreciation</v>
      </c>
      <c r="K48">
        <v>25000.000000000004</v>
      </c>
      <c r="L48" s="159">
        <v>5729.13</v>
      </c>
      <c r="M48" s="159">
        <v>4817.8</v>
      </c>
      <c r="N48" s="159">
        <v>3613.2400000000007</v>
      </c>
      <c r="O48" s="159">
        <v>2709.9849999999992</v>
      </c>
      <c r="P48" s="159">
        <v>2032.3787499999999</v>
      </c>
      <c r="Q48" s="159">
        <v>1672.0690625</v>
      </c>
      <c r="R48" s="159">
        <v>1644.2057291666665</v>
      </c>
      <c r="S48" s="159">
        <v>1644.2057291666665</v>
      </c>
      <c r="T48" s="159">
        <v>136.98572916666672</v>
      </c>
      <c r="U48" s="159">
        <v>1000</v>
      </c>
      <c r="V48" s="159">
        <v>0</v>
      </c>
      <c r="W48" s="159">
        <v>0</v>
      </c>
      <c r="X48" s="159">
        <v>0</v>
      </c>
      <c r="Y48" s="159">
        <v>0</v>
      </c>
      <c r="Z48" s="159">
        <v>0</v>
      </c>
      <c r="AA48" s="159">
        <v>0</v>
      </c>
      <c r="AB48" s="159">
        <v>0</v>
      </c>
      <c r="AC48" s="159">
        <v>0</v>
      </c>
      <c r="AD48" s="159">
        <v>0</v>
      </c>
      <c r="AE48" s="159">
        <v>0</v>
      </c>
      <c r="AF48" s="159">
        <v>0</v>
      </c>
      <c r="AG48" s="159">
        <v>0</v>
      </c>
      <c r="AH48" s="159">
        <v>0</v>
      </c>
      <c r="AI48" s="159">
        <v>0</v>
      </c>
      <c r="AJ48" s="159">
        <v>0</v>
      </c>
      <c r="AK48" s="159">
        <v>0</v>
      </c>
      <c r="AL48" s="159">
        <v>0</v>
      </c>
      <c r="AM48" s="159">
        <v>0</v>
      </c>
      <c r="AN48" s="159">
        <v>0</v>
      </c>
      <c r="AO48" s="159">
        <v>0</v>
      </c>
      <c r="AP48" s="159">
        <v>0</v>
      </c>
      <c r="AQ48" s="159">
        <v>0</v>
      </c>
      <c r="AR48" s="159">
        <v>0</v>
      </c>
      <c r="AS48" s="159">
        <v>0</v>
      </c>
      <c r="AT48" s="159">
        <v>0</v>
      </c>
      <c r="AU48" s="159">
        <v>0</v>
      </c>
      <c r="AV48" s="159">
        <v>0</v>
      </c>
      <c r="AW48" s="159">
        <v>0</v>
      </c>
      <c r="AX48" s="159">
        <v>0</v>
      </c>
      <c r="AY48" s="159">
        <v>0</v>
      </c>
      <c r="AZ48" s="159">
        <v>0</v>
      </c>
      <c r="BA48" s="159">
        <v>0</v>
      </c>
      <c r="BB48" s="159">
        <v>0</v>
      </c>
      <c r="BC48" s="159">
        <v>0</v>
      </c>
      <c r="BD48" s="159">
        <v>0</v>
      </c>
      <c r="BE48" s="159">
        <v>0</v>
      </c>
      <c r="BF48" s="159">
        <v>0</v>
      </c>
      <c r="BG48" s="159">
        <v>0</v>
      </c>
      <c r="BH48" s="159">
        <v>0</v>
      </c>
      <c r="BI48" s="159">
        <v>0</v>
      </c>
      <c r="BJ48" s="159">
        <v>0</v>
      </c>
      <c r="BK48" s="159">
        <v>0</v>
      </c>
      <c r="BL48" s="159">
        <v>0</v>
      </c>
      <c r="BM48" s="159">
        <v>0</v>
      </c>
      <c r="BN48" s="159">
        <v>0</v>
      </c>
      <c r="BO48" s="159">
        <v>0</v>
      </c>
      <c r="BP48" s="159">
        <v>0</v>
      </c>
      <c r="BQ48" s="159">
        <v>0</v>
      </c>
      <c r="BR48" s="159">
        <v>0</v>
      </c>
      <c r="BS48" s="159">
        <v>0</v>
      </c>
      <c r="BT48" s="159">
        <v>0</v>
      </c>
      <c r="BU48" s="159">
        <v>0</v>
      </c>
      <c r="BV48" s="159">
        <v>0</v>
      </c>
      <c r="BW48" s="159">
        <v>0</v>
      </c>
      <c r="BX48" s="159">
        <v>0</v>
      </c>
      <c r="BY48" s="159">
        <v>0</v>
      </c>
      <c r="BZ48" s="159">
        <v>0</v>
      </c>
      <c r="CA48" s="159">
        <v>0</v>
      </c>
      <c r="CB48" s="159">
        <v>0</v>
      </c>
      <c r="CC48" s="159">
        <v>0</v>
      </c>
      <c r="CD48" s="159">
        <v>0</v>
      </c>
      <c r="CE48" s="159">
        <v>0</v>
      </c>
      <c r="CF48" s="159">
        <v>0</v>
      </c>
      <c r="CG48" s="159">
        <v>0</v>
      </c>
      <c r="CH48" s="159">
        <v>0</v>
      </c>
      <c r="CI48" s="159">
        <v>0</v>
      </c>
      <c r="CJ48" s="159">
        <v>0</v>
      </c>
      <c r="CK48" s="159">
        <v>0</v>
      </c>
      <c r="CL48" s="159">
        <v>0</v>
      </c>
      <c r="CM48" s="159">
        <v>0</v>
      </c>
      <c r="CN48" s="159">
        <v>0</v>
      </c>
      <c r="CO48" s="159">
        <v>0</v>
      </c>
      <c r="CP48" s="159">
        <v>0</v>
      </c>
      <c r="CQ48" s="159">
        <v>0</v>
      </c>
      <c r="CR48" s="159">
        <v>0</v>
      </c>
      <c r="CS48" s="159">
        <v>0</v>
      </c>
      <c r="CT48" s="159">
        <v>0</v>
      </c>
      <c r="CU48" s="159">
        <v>0</v>
      </c>
      <c r="CV48" s="159">
        <v>0</v>
      </c>
      <c r="CW48" s="159">
        <v>0</v>
      </c>
      <c r="CX48" s="159">
        <v>0</v>
      </c>
      <c r="CY48" s="159">
        <v>0</v>
      </c>
      <c r="CZ48" s="159">
        <v>0</v>
      </c>
      <c r="DA48" s="159">
        <v>0</v>
      </c>
      <c r="DB48" s="159">
        <v>0</v>
      </c>
      <c r="DC48" s="159">
        <v>0</v>
      </c>
      <c r="DD48" s="159">
        <v>0</v>
      </c>
      <c r="DE48" s="159">
        <v>0</v>
      </c>
      <c r="DF48" s="159">
        <v>0</v>
      </c>
      <c r="DG48" s="159">
        <v>0</v>
      </c>
      <c r="DH48" s="159">
        <v>0</v>
      </c>
      <c r="DI48" s="159">
        <v>0</v>
      </c>
      <c r="DJ48" s="159">
        <v>0</v>
      </c>
      <c r="DK48" s="159">
        <v>0</v>
      </c>
      <c r="DL48" s="159">
        <v>0</v>
      </c>
      <c r="DM48" s="159">
        <v>0</v>
      </c>
      <c r="DN48" s="159">
        <v>0</v>
      </c>
      <c r="DO48" s="159">
        <v>0</v>
      </c>
      <c r="DP48" s="159">
        <v>0</v>
      </c>
      <c r="DQ48" s="159">
        <v>0</v>
      </c>
      <c r="DR48" s="159">
        <v>0</v>
      </c>
      <c r="DS48" s="159">
        <v>0</v>
      </c>
      <c r="DT48" s="159">
        <v>0</v>
      </c>
      <c r="DU48" s="159">
        <v>0</v>
      </c>
      <c r="DV48" s="159">
        <v>0</v>
      </c>
      <c r="DW48" s="159">
        <v>0</v>
      </c>
      <c r="DX48" s="159">
        <v>0</v>
      </c>
      <c r="DY48" s="159">
        <v>0</v>
      </c>
      <c r="DZ48">
        <v>0</v>
      </c>
      <c r="EA48">
        <v>0</v>
      </c>
    </row>
    <row r="49" spans="10:131" x14ac:dyDescent="0.25">
      <c r="J49" t="str">
        <v>Cutter Book Value</v>
      </c>
      <c r="K49">
        <v>0</v>
      </c>
      <c r="L49" s="159">
        <v>19270.87</v>
      </c>
      <c r="M49" s="159">
        <v>14453.069999999982</v>
      </c>
      <c r="N49" s="159">
        <v>10839.82999999998</v>
      </c>
      <c r="O49" s="159">
        <v>8129.8449999999884</v>
      </c>
      <c r="P49" s="159">
        <v>6097.466249999994</v>
      </c>
      <c r="Q49" s="159">
        <v>4425.3971874999943</v>
      </c>
      <c r="R49" s="159">
        <v>2781.1914583333223</v>
      </c>
      <c r="S49" s="159">
        <v>1136.9857291666553</v>
      </c>
      <c r="T49" s="159">
        <v>999.99999999998863</v>
      </c>
      <c r="U49" s="159">
        <v>-1.1368683772161603E-11</v>
      </c>
      <c r="V49" s="159">
        <v>0</v>
      </c>
      <c r="W49" s="159">
        <v>0</v>
      </c>
      <c r="X49" s="159">
        <v>0</v>
      </c>
      <c r="Y49" s="159">
        <v>0</v>
      </c>
      <c r="Z49" s="159">
        <v>0</v>
      </c>
      <c r="AA49" s="159">
        <v>0</v>
      </c>
      <c r="AB49" s="159">
        <v>0</v>
      </c>
      <c r="AC49" s="159">
        <v>0</v>
      </c>
      <c r="AD49" s="159">
        <v>0</v>
      </c>
      <c r="AE49" s="159">
        <v>0</v>
      </c>
      <c r="AF49" s="159">
        <v>0</v>
      </c>
      <c r="AG49" s="159">
        <v>0</v>
      </c>
      <c r="AH49" s="159">
        <v>0</v>
      </c>
      <c r="AI49" s="159">
        <v>0</v>
      </c>
      <c r="AJ49" s="159">
        <v>0</v>
      </c>
      <c r="AK49" s="159">
        <v>0</v>
      </c>
      <c r="AL49" s="159">
        <v>0</v>
      </c>
      <c r="AM49" s="159">
        <v>0</v>
      </c>
      <c r="AN49" s="159">
        <v>0</v>
      </c>
      <c r="AO49" s="159">
        <v>0</v>
      </c>
      <c r="AP49" s="159">
        <v>0</v>
      </c>
      <c r="AQ49" s="159">
        <v>0</v>
      </c>
      <c r="AR49" s="159">
        <v>0</v>
      </c>
      <c r="AS49" s="159">
        <v>0</v>
      </c>
      <c r="AT49" s="159">
        <v>0</v>
      </c>
      <c r="AU49" s="159">
        <v>0</v>
      </c>
      <c r="AV49" s="159">
        <v>0</v>
      </c>
      <c r="AW49" s="159">
        <v>0</v>
      </c>
      <c r="AX49" s="159">
        <v>0</v>
      </c>
      <c r="AY49" s="159">
        <v>0</v>
      </c>
      <c r="AZ49" s="159">
        <v>0</v>
      </c>
      <c r="BA49" s="159">
        <v>0</v>
      </c>
      <c r="BB49" s="159">
        <v>0</v>
      </c>
      <c r="BC49" s="159">
        <v>0</v>
      </c>
      <c r="BD49" s="159">
        <v>0</v>
      </c>
      <c r="BE49" s="159">
        <v>0</v>
      </c>
      <c r="BF49" s="159">
        <v>0</v>
      </c>
      <c r="BG49" s="159">
        <v>0</v>
      </c>
      <c r="BH49" s="159">
        <v>0</v>
      </c>
      <c r="BI49" s="159">
        <v>0</v>
      </c>
      <c r="BJ49" s="159">
        <v>0</v>
      </c>
      <c r="BK49" s="159">
        <v>0</v>
      </c>
      <c r="BL49" s="159">
        <v>0</v>
      </c>
      <c r="BM49" s="159">
        <v>0</v>
      </c>
      <c r="BN49" s="159">
        <v>0</v>
      </c>
      <c r="BO49" s="159">
        <v>0</v>
      </c>
      <c r="BP49" s="159">
        <v>0</v>
      </c>
      <c r="BQ49" s="159">
        <v>0</v>
      </c>
      <c r="BR49" s="159">
        <v>0</v>
      </c>
      <c r="BS49" s="159">
        <v>0</v>
      </c>
      <c r="BT49" s="159">
        <v>0</v>
      </c>
      <c r="BU49" s="159">
        <v>0</v>
      </c>
      <c r="BV49" s="159">
        <v>0</v>
      </c>
      <c r="BW49" s="159">
        <v>0</v>
      </c>
      <c r="BX49" s="159">
        <v>0</v>
      </c>
      <c r="BY49" s="159">
        <v>0</v>
      </c>
      <c r="BZ49" s="159">
        <v>0</v>
      </c>
      <c r="CA49" s="159">
        <v>0</v>
      </c>
      <c r="CB49" s="159">
        <v>0</v>
      </c>
      <c r="CC49" s="159">
        <v>0</v>
      </c>
      <c r="CD49" s="159">
        <v>0</v>
      </c>
      <c r="CE49" s="159">
        <v>0</v>
      </c>
      <c r="CF49" s="159">
        <v>0</v>
      </c>
      <c r="CG49" s="159">
        <v>0</v>
      </c>
      <c r="CH49" s="159">
        <v>0</v>
      </c>
      <c r="CI49" s="159">
        <v>0</v>
      </c>
      <c r="CJ49" s="159">
        <v>0</v>
      </c>
      <c r="CK49" s="159">
        <v>0</v>
      </c>
      <c r="CL49" s="159">
        <v>0</v>
      </c>
      <c r="CM49" s="159">
        <v>0</v>
      </c>
      <c r="CN49" s="159">
        <v>0</v>
      </c>
      <c r="CO49" s="159">
        <v>0</v>
      </c>
      <c r="CP49" s="159">
        <v>0</v>
      </c>
      <c r="CQ49" s="159">
        <v>0</v>
      </c>
      <c r="CR49" s="159">
        <v>0</v>
      </c>
      <c r="CS49" s="159">
        <v>0</v>
      </c>
      <c r="CT49" s="159">
        <v>0</v>
      </c>
      <c r="CU49" s="159">
        <v>0</v>
      </c>
      <c r="CV49" s="159">
        <v>0</v>
      </c>
      <c r="CW49" s="159">
        <v>0</v>
      </c>
      <c r="CX49" s="159">
        <v>0</v>
      </c>
      <c r="CY49" s="159">
        <v>0</v>
      </c>
      <c r="CZ49" s="159">
        <v>0</v>
      </c>
      <c r="DA49" s="159">
        <v>0</v>
      </c>
      <c r="DB49" s="159">
        <v>0</v>
      </c>
      <c r="DC49" s="159">
        <v>0</v>
      </c>
      <c r="DD49" s="159">
        <v>0</v>
      </c>
      <c r="DE49" s="159">
        <v>0</v>
      </c>
      <c r="DF49" s="159">
        <v>0</v>
      </c>
      <c r="DG49" s="159">
        <v>0</v>
      </c>
      <c r="DH49" s="159">
        <v>0</v>
      </c>
      <c r="DI49" s="159">
        <v>0</v>
      </c>
      <c r="DJ49" s="159">
        <v>0</v>
      </c>
      <c r="DK49" s="159">
        <v>0</v>
      </c>
      <c r="DL49" s="159">
        <v>0</v>
      </c>
      <c r="DM49" s="159">
        <v>0</v>
      </c>
      <c r="DN49" s="159">
        <v>0</v>
      </c>
      <c r="DO49" s="159">
        <v>0</v>
      </c>
      <c r="DP49" s="159">
        <v>0</v>
      </c>
      <c r="DQ49" s="159">
        <v>0</v>
      </c>
      <c r="DR49" s="159">
        <v>0</v>
      </c>
      <c r="DS49" s="159">
        <v>0</v>
      </c>
      <c r="DT49" s="159">
        <v>0</v>
      </c>
      <c r="DU49" s="159">
        <v>0</v>
      </c>
      <c r="DV49" s="159">
        <v>0</v>
      </c>
      <c r="DW49" s="159">
        <v>0</v>
      </c>
      <c r="DX49" s="159">
        <v>0</v>
      </c>
      <c r="DY49" s="159">
        <v>0</v>
      </c>
      <c r="DZ49">
        <v>0</v>
      </c>
      <c r="EA49">
        <v>0</v>
      </c>
    </row>
    <row r="50" spans="10:131" x14ac:dyDescent="0.25">
      <c r="J50" t="str">
        <v>Cutter Revenue from Sale</v>
      </c>
      <c r="K50">
        <v>1000</v>
      </c>
      <c r="L50" s="159">
        <v>0</v>
      </c>
      <c r="M50" s="159">
        <v>0</v>
      </c>
      <c r="N50" s="159">
        <v>0</v>
      </c>
      <c r="O50" s="159">
        <v>0</v>
      </c>
      <c r="P50" s="159">
        <v>0</v>
      </c>
      <c r="Q50" s="159">
        <v>0</v>
      </c>
      <c r="R50" s="159">
        <v>0</v>
      </c>
      <c r="S50" s="159">
        <v>0</v>
      </c>
      <c r="T50" s="159">
        <v>0</v>
      </c>
      <c r="U50" s="159">
        <v>1000</v>
      </c>
      <c r="V50" s="159">
        <v>0</v>
      </c>
      <c r="W50" s="159">
        <v>0</v>
      </c>
      <c r="X50" s="159">
        <v>0</v>
      </c>
      <c r="Y50" s="159">
        <v>0</v>
      </c>
      <c r="Z50" s="159">
        <v>0</v>
      </c>
      <c r="AA50" s="159">
        <v>0</v>
      </c>
      <c r="AB50" s="159">
        <v>0</v>
      </c>
      <c r="AC50" s="159">
        <v>0</v>
      </c>
      <c r="AD50" s="159">
        <v>0</v>
      </c>
      <c r="AE50" s="159">
        <v>0</v>
      </c>
      <c r="AF50" s="159">
        <v>0</v>
      </c>
      <c r="AG50" s="159">
        <v>0</v>
      </c>
      <c r="AH50" s="159">
        <v>0</v>
      </c>
      <c r="AI50" s="159">
        <v>0</v>
      </c>
      <c r="AJ50" s="159">
        <v>0</v>
      </c>
      <c r="AK50" s="159">
        <v>0</v>
      </c>
      <c r="AL50" s="159">
        <v>0</v>
      </c>
      <c r="AM50" s="159">
        <v>0</v>
      </c>
      <c r="AN50" s="159">
        <v>0</v>
      </c>
      <c r="AO50" s="159">
        <v>0</v>
      </c>
      <c r="AP50" s="159">
        <v>0</v>
      </c>
      <c r="AQ50" s="159">
        <v>0</v>
      </c>
      <c r="AR50" s="159">
        <v>0</v>
      </c>
      <c r="AS50" s="159">
        <v>0</v>
      </c>
      <c r="AT50" s="159">
        <v>0</v>
      </c>
      <c r="AU50" s="159">
        <v>0</v>
      </c>
      <c r="AV50" s="159">
        <v>0</v>
      </c>
      <c r="AW50" s="159">
        <v>0</v>
      </c>
      <c r="AX50" s="159">
        <v>0</v>
      </c>
      <c r="AY50" s="159">
        <v>0</v>
      </c>
      <c r="AZ50" s="159">
        <v>0</v>
      </c>
      <c r="BA50" s="159">
        <v>0</v>
      </c>
      <c r="BB50" s="159">
        <v>0</v>
      </c>
      <c r="BC50" s="159">
        <v>0</v>
      </c>
      <c r="BD50" s="159">
        <v>0</v>
      </c>
      <c r="BE50" s="159">
        <v>0</v>
      </c>
      <c r="BF50" s="159">
        <v>0</v>
      </c>
      <c r="BG50" s="159">
        <v>0</v>
      </c>
      <c r="BH50" s="159">
        <v>0</v>
      </c>
      <c r="BI50" s="159">
        <v>0</v>
      </c>
      <c r="BJ50" s="159">
        <v>0</v>
      </c>
      <c r="BK50" s="159">
        <v>0</v>
      </c>
      <c r="BL50" s="159">
        <v>0</v>
      </c>
      <c r="BM50" s="159">
        <v>0</v>
      </c>
      <c r="BN50" s="159">
        <v>0</v>
      </c>
      <c r="BO50" s="159">
        <v>0</v>
      </c>
      <c r="BP50" s="159">
        <v>0</v>
      </c>
      <c r="BQ50" s="159">
        <v>0</v>
      </c>
      <c r="BR50" s="159">
        <v>0</v>
      </c>
      <c r="BS50" s="159">
        <v>0</v>
      </c>
      <c r="BT50" s="159">
        <v>0</v>
      </c>
      <c r="BU50" s="159">
        <v>0</v>
      </c>
      <c r="BV50" s="159">
        <v>0</v>
      </c>
      <c r="BW50" s="159">
        <v>0</v>
      </c>
      <c r="BX50" s="159">
        <v>0</v>
      </c>
      <c r="BY50" s="159">
        <v>0</v>
      </c>
      <c r="BZ50" s="159">
        <v>0</v>
      </c>
      <c r="CA50" s="159">
        <v>0</v>
      </c>
      <c r="CB50" s="159">
        <v>0</v>
      </c>
      <c r="CC50" s="159">
        <v>0</v>
      </c>
      <c r="CD50" s="159">
        <v>0</v>
      </c>
      <c r="CE50" s="159">
        <v>0</v>
      </c>
      <c r="CF50" s="159">
        <v>0</v>
      </c>
      <c r="CG50" s="159">
        <v>0</v>
      </c>
      <c r="CH50" s="159">
        <v>0</v>
      </c>
      <c r="CI50" s="159">
        <v>0</v>
      </c>
      <c r="CJ50" s="159">
        <v>0</v>
      </c>
      <c r="CK50" s="159">
        <v>0</v>
      </c>
      <c r="CL50" s="159">
        <v>0</v>
      </c>
      <c r="CM50" s="159">
        <v>0</v>
      </c>
      <c r="CN50" s="159">
        <v>0</v>
      </c>
      <c r="CO50" s="159">
        <v>0</v>
      </c>
      <c r="CP50" s="159">
        <v>0</v>
      </c>
      <c r="CQ50" s="159">
        <v>0</v>
      </c>
      <c r="CR50" s="159">
        <v>0</v>
      </c>
      <c r="CS50" s="159">
        <v>0</v>
      </c>
      <c r="CT50" s="159">
        <v>0</v>
      </c>
      <c r="CU50" s="159">
        <v>0</v>
      </c>
      <c r="CV50" s="159">
        <v>0</v>
      </c>
      <c r="CW50" s="159">
        <v>0</v>
      </c>
      <c r="CX50" s="159">
        <v>0</v>
      </c>
      <c r="CY50" s="159">
        <v>0</v>
      </c>
      <c r="CZ50" s="159">
        <v>0</v>
      </c>
      <c r="DA50" s="159">
        <v>0</v>
      </c>
      <c r="DB50" s="159">
        <v>0</v>
      </c>
      <c r="DC50" s="159">
        <v>0</v>
      </c>
      <c r="DD50" s="159">
        <v>0</v>
      </c>
      <c r="DE50" s="159">
        <v>0</v>
      </c>
      <c r="DF50" s="159">
        <v>0</v>
      </c>
      <c r="DG50" s="159">
        <v>0</v>
      </c>
      <c r="DH50" s="159">
        <v>0</v>
      </c>
      <c r="DI50" s="159">
        <v>0</v>
      </c>
      <c r="DJ50" s="159">
        <v>0</v>
      </c>
      <c r="DK50" s="159">
        <v>0</v>
      </c>
      <c r="DL50" s="159">
        <v>0</v>
      </c>
      <c r="DM50" s="159">
        <v>0</v>
      </c>
      <c r="DN50" s="159">
        <v>0</v>
      </c>
      <c r="DO50" s="159">
        <v>0</v>
      </c>
      <c r="DP50" s="159">
        <v>0</v>
      </c>
      <c r="DQ50" s="159">
        <v>0</v>
      </c>
      <c r="DR50" s="159">
        <v>0</v>
      </c>
      <c r="DS50" s="159">
        <v>0</v>
      </c>
      <c r="DT50" s="159">
        <v>0</v>
      </c>
      <c r="DU50" s="159">
        <v>0</v>
      </c>
      <c r="DV50" s="159">
        <v>0</v>
      </c>
      <c r="DW50" s="159">
        <v>0</v>
      </c>
      <c r="DX50" s="159">
        <v>0</v>
      </c>
      <c r="DY50" s="159">
        <v>0</v>
      </c>
      <c r="DZ50">
        <v>0</v>
      </c>
      <c r="EA50">
        <v>0</v>
      </c>
    </row>
    <row r="51" spans="10:131" x14ac:dyDescent="0.25">
      <c r="J51" t="str">
        <v>Cutter Disposal Costs</v>
      </c>
      <c r="K51">
        <v>500</v>
      </c>
      <c r="L51" s="159">
        <v>0</v>
      </c>
      <c r="M51" s="159">
        <v>0</v>
      </c>
      <c r="N51" s="159">
        <v>0</v>
      </c>
      <c r="O51" s="159">
        <v>0</v>
      </c>
      <c r="P51" s="159">
        <v>0</v>
      </c>
      <c r="Q51" s="159">
        <v>0</v>
      </c>
      <c r="R51" s="159">
        <v>0</v>
      </c>
      <c r="S51" s="159">
        <v>0</v>
      </c>
      <c r="T51" s="159">
        <v>0</v>
      </c>
      <c r="U51" s="159">
        <v>500</v>
      </c>
      <c r="V51" s="159">
        <v>0</v>
      </c>
      <c r="W51" s="159">
        <v>0</v>
      </c>
      <c r="X51" s="159">
        <v>0</v>
      </c>
      <c r="Y51" s="159">
        <v>0</v>
      </c>
      <c r="Z51" s="159">
        <v>0</v>
      </c>
      <c r="AA51" s="159">
        <v>0</v>
      </c>
      <c r="AB51" s="159">
        <v>0</v>
      </c>
      <c r="AC51" s="159">
        <v>0</v>
      </c>
      <c r="AD51" s="159">
        <v>0</v>
      </c>
      <c r="AE51" s="159">
        <v>0</v>
      </c>
      <c r="AF51" s="159">
        <v>0</v>
      </c>
      <c r="AG51" s="159">
        <v>0</v>
      </c>
      <c r="AH51" s="159">
        <v>0</v>
      </c>
      <c r="AI51" s="159">
        <v>0</v>
      </c>
      <c r="AJ51" s="159">
        <v>0</v>
      </c>
      <c r="AK51" s="159">
        <v>0</v>
      </c>
      <c r="AL51" s="159">
        <v>0</v>
      </c>
      <c r="AM51" s="159">
        <v>0</v>
      </c>
      <c r="AN51" s="159">
        <v>0</v>
      </c>
      <c r="AO51" s="159">
        <v>0</v>
      </c>
      <c r="AP51" s="159">
        <v>0</v>
      </c>
      <c r="AQ51" s="159">
        <v>0</v>
      </c>
      <c r="AR51" s="159">
        <v>0</v>
      </c>
      <c r="AS51" s="159">
        <v>0</v>
      </c>
      <c r="AT51" s="159">
        <v>0</v>
      </c>
      <c r="AU51" s="159">
        <v>0</v>
      </c>
      <c r="AV51" s="159">
        <v>0</v>
      </c>
      <c r="AW51" s="159">
        <v>0</v>
      </c>
      <c r="AX51" s="159">
        <v>0</v>
      </c>
      <c r="AY51" s="159">
        <v>0</v>
      </c>
      <c r="AZ51" s="159">
        <v>0</v>
      </c>
      <c r="BA51" s="159">
        <v>0</v>
      </c>
      <c r="BB51" s="159">
        <v>0</v>
      </c>
      <c r="BC51" s="159">
        <v>0</v>
      </c>
      <c r="BD51" s="159">
        <v>0</v>
      </c>
      <c r="BE51" s="159">
        <v>0</v>
      </c>
      <c r="BF51" s="159">
        <v>0</v>
      </c>
      <c r="BG51" s="159">
        <v>0</v>
      </c>
      <c r="BH51" s="159">
        <v>0</v>
      </c>
      <c r="BI51" s="159">
        <v>0</v>
      </c>
      <c r="BJ51" s="159">
        <v>0</v>
      </c>
      <c r="BK51" s="159">
        <v>0</v>
      </c>
      <c r="BL51" s="159">
        <v>0</v>
      </c>
      <c r="BM51" s="159">
        <v>0</v>
      </c>
      <c r="BN51" s="159">
        <v>0</v>
      </c>
      <c r="BO51" s="159">
        <v>0</v>
      </c>
      <c r="BP51" s="159">
        <v>0</v>
      </c>
      <c r="BQ51" s="159">
        <v>0</v>
      </c>
      <c r="BR51" s="159">
        <v>0</v>
      </c>
      <c r="BS51" s="159">
        <v>0</v>
      </c>
      <c r="BT51" s="159">
        <v>0</v>
      </c>
      <c r="BU51" s="159">
        <v>0</v>
      </c>
      <c r="BV51" s="159">
        <v>0</v>
      </c>
      <c r="BW51" s="159">
        <v>0</v>
      </c>
      <c r="BX51" s="159">
        <v>0</v>
      </c>
      <c r="BY51" s="159">
        <v>0</v>
      </c>
      <c r="BZ51" s="159">
        <v>0</v>
      </c>
      <c r="CA51" s="159">
        <v>0</v>
      </c>
      <c r="CB51" s="159">
        <v>0</v>
      </c>
      <c r="CC51" s="159">
        <v>0</v>
      </c>
      <c r="CD51" s="159">
        <v>0</v>
      </c>
      <c r="CE51" s="159">
        <v>0</v>
      </c>
      <c r="CF51" s="159">
        <v>0</v>
      </c>
      <c r="CG51" s="159">
        <v>0</v>
      </c>
      <c r="CH51" s="159">
        <v>0</v>
      </c>
      <c r="CI51" s="159">
        <v>0</v>
      </c>
      <c r="CJ51" s="159">
        <v>0</v>
      </c>
      <c r="CK51" s="159">
        <v>0</v>
      </c>
      <c r="CL51" s="159">
        <v>0</v>
      </c>
      <c r="CM51" s="159">
        <v>0</v>
      </c>
      <c r="CN51" s="159">
        <v>0</v>
      </c>
      <c r="CO51" s="159">
        <v>0</v>
      </c>
      <c r="CP51" s="159">
        <v>0</v>
      </c>
      <c r="CQ51" s="159">
        <v>0</v>
      </c>
      <c r="CR51" s="159">
        <v>0</v>
      </c>
      <c r="CS51" s="159">
        <v>0</v>
      </c>
      <c r="CT51" s="159">
        <v>0</v>
      </c>
      <c r="CU51" s="159">
        <v>0</v>
      </c>
      <c r="CV51" s="159">
        <v>0</v>
      </c>
      <c r="CW51" s="159">
        <v>0</v>
      </c>
      <c r="CX51" s="159">
        <v>0</v>
      </c>
      <c r="CY51" s="159">
        <v>0</v>
      </c>
      <c r="CZ51" s="159">
        <v>0</v>
      </c>
      <c r="DA51" s="159">
        <v>0</v>
      </c>
      <c r="DB51" s="159">
        <v>0</v>
      </c>
      <c r="DC51" s="159">
        <v>0</v>
      </c>
      <c r="DD51" s="159">
        <v>0</v>
      </c>
      <c r="DE51" s="159">
        <v>0</v>
      </c>
      <c r="DF51" s="159">
        <v>0</v>
      </c>
      <c r="DG51" s="159">
        <v>0</v>
      </c>
      <c r="DH51" s="159">
        <v>0</v>
      </c>
      <c r="DI51" s="159">
        <v>0</v>
      </c>
      <c r="DJ51" s="159">
        <v>0</v>
      </c>
      <c r="DK51" s="159">
        <v>0</v>
      </c>
      <c r="DL51" s="159">
        <v>0</v>
      </c>
      <c r="DM51" s="159">
        <v>0</v>
      </c>
      <c r="DN51" s="159">
        <v>0</v>
      </c>
      <c r="DO51" s="159">
        <v>0</v>
      </c>
      <c r="DP51" s="159">
        <v>0</v>
      </c>
      <c r="DQ51" s="159">
        <v>0</v>
      </c>
      <c r="DR51" s="159">
        <v>0</v>
      </c>
      <c r="DS51" s="159">
        <v>0</v>
      </c>
      <c r="DT51" s="159">
        <v>0</v>
      </c>
      <c r="DU51" s="159">
        <v>0</v>
      </c>
      <c r="DV51" s="159">
        <v>0</v>
      </c>
      <c r="DW51" s="159">
        <v>0</v>
      </c>
      <c r="DX51" s="159">
        <v>0</v>
      </c>
      <c r="DY51" s="159">
        <v>0</v>
      </c>
      <c r="DZ51">
        <v>0</v>
      </c>
      <c r="EA51">
        <v>0</v>
      </c>
    </row>
    <row r="52" spans="10:131" x14ac:dyDescent="0.25">
      <c r="J52" t="str">
        <v/>
      </c>
      <c r="K52">
        <v>0</v>
      </c>
      <c r="L52" s="159" t="str">
        <v/>
      </c>
      <c r="M52" s="159" t="str">
        <v/>
      </c>
      <c r="N52" s="159" t="str">
        <v/>
      </c>
      <c r="O52" s="159" t="str">
        <v/>
      </c>
      <c r="P52" s="159" t="str">
        <v/>
      </c>
      <c r="Q52" s="159" t="str">
        <v/>
      </c>
      <c r="R52" s="159" t="str">
        <v/>
      </c>
      <c r="S52" s="159" t="str">
        <v/>
      </c>
      <c r="T52" s="159" t="str">
        <v/>
      </c>
      <c r="U52" s="159" t="str">
        <v/>
      </c>
      <c r="V52" s="159" t="str">
        <v/>
      </c>
      <c r="W52" s="159" t="str">
        <v/>
      </c>
      <c r="X52" s="159" t="str">
        <v/>
      </c>
      <c r="Y52" s="159" t="str">
        <v/>
      </c>
      <c r="Z52" s="159" t="str">
        <v/>
      </c>
      <c r="AA52" s="159" t="str">
        <v/>
      </c>
      <c r="AB52" s="159" t="str">
        <v/>
      </c>
      <c r="AC52" s="159" t="str">
        <v/>
      </c>
      <c r="AD52" s="159" t="str">
        <v/>
      </c>
      <c r="AE52" s="159" t="str">
        <v/>
      </c>
      <c r="AF52" s="159" t="str">
        <v/>
      </c>
      <c r="AG52" s="159" t="str">
        <v/>
      </c>
      <c r="AH52" s="159" t="str">
        <v/>
      </c>
      <c r="AI52" s="159" t="str">
        <v/>
      </c>
      <c r="AJ52" s="159" t="str">
        <v/>
      </c>
      <c r="AK52" s="159" t="str">
        <v/>
      </c>
      <c r="AL52" s="159" t="str">
        <v/>
      </c>
      <c r="AM52" s="159" t="str">
        <v/>
      </c>
      <c r="AN52" s="159" t="str">
        <v/>
      </c>
      <c r="AO52" s="159" t="str">
        <v/>
      </c>
      <c r="AP52" s="159" t="str">
        <v/>
      </c>
      <c r="AQ52" s="159" t="str">
        <v/>
      </c>
      <c r="AR52" s="159" t="str">
        <v/>
      </c>
      <c r="AS52" s="159" t="str">
        <v/>
      </c>
      <c r="AT52" s="159" t="str">
        <v/>
      </c>
      <c r="AU52" s="159" t="str">
        <v/>
      </c>
      <c r="AV52" s="159" t="str">
        <v/>
      </c>
      <c r="AW52" s="159" t="str">
        <v/>
      </c>
      <c r="AX52" s="159" t="str">
        <v/>
      </c>
      <c r="AY52" s="159" t="str">
        <v/>
      </c>
      <c r="AZ52" s="159" t="str">
        <v/>
      </c>
      <c r="BA52" s="159" t="str">
        <v/>
      </c>
      <c r="BB52" s="159" t="str">
        <v/>
      </c>
      <c r="BC52" s="159" t="str">
        <v/>
      </c>
      <c r="BD52" s="159" t="str">
        <v/>
      </c>
      <c r="BE52" s="159" t="str">
        <v/>
      </c>
      <c r="BF52" s="159" t="str">
        <v/>
      </c>
      <c r="BG52" s="159" t="str">
        <v/>
      </c>
      <c r="BH52" s="159" t="str">
        <v/>
      </c>
      <c r="BI52" s="159" t="str">
        <v/>
      </c>
      <c r="BJ52" s="159" t="str">
        <v/>
      </c>
      <c r="BK52" s="159" t="str">
        <v/>
      </c>
      <c r="BL52" s="159" t="str">
        <v/>
      </c>
      <c r="BM52" s="159" t="str">
        <v/>
      </c>
      <c r="BN52" s="159" t="str">
        <v/>
      </c>
      <c r="BO52" s="159" t="str">
        <v/>
      </c>
      <c r="BP52" s="159" t="str">
        <v/>
      </c>
      <c r="BQ52" s="159" t="str">
        <v/>
      </c>
      <c r="BR52" s="159" t="str">
        <v/>
      </c>
      <c r="BS52" s="159" t="str">
        <v/>
      </c>
      <c r="BT52" s="159" t="str">
        <v/>
      </c>
      <c r="BU52" s="159" t="str">
        <v/>
      </c>
      <c r="BV52" s="159" t="str">
        <v/>
      </c>
      <c r="BW52" s="159" t="str">
        <v/>
      </c>
      <c r="BX52" s="159" t="str">
        <v/>
      </c>
      <c r="BY52" s="159" t="str">
        <v/>
      </c>
      <c r="BZ52" s="159" t="str">
        <v/>
      </c>
      <c r="CA52" s="159" t="str">
        <v/>
      </c>
      <c r="CB52" s="159" t="str">
        <v/>
      </c>
      <c r="CC52" s="159" t="str">
        <v/>
      </c>
      <c r="CD52" s="159" t="str">
        <v/>
      </c>
      <c r="CE52" s="159" t="str">
        <v/>
      </c>
      <c r="CF52" s="159" t="str">
        <v/>
      </c>
      <c r="CG52" s="159" t="str">
        <v/>
      </c>
      <c r="CH52" s="159" t="str">
        <v/>
      </c>
      <c r="CI52" s="159" t="str">
        <v/>
      </c>
      <c r="CJ52" s="159" t="str">
        <v/>
      </c>
      <c r="CK52" s="159" t="str">
        <v/>
      </c>
      <c r="CL52" s="159" t="str">
        <v/>
      </c>
      <c r="CM52" s="159" t="str">
        <v/>
      </c>
      <c r="CN52" s="159" t="str">
        <v/>
      </c>
      <c r="CO52" s="159" t="str">
        <v/>
      </c>
      <c r="CP52" s="159" t="str">
        <v/>
      </c>
      <c r="CQ52" s="159" t="str">
        <v/>
      </c>
      <c r="CR52" s="159" t="str">
        <v/>
      </c>
      <c r="CS52" s="159" t="str">
        <v/>
      </c>
      <c r="CT52" s="159" t="str">
        <v/>
      </c>
      <c r="CU52" s="159" t="str">
        <v/>
      </c>
      <c r="CV52" s="159" t="str">
        <v/>
      </c>
      <c r="CW52" s="159" t="str">
        <v/>
      </c>
      <c r="CX52" s="159" t="str">
        <v/>
      </c>
      <c r="CY52" s="159" t="str">
        <v/>
      </c>
      <c r="CZ52" s="159" t="str">
        <v/>
      </c>
      <c r="DA52" s="159" t="str">
        <v/>
      </c>
      <c r="DB52" s="159" t="str">
        <v/>
      </c>
      <c r="DC52" s="159" t="str">
        <v/>
      </c>
      <c r="DD52" s="159" t="str">
        <v/>
      </c>
      <c r="DE52" s="159" t="str">
        <v/>
      </c>
      <c r="DF52" s="159" t="str">
        <v/>
      </c>
      <c r="DG52" s="159" t="str">
        <v/>
      </c>
      <c r="DH52" s="159" t="str">
        <v/>
      </c>
      <c r="DI52" s="159" t="str">
        <v/>
      </c>
      <c r="DJ52" s="159" t="str">
        <v/>
      </c>
      <c r="DK52" s="159" t="str">
        <v/>
      </c>
      <c r="DL52" s="159" t="str">
        <v/>
      </c>
      <c r="DM52" s="159" t="str">
        <v/>
      </c>
      <c r="DN52" s="159" t="str">
        <v/>
      </c>
      <c r="DO52" s="159" t="str">
        <v/>
      </c>
      <c r="DP52" s="159" t="str">
        <v/>
      </c>
      <c r="DQ52" s="159" t="str">
        <v/>
      </c>
      <c r="DR52" s="159" t="str">
        <v/>
      </c>
      <c r="DS52" s="159" t="str">
        <v/>
      </c>
      <c r="DT52" s="159" t="str">
        <v/>
      </c>
      <c r="DU52" s="159" t="str">
        <v/>
      </c>
      <c r="DV52" s="159" t="str">
        <v/>
      </c>
      <c r="DW52" s="159" t="str">
        <v/>
      </c>
      <c r="DX52" s="159" t="str">
        <v/>
      </c>
      <c r="DY52" s="159" t="str">
        <v/>
      </c>
      <c r="DZ52" t="str">
        <v/>
      </c>
      <c r="EA52" t="str">
        <v/>
      </c>
    </row>
    <row r="53" spans="10:131" x14ac:dyDescent="0.25">
      <c r="J53" t="str">
        <v>Press CAPEX</v>
      </c>
      <c r="K53">
        <v>10000</v>
      </c>
      <c r="L53" s="159">
        <v>10000</v>
      </c>
      <c r="M53" s="159">
        <v>0</v>
      </c>
      <c r="N53" s="159">
        <v>0</v>
      </c>
      <c r="O53" s="159">
        <v>0</v>
      </c>
      <c r="P53" s="159">
        <v>0</v>
      </c>
      <c r="Q53" s="159">
        <v>0</v>
      </c>
      <c r="R53" s="159">
        <v>0</v>
      </c>
      <c r="S53" s="159">
        <v>0</v>
      </c>
      <c r="T53" s="159">
        <v>0</v>
      </c>
      <c r="U53" s="159">
        <v>0</v>
      </c>
      <c r="V53" s="159">
        <v>0</v>
      </c>
      <c r="W53" s="159">
        <v>0</v>
      </c>
      <c r="X53" s="159">
        <v>0</v>
      </c>
      <c r="Y53" s="159">
        <v>0</v>
      </c>
      <c r="Z53" s="159">
        <v>0</v>
      </c>
      <c r="AA53" s="159">
        <v>0</v>
      </c>
      <c r="AB53" s="159">
        <v>0</v>
      </c>
      <c r="AC53" s="159">
        <v>0</v>
      </c>
      <c r="AD53" s="159">
        <v>0</v>
      </c>
      <c r="AE53" s="159">
        <v>0</v>
      </c>
      <c r="AF53" s="159">
        <v>0</v>
      </c>
      <c r="AG53" s="159">
        <v>0</v>
      </c>
      <c r="AH53" s="159">
        <v>0</v>
      </c>
      <c r="AI53" s="159">
        <v>0</v>
      </c>
      <c r="AJ53" s="159">
        <v>0</v>
      </c>
      <c r="AK53" s="159">
        <v>0</v>
      </c>
      <c r="AL53" s="159">
        <v>0</v>
      </c>
      <c r="AM53" s="159">
        <v>0</v>
      </c>
      <c r="AN53" s="159">
        <v>0</v>
      </c>
      <c r="AO53" s="159">
        <v>0</v>
      </c>
      <c r="AP53" s="159">
        <v>0</v>
      </c>
      <c r="AQ53" s="159">
        <v>0</v>
      </c>
      <c r="AR53" s="159">
        <v>0</v>
      </c>
      <c r="AS53" s="159">
        <v>0</v>
      </c>
      <c r="AT53" s="159">
        <v>0</v>
      </c>
      <c r="AU53" s="159">
        <v>0</v>
      </c>
      <c r="AV53" s="159">
        <v>0</v>
      </c>
      <c r="AW53" s="159">
        <v>0</v>
      </c>
      <c r="AX53" s="159">
        <v>0</v>
      </c>
      <c r="AY53" s="159">
        <v>0</v>
      </c>
      <c r="AZ53" s="159">
        <v>0</v>
      </c>
      <c r="BA53" s="159">
        <v>0</v>
      </c>
      <c r="BB53" s="159">
        <v>0</v>
      </c>
      <c r="BC53" s="159">
        <v>0</v>
      </c>
      <c r="BD53" s="159">
        <v>0</v>
      </c>
      <c r="BE53" s="159">
        <v>0</v>
      </c>
      <c r="BF53" s="159">
        <v>0</v>
      </c>
      <c r="BG53" s="159">
        <v>0</v>
      </c>
      <c r="BH53" s="159">
        <v>0</v>
      </c>
      <c r="BI53" s="159">
        <v>0</v>
      </c>
      <c r="BJ53" s="159">
        <v>0</v>
      </c>
      <c r="BK53" s="159">
        <v>0</v>
      </c>
      <c r="BL53" s="159">
        <v>0</v>
      </c>
      <c r="BM53" s="159">
        <v>0</v>
      </c>
      <c r="BN53" s="159">
        <v>0</v>
      </c>
      <c r="BO53" s="159">
        <v>0</v>
      </c>
      <c r="BP53" s="159">
        <v>0</v>
      </c>
      <c r="BQ53" s="159">
        <v>0</v>
      </c>
      <c r="BR53" s="159">
        <v>0</v>
      </c>
      <c r="BS53" s="159">
        <v>0</v>
      </c>
      <c r="BT53" s="159">
        <v>0</v>
      </c>
      <c r="BU53" s="159">
        <v>0</v>
      </c>
      <c r="BV53" s="159">
        <v>0</v>
      </c>
      <c r="BW53" s="159">
        <v>0</v>
      </c>
      <c r="BX53" s="159">
        <v>0</v>
      </c>
      <c r="BY53" s="159">
        <v>0</v>
      </c>
      <c r="BZ53" s="159">
        <v>0</v>
      </c>
      <c r="CA53" s="159">
        <v>0</v>
      </c>
      <c r="CB53" s="159">
        <v>0</v>
      </c>
      <c r="CC53" s="159">
        <v>0</v>
      </c>
      <c r="CD53" s="159">
        <v>0</v>
      </c>
      <c r="CE53" s="159">
        <v>0</v>
      </c>
      <c r="CF53" s="159">
        <v>0</v>
      </c>
      <c r="CG53" s="159">
        <v>0</v>
      </c>
      <c r="CH53" s="159">
        <v>0</v>
      </c>
      <c r="CI53" s="159">
        <v>0</v>
      </c>
      <c r="CJ53" s="159">
        <v>0</v>
      </c>
      <c r="CK53" s="159">
        <v>0</v>
      </c>
      <c r="CL53" s="159">
        <v>0</v>
      </c>
      <c r="CM53" s="159">
        <v>0</v>
      </c>
      <c r="CN53" s="159">
        <v>0</v>
      </c>
      <c r="CO53" s="159">
        <v>0</v>
      </c>
      <c r="CP53" s="159">
        <v>0</v>
      </c>
      <c r="CQ53" s="159">
        <v>0</v>
      </c>
      <c r="CR53" s="159">
        <v>0</v>
      </c>
      <c r="CS53" s="159">
        <v>0</v>
      </c>
      <c r="CT53" s="159">
        <v>0</v>
      </c>
      <c r="CU53" s="159">
        <v>0</v>
      </c>
      <c r="CV53" s="159">
        <v>0</v>
      </c>
      <c r="CW53" s="159">
        <v>0</v>
      </c>
      <c r="CX53" s="159">
        <v>0</v>
      </c>
      <c r="CY53" s="159">
        <v>0</v>
      </c>
      <c r="CZ53" s="159">
        <v>0</v>
      </c>
      <c r="DA53" s="159">
        <v>0</v>
      </c>
      <c r="DB53" s="159">
        <v>0</v>
      </c>
      <c r="DC53" s="159">
        <v>0</v>
      </c>
      <c r="DD53" s="159">
        <v>0</v>
      </c>
      <c r="DE53" s="159">
        <v>0</v>
      </c>
      <c r="DF53" s="159">
        <v>0</v>
      </c>
      <c r="DG53" s="159">
        <v>0</v>
      </c>
      <c r="DH53" s="159">
        <v>0</v>
      </c>
      <c r="DI53" s="159">
        <v>0</v>
      </c>
      <c r="DJ53" s="159">
        <v>0</v>
      </c>
      <c r="DK53" s="159">
        <v>0</v>
      </c>
      <c r="DL53" s="159">
        <v>0</v>
      </c>
      <c r="DM53" s="159">
        <v>0</v>
      </c>
      <c r="DN53" s="159">
        <v>0</v>
      </c>
      <c r="DO53" s="159">
        <v>0</v>
      </c>
      <c r="DP53" s="159">
        <v>0</v>
      </c>
      <c r="DQ53" s="159">
        <v>0</v>
      </c>
      <c r="DR53" s="159">
        <v>0</v>
      </c>
      <c r="DS53" s="159">
        <v>0</v>
      </c>
      <c r="DT53" s="159">
        <v>0</v>
      </c>
      <c r="DU53" s="159">
        <v>0</v>
      </c>
      <c r="DV53" s="159">
        <v>0</v>
      </c>
      <c r="DW53" s="159">
        <v>0</v>
      </c>
      <c r="DX53" s="159">
        <v>0</v>
      </c>
      <c r="DY53" s="159">
        <v>0</v>
      </c>
      <c r="DZ53">
        <v>0</v>
      </c>
      <c r="EA53">
        <v>0</v>
      </c>
    </row>
    <row r="54" spans="10:131" x14ac:dyDescent="0.25">
      <c r="J54" t="str">
        <v>Press Opening Value</v>
      </c>
      <c r="K54">
        <v>0</v>
      </c>
      <c r="L54" s="159">
        <v>10000</v>
      </c>
      <c r="M54" s="159">
        <v>8499.9699999999993</v>
      </c>
      <c r="N54" s="159">
        <v>6800.03</v>
      </c>
      <c r="O54" s="159">
        <v>5439.9699999999993</v>
      </c>
      <c r="P54" s="159">
        <v>4352.03</v>
      </c>
      <c r="Q54" s="159">
        <v>3481.57</v>
      </c>
      <c r="R54" s="159">
        <v>2785.3099999999986</v>
      </c>
      <c r="S54" s="159">
        <v>2228.2299999999973</v>
      </c>
      <c r="T54" s="159">
        <v>1782.6019999999967</v>
      </c>
      <c r="U54" s="159">
        <v>1426.0815999999959</v>
      </c>
      <c r="V54" s="159">
        <v>710.55727999999499</v>
      </c>
      <c r="W54" s="159">
        <v>499.99999999999886</v>
      </c>
      <c r="X54" s="159">
        <v>0</v>
      </c>
      <c r="Y54" s="159">
        <v>0</v>
      </c>
      <c r="Z54" s="159">
        <v>0</v>
      </c>
      <c r="AA54" s="159">
        <v>0</v>
      </c>
      <c r="AB54" s="159">
        <v>0</v>
      </c>
      <c r="AC54" s="159">
        <v>0</v>
      </c>
      <c r="AD54" s="159">
        <v>0</v>
      </c>
      <c r="AE54" s="159">
        <v>0</v>
      </c>
      <c r="AF54" s="159">
        <v>0</v>
      </c>
      <c r="AG54" s="159">
        <v>0</v>
      </c>
      <c r="AH54" s="159">
        <v>0</v>
      </c>
      <c r="AI54" s="159">
        <v>0</v>
      </c>
      <c r="AJ54" s="159">
        <v>0</v>
      </c>
      <c r="AK54" s="159">
        <v>0</v>
      </c>
      <c r="AL54" s="159">
        <v>0</v>
      </c>
      <c r="AM54" s="159">
        <v>0</v>
      </c>
      <c r="AN54" s="159">
        <v>0</v>
      </c>
      <c r="AO54" s="159">
        <v>0</v>
      </c>
      <c r="AP54" s="159">
        <v>0</v>
      </c>
      <c r="AQ54" s="159">
        <v>0</v>
      </c>
      <c r="AR54" s="159">
        <v>0</v>
      </c>
      <c r="AS54" s="159">
        <v>0</v>
      </c>
      <c r="AT54" s="159">
        <v>0</v>
      </c>
      <c r="AU54" s="159">
        <v>0</v>
      </c>
      <c r="AV54" s="159">
        <v>0</v>
      </c>
      <c r="AW54" s="159">
        <v>0</v>
      </c>
      <c r="AX54" s="159">
        <v>0</v>
      </c>
      <c r="AY54" s="159">
        <v>0</v>
      </c>
      <c r="AZ54" s="159">
        <v>0</v>
      </c>
      <c r="BA54" s="159">
        <v>0</v>
      </c>
      <c r="BB54" s="159">
        <v>0</v>
      </c>
      <c r="BC54" s="159">
        <v>0</v>
      </c>
      <c r="BD54" s="159">
        <v>0</v>
      </c>
      <c r="BE54" s="159">
        <v>0</v>
      </c>
      <c r="BF54" s="159">
        <v>0</v>
      </c>
      <c r="BG54" s="159">
        <v>0</v>
      </c>
      <c r="BH54" s="159">
        <v>0</v>
      </c>
      <c r="BI54" s="159">
        <v>0</v>
      </c>
      <c r="BJ54" s="159">
        <v>0</v>
      </c>
      <c r="BK54" s="159">
        <v>0</v>
      </c>
      <c r="BL54" s="159">
        <v>0</v>
      </c>
      <c r="BM54" s="159">
        <v>0</v>
      </c>
      <c r="BN54" s="159">
        <v>0</v>
      </c>
      <c r="BO54" s="159">
        <v>0</v>
      </c>
      <c r="BP54" s="159">
        <v>0</v>
      </c>
      <c r="BQ54" s="159">
        <v>0</v>
      </c>
      <c r="BR54" s="159">
        <v>0</v>
      </c>
      <c r="BS54" s="159">
        <v>0</v>
      </c>
      <c r="BT54" s="159">
        <v>0</v>
      </c>
      <c r="BU54" s="159">
        <v>0</v>
      </c>
      <c r="BV54" s="159">
        <v>0</v>
      </c>
      <c r="BW54" s="159">
        <v>0</v>
      </c>
      <c r="BX54" s="159">
        <v>0</v>
      </c>
      <c r="BY54" s="159">
        <v>0</v>
      </c>
      <c r="BZ54" s="159">
        <v>0</v>
      </c>
      <c r="CA54" s="159">
        <v>0</v>
      </c>
      <c r="CB54" s="159">
        <v>0</v>
      </c>
      <c r="CC54" s="159">
        <v>0</v>
      </c>
      <c r="CD54" s="159">
        <v>0</v>
      </c>
      <c r="CE54" s="159">
        <v>0</v>
      </c>
      <c r="CF54" s="159">
        <v>0</v>
      </c>
      <c r="CG54" s="159">
        <v>0</v>
      </c>
      <c r="CH54" s="159">
        <v>0</v>
      </c>
      <c r="CI54" s="159">
        <v>0</v>
      </c>
      <c r="CJ54" s="159">
        <v>0</v>
      </c>
      <c r="CK54" s="159">
        <v>0</v>
      </c>
      <c r="CL54" s="159">
        <v>0</v>
      </c>
      <c r="CM54" s="159">
        <v>0</v>
      </c>
      <c r="CN54" s="159">
        <v>0</v>
      </c>
      <c r="CO54" s="159">
        <v>0</v>
      </c>
      <c r="CP54" s="159">
        <v>0</v>
      </c>
      <c r="CQ54" s="159">
        <v>0</v>
      </c>
      <c r="CR54" s="159">
        <v>0</v>
      </c>
      <c r="CS54" s="159">
        <v>0</v>
      </c>
      <c r="CT54" s="159">
        <v>0</v>
      </c>
      <c r="CU54" s="159">
        <v>0</v>
      </c>
      <c r="CV54" s="159">
        <v>0</v>
      </c>
      <c r="CW54" s="159">
        <v>0</v>
      </c>
      <c r="CX54" s="159">
        <v>0</v>
      </c>
      <c r="CY54" s="159">
        <v>0</v>
      </c>
      <c r="CZ54" s="159">
        <v>0</v>
      </c>
      <c r="DA54" s="159">
        <v>0</v>
      </c>
      <c r="DB54" s="159">
        <v>0</v>
      </c>
      <c r="DC54" s="159">
        <v>0</v>
      </c>
      <c r="DD54" s="159">
        <v>0</v>
      </c>
      <c r="DE54" s="159">
        <v>0</v>
      </c>
      <c r="DF54" s="159">
        <v>0</v>
      </c>
      <c r="DG54" s="159">
        <v>0</v>
      </c>
      <c r="DH54" s="159">
        <v>0</v>
      </c>
      <c r="DI54" s="159">
        <v>0</v>
      </c>
      <c r="DJ54" s="159">
        <v>0</v>
      </c>
      <c r="DK54" s="159">
        <v>0</v>
      </c>
      <c r="DL54" s="159">
        <v>0</v>
      </c>
      <c r="DM54" s="159">
        <v>0</v>
      </c>
      <c r="DN54" s="159">
        <v>0</v>
      </c>
      <c r="DO54" s="159">
        <v>0</v>
      </c>
      <c r="DP54" s="159">
        <v>0</v>
      </c>
      <c r="DQ54" s="159">
        <v>0</v>
      </c>
      <c r="DR54" s="159">
        <v>0</v>
      </c>
      <c r="DS54" s="159">
        <v>0</v>
      </c>
      <c r="DT54" s="159">
        <v>0</v>
      </c>
      <c r="DU54" s="159">
        <v>0</v>
      </c>
      <c r="DV54" s="159">
        <v>0</v>
      </c>
      <c r="DW54" s="159">
        <v>0</v>
      </c>
      <c r="DX54" s="159">
        <v>0</v>
      </c>
      <c r="DY54" s="159">
        <v>0</v>
      </c>
      <c r="DZ54">
        <v>0</v>
      </c>
      <c r="EA54">
        <v>0</v>
      </c>
    </row>
    <row r="55" spans="10:131" x14ac:dyDescent="0.25">
      <c r="J55" t="str">
        <v>Press Depreciation</v>
      </c>
      <c r="K55">
        <v>9999.9999999999982</v>
      </c>
      <c r="L55" s="159">
        <v>1500.03</v>
      </c>
      <c r="M55" s="159">
        <v>1699.9399999999996</v>
      </c>
      <c r="N55" s="159">
        <v>1360.0600000000002</v>
      </c>
      <c r="O55" s="159">
        <v>1087.9400000000005</v>
      </c>
      <c r="P55" s="159">
        <v>870.45999999999992</v>
      </c>
      <c r="Q55" s="159">
        <v>696.26000000000056</v>
      </c>
      <c r="R55" s="159">
        <v>557.08000000000038</v>
      </c>
      <c r="S55" s="159">
        <v>445.62800000000027</v>
      </c>
      <c r="T55" s="159">
        <v>356.52040000000034</v>
      </c>
      <c r="U55" s="159">
        <v>715.52432000000044</v>
      </c>
      <c r="V55" s="159">
        <v>210.55727999999601</v>
      </c>
      <c r="W55" s="159">
        <v>500</v>
      </c>
      <c r="X55" s="159">
        <v>0</v>
      </c>
      <c r="Y55" s="159">
        <v>0</v>
      </c>
      <c r="Z55" s="159">
        <v>0</v>
      </c>
      <c r="AA55" s="159">
        <v>0</v>
      </c>
      <c r="AB55" s="159">
        <v>0</v>
      </c>
      <c r="AC55" s="159">
        <v>0</v>
      </c>
      <c r="AD55" s="159">
        <v>0</v>
      </c>
      <c r="AE55" s="159">
        <v>0</v>
      </c>
      <c r="AF55" s="159">
        <v>0</v>
      </c>
      <c r="AG55" s="159">
        <v>0</v>
      </c>
      <c r="AH55" s="159">
        <v>0</v>
      </c>
      <c r="AI55" s="159">
        <v>0</v>
      </c>
      <c r="AJ55" s="159">
        <v>0</v>
      </c>
      <c r="AK55" s="159">
        <v>0</v>
      </c>
      <c r="AL55" s="159">
        <v>0</v>
      </c>
      <c r="AM55" s="159">
        <v>0</v>
      </c>
      <c r="AN55" s="159">
        <v>0</v>
      </c>
      <c r="AO55" s="159">
        <v>0</v>
      </c>
      <c r="AP55" s="159">
        <v>0</v>
      </c>
      <c r="AQ55" s="159">
        <v>0</v>
      </c>
      <c r="AR55" s="159">
        <v>0</v>
      </c>
      <c r="AS55" s="159">
        <v>0</v>
      </c>
      <c r="AT55" s="159">
        <v>0</v>
      </c>
      <c r="AU55" s="159">
        <v>0</v>
      </c>
      <c r="AV55" s="159">
        <v>0</v>
      </c>
      <c r="AW55" s="159">
        <v>0</v>
      </c>
      <c r="AX55" s="159">
        <v>0</v>
      </c>
      <c r="AY55" s="159">
        <v>0</v>
      </c>
      <c r="AZ55" s="159">
        <v>0</v>
      </c>
      <c r="BA55" s="159">
        <v>0</v>
      </c>
      <c r="BB55" s="159">
        <v>0</v>
      </c>
      <c r="BC55" s="159">
        <v>0</v>
      </c>
      <c r="BD55" s="159">
        <v>0</v>
      </c>
      <c r="BE55" s="159">
        <v>0</v>
      </c>
      <c r="BF55" s="159">
        <v>0</v>
      </c>
      <c r="BG55" s="159">
        <v>0</v>
      </c>
      <c r="BH55" s="159">
        <v>0</v>
      </c>
      <c r="BI55" s="159">
        <v>0</v>
      </c>
      <c r="BJ55" s="159">
        <v>0</v>
      </c>
      <c r="BK55" s="159">
        <v>0</v>
      </c>
      <c r="BL55" s="159">
        <v>0</v>
      </c>
      <c r="BM55" s="159">
        <v>0</v>
      </c>
      <c r="BN55" s="159">
        <v>0</v>
      </c>
      <c r="BO55" s="159">
        <v>0</v>
      </c>
      <c r="BP55" s="159">
        <v>0</v>
      </c>
      <c r="BQ55" s="159">
        <v>0</v>
      </c>
      <c r="BR55" s="159">
        <v>0</v>
      </c>
      <c r="BS55" s="159">
        <v>0</v>
      </c>
      <c r="BT55" s="159">
        <v>0</v>
      </c>
      <c r="BU55" s="159">
        <v>0</v>
      </c>
      <c r="BV55" s="159">
        <v>0</v>
      </c>
      <c r="BW55" s="159">
        <v>0</v>
      </c>
      <c r="BX55" s="159">
        <v>0</v>
      </c>
      <c r="BY55" s="159">
        <v>0</v>
      </c>
      <c r="BZ55" s="159">
        <v>0</v>
      </c>
      <c r="CA55" s="159">
        <v>0</v>
      </c>
      <c r="CB55" s="159">
        <v>0</v>
      </c>
      <c r="CC55" s="159">
        <v>0</v>
      </c>
      <c r="CD55" s="159">
        <v>0</v>
      </c>
      <c r="CE55" s="159">
        <v>0</v>
      </c>
      <c r="CF55" s="159">
        <v>0</v>
      </c>
      <c r="CG55" s="159">
        <v>0</v>
      </c>
      <c r="CH55" s="159">
        <v>0</v>
      </c>
      <c r="CI55" s="159">
        <v>0</v>
      </c>
      <c r="CJ55" s="159">
        <v>0</v>
      </c>
      <c r="CK55" s="159">
        <v>0</v>
      </c>
      <c r="CL55" s="159">
        <v>0</v>
      </c>
      <c r="CM55" s="159">
        <v>0</v>
      </c>
      <c r="CN55" s="159">
        <v>0</v>
      </c>
      <c r="CO55" s="159">
        <v>0</v>
      </c>
      <c r="CP55" s="159">
        <v>0</v>
      </c>
      <c r="CQ55" s="159">
        <v>0</v>
      </c>
      <c r="CR55" s="159">
        <v>0</v>
      </c>
      <c r="CS55" s="159">
        <v>0</v>
      </c>
      <c r="CT55" s="159">
        <v>0</v>
      </c>
      <c r="CU55" s="159">
        <v>0</v>
      </c>
      <c r="CV55" s="159">
        <v>0</v>
      </c>
      <c r="CW55" s="159">
        <v>0</v>
      </c>
      <c r="CX55" s="159">
        <v>0</v>
      </c>
      <c r="CY55" s="159">
        <v>0</v>
      </c>
      <c r="CZ55" s="159">
        <v>0</v>
      </c>
      <c r="DA55" s="159">
        <v>0</v>
      </c>
      <c r="DB55" s="159">
        <v>0</v>
      </c>
      <c r="DC55" s="159">
        <v>0</v>
      </c>
      <c r="DD55" s="159">
        <v>0</v>
      </c>
      <c r="DE55" s="159">
        <v>0</v>
      </c>
      <c r="DF55" s="159">
        <v>0</v>
      </c>
      <c r="DG55" s="159">
        <v>0</v>
      </c>
      <c r="DH55" s="159">
        <v>0</v>
      </c>
      <c r="DI55" s="159">
        <v>0</v>
      </c>
      <c r="DJ55" s="159">
        <v>0</v>
      </c>
      <c r="DK55" s="159">
        <v>0</v>
      </c>
      <c r="DL55" s="159">
        <v>0</v>
      </c>
      <c r="DM55" s="159">
        <v>0</v>
      </c>
      <c r="DN55" s="159">
        <v>0</v>
      </c>
      <c r="DO55" s="159">
        <v>0</v>
      </c>
      <c r="DP55" s="159">
        <v>0</v>
      </c>
      <c r="DQ55" s="159">
        <v>0</v>
      </c>
      <c r="DR55" s="159">
        <v>0</v>
      </c>
      <c r="DS55" s="159">
        <v>0</v>
      </c>
      <c r="DT55" s="159">
        <v>0</v>
      </c>
      <c r="DU55" s="159">
        <v>0</v>
      </c>
      <c r="DV55" s="159">
        <v>0</v>
      </c>
      <c r="DW55" s="159">
        <v>0</v>
      </c>
      <c r="DX55" s="159">
        <v>0</v>
      </c>
      <c r="DY55" s="159">
        <v>0</v>
      </c>
      <c r="DZ55">
        <v>0</v>
      </c>
      <c r="EA55">
        <v>0</v>
      </c>
    </row>
    <row r="56" spans="10:131" x14ac:dyDescent="0.25">
      <c r="J56" t="str">
        <v>Press Book Value</v>
      </c>
      <c r="K56">
        <v>0</v>
      </c>
      <c r="L56" s="159">
        <v>8499.9699999999993</v>
      </c>
      <c r="M56" s="159">
        <v>6800.03</v>
      </c>
      <c r="N56" s="159">
        <v>5439.9699999999993</v>
      </c>
      <c r="O56" s="159">
        <v>4352.0299999999988</v>
      </c>
      <c r="P56" s="159">
        <v>3481.5699999999997</v>
      </c>
      <c r="Q56" s="159">
        <v>2785.3099999999995</v>
      </c>
      <c r="R56" s="159">
        <v>2228.2299999999982</v>
      </c>
      <c r="S56" s="159">
        <v>1782.6019999999971</v>
      </c>
      <c r="T56" s="159">
        <v>1426.0815999999963</v>
      </c>
      <c r="U56" s="159">
        <v>710.55727999999544</v>
      </c>
      <c r="V56" s="159">
        <v>499.99999999999898</v>
      </c>
      <c r="W56" s="159">
        <v>-1.1368683772161603E-12</v>
      </c>
      <c r="X56" s="159">
        <v>0</v>
      </c>
      <c r="Y56" s="159">
        <v>0</v>
      </c>
      <c r="Z56" s="159">
        <v>0</v>
      </c>
      <c r="AA56" s="159">
        <v>0</v>
      </c>
      <c r="AB56" s="159">
        <v>0</v>
      </c>
      <c r="AC56" s="159">
        <v>0</v>
      </c>
      <c r="AD56" s="159">
        <v>0</v>
      </c>
      <c r="AE56" s="159">
        <v>0</v>
      </c>
      <c r="AF56" s="159">
        <v>0</v>
      </c>
      <c r="AG56" s="159">
        <v>0</v>
      </c>
      <c r="AH56" s="159">
        <v>0</v>
      </c>
      <c r="AI56" s="159">
        <v>0</v>
      </c>
      <c r="AJ56" s="159">
        <v>0</v>
      </c>
      <c r="AK56" s="159">
        <v>0</v>
      </c>
      <c r="AL56" s="159">
        <v>0</v>
      </c>
      <c r="AM56" s="159">
        <v>0</v>
      </c>
      <c r="AN56" s="159">
        <v>0</v>
      </c>
      <c r="AO56" s="159">
        <v>0</v>
      </c>
      <c r="AP56" s="159">
        <v>0</v>
      </c>
      <c r="AQ56" s="159">
        <v>0</v>
      </c>
      <c r="AR56" s="159">
        <v>0</v>
      </c>
      <c r="AS56" s="159">
        <v>0</v>
      </c>
      <c r="AT56" s="159">
        <v>0</v>
      </c>
      <c r="AU56" s="159">
        <v>0</v>
      </c>
      <c r="AV56" s="159">
        <v>0</v>
      </c>
      <c r="AW56" s="159">
        <v>0</v>
      </c>
      <c r="AX56" s="159">
        <v>0</v>
      </c>
      <c r="AY56" s="159">
        <v>0</v>
      </c>
      <c r="AZ56" s="159">
        <v>0</v>
      </c>
      <c r="BA56" s="159">
        <v>0</v>
      </c>
      <c r="BB56" s="159">
        <v>0</v>
      </c>
      <c r="BC56" s="159">
        <v>0</v>
      </c>
      <c r="BD56" s="159">
        <v>0</v>
      </c>
      <c r="BE56" s="159">
        <v>0</v>
      </c>
      <c r="BF56" s="159">
        <v>0</v>
      </c>
      <c r="BG56" s="159">
        <v>0</v>
      </c>
      <c r="BH56" s="159">
        <v>0</v>
      </c>
      <c r="BI56" s="159">
        <v>0</v>
      </c>
      <c r="BJ56" s="159">
        <v>0</v>
      </c>
      <c r="BK56" s="159">
        <v>0</v>
      </c>
      <c r="BL56" s="159">
        <v>0</v>
      </c>
      <c r="BM56" s="159">
        <v>0</v>
      </c>
      <c r="BN56" s="159">
        <v>0</v>
      </c>
      <c r="BO56" s="159">
        <v>0</v>
      </c>
      <c r="BP56" s="159">
        <v>0</v>
      </c>
      <c r="BQ56" s="159">
        <v>0</v>
      </c>
      <c r="BR56" s="159">
        <v>0</v>
      </c>
      <c r="BS56" s="159">
        <v>0</v>
      </c>
      <c r="BT56" s="159">
        <v>0</v>
      </c>
      <c r="BU56" s="159">
        <v>0</v>
      </c>
      <c r="BV56" s="159">
        <v>0</v>
      </c>
      <c r="BW56" s="159">
        <v>0</v>
      </c>
      <c r="BX56" s="159">
        <v>0</v>
      </c>
      <c r="BY56" s="159">
        <v>0</v>
      </c>
      <c r="BZ56" s="159">
        <v>0</v>
      </c>
      <c r="CA56" s="159">
        <v>0</v>
      </c>
      <c r="CB56" s="159">
        <v>0</v>
      </c>
      <c r="CC56" s="159">
        <v>0</v>
      </c>
      <c r="CD56" s="159">
        <v>0</v>
      </c>
      <c r="CE56" s="159">
        <v>0</v>
      </c>
      <c r="CF56" s="159">
        <v>0</v>
      </c>
      <c r="CG56" s="159">
        <v>0</v>
      </c>
      <c r="CH56" s="159">
        <v>0</v>
      </c>
      <c r="CI56" s="159">
        <v>0</v>
      </c>
      <c r="CJ56" s="159">
        <v>0</v>
      </c>
      <c r="CK56" s="159">
        <v>0</v>
      </c>
      <c r="CL56" s="159">
        <v>0</v>
      </c>
      <c r="CM56" s="159">
        <v>0</v>
      </c>
      <c r="CN56" s="159">
        <v>0</v>
      </c>
      <c r="CO56" s="159">
        <v>0</v>
      </c>
      <c r="CP56" s="159">
        <v>0</v>
      </c>
      <c r="CQ56" s="159">
        <v>0</v>
      </c>
      <c r="CR56" s="159">
        <v>0</v>
      </c>
      <c r="CS56" s="159">
        <v>0</v>
      </c>
      <c r="CT56" s="159">
        <v>0</v>
      </c>
      <c r="CU56" s="159">
        <v>0</v>
      </c>
      <c r="CV56" s="159">
        <v>0</v>
      </c>
      <c r="CW56" s="159">
        <v>0</v>
      </c>
      <c r="CX56" s="159">
        <v>0</v>
      </c>
      <c r="CY56" s="159">
        <v>0</v>
      </c>
      <c r="CZ56" s="159">
        <v>0</v>
      </c>
      <c r="DA56" s="159">
        <v>0</v>
      </c>
      <c r="DB56" s="159">
        <v>0</v>
      </c>
      <c r="DC56" s="159">
        <v>0</v>
      </c>
      <c r="DD56" s="159">
        <v>0</v>
      </c>
      <c r="DE56" s="159">
        <v>0</v>
      </c>
      <c r="DF56" s="159">
        <v>0</v>
      </c>
      <c r="DG56" s="159">
        <v>0</v>
      </c>
      <c r="DH56" s="159">
        <v>0</v>
      </c>
      <c r="DI56" s="159">
        <v>0</v>
      </c>
      <c r="DJ56" s="159">
        <v>0</v>
      </c>
      <c r="DK56" s="159">
        <v>0</v>
      </c>
      <c r="DL56" s="159">
        <v>0</v>
      </c>
      <c r="DM56" s="159">
        <v>0</v>
      </c>
      <c r="DN56" s="159">
        <v>0</v>
      </c>
      <c r="DO56" s="159">
        <v>0</v>
      </c>
      <c r="DP56" s="159">
        <v>0</v>
      </c>
      <c r="DQ56" s="159">
        <v>0</v>
      </c>
      <c r="DR56" s="159">
        <v>0</v>
      </c>
      <c r="DS56" s="159">
        <v>0</v>
      </c>
      <c r="DT56" s="159">
        <v>0</v>
      </c>
      <c r="DU56" s="159">
        <v>0</v>
      </c>
      <c r="DV56" s="159">
        <v>0</v>
      </c>
      <c r="DW56" s="159">
        <v>0</v>
      </c>
      <c r="DX56" s="159">
        <v>0</v>
      </c>
      <c r="DY56" s="159">
        <v>0</v>
      </c>
      <c r="DZ56">
        <v>0</v>
      </c>
      <c r="EA56">
        <v>0</v>
      </c>
    </row>
    <row r="57" spans="10:131" x14ac:dyDescent="0.25">
      <c r="J57" t="str">
        <v>Press Revenue from Sale</v>
      </c>
      <c r="K57">
        <v>500</v>
      </c>
      <c r="L57" s="159">
        <v>0</v>
      </c>
      <c r="M57" s="159">
        <v>0</v>
      </c>
      <c r="N57" s="159">
        <v>0</v>
      </c>
      <c r="O57" s="159">
        <v>0</v>
      </c>
      <c r="P57" s="159">
        <v>0</v>
      </c>
      <c r="Q57" s="159">
        <v>0</v>
      </c>
      <c r="R57" s="159">
        <v>0</v>
      </c>
      <c r="S57" s="159">
        <v>0</v>
      </c>
      <c r="T57" s="159">
        <v>0</v>
      </c>
      <c r="U57" s="159">
        <v>0</v>
      </c>
      <c r="V57" s="159">
        <v>0</v>
      </c>
      <c r="W57" s="159">
        <v>500</v>
      </c>
      <c r="X57" s="159">
        <v>0</v>
      </c>
      <c r="Y57" s="159">
        <v>0</v>
      </c>
      <c r="Z57" s="159">
        <v>0</v>
      </c>
      <c r="AA57" s="159">
        <v>0</v>
      </c>
      <c r="AB57" s="159">
        <v>0</v>
      </c>
      <c r="AC57" s="159">
        <v>0</v>
      </c>
      <c r="AD57" s="159">
        <v>0</v>
      </c>
      <c r="AE57" s="159">
        <v>0</v>
      </c>
      <c r="AF57" s="159">
        <v>0</v>
      </c>
      <c r="AG57" s="159">
        <v>0</v>
      </c>
      <c r="AH57" s="159">
        <v>0</v>
      </c>
      <c r="AI57" s="159">
        <v>0</v>
      </c>
      <c r="AJ57" s="159">
        <v>0</v>
      </c>
      <c r="AK57" s="159">
        <v>0</v>
      </c>
      <c r="AL57" s="159">
        <v>0</v>
      </c>
      <c r="AM57" s="159">
        <v>0</v>
      </c>
      <c r="AN57" s="159">
        <v>0</v>
      </c>
      <c r="AO57" s="159">
        <v>0</v>
      </c>
      <c r="AP57" s="159">
        <v>0</v>
      </c>
      <c r="AQ57" s="159">
        <v>0</v>
      </c>
      <c r="AR57" s="159">
        <v>0</v>
      </c>
      <c r="AS57" s="159">
        <v>0</v>
      </c>
      <c r="AT57" s="159">
        <v>0</v>
      </c>
      <c r="AU57" s="159">
        <v>0</v>
      </c>
      <c r="AV57" s="159">
        <v>0</v>
      </c>
      <c r="AW57" s="159">
        <v>0</v>
      </c>
      <c r="AX57" s="159">
        <v>0</v>
      </c>
      <c r="AY57" s="159">
        <v>0</v>
      </c>
      <c r="AZ57" s="159">
        <v>0</v>
      </c>
      <c r="BA57" s="159">
        <v>0</v>
      </c>
      <c r="BB57" s="159">
        <v>0</v>
      </c>
      <c r="BC57" s="159">
        <v>0</v>
      </c>
      <c r="BD57" s="159">
        <v>0</v>
      </c>
      <c r="BE57" s="159">
        <v>0</v>
      </c>
      <c r="BF57" s="159">
        <v>0</v>
      </c>
      <c r="BG57" s="159">
        <v>0</v>
      </c>
      <c r="BH57" s="159">
        <v>0</v>
      </c>
      <c r="BI57" s="159">
        <v>0</v>
      </c>
      <c r="BJ57" s="159">
        <v>0</v>
      </c>
      <c r="BK57" s="159">
        <v>0</v>
      </c>
      <c r="BL57" s="159">
        <v>0</v>
      </c>
      <c r="BM57" s="159">
        <v>0</v>
      </c>
      <c r="BN57" s="159">
        <v>0</v>
      </c>
      <c r="BO57" s="159">
        <v>0</v>
      </c>
      <c r="BP57" s="159">
        <v>0</v>
      </c>
      <c r="BQ57" s="159">
        <v>0</v>
      </c>
      <c r="BR57" s="159">
        <v>0</v>
      </c>
      <c r="BS57" s="159">
        <v>0</v>
      </c>
      <c r="BT57" s="159">
        <v>0</v>
      </c>
      <c r="BU57" s="159">
        <v>0</v>
      </c>
      <c r="BV57" s="159">
        <v>0</v>
      </c>
      <c r="BW57" s="159">
        <v>0</v>
      </c>
      <c r="BX57" s="159">
        <v>0</v>
      </c>
      <c r="BY57" s="159">
        <v>0</v>
      </c>
      <c r="BZ57" s="159">
        <v>0</v>
      </c>
      <c r="CA57" s="159">
        <v>0</v>
      </c>
      <c r="CB57" s="159">
        <v>0</v>
      </c>
      <c r="CC57" s="159">
        <v>0</v>
      </c>
      <c r="CD57" s="159">
        <v>0</v>
      </c>
      <c r="CE57" s="159">
        <v>0</v>
      </c>
      <c r="CF57" s="159">
        <v>0</v>
      </c>
      <c r="CG57" s="159">
        <v>0</v>
      </c>
      <c r="CH57" s="159">
        <v>0</v>
      </c>
      <c r="CI57" s="159">
        <v>0</v>
      </c>
      <c r="CJ57" s="159">
        <v>0</v>
      </c>
      <c r="CK57" s="159">
        <v>0</v>
      </c>
      <c r="CL57" s="159">
        <v>0</v>
      </c>
      <c r="CM57" s="159">
        <v>0</v>
      </c>
      <c r="CN57" s="159">
        <v>0</v>
      </c>
      <c r="CO57" s="159">
        <v>0</v>
      </c>
      <c r="CP57" s="159">
        <v>0</v>
      </c>
      <c r="CQ57" s="159">
        <v>0</v>
      </c>
      <c r="CR57" s="159">
        <v>0</v>
      </c>
      <c r="CS57" s="159">
        <v>0</v>
      </c>
      <c r="CT57" s="159">
        <v>0</v>
      </c>
      <c r="CU57" s="159">
        <v>0</v>
      </c>
      <c r="CV57" s="159">
        <v>0</v>
      </c>
      <c r="CW57" s="159">
        <v>0</v>
      </c>
      <c r="CX57" s="159">
        <v>0</v>
      </c>
      <c r="CY57" s="159">
        <v>0</v>
      </c>
      <c r="CZ57" s="159">
        <v>0</v>
      </c>
      <c r="DA57" s="159">
        <v>0</v>
      </c>
      <c r="DB57" s="159">
        <v>0</v>
      </c>
      <c r="DC57" s="159">
        <v>0</v>
      </c>
      <c r="DD57" s="159">
        <v>0</v>
      </c>
      <c r="DE57" s="159">
        <v>0</v>
      </c>
      <c r="DF57" s="159">
        <v>0</v>
      </c>
      <c r="DG57" s="159">
        <v>0</v>
      </c>
      <c r="DH57" s="159">
        <v>0</v>
      </c>
      <c r="DI57" s="159">
        <v>0</v>
      </c>
      <c r="DJ57" s="159">
        <v>0</v>
      </c>
      <c r="DK57" s="159">
        <v>0</v>
      </c>
      <c r="DL57" s="159">
        <v>0</v>
      </c>
      <c r="DM57" s="159">
        <v>0</v>
      </c>
      <c r="DN57" s="159">
        <v>0</v>
      </c>
      <c r="DO57" s="159">
        <v>0</v>
      </c>
      <c r="DP57" s="159">
        <v>0</v>
      </c>
      <c r="DQ57" s="159">
        <v>0</v>
      </c>
      <c r="DR57" s="159">
        <v>0</v>
      </c>
      <c r="DS57" s="159">
        <v>0</v>
      </c>
      <c r="DT57" s="159">
        <v>0</v>
      </c>
      <c r="DU57" s="159">
        <v>0</v>
      </c>
      <c r="DV57" s="159">
        <v>0</v>
      </c>
      <c r="DW57" s="159">
        <v>0</v>
      </c>
      <c r="DX57" s="159">
        <v>0</v>
      </c>
      <c r="DY57" s="159">
        <v>0</v>
      </c>
      <c r="DZ57">
        <v>0</v>
      </c>
      <c r="EA57">
        <v>0</v>
      </c>
    </row>
    <row r="58" spans="10:131" x14ac:dyDescent="0.25">
      <c r="J58" t="str">
        <v>Press Disposal Costs</v>
      </c>
      <c r="K58">
        <v>100</v>
      </c>
      <c r="L58" s="159">
        <v>0</v>
      </c>
      <c r="M58" s="159">
        <v>0</v>
      </c>
      <c r="N58" s="159">
        <v>0</v>
      </c>
      <c r="O58" s="159">
        <v>0</v>
      </c>
      <c r="P58" s="159">
        <v>0</v>
      </c>
      <c r="Q58" s="159">
        <v>0</v>
      </c>
      <c r="R58" s="159">
        <v>0</v>
      </c>
      <c r="S58" s="159">
        <v>0</v>
      </c>
      <c r="T58" s="159">
        <v>0</v>
      </c>
      <c r="U58" s="159">
        <v>0</v>
      </c>
      <c r="V58" s="159">
        <v>0</v>
      </c>
      <c r="W58" s="159">
        <v>100</v>
      </c>
      <c r="X58" s="159">
        <v>0</v>
      </c>
      <c r="Y58" s="159">
        <v>0</v>
      </c>
      <c r="Z58" s="159">
        <v>0</v>
      </c>
      <c r="AA58" s="159">
        <v>0</v>
      </c>
      <c r="AB58" s="159">
        <v>0</v>
      </c>
      <c r="AC58" s="159">
        <v>0</v>
      </c>
      <c r="AD58" s="159">
        <v>0</v>
      </c>
      <c r="AE58" s="159">
        <v>0</v>
      </c>
      <c r="AF58" s="159">
        <v>0</v>
      </c>
      <c r="AG58" s="159">
        <v>0</v>
      </c>
      <c r="AH58" s="159">
        <v>0</v>
      </c>
      <c r="AI58" s="159">
        <v>0</v>
      </c>
      <c r="AJ58" s="159">
        <v>0</v>
      </c>
      <c r="AK58" s="159">
        <v>0</v>
      </c>
      <c r="AL58" s="159">
        <v>0</v>
      </c>
      <c r="AM58" s="159">
        <v>0</v>
      </c>
      <c r="AN58" s="159">
        <v>0</v>
      </c>
      <c r="AO58" s="159">
        <v>0</v>
      </c>
      <c r="AP58" s="159">
        <v>0</v>
      </c>
      <c r="AQ58" s="159">
        <v>0</v>
      </c>
      <c r="AR58" s="159">
        <v>0</v>
      </c>
      <c r="AS58" s="159">
        <v>0</v>
      </c>
      <c r="AT58" s="159">
        <v>0</v>
      </c>
      <c r="AU58" s="159">
        <v>0</v>
      </c>
      <c r="AV58" s="159">
        <v>0</v>
      </c>
      <c r="AW58" s="159">
        <v>0</v>
      </c>
      <c r="AX58" s="159">
        <v>0</v>
      </c>
      <c r="AY58" s="159">
        <v>0</v>
      </c>
      <c r="AZ58" s="159">
        <v>0</v>
      </c>
      <c r="BA58" s="159">
        <v>0</v>
      </c>
      <c r="BB58" s="159">
        <v>0</v>
      </c>
      <c r="BC58" s="159">
        <v>0</v>
      </c>
      <c r="BD58" s="159">
        <v>0</v>
      </c>
      <c r="BE58" s="159">
        <v>0</v>
      </c>
      <c r="BF58" s="159">
        <v>0</v>
      </c>
      <c r="BG58" s="159">
        <v>0</v>
      </c>
      <c r="BH58" s="159">
        <v>0</v>
      </c>
      <c r="BI58" s="159">
        <v>0</v>
      </c>
      <c r="BJ58" s="159">
        <v>0</v>
      </c>
      <c r="BK58" s="159">
        <v>0</v>
      </c>
      <c r="BL58" s="159">
        <v>0</v>
      </c>
      <c r="BM58" s="159">
        <v>0</v>
      </c>
      <c r="BN58" s="159">
        <v>0</v>
      </c>
      <c r="BO58" s="159">
        <v>0</v>
      </c>
      <c r="BP58" s="159">
        <v>0</v>
      </c>
      <c r="BQ58" s="159">
        <v>0</v>
      </c>
      <c r="BR58" s="159">
        <v>0</v>
      </c>
      <c r="BS58" s="159">
        <v>0</v>
      </c>
      <c r="BT58" s="159">
        <v>0</v>
      </c>
      <c r="BU58" s="159">
        <v>0</v>
      </c>
      <c r="BV58" s="159">
        <v>0</v>
      </c>
      <c r="BW58" s="159">
        <v>0</v>
      </c>
      <c r="BX58" s="159">
        <v>0</v>
      </c>
      <c r="BY58" s="159">
        <v>0</v>
      </c>
      <c r="BZ58" s="159">
        <v>0</v>
      </c>
      <c r="CA58" s="159">
        <v>0</v>
      </c>
      <c r="CB58" s="159">
        <v>0</v>
      </c>
      <c r="CC58" s="159">
        <v>0</v>
      </c>
      <c r="CD58" s="159">
        <v>0</v>
      </c>
      <c r="CE58" s="159">
        <v>0</v>
      </c>
      <c r="CF58" s="159">
        <v>0</v>
      </c>
      <c r="CG58" s="159">
        <v>0</v>
      </c>
      <c r="CH58" s="159">
        <v>0</v>
      </c>
      <c r="CI58" s="159">
        <v>0</v>
      </c>
      <c r="CJ58" s="159">
        <v>0</v>
      </c>
      <c r="CK58" s="159">
        <v>0</v>
      </c>
      <c r="CL58" s="159">
        <v>0</v>
      </c>
      <c r="CM58" s="159">
        <v>0</v>
      </c>
      <c r="CN58" s="159">
        <v>0</v>
      </c>
      <c r="CO58" s="159">
        <v>0</v>
      </c>
      <c r="CP58" s="159">
        <v>0</v>
      </c>
      <c r="CQ58" s="159">
        <v>0</v>
      </c>
      <c r="CR58" s="159">
        <v>0</v>
      </c>
      <c r="CS58" s="159">
        <v>0</v>
      </c>
      <c r="CT58" s="159">
        <v>0</v>
      </c>
      <c r="CU58" s="159">
        <v>0</v>
      </c>
      <c r="CV58" s="159">
        <v>0</v>
      </c>
      <c r="CW58" s="159">
        <v>0</v>
      </c>
      <c r="CX58" s="159">
        <v>0</v>
      </c>
      <c r="CY58" s="159">
        <v>0</v>
      </c>
      <c r="CZ58" s="159">
        <v>0</v>
      </c>
      <c r="DA58" s="159">
        <v>0</v>
      </c>
      <c r="DB58" s="159">
        <v>0</v>
      </c>
      <c r="DC58" s="159">
        <v>0</v>
      </c>
      <c r="DD58" s="159">
        <v>0</v>
      </c>
      <c r="DE58" s="159">
        <v>0</v>
      </c>
      <c r="DF58" s="159">
        <v>0</v>
      </c>
      <c r="DG58" s="159">
        <v>0</v>
      </c>
      <c r="DH58" s="159">
        <v>0</v>
      </c>
      <c r="DI58" s="159">
        <v>0</v>
      </c>
      <c r="DJ58" s="159">
        <v>0</v>
      </c>
      <c r="DK58" s="159">
        <v>0</v>
      </c>
      <c r="DL58" s="159">
        <v>0</v>
      </c>
      <c r="DM58" s="159">
        <v>0</v>
      </c>
      <c r="DN58" s="159">
        <v>0</v>
      </c>
      <c r="DO58" s="159">
        <v>0</v>
      </c>
      <c r="DP58" s="159">
        <v>0</v>
      </c>
      <c r="DQ58" s="159">
        <v>0</v>
      </c>
      <c r="DR58" s="159">
        <v>0</v>
      </c>
      <c r="DS58" s="159">
        <v>0</v>
      </c>
      <c r="DT58" s="159">
        <v>0</v>
      </c>
      <c r="DU58" s="159">
        <v>0</v>
      </c>
      <c r="DV58" s="159">
        <v>0</v>
      </c>
      <c r="DW58" s="159">
        <v>0</v>
      </c>
      <c r="DX58" s="159">
        <v>0</v>
      </c>
      <c r="DY58" s="159">
        <v>0</v>
      </c>
      <c r="DZ58">
        <v>0</v>
      </c>
      <c r="EA58">
        <v>0</v>
      </c>
    </row>
    <row r="59" spans="10:131" x14ac:dyDescent="0.25">
      <c r="J59" t="str">
        <v/>
      </c>
      <c r="K59">
        <v>0</v>
      </c>
      <c r="L59" s="159" t="str">
        <v/>
      </c>
      <c r="M59" s="159" t="str">
        <v/>
      </c>
      <c r="N59" s="159" t="str">
        <v/>
      </c>
      <c r="O59" s="159" t="str">
        <v/>
      </c>
      <c r="P59" s="159" t="str">
        <v/>
      </c>
      <c r="Q59" s="159" t="str">
        <v/>
      </c>
      <c r="R59" s="159" t="str">
        <v/>
      </c>
      <c r="S59" s="159" t="str">
        <v/>
      </c>
      <c r="T59" s="159" t="str">
        <v/>
      </c>
      <c r="U59" s="159" t="str">
        <v/>
      </c>
      <c r="V59" s="159" t="str">
        <v/>
      </c>
      <c r="W59" s="159" t="str">
        <v/>
      </c>
      <c r="X59" s="159" t="str">
        <v/>
      </c>
      <c r="Y59" s="159" t="str">
        <v/>
      </c>
      <c r="Z59" s="159" t="str">
        <v/>
      </c>
      <c r="AA59" s="159" t="str">
        <v/>
      </c>
      <c r="AB59" s="159" t="str">
        <v/>
      </c>
      <c r="AC59" s="159" t="str">
        <v/>
      </c>
      <c r="AD59" s="159" t="str">
        <v/>
      </c>
      <c r="AE59" s="159" t="str">
        <v/>
      </c>
      <c r="AF59" s="159" t="str">
        <v/>
      </c>
      <c r="AG59" s="159" t="str">
        <v/>
      </c>
      <c r="AH59" s="159" t="str">
        <v/>
      </c>
      <c r="AI59" s="159" t="str">
        <v/>
      </c>
      <c r="AJ59" s="159" t="str">
        <v/>
      </c>
      <c r="AK59" s="159" t="str">
        <v/>
      </c>
      <c r="AL59" s="159" t="str">
        <v/>
      </c>
      <c r="AM59" s="159" t="str">
        <v/>
      </c>
      <c r="AN59" s="159" t="str">
        <v/>
      </c>
      <c r="AO59" s="159" t="str">
        <v/>
      </c>
      <c r="AP59" s="159" t="str">
        <v/>
      </c>
      <c r="AQ59" s="159" t="str">
        <v/>
      </c>
      <c r="AR59" s="159" t="str">
        <v/>
      </c>
      <c r="AS59" s="159" t="str">
        <v/>
      </c>
      <c r="AT59" s="159" t="str">
        <v/>
      </c>
      <c r="AU59" s="159" t="str">
        <v/>
      </c>
      <c r="AV59" s="159" t="str">
        <v/>
      </c>
      <c r="AW59" s="159" t="str">
        <v/>
      </c>
      <c r="AX59" s="159" t="str">
        <v/>
      </c>
      <c r="AY59" s="159" t="str">
        <v/>
      </c>
      <c r="AZ59" s="159" t="str">
        <v/>
      </c>
      <c r="BA59" s="159" t="str">
        <v/>
      </c>
      <c r="BB59" s="159" t="str">
        <v/>
      </c>
      <c r="BC59" s="159" t="str">
        <v/>
      </c>
      <c r="BD59" s="159" t="str">
        <v/>
      </c>
      <c r="BE59" s="159" t="str">
        <v/>
      </c>
      <c r="BF59" s="159" t="str">
        <v/>
      </c>
      <c r="BG59" s="159" t="str">
        <v/>
      </c>
      <c r="BH59" s="159" t="str">
        <v/>
      </c>
      <c r="BI59" s="159" t="str">
        <v/>
      </c>
      <c r="BJ59" s="159" t="str">
        <v/>
      </c>
      <c r="BK59" s="159" t="str">
        <v/>
      </c>
      <c r="BL59" s="159" t="str">
        <v/>
      </c>
      <c r="BM59" s="159" t="str">
        <v/>
      </c>
      <c r="BN59" s="159" t="str">
        <v/>
      </c>
      <c r="BO59" s="159" t="str">
        <v/>
      </c>
      <c r="BP59" s="159" t="str">
        <v/>
      </c>
      <c r="BQ59" s="159" t="str">
        <v/>
      </c>
      <c r="BR59" s="159" t="str">
        <v/>
      </c>
      <c r="BS59" s="159" t="str">
        <v/>
      </c>
      <c r="BT59" s="159" t="str">
        <v/>
      </c>
      <c r="BU59" s="159" t="str">
        <v/>
      </c>
      <c r="BV59" s="159" t="str">
        <v/>
      </c>
      <c r="BW59" s="159" t="str">
        <v/>
      </c>
      <c r="BX59" s="159" t="str">
        <v/>
      </c>
      <c r="BY59" s="159" t="str">
        <v/>
      </c>
      <c r="BZ59" s="159" t="str">
        <v/>
      </c>
      <c r="CA59" s="159" t="str">
        <v/>
      </c>
      <c r="CB59" s="159" t="str">
        <v/>
      </c>
      <c r="CC59" s="159" t="str">
        <v/>
      </c>
      <c r="CD59" s="159" t="str">
        <v/>
      </c>
      <c r="CE59" s="159" t="str">
        <v/>
      </c>
      <c r="CF59" s="159" t="str">
        <v/>
      </c>
      <c r="CG59" s="159" t="str">
        <v/>
      </c>
      <c r="CH59" s="159" t="str">
        <v/>
      </c>
      <c r="CI59" s="159" t="str">
        <v/>
      </c>
      <c r="CJ59" s="159" t="str">
        <v/>
      </c>
      <c r="CK59" s="159" t="str">
        <v/>
      </c>
      <c r="CL59" s="159" t="str">
        <v/>
      </c>
      <c r="CM59" s="159" t="str">
        <v/>
      </c>
      <c r="CN59" s="159" t="str">
        <v/>
      </c>
      <c r="CO59" s="159" t="str">
        <v/>
      </c>
      <c r="CP59" s="159" t="str">
        <v/>
      </c>
      <c r="CQ59" s="159" t="str">
        <v/>
      </c>
      <c r="CR59" s="159" t="str">
        <v/>
      </c>
      <c r="CS59" s="159" t="str">
        <v/>
      </c>
      <c r="CT59" s="159" t="str">
        <v/>
      </c>
      <c r="CU59" s="159" t="str">
        <v/>
      </c>
      <c r="CV59" s="159" t="str">
        <v/>
      </c>
      <c r="CW59" s="159" t="str">
        <v/>
      </c>
      <c r="CX59" s="159" t="str">
        <v/>
      </c>
      <c r="CY59" s="159" t="str">
        <v/>
      </c>
      <c r="CZ59" s="159" t="str">
        <v/>
      </c>
      <c r="DA59" s="159" t="str">
        <v/>
      </c>
      <c r="DB59" s="159" t="str">
        <v/>
      </c>
      <c r="DC59" s="159" t="str">
        <v/>
      </c>
      <c r="DD59" s="159" t="str">
        <v/>
      </c>
      <c r="DE59" s="159" t="str">
        <v/>
      </c>
      <c r="DF59" s="159" t="str">
        <v/>
      </c>
      <c r="DG59" s="159" t="str">
        <v/>
      </c>
      <c r="DH59" s="159" t="str">
        <v/>
      </c>
      <c r="DI59" s="159" t="str">
        <v/>
      </c>
      <c r="DJ59" s="159" t="str">
        <v/>
      </c>
      <c r="DK59" s="159" t="str">
        <v/>
      </c>
      <c r="DL59" s="159" t="str">
        <v/>
      </c>
      <c r="DM59" s="159" t="str">
        <v/>
      </c>
      <c r="DN59" s="159" t="str">
        <v/>
      </c>
      <c r="DO59" s="159" t="str">
        <v/>
      </c>
      <c r="DP59" s="159" t="str">
        <v/>
      </c>
      <c r="DQ59" s="159" t="str">
        <v/>
      </c>
      <c r="DR59" s="159" t="str">
        <v/>
      </c>
      <c r="DS59" s="159" t="str">
        <v/>
      </c>
      <c r="DT59" s="159" t="str">
        <v/>
      </c>
      <c r="DU59" s="159" t="str">
        <v/>
      </c>
      <c r="DV59" s="159" t="str">
        <v/>
      </c>
      <c r="DW59" s="159" t="str">
        <v/>
      </c>
      <c r="DX59" s="159" t="str">
        <v/>
      </c>
      <c r="DY59" s="159" t="str">
        <v/>
      </c>
      <c r="DZ59" t="str">
        <v/>
      </c>
      <c r="EA59" t="str">
        <v/>
      </c>
    </row>
    <row r="60" spans="10:131" x14ac:dyDescent="0.25">
      <c r="J60" t="str">
        <v>CNC CAPEX</v>
      </c>
      <c r="K60">
        <v>50181</v>
      </c>
      <c r="L60" s="159">
        <v>50181</v>
      </c>
      <c r="M60" s="159">
        <v>0</v>
      </c>
      <c r="N60" s="159">
        <v>0</v>
      </c>
      <c r="O60" s="159">
        <v>0</v>
      </c>
      <c r="P60" s="159">
        <v>0</v>
      </c>
      <c r="Q60" s="159">
        <v>0</v>
      </c>
      <c r="R60" s="159">
        <v>0</v>
      </c>
      <c r="S60" s="159">
        <v>0</v>
      </c>
      <c r="T60" s="159">
        <v>0</v>
      </c>
      <c r="U60" s="159">
        <v>0</v>
      </c>
      <c r="V60" s="159">
        <v>0</v>
      </c>
      <c r="W60" s="159">
        <v>0</v>
      </c>
      <c r="X60" s="159">
        <v>0</v>
      </c>
      <c r="Y60" s="159">
        <v>0</v>
      </c>
      <c r="Z60" s="159">
        <v>0</v>
      </c>
      <c r="AA60" s="159">
        <v>0</v>
      </c>
      <c r="AB60" s="159">
        <v>0</v>
      </c>
      <c r="AC60" s="159">
        <v>0</v>
      </c>
      <c r="AD60" s="159">
        <v>0</v>
      </c>
      <c r="AE60" s="159">
        <v>0</v>
      </c>
      <c r="AF60" s="159">
        <v>0</v>
      </c>
      <c r="AG60" s="159">
        <v>0</v>
      </c>
      <c r="AH60" s="159">
        <v>0</v>
      </c>
      <c r="AI60" s="159">
        <v>0</v>
      </c>
      <c r="AJ60" s="159">
        <v>0</v>
      </c>
      <c r="AK60" s="159">
        <v>0</v>
      </c>
      <c r="AL60" s="159">
        <v>0</v>
      </c>
      <c r="AM60" s="159">
        <v>0</v>
      </c>
      <c r="AN60" s="159">
        <v>0</v>
      </c>
      <c r="AO60" s="159">
        <v>0</v>
      </c>
      <c r="AP60" s="159">
        <v>0</v>
      </c>
      <c r="AQ60" s="159">
        <v>0</v>
      </c>
      <c r="AR60" s="159">
        <v>0</v>
      </c>
      <c r="AS60" s="159">
        <v>0</v>
      </c>
      <c r="AT60" s="159">
        <v>0</v>
      </c>
      <c r="AU60" s="159">
        <v>0</v>
      </c>
      <c r="AV60" s="159">
        <v>0</v>
      </c>
      <c r="AW60" s="159">
        <v>0</v>
      </c>
      <c r="AX60" s="159">
        <v>0</v>
      </c>
      <c r="AY60" s="159">
        <v>0</v>
      </c>
      <c r="AZ60" s="159">
        <v>0</v>
      </c>
      <c r="BA60" s="159">
        <v>0</v>
      </c>
      <c r="BB60" s="159">
        <v>0</v>
      </c>
      <c r="BC60" s="159">
        <v>0</v>
      </c>
      <c r="BD60" s="159">
        <v>0</v>
      </c>
      <c r="BE60" s="159">
        <v>0</v>
      </c>
      <c r="BF60" s="159">
        <v>0</v>
      </c>
      <c r="BG60" s="159">
        <v>0</v>
      </c>
      <c r="BH60" s="159">
        <v>0</v>
      </c>
      <c r="BI60" s="159">
        <v>0</v>
      </c>
      <c r="BJ60" s="159">
        <v>0</v>
      </c>
      <c r="BK60" s="159">
        <v>0</v>
      </c>
      <c r="BL60" s="159">
        <v>0</v>
      </c>
      <c r="BM60" s="159">
        <v>0</v>
      </c>
      <c r="BN60" s="159">
        <v>0</v>
      </c>
      <c r="BO60" s="159">
        <v>0</v>
      </c>
      <c r="BP60" s="159">
        <v>0</v>
      </c>
      <c r="BQ60" s="159">
        <v>0</v>
      </c>
      <c r="BR60" s="159">
        <v>0</v>
      </c>
      <c r="BS60" s="159">
        <v>0</v>
      </c>
      <c r="BT60" s="159">
        <v>0</v>
      </c>
      <c r="BU60" s="159">
        <v>0</v>
      </c>
      <c r="BV60" s="159">
        <v>0</v>
      </c>
      <c r="BW60" s="159">
        <v>0</v>
      </c>
      <c r="BX60" s="159">
        <v>0</v>
      </c>
      <c r="BY60" s="159">
        <v>0</v>
      </c>
      <c r="BZ60" s="159">
        <v>0</v>
      </c>
      <c r="CA60" s="159">
        <v>0</v>
      </c>
      <c r="CB60" s="159">
        <v>0</v>
      </c>
      <c r="CC60" s="159">
        <v>0</v>
      </c>
      <c r="CD60" s="159">
        <v>0</v>
      </c>
      <c r="CE60" s="159">
        <v>0</v>
      </c>
      <c r="CF60" s="159">
        <v>0</v>
      </c>
      <c r="CG60" s="159">
        <v>0</v>
      </c>
      <c r="CH60" s="159">
        <v>0</v>
      </c>
      <c r="CI60" s="159">
        <v>0</v>
      </c>
      <c r="CJ60" s="159">
        <v>0</v>
      </c>
      <c r="CK60" s="159">
        <v>0</v>
      </c>
      <c r="CL60" s="159">
        <v>0</v>
      </c>
      <c r="CM60" s="159">
        <v>0</v>
      </c>
      <c r="CN60" s="159">
        <v>0</v>
      </c>
      <c r="CO60" s="159">
        <v>0</v>
      </c>
      <c r="CP60" s="159">
        <v>0</v>
      </c>
      <c r="CQ60" s="159">
        <v>0</v>
      </c>
      <c r="CR60" s="159">
        <v>0</v>
      </c>
      <c r="CS60" s="159">
        <v>0</v>
      </c>
      <c r="CT60" s="159">
        <v>0</v>
      </c>
      <c r="CU60" s="159">
        <v>0</v>
      </c>
      <c r="CV60" s="159">
        <v>0</v>
      </c>
      <c r="CW60" s="159">
        <v>0</v>
      </c>
      <c r="CX60" s="159">
        <v>0</v>
      </c>
      <c r="CY60" s="159">
        <v>0</v>
      </c>
      <c r="CZ60" s="159">
        <v>0</v>
      </c>
      <c r="DA60" s="159">
        <v>0</v>
      </c>
      <c r="DB60" s="159">
        <v>0</v>
      </c>
      <c r="DC60" s="159">
        <v>0</v>
      </c>
      <c r="DD60" s="159">
        <v>0</v>
      </c>
      <c r="DE60" s="159">
        <v>0</v>
      </c>
      <c r="DF60" s="159">
        <v>0</v>
      </c>
      <c r="DG60" s="159">
        <v>0</v>
      </c>
      <c r="DH60" s="159">
        <v>0</v>
      </c>
      <c r="DI60" s="159">
        <v>0</v>
      </c>
      <c r="DJ60" s="159">
        <v>0</v>
      </c>
      <c r="DK60" s="159">
        <v>0</v>
      </c>
      <c r="DL60" s="159">
        <v>0</v>
      </c>
      <c r="DM60" s="159">
        <v>0</v>
      </c>
      <c r="DN60" s="159">
        <v>0</v>
      </c>
      <c r="DO60" s="159">
        <v>0</v>
      </c>
      <c r="DP60" s="159">
        <v>0</v>
      </c>
      <c r="DQ60" s="159">
        <v>0</v>
      </c>
      <c r="DR60" s="159">
        <v>0</v>
      </c>
      <c r="DS60" s="159">
        <v>0</v>
      </c>
      <c r="DT60" s="159">
        <v>0</v>
      </c>
      <c r="DU60" s="159">
        <v>0</v>
      </c>
      <c r="DV60" s="159">
        <v>0</v>
      </c>
      <c r="DW60" s="159">
        <v>0</v>
      </c>
      <c r="DX60" s="159">
        <v>0</v>
      </c>
      <c r="DY60" s="159">
        <v>0</v>
      </c>
      <c r="DZ60">
        <v>0</v>
      </c>
      <c r="EA60">
        <v>0</v>
      </c>
    </row>
    <row r="61" spans="10:131" x14ac:dyDescent="0.25">
      <c r="J61" t="str">
        <v>CNC Opening Value</v>
      </c>
      <c r="K61">
        <v>0</v>
      </c>
      <c r="L61" s="159">
        <v>50181</v>
      </c>
      <c r="M61" s="159">
        <v>45162.899999999994</v>
      </c>
      <c r="N61" s="159">
        <v>40646.609999999986</v>
      </c>
      <c r="O61" s="159">
        <v>36581.948999999971</v>
      </c>
      <c r="P61" s="159">
        <v>32923.754099999984</v>
      </c>
      <c r="Q61" s="159">
        <v>29631.378689999976</v>
      </c>
      <c r="R61" s="159">
        <v>26668.24082099997</v>
      </c>
      <c r="S61" s="159">
        <v>24001.416738899952</v>
      </c>
      <c r="T61" s="159">
        <v>21601.27506500997</v>
      </c>
      <c r="U61" s="159">
        <v>19441.147558508987</v>
      </c>
      <c r="V61" s="159">
        <v>17497.032802658105</v>
      </c>
      <c r="W61" s="159">
        <v>15747.329522392287</v>
      </c>
      <c r="X61" s="159">
        <v>14172.596570153062</v>
      </c>
      <c r="Y61" s="159">
        <v>12755.336913137751</v>
      </c>
      <c r="Z61" s="159">
        <v>11479.803221823964</v>
      </c>
      <c r="AA61" s="159">
        <v>10331.822899641564</v>
      </c>
      <c r="AB61" s="159">
        <v>9298.6406096774008</v>
      </c>
      <c r="AC61" s="159">
        <v>8368.7765487096603</v>
      </c>
      <c r="AD61" s="159">
        <v>7531.8988938386938</v>
      </c>
      <c r="AE61" s="159">
        <v>6778.7090044548167</v>
      </c>
      <c r="AF61" s="159">
        <v>-5.1159076974727213E-12</v>
      </c>
      <c r="AG61" s="159">
        <v>-5.1159076974727213E-12</v>
      </c>
      <c r="AH61" s="159">
        <v>0</v>
      </c>
      <c r="AI61" s="159">
        <v>0</v>
      </c>
      <c r="AJ61" s="159">
        <v>0</v>
      </c>
      <c r="AK61" s="159">
        <v>0</v>
      </c>
      <c r="AL61" s="159">
        <v>0</v>
      </c>
      <c r="AM61" s="159">
        <v>0</v>
      </c>
      <c r="AN61" s="159">
        <v>0</v>
      </c>
      <c r="AO61" s="159">
        <v>0</v>
      </c>
      <c r="AP61" s="159">
        <v>0</v>
      </c>
      <c r="AQ61" s="159">
        <v>0</v>
      </c>
      <c r="AR61" s="159">
        <v>0</v>
      </c>
      <c r="AS61" s="159">
        <v>0</v>
      </c>
      <c r="AT61" s="159">
        <v>0</v>
      </c>
      <c r="AU61" s="159">
        <v>0</v>
      </c>
      <c r="AV61" s="159">
        <v>0</v>
      </c>
      <c r="AW61" s="159">
        <v>0</v>
      </c>
      <c r="AX61" s="159">
        <v>0</v>
      </c>
      <c r="AY61" s="159">
        <v>0</v>
      </c>
      <c r="AZ61" s="159">
        <v>0</v>
      </c>
      <c r="BA61" s="159">
        <v>0</v>
      </c>
      <c r="BB61" s="159">
        <v>0</v>
      </c>
      <c r="BC61" s="159">
        <v>0</v>
      </c>
      <c r="BD61" s="159">
        <v>0</v>
      </c>
      <c r="BE61" s="159">
        <v>0</v>
      </c>
      <c r="BF61" s="159">
        <v>0</v>
      </c>
      <c r="BG61" s="159">
        <v>0</v>
      </c>
      <c r="BH61" s="159">
        <v>0</v>
      </c>
      <c r="BI61" s="159">
        <v>0</v>
      </c>
      <c r="BJ61" s="159">
        <v>0</v>
      </c>
      <c r="BK61" s="159">
        <v>0</v>
      </c>
      <c r="BL61" s="159">
        <v>0</v>
      </c>
      <c r="BM61" s="159">
        <v>0</v>
      </c>
      <c r="BN61" s="159">
        <v>0</v>
      </c>
      <c r="BO61" s="159">
        <v>0</v>
      </c>
      <c r="BP61" s="159">
        <v>0</v>
      </c>
      <c r="BQ61" s="159">
        <v>0</v>
      </c>
      <c r="BR61" s="159">
        <v>0</v>
      </c>
      <c r="BS61" s="159">
        <v>0</v>
      </c>
      <c r="BT61" s="159">
        <v>0</v>
      </c>
      <c r="BU61" s="159">
        <v>0</v>
      </c>
      <c r="BV61" s="159">
        <v>0</v>
      </c>
      <c r="BW61" s="159">
        <v>0</v>
      </c>
      <c r="BX61" s="159">
        <v>0</v>
      </c>
      <c r="BY61" s="159">
        <v>0</v>
      </c>
      <c r="BZ61" s="159">
        <v>0</v>
      </c>
      <c r="CA61" s="159">
        <v>0</v>
      </c>
      <c r="CB61" s="159">
        <v>0</v>
      </c>
      <c r="CC61" s="159">
        <v>0</v>
      </c>
      <c r="CD61" s="159">
        <v>0</v>
      </c>
      <c r="CE61" s="159">
        <v>0</v>
      </c>
      <c r="CF61" s="159">
        <v>0</v>
      </c>
      <c r="CG61" s="159">
        <v>0</v>
      </c>
      <c r="CH61" s="159">
        <v>0</v>
      </c>
      <c r="CI61" s="159">
        <v>0</v>
      </c>
      <c r="CJ61" s="159">
        <v>0</v>
      </c>
      <c r="CK61" s="159">
        <v>0</v>
      </c>
      <c r="CL61" s="159">
        <v>0</v>
      </c>
      <c r="CM61" s="159">
        <v>0</v>
      </c>
      <c r="CN61" s="159">
        <v>0</v>
      </c>
      <c r="CO61" s="159">
        <v>0</v>
      </c>
      <c r="CP61" s="159">
        <v>0</v>
      </c>
      <c r="CQ61" s="159">
        <v>0</v>
      </c>
      <c r="CR61" s="159">
        <v>0</v>
      </c>
      <c r="CS61" s="159">
        <v>0</v>
      </c>
      <c r="CT61" s="159">
        <v>0</v>
      </c>
      <c r="CU61" s="159">
        <v>0</v>
      </c>
      <c r="CV61" s="159">
        <v>0</v>
      </c>
      <c r="CW61" s="159">
        <v>0</v>
      </c>
      <c r="CX61" s="159">
        <v>0</v>
      </c>
      <c r="CY61" s="159">
        <v>0</v>
      </c>
      <c r="CZ61" s="159">
        <v>0</v>
      </c>
      <c r="DA61" s="159">
        <v>0</v>
      </c>
      <c r="DB61" s="159">
        <v>0</v>
      </c>
      <c r="DC61" s="159">
        <v>0</v>
      </c>
      <c r="DD61" s="159">
        <v>0</v>
      </c>
      <c r="DE61" s="159">
        <v>0</v>
      </c>
      <c r="DF61" s="159">
        <v>0</v>
      </c>
      <c r="DG61" s="159">
        <v>0</v>
      </c>
      <c r="DH61" s="159">
        <v>0</v>
      </c>
      <c r="DI61" s="159">
        <v>0</v>
      </c>
      <c r="DJ61" s="159">
        <v>0</v>
      </c>
      <c r="DK61" s="159">
        <v>0</v>
      </c>
      <c r="DL61" s="159">
        <v>0</v>
      </c>
      <c r="DM61" s="159">
        <v>0</v>
      </c>
      <c r="DN61" s="159">
        <v>0</v>
      </c>
      <c r="DO61" s="159">
        <v>0</v>
      </c>
      <c r="DP61" s="159">
        <v>0</v>
      </c>
      <c r="DQ61" s="159">
        <v>0</v>
      </c>
      <c r="DR61" s="159">
        <v>0</v>
      </c>
      <c r="DS61" s="159">
        <v>0</v>
      </c>
      <c r="DT61" s="159">
        <v>0</v>
      </c>
      <c r="DU61" s="159">
        <v>0</v>
      </c>
      <c r="DV61" s="159">
        <v>0</v>
      </c>
      <c r="DW61" s="159">
        <v>0</v>
      </c>
      <c r="DX61" s="159">
        <v>0</v>
      </c>
      <c r="DY61" s="159">
        <v>0</v>
      </c>
      <c r="DZ61">
        <v>0</v>
      </c>
      <c r="EA61">
        <v>0</v>
      </c>
    </row>
    <row r="62" spans="10:131" x14ac:dyDescent="0.25">
      <c r="J62" t="str">
        <v>CNC Depreciation</v>
      </c>
      <c r="K62">
        <v>50181</v>
      </c>
      <c r="L62" s="159">
        <v>5018.1000000000004</v>
      </c>
      <c r="M62" s="159">
        <v>4516.2900000000009</v>
      </c>
      <c r="N62" s="159">
        <v>4064.6610000000005</v>
      </c>
      <c r="O62" s="159">
        <v>3658.1949000000009</v>
      </c>
      <c r="P62" s="159">
        <v>3292.375410000001</v>
      </c>
      <c r="Q62" s="159">
        <v>2963.137869000001</v>
      </c>
      <c r="R62" s="159">
        <v>2666.8240821000009</v>
      </c>
      <c r="S62" s="159">
        <v>2400.1416738900007</v>
      </c>
      <c r="T62" s="159">
        <v>2160.1275065010009</v>
      </c>
      <c r="U62" s="159">
        <v>1944.1147558509008</v>
      </c>
      <c r="V62" s="159">
        <v>1749.7032802658109</v>
      </c>
      <c r="W62" s="159">
        <v>1574.7329522392299</v>
      </c>
      <c r="X62" s="159">
        <v>1417.2596570153071</v>
      </c>
      <c r="Y62" s="159">
        <v>1275.5336913137764</v>
      </c>
      <c r="Z62" s="159">
        <v>1147.9803221823988</v>
      </c>
      <c r="AA62" s="159">
        <v>1033.1822899641588</v>
      </c>
      <c r="AB62" s="159">
        <v>929.86406096774317</v>
      </c>
      <c r="AC62" s="159">
        <v>836.87765487096885</v>
      </c>
      <c r="AD62" s="159">
        <v>753.1898893838719</v>
      </c>
      <c r="AE62" s="159">
        <v>6778.7090044548222</v>
      </c>
      <c r="AF62" s="159">
        <v>0</v>
      </c>
      <c r="AG62" s="159">
        <v>0</v>
      </c>
      <c r="AH62" s="159">
        <v>0</v>
      </c>
      <c r="AI62" s="159">
        <v>0</v>
      </c>
      <c r="AJ62" s="159">
        <v>0</v>
      </c>
      <c r="AK62" s="159">
        <v>0</v>
      </c>
      <c r="AL62" s="159">
        <v>0</v>
      </c>
      <c r="AM62" s="159">
        <v>0</v>
      </c>
      <c r="AN62" s="159">
        <v>0</v>
      </c>
      <c r="AO62" s="159">
        <v>0</v>
      </c>
      <c r="AP62" s="159">
        <v>0</v>
      </c>
      <c r="AQ62" s="159">
        <v>0</v>
      </c>
      <c r="AR62" s="159">
        <v>0</v>
      </c>
      <c r="AS62" s="159">
        <v>0</v>
      </c>
      <c r="AT62" s="159">
        <v>0</v>
      </c>
      <c r="AU62" s="159">
        <v>0</v>
      </c>
      <c r="AV62" s="159">
        <v>0</v>
      </c>
      <c r="AW62" s="159">
        <v>0</v>
      </c>
      <c r="AX62" s="159">
        <v>0</v>
      </c>
      <c r="AY62" s="159">
        <v>0</v>
      </c>
      <c r="AZ62" s="159">
        <v>0</v>
      </c>
      <c r="BA62" s="159">
        <v>0</v>
      </c>
      <c r="BB62" s="159">
        <v>0</v>
      </c>
      <c r="BC62" s="159">
        <v>0</v>
      </c>
      <c r="BD62" s="159">
        <v>0</v>
      </c>
      <c r="BE62" s="159">
        <v>0</v>
      </c>
      <c r="BF62" s="159">
        <v>0</v>
      </c>
      <c r="BG62" s="159">
        <v>0</v>
      </c>
      <c r="BH62" s="159">
        <v>0</v>
      </c>
      <c r="BI62" s="159">
        <v>0</v>
      </c>
      <c r="BJ62" s="159">
        <v>0</v>
      </c>
      <c r="BK62" s="159">
        <v>0</v>
      </c>
      <c r="BL62" s="159">
        <v>0</v>
      </c>
      <c r="BM62" s="159">
        <v>0</v>
      </c>
      <c r="BN62" s="159">
        <v>0</v>
      </c>
      <c r="BO62" s="159">
        <v>0</v>
      </c>
      <c r="BP62" s="159">
        <v>0</v>
      </c>
      <c r="BQ62" s="159">
        <v>0</v>
      </c>
      <c r="BR62" s="159">
        <v>0</v>
      </c>
      <c r="BS62" s="159">
        <v>0</v>
      </c>
      <c r="BT62" s="159">
        <v>0</v>
      </c>
      <c r="BU62" s="159">
        <v>0</v>
      </c>
      <c r="BV62" s="159">
        <v>0</v>
      </c>
      <c r="BW62" s="159">
        <v>0</v>
      </c>
      <c r="BX62" s="159">
        <v>0</v>
      </c>
      <c r="BY62" s="159">
        <v>0</v>
      </c>
      <c r="BZ62" s="159">
        <v>0</v>
      </c>
      <c r="CA62" s="159">
        <v>0</v>
      </c>
      <c r="CB62" s="159">
        <v>0</v>
      </c>
      <c r="CC62" s="159">
        <v>0</v>
      </c>
      <c r="CD62" s="159">
        <v>0</v>
      </c>
      <c r="CE62" s="159">
        <v>0</v>
      </c>
      <c r="CF62" s="159">
        <v>0</v>
      </c>
      <c r="CG62" s="159">
        <v>0</v>
      </c>
      <c r="CH62" s="159">
        <v>0</v>
      </c>
      <c r="CI62" s="159">
        <v>0</v>
      </c>
      <c r="CJ62" s="159">
        <v>0</v>
      </c>
      <c r="CK62" s="159">
        <v>0</v>
      </c>
      <c r="CL62" s="159">
        <v>0</v>
      </c>
      <c r="CM62" s="159">
        <v>0</v>
      </c>
      <c r="CN62" s="159">
        <v>0</v>
      </c>
      <c r="CO62" s="159">
        <v>0</v>
      </c>
      <c r="CP62" s="159">
        <v>0</v>
      </c>
      <c r="CQ62" s="159">
        <v>0</v>
      </c>
      <c r="CR62" s="159">
        <v>0</v>
      </c>
      <c r="CS62" s="159">
        <v>0</v>
      </c>
      <c r="CT62" s="159">
        <v>0</v>
      </c>
      <c r="CU62" s="159">
        <v>0</v>
      </c>
      <c r="CV62" s="159">
        <v>0</v>
      </c>
      <c r="CW62" s="159">
        <v>0</v>
      </c>
      <c r="CX62" s="159">
        <v>0</v>
      </c>
      <c r="CY62" s="159">
        <v>0</v>
      </c>
      <c r="CZ62" s="159">
        <v>0</v>
      </c>
      <c r="DA62" s="159">
        <v>0</v>
      </c>
      <c r="DB62" s="159">
        <v>0</v>
      </c>
      <c r="DC62" s="159">
        <v>0</v>
      </c>
      <c r="DD62" s="159">
        <v>0</v>
      </c>
      <c r="DE62" s="159">
        <v>0</v>
      </c>
      <c r="DF62" s="159">
        <v>0</v>
      </c>
      <c r="DG62" s="159">
        <v>0</v>
      </c>
      <c r="DH62" s="159">
        <v>0</v>
      </c>
      <c r="DI62" s="159">
        <v>0</v>
      </c>
      <c r="DJ62" s="159">
        <v>0</v>
      </c>
      <c r="DK62" s="159">
        <v>0</v>
      </c>
      <c r="DL62" s="159">
        <v>0</v>
      </c>
      <c r="DM62" s="159">
        <v>0</v>
      </c>
      <c r="DN62" s="159">
        <v>0</v>
      </c>
      <c r="DO62" s="159">
        <v>0</v>
      </c>
      <c r="DP62" s="159">
        <v>0</v>
      </c>
      <c r="DQ62" s="159">
        <v>0</v>
      </c>
      <c r="DR62" s="159">
        <v>0</v>
      </c>
      <c r="DS62" s="159">
        <v>0</v>
      </c>
      <c r="DT62" s="159">
        <v>0</v>
      </c>
      <c r="DU62" s="159">
        <v>0</v>
      </c>
      <c r="DV62" s="159">
        <v>0</v>
      </c>
      <c r="DW62" s="159">
        <v>0</v>
      </c>
      <c r="DX62" s="159">
        <v>0</v>
      </c>
      <c r="DY62" s="159">
        <v>0</v>
      </c>
      <c r="DZ62">
        <v>0</v>
      </c>
      <c r="EA62">
        <v>0</v>
      </c>
    </row>
    <row r="63" spans="10:131" x14ac:dyDescent="0.25">
      <c r="J63" t="str">
        <v>CNC Book Value</v>
      </c>
      <c r="K63">
        <v>0</v>
      </c>
      <c r="L63" s="159">
        <v>45162.9</v>
      </c>
      <c r="M63" s="159">
        <v>40646.609999999993</v>
      </c>
      <c r="N63" s="159">
        <v>36581.948999999986</v>
      </c>
      <c r="O63" s="159">
        <v>32923.754099999969</v>
      </c>
      <c r="P63" s="159">
        <v>29631.378689999983</v>
      </c>
      <c r="Q63" s="159">
        <v>26668.240820999974</v>
      </c>
      <c r="R63" s="159">
        <v>24001.41673889997</v>
      </c>
      <c r="S63" s="159">
        <v>21601.275065009952</v>
      </c>
      <c r="T63" s="159">
        <v>19441.147558508968</v>
      </c>
      <c r="U63" s="159">
        <v>17497.032802658086</v>
      </c>
      <c r="V63" s="159">
        <v>15747.329522392294</v>
      </c>
      <c r="W63" s="159">
        <v>14172.596570153057</v>
      </c>
      <c r="X63" s="159">
        <v>12755.336913137755</v>
      </c>
      <c r="Y63" s="159">
        <v>11479.803221823975</v>
      </c>
      <c r="Z63" s="159">
        <v>10331.822899641566</v>
      </c>
      <c r="AA63" s="159">
        <v>9298.6406096774044</v>
      </c>
      <c r="AB63" s="159">
        <v>8368.7765487096585</v>
      </c>
      <c r="AC63" s="159">
        <v>7531.8988938386919</v>
      </c>
      <c r="AD63" s="159">
        <v>6778.7090044548222</v>
      </c>
      <c r="AE63" s="159">
        <v>-5.4569682106375694E-12</v>
      </c>
      <c r="AF63" s="159">
        <v>-5.1159076974727213E-12</v>
      </c>
      <c r="AG63" s="159">
        <v>-5.1159076974727213E-12</v>
      </c>
      <c r="AH63" s="159">
        <v>0</v>
      </c>
      <c r="AI63" s="159">
        <v>0</v>
      </c>
      <c r="AJ63" s="159">
        <v>0</v>
      </c>
      <c r="AK63" s="159">
        <v>0</v>
      </c>
      <c r="AL63" s="159">
        <v>0</v>
      </c>
      <c r="AM63" s="159">
        <v>0</v>
      </c>
      <c r="AN63" s="159">
        <v>0</v>
      </c>
      <c r="AO63" s="159">
        <v>0</v>
      </c>
      <c r="AP63" s="159">
        <v>0</v>
      </c>
      <c r="AQ63" s="159">
        <v>0</v>
      </c>
      <c r="AR63" s="159">
        <v>0</v>
      </c>
      <c r="AS63" s="159">
        <v>0</v>
      </c>
      <c r="AT63" s="159">
        <v>0</v>
      </c>
      <c r="AU63" s="159">
        <v>0</v>
      </c>
      <c r="AV63" s="159">
        <v>0</v>
      </c>
      <c r="AW63" s="159">
        <v>0</v>
      </c>
      <c r="AX63" s="159">
        <v>0</v>
      </c>
      <c r="AY63" s="159">
        <v>0</v>
      </c>
      <c r="AZ63" s="159">
        <v>0</v>
      </c>
      <c r="BA63" s="159">
        <v>0</v>
      </c>
      <c r="BB63" s="159">
        <v>0</v>
      </c>
      <c r="BC63" s="159">
        <v>0</v>
      </c>
      <c r="BD63" s="159">
        <v>0</v>
      </c>
      <c r="BE63" s="159">
        <v>0</v>
      </c>
      <c r="BF63" s="159">
        <v>0</v>
      </c>
      <c r="BG63" s="159">
        <v>0</v>
      </c>
      <c r="BH63" s="159">
        <v>0</v>
      </c>
      <c r="BI63" s="159">
        <v>0</v>
      </c>
      <c r="BJ63" s="159">
        <v>0</v>
      </c>
      <c r="BK63" s="159">
        <v>0</v>
      </c>
      <c r="BL63" s="159">
        <v>0</v>
      </c>
      <c r="BM63" s="159">
        <v>0</v>
      </c>
      <c r="BN63" s="159">
        <v>0</v>
      </c>
      <c r="BO63" s="159">
        <v>0</v>
      </c>
      <c r="BP63" s="159">
        <v>0</v>
      </c>
      <c r="BQ63" s="159">
        <v>0</v>
      </c>
      <c r="BR63" s="159">
        <v>0</v>
      </c>
      <c r="BS63" s="159">
        <v>0</v>
      </c>
      <c r="BT63" s="159">
        <v>0</v>
      </c>
      <c r="BU63" s="159">
        <v>0</v>
      </c>
      <c r="BV63" s="159">
        <v>0</v>
      </c>
      <c r="BW63" s="159">
        <v>0</v>
      </c>
      <c r="BX63" s="159">
        <v>0</v>
      </c>
      <c r="BY63" s="159">
        <v>0</v>
      </c>
      <c r="BZ63" s="159">
        <v>0</v>
      </c>
      <c r="CA63" s="159">
        <v>0</v>
      </c>
      <c r="CB63" s="159">
        <v>0</v>
      </c>
      <c r="CC63" s="159">
        <v>0</v>
      </c>
      <c r="CD63" s="159">
        <v>0</v>
      </c>
      <c r="CE63" s="159">
        <v>0</v>
      </c>
      <c r="CF63" s="159">
        <v>0</v>
      </c>
      <c r="CG63" s="159">
        <v>0</v>
      </c>
      <c r="CH63" s="159">
        <v>0</v>
      </c>
      <c r="CI63" s="159">
        <v>0</v>
      </c>
      <c r="CJ63" s="159">
        <v>0</v>
      </c>
      <c r="CK63" s="159">
        <v>0</v>
      </c>
      <c r="CL63" s="159">
        <v>0</v>
      </c>
      <c r="CM63" s="159">
        <v>0</v>
      </c>
      <c r="CN63" s="159">
        <v>0</v>
      </c>
      <c r="CO63" s="159">
        <v>0</v>
      </c>
      <c r="CP63" s="159">
        <v>0</v>
      </c>
      <c r="CQ63" s="159">
        <v>0</v>
      </c>
      <c r="CR63" s="159">
        <v>0</v>
      </c>
      <c r="CS63" s="159">
        <v>0</v>
      </c>
      <c r="CT63" s="159">
        <v>0</v>
      </c>
      <c r="CU63" s="159">
        <v>0</v>
      </c>
      <c r="CV63" s="159">
        <v>0</v>
      </c>
      <c r="CW63" s="159">
        <v>0</v>
      </c>
      <c r="CX63" s="159">
        <v>0</v>
      </c>
      <c r="CY63" s="159">
        <v>0</v>
      </c>
      <c r="CZ63" s="159">
        <v>0</v>
      </c>
      <c r="DA63" s="159">
        <v>0</v>
      </c>
      <c r="DB63" s="159">
        <v>0</v>
      </c>
      <c r="DC63" s="159">
        <v>0</v>
      </c>
      <c r="DD63" s="159">
        <v>0</v>
      </c>
      <c r="DE63" s="159">
        <v>0</v>
      </c>
      <c r="DF63" s="159">
        <v>0</v>
      </c>
      <c r="DG63" s="159">
        <v>0</v>
      </c>
      <c r="DH63" s="159">
        <v>0</v>
      </c>
      <c r="DI63" s="159">
        <v>0</v>
      </c>
      <c r="DJ63" s="159">
        <v>0</v>
      </c>
      <c r="DK63" s="159">
        <v>0</v>
      </c>
      <c r="DL63" s="159">
        <v>0</v>
      </c>
      <c r="DM63" s="159">
        <v>0</v>
      </c>
      <c r="DN63" s="159">
        <v>0</v>
      </c>
      <c r="DO63" s="159">
        <v>0</v>
      </c>
      <c r="DP63" s="159">
        <v>0</v>
      </c>
      <c r="DQ63" s="159">
        <v>0</v>
      </c>
      <c r="DR63" s="159">
        <v>0</v>
      </c>
      <c r="DS63" s="159">
        <v>0</v>
      </c>
      <c r="DT63" s="159">
        <v>0</v>
      </c>
      <c r="DU63" s="159">
        <v>0</v>
      </c>
      <c r="DV63" s="159">
        <v>0</v>
      </c>
      <c r="DW63" s="159">
        <v>0</v>
      </c>
      <c r="DX63" s="159">
        <v>0</v>
      </c>
      <c r="DY63" s="159">
        <v>0</v>
      </c>
      <c r="DZ63">
        <v>0</v>
      </c>
      <c r="EA63">
        <v>0</v>
      </c>
    </row>
    <row r="64" spans="10:131" x14ac:dyDescent="0.25">
      <c r="J64" t="str">
        <v>CNC Revenue from Sale</v>
      </c>
      <c r="K64">
        <v>0</v>
      </c>
      <c r="L64" s="159">
        <v>0</v>
      </c>
      <c r="M64" s="159">
        <v>0</v>
      </c>
      <c r="N64" s="159">
        <v>0</v>
      </c>
      <c r="O64" s="159">
        <v>0</v>
      </c>
      <c r="P64" s="159">
        <v>0</v>
      </c>
      <c r="Q64" s="159">
        <v>0</v>
      </c>
      <c r="R64" s="159">
        <v>0</v>
      </c>
      <c r="S64" s="159">
        <v>0</v>
      </c>
      <c r="T64" s="159">
        <v>0</v>
      </c>
      <c r="U64" s="159">
        <v>0</v>
      </c>
      <c r="V64" s="159">
        <v>0</v>
      </c>
      <c r="W64" s="159">
        <v>0</v>
      </c>
      <c r="X64" s="159">
        <v>0</v>
      </c>
      <c r="Y64" s="159">
        <v>0</v>
      </c>
      <c r="Z64" s="159">
        <v>0</v>
      </c>
      <c r="AA64" s="159">
        <v>0</v>
      </c>
      <c r="AB64" s="159">
        <v>0</v>
      </c>
      <c r="AC64" s="159">
        <v>0</v>
      </c>
      <c r="AD64" s="159">
        <v>0</v>
      </c>
      <c r="AE64" s="159">
        <v>0</v>
      </c>
      <c r="AF64" s="159">
        <v>0</v>
      </c>
      <c r="AG64" s="159">
        <v>0</v>
      </c>
      <c r="AH64" s="159">
        <v>0</v>
      </c>
      <c r="AI64" s="159">
        <v>0</v>
      </c>
      <c r="AJ64" s="159">
        <v>0</v>
      </c>
      <c r="AK64" s="159">
        <v>0</v>
      </c>
      <c r="AL64" s="159">
        <v>0</v>
      </c>
      <c r="AM64" s="159">
        <v>0</v>
      </c>
      <c r="AN64" s="159">
        <v>0</v>
      </c>
      <c r="AO64" s="159">
        <v>0</v>
      </c>
      <c r="AP64" s="159">
        <v>0</v>
      </c>
      <c r="AQ64" s="159">
        <v>0</v>
      </c>
      <c r="AR64" s="159">
        <v>0</v>
      </c>
      <c r="AS64" s="159">
        <v>0</v>
      </c>
      <c r="AT64" s="159">
        <v>0</v>
      </c>
      <c r="AU64" s="159">
        <v>0</v>
      </c>
      <c r="AV64" s="159">
        <v>0</v>
      </c>
      <c r="AW64" s="159">
        <v>0</v>
      </c>
      <c r="AX64" s="159">
        <v>0</v>
      </c>
      <c r="AY64" s="159">
        <v>0</v>
      </c>
      <c r="AZ64" s="159">
        <v>0</v>
      </c>
      <c r="BA64" s="159">
        <v>0</v>
      </c>
      <c r="BB64" s="159">
        <v>0</v>
      </c>
      <c r="BC64" s="159">
        <v>0</v>
      </c>
      <c r="BD64" s="159">
        <v>0</v>
      </c>
      <c r="BE64" s="159">
        <v>0</v>
      </c>
      <c r="BF64" s="159">
        <v>0</v>
      </c>
      <c r="BG64" s="159">
        <v>0</v>
      </c>
      <c r="BH64" s="159">
        <v>0</v>
      </c>
      <c r="BI64" s="159">
        <v>0</v>
      </c>
      <c r="BJ64" s="159">
        <v>0</v>
      </c>
      <c r="BK64" s="159">
        <v>0</v>
      </c>
      <c r="BL64" s="159">
        <v>0</v>
      </c>
      <c r="BM64" s="159">
        <v>0</v>
      </c>
      <c r="BN64" s="159">
        <v>0</v>
      </c>
      <c r="BO64" s="159">
        <v>0</v>
      </c>
      <c r="BP64" s="159">
        <v>0</v>
      </c>
      <c r="BQ64" s="159">
        <v>0</v>
      </c>
      <c r="BR64" s="159">
        <v>0</v>
      </c>
      <c r="BS64" s="159">
        <v>0</v>
      </c>
      <c r="BT64" s="159">
        <v>0</v>
      </c>
      <c r="BU64" s="159">
        <v>0</v>
      </c>
      <c r="BV64" s="159">
        <v>0</v>
      </c>
      <c r="BW64" s="159">
        <v>0</v>
      </c>
      <c r="BX64" s="159">
        <v>0</v>
      </c>
      <c r="BY64" s="159">
        <v>0</v>
      </c>
      <c r="BZ64" s="159">
        <v>0</v>
      </c>
      <c r="CA64" s="159">
        <v>0</v>
      </c>
      <c r="CB64" s="159">
        <v>0</v>
      </c>
      <c r="CC64" s="159">
        <v>0</v>
      </c>
      <c r="CD64" s="159">
        <v>0</v>
      </c>
      <c r="CE64" s="159">
        <v>0</v>
      </c>
      <c r="CF64" s="159">
        <v>0</v>
      </c>
      <c r="CG64" s="159">
        <v>0</v>
      </c>
      <c r="CH64" s="159">
        <v>0</v>
      </c>
      <c r="CI64" s="159">
        <v>0</v>
      </c>
      <c r="CJ64" s="159">
        <v>0</v>
      </c>
      <c r="CK64" s="159">
        <v>0</v>
      </c>
      <c r="CL64" s="159">
        <v>0</v>
      </c>
      <c r="CM64" s="159">
        <v>0</v>
      </c>
      <c r="CN64" s="159">
        <v>0</v>
      </c>
      <c r="CO64" s="159">
        <v>0</v>
      </c>
      <c r="CP64" s="159">
        <v>0</v>
      </c>
      <c r="CQ64" s="159">
        <v>0</v>
      </c>
      <c r="CR64" s="159">
        <v>0</v>
      </c>
      <c r="CS64" s="159">
        <v>0</v>
      </c>
      <c r="CT64" s="159">
        <v>0</v>
      </c>
      <c r="CU64" s="159">
        <v>0</v>
      </c>
      <c r="CV64" s="159">
        <v>0</v>
      </c>
      <c r="CW64" s="159">
        <v>0</v>
      </c>
      <c r="CX64" s="159">
        <v>0</v>
      </c>
      <c r="CY64" s="159">
        <v>0</v>
      </c>
      <c r="CZ64" s="159">
        <v>0</v>
      </c>
      <c r="DA64" s="159">
        <v>0</v>
      </c>
      <c r="DB64" s="159">
        <v>0</v>
      </c>
      <c r="DC64" s="159">
        <v>0</v>
      </c>
      <c r="DD64" s="159">
        <v>0</v>
      </c>
      <c r="DE64" s="159">
        <v>0</v>
      </c>
      <c r="DF64" s="159">
        <v>0</v>
      </c>
      <c r="DG64" s="159">
        <v>0</v>
      </c>
      <c r="DH64" s="159">
        <v>0</v>
      </c>
      <c r="DI64" s="159">
        <v>0</v>
      </c>
      <c r="DJ64" s="159">
        <v>0</v>
      </c>
      <c r="DK64" s="159">
        <v>0</v>
      </c>
      <c r="DL64" s="159">
        <v>0</v>
      </c>
      <c r="DM64" s="159">
        <v>0</v>
      </c>
      <c r="DN64" s="159">
        <v>0</v>
      </c>
      <c r="DO64" s="159">
        <v>0</v>
      </c>
      <c r="DP64" s="159">
        <v>0</v>
      </c>
      <c r="DQ64" s="159">
        <v>0</v>
      </c>
      <c r="DR64" s="159">
        <v>0</v>
      </c>
      <c r="DS64" s="159">
        <v>0</v>
      </c>
      <c r="DT64" s="159">
        <v>0</v>
      </c>
      <c r="DU64" s="159">
        <v>0</v>
      </c>
      <c r="DV64" s="159">
        <v>0</v>
      </c>
      <c r="DW64" s="159">
        <v>0</v>
      </c>
      <c r="DX64" s="159">
        <v>0</v>
      </c>
      <c r="DY64" s="159">
        <v>0</v>
      </c>
      <c r="DZ64">
        <v>0</v>
      </c>
      <c r="EA64">
        <v>0</v>
      </c>
    </row>
    <row r="65" spans="10:131" x14ac:dyDescent="0.25">
      <c r="J65" t="str">
        <v>CNC Disposal Costs</v>
      </c>
      <c r="K65">
        <v>250</v>
      </c>
      <c r="L65" s="159">
        <v>0</v>
      </c>
      <c r="M65" s="159">
        <v>0</v>
      </c>
      <c r="N65" s="159">
        <v>0</v>
      </c>
      <c r="O65" s="159">
        <v>0</v>
      </c>
      <c r="P65" s="159">
        <v>0</v>
      </c>
      <c r="Q65" s="159">
        <v>0</v>
      </c>
      <c r="R65" s="159">
        <v>0</v>
      </c>
      <c r="S65" s="159">
        <v>0</v>
      </c>
      <c r="T65" s="159">
        <v>0</v>
      </c>
      <c r="U65" s="159">
        <v>0</v>
      </c>
      <c r="V65" s="159">
        <v>0</v>
      </c>
      <c r="W65" s="159">
        <v>0</v>
      </c>
      <c r="X65" s="159">
        <v>0</v>
      </c>
      <c r="Y65" s="159">
        <v>0</v>
      </c>
      <c r="Z65" s="159">
        <v>0</v>
      </c>
      <c r="AA65" s="159">
        <v>0</v>
      </c>
      <c r="AB65" s="159">
        <v>0</v>
      </c>
      <c r="AC65" s="159">
        <v>0</v>
      </c>
      <c r="AD65" s="159">
        <v>0</v>
      </c>
      <c r="AE65" s="159">
        <v>0</v>
      </c>
      <c r="AF65" s="159">
        <v>0</v>
      </c>
      <c r="AG65" s="159">
        <v>250</v>
      </c>
      <c r="AH65" s="159">
        <v>0</v>
      </c>
      <c r="AI65" s="159">
        <v>0</v>
      </c>
      <c r="AJ65" s="159">
        <v>0</v>
      </c>
      <c r="AK65" s="159">
        <v>0</v>
      </c>
      <c r="AL65" s="159">
        <v>0</v>
      </c>
      <c r="AM65" s="159">
        <v>0</v>
      </c>
      <c r="AN65" s="159">
        <v>0</v>
      </c>
      <c r="AO65" s="159">
        <v>0</v>
      </c>
      <c r="AP65" s="159">
        <v>0</v>
      </c>
      <c r="AQ65" s="159">
        <v>0</v>
      </c>
      <c r="AR65" s="159">
        <v>0</v>
      </c>
      <c r="AS65" s="159">
        <v>0</v>
      </c>
      <c r="AT65" s="159">
        <v>0</v>
      </c>
      <c r="AU65" s="159">
        <v>0</v>
      </c>
      <c r="AV65" s="159">
        <v>0</v>
      </c>
      <c r="AW65" s="159">
        <v>0</v>
      </c>
      <c r="AX65" s="159">
        <v>0</v>
      </c>
      <c r="AY65" s="159">
        <v>0</v>
      </c>
      <c r="AZ65" s="159">
        <v>0</v>
      </c>
      <c r="BA65" s="159">
        <v>0</v>
      </c>
      <c r="BB65" s="159">
        <v>0</v>
      </c>
      <c r="BC65" s="159">
        <v>0</v>
      </c>
      <c r="BD65" s="159">
        <v>0</v>
      </c>
      <c r="BE65" s="159">
        <v>0</v>
      </c>
      <c r="BF65" s="159">
        <v>0</v>
      </c>
      <c r="BG65" s="159">
        <v>0</v>
      </c>
      <c r="BH65" s="159">
        <v>0</v>
      </c>
      <c r="BI65" s="159">
        <v>0</v>
      </c>
      <c r="BJ65" s="159">
        <v>0</v>
      </c>
      <c r="BK65" s="159">
        <v>0</v>
      </c>
      <c r="BL65" s="159">
        <v>0</v>
      </c>
      <c r="BM65" s="159">
        <v>0</v>
      </c>
      <c r="BN65" s="159">
        <v>0</v>
      </c>
      <c r="BO65" s="159">
        <v>0</v>
      </c>
      <c r="BP65" s="159">
        <v>0</v>
      </c>
      <c r="BQ65" s="159">
        <v>0</v>
      </c>
      <c r="BR65" s="159">
        <v>0</v>
      </c>
      <c r="BS65" s="159">
        <v>0</v>
      </c>
      <c r="BT65" s="159">
        <v>0</v>
      </c>
      <c r="BU65" s="159">
        <v>0</v>
      </c>
      <c r="BV65" s="159">
        <v>0</v>
      </c>
      <c r="BW65" s="159">
        <v>0</v>
      </c>
      <c r="BX65" s="159">
        <v>0</v>
      </c>
      <c r="BY65" s="159">
        <v>0</v>
      </c>
      <c r="BZ65" s="159">
        <v>0</v>
      </c>
      <c r="CA65" s="159">
        <v>0</v>
      </c>
      <c r="CB65" s="159">
        <v>0</v>
      </c>
      <c r="CC65" s="159">
        <v>0</v>
      </c>
      <c r="CD65" s="159">
        <v>0</v>
      </c>
      <c r="CE65" s="159">
        <v>0</v>
      </c>
      <c r="CF65" s="159">
        <v>0</v>
      </c>
      <c r="CG65" s="159">
        <v>0</v>
      </c>
      <c r="CH65" s="159">
        <v>0</v>
      </c>
      <c r="CI65" s="159">
        <v>0</v>
      </c>
      <c r="CJ65" s="159">
        <v>0</v>
      </c>
      <c r="CK65" s="159">
        <v>0</v>
      </c>
      <c r="CL65" s="159">
        <v>0</v>
      </c>
      <c r="CM65" s="159">
        <v>0</v>
      </c>
      <c r="CN65" s="159">
        <v>0</v>
      </c>
      <c r="CO65" s="159">
        <v>0</v>
      </c>
      <c r="CP65" s="159">
        <v>0</v>
      </c>
      <c r="CQ65" s="159">
        <v>0</v>
      </c>
      <c r="CR65" s="159">
        <v>0</v>
      </c>
      <c r="CS65" s="159">
        <v>0</v>
      </c>
      <c r="CT65" s="159">
        <v>0</v>
      </c>
      <c r="CU65" s="159">
        <v>0</v>
      </c>
      <c r="CV65" s="159">
        <v>0</v>
      </c>
      <c r="CW65" s="159">
        <v>0</v>
      </c>
      <c r="CX65" s="159">
        <v>0</v>
      </c>
      <c r="CY65" s="159">
        <v>0</v>
      </c>
      <c r="CZ65" s="159">
        <v>0</v>
      </c>
      <c r="DA65" s="159">
        <v>0</v>
      </c>
      <c r="DB65" s="159">
        <v>0</v>
      </c>
      <c r="DC65" s="159">
        <v>0</v>
      </c>
      <c r="DD65" s="159">
        <v>0</v>
      </c>
      <c r="DE65" s="159">
        <v>0</v>
      </c>
      <c r="DF65" s="159">
        <v>0</v>
      </c>
      <c r="DG65" s="159">
        <v>0</v>
      </c>
      <c r="DH65" s="159">
        <v>0</v>
      </c>
      <c r="DI65" s="159">
        <v>0</v>
      </c>
      <c r="DJ65" s="159">
        <v>0</v>
      </c>
      <c r="DK65" s="159">
        <v>0</v>
      </c>
      <c r="DL65" s="159">
        <v>0</v>
      </c>
      <c r="DM65" s="159">
        <v>0</v>
      </c>
      <c r="DN65" s="159">
        <v>0</v>
      </c>
      <c r="DO65" s="159">
        <v>0</v>
      </c>
      <c r="DP65" s="159">
        <v>0</v>
      </c>
      <c r="DQ65" s="159">
        <v>0</v>
      </c>
      <c r="DR65" s="159">
        <v>0</v>
      </c>
      <c r="DS65" s="159">
        <v>0</v>
      </c>
      <c r="DT65" s="159">
        <v>0</v>
      </c>
      <c r="DU65" s="159">
        <v>0</v>
      </c>
      <c r="DV65" s="159">
        <v>0</v>
      </c>
      <c r="DW65" s="159">
        <v>0</v>
      </c>
      <c r="DX65" s="159">
        <v>0</v>
      </c>
      <c r="DY65" s="159">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drawing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6" t="str">
        <f ca="1">_xlfn.TEXTAFTER(CELL("filename",A1),"]")</f>
        <v>oz.LabelDepreciateλ</v>
      </c>
      <c r="B1" s="186"/>
      <c r="C1" s="186"/>
      <c r="D1" s="186"/>
      <c r="E1" s="186"/>
      <c r="F1" s="186"/>
      <c r="G1" s="186"/>
      <c r="H1" s="186"/>
      <c r="I1" s="186"/>
      <c r="J1" s="186"/>
      <c r="K1" s="186"/>
      <c r="L1" s="186"/>
      <c r="M1" s="186"/>
      <c r="N1" s="186"/>
      <c r="O1" s="186"/>
      <c r="P1" s="186"/>
      <c r="Q1" s="186"/>
    </row>
    <row r="2" spans="1:20" x14ac:dyDescent="0.25">
      <c r="A2" s="187" t="s">
        <v>92</v>
      </c>
      <c r="B2" s="212"/>
      <c r="C2" s="212"/>
      <c r="D2" s="212"/>
      <c r="E2" s="212"/>
      <c r="F2" s="212"/>
      <c r="G2" s="212"/>
      <c r="H2" s="212"/>
      <c r="I2" s="212"/>
      <c r="J2" s="212"/>
      <c r="K2" s="212"/>
      <c r="L2" s="212"/>
      <c r="M2" s="212"/>
      <c r="N2" s="212"/>
      <c r="O2" s="212"/>
      <c r="P2" s="212"/>
      <c r="Q2" s="213"/>
    </row>
    <row r="3" spans="1:20" x14ac:dyDescent="0.25">
      <c r="A3" s="4"/>
      <c r="B3" s="4"/>
      <c r="C3" s="4"/>
      <c r="D3" s="4"/>
      <c r="E3" s="4"/>
      <c r="F3" s="4"/>
      <c r="G3" s="4"/>
      <c r="H3" s="4"/>
      <c r="I3" s="4"/>
      <c r="J3" s="4"/>
      <c r="K3" s="4"/>
      <c r="L3" s="4"/>
      <c r="M3" s="4"/>
      <c r="N3" s="4"/>
      <c r="O3" s="4"/>
      <c r="P3" s="4"/>
      <c r="Q3" s="4"/>
    </row>
    <row r="4" spans="1:20" x14ac:dyDescent="0.25">
      <c r="A4" s="61" t="str" cm="1">
        <f t="array" ref="A4:B12">oz.LabelDepreciateλ()</f>
        <v>FUNCTION:</v>
      </c>
      <c r="B4" t="str">
        <v>LabelDepreciateλ( AssetNames)</v>
      </c>
      <c r="M4" s="217"/>
      <c r="N4" s="217"/>
      <c r="O4" s="217"/>
      <c r="P4" s="217"/>
      <c r="Q4" s="217"/>
      <c r="R4" s="217"/>
      <c r="S4" s="217"/>
      <c r="T4" s="217"/>
    </row>
    <row r="5" spans="1:20" x14ac:dyDescent="0.25">
      <c r="A5" t="str">
        <v>DESCRIPTION:</v>
      </c>
      <c r="B5" t="str">
        <v>Create row labels for the depreciation schedule array produced by Depreciateλ</v>
      </c>
      <c r="M5" s="217"/>
      <c r="N5" s="217"/>
      <c r="O5" s="217"/>
      <c r="P5" s="217"/>
      <c r="Q5" s="217"/>
      <c r="R5" s="217"/>
      <c r="S5" s="217"/>
      <c r="T5" s="217"/>
    </row>
    <row r="6" spans="1:20" x14ac:dyDescent="0.25">
      <c r="A6" t="str">
        <v>WEBPAGE:</v>
      </c>
      <c r="B6" t="str">
        <v>https://github.com/ryanduguid/Ozzit</v>
      </c>
      <c r="M6" s="217"/>
      <c r="N6" s="217"/>
      <c r="O6" s="217"/>
      <c r="P6" s="217"/>
      <c r="Q6" s="217"/>
      <c r="R6" s="217"/>
      <c r="S6" s="217"/>
      <c r="T6" s="217"/>
    </row>
    <row r="7" spans="1:20" x14ac:dyDescent="0.25">
      <c r="A7" t="str">
        <v>VERSION:</v>
      </c>
      <c r="B7" t="str">
        <v>20 Aug 2026</v>
      </c>
      <c r="K7" s="132"/>
      <c r="L7" s="132"/>
      <c r="M7" s="217"/>
      <c r="N7" s="217"/>
      <c r="O7" s="217"/>
      <c r="P7" s="217"/>
      <c r="Q7" s="217"/>
      <c r="R7" s="217"/>
      <c r="S7" s="217"/>
      <c r="T7" s="217"/>
    </row>
    <row r="8" spans="1:20" x14ac:dyDescent="0.25">
      <c r="A8" t="str">
        <v>PARAMETERS:</v>
      </c>
      <c r="B8" t="str">
        <v/>
      </c>
      <c r="K8" s="132"/>
      <c r="L8" s="132"/>
      <c r="M8" s="217"/>
      <c r="N8" s="217"/>
      <c r="O8" s="217"/>
      <c r="P8" s="217"/>
      <c r="Q8" s="217"/>
      <c r="R8" s="217"/>
      <c r="S8" s="217"/>
      <c r="T8" s="217"/>
    </row>
    <row r="9" spans="1:20" x14ac:dyDescent="0.25">
      <c r="A9" t="str">
        <v>AssetNames</v>
      </c>
      <c r="B9" t="str">
        <v>(Required) The names or descriptions of each asset in the depreciation schedule produced by Depreciateλ</v>
      </c>
      <c r="K9" s="132"/>
      <c r="L9" s="132"/>
      <c r="M9" s="217"/>
      <c r="N9" s="217"/>
      <c r="O9" s="217"/>
      <c r="P9" s="217"/>
      <c r="Q9" s="217"/>
      <c r="R9" s="217"/>
      <c r="S9" s="217"/>
      <c r="T9" s="217"/>
    </row>
    <row r="10" spans="1:20" x14ac:dyDescent="0.25">
      <c r="A10" t="str">
        <v>EXAMPLES:</v>
      </c>
      <c r="B10" t="str">
        <v/>
      </c>
      <c r="K10" s="132"/>
      <c r="L10" s="132"/>
      <c r="M10" s="217"/>
      <c r="N10" s="217"/>
      <c r="O10" s="217"/>
      <c r="P10" s="217"/>
      <c r="Q10" s="217"/>
      <c r="R10" s="217"/>
      <c r="S10" s="217"/>
      <c r="T10" s="217"/>
    </row>
    <row r="11" spans="1:20" x14ac:dyDescent="0.25">
      <c r="A11" t="str">
        <v>Result</v>
      </c>
      <c r="B11" t="str">
        <v>Formula (oz is assumed to be the module's name)</v>
      </c>
      <c r="K11" s="132"/>
      <c r="L11" s="132"/>
      <c r="M11" s="217"/>
      <c r="N11" s="217"/>
      <c r="O11" s="217"/>
      <c r="P11" s="217"/>
      <c r="Q11" s="217"/>
      <c r="R11" s="217"/>
      <c r="S11" s="217"/>
      <c r="T11" s="217"/>
    </row>
    <row r="12" spans="1:20" x14ac:dyDescent="0.25">
      <c r="A12" t="str">
        <v/>
      </c>
      <c r="B12" t="str">
        <v>=oz.LabelDepreciateλ(tblAssets[Asset Name])</v>
      </c>
      <c r="K12" s="132"/>
      <c r="L12" s="132"/>
      <c r="M12" s="217"/>
      <c r="N12" s="217"/>
      <c r="O12" s="217"/>
      <c r="P12" s="217"/>
      <c r="Q12" s="217"/>
      <c r="R12" s="217"/>
      <c r="S12" s="217"/>
      <c r="T12" s="217"/>
    </row>
    <row r="13" spans="1:20" x14ac:dyDescent="0.25">
      <c r="K13" s="132"/>
      <c r="L13" s="132"/>
      <c r="M13" s="217"/>
      <c r="N13" s="217"/>
      <c r="O13" s="217"/>
      <c r="P13" s="217"/>
      <c r="Q13" s="217"/>
      <c r="R13" s="217"/>
      <c r="S13" s="217"/>
      <c r="T13" s="217"/>
    </row>
    <row r="15" spans="1:20" ht="21" x14ac:dyDescent="0.35">
      <c r="A15" s="200" t="s">
        <v>148</v>
      </c>
      <c r="B15" s="200"/>
      <c r="C15" s="200"/>
      <c r="J15" s="2" t="s">
        <v>165</v>
      </c>
    </row>
    <row r="17" spans="1:23" x14ac:dyDescent="0.25">
      <c r="A17" s="60" t="s">
        <v>149</v>
      </c>
      <c r="B17" s="60" t="s">
        <v>14</v>
      </c>
      <c r="C17" s="60" t="s">
        <v>15</v>
      </c>
      <c r="J17" s="89" t="s">
        <v>7</v>
      </c>
      <c r="K17" s="89"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40">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3" t="s">
        <v>171</v>
      </c>
      <c r="B23" s="194"/>
      <c r="C23" s="194"/>
      <c r="D23" s="194"/>
      <c r="E23" s="194"/>
      <c r="F23" s="194"/>
      <c r="G23" s="194"/>
      <c r="H23" s="214"/>
    </row>
    <row r="24" spans="1:23" x14ac:dyDescent="0.25">
      <c r="A24" s="210"/>
      <c r="B24" s="211"/>
      <c r="C24" s="211"/>
      <c r="D24" s="211"/>
      <c r="E24" s="211"/>
      <c r="F24" s="211"/>
      <c r="G24" s="211"/>
      <c r="H24" s="211"/>
    </row>
    <row r="25" spans="1:23" x14ac:dyDescent="0.25">
      <c r="A25" s="92" t="s">
        <v>172</v>
      </c>
      <c r="B25" s="93" t="s">
        <v>125</v>
      </c>
      <c r="C25" s="93" t="s">
        <v>173</v>
      </c>
      <c r="D25" s="93" t="s">
        <v>182</v>
      </c>
      <c r="E25" s="93" t="s">
        <v>174</v>
      </c>
      <c r="F25" s="93" t="s">
        <v>6</v>
      </c>
      <c r="G25" s="93" t="s">
        <v>183</v>
      </c>
      <c r="H25" s="92" t="s">
        <v>175</v>
      </c>
      <c r="J25" s="89" t="s">
        <v>7</v>
      </c>
      <c r="K25" s="89"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94">
        <v>25000</v>
      </c>
      <c r="C26" s="19">
        <v>46204</v>
      </c>
      <c r="D26" s="94">
        <v>8</v>
      </c>
      <c r="E26" s="94">
        <v>1000</v>
      </c>
      <c r="F26" s="19"/>
      <c r="G26" s="94">
        <v>500</v>
      </c>
      <c r="H26" s="19" t="s">
        <v>176</v>
      </c>
      <c r="J26" s="61" t="str" cm="1">
        <f t="array" ref="J26:J45">oz.LabelDepreciateλ(tblAssets11[Asset])</f>
        <v>Cutter CAPEX</v>
      </c>
      <c r="K26" cm="1">
        <f t="array" ref="K26:K45">oz.SumDepreciateλ(_xlfn.ANCHORARRAY(L26))</f>
        <v>0</v>
      </c>
      <c r="L26" s="91"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180</v>
      </c>
      <c r="B27" s="94">
        <v>10000</v>
      </c>
      <c r="C27" s="19">
        <v>46661</v>
      </c>
      <c r="D27" s="94">
        <v>10</v>
      </c>
      <c r="E27" s="94">
        <v>500</v>
      </c>
      <c r="F27" s="19"/>
      <c r="G27" s="94">
        <v>100</v>
      </c>
      <c r="H27" s="19"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94">
        <v>50546</v>
      </c>
      <c r="C28" s="95">
        <v>47484</v>
      </c>
      <c r="D28" s="96">
        <v>20</v>
      </c>
      <c r="E28" s="94">
        <v>1000</v>
      </c>
      <c r="F28" s="19"/>
      <c r="G28" s="94">
        <v>250</v>
      </c>
      <c r="H28" s="19"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drawing r:id="rId1"/>
  <tableParts count="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6" t="str">
        <f ca="1">_xlfn.TEXTAFTER(CELL("filename",A1),"]")</f>
        <v>oz.SumDepreciateλ</v>
      </c>
      <c r="B1" s="186"/>
      <c r="C1" s="186"/>
      <c r="D1" s="186"/>
      <c r="E1" s="186"/>
      <c r="F1" s="186"/>
      <c r="G1" s="186"/>
      <c r="H1" s="186"/>
      <c r="I1" s="186"/>
      <c r="J1" s="186"/>
      <c r="K1" s="186"/>
      <c r="L1" s="186"/>
      <c r="M1" s="186"/>
      <c r="N1" s="186"/>
      <c r="O1" s="186"/>
      <c r="P1" s="186"/>
      <c r="Q1" s="186"/>
    </row>
    <row r="2" spans="1:20" x14ac:dyDescent="0.25">
      <c r="A2" s="187" t="s">
        <v>243</v>
      </c>
      <c r="B2" s="212"/>
      <c r="C2" s="212"/>
      <c r="D2" s="212"/>
      <c r="E2" s="212"/>
      <c r="F2" s="212"/>
      <c r="G2" s="212"/>
      <c r="H2" s="212"/>
      <c r="I2" s="212"/>
      <c r="J2" s="212"/>
      <c r="K2" s="212"/>
      <c r="L2" s="212"/>
      <c r="M2" s="212"/>
      <c r="N2" s="212"/>
      <c r="O2" s="212"/>
      <c r="P2" s="212"/>
      <c r="Q2" s="213"/>
    </row>
    <row r="3" spans="1:20" x14ac:dyDescent="0.25">
      <c r="A3" s="4"/>
      <c r="B3" s="4"/>
      <c r="C3" s="4"/>
      <c r="D3" s="4"/>
      <c r="E3" s="4"/>
      <c r="F3" s="4"/>
      <c r="G3" s="4"/>
      <c r="H3" s="4"/>
      <c r="I3" s="4"/>
      <c r="J3" s="4"/>
      <c r="K3" s="4"/>
      <c r="L3" s="4"/>
      <c r="M3" s="4"/>
      <c r="N3" s="4"/>
      <c r="O3" s="4"/>
      <c r="P3" s="4"/>
      <c r="Q3" s="4"/>
    </row>
    <row r="4" spans="1:20" x14ac:dyDescent="0.25">
      <c r="A4" s="61" t="str" cm="1">
        <f t="array" ref="A4:B13">oz.SumDepreciateλ()</f>
        <v>FUNCTION:</v>
      </c>
      <c r="B4" t="str">
        <v>SumDepreciateλ(DepreciationSchedule)</v>
      </c>
      <c r="M4" s="217"/>
      <c r="N4" s="217"/>
      <c r="O4" s="217"/>
      <c r="P4" s="217"/>
      <c r="Q4" s="217"/>
      <c r="R4" s="217"/>
      <c r="S4" s="217"/>
      <c r="T4" s="217"/>
    </row>
    <row r="5" spans="1:20" x14ac:dyDescent="0.25">
      <c r="A5" t="str">
        <v>DESCRIPTION:</v>
      </c>
      <c r="B5" t="str">
        <v>Create row totals for Depreciateλ</v>
      </c>
      <c r="M5" s="217"/>
      <c r="N5" s="217"/>
      <c r="O5" s="217"/>
      <c r="P5" s="217"/>
      <c r="Q5" s="217"/>
      <c r="R5" s="217"/>
      <c r="S5" s="217"/>
      <c r="T5" s="217"/>
    </row>
    <row r="6" spans="1:20" x14ac:dyDescent="0.25">
      <c r="A6" t="str">
        <v>WEBPAGE:</v>
      </c>
      <c r="B6" t="str">
        <v>https://github.com/ryanduguid/Ozzit</v>
      </c>
      <c r="M6" s="217"/>
      <c r="N6" s="217"/>
      <c r="O6" s="217"/>
      <c r="P6" s="217"/>
      <c r="Q6" s="217"/>
      <c r="R6" s="217"/>
      <c r="S6" s="217"/>
      <c r="T6" s="217"/>
    </row>
    <row r="7" spans="1:20" x14ac:dyDescent="0.25">
      <c r="A7" t="str">
        <v>VERSION:</v>
      </c>
      <c r="B7" t="str">
        <v>20 Aug 2026</v>
      </c>
      <c r="K7" s="132"/>
      <c r="L7" s="132"/>
      <c r="M7" s="217"/>
      <c r="N7" s="217"/>
      <c r="O7" s="217"/>
      <c r="P7" s="217"/>
      <c r="Q7" s="217"/>
      <c r="R7" s="217"/>
      <c r="S7" s="217"/>
      <c r="T7" s="217"/>
    </row>
    <row r="8" spans="1:20" x14ac:dyDescent="0.25">
      <c r="A8" t="str">
        <v>PARAMETERS:</v>
      </c>
      <c r="B8" t="str">
        <v/>
      </c>
      <c r="K8" s="132"/>
      <c r="L8" s="132"/>
      <c r="M8" s="217"/>
      <c r="N8" s="217"/>
      <c r="O8" s="217"/>
      <c r="P8" s="217"/>
      <c r="Q8" s="217"/>
      <c r="R8" s="217"/>
      <c r="S8" s="217"/>
      <c r="T8" s="217"/>
    </row>
    <row r="9" spans="1:20" x14ac:dyDescent="0.25">
      <c r="A9" t="str">
        <v>DepreciationSchedule</v>
      </c>
      <c r="B9" t="str">
        <v>(Required) An array produced by Depreciateλ</v>
      </c>
      <c r="K9" s="132"/>
      <c r="L9" s="132"/>
      <c r="M9" s="217"/>
      <c r="N9" s="217"/>
      <c r="O9" s="217"/>
      <c r="P9" s="217"/>
      <c r="Q9" s="217"/>
      <c r="R9" s="217"/>
      <c r="S9" s="217"/>
      <c r="T9" s="217"/>
    </row>
    <row r="10" spans="1:20" x14ac:dyDescent="0.25">
      <c r="A10" t="str">
        <v/>
      </c>
      <c r="B10" t="str">
        <v/>
      </c>
      <c r="K10" s="132"/>
      <c r="L10" s="132"/>
      <c r="M10" s="217"/>
      <c r="N10" s="217"/>
      <c r="O10" s="217"/>
      <c r="P10" s="217"/>
      <c r="Q10" s="217"/>
      <c r="R10" s="217"/>
      <c r="S10" s="217"/>
      <c r="T10" s="217"/>
    </row>
    <row r="11" spans="1:20" x14ac:dyDescent="0.25">
      <c r="A11" t="str">
        <v>EXAMPLES:</v>
      </c>
      <c r="B11" t="str">
        <v/>
      </c>
      <c r="K11" s="132"/>
      <c r="L11" s="132"/>
      <c r="M11" s="217"/>
      <c r="N11" s="217"/>
      <c r="O11" s="217"/>
      <c r="P11" s="217"/>
      <c r="Q11" s="217"/>
      <c r="R11" s="217"/>
      <c r="S11" s="217"/>
      <c r="T11" s="217"/>
    </row>
    <row r="12" spans="1:20" x14ac:dyDescent="0.25">
      <c r="A12" t="str">
        <v>Result</v>
      </c>
      <c r="B12" t="str">
        <v>Formula (oz is assumed to be the module's name)</v>
      </c>
      <c r="K12" s="132"/>
      <c r="L12" s="132"/>
      <c r="M12" s="217"/>
      <c r="N12" s="217"/>
      <c r="O12" s="217"/>
      <c r="P12" s="217"/>
      <c r="Q12" s="217"/>
      <c r="R12" s="217"/>
      <c r="S12" s="217"/>
      <c r="T12" s="217"/>
    </row>
    <row r="13" spans="1:20" x14ac:dyDescent="0.25">
      <c r="A13" t="str">
        <v/>
      </c>
      <c r="B13" t="str">
        <v>=oz.SumDepreciateλ(DepreciationSchedule)</v>
      </c>
      <c r="K13" s="132"/>
      <c r="L13" s="132"/>
      <c r="M13" s="217"/>
      <c r="N13" s="217"/>
      <c r="O13" s="217"/>
      <c r="P13" s="217"/>
      <c r="Q13" s="217"/>
      <c r="R13" s="217"/>
      <c r="S13" s="217"/>
      <c r="T13" s="217"/>
    </row>
    <row r="15" spans="1:20" ht="21" x14ac:dyDescent="0.35">
      <c r="A15" s="200" t="s">
        <v>148</v>
      </c>
      <c r="B15" s="200"/>
      <c r="C15" s="200"/>
      <c r="J15" s="2" t="s">
        <v>165</v>
      </c>
    </row>
    <row r="17" spans="1:23" x14ac:dyDescent="0.25">
      <c r="A17" s="60" t="s">
        <v>149</v>
      </c>
      <c r="B17" s="60" t="s">
        <v>14</v>
      </c>
      <c r="C17" s="60" t="s">
        <v>15</v>
      </c>
      <c r="J17" s="89" t="s">
        <v>7</v>
      </c>
      <c r="K17" s="89"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40">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3" t="s">
        <v>171</v>
      </c>
      <c r="B23" s="194"/>
      <c r="C23" s="194"/>
      <c r="D23" s="194"/>
      <c r="E23" s="194"/>
      <c r="F23" s="194"/>
      <c r="G23" s="194"/>
      <c r="H23" s="214"/>
    </row>
    <row r="24" spans="1:23" x14ac:dyDescent="0.25">
      <c r="A24" s="210"/>
      <c r="B24" s="211"/>
      <c r="C24" s="211"/>
      <c r="D24" s="211"/>
      <c r="E24" s="211"/>
      <c r="F24" s="211"/>
      <c r="G24" s="211"/>
      <c r="H24" s="211"/>
    </row>
    <row r="25" spans="1:23" x14ac:dyDescent="0.25">
      <c r="A25" s="92" t="s">
        <v>172</v>
      </c>
      <c r="B25" s="93" t="s">
        <v>125</v>
      </c>
      <c r="C25" s="93" t="s">
        <v>173</v>
      </c>
      <c r="D25" s="93" t="s">
        <v>182</v>
      </c>
      <c r="E25" s="93" t="s">
        <v>174</v>
      </c>
      <c r="F25" s="93" t="s">
        <v>6</v>
      </c>
      <c r="G25" s="93" t="s">
        <v>183</v>
      </c>
      <c r="H25" s="92" t="s">
        <v>175</v>
      </c>
      <c r="J25" s="89" t="s">
        <v>7</v>
      </c>
      <c r="K25" s="89"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94">
        <v>25000</v>
      </c>
      <c r="C26" s="19">
        <v>46204</v>
      </c>
      <c r="D26" s="94">
        <v>8</v>
      </c>
      <c r="E26" s="94">
        <v>1000</v>
      </c>
      <c r="F26" s="19"/>
      <c r="G26" s="94">
        <v>500</v>
      </c>
      <c r="H26" s="19" t="s">
        <v>176</v>
      </c>
      <c r="J26" s="91" t="str" cm="1">
        <f t="array" ref="J26:J45">oz.LabelDepreciateλ(tblAssets1112[Asset])</f>
        <v>Cutter CAPEX</v>
      </c>
      <c r="K26" s="61" cm="1">
        <f t="array" ref="K26:K45">oz.SumDepreciateλ(_xlfn.ANCHORARRAY(L26))</f>
        <v>0</v>
      </c>
      <c r="L26" s="91"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180</v>
      </c>
      <c r="B27" s="94">
        <v>10000</v>
      </c>
      <c r="C27" s="19">
        <v>46661</v>
      </c>
      <c r="D27" s="94">
        <v>10</v>
      </c>
      <c r="E27" s="94">
        <v>500</v>
      </c>
      <c r="F27" s="19"/>
      <c r="G27" s="94">
        <v>100</v>
      </c>
      <c r="H27" s="19"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94">
        <v>50546</v>
      </c>
      <c r="C28" s="95">
        <v>47484</v>
      </c>
      <c r="D28" s="96">
        <v>20</v>
      </c>
      <c r="E28" s="94">
        <v>1000</v>
      </c>
      <c r="F28" s="19"/>
      <c r="G28" s="94">
        <v>250</v>
      </c>
      <c r="H28" s="19"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drawing r:id="rId1"/>
  <tableParts count="1">
    <tablePart r:id="rId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5C2D91"/>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6" t="str">
        <f ca="1">_xlfn.TEXTAFTER(CELL("filename",A1),"]")</f>
        <v>oz.SumContainsλ</v>
      </c>
      <c r="B1" s="186"/>
      <c r="C1" s="186"/>
      <c r="D1" s="186"/>
      <c r="E1" s="186"/>
      <c r="F1" s="186"/>
      <c r="G1" s="186"/>
      <c r="H1" s="186"/>
      <c r="I1" s="186"/>
      <c r="J1" s="186"/>
      <c r="K1" s="186"/>
      <c r="L1" s="186"/>
      <c r="M1" s="186"/>
      <c r="N1" s="186"/>
      <c r="O1" s="186"/>
      <c r="P1" s="186"/>
      <c r="Q1" s="186"/>
    </row>
    <row r="2" spans="1:20" x14ac:dyDescent="0.25">
      <c r="A2" s="187" t="s">
        <v>244</v>
      </c>
      <c r="B2" s="212"/>
      <c r="C2" s="212"/>
      <c r="D2" s="212"/>
      <c r="E2" s="212"/>
      <c r="F2" s="212"/>
      <c r="G2" s="212"/>
      <c r="H2" s="212"/>
      <c r="I2" s="212"/>
      <c r="J2" s="212"/>
      <c r="K2" s="212"/>
      <c r="L2" s="212"/>
      <c r="M2" s="212"/>
      <c r="N2" s="212"/>
      <c r="O2" s="212"/>
      <c r="P2" s="212"/>
      <c r="Q2" s="213"/>
    </row>
    <row r="3" spans="1:20" x14ac:dyDescent="0.25">
      <c r="A3" s="4"/>
      <c r="B3" s="4"/>
      <c r="C3" s="4"/>
      <c r="D3" s="4"/>
      <c r="E3" s="4"/>
      <c r="F3" s="4"/>
      <c r="G3" s="4"/>
      <c r="H3" s="4"/>
      <c r="I3" s="4"/>
      <c r="J3" s="4"/>
      <c r="K3" s="4"/>
      <c r="L3" s="4"/>
      <c r="M3" s="4"/>
      <c r="N3" s="4"/>
      <c r="O3" s="4"/>
      <c r="P3" s="4"/>
      <c r="Q3" s="4"/>
    </row>
    <row r="4" spans="1:20" x14ac:dyDescent="0.25">
      <c r="A4" s="61" t="str" cm="1">
        <f t="array" ref="A4:B17">oz.SumContainsλ()</f>
        <v>FUNCTION:</v>
      </c>
      <c r="B4" t="str">
        <v>SumContainsλ(ValuesToFilter, ValueLabels, FilterByText, [IgnoreCase?])</v>
      </c>
      <c r="M4" s="217"/>
      <c r="N4" s="217"/>
      <c r="O4" s="217"/>
      <c r="P4" s="217"/>
      <c r="Q4" s="217"/>
      <c r="R4" s="217"/>
      <c r="S4" s="217"/>
      <c r="T4" s="217"/>
    </row>
    <row r="5" spans="1:20" x14ac:dyDescent="0.25">
      <c r="A5" t="str">
        <v>DESCRIPTION:</v>
      </c>
      <c r="B5" t="str">
        <v>Creates a row of column totals for each row in an array where</v>
      </c>
      <c r="M5" s="217"/>
      <c r="N5" s="217"/>
      <c r="O5" s="217"/>
      <c r="P5" s="217"/>
      <c r="Q5" s="217"/>
      <c r="R5" s="217"/>
      <c r="S5" s="217"/>
      <c r="T5" s="217"/>
    </row>
    <row r="6" spans="1:20" x14ac:dyDescent="0.25">
      <c r="A6" t="str">
        <v/>
      </c>
      <c r="B6" t="str">
        <v>its labels contain a unique letter, word, or phrase.</v>
      </c>
      <c r="M6" s="217"/>
      <c r="N6" s="217"/>
      <c r="O6" s="217"/>
      <c r="P6" s="217"/>
      <c r="Q6" s="217"/>
      <c r="R6" s="217"/>
      <c r="S6" s="217"/>
      <c r="T6" s="217"/>
    </row>
    <row r="7" spans="1:20" x14ac:dyDescent="0.25">
      <c r="A7" t="str">
        <v>SEE ALSO:</v>
      </c>
      <c r="B7" t="str">
        <v>Excel 365 now has GROUPBY and PIVOTBY for formula-driven aggregation.</v>
      </c>
      <c r="K7" s="132"/>
      <c r="L7" s="132"/>
      <c r="M7" s="217"/>
      <c r="N7" s="217"/>
      <c r="O7" s="217"/>
      <c r="P7" s="217"/>
      <c r="Q7" s="217"/>
      <c r="R7" s="217"/>
      <c r="S7" s="217"/>
      <c r="T7" s="217"/>
    </row>
    <row r="8" spans="1:20" x14ac:dyDescent="0.25">
      <c r="A8" t="str">
        <v>WEBPAGE:</v>
      </c>
      <c r="B8" t="str">
        <v>https://github.com/ryanduguid/Ozzit</v>
      </c>
      <c r="K8" s="132"/>
      <c r="L8" s="132"/>
      <c r="M8" s="217"/>
      <c r="N8" s="217"/>
      <c r="O8" s="217"/>
      <c r="P8" s="217"/>
      <c r="Q8" s="217"/>
      <c r="R8" s="217"/>
      <c r="S8" s="217"/>
      <c r="T8" s="217"/>
    </row>
    <row r="9" spans="1:20" x14ac:dyDescent="0.25">
      <c r="A9" t="str">
        <v>VERSION:</v>
      </c>
      <c r="B9" t="str">
        <v>20 Aug 2026</v>
      </c>
      <c r="K9" s="132"/>
      <c r="L9" s="132"/>
      <c r="M9" s="217"/>
      <c r="N9" s="217"/>
      <c r="O9" s="217"/>
      <c r="P9" s="217"/>
      <c r="Q9" s="217"/>
      <c r="R9" s="217"/>
      <c r="S9" s="217"/>
      <c r="T9" s="217"/>
    </row>
    <row r="10" spans="1:20" x14ac:dyDescent="0.25">
      <c r="A10" t="str">
        <v>PARAMETERS:</v>
      </c>
      <c r="B10" t="str">
        <v/>
      </c>
      <c r="K10" s="132"/>
      <c r="L10" s="132"/>
      <c r="M10" s="217"/>
      <c r="N10" s="217"/>
      <c r="O10" s="217"/>
      <c r="P10" s="217"/>
      <c r="Q10" s="217"/>
      <c r="R10" s="217"/>
      <c r="S10" s="217"/>
      <c r="T10" s="217"/>
    </row>
    <row r="11" spans="1:20" x14ac:dyDescent="0.25">
      <c r="A11" t="str">
        <v>ValuesToFilter</v>
      </c>
      <c r="B11" t="str">
        <v>(Required) An array of values to be filtered</v>
      </c>
      <c r="K11" s="132"/>
      <c r="L11" s="132"/>
      <c r="M11" s="217"/>
      <c r="N11" s="217"/>
      <c r="O11" s="217"/>
      <c r="P11" s="217"/>
      <c r="Q11" s="217"/>
      <c r="R11" s="217"/>
      <c r="S11" s="217"/>
      <c r="T11" s="217"/>
    </row>
    <row r="12" spans="1:20" x14ac:dyDescent="0.25">
      <c r="A12" t="str">
        <v>ValueLabels</v>
      </c>
      <c r="B12" t="str">
        <v>(Required) An array containing the values' labels</v>
      </c>
      <c r="K12" s="132"/>
      <c r="L12" s="132"/>
      <c r="M12" s="217"/>
      <c r="N12" s="217"/>
      <c r="O12" s="217"/>
      <c r="P12" s="217"/>
      <c r="Q12" s="217"/>
      <c r="R12" s="217"/>
      <c r="S12" s="217"/>
      <c r="T12" s="217"/>
    </row>
    <row r="13" spans="1:20" x14ac:dyDescent="0.25">
      <c r="A13" t="str">
        <v>FilterByText</v>
      </c>
      <c r="B13" t="str">
        <v>(Required) A unique letter, word or phrase to find contained in ValueLabels</v>
      </c>
      <c r="K13" s="132"/>
      <c r="L13" s="132"/>
      <c r="M13" s="217"/>
      <c r="N13" s="217"/>
      <c r="O13" s="217"/>
      <c r="P13" s="217"/>
      <c r="Q13" s="217"/>
      <c r="R13" s="217"/>
      <c r="S13" s="217"/>
      <c r="T13" s="217"/>
    </row>
    <row r="14" spans="1:20" x14ac:dyDescent="0.25">
      <c r="A14" t="str">
        <v>IgnoreCase?</v>
      </c>
      <c r="B14" t="str">
        <v>(Optional) A flag to determine if Text's case is important. Default is TRUE</v>
      </c>
      <c r="K14" s="132"/>
      <c r="L14" s="132"/>
      <c r="M14" s="133"/>
      <c r="N14" s="133"/>
      <c r="O14" s="133"/>
      <c r="P14" s="133"/>
      <c r="Q14" s="133"/>
      <c r="R14" s="133"/>
      <c r="S14" s="133"/>
      <c r="T14" s="133"/>
    </row>
    <row r="15" spans="1:20" x14ac:dyDescent="0.25">
      <c r="A15" t="str">
        <v>EXAMPLES:</v>
      </c>
      <c r="B15" t="str">
        <v/>
      </c>
      <c r="K15" s="132"/>
      <c r="L15" s="132"/>
      <c r="M15" s="133"/>
      <c r="N15" s="133"/>
      <c r="O15" s="133"/>
      <c r="P15" s="133"/>
      <c r="Q15" s="133"/>
      <c r="R15" s="133"/>
      <c r="S15" s="133"/>
      <c r="T15" s="133"/>
    </row>
    <row r="16" spans="1:20" x14ac:dyDescent="0.25">
      <c r="A16" t="str">
        <v>Result</v>
      </c>
      <c r="B16" t="str">
        <v>Formula (oz is assumed to be the module's name)</v>
      </c>
      <c r="K16" s="132"/>
      <c r="L16" s="132"/>
      <c r="M16" s="133"/>
      <c r="N16" s="133"/>
      <c r="O16" s="133"/>
      <c r="P16" s="133"/>
      <c r="Q16" s="133"/>
      <c r="R16" s="133"/>
      <c r="S16" s="133"/>
      <c r="T16" s="133"/>
    </row>
    <row r="17" spans="1:23" x14ac:dyDescent="0.25">
      <c r="A17" t="str">
        <v/>
      </c>
      <c r="B17" t="str">
        <v>=oz.SumContainsλ( Array, Labels, "CAPEX" )</v>
      </c>
    </row>
    <row r="18" spans="1:23" ht="21" x14ac:dyDescent="0.35">
      <c r="A18" s="200" t="s">
        <v>148</v>
      </c>
      <c r="B18" s="200"/>
      <c r="C18" s="200"/>
      <c r="J18" s="2" t="s">
        <v>165</v>
      </c>
    </row>
    <row r="20" spans="1:23" x14ac:dyDescent="0.25">
      <c r="A20" s="60" t="s">
        <v>149</v>
      </c>
      <c r="B20" s="60" t="s">
        <v>14</v>
      </c>
      <c r="C20" s="60" t="s">
        <v>15</v>
      </c>
      <c r="J20" s="89" t="s">
        <v>7</v>
      </c>
      <c r="K20" s="89" t="s">
        <v>152</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112</v>
      </c>
      <c r="B21" s="40">
        <v>46569</v>
      </c>
      <c r="C21" t="s">
        <v>21</v>
      </c>
      <c r="J21" t="s">
        <v>218</v>
      </c>
      <c r="L21" s="61"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17</v>
      </c>
      <c r="B22">
        <v>12</v>
      </c>
      <c r="C22" t="s">
        <v>22</v>
      </c>
      <c r="J22" t="s">
        <v>219</v>
      </c>
      <c r="L22" s="61"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18</v>
      </c>
      <c r="B23" t="s">
        <v>2</v>
      </c>
      <c r="J23" t="s">
        <v>220</v>
      </c>
      <c r="L23" s="61"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221</v>
      </c>
      <c r="L24" s="61"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222</v>
      </c>
      <c r="L25" s="61"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193" t="s">
        <v>171</v>
      </c>
      <c r="B26" s="194"/>
      <c r="C26" s="194"/>
      <c r="D26" s="194"/>
      <c r="E26" s="194"/>
      <c r="F26" s="194"/>
      <c r="G26" s="194"/>
      <c r="H26" s="214"/>
    </row>
    <row r="27" spans="1:23" x14ac:dyDescent="0.25">
      <c r="A27" s="210"/>
      <c r="B27" s="211"/>
      <c r="C27" s="211"/>
      <c r="D27" s="211"/>
      <c r="E27" s="211"/>
      <c r="F27" s="211"/>
      <c r="G27" s="211"/>
      <c r="H27" s="211"/>
    </row>
    <row r="28" spans="1:23" x14ac:dyDescent="0.25">
      <c r="A28" s="92" t="s">
        <v>172</v>
      </c>
      <c r="B28" s="93" t="s">
        <v>125</v>
      </c>
      <c r="C28" s="93" t="s">
        <v>173</v>
      </c>
      <c r="D28" s="93" t="s">
        <v>182</v>
      </c>
      <c r="E28" s="93" t="s">
        <v>174</v>
      </c>
      <c r="F28" s="93" t="s">
        <v>6</v>
      </c>
      <c r="G28" s="93" t="s">
        <v>183</v>
      </c>
      <c r="H28" s="92" t="s">
        <v>175</v>
      </c>
      <c r="J28" s="89" t="s">
        <v>7</v>
      </c>
      <c r="K28" s="89" t="s">
        <v>152</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179</v>
      </c>
      <c r="B29" s="94">
        <v>25000</v>
      </c>
      <c r="C29" s="19">
        <v>46204</v>
      </c>
      <c r="D29" s="94">
        <v>8</v>
      </c>
      <c r="E29" s="94">
        <v>1000</v>
      </c>
      <c r="F29" s="19"/>
      <c r="G29" s="94">
        <v>500</v>
      </c>
      <c r="H29" s="19" t="s">
        <v>176</v>
      </c>
      <c r="J29" s="91" t="str" cm="1">
        <f t="array" ref="J29:J48">oz.LabelDepreciateλ(tblAssets111214[Asset])</f>
        <v>Cutter CAPEX</v>
      </c>
      <c r="K29" s="91" cm="1">
        <f t="array" ref="K29:K48">oz.SumDepreciateλ(_xlfn.ANCHORARRAY(L29))</f>
        <v>0</v>
      </c>
      <c r="L29" s="91"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180</v>
      </c>
      <c r="B30" s="94">
        <v>10000</v>
      </c>
      <c r="C30" s="19">
        <v>46661</v>
      </c>
      <c r="D30" s="94">
        <v>10</v>
      </c>
      <c r="E30" s="94">
        <v>500</v>
      </c>
      <c r="F30" s="19"/>
      <c r="G30" s="94">
        <v>100</v>
      </c>
      <c r="H30" s="19" t="s">
        <v>177</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181</v>
      </c>
      <c r="B31" s="94">
        <v>50546</v>
      </c>
      <c r="C31" s="95">
        <v>47484</v>
      </c>
      <c r="D31" s="96">
        <v>20</v>
      </c>
      <c r="E31" s="94">
        <v>1000</v>
      </c>
      <c r="F31" s="19"/>
      <c r="G31" s="94">
        <v>250</v>
      </c>
      <c r="H31" s="19" t="s">
        <v>178</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drawing r:id="rId1"/>
  <tableParts count="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5C2D91"/>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186" t="str">
        <f ca="1">_xlfn.TEXTAFTER(CELL("filename",A1),"]")</f>
        <v>oz.IntOnIntλ</v>
      </c>
      <c r="B1" s="186"/>
      <c r="C1" s="186"/>
      <c r="D1" s="186"/>
      <c r="E1" s="186"/>
      <c r="F1" s="186"/>
      <c r="G1" s="186"/>
      <c r="H1" s="186"/>
      <c r="I1" s="186"/>
      <c r="J1" s="186"/>
      <c r="K1" s="186"/>
      <c r="L1" s="186"/>
      <c r="M1" s="186"/>
      <c r="N1" s="186"/>
      <c r="O1" s="186"/>
      <c r="P1" s="186"/>
    </row>
    <row r="2" spans="1:17" x14ac:dyDescent="0.25">
      <c r="A2" s="187" t="s">
        <v>85</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c r="L3" s="4"/>
      <c r="M3" s="4"/>
      <c r="N3" s="4"/>
      <c r="O3" s="4"/>
      <c r="P3" s="4"/>
    </row>
    <row r="4" spans="1:17" x14ac:dyDescent="0.25">
      <c r="A4" s="61"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200" t="s">
        <v>148</v>
      </c>
      <c r="B17" s="200"/>
      <c r="C17" s="200"/>
    </row>
    <row r="18" spans="1:21" x14ac:dyDescent="0.25">
      <c r="I18" s="90" t="s">
        <v>155</v>
      </c>
      <c r="J18" s="64" cm="1">
        <f t="array" ref="J18:U18">oz.Timelineλ($B$20, $B$21, $B$22, FALSE)</f>
        <v>46568</v>
      </c>
      <c r="K18" s="64">
        <v>46934</v>
      </c>
      <c r="L18" s="64">
        <v>47299</v>
      </c>
      <c r="M18" s="64">
        <v>47664</v>
      </c>
      <c r="N18" s="64">
        <v>48029</v>
      </c>
      <c r="O18" s="64">
        <v>48395</v>
      </c>
      <c r="P18" s="64">
        <v>48760</v>
      </c>
      <c r="Q18" s="64">
        <v>49125</v>
      </c>
      <c r="R18" s="64">
        <v>49490</v>
      </c>
      <c r="S18" s="64">
        <v>49856</v>
      </c>
      <c r="T18" s="64">
        <v>50221</v>
      </c>
      <c r="U18" s="64">
        <v>50586</v>
      </c>
    </row>
    <row r="19" spans="1:21" x14ac:dyDescent="0.25">
      <c r="A19" s="60" t="s">
        <v>149</v>
      </c>
      <c r="B19" s="60" t="s">
        <v>14</v>
      </c>
      <c r="C19" s="60" t="s">
        <v>15</v>
      </c>
      <c r="F19" s="98" t="s">
        <v>134</v>
      </c>
      <c r="G19" s="99" t="s">
        <v>14</v>
      </c>
      <c r="H19" s="98" t="s">
        <v>15</v>
      </c>
      <c r="I19" s="89" t="s">
        <v>152</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112</v>
      </c>
      <c r="B20" s="40">
        <v>46204</v>
      </c>
      <c r="C20" t="s">
        <v>21</v>
      </c>
      <c r="F20" s="2" t="s">
        <v>186</v>
      </c>
    </row>
    <row r="21" spans="1:21" x14ac:dyDescent="0.25">
      <c r="A21" t="s">
        <v>17</v>
      </c>
      <c r="B21">
        <v>12</v>
      </c>
      <c r="C21" t="s">
        <v>22</v>
      </c>
      <c r="F21" s="20" t="s">
        <v>112</v>
      </c>
      <c r="G21" s="40">
        <f>_xlfn.XLOOKUP(F20, tblPhases[Description], tblPhases[Start])</f>
        <v>46204</v>
      </c>
      <c r="H21" t="s">
        <v>6</v>
      </c>
    </row>
    <row r="22" spans="1:21" x14ac:dyDescent="0.25">
      <c r="A22" t="s">
        <v>18</v>
      </c>
      <c r="B22" t="s">
        <v>2</v>
      </c>
      <c r="F22" s="20" t="s">
        <v>162</v>
      </c>
      <c r="G22" s="97">
        <f>_xlfn.XLOOKUP(F20, tblPhases[Description], tblPhases[APR])</f>
        <v>7.0000000000000007E-2</v>
      </c>
      <c r="H22" t="s">
        <v>133</v>
      </c>
    </row>
    <row r="23" spans="1:21" x14ac:dyDescent="0.25">
      <c r="F23" s="20" t="s">
        <v>161</v>
      </c>
      <c r="G23">
        <f>_xlfn.XLOOKUP(F20,tblPhases[Description],tblPhases[Principal])</f>
        <v>50546</v>
      </c>
      <c r="H23" t="s">
        <v>37</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218"/>
      <c r="B24" s="218"/>
      <c r="C24" s="218"/>
      <c r="D24" s="218"/>
      <c r="F24" s="20" t="s">
        <v>189</v>
      </c>
      <c r="J24" s="61" cm="1">
        <f t="array" ref="J24:U24">oz.IntOnIntλ(_xlfn.ANCHORARRAY(J23),G22)</f>
        <v>3804.5376344086035</v>
      </c>
      <c r="K24">
        <v>0</v>
      </c>
      <c r="L24">
        <v>0</v>
      </c>
      <c r="M24">
        <v>0</v>
      </c>
      <c r="N24">
        <v>0</v>
      </c>
      <c r="O24">
        <v>0</v>
      </c>
      <c r="P24">
        <v>0</v>
      </c>
      <c r="Q24">
        <v>0</v>
      </c>
      <c r="R24">
        <v>0</v>
      </c>
      <c r="S24">
        <v>0</v>
      </c>
      <c r="T24">
        <v>0</v>
      </c>
      <c r="U24">
        <v>0</v>
      </c>
    </row>
    <row r="25" spans="1:21" ht="21" x14ac:dyDescent="0.35">
      <c r="A25" s="197" t="s">
        <v>191</v>
      </c>
      <c r="B25" s="201"/>
      <c r="C25" s="201"/>
      <c r="D25" s="201"/>
      <c r="F25" s="2" t="s">
        <v>190</v>
      </c>
      <c r="J25" s="66" cm="1">
        <f t="array" ref="J25:U25">_xlfn.ANCHORARRAY(J23)+_xlfn.ANCHORARRAY(J24)</f>
        <v>54350.537634408603</v>
      </c>
      <c r="K25" s="66">
        <v>0</v>
      </c>
      <c r="L25" s="66">
        <v>0</v>
      </c>
      <c r="M25" s="66">
        <v>0</v>
      </c>
      <c r="N25" s="66">
        <v>0</v>
      </c>
      <c r="O25" s="66">
        <v>0</v>
      </c>
      <c r="P25" s="66">
        <v>0</v>
      </c>
      <c r="Q25" s="66">
        <v>0</v>
      </c>
      <c r="R25" s="66">
        <v>0</v>
      </c>
      <c r="S25" s="66">
        <v>0</v>
      </c>
      <c r="T25" s="66">
        <v>0</v>
      </c>
      <c r="U25" s="66">
        <v>0</v>
      </c>
    </row>
    <row r="26" spans="1:21" x14ac:dyDescent="0.25">
      <c r="A26" s="199"/>
      <c r="B26" s="198"/>
      <c r="C26" s="198"/>
      <c r="D26" s="198"/>
    </row>
    <row r="27" spans="1:21" x14ac:dyDescent="0.25">
      <c r="A27" s="71" t="s">
        <v>7</v>
      </c>
      <c r="B27" s="72" t="s">
        <v>161</v>
      </c>
      <c r="C27" s="72" t="s">
        <v>112</v>
      </c>
      <c r="D27" s="72" t="s">
        <v>162</v>
      </c>
      <c r="F27" s="2" t="s">
        <v>187</v>
      </c>
    </row>
    <row r="28" spans="1:21" x14ac:dyDescent="0.25">
      <c r="A28" s="76" t="s">
        <v>186</v>
      </c>
      <c r="B28" s="77">
        <v>50546</v>
      </c>
      <c r="C28" s="80">
        <v>46204</v>
      </c>
      <c r="D28" s="78">
        <v>7.0000000000000007E-2</v>
      </c>
      <c r="F28" s="20" t="s">
        <v>112</v>
      </c>
      <c r="G28" s="40">
        <f>_xlfn.XLOOKUP(F27,tblPhases[Description],tblPhases[Start])</f>
        <v>46569</v>
      </c>
      <c r="H28" t="s">
        <v>6</v>
      </c>
    </row>
    <row r="29" spans="1:21" x14ac:dyDescent="0.25">
      <c r="A29" s="76" t="s">
        <v>187</v>
      </c>
      <c r="B29" s="77">
        <v>500000</v>
      </c>
      <c r="C29" s="80">
        <v>46569</v>
      </c>
      <c r="D29" s="78">
        <v>6.5000000000000002E-2</v>
      </c>
      <c r="F29" s="20" t="s">
        <v>162</v>
      </c>
      <c r="G29" s="97">
        <f>_xlfn.XLOOKUP(F27,tblPhases[Description],tblPhases[APR])</f>
        <v>6.5000000000000002E-2</v>
      </c>
      <c r="H29" t="s">
        <v>133</v>
      </c>
    </row>
    <row r="30" spans="1:21" x14ac:dyDescent="0.25">
      <c r="A30" s="76" t="s">
        <v>188</v>
      </c>
      <c r="B30" s="77">
        <v>450000</v>
      </c>
      <c r="C30" s="80">
        <v>46935</v>
      </c>
      <c r="D30" s="78">
        <v>0.08</v>
      </c>
      <c r="F30" s="20" t="s">
        <v>161</v>
      </c>
      <c r="G30">
        <f>_xlfn.XLOOKUP(F27,tblPhases[Description],tblPhases[Principal])</f>
        <v>500000</v>
      </c>
      <c r="H30" t="s">
        <v>37</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20" t="s">
        <v>189</v>
      </c>
      <c r="J31" s="61" cm="1">
        <f t="array" ref="J31:U31">oz.IntOnIntλ(_xlfn.ANCHORARRAY(J30),G29)</f>
        <v>0</v>
      </c>
      <c r="K31">
        <v>34759.358288770076</v>
      </c>
      <c r="L31">
        <v>0</v>
      </c>
      <c r="M31">
        <v>0</v>
      </c>
      <c r="N31">
        <v>0</v>
      </c>
      <c r="O31">
        <v>0</v>
      </c>
      <c r="P31">
        <v>0</v>
      </c>
      <c r="Q31">
        <v>0</v>
      </c>
      <c r="R31">
        <v>0</v>
      </c>
      <c r="S31">
        <v>0</v>
      </c>
      <c r="T31">
        <v>0</v>
      </c>
      <c r="U31">
        <v>0</v>
      </c>
    </row>
    <row r="32" spans="1:21" x14ac:dyDescent="0.25">
      <c r="F32" s="2" t="s">
        <v>190</v>
      </c>
      <c r="J32" s="66" cm="1">
        <f t="array" ref="J32:U32">_xlfn.ANCHORARRAY(J30)+_xlfn.ANCHORARRAY(J31)</f>
        <v>0</v>
      </c>
      <c r="K32" s="66">
        <v>534759.35828877008</v>
      </c>
      <c r="L32" s="66">
        <v>0</v>
      </c>
      <c r="M32" s="66">
        <v>0</v>
      </c>
      <c r="N32" s="66">
        <v>0</v>
      </c>
      <c r="O32" s="66">
        <v>0</v>
      </c>
      <c r="P32" s="66">
        <v>0</v>
      </c>
      <c r="Q32" s="66">
        <v>0</v>
      </c>
      <c r="R32" s="66">
        <v>0</v>
      </c>
      <c r="S32" s="66">
        <v>0</v>
      </c>
      <c r="T32" s="66">
        <v>0</v>
      </c>
      <c r="U32" s="66">
        <v>0</v>
      </c>
    </row>
    <row r="34" spans="6:21" x14ac:dyDescent="0.25">
      <c r="F34" s="2" t="s">
        <v>188</v>
      </c>
    </row>
    <row r="35" spans="6:21" x14ac:dyDescent="0.25">
      <c r="F35" s="20" t="s">
        <v>112</v>
      </c>
      <c r="G35" s="40">
        <f>_xlfn.XLOOKUP(F34,tblPhases[Description],tblPhases[Start])</f>
        <v>46935</v>
      </c>
      <c r="H35" t="s">
        <v>6</v>
      </c>
    </row>
    <row r="36" spans="6:21" x14ac:dyDescent="0.25">
      <c r="F36" s="20" t="s">
        <v>162</v>
      </c>
      <c r="G36" s="97">
        <f>_xlfn.XLOOKUP(F34,tblPhases[Description],tblPhases[APR])</f>
        <v>0.08</v>
      </c>
      <c r="H36" t="s">
        <v>133</v>
      </c>
    </row>
    <row r="37" spans="6:21" x14ac:dyDescent="0.25">
      <c r="F37" s="20" t="s">
        <v>161</v>
      </c>
      <c r="G37">
        <f>_xlfn.XLOOKUP(F34,tblPhases[Description],tblPhases[Principal])</f>
        <v>450000</v>
      </c>
      <c r="H37" t="s">
        <v>37</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20" t="s">
        <v>189</v>
      </c>
      <c r="J38" s="61" cm="1">
        <f t="array" ref="J38:U38">oz.IntOnIntλ(_xlfn.ANCHORARRAY(J37),G36)</f>
        <v>0</v>
      </c>
      <c r="K38">
        <v>0</v>
      </c>
      <c r="L38">
        <v>39130.434782608703</v>
      </c>
      <c r="M38">
        <v>0</v>
      </c>
      <c r="N38">
        <v>0</v>
      </c>
      <c r="O38">
        <v>0</v>
      </c>
      <c r="P38">
        <v>0</v>
      </c>
      <c r="Q38">
        <v>0</v>
      </c>
      <c r="R38">
        <v>0</v>
      </c>
      <c r="S38">
        <v>0</v>
      </c>
      <c r="T38">
        <v>0</v>
      </c>
      <c r="U38">
        <v>0</v>
      </c>
    </row>
    <row r="39" spans="6:21" x14ac:dyDescent="0.25">
      <c r="F39" s="2" t="s">
        <v>190</v>
      </c>
      <c r="J39" s="66" cm="1">
        <f t="array" ref="J39:U39">_xlfn.ANCHORARRAY(J37)+_xlfn.ANCHORARRAY(J38)</f>
        <v>0</v>
      </c>
      <c r="K39" s="66">
        <v>0</v>
      </c>
      <c r="L39" s="66">
        <v>489130.4347826087</v>
      </c>
      <c r="M39" s="66">
        <v>0</v>
      </c>
      <c r="N39" s="66">
        <v>0</v>
      </c>
      <c r="O39" s="66">
        <v>0</v>
      </c>
      <c r="P39" s="66">
        <v>0</v>
      </c>
      <c r="Q39" s="66">
        <v>0</v>
      </c>
      <c r="R39" s="66">
        <v>0</v>
      </c>
      <c r="S39" s="66">
        <v>0</v>
      </c>
      <c r="T39" s="66">
        <v>0</v>
      </c>
      <c r="U39" s="66">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drawing r:id="rId1"/>
  <tableParts count="1">
    <tablePart r:id="rId2"/>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5C2D91"/>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186" t="str">
        <f ca="1">_xlfn.TEXTAFTER(CELL("filename",A1),"]")</f>
        <v>oz.IRRλ</v>
      </c>
      <c r="B1" s="186"/>
      <c r="C1" s="186"/>
      <c r="D1" s="186"/>
      <c r="E1" s="186"/>
      <c r="F1" s="186"/>
      <c r="G1" s="186"/>
      <c r="H1" s="186"/>
      <c r="I1" s="186"/>
      <c r="J1" s="186"/>
    </row>
    <row r="2" spans="1:18" x14ac:dyDescent="0.25">
      <c r="A2" s="187" t="s">
        <v>86</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row>
    <row r="4" spans="1:18" x14ac:dyDescent="0.25">
      <c r="A4" s="61"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200" t="s">
        <v>148</v>
      </c>
      <c r="B23" s="200"/>
      <c r="C23" s="200"/>
    </row>
    <row r="25" spans="1:17" x14ac:dyDescent="0.25">
      <c r="A25" s="60" t="s">
        <v>149</v>
      </c>
      <c r="B25" s="60" t="s">
        <v>14</v>
      </c>
      <c r="C25" s="60" t="s">
        <v>15</v>
      </c>
      <c r="E25" s="89" t="s">
        <v>192</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112</v>
      </c>
      <c r="B26" s="40">
        <v>46204</v>
      </c>
      <c r="C26" t="s">
        <v>21</v>
      </c>
      <c r="E26" s="100"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17</v>
      </c>
      <c r="B27">
        <v>12</v>
      </c>
      <c r="C27" t="s">
        <v>22</v>
      </c>
    </row>
    <row r="28" spans="1:17" x14ac:dyDescent="0.25">
      <c r="A28" t="s">
        <v>18</v>
      </c>
      <c r="B28" t="s">
        <v>2</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6" t="str">
        <f ca="1">_xlfn.TEXTAFTER(CELL("filename",A1),"]")</f>
        <v>oz.Reversalλ</v>
      </c>
      <c r="B1" s="186"/>
      <c r="C1" s="186"/>
      <c r="D1" s="186"/>
      <c r="E1" s="186"/>
      <c r="F1" s="186"/>
      <c r="G1" s="186"/>
      <c r="H1" s="186"/>
      <c r="I1" s="186"/>
      <c r="J1" s="186"/>
      <c r="K1" s="186"/>
      <c r="L1" s="186"/>
      <c r="M1" s="186"/>
      <c r="N1" s="186"/>
      <c r="O1" s="186"/>
      <c r="P1" s="186"/>
    </row>
    <row r="2" spans="1:18" x14ac:dyDescent="0.25">
      <c r="A2" s="187" t="s">
        <v>300</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c r="K3" s="4"/>
      <c r="L3" s="4"/>
      <c r="M3" s="4"/>
      <c r="N3" s="4"/>
      <c r="O3" s="4"/>
      <c r="P3" s="4"/>
    </row>
    <row r="4" spans="1:18" x14ac:dyDescent="0.25">
      <c r="A4" s="61"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0,-100,-110</v>
      </c>
      <c r="B13" t="str">
        <v>=oz.Reversalλ( , {100,110,130})</v>
      </c>
    </row>
    <row r="17" spans="1:19" ht="21" x14ac:dyDescent="0.35">
      <c r="A17" s="200" t="s">
        <v>148</v>
      </c>
      <c r="B17" s="200"/>
      <c r="C17" s="200"/>
    </row>
    <row r="19" spans="1:19" x14ac:dyDescent="0.25">
      <c r="A19" s="60" t="s">
        <v>149</v>
      </c>
      <c r="B19" s="60" t="s">
        <v>14</v>
      </c>
      <c r="C19" s="60" t="s">
        <v>15</v>
      </c>
      <c r="F19" s="60" t="s">
        <v>7</v>
      </c>
      <c r="G19" s="54" t="s">
        <v>152</v>
      </c>
      <c r="H19" s="55"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30">
        <v>46204</v>
      </c>
      <c r="C20" t="s">
        <v>21</v>
      </c>
      <c r="F20" t="s">
        <v>5</v>
      </c>
      <c r="G20" cm="1">
        <f t="array" ref="G20">oz.SumRowsλ(_xlfn.ANCHORARRAY(H20))</f>
        <v>2298</v>
      </c>
      <c r="H20" s="91"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17</v>
      </c>
      <c r="B21" s="131">
        <v>12</v>
      </c>
      <c r="C21" t="s">
        <v>22</v>
      </c>
      <c r="F21" s="2" t="s">
        <v>301</v>
      </c>
      <c r="G21" cm="1">
        <f t="array" ref="G21">oz.SumRowsλ(_xlfn.ANCHORARRAY(H21))</f>
        <v>-2035</v>
      </c>
      <c r="H21" s="61"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18</v>
      </c>
      <c r="B22" s="131" t="s">
        <v>20</v>
      </c>
    </row>
    <row r="34" spans="14:14" x14ac:dyDescent="0.25">
      <c r="N34" s="58"/>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5C2D91"/>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6" t="str">
        <f ca="1">_xlfn.TEXTAFTER(CELL("filename",A1),"]")</f>
        <v>oz.Movementλ</v>
      </c>
      <c r="B1" s="186"/>
      <c r="C1" s="186"/>
      <c r="D1" s="186"/>
      <c r="E1" s="186"/>
      <c r="F1" s="186"/>
      <c r="G1" s="186"/>
      <c r="H1" s="186"/>
      <c r="I1" s="186"/>
      <c r="J1" s="186"/>
      <c r="K1" s="186"/>
      <c r="L1" s="186"/>
      <c r="M1" s="186"/>
      <c r="N1" s="186"/>
      <c r="O1" s="186"/>
      <c r="P1" s="186"/>
    </row>
    <row r="2" spans="1:16" x14ac:dyDescent="0.25">
      <c r="A2" s="187" t="s">
        <v>87</v>
      </c>
      <c r="B2" s="188"/>
      <c r="C2" s="188"/>
      <c r="D2" s="188"/>
      <c r="E2" s="188"/>
      <c r="F2" s="188"/>
      <c r="G2" s="188"/>
      <c r="H2" s="188"/>
      <c r="I2" s="188"/>
      <c r="J2" s="188"/>
      <c r="K2" s="188"/>
      <c r="L2" s="188"/>
      <c r="M2" s="188"/>
      <c r="N2" s="188"/>
      <c r="O2" s="188"/>
      <c r="P2" s="189"/>
    </row>
    <row r="3" spans="1:16" x14ac:dyDescent="0.25">
      <c r="A3" s="4"/>
      <c r="B3" s="4"/>
      <c r="C3" s="4"/>
      <c r="D3" s="4"/>
      <c r="E3" s="4"/>
      <c r="F3" s="4"/>
      <c r="G3" s="4"/>
      <c r="H3" s="4"/>
      <c r="I3" s="4"/>
      <c r="J3" s="4"/>
      <c r="K3" s="4"/>
      <c r="L3" s="4"/>
      <c r="M3" s="4"/>
      <c r="N3" s="4"/>
      <c r="O3" s="4"/>
      <c r="P3" s="4"/>
    </row>
    <row r="4" spans="1:16" x14ac:dyDescent="0.25">
      <c r="A4" s="61"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 One value, or one per row of Values</v>
      </c>
    </row>
    <row r="10" spans="1:16" x14ac:dyDescent="0.25">
      <c r="A10" t="str">
        <v>Values</v>
      </c>
      <c r="B10" t="str">
        <v>(Required) A row (or rows)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v>
      </c>
    </row>
    <row r="15" spans="1:16" ht="21" x14ac:dyDescent="0.35">
      <c r="A15" s="200" t="s">
        <v>148</v>
      </c>
      <c r="B15" s="200"/>
      <c r="C15" s="200"/>
    </row>
    <row r="17" spans="1:18" x14ac:dyDescent="0.25">
      <c r="A17" s="60" t="s">
        <v>149</v>
      </c>
      <c r="B17" s="60" t="s">
        <v>14</v>
      </c>
      <c r="C17" s="60" t="s">
        <v>15</v>
      </c>
      <c r="E17" s="60" t="s">
        <v>7</v>
      </c>
      <c r="F17" s="54" t="s">
        <v>152</v>
      </c>
      <c r="G17" s="55"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112</v>
      </c>
      <c r="B18" s="40">
        <v>46204</v>
      </c>
      <c r="C18" t="s">
        <v>21</v>
      </c>
      <c r="E18" t="s">
        <v>5</v>
      </c>
      <c r="F18" cm="1">
        <f t="array" ref="F18">oz.SumRowsλ(_xlfn.ANCHORARRAY(G18))</f>
        <v>4</v>
      </c>
      <c r="G18" s="91"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17</v>
      </c>
      <c r="B19">
        <v>12</v>
      </c>
      <c r="C19" t="s">
        <v>22</v>
      </c>
      <c r="E19" s="2" t="s">
        <v>224</v>
      </c>
      <c r="G19" s="61" cm="1">
        <f t="array" ref="G19:R19">oz.Movementλ(F18,_xlfn.ANCHORARRAY(  G18))</f>
        <v>0</v>
      </c>
      <c r="H19">
        <v>-9</v>
      </c>
      <c r="I19">
        <v>2</v>
      </c>
      <c r="J19">
        <v>2</v>
      </c>
      <c r="K19">
        <v>2</v>
      </c>
      <c r="L19">
        <v>2</v>
      </c>
      <c r="M19">
        <v>2</v>
      </c>
      <c r="N19">
        <v>-9</v>
      </c>
      <c r="O19">
        <v>2</v>
      </c>
      <c r="P19">
        <v>2</v>
      </c>
      <c r="Q19">
        <v>2</v>
      </c>
      <c r="R19">
        <v>2</v>
      </c>
    </row>
    <row r="20" spans="1:18" x14ac:dyDescent="0.25">
      <c r="A20" t="s">
        <v>18</v>
      </c>
      <c r="B20" t="s">
        <v>20</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6" t="str">
        <f ca="1">_xlfn.TEXTAFTER(CELL("filename",A1),"]")</f>
        <v>oz.RollingSumλ</v>
      </c>
      <c r="B1" s="186"/>
      <c r="C1" s="186"/>
      <c r="D1" s="186"/>
      <c r="E1" s="186"/>
      <c r="F1" s="186"/>
      <c r="G1" s="186"/>
      <c r="H1" s="186"/>
      <c r="I1" s="186"/>
      <c r="J1" s="186"/>
      <c r="K1" s="186"/>
      <c r="L1" s="186"/>
      <c r="M1" s="186"/>
      <c r="N1" s="186"/>
      <c r="O1" s="186"/>
      <c r="P1" s="186"/>
    </row>
    <row r="2" spans="1:18" x14ac:dyDescent="0.25">
      <c r="A2" s="187" t="s">
        <v>245</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c r="K3" s="4"/>
      <c r="L3" s="4"/>
      <c r="M3" s="4"/>
      <c r="N3" s="4"/>
      <c r="O3" s="4"/>
      <c r="P3" s="4"/>
    </row>
    <row r="4" spans="1:18" x14ac:dyDescent="0.25">
      <c r="A4" s="61"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precede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1" x14ac:dyDescent="0.35">
      <c r="A17" s="200" t="s">
        <v>148</v>
      </c>
      <c r="B17" s="200"/>
      <c r="C17" s="200"/>
    </row>
    <row r="19" spans="1:19" x14ac:dyDescent="0.25">
      <c r="A19" s="60" t="s">
        <v>149</v>
      </c>
      <c r="B19" s="60" t="s">
        <v>14</v>
      </c>
      <c r="C19" s="60" t="s">
        <v>15</v>
      </c>
      <c r="F19" s="60" t="s">
        <v>7</v>
      </c>
      <c r="G19" s="54" t="s">
        <v>152</v>
      </c>
      <c r="H19" s="55"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30">
        <v>46204</v>
      </c>
      <c r="C20" t="s">
        <v>21</v>
      </c>
      <c r="F20" t="s">
        <v>5</v>
      </c>
      <c r="G20" cm="1">
        <f t="array" ref="G20">oz.SumRowsλ(_xlfn.ANCHORARRAY(H20))</f>
        <v>5.98</v>
      </c>
      <c r="H20" s="91"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17</v>
      </c>
      <c r="B21" s="131">
        <v>12</v>
      </c>
      <c r="C21" t="s">
        <v>22</v>
      </c>
      <c r="F21" s="2" t="s">
        <v>223</v>
      </c>
      <c r="H21" s="61"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18</v>
      </c>
      <c r="B22" s="131" t="s">
        <v>20</v>
      </c>
    </row>
    <row r="34" spans="14:14" x14ac:dyDescent="0.25">
      <c r="N34" s="58"/>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5C2D91"/>
    <pageSetUpPr fitToPage="1"/>
  </sheetPr>
  <dimension ref="A1:NI38"/>
  <sheetViews>
    <sheetView showGridLines="0" workbookViewId="0">
      <pane xSplit="8" topLeftCell="I1" activePane="topRight" state="frozen"/>
      <selection sqref="A1:Q1"/>
      <selection pane="topRight" activeCell="I1" sqref="I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186" t="str">
        <f ca="1">_xlfn.TEXTAFTER(CELL("filename",A1),"]")</f>
        <v>oz.SumPeriodsλ</v>
      </c>
      <c r="B1" s="186"/>
      <c r="C1" s="186"/>
      <c r="D1" s="186"/>
      <c r="E1" s="186"/>
      <c r="F1" s="186"/>
      <c r="G1" s="186"/>
      <c r="H1" s="186"/>
      <c r="I1" s="186"/>
      <c r="J1" s="186"/>
      <c r="K1" s="186"/>
      <c r="L1" s="186"/>
      <c r="M1" s="186"/>
      <c r="N1" s="186"/>
      <c r="O1" s="186"/>
      <c r="P1" s="186"/>
      <c r="Q1" s="186"/>
    </row>
    <row r="2" spans="1:17" x14ac:dyDescent="0.25">
      <c r="A2" s="187" t="s">
        <v>90</v>
      </c>
      <c r="B2" s="188"/>
      <c r="C2" s="188"/>
      <c r="D2" s="188"/>
      <c r="E2" s="188"/>
      <c r="F2" s="188"/>
      <c r="G2" s="188"/>
      <c r="H2" s="188"/>
      <c r="I2" s="188"/>
      <c r="J2" s="188"/>
      <c r="K2" s="188"/>
      <c r="L2" s="188"/>
      <c r="M2" s="188"/>
      <c r="N2" s="188"/>
      <c r="O2" s="189"/>
      <c r="P2" s="4"/>
      <c r="Q2" s="4"/>
    </row>
    <row r="3" spans="1:17" x14ac:dyDescent="0.25">
      <c r="A3" s="4"/>
      <c r="B3" s="4"/>
      <c r="C3" s="4"/>
      <c r="D3" s="4"/>
      <c r="E3" s="4"/>
      <c r="F3" s="4"/>
      <c r="G3" s="4"/>
      <c r="H3" s="4"/>
      <c r="I3" s="4"/>
      <c r="J3" s="4"/>
      <c r="K3" s="4"/>
      <c r="L3" s="4"/>
      <c r="M3" s="4"/>
      <c r="N3" s="4"/>
      <c r="O3" s="4"/>
      <c r="P3" s="4"/>
      <c r="Q3" s="4"/>
    </row>
    <row r="4" spans="1:17" x14ac:dyDescent="0.25">
      <c r="A4" s="61"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20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109" t="s">
        <v>96</v>
      </c>
      <c r="B20" s="109"/>
      <c r="C20" s="109"/>
      <c r="D20" s="109"/>
      <c r="E20" s="109"/>
      <c r="H20" s="34"/>
      <c r="I20" s="56"/>
      <c r="J20" s="56"/>
      <c r="K20" s="56"/>
      <c r="L20" s="56"/>
      <c r="M20" s="56"/>
      <c r="N20" s="56"/>
      <c r="O20" s="56"/>
      <c r="P20" s="56"/>
      <c r="Q20" s="56"/>
      <c r="R20" s="56"/>
      <c r="S20" s="56"/>
      <c r="T20" s="56"/>
      <c r="U20" s="56"/>
      <c r="V20" s="56"/>
      <c r="W20" s="56"/>
      <c r="X20" s="56"/>
      <c r="Y20" s="56"/>
      <c r="Z20" s="56"/>
      <c r="AA20" s="56"/>
      <c r="AB20" s="56"/>
      <c r="AC20" s="56"/>
      <c r="AD20" s="56"/>
      <c r="AE20" s="56"/>
      <c r="AF20" s="56"/>
      <c r="AG20" s="56"/>
      <c r="AH20" s="56"/>
      <c r="AI20" s="56"/>
      <c r="AJ20" s="56"/>
      <c r="AK20" s="56"/>
      <c r="AL20" s="56"/>
      <c r="AM20" s="56"/>
      <c r="AN20" s="56"/>
      <c r="AO20" s="56"/>
      <c r="AP20" s="56"/>
      <c r="AQ20" s="56"/>
      <c r="AR20" s="56"/>
      <c r="AS20" s="56"/>
      <c r="AT20" s="56"/>
      <c r="AU20" s="56"/>
      <c r="AV20" s="56"/>
      <c r="AW20" s="56"/>
      <c r="AX20" s="56"/>
      <c r="AY20" s="56"/>
      <c r="AZ20" s="56"/>
      <c r="BA20" s="56"/>
      <c r="BB20" s="56"/>
      <c r="BC20" s="56"/>
      <c r="BD20" s="56"/>
      <c r="BE20" s="56"/>
      <c r="BF20" s="56"/>
      <c r="BG20" s="56"/>
      <c r="BH20" s="56"/>
      <c r="BI20" s="56"/>
      <c r="BJ20" s="56"/>
      <c r="BK20" s="56"/>
      <c r="BL20" s="56"/>
      <c r="BM20" s="56"/>
      <c r="BN20" s="56"/>
      <c r="BO20" s="56"/>
      <c r="BP20" s="56"/>
      <c r="BQ20" s="56"/>
      <c r="BR20" s="56"/>
      <c r="BS20" s="56"/>
      <c r="BT20" s="56"/>
      <c r="BU20" s="56"/>
      <c r="BV20" s="56"/>
      <c r="BW20" s="56"/>
      <c r="BX20" s="56"/>
      <c r="BY20" s="56"/>
      <c r="BZ20" s="56"/>
      <c r="CA20" s="56"/>
      <c r="CB20" s="56"/>
      <c r="CC20" s="56"/>
      <c r="CD20" s="56"/>
      <c r="CE20" s="56"/>
      <c r="CF20" s="56"/>
      <c r="CG20" s="56"/>
      <c r="CH20" s="56"/>
      <c r="CI20" s="56"/>
      <c r="CJ20" s="56"/>
      <c r="CK20" s="56"/>
      <c r="CL20" s="56"/>
      <c r="CM20" s="56"/>
      <c r="CN20" s="56"/>
      <c r="CO20" s="56"/>
      <c r="CP20" s="56"/>
      <c r="CQ20" s="56"/>
      <c r="CR20" s="56"/>
      <c r="CS20" s="56"/>
      <c r="CT20" s="56"/>
      <c r="CU20" s="56"/>
      <c r="CV20" s="56"/>
      <c r="CW20" s="56"/>
      <c r="CX20" s="56"/>
      <c r="CY20" s="56"/>
      <c r="CZ20" s="56"/>
      <c r="DA20" s="56"/>
      <c r="DB20" s="56"/>
      <c r="DC20" s="56"/>
      <c r="DD20" s="56"/>
      <c r="DE20" s="56"/>
      <c r="DF20" s="56"/>
      <c r="DG20" s="56"/>
      <c r="DH20" s="56"/>
      <c r="DI20" s="56"/>
      <c r="DJ20" s="56"/>
      <c r="DK20" s="56"/>
      <c r="DL20" s="56"/>
      <c r="DM20" s="56"/>
      <c r="DN20" s="56"/>
      <c r="DO20" s="56"/>
      <c r="DP20" s="56"/>
      <c r="DQ20" s="56"/>
      <c r="DR20" s="56"/>
      <c r="DS20" s="56"/>
      <c r="DT20" s="56"/>
      <c r="DU20" s="56"/>
      <c r="DV20" s="56"/>
      <c r="DW20" s="56"/>
      <c r="DX20" s="56"/>
      <c r="DY20" s="56"/>
      <c r="DZ20" s="56"/>
      <c r="EA20" s="56"/>
      <c r="EB20" s="56"/>
      <c r="EC20" s="56"/>
      <c r="ED20" s="56"/>
      <c r="EE20" s="56"/>
      <c r="EF20" s="56"/>
      <c r="EG20" s="56"/>
      <c r="EH20" s="56"/>
      <c r="EI20" s="56"/>
      <c r="EJ20" s="56"/>
      <c r="EK20" s="56"/>
      <c r="EL20" s="56"/>
      <c r="EM20" s="56"/>
      <c r="EN20" s="56"/>
      <c r="EO20" s="56"/>
      <c r="EP20" s="56"/>
      <c r="EQ20" s="56"/>
      <c r="ER20" s="56"/>
      <c r="ES20" s="56"/>
      <c r="ET20" s="56"/>
      <c r="EU20" s="56"/>
      <c r="EV20" s="56"/>
      <c r="EW20" s="56"/>
      <c r="EX20" s="56"/>
      <c r="EY20" s="56"/>
      <c r="EZ20" s="56"/>
      <c r="FA20" s="56"/>
      <c r="FB20" s="56"/>
      <c r="FC20" s="56"/>
      <c r="FD20" s="56"/>
      <c r="FE20" s="56"/>
      <c r="FF20" s="56"/>
      <c r="FG20" s="56"/>
      <c r="FH20" s="56"/>
      <c r="FI20" s="56"/>
      <c r="FJ20" s="56"/>
      <c r="FK20" s="56"/>
      <c r="FL20" s="56"/>
      <c r="FM20" s="56"/>
      <c r="FN20" s="56"/>
      <c r="FO20" s="56"/>
      <c r="FP20" s="56"/>
      <c r="FQ20" s="56"/>
      <c r="FR20" s="56"/>
      <c r="FS20" s="56"/>
      <c r="FT20" s="56"/>
      <c r="FU20" s="56"/>
      <c r="FV20" s="56"/>
      <c r="FW20" s="56"/>
      <c r="FX20" s="56"/>
      <c r="FY20" s="56"/>
      <c r="FZ20" s="56"/>
      <c r="GA20" s="56"/>
      <c r="GB20" s="56"/>
      <c r="GC20" s="56"/>
      <c r="GD20" s="56"/>
      <c r="GE20" s="56"/>
      <c r="GF20" s="56"/>
      <c r="GG20" s="56"/>
      <c r="GH20" s="56"/>
      <c r="GI20" s="56"/>
      <c r="GJ20" s="56"/>
      <c r="GK20" s="56"/>
      <c r="GL20" s="56"/>
      <c r="GM20" s="56"/>
      <c r="GN20" s="56"/>
      <c r="GO20" s="56"/>
      <c r="GP20" s="56"/>
      <c r="GQ20" s="56"/>
      <c r="GR20" s="56"/>
      <c r="GS20" s="56"/>
      <c r="GT20" s="56"/>
      <c r="GU20" s="56"/>
      <c r="GV20" s="56"/>
      <c r="GW20" s="56"/>
      <c r="GX20" s="56"/>
      <c r="GY20" s="56"/>
      <c r="GZ20" s="56"/>
      <c r="HA20" s="56"/>
      <c r="HB20" s="56"/>
      <c r="HC20" s="56"/>
      <c r="HD20" s="56"/>
      <c r="HE20" s="56"/>
      <c r="HF20" s="56"/>
      <c r="HG20" s="56"/>
      <c r="HH20" s="56"/>
      <c r="HI20" s="56"/>
      <c r="HJ20" s="56"/>
      <c r="HK20" s="56"/>
      <c r="HL20" s="56"/>
      <c r="HM20" s="56"/>
      <c r="HN20" s="56"/>
      <c r="HO20" s="56"/>
      <c r="HP20" s="56"/>
      <c r="HQ20" s="56"/>
      <c r="HR20" s="56"/>
      <c r="HS20" s="56"/>
      <c r="HT20" s="56"/>
      <c r="HU20" s="56"/>
      <c r="HV20" s="56"/>
      <c r="HW20" s="56"/>
      <c r="HX20" s="56"/>
      <c r="HY20" s="56"/>
      <c r="HZ20" s="56"/>
      <c r="IA20" s="56"/>
      <c r="IB20" s="56"/>
      <c r="IC20" s="56"/>
      <c r="ID20" s="56"/>
      <c r="IE20" s="56"/>
      <c r="IF20" s="56"/>
      <c r="IG20" s="56"/>
      <c r="IH20" s="56"/>
      <c r="II20" s="56"/>
      <c r="IJ20" s="56"/>
      <c r="IK20" s="56"/>
      <c r="IL20" s="56"/>
      <c r="IM20" s="56"/>
      <c r="IN20" s="56"/>
      <c r="IO20" s="56"/>
      <c r="IP20" s="56"/>
      <c r="IQ20" s="56"/>
      <c r="IR20" s="56"/>
      <c r="IS20" s="56"/>
      <c r="IT20" s="56"/>
      <c r="IU20" s="56"/>
      <c r="IV20" s="56"/>
      <c r="IW20" s="56"/>
      <c r="IX20" s="56"/>
      <c r="IY20" s="56"/>
      <c r="IZ20" s="56"/>
      <c r="JA20" s="56"/>
      <c r="JB20" s="56"/>
      <c r="JC20" s="56"/>
      <c r="JD20" s="56"/>
      <c r="JE20" s="56"/>
      <c r="JF20" s="56"/>
      <c r="JG20" s="56"/>
      <c r="JH20" s="56"/>
      <c r="JI20" s="56"/>
      <c r="JJ20" s="56"/>
      <c r="JK20" s="56"/>
      <c r="JL20" s="56"/>
      <c r="JM20" s="56"/>
      <c r="JN20" s="56"/>
      <c r="JO20" s="56"/>
      <c r="JP20" s="56"/>
      <c r="JQ20" s="56"/>
      <c r="JR20" s="56"/>
      <c r="JS20" s="56"/>
      <c r="JT20" s="56"/>
      <c r="JU20" s="56"/>
      <c r="JV20" s="56"/>
      <c r="JW20" s="56"/>
      <c r="JX20" s="56"/>
      <c r="JY20" s="56"/>
      <c r="JZ20" s="56"/>
      <c r="KA20" s="56"/>
      <c r="KB20" s="56"/>
      <c r="KC20" s="56"/>
      <c r="KD20" s="56"/>
      <c r="KE20" s="56"/>
      <c r="KF20" s="56"/>
      <c r="KG20" s="56"/>
      <c r="KH20" s="56"/>
      <c r="KI20" s="56"/>
      <c r="KJ20" s="56"/>
      <c r="KK20" s="56"/>
      <c r="KL20" s="56"/>
      <c r="KM20" s="56"/>
      <c r="KN20" s="56"/>
      <c r="KO20" s="56"/>
      <c r="KP20" s="56"/>
      <c r="KQ20" s="56"/>
      <c r="KR20" s="56"/>
      <c r="KS20" s="56"/>
      <c r="KT20" s="56"/>
      <c r="KU20" s="56"/>
      <c r="KV20" s="56"/>
      <c r="KW20" s="56"/>
      <c r="KX20" s="56"/>
      <c r="KY20" s="56"/>
      <c r="KZ20" s="56"/>
      <c r="LA20" s="56"/>
      <c r="LB20" s="56"/>
      <c r="LC20" s="56"/>
      <c r="LD20" s="56"/>
      <c r="LE20" s="56"/>
      <c r="LF20" s="56"/>
      <c r="LG20" s="56"/>
      <c r="LH20" s="56"/>
      <c r="LI20" s="56"/>
      <c r="LJ20" s="56"/>
      <c r="LK20" s="56"/>
      <c r="LL20" s="56"/>
      <c r="LM20" s="56"/>
      <c r="LN20" s="56"/>
      <c r="LO20" s="56"/>
      <c r="LP20" s="56"/>
      <c r="LQ20" s="56"/>
      <c r="LR20" s="56"/>
      <c r="LS20" s="56"/>
      <c r="LT20" s="56"/>
      <c r="LU20" s="56"/>
      <c r="LV20" s="56"/>
      <c r="LW20" s="56"/>
      <c r="LX20" s="56"/>
      <c r="LY20" s="56"/>
      <c r="LZ20" s="56"/>
      <c r="MA20" s="56"/>
      <c r="MB20" s="56"/>
      <c r="MC20" s="56"/>
      <c r="MD20" s="56"/>
      <c r="ME20" s="56"/>
      <c r="MF20" s="56"/>
      <c r="MG20" s="56"/>
      <c r="MH20" s="56"/>
      <c r="MI20" s="56"/>
      <c r="MJ20" s="56"/>
      <c r="MK20" s="56"/>
      <c r="ML20" s="56"/>
      <c r="MM20" s="56"/>
      <c r="MN20" s="56"/>
      <c r="MO20" s="56"/>
      <c r="MP20" s="56"/>
      <c r="MQ20" s="56"/>
      <c r="MR20" s="56"/>
      <c r="MS20" s="56"/>
      <c r="MT20" s="56"/>
      <c r="MU20" s="56"/>
      <c r="MV20" s="56"/>
      <c r="MW20" s="56"/>
      <c r="MX20" s="56"/>
      <c r="MY20" s="56"/>
      <c r="MZ20" s="56"/>
      <c r="NA20" s="56"/>
      <c r="NB20" s="56"/>
      <c r="NC20" s="56"/>
      <c r="ND20" s="56"/>
      <c r="NE20" s="56"/>
      <c r="NF20" s="56"/>
      <c r="NG20" s="56"/>
      <c r="NH20" s="56"/>
      <c r="NI20" s="56"/>
    </row>
    <row r="21" spans="1:373" x14ac:dyDescent="0.25">
      <c r="A21" s="219" t="s">
        <v>97</v>
      </c>
      <c r="B21" s="219"/>
      <c r="C21" s="219"/>
      <c r="D21" s="219"/>
      <c r="E21" s="219"/>
      <c r="H21" s="57"/>
      <c r="I21" s="58"/>
      <c r="J21" s="58"/>
      <c r="K21" s="58"/>
      <c r="L21" s="58"/>
      <c r="M21" s="58"/>
      <c r="N21" s="58"/>
      <c r="O21" s="58"/>
      <c r="P21" s="58"/>
      <c r="Q21" s="58"/>
      <c r="R21" s="58"/>
      <c r="S21" s="58"/>
      <c r="T21" s="58"/>
      <c r="U21" s="58"/>
      <c r="V21" s="58"/>
      <c r="W21" s="58"/>
      <c r="X21" s="58"/>
      <c r="Y21" s="58"/>
      <c r="Z21" s="58"/>
      <c r="AA21" s="58"/>
      <c r="AB21" s="58"/>
      <c r="AC21" s="58"/>
      <c r="AD21" s="58"/>
      <c r="AE21" s="58"/>
      <c r="AF21" s="58"/>
      <c r="AG21" s="58"/>
      <c r="AH21" s="58"/>
      <c r="AI21" s="58"/>
      <c r="AJ21" s="58"/>
      <c r="AK21" s="58"/>
      <c r="AL21" s="58"/>
      <c r="AM21" s="58"/>
      <c r="AN21" s="58"/>
      <c r="AO21" s="58"/>
      <c r="AP21" s="58"/>
      <c r="AQ21" s="58"/>
      <c r="AR21" s="58"/>
      <c r="AS21" s="58"/>
      <c r="AT21" s="58"/>
      <c r="AU21" s="58"/>
      <c r="AV21" s="58"/>
      <c r="AW21" s="58"/>
      <c r="AX21" s="58"/>
      <c r="AY21" s="58"/>
      <c r="AZ21" s="58"/>
      <c r="BA21" s="58"/>
      <c r="BB21" s="58"/>
      <c r="BC21" s="58"/>
      <c r="BD21" s="58"/>
      <c r="BE21" s="58"/>
      <c r="BF21" s="58"/>
      <c r="BG21" s="58"/>
      <c r="BH21" s="58"/>
      <c r="BI21" s="58"/>
      <c r="BJ21" s="58"/>
      <c r="BK21" s="58"/>
      <c r="BL21" s="58"/>
      <c r="BM21" s="58"/>
      <c r="BN21" s="58"/>
      <c r="BO21" s="58"/>
      <c r="BP21" s="58"/>
      <c r="BQ21" s="58"/>
      <c r="BR21" s="58"/>
      <c r="BS21" s="58"/>
      <c r="BT21" s="58"/>
      <c r="BU21" s="58"/>
      <c r="BV21" s="58"/>
      <c r="BW21" s="58"/>
      <c r="BX21" s="58"/>
      <c r="BY21" s="58"/>
      <c r="BZ21" s="58"/>
      <c r="CA21" s="58"/>
      <c r="CB21" s="58"/>
      <c r="CC21" s="58"/>
      <c r="CD21" s="58"/>
      <c r="CE21" s="58"/>
      <c r="CF21" s="58"/>
      <c r="CG21" s="58"/>
      <c r="CH21" s="58"/>
      <c r="CI21" s="58"/>
      <c r="CJ21" s="58"/>
      <c r="CK21" s="58"/>
      <c r="CL21" s="58"/>
      <c r="CM21" s="58"/>
      <c r="CN21" s="58"/>
      <c r="CO21" s="58"/>
      <c r="CP21" s="58"/>
      <c r="CQ21" s="58"/>
      <c r="CR21" s="58"/>
      <c r="CS21" s="58"/>
      <c r="CT21" s="58"/>
      <c r="CU21" s="58"/>
      <c r="CV21" s="58"/>
      <c r="CW21" s="58"/>
      <c r="CX21" s="58"/>
      <c r="CY21" s="58"/>
      <c r="CZ21" s="58"/>
      <c r="DA21" s="58"/>
      <c r="DB21" s="58"/>
      <c r="DC21" s="58"/>
      <c r="DD21" s="58"/>
      <c r="DE21" s="58"/>
      <c r="DF21" s="58"/>
      <c r="DG21" s="58"/>
      <c r="DH21" s="58"/>
      <c r="DI21" s="58"/>
      <c r="DJ21" s="58"/>
      <c r="DK21" s="58"/>
      <c r="DL21" s="58"/>
      <c r="DM21" s="58"/>
      <c r="DN21" s="58"/>
      <c r="DO21" s="58"/>
      <c r="DP21" s="58"/>
      <c r="DQ21" s="58"/>
      <c r="DR21" s="58"/>
      <c r="DS21" s="58"/>
      <c r="DT21" s="58"/>
      <c r="DU21" s="58"/>
      <c r="DV21" s="58"/>
      <c r="DW21" s="58"/>
      <c r="DX21" s="58"/>
      <c r="DY21" s="58"/>
      <c r="DZ21" s="58"/>
      <c r="EA21" s="58"/>
      <c r="EB21" s="58"/>
      <c r="EC21" s="58"/>
      <c r="ED21" s="58"/>
      <c r="EE21" s="58"/>
      <c r="EF21" s="58"/>
      <c r="EG21" s="58"/>
      <c r="EH21" s="58"/>
      <c r="EI21" s="58"/>
      <c r="EJ21" s="58"/>
      <c r="EK21" s="58"/>
      <c r="EL21" s="58"/>
      <c r="EM21" s="58"/>
      <c r="EN21" s="58"/>
      <c r="EO21" s="58"/>
      <c r="EP21" s="58"/>
      <c r="EQ21" s="58"/>
      <c r="ER21" s="58"/>
      <c r="ES21" s="58"/>
      <c r="ET21" s="58"/>
      <c r="EU21" s="58"/>
      <c r="EV21" s="58"/>
      <c r="EW21" s="58"/>
      <c r="EX21" s="58"/>
      <c r="EY21" s="58"/>
      <c r="EZ21" s="58"/>
      <c r="FA21" s="58"/>
      <c r="FB21" s="58"/>
      <c r="FC21" s="58"/>
      <c r="FD21" s="58"/>
      <c r="FE21" s="58"/>
      <c r="FF21" s="58"/>
      <c r="FG21" s="58"/>
      <c r="FH21" s="58"/>
      <c r="FI21" s="58"/>
      <c r="FJ21" s="58"/>
      <c r="FK21" s="58"/>
      <c r="FL21" s="58"/>
      <c r="FM21" s="58"/>
      <c r="FN21" s="58"/>
      <c r="FO21" s="58"/>
      <c r="FP21" s="58"/>
      <c r="FQ21" s="58"/>
      <c r="FR21" s="58"/>
      <c r="FS21" s="58"/>
      <c r="FT21" s="58"/>
      <c r="FU21" s="58"/>
      <c r="FV21" s="58"/>
      <c r="FW21" s="58"/>
      <c r="FX21" s="58"/>
      <c r="FY21" s="58"/>
      <c r="FZ21" s="58"/>
      <c r="GA21" s="58"/>
      <c r="GB21" s="58"/>
      <c r="GC21" s="58"/>
      <c r="GD21" s="58"/>
      <c r="GE21" s="58"/>
      <c r="GF21" s="58"/>
      <c r="GG21" s="58"/>
      <c r="GH21" s="58"/>
      <c r="GI21" s="58"/>
      <c r="GJ21" s="58"/>
      <c r="GK21" s="58"/>
      <c r="GL21" s="58"/>
      <c r="GM21" s="58"/>
      <c r="GN21" s="58"/>
      <c r="GO21" s="58"/>
      <c r="GP21" s="58"/>
      <c r="GQ21" s="58"/>
      <c r="GR21" s="58"/>
      <c r="GS21" s="58"/>
      <c r="GT21" s="58"/>
      <c r="GU21" s="58"/>
      <c r="GV21" s="58"/>
      <c r="GW21" s="58"/>
      <c r="GX21" s="58"/>
      <c r="GY21" s="58"/>
      <c r="GZ21" s="58"/>
      <c r="HA21" s="58"/>
      <c r="HB21" s="58"/>
      <c r="HC21" s="58"/>
      <c r="HD21" s="58"/>
      <c r="HE21" s="58"/>
      <c r="HF21" s="58"/>
      <c r="HG21" s="58"/>
      <c r="HH21" s="58"/>
      <c r="HI21" s="58"/>
      <c r="HJ21" s="58"/>
      <c r="HK21" s="58"/>
      <c r="HL21" s="58"/>
      <c r="HM21" s="58"/>
      <c r="HN21" s="58"/>
      <c r="HO21" s="58"/>
      <c r="HP21" s="58"/>
      <c r="HQ21" s="58"/>
      <c r="HR21" s="58"/>
      <c r="HS21" s="58"/>
      <c r="HT21" s="58"/>
      <c r="HU21" s="58"/>
      <c r="HV21" s="58"/>
      <c r="HW21" s="58"/>
      <c r="HX21" s="58"/>
      <c r="HY21" s="58"/>
      <c r="HZ21" s="58"/>
      <c r="IA21" s="58"/>
      <c r="IB21" s="58"/>
      <c r="IC21" s="58"/>
      <c r="ID21" s="58"/>
      <c r="IE21" s="58"/>
      <c r="IF21" s="58"/>
      <c r="IG21" s="58"/>
      <c r="IH21" s="58"/>
      <c r="II21" s="58"/>
      <c r="IJ21" s="58"/>
      <c r="IK21" s="58"/>
      <c r="IL21" s="58"/>
      <c r="IM21" s="58"/>
      <c r="IN21" s="58"/>
      <c r="IO21" s="58"/>
      <c r="IP21" s="58"/>
      <c r="IQ21" s="58"/>
      <c r="IR21" s="58"/>
      <c r="IS21" s="58"/>
      <c r="IT21" s="58"/>
      <c r="IU21" s="58"/>
      <c r="IV21" s="58"/>
      <c r="IW21" s="58"/>
      <c r="IX21" s="58"/>
      <c r="IY21" s="58"/>
      <c r="IZ21" s="58"/>
      <c r="JA21" s="58"/>
      <c r="JB21" s="58"/>
      <c r="JC21" s="58"/>
      <c r="JD21" s="58"/>
      <c r="JE21" s="58"/>
      <c r="JF21" s="58"/>
      <c r="JG21" s="58"/>
      <c r="JH21" s="58"/>
      <c r="JI21" s="58"/>
      <c r="JJ21" s="58"/>
      <c r="JK21" s="58"/>
      <c r="JL21" s="58"/>
      <c r="JM21" s="58"/>
      <c r="JN21" s="58"/>
      <c r="JO21" s="58"/>
      <c r="JP21" s="58"/>
      <c r="JQ21" s="58"/>
      <c r="JR21" s="58"/>
      <c r="JS21" s="58"/>
      <c r="JT21" s="58"/>
      <c r="JU21" s="58"/>
      <c r="JV21" s="58"/>
      <c r="JW21" s="58"/>
      <c r="JX21" s="58"/>
      <c r="JY21" s="58"/>
      <c r="JZ21" s="58"/>
      <c r="KA21" s="58"/>
      <c r="KB21" s="58"/>
      <c r="KC21" s="58"/>
      <c r="KD21" s="58"/>
      <c r="KE21" s="58"/>
      <c r="KF21" s="58"/>
      <c r="KG21" s="58"/>
      <c r="KH21" s="58"/>
      <c r="KI21" s="58"/>
      <c r="KJ21" s="58"/>
      <c r="KK21" s="58"/>
      <c r="KL21" s="58"/>
      <c r="KM21" s="58"/>
      <c r="KN21" s="58"/>
      <c r="KO21" s="58"/>
      <c r="KP21" s="58"/>
      <c r="KQ21" s="58"/>
      <c r="KR21" s="58"/>
      <c r="KS21" s="58"/>
      <c r="KT21" s="58"/>
      <c r="KU21" s="58"/>
      <c r="KV21" s="58"/>
      <c r="KW21" s="58"/>
      <c r="KX21" s="58"/>
      <c r="KY21" s="58"/>
      <c r="KZ21" s="58"/>
      <c r="LA21" s="58"/>
      <c r="LB21" s="58"/>
      <c r="LC21" s="58"/>
      <c r="LD21" s="58"/>
      <c r="LE21" s="58"/>
      <c r="LF21" s="58"/>
      <c r="LG21" s="58"/>
      <c r="LH21" s="58"/>
      <c r="LI21" s="58"/>
      <c r="LJ21" s="58"/>
      <c r="LK21" s="58"/>
      <c r="LL21" s="58"/>
      <c r="LM21" s="58"/>
      <c r="LN21" s="58"/>
      <c r="LO21" s="58"/>
      <c r="LP21" s="58"/>
      <c r="LQ21" s="58"/>
      <c r="LR21" s="58"/>
      <c r="LS21" s="58"/>
      <c r="LT21" s="58"/>
      <c r="LU21" s="58"/>
      <c r="LV21" s="58"/>
      <c r="LW21" s="58"/>
      <c r="LX21" s="58"/>
      <c r="LY21" s="58"/>
      <c r="LZ21" s="58"/>
      <c r="MA21" s="58"/>
      <c r="MB21" s="58"/>
      <c r="MC21" s="58"/>
      <c r="MD21" s="58"/>
      <c r="ME21" s="58"/>
      <c r="MF21" s="58"/>
      <c r="MG21" s="58"/>
      <c r="MH21" s="58"/>
      <c r="MI21" s="58"/>
      <c r="MJ21" s="58"/>
      <c r="MK21" s="58"/>
      <c r="ML21" s="58"/>
      <c r="MM21" s="58"/>
      <c r="MN21" s="58"/>
      <c r="MO21" s="58"/>
      <c r="MP21" s="58"/>
      <c r="MQ21" s="58"/>
      <c r="MR21" s="58"/>
      <c r="MS21" s="58"/>
      <c r="MT21" s="58"/>
      <c r="MU21" s="58"/>
      <c r="MV21" s="58"/>
      <c r="MW21" s="58"/>
      <c r="MX21" s="58"/>
      <c r="MY21" s="58"/>
      <c r="MZ21" s="58"/>
      <c r="NA21" s="58"/>
      <c r="NB21" s="58"/>
      <c r="NC21" s="58"/>
      <c r="ND21" s="58"/>
      <c r="NE21" s="58"/>
      <c r="NF21" s="58"/>
      <c r="NG21" s="58"/>
      <c r="NH21" s="58"/>
      <c r="NI21" s="58"/>
    </row>
    <row r="22" spans="1:373" x14ac:dyDescent="0.25">
      <c r="A22" s="48" t="s">
        <v>7</v>
      </c>
      <c r="B22" s="48" t="s">
        <v>125</v>
      </c>
      <c r="C22" s="48" t="s">
        <v>98</v>
      </c>
      <c r="D22" s="48" t="s">
        <v>99</v>
      </c>
      <c r="E22" s="48" t="s">
        <v>100</v>
      </c>
      <c r="G22" s="48" t="s">
        <v>196</v>
      </c>
      <c r="H22" s="54" t="s">
        <v>123</v>
      </c>
      <c r="I22" s="55" cm="1">
        <f t="array" ref="I22:NI22">oz.Timelineλ("1/7/2026", 365, "D")</f>
        <v>46204</v>
      </c>
      <c r="J22" s="55">
        <v>46205</v>
      </c>
      <c r="K22" s="55">
        <v>46206</v>
      </c>
      <c r="L22" s="55">
        <v>46207</v>
      </c>
      <c r="M22" s="55">
        <v>46208</v>
      </c>
      <c r="N22" s="55">
        <v>46209</v>
      </c>
      <c r="O22" s="55">
        <v>46210</v>
      </c>
      <c r="P22" s="55">
        <v>46211</v>
      </c>
      <c r="Q22" s="55">
        <v>46212</v>
      </c>
      <c r="R22" s="55">
        <v>46213</v>
      </c>
      <c r="S22" s="55">
        <v>46214</v>
      </c>
      <c r="T22" s="55">
        <v>46215</v>
      </c>
      <c r="U22" s="55">
        <v>46216</v>
      </c>
      <c r="V22" s="55">
        <v>46217</v>
      </c>
      <c r="W22" s="55">
        <v>46218</v>
      </c>
      <c r="X22" s="55">
        <v>46219</v>
      </c>
      <c r="Y22" s="55">
        <v>46220</v>
      </c>
      <c r="Z22" s="55">
        <v>46221</v>
      </c>
      <c r="AA22" s="55">
        <v>46222</v>
      </c>
      <c r="AB22" s="55">
        <v>46223</v>
      </c>
      <c r="AC22" s="55">
        <v>46224</v>
      </c>
      <c r="AD22" s="55">
        <v>46225</v>
      </c>
      <c r="AE22" s="55">
        <v>46226</v>
      </c>
      <c r="AF22" s="55">
        <v>46227</v>
      </c>
      <c r="AG22" s="55">
        <v>46228</v>
      </c>
      <c r="AH22" s="55">
        <v>46229</v>
      </c>
      <c r="AI22" s="55">
        <v>46230</v>
      </c>
      <c r="AJ22" s="55">
        <v>46231</v>
      </c>
      <c r="AK22" s="55">
        <v>46232</v>
      </c>
      <c r="AL22" s="55">
        <v>46233</v>
      </c>
      <c r="AM22" s="55">
        <v>46234</v>
      </c>
      <c r="AN22" s="55">
        <v>46235</v>
      </c>
      <c r="AO22" s="55">
        <v>46236</v>
      </c>
      <c r="AP22" s="55">
        <v>46237</v>
      </c>
      <c r="AQ22" s="55">
        <v>46238</v>
      </c>
      <c r="AR22" s="55">
        <v>46239</v>
      </c>
      <c r="AS22" s="55">
        <v>46240</v>
      </c>
      <c r="AT22" s="55">
        <v>46241</v>
      </c>
      <c r="AU22" s="55">
        <v>46242</v>
      </c>
      <c r="AV22" s="55">
        <v>46243</v>
      </c>
      <c r="AW22" s="55">
        <v>46244</v>
      </c>
      <c r="AX22" s="55">
        <v>46245</v>
      </c>
      <c r="AY22" s="55">
        <v>46246</v>
      </c>
      <c r="AZ22" s="55">
        <v>46247</v>
      </c>
      <c r="BA22" s="55">
        <v>46248</v>
      </c>
      <c r="BB22" s="55">
        <v>46249</v>
      </c>
      <c r="BC22" s="55">
        <v>46250</v>
      </c>
      <c r="BD22" s="55">
        <v>46251</v>
      </c>
      <c r="BE22" s="55">
        <v>46252</v>
      </c>
      <c r="BF22" s="55">
        <v>46253</v>
      </c>
      <c r="BG22" s="55">
        <v>46254</v>
      </c>
      <c r="BH22" s="55">
        <v>46255</v>
      </c>
      <c r="BI22" s="55">
        <v>46256</v>
      </c>
      <c r="BJ22" s="55">
        <v>46257</v>
      </c>
      <c r="BK22" s="55">
        <v>46258</v>
      </c>
      <c r="BL22" s="55">
        <v>46259</v>
      </c>
      <c r="BM22" s="55">
        <v>46260</v>
      </c>
      <c r="BN22" s="55">
        <v>46261</v>
      </c>
      <c r="BO22" s="55">
        <v>46262</v>
      </c>
      <c r="BP22" s="55">
        <v>46263</v>
      </c>
      <c r="BQ22" s="55">
        <v>46264</v>
      </c>
      <c r="BR22" s="55">
        <v>46265</v>
      </c>
      <c r="BS22" s="55">
        <v>46266</v>
      </c>
      <c r="BT22" s="55">
        <v>46267</v>
      </c>
      <c r="BU22" s="55">
        <v>46268</v>
      </c>
      <c r="BV22" s="55">
        <v>46269</v>
      </c>
      <c r="BW22" s="55">
        <v>46270</v>
      </c>
      <c r="BX22" s="55">
        <v>46271</v>
      </c>
      <c r="BY22" s="55">
        <v>46272</v>
      </c>
      <c r="BZ22" s="55">
        <v>46273</v>
      </c>
      <c r="CA22" s="55">
        <v>46274</v>
      </c>
      <c r="CB22" s="55">
        <v>46275</v>
      </c>
      <c r="CC22" s="55">
        <v>46276</v>
      </c>
      <c r="CD22" s="55">
        <v>46277</v>
      </c>
      <c r="CE22" s="55">
        <v>46278</v>
      </c>
      <c r="CF22" s="55">
        <v>46279</v>
      </c>
      <c r="CG22" s="55">
        <v>46280</v>
      </c>
      <c r="CH22" s="55">
        <v>46281</v>
      </c>
      <c r="CI22" s="55">
        <v>46282</v>
      </c>
      <c r="CJ22" s="55">
        <v>46283</v>
      </c>
      <c r="CK22" s="55">
        <v>46284</v>
      </c>
      <c r="CL22" s="55">
        <v>46285</v>
      </c>
      <c r="CM22" s="55">
        <v>46286</v>
      </c>
      <c r="CN22" s="55">
        <v>46287</v>
      </c>
      <c r="CO22" s="55">
        <v>46288</v>
      </c>
      <c r="CP22" s="55">
        <v>46289</v>
      </c>
      <c r="CQ22" s="55">
        <v>46290</v>
      </c>
      <c r="CR22" s="55">
        <v>46291</v>
      </c>
      <c r="CS22" s="55">
        <v>46292</v>
      </c>
      <c r="CT22" s="55">
        <v>46293</v>
      </c>
      <c r="CU22" s="55">
        <v>46294</v>
      </c>
      <c r="CV22" s="55">
        <v>46295</v>
      </c>
      <c r="CW22" s="55">
        <v>46296</v>
      </c>
      <c r="CX22" s="55">
        <v>46297</v>
      </c>
      <c r="CY22" s="55">
        <v>46298</v>
      </c>
      <c r="CZ22" s="55">
        <v>46299</v>
      </c>
      <c r="DA22" s="55">
        <v>46300</v>
      </c>
      <c r="DB22" s="55">
        <v>46301</v>
      </c>
      <c r="DC22" s="55">
        <v>46302</v>
      </c>
      <c r="DD22" s="55">
        <v>46303</v>
      </c>
      <c r="DE22" s="55">
        <v>46304</v>
      </c>
      <c r="DF22" s="55">
        <v>46305</v>
      </c>
      <c r="DG22" s="55">
        <v>46306</v>
      </c>
      <c r="DH22" s="55">
        <v>46307</v>
      </c>
      <c r="DI22" s="55">
        <v>46308</v>
      </c>
      <c r="DJ22" s="55">
        <v>46309</v>
      </c>
      <c r="DK22" s="55">
        <v>46310</v>
      </c>
      <c r="DL22" s="55">
        <v>46311</v>
      </c>
      <c r="DM22" s="55">
        <v>46312</v>
      </c>
      <c r="DN22" s="55">
        <v>46313</v>
      </c>
      <c r="DO22" s="55">
        <v>46314</v>
      </c>
      <c r="DP22" s="55">
        <v>46315</v>
      </c>
      <c r="DQ22" s="55">
        <v>46316</v>
      </c>
      <c r="DR22" s="55">
        <v>46317</v>
      </c>
      <c r="DS22" s="55">
        <v>46318</v>
      </c>
      <c r="DT22" s="55">
        <v>46319</v>
      </c>
      <c r="DU22" s="55">
        <v>46320</v>
      </c>
      <c r="DV22" s="55">
        <v>46321</v>
      </c>
      <c r="DW22" s="55">
        <v>46322</v>
      </c>
      <c r="DX22" s="55">
        <v>46323</v>
      </c>
      <c r="DY22" s="55">
        <v>46324</v>
      </c>
      <c r="DZ22" s="55">
        <v>46325</v>
      </c>
      <c r="EA22" s="55">
        <v>46326</v>
      </c>
      <c r="EB22" s="55">
        <v>46327</v>
      </c>
      <c r="EC22" s="55">
        <v>46328</v>
      </c>
      <c r="ED22" s="55">
        <v>46329</v>
      </c>
      <c r="EE22" s="55">
        <v>46330</v>
      </c>
      <c r="EF22" s="55">
        <v>46331</v>
      </c>
      <c r="EG22" s="55">
        <v>46332</v>
      </c>
      <c r="EH22" s="55">
        <v>46333</v>
      </c>
      <c r="EI22" s="55">
        <v>46334</v>
      </c>
      <c r="EJ22" s="55">
        <v>46335</v>
      </c>
      <c r="EK22" s="55">
        <v>46336</v>
      </c>
      <c r="EL22" s="55">
        <v>46337</v>
      </c>
      <c r="EM22" s="55">
        <v>46338</v>
      </c>
      <c r="EN22" s="55">
        <v>46339</v>
      </c>
      <c r="EO22" s="55">
        <v>46340</v>
      </c>
      <c r="EP22" s="55">
        <v>46341</v>
      </c>
      <c r="EQ22" s="55">
        <v>46342</v>
      </c>
      <c r="ER22" s="55">
        <v>46343</v>
      </c>
      <c r="ES22" s="55">
        <v>46344</v>
      </c>
      <c r="ET22" s="55">
        <v>46345</v>
      </c>
      <c r="EU22" s="55">
        <v>46346</v>
      </c>
      <c r="EV22" s="55">
        <v>46347</v>
      </c>
      <c r="EW22" s="55">
        <v>46348</v>
      </c>
      <c r="EX22" s="55">
        <v>46349</v>
      </c>
      <c r="EY22" s="55">
        <v>46350</v>
      </c>
      <c r="EZ22" s="55">
        <v>46351</v>
      </c>
      <c r="FA22" s="55">
        <v>46352</v>
      </c>
      <c r="FB22" s="55">
        <v>46353</v>
      </c>
      <c r="FC22" s="55">
        <v>46354</v>
      </c>
      <c r="FD22" s="55">
        <v>46355</v>
      </c>
      <c r="FE22" s="55">
        <v>46356</v>
      </c>
      <c r="FF22" s="55">
        <v>46357</v>
      </c>
      <c r="FG22" s="55">
        <v>46358</v>
      </c>
      <c r="FH22" s="55">
        <v>46359</v>
      </c>
      <c r="FI22" s="55">
        <v>46360</v>
      </c>
      <c r="FJ22" s="55">
        <v>46361</v>
      </c>
      <c r="FK22" s="55">
        <v>46362</v>
      </c>
      <c r="FL22" s="55">
        <v>46363</v>
      </c>
      <c r="FM22" s="55">
        <v>46364</v>
      </c>
      <c r="FN22" s="55">
        <v>46365</v>
      </c>
      <c r="FO22" s="55">
        <v>46366</v>
      </c>
      <c r="FP22" s="55">
        <v>46367</v>
      </c>
      <c r="FQ22" s="55">
        <v>46368</v>
      </c>
      <c r="FR22" s="55">
        <v>46369</v>
      </c>
      <c r="FS22" s="55">
        <v>46370</v>
      </c>
      <c r="FT22" s="55">
        <v>46371</v>
      </c>
      <c r="FU22" s="55">
        <v>46372</v>
      </c>
      <c r="FV22" s="55">
        <v>46373</v>
      </c>
      <c r="FW22" s="55">
        <v>46374</v>
      </c>
      <c r="FX22" s="55">
        <v>46375</v>
      </c>
      <c r="FY22" s="55">
        <v>46376</v>
      </c>
      <c r="FZ22" s="55">
        <v>46377</v>
      </c>
      <c r="GA22" s="55">
        <v>46378</v>
      </c>
      <c r="GB22" s="55">
        <v>46379</v>
      </c>
      <c r="GC22" s="55">
        <v>46380</v>
      </c>
      <c r="GD22" s="55">
        <v>46381</v>
      </c>
      <c r="GE22" s="55">
        <v>46382</v>
      </c>
      <c r="GF22" s="55">
        <v>46383</v>
      </c>
      <c r="GG22" s="55">
        <v>46384</v>
      </c>
      <c r="GH22" s="55">
        <v>46385</v>
      </c>
      <c r="GI22" s="55">
        <v>46386</v>
      </c>
      <c r="GJ22" s="55">
        <v>46387</v>
      </c>
      <c r="GK22" s="55">
        <v>46388</v>
      </c>
      <c r="GL22" s="55">
        <v>46389</v>
      </c>
      <c r="GM22" s="55">
        <v>46390</v>
      </c>
      <c r="GN22" s="55">
        <v>46391</v>
      </c>
      <c r="GO22" s="55">
        <v>46392</v>
      </c>
      <c r="GP22" s="55">
        <v>46393</v>
      </c>
      <c r="GQ22" s="55">
        <v>46394</v>
      </c>
      <c r="GR22" s="55">
        <v>46395</v>
      </c>
      <c r="GS22" s="55">
        <v>46396</v>
      </c>
      <c r="GT22" s="55">
        <v>46397</v>
      </c>
      <c r="GU22" s="55">
        <v>46398</v>
      </c>
      <c r="GV22" s="55">
        <v>46399</v>
      </c>
      <c r="GW22" s="55">
        <v>46400</v>
      </c>
      <c r="GX22" s="55">
        <v>46401</v>
      </c>
      <c r="GY22" s="55">
        <v>46402</v>
      </c>
      <c r="GZ22" s="55">
        <v>46403</v>
      </c>
      <c r="HA22" s="55">
        <v>46404</v>
      </c>
      <c r="HB22" s="55">
        <v>46405</v>
      </c>
      <c r="HC22" s="55">
        <v>46406</v>
      </c>
      <c r="HD22" s="55">
        <v>46407</v>
      </c>
      <c r="HE22" s="55">
        <v>46408</v>
      </c>
      <c r="HF22" s="55">
        <v>46409</v>
      </c>
      <c r="HG22" s="55">
        <v>46410</v>
      </c>
      <c r="HH22" s="55">
        <v>46411</v>
      </c>
      <c r="HI22" s="55">
        <v>46412</v>
      </c>
      <c r="HJ22" s="55">
        <v>46413</v>
      </c>
      <c r="HK22" s="55">
        <v>46414</v>
      </c>
      <c r="HL22" s="55">
        <v>46415</v>
      </c>
      <c r="HM22" s="55">
        <v>46416</v>
      </c>
      <c r="HN22" s="55">
        <v>46417</v>
      </c>
      <c r="HO22" s="55">
        <v>46418</v>
      </c>
      <c r="HP22" s="55">
        <v>46419</v>
      </c>
      <c r="HQ22" s="55">
        <v>46420</v>
      </c>
      <c r="HR22" s="55">
        <v>46421</v>
      </c>
      <c r="HS22" s="55">
        <v>46422</v>
      </c>
      <c r="HT22" s="55">
        <v>46423</v>
      </c>
      <c r="HU22" s="55">
        <v>46424</v>
      </c>
      <c r="HV22" s="55">
        <v>46425</v>
      </c>
      <c r="HW22" s="55">
        <v>46426</v>
      </c>
      <c r="HX22" s="55">
        <v>46427</v>
      </c>
      <c r="HY22" s="55">
        <v>46428</v>
      </c>
      <c r="HZ22" s="55">
        <v>46429</v>
      </c>
      <c r="IA22" s="55">
        <v>46430</v>
      </c>
      <c r="IB22" s="55">
        <v>46431</v>
      </c>
      <c r="IC22" s="55">
        <v>46432</v>
      </c>
      <c r="ID22" s="55">
        <v>46433</v>
      </c>
      <c r="IE22" s="55">
        <v>46434</v>
      </c>
      <c r="IF22" s="55">
        <v>46435</v>
      </c>
      <c r="IG22" s="55">
        <v>46436</v>
      </c>
      <c r="IH22" s="55">
        <v>46437</v>
      </c>
      <c r="II22" s="55">
        <v>46438</v>
      </c>
      <c r="IJ22" s="55">
        <v>46439</v>
      </c>
      <c r="IK22" s="55">
        <v>46440</v>
      </c>
      <c r="IL22" s="55">
        <v>46441</v>
      </c>
      <c r="IM22" s="55">
        <v>46442</v>
      </c>
      <c r="IN22" s="55">
        <v>46443</v>
      </c>
      <c r="IO22" s="55">
        <v>46444</v>
      </c>
      <c r="IP22" s="55">
        <v>46445</v>
      </c>
      <c r="IQ22" s="55">
        <v>46446</v>
      </c>
      <c r="IR22" s="55">
        <v>46447</v>
      </c>
      <c r="IS22" s="55">
        <v>46448</v>
      </c>
      <c r="IT22" s="55">
        <v>46449</v>
      </c>
      <c r="IU22" s="55">
        <v>46450</v>
      </c>
      <c r="IV22" s="55">
        <v>46451</v>
      </c>
      <c r="IW22" s="55">
        <v>46452</v>
      </c>
      <c r="IX22" s="55">
        <v>46453</v>
      </c>
      <c r="IY22" s="55">
        <v>46454</v>
      </c>
      <c r="IZ22" s="55">
        <v>46455</v>
      </c>
      <c r="JA22" s="55">
        <v>46456</v>
      </c>
      <c r="JB22" s="55">
        <v>46457</v>
      </c>
      <c r="JC22" s="55">
        <v>46458</v>
      </c>
      <c r="JD22" s="55">
        <v>46459</v>
      </c>
      <c r="JE22" s="55">
        <v>46460</v>
      </c>
      <c r="JF22" s="55">
        <v>46461</v>
      </c>
      <c r="JG22" s="55">
        <v>46462</v>
      </c>
      <c r="JH22" s="55">
        <v>46463</v>
      </c>
      <c r="JI22" s="55">
        <v>46464</v>
      </c>
      <c r="JJ22" s="55">
        <v>46465</v>
      </c>
      <c r="JK22" s="55">
        <v>46466</v>
      </c>
      <c r="JL22" s="55">
        <v>46467</v>
      </c>
      <c r="JM22" s="55">
        <v>46468</v>
      </c>
      <c r="JN22" s="55">
        <v>46469</v>
      </c>
      <c r="JO22" s="55">
        <v>46470</v>
      </c>
      <c r="JP22" s="55">
        <v>46471</v>
      </c>
      <c r="JQ22" s="55">
        <v>46472</v>
      </c>
      <c r="JR22" s="55">
        <v>46473</v>
      </c>
      <c r="JS22" s="55">
        <v>46474</v>
      </c>
      <c r="JT22" s="55">
        <v>46475</v>
      </c>
      <c r="JU22" s="55">
        <v>46476</v>
      </c>
      <c r="JV22" s="55">
        <v>46477</v>
      </c>
      <c r="JW22" s="55">
        <v>46478</v>
      </c>
      <c r="JX22" s="55">
        <v>46479</v>
      </c>
      <c r="JY22" s="55">
        <v>46480</v>
      </c>
      <c r="JZ22" s="55">
        <v>46481</v>
      </c>
      <c r="KA22" s="55">
        <v>46482</v>
      </c>
      <c r="KB22" s="55">
        <v>46483</v>
      </c>
      <c r="KC22" s="55">
        <v>46484</v>
      </c>
      <c r="KD22" s="55">
        <v>46485</v>
      </c>
      <c r="KE22" s="55">
        <v>46486</v>
      </c>
      <c r="KF22" s="55">
        <v>46487</v>
      </c>
      <c r="KG22" s="55">
        <v>46488</v>
      </c>
      <c r="KH22" s="55">
        <v>46489</v>
      </c>
      <c r="KI22" s="55">
        <v>46490</v>
      </c>
      <c r="KJ22" s="55">
        <v>46491</v>
      </c>
      <c r="KK22" s="55">
        <v>46492</v>
      </c>
      <c r="KL22" s="55">
        <v>46493</v>
      </c>
      <c r="KM22" s="55">
        <v>46494</v>
      </c>
      <c r="KN22" s="55">
        <v>46495</v>
      </c>
      <c r="KO22" s="55">
        <v>46496</v>
      </c>
      <c r="KP22" s="55">
        <v>46497</v>
      </c>
      <c r="KQ22" s="55">
        <v>46498</v>
      </c>
      <c r="KR22" s="55">
        <v>46499</v>
      </c>
      <c r="KS22" s="55">
        <v>46500</v>
      </c>
      <c r="KT22" s="55">
        <v>46501</v>
      </c>
      <c r="KU22" s="55">
        <v>46502</v>
      </c>
      <c r="KV22" s="55">
        <v>46503</v>
      </c>
      <c r="KW22" s="55">
        <v>46504</v>
      </c>
      <c r="KX22" s="55">
        <v>46505</v>
      </c>
      <c r="KY22" s="55">
        <v>46506</v>
      </c>
      <c r="KZ22" s="55">
        <v>46507</v>
      </c>
      <c r="LA22" s="55">
        <v>46508</v>
      </c>
      <c r="LB22" s="55">
        <v>46509</v>
      </c>
      <c r="LC22" s="55">
        <v>46510</v>
      </c>
      <c r="LD22" s="55">
        <v>46511</v>
      </c>
      <c r="LE22" s="55">
        <v>46512</v>
      </c>
      <c r="LF22" s="55">
        <v>46513</v>
      </c>
      <c r="LG22" s="55">
        <v>46514</v>
      </c>
      <c r="LH22" s="55">
        <v>46515</v>
      </c>
      <c r="LI22" s="55">
        <v>46516</v>
      </c>
      <c r="LJ22" s="55">
        <v>46517</v>
      </c>
      <c r="LK22" s="55">
        <v>46518</v>
      </c>
      <c r="LL22" s="55">
        <v>46519</v>
      </c>
      <c r="LM22" s="55">
        <v>46520</v>
      </c>
      <c r="LN22" s="55">
        <v>46521</v>
      </c>
      <c r="LO22" s="55">
        <v>46522</v>
      </c>
      <c r="LP22" s="55">
        <v>46523</v>
      </c>
      <c r="LQ22" s="55">
        <v>46524</v>
      </c>
      <c r="LR22" s="55">
        <v>46525</v>
      </c>
      <c r="LS22" s="55">
        <v>46526</v>
      </c>
      <c r="LT22" s="55">
        <v>46527</v>
      </c>
      <c r="LU22" s="55">
        <v>46528</v>
      </c>
      <c r="LV22" s="55">
        <v>46529</v>
      </c>
      <c r="LW22" s="55">
        <v>46530</v>
      </c>
      <c r="LX22" s="55">
        <v>46531</v>
      </c>
      <c r="LY22" s="55">
        <v>46532</v>
      </c>
      <c r="LZ22" s="55">
        <v>46533</v>
      </c>
      <c r="MA22" s="55">
        <v>46534</v>
      </c>
      <c r="MB22" s="55">
        <v>46535</v>
      </c>
      <c r="MC22" s="55">
        <v>46536</v>
      </c>
      <c r="MD22" s="55">
        <v>46537</v>
      </c>
      <c r="ME22" s="55">
        <v>46538</v>
      </c>
      <c r="MF22" s="55">
        <v>46539</v>
      </c>
      <c r="MG22" s="55">
        <v>46540</v>
      </c>
      <c r="MH22" s="55">
        <v>46541</v>
      </c>
      <c r="MI22" s="55">
        <v>46542</v>
      </c>
      <c r="MJ22" s="55">
        <v>46543</v>
      </c>
      <c r="MK22" s="55">
        <v>46544</v>
      </c>
      <c r="ML22" s="55">
        <v>46545</v>
      </c>
      <c r="MM22" s="55">
        <v>46546</v>
      </c>
      <c r="MN22" s="55">
        <v>46547</v>
      </c>
      <c r="MO22" s="55">
        <v>46548</v>
      </c>
      <c r="MP22" s="55">
        <v>46549</v>
      </c>
      <c r="MQ22" s="55">
        <v>46550</v>
      </c>
      <c r="MR22" s="55">
        <v>46551</v>
      </c>
      <c r="MS22" s="55">
        <v>46552</v>
      </c>
      <c r="MT22" s="55">
        <v>46553</v>
      </c>
      <c r="MU22" s="55">
        <v>46554</v>
      </c>
      <c r="MV22" s="55">
        <v>46555</v>
      </c>
      <c r="MW22" s="55">
        <v>46556</v>
      </c>
      <c r="MX22" s="55">
        <v>46557</v>
      </c>
      <c r="MY22" s="55">
        <v>46558</v>
      </c>
      <c r="MZ22" s="55">
        <v>46559</v>
      </c>
      <c r="NA22" s="55">
        <v>46560</v>
      </c>
      <c r="NB22" s="55">
        <v>46561</v>
      </c>
      <c r="NC22" s="55">
        <v>46562</v>
      </c>
      <c r="ND22" s="55">
        <v>46563</v>
      </c>
      <c r="NE22" s="55">
        <v>46564</v>
      </c>
      <c r="NF22" s="55">
        <v>46565</v>
      </c>
      <c r="NG22" s="55">
        <v>46566</v>
      </c>
      <c r="NH22" s="55">
        <v>46567</v>
      </c>
      <c r="NI22" s="55">
        <v>46568</v>
      </c>
    </row>
    <row r="23" spans="1:373" x14ac:dyDescent="0.25">
      <c r="A23" t="s">
        <v>103</v>
      </c>
      <c r="B23" s="106">
        <v>6000</v>
      </c>
      <c r="C23" s="107" t="s">
        <v>101</v>
      </c>
      <c r="D23" s="108">
        <v>46204</v>
      </c>
      <c r="E23" s="108"/>
      <c r="G23" t="s">
        <v>103</v>
      </c>
      <c r="H23" cm="1">
        <f t="array" ref="H23:H28">oz.SumRowsλ(_xlfn.ANCHORARRAY(I23))</f>
        <v>162000</v>
      </c>
      <c r="I23" s="91"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104</v>
      </c>
      <c r="B24" s="106">
        <v>-4500</v>
      </c>
      <c r="C24" s="107" t="s">
        <v>20</v>
      </c>
      <c r="D24" s="108">
        <v>46208</v>
      </c>
      <c r="E24" s="108">
        <v>48760</v>
      </c>
      <c r="G24" t="s">
        <v>104</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105</v>
      </c>
      <c r="B25" s="106">
        <v>-2000</v>
      </c>
      <c r="C25" s="107" t="s">
        <v>106</v>
      </c>
      <c r="D25" s="108">
        <v>46204</v>
      </c>
      <c r="E25" s="108"/>
      <c r="G25" t="s">
        <v>105</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110</v>
      </c>
      <c r="B26" s="106">
        <v>-500</v>
      </c>
      <c r="C26" s="107" t="s">
        <v>109</v>
      </c>
      <c r="D26" s="108">
        <v>46213</v>
      </c>
      <c r="E26" s="108"/>
      <c r="G26" t="s">
        <v>110</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108</v>
      </c>
      <c r="B27" s="106">
        <v>-75</v>
      </c>
      <c r="C27" s="107" t="s">
        <v>107</v>
      </c>
      <c r="D27" s="108">
        <v>46206</v>
      </c>
      <c r="E27" s="108"/>
      <c r="G27" t="s">
        <v>108</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111</v>
      </c>
      <c r="B28" s="106">
        <v>-19</v>
      </c>
      <c r="C28" s="107" t="s">
        <v>102</v>
      </c>
      <c r="D28" s="108">
        <v>46204</v>
      </c>
      <c r="E28" s="108"/>
      <c r="G28" t="s">
        <v>111</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48" t="s">
        <v>196</v>
      </c>
      <c r="H32" s="54" t="s">
        <v>123</v>
      </c>
      <c r="I32" s="55" cm="1">
        <f t="array" ref="I32:T32">oz.Timelineλ("1/7/2026", 12, "M")</f>
        <v>46204</v>
      </c>
      <c r="J32" s="55">
        <v>46235</v>
      </c>
      <c r="K32" s="55">
        <v>46266</v>
      </c>
      <c r="L32" s="55">
        <v>46296</v>
      </c>
      <c r="M32" s="55">
        <v>46327</v>
      </c>
      <c r="N32" s="55">
        <v>46357</v>
      </c>
      <c r="O32" s="55">
        <v>46388</v>
      </c>
      <c r="P32" s="55">
        <v>46419</v>
      </c>
      <c r="Q32" s="55">
        <v>46447</v>
      </c>
      <c r="R32" s="55">
        <v>46478</v>
      </c>
      <c r="S32" s="55">
        <v>46508</v>
      </c>
      <c r="T32" s="55">
        <v>46539</v>
      </c>
    </row>
    <row r="33" spans="7:20" x14ac:dyDescent="0.25">
      <c r="G33" t="s">
        <v>103</v>
      </c>
      <c r="H33" cm="1">
        <f t="array" ref="H33:H38">oz.SumRowsλ(_xlfn.ANCHORARRAY(I33))</f>
        <v>162000</v>
      </c>
      <c r="I33" s="61"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104</v>
      </c>
      <c r="H34">
        <v>-54000</v>
      </c>
      <c r="I34">
        <v>-4500</v>
      </c>
      <c r="J34">
        <v>-4500</v>
      </c>
      <c r="K34">
        <v>-4500</v>
      </c>
      <c r="L34">
        <v>-4500</v>
      </c>
      <c r="M34">
        <v>-4500</v>
      </c>
      <c r="N34">
        <v>-4500</v>
      </c>
      <c r="O34">
        <v>-4500</v>
      </c>
      <c r="P34">
        <v>-4500</v>
      </c>
      <c r="Q34">
        <v>-4500</v>
      </c>
      <c r="R34">
        <v>-4500</v>
      </c>
      <c r="S34">
        <v>-4500</v>
      </c>
      <c r="T34">
        <v>-4500</v>
      </c>
    </row>
    <row r="35" spans="7:20" x14ac:dyDescent="0.25">
      <c r="G35" t="s">
        <v>105</v>
      </c>
      <c r="H35">
        <v>-4000</v>
      </c>
      <c r="I35">
        <v>-2000</v>
      </c>
      <c r="J35">
        <v>0</v>
      </c>
      <c r="K35">
        <v>0</v>
      </c>
      <c r="L35">
        <v>0</v>
      </c>
      <c r="M35">
        <v>0</v>
      </c>
      <c r="N35">
        <v>0</v>
      </c>
      <c r="O35">
        <v>-2000</v>
      </c>
      <c r="P35">
        <v>0</v>
      </c>
      <c r="Q35">
        <v>0</v>
      </c>
      <c r="R35">
        <v>0</v>
      </c>
      <c r="S35">
        <v>0</v>
      </c>
      <c r="T35">
        <v>0</v>
      </c>
    </row>
    <row r="36" spans="7:20" x14ac:dyDescent="0.25">
      <c r="G36" t="s">
        <v>110</v>
      </c>
      <c r="H36">
        <v>-2000</v>
      </c>
      <c r="I36">
        <v>-500</v>
      </c>
      <c r="J36">
        <v>0</v>
      </c>
      <c r="K36">
        <v>0</v>
      </c>
      <c r="L36">
        <v>-500</v>
      </c>
      <c r="M36">
        <v>0</v>
      </c>
      <c r="N36">
        <v>0</v>
      </c>
      <c r="O36">
        <v>-500</v>
      </c>
      <c r="P36">
        <v>0</v>
      </c>
      <c r="Q36">
        <v>0</v>
      </c>
      <c r="R36">
        <v>-500</v>
      </c>
      <c r="S36">
        <v>0</v>
      </c>
      <c r="T36">
        <v>0</v>
      </c>
    </row>
    <row r="37" spans="7:20" x14ac:dyDescent="0.25">
      <c r="G37" t="s">
        <v>108</v>
      </c>
      <c r="H37">
        <v>-3900</v>
      </c>
      <c r="I37">
        <v>-375</v>
      </c>
      <c r="J37">
        <v>-300</v>
      </c>
      <c r="K37">
        <v>-300</v>
      </c>
      <c r="L37">
        <v>-375</v>
      </c>
      <c r="M37">
        <v>-300</v>
      </c>
      <c r="N37">
        <v>-300</v>
      </c>
      <c r="O37">
        <v>-375</v>
      </c>
      <c r="P37">
        <v>-300</v>
      </c>
      <c r="Q37">
        <v>-300</v>
      </c>
      <c r="R37">
        <v>-375</v>
      </c>
      <c r="S37">
        <v>-300</v>
      </c>
      <c r="T37">
        <v>-300</v>
      </c>
    </row>
    <row r="38" spans="7:20" x14ac:dyDescent="0.25">
      <c r="G38" t="s">
        <v>111</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5C2D91"/>
    <pageSetUpPr fitToPage="1"/>
  </sheetPr>
  <dimension ref="A1:NC25"/>
  <sheetViews>
    <sheetView showGridLines="0" workbookViewId="0">
      <pane xSplit="2" topLeftCell="C1" activePane="topRight" state="frozen"/>
      <selection sqref="A1:P1"/>
      <selection pane="topRight" activeCell="C1" sqref="C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186" t="str">
        <f ca="1">_xlfn.TEXTAFTER(CELL("filename",A1),"]")</f>
        <v>oz.TimelineOffsetλ</v>
      </c>
      <c r="B1" s="186"/>
      <c r="C1" s="186"/>
      <c r="D1" s="186"/>
      <c r="E1" s="186"/>
      <c r="F1" s="186"/>
      <c r="G1" s="186"/>
      <c r="H1" s="186"/>
      <c r="I1" s="186"/>
      <c r="J1" s="186"/>
      <c r="K1" s="186"/>
      <c r="L1" s="186"/>
      <c r="M1" s="186"/>
      <c r="N1" s="186"/>
      <c r="O1" s="186"/>
      <c r="P1" s="186"/>
    </row>
    <row r="2" spans="1:18" x14ac:dyDescent="0.25">
      <c r="A2" s="187" t="s">
        <v>93</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c r="K3" s="4"/>
      <c r="L3" s="4"/>
      <c r="M3" s="4"/>
      <c r="N3" s="4"/>
      <c r="O3" s="4"/>
      <c r="P3" s="4"/>
    </row>
    <row r="4" spans="1:18" x14ac:dyDescent="0.25">
      <c r="A4" s="61"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92"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129" t="s">
        <v>25</v>
      </c>
    </row>
    <row r="18" spans="1:367" x14ac:dyDescent="0.25">
      <c r="A18" s="60" t="s">
        <v>198</v>
      </c>
      <c r="B18" s="54" t="s">
        <v>199</v>
      </c>
      <c r="C18" s="55" cm="1">
        <f t="array" ref="C18:NC18">oz.Timelineλ("1/7/2026", 365, "M")</f>
        <v>46204</v>
      </c>
      <c r="D18" s="55">
        <v>46235</v>
      </c>
      <c r="E18" s="55">
        <v>46266</v>
      </c>
      <c r="F18" s="55">
        <v>46296</v>
      </c>
      <c r="G18" s="55">
        <v>46327</v>
      </c>
      <c r="H18" s="55">
        <v>46357</v>
      </c>
      <c r="I18" s="55">
        <v>46388</v>
      </c>
      <c r="J18" s="55">
        <v>46419</v>
      </c>
      <c r="K18" s="55">
        <v>46447</v>
      </c>
      <c r="L18" s="55">
        <v>46478</v>
      </c>
      <c r="M18" s="55">
        <v>46508</v>
      </c>
      <c r="N18" s="55">
        <v>46539</v>
      </c>
      <c r="O18" s="55">
        <v>46569</v>
      </c>
      <c r="P18" s="55">
        <v>46600</v>
      </c>
      <c r="Q18" s="55">
        <v>46631</v>
      </c>
      <c r="R18" s="55">
        <v>46661</v>
      </c>
      <c r="S18" s="55">
        <v>46692</v>
      </c>
      <c r="T18" s="55">
        <v>46722</v>
      </c>
      <c r="U18" s="55">
        <v>46753</v>
      </c>
      <c r="V18" s="55">
        <v>46784</v>
      </c>
      <c r="W18" s="55">
        <v>46813</v>
      </c>
      <c r="X18" s="55">
        <v>46844</v>
      </c>
      <c r="Y18" s="55">
        <v>46874</v>
      </c>
      <c r="Z18" s="55">
        <v>46905</v>
      </c>
      <c r="AA18" s="55">
        <v>46935</v>
      </c>
      <c r="AB18" s="55">
        <v>46966</v>
      </c>
      <c r="AC18" s="55">
        <v>46997</v>
      </c>
      <c r="AD18" s="55">
        <v>47027</v>
      </c>
      <c r="AE18" s="55">
        <v>47058</v>
      </c>
      <c r="AF18" s="55">
        <v>47088</v>
      </c>
      <c r="AG18" s="55">
        <v>47119</v>
      </c>
      <c r="AH18" s="55">
        <v>47150</v>
      </c>
      <c r="AI18" s="55">
        <v>47178</v>
      </c>
      <c r="AJ18" s="55">
        <v>47209</v>
      </c>
      <c r="AK18" s="55">
        <v>47239</v>
      </c>
      <c r="AL18" s="55">
        <v>47270</v>
      </c>
      <c r="AM18" s="55">
        <v>47300</v>
      </c>
      <c r="AN18" s="55">
        <v>47331</v>
      </c>
      <c r="AO18" s="55">
        <v>47362</v>
      </c>
      <c r="AP18" s="55">
        <v>47392</v>
      </c>
      <c r="AQ18" s="55">
        <v>47423</v>
      </c>
      <c r="AR18" s="55">
        <v>47453</v>
      </c>
      <c r="AS18" s="55">
        <v>47484</v>
      </c>
      <c r="AT18" s="55">
        <v>47515</v>
      </c>
      <c r="AU18" s="55">
        <v>47543</v>
      </c>
      <c r="AV18" s="55">
        <v>47574</v>
      </c>
      <c r="AW18" s="55">
        <v>47604</v>
      </c>
      <c r="AX18" s="55">
        <v>47635</v>
      </c>
      <c r="AY18" s="55">
        <v>47665</v>
      </c>
      <c r="AZ18" s="55">
        <v>47696</v>
      </c>
      <c r="BA18" s="55">
        <v>47727</v>
      </c>
      <c r="BB18" s="55">
        <v>47757</v>
      </c>
      <c r="BC18" s="55">
        <v>47788</v>
      </c>
      <c r="BD18" s="55">
        <v>47818</v>
      </c>
      <c r="BE18" s="55">
        <v>47849</v>
      </c>
      <c r="BF18" s="55">
        <v>47880</v>
      </c>
      <c r="BG18" s="55">
        <v>47908</v>
      </c>
      <c r="BH18" s="55">
        <v>47939</v>
      </c>
      <c r="BI18" s="55">
        <v>47969</v>
      </c>
      <c r="BJ18" s="55">
        <v>48000</v>
      </c>
      <c r="BK18" s="55">
        <v>48030</v>
      </c>
      <c r="BL18" s="55">
        <v>48061</v>
      </c>
      <c r="BM18" s="55">
        <v>48092</v>
      </c>
      <c r="BN18" s="55">
        <v>48122</v>
      </c>
      <c r="BO18" s="55">
        <v>48153</v>
      </c>
      <c r="BP18" s="55">
        <v>48183</v>
      </c>
      <c r="BQ18" s="55">
        <v>48214</v>
      </c>
      <c r="BR18" s="55">
        <v>48245</v>
      </c>
      <c r="BS18" s="55">
        <v>48274</v>
      </c>
      <c r="BT18" s="55">
        <v>48305</v>
      </c>
      <c r="BU18" s="55">
        <v>48335</v>
      </c>
      <c r="BV18" s="55">
        <v>48366</v>
      </c>
      <c r="BW18" s="55">
        <v>48396</v>
      </c>
      <c r="BX18" s="55">
        <v>48427</v>
      </c>
      <c r="BY18" s="55">
        <v>48458</v>
      </c>
      <c r="BZ18" s="55">
        <v>48488</v>
      </c>
      <c r="CA18" s="55">
        <v>48519</v>
      </c>
      <c r="CB18" s="55">
        <v>48549</v>
      </c>
      <c r="CC18" s="55">
        <v>48580</v>
      </c>
      <c r="CD18" s="55">
        <v>48611</v>
      </c>
      <c r="CE18" s="55">
        <v>48639</v>
      </c>
      <c r="CF18" s="55">
        <v>48670</v>
      </c>
      <c r="CG18" s="55">
        <v>48700</v>
      </c>
      <c r="CH18" s="55">
        <v>48731</v>
      </c>
      <c r="CI18" s="55">
        <v>48761</v>
      </c>
      <c r="CJ18" s="55">
        <v>48792</v>
      </c>
      <c r="CK18" s="55">
        <v>48823</v>
      </c>
      <c r="CL18" s="55">
        <v>48853</v>
      </c>
      <c r="CM18" s="55">
        <v>48884</v>
      </c>
      <c r="CN18" s="55">
        <v>48914</v>
      </c>
      <c r="CO18" s="55">
        <v>48945</v>
      </c>
      <c r="CP18" s="55">
        <v>48976</v>
      </c>
      <c r="CQ18" s="55">
        <v>49004</v>
      </c>
      <c r="CR18" s="55">
        <v>49035</v>
      </c>
      <c r="CS18" s="55">
        <v>49065</v>
      </c>
      <c r="CT18" s="55">
        <v>49096</v>
      </c>
      <c r="CU18" s="55">
        <v>49126</v>
      </c>
      <c r="CV18" s="55">
        <v>49157</v>
      </c>
      <c r="CW18" s="55">
        <v>49188</v>
      </c>
      <c r="CX18" s="55">
        <v>49218</v>
      </c>
      <c r="CY18" s="55">
        <v>49249</v>
      </c>
      <c r="CZ18" s="55">
        <v>49279</v>
      </c>
      <c r="DA18" s="55">
        <v>49310</v>
      </c>
      <c r="DB18" s="55">
        <v>49341</v>
      </c>
      <c r="DC18" s="55">
        <v>49369</v>
      </c>
      <c r="DD18" s="55">
        <v>49400</v>
      </c>
      <c r="DE18" s="55">
        <v>49430</v>
      </c>
      <c r="DF18" s="55">
        <v>49461</v>
      </c>
      <c r="DG18" s="55">
        <v>49491</v>
      </c>
      <c r="DH18" s="55">
        <v>49522</v>
      </c>
      <c r="DI18" s="55">
        <v>49553</v>
      </c>
      <c r="DJ18" s="55">
        <v>49583</v>
      </c>
      <c r="DK18" s="55">
        <v>49614</v>
      </c>
      <c r="DL18" s="55">
        <v>49644</v>
      </c>
      <c r="DM18" s="55">
        <v>49675</v>
      </c>
      <c r="DN18" s="55">
        <v>49706</v>
      </c>
      <c r="DO18" s="55">
        <v>49735</v>
      </c>
      <c r="DP18" s="55">
        <v>49766</v>
      </c>
      <c r="DQ18" s="55">
        <v>49796</v>
      </c>
      <c r="DR18" s="55">
        <v>49827</v>
      </c>
      <c r="DS18" s="55">
        <v>49857</v>
      </c>
      <c r="DT18" s="55">
        <v>49888</v>
      </c>
      <c r="DU18" s="55">
        <v>49919</v>
      </c>
      <c r="DV18" s="55">
        <v>49949</v>
      </c>
      <c r="DW18" s="55">
        <v>49980</v>
      </c>
      <c r="DX18" s="55">
        <v>50010</v>
      </c>
      <c r="DY18" s="55">
        <v>50041</v>
      </c>
      <c r="DZ18" s="55">
        <v>50072</v>
      </c>
      <c r="EA18" s="55">
        <v>50100</v>
      </c>
      <c r="EB18" s="55">
        <v>50131</v>
      </c>
      <c r="EC18" s="55">
        <v>50161</v>
      </c>
      <c r="ED18" s="55">
        <v>50192</v>
      </c>
      <c r="EE18" s="55">
        <v>50222</v>
      </c>
      <c r="EF18" s="55">
        <v>50253</v>
      </c>
      <c r="EG18" s="55">
        <v>50284</v>
      </c>
      <c r="EH18" s="55">
        <v>50314</v>
      </c>
      <c r="EI18" s="55">
        <v>50345</v>
      </c>
      <c r="EJ18" s="55">
        <v>50375</v>
      </c>
      <c r="EK18" s="55">
        <v>50406</v>
      </c>
      <c r="EL18" s="55">
        <v>50437</v>
      </c>
      <c r="EM18" s="55">
        <v>50465</v>
      </c>
      <c r="EN18" s="55">
        <v>50496</v>
      </c>
      <c r="EO18" s="55">
        <v>50526</v>
      </c>
      <c r="EP18" s="55">
        <v>50557</v>
      </c>
      <c r="EQ18" s="55">
        <v>50587</v>
      </c>
      <c r="ER18" s="55">
        <v>50618</v>
      </c>
      <c r="ES18" s="55">
        <v>50649</v>
      </c>
      <c r="ET18" s="55">
        <v>50679</v>
      </c>
      <c r="EU18" s="55">
        <v>50710</v>
      </c>
      <c r="EV18" s="55">
        <v>50740</v>
      </c>
      <c r="EW18" s="55">
        <v>50771</v>
      </c>
      <c r="EX18" s="55">
        <v>50802</v>
      </c>
      <c r="EY18" s="55">
        <v>50830</v>
      </c>
      <c r="EZ18" s="55">
        <v>50861</v>
      </c>
      <c r="FA18" s="55">
        <v>50891</v>
      </c>
      <c r="FB18" s="55">
        <v>50922</v>
      </c>
      <c r="FC18" s="55">
        <v>50952</v>
      </c>
      <c r="FD18" s="55">
        <v>50983</v>
      </c>
      <c r="FE18" s="55">
        <v>51014</v>
      </c>
      <c r="FF18" s="55">
        <v>51044</v>
      </c>
      <c r="FG18" s="55">
        <v>51075</v>
      </c>
      <c r="FH18" s="55">
        <v>51105</v>
      </c>
      <c r="FI18" s="55">
        <v>51136</v>
      </c>
      <c r="FJ18" s="55">
        <v>51167</v>
      </c>
      <c r="FK18" s="55">
        <v>51196</v>
      </c>
      <c r="FL18" s="55">
        <v>51227</v>
      </c>
      <c r="FM18" s="55">
        <v>51257</v>
      </c>
      <c r="FN18" s="55">
        <v>51288</v>
      </c>
      <c r="FO18" s="55">
        <v>51318</v>
      </c>
      <c r="FP18" s="55">
        <v>51349</v>
      </c>
      <c r="FQ18" s="55">
        <v>51380</v>
      </c>
      <c r="FR18" s="55">
        <v>51410</v>
      </c>
      <c r="FS18" s="55">
        <v>51441</v>
      </c>
      <c r="FT18" s="55">
        <v>51471</v>
      </c>
      <c r="FU18" s="55">
        <v>51502</v>
      </c>
      <c r="FV18" s="55">
        <v>51533</v>
      </c>
      <c r="FW18" s="55">
        <v>51561</v>
      </c>
      <c r="FX18" s="55">
        <v>51592</v>
      </c>
      <c r="FY18" s="55">
        <v>51622</v>
      </c>
      <c r="FZ18" s="55">
        <v>51653</v>
      </c>
      <c r="GA18" s="55">
        <v>51683</v>
      </c>
      <c r="GB18" s="55">
        <v>51714</v>
      </c>
      <c r="GC18" s="55">
        <v>51745</v>
      </c>
      <c r="GD18" s="55">
        <v>51775</v>
      </c>
      <c r="GE18" s="55">
        <v>51806</v>
      </c>
      <c r="GF18" s="55">
        <v>51836</v>
      </c>
      <c r="GG18" s="55">
        <v>51867</v>
      </c>
      <c r="GH18" s="55">
        <v>51898</v>
      </c>
      <c r="GI18" s="55">
        <v>51926</v>
      </c>
      <c r="GJ18" s="55">
        <v>51957</v>
      </c>
      <c r="GK18" s="55">
        <v>51987</v>
      </c>
      <c r="GL18" s="55">
        <v>52018</v>
      </c>
      <c r="GM18" s="55">
        <v>52048</v>
      </c>
      <c r="GN18" s="55">
        <v>52079</v>
      </c>
      <c r="GO18" s="55">
        <v>52110</v>
      </c>
      <c r="GP18" s="55">
        <v>52140</v>
      </c>
      <c r="GQ18" s="55">
        <v>52171</v>
      </c>
      <c r="GR18" s="55">
        <v>52201</v>
      </c>
      <c r="GS18" s="55">
        <v>52232</v>
      </c>
      <c r="GT18" s="55">
        <v>52263</v>
      </c>
      <c r="GU18" s="55">
        <v>52291</v>
      </c>
      <c r="GV18" s="55">
        <v>52322</v>
      </c>
      <c r="GW18" s="55">
        <v>52352</v>
      </c>
      <c r="GX18" s="55">
        <v>52383</v>
      </c>
      <c r="GY18" s="55">
        <v>52413</v>
      </c>
      <c r="GZ18" s="55">
        <v>52444</v>
      </c>
      <c r="HA18" s="55">
        <v>52475</v>
      </c>
      <c r="HB18" s="55">
        <v>52505</v>
      </c>
      <c r="HC18" s="55">
        <v>52536</v>
      </c>
      <c r="HD18" s="55">
        <v>52566</v>
      </c>
      <c r="HE18" s="55">
        <v>52597</v>
      </c>
      <c r="HF18" s="55">
        <v>52628</v>
      </c>
      <c r="HG18" s="55">
        <v>52657</v>
      </c>
      <c r="HH18" s="55">
        <v>52688</v>
      </c>
      <c r="HI18" s="55">
        <v>52718</v>
      </c>
      <c r="HJ18" s="55">
        <v>52749</v>
      </c>
      <c r="HK18" s="55">
        <v>52779</v>
      </c>
      <c r="HL18" s="55">
        <v>52810</v>
      </c>
      <c r="HM18" s="55">
        <v>52841</v>
      </c>
      <c r="HN18" s="55">
        <v>52871</v>
      </c>
      <c r="HO18" s="55">
        <v>52902</v>
      </c>
      <c r="HP18" s="55">
        <v>52932</v>
      </c>
      <c r="HQ18" s="55">
        <v>52963</v>
      </c>
      <c r="HR18" s="55">
        <v>52994</v>
      </c>
      <c r="HS18" s="55">
        <v>53022</v>
      </c>
      <c r="HT18" s="55">
        <v>53053</v>
      </c>
      <c r="HU18" s="55">
        <v>53083</v>
      </c>
      <c r="HV18" s="55">
        <v>53114</v>
      </c>
      <c r="HW18" s="55">
        <v>53144</v>
      </c>
      <c r="HX18" s="55">
        <v>53175</v>
      </c>
      <c r="HY18" s="55">
        <v>53206</v>
      </c>
      <c r="HZ18" s="55">
        <v>53236</v>
      </c>
      <c r="IA18" s="55">
        <v>53267</v>
      </c>
      <c r="IB18" s="55">
        <v>53297</v>
      </c>
      <c r="IC18" s="55">
        <v>53328</v>
      </c>
      <c r="ID18" s="55">
        <v>53359</v>
      </c>
      <c r="IE18" s="55">
        <v>53387</v>
      </c>
      <c r="IF18" s="55">
        <v>53418</v>
      </c>
      <c r="IG18" s="55">
        <v>53448</v>
      </c>
      <c r="IH18" s="55">
        <v>53479</v>
      </c>
      <c r="II18" s="55">
        <v>53509</v>
      </c>
      <c r="IJ18" s="55">
        <v>53540</v>
      </c>
      <c r="IK18" s="55">
        <v>53571</v>
      </c>
      <c r="IL18" s="55">
        <v>53601</v>
      </c>
      <c r="IM18" s="55">
        <v>53632</v>
      </c>
      <c r="IN18" s="55">
        <v>53662</v>
      </c>
      <c r="IO18" s="55">
        <v>53693</v>
      </c>
      <c r="IP18" s="55">
        <v>53724</v>
      </c>
      <c r="IQ18" s="55">
        <v>53752</v>
      </c>
      <c r="IR18" s="55">
        <v>53783</v>
      </c>
      <c r="IS18" s="55">
        <v>53813</v>
      </c>
      <c r="IT18" s="55">
        <v>53844</v>
      </c>
      <c r="IU18" s="55">
        <v>53874</v>
      </c>
      <c r="IV18" s="55">
        <v>53905</v>
      </c>
      <c r="IW18" s="55">
        <v>53936</v>
      </c>
      <c r="IX18" s="55">
        <v>53966</v>
      </c>
      <c r="IY18" s="55">
        <v>53997</v>
      </c>
      <c r="IZ18" s="55">
        <v>54027</v>
      </c>
      <c r="JA18" s="55">
        <v>54058</v>
      </c>
      <c r="JB18" s="55">
        <v>54089</v>
      </c>
      <c r="JC18" s="55">
        <v>54118</v>
      </c>
      <c r="JD18" s="55">
        <v>54149</v>
      </c>
      <c r="JE18" s="55">
        <v>54179</v>
      </c>
      <c r="JF18" s="55">
        <v>54210</v>
      </c>
      <c r="JG18" s="55">
        <v>54240</v>
      </c>
      <c r="JH18" s="55">
        <v>54271</v>
      </c>
      <c r="JI18" s="55">
        <v>54302</v>
      </c>
      <c r="JJ18" s="55">
        <v>54332</v>
      </c>
      <c r="JK18" s="55">
        <v>54363</v>
      </c>
      <c r="JL18" s="55">
        <v>54393</v>
      </c>
      <c r="JM18" s="55">
        <v>54424</v>
      </c>
      <c r="JN18" s="55">
        <v>54455</v>
      </c>
      <c r="JO18" s="55">
        <v>54483</v>
      </c>
      <c r="JP18" s="55">
        <v>54514</v>
      </c>
      <c r="JQ18" s="55">
        <v>54544</v>
      </c>
      <c r="JR18" s="55">
        <v>54575</v>
      </c>
      <c r="JS18" s="55">
        <v>54605</v>
      </c>
      <c r="JT18" s="55">
        <v>54636</v>
      </c>
      <c r="JU18" s="55">
        <v>54667</v>
      </c>
      <c r="JV18" s="55">
        <v>54697</v>
      </c>
      <c r="JW18" s="55">
        <v>54728</v>
      </c>
      <c r="JX18" s="55">
        <v>54758</v>
      </c>
      <c r="JY18" s="55">
        <v>54789</v>
      </c>
      <c r="JZ18" s="55">
        <v>54820</v>
      </c>
      <c r="KA18" s="55">
        <v>54848</v>
      </c>
      <c r="KB18" s="55">
        <v>54879</v>
      </c>
      <c r="KC18" s="55">
        <v>54909</v>
      </c>
      <c r="KD18" s="55">
        <v>54940</v>
      </c>
      <c r="KE18" s="55">
        <v>54970</v>
      </c>
      <c r="KF18" s="55">
        <v>55001</v>
      </c>
      <c r="KG18" s="55">
        <v>55032</v>
      </c>
      <c r="KH18" s="55">
        <v>55062</v>
      </c>
      <c r="KI18" s="55">
        <v>55093</v>
      </c>
      <c r="KJ18" s="55">
        <v>55123</v>
      </c>
      <c r="KK18" s="55">
        <v>55154</v>
      </c>
      <c r="KL18" s="55">
        <v>55185</v>
      </c>
      <c r="KM18" s="55">
        <v>55213</v>
      </c>
      <c r="KN18" s="55">
        <v>55244</v>
      </c>
      <c r="KO18" s="55">
        <v>55274</v>
      </c>
      <c r="KP18" s="55">
        <v>55305</v>
      </c>
      <c r="KQ18" s="55">
        <v>55335</v>
      </c>
      <c r="KR18" s="55">
        <v>55366</v>
      </c>
      <c r="KS18" s="55">
        <v>55397</v>
      </c>
      <c r="KT18" s="55">
        <v>55427</v>
      </c>
      <c r="KU18" s="55">
        <v>55458</v>
      </c>
      <c r="KV18" s="55">
        <v>55488</v>
      </c>
      <c r="KW18" s="55">
        <v>55519</v>
      </c>
      <c r="KX18" s="55">
        <v>55550</v>
      </c>
      <c r="KY18" s="55">
        <v>55579</v>
      </c>
      <c r="KZ18" s="55">
        <v>55610</v>
      </c>
      <c r="LA18" s="55">
        <v>55640</v>
      </c>
      <c r="LB18" s="55">
        <v>55671</v>
      </c>
      <c r="LC18" s="55">
        <v>55701</v>
      </c>
      <c r="LD18" s="55">
        <v>55732</v>
      </c>
      <c r="LE18" s="55">
        <v>55763</v>
      </c>
      <c r="LF18" s="55">
        <v>55793</v>
      </c>
      <c r="LG18" s="55">
        <v>55824</v>
      </c>
      <c r="LH18" s="55">
        <v>55854</v>
      </c>
      <c r="LI18" s="55">
        <v>55885</v>
      </c>
      <c r="LJ18" s="55">
        <v>55916</v>
      </c>
      <c r="LK18" s="55">
        <v>55944</v>
      </c>
      <c r="LL18" s="55">
        <v>55975</v>
      </c>
      <c r="LM18" s="55">
        <v>56005</v>
      </c>
      <c r="LN18" s="55">
        <v>56036</v>
      </c>
      <c r="LO18" s="55">
        <v>56066</v>
      </c>
      <c r="LP18" s="55">
        <v>56097</v>
      </c>
      <c r="LQ18" s="55">
        <v>56128</v>
      </c>
      <c r="LR18" s="55">
        <v>56158</v>
      </c>
      <c r="LS18" s="55">
        <v>56189</v>
      </c>
      <c r="LT18" s="55">
        <v>56219</v>
      </c>
      <c r="LU18" s="55">
        <v>56250</v>
      </c>
      <c r="LV18" s="55">
        <v>56281</v>
      </c>
      <c r="LW18" s="55">
        <v>56309</v>
      </c>
      <c r="LX18" s="55">
        <v>56340</v>
      </c>
      <c r="LY18" s="55">
        <v>56370</v>
      </c>
      <c r="LZ18" s="55">
        <v>56401</v>
      </c>
      <c r="MA18" s="55">
        <v>56431</v>
      </c>
      <c r="MB18" s="55">
        <v>56462</v>
      </c>
      <c r="MC18" s="55">
        <v>56493</v>
      </c>
      <c r="MD18" s="55">
        <v>56523</v>
      </c>
      <c r="ME18" s="55">
        <v>56554</v>
      </c>
      <c r="MF18" s="55">
        <v>56584</v>
      </c>
      <c r="MG18" s="55">
        <v>56615</v>
      </c>
      <c r="MH18" s="55">
        <v>56646</v>
      </c>
      <c r="MI18" s="55">
        <v>56674</v>
      </c>
      <c r="MJ18" s="55">
        <v>56705</v>
      </c>
      <c r="MK18" s="55">
        <v>56735</v>
      </c>
      <c r="ML18" s="55">
        <v>56766</v>
      </c>
      <c r="MM18" s="55">
        <v>56796</v>
      </c>
      <c r="MN18" s="55">
        <v>56827</v>
      </c>
      <c r="MO18" s="55">
        <v>56858</v>
      </c>
      <c r="MP18" s="55">
        <v>56888</v>
      </c>
      <c r="MQ18" s="55">
        <v>56919</v>
      </c>
      <c r="MR18" s="55">
        <v>56949</v>
      </c>
      <c r="MS18" s="55">
        <v>56980</v>
      </c>
      <c r="MT18" s="55">
        <v>57011</v>
      </c>
      <c r="MU18" s="55">
        <v>57040</v>
      </c>
      <c r="MV18" s="55">
        <v>57071</v>
      </c>
      <c r="MW18" s="55">
        <v>57101</v>
      </c>
      <c r="MX18" s="55">
        <v>57132</v>
      </c>
      <c r="MY18" s="55">
        <v>57162</v>
      </c>
      <c r="MZ18" s="55">
        <v>57193</v>
      </c>
      <c r="NA18" s="55">
        <v>57224</v>
      </c>
      <c r="NB18" s="55">
        <v>57254</v>
      </c>
      <c r="NC18" s="55">
        <v>57285</v>
      </c>
    </row>
    <row r="19" spans="1:367" x14ac:dyDescent="0.25">
      <c r="A19" s="40">
        <v>46204</v>
      </c>
      <c r="B19" s="61"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40">
        <v>46251</v>
      </c>
      <c r="B20" s="61"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40">
        <v>46300</v>
      </c>
      <c r="B21" s="61"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40">
        <v>46348</v>
      </c>
      <c r="B22" s="61"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40">
        <v>46395</v>
      </c>
      <c r="B23" s="61"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40">
        <v>46442</v>
      </c>
      <c r="B24" s="61"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40">
        <v>46487</v>
      </c>
      <c r="B25" s="61"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5C2D91"/>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186" t="str">
        <f ca="1">_xlfn.TEXTAFTER(CELL("filename",A1),"]")</f>
        <v>oz.TimelinePositionλ</v>
      </c>
      <c r="B1" s="186"/>
      <c r="C1" s="186"/>
      <c r="D1" s="186"/>
      <c r="E1" s="186"/>
      <c r="F1" s="186"/>
      <c r="G1" s="186"/>
      <c r="H1" s="186"/>
      <c r="I1" s="186"/>
      <c r="J1" s="186"/>
      <c r="K1" s="186"/>
      <c r="L1" s="186"/>
      <c r="M1" s="186"/>
      <c r="N1" s="186"/>
      <c r="O1" s="186"/>
      <c r="P1" s="186"/>
    </row>
    <row r="2" spans="1:17" x14ac:dyDescent="0.25">
      <c r="A2" s="187" t="s">
        <v>94</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c r="L3" s="4"/>
      <c r="M3" s="4"/>
      <c r="N3" s="4"/>
      <c r="O3" s="4"/>
      <c r="P3" s="4"/>
    </row>
    <row r="4" spans="1:17" x14ac:dyDescent="0.25">
      <c r="A4" s="61"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200" t="s">
        <v>193</v>
      </c>
      <c r="B20" s="200"/>
      <c r="C20" s="200"/>
      <c r="G20" s="190" t="s">
        <v>201</v>
      </c>
      <c r="H20" s="205"/>
      <c r="I20" s="205"/>
      <c r="J20" s="205"/>
      <c r="K20" s="205"/>
      <c r="L20" s="205"/>
      <c r="M20" s="205"/>
      <c r="N20" s="205"/>
      <c r="O20" s="205"/>
      <c r="P20" s="205"/>
      <c r="Q20" s="205"/>
      <c r="R20" s="205"/>
      <c r="S20" s="205"/>
      <c r="T20" s="205"/>
      <c r="U20" s="205"/>
      <c r="V20" s="205"/>
      <c r="W20" s="191"/>
    </row>
    <row r="22" spans="1:23" x14ac:dyDescent="0.25">
      <c r="A22" s="60" t="s">
        <v>7</v>
      </c>
      <c r="B22" s="59" t="s">
        <v>161</v>
      </c>
      <c r="C22" s="59" t="s">
        <v>162</v>
      </c>
      <c r="D22" s="59" t="s">
        <v>163</v>
      </c>
      <c r="E22" s="59" t="s">
        <v>164</v>
      </c>
      <c r="F22" s="73"/>
      <c r="G22" s="127" t="s">
        <v>6</v>
      </c>
      <c r="H22" s="14" t="s">
        <v>165</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88" t="s">
        <v>166</v>
      </c>
      <c r="B23" s="77">
        <v>51642</v>
      </c>
      <c r="C23" s="78">
        <v>7.0000000000000007E-2</v>
      </c>
      <c r="D23" s="79">
        <v>10</v>
      </c>
      <c r="E23" s="130">
        <v>46204</v>
      </c>
      <c r="G23" s="81" t="str" cm="1">
        <f t="array" ref="G23:G28">oz.LabelAmortiseλ(A23)</f>
        <v>Renovation Debt Issuance</v>
      </c>
      <c r="H23" s="101" cm="1">
        <f t="array" ref="H23:H28">oz.SumAmortiseλ(_xlfn.ANCHORARRAY(I23))</f>
        <v>0</v>
      </c>
      <c r="I23" s="101" cm="1">
        <f t="array" ref="I23:R28">oz.Amortiseλ( B23,C23,D23,E23,_xlfn.ANCHORARRAY( I22))</f>
        <v>51642</v>
      </c>
      <c r="J23" s="85">
        <v>0</v>
      </c>
      <c r="K23" s="85">
        <v>0</v>
      </c>
      <c r="L23" s="85">
        <v>0</v>
      </c>
      <c r="M23" s="85">
        <v>0</v>
      </c>
      <c r="N23" s="85">
        <v>0</v>
      </c>
      <c r="O23" s="85">
        <v>0</v>
      </c>
      <c r="P23" s="85">
        <v>0</v>
      </c>
      <c r="Q23" s="85">
        <v>0</v>
      </c>
      <c r="R23" s="85">
        <v>0</v>
      </c>
      <c r="S23" s="85"/>
      <c r="T23" s="85"/>
      <c r="U23" s="85"/>
      <c r="V23" s="85"/>
      <c r="W23" s="85"/>
    </row>
    <row r="24" spans="1:23" x14ac:dyDescent="0.25">
      <c r="G24" s="81" t="str">
        <v>Renovation Debt Balance</v>
      </c>
      <c r="H24" s="85">
        <v>0</v>
      </c>
      <c r="I24" s="85">
        <v>51642</v>
      </c>
      <c r="J24" s="85">
        <v>0</v>
      </c>
      <c r="K24" s="85">
        <v>0</v>
      </c>
      <c r="L24" s="85">
        <v>0</v>
      </c>
      <c r="M24" s="85">
        <v>0</v>
      </c>
      <c r="N24" s="85">
        <v>0</v>
      </c>
      <c r="O24" s="85">
        <v>0</v>
      </c>
      <c r="P24" s="85">
        <v>0</v>
      </c>
      <c r="Q24" s="85">
        <v>0</v>
      </c>
      <c r="R24" s="85">
        <v>0</v>
      </c>
      <c r="S24" s="85"/>
      <c r="T24" s="85"/>
      <c r="U24" s="85"/>
      <c r="V24" s="85"/>
      <c r="W24" s="85"/>
    </row>
    <row r="25" spans="1:23" x14ac:dyDescent="0.25">
      <c r="G25" s="81" t="str">
        <v>Renovation Interest</v>
      </c>
      <c r="H25" s="85">
        <v>1671.3019720882637</v>
      </c>
      <c r="I25" s="85">
        <v>1671.3019720882637</v>
      </c>
      <c r="J25" s="85">
        <v>0</v>
      </c>
      <c r="K25" s="85">
        <v>0</v>
      </c>
      <c r="L25" s="85">
        <v>0</v>
      </c>
      <c r="M25" s="85">
        <v>0</v>
      </c>
      <c r="N25" s="85">
        <v>0</v>
      </c>
      <c r="O25" s="85">
        <v>0</v>
      </c>
      <c r="P25" s="85">
        <v>0</v>
      </c>
      <c r="Q25" s="85">
        <v>0</v>
      </c>
      <c r="R25" s="85">
        <v>0</v>
      </c>
      <c r="S25" s="85"/>
      <c r="T25" s="85"/>
      <c r="U25" s="85"/>
      <c r="V25" s="85"/>
      <c r="W25" s="85"/>
    </row>
    <row r="26" spans="1:23" x14ac:dyDescent="0.25">
      <c r="G26" s="81" t="str">
        <v>Renovation Debt Services</v>
      </c>
      <c r="H26" s="85">
        <v>-53313.30197208828</v>
      </c>
      <c r="I26" s="85">
        <v>-53313.30197208828</v>
      </c>
      <c r="J26" s="85">
        <v>0</v>
      </c>
      <c r="K26" s="85">
        <v>0</v>
      </c>
      <c r="L26" s="85">
        <v>0</v>
      </c>
      <c r="M26" s="85">
        <v>0</v>
      </c>
      <c r="N26" s="85">
        <v>0</v>
      </c>
      <c r="O26" s="85">
        <v>0</v>
      </c>
      <c r="P26" s="85">
        <v>0</v>
      </c>
      <c r="Q26" s="85">
        <v>0</v>
      </c>
      <c r="R26" s="85">
        <v>0</v>
      </c>
      <c r="S26" s="85"/>
      <c r="T26" s="85"/>
      <c r="U26" s="85"/>
      <c r="V26" s="85"/>
      <c r="W26" s="85"/>
    </row>
    <row r="27" spans="1:23" x14ac:dyDescent="0.25">
      <c r="G27" s="81" t="str">
        <v>Renovation Closing Balance</v>
      </c>
      <c r="H27" s="85">
        <v>0</v>
      </c>
      <c r="I27" s="85">
        <v>-1.4551915228366852E-11</v>
      </c>
      <c r="J27" s="85">
        <v>0</v>
      </c>
      <c r="K27" s="85">
        <v>0</v>
      </c>
      <c r="L27" s="85">
        <v>0</v>
      </c>
      <c r="M27" s="85">
        <v>0</v>
      </c>
      <c r="N27" s="85">
        <v>0</v>
      </c>
      <c r="O27" s="85">
        <v>0</v>
      </c>
      <c r="P27" s="85">
        <v>0</v>
      </c>
      <c r="Q27" s="85">
        <v>0</v>
      </c>
      <c r="R27" s="85">
        <v>0</v>
      </c>
      <c r="S27" s="85"/>
      <c r="T27" s="85"/>
      <c r="U27" s="85"/>
      <c r="V27" s="85"/>
      <c r="W27" s="85"/>
    </row>
    <row r="28" spans="1:23" x14ac:dyDescent="0.25">
      <c r="G28" s="81" t="str">
        <v>Renovation Debt Repayment</v>
      </c>
      <c r="H28" s="85">
        <v>51642.000000000015</v>
      </c>
      <c r="I28" s="85">
        <v>51642.000000000015</v>
      </c>
      <c r="J28" s="85">
        <v>0</v>
      </c>
      <c r="K28" s="85">
        <v>0</v>
      </c>
      <c r="L28" s="85">
        <v>0</v>
      </c>
      <c r="M28" s="85">
        <v>0</v>
      </c>
      <c r="N28" s="85">
        <v>0</v>
      </c>
      <c r="O28" s="85">
        <v>0</v>
      </c>
      <c r="P28" s="85">
        <v>0</v>
      </c>
      <c r="Q28" s="85">
        <v>0</v>
      </c>
      <c r="R28" s="85">
        <v>0</v>
      </c>
      <c r="S28" s="85"/>
      <c r="T28" s="85"/>
      <c r="U28" s="85"/>
      <c r="V28" s="85"/>
      <c r="W28" s="85"/>
    </row>
    <row r="30" spans="1:23" ht="21" x14ac:dyDescent="0.35">
      <c r="G30" s="190" t="s">
        <v>200</v>
      </c>
      <c r="H30" s="205"/>
      <c r="I30" s="205"/>
      <c r="J30" s="205"/>
      <c r="K30" s="205"/>
      <c r="L30" s="205"/>
      <c r="M30" s="205"/>
      <c r="N30" s="205"/>
      <c r="O30" s="205"/>
      <c r="P30" s="205"/>
      <c r="Q30" s="205"/>
      <c r="R30" s="205"/>
      <c r="S30" s="205"/>
      <c r="T30" s="205"/>
      <c r="U30" s="205"/>
      <c r="V30" s="205"/>
      <c r="W30" s="191"/>
    </row>
    <row r="32" spans="1:23" x14ac:dyDescent="0.25">
      <c r="G32" s="127" t="s">
        <v>6</v>
      </c>
      <c r="H32" s="14" t="s">
        <v>165</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81" t="str" cm="1">
        <f t="array" ref="G33:G38">oz.LabelAmortiseλ(A23)</f>
        <v>Renovation Debt Issuance</v>
      </c>
      <c r="H33" s="101" cm="1">
        <f t="array" ref="H33:H38">oz.SumAmortiseλ(_xlfn.ANCHORARRAY(I33))</f>
        <v>0</v>
      </c>
      <c r="I33" s="61"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-1.4551915228366852E-11</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7A5AB5"/>
    <pageSetUpPr fitToPage="1"/>
  </sheetPr>
  <dimension ref="A1:N26"/>
  <sheetViews>
    <sheetView showGridLines="0" workbookViewId="0">
      <selection sqref="A1:E1"/>
    </sheetView>
  </sheetViews>
  <sheetFormatPr defaultRowHeight="15" x14ac:dyDescent="0.25"/>
  <cols>
    <col min="1" max="1" width="22" bestFit="1" customWidth="1"/>
    <col min="2" max="2" width="99.75" bestFit="1" customWidth="1"/>
  </cols>
  <sheetData>
    <row r="1" spans="1:14" ht="46.5" x14ac:dyDescent="0.7">
      <c r="A1" s="186" t="str">
        <f ca="1">_xlfn.TEXTAFTER(CELL("filename",A1),"]")</f>
        <v>oz.AboutEssentialsλ</v>
      </c>
      <c r="B1" s="186"/>
      <c r="C1" s="186"/>
      <c r="D1" s="186"/>
      <c r="E1" s="186"/>
      <c r="F1" s="12"/>
      <c r="G1" s="12"/>
      <c r="H1" s="12"/>
      <c r="I1" s="12"/>
      <c r="J1" s="12"/>
      <c r="K1" s="12"/>
      <c r="L1" s="12"/>
      <c r="M1" s="12"/>
      <c r="N1" s="12"/>
    </row>
    <row r="2" spans="1:14" x14ac:dyDescent="0.25">
      <c r="A2" s="187" t="s">
        <v>255</v>
      </c>
      <c r="B2" s="188"/>
      <c r="C2" s="188"/>
      <c r="D2" s="188"/>
      <c r="E2" s="188"/>
      <c r="F2" s="188"/>
      <c r="G2" s="188"/>
      <c r="H2" s="188"/>
      <c r="I2" s="189"/>
      <c r="J2" s="4"/>
      <c r="K2" s="4"/>
      <c r="L2" s="4"/>
      <c r="M2" s="4"/>
      <c r="N2" s="4"/>
    </row>
    <row r="3" spans="1:14" x14ac:dyDescent="0.25">
      <c r="A3" s="4"/>
      <c r="B3" s="4"/>
      <c r="C3" s="4"/>
      <c r="D3" s="4"/>
      <c r="E3" s="4"/>
      <c r="F3" s="4"/>
      <c r="G3" s="4"/>
      <c r="H3" s="4"/>
      <c r="I3" s="4"/>
      <c r="J3" s="4"/>
      <c r="K3" s="4"/>
      <c r="L3" s="4"/>
      <c r="M3" s="4"/>
      <c r="N3" s="4"/>
    </row>
    <row r="5" spans="1:14" x14ac:dyDescent="0.25">
      <c r="A5" s="30" t="str" cm="1">
        <f t="array" ref="A5:B26">oz.AboutEssentialsλ</f>
        <v>About:</v>
      </c>
      <c r="B5" t="str">
        <v>Basic functions for working with dynamic arrays. Suggested module name: oz</v>
      </c>
    </row>
    <row r="6" spans="1:14" x14ac:dyDescent="0.25">
      <c r="A6" t="str">
        <v>Version:</v>
      </c>
      <c r="B6" t="str">
        <v>20 Aug 2026</v>
      </c>
    </row>
    <row r="7" spans="1:14" x14ac:dyDescent="0.25">
      <c r="A7" t="str">
        <v>Repository:</v>
      </c>
      <c r="B7" t="str">
        <v>https://github.com/ryanduguid/Ozzit</v>
      </c>
    </row>
    <row r="8" spans="1:14" x14ac:dyDescent="0.25">
      <c r="A8" t="str">
        <v/>
      </c>
      <c r="B8" t="str">
        <v/>
      </c>
      <c r="D8" s="3"/>
    </row>
    <row r="9" spans="1:14" x14ac:dyDescent="0.25">
      <c r="A9" t="str">
        <v>Function</v>
      </c>
      <c r="B9" t="str">
        <v>Description</v>
      </c>
    </row>
    <row r="10" spans="1:14" x14ac:dyDescent="0.25">
      <c r="A10" t="str">
        <v>AboutEssentialsλ</v>
      </c>
      <c r="B10" t="str">
        <v>Produces this table</v>
      </c>
    </row>
    <row r="11" spans="1:14" x14ac:dyDescent="0.25">
      <c r="A11" t="str">
        <v>CountCλ</v>
      </c>
      <c r="B11" t="str">
        <v>Count how many of one or more characters are in a text string</v>
      </c>
    </row>
    <row r="12" spans="1:14" x14ac:dyDescent="0.25">
      <c r="A12" t="str">
        <v>SumColsλ</v>
      </c>
      <c r="B12" t="str">
        <v>Get the total of each column</v>
      </c>
    </row>
    <row r="13" spans="1:14" x14ac:dyDescent="0.25">
      <c r="A13" t="str">
        <v>SumRowsλ</v>
      </c>
      <c r="B13" t="str">
        <v>Get the total of each row</v>
      </c>
    </row>
    <row r="14" spans="1:14" x14ac:dyDescent="0.25">
      <c r="A14" t="str">
        <v>AvgColsλ</v>
      </c>
      <c r="B14" t="str">
        <v>Get the average of each column</v>
      </c>
    </row>
    <row r="15" spans="1:14" x14ac:dyDescent="0.25">
      <c r="A15" t="str">
        <v>AvgRowsλ</v>
      </c>
      <c r="B15" t="str">
        <v>Get the average of each row</v>
      </c>
    </row>
    <row r="16" spans="1:14"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7A5AB5"/>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186" t="str">
        <f ca="1">_xlfn.TEXTAFTER(CELL("filename",A1),"]")</f>
        <v>oz.CountCλ</v>
      </c>
      <c r="B1" s="186"/>
      <c r="C1" s="186"/>
      <c r="D1" s="186"/>
      <c r="E1" s="186"/>
      <c r="F1" s="186"/>
      <c r="G1" s="186"/>
      <c r="H1" s="186"/>
      <c r="I1" s="186"/>
      <c r="J1" s="186"/>
      <c r="K1" s="186"/>
    </row>
    <row r="2" spans="1:17" x14ac:dyDescent="0.25">
      <c r="A2" s="187" t="s">
        <v>289</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row>
    <row r="4" spans="1:17" x14ac:dyDescent="0.25">
      <c r="A4" s="61"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89" t="s">
        <v>266</v>
      </c>
      <c r="C16" s="89" t="s">
        <v>265</v>
      </c>
      <c r="D16" s="1" t="s">
        <v>267</v>
      </c>
      <c r="E16" s="149" t="s">
        <v>273</v>
      </c>
      <c r="F16" s="1"/>
      <c r="G16" s="1"/>
      <c r="H16" s="1"/>
      <c r="I16" s="1"/>
      <c r="J16" s="1"/>
      <c r="K16" s="1"/>
      <c r="L16" s="1"/>
      <c r="M16" s="1"/>
      <c r="N16" s="1"/>
      <c r="O16" s="1"/>
    </row>
    <row r="17" spans="2:5" x14ac:dyDescent="0.25">
      <c r="B17" s="20" t="s">
        <v>268</v>
      </c>
      <c r="C17" s="73" t="s">
        <v>269</v>
      </c>
      <c r="D17" s="61" cm="1">
        <f t="array" ref="D17">oz.CountCλ(B17,C17)</f>
        <v>5</v>
      </c>
      <c r="E17" t="s">
        <v>274</v>
      </c>
    </row>
    <row r="18" spans="2:5" x14ac:dyDescent="0.25">
      <c r="B18" s="20" t="s">
        <v>268</v>
      </c>
      <c r="C18" s="73" t="s">
        <v>20</v>
      </c>
      <c r="D18" s="61" cm="1">
        <f t="array" ref="D18">oz.CountCλ(B18,C18)</f>
        <v>1</v>
      </c>
      <c r="E18" t="s">
        <v>275</v>
      </c>
    </row>
    <row r="19" spans="2:5" x14ac:dyDescent="0.25">
      <c r="B19" s="20" t="s">
        <v>268</v>
      </c>
      <c r="C19" s="73" t="s">
        <v>270</v>
      </c>
      <c r="D19" s="61" cm="1">
        <f t="array" ref="D19">oz.CountCλ(B19,C19)</f>
        <v>2</v>
      </c>
    </row>
    <row r="20" spans="2:5" x14ac:dyDescent="0.25">
      <c r="B20" s="20" t="s">
        <v>268</v>
      </c>
      <c r="C20" s="73" t="s">
        <v>271</v>
      </c>
      <c r="D20" s="61" cm="1">
        <f t="array" ref="D20">oz.CountCλ(B20,C20)</f>
        <v>3</v>
      </c>
    </row>
    <row r="21" spans="2:5" x14ac:dyDescent="0.25">
      <c r="B21" s="20" t="s">
        <v>268</v>
      </c>
      <c r="C21" s="73" t="s">
        <v>272</v>
      </c>
      <c r="D21" s="61" cm="1">
        <f t="array" ref="D21">oz.CountCλ(B21,C21)</f>
        <v>3</v>
      </c>
      <c r="E21" t="s">
        <v>276</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7A5AB5"/>
    <pageSetUpPr fitToPage="1"/>
  </sheetPr>
  <dimension ref="A1:R26"/>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186" t="str">
        <f ca="1">_xlfn.TEXTAFTER(CELL("filename",A1),"]")</f>
        <v>oz.SumRowsλ</v>
      </c>
      <c r="B1" s="186"/>
      <c r="C1" s="186"/>
      <c r="D1" s="186"/>
      <c r="E1" s="186"/>
      <c r="F1" s="186"/>
      <c r="G1" s="186"/>
      <c r="H1" s="186"/>
      <c r="I1" s="186"/>
      <c r="J1" s="186"/>
      <c r="K1" s="186"/>
    </row>
    <row r="2" spans="1:17" x14ac:dyDescent="0.25">
      <c r="A2" s="187" t="s">
        <v>89</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row>
    <row r="4" spans="1:17" x14ac:dyDescent="0.25">
      <c r="A4" s="61"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200" t="s">
        <v>148</v>
      </c>
      <c r="B17" s="200"/>
      <c r="C17" s="200"/>
    </row>
    <row r="19" spans="1:18" x14ac:dyDescent="0.25">
      <c r="A19" s="60" t="s">
        <v>149</v>
      </c>
      <c r="B19" s="60" t="s">
        <v>14</v>
      </c>
      <c r="C19" s="60" t="s">
        <v>15</v>
      </c>
      <c r="E19" s="89" t="s">
        <v>7</v>
      </c>
      <c r="F19" s="89" t="s">
        <v>152</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112</v>
      </c>
      <c r="B20" s="40">
        <v>46204</v>
      </c>
      <c r="C20" t="s">
        <v>21</v>
      </c>
      <c r="E20" s="20" t="str" cm="1">
        <f t="array" ref="E20:E24">tblCT[Customer]</f>
        <v>ACME</v>
      </c>
      <c r="F20" s="135" cm="1">
        <f t="array" ref="F20:F24">oz.SumRowsλ(_xlfn.ANCHORARRAY(G20))</f>
        <v>13098</v>
      </c>
      <c r="G20" s="134"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17</v>
      </c>
      <c r="B21">
        <v>12</v>
      </c>
      <c r="C21" t="s">
        <v>22</v>
      </c>
      <c r="E21" s="20" t="str">
        <v>Wool*Art</v>
      </c>
      <c r="F21" s="73">
        <v>13182</v>
      </c>
      <c r="G21" s="73">
        <v>1027</v>
      </c>
      <c r="H21">
        <v>1040</v>
      </c>
      <c r="I21">
        <v>1053</v>
      </c>
      <c r="J21">
        <v>1066</v>
      </c>
      <c r="K21">
        <v>1079</v>
      </c>
      <c r="L21">
        <v>1092</v>
      </c>
      <c r="M21">
        <v>1105</v>
      </c>
      <c r="N21">
        <v>1118</v>
      </c>
      <c r="O21">
        <v>1131</v>
      </c>
      <c r="P21">
        <v>1144</v>
      </c>
      <c r="Q21">
        <v>1157</v>
      </c>
      <c r="R21">
        <v>1170</v>
      </c>
    </row>
    <row r="22" spans="1:18" x14ac:dyDescent="0.25">
      <c r="A22" t="s">
        <v>18</v>
      </c>
      <c r="B22" t="s">
        <v>2</v>
      </c>
      <c r="E22" s="20" t="str">
        <v>Town Hall</v>
      </c>
      <c r="F22" s="73">
        <v>13266</v>
      </c>
      <c r="G22" s="73">
        <v>1034</v>
      </c>
      <c r="H22">
        <v>1047</v>
      </c>
      <c r="I22">
        <v>1060</v>
      </c>
      <c r="J22">
        <v>1073</v>
      </c>
      <c r="K22">
        <v>1086</v>
      </c>
      <c r="L22">
        <v>1099</v>
      </c>
      <c r="M22">
        <v>1112</v>
      </c>
      <c r="N22">
        <v>1125</v>
      </c>
      <c r="O22">
        <v>1138</v>
      </c>
      <c r="P22">
        <v>1151</v>
      </c>
      <c r="Q22">
        <v>1164</v>
      </c>
      <c r="R22">
        <v>1177</v>
      </c>
    </row>
    <row r="23" spans="1:18" x14ac:dyDescent="0.25">
      <c r="E23" s="20" t="str">
        <v>Jacqie Penee</v>
      </c>
      <c r="F23" s="73">
        <v>13350</v>
      </c>
      <c r="G23">
        <v>1041</v>
      </c>
      <c r="H23">
        <v>1054</v>
      </c>
      <c r="I23">
        <v>1067</v>
      </c>
      <c r="J23">
        <v>1080</v>
      </c>
      <c r="K23">
        <v>1093</v>
      </c>
      <c r="L23">
        <v>1106</v>
      </c>
      <c r="M23">
        <v>1119</v>
      </c>
      <c r="N23">
        <v>1132</v>
      </c>
      <c r="O23">
        <v>1145</v>
      </c>
      <c r="P23">
        <v>1158</v>
      </c>
      <c r="Q23">
        <v>1171</v>
      </c>
      <c r="R23">
        <v>1184</v>
      </c>
    </row>
    <row r="24" spans="1:18" x14ac:dyDescent="0.25">
      <c r="E24" s="20" t="str">
        <v>Amazonia</v>
      </c>
      <c r="F24" s="73">
        <v>13434</v>
      </c>
      <c r="G24">
        <v>1048</v>
      </c>
      <c r="H24">
        <v>1061</v>
      </c>
      <c r="I24">
        <v>1074</v>
      </c>
      <c r="J24">
        <v>1087</v>
      </c>
      <c r="K24">
        <v>1100</v>
      </c>
      <c r="L24">
        <v>1113</v>
      </c>
      <c r="M24">
        <v>1126</v>
      </c>
      <c r="N24">
        <v>1139</v>
      </c>
      <c r="O24">
        <v>1152</v>
      </c>
      <c r="P24">
        <v>1165</v>
      </c>
      <c r="Q24">
        <v>1178</v>
      </c>
      <c r="R24">
        <v>1191</v>
      </c>
    </row>
    <row r="25" spans="1:18" ht="15.75" thickBot="1" x14ac:dyDescent="0.3">
      <c r="E25" s="102" t="s">
        <v>5</v>
      </c>
      <c r="F25" s="70">
        <f>SUM(_xlfn.ANCHORARRAY(G25))</f>
        <v>66330</v>
      </c>
      <c r="G25" s="70" cm="1">
        <f t="array" ref="G25:R25">oz.SumColsλ(_xlfn.ANCHORARRAY(G20))</f>
        <v>5170</v>
      </c>
      <c r="H25" s="70">
        <v>5235</v>
      </c>
      <c r="I25" s="70">
        <v>5300</v>
      </c>
      <c r="J25" s="70">
        <v>5365</v>
      </c>
      <c r="K25" s="70">
        <v>5430</v>
      </c>
      <c r="L25" s="70">
        <v>5495</v>
      </c>
      <c r="M25" s="70">
        <v>5560</v>
      </c>
      <c r="N25" s="70">
        <v>5625</v>
      </c>
      <c r="O25" s="70">
        <v>5690</v>
      </c>
      <c r="P25" s="70">
        <v>5755</v>
      </c>
      <c r="Q25" s="70">
        <v>5820</v>
      </c>
      <c r="R25" s="70">
        <v>5885</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oz.SumColsλ</v>
      </c>
      <c r="B1" s="186"/>
      <c r="C1" s="186"/>
      <c r="D1" s="186"/>
      <c r="E1" s="186"/>
      <c r="F1" s="186"/>
      <c r="G1" s="186"/>
      <c r="H1" s="186"/>
      <c r="I1" s="186"/>
      <c r="J1" s="186"/>
      <c r="K1" s="186"/>
      <c r="L1" s="186"/>
      <c r="M1" s="186"/>
      <c r="N1" s="186"/>
      <c r="O1" s="186"/>
      <c r="P1" s="186"/>
    </row>
    <row r="2" spans="1:19" x14ac:dyDescent="0.25">
      <c r="A2" s="187" t="s">
        <v>260</v>
      </c>
      <c r="B2" s="192"/>
      <c r="C2" s="192"/>
      <c r="D2" s="192"/>
      <c r="E2" s="192"/>
      <c r="F2" s="192"/>
      <c r="G2" s="192"/>
      <c r="H2" s="192"/>
      <c r="I2" s="192"/>
      <c r="J2" s="192"/>
      <c r="K2" s="192"/>
      <c r="L2" s="192"/>
      <c r="M2" s="192"/>
      <c r="N2" s="192"/>
      <c r="O2" s="192"/>
      <c r="P2" s="192"/>
      <c r="Q2" s="192"/>
      <c r="R2" s="192"/>
    </row>
    <row r="3" spans="1:19" x14ac:dyDescent="0.25">
      <c r="A3" s="4"/>
      <c r="B3" s="4"/>
      <c r="C3" s="4"/>
      <c r="D3" s="4"/>
      <c r="E3" s="4"/>
      <c r="F3" s="4"/>
      <c r="G3" s="4"/>
      <c r="H3" s="4"/>
      <c r="I3" s="4"/>
      <c r="J3" s="4"/>
      <c r="K3" s="4"/>
      <c r="L3" s="4"/>
      <c r="M3" s="4"/>
      <c r="N3" s="4"/>
      <c r="O3" s="4"/>
      <c r="P3" s="4"/>
    </row>
    <row r="4" spans="1:19" x14ac:dyDescent="0.25">
      <c r="A4" s="61"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200" t="s">
        <v>148</v>
      </c>
      <c r="B14" s="200"/>
      <c r="C14" s="200"/>
    </row>
    <row r="16" spans="1:19" x14ac:dyDescent="0.25">
      <c r="A16" s="60" t="s">
        <v>149</v>
      </c>
      <c r="B16" s="60" t="s">
        <v>14</v>
      </c>
      <c r="C16" s="60" t="s">
        <v>15</v>
      </c>
      <c r="F16" s="60" t="s">
        <v>140</v>
      </c>
      <c r="G16" s="54" t="s">
        <v>152</v>
      </c>
      <c r="H16" s="55"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40">
        <v>46204</v>
      </c>
      <c r="C17" t="s">
        <v>21</v>
      </c>
      <c r="F17" t="str" cm="1">
        <f t="array" ref="F17:F21">tblCT[Customer]</f>
        <v>ACME</v>
      </c>
      <c r="G17" cm="1">
        <f t="array" ref="G17:G21">oz.SumRowsλ(_xlfn.ANCHORARRAY(H17))</f>
        <v>13098</v>
      </c>
      <c r="H17" s="91"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17</v>
      </c>
      <c r="B18">
        <v>12</v>
      </c>
      <c r="C18" t="s">
        <v>22</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18</v>
      </c>
      <c r="B19" t="s">
        <v>20</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66" t="s">
        <v>159</v>
      </c>
      <c r="G22" s="66">
        <f>SUM(_xlfn.ANCHORARRAY(H22))</f>
        <v>66330</v>
      </c>
      <c r="H22" s="103" cm="1">
        <f t="array" ref="H22:S22">oz.SumColsλ(_xlfn.ANCHORARRAY(H17))</f>
        <v>5170</v>
      </c>
      <c r="I22" s="66">
        <v>5235</v>
      </c>
      <c r="J22" s="66">
        <v>5300</v>
      </c>
      <c r="K22" s="66">
        <v>5365</v>
      </c>
      <c r="L22" s="66">
        <v>5430</v>
      </c>
      <c r="M22" s="66">
        <v>5495</v>
      </c>
      <c r="N22" s="66">
        <v>5560</v>
      </c>
      <c r="O22" s="66">
        <v>5625</v>
      </c>
      <c r="P22" s="66">
        <v>5690</v>
      </c>
      <c r="Q22" s="66">
        <v>5755</v>
      </c>
      <c r="R22" s="66">
        <v>5820</v>
      </c>
      <c r="S22" s="66">
        <v>5885</v>
      </c>
    </row>
    <row r="42" spans="14:14" x14ac:dyDescent="0.25">
      <c r="N42" s="58"/>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oz.AvgRowsλ</v>
      </c>
      <c r="B1" s="186"/>
      <c r="C1" s="186"/>
      <c r="D1" s="186"/>
      <c r="E1" s="186"/>
      <c r="F1" s="186"/>
      <c r="G1" s="186"/>
      <c r="H1" s="186"/>
      <c r="I1" s="186"/>
      <c r="J1" s="186"/>
      <c r="K1" s="186"/>
    </row>
    <row r="2" spans="1:18" x14ac:dyDescent="0.25">
      <c r="A2" s="187" t="s">
        <v>259</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oz.AvgRowsλ(_xlfn.ANCHORARRAY(G17))</f>
        <v>1091.5</v>
      </c>
      <c r="G17" s="134"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17</v>
      </c>
      <c r="B18">
        <v>12</v>
      </c>
      <c r="C18" t="s">
        <v>22</v>
      </c>
      <c r="E18" s="20" t="str">
        <v>Wool*Art</v>
      </c>
      <c r="F18" s="73">
        <v>1098.5</v>
      </c>
      <c r="G18" s="73">
        <v>1027</v>
      </c>
      <c r="H18">
        <v>1040</v>
      </c>
      <c r="I18">
        <v>1053</v>
      </c>
      <c r="J18">
        <v>1066</v>
      </c>
      <c r="K18">
        <v>1079</v>
      </c>
      <c r="L18">
        <v>1092</v>
      </c>
      <c r="M18">
        <v>1105</v>
      </c>
      <c r="N18">
        <v>1118</v>
      </c>
      <c r="O18">
        <v>1131</v>
      </c>
      <c r="P18">
        <v>1144</v>
      </c>
      <c r="Q18">
        <v>1157</v>
      </c>
      <c r="R18">
        <v>1170</v>
      </c>
    </row>
    <row r="19" spans="1:18" x14ac:dyDescent="0.25">
      <c r="A19" t="s">
        <v>18</v>
      </c>
      <c r="B19" t="s">
        <v>2</v>
      </c>
      <c r="E19" s="20" t="str">
        <v>Town Hall</v>
      </c>
      <c r="F19" s="73">
        <v>1105.5</v>
      </c>
      <c r="G19" s="73">
        <v>1034</v>
      </c>
      <c r="H19">
        <v>1047</v>
      </c>
      <c r="I19">
        <v>1060</v>
      </c>
      <c r="J19">
        <v>1073</v>
      </c>
      <c r="K19">
        <v>1086</v>
      </c>
      <c r="L19">
        <v>1099</v>
      </c>
      <c r="M19">
        <v>1112</v>
      </c>
      <c r="N19">
        <v>1125</v>
      </c>
      <c r="O19">
        <v>1138</v>
      </c>
      <c r="P19">
        <v>1151</v>
      </c>
      <c r="Q19">
        <v>1164</v>
      </c>
      <c r="R19">
        <v>1177</v>
      </c>
    </row>
    <row r="20" spans="1:18" x14ac:dyDescent="0.25">
      <c r="E20" s="20" t="str">
        <v>Jacqie Penee</v>
      </c>
      <c r="F20" s="73">
        <v>1112.5</v>
      </c>
      <c r="G20">
        <v>1041</v>
      </c>
      <c r="H20">
        <v>1054</v>
      </c>
      <c r="I20">
        <v>1067</v>
      </c>
      <c r="J20">
        <v>1080</v>
      </c>
      <c r="K20">
        <v>1093</v>
      </c>
      <c r="L20">
        <v>1106</v>
      </c>
      <c r="M20">
        <v>1119</v>
      </c>
      <c r="N20">
        <v>1132</v>
      </c>
      <c r="O20">
        <v>1145</v>
      </c>
      <c r="P20">
        <v>1158</v>
      </c>
      <c r="Q20">
        <v>1171</v>
      </c>
      <c r="R20">
        <v>1184</v>
      </c>
    </row>
    <row r="21" spans="1:18" x14ac:dyDescent="0.25">
      <c r="E21" s="20" t="str">
        <v>Amazonia</v>
      </c>
      <c r="F21" s="73">
        <v>1119.5</v>
      </c>
      <c r="G21">
        <v>1048</v>
      </c>
      <c r="H21">
        <v>1061</v>
      </c>
      <c r="I21">
        <v>1074</v>
      </c>
      <c r="J21">
        <v>1087</v>
      </c>
      <c r="K21">
        <v>1100</v>
      </c>
      <c r="L21">
        <v>1113</v>
      </c>
      <c r="M21">
        <v>1126</v>
      </c>
      <c r="N21">
        <v>1139</v>
      </c>
      <c r="O21">
        <v>1152</v>
      </c>
      <c r="P21">
        <v>1165</v>
      </c>
      <c r="Q21">
        <v>1178</v>
      </c>
      <c r="R21">
        <v>1191</v>
      </c>
    </row>
    <row r="22" spans="1:18" ht="15.75" thickBot="1" x14ac:dyDescent="0.3">
      <c r="E22" s="102" t="s">
        <v>5</v>
      </c>
      <c r="F22" s="70">
        <f>SUM(_xlfn.ANCHORARRAY(G22))</f>
        <v>66330</v>
      </c>
      <c r="G22" s="70" cm="1">
        <f t="array" ref="G22:R22">oz.SumColsλ(_xlfn.ANCHORARRAY(G17))</f>
        <v>5170</v>
      </c>
      <c r="H22" s="70">
        <v>5235</v>
      </c>
      <c r="I22" s="70">
        <v>5300</v>
      </c>
      <c r="J22" s="70">
        <v>5365</v>
      </c>
      <c r="K22" s="70">
        <v>5430</v>
      </c>
      <c r="L22" s="70">
        <v>5495</v>
      </c>
      <c r="M22" s="70">
        <v>5560</v>
      </c>
      <c r="N22" s="70">
        <v>5625</v>
      </c>
      <c r="O22" s="70">
        <v>5690</v>
      </c>
      <c r="P22" s="70">
        <v>5755</v>
      </c>
      <c r="Q22" s="70">
        <v>5820</v>
      </c>
      <c r="R22" s="70">
        <v>5885</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oz.AvgColsλ</v>
      </c>
      <c r="B1" s="186"/>
      <c r="C1" s="186"/>
      <c r="D1" s="186"/>
      <c r="E1" s="186"/>
      <c r="F1" s="186"/>
      <c r="G1" s="186"/>
      <c r="H1" s="186"/>
      <c r="I1" s="186"/>
      <c r="J1" s="186"/>
      <c r="K1" s="186"/>
      <c r="L1" s="186"/>
      <c r="M1" s="186"/>
      <c r="N1" s="186"/>
      <c r="O1" s="186"/>
      <c r="P1" s="186"/>
    </row>
    <row r="2" spans="1:19" x14ac:dyDescent="0.25">
      <c r="A2" s="187" t="s">
        <v>258</v>
      </c>
      <c r="B2" s="192"/>
      <c r="C2" s="192"/>
      <c r="D2" s="192"/>
      <c r="E2" s="192"/>
      <c r="F2" s="192"/>
      <c r="G2" s="192"/>
      <c r="H2" s="192"/>
      <c r="I2" s="192"/>
      <c r="J2" s="192"/>
      <c r="K2" s="192"/>
      <c r="L2" s="192"/>
      <c r="M2" s="192"/>
      <c r="N2" s="192"/>
      <c r="O2" s="192"/>
      <c r="P2" s="192"/>
      <c r="Q2" s="192"/>
      <c r="R2" s="192"/>
    </row>
    <row r="3" spans="1:19" x14ac:dyDescent="0.25">
      <c r="A3" s="4"/>
      <c r="B3" s="4"/>
      <c r="C3" s="4"/>
      <c r="D3" s="4"/>
      <c r="E3" s="4"/>
      <c r="F3" s="4"/>
      <c r="G3" s="4"/>
      <c r="H3" s="4"/>
      <c r="I3" s="4"/>
      <c r="J3" s="4"/>
      <c r="K3" s="4"/>
      <c r="L3" s="4"/>
      <c r="M3" s="4"/>
      <c r="N3" s="4"/>
      <c r="O3" s="4"/>
      <c r="P3" s="4"/>
    </row>
    <row r="4" spans="1:19" x14ac:dyDescent="0.25">
      <c r="A4" s="61"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200" t="s">
        <v>148</v>
      </c>
      <c r="B14" s="200"/>
      <c r="C14" s="200"/>
    </row>
    <row r="16" spans="1:19" x14ac:dyDescent="0.25">
      <c r="A16" s="60" t="s">
        <v>149</v>
      </c>
      <c r="B16" s="60" t="s">
        <v>14</v>
      </c>
      <c r="C16" s="60" t="s">
        <v>15</v>
      </c>
      <c r="F16" s="60" t="s">
        <v>140</v>
      </c>
      <c r="G16" s="54" t="s">
        <v>152</v>
      </c>
      <c r="H16" s="55"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40">
        <v>46204</v>
      </c>
      <c r="C17" t="s">
        <v>21</v>
      </c>
      <c r="F17" t="str" cm="1">
        <f t="array" ref="F17:F21">tblCT[Customer]</f>
        <v>ACME</v>
      </c>
      <c r="G17" cm="1">
        <f t="array" ref="G17:G21">oz.SumRowsλ(_xlfn.ANCHORARRAY(H17))</f>
        <v>2298</v>
      </c>
      <c r="H17" s="91"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6" t="s">
        <v>159</v>
      </c>
      <c r="G22" s="66">
        <f>SUM(_xlfn.ANCHORARRAY(H22))</f>
        <v>2466</v>
      </c>
      <c r="H22" s="103" cm="1">
        <f t="array" ref="H22:S22">oz.AvgColsλ(_xlfn.ANCHORARRAY(H17))</f>
        <v>134</v>
      </c>
      <c r="I22" s="66">
        <v>147</v>
      </c>
      <c r="J22" s="66">
        <v>160</v>
      </c>
      <c r="K22" s="66">
        <v>173</v>
      </c>
      <c r="L22" s="66">
        <v>186</v>
      </c>
      <c r="M22" s="66">
        <v>199</v>
      </c>
      <c r="N22" s="66">
        <v>212</v>
      </c>
      <c r="O22" s="66">
        <v>225</v>
      </c>
      <c r="P22" s="66">
        <v>238</v>
      </c>
      <c r="Q22" s="66">
        <v>251</v>
      </c>
      <c r="R22" s="66">
        <v>264</v>
      </c>
      <c r="S22" s="66">
        <v>277</v>
      </c>
    </row>
    <row r="42" spans="14:14" x14ac:dyDescent="0.25">
      <c r="N42" s="58"/>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oz.MinRowsλ</v>
      </c>
      <c r="B1" s="186"/>
      <c r="C1" s="186"/>
      <c r="D1" s="186"/>
      <c r="E1" s="186"/>
      <c r="F1" s="186"/>
      <c r="G1" s="186"/>
      <c r="H1" s="186"/>
      <c r="I1" s="186"/>
      <c r="J1" s="186"/>
      <c r="K1" s="186"/>
    </row>
    <row r="2" spans="1:18" x14ac:dyDescent="0.25">
      <c r="A2" s="187" t="s">
        <v>261</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oz.MinRowsλ(_xlfn.ANCHORARRAY(G17))</f>
        <v>120</v>
      </c>
      <c r="G17" s="134"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20" t="str">
        <v>Wool*Art</v>
      </c>
      <c r="F18" s="73">
        <v>127</v>
      </c>
      <c r="G18" s="73">
        <v>127</v>
      </c>
      <c r="H18">
        <v>140</v>
      </c>
      <c r="I18">
        <v>153</v>
      </c>
      <c r="J18">
        <v>166</v>
      </c>
      <c r="K18">
        <v>179</v>
      </c>
      <c r="L18">
        <v>192</v>
      </c>
      <c r="M18">
        <v>205</v>
      </c>
      <c r="N18">
        <v>218</v>
      </c>
      <c r="O18">
        <v>231</v>
      </c>
      <c r="P18">
        <v>244</v>
      </c>
      <c r="Q18">
        <v>257</v>
      </c>
      <c r="R18">
        <v>270</v>
      </c>
    </row>
    <row r="19" spans="1:18" x14ac:dyDescent="0.25">
      <c r="A19" t="s">
        <v>18</v>
      </c>
      <c r="B19" t="s">
        <v>2</v>
      </c>
      <c r="E19" s="20" t="str">
        <v>Town Hall</v>
      </c>
      <c r="F19" s="73">
        <v>134</v>
      </c>
      <c r="G19" s="73">
        <v>134</v>
      </c>
      <c r="H19">
        <v>147</v>
      </c>
      <c r="I19">
        <v>160</v>
      </c>
      <c r="J19">
        <v>173</v>
      </c>
      <c r="K19">
        <v>186</v>
      </c>
      <c r="L19">
        <v>199</v>
      </c>
      <c r="M19">
        <v>212</v>
      </c>
      <c r="N19">
        <v>225</v>
      </c>
      <c r="O19">
        <v>238</v>
      </c>
      <c r="P19">
        <v>251</v>
      </c>
      <c r="Q19">
        <v>264</v>
      </c>
      <c r="R19">
        <v>277</v>
      </c>
    </row>
    <row r="20" spans="1:18" x14ac:dyDescent="0.25">
      <c r="E20" s="20" t="str">
        <v>Jacqie Penee</v>
      </c>
      <c r="F20" s="73">
        <v>141</v>
      </c>
      <c r="G20">
        <v>141</v>
      </c>
      <c r="H20">
        <v>154</v>
      </c>
      <c r="I20">
        <v>167</v>
      </c>
      <c r="J20">
        <v>180</v>
      </c>
      <c r="K20">
        <v>193</v>
      </c>
      <c r="L20">
        <v>206</v>
      </c>
      <c r="M20">
        <v>219</v>
      </c>
      <c r="N20">
        <v>232</v>
      </c>
      <c r="O20">
        <v>245</v>
      </c>
      <c r="P20">
        <v>258</v>
      </c>
      <c r="Q20">
        <v>271</v>
      </c>
      <c r="R20">
        <v>284</v>
      </c>
    </row>
    <row r="21" spans="1:18" x14ac:dyDescent="0.25">
      <c r="E21" s="20" t="str">
        <v>Amazonia</v>
      </c>
      <c r="F21" s="73">
        <v>148</v>
      </c>
      <c r="G21">
        <v>148</v>
      </c>
      <c r="H21">
        <v>161</v>
      </c>
      <c r="I21">
        <v>174</v>
      </c>
      <c r="J21">
        <v>187</v>
      </c>
      <c r="K21">
        <v>200</v>
      </c>
      <c r="L21">
        <v>213</v>
      </c>
      <c r="M21">
        <v>226</v>
      </c>
      <c r="N21">
        <v>239</v>
      </c>
      <c r="O21">
        <v>252</v>
      </c>
      <c r="P21">
        <v>265</v>
      </c>
      <c r="Q21">
        <v>278</v>
      </c>
      <c r="R21">
        <v>291</v>
      </c>
    </row>
    <row r="22" spans="1:18" ht="15.75" thickBot="1" x14ac:dyDescent="0.3">
      <c r="E22" s="102" t="s">
        <v>5</v>
      </c>
      <c r="F22" s="70">
        <f>SUM(_xlfn.ANCHORARRAY(G22))</f>
        <v>12330</v>
      </c>
      <c r="G22" s="70" cm="1">
        <f t="array" ref="G22:R22">oz.SumColsλ(_xlfn.ANCHORARRAY(G17))</f>
        <v>670</v>
      </c>
      <c r="H22" s="70">
        <v>735</v>
      </c>
      <c r="I22" s="70">
        <v>800</v>
      </c>
      <c r="J22" s="70">
        <v>865</v>
      </c>
      <c r="K22" s="70">
        <v>930</v>
      </c>
      <c r="L22" s="70">
        <v>995</v>
      </c>
      <c r="M22" s="70">
        <v>1060</v>
      </c>
      <c r="N22" s="70">
        <v>1125</v>
      </c>
      <c r="O22" s="70">
        <v>1190</v>
      </c>
      <c r="P22" s="70">
        <v>1255</v>
      </c>
      <c r="Q22" s="70">
        <v>1320</v>
      </c>
      <c r="R22" s="70">
        <v>1385</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oz.MinColsλ</v>
      </c>
      <c r="B1" s="186"/>
      <c r="C1" s="186"/>
      <c r="D1" s="186"/>
      <c r="E1" s="186"/>
      <c r="F1" s="186"/>
      <c r="G1" s="186"/>
      <c r="H1" s="186"/>
      <c r="I1" s="186"/>
      <c r="J1" s="186"/>
      <c r="K1" s="186"/>
      <c r="L1" s="186"/>
      <c r="M1" s="186"/>
      <c r="N1" s="186"/>
      <c r="O1" s="186"/>
      <c r="P1" s="186"/>
    </row>
    <row r="2" spans="1:19" x14ac:dyDescent="0.25">
      <c r="A2" s="187" t="s">
        <v>257</v>
      </c>
      <c r="B2" s="192"/>
      <c r="C2" s="192"/>
      <c r="D2" s="192"/>
      <c r="E2" s="192"/>
      <c r="F2" s="192"/>
      <c r="G2" s="192"/>
      <c r="H2" s="192"/>
      <c r="I2" s="192"/>
      <c r="J2" s="192"/>
      <c r="K2" s="192"/>
      <c r="L2" s="192"/>
      <c r="M2" s="192"/>
      <c r="N2" s="192"/>
      <c r="O2" s="192"/>
      <c r="P2" s="192"/>
      <c r="Q2" s="192"/>
      <c r="R2" s="192"/>
    </row>
    <row r="3" spans="1:19" x14ac:dyDescent="0.25">
      <c r="A3" s="4"/>
      <c r="B3" s="4"/>
      <c r="C3" s="4"/>
      <c r="D3" s="4"/>
      <c r="E3" s="4"/>
      <c r="F3" s="4"/>
      <c r="G3" s="4"/>
      <c r="H3" s="4"/>
      <c r="I3" s="4"/>
      <c r="J3" s="4"/>
      <c r="K3" s="4"/>
      <c r="L3" s="4"/>
      <c r="M3" s="4"/>
      <c r="N3" s="4"/>
      <c r="O3" s="4"/>
      <c r="P3" s="4"/>
    </row>
    <row r="4" spans="1:19" x14ac:dyDescent="0.25">
      <c r="A4" s="61"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minimum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200" t="s">
        <v>148</v>
      </c>
      <c r="B14" s="200"/>
      <c r="C14" s="200"/>
    </row>
    <row r="16" spans="1:19" x14ac:dyDescent="0.25">
      <c r="A16" s="60" t="s">
        <v>149</v>
      </c>
      <c r="B16" s="60" t="s">
        <v>14</v>
      </c>
      <c r="C16" s="60" t="s">
        <v>15</v>
      </c>
      <c r="F16" s="60" t="s">
        <v>140</v>
      </c>
      <c r="G16" s="54" t="s">
        <v>152</v>
      </c>
      <c r="H16" s="55"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40">
        <v>46204</v>
      </c>
      <c r="C17" t="s">
        <v>21</v>
      </c>
      <c r="F17" t="str" cm="1">
        <f t="array" ref="F17:F21">tblCT[Customer]</f>
        <v>ACME</v>
      </c>
      <c r="G17" cm="1">
        <f t="array" ref="G17:G21">oz.SumRowsλ(_xlfn.ANCHORARRAY(H17))</f>
        <v>2298</v>
      </c>
      <c r="H17" s="91"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6" t="s">
        <v>159</v>
      </c>
      <c r="G22" s="66">
        <f>SUM(_xlfn.ANCHORARRAY(H22))</f>
        <v>2298</v>
      </c>
      <c r="H22" s="103" cm="1">
        <f t="array" ref="H22:S22">oz.MinColsλ(_xlfn.ANCHORARRAY(H17))</f>
        <v>120</v>
      </c>
      <c r="I22" s="66">
        <v>133</v>
      </c>
      <c r="J22" s="66">
        <v>146</v>
      </c>
      <c r="K22" s="66">
        <v>159</v>
      </c>
      <c r="L22" s="66">
        <v>172</v>
      </c>
      <c r="M22" s="66">
        <v>185</v>
      </c>
      <c r="N22" s="66">
        <v>198</v>
      </c>
      <c r="O22" s="66">
        <v>211</v>
      </c>
      <c r="P22" s="66">
        <v>224</v>
      </c>
      <c r="Q22" s="66">
        <v>237</v>
      </c>
      <c r="R22" s="66">
        <v>250</v>
      </c>
      <c r="S22" s="66">
        <v>263</v>
      </c>
    </row>
    <row r="42" spans="14:14" x14ac:dyDescent="0.25">
      <c r="N42" s="58"/>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oz.MaxRowsλ</v>
      </c>
      <c r="B1" s="186"/>
      <c r="C1" s="186"/>
      <c r="D1" s="186"/>
      <c r="E1" s="186"/>
      <c r="F1" s="186"/>
      <c r="G1" s="186"/>
      <c r="H1" s="186"/>
      <c r="I1" s="186"/>
      <c r="J1" s="186"/>
      <c r="K1" s="186"/>
    </row>
    <row r="2" spans="1:18" x14ac:dyDescent="0.25">
      <c r="A2" s="187" t="s">
        <v>262</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oz.MaxRowsλ(_xlfn.ANCHORARRAY(G17))</f>
        <v>263</v>
      </c>
      <c r="G17" s="134"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20" t="str">
        <v>Wool*Art</v>
      </c>
      <c r="F18" s="73">
        <v>270</v>
      </c>
      <c r="G18" s="73">
        <v>127</v>
      </c>
      <c r="H18">
        <v>140</v>
      </c>
      <c r="I18">
        <v>153</v>
      </c>
      <c r="J18">
        <v>166</v>
      </c>
      <c r="K18">
        <v>179</v>
      </c>
      <c r="L18">
        <v>192</v>
      </c>
      <c r="M18">
        <v>205</v>
      </c>
      <c r="N18">
        <v>218</v>
      </c>
      <c r="O18">
        <v>231</v>
      </c>
      <c r="P18">
        <v>244</v>
      </c>
      <c r="Q18">
        <v>257</v>
      </c>
      <c r="R18">
        <v>270</v>
      </c>
    </row>
    <row r="19" spans="1:18" x14ac:dyDescent="0.25">
      <c r="A19" t="s">
        <v>18</v>
      </c>
      <c r="B19" t="s">
        <v>2</v>
      </c>
      <c r="E19" s="20" t="str">
        <v>Town Hall</v>
      </c>
      <c r="F19" s="73">
        <v>277</v>
      </c>
      <c r="G19" s="73">
        <v>134</v>
      </c>
      <c r="H19">
        <v>147</v>
      </c>
      <c r="I19">
        <v>160</v>
      </c>
      <c r="J19">
        <v>173</v>
      </c>
      <c r="K19">
        <v>186</v>
      </c>
      <c r="L19">
        <v>199</v>
      </c>
      <c r="M19">
        <v>212</v>
      </c>
      <c r="N19">
        <v>225</v>
      </c>
      <c r="O19">
        <v>238</v>
      </c>
      <c r="P19">
        <v>251</v>
      </c>
      <c r="Q19">
        <v>264</v>
      </c>
      <c r="R19">
        <v>277</v>
      </c>
    </row>
    <row r="20" spans="1:18" x14ac:dyDescent="0.25">
      <c r="E20" s="20" t="str">
        <v>Jacqie Penee</v>
      </c>
      <c r="F20" s="73">
        <v>284</v>
      </c>
      <c r="G20">
        <v>141</v>
      </c>
      <c r="H20">
        <v>154</v>
      </c>
      <c r="I20">
        <v>167</v>
      </c>
      <c r="J20">
        <v>180</v>
      </c>
      <c r="K20">
        <v>193</v>
      </c>
      <c r="L20">
        <v>206</v>
      </c>
      <c r="M20">
        <v>219</v>
      </c>
      <c r="N20">
        <v>232</v>
      </c>
      <c r="O20">
        <v>245</v>
      </c>
      <c r="P20">
        <v>258</v>
      </c>
      <c r="Q20">
        <v>271</v>
      </c>
      <c r="R20">
        <v>284</v>
      </c>
    </row>
    <row r="21" spans="1:18" x14ac:dyDescent="0.25">
      <c r="E21" s="20" t="str">
        <v>Amazonia</v>
      </c>
      <c r="F21" s="73">
        <v>291</v>
      </c>
      <c r="G21">
        <v>148</v>
      </c>
      <c r="H21">
        <v>161</v>
      </c>
      <c r="I21">
        <v>174</v>
      </c>
      <c r="J21">
        <v>187</v>
      </c>
      <c r="K21">
        <v>200</v>
      </c>
      <c r="L21">
        <v>213</v>
      </c>
      <c r="M21">
        <v>226</v>
      </c>
      <c r="N21">
        <v>239</v>
      </c>
      <c r="O21">
        <v>252</v>
      </c>
      <c r="P21">
        <v>265</v>
      </c>
      <c r="Q21">
        <v>278</v>
      </c>
      <c r="R21">
        <v>291</v>
      </c>
    </row>
    <row r="22" spans="1:18" ht="15.75" thickBot="1" x14ac:dyDescent="0.3">
      <c r="E22" s="102" t="s">
        <v>5</v>
      </c>
      <c r="F22" s="70">
        <f>SUM(_xlfn.ANCHORARRAY(G22))</f>
        <v>12330</v>
      </c>
      <c r="G22" s="70" cm="1">
        <f t="array" ref="G22:R22">oz.SumColsλ(_xlfn.ANCHORARRAY(G17))</f>
        <v>670</v>
      </c>
      <c r="H22" s="70">
        <v>735</v>
      </c>
      <c r="I22" s="70">
        <v>800</v>
      </c>
      <c r="J22" s="70">
        <v>865</v>
      </c>
      <c r="K22" s="70">
        <v>930</v>
      </c>
      <c r="L22" s="70">
        <v>995</v>
      </c>
      <c r="M22" s="70">
        <v>1060</v>
      </c>
      <c r="N22" s="70">
        <v>1125</v>
      </c>
      <c r="O22" s="70">
        <v>1190</v>
      </c>
      <c r="P22" s="70">
        <v>1255</v>
      </c>
      <c r="Q22" s="70">
        <v>1320</v>
      </c>
      <c r="R22" s="70">
        <v>1385</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oz.MaxColsλ</v>
      </c>
      <c r="B1" s="186"/>
      <c r="C1" s="186"/>
      <c r="D1" s="186"/>
      <c r="E1" s="186"/>
      <c r="F1" s="186"/>
      <c r="G1" s="186"/>
      <c r="H1" s="186"/>
      <c r="I1" s="186"/>
      <c r="J1" s="186"/>
      <c r="K1" s="186"/>
      <c r="L1" s="186"/>
      <c r="M1" s="186"/>
      <c r="N1" s="186"/>
      <c r="O1" s="186"/>
      <c r="P1" s="186"/>
    </row>
    <row r="2" spans="1:19" x14ac:dyDescent="0.25">
      <c r="A2" s="187" t="s">
        <v>263</v>
      </c>
      <c r="B2" s="192"/>
      <c r="C2" s="192"/>
      <c r="D2" s="192"/>
      <c r="E2" s="192"/>
      <c r="F2" s="192"/>
      <c r="G2" s="192"/>
      <c r="H2" s="192"/>
      <c r="I2" s="192"/>
      <c r="J2" s="192"/>
      <c r="K2" s="192"/>
      <c r="L2" s="192"/>
      <c r="M2" s="192"/>
      <c r="N2" s="192"/>
      <c r="O2" s="192"/>
      <c r="P2" s="192"/>
      <c r="Q2" s="192"/>
      <c r="R2" s="192"/>
    </row>
    <row r="3" spans="1:19" x14ac:dyDescent="0.25">
      <c r="A3" s="4"/>
      <c r="B3" s="4"/>
      <c r="C3" s="4"/>
      <c r="D3" s="4"/>
      <c r="E3" s="4"/>
      <c r="F3" s="4"/>
      <c r="G3" s="4"/>
      <c r="H3" s="4"/>
      <c r="I3" s="4"/>
      <c r="J3" s="4"/>
      <c r="K3" s="4"/>
      <c r="L3" s="4"/>
      <c r="M3" s="4"/>
      <c r="N3" s="4"/>
      <c r="O3" s="4"/>
      <c r="P3" s="4"/>
    </row>
    <row r="4" spans="1:19" x14ac:dyDescent="0.25">
      <c r="A4" s="61"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200" t="s">
        <v>148</v>
      </c>
      <c r="B14" s="200"/>
      <c r="C14" s="200"/>
    </row>
    <row r="16" spans="1:19" x14ac:dyDescent="0.25">
      <c r="A16" s="60" t="s">
        <v>149</v>
      </c>
      <c r="B16" s="60" t="s">
        <v>14</v>
      </c>
      <c r="C16" s="60" t="s">
        <v>15</v>
      </c>
      <c r="F16" s="60" t="s">
        <v>140</v>
      </c>
      <c r="G16" s="54" t="s">
        <v>152</v>
      </c>
      <c r="H16" s="55"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40">
        <v>46204</v>
      </c>
      <c r="C17" t="s">
        <v>21</v>
      </c>
      <c r="F17" t="str" cm="1">
        <f t="array" ref="F17:F21">tblCT[Customer]</f>
        <v>ACME</v>
      </c>
      <c r="G17" cm="1">
        <f t="array" ref="G17:G21">oz.SumRowsλ(_xlfn.ANCHORARRAY(H17))</f>
        <v>2298</v>
      </c>
      <c r="H17" s="91"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6" t="s">
        <v>159</v>
      </c>
      <c r="G22" s="66">
        <f>SUM(_xlfn.ANCHORARRAY(H22))</f>
        <v>2634</v>
      </c>
      <c r="H22" s="103" cm="1">
        <f t="array" ref="H22:S22">oz.MaxColsλ(_xlfn.ANCHORARRAY(H17))</f>
        <v>148</v>
      </c>
      <c r="I22" s="66">
        <v>161</v>
      </c>
      <c r="J22" s="66">
        <v>174</v>
      </c>
      <c r="K22" s="66">
        <v>187</v>
      </c>
      <c r="L22" s="66">
        <v>200</v>
      </c>
      <c r="M22" s="66">
        <v>213</v>
      </c>
      <c r="N22" s="66">
        <v>226</v>
      </c>
      <c r="O22" s="66">
        <v>239</v>
      </c>
      <c r="P22" s="66">
        <v>252</v>
      </c>
      <c r="Q22" s="66">
        <v>265</v>
      </c>
      <c r="R22" s="66">
        <v>278</v>
      </c>
      <c r="S22" s="66">
        <v>291</v>
      </c>
    </row>
    <row r="42" spans="14:14" x14ac:dyDescent="0.25">
      <c r="N42" s="58"/>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oz.CountRowsλ</v>
      </c>
      <c r="B1" s="186"/>
      <c r="C1" s="186"/>
      <c r="D1" s="186"/>
      <c r="E1" s="186"/>
      <c r="F1" s="186"/>
      <c r="G1" s="186"/>
      <c r="H1" s="186"/>
      <c r="I1" s="186"/>
      <c r="J1" s="186"/>
      <c r="K1" s="186"/>
    </row>
    <row r="2" spans="1:18" x14ac:dyDescent="0.25">
      <c r="A2" s="187" t="s">
        <v>286</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oz.CountRowsλ(_xlfn.ANCHORARRAY(G17))</f>
        <v>6</v>
      </c>
      <c r="G17" s="134"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20" t="str">
        <v>Wool*Art</v>
      </c>
      <c r="F18" s="73">
        <v>7</v>
      </c>
      <c r="G18" s="73">
        <v>4</v>
      </c>
      <c r="H18" t="str">
        <v>A</v>
      </c>
      <c r="I18" t="str">
        <v/>
      </c>
      <c r="J18">
        <v>3</v>
      </c>
      <c r="K18">
        <v>6</v>
      </c>
      <c r="L18" t="str">
        <v>C</v>
      </c>
      <c r="M18">
        <v>2</v>
      </c>
      <c r="N18">
        <v>5</v>
      </c>
      <c r="O18" t="str">
        <v>B</v>
      </c>
      <c r="P18">
        <v>1</v>
      </c>
      <c r="Q18">
        <v>4</v>
      </c>
      <c r="R18" t="str">
        <v>A</v>
      </c>
    </row>
    <row r="19" spans="1:18" x14ac:dyDescent="0.25">
      <c r="A19" t="s">
        <v>18</v>
      </c>
      <c r="B19" t="s">
        <v>2</v>
      </c>
      <c r="E19" s="20" t="str">
        <v>Town Hall</v>
      </c>
      <c r="F19" s="73">
        <v>8</v>
      </c>
      <c r="G19" s="73">
        <v>1</v>
      </c>
      <c r="H19">
        <v>4</v>
      </c>
      <c r="I19" t="str">
        <v>A</v>
      </c>
      <c r="J19" t="str">
        <v/>
      </c>
      <c r="K19">
        <v>3</v>
      </c>
      <c r="L19">
        <v>6</v>
      </c>
      <c r="M19" t="str">
        <v>C</v>
      </c>
      <c r="N19">
        <v>2</v>
      </c>
      <c r="O19">
        <v>5</v>
      </c>
      <c r="P19" t="str">
        <v>B</v>
      </c>
      <c r="Q19">
        <v>1</v>
      </c>
      <c r="R19">
        <v>4</v>
      </c>
    </row>
    <row r="20" spans="1:18" x14ac:dyDescent="0.25">
      <c r="E20" s="20" t="str">
        <v>Jacqie Penee</v>
      </c>
      <c r="F20" s="73">
        <v>7</v>
      </c>
      <c r="G20" t="str">
        <v>B</v>
      </c>
      <c r="H20">
        <v>1</v>
      </c>
      <c r="I20">
        <v>4</v>
      </c>
      <c r="J20" t="str">
        <v>A</v>
      </c>
      <c r="K20" t="str">
        <v/>
      </c>
      <c r="L20">
        <v>3</v>
      </c>
      <c r="M20">
        <v>6</v>
      </c>
      <c r="N20" t="str">
        <v>C</v>
      </c>
      <c r="O20">
        <v>2</v>
      </c>
      <c r="P20">
        <v>5</v>
      </c>
      <c r="Q20" t="str">
        <v>B</v>
      </c>
      <c r="R20">
        <v>1</v>
      </c>
    </row>
    <row r="21" spans="1:18" x14ac:dyDescent="0.25">
      <c r="E21" s="20" t="str">
        <v>Amazonia</v>
      </c>
      <c r="F21" s="73">
        <v>7</v>
      </c>
      <c r="G21">
        <v>5</v>
      </c>
      <c r="H21" t="str">
        <v>B</v>
      </c>
      <c r="I21">
        <v>1</v>
      </c>
      <c r="J21">
        <v>4</v>
      </c>
      <c r="K21" t="str">
        <v>A</v>
      </c>
      <c r="L21" t="str">
        <v/>
      </c>
      <c r="M21">
        <v>3</v>
      </c>
      <c r="N21">
        <v>6</v>
      </c>
      <c r="O21" t="str">
        <v>C</v>
      </c>
      <c r="P21">
        <v>2</v>
      </c>
      <c r="Q21">
        <v>5</v>
      </c>
      <c r="R21" t="str">
        <v>B</v>
      </c>
    </row>
    <row r="22" spans="1:18" ht="15.75" thickBot="1" x14ac:dyDescent="0.3">
      <c r="E22" s="102" t="s">
        <v>5</v>
      </c>
      <c r="F22" s="70">
        <f>SUM(_xlfn.ANCHORARRAY(G22))</f>
        <v>35</v>
      </c>
      <c r="G22" s="70" cm="1">
        <f t="array" ref="G22:R22">oz.CountColsλ(_xlfn.ANCHORARRAY(G17))</f>
        <v>3</v>
      </c>
      <c r="H22" s="70">
        <v>2</v>
      </c>
      <c r="I22" s="70">
        <v>3</v>
      </c>
      <c r="J22" s="70">
        <v>3</v>
      </c>
      <c r="K22" s="70">
        <v>2</v>
      </c>
      <c r="L22" s="70">
        <v>3</v>
      </c>
      <c r="M22" s="70">
        <v>4</v>
      </c>
      <c r="N22" s="70">
        <v>3</v>
      </c>
      <c r="O22" s="70">
        <v>3</v>
      </c>
      <c r="P22" s="70">
        <v>4</v>
      </c>
      <c r="Q22" s="70">
        <v>3</v>
      </c>
      <c r="R22" s="70">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oz.CountColsλ</v>
      </c>
      <c r="B1" s="186"/>
      <c r="C1" s="186"/>
      <c r="D1" s="186"/>
      <c r="E1" s="186"/>
      <c r="F1" s="186"/>
      <c r="G1" s="186"/>
      <c r="H1" s="186"/>
      <c r="I1" s="186"/>
      <c r="J1" s="186"/>
      <c r="K1" s="186"/>
    </row>
    <row r="2" spans="1:18" x14ac:dyDescent="0.25">
      <c r="A2" s="187" t="s">
        <v>285</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73" cm="1">
        <f t="array" ref="F17:F21">oz.CountRowsλ(_xlfn.ANCHORARRAY(G17))</f>
        <v>6</v>
      </c>
      <c r="G17" s="134"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20" t="str">
        <v>Wool*Art</v>
      </c>
      <c r="F18" s="73">
        <v>7</v>
      </c>
      <c r="G18" s="73">
        <v>4</v>
      </c>
      <c r="H18" t="str">
        <v>A</v>
      </c>
      <c r="I18" t="str">
        <v/>
      </c>
      <c r="J18">
        <v>3</v>
      </c>
      <c r="K18">
        <v>6</v>
      </c>
      <c r="L18" t="str">
        <v>C</v>
      </c>
      <c r="M18">
        <v>2</v>
      </c>
      <c r="N18">
        <v>5</v>
      </c>
      <c r="O18" t="str">
        <v>B</v>
      </c>
      <c r="P18">
        <v>1</v>
      </c>
      <c r="Q18">
        <v>4</v>
      </c>
      <c r="R18" t="str">
        <v>A</v>
      </c>
    </row>
    <row r="19" spans="1:18" x14ac:dyDescent="0.25">
      <c r="A19" t="s">
        <v>18</v>
      </c>
      <c r="B19" t="s">
        <v>2</v>
      </c>
      <c r="E19" s="20" t="str">
        <v>Town Hall</v>
      </c>
      <c r="F19" s="73">
        <v>8</v>
      </c>
      <c r="G19" s="73">
        <v>1</v>
      </c>
      <c r="H19">
        <v>4</v>
      </c>
      <c r="I19" t="str">
        <v>A</v>
      </c>
      <c r="J19" t="str">
        <v/>
      </c>
      <c r="K19">
        <v>3</v>
      </c>
      <c r="L19">
        <v>6</v>
      </c>
      <c r="M19" t="str">
        <v>C</v>
      </c>
      <c r="N19">
        <v>2</v>
      </c>
      <c r="O19">
        <v>5</v>
      </c>
      <c r="P19" t="str">
        <v>B</v>
      </c>
      <c r="Q19">
        <v>1</v>
      </c>
      <c r="R19">
        <v>4</v>
      </c>
    </row>
    <row r="20" spans="1:18" x14ac:dyDescent="0.25">
      <c r="E20" s="20" t="str">
        <v>Jacqie Penee</v>
      </c>
      <c r="F20" s="73">
        <v>7</v>
      </c>
      <c r="G20" t="str">
        <v>B</v>
      </c>
      <c r="H20">
        <v>1</v>
      </c>
      <c r="I20">
        <v>4</v>
      </c>
      <c r="J20" t="str">
        <v>A</v>
      </c>
      <c r="K20" t="str">
        <v/>
      </c>
      <c r="L20">
        <v>3</v>
      </c>
      <c r="M20">
        <v>6</v>
      </c>
      <c r="N20" t="str">
        <v>C</v>
      </c>
      <c r="O20">
        <v>2</v>
      </c>
      <c r="P20">
        <v>5</v>
      </c>
      <c r="Q20" t="str">
        <v>B</v>
      </c>
      <c r="R20">
        <v>1</v>
      </c>
    </row>
    <row r="21" spans="1:18" x14ac:dyDescent="0.25">
      <c r="E21" s="20" t="str">
        <v>Amazonia</v>
      </c>
      <c r="F21" s="73">
        <v>7</v>
      </c>
      <c r="G21">
        <v>5</v>
      </c>
      <c r="H21" t="str">
        <v>B</v>
      </c>
      <c r="I21">
        <v>1</v>
      </c>
      <c r="J21">
        <v>4</v>
      </c>
      <c r="K21" t="str">
        <v>A</v>
      </c>
      <c r="L21" t="str">
        <v/>
      </c>
      <c r="M21">
        <v>3</v>
      </c>
      <c r="N21">
        <v>6</v>
      </c>
      <c r="O21" t="str">
        <v>C</v>
      </c>
      <c r="P21">
        <v>2</v>
      </c>
      <c r="Q21">
        <v>5</v>
      </c>
      <c r="R21" t="str">
        <v>B</v>
      </c>
    </row>
    <row r="22" spans="1:18" ht="15.75" thickBot="1" x14ac:dyDescent="0.3">
      <c r="E22" s="102" t="s">
        <v>5</v>
      </c>
      <c r="F22" s="70">
        <f>SUM(_xlfn.ANCHORARRAY(G22))</f>
        <v>35</v>
      </c>
      <c r="G22" s="150" cm="1">
        <f t="array" ref="G22:R22">oz.CountColsλ(_xlfn.ANCHORARRAY(G17))</f>
        <v>3</v>
      </c>
      <c r="H22" s="70">
        <v>2</v>
      </c>
      <c r="I22" s="70">
        <v>3</v>
      </c>
      <c r="J22" s="70">
        <v>3</v>
      </c>
      <c r="K22" s="70">
        <v>2</v>
      </c>
      <c r="L22" s="70">
        <v>3</v>
      </c>
      <c r="M22" s="70">
        <v>4</v>
      </c>
      <c r="N22" s="70">
        <v>3</v>
      </c>
      <c r="O22" s="70">
        <v>3</v>
      </c>
      <c r="P22" s="70">
        <v>4</v>
      </c>
      <c r="Q22" s="70">
        <v>3</v>
      </c>
      <c r="R22" s="70">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oz.CountARowsλ</v>
      </c>
      <c r="B1" s="186"/>
      <c r="C1" s="186"/>
      <c r="D1" s="186"/>
      <c r="E1" s="186"/>
      <c r="F1" s="186"/>
      <c r="G1" s="186"/>
      <c r="H1" s="186"/>
      <c r="I1" s="186"/>
      <c r="J1" s="186"/>
      <c r="K1" s="186"/>
    </row>
    <row r="2" spans="1:18" x14ac:dyDescent="0.25">
      <c r="A2" s="187" t="s">
        <v>430</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oz.CountARowsλ(G17:R21)</f>
        <v>11</v>
      </c>
      <c r="G17" s="134" t="s">
        <v>277</v>
      </c>
      <c r="H17">
        <v>1</v>
      </c>
      <c r="I17">
        <v>4</v>
      </c>
      <c r="J17">
        <v>5</v>
      </c>
      <c r="K17">
        <v>3</v>
      </c>
      <c r="L17" t="s">
        <v>278</v>
      </c>
      <c r="M17" t="s">
        <v>101</v>
      </c>
      <c r="N17" t="s">
        <v>101</v>
      </c>
      <c r="O17">
        <v>1</v>
      </c>
      <c r="Q17">
        <v>5</v>
      </c>
      <c r="R17" t="s">
        <v>101</v>
      </c>
    </row>
    <row r="18" spans="1:18" x14ac:dyDescent="0.25">
      <c r="A18" t="s">
        <v>17</v>
      </c>
      <c r="B18">
        <v>12</v>
      </c>
      <c r="C18" t="s">
        <v>22</v>
      </c>
      <c r="E18" s="20" t="str">
        <v>Wool*Art</v>
      </c>
      <c r="F18" s="73">
        <v>11</v>
      </c>
      <c r="G18" s="73"/>
      <c r="H18">
        <v>3</v>
      </c>
      <c r="I18">
        <v>4</v>
      </c>
      <c r="J18" t="s">
        <v>279</v>
      </c>
      <c r="K18" t="s">
        <v>279</v>
      </c>
      <c r="L18">
        <v>4</v>
      </c>
      <c r="M18">
        <v>3</v>
      </c>
      <c r="N18" t="s">
        <v>101</v>
      </c>
      <c r="O18">
        <v>3</v>
      </c>
      <c r="P18" t="s">
        <v>277</v>
      </c>
      <c r="Q18">
        <v>2</v>
      </c>
      <c r="R18" t="s">
        <v>277</v>
      </c>
    </row>
    <row r="19" spans="1:18" x14ac:dyDescent="0.25">
      <c r="A19" t="s">
        <v>18</v>
      </c>
      <c r="B19" t="s">
        <v>2</v>
      </c>
      <c r="E19" s="20" t="str">
        <v>Town Hall</v>
      </c>
      <c r="F19" s="73">
        <v>12</v>
      </c>
      <c r="G19" s="73">
        <v>5</v>
      </c>
      <c r="H19" t="s">
        <v>279</v>
      </c>
      <c r="I19" t="s">
        <v>279</v>
      </c>
      <c r="J19">
        <v>4</v>
      </c>
      <c r="K19" t="s">
        <v>279</v>
      </c>
      <c r="L19" t="s">
        <v>279</v>
      </c>
      <c r="M19">
        <v>1</v>
      </c>
      <c r="N19" t="s">
        <v>277</v>
      </c>
      <c r="O19" t="s">
        <v>101</v>
      </c>
      <c r="P19" t="s">
        <v>101</v>
      </c>
      <c r="Q19" t="s">
        <v>101</v>
      </c>
      <c r="R19">
        <v>5</v>
      </c>
    </row>
    <row r="20" spans="1:18" x14ac:dyDescent="0.25">
      <c r="E20" s="20" t="str">
        <v>Jacqie Penee</v>
      </c>
      <c r="F20" s="73">
        <v>12</v>
      </c>
      <c r="G20" t="s">
        <v>101</v>
      </c>
      <c r="H20">
        <v>4</v>
      </c>
      <c r="I20">
        <v>4</v>
      </c>
      <c r="J20" t="s">
        <v>277</v>
      </c>
      <c r="K20">
        <v>3</v>
      </c>
      <c r="L20">
        <v>1</v>
      </c>
      <c r="M20" t="s">
        <v>101</v>
      </c>
      <c r="N20">
        <v>2</v>
      </c>
      <c r="O20">
        <v>3</v>
      </c>
      <c r="P20">
        <v>3</v>
      </c>
      <c r="Q20" t="s">
        <v>279</v>
      </c>
      <c r="R20">
        <v>5</v>
      </c>
    </row>
    <row r="21" spans="1:18" x14ac:dyDescent="0.25">
      <c r="E21" s="20" t="str">
        <v>Amazonia</v>
      </c>
      <c r="F21" s="73">
        <v>9</v>
      </c>
      <c r="H21">
        <v>5</v>
      </c>
      <c r="I21" t="s">
        <v>101</v>
      </c>
      <c r="K21" t="s">
        <v>277</v>
      </c>
      <c r="L21" t="s">
        <v>279</v>
      </c>
      <c r="N21">
        <v>3</v>
      </c>
      <c r="O21">
        <v>3</v>
      </c>
      <c r="P21">
        <v>3</v>
      </c>
      <c r="Q21">
        <v>3</v>
      </c>
      <c r="R21" t="s">
        <v>277</v>
      </c>
    </row>
    <row r="22" spans="1:18" ht="15.75" thickBot="1" x14ac:dyDescent="0.3">
      <c r="E22" s="102" t="s">
        <v>5</v>
      </c>
      <c r="F22" s="70">
        <f>SUM(_xlfn.ANCHORARRAY(G22))</f>
        <v>55</v>
      </c>
      <c r="G22" s="70" cm="1">
        <f t="array" ref="G22:R22">oz.CountAColsλ(G17:R21)</f>
        <v>3</v>
      </c>
      <c r="H22" s="70">
        <v>5</v>
      </c>
      <c r="I22" s="70">
        <v>5</v>
      </c>
      <c r="J22" s="70">
        <v>4</v>
      </c>
      <c r="K22" s="70">
        <v>5</v>
      </c>
      <c r="L22" s="70">
        <v>5</v>
      </c>
      <c r="M22" s="70">
        <v>4</v>
      </c>
      <c r="N22" s="70">
        <v>5</v>
      </c>
      <c r="O22" s="70">
        <v>5</v>
      </c>
      <c r="P22" s="70">
        <v>4</v>
      </c>
      <c r="Q22" s="70">
        <v>5</v>
      </c>
      <c r="R22" s="70">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oz.CountAColsλ</v>
      </c>
      <c r="B1" s="186"/>
      <c r="C1" s="186"/>
      <c r="D1" s="186"/>
      <c r="E1" s="186"/>
      <c r="F1" s="186"/>
      <c r="G1" s="186"/>
      <c r="H1" s="186"/>
      <c r="I1" s="186"/>
      <c r="J1" s="186"/>
      <c r="K1" s="186"/>
    </row>
    <row r="2" spans="1:18" x14ac:dyDescent="0.25">
      <c r="A2" s="187" t="s">
        <v>431</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73" cm="1">
        <f t="array" ref="F17:F21">oz.CountARowsλ(G17:R21)</f>
        <v>11</v>
      </c>
      <c r="G17" s="134" t="s">
        <v>277</v>
      </c>
      <c r="H17">
        <v>1</v>
      </c>
      <c r="I17">
        <v>4</v>
      </c>
      <c r="J17">
        <v>5</v>
      </c>
      <c r="K17">
        <v>3</v>
      </c>
      <c r="L17" t="s">
        <v>278</v>
      </c>
      <c r="M17" t="s">
        <v>101</v>
      </c>
      <c r="N17" t="s">
        <v>101</v>
      </c>
      <c r="O17">
        <v>1</v>
      </c>
      <c r="Q17">
        <v>5</v>
      </c>
      <c r="R17" t="s">
        <v>101</v>
      </c>
    </row>
    <row r="18" spans="1:18" x14ac:dyDescent="0.25">
      <c r="A18" t="s">
        <v>17</v>
      </c>
      <c r="B18">
        <v>12</v>
      </c>
      <c r="C18" t="s">
        <v>22</v>
      </c>
      <c r="E18" s="20" t="str">
        <v>Wool*Art</v>
      </c>
      <c r="F18" s="73">
        <v>11</v>
      </c>
      <c r="G18" s="73"/>
      <c r="H18">
        <v>3</v>
      </c>
      <c r="I18">
        <v>4</v>
      </c>
      <c r="J18" t="s">
        <v>279</v>
      </c>
      <c r="K18" t="s">
        <v>279</v>
      </c>
      <c r="L18">
        <v>4</v>
      </c>
      <c r="M18">
        <v>3</v>
      </c>
      <c r="N18" t="s">
        <v>101</v>
      </c>
      <c r="O18">
        <v>3</v>
      </c>
      <c r="P18" t="s">
        <v>277</v>
      </c>
      <c r="Q18">
        <v>2</v>
      </c>
      <c r="R18" t="s">
        <v>277</v>
      </c>
    </row>
    <row r="19" spans="1:18" x14ac:dyDescent="0.25">
      <c r="A19" t="s">
        <v>18</v>
      </c>
      <c r="B19" t="s">
        <v>2</v>
      </c>
      <c r="E19" s="20" t="str">
        <v>Town Hall</v>
      </c>
      <c r="F19" s="73">
        <v>12</v>
      </c>
      <c r="G19" s="73">
        <v>5</v>
      </c>
      <c r="H19" t="s">
        <v>279</v>
      </c>
      <c r="I19" t="s">
        <v>279</v>
      </c>
      <c r="J19">
        <v>4</v>
      </c>
      <c r="K19" t="s">
        <v>279</v>
      </c>
      <c r="L19" t="s">
        <v>279</v>
      </c>
      <c r="M19">
        <v>1</v>
      </c>
      <c r="N19" t="s">
        <v>277</v>
      </c>
      <c r="O19" t="s">
        <v>101</v>
      </c>
      <c r="P19" t="s">
        <v>101</v>
      </c>
      <c r="Q19" t="s">
        <v>101</v>
      </c>
      <c r="R19">
        <v>5</v>
      </c>
    </row>
    <row r="20" spans="1:18" x14ac:dyDescent="0.25">
      <c r="E20" s="20" t="str">
        <v>Jacqie Penee</v>
      </c>
      <c r="F20" s="73">
        <v>12</v>
      </c>
      <c r="G20" t="s">
        <v>101</v>
      </c>
      <c r="H20">
        <v>4</v>
      </c>
      <c r="I20">
        <v>4</v>
      </c>
      <c r="J20" t="s">
        <v>277</v>
      </c>
      <c r="K20">
        <v>3</v>
      </c>
      <c r="L20">
        <v>1</v>
      </c>
      <c r="M20" t="s">
        <v>101</v>
      </c>
      <c r="N20">
        <v>2</v>
      </c>
      <c r="O20">
        <v>3</v>
      </c>
      <c r="P20">
        <v>3</v>
      </c>
      <c r="Q20" t="s">
        <v>279</v>
      </c>
      <c r="R20">
        <v>5</v>
      </c>
    </row>
    <row r="21" spans="1:18" x14ac:dyDescent="0.25">
      <c r="E21" s="20" t="str">
        <v>Amazonia</v>
      </c>
      <c r="F21" s="73">
        <v>9</v>
      </c>
      <c r="H21">
        <v>5</v>
      </c>
      <c r="I21" t="s">
        <v>101</v>
      </c>
      <c r="K21" t="s">
        <v>277</v>
      </c>
      <c r="L21" t="s">
        <v>279</v>
      </c>
      <c r="N21">
        <v>3</v>
      </c>
      <c r="O21">
        <v>3</v>
      </c>
      <c r="P21">
        <v>3</v>
      </c>
      <c r="Q21">
        <v>3</v>
      </c>
      <c r="R21" t="s">
        <v>277</v>
      </c>
    </row>
    <row r="22" spans="1:18" ht="15.75" thickBot="1" x14ac:dyDescent="0.3">
      <c r="E22" s="102" t="s">
        <v>5</v>
      </c>
      <c r="F22" s="70">
        <f>SUM(_xlfn.ANCHORARRAY(G22))</f>
        <v>55</v>
      </c>
      <c r="G22" s="150" cm="1">
        <f t="array" ref="G22:R22">oz.CountAColsλ(G17:R21)</f>
        <v>3</v>
      </c>
      <c r="H22" s="70">
        <v>5</v>
      </c>
      <c r="I22" s="70">
        <v>5</v>
      </c>
      <c r="J22" s="70">
        <v>4</v>
      </c>
      <c r="K22" s="70">
        <v>5</v>
      </c>
      <c r="L22" s="70">
        <v>5</v>
      </c>
      <c r="M22" s="70">
        <v>4</v>
      </c>
      <c r="N22" s="70">
        <v>5</v>
      </c>
      <c r="O22" s="70">
        <v>5</v>
      </c>
      <c r="P22" s="70">
        <v>4</v>
      </c>
      <c r="Q22" s="70">
        <v>5</v>
      </c>
      <c r="R22" s="70">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7A5AB5"/>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186" t="str">
        <f ca="1">_xlfn.TEXTAFTER(CELL("filename",A1),"]")</f>
        <v>oz.IsBetweenEλ</v>
      </c>
      <c r="B1" s="186"/>
      <c r="C1" s="186"/>
      <c r="D1" s="186"/>
      <c r="E1" s="186"/>
      <c r="F1" s="186"/>
      <c r="G1" s="186"/>
      <c r="H1" s="186"/>
      <c r="I1" s="186"/>
      <c r="J1" s="186"/>
      <c r="K1" s="186"/>
    </row>
    <row r="2" spans="1:17" x14ac:dyDescent="0.25">
      <c r="A2" s="187" t="s">
        <v>72</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row>
    <row r="4" spans="1:17" x14ac:dyDescent="0.25">
      <c r="A4" s="61"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1" x14ac:dyDescent="0.35">
      <c r="A18" s="200" t="s">
        <v>148</v>
      </c>
      <c r="B18" s="200"/>
      <c r="C18" s="200"/>
    </row>
    <row r="19" spans="1:18" x14ac:dyDescent="0.25">
      <c r="F19" s="90" t="s">
        <v>290</v>
      </c>
      <c r="G19" s="151" cm="1">
        <f t="array" ref="G19:R19">oz.Timelineλ($B$21,$B$22,$B$23, FALSE)</f>
        <v>46568</v>
      </c>
      <c r="H19" s="151">
        <v>46934</v>
      </c>
      <c r="I19" s="151">
        <v>47299</v>
      </c>
      <c r="J19" s="151">
        <v>47664</v>
      </c>
      <c r="K19" s="151">
        <v>48029</v>
      </c>
      <c r="L19" s="151">
        <v>48395</v>
      </c>
      <c r="M19" s="151">
        <v>48760</v>
      </c>
      <c r="N19" s="151">
        <v>49125</v>
      </c>
      <c r="O19" s="151">
        <v>49490</v>
      </c>
      <c r="P19" s="151">
        <v>49856</v>
      </c>
      <c r="Q19" s="151">
        <v>50221</v>
      </c>
      <c r="R19" s="151">
        <v>50586</v>
      </c>
    </row>
    <row r="20" spans="1:18" x14ac:dyDescent="0.25">
      <c r="A20" s="60" t="s">
        <v>149</v>
      </c>
      <c r="B20" s="60" t="s">
        <v>14</v>
      </c>
      <c r="C20" s="60" t="s">
        <v>15</v>
      </c>
      <c r="E20" s="89" t="s">
        <v>7</v>
      </c>
      <c r="F20" s="54" t="s">
        <v>152</v>
      </c>
      <c r="G20" s="55"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40">
        <v>46204</v>
      </c>
      <c r="C21" t="s">
        <v>21</v>
      </c>
      <c r="E21" s="20" t="str" cm="1">
        <f t="array" ref="E21:E25">tblCT[Customer]</f>
        <v>ACME</v>
      </c>
      <c r="F21" s="73" cm="1">
        <f t="array" ref="F21:F25">oz.SumRowsλ(_xlfn.ANCHORARRAY(G21))</f>
        <v>1</v>
      </c>
      <c r="G21" s="61"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17</v>
      </c>
      <c r="B22">
        <v>12</v>
      </c>
      <c r="C22" t="s">
        <v>22</v>
      </c>
      <c r="E22" s="20" t="str">
        <v>Wool*Art</v>
      </c>
      <c r="F22" s="73">
        <v>1</v>
      </c>
      <c r="G22" s="73">
        <v>0</v>
      </c>
      <c r="H22">
        <v>1</v>
      </c>
      <c r="I22">
        <v>0</v>
      </c>
      <c r="J22">
        <v>0</v>
      </c>
      <c r="K22">
        <v>0</v>
      </c>
      <c r="L22">
        <v>0</v>
      </c>
      <c r="M22">
        <v>0</v>
      </c>
      <c r="N22">
        <v>0</v>
      </c>
      <c r="O22">
        <v>0</v>
      </c>
      <c r="P22">
        <v>0</v>
      </c>
      <c r="Q22">
        <v>0</v>
      </c>
      <c r="R22">
        <v>0</v>
      </c>
    </row>
    <row r="23" spans="1:18" x14ac:dyDescent="0.25">
      <c r="A23" t="s">
        <v>18</v>
      </c>
      <c r="B23" t="s">
        <v>2</v>
      </c>
      <c r="E23" s="20" t="str">
        <v>Town Hall</v>
      </c>
      <c r="F23" s="73">
        <v>1</v>
      </c>
      <c r="G23" s="73">
        <v>0</v>
      </c>
      <c r="H23">
        <v>0</v>
      </c>
      <c r="I23">
        <v>1</v>
      </c>
      <c r="J23">
        <v>0</v>
      </c>
      <c r="K23">
        <v>0</v>
      </c>
      <c r="L23">
        <v>0</v>
      </c>
      <c r="M23">
        <v>0</v>
      </c>
      <c r="N23">
        <v>0</v>
      </c>
      <c r="O23">
        <v>0</v>
      </c>
      <c r="P23">
        <v>0</v>
      </c>
      <c r="Q23">
        <v>0</v>
      </c>
      <c r="R23">
        <v>0</v>
      </c>
    </row>
    <row r="24" spans="1:18" x14ac:dyDescent="0.25">
      <c r="E24" s="20" t="str">
        <v>Jacqie Penee</v>
      </c>
      <c r="F24" s="73">
        <v>1</v>
      </c>
      <c r="G24">
        <v>0</v>
      </c>
      <c r="H24">
        <v>0</v>
      </c>
      <c r="I24">
        <v>0</v>
      </c>
      <c r="J24">
        <v>1</v>
      </c>
      <c r="K24">
        <v>0</v>
      </c>
      <c r="L24">
        <v>0</v>
      </c>
      <c r="M24">
        <v>0</v>
      </c>
      <c r="N24">
        <v>0</v>
      </c>
      <c r="O24">
        <v>0</v>
      </c>
      <c r="P24">
        <v>0</v>
      </c>
      <c r="Q24">
        <v>0</v>
      </c>
      <c r="R24">
        <v>0</v>
      </c>
    </row>
    <row r="25" spans="1:18" x14ac:dyDescent="0.25">
      <c r="E25" s="20" t="str">
        <v>Amazonia</v>
      </c>
      <c r="F25" s="73">
        <v>1</v>
      </c>
      <c r="G25">
        <v>0</v>
      </c>
      <c r="H25">
        <v>0</v>
      </c>
      <c r="I25">
        <v>0</v>
      </c>
      <c r="J25">
        <v>0</v>
      </c>
      <c r="K25">
        <v>1</v>
      </c>
      <c r="L25">
        <v>0</v>
      </c>
      <c r="M25">
        <v>0</v>
      </c>
      <c r="N25">
        <v>0</v>
      </c>
      <c r="O25">
        <v>0</v>
      </c>
      <c r="P25">
        <v>0</v>
      </c>
      <c r="Q25">
        <v>0</v>
      </c>
      <c r="R25">
        <v>0</v>
      </c>
    </row>
    <row r="26" spans="1:18" ht="21.75" thickBot="1" x14ac:dyDescent="0.4">
      <c r="A26" s="206" t="s">
        <v>291</v>
      </c>
      <c r="B26" s="207"/>
      <c r="E26" s="102" t="s">
        <v>5</v>
      </c>
      <c r="F26" s="70">
        <f>SUM(_xlfn.ANCHORARRAY(G26))</f>
        <v>5</v>
      </c>
      <c r="G26" s="152" cm="1">
        <f t="array" ref="G26:R26">oz.SumColsλ(_xlfn.ANCHORARRAY(G21))</f>
        <v>0</v>
      </c>
      <c r="H26" s="70">
        <v>2</v>
      </c>
      <c r="I26" s="70">
        <v>1</v>
      </c>
      <c r="J26" s="70">
        <v>1</v>
      </c>
      <c r="K26" s="70">
        <v>1</v>
      </c>
      <c r="L26" s="70">
        <v>0</v>
      </c>
      <c r="M26" s="70">
        <v>0</v>
      </c>
      <c r="N26" s="70">
        <v>0</v>
      </c>
      <c r="O26" s="70">
        <v>0</v>
      </c>
      <c r="P26" s="70">
        <v>0</v>
      </c>
      <c r="Q26" s="70">
        <v>0</v>
      </c>
      <c r="R26" s="70">
        <v>0</v>
      </c>
    </row>
    <row r="27" spans="1:18" ht="15.75" thickTop="1" x14ac:dyDescent="0.25"/>
    <row r="28" spans="1:18" x14ac:dyDescent="0.25">
      <c r="A28" t="s">
        <v>140</v>
      </c>
      <c r="B28" t="s">
        <v>291</v>
      </c>
    </row>
    <row r="29" spans="1:18" x14ac:dyDescent="0.25">
      <c r="A29" s="20" t="str">
        <f>E21</f>
        <v>ACME</v>
      </c>
      <c r="B29" s="40" cm="1">
        <f t="array" ref="B29">$B$21 + 365 * (ROW() - ROW(tblOnBoarding[#Headers]))</f>
        <v>46569</v>
      </c>
    </row>
    <row r="30" spans="1:18" x14ac:dyDescent="0.25">
      <c r="A30" s="20" t="str">
        <f t="shared" ref="A30:A33" si="0">E22</f>
        <v>Wool*Art</v>
      </c>
      <c r="B30" s="40" cm="1">
        <f t="array" ref="B30">$B$21 + 365 * (ROW() - ROW(tblOnBoarding[#Headers]))</f>
        <v>46934</v>
      </c>
    </row>
    <row r="31" spans="1:18" x14ac:dyDescent="0.25">
      <c r="A31" s="20" t="str">
        <f t="shared" si="0"/>
        <v>Town Hall</v>
      </c>
      <c r="B31" s="40" cm="1">
        <f t="array" ref="B31">$B$21 + 365 * (ROW() - ROW(tblOnBoarding[#Headers]))</f>
        <v>47299</v>
      </c>
    </row>
    <row r="32" spans="1:18" x14ac:dyDescent="0.25">
      <c r="A32" s="20" t="str">
        <f t="shared" si="0"/>
        <v>Jacqie Penee</v>
      </c>
      <c r="B32" s="40" cm="1">
        <f t="array" ref="B32">$B$21 + 365 * (ROW() - ROW(tblOnBoarding[#Headers]))</f>
        <v>47664</v>
      </c>
    </row>
    <row r="33" spans="1:2" x14ac:dyDescent="0.25">
      <c r="A33" s="20" t="str">
        <f t="shared" si="0"/>
        <v>Amazonia</v>
      </c>
      <c r="B33" s="40"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186" t="str">
        <f ca="1">_xlfn.TEXTAFTER(CELL("filename",A1),"]")</f>
        <v>oz.RangeToDAEλ</v>
      </c>
      <c r="B1" s="186"/>
      <c r="C1" s="186"/>
      <c r="D1" s="186"/>
      <c r="E1" s="186"/>
      <c r="F1" s="186"/>
      <c r="G1" s="186"/>
      <c r="H1" s="186"/>
      <c r="I1" s="186"/>
      <c r="J1" s="186"/>
      <c r="K1" s="186"/>
    </row>
    <row r="2" spans="1:18" x14ac:dyDescent="0.25">
      <c r="A2" s="187" t="s">
        <v>298</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54" t="s">
        <v>292</v>
      </c>
      <c r="G14" s="55"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293</v>
      </c>
      <c r="G15" s="153">
        <v>3.5000000000000003E-2</v>
      </c>
      <c r="H15" s="153">
        <v>3.2500000000000001E-2</v>
      </c>
      <c r="I15" s="153">
        <v>0.03</v>
      </c>
      <c r="J15" s="153">
        <v>2.75E-2</v>
      </c>
      <c r="K15" s="153">
        <v>2.5000000000000001E-2</v>
      </c>
      <c r="L15" s="153">
        <v>2.5000000000000001E-2</v>
      </c>
      <c r="M15" s="153">
        <v>2.5000000000000001E-2</v>
      </c>
      <c r="N15" s="153">
        <v>2.5000000000000001E-2</v>
      </c>
      <c r="O15" s="153">
        <v>2.75E-2</v>
      </c>
      <c r="P15" s="101"/>
      <c r="Q15" s="101"/>
      <c r="R15" s="101"/>
    </row>
    <row r="16" spans="1:18" x14ac:dyDescent="0.25">
      <c r="F16" t="s">
        <v>294</v>
      </c>
      <c r="G16" s="153">
        <v>0.03</v>
      </c>
      <c r="H16" s="153">
        <v>3.2000000000000001E-2</v>
      </c>
      <c r="I16" s="153">
        <v>3.3000000000000002E-2</v>
      </c>
      <c r="J16" s="153">
        <v>0.04</v>
      </c>
      <c r="K16" s="153">
        <v>0.05</v>
      </c>
      <c r="L16" s="153">
        <v>0.06</v>
      </c>
      <c r="M16" s="153">
        <v>6.5000000000000002E-2</v>
      </c>
      <c r="N16" s="153">
        <v>6.5000000000000002E-2</v>
      </c>
      <c r="O16" s="153">
        <v>7.0000000000000007E-2</v>
      </c>
      <c r="P16" s="101"/>
      <c r="Q16" s="101"/>
      <c r="R16" s="101"/>
    </row>
    <row r="18" spans="1:18" ht="21" x14ac:dyDescent="0.35">
      <c r="A18" s="200" t="s">
        <v>148</v>
      </c>
      <c r="B18" s="200"/>
      <c r="C18" s="200"/>
    </row>
    <row r="19" spans="1:18" x14ac:dyDescent="0.25">
      <c r="F19" s="90" t="s">
        <v>290</v>
      </c>
      <c r="G19" s="151" cm="1">
        <f t="array" ref="G19:R19">oz.Timelineλ($B$21,$B$22,$B$23, FALSE)</f>
        <v>46568</v>
      </c>
      <c r="H19" s="151">
        <v>46934</v>
      </c>
      <c r="I19" s="151">
        <v>47299</v>
      </c>
      <c r="J19" s="151">
        <v>47664</v>
      </c>
      <c r="K19" s="151">
        <v>48029</v>
      </c>
      <c r="L19" s="151">
        <v>48395</v>
      </c>
      <c r="M19" s="151">
        <v>48760</v>
      </c>
      <c r="N19" s="151">
        <v>49125</v>
      </c>
      <c r="O19" s="151">
        <v>49490</v>
      </c>
      <c r="P19" s="151">
        <v>49856</v>
      </c>
      <c r="Q19" s="151">
        <v>50221</v>
      </c>
      <c r="R19" s="151">
        <v>50586</v>
      </c>
    </row>
    <row r="20" spans="1:18" x14ac:dyDescent="0.25">
      <c r="A20" s="60" t="s">
        <v>149</v>
      </c>
      <c r="B20" s="60" t="s">
        <v>14</v>
      </c>
      <c r="C20" s="60" t="s">
        <v>15</v>
      </c>
      <c r="E20" s="89" t="s">
        <v>7</v>
      </c>
      <c r="F20" s="54" t="s">
        <v>152</v>
      </c>
      <c r="G20" s="55"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40">
        <v>46204</v>
      </c>
      <c r="C21" t="s">
        <v>21</v>
      </c>
      <c r="E21" t="s">
        <v>293</v>
      </c>
      <c r="F21" s="73" cm="1">
        <f t="array" ref="F21">oz.SumRowsλ(_xlfn.ANCHORARRAY(G21))</f>
        <v>0.2525</v>
      </c>
      <c r="G21" s="155" cm="1">
        <f t="array" ref="G21:R21">oz.RangeToDAEλ(G15, ,COLUMNS(_xlfn.ANCHORARRAY($G$14)))</f>
        <v>3.5000000000000003E-2</v>
      </c>
      <c r="H21" s="154">
        <f/>
        <v>3.2500000000000001E-2</v>
      </c>
      <c r="I21" s="154">
        <f/>
        <v>0.03</v>
      </c>
      <c r="J21" s="154">
        <f/>
        <v>2.75E-2</v>
      </c>
      <c r="K21" s="154">
        <f/>
        <v>2.5000000000000001E-2</v>
      </c>
      <c r="L21" s="154">
        <f/>
        <v>2.5000000000000001E-2</v>
      </c>
      <c r="M21" s="154">
        <f/>
        <v>2.5000000000000001E-2</v>
      </c>
      <c r="N21" s="154">
        <f/>
        <v>2.5000000000000001E-2</v>
      </c>
      <c r="O21" s="154">
        <f/>
        <v>2.75E-2</v>
      </c>
      <c r="P21" s="154">
        <f/>
        <v>0</v>
      </c>
      <c r="Q21" s="154">
        <f/>
        <v>0</v>
      </c>
      <c r="R21" s="154">
        <f/>
        <v>0</v>
      </c>
    </row>
    <row r="22" spans="1:18" x14ac:dyDescent="0.25">
      <c r="A22" t="s">
        <v>17</v>
      </c>
      <c r="B22">
        <v>12</v>
      </c>
      <c r="C22" t="s">
        <v>22</v>
      </c>
      <c r="E22" t="s">
        <v>294</v>
      </c>
      <c r="F22" s="73"/>
      <c r="G22" s="155" cm="1">
        <f t="array" ref="G22:R22">oz.RangeToDAEλ(G16, ,COLUMNS(_xlfn.ANCHORARRAY($G$20)))</f>
        <v>0.03</v>
      </c>
      <c r="H22" s="154">
        <f/>
        <v>3.2000000000000001E-2</v>
      </c>
      <c r="I22" s="154">
        <f/>
        <v>3.3000000000000002E-2</v>
      </c>
      <c r="J22" s="154">
        <f/>
        <v>0.04</v>
      </c>
      <c r="K22" s="154">
        <f/>
        <v>0.05</v>
      </c>
      <c r="L22" s="154">
        <f/>
        <v>0.06</v>
      </c>
      <c r="M22" s="154">
        <f/>
        <v>6.5000000000000002E-2</v>
      </c>
      <c r="N22" s="154">
        <f/>
        <v>6.5000000000000002E-2</v>
      </c>
      <c r="O22" s="154">
        <f/>
        <v>7.0000000000000007E-2</v>
      </c>
      <c r="P22" s="154">
        <f/>
        <v>0</v>
      </c>
      <c r="Q22" s="154">
        <f/>
        <v>0</v>
      </c>
      <c r="R22" s="154">
        <f/>
        <v>0</v>
      </c>
    </row>
    <row r="23" spans="1:18" x14ac:dyDescent="0.25">
      <c r="A23" t="s">
        <v>18</v>
      </c>
      <c r="B23" t="s">
        <v>2</v>
      </c>
      <c r="E23" s="20"/>
      <c r="F23" s="73"/>
      <c r="G23" s="73"/>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8206B"/>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186" t="str">
        <f ca="1">_xlfn.TEXTAFTER(CELL("filename",A1),"]")</f>
        <v>oz.FinancialRatios</v>
      </c>
      <c r="B1" s="186"/>
      <c r="C1" s="186"/>
      <c r="D1" s="186"/>
      <c r="E1" s="186"/>
      <c r="F1" s="186"/>
      <c r="G1" s="186"/>
      <c r="H1" s="186"/>
      <c r="I1" s="186"/>
      <c r="J1" s="186"/>
      <c r="K1" s="186"/>
    </row>
    <row r="2" spans="1:11" x14ac:dyDescent="0.25">
      <c r="A2" s="187" t="s">
        <v>432</v>
      </c>
      <c r="B2" s="218"/>
      <c r="C2" s="218"/>
      <c r="D2" s="218"/>
      <c r="E2" s="218"/>
      <c r="F2" s="218"/>
      <c r="G2" s="218"/>
      <c r="H2" s="218"/>
      <c r="I2" s="218"/>
      <c r="J2" s="218"/>
      <c r="K2" s="218"/>
    </row>
    <row r="10" spans="1:11" x14ac:dyDescent="0.25">
      <c r="D10" t="s">
        <v>325</v>
      </c>
      <c r="E10" t="s">
        <v>7</v>
      </c>
    </row>
    <row r="11" spans="1:11" x14ac:dyDescent="0.25">
      <c r="D11" t="s">
        <v>326</v>
      </c>
      <c r="E11" t="s">
        <v>327</v>
      </c>
    </row>
    <row r="12" spans="1:11" x14ac:dyDescent="0.25">
      <c r="D12" t="s">
        <v>278</v>
      </c>
      <c r="E12" t="s">
        <v>278</v>
      </c>
    </row>
    <row r="13" spans="1:11" x14ac:dyDescent="0.25">
      <c r="B13" s="2" t="s">
        <v>315</v>
      </c>
      <c r="D13" t="s">
        <v>315</v>
      </c>
      <c r="E13" t="s">
        <v>278</v>
      </c>
    </row>
    <row r="14" spans="1:11" x14ac:dyDescent="0.25">
      <c r="A14" s="167" cm="1">
        <f t="array" ref="A14">oz.CurrentRatioλ( 134.836, 125.481)</f>
        <v>1.0745531195957956</v>
      </c>
      <c r="B14" t="str">
        <f t="shared" ref="B14:B20" si="0">_xlfn.FORMULATEXT(A14)</f>
        <v>=oz.CurrentRatioλ( 134.836, 125.481)</v>
      </c>
      <c r="D14" t="s">
        <v>328</v>
      </c>
      <c r="E14" t="s">
        <v>329</v>
      </c>
    </row>
    <row r="15" spans="1:11" x14ac:dyDescent="0.25">
      <c r="A15" s="167" cm="1">
        <f t="array" ref="A15">oz.QuickRatioλ(165000,137500)</f>
        <v>1.2</v>
      </c>
      <c r="B15" t="str">
        <f t="shared" si="0"/>
        <v>=oz.QuickRatioλ(165000,137500)</v>
      </c>
      <c r="D15" t="s">
        <v>330</v>
      </c>
      <c r="E15" t="s">
        <v>331</v>
      </c>
    </row>
    <row r="16" spans="1:11" x14ac:dyDescent="0.25">
      <c r="A16" s="167" cm="1">
        <f t="array" ref="A16">oz.CashRatioλ( 63900000, 123500000)</f>
        <v>0.51740890688259111</v>
      </c>
      <c r="B16" t="str">
        <f t="shared" si="0"/>
        <v>=oz.CashRatioλ( 63900000, 123500000)</v>
      </c>
      <c r="D16" t="s">
        <v>332</v>
      </c>
      <c r="E16" t="s">
        <v>333</v>
      </c>
    </row>
    <row r="17" spans="1:5" x14ac:dyDescent="0.25">
      <c r="A17" s="167" cm="1">
        <f t="array" ref="A17">oz.OperatingCashFlowRatioλ( 27.8, 77.5)</f>
        <v>0.35870967741935483</v>
      </c>
      <c r="B17" t="str">
        <f t="shared" si="0"/>
        <v>=oz.OperatingCashFlowRatioλ( 27.8, 77.5)</v>
      </c>
      <c r="D17" t="s">
        <v>332</v>
      </c>
      <c r="E17" t="s">
        <v>334</v>
      </c>
    </row>
    <row r="18" spans="1:5" x14ac:dyDescent="0.25">
      <c r="A18" s="167" cm="1">
        <f t="array" ref="A18">oz.ReceivablesTurnoverRatioλ( 800000, 68000 )</f>
        <v>11.764705882352942</v>
      </c>
      <c r="B18" t="str">
        <f t="shared" si="0"/>
        <v>=oz.ReceivablesTurnoverRatioλ( 800000, 68000 )</v>
      </c>
      <c r="D18" t="s">
        <v>335</v>
      </c>
      <c r="E18" t="s">
        <v>336</v>
      </c>
    </row>
    <row r="19" spans="1:5" x14ac:dyDescent="0.25">
      <c r="A19" s="167" cm="1">
        <f t="array" ref="A19">oz.InventoryTurnoverRatioλ( 429, 50.7)</f>
        <v>8.4615384615384617</v>
      </c>
      <c r="B19" t="str">
        <f t="shared" si="0"/>
        <v>=oz.InventoryTurnoverRatioλ( 429, 50.7)</v>
      </c>
      <c r="D19" t="s">
        <v>337</v>
      </c>
      <c r="E19" t="s">
        <v>338</v>
      </c>
    </row>
    <row r="20" spans="1:5" x14ac:dyDescent="0.25">
      <c r="A20" s="167" cm="1">
        <f t="array" ref="A20">oz.WorkingCapitalTurnoverRatioλ( 12, 2)</f>
        <v>6</v>
      </c>
      <c r="B20" t="str">
        <f t="shared" si="0"/>
        <v>=oz.WorkingCapitalTurnoverRatioλ( 12, 2)</v>
      </c>
      <c r="D20" t="s">
        <v>339</v>
      </c>
      <c r="E20" t="s">
        <v>340</v>
      </c>
    </row>
    <row r="21" spans="1:5" x14ac:dyDescent="0.25">
      <c r="A21" s="167"/>
      <c r="D21" t="s">
        <v>278</v>
      </c>
      <c r="E21" t="s">
        <v>278</v>
      </c>
    </row>
    <row r="22" spans="1:5" x14ac:dyDescent="0.25">
      <c r="A22" s="167"/>
      <c r="B22" s="2" t="s">
        <v>316</v>
      </c>
      <c r="D22" t="s">
        <v>316</v>
      </c>
      <c r="E22" t="s">
        <v>278</v>
      </c>
    </row>
    <row r="23" spans="1:5" x14ac:dyDescent="0.25">
      <c r="A23" s="167" cm="1">
        <f t="array" ref="A23">oz.DebtRatioλ(30000000, 100000000)</f>
        <v>0.3</v>
      </c>
      <c r="B23" t="str">
        <f>_xlfn.FORMULATEXT(A23)</f>
        <v>=oz.DebtRatioλ(30000000, 100000000)</v>
      </c>
      <c r="D23" t="s">
        <v>341</v>
      </c>
      <c r="E23" t="s">
        <v>342</v>
      </c>
    </row>
    <row r="24" spans="1:5" x14ac:dyDescent="0.25">
      <c r="A24" s="167" cm="1">
        <f t="array" ref="A24">oz.DSCRλ(2150000, 350000)</f>
        <v>6.1428571428571432</v>
      </c>
      <c r="B24" t="str">
        <f>_xlfn.FORMULATEXT(A24)</f>
        <v>=oz.DSCRλ(2150000, 350000)</v>
      </c>
      <c r="D24" t="s">
        <v>343</v>
      </c>
      <c r="E24" t="s">
        <v>344</v>
      </c>
    </row>
    <row r="25" spans="1:5" x14ac:dyDescent="0.25">
      <c r="A25" s="167" cm="1">
        <f t="array" ref="A25">oz.DebtToCapitalRatioλ( 80000000, 223000000 )</f>
        <v>0.264026402640264</v>
      </c>
      <c r="B25" t="str">
        <f>_xlfn.FORMULATEXT(A25)</f>
        <v>=oz.DebtToCapitalRatioλ( 80000000, 223000000 )</v>
      </c>
      <c r="D25" t="s">
        <v>345</v>
      </c>
      <c r="E25" t="s">
        <v>346</v>
      </c>
    </row>
    <row r="26" spans="1:5" x14ac:dyDescent="0.25">
      <c r="A26" s="97" cm="1">
        <f t="array" ref="A26">oz.EquityMultiplierλ(366.6, 83.2 )</f>
        <v>4.40625</v>
      </c>
      <c r="B26" t="str">
        <f>_xlfn.FORMULATEXT(A26)</f>
        <v>=oz.EquityMultiplierλ(366.6, 83.2 )</v>
      </c>
      <c r="D26" t="s">
        <v>347</v>
      </c>
      <c r="E26" t="s">
        <v>348</v>
      </c>
    </row>
    <row r="27" spans="1:5" x14ac:dyDescent="0.25">
      <c r="D27" t="s">
        <v>278</v>
      </c>
      <c r="E27" t="s">
        <v>278</v>
      </c>
    </row>
    <row r="28" spans="1:5" x14ac:dyDescent="0.25">
      <c r="B28" s="2" t="s">
        <v>317</v>
      </c>
      <c r="D28" t="s">
        <v>317</v>
      </c>
      <c r="E28" t="s">
        <v>278</v>
      </c>
    </row>
    <row r="29" spans="1:5" x14ac:dyDescent="0.25">
      <c r="A29" s="167" cm="1">
        <f t="array" ref="A29">oz.DebtToEquityRatioλ(279, 74 )</f>
        <v>3.7702702702702702</v>
      </c>
      <c r="B29" t="str">
        <f>_xlfn.FORMULATEXT(A29)</f>
        <v>=oz.DebtToEquityRatioλ(279, 74 )</v>
      </c>
      <c r="D29" t="s">
        <v>349</v>
      </c>
      <c r="E29" t="s">
        <v>350</v>
      </c>
    </row>
    <row r="30" spans="1:5" x14ac:dyDescent="0.25">
      <c r="A30" s="167" cm="1">
        <f t="array" ref="A30">oz.DebtToAssetRatioλ(31.845, 63.852 )</f>
        <v>0.4987314414583725</v>
      </c>
      <c r="B30" t="str">
        <f t="shared" ref="B30:B32" si="1">_xlfn.FORMULATEXT(A30)</f>
        <v>=oz.DebtToAssetRatioλ(31.845, 63.852 )</v>
      </c>
      <c r="D30" t="s">
        <v>351</v>
      </c>
      <c r="E30" t="s">
        <v>352</v>
      </c>
    </row>
    <row r="31" spans="1:5" x14ac:dyDescent="0.25">
      <c r="A31" s="167" cm="1">
        <f t="array" ref="A31">oz.InterestCoverageRatioλ( 625, 90 )</f>
        <v>6.9444444444444446</v>
      </c>
      <c r="B31" t="str">
        <f t="shared" si="1"/>
        <v>=oz.InterestCoverageRatioλ( 625, 90 )</v>
      </c>
      <c r="D31" t="s">
        <v>353</v>
      </c>
      <c r="E31" t="s">
        <v>354</v>
      </c>
    </row>
    <row r="32" spans="1:5" x14ac:dyDescent="0.25">
      <c r="A32" s="167" cm="1">
        <f t="array" ref="A32">oz.EquityRatioλ( 20, 60, 10 )</f>
        <v>0.4</v>
      </c>
      <c r="B32" t="str">
        <f t="shared" si="1"/>
        <v>=oz.EquityRatioλ( 20, 60, 10 )</v>
      </c>
      <c r="D32" t="s">
        <v>355</v>
      </c>
      <c r="E32" t="s">
        <v>356</v>
      </c>
    </row>
    <row r="33" spans="1:5" x14ac:dyDescent="0.25">
      <c r="A33" s="167"/>
      <c r="D33" t="s">
        <v>278</v>
      </c>
      <c r="E33" t="s">
        <v>278</v>
      </c>
    </row>
    <row r="34" spans="1:5" x14ac:dyDescent="0.25">
      <c r="A34" s="167"/>
      <c r="B34" s="2" t="s">
        <v>318</v>
      </c>
      <c r="D34" t="s">
        <v>318</v>
      </c>
      <c r="E34" t="s">
        <v>278</v>
      </c>
    </row>
    <row r="35" spans="1:5" x14ac:dyDescent="0.25">
      <c r="A35" s="167" cm="1">
        <f t="array" ref="A35">oz.AssetTurnoverRatioλ( 171760, 538715 )</f>
        <v>0.31883277799949883</v>
      </c>
      <c r="B35" t="str">
        <f t="shared" ref="B35:B37" si="2">_xlfn.FORMULATEXT(A35)</f>
        <v>=oz.AssetTurnoverRatioλ( 171760, 538715 )</v>
      </c>
      <c r="D35" t="s">
        <v>357</v>
      </c>
      <c r="E35" t="s">
        <v>358</v>
      </c>
    </row>
    <row r="36" spans="1:5" x14ac:dyDescent="0.25">
      <c r="A36" s="167" cm="1">
        <f t="array" ref="A36">oz.DSIλ(54.9, 490 )</f>
        <v>40.894897959183673</v>
      </c>
      <c r="B36" t="str">
        <f t="shared" si="2"/>
        <v>=oz.DSIλ(54.9, 490 )</v>
      </c>
      <c r="D36" t="s">
        <v>359</v>
      </c>
      <c r="E36" t="s">
        <v>360</v>
      </c>
    </row>
    <row r="37" spans="1:5" x14ac:dyDescent="0.25">
      <c r="A37" s="167" cm="1">
        <f t="array" ref="A37">oz.OperatingRatioλ( 14.37, 48.48, 90.75 )</f>
        <v>0.69256198347107434</v>
      </c>
      <c r="B37" t="str">
        <f t="shared" si="2"/>
        <v>=oz.OperatingRatioλ( 14.37, 48.48, 90.75 )</v>
      </c>
      <c r="D37" t="s">
        <v>361</v>
      </c>
      <c r="E37" t="s">
        <v>362</v>
      </c>
    </row>
    <row r="38" spans="1:5" x14ac:dyDescent="0.25">
      <c r="A38" s="167"/>
      <c r="D38" t="s">
        <v>278</v>
      </c>
      <c r="E38" t="s">
        <v>278</v>
      </c>
    </row>
    <row r="39" spans="1:5" x14ac:dyDescent="0.25">
      <c r="A39" s="167"/>
      <c r="B39" s="2" t="s">
        <v>319</v>
      </c>
      <c r="D39" t="s">
        <v>319</v>
      </c>
      <c r="E39" t="s">
        <v>278</v>
      </c>
    </row>
    <row r="40" spans="1:5" x14ac:dyDescent="0.25">
      <c r="A40" s="167" cm="1">
        <f t="array" ref="A40">oz.GrossMarginλ( 62984, 102007 )</f>
        <v>0.61744782220827987</v>
      </c>
      <c r="B40" t="str">
        <f t="shared" ref="B40:B46" si="3">_xlfn.FORMULATEXT(A40)</f>
        <v>=oz.GrossMarginλ( 62984, 102007 )</v>
      </c>
      <c r="D40" t="s">
        <v>363</v>
      </c>
      <c r="E40" t="s">
        <v>364</v>
      </c>
    </row>
    <row r="41" spans="1:5" x14ac:dyDescent="0.25">
      <c r="A41" s="167" cm="1">
        <f t="array" ref="A41">oz.EBITDAMarginλ( 15, 125 )</f>
        <v>0.12</v>
      </c>
      <c r="B41" t="str">
        <f t="shared" si="3"/>
        <v>=oz.EBITDAMarginλ( 15, 125 )</v>
      </c>
      <c r="D41" t="s">
        <v>365</v>
      </c>
      <c r="E41" t="s">
        <v>366</v>
      </c>
    </row>
    <row r="42" spans="1:5" x14ac:dyDescent="0.25">
      <c r="A42" s="97" cm="1">
        <f t="array" ref="A42">oz.OperatingMarginλ( 0.8, 2 )</f>
        <v>0.4</v>
      </c>
      <c r="B42" t="str">
        <f t="shared" si="3"/>
        <v>=oz.OperatingMarginλ( 0.8, 2 )</v>
      </c>
      <c r="D42" t="s">
        <v>367</v>
      </c>
      <c r="E42" t="s">
        <v>368</v>
      </c>
    </row>
    <row r="43" spans="1:5" x14ac:dyDescent="0.25">
      <c r="A43" s="97" cm="1">
        <f t="array" ref="A43">oz.PretaxMarginλ( 40, 500 )</f>
        <v>0.08</v>
      </c>
      <c r="B43" t="str">
        <f t="shared" si="3"/>
        <v>=oz.PretaxMarginλ( 40, 500 )</v>
      </c>
      <c r="D43" t="s">
        <v>369</v>
      </c>
      <c r="E43" t="s">
        <v>370</v>
      </c>
    </row>
    <row r="44" spans="1:5" x14ac:dyDescent="0.25">
      <c r="A44" s="97" cm="1">
        <f t="array" ref="A44">oz.NetProfitMarginλ( 56, 100 )</f>
        <v>0.56000000000000005</v>
      </c>
      <c r="B44" t="str">
        <f t="shared" si="3"/>
        <v>=oz.NetProfitMarginλ( 56, 100 )</v>
      </c>
      <c r="D44" t="s">
        <v>371</v>
      </c>
      <c r="E44" t="s">
        <v>372</v>
      </c>
    </row>
    <row r="45" spans="1:5" x14ac:dyDescent="0.25">
      <c r="A45" s="97" cm="1">
        <f t="array" ref="A45">oz.CashFlowMarginλ( 2.695, 5.3 )</f>
        <v>0.50849056603773579</v>
      </c>
      <c r="B45" t="str">
        <f t="shared" si="3"/>
        <v>=oz.CashFlowMarginλ( 2.695, 5.3 )</v>
      </c>
      <c r="D45" t="s">
        <v>373</v>
      </c>
      <c r="E45" t="s">
        <v>374</v>
      </c>
    </row>
    <row r="46" spans="1:5" x14ac:dyDescent="0.25">
      <c r="A46" s="97" cm="1">
        <f t="array" ref="A46">oz.ROAλ(1200, 15000 )</f>
        <v>0.08</v>
      </c>
      <c r="B46" t="str">
        <f t="shared" si="3"/>
        <v>=oz.ROAλ(1200, 15000 )</v>
      </c>
      <c r="D46" t="s">
        <v>375</v>
      </c>
      <c r="E46" t="s">
        <v>376</v>
      </c>
    </row>
    <row r="47" spans="1:5" x14ac:dyDescent="0.25">
      <c r="A47" s="97" cm="1">
        <f t="array" ref="A47">oz.ROEλ( 59.972, AVERAGE(251.635, 256.144) )</f>
        <v>0.23621299817440264</v>
      </c>
      <c r="B47" t="str">
        <f>_xlfn.FORMULATEXT(A47)</f>
        <v>=oz.ROEλ( 59.972, AVERAGE(251.635, 256.144) )</v>
      </c>
      <c r="D47" t="s">
        <v>377</v>
      </c>
      <c r="E47" t="s">
        <v>378</v>
      </c>
    </row>
    <row r="48" spans="1:5" x14ac:dyDescent="0.25">
      <c r="A48" s="97" cm="1">
        <f t="array" ref="A48">oz.ROIλ( 2875, 10000 )</f>
        <v>0.28749999999999998</v>
      </c>
      <c r="B48" t="str">
        <f>_xlfn.FORMULATEXT(A48)</f>
        <v>=oz.ROIλ( 2875, 10000 )</v>
      </c>
      <c r="D48" t="s">
        <v>379</v>
      </c>
      <c r="E48" t="s">
        <v>380</v>
      </c>
    </row>
    <row r="49" spans="1:5" x14ac:dyDescent="0.25">
      <c r="A49" s="97" cm="1">
        <f t="array" ref="A49">oz.ROICλ( 3245, 25729 )</f>
        <v>0.12612227447627192</v>
      </c>
      <c r="B49" t="str">
        <f>_xlfn.FORMULATEXT(A49)</f>
        <v>=oz.ROICλ( 3245, 25729 )</v>
      </c>
      <c r="D49" t="s">
        <v>381</v>
      </c>
      <c r="E49" t="s">
        <v>382</v>
      </c>
    </row>
    <row r="50" spans="1:5" x14ac:dyDescent="0.25">
      <c r="A50" s="97"/>
      <c r="D50" t="s">
        <v>278</v>
      </c>
      <c r="E50" t="s">
        <v>278</v>
      </c>
    </row>
    <row r="51" spans="1:5" x14ac:dyDescent="0.25">
      <c r="B51" s="2" t="s">
        <v>320</v>
      </c>
      <c r="D51" t="s">
        <v>320</v>
      </c>
      <c r="E51" t="s">
        <v>278</v>
      </c>
    </row>
    <row r="52" spans="1:5" x14ac:dyDescent="0.25">
      <c r="A52" s="167" cm="1">
        <f t="array" ref="A52">oz.PriceEarningsRatioλ( 242.62, 16.85)</f>
        <v>14.39881305637982</v>
      </c>
      <c r="B52" t="str">
        <f>_xlfn.FORMULATEXT(A52)</f>
        <v>=oz.PriceEarningsRatioλ( 242.62, 16.85)</v>
      </c>
      <c r="D52" t="s">
        <v>383</v>
      </c>
      <c r="E52" t="s">
        <v>384</v>
      </c>
    </row>
    <row r="53" spans="1:5" x14ac:dyDescent="0.25">
      <c r="A53" s="167" cm="1">
        <f t="array" ref="A53">oz.PriceToBookRatioλ( 5, 2.5 )</f>
        <v>2</v>
      </c>
      <c r="B53" t="str">
        <f>_xlfn.FORMULATEXT(A53)</f>
        <v>=oz.PriceToBookRatioλ( 5, 2.5 )</v>
      </c>
      <c r="D53" t="s">
        <v>385</v>
      </c>
      <c r="E53" t="s">
        <v>386</v>
      </c>
    </row>
    <row r="54" spans="1:5" x14ac:dyDescent="0.25">
      <c r="A54" s="167" cm="1">
        <f t="array" ref="A54">oz.PriceToSalesRatioλ( 455, 100 )</f>
        <v>4.55</v>
      </c>
      <c r="B54" t="str">
        <f>_xlfn.FORMULATEXT(A54)</f>
        <v>=oz.PriceToSalesRatioλ( 455, 100 )</v>
      </c>
      <c r="D54" t="s">
        <v>387</v>
      </c>
      <c r="E54" t="s">
        <v>388</v>
      </c>
    </row>
    <row r="55" spans="1:5" x14ac:dyDescent="0.25">
      <c r="A55" s="167" cm="1">
        <f t="array" ref="A55">oz.PriceToCashRatioλ( 200, 100 )</f>
        <v>2</v>
      </c>
      <c r="B55" t="str">
        <f>_xlfn.FORMULATEXT(A55)</f>
        <v>=oz.PriceToCashRatioλ( 200, 100 )</v>
      </c>
      <c r="D55" t="s">
        <v>389</v>
      </c>
      <c r="E55" t="s">
        <v>390</v>
      </c>
    </row>
    <row r="56" spans="1:5" x14ac:dyDescent="0.25">
      <c r="A56" s="166" cm="1">
        <f t="array" ref="A56">oz.BVPSλ(20, 5, AVERAGE( 2.9, 3.1) )</f>
        <v>5</v>
      </c>
      <c r="B56" t="str">
        <f t="shared" ref="B56:B58" si="4">_xlfn.FORMULATEXT(A56)</f>
        <v>=oz.BVPSλ(20, 5, AVERAGE( 2.9, 3.1) )</v>
      </c>
      <c r="D56" t="s">
        <v>391</v>
      </c>
      <c r="E56" t="s">
        <v>392</v>
      </c>
    </row>
    <row r="57" spans="1:5" x14ac:dyDescent="0.25">
      <c r="A57" s="167" cm="1">
        <f t="array" ref="A57">oz.CAPERatioλ( 100, 10  )</f>
        <v>10</v>
      </c>
      <c r="B57" t="str">
        <f t="shared" si="4"/>
        <v>=oz.CAPERatioλ( 100, 10  )</v>
      </c>
      <c r="D57" t="s">
        <v>393</v>
      </c>
      <c r="E57" t="s">
        <v>394</v>
      </c>
    </row>
    <row r="58" spans="1:5" x14ac:dyDescent="0.25">
      <c r="A58" s="167" cm="1">
        <f t="array" ref="A58">oz.DPRλ( 5, 20 )</f>
        <v>0.25</v>
      </c>
      <c r="B58" t="str">
        <f t="shared" si="4"/>
        <v>=oz.DPRλ( 5, 20 )</v>
      </c>
      <c r="D58" t="s">
        <v>395</v>
      </c>
      <c r="E58" t="s">
        <v>396</v>
      </c>
    </row>
    <row r="59" spans="1:5" x14ac:dyDescent="0.25">
      <c r="A59" s="167" cm="1">
        <f t="array" ref="A59">oz.DividendYieldRatioλ( 1.2, 45 )</f>
        <v>2.6666666666666665E-2</v>
      </c>
      <c r="B59" t="str">
        <f>_xlfn.FORMULATEXT(A59)</f>
        <v>=oz.DividendYieldRatioλ( 1.2, 45 )</v>
      </c>
      <c r="D59" t="s">
        <v>397</v>
      </c>
      <c r="E59" t="s">
        <v>398</v>
      </c>
    </row>
    <row r="60" spans="1:5" x14ac:dyDescent="0.25">
      <c r="A60" s="167" cm="1">
        <f t="array" ref="A60">oz.EPSλ( 7.6, 0, 3.98 )</f>
        <v>1.9095477386934672</v>
      </c>
      <c r="B60" t="str">
        <f t="shared" ref="B60:B61" si="5">_xlfn.FORMULATEXT(A60)</f>
        <v>=oz.EPSλ( 7.6, 0, 3.98 )</v>
      </c>
      <c r="D60" t="s">
        <v>399</v>
      </c>
      <c r="E60" t="s">
        <v>400</v>
      </c>
    </row>
    <row r="61" spans="1:5" x14ac:dyDescent="0.25">
      <c r="A61" s="167" cm="1">
        <f t="array" ref="A61">oz.RetentionRatioλ( 41.981, 22.112)</f>
        <v>1.898561866859624</v>
      </c>
      <c r="B61" t="str">
        <f t="shared" si="5"/>
        <v>=oz.RetentionRatioλ( 41.981, 22.112)</v>
      </c>
      <c r="D61" t="s">
        <v>401</v>
      </c>
      <c r="E61" t="s">
        <v>402</v>
      </c>
    </row>
    <row r="62" spans="1:5" x14ac:dyDescent="0.25">
      <c r="A62" s="97"/>
      <c r="D62" t="s">
        <v>278</v>
      </c>
      <c r="E62" t="s">
        <v>278</v>
      </c>
    </row>
    <row r="63" spans="1:5" x14ac:dyDescent="0.25">
      <c r="D63" t="s">
        <v>403</v>
      </c>
      <c r="E63" t="s">
        <v>404</v>
      </c>
    </row>
    <row r="64" spans="1:5" x14ac:dyDescent="0.25">
      <c r="D64" t="s">
        <v>278</v>
      </c>
      <c r="E64" t="s">
        <v>278</v>
      </c>
    </row>
  </sheetData>
  <mergeCells count="2">
    <mergeCell ref="A1:K1"/>
    <mergeCell ref="A2:K2"/>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PAHoAegBpAHQAIABjAG8AbQBwAGwAaQBhAG4AdAAgAEwAQQBNAEIARABBAHMAIABkAGUAYQBsAGkAbgBnACAAdwBpAHQAaAAgAGQAYQB0AGUAcwAuACAAUwB1AGcAZwBlAHMAdABlAGQAIABtAG8AZAB1AGwAZQAgAG4AYQBtAGUAOgAgAG8AegC2AFwAIgAgACYAXABuACAAIAAgACAAIAAgACAAIABcACIAVgBlAHIAcwBpAG8AbgA6ACAAIAAgACAAIAAgACAAIAAgACAAIAAgACAAIAAgAJIhNgAgAFMAZQBwACAAMgAwADIANgC2AFwAIgAgACYAXABuACAAIAAgACAAIAAgACAAIABcACIAUgBlAHAAbwBzAGkAdABvAHIAeQA6ACAAIAAgACAAIAAgACAAIAAgACAAIAAgACAAIACSIWgAdAB0AHAAcwA6AC8ALwBnAGkAdABoAHUAYgAuAGMAbwBtAC8AcgB5AGEAbgBkAHUAZwB1AGkAZAAvAE8AegB6AGkAdA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BcAG4AIAAgACAAIAAgACAAIAAgAFwAIgBEAGEAdABlAEQAaQBmALsDIAAgACAAIAAgACAAIAAgACAAIAAgACAAIAAgACAAkiFXAGgAbwBsAGUAIAB5AGUAYQByAHMALAAgAG0AbwBuAHQAaABzACAAbwByACAAZABhAHkAcwAgAGIAZQB0AHcAZQBlAG4AIAB0AHcAbwAgAGQAYQB0AGUAcwAsACAAYQBuAGQAIAB0AGgAZQAgAHIAZQBtAGEAaQBuAGQAZQByAHMAtgBcACIAIAAmACAAXABuACAAIAAgACAAIAAgACAAIABcACIARgBpAG4AYQBuAGMAaQBhAGwAWQBlAGEAcgC7AyAAIAAgACAAIAAgACAAIAAgAJIhTABhAGIAZQBsAHMAIABkAGEAdABlAHMAIAB3AGkAdABoACAAdABoAGUAaQByACAAQQB1AHMAdAByAGEAbABpAGEAbgAgAGYAaQBuAGEAbgBjAGkAYQBsACAAeQBlAGEAcgAsACAAcwB0AGEAcgB0AGkAbgBnACAAMQAgAEoAdQBsAHkAtgBcACIAIAAmAFwAbgAgACAAIAAgACAAIAAgACAAXAAi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MAIAAgACAAIAAgACAAIAAgACAAIAAgACAAIAAgAJIhPQBvAHoALgBDAG8AdQBuAHQARABPAFcAuwMoAFwAIgBcACIAMgAzAC8ANwAvADIAMAAyADYAXAAiAFwAIgAsACAAXAAiAFwAIgAxADEALwA4AC8AMgAwADIAN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GAEEATABTAEUAIAAgACAAIAAgACAAIAAgACAAIACSIT0AbwB6AC4ASQBzAEIAZQB0AHcAZQBlAG4AuwMoADEALAAgADIALAAgADQAKQC2AFwAIgAgACYAIABcAG4AIAAgACAAIAAgACAAIAAgACAAIAAgACAAIAAgACAAIAAgACAAIAAgACAAIAAgACAAXAAiAFQAUgBVAEUAIAAgACAAIAAgACAAIAAgACAAIAAgAJIhPQBvAHoALgBJAHMAQgBlAHQAdwBlAGUAbgC7AygAVABvAGQAYQB5ACgAKQAsACAAVABvAGQAYQB5ACgAKQAsACAAVABvAGQAYQB5ACgAKQArADEAKQC2AFwAIgAgACYAIABcAG4AIAAgACAAIAAgACAAIAAgACAAIAAgACAAIAAgACAAIAAgACAAIAAgACAAIAAgACAAXAAiAEYAQQBMAFMARQAgACAAIAAgACAAIAAgACAAIAAgAJIhPQBvAHo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OAE8AVABFACEAIAAgACAAIAAgACAAIAAgACAAIACSIUEAIABtAG8AbgB0AGgAbAB5ACwAIABxAHUAYQByAHQAZQByAGwAeQAsACAAcwBlAG0AaQAtAGEAbgBuAHUAYQBsACAAbwByACAAYQBuAG4AdQBhAGwAIABpAHQAZQBtACAAdABoAGEAdAAgAHMAdABhAHIAdABzACAAbwBuACAAdABoAGUAIAAyADkAdABoACwAIAAzADAAdABoACAAbwByACAAMwAxAHMAdAC2AFwAIgAgACYAXABuACAAIAAgACAAIAAgACAAIAAgACAAIAAgACAAIAAgACAAIAAgACAAIAAgACAAIAAgACAAIAAgACAAIAAgACAAIAAgACAAIAAgACAAIAAgACAAXAAiAJIhZgBhAGwAbABzACAAbwBuACAAdABoAGUAIABsAGEAcwB0ACAAZABhAHkAIABvAGYAIABhAG4AeQAgAHMAaABvAHIAdABlAHIAIABtAG8AbgB0AGgALgC2AFwAIgAgACY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cAMg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EQAXAAiAFwAIgApACkAKQC2AFwAIgAgACYAXABuACAAIAAgACAAIAAgACAAIAAgACAAIAAgACAAIAAgACAAIAAgACAAIAAgACAAIAAgAFwAIgAwADE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PAFwAIgBcACIAKQApACkAtgBcACIAIAAmAFwAbgAgACAAIAAgACAAIAAgACAAIAAgACAAIAAgACAAIAAgACAAIAAgACAAIAAgACAAIABcACIAMQAx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LwAvACAAIABBACAAcwB0AGEAcgB0ACAAbwBuACAAdABoAGUAIAAyADkAdABoACwAIAAzADAAdABoACAAbwByACAAMwAxAHMAdAAgAGYAYQBsAGwAcwAgAG8AbgAgAHQAaABlACAAbABhAHMAdAAgAGQAYQB5ACAAbwBmACAAYQBuAHkAIABzAGgAbwByAHQAZQByACAAbQBvAG4AdABoAFwAbgAgACAAIAAgACAAIAAgACAATQBvAG4AdABoAEUAbgBkAHMALAAgACAAIAAgACAAIABEAEEAWQAoACAARQBPAE0ATwBOAFQASAAoACAAQwB2AHQARABhAHQAZQBzACwAIAAwACkAKQAsAFwAbgAgACAAIAAgACAAIAAgACAAUwBhAG0AZQBEAGEAeQAsACAAIAAgACAAIAAgACAAIABEAEEAWQAoACAAQwB2AHQARABhAHQAZQBzACkAIAA9ACAASQBGACgAIABEAEEAWQAoACAAQwB2AHQARgBpAHIAcwB0AHMAKQAgAD4AIABNAG8AbgB0AGgARQBuAGQAcwAsACAATQBvAG4AdABoAEUAbgBkAHMALAAgAEQAQQBZACgAIABDAHYAdABGAGkAcgBzAHQAcwApACkALABcAG4AIAAgACAAIAAgACAAIAAgAFMAYQBtAGUATQBvAG4AdABoACwAIAAgACAAIAAgACAATQBPAE4AVABIACgAIABDAHYAdABEAGEAdABlAHMAKQAgAD0AIABNAE8ATgBUAEgAKAAgAEMAdgB0AEYAaQByAHMAdABzACkALABcAG4AIAAgACAAIAAgACAAIAAgAFQAZQBzAHQALAAgACAAIAAgACAAIAAgACAAIAAgACAAKAAgAEMAdgB0AEYAaQByAHMAdABzACAAPAA9ACAAQwB2AHQARABhAHQAZQBzACkAIAAqACAAXABuACAAIAAgACAAIAAgACAAIAAgACAAIAAgACAAIAAgACAAIAAgACAAIAAgACAAIAAgAEkARgAoAFQAUgBJAE0AKAAgAEMAdgB0AEwAYQBzAHQAcwApACAAPQAgAFwAIgBcACIALAAgADEALAAgAEMAdgB0AEQAYQB0AGUAcwAgADwAPQAgAEMAdgB0AEwAYQBzAHQAcwApACAAKgBcAG4AIAAgACAAIAAgACAAIAAgACAAIAAgACAAIAAgACAAIAAgACAAIAAgACAAIAAgACAAUwBXAEkAVABDAEgAKABcAG4AIAAgACAAIAAgACAAIAAgACAAIAAgACAAIAAgACAAIAAgACAAIAAgACAAIAAgACAAIAAgACAAIABSAGUAcABlAGEAdABzACwAXABuACAAIAAgACAAIAAgACAAIAAgACAAIAAgACAAIAAgACAAIAAgACAAIAAgACAAIAAgACAAIAAgACAAXAAiAE8AXAAiACwAIAAgACAAIABDAHYAdABEAGEAdABlAHMAIAA9ACAAQwB2AHQARgBpAHIAcwB0AHMALABcAG4AIAAgACAAIAAgACAAIAAgACAAIAAgACAAIAAgACAAIAAgACAAIAAgACAAIAAgACAAIAAgACAAIABcACIAQQBcACIALAAgACAAIAAgAFMAYQBtAGUARABhAHkAIAAqACAAUwBhAG0AZQBNAG8AbgB0AGgALABcAG4AIAAgACAAIAAgACAAIAAgACAAIAAgACAAIAAgACAAIAAgACAAIAAgACAAIAAgACAAIAAgACAAIABcACIAUwBcACIALAAgACAAIAAgAFMAYQBtAGUARABhAHkAIAAqACAAXABuACAAIAAgACAAIAAgACAAIAAgACAAIAAgACAAIAAgACAAIAAgACAAIAAgACAAIAAgACAAIAAgACAAIAAgACAAIAAgACAAIAAgACAAIAAgACAAKABNAE8ARAAoACAATQBPAE4AVABIACgAIABDAHYAdABEAGEAdABlAHMAKQAsACAAUwBlAG0AaQBBAG4AbgB1AGEAbABsAHkAKQAgAD0AIABNAE8ARAAoACAATQBPAE4AVABIACgAIABDAHYAdABGAGkAcgBzAHQAcwApACwAIABTAGUAbQBpAEEAbgBuAHUAYQBsAGwAeQApACkALABcAG4AIAAgACAAIAAgACAAIAAgACAAIAAgACAAIAAgACAAIAAgACAAIAAgACAAIAAgACAAIAAgACAAIABcACIAUQBcACIALAAgACAAIAAgAFMAYQBtAGUARABhAHkAIAAqAFwAbgAgACAAIAAgACAAIAAgACAAIAAgACAAIAAgACAAIAAgACAAIAAgACAAIAAgACAAIAAgACAAIAAgACAAIAAgACAAIAAgACAAIAAgACAAIAAgACgATQBPAEQAKAAgAE0ATwBOAFQASAAoACAAQwB2AHQARABhAHQAZQBzACkALAAgAFEAdQBhAHIAdABlAHIAbAB5ACkAIAA9ACAATQBPAEQAKAAgAE0ATwBOAFQASAAoACAAQwB2AHQARgBpAHIAcwB0AHMAKQAsACAAUQB1AGEAcgB0AGUAcgBsAHkAKQApACwAXABuACAAIAAgACAAIAAgACAAIAAgACAAIAAgACAAIAAgACAAIAAgACAAIAAgACAAIAAgACAAIAAgACAAXAAiAE0AXAAiACwAIAAgACAAIABTAGEAbQBlAEQAYQB5ACwAXABuACAAIAAgACAAIAAgACAAIAAgACAAIAAgACAAIAAgACAAIAAgACAAIAAgACAAIAAgACAAIAAgACAAXAAiAEIAXAAiACwAIAAgACAAIABNAE8ARAAoACAAQwB2AHQARABhAHQAZQBzACwAIABCAGkAdwBlAGUAawBsAHkAKQAgAD0AIABNAE8ARAAoACAAQwB2AHQARgBpAHIAcwB0AHMALAAgAEIAaQB3AGUAZQBrAGwAeQApACwAXABuACAAIAAgACAAIAAgACAAIAAgACAAIAAgACAAIAAgACAAIAAgACAAIAAgACAAIAAgACAAIAAgACAAXAAiAFcAXAAiACwAIAAgACAAIABNAE8ARAAoACAAQwB2AHQARABhAHQAZQBzACwAIABXAGUAZQBrAGwAeQApACAAPQAgAE0ATwBEACgAIABDAHYAdABGAGkAcgBzAHQAcwAsACAAVwBlAGUAawBsAHkAKQAsAFwAbgAgACAAIAAgACAAIAAgACAAIAAgACAAIAAgACAAIAAgACAAIAAgACAAIAAgACAAIAAgACAAIAAgAFwAIgBYAFwAIgAsACAAIAAgACAAVwBFAEUASwBEAEEAWQAoACAAQwB2AHQARABhAHQAZQBzACwAIABNAG8AbgAyAFMAdQBuACkAIAA8AD0AIABGAHIAaQBkAGEAeQAsAFwAbgAgACAAIAAgACAAIAAgACAAIAAgACAAIAAgACAAIAAgACAAIAAgACAAIAAgACAAIAAgACAAIAAgAFwAIgBEAFwAIgAsACAAIAAgACAAVABSAFUARQAsAFwAbgAgACAAIAAgACAAIAAgACAAIAAgACAAIAAgACAAIAAgACAAIAAgACAAIAAgACAAIAAgACAAIAAgADAAXABuACAAIAAgACAAIAAgACAAIAAgACAAIAAgACAAIAAgACAAIAAgACAAIAAgACAAIAAgACkALABcAG4AIAAgACAAIAAgACAAIAAgAFIAZQBzAHUAbAB0ACwAIAAgACAAIAAgACAAIAAgACAAVABlAHMAdAAgAD0AIAAxACwAIAAgACAAIAAgACAAIAAgAFwAbgAgACAAIAAgAC8ALwAgACAAUgBlAHQAdQByAG4AIABSAGUAcwB1AGwAdABcAG4AIAAgACAAIAAgACAAIAAgAEMASABPAE8AUwBFACgAIABIAGUAbABwAD8AIAArACAAMQAsACAAUgBlAHMAdQBsAHQALAAgAEgAZQBsAHAAKQBcAG4AIAAgACAAIAApAFwAbgApADsAXABuAFwAbgBcAG4AXABuAFwAbgAvACoAIAAgAEYAVQBOAEMAVABJAE8ATgAgAE4AQQBNAEUAOgAgACAATwB2AGUAcgBMAGEAcABEAGEAeQBzALsDXABuACAAIAAgACAARABFAFMAQwBSAEkAUABUAEkATwBOADoAKgAvAC8AKgAqAFIAZQB0AHUAcgBuACAAaABvAHcAIABtAGEAbgB5ACAAZABhAHkAcwAgAG8AdgBlAHIAbABhAHAAIAB0AHcAbwAgAHAAZQByAGkAbwBkACAAcgBhAG4AZwBlAHMALgAgACoALwBcAG4ATwB2AGUAcgBMAGEAcABEAGEAeQBzALsDIAA9ACAATABBAE0AQgBEAEEAKABcAG4ALwAvACAAIABQAGEAcgBhAG0AZQB0AGUAcgAgAEQAZQBjAGwAYQByAGEAdABpAG8AbgBzAFwAbgAgACAAIAAgAFsAUABlAHIAaQBvAGQAMQBTAHQAYQByAHQAXQAsAFwAbgAgACAAIAAgAFsAUABlAHIAaQBvAGQAMQBFAG4AZABdACwAXABuACAAIAAgACAAWwBQAGUAcgBpAG8AZAAyAFMAdABhAHIAdABdACwAXABuACAAIAAgACAAWwBQAGUAcgBpAG8AZAAyAEUAbgBk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U8AdgBlAHIATABhAHAARABhAHkAcwC7AygAUABlAHIAaQBvAGQAMQBTAHQAYQByAHQALAAgAFAAZQByAGkAbwBkADEARQBuAGQALAAgAFAAZQByAGkAbwBkADIAUwB0AGEAcgB0ACwAIABQAGUAcgBpAG8AZAAyAEUAbgBkACkAtgBcACIAIAAmAFwAbgAgACAAIAAgACAAIAAgACAAIAAgACAAIAAgACAAIAAgACAAIAAgACAAIAAgACAAIABcACIARABFAFMAQwBSAEkAUABUAEkATwBOADoAIAAgACAAkiFDAG8AdQBuAHQAIABkAGEAeQBzACAAcwBoAGEAcgBlAGQAIABiAGUAdAB3AGUAZQBuACAAdAB3AG8AIABzAGUAdABzACAAbwBmACAAcABlAHIAaQBvAGQ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AAZQByAGkAbwBkADEAUwB0AGEAcgB0ACAAIAAgAJIhKABSAGUAcQB1AGkAcgBlAGQAKQAgAEYAaQByAHMAdAAgAHAAZQByAGkAbwBkACcAcwAgAHMAdABhAHIAdAAgAGQAYQB0AGUALgC2AFwAIgAgACYAIABcAG4AIAAgACAAIAAgACAAIAAgACAAIAAgACAAIAAgACAAIAAgACAAIAAgACAAIAAgACAAXAAiAFAAZQByAGkAbwBkADEARQBuAGQAIAAgACAAIAAgAJIhKABSAGUAcQB1AGkAcgBlAGQAKQAgAEYAaQByAHMAdAAgAHAAZQByAGkAbwBkACcAcwAgAGUAbgBkACAAZABhAHQAZQAuALYAXAAiACAAJgAgAFwAbgAgACAAIAAgACAAIAAgACAAIAAgACAAIAAgACAAIAAgACAAIAAgACAAIAAgACAAIABcACIAUABlAHIAaQBvAGQAMgBTAHQAYQByAHQAIAAgACAAkiEoAFIAZQBxAHUAaQByAGUAZAApACAAUwBlAGMAbwBuAGQAIABwAGUAcgBpAG8AZAAnAHMAIABzAHQAYQByAHQAIABkAGEAdABlAC4AtgBcACIAIAAmACAAXABuACAAIAAgACAAIAAgACAAIAAgACAAIAAgACAAIAAgACAAIAAgACAAIAAgACAAIAAgAFwAIgBQAGUAcgBpAG8AZAAyAEUAbgBkACAAIAAgACAAIACSISgAUgBlAHEAdQBpAHIAZQBkACkAIABTAGUAYwBvAG4AZAAgAHAAZQByAGkAbwBkACcAcwAgAGUAbgBkACAAZABhAHQAZ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UAIAAgACAAIAAgACAAIAAgACAAIAAgACAAIAAgAJIhPQBvAHoALgBPAHYAZQByAEwAYQBwAEQAYQB5AHMAuwMoADAAOAAsACAAMQA0ACwAIAAxADAALAAgADEANwApALYAXAAiACAAJgAgAFwAbgAgACAAIAAgACAAIAAgACAAIAAgACAAIAAgACAAIAAgACAAIAAgACAAIAAgACAAIABcACIAOAAgACAAIAAgACAAIAAgACAAIAAgACAAIAAgACAAkiE9AG8AegAuAE8AdgBlAHIATABhAHAARABhAHkAcwC7AygAMQAwACwAIAAyADAALAAgADEAMQAsACAAMQA4ACkAtgBcACIAIAAmACAAXABuACAAIAAgACAAIAAgACAAIAAgACAAIAAgACAAIAAgACAAIAAgACAAIAAgACAAIAAgAFwAIgAyACAAIAAgACAAIAAgACAAIAAgACAAIAAgACAAIACSIT0AbwB6AC4ATwB2AGUAcgBMAGEAcABEAGEAeQBzALsDKABcACIAXAAiADEANwAvADcALwAyADAAMgA2AFwAIgBcACIALAAgAFwAIgBcACIAMgA1AC8ANwAvADIAMAAyADYAXAAiAFwAIgAsACAAXAAiAFwAIgA3AC8ANwAvADIAMAAyADYAXAAiAFwAIgAsACAAXAAiAFwAIgAxADgALwA3AC8AMgAwADIANg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EMAdgB0AFAAMgBFAG4AZAAgADwAPQAgAEMAdgB0AFAAMQBFAG4AZAAsACAAQwB2AHQAUAAyAEUAbgBkACwAIABDAHYAdABQADEARQBuAGQAKQAsAFwAbgAgACAAIAAgACAAIAAgACAATQBhAHgATwBmAFMAdABhAHIAdAAsACAASQBGACgAQwB2AHQAUAAyAFMAdABhAHIAdAAgAD4APQAgAEMAdgB0AFAAMQBTAHQAYQByAHQALAAgAEMAdgB0AFAAMgBTAHQAYQByAHQALAAgAEMAdgB0AFAAMQBTAHQAYQByAHQAKQAsAFwAbgAgACAAIAAgACAAIAAgACAARABhAHkAcwAsACAAIAAgACAAIAAgACAATQBpAG4ATwBmAEUAbgBkACAALQAgAE0AYQB4AE8AZgBTAHQAYQByAHQAIAArACAAMQAsAFwAbgAgACAAIAAgACAAIAAgACAAUgBlAHMAdQBsAHQALAAgACAAIAAgACAASQBGACgARABhAHkAcwAgAD4AIAAwACwAIABEAGEAeQBzACwAIAAw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TABhAGIAZQBsALsDXABuACAAIAAgACAARABFAFMAQwBSAEkAUABUAEkATwBOADoAKgAvAC8AKgAqAEMAcgBlAGEAdABlAHMAIABhACAAbABhAGIAZQBsACAAZgBvAHIAIABhACAAZABhAHQAZQAgAGIAYQBzAGUAZAAgAG8AbgAgAHAAZQByAGkAbwBkACAAaQBuAHQAZQByAHYAYQBsACoALwBcAG4AUABlAHIAaQBvAGQATABhAGIAZQBsALsDIAA9ACAATABBAE0AQgBEAEEAKABcAG4ALwAvACAAIABQAGEAcgBhAG0AZQB0AGUAcgAgAEQAZQBjAGwAYQByAGEAdABpAG8AbgBzAFwAbgAgACAAIAAgAFsARABhAHQAZQBdACwAXABuACAAIAAgACAAWwBJAG4AdABlAHIAdgBhAGwAXQAsAFwAbgAgACAAIAAgAEwARQBUACgAXABuAC8ALwAgACAASABlAGwAcABcAG4AIAAgACAAIAAgACAAIAAgAEgAZQBsAHAALAAgACAAIAAgACAAIAAgAFQAUgBJAE0AKABUAEUAWABUAFMAUABMAEkAVAAoACAAXABuACAAIAAgACAAIAAgACAAIAAgACAAIAAgACAAIAAgACAAIAAgACAAIAAgACAAIAAgAFwAIgBGAFUATgBDAFQASQBPAE4AOgAgACAAIAAgACAAIACSIVAAZQByAGkAbwBkAEwAYQBiAGUAbAC7AygARABhAHQAZQAsACAAWwBJAG4AdABlAHIAdgBhAGwAXQApALYAXAAiACAAJgBcAG4AIAAgACAAIAAgACAAIAAgACAAIAAgACAAIAAgACAAIAAgACAAIAAgACAAIAAgACAAXAAiAEQARQBTAEMAUgBJAFAAVABJAE8ATgA6ACAAIAAgAJIhQwByAGUAYQB0AGUAcwAgAGEAIABsAGEAYgBlAGwAIABmAG8AcgAgAGEAIABkAGEAdABlACAAYgBhAHMAZQBkACAAbwBuACAAcABlAHIAaQBvAGQAIABpAG4AdABlAHIAdgBhAGw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EAGEAdABlACAAIAAgACAAIAAgACAAIAAgACAAIACSISgAUgBlAHEAdQBpAHIAZQBkACkAIABBACAAcwBpAG4AZwBsAGUAIABkAGEAdABlACAAbwByACAAYQByAHIAYQB5ACAAbwBmACAAZABhAHQAZQAoAHMAKQAgAHcAaABlAHIAZQAgAHQAaABlACAAZgBpAHIAcwB0ACAAZABhAHQAZQAgAGkAcwAgAHQAaABlACAAZgBpAHIAcwB0ACAAZABhAHQAZQAgAG8AZgAgAGEAIABjAGEAbABlAG4AZABhAHIAIAB5AGUAYQByAC4AtgBcACIAIAAmACAAXABuACAAIAAgACAAIAAgACAAIAAgACAAIAAgACAAIAAgACAAIAAgACAAIAAgACAAIAAgAFwAIgBJAG4AdABlAHIAdgBhAGwAIAAgACAAIAAgACAAIACSISgATwBwAHQAaQBvAG4AYQBsACkAIABNAHUAcwB0ACAAYgBlACAAbwBuAGUAIABvAGYAOgAgALYAXAAiACAAJgAgAFwAbgAgACAAIAAgACAAIAAgACAAIAAgACAAIAAgACAAIAAgACAAIAAgACAAIAAgACAAIAAgACAAIAAgACAAIAAgACAAIAAgACAAIAAgACAAIABcACIAkiFEAD0ARABhAGkAbAB5ALYAXAAiACAAJgAgAFwAbgAgACAAIAAgACAAIAAgACAAIAAgACAAIAAgACAAIAAgACAAIAAgACAAIAAgACAAIAAgACAAIAAgACAAIAAgACAAIAAgACAAIAAgACAAIABcACIAkiFXAD0AVwBlAGUAawBsAHkAtgBcACIAIAAmACAAXABuACAAIAAgACAAIAAgACAAIAAgACAAIAAgACAAIAAgACAAIAAgACAAIAAgACAAIAAgACAAIAAgACAAIAAgACAAIAAgACAAIAAgACAAIAAgAFwAIgCSIUkAPQBXAGUAZQBrAGwAeQAgACgAdQBzAGkAbgBnACAASQBTAE8AIAB3AGUAZQBrACAAbgB1AG0AYgBlAHIAKQC2AFwAIgAgACYAIABcAG4AIAAgACAAIAAgACAAIAAgACAAIAAgACAAIAAgACAAIAAgACAAIAAgACAAIAAgACAAIAAgACAAIAAgACAAIAAgACAAIAAgACAAIAAgACAAXAAiAJIhTQA9AE0AbwBuAHQAaABsAHkAtgBcACIAIAAmACAAXABuACAAIAAgACAAIAAgACAAIAAgACAAIAAgACAAIAAgACAAIAAgACAAIAAgACAAIAAgACAAIAAgACAAIAAgACAAIAAgACAAIAAgACAAIAAgAFwAIgCSIVEAPQBRAHUAYQByAHQAZQByAGwAeQC2AFwAIgAgACYAIABcAG4AIAAgACAAIAAgACAAIAAgACAAIAAgACAAIAAgACAAIAAgACAAIAAgACAAIAAgACAAIAAgACAAIAAgACAAIAAgACAAIAAgACAAIAAgACAAXAAiAJIhUwA9AFMAZQBtAGkALQBBAG4AbgB1AGEAbABsAHkAtgBcACIAIAAmACAAXABuACAAIAAgACAAIAAgACAAIAAgACAAIAAgACAAIAAgACAAIAAgACAAIAAgACAAIAAgACAAIAAgACAAIAAgACAAIAAgACAAIAAgACAAIAAgAFwAIgCSIUEAIABvAHIAIABZAD0AQQBuAG4AdQBhAGwAbAB5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IAMAAyADYALQBBAHUAZwAtADIANgAgACAAIAAgAJIhPQBvAHoALgBQAGUAcgBpAG8AZABMAGEAYgBlAGwAuwMoAEQAQQBUAEUAVgBBAEwAVQBFACgAXAAiAFwAIgAyADYALwA4AC8AMgAwADIANgBcACIAXAAiACkALAAgAFwAIgBcACIARABcACIAXAAiACkAtgBcACIAIAAmAFwAbgAgACAAIAAgACAAIAAgACAAIAAgACAAIAAgACAAIAAgACAAIAAgACAAIAAgACAAIABcACIAMgAwADIANgAtAEEAdQBnACAAIAAgACAAIAAgACAAkiE9AG8AegAuAFAAZQByAGkAbwBkAEwAYQBiAGUAbAC7AygARABBAFQARQBWAEEATABVAEUAKABcACIAXAAiADIANgAvADgALwAyADAAMgA2AFwAIgBcACIAKQAsACAAXAAiAFwAIgBNAFwAIgBcACIAKQC2AFwAIgAgACYAIABcAG4AIAAgACAAIAAgACAAIAAgACAAIAAgACAAIAAgACAAIAAgACAAIAAgACAAIAAgACAAXAAiADIAMAAyADYAOgBRADMAIAAgACAAIAAgACAAIACSIT0AbwB6AC4AUABlAHIAaQBvAGQATABhAGIAZQBsALsDKABEAEEAVABFAFYAQQBMAFUARQAoAFwAIgBcACIAMgA2AC8AOAAvADIAMAAyADYAXAAiAFwAIgApACwAIABcACIAXAAiAFEAXAAiAFwAIgApALYAXAAiACAAJgAgAFwAbgAgACAAIAAgACAAIAAgACAAIAAgACAAIAAgACAAIAAgACAAIAAgACAAIAAgACAAIABcACIAMgAwADIANgAgACAAIAAgACAAIAAgACAAIAAgACAAkiE9AG8AegAuAFAAZQByAGkAbwBkAEwAYQBiAGUAbAC7AygARABBAFQARQBWAEEATABVAEUAKABcACIAXAAiADIANgAvADgALwAyADAAMgA2AFwAIgBcACIAKQAsACAAXAAiAFwAIgBZ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QAYQB0AGU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EAGEAdABlACwAIAAgACAAIAAgACAAIAAgAEkARgAoACAASQBTAE8ATQBJAFQAVABFAEQAKAAgAEQAYQB0AGUAKQAsACAAXABuACAAIAAgACAAIAAgACAAIAAgACAAIAAgACAAIAAgACAAIAAgACAAIAAgACAAIAAgACAAIAAgACAARgBBAEwAUwBFACwAXABuACAAIAAgACAAIAAgACAAIAAgACAAIAAgACAAIAAgACAAIAAgACAAIAAgACAAIAAgACAAIAAgACAASQBGACgAIABJAFMATgBVAE0AQgBFAFIAKAAgAEQAYQB0AGUAKQAsACAARABhAHQAZQAsACAARABBAFQARQBWAEEATABVAEUAKAAgAEQAYQB0AGUAKQApAFwAbgAgACAAIAAgACAAIAAgACAAIAAgACAAIAAgACAAIAAgACAAIAAgACAAIAAgACAAIAApACwAXABuACAAIAAgACAAIAAgACAAIABJAG4AdABlAHIAdgBhAGwALAAgACAAIAAgACAAIAAgACAAIABJAEYAKAAgAEkAUwBPAE0ASQBUAFQARQBEACgAIABJAG4AdABlAHIAdgBhAGwAKQAsACAAXAAiAE0AXAAiACwAIABJAG4AdABlAHIAdgBhAGwAKQAsAFwAbgAgACAAIAAgAC8ALwAgACAAUAByAG8AYwBlAGQAdQByAGUAXABuACAAIAAgACAAIAAgACAAIABSAGUAcwB1AGwAdAAsACAAIAAgACAAIABTAFcASQBUAEMASAAoAEkAbgB0AGUAcgB2AGEAbAAsAFwAbgAgACAAIAAgACAAIAAgACAAIAAgACAAIAAgACAAIAAgACAAIAAgACAAIAAgACAAIABcACIARABcACIALAAgAFQARQBYAFQAKABDAHYAdABEAGEAdABlACwAIABcACIAeQB5AHkAeQAtAG0AbQBtAC0AZABkAFwAIgApACwAXABuACAAIAAgACAAIAAgACAAIAAgACAAIAAgACAAIAAgACAAIAAgACAAIAAgACAAIAAgAFwAIgBXAFwAIgAsACAAWQBFAEEAUgAoAEMAdgB0AEQAYQB0AGUAKQAgACYAIABcACIAOgBXAFwAIgAgACYAIABUAEUAWABUACgAUQBVAE8AVABJAEUATgBUACgAQwB2AHQARABhAHQAZQAgAC0AIABEAEEAVABFACgAWQBFAEEAUgAoAEMAdgB0AEQAYQB0AGUAKQAsACAAMQAsACAAMAApACAALQAgADEALAAgADcAKQAgACsAIAAxACwAIABcACIAMAAwAFwAIgApACwAXABuACAAIAAgACAAIAAgACAAIAAgACAAIAAgACAAIAAgACAAIAAgACAAIAAvAC8AIAAgAFQAaABlACAASQBTAE8AIAB5AGUAYQByACAAaQBzACAAdABoAGUAIAB5AGUAYQByACAAbwBmACAAdABoAGUAIAB3AGUAZQBrACcAcwAgAFQAaAB1AHIAcwBkAGEAeQAsACAAbgBvAHQAIAB0AGgAZQAgAGMAYQBsAGUAbgBkAGEAcgAgAHkAZQBhAHIAXABuACAAIAAgACAAIAAgACAAIAAgACAAIAAgACAAIAAgACAAIAAgACAAIAAgACAAIAAgAFwAIgBJAFwAIgAsACAAWQBFAEEAUgAoAEMAdgB0AEQAYQB0AGUAIAArACAANAAgAC0AIABXAEUARQBLAEQAQQBZACgAQwB2AHQARABhAHQAZQAsACAAMgApACkAIAAmACAAXAAiADoAVwBcACIAIAAmACAAVABFAFgAVAAoAEkAUwBPAFcARQBFAEsATgBVAE0AKABDAHYAdABEAGEAdABlACkALAAgAFwAIgAwADAAXAAiACkALABcAG4AIAAgACAAIAAgACAAIAAgACAAIAAgACAAIAAgACAAIAAgACAAIAAgACAAIAAgACAAXAAiAE0AXAAiACwAIABUAEUAWABUACgAQwB2AHQARABhAHQAZQAsACAAXAAiAFkAWQBZAFkALQBNAE0ATQBcACIAKQAsAFwAbgAgACAAIAAgACAAIAAgACAAIAAgACAAIAAgACAAIAAgACAAIAAgACAAIAAgACAAIABcACIAUQBcACIALAAgAFkARQBBAFIAKABDAHYAdABEAGEAdABlACkAIAAmACAAXAAiADoAUQBcACIAIAAmACAAUQBVAE8AVABJAEUATgBUACgATQBPAE4AVABIACgAQwB2AHQARABhAHQAZQApACAALQAgADEALAAgADMAKQAgACsAIAAxACwAXABuACAAIAAgACAAIAAgACAAIAAgACAAIAAgACAAIAAgACAAIAAgACAAIAAgACAAIAAgAFwAIgBTAFwAIgAsACAAWQBFAEEAUgAoAEMAdgB0AEQAYQB0AGUAKQAgACYAIABcACIAOgBTAFwAIgAgACYAIABRAFUATwBUAEkARQBOAFQAKABNAE8ATgBUAEgAKABDAHYAdABEAGEAdABlACkAIAAtACAAMQAsACAANgApACAAKwAgADEALABcAG4AIAAgACAAIAAgACAAIAAgACAAIAAgACAAIAAgACAAIAAgACAAIAAgACAAIAAgACAAXAAiAEEAXAAiACwAIABUAEUAWABUACgAQwB2AHQARABhAHQAZQAsACAAXAAiAFkAWQBZAFkAXAAiACkALABcAG4AIAAgACAAIAAgACAAIAAgACAAIAAgACAAIAAgACAAIAAgACAAIAAgACAAIAAgACAAXAAiAFkAXAAiACwAIABUAEUAWABUACgAQwB2AHQ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FMAdABhAHIAdABzACAAdABvACAARQBuAGQAcwAgAGkAbgBjAGwAdQBzAGkAdgBlAC4AtgBcACIAIAAmAFwAbgAgACAAIAAgACAAIAAgACAAIAAgACAAIAAgACAAIAAgACAAIAAgACAAIAAgACAAIAAgACAAIAAgACAAIAAgACAAIAAgACAAIAAgACAAIABcACIAkiFEAGkAZgBmAGUAcgBlAG4AYwBlAHMAIAB0AG8AIABFAHgAYwBlAGwAJwBzACAARABBAFQARQBEAEkAR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UwB0AGEAcgB0AHMAIABpAHMAIABhAGYAdABlAHIAIABFAG4AZABz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QQAgAHMAaQBuAGcAbABlACAAZABhAHQAZQAgAG8AcgAgAGEAbgAgAGEAcgByAGEAeQAgAG8AZgAgAGQAYQB0AGUAcwAuALYAXAAiACAAJgBcAG4AIAAgACAAIAAgACAAIAAgACAAIAAgACAAIAAgACAAIAAgACAAIAAgACAAIAAgACAAXAAiAEUAbgBkAHMAIAAgACAAIAAgACAAIAAgACAAIAAgAJIhKABSAGUAcQB1AGkAcgBlAGQAKQAgAFMAZQBjAG8AbgBkACAAZABhAHQAZQAgACgAbgBvAHIAbQBhAGwAbAB5ACAAbgBlAHcAZQByACkALgAgAEEAIABzAGkAbgBnAGwAZQAgAGQAYQB0AGUAIABvAHIAIABhAG4AIABhAHIAcgBhAHkAIAB0AGgAZQAgAHMAYQBtAGUAIABzAGgAYQBwAGUAIABhAHMAIABTAHQAYQByAHQAcwAuALYAXAAiACAAJgBcAG4AIAAgACAAIAAgACAAIAAgACAAIAAgACAAIAAgACAAIAAgACAAIAAgACAAIAAgACAAIAAgACAAIAAgACAAIAAgACAAIAAgACAAIAAgACAAXAAiAJIhQQAgAHMAaQBuAGcAbABlACAAUwB0AGEAcgB0AHMAIABvAHIAIABFAG4AZABzACAAaQBzACAAYQBwAHAAbABpAGUAZAAgAHQAbwAgAGUAdgBlAHIAeQAgAGQAYQB0AGUAIABpAG4AIAB0AGgAZQAgAG8AdABoAGUAcg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AuALYAXAAiACAAJgBcAG4AIAAgACAAIAAgACAAIAAgACAAIAAgACAAIAAgACAAIAAgACAAIAAgACAAIAAgACAAIAAgACAAIAAgACAAIAAgACAAIAAgACAAIAAgACAAXAAiAJIhTwBuAGUAIABjAG8AZABlACwAIABvAHIAIABhAG4AIABhAHIAcgBhAHkAIABvAGYAIABjAG8AZABlAHMAIAB0AGgAZQAgAHMAYQBtAGUAIABzAGgAYQBwAGUAIABhAHMAIAB0AGgAZQAgAGQAYQB0AGUAcwAu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CSIT0AbwB6AC4AUABlAHIAaQBvAGQAcwC7AygAXAAiAFwAIgAzADEALwA3AC8AMgAwADIANgBcACIAXAAiACwAIABcACIAXAAiADEANQAvADkALwAyADAAMgA2AFwAIgBcACIAKQC2AFwAIgAgACYAXABuACAAIAAgACAAIAAgACAAIAAgACAAIAAgACAAIAAgACAAIAAgACAAIAAgACAAIAAgAFwAIgAtADIAIAAgACAAIAAgACAAIAAgACAAIAAgACAAIACSIT0AbwB6AC4AUABlAHIAaQBvAGQAcwC7AygAXAAiAFwAIgAxADUALwA5AC8AMgAwADIANgBcACIAXAAiACwAIABcACIAXAAiADMAMQAvADcALwAyADAAMgA2AFwAIgBcACIAKQC2AFwAIgAgACYAXABuACAAIAAgACAAIAAgACAAIAAgACAAIAAgACAAIAAgACAAIAAgACAAIAAgACAAIAAgAFwAIgAtADEAMgAgACAAIAAgACAAIAAgACAAIAAgACAAIACSIT0AbwB6AC4AUABlAHIAaQBvAGQAcwC7AygAXAAiAFwAIgAxADUALwA3AC8AMgAwADIANwBcACIAXAAiACwAIABcACIAXAAiADEANgAvADcALwAyADAAMgA2AFwAIgBcACIAKQC2AFwAIgAgACYAXABuACAAIAAgACAAIAAgACAAIAAgACAAIAAgACAAIAAgACAAIAAgACAAIAAgACAAIAAgAFwAIgAtADUAMgAgACAAIAAgACAAIAAgACAAIAAgACAAIACSIT0AbwB6AC4AUABlAHIAaQBvAGQAcwC7AygAXAAiAFwAIgAxADUALwA3AC8AMgAwADIANwBcACIAXAAiACwAIABcACIAXAAiADEANgAvADcALwAyADAAMgA2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IAAtACAAZQB2AGUAcgB5ACAAcwB0AGUAcAAgAGwAaQBmAHQAcwAgAG8AdgBlAHIAIABhAHIAcgBhAHkAcwAsACAAcwBvACAAYQAgAHMAaQBuAGcAbABlACAAZABhAHQAZQAgAG8AcgAgAGMAbwBkAGUAIABhAHAAcABsAGkAZQBzACAAdABvACAAYQBsAGwAXABuACAAIAAgACAAIAAgACAAIABFAGEAcgBsAGkAZQBzAHQALAAgACAAIABJAEYAKAAgAEMAdgB0AFMAdABhAHIAdABzACAAPAA9ACAAQwB2AHQARQBuAGQAcwAsACAAQwB2AHQAUwB0AGEAcgB0AHMALAAgAEMAdgB0AEUAbgBkAHMAKQAsAFwAbgAgACAAIAAgACAAIAAgACAATABhAHQAZQBzAHQALAAgACAAIAAgACAASQBGACgAIABDAHYAdABTAHQAYQByAHQAcwAgADwAPQAgAEMAdgB0AEUAbgBkAHMALAAgAEMAdgB0AEUAbgBkAHMALAAgAEMAdgB0AFMAdABhAHIAdABzACkALABcAG4AIAAgACAAIAAgACAAIAAgAFMAaQBnAG4ALAAgACAAIAAgACAAIAAgAFMASQBHAE4AKAAgAEMAdgB0AEUAbgBkAHMAIAAtACAAQwB2AHQAUwB0AGEAcgB0AHMAKQAsAFwAbgAgACAAIAAgACAAIAAgACAAWQBlAGEAcgBzACwAIAAgACAAIAAgACAAWQBFAEEAUgAoACAATABhAHQAZQBzAHQAKQAgAC0AIABZAEUAQQBSACgAIABFAGEAcgBsAGkAZQBzAHQAKQAsAFwAbgAgACAAIAAgACAAIAAgACAAUABlAHIAaQBvAGQAcwAsACAAIAAgACAAKAAgAEkAbgB0AGUAcgB2AGEAbABzACAAPQAgAFwAIgBEAFwAIgApACAAKgAgACgAIABMAGEAdABlAHMAdAAgAC0AIABFAGEAcgBsAGkAZQBzAHQAKQBcAG4AIAAgACAAIAAgACAAIAAgACAAIAAgACAAIAAgACAAIAAgACAAKwAgACgAIABJAG4AdABlAHIAdgBhAGwAcwAgAD0AIABcACIAVwBcACIAKQAgACoAIAAoACAAVwBQAFkAIAAqACAAWQBlAGEAcgBzAFwAbgAgACAAIAAgACAAIAAgACAAIAAgACAAIAAgACAAIAAgACAAIAAgACAAIAAgACAAIAAgACAAIAAgACAAIAAgACAAIAAgACAAIAAgACAAIAAgACAAIAAgACsAIABRAFUATwBUAEkARQBOAFQAKAAgAEwAYQB0AGUAcwB0ACAAIAAgAC0AIABEAEEAVABFACgAIABZAEUAQQBSACgAIABMAGEAdABlAHMAdAApACwAIAAgACAAMQAsACAAMAApACAALQAgADEALAAgAEQAUABXACkAXABuACAAIAAgACAAIAAgACAAIAAgACAAIAAgACAAIAAgACAAIAAgACAAIAAgACAAIAAgACAAIAAgACAAIAAgACAAIAAgACAAIAAgACAAIAAgACAAIAAgACAALQAgAFEAVQBPAFQASQBFAE4AVAAoACAARQBhAHIAbABpAGUAcwB0ACAALQAgAEQAQQBUAEUAKAAgAFkARQBBAFIAKAAgAEUAYQByAGwAaQBlAHMAdAApACwAIAAxACwAIAAwACkAIAAtACAAMQAsACAARABQAFcAKQApAFwAbgAgACAAIAAgACAAIAAgACAAIAAgACAAIAAgACAAIAAgACAAIAArACAAKAAgAEkAbgB0AGUAcgB2AGEAbABzACAAPQAgAFwAIgBNAFwAIgApACAAKgAgACgAIABNAFAAWQAgACoAIABZAGUAYQByAHMAIAArACAATQBPAE4AVABIACgAIABMAGEAdABlAHMAdAApACAALQAgAE0ATwBOAFQASAAoACAARQBhAHIAbABpAGUAcwB0ACkAKQBcAG4AIAAgACAAIAAgACAAIAAgACAAIAAgACAAIAAgACAAIAAgACAAKwAgACgAIABJAG4AdABlAHIAdgBhAGwAcwAgAD0AIABcACIAUQBcACIAKQAgACoAIAAoACAAUQBQAFkAIAAqACAAWQBlAGEAcgBzAFwAbgAgACAAIAAgACAAIAAgACAAIAAgACAAIAAgACAAIAAgACAAIAAgACAAIAAgACAAIAAgACAAIAAgACAAIAAgACAAIAAgACAAIAAgACAAIAAgACAAIAAgACsAIABRAFUATwBUAEkARQBOAFQAKAAgAE0ATwBOAFQASAAoACAATABhAHQAZQBzAHQAKQAgACAAIAAtACAAMQAsACAATQBQAFEAKQBcAG4AIAAgACAAIAAgACAAIAAgACAAIAAgACAAIAAgACAAIAAgACAAIAAgACAAIAAgACAAIAAgACAAIAAgACAAIAAgACAAIAAgACAAIAAgACAAIAAgACAAIAAtACAAUQBVAE8AVABJAEUATgBUACgAIABNAE8ATgBUAEgAKAAgAEUAYQByAGwAaQBlAHMAdAApACAALQAgADEALAAgAE0AUABRACkAKQBcAG4AIAAgACAAIAAgACAAIAAgACAAIAAgACAAIAAgACAAIAAgACAAKwAgACgAIABJAG4AdABlAHIAdgBhAGwAcwAgAD0AIABcACIAWQBcACIAKQAgACoAIABZAGUAYQByAHMALABcAG4AIAAgACAAIAAvAC8AIAAgAEEAbgAgAHUAbgBrAG4AbwB3AG4AIABpAG4AdABlAHIAdgBhAGwAIABjAG8AZABlACAAaQBzACAAYQBuACAAZQByAHIAbwByACwAIABuAG8AdAAgAGEAIABuAG8AdQBnAGgAdABcAG4AIAAgACAAIAAgACAAIAAgAEsAbgBvAHcAbgAsACAAIAAgACAAIAAgAEkARgAoACAASQBTAE4AVQBNAEIARQBSACgAIABYAE0AQQBUAEMASAAoACAASQBuAHQAZQByAHYAYQBsAHMALAAgAHsAXAAiAEQAXAAiACwAXAAiAFcAXAAiACwAXAAiAE0AXAAiACwAXAAiAFEAXAAiACwAXAAiAFkAXAAiAH0ALAAgADAAKQApACwAIAAxACwAIAAjAE4ALwBBACkALABcAG4AIAAgACAAIAAgACAAIAAgAFIAZQBzAHUAbAB0ACwAIAAgACAAIAAgAFMAaQBnAG4AIAAqACAAUABlAHIAaQBvAGQAcwAgACoAIABLAG4AbwB3AG4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IAYQB0AGUAcwC7A1wAbgAgACAAIAAgAEQARQBTAEMAUgBJAFAAVABJAE8ATgA6ACoALwAvACoAKgBTAGMAaABlAGQAdQBsAGUAIAByAGEAdABlAHMAIAB0AGgAYQB0ACAAcABlAHIAcwBpAHMAdAAgAHUAbgB0AGkAbAAgAHIAZQBwAGwAYQBjAGUAZAAgAGkAbgAgAGEAIAB0AGkAbQBlAGwAaQBuAGUALgAgACoALwBcAG4AUwBjAGgAZQBkAHUAbABlAFIAYQB0AGUAcwC7AyAAPQAgAEwAQQBNAEIARABBACgAXABuAC8ALwAgACAAUABhAHIAYQBtAGUAdABlAHIAIABEAGUAYwBsAGEAcgBhAHQAaQBvAG4AcwBcAG4AIAAgACAAIABbAFAAZQByAGkAbwBkAEUAbgBkAHMAXQAsAFwAbgAgACAAIAAgAFsAUgBhAHQAZQBTAHQAYQByAHQAcwBdACwAXABuACAAIAAgACAAWwBSAGEAdABlAHM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C7AygAUABlAHIAaQBvAGQARQBuAGQAcwAsACAAUgBhAHQAZQBTAHQAYQByAHQAcwAsACAAUgBhAHQAZQBzACkAtgBcACIAIAAmAFwAbgAgACAAIAAgACAAIAAgACAAIAAgACAAIAAgACAAIAAgACAAIAAgACAAIAAgACAAIABcACIARABFAFMAQwBSAEkAUABUAEkATwBOADoAIAAgACAAkiFTAGMAaABlAGQAdQBsAGUAcwAgAHIAYQB0AGUAcwAgAHQAaABhAHQAIABwAGUAcgBzAGkAcwB0ACAAdQBuAHQAaQBsACAAcgBlAHAAbABhAGMAZQBkACAAaQBuACAAYQAgAHQAaQBtAGUAbABpAG4AZQAgAGYAcgBvAG0AIABhACAAcwBjAGgAZQBkAHUAbABlACAAaQBuACAAYQAgAHQAYQBiAGwAZQAuALYAXAAiACAAJgAgAFwAbgAgACAAIAAgACAAIAAgACAAIAAgACAAIAAgACAAIAAgACAAIAAgACAAIAAgACAAIABcACIATgBPAFQARQAhACAAIAAgACAAIAAgACAAIAAgACAAkiFJAGYAIAAyACAAcgBhAHQAZQBzACAAYQByAGUAIABzAGMAaABlAGQAdQBsAGUAZAAgAHcAaQB0AGgAaQBuACAAdABoAGUAIABzAGEAbQBlACAAcABlAHIAaQBvAGQALAAgAG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FIAYQB0AGUAUwB0AGEAcgB0AHMAIAAgACAAIAAgAJIhKABSAGUAcQB1AGkAcgBlAGQAKQAgAEEAIABjAG8AbAB1AG0AbgAgAG8AcgAgAHIAbwB3ACAAbwBmACAAcgBhAHQAZQAgAGUAZgBmAGUAYwB0AGkAdgBlACAAZABhAHQAZQBzACAAaQBuACAAYQBuAHkAIABvAHIAZABlAHIALgC2AFwAIgAgACYAIABcAG4AIAAgACAAIAAgACAAIAAgACAAIAAgACAAIAAgACAAIAAgACAAIAAgACAAIAAgACAAXAAiAFIAYQB0AGUAcwAgACAAIAAgACAAIAAgACAAIAAgAJIhKABSAGUAcQB1AGkAcgBlAGQAKQAgAEEAIABjAG8AbAB1AG0AbgAgAG8AcgAgAHIAbwB3ACAAbwBmACAAcgBhAHQAZQBzACAAYQBzAHMAbwBjAGkAYQB0AGUAZAAgAHcAaQB0AGgAIABSAGEAdABlAFMAdABhAHIAdABz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XwAsADEAMAAsADIAMAAsADMAMAAsADMAMAAgACAAkiE9AG8AegAuAFMAYwBoAGUAZAB1AGwAZQBSAGEAdABlAHMAuwMoAFQAaQBtAGUAbABpAG4AZQC7AygAXAAiAFwAIgAxAC8ANwAvADIAMAAyADYAXAAiAFwAIgAsADUALABcACIAXAAiAFcAXAAiAFwAIgApACwAewA0ADYAMgAwADgAOwAgADQANgAyADEANgA7ACAANAA2ADIAMgAyAH0ALAAgAHsAMQAwADsAIAAyADAAOwAgADMAMAB9ACkAXAAiACwAIABcAG4AIAAgACAAIAAgACAAIAAgACAAIAAgACAAIAAgACAAIAAgACAAIAAgACAAIAAgACAAXAAiAJIhXAAiACwAIABcACIAtgBcACIAXABuACAAIAAgACAAIAAgACAAIAAgACAAIAAgACAAIAAgACAAIAAgACAAIAAgACAAIAAgACkAXABuACAAIAAgACAAIAAgACAAIAAgACAAIAAgACAAIAAgACAAIAAgACAAIAApACwAIAAgACAAXABuACAAIAAgACAALwAvACAAIABDAGgAZQBjAGsAIABpAG4AcAB1AHQAcwAgAC0AIABPAG0AaQB0AHQAZQBkACAAcgBlAHEAdQBpAHIAZQBkACAAYQByAGcAdQBtAGUAbgB0AHMAXABuACAAIAAgACAAIAAgACAAIABzACwAIAAgACAAIAAgACAAIAAgACAAIAAgACAAIAAgADEALABcAG4AIAAgACAAIAAgACAAIAAgAEgAZQBsAHAAPwAsACAAIAAgACAAIAAgACAAIAAgACAATwBSACgAIABJAFMATwBNAEkAVABUAEUARAAoACAAUABlAHIAaQBvAGQARQBuAGQAcwApACwAXABuACAAIAAgACAAIAAgACAAIAAgACAAIAAgACAAIAAgACAAIAAgACAAIAAgACAAIAAgACAAIAAgACAASQBTAE8ATQBJAFQAVABFAEQAKAAgAFIAYQB0AGUAUwB0AGEAcgB0AHMAKQAsAFwAbgAgACAAIAAgACAAIAAgACAAIAAgACAAIAAgACAAIAAgACAAIAAgACAAIAAgACAAIAAgACAAIAAgAEkAUwBPAE0ASQBUAFQARQBEACgAIABS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FAG4AZABzACwAIAAgACA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TAHQAYQByAHQAcwAsACAAIAAgACAAIAAgAEkARgAoACAASQBTAE8ATQBJAFQAVABFAEQAKAAgAFIAYQB0AGUAUwB0AGEAcgB0AHMAKQAsACAAXABuACAAIAAgACAAIAAgACAAIAAgACAAIAAgACAAIAAgACAAIAAgACAAIAAgACAAIAAgACAAIAAgACAARgBBAEwAUwBFACwAIABcAG4AIAAgACAAIAAgACAAIAAgACAAIAAgACAAIAAgACAAIAAgACAAIAAgACAAIAAgACAAIAAgACAAIABJAEYAKAAgAEkAUwBOAFUATQBCAEUAUgAoACAAUgBhAHQAZQBTAHQAYQByAHQAcwApACwAIABSAGEAdABlAFMAdABhAHIAdABzACwAIABEAEEAVABFAFYAQQBMAFUARQAoACAAUgBhAHQAZQBTAHQAYQByAHQAcwApACkAXABuACAAIAAgACAAIAAgACAAIAAgACAAIAAgACAAIAAgACAAIAAgACAAIAAgACAAIAAgACkALABcAG4AIAAgACAAIAAvAC8AIAAgAFAAcgBvAGMAZQBkAHUAcgBlAFwAbgAgACAAIAAgACAAIAAgACAAUgBlAHMAdQBsAHQALAAgACAAIAAgACAAIAAgACAAIABYAEwATwBPAEsAVQBQACgAQwB2AHQARQBuAGQAcwAsACAAQwB2AHQAUwB0AGEAcgB0AHMALAAgAFIAYQB0AGUAcwAsACAAXAAiAFwAIgAsACAALQAx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EkAdABlAG0ARgBpAGwAdABlAHIAIAAgACAAIAAgAJIhKABSAGUAcQB1AGkAcgBlAGQAKQAgAEEAIABjAG8AbAB1AG0AbgAgAG8AZgAgADEAIABvAHIAIABtAG8AcgBlACAAaQB0AGUAbQBzACAAdABvACAAZgBpAGwAdABlAHIAIABhACAAcgBhAHQAZQAgAHMAYwBoAGUAZAB1AGwAZQAgAGIAeQAuACAAtgBcACIAIAAmAFwAbgAgACAAIAAgACAAIAAgACAAIAAgACAAIAAgACAAIAAgACAAIAAgACAAIAAgACAAIABcACIAIAAgACAAIAAgACAAIAAgACAAIAAgACAAIAAgACAAkiFBACAAJwByAGEAdABlACAAcwBjAGgAZQBkAHUAbABlACcAIABpAHMAIABhACAAdABhAGIAbABlAC8AbABpAHMAdAAgAHcAaABlAHIAZQAgAGUAYQBjAGgAIAByAG8AdwAgAGMAbwBuAHQAYQBpAG4AcwAgAGEAIAB1AG4AaQBxAHUAZQAgAGkAdABlAG0ALwBlAGYAZgBlAGMAdABpAHYAZQAgAGQAYQB0AGUAIABwAGEAaQByACAAdwBpAHQAaAAgAGEAIAByAGEAdABlAC4AtgBcACIAIAAmAFwAbgAgACAAIAAgACAAIAAgACAAIAAgACAAIAAgACAAIAAgACAAIAAgACAAIAAgACAAIAAgACAAIAAgACAAIAAgACAAIAAgACAAIAAgACAAIABcACIAkiFBAG4AIABpAHQAZQBtACAAdwBpAHQAaAAgAG4AbwAgAHIAYQB0AGUAIABpAG4AIAB0AGgAZQAgAHMAYwBoAGUAZAB1AGwAZQAgAHMAYwBvAHIAZQBzACAAbgBvAHUAZwBoAHQAIABpAG4AIABlAHYAZQByAHkAIABwAGUAcgBpAG8AZAAuALYAXAAiACAAJgBcAG4AIAAgACAAIAAgACAAIAAgACAAIAAgACAAIAAgACAAIAAgACAAIAAgACAAIAAgACAAXAAiAEkAdABlAG0ATABpAHMAdAAgACAAIAAgACAAIAAgAJIhKABSAGUAcQB1AGkAcgBlAGQAKQAgAEkAdABlAG0AcwAgAGkAbgAgAGEAIAByAGEAdABlACAAcwBjAGgAZQBkAHUAbABlAC4AtgBcACIAIAAmACAAXABuACAAIAAgACAAIAAgACAAIAAgACAAIAAgACAAIAAgACAAIAAgACAAIAAgACAAIAAgAFwAIgBFAGYAZgBlAGMAdABpAHYAZQBMAGkAcwB0ACAAIACSISgAUgBlAHEAdQBpAHIAZQBkACkAIABFAGYAZgBlAGMAdABpAHYAZQAgAGQAYQB0AGUAcwAgAGkAbgAgAHQAaABlACAAcgBhAHQAZQAgAHMAYwBoAGUAZAB1AGwAZQAuALYAXAAiACAAJgAgAFwAbgAgACAAIAAgACAAIAAgACAAIAAgACAAIAAgACAAIAAgACAAIAAgACAAIAAgACAAIABcACIAUgBhAHQAZQBMAGkAcwB0ACAAIAAgACAAIAAgACAAkiEoAFIAZQBxAHUAaQByAGUAZAApACAAUgBhAHQAZQBzACAAaQBuACAAYQAgAHIAYQB0AGUAIABzAGMAaABlAGQAdQBsAGUAIABmAG8AcgAgAGUAYQBjAGgAIABpAHQAZQBtAC8AZQBmAGYAZQBjAHQAaQB2AGUAIABkAGEAdABlACAAcABhAGkAcg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UgBhAHQAZQBzAEIAeQBJAHQAZQBtAHMAuwMoACAAbwB6AC4AVABpAG0AZQBsAGkAbgBlALsDKAAgAFwAIgBcACIAMQAvADcALwAyADAAMgA2AFwAIgBcACIAKQAsACAAVQBOAEkAUQBVAEUAKAAgAHQAYgBsAFIAYQB0AGUAcwBbAFUAbgBpAHQAXQApACwAtgBcACIAIAAmAFwAbgAgACAAIAAgACAAIAAgACAAIAAgACAAIAAgACAAIAAgACAAIAAgACAAIAAgACAAIAAgACAAIAAgACAAIAAgACAAIAAgACAAIAAgACAAIABcACIAkiF0AGIAbABSAGEAdABlAHMAWwBVAG4AaQB0AF0ALAAgAHQAYgBsAFIAYQB0AGUAcwBbAEUAZgBmAGUAYwB0AGkAdgBlAF0ALAAgAHQAYgBsAFIAYQB0AGUAcwBbAFIAZQBuAHQ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FwAbgAgACAAIAAgAC8ALwAgACAAUAByAG8AYwBlAGQAdQByAGUAIAAtACAAbwBuAGUAIAByAG8AdwAgAHAAZQByACAAaQB0AGUAbQAsACAAZQBhAGMAaAAgAHQAaABlACAAbABhAHQAZQBzAHQAIAByAGEAdABlACAAaQBuACAAZgBvAHIAYwBlACAAYQB0ACAAZQB2AGUAcgB5ACAAcABlAHIAaQBvAGQAIABlAG4AZAAuAFwAbgAgACAAIAAgAC8ALwAgACAAQQBuACAAaQB0AGUAbQAgAHcAaQB0AGgAIABuAG8AIAByAG8AdwBzACAAaQBuACAAdABoAGUAIABzAGMAaABlAGQAdQBsAGUAIABrAGUAZQBwAHMAIABhACAAcABsAGEAYwBlAGgAbwBsAGQAZQByACAAZABhAHQAZQAgAG4AbwAgAHAAZQByAGkAbwBkACAAYwBhAG4AIAByAGUAYQBjAGgALABcAG4AIAAgACAAIAAvAC8AIAAgAHMAbwAgAGkAdAAgAHMAYwBvAHIAZQBzACAAbgBvAHUAZwBoAHQAIAByAGEAdABoAGUAcgAgAHQAaABhAG4AIAAjAEMAQQBMAEMAIQAuAFwAbgAgACAAIAAgACAAIAAgACAASQB0AGUAbQBzACwAIAAgACAAIAAgACAAIAAgACAAIABUAE8AQwBPAEwAKAAgAEkAdABlAG0ARgBpAGwAdABlAHIAKQAsAFwAbgAgACAAIAAgACAAIAAgACAAUgBlAHMAdQBsAHQALAAgACAAIAAgACAAIAAgACAAIABEAFIATwBQACgAIABcAG4AIAAgACAAIAAgACAAIAAgACAAIAAgACAAIAAgACAAIAAgACAAIAAgACAAIAAgACAAIAAgACAAIABSAEUARABVAEMARQAoACAAMAAsACAAUwBFAFEAVQBFAE4AQwBFACgAIABSAE8AVwBTACgAIABJAHQAZQBtAHMAKQApACwAXABuACAAIAAgACAAIAAgACAAIAAgACAAIAAgACAAIAAgACAAIAAgACAAIAAgACAAIAAgACAAIAAgACAAIAAgACAAIABMAEEATQBCAEQAQQAoACAAQQBjAGMALAAgAFIAbwB3ACwAXABuACAAIAAgACAAIAAgACAAIAAgACAAIAAgACAAIAAgACAAIAAgACAAIAAgACAAIAAgACAAIAAgACAAIAAgACAAIAAgACAAIAAgAEwARQBUACgASQB0AGUAbQAsACAAIAAgACAAIAAgACAASQBOAEQARQBYACgAIABJAHQAZQBtAHMALAAgAFIAbwB3ACkALABcAG4AIAAgACAAIAAgACAAIAAgACAAIAAgACAAIAAgACAAIAAgACAAIAAgACAAIAAgACAAIAAgACAAIAAgACAAIAAgACAAIAAgACAAIAAgACAAIABJAHQAZQBtAEQAYQB0AGUAcwAsACAAIABGAEkATABUAEUAUgAoACAAQwB2AHQARQBmAGYARABhAHQAZQBzACwAIABJAHQAZQBtAEwAaQBzAHQAIAA9ACAASQB0AGUAbQAsACAALQAxACkALAAgAFwAbgAgACAAIAAgACAAIAAgACAAIAAgACAAIAAgACAAIAAgACAAIAAgACAAIAAgACAAIAAgACAAIAAgACAAIAAgACAAIAAgACAAIAAgACAAIAAgAEkAdABlAG0AUgBhAHQAZQBzACwAIAAgAEYASQBMAFQARQBSACgAIABSAGEAdABlAEwAaQBzAHQALAAgAEkAdABlAG0ATABpAHMAdAAgAD0AIABJAHQAZQBtACwAIAAwACkALAAgAFwAbgAgACAAIAAgACAAIAAgACAAIAAgACAAIAAgACAAIAAgACAAIAAgACAAIAAgACAAIAAgACAAIAAgACAAIAAgACAAIAAgACAAIAAgACAAIAAgAFYAUwBUAEEAQwBLACgAIABBAGMAYwAsACAAWABMAE8ATwBLAFUAUAAoACAAQwB2AHQAUAByAGQARQBuAGQAcwAsACAASQB0AGUAbQBEAGEAdABlAHMALAAgAEkAdABlAG0AUgBhAHQAZQBzACwAIAAwACwAIAAtADEALAAgAC0AMQAp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LABcAG4AIAAgACAAIAAgACAAIAAgACAAIAAgACAAIAAgACAAIAAgACAAIAAgACAAIAAgACAAIAAgACAAIAAx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C7A1wAbgAgACAAIAAgAEQARQBTAEMAUgBJAFAAVABJAE8ATgA6ACoALwAvACoAKgBTAGMAaABlAGQAdQBsAGUAcwAgAHYAYQBsAHUAZQBzACAAaQBuACAAYQAgAHQAaQBtAGUAbABpAG4AZQAgAGYAcgBvAG0AIABhACAAcwBjAGgAZQBkAHUAbABlACAAaQBuACAAYQAgAHQAYQBiAGwAZQAuACAAKgAvAFwAbgBTAGMAaABlAGQAdQBsAGUAVgBhAGwAdQBlAHMAuwMgAD0AIABMAEEATQBCAEQAQQAoAFwAbgAvAC8AIAAgAFAAYQByAGEAbQBlAHQAZQByACAARABlAGMAbABhAHIAYQB0AGkAbwBuAHMAXABuACAAIAAgACAAWwBQAGUAcgBpAG8AZABTAHQAYQByAHQAcwBdACwAXABuACAAIAAgACAAWwBQAGUAcgBpAG8AZABFAG4AZABzAF0ALABcAG4AIAAgACAAIABbAFYAYQBsAHUAZQBzAF0ALABcAG4AIAAgACAAIABbAEUAZgBmAGUAYwB0AGkAdgBlAEQAYQB0AGU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LsDKABQAGUAcgBpAG8AZABTAHQAYQByAHQAcwAsACAAUABlAHIAaQBvAGQARQBuAGQAcwAsACAAVgBhAGwAdQBlAHMALAAgAEUAZgBmAGUAYwB0AGkAdgBlAEQAYQB0AGUAcwApALYAXAAiACAAJgBcAG4AIAAgACAAIAAgACAAIAAgACAAIAAgACAAIAAgACAAIAAgACAAIAAgACAAIAAgACAAXAAiAEQARQBTAEMAUgBJAFAAVABJAE8ATgA6ACAAIAAgAJIhUABsAGEAYwBlACAAdgBhAGwAdQBlAHMAIABmAHIAbwBtACAAYQAgAHQAYQBiAGwAZQAgAGkAbgB0AG8AIABhACAAdABpAG0AZQBsAGkAbgBlACcAcwAgAGEAcABwAHIAbwBwAHIAaQBhAHQAZQAgAHAAZQByAGkAbwBk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WAGEAbAB1AGUAcwAgACAAIAAgACAAIAAgACAAIACSISgAUgBlAHEAdQBpAHIAZQBkACkAIABBACAAYwBvAGwAdQBtAG4AIABvAHIAIAByAG8AdwAgAG8AZgAgAHYAYQBsAHUAZQBzACAAdABvACAAYgBlACAAcwBjAGgAZQBkAHUAbABlAGQALgC2AFwAIgAgACYAIABcAG4AIAAgACAAIAAgACAAIAAgACAAIAAgACAAIAAgACAAIAAgACAAIAAgACAAIAAgACAAXAAiAEUAZgBmAGUAYwB0AGkAdgBlAEQAYQB0AGUAcwAgAJIhKABSAGUAcQB1AGkAcgBlAGQAKQAgAFcAaABlAG4AIABlAGEAYwBoACAAdgBhAGwAdQBlACAAaQBzACAAcwBjAGgAZQBkAHUAbABlAGQALAAgAGkAbgAgAHQAaABlACAAcwBhAG0AZQAgAG8AcgBpAGUAbgB0AGEAdABpAG8AbgAgAGEAcwAgAFYAYQBsAHUAZQBzAC4AtgBcACIAIAAmACAAIAAgACAAIAAgACAAIAAgACAAIAAgACAAIAAgACAAIAAgACAAXABuACAAIAAgACAAIAAgACAAIAAgACAAIAAgACAAIAAgACAAIAAgACAAIAAgACAAIAAgAFwAIgBFAFgAQQBNAFAATABFAFMAOg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VgBhAGwAdQBlAHMAuwMoAFQAaQBtAGUAbABpAG4AZQC7AygAXAAiAFwAIgAxAC8ANwAvADIAMAAyADYAXAAiAFwAIgApACwAIABUAGkAbQBlAGwAaQBuAGUAuwMoAFwAIgBcACIAMQAvADcALwAyADAAMgA2AFwAIgBcACIALAAsACwARgBBAEwAUwBFACkALAAgAHsAMQA7ADMAfQAsACAAewBcACIAXAAiADEALwA3AC8AMgAwADIANgBcACIAXAAiADsAIABcACIAXAAiADEANQAvADgALwAyADAAMgA2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DAHYAdABQAHI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DAHYAdABQAHIAZABTAHQAYQByAHQAcwAsACAAUABlAHIAaQBvAGQAKQAsACAAXABuACAAIAAgACAAIAAgACAAIAAgACAAIAAgACAAIAAgACAAIAAgACAAIAAgACAAIAAgACAAIAAgACAAIAAgACAAIAAgACAAIAAgAEUAbgBkAEQAYQB0AGUALAAgACAAIAAgAEkATgBEAEUAWAAoAEMAdgB0AFAAcg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BCAHkASQB0AGUAbQBzALsDKABQAGUAcgBpAG8AZABTAHQAYQByAHQAcwAsACAAUABlAHIAaQBvAGQARQBuAGQAcwAsACAASQB0AGUAbQBGAGkAbAB0AGUAcgAsACAASQB0AGUAbQBMAGkAcwB0ACwAIABFAGYAZgBlAGMAdABpAHYAZQBMAGkAcwB0ACwAIABWAGEAbAB1AGUATABpAHMAdAApALYAXAAiACAAJgBcAG4AIAAgACAAIAAgACAAIAAgACAAIAAgACAAIAAgACAAIAAgACAAIAAgACAAIAAgACAAXAAiAEQARQBTAEMAUgBJAFAAVABJAE8ATgA6ACAAIAAgAJIhUwBjAGgAZQBkAHUAbABlACAAYQBuAGQAIABzAHUAbQAgAHYAYQBsAHUAZQBzACAAaQBuACAAYQAgAHQAaQBtAGUAbABpAG4AZQAgAGYAbwByACAAZQBhAGMAaAAgAGkAdABlAG0ALg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yAG8AdwAgAG8AZgAgAHAAZQByAGkAbwBkACAAcwB0AGEAcgB0ACAAZABhAHQAZQBzACAAKAB0AGkAbQBlAGwAaQBuAGUAKQAuAL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EkAdABlAG0ARgBpAGwAdABlAHIAIAAgACAAIAAgAJIhKABSAGUAcQB1AGkAcgBlAGQAKQAgAEEAIABjAG8AbAB1AG0AbgAgAG8AZgAgADEAIABvAHIAIABtAG8AcgBlACAAaQB0AGUAbQBzACAAdABvACAAZgBpAGwAdABlAHIAIABhACAAdgBhAGwAdQBlACAAcwBjAGgAZQBkAHUAbABlACAAYgB5AC4AIAC2AFwAIgAgACYAXABuACAAIAAgACAAIAAgACAAIAAgACAAIAAgACAAIAAgACAAIAAgACAAIAAgACAAIAAgAFwAIgAgACAAIAAgACAAIAAgACAAIAAgACAAIAAgACAAIACSIUEAIAAnAHYAYQBsAHUAZQAgAHMAYwBoAGUAZAB1AGwAZQAnACAAaQBzACAAYQAgAHQAYQBiAGwAZQAvAGwAaQBzAHQAIAB3AGgAZQByAGUAIABlAGEAYwBoACAAcgBvAHcAIABjAG8AbgB0AGEAaQBuAHMAIABhACAAdQBuAGkAcQB1AGUAIABpAHQAZQBtAC8AZQBmAGYAZQBjAHQAaQB2AGUAIABkAGEAdABlACAAcABhAGkAcgAgAHcAaQB0AGgAIABhACAAdgBhAGwAdQBlAC4AtgBcACIAIAAmAFwAbgAgACAAIAAgACAAIAAgACAAIAAgACAAIAAgACAAIAAgACAAIAAgACAAIAAgACAAIABcACIASQB0AGUAbQBMAGkAcwB0ACAAIAAgACAAIAAgACAAkiEoAFIAZQBxAHUAaQByAGUAZAApACAASQB0AGUAbQBzACAAaQBuACAAYQAgAHYAYQBsAHUAZQAgAHMAYwBoAGUAZAB1AGwAZQAuALYAXAAiACAAJgAgAFwAbgAgACAAIAAgACAAIAAgACAAIAAgACAAIAAgACAAIAAgACAAIAAgACAAIAAgACAAIABcACIARQBmAGYAZQBjAHQAaQB2AGUATABpAHMAdAAgACAAkiEoAFIAZQBxAHUAaQByAGUAZAApACAARQBmAGYAZQBjAHQAaQB2AGUAIABkAGEAdABlAHMAIABpAG4AIAB0AGgAZQAgAHYAYQBsAHUAZQAgAHMAYwBoAGUAZAB1AGwAZQAuALYAXAAiACAAJgAgAFwAbgAgACAAIAAgACAAIAAgACAAIAAgACAAIAAgACAAIAAgACAAIAAgACAAIAAgACAAIABcACIAVgBhAGwAdQBlAEwAaQBzAHQAIAAgACAAIAAgACAAkiEoAFIAZQBxAHUAaQByAGUAZAApACAAVgBhAGwAdQBlAHMAIABpAG4AIABhACAAdgBhAGwAdQBlACAAcwBjAGgAZQBkAHUAbABlACAAZgBvAHIAIABlAGEAYwBoACAAaQB0AGUAbQAvAGUAZgBmAGUAYwB0AGkAdgBlACAAZABhAHQAZQAgAHAAYQBpAHIALgC2AFwAIgAgACYAIABcAG4AIAAgACAAIAAgACAAIAAgACAAIAAgACAAIAAgACAAIAAgACAAIAAgACAAIAAgACAAIAAgACAAIAAgACAAIAAgACAAIAAgACAAIAAgACAAXAAiAJIhQQBuACAAaQB0AGUAbQAgAHcAaQB0AGgAIABuAG8AIAByAG8AdwBzACAAaQBuACAAdABoAGUAIABzAGMAaABlAGQAdQBsAGUAIAB0AG8AdABhAGwAcwAgAG4AbwB1AGcAaAB0ACAAaQBuACAAZQB2AGUAcgB5ACAAcABlAHIAaQBvAGQ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UwBjAGgAZQBkAHUAbABlAFYAYQBsAHUAZQBzAEIAeQBJAHQAZQBtAHMAuwMoACAAbwB6AC4AVABpAG0AZQBsAGkAbgBlALsDKAAgAFwAIgBcACIAMQAvADcALwAyADAAMgA2AFwAIgBcACIAKQAsACAAIABvAHoALgBUAGkAbQBlAGwAaQBuAGUAuwMoACAAXAAiAFwAIgAxAC8ANwAvADIAMAAyADYAXAAiAFwAIgAsACwALABGAEEATABTAEUAKQAsACAAtgBcACIAIAAmACAAXABuACAAIAAgACAAIAAgACAAIAAgACAAIAAgACAAIAAgACAAIAAgACAAIAAgACAAIAAgACAAIAAgACAAIAAgACAAIAAgACAAIAAgACAAIAAgAFwAIgCSIVUATgBJAFEAVQBFACgAIAB0AGIAbABFAHgAcABbAEkAdABlAG0AcwBd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AgACAAIABcAG4AIAAgACAAIAAvAC8AIAAgAFAAcgBvAGMAZQBkAHUAcgBlACAALQAgAG8AbgBlACAAbQBhAHQAcgBpAHgAIABwAHIAbwBkAHUAYwB0ADoAIAB3AGgAaQBjAGgAIABzAGMAaABlAGQAdQBsAGUAIAByAG8AdwBzACAAYgBlAGwAbwBuAGcAIAB0AG8AIABlAGEAYwBoACAAaQB0AGUAbQAsACAAdABpAG0AZQBzAFwAbgAgACAAIAAgAC8ALwAgACAAdwBoAGkAYwBoACAAcABlAHIAaQBvAGQAIABlAGEAYwBoACAAcwBjAGgAZQBkAHUAbABlACAAcgBvAHcAIABmAGEAbABsAHMAIABpAG4ALAAgAGMAYQByAHIAeQBpAG4AZwAgAGkAdABzACAAdgBhAGwAdQBlAFwAbgAgACAAIAAgACAAIAAgACAASQB0AGUAbQBzACwAIAAgACAAIAAgACAAIAAgACAAIABUAE8AQwBPAEwAKAAgAEkAdABlAG0ARgBpAGwAdABlAHIAKQAsAFwAbgAgACAAIAAgACAAIAAgACAAQgBlAGwAbwBuAGcAcwAsACAAIAAgACAAIAAgACAAIAAoACAASQB0AGUAbQBzACAAPQAgAFQATwBSAE8AVwAoACAASQB0AGUAbQBMAGkAcwB0ACkAKQAgACoAIAAoACAASQB0AGUAbQBzACAAPAA+ACAAXAAiAFwAIgApACwAXABuACAAIAAgACAAIAAgACAAIABGAGEAbABsAHMALAAgACAAIAAgACAAIAAgACAAIAAgACgAIABUAE8AQwBPAEwAKAAgAEMAdgB0AEUAZgBmAEQAYQB0AGUAcwApACAAPgA9ACAAQwB2AHQAUAByAGQAUwB0AGEAcgB0AHMAKQAgACoAIAAoACAAVABPAEMATwBMACgAIABDAHYAdABFAGYAZgBEAGEAdABlAHMAKQAgADwAPQAgAEMAdgB0AFAAcgBkAEUAbgBkAHMAKQAgACoAIABUAE8AQwBPAEwAKAAgAFYAYQBsAHUAZQBMAGkAcwB0ACkALABcAG4AIAAgACAAIAAgACAAIAAgAFIAZQBzAHUAbAB0ACwAIAAgACAAIAAgACAAIAAgACAATQBNAFUATABUACgAIABCAGUAbABvAG4AZwBzACwAIABGAGEAbABsAHM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UAGkAbQBlAGwAaQBuAGUAuwNcAG4AIAAgACAAIABEAEUAUwBDAFIASQBQAFQASQBPAE4AOgAqAC8ALwAqACoAQwByAGUAYQB0AGUAIABhACAAaABvAHIAaQB6AG8AbgB0AGEAbAAgAGwAaQBzAHQAIABvAGYAIABwAGUAcgBpAG8AZAAgAGQAYQB0AGUAcwAqAC8AXABuAFQAaQBtAGUAbABpAG4AZQC7AyAAPQAgAEwAQQBNAEIARABBACgAXABuAC8ALwAgACAAUABhAHIAYQBtAGUAdABlAHIAIABEAGUAYwBsAGEAcgBhAHQAaQBvAG4AcwBcAG4AIAAgACAAIABbAFMAdABhAHIAdABEAGEAdABlAF0ALABcAG4AIAAgACAAIABbAFAAZQByAGkAbwBkAHMAXQAsAFwAbgAgACAAIAAgAFsASQBuAHQAZQByAHYAYQBsAF0ALABcAG4AIAAgACAAIABbAFAAZQByAGkAbwBkAFMAdABhAHIAdABzAD8AXQAsACAAIAAgACA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QAaQBtAGUAbABpAG4AZQC7AygAUwB0AGEAcgB0AEQAYQB0AGUALAAgAFAAZQByAGkAbwBkAHMALAAgAEkAbgB0AGUAcgB2AGEAbAAsACAAUABlAHIAaQBvAGQAUwB0AGEAcgB0AHMAPwApALYAXAAiACAAJgBcAG4AIAAgACAAIAAgACAAIAAgACAAIAAgACAAIAAgACAAIAAgACAAIAAgACAAIAAgACAAIAAgACAAIABcACIARABFAFMAQwBSAEkAUABUAEkATwBOADoAIAAgACAAkiFDAHIAZQBhAHQAZQBzACAAYQAgAGgAbwByAGkAegBvAG4AdABhAGwAIABsAGkAcwB0ACAAbwBmACAAcABlAHIAaQBvAGQAIABkAGEAdABlAHMALgC2AFwAIgAgACYAIABcAG4AIAAgACAAIAAgACAAIAAgACAAIAAgACAAIAAgACAAIAAgACAAIAAgACAAIAAgACAAIAAgACAAIABcACIAVwBFAEIAUwBJAFQARQA6ACAAIAAgACAAIAAgACAAkiFoAHQAdABwAHMAOgAvAC8AZwBpAHQAaAB1AGIALgBjAG8AbQAvAHIAeQBhAG4AZAB1AGcAdQBpAGQALwBPAHoAegBpAHQAtgBcACIAIAAmACAAXABuACAAIAAgACAAIAAgACAAIAAgACAAIAAgACAAIAAgACAAIAAgACAAIAAgACAAIAAgACAAIAAgACAAXAAiAFAAQQBSAEEATQBFAFQARQBSAFMAOgAgACAAIAAgACAAIAAgACAAkiG2AFwAIgAgACYAIABcAG4AIAAgACAAIAAgACAAIAAgACAAIAAgACAAIAAgACAAIAAgACAAIAAgACAAIAAgACAAIAAgACAAIABcACIAUwB0AGEAcgB0AEQAYQB0AGUAIAAgACAAIAAgACAAkiEoAFIAZQBxAHUAaQByAGUAZAApACAARgBpAHIAcwB0ACAAcABlAHIAaQBvAGQAJwBzACAAcwB0AGEAcgB0ACAAZABhAHQAZQAuACAATQBhAHkAIABiAGUAIABlAG4AdABlAHIAZQBkACAAYQBzACAAdABlAHgAdAAuALYAXAAiACAAJgBcAG4AIAAgACAAIAAgACAAIAAgACAAIAAgACAAIAAgACAAIAAgACAAIAAgACAAIAAgACAAIAAgACAAIABcACIAUABlAHIAaQBvAGQAcwAgACAAIAAgACAAIAAgACAAkiEoAE8AcAB0AGkAbwBuAGEAbAApACAAVABoAGUAIABuAHUAbQBiAGUAcgAgAG8AZgAgAHAAZQByAGkAbwBkACAAaQBuACAAdABoAGUAIAB0AGkAbQBlAGwAaQBuAGUALgAgAEQAZQBmAGEAdQBsAHQAcwAgAHQAbwAgADEAMgAuALYAXAAiACAAJgBcAG4AIAAgACAAIAAgACAAIAAgACAAIAAgACAAIAAgACAAIAAgACAAIAAgACAAIAAgACAAIAAgACAAIABcACIASQBuAHQAZQByAHYAYQBsACAAIAAgACAAIAAgACAAkiEoAE8AcAB0AGkAbwBuAGEAbAApACAAUABlAHIAaQBvAGQAIABpAG4AdABlAHIAdgBhAGwAOgAgAEQALAAgAFcALAAgAE0ALAAgAFEAIABvAHIAIABZACAAKABEAGEAeQAsACAAVwBlAGUAawAsACAATQBvAG4AdABoACAAPABkAGUAZgBhAHUAbAB0AD4ALAAgAFEAdQBhAHIAdABlAHIALAAgAG8AcgAgAFkAZQBhAHIAKQC2AFwAIgAgACYAXABuACAAIAAgACAAIAAgACAAIAAgACAAIAAgACAAIAAgACAAIAAgACAAIAAgACAAIAAgACAAIAAgACAAXAAiAFAAZQByAGkAbwBkAFMAdABhAHIAdABzAD8AIAAgAJIhKABPAHAAdABpAG8AbgBhAGwAKQAgAFQAUgBVAEUAPQBEAGkAcwBwAGwAYQB5ACAAcABlAHIAaQBvAGQAIABzAHQAYQByAHQAIABkAGEAdABlAHMAIAA8AGQAZQBmAGEAdQBsAHQAPgAuACAARgBBAEwAUwBFAD0AUABlAHIAaQBvAGQAIABlAG4AZAAgAGQAYQB0AGUAcwC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yACAAbQBvACwAIABzAHQAYQByAHQAcwAgACAAkiE9AG8AegAuAFQAaQBtAGUAbABpAG4AZQC7AygAVABPAEQAQQBZACgAKQApALYAXAAiACAAJgBcAG4AIAAgACAAIAAgACAAIAAgACAAIAAgACAAIAAgACAAIAAgACAAIAAgACAAIAAgACAAIAAgACAAIABcACIAMQAyACAAcQB0AHIALAAgAGUAbgBkAHMAIAAgACAAkiE9AG8AegAuAFQAaQBtAGUAbABpAG4AZQC7AygAVABPAEQAQQBZACgAKQAsACAALAAgAFwAIgBcACIAUQBcACIAXAAiACwAIABGAEEATABTAE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CAAIAAgACAAXABuACAAIAAgACAALwAvACAAIABOAGEAbQBlAGQAIABDAG8AbgBzAHQAYQBuAHQAcwBcAG4AIAAgACAAIAAgACAAIAAgAE0AUABZACwAIAAxADIALAAgACAAIAAgACAAIAAgACAALwAvAE0AbwBuAHQAaABzACAAUABlAHIAIABZAGUAYQByAFwAbgAgACAAIAAgACAAIAAgACAATQBQAFEALAAgADMALAAgACAAIAAgACAAIAAgACAAIAAvAC8ATQBvAG4AdABoAHMAIABQAGUAcgAgAFEAdQBhAHIAdABlAHIAXABuACAAIAAgACAAIAAgACAAIABEAFAAVwAsACAANwAsACAAIAAgACAAIAAgACAAIAAgAC8ALwBEAGEAeQBzACAAUABlAHIAIABXAGUAZQBrAFwAbgAgACAAIAAgAC8ALwAgACAAQwBoAGUAYwBrACAAaQBuAHAAdQB0AHMAIAAtACAATwBtAGkAdAB0AGUAZAAgAHIAZQBxAHUAaQByAGUAZAAgAGEAcgBnAHUAbQBlAG4AdABzAFwAbgAgACAAIAAgACAAIAAgACAASABlAGwAcAA/ACwAIAAgACAAIAAgACAAIAAgACAAIABJAFMATwBNAEkAVABUAEUARAAoACAAUwB0AGEAcgB0AEQAYQB0AGUAKQAsACA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AsACAAIAAgACAAIAAgACAASQBGACgAIABJAFMATwBNAEkAVABUAEUARAAoACAAUwB0AGEAcgB0AEQAYQB0AGUAKQAsACAAXABuACAAIAAgACAAIAAgACAAIAAgACAAIAAgACAAIAAgACAAIAAgACAAIAAgACAAIAAgACAAIAAgACAARgBBAEwAUwBFACwAXABuACAAIAAgACAAIAAgACAAIAAgACAAIAAgACAAIAAgACAAIAAgACAAIAAgACAAIAAgACAAIAAgACAASQBGACgAIABJAFMATgBVAE0AQgBFAFIAKAAgAFMAdABhAHIAdABEAGEAdABlACkALAAgAFMAdABhAHIAdABEAGEAdABlACwAIABEAEEAVABFAFYAQQBMAFUARQAoACAAUwB0AGEAcgB0AEQAYQB0AGUAKQApAFwAbgAgACAAIAAgACAAIAAgACAAIAAgACAAIAAgACAAIAAgACAAIAAgACAAIAAgACAAIAApACwAXABuACAAIAAgACAAIAAgACAAIABQAGUAcgBpAG8AZABzACwAIAAgACAAIAAgACAAIAAgAEkARgAoACAASQBTAE8ATQBJAFQAVABFAEQAKAAgAFAAZQByAGkAbwBkAHMAKQAsACAAMQAyACwAIABQAGUAcgBpAG8AZABzACkALABcAG4AIAAgACAAIAAgACAAIAAgAEkAbgB0AGUAcgB2AGEAbAAsACAAIAAgACAAIAAgACAASQBGACgAIABJAFMATwBNAEkAVABUAEUARAAoACAASQBuAHQAZQByAHYAYQBsACkALAAgAFwAIgBNAFwAIgAsACAASQBuAHQAZQByAHYAYQBsACkALABcAG4AIAAgACAAIAAgACAAIAAgAFAAZQByAGkAbwBkAFMAdABhAHIAdABzAD8ALAAgACAASQBGACgAIABJAFMATABPAEcASQBDAEEATAAoACAAUABlAHIAaQBvAGQAUwB0AGEAcgB0AHMAPwApACwAIABQAGUAcgBpAG8AZABTAHQAYQByAHQAcwA/ACwAIABUAFIAVQBFACkALABcAG4AIAAgACAAIAAvAC8AIAAgAFAAcgBvAGMAZQBkAHUAcgBlAFwAbgAgACAAIAAgACAAIAAgACAARQBuAGQARABhAHQAZQBzACwAIAAgACAAIAAgACAAIABOACgATgBPAFQAKABQAGUAcgBpAG8AZABTAHQAYQByAHQAcwA/ACkAKQAsAFwAbgAgACAAIAAgACAAIAAgACAAUgBlAHMAdQBsAHQALAAgACAAIAAgACAAIAAgACAAIABTAFcASQBUAEMASAAoAFwAbgAgACAAIAAgACAAIAAgACAAIAAgACAAIAAgACAAIAAgACAAIAAgACAAIAAgACAAIAAgACAAIAAgAEkAbgB0AGUAcgB2AGEAbAAsAFwAbgAgACAAIAAgACAAIAAgACAAIAAgACAAIAAgACAAIAAgACAAIAAgACAAIAAgACAAIAAgACAAIAAgAFwAIgBZAFwAIgAsACAARQBEAEEAVABFACgAQwB2AHQAUwB0AGEAcgB0ACwAIABTAEUAUQBVAEUATgBDAEUAKAAxACwAIABQAGUAcgBpAG8AZABzACwAIABFAG4AZABEAGEAdABlAHMAIAAqACAATQBQAFkALAAgAE0AUABZACkAKQAgAC0AIABFAG4AZABEAGEAdABlAHMALABcAG4AIAAgACAAIAAgACAAIAAgACAAIAAgACAAIAAgACAAIAAgACAAIAAgACAAIAAgACAAIAAgACAAIABcACIAUQBcACIALAAgAEUARABBAFQARQAoAEMAdgB0AFMAdABhAHIAdAAsACAAUwBFAFEAVQBFAE4AQwBFACgAMQAsACAAUABlAHIAaQBvAGQAcwAsACAARQBuAGQARABhAHQAZQBzACAAKgAgAE0AUABRACwAIABNAFAAUQApACkAIAAtACAARQBuAGQARABhAHQAZQBzACwAXABuACAAIAAgACAAIAAgACAAIAAgACAAIAAgACAAIAAgACAAIAAgACAAIAAgACAAIAAgACAAIAAgACAAXAAiAE0AXAAiACwAIABFAEQAQQBUAEUAKABDAHYAdABTAHQAYQByAHQALAAgAFMARQBRAFUARQBOAEMARQAoADEALAAgAFAAZQByAGkAbwBkAHMALAAgAEUAbgBkAEQAYQB0AGUAcwAsACAAMQApACkAIAAtACAARQBuAGQARABhAHQAZQBzACwAXABuACAAIAAgACAAIAAgACAAIAAgACAAIAAgACAAIAAgACAAIAAgACAAIAAgACAAIAAgACAAIAAgACAAXAAiAFcAXAAiACwAIABTAEUAUQBVAEUATgBDAEUAKAAxACwAIABQAGUAcgBpAG8AZABzACwAIABDAHYAdABTAHQAYQByAHQAIAArACAASQBGACgAUABlAHIAaQBvAGQAUwB0AGEAcgB0AHMAPwAsACAAMAAsACAARABQAFcAIAAtACAAMQApACwAIABEAFAAVwApACwAXABuACAAIAAgACAAIAAgACAAIAAgACAAIAAgACAAIAAgACAAIAAgACAAIAAgACAAIAAgACAAIAAgACAAXAAiAEQAXAAiACwAIABTAEUAUQBVAEUATgBDAEUAKAAxACwAIABQAGUAcgBpAG8AZABzACwAIABDAHYAdABTAHQAYQByAHQALAAgADEAKQAsAFwAbgAgACAAIAAgACAAIAAgACAAIAAgACAAIAAgACAAIAAgACAAIAAgACAAIAAgACAAIAAgACAAIAAgACMAVgBhAGwAdQBlAC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RgBpAG4AYQBuAGMAaQBhAGwAWQBlAGEAcgC7A1wAbgAgACAAIAAgAEQARQBTAEMAUgBJAFAAVABJAE8ATgA6ACoALwAvACoAKgBMAGEAYgBlAGwAcwAgAGQAYQB0AGUAcwAgAHcAaQB0AGgAIAB0AGgAZQBpAHIAIABBAHUAcwB0AHIAYQBsAGkAYQBuACAAZgBpAG4AYQBuAGMAaQBhAGwAIAB5AGUAYQByACwAIAB3AGgAaQBjAGgAIABzAHQAYQByAHQAcwAgAG8AbgAgADEAIABKAHUAbAB5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wAIABuAHUAbQBlAHIAaQBjACAAbwByACAAdABlAHgAdAAuACAAQQAgAGIAbABhAG4AawAgAGMAZQBsAGwAIAByAGUAdAB1AHIAbgBzACAAYQAgAGIAbABhAG4Aa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MAaABlAGMAawAgAGkAbgBwAHUAdABzACAALQAgAGEAcABwAGwAeQAgAGMAbwBuAHYAZQBuAGkAZQBuAGMAZQAgAGMAbwBuAHYAZQByAHMAaQBvAG4AcwAuACAAQQAgAGIAbABhAG4AawAgAGMAZQBsAGwAIABzAHQAYQB5AHMAIABiAGwAYQBuAGsALAAgAGEAIAB0AGUAeAB0ACAAZABhAHQAZQAgAGkAcwAgAHIAZQBhAGQAXABuACAAIAAgACAAIAAgACAAIABDAHYAdABEAGEAdABlAHMALAAgACAAIAAgACAAIAAgAEkARgAoACAASQBTAE8ATQBJAFQAVABFAEQAKAAgAEQAYQB0AGUAcwApACwAXABuACAAIAAgACAAIAAgACAAIAAgACAAIAAgACAAIAAgACAAIAAgACAAIAAgACAAIAAgACAAIAAgACAARgBBAEwAUwBFACwAXABuACAAIAAgACAAIAAgACAAIAAgACAAIAAgACAAIAAgACAAIAAgACAAIAAgACAAIAAgACAAIAAgACAASQBGACgAIABJAFMATgBVAE0AQgBFAFIAKAAgAEQAYQB0AGUAcwApACwAIABEAGEAdABlAHMALAAgAEkARgAoACAARABhAHQAZQBzACAAPQAgAFwAIgBcACIALAAgADAALAAgAEQAQQBUAEUAVgBBAEwAVQBFACgAIABEAGEAdABlAHMAKQApACkAXABuACAAIAAgACAAIAAgACAAIAAgACAAIAAgACAAIAAgACAAIAAgACAAIAAgACAAIAAg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QwB2AHQARABhAHQAZQBzACAAPQAgADAALAAgAFwAIgBcACIALAAgAFwAIgBGAFkAXAAiACAAJgAgAFQARQBYAFQAKABZAEUAQQBSACgAQwB2AHQARABhAHQAZQBzACkAIAArACAAKABGAFkAUwB0AGEAcgB0AD4AMQApACAAKgAgACgATQBPAE4AVABIACgAQwB2AHQARABhAHQAZQBzACkAIAA+AD0AIABGAFkAUwB0AGEAcgB0ACkALAAgAFwAIgAwADAAMAAwAFwAI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YQB0AGUARABpAGYAuwNcAG4AIAAgACAAIABEAEUAUwBDAFIASQBQAFQASQBPAE4AOgAqAC8ALwAqACoAVwBoAG8AbABlACAAeQBlAGEAcgBzACwAIABtAG8AbgB0AGgAcwAgAG8AcgAgAGQAYQB5AHMAIABiAGUAdAB3AGUAZQBuACAAdAB3AG8AIABkAGEAdABlAHMALAAgAGEAbgBkACAAdABoAGUAIAByAGUAbQBhAGkAbgBkAGUAcgBzACAARABBAFQARQBEAEkARgAgAGcAZQB0AHMAIAB3AHIAbwBuAGcAKgAvAFwAbgBcAG4ARABhAHQAZQBEAGkAZgC7AyAAPQAgAEwAQQBNAEIARABBACgAXABuAC8ALwAgACAAUABhAHIAYQBtAGUAdABlAHIAIABEAGUAYwBsAGEAcgBhAHQAaQBvAG4AXABuACAAIAAgACAAWwBTAHQAYQByAHQARABhAHQAZQBdACwAXABuACAAIAAgACAAWwBFAG4AZABEAGEAdABlAF0ALABcAG4AIAAgACAAIABbAFUAbgBpAHQ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EAdABlAEQAaQBmALsDKABTAHQAYQByAHQARABhAHQAZQAsACAARQBuAGQARABhAHQAZQAsACAAWwBVAG4AaQB0AF0AKQC2AFwAIgAgACYAXABuACAAIAAgACAAIAAgACAAIAAgACAAIAAgACAAIAAgACAAIAAgACAAIAAgACAAIAAgACAAIAAgACAAXAAiAEQARQBTAEMAUgBJAFAAVABJAE8ATgA6ACAAIAAgAJIhVwBoAG8AbABlACAAeQBlAGEAcgBzACwAIABtAG8AbgB0AGgAcwAgAG8AcgAgAGQAYQB5AHMAIABiAGUAdAB3AGUAZQBuACAAdAB3AG8AIABkAGEAdABlAHMALAAgAGEAbgBkACAAdABoAGUAIAByAGUAbQBhAGkAbgBkAGUAcgBzAC4AtgBOAE8AVABFAFMAIQAgACAAIAAgACAAIAAgACAAIACSIUUAeABjAGUAbAAnAHMAIABEAEEAVABFAEQASQBGACAAaQBzACAAdQBuAGQAbwBjAHUAbQBlAG4AdABlAGQAIABhAG4AZAAgAGkAdABzACAATQBEACAAdQBuAGkAdAAgAGMAYQBuACAAcgBlAHQAdQByAG4AIABhACAAbgBlAGcAYQB0AGkAdgBlALYAIAAgACAAIAAgACAAIAAgACAAIAAgACAAIAAgACAAkiFvAHIAIAB3AHIAbwBuAGcAIABkAGEAeQAgAGMAbwB1AG4AdAAgAGEAcgBvAHUAbgBkACAAbQBvAG4AdABoACAAZQBuAGQAcwAuACAAVABoAGkAcwAgAGMAbwB1AG4AdABzACAAYQAgAG0AbwBuAHQAaAAgAGEAcwAgAGMAbwBtAHAAbABlAHQAZQC2ACAAIAAgACAAIAAgACAAIAAgACAAIAAgACAAIAAgAJIhdwBoAGUAbgAgAEUARABBAFQARQAoACkAIABvAGYAIAB0AGgAZQAgAHMAdABhAHIAdAAgAGQAYQB0AGUAIABoAGEAcwAgAGEAcgByAGkAdgBlAGQALAAgAHMAbwAgAGEAIABtAG8AbgB0AGgAIABhAGYAdABlAHIAIAAzADEAIABKAGEAbgB1AGEAcgB5ALYAIAAgACAAIAAgACAAIAAgACAAIAAgACAAIAAgACAAkiFpAHMAIAB0AGgAZQAgAGwAYQBzAHQAIABkAGEAeQAgAG8AZgAgAEYAZQBiAHIAdQBhAHIAeQAsACAAYQBuAGQAIAB0AGEAawBlAHMAIABlAHYAZQByAHkAIAByAGUAbQBhAGkAbgBkAGUAcgAgAGYAcgBvAG0AIAB0AGgAYQB0ACAAcwBhAG0AZQC2ACAAIAAgACAAIAAgACAAIAAgACAAIAAgACAAIAAgAJIhYQBuAG4AaQB2AGUAcgBzAGEAcgB5AC4AIABBACAAcgBlAHYAZQByAHMAZQBkACAAcgBhAG4AZwBlACAAbwByACAAYQBuACAAdQBuAGsAbgBvAHcAbgAgAHUAbgBpAHQAIAByAGUAdAB1AHIAbgBzACAAIwBOAFUATQAh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NgAgAFMAZQBwACAAMgAwADIANgC2AFwAIgAgACYAXABuACAAIAAgACAAIAAgACAAIAAgACAAIAAgACAAIAAgACAAIAAgACAAIAAgACAAIAAgACAAIAAgACAAXAAiAFAAQQBSAEEATQBFAFQARQBSAFMAOgAgACAAIAAgAJIhtgBcACIAIAAmAFwAbgAgACAAIAAgACAAIAAgACAAIAAgACAAIAAgACAAIAAgACAAIAAgACAAIAAgACAAIAAgACAAIAAgAFwAIgBTAHQAYQByAHQARABhAHQAZQAgACAAIAAgACAAIACSISgAUgBlAHEAdQBpAHIAZQBkACkAIABUAGgAZQAgAGUAYQByAGwAaQBlAHIAIABkAGEAdABlACwAIABuAHUAbQBlAHIAaQBjACAAbwByACAAdABlAHgAdAAuALYAXAAiACAAJgBcAG4AIAAgACAAIAAgACAAIAAgACAAIAAgACAAIAAgACAAIAAgACAAIAAgACAAIAAgACAAIAAgACAAIABcACIARQBuAGQARABhAHQAZQAgACAAIAAgACAAIAAgACAAkiEoAFIAZQBxAHUAaQByAGUAZAApACAAVABoAGUAIABsAGEAdABlAHIAIABkAGEAdABlACwAIABuAHUAbQBlAHIAaQBjACAAbwByACAAdABlAHgAdAAuALYAXAAiACAAJgBcAG4AIAAgACAAIAAgACAAIAAgACAAIAAgACAAIAAgACAAIAAgACAAIAAgACAAIAAgACAAIAAgACAAIABcACIAVQBuAGkAdAAgACAAIAAgACAAIAAgACAAIAAgACAAkiEoAE8AcAB0AGkAbwBuAGEAbAA6ACAARABlAGYAYQB1AGwAdAAgAD0AIABEACkAIABZACAAdwBoAG8AbABlACAAeQBlAGEAcgBzACwAIABNACAAdwBoAG8AbABlACAAbQBvAG4AdABoAHMALAAgAEQAIABkAGEAeQBzACwAIABZAE0AIABtAG8AbgB0AGgAcwAgAGwAZQBmAHQAIABhAGYAdABlAHIAIAB0AGgAZQAgAHcAaABvAGwAZQAgAHkAZQBhAHIAcwAsACAAWQBEACAAZABhAHkAcwAgAGwAZQBmAHQAIABhAGYAdABlAHIAIAB0AGgAZQAgAHcAaABvAGwAZQAgAHkAZQBhAHIAcwAsACAATQBEACAAZABhAHkAcwAgAGwAZQBmAHQAIABhAGYAdABlAHIAIAB0AGgAZQAgAHcAaABvAGwAZQAgAG0AbwBuAHQAaA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ABhAHQAZQBEAGkAZgC7AygARABBAFQARQAoADIAMAAyADYALAAxACwAMwAxACkALAAgAEQAQQBUAEUAKAAyADAAMgA2ACwAMwAsADEAKQAsACAAXAAiAFwAIgBNAEQAXAAiAFwAIgApALYAXAAiACAAJgBcAG4AIAAgACAAIAAgACAAIAAgACAAIAAgACAAIAAgACAAIAAgACAAIAAgACAAIAAgACAAIAAgACAAIABcACIAkiFSAGUAcwB1AGwAdAC2AFwAIgAgACYAXABuACAAIAAgACAAIAAgACAAIAAgACAAIAAgACAAIAAgACAAIAAgACAAIAAgACAAIAAgACAAIAAgACAAXAAiAJIhMQ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UwB0AGEAcgB0AEQAYQB0AGUAKQAsACAASQBTAE8ATQBJAFQAVABFAEQAKABFAG4AZABEAGEAdABlACkAKQAsAFwAbgAgACAAIAAgAC8ALwAgACAAVABlAHgAdAAgAGQAYQB0AGUAcwAgAGEAcgBlACAAcgBlAGEAZAA7ACAAYQAgAGIAbABhAG4AawAgAFUAbgBpAHQAIABjAGUAbABsACAAaQBzACAAbgBvAHQAIABhAG4AIABvAG0AaQB0AHQAZQBkACAAYQByAGcAdQBtAGUAbgB0ACwAIABzAG8AIAB0AGUAcwB0ACAAZgBvAHIAIABiAG8AdABoAFwAbgAgACAAIAAgACAAIAAgACAAUwB0AGEAcgB0ACwAIAAgACAAIAAgACAAIAAgACAAIABJAEYAKABJAFMATgBVAE0AQgBFAFIAKABTAHQAYQByAHQARABhAHQAZQApACwAIABTAHQAYQByAHQARABhAHQAZQAsACAARABBAFQARQBWAEEATABVAEUAKABTAHQAYQByAHQARABhAHQAZQApACkALABcAG4AIAAgACAAIAAgACAAIAAgAEYAaQBuAGkAcwBoACwAIAAgACAAIAAgACAAIAAgACAASQBGACgASQBTAE4AVQBNAEIARQBSACgARQBuAGQARABhAHQAZQApACwAIABFAG4AZABEAGEAdABlACwAIABEAEEAVABFAFYAQQBMAFUARQAoAEUAbgBkAEQAYQB0AGUAKQApACwAXABuACAAIAAgACAAIAAgACAAIABDAG8AZABlACwAIAAgACAAIAAgACAAIAAgACAAIAAgAEkARgAoAE8AUgAoAEkAUwBPAE0ASQBUAFQARQBEACgAVQBuAGkAdAApACwAIABVAG4AaQB0ACAAPQAgAFwAIgBcACIAKQAsACAAXAAiAEQAXAAiACwAIABVAFAAUABFAFIAKABVAG4AaQB0ACkAKQAsAFwAbgAgACAAIAAgAC8ALwAgACAAQwBhAGwAZQBuAGQAYQByACAAbQBvAG4AdABoAHMAIABjAHIAbwBzAHMAZQBkACwAIABsAGUAcwBzACAAbwBuAGUAIAB3AGgAZQBuACAAdABoAGUAIABsAGEAcwB0ACAAaABhAHMAIABuAG8AdAAgAHkAZQB0ACAAYwBvAG0AcABsAGUAdABlAGQAXABuACAAIAAgACAAIAAgACAAIABSAGEAdwBNAG8AbgB0AGgAcwAsACAAIAAgACAAIAAgADEAMgAgACoAIAAoAFkARQBBAFIAKABGAGkAbgBpAHMAaAApACAALQAgAFkARQBBAFIAKABTAHQAYQByAHQAKQApACAAKwAgAE0ATwBOAFQASAAoAEYAaQBuAGkAcwBoACkAIAAtACAATQBPAE4AVABIACgAUwB0AGEAcgB0ACkALABcAG4AIAAgACAAIAAgACAAIAAgAE0AbwBuAHQAaABzACwAIAAgACAAIAAgACAAIAAgACAAUgBhAHcATQBvAG4AdABoAHMAIAAtACAAKABFAEQAQQBUAEUAKABTAHQAYQByAHQALAAgAFIAYQB3AE0AbwBuAHQAaABzACkAIAA+ACAARgBpAG4AaQBzAGgAKQAsAFwAbgAgACAAIAAgACAAIAAgACAAWQBlAGEAcgBzACwAIAAgACAAIAAgACAAIAAgACAAIABJAE4AVAAoAE0AbwBuAHQAaABzACAALwAgADEAMgApACwAXABuACAAIAAgACAAIAAgACAAIABSAGUAcwB1AGwAdAAsACAAIAAgACAAIAAgACAAIAAgAEkARgAoAEYAaQBuAGkAcwBoACAAPAAgAFMAdABhAHIAdAAsAFwAbgAgACAAIAAgACAAIAAgACAAIAAgACAAIAAgACAAIAAgACAAIAAgACAAIAAgACAAIAAgACAAIAAgACMATgBVAE0AIQAsAFwAbgAgACAAIAAgACAAIAAgACAAIAAgACAAIAAgACAAIAAgACAAIAAgACAAIAAgACAAIAAgACAAIAAgAFMAVwBJAFQAQwBIACgAQwBvAGQAZQAsAFwAbgAgACAAIAAgACAAIAAgACAAIAAgACAAIAAgACAAIAAgACAAIAAgACAAIAAgACAAIAAgACAAIAAgACAAIAAgACAAXAAiAFkAXAAiACwAIABZAGUAYQByAHMALABcAG4AIAAgACAAIAAgACAAIAAgACAAIAAgACAAIAAgACAAIAAgACAAIAAgACAAIAAgACAAIAAgACAAIAAgACAAIAAgAFwAIgBNAFwAIgAsACAATQBvAG4AdABoAHMALABcAG4AIAAgACAAIAAgACAAIAAgACAAIAAgACAAIAAgACAAIAAgACAAIAAgACAAIAAgACAAIAAgACAAIAAgACAAIAAgAFwAIgBEAFwAIgAsACAARgBpAG4AaQBzAGgAIAAtACAAUwB0AGEAcgB0ACwAXABuACAAIAAgACAAIAAgACAAIAAgACAAIAAgACAAIAAgACAAIAAgACAAIAAgACAAIAAgACAAIAAgACAAIAAgACAAIABcACIAWQBNAFwAIgAsACAATQBvAG4AdABoAHMAIAAtACAAMQAyACAAKgAgAFkAZQBhAHIAcwAsAFwAbgAgACAAIAAgACAAIAAgACAAIAAgACAAIAAgACAAIAAgACAAIAAgACAAIAAgACAAIAAgACAAIAAgACAAIAAgACAAXAAiAFkARABcACIALAAgAEYAaQBuAGkAcwBoACAALQAgAEUARABBAFQARQAoAFMAdABhAHIAdAAsACAAMQAyACAAKgAgAFkAZQBhAHIAcwApACwAXABuACAAIAAgACAAIAAgACAAIAAgACAAIAAgACAAIAAgACAAIAAgACAAIAAgACAAIAAgACAAIAAgACAAIAAgACAAIABcACIATQBEAFwAIgAsACAARgBpAG4AaQBzAGgAIAAtACAARQBEAEEAVABFACgAUwB0AGEAcgB0ACwAIABNAG8AbgB0AGgAcwApACwAXABuACAAIAAgACAAIAAgACAAIAAgACAAIAAgACAAIAAgACAAIAAgACAAIAAgACAAIAAgACAAIAAgACAAIAAgACAAIAAjAE4AVQBNACEAKQ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RQBzAHMAZQBuAHQAaQBhAGwAcwAiACwAIgB0AGUAeAB0ACIAOgAiAC8AKgAgACAARgBVAE4AQwBUAEkATwBOACAATgBBAE0ARQA6ACAAIABBAGIAbwB1AHQARQBzAHMAZQBuAHQAaQBhAGwAcwC7A1wAbgAgACAAIAAgAEQARQBTAEMAUgBJAFAAVABJAE8ATgA6ACoALwAvACoAKgBEAGkAcwBwAGwAYQB5AHMAIAB0AGgAaQBzACAAbQBvAGQAdQBsAGUAJwBzACAAcgBlAHAAbwBzAGkAdABvAHIAeQAgAFUAUgBMACAAYQBuAGQAIABmAHUAbgBjAHQAaQBvAG4AIABsAGkAcwB0ACoALwBcAG4AXABuAEEAYgBvAHUAdABFAHMAcwBlAG4AdABpAGEAbA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wB6ALYAXAAiACAAJgBcAG4AIAAgACAAIABcACIAVgBlAHIAcwBpAG8AbgA6ACAAIAAgACAAIAAgACAAIAAgACAAIAAgACAAIAAgACAAIAAgACAAkiEyADAAIABBAHUAZwAgADIAMAAyADYAtgBcACIAIAAmAFwAbgAgACAAIAAgAFwAIgBSAGUAcABvAHMAaQB0AG8AcgB5ADoAIAAgACAAIAAgACAAIAAgACAAIAAgACAAIAAgACAAIAAgACAAkiFoAHQAdABwAHMAOgAvAC8AZwBpAHQAaAB1AGIALgBjAG8AbQAvAHIAeQBhAG4AZAB1AGcAdQBpAGQALwBPAHoAegBpAHQAIAC2AFwAIgAgACYAXABuACAAIAAgACAAXAAiAJIhtgBcACIAIAAmAFwAbgAgACAAIAAgAFwAIgBGAHUAbgBjAHQAaQBvAG4AIAAgACAAIAAgACAAIAAgACAAIAAgACAAIAAgACAAIAAgACAAIACSIUQAZQBzAGMAcgBpAHAAdABpAG8AbgC2AFwAIgAgACYAIABcAG4AIAAgACAAIABcACIAQQBiAG8AdQB0AEUAcwBzAGUAbgB0AGkAYQBsAHM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BFALsDIAAgACAAIAAgACAAIAAgACAAIAAgACAAIAAgACAAIAAgAJIhRABlAHQAZQByAG0AaQBuAGUAIABpAGYAIABhACAAdgBhAGwAdQBlACAAaQBzACAAYgBlAHQAdwBlAGUAbgAgAGEAIABsAG8AdwBlAHIAIABhAG4AZAAgAHUAcABwAGUAcgAgAGwAaQBtAGkAdAAuALYAXAAiACAAJgAgAFwAbgAgACAAIAAgAFwAIgBJAHMASQBuAEwAaQBzAHQAuwMgACAAIAAgACAAIAAgACAAIAAgACAAIAAgACAAIAAgACAAIACSIUQAZQB0AGUAcgBtAGkAbgBlACAAaQBmACAAYQAgAHYAYQBsAHUAZQAgAGkAcwAgAG8AbgBlACAAbwBmACAAYQAgAGwAaQBzAHQAIABvAGYAIABpAHQAZQBtAHMALgC2AFwAIgAgACYAXABuACAAIAAgACAAXAAiAFIAYQBuAGcAZQBUAG8ARABBAE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uwNcAG4AIAAgACAAIABEAEUAUwBDAFIASQBQAFQASQBPAE4AOgAqAC8ALwAqACoAQwBvAHUAbgB0ACAAbwBjAGMAdQByAHIAZQBuAGMAZQBzACAAbwBmACAAYwBoAGEAcgBhAGMAdABlAHIAKABzACkAIABpAG4AIABhACAAcwB0AHIAaQBuAGcAKgAvAFwAbgBDAG8AdQBuAHQAQw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YwBvAGwAdQBtAG4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YwBvAGwAdQBtAG4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FALsDXABuACAAIAAgACAARABFAFMAQwBSAEkAUABUAEkATwBOADoAKgAvAC8AKgAqAEQAZQB0AGUAcgBtAGkAbgBlACAAaQBmACAAYQAgAHYAYQBsAHUAZQAgAGkAcwAgAGIAZQB0AHcAZQBlAG4AIABhACAAbABvAHcAZQByACAAYQBuAGQAIAB1AHAAcABlAHIAIABsAGkAbQBpAHQAKgAvAFwAbgBJAHMAQgBlAHQAdwBlAGUAbgBF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F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FALsDKAAxACwAIAAyACwAIAA0ACkAtgBcACIAIAAmACAAXABuACAAIAAgACAAIAAgACAAIAAgACAAIAAgACAAIAAgACAAIAAgACAAIAAgACAAIAAgACAAIAAgACAAXAAiAFQAUgBVAEUAIAAgACAAIAAgACAAIAAgACAAIAAgAJIhPQBJAHMAQgBlAHQAdwBlAGUAbgBFALsDKAAyACwAIAAyACwAIAA0ACkAtgBcACIAIAAmACAAXABuACAAIAAgACAAIAAgACAAIAAgACAAIAAgACAAIAAgACAAIAAgACAAIAAgACAAIAAgACAAIAAgACAAXAAiAEYAQQBMAFMARQAgACAAIAAgACAAIAAgACAAIAAgAJIhPQBJAHMAQgBlAHQAdwBlAGUAbgBF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uwNcAG4AIAAgACAAIABEAEUAUwBDAFIASQBQAFQASQBPAE4AOgAqAC8ALwAqACoARABlAHQAZQByAG0AaQBuAGUAIAB3AGgAZQB0AGgAZQByACAAYQAgAHYAYQBsAHUAZQAgAGkAcwAgAG8AbgBlACAAbwBmACAAYQAgAGwAaQBzAHQAIABvAGYAIABpAHQAZQBtAHMAKgAvAFwAbgBJAHMASQBuAEwAaQBzAHQAuwMgAD0AIABMAEEATQBCAEQAQQAoAFwAbgAvAC8AIAAgAFAAYQByAGEAbQBlAHQAZQByACAARABlAGMAbABhAHIAYQB0AGkAbwBuAHMAXABuACAAIAAgACAAWwBWAGEAbAB1AGUAXQAsAFwAbgAgACAAIAAgAFsATABpAHMAd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DoAIABhACAAcgBvAHcALAAgAGEAIABjAG8AbAB1AG0AbgAgAG8AcgAgAGEAIABnAHIAaQBkAC4AtgBcACIAIAAmAFwAbgAgACAAIAAgACAAIAAgACAAIAAgACAAIAAgACAAIAAgACAAIAAgACAAIAAgACAAIAAgACAAIAAgAFwAIgBOAE8AVABFACEAIAAgACAAIAAgACAAIAAgACAAIACSIVQAaABlACAAYwBvAG0AcABhAHIAaQBzAG8AbgAgAGkAcwAgAGUAeABhAGMAdAAgAGEAbgBkACAAYwBhAHMAZQAtAGkAbgBzAGUAbgBzAGkAdABpAHYAZQA7ACAAKgAgAGEAbgBkACAAPwAgAGEAcgBlACAAbwByAGQAaQBuAGEAcgB5ACAAYwBoAGEAcgBhAGMAdABlAHIAcwAu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kAcwB0ACkAXABuACAAIAAgACAAIAAgACAAIAAgACAAIAAgACAAIAAgACAAIAAgACAAIAAgACAAIAAgACkALABcAG4AIAAgACAAIAAvAC8AIAAgAFAAcgBvAGMAZQBkAHUAcgBlAFwAbgAgACAAIAAgAC8ALwAgACAARgBsAGEAdAB0AGUAbgAgAHQAaABlACAAbABpAHMAdAAgAGYAaQByAHMAdAA6ACAATQBBAFQAQwBIACAAbgBlAGUAZABzACAAbwBuAGUAIABkAGkAbQBlAG4AcwBpAG8AbgAgAGEAbgBkACAAdAByAGUAYQB0AHMAIAAqACAAYQBuAGQAIAA/ACAAYQBzACAAdwBpAGwAZABjAGEAcgBkAHMAXABuACAAIAAgACAAIAAgACAAIABSAGUAcwB1AGwAdAAsACAAIAAgACAAIAAgACAAIAAgAEkAUwBOAFUATQBCAEUAUgAoACAAWABNAEEAVABDAEgAKAAgAFYAYQBsAHUAZQAsACAAVABPAEMATwBMACgAIABMAGkAcwB0ACkALAAgADA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FALsDXABuACAAIAAgACAARABFAFMAQwBSAEkAUABUAEkATwBOADoAKgAvAC8AKgAqAEMAbwBuAHYAZQByAHQAIABhACAAcgBhAG4AZwBlACAAcgBlAGYAZQByAGUAbgBjAGUAIAB0AG8AIABhACAAZAB5AG4AYQBtAGkAYwAgAGEAcgByAGEAeQAgAHIAZQBmAGUAcgBlAG4AYwBlACoALwBcAG4AUgBhAG4AZwBlAFQAbwBEAEEAR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E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PAHoAegBpAHQ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E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YAaQBuAGEAbgBjAGkAYQBsACIALAAiAHQAZQB4AHQAIgA6ACIALwAqACAAIABGAFUATgBDAFQASQBPAE4AIABOAEEATQBFADoAIAAgAEEAYgBvAHUAdABGAGkAbgBhAG4AYwBpAGEAbAC7A1wAbgAgACAAIAAgAEQARQBTAEMAUgBJAFAAVABJAE8ATgA6ACoALwAvACoAKgBEAGkAcwBwAGwAYQB5AHMAIAB0AGgAaQBzACAAbQBvAGQAdQBsAGUAJwBzACAAcgBlAHAAbwBzAGkAdABvAHIAeQAgAFUAUgBMACAAYQBuAGQAIABmAHUAbgBjAHQAaQBvAG4AIABsAGkAcwB0ACoALwBcAG4AXABuAEEAYgBvAHUAdABGAGkAbgBhAG4AYwBpAGEAbAC7AyAAPQAgAFQAUgBJAE0AKABUAEUAWABUAFMAUABMAEkAVAAoAFwAbgAgACAAIAAgAFwAIgBBAEIATwBVAFQAOgAgACAAIAAgACAAIAAgACAAIAAgACAAIAAgAJIhTwB6AHoAaQB0ACcAcwAgAEYAaQBuAGEAbgBjAGkAYQBsACAATQBvAGQAZQBsAHMAIABtAG8AZAB1AGwAZQAuACAAUwB1AGcAZwBlAHMAdABlAGQAIABtAG8AZAB1AGwAZQAgAG4AYQBtAGUAOgAgAG8AegC2AFwAIgAgACYAXABuACAAIAAgACAAXAAiAFYARQBSAFMASQBPAE4AOgAgACAAIAAgACAAIAAgACAAIAAgACAAkiE2ACAAUwBlAHAAIAAyADAAMgA2ALYAXAAiACAAJgBcAG4AIAAgACAAIABcACIAUgBFAFAATwBTAEkAVABPAFIAWQA6ACAAIAAgACAAIAAgACAAIAAgACAAkiFoAHQAdABwAHMAOgAvAC8AZwBpAHQAaAB1AGIALgBjAG8AbQAvAHIAeQBhAG4AZAB1AGcAdQBpAGQALwBPAHoAegBpAHQAIAC2AFwAIgAgACYAXABuACAAIAAgACAAXAAiAFcARQBCAFMASQBUAEUAOgAgACAAIAAgACAAIAAgACAAIAAgACAAkiFoAHQAdABwAHMAOgAvAC8AZwBpAHQAaAB1AGIALgBjAG8AbQAvAHIAeQBhAG4AZAB1AGcAdQBpAGQALwBPAHoAegBpAHQAIAC2AFwAIgAgACYAXABuACAAIAAgACAAXAAiAJIhtgBcACIAIAAmAFwAbgAgACAAIAAgAFwAIgBGAFUATgBDAFQASQBPAE4AIAAgACAAIAAgACAAIAAgACAAIAAgAJIhRABFAFMAQwBSAEkAUABUAEkATwBOALYAXAAiACAAJgAgAFwAbgAgACAAIAAgAFwAIgBBAGIAbwB1AHQARgBpAG4AYQBuAGMAaQBhAGw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DAHIAZQBhAHQAZQBzACAAYQB2AGUAcgBhAGcAZQBzACAAZgBvAHIAIABwAHIAZQBjAGUAZABpAG4AZwAgAHYAYQBsAHUAZQBzACAAbwBmACAAYQAgAHMAZQB0ACAAcwBpAHoAZQAgAG0AbwB2AGkAbgBnACAAZgByAG8AbQAgAGIAZQBnAGkAbgBuAGkAbgBnACAAdABvACAAZQBuAGQAIABvAHYAZQByACAAYQAgAHIAbwB3ACAAbwBmACAAdgBhAGwAdQBlAHMALgC2AFwAIgAgACYAXABuACAAIAAgACAAXAAiAFIAbwBsAGwAaQBuAGcATQBhAHg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kAbgC7AyAAIAAgACAAIAAgACAAIACSIUYAaQBuAGQAcwAgAHQAaABlACAAbQBpAG4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FMAdQBtALsDIAAgACAAIAAgACAAIAAgAJIhQwByAGUAYQB0AGUAcwAgAHQAbwB0AGEAbABzACAAZgBvAHIAIABwAHIAZQBjAGUAZABpAG4AZwAgAHYAYQBsAHUAZQBzACAAbwBmACAAYQAgAHMAZQB0ACAAcwBpAHoAZQAgAG0AbwB2AGkAbgBnACAAZgByAG8AbQAgAGIAZQBnAGkAbgBuAGkAbgBnACAAdABvACAAZQBuAGQAIABvAHYAZQByACAAYQAgAHIAbwB3ACAAbwBmACAAdgBhAGwAdQBlAHMALgC2AFwAIgAgACYAXABuACAAIAAgACAAXAAiAFMAdQBtAEMAbwBuAHQAYQBpAG4AcwC7AyAAIAAgACAAIAAgACAAkiFDAHIAZQBhAHQAZQBzACAAYQAgAHIAbwB3ACAAbwBmACAAdABvAHQAYQBsAHMAIABmAG8AcgAgAGUAYQBjAGgAIAByAG8AdwAgAGkAbgAgAGEAbgAgAGEAcgByAGEAeQAgAHcAaABlAHIAZQAgAGkAdABzACAAbABhAGIAZQBsAHMAIABjAG8AbgB0AGEAaQBuACAAYQAgAHUAbgBpAHEAdQBlACAAbABlAHQAdABlAHIALAAgAHcAbwByAGQALAAgAG8AcgAgAHAAaAByAGEAcwBlAC4AtgBcACIAIAAmACAAXABuACAAIAAgACAAXAAiAFMAdQBtAFAAZQByAGkAbwBkAHMAuwMgACAAIAAgACAAIAAgACAAkiFHAHIAbwB1AHAAcwAgAGEAbgBkACAAdABvAHQAYQBsAHMAIABhAGwAbAAgAGMAbwBsAHUAbQBuAHMAIABpAG4AIABhACAAVgBhAGwAdQBlAHMAIABhAHIAcgBhAHkAIABiAHkAIABwAGUAcgBpAG8AZAAgAHIAZQBzAHUAbAB0AGkAbgBnACAAaQBuACAAbwBuAGUAIABjAG8AbAB1AG0AbgAgAGYAbwByACAAZQBhAGMAaAAgAHAAZQByAGkAbwBkAC4AtgBcACIAIAAmACAAXABuACAAIAAgACAAXAAiAJIhtgBcACIAIAAmAFwAbgAgACAAIAAgAFwAIgBBAE0ATwBSAFQASQBTAEEAVABJAE8ATgAgAFMAVQBJAFQARQCSIbYAXAAiACAAJgAgAFwAbgAgACAAIAAgAFwAIgBBAG0AbwByAHQAaQBzAGUAuwMgACAAIAAgACAAIAAgACAAIAAgAJIhQwByAGUAYQB0AGUAcwAgAGEAIABjAG8AcgBrAHMAYwByAGUAdwAgAGEAbQBvAHIAdABpAHMAYQB0AGkAbwBuACAAcwBjAGgAZQBkAHUAbABlAC4AtgBcACIAIAAmACAAXABuACAAIAAgACAAXAAiAEwAYQBiAGUAbABBAG0AbwByAHQAaQBzAGUAuwMgACAAIAAgACAAkiFDAHIAZQBhAHQAZQAgAHIAbwB3ACAAbABhAGIAZQBsAHMAIABmAG8AcgAgAEEAbQBvAHIAdABpAHMAZQC7AyAAcgBlAHMAdQBsAHQAtgBcACIAIAAmACAAXABuACAAIAAgACAAXAAiAFMAdQBtAEEAbQBvAHIAdABpAHMAZQC7AyAAIAAgACAAIAAgACAAkiFDAHIAZQBhAHQAZQAgAHIAbwB3ACAAdABvAHQAYQBsAHMAIABmAG8AcgAgAHAAYQB5AG0AZQBuAHQAcwAsACAAaQBuAHQAZQByAGUAcwB0ACwAIABhAG4AZAAgAHAAcgBpAG4AYwBpAHAAYQBsACAAcABvAHIAdABpAG8AbgAgAGkAbgAgAEEAbQBvAHIAdABpAHMAZQC7AyAAcgBlAHMAdQBsAHQAcwC2AFwAIgAgACYAIABcAG4AIAAgACAAIABcACIAkiG2AFwAIgAgACYAXABuACAAIAAgACAAXAAiAEQARQBQAFIARQBDAEkAQQBUAEkATwBOACAAUwBVAEkAVABFAJIhtgBcACIAIAAmACAAXABuACAAIAAgACAAXAAiAEQAZQBwAHIAZQBjAGkAYQB0AGUAuwMgACAAIAAgACAAIAAgACAAkiFDAHIAZQBhAHQAZQAgAGEAIABiAGwAbwBjAGsAIABvAGYAIABDAEEAUABFAFgALAAgAE8AcABlAG4AaQBuAGcAIABCAGEAbABhAG4AYwBlACwAIABEAGUAcAByAGUAYwBpAGEAdABpAG8AbgAgAFYAYQBsAHUAZQBzACwAIABhAG4AZAAgAEIAbwBvAGsAIABWAGEAbAB1AGUAIABmAG8AcgAgAGUAYQBjAGgAIABhAHMAcwBlAHQAtgBcACIAIAAmACAAXABuACAAIAAgACAAXAAiAEwAYQBiAGUAbABEAGUAcAByAGUAYwBpAGEAdABlALsDIAAgACAAkiFDAHIAZQBhAHQAZQAgAHIAbwB3ACAAbABhAGIAZQBsAHMAIABmAG8AcgAgAEQAZQBwAHIAZQBjAGkAYQB0AGUAuwMgAHIAZQBzAHUAbAB0ALYAXAAiACAAJgAgAFwAbgAgACAAIAAgAFwAIgBTAHUAbQBEAGUAcAByAGUAYwBpAGEAdABlALsDIAAgACAAIAAgAJIhQwByAGUAYQB0AGUAIAByAG8AdwAgAHQAbwB0AGEAbABzACAAZgBvAHIAIABDAEEAUABFAFgALAAgAEQAZQBwAHIAZQBjAGkAYQB0AGkAbwBuACwAIABTAGEAbAB2AGEAZwBlACAAVgBhAGwAdQBlACwAIABhAG4AZAAgAEQAaQBzAHAAbwBzAGEAbAAgAGMAbwBzAHQAcwAgAGkAbgAgAEQAZQBwAHIAZQBjAGkAYQB0AGUAuwMgAHIAZQBzAHUAbAB0AHMAtgBcACIAIAAmACAAXABuACAAIAAgACAAXAAiAEEAbABsAG8AYwBhAHQAZQC7AyAAIAAgACAAIAAgACAAIAAgACAAkiFEAGkAdgBpAGQAZQAgAG8AbgBlACAAbwByACAAbQBvAHIAZQAgAGEAbQBvAHUAbgB0AHMAIABlAHEAdQBhAGwAbAB5ACAAYQBjAHIAbwBzAHMAIABzAG0AYQBsAGwAZQByACAAcABlAHIAaQBvAGQAcwC2AFwAIgAgACYAIABcAG4AIAAgACAAIABcACIAUwBMAE4AuwMgACAAIAAgACAAIAAgACAAIAAgACAAIAAgACAAIACSIVMAdAByAGEAaQBnAGgAdAAgAEwAaQBuAGUAIABkAGUAcAByAGUAYwBpAGEAdABpAG8AbgAgAG0AZQB0AGgAbwBkACAAZgBvAHIAIABvAG4AZQAgAGEAcwBzAGUAdAAgAG8AcgAgAGEAcwBzAGUAdAAgAGMAbABhAHMAcwAuALYAXAAiACAAJgAgAFwAbgAgACAAIAAgAFwAIgBTAFkARAC7AyAAIAAgACAAIAAgACAAIAAgACAAIAAgACAAIAAgAJIhUwB1AG0ALQBvAGYALQB5AGUAYQByAHMAJwAgAGQAaQBnAGkAdABzACAAZABlAHAAcgBlAGMAaQBhAHQAaQBvAG4AIABtAGUAdABoAG8AZAAgAGYAbwByACAAbwBuAGUAIABhAHMAcwBlAHQAIABvAHIAIABhAHMAcwBlAHQAIABjAGwAYQBzAHMALgC2AFwAIgAgACYAIABcAG4AIAAgACAAIABcACIARABCALsDIAAgACAAIAAgACAAIAAgACAAIAAgACAAIAAgACAAIACSIUYAaQB4AGUAZAAgAGQAZQBjAGwAaQBuAGkAbgBnACAAYgBhAGwAYQBuAGMAZQAgAGQAZQBwAHIAZQBjAGkAYQB0AGkAbwBuACAAbQBlAHQAaABvAGQAIABmAG8AcgAgAG8AbgBlACAAYQBzAHMAZQB0ACAAbwByACAAYQBzAHMAZQB0ACAAYwBsAGEAcwBzAC4AtgBcACIAIAAmACAAXABuACAAIAAgACAAXAAiAEQARABCALsDIAAgACAAIAAgACAAIAAgACAAIAAgACAAIAAgACAAkiFEAG8AdQBiAGwAZQAtAGQAZQBjAGwAaQBuAGkAbgBnACAAYgBhAGwAYQBuAGMAZQAgAGQAZQBwAHIAZQBjAGkAYQB0AGkAbwBuACAAbQBlAHQAaABvAGQAIABmAG8AcgAgAG8AbgBlACAAYQBzAHMAZQB0ACAAbwByACAAYQBzAHMAZQB0ACAAYwBsAGEAcwBzAC4AtgBcACIAIAAmACAAXABuACAAIAAgACAAXAAiAFYARABCALsDIAAgACAAIAAgACAAIAAgACAAIAAgACAAIAAgACAAkiFWAGEAcgBpAGEAYgBsAGUAIABkAGUAYwBsAGkAbgBpAG4AZwAgAGIAYQBsAGEAbgBjAGUAIABkAGUAcAByAGUAYwBpAGEAdABpAG8AbgAgAG0AZQB0AGgAbwBkACAAZgBvAHIAIABvAG4AZQAgAGEAcwBzAGUAdAAgAG8AcgAgAGEAcwBzAGUAdAAgAGMAbABhAHMAcwAuALYAXAAiACAAJgAgAFwAbgAgACAAIAAgACAAIAAgACAAIAAgACAAIAAgACAAIAAgACAAIAAgACAAIAAgACAAIAAgACAAIAAgACAAIAAgACAAIAAgACAAIAAgACAAIAAgACAAIAAgAFwAIgBEAGkAbQBpAG4AaQBzAGgAaQBuAGcAVgBhAGwAdQBlALsDIAAgAJIh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LYAXAAiACAAJgAgAFwAbgAgACAAIAAgACAAIAAgACAAIAAgACAAIAAgACAAIAAgACAAIAAgACAAIAAgACAAIAAgACAAIAAgACAAIAAgACAAIAAgACAAIAAgACAAIAAgACAAIAAgAFwAIgBQAHIAaQBtAGUAQwBvAHMAdAC7AyAAIAAgACAAIAAg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CAAXABuACAAIAAgACAAIAAgACAAIAAgACAAIAAgACAAIAAgACAAIAAgACAAIAAgACAAIAAgACAAIAAgACAAIAAgACAAIAAgACAAIAAgACAAIAAgACAAIAAgACAAXAAiAJIhtgBcACIAIAAmACAAXABuACAAIAAgACAAIAAgACAAIAAgACAAIAAgACAAIAAgACAAIAAgACAAIAAgACAAIAAgACAAIAAgACAAIAAgACAAIAAgACAAIAAgACAAIAAgACAAIAAgACAAXAAiAEEAVQBTAFQAUgBBAEwASQBBAE4AIABUAEEAWAAgACAAIAAgACAAkiG2AFwAIgAgACYAIABcAG4AIAAgACAAIAAgACAAIAAgACAAIAAgACAAIAAgACAAIAAgACAAIAAgACAAIAAgACAAIAAgACAAIAAgACAAIAAgACAAIAAgACAAIAAgACAAIAAgACAAIABcACIARwBTAFQAQQBkAGQAuwMgACAAIAAgACAAIAAgACAAIAAgACAAIACSIUEAZABkAHMAIABHAFMAVAAgAHQAbwAgAG8AbgBlACAAbwByACAAbQBvAHIAZQAgAEcAUwBUAC0AZQB4AGMAbAB1AHMAaQB2AGUAIABhAG0AbwB1AG4AdABzAC4AtgBcACIAIAAmACAAXABuACAAIAAgACAAIAAgACAAIAAgACAAIAAgACAAIAAgACAAIAAgACAAIAAgACAAIAAgACAAIAAgACAAIAAgACAAIAAgACAAIAAgACAAIAAgACAAIAAgACAAXAAiAEcAUwBUAEUAeAB0AHIAYQBjAHQAuwMgACAAIAAgACAAIAAgACAAkiFSAGUAdAB1AHIAbgBzACAAdABoAGUAIABHAFMAVAAgAGMAbwBuAHQAYQBpAG4AZQBkACAAaQBuACAAbwBuAGUAIABvAHIAIABtAG8AcgBlACAARwBTAFQALQBpAG4AYwBsAHUAcwBpAHYAZQAgAGEAbQBvAHUAbgB0AHMALgC2AFwAIgAgACYAXABuACAAIAAgACAAIAAgACAAIAAgACAAIAAgACAAIAAgACAAIAAgACAAIAAgACAAIAAgACAAIAAgACAAIAAgACAAIAAgACAAIAAgACAAIAAgACAAIAAgACAAXAAiAEwARQBBAFMARQBTACAAKABBAEEAUwBCACAAMQA2ACkAIAAgACAAkiG2AFwAIgAgACYAXABuACAAIAAgACAAIAAgACAAIAAgACAAIAAgACAAIAAgACAAIAAgACAAIAAgACAAIAAgACAAIAAgACAAIAAgACAAIAAgACAAIAAgACAAIAAgACAAIAAgACAAXAAiAEwAZQBhAHMAZQBMAGkAYQBiAGkAbABpAHQAeQC7AyAAIAAgACAAkiFQAHIAZQBzAGUAbgB0ACAAdgBhAGwAdQBlACAAbwBmACAAdABoAGUAIABsAGUAYQBzAGUAIABwAGEAeQBtAGUAbgB0AHMAIAB0AGgAYQB0ACAAYQByAGUAIABuAG8AdAAgAHAAYQBpAGQAIABhAHQAIAB0AGgAZQAgAGMAbwBtAG0AZQBuAGMAZQBtAGUAbgB0ACAAZABhAHQAZQC2AFwAIgAgACYAXABuACAAIAAgACAAIAAgACAAIAAgACAAIAAgACAAIAAgACAAIAAgACAAIAAgACAAIAAgACAAIAAgACAAIAAgACAAIAAgACAAIAAgACAAIAAgACAAIAAgACAAXAAiAEwAZQBhAHMAZQBTAGMAaABlAGQAdQBsAGUAuwMgACAAIAAgACAAkiFVAG4AdwBpAG4AZABzACAAYQAgAGwAZQBhAHMAZQAgAGwAaQBhAGIAaQBsAGkAdAB5ACAAaQBuAHQAbwAgAG8AcABlAG4AaQBuAGcALAAgAHAAYQB5AG0AZQBuAHQALAAgAGkAbgB0AGUAcgBlAHMAdAAgAGEAbgBkACAAYwBsAG8AcwBpAG4AZwAgAHIAbwB3AHMAtgBcACIAIAAmAFwAbgAgACAAIAAgACAAIAAgACAAIAAgACAAIAAgACAAIAAgACAAIAAgACAAIAAgACAAIAAgACAAIAAgACAAIAAgACAAIAAgACAAIAAgACAAIAAgACAAIAAgAFwAIgBMAGUAYQBzAGUAUgBlAG0AZQBhAHMAdQByAGUAuwMgACAAIAAgAJIhUgBlAG0AZQBhAHMAdQByAGUAcwAgAGEAIABsAGUAYQBzAGUAIABsAGkAYQBiAGkAbABpAHQAeQAgAGYAbwByACAAcgBlAHYAaQBzAGUAZAAgAHAAYQB5AG0AZQBuAHQAcwAgAGEAbgBkACAAYQBkAGoAdQBzAHQAcwAgAHQAaABlACAAcgBpAGcAaAB0AC0AbwBmAC0AdQBzAGUAIABhAHMAcwBlAHQAtgBcACIAIAAmAFwAbgAgACAAIAAgACAAIAAgACAAIAAgACAAIAAgACAAIAAgACAAIAAgACAAIAAgACAAIAAgACAAIAAgACAAIAAgACAAIAAgACAAIAAgACAAIAAgACAAIAAgAFwAIgBSAE8AVQBTAGMAaABlAGQAdQBsAGUAuwMgACAAIAAgACAAIAAgAJIhRABlAHAAcgBlAGMAaQBhAHQAZQBzACAAYQAgAHIAaQBnAGgAdAAtAG8AZgAtAHUAcwBlACAAYQBzAHMAZQB0ACAAaQBuACAAYQAgAHMAdAByAGEAaQBnAGgAdAAgAGwAaQBuAGUAIABvAHYAZQByACAAdABoAGUAIABsAGUAYQBzAGUAIAB0AGUAcgBtALYAXAAiACAAJgBcAG4AIAAgACAAIAAgACAAIAAgACAAIAAgACAAIAAgACAAIAAgACAAIAAgACAAIAAgACAAIAAgACAAIAAgACAAIAAgACAAIAAgACAAIAAgACAAIAAgACAAIABcACIAkiG2AFwAIgAgACYAXABuACAAIAAgACAAIAAgACAAIAAgACAAIAAgACAAIAAgACAAIAAgACAAIAAgACAAIAAgACAAIAAgACAAIAAgACAAIAAgACAAIAAgACAAIAAgACAAIAAgACAAXAAiAFIAQQBUAEUAUwAgACAAIAAgACAAIAAgACAAIAAgACAAIAAgACAAkiG2AFwAIgAgACYAXABuACAAIAAgACAAIAAgACAAIAAgACAAIAAgACAAIAAgACAAIAAgACAAIAAgACAAIAAgACAAIAAgACAAIAAgACAAIAAgACAAIAAgACAAIAAgACAAIAAgACAAXAAiAFAAZQByAGkAbwBkAFIAYQB0AGUAuwMgACAAIAAgACAAIAAgACAAkiFDAG8AbgB2AGUAcgB0AHMAIABhAG4AIABlAGYAZgBlAGMAdABpAHYAZQAgAGEAbgBuAHUAYQBsACAAcgBhAHQAZQAgAHQAbwAgAHQAaABlACAAZQBxAHUAaQB2AGEAbABlAG4AdAAgAHIAYQB0AGUAIABwAGUAcgAgAHAAZQByAGkAbwBkALYAXAAiACAAJgBcAG4AIAAgACAAIAAgACAAIAAgACAAIAAgACAAIAAgACAAIAAgACAAIAAgACAAIAAgACAAIAAgACAAIAAgACAAIAAgACAAIAAgACAAIAAgACAAIAAgACAAIABcACIAQQBuAG4AdQBhAGwAUgBhAHQAZQC7AyAAIAAgACAAIAAgACAAIACSIUMAbwBuAHYAZQByAHQAcwAgAGEAIAByAGEAdABlACAAcABlAHIAIABwAGUAcgBpAG8AZAAgAHQAbwAgAHQAaABlACAAZQBmAGYAZQBjAHQAaQB2AGUAIABhAG4AbgB1AGEAbAAgAHIAYQB0AGUAtgBcACIAIAAmAFwAbgAgACAAIAAgACAAIAAgACAAIAAgACAAIAAgACAAIAAgACAAIAAgACAAIAAgACAAIAAgACAAIAAgACAAIAAgACAAIAAgACAAIAAgACAAIAAgACAAIAAgAFwAIgBEAGEAeQBDAG8AdQBuAHQAUgBhAHQAZQC7AyAAIAAgACAAIAAgAJIhSQBuAHQAZQByAGUAcwB0ACAAcgBhAHQAZQAgAGYAbwByACAAZQBhAGMAaAAgAHQAaQBtAGUAbABpAG4AZQAgAHAAZQByAGkAbwBkACAAdQBuAGQAZQByACAAYQAgAGQAYQB5ACAAYwBvAHUAbgB0ACAAYwBvAG4AdgBlAG4AdABpAG8AbgC2AFwAIgAgACYAIABcAG4AIAAgACAAIAAgACAAIAAgACAAIAAgACAAIAAgACAAIAAgACAAIAAgACAAIAAgACAAIAAgACAAIAAgACAAIAAgACAAIAAgACAAIAAgACAAIAAgACAAIABcAG4AIAAgACAAIABcACIAkiG2AFwAIgAgACYAXABuACAAIAAgACAAXAAiAFMAVQBCAFIATwBVAFQASQBOAEUAUwAgACAAIAAgACAAIAAgACAAkiFGAHUAbgBjAHQAaQBvAG4AcwAgAHUAcwBlAGQAIABiAHkAIABvAHQAaABlAHIAIABmAHUAbgBjAHQAaQBvAG4AcwAgAG8AcgAgAGcAZQBuAGUAcgBhAGwAIABwAHUAcgBwAG8AcwBlACAAZgB1AG4AYwB0AGkAbwBuAHMALgC2AFwAIgAgACYAIABcAG4AIAAgACAAIABcACIARgBpAGwAdABlAHIAQwBvAG4AdABhAGkAbgBzALsDIAAgACAAIACSIUYAaQBsAHQAZQByACAAYQBuACAAYQByAHIAYQB5ACAAYgB5ACAAYQBuAG8AdABoAGUAcgAgAGEAcgByAGEAeQAgAHQAaABhAHQAIABjAG8AbgB0AGEAaQBuAHMAIABzAHAAZQBjAGkAZgBpAGMAIAB0AGUAeAB0ALYAXAAiACAAJgAgAFwAbgAgACAAIAAgAFwAIgBSAGEAbgBnAGUAVABvAEQAQQC7AyAAIAAgACAAIAAgACAAIAAgAJIhQwByAGUAYQB0AGUAIABhACAAZAB5AG4AYQBtAGkAYwAgAGEAcgByAGEAeQAgAGYAcgBvAG0AIABhACAAcwB0AGEAdABpAGMAIAByAGEAbgBnAGUAtgBcACIAIAAmACAAXABuACAAIAAgACAAXAAiAFQAaQBtAGUAbABpAG4AZQBPAGYAZgBzAGUAdAC7AyAAIAAgACAAkiFEAGUAdABlAHIAbQBpAG4AZQBzACAAaABvAHcAIABtAGEAbgB5ACAAYwBvAGwAdQBtAG4AcwAgAGEAIABkAGEAdABlACAAaQBzACAAbwBmAGYAcwBlAHQAIABmAHIAbwBtACAAYQAgAHQAaQBtAGUAbABpAG4AZQAnAHMAIABmAGkAcgBzAHQAIABkAGEAdABlALYAXAAiACAAJgAgAFwAbgAgACAAIAAgAFwAIgBUAGkAbQBlAGwAaQBuAGUAUABvAHMAaQB0AGkAbwBuALsDIAAgAJIhUABsAGEAYwBlAHMAIABhAG4AIABhAHIAcgBhAHkAIABvAHIAIAB2AGEAbAB1AGUAIABhAHAAcAByAG8AcAByAGkAYQB0AGUAbAB5ACAAdwBpAHQAaABpAG4AIABhACAAbQBvAGQAZQBsACcAcwAgAHQAaQBtAGUAbABpAG4AZQAuALYAXAAiACAAJgAgACAAXABuACAAIAAgACAAXAAiAFAAZQByAGkAbwBkAFMAdABhAHIAdAC7AyAAIAAgACAAIAAgACAAkiFEAGUAdABlAHIAbQBpAG4AZQAgAHcAaABlAG4AIABhACAAcABlAHIAaQBvAGQAIABjAG8AbgB0AGEAaQBuAGkAbgBnACAAYQAgAGQAYQB0AGUAIABvAGYAIABpAG4AdABlAHIAZQBzAHQAIABzAHQAYQByAHQAcwAuALYAXAAiACAAJgAgAFwAbgAgACAAIAAgAFwAIgBQAGUAcgBpAG8AZABEAGkAZgBmALsDIAAgACAAIAAgACAAIAAgAJIhRABlAHQAZQByAG0AaQBuAGUAIAB0AGgAZQAgAG4AdQBtAGIAZQByACAAbwBmACAAcABlAHIAaQBvAGQAcwAgAGIAZQB0AHcAZQBlAG4AIAB0AHcAbwAgAGQAYQB0AGUAcwAuAFwAIgAsAFwAbgAgACAAIAAgAFwAIgCSIVwAIgAsAFwAIgC2AFwAIgBcAG4AIAAgACAAIAApAFwAbgApADsAXABuAFwAbgBcAG4AXABuAFwAbgAvACoAIAAgAEYAVQBOAEMAVABJAE8ATgAgAE4AQQBNAEUAOgAgACAAQwBvAHIAawBzAGMAcgBlAHcAuwNcAG4AIAAgACAAIABEAEUAUwBDAFIASQBQAFQASQBPAE4AOgAqAC8ALwAqACoAQwByAGUAYQB0AGUAIABhACAAYwBvAHIAawBzAGMAcgBlAHcAIABzAGUAYwB0AGkAbwBuACAAdABoAGEAdAAgAHMAdQBtAHMAIAB0AGgAZQAgAG8AcABlAG4AaQBuAGcAIABiAGEAbABhAG4AYwBlACAAYQBuAGQAIAB1AHAAIAB0AG8AIAA0ACAAaQBuAGQAZQBwAGUAbgBkAGUAbgB0ACAAZgBsAG8AdwBzAC4AKgAvAFwAbgBDAG8AcgBrAHMAYwByAGUAdwC7Ay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gAZQBsAHAAXABuACAAIAAgACAAIAAgACAAIABIAGUAbABwACwAIAAgACAAIAAgACAAIABUAFIASQBNACgAVABFAFgAVABTAFAATABJAFQAKAAgAFwAbgAgACAAIAAgACAAIAAgACAAIAAgACAAIAAgACAAIAAgACAAIAAgACAAIAAgACAAIABcACIARgBVAE4AQwBUAEkATwBOADoAIAAgACAAIAAgACAAkiFDAG8AcgBrAHMAYwByAGUAdwC7AygAIABPAHAAZQBuAGkAbgBnACwAIABGAGwAbwB3ADEALAAgAFsARgBsAG8AdwAyAF0ALAAgAFsARgBsAG8AdwAzAF0ALAAgAFsARgBsAG8AdwA0AF0AKQC2AFwAIgAgACYAXABuACAAIAAgACAAIAAgACAAIAAgACAAIAAgACAAIAAgACAAIAAgACAAIAAgACAAIAAgAFwAIgBEAEUAUwBDAFIASQBQAFQASQBPAE4AOgAgACAAIACSIUMAcgBlAGEAdABlACAAYQAgAGMAbwByAGsAcwBjAHIAZQB3ACAAcwBlAGMAdABpAG8AbgAgAHQAaABhAHQAIABzAHUAbQBzACAAdABoAGUAIABvAHAAZQBuAGkAbgBnACAAYgBhAGwAYQBuAGMAZQAgAGEAbgBkACAAdQBwACAAdABvACAANAAgAGkAbgBkAGUAcABlAG4AZABlAG4AdAAgAGYAbABvAHcAcw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LYAXAAiACAAJgAgAFwAbgAgACAAIAAgACAAIAAgACAAIAAgACAAIAAgACAAIAAgACAAIAAgACAAIAAgACAAIABcACIAkiG2AFwAIgAgACYAXABuACAAIAAgACAAIAAgACAAIAAgACAAIAAgACAAIAAgACAAIAAgACAAIAAgACAAIAAgAFwAIgBFAFgAQQBNAFAATABFAFMAOgAgACAAIAAgACAAIACSIU4ATwBUAEUAIQAgAG8AegAgAGkAcwAgAGEAcwBzAHUAbQBlAGQAIAB0AG8AIABiAGUAIAB0AGgAZQAgAG0AbwBkAHUAbABlACcAcwAgAG4AYQBtAGUAtgBcACIAIAAmACAAXABuACAAIAAgACAAIAAgACAAIAAgACAAIAAgACAAIAAgACAAIAAgACAAIAAgACAAIAAgAFwAIgBGAG8AcgBtAHUAbABhADoAIAAgACAAIAAgACAAIACSIT0AbwB6AC4AQwBvAHIAawBzAGMAcgBlAHcAuwMoADAALAAgAFMAZQBxAHUAZQBuAGMAZQAoADEALAA1ACkAKQC2AFwAIgAgACYAXABuACAAIAAgACAAIAAgACAAIAAgACAAIAAgACAAIAAgACAAIAAgACAAIAAgACAAIAAgAFwAIgBSAGUAcwB1AGwAdAA6ACAAIAAgACAAIAAgACAAIACSITAAMAAsACAAMAAxACwAIAAwADMALAAgADAANgAsACAAMQAwALYAXAAiACAAJgBcAG4AIAAgACAAIAAgACAAIAAgACAAIAAgACAAIAAgACAAIAAgACAAIAAgACAAIAAgACAAIAAgACAAIAAgACAAIAAgACAAIAAgACAAIAAgACAAXAAiAJIhMAAxACwAIAAwADIALAAgADAAMwAsACAAMAA0ACwAIAAwADUAtgBcACIAIAAmAFwAbgAgACAAIAAgACAAIAAgACAAIAAgACAAIAAgACAAIAAgACAAIAAgACAAIAAgACAAIAAgACAAIAAgACAAIAAgACAAIAAgACAAIAAgACAAIABcACIAkiEwADEALAAgADAAMwAsACAAMAA2ACwAIAAxADAALAAgADEAN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8AcABlAG4AaQBuAGcAKQAsAFwAbgAgACAAIAAgACAAIAAgACAAIAAgACAAIAAgACAAIAAgACAAIAAgACAAIAAgACAAIAAgACAAIAAgAEkAUwBPAE0ASQBUAFQARQBEACgAIABGAGwAbwB3ADEAKQBcAG4AIAAgACAAIAAgACAAIAAgACAAIAAgACAAIAAgACAAIAAgACAAIAAgACAAIAAgACAAKQAsAFwAbgAgACAAIAAgAC8ALwAgACAAUAByAG8AYwBlAHMAcwBpAG4AZwBcAG4AIAAgACAAIAAgACAAIAAgAEMAbwBsAHMALAAgACAAIAAgACAAIAAgACAAIAAgACAAQwBvAGwAdQBtAG4AcwAoAEYAbABvAHcAMQApACw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CAAIAAgACAAIAAgACAAIAAgACAAIAAgACAAIAAgACAAIAAgACAAIAAgACAAIABcAG4AIAAgACAAIAAgACAAIAAgAFAAZQByAGkAbwBkAEEAcgByAGEAeQAsACAAIAAgACAAUwBXAEkAVABDAEgAKABSAG8AdwBzACwAIABcAG4AIAAgACAAIAAgACAAIAAgACAAIAAgACAAIAAgACAAIAAgACAAIAAgACAAIAAgACAAIAAgACAAIAAxACwAIAAgAEYAbABvAHcAMQAsACAAXABuACAAIAAgACAAIAAgACAAIAAgACAAIAAgACAAIAAgACAAIAAgACAAIAAgACAAIAAgACAAIAAgACAAMgAsACAAIABWAFMAVABBAEMASwAoAEYAbABvAHcAMQAsACAARgBsAG8AdwAyACkALAAgAFwAbgAgACAAIAAgACAAIAAgACAAIAAgACAAIAAgACAAIAAgACAAIAAgACAAIAAgACAAIAAgACAAIAAgADMALAAgACAAVgBTAFQAQQBDAEsAKABGAGwAbwB3ADEALAAgAEYAbABvAHcAMgAsACAARgBsAG8AdwAzACkALABcAG4AIAAgACAAIAAgACAAIAAgACAAIAAgACAAIAAgACAAIAAgACAAIAAgACAAIAAgACAAIAAgACAAIAA0ACwAI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QwBsAG8AcwBpAG4AZwBUAG8AdABhAGwALAAgACAAIABTAEMAQQBOACgATwBwAGUAbgBpAG4AZwAsACAAUABlAHIAaQBvAGQAVABvAHQAYQBsACwAIABMAEEATQBCAEQAQQAoAE8AcABuACwAIABQAHIAZABUAG8AdAAsACAATwBwAG4AIAArACAAUAByAGQAVABvAHQAKQApACwAIABcAG4AIAAgACAAIAAgACAAIAAgAE8AcABlAG4AaQBuAGcAVABvAHQAYQBsACwAIAAgACAATQBBAFAAKAAgAFMARQBRAFUARQBOAEMARQAoACwAIABDAG8AbABzACkALAAgAEwAQQBNAEIARABBACgAIABDAG8AbAAsACAASQBGACgAIABDAG8AbAAgAD0AIAAxACwAIABPAHAAZQBuAGkAbgBnACwAIABJAE4ARABFAFgAKAAgAEMAbABvAHMAaQBuAGcAVABvAHQAYQBsACwAIABDAG8AbAAgAC0AIAAxACkAKQApACkALABcAG4AIAAgACAAIAAgACAAIAAgAFIAZQBzAHUAbAB0ACwAIAAgACAAIAAgACAAIAAgACAAVgBTAFQAQQBDAEsAKABPAHAAZQBuAGkAbgBnAFQAbwB0AGEAbAAsACAAUABlAHIAaQBvAGQAQQByAHIAYQB5ACwAIABDAGwAbwBzAGkAbgBnAFQAbwB0AGEAbAApACwAI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DAG8AcgBrAFMAYwByAGUAdwBSAGUAdgBlAHIAcwBhAGwAuwNcAG4AIAAgACAAIABEAEUAUwBDAFIASQBQAFQASQBPAE4AOgAqAC8ALwAqACoAQwByAGUAYQB0AGUAIABhACAAYwBvAHIAawBzAGMAcgBlAHcAIAB3AGgAZQByAGUAIAB0AGgAZQAgAG8AcABlAG4AaQBuAGcAIABiAGEAbABhAG4AYwBlACAAaQBzACAAcgBlAHYAZQByAHMAZQBkACAAaQBuACAAdABoAGUAIABuAGUAeAB0ACAAcABlAHIAaQBvAGQAIABiAGEAcwBlAGQAIABvAG4AIABhACAAdABpAG0AaQBuAGcAIABwAGEAcgBhAG0AZQB0AGUAcgAuACoALwBcAG4AQwBvAHIAawBTAGMAcgBlAHcAUgBlAHYAZQByAHMAYQBsALsDPQBMAEEATQBCAEQAQQAoAFwAbgAvAC8AIAAgAFAAYQByAGEAbQBlAHQAZQByACAARABlAGMAbABhAHIAYQB0AGkAbwBuAHMAXABuACAAIAAgACAAWwBPAHAAZQBuAGkAbgBnAF0ALABcAG4AIAAgACAAIABbAFIAZQB2AGUAcgBzAGEAbABGAGwAYQBnAHMAXQAsAFwAbgAgACAAIAAgAFsARgBsAG8AdwAxAF0ALABcAG4AIAAgACAAIABbAEYAbABvAHcAMgBdACwAXABuACAAIAAgACAAWwBGAGwAbwB3ADMAXQAsAFwAbgAgACAAIAAgAFsARgBsAG8AdwA0AF0ALAAgAFwAbgAgACAAIAAgAC8ALwAgACAASABlAGwAcABcAG4AIAAgACAAIABMAEUAVAAoAEgAZQBsAHAALAAgACAAIAAgACAAIAAgACAAIAAgACAAVABSAEkATQAoAFQARQBYAFQAUwBQAEwASQBUACgAXABuACAAIAAgACAAIAAgACAAIAAgACAAIAAgACAAIAAgACAAIAAgACAAIAAgACAAIAAgAFwAIgBGAFUATgBDAFQASQBPAE4AOgAgACAAIAAgACAAIACSIUMAbwByAGsAUwBjAHIAZQB3AFIAZQB2AGUAcgBzAGEAbAC7AygAIABPAHAAZQBuAGkAbgBnACwAIABSAGUAdgBlAHIAcwBhAGwARgBsAGEAZwBzACwAIABGAGwAbwB3ADEALAAgAFsARgBsAG8AdwAyAF0ALAAgAFsARgBsAG8AdwAzAF0ALAAgAFsARgBsAG8AdwA0AF0AKQC2AFwAIgAgACYAIABcAG4AIAAgACAAIAAgACAAIAAgACAAIAAgACAAIAAgACAAIAAgACAAIAAgACAAIAAgACAAXAAiAEQARQBTAEMAUgBJAFAAVABJAE8ATgA6ACAAIAAgAJIhQwByAGUAYQB0AGUAIABhACAAYwBvAHIAawBzAGMAcgBlAHcAIAB3AGgAZQByAGUAIAB0AGgAZQAgAG8AcABlAG4AaQBuAGcAIABiAGEAbABhAG4AYwBlACAAaQBzACAAcgBlAHYAZQByAHMAZQBkACAAaQBuACAAdABoAGUAIABuAGUAeAB0ACAAcABlAHIAaQBvAGQAIABiAGEAcwBlAGQAIABvAG4AIABhACAAdABpAG0AaQBuAGcAIABwAGEAcgBhAG0AZQB0AGUAcgC2AFwAIgAgACYAIABcAG4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XAAiAFYARQBSAFMASQBPAE4AOgAgACAAIAAgACAAIAAgAJIhMgAw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LwAvACAAIABUAGgAZQAgAGMAbABvAHMAaQBuAGcAIABiAGEAbABhAG4AYwBlACAAaQBzACAAdABoAGUAIABvAG4AbAB5ACAAcwB0AGEAdABlACAAYwBhAHIAcgBpAGUAZAAgAGYAcgBvAG0AIABvAG4AZQAgAHAAZQByAGkAbwBkACAAdABvACAAdABoAGUAIABuAGUAeAB0ADoAIABhACAAcABlAHIAaQBvAGQAXABuACAAIAAgACAALwAvACAAIABjAGwAbwBzAGUAcwAgAG8AbgAgAGkAdABzACAAbwBwAGUAbgBpAG4AZwAgAGIAYQBsAGEAbgBjAGUALAAgAGwAZQBzAHMAIAB0AGgAYQB0ACAAYgBhAGwAYQBuAGMAZQAgAHcAaABlAHIAZQAgAHQAaABlACAAZgBsAGEAZwAgAHIAZQB2AGUAcgBzAGUAcwAgAGkAdAAsACAAcABsAHUAcwBcAG4AIAAgACAAIAAvAC8AIAAgAGkAdABzACAAZgBsAG8AdwBzAC4AIABTAG8AbAB2AGUAIAB0AGgAZQAgAGMAbABvAHMAaQBuAGcAcwAgAGkAbgAgAG8AbgBlACAAcABhAHMAcwAgAGEAbgBkACAAcgBlAGEAZAAgAGUAdgBlAHIAeQAgAG8AdABoAGUAcgAgAHIAbwB3ACAAbwBmAGYAIAB0AGgAZQBtAC4AXABuACAAIAAgACAAIAAgACAAIABGAGwAYQBnAHMALAAgACAAIAAgACAAIAAgACAAIAAgAEkATgBEAEUAWAAoACAAUgBlAHYAZQByAHMAYQBsAEYAbABhAGcAcwAsACAAMQAsACAAUwBFAFEAVQBFAE4AQwBFACgAIAAsACAAQwBvAGwAcwApACkALABcAG4AIAAgACAAIAAgACAAIAAgAEMAbABvAHMAaQBuAGcAcwAsACAAIAAgACAAIAAgACAAUwBDAEEATgAoACAATwBwAGUAbgBpAG4AZwAsACAAUwBFAFEAVQBFAE4AQwBFACgAIAAsACAAQwBvAGwAcwApACwAXABuACAAIAAgACAAIAAgACAAIAAgACAAIAAgACAAIAAgACAAIAAgACAAIAAgACAAIAAgACAAIAAgACAATABBAE0AQgBEAEEAKAAgAEEAYwBjACwAIABDAG8AbAAsAFwAbgAgACAAIAAgACAAIAAgACAAIAAgACAAIAAgACAAIAAgACAAIAAgACAAIAAgACAAIAAgACAAIAAgACAAIAAgACAAQQBjAGMAIAAqACAAKAAgADEAIAAtACAASQBOAEQARQBYACgAIABGAGwAYQBnAHMALAAgADEALAAgAEMAbwBsACkAKQAgACsAIABJAE4ARABFAFgAKAAgAFAAZQByAGkAbwBkAFQAbwB0AGEAbAAsACAAMQAsACAAQwBvAGwAKQBcAG4AIAAgACAAIAAgACAAIAAgACAAIAAgACAAIAAgACAAIAAgACAAIAAgACAAIAAgACAAIAAgACAAIAApAFwAbgAgACAAIAAgACAAIAAgACAAIAAgACAAIAAgACAAIAAgACAAIAAgACAAIAAgACAAIAApACwAXABuACAAIAAgACAAIAAgACAAIABPAHAAZQBuAGkAbgBnAHMALAAgACAAIAAgACAAIAAgAEkARgAoACAAQwBvAGwAcwAgAD0AIAAxACwAIABPAHAAZQBuAGkAbgBnACwAIABIAFMAVABBAEMASwAoACAATwBwAGUAbgBpAG4AZwAsACAARABSAE8AUAAoACAAQwBsAG8AcwBpAG4AZwBzACwAIAAsACAALQAxACkAKQApACwAXABuACAAIAAgACAAIAAgACAAIABSAGUAdgBlAHIAcwBhAGwAcwAsACAAIAAgACAAIAAgAC0ARgBsAGEAZwBzACAAKgAgAE8AcABlAG4AaQBuAGcAcwAsAFwAbgAgACAAIAAgACAAIAAgACAAUgBlAHMAdQBsAHQALAAgACAAIAAgACAAIAAgACAAIABWAFMAVABBAEMASwAoACAATwBwAGUAbgBpAG4AZwBzACwAIABSAGUAdgBlAHIAcwBhAGwAcwAsACAAUABlAHIAaQBvAGQAQQByAHIAYQB5ACwAIABDAGwAbwBzAGkAbgBn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bgB0AE8AbgBJAG4AdAC7A1wAdABcAG4AIAAgACAAIABEAEUAUwBDAFIASQBQAFQASQBPAE4AOgAqAC8AIAAvACoAKgBDAGEAbABjAHUAbABhAHQAZQAgAEkAbgB0AGUAcgBlAHMAdAAgAG8AbgAgAEkAbgB0AGUAcgBlAHMAdAAuACAAVQBzAGUAIAB0AG8AIABkAGUAdABlAHIAbQBpAG4AZQAgAGEAbQBvAHUAbgB0ACAAbgBlAGUAZABlAGQAIAB0AG8AIABjAG8AdgBlAHIAIABkAGUAYgB0ACAAcABsAHUAcwAgAGkAbgB0AGUAcgBlAHMAdAAgAG8AbgAgAGQAZQBiAHQAKgAvAFwAbgAvACoAIAAgAE4ATwBUAEUAOgAgACAAIAAgACAAIAAgACAAIAAgACAATQBhAHQAaAAgAHMAbwB1AHIAYwBlACAAZgByAG8AbQAgAEQAaQBhAHIAbQB1AGkAZAAgAEUAYQByAGwAeQAnAHMAIABwAG8AcwB0ADoAIABoAHQAdABwAHMAOgAvAC8AdwB3AHcALgB5AG8AdQB0AHUAYgBlAC4AYwBvAG0ALwB3AGEAdABjAGgAPwB2AD0AawA1AHIARwBfAE0AdgBJAFcAVwBzACYAdAA9ADcAOAA3AHMAXABuACoALwBcAG4ASQBuAHQATwBuAEkAbgB0ALsDIAA9ACAATABBAE0AQgBEAEEAKABcAG4AIAAgACAAIABbAFAAcgBpAG4AYwBpAHAAYQBsAF0ALABcAG4AIAAgACAAIABbAFIAYQB0AGU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bgB0AE8AbgBJAG4AdAC7AygAIABQAHIAaQBuAGMAaQBwAGEAbAAsACAAUgBhAHQAZQApALYAXAAiACAAJgAgAFwAbgAgACAAIAAgACAAIAAgACAAIAAgACAAIAAgACAAIAAgACAAIAAgACAAIAAgACAAIAAgACAAIAAgAFwAIgBEAEUAUwBDAFIASQBQAFQASQBPAE4AOgAgACAAIACSIUMAYQBsAGMAdQBsAGEAdABlACAASQBuAHQAZQByAGUAcwB0ACAAbwBuACAASQBuAHQAZQByAGUAcwB0ACAAKABJAG4AdABlAHIAZQBzAHQAIABvAG4AbAB5ACkALgAgAFUAcwBlACAAdABvACAAZABlAHQAZQByAG0AaQBuAGUAIABhAG0AbwB1AG4AdAAgALYAXAAiACAAJgBcAG4AIAAgACAAIAAgACAAIAAgACAAIAAgACAAIAAgACAAIAAgACAAIAAgACAAIAAgACAAIAAgACAAIAAgACAAIAAgACAAIAAgACAAIAAgACAAIAAgACAAIABcACIAkiFuAGUAZQBkAGUAZAAgAHQAbwAgAGMAbwB2AGUAcgAgAGIAbwByAHIAbwB3AGUAZAAgAGkAbgB0AGUAcgBlAHMAdAC2AFwAIgAgACYAIABcAG4AIAAgACAAIA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AAcgBpAG4AYwBpAHAAYQBsACAAIAAgACAAIACSISgAUgBlAHEAdQBpAHIAZQBkACkAIABQAHIAaQBuAGMAaQBwAGEAbAAgAGEAbQBvAHUAbgB0ALYAXAAiACAAJgAgAFwAbgAgACAAIAAgACAAIAAgACAAIAAgACAAIAAgACAAIAAgACAAIAAgACAAIAAgACAAIAAgACAAIAAgAFwAIgBSAGEAdABlACAAIAAgACAAIAAgACAAIAAgACAAkiEoAFIAZQBxAHUAaQByAGUAZAApACAASQBuAHQAZQByAGUAcwB0ACAAcABlAHIAYwBlAG4AdABhAGcAZQAgAHIAYQB0AGUALgAgAEYAbwByACAAeQBlAGEAcgBzACwAIABBAFAAUgAuACAARgBvAHIAIABtAG8AbgB0AGgAcwAsACAAQQBQAFIALwAxADI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yAC4ANgAzACAAIAAgACAAIAAgACAAIAAgACAAkiE9AG8AegAuAEkAbgB0AE8AbgBJAG4AdAC7AygAIAAxADAAMAAwACwAIAA1AC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UgBhAHQAZQApAFwAbgAgACAAIAAgACAAIAAgACAAIAAgACAAIAAgACAAIAAgACAAIAAgACAAIAAgACAAIAApACwAXABuACAAIAAgACAALwAvACAAIABQAHIAbwBjAGUAZAB1AHIAZQBcAG4AIAAgACAAIAAgACAAIAAgAFIAZQBzAHUAbAB0ACwAIAAgACAAIAAgACAAIAAgACAAUAByAGkAbgBjAGkAcABhAGwAIAAvACgAMQAtAFIAYQB0AGUAKQAgAC0AIABQAHIAaQBuAGMAaQBwAGEAbA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UgBSALsDXAB0AFwAbgAgACAAIAAgAEQARQBTAEMAUgBJAFAAVABJAE8ATgA6ACoALwAgAC8AKgAqAEMAYQBsAGMAdQBsAGEAdABlAHMAIABJAFIAUgAsACAAYwBvAHIAcgBlAGMAdABpAG4AZwAgAGYAbwByACAAdwBoAGUAbgAgAHQAaABlACAAZgBpAHIAcwB0ACAAaQBuAHYAZQBzAHQAbQBlAG4AdAAgAGkAcwAgAG4AbwB0ACAAaQBuACAAdABoAGUAIABmAGkAcgBzAHQAIABwAGUAcgBpAG8AZAAgACoALwBcAG4ASQBSAFIAuwMgAD0AIABMAEEATQBCAEQAQQAoAFwAbgAgACAAIAAgAFsAVgBhAGwAdQBlAHMAXQAsAFwAbgAgACAAIAAgAFsARABhAHQAZQBz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FIAUgC7AygAIABWAGEAbAB1AGUAcwAsACAARABhAHQAZQBzACkAtgBcACIAIAAmACAAXABuACAAIAAgACAAIAAgACAAIAAgACAAIAAgACAAIAAgACAAIAAgACAAIAAgACAAIAAgACAAIAAgACAAXAAiAEQARQBTAEMAUgBJAFAAVABJAE8ATgA6ACAAIAAgAJIhQwBhAGwAYwB1AGwAYQB0AGUAcwAgAEkAUgBSACwAIABjAG8AcgByAGUAYwB0AGkAbgBnACAAZgBvAHIAIAB3AGgAZQBuACAAdABoAGUAIABmAGkAcgBzAHQAIABpAG4AdgBlAHMAdABtAGUAbgB0ACAAaQBzACAAbgBvAHQAIABpAG4AIAB0AGgAZQAgAGYAaQByAHMAdAAgAHAAZQByAGkAbwBkALYAXAAiACAAJgAgAFwAbgAgACAAIAAg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aQBuAHYAZQBzAHQAbQBlAG4AdABzACAAKABuAGUAZwBhAHQAaQB2AGUAKQAgAGEAbgBkACAAZABpAHMAdAByAGkAYgB1AHQAaQBvAG4AcwAgACgAcABvAHMAaQB0AGkAdgBlACkAtgBcACIAIAAmACAAXABuACAAIAAgACAAIAAgACAAIAAgACAAIAAgACAAIAAgACAAIAAgACAAIAAgACAAIAAgACAAIAAgACAAIAAgACAAIAAgACAAIAAgACAAIAAgACAAIAAgACAAXAAiAJIhVABoAGUAIABmAGkAcgBzAHQAIABlAG4AdAByAHkALAAgAHcAaABlAHQAaABlAHIAIAAwACAAbwByACAAYQBuACAAYQBtAG8AdQBuAHQALAAgAG0AdQBzAHQAIABiAGUAIABmAG8AcgAgAHQAaABlACAAZgBpAHIAcwB0ACAAcABlAHIAaQBvAGQAIABpAG4AIAB0AGgAZQAgAHQAaQBtAGUAbABpAG4AZQC2AFwAIgAgACYAIABcAG4AIAAgACAAIAAgACAAIAAgACAAIAAgACAAIAAgACAAIAAgACAAIAAgACAAIAAgACAAIAAgACAAIAAgACAAIAAgACAAIAAgACAAIAAgACAAIAAgACAAIABcACIAkiFhAG4AZAAgAHMAdQBiAHMAZQBxAHUAZQBuAHQAIABlAG4AdAByAGkAZQBzACAAbQB1AHMAdAAgAGMAbwByAHIAZQBzAHAAbwBuAGQAIAB0AG8AIABwAGUAcgBpAG8AZABzACAAaQBuACAAdABoAGUAIAB0AGkAbQBlAGwAaQBuAGUAOwAgAGgAbwB3AGUAdgBlAHIALAC2AFwAIgAgACYAIABcAG4AIAAgACAAIAAgACAAIAAgACAAIAAgACAAIAAgACAAIAAgACAAIAAgACAAIAAgACAAIAAgACAAIAAgACAAIAAgACAAIAAgACAAIAAgACAAIAAgACAAIABcACIAkiF0AGgAZQAgAHQAaQBtAGUAbABpAG4AZQAgAG0AYQB5ACAAZQB4AHQAZQBuAGQAIABiAGUAeQBvAG4AZAAgAHQAaABlACAAZQBuAGQAIABvAGYAIAB2AGEAbAB1AGUAcwAuALYAXAAiACAAJgAgAFwAbgAgACAAIAAgACAAIAAgACAAIAAgACAAIAAgACAAIAAgACAAIAAgACAAIAAgACAAIAAgACAAIAAgAFwAIgBEAGEAdABlAHMAIAAgACAAIAAgACAAIAAgACAAIACSISgAUgBlAHEAdQBpAHIAZQBkACkAIABBACAAdABpAG0AZQBsAGkAbgBlACAAZgBvAHIAIAB3AGgAZQBuACAAZQBhAGMAaAAgAGkAbgB2AGUAcwB0AG0AZQBuAHQAIABpAHMAIABtAGEAZABlALYAXAAiACAAJgAg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BEAGEAdABlAHMAIAAgACAAIAAgACAAIAAgACAAIACSIT0ARQBEAEEAVABFACgAXAAiAFwAIgAxAC8ANwAvADIAMAAyADYAXAAiAFwAIgAsACAAUwBFAFEAVQBFAE4AQwBFACgALAAyADQALAAgADAAKQApALYAXAAiACAAJgBcAG4AIAAgACAAIAAgACAAIAAgACAAIAAgACAAIAAgACAAIAAgACAAIAAgACAAIAAgACAAIAAgACAAIABcACIAVgBhAGwAdQBlAHMAIAAgACAAIAAgACAAIAAgACAAkiE9AHsAMAAsADAALAAtADEANQAwACwAMAAsAC0AMQAwADAALAAxADAALAAyADAALAAzADAALAA0ADAALAA1ADAALAA2ADAALAA3ADAAfQC2AFwAIgAgACYAIABcAG4AIAAgACAAIAAgACAAIAAgACAAIAAgACAAIAAgACAAIAAgACAAIAAgACAAIAAgACAAIAAgACAAIABcACIAkiG2AFwAIgAgACYAXABuACAAIAAgACAAIAAgACAAIAAgACAAIAAgACAAIAAgACAAIAAgACAAIAAgACAAIAAgACAAIAAgACAAXAAiAFIAZQBzAHUAbAB0ACAAIAAgACAAIAAgACAAIAAgAJIhRgBvAHIAbQB1AGwAYQC2AFwAIgAgACYAXABuACAAIAAgACAAIAAgACAAIAAgACAAIAAgACAAIAAgACAAIAAgACAAIAAgACAAIAAgACAAIAAgACAAXAAiADIANQAlACAAIAAgACAAIAAgACAAIAAgACAAIAAgAJIhPQBvAHoALgBJAFIAUgC7AygAIABWAGEAbAB1AGUAcwAsACAARABhAHQAZQBz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FwAbgAgACAAIAAgACAAIAAgACAAIAAgACAAIAAgACAAIAAgACAAIAAgACAAIAAgACAAIAApACwAXABuACAAIAAgACAALwAvACAAIABTAGUAdAAgAEQAZQBmAGEAdQBsAHQAcwBcAG4AIAAgACAAIAAgACAAIAAgAFYAYQBsAHUAZQBzACwAIAAgACAAIAAgACAAIAAgACAARQBYAFAAQQBOAEQAKABWAEEATABVAEUAUwAsACAAMQAsACAAQwBPAFUATgBUAEEAKABEAGEAdABlAHMAKQAsACAAMAApACwAXABuACAAIAAgACAALwAvACAAIABQAHIAbwBjAGUAZAB1AHIAZQBcAG4AIAAgACAAIAAgACAAIAAgAEYAaQBsAHQAZQByAEIAeQAsACAAIAAgACAAIAAgACAAVgBhAGwAdQBlAHMAIAA8AD4AIAAwACwAXABuACAAIAAgACAAIAAgACAAIABGAGkAbAB0AGUAcgBlAGQAVgBhAGwAdQBlAHMALAAgAEYASQBMAFQARQBSACgAIABWAGEAbAB1AGUAcwAsACAARgBpAGwAdABlAHIAQgB5ACkALAAgAFwAbgAgACAAIAAgACAAIAAgACAARgBpAGwAdABlAHIAZQBkAEQAYQB0AGUAcwAsACAAIABGAEkATABUAEUAUgAoACAARABhAHQAZQBzACwAIABGAGkAbAB0AGUAcgBCAHkAKQAsACAAXABuACAAIAAgACAAIAAgACAAIABSAGUAcwB1AGwAdAAsACAAIAAgACAAIAAgACAAIAAgAFgASQBSAFIAKAAgAEYAaQBsAHQAZQByAGUAZABWAGEAbAB1AGUAcwAsACAARgBpAGwAdABlAHIAZQBkAEQAYQB0AGUAcwApACwAI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QBvAHYAZQBtAGUAbgB0ALsDXABuACAAIAAgACAARABFAFMAQwBSAEkAUABUAEkATwBOADoAKgAvAC8AKgAqAEMAcgBlAGEAdABlACAAYQAgAHIAbwB3ACAAbwBmACAAZABpAGYAZgBlAHIAZQBuAGMAZQBzACAAZgByAG8AbQAgAGMAbwBsAHUAbQBuACAAdABvACAAYwBvAGwAdQBtAG4AKgAvAFwAbgBNAG8AdgBlAG0AZQBuAHQAuwMgAD0AIABMAEEATQBCAEQAQQAoAFwAbgAvAC8AIAAgAFAAYQByAGEAbQBlAHQAZQByACAARABlAGMAbABhAHIAYQB0AGkAbwBuAHMAXABuACAAIAAgACAAWwBCAGUAZwBpAG4AbgBpAG4AZwBWAGEAbAB1AGUAcwBdACwAXABuACAAIAAgACAAWwBWAGEAbAB1AGUAcwBdACwAIAAgACAAIABcAG4ALwAvACAAIABIAGUAbABwAFwAbgAgACAAIAAgAEwARQBUACgASABlAGwAcAAsACAAIAAgACAAIAAgACAAVABSAEkATQAoAFQARQBYAFQAUwBQAEwASQBUACgAIABcAG4AIAAgACAAIAAgACAAIAAgACAAIAAgACAAIAAgACAAIAAgACAAIAAgACAAIAAgACAAIAAgACAAIABcACIARgBVAE4AQwBUAEkATwBOADoAIAAgACAAIAAgACAAkiFNAG8AdgBlAG0AZQBuAHQAuwMoACAAWwBCAGUAZwBpAG4AbgBpAG4AZwBWAGEAbAB1AGUAcwBdACwAIABWAGEAbAB1AGUAcwApALYAXAAiACAAJgBcAG4AIAAgACAAIAAgACAAIAAgACAAIAAgACAAIAAgACAAIAAgACAAIAAgACAAIAAgACAAIAAgACAAIABcACIARABFAFMAQwBSAEkAUABUAEkATwBOADoAIAAgACAAkiFDAHIAZQBhAHQAZQAgAGEAIAByAG8AdwAgAG8AZgAgAGQAaQBmAGYAZQByAGUAbgBjAGUAcwAgAGYAcgBvAG0AIABjAG8AbAB1AG0AbgAgAHQAbw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gBlAGcAaQBuAG4AaQBuAGcAVgBhAGwAdQBlAHMAkiEoAE8AcAB0AGkAbwBuAGEAbAApACAARABlAGYAYQB1AGwAdABzACAAdABvACAAMAAuACAATwBuAGUAIAB2AGEAbAB1AGUALAAgAG8AcgAgAG8AbgBlACAAcABlAHIAIAByAG8AdwAgAG8AZgAgAFYAYQBsAHUAZQBzALYAXAAiACAAJgAgAFwAbgAgACAAIAAgACAAIAAgACAAIAAgACAAIAAgACAAIAAgACAAIAAgACAAIAAgACAAIAAgACAAIAAgAFwAIgBWAGEAbAB1AGUAcwAgACAAIAAgACAAIAAgACAAIACSISgAUgBlAHEAdQBpAHIAZQBkACkAIABBACAAcgBvAHcAIAAoAG8AcgAgAHIAbwB3AHMAKQAgAG8AZgAgAHYAYQBsAHUAZQBzACAAdABvACAAYwBvAG0AcABhAHIAZQAgAGMAbwBsAHUAbQBuACAAdABvACAAYwBvAGwAdQBtAG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wADAALAAxADAALAAyADAALAAtADMAMAAgACAAkiE9AG8AegAuAE0AbwB2AGUAbQBlAG4AdAC7AygALAB7ADEAMAAwACwAMQAxADAALAAxADMAMAAsADEAMA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gACAAIAAgAEIAZQBnAGkAbgBuAGkAbgBnAFYAYQBsAHUAZQBzACwAIABJAEYAKABPAFIAKABJAFMATwBNAEkAVABUAEUARAAoAEIAZQBnAGkAbgBuAGkAbgBnAFYAYQBsAHUAZQBzACkALAAgAEIAZQBnAGkAbgBuAGkAbgBnAFYAYQBsAHUAZQBzAD0AXAAiAFwAIgApACwAIAAwACwAIABCAGUAZwBpAG4AbgBpAG4AZwBWAGEAbAB1AGUAcwApACwAXABuACAAIAAgACAALwAvACAAIABQAHIAbwBjAGUAZAB1AHIAZQBcAG4AIAAgACAAIAAgACAAIAAgAFIAbwB3AHMALAAgACAAIAAgACAAIAAgACAAIAAgACAAUgBPAFcAUwAoACAAVgBhAGwAdQBlAHMAKQAsAFwAbgAgACAAIAAgACAAIAAgACAAQwBvAGwAcwAsACAAIAAgACAAIAAgACAAIAAgACAAIABDAE8ATABVAE0ATgBTACgAIABWAGEAbAB1AGUAcwApACwAXABuACAAIAAgACAALwAvACAAIABFAGEAYwBoACAAYwBvAGwAdQBtAG4AIABpAHMAIABjAG8AbQBwAGEAcgBlAGQAIAB3AGkAdABoACAAdABoAGUAIABvAG4AZQAgAGIAZQBmAG8AcgBlACAAaQB0ADsAIAB0AGgAZQAgAGYAaQByAHMAdAAgAHcAaQB0AGgAIABpAHQAcwAgAHIAbwB3ACcAcwAgAGIAZQBnAGkAbgBuAGkAbgBnACAAdgBhAGwAdQBlAFwAbgAgACAAIAAgACAAIAAgACAAQgBlAGcAaQBuAHMALAAgACAAIAAgACAAIAAgACAAIABTAEUAUQBVAEUATgBDAEUAKAAgAFIAbwB3AHMALAAgADEALAAgADAALAAgADAAKQAgACsAIABCAGUAZwBpAG4AbgBpAG4AZwBWAGEAbAB1AGUAcwAsAFwAbgAgACAAIAAgACAAIAAgACAAUAByAGUAdgBpAG8AdQBzACwAIAAgACAAIAAgACAAIABJAEYAKAAgAEMAbwBsAHMAIAA9ACAAMQAsACAAQgBlAGcAaQBuAHMALAAgAEgAUwBUAEEAQwBLACgAIABCAGUAZwBpAG4AcwAsACAARABSAE8AUAAoACAAVgBhAGwAdQBlAHMALAAgACwAIAAtADEAKQApACkALABcAG4AIAAgACAAIAAgACAAIAAgAFIAZQBzAHUAbAB0ACwAIAAgACAAIAAgACAAIAAgACAAVgBhAGwAdQBlAHMAIAAtACAAUAByAGUAdgBpAG8AdQBz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lAHYAZQByAHMAYQBsALsDXABuACAAIAAgACAARABFAFMAQwBSAEkAUABUAEkATwBOADoAKgAvAC8AKgAqAEMAcgBlAGEAdABlACAAYQAgAHIAbwB3ACAAdABoAGEAdAAgAHIAZQB2AGUAcgBzAGUAcwAgAGkAbgBwAHUAdAAgAHYAYQBsAHUAZQBzACAAaQBuACAAdABoAGUAIABuAGUAeAB0ACAAcABlAHIAaQBvAGQALgAqAC8AXABuAFIAZQB2AGUAcgBzAGEAbAC7AyAAPQAgAEwAQQBNAEIARABBACgAXABuAC8ALwAgACAAUABhAHIAYQBtAGUAdABlAHIAIABEAGUAYwBsAGEAcgBhAHQAaQBvAG4AcwBcAG4AIAAgACAAIABbAE8AcABlAG4AaQBuAGcAVgBhAGwAdQBlAF0ALABcAG4AIAAgACAAIABbAFIAbwB3AFQAbwBSAGUAdgBlAHIAcwBlAF0ALAAgACAAIAAgAFwAbgAvAC8AIAAgAEgAZQBsAHAAXABuACAAIAAgACAATABFAFQAKABIAGUAbABwACwAIAAgACAAIAAgACAAIABUAFIASQBNACgAVABFAFgAVABTAFAATABJAFQAKAAgAFwAbgAgACAAIAAgACAAIAAgACAAIAAgACAAIAAgACAAIAAgACAAIAAgACAAIAAgACAAIAAgACAAIAAgAFwAIgBGAFUATgBDAFQASQBPAE4AOgAgACAAIAAgACAAIACSIVIAZQB2AGUAcgBzAGEAbAC7AygAIABbAE8AcABlAG4AaQBuAGcAVgBhAGwAdQBlAF0ALAAgAFIAbwB3AFQAbwBSAGUAdgBlAHIAcwBlACkAtgBcACIAIAAmAFwAbgAgACAAIAAgACAAIAAgACAAIAAgACAAIAAgACAAIAAgACAAIAAgACAAIAAgACAAIAAgACAAIAAgAFwAIgBEAEUAUwBDAFIASQBQAFQASQBPAE4AOgAgACAAIACSIUMAcgBlAGEAdABlACAAYQAgAHIAbwB3ACAAdABoAGEAdAAgAHIAZQB2AGUAcgBzAGUAcwAgAGkAbgBwAHUAdAAgAHYAYQBsAHUAZQBzACAAaQBuACAAdABoAGUAIABuAGUAeAB0ACAAcABlAHIAaQBvAGQ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8AcABlAG4AaQBuAGcAVgBhAGwAdQBlACAAIAAgAJIhKABPAHAAdABpAG8AbgBhAGwAKQAgAEQAZQBmAGEAdQBsAHQAcwAgAHQAbwAgADAAtgBcACIAIAAmACAAXABuACAAIAAgACAAIAAgACAAIAAgACAAIAAgACAAIAAgACAAIAAgACAAIAAgACAAIAAgACAAIAAgACAAXAAiAFIAbwB3AFQAbwBSAGUAdgBlAHIAcwBlACAAIAAgAJIhKABSAGUAcQB1AGkAcgBlAGQAKQAgAEEAIAByAG8AdwAgAG8AZgAgAHYAYQBsAHUAZQBzACAAdABvACAAcgBlAHYAZQByAHMAZQAgAHQAaABlACAAZgBvAGwAbABvAHcAaQBuAGcAIABwAGUAcgBpAG8AZABz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AALAAtADEAMAAwACwALQAxADEAMAAgACAAIAAgAJIhPQBvAHoALgBSAGUAdgBlAHIAcwBhAGwAuwMoACAALAAgAHsAMQAwADAALAAxADEAMAAsADEAMw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SAG8AdwBUAG8AUgBlAHYAZQByAHMAZQApACwAXABuACAAIAAgACAALwAvACAAIABTAGUAdAAgAEQAZQBmAGEAdQBsAHQAcwBcAG4AIAAgACAAIAAgACAAIAAgAEIAZQBnAGkAbgBuAGkAbgBnAFYAYQBsAHUAZQAsACAASQBGACgAIABJAFMATwBNAEkAVABUAEUARAAoACAATwBwAGUAbgBpAG4AZwBWAGEAbAB1AGUAKQAsACAAMAAsACAAIABPAHAAZQBuAGkAbgBnAFYAYQBsAHUAZQApACwAXABuACAAIAAgACAALwAvACAAIABQAHIAbwBjAGUAZAB1AHIAZQBcAG4AIAAgACAAIAAgACAAIAAgAEMAbwB1AG4AdABlAHIALAAgACAAIAAgACAAIAAgACAAUwBFAFEAVQBFAE4AQwBFACgAIAAsACAAQwBPAEwAVQBNAE4AUwAoAFIAbwB3AFQAbwBSAGUAdgBlAHIAcwBlACkAKQAsAFwAbgAgACAAIAAgACAAIAAgACAAUgBlAHMAdQBsAHQALAAgACAAIAAgACAAIAAgACAAIABNAEEAUAAoACAAQwBvAHUAbgB0AGUAcgAsACAAXABuACAAIAAgACAAIAAgACAAIAAgACAAIAAgACAAIAAgACAAIAAgACAAIAAgACAAIAAgACAAIAAgACAATABBAE0AQgBEAEEAKABDAG8AbAAsACAAIABJAEYAKABDAG8AbAAgAD0AIAAxACwAIAAtAE8AcABlAG4AaQBuAGcAVgBhAGwAdQBlACwAIAAtAEMASABPAE8AUwBFAEMATwBMAFMAKAAgAFIAbwB3AFQAbwBSAGUAdgBlAHIAcwBlACwAIABDAG8AbAAtADEAKQAp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LwAqACAAIABGAFUATgBDAFQASQBPAE4AIABOAEEATQBFADoAIAAgAEMAdQBtAHUAbABhAHQAaQB2AGUAuwNcAG4AIAAgACAAIABEAEUAUwBDAFIASQBQAFQASQBPAE4AOgAqAC8ALwAqACoAQwByAGUAYQB0AGUAcwAgAGEAIAByAG8AdwAgAG8AcgAgAGMAbwBsAHUAbQBuACAAbwBmACAAYwB1AG0AdQBsAGEAdABpAHYAZQAgAHQAbwB0AGEAbABzACAAZgByAG8AbQAgAGEAIAB0AG8AdABhAGwAIAByAG8AdwAgAG8AcgAgAGMAbwBsAHUAbQBuACoALwBcAG4AQwB1AG0AdQBsAGEAdABpAHYAZQC7AyAAPQAgAEwAQQBNAEIARABBACgAXABuAC8ALwAgACAAUABhAHIAYQBtAGUAdABlAHIAIABEAGUAYwBsAGEAcgBhAHQAaQBvAG4AcwBcAG4AIAAgACAAIABbAFQAbwB0AGEAbABzAF0ALABcAG4AIAAgACAAIABbAE8AcABlAG4AaQBuAGcAQgBhAGwAYQBuAGMAZQBdACwAXABuAC8ALwAgACAASABlAGwAcABcAG4AIAAgACAAIABMAEUAVAAoAEgAZQBsAHAALAAgACAAIAAgACAAIAAgAFQAUgBJAE0AKABUAEUAWABUAFMAUABMAEkAVAAoACAAXABuACAAIAAgACAAIAAgACAAIAAgACAAIAAgACAAIAAgACAAIAAgACAAIAAgACAAIAAgACAAIAAgACAAXAAiAEYAVQBOAEMAVABJAE8ATgA6ACAAIAAgACAAIAAgAJIhQwB1AG0AdQBsAGEAdABpAHYAZQC7AygAIABUAG8AdABhAGwAcwAsACAAWwBPAHAAZQBuAGkAbgBnAEIAYQBsAGEAbgBjAGUAXQApALYAXAAiACAAJgBcAG4AIAAgACAAIAAgACAAIAAgACAAIAAgACAAIAAgACAAIAAgACAAIAAgACAAIAAgACAAIAAgACAAIABcACIARABFAFMAQwBSAEkAUABUAEkATwBOADoAIAAgACAAkiFDAHIAZQBhAHQAZQBzACAAYQAgAHIAbwB3ACAAbwByACAAYwBvAGwAdQBtAG4AIABvAGYAIABjAHUAbQB1AGwAYQB0AGkAdgBlACAAdABvAHQAYQBsAHMAIABmAHIAbwBtACAAYQAgAHQAbwB0AGEAbAAgAHIAbwB3ACAAbwBy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8AdABhAGwAcwAgACAAIAAgACAAIAAgACAAIACSISgAUgBlAHEAdQBpAHIAZQBkACkAIABBACAAcgBvAHcAIABvAHIAIABjAG8AbAB1AG0AbgAgAG8AZgAgAHQAbwB0AGEAbABzACAAZgByAG8AbQAgAHcAaABpAGMAaAAgAHQAbwAgAHIAdQBuACAAYwB1AG0AdQBsAGEAdABpAHYAZQAgAHQAbwB0AGEAbABzALYAXAAiACAAJgAgAFwAbgAgACAAIAAgACAAIAAgACAAIAAgACAAIAAgACAAIAAgACAAIAAgACAAIAAgACAAIAAgACAAIAAgAFwAIgBPAHAAZQBuAGkAbgBnAEIAYQBsAGEAbgBjAGUAIACSISgATwBwAHQAaQBvAG4AYQBsACkAIABBACAAcwB0AGEAcgB0AGkAbgBnACAAYgBhAGwAYQBuAGMAZQAuACAAVABoAGkAcwAgAGQAZQBmAGEAdQBsAHQAcwAgAHQAbwAgADA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AAIAAgACAAIAAgACAAIAAgACAAkiE9AG8AegAuAEMAdQBtAHUAbABhAHQAaQB2AGUAuwMoAFMAZQBxAHUAZQBuAGMAZQAoACwAMwAp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ABvAHQAYQBsAHMAKQAsAFwAbgAgACAAIAAgAC8ALwAgACAAUAByAG8AYwBlAGQAdQByAGUAXABuACAAIAAgACAAIAAgACAAIABSAGUAcwB1AGwAdAAsACAAIAAgACAAIAAgACAAIAAgAFMAQwBBAE4AKAAgAE8AcABlAG4AaQBuAGcAQgBhAGwAYQBuAGMAZQAsACAAVABvAHQAYQBsAHMALAAgAEwAQQBNAEIARABBACgAUAByAGUAdgBpAG8AdQBzAEEAbQBvAHUAbgB0ACwAIABDAHUAcgByAGUAbgB0AEEAbQBvAHUAbgB0ACwAIABQAHIAZQB2AGkAbwB1AHMAQQBtAG8AdQBuAHQAIAArACAAQwB1AHIAcgBlAG4AdABBAG0AbwB1AG4AdA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8AbABsAGkAbgBnAEEAdgBnALsDXABuACAAIAAgACAARABFAFMAQwBSAEkAUABUAEkATwBOADoAKgAvAC8AKgAqAEMAcgBlAGEAdABlAHMAIABBAHYAZQByAGEAZwBlAHMAIABmAG8AcgAgAHAAcgBlAGMAZQBkAGkAbgBnACAAdgBhAGwAdQBlAHMAIABvAGYAIABhACAAcwBlAHQAIABzAGkAegBlACAAbQBvAHYAaQBuAGcAIABmAHIAbwBtACAAYgBlAGcAaQBuAG4AaQBuAGcAIAB0AG8AIABlAG4AZAAgAG8AdgBlAHIAIABhACAAcgBvAHcAIABvAGYAIAB2AGEAbAB1AGUAcwAuACoALwBcAG4AUgBvAGwAbABpAG4AZwBBAHYAZw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BAHYAZwC7AygAIABWAGEAbAB1AGUAcwAsACAAUwBpAHoAZQApALYAXAAiACAAJgBcAG4AIAAgACAAIAAgACAAIAAgACAAIAAgACAAIAAgACAAIAAgACAAIAAgACAAIAAgACAAIAAgACAAIABcACIARABFAFMAQwBSAEkAUABUAEkATwBOADoAIAAgACAAkiFDAHIAZQBhAHQAZQBzACAAYQB2AGUAcgBhAGcAZQ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YQB2AGUAcgBhAGcAZQBkAC4AtgBcACIAIAAmACAAXABuACAAIAAgACAAIAAgACAAIAAgACAAIAAgACAAIAAgACAAIAAgACAAIAAgACAAIAAgACAAIAAgACAAXAAiAFMAaQB6AGUAIAAgACAAIAAgACAAIAAgACAAIAAgAJIhKABSAGUAcQB1AGkAcgBlAGQAKQAgAFQAaABlACAAbgB1AG0AYgBlAHIAIABvAGYAIAB2AGEAbAB1AGUAcwAgAHQAbwAgAGEAdgBlAHIAYQBnAGU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EALgA1ACwAMgAsADMALAA0ACAAIAAgACAAkiE9AG8AegAuAFIAbwBsAGwAaQBuAGcAQQB2AGc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QQBWAEUAUgBBAEcARQ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YQB4ALsDXABuACAAIAAgACAARABFAFMAQwBSAEkAUABUAEkATwBOADoAKgAvAC8AKgAqAEMAcgBlAGEAdABlAHMAIAB0AGgAZQAgAG0AYQB4AGkAbQB1AG0AIABmAG8AcgAgAHAAcgBlAGMAZQBkAGkAbgBnACAAdgBhAGwAdQBlAHMAIABvAGYAIABhACAAcwBlAHQAIABzAGkAegBlACAAbQBvAHYAaQBuAGcAIABmAHIAbwBtACAAYgBlAGcAaQBuAG4AaQBuAGcAIAB0AG8AIABlAG4AZAAgAG8AdgBlAHIAIABhACAAcgBvAHcAIABvAGYAIAB2AGEAbAB1AGUAcwAuACoALwBcAG4AUgBvAGwAbABpAG4AZwBNAGEAeA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EAeAC7AygAIABWAGEAbAB1AGUAcwAsACAAUwBpAHoAZQApALYAXAAiACAAJgBcAG4AIAAgACAAIAAgACAAIAAgACAAIAAgACAAIAAgACAAIAAgACAAIAAgACAAIAAgACAAIAAgACAAIABcACIARABFAFMAQwBSAEkAUABUAEkATwBOADoAIAAgACAAkiFDAHIAZQBhAHQAZQBzACAAdABoAGUAIABtAGEAeABpAG0AdQBt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0AGgAZQAgAG0AYQB4AGkAbQB1AG0AIABvAGY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sADUALAA1ACwANgAsADYALAA3ACAAIAAgACAAkiE9AG8Ae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TQBBAFgAKAAgAEMASABPAE8AUwBFAEMATwBMAFMAKAAgAFYAYQBsAHUAZQBzACwAIABTAEUAUQBVAEUATgBDAEUAKAAgADEALAAgAE0ASQBOACgAIABWAGEAbAAsACAAUwBpAHoAZQApACwAIABNAEEAWAAoACAAMQAsACAAVgBhAGwAIAAtACAAUwBpAHoAZQAgACsAIAAxACkAKQAp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HQAYQBrAGUAIAB0AGgAZQAgAG0AaQBuAGkAbQB1AG0AIABvAGYALgC2AFwAIgAgACYAIABcAG4AIAAgACAAIAAgACAAIAAgACAAIAAgACAAIAAgACAAIAAgACAAIAAgACAAIAAgACAAIAAgACAAIABcACIAUwBpAHoAZQAgACAAIAAgACAAIAAgACAAIAAgACAAkiEoAFIAZQBxAHUAaQByAGUAZAApACAAVABoAGUAIABuAHUAbQBiAGUAcgAgAG8AZgAgAHYAYQBsAHUAZQBzACAAdABvACAAZgBpAG4AZAAgAHQAaABlACAAbQBpAG4AaQBtAHUAbQAgAG8AZgAgAHQAaABhAHQAIAC2AFwAIgAgACYAIABcAG4AIAAgACAAIAAgACAAIAAgACAAIAAgACAAIAAgACAAIAAgACAAIAAgACAAIAAgACAAIAAgACAAIAAgACAAIAAgACAAIAAgACAAIAAgACAAIAAgACAAIABcACIAkiFpAG4AYwBsAHUAZABlACAAYQBuAGQAIABwAHIAZQBjAGUAZABl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CwAMwAsADMALAAzACwAMgAsADIAIAAgACAAIACSIT0AbwB6AC4AUgBvAGwAbABpAG4AZwBNAGkAbg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CAAQwBPAEwAVQBNAE4AUwAoACAAVgBhAGwAdQBlAHMAKQApACwAXABuACAAIAAgACAALwAvACAAIABFAGEAYwBoACAAdwBpAG4AZABvAHcAIABpAHMAIAB0AGgAZQAgAGMAdQByAHIAZQBuAHQAIABjAG8AbAB1AG0AbgAgAGEAbgBkACAAdQBwACAAdABvACAAUwBpAHoAZQAgAC0AIAAxACAAYwBvAGwAdQBtAG4AcwAgAGIAZQBmAG8AcgBlACAAaQB0AFwAbgAgACAAIAAgACAAIAAgACAAUgBlAHMAdQBsAHQALAAgACAAIAAgACAAIAAgACAAIABNAEEAUAAoACAAQwBvAHUAbgB0AGUAcgAsACAAXABuACAAIAAgACAAIAAgACAAIAAgACAAIAAgACAAIAAgACAAIAAgACAAIAAgACAAIAAgACAAIAAgACAATABBAE0AQgBEAEEAKAAgAFYAYQBsACwAXABuACAAIAAgACAAIAAgACAAIAAgACAAIAAgACAAIAAgACAAIAAgACAAIAAgACAAIAAgACAAIAAgACAAIAAgACAAIABNAEkATg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wAOQAsADEAMgAgACAAIAAgACAAkiE9AG8AegAuAFIAbwBsAGwAaQBuAGcAUwB1AG0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UwBVAE0AKAAgAEMASABPAE8AUwBFAEMATwBMAFMAKAAgAFYAYQBsAHUAZQBzACwAIABTAEUAUQBVAEUATgBDAEUAKAAgADEALAAgAE0ASQBOACgAIABWAGEAbAAsACAAUwBpAHoAZQApACwAIABNAEEAWAAoACAAMQAsACAAVgBhAGwAIAAtACAAUwBpAHoAZQAgACsAIAAxACkAKQAp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QwBvAG4AdABhAGkAbgBzALsDXABuACAAIAAgACAARABFAFMAQwBSAEkAUABUAEkATwBOADoAKgAvAC8AKgAqAJIhQwByAGUAYQB0AGUAcwAgAGEAIAByAG8AdwAgAG8AZgAgAHQAbwB0AGEAbABzACAAZgBvAHIAIABlAGEAYwBoACAAcgBvAHcAIABpAG4AIABhAG4AIABhAHIAcgBhAHkAIAB3AGgAZQByAGUAIABcAG4AaQB0AHMAIABsAGEAYgBlAGwAcwAgAGMAbwBuAHQAYQBpAG4AIABhACAAbABlAHQAdABlAHIALAAgAHcAbwByAGQALAAgAG8AcgAgAHAAaAByAGEAcwBl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FQAbwBGAGkAbAB0AGUAcgAgAJIhKABSAGUAcQB1AGkAcgBlAGQAKQAgAEEAbgAgAGEAcgByAGEAeQAgAG8AZgAgAHYAYQBsAHUAZQBzACAAdABvACAAYgBlACAAZgBpAGwAdABlAHIAZQBkALYAXAAiACAAJgAgACAAIAAgACAAIAAgACAAIAAgACAAIAAgACAAIAAgACAAIAAgAFwAbgAgACAAIAAgACAAIAAgACAAIAAgACAAIAAgACAAIAAgACAAIAAgACAAIAAgACAAIAAgACAAIAAgAFwAIgBWAGEAbAB1AGUATABhAGIAZQBsAHMAIAAgACAAIACSISgAUgBlAHEAdQBpAHIAZQBkACkAIABBAG4AIABhAHIAcgBhAHkAIABjAG8AbgB0AGEAaQBuAGkAbgBnACAAdABoAGUAIAB2AGEAbAB1AGUAcwAnACAAbABhAGIAZQBsAHMAtgBcACIAIAAmACAAIAAgACAAIAAgACAAIAAgACAAIAAgACAAIAAgACAAIAAgACAAXABuACAAIAAgACAAIAAgACAAIAAgACAAIAAgACAAIAAgACAAIAAgACAAIAAgACAAIAAgACAAIAAgACAAXAAiAEYAaQBsAHQAZQByAEIAeQBUAGUAeAB0ACAAIAAgAJIhKABSAGUAcQB1AGkAcgBlAGQAKQAgAEEAIAB1AG4AaQBxAHUAZQAgAGwAZQB0AHQAZQByACwAIAB3AG8AcgBkACAAbwByACAAcABoAHIAYQBzAGUAIAB0AG8AIABmAGkAbgBkACAAYwBvAG4AdABhAGkAbgBlAGQAIABpAG4AIABWAGEAbAB1AGUATABhAGIAZQBsAHM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TAHUAbQBDAG8AbgB0AGEAaQBuAHMAuwMoACAAQQByAHIAYQB5ACwAIABMAGEAYgBlAGwAcwAsACAAXAAiAFwAIgBDAEEAUABFAFg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BUAG8ARgBpAGwAdABlAHIAKQAsACAAXABuACAAIAAgACAAIAAgACAAIAAgACAAIAAgACAAIAAgACAAIAAgACAAIAAgACAAIAAgACAAIAAgACAASQBTAE8ATQBJAFQAVABFAEQAKAAgAFYAYQBsAHUAZQBMAGEAYgBlAGwAcwApACwAIABcAG4AIAAgACAAIAAgACAAIAAgACAAIAAgACAAIAAgACAAIAAgACAAIAAgACAAIAAgACAAIAAgACAAIABJAFMATwBNAEkAVABUAEUARAAoACAARgBpAGwAdABlAHIAQgB5AFQAZQB4AHQAKQ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IAAgACAAIABMAGEAYgBlAGwAcwAsACAAIAAgACAAIAAgACAAIAAgAEMASABPAE8AUwBFAEMATwBMAFMAKABWAGEAbAB1AGUATABhAGIAZQBsAHMALAAgADE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wAYQBiAGUAbABzACkALABcAG4AIAAgACAAIAAgACAAIAAgACAAIAAgACAAIAAgACAAIAAgACAAIAAgACAAIAAgACAAIAAgACAAIABGAEkATgBEACgAIABGAGkAbAB0AGUAcgBCAHkAVABlAHgAdAAsACAATABhAGIAZQBsAHMAKQBcAG4AIAAgACAAIAAgACAAIAAgACAAIAAgACAAIAAgACAAIAAgACAAIAAgACAAIAAgACAAKQAsAFwAbgAgACAAIAAgACAAIAAgACAARgBpAGwAdABlAHIAZQBkAFIAbwB3AHMALAAgACAAIABGAEkATABUAEUAUgAoACAAVgBhAGwAdQBlAHMAVABvAEYAaQBsAHQAZQByACwAIABJAFMATgBVAE0AQgBFAFIAKAAgAE0AYQB0AGMAaABlAHMAKQApACwAXABuACAAIAAgACAAIAAgACAAIABSAGUAcwB1AGwAdAAsACAAIAAgACAAIAAgACAAIAAgAEIAWQBDAE8ATAAoAEYAaQBsAHQAZQByAGUAZABSAG8AdwBzACwAIABMAEEATQBCAEQAQQAoACAAQwBvAGwALAAgAFMAVQBNACgAQwBvAGwAKQApACkALABcAG4AIAAgACAAIAAvAC8AIAAgAFIAZQB0AHUAcgBuACAAUgBlAHMAdQBsAHQAIABvAHIAIABoAGUAbABwAFwAbgAgACAAIAAgACAAIAAgACAAQwBIAE8ATwBTAEUAKABIAGUAbABwAD8AIAArACAAMQAsACAAUgBlAHMAdQBsAHQALAAgAEgAZQBsAHAAKQBcAG4AIAAgACAAIAApACAAIABcAG4AKQA7AFwAbgBcAG4AXABuAC8AKgAgACAARgBVAE4AQwBUAEkATwBOACAATgBBAE0ARQA6ACAAIABTAHUAbQBQAGUAcgBpAG8AZABzALsDXABuACAAIAAgACAARABFAFMAQwBSAEkAUABUAEkATwBOADoAKgAvAC8AKgAqAEcAcgBvAHUAcABzACAAYQBuAGQAIAB0AG8AdABhAGwAcwAgAGEAbABsACAAYwBvAGwAdQBtAG4AcwAgAGkAbgAgAGEAIABWAGEAbAB1AGUAcwAgAGEAcgByAGEAeQAgAGIAeQAgAHAAZQByAGkAbwBkACAAcgBlAHMAdQBsAHQAaQBuAGcAIABpAG4AIABvAG4AZQAgAGMAbwBsAHUAbQBuACAAZgBvAHIAIABlAGEAYwBoACAAcABlAHIAaQBvAGQAKgAvAFwAbgBTAHUAbQBQAGUAcgBpAG8AZABzALsDIAA9ACAATABBAE0AQgBEAEEAKABcAG4ALwAvACAAIABQAGEAcgBhAG0AZQB0AGUAcgAgAEQAZQBjAGwAYQByAGEAdABpAG8AbgBzAFwAbgAgACAAIAAgAFsAVgBhAGwAdQBlAHMAXQAsAFwAbgAgACAAIAAgAFsARABhAHQAZQBzAF0ALABcAG4AIAAgACAAIABbAFAAZQByAGkAbwBkAFMAdABhAHIAdABzAF0ALABcAG4AIAAgACAAIABcAG4ALwAvACAAIABQAHIAbwBjAGUAZAB1AHIAZQBcAG4AIAAgACAAIABMAEUAVAAoAEgAZQBsAHAALAAgACAAIAAgACAAIAAgAFQAUgBJAE0AKABUAEUAWABUAFMAUABMAEkAVAAoACAAXABuACAAIAAgACAAIAAgACAAIAAgACAAIAAgACAAIAAgACAAIAAgACAAIAAgACAAIAAgACAAIAAgACAAXAAiAEYAVQBOAEMAVABJAE8ATgA6ACAAIAAgACAAIAAgAJIhUwB1AG0AUABlAHIAaQBvAGQAcwC7AygAIABWAGEAbAB1AGUAcwAsACAARABhAHQAZQBzACwAIABQAGUAcgBpAG8AZABTAHQAYQByAHQAcwApALYAXAAiACAAJgBcAG4AIAAgACAAIAAgACAAIAAgACAAIAAgACAAIAAgACAAIAAgACAAIAAgACAAIAAgACAAIAAgACAAIABcACIARABFAFMAQwBSAEkAUABUAEkATwBOADoAIAAgACAAkiFTAHUAbQBtAGEAcgBpAHMAZQBzACAAdgBhAGwAdQBlAHMAIAB3AGgAZQByAGUAIABlAGEAYwBoACAAdgBhAGwAdQBlACAAYwBvAGwAdQBtAG4AIABpAHMAIABmAG8AcgAgAG8AbgBlACAAZABhAHkAIAC2AFwAIgAgACYAIABcAG4AIAAgACAAIAAgACAAIAAgACAAIAAgACAAIAAgACAAIAAgACAAIAAgACAAIAAgACAAIAAgACAAIAAgACAAIAAgACAAIAAgACAAIAAgACAAIAAgACAAIABcACIAkiFpAG4AdABvACAAbwBuAGUAIABjAG8AbAB1AG0AbgAgAGYAbwByACAAZQBhAGMAaAAgAHAAZQByAGkAbwBkAC4AIA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YARQBSAFMASQBPAE4AOgAgACAAIAAgACAAIAAgAJIhMgAwACAAQQB1AGcAIAAyADAAMgA2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QAEEAUgBBAE0ARQBUAEUAUgBTADoAkiG2AFwAIgAgACYAIABcAG4AIAAgACAAIAAgACAAIAAgACAAIAAgACAAIAAgACAAIAAgACAAIAAgACAAIAAgACAAIAAgACAAIABcACIAVgBhAGwAdQBlAHMAIAAgACAAIAAgACAAIAAgACAAkiEoAFIAZQBxAHUAaQByAGUAZAApACAAQQAgAHQAdwBvACAAZABpAG0AZQBuAHMAaQBvAG4AYQBsACAAYQByAHIAYQB5AC8AcgBhAG4AZwBlACAAYwBvAG4AdABhAGkAbgBpAG4AZwAgAHYAYQBsAHUAZQBzACAAdABvACAAYgBlACAAcwB1AG0AbQBlAGQAIAB3AGgAZQByAGUAXAAiACAAJgAgAFwAbgAgACAAIAAgACAAIAAgACAAIAAgACAAIAAgACAAIAAgACAAIAAgACAAIAAgACAAIAAgACAAIAAgACAAIAAgACAAIAAgACAAIAAgACAAIAAgACAAIAAgACAAXAAiAGUAYQBjAGgAIABjAG8AbAB1AG0AbgAgAGkAcwAgAGYAbwByACAAYQAgAHMAcABlAGMAaQBmAGkAYwAgAGQAYQB5ALYAXAAiACAAJgAgAFwAbgAgACAAIAAgACAAIAAgACAAIAAgACAAIAAgACAAIAAgACAAIAAgACAAIAAgACAAIAAgACAAIAAgAFwAIgBEAGEAdABlAHMAIAAgACAAIAAgACAAIAAgACAAIACSISgAUgBlAHEAdQBpAHIAZQBkACkAIABBACAAcgBvAHcAIABvAGYAIABkAGEAdABlAHMAIABwAHIAbwB2AGkAZABpAG4AZwAgAHQAaABlACAAZABhAHQAZQAgAGYAbwByACAAZQBhAGMAaAAgAFYAYQBsAHUAZQBzACAAYwBvAGwAdQBtAG4AtgBcACIAIAAmAFwAbgAgACAAIAAgACAAIAAgACAAIAAgACAAIAAgACAAIAAgACAAIAAgACAAIAAgACAAIAAgACAAIAAgAFwAIgBQAGUAcgBpAG8AZABTAHQAYQByAHQAcwAgACAAIACSISgAUgBlAHEAdQBpAHIAZQBkACkAIABBACAAcgBvAHcAIABvAGYAIABwAGUAcgBpAG8AZAAgAHMAdABhAHIAdAAgAGQAYQB0AGUAcwC2AFwAIgAgACY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AAMwAsACAAMAA3ACAAIAAgACAAIAAgACAAIAAgAJIhPQBvAHoALgBTAHUAbQBQAGUAcgBpAG8AZABzALsDKAB7ADEALAAyACwAMwAsADQAOwA0ACwAMwAsADIALAAxADsAMQAwACwAMgAwACwAMwAwACwANAAwAH0ALAAgAHsAMQAsADIALAAzACwANAB9ACwAIAB7ADEALAAzAH0AKQC2AFwAIgAgACYAIABcAG4AIAAgACAAIAAgACAAIAAgACAAIAAgACAAIAAgACAAIAAgACAAIAAgACAAIAAgACAAIAAgACAAIABcACIAMAA3ACwAIAAwADMAIAAgACAAIAAgACAAIAAgACAAkiG2AFwAIgAgACYAIABcAG4AIAAgACAAIAAgACAAIAAgACAAIAAgACAAIAAgACAAIAAgACAAIAAgACAAIAAgACAAIAAgACAAIABcACIAMwAwACwAIAA3ADAAIAAgACAAIAAgACAAIAAgACAAkiF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LABcAG4AIAAgACAAIAAgACAAIAAgACAAIAAgACAAIAAgACAAIAAgACAAIAAgACAAIAAgACAAIAAgACAAIABJAFMATwBNAEkAVABUAEUARAAoACAAUABlAHIAaQBvAGQAUwB0AGEAcgB0AHMAKQApACwAXABuACAAIAAgACAALwAvACAAIABQAHIAbwBjAGUAZAB1AHIAZQAgAC0AIAB0AGgAZQAgAHAAZQByAGkAbwBkACAAZQBhAGMAaAAgAGQAYQB0AGUAIABmAGEAbABsAHMAIABpAG4ALAAgAHQAaABlAG4AIABvAG4AZQAgAG0AYQB0AHIAaQB4ACAAcAByAG8AZAB1AGMAdAAuACAAQQAgAGQAYQB0AGUAIABiAGUAZgBvAHIAZQAgAHQAaABlAFwAbgAgACAAIAAgAC8ALwAgACAAZgBpAHIAcwB0ACAAcABlAHIAaQBvAGQAIABzAHQAYQByAHQAIABiAGUAbABvAG4AZwBzACAAdABvACAAbgBvACAAcABlAHIAaQBvAGQAIABhAG4AZAAgAGkAcwAgAGQAcgBvAHAAcABlAGQAIAByAGEAdABoAGUAcgAgAHQAaABhAG4AIABlAHIAcgBvAHIAaQBuAGcAIAB0AGgAZQAgAHIAbwB3AC4AXABuACAAIAAgACAAIAAgACAAIABQAHIAZABOAHUAbQAsACAAIAAgACAAIAAgACAAIAAgAEkARgBFAFIAUgBPAFIAKAAgAE0AQQBUAEMASAAoACAARABhAHQAZQBzACwAIABQAGUAcgBpAG8AZABTAHQAYQByAHQAcwAsACAAMQApACwAIAAwACkALABcAG4AIAAgACAAIAAgACAAIAAgAEkAbgBQAGUAcgBpAG8AZAAsACAAIAAgACAAIAAgACAAKAAgAFQATwBDAE8ATAAoACAAUAByAGQATgB1AG0AKQAgAD0AIABTAEUAUQBVAEUATgBDAEUAKAAgADEALAAgAEMATwBMAFUATQBOAFMAKAAgAFAAZQByAGkAbwBkAFMAdABhAHIAdABzACkAKQApACAAKgAgADEALABcAG4AIAAgACAAIAAgACAAIAAgAFIAZQBzAHUAbAB0ACwAIAAgACAAIAAgACAAIAAgACAATQBNAFUATABUACgAIABWAGEAbAB1AGUAcwAgACoAIAAxACwAIABJAG4AUABlAHIAaQBvAGQAKQAs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BcAG4AIAAgACAAIABMAEUAVAAoAFwAbgAgACAAIAAgAC8ALwAgACAASABlAGwAcAAgACAAIAAgACAAIAAgACAAXABuACAAIAAgACAAIAAgACAAIABIAGUAbABwACwAIAAgACAAIAAgACAAIABUAFIASQBNACgAVABFAFgAVABTAFAATABJAFQAKAAgAFwAbgAgACAAIAAgACAAIAAgACAAIAAgACAAIAAgACAAIAAgACAAIAAgACAAIAAgACAAIABcACIARgBVAE4AQwBUAEkATwBOADoAIAAgACAAIAAgACAAkiFBAG0AbwByAHQAaQBzAGUAuwMoACAAUAByAGkAbgBjAGkAcABhAGwAcwAsACAAQQBQAFIAcwAsACAAVABlAHIAbQBzACwAIABTAHQAYQByAHQARABhAHQAZQBzACwAIABbAFQAaQBtAGUAbABpAG4AZQBdACkAtgBcACIAIAAmAFwAbgAgACAAIAAgACAAIAAgACAAIAAgACAAIAAgACAAIAAgACAAIAAgACAAIAAgACAAIABcACIARABFAFMAQwBSAEkAUABUAEkATwBOADoAIAAgACAAkiFDAHIAZQBhAHQAZQBzACAAYQBuACAAYQBtAG8AcgB0AGkAcwBhAHQAaQBvAG4AIABzAGMAaABlAGQAdQBsAGUAIABhAHIAcgBhAHkAIABmAG8AcgAgAG8AbgBlACAAbwByACAAbQBvAHIAZQAgAGwAbwBhAG4AcwAuALYAXAAiACAAJgBcAG4AIAAgACAAIAAgACAAIAAgACAAIAAgACAAIAAgACAAIAAgACAAIAAgACAAIAAgACAAIAAgACAAIAAgACAAIAAgACAAIAAgACAAIAAgACAAXAAiAJIhUABhAHkAbQBlAG4AdABzACAAYQByAGUAIABhAHMAcwB1AG0AZQBkACAAbQBvAG4AdABoAGwAeQAuACAATwBuACAAcABlAHIAaQBvAGQAcwAgAHMAaABvAHIAdABlAHIAIAB0AGgAYQBuACAAYQAgAG0AbwBuAHQAaAAgAHQAaABlACAAZgBpAGcAdQByAGUAcwAgAGYAbwByACAAZQBhAGMAaAAgAG0AbwBuAHQAaAAgAGwAYQBuAGQAIABpAG4AIAB0AGgAZQAgAHAAZQByAGkAbwBkACAAaABvAGwAZABpAG4AZwAgAGkAdABzACAAcwB0AGEAcgB0ACwAIAB0AGgAZQAgAHIAZQBzAHQAIABuAGkAbAAuALYAXAAiACAAJgBcAG4AIAAgACAAIAAgACAAIAAgACAAIAAgACAAIAAgACAAIAAgACAAIAAgACAAIAAgACAAIAAgACAAIAAgACAAIAAgACAAIAAgACAAIAAgACAAXAAiAJIhVQBzAGUAIABMAGEAYgBlAGw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bgAgAGEAcgByAGEAeQAgAG8AZgAgAGQAYQB0AGUAcwAuACAASQBmACAAbwBtAGkAdAB0AGUAZAAsACAAYQAgAHIAbwB3ACAAbwBmACAAbQBvAG4AdABoAHMAIABzAHQAYQByAHQAaQBuAGcAIABvAG4AIABzAHQAYQByAHQAIABkAGEAdABlACAAdwBpAGwAbAAgAGIAZQAgAGEAZABkAGUAZAC2AFwAIgAgACYAIABcAG4AIAAgACAAIAAgACAAIAAgACAAIAAgACAAIAAgACAAIAAgACAAIAAgACAAIAAgACAAXAAiAEUAWABBAE0AUABMAEUAUwA6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QQBtAG8AcgB0AGkAcwBlALsDKAAxADAAMAAwADAALAAgADUAJQAsACAANAAgACoAIAAxADIALAAgAFwAIgBcACIAMgAwADIANgAtADAANw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AuACAAQQAgAHQAZQB4AHQAIABzAHQAYQByAHQAIABkAGEAdABlACAAaQBzACAAcgBlAGEAZAAgAGEAcwAgAGEAIABkAGEAdABlACwAXABuACAAIAAgACAALwAvACAAIABhAG4AZAAgAHQAaABlACAAZABlAGYAYQB1AGwAdAAgAHQAaQBtAGUAbABpAG4AZQAgAHIAdQBuAHMAIABmAHIAbwBtACAAdABoAGUAIABlAGEAcgBsAGkAZQBzAHQAIABzAHQAYQByAHQAIAB0AG8AIAB0AGgAZQAgAGwAYQBzAHQAIABtAG8AbgB0AGgAIABvAGYAIAB0AGgAZQBcAG4AIAAgACAAIAAvAC8AIAAgAGwAbwBuAGcAZQBzAHQALQByAHUAbgBuAGkAbgBnACAAbABvAGEAbgAsACAAdwBoAGkAYwBoAGUAdgBlAHIAIABsAG8AYQBuACAAdABoAGEAdAAgAGkAcwAuAFwAbgAgACAAIAAgACAAIAAgACAAQwB2AHQAUwB0AGEAcgB0AHMALAAgACAAIAAgACAAIAAgACAAIAAgAEkARgAoACAASQBTAE4AVQBNAEIARQBSACgAIABTAHQAYQByAHQARABhAHQAZQBzACkALAAgAFMAdABhAHIAdABEAGEAdABlAHMALAAgAEQAQQBUAEUAVgBBAEwAVQBFACgAIABTAHQAYQByAHQARABhAHQAZQBzACkAKQAsAFwAbgAgACAAIAAgACAAIAAgACAAVABpAG0AZQBsAGkAbgBlACwAIAAgACAAIAAgACAAIAAgACAAIAAgAEkARgAoACAASQBTAE8ATQBJAFQAVABFAEQAKAAgAFQAaQBtAGUAbABpAG4AZQApACwAIABcAG4AIAAgACAAIAAgACAAIAAgACAAIAAgACAAIAAgACAAIAAgACAAIAAgACAAIAAgACAAIAAgACAAIAAgACAAIAAgAEwARQBUACgATABhAHMAdABNAG8AbgB0AGgAcwAsACAARQBEAEEAVABFACgAIABDAHYAdABTAHQAYQByAHQAcwAsACAAVABlAHIAbQBzACAALQAgADEAKQAsAFwAbgAgACAAIAAgACAAIAAgACAAIAAgACAAIAAgACAAIAAgACAAIAAgACAAIAAgACAAIAAgACAAIAAgACAAIAAgACAAIAAgACAAIABNAGkAbgBEAGEAdABlACwAIAAgACAAIABNAEkATgAoACAAQwB2AHQAUwB0AGEAcgB0AHMAKQAsAFwAbgAgACAAIAAgACAAIAAgACAAIAAgACAAIAAgACAAIAAgACAAIAAgACAAIAAgACAAIAAgACAAIAAgACAAIAAgACAAIAAgACAAIABMAGEAcwB0AE0AbwBuAHQAaAAsACAAIABNAEEAWAAoACAATABhAHMAdABNAG8AbgB0AGgAcwApACwAXABuACAAIAAgACAAIAAgACAAIAAgACAAIAAgACAAIAAgACAAIAAgACAAIAAgACAAIAAgACAAIAAgACAAIAAgACAAIAAvAC8AIAAgAEMAbwB1AG4AdAAgAGMAYQBsAGUAbgBkAGEAcgAgAG0AbwBuAHQAaABzACwAIABuAG8AdAAgAEQAQQBUAEUARABJAEYAIABcACIATQBcACIAOgAgAGEAIABtAG8AbgB0AGgALQBlAG4AZAAgAHMAdABhAHIAdABcAG4AIAAgACAAIAAgACAAIAAgACAAIAAgACAAIAAgACAAIAAgACAAIAAgACAAIAAgACAAIAAgACAAIAAgACAAIAAgAC8ALwAgACAAbABhAG4AZABzACAAaQB0AHMAIABsAGEAcwB0ACAARQBEAEEAVABFACAAaQBuACAAYQAgAHMAaABvAHIAdABlAHIAIABtAG8AbgB0AGgAIABhAG4AZAAgAEQAQQBUAEUARABJAEYAIABkAHIAbwBwAHMAIABpAHQALgBcAG4AIAAgACAAIAAgACAAIAAgACAAIAAgACAAIAAgACAAIAAgACAAIAAgACAAIAAgACAAIAAgACAAIAAgACAAIAAgACAAIAAgACAATQBhAHgAVABlAHIAbQAsACAAIAAgACAAKAAgAFkARQBBAFIAKAAgAEwAYQBzAHQATQBvAG4AdABoACkAIAAtACAAWQBFAEEAUgAoACAATQBpAG4ARABhAHQAZQApACkAIAAqACAATQBwAFkAXABuACAAIAAgACAAIAAgACAAIAAgACAAIAAgACAAIAAgACAAIAAgACAAIAAgACAAIAAgACAAIAAgACAAIAAgACAAIAAgACAAIAAgACAAIAAgACAAIAAgACAAIAAgACAAIAAgACsAIABNAE8ATgBUAEgAKAAgAEwAYQBzAHQATQBvAG4AdABoACkAIAAtACAATQBPAE4AVABIACgAIABNAGkAbgBEAGEAdABlACkAIAArACAAMQAsAFwAbgAgACAAIAAgACAAIAAgACAAIAAgACAAIAAgACAAIAAgACAAIAAgACAAIAAgACAAIAAgACAAIAAgACAAIAAgACAAIAAgACAAIABFAEQAQQBUAEUAKAAgAE0AaQBuAEQAYQB0AGUALAAgAFMARQBRAFUARQBOAEMARQAoACAAMQAsACAATQBhAHgAVABlAHIAbQAsACAAMAApACkAKQAs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8ALwAgACAAQQAgAG8AbgBlAC0AZABhAHQAZQAgAHQAaQBtAGUAbABpAG4AZQAgACgAYQAgAG8AbgBlAC0AbQBvAG4AdABoACAAbABvAGEAbgApACAAaABhAHMAIABuAG8AIABzAGUAYwBvAG4AZAAgAGQAYQB0AGUAIAB0AG8AIABtAGUAYQBzAHUAcgBlACwAIABzAG8AIABpAHQAIABpAHMAIABtAG8AbgB0AGgAbAB5AC4AXABuACAAIAAgACAAIAAgACAAIABGAGkAcgBzAHQAUABlAHIAaQBvAGQALAAgACAAIAAgACAAIAAgACAASQBOAEQARQBYACgAIABUAGkAbQBlAGwAaQBuAGUALAAgADEAKQAsAFwAbgAgACAAIAAgACAAIAAgACAAUwBpAG4AZwBsAGUAPwAsACAAIAAgACAAIAAgACAAIAAgACAAIAAgAEMATwBVAE4AVABBACgAIABUAGkAbQBlAGwAaQBuAGUAKQAgADwAIAAyACwAXABuACAAIAAgACAAIAAgACAAIABTAGUAYwBvAG4AZABQAGUAcgBpAG8AZAAsACAAIAAgACAAIAAgACAASQBGACgAIABTAGkAbgBnAGwAZQA/ACwAIABFAEQAQQBUAEUAKAAgAEYAaQByAHMAdABQAGUAcgBpAG8AZAAsACAAMQApACwAIABJAE4ARABFAFgAKAAgAFQAaQBtAGUAbABpAG4AZQAsACAAMgApACkALABcAG4AIAAgACAAIAAgACAAIAAgAEQAcABQACwAIAAgACAAIAAgACAAIAAgACAAIAAgACAAIAAgACAAIABTAGUAYwBvAG4AZABQAGUAcgBpAG8AZAAgAC0AIABGAGkAcgBzAHQAUABlAHIAaQBvAGQALAAgACAAIAAgACAAIAAgACAAIAAgACAAIAAgACAAIAAgACAALwAvAEQAYQB5AHMAIABQAGUAcgAgAFAAZQByAGkAbwBkAFwAbgAgACAAIAAgACAAIAAgACAATABhAHMAdABHAGEAcAAsACAAIAAgACAAIAAgACAAIAAgACAAIAAgAEkARgAoACAAUwBpAG4AZwBsAGUAPwAsACAARABwAFAALAAgAE0AQQBYACgAIABUAGkAbQBlAGwAaQBuAGUAKQAgAC0AIABJAE4ARABFAFgAKAAgAFQAaQBtAGUAbABpAG4AZQAsACAAQwBPAFUATgBUAEEAKAAgAFQAaQBtAGUAbABpAG4AZQApACAALQAgADEAKQApACwAXABuACAAIAAgACAAIAAgACAAIABTAHUAYgBNAG8AbgB0AGgAbAB5AD8ALAAgACAAIAAgACAAIAAgACAARABwAFAAIAA8ACAAMgA4ACwAIAAgACAAIAAgACAAIAAgACAAIAAgACAAIAAgACAAIAAgACAAIAAgACAAIAAgACAAIAAgACAAIAAgACAAIAAgACAAIAAgAC8ALwBOAG8AIABtAG8AbgB0AGgAIABpAHMAIABzAGgAbwByAHQAZQByAFwAbgAgACAAIAAgACAAIAAgACAATQBwAFAALAAgACAAIAAgACAAIAAgACAAIAAgACAAIAAgACAAIAAgAE0AQQBYACgAIABAAFIATwBVAE4ARAAoACAARABwAFAAIAAvACAAQQBEAHAATQAsACAAMAApACwAIAAxACkALAAgACAAIAAgACAAIAAgACAAIAAgACAAIAAvAC8ATQBvAG4AdABoAHMAIABQAGUAcgAgAFAAZQByAGkAbwBkACwAIABuAGUAdgBlAHIAIABuAG8AdQBnAGgAdABcAG4AXABuACAAIAAgACAALwAvACAAIABPAG4AZQAgAGwAbwBhAG4AJwBzACAAcwBjAGgAZQBkAHUAbABlACwAIABsAGEAaQBkACAAbwBuAHQAbwAgAHQAaABlACAAdABpAG0AZQBsAGkAbgBlAFwAbgAgACAAIAAgACAAIAAgACAAUwBjAGgAZQBkAHUAbABlACwAIABcAG4AIAAgACAAIAAgACAAIAAgACAAIAAgACAATABBAE0AQgBEAEEAKAAgAEEAcwBzAGUAdAAsAFwAbgAgACAAIAAgACAAIAAgACAAIAAgACAAIAAgACAAIAAgAEwARQBUACgAXABuACAAIAAgACAAIAAgACAAIAAgACAAIAAgACAAIAAgACAALwAvACAAIABDAHIAZQBhAHQAZQAgAGkAbgBkAGkAdgBpAGQAdQBhAGwAIABWAGEAbAB1AGUAcwAgAGYAcgBvAG0AIABhAHIAcgBhAHkAXABuACAAIAAgACAAIAAgACAAIAAgACAAIAAgACAAIAAgACAAIAAgACAAIABQAHIAaQBuAGMAaQBwAGEAbAAsACAAIAAgACAAIAAgACAAIAAgACAASQBOAEQARQBYACgAIABQAHIAaQBuAGMAaQBwAGEAbABzACwAIABBAHMAcwBlAHQAKQAsACAAXABuACAAIAAgACAAIAAgACAAIAAgACAAIAAgACAAIAAgACAAIAAgACAAIABBAFAAUgAsACAAIAAgACAAIAAgACAAIAAgACAAIAAgACAAIAAgACAASQBOAEQARQBYACgAIABBAFAAUgBzACwAIABBAHMAcwBlAHQAKQAsACAAXABuACAAIAAgACAAIAAgACAAIAAgACAAIAAgACAAIAAgACAAIAAgACAAIABUAGUAcgBtACwAIAAgACAAIAAgACAAIAAgACAAIAAgACAAIAAgACAASQBOAEQARQBYACgAIABUAGUAcgBtAHMALAAgAEEAcwBzAGUAdAApACwAIAAgAFwAbgAgACAAIAAgACAAIAAgACAAIAAgACAAIAAgACAAIAAgACAAIAAgACAAUwB0AGEAcgB0AEQAYQB0AGUALAAgACAAIAAgACAAIAAgACAAIAAgAEkATgBEAEUAWAAoACAAQwB2AHQAUwB0AGEAcgB0AHMALAAgAEEAcwBzAGUAdAApACwAIABcAG4AXABuACAAIAAgACAAIAAgACAAIAAgACAAIAAgACAAIAAgACAALwAvACAAIABBAGQAagB1AHMAdAAgAGkAbgBwAHUAdABzACAAdABvACAAbQBhAHQAYwBoACAAdABpAG0AZQBsAGkAbgBlAFwAbgAgACAAIAAgACAAIAAgACAAIAAgACAAIAAgACAAIAAgACAAIAAgACAAUABlAHIAaQBvAGQAcwAsACAAIAAgACAAIAAgACAAIAAgACAAIAAgAFIATwBVAE4ARABVAFAAKABUAGUAcgBtACAALwAgAE0AcABQACwAIAAwACkALABcAG4AIAAgACAAIAAgACAAIAAgACAAIAAgACAAIAAgACAAIAAgACAAIAAgAFIAbwB3AHMALAAgACAAIAAgACAAIAAgACAAIAAgACAAIAAgACAAIAAxACwAXABuACAAIAAgACAAIAAgACAAIAAgACAAIAAgACAAIAAgACAAIAAgACAAIABDAG8AbABzACwAIAAgACAAIAAgACAAIAAgACAAIAAgACAAIAAgACAAUABlAHIAaQBvAGQAcwAsAFwAbgBcAG4AIAAgACAAIAAgACAAIAAgACAAIAAgACAAIAAgACAAIAAvAC8AIAAgAEMAYQBsAGMAdQBsAGEAdABlACAAZgBvAHIAIABlAGEAYwBoACAAbQBvAG4AdABoAFwAbgAgACAAIAAgACAAIAAgACAAIAAgACAAIAAgACAAIAAgACAAIAAgACAAUgBhAHQAZQAsACAAIAAgACAAIAAgACAAIAAgACAAIAAgACAAIAAgAEEAUABSACAALwAgAE0AcABZACwAXABuACAAIAAgACAAIAAgACAAIAAgACAAIAAgACAAIAAgACAAIAAgACAAIABNAG8AbgB0AGgAbAB5AFAAYQB5AG0AZQBuAHQALAAgACAAIAAgACAAUABNAFQAKAAgAFIAYQB0AGUALAAgAFQAZQByAG0ALAAgAFAAcgBpAG4AYwBpAHAAYQBsACkALAAgACAAIAAgAFwAbgAgACAAIAAgACAAIAAgACAAIAAgACAAIAAgACAAIAAgACAAIAAgACAATQBvAG4AdABoAGwAeQBQAHIAaQBuAGMAaQBwAGEAbAAsACAAIAAgAC0ARgBWACgAUgBhAHQAZQAsACAAUwBFAFEAVQBFAE4AQwBFACgAIAAxACwAIABUAGUAcgBtACwAIAAwACkALAAgAE0AbwBuAHQAaABsAHkAUABhAHkAbQBlAG4AdAAsACAAUAByAGkAbgBjAGkAcABhAGwAKQAsAFwAbgAgACAAIAAgACAAIAAgACAAIAAgACAAIAAgACAAIAAgACAAIAAgACAATQBvAG4AdABoAGwAeQBJAG4AdABlAHIAZQBzAHQALAAgACAAIAAgAE0AbwBuAHQAaABsAHkAUAByAGkAbgBjAGkAcABhAGwAIAAqACAAUgBhAHQAZQAsAFwAbgBcAG4AIAAgACAAIAAgACAAIAAgACAAIAAgACAAIAAgACAAIAAvAC8AIAAgAEMAbwBuAHYAZQByAHQAIAB0AG8AIABUAGkAbQBlAGwAaQBuAGUAIABQAGUAcgBpAG8AZABzAFwAbgAgACAAIAAgACAAIAAgACAAIAAgACAAIAAgACAAIAAgACAAIAAgACAARABlAGIAdABJAHMAcwB1AGUAQQByAHIAYQB5ACwAIAAgACAAIAAgAEUAWABQAEEATgBEACgAUAByAGkAbgBjAGkAcABhAGwALAAgADEALAAgAFAAZQByAGkAbwBkAHMALAAgADAAKQAsAFwAbgAgACAAIAAgACAAIAAgACAAIAAgACAAIAAgACAAIAAgACAAIAAgACAAUAByAGkAbgBjAGkAcABhAGwAQQByAHIAYQB5ACwAIAAgACAAIAAgAEkARgAoACAATQBwAFAAIAA9ACAAMQAsACAAXABuACAAIAAgACAAIAAgACAAIAAgACAAIAAgACAAIAAgACAAIAAgACAAIAAgACAAIAAgACAAIAAgACAAIAAgACAAIAAgACAAIAAgACAAIAAgACAAIAAgACAAIABNAG8AbgB0AGgAbAB5AFAAcgBpAG4AYwBpAHAAYQBs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BMAEUAVAAoAEkAZAB4ACwAIAAoAEMAIAAtACAAMQApACAAKgAgAE0AcABQACAAKwAgADEALAAgAFwAbgAgACAAIAAgACAAIAAgACAAIAAgACAAIAAgACAAIAAgACAAIAAgACAAIAAgACAAIAAgACAAIAAgACAAIAAgACAAIAAgACAAIAAgACAAIAAgACAAIAAgACAAIAAgACAAIAAgACAAIAAgACAAIAAgACAASQBOAEQARQBYACgAIABNAG8AbgB0AGgAbAB5AFAAcgBpAG4AYwBpAHAAYQBsACwAIABJAGQAe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SQBuAHQAZQByAGUAcwB0AEEAcgByAGEAeQAsACAAIAAgACAAIAAgAEkARgAoACAATQBwAFAAIAA9ACAAMQAsACAAXABuACAAIAAgACAAIAAgACAAIAAgACAAIAAgACAAIAAgACAAIAAgACAAIAAgACAAIAAgACAAIAAgACAAIAAgACAAIAAgACAAIAAgACAAIAAgACAAIAAgACAAIABNAG8AbgB0AGgAbAB5AEkAbgB0AGUAcgBlAHMAdAAsAFwAbgAgACAAIAAgACAAIAAgACAAIAAgACAAIAAgACAAIAAgACAAIAAgACAAIAAgACAAIAAgACAAIAAgACAAIAAgACAAIAAgACAAIAAgACAAIAAgACAAIAAgACAATABFAFQAKAAgAFwAbgAgACAAIAAgACAAIAAgACAAIAAgACAAIAAgACAAIAAgACAAIAAgACAAIAAgACAAIAAgACAAIAAgACAAIAAgACAAIAAgACAAIAAgACAAIAAgACAAIAAgACAAIAAgACAAIABNAG8ASQBuAHQALAAgACAARQBYAFAAQQBOAEQAKAAgAE0AbwBuAHQAaABsAHkASQBuAHQAZQByAGUAcwB0ACwAIAAxACwAIABSAE8AVQBOAEQAVQBQACgAIABUAGUAcgBtAC8AIABNAHAAcAAsACAAMAApACAAKgAgAE0AcABwACwAIAAwACkALAAgAFwAbgAgACAAIAAg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CAAIAAgACAAUwBVAE0AKAAgAEMASABPAE8AUwBFAEMATwBMAFMAKABNAG8ASQBuAHQALAAgAFMARQBRAFUARQBOAEMARQAoADEALAAgAE0AcABQACwAIABJAGQAeAApACkAKQ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FAAYQB5AG0AZQBuAHQAQQByAHIAYQB5ACwAIAAgACAAIAAgACAAIABMAEUAVAAoAE0AbwBQAG0AdAAsACAAIABFAFgAUABBAE4ARAAoACAAUwBFAFEAVQBFAE4AQwBFACgAMQAsACAAVABlAHIAbQAsACAATQBvAG4AdABoAGwAeQBQAGEAeQBtAGUAbgB0ACwAIAAwACkALAAgADEALAAgAFIATwBVAE4ARABVAFAAKAAgAFQAZQByAG0ALwAgAE0AcABwACwAIAAwACkAIAAqACAATQBwAHAALAAgADAAKQ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UwBVAE0AKAAgAEMASABPAE8AUwBFAEMATwBMAFMAKABNAG8AUABtAHQALAAgAFMARQBRAFUARQBOAEMARQAoADEALAAgAE0AcABQACwAIABJAGQAeAAp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BcAG4AIAAgACAAIAAgACAAIAAgACAAIAAgACAAIAAgACAAIAAgACAAIAAgACAAIAAgACAAIAAgACAAIAAgACAAIAAgACAAIAAgACAAIAAgACAAIAApACwAIABcAG4AIAAgACAAIAAgACAAIAAgACAAIAAgACAAIAAgACAAIAAgACAAIAAgAEMAbABvAHMAaQBuAGcAQQByAHIAYQB5ACwAIAAgACAAIAAgACAAIABQAHIAaQBuAGMAaQBwAGEAbABBAHIAcgBhAHkAIAArACAASQBuAHQAZQByAGUAcwB0AEEAcgByAGEAeQAgACsAIABQAGEAeQBtAGUAbgB0AEEAcgByAGEAeQAsAFwAbgAgACAAIAAgACAAIAAgACAAIAAgACAAIAAgACAAIAAgACAAIAAgACAAUABvAHIAdABpAG8AbgBBAHIAcgBhAHkALAAgACAAIAAgACAAIAAgAC0AUABhAHkAbQBlAG4AdABBAHIAcgBhAHkAIAAtACAASQBuAHQAZQByAGUAcwB0AEEAcgByAGEAeQAsACAAIAAgACAAXABuACAAIAAgACAAIAAgACAAIAAgACAAIAAgACAAIAAgACAAIAAgACAAIABBAG0AbwByAHQAaQBzAGEAdABpAG8AbgBTAGMAaABlAGQALAAgACAAVgBTAFQAQQBDAEsAKABcAG4AIAAgACAAIAAgACAAIAAgACAAIAAgACAAIAAgACAAIAAgACAAIAAgACAAIAAgACAAIAAgACAAIAAgACAAIAAgACAAIAAgACAAIAAgACAAIAAgACAAIAAgAEQAZQBiAHQASQBzAHMAdQBlAEEAcgByAGEAeQAsACAAXABuACAAIAAgACAAIAAgACAAIAAgACAAIAAgACAAIAAgACAAIAAgACAAIAAgACAAIAAgACAAIAAgACAAIAAgACAAIAAgACAAIAAgACAAIAAgACAAIAAgACAAIABQAHIAaQBuAGMAaQBwAGEAbABBAHIAcgBhAHkALAAgAFwAbgAgACAAIAAgACAAIAAgACAAIAAgACAAIAAgACAAIAAgACAAIAAgACAAIAAgACAAIAAgACAAIAAgACAAIAAgACAAIAAgACAAIAAgACAAIAAgACAAIAAgACAASQBuAHQAZQByAGUAcwB0AEEAcgByAGEAeQAsACAAXABuACAAIAAgACAAIAAgACAAIAAgACAAIAAgACAAIAAgACAAIAAgACAAIAAgACAAIAAgACAAIAAgACAAIAAgACAAIAAgACAAIAAgACAAIAAgACAAIAAgACAAIABQAGEAeQBtAGUAbgB0AEEAcgByAGEAeQAsACAAXABuACAAIAAgACAAIAAgACAAIAAgACAAIAAgACAAIAAgACAAIAAgACAAIAAgACAAIAAgACAAIAAgACAAIAAgACAAIAAgACAAIAAgACAAIAAgACAAIAAgACAAIABDAGwAbwBzAGkAbgBnAEEAcgByAGEAeQAsACAAXABuACAAIAAgACAAIAAgACAAIAAgACAAIAAgACAAIAAgACAAIAAgACAAIAAgACAAIAAgACAAIAAgACAAIAAgACAAIAAgACAAIAAgACAAIAAgACAAIAAgACAAIABQAG8AcgB0AGkAbwBuAEEAcgByAGEAeQApACwAXABuACAAIAAgACAAIAAgACAAIAAgACAAIAAgACAAIAAgACAALwAvACAAIABQAG8AcwBpAHQAaQBvAG4AIABpAG4AIAB0AGkAbQBlAGwAaQBuAGUAXABuACAAIAAgACAAIAAgACAAIAAgACAAIAAgACAAIAAgACAAIAAgACAAIABPAGYAZgBzAGUAdAAsACAAIAAgACAAIAAgACAAIAAgACAAIAAgACAAVABpAG0AZQBsAGkAbgBlAE8AZgBmAHMAZQB0ALsDKABTAHQAYQByAHQARABhAHQAZQAsACAAVABpAG0AZQBsAGkAbgBlACkALABcAG4AIAAgACAAIAAgACAAIAAgACAAIAAgACAAIAAgACAAIAAvAC8AIAAgAEEAIABzAHUAYgAtAG0AbwBuAHQAaABsAHkAIABwAGUAcgBpAG8AZAAgAGkAcwAgAGEAIABmAGkAeABlAGQAIABuAHUAbQBiAGUAcgAgAG8AZgAgAGQAYQB5AHMALAAgAHMAbwAgAGUAYQBjAGgAIABtAG8AbgB0AGgAIABsAGEAbgBkAHMAIABpAG4AXABuACAAIAAgACAAIAAgACAAIAAgACAAIAAgACAAIAAgACAALwAvACAAIAB0AGgAZQAgAG8AbgBlACAAcABlAHIAaQBvAGQAIAB0AGgAYQB0ACAAYwBvAG4AdABhAGkAbgBzACAAaQB0AHMAIABzAHQAYQByAHQAIABhAG4AZAAgAHQAaABlACAAcABlAHIAaQBvAGQAcwAgAGIAZQB0AHcAZQBlAG4AIABhAHIAZQAgAG4AaQBsAC4AXABuACAAIAAgACAAIAAgACAAIAAgACAAIAAgACAAIAAgACAALwAvACAAIABSAG8AdwBzACAAMgAgAGEAbgBkACAANQAgAGEAcgBlACAAYgBhAGwAYQBuAGMAZQBzACAAcgBhAHQAaABlAHIAIAB0AGgAYQBuACAAZgBsAG8AdwBzADsAIABhACAAYgBhAGwAYQBuAGMAZQAgAGkAcwAgAGMAYQByAHIAaQBlAGQAIABpAG4AdABvAFwAbgAgACAAIAAgACAAIAAgACAAIAAgACAAIAAgACAAIAAgAC8ALwAgACAAdABoAGUAIABwAGUAcgBpAG8AZAAgAGkAdAAgAGkAcwAgAGQAYQB0AGUAZAAgAGkAbgAgAGEAbgBkACAAbgBvAHcAaABlAHIAZQAgAGUAbABzAGUALAAgAHcAaABpAGMAaAAgAGkAcwAgAHQAaABlACAAcwBhAG0AZQAgAHQAcgBlAGEAdABtAGUAbgB0AFwAbgAgACAAIAAgACAAIAAgACAAIAAgACAAIAAgACAAIAAgAC8ALwAgACAARABlAHAAcgBlAGMAaQBhAHQAZQC7AyAAZwBpAHYAZQBzACAAaQB0AHMAIABvAHcAbgAgAG8AcABlAG4AaQBuAGcAIABiAGEAbABhAG4AYwBlACAAcgBvAHcALgBcAG4AIAAgACAAIAAgACAAIAAgACAAIAAgACAAIAAgACAAIAAgACAAIAAgAE0AbwBuAHQAaABTAHQAYQByAHQAcwAsACAAIAAgACAAIAAgACAAIABFAEQAQQBUAEUAKAAgAFMAdABhAHIAdABEAGEAdABlACwAIABTAEUAUQBVAEUATgBDAEUAKAAgACwAIABQAGUAcgBpAG8AZABzACwAIAAwACkAKQAsAFwAbgAgACAAIAAgACAAIAAgACAAIAAgACAAIAAgACAAIAAgAC8ALwAgACAAVABoAGUAIABwAGUAcgBpAG8AZAAgAGUAYQBjAGgAIABtAG8AbgB0AGgAIABvAHAAZQBuAHMAIABpAG4AIABpAHMAIAB0AGgAZQAgAGwAYQBzAHQAIABwAGUAcgBpAG8AZAAgAHMAdABhAHIAdAAgAG8AbgAgAG8AcgAgAGIAZQBmAG8AcgBlACAAaQB0AC4AIABBAFwAbgAgACAAIAAgACAAIAAgACAAIAAgACAAIAAgACAAIAAgAC8ALwAgACAAcABlAHIAaQBvAGQAIABlAG4AZABzACAAdwBoAGUAcgBlACAAdABoAGUAIABuAGUAeAB0ACAAbwBuAGUAIABvAHAAZQBuAHMAOwAgAG8AbgBsAHkAIAB0AGgAZQAgAGwAYQBzAHQAIABoAGEAcwAgAG4AbwAgAHMAdQBjAGMAZQBzAHMAbwByACAAdABvACAAYQBzAGsALABcAG4AIAAgACAAIAAgACAAIAAgACAAIAAgACAAIAAgACAAIAAvAC8AIAAgAHMAbwAgAGkAdAAgAHIAdQBuAHMAIABvAG4AIABhAHMAIABmAGEAcgAgAGEAcwAgAHQAaABlACAAcABlAHIAaQBvAGQAIABiAGUAZgBvAHIAZQAgAGkAdAAgAGQAaQBkAC4AIABBACAAbQBvAG4AdABoACAAYgBlAGYAbwByAGUAIAB0AGgAZQAgAGYAaQByAHMAdABcAG4AIAAgACAAIAAgACAAIAAgACAAIAAgACAAIAAgACAAIAAvAC8AIAAgAHAAZQByAGkAbwBkACAAbwByACAAYQBmAHQAZQByACAAdABoAGEAdAAgAGUAbgBkACAAYgBlAGwAbwBuAGcAcwAgAHQAbwAgAG4AbwAgAHAAZQByAGkAbwBkACAAYQBuAGQAIABsAGEAbgBkAHMAIABuAG8AdwBoAGUAcgBlAC4AXABuACAAIAAgACAAIAAgACAAIAAgACAAIAAgACAAIAAgACAAIAAgACAAIABCAHUAYwBrAGUAdABzACwAIAAgACAAIAAgACAAIAAgACAAIAAgACAASQBGAEUAUgBSAE8AUgAoACAATQBBAFQAQwBIACgAIABNAG8AbgB0AGgAUwB0AGEAcgB0AHMALAAgAFQAaQBtAGUAbABpAG4AZQAsACAAMQApACwAIAAwACkAXABuACAAIAAgACAAIAAgACAAIAAgACAAIAAgACAAIAAgACAAIAAgACAAIAAgACAAIAAgACAAIAAgACAAIAAgACAAIAAgACAAIAAgACAAIAAgACAAKgAgACgAIABNAG8AbgB0AGgAUwB0AGEAcgB0AHMAIAA8ACAATQBBAFgAKAAgAFQAaQBtAGUAbABpAG4AZQApACAAKwAgAEwAYQBzAHQARwBhAHAAKQAsAFwAbgAgACAAIAAgACAAIAAgACAAIAAgACAAIAAgACAAIAAgACAAIAAgACAAQgB5AEQAYQB0AGUALAAgACAAIAAgACAAIAAgACAAIAAgACAAIAAgAE0ATQBVAEwAVAAoACAAQQBtAG8AcgB0AGkAcwBhAHQAaQBvAG4AUwBjAGgAZQBkACwAIAAoACAAVABPAEMATwBMACgAIABCAHUAYwBrAGUAdABzACkAIAA9ACAAUwBFAFEAVQBFAE4AQwBFACgAIAAxACwAIABDAE8AVQBOAFQAQQAoACAAVABpAG0AZQBsAGkAbgBlACkAKQApACAAKgAgADEAKQAsAFwAbgAgACAAIAAgACAAIAAgACAAIAAgACAAIAAgACAAIAAgACAAIAAgACAASQBGACgAIABTAHUAYgBNAG8AbgB0AGgAbAB5AD8ALABcAG4AIAAgACAAIAAgACAAIAAgACAAIAAgACAAIAAgACAAIAAgACAAIAAgACAAIAAgACAAQgB5AEQAYQB0AGUALABcAG4AIAAgACAAIAAgACAAIAAgACAAIAAgACAAIAAgACAAIAAgACAAIAAgACAAIAAgACAAVABpAG0AZQBsAGkAbgBlAFAAbwBzAGkAdABpAG8AbgC7AygAQQBtAG8AcgB0AGkAcwBhAHQAaQBvAG4AUwBjAGgAZQBkACwAIABUAGkAbQBlAGwAaQBuAGUALAAgAE8AZgBmAHMAZQB0ACkAKQBcAG4AIAAgACAAIAAgACAAIAAgACAAIAAgACAAIAAgACAAIAApACAAIAAgAFwAbgAgACAAIAAgACAAIAAgACAAIAAgACAAIAApACwAIAAgACAAIABcAG4AIAAgACAAIAAvAC8AIAAgAEUAdgBlAHIAeQAgAGwAbwBhAG4AIABpAG4AIAB0AHUAcgBuACwAIABhACAAYgBsAGEAbgBrACAAcgBvAHcAIABiAGUAdAB3AGUAZQBuACAAbwBuAGUAIABiAGwAbwBjAGsAIABhAG4AZAAgAHQAaABlACAAbgBlAHgAdABcAG4AIAAgACAAIAAgACAAIAAgAFIAZQBzAHUAbAB0ACwAIAAgACAAIAAgAFIARQBEAFUAQwBFACgAIAAwACwAIABTAEUAUQBVAEUATgBDAEUAKAAgAFIATwBXAFMAKAAgAFAAcgBpAG4AYwBpAHAAYQBsAHMAKQApACwAXABuACAAIAAgACAAIAAgACAAIAAgACAAIAAgACAAIAAgACAAIAAgACAAIAAgACAAIAAgAEwAQQBNAEIARABBACgAIABBAGMAYwAsACAAQQBzAHMAZQB0ACwAXABuACAAIAAgACAAIAAgACAAIAAgACAAIAAgACAAIAAgACAAIAAgACAAIAAgACAAIAAgACAAIAAgACAATABFAFQAKABOAGUAdwBCAGwAbwBjAGsALAAgACAAIABTAGMAaABlAGQAdQBsAGUAKAAgAEEAcwBzAGUAdAApACwAXABuACAAIAAgACAAIAAgACAAIAAgACAAIAAgACAAIAAgACAAIAAgACAAIAAgACAAIAAgACAAIAAgACAAIAAgACAAIABJAEYAKAAgAEEAcwBzAGUAdAAgAD0AIAAxACwAIABcAG4AIAAgACAAIAAgACAAIAAgACAAIAAgACAAIAAgACAAIAAgACAAIAAgACAAIAAgACAAIAAgACAAIAAgACAAIAAgACAAIAAgACAATgBlAHcAQgBsAG8AYwBrACwAXABuACAAIAAgACAAIAAgACAAIAAgACAAIAAgACAAIAAgACAAIAAgACAAIAAgACAAIAAgACAAIAAgACAAIAAgACAAIAAgACAAIAAgAFYAUwBUAEEAQwBLACgAIABBAGMAYwAsACAARQBYAFAAQQBOAEQAKAB7AFwAIgAgAFwAIgB9ACwAIAAxACwAIABDAE8AVQBOAFQAQQAoAFQAaQBtAGUAbABpAG4AZQApACwAIABcACIAIABcACIAKQAsACAATgBlAHcAQgBsAG8AYwBrACkAKQBcAG4AIAAgACAAIAAgACAAIAAgACAAIAAgACAAIAAgACAAIAAgACAAIAAgACAAIAAgACAAIAAgACAAIAApAFwAbgAgACAAIAAgACAAIAAgACAAIAAgACAAIAAgACAAIAAgACAAIAAgACAAIAAgACAAIAApAFwAbgAgACAAIAAgACAAIAAgACAAIAAgACAAIAAgACAAIAAgACAAIAAgACAAKQAsAFwAbgAgACAAIAAgAC8ALwAgACAAUgBlAHQAdQByAG4AIABSAGUAcwB1AGwAdABcAG4AIAAgACAAIAAgACAAIAAgAEMASABPAE8AUwBFACgASABlAGwAcAA/ACAAKwAgADEALAAgAFIAZQBzAHUAbAB0ACwAIABIAGUAbABwACkAXABuACAAIAAgACAAKQAgAFwAbgApADsAXABuAFwAbgBcAG4ALwAqACAAIABGAFUATgBDAFQASQBPAE4AIABOAEEATQBFADoAIAAgAEwAYQBiAGUAbABBAG0AbwByAHQAaQBzAGUAuwNcAG4AIAAgACAAIABEAEUAUwBDAFIASQBQAFQASQBPAE4AOgAqAC8ALwAqACoAQwByAGUAYQB0AGUAIABsAGEAYgBlAGwAcwAgAGYAbwByACAAQQBtAG8AcgB0AGkAcwBlALsDKgAvAFwAbgBMAGEAYgBlAGwAQQBtAG8AcgB0AGkAcwBlALsDIAA9ACAATABBAE0AQgBEAEEAKABcAG4ALwAvACAAIABQAGEAcgBhAG0AZQB0AGUAcgAgAEQAZQBjAGwAYQByAGEAdABpAG8AbgBzAFwAbgAgACAAIAAgAFsATABvAGEAbgBOAGEAbQBlAHMAXQAsACAAIABcAG4AIAAgACAAIABbAEwAbwBhAG4AQQBtAG8AdQBuAHQAcwBdACwAIAAgAFwAbgAgACAAIAAgAFsATABvAGEAbgBBAFAAUgBzAF0ALAAgACAAXABuACAAIAAgACAAWwBMAG8AYQBuAFQAZQByAG0AcwBdACw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BAG0AbwByAHQAaQBzAGUAuwMoAEwAbwBhAG4ATgBhAG0AZQBzACwAIABbAEwAbwBhAG4AQQBtAG8AdQBuAHQAcwBdACwAIABbAEwAbwBhAG4AQQBQAFIAcwBdACwAIABbAEwAbwBhAG4AVABlAHIAbQBzAF0AKQC2AFwAIgAgACYAXABuACAAIAAgACAAIAAgACAAIAAgACAAIAAgACAAIAAgACAAIAAgACAAIAAgACAAIAAgACAAIAAgACAAXAAiAEQARQBTAEMAUgBJAFAAVABJAE8ATgA6ACAAIAAgAJIhQwByAGUAYQB0AGUAIAByAG8AdwAgAGwAYQBiAGUAbABzACAAZgBvAHIAIAB0AGgAZQAgAGEAbQBvAHIAdABpAHMAYQB0AGkAbwBuACAAcwBjAGgAZQBkAHUAbABlACAAYQByAHIAYQB5ACAAcAByAG8AZAB1AGMAZQBkACAAYgB5ACAAQQBtAG8AcgB0AGkAcw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wAbwBhAG4ATgBhAG0AZQBzACAAIAAgACAAIACSISgAUgBlAHEAdQBpAHIAZQBkACkAIABOAGEAbQBlAHMAIABvAHIAIABkAGUAcwBjAHIAaQBwAHQAaQBvAG4AcwAgAG8AZgAgAGUAYQBjAGgAIABsAG8AYQBuACAAaQBuACAAdABoAGUAIABhAG0AbwByAHQAaQBzAGEAdABpAG8AbgAgAHMAYwBoAGUAZAB1AGwAZQAgAHAAcgBvAGQAdQBjAGUAZAAgAGIAeQAgAEEAbQBvAHIAdABpAHMAZQC7A7YAXAAiACAAJgAgACAAIAAgACAAIAAgACAAIAAgACAAIAAgACAAIAAgACAAIABcAG4AIAAgACAAIAAgACAAIAAgACAAIAAgACAAIAAgACAAIAAgACAAIAAgACAAIAAgACAAIAAgACAAIABcACIATABvAGEAbgBBAG0AbwB1AG4AdABzACAAIAAgAJIhKABPAHAAdABpAG8AbgBhAGwAKQAgAEEAbQBvAHUAbgB0ACAAYgBvAHIAcgBvAHcAZQBkALYAXAAiACAAJgAgACAAIAAgACAAIAAgACAAIAAgACAAIAAgACAAIAAgACAAIABcAG4AIAAgACAAIAAgACAAIAAgACAAIAAgACAAIAAgACAAIAAgACAAIAAgACAAIAAgACAAIAAgACAAIABcACIATABvAGEAbgBBAFAAUgBzACAAIAAgACAAIAAgAJIhKABPAHAAdABpAG8AbgBhAGwAKQAgAEEAbgBuAHUAYQBsACAAUABlAHIAYwBlAG4AdABhAGcAZQAgAEkAbgB0AGUAcgBlAHMAdAAgAFIAYQB0AGUAtgBcACIAIAAmACAAIAAgACAAIAAgACAAIAAgACAAIAAgACAAIAAgACAAIAAgAFwAbgAgACAAIAAgACAAIAAgACAAIAAgACAAIAAgACAAIAAgACAAIAAgACAAIAAgACAAIAAgACAAIAAgAFwAIgBMAG8AYQBuAFQAZQByAG0AcwAgACAAIAAgACAAkiEoAE8AcAB0AGkAbwBuAGEAbAApACAATgB1AG0AYgBlAHIAIABvAGYAIABtAG8AbgB0AGgAcwAgAHQAbwAgAHIAZQBwAGEAeQC2AFwAIgAgACY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MAGEAYgBlAGwAQQBtAG8AcgB0AGkAcwBlALsDKAB0AGIAbABMAG8AYQBuAHMAWwBMAG8AYQBu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yAGUAcQB1AGkAcgBlAGQAIABpAG4AcAB1AHQAcwAgAC0AIABPAG0AaQB0AHQAZQBkACAAcgBlAHEAdQBpAHIAZQBkACAAYQByAGcAdQBtAGUAbgB0AHMAXABuACAAIAAgACAAIAAgACAAIABIAGUAbABwAD8ALAAgACAAIAAgACAAIAAgACAAIAAgAEkAUwBPAE0ASQBUAFQARQBEACgAIABMAG8AYQBuAE4AYQBtAGUAcwApACwAXABuACAAIAAgACAALwAvACAAIABDAGgAZQBjAGsAIABvAHAAdABpAG8AbgBhAGwAIABpAG4AcAB1AHQAcwBcAG4AIAAgACAAIAAgACAAIAAgAE8AcAB0AGkAbwBuAGEAbABzACwAIAAgACAAIAAgACAATgBPAFQAKAAgAE8AUgAoACAAXABuACAAIAAgACAAIAAgACAAIAAgACAAIAAgACAAIAAgACAAIAAgACAAIAAgACAAIAAgACAAIAAgACAASQBTAE8ATQBJAFQAVABFAEQAKAAgAEwAbwBhAG4AQQBtAG8AdQBuAHQAcwApACwAIABcAG4AIAAgACAAIAAgACAAIAAgACAAIAAgACAAIAAgACAAIAAgACAAIAAgACAAIAAgACAAIAAgACAAIABJAFMATwBNAEkAVABUAEUARAAoACAATABvAGEAbgBBAFAAUgBzACkALAAgAFwAbgAgACAAIAAgACAAIAAgACAAIAAgACAAIAAgACAAIAAgACAAIAAgACAAIAAgACAAIAAgACAAIAAgAEkAUwBPAE0ASQBUAFQARQBEACgAIABMAG8AYQBuAFQAZQByAG0AcwApAFwAbgAgACAAIAAgACAAIAAgACAAIAAgACAAIAAgACAAIAAgACAAIAAgACAAIAAgACAAIAApACkALABcAG4AIAAgACAAIAAvAC8AIAAgAFAAcgBvAGMAZQBkAHUAcgBlACAALQAgAHMAaQB4ACAAbABhAGIAZQBsAGwAZQBkACAAcgBvAHcAcwAgAGEAbgBkACAAYQAgAGIAbABhAG4AawAgAHIAbwB3ACAAcABlAHIAIABsAG8AYQBuACwAIAB3AGkAdABoAG8AdQB0ACAAdABoAGUAIAB0AHIAYQBpAGwAaQBuAGcAIABiAGwAYQBuAGsAXABuACAAIAAgACAAIAAgACAAIABSAGUAcwB1AGwAdAAsACAAIAAgACAAIAAgACAAIAAgAE0AQQBLAEUAQQBSAFIAQQBZACgAIABSAE8AVwBTACgAIABMAG8AYQBuAE4AYQBtAGUAcwApACAAKgAgADcAIAAtACAAMQAsACAASQBGACgAIABPAHAAdABpAG8AbgBhAGwAcwAsACAAMwAsACAAMQApACwAXABuACAAIAAgACAAIAAgACAAIAAgACAAIAAgACAAIAAgACAAIAAgACAAIAAgACAAIAAgACAAIAAgACAATABBAE0AQgBEAEEAKABSAG8AdwAsACAAQwBvAGw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UwBXAEkAVABDAEgAKAAgAEMAbwBsACwAXABuACAAIAAgACAAIAAgACAAIAAgACAAIAAgACAAIAAgACAAIAAgACAAIAAgACAAIAAgACAAIAAgACAAIAAgACAAIAAgACAAIAAgACAAIAAgACAAMQAsACAAIABTAFcASQBUAEMASAAoACAATABpAG4AZQAsAFwAbgAgACAAIAAgACAAIAAgACAAIAAgACAAIAAgACAAIAAgACAAIAAgACAAIAAgACAAIAAgACAAIAAgACAAIAAgACAAIAAgACAAIAAgACAAIAAgACAAIAAgACAAIAAgACAAIAAxACwAIAAgAEwAbwBhAG4ATgBhAG0AZQAgACYAIABcACIAIABEAGUAYgB0ACAASQBzAHMAdQBhAG4AYwBlAFwAIgAsAFwAbgAgACAAIAAgACAAIAAgACAAIAAgACAAIAAgACAAIAAgACAAIAAgACAAIAAgACAAIAAgACAAIAAgACAAIAAgACAAIAAgACAAIAAgACAAIAAgACAAIAAgACAAIAAgACAAIAAyACwAIAAgAEwAbwBhAG4ATgBhAG0AZQAgACYAIABcACIAIABEAGUAYgB0ACAAQgBhAGwAYQBuAGMAZQBcACIALABcAG4AIAAgACAAIAAgACAAIAAgACAAIAAgACAAIAAgACAAIAAgACAAIAAgACAAIAAgACAAIAAgACAAIAAgACAAIAAgACAAIAAgACAAIAAgACAAIAAgACAAIAAgACAAIAAgACAAMwAsACAAIABMAG8AYQBuAE4AYQBtAGUAIAAmACAAXAAiACAASQBuAHQAZQByAGUAcwB0AFwAIgAsAFwAbgAgACAAIAAgACAAIAAgACAAIAAgACAAIAAgACAAIAAgACAAIAAgACAAIAAgACAAIAAgACAAIAAgACAAIAAgACAAIAAgACAAIAAgACAAIAAgACAAIAAgACAAIAAgACAAIAA0ACwAIAAgAEwAbwBhAG4ATgBhAG0AZQAgACYAIABcACIAIABEAGUAYgB0ACAAUwBlAHIAdgBpAGMAZQBzAFwAIgAsAFwAbgAgACAAIAAgACAAIAAgACAAIAAgACAAIAAgACAAIAAgACAAIAAgACAAIAAgACAAIAAgACAAIAAgACAAIAAgACAAIAAgACAAIAAgACAAIAAgACAAIAAgACAAIAAgACAAIAA1ACwAIAAgAEwAbwBhAG4ATgBhAG0AZQAgACYAIABcACIAIABDAGwAbwBzAGkAbgBnACAAQgBhAGwAYQBuAGMAZQBcACIALABcAG4AIAAgACAAIAAgACAAIAAgACAAIAAgACAAIAAgACAAIAAgACAAIAAgACAAIAAgACAAIAAgACAAIAAgACAAIAAgACAAIAAgACAAIAAgACAAIAAgACAAIAAgACAAIAAgACAANgAsACAAIABMAG8AYQBuAE4AYQBtAGUAIAAmACAAXAAiACAARABlAGIAdAAgAFIAZQBwAGEAeQBtAGUAbgB0AFwAIgAsAFwAbgAgACAAIAAgACAAIAAgACAAIAAgACAAIAAgACAAIAAgACAAIAAgACAAIAAgACAAIAAgACAAIAAgACAAIAAgACAAIAAgACAAIAAgACAAIAAgACAAIAAgACAAIAAgACAAIABcACIAXAAiACkALABcAG4AIAAgACAAIAAgACAAIAAgACAAIAAgACAAIAAgACAAIAAgACAAIAAgACAAIAAgACAAIAAgACAAIAAgACAAIAAgACAAIAAgACAAIAAgACAAIAAyACwAIAAgAFMAVwBJAFQAQwBIACgAIABMAGkAbgBlACwAIAAxACwAIABMAG8AYQBuAEEAbQBvAHUAbgB0ACwAIAAzACwAIABUAEUAWABUACgAIABMAG8AYQBuAEEAUABSACwAIABcACIAMAAuADAAMAAlAFwAIgApACwAIAA0ACwAIABMAG8AYQBuAFQAZQByAG0ALAAgAFwAIgBcACIAKQAsAFwAbgAgACAAIAAgACAAIAAgACAAIAAgACAAIAAgACAAIAAgACAAIAAgACAAIAAgACAAIAAgACAAIAAgACAAIAAgACAAIAAgACAAIAAgACAAIAAgADMALAAgACAAUwBXAEkAVABDAEgAKAAgAEwAaQBuAGUALAAgADMALAAgAFwAIgBBAFAAUgBcACIALAAgADQALAAgAFwAIgBNAG8AbgB0AGgAcwBcACIALAAgAFwAIgBcACI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TAHUAbQBBAG0AbwByAHQAaQBzAGUAuwNcAG4AIAAgACAAIABEAEUAUwBDAFIASQBQAFQASQBPAE4AOgAqAC8ALwAqACoAQwByAGUAYQB0AGUAIAByAG8AdwAgAHQAbwB0AGEAbABzACAAZgBvAHIAIABBAG0AbwByAHQAaQBzAGUAuwMqAC8AXABuAFMAdQBtAEEAbQBvAHIAdABpAHMAZQC7AyAAPQAgAEwAQQBNAEIARABBACgAXABuAC8ALwAgACAAUABhAHIAYQBtAGUAdABlAHIAIABEAGUAYwBsAGEAcgBhAHQAaQBvAG4AcwBcAG4AIAAgACAAIABbAEEAbQBvAHIAdABpAHM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EAbQBvAHIAdABpAHMAZQC7AygAQQBtAG8AcgB0AGkAcwBhAHQAaQBvAG4AUwBjAGgAZQBkAHUAbABlACkAtgBcACIAIAAmAFwAbgAgACAAIAAgACAAIAAgACAAIAAgACAAIAAgACAAIAAgACAAIAAgACAAIAAgACAAIAAgACAAIAAgAFwAIgBEAEUAUwBDAFIASQBQAFQASQBPAE4AOgAgACAAIACSIUMAcgBlAGEAdABlACAAcgBvAHcAIAB0AG8AdABhAGwAcwAgAGYAbwByACAAQQBtAG8AcgB0AGkAcw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QBvAHIAdABpAHMAYQB0AGkAbwBuAFMAYwBoAGUAZAB1AGwAZQCSISgAUgBlAHEAdQBpAHIAZQBkACkAIABBAG4AIABhAHIAcgBhAHkAIABwAHIAbwBkAHUAYwBlAGQAIABiAHkAIABBAG0AbwByAHQAaQBzAGUAuwO2AFwAIgAgACYAIAAgACAAIAAgACAAIAAgACAAIAAgACAAIAAgACAAIAAgACAAXABuACAAIAAgACAAIAAgACAAIAAgACAAIAAgACAAIAAgACAAIAAgACAAIAAgACAAIAAgACAAIAAgACAAXAAiAEUAWABBAE0AUABMAEUAUwA6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EAbQBvAHIAdABpAHMAZQC7AygAQQBtAG8AcgB0AGkAcw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cgB0AGkAcwBhAHQAaQBvAG4AUwBjAGgAZQBkAHUAbABlACkALABcAG4AIAAgACAAIAAvAC8AIAAgAFAAcgBvAGMAZQBkAHUAcgBlAFwAbgAgACAAIAAgACAAIAAgACAAUgBlAHMAdQBsAHQALAAgACAAIAAgACAAIAAgACAAIABNAEEASwBFAEEAUgBSAEEAWQAoAFIATwBXAFMAKABBAG0AbwByAHQAaQBz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MALAAgAFMAVQBNACgAQwBIAE8ATwBTAEUAUgBPAFcAUwAoACAAQQBtAG8AcgB0AGkAcwBhAHQAaQBvAG4AUwBjAGgAZQBkAHUAbABlACwAIABSACkAKQAsAFwAbgAgACAAIAAgACAAIAAgACAAIAAgACAAIAAgACAAIAAgACAAIAAgACAAIAAgACAAIAAgACAAIAAgACAAIAAgACAAIAAgACAAIAA0ACwAIABTAFUATQAoAEMASABPAE8AUwBFAFIATwBXAFMAKAAgAEEAbQBvAHIAdABpAHMAYQB0AGkAbwBuAFMAYwBoAGUAZAB1AGwAZQAsACAAUgApACkALABcAG4AIAAgACAAIAAgACAAIAAgACAAIAAgACAAIAAgACAAIAAgACAAIAAgACAAIAAgACAAIAAgACAAIAAgACAAIAAgACAAIAAgACAANgAsACAAUwBVAE0AKABDAEgATwBPAFMARQBSAE8AVwBTACgAIABBAG0AbwByAHQAaQBz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BcAG4AXABuAC8ALwAgACAARABlAHAAcgBlAGMAaQBhAHQAaQBvAG4AIABTAHUAaQB0AGUAXABuAFwAbgAvACoAIAAgAEYAVQBOAEMAVABJAE8ATgAgAE4AQQBNAEUAOgAgACAARABlAHAAcgBlAGMAaQBhAHQAZQC7A1wAbgAgACAAIAAgAEQARQBTAEMAUgBJAFAAVABJAE8ATgA6ACoALwAvACoAKgBDAHIAZQBhAHQAZQAgAGEAIABiAGwAbwBjAGsAIABvAGYAIABDAEEAUABFAFgALAAgAE8AcABlAG4AaQBuAGcAIABCAGEAbABhAG4AYwBlACwAIABEAGUAcAByAGUAYwBpAGEAdABpAG8AbgAgAFYAYQBsAHUAZQBzACwAIABhAG4AZAAgAEIAbwBvAGsAIABWAGEAbAB1AGUAIABmAG8AcgAgAGUAYQBjAGgAIABhAHMAcwBlAHQAKgAvAFwAbgBEAGUAcAByAGUAYwBpAGEAdABlALsD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XABuACAAIAAgACAAWwBGAGEAYwB0AG8AcgBzAF0ALABcAG4AIAAgACAAIABMAEUAVAAoAFwAbgAvAC8AIAAgAEgAZQBsAHAAXABuACAAIAAgACAAIAAgACAAIABIAGUAbABwACwAIAAgACAAIAAgACAAIAAgACAAIAAgAFQAUgBJAE0AKABUAEUAWABUAFMAUABMAEkAVAAoACAAXABuACAAIAAgACAAIAAgACAAIAAgACAAIAAgACAAIAAgACAAIAAgACAAIAAgACAAIAAgACAAIAAgACAAXAAiAEYAVQBOAEMAVABJAE8ATgA6ACAAIAAgACAAIAAgAJIhRABlAHAAcgBlAGMAaQBhAHQAZQC7AygASQBuAGkAdABpAGEAbABWAGEAbAB1AGUAcwAsACAASQBuAFMAZQByAHYAaQBjAGUARABhAHQAZQBzACwAIABMAGkAZgBlAEkAbgBZAGUAYQByAHMALAAgAFQAaQBtAGUAbABpAG4AZQAsACAAtgBcACIAIAAmAFwAbgAgACAAIAAgACAAIAAgACAAIAAgACAAIAAgACAAIAAgACAAIAAgACAAIAAgACAAIAAgACAAIAAgAFwAIgAgACAAIAAgACAAIAAgACAAIAAgACAAIAAgACAAIACSIVsAUwBhAGwAdgBhAGcAZQBWAGEAbAB1AGUAcwBdACwAIABbAEQAaQBzAHAAbwBzAGEAbABEAGEAdABlAHMAXQAsACAAWwBEAGkAcwBwAG8AcwBhAGwAQwBvAHMAdABzAF0ALAAgAFsATQBlAHQAaABvAGQAcwBdACwAIABbAEYAYQBjAHQAbwByAHMAXQApALYAXAAiACAAJgBcAG4AIAAgACAAIAAgACAAIAAgACAAIAAgACAAIAAgACAAIAAgACAAIAAgACAAIAAgACAAIAAgACAAIABcACIARABFAFMAQwBSAEkAUABUAEkATwBOADoAIAAgACAAkiFDAHIAZQBhAHQAZQBzACAAYQBuACAAYQByAHIAYQB5ACAAbwBmACAAQwBBAFAARQBYACwAIABkAGUAcAByAGUAYwBpAGEAdABpAG8AbgAsACAAYQBuAGQAIABiAG8AbwBrACAAdgBhAGwAdQBlAHMAIABmAG8AcgAgAGEAIABtAG8AZABlAGwAJwBzACAAdABpAG0AZQBsAGkAbgBlALYAXAAiACAAJgAgAFwAbgAgACAAIAAgACAAIAAgACAAIAAgACAAIAAgACAAIAAgACAAIAAgACAAIAAgACAAIAAgACAAIAAgAFwAIgBXAEUAQgBQAEEARwBFADoAIAAgACAAIAAgACAAIACSIWgAdAB0AHAAcwA6AC8ALwBnAGkAdABoAHUAYgAuAGMAbwBtAC8AcgB5AGEAbgBkAHUAZwB1AGkAZAAvAE8AegB6AGkAdAAgALYAXAAiACAAJgAgAFwAbgAgACAAIAAgACAAIAAgACAAIAAgACAAIAAgACAAIAAgACAAIAAgACAAIAAgACAAIAAgACAAIAAgAFwAIgBWAEUAUgBTAEkATwBOADoAIAAgACAAIAAgACAAIACSITIAMAAgAEEAdQBnACAAMgAwADIANgC2AFwAIgAgACYAXABuACAAIAAgACAAIAAgACAAIAAgACAAIAAgACAAIAAgACAAIAAgACAAIAAgACAAIAAgACAAIAAgACAAXAAiAE4ATwBUAEUAUwA6ACAAIAAgACAAIAAgACAAIAAgAJIhVABoAGUAIABtAGUAdABoAG8AZABzACAAdQBzAGUAZAAgAGgAZQByAGUAIABkAGkAZgBmAGUAcgAgAGYAcgBvAG0AIABFAHgAYwBlAGwAJwBzACAAZgB1AG4AYwB0AGkAbwBuAHMAIABpAG4AIABzAGUAdgBlAHIAYQBsACAAdwBhAHkAcwAuACAAUABsAGUAYQBzAGUAIABzAGUAZQAgAHcAZQBiAHAAYQBnAGUAIABmAG8AcgAgAGQAZQB0AGEAaQBsAHMALgC2AFwAIgAgACYAXABuACAAIAAgACAAIAAgACAAIAAgACAAIAAgACAAIAAgACAAIAAgACAAIAAgACAAIAAgACAAIAAgACAAXAAiAFAAQQBSAEEATQBFAFQARQBSAFMAOgAgACAAIAAgAJIhtgBcACIAIAAmACAAXABuACAAIAAgACAAIAAgACAAIAAgACAAIAAgACAAIAAgACAAIAAgACAAIAAgACAAIAAgACAAIAAgACAAXAAiAEkAbgBpAHQAaQBhAGwAVgBhAGwAdQBlAHMAIAAgAJIhKABSAGUAcQB1AGkAcgBlAGQAKQAgAFQAaABlACAAcAB1AHIAYwBoAGEAcwBlACAAdgBhAGwAdQBlAHMAIABvAGYAIABlAGEAYwBoACAAYQBzAHMAZQB0ACAAdABvACAAZABlAHAAcgBlAGMAaQBhAHQAZQC2AFwAIgAgACYAIABcAG4AIAAgACAAIAAgACAAIAAgACAAIAAgACAAIAAgACAAIAAgACAAIAAgACAAIAAgACAAIAAgACAAIABcACIASQBuAFMAZQByAHYAaQBjAGUARABhAHQAZQBzACAAkiEoAFIAZQBxAHUAaQByAGUAZAApACAAVABoAGUAIABkAGEAdABlAHMAIABmAHIAbwBtACAAdwBoAGkAYwBoACAAdABvACAAcwB0AGEAcgB0ACAAZABlAHAAcgBlAGMAaQBhAHQAaQBuAGcAIABlAGEAYwBoACAAYQBzAHMAZQB0ALYAXAAiACAAJgAgAFwAbgAgACAAIAAgACAAIAAgACAAIAAgACAAIAAgACAAIAAgACAAIAAgACAAIAAgACAAIAAgACAAIAAgAFwAIgBMAGkAZgBlAEkAbgBZAGUAYQByAHMAIAAgACAAIACSISgAUgBlAHEAdQBpAHIAZQBkACkAIABUAGgAZQAgAHcAaABvAGwAZQAgAG4AdQBtAGIAZQByACAAbwBmACAAeQBlAGEAcgBzACAAbwB2AGUAcgAgAHcAaABpAGMAaAAgAHQAbwAgAGQAZQBwAHIAZQBjAGkAYQB0AGUAIABlAGEAYwBoACAAYQBzAHMAZQB0AC4AtgBcACIAIAAmACAAXABuACAAIAAgACAAIAAgACAAIAAgACAAIAAgACAAIAAgACAAIAAgACAAIAAgACAAIAAgACAAIAAgACAAXAAiACAAIAAgACAAIAAgACAAIAAgACAAIAAgACAAIAAgAJIhTQBvAHIAZQAgAHQAaABhAG4AIAAwACAAYQBuAGQAIABuAG8AIABtAG8AcgBlACAAdABoAGEAbgAgADEAMAAwAC4AIABBACAAZABhAHQAZQAgAGgAZQByAGUAIABpAHMAIABuAG8AdAAgAGEAIABsAGkAZgBlADoAtgBcACIAIAAmACAAXABuACAAIAAgACAAIAAgACAAIAAgACAAIAAgACAAIAAgACAAIAAgACAAIAAgACAAIAAgACAAIAAgACAAXAAiACAAIAAgACAAIAAgACAAIAAgACAAIAAgACAAIAAgAJIhdABoAGUAIABhAHIAZwB1AG0AZQBuAHQAcwAgAHIAZQBhAGQAIABJAG4AaQB0AGkAYQBsAFYAYQBsAHUAZQBzACwAIABJAG4AUwBlAHIAdgBpAGMAZQBEAGEAdABlAHMALAAgAEwAaQBmAGUASQBuAFkAZQBhAHIAcwAsACAAVABpAG0AZQBsAGkAbgBlAC4AtgBcACIAIAAmACAAXABuACAAIAAgACAAIAAgACAAIAAgACAAIAAgACAAIAAgACAAIAAgACAAIAAgACAAIAAgACAAIAAgACAAXAAiAFQAaQBtAGUAbABpAG4AZQAgACAAIAAgACAAIAAgAJIhKABSAGUAcQB1AGkAcgBlAGQAKQAgAFQAaABlACAAbQBvAGQAZQBsACcAcwAgAHQAaQBtAGUAbABpAG4AZQAgAG8AcgAgAGEAIAByAG8AdwAgAG8AZgAgAHAAZQByAGkAbwBkACAAcwB0AGEAcgB0ACAAZABhAHQAZQBzAC4AIAC2AFwAIgAgACYAIABcAG4AIAAgACAAIAAgACAAIAAgACAAIAAgACAAIAAgACAAIAAgACAAIAAgACAAIAAgACAAIAAgACAAIABcACIAIAAgACAAIAAgACAAIAAgACAAIAAgACAAIAAgACAAkiFUAGkAbQBlAGwAaQBuAGUAIABjAGEAbgAgAGIAZQAgAGEAbgB5ACAAaQBuAHQAZQByAHYAYQBsADoAIABkAGEAeQBzACwAIAB3AGUAZQBrAHMALAAgAG0AbwBuAHQAaABzACwAIABxAHUAYQByAHQAZQByAHMAIABvAHIAIAB5AGUAYQByAHMAtgBcACIAIAAmACAAXABuACAAIAAgACAAIAAgACAAIAAgACAAIAAgACAAIAAgACAAIAAgACAAIAAgACAAIAAgACAAIAAgACAAXAAiAFMAYQBsAHYAYQBnAGUAVgBhAGwAdQBl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QAaQBzAHAAbwBzAGEAbABEAGEAdABlAHMAIAAgAJIhKABPAHAAdABpAG8AbgBhAGwAOgAgAEQAZQBmAGEAdQBsAHQAIAA9ACAARQBuAGQAIABvAGYAIABsAGkAZgBlACkAIABUAGgAZQAgAGQAYQB0AGUAcwAgAG8AbgAgAHcAaABpAGMAaAAgAHQAaABlACAAYQBzAHMAZQB0AHMAIABhAHIAZQAgAHIAZQBtAG8AdgBlAGQAIABmAHIAbwBtACAAdABoAGUAIABiAG8AbwBrAHMALgC2AFwAIgAgACYAIABcAG4AIAAgACAAIAAgACAAIAAgACAAIAAgACAAIAAgACAAIAAgACAAIAAgACAAIAAgACAAIAAgACAAIAAgACAAIAAgACAAIAAgACAAIAAgACAAIAAgACAAIABcACIAkiFBACAAZABpAHMAcABvAHMAYQBsACAAYgBlAGYAbwByAGUAIAB0AGgAZQAgAGUAbgBkACAAbwBmACAAbABpAGYAZQAgAHcAcgBpAHQAZQBzACAAdABoAGUAIAByAGUAbQBhAGkAbgBpAG4AZwAgAGIAbwBvAGsAIAB2AGEAbAB1AGUAIABvAGYAZgAgAGkAbgAgAHQAaABhAHQAIABtAG8AbgB0AGgALgC2AFwAIgAgACYAIABcAG4AIAAgACAAIAAgACAAIAAgACAAIAAgACAAIAAgACAAIAAgACAAIAAgACAAIAAgACAAIAAgACAAIABcACIARABpAHMAcABvAHMAYQBsAEMAbwBzAHQAcwAgACAAkiEoAE8AcAB0AGkAbwBuAGEAbAA6ACAARABlAGYAYQB1AGwAdAAgAD0AIAAwACkAIABUAGgAZQAgAGMAbwBzAHQAcwAgAG8AZgAgAHIAZQBtAG8AdgBpAG4AZwAgAGUAYQBjAGgAIABhAHMAcwBlAHQAIABmAHIAbwBtACAAdABoAGUAIABiAG8AbwBrAHMALAAgAGMAaABhAHIAZwBlAGQAIABpAG4AIAB0AGgAZQAgAGQAaQBzAHAAbwBzAGEAbAAgAHAAZQByAGkAbw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YgBhAGwAYQBuAGMAZQAgAGEAdAAgADIAMAAwACUAIABvAGYAIABzAHQAcgBhAGkAZwBoAHQAIABsAGkAbgBlAC4AIABTAGEAbAB2AGEAZwBlACAAdgBhAGwAdQBlACAAaQBnAG4AbwByAGUAZAC2AFwAIgAgACYAIABcAG4AIAAgACAAIAAgACAAIAAgACAAIAAgACAAIAAgACAAIAAgACAAIAAgACAAIAAgACAAIAAgACAAIAAgACAAIAAgACAAIAAgACAAIAAgACAAIAAgACAAIABcACIAkiFQAEMAIAA9AFMAdAByAGEAaQBnAGgAdAAgAGwAaQBuAGUALAAgAHcAaABvAGwAZQAgAHkAZQBhAHIAcw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DAGgAZQBjAGsAIABpAG4AcAB1AHQAcwAgAC0AIABhACAAbABpAGYAZQAgAGkAbgAgAHkAZQBhAHIAcwAgAG0AdQBzAHQAIABiAGUAIABhACAAbABpAGYAZQAsACAAbgBvAHQAIABhACAAZABhAHQAZQBcAG4AIAAgACAAIAAgACAAIAAgAEwAaQBmAGUARwBpAHYAZQBuACwAIAAgACAAIAAgACAASQBGACgAIABJAFMATwBNAEkAVABUAEUARAAoACAATABpAGYAZQBJAG4AWQBlAGEAcgBzACkALAAgADEALAAgAEwAaQBmAGUASQBuAFkAZQBhAHIAcwApACwAXABuACAAIAAgACAAIAAgACAAIABMAGkAZgBlAE4AdQBtAHMALAAgACAAIAAgACAAIAAgAEkARgBFAFIAUgBPAFIAKAAgAFYAQQBMAFUARQAoACAATABpAGYAZQBHAGkAdgBlAG4AKQAsACAALQAxACkALABcAG4AIAAgACAAIAAgACAAIAAgAEIAYQBkAEwAaQBmAGUAPwAsACAAIAAgACAAIAAgACAATwBSACgAIABNAEkATgAoACAATABpAGYAZQBOAHUAbQBzACkAIAA8AD0AIAAwACwAIABNAEEAWAAoACAATABpAGYAZQBOAHUAbQBzACkAIAA+ACAAMQAwADAALABcAG4AIAAgACAAIAAgACAAIAAgACAAIAAgACAAIAAgACAAIAAgACAAIAAgACAAIAAgACAAIAAgACAAIABTAFUATQBQAFIATwBEAFUAQwBUACgAIAAtAC0AKAAgAE0ATwBEACgAIABMAGkAZgBlAE4AdQBtAHMALAAgADEAKQAgADwAPgAgADAAKQApACAAPgAgADAAKQAsAFwAbgAgACAAIAAgACAAIAAgACAATABpAGYAZQBNAGUAcwBzAGEAZwBlACwAIAAgACAAIABcACIATABpAGYAZQBJAG4AWQBlAGEAcgBzACAAbQB1AHMAdAAgAGIAZQAgAGEAIAB3AGgAbwBsAGUAIABuAHUAbQBiAGUAcgAgAG8AZgAgAHkAZQBhAHIAcwAgAGcAcgBlAGEAdABlAHIAIAB0AGgAYQBuACAAMAAgAGEAbgBkACAAbgBvACAAbQBvAHIAZQAgAHQAaABhAG4AIAAxADAAMAAuACAAXAAiAFwAbgAgACAAIAAgACAAIAAgACAAIAAgACAAIAAgACAAIAAgACAAIAAgACAAIAAgACAAIAAmACAAXAAiAEMAaABlAGMAawAgAHQAaABlACAAYQByAGcAdQBtAGUAbgB0ACAAbwByAGQAZQByADoAIABJAG4AaQB0AGkAYQBsAFYAYQBsAHUAZQBzACwAIABJAG4AUwBlAHIAdgBpAGMAZQBEAGEAdABlAHMALAAgAEwAaQBmAGUASQBuAFkAZQBhAHIAcwAsACAAVABpAG0AZQBsAGkAbgBlAC4AXAAiACw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RABwAFAALAAgACAAIAAgACAAIAAgACAAIAAgACAAIABTAGUAYwBvAG4AZABQAGUAcgBpAG8AZAAgAC0AIABGAGkAcgBzAHQAUABlAHIAaQBvAGQALAAgACAAIAAgACAAIAAgACAAIAAgACAAIAAgACAAIAAgACAAIAAgACAAIAAgAC8ALwBEAGEAeQBzACAAUABlAHIAIABQAGUAcgBpAG8AZABcAG4AIAAgACAAIAAgACAAIAAgAFMAdQBiAE0AbwBuAHQAaABsAHkAPwAsACAAIAAgACAARABwAFAAIAA8ACAAMgA4ACwAIAAgACAAIAAgACAAIAAgACAAIAAgACAAIAAgACAAIAAgACAAIAAgACAAIAAgACAAIAAgACAAIAAgACAAIAAgACAAIAAgACAAIAAgACAAIAAvAC8ATgBvACAAbQBvAG4AdABoACAAaQBzACAAcwBoAG8AcgB0AGUAcgBcAG4AIAAgACAAIAAgACAAIAAgAE0AcABQACwAIAAgACAAIAAgACAAIAAgACAAIAAgACAATQBBAFgAKAAgAEAAUgBPAFUATgBEACgAIABEAHAAUAAgAC8AIAAzADAALgA1ACwAIAAwACkALAAgADEAKQAsACAAIAAgACAAIAAgACAAIAAgACAAIAAgACAAIAAgACAAIAAvAC8ATQBvAG4AdABoAHMAIABQAGUAcgAgAFAAZQByAGkAbwBkACwAIABuAGUAdgBlAHIAIABuAG8AdQBnAGgAdABcAG4AIAAgACAAIAAvAC8AIAAgAFQAaABlACAAbABhAHMAdAAgAHAAZQByAGkAbwBkACAAaABhAHMAIABuAG8AIABzAHUAYwBjAGUAcwBzAG8AcgAgAHQAbwAgAHQAYQBrAGUAIABpAHQAcwAgAGUAbgBkACAAZABhAHQAZQAgAGYAcgBvAG0ALAAgAHMAbwAgAGkAdAAgAGUAbgBkAHMAIABvAG4AZQAgAHAAZQByAGkAbwBkAFwAbgAgACAAIAAgAC8ALwAgACAAbwBuACAAZgByAG8AbQAgAGkAdABzACAAbwB3AG4AIABzAHQAYQByAHQAOgAgAGEAIAB3AGgAbwBsAGUAIABuAHUAbQBiAGUAcgAgAG8AZgAgAG0AbwBuAHQAaABzACAAdwBoAGUAcgBlACAAdABoAGUAIAB0AGkAbQBlAGwAaQBuAGUAIABpAHMAIABtAG8AbgB0AGgAbAB5ACAAbwByAFwAbgAgACAAIAAgAC8ALwAgACAAbABvAG4AZwBlAHIALAAgAHQAaABlACAAcwBhAG0AZQAgAG4AdQBtAGIAZQByACAAbwBmACAAZABhAHkAcwAgAGEAcwAgAGUAdgBlAHIAeQAgAG8AdABoAGUAcgAgAHAAZQByAGkAbwBkACAAdwBoAGUAcgBlACAAaQB0ACAAaQBzACAAcwBoAG8AcgB0AGUAcgAuAFwAbgAgACAAIAAgACAAIAAgACAATABhAHMAdABHAGEAcAAsACAAIAAgACAAIAAgACAAIABNAEEAWAAoACAAVABpAG0AZQBsAGkAbgBlACkAIAAtACAASQBOAEQARQBYACgAIABUAGkAbQBlAGwAaQBuAGUALAAgAFQAaQBtAGUAbABpAG4AZQBDAG8AbABzACAALQAgADEAKQAsAFwAbgAgACAAIAAgACAAIAAgACAATABhAHMAdABFAG4AZAAsACAAIAAgACAAIAAgACAAIABJAEYAKAAgAFMAdQBiAE0AbwBuAHQAaABsAHkAPwAsACAATQBBAFgAKAAgAFQAaQBtAGUAbABpAG4AZQApACAAKwAgAEwAYQBzAHQARwBhAHAALAAgAEUARABBAFQARQAoACAATQBBAFgAKAAgAFQAaQBtAGUAbABpAG4AZQApACwAIABNAHAAUAApACkAIAAtACAAMQAsAFwAbgAgACAAIAAgACAAIAAgACAARQBuAGQARABhAHQAZQBzACwAIAAgACAAIAAgACAAIABIAFMAVABBAEMASwAoACAATQBBAFAAKAAgACAAUwBFAFEAVQBFAE4AQwBFACgALAAgAFQAaQBtAGUAbABpAG4AZQBDAG8AbABzACAALQAgADEAKQAsACAATABBAE0AQgBEAEEAKAAgAG4ALAAgAEkATgBEAEUAWAAoACAAVABpAG0AZQBsAGkAbgBlACwAIABuACAAKwAgADEAKQAgAC0AIAAxACkAKQAsACAATABhAHMAdABFAG4AZAApACwAXABuACAAIAAgACAALwAvACAAIABQAHIAbwBjAGUAcwBzACAAZQBhAGMAaAAgAGEAcwBzAGUAdABcAG4AIAAgACAAIAAgACAAIAAgAFIAZQBzAHUAbAB0ACwAIAAgACAAIAAgACAAIAAgACAAUgBFAEQAVQBDAEUAKAAgADAALAAgAFMARQBRAFUARQBOAEMARQAoACAAUgBPAFcAUwAoACAASQBuAGkAdABpAGEAbABWAGEAbAB1AGUAcwApACkALAAgAFwAbgAgACAAIAAgACAAIAAgACAAIAAgACAAIAAgACAAIAAgACAAIAAgACAAIAAgACAAIAAgACAAIAAgAEwAQQBNAEIARABBACgAQgBsAG8AYwBrACwAIABBAHMAcwBlAHQALAAgAFwAbgAgACAAIAAgACAAIAAgACAAIAAgACAAIAAgACAAIAAgACAAIAAgACAAIAAgACAAIAAgACAAIAAgACAAIAAgACAATABFAFQAKAAgAFwAbgAgACAAIAAgACAAIAAgACAAIAAgACAAIAAgACAAIAAgACAAIAAgACAAIAAgACAAIAAgACAAIAAgACAAIAAgACAALwAvACAAIABDAHIAZQBhAHQAZQAgAGkAbgBkAGkAdgBpAGQAdQBhAGwAIAB2AGEAbAB1AGUAcwAgAGYAcgBvAG0AIABhAHIAZwB1AG0AZQBuAHQAcwBcAG4AIAAgACAAIAAgACAAIAAgACAAIAAgACAAIAAgACAAIAAgACAAIAAgACAAIAAgACAAIAAgACAAIAAgACAAIAAgACAAIAAgACAATQBlAHQAaABvAGQALAAgACAAIAAgACAAIAAgACAAIABAAEkATgBEAEUAWAAoACAATQBlAHQAaABvAGQAcwAsACAAQQBzAHMAZQB0ACkALABcAG4AIAAgACAAIAAgACAAIAAgACAAIAAgACAAIAAgACAAIAAgACAAIAAgACAAIAAgACAAIAAgACAAIAAgACAAIAAgACAAIAAgACAAWQBlAGEAcgBzACwAIAAgACAAIAAgACAAIAAgACAAIABJAEYAKAAgAEIAYQBkAEwAaQBmAGUAPwAsACAAMQAsACAAQABJAE4ARABFAFgAKAAgAEwAaQBmAGUASQBuAFkAZQBhAHIAcwAsACAAQQBzAHMAZQB0ACkAKQAsAFwAbgAgACAAIAAgACAAIAAgACAAIAAgACAAIAAgACAAIAAgACAAIAAgACAAIAAgACAAIAAgACAAIAAgACAAIAAgACAAIAAgACAAIABJAG4AaQB0AGkAYQBsAFYAYQBsAHUAZQAsACAAIAAgAEAASQBOAEQARQBYACgAIABJAG4AaQB0AGkAYQBsAFYAYQBsAHUAZQBzACwAIABBAHMAcwBlAHQAKQAsACAAXABuACAAIAAgACAAIAAgACAAIAAgACAAIAAgACAAIAAgACAAIAAgACAAIAAgACAAIAAgACAAIAAgACAAIAAgACAAIAAgACAAIAAgAFMAYQBsAHYAYQBnAGUAVgBhAGwAdQBlACwAIAAgACAASQBGACgAIABPAFIAKAAgAE0AZQB0AGgAbwBkACAAPQAgAFwAIgBEAFYAXAAiACwAIABNAGUAdABoAG8AZAAgAD0AIABcACIAUABDAFwAIgApACwAIAAwACwAIABAAEkATgBEAEUAWAAoACAAUwBhAGwAdgBhAGcAZQBWAGEAbAB1AGUAcwAsACAAQQBzAHMAZQB0ACkAKQAsACAAXABuACAAIAAgACAAIAAgACAAIAAgACAAIAAgACAAIAAgACAAIAAgACAAIAAgACAAIAAgACAAIAAgACAAIAAgACAAIAAgACAAIAAgAEkAbgBTAGUAcgB2AGkAYwBlAEQAYQB0AGUALAAgACAAQABJAE4ARABFAFgAKAAgAEMAdgB0AFMAcgB2AEQAYQB0AGUAcwAsACAAQQBzAHMAZQB0ACkALAAgAFwAbgAgACAAIAAgACAAIAAgACAAIAAgACAAIAAgACAAIAAgACAAIAAgACAAIAAgACAAIAAgACAAIAAgACAAIAAgACAAIAAgACAAIABEAGkAcwBwAG8AcwBhAGwARABhAHQAZQAsACAAIAAgAEAASQBOAEQARQBYACgAIABEAGkAcwBwAG8AcwBhAGwARABhAHQAZQBzACwAIABBAHMAcwBlAHQAKQAsACAAXABuACAAIAAgACAAIAAgACAAIAAgACAAIAAgACAAIAAgACAAIAAgACAAIAAgACAAIAAgACAAIAAgACAAIAAgACAAIAAgACAAIAAgAEQAaQBzAHAAbwBzAGEAbABDAG8AcwB0ACwAIAAgACAAQABJAE4ARABFAFgAKAAgAEQAaQBzAHAAbwBzAGEAbABDAG8AcwB0AHMALAAgAEEAcwBzAGUAdAApACwAIABcAG4AIAAgACAAIAAgACAAIAAgACAAIAAgACAAIAAgACAAIAAgACAAIAAgACAAIAAgACAAIAAgACAAIAAgACAAIAAgACAAIAAgACAARgBhAGMAdABvAHIALAAgACAAIAAgACAAIAAgACAAIABAAEkATgBEAEUAWAAoACAARgBhAGMAdABvAHIAcwAsACAAQQBzAHMAZQB0ACkALABcAG4AIAAgACAAIAAgACAAIAAgACAAIAAgACAAIAAgACAAIAAgACAAIAAgACAAIAAgACAAIAAgACAAIAAgACAAIAAgACAAIAAgACAATABpAGYAZQBJAG4ATQBvAG4AdABoAHMALAAgACAAIABQAGUAcgBpAG8AZABEAGkAZgBmALsDKAAgAEkAbgBzAGUAcgB2AGkAYwBlAEQAYQB0AGUALAAgAEQAaQBzAHAAbwBzAGEAbABEAGEAdABlACwAIABcACIATQBcACI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GIAYQBsAGEAbgBjAGUAIABhAHQAIAAyADAAMAAlACAAbwBmACAAcwB0AHIAYQBpAGcAaAB0ACAAbABpAG4AZ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TAHQAcgBhAGkAZwBoAHQAIABsAGkAbgBlACwAIAB3AGgAbwBsAGUAIAB5AGUAYQByAHM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EEAbABsAG8AYwBhAHQAaQBuAGcAIABhAG4AbgB1AGEAbAAgAHYAYQBsAHUAZQBzACAAdABvACAAbQBvAG4AdABoAHMALgAgAFQAaABlACAAYQBzAHMAZQB0ACcAcwAgAG0AbwBuAHQAaABzACAAcgB1AG4AIAB0AG8AIABpAHQAcwAgAGQAaQBzAHAAbwBzAGEAbAA6AFwAbgAgACAAIAAgACAAIAAgACAAIAAgACAAIAAgACAAIAAgACAAIAAgACAAIAAgACAAIAAgACAAIAAgACAAIAAgACAALwAvACAAIABhACAAZABpAHMAcABvAHMAYQBsACAAYQBmAHQAZQByACAAdABoAGUAIABlAG4AZAAgAG8AZgAgAGwAaQBmAGUAIABwAGEAZABzACAAdABoAGUAIAB0AGEAaQBsACAAdwBpAHQAaAAgAG4AbwB1AGcAaAB0ACAAYQBuAGQAIAB3AHIAaQB0AGUAcwAgAHQAaABlAFwAbgAgACAAIAAgACAAIAAgACAAIAAgACAAIAAgACAAIAAgACAAIAAgACAAIAAgACAAIAAgACAAIAAgACAAIAAgACAALwAvACAAIABzAGEAbAB2AGEAZwBlACAAdgBhAGwAdQBlACAAbwBmAGYAIABpAG4AIAB0AGgAZQAgAGwAYQBzAHQAIABtAG8AbgB0AGgAOwAgAGEAIABkAGkAcwBwAG8AcwBhAGwAIABiAGUAZgBvAHIAZQAgAHQAaABlACAAZQBuAGQAIABvAGYAIABsAGkAZgBlACAAcwB0AG8AcABzAFwAbgAgACAAIAAgACAAIAAgACAAIAAgACAAIAAgACAAIAAgACAAIAAgACAAIAAgACAAIAAgACAAIAAgACAAIAAgACAALwAvACAAIAB0AGgAZQAgAHMAYwBoAGUAZAB1AGwAZQAgAHQAaABlAHIAZQAgAGEAbgBkACAAdwByAGkAdABlAHMAIAB0AGgAZQAgAHIAZQBtAGEAaQBuAGkAbgBnACAAYgBvAG8AawAgAHYAYQBsAHUAZQAgAG8AZgBmACAAaQBuAHMAdABlAGEAZAAuAFwAbgAgACAAIAAgACAAIAAgACAAIAAgACAAIAAgACAAIAAgACAAIAAgACAAIAAgACAAIAAgACAAIAAgACAAIAAgACAAIAAgACAAIABNAG8AbgB0AGgAbAB5ACwAIAAgACAAIAAgACAAIAAgAEEAbABsAG8AYwBhAHQAZQC7AygAIABEAGUAcAByAGUAYwBpAGEAdABlACwAIABcACIAWQBcACIALAAgAFwAIgBNAFwAIgApACwAXABuACAAIAAgACAAIAAgACAAIAAgACAAIAAgACAAIAAgACAAIAAgACAAIAAgACAAIAAgACAAIAAgACAAIAAgACAAIAAgACAAIAAgAE0AbwBuAHQAaABzACwAIAAgACAAIAAgACAAIAAgACAATABpAGYAZQBJAG4ATQBvAG4AdABoAHMAIAAtACAAMQAsAFwAbgAgACAAIAAgACAAIAAgACAAIAAgACAAIAAgACAAIAAgACAAIAAgACAAIAAgACAAIAAgACAAIAAgACAAIAAgACAAIAAgACAAIABBAGwAbABvAGMAYQB0AGUALAAgACAAIAAgACAAIAAgAEkARgAoACAATQBvAG4AdABoAHMAIAA8ACAAMQAsAFwAbgAgACAAIAAgACAAIAAgACAAIAAgACAAIAAgACAAIAAgACAAIAAgACAAIAAgACAAIAAgACAAIAAgACAAIAAgACAAIAAgACAAIAAgACAAIAAgACAAIAAgACAAIAAgACAAIAAgACAAIAAgACAAIAAgACAASQBuAGkAdABpAGEAbABWAGEAbAB1AGUALABcAG4AIAAgACAAIAAgACAAIAAgACAAIAAgACAAIAAgACAAIAAgACAAIAAgACAAIAAgACAAIAAgACAAIAAgACAAIAAgACAAIAAgACAAIAAgACAAIAAgACAAIAAgACAAIAAgACAAIAAgACAAIAAgACAAIAAgAEkARgAoACAATQBvAG4AdABoAHMAIAA+AD0AIABDAE8ATABVAE0ATgBTACgAIABNAG8AbgB0AGgAbAB5ACkALABcAG4AIAAgACAAIAAgACAAIAAgACAAIAAgACAAIAAgACAAIAAgACAAIAAgACAAIAAgACAAIAAgACAAIAAgACAAIAAgACAAIAAgACAAIAAgACAAIAAgACAAIAAgACAAIAAgACAAIAAgACAAIAAgACAAIAAgACAAIAAgACAASABTAFQAQQBDAEsAKAAgAEUAWABQAEEATgBEACgAIABNAG8AbgB0AGgAbAB5ACwAIAAxACwAIABNAG8AbgB0AGgAcwAsACAAMAApACwAIABTAGEAbAB2AGEAZwBlAFYAYQBsAHUAZQApACwAXABuACAAIAAgACAAIAAgACAAIAAgACAAIAAgACAAIAAgACAAIAAgACAAIAAgACAAIAAgACAAIAAgACAAIAAgACAAIAAgACAAIAAgACAAIAAgACAAIAAgACAAIAAgACAAIAAgACAAIAAgACAAIAAgACAAIAAgACAAIAAgAEgAUwBUAEEAQwBLACgAIABUAEEASwBFACgAIABNAG8AbgB0AGgAbAB5ACwAIAAsACAATQBvAG4AdABoAHMAKQAsACAASQBuAGkAdABpAGEAbABWAGEAbAB1AGUAIAAtACAAUwBVAE0AKAAgAFQAQQBLAEUAKAAgAE0AbwBuAHQAaABsAHkALAAgACwAIABNAG8AbgB0AGgAcwApACkAKQApACkALABcAG4AIAAgACAAIAAgACAAIAAgACAAIAAgACAAIAAgACAAIAAgACAAIAAgACAAIAAgACAAIAAgACAAIAAgACAAIAAgACAAIAAgACAATwBwAGUAbgBpAG4AZwAsACAAIAAgACAAIAAgACAAIABEAFIATwBQACgAIABIAFMAVABBAEMASwAoACAASQBuAGkAdABpAGEAbABWAGEAbAB1AGUALAAgAFMAQwBBAE4AKAAgAEkAbgBpAHQAaQBhAGwAVgBhAGwAdQBlACwAIABBAGwAbABvAGMAYQB0AGUALAAgAEwAQQBNAEIARABBACgAIABBAGMAYwAsACAAVgBhAGwALAAgAEEAYwBjACAALQAgAFYAYQBsACkAKQApACwAIAAwACwAIAAtADEAKQAsAFwAbgAgACAAIAAgACAAIAAgACAAIAAgACAAIAAgACAAIAAgACAAIAAgACAAIAAgACAAIAAgACAAIAAgACAAIAAgACAALwAvACAAIABDAHIAZQBhAHQAZQAgAGEAIABtAG8AbgB0AGgAbAB5ACAAdABpAG0AZQBsAGkAbgBlACAAZgBvAHIAIAB0AGgAZQAgAGEAcwBzAGUAdABcAG4AIAAgACAAIAAgACAAIAAgACAAIAAgACAAIAAgACAAIAAgACAAIAAgACAAIAAgACAAIAAgACAAIAAgACAAIAAgACAAIAAgACAAQQBzAHMAZQB0AFQAaQBtAGUAbABpAG4AZQAsACAAIABFAEQAQQBUAEUAKAAgAEkAbgBTAGUAcgB2AGkAYwBlAEQAYQB0AGUALAAgAFMARQBRAFUARQBOAEMARQAoACAALAAgAEwAaQBmAGUASQBuAE0AbwBuAHQAaABzACwAIAAwACkAKQAsACAAXABuACAAIAAgACAAIAAgACAAIAAgACAAIAAgACAAIAAgACAAIAAgACAAIAAgACAAIAAgACAAIAAgACAAIAAgACAAIAAvAC8AIAAgAFQAaABlACAAcABlAHIAaQBvAGQAIABlAGEAYwBoACAAYQBzAHMAZQB0ACAAbQBvAG4AdABoACAAZgBhAGwAbABzACAAaQBuACAAaQBzACAAdABoAGUAIABsAGEAcwB0ACAAcABlAHIAaQBvAGQAIABzAHQAYQByAHQAIABvAG4AIABvAHIAIABiAGUAZgBvAHIAZQAgAGkAdAA7AFwAbgAgACAAIAAgACAAIAAgACAAIAAgACAAIAAgACAAIAAgACAAIAAgACAAIAAgACAAIAAgACAAIAAgACAAIAAgACAALwAvACAAIABhACAAbQBvAG4AdABoACAAYQBmAHQAZQByACAAdABoAGUAIABsAGEAcwB0ACAAcABlAHIAaQBvAGQAIABlAG4AZABzACAAYgBlAGwAbwBuAGcAcwAgAHQAbwAgAG4AbwAgAHAAZQByAGkAbwBkAC4AIABPAG4AZQAgAG0AYQB0AHIAaQB4ACAAcAByAG8AZAB1AGMAdABcAG4AIAAgACAAIAAgACAAIAAgACAAIAAgACAAIAAgACAAIAAgACAAIAAgACAAIAAgACAAIAAgACAAIAAgACAAIAAgAC8ALwAgACAAdABoAGUAbgAgAGEAZwBnAHIAZQBnAGEAdABlAHMAIAB0AGgAZQAgAG0AbwBuAHQAaABzACAAaQBuAHQAbwAgAHQAaABlACAAbQBvAGQAZQBsACcAcwAgAHAAZQByAGkAbwBkAHMALgBcAG4AIAAgACAAIAAgACAAIAAgACAAIAAgACAAIAAgACAAIAAgACAAIAAgACAAIAAgACAAIAAgACAAIAAgACAAIAAgACAAIAAgACAAQgB1AGMAawBlAHQAcwAsACAAIAAgACAAIAAgACAAIABJAEYARQBSAFIATwBSACgAIABNAEEAVABDAEgAKAAgAEEAcwBzAGUAdABUAGkAbQBlAGwAaQBuAGUALAAgAFQAaQBtAGUAbABpAG4AZQAsACAAMQApACwAIAAwACkAIAAqACAAKAAgAEEAcwBzAGUAdABUAGkAbQBlAGwAaQBuAGUAIAA8AD0AIABMAGEAcwB0AEUAbgBkACkALABcAG4AIAAgACAAIAAgACAAIAAgACAAIAAgACAAIAAgACAAIAAgACAAIAAgACAAIAAgACAAIAAgACAAIAAgACAAIAAgACAAIAAgACAASQBuAFAAZQByAGkAbwBkACwAIAAgACAAIAAgACAAIAAoACAAVABPAEMATwBMACgAIABCAHUAYwBrAGUAdABzACkAIAA9ACAAUwBFAFEAVQBFAE4AQwBFACgAIAAxACwAIABUAGkAbQBlAGwAaQBuAGUAQwBvAGwAcwApACkAIAAqACAAMQAsAFwAbgAgACAAIAAgACAAIAAgACAAIAAgACAAIAAgACAAIAAgACAAIAAgACAAIAAgACAAIAAgACAAIAAgACAAIAAgACAAIAAgACAAIABEAGUAcAByAGUAYwBpAGEAdABpAG8AbgAsACAAIAAgAE0ATQBVAEwAVAAoACAAQQBsAGwAbwBjAGEAdABlACwAIABJAG4AUABlAHIAaQBvAGQAKQAsAFwAbgAgACAAIAAgACAAIAAgACAAIAAgACAAIAAgACAAIAAgACAAIAAgACAAIAAgACAAIAAgACAAIAAgACAAIAAgACAAIAAgACAAIABDAEEAUABFAFgALAAgACAAIAAgACAAIAAgACAAIAAgAEkAbgBpAHQAaQBhAGwAVgBhAGwAdQBlACAAKgAgACgAVABpAG0AZQBsAGkAbgBlACAAPAA9ACAASQBuAFMAZQByAHYAaQBjAGUARABhAHQAZQApACAAKgAgACgARQBuAGQARABhAHQAZQBzACAAPgA9ACAASQBuAFMAZQByAHYAaQBjAGUARABhAHQAZQApACwAIABcAG4AIAAgACAAIAAgACAAIAAgACAAIAAgACAAIAAgACAAIAAgACAAIAAgACAAIAAgACAAIAAgACAAIAAgACAAIAAgAC8ALwAgACAAVABoAGUAIABvAHAAZQBuAGkAbgBnACAAYgBhAGwAYQBuAGMAZQAgAGEAIABwAGUAcgBpAG8AZAAgAHMAaABvAHcAcwAgAGkAcwAgAHQAaABlACAAbwBuAGUAIABpAHQAcwAgAGYAaQByAHMAdAAgAGEAcwBzAGUAdAAgAG0AbwBuAHQAaAAgAGMAYQByAHIAaQBlAHMAXABuACAAIAAgACAAIAAgACAAIAAgACAAIAAgACAAIAAgACAAIAAgACAAIAAgACAAIAAgACAAIAAgACAAIAAgACAAIAAgACAAIAAgAEUAYQByAGwAaQBlAHIALAAgACAAIAAgACAAIAAgACAASQBGACgAIABMAGkAZgBlAEkAbgBNAG8AbgB0AGgAcwAgAD0AIAAxACwAIAAwACwAIABIAFMAVABBAEMASwAoACAAMAAsACAARABSAE8AUAAoACAAQgB1AGMAawBlAHQAcwAsACAALAAgAC0AMQApACkAKQAsAFwAbgAgACAAIAAgACAAIAAgACAAIAAgACAAIAAgACAAIAAgACAAIAAgACAAIAAgACAAIAAgACAAIAAgACAAIAAgACAAIAAgACAAIABGAGkAcgBzAHQASQBuAFAAZQByAGkAbwBkACwAIAAgACgAIABCAHUAYwBrAGUAdABzACAAPAA+ACAARQBhAHIAbABpAGUAcgApACAAKgAgACgAIABCAHUAYwBrAGUAdABzACAAPgAgADAAKQAsAFwAbgAgACAAIAAgACAAIAAgACAAIAAgACAAIAAgACAAIAAgACAAIAAgACAAIAAgACAAIAAgACAAIAAgACAAIAAgACAAIAAgACAAIABPAHAAZQBuAGkAbgBnAEEAbQBvAHUAbgB0ACwAIAAgAE0ATQBVAEwAVAAoACAATwBwAGUAbgBpAG4AZwAgACoAIABGAGkAcgBzAHQASQBuAFAAZQByAGkAbwBkACwAIABJAG4AUABlAHIAaQBvAGQ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LAAgAEgAZQBsAHAALAAgAG8AcgAgAHQAaABlACAAbQBlAHMAcwBhAGcAZQBcAG4AIAAgACAAIAAgACAAIAAgAFIAZQB0AHUAcgBuACwAIAAgACAAIAAgACAAIAAgACAASQBGACgAIABIAGUAbABwAD8ALAAgADIALAAgAEkARgAoACAAQgBhAGQATABpAGYAZQA/ACwAIAAzACwAIAAxACkAKQAsAFwAbgAgACAAIAAgACAAIAAgACAAQwBIAE8ATwBTAEUAKAAgAFIAZQB0AHUAcgBuACwAIABSAGUAcwB1AGwAdAAsACAASABlAGwAcAAsACAATABpAGYAZQBNAGUAcwBzAGEAZwBlACkAXABuACAAIAAgACAAKQAgAFwAbgApADsAXABuAFwAbgBcAG4AXABuAC8AKgAgACAARgBVAE4AQwBUAEkATwBOACAATgBBAE0ARQA6ACAAIABMAGEAYgBlAGwARABlAHAAcgBlAGMAaQBhAHQAZQC7A1wAbgAgACAAIAAgAEQARQBTAEMAUgBJAFAAVABJAE8ATgA6ACoALwAvACoAKgBDAHIAZQBhAHQAZQAgAGwAYQBiAGUAbABzACAAZgBvAHIAIABEAGUAcAByAGUAYwBpAGEAdABlALsDKgAvAFwAbgBMAGEAYgBlAGwARABlAHAAcgBlAGMAaQBhAHQAZQC7AyAAPQAgAEwAQQBNAEIARABBACgAXABuAC8ALwAgACAAUABhAHIAYQBtAGUAdABlAHIAIABEAGUAYwBsAGEAcgBhAHQAaQBvAG4AcwBcAG4AIAAgACAAIABbAEEAcwBzAGUAdABOAGEAbQBlAHMAXQAsACAAI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QAZQBwAHIAZQBjAGkAYQB0AGUAuwMoACAAQQBzAHMAZQB0AE4AYQBtAGUAcwApALYAXAAiACAAJgBcAG4AIAAgACAAIAAgACAAIAAgACAAIAAgACAAIAAgACAAIAAgACAAIAAgACAAIAAgACAAIAAgACAAIABcACIARABFAFMAQwBSAEkAUABUAEkATwBOADoAIAAgACAAkiFDAHIAZQBhAHQAZQAgAHIAbwB3ACAAbABhAGIAZQBsAHMAIABmAG8AcgAgAHQAaABlACAAZABlAHAAcgBlAGMAaQBhAHQAaQBvAG4AIABzAGMAaABlAGQAdQBsAGUAIABhAHIAcgBhAHkAIABwAHIAbwBkAHUAYwBlAGQAIABiAHkAIABEAGUAcAByAGUAYwBpAGEAdA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wBzAGUAdABOAGEAbQBlAHMAIAAgACAAIAAgAJIhKABSAGUAcQB1AGkAcgBlAGQAKQAgAFQAaABlACAAbgBhAG0AZQBzACAAbwByACAAZABlAHMAYwByAGkAcAB0AGkAbwBuAHMAIABvAGYAIABlAGEAYwBoACAAYQBzAHMAZQB0ACAAaQBuACAAdABoAGUAIABkAGUAcAByAGUAYwBpAGEAdABpAG8AbgAgAHMAYwBoAGUAZAB1AGwAZQAgAHAAcgBvAGQAdQBjAGUAZAAgAGIAeQAgAEQAZQBwAHIAZQBjAGkAYQB0AGUAuwO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wAYQBiAGUAbABEAGUAcAByAGUAYwBpAGEAdABlALsDKAB0AGIAbABBAHMAcwBlAHQAcwBbAEEAcwBzAGUAdA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zAHMAZQB0AE4AYQBtAGUAcwApACwAXABuACAAIAAgACAALwAvACAAIABQAHIAbwBjAGUAZAB1AHIAZQBcAG4AIAAgACAAIAAgACAAIAAgAFIAZQBzAHUAbAB0ACwAIAAgACAAIAAgACAAIAAgACAATQBBAEsARQBBAFIAUgBBAFkAKAAgAFIATwBXAFMAKABBAHMAcwBlAHQATgBhAG0AZQBzACkAIAAqACAANwAgAC0AIAAxACwAIAAxACwAIABcAG4AIAAgACAAIAAgACAAIAAgACAAIAAgACAAIAAgACAAIAAgACAAIAAgACAAIAAgACAAIAAgACAAIABMAEEATQBCAEQAQQAoAFIALAAgAEMALAAgAFwAbgAgACAAIAAgACAAIAAgACAAIAAgACAAIAAgACAAIAAgACAAIAAgACAAIAAgACAAIAAgACAAIAAgACAAIAAgACAATABFAFQAKABBAHMAcwBlAHQATgBhAG0AZQAsACAAIAAgAEkATgBEAEUAWAAoACAAQQBzAHMAZQB0AE4AYQBtAGUAcwAsACAAUQBVAE8AVABJAEUATgBUACgAUgAtADEALAAgADcAKQAgACsAIAAxACkALAAgAFwAbgAgACAAIAAgACAAIAAgACAAIAAgACAAIAAgACAAIAAgACAAIAAgACAAIAAgACAAIAAgACAAIAAgACAAIAAgACAAIAAgACAAIABTAFcASQBUAEMASAAoACAATQBPAEQAKABSAC0AMQAsACAANwApACAAKwAgADEALABcAG4AIAAgACAAIAAgACAAIAAgACAAIAAgACAAIAAgACAAIAAgACAAIAAgACAAIAAgACAAIAAgACAAIAAgACAAIAAgACAAIAAgACAAIAAgACAAIAAxACwAIAAgAEEAcwBzAGUAdABOAGEAbQBlACAAJgAgAFwAIgAgAEMAQQBQAEUAWABcACIALABcAG4AIAAgACAAIAAgACAAIAAgACAAIAAgACAAIAAgACAAIAAgACAAIAAgACAAIAAgACAAIAAgACAAIAAgACAAIAAgACAAIAAgACAAIAAgACAAIAAyACwAIAAgAEEAcwBzAGUAdABOAGEAbQBlACAAJgAgAFwAIgAgAE8AcABlAG4AaQBuAGcAIABWAGEAbAB1AGUAXAAiACwAXABuACAAIAAgACAAIAAgACAAIAAgACAAIAAgACAAIAAgACAAIAAgACAAIAAgACAAIAAgACAAIAAgACAAIAAgACAAIAAgACAAIAAgACAAIAAgACAAMwAsACAAIABBAHMAcwBlAHQATgBhAG0AZQAgACYAIABcACIAIABEAGUAcAByAGUAYwBpAGEAdABpAG8AbgBcACIALABcAG4AIAAgACAAIAAgACAAIAAgACAAIAAgACAAIAAgACAAIAAgACAAIAAgACAAIAAgACAAIAAgACAAIAAgACAAIAAgACAAIAAgACAAIAAgACAAIAA0ACwAIAAgAEEAcwBzAGUAdABOAGEAbQBlACAAJgAgAFwAIgAgAEIAbwBvAGsAIABWAGEAbAB1AGUAXAAiACwAXABuACAAIAAgACAAIAAgACAAIAAgACAAIAAgACAAIAAgACAAIAAgACAAIAAgACAAIAAgACAAIAAgACAAIAAgACAAIAAgACAAIAAgACAAIAAgACAANQAsACAAIABBAHMAcwBlAHQATgBhAG0AZQAgACYAIABcACIAIABSAGUAdgBlAG4AdQBlACAAZgByAG8AbQAgAFMAYQBsAGUAXAAiACwAXABuACAAIAAgACAAIAAgACAAIAAgACAAIAAgACAAIAAgACAAIAAgACAAIAAgACAAIAAgACAAIAAgACAAIAAgACAAIAAgACAAIAAgACAAIAAgACAANgAsACAAIABBAHMAcwBlAHQATgBhAG0AZQAgACYAIABcACIAIABEAGkAcwBwAG8AcwBhAGwAIABDAG8AcwB0AHMAXAAiACwAXABuACAAIAAgACAAIAAgACAAIAAgACAAIAAgACAAIAAgACAAIAAgACAAIAAgACAAIAAgACAAIAAgACAAIAAgACAAIAAgACAAIAAgACAAIAAgACAANwAsACAAIABcACIAXAAi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EAGUAcAByAGUAYwBpAGEAdABlALsDXABuACAAIAAgACAARABFAFMAQwBSAEkAUABUAEkATwBOADoAKgAvAC8AKgAqAEMAcgBlAGEAdABlACAAcgBvAHcAIAB0AG8AdABhAGwAcwAgAGYAbwByACAARABlAHAAcgBlAGMAaQBhAHQAZQC7AyoALwBcAG4AUwB1AG0ARABlAHAAcgBlAGMAaQBhAHQAZQC7AyAAPQAgAEwAQQBNAEIARABBACgAXABuAC8ALwAgACAAUABhAHIAYQBtAGUAdABlAHIAIABEAGUAYwBsAGEAcgBhAHQAaQBvAG4AcwBcAG4AIAAgACAAIABbAEQAZQBwAHIAZQBjAGk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QAZQBwAHIAZQBjAGkAYQB0AGUAuwMoAEQAZQBwAHIAZQBjAGkAYQB0AGkAbwBuAFMAYwBoAGUAZAB1AGwAZQApALYAXAAiACAAJgBcAG4AIAAgACAAIAAgACAAIAAgACAAIAAgACAAIAAgACAAIAAgACAAIAAgACAAIAAgACAAIAAgACAAIABcACIARABFAFMAQwBSAEkAUABUAEkATwBOADoAIAAgACAAkiFDAHIAZQBhAHQAZQAgAHIAbwB3ACAAdABvAHQAYQBsAHMAIABmAG8AcgAgAEQAZQBwAHIAZQBjAGkAYQB0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RABlAHAAcgBlAGMAaQBhAHQAaQBvAG4AUwBjAGgAZQBkAHUAbABlAJIhKABSAGUAcQB1AGkAcgBlAGQAKQAgAEEAbgAgAGEAcgByAGEAeQAgAHAAcgBvAGQAdQBjAGUAZAAgAGIAeQAgAEQAZQBwAHIAZQBjAGkAYQB0AGUAuwO2AFwAIgAgACYAXABuACAAIAAgACAAIAAgACAAIAAgACAAIAAgACAAIAAgACAAIAAgACAAIAAgACAAIAAgACAAIAAgACAAXAAiAJIhtgBcACIAIAAm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QAZQBwAHIAZQBjAGkAYQB0AGUAuwMoAEQAZQBwAHIAZQBjAGk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8AbQBpAHQAdABlAGQAQQByAGcAcwAsACAAIAAgACAAVgBTAFQAQQBDAEsAKABJAFMATwBNAEkAVABUAEUARAAoACAARABlAHAAcgBlAGMAaQBhAHQAaQBvAG4AUwBjAGgAZQBkAHUAbABlACkAKQAsAFwAbgAgACAAIAAgACAAIAAgACAASABlAGwAcAA/ACwAIAAgACAAIAAgACAAIAAgACAAIABBAE4ARAAoACAATwBtAGkAdAB0AGUAZABBAHIAZwBzACkALABcAG4AIAAgACAAIAAvAC8AIAAgAFAAcgBvAGMAZQBkAHUAcgBlAFwAbgAgACAAIAAgACAAIAAgACAAUgBlAHMAdQBsAHQALAAgACAAIAAgACAAIAAgACAAIABNAEEASwBFAEEAUgBSAEEAWQAoAFIATwBXAFMAKABEAGUAcAByAGUAYwBp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EALAAgAFMAVQBNACgAQwBIAE8ATwBTAEUAUgBPAFcAUwAoACAARABlAHAAcgBlAGMAaQBhAHQAaQBvAG4AUwBjAGgAZQBkAHUAbABlACwAIABSACkAKQAsAFwAbgAgACAAIAAgACAAIAAgACAAIAAgACAAIAAgACAAIAAgACAAIAAgACAAIAAgACAAIAAgACAAIAAgACAAIAAgACAAIAAgACAAIAAzACwAIABTAFUATQAoAEMASABPAE8AUwBFAFIATwBXAFMAKAAgAEQAZQBwAHIAZQBjAGkAYQB0AGkAbwBuAFMAYwBoAGUAZAB1AGwAZQAsACAAUgApACkALABcAG4AIAAgACAAIAAgACAAIAAgACAAIAAgACAAIAAgACAAIAAgACAAIAAgACAAIAAgACAAIAAgACAAIAAgACAAIAAgACAAIAAgACAANQAsACAAUwBVAE0AKABDAEgATwBPAFMARQBSAE8AVwBTACgAIABEAGUAcAByAGUAYwBpAGEAdABpAG8AbgBTAGMAaABlAGQAdQBsAGUALAAgAFIAKQApACwAXABuACAAIAAgACAAIAAgACAAIAAgACAAIAAgACAAIAAgACAAIAAgACAAIAAgACAAIAAgACAAIAAgACAAIAAgACAAIAAgACAAIAAgADYALAAgAFMAVQBNACgAQwBIAE8ATwBTAEUAUgBPAFcAUwAoACAARABlAHAAcgBlAGMAaQ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UgBlAHQAdQByAG4ALAAgACAAIAAgACAAIAAgACAAIABJAEYAKAAgAEgAZQBsAHAAPwAsACAAMgAsACAAMQApACwAXABuACAAIAAgACAAIAAgACAAIABDAEgATwBPAFMARQAoAFIAZQB0AHUAcgBuACwAIABSAGUAcwB1AGwAdAAsACAASABlAGwAcAApAFwAbgAgACAAIAAgACkAXABuACkAOwBcAG4AXABuAFwAbgBcAG4ALwAqACAAIABGAFUATgBDAFQASQBPAE4AIABOAEEATQBFADoAIAAgAEEAbABsAG8AYwBhAHQAZQC7A1wAbgAgACAAIAAgAEQARQBTAEMAUgBJAFAAVABJAE8ATgA6ACoALwAvACoAKgCSIUQAaQB2AGkAZABlACAAbwBuAGUAIABvAHIAIABtAG8AcgBlACAAYQBtAG8AdQBuAHQAcwAgAGUAcQB1AGEAbABsAHkAIABhAGMAcgBvAHMAcwAgAHMAbQBhAGwAbABlAHIAIABwAGUAcgBpAG8AZABzACoALwBcAG4AQQBsAGwAbwBjAGEAdABlALsDIAA9ACAATABBAE0AQgBEAEEAKABcAG4ALwAvACAAIABQAGEAcgBhAG0AZQB0AGUAcgAgAEQAZQBjAGwAYQByAGEAdABpAG8AbgBcAG4AIAAgACAAIABbAEEAbQBvAHUAbgB0AHMAXQAsAFwAbgAgACAAIAAgAFsARgByAG8AbQBJAG4AdABlAHIAdgBhAGwAXQAsACAAXABuACAAIAAgACAAWwBUAG8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EAbABsAG8AYwBhAHQAZQC7AygAQQBtAG8AdQBuAHQAcwAsACAAWwBGAHIAbwBtAEkAbgB0AGUAcgB2AGEAbABdACwAIABbAFQAbwBJAG4AdABlAHIAdgBhAGwAXQApALYAXAAiACAAJgBcAG4AIAAgACAAIAAgACAAIAAgACAAIAAgACAAIAAgACAAIAAgACAAIAAgACAAIAAgACAAIAAgACAAIABcACIARABFAFMAQwBSAEkAUABUAEkATwBOADoAIAAgACAAkiFEAGkAdgBpAGQAZQAgAG8AbgBlACAAbwByACAAbQBvAHIAZQAgAGEAbQBvAHUAbgB0AHMAIABlAHEAdQBhAGwAbAB5ACAAYQBjAHIAbwBzAHMAIABzAG0AYQBsAGwAZQByACAAcABlAHIAaQBvAGQAcw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QBvAHUAbgB0AHMAIAAgACAAIAAgACAAIAAgAJIhKABSAGUAcQB1AGkAcgBlAGQAKQAgAE8AbgBlACAAYQBtAG8AdQBuAHQAIABvAHIAIABhACAAcgBvAHcAIABvAGYAIABhAG0AbwB1AG4AdABzACAAdABvACAAYQBsAGwAbwBjAGEAdABlAC4AtgBcACIAIAAmACAAIAAgACAAIAAgACAAIAAgACAAIAAgACAAIAAgACAAIAAgACAAXABuACAAIAAgACAAIAAgACAAIAAgACAAIAAgACAAIAAgACAAIAAgACAAIAAgACAAIAAgACAAIAAgACAAXAAiAEYAcgBvAG0ASQBuAHQAZQByAHYAYQBsACAAIAAgAJIhKABPAHAAdABpAG8AbgBhAGwAIABEAGUAZgBhAHUAbAB0AD0AWQApACAAVABoAGUAIABsAGEAcgBnAGUAcgAgAGkAbgB0AGUAcgB2AGEAbAAgAGkAbgAgAFEAPQBRAHUAYQByAHQAZQByAHMAIABvAHIAIABZAD0AWQBlAGEAcgBzALYAXAAiACAAJgAgAFwAbgAgACAAIAAgACAAIAAgACAAIAAgACAAIAAgACAAIAAgACAAIAAgACAAIAAgACAAIAAgACAAIAAgAFwAIgBUAG8ASQBuAHQAZQByAHYAYQBsACAAIAAgACAAIACSISgATwBwAHQAaQBvAG4AYQBsACAARABlAGYAYQB1AGwAdAA9AE0AKQAgAFQAaABlACAAcwBtAGEAbABsAGUAcgAgAGkAbgB0AGUAcgB2AGEAbAAgAGkAbgAgAFcAPQBXAGUAZQBrAHMALAAgAE0APQBNAG8AbgB0AGgAcwAsACAAbwByACAAUQA9AFEAdQBhAHIAdABlAHIAcwC2AFwAIgAgACYAIABcAG4AIAAgACAAIAAgACAAIAAgACAAIAAgACAAIAAgACAAIAAgACAAIAAgACAAIAAgACAAIAAgACAAIABcACIATgBPAFQARQAhACAAIAAgACAAIAAgACAAIAAgACAAkiG2AFwAIgAgACYAIABcAG4AIAAgACAAIAAgACAAIAAgACAAIAAgACAAIAAgACAAIAAgACAAIAAgACAAIAAgACAAIAAgACAAIAAgACAAIAAgACAAIAAgACAAIAAgACAAIAAgACAAIABcACIAkiFXAGgAZQBuACAAYQAgAEYAcgBvAG0AIABQAGUAcgBpAG8AZAAnAHMAIABhAG0AbwB1AG4AdAAgAGQAbwBlAHMAIABuAG8AdAAgAGQAaQB2AGkAZABlACAAZQB2AGUAbgBsAHkAIAB0AG8AIAB0AGgAZQAgADEALwAxADAAMAAgAGYAbwByACAAYQBsAGwAIABUAG8AIABQAGUAcgBpAG8AZABzACcALAC2AFwAIgAgACYAIABcAG4AIAAgACAAIAAgACAAIAAgACAAIAAgACAAIAAgACAAIAAgACAAIAAgACAAIAAgACAAIAAgACAAIAAgACAAIAAgACAAIAAgACAAIAAgACAAIAAgACAAIABcACIAkiF0AGgAZQAgAGwAYQBzAHQAIABUAG8AIABQAGUAcgBpAG8AZAAgAGMAbwBuAHQAYQBpAG4AcwAgAHQAaABlACAAbgBlAGMAZQBzAHMAYQByAHkAIABhAGQAagB1AHMAdABtAGUAbgB0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GwAbABvAGMAYQB0AGUAuwMoAHsAOQA5ADkALgA5ADkALAAgADIAMAAwADAAfQAsACAAXAAiAFwAIgBZAFwAIgBcACIALAAgAFwAIgBcACIAUQBcACIAXAAi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yADUAMAAsADIANQAwACwAMgA1ADAALAAyADQAOQAuADkAOQAsADUAMAAwACwANQAwADAALAA1ADAAMAAsADUAM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AgAGYAbwByACAAbwBwAHQAaQBvAG4AYQBsACAAdgBhAGwAdQBlAHMAXABuACAAIAAgACAAIAAgACAAIABGAHIAbwBtAEkAbgB0AGUAcgB2AGEAbAAsACAAIAAgAEkARgAoACAASQBTAE8ATQBJAFQAVABFAEQAKAAgAEYAcgBvAG0ASQBuAHQAZQByAHYAYQBsACkALAAgAFwAIgBZAFwAIgAsACAARgByAG8AbQBJAG4AdABlAHIAdgBhAGwAKQAsAFwAbgAgACAAIAAgACAAIAAgACAAVABvAEkAbgB0AGUAcgB2AGEAbAAsACAAIAAgACAAIABJAEYAKAAgAEkAUwBPAE0ASQBUAFQARQBEACgAIABUAG8ASQBuAHQAZQByAHYAYQBsACkALAAgAFwAIgBNAFwAIgAsACAAVABvAEkAbgB0AGUAcgB2AGEAbAApACwAXABuACAAIAAgACAALwAvACAAIABQAHIAbwBjAGUAZAB1AHIAZQBcAG4AIAAgACAAIAAgACAAIAAgAEYAcgBvAG0ALAAgACAAIAAgACAAIAAgACAAIAAgACAAUwBXAEkAVABDAEgAKABGAHIAbwBtAEkAbgB0AGUAcgB2AGEAbAAsACAAXAAiAFkAXAAiACwAIAAxACwAIABcACIAUQBcACIALAAgADQAKQAsAFwAbgAgACAAIAAgACAAIAAgACAAVABvACwAIAAgACAAIAAgACAAIAAgACAAIAAgACAAIABTAFcASQBUAEMASAAoAFQAbwBJAG4AdABlAHIAdgBhAGwALAAgAFwAIgBRAFwAIgAsACAANAAsACAAXAAiAE0AXAAiACwAIAAxADIALAAgAFwAIgBXAFwAIgAsACAANQAyACkALABcAG4AIAAgACAAIAAgACAAIAAgAEYAcgBvAG0AQwBvAHUAbgB0ACwAIAAgACAAIAAgACAAQwBPAFUATgBUACgAIABBAG0AbwB1AG4AdABzACkALABcAG4AIAAgACAAIAAgACAAIAAgAFQAbwBDAG8AdQBuAHQALAAgACAAIAAgACAAIAAgACAAVABvACAALwAgAEYAcgBvAG0ALABcAG4AIAAgACAAIAAgACAAIAAgAFIAZQBzAHUAbAB0ACwAIAAgACAAIAAgACAAIAAgACAATQBBAEsARQBBAFIAUgBBAFkAKAAgADEALAAgAEYAcgBvAG0AQwBvAHUAbgB0ACAAKgAgAFQAbwBDAG8AdQBuAHQALABcAG4AIAAgACAAIAAgACAAIAAgACAAIAAgACAAIAAgACAAIAAgACAAIAAgACAAIAAgACAAIAAgACAAIABMAEEATQBCAEQAQQAoACAAUgAsACAAQwAsAFwAbgAgACAAIAAgACAAIAAgACAAIAAgACAAIAAgACAAIAAgACAAIAAgACAAIAAgACAAIAAgACAAIAAgACAAIAAgACAATABFAFQAKABcAG4AIAAgACAAIAAgACAAIAAgACAAIAAgACAAIAAgACAAIAAgACAAIAAgACAAIAAgACAAIAAgACAAIAAgACAAIAAgAC8ALwAgACAAQwBvAGwAdQBtAG4AIABDACAAaABvAGwAZABzACAAcABhAHIAdAAgAEMAIABvAGYAIABhAG0AbwB1AG4AdAAgAFEAVQBPAFQASQBFAE4AVAAoACAAQwAgAC0AIAAxACwAIABUAG8AQwBvAHUAbgB0ACkAIAArACAAMQBcAG4AIAAgACAAIAAgACAAIAAgACAAIAAgACAAIAAgACAAIAAgACAAIAAgACAAIAAgACAAIAAgACAAIAAgACAAIAAgACAAIAAgACAARgByAG8AbQBBAG0AbwB1AG4AdAAsACAAIAAgACAAIABJAE4ARABFAFgAKAAgAEEAbQBvAHUAbgB0AHMALAAgAFEAVQBPAFQASQBFAE4AVAAoACAAQwAgAC0AIAAxACwAIABUAG8AQwBvAHUAbgB0ACkAIAArACAAMQApACwAXABuACAAIAAgACAAIAAgACAAIAAgACAAIAAgACAAIAAgACAAIAAgACAAIAAgACAAIAAgACAAIAAgACAAIAAgACAAIAAgACAAIAAgAFQAbwBBAG0AbwB1AG4AdAAsACAAIAAgACAAIAAgACAAUgBPAFUATgBEACgAIABGAHIAbwBtAEEAbQBvAHUAbgB0ACAAKgAgAEYAcgBvAG0AIAAvACAAVABvACwAIAAyACkALABcAG4AIAAgACAAIAAgACAAIAAgACAAIAAgACAAIAAgACAAIAAgACAAIAAgACAAIAAgACAAIAAgACAAIAAgACAAIAAgAC8ALwAgACAAVABoAGUAIABsAGEAcwB0ACAAcABhAHIAdAAgAG8AZgAgAGUAYQBjAGgAIABhAG0AbwB1AG4AdAAgAGMAYQByAHIAaQBlAHMAIAB0AGgAZQAgAHIAbwB1AG4AZABpAG4AZwAgAGQAaQBmAGYAZQByAGUAbgBjAGUAXABuACAAIAAgACAAIAAgACAAIAAgACAAIAAgACAAIAAgACAAIAAgACAAIAAgACAAIAAgACAAIAAgACAAIAAgACAAIAAgACAAIAAgAEwAYQBzAHQAPwAsACAAIAAgACAAIAAgACAAIAAgACAATQBPAEQAKAAgAEMAIAAtACAAMQAsACAAVABvAEMAbwB1AG4AdAApACAAKwAgADEAIAA9ACAAVABvAEMAbwB1AG4AdAAsAFwAbgAgACAAIAAgACAAIAAgACAAIAAgACAAIAAgACAAIAAgACAAIAAgACAAIAAgACAAIAAgACAAIAAgACAAIAAgACAAIAAgACAAIABJAEYAKAAgAEEATgBEACgAIABMAGEAcwB0AD8ALAAgAFQAbwBDAG8AdQBuAHQAIAA+ACAAMQApACwAXABuACAAIAAgACAAIAAgACAAIAAgACAAIAAgACAAIAAgACAAIAAgACAAIAAgACAAIAAgACAAIAAgACAAIAAgACAAIAAgACAAIAAgACAAIAAgACAARgByAG8AbQBBAG0AbwB1AG4AdAAgAC0AIABTAFUATQAoACAARQBYAFAAQQBOAEQAKAAgAFQAbwBBAG0AbwB1AG4AdAAsACAAMQAsACAATQBBAFgAKAAgAFQAbwBDAG8AdQBuAHQAIAAtACAAMQAsACAAMQApACwAIABUAG8AQQBtAG8AdQBuAHQAKQApACwAXABuACAAIAAgACAAIAAgACAAIAAgACAAIAAgACAAIAAgACAAIAAgACAAIAAgACAAIAAgACAAIAAgACAAIAAgACAAIAAgACAAIAAgACAAIAAgACAAVABvAEEAbQBvAHUAbgB0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RABpAGYAZgC7A1wAbgAgACAAIAAgAEQARQBTAEMAUgBJAFAAVABJAE8ATgA6ACoALwAvACoAKgBEAGUAdABlAHIAbQBpAG4AZQAgAHQAaABlACAAbgB1AG0AYgBlAHIAIABvAGYAIABwAGUAcgBpAG8AZABzACAAYgBlAHQAdwBlAGUAbgAgAHQAdwBvACAAZABhAHQAZQBzAC4AKgAvAFwAbgBQAGUAcgBpAG8AZABEAGkAZgBmALsDIAA9ACAATABBAE0AQgBEAEEAKABcAG4ALwAvACAAIABQAGEAcgBhAG0AZQB0AGUAcgAgAEQAZQBjAGwAYQByAGEAdABpAG8AbgBcAG4AIAAgACAAIABbAFMAdABhAHIAdABEAGEAdABlAF0ALABcAG4AIAAgACAAIABbAEUAbgBkAEQAYQB0AGUAXQAsACAAXABuACAAIAAgACAAW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RABpAGYAZgC7AygAUwB0AGEAcgB0AEQAYQB0AGUALAAgAEUAbgBkAEQAYQB0AGUALAAgAEkAbgB0AGUAcgB2AGEAbAApALYAXAAiACAAJgBcAG4AIAAgACAAIAAgACAAIAAgACAAIAAgACAAIAAgACAAIAAgACAAIAAgACAAIAAgACAAIAAgACAAIABcACIARABFAFMAQwBSAEkAUABUAEkATwBOADoAIAAgACAAkiFEAGUAdABlAHIAbQBpAG4AZQAgAHQAaABlACAAbgB1AG0AYgBlAHIAIABvAGYAIABwAGUAcgBpAG8AZABzACAAYgBlAHQAdwBlAGUAbgAgAHQAdwBvACAAZABhAHQAZQBzAC4AtgBcACIAIAAmAFwAbgAgACAAIAAgACAAIAAgACAAIAAgACAAIAAgACAAIAAgACAAIAAgACAAIAAgACAAIAAgACAAIAAgAFwAIgBOAE8AVABFAFMAIQAgACAAIAAgACAAIAAgACAAIACSIVQAaABpAHMAIABpAG0AcAByAG8AdgBlAHMAIABvAG4ALAAgAGEAbgBkACAAYwBvAHIAcgBlAGMAdABzACAAcAByAG8AYgBsAGUAbQBzACAAdwAvAEUAeABjAGUAbAAnAHMAIABkAGUAcAByAGUAYwBhAHQAZQBkACAARABBAFQARQBEAEkARgAoACkAIABmAHUAbgBjAHQAaQBvAG4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MAdABhAHIAdABEAGEAdABlACAAIAAgACAAIAAgAJIhKABSAGUAcQB1AGkAcgBlAGQAKQAgAFMAdABhAHIAdAAgAEQAYQB0AGUALgC2AFwAIgAgACYAIAAgACAAIAAgACAAIAAgACAAIAAgACAAIAAgACAAIAAgACAAIABcAG4AIAAgACAAIAAgACAAIAAgACAAIAAgACAAIAAgACAAIAAgACAAIAAgACAAIAAgACAAIAAgACAAIABcACIARQBuAGQARABhAHQAZQAgACAAIAAgACAAIAAgACAAkiEoAFIAZQBxAHUAaQByAGUAZAApACAARQBuAGQAIABEAGEAdABlALYAXAAiACAAJgAgAFwAbgAgACAAIAAgACAAIAAgACAAIAAgACAAIAAgACAAIAAgACAAIAAgACAAIAAgACAAIAAgACAAIAAgAFwAIgBJAG4AdABlAHIAdgBhAGwAIAAgACAAIAAgACAAIACSISgAUgBlAHEAdQBpAHIAZQBkACkAIABXAD0AVwBlAGUAawAsACAATQA9AE0AbwBuAHQAaAAsACAAUQA9AFEAdQBhAHIAdABlAHIALAAgAFkAPQBZAGUAYQBy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IAIAAgACAAIAAgACAAIAAgACAAIAAgACAAIAAgAJIhPQBvAHo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gACAAIAAgAFAAZQByAGkAbwBkAHMALAAgACAAIAAgACAAIAAgACAAIAAgACAAIABJAE4AVAAoACAATQBvAG4AdABoAHMAIAAvACAATQBwAFAAKQAsAFwAbgAgACAAIAAgACAAIAAgACAAUABhAHIAdABpAGEAbABQAGUAcgBpAG8AZAAsACAAIAAgACAAIAAgAE4AKAAgAE0ATwBEACgAIABNAG8AbgB0AGgAcwAsACAATQBwAFA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CgAIABJAG4AdABlAHIAdgBhAGwAIAA9ACAAXAAiAFcAXAAiACwAIABcAG4AIAAgACAAIAAgACAAIAAgACAAIAAgACAAIAAgACAAIAAgACAAIAAgACAAIAAgACAAIAAgACAAIAAgACAAIAAgAEkATgBUACgAKABFAG4AZABEAGEAdABlACAALQAgAFMAdABhAHIAdABEAGEAdABlACAAKwAgADEAKQAgAC8AIAA3ACkALABcAG4AIAAgACAAIAAgACAAIAAgACAAIAAgACAAIAAgACAAIAAgACAAIAAgACAAIAAgACAAIAAgACAAIAAgACAAIAAgAFAAZQByAGkAbwBkAHMAIAArACAATwBSACgAUABhAHIAdABpAGEAbABQAGUAcgBpAG8AZAAsACAARQBPAE0AQwBvAHIAcgBlAGMAdABpAG8Ab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MATABOALsDXABuACAAIAAgACAARABFAFMAQwBSAEkAUABUAEkATwBOADoAKgAvAC8AKgAqAFMAdAByAGEAaQBnAGgAdAAgAEwAaQBuAGUAIABkAGUAcAByAGUAYwBpAGEAdABpAG8AbgAgAG0AZQB0AGgAbwBkACAAZgBvAHIAIABvAG4AZQAgAGEAcwBzAGUAdAAgAG8AcgAgAGEAcwBzAGUAdAAgAGMAbABhAHMAcwAuACoALwBcAG4AUwBMAE4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EwATgC7AygAQwBvAHMAdAAsACAAUwBhAGwAdgBhAGcAZQAsACAATABpAGYAZQApALYAXAAiACAAJgBcAG4AIAAgACAAIAAgACAAIAAgACAAIAAgACAAIAAgACAAIAAgACAAIAAgACAAIAAgACAAIAAgACAAIABcACIARABFAFMAQwBSAEkAUABUAEkATwBOADoAIAAgACAAkiFTAHQAcgBhAGkAZwBoAHQAIABMAGkAbgBlACAARABlAHAAcgBlAGMAaQBhAHQAaQBvAG4AIABN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TABO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QA4ADAALAAxADgAMAAsADEAOAAwACwAMQA4ADAALAAxADg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C4AIABBACAAZgByAGEAYwB0AGkAbwBuAGEAbAAgAGwAaQBmAGUAIABrAGUAZQBwAHMAIABpAHQAcwAgAHcAaABvAGwAZQAgAHkAZQBhAHIAcwAgAGEAdAAgAHQAaABlACAAYQBuAG4AdQBhAGwAIABjAGgAYQByAGcAZQAgAGEAbgBkAFwAbgAgACAAIAAgAC8ALwAgACAAcAB1AHQAcwAgAHQAaABlACAAcgBlAG0AYQBpAG4AZABlAHIAIABpAG4AIABvAG4AZQAgAGYAaQBuAGEAbAAgAHAAYQByAHQALQB5AGUAYQByACAAYwBvAGwAdQBtAG4ALAAgAHMAbwAgAG4AbwB0AGgAaQBuAGcAIABpAHMAIABsAGUAZgB0ACAAdQBuAGQAZQBwAHIAZQBjAGkAYQB0AGUAZAAuAFwAbgAgACAAIAAgACAAIAAgACAARABlAHAAbgAsACAAIAAgACAAIAAgACAAIAAgACAAIABTAEwATgAoACAAQwBvAHMAdAAsACAAUwBhAGwAdgBhAGcAZQAsACAATABpAGYAZQApACwAXABuACAAIAAgACAAIAAgACAAIABXAGgAbwBsAGUALAAgACAAIAAgACAAIAAgACAAIAAgAEkATgBUACgAIABMAGkAZgBlACkALABcAG4AIAAgACAAIAAgACAAIAAgAFIAZQBzAHUAbAB0ACwAIAAgACAAIAAgACAAIAAgACAASQBGACgAIABXAGgAbwBsAGUAIAA9ACAATABpAGYAZQAsACAARQBYAFAAQQBOAEQAKAAgAEQAZQBwAG4ALAAgADEALAAgAEwAaQBmAGUALAAgAEQAZQBwAG4AKQAsAFwAbgAgACAAIAAgACAAIAAgACAAIAAgACAAIAAgACAAIAAgACAAIAAgACAAIAAgACAAIAAgACAAIAAgAEkARgAoACAAVwBoAG8AbABlACAAPQAgADAALAAgAEMAbwBzAHQAIAAtACAAUwBhAGwAdgBhAGcAZQAsAFwAbgAgACAAIAAgACAAIAAgACAAIAAgACAAIAAgACAAIAAgACAAIAAgACAAIAAgACAAIAAgACAAIAAgACAAIAAgACAASABTAFQAQQBDAEsAKAAgAEUAWABQAEEATgBEACgAIABEAGUAcABuACwAIAAxACwAIABXAGgAbwBsAGUALAAgAEQAZQBwAG4AKQAsACAAQwBvAHMAdAAgAC0AIABTAGEAbAB2AGEAZwBlACAALQAgAEQAZQBwAG4AIAAqACAAVwBoAG8AbABlACkAKQ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MAWQBEALsDXABuACAAIAAgACAARABFAFMAQwBSAEkAUABUAEkATwBOADoAKgAvAC8AKgAqAFMAdQBtAC0AbwBmAC0AeQBlAGEAcgBzACcAIABkAGkAZwBpAHQAcwAgAGQAZQBwAHIAZQBjAGkAYQB0AGkAbwBuACAAbQBlAHQAaABvAGQAIABmAG8AcgAgAG8AbgBlACAAYQBzAHMAZQB0ACAAbwByACAAYQBzAHMAZQB0ACAAYwBsAGEAcwBzAC4AKgAvAFwAbgBTAFkARA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WQBEALsDKABDAG8AcwB0ACwAIABTAGEAbAB2AGEAZwBlACwAIABMAGkAZgBlACkAtgBcACIAIAAmAFwAbgAgACAAIAAgACAAIAAgACAAIAAgACAAIAAgACAAIAAgACAAIAAgACAAIAAgACAAIAAgACAAIAAgAFwAIgBEAEUAUwBDAFIASQBQAFQASQBPAE4AOgAgACAAIACSIVMAdQBtAC0AbwBmAC0AeQBlAGEAcgBzACcAIABkAGkAZwBpAHQAcw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FkARA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wAMgA0ADAALAAxADgAMAAsADEAMgAwACw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SAGUAcwB1AGwAdAAsACAAIAAgACAAIAAgACAAIABTAFkARAAoAEMAbwBzAHQALAAgAFMAYQBsAHYAYQBnAGUALAAgAEwAaQBmAGUALAAgAFMARQBRAFUARQBOAEMARQAoACAALAAgAEwAaQBm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IAuwNcAG4AIAAgACAAIABEAEUAUwBDAFIASQBQAFQASQBPAE4AOgAqAC8ALwAqACoARgBpAHgAZQBkACAAZABlAGMAbABpAG4AaQBuAGcAIABiAGEAbABhAG4AYwBlACAAZABlAHAAcgBlAGMAaQBhAHQAaQBvAG4AIABtAGUAdABoAG8AZAAgAGYAbwByACAAbwBuAGUAIABhAHMAcwBlAHQAIABvAHIAIABhAHMAcwBlAHQAIABjAGwAYQBzAHMALgAqAC8AXABuAEQAQgC7AyAAPQAgAEwAQQBNAEIARABBACgAXABuAC8ALwAgACAAUABhAHIAYQBtAGUAdABlAHIAIABEAGUAYwBsAGEAcgBhAHQAaQBvAG4AXABuACAAIAAgACAAWwBDAG8AcwB0AF0ALABcAG4AIAAgACAAIABbAFMAYQBsAHYAYQBnAGUAXQAsACAAXABuACAAIAAgACAAWwBMAGkAZgBlAF0ALAAgAFwAbgAgACAAIAAgAFsATQBvAG4AdABoAHM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QgC7AygAQwBvAHMAdAAsACAAUwBhAGwAdgBhAGcAZQAsACAATABpAGYAZQAsACAAWwBNAG8AbgB0AGgAcwBdACkAtgBcACIAIAAmAFwAbgAgACAAIAAgACAAIAAgACAAIAAgACAAIAAgACAAIAAgACAAIAAgACAAIAAgACAAIAAgACAAIAAgAFwAIgBEAEUAUwBDAFIASQBQAFQASQBPAE4AOgAgACAAIACSIUYAaQB4AGUAZAAgAGQAZQBjAGwAaQBuAGkAbgBnACAAYgBhAGwAYQBuAGMAZQAgAGQAZQBwAHIAZQBjAGkAYQB0AGkAbwBuACAAbQBlAHQAaABvAGQAIABmAG8AcgAgAG8AbgBlACAAYQBzAHMAZQB0ACAAbwByACAAYQBzAHMAZQB0ACAAYwBsAGEAcwBz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0AbwBuAHQAaABzACAAIAAgACAAIAAgACAAIAAgAJIhKABPAHAAdABpAG8AbgBhAGwAKQAgAE4AdQBtAGIAZQByACAAbwBmACAAbQBvAG4AdABoAHMAIABpAG4AIAB0AGgAZQAgAGYAaQByAHMAdAAgAHkAZQBhAHIAIAB0AG8AIABkAGUAcAByAGUAYwBpAGEAdABl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YAOQAuADAAMAAsADIAMwAyAC4AOAA0ACwAMQA0ADYALgA5ADIALAA5ADIALgA3ADEALAA1ADgALgA1ADM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NAG8AbgB0AGgAcwAsACAAIAAgACAAIAAgACAAIAAgAEkARgAoACAASQBTAE8ATQBJAFQAVABFAEQAKAAgAE0AbwBuAHQAaABzACkALAAgADEAMgAsACAATQBvAG4AdABoAHMAKQAsAFwAbgAgACAAIAAgAC8ALwAgACAAUAByAG8AYwBlAGQAdQByAGUALgAgAEEAIABvAG4AZQAtAHkAZQBhAHIAIABsAGkAZgBlACAAaABhAHMAIABuAG8AIABwAHIAZQBjAGUAZABpAG4AZwAgAHkAZQBhAHIAcwAgAHQAbwAgAHMAYwBoAGUAZAB1AGwAZQAsACAAcwBvACAAdABoAGUAIAB3AGgAbwBsAGUAXABuACAAIAAgACAALwAvACAAIABkAGUAcAByAGUAYwBpAGEAYgBsAGUAIABhAG0AbwB1AG4AdAAgAGkAcwAgAHQAaABlACAAZgBpAG4AYQBsAC0AeQBlAGEAcgAgAGIAYQBsAGEAbgBjAGUALgBcAG4AIAAgACAAIAAgACAAIAAgAEQAZQBwAG4ALAAgACAAIAAgACAAIAAgACAAIAAgACAARABCACgAIABDAG8AcwB0ACwAIABTAGEAbAB2AGEAZwBlACwAIABMAGkAZgBlACwAIABTAEUAUQBVAEUATgBDAEUAKAAgACwAIABNAEEAWAAoACAATABpAGYAZQAgAC0AIAAxACwAIAAxACkAKQAsACAATQBvAG4AdABoAHMAKQAsAFwAbgAgACAAIAAgACAAIAAgACAAUgBlAHMAdQBsAHQALAAgACAAIAAgACAAIAAgACAAIABJAEYAKAAgAEwAaQBmAGUAIAA8ACAAMgAsACAAQwBvAHMAdAAgAC0AIABTAGEAbAB2AGEAZwBlACwAIABIAFMAVABBAEMASwAoACAARABlAHAAbgAsACAAQwBvAHMAdAAgAC0AIABTAFUATQAoACAARABlAHAAbgApACAALQAgAFMAYQBsAHYAYQBn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QAQgC7A1wAbgAgACAAIAAgAEQARQBTAEMAUgBJAFAAVABJAE8ATgA6ACoALwAvACoAKgBEAG8AdQBiAGwAZQAtAGQAZQBjAGwAaQBuAGkAbgBnACAAYgBhAGwAYQBuAGMAZQAgAGQAZQBwAHIAZQBjAGkAYQB0AGkAbwBuACAAbQBlAHQAaABvAGQAIABmAG8AcgAgAG8AbgBlACAAYQBzAHMAZQB0ACAAbwByACAAYQBzAHMAZQB0ACAAYwBsAGEAcwBzAC4AKgAvAFwAbgBE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RABCALsDKABDAG8AcwB0ACwAIABTAGEAbAB2AGEAZwBlACwAIABMAGkAZgBlACwAIABbAEYAYQBjAHQAbwByAF0AKQC2AFwAIgAgACYAXABuACAAIAAgACAAIAAgACAAIAAgACAAIAAgACAAIAAgACAAIAAgACAAIAAgACAAIAAgACAAIAAgACAAXAAiAEQARQBTAEMAUgBJAFAAVABJAE8ATgA6ACAAIAAgAJIhRABvAHUAYgBsAGUALQ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RA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0ADAAMAAuADAAMAAsADIANAAwAC4AMAAwACwAMQA0ADQALgAwADAALAA4ADYALgA0ADAALAAyADkALg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vAC8AIAAgAFAAcgBvAGMAZQBkAHUAcgBlAC4AIABBACAAbwBuAGUALQB5AGUAYQByACAAbABpAGYAZQAgAGgAYQBzACAAbgBvACAAcAByAGUAYwBlAGQAaQBuAGcAIAB5AGUAYQByAHMAIAB0AG8AIABzAGMAaABlAGQAdQBsAGUALAAgAHMAbwAgAHQAaABlACAAdwBoAG8AbABlAFwAbgAgACAAIAAgAC8ALwAgACAAZABlAHAAcgBlAGMAaQBhAGIAbABlACAAYQBtAG8AdQBuAHQAIABpAHMAIAB0AGgAZQAgAGYAaQBuAGEAbAAtAHkAZQBhAHIAIABiAGEAbABhAG4AYwBlAC4AXABuACAAIAAgACAAIAAgACAAIABEAGUAcABuACwAIAAgACAAIAAgACAAIAAgACAAIAAgAEQARABCACgAIABDAG8AcwB0ACwAIABTAGEAbAB2AGEAZwBlACwAIABMAGkAZgBlACwAIABTAEUAUQBVAEUATgBDAEUAKAAgACwAIABNAEEAWAAoACAATABpAGYAZQAgAC0AIAAxACwAIAAxACkAKQAsACAARgBhAGMAdABvAHIAKQAsAFwAbgAgACAAIAAgACAAIAAgACAAUgBlAHMAdQBsAHQALAAgACAAIAAgACAAIAAgACAAIABJAEYAKAAgAEwAaQBmAGUAIAA8ACAAMgAsACAAQwBvAHMAdAAgAC0AIABTAGEAbAB2AGEAZwBlACwAIABIAFMAVABBAEMASwAoACAARABlAHAAbgAsACAAQwBvAHMAdAAgAC0AIABTAFUATQAoACAARABlAHAAbgApACAALQAgAFMAYQBsAHYAYQBn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WAEQAQgC7A1wAbgAgACAAIAAgAEQARQBTAEMAUgBJAFAAVABJAE8ATgA6ACoALwAvACoAKgBWAGEAcgBpAGEAYgBsAGUAIABkAGUAYwBsAGkAbgBpAG4AZwAgAGIAYQBsAGEAbgBjAGUAIABkAGUAcAByAGUAYwBpAGEAdABpAG8AbgAgAG0AZQB0AGgAbwBkACAAZgBvAHIAIABvAG4AZQAgAGEAcwBzAGUAdAAgAG8AcgAgAGEAcwBzAGUAdAAgAGMAbABhAHMAcwAuACoALwBcAG4AVg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bAE4AbwBfAFMAdwBpAHQAYwBo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WAEQAQgC7AygAQwBvAHMAdAAsACAAUwBhAGwAdgBhAGcAZQAsACAATABpAGYAZQAsACAAWwBGAGEAYwB0AG8AcgBdACwAIABbAE4AbwBfAFMAdwBpAHQAYwBoAF0AKQC2AFwAIgAgACYAXABuACAAIAAgACAAIAAgACAAIAAgACAAIAAgACAAIAAgACAAIAAgACAAIAAgACAAIAAgACAAIAAgACAAXAAiAEQARQBTAEMAUgBJAFAAVABJAE8ATgA6ACAAIAAgAJIhVgBhAHIAaQBhAGIAbABlACA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TgBvAF8AUwB3AGkAdABjAGgAIAAgACAAIAAgACAAkiEoAE8AcAB0AGkAbwBuAGEAbAAgAEQAZQBmAGEAdQBsAHQAPQBGAEEATABTAEUAKQAgAFMAdwBpAHQAYwBoACAAdABvACAAcwB0AHIAYQBpAGcAaAB0AC0AbABpAG4AZQAgAGQAZQBwAHIAZQBjAGkAYQB0AGkAbwBuACAAdwBoAGUAbgC2AFwAIgAgACYAIABcAG4AIAAgACAAIAAgACAAIAAgACAAIAAgACAAIAAgACAAIAAgACAAIAAgACAAIAAgACAAIAAgACAAIAAgACAAIAAgACAAIAAgACAAIAAgACAAIAAgACAAIABcACIAkiEgAGQAZQBwAHIAZQBjAGkAYQB0AGkAbwBuACAAaQBzACAAZwByAGUAYQB0AGUAcgAgAHQAaABhAG4AIAB0AGgAZQAgAGQAZQBjAGwAaQBuAGkAbgBnACAAYgBhAGwAYQBuAGMAZQAgAGMAYQBsAGMAdQBsAGEAdABpAG8Abg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VgBEAEIAuwMoADEAMAAwADAALAAgADEAMAAwACwAIAA1ACwAIAAxAC4ANQAsACAAVABSAFUAR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gAwADAALAAyADEAMAAuADAAMAAsADEANAA3AC4AMAAwACwAMQAwADIALgA5ADAALAA3ADIALgAwADM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gACAAIAAgAE4AbwBfAFMAdwBpAHQAYwBoACwAIAAgACAAIAAgACAASQBGACgAIABJAFMATwBNAEkAVABUAEUARAAoACAATgBvAF8AUwB3AGkAdABjAGgAKQAsACAARgBBAEwAUwBFACwAIABOAG8AXwBTAHcAaQB0AGMAaAApACwAXABuACAAIAAgACAALwAvACAAIABQAHIAbwBjAGUAZAB1AHIAZQBcAG4AIAAgACAAIAAgACAAIAAgAFIAZQBzAHUAbAB0ACwAIAAgACAAIAAgACAAIAAgACAAVgBEAEIAKAAgAEMAbwBzAHQALAAgAFMAYQBsAHYAYQBnAGUALAAgAEwAaQBmAGUALAAgAFMARQBRAFUARQBOAEMARQAoACAALAAgAEwAaQBmAGUALAAgADAAKQAsACAAUwBFAFEAVQBFAE4AQwBFACgAIAAsACAATABpAGYAZQApACwAIABGAGEAYwB0AG8AcgAsACAATgBvAF8AUwB3AGkAdABjAGgAKQAs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QQBtAG8AcgB0AGkAcwBlALsDRABWAFwAbgAgACAAIAAgAEQARQBTAEMAUgBJAFAAVABJAE8ATgA6ACoALwAvACoAKgBQAHIAbwB2AGkAZABlAHMAIABlAHgAdABlAG4AZABlAGQAIABkAGEAdABhACAAdgBhAGwAaQBkAGEAdABpAG8AbgAgAG8AZgAgAGEAcgBnAHUAbQBlAG4AdABzACAAZgBvAHIAIABBAG0AbwByAHQAaQBzAGUAuwMoACkAKgAvAFwAbgBBAG0AbwByAHQAaQBzAGUAuwNEAFYAIAA9ACAATABBAE0AQgBEAEEAKABcAG4ALwAvACAAIABQAGEAcgBhAG0AZQB0AGUAcgAgAEQAZQBjAGwAYQByAGEAdABpAG8AbgBzAFwAbgAgACAAIAAgAFsAUAByAGkAbgBjAGkAcABhAGwAXQAsAFwAbgAgACAAIAAgAFsAQQBQAFIAXQAsAFwAbgAgACAAIAAgAFsAVABlAHIAbQBdACwAIABcAG4AIAAgACAAIABbAFMAdABhAHIAdABEAGEAdABlAF0ALABcAG4AIAAgACAAIABbAFQAaQBtAGUAbABpAG4AZQ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FAAcgBpAG4AYwBpAHAAYQBsACkAKQAsAFwAbgAgACAAIAAgACAAIAAgACAAIAAgACAAIAAgACAAIAAgACAAIAAgACAAIAAgACAAIAAgACAAIAAgAE8AUgAoACAASQBTAEUAUgBSAE8AUgAoACAAQQBQAFIAKQApACwAXABuACAAIAAgACAAIAAgACAAIAAgACAAIAAgACAAIAAgACAAIAAgACAAIAAgACAAIAAgACAAIAAgACAATwBSACgAIABJAFMARQBSAFIATwBSACgAIABUAGUAcgBtACkAKQAsAFwAbgAgACAAIAAgACAAIAAgACAAIAAgACAAIAAgACAAIAAgACAAIAAgACAAIAAgACAAIAAgACAAIAAgAE8AUgAoACAASQBTAEUAUgBSAE8AUgAoACAAUwB0AGEAcgB0AEQAYQB0AGUAKQApACwAXABuACAAIAAgACAAIAAgACAAIAAgACAAIAAgACAAIAAgACAAIAAgACAAIAAgACAAIAAgACAAIAAgACAATwBSACgAIABJAFMARQBSAFIATwBSACgAIABUAGkAbQBlAGwAaQBuAGU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QAHIAaQBuAGMAaQBwAGEAbAApACwAIABJAFMARQBSAFIATwBSACgAIABQAHIAaQBuAGMAaQBwAGEAbAApACkALAAgAFwAbgAgACAAIAAgACAAIAAgACAAIAAgACAAIAAgACAAIAAgACAAIAAgACAAIAAgACAAIAAgACAAIAAgAEYAQQBMAFMARQAsACAAXABuACAAIAAgACAAIAAgACAAIAAgACAAIAAgACAAIAAgACAAIAAgACAAIAAgACAAIAAgACAAIAAgACAATwBSACgAIABJAEYARQBSAFIATwBSACgAIABWAEEATABVAEUAKABQAHIAaQBuAGMAaQBwAGEAbAApACAAPAAgADEALAAgAFQAUgBVAEUAKQApACkALABcAG4AIAAgACAAIAAgACAAIAAgAEQAVgBBAHIAZwAyACwAIAAgACAAIAAgACAAIAAgACAASQBGACgAIABPAFIAKAAgAEkAUwBPAE0ASQBUAFQARQBEACgAIABBAFAAUgApACwAIABJAFMARQBSAFIATwBSACgAIABBAFAAUgApACkALAAgAFwAbgAgACAAIAAgACAAIAAgACAAIAAgACAAIAAgACAAIAAgACAAIAAgACAAIAAgACAAIAAgACAAIAAgAEYAQQBMAFMARQAsACAAXABuACAAIAAgACAAIAAgACAAIAAgACAAIAAgACAAIAAgACAAIAAgACAAIAAgACAAIAAgACAAIAAgACAATwBSACgAIABJAEYARQBSAFIATwBSACgAIABWAEEATABVAEUAKABBAFAAUgApACAAPAA9ACAAMAAsACAAVABSAFUARQApACkAKQAsAFwAbgAgACAAIAAgACAAIAAgACAARABWAEEAcgBnADMALAAgACAAIAAgACAAIAAgACAAIABJAEYAKAAgAE8AUgAoACAASQBTAE8ATQBJAFQAVABFAEQAKAAgAFQAZQByAG0AKQAsACAASQBTAEUAUgBSAE8AUgAoACAAVABlAHIAbQApACkALAAgAFwAbgAgACAAIAAgACAAIAAgACAAIAAgACAAIAAgACAAIAAgACAAIAAgACAAIAAgACAAIAAgACAAIAAgAEYAQQBMAFMARQAsACAAXABuACAAIAAgACAAIAAgACAAIAAgACAAIAAgACAAIAAgACAAIAAgACAAIAAgACAAIAAgACAAIAAgACAATwBSACgAIABJAEYARQBSAFIATwBSACgAIABWAEEATABVAEUAKABUAGUAcgBtACkAIAA8ACAAMQAsACAAVABSAFUARQApACkAKQAsAFwAbgAgACAAIAAgACAAIAAgACAARABWAEEAcgBnADQALAAgACAAIAAgACAAIAAgACAAIABJAEYAKAAgAE8AUgAoACAASQBTAE8ATQBJAFQAVABFAEQAKAAgAFMAdABhAHIAdABEAGEAdABlACkALAAgAEkAUwBFAFIAUgBPAFIAKAAgAFMAdABhAHIAdABEAGEAdABlACkAKQAsACAAXABuACAAIAAgACAAIAAgACAAIAAgACAAIAAgACAAIAAgACAAIAAgACAAIAAgACAAIAAgACAAIAAgACAARgBBAEwAUwBFACwAIABcAG4AIAAgACAAIAAgACAAIAAgACAAIAAgACAAIAAgACAAIAAgACAAIAAgACAAIAAgACAAIAAgACAAIABPAFIAKAAgAEkARgBFAFIAUgBPAFIAKAAgAFYAQQBMAFUARQAoAFMAdABhAHIAdABEAGEAdABlACkAIAA8ACAATQBJAE4AKAAgAFQAaQBtAGUAbABpAG4AZQApACwAIABUAFIAVQBFACkAKQApACwAXABuACAAIAAgACAAIAAgACAAIABEAFYAQQByAGcANQAsACAAIAAgACAAIAAgACAAIAAgAEkARgAoACAATwBSACgAIABJAFMATwBNAEkAVABUAEUARAAoACAAVABpAG0AZQBsAGkAbgBl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UAGkAbQBlAGwAaQBuAGUAKQAgADwAIAAxACwAIABUAFIAVQBFACkAKQApACwAXABuACAAIAAgACAAIAAgACAAIABEAFYAQQByAGcANgAsACAAIAAgACAAIAAgACAAIAAgAEkARgAoACAATwBSACgAIABJAFMATwBNAEkAVABUAEUARAAoACAAVABpAG0AZQBsAGkAbgBlACkALAAgAEkAUwBFAFIAUgBPAFIAKAAgAFQAaQBtAGUAbABpAG4AZQApACwAIABEAFYAQQByAGcANQApACwAIABcAG4AIAAgACAAIAAgACAAIAAgACAAIAAgACAAIAAgACAAIAAgACAAIAAgACAAIAAgACAAIAAgACAAIABGAEEATABTAEUALAAgAFwAbgAgACAAIAAgACAAIAAgACAAIAAgACAAIAAgACAAIAAgACAAIAAgACAAIAAgACAAIAAgACAAIAAgAEMATwBVAE4AVABBACgAVABpAG0AZQBsAGkAbgBlACkAIAA8ACAAMgApACwAXABuACAAIAAgACAAIAAgACAAIABEAFYAQQByAGcANwAsACAAIAAgACAAIAAgACAAIAAgAEkARgAoACAATwBSACgAIABJAFMATwBNAEkAVABUAEUARAAoACAAVABpAG0AZQBsAGkAbgBlACkALAAgAEkAUwBFAFIAUgBPAFIAKAAgAFQAaQBtAGUAbABpAG4AZQApACwAIABEAFYAQQByAGcANQAsACAARABWAEEAcgBnADY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wAwACAAKQAsAFwAbgAgACAAIAAgACAAIAAgACAARABWAEUAcgByAG8AcgBzACwAIAAgACAAIAAgACAAIABWAFMAVABBAEMASwAoACAARABWAEEAcgBnADEALAAgAEQAVgBBAHIAZwAyACwAIABEAFYAQQByAGcAMwAsACAARABWAEEAcgBnADQALAAgAEQAVgBBAHIAZwA1ACwAIABEAFYAQQByAGcANgAsACAARABWAEEAcgBnADc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FwAIgBBAG0AbwB1AG4AdAAgAGMAbwBuAHQAYQBpAG4AcwAgAGUAcgByAG8AcgBzACAAaQBuACAAYwBlAGwAbABzAC4AIABSAGUAcwBvAGwAdgBlACAAZQByAHIAbwByAHMAIABmAGkAcgBzAHQALgBcACIAOwBcAG4AIAAgACAAIAAgACAAIAAgACAAIAAgACAAIAAgACAAIAAgACAAIAAgACAAIAAgACAAXAAiAEEAUABSACAAYwBvAG4AdABhAGkAbgBzACAAZQByAHIAbwByAHMAIABpAG4AIABjAGUAbABsAHMALgAgAFIAZQBzAG8AbAB2AGUAIABlAHIAcgBvAHIAcwAgAGYAaQByAHMAdAAuAFwAIgA7AFwAbgAgACAAIAAgACAAIAAgACAAIAAgACAAIAAgACAAIAAgACAAIAAgACAAIAAgACAAIABcACIAVABlAHIAbQAgAGMAbwBuAHQAYQBpAG4AcwAgAGUAcgByAG8AcgBzACAAaQBuACAAYwBlAGwAbABzAC4AIABSAGUAcwBvAGwAdgBlACAAZQByAHIAbwByAHMAIABmAGkAcgBzAHQALgBcACIAOwBcAG4AIAAgACAAIAAgACAAIAAgACAAIAAgACAAIAAgACAAIAAgACAAIAAgACAAIAAgACAAXAAiAFMAdABhAHIAdABEAGEAdABlACAAYwBvAG4AdABhAGkAbgBzACAAZQByAHIAbwByAHMAIABpAG4AIABjAGUAbABsAHMALgAgAFIAZQBzAG8AbAB2AGUAIABlAHIAcgBvAHIAcwAgAGYAaQByAHMAdAAuAFwAIgA7AFwAbg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FwAIgBBAG0AbwB1AG4AdAAgAG0AdQBzAHQAIABiAGUAIABnAHIAZQBhAHQAZQByACAAdABoAGEAbgAgADAAXAAiADsAXABuACAAIAAgACAAIAAgACAAIAAgACAAIAAgACAAIAAgACAAIAAgACAAIAAgACAAIAAgAFwAIgBBAFAAUgAgAG0AdQBzAHQAIABiAGUAIABhACAAcABlAHIAYwBlAG4AdABhAGcAZQAgAGcAcgBlAGEAdABlAHIAIAB0AGgAYQBuACAAMABcACIAOwBcAG4AIAAgACAAIAAgACAAIAAgACAAIAAgACAAIAAgACAAIAAgACAAIAAgACAAIAAgACAAXAAiAFQAZQByAG0AIABtAHUAcwB0ACAAYgBlACAAdABoAGUAIABuAHUAbQBiAGUAcgAgAG8AZgAgAHQAaQBtAGUAbABpAG4AZQAgAHAAZQByAGkAbwBkAHMAIAB1AG4AdABpAGwAIAB0AGgAZQAgAGQAZQBiAHQAIABpAHMAIABzAGEAdABpAHMAZgBpAGUAZAAuAFwAIgA7AFwAbgAgACAAIAAgACAAIAAgACAAIAAgACAAIAAgACAAIAAgACAAIAAgACAAIAAgACAAIABcACIAUwB0AGEAcgB0AEQAYQB0AGUAIABtAHUAcwB0ACAAYgBlACAAYQAgAHYAYQBsAGkAZAAgAGQAYQB0AGUALgBcACIAOwBcAG4AIAAgACAAIAAgACAAIAAgACAAIAAgACAAIAAgACAAIAAgACAAIAAgACAAIAAgACAAXAAiAFQAaQBtAGUAbABpAG4AZQAgAG0AdQBzAHQAIABhACAAcgBvAHcAIABvAGYAIABwAGUAcgBpAG8AZAAgAHMAdABhAHIAdAAgAGQAYQB0AGUAcwAgAHcAaQB0AGgAIABlAHYAZQByAHkAIABwAGUAcgBpAG8AZAAgAHMAcABhAG4AbgBpAG4AZwAgAGEAIABtAG8AbgB0AGgALAAgAHEAdQBhAHIAdABlAHIAIABvAHIAIAB5AGUAYQByAC4AXAAiADsAXABuACAAIAAgACAAIAAgACAAIAAgACAAIAAgACAAIAAgACAAIAAgACAAIAAgACAAIAAgAFwAIgBUAGkAbQBlAGwAaQBuAGUAIABtAHUAcwB0ACAAYQAgAHIAbwB3ACAAbwBmACAAcABlAHIAaQBvAGQAIABzAHQAYQByAHQAIABkAGEAdABlAHMAIAB3AGkAdABoACAAbQBvAHIAZQAgAHQAaABhAG4AIAAxACAAZQBuAHQAcgB5AC4AXAAiADsAXABuACAAIAAgACAAIAAgACAAIAAgACAAIAAgACAAIAAgACAAIAAgACAAIAAgACAAIAAgAFwAIgBUAGkAbQBlAGwAaQBuAGUAIABtAHUAcwB0ACAAYQAgAHIAbwB3ACAAbwBmACAAcABlAHIAaQBvAGQAIABzAHQAYQByAHQAIABkAGEAdABlAHMAIABzAHAAYQBuAG4AaQBuAGcAIABuAG8AIABsAGUAcwBzACAAdABoAGEAbgAgAGEAIABtAG8AbgB0AGg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MAbwByAGsAcwBjAHIAZQB3ALsDRABWAFwAbgAgACAAIAAgAEQARQBTAEMAUgBJAFAAVABJAE8ATgA6ACoALwAvACoAKgBQAHIAbwB2AGkAZABlAHMAIABlAHgAdABlAG4AZABlAGQAIABkAGEAdABhACAAdgBhAGwAaQBkAGEAdABpAG8AbgAgAG8AZgAgAGEAcgBnAHUAbQBlAG4AdABzACAAZgBvAHIAIABDAG8AcgBrAHMAYwByAGUAdwC7Ay4AKgAvAFwAbgBDAG8AcgBrAHMAYwByAGUAdwC7A0QAVgA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PAHAAZQBuAGkAbgBnACkAKQAsAFwAbgAgACAAIAAgACAAIAAgACAAIAAgACAAIAAgACAAIAAgACAAIAAgACAAIAAgACAAIAAgACAAIAAgAE8AUgAoACAASQBTAEUAUgBSAE8AUgAoACAARgBsAG8AdwAxACkAKQAsAFwAbgAgACAAIAAgACAAIAAgACAAIAAgACAAIAAgACAAIAAgACAAIAAgACAAIAAgACAAIAAgACAAIAAgAE8AUgAoACAASQBTAEUAUgBSAE8AUgAoACAARgBsAG8AdwAyACkAKQAsAFwAbgAgACAAIAAgACAAIAAgACAAIAAgACAAIAAgACAAIAAgACAAIAAgACAAIAAgACAAIAAgACAAIAAgAE8AUgAoACAASQBTAEUAUgBSAE8AUgAoACAARgBsAG8AdwAzACkAKQAsAFwAbgAgACAAIAAgACAAIAAgACAAIAAgACAAIAAgACAAIAAgACAAIAAgACAAIAAgACAAIAAgACAAIAAgAE8AUgAoACAASQBTAEUAUgBSAE8AUgAoACAARgBsAG8AdwA0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TwBwAGUAbgBpAG4AZwApACwAIABJAFMARQBSAFIATwBSACgAIABPAHAAZQBuAGkAbgBnACkAKQAsACAAXABuACAAIAAgACAAIAAgACAAIAAgACAAIAAgACAAIAAgACAAIAAgACAAIAAgACAAIAAgACAAIAAgACAARgBBAEwAUwBFACwAIABcAG4AIAAgACAAIAAgACAAIAAgACAAIAAgACAAIAAgACAAIAAgACAAIAAgACAAIAAgACAAIAAgACAAIABOAE8AVAAoACAASQBTAE4AVQBNAEIARQBSACgAIABPAHAAZQBuAGkAbgBnACAAKQApACkALABcAG4AIAAgACAAIAAgACAAIAAgAEQAVgBBAHIAZwAyACwAIAAgACAAIAAgACAAIAAgACAASQBGACgAIABPAFIAKAAgAEkAUwBPAE0ASQBUAFQARQBEACgAIABGAGwAbwB3ADEAKQAsACAASQBTAEUAUgBSAE8AUgAoACAARgBsAG8AdwAxACkAKQAsACAAXABuACAAIAAgACAAIAAgACAAIAAgACAAIAAgACAAIAAgACAAIAAgACAAIAAgACAAIAAgACAAIAAgACAARgBBAEwAUwBFACwAIABcAG4AIAAgACAAIAAgACAAIAAgACAAIAAgACAAIAAgACAAIAAgACAAIAAgACAAIAAgACAAIAAgACAAIABOAE8AVAAoACAAQQBOAEQAKABJAFMATgBVAE0AQgBFAFIAKAAgAEYAbABvAHcAMQAgACkAKQApACkALABcAG4AIAAgACAAIAAgACAAIAAgAEQAVgBBAHIAZwAzACwAIAAgACAAIAAgACAAIAAgACAASQBGACgAIABPAFIAKAAgAEkAUwBPAE0ASQBUAFQARQBEACgAIABGAGwAbwB3ADIAKQAsACAASQBTAEUAUgBSAE8AUgAoACAARgBsAG8AdwAyACkAKQAsACAAXABuACAAIAAgACAAIAAgACAAIAAgACAAIAAgACAAIAAgACAAIAAgACAAIAAgACAAIAAgACAAIAAgACAARgBBAEwAUwBFACwAIABcAG4AIAAgACAAIAAgACAAIAAgACAAIAAgACAAIAAgACAAIAAgACAAIAAgACAAIAAgACAAIAAgACAAIABOAE8AVAAoACAAQQBOAEQAKABJAFMATgBVAE0AQgBFAFIAKAAgAEYAbABvAHcAMgAgACkAKQApACkALABcAG4AIAAgACAAIAAgACAAIAAgAEQAVgBBAHIAZwA0ACwAIAAgACAAIAAgACAAIAAgACAASQBGACgAIABPAFIAKAAgAEkAUwBPAE0ASQBUAFQARQBEACgAIABGAGwAbwB3ADMAKQAsACAASQBTAEUAUgBSAE8AUgAoACAARgBsAG8AdwAzACkAKQAsACAAXABuACAAIAAgACAAIAAgACAAIAAgACAAIAAgACAAIAAgACAAIAAgACAAIAAgACAAIAAgACAAIAAgACAARgBBAEwAUwBFACwAIABcAG4AIAAgACAAIAAgACAAIAAgACAAIAAgACAAIAAgACAAIAAgACAAIAAgACAAIAAgACAAIAAgACAAIABOAE8AVAAoACAAQQBOAEQAKABJAFMATgBVAE0AQgBFAFIAKAAgAEYAbABvAHcAMwAgACkAKQApACkALABcAG4AIAAgACAAIAAgACAAIAAgAEQAVgBBAHIAZwA1ACwAIAAgACAAIAAgACAAIAAgACAASQBGACgAIABPAFIAKAAgAEkAUwBPAE0ASQBUAFQARQBEACgAIABGAGwAbwB3ADQAKQAsACAASQBTAEUAUgBSAE8AUgAoACAARgBsAG8AdwA0ACkAKQAsACAAXABuACAAIAAgACAAIAAgACAAIAAgACAAIAAgACAAIAAgACAAIAAgACAAIAAgACAAIAAgACAAIAAgACAARgBBAEwAUwBFACwAIABcAG4AIAAgACAAIAAgACAAIAAgACAAIAAgACAAIAAgACAAIAAgACAAIAAgACAAIAAgACAAIAAgACAAIABOAE8AVAAoACAAQQBOAEQAKABJAFMATgBVAE0AQgBFAFIAKAAgAEYAbABvAHcANAAgACkAKQApACkALABcAG4AIAAgACAAIAAgACAAIAAgAEQAVgBFAHIAcgBvAHIAcwAsACAAIAAgACAAIAAgACAAVgBTAFQAQQBDAEsAKAAgAEQAVgBBAHIAZwAxACwAIABEAFYAQQByAGcAMgAsACAARABWAEEAcgBnADMALAAgAEQAVgBBAHIAZwA0ACwAIABEAFYAQQByAGcANQ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CIATwBwAGUAbgBpAG4AZwAgAGMAbwBuAHQAYQBpAG4AcwAgAGUAcgByAG8AcgBzACAAaQBuACAAYwBlAGwAbABzAC4AIABSAGUAcwBvAGwAdgBlACAAZQByAHIAbwByAHMAIABmAGkAcgBzAHQALgBcACIAOwBcAG4AIAAgACAAIAAgACAAIAAgACAAIAAgACAAIAAgACAAIAAgACAAIAAgACAAIAAgACAAIABcACIARgBsAG8AdwAxACAAYwBvAG4AdABhAGkAbgBzACAAZQByAHIAbwByAHMAIABpAG4AIABjAGUAbABsAHMALgAgAFIAZQBzAG8AbAB2AGUAIABlAHIAcgBvAHIAcwAgAGYAaQByAHMAdAAuAFwAIgA7AFwAbgAgACAAIAAgACAAIAAgACAAIAAgACAAIAAgACAAIAAgACAAIAAgACAAIAAgACAAIAAgAFwAIgBGAGwAbwB3ADIAIABjAG8AbgB0AGEAaQBuAHMAIABlAHIAcgBvAHIAcwAgAGkAbgAgAGMAZQBsAGwAcwAuACAAUgBlAHMAbwBsAHYAZQAgAGUAcgByAG8AcgBzACAAZgBpAHIAcwB0AC4AXAAiADsAXABuACAAIAAgACAAIAAgACAAIAAgACAAIAAgACAAIAAgACAAIAAgACAAIAAgACAAIAAgACAAXAAiAEYAbABvAHcAMwAgAGMAbwBuAHQAYQBpAG4AcwAgAGUAcgByAG8AcgBzACAAaQBuACAAYwBlAGwAbABzAC4AIABSAGUAcwBvAGwAdgBlACAAZQByAHIAbwByAHMAIABmAGkAcgBzAHQALgBcACIAOwBcAG4AIAAgACAAIAAgACAAIAAgACAAIAAgACAAIAAgACAAIAAgACAAIAAgACAAIAAgACAAIABcACIARgBsAG8AdwA0ACAAYwBvAG4AdABhAGkAbgBzACAAZQByAHIAbwByAHMAIABpAG4AIABjAGUAbABsAHMALgAgAFIAZQBzAG8AbAB2AGUAIABlAHIAcgBvAHIAcwAgAGYAaQByAHMAdAAuAFwAIgA7AFwAbgAgACAAIAAgACAAIAAgACAAIAAgACAAIAAgACAAIAAgACAAIAAgACAAIAAgACAAIAAgAFwAbgAgACAAIAAgACAAIAAgACAAIAAgACAAIAAgACAAIAAgACAAIAAgACAAIAAgACAAIAAgAFwAIgBTAGUAdAAgAE8AcABlAG4AaQBuAGcAIABtAHUAcwB0ACAAdABvACAAYwBvAG4AdABhAGkAbgAgAG8AbgBsAHkAIABuAHUAbQBlAHIAaQBjACAAdgBhAGwAdQBlAHMALgBcACIAOwBcAG4AIAAgACAAIAAgACAAIAAgACAAIAAgACAAIAAgACAAIAAgACAAIAAgACAAIAAgACAAIABcACIAUwBlAHQAIABGAGwAbwB3ADEAIAB0AG8AIABjAG8AbgB0AGEAaQBuACAAbwBuAGwAeQAgAG4AdQBtAGUAcgBpAGMAIAB2AGEAbAB1AGUAcwAuAFwAIgA7AFwAbgAgACAAIAAgACAAIAAgACAAIAAgACAAIAAgACAAIAAgACAAIAAgACAAIAAgACAAIAAgAFwAIgBTAGUAdAAgAEYAbABvAHcAMgAgAHQAbwAgAGMAbwBuAHQAYQBpAG4AIABvAG4AbAB5ACAAbgB1AG0AZQByAGkAYwAgAHYAYQBsAHUAZQBzAC4AXAAiADsAXABuACAAIAAgACAAIAAgACAAIAAgACAAIAAgACAAIAAgACAAIAAgACAAIAAgACAAIAAgACAAXAAiAFMAZQB0ACAARgBsAG8AdwAzACAAdABvACAAYwBvAG4AdABhAGkAbgAgAG8AbgBsAHkAIABuAHUAbQBlAHIAaQBjACAAdgBhAGwAdQBlAHMALgBcACIAOwBcAG4AIAAgACAAIAAgACAAIAAgACAAIAAgACAAIAAgACAAIAAgACAAIAAgACAAIAAgACAAIABcACIAUwBlAHQAIABGAGwAbwB3ADQAIAB0AG8AIABjAG8AbgB0AGEAaQBuACAAbwBuAGwAeQAgAG4AdQBtAGUAcgBpAGMAIAB2AGEAbAB1AGUAcw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QAZQBwAHIAZQBjAGkAYQB0AGUAuwNEAFYAXABuACAAIAAgACAARABFAFMAQwBSAEkAUABUAEkATwBOADoAKgAvAC8AKgAqAFAAcgBvAHYAaQBkAGUAcwAgAGUAeAB0AGUAbgBkAGUAZAAgAGQAYQB0AGEAIAB2AGEAbABpAGQAYQB0AGkAbwBuACAAbwBmACAAYQByAGcAdQBtAGUAbgB0AHMAIABmAG8AcgAgAEQAZQBwAHIAZQBjAGkAYQB0AGUAuwMqAC8AXABuAEQAZQBwAHIAZQBjAGkAYQB0AGUAuwNEAFYA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IABcAG4AIAAgACAAIABbAEYAYQBjAHQAbwByAHM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JAG4AaQB0AGkAYQBsAFYAYQBsAHUAZQBzACkAKQAsAFwAbgAgACAAIAAgACAAIAAgACAAIAAgACAAIAAgACAAIAAgACAAIAAgACAAIAAgACAAIAAgACAAIAAgAE8AUgAoACAASQBTAEUAUgBSAE8AUgAoACAASQBuAFMAZQByAHYAaQBjAGUARABhAHQAZQBzACkAKQAsAFwAbgAgACAAIAAgACAAIAAgACAAIAAgACAAIAAgACAAIAAgACAAIAAgACAAIAAgACAAIAAgACAAIAAgAE8AUgAoACAASQBTAEUAUgBSAE8AUgAoACAATABpAGYAZQBJAG4AWQBlAGEAcgBzACkAKQAsAFwAbgAgACAAIAAgACAAIAAgACAAIAAgACAAIAAgACAAIAAgACAAIAAgACAAIAAgACAAIAAgACAAIAAgAE8AUgAoACAASQBTAEUAUgBSAE8AUgAoACAAVABpAG0AZQBsAGkAbgBlACkAKQAsAFwAbgAgACAAIAAgACAAIAAgACAAIAAgACAAIAAgACAAIAAgACAAIAAgACAAIAAgACAAIAAgACAAIAAgAE8AUgAoACAASQBTAEUAUgBSAE8AUgAoACAAUwBhAGwAdgBhAGcAZQBWAGEAbAB1AGUAcwApACkALABcAG4AIAAgACAAIAAgACAAIAAgACAAIAAgACAAIAAgACAAIAAgACAAIAAgACAAIAAgACAAIAAgACAAIABPAFIAKAAgAEkAUwBFAFIAUgBPAFIAKAAgAEQAaQBzAHAAbwBzAGEAbABEAGEAdABlAHMAKQApACwAXABuACAAIAAgACAAIAAgACAAIAAgACAAIAAgACAAIAAgACAAIAAgACAAIAAgACAAIAAgACAAIAAgACAATwBSACgAIABJAFMARQBSAFIATwBSACgAIABEAGkAcwBwAG8AcwBhAGwAQwBvAHMAdABzACkAKQAsAFwAbgAgACAAIAAgACAAIAAgACAAIAAgACAAIAAgACAAIAAgACAAIAAgACAAIAAgACAAIAAgACAAIAAgAE8AUgAoACAASQBTAEUAUgBSAE8AUgAoACAATQBlAHQAaABvAGQAcwApACkALABcAG4AIAAgACAAIAAgACAAIAAgACAAIAAgACAAIAAgACAAIAAgACAAIAAgACAAIAAgACAAIAAgACAAIABPAFIAKAAgAEkAUwBFAFIAUgBPAFIAKAAgAEYAYQBjAHQAbwByAHM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FAFIAUgBPAFIAKABJAG4AaQB0AGkAYQBsAFYAYQBsAHUAZQBzACkAKQAsACAAXABuACAAIAAgACAAIAAgACAAIAAgACAAIAAgACAAIAAgACAAIAAgACAAIAAgACAAIAAgACAAIAAgACAARgBBAEwAUwBFACwAIABcAG4AIAAgACAAIAAgACAAIAAgACAAIAAgACAAIAAgACAAIAAgACAAIAAgACAAIAAgACAAIAAgACAAIABPAFIAKAAgAEkARgBFAFIAUgBPAFIAKAAgAFYAQQBMAFUARQAoAEkAbgBpAHQAaQBhAGwAVgBhAGwAdQBlAHMAKQAgADwAIAAxACwAIABUAFIAVQBFACkAKQApACwAXABuACAAIAAgACAAIAAgACAAIABEAFYAQQByAGcAMgAsACAAIAAgACAAIAAgACAAIAAgAEkARgAoACAATwBSACgAIABJAFMARQBSAFIATwBSACgAIABJAG4AUwBlAHIAdgBpAGMAZQBEAGEAdABlAHM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EkAbgBTAGUAcgB2AGkAYwBlAEQAYQB0AGUAcwApACAAPAAgAE0ASQBOACgAIABUAGkAbQBlAGwAaQBuAGUAKQAsACAAVABSAFUARQApACkAKQAsAFwAbgAgACAAIAAgACAAIAAgACAARABWAEEAcgBnADMALAAgACAAIAAgACAAIAAgACAAIABJAEYAKAAgAE8AUgAoACAASQBTAEUAUgBSAE8AUgAoACAATABpAGYAZQBJAG4AWQBlAGEAcgBzACkAKQAsACAAXABuACAAIAAgACAAIAAgACAAIAAgACAAIAAgACAAIAAgACAAIAAgACAAIAAgACAAIAAgACAAIAAgACAARgBBAEwAUwBFACwAIABcAG4AIAAgACAAIAAgACAAIAAgACAAIAAgACAAIAAgACAAIAAgACAAIAAgACAAIAAgACAAIAAgACAAIABPAFIAKAAgAEkARgBFAFIAUgBPAFIAKAAgAFYAQQBMAFUARQAoAEwAaQBmAGUASQBuAFkAZQBhAHIAcwApACAAPAAgADEALAAgAFQAUgBVAEUAKQApACkALABcAG4AIAAgACAAIAAgACAAIAAgAEQAVgBBAHIAZwA0ACwAIAAgACAAIAAgACAAIAAgACAASQBGACgAIABPAFIAKAAgAEkAUwBFAFIAUgBPAFIAKAAgAFQAaQBtAGUAbABpAG4AZQApACkALAAgAFwAbgAgACAAIAAgACAAIAAgACAAIAAgACAAIAAgACAAIAAgACAAIAAgACAAIAAgACAAIAAgACAAIAAgAEYAQQBMAFMARQAsACAAXABuACAAIAAgACAAIAAgACAAIAAgACAAIAAgACAAIAAgACAAIAAgACAAIAAgACAAIAAgACAAIAAgACAAQwBPAFUATgBUAEEAKAAgAFQAaQBtAGUAbABpAG4AZQApACAAPAAgADIAKQAsAFwAbgAgACAAIAAgACAAIAAgACAARABWAEEAcgBnADQAYgAsACAAIAAgACAAIAAgACAAIABJAEYAKAAgAE8AUgAoACAATwBSACgARQByAHIAbwByAHMASQBuAEEAcgBnAHMAKQAsACAARABWAEEAcgBnADQ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gA4ACAAKQAsAFwAbgAgACAAIAAgACAAIAAgACAARABWAEEAcgBnADUALAAgACAAIAAgACAAIAAgACAAIABJAEYAKAAgAE8AUgAoACAASQBTAE8ATQBJAFQAVABFAEQAKAAgAFMAYQBsAHYAYQBnAGUAVgBhAGwAdQBlAHMAKQAsACAATwBSACgASQBTAEUAUgBSAE8AUgAoAFMAYQBsAHYAYQBnAGUAVgBhAGwAdQBlAHMAKQApACkALAAgAFwAbgAgACAAIAAgACAAIAAgACAAIAAgACAAIAAgACAAIAAgACAAIAAgACAAIAAgACAAIAAgACAAIAAgAEYAQQBMAFMARQAsACAAXABuACAAIAAgACAAIAAgACAAIAAgACAAIAAgACAAIAAgACAAIAAgACAAIAAgACAAIAAgACAAIAAgACAATwBSACgAIABJAEYARQBSAFIATwBSACgAIABWAEEATABVAEUAKABTAGEAbAB2AGEAZwBlAFYAYQBsAHUAZQBzACkAIAA8ACAAMAAsACAAVABSAFUARQApACkAKQAsAFwAbgAgACAAIAAgACAAIAAgACAARABWAEEAcgBnADYALAAgACAAIAAgACAAIAAgACAAIABJAEYAKAAgAE8AUgAoACAASQBTAE8ATQBJAFQAVABFAEQAKAAgAEQAaQBzAHAAbwBzAGEAbABEAGEAdABlAHMAKQAsACAATwBSACgARQByAHIAbwByAHMASQBuAEEAcgBnAHMAKQApACwAXABuACAAIAAgACAAIAAgACAAIAAgACAAIAAgACAAIAAgACAAIAAgACAAIAAgACAAIAAgACAAIAAgACAARgBBAEwAUwBFACwAIABcAG4AIAAgACAAIAAgACAAIAAgACAAIAAgACAAIAAgACAAIAAgACAAIAAgACAAIAAgACAAIAAgACAAIABPAFIAKAAgAEQAaQBzAHAAbwBzAGEAbABEAGEAdABlAHMAIAA8ACAASQBuAFMAZQByAHYAaQBjAGUARABhAHQAZQBzACkAKQAsAFwAbgAgACAAIAAgACAAIAAgACAAIAAgACAAIAAgACAAIAAgACAAIAAgACAAIAAgACAAIAAgACAAIAAgAC8ALwBPAFIAKAAgAEkARgBFAFIAUgBPAFIAKAAgAFYAQQBMAFUARQAoAEQAaQBzAHAAbwBzAGEAbABEAGEAdABlAHMAKQAgADwAIABJAG4AUwBlAHIAdgBpAGMAZQBEAGEAdABlAHMALAAgAFQAUgBVAEUAKQApACkALABcAG4AIAAgACAAIAAgACAAIAAgAEQAVgBBAHIAZwA3ACwAIAAgACAAIAAgACAAIAAgACAASQBGACgAIABPAFIAKAAgAEkAUwBPAE0ASQBUAFQARQBEACgAIABEAGkAcwBwAG8AcwBhAGwAQwBvAHMAdABzACkALAAgAE8AUgAoAEkAUwBFAFIAUgBPAFIAKABEAGkAcwBwAG8AcwBhAGwAQwBvAHMAdABzACkAKQApACwAIABcAG4AIAAgACAAIAAgACAAIAAgACAAIAAgACAAIAAgACAAIAAgACAAIAAgACAAIAAgACAAIAAgACAAIABGAEEATABTAEUALAAgAFwAbgAgACAAIAAgACAAIAAgACAAIAAgACAAIAAgACAAIAAgACAAIAAgACAAIAAgACAAIAAgACAAIAAgAE8AUgAoACAASQBGAEUAUgBSAE8AUgAoACAAVgBBAEwAVQBFACgARABpAHMAcABvAHMAYQBsAEMAbwBzAHQAcwApACAAPAAgADAALAAgAFQAUgBVAEUAKQApACkALABcAG4AIAAgACAAIAAgACAAIAAgAEQAVgBBAHIAZwA4ACwAIAAgACAAIAAgACAAIAAgACAASQBGACgAIABPAFIAKAAgAEkAUwBPAE0ASQBUAFQARQBEACgAIABNAGUAdABoAG8AZABzACkALAAgACAASQBTAEUAUgBSAE8AUgAoACAATQBlAHQAaABvAGQAcwApACkALAAgAFwAbgAgACAAIAAgACAAIAAgACAAIAAgACAAIAAgACAAIAAgACAAIAAgACAAIAAgACAAIAAgACAAIAAgAEYAQQBMAFMARQAsACAAXABuACAAIAAgACAAIAAgACAAIAAgACAAIAAgACAAIAAgACAAIAAgACAAIAAgACAAIAAgACAAIAAgACAATwBSACgASQBTAEUAUgBSAE8AUgAoACAAUwBFAEEAUgBDAEgAKAAgAE0AZQB0AGgAbwBkAHMALAAgAFwAIgBTAEwATgAsAFMAWQBEACwARABCACwARABEAEIALABWAEQAQgAsAEQAVgAsAFAAQwBcACIAKQApACkAKQAsAFwAbgAgACAAIAAgACAAIAAgACAARABWAEEAcgBnADkALAAgACAAIAAgACAAIAAgACAAIABJAEYAKAAgAE8AUgAoACAASQBTAE8ATQBJAFQAVABFAEQAKAAgAEYAYQBjAHQAbwByAHMAKQAsACAAIABJAFMARQBSAFIATwBSACgAIABGAGEAYwB0AG8AcgBzACkAKQAsACAAXABuACAAIAAgACAAIAAgACAAIAAgACAAIAAgACAAIAAgACAAIAAgACAAIAAgACAAIAAgACAAIAAgACAARgBBAEwAUwBFACwAIABcAG4AIAAgACAAIAAgACAAIAAgACAAIAAgACAAIAAgACAAIAAgACAAIAAgACAAIAAgACAAIAAgACAAIABPAFIAKABJAEYARQBSAFIATwBSACgAIABWAEEATABVAEUAKAAgAEYAYQBjAHQAbwByAHMAKQAgADwAIAAwACwAIABUAFIAVQBFACAAKQApACkALABcAG4AIAAgACAAIAAgACAAIAAgAEQAVgBFAHIAcgBvAHIAcwAsACAAIAAgACAAIAAgACAAVgBTAFQAQQBDAEsAKAAgAEQAVgBBAHIAZwAxACwAIABEAFYAQQByAGcAMgAsACAARABWAEEAcgBnADMALAAgAEQAVgBBAHIAZwA0ACwAIABEAFYAQQByAGcANABiACwAIABEAFYAQQByAGcANQAsACAARABWAEEAcgBnADYALAAgAEQAVgBBAHIAZwA3ACwAIABEAFYAQQByAGcAOAAsACAARABWAEEAcgBnADkAI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IABcACIASQBuAGkAdABpAGEAbABWAGEAbAB1AGUAcwAgAGMAbwBuAHQAYQBpAG4AcwAgAGUAcgByAG8AcgBzACAAaQBuACAAYwBlAGwAbABzAC4AIABSAGUAcwBvAGwAdgBlACAAZQByAHIAbwByAHMAIABmAGkAcgBzAHQALgBcACIAOwBcAG4AIAAgACAAIAAgACAAIAAgACAAIAAgACAAIAAgACAAIAAgACAAIAAgACAAIAAgACAAIABcACIASQBuAFMAZQByAHYAaQBjAGUARABhAHQAZQBzACAAYwBvAG4AdABhAGkAbgBzACAAZQByAHIAbwByAHMAIABpAG4AIABjAGUAbABsAHMALgAgAFIAZQBzAG8AbAB2AGUAIABlAHIAcgBvAHIAcwAgAGYAaQByAHMAdAAuAFwAIgA7AFwAbgAgACAAIAAgACAAIAAgACAAIAAgACAAIAAgACAAIAAgACAAIAAgACAAIAAgACAAIAAgAFwAIgBMAGkAZgBlAEkAbgBZAGUAYQByAHMAIABjAG8AbgB0AGEAaQBuAHMAIABlAHIAcgBvAHIAcwAgAGkAbgAgAGMAZQBsAGwAcwAuACAAUgBlAHMAbwBsAHYAZQAgAGUAcgByAG8AcgBzACAAZgBpAHIAcwB0AC4AXAAiADsAXABuACA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IABcACIAUwBhAGwAdgBhAGcAZQBWAGEAbAB1AGUAcwAgAGMAbwBuAHQAYQBpAG4AcwAgAGUAcgByAG8AcgBzACAAaQBuACAAYwBlAGwAbABzAC4AIABSAGUAcwBvAGwAdgBlACAAZQByAHIAbwByAHMAIABmAGkAcgBzAHQALgBcACIAOwBcAG4AIAAgACAAIAAgACAAIAAgACAAIAAgACAAIAAgACAAIAAgACAAIAAgACAAIAAgACAAIABcACIARABpAHMAcABvAHMAYQBsAEQAYQB0AGUAcwAgAGMAbwBuAHQAYQBpAG4AcwAgAGUAcgByAG8AcgBzACAAaQBuACAAYwBlAGwAbABzAC4AIABSAGUAcwBvAGwAdgBlACAAZQByAHIAbwByAHMAIABmAGkAcgBzAHQALgBcACIAOwBcAG4AIAAgACAAIAAgACAAIAAgACAAIAAgACAAIAAgACAAIAAgACAAIAAgACAAIAAgACAAIABcACIARABpAHMAcABvAHMAYQBsAEMAbwBzAHQAcwAgAGMAbwBuAHQAYQBpAG4AcwAgAGUAcgByAG8AcgBzACAAaQBuACAAYwBlAGwAbABzAC4AIABSAGUAcwBvAGwAdgBlACAAZQByAHIAbwByAHMAIABmAGkAcgBzAHQALgBcACIAOwBcAG4AIAAgACAAIAAgACAAIAAgACAAIAAgACAAIAAgACAAIAAgACAAIAAgACAAIAAgACAAIABcACIATQBlAHQAaABvAGQAcwAgAGMAbwBuAHQAYQBpAG4AcwAgAGUAcgByAG8AcgBzACAAaQBuACAAYwBlAGwAbABzAC4AIABSAGUAcwBvAGwAdgBlACAAZQByAHIAbwByAHMAIABmAGkAcgBzAHQALgBcACIAOwBcAG4AIAAgACAAIAAgACAAIAAgACAAIAAgACAAIAAgACAAIAAgACAAIAAgACAAIAAgACAAIABcACIARgBhAGMAdABvAHIAcw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AgAFwAIgBJAG4AaQB0AGkAYQBsAFYAYQBsAHUAZQBzACAAbQB1AHMAdAAgAGIAZQAgAGEAbgAgAGEAbQBvAHUAbgB0ACAAZwByAGUAYQB0AGUAcgAgAHQAaABhAG4AIAAwAFwAIgA7AFwAbgAgACAAIAAgACAAIAAgACAAIAAgACAAIAAgACAAIAAgACAAIAAgACAAIAAgACAAIAAgAFwAIgBJAG4AUwBlAHIAdgBpAGMAZQBEAGEAdABlAHMAIABtAHUAcwB0ACAAYgBlACAAdgBhAGwAaQBkACAAZABhAHQAZQBzAFwAIgA7AFwAbgAgACAAIAAgACAAIAAgACAAIAAgACAAIAAgACAAIAAgACAAIAAgACAAIAAgACAAIAAgAFwAIgBMAGkAZgBlAEkAbgBZAGUAYQByAHMAIABtAHUAcwB0ACAAYgBlACAAYQAgAG4AdQBtAGIAZQByACAAZwByAGUAYQB0AGUAcgAgAHQAaABhAG4AIAAwAFwAIgA7AFwAbgAgACAAIAAgACAAIAAgACAAIAAgACAAIAAgACAAIAAgACAAIAAgACAAIAAgACAAIAAgAFwAIgBUAGkAbQBlAGwAaQBuAGUAIABtAHUAcwB0ACAAYgBlACAAYQAgAHIAbwB3ACAAbwBmACAAcABlAHIAaQBvAGQAIABzAHQAYQByAHQAIABkAGEAdABlAHMAIAB3AGkAdABoACAAZQB2AGUAcgB5ACAAcABlAHIAaQBvAGQAIABzAHAAYQBuAG4AaQBuAGcAIABvAG4AZQAgAG0AbwBuAHQAaAAsACAAcQB1AGEAcgB0AGUAcgAgAG8AcgAgAHkAZQBhAHIALgBcACIAOwBcAG4AIAAgACAAIAAgACAAIAAgACAAIAAgACAAIAAgACAAIAAgACAAIAAgACAAIAAgACAAIABcACIARQBhAGMAaAAgAHAAZQByAGkAbwBkACAAaQBuACAAdABoAGUAIAB0AGkAbQBlAGwAaQBuAGUAIABtAHUAcwB0ACAAcwBwAGEAbgAgAG8AbgBlACAAbQBvAG4AdABoACwAIABxAHUAYQByAHQAZQByACAAbwByACAAeQBlAGEAcgAuAFwAIgA7AFwAbgAgACAAIAAgACAAIAAgACAAIAAgACAAIAAgACAAIAAgACAAIAAgACAAIAAgACAAIAAgAFwAIgBTAGEAbAB2AGEAZwBlAFYAYQBsAHUAZQBzACAAbQB1AHMAdAAgAGIAZQAgAGEAbgAgAGEAbQBvAHUAbgB0ACAAbgBvAHQAIABsAGUAcwBzACAAdABoAGEAbgAgADAAIABvAHIAIABvAG0AaQB0AHQAZQBkAFwAIgA7AFwAbgAgACAAIAAgACAAIAAgACAAIAAgACAAIAAgACAAIAAgACAAIAAgACAAIAAgACAAIAAgAFwAIgBEAGkAcwBwAG8AcwBhAGwARABhAHQAZQBzACAAbQB1AHMAdAAgAGIAZQAgAGEAIABkAGEAdABlACAAZwByAGUAYQB0AGUAcgAgAHQAaABhAG4AIABJAG4AUwBlAHIAdgBpAGMAZQBEAGEAdABlAHMAIABvAHIAIABvAG0AaQB0AHQAZQBkAFwAIgA7AFwAbgAgACAAIAAgACAAIAAgACAAIAAgACAAIAAgACAAIAAgACAAIAAgACAAIAAgACAAIAAgAFwAIgBEAGkAcwBwAG8AcwBhAGwAQwBvAHMAdABzACAAbQB1AHMAdAAgAGIAZQAgAGEAbgAgAGEAbQBvAHUAbgB0ACAAbgBvAHQAIABsAGUAcwBzACAAdABoAGEAbgAgADAAIABvAHIAIABvAG0AaQB0AHQAZQBkAFwAIgA7AFwAbgAgACAAIAAgACAAIAAgACAAIAAgACAAIAAgACAAIAAgACAAIAAgACAAIAAgACAAIAAgAFwAIgBNAGUAdABoAG8AZABzACAAbQB1AHMAdAAgAGIAZQAgAG8AbQBpAHQAdABlAGQAIABvAHIAIABvAG4AZQAgAG8AZgA6ACAAUwBMAE4ALAAgAFMAWQBEACwAIABEAEIALAAgAEQARABCACwAIABWAEQAQgAsACAARABWACwAIABvAHIAIABQAEMALgBcACIAOwBcAG4AIAAgACAAIAAgACAAIAAgACAAIAAgACAAIAAgACAAIAAgACAAIAAgACAAIAAgACAAIABcACIARgBhAGMAdABvAHIAcwAgAG0AdQBzAHQAIABiAGUAIABhACAAdgBhAGwAdQBlACAAZwByAGUAYQB0AGUAcgAgAHQAaABhAG4AIAAw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vACAAIABTAHUAYgBSAG8AdQB0AGkAbgBlAHMAXABuAFwAbgBcAG4ALwAqACAAIABGAFUATgBDAFQASQBPAE4AIABOAEEATQBFADoAIAAgAFQAaQBtAGUAbABpAG4AZQBPAGYAZgBzAGUAdAC7A1wAbgAgACAAIAAgAEQARQBTAEMAUgBJAFAAVABJAE8ATgA6ACoALwAvACoAKgBEAGUAdABlAHIAbQBpAG4AZQBzACAAaABvAHcAIABtAGEAbgB5ACAAcABlAHIAaQBvAGQAcwAgAG8AbgBlACAAYQByAHIAYQB5ACAAaQBzACAAbwBmAGYAcwBlAHQAIABmAHIAbwBtACAAdABoAGUAIAB0AGkAbQBlAGwAaQBuAGUAKgAvAFwAbgAvACoAIAAgAEQASQBTAEMAVQBTAFMASQBPAE4AOgAgACAAIAAgACAAVABoAGUAIABwAG8AcwBzAGkAYgBpAGwAaQB0AHkAIABlAHgAaQBzAHQAcwAgAHIAZQBxAHUAaQByAGkAbgBnACAAYwBhAGwAYwB1AGwAYQB0AGkAbwBuAHMAIABiAGUAZgBvAHIAZQAgAGEAIABtAG8AZABlAGwAJwBzACAAdABpAG0AZQBsAGkAbgBlAC4AIABBAG4AIABlAHgAYQBtAHAAbABlACAAaQBzAFwAbgAgACAAIAAgACAAIAAgACAAIAAgACAAIAAgACAAIAAgACAAIAAgACAAZABlAHAAcgBlAGMAaQBhAHQAaQBvAG4AIABvAGYAIABhAHMAcwBlAHQAcwAgAGkAbgAgAGEAbgAgAGUAeABpAHMAdABpAG4AZwAgAGMAbwBtAHAAYQBuAHkAIAB3AGEAbgB0AGkAbgBnACAAdABvACAAZgBvAHIAZQBjAGEAcwB0ACAAcwBvAG0AZQAgAGEAYwB0AGkAdgBpAHQAeQAuACAAXABuACAAIAAgACAAIAAgACAAIAAgACAAIAAgACAAIAAgACAAIAAgACAAIABJAG4AIABzAHUAYwBoACAAYwBhAHMAZQBzACwAIABpAHQAIABjAGEAbgAgAGIAZQAgAGEAZAB2AGEAbgB0AGEAZwBlAG8AdQBzACAAdABvACAAcABlAHIAZgBvAHIAbQAgAHQAaABlACAAYwBhAGwAYwB1AGwAYQB0AGkAbwBuAHMAIAB3AGkAdABoAGkAbgAgAHQAaABlAGkAcgAgAG8AdwBuACAAdABpAG0AZQBsAGkAbgBlAFwAbgAgACAAIAAgACAAIAAgACAAIAAgACAAIAAgACAAIAAgACAAIAAgACAAYQBuAGQAIAB0AGgAZQBuACAAcABsAGEAYwBlACAAdABoAGUAIAByAGUAcwB1AGwAdABzACAAcAByAG8AcABlAHIAbAB5ACAAdwBpAHQAaABpAG4AIAB0AGgAZQAgAG0AbwBkAGUAbAAnAHMAIAB0AGkAbQBlAGwAaQBuAGUALgAgAFwAbgAgACAAIAAgACAAIAAgACAAIAAgACAAIAAgACAAIAAgACAAIAAgACAAVABoAGkAcwAgAHIAbwB1AHQAaQBuAGUAIABkAGUAdABlAHIAbQBpAG4AZQAgAHcAaABlAHIAZQAgAHMAdQBjAGgAIABjAGEAbABjAHUAbABhAHQAaQBvAG4AIAByAGUAcwB1AGwAdABzACAAZgBpAHQAIAB3AGkAdABoAGkAbgAgAHQAaABlACAAbQBvAGQAZQBsACcAcwAgAHQAaQBtAGUAbABpAG4AZQAgAGEAbgBkACAAXABuACAAIAAgACAAIAAgACAAIAAgACAAIAAgACAAIAAgACAAIAAgACAAIABjAHIAbwBwAHMAIAB0AGgAbwBzAGUAIAByAGUAcwB1AGwAdABzACAAdABoAGEAdAAgAGQAbwAgAG4AbwB0ACAAYgBlAGwAbwBuAGcALgAgACoALwBcAG4AVABpAG0AZQBsAGkAbgBlAE8AZgBmAHMAZQB0ALsDIAA9ACAATABBAE0AQgBEAEEAKABcAG4ALwAvACAAIABQAGEAcgBhAG0AZQB0AGUAcgAgAEQAZQBjAGwAYQByAGEAdABpAG8AbgBzAFwAbgAgACAAIAAgAFsARABhAHQAZQBdACwAIAAgACAAIABcAG4AIAAgACAAIABbAFQAaQBtAGUAbABpAG4AZQBdACw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E8AZgBmAHMAZQB0ALsDKABEAGEAdABlACwAIABUAGkAbQBlAGwAaQBuAGUAKQC2AFwAIgAgACYAXABuACAAIAAgACAAIAAgACAAIAAgACAAIAAgACAAIAAgACAAIAAgACAAIAAgACAAIAAgACAAIAAgACAAXAAiAEQARQBTAEMAUgBJAFAAVABJAE8ATgA6ACAAIAAgAJIhRABlAHQAZQByAG0AaQBuAGUAcwAgAGkAbgAgAHcAaABpAGMAaAAgAHAAZQByAGkAbwBkACwAIAByAGUAbABhAHQAaQB2AGUAIAB0AG8AIAB0AGgAZQAgAHQAaQBtAGUAbABpAG4AZQAnAHMAIABzAHQAYQByAHQAIABhAG4AZAAgAGkAbgB0AGUAcgB2AGEAbAAsALYAXAAiACAAJgBcAG4AIAAgACAAIAAgACAAIAAgACAAIAAgACAAIAAgACAAIAAgACAAIAAgACAAIAAgACAAIAAgACAAIAAgACAAIAAgACAAIAAgACAAIAAgACAAIAAgACAAIABcACIAkiFhACAAZABhAHQAZQAgAGYAYQBsAGwAcwAgAHcAaQB0AGgAaQBuAC4A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QAYQB0AGUAIAAgACAAIAAgACAAIAAgACAAIAAgAJIhKABSAGUAcQB1AGkAcgBlAGQAKQAgAEEAIABzAHQAYQByAHQAaQBuAGcAIABkAGEAdABlALYAXAAiACAAJgAgAFwAbgAgACAAIAAgACAAIAAgACAAIAAgACAAIAAgACAAIAAgACAAIAAgACAAIAAgACAAIAAgACAAIAAgAFwAIgBUAGkAbQBlAGwAaQBuAGUAIAAgACAAIAAgACAAIACSISgAUgBlAHEAdQBpAHIAZQBkACkAIABBACAAbQBvAGQAZQBsACcAcwAgAHQAaQBtAGUAbABpAG4AZQAgACgAUgBvAHcAIABvAGYAIABwAGUAcgBpAG8AZAAgAHMAdABhAHIAdAAgAGQAYQB0AGUAcwAp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AAIAAgACAAIAAgACAAIAAgACAAIAAgACAAIACSIT0AbwB6AC4AVABpAG0AZQBsAGkAbgBlAE8AZgBmAHMAZQB0ALsDKABcACIAXAAiADEANQAvADgALwAyADAAMgA2AFwAIgBcACIALAAgAEUARABBAFQARQAoAFwAIgBcACIAMQAvADcALwAyADAAMgA2AFwAIgBcACIALAAgAFMARQBRAFUARQBOAEMARQAoACAALAAgADEAMgAsACAAMAApACkAKQC2AFwAIgAgACYAXABuACAAIAAgACAAIAAgACAAIAAgACAAIAAgACAAIAAgACAAIAAgACAAIAAgACAAIAAgACAAIAAgACAAXAAiAC0AMQAxACAAIAAgACAAIAAgACAAIAAgACAAIAAgAJIhPQBvAHoALgBUAGkAbQBlAGwAaQBuAGUATwBmAGYAcwBlAHQAuwMoAFwAIgBcACIAMQA1AC8AOAAvADIAMAAyADUAXAAiAFwAIgAsACAARQBEAEEAVABFACgAXAAiAFwAIgAxAC8ANwAvADIAMAAyADYAXAAiAFwAIgAsACAAUwBFAFEAVQBFAE4AQwBFACgAIAAsACAAMQAyACwAIAAwACkAK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EAdABlACkALABcAG4AIAAgACAAIAAgACAAIAAgACAAIAAgACAAIAAgACAAIAAgACAAIAAgACAAIAAgACAAIAAgACAAIABJAFMATwBNAEkAVABUAEUARAAoACAAVABpAG0AZQBsAGkAbgBlACkAXABuACAAIAAgACAAIAAgACAAIAAgACAAIAAgACAAIAAgACAAIAAgACAAIAAgACAAIAAgACkALABcAG4AIAAgACAAIAAvAC8AIAAgAEMAaABlAGMAawAgAGkAbgBwAHUAdABzACAALQAgAEkAZgAgAGQAYQB0AGUAIABpAHMAIABpAG4AIAB0AGUAeAB0ACwAIABjAG8AbgB2AGUAcgB0ACAAdABvACAAdgBhAGwAdQBlAFwAbgAgACAAIAAgACAAIAAgACAARABhAHQAZQAsACAAIAAgACAAIAAgACAAIAAgACAAIABAAEkARgAoACAASQBTAFQARQBYAFQAKAAgAEQAYQB0AGUAKQAsACAARABBAFQARQBWAEEATABVAEUAKAAgAEQAYQB0AGUAKQAsACAARABhAHQAZQApACwAXABuACAAIAAgACAALwAqACAAIABQAHIAZQBtAGkAcwBlADoAIAAgACAAIAAgACAAIAAgAEMAcgBlAGEAdABlACAAYQAgAHMAaABvAHIAdAAgAHQAaQBtAGUAbABpAG4AZQAgAHQAaABhAHQAIABpAHMAIABpAG4AIABzAHkAbgBjACAAdwBpAHQAaAAgAHQAaABlACAAbQBvAGQAZQBsACcAcwAgAHQAaQBtAGUAbABpAG4AZQAgAHQAaABhAHQAIABzAHAAYQBuAHMAIABcAG4AIAAgACAAIAAgACAAIAAgACAAIAAgACAAIAAgACAAIAAgACAAIAAgACAAIAAgACAAZgByAG8AbQAgAHQAaABlACAAdABpAG0AZQBsAGkAbgBlACAAcwB0AGEAcgB0ACAAdABvACAAdABoAGUAIABkAGEAdABlACAAaQBuACAAcQB1AGUAcwB0AGkAbwBuACAAcABsAHUAcwAgAG8AbgBlACAAcABlAHIAaQBvAGQAIABvAG4AIABlAGkAdABoAGUAcgAgAHMAaQBkAGUALgBcAG4AIAAgACAAIAAgACAAIAAgACAAIAAgACAAIAAgACAAIAAgACAAIAAgACAAIAAgACAATgBvACAAdwBlACAAYwBhAG4AIAB1AHMAZQAgAE0AQQBUAEMASAAoACkAIAB0AG8AIABmAGkAbgBkACAAdwBoAGkAYwBoACAAdABpAG0AZQBsAGkAbgBlACAAcABlAHIAaQBvAGQAIAAgACAAIAAqAC8AXABuACAAIAAgACAALwAvACAAIABEAGUAdABlAHIAbQBpAG4AZQAgAHQAaQBtAGUAbABpAG4AZQAnAHMAIABpAG4AdABlAHIAdgBhAGwAIAAoAGwAZQBuAGcAdABoACAAbwBmACAAcABlAHIAaQBvAGQAcwApAC4AIABBACAAbwBuAGUALQBkAGEAdABlACAAdABpAG0AZQBsAGkAbgBlACAAaABhAHMAIABuAG8AXABuACAAIAAgACAALwAvACAAIABzAGUAYwBvAG4AZAAgAGQAYQB0AGUAIAB0AG8AIABtAGUAYQBzAHUAcgBlACwAIABzAG8AIABpAHQAIABpAHMAIAByAGUAYQBkACAAYQBzACAAbQBvAG4AdABoAGwAeQAuAFwAbgAgACAAIAAgACAAIAAgACAAUABlAHIAaQBvAGQAMQAsACAAIAAgACAAIAAgACAAIABJAE4ARABFAFgAKAAgAFQAaQBtAGUAbABpAG4AZQAsACAAMQApACwAXABuACAAIAAgACAAIAAgACAAIABQAGUAcgBpAG8AZAAyACwAIAAgACAAIAAgACAAIAAgAEkARgAoACAAQwBPAFUATgBUAEEAKAAgAFQAaQBtAGUAbABpAG4AZQApACAAPAAgADIALAAgAEUARABBAFQARQAoACAAUABlAHIAaQBvAGQAMQAsACAAMQApACwAIABJAE4ARABFAFgAKAAgAFQAaQBtAGUAbABpAG4AZQAsACAAMgApACkALABcAG4AIAAgACAAIAAgACAAIAAgAEQAcABQACwAIAAgACAAIAAgACAAIAAgACAAIAAgACAAUABlAHIAaQBvAGQAMgAgAC0AIABQAGUAcgBpAG8AZAAxACwAIAAgACAAIAAgACAAIAAgACAAIAAgACAAIAAgACAAIAAgACAAIAAgAC8ALwBEAGEAeQBzACAAUABlAHIAIABQAGUAcgBpAG8AZABcAG4AIAAgACAAIAAgACAAIAAgAE0AcABQACwAIAAgACAAIAAgACAAIAAgACAAIAAgACAATQBBAFgAKAAgAFIATwBVAE4ARAAoACAARABwAFAALwAzADAALgA1ACwAIAAwACkALAAgADEAKQAsACAAIAAgACAAIAAgACAAIAAgAC8ALwBNAG8AbgB0AGgAcwAgAFAAZQByACAAUABlAHIAaQBvAGQALAAgAG4AZQB2AGUAcgAgAHoAZQByAG8AXABuACAAIAAgACAAIAAgACAAIABTAHUAYgBNAG8AbgB0AGgAbAB5AD8ALAAgACAAIAAgAFIATwBVAE4ARAAoACAARABwAFAALwAzADAALgA1ACwAIAAwACkAIAA9ACAAMAAsAFwAbgAgACAAIAAgAC8ALwAgACAARABlAHQAZQByAG0AaQBuAGUAIABpAGYAIABQAHIAaQBvAHIAIAB0AG8AIAB0AGkAbQBlAGwAaQBuAGUAIABvAHIAIABhAGYAdABlAHIAXABuACAAIAAgACAAIAAgACAAIABEAGkAcgBlAGMAdABpAG8AbgAsACAAIAAgACAAIAAgAEkARgAoAEQAYQB0AGUAIAA8ACAAUABlAHIAaQBvAGQAMQAsACAALQAxACwAIAAxACkALABcAG4AIAAgACAAIAAvAC8AIAAgAEQAZQB0AGUAcgBtAGkAbgBlACAAdABoAGUAIABuAHUAbQBiAGUAcgAgAG8AZgAgAG0AbwBuAHQAaABzACAAYgBlAHQAdwBlAGUAbgAgAHQAaQBtAGUAbABpAG4AZQAnAHMAIABzAHQAYQByAHQAIABhAG4AZAAgAHQAaABlACAAZABhAHQAZQAnAHMAIABwAGUAcgBpAG8AZAAgAHMAdABhAHIAdABcAG4AIAAgACAAIAAgACAAIAAgAE0AbwBuAHQAaABEAGkAZgBmACwAIAAgACAAIAAgACAAQABEAEEAVABFAEQASQBGACgAIABNAEkATgAoACAAUABlAHIAaQBvAGQAMQAsACAARABhAHQAZQApACwAIABNAEEAWAAoACAAUABlAHIAaQBvAGQAMQAsACAARABhAHQAZQApACwAIABcACIATQBcACIAKQAsAFwAbgAgACAAIAAgAC8ALwAgACAAQwBvAG4AdgBlAHIAdAAgAHQAbwAgAG4AdQBtAGIAZQByACAAbwBmACAAcABlAHIAaQBvAGQAcwBcAG4AIAAgACAAIAAgACAAIAAgAFAAZQByAGkAbwBkAEQAaQBmAGYALAAgACAAIAAgACAAUQBVAE8AVABJAEUATgBUACgAIABNAG8AbgB0AGgARABpAGYAZgAsACAATQBwAFAAKQAsAFwAbgAgACAAIAAgACAAIAAgACAAUABlAHIAaQBvAGQAUwBlAHEALAAgACAAIAAgACAAIABTAEUAUQBVAEUATgBDAEUAKAAgADEALAAgAFAAZQByAGkAbwBkAEQAaQBmAGYAIAArACAAMgAsACAASQBGACgAIABEAGkAcgBlAGMAdABpAG8AbgAgAD0AIAAxACwAIAAwACwAIAAtACgAIABQAGUAcgBpAG8AZABEAGkAZgBmACAAKwAgADEAKQApACkALABcAG4AIAAgACAAIAAgACAAIAAgAFMAZQBhAHIAYwBoAFQAaQBtAGUAbABpAG4AZQAsACAARQBEAEEAVABFACgAIABQAGUAcgBpAG8AZAAxACwAIABQAGUAcgBpAG8AZABTAGUAcQAgACoAIABNAHAAUAApACwAXABuACAAIAAgACAAIAAgACAAIABCAHkATQBvAG4AdABoACwAIAAgACAAIAAgACAAIAAgAE0AQQBUAEMASAAoACAARABhAHQAZQAsACAAUwBlAGEAcgBjAGgAVABpAG0AZQBsAGkAbgBlACwAIAAxACkAIAAtACAASQBGACgAIABEAGkAcgBlAGMAdABpAG8AbgAgAD0AIAAxACwAIAAxACwAIABQAGUAcgBpAG8AZABEAGkAZgBmACAAKwAgADIAKQAsAFwAbgAgACAAIAAgAC8ALwAgACAAQQAgAHMAdQBiAC0AbQBvAG4AdABoAGwAeQAgAHQAaQBtAGUAbABpAG4AZQAgAGkAcwAgAGEAIABmAGkAeABlAGQAIABuAHUAbQBiAGUAcgAgAG8AZgAgAGQAYQB5AHMAIABwAGUAcgAgAHAAZQByAGkAbwBkACwAIABzAG8AIAB0AGgAZQAgAG8AZgBmAHMAZQB0ACAAaQBzACAAdABoAGUAXABuACAAIAAgACAALwAvACAAIAB3AGgAbwBsAGUAIABuAHUAbQBiAGUAcgAgAG8AZgAgAHAAZQByAGkAbwBkAHMAIABiAGUAdAB3AGUAZQBuACAAdABoAGUAIAB0AGkAbQBlAGwAaQBuAGUAIABzAHQAYQByAHQAIABhAG4AZAAgAHQAaABlACAAZABhAHQAZQAsACAAZgBsAG8AbwByAGUAZAAsACAAdwBoAGkAYwBoAFwAbgAgACAAIAAgAC8ALwAgACAAcAB1AHQAcwAgAGEAIABkAGEAdABlACAAYgBlAGYAbwByAGUAIAB0AGgAZQAgAHQAaQBtAGUAbABpAG4AZQAgAGkAbgAgAHQAaABlACAAcABlAHIAaQBvAGQAIAB0AGgAYQB0ACAAZQBuAGQAcwAgAHcAaABlAHIAZQAgAHQAaABlACAAdABpAG0AZQBsAGkAbgBlACAAYgBlAGcAaQBuAHMALgBcAG4AIAAgACAAIAAgACAAIAAgAFIAZQBzAHUAbAB0ACwAIAAgACAAIAAgACAAIAAgACAASQBGACgAIABTAHUAYgBNAG8AbgB0AGgAbAB5AD8ALAAgAEkATgBUACgAIAAoAEQAYQB0AGUAIAAtACAAUABlAHIAaQBvAGQAMQApACAALwAgAEQAcABQACkALAAgAEIAeQBNAG8AbgB0AGg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ABpAG0AZQBsAGkAbgBlAFAAbwBzAGkAdABpAG8AbgC7A1wAbgAgACAAIAAgAEQARQBTAEMAUgBJAFAAVABJAE8ATgA6ACoALwAvACoAKgBDAHIAbwBwAHMAIABhAG4AIABhAHIAcgBhAHkAIABiAGEAcwBlAGQAIABvAG4AIABhACAAbQBvAGQAZQBsACcAcwAgAHQAaQBtAGUAbABpAG4AZQAqAC8AXABuAFQAaQBtAGUAbABpAG4AZQBQAG8AcwBpAHQAaQBvAG4AuwMgAD0AIABMAEEATQBCAEQAQQAoAFwAbgAgACAAIAAgAFsAQQByAHIAYQB5AF0ALAAgACAAIAAgACAAIAAgACAAIAAgACAAIABcAG4AIAAgACAAIABbAFQAaQBtAGUAbABpAG4AZQBdACwAIAAgACAAIAAgACAAIAAgACAAXABuACAAIAAgACAAWwBPAGYAZgBzAGUAdABdACwAIAAgACAAIAAg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QAG8AcwBpAHQAaQBvAG4AuwMoAEEAcgByAGEAeQAsACAAVABpAG0AZQBsAGkAbgBlACwAIABPAGYAZgBzAGUAdAApALYAXAAiACAAJgBcAG4AIAAgACAAIAAgACAAIAAgACAAIAAgACAAIAAgACAAIAAgACAAIAAgACAAIAAgACAAIAAgACAAIABcACIARABFAFMAQwBSAEkAUABUAEkATwBOADoAIAAgACAAkiFQAG8AcwBpAHQAaQBvAG4AIABhAG4AIABhAHIAcgBhAHkAIAByAGUAbABhAHQAaQB2AGUAIAB0AG8AIAB0AGgAZQAgAG0AbwBkAGUAbAAnAHMAIAB0AGkAbQBlAGwAaQBuAGU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UAGgAZQAgAGEAcgByAGEAeQAgAHQAbwAgAGIAZQAgAHAAbwBzAGkAdABpAG8AbgBlAGQAIAByAGUAbABhAHQAaQB2AGUAIAB0AG8AIABhACAAbQBvAGQAZQBsACcAcwAgAHQAaQBtAGUAbABpAG4AZQC2AFwAIgAgACYAIABcAG4AIAAgACAAIAAgACAAIAAgACAAIAAgACAAIAAgACAAIAAgACAAIAAgACAAIAAgACAAIAAgACAAIABcACIAVABpAG0AZQBsAGkAbgBlACAAIAAgACAAIAAgACAAkiEoAFIAZQBxAHUAaQByAGUAZAApACAAQQAgAG0AbwBkAGUAbAAnAHMAIAB0AGkAbQBlAGwAaQBuAGUAtgBcACIAIAAmACAAXABuACAAIAAgACAAIAAgACAAIAAgACAAIAAgACAAIAAgACAAIAAgACAAIAAgACAAIAAgACAAIAAgACAAXAAiAE8AZgBmAHMAZQB0ACAAIAAgACAAIAAgACAAIAAgAJIhKABSAGUAcQB1AGkAcgBlAGQAKQAgAFQAaABlACAAbgB1AG0AYgBlAHIAIABvAGYAIAByAG8AdwBzACAAbwByACAAYwBvAGwAdQBtAG4AcwAgAHQAbwAgAHMAdABhAHIAdAAgAHAAbABhAGMAaQBuAGcAIAB0AGgAZQAgAGEAcgByAGEAeQAgAHcAaQB0AGgAaQBuACAAdABoAGUAIAB0AGkAbQBlAGwAaQBuAGUAtgBcACIAIAAmACAAIAAgACAAIAAgACAAIAAgACAAIAAgACAAIAAgACAAIAAgACAAIAAgAFwAbgAgACAAIAAgACAAIAAgACAAIAAgACAAIAAgACAAIAAgACAAIAAgACAAIAAgACAAIAAgACAAIAAgAFwAIgBOAE8AVABFAFMAIQAgACAAIAAgACAAIAAgACAAIACSIbYAXAAiACAAJgAgAFwAbgAgACAAIAAgACAAIAAgACAAIAAgACAAIAAgACAAIAAgACAAIAAgACAAIAAgACAAIAAgACAAIAAgACAAIAAgACAAIAAgACAAIAAgACAAIAAgACAAIAAgAFwAIgCSIVQAaQBtAGUAbABpAG4AZQBzACAAYwBhAG4AIABiAGUAIAB2AGUAcgB0AGkAYwBhAGwAIABvAHIAIABoAG8AcgBpAHoAbwBuAHQAYQBsAC4AIABXAGgAaQBjAGgAZQB2AGUAcgAgAHcAYQB5ACAAdABoAGUAIAB0AGkAbQBlAGwAaQBuAGUAIABnAG8AZQBzACwAIAB0AGgAZQAgAGEAcgByAGEAeQAgAG0AdQBzAHQAIABtAGEAdABjAGgALgC2AFwAIgAgACYAIAAg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UAGkAbQBlAGwAaQBuAGUAUABvAHMAaQB0AGkAbwBuALsDKABTAEUAUQBVAEUATgBDAEUAKAAzACwAMwApACwAIABFAEQAQQBUAEUAKABcACIAXAAiADEALwA3AC8AMgAwADIANgBcACIAXAAiACwAIABTAEUAUQBVAEUATgBDAEUAKAAgACwAIAAxADIALAAgADAAKQApACwAIAAxAD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CkALABcAG4AIAAgACAAIAAgACAAIAAgACAAIAAgACAAIAAgACAAIAAgACAAIAAgACAAIAAgACAAIAAgACAAIABJAFMATwBNAEkAVABUAEUARAAoACAAVABpAG0AZQBsAGkAbgBlACkALABcAG4AIAAgACAAIAAgACAAIAAgACAAIAAgACAAIAAgACAAIAAgACAAIAAgACAAIAAgACAAIAAgACAAIABJAFMATwBNAEkAVABUAEUARAAoACAATwBmAGYAcwBlAHQAKQBcAG4AIAAgACAAIAAgACAAIAAgACAAIAAgACAAIAAgACAAIAAgACAAIAAgACAAIAAgACAAKQAsAFwAbgAgACAAIAAgAC8ALwAgACAAQwBoAGUAYwBrACAAaQBuAHAAdQB0AHMAIAAtACAATQBhAGsAZQAgAHMAdQByAGUAIABzAGMAYQBsAGEAcgBzACAAYQByAGUAIABuAG8AdAAgAGEAcgByAGEAeQBzAFwAbgAgACAAIAAgACAAIAAgACAATwBmAGYAcwBlAHQALAAgACAAIAAgACAAIAAgACAAIABAAE8AZgBmAHMAZQB0ACwAXABuACAAIAAgACAALwAvACAAIABQAHIAZQBjAGUAZAB1AHIAZQBcAG4AIAAgACAAIAAgACAAIAAgAFIAbwB3AHMALAAgACAAIAAgACAAIAAgACAAIAAgACAAUgBPAFcAUwAoAEEAcgByAGEAeQApACwAXABuACAAIAAgACAAIAAgACAAIABDAG8AbABzACwAIAAgACAAIAAgACAAIAAgACAAIAAgAEMATwBMAFUATQBOAFMAKABBAHIAcgBhAHkAKQAsAFwAbgAgACAAIAAgAC8ALwAgACAAQQAgAG8AbgBlAC0AZABhAHQAZQAgAHQAaQBtAGUAbABpAG4AZQAgAGkAcwAgAG4AZQBpAHQAaABlAHIAIAB3AGkAZABlACAAbgBvAHIAIAB0AGEAbABsADsAIAByAGUAYQBkACAAaQB0ACAAYQBzACAAaABvAHIAaQB6AG8AbgB0AGEAbAAgAHMAbwAgAHQAaABlAFwAbgAgACAAIAAgAC8ALwAgACAAYQByAHIAYQB5ACAAawBlAGUAcABzACAAaQB0AHMAIAByAG8AdwBzACAAYQBuAGQAIABsAGEAbgBkAHMAIABpAG4AIAB0AGgAYQB0ACAAcwBpAG4AZwBsAGUAIABwAGUAcgBpAG8AZAAuAFwAbgAgACAAIAAgACAAIAAgACAAUgBlAHMAdQBsAHQALAAgACAAIAAgACAAIAAgACAAIABJAEYAKAAgAE8AUgAoACAAQwBPAEwAVQBNAE4AUwAoACAAVABpAG0AZQBsAGkAbgBlACkAIAA+ACAAMQAsACAAUgBPAFcAUwAoACAAVABpAG0AZQBsAGkAbgBlACkAIAA9ACAAMQApACwAXABuACAAIAAgACAAIAAgACAAIAAgACAAIAAgACAAIAAgACAAIAAgACAAIAAgACAAIAAgAC8ALwAgACAASABvAHIAaQB6AG8AbgB0AGEAbAAgAFQAaQBtAGUAbABpAG4AZQBcAG4AIAAgACAAIAAgACAAIAAgACAAIAAgACAAIAAgACAAIAAgACAAIAAgACAAIAAgACAAIAAgACAAIABNAEEASwBFAEEAUgBSAEEAWQAoACAAUgBvAHcAcwAsACAAQwBPAEwAVQBNAE4AUwAoACAAVABpAG0AZQBsAGkAbgBlACkALABcAG4AIAAgACAAIAAgACAAIAAgACAAIAAgACAAIAAgACAAIAAgACAAIAAgACAAIAAgACAAIAAgACAAIAAgACAAIAAgAEwAQQBNAEIARABBACgAUgAsACAAQwAsAFwAbgAgACAAIAAgACAAIAAgACAAIAAgACAAIAAgACAAIAAgACAAIAAgACAAIAAgACAAIAAgACAAIAAgACAAIAAgACAAIAAgACAAIABJAEYAKAAgACgAKABDACAALQAgAE8AZgBmAHMAZQB0ACkAIAA+AD0AIAAxACkAIAAqACAAKAAoACAAQwAgAC0AIABPAGYAZgBzAGUAdAApACAAPAA9ACAAQwBvAGwAcwApACAAPQAgADEALABcAG4AIAAgACAAIAAgACAAIAAgACAAIAAgACAAIAAgACAAIAAgACAAIAAgACAAIAAgACAAIAAgACAAIAAgACAAIAAgACAAIAAgACAAIAAgACAAIABJAE4ARABFAFgAKAAgAEEAcgByAGEAeQAsACAAUgAsACAAQwAgAC0AIABPAGYAZgBzAGUAdA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CwAXABuACAAIAAgACAAIAAgACAAIAAgACAAIAAgACAAIAAgACAAIAAgACAAIAAgACAAIAAgAC8ALwAgACAAVgBlAHIAdABpAGMAYQBsACAAVABpAG0AZQBsAGkAbgBlAFwAbgAgACAAIAAgACAAIAAgACAAIAAgACAAIAAgACAAIAAgACAAIAAgACAAIAAgACAAIAAgACAAIAAgAE0AQQBLAEUAQQBSAFIAQQBZACgAIABSAE8AVwBTACgAIABUAGkAbQBlAGwAaQBuAGUAKQAsACAAQwBvAGwAcwAsAFwAbgAgACAAIAAgACAAIAAgACAAIAAgACAAIAAgACAAIAAgACAAIAAgACAAIAAgACAAIAAgACAAIAAgACAAIAAgACAATABBAE0AQgBEAEEAKABSACwAIABDACwAXABuACAAIAAgACAAIAAgACAAIAAgACAAIAAgACAAIAAgACAAIAAgACAAIAAgACAAIAAgACAAIAAgACAAIAAgACAAIAAgACAAIAAgAEkARgAoACAAKAAoAFIAIAAtACAATwBmAGYAcwBlAHQAKQAgAD4APQAgADEAKQAgACoAIAAoACgAIABSACAALQAgAE8AZgBmAHMAZQB0ACkAIAA8AD0AIABSAG8AdwBzACkAIAA9ACAAMQAsAFwAbgAgACAAIAAgACAAIAAgACAAIAAgACAAIAAgACAAIAAgACAAIAAgACAAIAAgACAAIAAgACAAIAAgACAAIAAgACAAIAAgACAAIAAgACAAIAAgAEkATgBEAEUAWAAoACAAQQByAHIAYQB5ACwAIABSACAALQAgAE8AZgBmAHMAZQB0ACwAIABD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EYAaQBsAHQAZQByAEMAbwBuAHQAYQBpAG4AcwC7A1wAbgAgACAAIAAgAEQARQBTAEMAUgBJAFAAVABJAE8ATgA6ACoALwAvACoAKgBGAGkAbAB0AGUAcgAgAGEAbgAgAGEAcgByAGEAeQAgAGIAeQAgAGEAbgBvAHQAaABlAHIAIABhAHIAcgBhAHkAIAB0AGgAYQB0ACAAYwBvAG4AdABhAGkAbgBzACAAcwBwAGUAYwBpAGYAaQBjACAAdABlAHgAdAAqAC8AXABuAEYAaQBsAHQAZQByAEMAbwBuAHQAYQBpAG4AcwC7AyAAPQAgAEwAQQBNAEIARABBACgAXABuAC8ALwAgACAAUABhAHIAYQBtAGUAdABlAHIAIABEAGUAYwBsAGEAcgBhAHQAaQBvAG4AcwBcAG4AIAAgACAAIABbAEEAcgByAGEAeQBUAG8ARgBpAGwAdABlAHIAXQAsAFwAbgAgACAAIAAgAFsARgBpAGwAdABlAHIAQgB5AEEAcgByAGEAeQBdACwAXABuACAAIAAgACAAWwBGAGkAbAB0AGUAcgBCAHkAVABlAHgAdABdACwAXABuACAAIAAgACAAWwBJAGcAbgBvAHIAZQBDAGEAcwBlAD8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GAGkAbAB0AGUAcgBDAG8AbgB0AGEAaQBuAHMAuwMoACAAQQByAHIAYQB5AFQAbwBGAGkAbAB0AGUAcgAsACAARgBpAGwAdABlAHIAQgB5AEEAcgByAGEAeQAsACAARgBpAGwAdABlAHIAQgB5AFQAZQB4AHQALAAgAFsASQBnAG4AbwByAGUAQwBhAHMAZQA/AF0AIAApALYAXAAiACAAJgBcAG4AIAAgACAAIAAgACAAIAAgACAAIAAgACAAIAAgACAAIAAgACAAIAAgACAAIAAgACAAIAAgACAAIABcACIARABFAFMAQwBSAEkAUABUAEkATwBOADoAIAAgACAAkiFGAGkAbAB0AGUAcgAgAGEAbgAgAGEAcgByAGEAeQAgAGIAeQAgAGEAbgBvAHQAaABlAHIAIABhAHIAcgBhAHkAIAB0AGgAYQB0ACAAYwBvAG4AdABhAGkAbgBzACAAcwBwAGUAYwBpAGYAaQBjACAAdABlAHgAdAAuALYAXAAiACAAJgAgAFwAbgAgACAAIAAgACAAIAAgACAAIAAgACAAIAAgACAAIAAgACAAIAAgACAAIAAgACAAIAAgACAAIAAgAFwAIgBTAEUARQAgAEEATABTAE8AOgAgACAAIAAgACAAIACSIUUAeABjAGUAbAAgADMANgA1ACAAbgBvAHcAIABoAGEAcwAgAFIARQBHAEUAWABUAEUAUwBUACAAYQBuAGQAIABSAEUARwBFAFgARQBYAFQAUgBBAEMAVAAgAGYAbwByACAAcABhAHQAdABlAHIAbgAgAG0AYQB0AGMAaABpAG4AZ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FQAbwBGAGkAbAB0AGUAcgAgACAAkiEoAFIAZQBxAHUAaQByAGUAZAApACAAQQBuACAAYQByAHIAYQB5ACAAdABvACAAYgBlACAAZgBpAGwAdABlAHIAZQBkALYAXAAiACAAJgAgACAAIAAgACAAIAAgACAAIAAgACAAIAAgACAAIAAgACAAIAAgAFwAbgAgACAAIAAgACAAIAAgACAAIAAgACAAIAAgACAAIAAgACAAIAAgACAAIAAgACAAIAAgACAAIAAgAFwAIgBGAGkAbAB0AGUAcgBCAHkAQQByAHIAYQB5ACAAIACSISgAUgBlAHEAdQBpAHIAZQBkACkAIABBAG4AIABhAHIAcgBhAHkAIABjAG8AbgB0AGEAaQBuAGkAbgBnACAAdABlAHgAdAAgAHQAbwAgAHUAcwBlACAAYQBzACAAYQAgAGYAaQBsAHQAZQByALYAXAAiACAAJgAgACAAIAAgACAAIAAgACAAIAAgACAAIAAgACAAIAAgACAAIAAgAFwAbgAgACAAIAAgACAAIAAgACAAIAAgACAAIAAgACAAIAAgACAAIAAgACAAIAAgACAAIAAgACAAIAAgAFwAIgBGAGkAbAB0AGUAcgBCAHkAVABlAHgAdAAgACAAIACSISgAUgBlAHEAdQBpAHIAZQBkACkAIABBACAAdABlAHgAdAAgAHMAdAByAGkAbgBnACAAdABvACAAZgBpAG4AZAAgAGkAbgAgAEYAaQBsAHQAZQByAEIAeQBBAHIAcgBhAHk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FwAIgBcACIAQwBhAHQAXAAiAFwAIgAgACAAIAAgACAAIAAgACAAkiE9AG8AegAuAEYAaQBsAHQAZQByAEMAbwBuAHQAYQBpAG4AcwC7AygAIAB7AFwAIgBcACIASgBvAGUAXAAiAFwAIgAsACAAXAAiAFwAIgBTAGEAbABsAHkAXAAiAFwAIgAsACAAXAAiAFwAIgBDAGEAdABcACIAXAAiAH0ALAAgAHsAXAAiAFwAIgBIADEAXAAiAFwAIgAsACAAXAAiAFwAIgBIADIAXAAiAFwAIgAsACAAXAAiAFwAIgBBADEAXAAiAFwAIgB9ACwAIABcACIAXAAiAEE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VABvAEYAaQBsAHQAZQByACkALAAgAFwAbgAgACAAIAAgACAAIAAgACAAIAAgACAAIAAgACAAIAAgACAAIAAgACAAIAAgACAAIAAgACAAIAAgAEkAUwBPAE0ASQBUAFQARQBEACgAIABGAGkAbAB0AGUAcgBCAHkAQQByAHIAYQB5ACkALAAgAFwAbgAgACAAIAAgACAAIAAgACAAIAAgACAAIAAgACAAIAAgACAAIAAgACAAIAAgACAAIAAgACAAIAAgAEkAUwBPAE0ASQBUAFQARQBEACgAIABGAGkAbAB0AGUAcgBCAHkAVABlAHgAdAApAFwAbgAgACAAIAAgACAAIAAgACAAIAAgACAAIAAgACAAIAAgACAAIAAgACAAIAAgACAAIA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RgBpAGwAdABlAHIAQgB5AEEAcgByAGEAeQApACwAXABuACAAIAAgACAAIAAgACAAIAAgACAAIAAgACAAIAAgACAAIAAgACAAIAAgACAAIAAgACAAIAAgACAARgBJAE4ARAAoACAARgBpAGwAdABlAHIAQgB5AFQAZQB4AHQALAAgAEYAaQBsAHQAZQByAEIAeQBBAHIAcgBhAHkAKQBcAG4AIAAgACAAIAAgACAAIAAgACAAIAAgACAAIAAgACAAIAAgACAAIAAgACAAIAAgACAAKQAsAFwAbgAgACAAIAAgACAAIAAgACAAUgBlAHMAdQBsAHQALAAgACAAIAAgACAAIAAgACAAIABGAEkATABUAEUAUgAoACAAQQByAHIAYQB5AFQAbwBGAGkAbAB0AGUAcgAsACAASQBTAE4AVQBNAEIARQBSACgAIABNAGEAdABjAGgAZQBz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YQBuAGcAZQBUAG8ARABBALsDXABuACAAIAAgACAARABFAFMAQwBSAEkAUABUAEkATwBOADoAKgAvAC8AKgAqAEMAcgBlAGEAdABlACAAYQAgAGQAeQBuAGEAbQBpAGMAIABhAHIAcgBhAHkAIABmAHIAbwBtACAAYQAgAHMAdABhAHQAaQBjACAAcgBhAG4AZwBlACoALwBcAG4AUgBhAG4AZwBlAFQAbwBEAEEAuwMgAD0AIABMAEEATQBCAEQAQQAoAFwAbgAvAC8AIAAgAFAAYQByAGEAbQBlAHQAZQByACAARABlAGMAbABhAHIAYQB0AGkAbwBuAHMAXABuACAAIAAgACAAWwBDAGUAbABsAF0ALABcAG4AIAAgACAAIABbAFIAbwB3AHMAXQAsACAAIAAgACAAXABuACAAIAAgACAAWwBDAG8AbAB1AG0AbgBzAF0ALAAgACAAIAAgAFwAbgAvAC8AIAAgAEgAZQBsAHAAXABuACAAIAAgACAATABFAFQAKABIAGUAbABwACwAIAAgACAAIAAgACAAIABUAFIASQBNACgAVABFAFgAVABTAFAATABJAFQAKAAgAFwAbgAgACAAIAAgACAAIAAgACAAIAAgACAAIAAgACAAIAAgACAAIAAgACAAIAAgACAAIAAgACAAIAAgAFwAIgBGAFUATgBDAFQASQBPAE4AOgAgACAAIAAgACAAIACSIVIAYQBuAGcAZQBUAG8ARABBALsDKAAgAEMAZQBsAGwALAAgAFsAUgBvAHcAcwBdACwAIABbAEMAbwBsAHUAbQBuAHMAXQApALYAXAAiACAAJgBcAG4AIAAgACAAIAAgACAAIAAgACAAIAAgACAAIAAgACAAIAAgACAAIAAgACAAIAAgACAAIAAgACAAIABcACIARABFAFMAQwBSAEkAUABUAEkATwBOADoAIAAgACAAkiFDAHIAZQBhAHQAZQAgAGEAIABkAHkAbgBhAG0AaQBjACAAYQByAHIAYQB5ACAAZgByAG8AbQAgAGEAIABzAHQAYQB0AGkAYwAgAHIAYQBuAGcAZQ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UAbABsACAAIAAgACAAIAAgACAAIAAgACAAIACSISgAUgBlAHEAdQBpAHIAZQBkACkAIABUAGgAZQAgAHUAcABwAGUAcgAgAGwAZQBmAHQAIABjAGUAbABsACAAbwBmACAAYQAgAHIAYQBuAGcAZQAgAHQAbwAgAGMAbwBuAHYAZQByAHQAtgBcACIAIAAmACAAXABuACAAIAAgACAAIAAgACAAIAAgACAAIAAgACAAIAAgACAAIAAgACAAIAAgACAAIAAgACAAIAAgACAAXAAiAFIAbwB3AHMAIAAgACAAIAAgACAAIAAgACAAIAAgAJIhKABPAHAAdABpAG8AbgBhAGwAKQAgAFQAaABlACAAbgB1AG0AYgBlAHIAIABvAGYAIAByAG8AdwBzACAAZgBvAHIAIABkAHkAbgBhAG0AaQBjACAAYQByAHIAYQB5AC4AIABEAGUAZgBhAHUAbAB0AHMAIAB0AG8AIAAxAC4AtgBcACIAIAAmACAAXABuACAAIAAgACAAIAAgACAAIAAgACAAIAAgACAAIAAgACAAIAAgACAAIAAgACAAIAAgACAAIAAgACAAXAAiAEMAbwBsAHUAbQBuAHMAIAAgACAAIAAgACAAIAAgAJIhKABPAHAAdABpAG8AbgBhAGwAKQAgAFQAaABlACAAbgB1AG0AYgBlAHIAIABvAGYAIABjAG8AbAB1AG0AbgBzACAAZgBvAHIAIABkAHkAbgBhAG0AaQBjACAAYQByAHIAYQB5AC4AIABEAGUAZgBhAHUAbAB0AHMAIAB0AG8AIAAxAC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IAAgACAAIAAgACAAIAAgACAAIAAgACAAIAAgACAAkiE9AG8AegAuAFIAYQBuAGcAZQBUAG8ARABBALsDKAAgAEEAMQAsACAALAAgADEAMg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EMAZQBsAGwAKQAsAFwAbgAgACAAIAAgAC8ALwAgACAAUwBlAHQAIABEAGUAZgBhAHUAbAB0AHMAXABuACAAIAAgACAAIAAgACAAIABSAG8AdwBzACwAIAAgACAAIAAgACAAIAAgACAAIAAgAEkARgAoAEkAUwBPAE0ASQBUAFQARQBEACgAUgBvAHcAcwApACwAIAAxACwAIABJAEYAKABSAG8AdwBzACAAPQAgADAALAAgADEALAAgAFIAbwB3AHMAKQApACwAXABuACAAIAAgACAAIAAgACAAIABDAG8AbAB1AG0AbgBzACwAIAAgACAAIAAgACAAIAAgAEkARgAoAEkAUwBPAE0ASQBUAFQARQBEACgAQwBvAGwAdQBtAG4AcwApACwAIAAxACwAIABJAEYAKABDAG8AbAB1AG0AbgBzACAAPQAgADAALAAgADEALAAgAEMAbwBsAHUAbQBuAHMAKQApACwAXABuACAAIAAgACAALwAvACAAIABQAHIAbwBjAGUAZAB1AHIAZQBcAG4AIAAgACAAIAAgACAAIAAgAFIAZQBzAHUAbAB0ACwAIAAgACAAIAAgACAAIAAgACAATwBGAEYAUwBFAFQAKABDAGUAbABsACwAIAAwACwAIAAwACwAIABSAG8AdwBzACwAIABDAG8AbAB1AG0AbgBz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QAGUAcgBpAG8AZABTAHQAYQByAHQAuwNcAG4AIAAgACAAIABEAEUAUwBDAFIASQBQAFQASQBPAE4AOgAqAC8ALwAqACoARABlAHQAZQByAG0AaQBuAGUAIAB3AGgAZQBuACAAdABoAGUAIABwAGUAcgBpAG8AZAAgAGMAbwBuAHQAYQBpAG4AaQBuAGcAIABhACAAZABhAHQAZQAgAG8AZgAgAGkAbgB0AGUAcgBlAHMAdAAgAHMAdABhAHIAdABzACoALwBcAG4AUABlAHIAaQBvAGQAUwB0AGEAcgB0ALsDIAA9ACAATABBAE0AQgBEAEEAKABcAG4ALwAvACAAIABQAGEAcgBhAG0AZQB0AGUAcgAgAEQAZQBjAGwAYQByAGEAdABpAG8AbgBcAG4AIAAgACAAIABbAEEAbgB5AFAAZQByAGkAbwBkAFMAdABhAHIAdABdACwAXABuACAAIAAgACAAWwBNAG8AbgB0AGgAcwBQAGUAcgBQAGUAcgBpAG8AZABdACwAIABcAG4AIAAgACAAIABbAEQAYQB0AGUATwBmAEkAbgB0AGUAcgBlAHMAd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TAHQAYQByAHQAuwMoAEEAbgB5AFAAZQByAGkAbwBkAFMAdABhAHIAdAAsACAATQBvAG4AdABoAHMAUABlAHIAUABlAHIAaQBvAGQALAAgAEQAYQB0AGUATwBmAEkAbgB0AGUAcgBlAHMAdAApALYAXAAiACAAJgBcAG4AIAAgACAAIAAgACAAIAAgACAAIAAgACAAIAAgACAAIAAgACAAIAAgACAAIAAgACAAIAAgACAAIABcACIARABFAFMAQwBSAEkAUABUAEkATwBOADoAIAAgACAAkiFEAGUAdABlAHIAbQBpAG4AZQAgAHcAaABlAG4AIAB0AGgAZQAgAHAAZQByAGkAbwBkACAAYwBvAG4AdABhAGkAbgBpAG4AZwAgAGEAIABkAGEAdABlACAAbwBmACAAaQBuAHQAZQByAGUAcwB0ACAAcwB0AGEAcgB0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gB5AFAAZQByAGkAbwBkAFMAdABhAHIAdAAgAJIhKABSAGUAcQB1AGkAcgBlAGQAKQAgAEEAbgB5ACAAcwB0AGEAcgB0ACAAZABhAHQAZQAgAHcAaQB0AGgAaQBuACAAYQAgAHQAaQBtAGUAbABpAG4AZQAuALYAXAAiACAAJgAgACAAIAAgACAAIAAgACAAIAAgACAAIAAgACAAIAAgACAAIAAgAFwAbgAgACAAIAAgACAAIAAgACAAIAAgACAAIAAgACAAIAAgACAAIAAgACAAIAAgACAAIAAgACAAIAAgAFwAIgBNAG8AbgB0AGgAcwBQAGUAcgBQAGUAcgBpAG8AZACSISgAUgBlAHEAdQBpAHIAZQBkACkAIABOAHUAbQBiAGUAcgAgAG8AZgAgAG0AbwBuAHQAaABzACAAaQBuACAAZQBhAGMAaAAgAHAAZQByAGkAbwBkALYAXAAiACAAJgAgAFwAbgAgACAAIAAgACAAIAAgACAAIAAgACAAIAAgACAAIAAgACAAIAAgACAAIAAgACAAIAAgACAAIAAgAFwAIgBEAGEAdABlAE8AZgBJAG4AdABlAHIAZQBzAHQAIACSISgAUgBlAHEAdQBpAHIAZQBkACkAIABBACAAZABhAHQAZQAgAGYAbwByACAAdwBoAGkAYwBoACAAdwBlACAAdwBhAG4AdAAgAHQAbwAgAGsAbgBvAHcAIAB0AGgAZQAgAHMAdABhAHIAdAAgAG8AZgAgAHQAaABlACAAcABlAHIAaQBvAGQAIABjAG8AbgB0AGEAaQBuAGkAbgBnACAAaQB0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IAMAAyADYALQAxADAALQAwADEAIAAgACAAIAAgAJIhPQBvAHoALgBQAGUAcgBpAG8AZABTAHQAYQByAHQAuwMoAFwAIgBcACIAMgAwADIANgAtADAANwAtADAAMQBcACIAXAAiACwAIAAzACwAIABcACIAXAAiADIAMAAyADYALQAxADAALQAxADU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G4AeQBQAGUAcgBpAG8AZABTAHQAYQByAHQAKQAsAFwAbgAgACAAIAAgACAAIAAgACAAIAAgACAAIAAgACAAIAAgACAAIAAgACAAIAAgACAAIAAgACAAIAAgAEkAUwBPAE0ASQBUAFQARQBEACgAIABNAG8AbgB0AGgAcwBQAGUAcgBQAGUAcgBpAG8AZAApACwAXABuACAAIAAgACAAIAAgACAAIAAgACAAIAAgACAAIAAgACAAIAAgACAAIAAgACAAIAAgACAAIAAgACAASQBTAE8ATQBJAFQAVABFAEQAKAAgAEQAYQB0AGUATwBmAEkAbgB0AGUAcgBlAHMAdAApAFwAbgAgACAAIAAgACAAIAAgACAAIAAgACAAIAAgACAAIAAgACAAIAAgACAAIAAgACAAIAApACwAXABuACAAIAAgACAALwAvACAAIABDAG8AbgBzAHQAYQBuAHQAcwBcAG4AIAAgACAAIAAgACAAIAAgAE0AcABZACwAIAAgACAAIAAgACAAIAAgACAAIAAgACAAIAAgACAAIAAxADIALAAgAC8ALwBNAG8AbgB0AGgAcwAgAFAAZQByACAAWQBlAGEAcgBcAG4AIAAgACAAIAAgACAAIAAgAE0AcABQACwAIAAgACAAIAAgACAAIAAgACAAIAAgACAAIAAgACAAIABNAG8AbgB0AGgAcwBQAGUAcgBQAGUAcgBpAG8AZAAsAFwAbgAgACAAIAAgAC8ALwAgACAAQwBoAGUAYwBrACAAaQBuAHAAdQB0AHMAIAAtACAASQBmACAAYQAgAGQAYQB0AGUAIABpAHMAIABpAG4AIAB0AGUAeAB0ACwAIABjAG8AbgB2AGUAcgB0ACAAdABvACAAdgBhAGwAdQBlAFwAbgAgACAAIAAgACAAIAAgACAAQwB2AHQAUwB0AGEAcgB0ACwAIAAgACAAIAAgACAAIAAgACAAIAAgAEkARgAoACAASQBTAFQARQBYAFQAKAAgAEEAbgB5AFAAZQByAGkAbwBkAFMAdABhAHIAdAApACwAIABEAEEAVABFAFYAQQBMAFUARQAoACAAQQBuAHkAUABlAHIAaQBvAGQAUwB0AGEAcgB0ACkALAAgAEEAbgB5AFAAZQByAGkAbwBkAFMAdABhAHIAdAApACwAXABuACAAIAAgACAAIAAgACAAIABDAHYAdABEAGEAdABlACwAIAAgACAAIAAgACAAIAAgACAAIAAgACAASQBGACgAIABJAFMAVABFAFgAVAAoACAARABhAHQAZQBPAGYASQBuAHQAZQByAGUAcwB0ACkALAAgAEQAQQBUAEUAVgBBAEwAVQBFACgAIABEAGEAdABlAE8AZgBJAG4AdABlAHIAZQBzAHQAKQAsACAARABhAHQAZQBPAGYASQBuAHQAZQByAGUAcwB0ACkALABcAG4AIAAgACAAIAAvAC8AIAAgAFAAcgBvAGMAZQBkAHUAcgBlAFwAbgAgACAAIAAgAC8ALwAgACAAQwBvAHUAbgB0ACAAdABoAGUAIAB3AGgAbwBsAGUAIABwAGUAcgBpAG8AZABzACAAZgByAG8AbQAgAHQAaABlACAAYQBuAGMAaABvAHIAIAB0AG8AIAB0AGgAZQAgAGQAYQB0AGUAIABvAGYAIABpAG4AdABlAHIAZQBzAHQAIABhAG4AZAAgAHMAdABlAHAAIAB0AGgAZQBcAG4AIAAgACAAIAAvAC8AIAAgAGEAbgBjAGgAbwByACAAbwBuACAAYgB5ACAAdABoAGEAdAAgAG0AYQBuAHkALgBcAG4AIAAgACAAIAAgACAAIAAgAE0AbwBuAHQAaABEAGkAZgBmACwAIAAgACAAIAAgACAAIAAgACAAIAAoAFkARQBBAFIAKAAgAEMAdgB0AEQAYQB0AGUAKQAgAC0AIABZAEUAQQBSACgAIABDAHYAdABTAHQAYQByAHQAKQApACAAKgAgAE0AcABZACAAKwAgAE0ATwBOAFQASAAoACAAQwB2AHQARABhAHQAZQApACAALQAgAE0ATwBOAFQASAAoACAAQwB2AHQAUwB0AGEAcgB0ACkALABcAG4AIAAgACAAIAAgACAAIAAgAFcAaABvAGwAZQBQAGUAcgBpAG8AZABzACwAIAAgACAAIAAgACAAIABRAFUATwBUAEkARQBOAFQAKAAgAE0AbwBuAHQAaABEAGkAZgBmACwAIABNAHAAUAApACwAXABuACAAIAAgACAAIAAgACAAIABDAGEAbgBkAGkAZABhAHQAZQAsACAAIAAgACAAIAAgACAAIAAgACAARQBEAEEAVABFACgAIABDAHYAdABTAHQAYQByAHQALAAgAFcAaABvAGwAZQBQAGUAcgBpAG8AZABzACAAKgAgAE0AcABQACkALABcAG4AIAAgACAAIAAvAC8AIAAgAFEAVQBPAFQASQBFAE4AVAAgAHQAcgB1AG4AYwBhAHQAZQBzACAAdABvAHcAYQByAGQAcwAgAHoAZQByAG8ALAAgAGEAbgBkACAAdABoAGUAIABkAGEAeQAgAG8AZgAgAHQAaABlACAAbQBvAG4AdABoACAAYwBhAG4AIABsAGUAYQB2AGUAIAB0AGgAZQAgAGMAYQBuAGQAaQBkAGEAdABlAFwAbgAgACAAIAAgAC8ALwAgACAAcABhAHMAdAAgAHQAaABlACAAZABhAHQAZQAgAG8AZgAgAGkAbgB0AGUAcgBlAHMAdAAsACAAcwBvACAAcwB0AGUAcAAgAGIAYQBjAGsAIABhACAAcABlAHIAaQBvAGQAIAB3AGgAZQByAGUAIABpAHQAIABkAG8AZQBzAC4AIABPAG4AZQAgAHMAdABlAHAAIABpAHMAIABhAGwAdwBhAHkAcwBcAG4AIAAgACAAIAAvAC8AIAAgAGUAbgBvAHUAZwBoADoAIABhACAAdAByAHUAbgBjAGEAdABlAGQAIABxAHUAbwB0AGkAZQBuAHQAIABpAHMAIABuAGUAdgBlAHIAIABtAG8AcgBlACAAdABoAGEAbgAgAG8AbgBlACAAcABlAHIAaQBvAGQAIABvAHUAdAAuAFwAbgAgACAAIAAgACAAIAAgACAAUgBlAHMAdQBsAHQALAAgACAAIAAgACAAIAAgACAAIAAgACAAIAAgAEkARgAoACAAQwBhAG4AZABpAGQAYQB0AGUAIAA+ACAAQwB2AHQARABhAHQAZQAsACAARQBEAEEAVABFACgAIABDAHYAdABTAHQAYQByAHQALAAgACgAVwBoAG8AbABlAFAAZQByAGkAbwBkAHMAIAAtACAAMQApACAAKgAgAE0AcABQACkALAAgAEMAYQBuAGQAaQBkAGEAdA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aQBtAGkAbgBpAHMAaABpAG4AZwBWAGEAbAB1AGUAuwNcAG4AIAAgACAAIABEAEUAUwBDAFIASQBQAFQASQBPAE4AOgAqAC8ALwAqACoA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CoALwBcAG4AXABuAEQAaQBtAGkAbgBpAHMAaABpAG4AZwBWAGEAbAB1AGU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pAG0AaQBuAGkAcwBoAGkAbgBnAFYAYQBsAHUAZQC7AygAQwBvAHMAdAAsACAATABpAGYAZQApALYAXAAiACAAJgBcAG4AIAAgACAAIAAgACAAIAAgACAAIAAgACAAIAAgACAAIAAgACAAIAAgACAAIAAgACAAIAAgACAAIABcACIARABFAFMAQwBSAEkAUABUAEkATwBOADoAIAA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ABpAG0AaQBuAGkAcwBoAGkAbgBnAFYAYQBsAHUAZQC7AygAMQAwADAAMAAsACAANQApALYAXAAiACAAJgBcAG4AIAAgACAAIAAgACAAIAAgACAAIAAgACAAIAAgACAAIAAgACAAIAAgACAAIAAgACAAIAAgACAAIABcACIAkiFSAGUAcwB1AGwAdAC2AFwAIgAgACYAXABuACAAIAAgACAAIAAgACAAIAAgACAAIAAgACAAIAAgACAAIAAgACAAIAAgACAAIAAgACAAIAAgACAAXAAiAJIhNAAwADAALgAwADAALAAyADQAMAAuADAAMAAsADEANAA0AC4AMAAwACwAOAA2AC4ANAAwACwAMQAyADkALgA2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gBhAHQAZQAgAGkAcwAgAGMAYQBwAHAAZQBkADoAIABhACAAbABpAGYAZQAgAHUAbgBkAGUAcgAgAHQAdwBvACAAeQBlAGEAcgBzACAAdwBvAHUAbABkACAAbwB0AGgAZQByAHcAaQBzAGUAIABlAHgAYwBlAGUAZAAgADEAMAAwACUAXABuACAAIAAgACAAIAAgACAAIABSAGEAdABlACwAIAAgACAAIAAgACAAIAAgACAAIAAgAE0ASQBOACgAMgAvAEwAaQBmAGUALAAgADEAK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TAGUAdAAgAEMAbwBuAHMAdABhAG4AdABzAFwAbgAgACAAIAAgACAAIAAgACAAUABlAHIAaQBvAGQAcwAsACAAIAAgACAAIAAgACAAIABTAEUAUQBVAEUATgBDAEUAKAAsACAAQwBvAHUAbgB0ACkALABcAG4AIAAgACAAIAAvAC8AIAAgAFQAaABlACAAUABlAHIAaQBvAGQAcwA9ADEAIABnAHUAYQByAGQAIABhAHYAbwBpAGQAcwAgADAAXgAwACwAIAB3AGgAaQBjAGgAIABFAHgAYwBlAGwAIAByAGUAdAB1AHIAbgBzACAAYQBzACAAIwBOAFUATQAhACAAbwBuAGMAZQAgAFIAYQB0AGUAIAByAGUAYQBjAGgAZQBzACAAMQBcAG4AIAAgACAAIAAgACAAIAAgAFIAYQB3ACwAIAAgACAAIAAgACAAIAAgACAAIAAgACAAQwBvAHMAdAAgACoAIABSAGEAdABlACAAKgAgAEkARgAoAFAAZQByAGkAbwBkAHMAIAA9ACAAMQAsACAAMQAsACAAKAAxAC0AUgBhAHQAZQApAF4AKABQAGUAcgBpAG8AZABzAC0AMQApACkALABcAG4AIAAgACAAIAAvAC8AIAAgAFcAcgBpAHQAZQAgAHQAaABlACAAdQBuAGQAZQBkAHUAYwB0AGUAZAAgAHIAZQBzAGkAZAB1AGEAbAAgAG8AZgBmACAAaQBuACAAdABoAGUAIABmAGkAbgBhAGwAIABwAGUAcgBpAG8AZABcAG4AIAAgACAAIAAgACAAIAAgAFIAZQBzAHUAbAB0ACwAIAAgACAAIAAgACAAIAAgACAAUgBhAHcAIAArACAAKABQAGUAcgBpAG8AZABzACAAPQAgAEMAbwB1AG4AdAApACAAKgAgACgAQwBvAHMAdAAgAC0AIABTAFUATQAoAFIAYQB3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yAGkAbQBlAEMAbwBzAHQAuwNcAG4AIAAgACAAIABEAEUAUwBDAFIASQBQAFQASQBPAE4AOgAqAC8ALwAqACoA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KgAvAFwAbgBcAG4AUAByAGkAbQBlAEMAbwBzAHQ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yAGkAbQBlAEMAbwBzAHQAuwMoAEMAbwBzAHQALAAgAEwAaQBmAGUAKQC2AFwAIgAgACYAXABuACAAIAAgACAAIAAgACAAIAAgACAAIAAgACAAIAAgACAAIAAgACAAIAAgACAAIAAgACAAIAAgACAAXAAiAEQARQBTAEMAUgBJAFAAVABJAE8ATgA6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AByAGkAbQBlAEMAbwBzAHQAuwMoADEAMAAwADAALAAgADUAKQC2AFwAIgAgACYAXABuACAAIAAgACAAIAAgACAAIAAgACAAIAAgACAAIAAgACAAIAAgACAAIAAgACAAIAAgACAAIAAgACAAXAAiAJIhUgBlAHMAdQBsAHQAtgBcACIAIAAmAFwAbgAgACAAIAAgACAAIAAgACAAIAAgACAAIAAgACAAIAAgACAAIAAgACAAIAAgACAAIAAgACAAIAAgAFwAIgCSITIAMAAwAC4AMAAwACwAMgAwADAALgAwADAALAAyADAAMAAuADAAMAAsADIAMAAwAC4AMAAwACwAMgAw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wBlAHQAIABDAG8AbgBzAHQAYQBuAHQAcwBcAG4AIAAgACAAIAAgACAAIAAgAEEAbgBuAHUAYQBsACwAIAAgACAAIAAgACAAIAAgACAAQwBvAHMAdAAvAEwAaQBmAGU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VABoAGUAIABmAGkAbgBhAGwAIABwAGUAcgBpAG8AZAAgAGMAYQByAHIAaQBlAHMAIAB0AGgAZQAgAHAAYQByAHQALQB5AGUAYQByACAAcgBlAG0AYQBpAG4AZABlAHIALAAgAHMAbwAgAHQAaABlACAAcwBjAGgAZQBkAHUAbABlACAAcwB1AG0AcwAgAHQAbwAgAGMAbwBzAHQAXABuACAAIAAgACAAIAAgACAAIABSAGUAcwB1AGwAdAAsACAAIAAgACAAIAAgACAAIAAgAEkARgAoAFMARQBRAFUARQBOAEMARQAoACwAIABDAG8AdQBuAHQAKQAgAD0AIABDAG8AdQBuAHQALAAgAEMAbwBzAHQAIAAtACAAQQBuAG4AdQBhAGwAIAAqACAAKABDAG8AdQBuAHQAIAAtACAAMQApACwAIABBAG4AbgB1AGEAb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BAGQAZAC7A1wAbgAgACAAIAAgAEQARQBTAEMAUgBJAFAAVABJAE8ATgA6ACoALwAvACoAKgBBAGQAZABzACAARwBTAFQAIAB0AG8AIABvAG4AZQAgAG8AcgAgAG0AbwByAGUAIABHAFMAVAAtAGUAeABjAGwAdQBzAGkAdgBlACAAYQBtAG8AdQBuAHQAcwAuACoALwBcAG4AXABuAEcAUwBUAEEAZABk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EAZABkALsDKABBAG0AbwB1AG4AdABzACwAIABbAFIAYQB0AGUAXQApALYAXAAiACAAJgBcAG4AIAAgACAAIAAgACAAIAAgACAAIAAgACAAIAAgACAAIAAgACAAIAAgACAAIAAgACAAIAAgACAAIABcACIARABFAFMAQwBSAEkAUABUAEkATwBOADoAIAAgACAAkiFBAGQAZABzACAARwBTAFQAIAB0AG8AIABvAG4AZQAgAG8AcgAgAG0AbwByAGUAIABHAFMAVAAtAGUAeABjAGwAdQBzAGkAdgBlACAAYQBtAG8AdQBuAHQAcwAuALYATgBPAFQARQBTACEAIAAgACAAIAAgACAAIAAgACAAkiFUAGgAZQAgADEAMAAlACAAZABlAGYAYQB1AGwAdAAgAGEAbgBkACAAbwBuAGUALQBlAGwAZQB2AGUAbgB0AGgAIABlAHgAdAByAGEAYwB0AGkAbwBuACAAcgBlAGYAbABlAGMAdAAgAHQAaABlACAAYgBhAHMAaQBjACAAcgB1AGwAZQC2ACAAIAAgACAAIAAgACAAIAAgACAAIAAgACAAIAAgAJIhZgBvAHIAIABhACAAdABhAHgAYQBiAGwAZQAgAHMAdQBwAHAAbAB5ACAAaQBuACAAQQAgAE4AZQB3ACAAVABhAHgAIABTAHkAcwB0AGUAbQAgACgARwBvAG8AZABzACAAYQBuAGQAIABTAGUAcgB2AGkAYwBlAHMAIABUAGEAeAApALYAIAAgACAAIAAgACAAIAAgACAAIAAgACAAIAAgACAAkiFBAGMAdAAgADEAOQA5ADkAIABzAHMAIAA5AC0ANwAwACAAYQBuAGQAIAA5AC0ANwA1ACAAKABzAG8AdQByAGMAZQAgAGMAaABlAGMAawBlAGQAIAAyADAAIABBAHUAZwB1AHMAdAAgADIAMAAyADYAKQAuALYAIAAgACAAIAAgACAAIAAgACAAIAAgACAAIAAgACAAkiFSAGUAYwBoAGUAYwBrACAAdABoAGUAIABjAHUAcgByAGUAbgB0ACAAQQBjAHQALgAgAFQAaABlAHMAZQAgAGgAZQBsAHAAZQByAHMAIABhAHAAcABsAHkAIABhAHIAaQB0AGgAbQBlAHQAaQBjACAAbwBuAGwAeQA6ACAAdABoAGUAeQC2ACAAIAAgACAAIAAgACAAIAAgACAAIAAgACAAIAAgAJIhZABvACAAbgBvAHQAIABkAGUAYwBpAGQAZQAgAHcAaABlAHQAaABlAHIAIABhACAAcwB1AHAAcABsAHkAIABpAHMAIAB0AGEAeABhAGIAbABlACwAIABHAFMAVAAtAGYAcgBlAGUALAAgAGkAbgBwAHUAdAAgAHQAYQB4AGUAZAAsALYAIAAgACAAIAAgACAAIAAgACAAIAAgACAAIAAgACAAkiFvAHUAdABzAGkAZABlACAAdABoAGUAIABHAFMAVAAgAHMAeQBzAHQAZQBtACwAIABvAHIAIABzAHUAYgBqAGUAYwB0ACAAdABvACAAYQAgAHMAcABlAGMAaQBhAGwAIAByAHUAbABl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ZQB4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wBTAFQAQQBkAGQAuwMoADEAMAAwACkAtgBcACIAIAAmAFwAbgAgACAAIAAgACAAIAAgACAAIAAgACAAIAAgACAAIAAgACAAIAAgACAAIAAgACAAIAAgACAAIAAgAFwAIgCSIVIAZQBzAHUAbAB0ALYAXAAiACAAJgBcAG4AIAAgACAAIAAgACAAIAAgACAAIAAgACAAIAAgACAAIAAgACAAIAAgACAAIAAgACAAIAAgACAAIABcACIAkiExAD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XABuACAAIAAgACAAIAAgACAAIABHAFMAVABSAGEAdABlACwAIAAgACAAIAAgACAAIAAgAEkARgAoAE8AUgAoAEkAUwBPAE0ASQBUAFQARQBEACgAUgBhAHQAZQApACwAIABUAFIASQBNACgAUgBhAHQAZQAgACYAIABcACIAXAAiACkAPQBcACIAXAAiACkALAAgADAALgAxACwAIABSAGEAdABl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CgAMQAgACsAIABHAFMAVABSAGEAdA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RQB4AHQAcgBhAGMAdAC7A1wAbgAgACAAIAAgAEQARQBTAEMAUgBJAFAAVABJAE8ATgA6ACoALwAvACoAKgBSAGUAdAB1AHIAbgBzACAAdABoAGUAIABHAFMAVAAgAGMAbwBuAHQAYQBpAG4AZQBkACAAaQBuACAAbwBuAGUAIABvAHIAIABtAG8AcgBlACAARwBTAFQALQBpAG4AYwBsAHUAcwBpAHYAZQAgAGEAbQBvAHUAbgB0AHMALg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TgBPAFQARQBTACEAIAAgACAAIAAgACAAIAAgACAAkiFUAGgAZQAgADEAMAAlACAAZABlAGYAYQB1AGwAdAAgAGEAbgBkACAAbwBuAGUALQBlAGwAZQB2AGUAbgB0AGgAIABlAHgAdAByAGEAYwB0AGkAbwBuACAAcgBlAGYAbABlAGMAdAAgAHQAaABlACAAYgBhAHMAaQBjACAAcgB1AGwAZQC2ACAAIAAgACAAIAAgACAAIAAgACAAIAAgACAAIAAgAJIhZgBvAHIAIABhACAAdABhAHgAYQBiAGwAZQAgAHMAdQBwAHAAbAB5ACAAaQBuACAAQQAgAE4AZQB3ACAAVABhAHgAIABTAHkAcwB0AGUAbQAgACgARwBvAG8AZABzACAAYQBuAGQAIABTAGUAcgB2AGkAYwBlAHMAIABUAGEAeAApALYAIAAgACAAIAAgACAAIAAgACAAIAAgACAAIAAgACAAkiFBAGMAdAAgADEAOQA5ADkAIABzAHMAIAA5AC0ANwAwACAAYQBuAGQAIAA5AC0ANwA1ACAAKABzAG8AdQByAGMAZQAgAGMAaABlAGMAawBlAGQAIAAyADAAIABBAHUAZwB1AHMAdAAgADIAMAAyADYAKQAuALYAIAAgACAAIAAgACAAIAAgACAAIAAgACAAIAAgACAAkiFSAGUAYwBoAGUAYwBrACAAdABoAGUAIABjAHUAcgByAGUAbgB0ACAAQQBjAHQALgAgAFQAaABlAHMAZQAgAGgAZQBsAHAAZQByAHMAIABhAHAAcABsAHkAIABhAHIAaQB0AGgAbQBlAHQAaQBjACAAbwBuAGwAeQA6ACAAdABoAGUAeQC2ACAAIAAgACAAIAAgACAAIAAgACAAIAAgACAAIAAgAJIhZABvACAAbgBvAHQAIABkAGUAYwBpAGQAZQAgAHcAaABlAHQAaABlAHIAIABhACAAcwB1AHAAcABsAHkAIABpAHMAIAB0AGEAeABhAGIAbABlACwAIABHAFMAVAAtAGYAcgBlAGUALAAgAGkAbgBwAHUAdAAgAHQAYQB4AGUAZAAsALYAIAAgACAAIAAgACAAIAAgACAAIAAgACAAIAAgACAAkiFvAHUAdABzAGkAZABlACAAdABoAGUAIABHAFMAVAAgAHMAeQBzAHQAZQBtACwAIABvAHIAIABzAHUAYgBqAGUAYwB0ACAAdABvACAAYQAgAHMAcABlAGMAaQBhAGwAIAByAHUAbABl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aQBu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wBTAFQARQB4AHQAcgBhAGMAdAC7AygAMQAxADAAKQC2AFwAIgAgACYAXABuACAAIAAgACAAIAAgACAAIAAgACAAIAAgACAAIAAgACAAIAAgACAAIAAgACAAIAAgACAAIAAgACAAXAAiAJIhUgBlAHMAdQBsAHQAtgBcACIAIAAmAFwAbgAgACAAIAAgACAAIAAgACAAIAAgACAAIAAgACAAIAAgACAAIAAgACAAIAAgACAAIAAgACAAIAAgAFwAIgCSIT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XABuACAAIAAgACAAIAAgACAAIABHAFMAVABSAGEAdABlACwAIAAgACAAIAAgACAAIAAgAEkARgAoAE8AUgAoAEkAUwBPAE0ASQBUAFQARQBEACgAUgBhAHQAZQApACwAIABUAFIASQBNACgAUgBhAHQAZQAgACYAIABcACIAXAAiACkAPQBcACIAXAAiACkALAAgADAALgAxACwAIABSAGEAdABl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EcAUwBUAFIAYQB0AGUAIAAv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MAGUAYQBzAGUATABpAGEAYgBpAGwAaQB0AHkAuwNcAG4AIAAgACAAIABEAEUAUwBDAFIASQBQAFQASQBPAE4AOgAqAC8ALwAqACoAUAByAGUAcwBlAG4AdAAgAHYAYQBsAHUAZQAgAG8AZgAgAHQAaABlACAAbABlAGEAcwBlACAAcABhAHkAbQBlAG4AdABzACAAdABoAGEAdAAgAGEAcgBlACAAbgBvAHQAIABwAGEAaQBkACAAYQB0ACAAdABoAGUAIABjAG8AbQBtAGUAbgBjAGUAbQBlAG4AdAAgAGQAYQB0AGUAKgAvAFwAbgBcAG4ATABlAGEAcwBlAEwAaQBhAGIAaQBsAGkAdAB5ALsDIAA9ACAATABBAE0AQgBEAEEAKABcAG4ALwAvACAAIABQAGEAcgBhAG0AZQB0AGUAcgAgAEQAZQBjAGwAYQByAGEAdABpAG8AbgBcAG4AIAAgACAAIABbAFAAYQB5AG0AZQBuAHQAcwBdACwAXABuACAAIAAgACAAWwBSAGEAdABlAF0ALABcAG4AIAAgACAAIABbAEkAbgBBAGQAdgBhAG4AYw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TABlAGEAcwBlAEwAaQBhAGIAaQBsAGkAdAB5ALsDKABQAGEAeQBtAGUAbgB0AHMALAAgAFIAYQB0AGUALAAgAFsASQBuAEEAZAB2AGEAbgBjAGUAXQApALYAXAAiACAAJgBcAG4AIAAgACAAIAAgACAAIAAgACAAIAAgACAAIAAgACAAIAAgACAAIAAgACAAIAAgACAAIAAgACAAIABcACIARABFAFMAQwBSAEkAUABUAEkATwBOADoAIAAgACAAkiFQAHIAZQBzAGUAbgB0ACAAdgBhAGwAdQBlACAAbwBmACAAdABoAGUAIABsAGUAYQBzAGUAIABwAGEAeQBtAGUAbgB0AHMAIAB0AGgAYQB0ACAAYQByAGUAIABuAG8AdAAgAHAAYQBpAGQAIABhAHQAIAB0AGgAZQAgAGMAbwBtAG0AZQBuAGMAZQBtAGUAbgB0ACAAZABhAHQAZQAuALYATgBPAFQARQBTACEAIAAgACAAIAAgACAAIAAgACAAkiFBAEEAUwBCACAAMQA2ACAAcABhAHIAYQBnAHIAYQBwAGgAIAAyADYAIABtAGUAYQBzAHUAcgBlAHMAIAB0AGgAZQAgAGwAZQBhAHMAZQAgAGwAaQBhAGIAaQBsAGkAdAB5ACAAYQB0ACAAdABoAGUAIABwAHIAZQBzAGUAbgB0ACAAdgBhAGwAdQBlALYAIAAgACAAIAAgACAAIAAgACAAIAAgACAAIAAgACAAkiFvAGYAIAB0AGgAZQAgAGwAZQBhAHMAZQAgAHAAYQB5AG0AZQBuAHQAcwAgAG4AbwB0ACAAcABhAGkAZAAgAGEAdAAgAHQAaABlACAAYwBvAG0AbQBlAG4AYwBlAG0AZQBuAHQAIABkAGEAdABlACwAIABkAGkAcwBjAG8AdQBuAHQAZQBkACAAYQB0ALYAIAAgACAAIAAgACAAIAAgACAAIAAgACAAIAAgACAAkiF0AGgAZQAgAGkAbgB0AGUAcgBlAHMAdAAgAHIAYQB0AGUAIABpAG0AcABsAGkAYwBpAHQAIABpAG4AIAB0AGgAZQAgAGwAZQBhAHMAZQAgAHcAaABlAHIAZQAgAHQAaABhAHQAIAByAGEAdABlACAAYwBhAG4AIABiAGUAIAByAGUAYQBkAGkAbAB5ALYAIAAgACAAIAAgACAAIAAgACAAIAAgACAAIAAgACAAkiFkAGUAdABlAHIAbQBpAG4AZQBkACAAYQBuAGQAIABhAHQAIAB0AGgAZQAgAGwAZQBzAHMAZQBlACcAcwAgAGkAbgBjAHIAZQBtAGUAbgB0AGEAbAAgAGIAbwByAHIAbwB3AGkAbgBnACAAcgBhAHQAZQAgAHcAaABlAHIAZQAgAGkAdAC2ACAAIAAgACAAIAAgACAAIAAgACAAIAAgACAAIAAgAJIhYwBhAG4AbgBvAHQALgAgAFcAaABlAG4AIABJAG4AQQBkAHYAYQBuAGMAZQAgAGkAcwAgAFQAUgBVAEUALAAgAHQAaABlACAAZgBpAHIAcwB0ACAAcwB1AHAAcABsAGkAZQBkACAAcABhAHkAbQBlAG4AdAAgAGkAcwAgAHAAYQBpAGQAIABhAHQAtgAgACAAIAAgACAAIAAgACAAIAAgACAAIAAgACAAIACSIXQAaABlACAAbQBlAGEAcwB1AHIAZQBtAGUAbgB0ACAAZABhAHQAZQAgAGEAbgBkACAAZQB4AGMAbAB1AGQAZQBkACAAZgByAG8AbQAgAHQAaABlACAAbABpAGEAYgBpAGwAaQB0AHkALgAgAEEAZABkACAAYQAgAHAAYQB5AG0AZQBuAHQAtgAgACAAIAAgACAAIAAgACAAIAAgACAAIAAgACAAIACSIW0AYQBkAGUAIABhAHQAIABvAHIAIABiAGUAZgBvAHIAZQAgAGMAbwBtAG0AZQBuAGMAZQBtAGUAbgB0ACAAdABvACAAdABoAGUAIAByAGkAZwBoAHQALQBvAGYALQB1AHMAZQAgAGEAcwBzAGUAdAAgAGMAbwBzAHQAIABpAG4AcwB0AGUAYQBkAC4AtgAgACAAIAAgACAAIAAgACAAIAAgACAAIAAgACAAIACSIVIAYQB0AGUAIABpAHMAIABwAGUAcgAgAHAAZQByAGkAbwBkAC4AIABDAG8AbgB2AGUAcgB0ACAAYQBuACAAZQBmAGYAZQBjAHQAaQB2AGUAIABhAG4AbgB1AGEAbAAgAHIAYQB0AGUAIAB3AGkAdABoALYAIAAgACAAIAAgACAAIAAgACAAIAAgACAAIAAgACAAkiFQAGUAcgBpAG8AZABSAGEAdABlALsDKABBAG4AbgB1AGEAbABSAGEAdABlACwAIABQAGUAcgBpAG8AZABzAFAAZQByAFkAZQBhAHIAKQAuACAARABpAHYAaQBkAGUAIABhACAAbgBvAG0AaQBuAGEAbAAgAGEAbgBuAHUAYQBsACAAcgBhAHQAZQC2ACAAIAAgACAAIAAgACAAIAAgACAAIAAgACAAIAAgAJIhYgB5ACAAUABlAHIAaQBvAGQAcwBQAGUAcgBZAGUAYQByACAAbwBuAGwAeQAgAHcAaABlAG4AIABpAHQAcwAgAGMAbwBtAHAAbwB1AG4AZABpAG4AZwAgAHAAZQByAGkAbwBkAHMAIABtAGEAdABjAGgAIAB0AGgAZQAgAHAAYQB5AG0AZQBuAHQAcwAuALYAIAAgACAAIAAgACAAIAAgACAAIAAgACAAIAAgACAAkiFJAG4AYwBsAHUAZABlACAAYQBuACAAYQBtAG8AdQBuAHQAIABlAHgAcABlAGMAdABlAGQAIAB0AG8AIABiAGUAIABwAGEAeQBhAGIAbABlACAAdQBuAGQAZQByACAAYQC2ACAAIAAgACAAIAAgACAAIAAgACAAIAAgACAAIAAgAJIhcgBlAHMAaQBkAHUAYQBsACAAdgBhAGwAdQBlACAAZwB1AGEAcgBhAG4AdABlAGUALAAgAG8AcgAgAHQAaABlACAAZQB4AGUAcgBjAGkAcwBlACAAcAByAGkAYwBlACAAbwBmACAAYQAgAHAAdQByAGMAaABhAHMAZQAgAG8AcAB0AGkAbwBuACwAtgAgACAAIAAgACAAIAAgACAAIAAgACAAIAAgACAAIACSIWkAbgAgAHQAaABlACAAZgBpAG4AYQBsACAAcABlAHIAaQBvAGQAIAB3AGgAZQByAGUAIABwAGEAcgBhAGcAcgBhAHAAaAAgADIANwAgAGIAcgBpAG4AZwBzACAAaQB0ACAAaQBuAHQAbwAgAHQAaABlACAAbABlAGEAcwBlALYAIAAgACAAIAAgACAAIAAgACAAIAAgACAAIAAgACAAkiFwAGEAeQBtAGUAbgB0AHMALgAgAEkAUgBSALsDKAApACAAbwB2AGUAcgAgAHQAaABlACAAcwBhAG0AZQAgAGMAYQBzAGgAIABmAGwAbwB3AHMAIABnAGkAdgBlAHMAIABhAG4AIABpAG0AcABsAGkAYwBpAHQAIAByAGEAdABlACAAcABlAHIAIAB5AGUAYQByADsAtgAgACAAIAAgACAAIAAgACAAIAAgACAAIAAgACAAIACSIWMAbwBuAHYAZQByAHQAIABpAHQAIAB0AG8AIAB0AGgAZQAgAHIAYQB0AGUAIABwAGUAcgAgAHAAZQByAGkAbwBkACwAIAAoADEAIAArACAAYQBuAG4AdQBhAGwAKQAgAF4AIAAoADEAIAAvACAAMQAyACkAIAAtACAAMQAgAGYAbwByACAAbQBvAG4AdABoAHMALAC2ACAAIAAgACAAIAAgACAAIAAgACAAIAAgACAAIAAgAJIhYgBlAGYAbwByAGUAIABwAGEAcwBzAGkAbgBnACAAaQB0ACAAaABlAHIAZQAuALYAIAAgACAAIAAgACAAIAAgACAAIAAgACAAIAAgACAAkiFBAHIAaQB0AGgAbQBlAHQAaQBjACAAbwBuAGwAeQA6ACAAdABoAGkAcwAgAGQAbwBlAHMAIABuAG8AdAAgAGQAZQB0AGUAcgBtAGkAbgBlACAAdABoAGUAIABsAGUAYQBzAGUAIAB0AGUAcgBtACwAIABkAGUAYwBpAGQAZQAgAHcAaABhAHQAIABpAHMAtgAgACAAIAAgACAAIAAgACAAIAAgACAAIAAgACAAIACSIWEAIABsAGUAYQBzAGUAIABwAGEAeQBtAGUAbgB0ACwAIABvAHIAIABkAGUAYwBpAGQAZQAgAHcAaABlAHQAaABlAHIAIAB0AGgAZQAgAGEAcgByAGEAbgBnAGUAbQBlAG4AdAAgAGMAbwBuAHQAYQBpAG4AcwAgAGEAIABsAGUAYQBzAGUALgC2ACAAIAAgACAAIAAgACAAIAAgACAAIAAgACAAIAAgAJIhQQBBAFMAQgAgADEANgAgAGMAbwBtAHAAaQBsAGEAdABpAG8AbgAgAGMAaABlAGMAawBlAGQAIAAyADQAIABBAHUAZwB1AHMAdAAgADIAMAAyADY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BAHUAZwAgADIAMAAyADYAtgBcACIAIAAmAFwAbgAgACAAIAAgACAAIAAgACAAIAAgACAAIAAgACAAIAAgACAAIAAgACAAIAAgACAAIAAgACAAIAAgAFwAIgBQAEEAUgBBAE0ARQBUAEUAUgBTADoAIAAgACAAIACSIbYAXAAiACAAJgBcAG4AIAAgACAAIAAgACAAIAAgACAAIAAgACAAIAAgACAAIAAgACAAIAAgACAAIAAgACAAIAAgACAAIABcACIAUABhAHkAbQBlAG4AdABzACAAIAAgACAAIAAgACAAkiEoAFIAZQBxAHUAaQByAGUAZAApACAATwBuAGUAIAByAG8AdwAgAG8AcgAgAG8AbgBlACAAYwBvAGwAdQBtAG4AIABvAGYAIABsAGUAYQBzAGUAIABwAGEAeQBtAGUAbgB0AHMALAAgAG8AbgBlACAAcABlAHIAIABwAGUAcgBpAG8AZAAsACAAZQBuAHQAZQByAGUAZAAgAHAAbwBzAGkAdABpAHYAZQAuACAASQBuAGMAbAB1AGQAZQAgAHQAaABlACAAbQBlAGEAcwB1AHIAZQBtAGUAbgB0AC0AZABhAHQAZQAgAHAAYQB5AG0AZQBuAHQAIABmAGkAcgBzAHQAIAB3AGgAZQBuACAASQBuAEEAZAB2AGEAbgBjAGUAIABpAHMAIABUAFIAVQBFAC4AtgBcACIAIAAmAFwAbgAgACAAIAAgACAAIAAgACAAIAAgACAAIAAgACAAIAAgACAAIAAgACAAIAAgACAAIAAgACAAIAAgAFwAIgBSAGEAdABlACAAIAAgACAAIAAgACAAIAAgACAAIACSISgAUgBlAHEAdQBpAHIAZQBkACkAIABEAGkAcwBjAG8AdQBuAHQAIAByAGEAdABlACAAcABlAHIAIABwAGUAcgBpAG8AZAAsACAAbgBvAHQAIABwAGUAcgAgAHkAZQBhAHIALgC2AFwAIgAgACYAXABuACAAIAAgACAAIAAgACAAIAAgACAAIAAgACAAIAAgACAAIAAgACAAIAAgACAAIAAgACAAIAAgACAAXAAiAEkAbgBBAGQAdgBhAG4AYwBlACAAIAAgACAAIAAgAJIhKABPAHAAdABpAG8AbgBhAGwAOgAgAEQAZQBmAGEAdQBsAHQAIAA9ACAARgBBAEwAUwBFACkAIABUAFIAVQBFACAAdwBoAGUAbgAgAHQAaABlACAAZgBpAHIAcwB0ACAAcwB1AHAAcABsAGkAZQBkACAAcABhAHkAbQBlAG4AdAAgAGkAcwAgAHAAYQBpAGQAIABhAHQAIAB0AGgAZQAgAG0AZQBhAHMAdQByAGUAbQBlAG4AdAAgAGQAYQB0AGU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MAGUAYQBzAGUATABpAGEAYgBpAGwAaQB0AHkAuwMoAHsAMQAwADAALAAxADAAMAAsADEAMAAwAH0ALAAgADAALgAwADUAKQC2AFwAIgAgACYAXABuACAAIAAgACAAIAAgACAAIAAgACAAIAAgACAAIAAgACAAIAAgACAAIAAgACAAIAAgACAAIAAgACAAXAAiAJIhUgBlAHMAdQBsAHQAtgBcACIAIAAmAFwAbgAgACAAIAAgACAAIAAgACAAIAAgACAAIAAgACAAIAAgACAAIAAgACAAIAAgACAAIAAgACAAIAAgAFwAIgCSITIANwAyAC4AMwAy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QAGEAeQBtAGUAbgB0AHMAKQAsACAASQBTAE8ATQBJAFQAVABFAEQAKABSAGEAdABlACkAKQAsAFwAbgAgACAAIAAgAC8ALwAgACAAQQAgAGIAbABhAG4AawAgAEkAbgBBAGQAdgBhAG4AYwBlACAAYwBlAGwAbAAgAGkAcwAgAG4AbwB0ACAAYQBuACAAbwBtAGkAdAB0AGUAZAAgAGEAcgBnAHUAbQBlAG4AdAAsACAAcwBvACAAdABlAHMAdAAgAGYAbwByACAAYgBvAHQAaABcAG4AIAAgACAAIAAgACAAIAAgAEEAZAB2AGEAbgBjAGUAPwAsACAAIAAgACAAIAAgACAASQBGACgATwBSACgASQBTAE8ATQBJAFQAVABFAEQAKABJAG4AQQBkAHYAYQBuAGMAZQApACwAIABUAFIASQBNACgASQBuAEEAZAB2AGEAbgBjAGUAIAAmACAAXAAiAFwAIgApAD0AXAAiAFwAIgApACwAIABGAEEATABTAEUALAAgAEkAbgBBAGQAdgBhAG4AYwBlACkALABcAG4AIAAgACAAIAAvAC8AIAAgAE8AbgBlACAAbABlAGEAcwBlACAAYQB0ACAAYQAgAHQAaQBtAGUALAAgAGwAYQBpAGQAIABhAGwAbwBuAGcAIABhACAAcgBvAHcAIAB0AGgAZQAgAHcAYQB5ACAAdABoAGUAIAB0AGkAbQBlAGwAaQBuAGUAIABoAGUAbABwAGUAcgBzACAAZQB4AHAAZQBjAHQAXABuACAAIAAgACAAIAAgACAAIABGAGwAYQB0ACwAIAAgACAAIAAgACAAIAAgACAAIAAgAEkARgAoAFIATwBXAFMAKABQAGEAeQBtAGUAbgB0AHMAKQAgAD0AIAAxACwAIABQAGEAeQBtAGUAbgB0AHMALAAgAFQAUgBBAE4AUwBQAE8AUwBFACgAUABhAHkAbQBlAG4AdABzACkAKQAsAFwAbgAgACAAIAAgACAAIAAgACAAQwBvAHUAbgB0ACwAIAAgACAAIAAgACAAIAAgACAAIABDAE8ATABVAE0ATgBTACgARgBsAGEAdAApACwAXABuACAAIAAgACAALwAvACAAIABUAGgAZQAgAGYAaQByAHMAdAAgAGkAbgAtAGEAZAB2AGEAbgBjAGUAIABwAGEAeQBtAGUAbgB0ACAAaQBzACAAbQBhAGQAZQAgAGEAdAAgAHQAaABlACAAbQBlAGEAcwB1AHIAZQBtAGUAbgB0ACAAZABhAHQAZQAsACAAbgBvAHQAIABsAGUAZgB0ACAAdQBuAHAAYQBpAGQAXABuACAAIAAgACAAIAAgACAAIABMAGkAYQBiAGkAbABpAHQAeQBQAGEAeQBtAGUAbgB0AHMALAAgAEkARgAoAEEATgBEACgAQQBkAHYAYQBuAGMAZQA/ACwAIABDAG8AdQBuAHQAIAA+ACAAMQApACwAXABuACAAIAAgACAAIAAgACAAIAAgACAAIAAgACAAIAAgACAAIAAgACAAIAAgACAAIAAgACAAIAAgACAAIAAgACAAIABEAFIATwBQACgARgBsAGEAdAAsACAALAAgADEAKQAsAFwAbgAgACAAIAAgACAAIAAgACAAIAAgACAAIAAgACAAIAAgACAAIAAgACAAIAAgACAAIAAgACAAIAAgACAAIAAgACAASQBGACgAQQBkAHYAYQBuAGMAZQA/ACwAIAAwACwAIABGAGwAYQB0ACkAKQAsAFwAbgAgACAAIAAgACAAIAAgACAARQB4AHAAbwBuAGUAbgB0AHMALAAgACAAIAAgACAAIABTAEUAUQBVAEUATgBDAEUAKAAxACwAIABDAE8ATABVAE0ATgBTACgATABpAGEAYgBpAGwAaQB0AHkAUABhAHkAbQBlAG4AdABzACkAKQAsAFwAbgAgACAAIAAgACAAIAAgACAAUgBlAHMAdQBsAHQALAAgACAAIAAgACAAIAAgACAAIABTAFUATQAoAEwAaQBhAGIAaQBsAGkAdAB5AFAAYQB5AG0AZQBuAHQAcwAgAC8AIAAoADEAIAArACAAUgBhAHQAZQApACAAXgAgAEUAeABwAG8AbgBlAG4AdABz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TABlAGEAcwBlAFMAYwBoAGUAZAB1AGwAZQC7A1wAbgAgACAAIAAgAEQARQBTAEMAUgBJAFAAVABJAE8ATgA6ACoALwAvACoAKgBVAG4AdwBpAG4AZABzACAAYQBuACAAQQBBAFMAQgAgADEANgAgAGwAZQBhAHMAZQAgAGwAaQBhAGIAaQBsAGkAdAB5ADoAIABvAHAAZQBuAGkAbgBnACwAIABwAGEAeQBtAGUAbgB0ACwAIABpAG4AdABlAHIAZQBzAHQAIABhAG4AZAAgAGMAbABvAHMAaQBuAGcAIABmAG8AcgAgAGUAYQBjAGgAIABwAGUAcgBpAG8AZAAqAC8AXABuAFwAbgBMAGUAYQBzAGUAUwBjAGgAZQBkAHUAbABlALsDIAA9ACAATABBAE0AQgBEAEEAKABcAG4ALwAvACAAIABQAGEAcgBhAG0AZQB0AGUAcgAgAEQAZQBjAGwAYQByAGEAdABpAG8AbgBcAG4AIAAgACAAIABbAFAAYQB5AG0AZQBuAHQAcwBdACwAXABuACAAIAAgACAAWwBSAGEAdABlAF0ALABcAG4AIAAgACAAIABbAEkAbgBBAGQAdgBhAG4AYw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TABlAGEAcwBlAFMAYwBoAGUAZAB1AGwAZQC7AygAUABhAHkAbQBlAG4AdABzACwAIABSAGEAdABlACwAIABbAEkAbgBBAGQAdgBhAG4AYwBlAF0AKQC2AFwAIgAgACYAXABuACAAIAAgACAAIAAgACAAIAAgACAAIAAgACAAIAAgACAAIAAgACAAIAAgACAAIAAgACAAIAAgACAAXAAiAEQARQBTAEMAUgBJAFAAVABJAE8ATgA6ACAAIAAgAJIhVQBuAHcAaQBuAGQAcwAgAGEAbgAgAEEAQQBTAEIAIAAxADYAIABsAGUAYQBzAGUAIABsAGkAYQBiAGkAbABpAHQAeQAgAG8AdgBlAHIAIABpAHQAcwAgAHQAZQByAG0ALgC2AE4ATwBUAEUAUwAhACAAIAAgACAAIAAgACAAIAAgAJIhUgBlAHQAdQByAG4AcwAgAGYAbwB1AHIAIAByAG8AdwBzADoAIABvAHAAZQBuAGkAbgBnACAAbABpAGEAYgBpAGwAaQB0AHkALAAgAHAAYQB5AG0AZQBuAHQALAAgAGkAbgB0AGUAcgBlAHMAdAAsACAAYwBsAG8AcwBpAG4AZwC2ACAAIAAgACAAIAAgACAAIAAgACAAIAAgACAAIAAgAJIhbABpAGEAYgBpAGwAaQB0AHkALgAgAFcAaABlAG4AIABJAG4AQQBkAHYAYQBuAGMAZQAgAGkAcwAgAFQAUgBVAEUALAAgAHQAaABlACAAZgBpAHIAcwB0ACAAcwB1AHAAcABsAGkAZQBkACAAcABhAHkAbQBlAG4AdAAgAGkAcwAgAHAAYQBpAGQAtgAgACAAIAAgACAAIAAgACAAIAAgACAAIAAgACAAIACSIWEAdAAgAHQAaABlACAAbQBlAGEAcwB1AHIAZQBtAGUAbgB0ACAAZABhAHQAZQAgAGEAbgBkACAAaQBzACAAZQB4AGMAbAB1AGQAZQBkACAAZgByAG8AbQAgAGIAbwB0AGgAIAB0AGgAZQAgAG8AcABlAG4AaQBuAGcAIABsAGkAYQBiAGkAbABpAHQAeQC2ACAAIAAgACAAIAAgACAAIAAgACAAIAAgACAAIAAgAJIhYQBuAGQAIAB0AGgAZQAgAHAAYQB5AG0AZQBuAHQAIAByAG8AdwAuACAARQBhAGMAaAAgAHIAZQBtAGEAaQBuAGkAbgBnACAAcABhAHkAbQBlAG4AdAAgAGYAbwBsAGwAbwB3AHMAIABvAG4AZQAgAHAAZQByAGkAbwBkACAAbwBmALYAIAAgACAAIAAgACAAIAAgACAAIAAgACAAIAAgACAAkiFpAG4AdABlAHIAZQBzAHQALAAgAHMAbwAgAGMAbABvAHMAaQBuAGcAIABpAHMAIABvAHAAZQBuAGkAbgBnACAAcABsAHUAcwAgAGkAbgB0AGUAcgBlAHMAdAAgAGwAZQBzAHMAIABwAGEAeQBtAGUAbgB0ACAAYQBuAGQAIAB0AGgAZQAgAGwAYQBzAHQAtgAgACAAIAAgACAAIAAgACAAIAAgACAAIAAgACAAIACSIWMAbABvAHMAaQBuAGcAIABiAGEAbABhAG4AYwBlACAAaQBzACAAbgBpAGwALgAgAFQAaABlACAAcgBlAHMAdQBsAHQAIABoAGEAcwAgAG8AbgBlACAAZgBlAHcAZQByACAAYwBvAGwAdQBtAG4AIABmAG8AcgAgAHAAYQB5AG0AZQBuAHQAcwAgAGkAbgC2ACAAIAAgACAAIAAgACAAIAAgACAAIAAgACAAIAAgAJIhYQBkAHYAYQBuAGMAZQA7ACAAYQAgAHMAbwBsAGUAIABtAGUAYQBzAHUAcgBlAG0AZQBuAHQALQBkAGEAdABlACAAcABhAHkAbQBlAG4AdAAgAHIAZQB0AHUAcgBuAHMAIABvAG4AZQAgAHoAZQByAG8AIABjAG8AbAB1AG0AbgAuACAAVABoAGUAtgAgACAAIAAgACAAIAAgACAAIAAgACAAIAAgACAAIACSIW8AcABlAG4AaQBuAGcAIABiAGEAbABhAG4AYwBlACAAaQBzACAATABlAGEAcwBlAEwAaQBhAGIAaQBsAGkAdAB5ALsDKAApACAAbwBuACAAdABoAGUAIABzAGEAbQBlACAAYQByAGcAdQBtAGUAbgB0AHMALgAgAFAAYQBpAHIAIAB0AGgAaQBzALYAIAAgACAAIAAgACAAIAAgACAAIAAgACAAIAAgACAAkiF3AGkAdABoACAAUgBPAFUAUwBjAGgAZQBkAHUAbABlALsDKAApACAAZgBvAHIAIAB0AGgAZQAgAGEAcwBzAGUAdAAgAHQAaABhAHQAIABzAGkAdABzACAAbwBwAHAAbwBzAGkAdABlACAAaQB0ADoAIAB0AGgAZQAgAHQAdwBvALYAIAAgACAAIAAgACAAIAAgACAAIAAgACAAIAAgACAAkiF0AG8AZwBlAHQAaABlAHIAIABnAGkAdgBlACAAdABoAGUAIABmAHIAbwBuAHQALQBsAG8AYQBkAGUAZAAgAGUAeABwAGUAbgBzAGUAIABwAHIAbwBmAGkAbABlACAAQQBBAFMAQgAgADEANgAgAHAAcgBvAGQAdQBjAGUAcwAuALYAIAAgACAAIAAgACAAIAAgACAAIAAgACAAIAAgACAAkiFBAHIAaQB0AGgAbQBlAHQAaQBjACAAbwBuAGwAeQAsACAAbwBuACAAdABoAGUAIABwAGEAeQBtAGUAbgB0AHMAIABhAG4AZAAgAHIAYQB0AGUAIAB5AG8AdQAgAHMAdQBwAHAAbAB5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0ACAAQQB1AGcAIAAyADAAMgA2ALYAXAAiACAAJgBcAG4AIAAgACAAIAAgACAAIAAgACAAIAAgACAAIAAgACAAIAAgACAAIAAgACAAIAAgACAAIAAgACAAIABcACIAUABBAFIAQQBNAEUAVABFAFIAUwA6ACAAIAAgACAAkiG2AFwAIgAgACYAXABuACAAIAAgACAAIAAgACAAIAAgACAAIAAgACAAIAAgACAAIAAgACAAIAAgACAAIAAgACAAIAAgACAAXAAiAFAAYQB5AG0AZQBuAHQAcwAgACAAIAAgACAAIAAgAJIhKABSAGUAcQB1AGkAcgBlAGQAKQAgAE8AbgBlACAAcgBvAHcAIABvAHIAIABvAG4AZQAgAGMAbwBsAHUAbQBuACAAbwBmACAAbABlAGEAcwBlACAAcABhAHkAbQBlAG4AdABzACwAIABvAG4AZQAgAHAAZQByACAAcABlAHIAaQBvAGQALAAgAGUAbgB0AGUAcgBlAGQAIABwAG8AcwBpAHQAaQB2AGUALgAgAEkAbgBjAGwAdQBkAGUAIAB0AGgAZQAgAG0AZQBhAHMAdQByAGUAbQBlAG4AdAAtAGQAYQB0AGUAIABwAGEAeQBtAGUAbgB0ACAAZgBpAHIAcwB0ACAAdwBoAGUAbgAgAEkAbgBBAGQAdgBhAG4AYwBlACAAaQBzACAAVABSAFUARQAuALYAXAAiACAAJgBcAG4AIAAgACAAIAAgACAAIAAgACAAIAAgACAAIAAgACAAIAAgACAAIAAgACAAIAAgACAAIAAgACAAIABcACIAUgBhAHQAZQAgACAAIAAgACAAIAAgACAAIAAgACAAkiEoAFIAZQBxAHUAaQByAGUAZAApACAARABpAHMAYwBvAHUAbgB0ACAAcgBhAHQAZQAgAHAAZQByACAAcABlAHIAaQBvAGQALAAgAG4AbwB0ACAAcABlAHIAIAB5AGUAYQByAC4AtgBcACIAIAAmAFwAbgAgACAAIAAgACAAIAAgACAAIAAgACAAIAAgACAAIAAgACAAIAAgACAAIAAgACAAIAAgACAAIAAgAFwAIgBJAG4AQQBkAHYAYQBuAGMAZQAgACAAIAAgACAAIACSISgATwBwAHQAaQBvAG4AYQBsADoAIABEAGUAZgBhAHUAbAB0ACAAPQAgAEYAQQBMAFMARQApACAAVABSAFUARQAgAHcAaABlAG4AIAB0AGgAZQAgAGYAaQByAHMAdAAgAHMAdQBwAHAAbABpAGUAZAAgAHAAYQB5AG0AZQBuAHQAIABpAHMAIABwAGEAaQBkACAAYQB0ACAAdABoAGUAIABtAGUAYQBzAHUAcgBlAG0AZQBuAHQAIABkAGEAdABl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TABlAGEAcwBlAFMAYwBoAGUAZAB1AGwAZQC7AygAewAxADAAMAAsADEAMAAwACwAMQAwADAAfQAsACAAMAAuADAANQApALYAXAAiACAAJgBcAG4AIAAgACAAIAAgACAAIAAgACAAIAAgACAAIAAgACAAIAAgACAAIAAgACAAIAAgACAAIAAgACAAIABcACIAkiFSAGUAcwB1AGwAdAC2AFwAIgAgACYAXABuACAAIAAgACAAIAAgACAAIAAgACAAIAAgACAAIAAgACAAIAAgACAAIAAgACAAIAAgACAAIAAgACAAXAAiAJIhMgA3ADIALgAzADIALAAgADEAOAA1AC4AOQA0ACwAIAAgADkANQAuADIANAC2AFwAIgAgACYAXABuACAAIAAgACAAIAAgACAAIAAgACAAIAAgACAAIAAgACAAIAAgACAAIAAgACAAIAAgACAAIAAgACAAXAAiAJIhMQAwADAALgAwADAALAAgADEAMAAwAC4AMAAwACwAIAAxADAAMAAuADAAMAC2AFwAIgAgACYAXABuACAAIAAgACAAIAAgACAAIAAgACAAIAAgACAAIAAgACAAIAAgACAAIAAgACAAIAAgACAAIAAgACAAXAAiAJIhIAAxADMALgA2ADIALAAgACAAIAA5AC4AMwAwACwAIAAgACAANAAuADcANgC2AFwAIgAgACYAXABuACAAIAAgACAAIAAgACAAIAAgACAAIAAgACAAIAAgACAAIAAgACAAIAAgACAAIAAgACAAIAAgACAAXAAiAJIhMQA4ADUALgA5ADQALAAgACAAOQA1AC4AMgA0ACwAIAAgAC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UABhAHkAbQBlAG4AdABzACkALAAgAEkAUwBPAE0ASQBUAFQARQBEACgAUgBhAHQAZQApACkALABcAG4AIAAgACAAIAAvAC8AIAAgAEEAIABiAGwAYQBuAGsAIABJAG4AQQBkAHYAYQBuAGMAZQAgAGMAZQBsAGwAIABpAHMAIABuAG8AdAAgAGEAbgAgAG8AbQBpAHQAdABlAGQAIABhAHIAZwB1AG0AZQBuAHQALAAgAHMAbwAgAHQAZQBzAHQAIABmAG8AcgAgAGIAbwB0AGgAXABuACAAIAAgACAAIAAgACAAIABBAGQAdgBhAG4AYwBlAD8ALAAgACAAIAAgACAAIAAgAEkARgAoAE8AUgAoAEkAUwBPAE0ASQBUAFQARQBEACgASQBuAEEAZAB2AGEAbgBjAGUAKQAsACAAVABSAEkATQAoAEkAbgBBAGQAdgBhAG4AYwBlACAAJgAgAFwAIgBcACIAKQA9AFwAIgBcACIAKQAsACAARgBBAEwAUwBFACwAIABJAG4AQQBkAHYAYQBuAGMAZQApACwAXABuACAAIAAgACAALwAvACAAIABPAG4AZQAgAGwAZQBhAHMAZQAgAGEAdAAgAGEAIAB0AGkAbQBlACwAIABsAGEAaQBkACAAYQBsAG8AbgBnACAAYQAgAHIAbwB3ACAAdABoAGUAIAB3AGEAeQAgAHQAaABlACAAdABpAG0AZQBsAGkAbgBlACAAaABlAGwAcABlAHIAcwAgAGUAeABwAGUAYwB0AFwAbgAgACAAIAAgACAAIAAgACAARgBsAGEAdAAsACAAIAAgACAAIAAgACAAIAAgACAAIABJAEYAKABSAE8AVwBTACgAUABhAHkAbQBlAG4AdABzACkAIAA9ACAAMQAsACAAUABhAHkAbQBlAG4AdABzACwAIABUAFIAQQBOAFMAUABPAFMARQAoAFAAYQB5AG0AZQBuAHQAcwApACkALABcAG4AIAAgACAAIAAgACAAIAAgAEkAbgBwAHUAdABDAG8AdQBuAHQALAAgACAAIAAgACAAQwBPAEwAVQBNAE4AUwAoAEYAbABhAHQAKQAsAFwAbgAgACAAIAAgACAAIAAgACAATABpAGEAYgBpAGwAaQB0AHkAUABhAHkAbQBlAG4AdABzACwAIABJAEYAKABBAE4ARAAoAEEAZAB2AGEAbgBjAGUAPwAsACAASQBuAHAAdQB0AEMAbwB1AG4AdAAgAD4AIAAxACkALABcAG4AIAAgACAAIAAgACAAIAAgACAAIAAgACAAIAAgACAAIAAgACAAIAAgACAAIAAgACAAIAAgACAAIAAgACAAIAAgAEQAUgBPAFAAKABGAGwAYQB0ACwAIAAsACAAMQApACwAXABuACAAIAAgACAAIAAgACAAIAAgACAAIAAgACAAIAAgACAAIAAgACAAIAAgACAAIAAgACAAIAAgACAAIAAgACAAIABJAEYAKABBAGQAdgBhAG4AYwBlAD8ALAAgADAALAAgAEYAbABhAHQAKQApACwAXABuACAAIAAgACAAIAAgACAAIABDAG8AdQBuAHQALAAgACAAIAAgACAAIAAgACAAIAAgAEMATwBMAFUATQBOAFMAKABMAGkAYQBiAGkAbABpAHQAeQBQAGEAeQBtAGUAbgB0AHMAKQAsAFwAbgAgACAAIAAgACAAIAAgACAATwBwAGUAbgBpAG4AZwAxACwAIAAgACAAIAAgACAAIABMAGUAYQBzAGUATABpAGEAYgBpAGwAaQB0AHkAuwMoAEYAbABhAHQALAAgAFIAYQB0AGUALAAgAEEAZAB2AGEAbgBjAGUAPwApACwAXABuACAAIAAgACAALwAvACAAIABFAHYAZQByAHkAIABwAGEAeQBtAGUAbgB0ACAAbABlAGYAdAAgAGkAbgAgAHQAaABlACAAbABpAGEAYgBpAGwAaQB0AHkAIAB2AGUAYwB0AG8AcgAgAGYAbwBsAGwAbwB3AHMAIABvAG4AZQAgAHAAZQByAGkAbwBkACAAbwBmACAAaQBuAHQAZQByAGUAcwB0AFwAbgAgACAAIAAgACAAIAAgACAAQwBsAG8AcwBpAG4AZwBzACwAIAAgACAAIAAgACAAIABTAEMAQQBOACgATwBwAGUAbgBpAG4AZwAxACwAIABMAGkAYQBiAGkAbABpAHQAeQBQAGEAeQBtAGUAbgB0AHMALAAgAEwAQQBNAEIARABBACgAQgBhAGwAYQBuAGMAZQAsACAAUABhAHkAbQBlAG4AdAAsAFwAbgAgACAAIAAgACAAIAAgACAAIAAgACAAIAAgACAAIAAgACAAIAAgACAAIAAgACAAIAAgACAAIAAgAEIAYQBsAGEAbgBjAGUAIAAqACAAKAAxACAAKwAgAFIAYQB0AGUAKQAgAC0AIABQAGEAeQBtAGUAbgB0ACkAKQAsAFwAbgAgACAAIAAgAC8ALwAgACAARQBhAGMAaAAgAG8AcABlAG4AaQBuAGcAIABpAHMAIAB0AGgAZQAgAGMAbABvAHMAaQBuAGcAIABiAGUAZgBvAHIAZQAgAGkAdAAuACAAQQAgAG8AbgBlAC0AcABlAHIAaQBvAGQAIABsAGUAYQBzAGUAIABoAGEAcwAgAG4AbwAgAGMAbABvAHMAaQBuAGcAIAB0AG8AIABzAGgAaQBmAHQALgBcAG4AIAAgACAAIAAgACAAIAAgAE8AcABlAG4AaQBuAGcAcwAsACAAIAAgACAAIAAgACAASQBGACgAQwBvAHUAbgB0ACAAPQAgADEALAAgAE8AcABlAG4AaQBuAGcAMQAsACAASABTAFQAQQBDAEsAKABPAHAAZQBuAGkAbgBnADEALAAgAEQAUgBPAFAAKABDAGwAbwBzAGkAbgBnAHMALAAgACwAIAAtADEAKQApACkALABcAG4AIAAgACAAIAAgACAAIAAgAEkAbgB0AGUAcgBlAHMAdAAsACAAIAAgACAAIAAgACAATwBwAGUAbgBpAG4AZwBzACAAKgAgAFIAYQB0AGUALABcAG4AIAAgACAAIAAgACAAIAAgAFIAZQBzAHUAbAB0ACwAIAAgACAAIAAgACAAIAAgACAAVgBTAFQAQQBDAEsAKABPAHAAZQBuAGkAbgBnAHMALAAgAEwAaQBhAGIAaQBsAGkAdAB5AFAAYQB5AG0AZQBuAHQAcwAsACAASQBuAHQAZQByAGUAcwB0ACwAIABDAGwAbwBzAGkAbgBnAHM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MAGUAYQBzAGUAUgBlAG0AZQBhAHMAdQByAGUAuwNcAG4AIAAgACAAIABEAEUAUwBDAFIASQBQAFQASQBPAE4AOgAqAC8ALwAqACoAUgBlAG0AZQBhAHMAdQByAGUAcwAgAGEAbgAgAEEAQQBTAEIAIAAxADYAIABsAGUAYQBzAGUAIABsAGkAYQBiAGkAbABpAHQAeQAgAGYAbwByACAAcgBlAHYAaQBzAGUAZAAgAHAAYQB5AG0AZQBuAHQAcwAgAGEAbgBkACAAYQBkAGoAdQBzAHQAcwAgAHQAaABlACAAcgBpAGcAaAB0AC0AbwBmAC0AdQBzAGUAIABhAHMAcwBlAHQAKgAvAFwAbgBcAG4ATABlAGEAcwBlAFIAZQBtAGUAYQBzAHUAcgBlALsDIAA9ACAATABBAE0AQgBEAEEAKABcAG4ALwAvACAAIABQAGEAcgBhAG0AZQB0AGUAcgAgAEQAZQBjAGwAYQByAGEAdABpAG8AbgBcAG4AIAAgACAAIABbAFIAZQB2AGkAcwBlAGQAUABhAHkAbQBlAG4AdABzAF0ALABcAG4AIAAgACAAIABbAFIAYQB0AGUAXQAsAFwAbgAgACAAIAAgAFsAQwBhAHIAcgB5AGkAbgBnAEwAaQBhAGIAaQBsAGkAdAB5AF0ALABcAG4AIAAgACAAIABbAEMAYQByAHIAeQBpAG4AZwBSAE8AVQBdACwAXABuACAAIAAgACAAWwBJAG4AQQBkAHYAYQBuAGM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wAZQBhAHMAZQBSAGUAbQBlAGEAcwB1AHIAZQC7AygAUgBlAHYAaQBzAGUAZABQAGEAeQBtAGUAbgB0AHMALAAgAFIAYQB0AGUALAAgAEMAYQByAHIAeQBpAG4AZwBMAGkAYQBiAGkAbABpAHQAeQAsACAAQwBhAHIAcgB5AGkAbgBnAFIATwBVACwAIABbAEkAbgBBAGQAdgBhAG4AYwBlAF0AKQC2AFwAIgAgACYAXABuACAAIAAgACAAIAAgACAAIAAgACAAIAAgACAAIAAgACAAIAAgACAAIAAgACAAIAAgACAAIAAgACAAXAAiAEQARQBTAEMAUgBJAFAAVABJAE8ATgA6ACAAIAAgAJIhUgBlAG0AZQBhAHMAdQByAGUAcwAgAGEAIABsAGUAYQBzAGUAIABsAGkAYQBiAGkAbABpAHQAeQAgAGYAbwByACAAcgBlAHYAaQBzAGUAZAAgAHAAYQB5AG0AZQBuAHQAcwAgAGEAbgBkACAAYQBkAGoAdQBzAHQAcwAgAHQAaABlACAAYQBzAHMAZQB0AC4AtgBOAE8AVABFAFMAIQAgACAAIAAgACAAIAAgACAAIACSIVIAZQB0AHUAcgBuAHMAIABmAG8AdQByACAAcgBvAHcAcwA6ACAAcgBlAHYAaQBzAGUAZAAgAGwAZQBhAHMAZQAgAGwAaQBhAGIAaQBsAGkAdAB5ACwAIABhAGQAagB1AHMAdABtAGUAbgB0ACwAIAByAGUAdgBpAHMAZQBkALYAIAAgACAAIAAgACAAIAAgACAAIAAgACAAIAAgACAAkiFyAGkAZwBoAHQALQBvAGYALQB1AHMAZQAgAGEAcwBzAGUAdAAsACAAYQBtAG8AdQBuAHQAIAByAGUAYwBvAGcAbgBpAHMAZQBkACAAaQBuACAAcAByAG8AZgBpAHQAIABvAHIAIABsAG8AcwBzAC4AIABBAEEAUwBCACAAMQA2ALYAIAAgACAAIAAgACAAIAAgACAAIAAgACAAIAAgACAAkiFwAGEAcgBhAGcAcgBhAHAAaAAgADQAMgAoAGIAKQAgAHIAZQBtAGUAYQBzAHUAcgBlAHMAIAB0AGgAZQAgAGwAaQBhAGIAaQBsAGkAdAB5ACAAdwBoAGUAcgBlACAAZgB1AHQAdQByAGUAIABwAGEAeQBtAGUAbgB0AHMAIABjAGgAYQBuAGcAZQC2ACAAIAAgACAAIAAgACAAIAAgACAAIAAgACAAIAAgAJIhYgBlAGMAYQB1AHMAZQAgAGEAbgAgAGkAbgBkAGUAeAAgAG8AcgAgAGEAIAByAGEAdABlACAAdQBzAGUAZAAgAHQAbwAgAGQAZQB0AGUAcgBtAGkAbgBlACAAdABoAGUAbQAgAGgAYQBzACAAYwBoAGEAbgBnAGUAZAAsACAAYQBuAGQAtgAgACAAIAAgACAAIAAgACAAIAAgACAAIAAgACAAIACSIW8AbgBsAHkAIAB3AGgAZQBuACAAdABoAGUAIABjAGEAcwBoACAAZgBsAG8AdwBzACAAYwBoAGEAbgBnAGUALgAgAFAAYQByAGEAZwByAGEAcABoACAANAAzACAAawBlAGUAcABzACAAdABoAGUAIABkAGkAcwBjAG8AdQBuAHQAIAByAGEAdABlALYAIAAgACAAIAAgACAAIAAgACAAIAAgACAAIAAgACAAkiF1AG4AYwBoAGEAbgBnAGUAZAAgAGYAbwByACAAdABoAGEAdAAgAHIAZQB2AGkAcwBpAG8AbgAsACAAYQBuAGQAIAB1AHMAZQBzACAAYQAgAHIAZQB2AGkAcwBlAGQAIAByAGEAdABlACAAbwBuAGwAeQAgAHcAaABlAHIAZQAgAHQAaABlALYAIAAgACAAIAAgACAAIAAgACAAIAAgACAAIAAgACAAkiFjAGgAYQBuAGcAZQAgAGEAcgBpAHMAZQBzACAAZgByAG8AbQAgAGEAIABmAGwAbwBhAHQAaQBuAGcAIABpAG4AdABlAHIAZQBzAHQAIAByAGEAdABlACwAIABzAG8AIABwAGEAcwBzACAAdABoAGUAIABvAHIAaQBnAGkAbgBhAGwAIAByAGEAdABlALYAIAAgACAAIAAgACAAIAAgACAAIAAgACAAIAAgACAAkiF1AG4AbABlAHMAcwAgAGkAdAAgAGkAcwAgAHQAaABlACAAcgBhAHQAZQAgAGkAdABzAGUAbABmACAAdABoAGEAdAAgAG0AbwB2AGUAZAAuACAAVwBoAGUAbgAgAEkAbgBBAGQAdgBhAG4AYwBlACAAaQBzACAAVABSAFUARQAsACAAdABoAGUAtgAgACAAIAAgACAAIAAgACAAIAAgACAAIAAgACAAIACSIWYAaQByAHMAdAAgAHIAZQB2AGkAcwBlAGQAIABwAGEAeQBtAGUAbgB0ACAAaQBzACAAcABhAGkAZAAgAGEAdAAgAHQAaABlACAAcgBlAG0AZQBhAHMAdQByAGUAbQBlAG4AdAAgAGQAYQB0AGUAIABhAG4AZAAgAGUAeABjAGwAdQBkAGUAZAC2ACAAIAAgACAAIAAgACAAIAAgACAAIAAgACAAIAAgAJIhZgByAG8AbQAgAHQAaABlACAAcgBlAHYAaQBzAGUAZAAgAGwAaQBhAGIAaQBsAGkAdAB5AC4AIABQAGEAcgBhAGcAcgBhAHAAaAAgADMAOQAgAHQAYQBrAGUAcwAgAHQAaABlACAAcgBlAG0AZQBhAHMAdQByAGUAbQBlAG4AdAAgAHQAbwAgAHQAaABlALYAIAAgACAAIAAgACAAIAAgACAAIAAgACAAIAAgACAAkiFyAGkAZwBoAHQALQBvAGYALQB1AHMAZQAgAGEAcwBzAGUAdAAsACAAYQBuAGQAIAB3AGgAZQByAGUAIAB0AGgAYQB0ACAAYQBzAHMAZQB0ACAAaQBzACAAcgBlAGQAdQBjAGUAZAAgAHQAbwAgAG4AaQBsACAAYQBuAHkAIABmAHUAcgB0AGgAZQByALYAIAAgACAAIAAgACAAIAAgACAAIAAgACAAIAAgACAAkiFyAGUAZAB1AGMAdABpAG8AbgAgAGcAbwBlAHMAIAB0AG8AIABwAHIAbwBmAGkAdAAgAG8AcgAgAGwAbwBzAHMAOgAgAHIAbwB3ACAAZgBvAHUAcgAgAGMAYQByAHIAaQBlAHMAIAB0AGgAYQB0ACAAcgBlAG0AYQBpAG4AZABlAHIALAC2ACAAIAAgACAAIAAgACAAIAAgACAAIAAgACAAIAAgAJIhbgBlAGcAYQB0AGkAdgBlACwAIABiAGUAYwBhAHUAcwBlACAAaQB0ACAAaQBzACAAYQAgAGMAcgBlAGQAaQB0AC4AIABBAHIAaQB0AGgAbQBlAHQAaQBjACAAbwBuAGwAeQAuALYAIAAgACAAIAAgACAAIAAgACAAIAAgACAAIAAgACAAkiFBAEEAUwBCACAAMQA2ACAAYwBvAG0AcABpAGwAYQB0AGkAbwBuACAAYwBoAGUAYwBrAGUAZAAgADIANAAgAEEAdQBnAHUAcwB0ACAAMgAwADIANg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EAdQBnACAAMgAwADIANgC2AFwAIgAgACYAXABuACAAIAAgACAAIAAgACAAIAAgACAAIAAgACAAIAAgACAAIAAgACAAIAAgACAAIAAgACAAIAAgACAAXAAiAFAAQQBSAEEATQBFAFQARQBSAFMAOgAgACAAIAAgAJIhtgBcACIAIAAmAFwAbgAgACAAIAAgACAAIAAgACAAIAAgACAAIAAgACAAIAAgACAAIAAgACAAIAAgACAAIAAgACAAIAAgAFwAIgBSAGUAdgBpAHMAZQBkAFAAYQB5AG0AZQBuAHQAcwCSISgAUgBlAHEAdQBpAHIAZQBkACkAIABSAGUAdgBpAHMAZQBkACAAbABlAGEAcwBlACAAcABhAHkAbQBlAG4AdABzACAAZgBvAHIAIAB0AGgAZQAgAHIAZQBtAGEAaQBuAGkAbgBnACAAdABlAHIAbQAsACAAbwBuAGUAIABwAGUAcgAgAHAAZQByAGkAbwBkACwAIABwAG8AcwBpAHQAaQB2AGUALgAgAEkAbgBjAGwAdQBkAGUAIABhACAAcABhAHkAbQBlAG4AdAAgAG0AYQBkAGUAIABhAHQAIAB0AGgAZQAgAHIAZQBtAGUAYQBzAHUAcgBlAG0AZQBuAHQAIABkAGEAdABlACAAZgBpAHIAcwB0ACAAdwBoAGUAbgAgAEkAbgBBAGQAdgBhAG4AYwBlACAAaQBzACAAVABSAFUARQAuALYAXAAiACAAJgBcAG4AIAAgACAAIAAgACAAIAAgACAAIAAgACAAIAAgACAAIAAgACAAIAAgACAAIAAgACAAIAAgACAAIABcACIAUgBhAHQAZQAgACAAIAAgACAAIAAgACAAIAAgACAAkiEoAFIAZQBxAHUAaQByAGUAZAApACAARABpAHMAYwBvAHUAbgB0ACAAcgBhAHQAZQAgAHAAZQByACAAcABlAHIAaQBvAGQALgAgAFUAbgBjAGgAYQBuAGcAZQBkACwAIAB1AG4AbABlAHMAcwAgAGEAIABmAGwAbwBhAHQAaQBuAGcAIAByAGEAdABlACAAbQBvAHYAZQBkAC4AtgBcACIAIAAmAFwAbgAgACAAIAAgACAAIAAgACAAIAAgACAAIAAgACAAIAAgACAAIAAgACAAIAAgACAAIAAgACAAIAAgAFwAIgBDAGEAcgByAHkAaQBuAGcATABpAGEAYgBpAGwAaQB0AHkAkiEoAFIAZQBxAHUAaQByAGUAZAApACAATABlAGEAcwBlACAAbABpAGEAYgBpAGwAaQB0AHkAIABjAGEAcgByAGkAZQBkACAAaQBtAG0AZQBkAGkAYQB0AGUAbAB5ACAAYgBlAGYAbwByAGUAIAB0AGgAZQAgAHIAZQBtAGUAYQBzAHUAcgBlAG0AZQBuAHQALgC2AFwAIgAgACYAXABuACAAIAAgACAAIAAgACAAIAAgACAAIAAgACAAIAAgACAAIAAgACAAIAAgACAAIAAgACAAIAAgACAAXAAiAEMAYQByAHIAeQBpAG4AZwBSAE8AVQAgACAAIAAgAJIhKABSAGUAcQB1AGkAcgBlAGQAKQAgAFIAaQBnAGgAdAAtAG8AZgAtAHUAcwBlACAAYQBzAHMAZQB0ACAAYwBhAHIAcgBpAGUAZAAgAGkAbQBtAGUAZABpAGEAdABlAGwAeQAgAGIAZQBmAG8AcgBlACAAdABoAGUAIAByAGUAbQBlAGEAcwB1AHIAZQBtAGUAbgB0AC4AtgBcACIAIAAmAFwAbgAgACAAIAAgACAAIAAgACAAIAAgACAAIAAgACAAIAAgACAAIAAgACAAIAAgACAAIAAgACAAIAAgAFwAIgBJAG4AQQBkAHYAYQBuAGMAZQAgACAAIAAgACAAIACSISgATwBwAHQAaQBvAG4AYQBsADoAIABEAGUAZgBhAHUAbAB0ACAAPQAgAEYAQQBMAFMARQApACAAVABSAFUARQAgAHcAaABlAG4AIAB0AGgAZQAgAGYAaQByAHMAdAAgAHIAZQB2AGkAcwBlAGQAIABwAGEAeQBtAGUAbgB0ACAAaQBzACAAcABhAGkAZAAgAGEAdAAgAHQAaABlACAAcgBlAG0AZQBhAHMAdQByAGUAbQBlAG4AdAAgAGQAYQB0AGU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MAGUAYQBzAGUAUgBlAG0AZQBhAHMAdQByAGUAuwMoAHsAMQAxADAALAAxADEAMAB9ACwAIAAwAC4AMAA1ACwAIAAxADgANQAuADkANAAsACAAMQA4ADEALgA1ADUAKQC2AFwAIgAgACYAXABuACAAIAAgACAAIAAgACAAIAAgACAAIAAgACAAIAAgACAAIAAgACAAIAAgACAAIAAgACAAIAAgACAAXAAiAJIhUgBlAHMAdQBsAHQAtgBcACIAIAAmAFwAbgAgACAAIAAgACAAIAAgACAAIAAgACAAIAAgACAAIAAgACAAIAAgACAAIAAgACAAIAAgACAAIAAgAFwAIgCSITIAMAA0AC4ANQA0ALYAXAAiACAAJgBcAG4AIAAgACAAIAAgACAAIAAgACAAIAAgACAAIAAgACAAIAAgACAAIAAgACAAIAAgACAAIAAgACAAIABcACIAkiEgADEAOAAuADYAMAC2AFwAIgAgACYAXABuACAAIAAgACAAIAAgACAAIAAgACAAIAAgACAAIAAgACAAIAAgACAAIAAgACAAIAAgACAAIAAgACAAXAAiAJIhMgAwADAALgAxADUAtgBcACIAIAAmAFwAbgAgACAAIAAgACAAIAAgACAAIAAgACAAIAAgACAAIAAgACAAIAAgACAAIAAgACAAIAAgACAAIAAgAFwAIgCSISAAI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SAGUAdgBpAHMAZQBkAFAAYQB5AG0AZQBuAHQAcwApACwAIABJAFMATwBNAEkAVABUAEUARAAoAFIAYQB0AGUAKQAsAFwAbgAgACAAIAAgACAAIAAgACAAIAAgACAAIAAgACAAIAAgACAAIAAgACAAIAAgACAAIAAgACAAIAAgAEkAUwBPAE0ASQBUAFQARQBEACgAQwBhAHIAcgB5AGkAbgBnAEwAaQBhAGIAaQBsAGkAdAB5ACkALAAgAEkAUwBPAE0ASQBUAFQARQBEACgAQwBhAHIAcgB5AGkAbgBnAFIATwBVACkAKQAsAFwAbgAgACAAIAAgAC8ALwAgACAAQQAgAGIAbABhAG4AawAgAEkAbgBBAGQAdgBhAG4AYwBlACAAYwBlAGwAbAAgAGkAcwAgAG4AbwB0ACAAYQBuACAAbwBtAGkAdAB0AGUAZAAgAGEAcgBnAHUAbQBlAG4AdAAsACAAcwBvACAAdABlAHMAdAAgAGYAbwByACAAYgBvAHQAaABcAG4AIAAgACAAIAAgACAAIAAgAEEAZAB2AGEAbgBjAGUAPwAsACAAIAAgACAAIAAgACAASQBGACgATwBSACgASQBTAE8ATQBJAFQAVABFAEQAKABJAG4AQQBkAHYAYQBuAGMAZQApACwAIABUAFIASQBNACgASQBuAEEAZAB2AGEAbgBjAGUAIAAmACAAXAAiAFwAIgApAD0AXAAiAFwAIgApACwAIABGAEEATABTAEUALAAgAEkAbgBBAGQAdgBhAG4AYwBlACkALABcAG4AIAAgACAAIAAgACAAIAAgAFIAZQB2AGkAcwBlAGQALAAgACAAIAAgACAAIAAgACAATABlAGEAcwBlAEwAaQBhAGIAaQBsAGkAdAB5ALsDKABSAGUAdgBpAHMAZQBkAFAAYQB5AG0AZQBuAHQAcwAsACAAUgBhAHQAZQAsACAAQQBkAHYAYQBuAGMAZQA/ACkALABcAG4AIAAgACAAIAAgACAAIAAgAEEAZABqAHUAcwB0AG0AZQBuAHQALAAgACAAIAAgACAAUgBlAHYAaQBzAGUAZAAgAC0AIABDAGEAcgByAHkAaQBuAGcATABpAGEAYgBpAGwAaQB0AHkALABcAG4AIAAgACAAIAAvAC8AIAAgAFQAaABlACAAYQBzAHMAZQB0ACAAYQBiAHMAbwByAGIAcwAgAHQAaABlACAAYQBkAGoAdQBzAHQAbQBlAG4AdAAgAHUAbgB0AGkAbAAgAGkAdAAgAGkAcwAgAGUAeABoAGEAdQBzAHQAZQBkACwAIABhAG4AZAAgAG4AbwAgAGYAdQByAHQAaABlAHIAXABuACAAIAAgACAAIAAgACAAIABSAGEAdwBBAHMAcwBlAHQALAAgACAAIAAgACAAIAAgAEMAYQByAHIAeQBpAG4AZwBSAE8AVQAgACsAIABBAGQAagB1AHMAdABtAGUAbgB0ACwAXABuACAAIAAgACAAIAAgACAAIABSAGUAcwB1AGwAdAAsACAAIAAgACAAIAAgACAAIAAgAFYAUwBUAEEAQwBLACgAUgBlAHYAaQBzAGUAZAAsACAAQQBkAGoAdQBzAHQAbQBlAG4AdAAsACAATQBBAFgAKABSAGEAdwBBAHMAcwBlAHQALAAgADAAKQAsACAATQBJAE4AKABSAGEAdwBBAHMAcwBlAHQALAAgADAAKQ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IATwBVAFMAYwBoAGUAZAB1AGwAZQC7A1wAbgAgACAAIAAgAEQARQBTAEMAUgBJAFAAVABJAE8ATgA6ACoALwAvACoAKgBTAHQAcgBhAGkAZwBoAHQALQBsAGkAbgBlACAAcgBpAGcAaAB0AC0AbwBmAC0AdQBzAGUAIABhAHMAcwBlAHQAIABzAGMAaABlAGQAdQBsAGUAOgAgAG8AcABlAG4AaQBuAGcALAAgAGQAZQBwAHIAZQBjAGkAYQB0AGkAbwBuACAAYQBuAGQAIABjAGwAbwBzAGkAbgBnACAAZgBvAHIAIABlAGEAYwBoACAAcABlAHIAaQBvAGQAKgAvAFwAbgBcAG4AUgBPAFUAUwBjAGgAZQBkAHUAbABlALsDIAA9ACAATABBAE0AQgBEAEEAKABcAG4ALwAvACAAIABQAGEAcgBhAG0AZQB0AGUAcgAgAEQAZQBjAGwAYQByAGEAdABpAG8AbgBcAG4AIAAgACAAIABbAEMAbwBzAHQAXQAsAFwAbgAgACAAIAAgAFsAUABlAHIAaQBvAGQ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IATwBVAFMAYwBoAGUAZAB1AGwAZQC7AygAQwBvAHMAdAAsACAAUABlAHIAaQBvAGQAcwApALYAXAAiACAAJgBcAG4AIAAgACAAIAAgACAAIAAgACAAIAAgACAAIAAgACAAIAAgACAAIAAgACAAIAAgACAAIAAgACAAIABcACIARABFAFMAQwBSAEkAUABUAEkATwBOADoAIAAgACAAkiFEAGUAcAByAGUAYwBpAGEAdABlAHMAIABhACAAcgBpAGcAaAB0AC0AbwBmAC0AdQBzAGUAIABhAHMAcwBlAHQAIABpAG4AIABhACAAcwB0AHIAYQBpAGcAaAB0ACAAbABpAG4AZQAgAG8AdgBlAHIAIAB0AGgAZQAgAGwAZQBhAHMAZQAgAHQAZQByAG0ALgC2AE4ATwBUAEUAUwAhACAAIAAgACAAIAAgACAAIAAgAJIhUgBlAHQAdQByAG4AcwAgAHQAaAByAGUAZQAgAHIAbwB3AHMAOgAgAG8AcABlAG4AaQBuAGcAIABjAGEAcgByAHkAaQBuAGcAIABhAG0AbwB1AG4AdAAsACAAZABlAHAAcgBlAGMAaQBhAHQAaQBvAG4ALAAgAGMAbABvAHMAaQBuAGcAtgAgACAAIAAgACAAIAAgACAAIAAgACAAIAAgACAAIACSIWMAYQByAHIAeQBpAG4AZwAgAGEAbQBvAHUAbgB0AC4AIABBAEEAUwBCACAAMQA2ACAAcABhAHIAYQBnAHIAYQBwAGgAIAAyADQAIABtAGUAYQBzAHUAcgBlAHMAIAB0AGgAZQAgAGEAcwBzAGUAdAAgAGEAdAAgAGMAbwBzAHQALAC2ACAAIAAgACAAIAAgACAAIAAgACAAIAAgACAAIAAgAJIhYwBvAG0AcAByAGkAcwBpAG4AZwAgAHQAaABlACAAaQBuAGkAdABpAGEAbAAgAGwAZQBhAHMAZQAgAGwAaQBhAGIAaQBsAGkAdAB5ACwAIABsAGUAYQBzAGUAIABwAGEAeQBtAGUAbgB0AHMAIABtAGEAZABlACAAYQB0ACAAbwByALYAIAAgACAAIAAgACAAIAAgACAAIAAgACAAIAAgACAAkiFiAGUAZgBvAHIAZQAgAHQAaABlACAAYwBvAG0AbQBlAG4AYwBlAG0AZQBuAHQAIABkAGEAdABlACAAbABlAHMAcwAgAGkAbgBjAGUAbgB0AGkAdgBlAHMAIAByAGUAYwBlAGkAdgBlAGQALAAgAGkAbgBpAHQAaQBhAGwAIABkAGkAcgBlAGMAdAC2ACAAIAAgACAAIAAgACAAIAAgACAAIAAgACAAIAAgAJIhYwBvAHMAdABzACwAIABhAG4AZAAgAGEAbgAgAGUAcwB0AGkAbQBhAHQAZQAgAG8AZgAgAGQAaQBzAG0AYQBuAHQAbABpAG4AZwAgAGEAbgBkACAAcgBlAHMAdABvAHIAYQB0AGkAbwBuACAAYwBvAHMAdABzAC4AIABBAGQAZAAgAHQAaABvAHMAZQC2ACAAIAAgACAAIAAgACAAIAAgACAAIAAgACAAIAAgAJIhdQBwACAAeQBvAHUAcgBzAGUAbABmACAAYQBuAGQAIABwAGEAcwBzACAAdABoAGUAIAB0AG8AdABhAGwAIABhAHMAIABDAG8AcwB0AC4AIABEAGUAcAByAGUAYwBpAGEAdABlACAAbwB2AGUAcgAgAHQAaABlACAAbABlAGEAcwBlACAAdABlAHIAbQC2ACAAIAAgACAAIAAgACAAIAAgACAAIAAgACAAIAAgAJIhdwBoAGUAcgBlACAAbwB3AG4AZQByAHMAaABpAHAAIABkAG8AZQBzACAAbgBvAHQAIAB0AHIAYQBuAHMAZgBlAHIALAAgAGEAbgBkACAAbwB2AGUAcgAgAHQAaABlACAAdQBzAGUAZgB1AGwAIABsAGkAZgBlACAAdwBoAGUAcgBlACAAaQB0ALYAIAAgACAAIAAgACAAIAAgACAAIAAgACAAIAAgACAAkiFkAG8AZQBzAC4AIABDAG8AcwB0ACAAYQBuAGQAIABQAGUAcgBpAG8AZABzACAAYQByAGUAIABzAGkAbgBnAGwAZQAgAHYAYQBsAHUAZQBzACwAIABuAG8AdAAgAGEAcgByAGEAeQBzAC4AIABBAHIAaQB0AGgAbQBlAHQAaQBjACAAbwBuAGwAeQAuALYAIAAgACAAIAAgACAAIAAgACAAIAAgACAAIAAgACAAkiFBAEEAUwBCACAAMQA2ACAAYwBvAG0AcABpAGwAYQB0AGkAbwBuACAAYwBoAGUAYwBrAGUAZAAgADIANAAgAEEAdQBnAHUAcwB0ACAAMgAwADIANg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JAG4AaQB0AGkAYQBsACAAYwBhAHIAcgB5AGkAbgBnACAAYQBtAG8AdQBuAHQAIABvAGYAIAB0AGgAZQAgAHIAaQBnAGgAdAAtAG8AZgAtAHUAcwBlACAAYQBzAHMAZQB0AC4AtgBcACIAIAAmAFwAbgAgACAAIAAgACAAIAAgACAAIAAgACAAIAAgACAAIAAgACAAIAAgACAAIAAgACAAIAAgACAAIAAgAFwAIgBQAGUAcgBpAG8AZABzACAAIAAgACAAIAAgACAAIACSISgAUgBlAHEAdQBpAHIAZQBkACkAIABOAHUAbQBiAGUAcgAgAG8AZgAgAHAAZQByAGkAbwBkAHMAIAB0AG8AIABkAGUAcAByAGUAYwBpAGEAdABlACAAbwB2AGUAcgAsACAAYQB0ACAAbABlAGEAcwB0ACAAM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FIATwBVAFMAYwBoAGUAZAB1AGwAZQC7AygAMwAwADAALAAgADMAKQC2AFwAIgAgACYAXABuACAAIAAgACAAIAAgACAAIAAgACAAIAAgACAAIAAgACAAIAAgACAAIAAgACAAIAAgACAAIAAgACAAXAAiAJIhUgBlAHMAdQBsAHQAtgBcACIAIAAmAFwAbgAgACAAIAAgACAAIAAgACAAIAAgACAAIAAgACAAIAAgACAAIAAgACAAIAAgACAAIAAgACAAIAAgAFwAIgCSITMAMAAwACwAIAAyADAAMAAsACAAMQAwADAAtgBcACIAIAAmAFwAbgAgACAAIAAgACAAIAAgACAAIAAgACAAIAAgACAAIAAgACAAIAAgACAAIAAgACAAIAAgACAAIAAgAFwAIgCSITEAMAAwACwAIAAxADAAMAAsACAAMQAwADAAtgBcACIAIAAmAFwAbgAgACAAIAAgACAAIAAgACAAIAAgACAAIAAgACAAIAAgACAAIAAgACAAIAAgACAAIAAgACAAIAAgAFwAIgCSITIAMAAwACwAIAAxADAAMAAsACAAIAAg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QAGUAcgBpAG8AZABzACkAKQAsAFwAbgAgACAAIAAgAC8ALwAgACAAUgBlAGYAdQBzAGUAIAByAGEAdABoAGUAcgAgAHQAaABhAG4AIABiAHUAaQBsAGQAIABhACAAcwBjAGgAZQBkAHUAbABlACAAZgByAG8AbQAgAGEAbgAgAGEAcgBnAHUAbQBlAG4AdAAgAHQAaABhAHQAIABjAGEAbgBuAG8AdAAgAG0AYQBrAGUAIABvAG4AZQBcAG4AIAAgACAAIAAgACAAIAAgAFYAYQBsAGkAZAA/ACwAIAAgACAAIAAgACAAIAAgACAAQQBOAEQAKABJAFMATgBVAE0AQgBFAFIAKABDAG8AcwB0ACkALAAgAEkAUwBOAFUATQBCAEUAUgAoAFAAZQByAGkAbwBkAHMAKQAsACAAUABlAHIAaQBvAGQAcwAgAD4APQAgADEAKQAsAFwAbgAgACAAIAAgACAAIAAgACAAQwBvAHUAbgB0ACwAIAAgACAAIAAgACAAIAAgACAAIABJAEYAKABWAGEAbABpAGQAPwAsACAASQBOAFQAKABQAGUAcgBpAG8AZABzACkALAAgADEAKQAsAFwAbgAgACAAIAAgACAAIAAgACAAQwBoAGEAcgBnAGUALAAgACAAIAAgACAAIAAgACAAIABJAEYAKABWAGEAbABpAGQAPwAsACAAQwBvAHMAdAAgAC8AIABDAG8AdQBuAHQALAAgADAAKQAsAFwAbgAgACAAIAAgACAAIAAgACAASQBuAGQAZQB4ACwAIAAgACAAIAAgACAAIAAgACAAIABTAEUAUQBVAEUATgBDAEUAKAAxACwAIABDAG8AdQBuAHQAKQAsAFwAbgAgACAAIAAgACAAIAAgACAAUgBlAHMAdQBsAHQALAAgACAAIAAgACAAIAAgACAAIABJAEYAKABWAGEAbABpAGQAPwAsAFwAbgAgACAAIAAgACAAIAAgACAAIAAgACAAIAAgACAAIAAgACAAIAAgACAAIAAgACAAIAAgACAAIAAgAFYAUwBUAEEAQwBLACgAXABuACAAIAAgACAAIAAgACAAIAAgACAAIAAgACAAIAAgACAAIAAgACAAIAAgACAAIAAgACAAIAAgACAAIAAgACAAIABDAG8AcwB0ACAALQAgAEMAaABhAHIAZwBlACAAKgAgACgASQBuAGQAZQB4ACAALQAgADEAKQAsAFwAbgAgACAAIAAgACAAIAAgACAAIAAgACAAIAAgACAAIAAgACAAIAAgACAAIAAgACAAIAAgACAAIAAgACAAIAAgACAAUwBFAFEAVQBFAE4AQwBFACgAMQAsACAAQwBvAHUAbgB0ACwAIABDAGgAYQByAGcAZQAsACAAMAApACwAXABuACAAIAAgACAAIAAgACAAIAAgACAAIAAgACAAIAAgACAAIAAgACAAIAAgACAAIAAgACAAIAAgACAAIAAgACAAIABDAG8AcwB0ACAALQAgAEMAaABhAHIAZwBlACAAKgAgAEkAbgBkAGUAeAApACwAXABuACAAIAAgACAAIAAgACAAIAAgACAAIAAgACAAIAAgACAAIAAgACAAIAAgACAAIAAgACAAIAAgACAAXAAiAFIATwBVAFMAYwBoAGUAZAB1AGwAZQC7AyAAbgBlAGUAZABzACAAYQAgAG4AdQBtAGUAcgBpAGMAIABDAG8AcwB0ACAAYQBuAGQAIABQAGUAcgBpAG8AZABzACAAbwBmACAAYQB0ACAAbABlAGEAcwB0ACAAMQBcACI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UgBhAHQAZQC7A1wAbgAgACAAIAAgAEQARQBTAEMAUgBJAFAAVABJAE8ATgA6ACoALwAvACoAKgBDAG8AbgB2AGUAcgB0AHMAIABhAG4AIABlAGYAZgBlAGMAdABpAHYAZQAgAGEAbgBuAHUAYQBsACAAcgBhAHQAZQAgAHQAbwAgAHQAaABlACAAZQBxAHUAaQB2AGEAbABlAG4AdAAgAHIAYQB0AGUAIABwAGUAcgAgAHAAZQByAGkAbwBkACwAIAB0AGgAZQAgAHIAYQB0AGUAIAB0AGgAZQAgAGwAZQBhAHMAZQAgAGYAdQBuAGMAdABpAG8AbgBzACAAdABhAGsAZQAqAC8AXABuAFwAbgBQAGUAcgBpAG8AZABSAGEAdABlALsDIAA9ACAATABBAE0AQgBEAEEAKABcAG4ALwAvACAAIABQAGEAcgBhAG0AZQB0AGUAcgAgAEQAZQBjAGwAYQByAGEAdABpAG8AbgBcAG4AIAAgACAAIABbAEEAbgBuAHUAYQBsAFIAYQB0AGUAXQAsAFwAbgAgACAAIAAgAFsAUABlAHIAaQBvAGQAcwBQAGUAcgBZAGUAYQBy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lAHIAaQBvAGQAUgBhAHQAZQC7AygAQQBuAG4AdQBhAGwAUgBhAHQAZQAsACAAWwBQAGUAcgBpAG8AZABzAFAAZQByAFkAZQBhAHIAXQApALYAXAAiACAAJgBcAG4AIAAgACAAIAAgACAAIAAgACAAIAAgACAAIAAgACAAIAAgACAAIAAgACAAIAAgACAAIAAgACAAIABcACIARABFAFMAQwBSAEkAUABUAEkATwBOADoAIAAgACAAkiFDAG8AbgB2AGUAcgB0AHMAIABhAG4AIABlAGYAZgBlAGMAdABpAHYAZQAgAGEAbgBuAHUAYQBsACAAcgBhAHQAZQAgAHQAbwAgAHQAaABlACAAZQBxAHUAaQB2AGEAbABlAG4AdAAgAHIAYQB0AGUAIABwAGUAcgAgAHAAZQByAGkAbwBkAC4AtgBOAE8AVABFAFMAIQAgACAAIAAgACAAIAAgACAAIACSISgAMQAgACsAIABBAG4AbgB1AGEAbABSAGEAdABlACkAIABeACAAKAAxACAALwAgAFAAZQByAGkAbwBkAHMAUABlAHIAWQBlAGEAcgApACAALQAgADEALAAgAHMAbwAgAGMAbwBtAHAAbwB1AG4AZABpAG4AZwAgAHQAaABlACAAcgBlAHMAdQBsAHQAtgAgACAAIAAgACAAIAAgACAAIAAgACAAIAAgACAAIACSIVAAZQByAGkAbwBkAHMAUABlAHIAWQBlAGEAcgAgAHQAaQBtAGUAcwAgAGcAaQB2AGUAcwAgAHQAaABlACAAYQBuAG4AdQBhAGwAIAByAGEAdABlACAAYgBhAGMAawAuACAAVABoAGkAcwAgAGkAcwAgAHQAaABlACAAcgBhAHQAZQAgAHAAZQByALYAIAAgACAAIAAgACAAIAAgACAAIAAgACAAIAAgACAAkiFwAGUAcgBpAG8AZAAgAHQAaABhAHQAIABMAGUAYQBzAGUATABpAGEAYgBpAGwAaQB0AHkAuwMoACkALAAgAEwAZQBhAHMAZQBTAGMAaABlAGQAdQBsAGUAuwMoACkAIABhAG4AZAAgAEwAZQBhAHMAZQBSAGUAbQBlAGEAcwB1AHIAZQC7AygAKQC2ACAAIAAgACAAIAAgACAAIAAgACAAIAAgACAAIAAgAJIhdABhAGsAZQAuACAASQB0ACAAaQBzACAAZgBvAHIAIABhAG4AIABlAGYAZgBlAGMAdABpAHYAZQAgAGEAbgBuAHUAYQBsACAAcgBhAHQAZQAuACAAQQAgAG4AbwBtAGkAbgBhAGwAIABhAG4AbgB1AGEAbAAgAHAAZQByAGMAZQBuAHQAYQBnAGUAtgAgACAAIAAgACAAIAAgACAAIAAgACAAIAAgACAAIACSIXIAYQB0AGUAIAB0AGgAYQB0ACAAYwBvAG0AcABvAHUAbgBkAHMAIABtAG8AbgB0AGgAbAB5ACAAaQBzACAAYQBsAHIAZQBhAGQAeQAgAEEAUABSACAALwAgADEAMgAgAHAAZQByACAAbQBvAG4AdABoACwAIABzAG8AIABkAG8AIABuAG8AdAC2ACAAIAAgACAAIAAgACAAIAAgACAAIAAgACAAIAAgAJIhcABhAHMAcwAgAGkAdAAgAGgAZQByAGUAOwAgAEUARgBGAEUAQwBUACgAKQAgAHQAdQByAG4AcwAgAG8AbgBlACAAaQBuAHQAbwAgAHQAaABlACAAZQBmAGYAZQBjAHQAaQB2AGUAIAByAGEAdABlACAAdABoAGkAcwAgAHQAYQBrAGUAcwAuALYAIAAgACAAIAAgACAAIAAgACAAIAAgACAAIAAgACAAkiFBAG4AbgB1AGEAbABSAGEAdABlALsDKAApACAAaQBzACAAdABoAGUAIABpAG4AdgBlAHIAcwBl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NgAgAFMAZQBwACAAMgAwADIANgC2AFwAIgAgACYAXABuACAAIAAgACAAIAAgACAAIAAgACAAIAAgACAAIAAgACAAIAAgACAAIAAgACAAIAAgACAAIAAgACAAXAAiAFAAQQBSAEEATQBFAFQARQBSAFMAOgAgACAAIAAgAJIhtgBcACIAIAAmAFwAbgAgACAAIAAgACAAIAAgACAAIAAgACAAIAAgACAAIAAgACAAIAAgACAAIAAgACAAIAAgACAAIAAgAFwAIgBBAG4AbgB1AGEAbABSAGEAdABlACAAIAAgACAAIACSISgAUgBlAHEAdQBpAHIAZQBkACkAIABFAGYAZgBlAGMAdABpAHYAZQAgAGEAbgBuAHUAYQBsACAAcgBhAHQAZQAsACAAbwByACAAYQAgAHIAbwB3ACAAbwByACAAYwBvAGwAdQBtAG4AIABvAGYAIAB0AGgAZQBtAC4AtgBcACIAIAAmAFwAbgAgACAAIAAgACAAIAAgACAAIAAgACAAIAAgACAAIAAgACAAIAAgACAAIAAgACAAIAAgACAAIAAgAFwAIgBQAGUAcgBpAG8AZABzAFAAZQByAFkAZQBhAHIAIACSISgATwBwAHQAaQBvAG4AYQBsADoAIABEAGUAZgBhAHUAbAB0ACAAPQAgADEAMgApACAAUABlAHIAaQBvAGQAcwAgAGkAbgAgAGEAIAB5AGUAYQByADoAIAAxADIAIABmAG8AcgAgAG0AbwBuAHQAaABzACwAIAA0ACAAZgBvAHIAIABxAHUAYQByAHQAZQByAHMALAAgADEAIABmAG8Ac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FAAZQByAGkAbwBkAFIAYQB0AGUAuwMoADAALgAwADUAKQC2AFwAIgAgACYAXABuACAAIAAgACAAIAAgACAAIAAgACAAIAAgACAAIAAgACAAIAAgACAAIAAgACAAIAAgACAAIAAgACAAXAAiAJIhUgBlAHMAdQBsAHQAtgBcACIAIAAmAFwAbgAgACAAIAAgACAAIAAgACAAIAAgACAAIAAgACAAIAAgACAAIAAgACAAIAAgACAAIAAgACAAIAAgAFwAIgCSITAALgAwADAANAAwADcAN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uAG4AdQBhAGwAUgBhAHQAZQApACwAXABuACAAIAAgACAALwAvACAAIABBACAAYgBsAGEAbgBrACAAUABlAHIAaQBvAGQAcwBQAGUAcgBZAGUAYQByACAAYwBlAGwAbAAgAGkAcwAgAG4AbwB0ACAAYQBuACAAbwBtAGkAdAB0AGUAZAAgAGEAcgBnAHUAbQBlAG4AdAAsACAAcwBvACAAdABlAHMAdAAgAGYAbwByACAAYgBvAHQAaABcAG4AIAAgACAAIAAgACAAIAAgAFAAZQByAGkAbwBkAHMALAAgACAAIAAgACAAIAAgACAASQBGACgATwBSACgASQBTAE8ATQBJAFQAVABFAEQAKABQAGUAcgBpAG8AZABzAFAAZQByAFkAZQBhAHIAKQAsACAATgBPAFQAKABJAFMATgBVAE0AQgBFAFIAKABQAGUAcgBpAG8AZABzAFAAZQByAFkAZQBhAHIAKQApACkALAAgADEAMgAsACAAUABlAHIAaQBvAGQAcwBQAGUAcgBZAGUAYQByACkALABcAG4AIAAgACAAIAAgACAAIAAgAFIAZQBzAHUAbAB0ACwAIAAgACAAIAAgACAAIAAgACAAKAAxACAAKwAgAEEAbgBuAHUAYQBsAFIAYQB0AGUAKQAgAF4AIAAoADEAIAAvACAAUABlAHIAaQBvAGQAcwApACAALQAgADE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QQBuAG4AdQBhAGwAUgBhAHQAZQC7A1wAbgAgACAAIAAgAEQARQBTAEMAUgBJAFAAVABJAE8ATgA6ACoALwAvACoAKgBDAG8AbgB2AGUAcgB0AHMAIABhACAAcgBhAHQAZQAgAHAAZQByACAAcABlAHIAaQBvAGQAIAB0AG8AIAB0AGgAZQAgAGUAZgBmAGUAYwB0AGkAdgBlACAAYQBuAG4AdQBhAGwAIAByAGEAdABlACwAIAB0AGgAZQAgAGkAbgB2AGUAcgBzAGUAIABvAGYAIABQAGUAcgBpAG8AZABSAGEAdABlALsDKgAvAFwAbgBcAG4AQQBuAG4AdQBhAGwAUgBhAHQAZQC7AyAAPQAgAEwAQQBNAEIARABBACgAXABuAC8ALwAgACAAUABhAHIAYQBtAGUAdABlAHIAIABEAGUAYwBsAGEAcgBhAHQAaQBvAG4AXABuACAAIAAgACAAWwBQAGUAcgBpAG8AZABSAGEAdABlAF0ALABcAG4AIAAgACAAIABbAFAAZQByAGkAbwBkAHMAUABlAHIAWQBlAGEAcg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EAbgBuAHUAYQBsAFIAYQB0AGUAuwMoAFAAZQByAGkAbwBkAFIAYQB0AGUALAAgAFsAUABlAHIAaQBvAGQAcwBQAGUAcgBZAGUAYQByAF0AKQC2AFwAIgAgACYAXABuACAAIAAgACAAIAAgACAAIAAgACAAIAAgACAAIAAgACAAIAAgACAAIAAgACAAIAAgACAAIAAgACAAXAAiAEQARQBTAEMAUgBJAFAAVABJAE8ATgA6ACAAIAAgAJIhQwBvAG4AdgBlAHIAdABzACAAYQAgAHIAYQB0AGUAIABwAGUAcgAgAHAAZQByAGkAbwBkACAAdABvACAAdABoAGUAIABlAGYAZgBlAGMAdABpAHYAZQAgAGEAbgBuAHUAYQBsACAAcgBhAHQAZQAuALYATgBPAFQARQBTACEAIAAgACAAIAAgACAAIAAgACAAkiEoADEAIAArACAAUABlAHIAaQBvAGQAUgBhAHQAZQApACAAXgAgAFAAZQByAGkAbwBkAHMAUABlAHIAWQBlAGEAcgAgAC0AIAAxACwAIAB0AGgAZQAgAGkAbgB2AGUAcgBzAGUAIABvAGYAIABQAGUAcgBpAG8AZABSAGEAdABlALsDKAApAC4AtgAgACAAIAAgACAAIAAgACAAIAAgACAAIAAgACAAIACSIVUAcwBlACAAaQB0ACAAdABvACAAcwB0AGEAdABlACAAYQAgAHIAYQB0AGUAIABwAGUAcgAgAHAAZQByAGkAbwBkACwAIABzAHUAYwBoACAAYQBzACAAYQAgAGwAZQBhAHMAZQAgAHIAYQB0AGUAIABzAG8AbAB2AGUAZAAgAHAAZQByALYAIAAgACAAIAAgACAAIAAgACAAIAAgACAAIAAgACAAkiFtAG8AbgB0AGgALAAgAGEAcwAgAHQAaABlACAAYQBuAG4AdQBhAGwAIABmAGkAZwB1AHIAZQAgAGEAIAByAGUAYQBkAGUAcgAgAGUAeABwAGUAYwB0AHM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2ACAAUwBlAHAAIAAyADAAMgA2ALYAXAAiACAAJgBcAG4AIAAgACAAIAAgACAAIAAgACAAIAAgACAAIAAgACAAIAAgACAAIAAgACAAIAAgACAAIAAgACAAIABcACIAUABBAFIAQQBNAEUAVABFAFIAUwA6ACAAIAAgACAAkiG2AFwAIgAgACYAXABuACAAIAAgACAAIAAgACAAIAAgACAAIAAgACAAIAAgACAAIAAgACAAIAAgACAAIAAgACAAIAAgACAAXAAiAFAAZQByAGkAbwBkAFIAYQB0AGUAIAAgACAAIAAgAJIhKABSAGUAcQB1AGkAcgBlAGQAKQAgAFIAYQB0AGUAIABwAGUAcgAgAHAAZQByAGkAbwBkACwAIABvAHIAIABhACAAcgBvAHcAIABvAHIAIABjAG8AbAB1AG0AbgAgAG8AZgAgAHQAaABlAG0ALgC2AFwAIgAgACYAXABuACAAIAAgACAAIAAgACAAIAAgACAAIAAgACAAIAAgACAAIAAgACAAIAAgACAAIAAgACAAIAAgACAAXAAiAFAAZQByAGkAbwBkAHMAUABlAHIAWQBlAGEAcgAgAJIhKABPAHAAdABpAG8AbgBhAGwAOgAgAEQAZQBmAGEAdQBsAHQAIAA9ACAAMQAyACkAIABQAGUAcgBpAG8AZABzACAAaQBuACAAYQAgAHkAZQBhAHIAOgAgADEAMgAgAGYAbwByACAAbQBvAG4AdABoAHMALAAgADQAIABmAG8AcgAgAHEAdQBhAHIAdABlAHIAcwAsACAAMQAgAGYAbwBy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QQBuAG4AdQBhAGwAUgBhAHQAZQC7AygAMAAuADAAMQApALYAXAAiACAAJgBcAG4AIAAgACAAIAAgACAAIAAgACAAIAAgACAAIAAgACAAIAAgACAAIAAgACAAIAAgACAAIAAgACAAIABcACIAkiFSAGUAcwB1AGwAdAC2AFwAIgAgACYAXABuACAAIAAgACAAIAAgACAAIAAgACAAIAAgACAAIAAgACAAIAAgACAAIAAgACAAIAAgACAAIAAgACAAXAAiAJIhMAAuADEAMgA2ADgAMgA1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QAGUAcgBpAG8AZABSAGEAdABlACkALABcAG4AIAAgACAAIAAvAC8AIAAgAEEAIABiAGwAYQBuAGsAIABQAGUAcgBpAG8AZABzAFAAZQByAFkAZQBhAHIAIABjAGUAbABsACAAaQBzACAAbgBvAHQAIABhAG4AIABvAG0AaQB0AHQAZQBkACAAYQByAGcAdQBtAGUAbgB0ACwAIABzAG8AIAB0AGUAcwB0ACAAZgBvAHIAIABiAG8AdABoAFwAbgAgACAAIAAgACAAIAAgACAAUABlAHIAaQBvAGQAcwAsACAAIAAgACAAIAAgACAAIABJAEYAKABPAFIAKABJAFMATwBNAEkAVABUAEUARAAoAFAAZQByAGkAbwBkAHMAUABlAHIAWQBlAGEAcgApACwAIABOAE8AVAAoAEkAUwBOAFUATQBCAEUAUgAoAFAAZQByAGkAbwBkAHMAUABlAHIAWQBlAGEAcgApACkAKQAsACAAMQAyACwAIABQAGUAcgBpAG8AZABzAFAAZQByAFkAZQBhAHIAKQAsAFwAbgAgACAAIAAgACAAIAAgACAAUgBlAHMAdQBsAHQALAAgACAAIAAgACAAIAAgACAAIAAoADEAIAArACAAUABlAHIAaQBvAGQAUgBhAHQAZQApACAAXgAgAFAAZQByAGkAbwBkAHMAIAAtACAAM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EAGEAeQBDAG8AdQBuAHQAUgBhAHQAZQC7A1wAbgAgACAAIAAgAEQARQBTAEMAUgBJAFAAVABJAE8ATgA6ACoALwAvACoAKgBJAG4AdABlAHIAZQBzAHQAIAByAGEAdABlACAAZgBvAHIAIABlAGEAYwBoACAAcABlAHIAaQBvAGQAIABvAGYAIABhACAAdABpAG0AZQBsAGkAbgBlACAAdQBuAGQAZQByACAAYQAgAGQAYQB5ACAAYwBvAHUAbgB0ACAAYwBvAG4AdgBlAG4AdABpAG8AbgA6ACAAMwAwAC8AMwA2ADAALAAgAEEAYwB0AHUAYQBsAC8AMwA2ADAALAAgAEEAYwB0AHUAYQBsAC8AMwA2ADUAIABvAHIAIABBAGMAdAB1AGEAbAAvAEEAYwB0AHUAYQBsACoALwBcAG4AXABuAEQAYQB5AEMAbwB1AG4AdABSAGEAdABlALsDIAA9ACAATABBAE0AQgBEAEEAKABcAG4ALwAvACAAIABQAGEAcgBhAG0AZQB0AGUAcgAgAEQAZQBjAGwAYQByAGEAdABpAG8AbgBcAG4AIAAgACAAIABbAFQAaQBtAGUAbABpAG4AZQBdACwAXABuACAAIAAgACAAWwBBAFAAUgBdACwAXABuACAAIAAgACAAWwBDAG8AbgB2AGUAbgB0AGkAbwBuAF0ALABcAG4AIAAgACAAIABbAEUAbgBkAEQAYQB0AGU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YQB5AEMAbwB1AG4AdABSAGEAdABlALsDKABUAGkAbQBlAGwAaQBuAGUALAAgAEEAUABSACwAIABbAEMAbwBuAHYAZQBuAHQAaQBvAG4AXQAsACAAWwBFAG4AZABEAGEAdABlAHMAXQApALYAXAAiACAAJgBcAG4AIAAgACAAIAAgACAAIAAgACAAIAAgACAAIAAgACAAIAAgACAAIAAgACAAIAAgACAAIAAgACAAIABcACIARABFAFMAQwBSAEkAUABUAEkATwBOADoAIAAgACAAkiFJAG4AdABlAHIAZQBzAHQAIAByAGEAdABlACAAZgBvAHIAIABlAGEAYwBoACAAcABlAHIAaQBvAGQAIABvAGYAIABhACAAdABpAG0AZQBsAGkAbgBlACAAdQBuAGQAZQByACAAYQAgAGQAYQB5ACAAYwBvAHUAbgB0ACAAYwBvAG4AdgBlAG4AdABpAG8AbgAuALYATgBPAFQARQBTACEAIAAgACAAIAAgACAAIAAgACAAkiFSAGUAdAB1AHIAbgBzACAAYQAgAHIAbwB3ACAAdwBpAHQAaAAgAG8AbgBlACAAcgBhAHQAZQAgAHAAZQByACAAdABpAG0AZQBsAGkAbgBlACAAcABlAHIAaQBvAGQALAAgAHcAaABpAGMAaABlAHYAZQByACAAdwBhAHkAIAB0AGgAZQC2ACAAIAAgACAAIAAgACAAIAAgACAAIAAgACAAIAAgAJIhdABpAG0AZQBsAGkAbgBlACAAcgB1AG4AcwA6ACAAQQBQAFIAIABtAHUAbAB0AGkAcABsAGkAZQBkACAAYgB5ACAAdABoAGUAIABkAGEAeQBzACAAaQBuACAAdABoAGUAIABwAGUAcgBpAG8AZAAgAGEAbgBkACAAZABpAHYAaQBkAGUAZAAgAGIAeQC2ACAAIAAgACAAIAAgACAAIAAgACAAIAAgACAAIAAgAJIhdABoAGUAIABkAGEAeQBzACAAaQBuACAAdABoAGUAIAB5AGUAYQByACwAIABhAHMAIAB0AGgAZQAgAGMAbwBuAHYAZQBuAHQAaQBvAG4AIABjAG8AdQBuAHQAcwAgAHQAaABlAG0ALgAgAFAAYQBzAHMAIAB0AGgAZQAgAHIAZQBzAHUAbAB0ACAAdABvALYAIAAgACAAIAAgACAAIAAgACAAIAAgACAAIAAgACAAkiFEAGUAYgB0AFMAYwB1AGwAcAB0AFYAYQByAGkAYQBiAGwAZQC7AygAKQAgAG8AcgAgAEQAZQBiAHQAUwBjAHUAbABwAHQAVgBhAHIAaQBhAGIAbABlAEwAUgBWALsDKAApACAAYQBzACAAUABlAHIAaQBvAGQAUgBhAHQAZQBzACAAaQBuACAAcABsAGEAYwBlALYAIAAgACAAIAAgACAAIAAgACAAIAAgACAAIAAgACAAkiFvAGYAIABhACAAZgBsAGEAdAAgAHQAdwBlAGwAZgB0AGgAIABvAGYAIAB0AGgAZQAgAEEAUABSAC4AIABXAGkAdABoACAAcwB0AGEAcgB0ACAAZABhAHQAZQBzACAAZQBhAGMAaAAgAHAAZQByAGkAbwBkACAAcgB1AG4AcwAgAGYAcgBvAG0AIABpAHQAcwC2ACAAIAAgACAAIAAgACAAIAAgACAAIAAgACAAIAAgAJIhZABhAHQAZQAgAHQAbwAgAHQAaABlACAAZABhAHkAIABiAGUAZgBvAHIAZQAgAHQAaABlACAAbgBlAHgAdAAsACAAYQBuAGQAIAB0AGgAZQAgAGwAYQBzAHQAIABwAGUAcgBpAG8AZAAgAHQAYQBrAGUAcwAgAGkAdABzACAAbABlAG4AZwB0AGgAtgAgACAAIAAgACAAIAAgACAAIAAgACAAIAAgACAAIACSIWYAcgBvAG0AIAB0AGgAZQAgAG8AbgBlACAAYgBlAGYAbwByAGUAIABpAHQAOwAgAHcAaQB0AGgAIABlAG4AZAAgAGQAYQB0AGUAcwAgAGUAYQBjAGgAIAByAHUAbgBzACAAZgByAG8AbQAgAHQAaABlACAAZABhAHkAIABhAGYAdABlAHIAIAB0AGgAZQC2ACAAIAAgACAAIAAgACAAIAAgACAAIAAgACAAIAAgAJIhcAByAGUAdgBpAG8AdQBzACAAZABhAHQAZQAgAHQAbwAgAGkAdABzACAAbwB3AG4ALAAgAGEAbgBkACAAdABoAGUAIABmAGkAcgBzAHQAIABwAGUAcgBpAG8AZAAgAGkAcwAgAHQAaABlACAAbwBuAGUAIABpAG4AZgBlAHIAcgBlAGQALgAgAEEAtgAgACAAIAAgACAAIAAgACAAIAAgACAAIAAgACAAIACSIWcAYQBwACAAbwBmACAAMgA4ACAAZABhAHkAcwAgAG8AcgAgAG0AbwByAGUAIABpAHMAIAByAGUAYQBkACAAYQBzACAAdwBoAG8AbABlACAAYwBhAGwAZQBuAGQAYQByACAAbQBvAG4AdABoAHMALAAgAGEAIABzAGgAbwByAHQAZQByACAAbwBuAGUAtgAgACAAIAAgACAAIAAgACAAIAAgACAAIAAgACAAIACSIWEAcwAgAGQAYQB5AHMALgAgADMAMAAvADMANgAwACAAYwBvAHUAbgB0AHMAIABlAHYAZQByAHkAIABtAG8AbgB0AGgAIABhAHMAIAAzADAAIABkAGEAeQBzACAAbwBuACAAdABoAGUAIABFAHUAcgBvAHAAZQBhAG4AIAByAHUAbABlAC4AtgAgACAAIAAgACAAIAAgACAAIAAgACAAIAAgACAAIACSIVUAbgBkAGUAcgAgAEEAYwB0AHUAYQBsAC8AQQBjAHQAdQBhAGwAIABlAGEAYwBoACAAYwBhAGwAZQBuAGQAYQByACAAeQBlAGEAcgAgAHUAcwBlAHMAIABpAHQAcwAgAG8AdwBuACAAbABlAG4AZwB0AGgAIABhAHMAIAB0AGgAZQC2ACAAIAAgACAAIAAgACAAIAAgACAAIAAgACAAIAAgAJIhZABlAG4AbwBtAGkAbgBhAHQAbwByACAAKAB0AGgAZQAgAEkAUwBEAEEAIAByAHUAbABlACkALAAgAGkAbgBjAGwAdQBkAGkAbgBnACAAcABlAHIAaQBvAGQAcwAgAHMAcABhAG4AbgBpAG4AZwAgAHMAZQB2AGUAcgBhAGwAIAB5AGUAYQByAHM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xADAAIABTAGUAcAAgADIAMAAyADYAtgBcACIAIAAmAFwAbgAgACAAIAAgACAAIAAgACAAIAAgACAAIAAgACAAIAAgACAAIAAgACAAIAAgACAAIAAgACAAIAAgAFwAIgBQAEEAUgBBAE0ARQBUAEUAUgBTADoAIAAgACAAIACSIbYAXAAiACAAJgBcAG4AIAAgACAAIAAgACAAIAAgACAAIAAgACAAIAAgACAAIAAgACAAIAAgACAAIAAgACAAIAAgACAAIABcACIAVABpAG0AZQBsAGkAbgBlACAAIAAgACAAIAAgACAAkiEoAFIAZQBxAHUAaQByAGUAZAApACAAQQAgAHIAbwB3ACAAbwByACAAYwBvAGwAdQBtAG4AIABvAGYAIABwAGUAcgBpAG8AZAAgAGQAYQB0AGUAcwAsACAAYQB0ACAAbABlAGEAcwB0ACAAdAB3AG8ALAAgAGUAdgBlAG4AbAB5ACAAcwBwAGEAYwBlAGQALgC2AFwAIgAgACYAXABuACAAIAAgACAAIAAgACAAIAAgACAAIAAgACAAIAAgACAAIAAgACAAIAAgACAAIAAgACAAIAAgACAAXAAiAEEAUABSACAAIAAgACAAIAAgACAAIAAgACAAIAAgAJIhKABSAGUAcQB1AGkAcgBlAGQAKQAgAEEAbgBuAHUAYQBsACAAcABlAHIAYwBlAG4AdABhAGcAZQAgAHIAYQB0AGUALAAgAG8AbgBlACAAdgBhAGwAdQBlACAAbwByACAAbwBuAGUAIABwAGUAcgAgAHAAZQByAGkAbwBkAC4AtgBcACIAIAAmAFwAbgAgACAAIAAgACAAIAAgACAAIAAgACAAIAAgACAAIAAgACAAIAAgACAAIAAgACAAIAAgACAAIAAgAFwAIgBDAG8AbgB2AGUAbgB0AGkAbwBuACAAIAAgACAAIACSISgATwBwAHQAaQBvAG4AYQBsADoAIABEAGUAZgBhAHUAbAB0ACAAPQAgADMAKQAgADEAIAA9ACAAMwAwAC8AMwA2ADAALAAgADIAIAA9ACAAQQBjAHQAdQBhAGwALwAzADYAMAAsACAAMwAgAD0AIABBAGMAdAB1AGEAbAAvADMANgA1ACwAIAA0ACAAPQAgAEEAYwB0AHUAYQBsAC8AQQBjAHQAdQBhAGwALgAgAEEAbgB5ACAAbwB0AGgAZQByACAAbgB1AG0AYgBlAHIAIABpAHMAIAAjAFYAQQBMAFUARQAhAC4AtgBcACIAIAAmAFwAbgAgACAAIAAgACAAIAAgACAAIAAgACAAIAAgACAAIAAgACAAIAAgACAAIAAgACAAIAAgACAAIAAgAFwAIgBFAG4AZABEAGEAdABlAHMAIAAgACAAIAAgACAAIACSISgATwBwAHQAaQBvAG4AYQBsADoAIABEAGUAZgBhAHUAbAB0ACAAPQAgAEYAQQBMAFMARQApACAAVABSAFUARQAsACAAbwByACAAYQAgAG4AdQBtAGIAZQByACAAbwB0AGgAZQByACAAdABoAGEAbgAgADAALAAgAHcAaABlAG4AIAB0AGgAZQAgAHQAaQBtAGUAbABpAG4AZQAgAHMAaABvAHcAcwAgAHAAZQByAGkAbwBkACAAZQBuAGQAIABkAGEAdABlAHMAIAByAGEAdABoAGUAcgAgAHQAaABhAG4AIABzAHQAYQByAHQAIABkAGEAdABl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EAGEAeQBDAG8AdQBuAHQAUgBhAHQAZQC7AygARQBEAEEAVABFACgARABBAFQARQAoADIAMAAyADYALAA3ACwAMQApACwAIAB7ADAALAAxACwAMgB9ACkALAAgADAALgAwADcAMwApALYAXAAiACAAJgBcAG4AIAAgACAAIAAgACAAIAAgACAAIAAgACAAIAAgACAAIAAgACAAIAAgACAAIAAgACAAIAAgACAAIABcACIAkiFSAGUAcwB1AGwAdAC2AFwAIgAgACYAXABuACAAIAAgACAAIAAgACAAIAAgACAAIAAgACAAIAAgACAAIAAgACAAIAAgACAAIAAgACAAIAAgACAAXAAiAJIhMAAuADAAMAA2ADIALAAgADAALgAwADAANgAyACwAIAAwAC4AMAAwADY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VABpAG0AZQBsAGkAbgBlACkALAAgAEkAUwBPAE0ASQBUAFQARQBEACgAQQBQAFIAKQApACwAXABuACAAIAAgACAALwAvACAAIABBACAAYgBsAGEAbgBrACAAYwBlAGwAbAAgAGkAcwAgAG4AbwB0ACAAYQBuACAAbwBtAGkAdAB0AGUAZAAgAGEAcgBnAHUAbQBlAG4AdAAsACAAcwBvACAAdABlAHMAdAAgAGYAbwByACAAYgBvAHQAaABcAG4AIAAgACAAIAAgACAAIAAgAE0AZQB0AGgAbwBkACwAIAAgACAAIAAgACAAIAAgACAASQBGACgATwBSACgASQBTAE8ATQBJAFQAVABFAEQAKABDAG8AbgB2AGUAbgB0AGkAbwBuACkALAAgAE4ATwBUACgASQBTAE4AVQBNAEIARQBSACgAQwBvAG4AdgBlAG4AdABpAG8AbgApACkAKQAsACAAMwAsACAAQwBvAG4AdgBlAG4AdABpAG8AbgApACwAXABuACAAIAAgACAAIAAgACAAIABFAG4AZABGAGwAYQBnACwAIAAgACAAIAAgACAAIAAgAEkARgAoAEkAUwBMAE8ARwBJAEMAQQBMACgARQBuAGQARABhAHQAZQBzACkALAAgAEUAbgBkAEQAYQB0AGUAcwAsACAASQBGACgASQBTAE4AVQBNAEIARQBSACgARQBuAGQARABhAHQAZQBzACkALAAgAEUAbgBkAEQAYQB0AGUAcwAgADwAPgAgADAALAAgAEYAQQBMAFMARQApACkALABcAG4AIAAgACAAIAAvAC8AIAAgAE8AbgBlACAAdABpAG0AZQBsAGkAbgBlACAAbABhAGkAZAAgAGEAbABvAG4AZwAgAGEAIAByAG8AdwAsACAAdABlAHgAdAAgAGQAYQB0AGUAcwAgAHIAZQBhAGQALAAgAGEAbgBkACAAYQAgAGMAbwBsAHUAbQBuACAAbwBmACAAcgBhAHQAZQBzACAAbABhAGkAZAAgAHQAaABlACAAcwBhAG0AZQAgAHcAYQB5AFwAbgAgACAAIAAgACAAIAAgACAAUgBvAHcALAAgACAAIAAgACAAIAAgACAAIAAgACAAIABJAEYAKABSAE8AVwBTACgAVABpAG0AZQBsAGkAbgBlACkAIAA9ACAAMQAsACAAVABpAG0AZQBsAGkAbgBlACwAIABUAFIAQQBOAFMAUABPAFMARQAoAFQAaQBtAGUAbABpAG4AZQApACkALABcAG4AIAAgACAAIAAgACAAIAAgAEQAYQB0AGUAcwAsACAAIAAgACAAIAAgACAAIAAgACAASQBGACgASQBTAE4AVQBNAEIARQBSACgAUgBvAHcAKQAsACAAUgBvAHcALAAgAEQAQQBUAEUAVgBBAEwAVQBFACgAUgBvAHcAKQApACwAXABuACAAIAAgACAAIAAgACAAIABSAGEAdABlACwAIAAgACAAIAAgACAAIAAgACAAIAAgAEkARgAoAFIATwBXAFMAKABBAFAAUgApACAAPQAgADEALAAgAEEAUABSACwAIABUAFIAQQBOAFMAUABPAFMARQAoAEEAUABSACkAKQAsAFwAbgAgACAAIAAgACAAIAAgACAAQwBvAHUAbgB0ACwAIAAgACAAIAAgACAAIAAgACAAIABDAE8ATABVAE0ATgBTACgARABhAHQAZQBzACkALABcAG4AIAAgACAAIAAvAC8AIAAgAFQAaABlACAAcABlAHIAaQBvAGQAIABsAGUAbgBnAHQAaAAgAGkAcwAgAHIAZQBhAGQAIABvAGYAZgAgAHQAaABlACAAZgBpAHIAcwB0ACAAZwBhAHAAIABmAG8AcgAgAHQAaABlACAAZgBpAHIAcwB0ACAAcABlAHIAaQBvAGQAIABhAG4AZAAgAHQAaABlACAAbABhAHMAdAAgAGcAYQBwAFwAbgAgACAAIAAgAC8ALwAgACAAZgBvAHIAIAB0AGgAZQAgAGwAYQBzAHQALAAgAGkAbgAgAHcAaABvAGwAZQAgAG0AbwBuAHQAaABzACAAZgByAG8AbQAgADIAOAAgAGQAYQB5AHMAIAB1AHAAIABhAG4AZAAgAGkAbgAgAGQAYQB5AHMAIABiAGUAbABvAHcAIAB0AGgAYQB0AC4AIABBACAAbQBvAG4AdABoAC0AZQBuAGQAXABuACAAIAAgACAALwAvACAAIABkAGEAdABlACAAcwB0AGUAcABzACAAYgBhAGMAawAgAHQAaAByAG8AdQBnAGgAIABFAE8ATQBPAE4AVABIACwAIABiAGUAYwBhAHUAcwBlACAARQBEAEEAVABFACgAMgA4ACAARgBlAGIALAAgAC0AMQApACAAaQBzACAAMgA4ACAASgBhAG4ALAAgAG4AbwB0ACAAMwAxACAASgBhAG4ALgBcAG4AIAAgACAAIAAgACAAIAAgAEYAaQByAHMAdABHAGEAcAAsACAAIAAgACAAIAAgACAASQBOAEQARQBYACgARABhAHQAZQBzACwAIAAxACwAIAAyACkAIAAtACAASQBOAEQARQBYACgARABhAHQAZQBzACwAIAAxACwAIAAxACkALABcAG4AIAAgACAAIAAgACAAIAAgAEwAYQBzAHQARwBhAHAALAAgACAAIAAgACAAIAAgACAASQBOAEQARQBYACgARABhAHQAZQBzACwAIAAxACwAIABDAG8AdQBuAHQAKQAgAC0AIABJAE4ARABFAFgAKABEAGEAdABlAHMALAAgADEALAAgAEMAbwB1AG4AdAAgAC0AIAAxACkALABcAG4AIAAgACAAIAAgACAAIAAgAEYAaQByAHMAdABEAGEAdABlACwAIAAgACAAIAAgACAASQBOAEQARQBYACgARABhAHQAZQBzACwAIAAxACwAIAAxACkALABcAG4AIAAgACAAIAAgACAAIAAgAEYAaQByAHMAdABNAG8AbgB0AGgAcwAsACAAIAAgACAAUgBPAFUATgBEACgARgBpAHIAcwB0AEcAYQBwACAALwAgADMAMAAuADUALAAgADAAKQAsAFwAbgAgACAAIAAgACAAIAAgACAARgBpAHIAcwB0AFMAdABhAHIAdAAsACAAIAAgACAAIABJAEYAKABGAGkAcgBzAHQARwBhAHAAIAA8ACAAMgA4ACwAXABuACAAIAAgACAAIAAgACAAIAAgACAAIAAgACAAIAAgACAAIAAgACAAIAAgACAAIAAgACAAIAAgACAARgBpAHIAcwB0AEQAYQB0AGUAIAAtACAARgBpAHIAcwB0AEcAYQBwACwAXABuACAAIAAgACAAIAAgACAAIAAgACAAIAAgACAAIAAgACAAIAAgACAAIAAgACAAIAAgACAAIAAgACAASQBGACgARABBAFkAKABGAGkAcgBzAHQARABhAHQAZQAgACsAIAAxACkAIAA9ACAAMQAsAFwAbgAgACAAIAAgACAAIAAgACAAIAAgACAAIAAgACAAIAAgACAAIAAgACAAIAAgACAAIAAgACAAIAAgACAAIAAgACAARQBPAE0ATwBOAFQASAAoAEYAaQByAHMAdABEAGEAdABlACwAIAAtAEYAaQByAHMAdABNAG8AbgB0AGgAcwApACwAXABuACAAIAAgACAAIAAgACAAIAAgACAAIAAgACAAIAAgACAAIAAgACAAIAAgACAAIAAgACAAIAAgACAAIAAgACAAIABFAEQAQQBUAEUAKABGAGkAcgBzAHQARABhAHQAZQAsACAALQBGAGkAcgBzAHQATQBvAG4AdABoAHMAKQApACkAIAArACAAMQAsAFwAbgAgACAAIAAgACAAIAAgACAATABhAHMAdABEAGEAdABlACwAIAAgACAAIAAgACAAIABJAE4ARABFAFgAKABEAGEAdABlAHMALAAgADEALAAgAEMAbwB1AG4AdAApACwAXABuACAAIAAgACAAIAAgACAAIABMAGEAcwB0AE0AbwBuAHQAaABzACwAIAAgACAAIAAgAFIATwBVAE4ARAAoAEwAYQBzAHQARwBhAHAAIAAvACAAMwAwAC4ANQAsACAAMAApACwAXABuACAAIAAgACAAIAAgACAAIABMAGEAcwB0AEUAbgBkACwAIAAgACAAIAAgACAAIAAgAEkARgAoAEwAYQBzAHQARwBhAHAAIAA8ACAAMgA4ACwAXABuACAAIAAgACAAIAAgACAAIAAgACAAIAAgACAAIAAgACAAIAAgACAAIAAgACAAIAAgACAAIAAgACAATABhAHMAdABEAGEAdABlACAAKwAgAEwAYQBzAHQARwBhAHAALABcAG4AIAAgACAAIAAgACAAIAAgACAAIAAgACAAIAAgACAAIAAgACAAIAAgACAAIAAgACAAIAAgACAAIABJAEYAKABEAEEAWQAoAEwAYQBzAHQARABhAHQAZQAgACsAIAAxACkAIAA9ACAAMQAsAFwAbgAgACAAIAAgACAAIAAgACAAIAAgACAAIAAgACAAIAAgACAAIAAgACAAIAAgACAAIAAgACAAIAAgACAAIAAgACAARQBPAE0ATwBOAFQASAAoAEwAYQBzAHQARABhAHQAZQAsACAATABhAHMAdABNAG8AbgB0AGgAcwApACwAXABuACAAIAAgACAAIAAgACAAIAAgACAAIAAgACAAIAAgACAAIAAgACAAIAAgACAAIAAgACAAIAAgACAAIAAgACAAIABFAEQAQQBUAEUAKABMAGEAcwB0AEQAYQB0AGUALAAgAEwAYQBzAHQATQBvAG4AdABoAHMAKQApACkAIAAtACAAMQAsAFwAbgAgACAAIAAgAC8ALwAgACAARQB2AGUAcgB5ACAAcABlAHIAaQBvAGQAIAByAHUAbgBzACAAZgByAG8AbQAgAGkAdABzACAAcwB0AGEAcgB0ACAAdABvACAAdABoAGUAIABkAGEAeQAgAGIAZQBmAG8AcgBlACAAdABoAGUAIABuAGUAeAB0ACAAcwB0AGEAcgB0AFwAbgAgACAAIAAgACAAIAAgACAAUwB0AGEAcgB0AHMALAAgACAAIAAgACAAIAAgACAAIABJAEYAKABFAG4AZABGAGwAYQBnACwAIABIAFMAVABBAEMASwAoAEYAaQByAHMAdABTAHQAYQByAHQALAAgAEQAUgBPAFAAKABEAGEAdABlAHMALAAgACwAIAAtADEAKQAgACsAIAAxACkALAAgAEQAYQB0AGUAcwApACwAXABuACAAIAAgACAAIAAgACAAIABFAG4AZABzACwAIAAgACAAIAAgACAAIAAgACAAIAAgAEkARgAoAEUAbgBkAEYAbABhAGcALAAgAEQAYQB0AGUAcwAsACAASABTAFQAQQBDAEsAKABEAFIATwBQACgARABhAHQAZQBzACwAIAAsACAAMQApACAALQAgADEALAAgAEwAYQBzAHQARQBuAGQAKQApACwAXABuACAAIAAgACAAIAAgACAAIABOAGUAeAB0ACwAIAAgACAAIAAgACAAIAAgACAAIAAgAEUAbgBkAHMAIAArACAAMQAsAFwAbgAgACAAIAAgAC8ALwAgACAAMwAwAC8AMwA2ADAAIABvAG4AIAB0AGgAZQAgAEUAdQByAG8AcABlAGEAbgAgAHIAdQBsAGUAOgAgAGEAIAAzADEAcwB0ACAAYwBvAHUAbgB0AHMAIABhAHMAIAB0AGgAZQAgADMAMAB0AGgAIABhAHQAIABlAGkAdABoAGUAcgAgAGUAbgBkAFwAbgAgACAAIAAgACAAIAAgACAARABhAHkAcwAsACAAIAAgACAAIAAgACAAIAAgACAAIABJAEYAKABNAGUAdABoAG8AZAAgAD0AIAAxACwAXABuACAAIAAgACAAIAAgACAAIAAgACAAIAAgACAAIAAgACAAIAAgACAAIAAgACAAIAAgACAAIAAgACAAMwA2ADAAIAAqACAAKABZAEUAQQBSACgATgBlAHgAdAApACAALQAgAFkARQBBAFIAKABTAHQAYQByAHQAcwApACkAIAArACAAMwAwACAAKgAgACgATQBPAE4AVABIACgATgBlAHgAdAApACAALQAgAE0ATwBOAFQASAAoAFMAdABhAHIAdABzACkAKQBcAG4AIAAgACAAIAAgACAAIAAgACAAIAAgACAAIAAgACAAIAAgACAAIAAgACAAIAAgACAAIAAgACAAIAAgACAAIAAgACsAIABJAEYAKABEAEEAWQAoAE4AZQB4AHQAKQAgAD4AIAAzADAALAAgADMAMAAsACAARABBAFkAKABOAGUAeAB0ACkAKQAgAC0AIABJAEYAKABEAEEAWQAoAFMAdABhAHIAdABzACkAIAA+ACAAMwAwACwAIAAzADAALAAgAEQAQQBZACgAUwB0AGEAcgB0AHMAKQApACwAXABuACAAIAAgACAAIAAgACAAIAAgACAAIAAgACAAIAAgACAAIAAgACAAIAAgACAAIAAgACAAIAAgACAATgBlAHgAdAAgAC0AIABTAHQAYQByAHQAcwApACwAXABuACAAIAAgACAALwAvACAAIABBAGMAdAB1AGEAbAAvAEEAYwB0AHUAYQBsACAAYwBvAHUAbgB0AHMAIABwAGEAcgB0AGkAYQBsACAAZgBpAHIAcwB0ACAAYQBuAGQAIABsAGEAcwB0ACAAeQBlAGEAcgBzACwAIABwAGwAdQBzACAAYQBuAHkAIAB3AGgAbwBsAGUAIAB5AGUAYQByAHMAIABiAGUAdAB3AGUAZQBuAC4AXABuACAAIAAgACAALwAvACAAIABJAEYAIAByAGEAdABoAGUAcgAgAHQAaABhAG4AIABNAEkATgAsACAAYgBlAGMAYQB1AHMAZQAgAE0ASQBOACAAdwBvAHUAbABkACAAYwBvAGwAbABhAHAAcwBlACAAdABoAGUAIAByAG8AdwAgAHQAbwAgAG8AbgBlACAAdgBhAGwAdQBlAC4AXABuACAAIAAgACAAIAAgACAAIABZAGUAYQByAE8AbgBlACwAIAAgACAAIAAgACAAIAAgAFkARQBBAFIAKABTAHQAYQByAHQAcwApACwAXABuACAAIAAgACAAIAAgACAAIABCAG8AdQBuAGQAYQByAHkALAAgACAAIAAgACAAIAAgAEQAQQBUAEUAKABZAGUAYQByAE8AbgBlACAAKwAgADEALAAgADEALAAgADEAKQAsAFwAbgAgACAAIAAgACAAIAAgACAAUwBwAGwAaQB0ACwAIAAgACAAIAAgACAAIAAgACAAIABJAEYAKABOAGUAeAB0ACAAPAAgAEIAbwB1AG4AZABhAHIAeQAsACAATgBlAHgAdAAsACAAQgBvAHUAbgBkAGEAcgB5ACkALABcAG4AIAAgACAAIAAgACAAIAAgAEQAYQB5AHMATwBuAGUALAAgACAAIAAgACAAIAAgACAASQBGACgARABBAFkAKABEAEEAVABFACgAWQBlAGEAcgBPAG4AZQAsACAAMgAsACAAMgA5ACkAKQAgAD0AIAAyADkALAAgADMANgA2ACwAIAAzADYANQApACwAXABuACAAIAAgACAAIAAgACAAIABZAGUAYQByAEwAYQBzAHQALAAgACAAIAAgACAAIAAgAFkARQBBAFIAKABOAGUAeAB0ACkALABcAG4AIAAgACAAIAAgACAAIAAgAEwAYQBzAHQAWQBlAGEAcgBTAHQAYQByAHQALAAgACAARABBAFQARQAoAFkAZQBhAHIATABhAHMAdAAsACAAMQAsACAAMQApACwAXABuACAAIAAgACAAIAAgACAAIABEAGEAeQBzAEwAYQBzAHQALAAgACAAIAAgACAAIAAgAEQAQQBUAEUAKABZAGUAYQByAEwAYQBzAHQAIAArACAAMQAsACAAMQAsACAAMQApACAALQAgAEwAYQBzAHQAWQBlAGEAcgBTAHQAYQByAHQALABcAG4AIAAgACAAIAAgACAAIAAgAEYAcgBhAGMAdABpAG8AbgAsACAAIAAgACAAIAAgACAAUwBXAEkAVABDAEgAKABNAGUAdABoAG8AZAAsAFwAbgAgACAAIAAgACAAIAAgACAAIAAgACAAIAAgACAAIAAgACAAIAAgACAAIAAgACAAIAAgACAAIAAgADEALAAgAEQAYQB5AHMAIAAvACAAMwA2ADAALABcAG4AIAAgACAAIAAgACAAIAAgACAAIAAgACAAIAAgACAAIAAgACAAIAAgACAAIAAgACAAIAAgACAAIAAyACwAIABEAGEAeQBzACAALwAgADMANgAwACwAXABuACAAIAAgACAAIAAgACAAIAAgACAAIAAgACAAIAAgACAAIAAgACAAIAAgACAAIAAgACAAIAAgACAANAAsACAAKABTAHAAbABpAHQAIAAtACAAUwB0AGEAcgB0AHMAKQAgAC8AIABEAGEAeQBzAE8AbgBlACAAKwAgAEkARgAoAFkAZQBhAHIATABhAHMAdAAgAD4AIABZAGUAYQByAE8AbgBlACwAXABuACAAIAAgACAAIAAgACAAIAAgACAAIAAgACAAIAAgACAAIAAgACAAIAAgACAAIAAgACAAIAAgACAAIAAgACAAIABZAGUAYQByAEwAYQBzAHQAIAAtACAAWQBlAGEAcgBPAG4AZQAgAC0AIAAxACAAKwAgACgATgBlAHgAdAAgAC0AIABMAGEAcwB0AFkAZQBhAHIAUwB0AGEAcgB0ACkAIAAvACAARABhAHkAcwBMAGEAcwB0ACwAIAAwACkALABcAG4AIAAgACAAIAAgACAAIAAgACAAIAAgACAAIAAgACAAIAAgACAAIAAgACAAIAAgACAAIAAgACAAIABEAGEAeQBzACAALwAgADMANgA1ACkALABcAG4AIAAgACAAIAAgACAAIAAgAFIAYQB0AGUAcwAsACAAIAAgACAAIAAgACAAIAAgACAAUgBhAHQAZQAgACoAIABGAHIAYQBjAHQAaQBvAG4ALABcAG4AIAAgACAAIAAgACAAIAAgAFIAZQBzAHUAbAB0ACwAIAAgACAAIAAgACAAIAAgACAASQBGACgATwBSACgAQwBvAHUAbgB0ACAAPAAgADIALAAgAE4ATwBUACgATwBSACgATQBlAHQAaABvAGQAIAA9ACAAewAxACwAMgAsADMALAA0AH0AKQApACkALAAgACMAVgBBAEwAVQBFACEALAAgAFIAYQB0AGUAcw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UgBhAHQAaQBvAHMAIgAsACIAdABlAHgAdAAiADoAIgAvACoAIAAgAE0AbwBkAHUAbABlACAAQwBvAG4AdABhAGkAbgBzACAAYQAgAGwAaQBiAHIAYQByAHkAIABvAGYAIABGAGkAbgBhAG4AYwBpAGEAbAAgAFIAYQB0AGkAbwBzACAAKgAvAFwAbgBcAG4ALwAqACAAIABGAFUATgBDAFQASQBPAE4AIABOAEEATQBFADoAIAAgAEEAYgBvAHUAdABSAGEAdABpAG8AcwC7A1wAbgAgACAAIAAgAEQARQBTAEMAUgBJAFAAVABJAE8ATgA6ACoALwAvACoAKgBEAGkAcwBwAGwAYQB5AHMAIAB0AGgAaQBzACAAbQBvAGQAdQBsAGUAJwBzACAAcgBlAHAAbwBzAGkAdABvAHIAeQAgAFUAUgBMACAAYQBuAGQAIABmAHUAbgBjAHQAaQBvAG4AIABsAGkAcwB0ACoALwBcAG4AQQBiAG8AdQB0AFIAYQB0AGkAbwBzALsDIAA9ACAAVABSAEkATQAoAFwAbgAgACAAIAAgAFQARQBYAFQAUwBQAEwASQBUACgAXABuACAAIAAgACAAIAAgACAAIABcACIAQQBiAG8AdQB0ADoAIAAgACAAIAAgACAAIAAgACAAIAAgACAAIAAgACAAIAAgACAAIAAgACAAkiFBACAAbABpAGIAcgBhAHIAeQAgAG8AZgAgAEYAaQBuAGEAbgBjAGkAYQBsACAAUgBhAHQAaQBvAHMAtgBcACIAIAAmAFwAbgAgACAAIAAgACAAIAAgACAAXAAiAFYAZQByAHMAaQBvAG4AOgAgACAAIAAgACAAIAAgACAAIAAgACAAIAAgACAAIAAgACAAIAAgAJIhMgAwACAAQQB1AGcAIAAyADAAMgA2ALYAXAAiACAAJgBcAG4AIAAgACAAIAAgACAAIAAgAFwAIgBSAGUAcABvAHMAaQB0AG8AcgB5ADoAIAAgACAAIAAgACAAIAAgACAAIAAgACAAIAAgACAAIAAgACAAkiFoAHQAdABwAHMAOgAvAC8AZwBpAHQAaAB1AGIALgBjAG8AbQAvAHIAeQBhAG4AZAB1AGcAdQBpAGQALwBPAHoAegBpAHQAIAC2AFwAIgAgACYAXABuACAAIAAgACAAIAAgACAAIABcACIATgBvAHQAZQBzADoAIAAgACAAIAAgACAAIAAgACAAIAAgACAAIAAgACAAIAAgACAAIAAgACAAkiFTAG8AdQByAGMAZQBzACAAaQBuAGMAbAB1AGQAZQAgAEkAbgB2AGUAcwB0AG8AcABlAGQAaQBhAC4AYwBvAG0ALAAgAEMAbwByAHAAbwByAGEAdABlACAARgBpAG4AYQBuAGMAZQAgAGEAbgBkACAAVwBhAGwAbABTAHQAcgBlAGUAdABQAHIAZQBwAC4AYwBvAG0ALgC2AFwAIgAgACYAXABuACAAIAAgACAAIAAgACAAIAAgACAAIAAgACAAIAAgACAAIAAgACAAIAAgACAAIAAgACAAIAAgACAAIAAgACAAIAAgACAAIABcACIAkiFDAG8AcAB5AHIAaQBnAGgAdAAgAGEAcABwAGwAaQBlAHMAIAB0AG8AIABMAEEATQBCAEQAQQAgAGMAbwBkAGkAbgBnALYAXAAiACAAJgBcAG4AIAAgACAAIAAgACAAIAAgAFwAIgCSIbYAXAAiACAAJgAgAFwAbgAgACAAIAAgACAAIAAgACAAXAAiAEYAdQBuAGMAdABpAG8AbgAgACAAIAAgACAAIAAgACAAIAAgACAAIAAgACAAIAAgACAAIAAgAJIhRABlAHMAYwByAGkAcAB0AGkAbwBuALYAXAAiACAAJgAgAFwAbgAgACAAIAAgACAAIAAgACAAXAAiAEEAYgBvAHUAdABSAGEAdABpAG8AcwC7AyAAIAAgACAAIAAgACAAIAAgACAAIAAgACAAIAAgACAAIAAgACAAIAAgAJIhUAByAG8AZAB1AGMAZQBzACAAdABoAGkAcwAgAHQAYQBiAGwAZQC2AFwAIgAgACYAXABuACAAIAAgACAAIAAgACAAIABcACIAkiG2AFwAIgAgACYAIABcAG4AIAAgACAAIAAgACAAIAAgAFwAIgBMAGkAcQB1AGkAZABpAHQAeQAgAFIAYQB0AGkAbwBzAJIhtgBcACIAIAAmAFwAbgAgACAAIAAgACAAIAAgACAAXAAiAEMAdQByAHIAZQBuAHQAUgBhAHQAaQBvALsDIAAgACAAIAAgACAAIAAgACAAIAAgACAAIAAgAJIhTQBlAGEAcwB1AHIAZQBzACAAYQBiAGkAbABpAHQAeQAgAHQAbwAgAHAAYQB5ACAAcwBoAG8AcgB0AC0AdABlAHIAbQAgAG8AYgBsAGkAZwBhAHQAaQBvAG4AcwC2AFwAIgAgACYAXABuACAAIAAgACAAIAAgACAAIABcACIAUQB1AGkAYwBrAFIAYQB0AGkAbwC7AyAAIAAgACAAIAAgACAAIAAgACAAIAAgACAAIAAgACAAkiFNAGUAYQBzAHUAcgBlAHMAIABhAGIAaQBsAGkAdAB5ACAAdABvACAAbQBlAGUAdAAgAHMAaABvAHIAdAAtAHQAZQByAG0AIABvAGIAbABpAGcAYQB0AGkAbwBuAHMAtgBcACIAIAAmAFwAbgAgACAAIAAgACAAIAAgACAAXAAiAEMAYQBzAGgAUgBhAHQAaQBvALsDIAAgACAAIAAgACAAIAAgACAAIAAgACAAIAAgACAAIAAgAJIhRQB2AGEAbAB1AGEAdABlAHMAIABhAGIAaQBsAGkAdAB5ACAAdABvACAAcgBlAHAAYQB5ACAAcwBoAG8AcgB0AC0AdABlAHIAbQAgAGQAZQBiAHQAIAB3AC8AYwBhAHMAaAAgAG8AcgAgAG4AZQBhAHIALQBjAGEAcwBoACAAcgBlAHMAbwB1AHIAYwBlAHMAtgBcACIAIAAmAFwAbgAgACAAIAAgACAAIAAgACAAXAAiAE8AcABlAHIAYQB0AGkAbgBnAEMAYQBzAGgARgBsAG8AdwBSAGEAdABpAG8AuwMgACAAIAAgAJIhTQBlAGEAcwB1AHIAZQBzACAAaABvAHcAIAByAGUAYQBkAGkAbAB5ACAAYwB1AHIAcgBlAG4AdAAgAGwAaQBhAGIAaQBsAGkAdABpAGUAcwAgAGEAcgBlACAAYwBvAHYAZQByAGUAZAAgAGIAeQAgAGMAYQBzAGgAIABmAGwAbwB3AHMAIABnAGUAbgBlAHIAYQB0AGUAZAAgAGYAcgBvAG0AIABvAHAAZQByAGEAdABpAG8AbgBzAC4AIAC2AFwAIgAgACYAXABuACAAIAAgACAAIAAgACAAIABcACIAUgBlAGMAZQBpAHYAYQBiAGwAZQBzAFQAdQByAG4AbwB2AGUAcgBSAGEAdABpAG8AuwMgACAAkiFJAG4AZABpAGMAYQB0AGUAcwAgAGUAZgBmAGUAYwB0AGkAdgBlAG4AZQBzAHMAIABpAG4AIABjAG8AbABsAGUAYwB0AGkAbgBnACAAbwB1AHQAcwB0AGEAbgBkAGkAbgBnACAAYgBhAGwAYQBuAGMAZQBzACAAZgByAG8AbQAgAGMAbABpAGUAbgB0AHMAIABhAG4AZAAgAG0AYQBuAGEAZwBpAG4AZwAgAGwAaQBuAGUAIABvAGYAIABjAHIAZQBkAGkAdAAgAHAAcgBvAGMAZQBzAHMAtgBcACIAIAAmAFwAbgAgACAAIAAgACAAIAAgACAAXAAiAEkAbgB2AGUAbgB0AG8AcgB5AFQAdQByAG4AbwB2AGUAcgBSAGEAdABpAG8AuwMgACAAIAAgAJIhUwBoAG8AdwBzACAAaABvAHcAIABtAGEAbgB5ACAAdABpAG0AZQBzACAAYQAgAGMAbwBtAHAAYQBuAHkAIAB0AHUAcgBuAGUAZAAgAG8AdgBlAHIAIABpAHQAcwAgAGkAbgB2AGUAbgB0AG8AcgB5ACAAcgBlAGwAYQB0AGkAdgBlACAAIAB0AG8AIABpAHQAcwAgAGMAbwBzAHQAIABvAGYAIABnAG8AbwBkAHMAIABzAG8AbABkALYAXAAiACAAJgBcAG4AIAAgACAAIAAgACAAIAAgAFwAIgBXAG8AcgBrAGkAbgBnAEMAYQBwAGkAdABhAGwAVAB1AHIAbgBvAHYAZQByAFIAYQB0AGkAbwC7A5IhVwBvAHIAawBpAG4AZwAgAEMAYQBwAGkAdABhAGwAIABUAHUAcgBuAG8AdgBlAHIAIABSAGEAdABpAG8AIABtAGUAYQBzAHUAcgBlAHMAIABoAG8AdwAgAGUAZgBmAGkAYwBpAGUAbgB0AGwAeQAgAGEAIABjAG8AbQBwAGEAbgB5ACAAaQBzACAAdQBzAGkAbgBnACAAaQB0AHMAIAB3AG8AcgBrAGkAbgBnACAAYwBhAHAAaQB0AGEAbAAgAHQAbwAgAHMAdQBwAHAAbwByAHQAIABzAGEAbABlAHMAIABhAG4AZAAgAGcAcgBvAHcAdABoALYAXAAiACAAJgBcAG4AIAAgACAAIAAgACAAIAAgAFwAIgCSIbYAXAAiACAAJgAgAFwAbgAgACAAIAAgACAAIAAgACAAXAAiAEwAZQB2AGUAcgBhAGcAZQAgAFIAYQB0AGkAbwBzAJIhtgBcACIAIAAmAFwAbgAgACAAIAAgACAAIAAgACAAXAAiAEQAZQBiAHQAUgBhAHQAaQBvALsDIAAgACAAIAAgACAAIAAgACAAIAAgACAAIAAgACAAIAAgAJIhTQBlAGEAcwB1AHIAZQBzACAAdABoAGUAIABlAHgAdABlAG4AdAAgAG8AZgAgAGEAIABjAG8AbQBwAGEAbgB5ACcAcwAgAGwAZQB2AGUAcgBhAGcAZQC2AFwAIgAgACYAXABuACAAIAAgACAAIAAgACAAIABcACIARABTAEMAUgC7AyAAIAAgACAAIAAgACAAIAAgACAAIAAgACAAIAAgACAAIAAgACAAIAAgACAAkiFEAGUAYgB0ACAAcwBlAHIAdgBpAGMAZQAgAGMAbwB2AGUAcgBhAGcAZQAgAFIAYQB0AGkAbwAgAG0AZQBhAHMAdQByAGUAcwAgAGEAIABmAGkAcgBtABkgcwAgAGEAdgBhAGkAbABhAGIAbABlACAAYwBhAHMAaAAgAGYAbABvAHcAIAB0AG8AIABwAGEAeQAgAGkAdABzACAAYwB1AHIAcgBlAG4AdAAgAGQAZQBiAHQAIABvAGIAbABpAGcAYQB0AGkAbwBuAHMAtgBcACIAIAAmAFwAbgAgACAAIAAgACAAIAAgACAAXAAiAEQAZQBiAHQAVABvAEMAYQBwAGkAdABhAGwAUgBhAHQAaQBvALsDIAAgACAAIAAgACAAIAAgAJIhRwBpAHYAZQBzACAAYQBuAGEAbAB5AHMAdABzACAAYQBuAGQAIABpAG4AdgBlAHMAdABvAHIAcwAgAGEAIABiAGUAdAB0AGUAcgAgAGkAZABlAGEAIABvAGYAIABhACAAYwBvAG0AcABhAG4AeQAnAHMAIABmAGkAbgBhAG4AYwBpAGEAbAAgAHMAdAByAHUAYwB0AHUAcgBlACAAYQBuAGQAIAB3AGgAZQB0AGgAZQByACAAbwByACAAbgBvAHQAIAB0AGgAZQAgAGMAbwBtAHAAYQBuAHkAIABpAHMAIABhACAAcwB1AGkAdABhAGIAbABlACAAaQBuAHYAZQBzAHQAbQBlAG4AdAC2AFwAIgAgACYAXABuACAAIAAgACAAIAAgACAAIABcACIARQBxAHUAaQB0AHkATQB1AGwAdABpAHAAbABpAGUAcgC7AyAAIAAgACAAIAAgACAAIAAgACAAkiFNAGUAYQBzAHUAcgBlAHMAIAB0AGgAZQAgAHAAbwByAHQAaQBvAG4AIABvAGYAIABhACAAYwBvAG0AcABhAG4AeQAZIHMAIABhAHMAcwBlAHQAcwAgAGYAaQBuAGEAbgBjAGUAZAAgAGIAeQAgAHMAaABhAHIAZQBoAG8AbABkAGUAcgBzACcAZQBxAHUAaQB0AHkAIAByAGEAdABoAGUAcgAgAHQAaABhAG4AIABiAHkAIABkAGUAYgB0ALYAXAAiACAAJgBcAG4AIAAgACAAIAAgACAAIAAgAFwAIgCSIbYAXAAiACAAJgAgAFwAbgAgACAAIAAgACAAIAAgACAAXAAiAFMAbwBsAHYAZQBuAGMAeQAgAFIAYQB0AGkAbwBzAJIhtgBcACIAIAAmAFwAbgAgACAAIAAgACAAIAAgACAAXAAiAEQAZQBiAHQAVABvAEUAcQB1AGkAdAB5AFIAYQB0AGkAbwC7AyAAIAAgACAAIAAgACAAIAAgAJIhTQBlAGEAcwB1AHIAZQBzACAAdABoAGUAIABkAGUAZwByAGUAZQAgAHQAbwAgAHcAaABpAGMAaAAgAGEAIABjAG8AbQBwAGEAbgB5ACAAaQBzACAAZgBpAG4AYQBuAGMAaQBuAGcAIABvAHAAZQByAGEAdABpAG8AbgBzACAAdwBpAHQAaAAgAGQAZQBiAHQAIAByAGEAdABoAGUAcgAgAHQAaABhAG4AIABpAHQAcwAgAG8AdwBuACAAcgBlAHMAbwB1AHIAYwBlAHMALgC2AFwAIgAgACYAXABuACAAIAAgACAAIAAgACAAIABcACIARABlAGIAdABUAG8AQQBzAHMAZQB0AFIAYQB0AGkAbwC7AyAAIAAgACAAIAAgACAAIAAgACAAkiFBAG4AYQBsAHkAcwB0AHMAIABjAGEAbgAgAGMAbwBtAHAAYQByAGUAIABvAG4AZQAgAGMAbwBtAHAAYQBuAHkAJwBzACAAbABlAHYAZQByAGEAZwBlACAAdwBpAHQAaAAgAHQAaABhAHQAIABvAGYAIABvAHQAaABlAHIAIABjAG8AbQBwAGEAbgBpAGUAcwAgAGkAbgAgAHQAaABlACAAcwBhAG0AZQAgAGkAbgBkAHUAcwB0AHIAeQAuALYAXAAiACAAJgBcAG4AIAAgACAAIAAgACAAIAAgAFwAIgBJAG4AdABlAHIAZQBzAHQAQwBvAHYAZQByAGEAZwBlAFIAYQB0AGkAbwC7AyAAIAAgACAAIACSIUQAZQB0AGUAcgBtAGkAbgBlAHMAIABoAG8AdwAgAGUAYQBzAGkAbAB5ACAAYQAgAGMAbwBtAHAAYQBuAHkAIABjAGEAbgAgAHAAYQB5ACAAaQBuAHQAZQByAGUAcwB0ACAAbwBuACAAaQB0AHMAIABvAHUAdABzAHQAYQBuAGQAaQBuAGcAIABkAGUAYgB0ALYAXAAiACAAJgBcAG4AIAAgACAAIAAgACAAIAAgAFwAIgBFAHEAdQBpAHQAeQBSAGEAdABpAG8AuwMgACAAIAAgACAAIAAgACAAIAAgACAAIAAgACAAIACSIU0AZQBhAHMAdQByAGUAcwAgAHQAaABlACAAbABvAG4AZwAtAHQAZQByAG0AIABzAG8AbAB2AGUAbgBjAHkAIABvAGYAIABhACAAYwBvAG0AcABhAG4AeQAgAGIAeQAgAGMAbwBtAHAAYQByAGkAbgBnACAAaQB0AHMAIABzAGgAYQByAGUAaABvAGwAZABlAHIAcwAZICAAZQBxAHUAaQB0AHkAIAB0AG8AIABpAHQAcwAgAHQAbwB0AGEAbAAgAGEAcwBzAGUAdABzALYAXAAiACAAJgBcAG4AIAAgACAAIAAgACAAIAAgAFwAIgCSIbYAXAAiACAAJgAgAFwAbgAgACAAIAAgACAAIAAgACAAXAAiAEUAZgBmAGkAYwBpAGUAbgBjAHkAIABSAGEAdABpAG8AcwCSIbYAXAAiACAAJgBcAG4AIAAgACAAIAAgACAAIAAgAFwAIgBBAHMAcwBlAHQAVAB1AHIAbgBvAHYAZQByAFIAYQB0AGkAbwC7AyAAIAAgACAAIA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XAAiAEQAUwBJALsDIAAgACAAIAAgACAAIAAgACAAIAAgACAAIAAgACAAIAAgACAAIAAgACAAIAAgAJIhRABhAHkAcwAgAFMAYQBsAGUAcwAgAGkAbgAgAEkAbgB2AGUAbgB0AG8AcgB5ACAAUgBhAHQAaQBvACAAKABhAGsAYQAgAEEAdgBlAHIAYQBnAGUAIABhAGcAZQAgAG8AZgAgAGkAbgB2AGUAbgB0AG8AcgB5ACAAaQBuAGQAaQBjAGEAdABlAHMAIAB0AGgAZQAgAGEAdgBlAHIAYQBnAGUAIAB0AGkAbQBlACAAaQBuACAAZABhAHkAcwAgAHQAaABhAHQAIABhACAAYwBvAG0AcABhAG4AeQAgAHQAYQBrAGUAcwAgAHQAbwAgAHQAdQByAG4AIABpAHQAcwAgAGkAbgB2AGUAbgB0AG8AcgB5ALYAXAAiACAAJgBcAG4AIAAgACAAIAAgACAAIAAgAFwAIgBPAHAAZQByAGEAdABpAG4AZwBSAGEAdABpAG8AuwMgACAAIAAgACAAIAAgACAAIAAgACAAIACSIVMAaABvAHcAcwAgAGgAbwB3ACAAZQBmAGYAaQBjAGkAZQBuAHQAIABtAGEAbgBhAGcAZQBtAGUAbgB0ACAAaQBzACAAYQB0ACAAawBlAGUAcABpAG4AZwAgAGMAbwBzAHQAcwAgAGwAbwB3ACAAdwBoAGkAbABlACAAZwBlAG4AZQByAGEAdABpAG4AZwAgAHIAZQB2AGUAbgB1AGUAtgBcACIAIAAmAFwAbgAgACAAIAAgACAAIAAgACAAXAAiAJIhtgBcACIAIAAmACAAXABuACAAIAAgACAAIAAgACAAIABcACIAUAByAG8AZgBpAHQAYQBiAGkAbABpAHQAeQAgAE0AYQByAGcAaQBuAHMAIAAmACAAUgBhAHQAaQBvAHMAkiG2AFwAIgAgACYAXABuACAAIAAgACAAIAAgACAAIABcACIARwByAG8AcwBzAE0AYQByAGcAaQBuALsDIAAgACAAIAAgACAAIAAgACAAIAAgACAAIAAgACAAkiFTAGgAbwB3AHMAIABoAG8AdwAgAG0AdQBjAGgAIABwAHIAbwBmAGkAdAAgAGEAIABjAG8AbQBwAGEAbgB5ACAAbQBhAGsAZQBzACAAYQBmAHQAZQByACAAcABhAHkAaQBuAGcAIABvAGYAZgAgAGkAdABzACAAQwBvAHMAdAAgAG8AZgAgAEcAbwBvAGQAcwAgAFMAbwBsAGQAtgBcACIAIAAmAFwAbgAgACAAIAAgACAAIAAgACAAXAAiAEUAQgBJAFQARABBAE0AYQByAGcAaQBuALsDIAAgACAAIAAgACAAIAAgACAAIAAgACAAIAAgAJIhTQBlAGEAcwB1AHIAZQBzACAAYQAgAGMAbwBtAHAAYQBuAHkAJwBzACAAbwBwAGUAcgBhAHQAaQBuAGcAIABwAHIAbwBmAGkAdAAgAGEAcwAgAGEAIABwAGUAcgBjAGUAbgB0AGEAZwBlACAAbwBmACAAaQB0AHMAIAByAGUAdgBlAG4AdQBlALYAXAAiACAAJgBcAG4AIAAgACAAIAAgACAAIAAgAFwAIgBPAHAAZQByAGEAdABpAG4AZwBNAGEAcgBnAGkAbgC7AyAAIAAgACAAIAAgACAAIAAgACAAIACSIU0AZQBhAHMAdQByAGUAcwAgAGgAbwB3ACAAbQB1AGMAaAAgAHAAcgBvAGYAaQB0ACAAYQAgAGMAbwBtAHAAYQBuAHkAIABtAGEAawBlAHMAIABvAG4AIABhACAAZABvAGwAbABhAHIAIABvAGYAIABzAGEAbABlAHMAIABhAGYAdABlAHIAIABwAGEAeQBpAG4AZwAgAGYAbwByACAAdgBhAHIAaQBhAGIAbABlACAAYwBvAHMAdABzACAAbwBmACAAcAByAG8AZAB1AGMAdABpAG8AbgAsACAAcwB1AGMAaAAgAGEAcwAgAHcAYQBnAGUAcwAgAGEAbgBkACAAcgBhAHcAIABtAGEAdABlAHIAaQBhAGwAcwAsACAAYgB1AHQAIABiAGUAZgBvAHIAZQAgAHAAYQB5AGkAbgBnACAAaQBuAHQAZQByAGUAcwB0ACAAbwByACAAdABhAHgAtgBcACIAIAAmAFwAbgAgACAAIAAgACAAIAAgACAAXAAiAFAAcgBlAHQAYQB4AE0AYQByAGcAaQBuALsDIAAgACAAIAAgACAAIAAgACAAIAAgACAAIAAgAJIhTQBlAGEAcwB1AHIAZQBzACAAdABoAGUAIABvAHAAZQByAGEAdABpAG4AZwAgAGUAZgBmAGkAYwBpAGUAbgBjAHkAIABvAGYAIABhACAAYwBvAG0AcABhAG4AeQAgALYAXAAiACAAJgBcAG4AIAAgACAAIAAgACAAIAAgAFwAIgBOAGUAdABQAHIAbwBmAGkAdABNAGEAcgBnAGkAbgC7AyAAIAAgACAAIAAgACAAIAAgACAAIACSIU0AZQBhAHMAdQByAGUAcwAgAGgAbwB3ACAAbQB1AGMAaAAgAG4AZQB0ACAAaQBuAGMAbwBtAGUAIABvAHIAIABwAHIAbwBmAGkAdAAgAGEAIABjAG8AbQBwAGEAbgB5ACAAZwBlAG4AZQByAGEAdABlAHMAIABhAHMAIABhACAAcABlAHIAYwBlAG4AdABhAGcAZQAgAG8AZgAgAGkAdABzACAAcgBlAHYAZQBuAHUAZQAuALYAXAAiACAAJgBcAG4AIAAgACAAIAAgACAAIAAgAFwAIgBDAGEAcwBoAEYAbABvAHcATQBhAHIAZwBpAG4AuwMgACAAIAAgACAAIAAgACAAIAAgACAAIACSIUMAYQBzAGgAIABGAGwAbwB3ACAATQBhAHIAZwBpAG4AIABpAHMAIABhACAAdAByAHUAcwB0AGUAZAAgAG0AZQB0AHIAaQBjACAAbwBmACAAYQAgAGMAbwBtAHAAYQBuAHkAGSBzACAAcAByAG8AZgBpAHQAYQBiAGkAbABpAHQAeQAgAGEAbgBkACAAZQBmAGYAaQBjAGkAZQBuAGMAeQAgAGEAbgBkACAAaQB0AHMAIABlAGEAcgBuAGkAbgBnAHMAIABxAHUAYQBsAGkAdAB5ALYAXAAiACAAJgBcAG4AIAAgACAAIAAgACAAIAAgAFwAIgBSAE8AQQC7AyAAIAAgACAAIAAgACAAIAAgACAAIAAgACAAIAAgACAAIAAgACAAIAAgACAAIACSISoAUgBlAHQAdQByAG4AIABvAG4AIABBAHMAcwBlAHQAcwAgAEkAbgBkAGkAYwBhAHQAZQBzACAAaABvAHcAIABwAHIAbwBmAGkAdABhAGIAbABlACAAYQAgAGMAbwBtAHAAYQBuAHkAIABpAHMAIABpAG4AIAByAGUAbABhAHQAaQBvAG4AIAB0AG8AIABpAHQAcwAgAHQAbwB0AGEAbAAgAGEAcwBzAGUAdABzALYAXAAiACAAJgBcAG4AIAAgACAAIAAgACAAIAAgAFwAIgBSAE8ARQC7AyAAIAAgACAAIAAgACAAIAAgACAAIAAgACAAIAAgACAAIAAgACAAIAAgACAAIACSISoAUgBlAHQAdQByAG4AIABvAG4AIABlAHEAdQBpAHQAeQAgAGkAcwAgAGEAIABtAGUAYQBzAHUAcgBlACAAbwBmACAAZgBpAG4AYQBuAGMAaQBhAGwAIABwAGUAcgBmAG8AcgBtAGEAbgBjAGUAIAC2AFwAIgAgACYAXABuACAAIAAgACAAIAAgACAAIABcACIAUgBPAEkAuwMgACAAIAAgACAAIAAgACAAIAAgACAAIAAgACAAIAAgACAAIAAgACAAIAAgACAAkiFSAGUAdAB1AHIAbgAgAG8AbgAgAEkAbgB2AGUAcwB0AG0AZQBuAHQAIAByAGEAdABpAG8AIAAgAG0AZQBhAHMAdQByAGUAcwAgAHQAaABlACAAcAByAG8AZgBpAHQAYQBiAGkAbABpAHQAeQAgAG8AZgAgAGEAbgAgAGkAbgB2AGUAcwB0AG0AZQBuAHQAIABiAHkAIABjAG8AbQBwAGEAcgBpAG4AZwAgAHQAaABlACAAZwBhAGkAbgAgAG8AcgAgAGwAbwBzAHMAIAB0AG8AIABpAHQAcwAgAGMAbwBzAHQAtgBcACIAIAAmAFwAbgAgACAAIAAgACAAIAAgACAAXAAiAFIATwBJAEMAuwMgACAAIAAgACAAIAAgACAAIAAgACAAIAAgACAAIAAgACAAIAAgACAAIAAgAJIhUgBlAHQAdQByAG4AIABvAG4AIABJAG4AdgBlAHMAdABlAGQAIABjAGEAcABpAHQAYQBsACAAIABhAHMAcwBlAHMAcwBlAHMAIABhACAAYwBvAG0AcABhAG4AeQAZIHMAIABlAGYAZgBpAGMAaQBlAG4AYwB5ACAAaQBuACAAYQBsAGwAbwBjAGEAdABpAG4AZwAgAGMAYQBwAGkAdABhAGwAIAB0AG8AIABwAHIAbwBmAGkAdABhAGIAbABlACAAaQBuAHYAZQBzAHQAbQBlAG4AdABzALYAXAAiACAAJgBcAG4AIAAgACAAIAAgACAAIAAgAFwAIgCSIbYAXAAiACAAJgAgAFwAbgAgACAAIAAgACAAIAAgACAAXAAiAE0AYQByAGsAZQB0ACAAVgBhAGwAdQBlACAAUgBhAHQAaQBvAHMAkiG2AFwAIgAgACYAXABuACAAIAAgACAAIAAgACAAIABcACIAUAByAGkAYwBlAEUAYQByAG4AaQBuAGcAcwBSAGEAdABpAG8AuwMgACAAIAAgACAAIAAgACAAkiEqAFAAcgBpAGMAZQAtAGUAYQByAG4AaQBuAGcAcwAgAFIAYQB0AGkAbwAgAG0AZQBhAHMAdQByAGUAcwAgAGEAIABjAG8AbQBwAGEAbgB5ACcAcwAgAHMAaABhAHIAZQAgAHAAcgBpAGMAZQAgAHIAZQBsAGEAdABpAHYAZQAgAHQAbwAgAGkAdABzACAAZQBhAHIAbgBpAG4AZwBzACAAcABlAHIAIABzAGgAYQByAGUAtgBcACIAIAAmAFwAbgAgACAAIAAgACAAIAAgACAAXAAiAFAAcgBpAGMAZQBUAG8AQgBvAG8AawBSAGEAdABpAG8AuwMgACAAIAAgACAAIAAgACAAIAAgAJIhTQBhAG4AeQAgAGkAbgB2AGUAcwB0AG8AcgBzACAAdQBzAGUAIAB0AGgAZQAgAHAAcgBpAGMAZQAtAHQAbwAtAGIAbwBvAGsAIAByAGEAdABpAG8AIAAoAFAALwBCACAAcgBhAHQAaQBvACkAIAB0AG8AIABjAG8AbQBwAGEAcgBlACAAYQAgAGYAaQByAG0AJwBzACAAbQBhAHIAawBlAHQAIABjAGEAcABpAHQAYQBsAGkAcwBhAHQAaQBvAG4AIAB0AG8AIABpAHQAcwAgAGIAbwBvAGsAIAB2AGEAbAB1AGUAIABhAG4AZAAgAGwAbwBjAGEAdABlACAAdQBuAGQAZQByAHYAYQBsAHUAZQBkACAAYwBvAG0AcABhAG4AaQBlAHMALgC2AFwAIgAgACYAXABuACAAIAAgACAAIAAgACAAIABcACIAUAByAGkAYwBlAFQAbwBTAGEAbABlAHMAUgBhAHQAaQBvALsDIAAgACAAIAAgACAAIAAgACAAkiFQAHIAaQBjAGUAIAB0AG8AIABTAGEAbABlAHMAIAAoAFAALwBTACkAIABSAGEAdABpAG8AIABpAHMAIABhAG4AIABpAG4AZABpAGMAYQB0AG8AcgAgAG8AZgAgAHQAaABlACAAdgBhAGwAdQBlACAAdABoAGEAdAAgAGYAaQBuAGEAbgBjAGkAYQBsACAAbQBhAHIAawBlAHQAcwAgAGgAYQB2AGUAIABwAGwAYQBjAGUAZAAgAG8AbgAgAGUAYQBjAGgAIABkAG8AbABsAGEAcgAgAG8AZgAgAGEAIABjAG8AbQBwAGEAbgB5ACcAcwAgAHMAYQBsAGUAcwAgAG8AcgAgAHIAZQB2AGUAbgB1AGUAcwC2AFwAIgAgACYAXABuACAAIAAgACAAIAAgACAAIABcACIAUAByAGkAYwBlAFQAbwBDAGEAcwBoAFIAYQB0AGkAbwC7AyAAIAAgACAAIAAgACAAIAAgACAAkiFQAHIAaQBjAGUAIAB0AG8AIABDAGEAcwBoACAAKABQAC8AQwBGACkAIABSAGEAdABpAG8AIABpAHMAIABhACAAcwB0AG8AYwBrACAAdgBhAGwAdQBhAHQAaQBvAG4AIABpAG4AZABpAGMAYQB0AG8AcgAgAG8AcgAgAG0AdQBsAHQAaQBwAGwAZQAgAHQAaABhAHQAIABtAGUAYQBzAHUAcgBlAHMAIAB0AGgAZQAgAHYAYQBsAHUAZQAgAG8AZgAgAGEAIABzAHQAbwBjAGsAGSBzACAAcAByAGkAYwBlACAAcgBlAGwAYQB0AGkAdgBlACAAdABvACAAaQB0AHMAIABvAHAAZQByAGEAdABpAG4AZwAgAGMAYQBzAGgAIABmAGwAbwB3ACAAcABlAHIAIABzAGgAYQByAGUAtgBcACIAIAAmAFwAbgAgACAAIAAgACAAIAAgACAAXAAiAEIAVgBQAFMAuwMgACAAIAAgACAAIAAgACAAIAAgACAAIAAgACAAIAAgACAAIAAgACAAIAAgAJIhQgBvAG8AawAgAHYAYQBsAHUAZQAgAHAAZQByACAAcwBoAGEAcgBlACAAcgBhAHQAaQBvACAAaQBzACAAYQBuACAAaQBuAGQAaQBjAGEAdABvAHIAIABvAGYAIAB0AGgAZQAgAHYAYQBsAHUAZQAgAG8AZgAgAGEAIABjAG8AbQBwAGEAbgB5ABkgcwAgAHMAdABvAGMAawC2AFwAIgAgACYAXABuACAAIAAgACAAIAAgACAAIABcACIAQwBBAFAARQBSAGEAdABpAG8AuwMgACAAIAAgACAAIAAgACAAIAAgACAAIAAgACAAIAAgACAAkiFNAGUAYQBzAHUAcgBlACAAdABoAGEAdAAgAHUAcwBlAHMAIAByAGUAYQBsACAAZQBhAHIAbgBpAG4AZwBzACAAcABlAHIAIABzAGgAYQByAGUAIAAoAEUAUABTACkAIABvAHYAZQByACAAYQAgADEAMAAtAHkAZQBhAHIAIABwAGUAcgBpAG8AZAAgAHQAbwAgAHMAbQBvAG8AdABoACAAbwB1AHQAIABmAGwAdQBjAHQAdQBhAHQAaQBvAG4AcwAgAGkAbgAgAGMAbwByAHAAbwByAGEAdABlACAAcAByAG8AZgBpAHQAcwAgAHQAaABhAHQAIABvAGMAYwB1AHIAIABvAHYAZQByACAAZABpAGYAZgBlAHIAZQBuAHQAIABwAGUAcgBpAG8AZABzACAAbwBmACAAYQAgAGIAdQBzAGkAbgBlAHMAcwAgAGMAeQBjAGwAZQAgACgAYQBrAGEAIABTAGgAaQBsAGwAZQByACAAUABFACAAUgBhAHQAaQBvACkAtgBcACIAIAAmAFwAbgAgACAAIAAgACAAIAAgACAAXAAiAEQAUABSALsDIAAgACAAIAAgACAAIAAgACAAIAAgACAAIAAgACAAIAAgACAAIAAgACAAIAAgAJIhRABpAHYAaQBkAGUAbgBkACAAUABhAHkAbwB1AHQAIABSAGEAdABpAG8AIABpAHMAIAB0AGgAZQAgAHAAZQByAGMAZQBuAHQAYQBnAGUAIABvAGYAIABlAGEAcgBuAGkAbgBnAHMAIABwAGEAaQBkACAAdABvACAAcwBoAGEAcgBlAGgAbwBsAGQAZQByAHMAIAB2AGkAYQAgAGQAaQB2AGkAZABlAG4AZABzALYAXAAiACAAJgBcAG4AIAAgACAAIAAgACAAIAAgAFwAIgBEAGkAdgBpAGQAZQBuAGQAWQBpAGUAbABkAFIAYQB0AGkAbwC7AyAAIAAgACAAIAAgACAAIACSIUQAaQB2AGkAZABlAG4AZAAgAHkAaQBlAGwAZAAgAHIAYQB0AGkAbwAgAHMAaABvAHcAcwAgAGgAbwB3ACAAbQB1AGMAaAAgAGEAIABjAG8AbQBwAGEAbgB5ACAAcABhAHkAcwAgAG8AdQB0ACAAaQBuACAAZABpAHYAaQBkAGUAbgBkAHMAtgBcACIAIAAmAFwAbgAgACAAIAAgACAAIAAgACAAXAAiAEUAUABTALsDIAAgACAAIAAgACAAIAAgACAAIAAgACAAIAAgACAAIAAgACAAIAAgACAAIAAgAJIhRQBhAHIAbgBpAG4AZwBzACAAcABlAHIAIABzAGgAYQByAGUAIABtAGUAYQBzAHUAcgBlAHMAIABwAHIAbwBmAGkAdABhAGIAaQBsAGkAdAB5ACAAaQBuAGQAaQBjAGEAdABpAG4AZwAgAGgAbwB3ACAAbQB1AGMAaAAgAHAAcgBvAGYAaQB0ACAAZQBhAGMAaAAgAG8AdQB0AHMAdABhAG4AZABpAG4AZwAgAHMAaABhAHIAZQAgAG8AZgAgAGMAbwBtAG0AbwBuACAAcwB0AG8AYwBrACAAaABhAHMAIABlAGEAcgBuAGUAZAAgALYAXAAiACAAJgBcAG4AIAAgACAAIAAgACAAIAAgAFwAIgBSAGUAdABlAG4AdABpAG8AbgBSAGEAdABpAG8AuwMgACAAIAAgACAAIAAgACAAIAAgACAAIACSIVIAZQB0AGUAbgB0AGkAbwBuACAAUgBhAHQAaQBvACAAaQBzACAAdABoAGUAIABwAHIAbwBwAG8AcgB0AGkAbwBuACAAbwBmACAAZQBhAHIAbgBpAG4AZwBzACAAawBlAHAAdAAgAGIAYQBjAGsAIABpAG4AIAB0AGgAZQAgAGIAdQBzAGkAbgBlAHMAcwAgAGEAcwAgAHIAZQB0AGEAaQBuAGUAZAAgAGUAYQByAG4AaQBuAGcAcwC2AFwAIgAgACYAXABuACAAIAAgACAAIAAgACAAIABcACIAkiG2AFwAIgAgACYAIABcAG4AIAAgACAAIAAgACAAIAAgAFwAIgAqACAAIAAgACAAIAAgACAAIAAgACAAIAAgACAAIAAgACAAIAAgACAAIAAgACAAIAAgACAAIACSIVQAaABlAHMAZQAgAGEAcgBlACAAYwBvAG4AcwBpAGQAZQByAGUAZAAgACcASwBlAHkAIABSAGEAdABpAG8AcwAnALYAXAAiACAAJgBcAG4AIAAgACAAIAAgACAAIAAgAFwAIgCSIVwAIgAsACAAXAAiAJIhXAAiACwAIABcACIAtgBcACIAXABuACAAIAAgACAAKQBcAG4AKQA7AFwAbgBcAG4AXABuAFwAbgAvACoAIAAgAEYAVQBOAEMAVABJAE8ATgAgAE4AQQBNAEUAOgAgACAAQwB1AHIAcgBlAG4AdABSAGEAdABpAG8AuwNcAG4AIAAgACAAIABEAEUAUwBDAFIASQBQAFQASQBPAE4AOgAqAC8ALwAqACoATQBlAGEAcwB1AHIAZQBzACAAYQAgAGMAbwBtAHAAYQBuAHkAGSBzACAAYQBiAGkAbABpAHQAeQAgAHQAbwAgAHAAYQB5ACAAcwBoAG8AcgB0AC0AdABlAHIAbQAgAG8AYgBsAGkAZwBhAHQAaQBvAG4AcwAgACgAQwB1AHIAcgBlAG4AdAAgAEEAcwBzAGUAdABzAC8ATABpAGEAYgBpAGwAaQB0AGkAZQBzACkAKgAvAFwAbgBDAHUAcgByAGUAbgB0AFIAYQB0AGkAbwC7AyAAPQAgAEwAQQBNAEIARABBACgAXABuAC8ALwAgACAAUABhAHIAYQBtAGUAdABlAHIAIABEAGUAYwBsAGEAcgBhAHQAaQBvAG4AcwBcAG4AIAAgACAAIAAgACAAIAAgAFsAQQBzAHMAZQB0AHM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1AHIAcgBlAG4AdABSAGEAdABpAG8AuwMoACAAQQBzAHMAZQB0AHMALAAgAEwAaQBhAGIAaQBsAGkAdABpAGUAcwApALYAXAAiACAAJgAgAFwAbgAgACAAIAAgACAAIAAgACAAIAAgACAAIAAgACAAIAAgACAAIAAgACAAIAAgACAAIABcACIARABFAFMAQwBSAEkAUABUAEkATwBOADoAIAAgACAAkiFNAGUAYQBzAHUAcgBlAHMAIABhACAAYwBvAG0AcABhAG4AeQAZIHMAIABhAGIAaQBsAGkAdAB5ACAAdABvACAAcABhAHkAIABzAGgAbwByAHQALQB0AGUAcgBtACAAbwBiAGwAaQBnAGEAdABpAG8AbgBzACAAIAC2AFwAIgAgACYAIABcAG4AIAAgACAAIAAgACAAIAAgACAAIAAgACAAIAAgACAAIAAgACAAIAAgACAAIAAgACAAIAAgACAAIAAgACAAIAAgACAAIAAgACAAIAAgACAAXAAiAJIhKABDAHUAcgByAGUAbgB0ACAAQQBzAHMAZQB0AHMALwBMAGkAYQBiAGkAbABpAHQAaQBlAHMAKQC2AFwAIgAgACYAIABcAG4AIAAgACAAIAAgACAAIAAgACAAIAAgACAAIAAgACAAIAAgACAAIAAgACAAIAAgACAAXAAiAFcARQBCAFAAQQBHAEUAOgAgACAAIAAgACAAIAAgAJIhaAB0AHQAcABzADoALwAvAHcAdwB3AC4AaQBuAHYAZQBzAHQAbwBwAGUAZABpAGEALgBjAG8AbQAvAHQAZQByAG0AcwAvAGMALwBjAHUAcgByAGUAbgB0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BAHMAcwBlAHQAcwAgACAAIAAgACAAIAAgACAAIACSISgAUgBlAHEAdQBpAHIAZQBkACkAIABDAHUAcgByAGUAbgB0ACAAQQBzAHMAZQB0AHMALgAgAEkAbgBjAGwAdQBkAGUAcwA6ACAAtgBcACIAIAAmACAAXABuACAAIAAgACAAIAAgACAAIAAgACAAIAAgACAAIAAgACAAIAAgACAAIAAgACAAIAAgACAAIAAgACAAIAAgACAAIAAgACAAIAAgACAAIAAgAFwAIgCSIUMAYQBzAGgAIAC2AFwAIgAgACYAIABcAG4AIAAgACAAIAAgACAAIAAgACAAIAAgACAAIAAgACAAIAAgACAAIAAgACAAIAAgACAAIAAgACAAIAAgACAAIAAgACAAIAAgACAAIAAgACAAXAAiAJIhQQBjAGMAbwB1AG4AdABzACAAcgBlAGMAZQBpAHYAYQBiAGwAZQAgALYAXAAiACAAJgAgAFwAbgAgACAAIAAgACAAIAAgACAAIAAgACAAIAAgACAAIAAgACAAIAAgACAAIAAgACAAIAAgACAAIAAgACAAIAAgACAAIAAgACAAIAAgACAAIABcACIAkiFJAG4AdgBlAG4AdABvAHIAeQAgALYAXAAiACAAJgAgAFwAbgAgACAAIAAgACAAIAAgACAAIAAgACAAIAAgACAAIAAgACAAIAAgACAAIAAgACAAIAAgACAAIAAgACAAIAAgACAAIAAgACAAIAAgACAAIABcACIAkiFWAGUAbgBkAG8AcgAgAG4AbwBuAC0AdAByAGEAZABlACAAcgBlAGMAZQBpAHYAYQBiAGw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UAByAG8AcABlAHIAdAB5ACwAIABQAGwAYQBuAHQAIABhAG4AZAAgAGUAcQB1AGkAcABtAGUAbgB0ACAAKABQAFAARQAp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C4AMAA3ADUAIAAgACAAIAAgACAAIAAgACAAIACSIT0AbwB6AC4AQwB1AHIAcgBlAG4AdABSAGEAdABpAG8AuwMoACAAMQAzADQALgA4ADMANgAsACAAMQAyADUALgA0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FEAdQBpAGMAawBSAGEAdABpAG8AuwMgAD0AIABMAEEATQBCAEQAQQAoAFwAbgAvAC8AIAAgAFAAYQByAGEAbQBlAHQAZQByACAARABlAGMAbABhAHIAYQB0AGkAbwBuAHMAXABuACAAIAAgACAAIAAgACAAIABbAFEAdQBpAGMAawBBAHMAcwBlAHQAcwBdACwAIAAgAFwAbgAgACAAIAAgACAAIAAgACAAWwBMAGkAYQBiAGkAbABpAHQAaQBlAHMAXQAsACAAIAAgACAAIAAgACAAXABuAC8ALwAgACAASABlAGwAcABcAG4AIAAgACAAIABMAEUAVAAoAEgAZQBsAHAALAAgACAAIABUAFIASQBNACgAVABFAFgAVABTAFAATABJAFQAKAAgAFwAbgAgACAAIAAgACAAIAAgACAAIAAgACAAIAAgACAAIAAgACAAIAAgACAAIAAgACAAIABcACIARgBVAE4AQwBUAEkATwBOADoAIAAgACAAIAAgACAAkiFRAHUAaQBjAGsAUgBhAHQAaQBvALsDKAAgAFEAdQBpAGMAawBBAHMAcwBlAHQAcwAsACAATABpAGEAYgBpAGwAaQB0AGkAZQBzACkAtgBcACIAIAAmACAAXABuACAAIAAgACAAIAAgACAAIAAgACAAIAAgACAAIAAgACAAIAAgACAAIAAgACAAIAAgAFwAIgBEAEUAUwBDAFIASQBQAFQASQBPAE4AOgAgACAAIACSIU0AZQBhAHMAdQByAGUAcwAgAGEAYgBpAGwAaQB0AHkAIAB0AG8AIABtAGUAZQB0ACAAcwBoAG8AcgB0AC0AdABlAHIAbQAgAG8AYgBsAGkAZwBhAHQAaQBvAG4AcwC2AFwAIgAgACYAIABcAG4AIAAgACAAIAAgACAAIAAgACAAIAAgACAAIAAgACAAIAAgACAAIAAgACAAIAAgACAAIAAgACAAIAAgACAAIAAgACAAIAAgACAAIAAgACAAXAAiAJIhKABRAHUAaQBjAGsAIABBAHMAcwBlAHQAcwAv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HEALwBxAHUAaQBjAGs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EAdQBpAGMAawBBAHMAcwBlAHQAcwAgACAAkiEoAFIAZQBxAHUAaQByAGUAZAApACAAUQB1AGkAYwBrACAAQQBzAHMAZQB0AHMALgAgAEkAbgBjAGwAdQBkAGUAcwA6ACAAtgBcACIAIAAmACAAXABuACAAIAAgACAAIAAgACAAIAAgACAAIAAgACAAIAAgACAAIAAgACAAIAAgACAAIAAgACAAIAAgACAAIAAgACAAIAAgACAAIAAgACAAIAAgAFwAIgCSISIgIABDAGEAcwBoACAAJgAgAEMAYQBzAGgAIABlAHEAdQBpAHYAYQBsAGUAbgB0AHMAIAC2AFwAIgAgACYAIABcAG4AIAAgACAAIAAgACAAIAAgACAAIAAgACAAIAAgACAAIAAgACAAIAAgACAAIAAgACAAIAAgACAAIAAgACAAIAAgACAAIAAgACAAIAAgACAAXAAiAJIhIiAgAE0AYQByAGsAZQB0AGEAYgBsAGUAIABzAGUAYwB1AHIAaQB0AGkAZQBzACAAtgBcACIAIAAmACAAXABuACAAIAAgACAAIAAgACAAIAAgACAAIAAgACAAIAAgACAAIAAgACAAIAAgACAAIAAgACAAIAAgACAAIAAgACAAIAAgACAAIAAgACAAIAAgAFwAIgCSISIgIABBAGMAYwBvAHUAbgB0AHMAIAByAGUAYwBlAGkAdgBhAGIAbABlACAAtgBcACIAIAAmACAAXABuACAAIAAgACAAIAAgACAAIAAgACAAIAAgACAAIAAgACAAIAAgACAAIAAgACAAIAAgACAAIAAgACAAIAAgACAAIAAgACAAIAAgACAAIAAgAFwAIgCSIUEAbAB0AGUAcgBhAG4AdABpAHYAZQBsAHkAIABpAHQAIABpAG4AYwBsAHUAZABlAHMAOgAgALYAXAAiACAAJgAgAFwAbgAgACAAIAAgACAAIAAgACAAIAAgACAAIAAgACAAIAAgACAAIAAgACAAIAAgACAAIAAgACAAIAAgACAAIAAgACAAIAAgACAAIAAgACAAIABcACIAkiEiICAAQwB1AHIAcgBlAG4AdAAgAGEAcwBzAGUAdABzACAAtgBcACIAIAAmACAAXABuACAAIAAgACAAIAAgACAAIAAgACAAIAAgACAAIAAgACAAIAAgACAAIAAgACAAIAAgACAAIAAgACAAIAAgACAAIAAgACAAIAAgACAAIAAgAFwAIgCSISIgIABMAGUAcwBzACAAaQBuAHYAZQBuAHQAbwByAHkAIAC2AFwAIgAgACYAIABcAG4AIAAgACAAIAAgACAAIAAgACAAIAAgACAAIAAgACAAIAAgACAAIAAgACAAIAAgACAAIAAgACAAIAAgACAAIAAgACAAIAAgACAAIAAgACAAXAAiAJIhIiAgAEwAZQBzAHMAIABwAHIAZQBwAGEAaQBkACAAZQB4AHAAZQBuAHMAZQBz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uADIAIAAgACAAIAAgACAAIAAgACAAIAAgACAAkiE9AG8AegAuAFEAdQBpAGMAawBSAGEAdABpAG8AuwMoACAAMQA2ADUAMAAwADAALAAgADEAMwA3ADU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EAdQBpAGMAaw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RAHUAaQBjAGs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DAGEAcwBoAFIAYQB0AGkAbwC7A1wAbgAgACAAIAAgAEQARQBTAEMAUgBJAFAAVABJAE8ATgA6ACoALwAvACoAKgBFAHYAYQBsAHUAYQB0AGUAcwAgAGEAYgBpAGwAaQB0AHkAIAB0AG8AIAByAGUAcABhAHkAIABzAGgAbwByAHQALQB0AGUAcgBtACAAZABlAGIAdAAgAHcALwBjAGEAcwBoACAAbwByACAAbgBlAGEAcgAtAGMAYQBzAGgAIAByAGUAcwBvAHUAcgBjAGUAcwAgAFwAbgAgACAAIAAgACgAQwBhAHMAaAAgAGEAbgBkACAAQwBhAHMAaAAgAEUAcQB1AGkAdgBhAGwAZQBuAHQAcwAgAC8AIABDAHUAcgByAGUAbgB0ACAATABpAGEAYgBpAGwAaQB0AGkAZQBzACkAKgAvAFwAbgBDAGEAcwBoAFIAYQB0AGkAbwC7AyAAPQAgAEwAQQBNAEIARABBACgAXABuAC8ALwAgACAAUABhAHIAYQBtAGUAdABlAHIAIABEAGUAYwBsAGEAcgBhAHQAaQBvAG4AcwBcAG4AIAAgACAAIAAgACAAIAAgAFsAQwBhAHMAaA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GEAcwBoAFIAYQB0AGkAbwC7AygAIABDAGEAcwBoACwAIABMAGkAYQBiAGkAbABpAHQAaQBlAHMAKQC2AFwAIgAgACYAIABcAG4AIAAgACAAIAAgACAAIAAgACAAIAAgACAAIAAgACAAIAAgACAAIAAgACAAIAAgACAAXAAiAEQARQBTAEMAUgBJAFAAVABJAE8ATgA6ACAAIAAgAJIhRQB2AGEAbAB1AGEAdABlAHMAIABhAGIAaQBsAGkAdAB5ACAAdABvACAAcgBlAHAAYQB5ACAAcwBoAG8AcgB0AC0AdABlAHIAbQAgAGQAZQBiAHQAIAB3AC8AYwBhAHMAaAAgAG8AcgAgAG4AZQBhAHIALQBjAGEAcwBoACAAcgBlAHMAbwB1AHIAYwBlAHMAtgBcACIAIAAmACAAXABuACAAIAAgACAAIAAgACAAIAAgACAAIAAgACAAIAAgACAAIAAgACAAIAAgACAAIAAgACAAIAAgACAAIAAgACAAIAAgACAAIAAgACAAIAAgAFwAIgCSISgAQwBhAHMAaAAgAGEAbgBkACAAQwBhAHMAaAAgAEUAcQB1AGkAdgBhAGwAZQBuAHQAcwAgAC8AIA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DAGEAcwBoACAAIAAgACAAIAAgACAAIAAgACAAIACSISgAUgBlAHEAdQBpAHIAZQBkACkAIABDAGEAcwBoACAAYQBuAGQAIABDAGEAcwBoACAARQBxAHUAaQB2AGEAbABlAG4AdABz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NQAxADcANAAwADkAIAAgACAAIAAgACAAIAAgAJIhPQBvAHoALgBDAGEAcwBoAFIAYQB0AGkAbwC7AygAIAA2ADMAOQAwADAAMAAwADAALAAgADEAMgAzADUAMAAwADA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wBhAHMAaA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8AcABlAHIAYQB0AGkAbgBnAEMAYQBzAGgARgBsAG8AdwBSAGEAdABpAG8AuwNcAG4AIAAgACAAIABEAEUAUwBDAFIASQBQAFQASQBPAE4AOgAqAC8ALwAqACoATQBlAGEAcwB1AHIAZQBzACAAaABvAHcAIAByAGUAYQBkAGkAbAB5ACAAYwB1AHIAcgBlAG4AdAAgAGwAaQBhAGIAaQBsAGkAdABpAGUAcwAgAGEAcgBlACAAYwBvAHYAZQByAGUAZAAgAGIAeQAgAGMAYQBzAGgAIABmAGwAbwB3AHMAIABnAGUAbgBlAHIAYQB0AGUAZAAgAGYAcgBvAG0AIABvAHAAZQByAGEAdABpAG8AbgBzACoALwBcAG4ATwBwAGUAcgBhAHQAaQBuAGcAQwBhAHMAaABGAGwAbwB3AFIAYQB0AGkAbwC7AyAAPQAgAEwAQQBNAEIARABBACgAXABuAC8ALwAgACAAUABhAHIAYQBtAGUAdABlAHIAIABEAGUAYwBsAGEAcgBhAHQAaQBvAG4AcwBcAG4AIAAgACAAIAAgACAAIAAgAFsATwBwAGUAcgBhAHQAaQBuAGcAQwBhAHMAaABGAGwAbwB3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QwBhAHMAaABGAGwAbwB3AFIAYQB0AGkAbwC7AygAIABPAHAAZQByAGEAdABpAG4AZwBDAGEAcwBoAEYAbABvAHcALAAgAEwAaQBhAGIAaQBsAGkAdABpAGUAcwApALYAXAAiACAAJgAgAFwAbgAgACAAIAAgACAAIAAgACAAIAAgACAAIAAgACAAIAAgACAAIAAgACAAIAAgACAAIABcACIARABFAFMAQwBSAEkAUABUAEkATwBOADoAIAAgACAAIAAgACAAIACSIU0AZQBhAHMAdQByAGUAcwAgAGgAbwB3ACAAcgBlAGEAZABpAGwAeQAgAGMAdQByAHIAZQBuAHQAIABsAGkAYQBiAGkAbABpAHQAaQBlAHMAIABhAHIAZQAgAGMAbwB2AGUAcgBlAGQAIABiAHkAIABjAGEAcwBoACAAZgBsAG8AdwBzACAAZwBlAG4AZQByAGEAdABlAGQAIABmAHIAbwBtACAAbwBwAGUAcgBhAHQAaQBvAG4AcwAuALYAXAAiACAAJgAgAFwAbgAgACAAIAAgACAAIAAgACAAIAAgACAAIAAgACAAIAAgACAAIAAgACAAIAAgACAAIAAgACAAIAAgACAAIAAgACAAIAAgACAAIAAgACAAIAAgACAAIAAgAFwAIgCSISgATwBwAGUAcgBhAHQAaQBuAGcAQwBhAHMAaABGAGwAbwB3AC8ATABpAGEAYgBpAGwAaQB0AGkAZQBzACkAtgBcACIAIAAmACAAXABuACAAIAAgACAAIAAgACAAIAAgACAAIAAgACAAIAAgACAAIAAgACAAIAAgACAAIAAgAFwAIgBXAEUAQgBQAEEARwBFADoAIAAgACAAIAAgACAAIAAgACAAIAAgAJIhaAB0AHQAcABzADoALwAvAHcAdwB3AC4AaQBuAHYAZQBzAHQAbwBwAGUAZABpAGEALgBjAG8AbQAvAHQAZQByAG0AcwAvAG8ALwBvAGMAZg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QwBhAHMAaABGAGwAbwB3ACAAIACSISgAUgBlAHEAdQBpAHIAZQBkACkAIABPAHAAZQByAGEAdABpAG4AZwAgAGMAYQBzAGgAIABmAGwAbwB3AC4AIAC2AFwAIgAgACYAIABcAG4AIAAgACAAIAAgACAAIAAgACAAIAAgACAAIAAgACAAIAAgACAAIAAgACAAIAAgACAAIAAgACAAIAAgACAAIAAgACAAIAAgACAAIAAgACAAIAAgACAAIABcACIAkiFJAG4AZABpAHIAZQBjAHQAIABtAGUAdABoAG8AZAAgAGkAbgBjAGwAdQBkAGUAcwA6ACAAtgBcACIAIAAmACAAXABuACAAIAAgACAAIAAgACAAIAAgACAAIAAgACAAIAAgACAAIAAgACAAIAAgACAAIAAgACAAIAAgACAAIAAgACAAIAAgACAAIAAgACAAIAAgACAAIAAgACAAXAAiAJIhIiAgAE4AZQB0ACAASQBuAGMAbwBtAGUAIAC2AFwAIgAgACYAIABcAG4AIAAgACAAIAAgACAAIAAgACAAIAAgACAAIAAgACAAIAAgACAAIAAgACAAIAAgACAAIAAgACAAIAAgACAAIAAgACAAIAAgACAAIAAgACAAIAAgACAAIABcACIAkiEiICAAUABsAHUAcwAgAGQAZQBwAHIAZQBjAGkAYQB0AGkAbwBuACAAYQBuAGQAIABhAG0AbwByAHQAaQBzAGEAdABpAG8AbgAgALYAXAAiACAAJgAgAFwAbgAgACAAIAAgACAAIAAgACAAIAAgACAAIAAgACAAIAAgACAAIAAgACAAIAAgACAAIAAgACAAIAAgACAAIAAgACAAIAAgACAAIAAgACAAIAAgACAAIAAgAFwAIgCSISIgIABMAGUAcwBzACAAaQBuAGMAcgBlAGEAcwBlACAAaQBuACAAbgBlAHQAIAB3AG8AcgBrAGkAbgBnACAAYwBhAHAAaQB0AGEAbAAgALYAXAAiACAAJgAgAFwAbgAgACAAIAAgACAAIAAgACAAIAAgACAAIAAgACAAIAAgACAAIAAgACAAIAAgACAAIAAgACAAIAAgACAAIAAgACAAIAAgACAAIAAgACAAIAAgACAAIAAgAFwAIgCSIUQAaQByAGUAYwB0ACAAbQBlAHQAaABvAGQAIABpAG4AYwBsAHUAZABlAHMAOgAgALYAXAAiACAAJgAgAFwAbgAgACAAIAAgACAAIAAgACAAIAAgACAAIAAgACAAIAAgACAAIAAgACAAIAAgACAAIAAgACAAIAAgACAAIAAgACAAIAAgACAAIAAgACAAIAAgACAAIAAgAFwAIgCSISIgIABDAGEAcwBoACAAcgBlAHYAZQBuAHUAZQAgALYAXAAiACAAJgAgAFwAbgAgACAAIAAgACAAIAAgACAAIAAgACAAIAAgACAAIAAgACAAIAAgACAAIAAgACAAIAAgACAAIAAgACAAIAAgACAAIAAgACAAIAAgACAAIAAgACAAIAAgAFwAIgCSISIgIABMAGUAcwBzACAATwBwAGUAcgBhAHQAaQBuAGcAIABlAHgAcABlAG4AcwBlAHMAIABwAGEAaQBkACAAaQBuACAAYwBhAHMAaAC2AFwAIgAgACYAIABcAG4AIAAgACAAIAAgACAAIAAgACAAIAAgACAAIAAgACAAIAAgACAAIAAgACAAIAAgACAAXAAiAEwAaQBhAGIAaQBsAGkAdABpAGUAcwAgACAAIAAgACAAIAAgACAAIACSISgAUgBlAHEAdQBpAHIAZQBkACkAIABDAHUAcgByAGUAbgB0ACAATABpAGEAYgBpAGwAaQB0AGkAZQBzAC4AIABJAG4AYwBsAHUAZABlAHMAOgAgALYAXAAiACAAJgAgAFwAbgAgACAAIAAg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IAAgACAAIABcACIAkiFXAGEAZwBlAHMAIAC2AFwAIgAgACYAIABcAG4AIAAgACAAIAAgACAAIAAgACAAIAAgACAAIAAgACAAIAAgACAAIAAgACAAIAAgACAAIAAgACAAIAAgACAAIAAgACAAIAAgACAAIAAgACAAIAAgACAAIABcACIAkiFUAGEAeABlAHMAIABwAGEAeQBhAGIAbABlACAAtgBcACIAIAAmACAAXABuACAAIAAgACA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AALgAzADUAOAA3ADEAIAAgACAAIAAgACAAIAAgACAAIAAgACAAkiE9AG8AegAuAE8AcABlAHIAYQB0AGkAbgBnAEMAYQBzAGgARgBsAG8AdwBSAGEAdABpAG8AuwMoACAAMgA3AC4AOAAsACAANwA3AC4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DAGEAcwBoAEYAbABvAHc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TwBwAGUAcgBhAHQAaQBuAGcAQwBhAHMAaABGAGwAbwB3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gBlAGMAZQBpAHYAYQBiAGwAZQBzAFQAdQByAG4AbwB2AGUAcgBSAGEAdABpAG8AuwNcAG4AIAAgACAAIABEAEUAUwBDAFIASQBQAFQASQBPAE4AOgAqAC8ALwAqACoASQBuAGQAaQBjAGEAdABlAHMAIABlAGYAZgBlAGMAdABpAHYAZQBuAGUAcwBzACAAaQBuACAAYwBvAGwAbABlAGMAdABpAG4AZwAgAG8AdQB0AHMAdABhAG4AZABpAG4AZwAgAGIAYQBsAGEAbgBjAGUAcwAgAGYAcgBvAG0AIABjAGwAaQBlAG4AdABzACAAYQBuAGQAIABcAG4AbQBhAG4AYQBnAGkAbgBnACAAbABpAG4AZQAgAG8AZgAgAGMAcgBlAGQAaQB0ACAAcAByAG8AYwBlAHMAcwAgACgATgBlAHQAIABDAHIAZQBkAGkAdAAgAFMAYQBsAGUAcwAvAEEAdgBlAHIAYQBnAGUAIABBAGMAYwBvAHUAbgB0AHMAIABSAGUAYwBlAGkAdgBhAGIAbABlACkAIAAqAC8AXABuAFIAZQBjAGUAaQB2AGEAYgBsAGUAcwBUAHUAcgBuAG8AdgBlAHIAUgBhAHQAaQBvALsDIAA9ACAATABBAE0AQgBEAEEAKABcAG4ALwAvACAAIABQAGEAcgBhAG0AZQB0AGUAcgAgAEQAZQBjAGwAYQByAGEAdABpAG8AbgBzAFwAbgAgACAAIAAgACAAIAAgACAAWwBOAGUAdABDAHIAZQBkAGkAdABTAGEAbABlAHMAXQAsACAAIABcAG4AIAAgACAAIAAgACAAIAAgAFsAQQB2AGUAcgBhAGcAZQBBAGMAYwBvAHUAbgB0AHMAUgBlAGMAZQBpAHYAYQBiAGwAZQBdACwAIAAgACAAIABcAG4ALwAvACAAIABIAGUAbABwAFwAbgAgACAAIAAgAEwARQBUACgASABlAGwAcAAsACAAIAAgAFQAUgBJAE0AKABUAEUAWABUAFMAUABMAEkAVAAoACAAXABuACAAIAAgACAAIAAgACAAIAAgACAAIAAgACAAIAAgACAAIAAgACAAIAAgACAAIAAgAFwAIgBGAFUATgBDAFQASQBPAE4AOgAgACAAIAAgACAAIACSIVIAZQBjAGUAaQB2AGEAYgBsAGUAcwBUAHUAcgBuAG8AdgBlAHIAUgBhAHQAaQBvALsDKAAgAE4AZQB0AEMAcgBlAGQAaQB0AFMAYQBsAGUAcwAsACAAQQB2AGUAcgBhAGcAZQBBAGMAYwBvAHUAbgB0AHMAUgBlAGMAZQBpAHYAYQBiAGwAZQApALYAXAAiACAAJgAgAFwAbgAgACAAIAAgACAAIAAgACAAIAAgACAAIAAgACAAIAAgACAAIAAgACAAIAAgACAAIABcACIARABFAFMAQwBSAEkAUABUAEkATwBOADoAIAAgACAAkiFJAG4AZABpAGMAYQB0AGUAcwAgAGUAZgBmAGUAYwB0AGkAdgBlAG4AZQBzAHMAIABpAG4AIABjAG8AbABsAGUAYwB0AGkAbgBnACAAbwB1AHQAcwB0AGEAbgBkAGkAbgBnACAAYgBhAGwAYQBuAGMAZQBzACAAZgByAG8AbQAgAGMAbABpAGUAbgB0AHMAIABhAG4AZAAgALYAXAAiACAAJgBcAG4AIAAgACAAIAAgACAAIAAgACAAIAAgACAAIAAgACAAIAAgACAAIAAgACAAIAAgACAAIAAgACAAIAAgACAAIAAgACAAIAAgACAAIAAgACAAXAAiAJIhbQBhAG4AYQBnAGkAbgBnACAAbABpAG4AZQAgAG8AZgAgAGMAcgBlAGQAaQB0ACAAcAByAG8AYwBlAHMAcwAgACgATgBlAHQAIABDAHIAZQBkAGkAdAAgAFMAYQBsAGUAcwAvAEEAdgBlAHIAYQBnAGUAIABBAGMAYwBvAHUAbgB0AHMAIABSAGUAYwBlAGkAdgBhAGIAbABlACkAtgBcACIAIAAmACAAXABuACAAIAAgACAAIAAgACAAIAAgACAAIAAgACAAIAAgACAAIAAgACAAIAAgACAAIAAgAFwAIgBXAEUAQgBQAEEARwBFADoAIAAgACAAIAAgACAAIACSIWgAdAB0AHAAcwA6AC8ALwB3AHcAdwAuAGkAbgB2AGUAcwB0AG8AcABlAGQAaQBhAC4AYwBvAG0ALwB0AGUAcgBtAHMALwByAC8AcgBlAGMAZQBpAHYAYQBiAGwAZQB0AHUAcgBuAG8AdgBlAHI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MAcgBlAGQAaQB0AFMAYQBsAGUAcwAgAJIhKABSAGUAcQB1AGkAcgBlAGQAKQAgAE4AZQB0ACAAQwByAGUAZABpAHQAIABTAGEAbABlAHMALgAgAEEAbQBvAHUAbgB0ACAAbwBmACAAcgBlAHYAZQBuAHUAZQAgAGUAYQByAG4AZQBkACAAYgB5ACAAYQAgAGMAbwBtAHAAYQBuAHkAIABwAGEAaQBkACAAdgBpAGEAIABjAHIAZQBkAGkAdAC2AFwAIgAgACYAIABcAG4AIAAgACAAIAAgACAAIAAgACAAIAAgACAAIAAgACAAIAAgACAAIAAgACAAIAAgACAAXAAiAEEAdgBlAHIAYQBnAGUAQQBjAGMAbwB1AG4AdABzAFIAZQBjAGUAaQB2AGEAYgBsAGUAkiEoAFIAZQBxAHUAaQByAGUAZAApACAAQQB2AGUAcgBhAGcAZQAgAEEAYwBjAG8AdQBuAHQAcwAgAFIAZQBjAGUAaQB2AGEAYgBsAGUALgAgAEEAdgBlAHIAYQBnAGUAIABvAGYAIABwAGUAcgBpAG8AZAAgAG8AcABlAG4AaQBuAGcAIABhAG4AZAAgAGMAbABvAHMAaQBuAGcAIABiAGEAbABhAG4AYw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xAC4ANwA2ADQANwAxACAAIAAgACAAIAAgACAAkiE9AG8AegAuAFIAZQBjAGUAaQB2AGEAYgBsAGUAcwBUAHUAcgBuAG8AdgBlAHIAUgBhAHQAaQBvALsDKAAgADgAMAAwADAAMAAwACwAIAA2ADg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DAHIAZQBkAGkAdABTAGEAbABlAHMAKQAsAFwAbgAgACAAIAAgACAAIAAgACAAIAAgACAAIAAgACAAIAAgACAAIAAgACAAIAAgACAAIAAgACAAIAAgAEkAUwBPAE0ASQBUAFQARQBEACgAIABBAHYAZQByAGEAZwBlAEEAYwBjAG8AdQBuAHQAcwBSAGUAYwBlAGkAdgBhAGIAbABlACkAXABuACAAIAAgACAAIAAgACAAIAAgACAAIAAgACAAIAAgACAAIAAgACAAIAAgACAAIAAgACkALABcAG4AIAAgACAAIAAvAC8AIAAgAFAAcgBvAGMAZQBkAHUAcgBlAFwAbgAgACAAIAAgACAAIAAgACAAUgBlAHMAdQBsAHQALAAgACAAIAAgACAAIAAgACAAIABOAGUAdABDAHIAZQBkAGkAdABTAGEAbABlAHMALwBBAHYAZQByAGEAZwBlAEEAYwBjAG8AdQBuAHQAcwBSAGUAYwBlAGkAdgBhAGIAbA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gBlAG4AdABvAHIAeQBUAHUAcgBuAG8AdgBlAHIAUgBhAHQAaQBvALsDXABuACAAIAAgACAARABFAFMAQwBSAEkAUABUAEkATwBOADoAKgAvAC8AKgAqAFMAaABvAHcAcwAgAGgAbwB3ACAAbQBhAG4AeQAgAHQAaQBtAGUAcwAgAGEAIABjAG8AbQBwAGEAbgB5ACAAdAB1AHIAbgBlAGQAIABvAHYAZQByACAAaQB0AHMAIABpAG4AdgBlAG4AdABvAHIAeQAgAHIAZQBsAGEAdABpAHYAZQAgAFwAbgAgACAAIAAgAHQAbwAgAGkAdABzACAAYwBvAHMAdAAgAG8AZgAgAGcAbwBvAGQAcwAgAHMAbwBsAGQAIAAoAEMATwBHAFMAKQAgACgAQwBPAEcAUwAvAEEAdgBlAHIAYQBnAGUAIABJAG4AdgBlAG4AdABvAHIAeQApACAAKgAvAFwAbgBJAG4AdgBlAG4AdABvAHIAeQBUAHUAcgBuAG8AdgBlAHIAUgBhAHQAaQBvALsDIAA9ACAATABBAE0AQgBEAEEAKABcAG4ALwAvACAAIABQAGEAcgBhAG0AZQB0AGUAcgAgAEQAZQBjAGwAYQBSAGEAdABpAG8AbgBzAFwAbgAgACAAIAAgACAAIAAgACAAWwBDAG8AcwB0AE8AZgBHAG8AbwBkAHMAUwBvAGwAZABdACwAIAAgAFwAbgAgACAAIAAgACAAIAAgACAAWwBBAHYAZQByAGEAZwBlAEkAbgB2AGUAbgB0AG8AcgB5AF0ALAAgACAAIAAgAFwAbgAvAC8AIAAgAEgAZQBsAHAAXABuACAAIAAgACAATABFAFQAKABIAGUAbABwACwAIAAgACAAVABSAEkATQAoAFQARQBYAFQAUwBQAEwASQBUACgAIABcAG4AIAAgACAAIAAgACAAIAAgACAAIAAgACAAIAAgACAAIAAgACAAIAAgACAAIAAgACAAXAAiAEYAVQBOAEMAVABJAE8ATgA6ACAAIAAgACAAIAAgACAAIAAgACAAkiFJAG4AdgBlAG4AdABvAHIAeQBUAHUAcgBuAG8AdgBlAHIAUgBhAHQAaQBvALsDKAAgAEMAbwBzAHQATwBmAEcAbwBvAGQAcwBTAG8AbABkACwAIABBAHYAZQByAGEAZwBlAEkAbgB2AGUAbgB0AG8AcgB5ACkAtgBcACIAIAAmACAAXABuACAAIAAgACAAIAAgACAAIAAgACAAIAAgACAAIAAgACAAIAAgACAAIAAgACAAIAAgAFwAIgBEAEUAUwBDAFIASQBQAFQASQBPAE4AOgAgACAAIAAgACAAIAAgAJIhUwBoAG8AdwBzACAAaABvAHcAIABtAGEAbgB5ACAAdABpAG0AZQBzACAAYQAgAGMAbwBtAHAAYQBuAHkAIAB0AHUAcgBuAGUAZAAgAG8AdgBlAHIAIABpAHQAcwAgAGkAbgB2AGUAbgB0AG8AcgB5ACAAcgBlAGwAYQB0AGkAdgBlACAAtgBcACIAIAAmAFwAbgAgACAAIAAgACAAIAAgACAAIAAgACAAIAAgACAAIAAgACAAIAAgACAAIAAgACAAIAAgACAAIAAgACAAIAAgACAAIAAgACAAIAAgACAAIAAgACAAIAAgAFwAIgCSIXQAbwAgAGkAdABzACAAYwBvAHMAdAAgAG8AZgAgAGcAbwBvAGQAcwAgAHMAbwBsAGQAIAAoAEMATwBHAFMAKQAgACgAQwBPAEcAUwAvAEEAdgBlAHIAYQBnAGUAIABJAG4AdgBlAG4AdABvAHIAeQApALYAXAAiACAAJgAgAFwAbgAgACAAIAAgACAAIAAgACAAIAAgACAAIAAgACAAIAAgACAAIAAgACAAIAAgACAAIABcACIAVwBFAEIAUABBAEcARQA6ACAAIAAgACAAIAAgACAAIAAgACAAIACSIWgAdAB0AHAAcwA6AC8ALwB3AHcAdwAuAGkAbgB2AGUAcwB0AG8AcABlAGQAaQBhAC4AYwBvAG0ALwB0AGUAcgBtAHMALwBpAC8AaQBuAHYAZQBuAHQAbwByAHkAdAB1AHIAbgBvAHYAZQBy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QQB2AGUAcgBhAGcAZQBJAG4AdgBlAG4AdABvAHIAeQAgACAAIACSISgAUgBlAHEAdQBpAHIAZQBkACkAIABBAHYAZQByAGEAZwBlACAAbwBmACAAcABlAHIAaQBvAGQAIABvAHAAZQBuACAAYQBuAGQAIABjAGwAbwBzAGUAIABpAG4AdgBlAG4AdABvAHIAe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4AC4ANAA2ADEANQAzADgAIAAgACAAIAAgACAAIAAgACAAIAAgAJIhPQBvAHoALgBJAG4AdgBlAG4AdABvAHIAeQBUAHUAcgBuAG8AdgBlAHIAUgBhAHQAaQBvALsDKAAgADQAMgA5ACwAIAA1ADAALgA3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bwBzAHQATwBmAEcAbwBvAGQAcwBTAG8AbABkACkALABcAG4AIAAgACAAIAAgACAAIAAgACAAIAAgACAAIAAgACAAIAAgACAAIAAgACAAIAAgACAAIAAgACAAIABJAFMATwBNAEkAVABUAEUARAAoACAAQQB2AGUAcgBhAGcAZQBJAG4AdgBlAG4AdABvAHIAeQApAFwAbgAgACAAIAAgACAAIAAgACAAIAAgACAAIAAgACAAIAAgACAAIAAgACAAIAAgACAAIAApACwAXABuACAAIAAgACAALwAvACAAIABQAHIAbwBjAGUAZAB1AHIAZQBcAG4AIAAgACAAIAAgACAAIAAgAFIAZQBzAHUAbAB0ACwAIAAgACAAIAAgACAAIAAgACAAQwBvAHMAdABPAGYARwBvAG8AZABzAFMAbwBsAGQALwBBAHYAZQByAGEAZwBlAEkAbgB2AGUAbgB0AG8Acg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XAG8AcgBrAGkAbgBnAEMAYQBwAGkAdABhAGwAVAB1AHIAbgBvAHYAZQByAFIAYQB0AGkAbwC7A1wAbgAgACAAIAAgAEQARQBTAEMAUgBJAFAAVABJAE8ATgA6ACoALwAvACoAKgBXAG8AcgBrAGkAbgBnACAAQwBhAHAAaQB0AGEAbAAgAFQAdQByAG4AbwB2AGUAcgAgAFIAYQB0AGkAbwAgAG0AZQBhAHMAdQByAGUAcwAgAGgAbwB3ACAAZQBmAGYAaQBjAGkAZQBuAHQAbAB5ACAAYQAgAGMAbwBtAHAAYQBuAHkAIABpAHMAIAB1AHMAaQBuAGcAIABpAHQAcwAgAHcAbwByAGsAaQBuAGcAIABcAG4AYwBhAHAAaQB0AGEAbAAgAHQAbwAgAHMAdQBwAHAAbwByAHQAIABzAGEAbABlAHMAIABhAG4AZAAgAGcAcgBvAHcAdABoACAAKABOAGUAdAAgAEEAbgBuAHUAYQBsACAAUwBhAGwAZQBzAC8AQQB2AGUAcgBhAGcAZQAgAFcAbwByAGsAaQBuAGcAIABDAGEAcABpAHQAYQBsACkALgAgACoALwBcAG4AVwBvAHIAawBpAG4AZwBDAGEAcABpAHQAYQBsAFQAdQByAG4AbwB2AGUAcgBSAGEAdABpAG8AuwMgAD0AIABMAEEATQBCAEQAQQAoAFwAbgAvAC8AIAAgAFAAYQByAGEAbQBlAHQAZQByACAARABlAGMAbABhAFIAYQB0AGkAbwBuAHMAXABuACAAIAAgACAAIAAgACAAIABbAE4AZQB0AEEAbgBuAHUAYQBsAFMAYQBsAGUAcwBdACwAIAAgAFwAbgAgACAAIAAgACAAIAAgACAAWwBXAG8AcgBrAGkAbgBnAEMAYQBwAGkAdABhAGwAXQAsACAAIAAgACAAXABuAC8ALwAgACAASABlAGwAcABcAG4AIAAgACAAIABMAEUAVAAoAEgAZQBsAHAALAAgACAAIABUAFIASQBNACgAVABFAFgAVABTAFAATABJAFQAKAAgAFwAbgAgACAAIAAgACAAIAAgACAAIAAgACAAIAAgACAAIAAgACAAIAAgACAAIAAgACAAIABcACIARgBVAE4AQwBUAEkATwBOADoAIAAgACAAIAAgACAAIAAgACAAkiFXAG8AcgBrAGkAbgBnAEMAYQBwAGkAdABhAGwAVAB1AHIAbgBvAHYAZQByAFIAYQB0AGkAbwC7AygAIABOAGUAdABBAG4AbgB1AGEAbABTAGEAbABlAHMALAAgAFcAbwByAGsAaQBuAGcAQwBhAHAAaQB0AGEAbAApALYAXAAiACAAJgAgAFwAbgAgACAAIAAgACAAIAAgACAAIAAgACAAIAAgACAAIAAgACAAIAAgACAAIAAgACAAIABcACIARABFAFMAQwBSAEkAUABUAEkATwBOADoAIAAgACAAIAAgACAAkiFXAG8AcgBrAGkAbgBnACAAQwBhAHAAaQB0AGEAbAAgAFQAdQByAG4AbwB2AGUAcgAgAFIAYQB0AGkAbwAgAG0AZQBhAHMAdQByAGUAcwAgAGgAbwB3ACAAZQBmAGYAaQBjAGkAZQBuAHQAbAB5ACAAYQAgAGMAbwBtAHAAYQBuAHkAIAC2AFwAIgAgACYAXABuACAAIAAgACAAIAAgACAAIAAgACAAIAAgACAAIAAgACAAIAAgACAAIAAgACAAIAAgACAAIAAgACAAIAAgACAAIAAgACAAIAAgACAAIAAgACAAIAAgAFwAIgCSIWkAcwAgAHUAcwBpAG4AZwAgAGkAdABzACAAdwBvAHIAawBpAG4AZwAgAGMAYQBwAGkAdABhAGwAIAB0AG8AIABzAHUAcABwAG8AcgB0ACAAcwBhAGwAZQBzACAAYQBuAGQAIABnAHIAbwB3AHQAaAAgALYAXAAiACAAJgBcAG4AIAAgACAAIAAgACAAIAAgACAAIAAgACAAIAAgACAAIAAgACAAIAAgACAAIAAgACAAIAAgACAAIAAgACAAIAAgACAAIAAgACAAIAAgACAAIAAgACAAXAAiAJIhKABOAGUAdAAgAEEAbgBuAHUAYQBsACAAUwBhAGwAZQBzAC8AQQB2AGUAcgBhAGcAZQAgAFcAbwByAGsAaQBuAGcAIABDAGEAcABpAHQAYQBsACkALgAgALYAXAAiACAAJgBcAG4AIAAgACAAIAAgACAAIAAgACAAIAAgACAAIAAgACAAIAAgACAAIAAgACAAIAAgACAAXAAiAFcARQBCAFAAQQBHAEUAOgAgACAAIAAgACAAIAAgACAAIAAgAJIhaAB0AHQAcABzADoALwAvAHcAdwB3AC4AaQBuAHYAZQBzAHQAbwBwAGUAZABpAGEALgBjAG8AbQAvAHQAZQByAG0AcwAvAHcALwB3AG8AcgBrAGkAbgBnAGMAYQBwAGkAdABhAGwAdAB1AHIAbgBvAHYAZQByAC4AYQBzAHAAIAC2AFwAIgAgACYAXABuACAAIAAgACAAIAAgACAAIAAgACAAIAAgACAAIAAgACAAIAAgACAAIAAgACAAIAAgAFwAIgBWAEUAUgBTAEkATwBOADoAIAAgACAAIAAgACAAIAAgACAAIACSITIAMAAgAEEAdQBnACAAMgAwADIANgC2AFwAIgAgACYAXABuACAAIAAgACAAIAAgACAAIAAgACAAIAAgACAAIAAgACAAIAAgACAAIAAgACAAIAAgAFwAIgBQAEEAUgBBAE0ARQBUAEUAUgBTADoAkiG2AFwAIgAgACYAIABcAG4AIAAgACAAIAAgACAAIAAgACAAIAAgACAAIAAgACAAIAAgACAAIAAgACAAIAAgACAAXAAiAE4AZQB0AEEAbgBuAHUAYQBsAFMAYQBsAGUAcwAgACAAIAAgAJIhKABSAGUAcQB1AGkAcgBlAGQAKQAgAE4AZQB0ACAAQQBuAG4AdQBhAGwAIABTAGEAbABlAHMAIABjAGEAbgAgAGkAbgBjAGwAdQBkAGUAOgC2AFwAIgAgACYAXABuACAAIAAgACAAIAAgACAAIAAgACAAIAAgACAAIAAgACAAIAAgACAAIAAgACAAIAAgACAAIAAgACAAIAAgACAAIAAgACAAIAAgACAAIAAgACAAIAAgAFwAIgCSIUcAcgBvAHMAcwAgAHMAYQBsAGUAcwC2AFwAIgAgACYAXABuACAAIAAgACAAIAAgACAAIAAgACAAIAAgACAAIAAgACAAIAAgACAAIAAgACAAIAAgACAAIAAgACAAIAAgACAAIAAgACAAIAAgACAAIAAgACAAIAAgAFwAIgCSIUwAZQBzAHMAIAByAGUAdAB1AHIAbgBzALYAXAAiACAAJgBcAG4AIAAgACAAIAAgACAAIAAgACAAIAAgACAAIAAgACAAIAAgACAAIAAgACAAIAAgACAAIAAgACAAIAAgACAAIAAgACAAIAAgACAAIAAgACAAIAAgACAAXAAiAJIhTABlAHMAcwAgAGEAbABsAG8AdwBhAG4AYwBlAHMAtgBcACIAIAAmAFwAbgAgACAAIAAgACAAIAAgACAAIAAgACAAIAAgACAAIAAgACAAIAAgACAAIAAgACAAIAAgACAAIAAgACAAIAAgACAAIAAgACAAIAAgACAAIAAgACAAIABcACIAkiFMAGUAcwBzACAAZABpAHMAYwBvAHUAbgB0AHMAtgBcACIAIAAmACAAXABuACAAIAAgACAAIAAgACAAIAAgACAAIAAgACAAIAAgACAAIAAgACAAIAAgACAAIAAgAFwAIgBXAG8AcgBrAGkAbgBnAEMAYQBwAGkAdABhAGwAIAAgACAAIACSISgAUgBlAHEAdQBpAHIAZQBkACkAIABBAHYAZQByAGEAZwBlACAAbwBmACAAcABlAHIAaQBvAGQAIABvAHAAZQBuACAAYQBuAGQAIABjAGwAbwBzAGUAIABjAHUAcgByAGUAbgB0ACAAYQBzAHMAdABzACAAbABlAHMAcwAgAGMAdQByAHIAZQBuACAAbABpAGEAYgBpAGwAaQB0AGkAZQBzAC4AtgBcACIAIAAmACAAXABuACAAIAAgACAAIAAgACAAIAAgACAAIAAgACAAIAAgACAAIAAgACAAIAAgACAAIAAgAFwAIgBFAFgAQQBNAFAATABFAFMAOgAgACAAIAAgACAAIAAgACAAIACSIUYAbwByAG0AdQBsAGEAIAAoAG8AegAgAGkAcwAgAGEAcwBzAHUAbQBlAGQAIAB0AG8AIABiAGUAIAB0AGgAZQAgAG0AbwBkAHUAbABlACcAcwAgAG4AYQBtAGUAKQC2AFwAIgAgACYAXABuACAAIAAgACAAIAAgACAAIAAgACAAIAAgACAAIAAgACAAIAAgACAAIAAgACAAIAAgAFwAIgA2AC4AMAAgACAAIAAgACAAIAAgACAAIAAgACAAIAAgACAAIACSIT0AbwB6AC4AVwBvAHIAawBpAG4AZwBDAGEAcABpAHQAYQBsAFQAdQByAG4AbwB2AGUAcgBSAGEAdABpAG8AuwMoACAAMQAyAC4AMAAsACAAMg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QBuAG4AdQBhAGwAUwBhAGwAZQBzACkALABcAG4AIAAgACAAIAAgACAAIAAgACAAIAAgACAAIAAgACAAIAAgACAAIAAgACAAIAAgACAAIAAgACAAIABJAFMATwBNAEkAVABUAEUARAAoACAAVwBvAHIAawBpAG4AZwBDAGEAcABpAHQAYQBsACkAXABuACAAIAAgACAAIAAgACAAIAAgACAAIAAgACAAIAAgACAAIAAgACAAIAAgACAAIAAgACkALABcAG4AIAAgACAAIAAvAC8AIAAgAFAAcgBvAGMAZQBkAHUAcgBlAFwAbgAgACAAIAAgACAAIAAgACAAUgBlAHMAdQBsAHQALAAgACAAIAAgACAAIAAgACAAIABOAGUAdABBAG4AbgB1AGEAbABTAGEAbABlAHMALwBXAG8AcgBrAGkAbgBn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ABlAHYAZQByAGEAZwBlACAAUgBhAHQAaQBvAHMAIAAoAGEAawBhACAAUwBvAGwAdgBlAG4AYwB5ACAAUgBhAHQAaQBvAHMAKQBcAG4AXABuAFwAbgBcAG4ALwAqACAAIABGAFUATgBDAFQASQBPAE4AIABOAEEATQBFADoAIAAgAEQAZQBiAHQAUgBhAHQAaQBvALsDXABuACAAIAAgACAARABFAFMAQwBSAEkAUABUAEkATwBOADoAKgAvAC8AKgAqAE0AZQBhAHMAdQByAGUAcwAgAHQAaABlACAAZQB4AHQAZQBuAHQAIABvAGYAIABhACAAYwBvAG0AcABhAG4AeQAZIHMAIABsAGUAdgBlAHIAYQBnAGUAIAAqAC8AXABuAEQAZQBi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EAGUAYgB0AFIAYQB0AGkAbwC7AygAIABUAG8AdABhAGwARABlAGIAdAAsACAAVABvAHQAYQBsAEEAcwBzAGUAdABzACkAtgBcACIAIAAmACAAXABuACAAIAAgACAAIAAgACAAIAAgACAAIAAgACAAIAAgACAAIAAgACAAIAAgACAAIAAgAFwAIgBEAEUAUwBDAFIASQBQAFQASQBPAE4AOgAgACAAIACSIU0AZQBhAHMAdQByAGUAcwAgAHQAaABlACAAZQB4AHQAZQBuAHQAIABvAGYAIABhACAAYwBvAG0AcABhAG4AeQAZIHMAIABsAGUAdgBlAHIAYQBnAGUAIAAoAFQAbwB0AGEAbABEAGUAYgB0AC8AVABvAHQAYQBsAEEAcwBzAGUAdABzACkAtgBcACIAIAAmACAAXABuACAAIAAgACAAIAAgACAAIAAgACAAIAAgACAAIAAgACAAIAAgACAAIAAgACAAIAAgAFwAIgBXAEUAQgBQAEEARwBFADoAIAAgACAAIAAgACAAIACSIWgAdAB0AHAAcwA6AC8ALwB3AHcAdwAuAGkAbgB2AGUAcwB0AG8AcABlAGQAaQBhAC4AYwBvAG0ALwB0AGUAcgBtAHMALwBkAC8AZABlAGIAdAByAGEAdABpAG8ALgBhAHMAcAAj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UAG8AdABhAGwARABlAGIAdAAgACAAIAAgACAAIACSISgAUgBlAHEAdQBpAHIAZQBkACkAIABUAG8AdABhAGwAIABEAGUAYgB0ACAAtgBcACIAIAAmACAAXABuACAAIAAgACAAIAAgACAAIAAgACAAIAAgACAAIAAgACAAIAAgACAAIAAgACAAIAAgAFwAIgBUAG8AdABhAGwAQQBzAHMAZQB0AHMAIAAgACAAIACSISgAUgBlAHEAdQBpAHIAZQBkACkAIABUAG8AdABhAGwAIABBAHMAcwBlAHQAcwAgALYAXAAiACAAJgAgAFwAbgAgACAAIAAgACAAIAAgACAAIAAgACAAIAAgACAAIAAgACAAIAAgACAAIAAgACAAIABcACIAUwBFAEUAIABBAEwAUwBPADoAIAAgACAAIAAgACAAkiFEAGUAYgB0AFQAbwBBAHMAcwBlAHQAUgBhAHQAaQBvALsDIABjAG8AbQBwAHUAdABlAHMAIAB0AGgAZQAgAHMAYQBtAGUAIAByAGEAdABpAG8AIAB1AG4AZABlAHIAIABpAHQAcwAgAGwAbwBuAGcAZQByACAAbgBhAG0AZQAu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LgAzACAAIAAgACAAIAAgACAAIAAgACAAIAAgACAAkiE9AG8AegAuAEQAZQBiAHQAUgBhAHQAaQBvALsDKAAzADAALgAwACwAIAAxADA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QwBSALsDXABuACAAIAAgACAARABFAFMAQwBSAEkAUABUAEkATwBOADoAKgAvAC8AKgAqAEQAZQBiAHQAIABzAGUAcgB2AGkAYwBlACAAYwBvAHYAZQByAGEAZwBlACAAUgBhAHQAaQBvACAAbQBlAGEAcwB1AHIAZQBzACAAYQAgAGYAaQByAG0AGSBzACAAYQB2AGEAaQBsAGEAYgBsAGUAIABjAGEAcwBoACAAZgBsAG8AdwAgAHQAbwAgAHAAYQB5ACAAaQB0AHMAIABcAG4AYwB1AHIAcgBlAG4AdAAgAGQAZQBiAHQAIABvAGIAbABpAGcAYQB0AGkAbwBuAHMAKABOAGUAdAAgAE8AcABlAHIAYQB0AGkAbgBnACAASQBuAGMAbwBtAGUALwBUAG8AdABhAGwAIABEAGUAYgB0ACAAUwBlAHIAdgBpAGMAZQApACAAKgAvAFwAbgBEAFMAQwBSALsDIAA9ACAATABBAE0AQgBEAEEAKABcAG4ALwAvACAAIABQAGEAcgBhAG0AZQB0AGUAcgAgAEQAZQBjAGwAYQBSAGEAdABpAG8AbgBzAFwAbgAgACAAIAAgACAAIAAgACAAWwBOAGUAdABPAHAAZQByAGEAdABpAG4AZwBJAG4AYwBvAG0AZQBdACwAIAAgAFwAbgAgACAAIAAgACAAIAAgACAAWwBUAG8AdABhAGwARABlAGIAdABTAGUAcgB2AGkAYwBlAF0ALAAgACAAIAAgAFwAbgAvAC8AIAAgAEgAZQBsAHAAXABuACAAIAAgACAATABFAFQAKABIAGUAbABwACwAIAAgACAAVABSAEkATQAoAFQARQBYAFQAUwBQAEwASQBUACgAIABcAG4AIAAgACAAIAAgACAAIAAgACAAIAAgACAAIAAgACAAIAAgACAAIAAgACAAIAAgACAAXAAiAEYAVQBOAEMAVABJAE8ATgA6ACAAIAAgACAAIAAgACAAIAAgACAAkiFEAFMAQwBSALsDKAAgAE4AZQB0AE8AcABlAHIAYQB0AGkAbgBnAEkAbgBjAG8AbQBlACwAIABUAG8AdABhAGwARABlAGIAdABTAGUAcgB2AGkAYwBlACkAtgBcACIAIAAmACAAXABuACAAIAAgACAAIAAgACAAIAAgACAAIAAgACAAIAAgACAAIAAgACAAIAAgACAAIAAgAFwAIgBEAEUAUwBDAFIASQBQAFQASQBPAE4AOgAgACAAIAAgACAAIAAgAJIhTQBlAGEAcwB1AHIAZQBzACAAYQAgAGYAaQByAG0AGSBzACAAYQB2AGEAaQBsAGEAYgBsAGUAIABjAGEAcwBoACAAZgBsAG8AdwAgAHQAbwAgAHAAYQB5ACAAaQB0AHMAIABjAHUAcgByAGUAbgB0ACAAZABlAGIAdAAgAG8AYgBsAGkAZwBhAHQAaQBvAG4AcwC2AFwAIgAgACYAXABuACAAIAAgACAAIAAgACAAIAAgACAAIAAgACAAIAAgACAAIAAgACAAIAAgACAAIAAgACAAIAAgACAAIAAgACAAIAAgACAAIAAgACAAIAAgACAAIAAgACAAXAAiAJIhKABOAGUAdAAgAE8AcABlAHIAYQB0AGkAbgBnACAASQBuAGMAbwBtAGUALwBUAG8AdABhAGwAIABEAGUAYgB0ACAAUwBlAHIAdgBpAGMAZQApALYAXAAiACAAJgAgAFwAbgAgACAAIAAgACAAIAAgACAAIAAgACAAIAAgACAAIAAgACAAIAAgACAAIAAgACAAIABcACIAVwBFAEIAUABBAEcARQA6ACAAIAAgACAAIAAgACAAIAAgACAAIACSIWgAdAB0AHAAcwA6AC8ALwB3AHcAdwAuAGkAbgB2AGUAcwB0AG8AcABlAGQAaQBhAC4AYwBvAG0ALwB0AGUAcgBtAHMALwBkAC8AZABzAGM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E8AcABlAHIAYQB0AGkAbgBnAEkAbgBjAG8AbQBlACAAkiEoAFIAZQBxAHUAaQByAGUAZAApACAAUgBlAHYAZQBuAHUAZQAgAC0AIABDAGUAcgB0AGEAaQBuACAATwBwAGUAcgBhAHQAaQBuAGcAIABFAHgAcABlAG4AcwBlAHMAtgBcACIAIAAmACAAXABuACAAIAAgACAAIAAgACAAIAAgACAAIAAgACAAIAAgACAAIAAgACAAIAAgACAAIAAgAFwAIgBUAG8AdABhAGwARABlAGIAdABTAGUAcgB2AGkAYwBlACAAIAAgAJIhKABSAGUAcQB1AGkAcgBlAGQAKQAgAEkAbgB0AGUAcgBlAHMAdAAgACoAIAAoADEALQBUAGEAeAAgAFIAYQB0AGUAKQAsACAAcAByAGkAbgBjAGkAcABhAGwALAAgAHMAaQBuAGsAaQBuAGcAIABmAHUAbgBkACwAtgBcACIAIAAmAFwAbgAgACAAIAAgACAAIAAgACAAIAAgACAAIAAgACAAIAAgACAAIAAgACAAIAAgACAAIAAgACAAIAAgACAAIAAgACAAIAAgACAAIAAgACAAIAAgACAAIAAgAFwAIgCSIWEAbgBkACAAbABlAGEAcwBlACAAcABhAHkAbQBlAG4AdABzACAAZAB1AGUAIABpAG4AIAB0AGgAZQAgAGMAbwBtAGkAbgBnACAAeQBlAGEAcg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gAuADEANAAyADgANQA3ACAAIAAgACAAIAAgACAAIAAgACAAIACSIT0AbwB6AC4ARABTAEMAUgC7AygAMgAxADUAMAAuADAALAAgADMANQ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JAG4AYwBvAG0AZQApACwAXABuACAAIAAgACAAIAAgACAAIAAgACAAIAAgACAAIAAgACAAIAAgACAAIAAgACAAIAAgACAAIAAgACAASQBTAE8ATQBJAFQAVABFAEQAKAAgAFQAbwB0AGEAbABkAGUAYgB0AHMAZQByAHYAaQBjAGUAKQBcAG4AIAAgACAAIAAgACAAIAAgACAAIAAgACAAIAAgACAAIAAgACAAIAAgACAAIAAgACAAKQAsAFwAbgAgACAAIAAgAC8ALwAgACAAUAByAG8AYwBlAGQAdQByAGUAXABuACAAIAAgACAAIAAgACAAIABSAGUAcwB1AGwAdAAsACAAIAAgACAAIAAgACAAIAAgAE4AZQB0AE8AcABlAHIAYQB0AGkAbgBnAEkAbgBjAG8AbQBlAC8AVABvAHQAYQBsAEQAZQBiAHQAUwBlAHIAdgBpAGM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wBhAHAAaQB0AGEAbABSAGEAdABpAG8AuwNcAG4AIAAgACAAIABEAEUAUwBDAFIASQBQAFQASQBPAE4AOgAqAC8ALwAqACoARwBpAHYAZQBzACAAYQBuAGEAbAB5AHMAdABzACAAYQBuAGQAIABpAG4AdgBlAHMAdABvAHIAcwAgAGEAIABiAGUAdAB0AGUAcgAgAGkAZABlAGEAIABvAGYAIABhACAAYwBvAG0AcABhAG4AeQAnAHMAIABmAGkAbgBhAG4AYwBpAGEAbAAgAHMAdAByAHUAYwB0AHUAcgBlAFwAbgBhAG4AZAAgAHcAaABlAHQAaABlAHIAIABvAHIAIABuAG8AdAAgAHQAaABlACAAYwBvAG0AcABhAG4AeQAgAGkAcwAgAGEAIABzAHUAaQB0AGEAYgBsAGUAIABpAG4AdgBlAHMAdABtAGUAbgB0ACAAKABEAGUAYgB0AC8AKABEAGUAYgB0ACAAKwAgAFMAaABhAHIAZQBoAG8AbABkAGUAcgBzACcAIABlAHEAdQBpAHQAeQApACAAKgAvAFwAbgBEAGUAYgB0AFQAbwBDAGEAcABpAHQAYQBsAFIAYQB0AGkAbwC7AyAAPQAgAEwAQQBNAEIARABBACgAXABuAC8ALwAgACAAUABhAHIAYQBtAGUAdABlAHIAIABEAGUAYwBsAGEAUgBhAHQAaQBvAG4AcwBcAG4AIAAgACAAIAAgACAAIAAgAFsARABlAGIAdA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QwBhAHAAaQB0AGEAbABSAGEAdABpAG8AuwMoACAARABlAGIAdAAsACAAUwBoAGEAcgBlAGgAbwBsAGQAZQByAHMARQBxAHUAaQB0AHkAKQC2AFwAIgAgACYAIABcAG4AIAAgACAAIAAgACAAIAAgACAAIAAgACAAIAAgACAAIAAgACAAIAAgACAAIAAgACAAXAAiAEQARQBTAEMAUgBJAFAAVABJAE8ATgA6ACAAIAAgACAAIAAgACAAkiFHAGkAdgBlAHMAIABhAG4AYQBsAHkAcwB0AHMAIABhAG4AZAAgAGkAbgB2AGUAcwB0AG8AcgBzACAAYQAgAGIAZQB0AHQAZQByACAAaQBkAGUAYQAgAG8AZgAgAGEAIABjAG8AbQBwAGEAbgB5ACcAcwAgAGYAaQBuAGEAbgBjAGkAYQBsACAAcwB0AHIAdQBjAHQAdQByAGUAtgBcACIAIAAmAFwAbgAgACAAIAAgACAAIAAgACAAIAAgACAAIAAgACAAIAAgACAAIAAgACAAIAAgACAAIAAgACAAIAAgACAAIAAgACAAIAAgACAAIAAgACAAIAAgACAAIAAgAFwAIgCSIWEAbgBkACAAdwBoAGUAdABoAGUAcgAgAG8AcgAgAG4AbwB0ACAAdABoAGUAIABjAG8AbQBwAGEAbgB5ACAAaQBzACAAYQAgAHMAdQBpAHQAYQBiAGwAZQAgAGkAbgB2AGUAcwB0AG0AZQBuAHQALgC2AFwAIgAgACYAIABcAG4AIAAgACAAIAAgACAAIAAgACAAIAAgACAAIAAgACAAIAAgACAAIAAgACAAIAAgACAAIAAgACAAIAAgACAAIAAgACAAIAAgACAAIAAgACAAIAAgACAAIABcACIAkiEoAEQAZQBiAHQALwAoAEQAZQBiAHQAIAArACAAUwBoAGEAcgBlAGgAbwBsAGQAZQByAHMAJwAgAGUAcQB1AGkAdAB5ACkAtgBcACIAIAAmACAAXABuACAAIAAgACAAIAAgACAAIAAgACAAIAAgACAAIAAgACAAIAAgACAAIAAgACAAIAAgAFwAIgBXAEUAQgBQAEEARwBFADoAIAAgACAAIAAgACAAIAAgACAAIAAgAJIhaAB0AHQAcABzADoALwAvAHcAdwB3AC4AaQBuAHYAZQBzAHQAbwBwAGUAZABpAGEALgBjAG8AbQAvAHQAZQByAG0AcwAvAGQALwBkAGUAYgB0AC0AdABvAC0AYwBhAHAAaQB0AGEAbA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EAGUAYgB0ACAAIAAgACAAIAAgACAAIAAgACAAIAAgACAAIAAgAJIhKABSAGUAcQB1AGkAcgBlAGQAKQAgAFQAbwB0AGEAbAAgAEQAZQBiAHQAIAB3AGgAaQBjAGgAIABjAGEAbgAgAGkAbgBjAGwAdQBkAGUAOgAgALYAXAAiACAAJgBcAG4AIAAgACAAIAAgACAAIAAgACAAIAAgACAAIAAgACAAIAAgACAAIAAgACAAIAAgACAAIAAgACAAIAAgACAAIAAgACAAIAAgACAAIAAgACAAIAAgACAAIABcACIAkiFOAG8AdABlAHMAIABwAGEAeQBhAGIAbABlALYAXAAiACAAJgBcAG4AIAAgACAAIAAgACAAIAAgACAAIAAgACAAIAAgACAAIAAgACAAIAAgACAAIAAgACAAIAAgACAAIAAgACAAIAAgACAAIAAgACAAIAAgACAAIAAgACAAIABcACIAkiFCAG8AbgBkAHMAIABwAGEAeQBhAGIAbABlALYAXAAiACAAJgBcAG4AIAAgACAAIAAgACAAIAAgACAAIAAgACAAIAAgACAAIAAgACAAIAAgACAAIAAgACAAIAAgACAAIAAgACAAIAAgACAAIAAgACAAIAAgACAAIAAgACAAIABcACIAkiFMAG8AbgBnAC0AdABlAHIAbQAgAGwAaQBhAGIAaQBsAGkAdABpAGUAcwC2AFwAIgAgACY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2AC4ANAAlACAAIAAgACAAIAAgACAAIAAgACAAIAAgACAAIACSIT0AbwB6AC4ARABlAGIAdABUAG8AQwBhAHAAaQB0AGEAbABSAGEAdABpAG8AuwMoACAAOAAwAC4AMAAsACAAMgAyADM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lAGIAdA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EAGUAYgB0AC8AKABEAGUAYgB0ACsAUwBoAGEAcgBlAGgAbwBsAGQAZQByAHMARQBxAHUAaQB0AHkAK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TQB1AGwAdABpAHAAbABpAGUAcgC7A1wAbgAgACAAIAAgAEQARQBTAEMAUgBJAFAAVABJAE8ATgA6ACoALwAvACoAKgBNAGUAYQBzAHUAcgBlAHMAIAB0AGgAZQAgAHAAbwByAHQAaQBvAG4AIABvAGYAIABhACAAYwBvAG0AcABhAG4AeQAZIHMAIABhAHMAcwBlAHQAcwAgAGYAaQBuAGEAbgBjAGUAZAAgAGIAeQAgAHMAaABhAHIAZQBoAG8AbABkAGUAcgBzACcAXABuAGUAcQB1AGkAdAB5ACAAcgBhAHQAaABlAHIAIAB0AGgAYQBuACAAYgB5ACAAZABlAGIAdAAgACgAVABvAHQAYQBsAEEAcwBzAGUAdABzAC8AVABvAHQAYQBsAFMAaABhAHIAZQBoAG8AbABkAGUAcgBzAEUAcQB1AGkAdAB5ACkAIAAqAC8AXABuAEUAcQB1AGkAdAB5AE0AdQBsAHQAaQBwAGwAaQBlAHIAuwMgAD0AIABMAEEATQBCAEQAQQAoAFwAbgAvAC8AIAAgAFAAYQByAGEAbQBlAHQAZQByACAARABlAGMAbABhAFIAYQB0AGkAbwBuAHMAXABuACAAIAAgACAAIAAgACAAIABbAFQAbwB0AGEAbABBAHMAcwBlAHQAcwBdACwAIAAgAFwAbgAgACAAIAAgACAAIAAgACAAWwBUAG8AdABhAGw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UAcQB1AGkAdAB5AE0AdQBsAHQAaQBwAGwAaQBlAHIAuwMoACAAVABvAHQAYQBsAEEAcwBzAGUAdABzACwAIABUAG8AdABhAGwAUwBoAGEAcgBlAGgAbwBsAGQAZQByAHMARQBxAHUAaQB0AHkAKQC2AFwAIgAgACYAIABcAG4AIAAgACAAIAAgACAAIAAgACAAIAAgACAAIAAgACAAIAAgACAAIAAgACAAIAAgACAAXAAiAEQARQBTAEMAUgBJAFAAVABJAE8ATgA6ACAAIAAgACAAIAAgACAAkiFNAGUAYQBzAHUAcgBlAHMAIAB0AGgAZQAgAHAAbwByAHQAaQBvAG4AIABvAGYAIABhACAAYwBvAG0AcABhAG4AeQAZIHMAIABhAHMAcwBlAHQAcwAgAGYAaQBuAGEAbgBjAGUAZAAgAGIAeQAgAHMAaABhAHIAZQBoAG8AbABkAGUAcgBzACcAIAC2AFwAIgAgACYAXABuACAAIAAgACAAIAAgACAAIAAgACAAIAAgACAAIAAgACAAIAAgACAAIAAgACAAIAAgACAAIAAgACAAIAAgACAAIAAgACAAIAAgACAAIAAgACAAIAAgACAAXAAiAJIhZQBxAHUAaQB0AHkAIAByAGEAdABoAGUAcgAgAHQAaABhAG4AIABiAHkAIABkAGUAYgB0ACAAKABUAG8AdABhAGwAQQBzAHMAZQB0AHMALwBUAG8AdABhAGwAUwBoAGEAcgBlAGgAbwBsAGQAZQByAHMARQBxAHUAaQB0AHkAKQC2AFwAIgAgACYAIABcAG4AIAAgACAAIAAgACAAIAAgACAAIAAgACAAIAAgACAAIAAgACAAIAAgACAAIAAgACAAXAAiAFcARQBCAFAAQQBHAEUAOgAgACAAIAAgACAAIAAgACAAIAAgACAAkiFoAHQAdABwAHMAOgAvAC8AdwB3AHcALgBpAG4AdgBlAHMAdABvAHAAZQBkAGkAYQAuAGMAbwBtAC8AdABlAHIAbQBzAC8AZQAvAGUAcQB1AGkAdAB5AG0AdQBsAHQAaQBwAGwAaQBlAHI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FQAbwB0AGEAbA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uADQAMAA2ADIANQAgACAAIAAgACAAIAAgACAAIAAgACAAIACSIT0AbwB6AC4ARQBxAHUAaQB0AHkATQB1AGwAdABpAHAAbABpAGUAcgC7AygAMwA2ADYALgA2ACwAIAA4ADMALg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EAcwBzAGUAdABzACkALABcAG4AIAAgACAAIAAgACAAIAAgACAAIAAgACAAIAAgACAAIAAgACAAIAAgACAAIAAgACAAIAAgACAAIABJAFMATwBNAEkAVABUAEUARAAoACAAVABvAHQAYQBsAFMAaABhAHIAZQBoAG8AbABkAGUAcgBzAEUAcQB1AGkAdAB5ACkAXABuACAAIAAgACAAIAAgACAAIAAgACAAIAAgACAAIAAgACAAIAAgACAAIAAgACAAIAAgACkALABcAG4AIAAgACAAIAAvAC8AIAAgAFAAcgBvAGMAZQBkAHUAcgBlAFwAbgAgACAAIAAgACAAIAAgACAAUgBlAHMAdQBsAHQALAAgACAAIAAgACAAIAAgACAAIABUAG8AdABhAGwAQQBzAHMAZQB0AHMALwBUAG8AdABhAGw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XABuAFwAbgBcAG4AXABuAC8ALwAgACAAUwBvAGwAdgBlAG4AYwB5ACAAUgBhAHQAaQBvAHMAXABuAFwAbgAgAFwAbgAvACoAIAAgAEYAVQBOAEMAVABJAE8ATgAgAE4AQQBNAEUAOgAgACAARABlAGIAdABUAG8ARQBxAHUAaQB0AHkAUgBhAHQAaQBvALsDXABuACAAIAAgACAARABFAFMAQwBSAEkAUABUAEkATwBOADoAKgAvAC8AKgAqAE0AZQBhAHMAdQByAGUAcwAgAHQAaABlACAAZABlAGcAcgBlAGUAIAB0AG8AIAB3AGgAaQBjAGgAIABhACAAYwBvAG0AcABhAG4AeQAgAGkAcwAgAGYAaQBuAGEAbgBjAGkAbgBnACAAbwBwAGUAcgBhAHQAaQBvAG4AcwBcAG4AdwBpAHQAaAAgAGQAZQBiAHQAIAByAGEAdABoAGUAcgAgAHQAaABhAG4AIABpAHQAcwAgAG8AdwBuACAAcgBlAHMAbwB1AHIAYwBlAHMALgAgACgAVABvAHQAYQBsACAATABpAGEAYgBpAGwAaQB0AGkAZQBzAC8AUwBoAGEAcgBlAGgAbwBsAGQAZQByAHMAJwAgAEUAcQB1AGkAdAB5ACkAIAAqAC8AXABuAEQAZQBiAHQAVABvAEUAcQB1AGkAdAB5AFIAYQB0AGkAbwC7AyAAPQAgAEwAQQBNAEIARABBACgAXABuAC8ALwAgACAAUABhAHIAYQBtAGUAdABlAHIAIABEAGUAYwBsAGEAUgBhAHQAaQBvAG4AcwBcAG4AIAAgACAAIAAgACAAIAAgAFsAVABvAHQAYQBsAEwAaQBhAGIAaQBsAGkAdABpAGUAcw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RQBxAHUAaQB0AHkAUgBhAHQAaQBvALsDKAAgAFQAbwB0AGEAbABMAGkAYQBiAGkAbABpAHQAaQBlAHMALAAgAFMAaABhAHIAZQBoAG8AbABkAGUAcgBzAEUAcQB1AGkAdAB5ACkAtgBcACIAIAAmACAAXABuACAAIAAgACAAIAAgACAAIAAgACAAIAAgACAAIAAgACAAIAAgACAAIAAgACAAIAAgAFwAIgBEAEUAUwBDAFIASQBQAFQASQBPAE4AOgAgACAAIAAgACAAIAAgAJIhTQBlAGEAcwB1AHIAZQBzACAAdABoAGUAIABkAGUAZwByAGUAZQAgAHQAbwAgAHcAaABpAGMAaAAgAGEAIABjAG8AbQBwAGEAbgB5ACAAaQBzACAAZgBpAG4AYQBuAGMAaQBuAGcAIABvAHAAZQByAGEAdABpAG8AbgBzALYAXAAiACAAJgBcAG4AIAAgACAAIAAgACAAIAAgACAAIAAgACAAIAAgACAAIAAgACAAIAAgACAAIAAgACAAIAAgACAAIAAgACAAIAAgACAAIAAgACAAIAAgACAAIAAgACAAIABcACIAkiF3AGkAdABoACAAZABlAGIAdAAgAHIAYQB0AGgAZQByACAAdABoAGEAbgAgAGkAdABzACAAbwB3AG4AIAByAGUAcwBvAHUAcgBjAGUAcwAuACAAKABUAG8AdABhAGwAIABMAGkAYQBiAGkAbABpAHQAaQBlAHMALwBTAGgAYQByAGUAaABvAGwAZABlAHIAcwAnACAARQBxAHUAaQB0AHkAKQC2AFwAIgAgACYAIABcAG4AIAAgACAAIAAgACAAIAAgACAAIAAgACAAIAAgACAAIAAgACAAIAAgACAAIAAgACAAXAAiAFcARQBCAFAAQQBHAEUAOgAgACAAIAAgACAAIAAgACAAIAAgACAAkiFoAHQAdABwAHMAOgAvAC8AdwB3AHcALgBpAG4AdgBlAHMAdABvAHAAZQBkAGkAYQAuAGMAbwBtAC8AdABlAHIAbQBzAC8AZAAvAGQAZQBiAHQAZQBxAHUAaQB0AHk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QAbwB0AGEAbABMAGkAYQBiAGkAbABpAHQAaQBlAHMAIAAgACAAkiEoAFIAZQBxAHUAaQByAGUAZAApACAAVABvAHQAYQBsACAATABpAGEAYgBpAGwAaQB0AGkAZQBzAL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MALgA3ADcAIAAgACAAIAAgACAAIAAgACAAIAAgACAAIAAgACAAkiE9AG8AegAuAEQAZQBiAHQAVABvAEUAcQB1AGkAdAB5AFIAYQB0AGkAbwC7AygAMgA3ADkALgAwACwAIAA3ADQ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wAaQBhAGIAaQBsAGkAdABpAGUAcw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UAG8AdABhAGwATABpAGEAYgBpAGwAaQB0AGkAZQBz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EAcwBzAGUAdABSAGEAdABpAG8AuwNcAG4AIAAgACAAIABEAEUAUwBDAFIASQBQAFQASQBPAE4AOgAqAC8ALwAqACoAQQBuAGEAbAB5AHMAdABzACAAYwBhAG4AIABjAG8AbQBwAGEAcgBlACAAbwBuAGUAIABjAG8AbQBwAGEAbgB5ACcAcwAgAGwAZQB2AGUAcgBhAGcAZQAgAHcAaQB0AGgAIAB0AGgAYQB0ACAAbwBmACAAbwB0AGgAZQByACAAXABuAGMAbwBtAHAAYQBuAGkAZQBzACAAaQBuACAAdABoAGUAIABzAGEAbQBlACAAaQBuAGQAdQBzAHQAcgB5AC4AIAAoAFQAbwB0AGEAbAAgAEQAZQBiAHQALwBUAG8AdABhAGwAIABBAHMAcwBlAHQAcwApACAAKgAvAFwAbgBEAGUAYgB0AFQAbwBBAHMAcwBl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IAAgACAAIACSIUQAZQBiAHQAVABvAEEAcwBzAGUAdABSAGEAdABpAG8AuwMoACAAVABvAHQAYQBsAEQAZQBiAHQALAAgAFQAbwB0AGEAbABBAHMAcwBlAHQAcwApALYAXAAiACAAJgAgAFwAbgAgACAAIAAgACAAIAAgACAAIAAgACAAIAAgACAAIAAgACAAIAAgACAAIAAgACAAIABcACIARABFAFMAQwBSAEkAUABUAEkATwBOADoAIAAgACAAIAAgACAAIACSIUEAbgBhAGwAeQBzAHQAcwAgAGMAYQBuACAAYwBvAG0AcABhAHIAZQAgAG8AbgBlACAAYwBvAG0AcABhAG4AeQAnAHMAIABsAGUAdgBlAHIAYQBnAGUAIAB3AGkAdABoACAAdABoAGEAdAAgAG8AZgAgAG8AdABoAGUAcgAgAHkAtgBcACIAIAAmAFwAbgAgACAAIAAgACAAIAAgACAAIAAgACAAIAAgACAAIAAgACAAIAAgACAAIAAgACAAIAAgACAAIAAgACAAIAAgACAAIAAgACAAIAAgACAAIAAgACAAIAAgAFwAIgCSIWMAbwBtAHAAYQBuAGkAZQBzACAAaQBuACAAdABoAGUAIABzAGEAbQBlACAAaQBuAGQAdQBzAHQAcgB5ACAAKABUAG8AdABhAGwAIABEAGUAYgB0AC8AVABvAHQAYQBsACAAQQBzAHMAZQB0AHMAKQC2AFwAIgAgACYAXABuACAAIAAgACAAIAAgACAAIAAgACAAIAAgACAAIAAgACAAIAAgACAAIAAgACAAIAAgAFwAIgBXAEUAQgBQAEEARwBFADoAIAAgACAAIAAgACAAIAAgACAAIAAgAJIhaAB0AHQAcABzADoALwAvAHcAdwB3AC4AaQBuAHYAZQBzAHQAbwBwAGUAZABpAGEALgBjAG8AbQAvAHQAZQByAG0AcwAvAHQALwB0AG8AdABhAGwAZABlAGIAdAB0AG8AdABvAHQAYQBsAGEAcwBzAGUAdABz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QAbwB0AGEAbABEAGUAYgB0ACAAIAAgACAAIAAgACAAIAAgACAAkiEoAFIAZQBxAHUAaQByAGUAZAApACAAVABvAHQAYQBsACAAZABlAGIAdAAgAGkAbgBjAGwAdQBkAGUAcwAgAHMAaABvAHIAdAB0AGUAcgBtACAAYQBuAGQAIABsAG8AbgBnAHQAZQByAG0AIABkAGUAYgB0ALYAXAAiACAAJgAgAFwAbgAgACAAIAAgACAAIAAgACAAIAAgACAAIAAgACAAIAAgACAAIAAgACAAIAAgACAAIABcACIAVABvAHQAYQBsAEEAcwBzAGUAdABzACAAIAAgACAAIAAgACAAIACSISgAUgBlAHEAdQBpAHIAZQBkACkAIABUAG8AdABhAGwAIABBAHMAcwBlAHQAcwAgALYAXAAiACAAJgAgAFwAbgAgACAAIAAgACAAIAAgACAAIAAgACAAIAAgACAAIAAgACAAIAAgACAAIAAgACAAIABcACIAUwBFAEUAIABBAEwAUwBPADoAIAAgACAAIAAgACAAIAAgACAAIACSIUQAZQBiAHQAUgBhAHQAaQBvALsDIABjAG8AbQBwAHUAdABlAHMAIAB0AGgAZQAgAHMAYQBtAGUAIAByAGEAdABpAG8AIAB1AG4AZABlAHIAIABpAHQAcwAgAHMAaABvAHIAdABlAHIAIABuAGEAbQBlAC4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C4ANAA5ADgANwAzACAAIAAgACAAIAAgACAAIAAgACAAIAAgACAAkiE9AG8AegAuAEQAZQBiAHQAVABvAEEAcwBzAGUAdABSAGEAdABpAG8AuwMoADMAMQAuADgANAA1ACwAIAA2ADMALgA4ADU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g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ABlAHIAZQBzAHQAQwBvAHYAZQByAGEAZwBlAFIAYQB0AGkAbwC7A1wAbgAgACAAIAAgAEQARQBTAEMAUgBJAFAAVABJAE8ATgA6ACoALwAvACoAKgBEAGUAdABlAHIAbQBpAG4AZQBzACAAaABvAHcAIABlAGEAcwBpAGwAeQAgAGEAIABjAG8AbQBwAGEAbgB5ACAAYwBhAG4AIABwAGEAeQAgAGkAbgB0AGUAcgBlAHMAdAAgAG8AbgAgAGkAdABzACAAbwB1AHQAcwB0AGEAbgBkAGkAbgBnACAAZABlAGIAdABcAG4AKABPAHAAZQByAGEAdABpAG4AZwAgAEkAbgBjAG8AbQBlAC8ASQBuAHQAZQByAGUAcwB0ACAARQB4AHAAZQBuAHMAZQBzACkAIAAqAC8AXABuAEkAbgB0AGUAcgBlAHMAdABDAG8AdgBlAHIAYQBnAGUAUgBhAHQAaQBvALsDIAA9ACAATABBAE0AQgBEAEEAKABcAG4ALwAvACAAIABQAGEAcgBhAG0AZQB0AGUAcgAgAEQAZQBjAGwAYQBSAGEAdABpAG8AbgBzAFwAbgAgACAAIAAgACAAIAAgACAAWwBPAHAAZQByAGEAdABpAG4AZwBJAG4AYwBvAG0AZQBdACwAIAAgAFwAbgAgACAAIAAgACAAIAAgACAAWwBJAG4AdABlAHIAZQBzAHQARQB4AHAAZQBuAHMAZQBzAF0ALAAgACAAIAAgAFwAbgAvAC8AIAAgAEgAZQBsAHAAXABuACAAIAAgACAATABFAFQAKABIAGUAbABwACwAIAAgACAAVABSAEkATQAoAFQARQBYAFQAUwBQAEwASQBUACgAIABcAG4AIAAgACAAIAAgACAAIAAgACAAIAAgACAAIAAgACAAIAAgACAAIAAgACAAIAAgACAAXAAiAEYAVQBOAEMAVABJAE8ATgA6ACAAIAAgACAAIAAgACAAIAAgACAAkiFJAG4AdABlAHIAZQBzAHQAQwBvAHYAZQByAGEAZwBlAFIAYQB0AGkAbwC7AygAIABPAHAAZQByAGEAdABpAG4AZwBJAG4AYwBvAG0AZQAsACAASQBuAHQAZQByAGUAcwB0AEUAeABwAGUAbgBzAGUAcwApALYAXAAiACAAJgAgAFwAbgAgACAAIAAgACAAIAAgACAAIAAgACAAIAAgACAAIAAgACAAIAAgACAAIAAgACAAIABcACIARABFAFMAQwBSAEkAUABUAEkATwBOADoAIAAgACAAIAAgACAAIACSIUQAZQB0AGUAcgBtAGkAbgBlAHMAIABoAG8AdwAgAGUAYQBzAGkAbAB5ACAAYQAgAGMAbwBtAHAAYQBuAHkAIABjAGEAbgAgAHAAYQB5ACAAaQBuAHQAZQByAGUAcwB0ACAAbwBuACAAaQB0AHMAIABvAHUAdABzAHQAYQBuAGQAaQBuAGcAIABkAGUAYgB0ALYAXAAiACAAJgBcAG4AIAAgACAAIAAgACAAIAAgACAAIAAgACAAIAAgACAAIAAgACAAIAAgACAAIAAgACAAIAAgACAAIAAgACAAIAAgACAAIAAgACAAIAAgACAAIAAgACAAIABcACIAkiEoAE8AcABlAHIAYQB0AGkAbgBnACAASQBuAGMAbwBtAGUALwBJAG4AdABlAHIAZQBzAHQAIABFAHgAcABlAG4AcwBlAHMAKQC2AFwAIgAgACYAIABcAG4AIAAgACAAIAAgACAAIAAgACAAIAAgACAAIAAgACAAIAAgACAAIAAgACAAIAAgACAAXAAiAFcARQBCAFAAQQBHAEUAOgAgACAAIAAgACAAIAAgACAAIAAgACAAkiFoAHQAdABwAHMAOgAvAC8AdwB3AHcALgBpAG4AdgBlAHMAdABvAHAAZQBkAGkAYQAuAGMAbwBtAC8AdABlAHIAbQBzAC8AaQAvAGkAbgB0AGUAcgBlAHMAdABjAG8AdgBlAHIAYQBnAGU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gAuADkANAA0ADQANAA0ACAAIAAgACAAIAAgACAAIAAgACAAIACSIT0AbwB6AC4ASQBuAHQAZQByAGUAcwB0AEMAbwB2AGUAcgBhAGcAZQBSAGEAdABpAG8AuwMoACAANgAyADUALgAwACwAIAA5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SQBuAGMAbwBtAGUAKQAsAFwAbgAgACAAIAAgACAAIAAgACAAIAAgACAAIAAgACAAIAAgACAAIAAgACAAIAAgACAAIAAgACAAIAAgAEkAUwBPAE0ASQBUAFQARQBEACgAIABJAG4AdABlAHIAZQBzAHQARQB4AHAAZQBuAHMAZQBzACkAXABuACAAIAAgACAAIAAgACAAIAAgACAAIAAgACAAIAAgACAAIAAgACAAIAAgACAAIAAgACkALABcAG4AIAAgACAAIAAvAC8AIAAgAFAAcgBvAGMAZQBkAHUAcgBlAFwAbgAgACAAIAAgACAAIAAgACAAUgBlAHMAdQBsAHQALAAgACAAIAAgACAAIAAgACAAIABPAHAAZQByAGEAdABpAG4AZwBJAG4AYwBvAG0AZQAvAEkAbgB0AGUAcgBlAHMAdABFAHgAcABlAG4Acw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FIAYQB0AGkAbwC7A1wAbgAgACAAIAAgAEQARQBTAEMAUgBJAFAAVABJAE8ATgA6ACoALwAvACoAKgBNAGUAYQBzAHUAcgBlAHMAIAB0AGgAZQAgAGwAbwBuAGcALQB0AGUAcgBtACAAcwBvAGwAdgBlAG4AYwB5ACAAbwBmACAAYQAgAGMAbwBtAHAAYQBuAHkAIABiAHkAIABjAG8AbQBwAGEAcgBpAG4AZwAgAGkAdABzACAAcwBoAGEAcgBlAGgAbwBsAGQAZQByAHMAGSAgAGUAcQB1AGkAdAB5ACAAdABvACAAaQB0AHMAIABcAG4AdABvAHQAYQBsACAAYQBzAHMAZQB0AHMAIAAoAFMAaABhAHIAZQBoAG8AbABkAGUAcgAnAHMAIABFAHEAdQBpAHQAeQAvACgAVABvAHQAYQBsACAAQQBzAHMAZQB0AHMAIAAtACAASQBuAHQAYQBuAGcAaQBiAGwAZQAgAEEAcwBzAGUAdABzACkAKQAuACAAKgAvAFwAbgBFAHEAdQBpAHQAeQBSAGEAdABpAG8AuwMgAD0AIABMAEEATQBCAEQAQQAoAFwAbgAvAC8AIAAgAFAAYQByAGEAbQBlAHQAZQByACAARABlAGMAbABhAFIAYQB0AGkAbwBuAHMAXABuACAAIAAgACAAIAAgACAAIABbAFMAaABhAHIAZQBoAG8AbABkAGUAcgBzAEUAcQB1AGkAdAB5AF0ALAAgACAAXABuACAAIAAgACAAIAAgACAAIABbAFQAbwB0AGEAbABBAHMAcwBlAHQAcwBdACwAXABuACAAIAAgACAAIAAgACAAIABbAEkAbgB0AGEAbgBnAGkAYgBsAGUAQQBzAHMAZQB0AHMAXQAsAFwAbgAvAC8AIAAgAEgAZQBsAHAAXABuACAAIAAgACAATABFAFQAKABIAGUAbABwACwAIAAgACAAVABSAEkATQAoAFQARQBYAFQAUwBQAEwASQBUACgAIABcAG4AIAAgACAAIAAgACAAIAAgACAAIAAgACAAIAAgACAAIAAgACAAIAAgACAAIAAgACAAXAAiAEYAVQBOAEMAVABJAE8ATgA6ACAAIAAgACAAIAAgACAAIAAgACAAkiFFAHEAdQBpAHQAeQBSAGEAdABpAG8AuwMoACAAUwBoAGEAcgBlAGgAbwBsAGQAZQByAHMARQBxAHUAaQB0AHkALAAgAFQAbwB0AGEAbABBAHMAcwBlAHQAcwAsACAASQBuAHQAYQBuAGcAaQBiAGwAZQBBAHMAcwBlAHQAcwApALYAXAAiACAAJgAgAFwAbgAgACAAIAAgACAAIAAgACAAIAAgACAAIAAgACAAIAAgACAAIAAgACAAIAAgACAAIABcACIARABFAFMAQwBSAEkAUABUAEkATwBOADoAIAAgACAAIAAgACAAIACSIU0AZQBhAHMAdQByAGUAcwAgAHQAaABlACAAbABvAG4AZwAtAHQAZQByAG0AIABzAG8AbAB2AGUAbgBjAHkAIABvAGYAIABhACAAYwBvAG0AcABhAG4AeQAgAGIAeQAgAGMAbwBtAHAAYQByAGkAbgBnACAAaQB0AHMAIABzAGgAYQByAGUAaABvAGwAZABlAHIAcwAZICAAtgBcACIAIAAmAFwAbgAgACAAIAAgACAAIAAgACAAIAAgACAAIAAgACAAIAAgACAAIAAgACAAIAAgACAAIAAgACAAIAAgACAAIAAgACAAIAAgACAAIAAgACAAIAAgACAAIAAgAFwAIgCSIWUAcQB1AGkAdAB5ACAAdABvACAAaQB0AHMAIAB0AG8AdABhAGwAIABhAHMAcwBlAHQAcwAgACgAUwBoAGEAcgBlAGgAbwBsAGQAZQByACcAcwAgAEUAcQB1AGkAdAB5AC8AKABUAG8AdABhAGwAIABBAHMAcwBlAHQAcwAgAC0AIABJAG4AdABhAG4AZwBpAGIAbABlACAAQQBzAHMAZQB0AHMAKQApALYAXAAiACAAJgBcAG4AIAAgACAAIAAgACAAIAAgACAAIAAgACAAIAAgACAAIAAgACAAIAAgACAAIAAgACAAXAAiAFcARQBCAFAAQQBHAEUAOgAgACAAIAAgACAAIAAgACAAIAAgACAAkiFoAHQAdABwAHMAOgAvAC8AdwB3AHcALgB3AGEAbABsAHMAdAByAGUAZQB0AHAAcgBlAHAALgBjAG8AbQAvAGsAbgBvAHcAbABlAGQAZwBlAC8AZQBxAHUAaQB0AHkALQByAGEAdABpAG8ALw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SQBuAHQAYQBuAGcAaQBiAGwAZQBBAHMAcwBlAHQAcwAgACAAIACSISgAUgBlAHEAdQBpAHIAZQBkACkAIABEAGUAZAB1AGMAdABlAGQAIABmAHIAbwBtACAAdABvAHQAYQBsACAAYQBzAHMAZQB0AHMAIABiAGUAZgBvAHIAZQAgAHQAaABlACAAYwBvAG0AcABhAHIAaQBzAG8Abg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UAIAAgACAAIAAgACAAIAAgACAAIAAgACAAIAAgACAAIACSIT0AbwB6AC4ARQBxAHUAaQB0AHkAUgBhAHQAaQBvALsDKAAgADIAMAAuADAALAAgADYAMAAuADAALAAgADE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FQAbwB0AGEAbABBAHMAcwBlAHQAcwApACwAXABuACAAIAAgACAAIAAgACAAIAAgACAAIAAgACAAIAAgACAAIAAgACAAIAAgACAAIAAgACAAIAAgACAASQBTAE8ATQBJAFQAVABFAEQAKAAgAEkAbgB0AGEAbgBnAGkAYgBsAGUAQQBzAHMAZQB0AHMAKQBcAG4AIAAgACAAIAAgACAAIAAgACAAIAAgACAAIAAgACAAIAAgACAAIAAgACAAIAAgACAAKQAsAFwAbgAgACAAIAAgAC8ALwAgACAAUAByAG8AYwBlAGQAdQByAGUAXABuACAAIAAgACAAIAAgACAAIABSAGUAcwB1AGwAdAAsACAAIAAgACAAIAAgACAAIAAgAFMAaABhAHIAZQBoAG8AbABkAGUAcgBzAEUAcQB1AGkAdAB5AC8AKABUAG8AdABhAGwAQQBzAHMAZQB0AHMAIAAtACAASQBuAHQAYQBuAGcAaQBiAGwAZQBBAHMAcwBlAHQAcwApACwAXABuACAAIAAgACAALwAvACAAIABSAGUAdAB1AHIAbgAgAFIAZQBzAHUAbAB0AFwAbgAgACAAIAAgACAAIAAgACAAQwBIAE8ATwBTAEUAKABIAGUAbABwAD8AIAArACAAMQAsACAAUgBlAHMAdQBsAHQALAAgAEgAZQBsAHAAKQAgACAAIAAgACAAIAAgACAAXABuACAAIAAgACAAKQBcAG4AKQA7AFwAbgBcAG4AXABuAFwAbgBcAG4AXABuACAAXABuAC8ALwAgACAARQBmAGYAaQBjAGkAZQBuAGMAeQAgAFIAYQB0AGkAbwBzAFwAbgBcAG4AXABuAFwAbgAvACoAIAAgAEYAVQBOAEMAVABJAE8ATgAgAE4AQQBNAEUAOgAgACAAQQBzAHMAZQB0AFQAdQByAG4AbwB2AGUAcgBSAGEAdABpAG8AuwNcAG4AIAAgACAAIABEAEUAUwBDAFIASQBQAFQASQBPAE4AOgAqAC8ALwAqACoATQBlAGEAcwB1AHIAZQBzACAAdABoAGUAIAB2AGEAbAB1AGUAIABvAGYAIABhACAAYwBvAG0AcABhAG4AeQAnAHMAIABzAGEAbABlAHMAIABvAHIAIAByAGUAdgBlAG4AdQBlAHMAIAByAGUAbABhAHQAaQB2AGUAIAB0AG8AIAB0AGgAZQAgAHYAYQBsAHUAZQAgAG8AZgAgAGkAdABzACAAYQBzAHMAZQB0AHMALgBcAG4AKABOAGUAdAAgAFMAYQBsAGUAcwAvAFQAbwB0AGEAbAAgAEEAcwBzAGUAdABzACkAKgAvAFwAbgBBAHMAcwBlAHQAVAB1AHIAbgBvAHYAZQByAFIAYQB0AGkAbwC7AyAAPQAgAEwAQQBNAEIARABBACgAXABuAC8ALwAgACAAUABhAHIAYQBtAGUAdABlAHIAIABEAGUAYwBsAGEAUgBhAHQAaQBvAG4AcwBcAG4AIAAgACAAIAAgACAAIAAgAFsATgBlAHQAUwBhAGwAZQBz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EAcwBzAGUAdABUAHUAcgBuAG8AdgBlAHIAUgBhAHQAaQBvALsDKAAgAE4AZQB0AFMAYQBsAGUAcwAsACAAVABvAHQAYQBsAEEAcwBzAGUAdABzACkAtgBcACIAIAAmACAAXABuACAAIAAgACAAIAAgACAAIAAgACAAIAAgACAAIAAgACAAIAAgACAAIAAgACAAIAAgAFwAIgBEAEUAUwBDAFIASQBQAFQASQBPAE4AOg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IAAgACAAIAAgACAAIAAgACAAIAAgACAAIAAgACAAIAAgACAAIAAgACAAIAAgACAAIAAgACAAIAAgACAAIABcACIAkiEoAE4AZQB0ACAAUwBhAGwAZQBzAC8AVABvAHQAYQBsACAAQQBzAHMAZQB0AHMAKQC2AFwAIgAgACYAIABcAG4AIAAgACAAIAAgACAAIAAgACAAIAAgACAAIAAgACAAIAAgACAAIAAgACAAIAAgACAAXAAiAFcARQBCAFAAQQBHAEUAOgAgACAAIAAgACAAIAAgAJIhaAB0AHQAcABzADoALwAvAHcAdwB3AC4AaQBuAHYAZQBzAHQAbwBwAGUAZABpAGEALgBjAG8AbQAvAHQAZQByAG0AcwAvAGEALwBhAHMAcwBlAHQAdAB1AHIAbgBvAHYAZQBy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FMAYQBsAGUAcwAgACAAIAAgACAAIAAgAJIhKABSAGUAcQB1AGkAcgBlAGQAKQAgAHIAZQB2AGUAbgB1AGUAIABvAHIAIABuAGUAdAAgAHMAYQBsAGUAcwAuACAAtgBcACIAIAAmACAAXABuACAAIAAgACAAIAAgACAAIAAgACAAIAAgACAAIAAgACAAIAAgACAAIAAgACAAIAAgAFwAIgBUAG8AdABhAGwAQQBzAHMAZQB0AHMAIAAgACAAIACSISgAUgBlAHEAdQBpAHIAZQBkACkAIABBAHYAZQByAGEAZwBlACAAbwBmACAAQQBzAHMAZQB0AHMAIABhAG4AZAAgAHAAZQByAGkAbwBkACAAcwB0AGEAcgB0ACAAYQBuAGQAIABlAG4AZAAu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LgAzADIAeAAgACAAIAAgACAAIAAgACAAIAAgACAAkiE9AG8AegAuAEEAcwBzAGUAdABUAHUAcgBuAG8AdgBlAHIAUgBhAHQAaQBvALsDKAAgADEANwAxADcANgAwACwAIAA1ADMAOAA3ADE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MAYQBsAGUAcw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UwBhAGwAZQBz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SQC7A1wAbgAgACAAIAAgAEQARQBTAEMAUgBJAFAAVABJAE8ATgA6ACoALwAvACoAKgBEAGEAeQBzACAAUwBhAGwAZQBzACAAaQBuACAASQBuAHYAZQBuAHQAbwByAHkAIABSAGEAdABpAG8AIAAoAGEAawBhACAAQQB2AGUAcgBhAGcAZQAgAGEAZwBlACAAbwBmACAAaQBuAHYAZQBuAHQAbwByAHkAIABcAG4AaQBuAGQAaQBjAGEAdABlAHMAIAB0AGgAZQAgAGEAdgBlAHIAYQBnAGUAIAB0AGkAbQBlACAAaQBuACAAZABhAHkAcwAgAHQAaABhAHQAIABhACAAYwBvAG0AcABhAG4AeQAgAHQAYQBrAGUAcwAgAHQAbwAgAHQAdQByAG4AIABpAHQAcwAgAGkAbgB2AGUAbgB0AG8AcgB5ACAAXABuACgAQQB2AGUAcgBhAGcAZQAgAEkAbgB2AGUAbgB0AG8AcgB5AC8AIABDAG8AcwB0ACAAbwBmACAARwBvAG8AZABzACAAUwBvAGwAZAApACAAKgAvAFwAbgBEAFMASQC7AyAAPQAgAEwAQQBNAEIARABBACgAXABuAC8ALwAgACAAUABhAHIAYQBtAGUAdABlAHIAIABEAGUAYwBsAGEAUgBhAHQAaQBvAG4AcwBcAG4AIAAgACAAIAAgACAAIAAgAFsAQQB2AGUAcgBhAGcAZQBJAG4AdgBlAG4AdABvAHIAeQBdACwAIAAgAFwAbgAgACAAIAAgACAAIAAgACAAWwBDAG8AcwB0AE8AZgBHAG8AbwBkAHMAUwBvAGwAZABdACwAIAAgACAAIABcAG4ALwAvACAAIABIAGUAbABwAFwAbgAgACAAIAAgAEwARQBUACgASABlAGwAcAAsACAAIAAgAFQAUgBJAE0AKABUAEUAWABUAFMAUABMAEkAVAAoACAAXABuACAAIAAgACAAIAAgACAAIAAgACAAIAAgACAAIAAgACAAIAAgACAAIAAgACAAIAAgAFwAIgBGAFUATgBDAFQASQBPAE4AOgAgACAAIAAgACAAIAAgACAAIAAgAJIhRABTAEkAuwMoACAAQQB2AGUAcgBhAGcAZQBJAG4AdgBlAG4AdABvAHIAeQAsACAAQwBvAHMAdABPAGYARwBvAG8AZABzAFMAbwBsAGQAKQC2AFwAIgAgACYAIABcAG4AIAAgACAAIAAgACAAIAAgACAAIAAgACAAIAAgACAAIAAgACAAIAAgACAAIAAgACAAXAAiAEQARQBTAEMAUgBJAFAAVABJAE8ATgA6ACAAIAAgACAAIAAgACAAkiFEAGEAeQBzACAAUwBhAGwAZQBzACAAaQBuACAASQBuAHYAZQBuAHQAbwByAHkAIABSAGEAdABpAG8AIAAoAGEAawBhACAAQQB2AGUAcgBhAGcAZQAgAGEAZwBlACAAbwBmACAAaQBuAHYAZQBuAHQAbwByAHkAKQC2AFwAIgAgACYAIABcAG4AIAAgACAAIAAgACAAIAAgACAAIAAgACAAIAAgACAAIAAgACAAIAAgACAAIAAgACAAIAAgACAAIAAgACAAIAAgACAAIAAgACAAIAAgACAAIAAgACAAIABcACIAkiFpAG4AZABpAGMAYQB0AGUAcwAgAHQAaABlACAAYQB2AGUAcgBhAGcAZQAgAHQAaQBtAGUAIABpAG4AIABkAGEAeQBzACAAdABoAGEAdAAgAGEAIABjAG8AbQBwAGEAbgB5ACAAdABhAGsAZQBzACAAdABvACAAdAB1AHIAbgAgAGkAdABzACAAaQBuAHYAZQBuAHQAbwByAHkAtgBcACIAIAAmACAAXABuACAAIAAgACAAIAAgACAAIAAgACAAIAAgACAAIAAgACAAIAAgACAAIAAgACAAIAAgACAAIAAgACAAIAAgACAAIAAgACAAIAAgACAAIAAgACAAIAAgACAAXAAiAJIhKABBAHYAZQByAGEAZwBlACAASQBuAHYAZQBuAHQAbwByAHkALwAgAEMAbwBzAHQAIABvAGYAIABHAG8AbwBkAHMAIABTAG8AbABkACkAtgBcACIAIAAmACAAXABuACAAIAAgACAAIAAgACAAIAAgACAAIAAgACAAIAAgACAAIAAgACAAIAAgACAAIAAgAFwAIgBXAEUAQgBQAEEARwBFADoAIAAgACAAIAAgACAAIAAgACAAIAAgAJIhaAB0AHQAcABzADoALwAvAHcAdwB3AC4AaQBuAHYAZQBzAHQAbwBwAGUAZABpAGEALgBjAG8AbQAvAHQAZQByAG0AcwAvAGQALwBkAGEAeQBzAC0AcwBhAGwAZQBzAC0AaQBuAHYAZQBuAHQAbwByAHkALQBkAHMAaQ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EAdgBlAHIAYQBnAGUASQBuAHYAZQBuAHQAbwByAHkAkiEgACAAKABSAGUAcQB1AGkAcgBlAGQAKQAgAEEAdgBlAHIAYQBnAGUAIABvAGYAIABwAGUAcgBpAG8AZAAgAG8AcABlAG4AIABhAG4AZAAgAGMAbABvAHMAZQAgAEkAbgB2AGUAbgB0AG8AcgB5ALYAXAAiACAAJgAgAFwAbgAgACAAIAAgACAAIAAgACAAIAAgACAAIAAgACAAIAAgACAAIAAgACAAIAAgACAAIABcACIAQwBvAHMAdABPAGYARwBvAG8AZABzAFMAbwBsAGQAkiEgACAAIAAoAFIAZQBxAHUAaQByAGUAZAApACAAQwBvAHMAdAAgAG8AZgAgAEcAbwBvAGQAcwAgAFMAbwBsAGQAIAAoAEMATwBHAF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AALgA4ADkANAA5ACAAZABhAHkAcwAgACAAIAAgACAAIAAgAJIhPQBvAHoALgBEAFMASQC7AygANQA0AC4AOQAsACAANAA5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YAZQByAGEAZwBlAEkAbgB2AGUAbgB0AG8AcgB5ACkALABcAG4AIAAgACAAIAAgACAAIAAgACAAIAAgACAAIAAgACAAIAAgACAAIAAgACAAIAAgACAAIAAgACAAIABJAFMATwBNAEkAVABUAEUARAAoACAAQwBvAHMAdABPAGYARwBvAG8AZABzAFMAbwBsAGQAKQBcAG4AIAAgACAAIAAgACAAIAAgACAAIAAgACAAIAAgACAAIAAgACAAIAAgACAAIAAgACAAKQAsAFwAbgAgACAAIAAgAC8ALwAgACAAQwBvAG4AcwB0AGEAbgB0AHMAXABuACAAIAAgACAAIAAgACAAIABEAHAAWQAsACAAIAAgACAAIAAgACAAIAAgACAAIAAgADMANgA1ACwAIAAvAC8ARABhAHkAcwAgAHAAZQByACAAWQBlAGEAcgBcAG4AIAAgACAAIAAvAC8AIAAgAFAAcgBvAGMAZQBkAHUAcgBlAFwAbgAgACAAIAAgACAAIAAgACAAUgBlAHMAdQBsAHQALAAgACAAIAAgACAAIAAgACAAIABBAHYAZQByAGEAZwBlAEkAbgB2AGUAbgB0AG8AcgB5AC8AQwBvAHMAdABPAGYARwBvAG8AZABzAFMAbwBsAGQAIAAqACAARABwAF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FIAYQB0AGkAbwC7A1wAbgAgACAAIAAgAEQARQBTAEMAUgBJAFAAVABJAE8ATgA6ACoALwAvACoAKgBTAGgAbwB3AHMAIABoAG8AdwAgAGUAZgBmAGkAYwBpAGUAbgB0ACAAbQBhAG4AYQBnAGUAbQBlAG4AdAAgAGkAcwAgAGEAdAAgAGsAZQBlAHAAaQBuAGcAIABjAG8AcwB0AHMAIABsAG8AdwAgAHcAaABpAGwAZQAgAGcAZQBuAGUAcgBhAHQAaQBuAGcAIAByAGUAdgBlAG4AdQBlACAAXABuACgATwBwAGUAcgBhAHQAaQBuAGcAIABFAHgAcABlAG4AcwBlAHMAIAArACAAQwBvAHMAdAAgAE8AZgAgAEcAbwBvAGQAcwAgAFMAbwBsAGQAKQAvAE4AZQB0ACAAUwBhAGwAZQBzACkAKgAvAFwAbgBPAHAAZQByAGEAdABpAG4AZwBSAGEAdABpAG8AuwMgAD0AIABMAEEATQBCAEQAQQAoAFwAbgAvAC8AIAAgAFAAYQByAGEAbQBlAHQAZQByACAARABlAGMAbABhAFIAYQB0AGkAbwBuAHMAXABuACAAIAAgACAAIAAgACAAIABbAE8AcABlAHIAYQB0AGkAbgBnAEUAeABwAGUAbgBzAGUAcwBdACwAIAAgAFwAbgAgACAAIAAgACAAIAAgACAAWwBDAG8AcwB0AE8AZgBHAG8AbwBkAHMAUwBvAGwAZABdACwAIAAg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SAGEAdABpAG8AuwMoACAATwBwAGUAcgBhAHQAaQBuAGcARQB4AHAAZQBuAHMAZQBzACwAIABDAG8AcwB0AE8AZgBHAG8AbwBkAHMAUwBvAGwAZAAsACAATgBlAHQAUwBhAGwAZQBzACkAtgBcACIAIAAmACAAXABuACAAIAAgACAAIAAgACAAIAAgACAAIAAgACAAIAAgACAAIAAgACAAIAAgACAAIAAgAFwAIgBEAEUAUwBDAFIASQBQAFQASQBPAE4AOgAgACAAIAAgACAAIAAgAJIhUwBoAG8AdwBzACAAaABvAHcAIABlAGYAZgBpAGMAaQBlAG4AdAAgAG0AYQBuAGEAZwBlAG0AZQBuAHQAIABpAHMAIABhAHQAIABrAGUAZQBwAGkAbgBnACAAYwBvAHMAdABzACAAbABvAHcAIAC2AFwAIgAgACYAXABuACAAIAAgACAAIAAgACAAIAAgACAAIAAgACAAIAAgACAAIAAgACAAIAAgACAAIAAgACAAIAAgACAAIAAgACAAIAAgACAAIAAgACAAIAAgACAAIAAgACAAXAAiAJIhdwBoAGkAbABlACAAZwBlAG4AZQByAGEAdABpAG4AZwAgAHIAZQB2AGUAbgB1AGUAtgBcACIAIAAmACAAXABuACAAIAAgACAAIAAgACAAIAAgACAAIAAgACAAIAAgACAAIAAgACAAIAAgACAAIAAgACAAIAAgACAAIAAgACAAIAAgACAAIAAgACAAIAAgACAAIAAgACAAXAAiAJIhKABPAHAAZQByAGEAdABpAG4AZwAgAEUAeABwAGUAbgBzAGUAcwAgACsAIABDAG8AcwB0ACAATwBmACAARwBvAG8AZABzACAAUwBvAGwAZAApAC8ATgBlAHQAIABTAGEAbABlAHMAKQC2AFwAIgAgACYAIABcAG4AIAAgACAAIAAgACAAIAAgACAAIAAgACAAIAAgACAAIAAgACAAIAAgACAAIAAgACAAXAAiAFcARQBCAFAAQQBHAEUAOgAgACAAIAAgACAAIAAgACAAIAAgACAAkiFoAHQAdABwAHMAOgAvAC8AdwB3AHcALgBpAG4AdgBlAHMAdABvAHAAZQBkAGkAYQAuAGMAbwBtAC8AdABlAHIAbQBzAC8AbwAvAG8AcABlAHIAYQB0AGkAbgBn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8AcABlAHIAYQB0AGkAbgBnAEUAeABwAGUAbgBzAGUAcwAgACAAkiEoAFIAZQBxAHUAaQByAGUAZAApACAATwBwAGUAcgBhAHQAaQBuAGcAIABFAHgAcABlAG4AcwBlAHMAIABlAHgAYwBsAHUAZABpAG4AZwAgAEMATwBHAFMALAAgAHcAaABpAGMAaAAgAGkAcwC2AFwAIgAgACYAXABuACAAIAAgACAAIAAgACAAIAAgACAAIAAgACAAIAAgACAAIAAgACAAIAAgACAAIAAgACAAIAAgACAAIAAgACAAIAAgACAAIAAgACAAIAAgACAAIAAgACAAXAAiAJIhcwB1AHAAcABsAGkAZQBkACAAcwBlAHAAYQByAGEAdABlAGwAeQAgAGEAbgBkACAAYQBkAGQAZQBkACAAYgB5ACAAdABoAGUAIABmAG8AcgBtAHUAbABhAC4AIABDAGEAbgAgAGkAbgBjAGwAdQBkAGUAOgC2AFwAIgAgACYAXABuACAAIAAgACAAIAAgACAAIAAgACAAIAAgACAAIAAgACAAIAAgACAAIAAgACAAIAAgACAAIAAgACAAIAAgACAAIAAgACAAIAAgACAAIAAgACAAIAAgACAAXAAiAJIhQQBjAGMAbwB1AG4AdABpAG4AZwAgAGEAbgBkACAAbABlAGcAYQBsACAAZgBlAGUAcwC2AFwAIgAgACYAXABuACAAIAAgACAAIAAgACAAIAAgACAAIAAgACAAIAAgACAAIAAgACAAIAAgACAAIAAgACAAIAAgACAAIAAgACAAIAAgACAAIAAgACAAIAAgACAAIAAgACAAXAAiAJIhQgBhAG4AawAgAGMAaABhAHIAZwBlAHMAtgBcACIAIAAmAFwAbgAgACAAIAAgACAAIAAgACAAIAAgACAAIAAgACAAIAAgACAAIAAgACAAIAAgACAAIAAgACAAIAAgACAAIAAgACAAIAAgACAAIAAgACAAIAAgACAAIAAgAFwAIgCSIVMAYQBsAGUAcwAgAGEAbgBkACAAbQBhAHIAawBlAHQAaQBuAGcAIABjAG8AcwB0AHMAtgBcACIAIAAmAFwAbgAgACAAIAAgACAAIAAgACAAIAAgACAAIAAgACAAIAAgACAAIAAgACAAIAAgACAAIAAgACAAIAAgACAAIAAgACAAIAAgACAAIAAgACAAIAAgACAAIAAgAFwAIgCSIU4AbwBuAC0AYwBhAHAAaQB0AGEAbABpAHMAZQBkACAAcgBlAHMAZQBhAHIAYwBoALYAXAAiACAAJgBcAG4AIAAgACAAIAAgACAAIAAgACAAIAAgACAAIAAgACAAIAAgACAAIAAgACAAIAAgACAAIAAgACAAIAAgACAAIAAgACAAIAAgACAAIAAgACAAIAAgACAAIABcACIAkiFkAGUAdgBlAGwAbwBwAG0AZQBuAHQAIAAoAFIAJgBEACkAIABlAHgAcABlAG4AcwBlAHMAtgBcACIAIAAm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TgBlAHQAUwBhAGwAZQBzACAAIAAgACAAIAAgACAAIAAgACAAIACSISgAUgBlAHEAdQBpAHIAZQBkACkAIABOAGUAdAAgAFMAYQBsAGUAcwAgAG8AcgAgAFIAZQB2AGUAbgB1AGUALg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gA5ACUAIAAgACAAIAAgACAAIAAgACAAIAAgACAAIAAgACAAIACSIT0AbwB6AC4ATwBwAGUAcgBhAHQAaQBuAGcAUgBhAHQAaQBvALsDKAAgADEANAAuADMANwAsACAANAA4AC4ANAA4ACwAIAA5ADAALgA3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HgAcABlAG4AcwBlAHMAKQAsAFwAbgAgACAAIAAgACAAIAAgACAAIAAgACAAIAAgACAAIAAgACAAIAAgACAAIAAgACAAIAAgACAAIAAgAEkAUwBPAE0ASQBUAFQARQBEACgAIABDAG8AcwB0AE8AZgBHAG8AbwBkAHMAUwBvAGwAZ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KABPAHAAZQByAGEAdABpAG4AZwBFAHgAcABlAG4AcwBlAHMAKwBDAG8AcwB0AE8AZgBHAG8AbwBkAHMAUwBvAGwAZAApAC8ATgBlAHQAUwBhAGwAZQBzACwAXABuACAAIAAgACAALwAvACAAIABSAGUAdAB1AHIAbgAgAFIAZQBzAHUAbAB0AFwAbgAgACAAIAAgACAAIAAgACAAQwBIAE8ATwBTAEUAKABIAGUAbABwAD8AIAArACAAMQAsACAAUgBlAHMAdQBsAHQALAAgAEgAZQBsAHAAKQAgACAAIAAgACAAIAAgACAAXABuACAAIAAgACAAKQBcAG4AKQA7AFwAbgBcAG4AXABuAFwAbgBcAG4AXABuAFwAbgAvAC8AIAAgAFAAcgBvAGYAaQB0AGEAYgBpAGwAaQB0AHkAIABNAGEAcgBnAGkAbgBzACAAYQBuAGQAIABSAGEAdABpAG8AcwBcAG4AXABuAFwAbgAgAFwAbgAvACoAIAAgAEYAVQBOAEMAVABJAE8ATgAgAE4AQQBNAEUAOgAgACAARwByAG8AcwBzAE0AYQByAGcAaQBuALsDXABuACAAIAAgACAARABFAFMAQwBSAEkAUABUAEkATwBOADoAKgAvAC8AKgAqAFMAaABvAHcAcwAgAGgAbwB3ACAAbQB1AGMAaAAgAHAAcgBvAGYAaQB0ACAAYQAgAGMAbwBtAHAAYQBuAHkAIABtAGEAawBlAHMAIABhAGYAdABlAHIAIABwAGEAeQBpAG4AZwAgAG8AZgBmACAAaQB0AHMAIABDAG8AcwB0ACAAbwBmACAARwBvAG8AZABzACAAUwBvAGwAZAAgACoALwBcAG4ARwByAG8AcwBzAE0AYQByAGcAaQBuALsDIAA9ACAATABBAE0AQgBEAEEAKABcAG4ALwAvACAAIABQAGEAcgBhAG0AZQB0AGUAcgAgAEQAZQBjAGwAYQByAGEAdABpAG8AbgBzAFwAbgAgACAAIAAgACAAIAAgACAAWwBHAHIAbwBzAHMAUAByAG8AZgBpAHQAXQAs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JIhRwByAG8AcwBzAE0AYQByAGcAaQBuALsDKAAgAEcAcgBvAHMAcwBQAHIAbwBmAGkAdAAsACAATgBlAHQAUwBhAGwAZQBzACkAtgBcACIAIAAmACAAXABuACAAIAAgACAAIAAgACAAIAAgACAAIAAgACAAIAAgACAAIAAgACAAIAAgACAAIAAgAFwAIgBEAEUAUwBDAFIASQBQAFQASQBPAE4AOgAgACAAIACSIVMAaABvAHcAcwAgAGgAbwB3ACAAbQB1AGMAaAAgAHAAcgBvAGYAaQB0ACAAYQAgAGMAbwBtAHAAYQBuAHkAIABtAGEAawBlAHMAIABhAGYAdABlAHIAIABwAGEAeQBpAG4AZwAgAG8AZgBmACAAaQB0AHMAIABDAG8AcwB0ACAAbwBmACAARwBvAG8AZABzACAAUwBvAGwAZAAgACgAQwBPAEcAUwApAC4AtgBcACIAIAAmACAAXABuACAAIAAgACAAIAAgACAAIAAgACAAIAAgACAAIAAgACAAIAAgACAAIAAgACAAIAAgACAAIAAgACAAIAAgACAAIAAgACAAIAAgACAAIAAgAFwAIgCSISgARwByAG8AcwBzACAAUAByAG8AZgBpAHQALwBOAGUAdAAgAFMAYQBsAGUAcwApALYAXAAiACAAJgAgAFwAbgAgACAAIAAgACAAIAAgACAAIAAgACAAIAAgACAAIAAgACAAIAAgACAAIAAgACAAIABcACIAVwBFAEIAUABBAEcARQA6ACAAIAAgACAAIAAgACAAkiFoAHQAdABwAHMAOgAvAC8AYwBvAHIAcABvAHIAYQB0AGUAZgBpAG4AYQBuAGMAZQBpAG4AcwB0AGkAdAB1AHQAZQAuAGMAbwBtAC8AcgBlAHMAbwB1AHIAYwBlAHMALwBhAGMAYwBvAHUAbgB0AGkAbgBnAC8AZwByAG8AcwBzAC0AbQBhAHIAZwBpAG4ALQByAGEAdABpAG8ALw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RwByAG8AcwBzAFAAcgBvAGYAaQB0ACAAIAAgACAAkiEoAFIAZQBxAHUAaQByAGUAZAApACAARwByAG8AcwBzACAAUAByAG8AZgBpAHQAtgBcACIAIAAmACAAXABuACAAIAAgACAAIAAgACAAIAAgACAAIAAgACAAIAAgACAAIAAgACAAIAAgACAAIAAgAFwAIgBOAGUAdABTAGEAbABlAHMAIAAgACAAIAAgACAAIACSISgAUgBlAHEAdQBpAHIAZQBkACkAIABOAGUAdAAgAFMAYQBsAGUAcwAgAG8Acg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2ADEALgA3ADQANAA4ACUAIAAgACAAIAAgACAAIACSIT0AbwB6AC4ARwByAG8AcwBzAE0AYQByAGcAaQBuALsDKAAgADYAMgAuADkAOAA0ACwAIAAxADAAMgAuADAAMAA3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wByAG8AcwBzAFAAcgBvAGYAaQB0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BHAHIAbwBzAHMAUAByAG8AZgBpAHQALwBOAGUAdABTAGEAbA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QgBJAFQARABBAE0AYQByAGcAaQBuALsDXABuACAAIAAgACAARABFAFMAQwBSAEkAUABUAEkATwBOADoAKgAvAC8AKgAqAE0AZQBhAHMAdQByAGUAcwAgAGEAIABjAG8AbQBwAGEAbgB5ACcAcwAgAG8AcABlAHIAYQB0AGkAbgBnACAAcAByAG8AZgBpAHQAIABhAHMAIABhACAAcABlAHIAYwBlAG4AdABhAGcAZQAgAG8AZgAgAGkAdABzACAAcgBlAHYAZQBuAHUAZQAgACgARQBCAEkAVABEAEEALwBUAG8AdABhAGwAIABSAGUAdgBlAG4AdQBlACkALgAqAC8AXABuAEUAQgBJAFQARABBAE0AYQByAGcAaQBuALsDIAA9ACAATABBAE0AQgBEAEEAKABcAG4ALwAvACAAIABQAGEAcgBhAG0AZQB0AGUAcgAgAEQAZQBjAGwAYQByAGEAdABpAG8AbgBzAFwAbgAgACAAIAAgACAAIAAgACAAWwBFAEIASQBUAEQAQQBdACwAIAAgAFwAbgAgACAAIAAgACAAIAAgACAAWwBUAG8AdABhAGwAUgBlAHYAZQBuAHUAZQBdACwAIAAgACAAIABcAG4ALwAvACAAIABIAGUAbABwAFwAbgAgACAAIAAgAEwARQBUACgASABlAGwAcAAsACAAIAAgAFQAUgBJAE0AKABUAEUAWABUAFMAUABMAEkAVAAoACAAXABuACAAIAAgACAAIAAgACAAIAAgACAAIAAgACAAIAAgACAAIAAgACAAIAAgACAAIAAgAFwAIgBGAFUATgBDAFQASQBPAE4AOgAgACAAIAAgACAAIACSIUUAQgBJAFQARABBAE0AYQByAGcAaQBuALsDKAAgAEUAQgBJAFQARABBACwAIABUAG8AdABhAGwAUgBlAHYAZQBuAHUAZQApALYAXAAiACAAJgAgAFwAbgAgACAAIAAgACAAIAAgACAAIAAgACAAIAAgACAAIAAgACAAIAAgACAAIAAgACAAIABcACIARABFAFMAQwBSAEkAUABUAEkATwBOADoAIAAgACAAkiFNAGUAYQBzAHUAcgBlAHMAIABhACAAYwBvAG0AcABhAG4AeQAnAHMAIABvAHAAZQByAGEAdABpAG4AZwAgAHAAcgBvAGYAaQB0ACAAYQBzACAAYQAgAHAAZQByAGMAZQBuAHQAYQBnAGUAIABvAGYAIABpAHQAcwAgAHIAZQB2AGUAbgB1AGUALgC2AFwAIgAgACYAIABcAG4AIAAgACAAIAAgACAAIAAgACAAIAAgACAAIAAgACAAIAAgACAAIAAgACAAIAAgACAAIAAgACAAIAAgACAAIAAgACAAIAAgACAAIAAgACAAXAAiAJIhKABFAEIASQBUAEQAQQAvAFQAbwB0AGEAbAAgAFIAZQB2AGUAbgB1AGUAKQC2AFwAIgAgACYAIABcAG4AIAAgACAAIAAgACAAIAAgACAAIAAgACAAIAAgACAAIAAgACAAIAAgACAAIAAgACAAXAAiAFcARQBCAFAAQQBHAEUAOgAgACAAIAAgACAAIAAgAJIhaAB0AHQAcABzADoALwAvAHcAdwB3AC4AaQBuAHYAZQBzAHQAbwBwAGUAZABpAGEALgBjAG8AbQAvAHQAZQByAG0AcwAvAGUALwBlAGIAaQB0AGQAYQ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UAQgBJAFQARABBACAAIAAgACAAIAAgACAAIAAgAJIhKABSAGUAcQB1AGkAcgBlAGQAKQAgAEUAYQByAG4AaQBuAGcAcwAgAEIAZQBmAG8AcgBlACAASQBuAHQAZQByAGUAcwB0ACwAIAB0AGEAeAAsACAAZABlAHAAcgBlAGMAaQBhAHQAaQBvAG4ALAAgAGEAbgBkACAAYQBtAG8AcgB0AGkAcwBhAHQAaQBvAG4AtgBcACIAIAAmACAAXABuACAAIAAgACAAIAAgACAAIAAgACAAIAAgACAAIAAgACAAIAAgACAAIAAgACAAIAAgAFwAIgBUAG8AdABhAGwAUgBlAHYAZQBuAHUAZQAgACAAIACSISgAUgBlAHEAdQBpAHIAZQBkACkAIABUAG8AdABhAGw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yACUAIAAgACAAIAAgACAAIAAgACAAIAAgACAAkiE9AG8AegAuAEUAQgBJAFQARABBAE0AYQByAGcAaQBuALsDKAAgADEANQAuADAALAAgADEAMgA1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UAQgBJAFQARABBACkALABcAG4AIAAgACAAIAAgACAAIAAgACAAIAAgACAAIAAgACAAIAAgACAAIAAgACAAIAAgACAAIAAgACAAIABJAFMATwBNAEkAVABUAEUARAAoACAAVABvAHQAYQBsAFIAZQB2AGUAbgB1AGUAKQBcAG4AIAAgACAAIAAgACAAIAAgACAAIAAgACAAIAAgACAAIAAgACAAIAAgACAAIAAgACAAKQAsAFwAbgAgACAAIAAgAC8ALwAgACAAUAByAG8AYwBlAGQAdQByAGUAXABuACAAIAAgACAAIAAgACAAIABSAGUAcwB1AGwAdAAsACAAIAAgACAAIAAgACAAIAAgAEUAQgBJAFQARABBAC8AVABvAHQAYQBs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E0AYQByAGcAaQBuALsDXABuACAAIAAgACAARABFAFMAQwBSAEkAUABUAEkATwBOADoAKgAvAC8AKgAqACAATQBlAGEAcwB1AHIAZQBzACAAaABvAHcAIABtAHUAYwBoACAAcAByAG8AZgBpAHQAIABhACAAYwBvAG0AcABhAG4AeQAgAG0AYQBrAGUAcwAgAG8AbgAgAGEAIABkAG8AbABsAGEAcgAgAG8AZgAgAHMAYQBsAGUAcwAgAGEAZgB0AGUAcgAgAHAAYQB5AGkAbgBnACAAZgBvAHIAIAB2AGEAcgBpAGEAYgBsAGUAIABjAG8AcwB0AHMAIABcAG4AbwBmACAAcAByAG8AZAB1AGMAdABpAG8AbgAsACAAcwB1AGMAaAAgAGEAcwAgAHcAYQBnAGUAcwAgAGEAbgBkACAAcgBhAHcAIABtAGEAdABlAHIAaQBhAGwAcwAsACAAYgB1AHQAIABiAGUAZgBvAHIAZQAgAHAAYQB5AGkAbgBnACAAaQBuAHQAZQByAGUAcwB0ACAAbwByACAAdABhAHgAIAAoAE8AcABlAHIAYQB0AGkAbgBnACAARQBhAHIAbgBpAG4AZwBzAC8AUgBlAHYAZQBuAHUAZQApAC4AKgAvAFwAbgBPAHAAZQByAGEAdABpAG4AZwBNAGEAcgBnAGkAbgC7AyAAPQAgAEwAQQBNAEIARABBACgAXABuAC8ALwAgACAAUABhAHIAYQBtAGUAdABlAHIAIABEAGUAYwBsAGEAcgBhAHQAaQBvAG4AcwBcAG4AIAAgACAAIAAgACAAIAAgAFsATwBwAGUAcgBhAHQAaQBuAGc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0AYQByAGcAaQBuALsDKAAgAE8AcABlAHIAYQB0AGkAbgBnAEUAYQByAG4AaQBuAGcAcwAsACAAUgBlAHYAZQBuAHUAZQApALYAXAAiACAAJgAgAFwAbgAgACAAIAAgACAAIAAgACAAIAAgACAAIAAgACAAIAAgACAAIAAgACAAIAAgACAAIABcACIARABFAFMAQwBSAEkAUABUAEkATwBOADoAIAAgACAAIAAgACAAIACSIU0AZQBhAHMAdQByAGUAcwAgAGgAbwB3ACAAbQB1AGMAaAAgAHAAcgBvAGYAaQB0ACAAYQAgAGMAbwBtAHAAYQBuAHkAIABtAGEAawBlAHMAIABvAG4AIABhACAAZABvAGwAbABhAHIAIABvAGYAIABzAGEAbABlAHMAIABhAGYAdABlAHIAIABwAGEAeQBpAG4AZwC2AFwAIgAgACYAIABcAG4AIAAgACAAIAAgACAAIAAgACAAIAAgACAAIAAgACAAIAAgACAAIAAgACAAIAAgACAAIAAgACAAIAAgACAAIAAgACAAIAAgACAAIAAgACAAIAAgACAAIABcACIAkiFmAG8AcgAgAHYAYQByAGkAYQBiAGwAZQAgAGMAbwBzAHQAcwAgAG8AZgAgAHAAcgBvAGQAdQBjAHQAaQBvAG4ALAAgAHMAdQBjAGgAIABhAHMAIAB3AGEAZwBlAHMAIABhAG4AZAAgAHIAYQB3ACAAbQBhAHQAZQByAGkAYQBsAHMALAAgAGIAdQB0ACAAtgBcACIAIAAmACAAXABuACAAIAAgACAAIAAgACAAIAAgACAAIAAgACAAIAAgACAAIAAgACAAIAAgACAAIAAgACAAIAAgACAAIAAgACAAIAAgACAAIAAgACAAIAAgACAAIAAgACAAXAAiAJIhYgBlAGYAbwByAGUAIABwAGEAeQBpAG4AZwAgAGkAbgB0AGUAcgBlAHMAdAAgAG8AcgAgAHQAYQB4ACAAKABPAHAAZQByAGEAdABpAG4AZwAgAEUAYQByAG4AaQBuAGcAcwAvAFIAZQB2AGUAbgB1AGUAKQAuALYAXAAiACAAJgAgAFwAbgAgACAAIAAgACAAIAAgACAAIAAgACAAIAAgACAAIAAgACAAIAAgACAAIAAgACAAIABcACIAVwBFAEIAUABBAEcARQA6ACAAIAAgACAAIAAgACAAIAAgACAAIACSIWgAdAB0AHAAcwA6AC8ALwB3AHcAdwAuAGkAbgB2AGUAcwB0AG8AcABlAGQAaQBhAC4AYwBvAG0ALwB0AGUAcgBtAHMALwBvAC8AbwBwAGUAcgBhAHQAaQBuAGcAbQBhAHIAZwBpAG4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PAHAAZQByAGEAdABpAG4AZwBFAGEAcgBuAGkAbgBnAHMAIAAgAJIhKABSAGUAcQB1AGkAcgBlAGQAKQAgAEUAYQByAG4AaQBuAGcAcwAgAEIAZQBmAG8AcgBlACAASQBuAHQAZQByAGUAcwB0ACAAYQBuAGQAIAB0AGEAeAAgACgARQBCAEkAVAApACwAIAB3AGgAaQBjAGgAIABpAHMAIAByAGUAdgBlAG4AdQBlALYAXAAiACAAJgBcAG4AIAAgACAAIAAgACAAIAAgACAAIAAgACAAIAAgACAAIAAgACAAIAAgACAAIAAgACAAIAAgACAAIAAgACAAIAAgACAAIAAgACAAIAAgACAAIAAgACAAIABcACIAkiFsAGUAcwBzACAAQwBPAEcAUwAgAGEAbgBkACAAbABlAHMAcwAgAHQAaABlACAAbwB0AGgAZQByACAAbwBwAGUAcgBhAHQAaQBuAGcAIABlAHgAcABlAG4AcwBlAHMAtgBcACIAIAAmAFwAbgAgACAAIAAgACAAIAAgACAAIAAgACAAIAAgACAAIAAgACAAIAAgACAAIAAgACAAIABcACIAUgBlAHYAZQBuAHUAZQAgACAAIAAgACAAIAAgACAAIAAgACAAIACSISgAUgBlAHEAdQBpAHIAZQBkACkAIABSAGUAdgBlAG4AdQBl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AAJQAgACAAIAAgACAAIAAgACAAIAAgACAAIAAgACAAIAAgAJIhPQBvAHoALgBPAHAAZQByAGEAdABpAG4AZwBNAGEAcgBnAGkAbgC7AygAIAAuADgALAAgADI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wBwAGUAcgBhAHQAaQBuAGc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UAdABhAHgATQBhAHIAZwBpAG4AuwNcAG4AIAAgACAAIABEAEUAUwBDAFIASQBQAFQASQBPAE4AOgAqAC8ALwAqACoATQBlAGEAcwB1AHIAZQBzACAAdABoAGUAIABvAHAAZQByAGEAdABpAG4AZwAgAGUAZgBmAGkAYwBpAGUAbgBjAHkAIABvAGYAIABhACAAYwBvAG0AcABhAG4AeQAgACgAUAByAGUAdABhAHgAIABFAGEAcgBuAGkAbgBnAHMALwBSAGUAdgBlAG4AdQBlACkALgAqAC8AXABuAFAAcgBlAHQAYQB4AE0AYQByAGcAaQBuALsDIAA9ACAATABBAE0AQgBEAEEAKABcAG4ALwAvACAAIABQAGEAcgBhAG0AZQB0AGUAcgAgAEQAZQBjAGwAYQByAGEAdABpAG8AbgBzAFwAbgAgACAAIAAgACAAIAAgACAAWwBQAHIAZQB0AGEAeA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VAAcgBlAHQAYQB4AE0AYQByAGcAaQBuALsDKAAgAFAAcgBlAHQAYQB4AEUAYQByAG4AaQBuAGcAcwAsACAAUgBlAHYAZQBuAHUAZQApALYAXAAiACAAJgAgAFwAbgAgACAAIAAgACAAIAAgACAAIAAgACAAIAAgACAAIAAgACAAIAAgACAAIAAgACAAIABcACIARABFAFMAQwBSAEkAUABUAEkATwBOADoAIAAgACAAkiFNAGUAYQBzAHUAcgBlAHMAIAB0AGgAZQAgAG8AcABlAHIAYQB0AGkAbgBnACAAZQBmAGYAaQBjAGkAZQBuAGMAeQAgAG8AZgAgAGEAIABjAG8AbQBwAGEAbgB5ACAAKABQAHIAZQB0AGEAeAAgAEUAYQByAG4AaQBuAGcAcwAvAFIAZQB2AGUAbgB1AGUAKQAuALYAXAAiACAAJgAgAFwAbgAgACAAIAAgACAAIAAgACAAIAAgACAAIAAgACAAIAAgACAAIAAgACAAIAAgACAAIABcACIAVwBFAEIAUABBAEcARQA6ACAAIAAgACAAIAAgACAAkiFoAHQAdABwAHMAOgAvAC8AdwB3AHcALgBpAG4AdgBlAHMAdABvAHAAZQBkAGkAYQAuAGMAbwBtAC8AdABlAHIAbQBzAC8AcAAvAHAAcgBlAHQAYQB4AC0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AByAGUAdABhAHgARQBhAHIAbgBpAG4AZwBzACAAkiEoAFIAZQBxAHUAaQByAGUAZAApACAARQBhAHIAbgBpAG4AZwBzACAAYgBlAGYAbwByAGUAIAB0AGEAeAAgACgARQBCAFQAKQ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4ACUAIAAgACAAIAAgACAAIAAgACAAIAAgACAAIACSIT0AbwB6AC4AUAByAGUAdABhAHgATQBhAHIAZwBpAG4AuwMoACAANAAwAC4AMAAsACAAN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AByAGUAdABhAHg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UAByAGUAdABhAHg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gBlAHQAUAByAG8AZgBpAHQATQBhAHIAZwBpAG4AuwNcAG4AIAAgACAAIABEAEUAUwBDAFIASQBQAFQASQBPAE4AOgAqAC8ALwAqACoATQBlAGEAcwB1AHIAZQBzACAAaABvAHcAIABtAHUAYwBoACAAbgBlAHQAIABpAG4AYwBvAG0AZQAgAG8AcgAgAHAAcgBvAGYAaQB0ACAAYQAgAGMAbwBtAHAAYQBuAHkAIABnAGUAbgBlAHIAYQB0AGUAcwAgAGEAcwAgAGEAIABwAGUAcgBjAGUAbgB0AGEAZwBlACAAbwBmACAAaQB0AHMAIAByAGUAdgBlAG4AdQBlAC4AIABcAG4AKABOAGUAdAAgAEkAbgBjAG8AbQBlAC8AUgBlAHYAZQBuAHUAZQApAC4AKgAvAFwAbgBOAGUAdABQAHIAbwBmAGkAdABNAGEAcgBnAGkAbgC7AyAAPQAgAEwAQQBNAEIARABBACgAXABuAC8ALwAgACAAUABhAHIAYQBtAGUAdABlAHIAIABEAGUAYwBsAGEAcgBhAHQAaQBvAG4AcwBcAG4AIAAgACAAIAAgACAAIAAgAFsATgBlAHQASQBuAGMAbwBtAGU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4AZQB0AFAAcgBvAGYAaQB0AE0AYQByAGcAaQBuALsDKAAgAE4AZQB0AEkAbgBjAG8AbQBlACwAIABSAGUAdgBlAG4AdQBlACkAtgBcACIAIAAmACAAXABuACAAIAAgACAAIAAgACAAIAAgACAAIAAgACAAIAAgACAAIAAgACAAIAAgACAAIAAgAFwAIgBEAEUAUwBDAFIASQBQAFQASQBPAE4AOgAgACAAIACSIU0AZQBhAHMAdQByAGUAcwAgAGgAbwB3ACAAbQB1AGMAaAAgAG4AZQB0ACAAaQBuAGMAbwBtAGUAIABvAHIAIABwAHIAbwBmAGkAdAAgAGEAIABjAG8AbQBwAGEAbgB5ACAAZwBlAG4AZQByAGEAdABlAHMAIABhAHMAIABhACAAtgBcACIAIAAmACAAXABuACAAIAAgACAAIAAgACAAIAAgACAAIAAgACAAIAAgACAAIAAgACAAIAAgACAAIAAgACAAIAAgACAAIAAgACAAIAAgACAAIAAgACAAIAAgAFwAIgCSIXAAZQByAGMAZQBuAHQAYQBnAGUAIABvAGYAIABpAHQAcwAgAHIAZQB2AGUAbgB1AGUALgAgACgATgBlAHQAIABJAG4AYwBvAG0AZQAvAFIAZQB2AGUAbgB1AGUAKQC2AFwAIgAgACYAIABcAG4AIAAgACAAIAAgACAAIAAgACAAIAAgACAAIAAgACAAIAAgACAAIAAgACAAIAAgACAAXAAiAFcARQBCAFAAQQBHAEUAOgAgACAAIAAgACAAIAAgAJIhaAB0AHQAcABzADoALwAvAHcAdwB3AC4AaQBuAHYAZQBzAHQAbwBwAGUAZABpAGEALgBjAG8AbQAvAHQAZQByAG0AcwAvAG4ALwBuAGUAdABf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IABpAG4AYwBsAHUAZABlAHMAOgC2AFwAIgAgACYAIABcAG4AIAAgACAAIAAgACAAIAAgACAAIAAgACAAIAAgACAAIAAgACAAIAAgACAAIAAgACAAIAAgACAAIAAgACAAIAAgACAAIAAgACAAIAAgACAAXAAiAJIhUgBlAHYAZQBuAHUAZQC2AFwAIgAgACYAIABcAG4AIAAgACAAIAAgACAAIAAgACAAIAAgACAAIAAgACAAIAAgACAAIAAgACAAIAAgACAAIAAgACAAIAAgACAAIAAgACAAIAAgACAAIAAgACAAXAAiAJIhTABlAHMAcwAgAEMATwBHAFMAtgBcACIAIAAmACAAXABuACAAIAAgACAAIAAgACAAIAAgACAAIAAgACAAIAAgACAAIAAgACAAIAAgACAAIAAgACAAIAAgACAAIAAgACAAIAAgACAAIAAgACAAIAAgAFwAIgCSIUwAZQBzAHMAIABPAHAAZQByAGEAdABpAG4AZwAgAGEAbgBkACAAbwB0AGgAZQByACAAZQB4AHAAZQBuAHMAZQBzALYAXAAiACAAJgAgAFwAbgAgACAAIAAgACAAIAAgACAAIAAgACAAIAAgACAAIAAgACAAIAAgACAAIAAgACAAIAAgACAAIAAgACAAIAAgACAAIAAgACAAIAAgACAAIABcACIAkiFMAGUAcwBzACAASQBuAHQAZQByAGUAcwB0ALYAXAAiACAAJgAgAFwAbgAgACAAIAAgACAAIAAgACAAIAAgACAAIAAgACAAIAAgACAAIAAgACAAIAAgACAAIAAgACAAIAAgACAAIAAgACAAIAAgACAAIAAgACAAIABcACIAkiFMAGUAcwBzACAAVABhAHgAZQBz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UANgAlACAAIAAgACAAIAAgACAAIAAgACAAIAAgAJIhPQBvAHoALgBOAGUAdABQAHIAbwBmAGkAdABNAGEAcgBnAGkAbgC7AygAIAA1ADY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4AZQB0AEkAbgBjAG8AbQBl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EMAYQBzAGgARgBsAG8AdwBNAGEAcgBnAGkAbgC7A1wAbgAgACAAIAAgAEQARQBTAEMAUgBJAFAAVABJAE8ATgA6ACoALwAvACoAKgBDAGEAcwBoACAARgBsAG8AdwAgAE0AYQByAGcAaQBuACAAaQBzACAAYQAgAHQAcgB1AHMAdABlAGQAIABtAGUAdAByAGkAYwAgAG8AZgAgAGEAIABjAG8AbQBwAGEAbgB5ABkgcwAgAHAAcgBvAGYAaQB0AGEAYgBpAGwAaQB0AHkAIABhAG4AZAAgAGUAZgBmAGkAYwBpAGUAbgBjAHkAIABcAG4AYQBuAGQAIABpAHQAcwAgAGUAYQByAG4AaQBuAGcAcwAgAHEAdQBhAGwAaQB0AHkAIAAoAEMAYQBzAGgAIABGAGwAbwB3ACAARgByAG8AbQAgAE8AcABlAHIAYQB0AGkAbgBnACAAQQBjAHQAaQB2AGkAdABpAGUAcwAvAFIAZQB2AGUAbgB1AGUAKQAuACoALwBcAG4AQwBhAHMAaABGAGwAbwB3AE0AYQByAGcAaQBuALsDIAA9ACAATABBAE0AQgBEAEEAKABcAG4ALwAvACAAIABQAGEAcgBhAG0AZQB0AGUAcgAgAEQAZQBjAGwAYQByAGEAdABpAG8AbgBzAFwAbgAgACAAIAAgACAAIAAgACAAWwBDAGEAcwBoAEYAbABvAHcARgByAG8AbQBPAHAAZQByAGEAdABpAG4AZwBBAGMAdABpAHYAaQB0AGkAZQ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DAGEAcwBoAEYAbABvAHcATQBhAHIAZwBpAG4AuwMoACAAQwBhAHMAaABGAGwAbwB3AEYAcgBvAG0ATwBwAGUAcgBhAHQAaQBuAGcAQQBjAHQAaQB2AGkAdABpAGUAcwAsACAAUgBlAHYAZQBuAHUAZQApALYAXAAiACAAJgAgAFwAbgAgACAAIAAgACAAIAAgACAAIAAgACAAIAAgACAAIAAgACAAIAAgACAAIAAgACAAIABcACIARABFAFMAQwBSAEkAUABUAEkATwBOADoAIAAgACAAkiFDAGEAcwBoACAARgBsAG8AdwAgAE0AYQByAGcAaQBuACAAaQBzACAAYQAgAHQAcgB1AHMAdABlAGQAIABtAGUAdAByAGkAYwAgAG8AZgAgAGEAIABjAG8AbQBwAGEAbgB5ABkgcwAgAHAAcgBvAGYAaQB0AGEAYgBpAGwAaQB0AHkAIAC2AFwAIgAgACYAIABcAG4AIAAgACAAIAAgACAAIAAgACAAIAAgACAAIAAgACAAIAAgACAAIAAgACAAIAAgACAAIAAgACAAIAAgACAAIAAgACAAIAAgACAAIAAgACAAXAAiAJIhYQBuAGQAIABlAGYAZgBpAGMAaQBlAG4AYwB5ACAAYQBuAGQAIABpAHQAcwAgAGUAYQByAG4AaQBuAGcAcwAgAHEAdQBhAGwAaQB0AHkAIAC2AFwAIgAgACYAIABcAG4AIAAgACAAIAAgACAAIAAgACAAIAAgACAAIAAgACAAIAAgACAAIAAgACAAIAAgACAAIAAgACAAIAAgACAAIAAgACAAIAAgACAAIAAgACAAXAAiAJIhKABDAGEAcwBoACAARgBsAG8AdwAgAEYAcgBvAG0AIABPAHAAZQByAGEAdABpAG4AZwAgAEEAYwB0AGkAdgBpAHQAaQBlAHMALwBSAGUAdgBlAG4AdQBlACkALgC2AFwAIgAgACYAIABcAG4AIAAgACAAIAAgACAAIAAgACAAIAAgACAAIAAgACAAIAAgACAAIAAgACAAIAAgACAAXAAiAFcARQBCAFAAQQBHAEUAOgAgACAAIAAgACAAIAAgAJIhaAB0AHQAcABzADoALwAvAHcAdwB3AC4AaQBuAHYAZQBzAHQAbwBwAGUAZABpAGEALgBjAG8AbQAvAHQAZQByAG0AcwAvAG8ALwBvAHAAZQByAGEAdABpAG4AZwAtAGMAYQBzAGgALQBmAGwAbwB3AC0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wBhAHMAaABGAGwAbwB3AEYAcgBvAG0ATwBwAGUAcgBhAHQAaQBuAGcAQQBjAHQAaQB2AGkAdABpAGUAcwCSISgAUgBlAHEAdQBpAHIAZQBkACkAIABDAGEAcwBoACAARgBsAG8AdwAgAEYAcgBvAG0AIABPAHAAZQByAGEAdABpAG4AZwAgAEEAYwB0AGkAdgBpAHQAaQBlAHMAIABpAG4AYwBsAHUAZABlAHMAOgC2AFwAIgAgACYAIABcAG4AIAAgACAAIAAgACAAIAAgACAAIAAgACAAIAAgACAAIAAgACAAIAAgACAAIAAgACAAIAAgACAAIAAgACAAIAAgACAAIAAgACAAIAAgACAAXAAiAJIhTgBlAHQAIABJAG4AYwBvAG0AZQC2AFwAIgAgACYAIABcAG4AIAAgACAAIAAgACAAIAAgACAAIAAgACAAIAAgACAAIAAgACAAIAAgACAAIAAgACAAIAAgACAAIAAgACAAIAAgACAAIAAgACAAIAAgACAAXAAiAJIhTgBvAG4ALQBjAGEAcwBoACAARQB4AHAAZQBuAHMAZQBzACAAKABEAGUAcAByAGUAYwBpAGEAdABpAG8AbgAgAGEAbgBkACAAQQBtAG8AcgB0AGkAcwBhAHQAaQBvAG4AKQC2AFwAIgAgACYAIABcAG4AIAAgACAAIAAgACAAIAAgACAAIAAgACAAIAAgACAAIAAgACAAIAAgACAAIAAgACAAIAAgACAAIAAgACAAIAAgACAAIAAgACAAIAAgACAAXAAiAJIhQwBoAGEAbgBnAGUAIABpAG4AIABXAG8AcgBrAGkAbgBnACAAQwBhAHAAaQB0AGEAbA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1ADAALgA4ACUAIAAgACAAIAAgACAAIAAgACAAIACSIT0AbwB6AC4AQwBhAHMAaABGAGwAbwB3AE0AYQByAGcAaQBuALsDKAAgADIALgA2ADkANQAsACAANQAuADM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EYAbABvAHcARgByAG8AbQBPAHAAZQByAGEAdABpAG4AZwBBAGMAdABpAHYAaQB0AGkAZQ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QwBhAHMAaABGAGwAbwB3AEYAcgBvAG0ATwBwAGUAcgBhAHQAaQBuAGcAQQBjAHQAaQB2AGkAdABpAGU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BALsDXABuACAAIAAgACAARABFAFMAQwBSAEkAUABUAEkATwBOADoAKgAvAC8AKgAqAFIAZQB0AHUAcgBuACAAbwBuACAAYQBzAHMAZQB0AHMAIAAoAFIATwBBACkAIAByAGEAdABpAG8AIABpAG4AZABpAGMAYQB0AGUAcwAgAGgAbwB3ACAAcAByAG8AZgBpAHQAYQBiAGwAZQAgAGEAIABjAG8AbQBwAGEAbgB5ACAAaQBzACAAXABuAGkAbgAgAHIAZQBsAGEAdABpAG8AbgAgAHQAbwAgAGkAdABzACAAdABvAHQAYQBsACAAYQBzAHMAZQB0AHMAIAAoACAATgBlAHQAIABJAG4AYwBvAG0AZQAgAC8AIABUAG8AdABhAGwAIABBAHMAcwBlAHQAcwApACAAKgAvAFwAbgBSAE8AQQC7AyAAPQAgAEwAQQBNAEIARABBACgAXABuAC8ALwAgACAAUABhAHIAYQBtAGUAdABlAHIAIABEAGUAYwBsAGEAcgBhAHQAaQBvAG4AcwBcAG4AIAAgACAAIAAgACAAIAAgAFsATgBlAHQASQBuAGMAbwBtAGU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UgBPAEEAuwMoACAATgBlAHQASQBuAGMAbwBtAGUALAAgAFQAbwB0AGEAbABBAHMAcwBlAHQAcwApALYAXAAiACAAJgAgAFwAbgAgACAAIAAgACAAIAAgACAAIAAgACAAIAAgACAAIAAgACAAIAAgACAAIAAgACAAIABcACIARABFAFMAQwBSAEkAUABUAEkATwBOADoAIAAgACAAkiFSAGUAdAB1AHIAbgAgAG8AbgAgAGEAcwBzAGUAdABzACAAcgBhAHQAaQBvACAAaQBuAGQAaQBjAGEAdABlAHMAIABoAG8AdwAgAHAAcgBvAGYAaQB0AGEAYgBsAGUAIABhACAAYwBvAG0AcABhAG4AeQAgAGkAcwAgALYAXAAiACAAJgAgAFwAbgAgACAAIAAgACAAIAAgACAAIAAgACAAIAAgACAAIAAgACAAIAAgACAAIAAgACAAIAAgACAAIAAgACAAIAAgACAAIAAgACAAIAAgACAAIABcACIAkiFpAG4AIAByAGUAbABhAHQAaQBvAG4AIAB0AG8AIABpAHQAcwAgAHQAbwB0AGEAbAAgAGEAcwBzAGUAdABzACAAKAAgAE4AZQB0ACAASQBuAGMAbwBtAGUAIAAvACAAVABvAHQAYQBsACAAQQBzAHMAZQB0AHMAKQC2AFwAIgAgACYAIABcAG4AIAAgACAAIAAgACAAIAAgACAAIAAgACAAIAAgACAAIAAgACAAIAAgACAAIAAgACAAXAAiAFcARQBCAFAAQQBHAEUAOgAgACAAIAAgACAAIAAgAJIhaAB0AHQAcABzADoALwAvAHcAdwB3AC4AaQBuAHYAZQBzAHQAbwBwAGUAZABpAGEALgBjAG8AbQAvAHQAZQByAG0AcwAvAHIALwByAGUAdAB1AHIAbgBvAG4AYQBzAHMAZQB0AHM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C2AFwAIgAgACYAIABcAG4AIAAgACAAIAAgACAAIAAgACAAIAAgACAAIAAgACAAIAAgACAAIAAgACAAIAAgACAAXAAiAFQAbwB0AGEAbABBAHMAcwBlAHQAcwAgACAAIAAgAJIhKABSAGUAcQB1AGkAcgBlAGQAKQAgAFQAbwB0AGEAbAAgAEEAcwBzAGUAdABz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OAAlACAAIAAgACAAIAAgACAAIAAgACAAIAAgACAAkiE9AG8AegAuAFIATwBBALsDKAAxADIAMAAwACwAIAAxADU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SQBuAGMAbwBtAGU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FALsDXABuACAAIAAgACAARABFAFMAQwBSAEkAUABUAEkATwBOADoAKgAvAC8AKgAqAFIAZQB0AHUAcgBuACAAbwBuACAAZQBxAHUAaQB0AHkAIAAoAFIATwBFACkAIAByAGEAdABpAG8AIABpAHMAIABhACAAbQBlAGEAcwB1AHIAZQAgAG8AZgAgAGYAaQBuAGEAbgBjAGkAYQBsACAAcABlAHIAZgBvAHIAbQBhAG4AYwBlACAAKABOAGUAdAAgAEkAbgBjAG8AbQBlAC8AQQB2AGUAcgBhAGcAZQAgAFMAaABhAHIAZQBoAG8AbABkAGUAcgBzACcAIABFAHEAdQBpAHQAeQApACoALwBcAG4AUgBPAEUAuwMgAD0AIABMAEEATQBCAEQAQQAoAFwAbgAvAC8AIAAgAFAAYQByAGEAbQBlAHQAZQByACAARABlAGMAbABhAHIAYQB0AGkAbwBuAHMAXABuACAAIAAgACAAIAAgACAAIABbAE4AZQB0AEkAbgBjAG8AbQBlAF0ALABcAG4AIAAgACAAIAAgACAAIAAgAFsAUwBoAGEAcgBlAGgAbwBsAGQAZQByAHMARQBxAHUAaQB0AHkAXQAsAFwAbgAgACAAIAAgACAAIAAgACAAWwBPAHAAZQBuAGkAbgBnAEUAcQB1AGkAdAB5AF0ALABcAG4ALwAvACAAIABIAGUAbABwAFwAbgAgACAAIAAgAEwARQBUACgASABlAGwAcAAsACAAIAAgAFQAUgBJAE0AKABUAEUAWABUAFMAUABMAEkAVAAoAFwAbgAgACAAIAAgACAAIAAgACAAIAAgACAAIAAgACAAIAAgACAAIAAgACAAIAAgACAAIABcACIARgBVAE4AQwBUAEkATwBOADoAIAAgACAAIAAgACAAIAAgACAAIACSIVIATwBFALsDKAAgAE4AZQB0AEkAbgBjAG8AbQBlACwAIABTAGgAYQByAGUAaABvAGwAZABlAHIAcwBFAHEAdQBpAHQAeQAsACAAWwBPAHAAZQBuAGkAbgBnAEUAcQB1AGkAdAB5AF0AKQC2AFwAIgAgACYAXABuACAAIAAgACAAIAAgACAAIAAgACAAIAAgACAAIAAgACAAIAAgACAAIAAgACAAIAAgAFwAIgBEAEUAUwBDAFIASQBQAFQASQBPAE4AOgAgACAAIAAgACAAIAAgAJIhUgBlAHQAdQByAG4AIABvAG4AIABlAHEAdQBpAHQAeQAgAHIAYQB0AGkAbwAgAGkAcwAgAGMAbwBuAHMAaQBkAGUAcgBlAGQAIABhACAAZwBhAHUAZwBlACAAbwBmACAAYQAgAGMAbwByAHAAbwByAGEAdABpAG8AbgAnAHMAIAC2AFwAIgAgACYAXABuACAAIAAgACAAIAAgACAAIAAgACAAIAAgACAAIAAgACAAIAAgACAAIAAgACAAIAAgACAAIAAgACAAIAAgACAAIAAgACAAIAAgACAAIAAgACAAIAAgACAAXAAiAJIhcAByAG8AZgBpAHQAYQBiAGkAbABpAHQAeQAgAGEAbgBkACAAaABvAHcAIABlAGYAZgBpAGMAaQBlAG4AdAAgAGkAdAAgAGkAcwAgAGkAbgAgAGcAZQBuAGUAcgBhAHQAaQBuAGcAIABwAHIAbwBmAGkAdABzALYAXAAiACAAJgBcAG4AIAAgACAAIAAgACAAIAAgACAAIAAgACAAIAAgACAAIAAgACAAIAAgACAAIAAgACAAIAAgACAAIAAgACAAIAAgACAAIAAgACAAIAAgACAAIAAgACAAIABcACIAkiEoAE4AZQB0ACAASQBuAGMAbwBtAGUALwAgAEEAdgBlAHIAYQBnAGUAIABTAGgAYQByAGUAaABvAGwAZABlAHIAcwAnACAARQBxAHUAaQB0AHkAKQC2AFwAIgAgACYAXABuACAAIAAgACAAIAAgACAAIAAgACAAIAAgACAAIAAgACAAIAAgACAAIAAgACAAIAAgAFwAIgBXAEUAQgBQAEEARwBFADo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kiE2ACAAUwBlAHAAIAAyADAAMgA2ALYAXAAiACAAJgBcAG4AIAAgACAAIAAgACAAIAAgACAAIAAgACAAIAAgACAAIAAgACAAIAAgACAAIAAgACAAXAAiAFAAQQBSAEEATQBFAFQARQBSAFMAOgCSIbYAXAAiACAAJgBcAG4AIAAgACAAIAAgACAAIAAgACAAIAAgACAAIAAgACAAIAAgACAAIAAgACAAIAAgACAAXAAiAE4AZQB0AEkAbgBjAG8AbQBlACAAIAAgACAAIAAgACAAIAAgACAAkiEoAFIAZQBxAHUAaQByAGUAZAApACAATgBlAHQAIABJAG4AYwBvAG0AZQC2AFwAIgAgACYAXABuACAAIAAgACAAIAAgACAAIAAgACAAIAAgACAAIAAgACAAIAAgACAAIAAgACAAIAAgAFwAIgBTAGgAYQByAGUAaABvAGwAZABlAHIAcwBFAHEAdQBpAHQAeQAgAJIhKABSAGUAcQB1AGkAcgBlAGQAKQAgAFMAaABhAHIAZQBoAG8AbABkAGUAcgBzACcAIABFAHEAdQBpAHQAeQAgAGEAdAAgAHQAaABlACAAcABlAHIAaQBvAGQAIABjAGwAbwBzAGUALgAgAEcAaQB2AGUAIAB0AGgAZQAgAGEAdgBlAHIAYQBnAGUAIABvAGYAIABvAHAAZQBuACAAYQBuAGQAIABjAGwAbwBzAGUAIABoAGUAcgBlACAAdwBoAGUAbgAgAE8AcABlAG4AaQBuAGcARQBxAHUAaQB0AHkAIABpAHMAIABsAGUAZgB0ACAAbwB1AHQAIAC2AFwAIgAgACYAXABuACAAIAAgACAAIAAgACAAIAAgACAAIAAgACAAIAAgACAAIAAgACAAIAAgACAAIAAgAFwAIgBPAHAAZQBuAGkAbgBnAEUAcQB1AGkAdAB5ACAAIAAgACAAIAAgAJIhKABPAHAAdABpAG8AbgBhAGwAKQAgAFMAaABhAHIAZQBoAG8AbABkAGUAcgBzACcAIABFAHEAdQBpAHQAeQAgAGEAdAAgAHQAaABlACAAcABlAHIAaQBvAGQAIABvAHAAZQBuAC4AIABXAGgAZQBuACAAZwBpAHYAZQBuACwAIAB0AGgAZQAgAHIAYQB0AGkAbwAgAGQAaQB2AGkAZABlAHMAIABiAHkAIAB0AGgAZQAgAGEAdgBlAHIAYQBnAGUAIABvAGYAIABPAHAAZQBuAGkAbgBnAEUAcQB1AGkAdAB5ACAAYQBuAGQAIABTAGgAYQByAGUAaABvAGwAZABlAHIAcwBFAHEAdQBpAHQAeQAgALYAXAAiACAAJg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zAC4ANgAyADEAMwAlACAAIAAgACAAIAAgACAAIAAgACAAIACSIT0AbwB6AC4AUgBPAEUAuwMoACAANQA5AC4AOQA3ADIALAAgADIANQA2AC4AMQA0ADQALAAgADIANQAxAC4ANgAzADUAIAApALYAXAAiACAAJgBcAG4AIAAgACAAIAAgACAAIAAgACAAIAAgACAAIAAgACAAIAAgACAAIAAgACAAIAAgACAAXAAiADIAMwAuADYAMgAxADMAJQAgACAAIAAgACAAIAAgACAAIAAgACAAkiE9AG8AegAuAFIATwBFALsDKAAgADUAOQAuADkANwAyACwAIABBAFYARQBSAEEARwBFACgAMgA1ADEALgA2ADMANQAsACAAMgA1ADYALgAxADQANAApACAAKQBcACIAL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wBoAGEAcgBlAGgAbwBsAGQAZQByAHMARQBxAHUAaQB0AHkAKQBcAG4AIAAgACAAIAAgACAAIAAgACAAIAAgACAAIAAgACAAIAAgACAAIAAgACAAIAAgACAAKQAsAFwAbgAgACAAIAAgAC8ALwAgACAAQQAgAGIAbABhAG4AawAgAE8AcABlAG4AaQBuAGcARQBxAHUAaQB0AHkAIABjAGUAbABsACAAaQBzACAAbgBvAHQAIABhAG4AIABvAG0AaQB0AHQAZQBkACAAYQByAGcAdQBtAGUAbgB0ACwAIABzAG8AIAB0AGUAcwB0ACAAZgBvAHIAIABiAG8AdABoADoAIABlAGkAdABoAGUAcgBcAG4AIAAgACAAIAAvAC8AIAAgAHcAYQB5ACAAdABoAGUAIABjAGwAbwBzAGkAbgBnACAAZQBxAHUAaQB0AHkAIABzAHQAYQBuAGQAcwAgAGkAbgAgAGYAbwByACAAaQB0ACAAYQBuAGQAIAB0AGgAZQAgAHIAYQB0AGkAbwAgAGkAcwAgAHcAaABhAHQAIABpAHQAIAB3AGEAcwAgAGIAZQBmAG8AcgBlAFwAbgAgACAAIAAgACAAIAAgACAATwBwAGUAbgBpAG4AZwAsACAAIAAgACAAIAAgACAAIABJAEYAKAAgAEkAUwBPAE0ASQBUAFQARQBEACgAIABPAHAAZQBuAGkAbgBnAEUAcQB1AGkAdAB5ACkALABcAG4AIAAgACAAIAAgACAAIAAgACAAIAAgACAAIAAgACAAIAAgACAAIAAgACAAIAAgACAAIAAgACAAIABTAGgAYQByAGUAaABvAGwAZABlAHIAcwBFAHEAdQBpAHQAeQAsAFwAbgAgACAAIAAgACAAIAAgACAAIAAgACAAIAAgACAAIAAgACAAIAAgACAAIAAgACAAIAAgACAAIAAgAEkARgAoACAASQBTAE4AVQBNAEIARQBSACgAIABPAHAAZQBuAGkAbgBnAEUAcQB1AGkAdAB5ACkALAAgAE8AcABlAG4AaQBuAGcARQBxAHUAaQB0AHkALAAgAFMAaABhAHIAZQBoAG8AbABkAGUAcgBzAEUAcQB1AGkAdAB5ACkAXABuACAAIAAgACAAIAAgACAAIAAgACAAIAAgACAAIAAgACAAIAAgACAAIAAgACAAIAAgACkALABcAG4AIAAgACAAIAAvAC8AIAAgAFAAcgBvAGMAZQBkAHUAcgBlAFwAbgAgACAAIAAgACAAIAAgACAAUgBlAHMAdQBsAHQALAAgACAAIAAgACAAIAAgACAAIABOAGUAdABJAG4AYwBvAG0AZQAgAC8AIAAoACgAUwBoAGEAcgBlAGgAbwBsAGQAZQByAHMARQBxAHUAaQB0AHkAIAArACAATwBwAGUAbgBpAG4AZwApACAALwAgADIAK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uwNcAG4AIAAgACAAIABEAEUAUwBDAFIASQBQAFQASQBPAE4AOgAqAC8ALwAqACoAUgBlAHQAdQByAG4AIABvAG4AIABJAG4AdgBlAHMAdABtAGUAbgB0ACAAKABSAE8ASQApACAAcgBhAHQAaQBvACAAIABtAGUAYQBzAHUAcgBlAHMAIAB0AGgAZQAgAHAAcgBvAGYAaQB0AGEAYgBpAGwAaQB0AHkAIABvAGYAIABhAG4AIABpAG4AdgBlAHMAdABtAGUAbgB0ACAAYgB5ACAAYwBvAG0AcABhAHIAaQBuAGcAIABcAG4AdABoAGUAIABnAGEAaQBuACAAbwByACAAbABvAHMAcwAgAHQAbwAgAGkAdABzACAAYwBvAHMAdAAgACgATgBlAHQAIABSAGUAdAB1AHIAbgAgAG8AbgAgAEkAbgB2AGUAcwB0AG0AZQBuAHQALwBDAG8AcwB0ACAAbwBmACAASQBuAHYAZQBzAHQAbQBlAG4AdAApAC4AKgAvAFwAbgBSAE8ASQC7AyAAPQAgAEwAQQBNAEIARABBACgAXABuAC8ALwAgACAAUABhAHIAYQBtAGUAdABlAHIAIABEAGUAYwBsAGEAcgBhAHQAaQBvAG4AcwBcAG4AIAAgACAAIAAgACAAIAAgAFsATgBlAHQAUgBlAHQAdQByAG4AbwBuAEkAbgB2AGUAcwB0AG0AZQBuAHQAXQAsACAAIABcAG4AIAAgACAAIAAgACAAIAAgAFsAQwBvAHMAdABvAGYASQBuAHYAZQBzAHQAbQBlAG4AdABdACwAIAAgACAAIABcAG4ALwAvACAAIABIAGUAbABwAFwAbgAgACAAIAAgAEwARQBUACgASABlAGwAcAAsACAAIAAgAFQAUgBJAE0AKABUAEUAWABUAFMAUABMAEkAVAAoACAAXABuACAAIAAgACAAIAAgACAAIAAgACAAIAAgACAAIAAgACAAIAAgACAAIAAgACAAIAAgAFwAIgBGAFUATgBDAFQASQBPAE4AOgAgACAAIAAgACAAIAAgACAAIAAgACAAIAAgACAAkiFSAE8ASQC7AygAIABOAGUAdABSAGUAdAB1AHIAbgBvAG4ASQBuAHYAZQBzAHQAbQBlAG4AdAAsACAAQwBvAHMAdABvAGYASQBuAHYAZQBzAHQAbQBlAG4AdAApALYAXAAiACAAJgAgAFwAbgAgACAAIAAgACAAIAAgACAAIAAgACAAIAAgACAAIAAgACAAIAAgACAAIAAgACAAIABcACIARABFAFMAQwBSAEkAUABUAEkATwBOADoAIAAgACAAIAAgACAAIAAgACAAIAAgAJIhUgBlAHQAdQByAG4AIABvAG4AIABJAG4AdgBlAHMAdABtAGUAbgB0ACAAKABSAE8ASQApACAAcgBhAHQAaQBvACAAIABtAGUAYQBzAHUAcgBlAHMAIAB0AGgAZQAgAHAAcgBvAGYAaQB0AGEAYgBpAGwAaQB0AHkAIABvAGYAtgBcACIAIAAmACAAXABuACAAIAAgACAAIAAgACAAIAAgACAAIAAgACAAIAAgACAAIAAgACAAIAAgACAAIAAgACAAIAAgACAAIAAgACAAIAAgACAAIAAgACAAIAAgACAAIAAgACAAIAAgACAAIABcACIAkiFhAG4AIABpAG4AdgBlAHMAdABtAGUAbgB0ACAAYgB5ACAAYwBvAG0AcABhAHIAaQBuAGcAIAB0AGgAZQAgAGcAYQBpAG4AIABvAHIAIABsAG8AcwBzACAAdABvACAAaQB0AHMAIABjAG8AcwB0AC4AIAC2AFwAIgAgACYAIABcAG4AIAAgACAAIAAgACAAIAAgACAAIAAgACAAIAAgACAAIAAgACAAIAAgACAAIAAgACAAIAAgACAAIAAgACAAIAAgACAAIAAgACAAIAAgACAAIAAgACAAIAAgACAAIAAgAFwAIgCSISgATgBlAHQAIABSAGUAdAB1AHIAbgAgAG8AbgAgAEkAbgB2AGUAcwB0AG0AZQBuAHQALwBDAG8AcwB0ACAAbwBmACAASQBuAHYAZQBzAHQAbQBlAG4AdAApALYAXAAiACAAJgAgAFwAbgAgACAAIAAgACAAIAAgACAAIAAgACAAIAAgACAAIAAgACAAIAAgACAAIAAgACAAIABcACIAVwBFAEIAUABBAEcARQA6ACAAIAAgACAAIAAgACAAIAAgACAAIAAgACAAIAAgAJIhaAB0AHQAcABzADoALwAvAHcAdwB3AC4AaQBuAHYAZQBzAHQAbwBwAGUAZABpAGEALgBjAG8AbQAvAHQAZQByAG0AcwAvAHIALwByAGUAdAB1AHIAbgBvAG4AaQBuAHYAZQBzAHQAbQBlAG4AdAAuAGEAcwBwACAAtgBcACIAIAAmAFwAbgAgACAAIAAgACAAIAAgACAAIAAgACAAIAAgACAAIAAgACAAIAAgACAAIAAgACAAIABcACIAVgBFAFIAUwBJAE8ATgA6ACAAIAAgACA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UgBlAHQAdQByAG4AbwBuAEkAbgB2AGUAcwB0AG0AZQBuAHQAIAAgAJIhKABSAGUAcQB1AGkAcgBlAGQAKQAgAE4AZQB0ACAAUgBlAHQAdQByAG4AIABvAG4AIABJAG4AdgBlAHMAdABtAGUAbgB0ACAAaQBzACAAdABoAGUAIAC2AFwAIgAgACYAIABcAG4AIAAgACAAIAAgACAAIAAgACAAIAAgACAAIAAgACAAIAAgACAAIAAgACAAIAAgACAAIAAgACAAIAAgACAAIAAgACAAIAAgACAAIAAgACAAIAAgACAAIAAgACAAIAAgAFwAIgCSIWYAaQBuAGEAbAAgAHYAYQBsAHUAZQAgAG8AZgAgAGkAbgB2AGUAcwB0AG0AZQBuAHQAIAAtACAAaQBuAGkAdABpAGEAbAAgAHYAYQBsAHUAZQAgAG8AZgAgAGkAbgB2AGUAcwB0AG0AZQBuAHQAtgBcACIAIAAmACAAXABuACAAIAAgACAAIAAgACAAIAAgACAAIAAgACAAIAAgACAAIAAgACAAIAAgACAAIAAgAFwAIgBDAG8AcwB0AG8AZgBJAG4AdgBlAHMAdABtAGUAbgB0ACAAIAAgACAAIAAgACAAkiEoAFIAZQBxAHUAaQByAGUAZAApACAAQwBvAHMAdAAgAG8AZgAgAEkAbgB2AGUAcwB0AG0AZQBuAHQAIAC2AFwAIgAgACYAIABcAG4AIAAgACAAIAAgACAAIAAgACAAIAAgACAAIAAgACAAIAAgACAAIAAgACAAIAAgACAAXAAiAEUAWABBAE0AUABMAEUAUwA6ACAAIAAgACAAIAAgACAAIAAgACAAIAAgACAAIACSIUYAbwByAG0AdQBsAGEAIAAoAG8AegAgAGkAcwAgAGEAcwBzAHUAbQBlAGQAIAB0AG8AIABiAGUAIAB0AGgAZQAgAG0AbwBkAHUAbABlACcAcwAgAG4AYQBtAGUAKQC2AFwAIgAgACYAXABuACAAIAAgACAAIAAgACAAIAAgACAAIAAgACAAIAAgACAAIAAgACAAIAAgACAAIAAgAFwAIgAyADgALgA3ADUAJQAgACAAIAAgACAAIAAgACAAIAAgACAAIAAgACAAIAAgACAAkiE9AG8AegAuAFIATwBJALsDKAAgADIAOAA3ADUALAAgADEAM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IAZQB0AHUAcgBuAG8AbgBJAG4AdgBlAHMAdABtAGUAbgB0ACkALABcAG4AIAAgACAAIAAgACAAIAAgACAAIAAgACAAIAAgACAAIAAgACAAIAAgACAAIAAgACAAIAAgACAAIABJAFMATwBNAEkAVABUAEUARAAoACAAQwBvAHMAdABvAGYASQBuAHYAZQBzAHQAbQBlAG4AdAApAFwAbgAgACAAIAAgACAAIAAgACAAIAAgACAAIAAgACAAIAAgACAAIAAgACAAIAAgACAAIAApACwAXABuACAAIAAgACAALwAvACAAIABQAHIAbwBjAGUAZAB1AHIAZQBcAG4AIAAgACAAIAAgACAAIAAgAFIAZQBzAHUAbAB0ACwAIAAgACAAIAAgACAAIAAgACAATgBlAHQAUgBlAHQAdQByAG4AbwBuAEkAbgB2AGUAcwB0AG0AZQBuAHQALwBDAG8AcwB0AG8AZgBJAG4AdgBlAHMAdABtAGUAbgB0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BDALsDXABuACAAIAAgACAARABFAFMAQwBSAEkAUABUAEkATwBOADoAKgAvAC8AKgAqAFIAZQB0AHUAcgBuACAAbwBuACAASQBuAHYAZQBzAHQAZQBkACAAYwBhAHAAaQB0AGEAbAAgACAAYQBzAHMAZQBzAHMAZQBzACAAYQAgAGMAbwBtAHAAYQBuAHkAGSBzACAAZQBmAGYAaQBjAGkAZQBuAGMAeQAgAGkAbgAgAGEAbABsAG8AYwBhAHQAaQBuAGcAIABcAG4AYwBhAHAAaQB0AGEAbAAgAHQAbwAgAHAAcgBvAGYAaQB0AGEAYgBsAGUAIABpAG4AdgBlAHMAdABtAGUAbgB0AHMAIAAoAE4AZQB0ACAATwBwAGUAcgBhAHQAaQBuAGcAIABQAHIAbwBmAGkAdAAgAEEAZgB0AGUAcgAgAFQAYQB4AC8ASQBuAHYAZQBzAHQAZQBkACAAQwBhAHAAaQB0AGEAbAApACAAKgAvAFwAbgBSAE8ASQBDALsDIAA9ACAATABBAE0AQgBEAEEAKABcAG4ALwAvACAAIABQAGEAcgBhAG0AZQB0AGUAcgAgAEQAZQBjAGwAYQByAGEAdABpAG8AbgBzAFwAbgAgACAAIAAgACAAIAAgACAAWwBOAGUAdABPAHAAZQByAGEAdABpAG4AZwBQAHIAbwBmAGkAdABBAGYAdABlAHIAVABhAHgAXQAsACAAIABcAG4AIAAgACAAIAAgACAAIAAgAFsASQBuAHYAZQBzAHQAZQBkAEMAYQBwAGkAdABhAGwAXQAsACAAIAAgACAAXABuAC8ALwAgACAASABlAGwAcABcAG4AIAAgACAAIABMAEUAVAAoAEgAZQBsAHAALAAgACAAIABUAFIASQBNACgAVABFAFgAVABTAFAATABJAFQAKAAgAFwAbgAgACAAIAAgACAAIAAgACAAIAAgACAAIAAgACAAIAAgACAAIAAgACAAIAAgACAAIABcACIARgBVAE4AQwBUAEkATwBOADoAIAAgACAAIAAgACAAkiFSAE8ASQBDALsDKAAgAE4AZQB0AE8AcABlAHIAYQB0AGkAbgBnAFAAcgBvAGYAaQB0AEEAZgB0AGUAcgBUAGEAeAAsACAASQBuAHYAZQBzAHQAZQBkAEMAYQBwAGkAdABhAGwAKQC2AFwAIgAgACYAIABcAG4AIAAgACAAIAAgACAAIAAgACAAIAAgACAAIAAgACAAIAAgACAAIAAgACAAIAAgACAAXAAiAEQARQBTAEMAUgBJAFAAVABJAE8ATgA6ACAAIAAgAJIhUgBlAHQAdQByAG4AIABvAG4AIABJAG4AdgBlAHMAdABlAGQAIABjAGEAcABpAHQAYQBsACAAIABhAHMAcwBlAHMAcwBlAHMAIABhACAAYwBvAG0AcABhAG4AeQAZIHMAIABlAGYAZgBpAGMAaQBlAG4AYwB5ACAAaQBuACAAYQBsAGwAbwBjAGEAdABpAG4AZwAgALYAXAAiACAAJgBcAG4AIAAgACAAIAAgACAAIAAgACAAIAAgACAAIAAgACAAIAAgACAAIAAgACAAIAAgACAAIAAgACAAIAAgACAAIAAgACAAIAAgACAAIAAgACAAXAAiAJIhYwBhAHAAaQB0AGEAbAAgAHQAbwAgAHAAcgBvAGYAaQB0AGEAYgBsAGUAIABpAG4AdgBlAHMAdABtAGUAbgB0AHMAIAAoAE4AZQB0ACAATwBwAGUAcgBhAHQAaQBuAGcAIABQAHIAbwBmAGkAdAAgAEEAZgB0AGUAcgAgAFQAYQB4AC8ASQBuAHYAZQBzAHQAZQBkACAAQwBhAHAAaQB0AGEAbAApALYAXAAiACAAJgAgAFwAbgAgACAAIAAgACAAIAAgACAAIAAgACAAIAAgACAAIAAgACAAIAAgACAAIAAgACAAIABcACIAVwBFAEIAUABBAEcARQA6ACAAIAAgACAAIAAgACAAkiFoAHQAdABwAHMAOgAvAC8AdwB3AHcALgBpAG4AdgBlAHMAdABvAHAAZQBkAGkAYQAuAGMAbwBtAC8AdABlAHIAbQBzAC8AcgAvAHIAZQB0AHUAcgBuAG8AbgBpAG4AdgBlAHMAdABtAGUAbgB0AGMAYQBwAGkAdABhAGw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TwBwAGUAcgBhAHQAaQBuAGcAUAByAG8AZgBpAHQAQQBmAHQAZQByAFQAYQB4AJIhKABSAGUAcQB1AGkAcgBlAGQAKQAgAE4AZQB0ACAATwBwAGUAcgBhAHQAaQBuAGcAIABwAHIAbwBmAGkAdAAgAGEAZgB0AGUAcgAgAFQAYQB4ACAAWwAgAG8AcABlAHIAYQB0AGkAbgBnACAAcAByAG8AZgBpAHQAIAB4ACAAKAAxACAALQAgAGUAZgBmAGUAYwB0AGkAdgBlACAAdABhAHgAIAByAGEAdABlACkAIABdAC4AtgBcACIAIAAmACAAXABuACAAIAAgACAAIAAgACAAIAAgACAAIAAgACAAIAAgACAAIAAgACAAIAAgACAAIAAgAFwAIgBJAG4AdgBlAHMAdABlAGQAQwBhAHAAaQB0AGEAbACSISgAUgBlAHEAdQBpAHIAZQBkACkAIABJAG4AdgBlAHMAdABlAGQAIABDAGEAcABpAHQAYQBsACAAKABEAGUAYgB0ACAAKwAgAEUAcQB1AGkAdAB5ACkALg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gAuADYAMQAyADIAJQAgACAAIAAgACAAIAAgAJIhPQBvAHoALgBSAE8ASQBDALsDKAAgADMAMgA0ADUALAAgADIANQA3ADIAO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FAAcgBvAGYAaQB0AEEAZgB0AGUAcgBUAGEAeAApACwAXABuACAAIAAgACAAIAAgACAAIAAgACAAIAAgACAAIAAgACAAIAAgACAAIAAgACAAIAAgACAAIAAgACAASQBTAE8ATQBJAFQAVABFAEQAKAAgAEkAbgB2AGUAcwB0AGUAZABDAGEAcABpAHQAYQBsACkAXABuACAAIAAgACAAIAAgACAAIAAgACAAIAAgACAAIAAgACAAIAAgACAAIAAgACAAIAAgACkALABcAG4AIAAgACAAIAAvAC8AIAAgAFAAcgBvAGMAZQBkAHUAcgBlAFwAbgAgACAAIAAgACAAIAAgACAAUgBlAHMAdQBsAHQALAAgACAAIAAgACAAIAAgACAAIABOAGUAdABPAHAAZQByAGEAdABpAG4AZwBQAHIAbwBmAGkAdABBAGYAdABlAHIAVABhAHgALwBJAG4AdgBlAHMAdABlAGQ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NAGEAcgBrAGUAdAAgAFYAYQBsAHUAZQAgAFIAYQB0AGkAbwBzAFwAbgBcAG4AXABuACAAXABuAC8AKgAgACAARgBVAE4AQwBUAEkATwBOACAATgBBAE0ARQA6ACAAIABQAHIAaQBjAGUARQBhAHIAbgBpAG4AZwBzAFIAYQB0AGkAbwC7A1wAbgAgACAAIAAgAEQARQBTAEMAUgBJAFAAVABJAE8ATgA6ACoALwAvACoAKgBQAHIAaQBjAGUALQBlAGEAcgBuAGkAbgBnAHMAIABSAGEAdABpAG8AIABtAGUAYQBzAHUAcgBlAHMAIABhACAAYwBvAG0AcABhAG4AeQAnAHMAIABzAGgAYQByAGUAIABwAHIAaQBjAGUAIAByAGUAbABhAHQAaQB2AGUAIAB0AG8AIABcAG4AaQB0AHMAIABlAGEAcgBuAGkAbgBnAHMAIABwAGUAcgAgAHMAaABhAHIAZQAgACgAUwBoAGEAcgBlACAAUAByAGkAYwBlAC8ARQBhAHIAbgBpAG4AZwBzACAAUABlAHIAIABTAGgAYQByAGUAKQAuACoALwBcAG4AUAByAGkAYwBlAEUAYQByAG4AaQBuAGcAcwBSAGEAdABpAG8AuwMgAD0AIABMAEEATQBCAEQAQQAoAFwAbgAvAC8AIAAgAFAAYQByAGEAbQBlAHQAZQByACAARABlAGMAbABhAHIAYQB0AGkAbwBuAHMAXABuACAAIAAgACAAIAAgACAAIABbAFMAaABhAHIAZQBQAHIAaQBjAGUAXQAsACAAIABcAG4AIAAgACAAIAAgACAAIAAgAFsARQBhAHIAbgBpAG4AZw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EUAYQByAG4AaQBuAGcAcwBSAGEAdABpAG8AuwMoACAAUwBoAGEAcgBlAFAAcgBpAGMAZQAsACAARQBhAHIAbgBpAG4AZwBzAFAAZQByAFMAaABhAHIAZQApALYAXAAiACAAJgAgAFwAbgAgACAAIAAgACAAIAAgACAAIAAgACAAIAAgACAAIAAgACAAIAAgACAAIAAgACAAIABcACIARABFAFMAQwBSAEkAUABUAEkATwBOADoAIAAgACAAIAAgACAAIACSIVAAcgBpAGMAZQAtAGUAYQByAG4AaQBuAGcAcwAgAFIAYQB0AGkAbwAgAG0AZQBhAHMAdQByAGUAcwAgAGEAIABjAG8AbQBwAGEAbgB5ACcAcwAgAHMAaABhAHIAZQAgAHAAcgBpAGMAZQAgAHIAZQBsAGEAdABpAHYAZQAgAHQAbwAgALYAXAAiACAAJgAgAFwAbgAgACAAIAAgACAAIAAgACAAIAAgACAAIAAgACAAIAAgACAAIAAgACAAIAAgACAAIAAgACAAIAAgACAAIAAgACAAIAAgACAAIAAgACAAIAAgACAAIAAgAFwAIgCSIWkAdABzACAAZQBhAHIAbgBpAG4AZwBzACAAcABlAHIAIABzAGgAYQByAGUAIAAoAFMAaABhAHIAZQAgAFAAcgBpAGMAZQAvAEUAYQByAG4AaQBuAGc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GUAYQByAG4AaQBuAGcAc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TAGgAYQByAGUAUAByAGkAYwBlACAAIAAgACAAIAAgACAAIAAgAJIhKABSAGUAcQB1AGkAcgBlAGQAKQAgAFMAaABhAHIAZQAgAFAAcgBpAGMAZQAgACgATQBhAHIAawBlAHQAIABWAGEAbAB1AGUAIABQAGUAcgAgAFMAaABhAHIAZQApACAAtgBcACIAIAAmACAAXABuACAAIAAgACAAIAAgACAAIAAgACAAIAAgACAAIAAgACAAIAAgACAAIAAgACAAIAAgAFwAIgBFAGEAcgBuAGkAbgBnAHMAUABlAHIAUwBoAGEAcgBlACAAIAAgAJIhKABSAGUAcQB1AGkAcgBlAGQAKQAgAEUAYQByAG4AaQBuAGcAcwAgAFAAZQByACAAUwBoAGEAcgBl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xADQALgAzADkAOAA4ADEAIAAgACAAIAAgACAAIAAgACAAIAAgAJIhPQBvAHoALgBQAHIAaQBjAGUARQBhAHIAbgBpAG4AZwBzAFIAYQB0AGkAbwC7AygAIAAyADQAMgAuADYAMgAsACAAMQA2AC4AOA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FAGEAcgBuAGkAbgBnAHMAUABlAHIAUwBoAGEAcgBlACkAXABuACAAIAAgACAAIAAgACAAIAAgACAAIAAgACAAIAAgACAAIAAgACAAIAAgACAAIAAgACkALABcAG4AIAAgACAAIAAvAC8AIAAgAFAAcgBvAGMAZQBkAHUAcgBlAFwAbgAgACAAIAAgACAAIAAgACAAUgBlAHMAdQBsAHQALAAgACAAIAAgACAAIAAgACAAIABTAGgAYQByAGUAUAByAGkAYwBlAC8ARQBhAHIAbgBpAG4AZwBzAFAAZQByAFMAaABhAHI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kAYwBlAFQAbwBCAG8AbwBrAFIAYQB0AGkAbwC7A1wAbgAgACAAIAAgAEQARQBTAEMAUgBJAFAAVABJAE8ATgA6ACoALwAvACoAKgBNAGEAbgB5ACAAaQBuAHYAZQBzAHQAbwByAHMAIAB1AHMAZQAgAHQAaABlACAAcAByAGkAYwBlAC0AdABvAC0AYgBvAG8AawAgAHIAYQB0AGkAbwAgACgAUAAvAEIAIAByAGEAdABpAG8AKQAgAHQAbwAgAGMAbwBtAHAAYQByAGUAIABhACAAZgBpAHIAbQAnAHMAIABtAGEAcgBrAGUAdAAgAFwAbgBjAGEAcABpAHQAYQBsAGkAcwBhAHQAaQBvAG4AIAB0AG8AIABpAHQAcwAgAGIAbwBvAGsAIAB2AGEAbAB1AGUAIABhAG4AZAAgAGwAbwBjAGEAdABlACAAdQBuAGQAZQByAHYAYQBsAHUAZQBkACAAYwBvAG0AcABhAG4AaQBlAHMALgAgACoALwBcAG4AUAByAGkAYwBlAFQAbwBCAG8AbwBrAFIAYQB0AGkAbwC7AyAAPQAgAEwAQQBNAEIARABBACgAXABuAC8ALwAgACAAUABhAHIAYQBtAGUAdABlAHIAIABEAGUAYwBsAGEAcgBhAHQAaQBvAG4AcwBcAG4AIAAgACAAIAAgACAAIAAgAFsATQBhAHIAawBlAHQAUAByAGkAYwBlAFAAZQByAFMAaABhAHIAZQBdACwAIAAgAFwAbgAgACAAIAAgACAAIAAgACAAWwBCAG8AbwBrAFYAYQBsAHUAZQ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gBvAG8AawBSAGEAdABpAG8AuwMoACAATQBhAHIAawBlAHQAUAByAGkAYwBlAFAAZQByAFMAaABhAHIAZQAsACAAQgBvAG8AawBWAGEAbAB1AGUAUABlAHIAUwBoAGEAcgBlACkAtgBcACIAIAAmACAAXABuACAAIAAgACAAIAAgACAAIAAgACAAIAAgACAAIAAgACAAIAAgACAAIAAgACAAIAAgAFwAIgBEAEUAUwBDAFIASQBQAFQASQBPAE4AOgAgACAAIAAgACAAIAAgAJIhTQBhAG4AeQAgAGkAbgB2AGUAcwB0AG8AcgBzACAAdQBzAGUAIAB0AGgAZQAgAHAAcgBpAGMAZQAtAHQAbwAtAGIAbwBvAGsAIAByAGEAdABpAG8AIAAoAFAALwBCACAAcgBhAHQAaQBvACkAIAB0AG8AIABjAG8AbQBwAGEAcgBlACAAYQAgALYAXAAiACAAJgAgAFwAbgAgACAAIAAgACAAIAAgACAAIAAgACAAIAAgACAAIAAgACAAIAAgACAAIAAgACAAIAAgACAAIAAgACAAIAAgACAAIAAgACAAIAAgACAAIAAgACAAIAAgAFwAIgCSIWYAaQByAG0AJwBzACAAbQBhAHIAawBlAHQAIABjAGEAcABpAHQAYQBsAGkAcwBhAHQAaQBvAG4AIAB0AG8AIABpAHQAcwAgAGIAbwBvAGsAIAB2AGEAbAB1AGUAIABhAG4AZAAgAGwAbwBjAGEAdABlACAAdQBuAGQAZQByAHYAYQBsAHUAZQBkACAAYwBvAG0AcABhAG4AaQBlAHMALgC2AFwAIgAgACYAIABcAG4AIAAgACAAIAAgACAAIAAgACAAIAAgACAAIAAgACAAIAAgACAAIAAgACAAIAAgACAAIAAgACAAIAAgACAAIAAgACAAIAAgACAAIAAgACAAIAAgACAAIABcACIAkiEoAE0AYQByAGsAZQB0ACAAUAByAGkAYwBlACAAUABlAHIAIABTAGgAYQByAGUALwBCAG8AbwBrACAAVgBhAGwAdQBlACAAUABlAHIAIABTAGgAYQByAGUAKQC2AFwAIgAgACYAIABcAG4AIAAgACAAIAAgACAAIAAgACAAIAAgACAAIAAgACAAIAAgACAAIAAgACAAIAAgACAAXAAiAFcARQBCAFAAQQBHAEUAOgAgACAAIAAgACAAIAAgACAAIAAgACAAkiFoAHQAdABwAHMAOgAvAC8AdwB3AHcALgBpAG4AdgBlAHMAdABvAHAAZQBkAGkAYQAuAGMAbwBtAC8AdABlAHIAbQBzAC8AcAAvAHAAcgBpAGMAZQAtAHQAbwAtAGIAbwBvAGs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QgBvAG8AawBWAGEAbAB1AGUAUABlAHIAUwBoAGEAcgBlACAAIACSISgAUgBlAHEAdQBpAHIAZQBkACkAIABCAG8AbwBrACAAVgBhAGwAdQBlACAAUABlAHIAIABzAGgAYQByAGUAIAC2AFwAIgAgACYAIABcAG4AIAAgACAAIAAgACAAIAAgACAAIAAgACAAIAAgACAAIAAgACAAIAAgACAAIAAgACAAIAAgACAAIAAgACAAIAAgACAAIAAgACAAIAAgACAAIAAgACAAIABcACIAkiEoAFQAbwB0AGEAbAAgAGEAcwBzAGUAdABzACAALQAgAGkAbgB0AGEAbgBnAGkAYgBsAGUAIABhAHMAcwBlAHQAcwAgAC0AIAB0AG8AdABhAGwAIABsAGkAYQBiAGkAbABpAHQAaQBlAHMAKQAgAPcAIABuAHUAbQBiAGUAcgAgAG8AZgAgAG8AdQB0AHMAdABhAG4AZABpAG4AZwAgAHMAaABhAHIAZQBz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LgAwACAAIAAgACAAIAAgACAAIAAgACAAIAAgACAAIAAgACAAkiE9AG8AegAuAFAAcgBpAGMAZQBUAG8AQgBvAG8AawBSAGEAdABpAG8AuwMoACAANQAsACAAMgAuADU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CAG8AbwBrAFYAYQBsAHUAZQBQAGUAcgBTAGgAYQByAGUAKQBcAG4AIAAgACAAIAAgACAAIAAgACAAIAAgACAAIAAgACAAIAAgACAAIAAgACAAIAAgACAAKQAsAFwAbgAgACAAIAAgAC8ALwAgACAAUAByAG8AYwBlAGQAdQByAGUAXABuACAAIAAgACAAIAAgACAAIABSAGUAcwB1AGwAdAAsACAAIAAgACAAIAAgACAAIAAgAE0AYQByAGsAZQB0AFAAcgBpAGMAZQBQAGUAcgBTAGgAYQByAGUALwBCAG8AbwBrAFYAYQBsAHUAZQ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FMAYQBsAGUAcwBSAGEAdABpAG8AuwNcAG4AIAAgACAAIABEAEUAUwBDAFIASQBQAFQASQBPAE4AOgAqAC8ALwAqACoAUAByAGkAYwBlACAAdABvACAAUwBhAGwAZQBzACAAKABQAC8AUwApACAAUgBhAHQAaQBvACAAaQBzACAAYQBuACAAaQBuAGQAaQBjAGEAdABvAHIAIABvAGYAIAB0AGgAZQAgAHYAYQBsAHUAZQAgAHQAaABhAHQAIABmAGkAbgBhAG4AYwBpAGEAbAAgAG0AYQByAGsAZQB0AHMAIABoAGEAdgBlACAAXABuAHAAbABhAGMAZQBkACAAbwBuACAAZQBhAGMAaAAgAGQAbwBsAGwAYQByACAAbwBmACAAYQAgAGMAbwBtAHAAYQBuAHkAJwBzACAAcwBhAGwAZQBzACAAbwByACAAcgBlAHYAZQBuAHUAZQBzACAAKABNAGEAcgBrAGUAdAAgAFAAcgBpAGMAZQAgAFAAZQByACAAUwBoAGEAcgBlAC8AUwBhAGwAZQBzACAAUABlAHIAIABTAGgAYQByAGUAKQAuACAAKgAvAFwAbgBQAHIAaQBjAGUAVABvAFMAYQBsAGUAcwBSAGEAdABpAG8AuwMgAD0AIABMAEEATQBCAEQAQQAoAFwAbgAvAC8AIAAgAFAAYQByAGEAbQBlAHQAZQByACAARABlAGMAbABhAHIAYQB0AGkAbwBuAHMAXABuACAAIAAgACAAIAAgACAAIABbAE0AYQByAGsAZQB0AFAAcgBpAGMAZQBQAGUAcgBTAGgAYQByAGUAXQAsACAAIABcAG4AIAAgACAAIAAgACAAIAAgAFsAUwBhAGwAZQ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TAGEAbABlAHM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TAGEAbABlAHMAIAAoAFAALwBTACkAIABSAGEAdABpAG8AIABpAHMAIABhAG4AIABpAG4AZABpAGMAYQB0AG8AcgAgAG8AZgAgAHQAaABlACAAdgBhAGwAdQBlACAAdABoAGEAdAAgAGYAaQBuAGEAbgBjAGkAYQBsACAAbQBhAHIAawBlAHQAcwAgAGgAYQB2AGUAtgBcACIAIAAmACAAXABuACAAIAAgACAAIAAgACAAIAAgACAAIAAgACAAIAAgACAAIAAgACAAIAAgACAAIAAgACAAIAAgACAAIAAgACAAIAAgACAAIAAgACAAIAAgACAAIAAgACAAXAAiAJIhcABsAGEAYwBlAGQAIABvAG4AIABlAGEAYwBoACAAZABvAGwAbABhAHIAIABvAGYAIABhACAAYwBvAG0AcABhAG4AeQAnAHMAIABzAGEAbABlAHMAIABvAHIAIAByAGUAdgBlAG4AdQBlAHMAIAAoAE0AYQByAGsAZQB0ACAAUAByAGkAYwBlACAAUABlAHIAIABTAGgAYQByAGUALwBTAGEAbABl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zAGEAbABlAHM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UwBhAGwAZQBzAFAAZQByAFMAaABhAHIAZQAgACAAIAAgACAAIACSISgAUgBlAHEAdQBpAHIAZQBkACkAIABBAG4AbgB1AGEAbAAgAFMAYQBsAGUAcwAgAFAAZQByACAAUwBoAGEAcgBlACAAKABSAGUAdgBlAG4AdQBlACAAcAByAGkAbwByACAAMQAyACAAbQBvAG4AdABo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C4ANQA1ACAAIAAgACAAIAAgACAAIAAgACAAIAAgACAAIAAgAJIhPQBvAHoALgBQAHIAaQBjAGUAVABvAFMAYQBsAGUAcwBSAGEAdABpAG8AuwMoACAANAA1ADU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UwBhAGwAZQBzAFAAZQByAFMAaABhAHIAZQApAFwAbgAgACAAIAAgACAAIAAgACAAIAAgACAAIAAgACAAIAAgACAAIAAgACAAIAAgACAAIAApACwAXABuACAAIAAgACAALwAvACAAIABQAHIAbwBjAGUAZAB1AHIAZQBcAG4AIAAgACAAIAAgACAAIAAgAFIAZQBzAHUAbAB0ACwAIAAgACAAIAAgACAAIAAgACAATQBhAHIAawBlAHQAUAByAGkAYwBlAFAAZQByAFMAaABhAHIAZQAvAFMAYQBsAGUAc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EMAYQBzAGgAUgBhAHQAaQBvALsDXABuACAAIAAgACAARABFAFMAQwBSAEkAUABUAEkATwBOADoAKgAvAC8AKgAqAFAAcgBpAGMAZQAgAHQAbwAgAEMAYQBzAGgAIAAoAFAALwBDAEYAKQAgAFIAYQB0AGkAbwAgAGkAcwAgAGEAIABzAHQAbwBjAGsAIAB2AGEAbAB1AGEAdABpAG8AbgAgAGkAbgBkAGkAYwBhAHQAbwByACAAbwByACAAbQB1AGwAdABpAHAAbABlACAAdABoAGEAdAAgAG0AZQBhAHMAdQByAGUAcwAgAFwAbgB0AGgAZQAgAHYAYQBsAHUAZQAgAG8AZgAgAGEAIABzAHQAbwBjAGsAGSBzACAAcAByAGkAYwBlACAAcgBlAGwAYQB0AGkAdgBlACAAdABvACAAaQB0AHMAIABvAHAAZQByAGEAdABpAG4AZwAgAGMAYQBzAGgAIABmAGwAbwB3ACAAcABlAHIAIABzAGgAYQByAGUAIABcAG4AKABNAGEAcgBrAGUAdAAgAFAAcgBpAGMAZQAgAFAAZQByACAAUwBoAGEAcgBlAC8ATwBwAGUAcgBhAHQAaQBuAGcAIABDAGEAcwBoACAARgBsAG8AdwAgAFAAZQByACAAUwBoAGEAcgBlACkALgAgACoALwBcAG4AUAByAGkAYwBlAFQAbwBDAGEAcwBoAFIAYQB0AGkAbwC7AyAAPQAgAEwAQQBNAEIARABBACgAXABuAC8ALwAgACAAUABhAHIAYQBtAGUAdABlAHIAIABEAGUAYwBsAGEAcgBhAHQAaQBvAG4AcwBcAG4AIAAgACAAIAAgACAAIAAgAFsATQBhAHIAawBlAHQAUAByAGkAYwBlAFAAZQByAFMAaABhAHIAZQBdACwAIAAgAFwAbgAgACAAIAAgACAAIAAgACAAWwBPAHAAZQByAGEAdABpAG4AZwBDAGEAcwBoAEYAbABvAHc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MAYQBzAGgAUgBhAHQAaQBvALsDKAAgAE0AYQByAGsAZQB0AFAAcgBpAGMAZQBQAGUAcgBTAGgAYQByAGUALAAgAE8AcABlAHIAYQB0AGkAbgBnAEMAYQBzAGgARgBsAG8AdwBQAGUAcgBTAGgAYQByAGUAKQC2AFwAIgAgACYAIABcAG4AIAAgACAAIAAgACAAIAAgACAAIAAgACAAIAAgACAAIAAgACAAIAAgACAAIAAgACAAXAAiAEQARQBTAEMAUgBJAFAAVABJAE8ATgA6ACAAIAAgACAAIAAgACAAkiFQAHIAaQBjAGUAIAB0AG8AIABDAGEAcwBoACAAKABQAC8AQwBGACkAIABSAGEAdABpAG8AIAAgAGkAcwAgAGEAIABzAHQAbwBjAGsAIAB2AGEAbAB1AGEAdABpAG8AbgAgAGkAbgBkAGkAYwBhAHQAbwByACAAbwByACAAbQB1AGwAdABpAHAAbABlACAAdABoAGEAdAAgALYAXAAiACAAJgAgAFwAbgAgACAAIAAgACAAIAAgACAAIAAgACAAIAAgACAAIAAgACAAIAAgACAAIAAgACAAIAAgACAAIAAgACAAIAAgACAAIAAgACAAIAAgACAAIAAgACAAIAAgAFwAIgCSIW0AZQBhAHMAdQByAGUAcwAgAHQAaABlACAAdgBhAGwAdQBlACAAbwBmACAAYQAgAHMAdABvAGMAawAZIHMAIABwAHIAaQBjAGUAIAByAGUAbABhAHQAaQB2AGUAIAB0AG8AIABpAHQAcwAgAG8AcABlAHIAYQB0AGkAbgBnACAAYwBhAHMAaAAgAGYAbABvAHcAIAC2AFwAIgAgACYAIABcAG4AIAAgACAAIAAgACAAIAAgACAAIAAgACAAIAAgACAAIAAgACAAIAAgACAAIAAgACAAIAAgACAAIAAgACAAIAAgACAAIAAgACAAIAAgACAAIAAgACAAIABcACIAkiFwAGUAcgAgAHMAaABhAHIAZQAgACgATQBhAHIAawBlAHQAIABQAHIAaQBjAGUAIABQAGUAcgAgAFMAaABhAHIAZQAvAE8AcABlAHIAYQB0AGkAbgBnACAAQwBhAHMAaAAgAEYAbABvAHc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jAGEAcwBoAC0AZgBsAG8Ad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PAHAAZQByAGEAdABpAG4AZwBDAGEAcwBoAEYAbABvAHcAUABlAHIAUwBoAGEAcgBlAJIhKABSAGUAcQB1AGkAcgBlAGQAKQAgAE8AcABlAHIAYQB0AGkAbgBnACAAQwBhAHMAaAAgAEYAbABvAHcAIABmAG8AcgAgAHAAcgBpAG8AcgAgADEAMgAgAG0AbwBuAHQAaABzAC8AUwBoAGEAcgBlAHMAIABvAHUAdABzAHQAYQBuAGQAaQBuAGc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gACAAIAAgACAAIAAgACAAIAAgACAAIAAgACAAIAAgACAAIACSIT0AbwB6AC4AUAByAGkAYwBlAFQAbwBDAGEAcwBoAFIAYQB0AGkAbwC7AygAIAAyADAAMA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PAHAAZQByAGEAdABpAG4AZwBDAGEAcwBoAEYAbABvAHcAUABlAHIAUwBoAGEAcgBlACkAXABuACAAIAAgACAAIAAgACAAIAAgACAAIAAgACAAIAAgACAAIAAgACAAIAAgACAAIAAgACkALABcAG4AIAAgACAAIAAvAC8AIAAgAFAAcgBvAGMAZQBkAHUAcgBlAFwAbgAgACAAIAAgACAAIAAgACAAUgBlAHMAdQBsAHQALAAgACAAIAAgACAAIAAgACAAIABNAGEAcgBrAGUAdABQAHIAaQBjAGUAUABlAHIAUwBoAGEAcgBlAC8ATwBwAGUAcgBhAHQAaQBuAGcAQwBhAHMAaABGAGwAbwB3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IAVgBQAFMAuwNcAG4AIAAgACAAIABEAEUAUwBDAFIASQBQAFQASQBPAE4AOgAqAC8ALwAqACoAQgBvAG8AawAgAHYAYQBsAHUAZQAgAHAAZQByACAAcwBoAGEAcgBlACAAcgBhAHQAaQBvACAAaQBzACAAYQBuACAAaQBuAGQAaQBjAGEAdABvAHIAIABvAGYAIAB0AGgAZQAgAHYAYQBsAHUAZQAgAG8AZgAgAGEAIABjAG8AbQBwAGEAbgB5ABkgcwAgAHMAdABvAGMAawAgAFwAbgAoAFMAaABhAHIAZQBoAG8AbABkAGUAcgBzACcAIABFAHEAdQBpAHQAeQAgAC0AIABQAHIAZQBmAGUAcgByAGUAZAAgAFMAdABvAGMAawApAC8AQQB2AGUAcgBhAGcAZQAgAFMAaABhAHIAZQBzACAATwB1AHQAcwB0AGEAbgBkAGkAbgBnACkAIAAqAC8AXABuAEIAVgBQAFMAuwMgAD0AIABMAEEATQBCAEQAQQAoAFwAbgAvAC8AIAAgAFAAYQByAGEAbQBlAHQAZQByACAARABlAGMAbABhAHIAYQB0AGkAbwBuAHMAXABuACAAIAAgACAAIAAgACAAIABbAFMAaABhAHIAZQBoAG8AbABkAGUAcgBzAEUAcQB1AGkAdAB5AF0ALAAgAFwAbgAgACAAIAAgACAAIAAgACAAWwBQAHIAZQBmAGUAcgByAGUAZABTAHQAbwBjAGsAXQAgACwAXABuACAAIAAgACAAIAAgACAAIABbAEEAdgBlAHIAYQBnAGU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CAFYAUABTALsDKAAgAFMAaABhAHIAZQBoAG8AbABkAGUAcgBzAEUAcQB1AGkAdAB5ACwAIABQAHIAZQBmAGUAcgByAGUAZABTAHQAbwBjAGsALAAgAEEAdgBlAHIAYQBnAGUAUwBoAGEAcgBlAHMATwB1AHQAcwB0AGEAbgBkAGkAbgBnACAAKQC2AFwAIgAgACYAIABcAG4AIAAgACAAIAAgACAAIAAgACAAIAAgACAAIAAgACAAIAAgACAAIAAgACAAIAAgACAAXAAiAEQARQBTAEMAUgBJAFAAVABJAE8ATgA6ACAAIAAgACAAIAAgACAAkiFCAG8AbwBrACAAdgBhAGwAdQBlACAAcABlAHIAIABzAGgAYQByAGUAIAByAGEAdABpAG8AIABpAHMAIABhAG4AIABpAG4AZABpAGMAYQB0AG8AcgAgAG8AZgAgAHQAaABlACAAdgBhAGwAdQBlACAAbwBmACAAYQAgAGMAbwBtAHAAYQBuAHkAGSBzACAAcwB0AG8AYwBrALYAXAAiACAAJgAgAFwAbgAgACAAIAAgACAAIAAgACAAIAAgACAAIAAgACAAIAAgACAAIAAgACAAIAAgACAAIAAgACAAIAAgACAAIAAgACAAIAAgACAAIAAgACAAIAAgACAAIAAgAFwAIgCSISgAUwBoAGEAcgBlAGgAbwBsAGQAZQByAHMAJwAgAEUAcQB1AGkAdAB5ACAALQAgAFAAcgBlAGYAZQByAHIAZQBkACAAUwB0AG8AYwBrACkALwBBAHYAZQByAGEAZwBlACAAUwBoAGEAcgBlAHMAIABPAHUAdABzAHQAYQBuAGQAaQBuAGcAKQC2AFwAIgAgACYAIABcAG4AIAAgACAAIAAgACAAIAAgACAAIAAgACAAIAAgACAAIAAgACAAIAAgACAAIAAgACAAXAAiAFcARQBCAFAAQQBHAEUAOgAgACAAIAAgACAAIAAgACAAIAAgACAAkiFoAHQAdABwAHMAOgAvAC8AYwBvAHIAcABvAHIAYQB0AGUAZgBpAG4AYQBuAGMAZQBpAG4AcwB0AGkAdAB1AHQAZQAuAGMAbwBtAC8AcgBlAHMAbwB1AHIAYwBlAHMALwB2AGEAbAB1AGEAdABpAG8AbgAvAGIAbwBvAGsALQB2AGEAbAB1AGUALQBwAGUAcgAtAHMAaABhAHIAZQAtAGIAdgBwAHMALw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AAcgBlAGYAZQByAHIAZQBkAFMAdABvAGMAawAgACAAIAAgACAAkiEoAFIAZQBxAHUAaQByAGUAZAApACAAUAByAGUAZgBlAHIAcgBlAGQAIABTAHQAbwBjAGsAIAAoAHMAZQBjAHUAcgBpAHQAaQBlAHMAIAB0AGgAYQB0ACAAcgBlAHAAcgBlAHMAZQBuAHQAIABvAHcAbgBlAHIAcwBoAGkAcAAgAGkAbgAgAGEAIABjAG8AcgBwAG8AcgBhAHQAaQBvAG4AKQAuALYAXAAiACAAJgAgAFwAbgAgACAAIAAgACAAIAAgACAAIAAgACAAIAAgACAAIAAgACAAIAAgACAAIAAgACAAIABcACIAQQB2AGUAcgBhAGcAZQBTAGgAYQByAGUAcwBPAHUAdABzAHQAYQBuAGQAaQBuAGcAkiEoAFIAZQBxAHUAaQByAGUAZAApACAAQQB2AGUAcgBhAGcAZQAgAFMAaABhAHIAZQBzACAATwB1AHQAIABTAHQAYQBuAGQAaQBuAGc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QAgACAAIAAgACAAIAAgACAAIAAgACAAIAAgACAAIAAgACAAIACSIT0AbwB6AC4AQgBWAFAAUwC7AygAMgAwAC4AMAAsACAANQAuADAALAAgAEEAVgBFAFIAQQBHAEUAKAAgADIALgA5ACwAIAAzAC4AMQ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QAHIAZQBmAGUAcgByAGUAZABTAHQAbwBjAGsAKQAsAFwAbgAgACAAIAAgACAAIAAgACAAIAAgACAAIAAgACAAIAAgACAAIAAgACAAIAAgACAAIAAgACAAIAAgAEkAUwBPAE0ASQBUAFQARQBEACgAIABBAHYAZQByAGEAZwBlAFMAaABhAHIAZQBzAE8AdQB0AHMAdABhAG4AZABpAG4AZwApAFwAbgAgACAAIAAgACAAIAAgACAAIAAgACAAIAAgACAAIAAgACAAIAAgACAAIAAgACAAIAApACwAXABuACAAIAAgACAALwAvACAAIABQAHIAbwBjAGUAZAB1AHIAZQBcAG4AIAAgACAAIAAgACAAIAAgAFIAZQBzAHUAbAB0ACwAIAAgACAAIAAgACAAIAAgACAAKABTAGgAYQByAGUAaABvAGwAZABlAHIAcwBFAHEAdQBpAHQAeQAgAC0AIABQAHIAZQBmAGUAcgByAGUAZABTAHQAbwBjAGsAKQAvAEEAdgBlAHIAYQBnAGU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DAEEAUABFAFIAYQB0AGkAbwC7A1wAbgAgACAAIAAgAEQARQBTAEMAUgBJAFAAVABJAE8ATgA6ACoALwAvACoAKgBDAEEAUABFACAAUgBhAHQAaQBvACAAaQBzACAAYQAgAHYAYQBsAHUAYQB0AGkAbwBuACAAbQBlAGEAcwB1AHIAZQAgAHQAaABhAHQAIAB1AHMAZQBzACAAcgBlAGEAbAAgAGUAYQByAG4AaQBuAGcAcwAgAHAAZQByACAAcwBoAGEAcgBlACAAKABFAFAAUwApACAAbwB2AGUAcgAgAGEAIAAxADAALQB5AGUAYQByACAAcABlAHIAaQBvAGQAXABuAHQAbwAgAHMAbQBvAG8AdABoACAAbwB1AHQAIABmAGwAdQBjAHQAdQBhAHQAaQBvAG4AcwAgAGkAbgAgAGMAbwByAHAAbwByAGEAdABlACAAcAByAG8AZgBpAHQAcwAgAHQAaABhAHQAIABvAGMAYwB1AHIAIABvAHYAZQByACAAZABpAGYAZgBlAHIAZQBuAHQAIABwAGUAcgBpAG8AZABzACAAbwBmACAAYQAgAGIAdQBzAGkAbgBlAHMAcwBcAG4AYwB5AGMAbABlACAAKABhAGsAYQAgAFMAaABpAGwAbABlAHIAIABQAEUAIABSAGEAdABpAG8AKQAgACgAUwBoAGEAcgBlACAAUAByAGkAYwBlAC8AVABlAG4AIABZAGUAYQByACAAQQB2AGUAcgBhAGcAZQAgAEUAYQByAG4AaQBuAGcAcwAgAEkAbgBmAGwAYQB0AGkAbwBuACAAQQBkAGoAdQBzAHQAZQBkACkAIAAqAC8AXABuAEMAQQBQAEUAUgBhAHQAaQBvALsDIAA9ACAATABBAE0AQgBEAEEAKABcAG4ALwAvACAAIABQAGEAcgBhAG0AZQB0AGUAcgAgAEQAZQBjAGwAYQByAGEAdABpAG8AbgBzAFwAbgAgACAAIAAgACAAIAAgACAAWwBTAGgAYQByAGUAUAByAGkAYwBlAF0ALAAgACAAXABuACAAIAAgACAAIAAgACAAIABbAFQAZQBuAFkAZQBhAHIAQQB2AGUAcgBhAGcAZQBFAGEAcgBuAGkAbgBnAHMASQBuAGYAbABhAHQAaQBvAG4AQQBkAGoAdQBzAHQAZQBkAF0ALAAgACAAIAAgAFwAbgAvAC8AIAAgAEgAZQBsAHAAXABuACAAIAAgACAATABFAFQAKABIAGUAbABwACwAIAAgACAAVABSAEkATQAoAFQARQBYAFQAUwBQAEwASQBUACgAIABcAG4AIAAgACAAIAAgACAAIAAgACAAIAAgACAAIAAgACAAIAAgACAAIAAgACAAIAAgACAAXAAiAEYAVQBOAEMAVABJAE8ATgA6ACAAIAAgACAAIAAgAJIhQwBBAFAARQBSAGEAdABpAG8AuwMoACAAUwBoAGEAcgBlAFAAcgBpAGMAZQAsACAAVABlAG4AWQBlAGEAcgBBAHYAZQByAGEAZwBlAEUAYQByAG4AaQBuAGcAcwBJAG4AZgBsAGEAdABpAG8AbgBBAGQAagB1AHMAdABlAGQAIAApALYAXAAiACAAJgAgAFwAbgAgACAAIAAgACAAIAAgACAAIAAgACAAIAAgACAAIAAgACAAIAAgACAAIAAgACAAIABcACIARABFAFMAQwBSAEkAUABUAEkATwBOADoAIAAgACAAkiFDAEEAUABFACAAUgBhAHQAaQBvACAAaQBzACAAYQAgAHYAYQBsAHUAYQB0AGkAbwBuACAAbQBlAGEAcwB1AHIAZQAgAHQAaABhAHQAIAB1AHMAZQBzACAAcgBlAGEAbAAgAGUAYQByAG4AaQBuAGcAcwAgAHAAZQByACAAcwBoAGEAcgBlACAAKABFAFAAUwApACAAbwB2AGUAcgAgAGEAIAAxADAALQB5AGUAYQByACAAcABlAHIAaQBvAGQAIAC2AFwAIgAgACYAIABcAG4AIAAgACAAIAAgACAAIAAgACAAIAAgACAAIAAgACAAIAAgACAAIAAgACAAIAAgACAAIAAgACAAIAAgACAAIAAgACAAIAAgACAAIAAgACAAIABcACIAkiF0AG8AIABzAG0AbwBvAHQAaAAgAG8AdQB0ACAAZgBsAHUAYwB0AHUAYQB0AGkAbwBuAHMAIABpAG4AIABjAG8AcgBwAG8AcgBhAHQAZQAgAHAAcgBvAGYAaQB0AHMAIAB0AGgAYQB0ACAAbwBjAGMAdQByACAAbwB2AGUAcgAgAGQAaQBmAGYAZQByAGUAbgB0ACAAcABlAHIAaQBvAGQAcwAgAG8AZgAgAGEAIABiAHUAcwBpAG4AZQBzAHMAIAC2AFwAIgAgACYAIABcAG4AIAAgACAAIAAgACAAIAAgACAAIAAgACAAIAAgACAAIAAgACAAIAAgACAAIAAgACAAIAAgACAAIAAgACAAIAAgACAAIAAgACAAIAAgACAAIABcACIAkiFjAHkAYwBsAGUAIAAoAGEAawBhACAAUwBoAGkAbABsAGUAcgAgAFAARQAgAFIAYQB0AGkAbwApACAAKABTAGgAYQByAGUAIABQAHIAaQBjAGUALwBUAGUAbgAgAFkAZQBhAHIAIABBAHYAZQByAGEAZwBlACAARQBhAHIAbgBpAG4AZwBzACAASQBuAGYAbABhAHQAaQBvAG4AIABBAGQAagB1AHMAdABlAGQAKQC2AFwAIgAgACYAIABcAG4AIAAgACAAIAAgACAAIAAgACAAIAAgACAAIAAgACAAIAAgACAAIAAgACAAIAAgACAAXAAiAFcARQBCAFAAQQBHAEUAOgAgACAAIAAgACAAIAAgAJIhaAB0AHQAcABzADoALwAvAHcAdwB3AC4AaQBuAHYAZQBzAHQAbwBwAGUAZABpAGEALgBjAG8AbQAvAHQAZQByAG0AcwAvAGMALwBjAGEAcABlAC0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MAaABhAHIAZQBQAHIAaQBjAGUAIAAgACAAIAAgAJIhKABSAGUAcQB1AGkAcgBlAGQAKQAgAEMAdQByAHIAZQBuAHQAIABzAHQAbwBjAGsAIABwAHIAaQBjAGUAIAC2AFwAIgAgACYAIABcAG4AIAAgACAAIAAgACAAIAAgACAAIAAgACAAIAAgACAAIAAgACAAIAAgACAAIAAgACAAXAAiAFQAZQBuAFkAZQBhAHIAQQB2AGUAcgBhAGcAZQBFAGEAcgBuAGkAbgBnAHMASQBuAGYAbABhAHQAaQBvAG4AQQBkAGoAdQBzAHQAZQBkAJIhKABSAGUAcQB1AGkAcgBlAGQAKQAgAEEAdgBlAHIAYQBnAGUAIABlAGEAcgBuAGkAbgBnAHMAIABwAGUAcgAgAHMAaABhAHIAZQAgAGYAbwByACAAMQAwACAAeQBlAGEAcgBzACAAYQBkAGoAdQBzAHQAZQBkACAAZgBvAHIAIABpAG4AZgBsAGEAdABpAG8Abg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wACAAIAAgACAAIAAgACAAIAAgACAAIAAgACAAkiE9AG8AegAuAEMAQQBQAEUAUgBhAHQAaQBvALsDKAAgADEAMAAwAC4AMAAsACAAMQAwAC4AMAAg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FQAZQBuAFkAZQBhAHIAQQB2AGUAcgBhAGcAZQBFAGEAcgBuAGkAbgBnAHMASQBuAGYAbABhAHQAaQBvAG4AQQBkAGoAdQBzAHQAZQBkACkAXABuACAAIAAgACAAIAAgACAAIAAgACAAIAAgACAAIAAgACAAIAAgACAAIAAgACAAIAAgACkALABcAG4AIAAgACAAIAAvAC8AIAAgAFAAcgBvAGMAZQBkAHUAcgBlAFwAbgAgACAAIAAgACAAIAAgACAAUgBlAHMAdQBsAHQALAAgACAAIAAgACAAIAAgACAAIABTAGgAYQByAGUAUAByAGkAYwBlAC8AVABlAG4AWQBlAGEAcgBBAHYAZQByAGEAZwBlAEUAYQByAG4AaQBuAGcAcwBJAG4AZgBsAGEAdABpAG8AbgBBAGQAagB1AHMAdABlAG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ABSALsDXABuACAAIAAgACAARABFAFMAQwBSAEkAUABUAEkATwBOADoAKgAvAC8AKgAqAEQAaQB2AGkAZABlAG4AZAAgAFAAYQB5AG8AdQB0ACAAUgBhAHQAaQBvACAAaQBzACAAdABoAGUAIABwAGUAcgBjAGUAbgB0AGEAZwBlACAAbwBmACAAZQBhAHIAbgBpAG4AZwBzACAAcABhAGkAZAAgAHQAbwAgAHMAaABhAHIAZQBoAG8AbABkAGUAcgBzACAAdgBpAGEAIABkAGkAdgBpAGQAZQBuAGQAcwBcAG4AIAAgACAAIAAoAEQAaQB2AGkAZABlAG4AZABzAFAAYQBpAGQALwBOAGUAdABJAG4AYwBvAG0AZQApACAAKgAvAFwAbgBEAFAAUgC7AyAAPQAgAEwAQQBNAEIARABBACgAXABuAC8ALwAgACAAUABhAHIAYQBtAGUAdABlAHIAIABEAGUAYwBsAGEAcgBhAHQAaQBvAG4AcwBcAG4AIAAgACAAIAAgACAAIAAgAFsARABpAHYAaQBkAGUAbgBkAHMAUABhAGkAZA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CSIUQAUABSALsDKAAgAEQAaQB2AGkAZABlAG4AZABzAFAAYQBpAGQALAAgAE4AZQB0AEkAbgBjAG8AbQBlACAAKQC2AFwAIgAgACYAIABcAG4AIAAgACAAIAAgACAAIAAgACAAIAAgACAAIAAgACAAIAAgACAAIAAgACAAIAAgACAAXAAiAEQARQBTAEMAUgBJAFAAVABJAE8ATgA6ACAAIAAgAJIhRABpAHYAaQBkAGUAbgBkACAAUABhAHkAbwB1AHQAIABSAGEAdABpAG8AIABpAHMAIAB0AGgAZQAgAHAAZQByAGMAZQBuAHQAYQBnAGUAIABvAGYAIABlAGEAcgBuAGkAbgBnAHMAIABwAGEAaQBkACAAdABvACAAcwBoAGEAcgBlAGgAbwBsAGQAZQByAHMAIAB2AGkAYQAgAGQAaQB2AGkAZABlAG4AZABzALYAXAAiACAAJgAgAFwAbgAgACAAIAAgACAAIAAgACAAIAAgACAAIAAgACAAIAAgACAAIAAgACAAIAAgACAAIAAgACAAIAAgACAAIAAgACAAIAAgACAAIAAgACAAIABcACIAkiEoAEQAaQB2AGkAZABlAG4AZABzAFAAYQBpAGQALwBOAGUAdABJAG4AYwBvAG0AZQApALYAXAAiACAAJgAgAFwAbgAgACAAIAAgACAAIAAgACAAIAAgACAAIAAgACAAIAAgACAAIAAgACAAIAAgACAAIABcACIAVwBFAEIAUABBAEcARQA6ACAAIAAgACAAIAAgACAAkiFoAHQAdABwAHMAOgAvAC8AdwB3AHcALgBpAG4AdgBlAHMAdABvAHAAZQBkAGkAYQAuAGMAbwBtAC8AdABlAHIAbQBzAC8AZAAvAGQAaQB2AGkAZABlAG4AZABwAGEAeQBvAHUAdA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RABpAHYAaQBkAGUAbgBkAHMAUABhAGkAZAAgACAAkiEoAFIAZQBxAHUAaQByAGUAZAApACAARABpAHYAaQBkAGUAbgBkAHMAIABwAGEAaQBkACAA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gA1ACUAIAAgACAAIAAgACAAIAAgACAAIAAgACAAkiE9AG8AegAuAEQAUABSALsDKAAgADUALgAwACwAIAAy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pAHYAaQBkAGUAbgBkAHMAUABhAGkAZA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EAGkAdgBpAGQAZQBuAGQAcwBQAGEAaQBkAC8ATgBlAHQASQBuAGMAbwBt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aQB2AGkAZABlAG4AZABZAGkAZQBsAGQAUgBhAHQAaQBvALsDXABuACAAIAAgACAARABFAFMAQwBSAEkAUABUAEkATwBOADoAKgAvAC8AKgAqAEQAaQB2AGkAZABlAG4AZAAgAHkAaQBlAGwAZAAgAHIAYQB0AGkAbwAgAHMAaABvAHcAcwAgAGgAbwB3ACAAbQB1AGMAaAAgAGEAIABjAG8AbQBwAGEAbgB5ACAAcABhAHkAcwAgAG8AdQB0ACAAaQBuACAAZABpAHYAaQBkAGUAbgBkAHMAIABcAG4AZQBhAGMAaAAgAHkAZQBhAHIAIAByAGUAbABhAHQAaQB2AGUAIAB0AG8AIABpAHQAcwAgAHMAdABvAGMAawAgAHAAcgBpAGMAZQAgACgAQQBuAG4AdQBhAGwAIABEAGkAdgBpAGQAZQBuAGQAcwAgAFAAZQAgAHIAUwBoAGEAcgBlAC8AUwBoAGEAcgBlACAAUAByAGkAYwBlACkAIAAqAC8AXABuAEQAaQB2AGkAZABlAG4AZABZAGkAZQBsAGQAUgBhAHQAaQBvALsDIAA9ACAATABBAE0AQgBEAEEAKABcAG4ALwAvACAAIABQAGEAcgBhAG0AZQB0AGUAcgAgAEQAZQBjAGwAYQByAGEAdABpAG8AbgBzAFwAbgAgACAAIAAgACAAIAAgACAAWwBBAG4AbgB1AGEAbABEAGkAdgBpAGQAZQBuAGQAcwBQAGUAcgBTAGgAYQByAGUAXQAsACAAIABcAG4AIAAgACAAIAAgACAAIAAgAFsAUwBoAGEAcgBlAFAAcgBpAGMAZQBdACwAIAAgACAAIABcAG4ALwAvACAAIABIAGUAbABwAFwAbgAgACAAIAAgAEwARQBUACgASABlAGwAcAAsACAAIAAgAFQAUgBJAE0AKABUAEUAWABUAFMAUABMAEkAVAAoACAAXABuACAAIAAgACAAIAAgACAAIAAgACAAIAAgACAAIAAgACAAIAAgACAAIAAgACAAIAAgAFwAIgBGAFUATgBDAFQASQBPAE4AOgAgACAAIAAgACAAIACSIUQAaQB2AGkAZABlAG4AZABZAGkAZQBsAGQAUgBhAHQAaQBvALsDKAAgAEEAbgBuAHUAYQBsAEQAaQB2AGkAZABlAG4AZABzAFAAZQByAFMAaABhAHIAZQAsACAAUwBoAGEAcgBlAFAAcgBpAGMAZQApALYAXAAiACAAJgAgAFwAbgAgACAAIAAgACAAIAAgACAAIAAgACAAIAAgACAAIAAgACAAIAAgACAAIAAgACAAIABcACIARABFAFMAQwBSAEkAUABUAEkATwBOADoAIAAgACAAkiFEAGkAdgBpAGQAZQBuAGQAIAB5AGkAZQBsAGQAIAByAGEAdABpAG8AIABzAGgAbwB3AHMAIABoAG8AdwAgAG0AdQBjAGgAIABhACAAYwBvAG0AcABhAG4AeQAgAHAAYQB5AHMAIABvAHUAdAAgAGkAbgAgAGQAaQB2AGkAZABlAG4AZABzACAAtgBcACIAIAAmACAAXABuACAAIAAgACAAIAAgACAAIAAgACAAIAAgACAAIAAgACAAIAAgACAAIAAgACAAIAAgACAAIAAgACAAIAAgACAAIAAgACAAIAAgACAAIAAgAFwAIgCSIWUAYQBjAGgAIAB5AGUAYQByACAAcgBlAGwAYQB0AGkAdgBlACAAdABvACAAaQB0AHMAIABzAHQAbwBjAGsAIABwAHIAaQBjAGUAIAAoAEEAbgBuAHUAYQBsACAARABpAHYAaQBkAGUAbgBkAHMAIABQAGUAIAByAFMAaABhAHIAZQAvAFMAaABhAHIAZQAgAFAAcgBpAGMAZQApALYAXAAiACAAJgAgAFwAbgAgACAAIAAgACAAIAAgACAAIAAgACAAIAAgACAAIAAgACAAIAAgACAAIAAgACAAIABcACIAVwBFAEIAUABBAEcARQA6ACAAIAAgACAAIAAgACAAkiFoAHQAdABwAHMAOgAvAC8AdwB3AHcALgBpAG4AdgBlAHMAdABvAHAAZQBkAGkAYQAuAGMAbwBtAC8AdABlAHIAbQBzAC8AZAAvAGQAaQB2AGkAZABlAG4AZAB5AGkAZQBsAGQ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QBuAG4AdQBhAGwARABpAHYAaQBkAGUAbgBkAHMAUABlAHIAUwBoAGEAcgBlAJIhKABSAGUAcQB1AGkAcgBlAGQAKQAgAEEAbgBuAHUAYQBsACAARABpAHYAaQBkAGUAbgBkAHMAIABQAGUAcgAgAFMAaABhAHIAZQAgALYAXAAiACAAJgAgAFwAbgAgACAAIAAgACAAIAAgACAAIAAgACAAIAAgACAAIAAgACAAIAAgACAAIAAgACAAIABcACIAUwBoAGEAcgBlAFAAcgBpAGMAZQAgACAAIAAgACAAkiEoAFIAZQBxAHUAaQByAGUAZAApACAATQBhAHIAawBlAHQAIAB2AGEAbAB1AGUAIABwAGUAcgAgAHMAaABhAHIAZQ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gAuADYANgA2ADcAJQAgACAAIAAgACAAIAAgACAAkiE9AG8AegAuAEQAaQB2AGkAZABlAG4AZABZAGkAZQBsAGQAUgBhAHQAaQBvALsDKAAgADEALgAyACwAIAA0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G4AbgB1AGEAbABEAGkAdgBpAGQAZQBuAGQAcwBQAGUAcgBTAGgAYQByAGUAKQAsAFwAbgAgACAAIAAgACAAIAAgACAAIAAgACAAIAAgACAAIAAgACAAIAAgACAAIAAgACAAIAAgACAAIAAgAEkAUwBPAE0ASQBUAFQARQBEACgAIABTAGgAYQByAGUAUAByAGkAYwBlACkAXABuACAAIAAgACAAIAAgACAAIAAgACAAIAAgACAAIAAgACAAIAAgACAAIAAgACAAIAAgACkALABcAG4AIAAgACAAIAAvAC8AIAAgAFAAcgBvAGMAZQBkAHUAcgBlAFwAbgAgACAAIAAgACAAIAAgACAAUgBlAHMAdQBsAHQALAAgACAAIAAgACAAIAAgACAAIABBAG4AbgB1AGEAbABEAGkAdgBpAGQAZQBuAGQAcwBQAGUAcgBTAGgAYQByAGUALwBTAGgAYQByAGUAUAByAGkAYw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RQBQAFMAuwNcAG4AIAAgACAAIABEAEUAUwBDAFIASQBQAFQASQBPAE4AOgAqAC8ALwAqACoARQBhAHIAbgBpAG4AZwBzACAAcABlAHIAIABzAGgAYQByAGUAIABtAGUAYQBzAHUAcgBlAHMAIABwAHIAbwBmAGkAdABhAGIAaQBsAGkAdAB5ACAAaQBuAGQAaQBjAGEAdABpAG4AZwAgAGgAbwB3ACAAbQB1AGMAaAAgAHAAcgBvAGYAaQB0ACAAZQBhAGMAaAAgAFwAbgBvAHUAdABzAHQAYQBuAGQAaQBuAGcAIABzAGgAYQByAGUAIABvAGYAIABjAG8AbQBtAG8AbgAgAHMAdABvAGMAawAgAGgAYQBzACAAZQBhAHIAbgBlAGQAIABcAG4AIAAgACAAIAAoAE4AZQB0ACAASQBuAGMAbwBtAGUAIAAtACAAUAByAGUAZgBlAHIAcgBlAGQAIABEAGkAdgBpAGQAZQBuAGQAcwApAC8ARQBuAGQAIABPAGYAIABQAGUAcgBpAG8AZAAgAEMAbwBtAG0AbwBuACAAUwBoAGEAcgBlAHMAIABPAHUAdABzAHQAYQBuAGQAaQBuAGcAKQAgACoALwBcAG4ARQBQAFMAuwMgAD0AIABMAEEATQBCAEQAQQAoAFwAbgAvAC8AIAAgAFAAYQByAGEAbQBlAHQAZQByACAARABlAGMAbABhAHIAYQB0AGkAbwBuAHMAXABuACAAIAAgACAAIAAgACAAIABbAE4AZQB0AEkAbgBjAG8AbQBlAF0ALAAgACAAXABuACAAIAAgACAAIAAgACAAIABbAFAAcgBlAGYAZQByAHIAZQBkAEQAaQB2AGkAZABlAG4AZABzAF0ALAAgACAAIAAgAFwAbgAgACAAIAAgACAAIAAgACAAWwBFAG4AZABPAGYAUABlAHIAaQBvAGQAQwBvAG0AbQBvAG4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FAFAAUwC7AygAIABOAGUAdABJAG4AYwBvAG0AZQAsACAAUAByAGUAZgBlAHIAcgBlAGQARABpAHYAaQBkAGUAbgBkAHMALAAgAEUAbgBkAE8AZgBQAGUAcgBpAG8AZABDAG8AbQBtAG8AbgBTAGgAYQByAGUAcwBPAHUAdABzAHQAYQBuAGQAaQBuAGcAKQC2AFwAIgAgACYAIABcAG4AIAAgACAAIAAgACAAIAAgACAAIAAgACAAIAAgACAAIAAgACAAIAAgACAAIAAgACAAXAAiAEQARQBTAEMAUgBJAFAAVABJAE8ATgA6ACAAIAAgACAAIAAgACAAkiFFAGEAcgBuAGkAbgBnAHMAIABwAGUAcgAgAHMAaABhAHIAZQAgAG0AZQBhAHMAdQByAGUAcwAgAHAAcgBvAGYAaQB0AGEAYgBpAGwAaQB0AHkAIABpAG4AZABpAGMAYQB0AGkAbgBnACAAaABvAHcAIABtAHUAYwBoACAAcAByAG8AZgBpAHQAIABlAGEAYwBoACAAtgBcACIAIAAmACAAXABuACAAIAAgACAAIAAgACAAIAAgACAAIAAgACAAIAAgACAAIAAgACAAIAAgACAAIAAgACAAIAAgACAAIAAgACAAIAAgACAAIAAgACAAIAAgACAAIAAgACAAXAAiAJIhbwB1AHQAcwB0AGEAbgBkAGkAbgBnACAAcwBoAGEAcgBlACAAbwBmACAAYwBvAG0AbQBvAG4AIABzAHQAbwBjAGsAIABoAGEAcwAgAGUAYQByAG4AZQBkACAAtgBcACIAIAAmACAAXABuACAAIAAgACAAIAAgACAAIAAgACAAIAAgACAAIAAgACAAIAAgACAAIAAgACAAIAAgACAAIAAgACAAIAAgACAAIAAgACAAIAAgACAAIAAgACAAIAAgACAAXAAiAJIhKABOAGUAdAAgAEkAbgBjAG8AbQBlACAALQAgAFAAcgBlAGYAZQByAHIAZQBkACAARABpAHYAaQBkAGUAbgBkAHMAKQAvAEUAbgBkACAATwBmACAAUABlAHIAaQBvAGQAIABDAG8AbQBtAG8AbgAgAFMAaABhAHIAZQBzACAATwB1AHQAcwB0AGEAbgBkAGkAbgBnACkAtgBcACIAIAAmACAAXABuACAAIAAgACAAIAAgACAAIAAgACAAIAAgACAAIAAgACAAIAAgACAAIAAgACAAIAAgAFwAIgBXAEUAQgBQAEEARwBFADoAIAAgACAAIAAgACAAIAAgACAAIAAgAJIhaAB0AHQAcABzADoALwAvAHcAdwB3AC4AaQBuAHYAZQBzAHQAbwBwAGUAZABpAGEALgBjAG8AbQAvAHQAZQByAG0AcwAvAGUALwBlAHAAc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AgALYAXAAiACAAJgAgAFwAbgAgACAAIAAgACAAIAAgACAAIAAgACAAIAAgACAAIAAgACAAIAAgACAAIAAgACAAIABcACIAUAByAGUAZgBlAHIAcgBlAGQARABpAHYAaQBkAGUAbgBkAHMAIACSISgAUgBlAHEAdQBpAHIAZQBkACkAIABEAGkAdgBpAGQAZQBuAGQAcwAgAHAAYQBpAGQAIABvAG4AIABwAHIAZQBmAGUAcgBlAGQAIABzAHQAbwBjAGsAtgBcACIAIAAmACAAXABuACAAIAAgACAAIAAgACAAIAAgACAAIAAgACAAIAAgACAAIAAgACAAIAAgACAAIAAgAFwAIgBFAG4AZABPAGYAUABlAHIAaQBvAGQAQwBvAG0AbQBvAG4AUwBoAGEAcgBlAHMATwB1AHQAcwB0AGEAbgBkAGkAbgBnAJIhKABSAGUAcQB1AGkAcgBlAGQAKQAgAEUAbgBkACAAbwBmACAAUABlAHIAaQBvAGQAcwAgAEMAbwBtAG0AbwBuACAAUwBoAGEAcgBlAHMAIABvAHUAdABzAHQAYQBuAGQAaQBuAGcAIABvAHIAIAC2AFwAIgAgACYAIABcAG4AIAAgACAAIAAgACAAIAAgACAAIAAgACAAIAAgACAAIAAgACAAIAAgACAAIAAgACAAIAAgACAAIAAgACAAIAAgACAAIAAgACAAIAAgACAAIAAgACAAIABcACIAkiFXAGUAaQBnAGgAdABlAGQAIABhAHYAZQByAGEAZwBlACAAbgB1AG0AYgBlAHIAIABvAGYAIABzAGgAYQByAGUAcwAgAG8AdQB0AHMAdABhAG4AZABpAG4AZw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QAuADkAMAA5ADUANAA4ACAAIAAgACAAIAAgACAAIAAgACAAIACSIT0AbwB6AC4ARQBQAFMAuwMoACAANwAuADYALAAgADAALAAgADMALgA5ADg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AAcgBlAGYAZQByAHIAZQBkAEQAaQB2AGkAZABlAG4AZABzACkALABcAG4AIAAgACAAIAAgACAAIAAgACAAIAAgACAAIAAgACAAIAAgACAAIAAgACAAIAAgACAAIAAgACAAIABJAFMATwBNAEkAVABUAEUARAAoACAARQBuAGQATwBmAFAAZQByAGkAbwBkAEMAbwBtAG0AbwBuAFMAaABhAHIAZQBzAE8AdQB0AHMAdABhAG4AZABpAG4AZwApAFwAbgAgACAAIAAgACAAIAAgACAAIAAgACAAIAAgACAAIAAgACAAIAAgACAAIAAgACAAIAApACwAXABuACAAIAAgACAALwAvACAAIABQAHIAbwBjAGUAZAB1AHIAZQBcAG4AIAAgACAAIAAgACAAIAAgAFIAZQBzAHUAbAB0ACwAIAAgACAAIAAgACAAIAAgACAAKABOAGUAdABJAG4AYwBvAG0AZQAtAFAAcgBlAGYAZQByAHIAZQBkAEQAaQB2AGkAZABlAG4AZABzACkALwBFAG4AZABPAGYAUABlAHIAaQBvAGQAQwBvAG0AbQBvAG4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GUAdABlAG4AdABpAG8AbgBSAGEAdABpAG8AuwNcAG4AIAAgACAAIABEAEUAUwBDAFIASQBQAFQASQBPAE4AOgAqAC8ALwAqACoAUgBlAHQAZQBuAHQAaQBvAG4AIABSAGEAdABpAG8AIABpAHMAIAB0AGgAZQAgAHAAcgBvAHAAbwByAHQAaQBvAG4AIABvAGYAIABlAGEAcgBuAGkAbgBnAHMAIABrAGUAcAB0ACAAYgBhAGMAawAgAGkAbgAgAHQAaABlACAAXABuAGIAdQBzAGkAbgBlAHMAcwAgAGEAcwAgAHIAZQB0AGEAaQBuAGUAZAAgAGUAYQByAG4AaQBuAGcAcwAgACgAUgBlAHQAYQBpAG4AZQBkACAARQBhAHIAbgBpAG4AZwBzAC8ATgBlAHQAIABJAG4AYwBvAG0AZQApAC4AIAAqAC8AXABuAFIAZQB0AGUAbgB0AGkAbwBuAFIAYQB0AGkAbwC7AyAAPQAgAEwAQQBNAEIARABBACgAXABuAC8ALwAgACAAUABhAHIAYQBtAGUAdABlAHIAIABEAGUAYwBsAGEAcgBhAHQAaQBvAG4AcwBcAG4AIAAgACAAIAAgACAAIAAgAFsAUgBlAHQAYQBpAG4AZQBkAEUAYQByAG4AaQBuAGcAcw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AgACAAIAAgAJIhUgBlAHQAZQBuAHQAaQBvAG4AUgBhAHQAaQBvALsDKAAgAFIAZQB0AGEAaQBuAGUAZABFAGEAcgBuAGkAbgBnAHMALAAgAE4AZQB0AEkAbgBjAG8AbQBlACAAKQC2AFwAIgAgACYAIABcAG4AIAAgACAAIAAgACAAIAAgACAAIAAgACAAIAAgACAAIAAgACAAIAAgACAAIAAgACAAXAAiAEQARQBTAEMAUgBJAFAAVABJAE8ATgA6ACAAIAAgACAAIAAgACAAkiFSAGUAdABlAG4AdABpAG8AbgAgAFIAYQB0AGkAbwAgAGkAcwAgAHQAaABlACAAcAByAG8AcABvAHIAdABpAG8AbgAgAG8AZgAgAGUAYQByAG4AaQBuAGcAcwAgAGsAZQBwAHQAIABiAGEAYwBrACAAaQBuACAAdABoAGUAIAC2AFwAIgAgACYAIABcAG4AIAAgACAAIAAgACAAIAAgACAAIAAgACAAIAAgACAAIAAgACAAIAAgACAAIAAgACAAIAAgACAAIAAgACAAIAAgACAAIAAgACAAIAAgACAAIAAgACAAIABcACIAkiFiAHUAcwBpAG4AZQBzAHMAIABhAHMAIAByAGUAdABhAGkAbgBlAGQAIABlAGEAcgBuAGkAbgBnAHMAIAAoAFIAZQB0AGEAaQBuAGUAZAAgAEUAYQByAG4AaQBuAGcAcwAvAE4AZQB0ACAASQBuAGMAbwBtAGUAKQAuALYAXAAiACAAJgAgAFwAbgAgACAAIAAgACAAIAAgACAAIAAgACAAIAAgACAAIAAgACAAIAAgACAAIAAgACAAIABcACIAVwBFAEIAUABBAEcARQA6ACAAIAAgACAAIAAgACAAIAAgACAAIACSIWgAdAB0AHAAcwA6AC8ALwB3AHcAdwAuAGkAbgB2AGUAcwB0AG8AcABlAGQAaQBhAC4AYwBvAG0ALwB0AGUAcgBtAHMALwByAC8AcgBlAHQAZQBuAHQAaQBvAG4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gBlAHQAYQBpAG4AZQBkAEUAYQByAG4AaQBuAGcAcwAgACAAIACSISgAUgBlAHEAdQBpAHIAZQBkACkAIABSAGUAdABhAGkAbgBlAGQAIABFAGEAcgBuAGkAbgBnAHMAIAAoAE4AZQB0ACAASQBuAGMAbwBtAGUAIAAtACAAcABhAGkAZAAgAGQAaQB2AGkAZABlAG4AZABzACkA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NwAuADMAJQAgACAAIAAgACAAIAAgACAAIAAgACAAIAAgACAAkiE9AG8AegAuAFIAZQB0AGUAbgB0AGkAbwBuAFIAYQB0AGkAbwC7AygAIAAxADkALgA4ADYAOQAsACAANAAxAC4AOQ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gBlAHQAYQBpAG4AZQBkAEUAYQByAG4AaQBuAGcAcw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SAGUAdABhAGkAbgBlAGQARQBhAHIAbgBpAG4AZwBzAC8ATgBlAHQASQBuAGMAbwBtAGUALABcAG4AIAAgACAAIAAvAC8AIAAgAFIAZQB0AHUAcgBuACAAUgBlAHMAdQBsAHQAXABuACAAIAAgACAAIAAgACAAIABDAEgATwBPAFMARQAoAEgAZQBsAHAAPwAgACsAIAAxACwAIABSAGUAcwB1AGwAdAAsACAASABlAGwAcAApACAAIAAgACAAIAAgACAAIABcAG4AIAAgACAAIAApAFwAbgApADsAIgB9ACwAewAiAHAAYQB0AGgAIgA6ACIALwBwAHIAbwBqAGUAYwB0AHMALwBVAHQAaQBsAGkAdABpAGUAcwAiACwAIgB0AGUAeAB0ACIAOgAiAC8AKgAgACAARgBVAE4AQwBUAEkATwBOACAATgBBAE0ARQA6ACAAIABBAGIAbwB1AHQAVQB0AGkAbABpAHQAaQBlAHMAuwNcAG4AIAAgACAAIABEAEUAUwBDAFIASQBQAFQASQBPAE4AOgAqAC8ALwAqACoARABpAHMAcABsAGEAeQBzACAAdABoAGkAcwAgAG0AbwBkAHUAbABlACcAcwAgAHIAZQBwAG8AcwBpAHQAbwByAHkAIABVAFIATAAgAGEAbgBkACAAZgB1AG4AYwB0AGkAbwBuACAAbABpAHMAdAAqAC8AXABuAFwAbgBBAGIAbwB1AHQAVQB0AGkAbABpAHQAaQBlAHM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vAHoAtgBcACIAIAAmAFwAbgAgACAAIAAgAFwAIgBWAGUAcgBzAGkAbwBuADoAIAAgACAAIAAgACAAIAAgACAAIAAgACAAIAAgACAAIAAgACAAIACSITIAMAAgAEEAdQBnACAAMgAwADIANgC2AFwAIgAgACYAXABuACAAIAAgACAAXAAiAFIAZQBwAG8AcwBpAHQAbwByAHkAOgAgACAAIAAgACAAIAAgACAAIAAgACAAIAAgACAAIAAgACAAIACSIWgAdAB0AHAAcwA6AC8ALwBnAGkAdABoAHUAYgAuAGMAbwBtAC8AcgB5AGEAbgBkAHUAZwB1AGkAZAAvAE8AegB6AGkAdAAgALYAXAAiACAAJgBcAG4AIAAgACAAIABcACIAkiG2AFwAIgAgACYAXABuACAAIAAgACAAXAAiAEYAdQBuAGMAdABpAG8AbgAgACAAIAAgACAAIAAgACAAIAAgACAAIAAgACAAIAAgACAAIAAgAJIhRABlAHMAYwByAGkAcAB0AGkAbwBuALYAXAAiACAAJgAgAFwAbgAgACAAIAAgAFwAIgBBAGIAbwB1AHQAVQB0AGkAbABpAHQAaQBlAHMAuwMgACAAIAAgACAAIAAgACAAIAAgACAAIAAgACAAIAAgACAAIAAgACAAIACSIVAAcgBvAGQAdQBjAGUAcwAgAHQAaABpAHMAIAB0AGEAYgBsAGUAtgBcACIAIAAmACAAXABuACAAIAAgACAAXAAiAEMAbwB1AG4AdABDAFUAuwMgACAAIAAgACAAIAAgACAAIAAgACAAIAAgACAAIAAgACAAIAAgACAAkiFDAG8AdQBuAHQAIABoAG8AdwAgAG0AYQBuAHkAIABvAGYAIABvAG4AZQAgAG8AcgAgAG0AbwByAGUAIABjAGgAYQByAGEAYwB0AGUAcgBzACAAYQByAGUAIABpAG4AIABhACAAdABlAHgAdAAgAHMAdAByAGkAbgBnALYAXAAiACAAJgBcAG4AIAAgACAAIABcACIAUwB1AG0AQwBvAGwAcwBVALsDIAAgACAAIAAgACAAIAAgACAAIAAgACAAIAAgACAAIAAgACAAIACSIUcAZQB0ACAAdABoAGUAIAB0AG8AdABhAGwAIABvAGYAIABlAGEAYwBoACAAYwBvAGwAdQBtAG4AtgBcACIAIAAmACAAXABuACAAIAAgACAAXAAiAFMAdQBtAFIAbwB3AHMAVQC7AyAAIAAgACAAIAAgACAAIAAgACAAIAAgACAAIAAgACAAIAAgACAAkiFHAGUAdAAgAHQAaABlACAAdABvAHQAYQBsACAAbwBmACAAZQBhAGMAaAAgAHIAbwB3ALYAXAAiACAAJgAgAFwAbgAgACAAIAAgAFwAIgBBAHYAZwBDAG8AbABzAFUAuwMgACAAIAAgACAAIAAgACAAIAAgACAAIAAgACAAIAAgACAAIAAgAJIhRwBlAHQAIAB0AGgAZQAgAGEAdgBlAHIAYQBnAGUAIABvAGYAIABlAGEAYwBoACAAYwBvAGwAdQBtAG4AtgBcACIAIAAmACAAXABuACAAIAAgACAAXAAiAEEAdgBnAFIAbwB3AHMAVQC7AyAAIAAgACAAIAAgACAAIAAgACAAIAAgACAAIAAgACAAIAAgACAAkiFHAGUAdAAgAHQAaABlACAAYQB2AGUAcgBhAGcAZQAgAG8AZgAgAGUAYQBjAGgAIAByAG8AdwC2AFwAIgAgACYAIABcAG4AIAAgACAAIABcACIATQBpAG4AQwBvAGwAcwBVALsDIAAgACAAIAAgACAAIAAgACAAIAAgACAAIAAgACAAIAAgACAAIACSIUcAZQB0ACAAdABoAGUAIABtAGkAbgBpAG0AdQBtACAAbwBmACAAZQBhAGMAaAAgAGMAbwBsAHUAbQBuALYAXAAiACAAJgAgAFwAbgAgACAAIAAgAFwAIgBNAGkAbgBSAG8AdwBzAFUAuwMgACAAIAAgACAAIAAgACAAIAAgACAAIAAgACAAIAAgACAAIAAgAJIhRwBlAHQAIAB0AGgAZQAgAG0AaQBuAGkAbQB1AG0AIABvAGYAIABlAGEAYwBoACAAcgBvAHcAtgBcACIAIAAmACAAXABuACAAIAAgACAAXAAiAE0AYQB4AEMAbwBsAHMAVQC7AyAAIAAgACAAIAAgACAAIAAgACAAIAAgACAAIAAgACAAIAAgACAAkiFHAGUAdAAgAHQAaABlACAAbQBhAHgAaQBtAHUAbQAgAG8AZgAgAGUAYQBjAGgAIABjAG8AbAB1AG0AbgC2AFwAIgAgACYAIABcAG4AIAAgACAAIABcACIATQBhAHgAUgBvAHcAcwBVALsDIAAgACAAIAAgACAAIAAgACAAIAAgACAAIAAgACAAIAAgACAAIACSIUcAZQB0ACAAdABoAGUAIABtAGEAeABpAG0AdQBtACAAbwBmACAAZQBhAGMAaAAgAHIAbwB3ALYAXAAiACAAJgAgAFwAbgAgACAAIAAgAFwAIgBDAG8AdQBuAHQAQwBvAGwAcwBVALsDIAAgACAAIAAgACAAIAAgACAAIAAgACAAIAAgACAAIAAgAJIhRwBlAHQAIAB0AGgAZQAgAGMAbwB1AG4AdAAgAG8AZgAgAG4AdQBtAGIAZQByAHMAIABpAG4AIABlAGEAYwBoACAAYwBvAGwAdQBtAG4AtgBcACIAIAAmACAAXABuACAAIAAgACAAXAAiAEMAbwB1AG4AdABSAG8AdwBzAFUAuwMgACAAIAAgACAAIAAgACAAIAAgACAAIAAgACAAIAAgACAAkiFHAGUAdAAgAHQAaABlACAAYwBvAHUAbgB0ACAAbwBmACAAbgB1AG0AYgBlAHIAcwAgAGkAbgAgAGUAYQBjAGgAIAByAG8AdwC2AFwAIgAgACYAIABcAG4AIAAgACAAIABcACIAQwBvAHUAbgB0AEEAQwBvAGwAcwBVALsDIAAgACAAIAAgACAAIAAgACAAIAAgACAAIAAgACAAIACSIUcAZQB0ACAAdABoAGUAIABjAG8AdQBuAHQAIABvAGYAIABlAHYAZQByAHkAdABoAGkAbgBnACAAbwBmACAAZQBhAGMAaAAgAGMAbwBsAHUAbQBuALYAXAAiACAAJgAgAFwAbgAgACAAIAAgAFwAIgBDAG8AdQBuAHQAQQBSAG8AdwBzAFUAuwMgACAAIAAgACAAIAAgACAAIAAgACAAIAAgACAAIAAgAJIhRwBlAHQAIAB0AGgAZQAgAGMAbwB1AG4AdAAgAG8AZgAgAGUAdgBlAHIAeQB0AGgAaQBuAGcAIABvAGYAIABlAGEAYwBoACAAcgBvAHcAtgBcACIAIAAmACAAXABuACAAIAAgACAAXAAiAEkAcwBCAGUAdAB3AGUAZQBuAFUAuwMgACAAIAAgACAAIAAgACAAIAAgACAAIAAgACAAIAAgACAAkiFEAGUAdABlAHIAbQBpAG4AZQAgAGkAZgAgAGEAIAB2AGEAbAB1AGUAIABpAHMAIABiAGUAdAB3AGUAZQBuACAAYQAgAGwAbwB3AGUAcgAgAGEAbgBkACAAdQBwAHAAZQByACAAbABpAG0AaQB0AC4AtgBcACIAIAAmACAAXABuACAAIAAgACAAXAAiAEkAcwBJAG4ATABpAHMAdABVALsDIAAgACAAIAAgACAAIAAgACAAIAAgACAAIAAgACAAIAAgACAAkiFEAGUAdABlAHIAbQBpAG4AZQAgAGkAZgAgAGEAIAB2AGEAbAB1AGUAIABpAHMAIABvAG4AZQAgAG8AZgAgAGEAIABsAGkAcwB0ACAAbwBmACAAaQB0AGUAbQBzAC4AtgBcACIAIAAmAFwAbgAgACAAIAAgAFwAIgBSAGEAbgBnAGUAVABvAEQAQQBV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FUAuwNcAG4AIAAgACAAIABEAEUAUwBDAFIASQBQAFQASQBPAE4AOgAqAC8ALwAqACoAQwBvAHUAbgB0ACAAbwBjAGMAdQByAHIAZQBuAGMAZQBzACAAbwBmACAAYwBoAGEAcgBhAGMAdABlAHIAKABzACkAIABpAG4AIABhACAAcwB0AHIAaQBuAGcAKgAvAFwAbgBDAG8AdQBuAHQAQwBV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VQ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VQ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FUAuwNcAG4AIAAgACAAIABEAEUAUwBDAFIASQBQAFQASQBPAE4AOgAqAC8ALwAqACoARwBlAHQAIAB0AGgAZQAgAHQAbwB0AGEAbAAgAGYAbwByACAAZQBhAGMAaAAgAHIAbwB3ACoALwBcAG4AUwB1AG0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FU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VQC7A1wAbgAgACAAIAAgAEQARQBTAEMAUgBJAFAAVABJAE8ATgA6ACoALwAvACoAKgBHAGUAdAAgAHQAaABlACAAdABvAHQAYQBsACAAZgBvAHIAIABlAGEAYwBoACAAQwBvAGwAdQBtAG4AKgAvAFwAbgBTAHUAb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VQ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BVALsDXABuACAAIAAgACAARABFAFMAQwBSAEkAUABUAEkATwBOADoAKgAvAC8AKgAqAEcAZQB0ACAAdABoAGUAIABhAHYAZQByAGEAZwBlACAAZgBvAHIAIABlAGEAYwBoACAAcgBvAHcAKgAvAFwAbgBBAHYAZw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VQ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BVALsDXABuACAAIAAgACAARABFAFMAQwBSAEkAUABUAEkATwBOADoAKgAvAC8AKgAqAEcAZQB0ACAAdABoAGUAIABhAHYAZQByAGEAZwBlACAAZgBvAHIAIABlAGEAYwBoACAAQwBvAGwAdQBtAG4AKgAvAFwAbgBBAHYAZw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VQ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FUAuwNcAG4AIAAgACAAIABEAEUAUwBDAFIASQBQAFQASQBPAE4AOgAqAC8ALwAqACoARwBlAHQAIAB0AGgAZQAgAG0AaQBuAGkAbQB1AG0AIABmAG8AcgAgAGUAYQBjAGgAIAByAG8AdwAqAC8AXABuAE0AaQBu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BV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VQC7A1wAbgAgACAAIAAgAEQARQBTAEMAUgBJAFAAVABJAE8ATgA6ACoALwAvACoAKgBHAGUAdAAgAHQAaABlACAAbQBpAG4AaQBtAHUAbQAgAGYAbwByACAAZQBhAGMAaAAgAEMAbwBsAHUAbQBuACoALwBcAG4ATQBpAG4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FU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FUAuwNcAG4AIAAgACAAIABEAEUAUwBDAFIASQBQAFQASQBPAE4AOgAqAC8ALwAqACoARwBlAHQAIAB0AGgAZQAgAG0AYQB4AGkAbQB1AG0AIABmAG8AcgAgAGUAYQBjAGgAIAByAG8AdwAqAC8AXABuAE0AYQB4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BV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VQC7A1wAbgAgACAAIAAgAEQARQBTAEMAUgBJAFAAVABJAE8ATgA6ACoALwAvACoAKgBHAGUAdAAgAHQAaABlACAAbQBhAHgAaQBtAHUAbQAgAGYAbwByACAAZQBhAGMAaAAgAEMAbwBsAHUAbQBuACoALwBcAG4ATQBhAHg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FUAuwMoACAAQQByAHIAYQB5ACkAtgBcACIAIAAmAFwAbgAgACAAIAAgACAAIAAgACAAIAAgACAAIAAgACAAIAAgACAAIAAgACAAIAAgACAAIAAgACAAIAAgAFwAIgBEAEUAUwBDAFIASQBQAFQASQBPAE4AOgAgACAAIACSIUcAZQB0ACAAdABoAGUAIABtAGEAeA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FUAuwNcAG4AIAAgACAAIABEAEUAUwBDAFIASQBQAFQASQBPAE4AOgAqAC8ALwAqACoAQwBvAHUAbgB0ACAAZQB2AGUAcgB5AHQAaABpAG4AZwAgAGkAbgAgAGUAYQBjAGgAIAByAG8AdwAqAC8AXABuAEMAbwB1AG4AdABB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BV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FUAuwNcAG4AIAAgACAAIABEAEUAUwBDAFIASQBQAFQASQBPAE4AOgAqAC8ALwAqACoAQwBvAHUAbgB0ACAAZQB2AGUAcgB5AHQAaABpAG4AZwAgAGkAbgAgAGUAYQBjAGgAIABjAG8AbAB1AG0AbgAqAC8AXABuAEMAbwB1AG4AdABB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BV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EMAbwBs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FUAuwNcAG4AIAAgACAAIABEAEUAUwBDAFIASQBQAFQASQBPAE4AOgAqAC8ALwAqACoAQwBvAHUAbgB0ACAAbgB1AG0AYgBlAHIAcwAgAGkAbgAgAGUAYQBjAGgAIAByAG8AdwAqAC8AXABuAEMAbwB1AG4Ad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FU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FIAbwB3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BVALsDXABuACAAIAAgACAARABFAFMAQwBSAEkAUABUAEkATwBOADoAKgAvAC8AKgAqAEMAbwB1AG4AdAAgAG4AdQBtAGIAZQByAHMAIABpAG4AIABlAGEAYwBoACAAYwBvAGwAdQBtAG4AKgAvAFwAbgBDAG8AdQBuAHQ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BVALsDKAAgAEEAcgByAGEAeQ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G8AbA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VALsDXABuACAAIAAgACAARABFAFMAQwBSAEkAUABUAEkATwBOADoAKgAvAC8AKgAqAEQAZQB0AGUAcgBtAGkAbgBlACAAaQBmACAAYQAgAHYAYQBsAHUAZQAgAGkAcwAgAGIAZQB0AHcAZQBlAG4AIABhACAAbABvAHcAZQByACAAYQBuAGQAIAB1AHAAcABlAHIAIABsAGkAbQBpAHQAKgAvAFwAbgBJAHMAQgBlAHQAdwBlAGUAbgBV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V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VALsDKAAxACwAIAAyACwAIAA0ACkAtgBcACIAIAAmACAAXABuACAAIAAgACAAIAAgACAAIAAgACAAIAAgACAAIAAgACAAIAAgACAAIAAgACAAIAAgACAAIAAgACAAXAAiAFQAUgBVAEUAIAAgACAAIAAgACAAIAAgACAAIAAgAJIhPQBJAHMAQgBlAHQAdwBlAGUAbgBVALsDKAAyACwAIAAyACwAIAA0ACkAtgBcACIAIAAmACAAXABuACAAIAAgACAAIAAgACAAIAAgACAAIAAgACAAIAAgACAAIAAgACAAIAAgACAAIAAgACAAIAAgACAAXAAiAEYAQQBMAFMARQAgACAAIAAgACAAIAAgACAAIAAgAJIhPQBJAHMAQgBlAHQAdwBlAGUAbgBV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VQC7A1wAbgAgACAAIAAgAEQARQBTAEMAUgBJAFAAVABJAE8ATgA6ACoALwAvACoAKgBEAGUAdABlAHIAbQBpAG4AZQAgAHcAaABlAHQAaABlAHIAIABhACAAdgBhAGwAdQBlACAAaQBzACAAbwBuAGUAIABvAGYAIABhACAAbABpAHMAdAAgAG8AZgAgAGkAdABlAG0AcwAqAC8AXABuAEkAcwBJAG4ATABpAHMAdABV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FU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DoAIABhACAAcgBvAHcALAAgAGEAIABjAG8AbAB1AG0AbgAgAG8AcgAgAGEAIABnAHIAaQBkAC4AtgBcACIAIAAmAFwAbgAgACAAIAAgACAAIAAgACAAIAAgACAAIAAgACAAIAAgACAAIAAgACAAIAAgACAAIAAgACAAIAAgAFwAIgBOAE8AVABFACEAIAAgACAAIAAgACAAIAAgACAAIACSIVQAaABlACAAYwBvAG0AcABhAHIAaQBzAG8AbgAgAGkAcwAgAGUAeABhAGMAdAAgAGEAbgBkACAAYwBhAHMAZQAtAGkAbgBzAGUAbgBzAGkAdABpAHYAZQA7ACAAKgAgAGEAbgBkACAAPwAgAGEAcgBlACAAbwByAGQAaQBuAGEAcgB5ACAAYwBoAGEAcgBhAGMAdABlAHIAcwAu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VQC7AygAMQAsACAAewAyACwAMwAsADQAfQApALYAXAAiACAAJgAgAFwAbgAgACAAIAAgACAAIAAgACAAIAAgACAAIAAgACAAIAAgACAAIAAgACAAIAAgACAAIAAgACAAIAAgAFwAIgBUAFIAVQBFACAAIAAgACAAIAAgACAAIAAgACAAIACSIT0ASQBzAEkAbgBMAGkAcwB0AFU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vAC8AIAAgAEYAbABhAHQAdABlAG4AIAB0AGgAZQAgAGwAaQBzAHQAIABmAGkAcgBzAHQAOgAgAE0AQQBUAEMASAAgAG4AZQBlAGQAcwAgAG8AbgBlACAAZABpAG0AZQBuAHMAaQBvAG4AIABhAG4AZAAgAHQAcgBlAGEAdABzACAAKgAgAGEAbgBkACAAPwAgAGEAcwAgAHcAaQBsAGQAYwBhAHIAZABzAFwAbgAgACAAIAAgACAAIAAgACAAUgBlAHMAdQBsAHQALAAgACAAIAAgACAAIAAgACAAIABJAFMATgBVAE0AQgBFAFIAKAAgAFgATQBBAFQAQwBIACgAIABWAGEAbAB1AGUALAAgAFQATwBDAE8ATAAoACAATABpAHMAdAApACwAIAAw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VQC7A1wAbgAgACAAIAAgAEQARQBTAEMAUgBJAFAAVABJAE8ATgA6ACoALwAvACoAKgBDAG8AbgB2AGUAcgB0ACAAYQAgAHIAYQBuAGcAZQAgAHIAZQBmAGUAcgBlAG4AYwBlACAAdABvACAAYQAgAGQAeQBuAGEAbQBpAGMAIABhAHIAcgBhAHkAIAByAGUAZgBlAHIAZQBuAGMAZQAqAC8AXABuAFIAYQBuAGcAZQBUAG8ARABBAFU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BV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wB6AHoAaQB0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BV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CwAewAiAHAAYQB0AGgAIgA6ACIALwBwAHIAbwBqAGUAYwB0AHMALwBEAGUAYgB0ACIALAAiAHQAZQB4AHQAIgA6ACIALwAqACAAIABNAG8AZAB1AGwAZQAgAEMAbwBuAHQAYQBpAG4AcwAgAE8AegB6AGkAdAAgAEMAbwBtAHAAbABpAGEAbgB0ACAATABBAE0AQgBEAEEAcwAgAGYAbwByACAAZABlAGIAdAAgAHMAYwB1AGwAcAB0AGkAbgBnACAAYQBuAGQAIABhAG0AbwByAHQAaQBzAGEAdABpAG8AbgAuAFwAbgAgACAAIAAgAEUAdgBlAHIAeQAgAHMAYwBoAGUAZAB1AGwAZQAgAHMAbwBsAHYAZQBzACAAaQB0AHMAIABjAGwAbwBzAGkAbgBnACAAYgBhAGwAYQBuAGMAZQBzACAAdwBpAHQAaAAgAFMAQwBBAE4ALAAgAG8AbgBlACAAcABlAHIAaQBvAGQAIABhAGYAdABlAHIAIABhAG4AbwB0AGgAZQByACwAIABzAG8AXABuACAAIAAgACAAbgBvAHQAaABpAG4AZwAgAGgAZQByAGUAIAByAGUAYwB1AHIAcwBlAHMAIABhAG4AZAAgAHQAaABlACAAbQBvAGQAdQBsAGUAIABpAHMAIABoAGUAbABkACAAaQBuACAAdABoAGUAIABBAGQAdgBhAG4AYwBlAGQAIABGAG8AcgBtAHUAbABhACAARQBuAHYAaQByAG8AbgBtAGUAbgB0AFwAbgAgACAAIAAgAHMAdABvAHIAZQAgAHcAaQB0AGgAIAB0AGgAZQAgAG8AdABoAGUAcgAgAGYAaQB2AGUALgAgACoALwBcAG4AXABuAC8AKgAgACAARgBVAE4AQwBUAEkATwBOACAATgBBAE0ARQA6ACAAIABBAG0AbwByAHQAaQBzAGUAQgC7A1wAbgAgACAAIAAgAEQARQBTAEMAUgBJAFAAVABJAE8ATgA6ACoALwAvACoAKgBDAHIAZQBhAHQAZQBzACAAYQBuACAAYQBtAG8AcgB0AGkAcwBhAHQAaQBvAG4AIABzAGMAaABlAGQAdQBsAGUAIABmAG8AcgAgAGEAIABkAGUAYgB0AC8AbABvAGEAbgAgAGEAYwByAG8AcwBzACAAYQAgAG0AbwBkAGUAbAAnAHMAIABwAGUAcgBpAG8AZABzACoALwBcAG4AQQBtAG8AcgB0AGkAcwBlAEIAuwMgAD0AIABMAEEATQBCAEQAQQAoAFwAbgAvAC8AIAAgAFAAYQByAGEAbQBlAHQAZQByACAARABlAGMAbABhAHIAYQB0AGkAbwBuAHMAXABuACAAIAAgACAAWwBQAHIAaQBuAGMAaQBwAGEAbABdACwAXABuACAAIAAgACAAWwBBAFAAUgBdACwAXABuACAAIAAgACAAWwBUAGUAcgBtAF0ALABcAG4AIAAgACAAIABbAE0AbwBkAGUAbABQAGUAcgBpAG8AZABzAF0ALABcAG4AIAAgACAAIABbAFMAdABhAHIAdABQAGUAcgBpAG8AZABdACwAXABuACAAIAAgACAAWwBNAG8AbgB0AGgAcwBQAGUAcgBQAGUAcgBpAG8AZABdACwAXABuAC8ALwAgACAASABlAGwAcABcAG4AIAAgACAAIABMAEUAVAAoAEgAZQBsAHAALAAgACAAIAAgACAAIAAgAFQAUgBJAE0AKABUAEUAWABUAFMAUABMAEkAVAAoAFwAbgAgACAAIAAgACAAIAAgACAAIAAgACAAIAAgACAAIAAgACAAIAAgACAAIAAgACAAIABcACIARgBVAE4AQwBUAEkATwBOADoAIAAgACAAIAAgACAAkiFBAG0AbwByAHQAaQBzAGUAQgC7AygAUAByAGkAbgBjAGkAcABhAGwALAAgAEEAUABSACwAIABUAGUAcgBtACwAIABNAG8AZABlAGwAUABlAHIAaQBvAGQAcwAsACAAWwBTAHQAYQByAHQAUABlAHIAaQBvAGQAXQAsACAAWwBNAG8AbgB0AGgAcwBQAGUAcgBQAGUAcgBpAG8AZABdACkAtgBcACIAIAAmAFwAbgAgACAAIAAgACAAIAAgACAAIAAgACAAIAAgACAAIAAgACAAIAAgACAAIAAgACAAIABcACIARABFAFMAQwBSAEkAUABUAEkATwBOADoAIAAgACAAkiFDAHIAZQBhAHQAZQBzACAAYQBuACAAYQBtAG8AcgB0AGkAcwBhAHQAaQBvAG4AIABzAGMAaABlAGQAdQBsAGUAIABmAG8AcgAgAGEAIABkAGUAYgB0AC8AbABvAGEAbgAgAGEAYwByAG8AcwBzACAAYQAgAG0AbwBkAGUAbAAnAHMAIABwAGUAcgBpAG8AZABzAC4AtgBcACIAIAAmAFwAbgAgACAAIAAgACAAIAAgACAAIAAgACAAIAAgACAAIAAgACAAIAAgACAAIAAgACAAIABcACIAUgBPAFcAIABDAE8ATgBUAEUATgBUAFMAOgAgACAAkiFPAHAAZQBuAGkAbgBnACAAQgBhAGwAYQBuAGMAZQC2AFwAIgAgACYAXABuACAAIAAgACAAIAAgACAAIAAgACAAIAAgACAAIAAgACAAIAAgACAAIAAgACAAIAAgAFwAIgAgACAAIAAgACAAIAAgACAAIAAgACAAIAAgACAAIACSIUkAbgB0AGUAcgBlAHMAdAAgAFAAbwByAHQAaQBvAG4AtgBcACIAIAAmAFwAbgAgACAAIAAgACAAIAAgACAAIAAgACAAIAAgACAAIAAgACAAIAAgACAAIAAgACAAIABcACIAIAAgACAAIAAgACAAIAAgACAAIAAgACAAIAAgACAAkiFSAGUAcABhAHkAbQBlAG4AdAC2AFwAIgAgACYAXABuACAAIAAgACAAIAAgACAAIAAgACAAIAAgACAAIAAgACAAIAAgACAAIAAgACAAIAAgAFwAIgAgACAAIAAgACAAIAAgACAAIAAgACAAIAAgACAAIACSIUMAbABvAHMAaQBuAGcAIABCAGEAbABhAG4AYwBlALYAXAAiACAAJgBcAG4AIAAgACAAIAAgACAAIAAgACAAIAAgACAAIAAgACAAIAAgACAAIAAgACAAIAAgACAAXAAiACAAIAAgACAAIAAgACAAIAAgACAAIAAgACAAIAAgAJIhUAByAGkAbgBjAGkAcABhAGwAIABQAG8AcgB0AGkAbwBuALYAXAAiACAAJgBcAG4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XAAiAFYARQBSAFMASQBPAE4AOgAgACAAIAAgACAAIAAgAJIhMgAwACAAQQB1AGcAIAAyADAAMgA2ALYAXAAiACAAJgBcAG4AIAAgACAAIAAgACAAIAAgACAAIAAgACAAIAAgACAAIAAgACAAIAAgACAAIAAgACAAXAAiAFAAQQBSAEEATQBFAFQARQBSAFMAOgAgACAAIAAgAJIhtgBcACIAIAAmAFwAbgAgACAAIAAgACAAIAAgACAAIAAgACAAIAAgACAAIAAgACAAIAAgACAAIAAgACAAIABcACIAUAByAGkAbgBjAGkAcABhAGwAIAAgACAAIAAgACAAkiEoAFIAZQBxAHUAaQByAGUAZAApACAAUAByAGkAbgBjAGkAcABhAGwAIABvAHAAZQBuAGkAbgBnACAAYgBhAGwAYQBuAGMAZQAuALYAXAAiACAAJgBcAG4AIAAgACAAIAAgACAAIAAgACAAIAAgACAAIAAgACAAIAAgACAAIAAgACAAIAAgACAAXAAiAEEAUABSACAAIAAgACAAIAAgACAAIAAgACAAIAAgAJIhKABSAGUAcQB1AGkAcgBlAGQAKQAgAEEAbgBuAHUAYQBsACAAcABlAHIAYwBlAG4AdABhAGcAZQAgAHIAYQB0AGUALgC2AFwAIgAgACYAXABuACAAIAAgACAAIAAgACAAIAAgACAAIAAgACAAIAAgACAAIAAgACAAIAAgACAAIAAgAFwAIgBUAGUAcgBtACAAIAAgACAAIAAgACAAIAAgACAAIACSISgAUgBlAHEAdQBpAHIAZQBkACkAIABOAHUAbQBiAGUAcgAgAG8AZgAgAHAAZQByAGkAbwBkAHMAIAB0AG8AIABwAGEAeQAgAG8AZgBmACAAdABoAGUAIABkAGUAYgB0AC4AtgBcACIAIAAmAFwAbgAgACAAIAAgACAAIAAgACAAIAAgACAAIAAgACAAIAAgACAAIAAgACAAIAAgACAAIABcACIATQBvAGQAZQBsAFAAZQByAGkAbwBkAHMAIAAgACAAkiEoAFIAZQBxAHUAaQByAGUAZAApACAATgB1AG0AYgBlAHIAIABvAGYAIABtAG8AZABlAGwAIABwAGUAcgBpAG8AZABzAC4AtgBcACIAIAAmAFwAbgAgACAAIAAgACAAIAAgACAAIAAgACAAIAAgACAAIAAgACAAIAAgACAAIAAgACAAIABcACIAUwB0AGEAcgB0AFAAZQByAGkAbwBkACAAIAAgACAAkiEoAE8AcAB0AGkAbwBuAGEAbAApACAAUABlAHIAaQBvAGQAIAB3AGgAZQBuACAAdABoAGUAIABkAGUAYgB0ACAAaQBzACAAaQBzAHMAdQBlAGQALgAgAEQAZQBmAGEAdQBsAHQAcwAgAHQAbwAgADEALgC2AFwAIgAgACYAXABuACAAIAAgACAAIAAgACAAIAAgACAAIAAgACAAIAAgACAAIAAgACAAIAAgACAAIAAgAFwAIgBNAG8AbgB0AGgAcwBQAGUAcgBQAGUAcgBpAG8AZACSISgATwBwAHQAaQBvAG4AYQBsACkAIABOAHUAbQBiAGUAcgAgAG8AZgAgAG0AbwBuAHQAaABzACAAaQBuACAAZQBhAGMAaAAgAHAAZQByAGkAbwBkAC4AIABEAGUAZgBhAHUAbAB0AHMAIAB0AG8AIAAxAC4AtgBcACIAIAAmAFwAbgAgACAAIAAgACAAIAAgACAAIAAgACAAIAAgACAAIAAgACAAIAAgACAAIAAgACAAIABcACIARQBYAEEATQBQAEwARQBTADoAIAAgACAAIAAgACAAkiG2AFwAIgAgACY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1ACAAcgBvAHcAcwAsACAANgAwACAAYwBvAGwAcwCSIT0AbwB6AC4AQQBtAG8AcgB0AGkAcwBlAEIAuwMoADEAMAAwADAAMAAsACAAMwAlACwAIAA0ADgALAAgADYAMAApAFwAIgAs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yAGkAbgBjAGkAcABhAGwAKQAsAFwAbgAgACAAIAAgACAAIAAgACAAIAAgACAAIAAgACAAIAAgACAAIAAgACAAIAAgACAAIAAgACAAIAAgAEkAUwBPAE0ASQBUAFQARQBEACgAIABBAFAAUgApACwAXABuACAAIAAgACAAIAAgACAAIAAgACAAIAAgACAAIAAgACAAIAAgACAAIAAgACAAIAAgACAAIAAgACAASQBTAE8ATQBJAFQAVABFAEQAKAAgAFQAZQByAG0AKQAsAFwAbgAgACAAIAAgACAAIAAgACAAIAAgACAAIAAgACAAIAAgACAAIAAgACAAIAAgACAAIAAgACAAIAAgAEkAUwBPAE0ASQBUAFQARQBEACgAIABNAG8AZABlAGwAUABlAHIAaQBvAGQAcw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QAHIAaQBuAGMAaQBwAGEAbAAgAG0AdQBzAHQAIABiAGUAIABhACAAcwBpAG4AZwBsAGUAIABuAHUAbQBiAGUAcgAgAHAAcgBvAHYAaQBkAGkAbgBnACAAdABoAGUAIABvAHAAZQBuAGkAbgBnACAAZABlAGIAdAAgAGEAbQBvAHUAbgB0AC4AXAAiADsAXABuACAAIAAgACAAIAAgACAAIAAgACAAIAAgACAAIAAgACAAIAAgACAAIAAgACAAIAAgACAAXAAiAEEAUABSACAAbQB1AHMAdAAgAGIAZQAgAGEAIABzAGkAbgBnAGwAZQAgAG4AdQBtAGIAZQByACAAcAByAG8AdgBpAGQAaQBuAGcAIABhAG4AbgB1AGEAbAAgAHAAZQByAGMAZQBuAHQAYQBnAGUAIAByAGEAdABlACAAZgBvAHIAIABpAG4AdABlAHIAZQBzAHQALgBcACIAOwBcAG4AIAAgACAAIAAgACAAIAAgACAAIAAgACAAIAAgACAAIAAgACAAIAAgACAAIAAgACAAIABcACIAVABlAHIAbQAgAG0AdQBzAHQAIABiAGUAIABhACAAcwBpAG4AZwBsAGUAIABuAHUAbQBiAGUAcgAgAHAAcgBvAHYAaQBkAGkAbgBnACAAdABoAGUAIABuAHUAbQBiAGUAcgAgAG8AZgAgAHAAZQByAGkAbwBkAHMAIAB0AG8AIABwAGEAeQAgAG8AZgBmACAAdABoAGUAIABkAGUAYgB0AFwAIgA7AFwAbgAgACAAIAAgACAAIAAgACAAIAAgACAAIAAgACAAIAAgACAAIAAgACAAIAAgACAAIAAgAFwAIgBNAG8AZABlAGwAIABQAGUAcgBpAG8AZABzACAAbQB1AHMAdAAgAGIAZQAgAGEAIABzAGkAbgBnAGwAZQAgAG4AdQBtAGIAZQByACAAcAByAG8AdgBpAGQAaQBuAGcAIAB0AGgAZQAgAG4AdQBtAGIAZQByACAAbwBmACAAcABlAHIAaQBvAGQAcwAgAGkAbgAgAHQAaABpAHMAIABtAG8AZABlAGwALgBcACIAfQAsAFwAbgAgACAAIAAgACAAIAAgACAARQByAHIAbwByAHMALAAgACAAIAAgACAAIAAgACAAIABWAFMAVABBAEMASwAoACAATgBPAFQAKAAgAEkAUwBOAFUATQBCAEUAUgAoACAAUAByAGkAbgBjAGkAcABhAGwAKQApACwAXABuACAAIAAgACAAIAAgACAAIAAgACAAIAAgACAAIAAgACAAIAAgACAAIAAgACAAIAAgACAAIAAgACAAIAAgACAAIABOAE8AVAAoACAASQBTAE4AVQBNAEIARQBSACgAIABBAFAAUgApACkALABcAG4AIAAgACAAIAAgACAAIAAgACAAIAAgACAAIAAgACAAIAAgACAAIAAgACAAIAAgACAAIAAgACAAIAAgACAAIAAgAE4ATwBUACgAIABJAFMATgBVAE0AQgBFAFIAKAAgAFQAZQByAG0AKQApACwAXABuACAAIAAgACAAIAAgACAAIAAgACAAIAAgACAAIAAgACAAIAAgACAAIAAgACAAIAAgACAAIAAgACAAIAAgACAAIABOAE8AVAAoACAASQBTAE4AVQBNAEIARQBSACgAIABNAG8AZABlAGwAUABlAHIAaQBvAGQAcwApACkAXABuACAAIAAgACAAIAAgACAAIAAgACAAIAAgACAAIAAgACAAIAAgACAAIAAgACAAIAAgACkALABcAG4AIAAgACAAIAAgACAAIAAgAE0AZQBzAHMAYQBnAGUAcwAsACAAIAAgACAAIAAgACAARgBJAEwAVABFAFIAKAAgAEUAcgByAE0AcwBnAHMALAAgAEUAcgByAG8AcgBzACwAIABcACIAXAAiACkALABcAG4AIAAgACAAIAAvAC8AIAAgAEMAaABlAGMAawAgAGkAbgBwAHUAdABzACAALQAgAFMAZQB0ACAAbwBwAHQAaQBvAG4AYQBsACAAYQByAGcAdQBtAGUAbgB0AHMAJwAgAGQAZQBmAGEAdQBsAHQAcwBcAG4AIAAgACAAIAAgACAAIAAgAFMAdABhAHIAdABQAGUAcgBpAG8AZAAsACAAIAAgACAASQBGACgAIABJAFMATgBVAE0AQgBFAFIAKAAgAFMAdABhAHIAdABQAGUAcgBpAG8AZAApACwAIABTAHQAYQByAHQAUABlAHIAaQBvAGQALAAgADEAKQAsAFwAbgAgACAAIAAgACAAIAAgACAATQBvAG4AdABoAHMAUABlAHIAUABlAHIAaQBvAGQALAAgAEkARgAoACAASQBTAE4AVQBNAEIARQBSACgAIABNAG8AbgB0AGgAcwBQAGUAcgBQAGUAcgBpAG8AZAApACwAIABNAG8AbgB0AGgAcwBQAGUAcgBQAGUAcgBpAG8AZAAsACAAMQApACwAXABuACAAIAAgACAALwAvACAAIABQAHIAbwBjAGUAZAB1AHIAZQAgAC0AIABzAG8AbAB2AGUAIAB0AGgAZQAgAGMAbABvAHMAaQBuAGcAIABiAGEAbABhAG4AYwBlACAAcABlAHIAaQBvAGQAIABiAHkAIABwAGUAcgBpAG8AZAAsACAAdABoAGUAbgAgAHIAZQBhAGQAIAB0AGgAZQAgAHIAbwB3AHMAIABvAGYAZgAgAGkAdAAuAFwAbgAgACAAIAAgAC8ALwAgACAAQgBlAGYAbwByAGUAIAB0AGgAZQAgAHMAdABhAHIAdAAgAHAAZQByAGkAbwBkACAAdABoAGUAIABiAGEAbABhAG4AYwBlACAAaQBzACAAYwBhAHIAcgBpAGUAZAAgAHUAbgB0AG8AdQBjAGgAZQBkADsAIABmAHIAbwBtACAAaQB0ACwAIABlAGEAYwBoACAAcABlAHIAaQBvAGQAIABwAGEAeQBzAFwAbgAgACAAIAAgAC8ALwAgACAAdABoAGUAIABsAGUAdgBlAGwAIABwAGEAeQBtAGUAbgB0ACAAZgBvAHIAIAB0AGgAZQAgAHQAZQByAG0AIAB0AGgAYQB0ACAAcgBlAG0AYQBpAG4AcwAsACAAYwBhAHAAcABlAGQAIABhAHQAIAB0AGgAZQAgAGIAYQBsAGEAbgBjAGUAIABwAGwAdQBzACAAaQBuAHQAZQByAGUAcwB0AC4AXABuACAAIAAgACAAIAAgACAAIABSAGEAdABlACwAIAAgACAAIAAgACAAIAAgACAAIAAgAEEAUABSACAALwAgADEAMgAgACoAIABNAG8AbgB0AGgAcwBQAGUAcgBQAGUAcgBpAG8AZAAsAFwAbgAgACAAIAAgACAAIAAgACAAUABlAHIAaQBvAGQAcwAsACAAIAAgACAAIAAgACAAIABTAEUAUQBVAEUATgBDAEUAKAAgADEALAAgAE0AbwBkAGUAbABQAGUAcgBpAG8AZABzACkALABcAG4AIAAgACAAIAAgACAAIAAgAEMAbABvAHMAaQBuAGcAcwAsACAAIAAgACAAIAAgACAAUwBDAEEATgAoACAAUAByAGkAbgBjAGkAcABhAGwALAAgAFAAZQByAGkAbwBkAHMALABcAG4AIAAgACAAIAAgACAAIAAgACAAIAAgACAAIAAgACAAIAAgACAAIAAgACAAIAAgACAAIAAgACAAIABMAEEATQBCAEQAQQAoACAAQwBhAHIAcgBpAGUAZAAsACAAUABlAHIAaQBvAGQALABcAG4AIAAgACAAIAAgACAAIAAgACAAIAAgACAAIAAgACAAIAAgACAAIAAgACAAIAAgACAAIAAgACAAIAAgACAAIAAgAEwARQBUACgAUgBlAG0AYQBpAG4AaQBuAGcALAAgACAASQBGACgAIABQAGUAcgBpAG8AZAAgADwAIABTAHQAYQByAHQAUABlAHIAaQBvAGQALAAgADAALAAgAE0AQQBYACgAIABUAGUAcgBtACAALQAgAFAAZQByAGkAbwBkACAAKwAgAFMAdABhAHIAdABQAGUAcgBpAG8AZAAsACAAMAApACkALABcAG4AIAAgACAAIAAgACAAIAAgACAAIAAgACAAIAAgACAAIAAgACAAIAAgACAAIAAgACAAIAAgACAAIAAgACAAIAAgACAAIAAgACAATwBwAGUAbgBpAG4AZwAsACAAIAAgACAASQBGACgAIABSAGUAbQBhAGkAbgBpAG4AZwAgAD0AIAAwACwAIAAwACwAIABDAGEAcgByAGkAZQBkACkALABcAG4AIAAgACAAIAAgACAAIAAgACAAIAAgACAAIAAgACAAIAAgACAAIAAgACAAIAAgACAAIAAgACAAIAAgACAAIAAgACAAIAAgACAASQBuAHQAZQByAGUAcwB0ACwAIAAgACAATwBwAGUAbgBpAG4AZwAgACoAIABSAGEAdABlACwAXABuACAAIAAgACAAIAAgACAAIAAgACAAIAAgACAAIAAgACAAIAAgACAAIAAgACAAIAAgACAAIAAgACAAIAAgACAAIAAgACAAIAAgAFAAYQB5AG0AZQBuAHQALAAgACAAIAAgAEkARgAoACAAUgBlAG0AYQBpAG4AaQBuAGcAIAA9ACAAMAAsACAAMAAsACAATQBJAE4AKAAgAC0AUABNAFQAKAAgAFIAYQB0AGUALAAgAFIAZQBtAGEAaQBuAGkAbgBnACwAIABPAHAAZQBuAGkAbgBnACkALAAgAE8AcABlAG4AaQBuAGcAIAArACAASQBuAHQAZQByAGUAcwB0ACkAKQAsAFwAbgAgACAAIAAgACAAIAAgACAAIAAgACAAIAAgACAAIAAgACAAIAAgACAAIAAgACAAIAAgACAAIAAgACAAIAAgACAAIAAgACAAIABJAEYAKAAgAFAAZQByAGkAbwBkACAAPAAgAFMAdABhAHIAdABQAGUAcgBpAG8AZAAsACAAQwBhAHIAcgBpAGUAZAAsACAATwBwAGUAbgBpAG4AZwAgACsAIABJAG4AdABlAHIAZQBzAHQAIAAtACAAUABhAHkAbQBlAG4Ad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DAGEAcgByAGkAZQBkACwAIAAgACAAIAAgACAAIAAgAEkARgAoACAATQBvAGQAZQBsAFAAZQByAGkAbwBkAHMAIAA9ACAAMQAsACAAUAByAGkAbgBjAGkAcABhAGwALAAgAEgAUwBUAEEAQwBLACgAIABQAHIAaQBuAGMAaQBwAGEAbAAsACAARABSAE8AUAAoACAAQwBsAG8AcwBpAG4AZwBzACwAIAAsACAALQAxACkAKQApACwAXABuACAAIAAgACAAIAAgACAAIABSAGUAbQBhAGkAbgBpAG4AZwAsACAAIAAgACAAIAAgAEkARgAoACAAUABlAHIAaQBvAGQAcwAgADwAIABTAHQAYQByAHQAUABlAHIAaQBvAGQALAAgADAALAAgAEkARgAoACAAVABlAHIAbQAgAC0AIABQAGUAcgBpAG8AZABzACAAKwAgAFMAdABhAHIAdABQAGUAcgBpAG8AZAAgAD4AIAAwACwAIABUAGUAcgBtACAALQAgAFAAZQByAGkAbwBkAHMAIAArACAAUwB0AGEAcgB0AFAAZQByAGkAbwBkACwAIAAwACkAKQAsAFwAbgAgACAAIAAgACAAIAAgACAATwBwAGUAbgBpAG4AZwAsACAAIAAgACAAIAAgACAAIABJAEYAKAAgAFIAZQBtAGEAaQBuAGkAbgBnACAAPQAgADAALAAgADAALAAgAEMAYQByAHIAaQBlAGQAKQAsAFwAbgAgACAAIAAgACAAIAAgACAASQBuAHQAZQByAGUAcwB0ACwAIAAgACAAIAAgACAAIABPAHAAZQBuAGkAbgBnACAAKgAgAFIAYQB0AGUALABcAG4AIAAgACAAIAAgACAAIAAgAEwAZQB2AGUAbAAsACAAIAAgACAAIAAgACAAIAAgACAASQBGACgAIABSAGUAbQBhAGkAbgBpAG4AZwAgAD0AIAAwACwAIAAwACwAIAAtAFAATQBUACgAIABSAGEAdABlACwAIABSAGUAbQBhAGkAbgBpAG4AZwAsACAATwBwAGUAbgBpAG4AZwApACkALABcAG4AIAAgACAAIAAgACAAIAAgAFAAYQB5AG0AZQBuAHQALAAgACAAIAAgACAAIAAgACAASQBGACgAIABMAGUAdgBlAGwAIAA8ACAATwBwAGUAbgBpAG4AZwAgACsAIABJAG4AdABlAHIAZQBzAHQALAAgAEwAZQB2AGUAbAAsACAATwBwAGUAbgBpAG4AZwAgACsAIABJAG4AdABlAHIAZQBzAHQAKQAsAFwAbgAgACAAIAAgACAAIAAgACAAQwBsAG8AcwBpAG4AZwAsACAAIAAgACAAIAAgACAAIABPAHAAZQBuAGkAbgBnACAAKwAgAEkAbgB0AGUAcgBlAHMAdAAgAC0AIABQAGEAeQBtAGUAbgB0ACwAXABuACAAIAAgACAAIAAgACAAIABQAG8AcgB0AGkAbwBuACwAIAAgACAAIAAgACAAIAAgAFAAYQB5AG0AZQBuAHQAIAAtACAASQBuAHQAZQByAGUAcwB0ACwAXABuACAAIAAgACAAIAAgACAAIABSAGUAcwB1AGwAdAAsACAAIAAgACAAIAAgACAAIAAgAFYAUwBUAEEAQwBLACgAIABPAHAAZQBuAGkAbgBnACwAIABJAG4AdABlAHIAZQBzAHQALAAgAFAAYQB5AG0AZQBuAHQALAAgAEMAbABvAHMAaQBuAGcALAAgAFAAbwByAHQAaQBvAG4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FwAbgBcAG4AXABuAC8AKgAgACAARgBVAE4AQwBUAEkATwBOACAATgBBAE0ARQA6ACAAIABEAGUAYgB0AFMAYwB1AGwAcAB0AEYAaQB4AGUAZAC7A1wAbgAgACAAIAAgAEQARQBTAEMAUgBJAFAAVABJAE8ATgA6ACoALwAvACoAKgBDAHIAZQBhAHQAZQBzACAAYQAgAGQAZQBiAHQAIABzAGMAdQBsAHAAdABpAG4AZwAgAHMAYwBoAGUAZAB1AGwAZQAgAHcAaABlAHIAZQAgAEEAUABSACAAYQBuAGQAIABEAFMAQwBSACAAYQByAGUAIABmAGkAeABlAGQAIABmAG8AcgAgAGEAbABsACAAcABlAHIAaQBvAGQAcwAqAC8AXABuAEQAZQBiAHQAUwBjAHUAbABwAHQARgBpAHgAZQBkALsDIAA9ACAATABBAE0AQgBEAEEAKABcAG4ALwAvACAAIABQAGEAcgBhAG0AZQB0AGUAcgAgAEQAZQBjAGwAYQByAGEAdABpAG8AbgBzAFwAbgAgACAAIAAgAFsATwBwAGUAbgBpAG4AZwBCAGEAbABhAG4AYwBlAF0ALABcAG4AIAAgACAAIABbAEQAZQBiAHQAXQAsAFwAbgAgACAAIAAgAFsAQwBGAEEARABTAF0ALABcAG4AIAAgACAAIABbAEQAUwBDAFIAXQAsAFwAbgAgACAAIAAgAFsAQQBQAFIAXQAsAFwAbgAgACAAIAAgAFsATQBvAG4AdABoAHMAUABlAHIAUABlAHIAaQBvAGQAXQAsAFwAbgAvAC8AIAAgAEgAZQBsAHAAXABuACAAIAAgACAATABFAFQAKABIAGUAbABwACwAIAAgACAAIAAgACAAIABUAFIASQBNACgAVABFAFgAVABTAFAATABJAFQAKABcAG4AIAAgACAAIAAgACAAIAAgACAAIAAgACAAIAAgACAAIAAgACAAIAAgACAAIAAgACAAXAAiAEYAVQBOAEMAVABJAE8ATgA6ACAAIAAgACAAIAAgACAAIAAgACAAkiFEAGUAYgB0AFMAYwB1AGwAcAB0AEYAaQB4AGUAZAC7AygAWwBPAHAAZQBuAGkAbgBnAEIAYQBsAGEAbgBjAGUAXQAsACAARABlAGIAdAAsACAAQwBGAEEARABTACwAIABEAFMAQwBSACwAIABBAFAAUgAsACAAWwBNAG8AbgB0AGgAcwBQAGUAcgBQAGUAcgBpAG8AZABdACkAtgBcACIAIAAmAFwAbgAgACAAIAAgACAAIAAgACAAIAAgACAAIAAgACAAIAAgACAAIAAgACAAIAAgACAAIABcACIARABFAFMAQwBSAEkAUABUAEkATwBOADoAIAAgACAAIAAgACAAIACSIUMAcgBlAGEAdABlAHMAIABhACAARABlAGIAdAAgAFMAYwB1AGwAcAB0AGkAbgBnACAAcwBjAGgAZQBkAHUAbABlACAAdwBoAGUAcgBlACAAQQBQAFIAIABhAG4AZAAgAEQAUwBDAFIAIABhAHIAZQAgAGYAaQB4AGUAZAAgAGYAbwByACAAYQBsAGwAIABwAGUAcgBpAG8AZABzALYAXAAiACAAJgBcAG4AIAAgACAAIAAgACAAIAAgACAAIAAgACAAIAAgACAAIAAgACAAIAAgACAAIAAgACAAXAAiAFMAVQBHAEcARQBTAFQARQBEACAAUgBPAFcAIABJAEQAUwA6ACAAkiFEAGUAYgB0ACAAbwBwAGUAbgBpAG4AZwAgAGIAYQBsAGEAbgBjAGUAtgBcACIAIAAmAFwAbgAgACAAIAAgACAAIAAgACAAIAAgACAAIAAgACAAIAAgACAAIAAgACAAIAAgACAAIABcACIAIAAgACAAIAAgACAAIAAgACAAIAAgACAAIAAgACAAIAAgACAAIACSIUkAbgB0AGUAcgBlAHMAdAAgAG8AbgAgAFAAcgBpAG4AYwBpAHAAYQBsACAAQgBhAGwAYQBuAGMAZQC2AFwAIgAgACYAXABuACAAIAAgACAAIAAgACAAIAAgACAAIAAgACAAIAAgACAAIAAgACAAIAAgACAAIAAgAFwAIgAgACAAIAAgACAAIAAgACAAIAAgACAAIAAgACAAIAAgACAAIAAgAJIhRABlAGIAdAAgAHMAZQByAHYAaQBjAGUAIAAoAGkAbgB0AGUAcgBlAHMAdAAgAGEAbgBkACAAcAByAGkAbgBjAGkAcABhAGwAKQC2AFwAIgAgACYAXABuACAAIAAgACAAIAAgACAAIAAgACAAIAAgACAAIAAgACAAIAAgACAAIAAgACAAIAAgAFwAIgAgACAAIAAgACAAIAAgACAAIAAgACAAIAAgACAAIAAgACAAIAAgAJIhRABlAGIAdAAgAGMAbABvAHMAaQBuAGcAIABiAGEAbABhAG4AYwBlALYAXAAiACAAJgBcAG4AIAAgACAAIAAgACAAIAAgACAAIAAgACAAIAAgACAAIAAgACAAIAAgACAAIAAgACAAXAAiAFcARQBCAFAAQQBHAEUAOgAgACAAIAAgACAAIAAgACAAIAAgACAAkiFoAHQAdABwAHMAOgAvAC8AZwBpAHQAaAB1AGIALgBjAG8AbQAvAHIAeQBhAG4AZAB1AGcAdQBpAGQALwBPAHoAegBpAHQAtgBcACIAIAAmAFwAbgAgACAAIAAgACAAIAAgACAAIAAgACAAIAAgACAAIAAgACAAIAAgACAAIAAgACAAIABcACIAVgBFAFIAUwBJAE8ATgA6ACAAIAAgACAAIAAgACAAIAAgACAAIACSITEAMAAgAFMAZQBwACAAMgAwADIANgC2AFwAIgAgACYAXABuACAAIAAgACAAIAAgACAAIAAgACAAIAAgACAAIAAgACAAIAAgACAAIAAgACAAIAAgAFwAIgBQAEEAUgBBAE0ARQBUAEUAUgBTADoAIAAgACAAIAAgACAAIAAgAJIhtgBcACIAIAAmAFwAbgAgACAAIAAgACAAIAAgACAAIAAgACAAIAAgACAAIAAgACAAIAAgACAAIAAgACAAIABcACIATwBwAGUAbgBpAG4AZwBCAGEAbABhAG4AYwBlACAAIAAgACAAIACSISgATwBwAHQAaQBvAG4AYQBsACkAIABNAG8AZABlAGwAJwBzACAAZABlAGIAdAAgAG8AbgAgAG8AcABlAG4AaQBuAGcALgAgAEQAZQBmAGEAdQBsAHQAcwAgAHQAbwAgADAAtgBcACIAIAAmAFwAbgAgACAAIAAgACAAIAAgACAAIAAgACAAIAAgACAAIAAgACAAIAAgACAAIAAgACAAIABcACIARABlAGIAdAAgACAAIAAgACAAIAAgACAAIAAgACAAIAAgACAAIACSISgAUgBlAHEAdQBpAHIAZQBkACkAIABPAG4AZQAgAHIAbwB3ACAAbwBmACAAbgBlAHcAIABkAGUAYgB0ACwAIABhAHQAIABsAGUAYQBzAHQAIAB0AHcAbwAgAHAAZQByAGkAbwBkAHMALgAgAEUAdgBlAHIAeQAgAHAAZQByAGkAbwBkACAAaQBuAHAAdQB0ACAAbQB1AHMAdAAgAGgAYQB2AGUAIAB0AGgAaQBzACAAcwBhAG0AZQAgAHcAaQBkAHQAaAC2AFwAIgAgACYAXABuACAAIAAgACAAIAAgACAAIAAgACAAIAAgACAAIAAgACAAIAAgACAAIAAgACAAIAAgAFwAIgBDAEYAQQBEAFMAIAAgACAAIAAgACAAIAAgACAAIAAgACAAIAAgAJIhKABSAGUAcQB1AGkAcgBlAGQAKQAgAEEAIAByAG8AdwAgAG8AZgAgAEMAYQBzAGgAIABGAGwAbwB3ACAAQQB2AGEAaQBsAGEAYgBsAGUAIABmAG8AcgAgAEQAZQBiAHQAIABTAGUAcgB2AGkAYwBlACAAaQBuACAAZQBhAGMAaAAgAHAAZQByAGkAbwBkALYAXAAiACAAJgBcAG4AIAAgACAAIAAgACAAIAAgACAAIAAgACAAIAAgACAAIAAgACAAIAAgACAAIAAgACAAXAAiAEQAUwBDAFIAIAAgACAAIAAgACAAIAAgACAAIAAgACAAIAAgACAAkiEoAFIAZQBxAHUAaQByAGUAZAApACAARABlAGIAdAAgAFMAZQByAHYAaQBjAGUAIABDAG8AdgBlAHIAYQBnAGUAIABSAGEAdABpAG8ALAAgAG8AbgBlACAAbgB1AG0AYgBlAHIAIABmAG8AcgAgAGEAbABsACAAcABlAHIAaQBvAGQAcwC2AFwAIgAgACYAXABuACAAIAAgACAAIAAgACAAIAAgACAAIAAgACAAIAAgACAAIAAgACAAIAAgACAAIAAgAFwAIgBBAFAAUgAgACAAIAAgACAAIAAgACAAIAAgACAAIAAgACAAIAAgAJIhKABSAGUAcQB1AGkAcgBlAGQAKQAgAEkAbgB0AGUAcgBlAHMAdAAnAHMAIABBAG4AbgB1AGEAbAAgAFAAZQByAGMAZQBuAHQAYQBnAGUAIABSAGEAdABlACwAIABvAG4AZQAgAG4AdQBtAGIAZQByACAAZgBvAHIAIABhAGwAbAAgAHAAZQByAGkAbwBkAHMAtgBcACIAIAAmAFwAbgAgACAAIAAgACAAIAAgACAAIAAgACAAIAAgACAAIAAgACAAIAAgACAAIAAgACAAIABcACIATQBvAG4AdABoAHMAUABlAHIAUABlAHIAaQBvAGQAIAAgACAAIACSISgATwBwAHQAaQBvAG4AYQBsACkAIABEAGUAZgBhAHUAbAB0AHMAIAB0AG8AIABvAG4AZQAgAG0AbwBuAHQAaAAgAHAAZQByACAAcABlAHIAaQBvAGQALgC2AFwAIgAgACYAXABuACAAIAAgACAAIAAgACAAIAAgACAAIAAgACAAIAAgACAAIAAgACAAIAAgACAAIAAgAFwAIgBFAFgAQQBNAFAATABFAFMAOgAgACAAIAAgACAAIAAgACAAIAAgAJIhtgBcACIAIAAmAFwAbgAgACAAIAAgACAAIAAgACAAIAAgACAAIAAgACAAIAAgACAAIAAgACAAIAAgACAAIABcACIAUgBlAHMAdQBsAHQAIAAgACAAIAAgACAAIAAgACAAIAAgACAAIACSIUYAbwByAG0AdQBsAGEAIAAoAG8AegAgAGkAcwAgAGEAcwBzAHUAbQBlAGQAIAB0AG8AIABiAGUAIAB0AGgAZQAgAG0AbwBkAHUAbABlACcAcwAgAG4AYQBtAGUAKQC2AFwAIgAgACYAXABuACAAIAAgACAAIAAgACAAIAAgACAAIAAgACAAIAAgACAAIAAgACAAIAAgACAAIAAgAFwAIgA0ACAAcgBvAHcAcwAsACAAMwAgAGMAbwBsAHMAIAAgACAAIAAgAJIhPQBvAHoALgBEAGUAYgB0AFMAYwB1AGwAcAB0AEYAaQB4AGUAZAC7AygALAAgAHsAMQAwADAAMAAsADAALAAwAH0ALAAgAHsAMwAwADAALAAzADAAMAAsADMAMAAwAH0ALAAgADEALgAyACwAIAA2ACUALAAg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lAGIAdAApACwAXABuACAAIAAgACAAIAAgACAAIAAgACAAIAAgACAAIAAgACAAIAAgACAAIAAgACAAIAAgACAAIAAgACAASQBTAE8ATQBJAFQAVABFAEQAKAAgAEMARgBBAEQAUwApACwAXABuACAAIAAgACAAIAAgACAAIAAgACAAIAAgACAAIAAgACAAIAAgACAAIAAgACAAIAAgACAAIAAgACAASQBTAE8ATQBJAFQAVABFAEQAKAAgAEQAUwBDAFIAKQAsAFwAbgAgACAAIAAgACAAIAAgACAAIAAgACAAIAAgACAAIAAgACAAIAAgACAAIAAgACAAIAAgACAAIAAgAEkAUwBPAE0ASQBUAFQARQBEACgAIABBAFAAUg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EAGUAYgB0ACAAbQB1AHMAdAAgAGIAZQAgAG8AbgBlACAAcgBvAHcAIABvAGYAIABuAGUAdwAgAGQAZQBiAHQAIAB3AGkAdABoACAAYQB0ACAAbABlAGEAcwB0ACAAdAB3AG8AIABwAGUAcgBpAG8AZABzAFwAIgA7AFwAbgAgACAAIAAgACAAIAAgACAAIAAgACAAIAAgACAAIAAgACAAIAAgACAAIAAgACAAIAAgAFwAIgBDAEYAQQBEAFMAIABtAHUAcwB0ACAAYgBlACAAbwBuAGUAIAByAG8AdwAgAHcAaQB0AGgAIAB0AGgAZQAgAHMAYQBtAGUAIABuAHUAbQBiAGUAcgAgAG8AZgAgAHAAZQByAGkAbwBkAHMAIABhAHMAIABEAGUAYgB0AFwAIgA7AFwAbgAgACAAIAAgACAAIAAgACAAIAAgACAAIAAgACAAIAAgACAAIAAgACAAIAAgACAAIAAgAFwAIgBEAFMAQwBSACAAbQB1AHMAdAAgAGIAZQAgAGEAIABzAGkAbgBnAGwAZQAgAG4AdQBtAGIAZQByACAAaABvAGwAZABpAG4AZwAgAGQAZQBiAHQAIABzAGUAcgB2AGkAYwBlACAAYwBvAHYAZQByAGEAZwBlACAAcgBhAHQAaQBvACAAZgBvAHIAIABhAGwAbAAgAHAAZQByAGkAbwBkAHMAXAAiADsAXABuACAAIAAgACAAIAAgACAAIAAgACAAIAAgACAAIAAgACAAIAAgACAAIAAgACAAIAAgACAAXAAiAEEAUABSACAAbQB1AHMAdAAgAGIAZQAgAGEAIABzAGkAbgBnAGwAZQAgAG4AdQBtAGIAZQByACAAaABvAGwAZABpAG4AZwAgAGkAbgB0AGUAcgBlAHMAdAAnAHMAIABhAG4AbgB1AGEAbAAgAHAAZQByAGMAZQBuAHQAYQBnAGUAIAByAGEAdABlACAAZgBvAHIAIABhAGwAbAAgAHAAZQByAGkAbwBkAHMAXAAiAH0ALABcAG4AIAAgACAAIAAgACAAIAAgAEUAcgByAG8AcgBzACwAIAAgACAAIAAgACAAIAAgACAAVgBTAFQAQQBDAEsAKAAgAE8AUgAoACAAUgBPAFcAUwAoACAARABlAGIAdAApACAAPAA+ACAAMQAsACAAQwBPAEwAVQBNAE4AUwAoACAARABlAGIAdAApACAAPAA9ACAAMQApACwAXABuACAAIAAgACAAIAAgACAAIAAgACAAIAAgACAAIAAgACAAIAAgACAAIAAgACAAIAAgACAAIAAgACAAIAAgACAAIABPAFIAKAAgAFIATwBXAFMAKAAgAEMARgBBAEQAUwApACAAPAA+ACAAMQAsACAAQwBPAEwAVQBNAE4AUwAoACAAQwBGAEEARABTACkAIAA8AD4AIABDAE8ATABVAE0ATgBTACgAIABEAGUAYgB0ACkAKQAsAFwAbgAgACAAIAAgACAAIAAgACAAIAAgACAAIAAgACAAIAAgACAAIAAgACAAIAAgACAAIAAgACAAIAAgACAAIAAgACAATgBPAFQAKAAgAEEATgBEACgAIABJAFMATgBVAE0AQgBFAFIAKAAgAEQAUwBDAFIAKQAsACAAUgBPAFcAUwAoACAARABTAEMAUgApACAAPQAgADEALAAgAEMATwBMAFUATQBOAFMAKAAgAEQAUwBDAFIAKQAgAD0AIAAxACkAKQAsAFwAbgAgACAAIAAgACAAIAAgACAAIAAgACAAIAAgACAAIAAgACAAIAAgACAAIAAgACAAIAAgACAAIAAgACAAIAAgACAATgBPAFQAKAAgAEEATgBEACgAIABJAFMATgBVAE0AQgBFAFIAKAAgAEEAUABSACkALAAgAFIATwBXAFMAKAAgAEEAUABSACkAIAA9ACAAMQAsACAAQwBPAEwAVQBNAE4AUwAoACAAQQBQAFIAKQAgAD0AIAAxACkAKQBcAG4AIAAgACAAIAAgACAAIAAgACAAIAAgACAAIAAgACAAIAAgACAAIAAgACAAIAAgACAAKQAsAFwAbgAgACAAIAAgACAAIAAgACAATQBlAHMAcwBhAGcAZQBzACwAIAAgACAAIAAgACAAIABGAEkATABUAEUAUgAoACAARQByAHIATQBzAGcAcwAsACAARQByAHIAbwByAHMALAAgAFwAIgBcACIAKQAsAFwAbgAgACAAIAAgAC8ALwAgACAAQwBoAGUAYwBrACAAaQBuAHAAdQB0AHMAIAAtACAAUwBlAHQAIABvAHAAdABpAG8AbgBhAGwAIABhAHIAZwB1AG0AZQBuAHQAcwAnACAAZABlAGYAYQB1AGwAdABzAFwAbgAgACAAIAAgACAAIAAgACAATwBwAGUAbgBpAG4AZwBCAGEAbABhAG4AYwBlACwAIABJAEYAKAAgAEkAUwBOAFUATQBCAEUAUgAoACAATwBwAGUAbgBpAG4AZwBCAGEAbABhAG4AYwBlACkALAAgAE8AcABlAG4AaQBuAGcAQgBhAGwAYQBuAGMAZQAsACAAMAApACwAXABuACAAIAAgACAAIAAgACAAIABNAG8AbgB0AGgAcwBQAGUAcgBQAGUAcgBpAG8AZAAsACAASQBGACgAIABJAFMATgBVAE0AQgBFAFIAKAAgAE0AbwBuAHQAaABzAFAAZQByAFAAZQByAGkAbwBkACkALAAgAE0AbwBuAHQAaABzAFAAZQByAFAAZQByAGkAbwBkACwAIAAxACkALABcAG4AIAAgACAAIAAvAC8AIAAgAFAAcgBvAGMAZQBkAHUAcgBlACAALQAgAHMAbwBsAHYAZQAgAHQAaABlACAAYwBsAG8AcwBpAG4AZwAgAGIAYQBsAGEAbgBjAGUAIABwAGUAcgBpAG8AZAAgAGIAeQAgAHAAZQByAGkAbwBkACwAIAB0AGgAZQBuACAAcgBlAGEAZAAgAHQAaABlACAAcgBvAHcAcwAgAG8AZgBmACAAaQB0AFwAbgAgACAAIAAgACAAIAAgACAAUgBhAHQAZQAsACAAIAAgACAAIAAgACAAIAAgACAAIABBAFAAUgAgAC8AIAAxADIAIAAqACAATQBvAG4AdABoAHMAUABlAHIAUABlAHIAaQBvAGQALABcAG4AIAAgACAAIAAgACAAIAAgAFAAZQByAGkAbwBkAHMALAAgACAAIAAgACAAIAAgACAAUwBFAFEAVQBFAE4AQwBFACgAIAAxACwAIABDAE8ATABVAE0ATgBTACgAIABEAGUAYgB0ACkAKQAsAFwAbgAgACAAIAAgACAAIAAgACAATgBlAHcARABlAGIAdAAsACAAIAAgACAAIAAgACAAIABJAE4ARABFAFgAKAAgAEQAZQBiAHQALAAgADEALAAgAFAAZQByAGkAbwBkAHMAKQAsAFwAbgAgACAAIAAgACAAIAAgACAAQwBhAHMAaAAsACAAIAAgACAAIAAgACAAIAAgACAAIABJAE4ARABFAFgAKAAgAEMARgBBAEQAUwAsACAAMQAsACAAUABlAHIAaQBvAGQAcwApACwAXABuACAAIAAgACAAIAAgACAAIABDAGwAbwBzAGkAbgBnAHMALAAgACAAIAAgACAAIAAgAFMAQwBBAE4AKAAgAE8AcABlAG4AaQBuAGcAQgBhAGwAYQBuAGMAZQAsACAAUABlAHIAaQBvAGQAcwAsAFwAbgAgACAAIAAgACAAIAAgACAAIAAgACAAIAAgACAAIAAgACAAIAAgACAAIAAgACAAIAAgACAAIAAgAEwAQQBNAEIARABBACgAIABDAGEAcgByAGkAZQBkACwAIABQAGUAcgBpAG8AZAAsAFwAbgAgACAAIAAgACAAIAAgACAAIAAgACAAIAAgACAAIAAgACAAIAAgACAAIAAgACAAIAAgACAAIAAgACAAIAAgACAATABFAFQAKABPAHAAZQBuAGkAbgBnACwAIAAgACAAIABDAGEAcgByAGkAZQBkACAAKwAgAEkATgBEAEUAWAAoACAATgBlAHcARABlAGIAdAAsACAAMQAsACAAUABlAHIAaQBvAGQAKQAsAFwAbgAgACAAIAAgACAAIAAgACAAIAAgACAAIAAgACAAIAAgACAAIAAgACAAIAAgACAAIAAgACAAIAAgACAAIAAgACAAIAAgACAAIABJAG4AdABlAHIAZQBzAHQALAAgACAAIABPAHAAZQBuAGkAbgBnACAAKgAgAFIAYQB0AGUALABcAG4AIAAgACAAIAAgACAAIAAgACAAIAAgACAAIAAgACAAIAAgACAAIAAgACAAIAAgACAAIAAgACAAIAAgACAAIAAgACAAIAAgACAAUABhAHkAbQBlAG4AdAAsACAAIAAgACAATQBJAE4AKAAgAEkATgBEAEUAWAAoACAAQwBhAHMAaAAsACAAMQAsACAAUABlAHIAaQBvAGQAKQAgAC8AIABEAFMAQwBSACwAIABPAHAAZQBuAGkAbgBnACAAKwAgAEkAbgB0AGUAcgBlAHMAdAApACwAXABuACAAIAAgACAAIAAgACAAIAAgACAAIAAgACAAIAAgACAAIAAgACAAIAAgACAAIAAgACAAIAAgACAAIAAgACAAIAAgACAAIAAgAE8AcABlAG4AaQBuAGcAIAArACAASQBuAHQAZQByAGUAcwB0ACAALQAgAFAAYQB5AG0AZQBu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EMAYQByAHIAaQBlAGQALAAgACAAIAAgACAAIAAgACAASQBGACgAIABDAE8ATABVAE0ATgBTACgAIABEAGUAYgB0ACkAIAA9ACAAMQAsACAATwBwAGUAbgBpAG4AZwBCAGEAbABhAG4AYwBlACwAIABIAFMAVABBAEMASwAoACAATwBwAGUAbgBpAG4AZwBCAGEAbABhAG4AYwBlACwAIABEAFIATwBQACgAIABDAGwAbwBzAGkAbgBnAHMALAAgACwAIAAtADEAKQApACkALABcAG4AIAAgACAAIAAgACAAIAAgAE8AcABlAG4AaQBuAGcALAAgACAAIAAgACAAIAAgACAAQwBhAHIAcgBpAGUAZAAgACsAIABOAGUAdwBEAGUAYgB0ACwAXABuACAAIAAgACAAIAAgACAAIABJAG4AdABlAHIAZQBzAHQALAAgACAAIAAgACAAIAAgAE8AcABlAG4AaQBuAGcAIAAqACAAUgBhAHQAZQAsAFwAbgAgACAAIAAgACAAIAAgACAAUwBlAHIAdgBpAGMAZQAsACAAIAAgACAAIAAgACAAIABDAGEAcwBoACAALwAgAEQAUwBDAFIALABcAG4AIAAgACAAIAAgACAAIAAgAFAAYQB5AG0AZQBuAHQALAAgACAAIAAgACAAIAAgACAASQBGACgAIABTAGUAcgB2AGkAYwBlACAAPAAgAE8AcABlAG4AaQBuAGcAIAArACAASQBuAHQAZQByAGUAcwB0ACwAIABTAGUAcgB2AGkAYwBlACwAIABPAHAAZQBuAGkAbgBnACAAKwAgAEkAbgB0AGUAcgBlAHMAdAApACwAXABuACAAIAAgACAAIAAgACAAIABDAGwAbwBzAGkAbgBnACwAIAAgACAAIAAgACAAIAAgAE8AcABlAG4AaQBuAGcAIAArACAASQBuAHQAZQByAGUAcwB0ACAALQAgAFAAYQB5AG0AZQBuAHQALABcAG4AIAAgACAAIAAgACAAIAAgAFIAZQBzAHUAbAB0ACwAIAAgACAAIAAgACAAIAAgACAAVgBTAFQAQQBDAEsAKAAgAE8AcABlAG4AaQBuAGcALAAgAEkAbgB0AGUAcgBlAHMAdAAsACAALQBQAGEAeQBtAGUAbgB0ACwAIABDAGwAbwBzAGkAbgBn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BcAG4AXABuAFwAbgAvACoAIAAgAEYAVQBOAEMAVABJAE8ATgAgAE4AQQBNAEUAOgAgACAARABlAGIAdABTAGMAdQBsAHAAdABWAGEAcgBpAGEAYgBsAGUATABSAFYAuwNcAG4AIAAgACAAIABEAEUAUwBDAFIASQBQAFQASQBPAE4AOgAqAC8ALwAqACoAQwByAGUAYQB0AGUAcwAgAGEAIABkAGUAYgB0ACAAcwBjAHUAbABwAHQAaQBuAGcAIABzAGMAaABlAGQAdQBsAGUAIAB3AGgAZQByAGUAIABBAFAAUgAgAGEAbgBkACAARABTAEMAUgAgAGEAcgBlACAAcwBlAHQAIABmAG8AcgAgAGUAYQBjAGgAIABwAGUAcgBpAG8AZAAsACAAdwBpAHQAaAAgAGkAbgB0AGUAcgBlAHMAdAAgAGMAaABhAHIAZwBlAGQAIABvAG4AIAB0AGgAZQAgAGEAdgBlAHIAYQBnAGUAIABiAGEAbABhAG4AYwBlACoALwBcAG4ARABlAGIAdABTAGMAdQBsAHAAdABWAGEAcgBpAGEAYgBsAGUATABSAFYAuwMgAD0AIABMAEEATQBCAEQAQQAoAFwAbgAvAC8AIAAgAFAAYQByAGEAbQBlAHQAZQByACAARABlAGMAbABhAHIAYQB0AGkAbwBuAHMAXABuACAAIAAgACAAWwBPAHAAZQBuAGkAbgBnAEIAYQBsAGEAbgBjAGUAXQAsAFwAbgAgACAAIAAgAFsARABlAGIAdABdACwAXABuACAAIAAgACAAWwBDAEYAQQBEAFMAXQAsAFwAbgAgACAAIAAgAFsARABTAEMAUgBdACwAXABuACAAIAAgACAAWwBBAFAAUgBdACwAXABuACAAIAAgACAAWwBNAG8AbgB0AGgAcwBQAGUAcgBQAGUAcgBpAG8AZABdACwAXABuACAAIAAgACAAWwBQAGUAcgBpAG8AZABSAGEAdABlAHMAXQAsAFwAbgAvAC8AIAAgAEgAZQBsAHAAXABuACAAIAAgACAATABFAFQAKABIAGUAbABwACwAIAAgACAAIAAgACAAIABUAFIASQBNACgAVABFAFgAVABTAFAATABJAFQAKABcAG4AIAAgACAAIAAgACAAIAAgACAAIAAgACAAIAAgACAAIAAgACAAIAAgACAAIAAgACAAXAAiAEYAVQBOAEMAVABJAE8ATgA6ACAAIAAgACAAIAAgACAAIAAgACAAkiFEAGUAYgB0AFMAYwB1AGwAcAB0AFYAYQByAGkAYQBiAGwAZQBMAFIAVgC7AygAWwBPAHAAZQBuAGkAbgBnAEIAYQBsAGEAbgBjAGUAXQAsACAARABlAGIAdAAsACAAQwBGAEEARABTACwAIABEAFMAQwBSACwAIABBAFAAUgAsACAAWwBNAG8AbgB0AGgAcwBQAGUAcgBQAGUAcgBpAG8AZABdACwAIABbAFAAZQByAGkAbwBkAFIAYQB0AGUAcwBdACkAtgBcACIAIAAmAFwAbgAgACAAIAAgACAAIAAgACAAIAAgACAAIAAgACAAIAAgACAAIAAgACAAIAAgACAAIABcACIARABFAFMAQwBSAEkAUABUAEkATwBOADoAIAAgACAAIAAgACAAIACSIUMAcgBlAGEAdABlAHMAIABhACAARABlAGIAdAAgAFMAYwB1AGwAcAB0AGkAbgBnACAAcwBjAGgAZQBkAHUAbABlACAAdwBoAGUAcgBlACAAQQBQAFIAIABhAG4AZAAgAEQAUwBDAFIAIABhAHIAZQAgAHMAZQB0ACAAZgBvAHIAIABlAGEAYwBoACAAcABlAHIAaQBvAGQALgC2AFwAIgAgACYAXABuACAAIAAgACAAIAAgACAAIAAgACAAIAAgACAAIAAgACAAIAAgACAAIAAgACAAIAAgAFwAIgAgACAAIAAgACAAIAAgACAAIAAgACAAIAAgACAAIAAgACAAIAAgAJIhSQBuAHQAZQByAGUAcwB0ACAAaQBzACAAYwBoAGEAcgBnAGUAZAAgAG8AbgAgAHQAaABlACAAYQB2AGUAcgBhAGcAZQAgAGIAYQBsAGEAbgBjAGUAIABvAHYAZQByACAAdABoAGUAIABwAGUAcgBpAG8AZAAsACAAdABoAGUAIABtAGUAdABoAG8AZAC2AFwAIgAgACYAXABuACAAIAAgACAAIAAgACAAIAAgACAAIAAgACAAIAAgACAAIAAgACAAIAAgACAAIAAgAFwAIgAgACAAIAAgACAAIAAgACAAIAAgACAAIAAgACAAIAAgACAAIAAgAJIhcAByAGUAcwBlAG4AdABlAGQAIABiAHkAIABMAGEAbgBjAGUAIABSAHUAYgBpAG4ALAAgAGEAbgBkACAAdABoAGUAIABwAHIAaQBuAGMAaQBwAGEAbAAgAHIAZQBwAGEAaQBkACAAaQBzACAAdwBoAGEAdAAgAHQAaABlACAAYwBhAHMAaAC2AFwAIgAgACYAXABuACAAIAAgACAAIAAgACAAIAAgACAAIAAgACAAIAAgACAAIAAgACAAIAAgACAAIAAgAFwAIgAgACAAIAAgACAAIAAgACAAIAAgACAAIAAgACAAIAAgACAAIAAgAJIhYQB2AGEAaQBsAGEAYgBsAGUAIABmAG8AcgAgAGQAZQBiAHQAIABzAGUAcgB2AGkAYwBlACAAbABlAGEAdgBlAHMAIABhAGYAdABlAHIAIAB0AGgAYQB0ACAAaQBuAHQAZQByAGUAcwB0AC4AtgBcACIAIAAmAFwAbgAgACAAIAAgACAAIAAgACAAIAAgACAAIAAgACAAIAAgACAAIAAgACAAIAAgACAAIABcACIAUwBVAEcARwBFAFMAVABFAEQAIABSAE8AVwAgAEkARABTADoAIACSIUQAZQBiAHQAIABvAHAAZQBuAGkAbgBnACAAYgBhAGwAYQBuAGMAZQC2AFwAIgAgACYAXABuACAAIAAgACAAIAAgACAAIAAgACAAIAAgACAAIAAgACAAIAAgACAAIAAgACAAIAAgAFwAIgAgACAAIAAgACAAIAAgACAAIAAgACAAIAAgACAAIAAgACAAIAAgAJIhSQBuAHQAZQByAGUAcwB0ACAAbwBuACAAUAByAGkAbgBjAGkAcABhAGwAIABCAGEAbABhAG4AYwBlALYAXAAiACAAJgBcAG4AIAAgACAAIAAgACAAIAAgACAAIAAgACAAIAAgACAAIAAgACAAIAAgACAAIAAgACAAXAAiACAAIAAgACAAIAAgACAAIAAgACAAIAAgACAAIAAgACAAIAAgACAAkiFQAHIAaQBuAGMAaQBwAGEAbAAgAHIAZQBwAGEAeQBtAGUAbgB0AHMAtgBcACIAIAAmAFwAbgAgACAAIAAgACAAIAAgACAAIAAgACAAIAAgACAAIAAgACAAIAAgACAAIAAgACAAIABcACIAIAAgACAAIAAgACAAIAAgACAAIAAgACAAIAAgACAAIAAgACAAIACSIUQAZQBiAHQAIABjAGwAbwBzAGkAbgBnACAAYgBhAGwAYQBuAGMAZQC2AFwAIgAgACYAXABuACAAIAAgACAAIAAgACAAIAAgACAAIAAgACAAIAAgACAAIAAgACAAIAAgACAAIAAgAFwAIgBXAEUAQgBQAEEARwBFADoAIAAgACAAIAAgACAAIAAgACAAIAAgAJIhaAB0AHQAcABzADoALwAvAGcAaQB0AGgAdQBiAC4AYwBvAG0ALwByAHkAYQBuAGQAdQBnAHUAaQBkAC8ATwB6AHoAaQB0ALYAXAAiACAAJgBcAG4AIAAgACAAIAAgACAAIAAgACAAIAAgACAAIAAgACAAIAAgACAAIAAgACAAIAAgACAAXAAiAFYARQBSAFMASQBPAE4AOgAgACAAIAAgACAAIAAgACAAIAAgACAAkiExADAAIABTAGUAcAAgADIAMAAyADYAtgBcACIAIAAmAFwAbgAgACAAIAAgACAAIAAgACAAIAAgACAAIAAgACAAIAAgACAAIAAgACAAIAAgACAAIABcACIAUABBAFIAQQBNAEUAVABFAFIAUwA6ACAAIAAgACAAIAAgACAAIACSIbYAXAAiACAAJgBcAG4AIAAgACAAIAAgACAAIAAgACAAIAAgACAAIAAgACAAIAAgACAAIAAgACAAIAAgACAAXAAiAE8AcABlAG4AaQBuAGcAQgBhAGwAYQBuAGMAZQAgACAAIAAgACAAkiEoAE8AcAB0AGkAbwBuAGEAbAApACAATQBvAGQAZQBsACcAcwAgAGQAZQBiAHQAIABvAG4AIABvAHAAZQBuAGkAbgBnAC4AIABEAGUAZgBhAHUAbAB0AHMAIAB0AG8AIAAwALYAXAAiACAAJgBcAG4AIAAgACAAIAAgACAAIAAgACAAIAAgACAAIAAgACAAIAAgACAAIAAgACAAIAAgACAAXAAiAEQAZQBiAHQAIAAgACAAIAAgACAAIAAgACAAIAAgACAAIAAgACAAkiEoAFIAZQBxAHUAaQByAGUAZAApACAATwBuAGUAIAByAG8AdwAgAG8AZgAgAG4AZQB3ACAAZABlAGIAdAAsACAAYQB0ACAAbABlAGEAcwB0ACAAdAB3AG8AIABwAGUAcgBpAG8AZABzAC4AIABFAHYAZQByAHkAIABwAGUAcgBpAG8AZAAgAGkAbgBwAHUAdAAgAG0AdQBzAHQAIABoAGEAdgBlACAAdABoAGkAcwAgAHMAYQBtAGUAIAB3AGkAZAB0AGgAtgBcACIAIAAmAFwAbgAgACAAIAAgACAAIAAgACAAIAAgACAAIAAgACAAIAAgACAAIAAgACAAIAAgACAAIABcACIAQwBGAEEARABTACAAIAAgACAAIAAgACAAIAAgACAAIAAgACAAIACSISgAUgBlAHEAdQBpAHIAZQBkACkAIABBACAAcgBvAHcAIABvAGYAIABDAGEAcwBoACAARgBsAG8AdwAgAEEAdgBhAGkAbABhAGIAbABlACAAZgBvAHIAIABEAGUAYgB0ACAAUwBlAHIAdgBpAGMAZQAgAGkAbgAgAGUAYQBjAGgAIABwAGUAcgBpAG8AZAC2AFwAIgAgACYAXABuACAAIAAgACAAIAAgACAAIAAgACAAIAAgACAAIAAgACAAIAAgACAAIAAgACAAIAAgAFwAIgBEAFMAQwBSACAAIAAgACAAIAAgACAAIAAgACAAIAAgACAAIAAgAJIhKABSAGUAcQB1AGkAcgBlAGQAKQAgAEEAIAByAG8AdwAgAG8AZgAgAEQAZQBiAHQAIABTAGUAcgB2AGkAYwBlACAAQwBvAHYAZQByAGEAZwBlACAAUgBhAHQAaQBvAHMALAAgAG8AbgBlACAAcABlAHIAIABwAGUAcgBpAG8AZAC2AFwAIgAgACYAXABuACAAIAAgACAAIAAgACAAIAAgACAAIAAgACAAIAAgACAAIAAgACAAIAAgACAAIAAgAFwAIgBBAFAAUgAgACAAIAAgACAAIAAgACAAIAAgACAAIAAgACAAIAAgAJIhKABSAGUAcQB1AGkAcgBlAGQAIAB1AG4AbABlAHMAcwAgAFAAZQByAGkAbwBkAFIAYQB0AGUAcwAgAGkAcwAgAGcAaQB2AGUAbgApACAAQQAgAHIAbwB3ACAAbwBmACAASQBuAHQAZQByAGUAcwB0ACcAcwAgAEEAbgBuAHUAYQBsACAAUABlAHIAYwBlAG4AdABhAGcAZQAgAFIAYQB0AGUAcwAsACAAbwBuAGUAIABwAGUAcgAgAHAAZQByAGkAbwBkAC4AIABFAGEAYwBoACAAcABlAHIAaQBvAGQAIABjAGgAYQByAGcAZQBzACAAQQBQAFIAIAAvACAAMQAyACAAKgAgAE0AbwBuAHQAaABzAFAAZQByAFAAZQByAGkAbwBkALYAXAAiACAAJgBcAG4AIAAgACAAIAAgACAAIAAgACAAIAAgACAAIAAgACAAIAAgACAAIAAgACAAIAAgACAAXAAiAE0AbwBuAHQAaABzAFAAZQByAFAAZQByAGkAbwBkACAAIAAgACAAkiEoAE8AcAB0AGkAbwBuAGEAbAApACAARABlAGYAYQB1AGwAdABzACAAdABvACAAbwBuAGUAIABtAG8AbgB0AGgAIABwAGUAcgAgAHAAZQByAGkAbwBkAC4AIABJAGcAbgBvAHIAZQBkACAAdwBoAGUAbgAgAFAAZQByAGkAbwBkAFIAYQB0AGUAcwAgAGkAcwAgAGcAaQB2AGUAbgC2AFwAIgAgACYAXABuACAAIAAgACAAIAAgACAAIAAgACAAIAAgACAAIAAgACAAIAAgACAAIAAgACAAIAAgAFwAIgBQAGUAcgBpAG8AZABSAGEAdABlAHMAIAAgACAAIAAgACAAIAAgAJIhKABPAHAAdABpAG8AbgBhAGwAKQAgAEEAIAByAG8AdwAgAG8AZgAgAGkAbgB0AGUAcgBlAHMAdAAgAHIAYQB0AGUAcwAgAHAAZQByACAAcABlAHIAaQBvAGQALAAgAG8AbgBlACAAcABlAHIAIABwAGUAcgBpAG8AZAAsACAAcwB1AGMAaAAgAGEAcwAgAEQAYQB5AEMAbwB1AG4AdABSAGEAdABlALsDKAApACAAcgBlAHQAdQByAG4AcwAgAGYAbwByACAAYQAgAGQAYQB5ACAAYwBvAHUAbgB0ACAAYwBvAG4AdgBlAG4AdABpAG8AbgAuACAAVwBoAGUAbgAgAGcAaQB2AGUAbgAsACAAaQBuAHQAZQByAGUAcwB0ACAAdQBzAGUAcwAgAHQAaABlAHMAZQAgAHIAYQB0AGUAcwAgAGEAbgBkACAAQQBQAFIAIABhAG4AZAAgAE0AbwBuAHQAaABzAFAAZQByAFAAZQByAGkAbwBkACAAYQByAGUAIABpAGcAbgBvAHIAZQBkAC4AIABBACAAYgBsAGEAbgBrACAAYwBlAGwAbAAgAG8AcgAgAHIAYQBuAGcAZQAgAGMAbwB1AG4AdABzACAAYQBzACAAbgBvAHQAIABnAGkAdgBlAG4AtgBcACIAIAAmAFwAbgAgACAAIAAgACAAIAAgACAAIAAgACAAIAAgACAAIAAgACAAIAAgACAAIAAgACAAIABcACIARQBYAEEATQBQAEwARQBTADoAIAAgACAAIAAgACAAIAAgACAAIACSIbYAXAAiACAAJgBcAG4AIAAgACAAIAAgACAAIAAgACAAIAAgACAAIAAgACAAIAAgACAAIAAgACAAIAAgACAAXAAiAFIAZQBzAHUAbAB0ACAAIAAgACAAIAAgACAAIAAgACAAIAAgACAAkiFGAG8AcgBtAHUAbABhACAAKABvAHoAIABpAHMAIABhAHMAcwB1AG0AZQBkACAAdABvACAAYgBlACAAdABoAGUAIABtAG8AZAB1AGwAZQAnAHMAIABuAGEAbQBlACkAtgBcACIAIAAmAFwAbgAgACAAIAAgACAAIAAgACAAIAAgACAAIAAgACAAIAAgACAAIAAgACAAIAAgACAAIABcACIANAAgAHIAbwB3AHMALAAgADMAIABjAG8AbABzACAAIAAgACAAIACSIT0AbwB6AC4ARABlAGIAdABTAGMAdQBsAHAAdABWAGEAcgBpAGEAYgBsAGUATABSAFYAuwMoACwAIAB7ADEAMAAwADAALAAwACwAMAB9ACwAIAB7ADMAMAAwACwAMwAwADAALAAzADAAMAB9ACwAIAB7ADEALgAyACwAMQAuADIALAAxAC4AMgB9ACwAIAB7ADAALgAwADYALAAwAC4AMAA2ACwAMAAuADAANgB9ACwAIAAxADIAKQBcACIALABcAG4AIAAgACAAIAAgACAAIAAgACAAIAAgACAAIAAgACAAIAAgACAAIAAgACAAIAAgACAAXAAiAJIhXAAiACwAIABcACIAtgBcACIAXABuACAAIAAgACAAIAAgACAAIAAgACAAIAAgACAAIAAgACAAIAAgACAAIAAgACAAIAAgACkAXABuACAAIAAgACAAIAAgACAAIAAgACAAIAAgACAAIAAgACAAIAAgACAAIAApACwAXABuACAAIAAgACAALwAvACAAIABBACAAYgBsAGEAbgBrACAAUABlAHIAaQBvAGQAUgBhAHQAZQBzACAAYwBlAGwAbAAgAG8AcgAgAHIAYQBuAGcAZQAgAGkAcwAgAG4AbwB0ACAAYQAgAHIAbwB3ACAAbwBmACAAcgBhAHQAZQBzACwAIABzAG8AIAB0AGUAcwB0ACAAZgBvAHIAIABiAG8AdABoAFwAbgAgACAAIAAgACAAIAAgACAAVQBzAGUAUgBhAHQAZQBzACwAIAAgACAAIAAgACAAIABBAE4ARAAoACAATgBPAFQAKAAgAEkAUwBPAE0ASQBUAFQARQBEACgAIABQAGUAcgBpAG8AZABSAGEAdABlAHMAKQApACwAIABDAE8AVQBOAFQAKAAgAFAAZQByAGkAbwBkAFIAYQB0AGUAcwApACAAPgAgADAAKQAsAFwAbgAgACAAIAAgAC8ALwAgACAAQwBoAGUAYwBrACAAaQBuAHAAdQB0AHMAIAAtACAATwBtAGkAdAB0AGUAZAAgAHIAZQBxAHUAaQByAGUAZAAgAGEAcgBnAHUAbQBlAG4AdABzAFwAbgAgACAAIAAgACAAIAAgACAASABlAGwAcAA/ACwAIAAgACAAIAAgACAAIAAgACAAIABPAFIAKAAgAEkAUwBPAE0ASQBUAFQARQBEACgAIABEAGUAYgB0ACkALABcAG4AIAAgACAAIAAgACAAIAAgACAAIAAgACAAIAAgACAAIAAgACAAIAAgACAAIAAgACAAIAAgACAAIABJAFMATwBNAEkAVABUAEUARAAoACAAQwBGAEEARABTACkALABcAG4AIAAgACAAIAAgACAAIAAgACAAIAAgACAAIAAgACAAIAAgACAAIAAgACAAIAAgACAAIAAgACAAIABJAFMATwBNAEkAVABUAEUARAAoACAARABTAEMAUgApACwAXABuACAAIAAgACAAIAAgACAAIAAgACAAIAAgACAAIAAgACAAIAAgACAAIAAgACAAIAAgACAAIAAgACAAQQBOAEQAKAAgAEkAUwBPAE0ASQBUAFQARQBEACgAIABBAFAAUgApACwAIABOAE8AVAAoACAAVQBzAGUAUgBhAHQAZQBzACk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RABlAGIAdAAgAG0AdQBzAHQAIABiAGUAIABvAG4AZQAgAHIAbwB3ACAAbwBmACAAbgBlAHcAIABkAGUAYgB0ACAAdwBpAHQAaAAgAGEAdAAgAGwAZQBhAHMAdAAgAHQAdwBvACAAcABlAHIAaQBvAGQAcwBcACIAOwBcAG4AIAAgACAAIAAgACAAIAAgACAAIAAgACAAIAAgACAAIAAgACAAIAAgACAAIAAgACAAIABcACIAQwBGAEEARABTACAAbQB1AHMAdAAgAGIAZQAgAG8AbgBlACAAcgBvAHcAIAB3AGkAdABoACAAdABoAGUAIABzAGEAbQBlACAAbgB1AG0AYgBlAHIAIABvAGYAIABwAGUAcgBpAG8AZABzACAAYQBzACAARABlAGIAdABcACIAOwBcAG4AIAAgACAAIAAgACAAIAAgACAAIAAgACAAIAAgACAAIAAgACAAIAAgACAAIAAgACAAIABcACIARABTAEMAUgAgAG0AdQBzAHQAIABiAGUAIABvAG4AZQAgAHIAbwB3ACAAdwBpAHQAaAAgAHQAaABlACAAcwBhAG0AZQAgAG4AdQBtAGIAZQByACAAbwBmACAAcABlAHIAaQBvAGQAcwAgAGEAcwAgAEQAZQBiAHQAXAAiADsAXABuACAAIAAgACAAIAAgACAAIAAgACAAIAAgACAAIAAgACAAIAAgACAAIAAgACAAIAAgACAAXAAiAEEAUABSACAAbwByACAAUABlAHIAaQBvAGQAUgBhAHQAZQBzACAAbQB1AHMAdAAgAGIAZQAgAG8AbgBlACAAcgBvAHcAIAB3AGkAdABoACAAdABoAGUAIABzAGEAbQBlACAAbgB1AG0AYgBlAHIAIABvAGYAIABwAGUAcgBpAG8AZABzACAAYQBzACAARABlAGIAdABcACIAfQAsAFwAbgAgACAAIAAgACAAIAAgACAARQByAHIAbwByAHMALAAgACAAIAAgACAAIAAgACAAIABWAFMAVABBAEMASwAoACAATwBSACgAIABSAE8AVwBTACgAIABEAGUAYgB0ACkAIAA8AD4AIAAxACwAIABDAE8ATABVAE0ATgBTACgAIABEAGUAYgB0ACkAIAA8AD0AIAAxACkALABcAG4AIAAgACAAIAAgACAAIAAgACAAIAAgACAAIAAgACAAIAAgACAAIAAgACAAIAAgACAAIAAgACAAIAAgACAAIAAgAE8AUgAoACAAUgBPAFcAUwAoACAAQwBGAEEARABTACkAIAA8AD4AIAAxACwAIABDAE8ATABVAE0ATgBTACgAIABDAEYAQQBEAFMAKQAgADwAPgAgAEMATwBMAFUATQBOAFMAKAAgAEQAZQBiAHQAKQApACwAXABuACAAIAAgACAAIAAgACAAIAAgACAAIAAgACAAIAAgACAAIAAgACAAIAAgACAAIAAgACAAIAAgACAAIAAgACAAIABPAFIAKAAgAFIATwBXAFMAKAAgAEQAUwBDAFIAKQAgADwAPgAgADEALAAgAEMATwBMAFUATQBOAFMAKAAgAEQAUwBDAFIAKQAgADwAPgAgAEMATwBMAFUATQBOAFMAKAAgAEQAZQBiAHQAKQApACwAXABuACAAIAAgACAAIAAgACAAIAAgACAAIAAgACAAIAAgACAAIAAgACAAIAAgACAAIAAgACAAIAAgACAAIAAgACAAIABJAEYAKAAgAFUAcwBlAFIAYQB0AGUAcwAsAFwAbgAgACAAIAAgACAAIAAgACAAIAAgACAAIAAgACAAIAAgACAAIAAgACAAIAAgACAAIAAgACAAIAAgACAAIAAgACAAIAAgACAAIABPAFIAKAAgAFIATwBXAFMAKAAgAFAAZQByAGkAbwBkAFIAYQB0AGUAcwApACAAPAA+ACAAMQAsACAAQwBPAEwAVQBNAE4AUwAoACAAUABlAHIAaQBvAGQAUgBhAHQAZQBzACkAIAA8AD4AIABDAE8ATABVAE0ATgBTACgAIABEAGUAYgB0ACkAKQAsAFwAbgAgACAAIAAgACAAIAAgACAAIAAgACAAIAAgACAAIAAgACAAIAAgACAAIAAgACAAIAAgACAAIAAgACAAIAAgACAAIAAgACAAIABPAFIAKAAgAFIATwBXAFMAKAAgAEEAUABSACkAIAA8AD4AIAAxACwAIABDAE8ATABVAE0ATgBTACgAIABBAFAAUgApACAAPAA+ACAAQwBPAEwAVQBNAE4AUwAoACAARABlAGIAdAApACkAKQBcAG4AIAAgACAAIAAgACAAIAAgACAAIAAgACAAIAAgACAAIAAgACAAIAAgACAAIAAgACAAKQAsAFwAbgAgACAAIAAgACAAIAAgACAATQBlAHMAcwBhAGcAZQBzACwAIAAgACAAIAAgACAAIABGAEkATABUAEUAUgAoACAARQByAHIATQBzAGcAcwAsACAARQByAHIAbwByAHMALAAgAFwAIgBcACIAKQAsAFwAbgAgACAAIAAgAC8ALwAgACAAQwBoAGUAYwBrACAAaQBuAHAAdQB0AHMAIAAtACAAUwBlAHQAIABvAHAAdABpAG8AbgBhAGwAIABhAHIAZwB1AG0AZQBuAHQAcwAnACAAZABlAGYAYQB1AGwAdABzAFwAbgAgACAAIAAgACAAIAAgACAATwBwAGUAbgBpAG4AZwBCAGEAbABhAG4AYwBlACwAIABJAEYAKAAgAEkAUwBOAFUATQBCAEUAUgAoACAATwBwAGUAbgBpAG4AZwBCAGEAbABhAG4AYwBlACkALAAgAE8AcABlAG4AaQBuAGcAQgBhAGwAYQBuAGMAZQAsACAAMAApACwAXABuACAAIAAgACAAIAAgACAAIABNAG8AbgB0AGgAcwBQAGUAcgBQAGUAcgBpAG8AZAAsACAASQBGACgAIABJAFMATgBVAE0AQgBFAFIAKAAgAE0AbwBuAHQAaABzAFAAZQByAFAAZQByAGkAbwBkACkALAAgAE0AbwBuAHQAaABzAFAAZQByAFAAZQByAGkAbwBkACwAIAAxACkALABcAG4AIAAgACAAIAAvAC8AIAAgAFAAcgBvAGMAZQBkAHUAcgBlACAALQAgAHMAbwBsAHYAZQAgAHQAaABlACAAYwBsAG8AcwBpAG4AZwAgAGIAYQBsAGEAbgBjAGUAIABwAGUAcgBpAG8AZAAgAGIAeQAgAHAAZQByAGkAbwBkACwAIAB0AGgAZQBuACAAcgBlAGEAZAAgAHQAaABlACAAcgBvAHcAcwAgAG8AZgBmACAAaQB0AFwAbgAgACAAIAAgACAAIAAgACAAUABlAHIAaQBvAGQAcwAsACAAIAAgACAAIAAgACAAIABTAEUAUQBVAEUATgBDAEUAKAAgADEALAAgAEMATwBMAFUATQBOAFMAKAAgAEQAZQBiAHQAKQApACwAXABuACAAIAAgACAALwAvACAAIABBACAAcgBvAHcAIABvAGYAIAByAGEAdABlAHMAIABwAGUAcgAgAHAAZQByAGkAbwBkACwAIABmAHIAbwBtACAAYQAgAGQAYQB5ACAAYwBvAHUAbgB0ACAAYwBvAG4AdgBlAG4AdABpAG8AbgAsACAAcgBlAHAAbABhAGMAZQBzACAAdABoAGUAIABmAGwAYQB0ACAAdAB3AGUAbABmAHQAaAAgAG8AZgAgAEEAUABSAFwAbgAgACAAIAAgACAAIAAgACAAUgBhAHQAZQBzACwAIAAgACAAIAAgACAAIAAgACAAIABJAEYAKAAgAFUAcwBlAFIAYQB0AGUAcwAsAFwAbgAgACAAIAAgACAAIAAgACAAIAAgACAAIAAgACAAIAAgACAAIAAgACAAIAAgACAAIAAgACAAIAAgAEkATgBEAEUAWAAoACAAUABlAHIAaQBvAGQAUgBhAHQAZQBzACwAIAAxACwAIABQAGUAcgBpAG8AZABzACkALABcAG4AIAAgACAAIAAgACAAIAAgACAAIAAgACAAIAAgACAAIAAgACAAIAAgACAAIAAgACAAIAAgACAAIABJAE4ARABFAFgAKAAgAEEAUABSACwAIAAxACwAIABQAGUAcgBpAG8AZABzACkAIAAvACAAMQAyACAAKgAgAE0AbwBuAHQAaABzAFAAZQByAFAAZQByAGkAbwBkAFwAbgAgACAAIAAgACAAIAAgACAAIAAgACAAIAAgACAAIAAgACAAIAAgACAAIAAgACAAIAApACwAXABuACAAIAAgACAAIAAgACAAIABOAGUAdwBEAGUAYgB0ACwAIAAgACAAIAAgACAAIAAgAEkATgBEAEUAWAAoACAARABlAGIAdAAsACAAMQAsACAAUABlAHIAaQBvAGQAcwApACwAXABuACAAIAAgACAAIAAgACAAIABDAGEAcwBoACwAIAAgACAAIAAgACAAIAAgACAAIAAgAEkATgBEAEUAWAAoACAAQwBGAEEARABTACwAIAAxACwAIABQAGUAcgBpAG8AZABzACkALABcAG4AIAAgACAAIAAgACAAIAAgAEMAbwB2AGUAcgAsACAAIAAgACAAIAAgACAAIAAgACAASQBOAEQARQBYACgAIABEAFMAQwBSACwAIAAxACwAIABQAGUAcgBpAG8AZABzACkALABcAG4AIAAgACAAIAAgACAAIAAgAEMAbABvAHMAaQBuAGcAcwAsACAAIAAgACAAIAAgACAAUwBDAEEATgAoACAATwBwAGUAbgBpAG4AZwBCAGEAbABhAG4AYwBlACwAIABQAGUAcgBpAG8AZABzACwAXABuACAAIAAgACAAIAAgACAAIAAgACAAIAAgACAAIAAgACAAIAAgACAAIAAgACAAIAAgACAAIAAgACAATABBAE0AQgBEAEEAKAAgAEMAYQByAHIAaQBlAGQALAAgAFAAZQByAGkAbwBkACwAXABuACAAIAAgACAAIAAgACAAIAAgACAAIAAgACAAIAAgACAAIAAgACAAIAAgACAAIAAgACAAIAAgACAAIAAgACAAIABMAEUAVAAoAE8AcABlAG4AaQBuAGcALAAgACAAIAAgAEMAYQByAHIAaQBlAGQAIAArACAASQBOAEQARQBYACgAIABOAGUAdwBEAGUAYgB0ACwAIAAxACwAIABQAGUAcgBpAG8AZAApACwAXABuACAAIAAgACAAIAAgACAAIAAgACAAIAAgACAAIAAgACAAIAAgACAAIAAgACAAIAAgACAAIAAgACAAIAAgACAAIAAgACAAIAAgAEkAbgB0AGUAcgBlAHMAdAAsACAAIAAgAEkAbgB0AGUAcgBlAHMAdABMAFIAVgC7AygAIABJAE4ARABFAFgAKAAgAEMAYQBzAGgALAAgADEALAAgAFAAZQByAGkAbwBkACkALAAgAEkATgBEAEUAWAAoACAAQwBvAHYAZQByACwAIAAxACwAIABQAGUAcgBpAG8AZAApACwAIABPAHAAZQBuAGkAbgBnACwAIABJAE4ARABFAFgAKAAgAFIAYQB0AGUAcwAsACAAMQAsACAAUABlAHIAaQBvAGQAKQApACwAXABuACAAIAAgACAAIAAgACAAIAAgACAAIAAgACAAIAAgACAAIAAgACAAIAAgACAAIAAgACAAIAAgACAAIAAgACAAIAAgACAAIAAgAFAAYQB5AG0AZQBuAHQALAAgACAAIAAgAE0ASQBOACgAIABJAE4ARABFAFgAKAAgAEMAYQBzAGgALAAgADEALAAgAFAAZQByAGkAbwBkACkAIAAvACAASQBOAEQARQBYACgAIABDAG8AdgBlAHIALAAgADEALAAgAFAAZQByAGkAbwBkACkAIAAtACAASQBuAHQAZQByAGUAcwB0ACwAIABPAHAAZQBuAGkAbgBnACkALABcAG4AIAAgACAAIAAgACAAIAAgACAAIAAgACAAIAAgACAAIAAgACAAIAAgACAAIAAgACAAIAAgACAAIAAgACAAIAAgACAAIAAgACAATwBwAGUAbgBpAG4AZwAgAC0AIABQAGEAeQBtAGUAbg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DAGEAcgByAGkAZQBkACwAIAAgACAAIAAgACAAIAAgAEkARgAoACAAQwBPAEwAVQBNAE4AUwAoACAARABlAGIAdAApACAAPQAgADEALAAgAE8AcABlAG4AaQBuAGcAQgBhAGwAYQBuAGMAZQAsACAASABTAFQAQQBDAEsAKAAgAE8AcABlAG4AaQBuAGcAQgBhAGwAYQBuAGMAZQAsACAARABSAE8AUAAoACAAQwBsAG8AcwBpAG4AZwBzACwAIAAsACAALQAxACkAKQApACwAXABuACAAIAAgACAAIAAgACAAIABPAHAAZQBuAGkAbgBnACwAIAAgACAAIAAgACAAIAAgAEMAYQByAHIAaQBlAGQAIAArACAATgBlAHcARABlAGIAdAAsAFwAbgAgACAAIAAgACAAIAAgACAASQBuAHQAZQByAGUAcwB0ACwAIAAgACAAIAAgACAAIABNAEEAUAAoACAAUABlAHIAaQBvAGQAcwAsAFwAbgAgACAAIAAgACAAIAAgACAAIAAgACAAIAAgACAAIAAgACAAIAAgACAAIAAgACAAIAAgACAAIAAgAEwAQQBNAEIARABBACgAIABQAGUAcgBpAG8AZAAsAFwAbgAgACAAIAAgACAAIAAgACAAIAAgACAAIAAgACAAIAAgACAAIAAgACAAIAAgACAAIAAgACAAIAAgACAAIAAgACAASQBuAHQAZQByAGUAcwB0AEwAUgBWALsDKAAgAEkATgBEAEUAWAAoACAAQwBhAHMAaAAsACAAMQAsACAAUABlAHIAaQBvAGQAKQAsACAASQBOAEQARQBYACgAIABDAG8AdgBlAHIALAAgADEALAAgAFAAZQByAGkAbwBkACkALAAgAEkATgBEAEUAWAAoACAATwBwAGUAbgBpAG4AZwAsACAAMQAsACAAUABlAHIAaQBvAGQAKQAsACAASQBOAEQARQBYACgAIABSAGEAdABlAHMALAAgADEALAAgAFAAZQByAGkAbwBkACkAKQBcAG4AIAAgACAAIAAgACAAIAAgACAAIAAgACAAIAAgACAAIAAgACAAIAAgACAAIAAgACAAIAAgACAAIAApAFwAbgAgACAAIAAgACAAIAAgACAAIAAgACAAIAAgACAAIAAgACAAIAAgACAAIAAgACAAIAApACwAXABuACAAIAAgACAAIAAgACAAIABBAHYAYQBpAGwAYQBiAGwAZQAsACAAIAAgACAAIAAgAEMAYQBzAGgAIAAvACAAQwBvAHYAZQByACAALQAgAEkAbgB0AGUAcgBlAHMAdAAsAFwAbgAgACAAIAAgACAAIAAgACAAUABhAHkAbQBlAG4AdAAsACAAIAAgACAAIAAgACAAIABJAEYAKAAgAEEAdgBhAGkAbABhAGIAbABlACAAPAAgAE8AcABlAG4AaQBuAGcALAAgAEEAdgBhAGkAbABhAGIAbABlACwAIABPAHAAZQBuAGkAbgBnACkALABcAG4AIAAgACAAIAAgACAAIAAgAEMAbABvAHMAaQBuAGcALAAgACAAIAAgACAAIAAgACAATwBwAGUAbgBpAG4AZwAgAC0AIABQAGEAeQBtAGUAbgB0ACwAXABuACAAIAAgACAAIAAgACAAIABSAGUAcwB1AGwAdAAsACAAIAAgACAAIAAgACAAIAAgAFYAUwBUAEEAQwBLACgAIABPAHAAZQBuAGkAbgBnACwAIABJAG4AdABlAHIAZQBzAHQALAAgAC0AUABhAHkAbQBlAG4AdAAsACAAQwBsAG8AcwBpAG4AZwApACwAXABuACAAIAAgACAALwAvACAAIABSAGUAdAB1AHIAbgAgAFIAZQBzAHUAbAB0ACwAIABIAGUAbABwACAAbwByACAAdABoAGUAIABtAGUAcwBzAGEAZwBlAHMAXABuACAAIAAgACAAIAAgACAAIABSAGUAdAB1AHIAbgAsACAAIAAgACAAIAAgACAAIAAgAEkARgAoACAASABlAGwAcAA/ACwAIAAyACwAIABJAEYAKAAgAE8AUgAoACAARQByAHIAbwByAHMAKQAsACAAMwAsACAAMQApACkALABcAG4AIAAgACAAIAAgACAAIAAgAEMASABPAE8AUwBFACgAIABSAGUAdAB1AHIAbgAsACAAUgBlAHMAdQBsAHQALAAgAEgAZQBsAHAALAAgAE0AZQBzAHMAYQBnAGUAcwApAFwAbgAgACAAIAAgACkAXABuACkAOwBcAG4AXABuAFwAbgBcAG4ALwAqACAAIABGAFUATgBDAFQASQBPAE4AIABOAEEATQBFADoAIAAgAEQAZQBiAHQAUwBjAHUAbABwAHQAVgBhAHIAaQBhAGIAbABlALsDXABuACAAIAAgACAARABFAFMAQwBSAEkAUABUAEkATwBOADoAKgAvAC8AKgAqAEMAcgBlAGEAdABlAHMAIABhACAAZABlAGIAdAAgAHMAYwB1AGwAcAB0AGkAbgBnACAAcwBjAGgAZQBkAHUAbABlACAAdwBoAGUAcgBlACAAQQBQAFIAIABhAG4AZAAgAEQAUwBDAFIAIABhAHIAZQAgAHMAZQB0ACAAZgBvAHIAIABlAGEAYwBoACAAcABlAHIAaQBvAGQAKgAvAFwAbgBEAGUAYgB0AFMAYwB1AGwAcAB0AFYAYQByAGkAYQBiAGwAZQC7AyAAPQAgAEwAQQBNAEIARABBACgAXABuAC8ALwAgACAAUABhAHIAYQBtAGUAdABlAHIAIABEAGUAYwBsAGEAcgBhAHQAaQBvAG4AcwBcAG4AIAAgACAAIABbAE8AcABlAG4AaQBuAGcAQgBhAGwAYQBuAGMAZQBdACwAXABuACAAIAAgACAAWwBEAGUAYgB0AF0ALABcAG4AIAAgACAAIABbAEMARgBBAEQAUwBdACwAXABuACAAIAAgACAAWwBEAFMAQwBSAF0ALABcAG4AIAAgACAAIABbAEEAUABSAF0ALABcAG4AIAAgACAAIABbAE0AbwBuAHQAaABzAFAAZQByAFAAZQByAGkAbwBkAF0ALABcAG4AIAAgACAAIABbAFAAZQByAGkAbwBkAFIAYQB0AGUAcwBdACwAXABuAC8ALwAgACAASABlAGwAcABcAG4AIAAgACAAIABMAEUAVAAoAEgAZQBsAHAALAAgACAAIAAgACAAIAAgAFQAUgBJAE0AKABUAEUAWABUAFMAUABMAEkAVAAoAFwAbgAgACAAIAAgACAAIAAgACAAIAAgACAAIAAgACAAIAAgACAAIAAgACAAIAAgACAAIABcACIARgBVAE4AQwBUAEkATwBOADoAIAAgACAAIAAgACAAIAAgACAAIACSIUQAZQBiAHQAUwBjAHUAbABwAHQAVgBhAHIAaQBhAGIAbABlALsDKABbAE8AcABlAG4AaQBuAGcAQgBhAGwAYQBuAGMAZQBdACwAIABEAGUAYgB0ACwAIABDAEYAQQBEAFMALAAgAEQAUwBDAFIALAAgAEEAUABSACwAIABbAE0AbwBuAHQAaABzAFAAZQByAFAAZQByAGkAbwBkAF0ALAAgAFsAUABlAHIAaQBvAGQAUgBhAHQAZQBzAF0AKQC2AFwAIgAgACYAXABuACAAIAAgACAAIAAgACAAIAAgACAAIAAgACAAIAAgACAAIAAgACAAIAAgACAAIAAgAFwAIgBEAEUAUwBDAFIASQBQAFQASQBPAE4AOgAgACAAIAAgACAAIAAgAJIhQwByAGUAYQB0AGUAcwAgAGEAIABEAGUAYgB0ACAAUwBjAHUAbABwAHQAaQBuAGcAIABzAGMAaABlAGQAdQBsAGUAIAB3AGgAZQByAGUAIABBAFAAUgAgAGEAbgBkACAARABTAEMAUgAgAGEAcgBlACAAcwBlAHQAIABmAG8AcgAgAGUAYQBjAGgAIABwAGUAcgBpAG8AZAC2AFwAIgAgACYAXABuACAAIAAgACAAIAAgACAAIAAgACAAIAAgACAAIAAgACAAIAAgACAAIAAgACAAIAAgAFwAIgBTAFUARwBHAEUAUwBUAEUARAAgAFIATwBXACAASQBEAFMAOgAgAJIhRABlAGIAdAAgAG8AcABlAG4AaQBuAGcAIABiAGEAbABhAG4AYwBlALYAXAAiACAAJgBcAG4AIAAgACAAIAAgACAAIAAgACAAIAAgACAAIAAgACAAIAAgACAAIAAgACAAIAAgACAAXAAiACAAIAAgACAAIAAgACAAIAAgACAAIAAgACAAIAAgACAAIAAgACAAkiFJAG4AdABlAHIAZQBzAHQAIABvAG4AIABQAHIAaQBuAGMAaQBwAGEAbAAgAEIAYQBsAGEAbgBjAGUAtgBcACIAIAAmAFwAbgAgACAAIAAgACAAIAAgACAAIAAgACAAIAAgACAAIAAgACAAIAAgACAAIAAgACAAIABcACIAIAAgACAAIAAgACAAIAAgACAAIAAgACAAIAAgACAAIAAgACAAIACSIUQAZQBiAHQAIABzAGUAcgB2AGkAYwBlACAAKABpAG4AdABlAHIAZQBzAHQAIABhAG4AZAAgAHAAcgBpAG4AYwBpAHAAYQBsACkAtgBcACIAIAAmAFwAbgAgACAAIAAgACAAIAAgACAAIAAgACAAIAAgACAAIAAgACAAIAAgACAAIAAgACAAIABcACIAIAAgACAAIAAgACAAIAAgACAAIAAgACAAIAAgACAAIAAgACAAIACSIUQAZQBiAHQAIABjAGwAbwBzAGkAbgBnACAAYgBhAGwAYQBuAGMAZQC2AFwAIgAgACYAXABuACAAIAAgACAAIAAgACAAIAAgACAAIAAgACAAIAAgACAAIAAgACAAIAAgACAAIAAgAFwAIgBXAEUAQgBQAEEARwBFADoAIAAgACAAIAAgACAAIAAgACAAIAAgAJIhaAB0AHQAcABzADoALwAvAGcAaQB0AGgAdQBiAC4AYwBvAG0ALwByAHkAYQBuAGQAdQBnAHUAaQBkAC8ATwB6AHoAaQB0ALYAXAAiACAAJgBcAG4AIAAgACAAIAAgACAAIAAgACAAIAAgACAAIAAgACAAIAAgACAAIAAgACAAIAAgACAAXAAiAFYARQBSAFMASQBPAE4AOgAgACAAIAAgACAAIAAgACAAIAAgACAAkiExADAAIABTAGUAcAAgADIAMAAyADYAtgBcACIAIAAmAFwAbgAgACAAIAAgACAAIAAgACAAIAAgACAAIAAgACAAIAAgACAAIAAgACAAIAAgACAAIABcACIAUABBAFIAQQBNAEUAVABFAFIAUwA6ACAAIAAgACAAIAAgACAAIACSIbYAXAAiACAAJgBcAG4AIAAgACAAIAAgACAAIAAgACAAIAAgACAAIAAgACAAIAAgACAAIAAgACAAIAAgACAAXAAiAE8AcABlAG4AaQBuAGcAQgBhAGwAYQBuAGMAZQAgACAAIAAgACAAkiEoAE8AcAB0AGkAbwBuAGEAbAApACAATQBvAGQAZQBsACcAcwAgAGQAZQBiAHQAIABvAG4AIABvAHAAZQBuAGkAbgBnAC4AIABEAGUAZgBhAHUAbAB0AHMAIAB0AG8AIAAwALYAXAAiACAAJgBcAG4AIAAgACAAIAAgACAAIAAgACAAIAAgACAAIAAgACAAIAAgACAAIAAgACAAIAAgACAAXAAiAEQAZQBiAHQAIAAgACAAIAAgACAAIAAgACAAIAAgACAAIAAgACAAkiEoAFIAZQBxAHUAaQByAGUAZAApACAATwBuAGUAIAByAG8AdwAgAG8AZgAgAG4AZQB3ACAAZABlAGIAdAAsACAAYQB0ACAAbABlAGEAcwB0ACAAdAB3AG8AIABwAGUAcgBpAG8AZABzAC4AIABFAHYAZQByAHkAIABwAGUAcgBpAG8AZAAgAGkAbgBwAHUAdAAgAG0AdQBzAHQAIABoAGEAdgBlACAAdABoAGkAcwAgAHMAYQBtAGUAIAB3AGkAZAB0AGgAtgBcACIAIAAmAFwAbgAgACAAIAAgACAAIAAgACAAIAAgACAAIAAgACAAIAAgACAAIAAgACAAIAAgACAAIABcACIAQwBGAEEARABTACAAIAAgACAAIAAgACAAIAAgACAAIAAgACAAIACSISgAUgBlAHEAdQBpAHIAZQBkACkAIABBACAAcgBvAHcAIABvAGYAIABDAGEAcwBoACAARgBsAG8AdwAgAEEAdgBhAGkAbABhAGIAbABlACAAZgBvAHIAIABEAGUAYgB0ACAAUwBlAHIAdgBpAGMAZQAgAGkAbgAgAGUAYQBjAGgAIABwAGUAcgBpAG8AZAC2AFwAIgAgACYAXABuACAAIAAgACAAIAAgACAAIAAgACAAIAAgACAAIAAgACAAIAAgACAAIAAgACAAIAAgAFwAIgBEAFMAQwBSACAAIAAgACAAIAAgACAAIAAgACAAIAAgACAAIAAgAJIhKABSAGUAcQB1AGkAcgBlAGQAKQAgAEEAIAByAG8AdwAgAG8AZgAgAEQAZQBiAHQAIABTAGUAcgB2AGkAYwBlACAAQwBvAHYAZQByAGEAZwBlACAAUgBhAHQAaQBvAHMALAAgAG8AbgBlACAAcABlAHIAIABwAGUAcgBpAG8AZAC2AFwAIgAgACYAXABuACAAIAAgACAAIAAgACAAIAAgACAAIAAgACAAIAAgACAAIAAgACAAIAAgACAAIAAgAFwAIgBBAFAAUgAgACAAIAAgACAAIAAgACAAIAAgACAAIAAgACAAIAAgAJIhKABSAGUAcQB1AGkAcgBlAGQAIAB1AG4AbABlAHMAcwAgAFAAZQByAGkAbwBkAFIAYQB0AGUAcwAgAGkAcwAgAGcAaQB2AGUAbgApACAAQQAgAHIAbwB3ACAAbwBmACAASQBuAHQAZQByAGUAcwB0ACcAcwAgAEEAbgBuAHUAYQBsACAAUABlAHIAYwBlAG4AdABhAGcAZQAgAFIAYQB0AGUAcwAsACAAbwBuAGUAIABwAGUAcgAgAHAAZQByAGkAbwBkAC4AIABFAGEAYwBoACAAcABlAHIAaQBvAGQAIABjAGgAYQByAGcAZQBzACAAQQBQAFIAIAAvACAAMQAyACAAKgAgAE0AbwBuAHQAaABzAFAAZQByAFAAZQByAGkAbwBkALYAXAAiACAAJgBcAG4AIAAgACAAIAAgACAAIAAgACAAIAAgACAAIAAgACAAIAAgACAAIAAgACAAIAAgACAAXAAiAE0AbwBuAHQAaABzAFAAZQByAFAAZQByAGkAbwBkACAAIAAgACAAkiEoAE8AcAB0AGkAbwBuAGEAbAApACAARABlAGYAYQB1AGwAdABzACAAdABvACAAbwBuAGUAIABtAG8AbgB0AGgAIABwAGUAcgAgAHAAZQByAGkAbwBkAC4AIABJAGcAbgBvAHIAZQBkACAAdwBoAGUAbgAgAFAAZQByAGkAbwBkAFIAYQB0AGUAcwAgAGkAcwAgAGcAaQB2AGUAbgC2AFwAIgAgACYAXABuACAAIAAgACAAIAAgACAAIAAgACAAIAAgACAAIAAgACAAIAAgACAAIAAgACAAIAAgAFwAIgBQAGUAcgBpAG8AZABSAGEAdABlAHMAIAAgACAAIAAgACAAIAAgAJIhKABPAHAAdABpAG8AbgBhAGwAKQAgAEEAIAByAG8AdwAgAG8AZgAgAGkAbgB0AGUAcgBlAHMAdAAgAHIAYQB0AGUAcwAgAHAAZQByACAAcABlAHIAaQBvAGQALAAgAG8AbgBlACAAcABlAHIAIABwAGUAcgBpAG8AZAAsACAAcwB1AGMAaAAgAGEAcwAgAEQAYQB5AEMAbwB1AG4AdABSAGEAdABlALsDKAApACAAcgBlAHQAdQByAG4AcwAgAGYAbwByACAAYQAgAGQAYQB5ACAAYwBvAHUAbgB0ACAAYwBvAG4AdgBlAG4AdABpAG8AbgAuACAAVwBoAGUAbgAgAGcAaQB2AGUAbgAsACAAaQBuAHQAZQByAGUAcwB0ACAAdQBzAGUAcwAgAHQAaABlAHMAZQAgAHIAYQB0AGUAcwAgAGEAbgBkACAAQQBQAFIAIABhAG4AZAAgAE0AbwBuAHQAaABzAFAAZQByAFAAZQByAGkAbwBkACAAYQByAGUAIABpAGcAbgBvAHIAZQBkAC4AIABBACAAYgBsAGEAbgBrACAAYwBlAGwAbAAgAG8AcgAgAHIAYQBuAGcAZQAgAGMAbwB1AG4AdABzACAAYQBzACAAbgBvAHQAIABnAGkAdgBlAG4AtgBcACIAIAAmAFwAbgAgACAAIAAgACAAIAAgACAAIAAgACAAIAAgACAAIAAgACAAIAAgACAAIAAgACAAIABcACIARQBYAEEATQBQAEwARQBTADoAIAAgACAAIAAgACAAIAAgACAAIACSIbYAXAAiACAAJgBcAG4AIAAgACAAIAAgACAAIAAgACAAIAAgACAAIAAgACAAIAAgACAAIAAgACAAIAAgACAAXAAiAFIAZQBzAHUAbAB0ACAAIAAgACAAIAAgACAAIAAgACAAIAAgACAAkiFGAG8AcgBtAHUAbABhACAAKABvAHoAIABpAHMAIABhAHMAcwB1AG0AZQBkACAAdABvACAAYgBlACAAdABoAGUAIABtAG8AZAB1AGwAZQAnAHMAIABuAGEAbQBlACkAtgBcACIAIAAmAFwAbgAgACAAIAAgACAAIAAgACAAIAAgACAAIAAgACAAIAAgACAAIAAgACAAIAAgACAAIABcACIANAAgAHIAbwB3AHMALAAgADMAIABjAG8AbABzACAAIAAgACAAIACSIT0AbwB6AC4ARABlAGIAdABTAGMAdQBsAHAAdABWAGEAcgBpAGEAYgBsAGUAuwMoACwAIAB7ADEAMAAwADAALAAwACwAMAB9ACwAIAB7ADMAMAAwACwAMwAwADAALAAzADAAMAB9ACwAIAB7ADEALgAyACwAMQAuADIALAAxAC4AMgB9ACwAIAB7ADAALgAwADYALAAwAC4AMAA2ACwAMAAuADAANgB9ACwAIAAxADIAKQBcACIALABcAG4AIAAgACAAIAAgACAAIAAgACAAIAAgACAAIAAgACAAIAAgACAAIAAgACAAIAAgACAAXAAiAJIhXAAiACwAIABcACIAtgBcACIAXABuACAAIAAgACAAIAAgACAAIAAgACAAIAAgACAAIAAgACAAIAAgACAAIAAgACAAIAAgACkAXABuACAAIAAgACAAIAAgACAAIAAgACAAIAAgACAAIAAgACAAIAAgACAAIAApACwAXABuACAAIAAgACAALwAvACAAIABBACAAYgBsAGEAbgBrACAAUABlAHIAaQBvAGQAUgBhAHQAZQBzACAAYwBlAGwAbAAgAG8AcgAgAHIAYQBuAGcAZQAgAGkAcwAgAG4AbwB0ACAAYQAgAHIAbwB3ACAAbwBmACAAcgBhAHQAZQBzACwAIABzAG8AIAB0AGUAcwB0ACAAZgBvAHIAIABiAG8AdABoAFwAbgAgACAAIAAgACAAIAAgACAAVQBzAGUAUgBhAHQAZQBzACwAIAAgACAAIAAgACAAIABBAE4ARAAoACAATgBPAFQAKAAgAEkAUwBPAE0ASQBUAFQARQBEACgAIABQAGUAcgBpAG8AZABSAGEAdABlAHMAKQApACwAIABDAE8AVQBOAFQAKAAgAFAAZQByAGkAbwBkAFIAYQB0AGUAcwApACAAPgAgADAAKQAsAFwAbgAgACAAIAAgAC8ALwAgACAAQwBoAGUAYwBrACAAaQBuAHAAdQB0AHMAIAAtACAATwBtAGkAdAB0AGUAZAAgAHIAZQBxAHUAaQByAGUAZAAgAGEAcgBnAHUAbQBlAG4AdABzAFwAbgAgACAAIAAgACAAIAAgACAASABlAGwAcAA/ACwAIAAgACAAIAAgACAAIAAgACAAIABPAFIAKAAgAEkAUwBPAE0ASQBUAFQARQBEACgAIABEAGUAYgB0ACkALABcAG4AIAAgACAAIAAgACAAIAAgACAAIAAgACAAIAAgACAAIAAgACAAIAAgACAAIAAgACAAIAAgACAAIABJAFMATwBNAEkAVABUAEUARAAoACAAQwBGAEEARABTACkALABcAG4AIAAgACAAIAAgACAAIAAgACAAIAAgACAAIAAgACAAIAAgACAAIAAgACAAIAAgACAAIAAgACAAIABJAFMATwBNAEkAVABUAEUARAAoACAARABTAEMAUgApACwAXABuACAAIAAgACAAIAAgACAAIAAgACAAIAAgACAAIAAgACAAIAAgACAAIAAgACAAIAAgACAAIAAgACAAQQBOAEQAKAAgAEkAUwBPAE0ASQBUAFQARQBEACgAIABBAFAAUgApACwAIABOAE8AVAAoACAAVQBzAGUAUgBhAHQAZQBzACk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RABlAGIAdAAgAG0AdQBzAHQAIABiAGUAIABvAG4AZQAgAHIAbwB3ACAAbwBmACAAbgBlAHcAIABkAGUAYgB0ACAAdwBpAHQAaAAgAGEAdAAgAGwAZQBhAHMAdAAgAHQAdwBvACAAcABlAHIAaQBvAGQAcwBcACIAOwBcAG4AIAAgACAAIAAgACAAIAAgACAAIAAgACAAIAAgACAAIAAgACAAIAAgACAAIAAgACAAIABcACIAQwBGAEEARABTACAAbQB1AHMAdAAgAGIAZQAgAG8AbgBlACAAcgBvAHcAIAB3AGkAdABoACAAdABoAGUAIABzAGEAbQBlACAAbgB1AG0AYgBlAHIAIABvAGYAIABwAGUAcgBpAG8AZABzACAAYQBzACAARABlAGIAdABcACIAOwBcAG4AIAAgACAAIAAgACAAIAAgACAAIAAgACAAIAAgACAAIAAgACAAIAAgACAAIAAgACAAIABcACIARABTAEMAUgAgAG0AdQBzAHQAIABiAGUAIABvAG4AZQAgAHIAbwB3ACAAdwBpAHQAaAAgAHQAaABlACAAcwBhAG0AZQAgAG4AdQBtAGIAZQByACAAbwBmACAAcABlAHIAaQBvAGQAcwAgAGEAcwAgAEQAZQBiAHQAXAAiADsAXABuACAAIAAgACAAIAAgACAAIAAgACAAIAAgACAAIAAgACAAIAAgACAAIAAgACAAIAAgACAAXAAiAEEAUABSACAAbwByACAAUABlAHIAaQBvAGQAUgBhAHQAZQBzACAAbQB1AHMAdAAgAGIAZQAgAG8AbgBlACAAcgBvAHcAIAB3AGkAdABoACAAdABoAGUAIABzAGEAbQBlACAAbgB1AG0AYgBlAHIAIABvAGYAIABwAGUAcgBpAG8AZABzACAAYQBzACAARABlAGIAdABcACIAfQAsAFwAbgAgACAAIAAgACAAIAAgACAARQByAHIAbwByAHMALAAgACAAIAAgACAAIAAgACAAIABWAFMAVABBAEMASwAoACAATwBSACgAIABSAE8AVwBTACgAIABEAGUAYgB0ACkAIAA8AD4AIAAxACwAIABDAE8ATABVAE0ATgBTACgAIABEAGUAYgB0ACkAIAA8AD0AIAAxACkALABcAG4AIAAgACAAIAAgACAAIAAgACAAIAAgACAAIAAgACAAIAAgACAAIAAgACAAIAAgACAAIAAgACAAIAAgACAAIAAgAE8AUgAoACAAUgBPAFcAUwAoACAAQwBGAEEARABTACkAIAA8AD4AIAAxACwAIABDAE8ATABVAE0ATgBTACgAIABDAEYAQQBEAFMAKQAgADwAPgAgAEMATwBMAFUATQBOAFMAKAAgAEQAZQBiAHQAKQApACwAXABuACAAIAAgACAAIAAgACAAIAAgACAAIAAgACAAIAAgACAAIAAgACAAIAAgACAAIAAgACAAIAAgACAAIAAgACAAIABPAFIAKAAgAFIATwBXAFMAKAAgAEQAUwBDAFIAKQAgADwAPgAgADEALAAgAEMATwBMAFUATQBOAFMAKAAgAEQAUwBDAFIAKQAgADwAPgAgAEMATwBMAFUATQBOAFMAKAAgAEQAZQBiAHQAKQApACwAXABuACAAIAAgACAAIAAgACAAIAAgACAAIAAgACAAIAAgACAAIAAgACAAIAAgACAAIAAgACAAIAAgACAAIAAgACAAIABJAEYAKAAgAFUAcwBlAFIAYQB0AGUAcwAsAFwAbgAgACAAIAAgACAAIAAgACAAIAAgACAAIAAgACAAIAAgACAAIAAgACAAIAAgACAAIAAgACAAIAAgACAAIAAgACAAIAAgACAAIABPAFIAKAAgAFIATwBXAFMAKAAgAFAAZQByAGkAbwBkAFIAYQB0AGUAcwApACAAPAA+ACAAMQAsACAAQwBPAEwAVQBNAE4AUwAoACAAUABlAHIAaQBvAGQAUgBhAHQAZQBzACkAIAA8AD4AIABDAE8ATABVAE0ATgBTACgAIABEAGUAYgB0ACkAKQAsAFwAbgAgACAAIAAgACAAIAAgACAAIAAgACAAIAAgACAAIAAgACAAIAAgACAAIAAgACAAIAAgACAAIAAgACAAIAAgACAAIAAgACAAIABPAFIAKAAgAFIATwBXAFMAKAAgAEEAUABSACkAIAA8AD4AIAAxACwAIABDAE8ATABVAE0ATgBTACgAIABBAFAAUgApACAAPAA+ACAAQwBPAEwAVQBNAE4AUwAoACAARABlAGIAdAApACkAKQBcAG4AIAAgACAAIAAgACAAIAAgACAAIAAgACAAIAAgACAAIAAgACAAIAAgACAAIAAgACAAKQAsAFwAbgAgACAAIAAgACAAIAAgACAATQBlAHMAcwBhAGcAZQBzACwAIAAgACAAIAAgACAAIABGAEkATABUAEUAUgAoACAARQByAHIATQBzAGcAcwAsACAARQByAHIAbwByAHMALAAgAFwAIgBcACIAKQAsAFwAbgAgACAAIAAgAC8ALwAgACAAQwBoAGUAYwBrACAAaQBuAHAAdQB0AHMAIAAtACAAUwBlAHQAIABvAHAAdABpAG8AbgBhAGwAIABhAHIAZwB1AG0AZQBuAHQAcwAnACAAZABlAGYAYQB1AGwAdABzAFwAbgAgACAAIAAgACAAIAAgACAATwBwAGUAbgBpAG4AZwBCAGEAbABhAG4AYwBlACwAIABJAEYAKAAgAEkAUwBOAFUATQBCAEUAUgAoACAATwBwAGUAbgBpAG4AZwBCAGEAbABhAG4AYwBlACkALAAgAE8AcABlAG4AaQBuAGcAQgBhAGwAYQBuAGMAZQAsACAAMAApACwAXABuACAAIAAgACAAIAAgACAAIABNAG8AbgB0AGgAcwBQAGUAcgBQAGUAcgBpAG8AZAAsACAASQBGACgAIABJAFMATgBVAE0AQgBFAFIAKAAgAE0AbwBuAHQAaABzAFAAZQByAFAAZQByAGkAbwBkACkALAAgAE0AbwBuAHQAaABzAFAAZQByAFAAZQByAGkAbwBkACwAIAAxACkALABcAG4AIAAgACAAIAAvAC8AIAAgAFAAcgBvAGMAZQBkAHUAcgBlACAALQAgAHMAbwBsAHYAZQAgAHQAaABlACAAYwBsAG8AcwBpAG4AZwAgAGIAYQBsAGEAbgBjAGUAIABwAGUAcgBpAG8AZAAgAGIAeQAgAHAAZQByAGkAbwBkACwAIAB0AGgAZQBuACAAcgBlAGEAZAAgAHQAaABlACAAcgBvAHcAcwAgAG8AZgBmACAAaQB0AFwAbgAgACAAIAAgACAAIAAgACAAUABlAHIAaQBvAGQAcwAsACAAIAAgACAAIAAgACAAIABTAEUAUQBVAEUATgBDAEUAKAAgADEALAAgAEMATwBMAFUATQBOAFMAKAAgAEQAZQBiAHQAKQApACwAXABuACAAIAAgACAALwAvACAAIABBACAAcgBvAHcAIABvAGYAIAByAGEAdABlAHMAIABwAGUAcgAgAHAAZQByAGkAbwBkACwAIABmAHIAbwBtACAAYQAgAGQAYQB5ACAAYwBvAHUAbgB0ACAAYwBvAG4AdgBlAG4AdABpAG8AbgAsACAAcgBlAHAAbABhAGMAZQBzACAAdABoAGUAIABmAGwAYQB0ACAAdAB3AGUAbABmAHQAaAAgAG8AZgAgAEEAUABSAFwAbgAgACAAIAAgACAAIAAgACAAUgBhAHQAZQBzACwAIAAgACAAIAAgACAAIAAgACAAIABJAEYAKAAgAFUAcwBlAFIAYQB0AGUAcwAsAFwAbgAgACAAIAAgACAAIAAgACAAIAAgACAAIAAgACAAIAAgACAAIAAgACAAIAAgACAAIAAgACAAIAAgAEkATgBEAEUAWAAoACAAUABlAHIAaQBvAGQAUgBhAHQAZQBzACwAIAAxACwAIABQAGUAcgBpAG8AZABzACkALABcAG4AIAAgACAAIAAgACAAIAAgACAAIAAgACAAIAAgACAAIAAgACAAIAAgACAAIAAgACAAIAAgACAAIABJAE4ARABFAFgAKAAgAEEAUABSACwAIAAxACwAIABQAGUAcgBpAG8AZABzACkAIAAvACAAMQAyACAAKgAgAE0AbwBuAHQAaABzAFAAZQByAFAAZQByAGkAbwBkAFwAbgAgACAAIAAgACAAIAAgACAAIAAgACAAIAAgACAAIAAgACAAIAAgACAAIAAgACAAIAApACwAXABuACAAIAAgACAAIAAgACAAIABOAGUAdwBEAGUAYgB0ACwAIAAgACAAIAAgACAAIAAgAEkATgBEAEUAWAAoACAARABlAGIAdAAsACAAMQAsACAAUABlAHIAaQBvAGQAcwApACwAXABuACAAIAAgACAAIAAgACAAIABDAGEAcwBoACwAIAAgACAAIAAgACAAIAAgACAAIAAgAEkATgBEAEUAWAAoACAAQwBGAEEARABTACwAIAAxACwAIABQAGUAcgBpAG8AZABzACkALABcAG4AIAAgACAAIAAgACAAIAAgAEMAbwB2AGUAcgAsACAAIAAgACAAIAAgACAAIAAgACAASQBOAEQARQBYACgAIABEAFMAQwBSACwAIAAxACwAIABQAGUAcgBpAG8AZABzACkALABcAG4AIAAgACAAIAAgACAAIAAgAEMAbABvAHMAaQBuAGcAcwAsACAAIAAgACAAIAAgACAAUwBDAEEATgAoACAATwBwAGUAbgBpAG4AZwBCAGEAbABhAG4AYwBlACwAIABQAGUAcgBpAG8AZABzACwAXABuACAAIAAgACAAIAAgACAAIAAgACAAIAAgACAAIAAgACAAIAAgACAAIAAgACAAIAAgACAAIAAgACAATABBAE0AQgBEAEEAKAAgAEMAYQByAHIAaQBlAGQALAAgAFAAZQByAGkAbwBkACwAXABuACAAIAAgACAAIAAgACAAIAAgACAAIAAgACAAIAAgACAAIAAgACAAIAAgACAAIAAgACAAIAAgACAAIAAgACAAIABMAEUAVAAoAE8AcABlAG4AaQBuAGcALAAgACAAIAAgAEMAYQByAHIAaQBlAGQAIAArACAASQBOAEQARQBYACgAIABOAGUAdwBEAGUAYgB0ACwAIAAxACwAIABQAGUAcgBpAG8AZAApACwAXABuACAAIAAgACAAIAAgACAAIAAgACAAIAAgACAAIAAgACAAIAAgACAAIAAgACAAIAAgACAAIAAgACAAIAAgACAAIAAgACAAIAAgAEkAbgB0AGUAcgBlAHMAdAAsACAAIAAgAE8AcABlAG4AaQBuAGcAIAAqACAASQBOAEQARQBYACgAIABSAGEAdABlAHMALAAgADEALAAgAFAAZQByAGkAbwBkACkALABcAG4AIAAgACAAIAAgACAAIAAgACAAIAAgACAAIAAgACAAIAAgACAAIAAgACAAIAAgACAAIAAgACAAIAAgACAAIAAgACAAIAAgACAAUABhAHkAbQBlAG4AdAAsACAAIAAgACAATQBJAE4AKAAgAEkATgBEAEUAWAAoACAAQwBhAHMAaAAsACAAMQAsACAAUABlAHIAaQBvAGQAKQAgAC8AIABJAE4ARABFAFgAKAAgAEMAbwB2AGUAcgAsACAAMQAsACAAUABlAHIAaQBvAGQAKQAsACAATwBwAGUAbgBpAG4AZwAgACsAIABJAG4AdABlAHIAZQBzAHQAKQAsAFwAbgAgACAAIAAgACAAIAAgACAAIAAgACAAIAAgACAAIAAgACAAIAAgACAAIAAgACAAIAAgACAAIAAgACAAIAAgACAAIAAgACAAIABPAHAAZQBuAGkAbgBnACAAKwAgAEkAbgB0AGUAcgBlAHMAdAAgAC0AIABQAGEAeQBtAGUAbg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DAGEAcgByAGkAZQBkACwAIAAgACAAIAAgACAAIAAgAEkARgAoACAAQwBPAEwAVQBNAE4AUwAoACAARABlAGIAdAApACAAPQAgADEALAAgAE8AcABlAG4AaQBuAGcAQgBhAGwAYQBuAGMAZQAsACAASABTAFQAQQBDAEsAKAAgAE8AcABlAG4AaQBuAGcAQgBhAGwAYQBuAGMAZQAsACAARABSAE8AUAAoACAAQwBsAG8AcwBpAG4AZwBzACwAIAAsACAALQAxACkAKQApACwAXABuACAAIAAgACAAIAAgACAAIABPAHAAZQBuAGkAbgBnACwAIAAgACAAIAAgACAAIAAgAEMAYQByAHIAaQBlAGQAIAArACAATgBlAHcARABlAGIAdAAsAFwAbgAgACAAIAAgACAAIAAgACAASQBuAHQAZQByAGUAcwB0ACwAIAAgACAAIAAgACAAIABPAHAAZQBuAGkAbgBnACAAKgAgAFIAYQB0AGUAcwAsAFwAbgAgACAAIAAgACAAIAAgACAAUwBlAHIAdgBpAGMAZQAsACAAIAAgACAAIAAgACAAIABDAGEAcwBoACAALwAgAEMAbwB2AGUAcgAsAFwAbgAgACAAIAAgACAAIAAgACAAUABhAHkAbQBlAG4AdAAsACAAIAAgACAAIAAgACAAIABJAEYAKAAgAFMAZQByAHYAaQBjAGUAIAA8ACAATwBwAGUAbgBpAG4AZwAgACsAIABJAG4AdABlAHIAZQBzAHQALAAgAFMAZQByAHYAaQBjAGUALAAgAE8AcABlAG4AaQBuAGcAIAArACAASQBuAHQAZQByAGUAcwB0ACkALABcAG4AIAAgACAAIAAgACAAIAAgAEMAbABvAHMAaQBuAGcALAAgACAAIAAgACAAIAAgACAATwBwAGUAbgBpAG4AZwAgACsAIABJAG4AdABlAHIAZQBzAHQAIAAtACAAUABhAHkAbQBlAG4AdAAsAFwAbgAgACAAIAAgACAAIAAgACAAUgBlAHMAdQBsAHQALAAgACAAIAAgACAAIAAgACAAIABWAFMAVABBAEMASwAoACAATwBwAGUAbgBpAG4AZwAsACAASQBuAHQAZQByAGUAcwB0ACwAIAAtAFAAYQB5AG0AZQBuAHQALAAgAEMAbABvAHMAaQBuAGc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FwAbgBcAG4AXABuAC8AKgAgACAARgBVAE4AQwBUAEkATwBOACAATgBBAE0ARQA6ACAAIABJAG4AdABlAHIAZQBzAHQATABSAFYAuwNcAG4AIAAgACAAIABEAEUAUwBDAFIASQBQAFQASQBPAE4AOgAqAC8ALwAqACoAQwBhAGwAYwB1AGwAYQB0AGUAcwAgAGQAZQBiAHQAIABzAGMAdQBsAHAAdABpAG4AZwAgAGkAbgB0AGUAcgBlAHMAdAAgAG8AbgAgAHQAaABlACAAYQB2AGUAcgBhAGcAZQAgAGIAYQBsAGEAbgBjAGUAIABvAHYAZQByACAAdABoAGUAIABwAGUAcgBpAG8AZAAsACAAdABoAGUAIABtAGUAdABoAG8AZAAgAHAAcgBlAHMAZQBuAHQAZQBkACAAYgB5ACAATABhAG4AYwBlACAAUgB1AGIAaQBuACoALwBcAG4ASQBuAHQAZQByAGUAcwB0AEwAUgBWALsDIAA9ACAATABBAE0AQgBEAEEAKABcAG4ALwAvACAAIABQAGEAcgBhAG0AZQB0AGUAcgAgAEQAZQBjAGwAYQByAGEAdABpAG8AbgBzAFwAbgAgACAAIAAgAFsAQwBGAEEARABTAF0ALABcAG4AIAAgACAAIABbAEQAUwBDAFIAXQAsAFwAbgAgACAAIAAgAFsAUAByAGkAbgBjAGkAcABhAGwAXQAsAFwAbgAgACAAIAAgAFsASQBuAHQAZQByAGUAcwB0AFIAYQB0AGUAXQAsAFwAbgAvAC8AIAAgAEgAZQBsAHAAXABuACAAIAAgACAATABFAFQAKABIAGUAbABwACwAIAAgACAAIAAgACAAIABUAFIASQBNACgAVABFAFgAVABTAFAATABJAFQAKABcAG4AIAAgACAAIAAgACAAIAAgACAAIAAgACAAIAAgACAAIAAgACAAIAAgACAAIAAgACAAXAAiAEYAVQBOAEMAVABJAE8ATgA6ACAAIAAgACAAIAAgAJIhSQBuAHQAZQByAGUAcwB0AEwAUgBWALsDKABDAEYAQQBEAFMALAAgAEQAUwBDAFIALAAgAFAAcgBpAG4AYwBpAHAAYQBsACwAIABJAG4AdABlAHIAZQBzAHQAUgBhAHQAZQApALYAXAAiACAAJgBcAG4AIAAgACAAIAAgACAAIAAgACAAIAAgACAAIAAgACAAIAAgACAAIAAgACAAIAAgACAAXAAiAEQARQBTAEMAUgBJAFAAVABJAE8ATgA6ACAAIAAgAJIhQwBhAGwAYwB1AGwAYQB0AGUAcwAgAGQAZQBiAHQAIABzAGMAdQBsAHAAdABpAG4AZwAgAGkAbgB0AGUAcgBlAHMAdAAgAHUAcwBpAG4AZwAgAHQAaABlACAAbQBlAHQAaABvAGQAIABwAHIAZQBzAGUAbgB0AGUAZAAgAGIAeQAgAEwAYQBuAGMAZQAgAFIAdQBiAGkAbgAuALYAXAAiACAAJgBcAG4AIAAgACAAIAAgACAAIAAgACAAIAAgACAAIAAgACAAIAAgACAAIAAgACAAIAAgACAAIAAgACAAIAAgACAAIAAgACAAIAAgACAAIAAgACAAXAAiAJIhSQBuAHQAZQByAGUAcwB0ACAAaQBzACAAYwBoAGEAcgBnAGUAZAAgAG8AbgAgAHQAaABlACAAYQB2AGUAcgBhAGcAZQAgAGIAYQBsAGEAbgBjAGUAIABvAHYAZQByACAAdABoAGUAIABwAGUAcgBpAG8AZAAsACAAdwBpAHQAaAAgAHQAaABlALYAXAAiACAAJgBcAG4AIAAgACAAIAAgACAAIAAgACAAIAAgACAAIAAgACAAIAAgACAAIAAgACAAIAAgACAAIAAgACAAIAAgACAAIAAgACAAIAAgACAAIAAgACAAXAAiAJIhcAByAGkAbgBjAGkAcABhAGwAIAByAGUAcABhAGkAZAAgAGMAYQBwAHAAZQBkACAAYQB0ACAAdABoAGUAIABwAHIAaQBuAGMAaQBwAGEAbAAgAG8AdQB0AHMAdABhAG4AZABpAG4AZwAuACAAVABoAGUAIABhAHYAZQByAGEAZwBlACAAYgBhAGwAYQBuAGMAZQC2AFwAIgAgACYAXABuACAAIAAgACAAIAAgACAAIAAgACAAIAAgACAAIAAgACAAIAAgACAAIAAgACAAIAAgACAAIAAgACAAIAAgACAAIAAgACAAIAAgACAAIAAgAFwAIgCSIWQAZQBwAGUAbgBkAHMAIABvAG4AIAB0AGgAZQAgAGkAbgB0AGUAcgBlAHMAdAAgAGEAbgBkACAAdABoAGUAIABpAG4AdABlAHIAZQBzAHQAIABvAG4AIAB0AGgAZQAgAGEAdgBlAHIAYQBnAGUAIABiAGEAbABhAG4AYwBlACwAIAB3AGgAaQBjAGgAtgBcACIAIAAmAFwAbgAgACAAIAAgACAAIAAgACAAIAAgACAAIAAgACAAIAAgACAAIAAgACAAIAAgACAAIAAgACAAIAAgACAAIAAgACAAIAAgACAAIAAgACAAIABcACIAkiFpAHMAIABzAG8AbAB2AGUAZAAgAGkAbgAgAGMAbABvAHMAZQBkACAAZgBvAHIAbQAgAHIAYQB0AGgAZQByACAAdABoAGEAbgAgAGIAeQAgAGkAdABlAHIAYQB0AGkAbwBuAC4AtgBcACIAIAAm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FwAbgAgACAAIAAgACAAIAAgACAAIAAgACAAIAAgACAAIAAgACAAIAAgACAAIAAgACAAIABcACIAUABBAFIAQQBNAEUAVABFAFIAUwA6ACAAIAAgACAAkiG2AFwAIgAgACYAXABuACAAIAAgACAAIAAgACAAIAAgACAAIAAgACAAIAAgACAAIAAgACAAIAAgACAAIAAgAFwAIgBDAEYAQQBEAFMAIAAgACAAIAAgACAAIAAgACAAIACSISgAUgBlAHEAdQBpAHIAZQBkACkAIABDAGEAcwBoACAARgBsAG8AdwAgAEEAdgBhAGkAbABhAGIAbABlACAAZgBvAHIAIABEAGUAYgB0ACAAUwBlAHIAdgBpAGMAZQAgAGYAbwByACAAdABoAGkAcwAgAHAAZQByAGkAbwBkALYAXAAiACAAJgBcAG4AIAAgACAAIAAgACAAIAAgACAAIAAgACAAIAAgACAAIAAgACAAIAAgACAAIAAgACAAXAAiAEQAUwBDAFIAIAAgACAAIAAgACAAIAAgACAAIAAgAJIhKABSAGUAcQB1AGkAcgBlAGQAKQAgAEQAZQBiAHQAIABTAGUAcgB2AGkAYwBlACAAQwBvAHYAZQByAGEAZwBlACAAUgBhAHQAaQBvACAAZgBvAHIAIAB0AGgAaQBzACAAcABlAHIAaQBvAGQAtgBcACIAIAAmAFwAbgAgACAAIAAgACAAIAAgACAAIAAgACAAIAAgACAAIAAgACAAIAAgACAAIAAgACAAIABcACIAUAByAGkAbgBjAGkAcABhAGwAIAAgACAAIAAgACAAkiEoAFIAZQBxAHUAaQByAGUAZAApACAAUAByAGkAbgBjAGkAcABhAGwAIABiAGEAbABhAG4AYwBlACAAZgBvAHIAIAB0AGgAaQBzACAAcABlAHIAaQBvAGQAtgBcACIAIAAmAFwAbgAgACAAIAAgACAAIAAgACAAIAAgACAAIAAgACAAIAAgACAAIAAgACAAIAAgACAAIABcACIASQBuAHQAZQByAGUAcwB0AFIAYQB0AGUAIAAgACAAkiEoAFIAZQBxAHUAaQByAGUAZAApACAASQBuAHQAZQByAGUAcwB0ACAAcgBhAHQAZQAgAGYAbwByACAAdABoAGkAcwAgAHAAZQByAGkAbwBkACAAKABlAGcALgAgAEEAUABSAC8ARABhAHkAcwAgAGkAbgAgAHQAaABpAHMAIAB5AGUAYQByACAAKgAgAEQAYQB5AHMAIABpAG4AIAB0AGgAaQBzACAAcABlAHIAaQBvAGQAKQC2AFwAIgAgACY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IAMgAyAC4AOQAwACAAIAAgACAAIAAgACAAIAAgAJIhPQBvAHoALgBJAG4AdABlAHIAZQBzAHQATABSAFYAuwMoACAANgA2ADYANgAuADMANwAsACAAMwAuADUAMAAsACAAOQAwADAAMAAwACwAIAAzACUALwAxADIAKQBcACIAL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RgBBAEQAUwApACwAXABuACAAIAAgACAAIAAgACAAIAAgACAAIAAgACAAIAAgACAAIAAgACAAIAAgACAAIAAgACAAIAAgACAASQBTAE8ATQBJAFQAVABFAEQAKAAgAEQAUwBDAFIAKQAsAFwAbgAgACAAIAAgACAAIAAgACAAIAAgACAAIAAgACAAIAAgACAAIAAgACAAIAAgACAAIAAgACAAIAAgAEkAUwBPAE0ASQBUAFQARQBEACgAIABQAHIAaQBuAGMAaQBwAGEAbAApACwAXABuACAAIAAgACAAIAAgACAAIAAgACAAIAAgACAAIAAgACAAIAAgACAAIAAgACAAIAAgACAAIAAgACAASQBTAE8ATQBJAFQAVABFAEQAKAAgAEkAbgB0AGUAcgBlAHMAdABSAGEAdABl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EMARgBBAEQAUwAgAG0AdQBzAHQAIABiAGUAIABhACAAcwBpAG4AZwBsAGUAIABuAHUAbQBiAGUAcgAgAGgAbwBsAGQAaQBuAGcAIABjAGEAcwBoACAAYQB2AGEAaQBsAGEAYgBsAGUAIABmAG8AcgAgAGQAZQBiAHQAIABzAGUAcgB2AGkAYwBlACAAZgBvAHIAIAB0AGgAaQBzACAAcABlAHIAaQBvAGQAXAAiADsAXABuACAAIAAgACAAIAAgACAAIAAgACAAIAAgACAAIAAgACAAIAAgACAAIAAgACAAIAAgACAAXAAiAEQAUwBDAFIAIABtAHUAcwB0ACAAYgBlACAAYQAgAHMAaQBuAGcAbABlACAAbgB1AG0AYgBlAHIAIABoAG8AbABkAGkAbgBnACAAZABlAGIAdAAgAHMAZQByAHYAaQBjAGUAIABjAG8AdgBlAHIAYQBnAGUAIAByAGEAdABpAG8AIABmAG8AcgAgAHQAaABpAHMAIABwAGUAcgBpAG8AZABcACIAOwBcAG4AIAAgACAAIAAgACAAIAAgACAAIAAgACAAIAAgACAAIAAgACAAIAAgACAAIAAgACAAIABcACIAUAByAGkAbgBjAGkAcABhAGwAIABtAHUAcwB0ACAAYgBlACAAYQAgAHMAaQBuAGcAbABlACAAbgB1AG0AYgBlAHIAIABoAG8AbABkAGkAbgBnACAAdABoAGkAcwAgAHAAZQByAGkAbwBkACcAcwAgAG8AcABlAG4AaQBuAGcAIABkAGUAYgB0ACAAYgBhAGwAYQBuAGMAZQBcACIAOwBcAG4AIAAgACAAIAAgACAAIAAgACAAIAAgACAAIAAgACAAIAAgACAAIAAgACAAIAAgACAAIABcACIASQBuAHQAZQByAGUAcwB0AFIAYQB0AGUAIABtAHUAcwB0ACAAYgBlACAAYQAgAHMAaQBuAGcAbABlACAAbgB1AG0AYgBlAHIAIABoAG8AbABkAGkAbgBnACAAdABoAGkAcwAgAHAAZQByAGkAbwBkACcAcwAgAGkAbgB0AGUAcgBlAHMAdAAgAHIAYQB0AGUAIAAoAEEAUABSAC8ARABhAHkAcwAgAGkAbgAgAHQAaABpAHMAIAB5AGUAYQByACAAKgAgAEQAYQB5AHMAIABpAG4AIAB0AGgAaQBzACAAcABlAHIAaQBvAGQAKQBcACIAfQAsAFwAbgAgACAAIAAgACAAIAAgACAARQByAHIAbwByAHMALAAgACAAIAAgACAAIAAgACAAIABWAFMAVABBAEMASwAoACAATgBPAFQAKAAgAEEATgBEACgAIABJAFMATgBVAE0AQgBFAFIAKAAgAEMARgBBAEQAUwApACwAIABDAE8ATABVAE0ATgBTACgAIABDAEYAQQBEAFMAKQAgAD0AIAAxACkAKQAsAFwAbgAgACAAIAAgACAAIAAgACAAIAAgACAAIAAgACAAIAAgACAAIAAgACAAIAAgACAAIAAgACAAIAAgACAAIAAgACAATgBPAFQAKAAgAEEATgBEACgAIABJAFMATgBVAE0AQgBFAFIAKAAgAEQAUwBDAFIAKQAsACAAQwBPAEwAVQBNAE4AUwAoACAARABTAEMAUgApACAAPQAgADEAKQApACwAXABuACAAIAAgACAAIAAgACAAIAAgACAAIAAgACAAIAAgACAAIAAgACAAIAAgACAAIAAgACAAIAAgACAAIAAgACAAIABOAE8AVAAoACAAQQBOAEQAKAAgAEkAUwBOAFUATQBCAEUAUgAoACAAUAByAGkAbgBjAGkAcABhAGwAKQAsACAAQwBPAEwAVQBNAE4AUwAoACAAUAByAGkAbgBjAGkAcABhAGwAKQAgAD0AIAAxACkAKQAsAFwAbgAgACAAIAAgACAAIAAgACAAIAAgACAAIAAgACAAIAAgACAAIAAgACAAIAAgACAAIAAgACAAIAAgACAAIAAgACAATgBPAFQAKAAgAEEATgBEACgAIABJAFMATgBVAE0AQgBFAFIAKAAgAEkAbgB0AGUAcgBlAHMAdABSAGEAdABlACkALAAgAEMATwBMAFUATQBOAFMAKAAgAEkAbgB0AGUAcgBlAHMAdABSAGEAdABlACkAIAA9ACAAMQApACkAXABuACAAIAAgACAAIAAgACAAIAAgACAAIAAgACAAIAAgACAAIAAgACAAIAAgACAAIAAgACkALABcAG4AIAAgACAAIAAgACAAIAAgAE0AZQBzAHMAYQBnAGUAcwAsACAAIAAgACAAIAAgACAARgBJAEwAVABFAFIAKAAgAEUAcgByAE0AcwBnAHMALAAgAEUAcgByAG8AcgBzACwAIABcACIAXAAiACkALABcAG4AIAAgACAAIAAvAC8AIAAgAFAAcgBvAGMAZQBkAHUAcgBlACAALQAgAHQAaABlACAAZgBpAHgAZQBkACAAcABvAGkAbgB0ACAAbwBmACAASQBuAHQAZQByAGUAcwB0ACAAPQAgACgAUAByAGkAbgBjAGkAcABhAGwAIAAtACAAUABhAHkAbQBlAG4AdAAgAC8AIAAyACkAIAAqACAAUgBhAHQAZQAgAHcAaQB0AGgAXABuACAAIAAgACAALwAvACAAIABQAGEAeQBtAGUAbgB0ACAAPQAgAE0ASQBOACgAIABEAGUAYgB0AFMAZQByAHYAaQBjAGUAIAAtACAASQBuAHQAZQByAGUAcwB0ACwAIABQAHIAaQBuAGMAaQBwAGEAbAApACwAIABzAG8AbAB2AGUAZAAgAGkAbgAgAGMAbABvAHMAZQBkACAAZgBvAHIAbQAuACAAVwBoAGUAcgBlACAAdABoAGUAXABuACAAIAAgACAALwAvACAAIABjAGEAcwBoACAAdwBvAHUAbABkACAAcgBlAHAAYQB5ACAAbQBvAHIAZQAgAHQAaABhAG4AIAB0AGgAZQAgAHAAcgBpAG4AYwBpAHAAYQBsACwAIAB0AGgAZQAgAHAAYQB5AG0AZQBuAHQAIABpAHMAIAB0AGgAZQAgAHAAcgBpAG4AYwBpAHAAYQBsACAAYQBuAGQAIABoAGEAbABmACAAYQBcAG4AIAAgACAAIAAvAC8AIAAgAHAAZQByAGkAbwBkACcAcwAgAGkAbgB0AGUAcgBlAHMAdAAgAGkAcwAgAGMAaABhAHIAZwBlAGQAIABvAG4AIABpAHQALgBcAG4AIAAgACAAIAAgACAAIAAgAEQAZQBiAHQAUwBlAHIAdgBpAGMAZQAsACAAIAAgACAAQwBGAEEARABTACAALwAgAEQAUwBDAFIALABcAG4AIAAgACAAIAAgACAAIAAgAEMAYQBwAHAAZQBkAD8ALAAgACAAIAAgACAAIAAgACAARABlAGIAdABTAGUAcgB2AGkAYwBlACAAPgA9ACAAUAByAGkAbgBjAGkAcABhAGwAIAAqACAAKAAgADEAIAArACAASQBuAHQAZQByAGUAcwB0AFIAYQB0AGUAIAAvACAAMgApACwAXABuACAAIAAgACAAIAAgACAAIABJAG4AdABlAHIAZQBzAHQALAAgACAAIAAgACAAIAAgAEkARgAoACAAQwBhAHAAcABlAGQAPwAsAFwAbgAgACAAIAAgACAAIAAgACAAIAAgACAAIAAgACAAIAAgACAAIAAgACAAIAAgACAAIAAgACAAIAAgAFAAcgBpAG4AYwBpAHAAYQBsACAAKgAgAEkAbgB0AGUAcgBlAHMAdABSAGEAdABlACAALwAgADIALABcAG4AIAAgACAAIAAgACAAIAAgACAAIAAgACAAIAAgACAAIAAgACAAIAAgACAAIAAgACAAIAAgACAAIABJAG4AdABlAHIAZQBzAHQAUgBhAHQAZQAgACoAIAAoACAAMgAgACoAIABQAHIAaQBuAGMAaQBwAGEAbAAgAC0AIABEAGUAYgB0AFMAZQByAHYAaQBjAGUAKQAgAC8AIAAoACAAMgAgAC0AIABJAG4AdABlAHIAZQBzAHQAUgBhAHQAZQApAFwAbgAgACAAIAAgACAAIAAgACAAIAAgACAAIAAgACAAIAAgACAAIAAgACAAIAAgACAAIAApACwAXABuACAAIAAgACAAIAAgACAAIABSAGUAcwB1AGwAdAAsACAAIAAgACAAIAAgACAAIAAgAE0AQQBYACgAIABJAG4AdABlAHIAZQBzAHQALAAgADA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CIAfQBdACwAIgBwAHIAbwBqAGUAYwB0AE4AYQBtAGUAcwAiADoAWwAiAG8AegAuAEEAYgBvAHUAdABEAGEAdABlAHMAuwMiACwAIgBvAHoALgBDAG8AdQBuAHQARABPAFcAuwMiACwAIgBvAHoALgBJAHMAQgBlAHQAdwBlAGUAbgC7AyIALAAiAG8AegAuAEkAcwBPAGMAYwB1AHIAcgBlAG4AYwBlAEQAYQB0AGUAuwMiACwAIgBvAHoALgBPAHYAZQByAEwAYQBwAEQAYQB5AHMAuwMiACwAIgBvAHoALgBQAGUAcgBpAG8AZABMAGEAYgBlAGwAuwMiACwAIgBvAHoALgBQAGUAcgBpAG8AZABzALsDIgAsACIAbwB6AC4AUwBjAGgAZQBkAHUAbABlAFIAYQB0AGUAcwC7AyIALAAiAG8AegAuAFMAYwBoAGUAZAB1AGwAZQBSAGEAdABlAHMAQgB5AEkAdABlAG0AcwC7AyIALAAiAG8AegAuAFMAYwBoAGUAZAB1AGwAZQBWAGEAbAB1AGUAcwC7AyIALAAiAG8AegAuAFMAYwBoAGUAZAB1AGwAZQBWAGEAbAB1AGUAcwBCAHkASQB0AGUAbQBzALsDIgAsACIAbwB6AC4AVABpAG0AZQBsAGkAbgBlALsDIgAsACIAbwB6AC4AQQBiAG8AdQB0AEUAcwBzAGUAbgB0AGkAYQBsAHMAuwMiACwAIgBvAHoALgBDAG8AdQBuAHQAQwC7AyIALAAiAG8AegAuAFMAdQBtAFIAbwB3AHMAuwMiACwAIgBvAHoALgBTAHUAbQBDAG8AbABzALsDIgAsACIAbwB6AC4AQQB2AGcAUgBvAHcAcwC7AyIALAAiAG8AegAuAEEAdgBnAEMAbwBsAHMAuwMiACwAIgBvAHoALgBNAGkAbgBSAG8AdwBzALsDIgAsACIAbwB6AC4ATQBpAG4AQwBvAGwAcwC7AyIALAAiAG8AegAuAE0AYQB4AFIAbwB3AHMAuwMiACwAIgBvAHoALgBNAGEAeABDAG8AbABzALsDIgAsACIAbwB6AC4AQwBvAHUAbgB0AEEAUgBvAHcAcwC7AyIALAAiAG8AegAuAEMAbwB1AG4AdABBAEMAbwBsAHMAuwMiACwAIgBvAHoALgBDAG8AdQBuAHQAUgBvAHcAcwC7AyIALAAiAG8AegAuAEMAbwB1AG4AdABDAG8AbABzALsDIgAsACIAbwB6AC4ASQBzAEIAZQB0AHcAZQBlAG4ARQC7AyIALAAiAG8AegAuAEkAcwBJAG4ATABpAHMAdAC7AyIALAAiAG8AegAuAFIAYQBuAGcAZQBUAG8ARABBAEUAuwMiACwAIgBvAHoALgBBAGIAbwB1AHQARgBpAG4AYQBuAGMAaQBhAGwAuwMiACwAIgBvAHoALgBDAG8AcgBrAHMAYwByAGUAdwC7AyIALAAiAG8AegAuAEMAbwByAGsAUwBjAHIAZQB3AFIAZQB2AGUAcgBzAGEAbAC7AyIALAAiAG8AegAuAEkAbgB0AE8AbgBJAG4AdAC7AyIALAAiAG8AegAuAEkAUgBSALsDIgAsACIAbwB6AC4ATQBvAHYAZQBtAGUAbgB0ALsDIgAsACIAbwB6AC4AUgBlAHYAZQByAHMAYQBsALsDIgAsACIAbwB6AC4AQwB1AG0AdQBsAGEAdABpAHYAZQC7AyIALAAiAG8AegAuAFIAbwBsAGwAaQBuAGcAQQB2AGcAuwMiACwAIgBvAHoALgBSAG8AbABsAGkAbgBnAE0AYQB4ALsDIgAsACIAbwB6AC4AUgBvAGwAbABpAG4AZwBNAGkAbgC7AyIALAAiAG8AegAuAFIAbwBsAGwAaQBuAGcAUwB1AG0AuwMiACwAIgBvAHoALgBTAHUAbQBDAG8AbgB0AGEAaQBuAHMAuwMiACwAIgBvAHoALgBTAHUAbQBQAGUAcgBpAG8AZABzALsDIgAsACIAbwB6AC4AQQBtAG8AcgB0AGkAcwBlALsDIgAsACIAbwB6AC4ATABhAGIAZQBsAEEAbQBvAHIAdABpAHMAZQC7AyIALAAiAG8AegAuAFMAdQBtAEEAbQBvAHIAdABpAHMAZQC7AyIALAAiAG8AegAuAEQAZQBwAHIAZQBjAGkAYQB0AGUAuwMiACwAIgBvAHoALgBMAGEAYgBlAGwARABlAHAAcgBlAGMAaQBhAHQAZQC7AyIALAAiAG8AegAuAEEAbABsAG8AYwBhAHQAZQC7AyIALAAiAG8AegAuAFAAZQByAGkAbwBkAEQAaQBmAGYAuwMiACwAIgBvAHoALgBTAEwATgC7AyIALAAiAG8AegAuAFMAWQBEALsDIgAsACIAbwB6AC4ARABCALsDIgAsACIAbwB6AC4ARABEAEIAuwMiACwAIgBvAHoALgBWAEQAQgC7AyIALAAiAG8AegAuAEEAbQBvAHIAdABpAHMAZQC7A0QAVgAiACwAIgBvAHoALgBDAG8AcgBrAHMAYwByAGUAdwC7A0QAVgAiACwAIgBvAHoALgBEAGUAcAByAGUAYwBpAGEAdABlALsDRABWACIALAAiAG8AegAuAFQAaQBtAGUAbABpAG4AZQBPAGYAZgBzAGUAdAC7AyIALAAiAG8AegAuAFQAaQBtAGUAbABpAG4AZQBQAG8AcwBpAHQAaQBvAG4AuwMiACwAIgBvAHoALgBGAGkAbAB0AGUAcgBDAG8AbgB0AGEAaQBuAHMAuwMiACwAIgBvAHoALgBSAGEAbgBnAGUAVABvAEQAQQC7AyIALAAiAG8AegAuAFAAZQByAGkAbwBkAFMAdABhAHIAdAC7AyIALAAiAG8AegAuAEEAYgBvAHUAdABSAGEAdABpAG8AcwC7AyIALAAiAG8AegAuAEMAdQByAHIAZQBuAHQAUgBhAHQAaQBvALsDIgAsACIAbwB6AC4AUQB1AGkAYwBrAFIAYQB0AGkAbwC7AyIALAAiAG8AegAuAEMAYQBzAGgAUgBhAHQAaQBvALsDIgAsACIAbwB6AC4ATwBwAGUAcgBhAHQAaQBuAGcAQwBhAHMAaABGAGwAbwB3AFIAYQB0AGkAbwC7AyIALAAiAG8AegAuAFIAZQBjAGUAaQB2AGEAYgBsAGUAcwBUAHUAcgBuAG8AdgBlAHIAUgBhAHQAaQBvALsDIgAsACIAbwB6AC4ASQBuAHYAZQBuAHQAbwByAHkAVAB1AHIAbgBvAHYAZQByAFIAYQB0AGkAbwC7AyIALAAiAG8AegAuAFcAbwByAGsAaQBuAGcAQwBhAHAAaQB0AGEAbABUAHUAcgBuAG8AdgBlAHIAUgBhAHQAaQBvALsDIgAsACIAbwB6AC4ARABlAGIAdABSAGEAdABpAG8AuwMiACwAIgBvAHoALgBEAFMAQwBSALsDIgAsACIAbwB6AC4ARABlAGIAdABUAG8AQwBhAHAAaQB0AGEAbABSAGEAdABpAG8AuwMiACwAIgBvAHoALgBFAHEAdQBpAHQAeQBNAHUAbAB0AGkAcABsAGkAZQByALsDIgAsACIAbwB6AC4ARABlAGIAdABUAG8ARQBxAHUAaQB0AHkAUgBhAHQAaQBvALsDIgAsACIAbwB6AC4ARABlAGIAdABUAG8AQQBzAHMAZQB0AFIAYQB0AGkAbwC7AyIALAAiAG8AegAuAEkAbgB0AGUAcgBlAHMAdABDAG8AdgBlAHIAYQBnAGUAUgBhAHQAaQBvALsDIgAsACIAbwB6AC4ARQBxAHUAaQB0AHkAUgBhAHQAaQBvALsDIgAsACIAbwB6AC4AQQBzAHMAZQB0AFQAdQByAG4AbwB2AGUAcgBSAGEAdABpAG8AuwMiACwAIgBvAHoALgBEAFMASQC7AyIALAAiAG8AegAuAE8AcABlAHIAYQB0AGkAbgBnAFIAYQB0AGkAbwC7AyIALAAiAG8AegAuAEcAcgBvAHMAcwBNAGEAcgBnAGkAbgC7AyIALAAiAG8AegAuAEUAQgBJAFQARABBAE0AYQByAGcAaQBuALsDIgAsACIAbwB6AC4ATwBwAGUAcgBhAHQAaQBuAGcATQBhAHIAZwBpAG4AuwMiACwAIgBvAHoALgBQAHIAZQB0AGEAeABNAGEAcgBnAGkAbgC7AyIALAAiAG8AegAuAE4AZQB0AFAAcgBvAGYAaQB0AE0AYQByAGcAaQBuALsDIgAsACIAbwB6AC4AQwBhAHMAaABGAGwAbwB3AE0AYQByAGcAaQBuALsDIgAsACIAbwB6AC4AUgBPAEEAuwMiACwAIgBvAHoALgBSAE8ARQC7AyIALAAiAG8AegAuAFIATwBJALsDIgAsACIAbwB6AC4AUgBPAEkAQwC7AyIALAAiAG8AegAuAFAAcgBpAGMAZQBFAGEAcgBuAGkAbgBnAHMAUgBhAHQAaQBvALsDIgAsACIAbwB6AC4AUAByAGkAYwBlAFQAbwBCAG8AbwBrAFIAYQB0AGkAbwC7AyIALAAiAG8AegAuAFAAcgBpAGMAZQBUAG8AUwBhAGwAZQBzAFIAYQB0AGkAbwC7AyIALAAiAG8AegAuAFAAcgBpAGMAZQBUAG8AQwBhAHMAaABSAGEAdABpAG8AuwMiACwAIgBvAHoALgBCAFYAUABTALsDIgAsACIAbwB6AC4AQwBBAFAARQBSAGEAdABpAG8AuwMiACwAIgBvAHoALgBEAFAAUgC7AyIALAAiAG8AegAuAEQAaQB2AGkAZABlAG4AZABZAGkAZQBsAGQAUgBhAHQAaQBvALsDIgAsACIAbwB6AC4ARQBQAFMAuwMiACwAIgBvAHoALgBSAGUAdABlAG4AdABpAG8AbgBSAGEAdABpAG8AuwMiACwAIgBvAHoALgBBAGIAbwB1AHQAVQB0AGkAbABpAHQAaQBlAHMAuwMiACwAIgBvAHoALgBDAG8AdQBuAHQAQwBVALsDIgAsACIAbwB6AC4AUwB1AG0AUgBvAHcAcwBVALsDIgAsACIAbwB6AC4AUwB1AG0AQwBvAGwAcwBVALsDIgAsACIAbwB6AC4AQQB2AGcAUgBvAHcAcwBVALsDIgAsACIAbwB6AC4AQQB2AGcAQwBvAGwAcwBVALsDIgAsACIAbwB6AC4ATQBpAG4AUgBvAHcAcwBVALsDIgAsACIAbwB6AC4ATQBpAG4AQwBvAGwAcwBVALsDIgAsACIAbwB6AC4ATQBhAHgAUgBvAHcAcwBVALsDIgAsACIAbwB6AC4ATQBhAHgAQwBvAGwAcwBVALsDIgAsACIAbwB6AC4AQwBvAHUAbgB0AEEAUgBvAHcAcwBVALsDIgAsACIAbwB6AC4AQwBvAHUAbgB0AEEAQwBvAGwAcwBVALsDIgAsACIAbwB6AC4AQwBvAHUAbgB0AFIAbwB3AHMAVQC7AyIALAAiAG8AegAuAEMAbwB1AG4AdABDAG8AbABzAFUAuwMiACwAIgBvAHoALgBJAHMAQgBlAHQAdwBlAGUAbgBVALsDIgAsACIAbwB6AC4ASQBzAEkAbgBMAGkAcwB0AFUAuwMiACwAIgBvAHoALgBSAGEAbgBnAGUAVABvAEQAQQBVALsDIgAsACIAbwB6AC4AUwB1AG0ARABlAHAAcgBlAGMAaQBhAHQAZQC7AyIALAAiAG8AegAuAEQAaQBtAGkAbgBpAHMAaABpAG4AZwBWAGEAbAB1AGUAuwMiACwAIgBvAHoALgBQAHIAaQBtAGUAQwBvAHMAdAC7AyIALAAiAG8AegAuAEcAUwBUAEEAZABkALsDIgAsACIAbwB6AC4ARwBTAFQARQB4AHQAcgBhAGMAdAC7AyIALAAiAG8AegAuAEwAZQBhAHMAZQBMAGkAYQBiAGkAbABpAHQAeQC7AyIALAAiAG8AegAuAEwAZQBhAHMAZQBSAGUAbQBlAGEAcwB1AHIAZQC7AyIALAAiAG8AegAuAEwAZQBhAHMAZQBTAGMAaABlAGQAdQBsAGUAuwMiACwAIgBvAHoALgBSAE8AVQBTAGMAaABlAGQAdQBsAGUAuwMiACwAIgBvAHoALgBBAG4AbgB1AGEAbABSAGEAdABlALsDIgAsACIAbwB6AC4ARABhAHkAQwBvAHUAbgB0AFIAYQB0AGUAuwMiACwAIgBvAHoALgBQAGUAcgBpAG8AZABSAGEAdABlALsDIgAsACIAbwB6AC4ARgBpAG4AYQBuAGMAaQBhAGwAWQBlAGEAcgC7AyIALAAiAG8AegAuAEQAYQB0AGUARABpAGYAuwMiACwAIgBvAHoALgBBAG0AbwByAHQAaQBzAGUAQgC7AyIALAAiAG8AegAuAEQAZQBiAHQAUwBjAHUAbABwAHQARgBpAHgAZQBkALsDIgAsACIAbwB6AC4ARABlAGIAdABTAGMAdQBsAHAAdABWAGEAcgBpAGEAYgBsAGUATABSAFYAuwMiACwAIgBvAHoALgBEAGUAYgB0AFMAYwB1AGwAcAB0AFYAYQByAGkAYQBiAGwAZQC7AyIALAAiAG8AegAuAEkAbgB0AGUAcgBlAHMAdABMAFIAVgC7Ay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YQB1ACIAfQB9A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49</vt:i4>
      </vt:variant>
      <vt:variant>
        <vt:lpstr>Named Ranges</vt:lpstr>
      </vt:variant>
      <vt:variant>
        <vt:i4>6</vt:i4>
      </vt:variant>
    </vt:vector>
  </HeadingPairs>
  <TitlesOfParts>
    <vt:vector size="55" baseType="lpstr">
      <vt:lpstr>Cover</vt:lpstr>
      <vt:lpstr>TOC</vt:lpstr>
      <vt:lpstr>Data Validation</vt:lpstr>
      <vt:lpstr>Australian tax</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oz.SumContainsλ</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Ozzit project</dc:creator>
  <cp:lastModifiedBy>Ozzit project</cp:lastModifiedBy>
  <dcterms:created xsi:type="dcterms:W3CDTF">2023-08-10T15:46:16Z</dcterms:created>
  <dcterms:modified xsi:type="dcterms:W3CDTF">2026-01-01T00:00:00Z</dcterms:modified>
</cp:coreProperties>
</file>