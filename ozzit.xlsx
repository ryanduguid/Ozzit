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3.xml" ContentType="application/vnd.openxmlformats-officedocument.spreadsheetml.table+xml"/>
  <Override PartName="/xl/drawings/drawing5.xml" ContentType="application/vnd.openxmlformats-officedocument.drawing+xml"/>
  <Override PartName="/xl/tables/table4.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drawings/drawing9.xml" ContentType="application/vnd.openxmlformats-officedocument.drawing+xml"/>
  <Override PartName="/xl/tables/table7.xml" ContentType="application/vnd.openxmlformats-officedocument.spreadsheetml.table+xml"/>
  <Override PartName="/xl/drawings/drawing10.xml" ContentType="application/vnd.openxmlformats-officedocument.drawing+xml"/>
  <Override PartName="/xl/tables/table8.xml" ContentType="application/vnd.openxmlformats-officedocument.spreadsheetml.table+xml"/>
  <Override PartName="/xl/tables/table9.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0.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1.xml" ContentType="application/vnd.openxmlformats-officedocument.spreadsheetml.table+xml"/>
  <Override PartName="/xl/drawings/drawing19.xml" ContentType="application/vnd.openxmlformats-officedocument.drawing+xml"/>
  <Override PartName="/xl/tables/table12.xml" ContentType="application/vnd.openxmlformats-officedocument.spreadsheetml.table+xml"/>
  <Override PartName="/xl/drawings/drawing20.xml" ContentType="application/vnd.openxmlformats-officedocument.drawing+xml"/>
  <Override PartName="/xl/tables/table13.xml" ContentType="application/vnd.openxmlformats-officedocument.spreadsheetml.table+xml"/>
  <Override PartName="/xl/drawings/drawing21.xml" ContentType="application/vnd.openxmlformats-officedocument.drawing+xml"/>
  <Override PartName="/xl/tables/table14.xml" ContentType="application/vnd.openxmlformats-officedocument.spreadsheetml.table+xml"/>
  <Override PartName="/xl/drawings/drawing22.xml" ContentType="application/vnd.openxmlformats-officedocument.drawing+xml"/>
  <Override PartName="/xl/tables/table15.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6.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workbookPr codeName="ThisWorkbook"/>
  <bookViews>
    <workbookView xWindow="0" yWindow="0" windowWidth="28800" windowHeight="16000" xr2:uid="{9D40AE0A-C643-4032-94D1-3D65DF585AF3}"/>
  </bookViews>
  <sheets>
    <sheet name="Cover" sheetId="103" r:id="rId1"/>
    <sheet name="TOC" sheetId="19" r:id="rId2"/>
    <sheet name="Data Validation" sheetId="129" r:id="rId3"/>
    <sheet name="Australian tax" sheetId="132" r:id="rId4"/>
    <sheet name="oz.CountDOWλ" sheetId="41" r:id="rId5"/>
    <sheet name="oz.IsBetweenλ" sheetId="43" r:id="rId6"/>
    <sheet name="oz.IsOccurrenceDateλ" sheetId="44" r:id="rId7"/>
    <sheet name="oz.OverLapDaysλ" sheetId="45" r:id="rId8"/>
    <sheet name="oz.Periodsλ" sheetId="46" r:id="rId9"/>
    <sheet name="oz.PeriodLabelλ" sheetId="47" r:id="rId10"/>
    <sheet name="oz.ScheduleRatesλ" sheetId="48" r:id="rId11"/>
    <sheet name="oz.ScheduleRatesByItemsλ" sheetId="49" r:id="rId12"/>
    <sheet name="oz.ScheduleValuesλ" sheetId="50" r:id="rId13"/>
    <sheet name="oz.ScheduleValuesByItemsλ" sheetId="51" r:id="rId14"/>
    <sheet name="oz.Timelineλ" sheetId="52" r:id="rId15"/>
    <sheet name="oz.Amortiseλ" sheetId="76" r:id="rId16"/>
    <sheet name="oz.LabelAmortiseλ" sheetId="90" r:id="rId17"/>
    <sheet name="oz.SumAmortiseλ" sheetId="83" r:id="rId18"/>
    <sheet name="oz.Corkscrewλ" sheetId="77" r:id="rId19"/>
    <sheet name="oz.Cumulativeλ" sheetId="99" r:id="rId20"/>
    <sheet name="oz.Depreciateλ" sheetId="78" r:id="rId21"/>
    <sheet name="oz.LabelDepreciateλ" sheetId="106" r:id="rId22"/>
    <sheet name="oz.SumDepreciateλ" sheetId="107" r:id="rId23"/>
    <sheet name="oz.SumContainsλ" sheetId="108" r:id="rId24"/>
    <sheet name="oz.IntOnIntλ" sheetId="80" r:id="rId25"/>
    <sheet name="oz.IRRλ" sheetId="81" r:id="rId26"/>
    <sheet name="oz.Reversalλ" sheetId="128" r:id="rId27"/>
    <sheet name="oz.Movementλ" sheetId="82" r:id="rId28"/>
    <sheet name="oz.RollingSumλ" sheetId="105" r:id="rId29"/>
    <sheet name="oz.SumPeriodsλ" sheetId="89" r:id="rId30"/>
    <sheet name="oz.TimelineOffsetλ" sheetId="96" r:id="rId31"/>
    <sheet name="oz.TimelinePositionλ" sheetId="97" r:id="rId32"/>
    <sheet name="oz.AboutEssentialsλ" sheetId="110" r:id="rId33"/>
    <sheet name="oz.CountCλ" sheetId="118" r:id="rId34"/>
    <sheet name="oz.SumRowsλ" sheetId="87" r:id="rId35"/>
    <sheet name="oz.SumColsλ" sheetId="88" r:id="rId36"/>
    <sheet name="oz.AvgRowsλ" sheetId="111" r:id="rId37"/>
    <sheet name="oz.AvgColsλ" sheetId="112" r:id="rId38"/>
    <sheet name="oz.MinRowsλ" sheetId="113" r:id="rId39"/>
    <sheet name="oz.MinColsλ" sheetId="114" r:id="rId40"/>
    <sheet name="oz.MaxRowsλ" sheetId="115" r:id="rId41"/>
    <sheet name="oz.MaxColsλ" sheetId="116" r:id="rId42"/>
    <sheet name="oz.CountRowsλ" sheetId="119" r:id="rId43"/>
    <sheet name="oz.CountColsλ" sheetId="120" r:id="rId44"/>
    <sheet name="oz.CountARowsλ" sheetId="122" r:id="rId45"/>
    <sheet name="oz.CountAColsλ" sheetId="123" r:id="rId46"/>
    <sheet name="oz.IsBetweenEλ" sheetId="125" r:id="rId47"/>
    <sheet name="oz.RangeToDAEλ" sheetId="126" r:id="rId48"/>
    <sheet name="oz.FinancialRatios" sheetId="131" r:id="rId49"/>
  </sheets>
  <definedNames>
    <definedName name="oz.AboutDatesλ" comment="Displays this module's repository URL and function list">TRIM( _xlfn.TEXTSPLIT( "About:                 →Ozzit compliant LAMBDAs dealing with dates. Suggested module name: oz¶" &amp; "Version:               →6 Sep 2026¶" &amp; "Repository:              →https://github.com/ryanduguid/Ozzit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"RateAtDateλ            →Return the rate in effect on each date from a checked table of effective dates¶" &amp; "ScheduleValuesλ        →Schedules values in a timeline. ¶" &amp; "ScheduleValuesByItemsλ →Schedules values in a timeline for each item in a list.¶" &amp; "Timelineλ              →Creates a horizontal list of start or end dates for a timeline¶" &amp; "DateDifλ               →Whole years, months or days between two dates, and the remainders¶" &amp; "FinancialYearλ         →Labels dates with their Australian financial year, starting 1 July¶" &amp; "→", "→", "¶" ) )</definedName>
    <definedName name="oz.AboutEssentialsλ" comment="Displays this module's repository URL and function list">TRIM(_xlfn.TEXTSPLIT( "About:                     →Basic functions for working with dynamic arrays. Suggested module name: oz¶" &amp; "Version:                   →20 Aug 2026¶" &amp; "Repository:                  →https://github.com/ryanduguid/Ozzit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oz.AboutFinancialλ" comment="Displays this module's repository URL and function list">TRIM(_xlfn.TEXTSPLIT( "ABOUT:             →Ozzit's Financial Models module. Suggested module name: oz¶" &amp; "VERSION:           →6 Sep 2026¶" &amp; "REPOSITORY:          →https://github.com/ryanduguid/Ozzit ¶" &amp; "WEBSITE:           →https://github.com/ryanduguid/Ozzit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→Creates averages for preceding values of a set size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"LEASES (AASB 16)   →¶" &amp; "LeaseLiabilityλ    →Present value of the lease payments that are not paid at the commencement date¶" &amp; "LeaseScheduleλ     →Unwinds a lease liability into opening, payment, interest and closing rows¶" &amp; "LeaseRemeasureλ    →Remeasures a lease liability for revised payments and adjusts the right-of-use asset¶" &amp; "ROUScheduleλ       →Depreciates a right-of-use asset in a straight line over the lease term¶" &amp; "→¶" &amp; "RATES              →¶" &amp; "PeriodRateλ        →Converts an effective annual rate to the equivalent rate per period¶" &amp; "AnnualRateλ        →Converts a rate per period to the effective annual rate¶" &amp; "DayCountRateλ      →Interest rate for each timeline period under a day count convention¶"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 )</definedName>
    <definedName name="oz.AboutRatiosλ" comment="Displays this module's repository URL and function list">TRIM( _xlfn.TEXTSPLIT( "About:                     →A library of Financial Ratios¶" &amp; "Version:                   →20 Aug 2026¶" &amp; "Repository:                  →https://github.com/ryanduguid/Ozzit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"DSIλ                       →Days Sales in Inventory Ratio (aka Average age of inventory indicates the average time in days that a company takes to turn its inventory¶" &amp; "OperatingRatioλ            →Shows how efficient management is at keeping costs low while generating revenue¶" &amp; "ReceivableDaysλ            →Receivable days (DSO): receivables as days of sales¶" &amp; "PayableDaysλ               →Payable days (DPO): payables as days of purchases¶" &amp; "WIPDaysλ                   →Work in progress days: WIP as days of related revenue or cost¶" &amp; "CashConversionCycleλ       →Cash conversion cycle: inventory, WIP and receivable days less payable days¶"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"DPRλ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"ATO Small Business Benchmark Ratios→¶" &amp; "ATOTurnoverλ               →Turnover excluding GST as the ATO benchmarks measure it¶" &amp; "ATOBenchmarkRatioλ         →An amount over turnover, as for ATO rent or motor vehicle expenses to turnover¶" &amp; "ATOTotalExpensesRatioλ     →ATO total expenses to turnover, less payments to associated persons¶" &amp; "ATOCostOfSalesRatioλ       →ATO cost of sales to turnover, excluding labour¶" &amp; "ATOLabourRatioλ            →ATO labour to turnover: wages and contractors less payments to associated persons¶" &amp; "→¶" &amp; "*                          →These are considered 'Key Ratios'¶" &amp; "→", "→", "¶" ) )</definedName>
    <definedName name="oz.AboutUtilitiesλ" comment="Displays this module's repository URL and function list">TRIM(_xlfn.TEXTSPLIT("About:                     →Basic functions for working with dynamic arrays. Suggested module name: oz¶" &amp; "Version:                   →20 Aug 2026¶" &amp; "Repository:                  →https://github.com/ryanduguid/Ozzit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oz.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→https://github.com/ryanduguid/Ozzit¶" &amp; "VERSION:       →20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(oz is assumed to be the module's name)¶" &amp; "→=oz.Allocateλ({999.99,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_xlfn.MAKEARRAY(1, _xlpm.FromCount * _xlpm.ToCount, _xlfn.LAMBDA(_xlpm.R,_xlpm.C, _xlfn.LET(_xlpm.FromAmount, INDEX(_xlpm.Amounts, QUOTIENT(_xlpm.C - 1, _xlpm.ToCount) + 1), _xlpm.ToAmount, ROUND(_xlpm.FromAmount * _xlpm.From / _xlpm.To, 2), _xlpm.Last?, MOD(_xlpm.C - 1, _xlpm.ToCount) + 1 = _xlpm.ToCount, IF(AND(_xlpm.Last?, _xlpm.ToCount &gt; 1), _xlpm.FromAmount - SUM(_xlfn.EXPAND(_xlpm.ToAmount, 1, MAX(_xlpm.ToCount - 1, 1), _xlpm.ToAmount)), _xlpm.ToAmount)))), CHOOSE(_xlpm.Help? + 1, _xlpm.Result, _xlpm.Help)))</definedName>
    <definedName name="oz.AmortiseBλ" comment="Creates an amortisation schedule for a debt/loan across a model's periods">_xlfn.LAMBDA(_xlop.Principal,_xlop.APR,_xlop.Term,_xlop.ModelPeriods,_xlop.StartPeriod,_xlop.MonthsPerPeriod, _xlfn.LET(_xlpm.Help, TRIM(_xlfn.TEXTSPLIT( "FUNCTION:      →AmortiseBλ(Principal, APR, Term, ModelPeriods, [StartPeriod], [MonthsPerPeriod])¶" &amp; "DESCRIPTION:   →Creates an amortisation schedule for a debt/loan across a model's periods.¶" &amp; "ROW CONTENTS:  →Opening Balance¶" &amp; "               →Interest Portion¶" &amp; "               →Repayment¶" &amp; "               →Closing Balance¶" &amp; "               →Principal Portion¶" &amp; "WEBPAGE:       →https://github.com/ryanduguid/Ozzit¶" &amp; "VERSION:       →20 Aug 2026¶" &amp; "PARAMETERS:    →¶" &amp; "Principal      →(Required) Principal opening balance.¶" &amp; "APR            →(Required) Annual percentage rate.¶" &amp; "Term           →(Required) Number of periods to pay off the debt.¶" &amp; "ModelPeriods   →(Required) Number of model periods.¶" &amp; "StartPeriod    →(Optional) Period when the debt is issued. Defaults to 1.¶" &amp; "MonthsPerPeriod→(Optional) Number of months in each period. Defaults to 1.¶" &amp; "EXAMPLES:      →¶" &amp; "Result         →Formula (oz is assumed to be the module's name)¶" &amp; "5 rows, 60 cols→=oz.AmortiseBλ(10000, 3%, 48, 60)", "→", "¶" ) ), _xlpm.Help?, OR( _xlfn.ISOMITTED( _xlpm.Principal), _xlfn.ISOMITTED( _xlpm.APR), _xlfn.ISOMITTED( _xlpm.Term), _xlfn.ISOMITTED( _xlpm.ModelPeriods) ), _xlpm.ErrMsgs, {"Principal must be a single number providing the opening debt amount.";"APR must be a single number providing annual percentage rate for interest.";"Term must be a positive whole number of periods to pay off the debt";"Model Periods must be a positive whole number of periods in this model."}, _xlpm.Errors, _xlfn.VSTACK( NOT( ISNUMBER( _xlpm.Principal)), NOT( ISNUMBER( _xlpm.APR)), NOT( AND( ISNUMBER( _xlpm.Term), _xlpm.Term &gt; 0, _xlpm.Term = INT( _xlpm.Term))), NOT( AND( ISNUMBER( _xlpm.ModelPeriods), _xlpm.ModelPeriods &gt; 0, _xlpm.ModelPeriods = INT( _xlpm.ModelPeriods))) ), _xlpm.Messages, _xlfn._xlws.FILTER( _xlpm.ErrMsgs, _xlpm.Errors, ""), _xlpm.StartPeriod, IF( ISNUMBER( _xlpm.StartPeriod), _xlpm.StartPeriod, 1), _xlpm.MonthsPerPeriod, IF( ISNUMBER( _xlpm.MonthsPerPeriod), _xlpm.MonthsPerPeriod, 1), _xlpm.Rate, _xlpm.APR / 12 * _xlpm.MonthsPerPeriod, _xlpm.Periods, _xlfn.SEQUENCE( 1, _xlpm.ModelPeriods), _xlpm.Closings, _xlfn.SCAN( _xlpm.Principal, _xlpm.Periods, _xlfn.LAMBDA(_xlpm.Carried,_xlpm.Period, _xlfn.LET(_xlpm.Remaining, IF( _xlpm.Period &lt; _xlpm.StartPeriod, 0, MAX( _xlpm.Term - _xlpm.Period + _xlpm.StartPeriod, 0)), _xlpm.Opening, IF( _xlpm.Remaining = 0, 0, _xlpm.Carried), _xlpm.Interest, _xlpm.Opening * _xlpm.Rate, _xlpm.Payment, IF( _xlpm.Remaining = 0, 0, MIN( -PMT( _xlpm.Rate, _xlpm.Remaining, _xlpm.Opening), _xlpm.Opening + _xlpm.Interest)), IF( _xlpm.Period &lt; _xlpm.StartPeriod, _xlpm.Carried, _xlpm.Opening + _xlpm.Interest - _xlpm.Payment) ) ) ), _xlpm.Carried, IF( _xlpm.ModelPeriods = 1, _xlpm.Principal, _xlfn.HSTACK( _xlpm.Principal, _xlfn.DROP( _xlpm.Closings, , -1))), _xlpm.Remaining, IF( _xlpm.Periods &lt; _xlpm.StartPeriod, 0, IF( _xlpm.Term - _xlpm.Periods + _xlpm.StartPeriod &gt; 0, _xlpm.Term - _xlpm.Periods + _xlpm.StartPeriod, 0)), _xlpm.Opening, IF( _xlpm.Remaining = 0, 0, _xlpm.Carried), _xlpm.Interest, _xlpm.Opening * _xlpm.Rate, _xlpm.Level, IF( _xlpm.Remaining = 0, 0, -PMT( _xlpm.Rate, _xlpm.Remaining, _xlpm.Opening)), _xlpm.Payment, IF( _xlpm.Level &lt; _xlpm.Opening + _xlpm.Interest, _xlpm.Level, _xlpm.Opening + _xlpm.Interest), _xlpm.Closing, _xlpm.Opening + _xlpm.Interest - _xlpm.Payment, _xlpm.Portion, _xlpm.Payment - _xlpm.Interest, _xlpm.Result, _xlfn.VSTACK( _xlpm.Opening, _xlpm.Interest, _xlpm.Payment, _xlpm.Closing, _xlpm.Portion), _xlpm.Return, IF( _xlpm.Help?, 2, IF( OR( _xlpm.Errors), 3, 1)), CHOOSE( _xlpm.Return, _xlpm.Result, _xlpm.Help, _xlpm.Messages) ) )</definedName>
    <definedName name="oz.Amortiseλ" comment="Creates a corkscrew amortisation schedule">_xlfn.LAMBDA(_xlop.Principals,_xlop.APRs,_xlop.Terms,_xlop.StartDates,_xlop.Timeline,_xlop.FinalPeriodEnd, _xlfn.LET( _xlpm.Help, TRIM(_xlfn.TEXTSPLIT( "FUNCTION:      →Amortiseλ( Principals, APRs, Terms, StartDates, [Timeline], [FinalPeriodEnd])¶" &amp; "DESCRIPTION:   →Creates an amortisation schedule array for one or more loans.¶" &amp; "→Payments are assumed monthly. Each month lands in the period holding its start. Flows add up; balances show the first opening and last closing. Periods without a loan month are nil.¶" &amp; "→Use LabelAmortiseλ() to apply labels to this function's results:¶" &amp; "→Use SumAmortiseλ() to apply totals to this function's results:¶" &amp; "WEBPAGE:       →https://github.com/ryanduguid/Ozzit¶" &amp; "VERSION:       →20 Aug 2026¶" &amp; "PARAMETERS:→¶" &amp; "Principals     →(Required) Loan/debt amounts.¶" &amp; "APRs           →(Required) Annual Percentage Rates for interest.¶" &amp; "Terms          →(Required) Number of months for loans/debts.¶" &amp; "StartDates     →(Required) Dates debts are issued.¶" &amp; "Timeline       →(Optional) A row of period start dates. If omitted, a monthly timeline is added¶" &amp; "FinalPeriodEnd →(Optional) The day after the last period ends. Needs Timeline, and only moves money where its periods are shorter than a month. Otherwise, the last period follows the preceding interval, using calendar months for monthly or longer intervals.¶" &amp; "EXAMPLES:→¶" &amp; "Result         →Formula (oz is assumed to be the module's name)¶" &amp; "→=oz.Amortiseλ(10000, 5%, 4 * 12, ""2026-07-01"")", "→", "¶" ) ), _xlpm.MpY, 12, _xlpm.ADpM, 30.42, _xlpm.Help?, OR( _xlfn.ISOMITTED( _xlpm.Principals), _xlfn.ISOMITTED( _xlpm.APRs), _xlfn.ISOMITTED( _xlpm.Terms), _xlfn.ISOMITTED( _xlpm.StartDates) ), _xlpm.CvtStarts, IF( ISNUMBER( _xlpm.StartDates), _xlpm.StartDates, DATEVALUE( _xlpm.StartDates)), _xlpm.TimelineGiven?, NOT( _xlfn.ISOMITTED( _xlpm.Timeline)), _xlpm.Timeline, IF( _xlfn.ISOMITTED( _xlpm.Timeline), _xlfn.LET(_xlpm.LastMonths, EDATE( _xlpm.CvtStarts, _xlpm.Terms - 1), _xlpm.MinDate, MIN( _xlpm.CvtStarts), _xlpm.LastMonth, MAX( _xlpm.LastMonths), _xlpm.MaxTerm, ( YEAR( _xlpm.LastMonth) - YEAR( _xlpm.MinDate)) * _xlpm.MpY + MONTH( _xlpm.LastMonth) - MONTH( _xlpm.MinDate) + 1, EDATE( _xlpm.MinDate, _xlfn.SEQUENCE( 1, _xlpm.MaxTerm, 0))), _xlpm.Timeline ), _xlpm.FirstPeriod, INDEX( _xlpm.Timeline, 1), _xlpm.Single?, COUNTA( _xlpm.Timeline) &lt; 2, _xlpm.SecondPeriod, IF( _xlpm.Single?, EDATE( _xlpm.FirstPeriod, 1), INDEX( _xlpm.Timeline, 2)), _xlpm.BadTimeline?, IF( _xlpm.Single?, FALSE, _xlfn.LET( _xlpm.Dates, _xlfn.TOROW( _xlpm.Timeline), MIN( _xlfn.DROP( _xlpm.Dates, , 1) - _xlfn.DROP( _xlpm.Dates, , -1)) &lt; 1)), _xlpm.TimelineMessage, "Timeline must be period start dates where each date is at least a day " &amp; "after the one before it. A repeated or out-of-order date puts one period's " &amp; "money in another period.", _xlpm.DpP, _xlpm.SecondPeriod - _xlpm.FirstPeriod, _xlpm.FinalEnd?, NOT( _xlfn.ISOMITTED( _xlpm.FinalPeriodEnd)), _xlpm.FinalEndDate, IF( _xlpm.FinalEnd?, MAX( _xlpm.FinalPeriodEnd), 0), _xlpm.BadFinalEnd?, IF( _xlpm.FinalEnd?, OR( NOT( _xlpm.TimelineGiven?), COUNT( _xlpm.FinalPeriodEnd) &lt;&gt; 1, _xlpm.FinalEndDate &lt;= MAX( _xlpm.Timeline)), FALSE), _xlpm.FinalEndMessage, "FinalPeriodEnd needs a Timeline, and must be one date after the last " &amp; "date in it. It is the day after the final period ends.", _xlpm.SubMonthly?, _xlpm.DpP &lt; 28, _xlpm.LastDate, MAX( _xlpm.Timeline), _xlpm.PriorDate, IF( _xlpm.Single?, _xlpm.FirstPeriod, INDEX( _xlpm.Timeline, COUNTA( _xlpm.Timeline) - 1)), _xlpm.LastGap, IF( _xlpm.Single?, _xlpm.DpP, _xlpm.LastDate - _xlpm.PriorDate), _xlpm.LastMonths, MAX( ROUND( _xlpm.LastGap / _xlpm.ADpM, 0), 1), _xlpm.CalendarEnd, IF( _xlpm.Single?, EDATE( _xlpm.LastDate, 1), IF( EDATE( _xlpm.PriorDate, _xlpm.LastMonths) = _xlpm.LastDate, EDATE( _xlpm.PriorDate, 2 * _xlpm.LastMonths), IF( DAY( _xlpm.LastDate + 1) = 1, EOMONTH( _xlpm.LastDate, _xlpm.LastMonths), EDATE( _xlpm.LastDate, _xlpm.LastMonths)))), _xlpm.InferredEnd, IF( OR( _xlpm.SubMonthly?, _xlpm.LastGap &lt; 28), _xlpm.LastDate + _xlpm.LastGap, _xlpm.CalendarEnd), _xlpm.BucketEnd, IF( AND( _xlpm.FinalEnd?, _xlpm.SubMonthly?), _xlpm.FinalEndDate, _xlpm.InferredEnd), _xlpm.Schedule, _xlfn.LAMBDA(_xlpm.Asset, _xlfn.LET( _xlpm.Principal, _xlfn.SINGLE(INDEX( _xlpm.Principals, _xlpm.Asset)), _xlpm.APR, _xlfn.SINGLE(INDEX( _xlpm.APRs, _xlpm.Asset)), _xlpm.Term, _xlfn.SINGLE(INDEX( _xlpm.Terms, _xlpm.Asset)), _xlpm.StartDate, _xlfn.SINGLE(INDEX( _xlpm.CvtStarts, _xlpm.Asset)), _xlpm.Rate, _xlpm.APR / _xlpm.MpY, _xlpm.MonthlyPayment, PMT( _xlpm.Rate, _xlpm.Term, _xlpm.Principal), _xlpm.MonthlyPrincipal, -FV(_xlpm.Rate, _xlfn.SEQUENCE( 1, _xlpm.Term, 0), _xlpm.MonthlyPayment, _xlpm.Principal), _xlpm.MonthlyInterest, _xlpm.MonthlyPrincipal * _xlpm.Rate, _xlpm.DebtIssueArray, _xlfn.EXPAND( _xlpm.Principal, 1, _xlpm.Term, 0), _xlpm.PrincipalArray, _xlpm.MonthlyPrincipal, _xlpm.InterestArray, _xlpm.MonthlyInterest, _xlpm.PaymentArray, _xlfn.SEQUENCE( 1, _xlpm.Term, _xlpm.MonthlyPayment, 0), _xlpm.ClosingArray, _xlpm.PrincipalArray + _xlpm.InterestArray + _xlpm.PaymentArray, _xlpm.PortionArray, -_xlpm.PaymentArray - _xlpm.InterestArray, _xlpm.AmortisationSched, _xlfn.VSTACK( _xlpm.DebtIssueArray, _xlpm.PrincipalArray, _xlpm.InterestArray, _xlpm.PaymentArray, _xlpm.ClosingArray, _xlpm.PortionArray), _xlpm.MonthStarts, EDATE( _xlpm.StartDate, _xlfn.SEQUENCE( , _xlpm.Term, 0)), _xlpm.Buckets, IFERROR( MATCH( _xlpm.MonthStarts, _xlfn.TOROW( _xlpm.Timeline), 1), 0) * ( _xlpm.MonthStarts &lt; _xlpm.BucketEnd), _xlpm.InPeriod, ( _xlfn.TOCOL( _xlpm.Buckets) = _xlfn.SEQUENCE( 1, COUNTA( _xlpm.Timeline))) * 1, _xlpm.Earlier, IF( _xlpm.Term = 1, 0, _xlfn.HSTACK( 0, _xlfn.DROP( _xlpm.Buckets, , -1))), _xlpm.Later, IF( _xlpm.Term = 1, 0, _xlfn.HSTACK( _xlfn.DROP( _xlpm.Buckets, , 1), 0)), _xlpm.FirstInPeriod, ( _xlpm.Buckets &lt;&gt; _xlpm.Earlier) * ( _xlpm.Buckets &gt; 0), _xlpm.LastInPeriod, ( _xlpm.Buckets &lt;&gt; _xlpm.Later) * ( _xlpm.Buckets &gt; 0), _xlpm.Flows, MMULT( _xlpm.AmortisationSched, _xlpm.InPeriod), _xlpm.ByDate, _xlfn.VSTACK( _xlfn.TAKE( _xlpm.Flows, 1), MMULT( _xlfn.CHOOSEROWS( _xlpm.AmortisationSched, 2) * _xlpm.FirstInPeriod, _xlpm.InPeriod), _xlfn.CHOOSEROWS( _xlpm.Flows, 3, 4), MMULT( _xlfn.CHOOSEROWS( _xlpm.AmortisationSched, 5) * _xlpm.LastInPeriod, _xlpm.InPeriod), _xlfn.TAKE( _xlpm.Flows, -1)), _xlpm.ByDate ) ), _xlpm.Result, _xlfn.REDUCE( 0, _xlfn.SEQUENCE( ROWS( _xlpm.Principals)), _xlfn.LAMBDA(_xlpm.Acc,_xlpm.Asset, _xlfn.LET(_xlpm.NewBlock, _xlpm.Schedule( _xlpm.Asset), IF( _xlpm.Asset = 1, _xlpm.NewBlock, _xlfn.VSTACK( _xlpm.Acc, _xlfn.EXPAND({" "}, 1, COUNTA(_xlpm.Timeline), " "), _xlpm.NewBlock)) ) ) ), _xlpm.Return, IF( _xlpm.Help?, 2, IF( _xlpm.BadTimeline?, 3, IF( _xlpm.BadFinalEnd?, 4, 1))), CHOOSE( _xlpm.Return, _xlpm.Result, _xlpm.Help, _xlpm.TimelineMessage, _xlpm.FinalEndMessage) ) )</definedName>
    <definedName name="oz.AmortiseλDV" comment="Provides extended data validation of arguments for Amortiseλ()">_xlfn.LAMBDA(_xlop.Principal,_xlop.APR,_xlop.Term,_xlop.StartDate,_xlop.Timeline,_xlop.FinalPeriodEnd, _xlfn.LET( _xlpm.ErrorsInArgs, _xlfn.VSTACK( OR( ISERROR( _xlpm.Principal)), OR( ISERROR( _xlpm.APR)), OR( ISERROR( _xlpm.Term)), OR( ISERROR( _xlpm.StartDate)), OR( ISERROR( _xlpm.Timeline)), IF( _xlfn.ISOMITTED( _xlpm.FinalPeriodEnd), FALSE, OR( ISERROR( _xlpm.FinalPeriodEnd))) ), _xlpm.DVArg1, IF( OR( _xlfn.ISOMITTED( _xlpm.Principal), ISERROR( _xlpm.Principal)), FALSE, OR( IFERROR( VALUE(_xlpm.Principal) &lt; 1, TRUE))), _xlpm.DVArg2, IF( OR( _xlfn.ISOMITTED( _xlpm.APR), ISERROR( _xlpm.APR)), FALSE, OR( IFERROR( VALUE(_xlpm.APR) &lt; 0, TRUE))), _xlpm.DVArg3, IF( OR( _xlfn.ISOMITTED( _xlpm.Term), ISERROR( _xlpm.Term)), FALSE, OR( IFERROR( VALUE(_xlpm.Term) &lt; 1, TRUE))), _xlpm.DVArg4, IF( OR( _xlfn.ISOMITTED( _xlpm.StartDate), ISERROR( _xlpm.StartDate)), FALSE, OR( IFERROR( VALUE(_xlpm.StartDate) &lt; MIN( _xlpm.Timeline), TRUE))), _xlpm.DVArg5, IF( OR( _xlfn.ISOMITTED( _xlpm.Timeline), ISERROR( _xlpm.Timeline)), FALSE, OR( IFERROR( VALUE(_xlpm.Timeline) &lt; 1, TRUE))), _xlpm.DVArg6, IF( OR( _xlfn.ISOMITTED( _xlpm.Timeline), ISERROR( _xlpm.Timeline), _xlpm.DVArg5), FALSE, COUNTA(_xlpm.Timeline) &lt; 2), _xlpm.DVArg7, IF( OR( _xlfn.ISOMITTED( _xlpm.Timeline), ISERROR( _xlpm.Timeline), _xlpm.DVArg5, _xlpm.DVArg6), FALSE, _xlfn.LET( _xlpm.Dates, _xlfn.TOROW( _xlpm.Timeline), MIN( _xlfn.DROP( _xlpm.Dates, , 1) - _xlfn.DROP( _xlpm.Dates, , -1)) &lt; 1)), _xlpm.DVArg8, IF( OR( _xlfn.ISOMITTED( _xlpm.FinalPeriodEnd), ISERROR( _xlpm.FinalPeriodEnd)), FALSE, OR( _xlfn.ISOMITTED( _xlpm.Timeline), COUNT( _xlpm.FinalPeriodEnd) &lt;&gt; 1, IF( OR( ISERROR( _xlpm.Timeline), _xlpm.DVArg5), FALSE, MAX( _xlpm.FinalPeriodEnd) &lt;= MAX( _xlpm.Timeline)))), _xlpm.DVErrors, _xlfn.VSTACK( _xlpm.DVArg1, _xlpm.DVArg2, _xlpm.DVArg3, _xlpm.DVArg4, _xlpm.DVArg5, _xlpm.DVArg6, _xlpm.DVArg7, _xlpm.DVArg8), _xlpm.AnyErrors?, OR(_xlpm.ErrorsInArgs, _xlpm.DVErrors), _xlpm.Errors2Show, _xlfn.VSTACK( 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first.";"FinalPeriodEnd contains errors in cells. Resolve errors first.";"Amount must be greater than 0";"APR must be a percentage of 0 or more";"Term must be the number of timeline periods until the debt is satisfied.";"StartDate must be a valid date.";"Timeline must a row of period start dates.";"Timeline must a row of period start dates with more than 1 entry.";"Timeline must a row of period start dates that advance by at least a day.";"FinalPeriodEnd needs a Timeline, and must be one date after the last date in it."}, _xlpm.Messages, _xlfn._xlws.FILTER(_xlpm.ErrMsgs, _xlpm.Errors2Show, ""), _xlpm.Return, IF( OR( _xlpm.Errors2Show), 2, IF( _xlpm.AnyErrors?, 3, 1)), CHOOSE(_xlpm.Return, TRUE, _xlpm.Messages, #VALUE!) ) )</definedName>
    <definedName name="oz.AnnualRateλ" comment="Converts a rate per period to the effective annual rate, the inverse of PeriodRateλ">_xlfn.LAMBDA(_xlop.PeriodRate,_xlop.PeriodsPerYear, _xlfn.LET( _xlpm.Help, TRIM(_xlfn.TEXTSPLIT( "FUNCTION:      →AnnualRateλ(PeriodRate, [PeriodsPerYear])¶" &amp; "DESCRIPTION:   →Converts a rate per period to the effective annual rate.¶NOTES!         →(1 + PeriodRate) ^ PeriodsPerYear - 1, the inverse of PeriodRateλ().¶               →Use it to state a rate per period, such as a lease rate solved per¶               →month, as the annual figure a reader expects.¶" &amp; "WEBPAGE:       →https://github.com/ryanduguid/Ozzit¶" &amp; "VERSION:       →6 Sep 2026¶" &amp; "PARAMETERS:    →¶" &amp; "PeriodRate     →(Required) Rate per period, or a row or column of them.¶" &amp; "PeriodsPerYear →(Optional: Default = 12) Periods in a year: 12 for months, 4 for quarters, 1 for years.¶" &amp; "EXAMPLES:      →¶" &amp; "→Formula (oz is assumed to be the module's name)¶" &amp; "→=oz.AnnualRateλ(0.01)¶" &amp; "→Result¶" &amp; "→0.126825", "→", "¶" )), _xlpm.Help?, _xlfn.ISOMITTED(_xlpm.PeriodRate), _xlpm.Periods, IF(_xlfn.ISOMITTED(_xlpm.PeriodsPerYear), 12, IF(ISNUMBER(_xlpm.PeriodsPerYear), _xlpm.PeriodsPerYear, 12)), _xlpm.Result, (1 + _xlpm.PeriodRate) ^ _xlpm.Periods - 1, CHOOSE( _xlpm.Help? + 1, _xlpm.Result, _xlpm.Help) ) )</definedName>
    <definedName name="oz.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→20 Aug 2026¶" &amp; "PARAMETERS:→¶" &amp; "NetSales       →(Required) revenue or net sales. ¶" &amp; "TotalAssets    →(Required) Average of Assets and period start and end.¶" &amp; "EXAMPLES:      →Formula (oz is assumed to be the module's name)¶" &amp; ".32x           →=oz.AssetTurnoverRatioλ( 171760, 538715 )", "→", "¶")), _xlpm.Help?, OR(_xlfn.ISOMITTED(_xlpm.NetSales), _xlfn.ISOMITTED(_xlpm.TotalAssets)), _xlpm.Result, _xlpm.NetSales / _xlpm.TotalAssets, CHOOSE(_xlpm.Help? + 1, _xlpm.Result, _xlpm.Help)))</definedName>
    <definedName name="oz.ATOBenchmarkRatioλ" comment="ATO tax return benchmark ratio: an amount divided by turnover, as for rent or motor vehicle expenses to turnover">_xlfn.LAMBDA(_xlop.Amount,_xlop.Turnover, _xlfn.LET( _xlpm.Help, TRIM(_xlfn.TEXTSPLIT( "FUNCTION:      →ATOBenchmarkRatioλ(Amount, Turnover)¶" &amp; "DESCRIPTION:   →ATO tax return benchmark ratio: Amount / Turnover.¶NOTES!         →The ATO's basic formula for a tax return benchmark ratio, and the whole¶               →of its rent expenses to turnover and motor vehicle expenses to turnover¶               →ratios: pass the rent or motor vehicle expenses amount from the return.¶               →Returns a fraction; format it as a percentage, as the ATO's figure is the¶               →same quotient multiplied by 100. Take Turnover from ATOTurnoverλ(). Use¶               →ATOTotalExpensesRatioλ(), ATOCostOfSalesRatioλ() and ATOLabourRatioλ()¶               →for the 3 ratios whose amounts the ATO adjusts. Turnover of 0 returns¶               →#DIV/0!. Arithmetic only. ATO benchmark ratio calculations checked¶               →19 October 2026.¶" &amp; "WEBPAGE:       →https://www.ato.gov.au/businesses-and-organisations/income-deductions-and-concessions/small-business-benchmarks/small-business-benchmarks-methodology-and-ratio-calculations/how-we-calculate-benchmark-ratios¶" &amp; "VERSION:       →19 Oct 2026¶" &amp; "PARAMETERS:    →¶" &amp; "Amount         →(Required) The expense amount, excluding GST.¶" &amp; "Turnover       →(Required) Turnover excluding GST, for example from ATOTurnoverλ().¶" &amp; "EXAMPLES:      →¶" &amp; "→Formula (oz is assumed to be the module's name)¶" &amp; "→=oz.ATOBenchmarkRatioλ(24000, 480000)¶" &amp; "→Result¶" &amp; "→5%", "→", "¶" )), _xlpm.Help?, OR(_xlfn.ISOMITTED(_xlpm.Amount), _xlfn.ISOMITTED(_xlpm.Turnover)), _xlpm.Result, _xlpm.Amount / _xlpm.Turnover, CHOOSE( _xlpm.Help? + 1, _xlpm.Result, _xlpm.Help) ) )</definedName>
    <definedName name="oz.ATOCostOfSalesRatioλ" comment="ATO cost of sales to turnover, excluding salary and wages included in cost of sales">_xlfn.LAMBDA(_xlop.CostOfSales,_xlop.Turnover,_xlop.IncludedWages, _xlfn.LET( _xlpm.Help, TRIM(_xlfn.TEXTSPLIT( "FUNCTION:      →ATOCostOfSalesRatioλ(CostOfSales, Turnover, [IncludedWages])¶" &amp; "DESCRIPTION:   →ATO cost of sales to turnover benchmark ratio, excluding labour.¶NOTES!         →(CostOfSales - IncludedWages) / Turnover. The ATO's cost of sales excludes¶               →salary and wages: where the return's total salary and wages code is C,¶               →meaning they are included in cost of sales, it deducts the total salary¶               →and wages expenses. Pass that total as IncludedWages only when the code is¶               →C, and leave it out otherwise. GrossMarginλ() is a different measure:¶               →it keeps wages in cost of sales. Returns a fraction, as¶               →ATOBenchmarkRatioλ() does. An omitted or blank IncludedWages counts as 0.¶               →Turnover of 0 returns #DIV/0!. Arithmetic only. ATO benchmark ratio¶               →calculations checked 19 October 2026.¶" &amp; "WEBPAGE:       →https://www.ato.gov.au/businesses-and-organisations/income-deductions-and-concessions/small-business-benchmarks/small-business-benchmarks-methodology-and-ratio-calculations/how-we-calculate-benchmark-ratios¶" &amp; "VERSION:       →19 Oct 2026¶" &amp; "PARAMETERS:    →¶" &amp; "CostOfSales    →(Required) Cost of sales from the return, excluding GST.¶" &amp; "Turnover       →(Required) Turnover excluding GST, for example from ATOTurnoverλ().¶" &amp; "IncludedWages  →(Optional: Default = 0) Total salary and wages expenses, only when the return's code is C.¶" &amp; "EXAMPLES:      →¶" &amp; "→Formula (oz is assumed to be the module's name)¶" &amp; "→=oz.ATOCostOfSalesRatioλ(260000, 480000, 60000)¶" &amp; "→Result¶" &amp; "→0.4167", "→", "¶" )), _xlpm.Help?, OR(_xlfn.ISOMITTED(_xlpm.CostOfSales), _xlfn.ISOMITTED(_xlpm.Turnover)), _xlpm.Wages, IF(_xlfn.ISOMITTED(_xlpm.IncludedWages), 0, IF(_xlpm.IncludedWages = "", 0, IF(ISNUMBER(_xlpm.IncludedWages), _xlpm.IncludedWages, #VALUE!))), _xlpm.Result, (_xlpm.CostOfSales - _xlpm.Wages) / _xlpm.Turnover, CHOOSE( _xlpm.Help? + 1, _xlpm.Result, _xlpm.Help) ) )</definedName>
    <definedName name="oz.ATOLabourRatioλ" comment="ATO labour to turnover: salary and wages plus contractors less payments to associated persons, over turnover">_xlfn.LAMBDA(_xlop.SalaryWages,_xlop.Contractors,_xlop.Turnover,_xlop.AssociatePayments,_xlop.W1, _xlfn.LET( _xlpm.Help, TRIM(_xlfn.TEXTSPLIT( "FUNCTION:      →ATOLabourRatioλ(SalaryWages, Contractors, Turnover, [AssociatePayments], [W1])¶" &amp; "DESCRIPTION:   →ATO labour to turnover benchmark ratio.¶NOTES!         →(Wages + Contractors - AssociatePayments) / Turnover, where Wages is¶               →SalaryWages, or W1 when W1 is greater. The ATO adds total salary and¶               →wages expenses to contractor, subcontractor and commission expenses and¶               →deducts payments to associated persons. Where the activity statements'¶               →label W1 (total salary, wages and other payments) for the year exceeds¶               →the return's salary and wages, it uses W1. Returns a fraction, as¶               →ATOBenchmarkRatioλ() does. An omitted or blank AssociatePayments or W1¶               →counts as 0. Turnover of 0 returns #DIV/0!. Arithmetic only. ATO benchmark¶               →ratio calculations checked 19 October 2026.¶" &amp; "WEBPAGE:       →https://www.ato.gov.au/businesses-and-organisations/income-deductions-and-concessions/small-business-benchmarks/small-business-benchmarks-methodology-and-ratio-calculations/how-we-calculate-benchmark-ratios¶" &amp; "VERSION:       →19 Oct 2026¶" &amp; "PARAMETERS:    →¶" &amp; "SalaryWages    →(Required) Total salary and wages expenses from the return.¶" &amp; "Contractors    →(Required) Contractor, subcontractor and commission expenses.¶" &amp; "Turnover       →(Required) Turnover excluding GST, for example from ATOTurnoverλ().¶" &amp; "AssociatePayments→(Optional: Default = 0) Payments to associated persons.¶" &amp; "W1             →(Optional: Default = 0) The year's total at activity statement label W1.¶" &amp; "EXAMPLES:      →¶" &amp; "→Formula (oz is assumed to be the module's name)¶" &amp; "→=oz.ATOLabourRatioλ(90000, 20000, 480000, 10000, 95000)¶" &amp; "→Result¶" &amp; "→0.21875", "→", "¶" )), _xlpm.Help?, OR(_xlfn.ISOMITTED(_xlpm.SalaryWages), _xlfn.ISOMITTED(_xlpm.Contractors), _xlfn.ISOMITTED(_xlpm.Turnover)), _xlpm.Associates, IF(_xlfn.ISOMITTED(_xlpm.AssociatePayments), 0, IF(_xlpm.AssociatePayments = "", 0, IF(ISNUMBER(_xlpm.AssociatePayments), _xlpm.AssociatePayments, #VALUE!))), _xlpm.Activity, IF(_xlfn.ISOMITTED(_xlpm.W1), 0, IF(_xlpm.W1 = "", 0, IF(ISNUMBER(_xlpm.W1), _xlpm.W1, #VALUE!))), _xlpm.Wages, IF(_xlpm.Activity &gt; _xlpm.SalaryWages, _xlpm.Activity, _xlpm.SalaryWages), _xlpm.Result, (_xlpm.Wages + _xlpm.Contractors - _xlpm.Associates) / _xlpm.Turnover, CHOOSE( _xlpm.Help? + 1, _xlpm.Result, _xlpm.Help) ) )</definedName>
    <definedName name="oz.ATOTotalExpensesRatioλ" comment="ATO total expenses to turnover: total expenses less payments to associated persons, over turnover">_xlfn.LAMBDA(_xlop.TotalExpenses,_xlop.Turnover,_xlop.AssociatePayments, _xlfn.LET( _xlpm.Help, TRIM(_xlfn.TEXTSPLIT( "FUNCTION:      →ATOTotalExpensesRatioλ(TotalExpenses, Turnover, [AssociatePayments])¶" &amp; "DESCRIPTION:   →ATO total expenses to turnover benchmark ratio.¶NOTES!         →(TotalExpenses - AssociatePayments) / Turnover. The ATO deducts payments¶               →to associated persons from total expenses before dividing. Where total¶               →expenses is blank or incomplete, it adds up the expense items it lists¶               →for the return type: pass that total as TotalExpenses. OperatingRatioλ()¶               →gives the same quotient only when its expenses already exclude those¶               →payments and its net sales equal this Turnover. Returns a fraction, as¶               →ATOBenchmarkRatioλ() does. An omitted or blank AssociatePayments counts¶               →as 0. Turnover of 0 returns #DIV/0!. Arithmetic only. ATO benchmark ratio¶               →calculations checked 19 October 2026.¶" &amp; "WEBPAGE:       →https://www.ato.gov.au/businesses-and-organisations/income-deductions-and-concessions/small-business-benchmarks/small-business-benchmarks-methodology-and-ratio-calculations/how-we-calculate-benchmark-ratios¶" &amp; "VERSION:       →19 Oct 2026¶" &amp; "PARAMETERS:    →¶" &amp; "TotalExpenses  →(Required) Total expenses from the return, excluding GST.¶" &amp; "Turnover       →(Required) Turnover excluding GST, for example from ATOTurnoverλ().¶" &amp; "AssociatePayments→(Optional: Default = 0) Payments to associated persons.¶" &amp; "EXAMPLES:      →¶" &amp; "→Formula (oz is assumed to be the module's name)¶" &amp; "→=oz.ATOTotalExpensesRatioλ(410000, 480000, 30000)¶" &amp; "→Result¶" &amp; "→0.7917", "→", "¶" )), _xlpm.Help?, OR(_xlfn.ISOMITTED(_xlpm.TotalExpenses), _xlfn.ISOMITTED(_xlpm.Turnover)), _xlpm.Associates, IF(_xlfn.ISOMITTED(_xlpm.AssociatePayments), 0, IF(_xlpm.AssociatePayments = "", 0, IF(ISNUMBER(_xlpm.AssociatePayments), _xlpm.AssociatePayments, #VALUE!))), _xlpm.Result, (_xlpm.TotalExpenses - _xlpm.Associates) / _xlpm.Turnover, CHOOSE( _xlpm.Help? + 1, _xlpm.Result, _xlpm.Help) ) )</definedName>
    <definedName name="oz.ATOTurnoverλ" comment="Turnover as the ATO small business benchmarks measure it: other sales unless under half of total business income">_xlfn.LAMBDA(_xlop.OtherSales,_xlop.TotalBusinessIncome, _xlfn.LET( _xlpm.Help, TRIM(_xlfn.TEXTSPLIT( "FUNCTION:      →ATOTurnoverλ(OtherSales, TotalBusinessIncome)¶" &amp; "DESCRIPTION:   →Turnover excluding GST, the denominator of every ATO tax return benchmark ratio.¶NOTES!         →Returns OtherSales, unless it is zero, blank or less than half of¶               →TotalBusinessIncome, when it returns TotalBusinessIncome instead. That is¶               →the ATO's rule. OtherSales is the other sales of goods and services¶               →amount on the return. Where total business income is blank or¶               →incomplete, the ATO adds up the business income items it lists for the¶               →return type: pass that total as TotalBusinessIncome. Pass both amounts¶               →excluding GST. Text in either argument returns #VALUE!. Arithmetic only:¶               →the reviewer decides what belongs in each amount. ATO benchmark ratio¶               →calculations checked 19 October 2026.¶" &amp; "WEBPAGE:       →https://www.ato.gov.au/businesses-and-organisations/income-deductions-and-concessions/small-business-benchmarks/small-business-benchmarks-methodology-and-ratio-calculations/how-we-calculate-benchmark-ratios¶" &amp; "VERSION:       →19 Oct 2026¶" &amp; "PARAMETERS:    →¶" &amp; "OtherSales     →(Required) Other sales of goods and services, excluding GST.¶" &amp; "TotalBusinessIncome→(Required) Total business income, excluding GST.¶" &amp; "EXAMPLES:      →¶" &amp; "→Formula (oz is assumed to be the module's name)¶" &amp; "→=oz.ATOTurnoverλ(480000, 500000)¶" &amp; "→Result¶" &amp; "→480000¶" &amp; "→=oz.ATOTurnoverλ(200000, 500000)¶" &amp; "→Result¶" &amp; "→500000", "→", "¶" )), _xlpm.Help?, OR(_xlfn.ISOMITTED(_xlpm.OtherSales), _xlfn.ISOMITTED(_xlpm.TotalBusinessIncome)), _xlpm.Sales, IF(_xlpm.OtherSales = "", 0, IF(ISNUMBER(_xlpm.OtherSales), _xlpm.OtherSales, #VALUE!)), _xlpm.Income, IF(ISNUMBER(_xlpm.TotalBusinessIncome), _xlpm.TotalBusinessIncome, #VALUE!), _xlpm.Result, IF((_xlpm.Sales = 0) + (_xlpm.Sales &lt; _xlpm.Income / 2), _xlpm.Income, _xlpm.Sales), CHOOSE( _xlpm.Help? + 1, _xlpm.Result, _xlpm.Help) ) )</definedName>
    <definedName name="oz.AvgColsUλ" comment="Get the average for each Column">_xlfn.LAMBDA(_xlop.Array, _xlfn.LET(_xlpm.Help, TRIM(_xlfn.TEXTSPLIT("FUNCTION:      →AvgColsUλ(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"→=oz.AvgColsUλ( SEQUENCE(5,5))", "→", "¶")), _xlpm.Help?, _xlfn.ISOMITTED(_xlpm.Array), _xlpm.Result, _xlfn.BYCOL(_xlpm.Array, _xlfn.LAMBDA(_xlpm.Col, AVERAGE(_xlpm.Col))), CHOOSE(_xlpm.Help? + 1, _xlpm.Result, _xlpm.Help)))</definedName>
    <definedName name="oz.AvgColsλ" comment="Get the average for each Column">_xlfn.LAMBDA(_xlop.Array, _xlfn.LET(_xlpm.Help, TRIM(_xlfn.TEXTSPLIT("FUNCTION:      →AvgColsλ(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"→=oz.AvgColsλ( SEQUENCE(5,5))", "→", "¶")), _xlpm.Help?, _xlfn.ISOMITTED(_xlpm.Array), _xlpm.Result, _xlfn.BYCOL(_xlpm.Array, _xlfn.LAMBDA(_xlpm.Col, AVERAGE(_xlpm.Col))), CHOOSE(_xlpm.Help? + 1, _xlpm.Result, _xlpm.Help)))</definedName>
    <definedName name="oz.AvgRowsUλ" comment="Get the average for each row">_xlfn.LAMBDA(_xlop.Array, _xlfn.LET(_xlpm.Help, TRIM(_xlfn.TEXTSPLIT("FUNCTION:      →AvgRowsUλ(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"→=oz.AvgRowsUλ( SEQUENCE(5,5))", "→", "¶")), _xlpm.Help?, _xlfn.ISOMITTED(_xlpm.Array), _xlpm.Result, _xlfn.BYROW(_xlpm.Array, _xlfn.LAMBDA(_xlpm.Row, AVERAGE(_xlpm.Row))), CHOOSE(_xlpm.Help? + 1, _xlpm.Result, _xlpm.Help)))</definedName>
    <definedName name="oz.AvgRowsλ" comment="Get the average for each row">_xlfn.LAMBDA(_xlop.Array, _xlfn.LET(_xlpm.Help, TRIM(_xlfn.TEXTSPLIT("FUNCTION:      →AvgRowsλ(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"→=oz.AvgRowsλ( SEQUENCE(5,5))", "→", "¶")), _xlpm.Help?, _xlfn.ISOMITTED(_xlpm.Array), _xlpm.Result, _xlfn.BYROW(_xlpm.Array, _xlfn.LAMBDA(_xlpm.Row, AVERAGE(_xlpm.Row))), CHOOSE(_xlpm.Help? + 1, _xlpm.Result, _xlpm.Help)))</definedName>
    <definedName name="oz.BVPSλ" comment="Book value per share ratio is an indicator of the value of a company’s stock _x000a_(Shareholders' Equity - Preferred Stock)/Average Shares Outstanding)">_xlfn.LAMBDA(_xlop.ShareholdersEquity,_xlop.PreferredStock,_xlop.AverageSharesOutstanding, _xlfn.LET(_xlpm.Help, TRIM(_xlfn.TEXTSPLIT( "FUNCTION: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→20 Aug 2026¶" &amp; "PARAMETERS:→¶" &amp; "ShareholdersEquity →(Required) Shareholders' Equity (total assets - total liabilities), intangibles kept ¶" &amp; "PreferredStock     →(Required) Preferred Stock (securities that represent ownership in a corporation).¶" &amp; "AverageSharesOutstanding→(Required) Average Shares Out Standing ¶" &amp; "EXAMPLES:          →Formula (oz is assumed to be the module's name)¶" &amp; "5                  →=oz.BVPSλ(20.0, 5.0, AVERAGE( 2.9, 3.1) )", "→", "¶" ) ), _xlpm.Help?, OR( _xlfn.ISOMITTED( _xlpm.ShareholdersEquity), _xlfn.ISOMITTED( _xlpm.PreferredStock), _xlfn.ISOMITTED( _xlpm.AverageSharesOutstanding) ), _xlpm.Result, (_xlpm.ShareholdersEquity - _xlpm.PreferredStock)/_xlpm.AverageSharesOutstanding, CHOOSE(_xlpm.Help? + 1, _xlpm.Result, _xlpm.Help) ) )</definedName>
    <definedName name="oz.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→20 Aug 2026¶" &amp; "PARAMETERS:→¶" &amp; "SharePrice     →(Required) Current stock price ¶" &amp; "TenYearAverageEarningsInflationAdjusted→(Required) Average earnings per share for 10 years adjusted for inflation ¶" &amp; "EXAMPLES:      →Formula (oz is assumed to be the module's name)¶" &amp; "10             →=oz.CAPERatioλ( 100.0, 10.0  )", "→", "¶")), _xlpm.Help?, OR(_xlfn.ISOMITTED(_xlpm.SharePrice), _xlfn.ISOMITTED(_xlpm.TenYearAverageEarningsInflationAdjusted)), _xlpm.Result, _xlpm.SharePrice / _xlpm.TenYearAverageEarningsInflationAdjusted, CHOOSE(_xlpm.Help? + 1, _xlpm.Result, _xlpm.Help)))</definedName>
    <definedName name="oz.CashConversionCycleλ" comment="Cash conversion cycle in days: inventory days + WIP days + receivable days - payable days">_xlfn.LAMBDA(_xlop.InventoryDays,_xlop.ReceivableDays,_xlop.PayableDays,_xlop.WIPDays, _xlfn.LET( _xlpm.Help, TRIM(_xlfn.TEXTSPLIT( "FUNCTION:      →CashConversionCycleλ(InventoryDays, ReceivableDays, PayableDays, [WIPDays])¶" &amp; "DESCRIPTION:   →Cash conversion cycle: the days between paying suppliers and collecting from customers.¶NOTES!         →InventoryDays + WIPDays + ReceivableDays - PayableDays. Pass day counts,¶               →for example from DSIλ(), ReceivableDaysλ(), PayableDaysλ() and WIPDaysλ(),¶               →with every component on the same period basis. DSIλ() multiplies by 365¶               →and expects a full year's cost of goods sold, so for a shorter window¶               →annualise that window's cost of goods sold before passing it. A negative¶               →result means suppliers are paid after customers pay. An omitted or blank¶               →WIPDays counts as 0. Pass WIPDays only where WIP is not already in the¶               →inventory behind InventoryDays, or it is counted twice.¶" &amp; "WEBPAGE:       →https://github.com/ryanduguid/Ozzit/blob/main/docs/ratio-definitions.md¶" &amp; "VERSION:       →29 Sep 2026¶" &amp; "PARAMETERS:    →¶" &amp; "InventoryDays  →(Required) Inventory days, for example from DSIλ().¶" &amp; "ReceivableDays →(Required) Receivable days, for example from ReceivableDaysλ().¶" &amp; "PayableDays    →(Required) Payable days, for example from PayableDaysλ().¶" &amp; "WIPDays        →(Optional: Default = 0) Work in progress days, for example from WIPDaysλ().¶" &amp; "EXAMPLES:      →¶" &amp; "→Formula (oz is assumed to be the module's name)¶" &amp; "→=oz.CashConversionCycleλ(40.8949, 38.0208, 29.9487)¶" &amp; "→Result¶" &amp; "→48.967", "→", "¶" )), _xlpm.Help?, OR(_xlfn.ISOMITTED(_xlpm.InventoryDays), _xlfn.ISOMITTED(_xlpm.ReceivableDays), _xlfn.ISOMITTED(_xlpm.PayableDays)), _xlpm.WIPPart, IF(_xlfn.ISOMITTED(_xlpm.WIPDays), 0, IF(_xlpm.WIPDays = "", 0, _xlpm.WIPDays)), _xlpm.Result, _xlpm.InventoryDays + _xlpm.WIPPart + _xlpm.ReceivableDays - _xlpm.PayableDays, CHOOSE( _xlpm.Help? + 1, _xlpm.Result, _xlpm.Help) ) )</definedName>
    <definedName name="oz.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→20 Aug 2026¶" &amp; "PARAMETERS:→¶" &amp; "CashFlowFromOperatingActivities→(Required) Cash Flow From Operating Activities includes:¶" &amp; "→Net Income¶" &amp; "→Non-cash Expenses (Depreciation and Amortisation)¶" &amp; "→Change in Working Capital¶" &amp; "Revenue        →(Required) Revenue¶" &amp; "EXAMPLES:      →Formula (oz is assumed to be the module's name)¶" &amp; "50.8%          →=oz.CashFlowMarginλ( 2.695, 5.3 )", "→", "¶")), _xlpm.Help?, OR(_xlfn.ISOMITTED(_xlpm.CashFlowFromOperatingActivities), _xlfn.ISOMITTED(_xlpm.Revenue)), _xlpm.Result, _xlpm.CashFlowFromOperatingActivities / _xlpm.Revenue, CHOOSE(_xlpm.Help? + 1, _xlpm.Result, _xlpm.Help)))</definedName>
    <definedName name="oz.CashRatioλ" comment="Evaluates ability to repay short-term debt w/cash or near-cash resources _x000a_    (Cash and Cash Equivalents / Current Liabilities)">_xlfn.LAMBDA(_xlop.Cash,_xlop.Liabilities, _xlfn.LET(_xlpm.Help, TRIM(_xlfn.TEXTSPLIT( "FUNCTION:      →CashRatioλ( Cash, Liabilities)¶" &amp; "DESCRIPTION:   →Evaluates ability to repay short-term debt w/cash or near-cash resources¶" &amp; "→(Cash and Cash Equivalents / Current Liabilities)¶" &amp; "WEBPAGE:       →https://www.investopedia.com/terms/c/cash-ratio.asp ¶" &amp; "VERSION:       →20 Aug 2026¶" &amp; "PARAMETERS:→¶" &amp; "Cash           →(Required) Cash and Cash Equivalents¶" &amp; "Liabilities     →(Required) Current Liabilities. Includes: ¶" &amp; "→Accounts payable ¶" &amp; "→Wages ¶" &amp; "→Taxes payable ¶" &amp; "→Short-term debts ¶" &amp; "→Current portion of long-term debt ¶" &amp; "EXAMPLES:      →Formula (oz is assumed to be the module's name)¶" &amp; ".517409        →=oz.CashRatioλ( 63900000, 123500000)", "→", "¶" ) ), _xlpm.Help?, OR( _xlfn.ISOMITTED( _xlpm.Cash), _xlfn.ISOMITTED( _xlpm.Liabilities ) ), _xlpm.Result, _xlpm.Cash/_xlpm.Liabilities, CHOOSE(_xlpm.Help? + 1, _xlpm.Result, _xlpm.Help) ) )</definedName>
    <definedName name="oz.CorkScrewReversalλ" comment="Create a corkscrew where the opening balance is reversed in the next period based on a timing parameter.">_xlfn.LAMBDA(_xlop.Opening,_xlop.ReversalFlags,_xlop.Flow1,_xlop.Flow2,_xlop.Flow3,_xlop.Flow4, _xlfn.LET(_xlpm.Help, TRIM(_xlfn.TEXTSPLIT( "FUNCTION:      →CorkScrewReversalλ( Opening, ReversalFlags, Flow1, [Flow2], [Flow3], [Flow4])¶" &amp; "DESCRIPTION:   →Create a corkscrew where the opening balance is reversed in the next period based on a timing parameter¶" &amp; "WEBPAGE:       →https://github.com/ryanduguid/Ozzit¶" &amp; "VERSION:       →20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 _xlfn.ISOMITTED( _xlpm.Opening), _xlfn.ISOMITTED( _xlpm.ReversalFlags), _xlfn.ISOMITTED( _xlpm.Flow1)), _xlpm.Cols, COLUMNS(_xlpm.Flow1), _xlpm.Rows, IF(_xlfn.ISOMITTED(_xlpm.Flow2), 1, IF(_xlfn.ISOMITTED(_xlpm.Flow3), 2, IF(_xlfn.ISOMITTED(_xlpm.Flow4), 3, 4) ) ), _xlpm.PeriodArray, _xlfn.SWITCH(_xlpm.Rows, 1, _xlpm.Flow1, 2, _xlfn.VSTACK(_xlpm.Flow1, _xlpm.Flow2), 3, _xlfn.VSTACK(_xlpm.Flow1, _xlpm.Flow2, _xlpm.Flow3), 4, _xlfn.VSTACK(_xlpm.Flow1, _xlpm.Flow2, _xlpm.Flow3, _xlpm.Flow4) ), _xlpm.PeriodTotal, _xlfn.BYCOL(_xlpm.PeriodArray, _xlfn.LAMBDA(_xlpm.Col, SUM(_xlpm.Col))), _xlpm.Flags, INDEX( _xlpm.ReversalFlags, 1, _xlfn.SEQUENCE( , _xlpm.Cols)), _xlpm.Closings, _xlfn.SCAN( _xlpm.Opening, _xlfn.SEQUENCE( , _xlpm.Cols), _xlfn.LAMBDA(_xlpm.Acc,_xlpm.Col, _xlpm.Acc * ( 1 - INDEX( _xlpm.Flags, 1, _xlpm.Col)) + INDEX( _xlpm.PeriodTotal, 1, _xlpm.Col) ) ), _xlpm.Openings, IF( _xlpm.Cols = 1, _xlpm.Opening, _xlfn.HSTACK( _xlpm.Opening, _xlfn.DROP( _xlpm.Closings, , -1))), _xlpm.Reversals, -_xlpm.Flags * _xlpm.Openings, _xlpm.Result, _xlfn.VSTACK( _xlpm.Openings, _xlpm.Reversals, _xlpm.PeriodArray, _xlpm.Closings), CHOOSE(_xlpm.Help? + 1, _xlpm.Result, _xlpm.Help) ) )</definedName>
    <definedName name="oz.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→https://github.com/ryanduguid/Ozzit¶" &amp; "VERSION:       →20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oz is assumed to be the module's name¶" &amp; "Formula:       →=oz.Corkscrewλ(0,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oz.CorkscrewλDV" comment="Provides extended data validation of arguments for Corkscrewλ.">_xlfn.LAMBDA(_xlop.Opening,_xlop.Flow1,_xlop.Flow2,_xlop.Flow3,_xlop.Flow4,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_xlfn.VSTACK(_xlpm.ErrorsInArgs,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oz.CountAColsUλ" comment="Count everything in each column">_xlfn.LAMBDA(_xlop.Array, _xlfn.LET(_xlpm.Help, TRIM(_xlfn.TEXTSPLIT("FUNCTION:      →CountAColsUλ(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"→=oz.CountAColsUλ( CHOOSE( RANDARRAY( 5, 5, 1, 5),""A"", ""B"", """", 1, 2))", "→", "¶")), _xlpm.Help?, _xlfn.ISOMITTED(_xlpm.Array), _xlpm.Result, _xlfn.BYCOL(_xlpm.Array, _xlfn.LAMBDA(_xlpm.Col, COUNTA(_xlpm.Col))), CHOOSE(_xlpm.Help? + 1, _xlpm.Result, _xlpm.Help)))</definedName>
    <definedName name="oz.CountAColsλ" comment="Count everything in each column">_xlfn.LAMBDA(_xlop.Array, _xlfn.LET(_xlpm.Help, TRIM(_xlfn.TEXTSPLIT("FUNCTION:      →CountAColsλ(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"→=oz.CountAColsλ( CHOOSE( RANDARRAY( 5, 5, 1, 5),""A"", ""B"", """", 1, 2))", "→", "¶")), _xlpm.Help?, _xlfn.ISOMITTED(_xlpm.Array), _xlpm.Result, _xlfn.BYCOL(_xlpm.Array, _xlfn.LAMBDA(_xlpm.Col, COUNTA(_xlpm.Col))), CHOOSE(_xlpm.Help? + 1, _xlpm.Result, _xlpm.Help)))</definedName>
    <definedName name="oz.CountARowsUλ" comment="Count everything in each row">_xlfn.LAMBDA(_xlop.Array, _xlfn.LET(_xlpm.Help, TRIM(_xlfn.TEXTSPLIT("FUNCTION:      →CountARowsUλ(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"→=oz.CountARowsUλ( CHOOSE( RANDARRAY( 5, 5, 1, 5),""A"", ""B"", """", 1, 2))", "→", "¶")), _xlpm.Help?, _xlfn.ISOMITTED(_xlpm.Array), _xlpm.Result, _xlfn.BYROW(_xlpm.Array, _xlfn.LAMBDA(_xlpm.Row, COUNTA(_xlpm.Row))), CHOOSE(_xlpm.Help? + 1, _xlpm.Result, _xlpm.Help)))</definedName>
    <definedName name="oz.CountARowsλ" comment="Count everything in each row">_xlfn.LAMBDA(_xlop.Array, _xlfn.LET(_xlpm.Help, TRIM(_xlfn.TEXTSPLIT("FUNCTION:      →CountARowsλ(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"→=oz.CountARowsλ( CHOOSE( RANDARRAY( 5, 5, 1, 5),""A"", ""B"", """", 1, 2))", "→", "¶")), _xlpm.Help?, _xlfn.ISOMITTED(_xlpm.Array), _xlpm.Result, _xlfn.BYROW(_xlpm.Array, _xlfn.LAMBDA(_xlpm.Row, COUNTA(_xlpm.Row))), CHOOSE(_xlpm.Help? + 1, _xlpm.Result, _xlpm.Help)))</definedName>
    <definedName name="oz.CountColsUλ" comment="Count numbers in each column">_xlfn.LAMBDA(_xlop.Array, _xlfn.LET(_xlpm.Help, TRIM(_xlfn.TEXTSPLIT("FUNCTION:      →CountColsUλ(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"→=oz.CountColsUλ( CHOOSE( RANDARRAY( 5, 5, 1, 5),""A"", ""B"", """", 1, 2))", "→", "¶")), _xlpm.Help?, _xlfn.ISOMITTED(_xlpm.Array), _xlpm.Result, _xlfn.BYCOL(_xlpm.Array, _xlfn.LAMBDA(_xlpm.Col, COUNT(_xlpm.Col))), CHOOSE(_xlpm.Help? + 1, _xlpm.Result, _xlpm.Help)))</definedName>
    <definedName name="oz.CountColsλ" comment="Count numbers in each column">_xlfn.LAMBDA(_xlop.Array, _xlfn.LET(_xlpm.Help, TRIM(_xlfn.TEXTSPLIT("FUNCTION:      →CountColsλ(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"→=oz.CountColsλ( CHOOSE( RANDARRAY( 5, 5, 1, 5),""A"", ""B"", """", 1, 2))", "→", "¶")), _xlpm.Help?, _xlfn.ISOMITTED(_xlpm.Array), _xlpm.Result, _xlfn.BYCOL(_xlpm.Array, _xlfn.LAMBDA(_xlpm.Col, COUNT(_xlpm.Col))), CHOOSE(_xlpm.Help? + 1, _xlpm.Result, _xlpm.Help)))</definedName>
    <definedName name="oz.CountCUλ" comment="Count occurrences of character(s) in a string">_xlfn.LAMBDA(_xlop.Text,_xlop.Characters, _xlfn.LET(_xlpm.Help, TRIM(_xlfn.TEXTSPLIT( "FUNCTION:      →CountCUλ( Text, Characters)¶" &amp; "DESCRIPTION:   →Count how many of one or more characters are in a string.¶" &amp; "WEBPAGE:       →https://github.com/ryanduguid/Ozzit¶" &amp; "VERSION:       →20 Aug 2026¶" &amp; "PARAMETERS:    →¶" &amp; "Text           →(Required) The string to interrogate. Empty text returns 0¶" &amp; "Characters     →(Required) A single character, or CSV of characters to find in Text¶" &amp; "→NOTE! Case sensitive. A single character is taken as itself, so a comma works¶" &amp; "EXAMPLES:      →Formula (oz is assumed to be the module's name)¶" &amp; "→=oz.CountCUλ( ""Mary had a little lamb"", ""a,b"")", "→", "¶" ) ), _xlpm.Help?, OR( _xlfn.ISOMITTED( _xlpm.Text), _xlfn.ISOMITTED( _xlpm.Characters) ), _xlpm.Characters, IF( LEN( _xlpm.Characters) = 1, _xlpm.Characters, _xlfn.TEXTSPLIT( _xlpm.Characters, "," )), _xlpm.Result, IF( LEN( _xlpm.Text) = 0, 0, LEN( _xlpm.Text) - SUM( LEN( _xlfn.TEXTSPLIT( _xlpm.Text, _xlpm.Characters)))), CHOOSE(_xlpm.Help? + 1, _xlpm.Result, _xlpm.Help) ) )</definedName>
    <definedName name="oz.CountCλ" comment="Count occurrences of character(s) in a string">_xlfn.LAMBDA(_xlop.Text,_xlop.Characters, _xlfn.LET(_xlpm.Help, TRIM(_xlfn.TEXTSPLIT( "FUNCTION:      →CountCλ( Text, Characters)¶" &amp; "DESCRIPTION:   →Count how many of one or more characters are in a string.¶" &amp; "WEBPAGE:       →https://github.com/ryanduguid/Ozzit¶" &amp; "VERSION:       →20 Aug 2026¶" &amp; "PARAMETERS:    →¶" &amp; "Text           →(Required) The string to interrogate. Empty text returns 0¶" &amp; "Characters     →(Required) A single character, or CSV of characters to find in Text¶" &amp; "→NOTE! Case sensitive. A single character is taken as itself, so a comma works¶" &amp; "EXAMPLES:      →Formula (oz is assumed to be the module's name)¶" &amp; "→=oz.CountCλ( ""Mary had a little lamb"", ""a,b"")", "→", "¶" ) ), _xlpm.Help?, OR( _xlfn.ISOMITTED( _xlpm.Text), _xlfn.ISOMITTED( _xlpm.Characters) ), _xlpm.Characters, IF( LEN( _xlpm.Characters) = 1, _xlpm.Characters, _xlfn.TEXTSPLIT( _xlpm.Characters, "," )), _xlpm.Result, IF( LEN( _xlpm.Text) = 0, 0, LEN( _xlpm.Text) - SUM( LEN( _xlfn.TEXTSPLIT( _xlpm.Text, _xlpm.Characters)))), CHOOSE(_xlpm.Help? + 1, _xlpm.Result, _xlpm.Help) ) )</definedName>
    <definedName name="oz.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→https://github.com/ryanduguid/Ozzit¶" &amp; "PARAMETERS:    →¶" &amp; "Starts         →(Required) One of more start dates (text or numeric) in a row or column¶" &amp; "Ends           →(Required) End dates (text or numeric) for each start date¶" &amp; "DayOfWeek      →(Required) 1=Sunday, 7=Saturday.¶" &amp; "EXAMPLES:      →¶" &amp; "Result         →Formula (oz is assumed to be the module's name)¶" &amp; "3              →=oz.CountDOWλ(""23/7/2026"", ""11/8/2026"",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oz.CountRowsUλ" comment="Count numbers in each row">_xlfn.LAMBDA(_xlop.Array, _xlfn.LET(_xlpm.Help, TRIM(_xlfn.TEXTSPLIT("FUNCTION:      →CountRowsUλ(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"→=oz.CountRowsUλ( CHOOSE( RANDARRAY( 5, 5, 1, 5),""A"", ""B"", """", 1, 2))", "→", "¶")), _xlpm.Help?, _xlfn.ISOMITTED(_xlpm.Array), _xlpm.Result, _xlfn.BYROW(_xlpm.Array, _xlfn.LAMBDA(_xlpm.Row, COUNT(_xlpm.Row))), CHOOSE(_xlpm.Help? + 1, _xlpm.Result, _xlpm.Help)))</definedName>
    <definedName name="oz.CountRowsλ" comment="Count numbers in each row">_xlfn.LAMBDA(_xlop.Array, _xlfn.LET(_xlpm.Help, TRIM(_xlfn.TEXTSPLIT("FUNCTION:      →CountRowsλ(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"→=oz.CountRowsλ( CHOOSE( RANDARRAY( 5, 5, 1, 5),""A"", ""B"", """", 1, 2))", "→", "¶")), _xlpm.Help?, _xlfn.ISOMITTED(_xlpm.Array), _xlpm.Result, _xlfn.BYROW(_xlpm.Array, _xlfn.LAMBDA(_xlpm.Row, COUNT(_xlpm.Row))), CHOOSE(_xlpm.Help? + 1, _xlpm.Result, _xlpm.Help)))</definedName>
    <definedName name="oz.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→https://github.com/ryanduguid/Ozzit¶" &amp; "VERSION:       →20 Aug 2026¶" &amp; "PARAMETERS:    →¶" &amp; "Totals         →(Required) A row or column of totals from which to run cumulative totals¶" &amp; "OpeningBalance →(Optional) A starting balance. This defaults to 0¶" &amp; "EXAMPLES:      →¶" &amp; "Result         →Formula (oz is assumed to be the module's name)¶" &amp; "1,3,6          →=oz.Cumulativeλ(Sequence(,3))", "→", "¶")), _xlpm.Help?, _xlfn.ISOMITTED(_xlpm.Totals), _xlpm.Result, _xlfn.SCAN(_xlpm.OpeningBalance, _xlpm.Totals, _xlfn.LAMBDA(_xlpm.PreviousAmount,_xlpm.CurrentAmount, _xlpm.PreviousAmount + _xlpm.CurrentAmount)), CHOOSE(_xlpm.Help? + 1, _xlpm.Result, _xlpm.Help)))</definedName>
    <definedName name="oz.CurrentRatioλ" comment="Measures a company’s ability to pay short-term obligations (Current Assets/Liabilities)">_xlfn.LAMBDA(_xlop.Assets,_xlop.Liabilities, _xlfn.LET(_xlpm.Help, TRIM(_xlfn.TEXTSPLIT( "FUNCTION:      →CurrentRatioλ( Assets, Liabilities)¶" &amp; "DESCRIPTION:   →Measures a company’s ability to pay short-term obligations  ¶" &amp; "→(Current Assets/Liabilities)¶" &amp; "WEBPAGE:       →https://www.investopedia.com/terms/c/currentratio.asp ¶" &amp; "VERSION:       →20 Aug 2026¶" &amp; "PARAMETERS:→¶" &amp; "Assets         →(Required) Current Assets. Includes: ¶" &amp; "→Cash ¶" &amp; "→Accounts receivable ¶" &amp; "→Inventory ¶" &amp; "→Vendor non-trade receivables ¶" &amp; "→Assets expected to be liquidated in the current year ¶" &amp; "→Marketable securities ¶" &amp; "→PPE only when it meets current-asset classification criteria ¶" &amp; "Liabilities     →(Required) Current Liabilities. Includes: ¶" &amp; "→Accounts payable ¶" &amp; "→Wages ¶" &amp; "→Taxes payable ¶" &amp; "→Short-term debts ¶" &amp; "→Current portion of long-term debt ¶" &amp; "EXAMPLES:      →Formula (oz is assumed to be the module's name)¶" &amp; "1.075          →=oz.CurrentRatioλ( 134.836, 125.481)", "→", "¶" ) ), _xlpm.Help?, OR( _xlfn.ISOMITTED( _xlpm.Assets), _xlfn.ISOMITTED( _xlpm.Liabilities ) ), _xlpm.Result, _xlpm.Assets/_xlpm.Liabilities, CHOOSE(_xlpm.Help? + 1, _xlpm.Result, _xlpm.Help) ) )</definedName>
    <definedName name="oz.DateDifλ" comment="Whole years, months or days between two dates, and the remainders DATEDIF gets wrong">_xlfn.LAMBDA(_xlop.StartDate,_xlop.EndDate,_xlop.Unit, _xlfn.LET( _xlpm.Help, TRIM(_xlfn.TEXTSPLIT( "FUNCTION:      →DateDifλ(StartDate, EndDate, [Unit])¶" &amp; "DESCRIPTION:   →Whole years, months or days between two dates, and the remainders.¶NOTES!         →Excel documents DATEDIF as a legacy compatibility function and warns¶               →its MD unit can return a negative or wrong day count. This counts a¶               →month as complete when EDATE() of the start date has arrived, so a¶               →month after 31 January is the last day of February, and takes every¶               →remainder from there. A reversed range or an unknown unit returns #NUM!.¶" &amp; "WEBPAGE:       →https://github.com/ryanduguid/Ozzit¶" &amp; "VERSION:       →6 Sep 2026¶" &amp; "PARAMETERS:    →¶" &amp; "StartDate      →(Required) The earlier date, numeric or text.¶" &amp; "EndDate        →(Required) The later date, numeric or text.¶" &amp; "Unit           →(Optional: Default = D) Y whole years, M whole months, D days, YM months left after the whole years, YD days left after the whole years, MD days left after the whole months.¶" &amp; "EXAMPLES:      →¶" &amp; "→Formula (oz is assumed to be the module's name)¶" &amp; "→=oz.DateDifλ(DATE(2026,1,31), DATE(2026,3,1), ""MD"")¶" &amp; "→Result¶" &amp; "→1", "→", "¶" )), _xlpm.Help?, OR(_xlfn.ISOMITTED(_xlpm.StartDate), _xlfn.ISOMITTED(_xlpm.EndDate)), _xlpm.Start, IF(ISNUMBER(_xlpm.StartDate), _xlpm.StartDate, DATEVALUE(_xlpm.StartDate)), _xlpm.Finish, IF(ISNUMBER(_xlpm.EndDate), _xlpm.EndDate, DATEVALUE(_xlpm.EndDate)), _xlpm.Code, IF(_xlfn.ISOMITTED(_xlpm.Unit), "D", IF(_xlpm.Unit = "", "D", UPPER(_xlpm.Unit))), _xlpm.RawMonths, 12 * (YEAR(_xlpm.Finish) - YEAR(_xlpm.Start)) + MONTH(_xlpm.Finish) - MONTH(_xlpm.Start), _xlpm.Months, _xlpm.RawMonths - (EDATE(_xlpm.Start, _xlpm.RawMonths) &gt; _xlpm.Finish), _xlpm.Years, INT(_xlpm.Months / 12), _xlpm.Result, IF(_xlpm.Finish &lt; _xlpm.Start, #NUM!, _xlfn.SWITCH(_xlpm.Code, "Y", _xlpm.Years, "M", _xlpm.Months, "D", _xlpm.Finish - _xlpm.Start, "YM", _xlpm.Months - 12 * _xlpm.Years, "YD", _xlpm.Finish - EDATE(_xlpm.Start, 12 * _xlpm.Years), "MD", _xlpm.Finish - EDATE(_xlpm.Start, _xlpm.Months), #NUM!)), CHOOSE( _xlpm.Help? + 1, _xlpm.Result, _xlpm.Help) ) )</definedName>
    <definedName name="oz.DayCountRateλ" comment="Interest rate for each period of a timeline under a day count convention: 30/360, Actual/360, Actual/365 or Actual/Actual">_xlfn.LAMBDA(_xlop.Timeline,_xlop.APR,_xlop.Convention,_xlop.EndDates, _xlfn.LET( _xlpm.Help, TRIM(_xlfn.TEXTSPLIT( "FUNCTION:      →DayCountRateλ(Timeline, APR, [Convention], [EndDates])¶" &amp; "DESCRIPTION:   →Interest rate for each period of a timeline under a day count convention.¶NOTES!         →Returns a row with one rate per timeline period, whichever way the¶               →timeline runs: APR multiplied by the days in the period and divided by¶               →the days in the year, as the convention counts them. Pass the result to¶               →DebtSculptVariableλ() or DebtSculptVariableLRVλ() as PeriodRates in place¶               →of a flat twelfth of the APR. With start dates each period runs from its¶               →date to the day before the next, and the last period takes its length¶               →from the one before it; with end dates each runs from the day after the¶               →previous date to its own, and the first period is the one inferred. A¶               →gap of 28 days or more is read as whole calendar months, a shorter one¶               →as days. 30/360 counts every month as 30 days on the European rule.¶               →Under Actual/Actual each calendar year uses its own length as the¶               →denominator (the ISDA rule), including periods spanning several years.¶" &amp; "WEBPAGE:       →https://github.com/ryanduguid/Ozzit¶" &amp; "VERSION:       →10 Sep 2026¶" &amp; "PARAMETERS:    →¶" &amp; "Timeline       →(Required) A row or column of period dates, at least two, evenly spaced.¶" &amp; "APR            →(Required) Annual percentage rate, one value or one per period.¶" &amp; "Convention     →(Optional: Default = 3) 1 = 30/360, 2 = Actual/360, 3 = Actual/365, 4 = Actual/Actual. Any other number is #VALUE!.¶" &amp; "EndDates       →(Optional: Default = FALSE) TRUE, or a number other than 0, when the timeline shows period end dates rather than start dates.¶" &amp; "EXAMPLES:      →¶" &amp; "→Formula (oz is assumed to be the module's name)¶" &amp; "→=oz.DayCountRateλ(EDATE(DATE(2026,7,1), {0,1,2}), 0.073)¶" &amp; "→Result¶" &amp; "→0.0062, 0.0062, 0.0060", "→", "¶" )), _xlpm.Help?, OR(_xlfn.ISOMITTED(_xlpm.Timeline), _xlfn.ISOMITTED(_xlpm.APR)), _xlpm.Method, IF(OR(_xlfn.ISOMITTED(_xlpm.Convention), NOT(ISNUMBER(_xlpm.Convention))), 3, _xlpm.Convention), _xlpm.EndFlag, IF(ISLOGICAL(_xlpm.EndDates), _xlpm.EndDates, IF(ISNUMBER(_xlpm.EndDates), _xlpm.EndDates &lt;&gt; 0, FALSE)), _xlpm.Row, IF(ROWS(_xlpm.Timeline) = 1, _xlpm.Timeline, TRANSPOSE(_xlpm.Timeline)), _xlpm.Dates, IF(ISNUMBER(_xlpm.Row), _xlpm.Row, DATEVALUE(_xlpm.Row)), _xlpm.Rate, IF(ROWS(_xlpm.APR) = 1, _xlpm.APR, TRANSPOSE(_xlpm.APR)), _xlpm.Count, COLUMNS(_xlpm.Dates), _xlpm.FirstGap, INDEX(_xlpm.Dates, 1, 2) - INDEX(_xlpm.Dates, 1, 1), _xlpm.LastGap, INDEX(_xlpm.Dates, 1, _xlpm.Count) - INDEX(_xlpm.Dates, 1, _xlpm.Count - 1), _xlpm.FirstDate, INDEX(_xlpm.Dates, 1, 1), _xlpm.FirstMonths, ROUND(_xlpm.FirstGap / 30.5, 0), _xlpm.FirstStart, IF(_xlpm.FirstGap &lt; 28, _xlpm.FirstDate - _xlpm.FirstGap, IF(DAY(_xlpm.FirstDate + 1) = 1, EOMONTH(_xlpm.FirstDate, -_xlpm.FirstMonths), EDATE(_xlpm.FirstDate, -_xlpm.FirstMonths))) + 1, _xlpm.LastDate, INDEX(_xlpm.Dates, 1, _xlpm.Count), _xlpm.LastMonths, ROUND(_xlpm.LastGap / 30.5, 0), _xlpm.LastEnd, IF(_xlpm.LastGap &lt; 28, _xlpm.LastDate + _xlpm.LastGap, IF(DAY(_xlpm.LastDate + 1) = 1, EOMONTH(_xlpm.LastDate, _xlpm.LastMonths), EDATE(_xlpm.LastDate, _xlpm.LastMonths))) - 1, _xlpm.Starts, IF(_xlpm.EndFlag, _xlfn.HSTACK(_xlpm.FirstStart, _xlfn.DROP(_xlpm.Dates, , -1) + 1), _xlpm.Dates), _xlpm.Ends, IF(_xlpm.EndFlag, _xlpm.Dates, _xlfn.HSTACK(_xlfn.DROP(_xlpm.Dates, , 1) - 1, _xlpm.LastEnd)), _xlpm.Next, _xlpm.Ends + 1, _xlpm.Days, IF(_xlpm.Method = 1, 360 * (YEAR(_xlpm.Next) - YEAR(_xlpm.Starts)) + 30 * (MONTH(_xlpm.Next) - MONTH(_xlpm.Starts)) + IF(DAY(_xlpm.Next) &gt; 30, 30, DAY(_xlpm.Next)) - IF(DAY(_xlpm.Starts) &gt; 30, 30, DAY(_xlpm.Starts)), _xlpm.Next - _xlpm.Starts), _xlpm.YearOne, YEAR(_xlpm.Starts), _xlpm.Boundary, DATE(_xlpm.YearOne + 1, 1, 1), _xlpm.Split, IF(_xlpm.Next &lt; _xlpm.Boundary, _xlpm.Next, _xlpm.Boundary), _xlpm.DaysOne, IF(DAY(DATE(_xlpm.YearOne, 2, 29)) = 29, 366, 365), _xlpm.YearLast, YEAR(_xlpm.Next), _xlpm.LastYearStart, DATE(_xlpm.YearLast, 1, 1), _xlpm.DaysLast, DATE(_xlpm.YearLast + 1, 1, 1) - _xlpm.LastYearStart, _xlpm.Fraction, _xlfn.SWITCH(_xlpm.Method, 1, _xlpm.Days / 360, 2, _xlpm.Days / 360, 4, (_xlpm.Split - _xlpm.Starts) / _xlpm.DaysOne + IF(_xlpm.YearLast &gt; _xlpm.YearOne, _xlpm.YearLast - _xlpm.YearOne - 1 + (_xlpm.Next - _xlpm.LastYearStart) / _xlpm.DaysLast, 0), _xlpm.Days / 365), _xlpm.Rates, _xlpm.Rate * _xlpm.Fraction, _xlpm.Result, IF(OR(_xlpm.Count &lt; 2, NOT(OR(_xlpm.Method = {1,2,3,4}))), #VALUE!, _xlpm.Rates), CHOOSE( _xlpm.Help? + 1, _xlpm.Result, _xlpm.Help) ) )</definedName>
    <definedName name="oz.DBλ" comment="Fixed declining balance depreciation method for one asset or asset class.">_xlfn.LAMBDA(_xlop.Cost,_xlop.Salvage,_xlop.Life,_xlop.Months, _xlfn.LET( _xlpm.Help, TRIM(_xlfn.TEXTSPLIT( "FUNCTION:      →DBλ(Cost, Salvage, Life, [Months])¶" &amp; "DESCRIPTION:   →Fixed declining balance depreciation method for one asset or asset class¶" &amp; "WEBPAGE:       →https://github.com/ryanduguid/Ozzit¶" &amp; "VERSION:       →20 Aug 2026¶" &amp; "NOTES:         →For a positive whole-number Life, returns Life schedule values.¶" &amp; "               →The first Life-1 values use Excel's DB calculation.¶" &amp; "               →The final value makes total depreciation equal Cost minus Salvage.¶" &amp; "               →Months applies to the first of those earlier values; no extra final period is added.¶" &amp; "               →A one-year life returns Cost minus Salvage, regardless of Months.¶" &amp; "PARAMETERS:    →¶" &amp; "Cost           →(Required) Asset's initial cost.¶" &amp; "Salvage        →(Required) Asset's value at the end of its life. May be 0.¶" &amp; "Life           →(Required) Asset's useful life in years.¶" &amp; "Months         →(Optional) Number of months in the first year to depreciate.¶" &amp; "EXAMPLES:      →¶" &amp; "→Formula (oz is assumed to be the module's name)¶" &amp; "→=oz.DBλ(1000, 100, 5)¶" &amp; "→Result¶" &amp; "→369.00,232.84,146.92,92.71,58.53", "→", "¶" ) ), _xlpm.Help?, OR( _xlfn.ISOMITTED( _xlpm.Cost), _xlfn.ISOMITTED( _xlpm.Salvage), _xlfn.ISOMITTED( _xlpm.Life) ), _xlpm.Months, IF( _xlfn.ISOMITTED( _xlpm.Months), 12, _xlpm.Months), _xlpm.Depn, DB( _xlpm.Cost, _xlpm.Salvage, _xlpm.Life, _xlfn.SEQUENCE( , MAX( _xlpm.Life - 1, 1)), _xlpm.Months), _xlpm.Result, IF( _xlpm.Life &lt; 2, _xlpm.Cost - _xlpm.Salvage, _xlfn.HSTACK( _xlpm.Depn, _xlpm.Cost - SUM( _xlpm.Depn) - _xlpm.Salvage)), CHOOSE( _xlpm.Help? + 1, _xlpm.Result, _xlpm.Help) ) )</definedName>
    <definedName name="oz.DDBλ" comment="Double-declining balance depreciation method for one asset or asset class.">_xlfn.LAMBDA(_xlop.Cost,_xlop.Salvage,_xlop.Life,_xlop.Factor, _xlfn.LET( _xlpm.Help, TRIM(_xlfn.TEXTSPLIT( "FUNCTION:      →DDBλ(Cost, Salvage, Life, [Factor])¶" &amp; "DESCRIPTION:   →Double-declining balance depreciation method for one asset or asset class.¶" &amp; "WEBPAGE:       →https://github.com/ryanduguid/Ozzit¶" &amp; "VERSION:       →20 Aug 2026¶" &amp; "NOTES:         →For a positive whole-number Life, returns Life schedule values.¶" &amp; "               →The first Life-1 values use Excel's DDB calculation.¶" &amp; "               →The final value makes total depreciation equal Cost minus Salvage.¶" &amp; "               →A one-year life returns Cost minus Salvage, regardless of Factor.¶" &amp; "PARAMETERS:    →¶" &amp; "Cost           →(Required) Asset's initial cost.¶" &amp; "Salvage        →(Required) Asset's value at the end of its life. May be 0.¶" &amp; "Life           →(Required) Asset's useful life in years.¶" &amp; "Factor         →(Optional Default=2) Rate at which the balance declines.¶" &amp; "EXAMPLES:      →¶" &amp; "→Formula (oz is assumed to be the module's name)¶" &amp; "→=oz.DDBλ(1000, 100, 5)¶" &amp; "→Result¶" &amp; "→400.00,240.00,144.00,86.40,29.60", "→", "¶" ) ), _xlpm.Help?, OR( _xlfn.ISOMITTED( _xlpm.Cost), _xlfn.ISOMITTED( _xlpm.Salvage), _xlfn.ISOMITTED( _xlpm.Life) ), _xlpm.Factor, IF( _xlfn.ISOMITTED( _xlpm.Factor), 2, _xlpm.Factor), _xlpm.Depn, DDB( _xlpm.Cost, _xlpm.Salvage, _xlpm.Life, _xlfn.SEQUENCE( , MAX( _xlpm.Life - 1, 1)), _xlpm.Factor), _xlpm.Result, IF( _xlpm.Life &lt; 2, _xlpm.Cost - _xlpm.Salvage, _xlfn.HSTACK( _xlpm.Depn, _xlpm.Cost - SUM( _xlpm.Depn) - _xlpm.Salvage)), CHOOSE( _xlpm.Help? + 1, _xlpm.Result, _xlpm.Help) ) )</definedName>
    <definedName name="oz.DebtRatioλ" comment="Measures the extent of a company’s gearing">_xlfn.LAMBDA(_xlop.TotalDebt,_xlop.TotalAssets, _xlfn.LET(_xlpm.Help, TRIM(_xlfn.TEXTSPLIT( "FUNCTION:      →DebtRatioλ( TotalDebt, TotalAssets)¶" &amp; "DESCRIPTION:   →Measures the extent of a company’s leverage (TotalDebt/TotalAssets)¶" &amp; "WEBPAGE:       →https://www.investopedia.com/terms/d/debtratio.asp# ¶" &amp; "VERSION:       →20 Aug 2026¶" &amp; "PARAMETERS:→¶" &amp; "TotalDebt      →(Required) Total Debt ¶" &amp; "TotalAssets    →(Required) Total Assets ¶" &amp; "SEE ALSO:      →DebtToAssetRatioλ computes the same ratio under its longer name.¶" &amp; "EXAMPLES:      →Formula (oz is assumed to be the module's name)¶" &amp; ".3             →=oz.DebtRatioλ(30.0, 100.0)", "→", "¶" ) ), _xlpm.Help?, OR( _xlfn.ISOMITTED( _xlpm.TotalDebt), _xlfn.ISOMITTED( _xlpm.TotalAssets) ), _xlpm.Result, _xlpm.TotalDebt/_xlpm.TotalAssets, CHOOSE(_xlpm.Help? + 1, _xlpm.Result, _xlpm.Help) ) )</definedName>
    <definedName name="oz.DebtSculptFixedλ" comment="Creates a debt sculpting schedule where APR and DSCR are fixed for all periods">_xlfn.LAMBDA(_xlop.OpeningBalance,_xlop.Debt,_xlop.CFADS,_xlop.DSCR,_xlop.APR,_xlop.MonthsPerPeriod, _xlfn.LET(_xlpm.Help, TRIM(_xlfn.TEXTSPLIT( "FUNCTION:          →DebtSculptFixedλ([OpeningBalance], Debt, CFADS, DSCR, APR, [MonthsPerPeriod])¶" &amp; "DESCRIPTION:       →Creates a Debt Sculpting schedule where APR and DSCR are fixed for all periods¶" &amp; "SUGGESTED ROW IDS: →Debt opening balance¶" &amp; "                   →Interest on Principal Balance¶" &amp; "                   →Debt service (interest and principal)¶"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Debt Service Coverage Ratio, one number for all periods¶" &amp; "APR                →(Required) Interest's Annual Percentage Rate, one number for all periods¶" &amp; "MonthsPerPeriod    →(Optional) Defaults to one month per period.¶" &amp; "EXAMPLES:          →¶" &amp; "Result             →Formula (oz is assumed to be the module's name)¶" &amp; "4 rows, 3 cols     →=oz.DebtSculptFixedλ(, {1000,0,0}, {300,300,300}, 1.2, 6%, 12)", "→", "¶" ) ), _xlpm.Help?, OR( _xlfn.ISOMITTED( _xlpm.Debt), _xlfn.ISOMITTED( _xlpm.CFADS), _xlfn.ISOMITTED( _xlpm.DSCR), _xlfn.ISOMITTED( _xlpm.APR) ), _xlpm.ErrMsgs, {"Debt must be one row of new debt with at least two periods";"CFADS must be one row with the same number of periods as Debt";"DSCR must be a single positive number holding debt service coverage ratio for all periods";"APR must be a single number holding interest's annual percentage rate for all periods"}, _xlpm.Errors, _xlfn.VSTACK( OR( ROWS( _xlpm.Debt) &lt;&gt; 1, COLUMNS( _xlpm.Debt) &lt;= 1), OR( ROWS( _xlpm.CFADS) &lt;&gt; 1, COLUMNS( _xlpm.CFADS) &lt;&gt; COLUMNS( _xlpm.Debt)), NOT( AND( ISNUMBER( _xlpm.DSCR), ROWS( _xlpm.DSCR) = 1, COLUMNS( _xlpm.DSCR) = 1, _xlpm.DSCR &gt; 0)), NOT( AND( ISNUMBER( _xlpm.APR), ROWS( _xlpm.APR) = 1, COLUMNS( _xlpm.APR) = 1)) ), _xlpm.Messages, _xlfn._xlws.FILTER( _xlpm.ErrMsgs, _xlpm.Errors, ""), _xlpm.OpeningBalance, IF( ISNUMBER( _xlpm.OpeningBalance), _xlpm.OpeningBalance, 0), _xlpm.MonthsPerPeriod, IF( ISNUMBER( _xlpm.MonthsPerPeriod), _xlpm.MonthsPerPeriod, 1), _xlpm.Rate, _xlpm.APR / 12 * _xlpm.MonthsPerPeriod, _xlpm.Periods, _xlfn.SEQUENCE( 1, COLUMNS( _xlpm.Debt)), _xlpm.NewDebt, INDEX( _xlpm.Debt, 1, _xlpm.Periods), _xlpm.Cash, INDEX( _xlpm.CFADS, 1, _xlpm.Periods), _xlpm.Closings, _xlfn.SCAN( _xlpm.OpeningBalance, _xlpm.Periods, _xlfn.LAMBDA(_xlpm.Carried,_xlpm.Period, _xlfn.LET(_xlpm.Opening, _xlpm.Carried + INDEX( _xlpm.NewDebt, 1, _xlpm.Period), _xlpm.Interest, _xlpm.Opening * _xlpm.Rate, _xlpm.Payment, MAX( 0, MIN( INDEX( _xlpm.Cash, 1, _xlpm.Period) / _xlpm.DSCR, _xlpm.Opening + _xlpm.Interest)), _xlpm.Opening + _xlpm.Interest - _xlpm.Payment ) ) ), _xlpm.Carried, IF( COLUMNS( _xlpm.Debt) = 1, _xlpm.OpeningBalance, _xlfn.HSTACK( _xlpm.OpeningBalance, _xlfn.DROP( _xlpm.Closings, , -1))), _xlpm.Opening, _xlpm.Carried + _xlpm.NewDebt, _xlpm.Interest, _xlpm.Opening * _xlpm.Rate, _xlpm.Service, IF( _xlpm.Cash / _xlpm.DSCR &lt; 0, 0, _xlpm.Cash / _xlpm.DSCR), _xlpm.Payment, IF( _xlpm.Opening + _xlpm.Interest &lt; 0, 0, IF( _xlpm.Service &lt; _xlpm.Opening + _xlpm.Interest, _xlpm.Service, _xlpm.Opening + _xlpm.Interest)), _xlpm.Closing, _xlpm.Opening + _xlpm.Interest - _xlpm.Payment, _xlpm.Result, _xlfn.VSTACK( _xlpm.Opening, _xlpm.Interest, -_xlpm.Payment, _xlpm.Closing), _xlpm.Return, IF( _xlpm.Help?, 2, IF( OR( _xlpm.Errors), 3, 1)), CHOOSE( _xlpm.Return, _xlpm.Result, _xlpm.Help, _xlpm.Messages) ) )</definedName>
    <definedName name="oz.DebtSculptVariableLRVλ" comment="Creates a debt sculpting schedule where APR and DSCR are set for each period, with interest charged on the average balance">_xlfn.LAMBDA(_xlop.OpeningBalance,_xlop.Debt,_xlop.CFADS,_xlop.DSCR,_xlop.APR,_xlop.MonthsPerPeriod,_xlop.PeriodRates, _xlfn.LET(_xlpm.Help, TRIM(_xlfn.TEXTSPLIT( "FUNCTION:          →DebtSculptVariableLRVλ([OpeningBalance], Debt, CFADS, DSCR, APR, [MonthsPerPeriod], [PeriodRates])¶" &amp; "DESCRIPTION:       →Creates a Debt Sculpting schedule where APR and DSCR are set for each period.¶" &amp; "                   →Interest is charged on the average balance over the period, the method¶" &amp; "                   →presented by Lance Rubin, and the principal repaid is what the cash¶" &amp; "                   →available for debt service leaves after that interest.¶" &amp; "SUGGESTED ROW IDS: →Debt opening balance¶" &amp; "                   →Interest on Principal Balance¶" &amp; "                   →Principal repayments¶"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numeric Cash Flow Available for Debt Service in each period. Blank cells, text and logical values are rejected. Negative values supply no cash for debt service; existing debt still capitalises unpaid interest¶" &amp; "DSCR               →(Required) A row of Debt Service Coverage Ratios, one per period¶" &amp; "APR                →(Required unless PeriodRates is given) A row of Interest's Annual Percentage Rates, one per period. Each period charges APR / 12 * MonthsPerPeriod¶" &amp; "MonthsPerPeriod    →(Optional) Defaults to one month per period. Ignored when PeriodRates is given¶" &amp; "PeriodRates        →(Optional) A row of interest rates per period, one per period, such as DayCountRateλ() returns for a day count convention. When given, interest uses these rates and APR and MonthsPerPeriod are ignored. A blank cell or range counts as not given¶" &amp; "EXAMPLES:          →¶" &amp; "Result             →Formula (oz is assumed to be the module's name)¶" &amp; "4 rows, 3 cols     →=oz.DebtSculptVariableLRVλ(, {1000,0,0}, {300,300,300}, {1.2,1.2,1.2}, {0.06,0.06,0.06}, 12)", "→", "¶" ) ), _xlpm.UseRates, AND( NOT( _xlfn.ISOMITTED( _xlpm.PeriodRates)), COUNT( _xlpm.PeriodRates) &gt; 0), _xlpm.Help?, OR( _xlfn.ISOMITTED( _xlpm.Debt), _xlfn.ISOMITTED( _xlpm.CFADS), _xlfn.ISOMITTED( _xlpm.DSCR), AND( _xlfn.ISOMITTED( _xlpm.APR), NOT( _xlpm.UseRates)) ), _xlpm.ErrMsgs, {"Debt must be one row of new debt with at least two periods";"CFADS must be one row of numbers with the same number of periods as Debt";"DSCR must be one row of positive numbers with the same number of periods as Debt";"APR or PeriodRates must be one row with the same number of periods as Debt"}, _xlpm.Errors, _xlfn.VSTACK( OR( ROWS( _xlpm.Debt) &lt;&gt; 1, COLUMNS( _xlpm.Debt) &lt;= 1), OR( ROWS( _xlpm.CFADS) &lt;&gt; 1, COLUMNS( _xlpm.CFADS) &lt;&gt; COLUMNS( _xlpm.Debt), NOT( AND( ISNUMBER( _xlpm.CFADS)))), OR( ROWS( _xlpm.DSCR) &lt;&gt; 1, COLUMNS( _xlpm.DSCR) &lt;&gt; COLUMNS( _xlpm.Debt), NOT( AND( ISNUMBER( _xlpm.DSCR))), OR( _xlpm.DSCR &lt;= 0)), IF( _xlpm.UseRates, OR( ROWS( _xlpm.PeriodRates) &lt;&gt; 1, COLUMNS( _xlpm.PeriodRates) &lt;&gt; COLUMNS( _xlpm.Debt)), OR( ROWS( _xlpm.APR) &lt;&gt; 1, COLUMNS( _xlpm.APR) &lt;&gt; COLUMNS( _xlpm.Debt))) ), _xlpm.Messages, _xlfn._xlws.FILTER( _xlpm.ErrMsgs, _xlpm.Errors, ""), _xlpm.OpeningBalance, IF( ISNUMBER( _xlpm.OpeningBalance), _xlpm.OpeningBalance, 0), _xlpm.MonthsPerPeriod, IF( ISNUMBER( _xlpm.MonthsPerPeriod), _xlpm.MonthsPerPeriod, 1), _xlpm.Periods, _xlfn.SEQUENCE( 1, COLUMNS( _xlpm.Debt)), _xlpm.Rates, IF( _xlpm.UseRates, INDEX( _xlpm.PeriodRates, 1, _xlpm.Periods), INDEX( _xlpm.APR, 1, _xlpm.Periods) / 12 * _xlpm.MonthsPerPeriod ), _xlpm.NewDebt, INDEX( _xlpm.Debt, 1, _xlpm.Periods), _xlpm.RawCash, INDEX( _xlpm.CFADS, 1, _xlpm.Periods), _xlpm.Cash, IF( _xlpm.RawCash &lt; 0, 0, _xlpm.RawCash), _xlpm.Cover, INDEX( _xlpm.DSCR, 1, _xlpm.Periods), _xlpm.Closings, _xlfn.SCAN( _xlpm.OpeningBalance, _xlpm.Periods, _xlfn.LAMBDA(_xlpm.Carried,_xlpm.Period, _xlfn.LET(_xlpm.Opening, _xlpm.Carried + INDEX( _xlpm.NewDebt, 1, _xlpm.Period), _xlpm.Interest, oz.InterestLRVλ( INDEX( _xlpm.Cash, 1, _xlpm.Period), INDEX( _xlpm.Cover, 1, _xlpm.Period), _xlpm.Opening, INDEX( _xlpm.Rates, 1, _xlpm.Period)), _xlpm.Payment, MIN( INDEX( _xlpm.Cash, 1, _xlpm.Period) / INDEX( _xlpm.Cover, 1, _xlpm.Period) - _xlpm.Interest, _xlpm.Opening), _xlpm.Opening - _xlpm.Payment ) ) ), _xlpm.Carried, IF( COLUMNS( _xlpm.Debt) = 1, _xlpm.OpeningBalance, _xlfn.HSTACK( _xlpm.OpeningBalance, _xlfn.DROP( _xlpm.Closings, , -1))), _xlpm.Opening, _xlpm.Carried + _xlpm.NewDebt, _xlpm.Interest, _xlfn.MAP( _xlpm.Periods, _xlfn.LAMBDA(_xlpm.Period, oz.InterestLRVλ( INDEX( _xlpm.Cash, 1, _xlpm.Period), INDEX( _xlpm.Cover, 1, _xlpm.Period), INDEX( _xlpm.Opening, 1, _xlpm.Period), INDEX( _xlpm.Rates, 1, _xlpm.Period)) ) ), _xlpm.Available, _xlpm.Cash / _xlpm.Cover - _xlpm.Interest, _xlpm.Payment, IF( _xlpm.Available &lt; _xlpm.Opening, _xlpm.Available, _xlpm.Opening), _xlpm.Closing, _xlpm.Opening - _xlpm.Payment, _xlpm.Result, _xlfn.VSTACK( _xlpm.Opening, _xlpm.Interest, -_xlpm.Payment, _xlpm.Closing), _xlpm.Return, IF( _xlpm.Help?, 2, IF( OR( _xlpm.Errors), 3, 1)), CHOOSE( _xlpm.Return, _xlpm.Result, _xlpm.Help, _xlpm.Messages) ) )</definedName>
    <definedName name="oz.DebtSculptVariableλ" comment="Creates a debt sculpting schedule where APR and DSCR are set for each period">_xlfn.LAMBDA(_xlop.OpeningBalance,_xlop.Debt,_xlop.CFADS,_xlop.DSCR,_xlop.APR,_xlop.MonthsPerPeriod,_xlop.PeriodRates, _xlfn.LET(_xlpm.Help, TRIM(_xlfn.TEXTSPLIT( "FUNCTION:          →DebtSculptVariableλ([OpeningBalance], Debt, CFADS, DSCR, APR, [MonthsPerPeriod], [PeriodRates])¶" &amp; "DESCRIPTION:       →Creates a Debt Sculpting schedule where APR and DSCR are set for each period¶" &amp; "SUGGESTED ROW IDS: →Debt opening balance¶" &amp; "                   →Interest on Principal Balance¶" &amp; "                   →Debt service (interest and principal)¶"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A row of Debt Service Coverage Ratios, one per period¶" &amp; "APR                →(Required unless PeriodRates is given) A row of Interest's Annual Percentage Rates, one per period. Each period charges APR / 12 * MonthsPerPeriod¶" &amp; "MonthsPerPeriod    →(Optional) Defaults to one month per period. Ignored when PeriodRates is given¶" &amp; "PeriodRates        →(Optional) A row of interest rates per period, one per period, such as DayCountRateλ() returns for a day count convention. When given, interest uses these rates and APR and MonthsPerPeriod are ignored. A blank cell or range counts as not given¶" &amp; "EXAMPLES:          →¶" &amp; "Result             →Formula (oz is assumed to be the module's name)¶" &amp; "4 rows, 3 cols     →=oz.DebtSculptVariableλ(, {1000,0,0}, {300,300,300}, {1.2,1.2,1.2}, {0.06,0.06,0.06}, 12)", "→", "¶" ) ), _xlpm.UseRates, AND( NOT( _xlfn.ISOMITTED( _xlpm.PeriodRates)), COUNT( _xlpm.PeriodRates) &gt; 0), _xlpm.Help?, OR( _xlfn.ISOMITTED( _xlpm.Debt), _xlfn.ISOMITTED( _xlpm.CFADS), _xlfn.ISOMITTED( _xlpm.DSCR), AND( _xlfn.ISOMITTED( _xlpm.APR), NOT( _xlpm.UseRates)) ), _xlpm.ErrMsgs, {"Debt must be one row of new debt with at least two periods";"CFADS must be one row with the same number of periods as Debt";"DSCR must be one row of positive numbers with the same number of periods as Debt";"APR or PeriodRates must be one row with the same number of periods as Debt"}, _xlpm.Errors, _xlfn.VSTACK( OR( ROWS( _xlpm.Debt) &lt;&gt; 1, COLUMNS( _xlpm.Debt) &lt;= 1), OR( ROWS( _xlpm.CFADS) &lt;&gt; 1, COLUMNS( _xlpm.CFADS) &lt;&gt; COLUMNS( _xlpm.Debt)), OR( ROWS( _xlpm.DSCR) &lt;&gt; 1, COLUMNS( _xlpm.DSCR) &lt;&gt; COLUMNS( _xlpm.Debt), NOT( AND( ISNUMBER( _xlpm.DSCR))), OR( _xlpm.DSCR &lt;= 0)), IF( _xlpm.UseRates, OR( ROWS( _xlpm.PeriodRates) &lt;&gt; 1, COLUMNS( _xlpm.PeriodRates) &lt;&gt; COLUMNS( _xlpm.Debt)), OR( ROWS( _xlpm.APR) &lt;&gt; 1, COLUMNS( _xlpm.APR) &lt;&gt; COLUMNS( _xlpm.Debt))) ), _xlpm.Messages, _xlfn._xlws.FILTER( _xlpm.ErrMsgs, _xlpm.Errors, ""), _xlpm.OpeningBalance, IF( ISNUMBER( _xlpm.OpeningBalance), _xlpm.OpeningBalance, 0), _xlpm.MonthsPerPeriod, IF( ISNUMBER( _xlpm.MonthsPerPeriod), _xlpm.MonthsPerPeriod, 1), _xlpm.Periods, _xlfn.SEQUENCE( 1, COLUMNS( _xlpm.Debt)), _xlpm.Rates, IF( _xlpm.UseRates, INDEX( _xlpm.PeriodRates, 1, _xlpm.Periods), INDEX( _xlpm.APR, 1, _xlpm.Periods) / 12 * _xlpm.MonthsPerPeriod ), _xlpm.NewDebt, INDEX( _xlpm.Debt, 1, _xlpm.Periods), _xlpm.Cash, INDEX( _xlpm.CFADS, 1, _xlpm.Periods), _xlpm.Cover, INDEX( _xlpm.DSCR, 1, _xlpm.Periods), _xlpm.Closings, _xlfn.SCAN( _xlpm.OpeningBalance, _xlpm.Periods, _xlfn.LAMBDA(_xlpm.Carried,_xlpm.Period, _xlfn.LET(_xlpm.Opening, _xlpm.Carried + INDEX( _xlpm.NewDebt, 1, _xlpm.Period), _xlpm.Interest, _xlpm.Opening * INDEX( _xlpm.Rates, 1, _xlpm.Period), _xlpm.Payment, MAX( 0, MIN( INDEX( _xlpm.Cash, 1, _xlpm.Period) / INDEX( _xlpm.Cover, 1, _xlpm.Period), _xlpm.Opening + _xlpm.Interest)), _xlpm.Opening + _xlpm.Interest - _xlpm.Payment ) ) ), _xlpm.Carried, IF( COLUMNS( _xlpm.Debt) = 1, _xlpm.OpeningBalance, _xlfn.HSTACK( _xlpm.OpeningBalance, _xlfn.DROP( _xlpm.Closings, , -1))), _xlpm.Opening, _xlpm.Carried + _xlpm.NewDebt, _xlpm.Interest, _xlpm.Opening * _xlpm.Rates, _xlpm.Service, IF( _xlpm.Cash / _xlpm.Cover &lt; 0, 0, _xlpm.Cash / _xlpm.Cover), _xlpm.Payment, IF( _xlpm.Opening + _xlpm.Interest &lt; 0, 0, IF( _xlpm.Service &lt; _xlpm.Opening + _xlpm.Interest, _xlpm.Service, _xlpm.Opening + _xlpm.Interest)), _xlpm.Closing, _xlpm.Opening + _xlpm.Interest - _xlpm.Payment, _xlpm.Result, _xlfn.VSTACK( _xlpm.Opening, _xlpm.Interest, -_xlpm.Payment, _xlpm.Closing), _xlpm.Return, IF( _xlpm.Help?, 2, IF( OR( _xlpm.Errors), 3, 1)), CHOOSE( _xlpm.Return, _xlpm.Result, _xlpm.Help, _xlpm.Messages) ) )</definedName>
    <definedName name="oz.DebtToAssetRatioλ" comment="Analysts can compare one company's gearing with that of other _x000a_companies in the same industry. (Total Debt/Total Assets)">_xlfn.LAMBDA(_xlop.TotalDebt,_xlop.TotalAssets, _xlfn.LET(_xlpm.Help, TRIM(_xlfn.TEXTSPLIT( "FUNCTION:          →DebtToAssetRatioλ( TotalDebt, TotalAssets)¶" &amp; "DESCRIPTION:       →Analysts can compare one company's leverage with that of other y¶" &amp; "→companies in the same industry (Total Debt/Total Assets)¶" &amp; "WEBPAGE:           →https://www.investopedia.com/terms/t/totaldebttototalassets.asp ¶" &amp; "VERSION:           →20 Aug 2026¶" &amp; "PARAMETERS:        →¶" &amp; "TotalDebt          →(Required) Total debt includes shortterm and longterm debt¶" &amp; "TotalAssets        →(Required) Total Assets ¶" &amp; "SEE ALSO:          →DebtRatioλ computes the same ratio under its shorter name.¶" &amp; "EXAMPLES:          →Formula (oz is assumed to be the module's name)¶" &amp; ".49873             →=oz.DebtToAssetRatioλ(31.845, 63.852 )", "→", "¶" ) ), _xlpm.Help?, OR( _xlfn.ISOMITTED( _xlpm.TotalDebt), _xlfn.ISOMITTED( _xlpm.TotalAssets) ), _xlpm.Result, _xlpm.TotalDebt /_xlpm.TotalAssets, CHOOSE(_xlpm.Help? + 1, _xlpm.Result, _xlpm.Help) ) )</definedName>
    <definedName name="oz.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→20 Aug 2026¶" &amp; "PARAMETERS:→¶" &amp; "Debt               →(Required) Total Debt which can include: ¶" &amp; "→Notes payable¶" &amp; "→Bonds payable¶" &amp; "→Long-term liabilities¶" &amp; "ShareholdersEquity →(Required) Shareholders' Equity (total assets - total liabilities) ¶" &amp; "EXAMPLES:          →Formula (oz is assumed to be the module's name)¶" &amp; "26.4%              →=oz.DebtToCapitalRatioλ( 80.0, 223.0 )", "→", "¶")), _xlpm.Help?, OR(_xlfn.ISOMITTED(_xlpm.Debt), _xlfn.ISOMITTED(_xlpm.ShareholdersEquity)), _xlpm.Result, _xlpm.Debt / (_xlpm.Debt + _xlpm.ShareholdersEquity), CHOOSE(_xlpm.Help? + 1, _xlpm.Result, _xlpm.Help)))</definedName>
    <definedName name="oz.DebtToEquityRatioλ" comment="Measures the degree to which a company is financing operations_x000a_with debt rather than its own resources. (Total Liabilities/Shareholders' Equity)">_xlfn.LAMBDA(_xlop.TotalLiabilities,_xlop.ShareholdersEquity, _xlfn.LET(_xlpm.Help, TRIM(_xlfn.TEXTSPLIT( "FUNCTION: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→20 Aug 2026¶" &amp; "PARAMETERS:        →¶" &amp; "TotalLiabilities   →(Required) Total Liabilities¶" &amp; "ShareholdersEquity →(Required) Shareholders' Equity (total assets - total liabilities) ¶" &amp; "EXAMPLES:          →Formula (oz is assumed to be the module's name)¶" &amp; "3.77               →=oz.DebtToEquityRatioλ(279.0, 74.0 )", "→", "¶" ) ), _xlpm.Help?, OR( _xlfn.ISOMITTED( _xlpm.TotalLiabilities), _xlfn.ISOMITTED( _xlpm.ShareholdersEquity) ), _xlpm.Result, _xlpm.TotalLiabilities/_xlpm.ShareholdersEquity, CHOOSE(_xlpm.Help? + 1, _xlpm.Result, _xlpm.Help) ) )</definedName>
    <definedName name="oz.Depreciateλ" comment="Create a block of CAPEX, Opening Balance, Depreciation Values, and Book Value for each asset">_xlfn.LAMBDA(_xlop.InitialValues,_xlop.InServiceDates,_xlop.LifeInYears,_xlop.Timeline,_xlop.SalvageValues,_xlop.DisposalDates,_xlop.DisposalCosts,_xlop.Methods,_xlop.Factors,_xlfn.LET(_xlpm.Help,TRIM(_xlfn.TEXTSPLIT("FUNCTION:      →Depreciateλ(InitialValues, InServiceDates, LifeInYears, Timeline, ¶"&amp;"               →[SalvageValues], [DisposalDates], [DisposalCosts], [Methods], [Factors])¶"&amp;"DESCRIPTION:   →Creates an array of CAPEX, depreciation, and book values for a model's timeline¶"&amp;"WEBPAGE:       →https://github.com/ryanduguid/Ozzit ¶"&amp;"VERSION:       →20 Aug 2026¶"&amp;"NOTES:         →The methods used here differ from Excel's functions in several ways. Please see webpage for details.¶"&amp;"PARAMETERS:    →¶"&amp;"InitialValues  →(Required) The purchase values of each asset to depreciate¶"&amp;"InServiceDates →(Required) The dates from which to start depreciating each asset¶"&amp;"LifeInYears    →(Required) The whole number of years over which to depreciate each asset.¶"&amp;"               →More than 0 and no more than 100. A date here is not a life:¶"&amp;"               →the arguments read InitialValues, InServiceDates, LifeInYears, Timeline.¶"&amp;"Timeline       →(Required) The model's timeline or a row of period start dates. ¶"&amp;"               →Timeline can be any interval: days, weeks, months, quarters or years¶"&amp;"SalvageValues  →(Optional: Default = 0) The book values of each asset after fully depreciated.¶"&amp;"DisposalDates  →(Optional: Default = End of life) The dates on which the assets are removed from the books.¶"&amp;"→A disposal before the end of life writes the remaining book value off in that month.¶"&amp;"DisposalCosts  →(Optional: Default = 0) The costs of removing each asset from the books, charged in the disposal period.¶"&amp;"Methods        →(Optional: Default = SLN) The desired depreciation method. Must be one of these method codes: ¶"&amp;"→SLN=Straight Line Depreciation¶"&amp;"→SYD=Sum of Year's Digits¶"&amp;"→DB =Declining Balance¶"&amp;"→DDB=Double Declining Balance¶"&amp;"→VDB=Variable Declining Balance¶"&amp;"→DV =Diminishing balance at 200% of straight line. Salvage value ignored¶"&amp;"→PC =Straight line, whole years. Salvage value ignored¶"&amp;"Factors        →(Optional: Default = 2) Only applicable to DDB and VDB methods.","→","¶")),_xlpm.Help?,OR(_xlfn.ISOMITTED(_xlpm.InitialValues),_xlfn.ISOMITTED(_xlpm.LifeInYears),_xlfn.ISOMITTED(_xlpm.InServiceDates),_xlfn.ISOMITTED(_xlpm.Timeline)),_xlpm.MethodArray,{"SLN","SYD","DB","DDB","VDB","DV","PC"},_xlpm.Mpy,12,_xlpm.LifeGiven,IF(_xlfn.ISOMITTED(_xlpm.LifeInYears),1,_xlpm.LifeInYears),_xlpm.LifeNums,IFERROR(VALUE(_xlpm.LifeGiven),-1),_xlpm.BadLife?,OR(MIN(_xlpm.LifeNums)&lt;=0,MAX(_xlpm.LifeNums)&gt;100,SUMPRODUCT(--(MOD(_xlpm.LifeNums,1)&lt;&gt;0))&gt;0),_xlpm.LifeMessage,"LifeInYears must be a whole number of years greater than 0 and no more than 100. "&amp;"Check the argument order: InitialValues, InServiceDates, LifeInYears, Timeline.",_xlpm.SalvageValues,IF(_xlfn.ISOMITTED(_xlpm.SalvageValues),_xlfn.MAP(_xlpm.InitialValues,_xlfn.LAMBDA(_xlpm.Ele,0)),_xlfn.MAP(_xlpm.SalvageValues,_xlfn.LAMBDA(_xlpm.v,IFERROR(VALUE(_xlpm.v),0)))),_xlpm.CvtSrvDates,IF(NOT(_xlfn.ISOMITTED(_xlpm.InServiceDates)),IF(ISNUMBER(_xlpm.InServiceDates),_xlpm.InServiceDates,DATEVALUE(_xlpm.InServiceDates))),_xlpm.DisposalDates,IF(_xlfn.ISOMITTED(_xlpm.DisposalDates),EDATE(+_xlpm.CvtSrvDates,_xlpm.LifeInYears*12),_xlfn.MAKEARRAY(ROWS(_xlpm.DisposalDates),1,_xlfn.LAMBDA(_xlpm.R,_xlpm.C,IF(INDEX(_xlpm.DisposalDates,_xlpm.R)="",EDATE(INDEX(_xlpm.CvtSrvDates,_xlpm.R),INDEX(_xlpm.LifeInYears,_xlpm.R)*12),INDEX(_xlpm.DisposalDates,_xlpm.R))))),_xlpm.DisposalCosts,IF(_xlfn.ISOMITTED(_xlpm.DisposalCosts),_xlfn.MAP(_xlpm.InitialValues,_xlfn.LAMBDA(_xlpm.Ele,0)),_xlpm.DisposalCosts),_xlpm.Methods,IF(_xlfn.ISOMITTED(_xlpm.Methods),_xlfn.MAP(_xlpm.InitialValues,_xlfn.LAMBDA(_xlpm.Ele,"SLN")),_xlfn.MAP(_xlpm.Methods,_xlfn.LAMBDA(_xlpm.v,IF(TRIM(_xlpm.v)="","SLN",_xlpm.v)))),_xlpm.Factors,IF(_xlfn.ISOMITTED(_xlpm.Factors),_xlfn.MAP(_xlpm.InitialValues,_xlfn.LAMBDA(_xlpm.Ele,2)),_xlfn.MAP(_xlpm.Factors,_xlfn.LAMBDA(_xlpm.v,IF(TRIM(_xlpm.v)="",2,_xlpm.v)))),_xlpm.TimelineCols,COLUMNS(_xlpm.Timeline),_xlpm.FirstPeriod,INDEX(_xlpm.Timeline,1),_xlpm.SecondPeriod,INDEX(_xlpm.Timeline,2),_xlpm.DpP,_xlpm.SecondPeriod-_xlpm.FirstPeriod,_xlpm.SubMonthly?,_xlpm.DpP&lt;28,_xlpm.MpP,MAX(_xlfn.SINGLE(ROUND(_xlpm.DpP/30.5,0)),1),_xlpm.LastGap,MAX(_xlpm.Timeline)-INDEX(_xlpm.Timeline,_xlpm.TimelineCols-1),_xlpm.LastDate,MAX(_xlpm.Timeline),_xlpm.LastEnd,IF(_xlpm.SubMonthly?,_xlpm.LastDate+_xlpm.LastGap,IF(DAY(_xlpm.LastDate+1)=1,EOMONTH(_xlpm.LastDate,_xlpm.MpP),EDATE(_xlpm.LastDate,_xlpm.MpP)))-1,_xlpm.EndDates,_xlfn.HSTACK(_xlfn.MAP(_xlfn.SEQUENCE(,_xlpm.TimelineCols-1),_xlfn.LAMBDA(_xlpm.n,INDEX(_xlpm.Timeline,_xlpm.n+1)-1)),_xlpm.LastEnd),_xlpm.Result,_xlfn.REDUCE(0,_xlfn.SEQUENCE(ROWS(_xlpm.InitialValues)),_xlfn.LAMBDA(_xlpm.Block,_xlpm.Asset,_xlfn.LET(_xlpm.Method,_xlfn.SINGLE(INDEX(_xlpm.Methods,_xlpm.Asset)),_xlpm.Years,IF(_xlpm.BadLife?,1,_xlfn.SINGLE(INDEX(_xlpm.LifeInYears,_xlpm.Asset))),_xlpm.InitialValue,_xlfn.SINGLE(INDEX(_xlpm.InitialValues,_xlpm.Asset)),_xlpm.SalvageValue,IF(OR(_xlpm.Method="DV",_xlpm.Method="PC"),0,_xlfn.SINGLE(INDEX(_xlpm.SalvageValues,_xlpm.Asset))),_xlpm.InServiceDate,_xlfn.SINGLE(INDEX(_xlpm.CvtSrvDates,_xlpm.Asset)),_xlpm.DisposalDate,_xlfn.SINGLE(INDEX(_xlpm.DisposalDates,_xlpm.Asset)),_xlpm.DisposalCost,_xlfn.SINGLE(INDEX(_xlpm.DisposalCosts,_xlpm.Asset)),_xlpm.Factor,_xlfn.SINGLE(INDEX(_xlpm.Factors,_xlpm.Asset)),_xlpm.LifeInMonths,oz.PeriodDiffλ(_xlpm.InServiceDate,_xlpm.DisposalDate,"M"),_xlpm.Depreciate,CHOOSE(MATCH(_xlfn.SINGLE(_xlpm.Method),_xlpm.MethodArray,0),oz.SLNλ(_xlpm.InitialValue,_xlpm.SalvageValue,_xlpm.Years),oz.SYDλ(_xlpm.InitialValue,_xlpm.SalvageValue,_xlpm.Years),oz.DBλ(_xlpm.InitialValue,_xlpm.SalvageValue,_xlpm.Years),oz.DDBλ(_xlpm.InitialValue,_xlpm.SalvageValue,_xlpm.Years,_xlpm.Factor),oz.VDBλ(_xlpm.InitialValue,_xlpm.SalvageValue,_xlpm.Years,_xlpm.Factor),oz.DiminishingValueλ(_xlpm.InitialValue,_xlpm.Years),oz.PrimeCostλ(_xlpm.InitialValue,_xlpm.Years),),_xlpm.Monthly,oz.Allocateλ(_xlpm.Depreciate,"Y","M"),_xlpm.Months,_xlpm.LifeInMonths-1,_xlpm.Allocate,IF(_xlpm.Months&lt;1,_xlpm.InitialValue,IF(_xlpm.Months&gt;=COLUMNS(_xlpm.Monthly),_xlfn.HSTACK(_xlfn.EXPAND(_xlpm.Monthly,1,_xlpm.Months,0),_xlpm.SalvageValue),_xlfn.HSTACK(_xlfn.TAKE(_xlpm.Monthly,,_xlpm.Months),_xlpm.InitialValue-SUM(_xlfn.TAKE(_xlpm.Monthly,,_xlpm.Months))))),_xlpm.Opening,_xlfn.DROP(_xlfn.HSTACK(_xlpm.InitialValue,_xlfn.SCAN(_xlpm.InitialValue,_xlpm.Allocate,_xlfn.LAMBDA(_xlpm.Acc,_xlpm.Val,_xlpm.Acc-_xlpm.Val))),0,-1),_xlpm.AssetTimeline,EDATE(_xlpm.InServiceDate,_xlfn.SEQUENCE(,_xlpm.LifeInMonths,0)),_xlpm.Buckets,IFERROR(MATCH(_xlpm.AssetTimeline,_xlpm.Timeline,1),0)*(_xlpm.AssetTimeline&lt;=_xlpm.LastEnd),_xlpm.InPeriod,(_xlfn.TOCOL(_xlpm.Buckets)=_xlfn.SEQUENCE(1,_xlpm.TimelineCols))*1,_xlpm.Depreciation,MMULT(_xlpm.Allocate,_xlpm.InPeriod),_xlpm.CAPEX,_xlpm.InitialValue*(_xlpm.Timeline&lt;=_xlpm.InServiceDate)*(_xlpm.EndDates&gt;=_xlpm.InServiceDate),_xlpm.Earlier,IF(_xlpm.LifeInMonths=1,0,_xlfn.HSTACK(0,_xlfn.DROP(_xlpm.Buckets,,-1))),_xlpm.FirstInPeriod,(_xlpm.Buckets&lt;&gt;_xlpm.Earlier)*(_xlpm.Buckets&gt;0),_xlpm.OpeningAmount,MMULT(_xlpm.Opening*_xlpm.FirstInPeriod,_xlpm.InPeriod),_xlpm.BookValue,_xlpm.OpeningAmount-_xlpm.Depreciation,_xlpm.SalesRevenue,_xlpm.SalvageValue*(_xlpm.Timeline&lt;=_xlpm.DisposalDate)*(_xlpm.EndDates&gt;=_xlpm.DisposalDate),_xlpm.DisposalExp,_xlpm.DisposalCost*(_xlpm.Timeline&lt;=_xlpm.DisposalDate)*(_xlpm.EndDates&gt;=_xlpm.DisposalDate),_xlpm.NewBlock,_xlfn.VSTACK(_xlpm.CAPEX,_xlpm.OpeningAmount,_xlpm.Depreciation,_xlpm.BookValue,_xlpm.SalesRevenue,_xlpm.DisposalExp),_xlpm.Result,IF(_xlpm.Asset=1,_xlpm.NewBlock,_xlfn.VSTACK(_xlpm.Block,_xlfn.EXPAND("",1,_xlpm.TimelineCols,""),_xlpm.NewBlock)),_xlpm.Result))),_xlpm.Return,IF(_xlpm.Help?,2,IF(_xlpm.BadLife?,3,1)),CHOOSE(_xlpm.Return,_xlpm.Result,_xlpm.Help,_xlpm.LifeMessage)))</definedName>
    <definedName name="oz.DepreciateλDV" comment="Provides extended data validation of arguments for Depreciateλ">_xlfn.LAMBDA(_xlop.InitialValues,_xlop.InServiceDates,_xlop.LifeInYears,_xlop.Timeline,_xlop.SalvageValues,_xlop.DisposalDates,_xlop.DisposalCosts,_xlop.Methods,_xlop.Factors, _xlfn.LET( _xlpm.ErrorsInArgs, _xlfn.VSTACK( OR( ISERROR( _xlpm.InitialValues)), OR( ISERROR( _xlpm.InServiceDates)), OR( ISERROR( _xlpm.LifeInYears)), OR( ISERROR( _xlpm.Timeline)), OR( ISERROR( _xlpm.SalvageValues)), OR( ISERROR( _xlpm.DisposalDates)), OR( ISERROR( _xlpm.DisposalCosts)), OR( ISERROR( _xlpm.Methods)), OR( ISERROR( _xlpm.Factors)) ), _xlpm.DVArg1, IF( OR( ISERROR(_xlpm.InitialValues)), FALSE, OR( IFERROR( VALUE(_xlpm.InitialValues) &lt; 1, TRUE))), _xlpm.DVArg2, IF( OR( ISERROR( _xlpm.InServiceDates), ISERROR( _xlpm.Timeline)), FALSE, OR( IFERROR( VALUE(_xlpm.InServiceDates) &lt; MIN( _xlpm.Timeline), TRUE))), _xlpm.DVArg3, IF( OR( ISERROR( _xlpm.LifeInYears)), FALSE, _xlfn.LET( _xlpm.Lives, IFERROR( VALUE( _xlpm.LifeInYears), -1), OR( MIN( _xlpm.Lives) &lt;= 0, MAX( _xlpm.Lives) &gt; 100, SUMPRODUCT( --( MOD( _xlpm.Lives, 1) &lt;&gt; 0)) &gt; 0))), _xlpm.DVArg4, IF( OR( ISERROR( _xlpm.Timeline)), FALSE, COUNTA( _xlpm.Timeline) &lt; 2), _xlpm.DVArg4b, IF( OR( OR(_xlpm.ErrorsInArgs), _xlpm.DVArg4), FALSE, _xlfn.LET( _xlpm.Dates, _xlfn.TOROW( _xlpm.Timeline), MIN( _xlfn.DROP( _xlpm.Dates, , 1) - _xlfn.DROP( _xlpm.Dates, , -1)) &lt; 1)), _xlpm.DVArg5, IF( OR( _xlfn.ISOMITTED( _xlpm.SalvageValues), OR(ISERROR(_xlpm.SalvageValues))), FALSE, OR( IFERROR( VALUE(_xlpm.SalvageValues) &lt; 0, TRUE))), _xlpm.DVArg6, IF( OR( _xlfn.ISOMITTED( _xlpm.DisposalDates), OR(_xlpm.ErrorsInArgs)), FALSE, OR( _xlpm.DisposalDates &lt; _xlpm.InServiceDates)), _xlpm.DVArg7, IF( OR( _xlfn.ISOMITTED( _xlpm.DisposalCosts), OR(ISERROR(_xlpm.DisposalCosts))), FALSE, OR( IFERROR( VALUE(_xlpm.DisposalCosts) &lt; 0, TRUE))), _xlpm.DVArg8, IF( OR( _xlfn.ISOMITTED( _xlpm.Methods), ISERROR( _xlpm.Methods)), FALSE, OR(ISNA( _xlfn.XMATCH( _xlpm.Methods, {"SLN","SYD","DB","DDB","VDB","DV","PC"}, 0)))), _xlpm.DVArg9, IF( OR( _xlfn.ISOMITTED( _xlpm.Factors), ISERROR( _xlpm.Factors)), FALSE, OR(IFERROR( VALUE( _xlpm.Factors) &lt;= 0, TRUE ))), _xlpm.DVErrors, _xlfn.VSTACK( _xlpm.DVArg1, _xlpm.DVArg2, _xlpm.DVArg3, _xlpm.DVArg4, _xlpm.DVArg4b, _xlpm.DVArg5, _xlpm.DVArg6, _xlpm.DVArg7, _xlpm.DVArg8, _xlpm.DVArg9 ), _xlpm.AnyErrors?, OR(_xlpm.ErrorsInArgs, _xlpm.DVErrors), _xlpm.Errors2Show, _xlfn.VSTACK( 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whole number of years greater than 0 and no more than 100";"Timeline must be a row of period start dates with more than 1 entry.";"Each period in the timeline must advance by at least a day.";"SalvageValues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 OR( _xlpm.Errors2Show), 2, IF( _xlpm.AnyErrors?, 3, 1)), CHOOSE(_xlpm.Return, TRUE, _xlpm.Messages, #VALUE!) ) )</definedName>
    <definedName name="oz.DiminishingValueλ" comment="Diminishing-balance depreciation schedule at 200% of the straight-line rate, writing the residual off in the final period. A modelling schedule, not a tax calculation.">_xlfn.LAMBDA(_xlop.Cost,_xlop.Life, _xlfn.LET( _xlpm.Help, TRIM(_xlfn.TEXTSPLIT( "FUNCTION:      →DiminishingValueλ(Cost, Life)¶" &amp; "DESCRIPTION:   →Diminishing-balance depreciation schedule at 200% of the straight-line rate, writing the residual off in the final period. A modelling schedule, not a tax calculation.¶" &amp; "WEBPAGE:       →https://github.com/ryanduguid/Ozzit¶" &amp; "VERSION:       →20 Aug 2026¶" &amp; "PARAMETERS:    →¶" &amp; "Cost           →(Required) Asset's cost.¶" &amp; "Life           →(Required) Asset's effective life in years.¶" &amp; "EXAMPLES:      →¶" &amp; "→Formula (oz is assumed to be the module's name)¶" &amp; "→=oz.DiminishingValueλ(1000, 5)¶" &amp; "→Result¶" &amp; "→400.00,240.00,144.00,86.40,129.60", "→", "¶" )), _xlpm.Help?, OR(_xlfn.ISOMITTED(_xlpm.Cost), _xlfn.ISOMITTED(_xlpm.Life)), _xlpm.Valid?, AND(ISNUMBER(_xlpm.Life), _xlpm.Life &gt; 0), _xlpm.Rate, MIN(2/_xlpm.Life, 1), _xlpm.Count, MAX(1, ROUNDUP(_xlpm.Life, 0)), _xlpm.Periods, _xlfn.SEQUENCE(, _xlpm.Count), _xlpm.Raw, _xlpm.Cost * _xlpm.Rate * IF(_xlpm.Periods = 1, 1, (1-_xlpm.Rate)^(_xlpm.Periods-1)), _xlpm.Result, IF(_xlpm.Valid?, _xlpm.Raw + (_xlpm.Periods = _xlpm.Count) * (_xlpm.Cost - SUM(_xlpm.Raw)), "DiminishingValueλ needs a Life greater than 0"), CHOOSE( _xlpm.Help? + 1, _xlpm.Result, _xlpm.Help) ) )</definedName>
    <definedName name="oz.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→20 Aug 2026¶" &amp; "PARAMETERS:→¶" &amp; "AnnualDividendsPerShare→(Required) Annual Dividends Per Share ¶" &amp; "SharePrice     →(Required) Market value per share ¶" &amp; "EXAMPLES:      →Formula (oz is assumed to be the module's name)¶" &amp; "2.6667%        →=oz.DividendYieldRatioλ( 1.2, 45 )", "→", "¶")), _xlpm.Help?, OR(_xlfn.ISOMITTED(_xlpm.AnnualDividendsPerShare), _xlfn.ISOMITTED(_xlpm.SharePrice)), _xlpm.Result, _xlpm.AnnualDividendsPerShare / _xlpm.SharePrice, CHOOSE(_xlpm.Help? + 1, _xlpm.Result, _xlpm.Help)))</definedName>
    <definedName name="oz.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→20 Aug 2026¶" &amp; "PARAMETERS:→¶" &amp; "DividendsPaid  →(Required) Dividends paid ¶" &amp; "NetIncome      →(Required) Net Income¶" &amp; "EXAMPLES:      →Formula (oz is assumed to be the module's name)¶" &amp; "25%            →=oz.DPRλ( 5.0, 20.0 )", "→", "¶")), _xlpm.Help?, OR(_xlfn.ISOMITTED(_xlpm.DividendsPaid), _xlfn.ISOMITTED(_xlpm.NetIncome)), _xlpm.Result, _xlpm.DividendsPaid / _xlpm.NetIncome, CHOOSE(_xlpm.Help? + 1, _xlpm.Result, _xlpm.Help)))</definedName>
    <definedName name="oz.DSCRλ" comment="Debt service coverage Ratio measures a firm’s available cash flow to pay its _x000a_current debt obligations(Net Operating Income/Total Debt Service)">_xlfn.LAMBDA(_xlop.NetOperatingIncome,_xlop.TotalDebtService, _xlfn.LET(_xlpm.Help, TRIM(_xlfn.TEXTSPLIT( "FUNCTION:          →DSCRλ( NetOperatingIncome, TotalDebtService)¶" &amp; "DESCRIPTION:       →Measures a firm’s available cash flow to pay its current debt obligations¶" &amp; "→(Net Operating Income/Total Debt Service)¶" &amp; "WEBPAGE:           →https://www.investopedia.com/terms/d/dscr.asp ¶" &amp; "VERSION:           →20 Aug 2026¶" &amp; "PARAMETERS:→¶" &amp; "NetOperatingIncome →(Required) Income measure defined by the applicable covenant¶" &amp; "TotalDebtService   →(Required) Principal, interest and other payments defined by that covenant¶" &amp; "→Use the same period. Tax-adjust interest only if the covenant requires it¶" &amp; "EXAMPLES:          →Formula (oz is assumed to be the module's name)¶" &amp; "6.142857           →=oz.DSCRλ(2150.0, 350.0)", "→", "¶" ) ), _xlpm.Help?, OR( _xlfn.ISOMITTED( _xlpm.NetOperatingIncome), _xlfn.ISOMITTED( _xlpm.TotalDebtService) ), _xlpm.Result, _xlpm.NetOperatingIncome/_xlpm.TotalDebtService, CHOOSE(_xlpm.Help? + 1, _xlpm.Result, _xlpm.Help) ) )</definedName>
    <definedName name="oz.DSIλ" comment="Days Sales in Inventory Ratio (aka Average age of inventory _x000a_indicates the average time in days that a company takes to turn its inventory _x000a_(Average Inventory/Annual Cost of Goods Sold x 365)">_xlfn.LAMBDA(_xlop.AverageInventory,_xlop.CostOfGoodsSold, _xlfn.LET(_xlpm.Help, TRIM(_xlfn.TEXTSPLIT( "FUNCTION:          →DSIλ( AverageInventory, CostOfGoodsSold)¶" &amp; "DESCRIPTION:       →Days Sales in Inventory Ratio (aka Average age of inventory)¶" &amp; "→indicates the average time in days that a company takes to turn its inventory¶" &amp; "→(Average Inventory/Annual Cost of Goods Sold x 365 days)¶" &amp; "WEBPAGE:           →https://www.investopedia.com/terms/d/days-sales-inventory-dsi.asp ¶" &amp; "VERSION:           →20 Aug 2026¶" &amp; "PARAMETERS:→¶" &amp; "AverageInventory→  (Required) Average of period open and close Inventory¶" &amp; "CostOfGoodsSold→   (Required) Cost of Goods Sold (COGS) for a full year ¶" &amp; "EXAMPLES:          →Formula (oz is assumed to be the module's name)¶" &amp; "40.8949 days       →=oz.DSIλ(54.9, 490 )", "→", "¶" ) ), _xlpm.Help?, OR( _xlfn.ISOMITTED( _xlpm.AverageInventory), _xlfn.ISOMITTED( _xlpm.CostOfGoodsSold) ), _xlpm.DpY, 365, _xlpm.Result, _xlpm.AverageInventory/_xlpm.CostOfGoodsSold * _xlpm.DpY, CHOOSE(_xlpm.Help? + 1, _xlpm.Result, _xlpm.Help) ) )</definedName>
    <definedName name="oz.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→20 Aug 2026¶" &amp; "PARAMETERS:→¶" &amp; "EBITDA         →(Required) Earnings Before Interest, tax, depreciation, and amortisation¶" &amp; "TotalRevenue   →(Required) Total Revenue¶" &amp; "EXAMPLES:      →Formula (oz is assumed to be the module's name)¶" &amp; "12%            →=oz.EBITDAMarginλ( 15.0, 125.0 )", "→", "¶")), _xlpm.Help?, OR(_xlfn.ISOMITTED(_xlpm.EBITDA), _xlfn.ISOMITTED(_xlpm.TotalRevenue)), _xlpm.Result, _xlpm.EBITDA / _xlpm.TotalRevenue, CHOOSE(_xlpm.Help? + 1, _xlpm.Result, _xlpm.Help)))</definedName>
    <definedName name="oz.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 "FUNCTION: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→20 Aug 2026¶" &amp; "PARAMETERS:→¶" &amp; "NetIncome          →(Required) Net Income ¶" &amp; "PreferredDividends →(Required) Dividends paid on prefered stock¶" &amp; "EndOfPeriodCommonSharesOutstanding→(Required) Weighted-average ordinary shares for basic EPS¶" &amp; "→Use closing shares only when they equal that weighted average¶" &amp; "EXAMPLES:          →Formula (oz is assumed to be the module's name)¶" &amp; "1.909548           →=oz.EPSλ( 7.6, 0, 3.98 )", "→", "¶" ) ), _xlpm.Help?, OR( _xlfn.ISOMITTED( _xlpm.NetIncome), _xlfn.ISOMITTED( _xlpm.PreferredDividends), _xlfn.ISOMITTED( _xlpm.EndOfPeriodCommonSharesOutstanding) ), _xlpm.Result, (_xlpm.NetIncome-_xlpm.PreferredDividends)/_xlpm.EndOfPeriodCommonSharesOutstanding, CHOOSE(_xlpm.Help? + 1, _xlpm.Result, _xlpm.Help) ) )</definedName>
    <definedName name="oz.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→20 Aug 2026¶" &amp; "PARAMETERS:        →¶" &amp; "TotalAssets        →(Required) Both current and long-term assets¶" &amp; "TotalShareholdersEquity →(Required) Shareholders' Equity (total assets - total liabilities) ¶" &amp; "EXAMPLES:          →Formula (oz is assumed to be the module's name)¶" &amp; "4.40625            →=oz.EquityMultiplierλ(366.6, 83.2 )", "→", "¶")), _xlpm.Help?, OR(_xlfn.ISOMITTED(_xlpm.TotalAssets), _xlfn.ISOMITTED(_xlpm.TotalShareholdersEquity)), _xlpm.Result, _xlpm.TotalAssets / _xlpm.TotalShareholdersEquity, CHOOSE(_xlpm.Help? + 1, _xlpm.Result, _xlpm.Help)))</definedName>
    <definedName name="oz.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→20 Aug 2026¶" &amp; "PARAMETERS:        →¶" &amp; "ShareholdersEquity →(Required) Shareholders' Equity (total assets - total liabilities) ¶" &amp; "TotalAssets        →(Required) Both current and long-term assets¶" &amp; "IntangibleAssets   →(Required) Deducted from total assets before the comparison¶" &amp; "EXAMPLES:          →Formula (oz is assumed to be the module's name)¶" &amp; "40%                →=oz.EquityRatioλ( 20.0,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oz.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→https://github.com/ryanduguid/Ozzit¶" &amp; "VERSION:       →20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(oz is assumed to be the module's name)¶" &amp; """Cat""        →=oz.FilterContainsλ(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oz.FinancialYearλ" comment="Labels dates with their Australian financial year, which starts on 1 July">_xlfn.LAMBDA(_xlop.Dates,_xlop.StartMonth, _xlfn.LET( _xlpm.Help, TRIM(_xlfn.TEXTSPLIT( "FUNCTION:      →FinancialYearλ(Dates, [StartMonth])¶" &amp; "DESCRIPTION:   →Labels dates with their Australian financial year, which starts on 1 July.¶" &amp; "WEBPAGE:       →https://github.com/ryanduguid/Ozzit¶" &amp; "VERSION:       →20 Aug 2026¶" &amp; "PARAMETERS:    →¶" &amp; "Dates          →(Required) One or more dates, numeric or text. A blank cell returns a blank.¶" &amp; "StartMonth     →(Optional: Default = 7) Month the financial year starts. Blank cells and empty text use 7.¶" &amp; "EXAMPLES:      →¶" &amp; "→Formula (oz is assumed to be the module's name)¶" &amp; "→=oz.FinancialYearλ(DATE(2026,8,15))¶" &amp; "→Result¶" &amp; "→FY2027", "→", "¶" )), _xlpm.Help?, _xlfn.ISOMITTED(_xlpm.Dates), _xlpm.FYStart, IF(_xlfn.ISOMITTED(_xlpm.StartMonth), 7, IF(_xlpm.StartMonth = "", 7, _xlpm.StartMonth)), _xlpm.CvtDates, IF( _xlfn.ISOMITTED( _xlpm.Dates), FALSE, IF( ISNUMBER( _xlpm.Dates), _xlpm.Dates, IF( _xlpm.Dates = "", 0, DATEVALUE( _xlpm.Dates))) ), _xlpm.Result, IF(_xlpm.CvtDates = 0, "", "FY" &amp; TEXT(YEAR(_xlpm.CvtDates) + (_xlpm.FYStart&gt;1) * (MONTH(_xlpm.CvtDates) &gt;= _xlpm.FYStart), "0000")), CHOOSE( _xlpm.Help? + 1, _xlpm.Result, _xlpm.Help) ) )</definedName>
    <definedName name="oz.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→20 Aug 2026¶" &amp; "PARAMETERS:→¶" &amp; "GrossProfit    →(Required) Gross Profit¶" &amp; "NetSales       →(Required) Net Sales or Revenue¶" &amp; "EXAMPLES:      →Formula (oz is assumed to be the module's name)¶" &amp; "61.7448%       →=oz.GrossMarginλ( 62.984, 102.007 )", "→", "¶")), _xlpm.Help?, OR(_xlfn.ISOMITTED(_xlpm.GrossProfit), _xlfn.ISOMITTED(_xlpm.NetSales)), _xlpm.Result, _xlpm.GrossProfit / _xlpm.NetSales, CHOOSE(_xlpm.Help? + 1, _xlpm.Result, _xlpm.Help)))</definedName>
    <definedName name="oz.GSTAddλ" comment="Adds GST to one or more GST-exclusive amounts.">_xlfn.LAMBDA(_xlop.Amounts,_xlop.Rate, _xlfn.LET( _xlpm.Help, TRIM(_xlfn.TEXTSPLIT( "FUNCTION:      →GSTAddλ(Amounts, [Rate])¶" &amp; "DESCRIPTION:   →Adds GST to one or more GST-exclusive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GST-exclusive amounts.¶" &amp; "Rate           →(Optional: Default = 0.1) GST rate as a fraction.¶" &amp; "EXAMPLES:      →¶" &amp; "→Formula (oz is assumed to be the module's name)¶" &amp; "→=oz.GSTAddλ(100)¶" &amp; "→Result¶" &amp; "→110", "→", "¶" )), _xlpm.Help?, _xlfn.ISOMITTED(_xlpm.Amounts), _xlpm.GSTRate, IF(_xlfn.ISOMITTED(_xlpm.Rate), 0.1, IF(TRIM(_xlpm.Rate &amp; "")="", 0.1, _xlpm.Rate)), _xlpm.Result, IF(TRIM(_xlpm.Amounts &amp; "")="", "", _xlpm.Amounts * (1 + _xlpm.GSTRate)), CHOOSE( _xlpm.Help? + 1, _xlpm.Result, _xlpm.Help) ) )</definedName>
    <definedName name="oz.GSTExtractλ" comment="Returns the GST contained in one or more GST-inclusive amounts.">_xlfn.LAMBDA(_xlop.Amounts,_xlop.Rate, _xlfn.LET( _xlpm.Help, TRIM(_xlfn.TEXTSPLIT( "FUNCTION:      →GSTExtractλ(Amounts, [Rate])¶" &amp; "DESCRIPTION:   →Returns the GST contained in one or more GST-inclusive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GST-inclusive amounts.¶" &amp; "Rate           →(Optional: Default = 0.1) GST rate as a fraction.¶" &amp; "EXAMPLES:      →¶" &amp; "→Formula (oz is assumed to be the module's name)¶" &amp; "→=oz.GSTExtractλ(110)¶" &amp; "→Result¶" &amp; "→10", "→", "¶" )), _xlpm.Help?, _xlfn.ISOMITTED(_xlpm.Amounts), _xlpm.GSTRate, IF(_xlfn.ISOMITTED(_xlpm.Rate), 0.1, IF(TRIM(_xlpm.Rate &amp; "")="", 0.1, _xlpm.Rate)), _xlpm.Result, IF(TRIM(_xlpm.Amounts &amp; "")="", "", _xlpm.Amounts * _xlpm.GSTRate / (1 + _xlpm.GSTRate)), CHOOSE( _xlpm.Help? + 1, _xlpm.Result, _xlpm.Help) ) )</definedName>
    <definedName name="oz.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→20 Aug 2026¶" &amp; "PARAMETERS:        →¶" &amp; "OperatingIncome    →(Required) Operating Income (EBIT) ¶" &amp; "InterestExpenses   →(Required) Interest Expense ¶" &amp; "EXAMPLES:          →Formula (oz is assumed to be the module's name)¶" &amp; "6.944444           →=oz.InterestCoverageRatioλ( 625.0, 90.0 )", "→", "¶")), _xlpm.Help?, OR(_xlfn.ISOMITTED(_xlpm.OperatingIncome), _xlfn.ISOMITTED(_xlpm.InterestExpenses)), _xlpm.Result, _xlpm.OperatingIncome / _xlpm.InterestExpenses, CHOOSE(_xlpm.Help? + 1, _xlpm.Result, _xlpm.Help)))</definedName>
    <definedName name="oz.InterestLRVλ" comment="Calculates debt sculpting interest on the average balance over the period, the method presented by Lance Rubin">_xlfn.LAMBDA(_xlop.CFADS,_xlop.DSCR,_xlop.Principal,_xlop.InterestRate, _xlfn.LET(_xlpm.Help, TRIM(_xlfn.TEXTSPLIT( "FUNCTION:      →InterestLRVλ(CFADS, DSCR, Principal, InterestRate)¶" &amp; "DESCRIPTION:   →Calculates debt sculpting interest using the method presented by Lance Rubin.¶" &amp; "→Interest is charged on the average balance over the period, with the¶" &amp; "→principal repaid capped at the principal outstanding. The average balance¶" &amp; "→depends on the interest and the interest on the average balance, which¶" &amp; "→is solved in closed form rather than by iteration.¶" &amp; "WEBPAGE:       →https://github.com/ryanduguid/Ozzit¶" &amp; "VERSION:       →20 Aug 2026¶" &amp; "PARAMETERS:    →¶" &amp; "CFADS          →(Required) Cash Flow Available for Debt Service for this period¶" &amp; "DSCR           →(Required) Debt Service Coverage Ratio for this period¶" &amp; "Principal      →(Required) Principal balance for this period¶" &amp; "InterestRate   →(Required) Interest rate for this period (eg. APR/Days in this year * Days in this period)¶" &amp; "EXAMPLES:      →¶" &amp; "Result         →Formula (oz is assumed to be the module's name)¶" &amp; "222.90         →=oz.InterestLRVλ( 6666.37, 3.50, 90000, 3%/12)", "→", "¶" ) ), _xlpm.Help?, OR( _xlfn.ISOMITTED( _xlpm.CFADS), _xlfn.ISOMITTED( _xlpm.DSCR), _xlfn.ISOMITTED( _xlpm.Principal), _xlfn.ISOMITTED( _xlpm.InterestRate) ), _xlpm.ErrMsgs, {"CFADS must be a single number holding cash available for debt service for this period";"DSCR must be a single positive number holding debt service coverage ratio for this period";"Principal must be a single number holding this period's opening debt balance";"InterestRate must be a single number holding this period's interest rate (APR/Days in this year * Days in this period)"}, _xlpm.Errors, _xlfn.VSTACK( NOT( AND( ISNUMBER( _xlpm.CFADS), COLUMNS( _xlpm.CFADS) = 1)), NOT( AND( ISNUMBER( _xlpm.DSCR), COLUMNS( _xlpm.DSCR) = 1, _xlpm.DSCR &gt; 0)), NOT( AND( ISNUMBER( _xlpm.Principal), COLUMNS( _xlpm.Principal) = 1)), NOT( AND( ISNUMBER( _xlpm.InterestRate), COLUMNS( _xlpm.InterestRate) = 1)) ), _xlpm.Messages, _xlfn._xlws.FILTER( _xlpm.ErrMsgs, _xlpm.Errors, ""), _xlpm.DebtService, _xlpm.CFADS / _xlpm.DSCR, _xlpm.Capped?, _xlpm.DebtService &gt;= _xlpm.Principal * ( 1 + _xlpm.InterestRate / 2), _xlpm.Interest, IF( _xlpm.Capped?, _xlpm.Principal * _xlpm.InterestRate / 2, _xlpm.InterestRate * ( 2 * _xlpm.Principal - _xlpm.DebtService) / ( 2 - _xlpm.InterestRate) ), _xlpm.Result, MAX( _xlpm.Interest, 0), _xlpm.Return, IF( _xlpm.Help?, 2, IF( OR( _xlpm.Errors), 3, 1)), CHOOSE( _xlpm.Return, _xlpm.Result, _xlpm.Help, _xlpm.Messages) ) )</definedName>
    <definedName name="oz.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→https://github.com/ryanduguid/Ozzit¶" &amp; "VERSION:       →20 Aug 2026¶" &amp; "PARAMETERS:    →¶" &amp; "Principal     →(Required) Principal amount¶" &amp; "Rate          →(Required) Interest percentage rate. For years, APR. For months, APR/12¶" &amp; "EXAMPLES:      →¶" &amp; "Result         →Formula (oz is assumed to be the module's name)¶" &amp; "52.63          →=oz.IntOnIntλ( 1000, 5%)", "→", "¶")), _xlpm.Help?, OR(_xlfn.ISOMITTED(_xlpm.Principal), _xlfn.ISOMITTED(_xlpm.Rate)), _xlpm.Result, _xlpm.Principal / (1 - _xlpm.Rate) - _xlpm.Principal, CHOOSE(_xlpm.Help? + 1, _xlpm.Result, _xlpm.Help)))</definedName>
    <definedName name="oz.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→20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(oz is assumed to be the module's name)¶" &amp; "8.461538           →=oz.InventoryTurnoverRatioλ( 429, 50.7)", "→", "¶")), _xlpm.Help?, OR(_xlfn.ISOMITTED(_xlpm.CostOfGoodsSold), _xlfn.ISOMITTED(_xlpm.AverageInventory)), _xlpm.Result, _xlpm.CostOfGoodsSold / _xlpm.AverageInventory, CHOOSE(_xlpm.Help? + 1, _xlpm.Result, _xlpm.Help)))</definedName>
    <definedName name="oz.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→https://github.com/ryanduguid/Ozzit¶" &amp; "VERSION:       →20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(oz is assumed to be the module's name)¶" &amp; "Dates          →=EDATE(""1/7/2026"", SEQUENCE(,24, 0))¶" &amp; "Values         →={0,0,-150,0,-100,10,20,30,40,50,60,70}¶" &amp; "→¶" &amp; "Result         →Formula¶" &amp; "25%            →=oz.IRRλ(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oz.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_xlpm.Inclusive, IF(ISLOGICAL(_xlpm.Inclusive), _xlpm.Inclusive, TRUE),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_xlpm.Inclusive, IF(ISLOGICAL(_xlpm.Inclusive), _xlpm.Inclusive, TRUE),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→https://github.com/ryanduguid/Ozzit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(oz is assumed to be the module's name)¶" &amp; "FALSE          →=oz.IsBetweenλ(1, 2, 4)¶" &amp; "TRUE           →=oz.IsBetweenλ(Today(), Today(), Today()+1)¶" &amp; "FALSE          →=oz.IsBetweenλ(""B"",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oz.IsInListUλ" comment="Determine whether a value is one of a list of items">_xlfn.LAMBDA(_xlop.Value,_xlop.List, _xlfn.LET(_xlpm.Help, TRIM(_xlfn.TEXTSPLIT( "FUNCTION:      →IsInListUλ( Value, List)¶" &amp; "DESCRIPTION:   →Determine if a value is one of a list of items.¶" &amp; "PARAMETERS:    →¶" &amp; "Value          →(Required) A value or array of values to compare.¶" &amp; "List           →(Required) A list of values to check: a row, a column or a grid.¶" &amp; "NOTE!          →The comparison is exact and case-insensitive; * and ? are ordinary characters.¶" &amp; "→¶" &amp; "EXAMPLES:      →¶" &amp; "Result         →Formula¶" &amp; "FALSE          →=IsInListUλ(1, {2,3,4})¶" &amp; "TRUE           →=IsInListUλ(1, {1,3,5})¶" &amp; "→", "→", "¶" ) ), _xlpm.Help?, OR( _xlfn.ISOMITTED( _xlpm.Value), _xlfn.ISOMITTED( _xlpm.List) ), _xlpm.Result, ISNUMBER( _xlfn.XMATCH( _xlpm.Value, _xlfn.TOCOL( _xlpm.List), 0)), CHOOSE(_xlpm.Help? + 1, _xlpm.Result, _xlpm.Help) ) )</definedName>
    <definedName name="oz.IsInListλ" comment="Determine whether a value is one of a list of items">_xlfn.LAMBDA(_xlop.Value,_xlop.List, _xlfn.LET(_xlpm.Help, TRIM(_xlfn.TEXTSPLIT( "FUNCTION:      →IsInListλ( Value, List)¶" &amp; "DESCRIPTION:   →Determine if a value is one of a list of items.¶" &amp; "PARAMETERS:    →¶" &amp; "Value          →(Required) A value or array of values to compare.¶" &amp; "List           →(Required) A list of values to check: a row, a column or a grid.¶" &amp; "NOTE!          →The comparison is exact and case-insensitive; * and ? are ordinary characters.¶" &amp; "→¶" &amp; "EXAMPLES:      →¶" &amp; "Result         →Formula¶" &amp; "FALSE          →=IsInListλ(1, {2,3,4})¶" &amp; "TRUE           →=IsInListλ(1, {1,3,5})¶" &amp; "→", "→", "¶" ) ), _xlpm.Help?, OR( _xlfn.ISOMITTED( _xlpm.Value), _xlfn.ISOMITTED( _xlpm.List) ), _xlpm.Result, ISNUMBER( _xlfn.XMATCH( _xlpm.Value, _xlfn.TOCOL( _xlpm.List), 0)), CHOOSE(_xlpm.Help? + 1, _xlpm.Result, _xlpm.Help) ) )</definedName>
    <definedName name="oz.IsOccurrenceDateλ" comment="Returns TRUE if Date passed is when something happens. This was developed for budgeting where we have expenses that start, and sometimes repeat at regular intervals.">_xlfn.LAMBDA(_xlop.Dates,_xlop.FirstOccurrence,_xlop.LastOccurrence,_xlop.Repeats, _xlfn.LET( _xlpm.Help, TRIM(_xlfn.TEXTSPLIT( "FUNCTION: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→https://github.com/ryanduguid/Ozzit¶"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"NOTE!          →A monthly, quarterly, semi-annual or annual item that starts on the 29th, 30th or 31st¶" &amp; "→falls on the last day of any shorter month.¶" &amp; "EXAMPLES:      →¶" &amp; "Result         →Formula (oz is assumed to be the module's name)¶" &amp; "72             →=SUM(N(oz.IsOccurrenceDateλ(SEQUENCE(,90,""1/7/2026""), ""1/7/2026"", ""10/9/2026"", ""D"")))¶" &amp; "01             →=SUM(N(oz.IsOccurrenceDateλ(SEQUENCE(,90,""1/7/2026""), ""1/7/2026"", ""10/9/2026"", ""O"")))¶" &amp; "11             →=SUM(N(oz.IsOccurrenceDateλ(SEQUENCE(,90,""1/7/2026""), ""1/7/2026"", ""10/9/2026"", ""W"")))", "→", "¶" ) ), _xlpm.SemiAnnually, 6, _xlpm.Quarterly, 3, _xlpm.Biweekly, 14, _xlpm.Weekly, 7, _xlpm.Mon2Sun, 2, _xlpm.Friday, 5, _xlpm.Help?, OR( _xlfn.ISOMITTED( _xlpm.Dates), _xlfn.ISOMITTED( _xlpm.FirstOccurrence) ), _xlpm.CvtDates, IF( _xlfn.ISOMITTED( _xlpm.Dates), FALSE, IF( ISNUMBER( _xlpm.Dates), _xlpm.Dates, DATEVALUE( _xlpm.Dates)) ), _xlpm.CvtFirsts, IF( _xlfn.ISOMITTED( _xlpm.FirstOccurrence), FALSE, IF( ISNUMBER( _xlpm.FirstOccurrence), _xlpm.FirstOccurrence, DATEVALUE( _xlpm.FirstOccurrence)) ), _xlpm.CvtLasts, IF( _xlfn.ISOMITTED( _xlpm.LastOccurrence), FALSE, IF( TRIM( _xlpm.LastOccurrence) = "", "", IF( ISNUMBER( _xlpm.LastOccurrence), _xlpm.LastOccurrence, DATEVALUE( _xlpm.LastOccurrence))) ), _xlpm.Repeats, IF( _xlfn.ISOMITTED( _xlpm.Repeats), "O", IF( TRIM( _xlpm.Repeats) = "", "O", LEFT( _xlpm.Repeats, 1))), _xlpm.MonthEnds, DAY( EOMONTH( _xlpm.CvtDates, 0)), _xlpm.SameDay, DAY( _xlpm.CvtDates) = IF( DAY( _xlpm.CvtFirsts) &gt; _xlpm.MonthEnds, _xlpm.MonthEnds, DAY( _xlpm.CvtFirsts)), _xlpm.SameMonth, MONTH( _xlpm.CvtDates) = MONTH( _xlpm.CvtFirsts), _xlpm.Test, ( _xlpm.CvtFirsts &lt;= _xlpm.CvtDates) * IF(TRIM( _xlpm.CvtLasts) = "", 1, _xlpm.CvtDates &lt;= _xlpm.CvtLasts) * _xlfn.SWITCH( _xlpm.Repeats, "O", _xlpm.CvtDates = _xlpm.CvtFirsts, "A", _xlpm.SameDay * _xlpm.SameMonth, "S", _xlpm.SameDay * (MOD( MONTH( _xlpm.CvtDates), _xlpm.SemiAnnually) = MOD( MONTH( _xlpm.CvtFirsts), _xlpm.SemiAnnually)), "Q", _xlpm.SameDay * (MOD( MONTH( _xlpm.CvtDates), _xlpm.Quarterly) = MOD( MONTH( _xlpm.CvtFirsts), _xlpm.Quarterly)), "M", _xlpm.SameDay, "B", MOD( _xlpm.CvtDates, _xlpm.Biweekly) = MOD( _xlpm.CvtFirsts, _xlpm.Biweekly), "W", MOD( _xlpm.CvtDates, _xlpm.Weekly) = MOD( _xlpm.CvtFirsts, _xlpm.Weekly), "X", WEEKDAY( _xlpm.CvtDates, _xlpm.Mon2Sun) &lt;= _xlpm.Friday, "D", TRUE, 0 ), _xlpm.Result, _xlpm.Test = 1, CHOOSE( _xlpm.Help? + 1, _xlpm.Result, _xlpm.Help) ) )</definedName>
    <definedName name="oz.LabelAmortiseλ" comment="Create labels for Amortiseλ">_xlfn.LAMBDA(_xlop.LoanNames,_xlop.LoanAmounts,_xlop.LoanAPRs,_xlop.LoanTerms, _xlfn.LET( _xlpm.Help, TRIM(_xlfn.TEXTSPLIT( "FUNCTION:      →LabelAmortiseλ(LoanNames, [LoanAmounts], [LoanAPRs], [LoanTerms])¶" &amp; "DESCRIPTION:   →Create row labels for the amortisation schedule array produced by Amortiseλ¶" &amp; "WEBPAGE:       →https://github.com/ryanduguid/Ozzit¶" &amp; "VERSION:       →20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(oz is assumed to be the module's name)¶" &amp; "→=oz.LabelAmortiseλ(tblLoans[Loan Name])", "→", "¶" ) ), _xlpm.Help?, _xlfn.ISOMITTED( _xlpm.LoanNames), _xlpm.Optionals, NOT( OR( _xlfn.ISOMITTED( _xlpm.LoanAmounts), _xlfn.ISOMITTED( _xlpm.LoanAPRs), _xlfn.ISOMITTED( _xlpm.LoanTerms) )), _xlpm.Result, _xlfn.MAKEARRAY( ROWS( _xlpm.LoanNames) * 7 - 1, IF( _xlpm.Optionals, 3, 1), _xlfn.LAMBDA(_xlpm.Row,_xlpm.Col, _xlfn.LET(_xlpm.Idx, QUOTIENT( _xlpm.Row - 1, 7) + 1, _xlpm.Line, MOD( _xlpm.Row - 1, 7) + 1, _xlpm.LoanName, INDEX( _xlpm.LoanNames, _xlpm.Idx), _xlpm.LoanAmount, IF(_xlfn.ISOMITTED( _xlpm.LoanAmounts), 0, INDEX( _xlpm.LoanAmounts, _xlpm.Idx)), _xlpm.LoanAPR, IF(_xlfn.ISOMITTED( _xlpm.LoanAPRs), 0, INDEX( _xlpm.LoanAPRs, _xlpm.Idx)), _xlpm.LoanTerm, IF(_xlfn.ISOMITTED( _xlpm.LoanTerms), 0, INDEX( _xlpm.LoanTerms, _xlpm.Idx)), _xlfn.SWITCH( _xlpm.Col, 1, _xlfn.SWITCH( _xlpm.Line, 1, _xlpm.LoanName &amp; " Debt Issuance", 2, _xlpm.LoanName &amp; " Debt Balance", 3, _xlpm.LoanName &amp; " Interest", 4, _xlpm.LoanName &amp; " Debt Services", 5, _xlpm.LoanName &amp; " Closing Balance", 6, _xlpm.LoanName &amp; " Debt Repayment", ""), 2, _xlfn.SWITCH( _xlpm.Line, 1, _xlpm.LoanAmount, 3, TEXT( _xlpm.LoanAPR, "0.00%"), 4, _xlpm.LoanTerm, ""), 3, _xlfn.SWITCH( _xlpm.Line, 3, "APR", 4, "Months", "") ) ) ) ), CHOOSE(_xlpm.Help? + 1, _xlpm.Result, _xlpm.Help) ) )</definedName>
    <definedName name="oz.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→https://github.com/ryanduguid/Ozzit¶" &amp; "VERSION:       →20 Aug 2026¶" &amp; "PARAMETERS:    →¶" &amp; "AssetNames     →(Required) The names or descriptions of each asset in the depreciation schedule produced by Depreciateλ¶" &amp; "EXAMPLES:      →¶" &amp; "Result         →Formula (oz is assumed to be the module's name)¶" &amp; "→=oz.LabelDepreciateλ(tblAssets[Asset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oz.LeaseLiabilityλ" comment="Present value of the lease payments that are not paid at the commencement date">_xlfn.LAMBDA(_xlop.Payments,_xlop.Rate,_xlop.InAdvance, _xlfn.LET( _xlpm.Help, TRIM(_xlfn.TEXTSPLIT( "FUNCTION:      →LeaseLiabilityλ(Payments, Rate, [InAdvance])¶" &amp; "DESCRIPTION:   →Present value of the lease payments that are not paid at the commencement date.¶NOTES!         →AASB 16 paragraph 26 measures the lease liability at the present value¶               →of the lease payments not paid at the commencement date, discounted at¶               →the interest rate implicit in the lease where that rate can be readily¶               →determined and at the lessee's incremental borrowing rate where it¶               →cannot. When InAdvance is TRUE, the first supplied payment is paid at¶               →the measurement date and excluded from the liability. Add a payment¶               →made at or before commencement to the right-of-use asset cost instead.¶               →Rate is per period. Convert an effective annual rate with¶               →PeriodRateλ(AnnualRate, PeriodsPerYear). Divide a nominal annual rate¶               →by PeriodsPerYear only when its compounding periods match the payments.¶               →Include an amount expected to be payable under a¶               →residual value guarantee, or the exercise price of a purchase option,¶               →in the final period where paragraph 27 brings it into the lease¶               →payments. IRRλ() over the same cash flows gives an implicit rate per year;¶               →convert it to the rate per period, (1 + annual) ^ (1 / 12) - 1 for months,¶               →before passing it here.¶               →Arithmetic only: this does not determine the lease term, decide what is¶               →a lease payment, or decide whether the arrangement contains a lease.¶               →AASB 16 compilation checked 24 August 2026.¶" &amp; "WEBPAGE:       →https://github.com/ryanduguid/Ozzit¶" &amp; "VERSION:       →24 Aug 2026¶" &amp; "PARAMETERS:    →¶" &amp; "Payments       →(Required) One row or one column of lease payments, one per period, entered positive. Include the measurement-date payment first when InAdvance is TRUE.¶" &amp; "Rate           →(Required) Discount rate per period, not per year.¶" &amp; "InAdvance      →(Optional: Default = FALSE) TRUE when the first supplied payment is paid at the measurement date.¶" &amp; "EXAMPLES:      →¶" &amp; "→Formula (oz is assumed to be the module's name)¶" &amp; "→=oz.LeaseLiabilityλ({100,100,100}, 0.05)¶" &amp; "→Result¶" &amp; "→272.32", "→", "¶" )), _xlpm.Help?, OR(_xlfn.ISOMITTED(_xlpm.Payments), _xlfn.ISOMITTED(_xlpm.Rate)), _xlpm.Advance?, IF(OR(_xlfn.ISOMITTED(_xlpm.InAdvance), TRIM(_xlpm.InAdvance &amp; "")=""), FALSE, _xlpm.InAdvance), _xlpm.Flat, IF(ROWS(_xlpm.Payments) = 1, _xlpm.Payments, TRANSPOSE(_xlpm.Payments)), _xlpm.Count, COLUMNS(_xlpm.Flat), _xlpm.LiabilityPayments, IF(AND(_xlpm.Advance?, _xlpm.Count &gt; 1), _xlfn.DROP(_xlpm.Flat, , 1), IF(_xlpm.Advance?, 0, _xlpm.Flat)), _xlpm.Exponents, _xlfn.SEQUENCE(1, COLUMNS(_xlpm.LiabilityPayments)), _xlpm.Result, SUM(_xlpm.LiabilityPayments / (1 + _xlpm.Rate) ^ _xlpm.Exponents), CHOOSE( _xlpm.Help? + 1, _xlpm.Result, _xlpm.Help) ) )</definedName>
    <definedName name="oz.LeaseRemeasureλ" comment="Remeasures an AASB 16 lease liability for revised payments and adjusts the right-of-use asset">_xlfn.LAMBDA(_xlop.RevisedPayments,_xlop.Rate,_xlop.CarryingLiability,_xlop.CarryingROU,_xlop.InAdvance, _xlfn.LET( _xlpm.Help, TRIM(_xlfn.TEXTSPLIT( "FUNCTION:      →LeaseRemeasureλ(RevisedPayments, Rate, CarryingLiability, CarryingROU, [InAdvance])¶" &amp; "DESCRIPTION:   →Remeasures a lease liability for revised payments and adjusts the asset.¶NOTES!         →Returns four rows: revised lease liability, adjustment, revised¶               →right-of-use asset, amount recognised in profit or loss. AASB 16¶               →paragraph 42(b) remeasures the liability where future payments change¶               →because an index or a rate used to determine them has changed, and¶               →only when the cash flows change. Paragraph 43 keeps the discount rate¶               →unchanged for that revision, and uses a revised rate only where the¶               →change arises from a floating interest rate, so pass the original rate¶               →unless it is the rate itself that moved. When InAdvance is TRUE, the¶               →first revised payment is paid at the remeasurement date and excluded¶               →from the revised liability. Paragraph 39 takes the remeasurement to the¶               →right-of-use asset, and where that asset is reduced to nil any further¶               →reduction goes to profit or loss: row four carries that remainder,¶               →negative, because it is a credit. Arithmetic only.¶               →AASB 16 compilation checked 24 August 2026.¶" &amp; "WEBPAGE:       →https://github.com/ryanduguid/Ozzit¶" &amp; "VERSION:       →24 Aug 2026¶" &amp; "PARAMETERS:    →¶" &amp; "RevisedPayments→(Required) Revised lease payments for the remaining term, one per period, positive. Include a payment made at the remeasurement date first when InAdvance is TRUE.¶" &amp; "Rate           →(Required) Discount rate per period. Unchanged, unless a floating rate moved.¶" &amp; "CarryingLiability→(Required) Lease liability before remeasurement and before any payment due that day. Do not deduct the first revised payment.¶" &amp; "CarryingROU    →(Required) Right-of-use asset carried immediately before the remeasurement.¶" &amp; "InAdvance      →(Optional: Default = FALSE) TRUE when the first revised payment is paid at the remeasurement date.¶" &amp; "EXAMPLES:      →¶" &amp; "→Formula (oz is assumed to be the module's name)¶" &amp; "→=oz.LeaseRemeasureλ({110,110}, 0.05, 185.94, 181.55)¶" &amp; "→Result¶" &amp; "→204.54¶" &amp; "→ 18.60¶" &amp; "→200.15¶" &amp; "→  0.00", "→", "¶" )), _xlpm.Help?, OR(_xlfn.ISOMITTED(_xlpm.RevisedPayments), _xlfn.ISOMITTED(_xlpm.Rate), _xlfn.ISOMITTED(_xlpm.CarryingLiability), _xlfn.ISOMITTED(_xlpm.CarryingROU)), _xlpm.Advance?, IF(OR(_xlfn.ISOMITTED(_xlpm.InAdvance), TRIM(_xlpm.InAdvance &amp; "")=""), FALSE, _xlpm.InAdvance), _xlpm.Revised, oz.LeaseLiabilityλ(_xlpm.RevisedPayments, _xlpm.Rate, _xlpm.Advance?), _xlpm.PaidNow, IF(_xlpm.Advance?, INDEX(_xlpm.RevisedPayments, 1, 1), 0), _xlpm.Adjustment, _xlpm.Revised + _xlpm.PaidNow - _xlpm.CarryingLiability, _xlpm.RawAsset, _xlpm.CarryingROU + _xlpm.Adjustment, _xlpm.Result, _xlfn.VSTACK(_xlpm.Revised, _xlpm.Adjustment, MAX(_xlpm.RawAsset, 0), MIN(_xlpm.RawAsset, 0)), CHOOSE( _xlpm.Help? + 1, _xlpm.Result, _xlpm.Help) ) )</definedName>
    <definedName name="oz.LeaseScheduleλ" comment="Unwinds an AASB 16 lease liability: opening, payment, interest and closing for each period">_xlfn.LAMBDA(_xlop.Payments,_xlop.Rate,_xlop.InAdvance, _xlfn.LET( _xlpm.Help, TRIM(_xlfn.TEXTSPLIT( "FUNCTION:      →LeaseScheduleλ(Payments, Rate, [InAdvance])¶" &amp; "DESCRIPTION:   →Unwinds an AASB 16 lease liability over its term.¶NOTES!         →Returns four rows: opening liability, payment, interest, closing¶               →liability. When InAdvance is TRUE, the first supplied payment is paid¶               →at the measurement date and is excluded from both the opening liability¶               →and the payment row. Each remaining payment follows one period of¶               →interest, so closing is opening plus interest less payment and the last¶               →closing balance is nil. The result has one fewer column for payments in¶               →advance; a sole measurement-date payment returns one zero column. The¶               →opening balance is LeaseLiabilityλ() on the same arguments. Pair this¶               →with ROUScheduleλ() for the asset that sits opposite it: the two¶               →together give the front-loaded expense profile AASB 16 produces.¶               →Arithmetic only, on the payments and rate you supply.¶" &amp; "WEBPAGE:       →https://github.com/ryanduguid/Ozzit¶" &amp; "VERSION:       →24 Aug 2026¶" &amp; "PARAMETERS:    →¶" &amp; "Payments       →(Required) One row or one column of lease payments, one per period, entered positive. Include the measurement-date payment first when InAdvance is TRUE.¶" &amp; "Rate           →(Required) Discount rate per period, not per year.¶" &amp; "InAdvance      →(Optional: Default = FALSE) TRUE when the first supplied payment is paid at the measurement date.¶" &amp; "EXAMPLES:      →¶" &amp; "→Formula (oz is assumed to be the module's name)¶" &amp; "→=oz.LeaseScheduleλ({100,100,100}, 0.05)¶" &amp; "→Result¶" &amp; "→272.32, 185.94,  95.24¶" &amp; "→100.00, 100.00, 100.00¶" &amp; "→ 13.62,   9.30,   4.76¶" &amp; "→185.94,  95.24,   0.00", "→", "¶" )), _xlpm.Help?, OR(_xlfn.ISOMITTED(_xlpm.Payments), _xlfn.ISOMITTED(_xlpm.Rate)), _xlpm.Advance?, IF(OR(_xlfn.ISOMITTED(_xlpm.InAdvance), TRIM(_xlpm.InAdvance &amp; "")=""), FALSE, _xlpm.InAdvance), _xlpm.Flat, IF(ROWS(_xlpm.Payments) = 1, _xlpm.Payments, TRANSPOSE(_xlpm.Payments)), _xlpm.InputCount, COLUMNS(_xlpm.Flat), _xlpm.LiabilityPayments, IF(AND(_xlpm.Advance?, _xlpm.InputCount &gt; 1), _xlfn.DROP(_xlpm.Flat, , 1), IF(_xlpm.Advance?, 0, _xlpm.Flat)), _xlpm.Count, COLUMNS(_xlpm.LiabilityPayments), _xlpm.Opening1, oz.LeaseLiabilityλ(_xlpm.Flat, _xlpm.Rate, _xlpm.Advance?), _xlpm.Closings, _xlfn.SCAN(_xlpm.Opening1, _xlpm.LiabilityPayments, _xlfn.LAMBDA(_xlpm.Balance,_xlpm.Payment, _xlpm.Balance * (1 + _xlpm.Rate) - _xlpm.Payment)), _xlpm.Openings, IF(_xlpm.Count = 1, _xlpm.Opening1, _xlfn.HSTACK(_xlpm.Opening1, _xlfn.DROP(_xlpm.Closings, , -1))), _xlpm.Interest, _xlpm.Openings * _xlpm.Rate, _xlpm.Result, _xlfn.VSTACK(_xlpm.Openings, _xlpm.LiabilityPayments, _xlpm.Interest, _xlpm.Closings), CHOOSE( _xlpm.Help? + 1, _xlpm.Result, _xlpm.Help) ) )</definedName>
    <definedName name="oz.MaxColsUλ" comment="Get the maximum for each Column">_xlfn.LAMBDA(_xlop.Array, _xlfn.LET(_xlpm.Help, TRIM(_xlfn.TEXTSPLIT("FUNCTION:      →MaxColsUλ(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"→=oz.MaxColsUλ( SEQUENCE(5,5))", "→", "¶")), _xlpm.Help?, _xlfn.ISOMITTED(_xlpm.Array), _xlpm.Result, _xlfn.BYCOL(_xlpm.Array, _xlfn.LAMBDA(_xlpm.Col, MAX(_xlpm.Col))), CHOOSE(_xlpm.Help? + 1, _xlpm.Result, _xlpm.Help)))</definedName>
    <definedName name="oz.MaxColsλ" comment="Get the maximum for each Column">_xlfn.LAMBDA(_xlop.Array, _xlfn.LET(_xlpm.Help, TRIM(_xlfn.TEXTSPLIT("FUNCTION:      →MaxColsλ(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"→=oz.MaxColsλ( SEQUENCE(5,5))", "→", "¶")), _xlpm.Help?, _xlfn.ISOMITTED(_xlpm.Array), _xlpm.Result, _xlfn.BYCOL(_xlpm.Array, _xlfn.LAMBDA(_xlpm.Col, MAX(_xlpm.Col))), CHOOSE(_xlpm.Help? + 1, _xlpm.Result, _xlpm.Help)))</definedName>
    <definedName name="oz.MaxRowsUλ" comment="Get the maximum for each row">_xlfn.LAMBDA(_xlop.Array, _xlfn.LET(_xlpm.Help, TRIM(_xlfn.TEXTSPLIT("FUNCTION:      →MaxRowsUλ(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"→=oz.MaxRowsUλ( SEQUENCE(5,5))", "→", "¶")), _xlpm.Help?, _xlfn.ISOMITTED(_xlpm.Array), _xlpm.Result, _xlfn.BYROW(_xlpm.Array, _xlfn.LAMBDA(_xlpm.Row, MAX(_xlpm.Row))), CHOOSE(_xlpm.Help? + 1, _xlpm.Result, _xlpm.Help)))</definedName>
    <definedName name="oz.MaxRowsλ" comment="Get the maximum for each row">_xlfn.LAMBDA(_xlop.Array, _xlfn.LET(_xlpm.Help, TRIM(_xlfn.TEXTSPLIT("FUNCTION:      →MaxRowsλ(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"→=oz.MaxRowsλ( SEQUENCE(5,5))", "→", "¶")), _xlpm.Help?, _xlfn.ISOMITTED(_xlpm.Array), _xlpm.Result, _xlfn.BYROW(_xlpm.Array, _xlfn.LAMBDA(_xlpm.Row, MAX(_xlpm.Row))), CHOOSE(_xlpm.Help? + 1, _xlpm.Result, _xlpm.Help)))</definedName>
    <definedName name="oz.MinColsUλ" comment="Get the minimum for each Column">_xlfn.LAMBDA(_xlop.Array, _xlfn.LET(_xlpm.Help, TRIM(_xlfn.TEXTSPLIT( "FUNCTION:      →MinColsUλ( Array)¶" &amp; "DESCRIPTION:   →Get the minimum for each Column¶" &amp; "WEBPAGE:       →https://github.com/ryanduguid/Ozzit¶" &amp; "VERSION:       →20 Aug 2026¶" &amp; "PARAMETERS:    →¶" &amp; "Array          →(Required) A two dimensional array/range containing values to find the minimum by column.¶" &amp; "EXAMPLES:      →Formula (oz is assumed to be the module's name)¶" &amp; "→=oz.MinColsUλ( SEQUENCE(5,5))", "→", "¶" ) ), _xlpm.Help?, _xlfn.ISOMITTED( _xlpm.Array), _xlpm.Result, _xlfn.BYCOL( _xlpm.Array, _xlfn.LAMBDA(_xlpm.Col, MIN(_xlpm.Col))), CHOOSE(_xlpm.Help? + 1, _xlpm.Result, _xlpm.Help) ) )</definedName>
    <definedName name="oz.MinColsλ" comment="Get the minimum for each Column">_xlfn.LAMBDA(_xlop.Array, _xlfn.LET(_xlpm.Help, TRIM(_xlfn.TEXTSPLIT( "FUNCTION:      →MinColsλ( Array)¶" &amp; "DESCRIPTION:   →Get the minimum for each Column¶" &amp; "WEBPAGE:       →https://github.com/ryanduguid/Ozzit¶" &amp; "VERSION:       →20 Aug 2026¶" &amp; "PARAMETERS:    →¶" &amp; "Array          →(Required) A two dimensional array/range containing values to find the minimum by column.¶" &amp; "EXAMPLES:      →Formula (oz is assumed to be the module's name)¶" &amp; "→=oz.MinColsλ( SEQUENCE(5,5))", "→", "¶" ) ), _xlpm.Help?, _xlfn.ISOMITTED( _xlpm.Array), _xlpm.Result, _xlfn.BYCOL( _xlpm.Array, _xlfn.LAMBDA(_xlpm.Col, MIN(_xlpm.Col))), CHOOSE(_xlpm.Help? + 1, _xlpm.Result, _xlpm.Help) ) )</definedName>
    <definedName name="oz.MinRowsUλ" comment="Get the minimum for each row">_xlfn.LAMBDA(_xlop.Array, _xlfn.LET(_xlpm.Help, TRIM(_xlfn.TEXTSPLIT("FUNCTION:      →MinRowsUλ(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"→=oz.MinRowsUλ( SEQUENCE(5,5))", "→", "¶")), _xlpm.Help?, _xlfn.ISOMITTED(_xlpm.Array), _xlpm.Result, _xlfn.BYROW(_xlpm.Array, _xlfn.LAMBDA(_xlpm.Row, MIN(_xlpm.Row))), CHOOSE(_xlpm.Help? + 1, _xlpm.Result, _xlpm.Help)))</definedName>
    <definedName name="oz.MinRowsλ" comment="Get the minimum for each row">_xlfn.LAMBDA(_xlop.Array, _xlfn.LET(_xlpm.Help, TRIM(_xlfn.TEXTSPLIT("FUNCTION:      →MinRowsλ(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"→=oz.MinRowsλ( SEQUENCE(5,5))", "→", "¶")), _xlpm.Help?, _xlfn.ISOMITTED(_xlpm.Array), _xlpm.Result, _xlfn.BYROW(_xlpm.Array, _xlfn.LAMBDA(_xlpm.Row, MIN(_xlpm.Row))), CHOOSE(_xlpm.Help? + 1, _xlpm.Result, _xlpm.Help)))</definedName>
    <definedName name="oz.Movementλ" comment="Create a row of differences from column to column">_xlfn.LAMBDA(_xlop.BeginningValues,_xlop.Values, _xlfn.LET(_xlpm.Help, TRIM(_xlfn.TEXTSPLIT( "FUNCTION:      →Movementλ( [BeginningValues], Values)¶" &amp; "DESCRIPTION:   →Create a row of differences from column to column¶" &amp; "WEBPAGE:       →https://github.com/ryanduguid/Ozzit¶" &amp; "VERSION:       →20 Aug 2026¶" &amp; "PARAMETERS:    →¶" &amp; "BeginningValues→(Optional) Defaults to 0. One value, or one per row of Values¶" &amp; "Values         →(Required) A row (or rows) of values to compare column to column¶" &amp; "EXAMPLES:      →¶" &amp; "Result         →Formula (oz is assumed to be the module's name)¶" &amp; "100,10,20,-30  →=oz.Movementλ(,{100,110,130,100})", "→", "¶" ) ), _xlpm.Help?, _xlfn.ISOMITTED( _xlpm.Values), _xlpm.BeginningValues, IF(_xlfn.ISOMITTED(_xlpm.BeginningValues), 0, IF(TRIM(_xlpm.BeginningValues &amp; "")="", 0, _xlpm.BeginningValues)), _xlpm.Rows, ROWS( _xlpm.Values), _xlpm.Cols, COLUMNS( _xlpm.Values), _xlpm.Begins, _xlfn.SEQUENCE( _xlpm.Rows, 1, 0, 0) + _xlpm.BeginningValues, _xlpm.Previous, IF( _xlpm.Cols = 1, _xlpm.Begins, _xlfn.HSTACK( _xlpm.Begins, _xlfn.DROP( _xlpm.Values, , -1))), _xlpm.Result, _xlpm.Values - _xlpm.Previous, CHOOSE(_xlpm.Help? + 1, _xlpm.Result, _xlpm.Help) ) )</definedName>
    <definedName name="oz.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→20 Aug 2026¶" &amp; "PARAMETERS:→¶" &amp; "NetIncome      →(Required) Net Income includes:¶" &amp; "→Revenue¶" &amp; "→Less COGS¶" &amp; "→Less Operating and other expenses¶" &amp; "→Less Interest¶" &amp; "→Less Taxes¶" &amp; "Revenue        →(Required) Revenue¶" &amp; "EXAMPLES:      →Formula (oz is assumed to be the module's name)¶" &amp; "56%            →=oz.NetProfitMarginλ( 56.0, 100.0 )", "→", "¶")), _xlpm.Help?, OR(_xlfn.ISOMITTED(_xlpm.NetIncome), _xlfn.ISOMITTED(_xlpm.Revenue)), _xlpm.Result, _xlpm.NetIncome / _xlpm.Revenue, CHOOSE(_xlpm.Help? + 1, _xlpm.Result, _xlpm.Help)))</definedName>
    <definedName name="oz.OperatingCashFlowRatioλ" comment="Measures how readily current liabilities are covered by cash flows generated from oper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→20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(oz is assumed to be the module's name)¶" &amp; "0.35871            →=oz.OperatingCashFlowRatioλ( 27.8, 77.5)", "→", "¶")), _xlpm.Help?, OR(_xlfn.ISOMITTED(_xlpm.OperatingCashFlow), _xlfn.ISOMITTED(_xlpm.Liabilities)), _xlpm.Result, _xlpm.OperatingCashFlow / _xlpm.Liabilities, CHOOSE(_xlpm.Help? + 1, _xlpm.Result, _xlpm.Help)))</definedName>
    <definedName name="oz.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 "FUNCTION: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→20 Aug 2026¶" &amp; "PARAMETERS:→¶" &amp; "OperatingEarnings  →(Required) Earnings Before Interest and tax (EBIT), which is revenue¶" &amp; "→less COGS and less the other operating expenses¶" &amp; "Revenue            →(Required) Revenue¶" &amp; "EXAMPLES:          →Formula (oz is assumed to be the module's name)¶" &amp; "40%                →=oz.OperatingMarginλ( .8, 2.0 )", "→", "¶" ) ), _xlpm.Help?, OR( _xlfn.ISOMITTED( _xlpm.OperatingEarnings), _xlfn.ISOMITTED( _xlpm.Revenue) ), _xlpm.Result, _xlpm.OperatingEarnings/_xlpm.Revenue, CHOOSE(_xlpm.Help? + 1, _xlpm.Result, _xlpm.Help) ) )</definedName>
    <definedName name="oz.OperatingRatioλ" comment="Shows how efficient management is at keeping costs low while generating revenue _x000a_(Operating Expenses + Cost Of Goods Sold)/Net Sales)">_xlfn.LAMBDA(_xlop.OperatingExpenses,_xlop.CostOfGoodsSold,_xlop.NetSales, _xlfn.LET(_xlpm.Help, TRIM(_xlfn.TEXTSPLIT( "FUNCTION: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→20 Aug 2026¶" &amp; "PARAMETERS:→¶" &amp; "OperatingExpenses  →(Required) Operating Expenses excluding COGS, which is¶" &amp; "→supplied separately and added by the formula. Can include:¶" &amp; "→Accounting and legal fees¶" &amp; "→Bank charges¶" &amp; "→Sales and marketing costs¶" &amp; "→Non-capitalised research¶" &amp; "→development (R&amp;D) expenses¶" &amp; "CostOfGoodsSold    →(Required) Cost of Goods Sold (COGS) which can include:¶" &amp; "→Office supply costs¶" &amp; "→Rent and utility expenses¶" &amp; "→Repair and maintenance costs¶" &amp; "→Salary and wage expenses¶" &amp; "NetSales           →(Required) Net Sales or Revenue.¶" &amp; "EXAMPLES:          →Formula (oz is assumed to be the module's name)¶" &amp; "69%                →=oz.OperatingRatioλ( 14.37, 48.48, 90.75 )", "→", "¶" ) ), _xlpm.Help?, OR( _xlfn.ISOMITTED( _xlpm.OperatingExpenses), _xlfn.ISOMITTED( _xlpm.CostOfGoodsSold), _xlfn.ISOMITTED( _xlpm.NetSales) ), _xlpm.Result, (_xlpm.OperatingExpenses+_xlpm.CostOfGoodsSold)/_xlpm.NetSales, CHOOSE(_xlpm.Help? + 1, _xlpm.Result, _xlpm.Help) ) )</definedName>
    <definedName name="oz.OverLapDaysλ" comment="Return how many days overlap two period ranges.">_xlfn.LAMBDA(_xlop.Period1Start,_xlop.Period1End,_xlop.Period2Start,_xlop.Period2End, _xlfn.LET( _xlpm.Help, TRIM(_xlfn.TEXTSPLIT( "FUNCTION:      →OverLapDaysλ(Period1Start, Period1End, Period2Start, Period2End)¶" &amp; "DESCRIPTION:   →Count days shared between two sets of periods.¶" &amp; "WEBSITE:       →https://github.com/ryanduguid/Ozzit¶" &amp; "PARAMETERS:    →¶" &amp; "Period1Start   →(Required) First period's start date.¶" &amp; "Period1End     →(Required) First period's end date.¶" &amp; "Period2Start   →(Required) Second period's start date.¶" &amp; "Period2End     →(Required) Second period's end date.¶" &amp; "EXAMPLES:      →¶" &amp; "Result         →Formula (oz is assumed to be the module's name)¶" &amp; "5              →=oz.OverLapDaysλ(08, 14, 10, 17)¶" &amp; "8              →=oz.OverLapDaysλ(10, 20, 11, 18)¶" &amp; "2              →=oz.OverLapDaysλ(""17/7/2026"", ""25/7/2026"", ""7/7/2026"", ""18/7/2026"")", "→", "¶" ) ), _xlpm.Help?, OR( _xlfn.ISOMITTED( _xlpm.Period1Start), _xlfn.ISOMITTED( _xlpm.Period1End), _xlfn.ISOMITTED( _xlpm.Period2Start), _xlfn.ISOMITTED( _xlpm.Period2End) ), _xlpm.CvtP1Start, IF( _xlfn.ISOMITTED( _xlpm.Period1Start), FALSE, IF( ISNUMBER( _xlpm.Period1Start), _xlpm.Period1Start, DATEVALUE( _xlpm.Period1Start)) ), _xlpm.CvtP1End, IF( _xlfn.ISOMITTED( _xlpm.Period1End), FALSE, IF( ISNUMBER( _xlpm.Period1End), _xlpm.Period1End, DATEVALUE( _xlpm.Period1End)) ), _xlpm.CvtP2Start, IF( _xlfn.ISOMITTED( _xlpm.Period2Start), FALSE, IF( ISNUMBER( _xlpm.Period2Start), _xlpm.Period2Start, DATEVALUE( _xlpm.Period2Start)) ), _xlpm.CvtP2End, IF( _xlfn.ISOMITTED( _xlpm.Period2End), FALSE, IF( ISNUMBER( _xlpm.Period2End), _xlpm.Period2End, DATEVALUE( _xlpm.Period2End)) ), _xlpm.MinOfEnd, IF(_xlpm.CvtP2End &lt;= _xlpm.CvtP1End, _xlpm.CvtP2End, _xlpm.CvtP1End), _xlpm.MaxOfStart, IF(_xlpm.CvtP2Start &gt;= _xlpm.CvtP1Start, _xlpm.CvtP2Start, _xlpm.CvtP1Start), _xlpm.Days, _xlpm.MinOfEnd - _xlpm.MaxOfStart + 1, _xlpm.Result, IF(_xlpm.Days &gt; 0, _xlpm.Days, 0), CHOOSE( _xlpm.Help? + 1, _xlpm.Result, _xlpm.Help) ) )</definedName>
    <definedName name="oz.PayableDaysλ" comment="Payable days, or days payable outstanding (DPO): Payables / Purchases x Days">_xlfn.LAMBDA(_xlop.Payables,_xlop.Purchases,_xlop.Days, _xlfn.LET( _xlpm.Help, TRIM(_xlfn.TEXTSPLIT( "FUNCTION:      →PayableDaysλ(Payables, Purchases, [Days])¶" &amp; "DESCRIPTION:   →Payable days, or days payable outstanding (DPO): the days of purchases not yet paid.¶NOTES!         →Payables / Purchases * Days. Days is the number of days the Purchases¶               →figure covers, as for ReceivableDaysλ(). Credit purchases are the matching¶               →flow; cost of sales is the common substitute where purchases are not¶               →reported. Pass closing payables, or the average of opening and closing. Put¶               →the balance and the purchases on the same basis: where one includes GST and¶               →the other does not, adjust the inputs first, because this function makes¶               →no GST adjustment. Purchases of 0 returns #DIV/0!, and Days of 0 or less¶               →returns #NUM!.¶" &amp; "WEBPAGE:       →https://github.com/ryanduguid/Ozzit/blob/main/docs/ratio-definitions.md¶" &amp; "VERSION:       →29 Sep 2026¶" &amp; "PARAMETERS:    →¶" &amp; "Payables       →(Required) Trade payables: the closing balance, or the average of opening and closing.¶" &amp; "Purchases      →(Required) Credit purchases, or cost of sales, over the same Days.¶" &amp; "Days           →(Optional: Default = 365) Days the Purchases figure covers.¶" &amp; "EXAMPLES:      →¶" &amp; "→Formula (oz is assumed to be the module's name)¶" &amp; "→=oz.PayableDaysλ(64000, 780000)¶" &amp; "→Result¶" &amp; "→29.9487", "→", "¶" )), _xlpm.Help?, OR(_xlfn.ISOMITTED(_xlpm.Payables), _xlfn.ISOMITTED(_xlpm.Purchases)), _xlpm.Period, IF(_xlfn.ISOMITTED(_xlpm.Days), 365, IF(_xlpm.Days = "", 365, IF(ISNUMBER(_xlpm.Days), _xlpm.Days, #VALUE!))), _xlpm.Result, IF(_xlpm.Period &lt;= 0, #NUM!, _xlpm.Payables / _xlpm.Purchases * _xlpm.Period), CHOOSE( _xlpm.Help? + 1, _xlpm.Result, _xlpm.Help) ) )</definedName>
    <definedName name="oz.PeriodDiffλ" comment="Determine the number of periods between two dates.">_xlfn.LAMBDA(_xlop.StartDate,_xlop.EndDate,_xlop.Interval, _xlfn.LET( _xlpm.Help, TRIM(_xlfn.TEXTSPLIT( "FUNCTION:      →PeriodDiffλ(StartDate, EndDate, Interval)¶" &amp; "DESCRIPTION:   →Determine the number of periods between two dates.¶" &amp; "NOTES!         →This improves on, and corrects problems w/Excel's deprecated DATEDIF() function.¶" &amp; "WEBPAGE:       →https://github.com/ryanduguid/Ozzit¶" &amp; "VERSION:       →20 Aug 2026¶" &amp; "PARAMETERS:    →¶" &amp; "StartDate      →(Required) Start Date.¶" &amp; "EndDate        →(Required) End Date¶" &amp; "Interval       →(Required) W=Week, M=Month, Q=Quarter, Y=Year.¶" &amp; "EXAMPLES:      →¶" &amp; "Result         →Formula (oz is assumed to be the module's name)¶" &amp; "2              →=oz.PeriodDiffλ(""2026-01-01"", ""2026-04-15"", ""Q"")", "→", "¶" ) ), _xlpm.Help?, OR( _xlfn.ISOMITTED( _xlpm.StartDate), _xlfn.ISOMITTED( _xlpm.EndDate), _xlfn.ISOMITTED( _xlpm.Interval) ), _xlpm.MpP, _xlfn.SWITCH( _xlpm.Interval, "M", 1, "Q", 3, "Y", 12, 0), _xlpm.Months, DATEDIF( _xlpm.StartDate, _xlpm.EndDate, "M") + 1, _xlpm.Divisor, IF( _xlpm.MpP = 0, 1, _xlpm.MpP), _xlpm.Periods, INT( _xlpm.Months / _xlpm.Divisor), _xlpm.PartialPeriod, N( MOD( _xlpm.Months, _xlpm.Divisor) &gt; 0), _xlpm.EOMCorrection, N( AND( _xlpm.EndDate = EOMONTH( _xlpm.EndDate, 0), DAY( _xlpm.StartDate) &gt; DAY( _xlpm.EndDate))), _xlpm.Result, _xlfn.IFS( _xlpm.Interval = "W", INT((_xlpm.EndDate - _xlpm.StartDate + 1) / 7), _xlpm.MpP = 0, NA(), TRUE, _xlpm.Periods + OR(_xlpm.PartialPeriod, _xlpm.EOMCorrection)), CHOOSE( _xlpm.Help? + 1, _xlpm.Result, _xlpm.Help) ) )</definedName>
    <definedName name="oz.PeriodLabelλ" comment="Creates a label for a date based on period interval">_xlfn.LAMBDA(_xlop.Date,_xlop.Interval, _xlfn.LET( _xlpm.Help, TRIM(_xlfn.TEXTSPLIT( "FUNCTION:      →PeriodLabelλ(Date, [Interval])¶" &amp; "DESCRIPTION:   →Creates a label for a date based on period interval¶" &amp; "WEBPAGE:       →https://github.com/ryanduguid/Ozzit¶"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(oz is assumed to be the module's name)¶" &amp; "2026-Aug-26    →=oz.PeriodLabelλ(DATEVALUE(""26/8/2026""), ""D"")¶" &amp; "2026-Aug       →=oz.PeriodLabelλ(DATEVALUE(""26/8/2026""), ""M"")¶" &amp; "2026:Q3       →=oz.PeriodLabelλ(DATEVALUE(""26/8/2026""), ""Q"")¶" &amp; "2026           →=oz.PeriodLabelλ(DATEVALUE(""26/8/2026""), ""Y"")", "→", "¶" ) ), _xlpm.Help?, _xlfn.ISOMITTED( _xlpm.Date), _xlpm.CvtDate, IF( _xlfn.ISOMITTED( _xlpm.Date), FALSE, IF( ISNUMBER( _xlpm.Date), _xlpm.Date, DATEVALUE( _xlpm.Date)) ), _xlpm.Interval, IF( _xlfn.ISOMITTED( _xlpm.Interval), "M", _xlpm.Interval), _xlpm.Result, _xlfn.SWITCH(_xlpm.Interval, "D", TEXT(_xlpm.CvtDate, "yyyy-mmm-dd"), "W", YEAR(_xlpm.CvtDate) &amp; ":W" &amp; TEXT(QUOTIENT(_xlpm.CvtDate - DATE(YEAR(_xlpm.CvtDate), 1, 0) - 1, 7) + 1, "00"), "I", YEAR(_xlpm.CvtDate + 4 - WEEKDAY(_xlpm.CvtDate, 2)) &amp; ":W" &amp; TEXT(_xlfn.ISOWEEKNUM(_xlpm.CvtDate), "00"), "M", TEXT(_xlpm.CvtDate, "YYYY-MMM"), "Q", YEAR(_xlpm.CvtDate) &amp; ":Q" &amp; QUOTIENT(MONTH(_xlpm.CvtDate) - 1, 3) + 1, "S", YEAR(_xlpm.CvtDate) &amp; ":S" &amp; QUOTIENT(MONTH(_xlpm.CvtDate) - 1, 6) + 1, "A", TEXT(_xlpm.CvtDate, "YYYY"), "Y", TEXT(_xlpm.CvtDate, "YYYY"), #VALUE! ), CHOOSE( _xlpm.Help? + 1, _xlpm.Result, _xlpm.Help) ) )</definedName>
    <definedName name="oz.PeriodRateλ" comment="Converts an effective annual rate to the equivalent rate per period, the rate the lease functions take">_xlfn.LAMBDA(_xlop.AnnualRate,_xlop.PeriodsPerYear, _xlfn.LET( _xlpm.Help, TRIM(_xlfn.TEXTSPLIT( "FUNCTION:      →PeriodRateλ(AnnualRate, [PeriodsPerYear])¶" &amp; "DESCRIPTION:   →Converts an effective annual rate to the equivalent rate per period.¶NOTES!         →(1 + AnnualRate) ^ (1 / PeriodsPerYear) - 1, so compounding the result¶               →PeriodsPerYear times gives the annual rate back. This is the rate per¶               →period that LeaseLiabilityλ(), LeaseScheduleλ() and LeaseRemeasureλ()¶               →take. It is for an effective annual rate. A nominal annual percentage¶               →rate that compounds monthly is already APR / 12 per month, so do not¶               →pass it here; EFFECT() turns one into the effective rate this takes.¶               →AnnualRateλ() is the inverse.¶" &amp; "WEBPAGE:       →https://github.com/ryanduguid/Ozzit¶" &amp; "VERSION:       →6 Sep 2026¶" &amp; "PARAMETERS:    →¶" &amp; "AnnualRate     →(Required) Effective annual rate, or a row or column of them.¶" &amp; "PeriodsPerYear →(Optional: Default = 12) Periods in a year: 12 for months, 4 for quarters, 1 for years.¶" &amp; "EXAMPLES:      →¶" &amp; "→Formula (oz is assumed to be the module's name)¶" &amp; "→=oz.PeriodRateλ(0.05)¶" &amp; "→Result¶" &amp; "→0.004074", "→", "¶" )), _xlpm.Help?, _xlfn.ISOMITTED(_xlpm.AnnualRate), _xlpm.Periods, IF(_xlfn.ISOMITTED(_xlpm.PeriodsPerYear), 12, IF(ISNUMBER(_xlpm.PeriodsPerYear), _xlpm.PeriodsPerYear, 12)), _xlpm.Result, (1 + _xlpm.AnnualRate) ^ (1 / _xlpm.Periods) - 1, CHOOSE( _xlpm.Help? + 1, _xlpm.Result, _xlpm.Help) ) )</definedName>
    <definedName name="oz.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→https://github.com/ryanduguid/Ozzit¶" &amp; "VERSION:       →20 Aug 2026¶" &amp; "PARAMETERS:    →¶" &amp; "AnyPeriodStart →(Required) Any start date within a timeline.¶" &amp; "MonthsPerPeriod→(Required) Number of months in each period¶" &amp; "DateOfInterest →(Required) A date for which we want to know the start of the period containing it.¶" &amp; "EXAMPLES:      →¶" &amp; "Result         →Formula (oz is assumed to be the module's name)¶" &amp; "2026-10-01     →=oz.PeriodStartλ(""2026-07-01"", 3, ""2026-10-15"")", "→", "¶")), _xlpm.Help?, OR(_xlfn.ISOMITTED(_xlpm.AnyPeriodStart), _xlfn.ISOMITTED(_xlpm.MonthsPerPeriod), _xlfn.ISOMITTED(_xlpm.DateOfInterest)), _xlpm.MpY, 12, _xlpm.MpP, _xlpm.MonthsPerPeriod, _xlpm.CvtStart, IF(ISTEXT(_xlpm.AnyPeriodStart), DATEVALUE(_xlpm.AnyPeriodStart), _xlpm.AnyPeriodStart), _xlpm.CvtDate, IF(ISTEXT(_xlpm.DateOfInterest), DATEVALUE(_xlpm.DateOfInterest), _xlpm.DateOfInterest), _xlpm.MonthDiff, (YEAR(_xlpm.CvtDate) - YEAR(_xlpm.CvtStart)) * _xlpm.MpY + MONTH(_xlpm.CvtDate) - MONTH(_xlpm.CvtStart), _xlpm.WholePeriods, QUOTIENT(_xlpm.MonthDiff, _xlpm.MpP), _xlpm.Candidate, EDATE(_xlpm.CvtStart, _xlpm.WholePeriods * _xlpm.MpP), _xlpm.Result, IF(_xlpm.Candidate &gt; _xlpm.CvtDate, EDATE(_xlpm.CvtStart, (_xlpm.WholePeriods - 1) * _xlpm.MpP), _xlpm.Candidate), CHOOSE(_xlpm.Help? + 1, _xlpm.Result, _xlpm.Help)))</definedName>
    <definedName name="oz.Periodsλ" comment="Determine the number of periods from Starts to Date2 in Days, Weeks, Months, Quarters, or Years.">_xlfn.LAMBDA(_xlop.Starts,_xlop.Ends,_xlop.Intervals, _xlfn.LET( _xlpm.Help, TRIM(_xlfn.TEXTSPLIT( "FUNCTION:      →Periodsλ(Starts, Ends, [Intervals])¶" &amp; "DESCRIPTION:   →Determine the number of periods from Starts to Ends inclusive.¶" &amp; "→Differences to Excel's DATEDIF are:¶" &amp; "→* Interval includes Weeks &amp; Quarters¶" &amp; "→* Counts the period starts crossed, so a part period at the end counts¶" &amp; "→* Returns negative values if Starts is after Ends¶" &amp; "WEBPAGE:       →https://github.com/ryanduguid/Ozzit¶" &amp; "PARAMETERS:    →¶" &amp; "Starts         →(Required) First date (normally older). A single date or an array of dates.¶" &amp; "Ends           →(Required) Second date (normally newer). A single date or an array the same shape as Starts.¶" &amp; "→A single Starts or Ends is applied to every date in the other.¶" &amp; "Intervals      →(Optional) Days, Weeks, Months (default), Quarters, or Years (D, W, M, Q, Y).¶" &amp; "→One code, or an array of codes the same shape as the dates.¶" &amp; "EXAMPLES:      →¶" &amp; "Result         →Formula (oz is assumed to be the module's name)¶" &amp; "2              →=oz.Periodsλ(""31/7/2026"", ""15/9/2026"")¶" &amp; "-2             →=oz.Periodsλ(""15/9/2026"", ""31/7/2026"")¶" &amp; "-12            →=oz.Periodsλ(""15/7/2027"", ""16/7/2026"")¶" &amp; "-52            →=oz.Periodsλ(""15/7/2027"", ""16/7/2026"", ""W"")", "→", "¶" ) ), _xlpm.Help?, OR( _xlfn.ISOMITTED( _xlpm.Starts), _xlfn.ISOMITTED( _xlpm.Ends) ), _xlpm.CvtStarts, IF( _xlfn.ISOMITTED( _xlpm.Starts), FALSE, IF( ISNUMBER( _xlpm.Starts), _xlpm.Starts, DATEVALUE( _xlpm.Starts)) ), _xlpm.CvtEnds, IF( _xlfn.ISOMITTED( _xlpm.Ends), FALSE, IF( ISNUMBER( _xlpm.Ends), _xlpm.Ends, DATEVALUE( _xlpm.Ends)) ), _xlpm.Intervals, IF( _xlfn.ISOMITTED( _xlpm.Intervals), "M", _xlpm.Intervals), _xlpm.MPY, 12, _xlpm.MPQ, 3, _xlpm.DPW, 7, _xlpm.WPY, 53, _xlpm.QPY, 4, _xlpm.Earliest, IF( _xlpm.CvtStarts &lt;= _xlpm.CvtEnds, _xlpm.CvtStarts, _xlpm.CvtEnds), _xlpm.Latest, IF( _xlpm.CvtStarts &lt;= _xlpm.CvtEnds, _xlpm.CvtEnds, _xlpm.CvtStarts), _xlpm.Sign, SIGN( _xlpm.CvtEnds - _xlpm.CvtStarts), _xlpm.Years, YEAR( _xlpm.Latest) - YEAR( _xlpm.Earliest), _xlpm.Periods, ( _xlpm.Intervals = "D") * ( _xlpm.Latest - _xlpm.Earliest) + ( _xlpm.Intervals = "W") * ( _xlpm.WPY * _xlpm.Years + QUOTIENT( _xlpm.Latest - DATE( YEAR( _xlpm.Latest), 1, 0) - 1, _xlpm.DPW) - QUOTIENT( _xlpm.Earliest - DATE( YEAR( _xlpm.Earliest), 1, 0) - 1, _xlpm.DPW)) + ( _xlpm.Intervals = "M") * ( _xlpm.MPY * _xlpm.Years + MONTH( _xlpm.Latest) - MONTH( _xlpm.Earliest)) + ( _xlpm.Intervals = "Q") * ( _xlpm.QPY * _xlpm.Years + QUOTIENT( MONTH( _xlpm.Latest) - 1, _xlpm.MPQ) - QUOTIENT( MONTH( _xlpm.Earliest) - 1, _xlpm.MPQ)) + ( _xlpm.Intervals = "Y") * _xlpm.Years, _xlpm.Known, IF( ISNUMBER( _xlfn.XMATCH( _xlpm.Intervals, {"D","W","M","Q","Y"}, 0)), 1, #N/A), _xlpm.Result, _xlpm.Sign * _xlpm.Periods * _xlpm.Known, CHOOSE( _xlpm.Help? + 1, _xlpm.Result, _xlpm.Help) ) )</definedName>
    <definedName name="oz.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→20 Aug 2026¶" &amp; "PARAMETERS:→¶" &amp; "PretaxEarnings →(Required) Earnings before tax (EBT)¶" &amp; "Revenue        →(Required) Revenue¶" &amp; "EXAMPLES:      →Formula (oz is assumed to be the module's name)¶" &amp; "8%             →=oz.PretaxMarginλ( 40.0, 500.0 )", "→", "¶")), _xlpm.Help?, OR(_xlfn.ISOMITTED(_xlpm.PretaxEarnings), _xlfn.ISOMITTED(_xlpm.Revenue)), _xlpm.Result, _xlpm.PretaxEarnings / _xlpm.Revenue, CHOOSE(_xlpm.Help? + 1, _xlpm.Result, _xlpm.Help)))</definedName>
    <definedName name="oz.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→20 Aug 2026¶" &amp; "PARAMETERS:→¶" &amp; "SharePrice         →(Required) Share Price (Market Value Per Share) ¶" &amp; "EarningsPerShare   →(Required) Earnings Per Share¶" &amp; "EXAMPLES:          →Formula (oz is assumed to be the module's name)¶" &amp; "14.39881           →=oz.PriceEarningsRatioλ( 242.62, 16.85)", "→", "¶")), _xlpm.Help?, OR(_xlfn.ISOMITTED(_xlpm.SharePrice), _xlfn.ISOMITTED(_xlpm.EarningsPerShare)), _xlpm.Result, _xlpm.SharePrice / _xlpm.EarningsPerShare, CHOOSE(_xlpm.Help? + 1, _xlpm.Result, _xlpm.Help)))</definedName>
    <definedName name="oz.PriceToBookRatioλ" comment="Many investors use the price-to-book ratio (P/B ratio) to compare a firm's market _x000a_capitalisation to its book value and locate undervalued companies.">_xlfn.LAMBDA(_xlop.MarketPricePerShare,_xlop.BookValuePerShare, _xlfn.LET(_xlpm.Help, TRIM(_xlfn.TEXTSPLIT( "FUNCTION: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→20 Aug 2026¶" &amp; "PARAMETERS:→¶" &amp; "MarketPricePerShare→(Required) Market Price Per Share (Current market price of the share)¶" &amp; "BookValuePerShare  →(Required) Tangible book value per share (oz.BVPSλ keeps intangibles) ¶" &amp; "→(Total assets - intangible assets - total liabilities) ÷ number of outstanding shares ¶" &amp; "EXAMPLES:          →Formula (oz is assumed to be the module's name)¶" &amp; "2.0                →=oz.PriceToBookRatioλ( 5, 2.50 )", "→", "¶" ) ), _xlpm.Help?, OR( _xlfn.ISOMITTED( _xlpm.MarketPricePerShare), _xlfn.ISOMITTED( _xlpm.BookValuePerShare) ), _xlpm.Result, _xlpm.MarketPricePerShare/_xlpm.BookValuePerShare, CHOOSE(_xlpm.Help? + 1, _xlpm.Result, _xlpm.Help) ) )</definedName>
    <definedName name="oz.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→20 Aug 2026¶" &amp; "PARAMETERS:→¶" &amp; "MarketPricePerShare→(Required) Market Price Per Share (Current market price of the share)¶" &amp; "OperatingCashFlowPerShare→(Required) Operating Cash Flow for prior 12 months/Shares outstanding ¶" &amp; "EXAMPLES:          →Formula (oz is assumed to be the module's name)¶" &amp; "2                  →=oz.PriceToCashRatioλ( 200.0, 100.0 )", "→", "¶")), _xlpm.Help?, OR(_xlfn.ISOMITTED(_xlpm.MarketPricePerShare), _xlfn.ISOMITTED(_xlpm.OperatingCashFlowPerShare)), _xlpm.Result, _xlpm.MarketPricePerShare / _xlpm.OperatingCashFlowPerShare, CHOOSE(_xlpm.Help? + 1, _xlpm.Result, _xlpm.Help)))</definedName>
    <definedName name="oz.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→20 Aug 2026¶" &amp; "PARAMETERS:→¶" &amp; "MarketPricePerShare→(Required) Market Price Per Share (Current market price of the share)¶" &amp; "SalesPerShare      →(Required) Annual Sales Per Share (Revenue prior 12 months) ¶" &amp; "EXAMPLES:          →Formula (oz is assumed to be the module's name)¶" &amp; "4.55               →=oz.PriceToSalesRatioλ( 455.0, 100.0 )", "→", "¶")), _xlpm.Help?, OR(_xlfn.ISOMITTED(_xlpm.MarketPricePerShare), _xlfn.ISOMITTED(_xlpm.SalesPerShare)), _xlpm.Result, _xlpm.MarketPricePerShare / _xlpm.SalesPerShare, CHOOSE(_xlpm.Help? + 1, _xlpm.Result, _xlpm.Help)))</definedName>
    <definedName name="oz.PrimeCostλ" comment="Straight-line depreciation schedule for one asset or asset class, in whole years. A modelling schedule, not a tax calculation.">_xlfn.LAMBDA(_xlop.Cost,_xlop.Life, _xlfn.LET( _xlpm.Help, TRIM(_xlfn.TEXTSPLIT( "FUNCTION:      →PrimeCostλ(Cost, Life)¶" &amp; "DESCRIPTION:   →Straight-line depreciation schedule for one asset or asset class, in whole years. A modelling schedule, not a tax calculation.¶" &amp; "WEBPAGE:       →https://github.com/ryanduguid/Ozzit¶" &amp; "VERSION:       →20 Aug 2026¶" &amp; "PARAMETERS:    →¶" &amp; "Cost           →(Required) Asset's cost.¶" &amp; "Life           →(Required) Asset's effective life in years.¶" &amp; "EXAMPLES:      →¶" &amp; "→Formula (oz is assumed to be the module's name)¶" &amp; "→=oz.PrimeCostλ(1000, 5)¶" &amp; "→Result¶" &amp; "→200.00,200.00,200.00,200.00,200.00", "→", "¶" )), _xlpm.Help?, OR(_xlfn.ISOMITTED(_xlpm.Cost), _xlfn.ISOMITTED(_xlpm.Life)), _xlpm.Valid?, AND(ISNUMBER(_xlpm.Life), _xlpm.Life &gt; 0), _xlpm.Annual, _xlpm.Cost/_xlpm.Life, _xlpm.Count, MAX(1, ROUNDUP(_xlpm.Life, 0)), _xlpm.Result, IF(_xlpm.Valid?, IF(_xlfn.SEQUENCE(, _xlpm.Count) = _xlpm.Count, _xlpm.Cost - _xlpm.Annual * (_xlpm.Count - 1), _xlpm.Annual), "PrimeCostλ needs a Life greater than 0"), CHOOSE( _xlpm.Help? + 1, _xlpm.Result, _xlpm.Help) ) )</definedName>
    <definedName name="oz.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→20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(oz is assumed to be the module's name)¶" &amp; "1.2            →=oz.QuickRatioλ( 165000, 137500)", "→", "¶")), _xlpm.Help?, OR(_xlfn.ISOMITTED(_xlpm.QuickAssets), _xlfn.ISOMITTED(_xlpm.Liabilities)), _xlpm.Result, _xlpm.QuickAssets / _xlpm.Liabilities, CHOOSE(_xlpm.Help? + 1, _xlpm.Result, _xlpm.Help)))</definedName>
    <definedName name="oz.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→https://github.com/ryanduguid/Ozzit¶" &amp; "VERSION:       →20 Aug 2026¶" &amp; "PARAMETERS:    →¶" &amp; "Cell           →(Required) The upper left cell of a range to convert¶" &amp; "Rows           →(Optional) The number of rows for dynamic array. Defaults to 1.¶" &amp; "Columns        →(Optional) The number of columns for dynamic array. Defaults to 1.¶" &amp; "EXAMPLES:      →¶" &amp; "Result         →Formula (oz is assumed to be the module's name)¶" &amp; "               →=oz.RangeToDAλ(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oz.RateAtDateλ" comment="Returns the rate in effect on each date from a table of effective dates and rates, refusing gaps, unsorted or repeated dates">_xlfn.LAMBDA(_xlop.EffectiveDates,_xlop.Rates,_xlop.Dates, _xlfn.LET( _xlpm.Help, TRIM(_xlfn.TEXTSPLIT( "FUNCTION:      →RateAtDateλ(EffectiveDates, Rates, Dates)¶" &amp; "DESCRIPTION:   →Returns the rate in effect on each date from your table of effective dates and rates.¶NOTES!         →Each rate applies from its effective date until the next one. Dates may¶               →be one date or a row or column of them, and the result takes their shape.¶               →A date before the first effective date has no rate in effect and returns¶               →#N/A. The table must be complete and in order, so instead of a result it¶               →returns a message when EffectiveDates and Rates differ in length or hold¶               →a blank or text entry, when the dates are not in ascending order, or when¶               →a date repeats. A text or blank date in Dates returns #VALUE!. The¶               →library ships no rate table: supply your own, with its source and the¶               →date you checked it. ScheduleRatesλ() lays rates across a timeline¶               →without these checks.¶" &amp; "WEBPAGE:       →https://github.com/ryanduguid/Ozzit¶" &amp; "VERSION:       →19 Oct 2026¶" &amp; "PARAMETERS:    →¶" &amp; "EffectiveDates →(Required) A row or column of dates from which each rate applies, in ascending order.¶" &amp; "Rates          →(Required) The rate that applies from each effective date, the same length as EffectiveDates.¶" &amp; "Dates          →(Required) The date, or a row or column of dates, to look up.¶" &amp; "EXAMPLES:      →¶" &amp; "→Formula (oz is assumed to be the module's name)¶" &amp; "→=oz.RateAtDateλ(DATE(2026, {1;7;10}, 1), {0.04;0.045;0.05}, DATE(2026, 8, 15))¶" &amp; "→Result¶" &amp; "→0.045", "→", "¶" )), _xlpm.Help?, OR(_xlfn.ISOMITTED(_xlpm.EffectiveDates), _xlfn.ISOMITTED(_xlpm.Rates), _xlfn.ISOMITTED(_xlpm.Dates)), _xlpm.Starts, _xlfn.TOCOL(_xlpm.EffectiveDates), _xlpm.Values, _xlfn.TOCOL(_xlpm.Rates), _xlpm.Count, ROWS(_xlpm.Starts), _xlpm.Complete?, AND(_xlpm.Count = ROWS(_xlpm.Values), ISNUMBER(_xlpm.EffectiveDates), ISNUMBER(_xlpm.Rates)), _xlpm.Steps, IF(_xlpm.Count = 1, 1, _xlfn.DROP(_xlpm.Starts, 1) - _xlfn.DROP(_xlpm.Starts, -1)), _xlpm.Unsorted?, OR(_xlpm.Steps &lt; 0), _xlpm.Repeated?, OR(_xlpm.Steps = 0), _xlpm.GapMessage, "RateAtDateλ needs EffectiveDates and Rates of the same length with a number " &amp; "in every entry. A blank or text entry leaves a gap in the table.", _xlpm.SortMessage, "RateAtDateλ needs EffectiveDates in ascending order. Sort the table by " &amp; "effective date.", _xlpm.RepeatMessage, "RateAtDateλ found an effective date that repeats. Keep one rate for each " &amp; "date.", _xlpm.Result, IF(ISNUMBER(_xlpm.Dates), _xlfn.XLOOKUP(_xlpm.Dates, _xlpm.Starts, _xlpm.Values, NA(), -1, 2), #VALUE!), _xlpm.Return, IF(_xlpm.Help?, 2, IF(NOT(_xlpm.Complete?), 3, IF(_xlpm.Unsorted?, 4, IF(_xlpm.Repeated?, 5, 1)))), CHOOSE( _xlpm.Return, _xlpm.Result, _xlpm.Help, _xlpm.GapMessage, _xlpm.SortMessage, _xlpm.RepeatMessage) ) )</definedName>
    <definedName name="oz.ReceivableDaysλ" comment="Receivable days, or days sales outstanding (DSO): Receivables / Sales x Days">_xlfn.LAMBDA(_xlop.Receivables,_xlop.Sales,_xlop.Days, _xlfn.LET( _xlpm.Help, TRIM(_xlfn.TEXTSPLIT( "FUNCTION:      →ReceivableDaysλ(Receivables, Sales, [Days])¶" &amp; "DESCRIPTION:   →Receivable days, or days sales outstanding (DSO): the days of sales not yet collected.¶NOTES!         →Receivables / Sales * Days. Days is the number of days the Sales figure¶               →covers: 365 with a year's sales, 90 with the last three months' sales for¶               →a rolling figure, or a month's days with that month's sales. Pass closing¶               →receivables, or the average of opening and closing for an average-balance¶               →figure. Put the balance and the sales on the same basis: where one includes¶               →GST and the other does not, adjust the inputs first, because this function¶               →makes no GST adjustment. Sales of 0 returns #DIV/0!, and Days of 0 or less¶               →returns #NUM!.¶" &amp; "WEBPAGE:       →https://github.com/ryanduguid/Ozzit/blob/main/docs/ratio-definitions.md¶" &amp; "VERSION:       →29 Sep 2026¶" &amp; "PARAMETERS:    →¶" &amp; "Receivables    →(Required) Trade receivables: the closing balance, or the average of opening and closing.¶" &amp; "Sales          →(Required) Credit sales over the same Days.¶" &amp; "Days           →(Optional: Default = 365) Days the Sales figure covers.¶" &amp; "EXAMPLES:      →¶" &amp; "→Formula (oz is assumed to be the module's name)¶" &amp; "→=oz.ReceivableDaysλ(125000, 1200000)¶" &amp; "→Result¶" &amp; "→38.0208¶" &amp; "→=oz.ReceivableDaysλ(125000, 330000, 90)¶" &amp; "→Result¶" &amp; "→34.0909", "→", "¶" )), _xlpm.Help?, OR(_xlfn.ISOMITTED(_xlpm.Receivables), _xlfn.ISOMITTED(_xlpm.Sales)), _xlpm.Period, IF(_xlfn.ISOMITTED(_xlpm.Days), 365, IF(_xlpm.Days = "", 365, IF(ISNUMBER(_xlpm.Days), _xlpm.Days, #VALUE!))), _xlpm.Result, IF(_xlpm.Period &lt;= 0, #NUM!, _xlpm.Receivables / _xlpm.Sales * _xlpm.Period), CHOOSE( _xlpm.Help? + 1, _xlpm.Result, _xlpm.Help) ) )</definedName>
    <definedName name="oz.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→20 Aug 2026¶" &amp; "PARAMETERS:→¶" &amp; "NetCreditSales →(Required) Net Credit Sales. Amount of revenue earned by a company paid via credit¶" &amp; "AverageAccountsReceivable→(Required) Average Accounts Receivable. Average of period opening and closing balance¶" &amp; "EXAMPLES:      →Formula (oz is assumed to be the module's name)¶" &amp; "11.76471       →=oz.ReceivablesTurnoverRatioλ( 800000, 68000 )", "→", "¶")), _xlpm.Help?, OR(_xlfn.ISOMITTED(_xlpm.NetCreditSales), _xlfn.ISOMITTED(_xlpm.AverageAccountsReceivable)), _xlpm.Result, _xlpm.NetCreditSales / _xlpm.AverageAccountsReceivable, CHOOSE(_xlpm.Help? + 1, _xlpm.Result, _xlpm.Help)))</definedName>
    <definedName name="oz.RetentionRatioλ" comment="Retention Ratio is the proportion of earnings kept back in the _x000a_business as retained earnings (Retained Earnings/Net Income).">_xlfn.LAMBDA(_xlop.RetainedEarnings,_xlop.NetIncome, _xlfn.LET(_xlpm.Help, TRIM(_xlfn.TEXTSPLIT( "FUNCTION:          →RetentionRatioλ( RetainedEarnings, NetIncome )¶" &amp; "DESCRIPTION:       →Retention Ratio is the proportion of earnings kept back in the ¶" &amp; "→business as retained earnings (Retained Earnings/Net Income).¶" &amp; "WEBPAGE:           →https://www.investopedia.com/terms/r/retentionratio.asp ¶" &amp; "VERSION:           →20 Aug 2026¶" &amp; "PARAMETERS:→¶" &amp; "RetainedEarnings   →(Required) Retained Earnings (Net Income - paid dividends)¶" &amp; "NetIncome          →(Required) Net Income¶" &amp; "EXAMPLES:          →Formula (oz is assumed to be the module's name)¶" &amp; "47.3%              →=oz.RetentionRatioλ( 19.869, 41.981)", "→", "¶" ) ), _xlpm.Help?, OR( _xlfn.ISOMITTED( _xlpm.RetainedEarnings), _xlfn.ISOMITTED( _xlpm.NetIncome) ), _xlpm.Result, _xlpm.RetainedEarnings/_xlpm.NetIncome, CHOOSE(_xlpm.Help? + 1, _xlpm.Result, _xlpm.Help) ) )</definedName>
    <definedName name="oz.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→https://github.com/ryanduguid/Ozzit¶" &amp; "VERSION:       →20 Aug 2026¶" &amp; "PARAMETERS:    →¶" &amp; "OpeningValue   →(Optional) Defaults to 0¶" &amp; "RowToReverse   →(Required) A row of values to reverse the following periods¶" &amp; "EXAMPLES:      →¶" &amp; "Result         →Formula (oz is assumed to be the module's name)¶" &amp; "0,-100,-110    →=oz.Reversalλ(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oz.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→20 Aug 2026¶" &amp; "PARAMETERS:→¶" &amp; "NetIncome      →(Required) Net Income¶" &amp; "TotalAssets    →(Required) Total Assets¶" &amp; "EXAMPLES:      →Formula (oz is assumed to be the module's name)¶" &amp; "8%             →=oz.ROAλ(1200, 15000 )", "→", "¶")), _xlpm.Help?, OR(_xlfn.ISOMITTED(_xlpm.NetIncome), _xlfn.ISOMITTED(_xlpm.TotalAssets)), _xlpm.Result, _xlpm.NetIncome / _xlpm.TotalAssets, CHOOSE(_xlpm.Help? + 1, _xlpm.Result, _xlpm.Help)))</definedName>
    <definedName name="oz.ROEλ" comment="Return on equity (ROE) ratio is a measure of financial performance (Net Income/Average Shareholders' Equity)">_xlfn.LAMBDA(_xlop.NetIncome,_xlop.ShareholdersEquity,_xlop.OpeningEquity, _xlfn.LET(_xlpm.Help, TRIM(_xlfn.TEXTSPLIT( "FUNCTION:          →ROEλ( NetIncome, ShareholdersEquity, [OpeningEquity])¶" &amp; "DESCRIPTION:       →Return on equity ratio is considered a gauge of a corporation's ¶" &amp; "→profitability and how efficient it is in generating profits¶" &amp; "→(Net Income/ Average Shareholders' Equity)¶" &amp; "WEBPAGE:           →https://www.investopedia.com/terms/r/returnonequity.asp ¶" &amp; "VERSION:           →6 Sep 2026¶" &amp; "PARAMETERS:→¶" &amp; "NetIncome          →(Required) Net Income¶" &amp; "ShareholdersEquity →(Required) Shareholders' Equity at the period close. Give the average of open and close here when OpeningEquity is left out ¶" &amp; "OpeningEquity      →(Optional) Shareholders' Equity at the period open. When given, the ratio divides by the average of OpeningEquity and ShareholdersEquity ¶" &amp; "EXAMPLES:          →Formula (oz is assumed to be the module's name)¶" &amp; "23.6213%           →=oz.ROEλ( 59.972, 256.144, 251.635 )¶" &amp; "23.6213%           →=oz.ROEλ( 59.972, AVERAGE(251.635, 256.144) )", "→", "¶" ) ), _xlpm.Help?, OR( _xlfn.ISOMITTED( _xlpm.NetIncome), _xlfn.ISOMITTED( _xlpm.ShareholdersEquity) ), _xlpm.Opening, IF( _xlfn.ISOMITTED( _xlpm.OpeningEquity), _xlpm.ShareholdersEquity, IF( ISNUMBER( _xlpm.OpeningEquity), _xlpm.OpeningEquity, _xlpm.ShareholdersEquity) ), _xlpm.Result, _xlpm.NetIncome / ((_xlpm.ShareholdersEquity + _xlpm.Opening) / 2), CHOOSE(_xlpm.Help? + 1, _xlpm.Result, _xlpm.Help) ) )</definedName>
    <definedName name="oz.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→20 Aug 2026¶" &amp; "PARAMETERS:→¶" &amp; "NetOperatingProfitAfterTax→(Required) Net Operating profit after Tax [ operating profit x (1 - effective tax rate) ].¶" &amp; "InvestedCapital→(Required) Invested Capital (Debt + Equity).¶" &amp; "EXAMPLES:      →Formula (oz is assumed to be the module's name)¶" &amp; "12.6122%       →=oz.ROICλ( 3245, 25729 )", "→", "¶")), _xlpm.Help?, OR(_xlfn.ISOMITTED(_xlpm.NetOperatingProfitAfterTax), _xlfn.ISOMITTED(_xlpm.InvestedCapital)), _xlpm.Result, _xlpm.NetOperatingProfitAfterTax / _xlpm.InvestedCapital, CHOOSE(_xlpm.Help? + 1, _xlpm.Result, _xlpm.Help)))</definedName>
    <definedName name="oz.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→https://www.investopedia.com/terms/r/returnoninvestment.asp ¶" &amp; "VERSION:               →20 Aug 2026¶" &amp; "PARAMETERS:→¶" &amp; "NetReturnonInvestment  →(Required) Net Return on Investment is the ¶" &amp; "→final value of investment - initial value of investment¶" &amp; "CostofInvestment       →(Required) Cost of Investment ¶" &amp; "EXAMPLES:              →Formula (oz is assumed to be the module's name)¶" &amp; "28.75%                 →=oz.ROIλ( 2875, 10000 )", "→", "¶")), _xlpm.Help?, OR(_xlfn.ISOMITTED(_xlpm.NetReturnonInvestment), _xlfn.ISOMITTED(_xlpm.CostofInvestment)), _xlpm.Result, _xlpm.NetReturnonInvestment / _xlpm.CostofInvestment, CHOOSE(_xlpm.Help? + 1, _xlpm.Result, _xlpm.Help)))</definedName>
    <definedName name="oz.RollingAvgλ" comment="Creates Averages for preceding values of a set size moving from beginning to end over a row of values.">_xlfn.LAMBDA(_xlop.Values,_xlop.Size, _xlfn.LET(_xlpm.Help, TRIM(_xlfn.TEXTSPLIT( "FUNCTION:      →RollingAvgλ( Values, Size)¶" &amp; "DESCRIPTION:   →Creates averages for preceding values of a set size moving¶" &amp; "→from beginning to end over a row of values¶" &amp; "WEBPAGE:       →https://github.com/ryanduguid/Ozzit¶" &amp; "VERSION:       →20 Aug 2026¶" &amp; "PARAMETERS:    →¶" &amp; "Values         →(Required) A row of values to be averaged.¶" &amp; "Size           →(Required) The number of values to average that ¶" &amp; "→include and precede the current value¶" &amp; "EXAMPLES:      →¶" &amp; "Result         →Formula (oz is assumed to be the module's name)¶" &amp; "1,1.5,2,3,4    →=oz.RollingAvgλ(SEQUENCE(, 5), 3)", "→", "¶" ) ), _xlpm.Help?, OR( _xlfn.ISOMITTED( _xlpm.Values), _xlfn.ISOMITTED( _xlpm.Size)), _xlpm.Counter, _xlfn.SEQUENCE(, COLUMNS( _xlpm.Values)), _xlpm.Result, _xlfn.MAP( _xlpm.Counter, _xlfn.LAMBDA(_xlpm.Val, AVERAGE( _xlfn.CHOOSECOLS( _xlpm.Values, _xlfn.SEQUENCE( 1, MIN( _xlpm.Val, _xlpm.Size), MAX( 1, _xlpm.Val - _xlpm.Size + 1)))) ) ), CHOOSE(_xlpm.Help? + 1, _xlpm.Result, _xlpm.Help) ) )</definedName>
    <definedName name="oz.RollingMaxλ" comment="Creates the maximum for preceding values of a set size moving from beginning to end over a row of values.">_xlfn.LAMBDA(_xlop.Values,_xlop.Size, _xlfn.LET(_xlpm.Help, TRIM(_xlfn.TEXTSPLIT( "FUNCTION:      →RollingMaxλ( Values, Size)¶" &amp; "DESCRIPTION:   →Creates the maximum for preceding values of a set size moving¶" &amp; "→from beginning to end over a row of values¶" &amp; "WEBPAGE:       →https://github.com/ryanduguid/Ozzit¶" &amp; "VERSION:       →20 Aug 2026¶" &amp; "PARAMETERS:    →¶" &amp; "Values         →(Required) A row of values to be maxed.¶" &amp; "Size           →(Required) The number of values to find the maximum of that ¶" &amp; "→include and precede the current value¶" &amp; "EXAMPLES:      →¶" &amp; "Result         →Formula (oz is assumed to be the module's name)¶" &amp; "5,5,5,6,6,7    →=oz.RollingMaxλ({5,3,4,6,3,7}, 3)", "→", "¶" ) ), _xlpm.Help?, OR( _xlfn.ISOMITTED( _xlpm.Values), _xlfn.ISOMITTED( _xlpm.Size)), _xlpm.Counter, _xlfn.SEQUENCE(, COLUMNS( _xlpm.Values)), _xlpm.Result, _xlfn.MAP( _xlpm.Counter, _xlfn.LAMBDA(_xlpm.Val, MAX( _xlfn.CHOOSECOLS( _xlpm.Values, _xlfn.SEQUENCE( 1, MIN( _xlpm.Val, _xlpm.Size), MAX( 1, _xlpm.Val - _xlpm.Size + 1)))) ) ), CHOOSE(_xlpm.Help? + 1, _xlpm.Result, _xlpm.Help) ) )</definedName>
    <definedName name="oz.RollingMinλ" comment="Creates the Minimum for preceding values of a set size moving from beginning to end over a row of values.">_xlfn.LAMBDA(_xlop.Values,_xlop.Size, _xlfn.LET(_xlpm.Help, TRIM(_xlfn.TEXTSPLIT( "FUNCTION:      →RollingMinλ( Values, Size)¶" &amp; "DESCRIPTION:   →Creates the minimum for preceding values of a set size moving¶" &amp; "→from beginning to end over a row of values¶" &amp; "WEBPAGE:       →https://github.com/ryanduguid/Ozzit¶" &amp; "VERSION:       →20 Aug 2026¶" &amp; "PARAMETERS:    →¶" &amp; "Values         →(Required) A row of values to take the minimum of.¶" &amp; "Size           →(Required) The number of values to find the minimum of that ¶" &amp; "→include and precede the current value¶" &amp; "EXAMPLES:      →¶" &amp; "Result         →Formula (oz is assumed to be the module's name)¶" &amp; "5,3,3,3,2,2    →=oz.RollingMinλ({5,3,4,6,2,7}, 3)", "→", "¶" ) ), _xlpm.Help?, OR( _xlfn.ISOMITTED( _xlpm.Values), _xlfn.ISOMITTED( _xlpm.Size)), _xlpm.Counter, _xlfn.SEQUENCE(, COLUMNS( _xlpm.Values)), _xlpm.Result, _xlfn.MAP( _xlpm.Counter, _xlfn.LAMBDA(_xlpm.Val, MIN( _xlfn.CHOOSECOLS( _xlpm.Values, _xlfn.SEQUENCE( 1, MIN( _xlpm.Val, _xlpm.Size), MAX( 1, _xlpm.Val - _xlpm.Size + 1)))) ) ), CHOOSE(_xlpm.Help? + 1, _xlpm.Result, _xlpm.Help) ) )</definedName>
    <definedName name="oz.RollingSumλ" comment="Creates totals for preceding values of a set size moving from beginning to end over a row of values.">_xlfn.LAMBDA(_xlop.Values,_xlop.Size, _xlfn.LET(_xlpm.Help, TRIM(_xlfn.TEXTSPLIT( "FUNCTION:      →RollingSumλ( Values, Size)¶" &amp; "DESCRIPTION:   →Creates totals for preceding values of a set size moving¶" &amp; "→from beginning to end over a row of values¶" &amp; "WEBPAGE:       →https://github.com/ryanduguid/Ozzit¶" &amp; "VERSION:       →20 Aug 2026¶" &amp; "PARAMETERS:    →¶" &amp; "Values         →(Required) A row of values to be totalled.¶" &amp; "Size           →(Required) The number of values to total that ¶" &amp; "→include and precede the current value¶" &amp; "EXAMPLES:      →¶" &amp; "Result         →Formula (oz is assumed to be the module's name)¶" &amp; "1,3,6,9,12     →=oz.RollingSumλ(SEQUENCE(, 5), 3)", "→", "¶" ) ), _xlpm.Help?, OR( _xlfn.ISOMITTED( _xlpm.Values), _xlfn.ISOMITTED( _xlpm.Size)), _xlpm.Counter, _xlfn.SEQUENCE(, COLUMNS( _xlpm.Values)), _xlpm.Result, _xlfn.MAP( _xlpm.Counter, _xlfn.LAMBDA(_xlpm.Val, SUM( _xlfn.CHOOSECOLS( _xlpm.Values, _xlfn.SEQUENCE( 1, MIN( _xlpm.Val, _xlpm.Size), MAX( 1, _xlpm.Val - _xlpm.Size + 1)))) ) ), CHOOSE(_xlpm.Help? + 1, _xlpm.Result, _xlpm.Help) ) )</definedName>
    <definedName name="oz.ROUScheduleλ" comment="Straight-line right-of-use asset schedule: opening, depreciation and closing for each period">_xlfn.LAMBDA(_xlop.Cost,_xlop.Periods, _xlfn.LET( _xlpm.Help, TRIM(_xlfn.TEXTSPLIT( "FUNCTION:      →ROUScheduleλ(Cost, Periods)¶" &amp; "DESCRIPTION:   →Depreciates a right-of-use asset in a straight line over the lease term.¶NOTES!         →Returns three rows: opening carrying amount, depreciation, closing¶               →carrying amount. AASB 16 paragraph 24 measures the asset at cost,¶               →comprising the initial lease liability, lease payments made at or¶               →before the commencement date less incentives received, initial direct¶               →costs, and an estimate of dismantling and restoration costs. Add those¶               →up yourself and pass the total as Cost. Depreciate over the lease term¶               →where ownership does not transfer, and over the useful life where it¶               →does. Cost and Periods are single values, not arrays. Arithmetic only.¶               →AASB 16 compilation checked 24 August 2026.¶" &amp; "WEBPAGE:       →https://github.com/ryanduguid/Ozzit¶" &amp; "VERSION:       →24 Aug 2026¶" &amp; "PARAMETERS:    →¶" &amp; "Cost           →(Required) Initial carrying amount of the right-of-use asset.¶" &amp; "Periods        →(Required) Number of periods to depreciate over, at least 1.¶" &amp; "EXAMPLES:      →¶" &amp; "→Formula (oz is assumed to be the module's name)¶" &amp; "→=oz.ROUScheduleλ(300, 3)¶" &amp; "→Result¶" &amp; "→300, 200, 100¶" &amp; "→100, 100, 100¶" &amp; "→200, 100,   0", "→", "¶" )), _xlpm.Help?, OR(_xlfn.ISOMITTED(_xlpm.Cost), _xlfn.ISOMITTED(_xlpm.Periods)), _xlpm.Valid?, AND(ISNUMBER(_xlpm.Cost), ISNUMBER(_xlpm.Periods), _xlpm.Periods &gt;= 1), _xlpm.Count, IF(_xlpm.Valid?, INT(_xlpm.Periods), 1), _xlpm.Charge, IF(_xlpm.Valid?, _xlpm.Cost / _xlpm.Count, 0), _xlpm.Index, _xlfn.SEQUENCE(1, _xlpm.Count), _xlpm.Result, IF(_xlpm.Valid?, _xlfn.VSTACK( _xlpm.Cost - _xlpm.Charge * (_xlpm.Index - 1), _xlfn.SEQUENCE(1, _xlpm.Count, _xlpm.Charge, 0), _xlpm.Cost - _xlpm.Charge * _xlpm.Index), "ROUScheduleλ needs a numeric Cost and Periods of at least 1"), CHOOSE( _xlpm.Help? + 1, _xlpm.Result, _xlpm.Help) ) )</definedName>
    <definedName name="oz.ScheduleRatesByItemsλ" comment="Schedule rates that persist until replaced in a timeline for each item in a list.">_xlfn.LAMBDA(_xlop.PeriodEnds,_xlop.ItemFilter,_xlop.ItemList,_xlop.EffectiveList,_xlop.RateList, _xlfn.LET( _xlpm.Help, TRIM(_xlfn.TEXTSPLIT( "FUNCTION: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→https://github.com/ryanduguid/Ozzit¶" &amp; "PARAMETERS:    →¶" &amp; "PeriodEnds     →(Required) A row of period end dates (timeline).¶" &amp; "ItemFilter     →(Required) A column of 1 or more items to filter a rate schedule by. ¶" &amp; "               →A 'rate schedule' is a table/list where each row contains a unique item/effective date pair with a rate.¶" &amp; "→An item with no rate in the schedule scores nought in every period.¶" &amp; "ItemList       →(Required) Items in a rate schedule.¶" &amp; "EffectiveList  →(Required) Effective dates in the rate schedule.¶" &amp; "RateList       →(Required) Rates in a rate schedule for each item/effective date pair.¶" &amp; "EXAMPLES:      →¶" &amp; "Result         →Formula (oz is assumed to be the module's name)¶" &amp; "→=oz.ScheduleRatesByItemsλ( oz.Timelineλ( ""1/7/2026""), UNIQUE( tblRates[Unit]),¶" &amp; "→tblRates[Unit], tblRates[Effective], tblRates[Rent])", "→", "¶" ) ), _xlpm.Help?, OR( _xlfn.ISOMITTED( _xlpm.PeriodEnds), _xlfn.ISOMITTED( _xlpm.ItemFilter), _xlfn.ISOMITTED( _xlpm.ItemList), _xlfn.ISOMITTED( _xlpm.EffectiveList), _xlfn.ISOMITTED( _xlpm.RateList) ), _xlpm.CvtPrdEnds, IF( _xlfn.ISOMITTED( _xlpm.PeriodEnds), FALSE, IF( ISNUMBER( _xlpm.PeriodEnds), _xlpm.PeriodEnds, DATEVALUE( _xlpm.PeriodEnds)) ), _xlpm.CvtEffDates, IF( _xlfn.ISOMITTED( _xlpm.EffectiveList), FALSE, IF( ISNUMBER( _xlpm.EffectiveList), _xlpm.EffectiveList, DATEVALUE( _xlpm.EffectiveList)) ), _xlpm.Items, _xlfn.TOCOL( _xlpm.ItemFilter), _xlpm.Result, _xlfn.DROP( _xlfn.REDUCE( 0, _xlfn.SEQUENCE( ROWS( _xlpm.Items)), _xlfn.LAMBDA(_xlpm.Acc,_xlpm.Row, _xlfn.LET(_xlpm.Item, INDEX( _xlpm.Items, _xlpm.Row), _xlpm.ItemDates, _xlfn._xlws.FILTER( _xlpm.CvtEffDates, _xlpm.ItemList = _xlpm.Item, -1), _xlpm.ItemRates, _xlfn._xlws.FILTER( _xlpm.RateList, _xlpm.ItemList = _xlpm.Item, 0), _xlfn.VSTACK( _xlpm.Acc, _xlfn.XLOOKUP( _xlpm.CvtPrdEnds, _xlpm.ItemDates, _xlpm.ItemRates, 0, -1, -1)) ) ) ), 1 ), CHOOSE( _xlpm.Help? + 1, _xlpm.Result, _xlpm.Help) ) )</definedName>
    <definedName name="oz.ScheduleRatesλ" comment="Schedule rates that persist until replaced in a timeline.">_xlfn.LAMBDA(_xlop.PeriodEnds,_xlop.RateStarts,_xlop.Rates, _xlfn.LET( _xlpm.Help, TRIM(_xlfn.TEXTSPLIT( "FUNCTION: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→https://github.com/ryanduguid/Ozzit¶" &amp; "PARAMETERS:    →¶" &amp; "PeriodEnds     →(Required) A row of period end dates (timeline).¶" &amp; "RateStarts     →(Required) A column or row of rate effective dates in any order.¶" &amp; "Rates          →(Required) A column or row of rates associated with RateStarts.¶" &amp; "EXAMPLES:      →¶" &amp; "Result         →Formula (oz is assumed to be the module's name)¶" &amp; "_,10,20,30,30  →=oz.ScheduleRatesλ(Timelineλ(""1/7/2026"",5,""W""),{46208; 46216; 46222}, {10; 20; 30})", "→", "¶" ) ), _xlpm.s, 1, _xlpm.Help?, OR( _xlfn.ISOMITTED( _xlpm.PeriodEnds), _xlfn.ISOMITTED( _xlpm.RateStarts), _xlfn.ISOMITTED( _xlpm.Rates) ), _xlpm.CvtEnds, IF( _xlfn.ISOMITTED( _xlpm.PeriodEnds), FALSE, IF( ISNUMBER( _xlpm.PeriodEnds), _xlpm.PeriodEnds, DATEVALUE( _xlpm.PeriodEnds)) ), _xlpm.CvtStarts, IF( _xlfn.ISOMITTED( _xlpm.RateStarts), FALSE, IF( ISNUMBER( _xlpm.RateStarts), _xlpm.RateStarts, DATEVALUE( _xlpm.RateStarts)) ), _xlpm.Result, _xlfn.XLOOKUP(_xlpm.CvtEnds, _xlpm.CvtStarts, _xlpm.Rates, "", -1, -1), CHOOSE( _xlpm.Help? + 1, _xlpm.Result, _xlpm.Help) ) )</definedName>
    <definedName name="oz.ScheduleValuesByItemsλ" comment="Schedule and sum values in a timeline for each item.">_xlfn.LAMBDA(_xlop.PeriodStarts,_xlop.PeriodEnds,_xlop.ItemFilter,_xlop.ItemList,_xlop.EffectiveList,_xlop.ValueList, _xlfn.LET( _xlpm.Help, TRIM(_xlfn.TEXTSPLIT( "FUNCTION:      →ScheduleValuesByItemsλ(PeriodStarts, PeriodEnds, ItemFilter, ItemList, EffectiveList, ValueList)¶" &amp; "DESCRIPTION:   →Schedule and sum values in a timeline for each item.¶" &amp; "WEBPAGE:       →https://github.com/ryanduguid/Ozzit¶"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"→An item with no rows in the schedule totals nought in every period.¶" &amp; "EXAMPLES:      →¶" &amp; "Result         →Formula (oz is assumed to be the module's name)¶" &amp; "→=oz.ScheduleValuesByItemsλ( oz.Timelineλ( ""1/7/2026""),  oz.Timelineλ( ""1/7/2026"",,,FALSE), ¶" &amp; "→UNIQUE( tblExp[Items]), tblExp[Items], tblExp[Dates], tblExp[Amount])", "→", "¶" ) ), _xlpm.Help?, OR( _xlfn.ISOMITTED( _xlpm.PeriodStarts), _xlfn.ISOMITTED( _xlpm.PeriodEnds), _xlfn.ISOMITTED( _xlpm.ItemFilter), _xlfn.ISOMITTED( _xlpm.ItemList), _xlfn.ISOMITTED( _xlpm.EffectiveList), _xlfn.ISOMITTED( _xlpm.ValueList) ), _xlpm.CvtPrdStarts, IF( _xlfn.ISOMITTED( _xlpm.PeriodStarts), FALSE, IF( ISNUMBER( _xlpm.PeriodStarts), _xlpm.PeriodStarts, DATEVALUE( _xlpm.PeriodStarts)) ), _xlpm.CvtPrdEnds, IF( _xlfn.ISOMITTED( _xlpm.PeriodEnds), FALSE, IF( ISNUMBER( _xlpm.PeriodEnds), _xlpm.PeriodEnds, DATEVALUE( _xlpm.PeriodEnds)) ), _xlpm.CvtEffDates, IF( _xlfn.ISOMITTED( _xlpm.EffectiveList), FALSE, IF( ISNUMBER( _xlpm.EffectiveList), _xlpm.EffectiveList, DATEVALUE( _xlpm.EffectiveList)) ), _xlpm.Items, _xlfn.TOCOL( _xlpm.ItemFilter), _xlpm.Belongs, ( _xlpm.Items = _xlfn.TOROW( _xlpm.ItemList)) * ( _xlpm.Items &lt;&gt; ""), _xlpm.Falls, ( _xlfn.TOCOL( _xlpm.CvtEffDates) &gt;= _xlpm.CvtPrdStarts) * ( _xlfn.TOCOL( _xlpm.CvtEffDates) &lt;= _xlpm.CvtPrdEnds) * _xlfn.TOCOL( _xlpm.ValueList), _xlpm.Result, MMULT( _xlpm.Belongs, _xlpm.Falls), CHOOSE( _xlpm.Help? + 1, _xlpm.Result, _xlpm.Help) ) )</definedName>
    <definedName name="oz.ScheduleValuesλ" comment="Schedules values in a timeline from a schedule in a table.">_xlfn.LAMBDA(_xlop.PeriodStarts,_xlop.PeriodEnds,_xlop.Values,_xlop.EffectiveDates, _xlfn.LET( _xlpm.Help, TRIM(_xlfn.TEXTSPLIT( "FUNCTION:      →ScheduleValuesλ(PeriodStarts, PeriodEnds, Values, EffectiveDates)¶" &amp; "DESCRIPTION:   →Place values from a table into a timeline's appropriate period.¶" &amp; "WEBSITE:       →https://github.com/ryanduguid/Ozzit ¶" &amp; "PARAMETERS:    →¶" &amp; "PeriodStarts   →(Required) A row of period start dates (timeline).¶" &amp; "PeriodEnds     →(Required) A row of period end dates (timeline).¶" &amp; "Values         →(Required) A column or row of values to be scheduled.¶" &amp; "EffectiveDates →(Required) When each value is scheduled, in the same orientation as Values.¶" &amp; "EXAMPLES:→¶" &amp; "Result         →Formula (oz is assumed to be the module's name)¶" &amp; "→=oz.ScheduleValuesλ(Timelineλ(""1/7/2026""), Timelineλ(""1/7/2026"",,,FALSE), {1;3}, {""1/7/2026""; ""15/8/2026""})", "→", "¶" ) ), _xlpm.Help?, OR( _xlfn.ISOMITTED( _xlpm.PeriodStarts), _xlfn.ISOMITTED( _xlpm.PeriodEnds), _xlfn.ISOMITTED( _xlpm.Values), _xlfn.ISOMITTED( _xlpm.EffectiveDates) ), _xlpm.CvtPrdStarts, IF( _xlfn.ISOMITTED( _xlpm.PeriodStarts), FALSE, IF( ISNUMBER( _xlpm.PeriodStarts), _xlpm.PeriodStarts, DATEVALUE( _xlpm.PeriodStarts)) ), _xlpm.CvtPrdEnds, IF( _xlfn.ISOMITTED( _xlpm.PeriodEnds), FALSE, IF( ISNUMBER( _xlpm.PeriodEnds), _xlpm.PeriodEnds, DATEVALUE( _xlpm.PeriodEnds)) ), _xlpm.CvtEffDates, IF( _xlfn.ISOMITTED( _xlpm.EffectiveDates), FALSE, IF( ISNUMBER( _xlpm.EffectiveDates), _xlpm.EffectiveDates, DATEVALUE( _xlpm.EffectiveDates)) ), _xlpm.Result, _xlfn.BYCOL( _xlfn.SEQUENCE(, COLUMNS(_xlpm.CvtPrdStarts)), _xlfn.LAMBDA(_xlpm.Period, _xlfn.LET(_xlpm.StartDate, INDEX(_xlpm.CvtPrdStarts, _xlpm.Period), _xlpm.EndDate, INDEX(_xlpm.CvtPrdEnds, _xlpm.Period), SUM(_xlpm.Values * (_xlpm.CvtEffDates &gt;= _xlpm.StartDate) * (_xlpm.CvtEffDates &lt;= _xlpm.EndDate)) ) ) ), CHOOSE( _xlpm.Help? + 1, _xlpm.Result, _xlpm.Help) ) )</definedName>
    <definedName name="oz.SLNλ" comment="Straight Line depreciation method for one asset or asset class.">_xlfn.LAMBDA(_xlop.Cost,_xlop.Salvage,_xlop.Life, _xlfn.LET( _xlpm.Help, TRIM(_xlfn.TEXTSPLIT( "FUNCTION:      →SLNλ(Cost, Salvage, Life)¶" &amp; "DESCRIPTION:   →Straight Line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"→=oz.SLNλ(1000, 100, 5)¶" &amp; "→Result¶" &amp; "→180,180,180,180,180", "→", "¶" ) ), _xlpm.Help?, OR( _xlfn.ISOMITTED( _xlpm.Cost), _xlfn.ISOMITTED( _xlpm.Salvage), _xlfn.ISOMITTED( _xlpm.Life) ), _xlpm.Depn, SLN( _xlpm.Cost, _xlpm.Salvage, _xlpm.Life), _xlpm.Whole, INT( _xlpm.Life), _xlpm.Result, IF( _xlpm.Whole = _xlpm.Life, _xlfn.EXPAND( _xlpm.Depn, 1, _xlpm.Life, _xlpm.Depn), IF( _xlpm.Whole = 0, _xlpm.Cost - _xlpm.Salvage, _xlfn.HSTACK( _xlfn.EXPAND( _xlpm.Depn, 1, _xlpm.Whole, _xlpm.Depn), _xlpm.Cost - _xlpm.Salvage - _xlpm.Depn * _xlpm.Whole))), CHOOSE( _xlpm.Help? + 1, _xlpm.Result, _xlpm.Help) ) )</definedName>
    <definedName name="oz.SumAmortiseλ" comment="Create row totals for Amortiseλ">_xlfn.LAMBDA(_xlop.AmortisationSchedule, _xlfn.LET(_xlpm.Help, TRIM(_xlfn.TEXTSPLIT("FUNCTION:      →SumAmortiseλ(AmortisationSchedule)¶" &amp; "DESCRIPTION:   →Create row totals for Amortiseλ¶" &amp; "WEBPAGE:       →https://github.com/ryanduguid/Ozzit¶" &amp; "VERSION:       →20 Aug 2026¶" &amp; "PARAMETERS:    →¶" &amp; "AmortisationSchedule→(Required) An array produced by Amortiseλ¶" &amp; "EXAMPLES:→¶" &amp; "Result         →Formula (oz is assumed to be the module's name)¶" &amp; "→=oz.SumAmortiseλ(AmortisationSchedule)",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oz.SumColsUλ" comment="Get the total for each Column">_xlfn.LAMBDA(_xlop.Array, _xlfn.LET(_xlpm.Help, TRIM(_xlfn.TEXTSPLIT("FUNCTION:      →SumColsUλ(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"→=oz.SumColsUλ( SEQUENCE(5,5))", "→", "¶")), _xlpm.Help?, _xlfn.ISOMITTED(_xlpm.Array), _xlpm.Result, _xlfn.BYCOL(_xlpm.Array, _xlfn.LAMBDA(_xlpm.Col, SUM(_xlpm.Col))), CHOOSE(_xlpm.Help? + 1, _xlpm.Result, _xlpm.Help)))</definedName>
    <definedName name="oz.SumColsλ" comment="Get the total for each Column">_xlfn.LAMBDA(_xlop.Array, _xlfn.LET(_xlpm.Help, TRIM(_xlfn.TEXTSPLIT("FUNCTION:      →SumColsλ(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"→=oz.SumColsλ( SEQUENCE(5,5))", "→", "¶")), _xlpm.Help?, _xlfn.ISOMITTED(_xlpm.Array), _xlpm.Result, _xlfn.BYCOL(_xlpm.Array, _xlfn.LAMBDA(_xlpm.Col, SUM(_xlpm.Col))), CHOOSE(_xlpm.Help? + 1, _xlpm.Result, _xlpm.Help)))</definedName>
    <definedName name="oz.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→https://github.com/ryanduguid/Ozzit¶" &amp; "VERSION:       →20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(oz is assumed to be the module's name)¶" &amp; "               →=oz.SumContainsλ(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oz.SumDepreciateλ" comment="Create row totals for Depreciateλ">_xlfn.LAMBDA(_xlop.DepreciationSchedule, _xlfn.LET(_xlpm.Help, TRIM(_xlfn.TEXTSPLIT("FUNCTION:      →SumDepreciateλ(DepreciationSchedule)¶" &amp; "DESCRIPTION:   →Create row totals for Depreciateλ¶" &amp; "WEBPAGE:       →https://github.com/ryanduguid/Ozzit¶" &amp; "VERSION:       →20 Aug 2026¶" &amp; "PARAMETERS:    →¶" &amp; "DepreciationSchedule→(Required) An array produced by Depreciateλ¶" &amp; "→¶" &amp; "EXAMPLES:      →¶" &amp; "Result         →Formula (oz is assumed to be the module's name)¶" &amp; "→=oz.SumDepreciateλ(DepreciationSchedule)",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oz.SumPeriodsλ" comment="Groups and totals all columns in a Values array by period resulting in one column for each period">_xlfn.LAMBDA(_xlop.Values,_xlop.Dates,_xlop.PeriodStarts, _xlfn.LET(_xlpm.Help, TRIM(_xlfn.TEXTSPLIT( "FUNCTION:      →SumPeriodsλ( Values, Dates, PeriodStarts)¶" &amp; "DESCRIPTION:   →Summarises values where each value column is for one day ¶" &amp; "→into one column for each period. ¶" &amp; "SEE ALSO:      →Excel 365 now has GROUPBY and PIVOTBY for formula-driven aggregation.¶" &amp; "VERSION:       →20 Aug 2026¶" &amp; "WEBPAGE:       →https://github.com/ryanduguid/Ozzit¶"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(oz is assumed to be the module's name)¶" &amp; "03, 07         →=oz.SumPeriodsλ({1,2,3,4;4,3,2,1;10,20,30,40}, {1,2,3,4}, {1,3})¶" &amp; "07, 03         →¶" &amp; "30, 70         →", "→", "¶" ) ), _xlpm.Help?, OR( _xlfn.ISOMITTED( _xlpm.Values), _xlfn.ISOMITTED( _xlpm.Dates), _xlfn.ISOMITTED( _xlpm.PeriodStarts)), _xlpm.PrdNum, IFERROR( MATCH( _xlpm.Dates, _xlpm.PeriodStarts, 1), 0), _xlpm.InPeriod, ( _xlfn.TOCOL( _xlpm.PrdNum) = _xlfn.SEQUENCE( 1, COLUMNS( _xlpm.PeriodStarts))) * 1, _xlpm.Result, MMULT( _xlpm.Values * 1, _xlpm.InPeriod), CHOOSE(_xlpm.Help? + 1, _xlpm.Result, _xlpm.Help) ) )</definedName>
    <definedName name="oz.SumRowsUλ" comment="Get the total for each row">_xlfn.LAMBDA(_xlop.Array, _xlfn.LET(_xlpm.Help, TRIM(_xlfn.TEXTSPLIT("FUNCTION:      →SumRowsUλ(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"→=oz.SumRowsUλ( SEQUENCE(5,5))", "→", "¶")), _xlpm.Help?, _xlfn.ISOMITTED(_xlpm.Array), _xlpm.Result, _xlfn.BYROW(_xlpm.Array, _xlfn.LAMBDA(_xlpm.Row, SUM(_xlpm.Row))), CHOOSE(_xlpm.Help? + 1, _xlpm.Result, _xlpm.Help)))</definedName>
    <definedName name="oz.SumRowsλ" comment="Get the total for each row">_xlfn.LAMBDA(_xlop.Array, _xlfn.LET(_xlpm.Help, TRIM(_xlfn.TEXTSPLIT("FUNCTION:      →SumRowsλ(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"→=oz.SumRowsλ( SEQUENCE(5,5))", "→", "¶")), _xlpm.Help?, _xlfn.ISOMITTED(_xlpm.Array), _xlpm.Result, _xlfn.BYROW(_xlpm.Array, _xlfn.LAMBDA(_xlpm.Row, SUM(_xlpm.Row))), CHOOSE(_xlpm.Help? + 1, _xlpm.Result, _xlpm.Help)))</definedName>
    <definedName name="oz.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"→=oz.SYDλ(1000, 100, 5)¶" &amp; "→Result¶" &amp; "→300,240,180,120,60", "→", "¶")), _xlpm.Help?, OR(_xlfn.ISOMITTED(_xlpm.Cost), _xlfn.ISOMITTED(_xlpm.Salvage), _xlfn.ISOMITTED(_xlpm.Life)), _xlpm.Result, SYD(_xlpm.Cost, _xlpm.Salvage, _xlpm.Life, _xlfn.SEQUENCE(, _xlpm.Life)), CHOOSE(_xlpm.Help? + 1, _xlpm.Result, _xlpm.Help)))</definedName>
    <definedName name="oz.TimelineOffsetλ" comment="Determines how many periods one array is offset from the timeline">_xlfn.LAMBDA(_xlop.Date,_xlop.Timeline, _xlfn.LET( _xlpm.Help, TRIM(_xlfn.TEXTSPLIT( "FUNCTION:      →TimelineOffsetλ(Date, Timeline)¶" &amp; "DESCRIPTION:   →Determines in which period, relative to the timeline's start and interval,¶" &amp; "→a date falls within.¶" &amp; "WEBPAGE:       →https://github.com/ryanduguid/Ozzit¶" &amp; "VERSION:       →20 Aug 2026¶" &amp; "PARAMETERS:    →¶" &amp; "Date           →(Required) A starting date¶" &amp; "Timeline       →(Required) A model's timeline (Row of period start dates)¶" &amp; "EXAMPLES:      →¶" &amp; "Result         →Formula (oz is assumed to be the module's name)¶" &amp; "1              →=oz.TimelineOffsetλ(""15/8/2026"", EDATE(""1/7/2026"", SEQUENCE( , 12, 0)))¶" &amp; "-11            →=oz.TimelineOffsetλ(""15/8/2025"", EDATE(""1/7/2026"", SEQUENCE( , 12, 0)))", "→", "¶" ) ), _xlpm.Help?, OR( _xlfn.ISOMITTED( _xlpm.Date), _xlfn.ISOMITTED( _xlpm.Timeline) ), _xlpm.Date, _xlfn.SINGLE(IF( ISTEXT( _xlpm.Date), DATEVALUE( _xlpm.Date), _xlpm.Date)), _xlpm.Period1, INDEX( _xlpm.Timeline, 1), _xlpm.Period2, IF( COUNTA( _xlpm.Timeline) &lt; 2, EDATE( _xlpm.Period1, 1), INDEX( _xlpm.Timeline, 2)), _xlpm.DpP, _xlpm.Period2 - _xlpm.Period1, _xlpm.MpP, MAX( ROUND( _xlpm.DpP/30.5, 0), 1), _xlpm.SubMonthly?, ROUND( _xlpm.DpP/30.5, 0) = 0, _xlpm.Direction, IF(_xlpm.Date &lt; _xlpm.Period1, -1, 1), _xlpm.MonthDiff, _xlfn.SINGLE(DATEDIF( MIN( _xlpm.Period1, _xlpm.Date), MAX( _xlpm.Period1, _xlpm.Date), "M")), _xlpm.PeriodDiff, QUOTIENT( _xlpm.MonthDiff, _xlpm.MpP), _xlpm.PeriodSeq, _xlfn.SEQUENCE( 1, _xlpm.PeriodDiff + 2, IF( _xlpm.Direction = 1, 0, -( _xlpm.PeriodDiff + 1))), _xlpm.SearchTimeline, EDATE( _xlpm.Period1, _xlpm.PeriodSeq * _xlpm.MpP), _xlpm.ByMonth, MATCH( _xlpm.Date, _xlpm.SearchTimeline, 1) - IF( _xlpm.Direction = 1, 1, _xlpm.PeriodDiff + 2), _xlpm.Result, IF( _xlpm.SubMonthly?, INT( (_xlpm.Date - _xlpm.Period1) / _xlpm.DpP), _xlpm.ByMonth), CHOOSE( _xlpm.Help? + 1, _xlpm.Result, _xlpm.Help) ) )</definedName>
    <definedName name="oz.TimelinePositionλ" comment="Crops an array based on a model's timeline">_xlfn.LAMBDA(_xlop.Array,_xlop.Timeline,_xlop.Offset, _xlfn.LET( _xlpm.Help, TRIM(_xlfn.TEXTSPLIT( "FUNCTION:      →TimelinePositionλ(Array, Timeline, Offset)¶" &amp; "DESCRIPTION:   →Position an array relative to the model's timeline¶" &amp; "WEBPAGE:       →https://github.com/ryanduguid/Ozzit¶" &amp; "VERSION:       →20 Aug 2026¶" &amp; "PARAMETERS:    →¶" &amp; "Array          →(Required) The array to be positioned relative to a model's timeline¶" &amp; "Timeline       →(Required) A model's timeline¶" &amp; "Offset         →(Required) The number of rows or columns to start placing the array within the timeline¶" &amp; "NOTES!         →¶" &amp; "→Timelines can be vertical or horizontal. Whichever way the timeline goes, the array must match.¶" &amp; "EXAMPLES:      →¶" &amp; "Result         →Formula (oz is assumed to be the module's name)¶" &amp; "→=oz.TimelinePositionλ(SEQUENCE(3,3), EDATE(""1/7/2026"", SEQUENCE( , 12, 0)), 12)", "→", "¶" ) ), _xlpm.Help?, OR( _xlfn.ISOMITTED( _xlpm.Array), _xlfn.ISOMITTED( _xlpm.Timeline), _xlfn.ISOMITTED( _xlpm.Offset) ), _xlpm.Offset, _xlfn.SINGLE(_xlpm.Offset), _xlpm.Rows, ROWS(_xlpm.Array), _xlpm.Cols, COLUMNS(_xlpm.Array), _xlpm.Result, IF( OR( COLUMNS( _xlpm.Timeline) &gt; 1, ROWS( _xlpm.Timeline) = 1), _xlfn.MAKEARRAY( _xlpm.Rows, COLUMNS( _xlpm.Timeline), _xlfn.LAMBDA(_xlpm.R,_xlpm.C, IF( ((_xlpm.C - _xlpm.Offset) &gt;= 1) * (( _xlpm.C - _xlpm.Offset) &lt;= _xlpm.Cols) = 1, INDEX( _xlpm.Array, _xlpm.R, _xlpm.C - _xlpm.Offset), 0) ) ), _xlfn.MAKEARRAY( ROWS( _xlpm.Timeline), _xlpm.Cols, _xlfn.LAMBDA(_xlpm.R,_xlpm.C, IF( ((_xlpm.R - _xlpm.Offset) &gt;= 1) * (( _xlpm.R - _xlpm.Offset) &lt;= _xlpm.Rows) = 1, INDEX( _xlpm.Array, _xlpm.R - _xlpm.Offset, _xlpm.C), 0) ) ) ), CHOOSE(_xlpm.Help? + 1, _xlpm.Result, _xlpm.Help) ) )</definedName>
    <definedName name="oz.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→https://github.com/ryanduguid/Ozzit¶"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(oz is assumed to be the module's name)¶" &amp; "12 mo, starts  →=oz.Timelineλ(TODAY())¶" &amp; "12 qtr, ends   →=oz.Timelineλ(TODAY(),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oz.VDBλ" comment="Variable declining balance depreciation method for one asset or asset class.">_xlfn.LAMBDA(_xlop.Cost,_xlop.Salvage,_xlop.Life,_xlop.Factor,_xlop.No_Switch, _xlfn.LET( _xlpm.Help, TRIM(_xlfn.TEXTSPLIT( "FUNCTION:      →VDBλ(Cost, Salvage, Life, [Factor], [No_Switch])¶" &amp; "DESCRIPTION:   →Variable declining balance depreciation method for one asset or asset class.¶" &amp; "WEBPAGE:       →https://github.com/ryanduguid/Ozzit¶" &amp; "VERSION:       →20 Aug 2026¶" &amp; "PARAMETERS:    →¶" &amp; "Cost           →(Required) Asset's initial cost.¶" &amp; "Salvage        →(Required) Asset's value at the end of its life. May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(oz is assumed to be the module's name)¶" &amp; "→=oz.VDBλ(1000, 100, 5, 1.5, TRUE)¶" &amp; "→Result¶" &amp; "→300.00,210.00,147.00,102.90,72.03", "→", "¶" ) ), _xlpm.Help?, OR( _xlfn.ISOMITTED( _xlpm.Cost), _xlfn.ISOMITTED( _xlpm.Salvage), _xlfn.ISOMITTED( _xlpm.Life) ), _xlpm.Factor, IF( _xlfn.ISOMITTED( _xlpm.Factor), 2, _xlpm.Factor), _xlpm.No_Switch, IF( _xlfn.ISOMITTED( _xlpm.No_Switch), FALSE, _xlpm.No_Switch), _xlpm.Result, VDB( _xlpm.Cost, _xlpm.Salvage, _xlpm.Life, _xlfn.SEQUENCE( , _xlpm.Life, 0), _xlfn.SEQUENCE( , _xlpm.Life), _xlpm.Factor, _xlpm.No_Switch), CHOOSE( _xlpm.Help? + 1, _xlpm.Result, _xlpm.Help) ) )</definedName>
    <definedName name="oz.WIPDaysλ" comment="Work in progress days: WIP / RelatedFlow x Days, with both on one valuation basis">_xlfn.LAMBDA(_xlop.WIP,_xlop.RelatedFlow,_xlop.Days, _xlfn.LET( _xlpm.Help, TRIM(_xlfn.TEXTSPLIT( "FUNCTION:      →WIPDaysλ(WIP, RelatedFlow, [Days])¶" &amp; "DESCRIPTION:   →Work in progress days: the days of work done but not yet billed or completed.¶NOTES!         →WIP / RelatedFlow * Days. WIP and RelatedFlow must use the same valuation¶               →basis: fee revenue with WIP at charge-out value, as a professional services¶               →firm records it, or cost of sales with WIP at cost. Days is the number of¶               →days the RelatedFlow figure covers. WIP days plus ReceivableDaysλ() gives¶               →the lock-up days a services firm tracks. RelatedFlow of 0 returns #DIV/0!,¶               →and Days of 0 or less returns #NUM!.¶" &amp; "WEBPAGE:       →https://github.com/ryanduguid/Ozzit/blob/main/docs/ratio-definitions.md¶" &amp; "VERSION:       →29 Sep 2026¶" &amp; "PARAMETERS:    →¶" &amp; "WIP            →(Required) Work in progress: the closing balance, or the average of opening and closing.¶" &amp; "RelatedFlow    →(Required) Fee revenue or cost of sales over the same Days, on the valuation basis of WIP.¶" &amp; "Days           →(Optional: Default = 365) Days the RelatedFlow figure covers.¶" &amp; "EXAMPLES:      →¶" &amp; "→Formula (oz is assumed to be the module's name)¶" &amp; "→=oz.WIPDaysλ(42000, 510000)¶" &amp; "→Result¶" &amp; "→30.0588", "→", "¶" )), _xlpm.Help?, OR(_xlfn.ISOMITTED(_xlpm.WIP), _xlfn.ISOMITTED(_xlpm.RelatedFlow)), _xlpm.Period, IF(_xlfn.ISOMITTED(_xlpm.Days), 365, IF(_xlpm.Days = "", 365, IF(ISNUMBER(_xlpm.Days), _xlpm.Days, #VALUE!))), _xlpm.Result, IF(_xlpm.Period &lt;= 0, #NUM!, _xlpm.WIP / _xlpm.RelatedFlow * _xlpm.Period), CHOOSE( _xlpm.Help? + 1, _xlpm.Result, _xlpm.Help) ) )</definedName>
    <definedName name="oz.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→20 Aug 2026¶" &amp; "PARAMETERS:→¶" &amp; "NetAnnualSales    →(Required) Net Annual Sales can include:¶" &amp; "→Gross sales¶" &amp; "→Less returns¶" &amp; "→Less allowances¶" &amp; "→Less discounts¶" &amp; "WorkingCapital    →(Required) Average of period open and close current assts less curren liabilities.¶" &amp; "EXAMPLES:         →Formula (oz is assumed to be the module's name)¶" &amp; "6.0               →=oz.WorkingCapitalTurnoverRatioλ( 12.0, 2.0)", "→", "¶")), _xlpm.Help?, OR(_xlfn.ISOMITTED(_xlpm.NetAnnualSales), _xlfn.ISOMITTED(_xlpm.WorkingCapital)), _xlpm.Result, _xlpm.NetAnnualSales / _xlpm.WorkingCapital, CHOOSE(_xlpm.Help? + 1, _xlpm.Result, _xlpm.Help)))</definedName>
    <definedName name="_xlnm.Print_Area" localSheetId="15">oz.Amortiseλ!$A$1:$V$44</definedName>
    <definedName name="_xlnm.Print_Area" localSheetId="20">oz.Depreciateλ!$A$1:$V$65</definedName>
    <definedName name="_xlnm.Print_Area" localSheetId="6">oz.IsOccurrenceDateλ!$A$1:$V$39</definedName>
    <definedName name="_xlnm.Print_Area" localSheetId="17">oz.SumAmortiseλ!$A$1:$V$43</definedName>
    <definedName name="_xlnm.Print_Area" localSheetId="29">oz.SumPeriodsλ!$A$1:$V$38</definedName>
    <definedName name="_xlnm.Print_Area" localSheetId="30">oz.TimelineOffsetλ!$A$1:$V$25</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83" l="1" a="1"/>
  <c r="I23" i="90" a="1"/>
  <c r="I24" i="76" a="1"/>
  <c r="I32" i="97" a="1"/>
  <c r="C18" i="96" a="1"/>
  <c r="I32" i="89" a="1"/>
  <c r="I22" i="89" a="1"/>
  <c r="I23" i="89" s="1" a="1"/>
  <c r="I41" i="50"/>
  <c r="C25" i="47" a="1"/>
  <c r="C26" i="47" s="1" a="1"/>
  <c r="H22" i="45" a="1"/>
  <c r="H21" i="45" a="1"/>
  <c r="H33" i="44" a="1"/>
  <c r="H34" i="44" s="1" a="1"/>
  <c r="B61" i="13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s="1"/>
  <c r="F17" i="122" a="1"/>
  <c r="E17" i="122" a="1"/>
  <c r="G16" i="122" a="1"/>
  <c r="A4" i="122" a="1"/>
  <c r="A1" i="122"/>
  <c r="E17" i="120" a="1"/>
  <c r="G16" i="120" a="1"/>
  <c r="A4" i="120" a="1"/>
  <c r="A1" i="120"/>
  <c r="E17" i="119" a="1"/>
  <c r="G16" i="119" a="1"/>
  <c r="A4" i="119" a="1"/>
  <c r="A1" i="119"/>
  <c r="F17" i="116" a="1"/>
  <c r="H16" i="116" a="1"/>
  <c r="A4" i="116" a="1"/>
  <c r="A1" i="116"/>
  <c r="E17" i="115" a="1"/>
  <c r="G16" i="115" a="1"/>
  <c r="A4" i="115" a="1"/>
  <c r="A1" i="115"/>
  <c r="F17" i="114" a="1"/>
  <c r="H16" i="114" a="1"/>
  <c r="A4" i="114" a="1"/>
  <c r="A1" i="114"/>
  <c r="E17" i="113"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G23" i="97" a="1"/>
  <c r="I22" i="97" a="1"/>
  <c r="I23" i="97" s="1" a="1"/>
  <c r="A4" i="97" a="1"/>
  <c r="A1" i="97"/>
  <c r="A4" i="96" a="1"/>
  <c r="A1" i="96"/>
  <c r="A4" i="89" a="1"/>
  <c r="A1" i="89"/>
  <c r="H19" i="105" a="1"/>
  <c r="H20" i="105" s="1" a="1"/>
  <c r="A4" i="105" a="1"/>
  <c r="A1" i="105"/>
  <c r="G17" i="82" a="1"/>
  <c r="G18" i="82" s="1" a="1"/>
  <c r="A4" i="82" a="1"/>
  <c r="A1" i="82"/>
  <c r="H19" i="128" a="1"/>
  <c r="H20" i="128" s="1" a="1"/>
  <c r="A4" i="128" a="1"/>
  <c r="A1" i="128"/>
  <c r="F26" i="81" a="1"/>
  <c r="F25" i="8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4" i="78" a="1"/>
  <c r="L37" i="78" a="1"/>
  <c r="A4" i="78" a="1"/>
  <c r="A1" i="78"/>
  <c r="G18" i="99" a="1"/>
  <c r="G17" i="99" a="1"/>
  <c r="A4" i="99" a="1"/>
  <c r="A1" i="99"/>
  <c r="G24" i="77" a="1"/>
  <c r="G23" i="77" a="1"/>
  <c r="A4" i="77" a="1"/>
  <c r="A1" i="77"/>
  <c r="G24" i="83" a="1"/>
  <c r="A23" i="83" a="1"/>
  <c r="A4" i="83" a="1"/>
  <c r="A1" i="83"/>
  <c r="G24" i="90" a="1"/>
  <c r="A23" i="90" a="1"/>
  <c r="A4" i="90" a="1"/>
  <c r="A1" i="90"/>
  <c r="G25" i="76" a="1"/>
  <c r="A4" i="76" a="1"/>
  <c r="A1" i="76"/>
  <c r="E19" i="52" a="1"/>
  <c r="A4" i="52" a="1"/>
  <c r="A1" i="52"/>
  <c r="K33" i="51" a="1"/>
  <c r="K25" i="51" a="1"/>
  <c r="M23" i="51" a="1"/>
  <c r="M22" i="51" a="1"/>
  <c r="A4" i="51" a="1"/>
  <c r="A1" i="51"/>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H29" i="50"/>
  <c r="E29" i="50" a="1"/>
  <c r="A29" i="50" a="1"/>
  <c r="H28" i="50"/>
  <c r="E28" i="50" a="1"/>
  <c r="A28" i="50"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A4" i="49" a="1"/>
  <c r="A1" i="49"/>
  <c r="C46" i="48"/>
  <c r="C45" i="48"/>
  <c r="C44" i="48"/>
  <c r="C43" i="48"/>
  <c r="F19" i="48" a="1"/>
  <c r="F18" i="48" a="1"/>
  <c r="A4" i="48" a="1"/>
  <c r="A1" i="48"/>
  <c r="A4" i="47" a="1"/>
  <c r="A1" i="47"/>
  <c r="D25" i="46" a="1"/>
  <c r="A4" i="46" a="1"/>
  <c r="A1" i="46"/>
  <c r="A25" i="45" a="1"/>
  <c r="A24" i="45" a="1"/>
  <c r="A23" i="45" a="1"/>
  <c r="A4" i="45" a="1"/>
  <c r="A1" i="45"/>
  <c r="A4" i="44" a="1"/>
  <c r="A1" i="44"/>
  <c r="F23" i="43" a="1"/>
  <c r="F22" i="43" a="1"/>
  <c r="A4" i="43" a="1"/>
  <c r="A1" i="43"/>
  <c r="B24" i="41"/>
  <c r="F19" i="41" a="1"/>
  <c r="F18" i="41" a="1"/>
  <c r="A4" i="41" a="1"/>
  <c r="A1" i="41"/>
  <c r="B23" i="132" a="1"/>
  <c r="B19" i="132" a="1"/>
  <c r="B16" i="132" a="1"/>
  <c r="B9" i="132" a="1"/>
  <c r="B11" i="132" s="1"/>
  <c r="B8" i="132" a="1"/>
  <c r="B10" i="132" s="1"/>
  <c r="A1" i="132"/>
  <c r="A1" i="129"/>
  <c r="F20" i="41" l="1" a="1"/>
  <c r="I24" i="83" a="1"/>
  <c r="I24" i="90" a="1"/>
  <c r="I25" i="76" a="1"/>
  <c r="E26" i="81" a="1"/>
  <c r="G17" i="119" a="1"/>
  <c r="G17" i="113" a="1"/>
  <c r="I25" i="49" a="1"/>
  <c r="A32" i="51" a="1"/>
  <c r="G17" i="120" a="1"/>
  <c r="H17" i="116" a="1"/>
  <c r="G17" i="115" a="1"/>
  <c r="H17" i="114" a="1"/>
  <c r="H17" i="112" a="1"/>
  <c r="G17" i="111" a="1"/>
  <c r="H17" i="88" a="1"/>
  <c r="G20" i="87" a="1"/>
  <c r="L46" i="78" a="1"/>
  <c r="H23" i="45" a="1"/>
  <c r="G23" i="45" s="1" a="1"/>
  <c r="M33" i="51" a="1"/>
  <c r="M25" i="51" a="1"/>
  <c r="E24" i="51" a="1"/>
  <c r="A31" i="125"/>
  <c r="A30" i="125"/>
  <c r="A33" i="125"/>
  <c r="A32" i="125"/>
  <c r="A29" i="125"/>
  <c r="H23" i="97" a="1"/>
  <c r="I33" i="97" a="1"/>
  <c r="H33" i="97" s="1" a="1"/>
  <c r="B21" i="96" a="1"/>
  <c r="C21" i="96" s="1" a="1"/>
  <c r="B20" i="96" a="1"/>
  <c r="C20" i="96" s="1" a="1"/>
  <c r="B19" i="96" a="1"/>
  <c r="C19" i="96" s="1" a="1"/>
  <c r="B23" i="96" a="1"/>
  <c r="C23" i="96" s="1" a="1"/>
  <c r="B24" i="96" a="1"/>
  <c r="C24" i="96" s="1" a="1"/>
  <c r="B25" i="96" a="1"/>
  <c r="C25" i="96" s="1" a="1"/>
  <c r="B22" i="96" a="1"/>
  <c r="C22" i="96" s="1" a="1"/>
  <c r="I33" i="89" a="1"/>
  <c r="H33" i="89" s="1" a="1"/>
  <c r="H23" i="89" a="1"/>
  <c r="G20" i="105" a="1"/>
  <c r="H21" i="105" a="1"/>
  <c r="F18" i="82" a="1"/>
  <c r="G19" i="82" s="1" a="1"/>
  <c r="G20" i="128" a="1"/>
  <c r="H21" i="128" a="1"/>
  <c r="G21" i="128" s="1" a="1"/>
  <c r="J37" i="80" a="1"/>
  <c r="J30" i="80" a="1"/>
  <c r="J23" i="80" a="1"/>
  <c r="L21" i="108" a="1"/>
  <c r="L22" i="108" a="1"/>
  <c r="L23" i="108" a="1"/>
  <c r="L24" i="108" a="1"/>
  <c r="L25" i="108" a="1"/>
  <c r="K29" i="108" a="1"/>
  <c r="L18" i="107" a="1"/>
  <c r="L19" i="107" a="1"/>
  <c r="L20" i="107" a="1"/>
  <c r="L21" i="107" a="1"/>
  <c r="L22" i="107" a="1"/>
  <c r="K26" i="107" a="1"/>
  <c r="K26" i="106" a="1"/>
  <c r="L22" i="106" a="1"/>
  <c r="L21" i="106" a="1"/>
  <c r="L20" i="106" a="1"/>
  <c r="L19" i="106" a="1"/>
  <c r="L18" i="106" a="1"/>
  <c r="G20" i="99" a="1"/>
  <c r="F20" i="99" s="1"/>
  <c r="G19" i="99" a="1"/>
  <c r="G26" i="77" a="1"/>
  <c r="F26" i="77" s="1"/>
  <c r="G25" i="77" a="1"/>
  <c r="M21" i="50" a="1"/>
  <c r="L21" i="50" s="1"/>
  <c r="M20" i="50" a="1"/>
  <c r="F42" i="48" a="1"/>
  <c r="F35" i="48" a="1"/>
  <c r="F29" i="48" a="1"/>
  <c r="H32" i="44" a="1"/>
  <c r="H31" i="44" s="1" a="1"/>
  <c r="G34" i="44" a="1"/>
  <c r="F31" i="43" a="1"/>
  <c r="F29" i="43" a="1"/>
  <c r="G21" i="125" l="1" a="1"/>
  <c r="H24" i="83" a="1"/>
  <c r="H24" i="90" a="1"/>
  <c r="H25" i="76" a="1"/>
  <c r="F48" i="48" a="1"/>
  <c r="G22" i="119" a="1"/>
  <c r="F22" i="119" s="1"/>
  <c r="F17" i="119" a="1"/>
  <c r="G22" i="113" a="1"/>
  <c r="F22" i="113" s="1"/>
  <c r="F17" i="113" a="1"/>
  <c r="G22" i="120" a="1"/>
  <c r="F22" i="120" s="1"/>
  <c r="F17" i="120" a="1"/>
  <c r="H22" i="116" a="1"/>
  <c r="G22" i="116" s="1"/>
  <c r="G17" i="116" a="1"/>
  <c r="G22" i="115" a="1"/>
  <c r="F22" i="115" s="1"/>
  <c r="F17" i="115" a="1"/>
  <c r="H22" i="114" a="1"/>
  <c r="G22" i="114" s="1"/>
  <c r="G17" i="114" a="1"/>
  <c r="H22" i="112" a="1"/>
  <c r="G22" i="112" s="1"/>
  <c r="G17" i="112" a="1"/>
  <c r="G22" i="111" a="1"/>
  <c r="F22" i="111" s="1"/>
  <c r="F17" i="111" a="1"/>
  <c r="H22" i="88" a="1"/>
  <c r="G22" i="88" s="1"/>
  <c r="G17" i="88" a="1"/>
  <c r="G25" i="87" a="1"/>
  <c r="F25" i="87" s="1"/>
  <c r="F20" i="87" a="1"/>
  <c r="L38" i="78" a="1"/>
  <c r="L39" i="78" a="1"/>
  <c r="L40" i="78" a="1"/>
  <c r="L41" i="78" a="1"/>
  <c r="L42" i="78" a="1"/>
  <c r="K46" i="78" a="1"/>
  <c r="M38" i="51" a="1"/>
  <c r="L38" i="51" s="1"/>
  <c r="L33" i="51" a="1"/>
  <c r="M30" i="51" a="1"/>
  <c r="L25" i="51" a="1"/>
  <c r="J38" i="80" a="1"/>
  <c r="J39" i="80" s="1" a="1"/>
  <c r="J31" i="80" a="1"/>
  <c r="J32" i="80" s="1" a="1"/>
  <c r="J24" i="80" a="1"/>
  <c r="J25" i="80" s="1" a="1"/>
  <c r="G21" i="99" a="1"/>
  <c r="G22" i="99" s="1" a="1"/>
  <c r="F19" i="99"/>
  <c r="G27" i="77" a="1"/>
  <c r="G29" i="77" a="1"/>
  <c r="F25" i="77"/>
  <c r="M22" i="50" a="1"/>
  <c r="M27" i="50" a="1"/>
  <c r="L20" i="50"/>
  <c r="G26" i="125" l="1" a="1"/>
  <c r="F26" i="125" s="1"/>
  <c r="F21" i="125" a="1"/>
  <c r="M40" i="51" a="1"/>
  <c r="M42" i="51" s="1" a="1"/>
  <c r="L30" i="51"/>
  <c r="M24" i="50"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<sst xmlns="http://schemas.openxmlformats.org/spreadsheetml/2006/main" count="1307" uniqueCount="433">
  <si>
    <t>Name</t>
  </si>
  <si>
    <t>Type</t>
  </si>
  <si>
    <t>Y</t>
  </si>
  <si>
    <t>Title</t>
  </si>
  <si>
    <t>Subtotal</t>
  </si>
  <si>
    <t>Total</t>
  </si>
  <si>
    <t>Date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</si>
  <si>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</si>
  <si>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</si>
  <si>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</si>
  <si>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</si>
  <si>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</si>
  <si>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</si>
  <si>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</si>
  <si>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</si>
  <si>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</si>
  <si>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</si>
  <si>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</si>
  <si>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</si>
  <si>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</si>
  <si>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</si>
  <si>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</si>
  <si>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</si>
  <si>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</si>
  <si>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</si>
  <si>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</si>
  <si>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</si>
  <si>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</si>
  <si>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</si>
  <si>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</si>
  <si>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</si>
  <si>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</si>
  <si>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</si>
  <si>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</si>
  <si>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</si>
  <si>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</si>
  <si>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</si>
  <si>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</si>
  <si>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</si>
  <si>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</si>
  <si>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</si>
  <si>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</si>
  <si>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</si>
  <si>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</si>
  <si>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oz.CountDOWλ</t>
  </si>
  <si>
    <t>oz.IsBetweenλ</t>
  </si>
  <si>
    <t>oz.IsOccurrenceDateλ</t>
  </si>
  <si>
    <t>oz.OverLapDaysλ</t>
  </si>
  <si>
    <t>oz.Periodsλ</t>
  </si>
  <si>
    <t>oz.PeriodLabelλ</t>
  </si>
  <si>
    <t>oz.ScheduleRatesλ</t>
  </si>
  <si>
    <t>oz.ScheduleRatesByItemsλ</t>
  </si>
  <si>
    <t>oz.ScheduleValuesλ</t>
  </si>
  <si>
    <t>oz.ScheduleValuesByItemsλ</t>
  </si>
  <si>
    <t>oz.Timelineλ</t>
  </si>
  <si>
    <t>Unit Completion Schedule</t>
  </si>
  <si>
    <t>Rental Rate Schedule</t>
  </si>
  <si>
    <t>Timeline Arguments</t>
  </si>
  <si>
    <t>oz.AboutFinancialλ</t>
  </si>
  <si>
    <t>oz.Amortiseλ</t>
  </si>
  <si>
    <t>oz.Corkscrewλ</t>
  </si>
  <si>
    <t>oz.Depreciateλ</t>
  </si>
  <si>
    <t>oz.IntOnIntλ</t>
  </si>
  <si>
    <t>oz.IRRλ</t>
  </si>
  <si>
    <t>oz.Movementλ</t>
  </si>
  <si>
    <t>oz.SumAmortiseλ</t>
  </si>
  <si>
    <t>oz.SumPeriodsλ</t>
  </si>
  <si>
    <t>oz.LabelAmortiseλ</t>
  </si>
  <si>
    <t>oz.LabelDepreciateλ</t>
  </si>
  <si>
    <t>oz.TimelineOffsetλ</t>
  </si>
  <si>
    <t>oz.TimelinePositionλ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</si>
  <si>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</si>
  <si>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</si>
  <si>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</si>
  <si>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</si>
  <si>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</si>
  <si>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</si>
  <si>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</si>
  <si>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</si>
  <si>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</si>
  <si>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</si>
  <si>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</si>
  <si>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</si>
  <si>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</si>
  <si>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</si>
  <si>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</si>
  <si>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</si>
  <si>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</si>
  <si>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</si>
  <si>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</si>
  <si>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</si>
  <si>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</si>
  <si>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</si>
  <si>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</si>
  <si>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</si>
  <si>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</si>
  <si>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</si>
  <si>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</si>
  <si>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</si>
  <si>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</si>
  <si>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</si>
  <si>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</si>
  <si>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</si>
  <si>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</si>
  <si>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</si>
  <si>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</si>
  <si>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</si>
  <si>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</si>
  <si>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</si>
  <si>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</si>
  <si>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</si>
  <si>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</si>
  <si>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</si>
  <si>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</si>
  <si>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</si>
  <si>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</si>
  <si>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</si>
  <si>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</si>
  <si>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</si>
  <si>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</si>
  <si>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</si>
  <si>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</si>
  <si>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</si>
  <si>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000000"/>
        <rFont val="Aptos"/>
        <family val="2"/>
      </rPr>
      <t>↓  Dates→</t>
    </r>
  </si>
  <si>
    <t>IsOccurrenceDateλ(Dates, FirstOccurrence, [LastOccurrence], [Repeats])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</si>
  <si>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</si>
  <si>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</si>
  <si>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</si>
  <si>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</si>
  <si>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</si>
  <si>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</si>
  <si>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</si>
  <si>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</si>
  <si>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</si>
  <si>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</si>
  <si>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</si>
  <si>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</si>
  <si>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</si>
  <si>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</si>
  <si>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</si>
  <si>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</si>
  <si>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</si>
  <si>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</si>
  <si>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</si>
  <si>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</si>
  <si>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</si>
  <si>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</si>
  <si>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</si>
  <si>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</si>
  <si>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</si>
  <si>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</si>
  <si>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</si>
  <si>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</si>
  <si>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</si>
  <si>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</si>
  <si>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</si>
  <si>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</si>
  <si>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</si>
  <si>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</si>
  <si>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</si>
  <si>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</si>
  <si>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</si>
  <si>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</si>
  <si>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</si>
  <si>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</si>
  <si>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</si>
  <si>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</si>
  <si>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</si>
  <si>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</si>
  <si>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</si>
  <si>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</si>
  <si>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</si>
  <si>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</si>
  <si>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</si>
  <si>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</si>
  <si>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</si>
  <si>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</si>
  <si>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</si>
  <si>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</si>
  <si>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</si>
  <si>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</si>
  <si>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</si>
  <si>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</si>
  <si>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</si>
  <si>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oz.Cumulativeλ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</si>
  <si>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</si>
  <si>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</si>
  <si>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</si>
  <si>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</si>
  <si>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</si>
  <si>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</si>
  <si>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</si>
  <si>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</si>
  <si>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</si>
  <si>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</si>
  <si>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</si>
  <si>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</si>
  <si>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</si>
  <si>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</si>
  <si>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</si>
  <si>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</si>
  <si>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</si>
  <si>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</si>
  <si>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</si>
  <si>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</si>
  <si>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pale purple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</si>
  <si>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</si>
  <si>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</si>
  <si>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</si>
  <si>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</si>
  <si>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</si>
  <si>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</si>
  <si>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Ozzit steps in.</t>
  </si>
  <si>
    <t>Ozzit makes it easy for anyone, including Excel novices, to assemble expert level financial models with dynamic arrays in record time with fewer errors!</t>
  </si>
  <si>
    <t>Ozzit functions can be used exactly like native Excel functions because they are made from native Excel functions and nothing else. That means no special skills are required to use Ozzit functions and models assembled from Ozzit functions can be saved as normal .xlsx workbooks.</t>
  </si>
  <si>
    <t xml:space="preserve">With a few exceptions, all Ozzit functions have inline help. Inline help explains the function's syntax, purpose, version, and arguments. To access a function's inline help, find an empty space on a worksheet and enter = and the function's name without any arguments. </t>
  </si>
  <si>
    <t xml:space="preserve">Some Ozzit functions have Data Validation functions associated with them. These functions diagnose problems with arguments we present to their parent Ozzit function. So if a function returns an error or something unexpected, try calling its data validation routine which will attempt to diagnose any problems with the arguments. Data Validation functions are named using the function's name plus DV. As an example, we have a Ozzit function called Depreciateλ(). Depreciateλ's data validation function is DepreciateλDV(&lt;include arguments&gt;). </t>
  </si>
  <si>
    <t>Most worksheets have grey shaded cells which are input cells. These are meant to be played with. Try changing the inputs to see how the Ozzit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</si>
  <si>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</si>
  <si>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</si>
  <si>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</si>
  <si>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</si>
  <si>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</si>
  <si>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</si>
  <si>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</si>
  <si>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</si>
  <si>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</si>
  <si>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</si>
  <si>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</si>
  <si>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</si>
  <si>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</si>
  <si>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</si>
  <si>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</si>
  <si>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</si>
  <si>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</si>
  <si>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</si>
  <si>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</si>
  <si>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oz.SumDepreciateλ</t>
  </si>
  <si>
    <t>tblAssets1112</t>
  </si>
  <si>
    <t>oz.SumContainsλ</t>
  </si>
  <si>
    <t>tblAssets111214</t>
  </si>
  <si>
    <t>tblPhases</t>
  </si>
  <si>
    <t>oz.RollingSumλ</t>
  </si>
  <si>
    <t>Create row totals for CAPEX, Depreciation,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</si>
  <si>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</si>
  <si>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</si>
  <si>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oz.SumColsλ</t>
  </si>
  <si>
    <t>oz.SumRowsλ</t>
  </si>
  <si>
    <t>oz.AboutEssentialsλ</t>
  </si>
  <si>
    <t>oz.AvgRowsλ</t>
  </si>
  <si>
    <t>oz.AvgColsλ</t>
  </si>
  <si>
    <t>oz.MinRowsλ</t>
  </si>
  <si>
    <t>oz.MinColsλ</t>
  </si>
  <si>
    <t>oz.MaxRowsλ</t>
  </si>
  <si>
    <t>oz.MaxColsλ</t>
  </si>
  <si>
    <t>About the Ozzit Array Essentials library</t>
  </si>
  <si>
    <t>About the Ozzit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</si>
  <si>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</si>
  <si>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</si>
  <si>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</si>
  <si>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</si>
  <si>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</si>
  <si>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</si>
  <si>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</si>
  <si>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Ozzit function library, covering dates, array essentials, financial functions, financial ratios, utilities and debt. Every function shares the oz.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</si>
  <si>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</si>
  <si>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</si>
  <si>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</si>
  <si>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</si>
  <si>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</si>
  <si>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</si>
  <si>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</si>
  <si>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</si>
  <si>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</si>
  <si>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</si>
  <si>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</si>
  <si>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</si>
  <si>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</si>
  <si>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</si>
  <si>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</si>
  <si>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oz.CountCλ</t>
  </si>
  <si>
    <t>oz.CountRowsλ</t>
  </si>
  <si>
    <t>oz.CountColsλ</t>
  </si>
  <si>
    <t>oz.CountARowsλ</t>
  </si>
  <si>
    <t>oz.CountAColsλ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</si>
  <si>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</si>
  <si>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</si>
  <si>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</si>
  <si>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</si>
  <si>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</si>
  <si>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</si>
  <si>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</si>
  <si>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</si>
  <si>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</si>
  <si>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</si>
  <si>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oz.IsBetweenEλ</t>
  </si>
  <si>
    <t>tblOnBoarding</t>
  </si>
  <si>
    <t>oz.RangeToDAEλ</t>
  </si>
  <si>
    <t>Convert a static range into a dynamic array</t>
  </si>
  <si>
    <t>Click any name below to jump to its worksheet</t>
  </si>
  <si>
    <t>Create a row that reverses input values in the next period</t>
  </si>
  <si>
    <t>Reversal</t>
  </si>
  <si>
    <t>oz.Reversalλ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</si>
  <si>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</si>
  <si>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</si>
  <si>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</si>
  <si>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</si>
  <si>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</si>
  <si>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</si>
  <si>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</si>
  <si>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</si>
  <si>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</si>
  <si>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</si>
  <si>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</si>
  <si>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</si>
  <si>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</si>
  <si>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</si>
  <si>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</si>
  <si>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</si>
  <si>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</si>
  <si>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</si>
  <si>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</si>
  <si>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</si>
  <si>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oz.FinancialRatios</t>
  </si>
  <si>
    <t>Three dozen financial Ratios</t>
  </si>
  <si>
    <t>Function</t>
  </si>
  <si>
    <t>AboutRatiosλ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</si>
  <si>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</si>
  <si>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</si>
  <si>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</si>
  <si>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</si>
  <si>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</si>
  <si>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</si>
  <si>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</si>
  <si>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</si>
  <si>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</si>
  <si>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</si>
  <si>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</si>
  <si>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</si>
  <si>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</si>
  <si>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</si>
  <si>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</si>
  <si>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</si>
  <si>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</si>
  <si>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</si>
  <si>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</si>
  <si>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</si>
  <si>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</si>
  <si>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</si>
  <si>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</si>
  <si>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</si>
  <si>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</si>
  <si>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</si>
  <si>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</si>
  <si>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</si>
  <si>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</si>
  <si>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</si>
  <si>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</si>
  <si>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</si>
  <si>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</si>
  <si>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</si>
  <si>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</si>
  <si>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</si>
  <si>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</si>
  <si>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</si>
  <si>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</si>
  <si>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</si>
  <si>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</si>
  <si>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</si>
  <si>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</si>
  <si>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</si>
  <si>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</si>
  <si>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</si>
  <si>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</si>
  <si>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</si>
  <si>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</si>
  <si>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</si>
  <si>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</si>
  <si>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</si>
  <si>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</si>
  <si>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</si>
  <si>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</si>
  <si>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</si>
  <si>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</si>
  <si>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</si>
  <si>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</si>
  <si>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</si>
  <si>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</si>
  <si>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</si>
  <si>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</si>
  <si>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</si>
  <si>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</si>
  <si>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</si>
  <si>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</si>
  <si>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</si>
  <si>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DPRλ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</si>
  <si>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</si>
  <si>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</si>
  <si>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</si>
  <si>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</si>
  <si>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</si>
  <si>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</si>
  <si>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</si>
  <si>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</si>
  <si>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</si>
  <si>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Ozzit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</si>
  <si>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</si>
  <si>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</si>
  <si>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</si>
  <si>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</si>
  <si>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</si>
  <si>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</si>
  <si>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</si>
  <si>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</si>
  <si>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</si>
  <si>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</si>
  <si>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</si>
  <si>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</si>
  <si>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</si>
  <si>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</si>
  <si>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</si>
  <si>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</si>
  <si>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</si>
  <si>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</si>
  <si>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</si>
  <si>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</si>
  <si>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</si>
  <si>
    <t>Ozzit</t>
  </si>
  <si>
    <t>A LAMBDA function library for dynamic-array financial models. Australian conventions; no add-ins, no macros.</t>
  </si>
  <si>
    <t>Version 19 October 2026    -    143 functions    -    Microsoft 365 or Excel 2024 and later</t>
  </si>
  <si>
    <t>Count all non-empty cells in each row of an array</t>
  </si>
  <si>
    <t>Count all non-empty cells in each column of an array</t>
  </si>
  <si>
    <t>Three dozen financial ratios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</si>
</sst>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164" formatCode="&quot;$&quot;#,##0_);[Red]\(&quot;$&quot;#,##0\)"/>
    <numFmt numFmtId="165" formatCode="&quot;$&quot;#,##0.00_);[Red]\(&quot;$&quot;#,##0.00\)"/>
    <numFmt numFmtId="166" formatCode="#,##0.0%_);[Red]\(#,##0.0%\)"/>
    <numFmt numFmtId="167" formatCode="d\-mmm\-yyyy"/>
    <numFmt numFmtId="168" formatCode="dd/mm/yyyy"/>
    <numFmt numFmtId="169" formatCode="#,###;#,###;\-"/>
    <numFmt numFmtId="170" formatCode="#,###;[Red]\(#,###\);\-"/>
    <numFmt numFmtId="171" formatCode="#,##0.00%_);[Red]\(#,##0.00%\)"/>
    <numFmt numFmtId="172" formatCode="#,##0.00000_);[Red]\(#,##0.00000\)"/>
  </numFmts>
  <fonts count="30" x14ac:knownFonts="1">
    <font>
      <sz val="11"/>
      <color rgb="FF000000"/>
      <name val="Aptos"/>
      <family val="2"/>
      <scheme val="minor"/>
    </font>
    <font>
      <sz val="11"/>
      <color theme="1"/>
      <name val="Aptos"/>
      <family val="2"/>
      <scheme val="minor"/>
    </font>
    <font>
      <b/>
      <sz val="11"/>
      <color rgb="FF000000"/>
      <name val="Aptos"/>
      <family val="2"/>
      <scheme val="minor"/>
    </font>
    <font>
      <b/>
      <sz val="11"/>
      <color rgb="FF000000"/>
      <name val="Aptos"/>
      <family val="2"/>
      <scheme val="minor"/>
    </font>
    <font>
      <sz val="11"/>
      <color rgb="FF000000"/>
      <name val="Aptos"/>
      <family val="2"/>
      <scheme val="minor"/>
    </font>
    <font>
      <sz val="11"/>
      <color rgb="FF66023C"/>
      <name val="Aptos"/>
      <family val="2"/>
      <scheme val="minor"/>
    </font>
    <font>
      <i/>
      <sz val="11"/>
      <color rgb="FF6E6862"/>
      <name val="Aptos"/>
      <family val="2"/>
      <scheme val="minor"/>
    </font>
    <font>
      <b/>
      <sz val="36"/>
      <color rgb="FF66023C"/>
      <name val="Aptos Display"/>
    </font>
    <font>
      <b/>
      <sz val="20"/>
      <color rgb="FF66023C"/>
      <name val="Aptos Display"/>
    </font>
    <font>
      <b/>
      <sz val="16"/>
      <color rgb="FF66023C"/>
      <name val="Aptos Display"/>
    </font>
    <font>
      <u/>
      <sz val="11"/>
      <color theme="10"/>
      <name val="Aptos"/>
      <family val="2"/>
      <scheme val="minor"/>
    </font>
    <font>
      <sz val="10"/>
      <color rgb="FFFFFFF0"/>
      <name val="Aptos"/>
      <family val="2"/>
      <scheme val="minor"/>
    </font>
    <font>
      <b/>
      <sz val="11"/>
      <color rgb="FF66023C"/>
      <name val="Aptos"/>
      <family val="2"/>
      <scheme val="minor"/>
    </font>
    <font>
      <sz val="11"/>
      <color rgb="FF000000"/>
      <name val="Aptos"/>
      <family val="2"/>
      <scheme val="minor"/>
    </font>
    <font>
      <b/>
      <sz val="11"/>
      <color rgb="FF66023C"/>
      <name val="Aptos"/>
      <family val="2"/>
      <scheme val="minor"/>
    </font>
    <font>
      <sz val="12"/>
      <color rgb="FF000000"/>
      <name val="Aptos"/>
      <family val="2"/>
    </font>
    <font>
      <sz val="11"/>
      <color rgb="FF000000"/>
      <name val="Aptos"/>
      <family val="2"/>
    </font>
    <font>
      <sz val="36"/>
      <color rgb="FF000000"/>
      <name val="Aptos"/>
      <family val="2"/>
    </font>
    <font>
      <b/>
      <sz val="12"/>
      <color rgb="FF000000"/>
      <name val="Aptos"/>
      <family val="2"/>
    </font>
    <font>
      <b/>
      <sz val="48"/>
      <color rgb="FF66023C"/>
      <name val="Aptos"/>
      <family val="2"/>
    </font>
    <font>
      <sz val="12"/>
      <color rgb="FF000000"/>
      <name val="Aptos"/>
      <family val="2"/>
    </font>
    <font>
      <sz val="11"/>
      <color rgb="FF000000"/>
      <name val="Aptos"/>
      <family val="2"/>
    </font>
    <font>
      <b/>
      <sz val="11"/>
      <color rgb="FF000000"/>
      <name val="Aptos"/>
      <family val="2"/>
    </font>
    <font>
      <sz val="11"/>
      <name val="Aptos"/>
      <family val="2"/>
      <scheme val="minor"/>
    </font>
    <font>
      <sz val="11"/>
      <color rgb="FF000000"/>
      <name val="Aptos"/>
      <family val="2"/>
      <scheme val="minor"/>
    </font>
    <font>
      <b/>
      <sz val="48"/>
      <color rgb="FF66023C"/>
      <name val="Aptos Display"/>
      <family val="2"/>
    </font>
    <font>
      <sz val="12"/>
      <color rgb="FF6E6862"/>
      <name val="Aptos"/>
      <family val="2"/>
    </font>
    <font>
      <sz val="10"/>
      <color rgb="FF6E6862"/>
      <name val="Aptos"/>
      <family val="2"/>
    </font>
    <font>
      <b/>
      <sz val="22"/>
      <color rgb="FF000000"/>
      <name val="Aptos Display"/>
      <family val="2"/>
    </font>
    <font>
      <b/>
      <sz val="26"/>
      <color rgb="FF66023C"/>
      <name val="Aptos Display"/>
      <family val="2"/>
    </font>
  </fonts>
  <fills count="10">
    <fill>
      <patternFill patternType="none"/>
    </fill>
    <fill>
      <patternFill patternType="gray125"/>
    </fill>
    <fill>
      <patternFill patternType="solid">
        <fgColor rgb="FFE5E4E2"/>
        <bgColor rgb="FF000000"/>
      </patternFill>
    </fill>
    <fill>
      <patternFill patternType="solid">
        <fgColor indexed="9"/>
        <bgColor rgb="FF000000"/>
      </patternFill>
    </fill>
    <fill>
      <patternFill patternType="solid">
        <fgColor rgb="FFE8D9E2"/>
        <bgColor rgb="FF000000"/>
      </patternFill>
    </fill>
    <fill>
      <patternFill patternType="solid">
        <fgColor rgb="FFFFFFF0"/>
      </patternFill>
    </fill>
    <fill>
      <patternFill patternType="solid">
        <fgColor theme="4"/>
        <bgColor rgb="FF000000"/>
      </patternFill>
    </fill>
    <fill>
      <patternFill patternType="solid">
        <fgColor rgb="FFFFFFF0"/>
        <bgColor rgb="FF000000"/>
      </patternFill>
    </fill>
    <fill>
      <patternFill patternType="solid">
        <fgColor rgb="FFF5F5F5"/>
        <bgColor rgb="FF000000"/>
      </patternFill>
    </fill>
    <fill>
      <patternFill patternType="solid">
        <fgColor rgb="FFFFFFF0"/>
        <bgColor rgb="FF000000"/>
      </patternFill>
    </fill>
  </fills>
  <borders count="21">
    <border>
      <left/>
      <right/>
      <top/>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16">
    <xf numFmtId="170" fontId="0" fillId="3" borderId="0" applyBorder="0" applyAlignment="0"/>
    <xf numFmtId="40" fontId="1" fillId="0" borderId="0" applyFont="0" applyFill="0" applyBorder="0" applyProtection="0">
      <alignment horizontal="right" vertical="top"/>
    </xf>
    <xf numFmtId="165" fontId="1" fillId="0" borderId="0" applyFont="0" applyFill="0" applyBorder="0" applyProtection="0">
      <alignment horizontal="right" vertical="top"/>
    </xf>
    <xf numFmtId="166" fontId="1" fillId="0" borderId="0" applyFont="0" applyFill="0" applyBorder="0" applyProtection="0">
      <alignment horizontal="right" vertical="top"/>
    </xf>
    <xf numFmtId="0" fontId="7" fillId="0" borderId="1" applyNumberFormat="0" applyFill="0" applyAlignment="0" applyProtection="0"/>
    <xf numFmtId="0" fontId="8" fillId="0" borderId="1" applyNumberFormat="0" applyFill="0" applyAlignment="0" applyProtection="0"/>
    <xf numFmtId="0" fontId="9" fillId="0" borderId="1" applyNumberFormat="0" applyFill="0" applyAlignment="0" applyProtection="0"/>
    <xf numFmtId="0" fontId="2" fillId="7" borderId="6" applyNumberFormat="0" applyAlignment="0" applyProtection="0"/>
    <xf numFmtId="0" fontId="5" fillId="4" borderId="1" applyNumberFormat="0" applyAlignment="0" applyProtection="0">
      <protection locked="0"/>
    </xf>
    <xf numFmtId="0" fontId="4" fillId="2" borderId="1" applyNumberFormat="0" applyAlignment="0">
      <protection locked="0"/>
    </xf>
    <xf numFmtId="0" fontId="6" fillId="0" borderId="1" applyNumberFormat="0" applyFill="0" applyAlignment="0" applyProtection="0"/>
    <xf numFmtId="0" fontId="3" fillId="0" borderId="7" applyNumberFormat="0" applyFill="0" applyAlignment="0" applyProtection="0"/>
    <xf numFmtId="0" fontId="4" fillId="5" borderId="0" applyNumberFormat="0" applyBorder="0" applyAlignment="0"/>
    <xf numFmtId="0" fontId="3" fillId="3" borderId="5" applyNumberFormat="0" applyFill="0" applyAlignment="0" applyProtection="0"/>
    <xf numFmtId="167" fontId="4" fillId="3" borderId="0" applyFont="0" applyFill="0" applyBorder="0" applyProtection="0">
      <alignment horizontal="right" vertical="top"/>
    </xf>
    <xf numFmtId="0" fontId="10" fillId="3" borderId="0" applyNumberFormat="0" applyFill="0" applyBorder="0" applyAlignment="0"/>
  </cellStyleXfs>
  <cellXfs count="223">
    <xf numFmtId="170" fontId="0" fillId="3" borderId="0" xfId="0"/>
    <xf numFmtId="167" fontId="2" fillId="7" borderId="6" xfId="7" applyNumberFormat="1" applyAlignment="1">
      <alignment horizontal="right" vertical="top"/>
    </xf>
    <xf numFmtId="170" fontId="3" fillId="3" borderId="0" xfId="0" applyFont="1"/>
    <xf numFmtId="170" fontId="0" fillId="3" borderId="0" xfId="0" quotePrefix="1"/>
    <xf numFmtId="0" fontId="6" fillId="3" borderId="1" xfId="10" applyFill="1"/>
    <xf numFmtId="170" fontId="0" fillId="3" borderId="10" xfId="0" applyBorder="1" applyAlignment="1"/>
    <xf numFmtId="0" fontId="7" fillId="3" borderId="1" xfId="4" applyFill="1"/>
    <xf numFmtId="170" fontId="0" fillId="3" borderId="0" xfId="0" applyAlignment="1">
      <alignment horizontal="right"/>
    </xf>
    <xf numFmtId="0" fontId="2" fillId="7" borderId="6" xfId="7"/>
    <xf numFmtId="0" fontId="2" fillId="7" borderId="6" xfId="7" applyAlignment="1">
      <alignment horizontal="right"/>
    </xf>
    <xf numFmtId="0" fontId="9" fillId="3" borderId="1" xfId="6" applyFill="1" applyAlignment="1">
      <alignment horizontal="left"/>
    </xf>
    <xf numFmtId="0" fontId="4" fillId="2" borderId="1" xfId="9" applyAlignment="1">
      <alignment horizontal="right"/>
      <protection locked="0"/>
    </xf>
    <xf numFmtId="167" fontId="4" fillId="2" borderId="1" xfId="14" applyFill="1" applyBorder="1" applyProtection="1">
      <alignment horizontal="right" vertical="top"/>
      <protection locked="0"/>
    </xf>
    <xf numFmtId="167" fontId="0" fillId="3" borderId="0" xfId="0" applyNumberFormat="1"/>
    <xf numFmtId="170" fontId="0" fillId="3" borderId="0" xfId="0" applyAlignment="1">
      <alignment horizontal="left" indent="1"/>
    </xf>
    <xf numFmtId="0" fontId="4" fillId="2" borderId="1" xfId="14" applyNumberFormat="1" applyFill="1" applyBorder="1" applyProtection="1">
      <alignment horizontal="right" vertical="top"/>
      <protection locked="0"/>
    </xf>
    <xf numFmtId="170" fontId="0" fillId="3" borderId="1" xfId="0" applyBorder="1" applyAlignment="1">
      <alignment horizontal="right"/>
    </xf>
    <xf numFmtId="0" fontId="4" fillId="2" borderId="1" xfId="9">
      <protection locked="0"/>
    </xf>
    <xf numFmtId="170" fontId="3" fillId="3" borderId="0" xfId="0" applyFont="1" applyAlignment="1">
      <alignment horizontal="right"/>
    </xf>
    <xf numFmtId="0" fontId="2" fillId="7" borderId="13" xfId="7" applyBorder="1" applyAlignment="1">
      <alignment horizontal="right"/>
    </xf>
    <xf numFmtId="0" fontId="3" fillId="5" borderId="0" xfId="12" applyFont="1" applyBorder="1" applyAlignment="1">
      <alignment horizontal="right"/>
    </xf>
    <xf numFmtId="167" fontId="3" fillId="5" borderId="0" xfId="14" applyFont="1" applyFill="1" applyBorder="1">
      <alignment horizontal="right" vertical="top"/>
    </xf>
    <xf numFmtId="167" fontId="2" fillId="7" borderId="13" xfId="14" applyFont="1" applyFill="1" applyBorder="1">
      <alignment horizontal="right" vertical="top"/>
    </xf>
    <xf numFmtId="0" fontId="5" fillId="4" borderId="1" xfId="8" applyNumberFormat="1" applyAlignment="1" applyProtection="1">
      <alignment horizontal="right" vertical="top"/>
    </xf>
    <xf numFmtId="0" fontId="5" fillId="4" borderId="1" xfId="8" applyProtection="1"/>
    <xf numFmtId="167" fontId="2" fillId="7" borderId="0" xfId="14" applyFont="1" applyFill="1" applyBorder="1">
      <alignment horizontal="right" vertical="top"/>
    </xf>
    <xf numFmtId="170" fontId="0" fillId="3" borderId="0" xfId="0" applyBorder="1" applyAlignment="1">
      <alignment horizontal="left" indent="1"/>
    </xf>
    <xf numFmtId="170" fontId="3" fillId="3" borderId="0" xfId="0" applyFont="1" applyBorder="1" applyAlignment="1">
      <alignment horizontal="left"/>
    </xf>
    <xf numFmtId="170" fontId="3" fillId="3" borderId="0" xfId="0" applyFont="1" applyBorder="1" applyAlignment="1">
      <alignment horizontal="right"/>
    </xf>
    <xf numFmtId="167" fontId="5" fillId="4" borderId="14" xfId="8" applyNumberFormat="1" applyBorder="1" applyAlignment="1" applyProtection="1">
      <alignment horizontal="right" vertical="top"/>
    </xf>
    <xf numFmtId="40" fontId="0" fillId="3" borderId="0" xfId="1" applyFont="1" applyFill="1" applyBorder="1">
      <alignment horizontal="right" vertical="top"/>
    </xf>
    <xf numFmtId="170" fontId="0" fillId="3" borderId="4" xfId="0" applyBorder="1" applyAlignment="1"/>
    <xf numFmtId="38" fontId="0" fillId="3" borderId="1" xfId="0" applyNumberFormat="1" applyBorder="1" applyAlignment="1">
      <alignment horizontal="right" vertical="top"/>
    </xf>
    <xf numFmtId="168" fontId="0" fillId="3" borderId="1" xfId="0" applyNumberFormat="1" applyBorder="1" applyAlignment="1">
      <alignment horizontal="right" vertical="top"/>
    </xf>
    <xf numFmtId="167" fontId="0" fillId="3" borderId="0" xfId="14" applyFont="1">
      <alignment horizontal="right" vertical="top"/>
    </xf>
    <xf numFmtId="169" fontId="5" fillId="4" borderId="1" xfId="8" applyNumberFormat="1" applyProtection="1"/>
    <xf numFmtId="38" fontId="0" fillId="3" borderId="0" xfId="0" applyNumberFormat="1" applyBorder="1" applyAlignment="1">
      <alignment horizontal="right" vertical="top"/>
    </xf>
    <xf numFmtId="168" fontId="0" fillId="3" borderId="0" xfId="0" applyNumberFormat="1" applyBorder="1" applyAlignment="1">
      <alignment horizontal="right" vertical="top"/>
    </xf>
    <xf numFmtId="169" fontId="2" fillId="7" borderId="6" xfId="7" applyNumberFormat="1" applyAlignment="1"/>
    <xf numFmtId="169" fontId="2" fillId="7" borderId="6" xfId="7" applyNumberFormat="1" applyAlignment="1">
      <alignment horizontal="right" wrapText="1"/>
    </xf>
    <xf numFmtId="169" fontId="2" fillId="7" borderId="6" xfId="7" applyNumberFormat="1" applyAlignment="1">
      <alignment horizontal="center"/>
    </xf>
    <xf numFmtId="40" fontId="0" fillId="3" borderId="0" xfId="1" applyFont="1" applyFill="1">
      <alignment horizontal="right" vertical="top"/>
    </xf>
    <xf numFmtId="169" fontId="2" fillId="7" borderId="6" xfId="7" applyNumberFormat="1"/>
    <xf numFmtId="169" fontId="3" fillId="5" borderId="0" xfId="12" applyNumberFormat="1" applyFont="1"/>
    <xf numFmtId="167" fontId="3" fillId="5" borderId="0" xfId="12" applyNumberFormat="1" applyFont="1" applyAlignment="1">
      <alignment horizontal="right" vertical="top"/>
    </xf>
    <xf numFmtId="0" fontId="6" fillId="3" borderId="15" xfId="10" applyFill="1" applyBorder="1" applyAlignment="1">
      <alignment horizontal="left"/>
    </xf>
    <xf numFmtId="0" fontId="9" fillId="3" borderId="16" xfId="6" applyFill="1" applyBorder="1" applyAlignment="1"/>
    <xf numFmtId="169" fontId="5" fillId="4" borderId="1" xfId="8" applyNumberFormat="1" applyAlignment="1" applyProtection="1">
      <alignment horizontal="right" vertical="top"/>
    </xf>
    <xf numFmtId="169" fontId="2" fillId="7" borderId="13" xfId="7" applyNumberFormat="1" applyBorder="1" applyAlignment="1">
      <alignment horizontal="right"/>
    </xf>
    <xf numFmtId="167" fontId="2" fillId="7" borderId="13" xfId="7" applyNumberFormat="1" applyBorder="1" applyAlignment="1">
      <alignment horizontal="right" vertical="top"/>
    </xf>
    <xf numFmtId="170" fontId="3" fillId="3" borderId="0" xfId="0" applyFont="1" applyBorder="1"/>
    <xf numFmtId="170" fontId="3" fillId="3" borderId="0" xfId="13" applyNumberFormat="1" applyBorder="1" applyAlignment="1">
      <alignment horizontal="right"/>
    </xf>
    <xf numFmtId="170" fontId="3" fillId="3" borderId="0" xfId="13" applyNumberFormat="1" applyBorder="1"/>
    <xf numFmtId="170" fontId="2" fillId="7" borderId="6" xfId="7" applyNumberFormat="1" applyAlignment="1">
      <alignment horizontal="right"/>
    </xf>
    <xf numFmtId="170" fontId="2" fillId="7" borderId="6" xfId="7" applyNumberFormat="1"/>
    <xf numFmtId="170" fontId="5" fillId="4" borderId="1" xfId="8" applyNumberFormat="1" applyProtection="1"/>
    <xf numFmtId="167" fontId="4" fillId="2" borderId="1" xfId="9" applyNumberFormat="1">
      <protection locked="0"/>
    </xf>
    <xf numFmtId="38" fontId="4" fillId="2" borderId="1" xfId="9" applyNumberFormat="1" applyAlignment="1">
      <alignment horizontal="right" vertical="top"/>
      <protection locked="0"/>
    </xf>
    <xf numFmtId="167" fontId="3" fillId="5" borderId="0" xfId="12" applyNumberFormat="1" applyFont="1" applyBorder="1" applyAlignment="1">
      <alignment horizontal="right" vertical="top"/>
    </xf>
    <xf numFmtId="169" fontId="2" fillId="7" borderId="6" xfId="7" applyNumberFormat="1" applyAlignment="1">
      <alignment horizontal="right"/>
    </xf>
    <xf numFmtId="170" fontId="3" fillId="3" borderId="5" xfId="13" applyNumberFormat="1"/>
    <xf numFmtId="0" fontId="0" fillId="3" borderId="0" xfId="0" applyNumberFormat="1"/>
    <xf numFmtId="0" fontId="4" fillId="3" borderId="0" xfId="0" applyNumberFormat="1" applyFont="1" applyAlignment="1">
      <alignment horizontal="right" vertical="top"/>
    </xf>
    <xf numFmtId="167" fontId="3" fillId="5" borderId="0" xfId="12" applyNumberFormat="1" applyFont="1" applyBorder="1" applyAlignment="1">
      <alignment horizontal="right"/>
    </xf>
    <xf numFmtId="170" fontId="3" fillId="3" borderId="7" xfId="11" applyNumberFormat="1" applyFill="1"/>
    <xf numFmtId="170" fontId="0" fillId="3" borderId="8" xfId="0" applyBorder="1"/>
    <xf numFmtId="170" fontId="0" fillId="3" borderId="9" xfId="0" applyBorder="1"/>
    <xf numFmtId="170" fontId="0" fillId="3" borderId="0" xfId="0" applyBorder="1"/>
    <xf numFmtId="0" fontId="2" fillId="7" borderId="0" xfId="7" applyBorder="1" applyAlignment="1">
      <alignment horizontal="left"/>
    </xf>
    <xf numFmtId="0" fontId="2" fillId="7" borderId="0" xfId="7" applyBorder="1"/>
    <xf numFmtId="38" fontId="0" fillId="3" borderId="10" xfId="0" applyNumberFormat="1" applyBorder="1" applyAlignment="1">
      <alignment horizontal="right" vertical="top"/>
    </xf>
    <xf numFmtId="38" fontId="0" fillId="3" borderId="18" xfId="0" applyNumberFormat="1" applyBorder="1" applyAlignment="1">
      <alignment horizontal="right" vertical="top"/>
    </xf>
    <xf numFmtId="10" fontId="0" fillId="3" borderId="18" xfId="0" applyNumberFormat="1" applyBorder="1"/>
    <xf numFmtId="170" fontId="0" fillId="3" borderId="18" xfId="0" applyBorder="1"/>
    <xf numFmtId="167" fontId="0" fillId="3" borderId="18" xfId="0" applyNumberFormat="1" applyBorder="1" applyAlignment="1">
      <alignment horizontal="right" vertical="top"/>
    </xf>
    <xf numFmtId="170" fontId="0" fillId="3" borderId="0" xfId="0" applyAlignment="1">
      <alignment horizontal="left"/>
    </xf>
    <xf numFmtId="40" fontId="0" fillId="3" borderId="0" xfId="1" applyFont="1" applyFill="1" applyAlignment="1">
      <alignment horizontal="left" vertical="top"/>
    </xf>
    <xf numFmtId="165" fontId="0" fillId="3" borderId="0" xfId="0" applyNumberFormat="1" applyAlignment="1">
      <alignment horizontal="left"/>
    </xf>
    <xf numFmtId="170" fontId="3" fillId="3" borderId="1" xfId="0" applyFont="1" applyBorder="1" applyAlignment="1">
      <alignment horizontal="left"/>
    </xf>
    <xf numFmtId="170" fontId="0" fillId="3" borderId="0" xfId="0" applyAlignment="1">
      <alignment horizontal="right" vertical="top"/>
    </xf>
    <xf numFmtId="170" fontId="5" fillId="4" borderId="1" xfId="8" applyNumberFormat="1" applyAlignment="1" applyProtection="1">
      <alignment horizontal="right" vertical="top"/>
    </xf>
    <xf numFmtId="170" fontId="0" fillId="3" borderId="9" xfId="0" applyBorder="1" applyAlignment="1">
      <alignment horizontal="right"/>
    </xf>
    <xf numFmtId="38" fontId="0" fillId="3" borderId="10" xfId="0" applyNumberFormat="1" applyBorder="1" applyAlignment="1">
      <alignment horizontal="left" vertical="top"/>
    </xf>
    <xf numFmtId="169" fontId="2" fillId="7" borderId="13" xfId="7" applyNumberFormat="1" applyBorder="1"/>
    <xf numFmtId="169" fontId="2" fillId="7" borderId="0" xfId="7" applyNumberFormat="1" applyBorder="1" applyAlignment="1">
      <alignment horizontal="right"/>
    </xf>
    <xf numFmtId="170" fontId="0" fillId="3" borderId="1" xfId="0" applyBorder="1"/>
    <xf numFmtId="170" fontId="0" fillId="3" borderId="0" xfId="0" applyAlignment="1">
      <alignment wrapText="1"/>
    </xf>
    <xf numFmtId="170" fontId="0" fillId="3" borderId="0" xfId="0" applyAlignment="1">
      <alignment horizontal="right" wrapText="1"/>
    </xf>
    <xf numFmtId="38" fontId="0" fillId="3" borderId="0" xfId="1" applyNumberFormat="1" applyFont="1" applyFill="1">
      <alignment horizontal="right" vertical="top"/>
    </xf>
    <xf numFmtId="167" fontId="0" fillId="3" borderId="0" xfId="1" applyNumberFormat="1" applyFont="1" applyFill="1">
      <alignment horizontal="right" vertical="top"/>
    </xf>
    <xf numFmtId="38" fontId="0" fillId="3" borderId="0" xfId="1" applyNumberFormat="1" applyFont="1" applyFill="1" applyBorder="1">
      <alignment horizontal="right" vertical="top"/>
    </xf>
    <xf numFmtId="166" fontId="0" fillId="3" borderId="0" xfId="3" applyFont="1" applyFill="1">
      <alignment horizontal="right" vertical="top"/>
    </xf>
    <xf numFmtId="170" fontId="2" fillId="7" borderId="0" xfId="7" applyNumberFormat="1" applyBorder="1"/>
    <xf numFmtId="170" fontId="2" fillId="7" borderId="0" xfId="7" applyNumberFormat="1" applyBorder="1" applyAlignment="1">
      <alignment horizontal="right"/>
    </xf>
    <xf numFmtId="166" fontId="5" fillId="4" borderId="1" xfId="8" applyNumberFormat="1" applyAlignment="1" applyProtection="1">
      <alignment horizontal="right" vertical="top"/>
    </xf>
    <xf numFmtId="170" fontId="0" fillId="3" borderId="1" xfId="0" applyBorder="1" applyAlignment="1">
      <alignment horizontal="right" vertical="top"/>
    </xf>
    <xf numFmtId="170" fontId="3" fillId="3" borderId="0" xfId="11" applyNumberFormat="1" applyFill="1" applyBorder="1"/>
    <xf numFmtId="170" fontId="12" fillId="4" borderId="19" xfId="8" applyNumberFormat="1" applyFont="1" applyBorder="1" applyProtection="1"/>
    <xf numFmtId="0" fontId="3" fillId="3" borderId="5" xfId="13" applyNumberFormat="1"/>
    <xf numFmtId="0" fontId="3" fillId="3" borderId="5" xfId="13" applyNumberFormat="1" applyAlignment="1">
      <alignment horizontal="right" vertical="top"/>
    </xf>
    <xf numFmtId="40" fontId="0" fillId="3" borderId="0" xfId="0" applyNumberFormat="1"/>
    <xf numFmtId="38" fontId="0" fillId="3" borderId="0" xfId="0" applyNumberFormat="1"/>
    <xf numFmtId="168" fontId="0" fillId="3" borderId="0" xfId="0" applyNumberFormat="1"/>
    <xf numFmtId="0" fontId="8" fillId="3" borderId="1" xfId="5" applyNumberFormat="1" applyFill="1"/>
    <xf numFmtId="170" fontId="14" fillId="9" borderId="1" xfId="0" applyFont="1" applyFill="1" applyBorder="1"/>
    <xf numFmtId="170" fontId="14" fillId="9" borderId="1" xfId="0" applyFont="1" applyFill="1" applyBorder="1" applyAlignment="1">
      <alignment horizontal="right"/>
    </xf>
    <xf numFmtId="38" fontId="13" fillId="3" borderId="18" xfId="0" applyNumberFormat="1" applyFont="1" applyBorder="1" applyAlignment="1">
      <alignment horizontal="left" vertical="top"/>
    </xf>
    <xf numFmtId="38" fontId="13" fillId="3" borderId="18" xfId="0" applyNumberFormat="1" applyFont="1" applyBorder="1" applyAlignment="1">
      <alignment horizontal="right" vertical="top"/>
    </xf>
    <xf numFmtId="10" fontId="13" fillId="3" borderId="18" xfId="0" applyNumberFormat="1" applyFont="1" applyBorder="1"/>
    <xf numFmtId="170" fontId="13" fillId="3" borderId="18" xfId="0" applyFont="1" applyBorder="1"/>
    <xf numFmtId="167" fontId="13" fillId="3" borderId="18" xfId="0" applyNumberFormat="1" applyFont="1" applyBorder="1" applyAlignment="1">
      <alignment horizontal="right" vertical="top"/>
    </xf>
    <xf numFmtId="38" fontId="13" fillId="8" borderId="18" xfId="0" applyNumberFormat="1" applyFont="1" applyFill="1" applyBorder="1" applyAlignment="1">
      <alignment horizontal="left" vertical="top"/>
    </xf>
    <xf numFmtId="38" fontId="13" fillId="8" borderId="18" xfId="0" applyNumberFormat="1" applyFont="1" applyFill="1" applyBorder="1" applyAlignment="1">
      <alignment horizontal="right" vertical="top"/>
    </xf>
    <xf numFmtId="10" fontId="13" fillId="8" borderId="18" xfId="0" applyNumberFormat="1" applyFont="1" applyFill="1" applyBorder="1"/>
    <xf numFmtId="170" fontId="13" fillId="8" borderId="18" xfId="0" applyFont="1" applyFill="1" applyBorder="1"/>
    <xf numFmtId="167" fontId="13" fillId="8" borderId="18" xfId="0" applyNumberFormat="1" applyFont="1" applyFill="1" applyBorder="1" applyAlignment="1">
      <alignment horizontal="right" vertical="top"/>
    </xf>
    <xf numFmtId="38" fontId="13" fillId="3" borderId="1" xfId="0" applyNumberFormat="1" applyFont="1" applyBorder="1" applyAlignment="1">
      <alignment horizontal="left" vertical="top"/>
    </xf>
    <xf numFmtId="38" fontId="13" fillId="3" borderId="1" xfId="0" applyNumberFormat="1" applyFont="1" applyBorder="1" applyAlignment="1">
      <alignment horizontal="right" vertical="top"/>
    </xf>
    <xf numFmtId="10" fontId="13" fillId="3" borderId="1" xfId="0" applyNumberFormat="1" applyFont="1" applyBorder="1"/>
    <xf numFmtId="170" fontId="13" fillId="3" borderId="1" xfId="0" applyFont="1" applyBorder="1"/>
    <xf numFmtId="167" fontId="13" fillId="3" borderId="1" xfId="0" applyNumberFormat="1" applyFont="1" applyBorder="1" applyAlignment="1">
      <alignment horizontal="right" vertical="top"/>
    </xf>
    <xf numFmtId="0" fontId="2" fillId="7" borderId="6" xfId="7" applyAlignment="1">
      <alignment horizontal="left"/>
    </xf>
    <xf numFmtId="170" fontId="5" fillId="4" borderId="1" xfId="8" applyNumberFormat="1" applyAlignment="1" applyProtection="1">
      <alignment horizontal="left"/>
    </xf>
    <xf numFmtId="170" fontId="3" fillId="5" borderId="0" xfId="12" applyNumberFormat="1" applyFont="1"/>
    <xf numFmtId="167" fontId="4" fillId="2" borderId="1" xfId="9" applyNumberFormat="1" applyAlignment="1">
      <alignment horizontal="right" vertical="top"/>
      <protection locked="0"/>
    </xf>
    <xf numFmtId="170" fontId="4" fillId="2" borderId="1" xfId="9" applyNumberFormat="1">
      <protection locked="0"/>
    </xf>
    <xf numFmtId="170" fontId="10" fillId="3" borderId="0" xfId="15" applyNumberFormat="1" applyAlignment="1"/>
    <xf numFmtId="170" fontId="10" fillId="3" borderId="0" xfId="15" applyNumberFormat="1" applyAlignment="1">
      <alignment horizontal="center"/>
    </xf>
    <xf numFmtId="170" fontId="0" fillId="3" borderId="4" xfId="0" applyBorder="1"/>
    <xf numFmtId="170" fontId="5" fillId="4" borderId="0" xfId="8" applyNumberFormat="1" applyBorder="1" applyProtection="1"/>
    <xf numFmtId="0" fontId="6" fillId="3" borderId="1" xfId="10" applyFill="1" applyAlignment="1"/>
    <xf numFmtId="0" fontId="6" fillId="3" borderId="0" xfId="10" applyFill="1" applyBorder="1" applyAlignment="1"/>
    <xf numFmtId="170" fontId="15" fillId="3" borderId="0" xfId="0" applyFont="1" applyAlignment="1">
      <alignment horizontal="justify" vertical="center"/>
    </xf>
    <xf numFmtId="170" fontId="18" fillId="3" borderId="0" xfId="0" applyFont="1" applyAlignment="1">
      <alignment horizontal="justify" vertical="center"/>
    </xf>
    <xf numFmtId="170" fontId="16" fillId="3" borderId="0" xfId="0" applyFont="1" applyAlignment="1">
      <alignment horizontal="justify" vertical="center"/>
    </xf>
    <xf numFmtId="170" fontId="20" fillId="3" borderId="0" xfId="0" applyFont="1" applyAlignment="1">
      <alignment horizontal="justify" vertical="center"/>
    </xf>
    <xf numFmtId="167" fontId="2" fillId="7" borderId="6" xfId="7" applyNumberFormat="1" applyAlignment="1">
      <alignment horizontal="left" vertical="top"/>
    </xf>
    <xf numFmtId="170" fontId="3" fillId="4" borderId="7" xfId="11" applyNumberFormat="1" applyFill="1" applyProtection="1"/>
    <xf numFmtId="167" fontId="2" fillId="7" borderId="0" xfId="7" applyNumberFormat="1" applyBorder="1" applyAlignment="1">
      <alignment horizontal="right" vertical="top"/>
    </xf>
    <xf numFmtId="170" fontId="0" fillId="3" borderId="7" xfId="0" applyBorder="1"/>
    <xf numFmtId="171" fontId="4" fillId="2" borderId="1" xfId="9" applyNumberFormat="1" applyAlignment="1">
      <alignment horizontal="right" vertical="top"/>
      <protection locked="0"/>
    </xf>
    <xf numFmtId="171" fontId="0" fillId="3" borderId="0" xfId="3" applyNumberFormat="1" applyFont="1" applyFill="1">
      <alignment horizontal="right" vertical="top"/>
    </xf>
    <xf numFmtId="171" fontId="5" fillId="4" borderId="1" xfId="8" applyNumberFormat="1" applyAlignment="1" applyProtection="1">
      <alignment horizontal="right" vertical="top"/>
    </xf>
    <xf numFmtId="0" fontId="2" fillId="7" borderId="2" xfId="7" applyBorder="1"/>
    <xf numFmtId="170" fontId="23" fillId="0" borderId="1" xfId="8" applyNumberFormat="1" applyFont="1" applyFill="1" applyProtection="1"/>
    <xf numFmtId="170" fontId="24" fillId="3" borderId="0" xfId="0" applyFont="1" applyBorder="1"/>
    <xf numFmtId="170" fontId="24" fillId="8" borderId="0" xfId="0" applyFont="1" applyFill="1" applyBorder="1"/>
    <xf numFmtId="167" fontId="24" fillId="8" borderId="0" xfId="0" applyNumberFormat="1" applyFont="1" applyFill="1" applyBorder="1"/>
    <xf numFmtId="167" fontId="24" fillId="3" borderId="0" xfId="0" applyNumberFormat="1" applyFont="1" applyBorder="1"/>
    <xf numFmtId="38" fontId="24" fillId="3" borderId="0" xfId="1" applyNumberFormat="1" applyFont="1" applyFill="1" applyBorder="1">
      <alignment horizontal="right" vertical="top"/>
    </xf>
    <xf numFmtId="167" fontId="24" fillId="3" borderId="0" xfId="1" applyNumberFormat="1" applyFont="1" applyFill="1" applyBorder="1">
      <alignment horizontal="right" vertical="top"/>
    </xf>
    <xf numFmtId="165" fontId="0" fillId="3" borderId="0" xfId="2" applyFont="1" applyFill="1">
      <alignment horizontal="right" vertical="top"/>
    </xf>
    <xf numFmtId="172" fontId="0" fillId="3" borderId="0" xfId="1" applyNumberFormat="1" applyFont="1" applyFill="1">
      <alignment horizontal="right" vertical="top"/>
    </xf>
    <xf numFmtId="0" fontId="2" fillId="0" borderId="0" xfId="0" applyNumberFormat="1" applyFont="1" applyFill="1"/>
    <xf numFmtId="164" fontId="0" fillId="0" borderId="0" xfId="0" applyNumberFormat="1" applyFill="1"/>
    <xf numFmtId="168" fontId="0" fillId="0" borderId="0" xfId="0" applyNumberFormat="1" applyFill="1"/>
    <xf numFmtId="170" fontId="0" fillId="3" borderId="0" xfId="0" applyAlignment="1">
      <alignment vertical="center"/>
    </xf>
    <xf numFmtId="0" fontId="9" fillId="3" borderId="0" xfId="6" applyFill="1" applyBorder="1" applyAlignment="1">
      <alignment horizontal="left" vertical="center"/>
    </xf>
    <xf numFmtId="170" fontId="11" fillId="6" borderId="8" xfId="0" applyFont="1" applyFill="1" applyBorder="1" applyAlignment="1">
      <alignment vertical="center"/>
    </xf>
    <xf numFmtId="170" fontId="11" fillId="6" borderId="9" xfId="0" applyFont="1" applyFill="1" applyBorder="1" applyAlignment="1">
      <alignment vertical="center"/>
    </xf>
    <xf numFmtId="170" fontId="11" fillId="6" borderId="12" xfId="0" applyFont="1" applyFill="1" applyBorder="1" applyAlignment="1">
      <alignment vertical="center"/>
    </xf>
    <xf numFmtId="170" fontId="3" fillId="3" borderId="10" xfId="0" applyFont="1" applyBorder="1" applyAlignment="1">
      <alignment vertical="center"/>
    </xf>
    <xf numFmtId="170" fontId="0" fillId="3" borderId="10" xfId="0" applyBorder="1" applyAlignment="1">
      <alignment vertical="center"/>
    </xf>
    <xf numFmtId="170" fontId="0" fillId="3" borderId="11" xfId="0" quotePrefix="1" applyBorder="1" applyAlignment="1">
      <alignment vertical="center"/>
    </xf>
    <xf numFmtId="170" fontId="0" fillId="3" borderId="0" xfId="0" applyBorder="1" applyAlignment="1">
      <alignment vertical="center"/>
    </xf>
    <xf numFmtId="170" fontId="0" fillId="3" borderId="10" xfId="0" applyBorder="1" applyAlignment="1">
      <alignment horizontal="left" vertical="center"/>
    </xf>
    <xf numFmtId="170" fontId="16" fillId="3" borderId="0" xfId="0" applyFont="1" applyAlignment="1">
      <alignment vertical="center"/>
    </xf>
    <xf numFmtId="170" fontId="27" fillId="3" borderId="0" xfId="0" applyFont="1" applyAlignment="1">
      <alignment vertical="center"/>
    </xf>
    <xf numFmtId="170" fontId="20" fillId="3" borderId="0" xfId="0" applyFont="1" applyAlignment="1">
      <alignment horizontal="justify" vertical="center" wrapText="1"/>
    </xf>
    <xf numFmtId="170" fontId="21" fillId="3" borderId="0" xfId="0" applyFont="1" applyAlignment="1">
      <alignment vertical="center"/>
    </xf>
    <xf numFmtId="170" fontId="22" fillId="3" borderId="0" xfId="0" applyFont="1" applyAlignment="1">
      <alignment horizontal="justify" vertical="center" wrapText="1"/>
    </xf>
    <xf numFmtId="170" fontId="21" fillId="3" borderId="0" xfId="0" applyFont="1" applyAlignment="1">
      <alignment horizontal="justify" vertical="center" wrapText="1"/>
    </xf>
    <xf numFmtId="170" fontId="28" fillId="3" borderId="0" xfId="0" applyFont="1" applyAlignment="1">
      <alignment horizontal="left" vertical="center"/>
    </xf>
    <xf numFmtId="170" fontId="17" fillId="3" borderId="0" xfId="0" applyFont="1" applyAlignment="1">
      <alignment horizontal="left" vertical="center"/>
    </xf>
    <xf numFmtId="170" fontId="26" fillId="3" borderId="1" xfId="10" applyNumberFormat="1" applyFont="1" applyFill="1" applyAlignment="1">
      <alignment horizontal="left" vertical="center" wrapText="1"/>
    </xf>
    <xf numFmtId="170" fontId="20" fillId="3" borderId="15" xfId="0" applyFont="1" applyBorder="1" applyAlignment="1">
      <alignment horizontal="left" vertical="center" wrapText="1"/>
    </xf>
    <xf numFmtId="0" fontId="25" fillId="3" borderId="1" xfId="4" applyFont="1" applyFill="1" applyAlignment="1">
      <alignment vertical="center"/>
    </xf>
    <xf numFmtId="0" fontId="19" fillId="3" borderId="4" xfId="4" applyFont="1" applyFill="1" applyBorder="1" applyAlignment="1">
      <alignment vertical="center"/>
    </xf>
    <xf numFmtId="0" fontId="6" fillId="3" borderId="1" xfId="10" applyFill="1" applyAlignment="1">
      <alignment horizontal="left" vertical="center"/>
    </xf>
    <xf numFmtId="0" fontId="6" fillId="3" borderId="16" xfId="10" applyFill="1" applyBorder="1" applyAlignment="1">
      <alignment horizontal="left" vertical="center"/>
    </xf>
    <xf numFmtId="0" fontId="6" fillId="3" borderId="4" xfId="10" applyFill="1" applyBorder="1" applyAlignment="1">
      <alignment horizontal="left" vertical="center"/>
    </xf>
    <xf numFmtId="0" fontId="9" fillId="3" borderId="1" xfId="6" applyFill="1" applyAlignment="1">
      <alignment horizontal="left" vertical="center"/>
    </xf>
    <xf numFmtId="0" fontId="6" fillId="3" borderId="20" xfId="10" applyFill="1" applyBorder="1" applyAlignment="1">
      <alignment horizontal="left" vertical="center"/>
    </xf>
    <xf numFmtId="0" fontId="29" fillId="3" borderId="1" xfId="4" applyFont="1" applyFill="1" applyAlignment="1">
      <alignment vertical="center"/>
    </xf>
    <xf numFmtId="0" fontId="7" fillId="3" borderId="0" xfId="4" applyFill="1" applyBorder="1" applyAlignment="1">
      <alignment vertical="center"/>
    </xf>
    <xf numFmtId="0" fontId="7" fillId="3" borderId="1" xfId="4" applyFill="1"/>
    <xf numFmtId="0" fontId="6" fillId="3" borderId="1" xfId="10" applyFill="1" applyAlignment="1"/>
    <xf numFmtId="0" fontId="6" fillId="3" borderId="16" xfId="10" applyFill="1" applyBorder="1" applyAlignment="1"/>
    <xf numFmtId="0" fontId="6" fillId="3" borderId="4" xfId="10" applyFill="1" applyBorder="1" applyAlignment="1"/>
    <xf numFmtId="170" fontId="9" fillId="3" borderId="3" xfId="6" applyNumberFormat="1" applyFill="1" applyBorder="1"/>
    <xf numFmtId="170" fontId="9" fillId="3" borderId="4" xfId="6" applyNumberFormat="1" applyFill="1" applyBorder="1"/>
    <xf numFmtId="0" fontId="6" fillId="3" borderId="0" xfId="10" applyFill="1" applyBorder="1" applyAlignment="1"/>
    <xf numFmtId="0" fontId="9" fillId="3" borderId="1" xfId="6" applyFill="1" applyAlignment="1"/>
    <xf numFmtId="0" fontId="9" fillId="3" borderId="16" xfId="6" applyFill="1" applyBorder="1" applyAlignment="1"/>
    <xf numFmtId="0" fontId="6" fillId="3" borderId="1" xfId="10" applyFill="1" applyAlignment="1">
      <alignment horizontal="left"/>
    </xf>
    <xf numFmtId="0" fontId="6" fillId="3" borderId="16" xfId="10" applyFill="1" applyBorder="1" applyAlignment="1">
      <alignment horizontal="left"/>
    </xf>
    <xf numFmtId="0" fontId="6" fillId="3" borderId="4" xfId="10" applyFill="1" applyBorder="1" applyAlignment="1">
      <alignment horizontal="left"/>
    </xf>
    <xf numFmtId="0" fontId="9" fillId="3" borderId="1" xfId="6" applyFill="1" applyAlignment="1">
      <alignment horizontal="left"/>
    </xf>
    <xf numFmtId="0" fontId="9" fillId="3" borderId="16" xfId="6" applyFill="1" applyBorder="1" applyAlignment="1">
      <alignment horizontal="left"/>
    </xf>
    <xf numFmtId="0" fontId="9" fillId="3" borderId="4" xfId="6" applyFill="1" applyBorder="1" applyAlignment="1">
      <alignment horizontal="left"/>
    </xf>
    <xf numFmtId="170" fontId="9" fillId="3" borderId="1" xfId="6" applyNumberFormat="1" applyFill="1" applyAlignment="1"/>
    <xf numFmtId="170" fontId="0" fillId="3" borderId="0" xfId="0" applyAlignment="1"/>
    <xf numFmtId="170" fontId="6" fillId="3" borderId="1" xfId="10" applyNumberFormat="1" applyFill="1" applyAlignment="1"/>
    <xf numFmtId="170" fontId="9" fillId="3" borderId="1" xfId="6" applyNumberFormat="1" applyFill="1"/>
    <xf numFmtId="170" fontId="9" fillId="3" borderId="0" xfId="6" applyNumberFormat="1" applyFill="1" applyBorder="1" applyAlignment="1"/>
    <xf numFmtId="170" fontId="9" fillId="3" borderId="16" xfId="6" applyNumberFormat="1" applyFill="1" applyBorder="1" applyAlignment="1"/>
    <xf numFmtId="170" fontId="9" fillId="3" borderId="4" xfId="6" applyNumberFormat="1" applyFill="1" applyBorder="1" applyAlignment="1"/>
    <xf numFmtId="170" fontId="0" fillId="3" borderId="15" xfId="0" applyBorder="1" applyAlignment="1"/>
    <xf numFmtId="170" fontId="9" fillId="3" borderId="16" xfId="6" applyNumberFormat="1" applyFill="1" applyBorder="1"/>
    <xf numFmtId="170" fontId="9" fillId="3" borderId="17" xfId="6" applyNumberFormat="1" applyFill="1" applyBorder="1"/>
    <xf numFmtId="170" fontId="9" fillId="3" borderId="0" xfId="6" applyNumberFormat="1" applyFill="1" applyBorder="1"/>
    <xf numFmtId="0" fontId="6" fillId="3" borderId="1" xfId="10" applyFill="1"/>
    <xf numFmtId="0" fontId="10" fillId="3" borderId="0" xfId="15" applyFill="1" applyBorder="1"/>
    <xf numFmtId="170" fontId="6" fillId="5" borderId="1" xfId="10" applyNumberFormat="1" applyFill="1" applyAlignment="1">
      <alignment horizontal="center"/>
    </xf>
    <xf numFmtId="170" fontId="3" fillId="5" borderId="15" xfId="12" applyNumberFormat="1" applyFont="1" applyBorder="1" applyAlignment="1">
      <alignment horizontal="center"/>
    </xf>
    <xf numFmtId="0" fontId="10" fillId="3" borderId="16" xfId="15" applyFill="1" applyBorder="1" applyAlignment="1"/>
    <xf numFmtId="0" fontId="10" fillId="3" borderId="4" xfId="15" applyFill="1" applyBorder="1" applyAlignment="1"/>
    <xf numFmtId="0" fontId="9" fillId="3" borderId="4" xfId="6" applyFill="1" applyBorder="1" applyAlignment="1"/>
    <xf numFmtId="170" fontId="10" fillId="3" borderId="0" xfId="15" applyNumberFormat="1" applyAlignment="1">
      <alignment horizontal="left"/>
    </xf>
    <xf numFmtId="170" fontId="3" fillId="3" borderId="0" xfId="0" applyFont="1" applyAlignment="1">
      <alignment horizontal="center"/>
    </xf>
    <xf numFmtId="170" fontId="10" fillId="3" borderId="0" xfId="15" applyNumberFormat="1" applyAlignment="1">
      <alignment horizontal="center"/>
    </xf>
    <xf numFmtId="170" fontId="0" fillId="3" borderId="0" xfId="0"/>
    <xf numFmtId="0" fontId="6" fillId="3" borderId="1" xfId="10" applyNumberFormat="1" applyFill="1"/>
  </cellXfs>
  <cellStyles count="16">
    <cellStyle name="20% - Accent3" xfId="12" builtinId="38" customBuiltin="1"/>
    <cellStyle name="Comma" xfId="1" builtinId="3" customBuiltin="1"/>
    <cellStyle name="Currency" xfId="2" builtinId="4" customBuiltin="1"/>
    <cellStyle name="Date" xfId="14" xr:uid="{C72C3396-F861-493F-A49C-3DC9BC911B67}"/>
    <cellStyle name="Explanatory Text" xfId="10" builtinId="53" customBuiltin="1"/>
    <cellStyle name="Good" xfId="8" builtinId="26" customBuiltin="1"/>
    <cellStyle name="Heading 1" xfId="5" builtinId="16" customBuiltin="1"/>
    <cellStyle name="Heading 2" xfId="6" builtinId="17" customBuiltin="1"/>
    <cellStyle name="Heading 4" xfId="7" builtinId="19" customBuiltin="1"/>
    <cellStyle name="Hyperlink" xfId="15" builtinId="8" customBuiltin="1"/>
    <cellStyle name="Input" xfId="9" builtinId="20" customBuiltin="1"/>
    <cellStyle name="Normal" xfId="0" builtinId="0" customBuiltin="1"/>
    <cellStyle name="Percent" xfId="3" builtinId="5" customBuiltin="1"/>
    <cellStyle name="Subtotal" xfId="13" xr:uid="{1289E415-E420-43E7-8197-31B5EA30D3F5}"/>
    <cellStyle name="Title" xfId="4" builtinId="15" customBuiltin="1"/>
    <cellStyle name="Total" xfId="11" builtinId="25" customBuiltin="1"/>
  </cellStyles>
  <dxfs count="147">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000000"/>
        <name val="Aptos"/>
        <scheme val="minor"/>
      </font>
      <numFmt numFmtId="167" formatCode="d\-mmm\-yyyy"/>
      <fill>
        <patternFill patternType="solid">
          <fgColor rgb="FF000000"/>
          <bgColor rgb="FFFFFFF0"/>
        </patternFill>
      </fill>
      <border>
        <left/>
        <right/>
        <top/>
        <bottom style="thin">
          <color rgb="FF000000"/>
        </bottom>
      </border>
    </dxf>
    <dxf>
      <font>
        <b/>
        <i val="0"/>
        <strike val="0"/>
        <u val="none"/>
        <color rgb="FF990024"/>
        <name val="Aptos"/>
        <scheme val="minor"/>
      </font>
      <numFmt numFmtId="167" formatCode="d\-mmm\-yyyy"/>
      <fill>
        <patternFill patternType="solid">
          <fgColor rgb="FF000000"/>
          <bgColor rgb="FFFFFFF0"/>
        </patternFill>
      </fill>
      <border>
        <left/>
        <right/>
        <top/>
        <bottom style="thin">
          <color rgb="FF000000"/>
        </bottom>
      </border>
    </dxf>
    <dxf>
      <font>
        <b/>
        <i val="0"/>
        <strike val="0"/>
        <u val="none"/>
        <color rgb="FF000000"/>
        <name val="Aptos"/>
        <scheme val="minor"/>
      </font>
      <numFmt numFmtId="167" formatCode="d\-mmm\-yyyy"/>
      <fill>
        <patternFill patternType="solid">
          <fgColor rgb="FF000000"/>
          <bgColor rgb="FFFFFFF0"/>
        </patternFill>
      </fill>
      <border>
        <left/>
        <right/>
        <top/>
        <bottom/>
      </border>
    </dxf>
    <dxf>
      <font>
        <b/>
        <i val="0"/>
        <strike val="0"/>
        <u val="none"/>
        <color rgb="FF990024"/>
        <name val="Aptos"/>
        <scheme val="minor"/>
      </font>
      <numFmt numFmtId="167" formatCode="d\-mmm\-yyyy"/>
      <fill>
        <patternFill patternType="solid">
          <fgColor rgb="FF000000"/>
          <bgColor rgb="FFFFFFF0"/>
        </patternFill>
      </fill>
      <border>
        <left/>
        <right/>
        <top/>
        <bottom/>
      </border>
    </dxf>
    <dxf>
      <font>
        <b/>
        <i val="0"/>
        <strike val="0"/>
        <u val="none"/>
        <color rgb="FF000000"/>
        <name val="Aptos"/>
        <scheme val="minor"/>
      </font>
      <numFmt numFmtId="167" formatCode="d\-mmm\-yyyy"/>
      <fill>
        <patternFill patternType="solid">
          <fgColor rgb="FF000000"/>
          <bgColor rgb="FFFFFFF0"/>
        </patternFill>
      </fill>
      <border>
        <left/>
        <right/>
        <top/>
        <bottom style="thin">
          <color rgb="FF000000"/>
        </bottom>
      </border>
    </dxf>
    <dxf>
      <font>
        <b/>
        <i val="0"/>
        <strike val="0"/>
        <u val="none"/>
        <color rgb="FF990024"/>
        <name val="Aptos"/>
        <scheme val="minor"/>
      </font>
      <numFmt numFmtId="167" formatCode="d\-mmm\-yyyy"/>
      <fill>
        <patternFill patternType="solid">
          <fgColor rgb="FF000000"/>
          <bgColor rgb="FFFFFFF0"/>
        </patternFill>
      </fill>
      <border>
        <left/>
        <right/>
        <top/>
        <bottom style="thin">
          <color rgb="FF000000"/>
        </bottom>
      </border>
    </dxf>
    <dxf>
      <font>
        <b/>
        <i val="0"/>
        <strike val="0"/>
        <u val="none"/>
        <color rgb="FF000000"/>
        <name val="Aptos"/>
        <scheme val="minor"/>
      </font>
      <numFmt numFmtId="167" formatCode="d\-mmm\-yyyy"/>
      <fill>
        <patternFill patternType="solid">
          <fgColor rgb="FF000000"/>
          <bgColor rgb="FFFFFFF0"/>
        </patternFill>
      </fill>
      <border>
        <left/>
        <right/>
        <top/>
        <bottom/>
      </border>
    </dxf>
    <dxf>
      <font>
        <b/>
        <i val="0"/>
        <strike val="0"/>
        <u val="none"/>
        <color rgb="FF990024"/>
        <name val="Aptos"/>
        <scheme val="minor"/>
      </font>
      <numFmt numFmtId="167" formatCode="d\-mmm\-yyyy"/>
      <fill>
        <patternFill patternType="solid">
          <fgColor rgb="FF000000"/>
          <bgColor rgb="FFFFFFF0"/>
        </patternFill>
      </fill>
      <border>
        <left/>
        <right/>
        <top/>
        <bottom/>
      </border>
    </dxf>
    <dxf>
      <font>
        <color rgb="FF990024"/>
      </font>
      <fill>
        <patternFill>
          <bgColor rgb="FFF0D9DE"/>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7"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67"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3"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7"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7" formatCode="d\-mmm\-yyyy"/>
    </dxf>
    <dxf>
      <numFmt numFmtId="0" formatCode="General"/>
    </dxf>
    <dxf>
      <numFmt numFmtId="170" formatCode="#,###;[Red]\(#,###\);\-"/>
    </dxf>
    <dxf>
      <numFmt numFmtId="0" formatCode="General"/>
    </dxf>
    <dxf>
      <numFmt numFmtId="170" formatCode="#,###;[Red]\(#,###\);\-"/>
    </dxf>
    <dxf>
      <numFmt numFmtId="0" formatCode="General"/>
    </dxf>
    <dxf>
      <numFmt numFmtId="167" formatCode="d\-mmm\-yyyy"/>
    </dxf>
    <dxf>
      <alignment horizontal="right" vertical="bottom" textRotation="0" wrapText="0" indent="0" justifyLastLine="0" shrinkToFit="0" readingOrder="0"/>
    </dxf>
    <dxf>
      <numFmt numFmtId="174"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68" formatCode="dd/mm/yyyy"/>
      <alignment horizontal="right" vertical="top" textRotation="0" wrapText="0" indent="0" justifyLastLine="0" shrinkToFit="0" readingOrder="0"/>
    </dxf>
    <dxf>
      <numFmt numFmtId="168" formatCode="dd/mm/yyyy"/>
      <alignment horizontal="right" vertical="top" textRotation="0" wrapText="0" indent="0" justifyLastLine="0" shrinkToFit="0" readingOrder="0"/>
    </dxf>
    <dxf>
      <numFmt numFmtId="173"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vertical="center" textRotation="0" wrapText="0" indent="0" justifyLastLine="0" shrinkToFit="0" readingOrder="0"/>
    </dxf>
    <dxf>
      <alignment vertical="center" textRotation="0" wrapText="0" indent="0" justifyLastLine="0" shrinkToFit="0" readingOrder="0"/>
      <border diagonalUp="0" diagonalDown="0" outline="0">
        <left style="thin">
          <color rgb="FFFFFFFF"/>
        </left>
        <right/>
        <top style="thin">
          <color rgb="FFFFFFFF"/>
        </top>
        <bottom/>
      </border>
    </dxf>
    <dxf>
      <alignment vertical="center" textRotation="0" wrapText="0" indent="0" justifyLastLine="0" shrinkToFit="0" readingOrder="0"/>
      <border diagonalUp="0" diagonalDown="0" outline="0">
        <left/>
        <right style="thin">
          <color rgb="FFFFFFFF"/>
        </right>
        <top style="thin">
          <color rgb="FFFFFFFF"/>
        </top>
        <bottom/>
      </border>
    </dxf>
    <dxf>
      <font>
        <b/>
      </font>
      <alignment horizontal="general" vertical="center"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alignment vertical="center" textRotation="0" wrapText="0" indent="0" justifyLastLine="0" shrinkToFit="0" readingOrder="0"/>
    </dxf>
    <dxf>
      <border outline="0">
        <bottom style="thin">
          <color rgb="FFFFFFFF"/>
        </bottom>
      </border>
    </dxf>
    <dxf>
      <font>
        <b val="0"/>
        <i val="0"/>
        <strike val="0"/>
        <condense val="0"/>
        <extend val="0"/>
        <outline val="0"/>
        <shadow val="0"/>
        <u val="none"/>
        <vertAlign val="baseline"/>
        <sz val="10"/>
        <color rgb="FFFFFFF0"/>
        <name val="Aptos"/>
        <scheme val="minor"/>
      </font>
      <fill>
        <patternFill patternType="solid">
          <fgColor rgb="FF000000"/>
          <bgColor theme="4"/>
        </patternFill>
      </fill>
      <alignment horizontal="general" vertical="center"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0"/>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5E4E2"/>
          </stop>
        </gradientFill>
      </fill>
      <border>
        <left/>
        <right/>
        <top/>
        <bottom/>
        <vertical/>
        <horizontal/>
      </border>
    </dxf>
    <dxf>
      <font>
        <b/>
        <i/>
        <strike val="0"/>
        <u val="none"/>
        <color rgb="FF66023C"/>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66023C"/>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66023C"/>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66023C"/>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FFFFF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5F5F5"/>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E5E4E2"/>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66023C"/>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66023C"/>
      </font>
      <fill>
        <patternFill patternType="solid">
          <fgColor rgb="FF000000"/>
          <bgColor rgb="FFFFFFF0"/>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FFFFF0"/>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FFFFF0"/>
        </patternFill>
      </fill>
    </dxf>
    <dxf>
      <font>
        <b/>
        <i val="0"/>
        <strike val="0"/>
        <u val="none"/>
        <color rgb="FF000000"/>
        <name val="Aptos"/>
        <scheme val="minor"/>
      </font>
      <fill>
        <patternFill patternType="solid">
          <fgColor rgb="FF000000"/>
          <bgColor indexed="9"/>
        </patternFill>
      </fill>
    </dxf>
    <dxf>
      <font>
        <b/>
        <i val="0"/>
        <strike val="0"/>
        <u val="none"/>
        <color rgb="FF000000"/>
        <name val="Aptos"/>
        <scheme val="minor"/>
      </font>
      <fill>
        <patternFill patternType="solid">
          <fgColor rgb="FF000000"/>
          <bgColor indexed="9"/>
        </patternFill>
      </fill>
    </dxf>
    <dxf>
      <font>
        <b/>
        <i val="0"/>
        <strike val="0"/>
        <u val="none"/>
        <color rgb="FF000000"/>
        <name val="Aptos"/>
        <scheme val="minor"/>
      </font>
      <fill>
        <patternFill patternType="solid">
          <fgColor rgb="FF000000"/>
          <bgColor indexed="9"/>
        </patternFill>
      </fill>
    </dxf>
    <dxf>
      <font>
        <b/>
        <i val="0"/>
        <strike val="0"/>
        <u val="none"/>
        <color rgb="FF000000"/>
        <name val="Aptos"/>
        <scheme val="minor"/>
      </font>
      <fill>
        <patternFill patternType="solid">
          <fgColor rgb="FF000000"/>
          <bgColor indexed="9"/>
        </patternFill>
      </fill>
    </dxf>
    <dxf>
      <font>
        <b/>
        <i val="0"/>
        <strike val="0"/>
        <u val="none"/>
        <color rgb="FF000000"/>
        <name val="Aptos"/>
        <scheme val="minor"/>
      </font>
      <fill>
        <patternFill patternType="solid">
          <fgColor rgb="FF000000"/>
          <bgColor indexed="9"/>
        </patternFill>
      </fill>
    </dxf>
    <dxf>
      <font>
        <b/>
        <i val="0"/>
        <strike val="0"/>
        <u val="none"/>
        <color rgb="FF00000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5E4E2"/>
        </patternFill>
      </fill>
    </dxf>
    <dxf>
      <font>
        <b val="0"/>
        <i val="0"/>
        <strike val="0"/>
        <u val="none"/>
        <color rgb="FF000000"/>
        <name val="Aptos"/>
        <scheme val="minor"/>
      </font>
      <fill>
        <patternFill patternType="solid">
          <fgColor rgb="FF000000"/>
          <bgColor rgb="FFE5E4E2"/>
        </patternFill>
      </fill>
    </dxf>
    <dxf>
      <font>
        <b val="0"/>
        <i val="0"/>
        <strike val="0"/>
        <u val="none"/>
        <color rgb="FF000000"/>
        <name val="Aptos"/>
        <scheme val="minor"/>
      </font>
      <fill>
        <patternFill patternType="solid">
          <fgColor rgb="FF000000"/>
          <bgColor rgb="FFE5E4E2"/>
        </patternFill>
      </fill>
    </dxf>
    <dxf>
      <font>
        <b val="0"/>
        <i val="0"/>
        <strike val="0"/>
        <u val="none"/>
        <color rgb="FF000000"/>
        <name val="Aptos"/>
        <scheme val="minor"/>
      </font>
      <fill>
        <patternFill patternType="solid">
          <fgColor rgb="FF000000"/>
          <bgColor rgb="FFE5E4E2"/>
        </patternFill>
      </fill>
    </dxf>
    <dxf>
      <font>
        <b val="0"/>
        <i val="0"/>
        <strike val="0"/>
        <u val="none"/>
        <color rgb="FF000000"/>
        <name val="Aptos"/>
        <scheme val="minor"/>
      </font>
      <fill>
        <patternFill patternType="solid">
          <fgColor rgb="FF000000"/>
          <bgColor rgb="FFE5E4E2"/>
        </patternFill>
      </fill>
    </dxf>
    <dxf>
      <font>
        <b val="0"/>
        <i val="0"/>
        <strike val="0"/>
        <u val="none"/>
        <color rgb="FF000000"/>
        <name val="Aptos"/>
        <scheme val="minor"/>
      </font>
      <fill>
        <patternFill patternType="solid">
          <fgColor rgb="FF000000"/>
          <bgColor rgb="FFE5E4E2"/>
        </patternFill>
      </fill>
    </dxf>
    <dxf>
      <font>
        <b/>
        <i val="0"/>
        <strike val="0"/>
        <u val="none"/>
        <color rgb="FF00000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FFFFF0"/>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E5E4E2"/>
        </patternFill>
      </fill>
    </dxf>
    <dxf>
      <font>
        <b val="0"/>
        <i val="0"/>
        <strike val="0"/>
        <u val="none"/>
        <color rgb="FF000000"/>
      </font>
      <fill>
        <patternFill patternType="solid">
          <fgColor rgb="FF000000"/>
          <bgColor theme="0"/>
        </patternFill>
      </fill>
    </dxf>
    <dxf>
      <font>
        <b/>
        <i val="0"/>
        <strike val="0"/>
        <u val="none"/>
        <color rgb="FF00000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E5E4E2"/>
        </patternFill>
      </fill>
    </dxf>
    <dxf>
      <font>
        <b/>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46"/>
      <tableStyleElement type="headerRow" dxfId="145"/>
      <tableStyleElement type="totalRow" dxfId="144"/>
      <tableStyleElement type="firstColumn" dxfId="143"/>
      <tableStyleElement type="lastColumn" dxfId="142"/>
      <tableStyleElement type="firstRowStripe" dxfId="141"/>
      <tableStyleElement type="secondRowStripe" dxfId="140"/>
      <tableStyleElement type="firstColumnStripe" dxfId="139"/>
      <tableStyleElement type="secondColumnStripe" dxfId="138"/>
      <tableStyleElement type="firstHeaderCell" dxfId="137"/>
      <tableStyleElement type="firstSubtotalColumn" dxfId="136"/>
      <tableStyleElement type="secondSubtotalColumn" dxfId="135"/>
      <tableStyleElement type="thirdSubtotalColumn" dxfId="134"/>
      <tableStyleElement type="firstSubtotalRow" dxfId="133"/>
      <tableStyleElement type="secondSubtotalRow" dxfId="132"/>
      <tableStyleElement type="thirdSubtotalRow" dxfId="131"/>
      <tableStyleElement type="blankRow" dxfId="130"/>
      <tableStyleElement type="firstColumnSubheading" dxfId="129"/>
      <tableStyleElement type="secondColumnSubheading" dxfId="128"/>
      <tableStyleElement type="thirdColumnSubheading" dxfId="127"/>
      <tableStyleElement type="firstRowSubheading" dxfId="126"/>
      <tableStyleElement type="secondRowSubheading" dxfId="125"/>
      <tableStyleElement type="thirdRowSubheading" dxfId="124"/>
      <tableStyleElement type="pageFieldLabels" dxfId="123"/>
      <tableStyleElement type="pageFieldValues" dxfId="122"/>
    </tableStyle>
    <tableStyle name="SlicerStyleCustom" pivot="0" table="0" count="10" xr9:uid="{5583AEBA-1008-475D-89EE-D361CCD569FA}">
      <tableStyleElement type="wholeTable" dxfId="121"/>
      <tableStyleElement type="headerRow" dxfId="120"/>
    </tableStyle>
    <tableStyle name="TableStyleCustom" pivot="0" count="13" xr9:uid="{82219DB9-28E2-4769-B17E-6F2684D96709}">
      <tableStyleElement type="wholeTable" dxfId="119"/>
      <tableStyleElement type="headerRow" dxfId="118"/>
      <tableStyleElement type="totalRow" dxfId="117"/>
      <tableStyleElement type="firstColumn" dxfId="116"/>
      <tableStyleElement type="lastColumn" dxfId="115"/>
      <tableStyleElement type="firstRowStripe" dxfId="114"/>
      <tableStyleElement type="secondRowStripe" dxfId="113"/>
      <tableStyleElement type="firstColumnStripe" dxfId="112"/>
      <tableStyleElement type="secondColumnStripe" dxfId="111"/>
      <tableStyleElement type="firstHeaderCell" dxfId="110"/>
      <tableStyleElement type="lastHeaderCell" dxfId="109"/>
      <tableStyleElement type="firstTotalCell" dxfId="108"/>
      <tableStyleElement type="lastTotalCell" dxfId="107"/>
    </tableStyle>
    <tableStyle name="TimelineStyleCustom" pivot="0" table="0" count="9" xr9:uid="{0053D245-5C8F-45C9-BD89-9660704DE07B}">
      <tableStyleElement type="wholeTable" dxfId="106"/>
      <tableStyleElement type="headerRow" dxfId="105"/>
    </tableStyle>
  </tableStyles>
  <colors>
    <mruColors>
      <color rgb="FFFFFFCC"/>
      <color rgb="FFF0D9DE"/>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0"/>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5E4E2"/>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AAA49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E5E4E2"/>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schemeClr val="accent3"/>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oz.ScheduleValues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Ozzit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21</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Ozzit's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Ozzit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Ozzit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Ozzit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=oz.</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oz is what Excel refers to as a module name. These are optional. Their purpose is to ensure that we never duplicate function names between libraries. As noted at top, every Ozzit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oz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04" dataDxfId="102" headerRowBorderDxfId="103" tableBorderDxfId="101" totalsRowBorderDxfId="100"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99" dataCellStyle="Normal"/>
    <tableColumn id="2" xr3:uid="{76839C3B-3EC2-40F2-81C2-6D135E40FBA6}" name="Type" dataDxfId="98" dataCellStyle="Normal"/>
    <tableColumn id="3" xr3:uid="{5B6D5F10-72F2-4715-ACCD-BF95E741A80D}" name="Title" dataDxfId="97" dataCellStyle="Normal"/>
    <tableColumn id="4" xr3:uid="{D2D85F75-2F37-4E40-93BA-D87F4C2D6609}" name="Description" dataDxfId="96"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4:E27"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ozzit TnC">
      <a:dk1>
        <a:sysClr val="windowText" lastClr="000000"/>
      </a:dk1>
      <a:lt1>
        <a:sysClr val="window" lastClr="FFFFFF"/>
      </a:lt1>
      <a:dk2>
        <a:srgbClr val="000000"/>
      </a:dk2>
      <a:lt2>
        <a:srgbClr val="FFFFF0"/>
      </a:lt2>
      <a:accent1>
        <a:srgbClr val="66023C"/>
      </a:accent1>
      <a:accent2>
        <a:srgbClr val="990024"/>
      </a:accent2>
      <a:accent3>
        <a:srgbClr val="E5E4E2"/>
      </a:accent3>
      <a:accent4>
        <a:srgbClr val="6E6862"/>
      </a:accent4>
      <a:accent5>
        <a:srgbClr val="B1AFAD"/>
      </a:accent5>
      <a:accent6>
        <a:srgbClr val="DCDAD7"/>
      </a:accent6>
      <a:hlink>
        <a:srgbClr val="66023C"/>
      </a:hlink>
      <a:folHlink>
        <a:srgbClr val="990024"/>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drawing" Target="../drawings/drawing8.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drawing" Target="../drawings/drawing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drawing" Target="../drawings/drawing10.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drawing" Target="../drawings/drawing13.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1.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drawing" Target="../drawings/drawing18.xml"/></Relationships>
</file>

<file path=xl/worksheets/_rels/sheet22.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drawing" Target="../drawings/drawing19.xml"/></Relationships>
</file>

<file path=xl/worksheets/_rels/sheet23.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drawing" Target="../drawings/drawing20.xml"/></Relationships>
</file>

<file path=xl/worksheets/_rels/sheet24.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drawing" Target="../drawings/drawing21.xml"/></Relationships>
</file>

<file path=xl/worksheets/_rels/sheet25.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drawing" Target="../drawings/drawing22.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E5E4E2"/>
    <pageSetUpPr fitToPage="1"/>
  </sheetPr>
  <dimension ref="A1:B25"/>
  <sheetViews>
    <sheetView showGridLines="0" tabSelected="1" zoomScaleNormal="100" workbookViewId="0">
      <selection sqref="A1:B1"/>
    </sheetView>
  </sheetViews>
  <sheetFormatPr defaultColWidth="8.875" defaultRowHeight="15" x14ac:dyDescent="0.25"/>
  <cols>
    <col min="1" max="1" width="10.625" style="166" customWidth="1"/>
    <col min="2" max="2" width="111.625" style="171" customWidth="1"/>
    <col min="3" max="16384" width="8.875" style="166"/>
  </cols>
  <sheetData>
    <row r="1" spans="1:2" ht="63.75" x14ac:dyDescent="0.25">
      <c r="A1" s="176" t="s">
        <v>427</v>
      </c>
      <c r="B1" s="177"/>
    </row>
    <row r="2" spans="1:2" ht="15.75" x14ac:dyDescent="0.25">
      <c r="A2" s="174" t="s">
        <v>428</v>
      </c>
      <c r="B2" s="175"/>
    </row>
    <row r="3" spans="1:2" ht="20.100000000000001" customHeight="1" x14ac:dyDescent="0.25">
      <c r="A3" s="167" t="s">
        <v>429</v>
      </c>
      <c r="B3" s="168"/>
    </row>
    <row r="4" spans="1:2" ht="47.25" x14ac:dyDescent="0.25">
      <c r="A4" s="169"/>
      <c r="B4" s="168" t="s">
        <v>212</v>
      </c>
    </row>
    <row r="5" spans="1:2" ht="31.5" x14ac:dyDescent="0.25">
      <c r="A5" s="135"/>
      <c r="B5" s="168" t="s">
        <v>213</v>
      </c>
    </row>
    <row r="6" spans="1:2" ht="15.75" x14ac:dyDescent="0.25">
      <c r="A6" s="132"/>
      <c r="B6" s="170"/>
    </row>
    <row r="7" spans="1:2" ht="32.1" customHeight="1" x14ac:dyDescent="0.25">
      <c r="A7" s="172" t="s">
        <v>202</v>
      </c>
      <c r="B7" s="173"/>
    </row>
    <row r="8" spans="1:2" ht="47.25" x14ac:dyDescent="0.25">
      <c r="B8" s="168" t="s">
        <v>405</v>
      </c>
    </row>
    <row r="9" spans="1:2" ht="15.75" x14ac:dyDescent="0.25">
      <c r="B9" s="168"/>
    </row>
    <row r="10" spans="1:2" ht="47.25" x14ac:dyDescent="0.25">
      <c r="B10" s="168" t="s">
        <v>214</v>
      </c>
    </row>
    <row r="11" spans="1:2" ht="15.75" x14ac:dyDescent="0.25">
      <c r="B11" s="168"/>
    </row>
    <row r="12" spans="1:2" ht="47.25" x14ac:dyDescent="0.25">
      <c r="B12" s="168" t="s">
        <v>264</v>
      </c>
    </row>
    <row r="13" spans="1:2" ht="15.75" x14ac:dyDescent="0.25">
      <c r="A13" s="132"/>
      <c r="B13" s="170"/>
    </row>
    <row r="14" spans="1:2" ht="32.1" customHeight="1" x14ac:dyDescent="0.25">
      <c r="A14" s="172" t="s">
        <v>203</v>
      </c>
      <c r="B14" s="173"/>
    </row>
    <row r="15" spans="1:2" ht="126" x14ac:dyDescent="0.25">
      <c r="B15" s="168" t="s">
        <v>210</v>
      </c>
    </row>
    <row r="17" spans="1:2" ht="32.1" customHeight="1" x14ac:dyDescent="0.25">
      <c r="A17" s="172" t="s">
        <v>206</v>
      </c>
      <c r="B17" s="173"/>
    </row>
    <row r="18" spans="1:2" ht="47.25" x14ac:dyDescent="0.25">
      <c r="B18" s="168" t="s">
        <v>215</v>
      </c>
    </row>
    <row r="19" spans="1:2" ht="15.75" x14ac:dyDescent="0.25">
      <c r="B19" s="168"/>
    </row>
    <row r="20" spans="1:2" ht="78.75" x14ac:dyDescent="0.25">
      <c r="A20" s="133"/>
      <c r="B20" s="168" t="s">
        <v>216</v>
      </c>
    </row>
    <row r="21" spans="1:2" ht="15.75" x14ac:dyDescent="0.25">
      <c r="A21" s="132"/>
      <c r="B21" s="170"/>
    </row>
    <row r="22" spans="1:2" ht="32.1" customHeight="1" x14ac:dyDescent="0.25">
      <c r="A22" s="172" t="s">
        <v>204</v>
      </c>
      <c r="B22" s="173"/>
    </row>
    <row r="23" spans="1:2" ht="31.5" x14ac:dyDescent="0.25">
      <c r="B23" s="168" t="s">
        <v>205</v>
      </c>
    </row>
    <row r="24" spans="1:2" ht="15.75" x14ac:dyDescent="0.25">
      <c r="B24" s="168"/>
    </row>
    <row r="25" spans="1:2" ht="31.5" x14ac:dyDescent="0.25">
      <c r="A25" s="134"/>
      <c r="B25" s="168" t="s">
        <v>217</v>
      </c>
    </row>
  </sheetData>
  <mergeCells count="6">
    <mergeCell ref="A22:B22"/>
    <mergeCell ref="A2:B2"/>
    <mergeCell ref="A7:B7"/>
    <mergeCell ref="A1:B1"/>
    <mergeCell ref="A14:B14"/>
    <mergeCell ref="A17:B17"/>
  </mergeCells>
  <hyperlinks>
    <hyperlink ref="A1" location="'TOC'!$A$1" display="'TOC'!$A$1" xr:uid="{548439FC-8440-4ED8-8C6A-E47C1C0F11EB}"/>
  </hyperlinks>
  <pageMargins left="0.7" right="0.7" top="0.75" bottom="0.75" header="0.3" footer="0.3"/>
  <pageSetup paperSize="9" scale="68" fitToHeight="0" orientation="portrait" horizontalDpi="360" verticalDpi="36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E5E4E2"/>
    <pageSetUpPr fitToPage="1"/>
  </sheetPr>
  <dimension ref="A1:F70"/>
  <sheetViews>
    <sheetView showGridLines="0" workbookViewId="0">
      <pane xSplit="2" ySplit="4" topLeftCell="C5" activePane="bottomRight" state="frozen"/>
      <selection pane="topRight" activeCell="C1" sqref="C1"/>
      <selection pane="bottomLeft" activeCell="A5" sqref="A5"/>
      <selection pane="bottomRight" activeCell="F16" sqref="F16"/>
    </sheetView>
  </sheetViews>
  <sheetFormatPr defaultRowHeight="15" x14ac:dyDescent="0.25"/>
  <cols>
    <col min="1" max="1" width="31.5" style="156" bestFit="1" customWidth="1"/>
    <col min="2" max="2" width="9.875" style="156" bestFit="1" customWidth="1"/>
    <col min="3" max="3" width="30.5" style="156" bestFit="1" customWidth="1"/>
    <col min="4" max="4" width="90.25" style="156" bestFit="1" customWidth="1"/>
    <col min="5" max="16384" width="9" style="156"/>
  </cols>
  <sheetData>
    <row r="1" spans="1:6" ht="46.5" x14ac:dyDescent="0.25">
      <c r="A1" s="183" t="s">
        <v>8</v>
      </c>
      <c r="B1" s="184"/>
      <c r="C1" s="184"/>
      <c r="D1" s="184"/>
      <c r="E1" s="184"/>
      <c r="F1" s="184"/>
    </row>
    <row r="2" spans="1:6" ht="21" x14ac:dyDescent="0.25">
      <c r="A2" s="181" t="s">
        <v>12</v>
      </c>
      <c r="B2" s="182"/>
      <c r="C2" s="182"/>
      <c r="D2" s="182"/>
      <c r="E2" s="157"/>
      <c r="F2" s="157"/>
    </row>
    <row r="3" spans="1:6" x14ac:dyDescent="0.25">
      <c r="A3" s="178" t="s">
        <v>299</v>
      </c>
      <c r="B3" s="179"/>
      <c r="C3" s="179"/>
      <c r="D3" s="180"/>
    </row>
    <row r="4" spans="1:6" x14ac:dyDescent="0.25">
      <c r="A4" s="158" t="s">
        <v>0</v>
      </c>
      <c r="B4" s="159" t="s">
        <v>1</v>
      </c>
      <c r="C4" s="160" t="s">
        <v>3</v>
      </c>
      <c r="D4" s="159" t="s">
        <v>7</v>
      </c>
    </row>
    <row r="5" spans="1:6" x14ac:dyDescent="0.25">
      <c r="A5" s="161" t="s">
        <v>207</v>
      </c>
      <c r="B5" s="162" t="s">
        <v>10</v>
      </c>
      <c r="C5" s="163" t="s">
        <v>208</v>
      </c>
      <c r="D5" s="164" t="s">
        <v>209</v>
      </c>
    </row>
    <row r="6" spans="1:6" x14ac:dyDescent="0.25">
      <c r="A6" s="161" t="s">
        <v>9</v>
      </c>
      <c r="B6" s="162" t="s">
        <v>10</v>
      </c>
      <c r="C6" s="163" t="s">
        <v>8</v>
      </c>
      <c r="D6" s="164" t="s">
        <v>11</v>
      </c>
    </row>
    <row r="7" spans="1:6" x14ac:dyDescent="0.25">
      <c r="A7" s="165" t="s">
        <v>225</v>
      </c>
      <c r="B7" s="162" t="s">
        <v>226</v>
      </c>
      <c r="C7" s="163" t="s">
        <v>12</v>
      </c>
      <c r="D7" s="164" t="s">
        <v>299</v>
      </c>
    </row>
    <row r="8" spans="1:6" x14ac:dyDescent="0.25">
      <c r="A8" s="161" t="s">
        <v>321</v>
      </c>
      <c r="B8" s="162" t="s">
        <v>10</v>
      </c>
      <c r="C8" s="163" t="s">
        <v>321</v>
      </c>
      <c r="D8" s="164"/>
    </row>
    <row r="9" spans="1:6" x14ac:dyDescent="0.25">
      <c r="A9" s="165" t="s">
        <v>322</v>
      </c>
      <c r="B9" s="162" t="s">
        <v>226</v>
      </c>
      <c r="C9" s="163" t="s">
        <v>314</v>
      </c>
      <c r="D9" s="164"/>
    </row>
    <row r="10" spans="1:6" x14ac:dyDescent="0.25">
      <c r="A10" s="161" t="s">
        <v>44</v>
      </c>
      <c r="B10" s="162" t="s">
        <v>10</v>
      </c>
      <c r="C10" s="163" t="s">
        <v>44</v>
      </c>
      <c r="D10" s="164" t="s">
        <v>71</v>
      </c>
    </row>
    <row r="11" spans="1:6" x14ac:dyDescent="0.25">
      <c r="A11" s="161" t="s">
        <v>45</v>
      </c>
      <c r="B11" s="162" t="s">
        <v>10</v>
      </c>
      <c r="C11" s="163" t="s">
        <v>45</v>
      </c>
      <c r="D11" s="164" t="s">
        <v>72</v>
      </c>
    </row>
    <row r="12" spans="1:6" x14ac:dyDescent="0.25">
      <c r="A12" s="161" t="s">
        <v>46</v>
      </c>
      <c r="B12" s="162" t="s">
        <v>10</v>
      </c>
      <c r="C12" s="163" t="s">
        <v>46</v>
      </c>
      <c r="D12" s="164" t="s">
        <v>73</v>
      </c>
    </row>
    <row r="13" spans="1:6" x14ac:dyDescent="0.25">
      <c r="A13" s="165" t="s">
        <v>227</v>
      </c>
      <c r="B13" s="162" t="s">
        <v>226</v>
      </c>
      <c r="C13" s="163" t="s">
        <v>96</v>
      </c>
      <c r="D13" s="164" t="s">
        <v>97</v>
      </c>
    </row>
    <row r="14" spans="1:6" x14ac:dyDescent="0.25">
      <c r="A14" s="161" t="s">
        <v>47</v>
      </c>
      <c r="B14" s="162" t="s">
        <v>10</v>
      </c>
      <c r="C14" s="163" t="s">
        <v>47</v>
      </c>
      <c r="D14" s="164" t="s">
        <v>74</v>
      </c>
    </row>
    <row r="15" spans="1:6" x14ac:dyDescent="0.25">
      <c r="A15" s="165" t="s">
        <v>228</v>
      </c>
      <c r="B15" s="162" t="s">
        <v>226</v>
      </c>
      <c r="C15" s="163" t="s">
        <v>119</v>
      </c>
      <c r="D15" s="164"/>
    </row>
    <row r="16" spans="1:6" x14ac:dyDescent="0.25">
      <c r="A16" s="161" t="s">
        <v>48</v>
      </c>
      <c r="B16" s="162" t="s">
        <v>10</v>
      </c>
      <c r="C16" s="163" t="s">
        <v>48</v>
      </c>
      <c r="D16" s="164" t="s">
        <v>75</v>
      </c>
    </row>
    <row r="17" spans="1:4" x14ac:dyDescent="0.25">
      <c r="A17" s="161" t="s">
        <v>49</v>
      </c>
      <c r="B17" s="162" t="s">
        <v>10</v>
      </c>
      <c r="C17" s="163" t="s">
        <v>49</v>
      </c>
      <c r="D17" s="164" t="s">
        <v>76</v>
      </c>
    </row>
    <row r="18" spans="1:4" x14ac:dyDescent="0.25">
      <c r="A18" s="161" t="s">
        <v>50</v>
      </c>
      <c r="B18" s="162" t="s">
        <v>10</v>
      </c>
      <c r="C18" s="163" t="s">
        <v>50</v>
      </c>
      <c r="D18" s="164" t="s">
        <v>77</v>
      </c>
    </row>
    <row r="19" spans="1:4" x14ac:dyDescent="0.25">
      <c r="A19" s="165" t="s">
        <v>229</v>
      </c>
      <c r="B19" s="162" t="s">
        <v>226</v>
      </c>
      <c r="C19" s="163" t="s">
        <v>56</v>
      </c>
      <c r="D19" s="164"/>
    </row>
    <row r="20" spans="1:4" x14ac:dyDescent="0.25">
      <c r="A20" s="165" t="s">
        <v>230</v>
      </c>
      <c r="B20" s="162" t="s">
        <v>226</v>
      </c>
      <c r="C20" s="163" t="s">
        <v>55</v>
      </c>
      <c r="D20" s="164"/>
    </row>
    <row r="21" spans="1:4" x14ac:dyDescent="0.25">
      <c r="A21" s="161" t="s">
        <v>51</v>
      </c>
      <c r="B21" s="162" t="s">
        <v>10</v>
      </c>
      <c r="C21" s="163" t="s">
        <v>51</v>
      </c>
      <c r="D21" s="164" t="s">
        <v>78</v>
      </c>
    </row>
    <row r="22" spans="1:4" x14ac:dyDescent="0.25">
      <c r="A22" s="165" t="s">
        <v>231</v>
      </c>
      <c r="B22" s="162" t="s">
        <v>226</v>
      </c>
      <c r="C22" s="163" t="s">
        <v>231</v>
      </c>
      <c r="D22" s="164"/>
    </row>
    <row r="23" spans="1:4" x14ac:dyDescent="0.25">
      <c r="A23" s="161" t="s">
        <v>52</v>
      </c>
      <c r="B23" s="162" t="s">
        <v>10</v>
      </c>
      <c r="C23" s="163" t="s">
        <v>52</v>
      </c>
      <c r="D23" s="164" t="s">
        <v>79</v>
      </c>
    </row>
    <row r="24" spans="1:4" x14ac:dyDescent="0.25">
      <c r="A24" s="165" t="s">
        <v>233</v>
      </c>
      <c r="B24" s="162" t="s">
        <v>226</v>
      </c>
      <c r="C24" s="163" t="s">
        <v>154</v>
      </c>
      <c r="D24" s="164"/>
    </row>
    <row r="25" spans="1:4" x14ac:dyDescent="0.25">
      <c r="A25" s="165" t="s">
        <v>232</v>
      </c>
      <c r="B25" s="162" t="s">
        <v>226</v>
      </c>
      <c r="C25" s="163" t="s">
        <v>146</v>
      </c>
      <c r="D25" s="164"/>
    </row>
    <row r="26" spans="1:4" x14ac:dyDescent="0.25">
      <c r="A26" s="161" t="s">
        <v>53</v>
      </c>
      <c r="B26" s="162" t="s">
        <v>10</v>
      </c>
      <c r="C26" s="163" t="s">
        <v>53</v>
      </c>
      <c r="D26" s="164" t="s">
        <v>80</v>
      </c>
    </row>
    <row r="27" spans="1:4" x14ac:dyDescent="0.25">
      <c r="A27" s="161" t="s">
        <v>54</v>
      </c>
      <c r="B27" s="162" t="s">
        <v>10</v>
      </c>
      <c r="C27" s="163" t="s">
        <v>54</v>
      </c>
      <c r="D27" s="164" t="s">
        <v>81</v>
      </c>
    </row>
    <row r="28" spans="1:4" x14ac:dyDescent="0.25">
      <c r="A28" s="161" t="s">
        <v>58</v>
      </c>
      <c r="B28" s="162" t="s">
        <v>325</v>
      </c>
      <c r="C28" s="163" t="s">
        <v>58</v>
      </c>
      <c r="D28" s="164" t="s">
        <v>256</v>
      </c>
    </row>
    <row r="29" spans="1:4" x14ac:dyDescent="0.25">
      <c r="A29" s="161" t="s">
        <v>59</v>
      </c>
      <c r="B29" s="162" t="s">
        <v>10</v>
      </c>
      <c r="C29" s="163" t="s">
        <v>59</v>
      </c>
      <c r="D29" s="164" t="s">
        <v>82</v>
      </c>
    </row>
    <row r="30" spans="1:4" x14ac:dyDescent="0.25">
      <c r="A30" s="165" t="s">
        <v>234</v>
      </c>
      <c r="B30" s="162" t="s">
        <v>226</v>
      </c>
      <c r="C30" s="163" t="s">
        <v>193</v>
      </c>
      <c r="D30" s="164"/>
    </row>
    <row r="31" spans="1:4" x14ac:dyDescent="0.25">
      <c r="A31" s="161" t="s">
        <v>67</v>
      </c>
      <c r="B31" s="162" t="s">
        <v>10</v>
      </c>
      <c r="C31" s="163" t="s">
        <v>67</v>
      </c>
      <c r="D31" s="164" t="s">
        <v>91</v>
      </c>
    </row>
    <row r="32" spans="1:4" x14ac:dyDescent="0.25">
      <c r="A32" s="161" t="s">
        <v>65</v>
      </c>
      <c r="B32" s="162" t="s">
        <v>10</v>
      </c>
      <c r="C32" s="163" t="s">
        <v>65</v>
      </c>
      <c r="D32" s="164" t="s">
        <v>88</v>
      </c>
    </row>
    <row r="33" spans="1:4" x14ac:dyDescent="0.25">
      <c r="A33" s="161" t="s">
        <v>60</v>
      </c>
      <c r="B33" s="162" t="s">
        <v>10</v>
      </c>
      <c r="C33" s="163" t="s">
        <v>60</v>
      </c>
      <c r="D33" s="164" t="s">
        <v>83</v>
      </c>
    </row>
    <row r="34" spans="1:4" x14ac:dyDescent="0.25">
      <c r="A34" s="161" t="s">
        <v>184</v>
      </c>
      <c r="B34" s="162" t="s">
        <v>10</v>
      </c>
      <c r="C34" s="163" t="s">
        <v>184</v>
      </c>
      <c r="D34" s="164" t="s">
        <v>185</v>
      </c>
    </row>
    <row r="35" spans="1:4" x14ac:dyDescent="0.25">
      <c r="A35" s="161" t="s">
        <v>61</v>
      </c>
      <c r="B35" s="162" t="s">
        <v>10</v>
      </c>
      <c r="C35" s="163" t="s">
        <v>61</v>
      </c>
      <c r="D35" s="164" t="s">
        <v>84</v>
      </c>
    </row>
    <row r="36" spans="1:4" x14ac:dyDescent="0.25">
      <c r="A36" s="165" t="s">
        <v>235</v>
      </c>
      <c r="B36" s="162" t="s">
        <v>226</v>
      </c>
      <c r="C36" s="163" t="s">
        <v>171</v>
      </c>
      <c r="D36" s="164"/>
    </row>
    <row r="37" spans="1:4" x14ac:dyDescent="0.25">
      <c r="A37" s="161" t="s">
        <v>68</v>
      </c>
      <c r="B37" s="162" t="s">
        <v>10</v>
      </c>
      <c r="C37" s="163" t="s">
        <v>68</v>
      </c>
      <c r="D37" s="164" t="s">
        <v>92</v>
      </c>
    </row>
    <row r="38" spans="1:4" x14ac:dyDescent="0.25">
      <c r="A38" s="165" t="s">
        <v>236</v>
      </c>
      <c r="B38" s="162" t="s">
        <v>226</v>
      </c>
      <c r="C38" s="163" t="s">
        <v>171</v>
      </c>
      <c r="D38" s="164"/>
    </row>
    <row r="39" spans="1:4" x14ac:dyDescent="0.25">
      <c r="A39" s="161" t="s">
        <v>237</v>
      </c>
      <c r="B39" s="162" t="s">
        <v>10</v>
      </c>
      <c r="C39" s="163" t="s">
        <v>237</v>
      </c>
      <c r="D39" s="164" t="s">
        <v>243</v>
      </c>
    </row>
    <row r="40" spans="1:4" x14ac:dyDescent="0.25">
      <c r="A40" s="165" t="s">
        <v>238</v>
      </c>
      <c r="B40" s="162" t="s">
        <v>226</v>
      </c>
      <c r="C40" s="163" t="s">
        <v>171</v>
      </c>
      <c r="D40" s="164"/>
    </row>
    <row r="41" spans="1:4" x14ac:dyDescent="0.25">
      <c r="A41" s="161" t="s">
        <v>239</v>
      </c>
      <c r="B41" s="162" t="s">
        <v>10</v>
      </c>
      <c r="C41" s="163" t="s">
        <v>239</v>
      </c>
      <c r="D41" s="164" t="s">
        <v>244</v>
      </c>
    </row>
    <row r="42" spans="1:4" x14ac:dyDescent="0.25">
      <c r="A42" s="165" t="s">
        <v>240</v>
      </c>
      <c r="B42" s="162" t="s">
        <v>226</v>
      </c>
      <c r="C42" s="163" t="s">
        <v>171</v>
      </c>
      <c r="D42" s="164"/>
    </row>
    <row r="43" spans="1:4" x14ac:dyDescent="0.25">
      <c r="A43" s="161" t="s">
        <v>62</v>
      </c>
      <c r="B43" s="162" t="s">
        <v>10</v>
      </c>
      <c r="C43" s="163" t="s">
        <v>62</v>
      </c>
      <c r="D43" s="164" t="s">
        <v>85</v>
      </c>
    </row>
    <row r="44" spans="1:4" x14ac:dyDescent="0.25">
      <c r="A44" s="165" t="s">
        <v>241</v>
      </c>
      <c r="B44" s="162" t="s">
        <v>226</v>
      </c>
      <c r="C44" s="163" t="s">
        <v>191</v>
      </c>
      <c r="D44" s="164"/>
    </row>
    <row r="45" spans="1:4" x14ac:dyDescent="0.25">
      <c r="A45" s="161" t="s">
        <v>63</v>
      </c>
      <c r="B45" s="162" t="s">
        <v>10</v>
      </c>
      <c r="C45" s="163" t="s">
        <v>63</v>
      </c>
      <c r="D45" s="164" t="s">
        <v>86</v>
      </c>
    </row>
    <row r="46" spans="1:4" x14ac:dyDescent="0.25">
      <c r="A46" s="161" t="s">
        <v>302</v>
      </c>
      <c r="B46" s="162" t="s">
        <v>10</v>
      </c>
      <c r="C46" s="163" t="s">
        <v>302</v>
      </c>
      <c r="D46" s="164" t="s">
        <v>303</v>
      </c>
    </row>
    <row r="47" spans="1:4" x14ac:dyDescent="0.25">
      <c r="A47" s="161" t="s">
        <v>64</v>
      </c>
      <c r="B47" s="162" t="s">
        <v>10</v>
      </c>
      <c r="C47" s="163" t="s">
        <v>64</v>
      </c>
      <c r="D47" s="164" t="s">
        <v>87</v>
      </c>
    </row>
    <row r="48" spans="1:4" x14ac:dyDescent="0.25">
      <c r="A48" s="161" t="s">
        <v>242</v>
      </c>
      <c r="B48" s="162" t="s">
        <v>10</v>
      </c>
      <c r="C48" s="163" t="s">
        <v>242</v>
      </c>
      <c r="D48" s="164" t="s">
        <v>245</v>
      </c>
    </row>
    <row r="49" spans="1:4" x14ac:dyDescent="0.25">
      <c r="A49" s="161" t="s">
        <v>66</v>
      </c>
      <c r="B49" s="162" t="s">
        <v>10</v>
      </c>
      <c r="C49" s="163" t="s">
        <v>66</v>
      </c>
      <c r="D49" s="164" t="s">
        <v>90</v>
      </c>
    </row>
    <row r="50" spans="1:4" x14ac:dyDescent="0.25">
      <c r="A50" s="161" t="s">
        <v>69</v>
      </c>
      <c r="B50" s="162" t="s">
        <v>10</v>
      </c>
      <c r="C50" s="163" t="s">
        <v>69</v>
      </c>
      <c r="D50" s="164" t="s">
        <v>93</v>
      </c>
    </row>
    <row r="51" spans="1:4" x14ac:dyDescent="0.25">
      <c r="A51" s="161" t="s">
        <v>70</v>
      </c>
      <c r="B51" s="162" t="s">
        <v>10</v>
      </c>
      <c r="C51" s="163" t="s">
        <v>70</v>
      </c>
      <c r="D51" s="164" t="s">
        <v>94</v>
      </c>
    </row>
    <row r="52" spans="1:4" x14ac:dyDescent="0.25">
      <c r="A52" s="161" t="s">
        <v>248</v>
      </c>
      <c r="B52" s="162" t="s">
        <v>10</v>
      </c>
      <c r="C52" s="163" t="s">
        <v>248</v>
      </c>
      <c r="D52" s="164" t="s">
        <v>255</v>
      </c>
    </row>
    <row r="53" spans="1:4" x14ac:dyDescent="0.25">
      <c r="A53" s="161" t="s">
        <v>280</v>
      </c>
      <c r="B53" s="162" t="s">
        <v>10</v>
      </c>
      <c r="C53" s="163" t="s">
        <v>280</v>
      </c>
      <c r="D53" s="164" t="s">
        <v>289</v>
      </c>
    </row>
    <row r="54" spans="1:4" x14ac:dyDescent="0.25">
      <c r="A54" s="161" t="s">
        <v>247</v>
      </c>
      <c r="B54" s="162" t="s">
        <v>10</v>
      </c>
      <c r="C54" s="163" t="s">
        <v>247</v>
      </c>
      <c r="D54" s="164" t="s">
        <v>89</v>
      </c>
    </row>
    <row r="55" spans="1:4" x14ac:dyDescent="0.25">
      <c r="A55" s="161" t="s">
        <v>246</v>
      </c>
      <c r="B55" s="162" t="s">
        <v>10</v>
      </c>
      <c r="C55" s="163" t="s">
        <v>246</v>
      </c>
      <c r="D55" s="164" t="s">
        <v>260</v>
      </c>
    </row>
    <row r="56" spans="1:4" x14ac:dyDescent="0.25">
      <c r="A56" s="161" t="s">
        <v>249</v>
      </c>
      <c r="B56" s="162" t="s">
        <v>10</v>
      </c>
      <c r="C56" s="163" t="s">
        <v>249</v>
      </c>
      <c r="D56" s="164" t="s">
        <v>259</v>
      </c>
    </row>
    <row r="57" spans="1:4" x14ac:dyDescent="0.25">
      <c r="A57" s="161" t="s">
        <v>250</v>
      </c>
      <c r="B57" s="162" t="s">
        <v>10</v>
      </c>
      <c r="C57" s="163" t="s">
        <v>250</v>
      </c>
      <c r="D57" s="164" t="s">
        <v>258</v>
      </c>
    </row>
    <row r="58" spans="1:4" x14ac:dyDescent="0.25">
      <c r="A58" s="161" t="s">
        <v>251</v>
      </c>
      <c r="B58" s="162" t="s">
        <v>10</v>
      </c>
      <c r="C58" s="163" t="s">
        <v>251</v>
      </c>
      <c r="D58" s="164" t="s">
        <v>261</v>
      </c>
    </row>
    <row r="59" spans="1:4" x14ac:dyDescent="0.25">
      <c r="A59" s="161" t="s">
        <v>252</v>
      </c>
      <c r="B59" s="162" t="s">
        <v>10</v>
      </c>
      <c r="C59" s="163" t="s">
        <v>252</v>
      </c>
      <c r="D59" s="164" t="s">
        <v>257</v>
      </c>
    </row>
    <row r="60" spans="1:4" x14ac:dyDescent="0.25">
      <c r="A60" s="161" t="s">
        <v>253</v>
      </c>
      <c r="B60" s="162" t="s">
        <v>10</v>
      </c>
      <c r="C60" s="163" t="s">
        <v>253</v>
      </c>
      <c r="D60" s="164" t="s">
        <v>262</v>
      </c>
    </row>
    <row r="61" spans="1:4" x14ac:dyDescent="0.25">
      <c r="A61" s="161" t="s">
        <v>254</v>
      </c>
      <c r="B61" s="162" t="s">
        <v>10</v>
      </c>
      <c r="C61" s="163" t="s">
        <v>254</v>
      </c>
      <c r="D61" s="164" t="s">
        <v>263</v>
      </c>
    </row>
    <row r="62" spans="1:4" x14ac:dyDescent="0.25">
      <c r="A62" s="161" t="s">
        <v>281</v>
      </c>
      <c r="B62" s="162" t="s">
        <v>10</v>
      </c>
      <c r="C62" s="163" t="s">
        <v>281</v>
      </c>
      <c r="D62" s="164" t="s">
        <v>286</v>
      </c>
    </row>
    <row r="63" spans="1:4" x14ac:dyDescent="0.25">
      <c r="A63" s="161" t="s">
        <v>282</v>
      </c>
      <c r="B63" s="162" t="s">
        <v>10</v>
      </c>
      <c r="C63" s="163" t="s">
        <v>282</v>
      </c>
      <c r="D63" s="164" t="s">
        <v>285</v>
      </c>
    </row>
    <row r="64" spans="1:4" x14ac:dyDescent="0.25">
      <c r="A64" s="161" t="s">
        <v>283</v>
      </c>
      <c r="B64" s="162" t="s">
        <v>10</v>
      </c>
      <c r="C64" s="163" t="s">
        <v>283</v>
      </c>
      <c r="D64" s="164" t="s">
        <v>287</v>
      </c>
    </row>
    <row r="65" spans="1:4" x14ac:dyDescent="0.25">
      <c r="A65" s="161" t="s">
        <v>284</v>
      </c>
      <c r="B65" s="162" t="s">
        <v>10</v>
      </c>
      <c r="C65" s="163" t="s">
        <v>284</v>
      </c>
      <c r="D65" s="164" t="s">
        <v>288</v>
      </c>
    </row>
    <row r="66" spans="1:4" x14ac:dyDescent="0.25">
      <c r="A66" s="161" t="s">
        <v>295</v>
      </c>
      <c r="B66" s="162" t="s">
        <v>10</v>
      </c>
      <c r="C66" s="163" t="s">
        <v>295</v>
      </c>
      <c r="D66" s="164" t="s">
        <v>72</v>
      </c>
    </row>
    <row r="67" spans="1:4" x14ac:dyDescent="0.25">
      <c r="A67" s="165" t="s">
        <v>296</v>
      </c>
      <c r="B67" s="162" t="s">
        <v>226</v>
      </c>
      <c r="C67" s="163" t="s">
        <v>291</v>
      </c>
      <c r="D67" s="164"/>
    </row>
    <row r="68" spans="1:4" x14ac:dyDescent="0.25">
      <c r="A68" s="161" t="s">
        <v>297</v>
      </c>
      <c r="B68" s="162" t="s">
        <v>10</v>
      </c>
      <c r="C68" s="163" t="s">
        <v>297</v>
      </c>
      <c r="D68" s="164" t="s">
        <v>298</v>
      </c>
    </row>
    <row r="69" spans="1:4" x14ac:dyDescent="0.25">
      <c r="A69" s="161" t="s">
        <v>323</v>
      </c>
      <c r="B69" s="162" t="s">
        <v>10</v>
      </c>
      <c r="C69" s="163" t="s">
        <v>323</v>
      </c>
      <c r="D69" s="164" t="s">
        <v>324</v>
      </c>
    </row>
    <row r="70" spans="1:4" x14ac:dyDescent="0.25">
      <c r="A70" s="161" t="s">
        <v>408</v>
      </c>
      <c r="B70" s="162" t="s">
        <v>10</v>
      </c>
      <c r="C70" s="163" t="s">
        <v>408</v>
      </c>
      <c r="D70" s="164" t="s">
        <v>409</v>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oz.CountDOWλ'!$A$1" display="'oz.CountDOWλ'!$A$1" xr:uid="{1EA85702-180F-4ED3-9514-1F34ABF31551}"/>
    <hyperlink ref="A11" location="'oz.IsBetweenλ'!$A$1" display="'oz.IsBetweenλ'!$A$1" xr:uid="{01A8DB1F-6500-48B8-ACA4-4D3783ACEDE2}"/>
    <hyperlink ref="A12" location="'oz.IsOccurrenceDateλ'!$A$1" display="'oz.IsOccurrenceDateλ'!$A$1" xr:uid="{84D84714-DCFA-4845-A904-4F7B33551932}"/>
    <hyperlink ref="A13" location="'oz.IsOccurrenceDateλ'!$A$34:$E$39" display="'oz.IsOccurrenceDateλ'!$A$34:$E$39" xr:uid="{3EE4710A-0A7D-4C6F-918F-948CB5FCB8CD}"/>
    <hyperlink ref="A14" location="'oz.OverLapDaysλ'!$A$1" display="'oz.OverLapDaysλ'!$A$1" xr:uid="{7B1DDDFE-DD14-49AD-B2D8-A10647832658}"/>
    <hyperlink ref="A15" location="'oz.OverLapDaysλ'!$A$23:$E$25" display="'oz.OverLapDaysλ'!$A$23:$E$25" xr:uid="{E1B731FE-6AE0-440A-9EA1-F0A74F1CF7F3}"/>
    <hyperlink ref="A16" location="'oz.Periodsλ'!$A$1" display="'oz.Periodsλ'!$A$1" xr:uid="{32E4CC23-A361-410B-8E03-EEC7C736F98C}"/>
    <hyperlink ref="A17" location="'oz.PeriodLabelλ'!$A$1" display="'oz.PeriodLabelλ'!$A$1" xr:uid="{A0D0F49B-6801-485A-BF70-D68CC79CD300}"/>
    <hyperlink ref="A18" location="'oz.ScheduleRatesλ'!$A$1" display="'oz.ScheduleRatesλ'!$A$1" xr:uid="{2901AE44-2664-485E-9CAE-28E43B25F0D1}"/>
    <hyperlink ref="A19" location="'oz.ScheduleRatesλ'!$A$36:$B$38" display="'oz.ScheduleRatesλ'!$A$36:$B$38" xr:uid="{9A36584A-9198-4FBF-8E9F-13960F21E62E}"/>
    <hyperlink ref="A20" location="'oz.ScheduleRatesλ'!$A$43:$C$46" display="'oz.ScheduleRatesλ'!$A$43:$C$46" xr:uid="{56FFBDDD-F76C-45ED-A67B-72B79DF7267E}"/>
    <hyperlink ref="A21" location="'oz.ScheduleRatesByItemsλ'!$A$1" display="'oz.ScheduleRatesByItemsλ'!$A$1" xr:uid="{8047904B-5AA7-4787-BA13-A73F5AC51BF6}"/>
    <hyperlink ref="A22" location="'oz.ScheduleRatesByItemsλ'!$D$25:$F$38" display="'oz.ScheduleRatesByItemsλ'!$D$25:$F$38" xr:uid="{3F7F55CD-4BF8-4D14-95DA-FAC04EB82B4A}"/>
    <hyperlink ref="A23" location="'oz.ScheduleValuesλ'!$A$1" display="'oz.ScheduleValuesλ'!$A$1" xr:uid="{EF7BB3C1-2F04-4CD6-9AA6-36AE344C2C5E}"/>
    <hyperlink ref="A25" location="'oz.ScheduleValuesλ'!$A$28:$C$32" display="'oz.ScheduleValuesλ'!$A$28:$C$32" xr:uid="{ED4A702A-5F0C-4C04-8E18-A1161CB1134B}"/>
    <hyperlink ref="A24" location="'oz.ScheduleValuesλ'!$E$20:$I$40" display="'oz.ScheduleValuesλ'!$E$20:$I$40" xr:uid="{FEE54B8C-7E14-4B0A-8B98-4B5A068BE255}"/>
    <hyperlink ref="A26" location="'oz.ScheduleValuesByItemsλ'!$A$1" display="'oz.ScheduleValuesByItemsλ'!$A$1" xr:uid="{C6993DBA-9182-4B59-B338-48D3D4B17DEE}"/>
    <hyperlink ref="A27" location="'oz.Timelineλ'!$A$1" display="'oz.Timelineλ'!$A$1" xr:uid="{A90D165F-C4AF-48D6-8D1D-F204F59625E9}"/>
    <hyperlink ref="A29" location="'oz.Amortiseλ'!$A$1" display="'oz.Amortiseλ'!$A$1" xr:uid="{BEA5B5B6-036F-423C-84EE-FC79FBEEEE69}"/>
    <hyperlink ref="A30" location="'oz.Amortiseλ'!$A$24:$E$26" display="'oz.Amortiseλ'!$A$24:$E$26" xr:uid="{1C636846-E572-463F-A44E-E91B33B0B14C}"/>
    <hyperlink ref="A31" location="'oz.LabelAmortiseλ'!$A$1" display="'oz.LabelAmortiseλ'!$A$1" xr:uid="{8B0E8BCB-C9D1-424F-95A9-EE73BAC3A2F7}"/>
    <hyperlink ref="A32" location="'oz.SumAmortiseλ'!$A$1" display="'oz.SumAmortiseλ'!$A$1" xr:uid="{D66697D1-12A9-407A-95C2-074D70520786}"/>
    <hyperlink ref="A33" location="'oz.Corkscrewλ'!$A$1" display="'oz.Corkscrewλ'!$A$1" xr:uid="{A7FC4DA8-89D6-47EA-A93C-D1A467CD3D18}"/>
    <hyperlink ref="A34" location="'oz.Cumulativeλ'!$A$1" display="'oz.Cumulativeλ'!$A$1" xr:uid="{5C07D413-045B-49AA-84AC-27A446010415}"/>
    <hyperlink ref="A35" location="'oz.Depreciateλ'!$A$1" display="'oz.Depreciateλ'!$A$1" xr:uid="{3010CCB3-7E12-441D-A389-196F03229010}"/>
    <hyperlink ref="A36" location="'oz.Depreciateλ'!$A$46:$H$48" display="'oz.Depreciateλ'!$A$46:$H$48" xr:uid="{1FA20571-FCAD-436A-AD66-6C86FC5A8825}"/>
    <hyperlink ref="A37" location="'oz.LabelDepreciateλ'!$A$1" display="'oz.LabelDepreciateλ'!$A$1" xr:uid="{4A06AA8A-28D9-4C80-9D9E-145EE1ABF538}"/>
    <hyperlink ref="A38" location="'oz.LabelDepreciateλ'!$A$26:$H$28" display="'oz.LabelDepreciateλ'!$A$26:$H$28" xr:uid="{7F51224E-A4FF-41E5-88BA-270AB69788A4}"/>
    <hyperlink ref="A39" location="'oz.SumDepreciateλ'!$A$1" display="'oz.SumDepreciateλ'!$A$1" xr:uid="{C83B5A30-FFC4-4E26-877E-0853E204A7AA}"/>
    <hyperlink ref="A40" location="'oz.SumDepreciateλ'!$A$26:$H$28" display="'oz.SumDepreciateλ'!$A$26:$H$28" xr:uid="{7535EEA8-D1DF-43DB-B564-8FE77209CFD9}"/>
    <hyperlink ref="A41" location="'oz.SumContainsλ'!$A$1" display="'oz.SumContainsλ'!$A$1" xr:uid="{5C8DAB05-8B34-4E16-BE14-BDB67049DC49}"/>
    <hyperlink ref="A42" location="'oz.SumContainsλ'!$A$29:$H$31" display="'oz.SumContainsλ'!$A$29:$H$31" xr:uid="{5D2F3E3F-6E09-48C9-B3C5-548B9CD76174}"/>
    <hyperlink ref="A43" location="'oz.IntOnIntλ'!$A$1" display="'oz.IntOnIntλ'!$A$1" xr:uid="{B5893D36-1849-443B-959D-9B7F1979F92D}"/>
    <hyperlink ref="A44" location="'oz.IntOnIntλ'!$A$28:$D$30" display="'oz.IntOnIntλ'!$A$28:$D$30" xr:uid="{6522888E-9D48-42FA-9B05-39A0CE8CA7DD}"/>
    <hyperlink ref="A45" location="'oz.IRRλ'!$A$1" display="'oz.IRRλ'!$A$1" xr:uid="{4DDD7FA6-DD83-476D-86DC-8F8C7D7B7C92}"/>
    <hyperlink ref="A46" location="'oz.Reversalλ'!$A$1" display="'oz.Reversalλ'!$A$1" xr:uid="{2BC91B08-8F0F-4354-B282-C26A51FDD4F0}"/>
    <hyperlink ref="A47" location="'oz.Movementλ'!$A$1" display="'oz.Movementλ'!$A$1" xr:uid="{84329063-D877-478D-9F9F-E346682DDB5B}"/>
    <hyperlink ref="A48" location="'oz.RollingSumλ'!$A$1" display="'oz.RollingSumλ'!$A$1" xr:uid="{D90BE02E-28EC-4AAB-AFE3-D7DF30270F5D}"/>
    <hyperlink ref="A49" location="'oz.SumPeriodsλ'!$A$1" display="'oz.SumPeriodsλ'!$A$1" xr:uid="{F8F315D9-BD34-4E1F-963D-CBE096B01AA1}"/>
    <hyperlink ref="A50" location="'oz.TimelineOffsetλ'!$A$1" display="'oz.TimelineOffsetλ'!$A$1" xr:uid="{78BD3347-2168-4112-9AC6-FD7758F6870E}"/>
    <hyperlink ref="A51" location="'oz.TimelinePositionλ'!$A$1" display="'oz.TimelinePositionλ'!$A$1" xr:uid="{D54C8264-B700-438A-92DC-0E1238CC7EF6}"/>
    <hyperlink ref="A52" location="'oz.AboutEssentialsλ'!$A$1" display="'oz.AboutEssentialsλ'!$A$1" xr:uid="{6AFB1077-9092-42FE-9EE3-9F60E6135748}"/>
    <hyperlink ref="A53" location="'oz.CountCλ'!$A$1" display="'oz.CountCλ'!$A$1" xr:uid="{425D1256-FB57-4E2D-9BE1-8E116617FAB0}"/>
    <hyperlink ref="A54" location="'oz.SumRowsλ'!$A$1" display="'oz.SumRowsλ'!$A$1" xr:uid="{9FE8402C-3B5E-44C2-924B-3B7A0AB24753}"/>
    <hyperlink ref="A55" location="'oz.SumColsλ'!$A$1" display="'oz.SumColsλ'!$A$1" xr:uid="{20824F45-B21C-4965-B6E9-9E5026AAF433}"/>
    <hyperlink ref="A56" location="'oz.AvgRowsλ'!$A$1" display="'oz.AvgRowsλ'!$A$1" xr:uid="{90263ED3-F51E-4C7B-9F9C-E16A4A3AA6B3}"/>
    <hyperlink ref="A57" location="'oz.AvgColsλ'!$A$1" display="'oz.AvgColsλ'!$A$1" xr:uid="{28FD9445-0707-4DA8-9318-B31561D7FF42}"/>
    <hyperlink ref="A58" location="'oz.MinRowsλ'!$A$1" display="'oz.MinRowsλ'!$A$1" xr:uid="{AE128D80-3DAD-4F2F-922F-32422BCC1374}"/>
    <hyperlink ref="A59" location="'oz.MinColsλ'!$A$1" display="'oz.MinColsλ'!$A$1" xr:uid="{BEA45A63-4F73-4E9F-966C-499A14E56E4C}"/>
    <hyperlink ref="A60" location="'oz.MaxRowsλ'!$A$1" display="'oz.MaxRowsλ'!$A$1" xr:uid="{A4591831-CBDC-4EAA-AF05-E72122CA1E45}"/>
    <hyperlink ref="A61" location="'oz.MaxColsλ'!$A$1" display="'oz.MaxColsλ'!$A$1" xr:uid="{EE9AD777-5C2F-47F1-9BC8-D481F550D593}"/>
    <hyperlink ref="A62" location="'oz.CountRowsλ'!$A$1" display="'oz.CountRowsλ'!$A$1" xr:uid="{85B0DB09-7E41-43E6-8AC1-401AC777C4E6}"/>
    <hyperlink ref="A63" location="'oz.CountColsλ'!$A$1" display="'oz.CountColsλ'!$A$1" xr:uid="{CD482693-E456-496A-A91A-7BA431261244}"/>
    <hyperlink ref="A64" location="'oz.CountARowsλ'!$A$1" display="'oz.CountARowsλ'!$A$1" xr:uid="{C4E0AD1D-05FC-450C-96BA-56434B0A7764}"/>
    <hyperlink ref="A65" location="'oz.CountAColsλ'!$A$1" display="'oz.CountAColsλ'!$A$1" xr:uid="{BF1CE99C-507A-421E-B5C9-DEFE2C01F553}"/>
    <hyperlink ref="A66" location="'oz.IsBetweenEλ'!$A$1" display="'oz.IsBetweenEλ'!$A$1" xr:uid="{88489402-EA40-4F69-806D-DA2A57AF77B1}"/>
    <hyperlink ref="A67" location="'oz.IsBetweenEλ'!$A$29:$B$33" display="'oz.IsBetweenEλ'!$A$29:$B$33" xr:uid="{DCC2715B-CFF8-43EA-B9F0-C1629F554799}"/>
    <hyperlink ref="A68" location="'oz.RangeToDAEλ'!$A$1" display="'oz.RangeToDAEλ'!$A$1" xr:uid="{4A8420CE-883D-4955-AA6C-068C9DA7572B}"/>
    <hyperlink ref="A69" location="'oz.FinancialRatios'!$A$1" display="'oz.FinancialRatios'!$A$1" xr:uid="{27006F34-ED4F-4D31-9273-4C75AEB7D26C}"/>
  </hyperlinks>
  <pageMargins left="0.7" right="0.7" top="0.75" bottom="0.75" header="0.3" footer="0.3"/>
  <pageSetup paperSize="9" scale="46" fitToHeight="0" orientation="portrait" horizontalDpi="360" verticalDpi="360"/>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E5E4E2"/>
    <pageSetUpPr fitToPage="1"/>
  </sheetPr>
  <dimension ref="A1:M13"/>
  <sheetViews>
    <sheetView showGridLines="0" workbookViewId="0">
      <selection sqref="A1:H1"/>
    </sheetView>
  </sheetViews>
  <sheetFormatPr defaultRowHeight="15" x14ac:dyDescent="0.25"/>
  <cols>
    <col min="1" max="1" width="6.625" customWidth="1"/>
    <col min="2" max="2" width="21.75" bestFit="1" customWidth="1"/>
  </cols>
  <sheetData>
    <row r="1" spans="1:13" ht="46.5" x14ac:dyDescent="0.7">
      <c r="A1" s="185" t="str">
        <f ca="1">_xlfn.TEXTAFTER(CELL("filename",A1),"]")</f>
        <v>Data Validation</v>
      </c>
      <c r="B1" s="185"/>
      <c r="C1" s="185"/>
      <c r="D1" s="185"/>
      <c r="E1" s="185"/>
      <c r="F1" s="185"/>
      <c r="G1" s="185"/>
      <c r="H1" s="185"/>
      <c r="I1" s="6"/>
      <c r="J1" s="6"/>
      <c r="K1" s="6"/>
      <c r="L1" s="6"/>
      <c r="M1" s="6"/>
    </row>
    <row r="2" spans="1:13" x14ac:dyDescent="0.25">
      <c r="A2" s="186" t="s">
        <v>305</v>
      </c>
      <c r="B2" s="187"/>
      <c r="C2" s="187"/>
      <c r="D2" s="187"/>
      <c r="E2" s="187"/>
      <c r="F2" s="187"/>
      <c r="G2" s="187"/>
      <c r="H2" s="187"/>
      <c r="I2" s="187"/>
      <c r="J2" s="187"/>
      <c r="K2" s="187"/>
      <c r="L2" s="187"/>
      <c r="M2" s="188"/>
    </row>
    <row r="4" spans="1:13" ht="21" x14ac:dyDescent="0.35">
      <c r="A4" s="189" t="s">
        <v>314</v>
      </c>
      <c r="B4" s="190"/>
    </row>
    <row r="6" spans="1:13" x14ac:dyDescent="0.25">
      <c r="A6" t="s">
        <v>175</v>
      </c>
      <c r="B6" t="s">
        <v>7</v>
      </c>
    </row>
    <row r="7" spans="1:13" x14ac:dyDescent="0.25">
      <c r="A7" t="s">
        <v>304</v>
      </c>
      <c r="B7" t="s">
        <v>307</v>
      </c>
    </row>
    <row r="8" spans="1:13" x14ac:dyDescent="0.25">
      <c r="A8" t="s">
        <v>177</v>
      </c>
      <c r="B8" t="s">
        <v>308</v>
      </c>
    </row>
    <row r="9" spans="1:13" x14ac:dyDescent="0.25">
      <c r="A9" t="s">
        <v>178</v>
      </c>
      <c r="B9" t="s">
        <v>313</v>
      </c>
    </row>
    <row r="10" spans="1:13" x14ac:dyDescent="0.25">
      <c r="A10" t="s">
        <v>176</v>
      </c>
      <c r="B10" t="s">
        <v>306</v>
      </c>
    </row>
    <row r="11" spans="1:13" x14ac:dyDescent="0.25">
      <c r="A11" t="s">
        <v>309</v>
      </c>
      <c r="B11" t="s">
        <v>310</v>
      </c>
    </row>
    <row r="12" spans="1:13" x14ac:dyDescent="0.25">
      <c r="A12" t="s">
        <v>311</v>
      </c>
      <c r="B12" t="s">
        <v>312</v>
      </c>
    </row>
    <row r="13" spans="1:13" x14ac:dyDescent="0.25">
      <c r="A13" t="s">
        <v>406</v>
      </c>
      <c r="B13" t="s">
        <v>407</v>
      </c>
    </row>
  </sheetData>
  <mergeCells count="3">
    <mergeCell ref="A1:H1"/>
    <mergeCell ref="A2:M2"/>
    <mergeCell ref="A4:B4"/>
  </mergeCells>
  <hyperlinks>
    <hyperlink ref="A1" location="'TOC'!$A$1" display="'TOC'!$A$1" xr:uid="{6197EC9A-87E6-48A7-A1CE-37F9C8C0EC40}"/>
  </hyperlinks>
  <pageMargins left="0.7" right="0.7" top="0.75" bottom="0.75" header="0.3" footer="0.3"/>
  <pageSetup paperSize="9" scale="98" fitToHeight="0" orientation="landscape" horizontalDpi="0" verticalDpi="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66023C"/>
    <pageSetUpPr fitToPage="1"/>
  </sheetPr>
  <dimension ref="A1:F26"/>
  <sheetViews>
    <sheetView showGridLines="0" workbookViewId="0"/>
  </sheetViews>
  <sheetFormatPr defaultRowHeight="15" x14ac:dyDescent="0.25"/>
  <cols>
    <col min="1" max="1" width="34" customWidth="1"/>
    <col min="2" max="6" width="16" customWidth="1"/>
  </cols>
  <sheetData>
    <row r="1" spans="1:6" ht="46.5" x14ac:dyDescent="0.7">
      <c r="A1" s="6" t="str">
        <f ca="1">_xlfn.TEXTAFTER(CELL("filename",A1),"]")</f>
        <v>Australian tax</v>
      </c>
    </row>
    <row r="2" spans="1:6" x14ac:dyDescent="0.25">
      <c r="A2" t="s">
        <v>410</v>
      </c>
    </row>
    <row r="4" spans="1:6" x14ac:dyDescent="0.25">
      <c r="A4" s="153" t="s">
        <v>411</v>
      </c>
    </row>
    <row r="5" spans="1:6" x14ac:dyDescent="0.25">
      <c r="A5" s="153" t="s">
        <v>183</v>
      </c>
      <c r="B5" s="153" t="s">
        <v>412</v>
      </c>
    </row>
    <row r="6" spans="1:6" x14ac:dyDescent="0.25">
      <c r="A6" s="154">
        <v>50000</v>
      </c>
      <c r="B6">
        <v>5</v>
      </c>
    </row>
    <row r="8" spans="1:6" x14ac:dyDescent="0.25">
      <c r="A8" t="s">
        <v>413</v>
      </c>
      <c r="B8" s="154" cm="1">
        <f t="array" ref="B8:F8">oz.DiminishingValueλ($A$6,$B$6)</f>
        <v>20000</v>
      </c>
      <c r="C8">
        <v>12000</v>
      </c>
      <c r="D8">
        <v>7200</v>
      </c>
      <c r="E8">
        <v>4320</v>
      </c>
      <c r="F8">
        <v>6480</v>
      </c>
    </row>
    <row r="9" spans="1:6" x14ac:dyDescent="0.25">
      <c r="A9" t="s">
        <v>414</v>
      </c>
      <c r="B9" s="154" cm="1">
        <f t="array" ref="B9:F9">oz.PrimeCostλ($A$6,$B$6)</f>
        <v>10000</v>
      </c>
      <c r="C9">
        <v>10000</v>
      </c>
      <c r="D9">
        <v>10000</v>
      </c>
      <c r="E9">
        <v>10000</v>
      </c>
      <c r="F9">
        <v>10000</v>
      </c>
    </row>
    <row r="10" spans="1:6" x14ac:dyDescent="0.25">
      <c r="A10" t="s">
        <v>415</v>
      </c>
      <c r="B10" s="154">
        <f>SUM(_xlfn.ANCHORARRAY(B8))</f>
        <v>50000</v>
      </c>
    </row>
    <row r="11" spans="1:6" x14ac:dyDescent="0.25">
      <c r="A11" t="s">
        <v>416</v>
      </c>
      <c r="B11" s="154">
        <f>SUM(_xlfn.ANCHORARRAY(B9))</f>
        <v>50000</v>
      </c>
    </row>
    <row r="12" spans="1:6" x14ac:dyDescent="0.25">
      <c r="A12" t="s">
        <v>417</v>
      </c>
    </row>
    <row r="13" spans="1:6" x14ac:dyDescent="0.25">
      <c r="A13" t="s">
        <v>418</v>
      </c>
    </row>
    <row r="14" spans="1:6" x14ac:dyDescent="0.25">
      <c r="A14" s="153" t="s">
        <v>419</v>
      </c>
    </row>
    <row r="15" spans="1:6" x14ac:dyDescent="0.25">
      <c r="A15" s="153" t="s">
        <v>420</v>
      </c>
      <c r="B15" s="153" t="s">
        <v>421</v>
      </c>
    </row>
    <row r="16" spans="1:6" x14ac:dyDescent="0.25">
      <c r="A16" s="154">
        <v>1000</v>
      </c>
      <c r="B16" s="154" cm="1">
        <f t="array" ref="B16">oz.GSTAddλ(A16)</f>
        <v>1100</v>
      </c>
    </row>
    <row r="18" spans="1:2" x14ac:dyDescent="0.25">
      <c r="A18" s="153" t="s">
        <v>422</v>
      </c>
      <c r="B18" s="153" t="s">
        <v>423</v>
      </c>
    </row>
    <row r="19" spans="1:2" x14ac:dyDescent="0.25">
      <c r="A19" s="154">
        <v>1100</v>
      </c>
      <c r="B19" s="154" cm="1">
        <f t="array" ref="B19">oz.GSTExtractλ(A19)</f>
        <v>99.999999999999986</v>
      </c>
    </row>
    <row r="21" spans="1:2" x14ac:dyDescent="0.25">
      <c r="A21" s="153" t="s">
        <v>424</v>
      </c>
    </row>
    <row r="22" spans="1:2" x14ac:dyDescent="0.25">
      <c r="A22" s="153" t="s">
        <v>6</v>
      </c>
      <c r="B22" s="153" t="s">
        <v>425</v>
      </c>
    </row>
    <row r="23" spans="1:2" x14ac:dyDescent="0.25">
      <c r="A23" s="155">
        <v>46203</v>
      </c>
      <c r="B23" t="str" cm="1">
        <f t="array" ref="B23:B26">oz.FinancialYearλ(A23:A26)</f>
        <v>FY2026</v>
      </c>
    </row>
    <row r="24" spans="1:2" x14ac:dyDescent="0.25">
      <c r="A24" s="155">
        <v>46204</v>
      </c>
      <c r="B24" t="str">
        <v>FY2027</v>
      </c>
    </row>
    <row r="25" spans="1:2" x14ac:dyDescent="0.25">
      <c r="A25" s="155">
        <v>46249</v>
      </c>
      <c r="B25" t="str">
        <v>FY2027</v>
      </c>
    </row>
    <row r="26" spans="1:2" x14ac:dyDescent="0.25">
      <c r="A26" s="155">
        <v>46387</v>
      </c>
      <c r="B26" t="str">
        <v>FY2027</v>
      </c>
    </row>
  </sheetData>
  <hyperlinks>
    <hyperlink ref="A1" location="'TOC'!$A$1" display="'TOC'!$A$1" xr:uid="{00000000-0004-0000-0300-000000000000}"/>
  </hyperlinks>
  <pageMargins left="0.7" right="0.7" top="0.75" bottom="0.75" header="0.3" footer="0.3"/>
  <pageSetup paperSize="9" scale="52" fitToHeight="0"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000000"/>
    <pageSetUpPr fitToPage="1"/>
  </sheetPr>
  <dimension ref="A1:Q24"/>
  <sheetViews>
    <sheetView showGridLines="0" workbookViewId="0">
      <selection sqref="A1:M1"/>
    </sheetView>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6.5" x14ac:dyDescent="0.7">
      <c r="A1" s="185" t="str">
        <f ca="1">_xlfn.TEXTAFTER(CELL("filename",A1),"]")</f>
        <v>oz.CountDOWλ</v>
      </c>
      <c r="B1" s="185"/>
      <c r="C1" s="185"/>
      <c r="D1" s="185"/>
      <c r="E1" s="185"/>
      <c r="F1" s="185"/>
      <c r="G1" s="185"/>
      <c r="H1" s="185"/>
      <c r="I1" s="185"/>
      <c r="J1" s="185"/>
      <c r="K1" s="185"/>
      <c r="L1" s="185"/>
      <c r="M1" s="185"/>
      <c r="N1" s="6"/>
    </row>
    <row r="2" spans="1:17" x14ac:dyDescent="0.25">
      <c r="A2" s="186" t="s">
        <v>71</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row>
    <row r="4" spans="1:17" x14ac:dyDescent="0.25">
      <c r="A4" s="24" t="str" cm="1">
        <f t="array" ref="A4:B13">oz.CountDOWλ()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https://github.com/ryanduguid/Ozzit</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(oz is assumed to be the module's name)</v>
      </c>
    </row>
    <row r="13" spans="1:17" x14ac:dyDescent="0.25">
      <c r="A13" t="str">
        <v>3</v>
      </c>
      <c r="B13" t="str">
        <v>=oz.CountDOWλ("23/7/2026", "11/8/2026", 1)</v>
      </c>
    </row>
    <row r="18" spans="1:17" x14ac:dyDescent="0.25">
      <c r="E18" s="20" t="s">
        <v>26</v>
      </c>
      <c r="F18" s="21" cm="1">
        <f t="array" ref="F18:Q18">oz.Timelineλ($B$21,$B$22,$B$23)</f>
        <v>46204</v>
      </c>
      <c r="G18" s="21">
        <v>46569</v>
      </c>
      <c r="H18" s="21">
        <v>46935</v>
      </c>
      <c r="I18" s="21">
        <v>47300</v>
      </c>
      <c r="J18" s="21">
        <v>47665</v>
      </c>
      <c r="K18" s="21">
        <v>48030</v>
      </c>
      <c r="L18" s="21">
        <v>48396</v>
      </c>
      <c r="M18" s="21">
        <v>48761</v>
      </c>
      <c r="N18" s="21">
        <v>49126</v>
      </c>
      <c r="O18" s="21">
        <v>49491</v>
      </c>
      <c r="P18" s="21">
        <v>49857</v>
      </c>
      <c r="Q18" s="21">
        <v>50222</v>
      </c>
    </row>
    <row r="19" spans="1:17" x14ac:dyDescent="0.25">
      <c r="A19" s="8" t="s">
        <v>13</v>
      </c>
      <c r="B19" s="9" t="s">
        <v>14</v>
      </c>
      <c r="C19" s="8" t="s">
        <v>15</v>
      </c>
      <c r="E19" s="19" t="s">
        <v>27</v>
      </c>
      <c r="F19" s="22" cm="1">
        <f t="array" ref="F19:Q19">oz.Timelineλ($B$21,$B$22,$B$23,FALSE)</f>
        <v>46568</v>
      </c>
      <c r="G19" s="22">
        <v>46934</v>
      </c>
      <c r="H19" s="22">
        <v>47299</v>
      </c>
      <c r="I19" s="22">
        <v>47664</v>
      </c>
      <c r="J19" s="22">
        <v>48029</v>
      </c>
      <c r="K19" s="22">
        <v>48395</v>
      </c>
      <c r="L19" s="22">
        <v>48760</v>
      </c>
      <c r="M19" s="22">
        <v>49125</v>
      </c>
      <c r="N19" s="22">
        <v>49490</v>
      </c>
      <c r="O19" s="22">
        <v>49856</v>
      </c>
      <c r="P19" s="22">
        <v>50221</v>
      </c>
      <c r="Q19" s="22">
        <v>50586</v>
      </c>
    </row>
    <row r="20" spans="1:17" x14ac:dyDescent="0.25">
      <c r="A20" s="2" t="s">
        <v>25</v>
      </c>
      <c r="F20" s="23" cm="1">
        <f t="array" ref="F20:Q20">oz.CountDOWλ(_xlfn.ANCHORARRAY( F18),_xlfn.ANCHORARRAY( F19), $B$24)</f>
        <v>52</v>
      </c>
      <c r="G20">
        <v>52</v>
      </c>
      <c r="H20">
        <v>52</v>
      </c>
      <c r="I20">
        <v>53</v>
      </c>
      <c r="J20">
        <v>52</v>
      </c>
      <c r="K20">
        <v>52</v>
      </c>
      <c r="L20">
        <v>52</v>
      </c>
      <c r="M20">
        <v>52</v>
      </c>
      <c r="N20">
        <v>52</v>
      </c>
      <c r="O20">
        <v>53</v>
      </c>
      <c r="P20">
        <v>52</v>
      </c>
      <c r="Q20">
        <v>52</v>
      </c>
    </row>
    <row r="21" spans="1:17" x14ac:dyDescent="0.25">
      <c r="A21" s="14" t="s">
        <v>26</v>
      </c>
      <c r="B21" s="12">
        <v>46204</v>
      </c>
      <c r="C21" t="s">
        <v>21</v>
      </c>
    </row>
    <row r="22" spans="1:17" x14ac:dyDescent="0.25">
      <c r="A22" s="14" t="s">
        <v>17</v>
      </c>
      <c r="B22" s="15">
        <v>12</v>
      </c>
      <c r="C22" t="s">
        <v>21</v>
      </c>
    </row>
    <row r="23" spans="1:17" x14ac:dyDescent="0.25">
      <c r="A23" s="14" t="s">
        <v>18</v>
      </c>
      <c r="B23" s="11" t="s">
        <v>2</v>
      </c>
      <c r="C23" t="s">
        <v>29</v>
      </c>
    </row>
    <row r="24" spans="1:17" x14ac:dyDescent="0.25">
      <c r="A24" s="2" t="s">
        <v>28</v>
      </c>
      <c r="B24" s="16">
        <f>MATCH(C24,{"Sunday","Monday","Tuesday","Wednesday","Thursday","Friday","Saturday"},0)</f>
        <v>1</v>
      </c>
      <c r="C24" s="17" t="s">
        <v>95</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pageSetup paperSize="9" scale="69" fitToHeight="0" orientation="landscape" horizontalDpi="0" verticalDpi="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000000"/>
    <pageSetUpPr fitToPage="1"/>
  </sheetPr>
  <dimension ref="A1:Q34"/>
  <sheetViews>
    <sheetView showGridLines="0" workbookViewId="0">
      <selection sqref="A1:M1"/>
    </sheetView>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6.5" x14ac:dyDescent="0.7">
      <c r="A1" s="185" t="str">
        <f ca="1">_xlfn.TEXTAFTER(CELL("filename",A1),"]")</f>
        <v>oz.IsBetweenλ</v>
      </c>
      <c r="B1" s="185"/>
      <c r="C1" s="185"/>
      <c r="D1" s="185"/>
      <c r="E1" s="185"/>
      <c r="F1" s="185"/>
      <c r="G1" s="185"/>
      <c r="H1" s="185"/>
      <c r="I1" s="185"/>
      <c r="J1" s="185"/>
      <c r="K1" s="185"/>
      <c r="L1" s="185"/>
      <c r="M1" s="185"/>
      <c r="N1" s="6"/>
    </row>
    <row r="2" spans="1:17" x14ac:dyDescent="0.25">
      <c r="A2" s="186" t="s">
        <v>72</v>
      </c>
      <c r="B2" s="191"/>
      <c r="C2" s="191"/>
      <c r="D2" s="191"/>
      <c r="E2" s="191"/>
      <c r="F2" s="191"/>
      <c r="G2" s="191"/>
      <c r="H2" s="191"/>
      <c r="I2" s="191"/>
      <c r="J2" s="191"/>
      <c r="K2" s="191"/>
      <c r="L2" s="191"/>
      <c r="M2" s="191"/>
      <c r="N2" s="191"/>
      <c r="O2" s="191"/>
      <c r="P2" s="191"/>
      <c r="Q2" s="191"/>
    </row>
    <row r="3" spans="1:17" x14ac:dyDescent="0.25">
      <c r="A3" s="130"/>
      <c r="B3" s="131"/>
      <c r="C3" s="131"/>
      <c r="D3" s="131"/>
      <c r="E3" s="131"/>
      <c r="F3" s="131"/>
      <c r="G3" s="131"/>
      <c r="H3" s="131"/>
      <c r="I3" s="131"/>
      <c r="J3" s="131"/>
      <c r="K3" s="131"/>
      <c r="L3" s="131"/>
      <c r="M3" s="131"/>
      <c r="N3" s="131"/>
      <c r="O3" s="131"/>
      <c r="P3" s="131"/>
      <c r="Q3" s="131"/>
    </row>
    <row r="4" spans="1:17" x14ac:dyDescent="0.25">
      <c r="A4" s="55" t="str" cm="1">
        <f t="array" ref="A4:B16">oz.IsBetweenλ()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https://github.com/ryanduguid/Ozzit</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(oz is assumed to be the module's name)</v>
      </c>
    </row>
    <row r="14" spans="1:17" x14ac:dyDescent="0.25">
      <c r="A14" t="str">
        <v>FALSE</v>
      </c>
      <c r="B14" t="str">
        <v>=oz.IsBetweenλ(1, 2, 4)</v>
      </c>
    </row>
    <row r="15" spans="1:17" x14ac:dyDescent="0.25">
      <c r="A15" t="str">
        <v>TRUE</v>
      </c>
      <c r="B15" t="str">
        <v>=oz.IsBetweenλ(Today(), Today(), Today()+1)</v>
      </c>
    </row>
    <row r="16" spans="1:17" x14ac:dyDescent="0.25">
      <c r="A16" t="str">
        <v>FALSE</v>
      </c>
      <c r="B16" t="str">
        <v>=oz.IsBetweenλ("B", "B", "D", FALSE)</v>
      </c>
    </row>
    <row r="22" spans="1:17" x14ac:dyDescent="0.25">
      <c r="E22" s="20" t="s">
        <v>26</v>
      </c>
      <c r="F22" s="25" cm="1">
        <f t="array" ref="F22:Q22">oz.Timelineλ($B$25,$B$26,$B$27)</f>
        <v>46204</v>
      </c>
      <c r="G22" s="21">
        <v>46235</v>
      </c>
      <c r="H22" s="21">
        <v>46266</v>
      </c>
      <c r="I22" s="21">
        <v>46296</v>
      </c>
      <c r="J22" s="21">
        <v>46327</v>
      </c>
      <c r="K22" s="21">
        <v>46357</v>
      </c>
      <c r="L22" s="21">
        <v>46388</v>
      </c>
      <c r="M22" s="21">
        <v>46419</v>
      </c>
      <c r="N22" s="21">
        <v>46447</v>
      </c>
      <c r="O22" s="21">
        <v>46478</v>
      </c>
      <c r="P22" s="21">
        <v>46508</v>
      </c>
      <c r="Q22" s="21">
        <v>46539</v>
      </c>
    </row>
    <row r="23" spans="1:17" x14ac:dyDescent="0.25">
      <c r="A23" s="8" t="s">
        <v>13</v>
      </c>
      <c r="B23" s="9" t="s">
        <v>14</v>
      </c>
      <c r="C23" s="8" t="s">
        <v>15</v>
      </c>
      <c r="E23" s="19" t="s">
        <v>27</v>
      </c>
      <c r="F23" s="22" cm="1">
        <f t="array" ref="F23:Q23">oz.Timelineλ($B$25,$B$26,$B$27,FALSE)</f>
        <v>46234</v>
      </c>
      <c r="G23" s="22">
        <v>46265</v>
      </c>
      <c r="H23" s="22">
        <v>46295</v>
      </c>
      <c r="I23" s="22">
        <v>46326</v>
      </c>
      <c r="J23" s="22">
        <v>46356</v>
      </c>
      <c r="K23" s="22">
        <v>46387</v>
      </c>
      <c r="L23" s="22">
        <v>46418</v>
      </c>
      <c r="M23" s="22">
        <v>46446</v>
      </c>
      <c r="N23" s="22">
        <v>46477</v>
      </c>
      <c r="O23" s="22">
        <v>46507</v>
      </c>
      <c r="P23" s="22">
        <v>46538</v>
      </c>
      <c r="Q23" s="22">
        <v>46568</v>
      </c>
    </row>
    <row r="24" spans="1:17" x14ac:dyDescent="0.25">
      <c r="A24" s="2" t="s">
        <v>25</v>
      </c>
    </row>
    <row r="25" spans="1:17" x14ac:dyDescent="0.25">
      <c r="A25" s="14" t="s">
        <v>26</v>
      </c>
      <c r="B25" s="12">
        <v>46204</v>
      </c>
      <c r="C25" t="s">
        <v>21</v>
      </c>
    </row>
    <row r="26" spans="1:17" x14ac:dyDescent="0.25">
      <c r="A26" s="14" t="s">
        <v>17</v>
      </c>
      <c r="B26" s="15">
        <v>12</v>
      </c>
      <c r="C26" t="s">
        <v>21</v>
      </c>
    </row>
    <row r="27" spans="1:17" x14ac:dyDescent="0.25">
      <c r="A27" s="14" t="s">
        <v>18</v>
      </c>
      <c r="B27" s="11" t="s">
        <v>20</v>
      </c>
      <c r="C27" t="s">
        <v>29</v>
      </c>
    </row>
    <row r="28" spans="1:17" x14ac:dyDescent="0.25">
      <c r="A28" s="14"/>
      <c r="B28" s="16"/>
    </row>
    <row r="29" spans="1:17" x14ac:dyDescent="0.25">
      <c r="A29" s="2" t="s">
        <v>30</v>
      </c>
      <c r="B29" s="12">
        <v>46249</v>
      </c>
      <c r="C29" t="s">
        <v>21</v>
      </c>
      <c r="F29" s="80" cm="1">
        <f t="array" ref="F29:Q29">N( oz.IsBetweenλ(B29,_xlfn.ANCHORARRAY( $F$22),_xlfn.ANCHORARRAY( $F$23)))</f>
        <v>0</v>
      </c>
      <c r="G29">
        <v>1</v>
      </c>
      <c r="H29">
        <v>0</v>
      </c>
      <c r="I29">
        <v>0</v>
      </c>
      <c r="J29">
        <v>0</v>
      </c>
      <c r="K29">
        <v>0</v>
      </c>
      <c r="L29">
        <v>0</v>
      </c>
      <c r="M29">
        <v>0</v>
      </c>
      <c r="N29">
        <v>0</v>
      </c>
      <c r="O29">
        <v>0</v>
      </c>
      <c r="P29">
        <v>0</v>
      </c>
      <c r="Q29">
        <v>0</v>
      </c>
    </row>
    <row r="31" spans="1:17" x14ac:dyDescent="0.25">
      <c r="A31" s="27" t="s">
        <v>31</v>
      </c>
      <c r="B31" s="12">
        <v>46213</v>
      </c>
      <c r="C31" t="s">
        <v>21</v>
      </c>
      <c r="F31" s="47" cm="1">
        <f t="array" ref="F31:Q34">N( oz.IsBetweenλ(B31:B34,_xlfn.ANCHORARRAY( $F$22),_xlfn.ANCHORARRAY( $F$23)))</f>
        <v>1</v>
      </c>
      <c r="G31">
        <v>0</v>
      </c>
      <c r="H31">
        <v>0</v>
      </c>
      <c r="I31">
        <v>0</v>
      </c>
      <c r="J31">
        <v>0</v>
      </c>
      <c r="K31">
        <v>0</v>
      </c>
      <c r="L31">
        <v>0</v>
      </c>
      <c r="M31">
        <v>0</v>
      </c>
      <c r="N31">
        <v>0</v>
      </c>
      <c r="O31">
        <v>0</v>
      </c>
      <c r="P31">
        <v>0</v>
      </c>
      <c r="Q31">
        <v>0</v>
      </c>
    </row>
    <row r="32" spans="1:17" x14ac:dyDescent="0.25">
      <c r="B32" s="12">
        <v>46275</v>
      </c>
      <c r="C32" t="s">
        <v>21</v>
      </c>
      <c r="F32">
        <v>0</v>
      </c>
      <c r="G32">
        <v>0</v>
      </c>
      <c r="H32">
        <v>1</v>
      </c>
      <c r="I32">
        <v>0</v>
      </c>
      <c r="J32">
        <v>0</v>
      </c>
      <c r="K32">
        <v>0</v>
      </c>
      <c r="L32">
        <v>0</v>
      </c>
      <c r="M32">
        <v>0</v>
      </c>
      <c r="N32">
        <v>0</v>
      </c>
      <c r="O32">
        <v>0</v>
      </c>
      <c r="P32">
        <v>0</v>
      </c>
      <c r="Q32">
        <v>0</v>
      </c>
    </row>
    <row r="33" spans="2:17" x14ac:dyDescent="0.25">
      <c r="B33" s="12">
        <v>46361</v>
      </c>
      <c r="C33" t="s">
        <v>21</v>
      </c>
      <c r="F33">
        <v>0</v>
      </c>
      <c r="G33">
        <v>0</v>
      </c>
      <c r="H33">
        <v>0</v>
      </c>
      <c r="I33">
        <v>0</v>
      </c>
      <c r="J33">
        <v>0</v>
      </c>
      <c r="K33">
        <v>1</v>
      </c>
      <c r="L33">
        <v>0</v>
      </c>
      <c r="M33">
        <v>0</v>
      </c>
      <c r="N33">
        <v>0</v>
      </c>
      <c r="O33">
        <v>0</v>
      </c>
      <c r="P33">
        <v>0</v>
      </c>
      <c r="Q33">
        <v>0</v>
      </c>
    </row>
    <row r="34" spans="2:17" x14ac:dyDescent="0.25">
      <c r="B34" s="12">
        <v>46453</v>
      </c>
      <c r="C34" t="s">
        <v>21</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scale="68" fitToHeight="0" orientation="landscape" horizontalDpi="360" verticalDpi="36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000000"/>
    <pageSetUpPr fitToPage="1"/>
  </sheetPr>
  <dimension ref="A1:NH39"/>
  <sheetViews>
    <sheetView showGridLines="0" workbookViewId="0">
      <pane xSplit="7" topLeftCell="H1" activePane="topRight" state="frozen"/>
      <selection sqref="A1:P1"/>
      <selection pane="topRight" activeCell="H1" sqref="H1"/>
    </sheetView>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6.5" x14ac:dyDescent="0.7">
      <c r="A1" s="185" t="str">
        <f ca="1">_xlfn.TEXTAFTER(CELL("filename",A1),"]")</f>
        <v>oz.IsOccurrenceDateλ</v>
      </c>
      <c r="B1" s="185"/>
      <c r="C1" s="185"/>
      <c r="D1" s="185"/>
      <c r="E1" s="185"/>
      <c r="F1" s="185"/>
      <c r="G1" s="185"/>
      <c r="H1" s="185"/>
      <c r="I1" s="185"/>
      <c r="J1" s="185"/>
      <c r="K1" s="185"/>
      <c r="L1" s="185"/>
      <c r="M1" s="185"/>
      <c r="N1" s="185"/>
      <c r="O1" s="185"/>
      <c r="P1" s="185"/>
    </row>
    <row r="2" spans="1:16" x14ac:dyDescent="0.25">
      <c r="A2" s="186" t="s">
        <v>73</v>
      </c>
      <c r="B2" s="187"/>
      <c r="C2" s="187"/>
      <c r="D2" s="187"/>
      <c r="E2" s="187"/>
      <c r="F2" s="187"/>
      <c r="G2" s="187"/>
      <c r="H2" s="187"/>
      <c r="I2" s="187"/>
      <c r="J2" s="187"/>
      <c r="K2" s="187"/>
      <c r="L2" s="187"/>
      <c r="M2" s="187"/>
      <c r="N2" s="187"/>
      <c r="O2" s="187"/>
      <c r="P2" s="188"/>
    </row>
    <row r="4" spans="1:16" x14ac:dyDescent="0.25">
      <c r="A4" s="24" t="str" cm="1">
        <f t="array" ref="A4:B30">oz.IsOccurrenceDateλ()</f>
        <v>FUNCTION:</v>
      </c>
      <c r="B4" t="str">
        <v>IsOccurrenceDateλ(Dates, FirstOccurrence, [LastOccurrence], [Repeats])</v>
      </c>
      <c r="K4" t="s">
        <v>124</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https://github.com/ryanduguid/Ozzit</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NOTE!</v>
      </c>
      <c r="B24" t="str">
        <v>A monthly, quarterly, semi-annual or annual item that starts on the 29th, 30th or 31st</v>
      </c>
    </row>
    <row r="25" spans="1:372" x14ac:dyDescent="0.25">
      <c r="A25" t="str">
        <v/>
      </c>
      <c r="B25" t="str">
        <v>falls on the last day of any shorter month.</v>
      </c>
    </row>
    <row r="26" spans="1:372" x14ac:dyDescent="0.25">
      <c r="A26" t="str">
        <v>EXAMPLES:</v>
      </c>
      <c r="B26" t="str">
        <v/>
      </c>
    </row>
    <row r="27" spans="1:372" x14ac:dyDescent="0.25">
      <c r="A27" t="str">
        <v>Result</v>
      </c>
      <c r="B27" t="str">
        <v>Formula (oz is assumed to be the module's name)</v>
      </c>
    </row>
    <row r="28" spans="1:372" x14ac:dyDescent="0.25">
      <c r="A28" t="str">
        <v>72</v>
      </c>
      <c r="B28" t="str">
        <v>=SUM(N(oz.IsOccurrenceDateλ(SEQUENCE(,90,"1/7/2026"), "1/7/2026", "10/9/2026", "D")))</v>
      </c>
    </row>
    <row r="29" spans="1:372" x14ac:dyDescent="0.25">
      <c r="A29" t="str">
        <v>01</v>
      </c>
      <c r="B29" t="str">
        <v>=SUM(N(oz.IsOccurrenceDateλ(SEQUENCE(,90,"1/7/2026"), "1/7/2026", "10/9/2026", "O")))</v>
      </c>
    </row>
    <row r="30" spans="1:372" x14ac:dyDescent="0.25">
      <c r="A30" t="str">
        <v>11</v>
      </c>
      <c r="B30" t="str">
        <v>=SUM(N(oz.IsOccurrenceDateλ(SEQUENCE(,90,"1/7/2026"), "1/7/2026", "10/9/2026", "W")))</v>
      </c>
    </row>
    <row r="31" spans="1:372" ht="21" x14ac:dyDescent="0.35">
      <c r="A31" s="192" t="s">
        <v>96</v>
      </c>
      <c r="B31" s="193"/>
      <c r="C31" s="193"/>
      <c r="D31" s="193"/>
      <c r="E31" s="193"/>
      <c r="F31" s="46"/>
      <c r="G31" s="28" t="s">
        <v>122</v>
      </c>
      <c r="H31" s="50" cm="1">
        <f t="array" ref="H31:NH31">oz.Cumulativeλ(_xlfn.ANCHORARRAY(H32))</f>
        <v>3981</v>
      </c>
      <c r="I31" s="50">
        <v>3962</v>
      </c>
      <c r="J31" s="50">
        <v>3868</v>
      </c>
      <c r="K31" s="50">
        <v>3868</v>
      </c>
      <c r="L31" s="50">
        <v>-632</v>
      </c>
      <c r="M31" s="50">
        <v>-651</v>
      </c>
      <c r="N31" s="50">
        <v>-670</v>
      </c>
      <c r="O31" s="50">
        <v>-689</v>
      </c>
      <c r="P31" s="50">
        <v>-708</v>
      </c>
      <c r="Q31" s="50">
        <v>-1302</v>
      </c>
      <c r="R31" s="50">
        <v>-1302</v>
      </c>
      <c r="S31" s="50">
        <v>-1302</v>
      </c>
      <c r="T31" s="50">
        <v>-1321</v>
      </c>
      <c r="U31" s="50">
        <v>-1340</v>
      </c>
      <c r="V31" s="50">
        <v>4641</v>
      </c>
      <c r="W31" s="50">
        <v>4622</v>
      </c>
      <c r="X31" s="50">
        <v>4528</v>
      </c>
      <c r="Y31" s="50">
        <v>4528</v>
      </c>
      <c r="Z31" s="50">
        <v>4528</v>
      </c>
      <c r="AA31" s="50">
        <v>4509</v>
      </c>
      <c r="AB31" s="50">
        <v>4490</v>
      </c>
      <c r="AC31" s="50">
        <v>4471</v>
      </c>
      <c r="AD31" s="50">
        <v>4452</v>
      </c>
      <c r="AE31" s="50">
        <v>4358</v>
      </c>
      <c r="AF31" s="50">
        <v>4358</v>
      </c>
      <c r="AG31" s="50">
        <v>4358</v>
      </c>
      <c r="AH31" s="50">
        <v>4339</v>
      </c>
      <c r="AI31" s="50">
        <v>4320</v>
      </c>
      <c r="AJ31" s="50">
        <v>10301</v>
      </c>
      <c r="AK31" s="50">
        <v>10282</v>
      </c>
      <c r="AL31" s="50">
        <v>10188</v>
      </c>
      <c r="AM31" s="50">
        <v>10188</v>
      </c>
      <c r="AN31" s="50">
        <v>10188</v>
      </c>
      <c r="AO31" s="50">
        <v>10169</v>
      </c>
      <c r="AP31" s="50">
        <v>10150</v>
      </c>
      <c r="AQ31" s="50">
        <v>5631</v>
      </c>
      <c r="AR31" s="50">
        <v>5612</v>
      </c>
      <c r="AS31" s="50">
        <v>5518</v>
      </c>
      <c r="AT31" s="50">
        <v>5518</v>
      </c>
      <c r="AU31" s="50">
        <v>5518</v>
      </c>
      <c r="AV31" s="50">
        <v>5499</v>
      </c>
      <c r="AW31" s="50">
        <v>5480</v>
      </c>
      <c r="AX31" s="50">
        <v>11461</v>
      </c>
      <c r="AY31" s="50">
        <v>11442</v>
      </c>
      <c r="AZ31" s="50">
        <v>11348</v>
      </c>
      <c r="BA31" s="50">
        <v>11348</v>
      </c>
      <c r="BB31" s="50">
        <v>11348</v>
      </c>
      <c r="BC31" s="50">
        <v>11329</v>
      </c>
      <c r="BD31" s="50">
        <v>11310</v>
      </c>
      <c r="BE31" s="50">
        <v>11291</v>
      </c>
      <c r="BF31" s="50">
        <v>11272</v>
      </c>
      <c r="BG31" s="50">
        <v>11178</v>
      </c>
      <c r="BH31" s="50">
        <v>11178</v>
      </c>
      <c r="BI31" s="50">
        <v>11178</v>
      </c>
      <c r="BJ31" s="50">
        <v>11159</v>
      </c>
      <c r="BK31" s="50">
        <v>11140</v>
      </c>
      <c r="BL31" s="50">
        <v>17121</v>
      </c>
      <c r="BM31" s="50">
        <v>17102</v>
      </c>
      <c r="BN31" s="50">
        <v>17008</v>
      </c>
      <c r="BO31" s="50">
        <v>17008</v>
      </c>
      <c r="BP31" s="50">
        <v>17008</v>
      </c>
      <c r="BQ31" s="50">
        <v>16989</v>
      </c>
      <c r="BR31" s="50">
        <v>16970</v>
      </c>
      <c r="BS31" s="50">
        <v>16951</v>
      </c>
      <c r="BT31" s="50">
        <v>16932</v>
      </c>
      <c r="BU31" s="50">
        <v>16838</v>
      </c>
      <c r="BV31" s="50">
        <v>12338</v>
      </c>
      <c r="BW31" s="50">
        <v>12338</v>
      </c>
      <c r="BX31" s="50">
        <v>12319</v>
      </c>
      <c r="BY31" s="50">
        <v>12300</v>
      </c>
      <c r="BZ31" s="50">
        <v>18281</v>
      </c>
      <c r="CA31" s="50">
        <v>18262</v>
      </c>
      <c r="CB31" s="50">
        <v>18168</v>
      </c>
      <c r="CC31" s="50">
        <v>18168</v>
      </c>
      <c r="CD31" s="50">
        <v>18168</v>
      </c>
      <c r="CE31" s="50">
        <v>18149</v>
      </c>
      <c r="CF31" s="50">
        <v>18130</v>
      </c>
      <c r="CG31" s="50">
        <v>18111</v>
      </c>
      <c r="CH31" s="50">
        <v>18092</v>
      </c>
      <c r="CI31" s="50">
        <v>17998</v>
      </c>
      <c r="CJ31" s="50">
        <v>17998</v>
      </c>
      <c r="CK31" s="50">
        <v>17998</v>
      </c>
      <c r="CL31" s="50">
        <v>17979</v>
      </c>
      <c r="CM31" s="50">
        <v>17960</v>
      </c>
      <c r="CN31" s="50">
        <v>23941</v>
      </c>
      <c r="CO31" s="50">
        <v>23922</v>
      </c>
      <c r="CP31" s="50">
        <v>23828</v>
      </c>
      <c r="CQ31" s="50">
        <v>23828</v>
      </c>
      <c r="CR31" s="50">
        <v>23828</v>
      </c>
      <c r="CS31" s="50">
        <v>23809</v>
      </c>
      <c r="CT31" s="50">
        <v>23790</v>
      </c>
      <c r="CU31" s="50">
        <v>23771</v>
      </c>
      <c r="CV31" s="50">
        <v>23752</v>
      </c>
      <c r="CW31" s="50">
        <v>23658</v>
      </c>
      <c r="CX31" s="50">
        <v>23658</v>
      </c>
      <c r="CY31" s="50">
        <v>23658</v>
      </c>
      <c r="CZ31" s="50">
        <v>19139</v>
      </c>
      <c r="DA31" s="50">
        <v>19120</v>
      </c>
      <c r="DB31" s="50">
        <v>25101</v>
      </c>
      <c r="DC31" s="50">
        <v>25082</v>
      </c>
      <c r="DD31" s="50">
        <v>24988</v>
      </c>
      <c r="DE31" s="50">
        <v>24488</v>
      </c>
      <c r="DF31" s="50">
        <v>24488</v>
      </c>
      <c r="DG31" s="50">
        <v>24469</v>
      </c>
      <c r="DH31" s="50">
        <v>24450</v>
      </c>
      <c r="DI31" s="50">
        <v>24431</v>
      </c>
      <c r="DJ31" s="50">
        <v>24412</v>
      </c>
      <c r="DK31" s="50">
        <v>24318</v>
      </c>
      <c r="DL31" s="50">
        <v>24318</v>
      </c>
      <c r="DM31" s="50">
        <v>24318</v>
      </c>
      <c r="DN31" s="50">
        <v>24299</v>
      </c>
      <c r="DO31" s="50">
        <v>24280</v>
      </c>
      <c r="DP31" s="50">
        <v>30261</v>
      </c>
      <c r="DQ31" s="50">
        <v>30242</v>
      </c>
      <c r="DR31" s="50">
        <v>30148</v>
      </c>
      <c r="DS31" s="50">
        <v>30148</v>
      </c>
      <c r="DT31" s="50">
        <v>30148</v>
      </c>
      <c r="DU31" s="50">
        <v>30129</v>
      </c>
      <c r="DV31" s="50">
        <v>30110</v>
      </c>
      <c r="DW31" s="50">
        <v>30091</v>
      </c>
      <c r="DX31" s="50">
        <v>30072</v>
      </c>
      <c r="DY31" s="50">
        <v>29978</v>
      </c>
      <c r="DZ31" s="50">
        <v>29978</v>
      </c>
      <c r="EA31" s="50">
        <v>29978</v>
      </c>
      <c r="EB31" s="50">
        <v>29959</v>
      </c>
      <c r="EC31" s="50">
        <v>29940</v>
      </c>
      <c r="ED31" s="50">
        <v>35921</v>
      </c>
      <c r="EE31" s="50">
        <v>31402</v>
      </c>
      <c r="EF31" s="50">
        <v>31308</v>
      </c>
      <c r="EG31" s="50">
        <v>31308</v>
      </c>
      <c r="EH31" s="50">
        <v>31308</v>
      </c>
      <c r="EI31" s="50">
        <v>31289</v>
      </c>
      <c r="EJ31" s="50">
        <v>31270</v>
      </c>
      <c r="EK31" s="50">
        <v>31251</v>
      </c>
      <c r="EL31" s="50">
        <v>31232</v>
      </c>
      <c r="EM31" s="50">
        <v>31138</v>
      </c>
      <c r="EN31" s="50">
        <v>31138</v>
      </c>
      <c r="EO31" s="50">
        <v>31138</v>
      </c>
      <c r="EP31" s="50">
        <v>31119</v>
      </c>
      <c r="EQ31" s="50">
        <v>31100</v>
      </c>
      <c r="ER31" s="50">
        <v>37081</v>
      </c>
      <c r="ES31" s="50">
        <v>37062</v>
      </c>
      <c r="ET31" s="50">
        <v>36968</v>
      </c>
      <c r="EU31" s="50">
        <v>36968</v>
      </c>
      <c r="EV31" s="50">
        <v>36968</v>
      </c>
      <c r="EW31" s="50">
        <v>36949</v>
      </c>
      <c r="EX31" s="50">
        <v>36930</v>
      </c>
      <c r="EY31" s="50">
        <v>36911</v>
      </c>
      <c r="EZ31" s="50">
        <v>36892</v>
      </c>
      <c r="FA31" s="50">
        <v>36798</v>
      </c>
      <c r="FB31" s="50">
        <v>36798</v>
      </c>
      <c r="FC31" s="50">
        <v>36798</v>
      </c>
      <c r="FD31" s="50">
        <v>36779</v>
      </c>
      <c r="FE31" s="50">
        <v>36760</v>
      </c>
      <c r="FF31" s="50">
        <v>42741</v>
      </c>
      <c r="FG31" s="50">
        <v>42722</v>
      </c>
      <c r="FH31" s="50">
        <v>42628</v>
      </c>
      <c r="FI31" s="50">
        <v>38128</v>
      </c>
      <c r="FJ31" s="50">
        <v>38128</v>
      </c>
      <c r="FK31" s="50">
        <v>38109</v>
      </c>
      <c r="FL31" s="50">
        <v>38090</v>
      </c>
      <c r="FM31" s="50">
        <v>38071</v>
      </c>
      <c r="FN31" s="50">
        <v>38052</v>
      </c>
      <c r="FO31" s="50">
        <v>37958</v>
      </c>
      <c r="FP31" s="50">
        <v>37958</v>
      </c>
      <c r="FQ31" s="50">
        <v>37958</v>
      </c>
      <c r="FR31" s="50">
        <v>37939</v>
      </c>
      <c r="FS31" s="50">
        <v>37920</v>
      </c>
      <c r="FT31" s="50">
        <v>43901</v>
      </c>
      <c r="FU31" s="50">
        <v>43882</v>
      </c>
      <c r="FV31" s="50">
        <v>43788</v>
      </c>
      <c r="FW31" s="50">
        <v>43788</v>
      </c>
      <c r="FX31" s="50">
        <v>43788</v>
      </c>
      <c r="FY31" s="50">
        <v>43769</v>
      </c>
      <c r="FZ31" s="50">
        <v>43750</v>
      </c>
      <c r="GA31" s="50">
        <v>43731</v>
      </c>
      <c r="GB31" s="50">
        <v>43712</v>
      </c>
      <c r="GC31" s="50">
        <v>43618</v>
      </c>
      <c r="GD31" s="50">
        <v>43618</v>
      </c>
      <c r="GE31" s="50">
        <v>43618</v>
      </c>
      <c r="GF31" s="50">
        <v>43599</v>
      </c>
      <c r="GG31" s="50">
        <v>43580</v>
      </c>
      <c r="GH31" s="50">
        <v>49561</v>
      </c>
      <c r="GI31" s="50">
        <v>49542</v>
      </c>
      <c r="GJ31" s="50">
        <v>47448</v>
      </c>
      <c r="GK31" s="50">
        <v>47448</v>
      </c>
      <c r="GL31" s="50">
        <v>47448</v>
      </c>
      <c r="GM31" s="50">
        <v>47429</v>
      </c>
      <c r="GN31" s="50">
        <v>42910</v>
      </c>
      <c r="GO31" s="50">
        <v>42891</v>
      </c>
      <c r="GP31" s="50">
        <v>42872</v>
      </c>
      <c r="GQ31" s="50">
        <v>42778</v>
      </c>
      <c r="GR31" s="50">
        <v>42778</v>
      </c>
      <c r="GS31" s="50">
        <v>42278</v>
      </c>
      <c r="GT31" s="50">
        <v>42259</v>
      </c>
      <c r="GU31" s="50">
        <v>42240</v>
      </c>
      <c r="GV31" s="50">
        <v>48221</v>
      </c>
      <c r="GW31" s="50">
        <v>48202</v>
      </c>
      <c r="GX31" s="50">
        <v>48108</v>
      </c>
      <c r="GY31" s="50">
        <v>48108</v>
      </c>
      <c r="GZ31" s="50">
        <v>48108</v>
      </c>
      <c r="HA31" s="50">
        <v>48089</v>
      </c>
      <c r="HB31" s="50">
        <v>48070</v>
      </c>
      <c r="HC31" s="50">
        <v>48051</v>
      </c>
      <c r="HD31" s="50">
        <v>48032</v>
      </c>
      <c r="HE31" s="50">
        <v>47938</v>
      </c>
      <c r="HF31" s="50">
        <v>47938</v>
      </c>
      <c r="HG31" s="50">
        <v>47938</v>
      </c>
      <c r="HH31" s="50">
        <v>47919</v>
      </c>
      <c r="HI31" s="50">
        <v>47900</v>
      </c>
      <c r="HJ31" s="50">
        <v>53881</v>
      </c>
      <c r="HK31" s="50">
        <v>53862</v>
      </c>
      <c r="HL31" s="50">
        <v>53768</v>
      </c>
      <c r="HM31" s="50">
        <v>53768</v>
      </c>
      <c r="HN31" s="50">
        <v>53768</v>
      </c>
      <c r="HO31" s="50">
        <v>53749</v>
      </c>
      <c r="HP31" s="50">
        <v>53730</v>
      </c>
      <c r="HQ31" s="50">
        <v>53711</v>
      </c>
      <c r="HR31" s="50">
        <v>53692</v>
      </c>
      <c r="HS31" s="50">
        <v>49098</v>
      </c>
      <c r="HT31" s="50">
        <v>49098</v>
      </c>
      <c r="HU31" s="50">
        <v>49098</v>
      </c>
      <c r="HV31" s="50">
        <v>49079</v>
      </c>
      <c r="HW31" s="50">
        <v>49060</v>
      </c>
      <c r="HX31" s="50">
        <v>55041</v>
      </c>
      <c r="HY31" s="50">
        <v>55022</v>
      </c>
      <c r="HZ31" s="50">
        <v>54928</v>
      </c>
      <c r="IA31" s="50">
        <v>54928</v>
      </c>
      <c r="IB31" s="50">
        <v>54928</v>
      </c>
      <c r="IC31" s="50">
        <v>54909</v>
      </c>
      <c r="ID31" s="50">
        <v>54890</v>
      </c>
      <c r="IE31" s="50">
        <v>54871</v>
      </c>
      <c r="IF31" s="50">
        <v>54852</v>
      </c>
      <c r="IG31" s="50">
        <v>54758</v>
      </c>
      <c r="IH31" s="50">
        <v>54758</v>
      </c>
      <c r="II31" s="50">
        <v>54758</v>
      </c>
      <c r="IJ31" s="50">
        <v>54739</v>
      </c>
      <c r="IK31" s="50">
        <v>54720</v>
      </c>
      <c r="IL31" s="50">
        <v>60701</v>
      </c>
      <c r="IM31" s="50">
        <v>60682</v>
      </c>
      <c r="IN31" s="50">
        <v>60588</v>
      </c>
      <c r="IO31" s="50">
        <v>60588</v>
      </c>
      <c r="IP31" s="50">
        <v>60588</v>
      </c>
      <c r="IQ31" s="50">
        <v>60569</v>
      </c>
      <c r="IR31" s="50">
        <v>60550</v>
      </c>
      <c r="IS31" s="50">
        <v>60531</v>
      </c>
      <c r="IT31" s="50">
        <v>60512</v>
      </c>
      <c r="IU31" s="50">
        <v>55918</v>
      </c>
      <c r="IV31" s="50">
        <v>55918</v>
      </c>
      <c r="IW31" s="50">
        <v>55918</v>
      </c>
      <c r="IX31" s="50">
        <v>55899</v>
      </c>
      <c r="IY31" s="50">
        <v>55880</v>
      </c>
      <c r="IZ31" s="50">
        <v>61861</v>
      </c>
      <c r="JA31" s="50">
        <v>61842</v>
      </c>
      <c r="JB31" s="50">
        <v>61748</v>
      </c>
      <c r="JC31" s="50">
        <v>61748</v>
      </c>
      <c r="JD31" s="50">
        <v>61748</v>
      </c>
      <c r="JE31" s="50">
        <v>61729</v>
      </c>
      <c r="JF31" s="50">
        <v>61710</v>
      </c>
      <c r="JG31" s="50">
        <v>61691</v>
      </c>
      <c r="JH31" s="50">
        <v>61672</v>
      </c>
      <c r="JI31" s="50">
        <v>61578</v>
      </c>
      <c r="JJ31" s="50">
        <v>61578</v>
      </c>
      <c r="JK31" s="50">
        <v>61578</v>
      </c>
      <c r="JL31" s="50">
        <v>61559</v>
      </c>
      <c r="JM31" s="50">
        <v>61540</v>
      </c>
      <c r="JN31" s="50">
        <v>67521</v>
      </c>
      <c r="JO31" s="50">
        <v>67502</v>
      </c>
      <c r="JP31" s="50">
        <v>67408</v>
      </c>
      <c r="JQ31" s="50">
        <v>67408</v>
      </c>
      <c r="JR31" s="50">
        <v>67408</v>
      </c>
      <c r="JS31" s="50">
        <v>67389</v>
      </c>
      <c r="JT31" s="50">
        <v>67370</v>
      </c>
      <c r="JU31" s="50">
        <v>67351</v>
      </c>
      <c r="JV31" s="50">
        <v>67332</v>
      </c>
      <c r="JW31" s="50">
        <v>67238</v>
      </c>
      <c r="JX31" s="50">
        <v>67238</v>
      </c>
      <c r="JY31" s="50">
        <v>67238</v>
      </c>
      <c r="JZ31" s="50">
        <v>62719</v>
      </c>
      <c r="KA31" s="50">
        <v>62700</v>
      </c>
      <c r="KB31" s="50">
        <v>68681</v>
      </c>
      <c r="KC31" s="50">
        <v>68662</v>
      </c>
      <c r="KD31" s="50">
        <v>68568</v>
      </c>
      <c r="KE31" s="50">
        <v>68068</v>
      </c>
      <c r="KF31" s="50">
        <v>68068</v>
      </c>
      <c r="KG31" s="50">
        <v>68049</v>
      </c>
      <c r="KH31" s="50">
        <v>68030</v>
      </c>
      <c r="KI31" s="50">
        <v>68011</v>
      </c>
      <c r="KJ31" s="50">
        <v>67992</v>
      </c>
      <c r="KK31" s="50">
        <v>67898</v>
      </c>
      <c r="KL31" s="50">
        <v>67898</v>
      </c>
      <c r="KM31" s="50">
        <v>67898</v>
      </c>
      <c r="KN31" s="50">
        <v>67879</v>
      </c>
      <c r="KO31" s="50">
        <v>67860</v>
      </c>
      <c r="KP31" s="50">
        <v>73841</v>
      </c>
      <c r="KQ31" s="50">
        <v>73822</v>
      </c>
      <c r="KR31" s="50">
        <v>73728</v>
      </c>
      <c r="KS31" s="50">
        <v>73728</v>
      </c>
      <c r="KT31" s="50">
        <v>73728</v>
      </c>
      <c r="KU31" s="50">
        <v>73709</v>
      </c>
      <c r="KV31" s="50">
        <v>73690</v>
      </c>
      <c r="KW31" s="50">
        <v>73671</v>
      </c>
      <c r="KX31" s="50">
        <v>73652</v>
      </c>
      <c r="KY31" s="50">
        <v>73558</v>
      </c>
      <c r="KZ31" s="50">
        <v>73558</v>
      </c>
      <c r="LA31" s="50">
        <v>73558</v>
      </c>
      <c r="LB31" s="50">
        <v>73539</v>
      </c>
      <c r="LC31" s="50">
        <v>73520</v>
      </c>
      <c r="LD31" s="50">
        <v>75001</v>
      </c>
      <c r="LE31" s="50">
        <v>74982</v>
      </c>
      <c r="LF31" s="50">
        <v>74888</v>
      </c>
      <c r="LG31" s="50">
        <v>74888</v>
      </c>
      <c r="LH31" s="50">
        <v>74888</v>
      </c>
      <c r="LI31" s="50">
        <v>74869</v>
      </c>
      <c r="LJ31" s="50">
        <v>74850</v>
      </c>
      <c r="LK31" s="50">
        <v>74831</v>
      </c>
      <c r="LL31" s="50">
        <v>74812</v>
      </c>
      <c r="LM31" s="50">
        <v>74718</v>
      </c>
      <c r="LN31" s="50">
        <v>74718</v>
      </c>
      <c r="LO31" s="50">
        <v>74718</v>
      </c>
      <c r="LP31" s="50">
        <v>74699</v>
      </c>
      <c r="LQ31" s="50">
        <v>74680</v>
      </c>
      <c r="LR31" s="50">
        <v>80661</v>
      </c>
      <c r="LS31" s="50">
        <v>80642</v>
      </c>
      <c r="LT31" s="50">
        <v>80548</v>
      </c>
      <c r="LU31" s="50">
        <v>80548</v>
      </c>
      <c r="LV31" s="50">
        <v>80548</v>
      </c>
      <c r="LW31" s="50">
        <v>80529</v>
      </c>
      <c r="LX31" s="50">
        <v>80510</v>
      </c>
      <c r="LY31" s="50">
        <v>80491</v>
      </c>
      <c r="LZ31" s="50">
        <v>80472</v>
      </c>
      <c r="MA31" s="50">
        <v>80378</v>
      </c>
      <c r="MB31" s="50">
        <v>80378</v>
      </c>
      <c r="MC31" s="50">
        <v>80378</v>
      </c>
      <c r="MD31" s="50">
        <v>80359</v>
      </c>
      <c r="ME31" s="50">
        <v>80340</v>
      </c>
      <c r="MF31" s="50">
        <v>86321</v>
      </c>
      <c r="MG31" s="50">
        <v>86302</v>
      </c>
      <c r="MH31" s="50">
        <v>86208</v>
      </c>
      <c r="MI31" s="50">
        <v>81708</v>
      </c>
      <c r="MJ31" s="50">
        <v>81708</v>
      </c>
      <c r="MK31" s="50">
        <v>81689</v>
      </c>
      <c r="ML31" s="50">
        <v>81670</v>
      </c>
      <c r="MM31" s="50">
        <v>81651</v>
      </c>
      <c r="MN31" s="50">
        <v>81632</v>
      </c>
      <c r="MO31" s="50">
        <v>81538</v>
      </c>
      <c r="MP31" s="50">
        <v>81538</v>
      </c>
      <c r="MQ31" s="50">
        <v>81538</v>
      </c>
      <c r="MR31" s="50">
        <v>81519</v>
      </c>
      <c r="MS31" s="50">
        <v>81500</v>
      </c>
      <c r="MT31" s="50">
        <v>87481</v>
      </c>
      <c r="MU31" s="50">
        <v>87462</v>
      </c>
      <c r="MV31" s="50">
        <v>87368</v>
      </c>
      <c r="MW31" s="50">
        <v>87368</v>
      </c>
      <c r="MX31" s="50">
        <v>87368</v>
      </c>
      <c r="MY31" s="50">
        <v>87349</v>
      </c>
      <c r="MZ31" s="50">
        <v>87330</v>
      </c>
      <c r="NA31" s="50">
        <v>87311</v>
      </c>
      <c r="NB31" s="50">
        <v>87292</v>
      </c>
      <c r="NC31" s="50">
        <v>87198</v>
      </c>
      <c r="ND31" s="50">
        <v>87198</v>
      </c>
      <c r="NE31" s="50">
        <v>87198</v>
      </c>
      <c r="NF31" s="50">
        <v>87179</v>
      </c>
      <c r="NG31" s="50">
        <v>87160</v>
      </c>
      <c r="NH31" s="50">
        <v>93141</v>
      </c>
    </row>
    <row r="32" spans="1:372" x14ac:dyDescent="0.25">
      <c r="A32" s="194" t="s">
        <v>97</v>
      </c>
      <c r="B32" s="195"/>
      <c r="C32" s="195"/>
      <c r="D32" s="195"/>
      <c r="E32" s="195"/>
      <c r="F32" s="45"/>
      <c r="G32" s="51" t="s">
        <v>121</v>
      </c>
      <c r="H32" s="52" cm="1">
        <f t="array" ref="H32:NH32">oz.SumColsλ(_xlfn.ANCHORARRAY($H$34))</f>
        <v>3981</v>
      </c>
      <c r="I32" s="52">
        <v>-19</v>
      </c>
      <c r="J32" s="52">
        <v>-94</v>
      </c>
      <c r="K32" s="52">
        <v>0</v>
      </c>
      <c r="L32" s="52">
        <v>-4500</v>
      </c>
      <c r="M32" s="52">
        <v>-19</v>
      </c>
      <c r="N32" s="52">
        <v>-19</v>
      </c>
      <c r="O32" s="52">
        <v>-19</v>
      </c>
      <c r="P32" s="52">
        <v>-19</v>
      </c>
      <c r="Q32" s="52">
        <v>-594</v>
      </c>
      <c r="R32" s="52">
        <v>0</v>
      </c>
      <c r="S32" s="52">
        <v>0</v>
      </c>
      <c r="T32" s="52">
        <v>-19</v>
      </c>
      <c r="U32" s="52">
        <v>-19</v>
      </c>
      <c r="V32" s="52">
        <v>5981</v>
      </c>
      <c r="W32" s="52">
        <v>-19</v>
      </c>
      <c r="X32" s="52">
        <v>-94</v>
      </c>
      <c r="Y32" s="52">
        <v>0</v>
      </c>
      <c r="Z32" s="52">
        <v>0</v>
      </c>
      <c r="AA32" s="52">
        <v>-19</v>
      </c>
      <c r="AB32" s="52">
        <v>-19</v>
      </c>
      <c r="AC32" s="52">
        <v>-19</v>
      </c>
      <c r="AD32" s="52">
        <v>-19</v>
      </c>
      <c r="AE32" s="52">
        <v>-94</v>
      </c>
      <c r="AF32" s="52">
        <v>0</v>
      </c>
      <c r="AG32" s="52">
        <v>0</v>
      </c>
      <c r="AH32" s="52">
        <v>-19</v>
      </c>
      <c r="AI32" s="52">
        <v>-19</v>
      </c>
      <c r="AJ32" s="52">
        <v>5981</v>
      </c>
      <c r="AK32" s="52">
        <v>-19</v>
      </c>
      <c r="AL32" s="52">
        <v>-94</v>
      </c>
      <c r="AM32" s="52">
        <v>0</v>
      </c>
      <c r="AN32" s="52">
        <v>0</v>
      </c>
      <c r="AO32" s="52">
        <v>-19</v>
      </c>
      <c r="AP32" s="52">
        <v>-19</v>
      </c>
      <c r="AQ32" s="52">
        <v>-4519</v>
      </c>
      <c r="AR32" s="52">
        <v>-19</v>
      </c>
      <c r="AS32" s="52">
        <v>-94</v>
      </c>
      <c r="AT32" s="52">
        <v>0</v>
      </c>
      <c r="AU32" s="52">
        <v>0</v>
      </c>
      <c r="AV32" s="52">
        <v>-19</v>
      </c>
      <c r="AW32" s="52">
        <v>-19</v>
      </c>
      <c r="AX32" s="52">
        <v>5981</v>
      </c>
      <c r="AY32" s="52">
        <v>-19</v>
      </c>
      <c r="AZ32" s="52">
        <v>-94</v>
      </c>
      <c r="BA32" s="52">
        <v>0</v>
      </c>
      <c r="BB32" s="52">
        <v>0</v>
      </c>
      <c r="BC32" s="52">
        <v>-19</v>
      </c>
      <c r="BD32" s="52">
        <v>-19</v>
      </c>
      <c r="BE32" s="52">
        <v>-19</v>
      </c>
      <c r="BF32" s="52">
        <v>-19</v>
      </c>
      <c r="BG32" s="52">
        <v>-94</v>
      </c>
      <c r="BH32" s="52">
        <v>0</v>
      </c>
      <c r="BI32" s="52">
        <v>0</v>
      </c>
      <c r="BJ32" s="52">
        <v>-19</v>
      </c>
      <c r="BK32" s="52">
        <v>-19</v>
      </c>
      <c r="BL32" s="52">
        <v>5981</v>
      </c>
      <c r="BM32" s="52">
        <v>-19</v>
      </c>
      <c r="BN32" s="52">
        <v>-94</v>
      </c>
      <c r="BO32" s="52">
        <v>0</v>
      </c>
      <c r="BP32" s="52">
        <v>0</v>
      </c>
      <c r="BQ32" s="52">
        <v>-19</v>
      </c>
      <c r="BR32" s="52">
        <v>-19</v>
      </c>
      <c r="BS32" s="52">
        <v>-19</v>
      </c>
      <c r="BT32" s="52">
        <v>-19</v>
      </c>
      <c r="BU32" s="52">
        <v>-94</v>
      </c>
      <c r="BV32" s="52">
        <v>-4500</v>
      </c>
      <c r="BW32" s="52">
        <v>0</v>
      </c>
      <c r="BX32" s="52">
        <v>-19</v>
      </c>
      <c r="BY32" s="52">
        <v>-19</v>
      </c>
      <c r="BZ32" s="52">
        <v>5981</v>
      </c>
      <c r="CA32" s="52">
        <v>-19</v>
      </c>
      <c r="CB32" s="52">
        <v>-94</v>
      </c>
      <c r="CC32" s="52">
        <v>0</v>
      </c>
      <c r="CD32" s="52">
        <v>0</v>
      </c>
      <c r="CE32" s="52">
        <v>-19</v>
      </c>
      <c r="CF32" s="52">
        <v>-19</v>
      </c>
      <c r="CG32" s="52">
        <v>-19</v>
      </c>
      <c r="CH32" s="52">
        <v>-19</v>
      </c>
      <c r="CI32" s="52">
        <v>-94</v>
      </c>
      <c r="CJ32" s="52">
        <v>0</v>
      </c>
      <c r="CK32" s="52">
        <v>0</v>
      </c>
      <c r="CL32" s="52">
        <v>-19</v>
      </c>
      <c r="CM32" s="52">
        <v>-19</v>
      </c>
      <c r="CN32" s="52">
        <v>5981</v>
      </c>
      <c r="CO32" s="52">
        <v>-19</v>
      </c>
      <c r="CP32" s="52">
        <v>-94</v>
      </c>
      <c r="CQ32" s="52">
        <v>0</v>
      </c>
      <c r="CR32" s="52">
        <v>0</v>
      </c>
      <c r="CS32" s="52">
        <v>-19</v>
      </c>
      <c r="CT32" s="52">
        <v>-19</v>
      </c>
      <c r="CU32" s="52">
        <v>-19</v>
      </c>
      <c r="CV32" s="52">
        <v>-19</v>
      </c>
      <c r="CW32" s="52">
        <v>-94</v>
      </c>
      <c r="CX32" s="52">
        <v>0</v>
      </c>
      <c r="CY32" s="52">
        <v>0</v>
      </c>
      <c r="CZ32" s="52">
        <v>-4519</v>
      </c>
      <c r="DA32" s="52">
        <v>-19</v>
      </c>
      <c r="DB32" s="52">
        <v>5981</v>
      </c>
      <c r="DC32" s="52">
        <v>-19</v>
      </c>
      <c r="DD32" s="52">
        <v>-94</v>
      </c>
      <c r="DE32" s="52">
        <v>-500</v>
      </c>
      <c r="DF32" s="52">
        <v>0</v>
      </c>
      <c r="DG32" s="52">
        <v>-19</v>
      </c>
      <c r="DH32" s="52">
        <v>-19</v>
      </c>
      <c r="DI32" s="52">
        <v>-19</v>
      </c>
      <c r="DJ32" s="52">
        <v>-19</v>
      </c>
      <c r="DK32" s="52">
        <v>-94</v>
      </c>
      <c r="DL32" s="52">
        <v>0</v>
      </c>
      <c r="DM32" s="52">
        <v>0</v>
      </c>
      <c r="DN32" s="52">
        <v>-19</v>
      </c>
      <c r="DO32" s="52">
        <v>-19</v>
      </c>
      <c r="DP32" s="52">
        <v>5981</v>
      </c>
      <c r="DQ32" s="52">
        <v>-19</v>
      </c>
      <c r="DR32" s="52">
        <v>-94</v>
      </c>
      <c r="DS32" s="52">
        <v>0</v>
      </c>
      <c r="DT32" s="52">
        <v>0</v>
      </c>
      <c r="DU32" s="52">
        <v>-19</v>
      </c>
      <c r="DV32" s="52">
        <v>-19</v>
      </c>
      <c r="DW32" s="52">
        <v>-19</v>
      </c>
      <c r="DX32" s="52">
        <v>-19</v>
      </c>
      <c r="DY32" s="52">
        <v>-94</v>
      </c>
      <c r="DZ32" s="52">
        <v>0</v>
      </c>
      <c r="EA32" s="52">
        <v>0</v>
      </c>
      <c r="EB32" s="52">
        <v>-19</v>
      </c>
      <c r="EC32" s="52">
        <v>-19</v>
      </c>
      <c r="ED32" s="52">
        <v>5981</v>
      </c>
      <c r="EE32" s="52">
        <v>-4519</v>
      </c>
      <c r="EF32" s="52">
        <v>-94</v>
      </c>
      <c r="EG32" s="52">
        <v>0</v>
      </c>
      <c r="EH32" s="52">
        <v>0</v>
      </c>
      <c r="EI32" s="52">
        <v>-19</v>
      </c>
      <c r="EJ32" s="52">
        <v>-19</v>
      </c>
      <c r="EK32" s="52">
        <v>-19</v>
      </c>
      <c r="EL32" s="52">
        <v>-19</v>
      </c>
      <c r="EM32" s="52">
        <v>-94</v>
      </c>
      <c r="EN32" s="52">
        <v>0</v>
      </c>
      <c r="EO32" s="52">
        <v>0</v>
      </c>
      <c r="EP32" s="52">
        <v>-19</v>
      </c>
      <c r="EQ32" s="52">
        <v>-19</v>
      </c>
      <c r="ER32" s="52">
        <v>5981</v>
      </c>
      <c r="ES32" s="52">
        <v>-19</v>
      </c>
      <c r="ET32" s="52">
        <v>-94</v>
      </c>
      <c r="EU32" s="52">
        <v>0</v>
      </c>
      <c r="EV32" s="52">
        <v>0</v>
      </c>
      <c r="EW32" s="52">
        <v>-19</v>
      </c>
      <c r="EX32" s="52">
        <v>-19</v>
      </c>
      <c r="EY32" s="52">
        <v>-19</v>
      </c>
      <c r="EZ32" s="52">
        <v>-19</v>
      </c>
      <c r="FA32" s="52">
        <v>-94</v>
      </c>
      <c r="FB32" s="52">
        <v>0</v>
      </c>
      <c r="FC32" s="52">
        <v>0</v>
      </c>
      <c r="FD32" s="52">
        <v>-19</v>
      </c>
      <c r="FE32" s="52">
        <v>-19</v>
      </c>
      <c r="FF32" s="52">
        <v>5981</v>
      </c>
      <c r="FG32" s="52">
        <v>-19</v>
      </c>
      <c r="FH32" s="52">
        <v>-94</v>
      </c>
      <c r="FI32" s="52">
        <v>-4500</v>
      </c>
      <c r="FJ32" s="52">
        <v>0</v>
      </c>
      <c r="FK32" s="52">
        <v>-19</v>
      </c>
      <c r="FL32" s="52">
        <v>-19</v>
      </c>
      <c r="FM32" s="52">
        <v>-19</v>
      </c>
      <c r="FN32" s="52">
        <v>-19</v>
      </c>
      <c r="FO32" s="52">
        <v>-94</v>
      </c>
      <c r="FP32" s="52">
        <v>0</v>
      </c>
      <c r="FQ32" s="52">
        <v>0</v>
      </c>
      <c r="FR32" s="52">
        <v>-19</v>
      </c>
      <c r="FS32" s="52">
        <v>-19</v>
      </c>
      <c r="FT32" s="52">
        <v>5981</v>
      </c>
      <c r="FU32" s="52">
        <v>-19</v>
      </c>
      <c r="FV32" s="52">
        <v>-94</v>
      </c>
      <c r="FW32" s="52">
        <v>0</v>
      </c>
      <c r="FX32" s="52">
        <v>0</v>
      </c>
      <c r="FY32" s="52">
        <v>-19</v>
      </c>
      <c r="FZ32" s="52">
        <v>-19</v>
      </c>
      <c r="GA32" s="52">
        <v>-19</v>
      </c>
      <c r="GB32" s="52">
        <v>-19</v>
      </c>
      <c r="GC32" s="52">
        <v>-94</v>
      </c>
      <c r="GD32" s="52">
        <v>0</v>
      </c>
      <c r="GE32" s="52">
        <v>0</v>
      </c>
      <c r="GF32" s="52">
        <v>-19</v>
      </c>
      <c r="GG32" s="52">
        <v>-19</v>
      </c>
      <c r="GH32" s="52">
        <v>5981</v>
      </c>
      <c r="GI32" s="52">
        <v>-19</v>
      </c>
      <c r="GJ32" s="52">
        <v>-2094</v>
      </c>
      <c r="GK32" s="52">
        <v>0</v>
      </c>
      <c r="GL32" s="52">
        <v>0</v>
      </c>
      <c r="GM32" s="52">
        <v>-19</v>
      </c>
      <c r="GN32" s="52">
        <v>-4519</v>
      </c>
      <c r="GO32" s="52">
        <v>-19</v>
      </c>
      <c r="GP32" s="52">
        <v>-19</v>
      </c>
      <c r="GQ32" s="52">
        <v>-94</v>
      </c>
      <c r="GR32" s="52">
        <v>0</v>
      </c>
      <c r="GS32" s="52">
        <v>-500</v>
      </c>
      <c r="GT32" s="52">
        <v>-19</v>
      </c>
      <c r="GU32" s="52">
        <v>-19</v>
      </c>
      <c r="GV32" s="52">
        <v>5981</v>
      </c>
      <c r="GW32" s="52">
        <v>-19</v>
      </c>
      <c r="GX32" s="52">
        <v>-94</v>
      </c>
      <c r="GY32" s="52">
        <v>0</v>
      </c>
      <c r="GZ32" s="52">
        <v>0</v>
      </c>
      <c r="HA32" s="52">
        <v>-19</v>
      </c>
      <c r="HB32" s="52">
        <v>-19</v>
      </c>
      <c r="HC32" s="52">
        <v>-19</v>
      </c>
      <c r="HD32" s="52">
        <v>-19</v>
      </c>
      <c r="HE32" s="52">
        <v>-94</v>
      </c>
      <c r="HF32" s="52">
        <v>0</v>
      </c>
      <c r="HG32" s="52">
        <v>0</v>
      </c>
      <c r="HH32" s="52">
        <v>-19</v>
      </c>
      <c r="HI32" s="52">
        <v>-19</v>
      </c>
      <c r="HJ32" s="52">
        <v>5981</v>
      </c>
      <c r="HK32" s="52">
        <v>-19</v>
      </c>
      <c r="HL32" s="52">
        <v>-94</v>
      </c>
      <c r="HM32" s="52">
        <v>0</v>
      </c>
      <c r="HN32" s="52">
        <v>0</v>
      </c>
      <c r="HO32" s="52">
        <v>-19</v>
      </c>
      <c r="HP32" s="52">
        <v>-19</v>
      </c>
      <c r="HQ32" s="52">
        <v>-19</v>
      </c>
      <c r="HR32" s="52">
        <v>-19</v>
      </c>
      <c r="HS32" s="52">
        <v>-4594</v>
      </c>
      <c r="HT32" s="52">
        <v>0</v>
      </c>
      <c r="HU32" s="52">
        <v>0</v>
      </c>
      <c r="HV32" s="52">
        <v>-19</v>
      </c>
      <c r="HW32" s="52">
        <v>-19</v>
      </c>
      <c r="HX32" s="52">
        <v>5981</v>
      </c>
      <c r="HY32" s="52">
        <v>-19</v>
      </c>
      <c r="HZ32" s="52">
        <v>-94</v>
      </c>
      <c r="IA32" s="52">
        <v>0</v>
      </c>
      <c r="IB32" s="52">
        <v>0</v>
      </c>
      <c r="IC32" s="52">
        <v>-19</v>
      </c>
      <c r="ID32" s="52">
        <v>-19</v>
      </c>
      <c r="IE32" s="52">
        <v>-19</v>
      </c>
      <c r="IF32" s="52">
        <v>-19</v>
      </c>
      <c r="IG32" s="52">
        <v>-94</v>
      </c>
      <c r="IH32" s="52">
        <v>0</v>
      </c>
      <c r="II32" s="52">
        <v>0</v>
      </c>
      <c r="IJ32" s="52">
        <v>-19</v>
      </c>
      <c r="IK32" s="52">
        <v>-19</v>
      </c>
      <c r="IL32" s="52">
        <v>5981</v>
      </c>
      <c r="IM32" s="52">
        <v>-19</v>
      </c>
      <c r="IN32" s="52">
        <v>-94</v>
      </c>
      <c r="IO32" s="52">
        <v>0</v>
      </c>
      <c r="IP32" s="52">
        <v>0</v>
      </c>
      <c r="IQ32" s="52">
        <v>-19</v>
      </c>
      <c r="IR32" s="52">
        <v>-19</v>
      </c>
      <c r="IS32" s="52">
        <v>-19</v>
      </c>
      <c r="IT32" s="52">
        <v>-19</v>
      </c>
      <c r="IU32" s="52">
        <v>-4594</v>
      </c>
      <c r="IV32" s="52">
        <v>0</v>
      </c>
      <c r="IW32" s="52">
        <v>0</v>
      </c>
      <c r="IX32" s="52">
        <v>-19</v>
      </c>
      <c r="IY32" s="52">
        <v>-19</v>
      </c>
      <c r="IZ32" s="52">
        <v>5981</v>
      </c>
      <c r="JA32" s="52">
        <v>-19</v>
      </c>
      <c r="JB32" s="52">
        <v>-94</v>
      </c>
      <c r="JC32" s="52">
        <v>0</v>
      </c>
      <c r="JD32" s="52">
        <v>0</v>
      </c>
      <c r="JE32" s="52">
        <v>-19</v>
      </c>
      <c r="JF32" s="52">
        <v>-19</v>
      </c>
      <c r="JG32" s="52">
        <v>-19</v>
      </c>
      <c r="JH32" s="52">
        <v>-19</v>
      </c>
      <c r="JI32" s="52">
        <v>-94</v>
      </c>
      <c r="JJ32" s="52">
        <v>0</v>
      </c>
      <c r="JK32" s="52">
        <v>0</v>
      </c>
      <c r="JL32" s="52">
        <v>-19</v>
      </c>
      <c r="JM32" s="52">
        <v>-19</v>
      </c>
      <c r="JN32" s="52">
        <v>5981</v>
      </c>
      <c r="JO32" s="52">
        <v>-19</v>
      </c>
      <c r="JP32" s="52">
        <v>-94</v>
      </c>
      <c r="JQ32" s="52">
        <v>0</v>
      </c>
      <c r="JR32" s="52">
        <v>0</v>
      </c>
      <c r="JS32" s="52">
        <v>-19</v>
      </c>
      <c r="JT32" s="52">
        <v>-19</v>
      </c>
      <c r="JU32" s="52">
        <v>-19</v>
      </c>
      <c r="JV32" s="52">
        <v>-19</v>
      </c>
      <c r="JW32" s="52">
        <v>-94</v>
      </c>
      <c r="JX32" s="52">
        <v>0</v>
      </c>
      <c r="JY32" s="52">
        <v>0</v>
      </c>
      <c r="JZ32" s="52">
        <v>-4519</v>
      </c>
      <c r="KA32" s="52">
        <v>-19</v>
      </c>
      <c r="KB32" s="52">
        <v>5981</v>
      </c>
      <c r="KC32" s="52">
        <v>-19</v>
      </c>
      <c r="KD32" s="52">
        <v>-94</v>
      </c>
      <c r="KE32" s="52">
        <v>-500</v>
      </c>
      <c r="KF32" s="52">
        <v>0</v>
      </c>
      <c r="KG32" s="52">
        <v>-19</v>
      </c>
      <c r="KH32" s="52">
        <v>-19</v>
      </c>
      <c r="KI32" s="52">
        <v>-19</v>
      </c>
      <c r="KJ32" s="52">
        <v>-19</v>
      </c>
      <c r="KK32" s="52">
        <v>-94</v>
      </c>
      <c r="KL32" s="52">
        <v>0</v>
      </c>
      <c r="KM32" s="52">
        <v>0</v>
      </c>
      <c r="KN32" s="52">
        <v>-19</v>
      </c>
      <c r="KO32" s="52">
        <v>-19</v>
      </c>
      <c r="KP32" s="52">
        <v>5981</v>
      </c>
      <c r="KQ32" s="52">
        <v>-19</v>
      </c>
      <c r="KR32" s="52">
        <v>-94</v>
      </c>
      <c r="KS32" s="52">
        <v>0</v>
      </c>
      <c r="KT32" s="52">
        <v>0</v>
      </c>
      <c r="KU32" s="52">
        <v>-19</v>
      </c>
      <c r="KV32" s="52">
        <v>-19</v>
      </c>
      <c r="KW32" s="52">
        <v>-19</v>
      </c>
      <c r="KX32" s="52">
        <v>-19</v>
      </c>
      <c r="KY32" s="52">
        <v>-94</v>
      </c>
      <c r="KZ32" s="52">
        <v>0</v>
      </c>
      <c r="LA32" s="52">
        <v>0</v>
      </c>
      <c r="LB32" s="52">
        <v>-19</v>
      </c>
      <c r="LC32" s="52">
        <v>-19</v>
      </c>
      <c r="LD32" s="52">
        <v>1481</v>
      </c>
      <c r="LE32" s="52">
        <v>-19</v>
      </c>
      <c r="LF32" s="52">
        <v>-94</v>
      </c>
      <c r="LG32" s="52">
        <v>0</v>
      </c>
      <c r="LH32" s="52">
        <v>0</v>
      </c>
      <c r="LI32" s="52">
        <v>-19</v>
      </c>
      <c r="LJ32" s="52">
        <v>-19</v>
      </c>
      <c r="LK32" s="52">
        <v>-19</v>
      </c>
      <c r="LL32" s="52">
        <v>-19</v>
      </c>
      <c r="LM32" s="52">
        <v>-94</v>
      </c>
      <c r="LN32" s="52">
        <v>0</v>
      </c>
      <c r="LO32" s="52">
        <v>0</v>
      </c>
      <c r="LP32" s="52">
        <v>-19</v>
      </c>
      <c r="LQ32" s="52">
        <v>-19</v>
      </c>
      <c r="LR32" s="52">
        <v>5981</v>
      </c>
      <c r="LS32" s="52">
        <v>-19</v>
      </c>
      <c r="LT32" s="52">
        <v>-94</v>
      </c>
      <c r="LU32" s="52">
        <v>0</v>
      </c>
      <c r="LV32" s="52">
        <v>0</v>
      </c>
      <c r="LW32" s="52">
        <v>-19</v>
      </c>
      <c r="LX32" s="52">
        <v>-19</v>
      </c>
      <c r="LY32" s="52">
        <v>-19</v>
      </c>
      <c r="LZ32" s="52">
        <v>-19</v>
      </c>
      <c r="MA32" s="52">
        <v>-94</v>
      </c>
      <c r="MB32" s="52">
        <v>0</v>
      </c>
      <c r="MC32" s="52">
        <v>0</v>
      </c>
      <c r="MD32" s="52">
        <v>-19</v>
      </c>
      <c r="ME32" s="52">
        <v>-19</v>
      </c>
      <c r="MF32" s="52">
        <v>5981</v>
      </c>
      <c r="MG32" s="52">
        <v>-19</v>
      </c>
      <c r="MH32" s="52">
        <v>-94</v>
      </c>
      <c r="MI32" s="52">
        <v>-4500</v>
      </c>
      <c r="MJ32" s="52">
        <v>0</v>
      </c>
      <c r="MK32" s="52">
        <v>-19</v>
      </c>
      <c r="ML32" s="52">
        <v>-19</v>
      </c>
      <c r="MM32" s="52">
        <v>-19</v>
      </c>
      <c r="MN32" s="52">
        <v>-19</v>
      </c>
      <c r="MO32" s="52">
        <v>-94</v>
      </c>
      <c r="MP32" s="52">
        <v>0</v>
      </c>
      <c r="MQ32" s="52">
        <v>0</v>
      </c>
      <c r="MR32" s="52">
        <v>-19</v>
      </c>
      <c r="MS32" s="52">
        <v>-19</v>
      </c>
      <c r="MT32" s="52">
        <v>5981</v>
      </c>
      <c r="MU32" s="52">
        <v>-19</v>
      </c>
      <c r="MV32" s="52">
        <v>-94</v>
      </c>
      <c r="MW32" s="52">
        <v>0</v>
      </c>
      <c r="MX32" s="52">
        <v>0</v>
      </c>
      <c r="MY32" s="52">
        <v>-19</v>
      </c>
      <c r="MZ32" s="52">
        <v>-19</v>
      </c>
      <c r="NA32" s="52">
        <v>-19</v>
      </c>
      <c r="NB32" s="52">
        <v>-19</v>
      </c>
      <c r="NC32" s="52">
        <v>-94</v>
      </c>
      <c r="ND32" s="52">
        <v>0</v>
      </c>
      <c r="NE32" s="52">
        <v>0</v>
      </c>
      <c r="NF32" s="52">
        <v>-19</v>
      </c>
      <c r="NG32" s="52">
        <v>-19</v>
      </c>
      <c r="NH32" s="52">
        <v>5981</v>
      </c>
    </row>
    <row r="33" spans="1:372" x14ac:dyDescent="0.25">
      <c r="A33" s="38" t="s">
        <v>7</v>
      </c>
      <c r="B33" s="39" t="s">
        <v>125</v>
      </c>
      <c r="C33" s="39" t="s">
        <v>98</v>
      </c>
      <c r="D33" s="40" t="s">
        <v>99</v>
      </c>
      <c r="E33" s="38" t="s">
        <v>100</v>
      </c>
      <c r="G33" s="48" t="s">
        <v>123</v>
      </c>
      <c r="H33" s="49" cm="1">
        <f t="array" ref="H33:NH33">oz.Timelineλ("1/7/2026", 365, "D")</f>
        <v>46204</v>
      </c>
      <c r="I33" s="49">
        <v>46205</v>
      </c>
      <c r="J33" s="49">
        <v>46206</v>
      </c>
      <c r="K33" s="49">
        <v>46207</v>
      </c>
      <c r="L33" s="49">
        <v>46208</v>
      </c>
      <c r="M33" s="49">
        <v>46209</v>
      </c>
      <c r="N33" s="49">
        <v>46210</v>
      </c>
      <c r="O33" s="49">
        <v>46211</v>
      </c>
      <c r="P33" s="49">
        <v>46212</v>
      </c>
      <c r="Q33" s="49">
        <v>46213</v>
      </c>
      <c r="R33" s="49">
        <v>46214</v>
      </c>
      <c r="S33" s="49">
        <v>46215</v>
      </c>
      <c r="T33" s="49">
        <v>46216</v>
      </c>
      <c r="U33" s="49">
        <v>46217</v>
      </c>
      <c r="V33" s="49">
        <v>46218</v>
      </c>
      <c r="W33" s="49">
        <v>46219</v>
      </c>
      <c r="X33" s="49">
        <v>46220</v>
      </c>
      <c r="Y33" s="49">
        <v>46221</v>
      </c>
      <c r="Z33" s="49">
        <v>46222</v>
      </c>
      <c r="AA33" s="49">
        <v>46223</v>
      </c>
      <c r="AB33" s="49">
        <v>46224</v>
      </c>
      <c r="AC33" s="49">
        <v>46225</v>
      </c>
      <c r="AD33" s="49">
        <v>46226</v>
      </c>
      <c r="AE33" s="49">
        <v>46227</v>
      </c>
      <c r="AF33" s="49">
        <v>46228</v>
      </c>
      <c r="AG33" s="49">
        <v>46229</v>
      </c>
      <c r="AH33" s="49">
        <v>46230</v>
      </c>
      <c r="AI33" s="49">
        <v>46231</v>
      </c>
      <c r="AJ33" s="49">
        <v>46232</v>
      </c>
      <c r="AK33" s="49">
        <v>46233</v>
      </c>
      <c r="AL33" s="49">
        <v>46234</v>
      </c>
      <c r="AM33" s="49">
        <v>46235</v>
      </c>
      <c r="AN33" s="49">
        <v>46236</v>
      </c>
      <c r="AO33" s="49">
        <v>46237</v>
      </c>
      <c r="AP33" s="49">
        <v>46238</v>
      </c>
      <c r="AQ33" s="49">
        <v>46239</v>
      </c>
      <c r="AR33" s="49">
        <v>46240</v>
      </c>
      <c r="AS33" s="49">
        <v>46241</v>
      </c>
      <c r="AT33" s="49">
        <v>46242</v>
      </c>
      <c r="AU33" s="49">
        <v>46243</v>
      </c>
      <c r="AV33" s="49">
        <v>46244</v>
      </c>
      <c r="AW33" s="49">
        <v>46245</v>
      </c>
      <c r="AX33" s="49">
        <v>46246</v>
      </c>
      <c r="AY33" s="49">
        <v>46247</v>
      </c>
      <c r="AZ33" s="49">
        <v>46248</v>
      </c>
      <c r="BA33" s="49">
        <v>46249</v>
      </c>
      <c r="BB33" s="49">
        <v>46250</v>
      </c>
      <c r="BC33" s="49">
        <v>46251</v>
      </c>
      <c r="BD33" s="49">
        <v>46252</v>
      </c>
      <c r="BE33" s="49">
        <v>46253</v>
      </c>
      <c r="BF33" s="49">
        <v>46254</v>
      </c>
      <c r="BG33" s="49">
        <v>46255</v>
      </c>
      <c r="BH33" s="49">
        <v>46256</v>
      </c>
      <c r="BI33" s="49">
        <v>46257</v>
      </c>
      <c r="BJ33" s="49">
        <v>46258</v>
      </c>
      <c r="BK33" s="49">
        <v>46259</v>
      </c>
      <c r="BL33" s="49">
        <v>46260</v>
      </c>
      <c r="BM33" s="49">
        <v>46261</v>
      </c>
      <c r="BN33" s="49">
        <v>46262</v>
      </c>
      <c r="BO33" s="49">
        <v>46263</v>
      </c>
      <c r="BP33" s="49">
        <v>46264</v>
      </c>
      <c r="BQ33" s="49">
        <v>46265</v>
      </c>
      <c r="BR33" s="49">
        <v>46266</v>
      </c>
      <c r="BS33" s="49">
        <v>46267</v>
      </c>
      <c r="BT33" s="49">
        <v>46268</v>
      </c>
      <c r="BU33" s="49">
        <v>46269</v>
      </c>
      <c r="BV33" s="49">
        <v>46270</v>
      </c>
      <c r="BW33" s="49">
        <v>46271</v>
      </c>
      <c r="BX33" s="49">
        <v>46272</v>
      </c>
      <c r="BY33" s="49">
        <v>46273</v>
      </c>
      <c r="BZ33" s="49">
        <v>46274</v>
      </c>
      <c r="CA33" s="49">
        <v>46275</v>
      </c>
      <c r="CB33" s="49">
        <v>46276</v>
      </c>
      <c r="CC33" s="49">
        <v>46277</v>
      </c>
      <c r="CD33" s="49">
        <v>46278</v>
      </c>
      <c r="CE33" s="49">
        <v>46279</v>
      </c>
      <c r="CF33" s="49">
        <v>46280</v>
      </c>
      <c r="CG33" s="49">
        <v>46281</v>
      </c>
      <c r="CH33" s="49">
        <v>46282</v>
      </c>
      <c r="CI33" s="49">
        <v>46283</v>
      </c>
      <c r="CJ33" s="49">
        <v>46284</v>
      </c>
      <c r="CK33" s="49">
        <v>46285</v>
      </c>
      <c r="CL33" s="49">
        <v>46286</v>
      </c>
      <c r="CM33" s="49">
        <v>46287</v>
      </c>
      <c r="CN33" s="49">
        <v>46288</v>
      </c>
      <c r="CO33" s="49">
        <v>46289</v>
      </c>
      <c r="CP33" s="49">
        <v>46290</v>
      </c>
      <c r="CQ33" s="49">
        <v>46291</v>
      </c>
      <c r="CR33" s="49">
        <v>46292</v>
      </c>
      <c r="CS33" s="49">
        <v>46293</v>
      </c>
      <c r="CT33" s="49">
        <v>46294</v>
      </c>
      <c r="CU33" s="49">
        <v>46295</v>
      </c>
      <c r="CV33" s="49">
        <v>46296</v>
      </c>
      <c r="CW33" s="49">
        <v>46297</v>
      </c>
      <c r="CX33" s="49">
        <v>46298</v>
      </c>
      <c r="CY33" s="49">
        <v>46299</v>
      </c>
      <c r="CZ33" s="49">
        <v>46300</v>
      </c>
      <c r="DA33" s="49">
        <v>46301</v>
      </c>
      <c r="DB33" s="49">
        <v>46302</v>
      </c>
      <c r="DC33" s="49">
        <v>46303</v>
      </c>
      <c r="DD33" s="49">
        <v>46304</v>
      </c>
      <c r="DE33" s="49">
        <v>46305</v>
      </c>
      <c r="DF33" s="49">
        <v>46306</v>
      </c>
      <c r="DG33" s="49">
        <v>46307</v>
      </c>
      <c r="DH33" s="49">
        <v>46308</v>
      </c>
      <c r="DI33" s="49">
        <v>46309</v>
      </c>
      <c r="DJ33" s="49">
        <v>46310</v>
      </c>
      <c r="DK33" s="49">
        <v>46311</v>
      </c>
      <c r="DL33" s="49">
        <v>46312</v>
      </c>
      <c r="DM33" s="49">
        <v>46313</v>
      </c>
      <c r="DN33" s="49">
        <v>46314</v>
      </c>
      <c r="DO33" s="49">
        <v>46315</v>
      </c>
      <c r="DP33" s="49">
        <v>46316</v>
      </c>
      <c r="DQ33" s="49">
        <v>46317</v>
      </c>
      <c r="DR33" s="49">
        <v>46318</v>
      </c>
      <c r="DS33" s="49">
        <v>46319</v>
      </c>
      <c r="DT33" s="49">
        <v>46320</v>
      </c>
      <c r="DU33" s="49">
        <v>46321</v>
      </c>
      <c r="DV33" s="49">
        <v>46322</v>
      </c>
      <c r="DW33" s="49">
        <v>46323</v>
      </c>
      <c r="DX33" s="49">
        <v>46324</v>
      </c>
      <c r="DY33" s="49">
        <v>46325</v>
      </c>
      <c r="DZ33" s="49">
        <v>46326</v>
      </c>
      <c r="EA33" s="49">
        <v>46327</v>
      </c>
      <c r="EB33" s="49">
        <v>46328</v>
      </c>
      <c r="EC33" s="49">
        <v>46329</v>
      </c>
      <c r="ED33" s="49">
        <v>46330</v>
      </c>
      <c r="EE33" s="49">
        <v>46331</v>
      </c>
      <c r="EF33" s="49">
        <v>46332</v>
      </c>
      <c r="EG33" s="49">
        <v>46333</v>
      </c>
      <c r="EH33" s="49">
        <v>46334</v>
      </c>
      <c r="EI33" s="49">
        <v>46335</v>
      </c>
      <c r="EJ33" s="49">
        <v>46336</v>
      </c>
      <c r="EK33" s="49">
        <v>46337</v>
      </c>
      <c r="EL33" s="49">
        <v>46338</v>
      </c>
      <c r="EM33" s="49">
        <v>46339</v>
      </c>
      <c r="EN33" s="49">
        <v>46340</v>
      </c>
      <c r="EO33" s="49">
        <v>46341</v>
      </c>
      <c r="EP33" s="49">
        <v>46342</v>
      </c>
      <c r="EQ33" s="49">
        <v>46343</v>
      </c>
      <c r="ER33" s="49">
        <v>46344</v>
      </c>
      <c r="ES33" s="49">
        <v>46345</v>
      </c>
      <c r="ET33" s="49">
        <v>46346</v>
      </c>
      <c r="EU33" s="49">
        <v>46347</v>
      </c>
      <c r="EV33" s="49">
        <v>46348</v>
      </c>
      <c r="EW33" s="49">
        <v>46349</v>
      </c>
      <c r="EX33" s="49">
        <v>46350</v>
      </c>
      <c r="EY33" s="49">
        <v>46351</v>
      </c>
      <c r="EZ33" s="49">
        <v>46352</v>
      </c>
      <c r="FA33" s="49">
        <v>46353</v>
      </c>
      <c r="FB33" s="49">
        <v>46354</v>
      </c>
      <c r="FC33" s="49">
        <v>46355</v>
      </c>
      <c r="FD33" s="49">
        <v>46356</v>
      </c>
      <c r="FE33" s="49">
        <v>46357</v>
      </c>
      <c r="FF33" s="49">
        <v>46358</v>
      </c>
      <c r="FG33" s="49">
        <v>46359</v>
      </c>
      <c r="FH33" s="49">
        <v>46360</v>
      </c>
      <c r="FI33" s="49">
        <v>46361</v>
      </c>
      <c r="FJ33" s="49">
        <v>46362</v>
      </c>
      <c r="FK33" s="49">
        <v>46363</v>
      </c>
      <c r="FL33" s="49">
        <v>46364</v>
      </c>
      <c r="FM33" s="49">
        <v>46365</v>
      </c>
      <c r="FN33" s="49">
        <v>46366</v>
      </c>
      <c r="FO33" s="49">
        <v>46367</v>
      </c>
      <c r="FP33" s="49">
        <v>46368</v>
      </c>
      <c r="FQ33" s="49">
        <v>46369</v>
      </c>
      <c r="FR33" s="49">
        <v>46370</v>
      </c>
      <c r="FS33" s="49">
        <v>46371</v>
      </c>
      <c r="FT33" s="49">
        <v>46372</v>
      </c>
      <c r="FU33" s="49">
        <v>46373</v>
      </c>
      <c r="FV33" s="49">
        <v>46374</v>
      </c>
      <c r="FW33" s="49">
        <v>46375</v>
      </c>
      <c r="FX33" s="49">
        <v>46376</v>
      </c>
      <c r="FY33" s="49">
        <v>46377</v>
      </c>
      <c r="FZ33" s="49">
        <v>46378</v>
      </c>
      <c r="GA33" s="49">
        <v>46379</v>
      </c>
      <c r="GB33" s="49">
        <v>46380</v>
      </c>
      <c r="GC33" s="49">
        <v>46381</v>
      </c>
      <c r="GD33" s="49">
        <v>46382</v>
      </c>
      <c r="GE33" s="49">
        <v>46383</v>
      </c>
      <c r="GF33" s="49">
        <v>46384</v>
      </c>
      <c r="GG33" s="49">
        <v>46385</v>
      </c>
      <c r="GH33" s="49">
        <v>46386</v>
      </c>
      <c r="GI33" s="49">
        <v>46387</v>
      </c>
      <c r="GJ33" s="49">
        <v>46388</v>
      </c>
      <c r="GK33" s="49">
        <v>46389</v>
      </c>
      <c r="GL33" s="49">
        <v>46390</v>
      </c>
      <c r="GM33" s="49">
        <v>46391</v>
      </c>
      <c r="GN33" s="49">
        <v>46392</v>
      </c>
      <c r="GO33" s="49">
        <v>46393</v>
      </c>
      <c r="GP33" s="49">
        <v>46394</v>
      </c>
      <c r="GQ33" s="49">
        <v>46395</v>
      </c>
      <c r="GR33" s="49">
        <v>46396</v>
      </c>
      <c r="GS33" s="49">
        <v>46397</v>
      </c>
      <c r="GT33" s="49">
        <v>46398</v>
      </c>
      <c r="GU33" s="49">
        <v>46399</v>
      </c>
      <c r="GV33" s="49">
        <v>46400</v>
      </c>
      <c r="GW33" s="49">
        <v>46401</v>
      </c>
      <c r="GX33" s="49">
        <v>46402</v>
      </c>
      <c r="GY33" s="49">
        <v>46403</v>
      </c>
      <c r="GZ33" s="49">
        <v>46404</v>
      </c>
      <c r="HA33" s="49">
        <v>46405</v>
      </c>
      <c r="HB33" s="49">
        <v>46406</v>
      </c>
      <c r="HC33" s="49">
        <v>46407</v>
      </c>
      <c r="HD33" s="49">
        <v>46408</v>
      </c>
      <c r="HE33" s="49">
        <v>46409</v>
      </c>
      <c r="HF33" s="49">
        <v>46410</v>
      </c>
      <c r="HG33" s="49">
        <v>46411</v>
      </c>
      <c r="HH33" s="49">
        <v>46412</v>
      </c>
      <c r="HI33" s="49">
        <v>46413</v>
      </c>
      <c r="HJ33" s="49">
        <v>46414</v>
      </c>
      <c r="HK33" s="49">
        <v>46415</v>
      </c>
      <c r="HL33" s="49">
        <v>46416</v>
      </c>
      <c r="HM33" s="49">
        <v>46417</v>
      </c>
      <c r="HN33" s="49">
        <v>46418</v>
      </c>
      <c r="HO33" s="49">
        <v>46419</v>
      </c>
      <c r="HP33" s="49">
        <v>46420</v>
      </c>
      <c r="HQ33" s="49">
        <v>46421</v>
      </c>
      <c r="HR33" s="49">
        <v>46422</v>
      </c>
      <c r="HS33" s="49">
        <v>46423</v>
      </c>
      <c r="HT33" s="49">
        <v>46424</v>
      </c>
      <c r="HU33" s="49">
        <v>46425</v>
      </c>
      <c r="HV33" s="49">
        <v>46426</v>
      </c>
      <c r="HW33" s="49">
        <v>46427</v>
      </c>
      <c r="HX33" s="49">
        <v>46428</v>
      </c>
      <c r="HY33" s="49">
        <v>46429</v>
      </c>
      <c r="HZ33" s="49">
        <v>46430</v>
      </c>
      <c r="IA33" s="49">
        <v>46431</v>
      </c>
      <c r="IB33" s="49">
        <v>46432</v>
      </c>
      <c r="IC33" s="49">
        <v>46433</v>
      </c>
      <c r="ID33" s="49">
        <v>46434</v>
      </c>
      <c r="IE33" s="49">
        <v>46435</v>
      </c>
      <c r="IF33" s="49">
        <v>46436</v>
      </c>
      <c r="IG33" s="49">
        <v>46437</v>
      </c>
      <c r="IH33" s="49">
        <v>46438</v>
      </c>
      <c r="II33" s="49">
        <v>46439</v>
      </c>
      <c r="IJ33" s="49">
        <v>46440</v>
      </c>
      <c r="IK33" s="49">
        <v>46441</v>
      </c>
      <c r="IL33" s="49">
        <v>46442</v>
      </c>
      <c r="IM33" s="49">
        <v>46443</v>
      </c>
      <c r="IN33" s="49">
        <v>46444</v>
      </c>
      <c r="IO33" s="49">
        <v>46445</v>
      </c>
      <c r="IP33" s="49">
        <v>46446</v>
      </c>
      <c r="IQ33" s="49">
        <v>46447</v>
      </c>
      <c r="IR33" s="49">
        <v>46448</v>
      </c>
      <c r="IS33" s="49">
        <v>46449</v>
      </c>
      <c r="IT33" s="49">
        <v>46450</v>
      </c>
      <c r="IU33" s="49">
        <v>46451</v>
      </c>
      <c r="IV33" s="49">
        <v>46452</v>
      </c>
      <c r="IW33" s="49">
        <v>46453</v>
      </c>
      <c r="IX33" s="49">
        <v>46454</v>
      </c>
      <c r="IY33" s="49">
        <v>46455</v>
      </c>
      <c r="IZ33" s="49">
        <v>46456</v>
      </c>
      <c r="JA33" s="49">
        <v>46457</v>
      </c>
      <c r="JB33" s="49">
        <v>46458</v>
      </c>
      <c r="JC33" s="49">
        <v>46459</v>
      </c>
      <c r="JD33" s="49">
        <v>46460</v>
      </c>
      <c r="JE33" s="49">
        <v>46461</v>
      </c>
      <c r="JF33" s="49">
        <v>46462</v>
      </c>
      <c r="JG33" s="49">
        <v>46463</v>
      </c>
      <c r="JH33" s="49">
        <v>46464</v>
      </c>
      <c r="JI33" s="49">
        <v>46465</v>
      </c>
      <c r="JJ33" s="49">
        <v>46466</v>
      </c>
      <c r="JK33" s="49">
        <v>46467</v>
      </c>
      <c r="JL33" s="49">
        <v>46468</v>
      </c>
      <c r="JM33" s="49">
        <v>46469</v>
      </c>
      <c r="JN33" s="49">
        <v>46470</v>
      </c>
      <c r="JO33" s="49">
        <v>46471</v>
      </c>
      <c r="JP33" s="49">
        <v>46472</v>
      </c>
      <c r="JQ33" s="49">
        <v>46473</v>
      </c>
      <c r="JR33" s="49">
        <v>46474</v>
      </c>
      <c r="JS33" s="49">
        <v>46475</v>
      </c>
      <c r="JT33" s="49">
        <v>46476</v>
      </c>
      <c r="JU33" s="49">
        <v>46477</v>
      </c>
      <c r="JV33" s="49">
        <v>46478</v>
      </c>
      <c r="JW33" s="49">
        <v>46479</v>
      </c>
      <c r="JX33" s="49">
        <v>46480</v>
      </c>
      <c r="JY33" s="49">
        <v>46481</v>
      </c>
      <c r="JZ33" s="49">
        <v>46482</v>
      </c>
      <c r="KA33" s="49">
        <v>46483</v>
      </c>
      <c r="KB33" s="49">
        <v>46484</v>
      </c>
      <c r="KC33" s="49">
        <v>46485</v>
      </c>
      <c r="KD33" s="49">
        <v>46486</v>
      </c>
      <c r="KE33" s="49">
        <v>46487</v>
      </c>
      <c r="KF33" s="49">
        <v>46488</v>
      </c>
      <c r="KG33" s="49">
        <v>46489</v>
      </c>
      <c r="KH33" s="49">
        <v>46490</v>
      </c>
      <c r="KI33" s="49">
        <v>46491</v>
      </c>
      <c r="KJ33" s="49">
        <v>46492</v>
      </c>
      <c r="KK33" s="49">
        <v>46493</v>
      </c>
      <c r="KL33" s="49">
        <v>46494</v>
      </c>
      <c r="KM33" s="49">
        <v>46495</v>
      </c>
      <c r="KN33" s="49">
        <v>46496</v>
      </c>
      <c r="KO33" s="49">
        <v>46497</v>
      </c>
      <c r="KP33" s="49">
        <v>46498</v>
      </c>
      <c r="KQ33" s="49">
        <v>46499</v>
      </c>
      <c r="KR33" s="49">
        <v>46500</v>
      </c>
      <c r="KS33" s="49">
        <v>46501</v>
      </c>
      <c r="KT33" s="49">
        <v>46502</v>
      </c>
      <c r="KU33" s="49">
        <v>46503</v>
      </c>
      <c r="KV33" s="49">
        <v>46504</v>
      </c>
      <c r="KW33" s="49">
        <v>46505</v>
      </c>
      <c r="KX33" s="49">
        <v>46506</v>
      </c>
      <c r="KY33" s="49">
        <v>46507</v>
      </c>
      <c r="KZ33" s="49">
        <v>46508</v>
      </c>
      <c r="LA33" s="49">
        <v>46509</v>
      </c>
      <c r="LB33" s="49">
        <v>46510</v>
      </c>
      <c r="LC33" s="49">
        <v>46511</v>
      </c>
      <c r="LD33" s="49">
        <v>46512</v>
      </c>
      <c r="LE33" s="49">
        <v>46513</v>
      </c>
      <c r="LF33" s="49">
        <v>46514</v>
      </c>
      <c r="LG33" s="49">
        <v>46515</v>
      </c>
      <c r="LH33" s="49">
        <v>46516</v>
      </c>
      <c r="LI33" s="49">
        <v>46517</v>
      </c>
      <c r="LJ33" s="49">
        <v>46518</v>
      </c>
      <c r="LK33" s="49">
        <v>46519</v>
      </c>
      <c r="LL33" s="49">
        <v>46520</v>
      </c>
      <c r="LM33" s="49">
        <v>46521</v>
      </c>
      <c r="LN33" s="49">
        <v>46522</v>
      </c>
      <c r="LO33" s="49">
        <v>46523</v>
      </c>
      <c r="LP33" s="49">
        <v>46524</v>
      </c>
      <c r="LQ33" s="49">
        <v>46525</v>
      </c>
      <c r="LR33" s="49">
        <v>46526</v>
      </c>
      <c r="LS33" s="49">
        <v>46527</v>
      </c>
      <c r="LT33" s="49">
        <v>46528</v>
      </c>
      <c r="LU33" s="49">
        <v>46529</v>
      </c>
      <c r="LV33" s="49">
        <v>46530</v>
      </c>
      <c r="LW33" s="49">
        <v>46531</v>
      </c>
      <c r="LX33" s="49">
        <v>46532</v>
      </c>
      <c r="LY33" s="49">
        <v>46533</v>
      </c>
      <c r="LZ33" s="49">
        <v>46534</v>
      </c>
      <c r="MA33" s="49">
        <v>46535</v>
      </c>
      <c r="MB33" s="49">
        <v>46536</v>
      </c>
      <c r="MC33" s="49">
        <v>46537</v>
      </c>
      <c r="MD33" s="49">
        <v>46538</v>
      </c>
      <c r="ME33" s="49">
        <v>46539</v>
      </c>
      <c r="MF33" s="49">
        <v>46540</v>
      </c>
      <c r="MG33" s="49">
        <v>46541</v>
      </c>
      <c r="MH33" s="49">
        <v>46542</v>
      </c>
      <c r="MI33" s="49">
        <v>46543</v>
      </c>
      <c r="MJ33" s="49">
        <v>46544</v>
      </c>
      <c r="MK33" s="49">
        <v>46545</v>
      </c>
      <c r="ML33" s="49">
        <v>46546</v>
      </c>
      <c r="MM33" s="49">
        <v>46547</v>
      </c>
      <c r="MN33" s="49">
        <v>46548</v>
      </c>
      <c r="MO33" s="49">
        <v>46549</v>
      </c>
      <c r="MP33" s="49">
        <v>46550</v>
      </c>
      <c r="MQ33" s="49">
        <v>46551</v>
      </c>
      <c r="MR33" s="49">
        <v>46552</v>
      </c>
      <c r="MS33" s="49">
        <v>46553</v>
      </c>
      <c r="MT33" s="49">
        <v>46554</v>
      </c>
      <c r="MU33" s="49">
        <v>46555</v>
      </c>
      <c r="MV33" s="49">
        <v>46556</v>
      </c>
      <c r="MW33" s="49">
        <v>46557</v>
      </c>
      <c r="MX33" s="49">
        <v>46558</v>
      </c>
      <c r="MY33" s="49">
        <v>46559</v>
      </c>
      <c r="MZ33" s="49">
        <v>46560</v>
      </c>
      <c r="NA33" s="49">
        <v>46561</v>
      </c>
      <c r="NB33" s="49">
        <v>46562</v>
      </c>
      <c r="NC33" s="49">
        <v>46563</v>
      </c>
      <c r="ND33" s="49">
        <v>46564</v>
      </c>
      <c r="NE33" s="49">
        <v>46565</v>
      </c>
      <c r="NF33" s="49">
        <v>46566</v>
      </c>
      <c r="NG33" s="49">
        <v>46567</v>
      </c>
      <c r="NH33" s="49">
        <v>46568</v>
      </c>
    </row>
    <row r="34" spans="1:372" x14ac:dyDescent="0.25">
      <c r="A34" s="31" t="s">
        <v>103</v>
      </c>
      <c r="B34" s="30">
        <v>6000</v>
      </c>
      <c r="C34" s="32" t="s">
        <v>101</v>
      </c>
      <c r="D34" s="33">
        <v>46204</v>
      </c>
      <c r="E34" s="33"/>
      <c r="G34" cm="1">
        <f t="array" ref="G34:G39">oz.SumRowsλ(_xlfn.ANCHORARRAY(H34))</f>
        <v>162000</v>
      </c>
      <c r="H34" s="35" cm="1">
        <f t="array" ref="H34:NH39">oz.IsOccurrenceDateλ(_xlfn.ANCHORARRAY(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31" t="s">
        <v>104</v>
      </c>
      <c r="B35" s="30">
        <v>-4500</v>
      </c>
      <c r="C35" s="32" t="s">
        <v>20</v>
      </c>
      <c r="D35" s="33">
        <v>46208</v>
      </c>
      <c r="E35" s="33">
        <v>48760</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0</v>
      </c>
      <c r="BU35">
        <v>0</v>
      </c>
      <c r="BV35">
        <v>-4500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0</v>
      </c>
      <c r="CZ35">
        <v>-4500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-4500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0</v>
      </c>
      <c r="FI35">
        <v>-4500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0</v>
      </c>
      <c r="GM35">
        <v>0</v>
      </c>
      <c r="GN35">
        <v>-4500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0</v>
      </c>
      <c r="HR35">
        <v>0</v>
      </c>
      <c r="HS35">
        <v>-4500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31" t="s">
        <v>105</v>
      </c>
      <c r="B36" s="30">
        <v>-2000</v>
      </c>
      <c r="C36" s="32" t="s">
        <v>106</v>
      </c>
      <c r="D36" s="33">
        <v>46204</v>
      </c>
      <c r="E36" s="33"/>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0</v>
      </c>
      <c r="GI36">
        <v>0</v>
      </c>
      <c r="GJ36">
        <v>-2000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31" t="s">
        <v>110</v>
      </c>
      <c r="B37" s="30">
        <v>-500</v>
      </c>
      <c r="C37" s="32" t="s">
        <v>109</v>
      </c>
      <c r="D37" s="33">
        <v>46213</v>
      </c>
      <c r="E37" s="33"/>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0</v>
      </c>
      <c r="DE37">
        <v>-500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0</v>
      </c>
      <c r="GR37">
        <v>0</v>
      </c>
      <c r="GS37">
        <v>-500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31" t="s">
        <v>108</v>
      </c>
      <c r="B38" s="30">
        <v>-75</v>
      </c>
      <c r="C38" s="32" t="s">
        <v>107</v>
      </c>
      <c r="D38" s="33">
        <v>46206</v>
      </c>
      <c r="E38" s="33"/>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5" t="s">
        <v>111</v>
      </c>
      <c r="B39" s="30">
        <v>-19</v>
      </c>
      <c r="C39" s="36" t="s">
        <v>102</v>
      </c>
      <c r="D39" s="37">
        <v>46204</v>
      </c>
      <c r="E39" s="37"/>
      <c r="G39">
        <v>-4959</v>
      </c>
      <c r="H39">
        <v>-19</v>
      </c>
      <c r="I39">
        <v>-19</v>
      </c>
      <c r="J39">
        <v>-19</v>
      </c>
      <c r="K39">
        <v>0</v>
      </c>
      <c r="L39">
        <v>0</v>
      </c>
      <c r="M39">
        <v>-19</v>
      </c>
      <c r="N39">
        <v>-19</v>
      </c>
      <c r="O39">
        <v>-19</v>
      </c>
      <c r="P39">
        <v>-19</v>
      </c>
      <c r="Q39">
        <v>-19</v>
      </c>
      <c r="R39">
        <v>0</v>
      </c>
      <c r="S39">
        <v>0</v>
      </c>
      <c r="T39">
        <v>-19</v>
      </c>
      <c r="U39">
        <v>-19</v>
      </c>
      <c r="V39">
        <v>-19</v>
      </c>
      <c r="W39">
        <v>-19</v>
      </c>
      <c r="X39">
        <v>-19</v>
      </c>
      <c r="Y39">
        <v>0</v>
      </c>
      <c r="Z39">
        <v>0</v>
      </c>
      <c r="AA39">
        <v>-19</v>
      </c>
      <c r="AB39">
        <v>-19</v>
      </c>
      <c r="AC39">
        <v>-19</v>
      </c>
      <c r="AD39">
        <v>-19</v>
      </c>
      <c r="AE39">
        <v>-19</v>
      </c>
      <c r="AF39">
        <v>0</v>
      </c>
      <c r="AG39">
        <v>0</v>
      </c>
      <c r="AH39">
        <v>-19</v>
      </c>
      <c r="AI39">
        <v>-19</v>
      </c>
      <c r="AJ39">
        <v>-19</v>
      </c>
      <c r="AK39">
        <v>-19</v>
      </c>
      <c r="AL39">
        <v>-19</v>
      </c>
      <c r="AM39">
        <v>0</v>
      </c>
      <c r="AN39">
        <v>0</v>
      </c>
      <c r="AO39">
        <v>-19</v>
      </c>
      <c r="AP39">
        <v>-19</v>
      </c>
      <c r="AQ39">
        <v>-19</v>
      </c>
      <c r="AR39">
        <v>-19</v>
      </c>
      <c r="AS39">
        <v>-19</v>
      </c>
      <c r="AT39">
        <v>0</v>
      </c>
      <c r="AU39">
        <v>0</v>
      </c>
      <c r="AV39">
        <v>-19</v>
      </c>
      <c r="AW39">
        <v>-19</v>
      </c>
      <c r="AX39">
        <v>-19</v>
      </c>
      <c r="AY39">
        <v>-19</v>
      </c>
      <c r="AZ39">
        <v>-19</v>
      </c>
      <c r="BA39">
        <v>0</v>
      </c>
      <c r="BB39">
        <v>0</v>
      </c>
      <c r="BC39">
        <v>-19</v>
      </c>
      <c r="BD39">
        <v>-19</v>
      </c>
      <c r="BE39">
        <v>-19</v>
      </c>
      <c r="BF39">
        <v>-19</v>
      </c>
      <c r="BG39">
        <v>-19</v>
      </c>
      <c r="BH39">
        <v>0</v>
      </c>
      <c r="BI39">
        <v>0</v>
      </c>
      <c r="BJ39">
        <v>-19</v>
      </c>
      <c r="BK39">
        <v>-19</v>
      </c>
      <c r="BL39">
        <v>-19</v>
      </c>
      <c r="BM39">
        <v>-19</v>
      </c>
      <c r="BN39">
        <v>-19</v>
      </c>
      <c r="BO39">
        <v>0</v>
      </c>
      <c r="BP39">
        <v>0</v>
      </c>
      <c r="BQ39">
        <v>-19</v>
      </c>
      <c r="BR39">
        <v>-19</v>
      </c>
      <c r="BS39">
        <v>-19</v>
      </c>
      <c r="BT39">
        <v>-19</v>
      </c>
      <c r="BU39">
        <v>-19</v>
      </c>
      <c r="BV39">
        <v>0</v>
      </c>
      <c r="BW39">
        <v>0</v>
      </c>
      <c r="BX39">
        <v>-19</v>
      </c>
      <c r="BY39">
        <v>-19</v>
      </c>
      <c r="BZ39">
        <v>-19</v>
      </c>
      <c r="CA39">
        <v>-19</v>
      </c>
      <c r="CB39">
        <v>-19</v>
      </c>
      <c r="CC39">
        <v>0</v>
      </c>
      <c r="CD39">
        <v>0</v>
      </c>
      <c r="CE39">
        <v>-19</v>
      </c>
      <c r="CF39">
        <v>-19</v>
      </c>
      <c r="CG39">
        <v>-19</v>
      </c>
      <c r="CH39">
        <v>-19</v>
      </c>
      <c r="CI39">
        <v>-19</v>
      </c>
      <c r="CJ39">
        <v>0</v>
      </c>
      <c r="CK39">
        <v>0</v>
      </c>
      <c r="CL39">
        <v>-19</v>
      </c>
      <c r="CM39">
        <v>-19</v>
      </c>
      <c r="CN39">
        <v>-19</v>
      </c>
      <c r="CO39">
        <v>-19</v>
      </c>
      <c r="CP39">
        <v>-19</v>
      </c>
      <c r="CQ39">
        <v>0</v>
      </c>
      <c r="CR39">
        <v>0</v>
      </c>
      <c r="CS39">
        <v>-19</v>
      </c>
      <c r="CT39">
        <v>-19</v>
      </c>
      <c r="CU39">
        <v>-19</v>
      </c>
      <c r="CV39">
        <v>-19</v>
      </c>
      <c r="CW39">
        <v>-19</v>
      </c>
      <c r="CX39">
        <v>0</v>
      </c>
      <c r="CY39">
        <v>0</v>
      </c>
      <c r="CZ39">
        <v>-19</v>
      </c>
      <c r="DA39">
        <v>-19</v>
      </c>
      <c r="DB39">
        <v>-19</v>
      </c>
      <c r="DC39">
        <v>-19</v>
      </c>
      <c r="DD39">
        <v>-19</v>
      </c>
      <c r="DE39">
        <v>0</v>
      </c>
      <c r="DF39">
        <v>0</v>
      </c>
      <c r="DG39">
        <v>-19</v>
      </c>
      <c r="DH39">
        <v>-19</v>
      </c>
      <c r="DI39">
        <v>-19</v>
      </c>
      <c r="DJ39">
        <v>-19</v>
      </c>
      <c r="DK39">
        <v>-19</v>
      </c>
      <c r="DL39">
        <v>0</v>
      </c>
      <c r="DM39">
        <v>0</v>
      </c>
      <c r="DN39">
        <v>-19</v>
      </c>
      <c r="DO39">
        <v>-19</v>
      </c>
      <c r="DP39">
        <v>-19</v>
      </c>
      <c r="DQ39">
        <v>-19</v>
      </c>
      <c r="DR39">
        <v>-19</v>
      </c>
      <c r="DS39">
        <v>0</v>
      </c>
      <c r="DT39">
        <v>0</v>
      </c>
      <c r="DU39">
        <v>-19</v>
      </c>
      <c r="DV39">
        <v>-19</v>
      </c>
      <c r="DW39">
        <v>-19</v>
      </c>
      <c r="DX39">
        <v>-19</v>
      </c>
      <c r="DY39">
        <v>-19</v>
      </c>
      <c r="DZ39">
        <v>0</v>
      </c>
      <c r="EA39">
        <v>0</v>
      </c>
      <c r="EB39">
        <v>-19</v>
      </c>
      <c r="EC39">
        <v>-19</v>
      </c>
      <c r="ED39">
        <v>-19</v>
      </c>
      <c r="EE39">
        <v>-19</v>
      </c>
      <c r="EF39">
        <v>-19</v>
      </c>
      <c r="EG39">
        <v>0</v>
      </c>
      <c r="EH39">
        <v>0</v>
      </c>
      <c r="EI39">
        <v>-19</v>
      </c>
      <c r="EJ39">
        <v>-19</v>
      </c>
      <c r="EK39">
        <v>-19</v>
      </c>
      <c r="EL39">
        <v>-19</v>
      </c>
      <c r="EM39">
        <v>-19</v>
      </c>
      <c r="EN39">
        <v>0</v>
      </c>
      <c r="EO39">
        <v>0</v>
      </c>
      <c r="EP39">
        <v>-19</v>
      </c>
      <c r="EQ39">
        <v>-19</v>
      </c>
      <c r="ER39">
        <v>-19</v>
      </c>
      <c r="ES39">
        <v>-19</v>
      </c>
      <c r="ET39">
        <v>-19</v>
      </c>
      <c r="EU39">
        <v>0</v>
      </c>
      <c r="EV39">
        <v>0</v>
      </c>
      <c r="EW39">
        <v>-19</v>
      </c>
      <c r="EX39">
        <v>-19</v>
      </c>
      <c r="EY39">
        <v>-19</v>
      </c>
      <c r="EZ39">
        <v>-19</v>
      </c>
      <c r="FA39">
        <v>-19</v>
      </c>
      <c r="FB39">
        <v>0</v>
      </c>
      <c r="FC39">
        <v>0</v>
      </c>
      <c r="FD39">
        <v>-19</v>
      </c>
      <c r="FE39">
        <v>-19</v>
      </c>
      <c r="FF39">
        <v>-19</v>
      </c>
      <c r="FG39">
        <v>-19</v>
      </c>
      <c r="FH39">
        <v>-19</v>
      </c>
      <c r="FI39">
        <v>0</v>
      </c>
      <c r="FJ39">
        <v>0</v>
      </c>
      <c r="FK39">
        <v>-19</v>
      </c>
      <c r="FL39">
        <v>-19</v>
      </c>
      <c r="FM39">
        <v>-19</v>
      </c>
      <c r="FN39">
        <v>-19</v>
      </c>
      <c r="FO39">
        <v>-19</v>
      </c>
      <c r="FP39">
        <v>0</v>
      </c>
      <c r="FQ39">
        <v>0</v>
      </c>
      <c r="FR39">
        <v>-19</v>
      </c>
      <c r="FS39">
        <v>-19</v>
      </c>
      <c r="FT39">
        <v>-19</v>
      </c>
      <c r="FU39">
        <v>-19</v>
      </c>
      <c r="FV39">
        <v>-19</v>
      </c>
      <c r="FW39">
        <v>0</v>
      </c>
      <c r="FX39">
        <v>0</v>
      </c>
      <c r="FY39">
        <v>-19</v>
      </c>
      <c r="FZ39">
        <v>-19</v>
      </c>
      <c r="GA39">
        <v>-19</v>
      </c>
      <c r="GB39">
        <v>-19</v>
      </c>
      <c r="GC39">
        <v>-19</v>
      </c>
      <c r="GD39">
        <v>0</v>
      </c>
      <c r="GE39">
        <v>0</v>
      </c>
      <c r="GF39">
        <v>-19</v>
      </c>
      <c r="GG39">
        <v>-19</v>
      </c>
      <c r="GH39">
        <v>-19</v>
      </c>
      <c r="GI39">
        <v>-19</v>
      </c>
      <c r="GJ39">
        <v>-19</v>
      </c>
      <c r="GK39">
        <v>0</v>
      </c>
      <c r="GL39">
        <v>0</v>
      </c>
      <c r="GM39">
        <v>-19</v>
      </c>
      <c r="GN39">
        <v>-19</v>
      </c>
      <c r="GO39">
        <v>-19</v>
      </c>
      <c r="GP39">
        <v>-19</v>
      </c>
      <c r="GQ39">
        <v>-19</v>
      </c>
      <c r="GR39">
        <v>0</v>
      </c>
      <c r="GS39">
        <v>0</v>
      </c>
      <c r="GT39">
        <v>-19</v>
      </c>
      <c r="GU39">
        <v>-19</v>
      </c>
      <c r="GV39">
        <v>-19</v>
      </c>
      <c r="GW39">
        <v>-19</v>
      </c>
      <c r="GX39">
        <v>-19</v>
      </c>
      <c r="GY39">
        <v>0</v>
      </c>
      <c r="GZ39">
        <v>0</v>
      </c>
      <c r="HA39">
        <v>-19</v>
      </c>
      <c r="HB39">
        <v>-19</v>
      </c>
      <c r="HC39">
        <v>-19</v>
      </c>
      <c r="HD39">
        <v>-19</v>
      </c>
      <c r="HE39">
        <v>-19</v>
      </c>
      <c r="HF39">
        <v>0</v>
      </c>
      <c r="HG39">
        <v>0</v>
      </c>
      <c r="HH39">
        <v>-19</v>
      </c>
      <c r="HI39">
        <v>-19</v>
      </c>
      <c r="HJ39">
        <v>-19</v>
      </c>
      <c r="HK39">
        <v>-19</v>
      </c>
      <c r="HL39">
        <v>-19</v>
      </c>
      <c r="HM39">
        <v>0</v>
      </c>
      <c r="HN39">
        <v>0</v>
      </c>
      <c r="HO39">
        <v>-19</v>
      </c>
      <c r="HP39">
        <v>-19</v>
      </c>
      <c r="HQ39">
        <v>-19</v>
      </c>
      <c r="HR39">
        <v>-19</v>
      </c>
      <c r="HS39">
        <v>-19</v>
      </c>
      <c r="HT39">
        <v>0</v>
      </c>
      <c r="HU39">
        <v>0</v>
      </c>
      <c r="HV39">
        <v>-19</v>
      </c>
      <c r="HW39">
        <v>-19</v>
      </c>
      <c r="HX39">
        <v>-19</v>
      </c>
      <c r="HY39">
        <v>-19</v>
      </c>
      <c r="HZ39">
        <v>-19</v>
      </c>
      <c r="IA39">
        <v>0</v>
      </c>
      <c r="IB39">
        <v>0</v>
      </c>
      <c r="IC39">
        <v>-19</v>
      </c>
      <c r="ID39">
        <v>-19</v>
      </c>
      <c r="IE39">
        <v>-19</v>
      </c>
      <c r="IF39">
        <v>-19</v>
      </c>
      <c r="IG39">
        <v>-19</v>
      </c>
      <c r="IH39">
        <v>0</v>
      </c>
      <c r="II39">
        <v>0</v>
      </c>
      <c r="IJ39">
        <v>-19</v>
      </c>
      <c r="IK39">
        <v>-19</v>
      </c>
      <c r="IL39">
        <v>-19</v>
      </c>
      <c r="IM39">
        <v>-19</v>
      </c>
      <c r="IN39">
        <v>-19</v>
      </c>
      <c r="IO39">
        <v>0</v>
      </c>
      <c r="IP39">
        <v>0</v>
      </c>
      <c r="IQ39">
        <v>-19</v>
      </c>
      <c r="IR39">
        <v>-19</v>
      </c>
      <c r="IS39">
        <v>-19</v>
      </c>
      <c r="IT39">
        <v>-19</v>
      </c>
      <c r="IU39">
        <v>-19</v>
      </c>
      <c r="IV39">
        <v>0</v>
      </c>
      <c r="IW39">
        <v>0</v>
      </c>
      <c r="IX39">
        <v>-19</v>
      </c>
      <c r="IY39">
        <v>-19</v>
      </c>
      <c r="IZ39">
        <v>-19</v>
      </c>
      <c r="JA39">
        <v>-19</v>
      </c>
      <c r="JB39">
        <v>-19</v>
      </c>
      <c r="JC39">
        <v>0</v>
      </c>
      <c r="JD39">
        <v>0</v>
      </c>
      <c r="JE39">
        <v>-19</v>
      </c>
      <c r="JF39">
        <v>-19</v>
      </c>
      <c r="JG39">
        <v>-19</v>
      </c>
      <c r="JH39">
        <v>-19</v>
      </c>
      <c r="JI39">
        <v>-19</v>
      </c>
      <c r="JJ39">
        <v>0</v>
      </c>
      <c r="JK39">
        <v>0</v>
      </c>
      <c r="JL39">
        <v>-19</v>
      </c>
      <c r="JM39">
        <v>-19</v>
      </c>
      <c r="JN39">
        <v>-19</v>
      </c>
      <c r="JO39">
        <v>-19</v>
      </c>
      <c r="JP39">
        <v>-19</v>
      </c>
      <c r="JQ39">
        <v>0</v>
      </c>
      <c r="JR39">
        <v>0</v>
      </c>
      <c r="JS39">
        <v>-19</v>
      </c>
      <c r="JT39">
        <v>-19</v>
      </c>
      <c r="JU39">
        <v>-19</v>
      </c>
      <c r="JV39">
        <v>-19</v>
      </c>
      <c r="JW39">
        <v>-19</v>
      </c>
      <c r="JX39">
        <v>0</v>
      </c>
      <c r="JY39">
        <v>0</v>
      </c>
      <c r="JZ39">
        <v>-19</v>
      </c>
      <c r="KA39">
        <v>-19</v>
      </c>
      <c r="KB39">
        <v>-19</v>
      </c>
      <c r="KC39">
        <v>-19</v>
      </c>
      <c r="KD39">
        <v>-19</v>
      </c>
      <c r="KE39">
        <v>0</v>
      </c>
      <c r="KF39">
        <v>0</v>
      </c>
      <c r="KG39">
        <v>-19</v>
      </c>
      <c r="KH39">
        <v>-19</v>
      </c>
      <c r="KI39">
        <v>-19</v>
      </c>
      <c r="KJ39">
        <v>-19</v>
      </c>
      <c r="KK39">
        <v>-19</v>
      </c>
      <c r="KL39">
        <v>0</v>
      </c>
      <c r="KM39">
        <v>0</v>
      </c>
      <c r="KN39">
        <v>-19</v>
      </c>
      <c r="KO39">
        <v>-19</v>
      </c>
      <c r="KP39">
        <v>-19</v>
      </c>
      <c r="KQ39">
        <v>-19</v>
      </c>
      <c r="KR39">
        <v>-19</v>
      </c>
      <c r="KS39">
        <v>0</v>
      </c>
      <c r="KT39">
        <v>0</v>
      </c>
      <c r="KU39">
        <v>-19</v>
      </c>
      <c r="KV39">
        <v>-19</v>
      </c>
      <c r="KW39">
        <v>-19</v>
      </c>
      <c r="KX39">
        <v>-19</v>
      </c>
      <c r="KY39">
        <v>-19</v>
      </c>
      <c r="KZ39">
        <v>0</v>
      </c>
      <c r="LA39">
        <v>0</v>
      </c>
      <c r="LB39">
        <v>-19</v>
      </c>
      <c r="LC39">
        <v>-19</v>
      </c>
      <c r="LD39">
        <v>-19</v>
      </c>
      <c r="LE39">
        <v>-19</v>
      </c>
      <c r="LF39">
        <v>-19</v>
      </c>
      <c r="LG39">
        <v>0</v>
      </c>
      <c r="LH39">
        <v>0</v>
      </c>
      <c r="LI39">
        <v>-19</v>
      </c>
      <c r="LJ39">
        <v>-19</v>
      </c>
      <c r="LK39">
        <v>-19</v>
      </c>
      <c r="LL39">
        <v>-19</v>
      </c>
      <c r="LM39">
        <v>-19</v>
      </c>
      <c r="LN39">
        <v>0</v>
      </c>
      <c r="LO39">
        <v>0</v>
      </c>
      <c r="LP39">
        <v>-19</v>
      </c>
      <c r="LQ39">
        <v>-19</v>
      </c>
      <c r="LR39">
        <v>-19</v>
      </c>
      <c r="LS39">
        <v>-19</v>
      </c>
      <c r="LT39">
        <v>-19</v>
      </c>
      <c r="LU39">
        <v>0</v>
      </c>
      <c r="LV39">
        <v>0</v>
      </c>
      <c r="LW39">
        <v>-19</v>
      </c>
      <c r="LX39">
        <v>-19</v>
      </c>
      <c r="LY39">
        <v>-19</v>
      </c>
      <c r="LZ39">
        <v>-19</v>
      </c>
      <c r="MA39">
        <v>-19</v>
      </c>
      <c r="MB39">
        <v>0</v>
      </c>
      <c r="MC39">
        <v>0</v>
      </c>
      <c r="MD39">
        <v>-19</v>
      </c>
      <c r="ME39">
        <v>-19</v>
      </c>
      <c r="MF39">
        <v>-19</v>
      </c>
      <c r="MG39">
        <v>-19</v>
      </c>
      <c r="MH39">
        <v>-19</v>
      </c>
      <c r="MI39">
        <v>0</v>
      </c>
      <c r="MJ39">
        <v>0</v>
      </c>
      <c r="MK39">
        <v>-19</v>
      </c>
      <c r="ML39">
        <v>-19</v>
      </c>
      <c r="MM39">
        <v>-19</v>
      </c>
      <c r="MN39">
        <v>-19</v>
      </c>
      <c r="MO39">
        <v>-19</v>
      </c>
      <c r="MP39">
        <v>0</v>
      </c>
      <c r="MQ39">
        <v>0</v>
      </c>
      <c r="MR39">
        <v>-19</v>
      </c>
      <c r="MS39">
        <v>-19</v>
      </c>
      <c r="MT39">
        <v>-19</v>
      </c>
      <c r="MU39">
        <v>-19</v>
      </c>
      <c r="MV39">
        <v>-19</v>
      </c>
      <c r="MW39">
        <v>0</v>
      </c>
      <c r="MX39">
        <v>0</v>
      </c>
      <c r="MY39">
        <v>-19</v>
      </c>
      <c r="MZ39">
        <v>-19</v>
      </c>
      <c r="NA39">
        <v>-19</v>
      </c>
      <c r="NB39">
        <v>-19</v>
      </c>
      <c r="NC39">
        <v>-19</v>
      </c>
      <c r="ND39">
        <v>0</v>
      </c>
      <c r="NE39">
        <v>0</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pageSetup paperSize="9" scale="49" fitToHeight="0" orientation="landscape" horizontalDpi="0" verticalDpi="0"/>
  <ignoredErrors>
    <ignoredError sqref="B34" calculatedColumn="1"/>
  </ignoredErrors>
  <drawing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000000"/>
    <pageSetUpPr fitToPage="1"/>
  </sheetPr>
  <dimension ref="A1:S25"/>
  <sheetViews>
    <sheetView showGridLines="0" workbookViewId="0">
      <selection sqref="A1:O1"/>
    </sheetView>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6.5" x14ac:dyDescent="0.7">
      <c r="A1" s="185" t="str">
        <f ca="1">_xlfn.TEXTAFTER(CELL("filename",A1),"]")</f>
        <v>oz.OverLapDaysλ</v>
      </c>
      <c r="B1" s="185"/>
      <c r="C1" s="185"/>
      <c r="D1" s="185"/>
      <c r="E1" s="185"/>
      <c r="F1" s="185"/>
      <c r="G1" s="185"/>
      <c r="H1" s="185"/>
      <c r="I1" s="185"/>
      <c r="J1" s="185"/>
      <c r="K1" s="185"/>
      <c r="L1" s="185"/>
      <c r="M1" s="185"/>
      <c r="N1" s="185"/>
      <c r="O1" s="185"/>
    </row>
    <row r="2" spans="1:15" x14ac:dyDescent="0.25">
      <c r="A2" s="186" t="s">
        <v>74</v>
      </c>
      <c r="B2" s="187"/>
      <c r="C2" s="187"/>
      <c r="D2" s="187"/>
      <c r="E2" s="187"/>
      <c r="F2" s="187"/>
      <c r="G2" s="187"/>
      <c r="H2" s="187"/>
      <c r="I2" s="187"/>
      <c r="J2" s="187"/>
      <c r="K2" s="187"/>
      <c r="L2" s="187"/>
      <c r="M2" s="187"/>
      <c r="N2" s="188"/>
      <c r="O2" s="4"/>
    </row>
    <row r="4" spans="1:15" x14ac:dyDescent="0.25">
      <c r="A4" s="35" t="str" cm="1">
        <f t="array" ref="A4:B16">oz.OverLapDaysλ()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https://github.com/ryanduguid/Ozzit</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Second period's end date.</v>
      </c>
    </row>
    <row r="12" spans="1:15" x14ac:dyDescent="0.25">
      <c r="A12" t="str">
        <v>EXAMPLES:</v>
      </c>
      <c r="B12" t="str">
        <v/>
      </c>
    </row>
    <row r="13" spans="1:15" x14ac:dyDescent="0.25">
      <c r="A13" t="str">
        <v>Result</v>
      </c>
      <c r="B13" t="str">
        <v>Formula (oz is assumed to be the module's name)</v>
      </c>
    </row>
    <row r="14" spans="1:15" x14ac:dyDescent="0.25">
      <c r="A14" t="str">
        <v>5</v>
      </c>
      <c r="B14" t="str">
        <v>=oz.OverLapDaysλ(08, 14, 10, 17)</v>
      </c>
    </row>
    <row r="15" spans="1:15" x14ac:dyDescent="0.25">
      <c r="A15" t="str">
        <v>8</v>
      </c>
      <c r="B15" t="str">
        <v>=oz.OverLapDaysλ(10, 20, 11, 18)</v>
      </c>
    </row>
    <row r="16" spans="1:15" x14ac:dyDescent="0.25">
      <c r="A16" t="str">
        <v>2</v>
      </c>
      <c r="B16" t="str">
        <v>=oz.OverLapDaysλ("17/7/2026", "25/7/2026", "7/7/2026", "18/7/2026")</v>
      </c>
    </row>
    <row r="20" spans="1:19" ht="21" x14ac:dyDescent="0.35">
      <c r="A20" s="192" t="s">
        <v>119</v>
      </c>
      <c r="B20" s="193"/>
      <c r="C20" s="193"/>
      <c r="D20" s="193"/>
      <c r="E20" s="193"/>
    </row>
    <row r="21" spans="1:19" x14ac:dyDescent="0.25">
      <c r="A21" s="194"/>
      <c r="B21" s="195"/>
      <c r="C21" s="195"/>
      <c r="D21" s="195"/>
      <c r="E21" s="195"/>
      <c r="G21" s="43" t="s">
        <v>27</v>
      </c>
      <c r="H21" s="44" cm="1">
        <f t="array" ref="H21:S21">oz.Timelineλ("1/7/2026", ,,FALSE)</f>
        <v>46234</v>
      </c>
      <c r="I21" s="44">
        <v>46265</v>
      </c>
      <c r="J21" s="44">
        <v>46295</v>
      </c>
      <c r="K21" s="44">
        <v>46326</v>
      </c>
      <c r="L21" s="44">
        <v>46356</v>
      </c>
      <c r="M21" s="44">
        <v>46387</v>
      </c>
      <c r="N21" s="44">
        <v>46418</v>
      </c>
      <c r="O21" s="44">
        <v>46446</v>
      </c>
      <c r="P21" s="44">
        <v>46477</v>
      </c>
      <c r="Q21" s="44">
        <v>46507</v>
      </c>
      <c r="R21" s="44">
        <v>46538</v>
      </c>
      <c r="S21" s="44">
        <v>46568</v>
      </c>
    </row>
    <row r="22" spans="1:19" x14ac:dyDescent="0.25">
      <c r="A22" s="7" t="s">
        <v>120</v>
      </c>
      <c r="B22" t="s">
        <v>117</v>
      </c>
      <c r="C22" s="7" t="s">
        <v>112</v>
      </c>
      <c r="D22" s="7" t="s">
        <v>113</v>
      </c>
      <c r="E22" s="7" t="s">
        <v>114</v>
      </c>
      <c r="G22" s="42" t="s">
        <v>152</v>
      </c>
      <c r="H22" s="1" cm="1">
        <f t="array" ref="H22:S22">oz.Timelineλ("1/7/2026")</f>
        <v>46204</v>
      </c>
      <c r="I22" s="1">
        <v>46235</v>
      </c>
      <c r="J22" s="1">
        <v>46266</v>
      </c>
      <c r="K22" s="1">
        <v>46296</v>
      </c>
      <c r="L22" s="1">
        <v>46327</v>
      </c>
      <c r="M22" s="1">
        <v>46357</v>
      </c>
      <c r="N22" s="1">
        <v>46388</v>
      </c>
      <c r="O22" s="1">
        <v>46419</v>
      </c>
      <c r="P22" s="1">
        <v>46447</v>
      </c>
      <c r="Q22" s="1">
        <v>46478</v>
      </c>
      <c r="R22" s="1">
        <v>46508</v>
      </c>
      <c r="S22" s="1">
        <v>46539</v>
      </c>
    </row>
    <row r="23" spans="1:19" x14ac:dyDescent="0.25">
      <c r="A23" cm="1">
        <f t="array" ref="A23">ROW()-ROW(tblRent[#Headers])</f>
        <v>1</v>
      </c>
      <c r="B23" t="s">
        <v>116</v>
      </c>
      <c r="C23" s="34">
        <v>46249</v>
      </c>
      <c r="D23" s="34">
        <v>46453</v>
      </c>
      <c r="E23" s="41">
        <v>12</v>
      </c>
      <c r="G23" cm="1">
        <f t="array" ref="G23:G25">oz.SumRowsλ(_xlfn.ANCHORARRAY(H23))</f>
        <v>2460</v>
      </c>
      <c r="H23" s="35" cm="1">
        <f t="array" ref="H23:S25">oz.OverLapDaysλ(_xlfn.ANCHORARRAY(H22),_xlfn.ANCHORARRAY(H21),tblRent[Start],tblRent[End]) * tblRent[Daily Rate]</f>
        <v>0</v>
      </c>
      <c r="I23">
        <v>204</v>
      </c>
      <c r="J23">
        <v>360</v>
      </c>
      <c r="K23">
        <v>372</v>
      </c>
      <c r="L23">
        <v>360</v>
      </c>
      <c r="M23">
        <v>372</v>
      </c>
      <c r="N23">
        <v>372</v>
      </c>
      <c r="O23">
        <v>336</v>
      </c>
      <c r="P23">
        <v>84</v>
      </c>
      <c r="Q23">
        <v>0</v>
      </c>
      <c r="R23">
        <v>0</v>
      </c>
      <c r="S23">
        <v>0</v>
      </c>
    </row>
    <row r="24" spans="1:19" x14ac:dyDescent="0.25">
      <c r="A24" cm="1">
        <f t="array" ref="A24">ROW()-ROW(tblRent[#Headers])</f>
        <v>2</v>
      </c>
      <c r="B24" t="s">
        <v>115</v>
      </c>
      <c r="C24" s="34">
        <v>46218</v>
      </c>
      <c r="D24" s="34">
        <v>46286</v>
      </c>
      <c r="E24" s="41">
        <v>10</v>
      </c>
      <c r="G24">
        <v>690</v>
      </c>
      <c r="H24">
        <v>170</v>
      </c>
      <c r="I24">
        <v>310</v>
      </c>
      <c r="J24">
        <v>210</v>
      </c>
      <c r="K24">
        <v>0</v>
      </c>
      <c r="L24">
        <v>0</v>
      </c>
      <c r="M24">
        <v>0</v>
      </c>
      <c r="N24">
        <v>0</v>
      </c>
      <c r="O24">
        <v>0</v>
      </c>
      <c r="P24">
        <v>0</v>
      </c>
      <c r="Q24">
        <v>0</v>
      </c>
      <c r="R24">
        <v>0</v>
      </c>
      <c r="S24">
        <v>0</v>
      </c>
    </row>
    <row r="25" spans="1:19" x14ac:dyDescent="0.25">
      <c r="A25" cm="1">
        <f t="array" ref="A25">ROW()-ROW(tblRent[#Headers])</f>
        <v>3</v>
      </c>
      <c r="B25" t="s">
        <v>118</v>
      </c>
      <c r="C25" s="34">
        <v>46204</v>
      </c>
      <c r="D25" s="34">
        <v>46234</v>
      </c>
      <c r="E25" s="41">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pageSetup paperSize="9" scale="52" fitToHeight="0" orientation="landscape" horizontalDpi="0" verticalDpi="0"/>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000000"/>
    <pageSetUpPr fitToPage="1"/>
  </sheetPr>
  <dimension ref="A1:T29"/>
  <sheetViews>
    <sheetView showGridLines="0" workbookViewId="0">
      <selection sqref="A1:P1"/>
    </sheetView>
  </sheetViews>
  <sheetFormatPr defaultRowHeight="15" x14ac:dyDescent="0.25"/>
  <cols>
    <col min="1" max="1" width="12.75" bestFit="1" customWidth="1"/>
    <col min="2" max="2" width="13.25" customWidth="1"/>
    <col min="3" max="3" width="7.25" bestFit="1" customWidth="1"/>
    <col min="4" max="4" width="7" bestFit="1" customWidth="1"/>
  </cols>
  <sheetData>
    <row r="1" spans="1:20" ht="46.5" x14ac:dyDescent="0.7">
      <c r="A1" s="185" t="str">
        <f ca="1">_xlfn.TEXTAFTER(CELL("filename",A1),"]")</f>
        <v>oz.Periodsλ</v>
      </c>
      <c r="B1" s="185"/>
      <c r="C1" s="185"/>
      <c r="D1" s="185"/>
      <c r="E1" s="185"/>
      <c r="F1" s="185"/>
      <c r="G1" s="185"/>
      <c r="H1" s="185"/>
      <c r="I1" s="185"/>
      <c r="J1" s="185"/>
      <c r="K1" s="185"/>
      <c r="L1" s="185"/>
      <c r="M1" s="185"/>
      <c r="N1" s="185"/>
      <c r="O1" s="185"/>
      <c r="P1" s="185"/>
    </row>
    <row r="2" spans="1:20" x14ac:dyDescent="0.25">
      <c r="A2" s="186" t="s">
        <v>75</v>
      </c>
      <c r="B2" s="191"/>
      <c r="C2" s="191"/>
      <c r="D2" s="191"/>
      <c r="E2" s="191"/>
      <c r="F2" s="191"/>
      <c r="G2" s="191"/>
      <c r="H2" s="191"/>
      <c r="I2" s="191"/>
      <c r="J2" s="191"/>
      <c r="K2" s="191"/>
      <c r="L2" s="191"/>
      <c r="M2" s="191"/>
      <c r="N2" s="191"/>
      <c r="O2" s="191"/>
      <c r="P2" s="191"/>
      <c r="Q2" s="191"/>
      <c r="R2" s="191"/>
      <c r="S2" s="191"/>
      <c r="T2" s="191"/>
    </row>
    <row r="4" spans="1:20" x14ac:dyDescent="0.25">
      <c r="A4" s="55" t="str" cm="1">
        <f t="array" ref="A4:B22">oz.Periodsλ()</f>
        <v>FUNCTION:</v>
      </c>
      <c r="B4" t="str">
        <v>Periodsλ(Starts, Ends, [Intervals])</v>
      </c>
    </row>
    <row r="5" spans="1:20" x14ac:dyDescent="0.25">
      <c r="A5" t="str">
        <v>DESCRIPTION:</v>
      </c>
      <c r="B5" t="str">
        <v>Determine the number of periods from Starts to Ends inclusive.</v>
      </c>
    </row>
    <row r="6" spans="1:20" x14ac:dyDescent="0.25">
      <c r="A6" t="str">
        <v/>
      </c>
      <c r="B6" t="str">
        <v>Differences to Excel's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Starts is after Ends</v>
      </c>
    </row>
    <row r="10" spans="1:20" x14ac:dyDescent="0.25">
      <c r="A10" t="str">
        <v>WEBPAGE:</v>
      </c>
      <c r="B10" t="str">
        <v>https://github.com/ryanduguid/Ozzit</v>
      </c>
    </row>
    <row r="11" spans="1:20" x14ac:dyDescent="0.25">
      <c r="A11" t="str">
        <v>PARAMETERS:</v>
      </c>
      <c r="B11" t="str">
        <v/>
      </c>
    </row>
    <row r="12" spans="1:20" x14ac:dyDescent="0.25">
      <c r="A12" t="str">
        <v>Starts</v>
      </c>
      <c r="B12" t="str">
        <v>(Required) First date (normally older). A single date or an array of dates.</v>
      </c>
    </row>
    <row r="13" spans="1:20" x14ac:dyDescent="0.25">
      <c r="A13" t="str">
        <v>Ends</v>
      </c>
      <c r="B13" t="str">
        <v>(Required) Second date (normally newer). A single date or an array the same shape as Starts.</v>
      </c>
    </row>
    <row r="14" spans="1:20" x14ac:dyDescent="0.25">
      <c r="A14" t="str">
        <v/>
      </c>
      <c r="B14" t="str">
        <v>A single Starts or Ends is applied to every date in the other.</v>
      </c>
    </row>
    <row r="15" spans="1:20" x14ac:dyDescent="0.25">
      <c r="A15" t="str">
        <v>Intervals</v>
      </c>
      <c r="B15" t="str">
        <v>(Optional) Days, Weeks, Months (default), Quarters, or Years (D, W, M, Q, Y).</v>
      </c>
    </row>
    <row r="16" spans="1:20" x14ac:dyDescent="0.25">
      <c r="A16" t="str">
        <v/>
      </c>
      <c r="B16" t="str">
        <v>One code, or an array of codes the same shape as the dates.</v>
      </c>
    </row>
    <row r="17" spans="1:4" x14ac:dyDescent="0.25">
      <c r="A17" t="str">
        <v>EXAMPLES:</v>
      </c>
      <c r="B17" t="str">
        <v/>
      </c>
    </row>
    <row r="18" spans="1:4" x14ac:dyDescent="0.25">
      <c r="A18" t="str">
        <v>Result</v>
      </c>
      <c r="B18" t="str">
        <v>Formula (oz is assumed to be the module's name)</v>
      </c>
    </row>
    <row r="19" spans="1:4" x14ac:dyDescent="0.25">
      <c r="A19" t="str">
        <v>2</v>
      </c>
      <c r="B19" t="str">
        <v>=oz.Periodsλ("31/7/2026", "15/9/2026")</v>
      </c>
    </row>
    <row r="20" spans="1:4" x14ac:dyDescent="0.25">
      <c r="A20" t="str">
        <v>-2</v>
      </c>
      <c r="B20" t="str">
        <v>=oz.Periodsλ("15/9/2026", "31/7/2026")</v>
      </c>
    </row>
    <row r="21" spans="1:4" x14ac:dyDescent="0.25">
      <c r="A21" t="str">
        <v>-12</v>
      </c>
      <c r="B21" t="str">
        <v>=oz.Periodsλ("15/7/2027", "16/7/2026")</v>
      </c>
    </row>
    <row r="22" spans="1:4" x14ac:dyDescent="0.25">
      <c r="A22" t="str">
        <v>-52</v>
      </c>
      <c r="B22" t="str">
        <v>=oz.Periodsλ("15/7/2027", "16/7/2026", "W")</v>
      </c>
    </row>
    <row r="24" spans="1:4" x14ac:dyDescent="0.25">
      <c r="A24" s="53" t="s">
        <v>126</v>
      </c>
      <c r="B24" s="53" t="s">
        <v>127</v>
      </c>
      <c r="C24" s="54" t="s">
        <v>18</v>
      </c>
      <c r="D24" s="54" t="s">
        <v>17</v>
      </c>
    </row>
    <row r="25" spans="1:4" x14ac:dyDescent="0.25">
      <c r="A25" s="34">
        <v>46262</v>
      </c>
      <c r="B25" s="34">
        <v>46537</v>
      </c>
      <c r="C25" t="s">
        <v>20</v>
      </c>
      <c r="D25" s="55" cm="1">
        <f t="array" ref="D25:D29">oz.Periodsλ(A25:A29,B25:B29,C25:C29)</f>
        <v>9</v>
      </c>
    </row>
    <row r="26" spans="1:4" x14ac:dyDescent="0.25">
      <c r="A26" s="34">
        <v>46386</v>
      </c>
      <c r="B26" s="34">
        <v>46784</v>
      </c>
      <c r="C26" t="s">
        <v>109</v>
      </c>
      <c r="D26">
        <v>5</v>
      </c>
    </row>
    <row r="27" spans="1:4" x14ac:dyDescent="0.25">
      <c r="A27" s="34">
        <v>46204</v>
      </c>
      <c r="B27" s="34">
        <v>47300</v>
      </c>
      <c r="C27" t="s">
        <v>2</v>
      </c>
      <c r="D27">
        <v>3</v>
      </c>
    </row>
    <row r="28" spans="1:4" x14ac:dyDescent="0.25">
      <c r="A28" s="34">
        <v>46325</v>
      </c>
      <c r="B28" s="34">
        <v>46692</v>
      </c>
      <c r="C28" t="s">
        <v>107</v>
      </c>
      <c r="D28">
        <v>53</v>
      </c>
    </row>
    <row r="29" spans="1:4" x14ac:dyDescent="0.25">
      <c r="A29" s="34">
        <v>46446</v>
      </c>
      <c r="B29" s="34">
        <v>46812</v>
      </c>
      <c r="C29" t="s">
        <v>426</v>
      </c>
      <c r="D29">
        <v>366</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pageSetup paperSize="9" scale="68" fitToHeight="0" orientation="landscape" horizontalDpi="0" verticalDpi="0"/>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000000"/>
    <pageSetUpPr fitToPage="1"/>
  </sheetPr>
  <dimension ref="A1:P26"/>
  <sheetViews>
    <sheetView showGridLines="0" workbookViewId="0">
      <selection sqref="A1:P1"/>
    </sheetView>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6.5" x14ac:dyDescent="0.7">
      <c r="A1" s="185" t="str">
        <f ca="1">_xlfn.TEXTAFTER(CELL("filename",A1),"]")</f>
        <v>oz.PeriodLabelλ</v>
      </c>
      <c r="B1" s="185"/>
      <c r="C1" s="185"/>
      <c r="D1" s="185"/>
      <c r="E1" s="185"/>
      <c r="F1" s="185"/>
      <c r="G1" s="185"/>
      <c r="H1" s="185"/>
      <c r="I1" s="185"/>
      <c r="J1" s="185"/>
      <c r="K1" s="185"/>
      <c r="L1" s="185"/>
      <c r="M1" s="185"/>
      <c r="N1" s="185"/>
      <c r="O1" s="185"/>
      <c r="P1" s="185"/>
    </row>
    <row r="2" spans="1:16" x14ac:dyDescent="0.25">
      <c r="A2" s="186" t="s">
        <v>76</v>
      </c>
      <c r="B2" s="187"/>
      <c r="C2" s="187"/>
      <c r="D2" s="187"/>
      <c r="E2" s="187"/>
      <c r="F2" s="187"/>
      <c r="G2" s="187"/>
      <c r="H2" s="187"/>
      <c r="I2" s="187"/>
      <c r="J2" s="187"/>
      <c r="K2" s="187"/>
      <c r="L2" s="187"/>
      <c r="M2" s="187"/>
      <c r="N2" s="187"/>
      <c r="O2" s="187"/>
      <c r="P2" s="188"/>
    </row>
    <row r="4" spans="1:16" x14ac:dyDescent="0.25">
      <c r="A4" s="55" t="str" cm="1">
        <f t="array" ref="A4:B22">oz.PeriodLabelλ()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https://github.com/ryanduguid/Ozzit</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(oz is assumed to be the module's name)</v>
      </c>
    </row>
    <row r="19" spans="1:14" x14ac:dyDescent="0.25">
      <c r="A19" t="str">
        <v>2026-Aug-26</v>
      </c>
      <c r="B19" t="str">
        <v>=oz.PeriodLabelλ(DATEVALUE("26/8/2026"), "D")</v>
      </c>
    </row>
    <row r="20" spans="1:14" x14ac:dyDescent="0.25">
      <c r="A20" t="str">
        <v>2026-Aug</v>
      </c>
      <c r="B20" t="str">
        <v>=oz.PeriodLabelλ(DATEVALUE("26/8/2026"), "M")</v>
      </c>
    </row>
    <row r="21" spans="1:14" x14ac:dyDescent="0.25">
      <c r="A21" t="str">
        <v>2026:Q3</v>
      </c>
      <c r="B21" t="str">
        <v>=oz.PeriodLabelλ(DATEVALUE("26/8/2026"), "Q")</v>
      </c>
    </row>
    <row r="22" spans="1:14" x14ac:dyDescent="0.25">
      <c r="A22" t="str">
        <v>2026</v>
      </c>
      <c r="B22" t="str">
        <v>=oz.PeriodLabelλ(DATEVALUE("26/8/2026"), "Y")</v>
      </c>
    </row>
    <row r="25" spans="1:14" x14ac:dyDescent="0.25">
      <c r="A25" t="s">
        <v>25</v>
      </c>
      <c r="B25" t="s">
        <v>129</v>
      </c>
      <c r="C25" s="1" cm="1">
        <f t="array" ref="C25:N25">oz.Timelineλ("1/7/2026", 12, _xlfn.SWITCH(B26, "I", "W", "S", "Q", B26))</f>
        <v>46204</v>
      </c>
      <c r="D25" s="1">
        <v>46569</v>
      </c>
      <c r="E25" s="1">
        <v>46935</v>
      </c>
      <c r="F25" s="1">
        <v>47300</v>
      </c>
      <c r="G25" s="1">
        <v>47665</v>
      </c>
      <c r="H25" s="1">
        <v>48030</v>
      </c>
      <c r="I25" s="1">
        <v>48396</v>
      </c>
      <c r="J25" s="1">
        <v>48761</v>
      </c>
      <c r="K25" s="1">
        <v>49126</v>
      </c>
      <c r="L25" s="1">
        <v>49491</v>
      </c>
      <c r="M25" s="1">
        <v>49857</v>
      </c>
      <c r="N25" s="1">
        <v>50222</v>
      </c>
    </row>
    <row r="26" spans="1:14" x14ac:dyDescent="0.25">
      <c r="A26" t="s">
        <v>128</v>
      </c>
      <c r="B26" s="125" t="s">
        <v>2</v>
      </c>
      <c r="C26" s="55" t="str" cm="1">
        <f t="array" ref="C26:N26">oz.PeriodLabelλ(_xlfn.ANCHORARRAY(C25),B26)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pageSetup paperSize="9" scale="69" fitToHeight="0" orientation="landscape" horizontalDpi="0" verticalDpi="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000000"/>
    <pageSetUpPr fitToPage="1"/>
  </sheetPr>
  <dimension ref="A1:Q48"/>
  <sheetViews>
    <sheetView showGridLines="0" workbookViewId="0">
      <selection sqref="A1:M1"/>
    </sheetView>
  </sheetViews>
  <sheetFormatPr defaultRowHeight="15" x14ac:dyDescent="0.25"/>
  <cols>
    <col min="1" max="1" width="15" bestFit="1" customWidth="1"/>
    <col min="2" max="2" width="14" customWidth="1"/>
    <col min="3" max="3" width="10" bestFit="1" customWidth="1"/>
    <col min="6" max="17" width="12.25" customWidth="1"/>
  </cols>
  <sheetData>
    <row r="1" spans="1:15" ht="46.5" x14ac:dyDescent="0.7">
      <c r="A1" s="185" t="str">
        <f ca="1">_xlfn.TEXTAFTER(CELL("filename",A1),"]")</f>
        <v>oz.ScheduleRatesλ</v>
      </c>
      <c r="B1" s="185"/>
      <c r="C1" s="185"/>
      <c r="D1" s="185"/>
      <c r="E1" s="185"/>
      <c r="F1" s="185"/>
      <c r="G1" s="185"/>
      <c r="H1" s="185"/>
      <c r="I1" s="185"/>
      <c r="J1" s="185"/>
      <c r="K1" s="185"/>
      <c r="L1" s="185"/>
      <c r="M1" s="185"/>
      <c r="N1" s="6"/>
    </row>
    <row r="2" spans="1:15" x14ac:dyDescent="0.25">
      <c r="A2" s="186" t="s">
        <v>77</v>
      </c>
      <c r="B2" s="191"/>
      <c r="C2" s="191"/>
      <c r="D2" s="191"/>
      <c r="E2" s="191"/>
      <c r="F2" s="191"/>
      <c r="G2" s="191"/>
      <c r="H2" s="191"/>
      <c r="I2" s="191"/>
      <c r="J2" s="191"/>
      <c r="K2" s="191"/>
      <c r="L2" s="191"/>
      <c r="M2" s="191"/>
      <c r="N2" s="191"/>
      <c r="O2" s="191"/>
    </row>
    <row r="4" spans="1:15" x14ac:dyDescent="0.25">
      <c r="A4" s="24" t="str" cm="1">
        <f t="array" ref="A4:B14">oz.ScheduleRatesλ()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https://github.com/ryanduguid/Ozzit</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(oz is assumed to be the module's name)</v>
      </c>
    </row>
    <row r="14" spans="1:15" x14ac:dyDescent="0.25">
      <c r="A14" t="str">
        <v>_,10,20,30,30</v>
      </c>
      <c r="B14" t="str">
        <v>=oz.ScheduleRatesλ(Timelineλ("1/7/2026",5,"W"),{46208; 46216; 46222}, {10; 20; 30})</v>
      </c>
    </row>
    <row r="18" spans="1:17" x14ac:dyDescent="0.25">
      <c r="E18" s="20" t="s">
        <v>26</v>
      </c>
      <c r="F18" s="25" cm="1">
        <f t="array" ref="F18:Q18">oz.Timelineλ($B$21,$B$22,$B$23)</f>
        <v>46204</v>
      </c>
      <c r="G18" s="25">
        <v>46235</v>
      </c>
      <c r="H18" s="25">
        <v>46266</v>
      </c>
      <c r="I18" s="25">
        <v>46296</v>
      </c>
      <c r="J18" s="25">
        <v>46327</v>
      </c>
      <c r="K18" s="25">
        <v>46357</v>
      </c>
      <c r="L18" s="25">
        <v>46388</v>
      </c>
      <c r="M18" s="25">
        <v>46419</v>
      </c>
      <c r="N18" s="25">
        <v>46447</v>
      </c>
      <c r="O18" s="25">
        <v>46478</v>
      </c>
      <c r="P18" s="25">
        <v>46508</v>
      </c>
      <c r="Q18" s="25">
        <v>46539</v>
      </c>
    </row>
    <row r="19" spans="1:17" x14ac:dyDescent="0.25">
      <c r="A19" s="8" t="s">
        <v>13</v>
      </c>
      <c r="B19" s="9" t="s">
        <v>14</v>
      </c>
      <c r="C19" s="8" t="s">
        <v>15</v>
      </c>
      <c r="E19" s="19" t="s">
        <v>27</v>
      </c>
      <c r="F19" s="1" cm="1">
        <f t="array" ref="F19:Q19">oz.Timelineλ($B$21,$B$22,$B$23, FALSE)</f>
        <v>46234</v>
      </c>
      <c r="G19" s="1">
        <v>46265</v>
      </c>
      <c r="H19" s="1">
        <v>46295</v>
      </c>
      <c r="I19" s="1">
        <v>46326</v>
      </c>
      <c r="J19" s="1">
        <v>46356</v>
      </c>
      <c r="K19" s="1">
        <v>46387</v>
      </c>
      <c r="L19" s="1">
        <v>46418</v>
      </c>
      <c r="M19" s="1">
        <v>46446</v>
      </c>
      <c r="N19" s="1">
        <v>46477</v>
      </c>
      <c r="O19" s="1">
        <v>46507</v>
      </c>
      <c r="P19" s="1">
        <v>46538</v>
      </c>
      <c r="Q19" s="1">
        <v>46568</v>
      </c>
    </row>
    <row r="20" spans="1:17" ht="21" x14ac:dyDescent="0.35">
      <c r="A20" s="197" t="s">
        <v>57</v>
      </c>
      <c r="B20" s="197"/>
      <c r="C20" s="197"/>
    </row>
    <row r="21" spans="1:17" x14ac:dyDescent="0.25">
      <c r="A21" s="14" t="s">
        <v>26</v>
      </c>
      <c r="B21" s="12">
        <v>46204</v>
      </c>
      <c r="C21" t="s">
        <v>21</v>
      </c>
    </row>
    <row r="22" spans="1:17" x14ac:dyDescent="0.25">
      <c r="A22" s="14" t="s">
        <v>17</v>
      </c>
      <c r="B22" s="15">
        <v>12</v>
      </c>
      <c r="C22" t="s">
        <v>21</v>
      </c>
    </row>
    <row r="23" spans="1:17" x14ac:dyDescent="0.25">
      <c r="A23" s="14" t="s">
        <v>18</v>
      </c>
      <c r="B23" s="11" t="s">
        <v>20</v>
      </c>
      <c r="C23" t="s">
        <v>29</v>
      </c>
    </row>
    <row r="25" spans="1:17" ht="21" x14ac:dyDescent="0.35">
      <c r="A25" s="197" t="s">
        <v>32</v>
      </c>
      <c r="B25" s="197"/>
      <c r="C25" s="197"/>
    </row>
    <row r="26" spans="1:17" x14ac:dyDescent="0.25">
      <c r="A26" s="26" t="s">
        <v>33</v>
      </c>
      <c r="B26" s="12">
        <v>46204</v>
      </c>
      <c r="C26" t="s">
        <v>21</v>
      </c>
    </row>
    <row r="27" spans="1:17" x14ac:dyDescent="0.25">
      <c r="A27" s="26" t="s">
        <v>34</v>
      </c>
      <c r="B27" s="12">
        <v>46357</v>
      </c>
      <c r="C27" t="s">
        <v>21</v>
      </c>
    </row>
    <row r="28" spans="1:17" x14ac:dyDescent="0.25">
      <c r="A28" s="26" t="s">
        <v>35</v>
      </c>
      <c r="B28" s="17">
        <v>5</v>
      </c>
      <c r="C28" t="s">
        <v>37</v>
      </c>
    </row>
    <row r="29" spans="1:17" x14ac:dyDescent="0.25">
      <c r="A29" s="26" t="s">
        <v>36</v>
      </c>
      <c r="B29" s="17">
        <v>10</v>
      </c>
      <c r="C29" t="s">
        <v>37</v>
      </c>
      <c r="F29" s="24" cm="1">
        <f t="array" ref="F29:Q29">oz.ScheduleRatesλ(_xlfn.ANCHORARRAY($F$19),$B$26:$B$27,$B$28:$B$29)</f>
        <v>5</v>
      </c>
      <c r="G29">
        <v>5</v>
      </c>
      <c r="H29">
        <v>5</v>
      </c>
      <c r="I29">
        <v>5</v>
      </c>
      <c r="J29">
        <v>5</v>
      </c>
      <c r="K29">
        <v>10</v>
      </c>
      <c r="L29">
        <v>10</v>
      </c>
      <c r="M29">
        <v>10</v>
      </c>
      <c r="N29">
        <v>10</v>
      </c>
      <c r="O29">
        <v>10</v>
      </c>
      <c r="P29">
        <v>10</v>
      </c>
      <c r="Q29">
        <v>10</v>
      </c>
    </row>
    <row r="33" spans="1:17" ht="21" x14ac:dyDescent="0.35">
      <c r="A33" s="197" t="s">
        <v>56</v>
      </c>
      <c r="B33" s="199"/>
      <c r="C33" s="10"/>
    </row>
    <row r="34" spans="1:17" x14ac:dyDescent="0.25">
      <c r="A34" s="194"/>
      <c r="B34" s="196"/>
    </row>
    <row r="35" spans="1:17" x14ac:dyDescent="0.25">
      <c r="A35" s="28" t="s">
        <v>38</v>
      </c>
      <c r="B35" s="18" t="s">
        <v>39</v>
      </c>
      <c r="F35" s="24" cm="1">
        <f t="array" ref="F35:Q35">oz.ScheduleRatesλ(_xlfn.ANCHORARRAY(F19),tblRents[Rate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3">
        <v>46204</v>
      </c>
      <c r="B36">
        <v>100</v>
      </c>
    </row>
    <row r="37" spans="1:17" x14ac:dyDescent="0.25">
      <c r="A37" s="13">
        <v>46280</v>
      </c>
      <c r="B37">
        <v>125</v>
      </c>
    </row>
    <row r="38" spans="1:17" x14ac:dyDescent="0.25">
      <c r="A38" s="13">
        <v>46371</v>
      </c>
      <c r="B38">
        <v>150</v>
      </c>
    </row>
    <row r="40" spans="1:17" ht="21" x14ac:dyDescent="0.35">
      <c r="A40" s="197" t="s">
        <v>55</v>
      </c>
      <c r="B40" s="198"/>
      <c r="C40" s="199"/>
    </row>
    <row r="41" spans="1:17" x14ac:dyDescent="0.25">
      <c r="A41" s="194"/>
      <c r="B41" s="195"/>
      <c r="C41" s="196"/>
    </row>
    <row r="42" spans="1:17" x14ac:dyDescent="0.25">
      <c r="A42" s="7" t="s">
        <v>40</v>
      </c>
      <c r="B42" s="7" t="s">
        <v>41</v>
      </c>
      <c r="C42" s="7" t="s">
        <v>42</v>
      </c>
      <c r="F42" s="24" cm="1">
        <f t="array" ref="F42:Q42">oz.ScheduleRatesλ(_xlfn.ANCHORARRAY(F19),tblUnits[Ready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3">
        <v>46204</v>
      </c>
      <c r="B43">
        <v>10</v>
      </c>
      <c r="C43">
        <f>SUMIFS(tblUnits[Units Built],tblUnits[Ready Dates],"&lt;=" &amp; tblUnits[[#This Row],[Ready Dates]])</f>
        <v>10</v>
      </c>
    </row>
    <row r="44" spans="1:17" x14ac:dyDescent="0.25">
      <c r="A44" s="13">
        <v>46235</v>
      </c>
      <c r="B44">
        <v>10</v>
      </c>
      <c r="C44">
        <f>SUMIFS(tblUnits[Units Built],tblUnits[Ready Dates],"&lt;=" &amp; tblUnits[[#This Row],[Ready Dates]])</f>
        <v>20</v>
      </c>
    </row>
    <row r="45" spans="1:17" x14ac:dyDescent="0.25">
      <c r="A45" s="13">
        <v>46296</v>
      </c>
      <c r="B45">
        <v>5</v>
      </c>
      <c r="C45">
        <f>SUMIFS(tblUnits[Units Built],tblUnits[Ready Dates],"&lt;=" &amp; tblUnits[[#This Row],[Ready Dates]])</f>
        <v>25</v>
      </c>
    </row>
    <row r="46" spans="1:17" x14ac:dyDescent="0.25">
      <c r="A46" s="13">
        <v>46327</v>
      </c>
      <c r="B46">
        <v>15</v>
      </c>
      <c r="C46">
        <f>SUMIFS(tblUnits[Units Built],tblUnits[Ready Dates],"&lt;=" &amp; tblUnits[[#This Row],[Ready Dates]])</f>
        <v>40</v>
      </c>
    </row>
    <row r="48" spans="1:17" x14ac:dyDescent="0.25">
      <c r="A48" s="2" t="s">
        <v>43</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pageSetup paperSize="9" scale="61" fitToHeight="0" orientation="landscape" horizontalDpi="0" verticalDpi="0"/>
  <drawing r:id="rId1"/>
  <tableParts count="2">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000000"/>
    <pageSetUpPr fitToPage="1"/>
  </sheetPr>
  <dimension ref="A1:T38"/>
  <sheetViews>
    <sheetView showGridLines="0" workbookViewId="0">
      <selection sqref="A1:P1"/>
    </sheetView>
  </sheetViews>
  <sheetFormatPr defaultRowHeight="15" x14ac:dyDescent="0.25"/>
  <cols>
    <col min="1" max="1" width="12.75" bestFit="1" customWidth="1"/>
    <col min="2" max="2" width="10.625" bestFit="1" customWidth="1"/>
    <col min="5" max="5" width="11.25" bestFit="1" customWidth="1"/>
    <col min="9" max="20" width="12.25" customWidth="1"/>
  </cols>
  <sheetData>
    <row r="1" spans="1:16" ht="46.5" x14ac:dyDescent="0.7">
      <c r="A1" s="185" t="str">
        <f ca="1">_xlfn.TEXTAFTER(CELL("filename",A1),"]")</f>
        <v>oz.ScheduleRatesByItemsλ</v>
      </c>
      <c r="B1" s="185"/>
      <c r="C1" s="185"/>
      <c r="D1" s="185"/>
      <c r="E1" s="185"/>
      <c r="F1" s="185"/>
      <c r="G1" s="185"/>
      <c r="H1" s="185"/>
      <c r="I1" s="185"/>
      <c r="J1" s="185"/>
      <c r="K1" s="185"/>
      <c r="L1" s="185"/>
      <c r="M1" s="185"/>
      <c r="N1" s="185"/>
      <c r="O1" s="185"/>
      <c r="P1" s="185"/>
    </row>
    <row r="2" spans="1:16" x14ac:dyDescent="0.25">
      <c r="A2" s="186" t="s">
        <v>78</v>
      </c>
      <c r="B2" s="187"/>
      <c r="C2" s="187"/>
      <c r="D2" s="187"/>
      <c r="E2" s="187"/>
      <c r="F2" s="187"/>
      <c r="G2" s="187"/>
      <c r="H2" s="187"/>
      <c r="I2" s="187"/>
      <c r="J2" s="187"/>
      <c r="K2" s="187"/>
      <c r="L2" s="187"/>
      <c r="M2" s="187"/>
      <c r="N2" s="187"/>
      <c r="O2" s="187"/>
      <c r="P2" s="188"/>
    </row>
    <row r="4" spans="1:16" x14ac:dyDescent="0.25">
      <c r="A4" s="55" t="str" cm="1">
        <f t="array" ref="A4:B20">oz.ScheduleRatesByItemsλ()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https://github.com/ryanduguid/Ozzit</v>
      </c>
    </row>
    <row r="9" spans="1:16" x14ac:dyDescent="0.25">
      <c r="A9" t="str">
        <v>PARAMETERS:</v>
      </c>
      <c r="B9" t="str">
        <v/>
      </c>
    </row>
    <row r="10" spans="1:16" x14ac:dyDescent="0.25">
      <c r="A10" t="str">
        <v>PeriodEnds</v>
      </c>
      <c r="B10" t="str">
        <v>(Required) A row of period end dates (timeline).</v>
      </c>
    </row>
    <row r="11" spans="1:16" x14ac:dyDescent="0.25">
      <c r="A11" t="str">
        <v>ItemFilter</v>
      </c>
      <c r="B11" t="str">
        <v>(Required) A column of 1 or more items to filter a rate schedule by.</v>
      </c>
    </row>
    <row r="12" spans="1:16" x14ac:dyDescent="0.25">
      <c r="A12" t="str">
        <v/>
      </c>
      <c r="B12" t="str">
        <v>A 'rate schedule' is a table/list where each row contains a unique item/effective date pair with a rate.</v>
      </c>
    </row>
    <row r="13" spans="1:16" x14ac:dyDescent="0.25">
      <c r="A13" t="str">
        <v/>
      </c>
      <c r="B13" t="str">
        <v>An item with no rate in the schedule scores nought in every period.</v>
      </c>
    </row>
    <row r="14" spans="1:16" x14ac:dyDescent="0.25">
      <c r="A14" t="str">
        <v>ItemList</v>
      </c>
      <c r="B14" t="str">
        <v>(Required) Items in a rate schedule.</v>
      </c>
    </row>
    <row r="15" spans="1:16" x14ac:dyDescent="0.25">
      <c r="A15" t="str">
        <v>EffectiveList</v>
      </c>
      <c r="B15" t="str">
        <v>(Required) Effective dates in the rate schedule.</v>
      </c>
    </row>
    <row r="16" spans="1:16" x14ac:dyDescent="0.25">
      <c r="A16" t="str">
        <v>RateList</v>
      </c>
      <c r="B16" t="str">
        <v>(Required) Rates in a rate schedule for each item/effective date pair.</v>
      </c>
    </row>
    <row r="17" spans="1:20" x14ac:dyDescent="0.25">
      <c r="A17" t="str">
        <v>EXAMPLES:</v>
      </c>
      <c r="B17" t="str">
        <v/>
      </c>
    </row>
    <row r="18" spans="1:20" x14ac:dyDescent="0.25">
      <c r="A18" t="str">
        <v>Result</v>
      </c>
      <c r="B18" t="str">
        <v>Formula (oz is assumed to be the module's name)</v>
      </c>
    </row>
    <row r="19" spans="1:20" x14ac:dyDescent="0.25">
      <c r="A19" t="str">
        <v/>
      </c>
      <c r="B19" t="str">
        <v>=oz.ScheduleRatesByItemsλ( oz.Timelineλ( "1/7/2026"), UNIQUE( tblRates[Unit]),</v>
      </c>
    </row>
    <row r="20" spans="1:20" x14ac:dyDescent="0.25">
      <c r="A20" t="str">
        <v/>
      </c>
      <c r="B20" t="str">
        <v>tblRates[Unit], tblRates[Effective], tblRates[Rent])</v>
      </c>
    </row>
    <row r="22" spans="1:20" ht="21" x14ac:dyDescent="0.35">
      <c r="D22" s="200" t="s">
        <v>231</v>
      </c>
      <c r="E22" s="201"/>
      <c r="F22" s="201"/>
    </row>
    <row r="23" spans="1:20" x14ac:dyDescent="0.25">
      <c r="D23" s="202"/>
      <c r="E23" s="201"/>
      <c r="F23" s="201"/>
      <c r="I23" s="18" t="s">
        <v>130</v>
      </c>
    </row>
    <row r="24" spans="1:20" x14ac:dyDescent="0.25">
      <c r="A24" s="8" t="s">
        <v>0</v>
      </c>
      <c r="B24" s="8" t="s">
        <v>14</v>
      </c>
      <c r="D24" t="s">
        <v>131</v>
      </c>
      <c r="E24" s="7" t="s">
        <v>132</v>
      </c>
      <c r="F24" s="7" t="s">
        <v>133</v>
      </c>
      <c r="H24" s="8" t="s">
        <v>134</v>
      </c>
      <c r="I24" s="1" cm="1">
        <f t="array" ref="I24:T24">oz.Timelineλ(B25, B27, B26, FALSE)</f>
        <v>46234</v>
      </c>
      <c r="J24" s="1">
        <v>46265</v>
      </c>
      <c r="K24" s="1">
        <v>46295</v>
      </c>
      <c r="L24" s="1">
        <v>46326</v>
      </c>
      <c r="M24" s="1">
        <v>46356</v>
      </c>
      <c r="N24" s="1">
        <v>46387</v>
      </c>
      <c r="O24" s="1">
        <v>46418</v>
      </c>
      <c r="P24" s="1">
        <v>46446</v>
      </c>
      <c r="Q24" s="1">
        <v>46477</v>
      </c>
      <c r="R24" s="1">
        <v>46507</v>
      </c>
      <c r="S24" s="1">
        <v>46538</v>
      </c>
      <c r="T24" s="1">
        <v>46568</v>
      </c>
    </row>
    <row r="25" spans="1:20" x14ac:dyDescent="0.25">
      <c r="A25" t="s">
        <v>112</v>
      </c>
      <c r="B25" s="56">
        <v>46204</v>
      </c>
      <c r="D25" t="s">
        <v>135</v>
      </c>
      <c r="E25" s="34">
        <v>46227</v>
      </c>
      <c r="F25">
        <v>291</v>
      </c>
      <c r="H25" t="str" cm="1">
        <f t="array" ref="H25:H29">_xlfn._xlws.SORT(_xlfn.UNIQUE(tblItems[Item]))</f>
        <v>Unit 100</v>
      </c>
      <c r="I25" s="55" cm="1">
        <f t="array" ref="I25:T29">oz.ScheduleRatesByItemsλ(_xlfn.ANCHORARRAY(I24),_xlfn.ANCHORARRAY(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18</v>
      </c>
      <c r="B26" s="17" t="s">
        <v>20</v>
      </c>
      <c r="D26" t="s">
        <v>137</v>
      </c>
      <c r="E26" s="34">
        <v>46231</v>
      </c>
      <c r="F26">
        <v>515</v>
      </c>
      <c r="H26" t="str">
        <v>Unit 200</v>
      </c>
      <c r="I26">
        <v>291</v>
      </c>
      <c r="J26">
        <v>291</v>
      </c>
      <c r="K26">
        <v>291</v>
      </c>
      <c r="L26">
        <v>291</v>
      </c>
      <c r="M26">
        <v>291</v>
      </c>
      <c r="N26">
        <v>291</v>
      </c>
      <c r="O26">
        <v>291</v>
      </c>
      <c r="P26">
        <v>295</v>
      </c>
      <c r="Q26">
        <v>295</v>
      </c>
      <c r="R26">
        <v>295</v>
      </c>
      <c r="S26">
        <v>295</v>
      </c>
      <c r="T26">
        <v>295</v>
      </c>
    </row>
    <row r="27" spans="1:20" x14ac:dyDescent="0.25">
      <c r="A27" t="s">
        <v>17</v>
      </c>
      <c r="B27" s="57">
        <v>12</v>
      </c>
      <c r="D27" t="s">
        <v>139</v>
      </c>
      <c r="E27" s="34">
        <v>46235</v>
      </c>
      <c r="F27">
        <v>100</v>
      </c>
      <c r="H27" t="str">
        <v>Unit 300</v>
      </c>
      <c r="I27">
        <v>515</v>
      </c>
      <c r="J27">
        <v>515</v>
      </c>
      <c r="K27">
        <v>515</v>
      </c>
      <c r="L27">
        <v>515</v>
      </c>
      <c r="M27">
        <v>515</v>
      </c>
      <c r="N27">
        <v>520</v>
      </c>
      <c r="O27">
        <v>520</v>
      </c>
      <c r="P27">
        <v>520</v>
      </c>
      <c r="Q27">
        <v>520</v>
      </c>
      <c r="R27">
        <v>535</v>
      </c>
      <c r="S27">
        <v>535</v>
      </c>
      <c r="T27">
        <v>535</v>
      </c>
    </row>
    <row r="28" spans="1:20" x14ac:dyDescent="0.25">
      <c r="D28" t="s">
        <v>136</v>
      </c>
      <c r="E28" s="34">
        <v>46298</v>
      </c>
      <c r="F28">
        <v>291</v>
      </c>
      <c r="H28" t="str">
        <v>Unit 400</v>
      </c>
      <c r="I28">
        <v>0</v>
      </c>
      <c r="J28">
        <v>0</v>
      </c>
      <c r="K28">
        <v>0</v>
      </c>
      <c r="L28">
        <v>0</v>
      </c>
      <c r="M28">
        <v>0</v>
      </c>
      <c r="N28">
        <v>0</v>
      </c>
      <c r="O28">
        <v>0</v>
      </c>
      <c r="P28">
        <v>250</v>
      </c>
      <c r="Q28">
        <v>275</v>
      </c>
      <c r="R28">
        <v>300</v>
      </c>
      <c r="S28">
        <v>300</v>
      </c>
      <c r="T28">
        <v>300</v>
      </c>
    </row>
    <row r="29" spans="1:20" x14ac:dyDescent="0.25">
      <c r="D29" t="s">
        <v>137</v>
      </c>
      <c r="E29" s="34">
        <v>46357</v>
      </c>
      <c r="F29">
        <v>520</v>
      </c>
      <c r="H29" t="str">
        <v>Unit 500</v>
      </c>
      <c r="I29">
        <v>0</v>
      </c>
      <c r="J29">
        <v>100</v>
      </c>
      <c r="K29">
        <v>100</v>
      </c>
      <c r="L29">
        <v>100</v>
      </c>
      <c r="M29">
        <v>100</v>
      </c>
      <c r="N29">
        <v>125</v>
      </c>
      <c r="O29">
        <v>125</v>
      </c>
      <c r="P29">
        <v>125</v>
      </c>
      <c r="Q29">
        <v>125</v>
      </c>
      <c r="R29">
        <v>125</v>
      </c>
      <c r="S29">
        <v>150</v>
      </c>
      <c r="T29">
        <v>150</v>
      </c>
    </row>
    <row r="30" spans="1:20" x14ac:dyDescent="0.25">
      <c r="D30" t="s">
        <v>139</v>
      </c>
      <c r="E30" s="34">
        <v>46357</v>
      </c>
      <c r="F30">
        <v>125</v>
      </c>
    </row>
    <row r="31" spans="1:20" x14ac:dyDescent="0.25">
      <c r="D31" t="s">
        <v>135</v>
      </c>
      <c r="E31" s="34">
        <v>46424</v>
      </c>
      <c r="F31">
        <v>295</v>
      </c>
    </row>
    <row r="32" spans="1:20" x14ac:dyDescent="0.25">
      <c r="D32" t="s">
        <v>138</v>
      </c>
      <c r="E32" s="34">
        <v>46429</v>
      </c>
      <c r="F32">
        <v>250</v>
      </c>
      <c r="J32">
        <f>SIGN(0)</f>
        <v>0</v>
      </c>
    </row>
    <row r="33" spans="4:6" x14ac:dyDescent="0.25">
      <c r="D33" t="s">
        <v>138</v>
      </c>
      <c r="E33" s="34">
        <v>46457</v>
      </c>
      <c r="F33">
        <v>275</v>
      </c>
    </row>
    <row r="34" spans="4:6" x14ac:dyDescent="0.25">
      <c r="D34" t="s">
        <v>136</v>
      </c>
      <c r="E34" s="34">
        <v>46482</v>
      </c>
      <c r="F34">
        <v>325</v>
      </c>
    </row>
    <row r="35" spans="4:6" x14ac:dyDescent="0.25">
      <c r="D35" t="s">
        <v>137</v>
      </c>
      <c r="E35" s="34">
        <v>46500</v>
      </c>
      <c r="F35">
        <v>535</v>
      </c>
    </row>
    <row r="36" spans="4:6" x14ac:dyDescent="0.25">
      <c r="D36" t="s">
        <v>138</v>
      </c>
      <c r="E36" s="34">
        <v>46502</v>
      </c>
      <c r="F36">
        <v>300</v>
      </c>
    </row>
    <row r="37" spans="4:6" x14ac:dyDescent="0.25">
      <c r="D37" t="s">
        <v>139</v>
      </c>
      <c r="E37" s="34">
        <v>46512</v>
      </c>
      <c r="F37">
        <v>150</v>
      </c>
    </row>
    <row r="38" spans="4:6" x14ac:dyDescent="0.25">
      <c r="D38" t="s">
        <v>135</v>
      </c>
      <c r="E38" s="34">
        <v>46663</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pageSetup paperSize="9" scale="55" fitToHeight="0" orientation="landscape" horizontalDpi="0" verticalDpi="0"/>
  <drawing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000000"/>
    <pageSetUpPr fitToPage="1"/>
  </sheetPr>
  <dimension ref="A1:X41"/>
  <sheetViews>
    <sheetView showGridLines="0" workbookViewId="0">
      <selection sqref="A1:T1"/>
    </sheetView>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6.5" x14ac:dyDescent="0.7">
      <c r="A1" s="185" t="str">
        <f ca="1">_xlfn.TEXTAFTER(CELL("filename",A1),"]")</f>
        <v>oz.ScheduleValuesλ</v>
      </c>
      <c r="B1" s="185"/>
      <c r="C1" s="185"/>
      <c r="D1" s="185"/>
      <c r="E1" s="185"/>
      <c r="F1" s="185"/>
      <c r="G1" s="185"/>
      <c r="H1" s="185"/>
      <c r="I1" s="185"/>
      <c r="J1" s="185"/>
      <c r="K1" s="185"/>
      <c r="L1" s="185"/>
      <c r="M1" s="185"/>
      <c r="N1" s="185"/>
      <c r="O1" s="185"/>
      <c r="P1" s="185"/>
      <c r="Q1" s="185"/>
      <c r="R1" s="185"/>
      <c r="S1" s="185"/>
      <c r="T1" s="185"/>
    </row>
    <row r="2" spans="1:20" x14ac:dyDescent="0.25">
      <c r="A2" s="186" t="s">
        <v>79</v>
      </c>
      <c r="B2" s="187"/>
      <c r="C2" s="187"/>
      <c r="D2" s="187"/>
      <c r="E2" s="187"/>
      <c r="F2" s="187"/>
      <c r="G2" s="187"/>
      <c r="H2" s="187"/>
      <c r="I2" s="187"/>
      <c r="J2" s="187"/>
      <c r="K2" s="187"/>
      <c r="L2" s="187"/>
      <c r="M2" s="187"/>
      <c r="N2" s="187"/>
      <c r="O2" s="187"/>
      <c r="P2" s="188"/>
      <c r="Q2" s="4"/>
      <c r="R2" s="4"/>
      <c r="S2" s="4"/>
      <c r="T2" s="4"/>
    </row>
    <row r="4" spans="1:20" x14ac:dyDescent="0.25">
      <c r="A4" s="55" t="str" cm="1">
        <f t="array" ref="A4:B14">oz.ScheduleValuesλ()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https://github.com/ryanduguid/Ozzit</v>
      </c>
    </row>
    <row r="7" spans="1:20" x14ac:dyDescent="0.25">
      <c r="A7" t="str">
        <v>PARAMETERS:</v>
      </c>
      <c r="B7" t="str">
        <v/>
      </c>
    </row>
    <row r="8" spans="1:20" x14ac:dyDescent="0.25">
      <c r="A8" t="str">
        <v>PeriodStarts</v>
      </c>
      <c r="B8" t="str">
        <v>(Required) A row of period start dates (timeline).</v>
      </c>
    </row>
    <row r="9" spans="1:20" x14ac:dyDescent="0.25">
      <c r="A9" t="str">
        <v>PeriodEnds</v>
      </c>
      <c r="B9" t="str">
        <v>(Required) A row of period end dates (timeline).</v>
      </c>
    </row>
    <row r="10" spans="1:20" x14ac:dyDescent="0.25">
      <c r="A10" t="str">
        <v>Values</v>
      </c>
      <c r="B10" t="str">
        <v>(Required) A column or row of values to be scheduled.</v>
      </c>
    </row>
    <row r="11" spans="1:20" x14ac:dyDescent="0.25">
      <c r="A11" t="str">
        <v>EffectiveDates</v>
      </c>
      <c r="B11" t="str">
        <v>(Required) When each value is scheduled, in the same orientation as Values.</v>
      </c>
    </row>
    <row r="12" spans="1:20" x14ac:dyDescent="0.25">
      <c r="A12" t="str">
        <v>EXAMPLES:</v>
      </c>
      <c r="B12" t="str">
        <v/>
      </c>
    </row>
    <row r="13" spans="1:20" x14ac:dyDescent="0.25">
      <c r="A13" t="str">
        <v>Result</v>
      </c>
      <c r="B13" t="str">
        <v>Formula (oz is assumed to be the module's name)</v>
      </c>
    </row>
    <row r="14" spans="1:20" x14ac:dyDescent="0.25">
      <c r="A14" t="str">
        <v/>
      </c>
      <c r="B14" t="str">
        <v>=oz.ScheduleValuesλ(Timelineλ("1/7/2026"), Timelineλ("1/7/2026",,,FALSE), {1;3}, {"1/7/2026"; "15/8/2026"})</v>
      </c>
    </row>
    <row r="17" spans="1:24" ht="21" x14ac:dyDescent="0.35">
      <c r="A17" s="203" t="s">
        <v>148</v>
      </c>
      <c r="B17" s="203"/>
      <c r="C17" s="203"/>
      <c r="E17" s="200" t="s">
        <v>154</v>
      </c>
      <c r="F17" s="205"/>
      <c r="G17" s="205"/>
      <c r="H17" s="205"/>
      <c r="I17" s="206"/>
    </row>
    <row r="18" spans="1:24" x14ac:dyDescent="0.25">
      <c r="E18" s="202"/>
      <c r="F18" s="207"/>
      <c r="G18" s="207"/>
      <c r="H18" s="207"/>
      <c r="I18" s="207"/>
      <c r="L18" s="59" t="s">
        <v>155</v>
      </c>
      <c r="M18" s="58" cm="1">
        <f t="array" ref="M18:X18">oz.Timelineλ(B20,B21,B22, FALSE)</f>
        <v>46234</v>
      </c>
      <c r="N18" s="58">
        <v>46265</v>
      </c>
      <c r="O18" s="58">
        <v>46295</v>
      </c>
      <c r="P18" s="58">
        <v>46326</v>
      </c>
      <c r="Q18" s="58">
        <v>46356</v>
      </c>
      <c r="R18" s="58">
        <v>46387</v>
      </c>
      <c r="S18" s="58">
        <v>46418</v>
      </c>
      <c r="T18" s="58">
        <v>46446</v>
      </c>
      <c r="U18" s="58">
        <v>46477</v>
      </c>
      <c r="V18" s="58">
        <v>46507</v>
      </c>
      <c r="W18" s="58">
        <v>46538</v>
      </c>
      <c r="X18" s="58">
        <v>46568</v>
      </c>
    </row>
    <row r="19" spans="1:24" x14ac:dyDescent="0.25">
      <c r="A19" s="54" t="s">
        <v>149</v>
      </c>
      <c r="B19" s="54" t="s">
        <v>14</v>
      </c>
      <c r="C19" s="54" t="s">
        <v>15</v>
      </c>
      <c r="E19" s="7" t="s">
        <v>156</v>
      </c>
      <c r="F19" t="s">
        <v>140</v>
      </c>
      <c r="G19" t="s">
        <v>145</v>
      </c>
      <c r="H19" t="s">
        <v>150</v>
      </c>
      <c r="I19" t="s">
        <v>125</v>
      </c>
      <c r="L19" s="42" t="s">
        <v>152</v>
      </c>
      <c r="M19" s="49" cm="1">
        <f t="array" ref="M19:X19">oz.Timelineλ(B20,B21,B22)</f>
        <v>46204</v>
      </c>
      <c r="N19" s="1">
        <v>46235</v>
      </c>
      <c r="O19" s="1">
        <v>46266</v>
      </c>
      <c r="P19" s="1">
        <v>46296</v>
      </c>
      <c r="Q19" s="1">
        <v>46327</v>
      </c>
      <c r="R19" s="1">
        <v>46357</v>
      </c>
      <c r="S19" s="1">
        <v>46388</v>
      </c>
      <c r="T19" s="1">
        <v>46419</v>
      </c>
      <c r="U19" s="1">
        <v>46447</v>
      </c>
      <c r="V19" s="1">
        <v>46478</v>
      </c>
      <c r="W19" s="1">
        <v>46508</v>
      </c>
      <c r="X19" s="1">
        <v>46539</v>
      </c>
    </row>
    <row r="20" spans="1:24" x14ac:dyDescent="0.25">
      <c r="A20" t="s">
        <v>112</v>
      </c>
      <c r="B20" s="34">
        <v>46204</v>
      </c>
      <c r="C20" t="s">
        <v>21</v>
      </c>
      <c r="E20" cm="1">
        <f t="array" ref="E20">100 + ROW() - ROW(tblCO[#Headers])</f>
        <v>101</v>
      </c>
      <c r="F20" t="s">
        <v>142</v>
      </c>
      <c r="G20" s="34">
        <v>46207</v>
      </c>
      <c r="H20" s="34">
        <f>tblCO[[#This Row],[Issued]]+_xlfn.XLOOKUP(tblCO[[#This Row],[Customer]],tblCT[Customer], tblCT[Terms])</f>
        <v>46237</v>
      </c>
      <c r="I20">
        <v>1000</v>
      </c>
      <c r="K20" s="2" t="s">
        <v>151</v>
      </c>
      <c r="L20">
        <f>SUM(_xlfn.ANCHORARRAY(M20))</f>
        <v>62370</v>
      </c>
      <c r="M20" s="55" cm="1">
        <f t="array" ref="M20:X20">oz.ScheduleValuesλ(_xlfn.ANCHORARRAY(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17</v>
      </c>
      <c r="B21">
        <v>12</v>
      </c>
      <c r="C21" t="s">
        <v>22</v>
      </c>
      <c r="E21" cm="1">
        <f t="array" ref="E21">100 + ROW() - ROW(tblCO[#Headers])</f>
        <v>102</v>
      </c>
      <c r="F21" t="s">
        <v>143</v>
      </c>
      <c r="G21" s="34">
        <v>46214</v>
      </c>
      <c r="H21" s="34">
        <f>tblCO[[#This Row],[Issued]]+_xlfn.XLOOKUP(tblCO[[#This Row],[Customer]],tblCT[Customer], tblCT[Terms])</f>
        <v>46334</v>
      </c>
      <c r="I21">
        <v>1197</v>
      </c>
      <c r="K21" s="2" t="s">
        <v>153</v>
      </c>
      <c r="L21">
        <f>SUM(_xlfn.ANCHORARRAY(M21))</f>
        <v>62370</v>
      </c>
      <c r="M21" s="55" cm="1">
        <f t="array" ref="M21:X21">oz.ScheduleValuesλ(_xlfn.ANCHORARRAY(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18</v>
      </c>
      <c r="B22" t="s">
        <v>20</v>
      </c>
      <c r="E22" cm="1">
        <f t="array" ref="E22">100 + ROW() - ROW(tblCO[#Headers])</f>
        <v>103</v>
      </c>
      <c r="F22" t="s">
        <v>144</v>
      </c>
      <c r="G22" s="34">
        <v>46221</v>
      </c>
      <c r="H22" s="34">
        <f>tblCO[[#This Row],[Issued]]+_xlfn.XLOOKUP(tblCO[[#This Row],[Customer]],tblCT[Customer], tblCT[Terms])</f>
        <v>46266</v>
      </c>
      <c r="I22">
        <v>1394</v>
      </c>
      <c r="K22" s="2" t="s">
        <v>158</v>
      </c>
      <c r="L22">
        <f>SUM(_xlfn.ANCHORARRAY(M22))</f>
        <v>0</v>
      </c>
      <c r="M22" s="60" cm="1">
        <f t="array" ref="M22:X22">_xlfn.ANCHORARRAY(M20)-_xlfn.ANCHORARRAY(M21)</f>
        <v>5182</v>
      </c>
      <c r="N22" s="60">
        <v>5546</v>
      </c>
      <c r="O22" s="60">
        <v>7107</v>
      </c>
      <c r="P22" s="60">
        <v>3743</v>
      </c>
      <c r="Q22" s="60">
        <v>10062</v>
      </c>
      <c r="R22" s="60">
        <v>-19775</v>
      </c>
      <c r="S22" s="60">
        <v>-7713</v>
      </c>
      <c r="T22" s="60">
        <v>-4152</v>
      </c>
      <c r="U22" s="60">
        <v>0</v>
      </c>
      <c r="V22" s="60">
        <v>0</v>
      </c>
      <c r="W22" s="60">
        <v>0</v>
      </c>
      <c r="X22" s="60">
        <v>0</v>
      </c>
    </row>
    <row r="23" spans="1:24" x14ac:dyDescent="0.25">
      <c r="E23" cm="1">
        <f t="array" ref="E23">100 + ROW() - ROW(tblCO[#Headers])</f>
        <v>104</v>
      </c>
      <c r="F23" t="s">
        <v>194</v>
      </c>
      <c r="G23" s="34">
        <v>46228</v>
      </c>
      <c r="H23" s="34">
        <f>tblCO[[#This Row],[Issued]]+_xlfn.XLOOKUP(tblCO[[#This Row],[Customer]],tblCT[Customer], tblCT[Terms])</f>
        <v>46288</v>
      </c>
      <c r="I23">
        <v>1591</v>
      </c>
      <c r="K23" s="2"/>
    </row>
    <row r="24" spans="1:24" x14ac:dyDescent="0.25">
      <c r="E24" cm="1">
        <f t="array" ref="E24">100 + ROW() - ROW(tblCO[#Headers])</f>
        <v>105</v>
      </c>
      <c r="F24" t="s">
        <v>195</v>
      </c>
      <c r="G24" s="34">
        <v>46235</v>
      </c>
      <c r="H24" s="34">
        <f>tblCO[[#This Row],[Issued]]+_xlfn.XLOOKUP(tblCO[[#This Row],[Customer]],tblCT[Customer], tblCT[Terms])</f>
        <v>46250</v>
      </c>
      <c r="I24">
        <v>1788</v>
      </c>
      <c r="K24" s="2" t="s">
        <v>157</v>
      </c>
      <c r="M24" cm="1">
        <f t="array" ref="M24:X24">oz.Cumulativeλ(_xlfn.ANCHORARRAY(M22))</f>
        <v>5182</v>
      </c>
      <c r="N24">
        <v>10728</v>
      </c>
      <c r="O24">
        <v>17835</v>
      </c>
      <c r="P24">
        <v>21578</v>
      </c>
      <c r="Q24">
        <v>31640</v>
      </c>
      <c r="R24">
        <v>11865</v>
      </c>
      <c r="S24">
        <v>4152</v>
      </c>
      <c r="T24">
        <v>0</v>
      </c>
      <c r="U24">
        <v>0</v>
      </c>
      <c r="V24">
        <v>0</v>
      </c>
      <c r="W24">
        <v>0</v>
      </c>
      <c r="X24">
        <v>0</v>
      </c>
    </row>
    <row r="25" spans="1:24" ht="21" x14ac:dyDescent="0.35">
      <c r="A25" s="200" t="s">
        <v>146</v>
      </c>
      <c r="B25" s="204"/>
      <c r="C25" s="204"/>
      <c r="E25" cm="1">
        <f t="array" ref="E25">100 + ROW() - ROW(tblCO[#Headers])</f>
        <v>106</v>
      </c>
      <c r="F25" t="s">
        <v>142</v>
      </c>
      <c r="G25" s="34">
        <v>46242</v>
      </c>
      <c r="H25" s="34">
        <f>tblCO[[#This Row],[Issued]]+_xlfn.XLOOKUP(tblCO[[#This Row],[Customer]],tblCT[Customer], tblCT[Terms])</f>
        <v>46272</v>
      </c>
      <c r="I25">
        <v>1985</v>
      </c>
    </row>
    <row r="26" spans="1:24" x14ac:dyDescent="0.25">
      <c r="A26" s="202"/>
      <c r="B26" s="201"/>
      <c r="C26" s="201"/>
      <c r="E26" cm="1">
        <f t="array" ref="E26">100 + ROW() - ROW(tblCO[#Headers])</f>
        <v>107</v>
      </c>
      <c r="F26" t="s">
        <v>143</v>
      </c>
      <c r="G26" s="34">
        <v>46249</v>
      </c>
      <c r="H26" s="34">
        <f>tblCO[[#This Row],[Issued]]+_xlfn.XLOOKUP(tblCO[[#This Row],[Customer]],tblCT[Customer], tblCT[Terms])</f>
        <v>46369</v>
      </c>
      <c r="I26">
        <v>2182</v>
      </c>
    </row>
    <row r="27" spans="1:24" x14ac:dyDescent="0.25">
      <c r="A27" s="7" t="s">
        <v>147</v>
      </c>
      <c r="B27" t="s">
        <v>140</v>
      </c>
      <c r="C27" s="7" t="s">
        <v>141</v>
      </c>
      <c r="E27" cm="1">
        <f t="array" ref="E27">100 + ROW() - ROW(tblCO[#Headers])</f>
        <v>108</v>
      </c>
      <c r="F27" t="s">
        <v>144</v>
      </c>
      <c r="G27" s="34">
        <v>46256</v>
      </c>
      <c r="H27" s="34">
        <f>tblCO[[#This Row],[Issued]]+_xlfn.XLOOKUP(tblCO[[#This Row],[Customer]],tblCT[Customer], tblCT[Terms])</f>
        <v>46301</v>
      </c>
      <c r="I27">
        <v>2379</v>
      </c>
      <c r="M27" cm="1">
        <f t="array" ref="M27:X30">oz.Corkscrewλ(0,-_xlfn.ANCHORARRAY(M20),_xlfn.ANCHORARRAY(M21))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142</v>
      </c>
      <c r="C28">
        <v>30</v>
      </c>
      <c r="E28" cm="1">
        <f t="array" ref="E28">100 + ROW() - ROW(tblCO[#Headers])</f>
        <v>109</v>
      </c>
      <c r="F28" t="s">
        <v>194</v>
      </c>
      <c r="G28" s="34">
        <v>46266</v>
      </c>
      <c r="H28" s="34">
        <f>tblCO[[#This Row],[Issued]]+_xlfn.XLOOKUP(tblCO[[#This Row],[Customer]],tblCT[Customer], tblCT[Terms])</f>
        <v>46326</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143</v>
      </c>
      <c r="C29">
        <v>120</v>
      </c>
      <c r="E29" cm="1">
        <f t="array" ref="E29">100 + ROW() - ROW(tblCO[#Headers])</f>
        <v>110</v>
      </c>
      <c r="F29" t="s">
        <v>195</v>
      </c>
      <c r="G29" s="34">
        <v>46273</v>
      </c>
      <c r="H29" s="34">
        <f>tblCO[[#This Row],[Issued]]+_xlfn.XLOOKUP(tblCO[[#This Row],[Customer]],tblCT[Customer], tblCT[Terms])</f>
        <v>46288</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144</v>
      </c>
      <c r="C30">
        <v>45</v>
      </c>
      <c r="E30" cm="1">
        <f t="array" ref="E30">100 + ROW() - ROW(tblCO[#Headers])</f>
        <v>111</v>
      </c>
      <c r="F30" t="s">
        <v>142</v>
      </c>
      <c r="G30" s="34">
        <v>46280</v>
      </c>
      <c r="H30" s="34">
        <f>tblCO[[#This Row],[Issued]]+_xlfn.XLOOKUP(tblCO[[#This Row],[Customer]],tblCT[Customer], tblCT[Terms])</f>
        <v>46310</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194</v>
      </c>
      <c r="C31">
        <v>60</v>
      </c>
      <c r="E31" cm="1">
        <f t="array" ref="E31">100 + ROW() - ROW(tblCO[#Headers])</f>
        <v>112</v>
      </c>
      <c r="F31" t="s">
        <v>143</v>
      </c>
      <c r="G31" s="34">
        <v>46287</v>
      </c>
      <c r="H31" s="34">
        <f>tblCO[[#This Row],[Issued]]+_xlfn.XLOOKUP(tblCO[[#This Row],[Customer]],tblCT[Customer], tblCT[Terms])</f>
        <v>46407</v>
      </c>
      <c r="I31">
        <v>3167</v>
      </c>
    </row>
    <row r="32" spans="1:24" x14ac:dyDescent="0.25">
      <c r="A32" cm="1">
        <f t="array" ref="A32">ROW()-ROW(tblCT[#Headers])</f>
        <v>5</v>
      </c>
      <c r="B32" t="s">
        <v>195</v>
      </c>
      <c r="C32">
        <v>15</v>
      </c>
      <c r="E32" cm="1">
        <f t="array" ref="E32">100 + ROW() - ROW(tblCO[#Headers])</f>
        <v>113</v>
      </c>
      <c r="F32" t="s">
        <v>144</v>
      </c>
      <c r="G32" s="34">
        <v>46294</v>
      </c>
      <c r="H32" s="34">
        <f>tblCO[[#This Row],[Issued]]+_xlfn.XLOOKUP(tblCO[[#This Row],[Customer]],tblCT[Customer], tblCT[Terms])</f>
        <v>46339</v>
      </c>
      <c r="I32">
        <v>3364</v>
      </c>
    </row>
    <row r="33" spans="5:9" x14ac:dyDescent="0.25">
      <c r="E33" cm="1">
        <f t="array" ref="E33">100 + ROW() - ROW(tblCO[#Headers])</f>
        <v>114</v>
      </c>
      <c r="F33" t="s">
        <v>194</v>
      </c>
      <c r="G33" s="34">
        <v>46300</v>
      </c>
      <c r="H33" s="34">
        <f>tblCO[[#This Row],[Issued]]+_xlfn.XLOOKUP(tblCO[[#This Row],[Customer]],tblCT[Customer], tblCT[Terms])</f>
        <v>46360</v>
      </c>
      <c r="I33">
        <v>3561</v>
      </c>
    </row>
    <row r="34" spans="5:9" x14ac:dyDescent="0.25">
      <c r="E34" cm="1">
        <f t="array" ref="E34">100 + ROW() - ROW(tblCO[#Headers])</f>
        <v>115</v>
      </c>
      <c r="F34" t="s">
        <v>195</v>
      </c>
      <c r="G34" s="34">
        <v>46307</v>
      </c>
      <c r="H34" s="34">
        <f>tblCO[[#This Row],[Issued]]+_xlfn.XLOOKUP(tblCO[[#This Row],[Customer]],tblCT[Customer], tblCT[Terms])</f>
        <v>46322</v>
      </c>
      <c r="I34">
        <v>3758</v>
      </c>
    </row>
    <row r="35" spans="5:9" x14ac:dyDescent="0.25">
      <c r="E35" cm="1">
        <f t="array" ref="E35">100 + ROW() - ROW(tblCO[#Headers])</f>
        <v>116</v>
      </c>
      <c r="F35" t="s">
        <v>142</v>
      </c>
      <c r="G35" s="34">
        <v>46314</v>
      </c>
      <c r="H35" s="34">
        <f>tblCO[[#This Row],[Issued]]+_xlfn.XLOOKUP(tblCO[[#This Row],[Customer]],tblCT[Customer], tblCT[Terms])</f>
        <v>46344</v>
      </c>
      <c r="I35">
        <v>3955</v>
      </c>
    </row>
    <row r="36" spans="5:9" x14ac:dyDescent="0.25">
      <c r="E36" cm="1">
        <f t="array" ref="E36">100 + ROW() - ROW(tblCO[#Headers])</f>
        <v>117</v>
      </c>
      <c r="F36" t="s">
        <v>143</v>
      </c>
      <c r="G36" s="34">
        <v>46321</v>
      </c>
      <c r="H36" s="34">
        <f>tblCO[[#This Row],[Issued]]+_xlfn.XLOOKUP(tblCO[[#This Row],[Customer]],tblCT[Customer], tblCT[Terms])</f>
        <v>46441</v>
      </c>
      <c r="I36">
        <v>4152</v>
      </c>
    </row>
    <row r="37" spans="5:9" x14ac:dyDescent="0.25">
      <c r="E37" cm="1">
        <f t="array" ref="E37">100 + ROW() - ROW(tblCO[#Headers])</f>
        <v>118</v>
      </c>
      <c r="F37" t="s">
        <v>144</v>
      </c>
      <c r="G37" s="34">
        <v>46329</v>
      </c>
      <c r="H37" s="34">
        <f>tblCO[[#This Row],[Issued]]+_xlfn.XLOOKUP(tblCO[[#This Row],[Customer]],tblCT[Customer], tblCT[Terms])</f>
        <v>46374</v>
      </c>
      <c r="I37">
        <v>4349</v>
      </c>
    </row>
    <row r="38" spans="5:9" x14ac:dyDescent="0.25">
      <c r="E38" cm="1">
        <f t="array" ref="E38">100 + ROW() - ROW(tblCO[#Headers])</f>
        <v>119</v>
      </c>
      <c r="F38" t="s">
        <v>194</v>
      </c>
      <c r="G38" s="34">
        <v>46336</v>
      </c>
      <c r="H38" s="34">
        <f>tblCO[[#This Row],[Issued]]+_xlfn.XLOOKUP(tblCO[[#This Row],[Customer]],tblCT[Customer], tblCT[Terms])</f>
        <v>46396</v>
      </c>
      <c r="I38">
        <v>4546</v>
      </c>
    </row>
    <row r="39" spans="5:9" x14ac:dyDescent="0.25">
      <c r="E39" cm="1">
        <f t="array" ref="E39">100 + ROW() - ROW(tblCO[#Headers])</f>
        <v>120</v>
      </c>
      <c r="F39" t="s">
        <v>195</v>
      </c>
      <c r="G39" s="34">
        <v>46343</v>
      </c>
      <c r="H39" s="34">
        <f>tblCO[[#This Row],[Issued]]+_xlfn.XLOOKUP(tblCO[[#This Row],[Customer]],tblCT[Customer], tblCT[Terms])</f>
        <v>46358</v>
      </c>
      <c r="I39">
        <v>4743</v>
      </c>
    </row>
    <row r="40" spans="5:9" x14ac:dyDescent="0.25">
      <c r="E40" cm="1">
        <f t="array" ref="E40">100 + ROW() - ROW(tblCO[#Headers])</f>
        <v>121</v>
      </c>
      <c r="F40" t="s">
        <v>142</v>
      </c>
      <c r="G40" s="34">
        <v>46350</v>
      </c>
      <c r="H40" s="34">
        <f>tblCO[[#This Row],[Issued]]+_xlfn.XLOOKUP(tblCO[[#This Row],[Customer]],tblCT[Customer], tblCT[Terms])</f>
        <v>46380</v>
      </c>
      <c r="I40">
        <v>4940</v>
      </c>
    </row>
    <row r="41" spans="5:9" x14ac:dyDescent="0.25">
      <c r="E41" s="61" t="s">
        <v>5</v>
      </c>
      <c r="F41" s="61"/>
      <c r="G41" s="62"/>
      <c r="H41" s="62"/>
      <c r="I41">
        <f>SUBTOTAL(109,I20:I40)</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pageSetup paperSize="9" scale="45" fitToHeight="0" orientation="landscape" horizontalDpi="0" verticalDpi="0"/>
  <drawing r:id="rId1"/>
  <tableParts count="2">
    <tablePart r:id="rId2"/>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000000"/>
    <pageSetUpPr fitToPage="1"/>
  </sheetPr>
  <dimension ref="A1:X46"/>
  <sheetViews>
    <sheetView showGridLines="0" workbookViewId="0">
      <selection sqref="A1:Q1"/>
    </sheetView>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6.5" x14ac:dyDescent="0.7">
      <c r="A1" s="185" t="str">
        <f ca="1">_xlfn.TEXTAFTER(CELL("filename",A1),"]")</f>
        <v>oz.ScheduleValuesByItemsλ</v>
      </c>
      <c r="B1" s="185"/>
      <c r="C1" s="185"/>
      <c r="D1" s="185"/>
      <c r="E1" s="185"/>
      <c r="F1" s="185"/>
      <c r="G1" s="185"/>
      <c r="H1" s="185"/>
      <c r="I1" s="185"/>
      <c r="J1" s="185"/>
      <c r="K1" s="185"/>
      <c r="L1" s="185"/>
      <c r="M1" s="185"/>
      <c r="N1" s="185"/>
      <c r="O1" s="185"/>
      <c r="P1" s="185"/>
      <c r="Q1" s="185"/>
    </row>
    <row r="2" spans="1:17" x14ac:dyDescent="0.25">
      <c r="A2" s="186" t="s">
        <v>80</v>
      </c>
      <c r="B2" s="187"/>
      <c r="C2" s="187"/>
      <c r="D2" s="187"/>
      <c r="E2" s="187"/>
      <c r="F2" s="187"/>
      <c r="G2" s="187"/>
      <c r="H2" s="187"/>
      <c r="I2" s="187"/>
      <c r="J2" s="187"/>
      <c r="K2" s="187"/>
      <c r="L2" s="187"/>
      <c r="M2" s="187"/>
      <c r="N2" s="187"/>
      <c r="O2" s="187"/>
      <c r="P2" s="187"/>
      <c r="Q2" s="188"/>
    </row>
    <row r="3" spans="1:17" x14ac:dyDescent="0.25">
      <c r="A3" s="130"/>
      <c r="B3" s="131"/>
      <c r="C3" s="131"/>
      <c r="D3" s="131"/>
      <c r="E3" s="131"/>
      <c r="F3" s="131"/>
      <c r="G3" s="131"/>
      <c r="H3" s="131"/>
      <c r="I3" s="131"/>
      <c r="J3" s="131"/>
      <c r="K3" s="131"/>
      <c r="L3" s="131"/>
      <c r="M3" s="131"/>
      <c r="N3" s="131"/>
      <c r="O3" s="131"/>
      <c r="P3" s="131"/>
      <c r="Q3" s="131"/>
    </row>
    <row r="4" spans="1:17" x14ac:dyDescent="0.25">
      <c r="A4" s="55" t="str" cm="1">
        <f t="array" ref="A4:B19">oz.ScheduleValuesByItemsλ()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https://github.com/ryanduguid/Ozzit</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
      </c>
      <c r="B15" t="str">
        <v>An item with no rows in the schedule totals nought in every period.</v>
      </c>
    </row>
    <row r="16" spans="1:17" x14ac:dyDescent="0.25">
      <c r="A16" t="str">
        <v>EXAMPLES:</v>
      </c>
      <c r="B16" t="str">
        <v/>
      </c>
    </row>
    <row r="17" spans="1:24" x14ac:dyDescent="0.25">
      <c r="A17" t="str">
        <v>Result</v>
      </c>
      <c r="B17" t="str">
        <v>Formula (oz is assumed to be the module's name)</v>
      </c>
    </row>
    <row r="18" spans="1:24" x14ac:dyDescent="0.25">
      <c r="A18" t="str">
        <v/>
      </c>
      <c r="B18" t="str">
        <v>=oz.ScheduleValuesByItemsλ( oz.Timelineλ( "1/7/2026"), oz.Timelineλ( "1/7/2026",,,FALSE),</v>
      </c>
    </row>
    <row r="19" spans="1:24" x14ac:dyDescent="0.25">
      <c r="A19" t="str">
        <v/>
      </c>
      <c r="B19" t="str">
        <v>UNIQUE( tblExp[Items]), tblExp[Items], tblExp[Dates], tblExp[Amount])</v>
      </c>
    </row>
    <row r="22" spans="1:24" ht="21" x14ac:dyDescent="0.35">
      <c r="A22" s="203" t="s">
        <v>148</v>
      </c>
      <c r="B22" s="203"/>
      <c r="C22" s="203"/>
      <c r="E22" s="189" t="s">
        <v>154</v>
      </c>
      <c r="F22" s="208"/>
      <c r="G22" s="208"/>
      <c r="H22" s="208"/>
      <c r="I22" s="190"/>
      <c r="L22" s="59" t="s">
        <v>155</v>
      </c>
      <c r="M22" s="63" cm="1">
        <f t="array" ref="M22:X22">oz.Timelineλ($B$25, $B$26, $B$27, FALSE)</f>
        <v>46234</v>
      </c>
      <c r="N22" s="63">
        <v>46265</v>
      </c>
      <c r="O22" s="63">
        <v>46295</v>
      </c>
      <c r="P22" s="63">
        <v>46326</v>
      </c>
      <c r="Q22" s="63">
        <v>46356</v>
      </c>
      <c r="R22" s="63">
        <v>46387</v>
      </c>
      <c r="S22" s="63">
        <v>46418</v>
      </c>
      <c r="T22" s="63">
        <v>46446</v>
      </c>
      <c r="U22" s="63">
        <v>46477</v>
      </c>
      <c r="V22" s="63">
        <v>46507</v>
      </c>
      <c r="W22" s="63">
        <v>46538</v>
      </c>
      <c r="X22" s="63">
        <v>46568</v>
      </c>
    </row>
    <row r="23" spans="1:24" x14ac:dyDescent="0.25">
      <c r="K23" s="54" t="s">
        <v>140</v>
      </c>
      <c r="L23" s="42" t="s">
        <v>152</v>
      </c>
      <c r="M23" s="49" cm="1">
        <f t="array" ref="M23:X23">oz.Timelineλ($B$25, $B$26, $B$27)</f>
        <v>46204</v>
      </c>
      <c r="N23" s="1">
        <v>46235</v>
      </c>
      <c r="O23" s="1">
        <v>46266</v>
      </c>
      <c r="P23" s="1">
        <v>46296</v>
      </c>
      <c r="Q23" s="1">
        <v>46327</v>
      </c>
      <c r="R23" s="1">
        <v>46357</v>
      </c>
      <c r="S23" s="1">
        <v>46388</v>
      </c>
      <c r="T23" s="1">
        <v>46419</v>
      </c>
      <c r="U23" s="1">
        <v>46447</v>
      </c>
      <c r="V23" s="1">
        <v>46478</v>
      </c>
      <c r="W23" s="1">
        <v>46508</v>
      </c>
      <c r="X23" s="1">
        <v>46539</v>
      </c>
    </row>
    <row r="24" spans="1:24" x14ac:dyDescent="0.25">
      <c r="A24" s="54" t="s">
        <v>149</v>
      </c>
      <c r="B24" s="54" t="s">
        <v>14</v>
      </c>
      <c r="C24" s="54" t="s">
        <v>15</v>
      </c>
      <c r="E24" s="53" t="str" cm="1">
        <f t="array" ref="E24:I46">tblCO[#All]</f>
        <v>Inv.#</v>
      </c>
      <c r="F24" s="53" t="str">
        <v>Customer</v>
      </c>
      <c r="G24" s="53" t="str">
        <v>Issued</v>
      </c>
      <c r="H24" s="53" t="str">
        <v>Exp. Receipt</v>
      </c>
      <c r="I24" s="53" t="str">
        <v>Amount</v>
      </c>
      <c r="L24" s="18" t="s">
        <v>151</v>
      </c>
    </row>
    <row r="25" spans="1:24" x14ac:dyDescent="0.25">
      <c r="A25" t="s">
        <v>112</v>
      </c>
      <c r="B25" s="34">
        <v>46204</v>
      </c>
      <c r="C25" t="s">
        <v>21</v>
      </c>
      <c r="E25">
        <v>101</v>
      </c>
      <c r="F25" t="str">
        <v>ACME</v>
      </c>
      <c r="G25" s="34">
        <v>46207</v>
      </c>
      <c r="H25" s="34">
        <v>46237</v>
      </c>
      <c r="I25">
        <v>1000</v>
      </c>
      <c r="K25" t="str" cm="1">
        <f t="array" ref="K25:K29">tblCT[Customer]</f>
        <v>ACME</v>
      </c>
      <c r="L25" cm="1">
        <f t="array" ref="L25:L29">oz.SumRowsλ(_xlfn.ANCHORARRAY(M25))</f>
        <v>14850</v>
      </c>
      <c r="M25" s="55" cm="1">
        <f t="array" ref="M25:X29">oz.ScheduleValuesByItemsλ(_xlfn.ANCHORARRAY(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17</v>
      </c>
      <c r="B26">
        <v>12</v>
      </c>
      <c r="C26" t="s">
        <v>22</v>
      </c>
      <c r="E26">
        <v>102</v>
      </c>
      <c r="F26" t="str">
        <v>Wool*Art</v>
      </c>
      <c r="G26" s="34">
        <v>46214</v>
      </c>
      <c r="H26" s="34">
        <v>46334</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18</v>
      </c>
      <c r="B27" t="s">
        <v>20</v>
      </c>
      <c r="E27">
        <v>103</v>
      </c>
      <c r="F27" t="str">
        <v>Town Hall</v>
      </c>
      <c r="G27" s="34">
        <v>46221</v>
      </c>
      <c r="H27" s="34">
        <v>46266</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34">
        <v>46228</v>
      </c>
      <c r="H28" s="34">
        <v>46288</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34">
        <v>46235</v>
      </c>
      <c r="H29" s="34">
        <v>46250</v>
      </c>
      <c r="I29">
        <v>1788</v>
      </c>
      <c r="K29" t="str">
        <v>Amazonia</v>
      </c>
      <c r="L29">
        <v>13062</v>
      </c>
      <c r="M29">
        <v>0</v>
      </c>
      <c r="N29">
        <v>1788</v>
      </c>
      <c r="O29">
        <v>2773</v>
      </c>
      <c r="P29">
        <v>3758</v>
      </c>
      <c r="Q29">
        <v>4743</v>
      </c>
      <c r="R29">
        <v>0</v>
      </c>
      <c r="S29">
        <v>0</v>
      </c>
      <c r="T29">
        <v>0</v>
      </c>
      <c r="U29">
        <v>0</v>
      </c>
      <c r="V29">
        <v>0</v>
      </c>
      <c r="W29">
        <v>0</v>
      </c>
      <c r="X29">
        <v>0</v>
      </c>
    </row>
    <row r="30" spans="1:24" ht="21" x14ac:dyDescent="0.35">
      <c r="A30" s="209" t="s">
        <v>146</v>
      </c>
      <c r="B30" s="210"/>
      <c r="C30" s="210"/>
      <c r="E30">
        <v>106</v>
      </c>
      <c r="F30" t="str">
        <v>ACME</v>
      </c>
      <c r="G30" s="34">
        <v>46242</v>
      </c>
      <c r="H30" s="34">
        <v>46272</v>
      </c>
      <c r="I30">
        <v>1985</v>
      </c>
      <c r="K30" s="60" t="s">
        <v>159</v>
      </c>
      <c r="L30" s="60">
        <f>SUM(_xlfn.ANCHORARRAY(M30))</f>
        <v>62370</v>
      </c>
      <c r="M30" s="60" cm="1">
        <f t="array" ref="M30:X30">oz.SumColsλ(_xlfn.ANCHORARRAY(M25))</f>
        <v>5182</v>
      </c>
      <c r="N30" s="60">
        <v>8334</v>
      </c>
      <c r="O30" s="60">
        <v>14850</v>
      </c>
      <c r="P30" s="60">
        <v>15426</v>
      </c>
      <c r="Q30" s="60">
        <v>18578</v>
      </c>
      <c r="R30" s="60">
        <v>0</v>
      </c>
      <c r="S30" s="60">
        <v>0</v>
      </c>
      <c r="T30" s="60">
        <v>0</v>
      </c>
      <c r="U30" s="60">
        <v>0</v>
      </c>
      <c r="V30" s="60">
        <v>0</v>
      </c>
      <c r="W30" s="60">
        <v>0</v>
      </c>
      <c r="X30" s="60">
        <v>0</v>
      </c>
    </row>
    <row r="31" spans="1:24" x14ac:dyDescent="0.25">
      <c r="E31">
        <v>107</v>
      </c>
      <c r="F31" t="str">
        <v>Wool*Art</v>
      </c>
      <c r="G31" s="34">
        <v>46249</v>
      </c>
      <c r="H31" s="34">
        <v>46369</v>
      </c>
      <c r="I31">
        <v>2182</v>
      </c>
    </row>
    <row r="32" spans="1:24" x14ac:dyDescent="0.25">
      <c r="A32" s="53" t="str" cm="1">
        <f t="array" ref="A32:C37">tblCT[#All]</f>
        <v>ID#</v>
      </c>
      <c r="B32" s="54" t="str">
        <v>Customer</v>
      </c>
      <c r="C32" s="53" t="str">
        <v>Terms</v>
      </c>
      <c r="E32">
        <v>108</v>
      </c>
      <c r="F32" t="str">
        <v>Town Hall</v>
      </c>
      <c r="G32" s="34">
        <v>46256</v>
      </c>
      <c r="H32" s="34">
        <v>46301</v>
      </c>
      <c r="I32">
        <v>2379</v>
      </c>
      <c r="L32" s="18" t="s">
        <v>160</v>
      </c>
    </row>
    <row r="33" spans="1:24" x14ac:dyDescent="0.25">
      <c r="A33">
        <v>1</v>
      </c>
      <c r="B33" t="str">
        <v>ACME</v>
      </c>
      <c r="C33">
        <v>30</v>
      </c>
      <c r="E33">
        <v>109</v>
      </c>
      <c r="F33" t="str">
        <v>Jacqie Penee</v>
      </c>
      <c r="G33" s="34">
        <v>46266</v>
      </c>
      <c r="H33" s="34">
        <v>46326</v>
      </c>
      <c r="I33">
        <v>2576</v>
      </c>
      <c r="K33" t="str" cm="1">
        <f t="array" ref="K33:K37">tblCT[Customer]</f>
        <v>ACME</v>
      </c>
      <c r="L33" cm="1">
        <f t="array" ref="L33:L37">oz.SumRowsλ(_xlfn.ANCHORARRAY(M33))</f>
        <v>14850</v>
      </c>
      <c r="M33" s="55" cm="1">
        <f t="array" ref="M33:X37">oz.ScheduleValuesByItemsλ(_xlfn.ANCHORARRAY(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34">
        <v>46273</v>
      </c>
      <c r="H34" s="34">
        <v>46288</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34">
        <v>46280</v>
      </c>
      <c r="H35" s="34">
        <v>46310</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34">
        <v>46287</v>
      </c>
      <c r="H36" s="34">
        <v>46407</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34">
        <v>46294</v>
      </c>
      <c r="H37" s="34">
        <v>46339</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34">
        <v>46300</v>
      </c>
      <c r="H38" s="34">
        <v>46360</v>
      </c>
      <c r="I38">
        <v>3561</v>
      </c>
      <c r="K38" s="60" t="s">
        <v>159</v>
      </c>
      <c r="L38" s="60">
        <f>SUM(_xlfn.ANCHORARRAY(M38))</f>
        <v>62370</v>
      </c>
      <c r="M38" s="60" cm="1">
        <f t="array" ref="M38:X38">oz.SumColsλ(_xlfn.ANCHORARRAY(M33))</f>
        <v>0</v>
      </c>
      <c r="N38" s="60">
        <v>2788</v>
      </c>
      <c r="O38" s="60">
        <v>7743</v>
      </c>
      <c r="P38" s="60">
        <v>11683</v>
      </c>
      <c r="Q38" s="60">
        <v>8516</v>
      </c>
      <c r="R38" s="60">
        <v>19775</v>
      </c>
      <c r="S38" s="60">
        <v>7713</v>
      </c>
      <c r="T38" s="60">
        <v>4152</v>
      </c>
      <c r="U38" s="60">
        <v>0</v>
      </c>
      <c r="V38" s="60">
        <v>0</v>
      </c>
      <c r="W38" s="60">
        <v>0</v>
      </c>
      <c r="X38" s="60">
        <v>0</v>
      </c>
    </row>
    <row r="39" spans="1:24" x14ac:dyDescent="0.25">
      <c r="E39">
        <v>115</v>
      </c>
      <c r="F39" t="str">
        <v>Amazonia</v>
      </c>
      <c r="G39" s="34">
        <v>46307</v>
      </c>
      <c r="H39" s="34">
        <v>46322</v>
      </c>
      <c r="I39">
        <v>3758</v>
      </c>
    </row>
    <row r="40" spans="1:24" ht="15.75" thickBot="1" x14ac:dyDescent="0.3">
      <c r="E40">
        <v>116</v>
      </c>
      <c r="F40" t="str">
        <v>ACME</v>
      </c>
      <c r="G40" s="34">
        <v>46314</v>
      </c>
      <c r="H40" s="34">
        <v>46344</v>
      </c>
      <c r="I40">
        <v>3955</v>
      </c>
      <c r="L40" s="18" t="s">
        <v>158</v>
      </c>
      <c r="M40" s="64" cm="1">
        <f t="array" ref="M40:X40">_xlfn.ANCHORARRAY(M30)-_xlfn.ANCHORARRAY(M38)</f>
        <v>5182</v>
      </c>
      <c r="N40" s="64">
        <v>5546</v>
      </c>
      <c r="O40" s="64">
        <v>7107</v>
      </c>
      <c r="P40" s="64">
        <v>3743</v>
      </c>
      <c r="Q40" s="64">
        <v>10062</v>
      </c>
      <c r="R40" s="64">
        <v>-19775</v>
      </c>
      <c r="S40" s="64">
        <v>-7713</v>
      </c>
      <c r="T40" s="64">
        <v>-4152</v>
      </c>
      <c r="U40" s="64">
        <v>0</v>
      </c>
      <c r="V40" s="64">
        <v>0</v>
      </c>
      <c r="W40" s="64">
        <v>0</v>
      </c>
      <c r="X40" s="64">
        <v>0</v>
      </c>
    </row>
    <row r="41" spans="1:24" ht="15.75" thickTop="1" x14ac:dyDescent="0.25">
      <c r="E41">
        <v>117</v>
      </c>
      <c r="F41" t="str">
        <v>Wool*Art</v>
      </c>
      <c r="G41" s="34">
        <v>46321</v>
      </c>
      <c r="H41" s="34">
        <v>46441</v>
      </c>
      <c r="I41">
        <v>4152</v>
      </c>
    </row>
    <row r="42" spans="1:24" x14ac:dyDescent="0.25">
      <c r="E42">
        <v>118</v>
      </c>
      <c r="F42" t="str">
        <v>Town Hall</v>
      </c>
      <c r="G42" s="34">
        <v>46329</v>
      </c>
      <c r="H42" s="34">
        <v>46374</v>
      </c>
      <c r="I42">
        <v>4349</v>
      </c>
      <c r="L42" s="18" t="s">
        <v>157</v>
      </c>
      <c r="M42" cm="1">
        <f t="array" ref="M42:X42">oz.Cumulativeλ(_xlfn.ANCHORARRAY(M40))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34">
        <v>46336</v>
      </c>
      <c r="H43" s="34">
        <v>46396</v>
      </c>
      <c r="I43">
        <v>4546</v>
      </c>
    </row>
    <row r="44" spans="1:24" x14ac:dyDescent="0.25">
      <c r="E44">
        <v>120</v>
      </c>
      <c r="F44" t="str">
        <v>Amazonia</v>
      </c>
      <c r="G44" s="34">
        <v>46343</v>
      </c>
      <c r="H44" s="34">
        <v>46358</v>
      </c>
      <c r="I44">
        <v>4743</v>
      </c>
    </row>
    <row r="45" spans="1:24" x14ac:dyDescent="0.25">
      <c r="E45">
        <v>121</v>
      </c>
      <c r="F45" t="str">
        <v>ACME</v>
      </c>
      <c r="G45" s="34">
        <v>46350</v>
      </c>
      <c r="H45" s="34">
        <v>46380</v>
      </c>
      <c r="I45">
        <v>4940</v>
      </c>
    </row>
    <row r="46" spans="1:24" x14ac:dyDescent="0.25">
      <c r="E46" s="98" t="str">
        <v>Total</v>
      </c>
      <c r="F46" s="98">
        <v>0</v>
      </c>
      <c r="G46" s="99">
        <v>0</v>
      </c>
      <c r="H46" s="99">
        <v>0</v>
      </c>
      <c r="I46" s="60">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pageSetup paperSize="9" scale="47" fitToHeight="0" orientation="landscape" horizontalDpi="0" verticalDpi="0"/>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000000"/>
    <pageSetUpPr fitToPage="1"/>
  </sheetPr>
  <dimension ref="A1:Q23"/>
  <sheetViews>
    <sheetView showGridLines="0" workbookViewId="0">
      <selection sqref="A1:N1"/>
    </sheetView>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6.5" x14ac:dyDescent="0.7">
      <c r="A1" s="185" t="str">
        <f ca="1">_xlfn.TEXTAFTER(CELL("filename",A1),"]")</f>
        <v>oz.Timelineλ</v>
      </c>
      <c r="B1" s="185"/>
      <c r="C1" s="185"/>
      <c r="D1" s="185"/>
      <c r="E1" s="185"/>
      <c r="F1" s="185"/>
      <c r="G1" s="185"/>
      <c r="H1" s="185"/>
      <c r="I1" s="185"/>
      <c r="J1" s="185"/>
      <c r="K1" s="185"/>
      <c r="L1" s="185"/>
      <c r="M1" s="185"/>
      <c r="N1" s="185"/>
    </row>
    <row r="2" spans="1:17" x14ac:dyDescent="0.25">
      <c r="A2" s="186" t="s">
        <v>81</v>
      </c>
      <c r="B2" s="191"/>
      <c r="C2" s="191"/>
      <c r="D2" s="191"/>
      <c r="E2" s="191"/>
      <c r="F2" s="191"/>
      <c r="G2" s="191"/>
      <c r="H2" s="191"/>
      <c r="I2" s="191"/>
      <c r="J2" s="191"/>
      <c r="K2" s="191"/>
      <c r="L2" s="191"/>
      <c r="M2" s="191"/>
      <c r="N2" s="191"/>
      <c r="O2" s="191"/>
      <c r="P2" s="191"/>
      <c r="Q2" s="191"/>
    </row>
    <row r="3" spans="1:17" x14ac:dyDescent="0.25">
      <c r="A3" s="211"/>
      <c r="B3" s="211"/>
      <c r="C3" s="211"/>
      <c r="D3" s="211"/>
      <c r="E3" s="211"/>
      <c r="F3" s="211"/>
      <c r="G3" s="211"/>
      <c r="H3" s="211"/>
      <c r="I3" s="211"/>
      <c r="J3" s="211"/>
      <c r="K3" s="211"/>
      <c r="L3" s="211"/>
      <c r="M3" s="211"/>
      <c r="N3" s="211"/>
    </row>
    <row r="4" spans="1:17" x14ac:dyDescent="0.25">
      <c r="A4" s="24" t="str" cm="1">
        <f t="array" ref="A4:B15">oz.Timelineλ()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https://github.com/ryanduguid/Ozzit</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(oz is assumed to be the module's name)</v>
      </c>
    </row>
    <row r="14" spans="1:17" x14ac:dyDescent="0.25">
      <c r="A14" t="str">
        <v>12 mo, starts</v>
      </c>
      <c r="B14" t="str">
        <v>=oz.Timelineλ(TODAY())</v>
      </c>
    </row>
    <row r="15" spans="1:17" x14ac:dyDescent="0.25">
      <c r="A15" t="str">
        <v>12 qtr, ends</v>
      </c>
      <c r="B15" t="str">
        <v>=oz.Timelineλ(TODAY(), , "Q", FALSE)</v>
      </c>
    </row>
    <row r="18" spans="1:16" x14ac:dyDescent="0.25">
      <c r="E18" s="2" t="s">
        <v>25</v>
      </c>
    </row>
    <row r="19" spans="1:16" x14ac:dyDescent="0.25">
      <c r="A19" s="8" t="s">
        <v>13</v>
      </c>
      <c r="B19" s="9" t="s">
        <v>14</v>
      </c>
      <c r="C19" s="8" t="s">
        <v>15</v>
      </c>
      <c r="E19" s="29" cm="1">
        <f t="array" ref="E19:P19">oz.Timelineλ(B20,B21,B22,B23)</f>
        <v>46204</v>
      </c>
      <c r="F19" s="1">
        <v>46235</v>
      </c>
      <c r="G19" s="1">
        <v>46266</v>
      </c>
      <c r="H19" s="1">
        <v>46296</v>
      </c>
      <c r="I19" s="1">
        <v>46327</v>
      </c>
      <c r="J19" s="1">
        <v>46357</v>
      </c>
      <c r="K19" s="1">
        <v>46388</v>
      </c>
      <c r="L19" s="1">
        <v>46419</v>
      </c>
      <c r="M19" s="1">
        <v>46447</v>
      </c>
      <c r="N19" s="1">
        <v>46478</v>
      </c>
      <c r="O19" s="1">
        <v>46508</v>
      </c>
      <c r="P19" s="1">
        <v>46539</v>
      </c>
    </row>
    <row r="20" spans="1:16" x14ac:dyDescent="0.25">
      <c r="A20" t="s">
        <v>16</v>
      </c>
      <c r="B20" s="12">
        <v>46204</v>
      </c>
      <c r="C20" t="s">
        <v>21</v>
      </c>
    </row>
    <row r="21" spans="1:16" x14ac:dyDescent="0.25">
      <c r="A21" t="s">
        <v>17</v>
      </c>
      <c r="B21" s="11">
        <v>12</v>
      </c>
      <c r="C21" t="s">
        <v>22</v>
      </c>
    </row>
    <row r="22" spans="1:16" x14ac:dyDescent="0.25">
      <c r="A22" t="s">
        <v>18</v>
      </c>
      <c r="B22" s="11" t="s">
        <v>20</v>
      </c>
      <c r="C22" t="s">
        <v>24</v>
      </c>
    </row>
    <row r="23" spans="1:16" x14ac:dyDescent="0.25">
      <c r="A23" t="s">
        <v>19</v>
      </c>
      <c r="B23" s="11" t="b">
        <v>1</v>
      </c>
      <c r="C23" t="s">
        <v>23</v>
      </c>
    </row>
  </sheetData>
  <mergeCells count="3">
    <mergeCell ref="A1:N1"/>
    <mergeCell ref="A3:N3"/>
    <mergeCell ref="A2:Q2"/>
  </mergeCells>
  <hyperlinks>
    <hyperlink ref="A1" location="'TOC'!$A$1" display="'TOC'!$A$1" xr:uid="{2D092779-C8F2-49E7-B8C7-FCC62978CC96}"/>
  </hyperlinks>
  <pageMargins left="0.7" right="0.7" top="0.75" bottom="0.75" header="0.3" footer="0.3"/>
  <pageSetup paperSize="9" scale="69" fitToHeight="0" orientation="landscape" horizontalDpi="0" verticalDpi="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66023C"/>
    <pageSetUpPr fitToPage="1"/>
  </sheetPr>
  <dimension ref="A1:W44"/>
  <sheetViews>
    <sheetView showGridLines="0" workbookViewId="0">
      <pane xSplit="8" topLeftCell="I1" activePane="topRight" state="frozen"/>
      <selection sqref="A1:P1"/>
      <selection pane="topRight" activeCell="I1" sqref="I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6.5" x14ac:dyDescent="0.7">
      <c r="A1" s="185" t="str">
        <f ca="1">_xlfn.TEXTAFTER(CELL("filename",A1),"]")</f>
        <v>oz.Amortiseλ</v>
      </c>
      <c r="B1" s="185"/>
      <c r="C1" s="185"/>
      <c r="D1" s="185"/>
      <c r="E1" s="185"/>
      <c r="F1" s="185"/>
      <c r="G1" s="185"/>
      <c r="H1" s="185"/>
      <c r="I1" s="185"/>
      <c r="J1" s="185"/>
      <c r="K1" s="185"/>
      <c r="L1" s="185"/>
      <c r="M1" s="185"/>
      <c r="N1" s="185"/>
      <c r="O1" s="185"/>
      <c r="P1" s="185"/>
    </row>
    <row r="2" spans="1:17" x14ac:dyDescent="0.25">
      <c r="A2" s="186" t="s">
        <v>82</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212"/>
      <c r="L3" s="212"/>
      <c r="M3" s="212"/>
      <c r="N3" s="212"/>
      <c r="O3" s="212"/>
      <c r="P3" s="212"/>
    </row>
    <row r="4" spans="1:17" x14ac:dyDescent="0.25">
      <c r="A4" s="24" t="str" cm="1">
        <f t="array" ref="A4:B20">oz.Amortiseλ()</f>
        <v>FUNCTION:</v>
      </c>
      <c r="B4" t="str">
        <v>Amortiseλ( Principals, APRs, Terms, StartDates, [Timeline], [FinalPeriodEnd])</v>
      </c>
      <c r="K4" s="212"/>
      <c r="L4" s="212"/>
      <c r="M4" s="212"/>
      <c r="N4" s="212"/>
      <c r="O4" s="212"/>
      <c r="P4" s="212"/>
    </row>
    <row r="5" spans="1:17" x14ac:dyDescent="0.25">
      <c r="A5" t="str">
        <v>DESCRIPTION:</v>
      </c>
      <c r="B5" t="str">
        <v>Creates an amortisation schedule array for one or more loans.</v>
      </c>
      <c r="K5" s="212"/>
      <c r="L5" s="212"/>
      <c r="M5" s="212"/>
      <c r="N5" s="212"/>
      <c r="O5" s="212"/>
      <c r="P5" s="212"/>
    </row>
    <row r="6" spans="1:17" x14ac:dyDescent="0.25">
      <c r="A6" t="str">
        <v/>
      </c>
      <c r="B6" t="str">
        <v>Payments are assumed monthly. Each month lands in the period holding its start. Flows add up; balances show the first opening and last closing. Periods without a loan month are nil.</v>
      </c>
      <c r="K6" s="212"/>
      <c r="L6" s="212"/>
      <c r="M6" s="212"/>
      <c r="N6" s="212"/>
      <c r="O6" s="212"/>
      <c r="P6" s="212"/>
    </row>
    <row r="7" spans="1:17" x14ac:dyDescent="0.25">
      <c r="A7" t="str">
        <v/>
      </c>
      <c r="B7" t="str">
        <v>Use LabelAmortiseλ() to apply labels to this function's results:</v>
      </c>
      <c r="K7" s="212"/>
      <c r="L7" s="212"/>
      <c r="M7" s="212"/>
      <c r="N7" s="212"/>
      <c r="O7" s="212"/>
      <c r="P7" s="212"/>
    </row>
    <row r="8" spans="1:17" x14ac:dyDescent="0.25">
      <c r="A8" t="str">
        <v/>
      </c>
      <c r="B8" t="str">
        <v>Use SumAmortiseλ() to apply totals to this function's results:</v>
      </c>
      <c r="K8" s="212"/>
      <c r="L8" s="212"/>
      <c r="M8" s="212"/>
      <c r="N8" s="212"/>
      <c r="O8" s="212"/>
      <c r="P8" s="212"/>
    </row>
    <row r="9" spans="1:17" x14ac:dyDescent="0.25">
      <c r="A9" t="str">
        <v>WEBPAGE:</v>
      </c>
      <c r="B9" t="str">
        <v>https://github.com/ryanduguid/Ozzit</v>
      </c>
      <c r="K9" s="212"/>
      <c r="L9" s="212"/>
      <c r="M9" s="212"/>
      <c r="N9" s="212"/>
      <c r="O9" s="212"/>
      <c r="P9" s="212"/>
    </row>
    <row r="10" spans="1:17" x14ac:dyDescent="0.25">
      <c r="A10" t="str">
        <v>VERSION:</v>
      </c>
      <c r="B10" t="str">
        <v>20 Aug 2026</v>
      </c>
      <c r="K10" s="212"/>
      <c r="L10" s="212"/>
      <c r="M10" s="212"/>
      <c r="N10" s="212"/>
      <c r="O10" s="212"/>
      <c r="P10" s="212"/>
    </row>
    <row r="11" spans="1:17" x14ac:dyDescent="0.25">
      <c r="A11" t="str">
        <v>PARAMETERS:</v>
      </c>
      <c r="B11" t="str">
        <v/>
      </c>
      <c r="K11" s="212"/>
      <c r="L11" s="212"/>
      <c r="M11" s="212"/>
      <c r="N11" s="212"/>
      <c r="O11" s="212"/>
      <c r="P11" s="212"/>
    </row>
    <row r="12" spans="1:17" x14ac:dyDescent="0.25">
      <c r="A12" t="str">
        <v>Principals</v>
      </c>
      <c r="B12" t="str">
        <v>(Required) Loan/debt amounts.</v>
      </c>
      <c r="K12" s="212"/>
      <c r="L12" s="212"/>
      <c r="M12" s="212"/>
      <c r="N12" s="212"/>
      <c r="O12" s="212"/>
      <c r="P12" s="212"/>
    </row>
    <row r="13" spans="1:17" x14ac:dyDescent="0.25">
      <c r="A13" t="str">
        <v>APRs</v>
      </c>
      <c r="B13" t="str">
        <v>(Required) Annual Percentage Rates for interest.</v>
      </c>
      <c r="K13" s="212"/>
      <c r="L13" s="212"/>
      <c r="M13" s="212"/>
      <c r="N13" s="212"/>
      <c r="O13" s="212"/>
      <c r="P13" s="212"/>
    </row>
    <row r="14" spans="1:17" x14ac:dyDescent="0.25">
      <c r="A14" t="str">
        <v>Terms</v>
      </c>
      <c r="B14" t="str">
        <v>(Required) Number of months for loans/debts.</v>
      </c>
      <c r="K14" s="212"/>
      <c r="L14" s="212"/>
      <c r="M14" s="212"/>
      <c r="N14" s="212"/>
      <c r="O14" s="212"/>
      <c r="P14" s="212"/>
    </row>
    <row r="15" spans="1:17" x14ac:dyDescent="0.25">
      <c r="A15" t="str">
        <v>StartDates</v>
      </c>
      <c r="B15" t="str">
        <v>(Required) Dates debts are issued.</v>
      </c>
      <c r="K15" s="212"/>
      <c r="L15" s="212"/>
      <c r="M15" s="212"/>
      <c r="N15" s="212"/>
      <c r="O15" s="212"/>
      <c r="P15" s="212"/>
    </row>
    <row r="16" spans="1:17" x14ac:dyDescent="0.25">
      <c r="A16" t="str">
        <v>Timeline</v>
      </c>
      <c r="B16" t="str">
        <v>(Optional) A row of period start dates. If omitted, a monthly timeline is added</v>
      </c>
    </row>
    <row r="17" spans="1:23" x14ac:dyDescent="0.25">
      <c r="A17" t="str">
        <v>FinalPeriodEnd</v>
      </c>
      <c r="B17" t="str">
        <v>(Optional) The day after the last period ends. Needs Timeline, and only moves money where its periods are shorter than a month. Otherwise, the last period follows the preceding interval, using calendar months for monthly or longer intervals.</v>
      </c>
    </row>
    <row r="18" spans="1:23" x14ac:dyDescent="0.25">
      <c r="A18" t="str">
        <v>EXAMPLES:</v>
      </c>
      <c r="B18" t="str">
        <v/>
      </c>
    </row>
    <row r="19" spans="1:23" x14ac:dyDescent="0.25">
      <c r="A19" t="str">
        <v>Result</v>
      </c>
      <c r="B19" t="str">
        <v>Formula (oz is assumed to be the module's name)</v>
      </c>
    </row>
    <row r="20" spans="1:23" x14ac:dyDescent="0.25">
      <c r="A20" t="str">
        <v/>
      </c>
      <c r="B20" t="str">
        <v>=oz.Amortiseλ(10000, 5%, 4 * 12, "2026-07-01")</v>
      </c>
    </row>
    <row r="22" spans="1:23" ht="21" x14ac:dyDescent="0.35">
      <c r="A22" s="200" t="s">
        <v>193</v>
      </c>
      <c r="B22" s="204"/>
      <c r="C22" s="204"/>
      <c r="D22" s="204"/>
      <c r="E22" s="204"/>
    </row>
    <row r="23" spans="1:23" x14ac:dyDescent="0.25">
      <c r="A23" s="202"/>
      <c r="B23" s="201"/>
      <c r="C23" s="201"/>
      <c r="D23" s="201"/>
      <c r="E23" s="201"/>
      <c r="G23" s="78" t="s">
        <v>18</v>
      </c>
      <c r="H23" s="17" t="s">
        <v>2</v>
      </c>
    </row>
    <row r="24" spans="1:23" x14ac:dyDescent="0.25">
      <c r="A24" s="65" t="s">
        <v>7</v>
      </c>
      <c r="B24" s="81" t="s">
        <v>161</v>
      </c>
      <c r="C24" s="81" t="s">
        <v>162</v>
      </c>
      <c r="D24" s="81" t="s">
        <v>163</v>
      </c>
      <c r="E24" s="81" t="s">
        <v>164</v>
      </c>
      <c r="F24" s="67"/>
      <c r="G24" s="121" t="s">
        <v>197</v>
      </c>
      <c r="H24" s="143" t="s">
        <v>165</v>
      </c>
      <c r="I24" s="1" cm="1">
        <f t="array" ref="I24:W24">oz.Timelineλ("1/7/2026", 15 * _xlfn.SWITCH(H23, "M", 12, "Q", 4, "Y", 1), H23)</f>
        <v>46204</v>
      </c>
      <c r="J24" s="1">
        <v>46569</v>
      </c>
      <c r="K24" s="1">
        <v>46935</v>
      </c>
      <c r="L24" s="1">
        <v>47300</v>
      </c>
      <c r="M24" s="1">
        <v>47665</v>
      </c>
      <c r="N24" s="1">
        <v>48030</v>
      </c>
      <c r="O24" s="1">
        <v>48396</v>
      </c>
      <c r="P24" s="1">
        <v>48761</v>
      </c>
      <c r="Q24" s="1">
        <v>49126</v>
      </c>
      <c r="R24" s="1">
        <v>49491</v>
      </c>
      <c r="S24" s="1">
        <v>49857</v>
      </c>
      <c r="T24" s="1">
        <v>50222</v>
      </c>
      <c r="U24" s="1">
        <v>50587</v>
      </c>
      <c r="V24" s="1">
        <v>50952</v>
      </c>
      <c r="W24" s="1">
        <v>51318</v>
      </c>
    </row>
    <row r="25" spans="1:23" x14ac:dyDescent="0.25">
      <c r="A25" s="82" t="s">
        <v>166</v>
      </c>
      <c r="B25" s="71">
        <v>51216</v>
      </c>
      <c r="C25" s="72">
        <v>7.0000000000000007E-2</v>
      </c>
      <c r="D25" s="73">
        <v>10</v>
      </c>
      <c r="E25" s="74">
        <v>46266</v>
      </c>
      <c r="G25" s="75" t="str" cm="1">
        <f t="array" ref="G25:G44">oz.LabelAmortiseλ(tblLoans[Description])</f>
        <v>Renovation Debt Issuance</v>
      </c>
      <c r="H25" s="79" cm="1">
        <f t="array" ref="H25:H44">oz.SumAmortiseλ(_xlfn.ANCHORARRAY(I25))</f>
        <v>0</v>
      </c>
      <c r="I25" s="80" cm="1">
        <f t="array" ref="I25:W44">oz.Amortiseλ(tblLoans[Principal],tblLoans[APR],tblLoans[Term],tblLoans[Start Date],_xlfn.ANCHORARRAY( I24))</f>
        <v>51216</v>
      </c>
      <c r="J25" s="79">
        <v>0</v>
      </c>
      <c r="K25" s="79">
        <v>0</v>
      </c>
      <c r="L25" s="79">
        <v>0</v>
      </c>
      <c r="M25" s="79">
        <v>0</v>
      </c>
      <c r="N25" s="79">
        <v>0</v>
      </c>
      <c r="O25" s="79">
        <v>0</v>
      </c>
      <c r="P25" s="79">
        <v>0</v>
      </c>
      <c r="Q25" s="79">
        <v>0</v>
      </c>
      <c r="R25" s="79">
        <v>0</v>
      </c>
      <c r="S25" s="79">
        <v>0</v>
      </c>
      <c r="T25" s="79">
        <v>0</v>
      </c>
      <c r="U25" s="79">
        <v>0</v>
      </c>
      <c r="V25" s="79">
        <v>0</v>
      </c>
      <c r="W25" s="41">
        <v>0</v>
      </c>
    </row>
    <row r="26" spans="1:23" x14ac:dyDescent="0.25">
      <c r="A26" s="82" t="s">
        <v>167</v>
      </c>
      <c r="B26" s="71">
        <v>46218</v>
      </c>
      <c r="C26" s="72">
        <v>6.5000000000000002E-2</v>
      </c>
      <c r="D26" s="73">
        <v>10</v>
      </c>
      <c r="E26" s="74">
        <v>46204</v>
      </c>
      <c r="G26" s="75" t="str">
        <v>Renovation Debt Balance</v>
      </c>
      <c r="H26" s="79">
        <v>0</v>
      </c>
      <c r="I26" s="79">
        <v>51216</v>
      </c>
      <c r="J26" s="79">
        <v>0</v>
      </c>
      <c r="K26" s="79">
        <v>0</v>
      </c>
      <c r="L26" s="79">
        <v>0</v>
      </c>
      <c r="M26" s="79">
        <v>0</v>
      </c>
      <c r="N26" s="79">
        <v>0</v>
      </c>
      <c r="O26" s="79">
        <v>0</v>
      </c>
      <c r="P26" s="79">
        <v>0</v>
      </c>
      <c r="Q26" s="79">
        <v>0</v>
      </c>
      <c r="R26" s="79">
        <v>0</v>
      </c>
      <c r="S26" s="79">
        <v>0</v>
      </c>
      <c r="T26" s="79">
        <v>0</v>
      </c>
      <c r="U26" s="79">
        <v>0</v>
      </c>
      <c r="V26" s="79">
        <v>0</v>
      </c>
      <c r="W26" s="41">
        <v>0</v>
      </c>
    </row>
    <row r="27" spans="1:23" x14ac:dyDescent="0.25">
      <c r="A27" s="82" t="s">
        <v>168</v>
      </c>
      <c r="B27" s="71">
        <v>500000</v>
      </c>
      <c r="C27" s="72">
        <v>0.08</v>
      </c>
      <c r="D27" s="73">
        <v>30</v>
      </c>
      <c r="E27" s="74">
        <v>46569</v>
      </c>
      <c r="G27" s="75" t="str">
        <v>Renovation Interest</v>
      </c>
      <c r="H27" s="79">
        <v>1657.5152357087741</v>
      </c>
      <c r="I27" s="79">
        <v>1657.5152357087741</v>
      </c>
      <c r="J27" s="79">
        <v>0</v>
      </c>
      <c r="K27" s="79">
        <v>0</v>
      </c>
      <c r="L27" s="79">
        <v>0</v>
      </c>
      <c r="M27" s="79">
        <v>0</v>
      </c>
      <c r="N27" s="79">
        <v>0</v>
      </c>
      <c r="O27" s="79">
        <v>0</v>
      </c>
      <c r="P27" s="79">
        <v>0</v>
      </c>
      <c r="Q27" s="79">
        <v>0</v>
      </c>
      <c r="R27" s="79">
        <v>0</v>
      </c>
      <c r="S27" s="79">
        <v>0</v>
      </c>
      <c r="T27" s="79">
        <v>0</v>
      </c>
      <c r="U27" s="79">
        <v>0</v>
      </c>
      <c r="V27" s="79">
        <v>0</v>
      </c>
      <c r="W27" s="41">
        <v>0</v>
      </c>
    </row>
    <row r="28" spans="1:23" x14ac:dyDescent="0.25">
      <c r="G28" s="75" t="str">
        <v>Renovation Debt Services</v>
      </c>
      <c r="H28" s="79">
        <v>-52873.515235708772</v>
      </c>
      <c r="I28" s="79">
        <v>-52873.515235708772</v>
      </c>
      <c r="J28" s="79">
        <v>0</v>
      </c>
      <c r="K28" s="79">
        <v>0</v>
      </c>
      <c r="L28" s="79">
        <v>0</v>
      </c>
      <c r="M28" s="79">
        <v>0</v>
      </c>
      <c r="N28" s="79">
        <v>0</v>
      </c>
      <c r="O28" s="79">
        <v>0</v>
      </c>
      <c r="P28" s="79">
        <v>0</v>
      </c>
      <c r="Q28" s="79">
        <v>0</v>
      </c>
      <c r="R28" s="79">
        <v>0</v>
      </c>
      <c r="S28" s="79">
        <v>0</v>
      </c>
      <c r="T28" s="79">
        <v>0</v>
      </c>
      <c r="U28" s="79">
        <v>0</v>
      </c>
      <c r="V28" s="79">
        <v>0</v>
      </c>
      <c r="W28" s="41">
        <v>0</v>
      </c>
    </row>
    <row r="29" spans="1:23" x14ac:dyDescent="0.25">
      <c r="G29" s="75" t="str">
        <v>Renovation Closing Balance</v>
      </c>
      <c r="H29" s="79">
        <v>0</v>
      </c>
      <c r="I29" s="79">
        <v>-2.2737367544323206E-10</v>
      </c>
      <c r="J29" s="79">
        <v>0</v>
      </c>
      <c r="K29" s="79">
        <v>0</v>
      </c>
      <c r="L29" s="79">
        <v>0</v>
      </c>
      <c r="M29" s="79">
        <v>0</v>
      </c>
      <c r="N29" s="79">
        <v>0</v>
      </c>
      <c r="O29" s="79">
        <v>0</v>
      </c>
      <c r="P29" s="79">
        <v>0</v>
      </c>
      <c r="Q29" s="79">
        <v>0</v>
      </c>
      <c r="R29" s="79">
        <v>0</v>
      </c>
      <c r="S29" s="79">
        <v>0</v>
      </c>
      <c r="T29" s="79">
        <v>0</v>
      </c>
      <c r="U29" s="79">
        <v>0</v>
      </c>
      <c r="V29" s="79">
        <v>0</v>
      </c>
      <c r="W29" s="41">
        <v>0</v>
      </c>
    </row>
    <row r="30" spans="1:23" x14ac:dyDescent="0.25">
      <c r="G30" s="75" t="str">
        <v>Renovation Debt Repayment</v>
      </c>
      <c r="H30" s="79">
        <v>51216</v>
      </c>
      <c r="I30" s="79">
        <v>51216</v>
      </c>
      <c r="J30" s="79">
        <v>0</v>
      </c>
      <c r="K30" s="79">
        <v>0</v>
      </c>
      <c r="L30" s="79">
        <v>0</v>
      </c>
      <c r="M30" s="79">
        <v>0</v>
      </c>
      <c r="N30" s="79">
        <v>0</v>
      </c>
      <c r="O30" s="79">
        <v>0</v>
      </c>
      <c r="P30" s="79">
        <v>0</v>
      </c>
      <c r="Q30" s="79">
        <v>0</v>
      </c>
      <c r="R30" s="79">
        <v>0</v>
      </c>
      <c r="S30" s="79">
        <v>0</v>
      </c>
      <c r="T30" s="79">
        <v>0</v>
      </c>
      <c r="U30" s="79">
        <v>0</v>
      </c>
      <c r="V30" s="79">
        <v>0</v>
      </c>
      <c r="W30" s="41">
        <v>0</v>
      </c>
    </row>
    <row r="31" spans="1:23" x14ac:dyDescent="0.25">
      <c r="G31" s="75" t="str">
        <v/>
      </c>
      <c r="H31" s="79">
        <v>0</v>
      </c>
      <c r="I31" s="79" t="str">
        <v xml:space="preserve"> </v>
      </c>
      <c r="J31" s="79" t="str">
        <v xml:space="preserve"> </v>
      </c>
      <c r="K31" s="79" t="str">
        <v xml:space="preserve"> </v>
      </c>
      <c r="L31" s="79" t="str">
        <v xml:space="preserve"> </v>
      </c>
      <c r="M31" s="79" t="str">
        <v xml:space="preserve"> </v>
      </c>
      <c r="N31" s="79" t="str">
        <v xml:space="preserve"> </v>
      </c>
      <c r="O31" s="79" t="str">
        <v xml:space="preserve"> </v>
      </c>
      <c r="P31" s="79" t="str">
        <v xml:space="preserve"> </v>
      </c>
      <c r="Q31" s="79" t="str">
        <v xml:space="preserve"> </v>
      </c>
      <c r="R31" s="79" t="str">
        <v xml:space="preserve"> </v>
      </c>
      <c r="S31" s="79" t="str">
        <v xml:space="preserve"> </v>
      </c>
      <c r="T31" s="79" t="str">
        <v xml:space="preserve"> </v>
      </c>
      <c r="U31" s="79" t="str">
        <v xml:space="preserve"> </v>
      </c>
      <c r="V31" s="79" t="str">
        <v xml:space="preserve"> </v>
      </c>
      <c r="W31" s="41" t="str">
        <v xml:space="preserve"> </v>
      </c>
    </row>
    <row r="32" spans="1:23" x14ac:dyDescent="0.25">
      <c r="G32" s="75" t="str">
        <v>New sign Debt Issuance</v>
      </c>
      <c r="H32" s="79">
        <v>0</v>
      </c>
      <c r="I32" s="79">
        <v>46218</v>
      </c>
      <c r="J32" s="79">
        <v>0</v>
      </c>
      <c r="K32" s="79">
        <v>0</v>
      </c>
      <c r="L32" s="79">
        <v>0</v>
      </c>
      <c r="M32" s="79">
        <v>0</v>
      </c>
      <c r="N32" s="79">
        <v>0</v>
      </c>
      <c r="O32" s="79">
        <v>0</v>
      </c>
      <c r="P32" s="79">
        <v>0</v>
      </c>
      <c r="Q32" s="79">
        <v>0</v>
      </c>
      <c r="R32" s="79">
        <v>0</v>
      </c>
      <c r="S32" s="79">
        <v>0</v>
      </c>
      <c r="T32" s="79">
        <v>0</v>
      </c>
      <c r="U32" s="79">
        <v>0</v>
      </c>
      <c r="V32" s="79">
        <v>0</v>
      </c>
      <c r="W32" s="41">
        <v>0</v>
      </c>
    </row>
    <row r="33" spans="7:23" x14ac:dyDescent="0.25">
      <c r="G33" s="75" t="str">
        <v>New sign Debt Balance</v>
      </c>
      <c r="H33" s="79">
        <v>0</v>
      </c>
      <c r="I33" s="79">
        <v>46218</v>
      </c>
      <c r="J33" s="79">
        <v>0</v>
      </c>
      <c r="K33" s="79">
        <v>0</v>
      </c>
      <c r="L33" s="79">
        <v>0</v>
      </c>
      <c r="M33" s="79">
        <v>0</v>
      </c>
      <c r="N33" s="79">
        <v>0</v>
      </c>
      <c r="O33" s="79">
        <v>0</v>
      </c>
      <c r="P33" s="79">
        <v>0</v>
      </c>
      <c r="Q33" s="79">
        <v>0</v>
      </c>
      <c r="R33" s="79">
        <v>0</v>
      </c>
      <c r="S33" s="79">
        <v>0</v>
      </c>
      <c r="T33" s="79">
        <v>0</v>
      </c>
      <c r="U33" s="79">
        <v>0</v>
      </c>
      <c r="V33" s="79">
        <v>0</v>
      </c>
      <c r="W33" s="41">
        <v>0</v>
      </c>
    </row>
    <row r="34" spans="7:23" x14ac:dyDescent="0.25">
      <c r="G34" s="75" t="str">
        <v>New sign Interest</v>
      </c>
      <c r="H34" s="79">
        <v>1388.0679156179572</v>
      </c>
      <c r="I34" s="79">
        <v>1388.0679156179572</v>
      </c>
      <c r="J34" s="79">
        <v>0</v>
      </c>
      <c r="K34" s="79">
        <v>0</v>
      </c>
      <c r="L34" s="79">
        <v>0</v>
      </c>
      <c r="M34" s="79">
        <v>0</v>
      </c>
      <c r="N34" s="79">
        <v>0</v>
      </c>
      <c r="O34" s="79">
        <v>0</v>
      </c>
      <c r="P34" s="79">
        <v>0</v>
      </c>
      <c r="Q34" s="79">
        <v>0</v>
      </c>
      <c r="R34" s="79">
        <v>0</v>
      </c>
      <c r="S34" s="79">
        <v>0</v>
      </c>
      <c r="T34" s="79">
        <v>0</v>
      </c>
      <c r="U34" s="79">
        <v>0</v>
      </c>
      <c r="V34" s="79">
        <v>0</v>
      </c>
      <c r="W34" s="41">
        <v>0</v>
      </c>
    </row>
    <row r="35" spans="7:23" x14ac:dyDescent="0.25">
      <c r="G35" s="75" t="str">
        <v>New sign Debt Services</v>
      </c>
      <c r="H35" s="79">
        <v>-47606.067915617947</v>
      </c>
      <c r="I35" s="79">
        <v>-47606.067915617947</v>
      </c>
      <c r="J35" s="79">
        <v>0</v>
      </c>
      <c r="K35" s="79">
        <v>0</v>
      </c>
      <c r="L35" s="79">
        <v>0</v>
      </c>
      <c r="M35" s="79">
        <v>0</v>
      </c>
      <c r="N35" s="79">
        <v>0</v>
      </c>
      <c r="O35" s="79">
        <v>0</v>
      </c>
      <c r="P35" s="79">
        <v>0</v>
      </c>
      <c r="Q35" s="79">
        <v>0</v>
      </c>
      <c r="R35" s="79">
        <v>0</v>
      </c>
      <c r="S35" s="79">
        <v>0</v>
      </c>
      <c r="T35" s="79">
        <v>0</v>
      </c>
      <c r="U35" s="79">
        <v>0</v>
      </c>
      <c r="V35" s="79">
        <v>0</v>
      </c>
      <c r="W35" s="41">
        <v>0</v>
      </c>
    </row>
    <row r="36" spans="7:23" x14ac:dyDescent="0.25">
      <c r="G36" s="76" t="str">
        <v>New sign Closing Balance</v>
      </c>
      <c r="H36" s="79">
        <v>0</v>
      </c>
      <c r="I36" s="79">
        <v>3.9472070056945086E-10</v>
      </c>
      <c r="J36" s="79">
        <v>0</v>
      </c>
      <c r="K36" s="79">
        <v>0</v>
      </c>
      <c r="L36" s="79">
        <v>0</v>
      </c>
      <c r="M36" s="79">
        <v>0</v>
      </c>
      <c r="N36" s="79">
        <v>0</v>
      </c>
      <c r="O36" s="79">
        <v>0</v>
      </c>
      <c r="P36" s="79">
        <v>0</v>
      </c>
      <c r="Q36" s="79">
        <v>0</v>
      </c>
      <c r="R36" s="79">
        <v>0</v>
      </c>
      <c r="S36" s="79">
        <v>0</v>
      </c>
      <c r="T36" s="79">
        <v>0</v>
      </c>
      <c r="U36" s="79">
        <v>0</v>
      </c>
      <c r="V36" s="79">
        <v>0</v>
      </c>
      <c r="W36">
        <v>0</v>
      </c>
    </row>
    <row r="37" spans="7:23" x14ac:dyDescent="0.25">
      <c r="G37" s="76" t="str">
        <v>New sign Debt Repayment</v>
      </c>
      <c r="H37" s="79">
        <v>46217.999999999993</v>
      </c>
      <c r="I37" s="79">
        <v>46217.999999999993</v>
      </c>
      <c r="J37" s="79">
        <v>0</v>
      </c>
      <c r="K37" s="79">
        <v>0</v>
      </c>
      <c r="L37" s="79">
        <v>0</v>
      </c>
      <c r="M37" s="79">
        <v>0</v>
      </c>
      <c r="N37" s="79">
        <v>0</v>
      </c>
      <c r="O37" s="79">
        <v>0</v>
      </c>
      <c r="P37" s="79">
        <v>0</v>
      </c>
      <c r="Q37" s="79">
        <v>0</v>
      </c>
      <c r="R37" s="79">
        <v>0</v>
      </c>
      <c r="S37" s="79">
        <v>0</v>
      </c>
      <c r="T37" s="79">
        <v>0</v>
      </c>
      <c r="U37" s="79">
        <v>0</v>
      </c>
      <c r="V37" s="79">
        <v>0</v>
      </c>
      <c r="W37">
        <v>0</v>
      </c>
    </row>
    <row r="38" spans="7:23" x14ac:dyDescent="0.25">
      <c r="G38" s="76" t="str">
        <v/>
      </c>
      <c r="H38" s="79">
        <v>0</v>
      </c>
      <c r="I38" s="79" t="str">
        <v xml:space="preserve"> </v>
      </c>
      <c r="J38" s="79" t="str">
        <v xml:space="preserve"> </v>
      </c>
      <c r="K38" s="79" t="str">
        <v xml:space="preserve"> </v>
      </c>
      <c r="L38" s="79" t="str">
        <v xml:space="preserve"> </v>
      </c>
      <c r="M38" s="79" t="str">
        <v xml:space="preserve"> </v>
      </c>
      <c r="N38" s="79" t="str">
        <v xml:space="preserve"> </v>
      </c>
      <c r="O38" s="79" t="str">
        <v xml:space="preserve"> </v>
      </c>
      <c r="P38" s="79" t="str">
        <v xml:space="preserve"> </v>
      </c>
      <c r="Q38" s="79" t="str">
        <v xml:space="preserve"> </v>
      </c>
      <c r="R38" s="79" t="str">
        <v xml:space="preserve"> </v>
      </c>
      <c r="S38" s="79" t="str">
        <v xml:space="preserve"> </v>
      </c>
      <c r="T38" s="79" t="str">
        <v xml:space="preserve"> </v>
      </c>
      <c r="U38" s="79" t="str">
        <v xml:space="preserve"> </v>
      </c>
      <c r="V38" s="79" t="str">
        <v xml:space="preserve"> </v>
      </c>
      <c r="W38" t="str">
        <v xml:space="preserve"> </v>
      </c>
    </row>
    <row r="39" spans="7:23" x14ac:dyDescent="0.25">
      <c r="G39" s="76" t="str">
        <v>Parking Lot Debt Issuance</v>
      </c>
      <c r="H39" s="79">
        <v>0</v>
      </c>
      <c r="I39" s="79">
        <v>0</v>
      </c>
      <c r="J39" s="79">
        <v>500000</v>
      </c>
      <c r="K39" s="79">
        <v>0</v>
      </c>
      <c r="L39" s="79">
        <v>0</v>
      </c>
      <c r="M39" s="79">
        <v>0</v>
      </c>
      <c r="N39" s="79">
        <v>0</v>
      </c>
      <c r="O39" s="79">
        <v>0</v>
      </c>
      <c r="P39" s="79">
        <v>0</v>
      </c>
      <c r="Q39" s="79">
        <v>0</v>
      </c>
      <c r="R39" s="79">
        <v>0</v>
      </c>
      <c r="S39" s="79">
        <v>0</v>
      </c>
      <c r="T39" s="79">
        <v>0</v>
      </c>
      <c r="U39" s="79">
        <v>0</v>
      </c>
      <c r="V39" s="79">
        <v>0</v>
      </c>
      <c r="W39">
        <v>0</v>
      </c>
    </row>
    <row r="40" spans="7:23" x14ac:dyDescent="0.25">
      <c r="G40" s="75" t="str">
        <v>Parking Lot Debt Balance</v>
      </c>
      <c r="H40" s="79">
        <v>0</v>
      </c>
      <c r="I40" s="79">
        <v>0</v>
      </c>
      <c r="J40" s="79">
        <v>500000</v>
      </c>
      <c r="K40" s="79">
        <v>311871.30198002694</v>
      </c>
      <c r="L40" s="79">
        <v>108128.01480805682</v>
      </c>
      <c r="M40" s="79">
        <v>0</v>
      </c>
      <c r="N40" s="79">
        <v>0</v>
      </c>
      <c r="O40" s="79">
        <v>0</v>
      </c>
      <c r="P40" s="79">
        <v>0</v>
      </c>
      <c r="Q40" s="79">
        <v>0</v>
      </c>
      <c r="R40" s="79">
        <v>0</v>
      </c>
      <c r="S40" s="79">
        <v>0</v>
      </c>
      <c r="T40" s="79">
        <v>0</v>
      </c>
      <c r="U40" s="79">
        <v>0</v>
      </c>
      <c r="V40" s="79">
        <v>0</v>
      </c>
      <c r="W40">
        <v>0</v>
      </c>
    </row>
    <row r="41" spans="7:23" x14ac:dyDescent="0.25">
      <c r="G41" s="75" t="str">
        <v>Parking Lot Interest</v>
      </c>
      <c r="H41" s="79">
        <v>53324.857595300615</v>
      </c>
      <c r="I41" s="79">
        <v>0</v>
      </c>
      <c r="J41" s="79">
        <v>33201.245018145353</v>
      </c>
      <c r="K41" s="79">
        <v>17586.655866148452</v>
      </c>
      <c r="L41" s="79">
        <v>2536.9567110068115</v>
      </c>
      <c r="M41" s="79">
        <v>0</v>
      </c>
      <c r="N41" s="79">
        <v>0</v>
      </c>
      <c r="O41" s="79">
        <v>0</v>
      </c>
      <c r="P41" s="79">
        <v>0</v>
      </c>
      <c r="Q41" s="79">
        <v>0</v>
      </c>
      <c r="R41" s="79">
        <v>0</v>
      </c>
      <c r="S41" s="79">
        <v>0</v>
      </c>
      <c r="T41" s="79">
        <v>0</v>
      </c>
      <c r="U41" s="79">
        <v>0</v>
      </c>
      <c r="V41" s="79">
        <v>0</v>
      </c>
      <c r="W41">
        <v>0</v>
      </c>
    </row>
    <row r="42" spans="7:23" x14ac:dyDescent="0.25">
      <c r="G42" s="75" t="str">
        <v>Parking Lot Debt Services</v>
      </c>
      <c r="H42">
        <v>-553324.8575953003</v>
      </c>
      <c r="I42">
        <v>0</v>
      </c>
      <c r="J42">
        <v>-221329.94303812014</v>
      </c>
      <c r="K42">
        <v>-221329.94303812014</v>
      </c>
      <c r="L42">
        <v>-110664.97151906005</v>
      </c>
      <c r="M42">
        <v>0</v>
      </c>
      <c r="N42">
        <v>0</v>
      </c>
      <c r="O42">
        <v>0</v>
      </c>
      <c r="P42">
        <v>0</v>
      </c>
      <c r="Q42">
        <v>0</v>
      </c>
      <c r="R42">
        <v>0</v>
      </c>
      <c r="S42">
        <v>0</v>
      </c>
      <c r="T42">
        <v>0</v>
      </c>
      <c r="U42">
        <v>0</v>
      </c>
      <c r="V42">
        <v>0</v>
      </c>
      <c r="W42">
        <v>0</v>
      </c>
    </row>
    <row r="43" spans="7:23" x14ac:dyDescent="0.25">
      <c r="G43" s="77" t="str">
        <v>Parking Lot Closing Balance</v>
      </c>
      <c r="H43">
        <v>0</v>
      </c>
      <c r="I43">
        <v>0</v>
      </c>
      <c r="J43">
        <v>311871.30198002665</v>
      </c>
      <c r="K43">
        <v>108128.01480805676</v>
      </c>
      <c r="L43">
        <v>4.1327439248561859E-9</v>
      </c>
      <c r="M43">
        <v>0</v>
      </c>
      <c r="N43">
        <v>0</v>
      </c>
      <c r="O43">
        <v>0</v>
      </c>
      <c r="P43">
        <v>0</v>
      </c>
      <c r="Q43">
        <v>0</v>
      </c>
      <c r="R43">
        <v>0</v>
      </c>
      <c r="S43">
        <v>0</v>
      </c>
      <c r="T43">
        <v>0</v>
      </c>
      <c r="U43">
        <v>0</v>
      </c>
      <c r="V43">
        <v>0</v>
      </c>
      <c r="W43">
        <v>0</v>
      </c>
    </row>
    <row r="44" spans="7:23" x14ac:dyDescent="0.25">
      <c r="G44" t="str">
        <v>Parking Lot Debt Repayment</v>
      </c>
      <c r="H44">
        <v>499999.99999999959</v>
      </c>
      <c r="I44">
        <v>0</v>
      </c>
      <c r="J44">
        <v>188128.69801997472</v>
      </c>
      <c r="K44">
        <v>203743.28717197163</v>
      </c>
      <c r="L44">
        <v>108128.01480805322</v>
      </c>
      <c r="M44">
        <v>0</v>
      </c>
      <c r="N44">
        <v>0</v>
      </c>
      <c r="O44">
        <v>0</v>
      </c>
      <c r="P44">
        <v>0</v>
      </c>
      <c r="Q44">
        <v>0</v>
      </c>
      <c r="R44">
        <v>0</v>
      </c>
      <c r="S44">
        <v>0</v>
      </c>
      <c r="T44">
        <v>0</v>
      </c>
      <c r="U44">
        <v>0</v>
      </c>
      <c r="V44">
        <v>0</v>
      </c>
      <c r="W44">
        <v>0</v>
      </c>
    </row>
  </sheetData>
  <mergeCells count="5">
    <mergeCell ref="A23:E23"/>
    <mergeCell ref="A1:P1"/>
    <mergeCell ref="A22:E22"/>
    <mergeCell ref="K3:P15"/>
    <mergeCell ref="A2:Q2"/>
  </mergeCells>
  <conditionalFormatting sqref="G29:H29">
    <cfRule type="expression" dxfId="12" priority="1">
      <formula>FIND("Closing",$G29)</formula>
    </cfRule>
  </conditionalFormatting>
  <conditionalFormatting sqref="G25:P28 H25:V41 Q25:CM43 G30:P43">
    <cfRule type="expression" dxfId="11" priority="3">
      <formula>FIND("Closing",$G25)</formula>
    </cfRule>
  </conditionalFormatting>
  <dataValidations count="1">
    <dataValidation type="list" allowBlank="1" showInputMessage="1" showErrorMessage="1" sqref="H23" xr:uid="{8577CEB7-501C-42B9-9C92-DBF922B117BF}">
      <formula1>"M,Q,Y"</formula1>
    </dataValidation>
  </dataValidations>
  <hyperlinks>
    <hyperlink ref="A1" location="'TOC'!$A$1" display="'TOC'!$A$1" xr:uid="{EC8FC494-5368-45AE-B343-A5837D21B3D3}"/>
  </hyperlinks>
  <pageMargins left="0.7" right="0.7" top="0.75" bottom="0.75" header="0.3" footer="0.3"/>
  <pageSetup paperSize="9" scale="51" fitToHeight="0" orientation="landscape" horizontalDpi="0" verticalDpi="0"/>
  <drawing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66023C"/>
    <pageSetUpPr fitToPage="1"/>
  </sheetPr>
  <dimension ref="A1: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6.5" x14ac:dyDescent="0.7">
      <c r="A1" s="185" t="str">
        <f ca="1">_xlfn.TEXTAFTER(CELL("filename",A1),"]")</f>
        <v>oz.LabelAmortiseλ</v>
      </c>
      <c r="B1" s="185"/>
      <c r="C1" s="185"/>
      <c r="D1" s="185"/>
      <c r="E1" s="185"/>
      <c r="F1" s="185"/>
      <c r="G1" s="185"/>
      <c r="H1" s="185"/>
      <c r="I1" s="185"/>
      <c r="J1" s="185"/>
      <c r="K1" s="185"/>
      <c r="L1" s="185"/>
      <c r="M1" s="185"/>
      <c r="N1" s="185"/>
      <c r="O1" s="185"/>
      <c r="P1" s="185"/>
    </row>
    <row r="2" spans="1:18" x14ac:dyDescent="0.25">
      <c r="A2" s="186" t="s">
        <v>91</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5">oz.LabelAmortiseλ()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(oz is assumed to be the module's name)</v>
      </c>
    </row>
    <row r="15" spans="1:18" x14ac:dyDescent="0.25">
      <c r="A15" t="str">
        <v/>
      </c>
      <c r="B15" t="str">
        <v>=oz.LabelAmortiseλ(tblLoans[Loan Name])</v>
      </c>
    </row>
    <row r="21" spans="1:23" ht="21" x14ac:dyDescent="0.35">
      <c r="A21" s="209" t="s">
        <v>193</v>
      </c>
      <c r="B21" s="210"/>
      <c r="C21" s="210"/>
      <c r="D21" s="210"/>
      <c r="E21" s="210"/>
    </row>
    <row r="22" spans="1:23" x14ac:dyDescent="0.25">
      <c r="G22" s="78" t="s">
        <v>18</v>
      </c>
      <c r="H22" s="17" t="s">
        <v>2</v>
      </c>
    </row>
    <row r="23" spans="1:23" x14ac:dyDescent="0.25">
      <c r="A23" s="104" t="str" cm="1">
        <f t="array" ref="A23:E26">tblLoans[#All]</f>
        <v>Description</v>
      </c>
      <c r="B23" s="105" t="str">
        <v>Principal</v>
      </c>
      <c r="C23" s="105" t="str">
        <v>APR</v>
      </c>
      <c r="D23" s="105" t="str">
        <v>Term</v>
      </c>
      <c r="E23" s="105" t="str">
        <v>Start Date</v>
      </c>
      <c r="G23" s="121" t="s">
        <v>197</v>
      </c>
      <c r="H23" s="8"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106" t="str">
        <v>Renovation</v>
      </c>
      <c r="B24" s="107">
        <v>51216</v>
      </c>
      <c r="C24" s="108">
        <v>7.0000000000000007E-2</v>
      </c>
      <c r="D24" s="109">
        <v>10</v>
      </c>
      <c r="E24" s="110">
        <v>46266</v>
      </c>
      <c r="G24" s="122" t="str" cm="1">
        <f t="array" ref="G24:G43">oz.LabelAmortiseλ(tblLoans[Description])</f>
        <v>Renovation Debt Issuance</v>
      </c>
      <c r="H24" s="95" cm="1">
        <f t="array" ref="H24:H43">oz.SumAmortiseλ(_xlfn.ANCHORARRAY(I24))</f>
        <v>0</v>
      </c>
      <c r="I24" s="95" cm="1">
        <f t="array" ref="I24:W43">oz.Amortiseλ(tblLoans[Principal],tblLoans[APR],tblLoans[Term],tblLoans[Start Date],_xlfn.ANCHORARRAY( I23))</f>
        <v>51216</v>
      </c>
      <c r="J24" s="79">
        <v>0</v>
      </c>
      <c r="K24" s="79">
        <v>0</v>
      </c>
      <c r="L24" s="79">
        <v>0</v>
      </c>
      <c r="M24" s="79">
        <v>0</v>
      </c>
      <c r="N24" s="79">
        <v>0</v>
      </c>
      <c r="O24" s="79">
        <v>0</v>
      </c>
      <c r="P24" s="79">
        <v>0</v>
      </c>
      <c r="Q24" s="79">
        <v>0</v>
      </c>
      <c r="R24" s="79">
        <v>0</v>
      </c>
      <c r="S24" s="79">
        <v>0</v>
      </c>
      <c r="T24" s="79">
        <v>0</v>
      </c>
      <c r="U24" s="79">
        <v>0</v>
      </c>
      <c r="V24" s="79">
        <v>0</v>
      </c>
      <c r="W24" s="79">
        <v>0</v>
      </c>
    </row>
    <row r="25" spans="1:23" x14ac:dyDescent="0.25">
      <c r="A25" s="111" t="str">
        <v>New sign</v>
      </c>
      <c r="B25" s="112">
        <v>46218</v>
      </c>
      <c r="C25" s="113">
        <v>6.5000000000000002E-2</v>
      </c>
      <c r="D25" s="114">
        <v>10</v>
      </c>
      <c r="E25" s="115">
        <v>46204</v>
      </c>
      <c r="G25" s="75" t="str">
        <v>Renovation Debt Balance</v>
      </c>
      <c r="H25" s="79">
        <v>0</v>
      </c>
      <c r="I25" s="79">
        <v>51216</v>
      </c>
      <c r="J25" s="79">
        <v>0</v>
      </c>
      <c r="K25" s="79">
        <v>0</v>
      </c>
      <c r="L25" s="79">
        <v>0</v>
      </c>
      <c r="M25" s="79">
        <v>0</v>
      </c>
      <c r="N25" s="79">
        <v>0</v>
      </c>
      <c r="O25" s="79">
        <v>0</v>
      </c>
      <c r="P25" s="79">
        <v>0</v>
      </c>
      <c r="Q25" s="79">
        <v>0</v>
      </c>
      <c r="R25" s="79">
        <v>0</v>
      </c>
      <c r="S25" s="79">
        <v>0</v>
      </c>
      <c r="T25" s="79">
        <v>0</v>
      </c>
      <c r="U25" s="79">
        <v>0</v>
      </c>
      <c r="V25" s="79">
        <v>0</v>
      </c>
      <c r="W25" s="79">
        <v>0</v>
      </c>
    </row>
    <row r="26" spans="1:23" x14ac:dyDescent="0.25">
      <c r="A26" s="116" t="str">
        <v>Parking Lot</v>
      </c>
      <c r="B26" s="117">
        <v>500000</v>
      </c>
      <c r="C26" s="118">
        <v>0.08</v>
      </c>
      <c r="D26" s="119">
        <v>30</v>
      </c>
      <c r="E26" s="120">
        <v>46569</v>
      </c>
      <c r="G26" s="75" t="str">
        <v>Renovation Interest</v>
      </c>
      <c r="H26" s="79">
        <v>1657.5152357087741</v>
      </c>
      <c r="I26" s="79">
        <v>1657.5152357087741</v>
      </c>
      <c r="J26" s="79">
        <v>0</v>
      </c>
      <c r="K26" s="79">
        <v>0</v>
      </c>
      <c r="L26" s="79">
        <v>0</v>
      </c>
      <c r="M26" s="79">
        <v>0</v>
      </c>
      <c r="N26" s="79">
        <v>0</v>
      </c>
      <c r="O26" s="79">
        <v>0</v>
      </c>
      <c r="P26" s="79">
        <v>0</v>
      </c>
      <c r="Q26" s="79">
        <v>0</v>
      </c>
      <c r="R26" s="79">
        <v>0</v>
      </c>
      <c r="S26" s="79">
        <v>0</v>
      </c>
      <c r="T26" s="79">
        <v>0</v>
      </c>
      <c r="U26" s="79">
        <v>0</v>
      </c>
      <c r="V26" s="79">
        <v>0</v>
      </c>
      <c r="W26" s="79">
        <v>0</v>
      </c>
    </row>
    <row r="27" spans="1:23" x14ac:dyDescent="0.25">
      <c r="G27" s="75" t="str">
        <v>Renovation Debt Services</v>
      </c>
      <c r="H27" s="79">
        <v>-52873.515235708772</v>
      </c>
      <c r="I27" s="79">
        <v>-52873.515235708772</v>
      </c>
      <c r="J27" s="79">
        <v>0</v>
      </c>
      <c r="K27" s="79">
        <v>0</v>
      </c>
      <c r="L27" s="79">
        <v>0</v>
      </c>
      <c r="M27" s="79">
        <v>0</v>
      </c>
      <c r="N27" s="79">
        <v>0</v>
      </c>
      <c r="O27" s="79">
        <v>0</v>
      </c>
      <c r="P27" s="79">
        <v>0</v>
      </c>
      <c r="Q27" s="79">
        <v>0</v>
      </c>
      <c r="R27" s="79">
        <v>0</v>
      </c>
      <c r="S27" s="79">
        <v>0</v>
      </c>
      <c r="T27" s="79">
        <v>0</v>
      </c>
      <c r="U27" s="79">
        <v>0</v>
      </c>
      <c r="V27" s="79">
        <v>0</v>
      </c>
      <c r="W27" s="79">
        <v>0</v>
      </c>
    </row>
    <row r="28" spans="1:23" x14ac:dyDescent="0.25">
      <c r="G28" s="75" t="str">
        <v>Renovation Closing Balance</v>
      </c>
      <c r="H28" s="79">
        <v>0</v>
      </c>
      <c r="I28" s="79">
        <v>-2.2737367544323206E-10</v>
      </c>
      <c r="J28" s="79">
        <v>0</v>
      </c>
      <c r="K28" s="79">
        <v>0</v>
      </c>
      <c r="L28" s="79">
        <v>0</v>
      </c>
      <c r="M28" s="79">
        <v>0</v>
      </c>
      <c r="N28" s="79">
        <v>0</v>
      </c>
      <c r="O28" s="79">
        <v>0</v>
      </c>
      <c r="P28" s="79">
        <v>0</v>
      </c>
      <c r="Q28" s="79">
        <v>0</v>
      </c>
      <c r="R28" s="79">
        <v>0</v>
      </c>
      <c r="S28" s="79">
        <v>0</v>
      </c>
      <c r="T28" s="79">
        <v>0</v>
      </c>
      <c r="U28" s="79">
        <v>0</v>
      </c>
      <c r="V28" s="79">
        <v>0</v>
      </c>
      <c r="W28" s="79">
        <v>0</v>
      </c>
    </row>
    <row r="29" spans="1:23" x14ac:dyDescent="0.25">
      <c r="G29" s="75" t="str">
        <v>Renovation Debt Repayment</v>
      </c>
      <c r="H29" s="79">
        <v>51216</v>
      </c>
      <c r="I29" s="79">
        <v>51216</v>
      </c>
      <c r="J29" s="79">
        <v>0</v>
      </c>
      <c r="K29" s="79">
        <v>0</v>
      </c>
      <c r="L29" s="79">
        <v>0</v>
      </c>
      <c r="M29" s="79">
        <v>0</v>
      </c>
      <c r="N29" s="79">
        <v>0</v>
      </c>
      <c r="O29" s="79">
        <v>0</v>
      </c>
      <c r="P29" s="79">
        <v>0</v>
      </c>
      <c r="Q29" s="79">
        <v>0</v>
      </c>
      <c r="R29" s="79">
        <v>0</v>
      </c>
      <c r="S29" s="79">
        <v>0</v>
      </c>
      <c r="T29" s="79">
        <v>0</v>
      </c>
      <c r="U29" s="79">
        <v>0</v>
      </c>
      <c r="V29" s="79">
        <v>0</v>
      </c>
      <c r="W29" s="79">
        <v>0</v>
      </c>
    </row>
    <row r="30" spans="1:23" x14ac:dyDescent="0.25">
      <c r="G30" s="75" t="str">
        <v/>
      </c>
      <c r="H30" s="79">
        <v>0</v>
      </c>
      <c r="I30" s="79" t="str">
        <v xml:space="preserve"> </v>
      </c>
      <c r="J30" s="79" t="str">
        <v xml:space="preserve"> </v>
      </c>
      <c r="K30" s="79" t="str">
        <v xml:space="preserve"> </v>
      </c>
      <c r="L30" s="79" t="str">
        <v xml:space="preserve"> </v>
      </c>
      <c r="M30" s="79" t="str">
        <v xml:space="preserve"> </v>
      </c>
      <c r="N30" s="79" t="str">
        <v xml:space="preserve"> </v>
      </c>
      <c r="O30" s="79" t="str">
        <v xml:space="preserve"> </v>
      </c>
      <c r="P30" s="79" t="str">
        <v xml:space="preserve"> </v>
      </c>
      <c r="Q30" s="79" t="str">
        <v xml:space="preserve"> </v>
      </c>
      <c r="R30" s="79" t="str">
        <v xml:space="preserve"> </v>
      </c>
      <c r="S30" s="79" t="str">
        <v xml:space="preserve"> </v>
      </c>
      <c r="T30" s="79" t="str">
        <v xml:space="preserve"> </v>
      </c>
      <c r="U30" s="79" t="str">
        <v xml:space="preserve"> </v>
      </c>
      <c r="V30" s="79" t="str">
        <v xml:space="preserve"> </v>
      </c>
      <c r="W30" s="79" t="str">
        <v xml:space="preserve"> </v>
      </c>
    </row>
    <row r="31" spans="1:23" x14ac:dyDescent="0.25">
      <c r="G31" s="75" t="str">
        <v>New sign Debt Issuance</v>
      </c>
      <c r="H31" s="79">
        <v>0</v>
      </c>
      <c r="I31" s="79">
        <v>46218</v>
      </c>
      <c r="J31" s="79">
        <v>0</v>
      </c>
      <c r="K31" s="79">
        <v>0</v>
      </c>
      <c r="L31" s="79">
        <v>0</v>
      </c>
      <c r="M31" s="79">
        <v>0</v>
      </c>
      <c r="N31" s="79">
        <v>0</v>
      </c>
      <c r="O31" s="79">
        <v>0</v>
      </c>
      <c r="P31" s="79">
        <v>0</v>
      </c>
      <c r="Q31" s="79">
        <v>0</v>
      </c>
      <c r="R31" s="79">
        <v>0</v>
      </c>
      <c r="S31" s="79">
        <v>0</v>
      </c>
      <c r="T31" s="79">
        <v>0</v>
      </c>
      <c r="U31" s="79">
        <v>0</v>
      </c>
      <c r="V31" s="79">
        <v>0</v>
      </c>
      <c r="W31" s="79">
        <v>0</v>
      </c>
    </row>
    <row r="32" spans="1:23" x14ac:dyDescent="0.25">
      <c r="G32" s="75" t="str">
        <v>New sign Debt Balance</v>
      </c>
      <c r="H32" s="79">
        <v>0</v>
      </c>
      <c r="I32" s="79">
        <v>46218</v>
      </c>
      <c r="J32" s="79">
        <v>0</v>
      </c>
      <c r="K32" s="79">
        <v>0</v>
      </c>
      <c r="L32" s="79">
        <v>0</v>
      </c>
      <c r="M32" s="79">
        <v>0</v>
      </c>
      <c r="N32" s="79">
        <v>0</v>
      </c>
      <c r="O32" s="79">
        <v>0</v>
      </c>
      <c r="P32" s="79">
        <v>0</v>
      </c>
      <c r="Q32" s="79">
        <v>0</v>
      </c>
      <c r="R32" s="79">
        <v>0</v>
      </c>
      <c r="S32" s="79">
        <v>0</v>
      </c>
      <c r="T32" s="79">
        <v>0</v>
      </c>
      <c r="U32" s="79">
        <v>0</v>
      </c>
      <c r="V32" s="79">
        <v>0</v>
      </c>
      <c r="W32" s="79">
        <v>0</v>
      </c>
    </row>
    <row r="33" spans="7:23" x14ac:dyDescent="0.25">
      <c r="G33" s="75" t="str">
        <v>New sign Interest</v>
      </c>
      <c r="H33" s="79">
        <v>1388.0679156179572</v>
      </c>
      <c r="I33" s="79">
        <v>1388.0679156179572</v>
      </c>
      <c r="J33" s="79">
        <v>0</v>
      </c>
      <c r="K33" s="79">
        <v>0</v>
      </c>
      <c r="L33" s="79">
        <v>0</v>
      </c>
      <c r="M33" s="79">
        <v>0</v>
      </c>
      <c r="N33" s="79">
        <v>0</v>
      </c>
      <c r="O33" s="79">
        <v>0</v>
      </c>
      <c r="P33" s="79">
        <v>0</v>
      </c>
      <c r="Q33" s="79">
        <v>0</v>
      </c>
      <c r="R33" s="79">
        <v>0</v>
      </c>
      <c r="S33" s="79">
        <v>0</v>
      </c>
      <c r="T33" s="79">
        <v>0</v>
      </c>
      <c r="U33" s="79">
        <v>0</v>
      </c>
      <c r="V33" s="79">
        <v>0</v>
      </c>
      <c r="W33" s="79">
        <v>0</v>
      </c>
    </row>
    <row r="34" spans="7:23" x14ac:dyDescent="0.25">
      <c r="G34" s="75" t="str">
        <v>New sign Debt Services</v>
      </c>
      <c r="H34" s="79">
        <v>-47606.067915617947</v>
      </c>
      <c r="I34" s="79">
        <v>-47606.067915617947</v>
      </c>
      <c r="J34" s="79">
        <v>0</v>
      </c>
      <c r="K34" s="79">
        <v>0</v>
      </c>
      <c r="L34" s="79">
        <v>0</v>
      </c>
      <c r="M34" s="79">
        <v>0</v>
      </c>
      <c r="N34" s="79">
        <v>0</v>
      </c>
      <c r="O34" s="79">
        <v>0</v>
      </c>
      <c r="P34" s="79">
        <v>0</v>
      </c>
      <c r="Q34" s="79">
        <v>0</v>
      </c>
      <c r="R34" s="79">
        <v>0</v>
      </c>
      <c r="S34" s="79">
        <v>0</v>
      </c>
      <c r="T34" s="79">
        <v>0</v>
      </c>
      <c r="U34" s="79">
        <v>0</v>
      </c>
      <c r="V34" s="79">
        <v>0</v>
      </c>
      <c r="W34" s="79">
        <v>0</v>
      </c>
    </row>
    <row r="35" spans="7:23" x14ac:dyDescent="0.25">
      <c r="G35" s="76" t="str">
        <v>New sign Closing Balance</v>
      </c>
      <c r="H35" s="79">
        <v>0</v>
      </c>
      <c r="I35" s="79">
        <v>3.9472070056945086E-10</v>
      </c>
      <c r="J35" s="79">
        <v>0</v>
      </c>
      <c r="K35" s="79">
        <v>0</v>
      </c>
      <c r="L35" s="79">
        <v>0</v>
      </c>
      <c r="M35" s="79">
        <v>0</v>
      </c>
      <c r="N35" s="79">
        <v>0</v>
      </c>
      <c r="O35" s="79">
        <v>0</v>
      </c>
      <c r="P35" s="79">
        <v>0</v>
      </c>
      <c r="Q35" s="79">
        <v>0</v>
      </c>
      <c r="R35" s="79">
        <v>0</v>
      </c>
      <c r="S35" s="79">
        <v>0</v>
      </c>
      <c r="T35" s="79">
        <v>0</v>
      </c>
      <c r="U35" s="79">
        <v>0</v>
      </c>
      <c r="V35" s="79">
        <v>0</v>
      </c>
      <c r="W35" s="79">
        <v>0</v>
      </c>
    </row>
    <row r="36" spans="7:23" x14ac:dyDescent="0.25">
      <c r="G36" s="76" t="str">
        <v>New sign Debt Repayment</v>
      </c>
      <c r="H36" s="79">
        <v>46217.999999999993</v>
      </c>
      <c r="I36" s="79">
        <v>46217.999999999993</v>
      </c>
      <c r="J36" s="79">
        <v>0</v>
      </c>
      <c r="K36" s="79">
        <v>0</v>
      </c>
      <c r="L36" s="79">
        <v>0</v>
      </c>
      <c r="M36" s="79">
        <v>0</v>
      </c>
      <c r="N36" s="79">
        <v>0</v>
      </c>
      <c r="O36" s="79">
        <v>0</v>
      </c>
      <c r="P36" s="79">
        <v>0</v>
      </c>
      <c r="Q36" s="79">
        <v>0</v>
      </c>
      <c r="R36" s="79">
        <v>0</v>
      </c>
      <c r="S36" s="79">
        <v>0</v>
      </c>
      <c r="T36" s="79">
        <v>0</v>
      </c>
      <c r="U36" s="79">
        <v>0</v>
      </c>
      <c r="V36" s="79">
        <v>0</v>
      </c>
      <c r="W36" s="79">
        <v>0</v>
      </c>
    </row>
    <row r="37" spans="7:23" x14ac:dyDescent="0.25">
      <c r="G37" s="76" t="str">
        <v/>
      </c>
      <c r="H37" s="79">
        <v>0</v>
      </c>
      <c r="I37" s="79" t="str">
        <v xml:space="preserve"> </v>
      </c>
      <c r="J37" s="79" t="str">
        <v xml:space="preserve"> </v>
      </c>
      <c r="K37" s="79" t="str">
        <v xml:space="preserve"> </v>
      </c>
      <c r="L37" s="79" t="str">
        <v xml:space="preserve"> </v>
      </c>
      <c r="M37" s="79" t="str">
        <v xml:space="preserve"> </v>
      </c>
      <c r="N37" s="79" t="str">
        <v xml:space="preserve"> </v>
      </c>
      <c r="O37" s="79" t="str">
        <v xml:space="preserve"> </v>
      </c>
      <c r="P37" s="79" t="str">
        <v xml:space="preserve"> </v>
      </c>
      <c r="Q37" s="79" t="str">
        <v xml:space="preserve"> </v>
      </c>
      <c r="R37" s="79" t="str">
        <v xml:space="preserve"> </v>
      </c>
      <c r="S37" s="79" t="str">
        <v xml:space="preserve"> </v>
      </c>
      <c r="T37" s="79" t="str">
        <v xml:space="preserve"> </v>
      </c>
      <c r="U37" s="79" t="str">
        <v xml:space="preserve"> </v>
      </c>
      <c r="V37" s="79" t="str">
        <v xml:space="preserve"> </v>
      </c>
      <c r="W37" s="79" t="str">
        <v xml:space="preserve"> </v>
      </c>
    </row>
    <row r="38" spans="7:23" x14ac:dyDescent="0.25">
      <c r="G38" s="76" t="str">
        <v>Parking Lot Debt Issuance</v>
      </c>
      <c r="H38" s="79">
        <v>0</v>
      </c>
      <c r="I38" s="79">
        <v>0</v>
      </c>
      <c r="J38" s="79">
        <v>500000</v>
      </c>
      <c r="K38" s="79">
        <v>0</v>
      </c>
      <c r="L38" s="79">
        <v>0</v>
      </c>
      <c r="M38" s="79">
        <v>0</v>
      </c>
      <c r="N38" s="79">
        <v>0</v>
      </c>
      <c r="O38" s="79">
        <v>0</v>
      </c>
      <c r="P38" s="79">
        <v>0</v>
      </c>
      <c r="Q38" s="79">
        <v>0</v>
      </c>
      <c r="R38" s="79">
        <v>0</v>
      </c>
      <c r="S38" s="79">
        <v>0</v>
      </c>
      <c r="T38" s="79">
        <v>0</v>
      </c>
      <c r="U38" s="79">
        <v>0</v>
      </c>
      <c r="V38" s="79">
        <v>0</v>
      </c>
      <c r="W38" s="79">
        <v>0</v>
      </c>
    </row>
    <row r="39" spans="7:23" x14ac:dyDescent="0.25">
      <c r="G39" s="75" t="str">
        <v>Parking Lot Debt Balance</v>
      </c>
      <c r="H39" s="79">
        <v>0</v>
      </c>
      <c r="I39" s="79">
        <v>0</v>
      </c>
      <c r="J39" s="79">
        <v>500000</v>
      </c>
      <c r="K39" s="79">
        <v>311871.30198002694</v>
      </c>
      <c r="L39" s="79">
        <v>108128.01480805682</v>
      </c>
      <c r="M39" s="79">
        <v>0</v>
      </c>
      <c r="N39" s="79">
        <v>0</v>
      </c>
      <c r="O39" s="79">
        <v>0</v>
      </c>
      <c r="P39" s="79">
        <v>0</v>
      </c>
      <c r="Q39" s="79">
        <v>0</v>
      </c>
      <c r="R39" s="79">
        <v>0</v>
      </c>
      <c r="S39" s="79">
        <v>0</v>
      </c>
      <c r="T39" s="79">
        <v>0</v>
      </c>
      <c r="U39" s="79">
        <v>0</v>
      </c>
      <c r="V39" s="79">
        <v>0</v>
      </c>
      <c r="W39" s="79">
        <v>0</v>
      </c>
    </row>
    <row r="40" spans="7:23" x14ac:dyDescent="0.25">
      <c r="G40" s="75" t="str">
        <v>Parking Lot Interest</v>
      </c>
      <c r="H40" s="79">
        <v>53324.857595300615</v>
      </c>
      <c r="I40" s="79">
        <v>0</v>
      </c>
      <c r="J40" s="79">
        <v>33201.245018145353</v>
      </c>
      <c r="K40" s="79">
        <v>17586.655866148452</v>
      </c>
      <c r="L40" s="79">
        <v>2536.9567110068115</v>
      </c>
      <c r="M40" s="79">
        <v>0</v>
      </c>
      <c r="N40" s="79">
        <v>0</v>
      </c>
      <c r="O40" s="79">
        <v>0</v>
      </c>
      <c r="P40" s="79">
        <v>0</v>
      </c>
      <c r="Q40" s="79">
        <v>0</v>
      </c>
      <c r="R40" s="79">
        <v>0</v>
      </c>
      <c r="S40" s="79">
        <v>0</v>
      </c>
      <c r="T40" s="79">
        <v>0</v>
      </c>
      <c r="U40" s="79">
        <v>0</v>
      </c>
      <c r="V40" s="79">
        <v>0</v>
      </c>
      <c r="W40" s="79">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311871.30198002665</v>
      </c>
      <c r="K42">
        <v>108128.01480805676</v>
      </c>
      <c r="L42">
        <v>4.1327439248561859E-9</v>
      </c>
      <c r="M42">
        <v>0</v>
      </c>
      <c r="N42">
        <v>0</v>
      </c>
      <c r="O42">
        <v>0</v>
      </c>
      <c r="P42">
        <v>0</v>
      </c>
      <c r="Q42">
        <v>0</v>
      </c>
      <c r="R42">
        <v>0</v>
      </c>
      <c r="S42">
        <v>0</v>
      </c>
      <c r="T42">
        <v>0</v>
      </c>
      <c r="U42">
        <v>0</v>
      </c>
      <c r="V42">
        <v>0</v>
      </c>
      <c r="W42">
        <v>0</v>
      </c>
    </row>
    <row r="43" spans="7:23" x14ac:dyDescent="0.25">
      <c r="G43" t="str">
        <v>Parking Lot Debt Repayment</v>
      </c>
      <c r="H43">
        <v>499999.99999999959</v>
      </c>
      <c r="I43">
        <v>0</v>
      </c>
      <c r="J43">
        <v>188128.69801997472</v>
      </c>
      <c r="K43">
        <v>203743.28717197163</v>
      </c>
      <c r="L43">
        <v>108128.01480805322</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pageSetup paperSize="9" scale="53" fitToHeight="0" orientation="landscape" horizontalDpi="0" verticalDpi="0"/>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66023C"/>
    <pageSetUpPr fitToPage="1"/>
  </sheetPr>
  <dimension ref="A1:W43"/>
  <sheetViews>
    <sheetView showGridLines="0" workbookViewId="0">
      <pane xSplit="8" topLeftCell="I1" activePane="topRight" state="frozen"/>
      <selection sqref="A1:P1"/>
      <selection pane="topRight" activeCell="I1" sqref="I1"/>
    </sheetView>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6.5" x14ac:dyDescent="0.7">
      <c r="A1" s="185" t="str">
        <f ca="1">_xlfn.TEXTAFTER(CELL("filename",A1),"]")</f>
        <v>oz.SumAmortiseλ</v>
      </c>
      <c r="B1" s="185"/>
      <c r="C1" s="185"/>
      <c r="D1" s="185"/>
      <c r="E1" s="185"/>
      <c r="F1" s="185"/>
      <c r="G1" s="185"/>
      <c r="H1" s="185"/>
      <c r="I1" s="185"/>
      <c r="J1" s="185"/>
      <c r="K1" s="185"/>
      <c r="L1" s="185"/>
      <c r="M1" s="185"/>
      <c r="N1" s="185"/>
      <c r="O1" s="185"/>
      <c r="P1" s="185"/>
    </row>
    <row r="2" spans="1:17" x14ac:dyDescent="0.25">
      <c r="A2" s="186" t="s">
        <v>88</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c r="O3" s="4"/>
      <c r="P3" s="4"/>
    </row>
    <row r="4" spans="1:17" x14ac:dyDescent="0.25">
      <c r="A4" s="55" t="str" cm="1">
        <f t="array" ref="A4:B12">oz.SumAmortiseλ()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(oz is assumed to be the module's name)</v>
      </c>
    </row>
    <row r="12" spans="1:17" x14ac:dyDescent="0.25">
      <c r="A12" t="str">
        <v/>
      </c>
      <c r="B12" t="str">
        <v>=oz.SumAmortiseλ(AmortisationSchedule)</v>
      </c>
    </row>
    <row r="21" spans="1:23" ht="21" x14ac:dyDescent="0.35">
      <c r="A21" s="203" t="s">
        <v>193</v>
      </c>
      <c r="B21" s="203"/>
      <c r="C21" s="203"/>
    </row>
    <row r="22" spans="1:23" x14ac:dyDescent="0.25">
      <c r="G22" s="78" t="s">
        <v>18</v>
      </c>
      <c r="H22" s="17" t="s">
        <v>2</v>
      </c>
    </row>
    <row r="23" spans="1:23" x14ac:dyDescent="0.25">
      <c r="A23" s="54" t="str" cm="1">
        <f t="array" ref="A23:E26">tblLoans[#All]</f>
        <v>Description</v>
      </c>
      <c r="B23" s="53" t="str">
        <v>Principal</v>
      </c>
      <c r="C23" s="53" t="str">
        <v>APR</v>
      </c>
      <c r="D23" s="53" t="str">
        <v>Term</v>
      </c>
      <c r="E23" s="53" t="str">
        <v>Start Date</v>
      </c>
      <c r="F23" s="67"/>
      <c r="G23" s="68" t="s">
        <v>6</v>
      </c>
      <c r="H23" s="69"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82" t="str">
        <v>Renovation</v>
      </c>
      <c r="B24" s="71">
        <v>51216</v>
      </c>
      <c r="C24" s="72">
        <v>7.0000000000000007E-2</v>
      </c>
      <c r="D24" s="73">
        <v>10</v>
      </c>
      <c r="E24" s="74">
        <v>46266</v>
      </c>
      <c r="G24" s="75" t="str" cm="1">
        <f t="array" ref="G24:G43">oz.LabelAmortiseλ(tblLoans[Description])</f>
        <v>Renovation Debt Issuance</v>
      </c>
      <c r="H24" s="80" cm="1">
        <f t="array" ref="H24:H43">oz.SumAmortiseλ(_xlfn.ANCHORARRAY(I24))</f>
        <v>0</v>
      </c>
      <c r="I24" s="95" cm="1">
        <f t="array" ref="I24:W43">oz.Amortiseλ(tblLoans[Principal],tblLoans[APR],tblLoans[Term],tblLoans[Start Date],_xlfn.ANCHORARRAY( I23))</f>
        <v>51216</v>
      </c>
      <c r="J24" s="79">
        <v>0</v>
      </c>
      <c r="K24" s="79">
        <v>0</v>
      </c>
      <c r="L24" s="79">
        <v>0</v>
      </c>
      <c r="M24" s="79">
        <v>0</v>
      </c>
      <c r="N24" s="79">
        <v>0</v>
      </c>
      <c r="O24" s="79">
        <v>0</v>
      </c>
      <c r="P24" s="79">
        <v>0</v>
      </c>
      <c r="Q24" s="79">
        <v>0</v>
      </c>
      <c r="R24" s="79">
        <v>0</v>
      </c>
      <c r="S24" s="79">
        <v>0</v>
      </c>
      <c r="T24" s="79">
        <v>0</v>
      </c>
      <c r="U24" s="79">
        <v>0</v>
      </c>
      <c r="V24" s="79">
        <v>0</v>
      </c>
      <c r="W24" s="79">
        <v>0</v>
      </c>
    </row>
    <row r="25" spans="1:23" x14ac:dyDescent="0.25">
      <c r="A25" s="82" t="str">
        <v>New sign</v>
      </c>
      <c r="B25" s="71">
        <v>46218</v>
      </c>
      <c r="C25" s="72">
        <v>6.5000000000000002E-2</v>
      </c>
      <c r="D25" s="73">
        <v>10</v>
      </c>
      <c r="E25" s="74">
        <v>46204</v>
      </c>
      <c r="G25" s="75" t="str">
        <v>Renovation Debt Balance</v>
      </c>
      <c r="H25" s="79">
        <v>0</v>
      </c>
      <c r="I25" s="79">
        <v>51216</v>
      </c>
      <c r="J25" s="79">
        <v>0</v>
      </c>
      <c r="K25" s="79">
        <v>0</v>
      </c>
      <c r="L25" s="79">
        <v>0</v>
      </c>
      <c r="M25" s="79">
        <v>0</v>
      </c>
      <c r="N25" s="79">
        <v>0</v>
      </c>
      <c r="O25" s="79">
        <v>0</v>
      </c>
      <c r="P25" s="79">
        <v>0</v>
      </c>
      <c r="Q25" s="79">
        <v>0</v>
      </c>
      <c r="R25" s="79">
        <v>0</v>
      </c>
      <c r="S25" s="79">
        <v>0</v>
      </c>
      <c r="T25" s="79">
        <v>0</v>
      </c>
      <c r="U25" s="79">
        <v>0</v>
      </c>
      <c r="V25" s="79">
        <v>0</v>
      </c>
      <c r="W25" s="79">
        <v>0</v>
      </c>
    </row>
    <row r="26" spans="1:23" x14ac:dyDescent="0.25">
      <c r="A26" s="82" t="str">
        <v>Parking Lot</v>
      </c>
      <c r="B26" s="71">
        <v>500000</v>
      </c>
      <c r="C26" s="72">
        <v>0.08</v>
      </c>
      <c r="D26" s="73">
        <v>30</v>
      </c>
      <c r="E26" s="74">
        <v>46569</v>
      </c>
      <c r="G26" s="75" t="str">
        <v>Renovation Interest</v>
      </c>
      <c r="H26" s="79">
        <v>1657.5152357087741</v>
      </c>
      <c r="I26" s="79">
        <v>1657.5152357087741</v>
      </c>
      <c r="J26" s="79">
        <v>0</v>
      </c>
      <c r="K26" s="79">
        <v>0</v>
      </c>
      <c r="L26" s="79">
        <v>0</v>
      </c>
      <c r="M26" s="79">
        <v>0</v>
      </c>
      <c r="N26" s="79">
        <v>0</v>
      </c>
      <c r="O26" s="79">
        <v>0</v>
      </c>
      <c r="P26" s="79">
        <v>0</v>
      </c>
      <c r="Q26" s="79">
        <v>0</v>
      </c>
      <c r="R26" s="79">
        <v>0</v>
      </c>
      <c r="S26" s="79">
        <v>0</v>
      </c>
      <c r="T26" s="79">
        <v>0</v>
      </c>
      <c r="U26" s="79">
        <v>0</v>
      </c>
      <c r="V26" s="79">
        <v>0</v>
      </c>
      <c r="W26" s="79">
        <v>0</v>
      </c>
    </row>
    <row r="27" spans="1:23" x14ac:dyDescent="0.25">
      <c r="G27" s="75" t="str">
        <v>Renovation Debt Services</v>
      </c>
      <c r="H27" s="79">
        <v>-52873.515235708772</v>
      </c>
      <c r="I27" s="79">
        <v>-52873.515235708772</v>
      </c>
      <c r="J27" s="79">
        <v>0</v>
      </c>
      <c r="K27" s="79">
        <v>0</v>
      </c>
      <c r="L27" s="79">
        <v>0</v>
      </c>
      <c r="M27" s="79">
        <v>0</v>
      </c>
      <c r="N27" s="79">
        <v>0</v>
      </c>
      <c r="O27" s="79">
        <v>0</v>
      </c>
      <c r="P27" s="79">
        <v>0</v>
      </c>
      <c r="Q27" s="79">
        <v>0</v>
      </c>
      <c r="R27" s="79">
        <v>0</v>
      </c>
      <c r="S27" s="79">
        <v>0</v>
      </c>
      <c r="T27" s="79">
        <v>0</v>
      </c>
      <c r="U27" s="79">
        <v>0</v>
      </c>
      <c r="V27" s="79">
        <v>0</v>
      </c>
      <c r="W27" s="79">
        <v>0</v>
      </c>
    </row>
    <row r="28" spans="1:23" x14ac:dyDescent="0.25">
      <c r="G28" s="75" t="str">
        <v>Renovation Closing Balance</v>
      </c>
      <c r="H28" s="79">
        <v>0</v>
      </c>
      <c r="I28" s="79">
        <v>-2.2737367544323206E-10</v>
      </c>
      <c r="J28" s="79">
        <v>0</v>
      </c>
      <c r="K28" s="79">
        <v>0</v>
      </c>
      <c r="L28" s="79">
        <v>0</v>
      </c>
      <c r="M28" s="79">
        <v>0</v>
      </c>
      <c r="N28" s="79">
        <v>0</v>
      </c>
      <c r="O28" s="79">
        <v>0</v>
      </c>
      <c r="P28" s="79">
        <v>0</v>
      </c>
      <c r="Q28" s="79">
        <v>0</v>
      </c>
      <c r="R28" s="79">
        <v>0</v>
      </c>
      <c r="S28" s="79">
        <v>0</v>
      </c>
      <c r="T28" s="79">
        <v>0</v>
      </c>
      <c r="U28" s="79">
        <v>0</v>
      </c>
      <c r="V28" s="79">
        <v>0</v>
      </c>
      <c r="W28" s="79">
        <v>0</v>
      </c>
    </row>
    <row r="29" spans="1:23" x14ac:dyDescent="0.25">
      <c r="G29" s="75" t="str">
        <v>Renovation Debt Repayment</v>
      </c>
      <c r="H29" s="79">
        <v>51216</v>
      </c>
      <c r="I29" s="79">
        <v>51216</v>
      </c>
      <c r="J29" s="79">
        <v>0</v>
      </c>
      <c r="K29" s="79">
        <v>0</v>
      </c>
      <c r="L29" s="79">
        <v>0</v>
      </c>
      <c r="M29" s="79">
        <v>0</v>
      </c>
      <c r="N29" s="79">
        <v>0</v>
      </c>
      <c r="O29" s="79">
        <v>0</v>
      </c>
      <c r="P29" s="79">
        <v>0</v>
      </c>
      <c r="Q29" s="79">
        <v>0</v>
      </c>
      <c r="R29" s="79">
        <v>0</v>
      </c>
      <c r="S29" s="79">
        <v>0</v>
      </c>
      <c r="T29" s="79">
        <v>0</v>
      </c>
      <c r="U29" s="79">
        <v>0</v>
      </c>
      <c r="V29" s="79">
        <v>0</v>
      </c>
      <c r="W29" s="79">
        <v>0</v>
      </c>
    </row>
    <row r="30" spans="1:23" x14ac:dyDescent="0.25">
      <c r="G30" s="75" t="str">
        <v/>
      </c>
      <c r="H30" s="79">
        <v>0</v>
      </c>
      <c r="I30" s="79" t="str">
        <v xml:space="preserve"> </v>
      </c>
      <c r="J30" s="79" t="str">
        <v xml:space="preserve"> </v>
      </c>
      <c r="K30" s="79" t="str">
        <v xml:space="preserve"> </v>
      </c>
      <c r="L30" s="79" t="str">
        <v xml:space="preserve"> </v>
      </c>
      <c r="M30" s="79" t="str">
        <v xml:space="preserve"> </v>
      </c>
      <c r="N30" s="79" t="str">
        <v xml:space="preserve"> </v>
      </c>
      <c r="O30" s="79" t="str">
        <v xml:space="preserve"> </v>
      </c>
      <c r="P30" s="79" t="str">
        <v xml:space="preserve"> </v>
      </c>
      <c r="Q30" s="79" t="str">
        <v xml:space="preserve"> </v>
      </c>
      <c r="R30" s="79" t="str">
        <v xml:space="preserve"> </v>
      </c>
      <c r="S30" s="79" t="str">
        <v xml:space="preserve"> </v>
      </c>
      <c r="T30" s="79" t="str">
        <v xml:space="preserve"> </v>
      </c>
      <c r="U30" s="79" t="str">
        <v xml:space="preserve"> </v>
      </c>
      <c r="V30" s="79" t="str">
        <v xml:space="preserve"> </v>
      </c>
      <c r="W30" s="79" t="str">
        <v xml:space="preserve"> </v>
      </c>
    </row>
    <row r="31" spans="1:23" x14ac:dyDescent="0.25">
      <c r="G31" s="75" t="str">
        <v>New sign Debt Issuance</v>
      </c>
      <c r="H31" s="79">
        <v>0</v>
      </c>
      <c r="I31" s="79">
        <v>46218</v>
      </c>
      <c r="J31" s="79">
        <v>0</v>
      </c>
      <c r="K31" s="79">
        <v>0</v>
      </c>
      <c r="L31" s="79">
        <v>0</v>
      </c>
      <c r="M31" s="79">
        <v>0</v>
      </c>
      <c r="N31" s="79">
        <v>0</v>
      </c>
      <c r="O31" s="79">
        <v>0</v>
      </c>
      <c r="P31" s="79">
        <v>0</v>
      </c>
      <c r="Q31" s="79">
        <v>0</v>
      </c>
      <c r="R31" s="79">
        <v>0</v>
      </c>
      <c r="S31" s="79">
        <v>0</v>
      </c>
      <c r="T31" s="79">
        <v>0</v>
      </c>
      <c r="U31" s="79">
        <v>0</v>
      </c>
      <c r="V31" s="79">
        <v>0</v>
      </c>
      <c r="W31" s="79">
        <v>0</v>
      </c>
    </row>
    <row r="32" spans="1:23" x14ac:dyDescent="0.25">
      <c r="G32" s="75" t="str">
        <v>New sign Debt Balance</v>
      </c>
      <c r="H32" s="79">
        <v>0</v>
      </c>
      <c r="I32" s="79">
        <v>46218</v>
      </c>
      <c r="J32" s="79">
        <v>0</v>
      </c>
      <c r="K32" s="79">
        <v>0</v>
      </c>
      <c r="L32" s="79">
        <v>0</v>
      </c>
      <c r="M32" s="79">
        <v>0</v>
      </c>
      <c r="N32" s="79">
        <v>0</v>
      </c>
      <c r="O32" s="79">
        <v>0</v>
      </c>
      <c r="P32" s="79">
        <v>0</v>
      </c>
      <c r="Q32" s="79">
        <v>0</v>
      </c>
      <c r="R32" s="79">
        <v>0</v>
      </c>
      <c r="S32" s="79">
        <v>0</v>
      </c>
      <c r="T32" s="79">
        <v>0</v>
      </c>
      <c r="U32" s="79">
        <v>0</v>
      </c>
      <c r="V32" s="79">
        <v>0</v>
      </c>
      <c r="W32" s="79">
        <v>0</v>
      </c>
    </row>
    <row r="33" spans="7:23" x14ac:dyDescent="0.25">
      <c r="G33" s="75" t="str">
        <v>New sign Interest</v>
      </c>
      <c r="H33" s="79">
        <v>1388.0679156179572</v>
      </c>
      <c r="I33" s="79">
        <v>1388.0679156179572</v>
      </c>
      <c r="J33" s="79">
        <v>0</v>
      </c>
      <c r="K33" s="79">
        <v>0</v>
      </c>
      <c r="L33" s="79">
        <v>0</v>
      </c>
      <c r="M33" s="79">
        <v>0</v>
      </c>
      <c r="N33" s="79">
        <v>0</v>
      </c>
      <c r="O33" s="79">
        <v>0</v>
      </c>
      <c r="P33" s="79">
        <v>0</v>
      </c>
      <c r="Q33" s="79">
        <v>0</v>
      </c>
      <c r="R33" s="79">
        <v>0</v>
      </c>
      <c r="S33" s="79">
        <v>0</v>
      </c>
      <c r="T33" s="79">
        <v>0</v>
      </c>
      <c r="U33" s="79">
        <v>0</v>
      </c>
      <c r="V33" s="79">
        <v>0</v>
      </c>
      <c r="W33" s="79">
        <v>0</v>
      </c>
    </row>
    <row r="34" spans="7:23" x14ac:dyDescent="0.25">
      <c r="G34" s="75" t="str">
        <v>New sign Debt Services</v>
      </c>
      <c r="H34" s="79">
        <v>-47606.067915617947</v>
      </c>
      <c r="I34" s="79">
        <v>-47606.067915617947</v>
      </c>
      <c r="J34" s="79">
        <v>0</v>
      </c>
      <c r="K34" s="79">
        <v>0</v>
      </c>
      <c r="L34" s="79">
        <v>0</v>
      </c>
      <c r="M34" s="79">
        <v>0</v>
      </c>
      <c r="N34" s="79">
        <v>0</v>
      </c>
      <c r="O34" s="79">
        <v>0</v>
      </c>
      <c r="P34" s="79">
        <v>0</v>
      </c>
      <c r="Q34" s="79">
        <v>0</v>
      </c>
      <c r="R34" s="79">
        <v>0</v>
      </c>
      <c r="S34" s="79">
        <v>0</v>
      </c>
      <c r="T34" s="79">
        <v>0</v>
      </c>
      <c r="U34" s="79">
        <v>0</v>
      </c>
      <c r="V34" s="79">
        <v>0</v>
      </c>
      <c r="W34" s="79">
        <v>0</v>
      </c>
    </row>
    <row r="35" spans="7:23" x14ac:dyDescent="0.25">
      <c r="G35" s="76" t="str">
        <v>New sign Closing Balance</v>
      </c>
      <c r="H35" s="79">
        <v>0</v>
      </c>
      <c r="I35" s="79">
        <v>3.9472070056945086E-10</v>
      </c>
      <c r="J35" s="79">
        <v>0</v>
      </c>
      <c r="K35" s="79">
        <v>0</v>
      </c>
      <c r="L35" s="79">
        <v>0</v>
      </c>
      <c r="M35" s="79">
        <v>0</v>
      </c>
      <c r="N35" s="79">
        <v>0</v>
      </c>
      <c r="O35" s="79">
        <v>0</v>
      </c>
      <c r="P35" s="79">
        <v>0</v>
      </c>
      <c r="Q35" s="79">
        <v>0</v>
      </c>
      <c r="R35" s="79">
        <v>0</v>
      </c>
      <c r="S35" s="79">
        <v>0</v>
      </c>
      <c r="T35" s="79">
        <v>0</v>
      </c>
      <c r="U35" s="79">
        <v>0</v>
      </c>
      <c r="V35" s="79">
        <v>0</v>
      </c>
      <c r="W35" s="79">
        <v>0</v>
      </c>
    </row>
    <row r="36" spans="7:23" x14ac:dyDescent="0.25">
      <c r="G36" s="76" t="str">
        <v>New sign Debt Repayment</v>
      </c>
      <c r="H36" s="79">
        <v>46217.999999999993</v>
      </c>
      <c r="I36" s="79">
        <v>46217.999999999993</v>
      </c>
      <c r="J36" s="79">
        <v>0</v>
      </c>
      <c r="K36" s="79">
        <v>0</v>
      </c>
      <c r="L36" s="79">
        <v>0</v>
      </c>
      <c r="M36" s="79">
        <v>0</v>
      </c>
      <c r="N36" s="79">
        <v>0</v>
      </c>
      <c r="O36" s="79">
        <v>0</v>
      </c>
      <c r="P36" s="79">
        <v>0</v>
      </c>
      <c r="Q36" s="79">
        <v>0</v>
      </c>
      <c r="R36" s="79">
        <v>0</v>
      </c>
      <c r="S36" s="79">
        <v>0</v>
      </c>
      <c r="T36" s="79">
        <v>0</v>
      </c>
      <c r="U36" s="79">
        <v>0</v>
      </c>
      <c r="V36" s="79">
        <v>0</v>
      </c>
      <c r="W36" s="79">
        <v>0</v>
      </c>
    </row>
    <row r="37" spans="7:23" x14ac:dyDescent="0.25">
      <c r="G37" s="76" t="str">
        <v/>
      </c>
      <c r="H37" s="79">
        <v>0</v>
      </c>
      <c r="I37" s="79" t="str">
        <v xml:space="preserve"> </v>
      </c>
      <c r="J37" s="79" t="str">
        <v xml:space="preserve"> </v>
      </c>
      <c r="K37" s="79" t="str">
        <v xml:space="preserve"> </v>
      </c>
      <c r="L37" s="79" t="str">
        <v xml:space="preserve"> </v>
      </c>
      <c r="M37" s="79" t="str">
        <v xml:space="preserve"> </v>
      </c>
      <c r="N37" s="79" t="str">
        <v xml:space="preserve"> </v>
      </c>
      <c r="O37" s="79" t="str">
        <v xml:space="preserve"> </v>
      </c>
      <c r="P37" s="79" t="str">
        <v xml:space="preserve"> </v>
      </c>
      <c r="Q37" s="79" t="str">
        <v xml:space="preserve"> </v>
      </c>
      <c r="R37" s="79" t="str">
        <v xml:space="preserve"> </v>
      </c>
      <c r="S37" s="79" t="str">
        <v xml:space="preserve"> </v>
      </c>
      <c r="T37" s="79" t="str">
        <v xml:space="preserve"> </v>
      </c>
      <c r="U37" s="79" t="str">
        <v xml:space="preserve"> </v>
      </c>
      <c r="V37" s="79" t="str">
        <v xml:space="preserve"> </v>
      </c>
      <c r="W37" s="79" t="str">
        <v xml:space="preserve"> </v>
      </c>
    </row>
    <row r="38" spans="7:23" x14ac:dyDescent="0.25">
      <c r="G38" s="76" t="str">
        <v>Parking Lot Debt Issuance</v>
      </c>
      <c r="H38" s="79">
        <v>0</v>
      </c>
      <c r="I38" s="79">
        <v>0</v>
      </c>
      <c r="J38" s="79">
        <v>500000</v>
      </c>
      <c r="K38" s="79">
        <v>0</v>
      </c>
      <c r="L38" s="79">
        <v>0</v>
      </c>
      <c r="M38" s="79">
        <v>0</v>
      </c>
      <c r="N38" s="79">
        <v>0</v>
      </c>
      <c r="O38" s="79">
        <v>0</v>
      </c>
      <c r="P38" s="79">
        <v>0</v>
      </c>
      <c r="Q38" s="79">
        <v>0</v>
      </c>
      <c r="R38" s="79">
        <v>0</v>
      </c>
      <c r="S38" s="79">
        <v>0</v>
      </c>
      <c r="T38" s="79">
        <v>0</v>
      </c>
      <c r="U38" s="79">
        <v>0</v>
      </c>
      <c r="V38" s="79">
        <v>0</v>
      </c>
      <c r="W38" s="79">
        <v>0</v>
      </c>
    </row>
    <row r="39" spans="7:23" x14ac:dyDescent="0.25">
      <c r="G39" s="75" t="str">
        <v>Parking Lot Debt Balance</v>
      </c>
      <c r="H39" s="79">
        <v>0</v>
      </c>
      <c r="I39" s="79">
        <v>0</v>
      </c>
      <c r="J39" s="79">
        <v>500000</v>
      </c>
      <c r="K39" s="79">
        <v>311871.30198002694</v>
      </c>
      <c r="L39" s="79">
        <v>108128.01480805682</v>
      </c>
      <c r="M39" s="79">
        <v>0</v>
      </c>
      <c r="N39" s="79">
        <v>0</v>
      </c>
      <c r="O39" s="79">
        <v>0</v>
      </c>
      <c r="P39" s="79">
        <v>0</v>
      </c>
      <c r="Q39" s="79">
        <v>0</v>
      </c>
      <c r="R39" s="79">
        <v>0</v>
      </c>
      <c r="S39" s="79">
        <v>0</v>
      </c>
      <c r="T39" s="79">
        <v>0</v>
      </c>
      <c r="U39" s="79">
        <v>0</v>
      </c>
      <c r="V39" s="79">
        <v>0</v>
      </c>
      <c r="W39" s="79">
        <v>0</v>
      </c>
    </row>
    <row r="40" spans="7:23" x14ac:dyDescent="0.25">
      <c r="G40" s="75" t="str">
        <v>Parking Lot Interest</v>
      </c>
      <c r="H40" s="79">
        <v>53324.857595300615</v>
      </c>
      <c r="I40" s="79">
        <v>0</v>
      </c>
      <c r="J40" s="79">
        <v>33201.245018145353</v>
      </c>
      <c r="K40" s="79">
        <v>17586.655866148452</v>
      </c>
      <c r="L40" s="79">
        <v>2536.9567110068115</v>
      </c>
      <c r="M40" s="79">
        <v>0</v>
      </c>
      <c r="N40" s="79">
        <v>0</v>
      </c>
      <c r="O40" s="79">
        <v>0</v>
      </c>
      <c r="P40" s="79">
        <v>0</v>
      </c>
      <c r="Q40" s="79">
        <v>0</v>
      </c>
      <c r="R40" s="79">
        <v>0</v>
      </c>
      <c r="S40" s="79">
        <v>0</v>
      </c>
      <c r="T40" s="79">
        <v>0</v>
      </c>
      <c r="U40" s="79">
        <v>0</v>
      </c>
      <c r="V40" s="79">
        <v>0</v>
      </c>
      <c r="W40" s="79">
        <v>0</v>
      </c>
    </row>
    <row r="41" spans="7:23" x14ac:dyDescent="0.25">
      <c r="G41" s="75"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311871.30198002665</v>
      </c>
      <c r="K42">
        <v>108128.01480805676</v>
      </c>
      <c r="L42">
        <v>4.1327439248561859E-9</v>
      </c>
      <c r="M42">
        <v>0</v>
      </c>
      <c r="N42">
        <v>0</v>
      </c>
      <c r="O42">
        <v>0</v>
      </c>
      <c r="P42">
        <v>0</v>
      </c>
      <c r="Q42">
        <v>0</v>
      </c>
      <c r="R42">
        <v>0</v>
      </c>
      <c r="S42">
        <v>0</v>
      </c>
      <c r="T42">
        <v>0</v>
      </c>
      <c r="U42">
        <v>0</v>
      </c>
      <c r="V42">
        <v>0</v>
      </c>
      <c r="W42">
        <v>0</v>
      </c>
    </row>
    <row r="43" spans="7:23" x14ac:dyDescent="0.25">
      <c r="G43" t="str">
        <v>Parking Lot Debt Repayment</v>
      </c>
      <c r="H43">
        <v>499999.99999999959</v>
      </c>
      <c r="I43">
        <v>0</v>
      </c>
      <c r="J43">
        <v>188128.69801997472</v>
      </c>
      <c r="K43">
        <v>203743.28717197163</v>
      </c>
      <c r="L43">
        <v>108128.01480805322</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pageSetup paperSize="9" scale="53" fitToHeight="0" orientation="landscape" horizontalDpi="0" verticalDpi="0"/>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66023C"/>
    <pageSetUpPr fitToPage="1"/>
  </sheetPr>
  <dimension ref="A1:S32"/>
  <sheetViews>
    <sheetView showGridLines="0" workbookViewId="0">
      <selection sqref="A1:S1"/>
    </sheetView>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oz.Corkscrewλ</v>
      </c>
      <c r="B1" s="185"/>
      <c r="C1" s="185"/>
      <c r="D1" s="185"/>
      <c r="E1" s="185"/>
      <c r="F1" s="185"/>
      <c r="G1" s="185"/>
      <c r="H1" s="185"/>
      <c r="I1" s="185"/>
      <c r="J1" s="185"/>
      <c r="K1" s="185"/>
      <c r="L1" s="185"/>
      <c r="M1" s="185"/>
      <c r="N1" s="185"/>
      <c r="O1" s="185"/>
      <c r="P1" s="185"/>
      <c r="Q1" s="185"/>
      <c r="R1" s="185"/>
      <c r="S1" s="185"/>
    </row>
    <row r="2" spans="1:19" x14ac:dyDescent="0.25">
      <c r="A2" s="186" t="s">
        <v>83</v>
      </c>
      <c r="B2" s="187"/>
      <c r="C2" s="187"/>
      <c r="D2" s="187"/>
      <c r="E2" s="187"/>
      <c r="F2" s="187"/>
      <c r="G2" s="187"/>
      <c r="H2" s="187"/>
      <c r="I2" s="187"/>
      <c r="J2" s="187"/>
      <c r="K2" s="187"/>
      <c r="L2" s="187"/>
      <c r="M2" s="187"/>
      <c r="N2" s="187"/>
      <c r="O2" s="187"/>
      <c r="P2" s="188"/>
      <c r="Q2" s="4"/>
      <c r="R2" s="4"/>
      <c r="S2" s="4"/>
    </row>
    <row r="3" spans="1:19" x14ac:dyDescent="0.25">
      <c r="A3" s="4"/>
      <c r="B3" s="4"/>
      <c r="C3" s="4"/>
      <c r="D3" s="4"/>
      <c r="E3" s="4"/>
      <c r="F3" s="4"/>
      <c r="G3" s="4"/>
      <c r="H3" s="4"/>
      <c r="I3" s="4"/>
      <c r="J3" s="4"/>
      <c r="K3" s="4"/>
      <c r="L3" s="4"/>
      <c r="M3" s="4"/>
      <c r="N3" s="4"/>
      <c r="O3" s="4"/>
      <c r="P3" s="4"/>
      <c r="Q3" s="4"/>
      <c r="R3" s="4"/>
      <c r="S3" s="4"/>
    </row>
    <row r="4" spans="1:19" x14ac:dyDescent="0.25">
      <c r="A4" s="55" t="str" cm="1">
        <f t="array" ref="A4:B20">oz.Corkscrewλ()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oz is assumed to be the module's name</v>
      </c>
    </row>
    <row r="17" spans="1:18" x14ac:dyDescent="0.25">
      <c r="A17" t="str">
        <v>Formula:</v>
      </c>
      <c r="B17" t="str">
        <v>=oz.Corkscrewλ(0,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1" x14ac:dyDescent="0.35">
      <c r="A22" s="203" t="s">
        <v>148</v>
      </c>
      <c r="B22" s="203"/>
      <c r="C22" s="203"/>
    </row>
    <row r="23" spans="1:18" x14ac:dyDescent="0.25">
      <c r="F23" s="84" t="s">
        <v>155</v>
      </c>
      <c r="G23" s="58" cm="1">
        <f t="array" ref="G23:R23">oz.Timelineλ($B$25, $B$26, $B$27, FALSE)</f>
        <v>46234</v>
      </c>
      <c r="H23" s="58">
        <v>46265</v>
      </c>
      <c r="I23" s="58">
        <v>46295</v>
      </c>
      <c r="J23" s="58">
        <v>46326</v>
      </c>
      <c r="K23" s="58">
        <v>46356</v>
      </c>
      <c r="L23" s="58">
        <v>46387</v>
      </c>
      <c r="M23" s="58">
        <v>46418</v>
      </c>
      <c r="N23" s="58">
        <v>46446</v>
      </c>
      <c r="O23" s="58">
        <v>46477</v>
      </c>
      <c r="P23" s="58">
        <v>46507</v>
      </c>
      <c r="Q23" s="58">
        <v>46538</v>
      </c>
      <c r="R23" s="58">
        <v>46568</v>
      </c>
    </row>
    <row r="24" spans="1:18" x14ac:dyDescent="0.25">
      <c r="A24" s="54" t="s">
        <v>149</v>
      </c>
      <c r="B24" s="54" t="s">
        <v>14</v>
      </c>
      <c r="C24" s="54" t="s">
        <v>15</v>
      </c>
      <c r="F24" s="83" t="s">
        <v>152</v>
      </c>
      <c r="G24" s="1" cm="1">
        <f t="array" ref="G24:R24">oz.Timelineλ($B$25, $B$26, $B$27)</f>
        <v>46204</v>
      </c>
      <c r="H24" s="1">
        <v>46235</v>
      </c>
      <c r="I24" s="1">
        <v>46266</v>
      </c>
      <c r="J24" s="1">
        <v>46296</v>
      </c>
      <c r="K24" s="1">
        <v>46327</v>
      </c>
      <c r="L24" s="1">
        <v>46357</v>
      </c>
      <c r="M24" s="1">
        <v>46388</v>
      </c>
      <c r="N24" s="1">
        <v>46419</v>
      </c>
      <c r="O24" s="1">
        <v>46447</v>
      </c>
      <c r="P24" s="1">
        <v>46478</v>
      </c>
      <c r="Q24" s="1">
        <v>46508</v>
      </c>
      <c r="R24" s="1">
        <v>46539</v>
      </c>
    </row>
    <row r="25" spans="1:18" x14ac:dyDescent="0.25">
      <c r="A25" t="s">
        <v>112</v>
      </c>
      <c r="B25" s="34">
        <v>46204</v>
      </c>
      <c r="C25" t="s">
        <v>21</v>
      </c>
      <c r="E25" s="2" t="s">
        <v>151</v>
      </c>
      <c r="F25">
        <f>SUM(_xlfn.ANCHORARRAY(G25))</f>
        <v>62370</v>
      </c>
      <c r="G25" s="85" cm="1">
        <f t="array" ref="G25:R25">oz.ScheduleValuesλ(_xlfn.ANCHORARRAY(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17</v>
      </c>
      <c r="B26">
        <v>12</v>
      </c>
      <c r="C26" t="s">
        <v>22</v>
      </c>
      <c r="E26" s="2" t="s">
        <v>153</v>
      </c>
      <c r="F26">
        <f>SUM(_xlfn.ANCHORARRAY(G26))</f>
        <v>62370</v>
      </c>
      <c r="G26" s="85" cm="1">
        <f t="array" ref="G26:R26">oz.ScheduleValuesλ(_xlfn.ANCHORARRAY(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18</v>
      </c>
      <c r="B27" t="s">
        <v>20</v>
      </c>
      <c r="G27" cm="1">
        <f t="array" ref="G27:R27">oz.SumColsλ(_xlfn.ANCHORARRAY(G25)-_xlfn.ANCHORARRAY(G26))</f>
        <v>5182</v>
      </c>
      <c r="H27">
        <v>5546</v>
      </c>
      <c r="I27">
        <v>7107</v>
      </c>
      <c r="J27">
        <v>3743</v>
      </c>
      <c r="K27">
        <v>10062</v>
      </c>
      <c r="L27">
        <v>-19775</v>
      </c>
      <c r="M27">
        <v>-7713</v>
      </c>
      <c r="N27">
        <v>-4152</v>
      </c>
      <c r="O27">
        <v>0</v>
      </c>
      <c r="P27">
        <v>0</v>
      </c>
      <c r="Q27">
        <v>0</v>
      </c>
      <c r="R27">
        <v>0</v>
      </c>
    </row>
    <row r="29" spans="1:18" x14ac:dyDescent="0.25">
      <c r="E29" t="s">
        <v>169</v>
      </c>
      <c r="G29" s="55" cm="1">
        <f t="array" ref="G29:R32">oz.Corkscrewλ(0,_xlfn.ANCHORARRAY(G25),-_xlfn.ANCHORARRAY(G26))</f>
        <v>0</v>
      </c>
      <c r="H29">
        <v>5182</v>
      </c>
      <c r="I29">
        <v>10728</v>
      </c>
      <c r="J29">
        <v>17835</v>
      </c>
      <c r="K29">
        <v>21578</v>
      </c>
      <c r="L29">
        <v>31640</v>
      </c>
      <c r="M29">
        <v>11865</v>
      </c>
      <c r="N29">
        <v>4152</v>
      </c>
      <c r="O29">
        <v>0</v>
      </c>
      <c r="P29">
        <v>0</v>
      </c>
      <c r="Q29">
        <v>0</v>
      </c>
      <c r="R29">
        <v>0</v>
      </c>
    </row>
    <row r="30" spans="1:18" x14ac:dyDescent="0.25">
      <c r="E30" t="s">
        <v>151</v>
      </c>
      <c r="G30">
        <v>5182</v>
      </c>
      <c r="H30">
        <v>8334</v>
      </c>
      <c r="I30">
        <v>14850</v>
      </c>
      <c r="J30">
        <v>15426</v>
      </c>
      <c r="K30">
        <v>18578</v>
      </c>
      <c r="L30">
        <v>0</v>
      </c>
      <c r="M30">
        <v>0</v>
      </c>
      <c r="N30">
        <v>0</v>
      </c>
      <c r="O30">
        <v>0</v>
      </c>
      <c r="P30">
        <v>0</v>
      </c>
      <c r="Q30">
        <v>0</v>
      </c>
      <c r="R30">
        <v>0</v>
      </c>
    </row>
    <row r="31" spans="1:18" x14ac:dyDescent="0.25">
      <c r="E31" t="s">
        <v>153</v>
      </c>
      <c r="G31">
        <v>0</v>
      </c>
      <c r="H31">
        <v>-2788</v>
      </c>
      <c r="I31">
        <v>-7743</v>
      </c>
      <c r="J31">
        <v>-11683</v>
      </c>
      <c r="K31">
        <v>-8516</v>
      </c>
      <c r="L31">
        <v>-19775</v>
      </c>
      <c r="M31">
        <v>-7713</v>
      </c>
      <c r="N31">
        <v>-4152</v>
      </c>
      <c r="O31">
        <v>0</v>
      </c>
      <c r="P31">
        <v>0</v>
      </c>
      <c r="Q31">
        <v>0</v>
      </c>
      <c r="R31">
        <v>0</v>
      </c>
    </row>
    <row r="32" spans="1:18" x14ac:dyDescent="0.25">
      <c r="E32" t="s">
        <v>30</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pageSetup paperSize="9" scale="58" fitToHeight="0" orientation="landscape" horizontalDpi="0" verticalDpi="0"/>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66023C"/>
    <pageSetUpPr fitToPage="1"/>
  </sheetPr>
  <dimension ref="A1:R22"/>
  <sheetViews>
    <sheetView showGridLines="0" workbookViewId="0">
      <selection sqref="A1:P1"/>
    </sheetView>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185" t="str">
        <f ca="1">_xlfn.TEXTAFTER(CELL("filename",A1),"]")</f>
        <v>oz.Cumulativeλ</v>
      </c>
      <c r="B1" s="185"/>
      <c r="C1" s="185"/>
      <c r="D1" s="185"/>
      <c r="E1" s="185"/>
      <c r="F1" s="185"/>
      <c r="G1" s="185"/>
      <c r="H1" s="185"/>
      <c r="I1" s="185"/>
      <c r="J1" s="185"/>
      <c r="K1" s="185"/>
      <c r="L1" s="185"/>
      <c r="M1" s="185"/>
      <c r="N1" s="185"/>
      <c r="O1" s="185"/>
      <c r="P1" s="185"/>
    </row>
    <row r="2" spans="1:16" x14ac:dyDescent="0.25">
      <c r="A2" s="186" t="s">
        <v>185</v>
      </c>
      <c r="B2" s="187"/>
      <c r="C2" s="187"/>
      <c r="D2" s="187"/>
      <c r="E2" s="187"/>
      <c r="F2" s="187"/>
      <c r="G2" s="187"/>
      <c r="H2" s="187"/>
      <c r="I2" s="187"/>
      <c r="J2" s="187"/>
      <c r="K2" s="187"/>
      <c r="L2" s="187"/>
      <c r="M2" s="187"/>
      <c r="N2" s="187"/>
      <c r="O2" s="187"/>
      <c r="P2" s="188"/>
    </row>
    <row r="3" spans="1:16" x14ac:dyDescent="0.25">
      <c r="A3" s="4"/>
      <c r="B3" s="4"/>
      <c r="C3" s="4"/>
      <c r="D3" s="4"/>
      <c r="E3" s="4"/>
      <c r="F3" s="4"/>
      <c r="G3" s="4"/>
      <c r="H3" s="4"/>
      <c r="I3" s="4"/>
      <c r="J3" s="4"/>
      <c r="K3" s="4"/>
      <c r="L3" s="4"/>
      <c r="M3" s="4"/>
      <c r="N3" s="4"/>
      <c r="O3" s="4"/>
      <c r="P3" s="4"/>
    </row>
    <row r="4" spans="1:16" x14ac:dyDescent="0.25">
      <c r="A4" s="55" t="str" cm="1">
        <f t="array" ref="A4:B13">oz.Cumulativeλ()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https://github.com/ryanduguid/Ozzit</v>
      </c>
    </row>
    <row r="7" spans="1:16" x14ac:dyDescent="0.25">
      <c r="A7" t="str">
        <v>VERSION:</v>
      </c>
      <c r="B7" t="str">
        <v>20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(oz is assumed to be the module's name)</v>
      </c>
    </row>
    <row r="13" spans="1:16" x14ac:dyDescent="0.25">
      <c r="A13" t="str">
        <v>1,3,6</v>
      </c>
      <c r="B13" t="str">
        <v>=oz.Cumulativeλ(Sequence(,3))</v>
      </c>
    </row>
    <row r="16" spans="1:16" ht="21" x14ac:dyDescent="0.35">
      <c r="A16" s="203" t="s">
        <v>148</v>
      </c>
      <c r="B16" s="203"/>
      <c r="C16" s="203"/>
    </row>
    <row r="17" spans="1:18" x14ac:dyDescent="0.25">
      <c r="F17" s="84" t="s">
        <v>155</v>
      </c>
      <c r="G17" s="58" cm="1">
        <f t="array" ref="G17:R17">oz.Timelineλ($B$19, $B$20, $B$21, FALSE)</f>
        <v>46234</v>
      </c>
      <c r="H17" s="58">
        <v>46265</v>
      </c>
      <c r="I17" s="58">
        <v>46295</v>
      </c>
      <c r="J17" s="58">
        <v>46326</v>
      </c>
      <c r="K17" s="58">
        <v>46356</v>
      </c>
      <c r="L17" s="58">
        <v>46387</v>
      </c>
      <c r="M17" s="58">
        <v>46418</v>
      </c>
      <c r="N17" s="58">
        <v>46446</v>
      </c>
      <c r="O17" s="58">
        <v>46477</v>
      </c>
      <c r="P17" s="58">
        <v>46507</v>
      </c>
      <c r="Q17" s="58">
        <v>46538</v>
      </c>
      <c r="R17" s="58">
        <v>46568</v>
      </c>
    </row>
    <row r="18" spans="1:18" x14ac:dyDescent="0.25">
      <c r="A18" s="54" t="s">
        <v>149</v>
      </c>
      <c r="B18" s="54" t="s">
        <v>14</v>
      </c>
      <c r="C18" s="54" t="s">
        <v>15</v>
      </c>
      <c r="F18" s="83" t="s">
        <v>152</v>
      </c>
      <c r="G18" s="1" cm="1">
        <f t="array" ref="G18:R18">oz.Timelineλ($B$19, $B$20, $B$21)</f>
        <v>46204</v>
      </c>
      <c r="H18" s="1">
        <v>46235</v>
      </c>
      <c r="I18" s="1">
        <v>46266</v>
      </c>
      <c r="J18" s="1">
        <v>46296</v>
      </c>
      <c r="K18" s="1">
        <v>46327</v>
      </c>
      <c r="L18" s="1">
        <v>46357</v>
      </c>
      <c r="M18" s="1">
        <v>46388</v>
      </c>
      <c r="N18" s="1">
        <v>46419</v>
      </c>
      <c r="O18" s="1">
        <v>46447</v>
      </c>
      <c r="P18" s="1">
        <v>46478</v>
      </c>
      <c r="Q18" s="1">
        <v>46508</v>
      </c>
      <c r="R18" s="1">
        <v>46539</v>
      </c>
    </row>
    <row r="19" spans="1:18" x14ac:dyDescent="0.25">
      <c r="A19" t="s">
        <v>112</v>
      </c>
      <c r="B19" s="34">
        <v>46204</v>
      </c>
      <c r="C19" t="s">
        <v>21</v>
      </c>
      <c r="E19" s="2" t="s">
        <v>151</v>
      </c>
      <c r="F19">
        <f>SUM(_xlfn.ANCHORARRAY(G19))</f>
        <v>62370</v>
      </c>
      <c r="G19" s="85" cm="1">
        <f t="array" ref="G19:R19">oz.ScheduleValuesλ(_xlfn.ANCHORARRAY(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17</v>
      </c>
      <c r="B20">
        <v>12</v>
      </c>
      <c r="C20" t="s">
        <v>22</v>
      </c>
      <c r="E20" s="2" t="s">
        <v>153</v>
      </c>
      <c r="F20">
        <f>SUM(_xlfn.ANCHORARRAY(G20))</f>
        <v>62370</v>
      </c>
      <c r="G20" s="85" cm="1">
        <f t="array" ref="G20:R20">oz.ScheduleValuesλ(_xlfn.ANCHORARRAY(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18</v>
      </c>
      <c r="B21" t="s">
        <v>20</v>
      </c>
      <c r="E21" s="2" t="s">
        <v>4</v>
      </c>
      <c r="G21" s="60" cm="1">
        <f t="array" ref="G21:R21">_xlfn.ANCHORARRAY(G19)-_xlfn.ANCHORARRAY(G20)</f>
        <v>5182</v>
      </c>
      <c r="H21" s="60">
        <v>5546</v>
      </c>
      <c r="I21" s="60">
        <v>7107</v>
      </c>
      <c r="J21" s="60">
        <v>3743</v>
      </c>
      <c r="K21" s="60">
        <v>10062</v>
      </c>
      <c r="L21" s="60">
        <v>-19775</v>
      </c>
      <c r="M21" s="60">
        <v>-7713</v>
      </c>
      <c r="N21" s="60">
        <v>-4152</v>
      </c>
      <c r="O21" s="60">
        <v>0</v>
      </c>
      <c r="P21" s="60">
        <v>0</v>
      </c>
      <c r="Q21" s="60">
        <v>0</v>
      </c>
      <c r="R21" s="60">
        <v>0</v>
      </c>
    </row>
    <row r="22" spans="1:18" x14ac:dyDescent="0.25">
      <c r="E22" s="2" t="s">
        <v>170</v>
      </c>
      <c r="G22" s="55" cm="1">
        <f t="array" ref="G22:R22">oz.Cumulativeλ(_xlfn.ANCHORARRAY(G21))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pageSetup paperSize="9" scale="59" fitToHeight="0" orientation="landscape" horizontalDpi="0" verticalDpi="0"/>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66023C"/>
    <pageSetUpPr fitToPage="1"/>
  </sheetPr>
  <dimension ref="A1:EA65"/>
  <sheetViews>
    <sheetView showGridLines="0" workbookViewId="0">
      <pane xSplit="11" topLeftCell="L1" activePane="topRight" state="frozen"/>
      <selection sqref="A1:Q1"/>
      <selection pane="topRight" activeCell="L1" sqref="L1"/>
    </sheetView>
  </sheetViews>
  <sheetFormatPr defaultColWidth="11" defaultRowHeight="15" x14ac:dyDescent="0.25"/>
  <cols>
    <col min="1" max="1" width="13.125" bestFit="1" customWidth="1"/>
    <col min="10" max="10" width="22.125" bestFit="1" customWidth="1"/>
    <col min="11" max="11" width="15.625" bestFit="1" customWidth="1"/>
  </cols>
  <sheetData>
    <row r="1" spans="1:18" ht="46.5" x14ac:dyDescent="0.7">
      <c r="A1" s="185" t="str">
        <f ca="1">_xlfn.TEXTAFTER(CELL("filename",A1),"]")</f>
        <v>oz.Depreciateλ</v>
      </c>
      <c r="B1" s="185"/>
      <c r="C1" s="185"/>
      <c r="D1" s="185"/>
      <c r="E1" s="185"/>
      <c r="F1" s="185"/>
      <c r="G1" s="185"/>
      <c r="H1" s="185"/>
      <c r="I1" s="185"/>
      <c r="J1" s="185"/>
      <c r="K1" s="185"/>
      <c r="L1" s="185"/>
      <c r="M1" s="185"/>
      <c r="N1" s="185"/>
      <c r="O1" s="185"/>
      <c r="P1" s="185"/>
      <c r="Q1" s="185"/>
    </row>
    <row r="2" spans="1:18" x14ac:dyDescent="0.25">
      <c r="A2" s="186" t="s">
        <v>84</v>
      </c>
      <c r="B2" s="215"/>
      <c r="C2" s="215"/>
      <c r="D2" s="215"/>
      <c r="E2" s="215"/>
      <c r="F2" s="215"/>
      <c r="G2" s="215"/>
      <c r="H2" s="215"/>
      <c r="I2" s="215"/>
      <c r="J2" s="215"/>
      <c r="K2" s="215"/>
      <c r="L2" s="215"/>
      <c r="M2" s="215"/>
      <c r="N2" s="215"/>
      <c r="O2" s="215"/>
      <c r="P2" s="215"/>
      <c r="Q2" s="216"/>
    </row>
    <row r="3" spans="1:18" x14ac:dyDescent="0.25">
      <c r="A3" s="4"/>
      <c r="B3" s="4"/>
      <c r="C3" s="4"/>
      <c r="D3" s="4"/>
      <c r="E3" s="4"/>
      <c r="F3" s="4"/>
      <c r="G3" s="4"/>
      <c r="H3" s="4"/>
      <c r="I3" s="4"/>
      <c r="J3" s="4"/>
      <c r="K3" s="218"/>
      <c r="L3" s="218"/>
      <c r="M3" s="218"/>
      <c r="N3" s="218"/>
      <c r="O3" s="218"/>
      <c r="P3" s="218"/>
      <c r="Q3" s="218"/>
      <c r="R3" s="218"/>
    </row>
    <row r="4" spans="1:18" x14ac:dyDescent="0.25">
      <c r="A4" s="55" t="str" cm="1">
        <f t="array" ref="A4:B30">oz.Depreciateλ()</f>
        <v>FUNCTION:</v>
      </c>
      <c r="B4" t="str">
        <v>Depreciateλ(InitialValues, InServiceDates, LifeInYears, Timeline,</v>
      </c>
      <c r="K4" s="218"/>
      <c r="L4" s="218"/>
      <c r="M4" s="218"/>
      <c r="N4" s="218"/>
      <c r="O4" s="218"/>
      <c r="P4" s="218"/>
      <c r="Q4" s="218"/>
      <c r="R4" s="218"/>
    </row>
    <row r="5" spans="1:18" x14ac:dyDescent="0.25">
      <c r="A5" t="str">
        <v/>
      </c>
      <c r="B5" t="str">
        <v>[SalvageValues], [DisposalDates], [DisposalCosts], [Methods], [Factors])</v>
      </c>
      <c r="K5" s="218"/>
      <c r="L5" s="218"/>
      <c r="M5" s="218"/>
      <c r="N5" s="218"/>
      <c r="O5" s="218"/>
      <c r="P5" s="218"/>
      <c r="Q5" s="218"/>
      <c r="R5" s="218"/>
    </row>
    <row r="6" spans="1:18" x14ac:dyDescent="0.25">
      <c r="A6" t="str">
        <v>DESCRIPTION:</v>
      </c>
      <c r="B6" t="str">
        <v>Creates an array of CAPEX, depreciation, and book values for a model's timeline</v>
      </c>
      <c r="K6" s="218"/>
      <c r="L6" s="218"/>
      <c r="M6" s="218"/>
      <c r="N6" s="218"/>
      <c r="O6" s="218"/>
      <c r="P6" s="218"/>
      <c r="Q6" s="218"/>
      <c r="R6" s="218"/>
    </row>
    <row r="7" spans="1:18" x14ac:dyDescent="0.25">
      <c r="A7" t="str">
        <v>WEBPAGE:</v>
      </c>
      <c r="B7" t="str">
        <v>https://github.com/ryanduguid/Ozzit</v>
      </c>
      <c r="K7" s="218"/>
      <c r="L7" s="218"/>
      <c r="M7" s="218"/>
      <c r="N7" s="218"/>
      <c r="O7" s="218"/>
      <c r="P7" s="218"/>
      <c r="Q7" s="218"/>
      <c r="R7" s="218"/>
    </row>
    <row r="8" spans="1:18" x14ac:dyDescent="0.25">
      <c r="A8" t="str">
        <v>VERSION:</v>
      </c>
      <c r="B8" t="str">
        <v>20 Aug 2026</v>
      </c>
      <c r="K8" s="218"/>
      <c r="L8" s="218"/>
      <c r="M8" s="218"/>
      <c r="N8" s="218"/>
      <c r="O8" s="218"/>
      <c r="P8" s="218"/>
      <c r="Q8" s="218"/>
      <c r="R8" s="218"/>
    </row>
    <row r="9" spans="1:18" x14ac:dyDescent="0.25">
      <c r="A9" t="str">
        <v>NOTES:</v>
      </c>
      <c r="B9" t="str">
        <v>The methods used here differ from Excel's functions in several ways. Please see webpage for details.</v>
      </c>
      <c r="K9" s="218"/>
      <c r="L9" s="218"/>
      <c r="M9" s="218"/>
      <c r="N9" s="218"/>
      <c r="O9" s="218"/>
      <c r="P9" s="218"/>
      <c r="Q9" s="218"/>
      <c r="R9" s="218"/>
    </row>
    <row r="10" spans="1:18" x14ac:dyDescent="0.25">
      <c r="A10" t="str">
        <v>PARAMETERS:</v>
      </c>
      <c r="B10" t="str">
        <v/>
      </c>
      <c r="K10" s="218"/>
      <c r="L10" s="218"/>
      <c r="M10" s="218"/>
      <c r="N10" s="218"/>
      <c r="O10" s="218"/>
      <c r="P10" s="218"/>
      <c r="Q10" s="218"/>
      <c r="R10" s="218"/>
    </row>
    <row r="11" spans="1:18" x14ac:dyDescent="0.25">
      <c r="A11" t="str">
        <v>InitialValues</v>
      </c>
      <c r="B11" t="str">
        <v>(Required) The purchase values of each asset to depreciate</v>
      </c>
      <c r="K11" s="218"/>
      <c r="L11" s="218"/>
      <c r="M11" s="218"/>
      <c r="N11" s="218"/>
      <c r="O11" s="218"/>
      <c r="P11" s="218"/>
      <c r="Q11" s="218"/>
      <c r="R11" s="218"/>
    </row>
    <row r="12" spans="1:18" x14ac:dyDescent="0.25">
      <c r="A12" t="str">
        <v>InServiceDates</v>
      </c>
      <c r="B12" t="str">
        <v>(Required) The dates from which to start depreciating each asset</v>
      </c>
      <c r="K12" s="218"/>
      <c r="L12" s="218"/>
      <c r="M12" s="218"/>
      <c r="N12" s="218"/>
      <c r="O12" s="218"/>
      <c r="P12" s="218"/>
      <c r="Q12" s="218"/>
      <c r="R12" s="218"/>
    </row>
    <row r="13" spans="1:18" x14ac:dyDescent="0.25">
      <c r="A13" t="str">
        <v>LifeInYears</v>
      </c>
      <c r="B13" t="str">
        <v>(Required) The whole number of years over which to depreciate each asset.</v>
      </c>
      <c r="K13" s="218"/>
      <c r="L13" s="218"/>
      <c r="M13" s="218"/>
      <c r="N13" s="218"/>
      <c r="O13" s="218"/>
      <c r="P13" s="218"/>
      <c r="Q13" s="218"/>
      <c r="R13" s="218"/>
    </row>
    <row r="14" spans="1:18" x14ac:dyDescent="0.25">
      <c r="A14" t="str">
        <v/>
      </c>
      <c r="B14" t="str">
        <v>More than 0 and no more than 100. A date here is not a life:</v>
      </c>
      <c r="K14" s="218"/>
      <c r="L14" s="218"/>
      <c r="M14" s="218"/>
      <c r="N14" s="218"/>
      <c r="O14" s="218"/>
      <c r="P14" s="218"/>
      <c r="Q14" s="218"/>
      <c r="R14" s="218"/>
    </row>
    <row r="15" spans="1:18" x14ac:dyDescent="0.25">
      <c r="A15" t="str">
        <v/>
      </c>
      <c r="B15" t="str">
        <v>the arguments read InitialValues, InServiceDates, LifeInYears, Timeline.</v>
      </c>
      <c r="K15" s="218"/>
      <c r="L15" s="218"/>
      <c r="M15" s="218"/>
      <c r="N15" s="218"/>
      <c r="O15" s="218"/>
      <c r="P15" s="218"/>
      <c r="Q15" s="218"/>
      <c r="R15" s="218"/>
    </row>
    <row r="16" spans="1:18" x14ac:dyDescent="0.25">
      <c r="A16" t="str">
        <v>Timeline</v>
      </c>
      <c r="B16" t="str">
        <v>(Required) The model's timeline or a row of period start dates.</v>
      </c>
      <c r="K16" s="218"/>
      <c r="L16" s="218"/>
      <c r="M16" s="218"/>
      <c r="N16" s="218"/>
      <c r="O16" s="218"/>
      <c r="P16" s="218"/>
      <c r="Q16" s="218"/>
      <c r="R16" s="218"/>
    </row>
    <row r="17" spans="1:18" x14ac:dyDescent="0.25">
      <c r="A17" t="str">
        <v/>
      </c>
      <c r="B17" t="str">
        <v>Timeline can be any interval: days, weeks, months, quarters or years</v>
      </c>
      <c r="K17" s="218"/>
      <c r="L17" s="218"/>
      <c r="M17" s="218"/>
      <c r="N17" s="218"/>
      <c r="O17" s="218"/>
      <c r="P17" s="218"/>
      <c r="Q17" s="218"/>
      <c r="R17" s="218"/>
    </row>
    <row r="18" spans="1:18" x14ac:dyDescent="0.25">
      <c r="A18" t="str">
        <v>SalvageValues</v>
      </c>
      <c r="B18" t="str">
        <v>(Optional: Default = 0) The book values of each asset after fully depreciated.</v>
      </c>
      <c r="K18" s="218"/>
      <c r="L18" s="218"/>
      <c r="M18" s="218"/>
      <c r="N18" s="218"/>
      <c r="O18" s="218"/>
      <c r="P18" s="218"/>
      <c r="Q18" s="218"/>
      <c r="R18" s="218"/>
    </row>
    <row r="19" spans="1:18" x14ac:dyDescent="0.25">
      <c r="A19" t="str">
        <v>DisposalDates</v>
      </c>
      <c r="B19" t="str">
        <v>(Optional: Default = End of life) The dates on which the assets are removed from the books.</v>
      </c>
      <c r="K19" s="218"/>
      <c r="L19" s="218"/>
      <c r="M19" s="218"/>
      <c r="N19" s="218"/>
      <c r="O19" s="218"/>
      <c r="P19" s="218"/>
      <c r="Q19" s="218"/>
      <c r="R19" s="218"/>
    </row>
    <row r="20" spans="1:18" x14ac:dyDescent="0.25">
      <c r="A20" t="str">
        <v/>
      </c>
      <c r="B20" t="str">
        <v>A disposal before the end of life writes the remaining book value off in that month.</v>
      </c>
      <c r="K20" s="218"/>
      <c r="L20" s="218"/>
      <c r="M20" s="218"/>
      <c r="N20" s="218"/>
      <c r="O20" s="218"/>
      <c r="P20" s="218"/>
      <c r="Q20" s="218"/>
      <c r="R20" s="218"/>
    </row>
    <row r="21" spans="1:18" x14ac:dyDescent="0.25">
      <c r="A21" t="str">
        <v>DisposalCosts</v>
      </c>
      <c r="B21" t="str">
        <v>(Optional: Default = 0) The costs of removing each asset from the books, charged in the disposal period.</v>
      </c>
      <c r="K21" s="218"/>
      <c r="L21" s="218"/>
      <c r="M21" s="218"/>
      <c r="N21" s="218"/>
      <c r="O21" s="218"/>
      <c r="P21" s="218"/>
      <c r="Q21" s="218"/>
      <c r="R21" s="218"/>
    </row>
    <row r="22" spans="1:18" x14ac:dyDescent="0.25">
      <c r="A22" t="str">
        <v>Methods</v>
      </c>
      <c r="B22" t="str">
        <v>(Optional: Default = SLN) The desired depreciation method. Must be one of these method codes:</v>
      </c>
      <c r="K22" s="218"/>
      <c r="L22" s="218"/>
      <c r="M22" s="218"/>
      <c r="N22" s="218"/>
      <c r="O22" s="218"/>
      <c r="P22" s="218"/>
      <c r="Q22" s="218"/>
      <c r="R22" s="218"/>
    </row>
    <row r="23" spans="1:18" x14ac:dyDescent="0.25">
      <c r="A23" t="str">
        <v/>
      </c>
      <c r="B23" t="str">
        <v>SLN=Straight Line Depreciation</v>
      </c>
      <c r="K23" s="219" t="s">
        <v>211</v>
      </c>
      <c r="L23" s="219"/>
      <c r="M23" s="219"/>
      <c r="N23" s="219"/>
      <c r="O23" s="219"/>
      <c r="P23" s="219"/>
      <c r="Q23" s="219"/>
      <c r="R23" s="219"/>
    </row>
    <row r="24" spans="1:18" x14ac:dyDescent="0.25">
      <c r="A24" t="str">
        <v/>
      </c>
      <c r="B24" t="str">
        <v>SYD=Sum of Year's Digits</v>
      </c>
    </row>
    <row r="25" spans="1:18" x14ac:dyDescent="0.25">
      <c r="A25" t="str">
        <v/>
      </c>
      <c r="B25" t="str">
        <v>DB =Declining Balance</v>
      </c>
    </row>
    <row r="26" spans="1:18" x14ac:dyDescent="0.25">
      <c r="A26" t="str">
        <v/>
      </c>
      <c r="B26" t="str">
        <v>DDB=Double Declining Balance</v>
      </c>
    </row>
    <row r="27" spans="1:18" x14ac:dyDescent="0.25">
      <c r="A27" t="str">
        <v/>
      </c>
      <c r="B27" t="str">
        <v>VDB=Variable Declining Balance</v>
      </c>
    </row>
    <row r="28" spans="1:18" x14ac:dyDescent="0.25">
      <c r="A28" t="str">
        <v/>
      </c>
      <c r="B28" t="str">
        <v>DV =Diminishing balance at 200% of straight line. Salvage value ignored</v>
      </c>
    </row>
    <row r="29" spans="1:18" x14ac:dyDescent="0.25">
      <c r="A29" t="str">
        <v/>
      </c>
      <c r="B29" t="str">
        <v>PC =Straight line, whole years. Salvage value ignored</v>
      </c>
    </row>
    <row r="30" spans="1:18" x14ac:dyDescent="0.25">
      <c r="A30" t="str">
        <v>Factors</v>
      </c>
      <c r="B30" t="str">
        <v>(Optional: Default = 2) Only applicable to DDB and VDB methods.</v>
      </c>
    </row>
    <row r="35" spans="1:131" ht="21" x14ac:dyDescent="0.35">
      <c r="A35" s="203" t="s">
        <v>148</v>
      </c>
      <c r="B35" s="203"/>
      <c r="C35" s="203"/>
      <c r="J35" s="2" t="s">
        <v>165</v>
      </c>
    </row>
    <row r="37" spans="1:131" x14ac:dyDescent="0.25">
      <c r="A37" s="54" t="s">
        <v>149</v>
      </c>
      <c r="B37" s="54" t="s">
        <v>14</v>
      </c>
      <c r="C37" s="54" t="s">
        <v>15</v>
      </c>
      <c r="J37" s="83" t="s">
        <v>7</v>
      </c>
      <c r="K37" s="83" t="s">
        <v>152</v>
      </c>
      <c r="L37" s="1" cm="1">
        <f t="array" ref="L37:EA37">oz.Timelineλ($B$38, $B$39, $B$40)</f>
        <v>46204</v>
      </c>
      <c r="M37" s="1">
        <v>46569</v>
      </c>
      <c r="N37" s="1">
        <v>46935</v>
      </c>
      <c r="O37" s="1">
        <v>47300</v>
      </c>
      <c r="P37" s="1">
        <v>47665</v>
      </c>
      <c r="Q37" s="1">
        <v>48030</v>
      </c>
      <c r="R37" s="1">
        <v>48396</v>
      </c>
      <c r="S37" s="1">
        <v>48761</v>
      </c>
      <c r="T37" s="1">
        <v>49126</v>
      </c>
      <c r="U37" s="1">
        <v>49491</v>
      </c>
      <c r="V37" s="1">
        <v>49857</v>
      </c>
      <c r="W37" s="1">
        <v>50222</v>
      </c>
      <c r="X37" s="1">
        <v>50587</v>
      </c>
      <c r="Y37" s="1">
        <v>50952</v>
      </c>
      <c r="Z37" s="1">
        <v>51318</v>
      </c>
      <c r="AA37" s="1">
        <v>51683</v>
      </c>
      <c r="AB37" s="1">
        <v>52048</v>
      </c>
      <c r="AC37" s="1">
        <v>52413</v>
      </c>
      <c r="AD37" s="1">
        <v>52779</v>
      </c>
      <c r="AE37" s="1">
        <v>53144</v>
      </c>
      <c r="AF37" s="1">
        <v>53509</v>
      </c>
      <c r="AG37" s="1">
        <v>53874</v>
      </c>
      <c r="AH37" s="1">
        <v>54240</v>
      </c>
      <c r="AI37" s="1">
        <v>54605</v>
      </c>
      <c r="AJ37" s="1">
        <v>54970</v>
      </c>
      <c r="AK37" s="1">
        <v>55335</v>
      </c>
      <c r="AL37" s="1">
        <v>55701</v>
      </c>
      <c r="AM37" s="1">
        <v>56066</v>
      </c>
      <c r="AN37" s="1">
        <v>56431</v>
      </c>
      <c r="AO37" s="1">
        <v>56796</v>
      </c>
      <c r="AP37" s="1">
        <v>57162</v>
      </c>
      <c r="AQ37" s="1">
        <v>57527</v>
      </c>
      <c r="AR37" s="1">
        <v>57892</v>
      </c>
      <c r="AS37" s="1">
        <v>58257</v>
      </c>
      <c r="AT37" s="1">
        <v>58623</v>
      </c>
      <c r="AU37" s="1">
        <v>58988</v>
      </c>
      <c r="AV37" s="1">
        <v>59353</v>
      </c>
      <c r="AW37" s="1">
        <v>59718</v>
      </c>
      <c r="AX37" s="1">
        <v>60084</v>
      </c>
      <c r="AY37" s="1">
        <v>60449</v>
      </c>
      <c r="AZ37" s="1">
        <v>60814</v>
      </c>
      <c r="BA37" s="1">
        <v>61179</v>
      </c>
      <c r="BB37" s="1">
        <v>61545</v>
      </c>
      <c r="BC37" s="1">
        <v>61910</v>
      </c>
      <c r="BD37" s="1">
        <v>62275</v>
      </c>
      <c r="BE37" s="1">
        <v>62640</v>
      </c>
      <c r="BF37" s="1">
        <v>63006</v>
      </c>
      <c r="BG37" s="1">
        <v>63371</v>
      </c>
      <c r="BH37" s="1">
        <v>63736</v>
      </c>
      <c r="BI37" s="1">
        <v>64101</v>
      </c>
      <c r="BJ37" s="1">
        <v>64467</v>
      </c>
      <c r="BK37" s="1">
        <v>64832</v>
      </c>
      <c r="BL37" s="1">
        <v>65197</v>
      </c>
      <c r="BM37" s="1">
        <v>65562</v>
      </c>
      <c r="BN37" s="1">
        <v>65928</v>
      </c>
      <c r="BO37" s="1">
        <v>66293</v>
      </c>
      <c r="BP37" s="1">
        <v>66658</v>
      </c>
      <c r="BQ37" s="1">
        <v>67023</v>
      </c>
      <c r="BR37" s="1">
        <v>67389</v>
      </c>
      <c r="BS37" s="1">
        <v>67754</v>
      </c>
      <c r="BT37" s="1">
        <v>68119</v>
      </c>
      <c r="BU37" s="1">
        <v>68484</v>
      </c>
      <c r="BV37" s="1">
        <v>68850</v>
      </c>
      <c r="BW37" s="1">
        <v>69215</v>
      </c>
      <c r="BX37" s="1">
        <v>69580</v>
      </c>
      <c r="BY37" s="1">
        <v>69945</v>
      </c>
      <c r="BZ37" s="1">
        <v>70311</v>
      </c>
      <c r="CA37" s="1">
        <v>70676</v>
      </c>
      <c r="CB37" s="1">
        <v>71041</v>
      </c>
      <c r="CC37" s="1">
        <v>71406</v>
      </c>
      <c r="CD37" s="1">
        <v>71772</v>
      </c>
      <c r="CE37" s="1">
        <v>72137</v>
      </c>
      <c r="CF37" s="1">
        <v>72502</v>
      </c>
      <c r="CG37" s="1">
        <v>72867</v>
      </c>
      <c r="CH37" s="1">
        <v>73232</v>
      </c>
      <c r="CI37" s="1">
        <v>73597</v>
      </c>
      <c r="CJ37" s="1">
        <v>73962</v>
      </c>
      <c r="CK37" s="1">
        <v>74327</v>
      </c>
      <c r="CL37" s="1">
        <v>74693</v>
      </c>
      <c r="CM37" s="1">
        <v>75058</v>
      </c>
      <c r="CN37" s="1">
        <v>75423</v>
      </c>
      <c r="CO37" s="1">
        <v>75788</v>
      </c>
      <c r="CP37" s="1">
        <v>76154</v>
      </c>
      <c r="CQ37" s="1">
        <v>76519</v>
      </c>
      <c r="CR37" s="1">
        <v>76884</v>
      </c>
      <c r="CS37" s="1">
        <v>77249</v>
      </c>
      <c r="CT37" s="1">
        <v>77615</v>
      </c>
      <c r="CU37" s="1">
        <v>77980</v>
      </c>
      <c r="CV37" s="1">
        <v>78345</v>
      </c>
      <c r="CW37" s="1">
        <v>78710</v>
      </c>
      <c r="CX37" s="1">
        <v>79076</v>
      </c>
      <c r="CY37" s="1">
        <v>79441</v>
      </c>
      <c r="CZ37" s="1">
        <v>79806</v>
      </c>
      <c r="DA37" s="1">
        <v>80171</v>
      </c>
      <c r="DB37" s="1">
        <v>80537</v>
      </c>
      <c r="DC37" s="1">
        <v>80902</v>
      </c>
      <c r="DD37" s="1">
        <v>81267</v>
      </c>
      <c r="DE37" s="1">
        <v>81632</v>
      </c>
      <c r="DF37" s="1">
        <v>81998</v>
      </c>
      <c r="DG37" s="1">
        <v>82363</v>
      </c>
      <c r="DH37" s="1">
        <v>82728</v>
      </c>
      <c r="DI37" s="1">
        <v>83093</v>
      </c>
      <c r="DJ37" s="1">
        <v>83459</v>
      </c>
      <c r="DK37" s="1">
        <v>83824</v>
      </c>
      <c r="DL37" s="1">
        <v>84189</v>
      </c>
      <c r="DM37" s="1">
        <v>84554</v>
      </c>
      <c r="DN37" s="1">
        <v>84920</v>
      </c>
      <c r="DO37" s="1">
        <v>85285</v>
      </c>
      <c r="DP37" s="1">
        <v>85650</v>
      </c>
      <c r="DQ37" s="1">
        <v>86015</v>
      </c>
      <c r="DR37" s="1">
        <v>86381</v>
      </c>
      <c r="DS37" s="1">
        <v>86746</v>
      </c>
      <c r="DT37" s="1">
        <v>87111</v>
      </c>
      <c r="DU37" s="1">
        <v>87476</v>
      </c>
      <c r="DV37" s="1">
        <v>87842</v>
      </c>
      <c r="DW37" s="1">
        <v>88207</v>
      </c>
      <c r="DX37" s="1">
        <v>88572</v>
      </c>
      <c r="DY37" s="1">
        <v>88937</v>
      </c>
      <c r="DZ37">
        <v>89303</v>
      </c>
      <c r="EA37">
        <v>89668</v>
      </c>
    </row>
    <row r="38" spans="1:131" x14ac:dyDescent="0.25">
      <c r="A38" t="s">
        <v>112</v>
      </c>
      <c r="B38" s="34">
        <v>46204</v>
      </c>
      <c r="C38" t="s">
        <v>21</v>
      </c>
      <c r="J38" t="s">
        <v>218</v>
      </c>
      <c r="L38" cm="1">
        <f t="array" ref="L38:EA38">oz.SumContainsλ(_xlfn.ANCHORARRAY($L$46),_xlfn.ANCHORARRAY($J$46),J38)</f>
        <v>85181</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17</v>
      </c>
      <c r="B39">
        <v>120</v>
      </c>
      <c r="C39" t="s">
        <v>22</v>
      </c>
      <c r="J39" t="s">
        <v>219</v>
      </c>
      <c r="L39" cm="1">
        <f t="array" ref="L39:EA39">oz.SumContainsλ(_xlfn.ANCHORARRAY($L$46),_xlfn.ANCHORARRAY($J$46),J39)</f>
        <v>12247.26</v>
      </c>
      <c r="M39">
        <v>11034.03</v>
      </c>
      <c r="N39">
        <v>9037.9610000000011</v>
      </c>
      <c r="O39">
        <v>7456.1199000000006</v>
      </c>
      <c r="P39">
        <v>6195.2141600000014</v>
      </c>
      <c r="Q39">
        <v>5331.466931500001</v>
      </c>
      <c r="R39">
        <v>4868.1098112666677</v>
      </c>
      <c r="S39">
        <v>4489.9754030566673</v>
      </c>
      <c r="T39">
        <v>2653.6336356676679</v>
      </c>
      <c r="U39">
        <v>3659.6390758509015</v>
      </c>
      <c r="V39">
        <v>1960.2605602658068</v>
      </c>
      <c r="W39">
        <v>2074.7329522392301</v>
      </c>
      <c r="X39">
        <v>1417.2596570153071</v>
      </c>
      <c r="Y39">
        <v>1275.5336913137764</v>
      </c>
      <c r="Z39">
        <v>1147.9803221823988</v>
      </c>
      <c r="AA39">
        <v>1033.1822899641588</v>
      </c>
      <c r="AB39">
        <v>929.86406096774317</v>
      </c>
      <c r="AC39">
        <v>836.87765487096885</v>
      </c>
      <c r="AD39">
        <v>753.1898893838719</v>
      </c>
      <c r="AE39">
        <v>6778.7090044548222</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18</v>
      </c>
      <c r="B40" t="s">
        <v>2</v>
      </c>
      <c r="J40" t="s">
        <v>220</v>
      </c>
      <c r="L40" cm="1">
        <f t="array" ref="L40:EA40">oz.SumContainsλ(_xlfn.ANCHORARRAY($L$46),_xlfn.ANCHORARRAY($J$46),J40)</f>
        <v>72933.739999999991</v>
      </c>
      <c r="M40">
        <v>61899.709999999977</v>
      </c>
      <c r="N40">
        <v>52861.748999999967</v>
      </c>
      <c r="O40">
        <v>45405.629099999955</v>
      </c>
      <c r="P40">
        <v>39210.414939999973</v>
      </c>
      <c r="Q40">
        <v>33878.948008499967</v>
      </c>
      <c r="R40">
        <v>29010.83819723329</v>
      </c>
      <c r="S40">
        <v>24520.862794176603</v>
      </c>
      <c r="T40">
        <v>21867.229158508955</v>
      </c>
      <c r="U40">
        <v>18207.590082658069</v>
      </c>
      <c r="V40">
        <v>16247.329522392292</v>
      </c>
      <c r="W40">
        <v>14172.596570153055</v>
      </c>
      <c r="X40">
        <v>12755.336913137755</v>
      </c>
      <c r="Y40">
        <v>11479.803221823975</v>
      </c>
      <c r="Z40">
        <v>10331.822899641566</v>
      </c>
      <c r="AA40">
        <v>9298.6406096774044</v>
      </c>
      <c r="AB40">
        <v>8368.7765487096585</v>
      </c>
      <c r="AC40">
        <v>7531.8988938386919</v>
      </c>
      <c r="AD40">
        <v>6778.7090044548222</v>
      </c>
      <c r="AE40">
        <v>-5.4569682106375694E-12</v>
      </c>
      <c r="AF40">
        <v>-5.1159076974727213E-12</v>
      </c>
      <c r="AG40">
        <v>-5.1159076974727213E-12</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221</v>
      </c>
      <c r="L41" cm="1">
        <f t="array" ref="L41:EA41">oz.SumContainsλ(_xlfn.ANCHORARRAY($L$46),_xlfn.ANCHORARRAY($J$46),J41)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222</v>
      </c>
      <c r="L42" cm="1">
        <f t="array" ref="L42:EA42">oz.SumContainsλ(_xlfn.ANCHORARRAY($L$46),_xlfn.ANCHORARRAY($J$46),J42)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1" x14ac:dyDescent="0.35">
      <c r="A43" s="192" t="s">
        <v>171</v>
      </c>
      <c r="B43" s="193"/>
      <c r="C43" s="193"/>
      <c r="D43" s="193"/>
      <c r="E43" s="193"/>
      <c r="F43" s="193"/>
      <c r="G43" s="193"/>
      <c r="H43" s="217"/>
    </row>
    <row r="44" spans="1:131" x14ac:dyDescent="0.25">
      <c r="A44" s="213"/>
      <c r="B44" s="214"/>
      <c r="C44" s="214"/>
      <c r="D44" s="214"/>
      <c r="E44" s="214"/>
      <c r="F44" s="214"/>
      <c r="G44" s="214"/>
      <c r="H44" s="214"/>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86" t="s">
        <v>172</v>
      </c>
      <c r="B45" s="87" t="s">
        <v>125</v>
      </c>
      <c r="C45" s="87" t="s">
        <v>173</v>
      </c>
      <c r="D45" s="87" t="s">
        <v>182</v>
      </c>
      <c r="E45" s="87" t="s">
        <v>174</v>
      </c>
      <c r="F45" s="87" t="s">
        <v>6</v>
      </c>
      <c r="G45" s="87" t="s">
        <v>183</v>
      </c>
      <c r="H45" s="86" t="s">
        <v>175</v>
      </c>
      <c r="J45" s="83" t="s">
        <v>7</v>
      </c>
      <c r="K45" s="83" t="s">
        <v>152</v>
      </c>
      <c r="L45" s="1" cm="1">
        <f t="array" ref="L45:EA45">oz.Timelineλ($B$38, $B$39, $B$40)</f>
        <v>46204</v>
      </c>
      <c r="M45" s="1">
        <v>46569</v>
      </c>
      <c r="N45" s="1">
        <v>46935</v>
      </c>
      <c r="O45" s="1">
        <v>47300</v>
      </c>
      <c r="P45" s="1">
        <v>47665</v>
      </c>
      <c r="Q45" s="1">
        <v>48030</v>
      </c>
      <c r="R45" s="1">
        <v>48396</v>
      </c>
      <c r="S45" s="1">
        <v>48761</v>
      </c>
      <c r="T45" s="1">
        <v>49126</v>
      </c>
      <c r="U45" s="1">
        <v>49491</v>
      </c>
      <c r="V45" s="1">
        <v>49857</v>
      </c>
      <c r="W45" s="1">
        <v>50222</v>
      </c>
      <c r="X45" s="1">
        <v>50587</v>
      </c>
      <c r="Y45" s="1">
        <v>50952</v>
      </c>
      <c r="Z45" s="1">
        <v>51318</v>
      </c>
      <c r="AA45" s="1">
        <v>51683</v>
      </c>
      <c r="AB45" s="1">
        <v>52048</v>
      </c>
      <c r="AC45" s="1">
        <v>52413</v>
      </c>
      <c r="AD45" s="1">
        <v>52779</v>
      </c>
      <c r="AE45" s="1">
        <v>53144</v>
      </c>
      <c r="AF45" s="1">
        <v>53509</v>
      </c>
      <c r="AG45" s="1">
        <v>53874</v>
      </c>
      <c r="AH45" s="1">
        <v>54240</v>
      </c>
      <c r="AI45" s="1">
        <v>54605</v>
      </c>
      <c r="AJ45" s="1">
        <v>54970</v>
      </c>
      <c r="AK45" s="1">
        <v>55335</v>
      </c>
      <c r="AL45" s="1">
        <v>55701</v>
      </c>
      <c r="AM45" s="1">
        <v>56066</v>
      </c>
      <c r="AN45" s="1">
        <v>56431</v>
      </c>
      <c r="AO45" s="1">
        <v>56796</v>
      </c>
      <c r="AP45" s="1">
        <v>57162</v>
      </c>
      <c r="AQ45" s="1">
        <v>57527</v>
      </c>
      <c r="AR45" s="1">
        <v>57892</v>
      </c>
      <c r="AS45" s="1">
        <v>58257</v>
      </c>
      <c r="AT45" s="1">
        <v>58623</v>
      </c>
      <c r="AU45" s="1">
        <v>58988</v>
      </c>
      <c r="AV45" s="1">
        <v>59353</v>
      </c>
      <c r="AW45" s="1">
        <v>59718</v>
      </c>
      <c r="AX45" s="1">
        <v>60084</v>
      </c>
      <c r="AY45" s="1">
        <v>60449</v>
      </c>
      <c r="AZ45" s="1">
        <v>60814</v>
      </c>
      <c r="BA45" s="1">
        <v>61179</v>
      </c>
      <c r="BB45" s="1">
        <v>61545</v>
      </c>
      <c r="BC45" s="1">
        <v>61910</v>
      </c>
      <c r="BD45" s="1">
        <v>62275</v>
      </c>
      <c r="BE45" s="1">
        <v>62640</v>
      </c>
      <c r="BF45" s="1">
        <v>63006</v>
      </c>
      <c r="BG45" s="1">
        <v>63371</v>
      </c>
      <c r="BH45" s="1">
        <v>63736</v>
      </c>
      <c r="BI45" s="1">
        <v>64101</v>
      </c>
      <c r="BJ45" s="1">
        <v>64467</v>
      </c>
      <c r="BK45" s="1">
        <v>64832</v>
      </c>
      <c r="BL45" s="1">
        <v>65197</v>
      </c>
      <c r="BM45" s="1">
        <v>65562</v>
      </c>
      <c r="BN45" s="1">
        <v>65928</v>
      </c>
      <c r="BO45" s="1">
        <v>66293</v>
      </c>
      <c r="BP45" s="1">
        <v>66658</v>
      </c>
      <c r="BQ45" s="1">
        <v>67023</v>
      </c>
      <c r="BR45" s="1">
        <v>67389</v>
      </c>
      <c r="BS45" s="1">
        <v>67754</v>
      </c>
      <c r="BT45" s="1">
        <v>68119</v>
      </c>
      <c r="BU45" s="1">
        <v>68484</v>
      </c>
      <c r="BV45" s="1">
        <v>68850</v>
      </c>
      <c r="BW45" s="1">
        <v>69215</v>
      </c>
      <c r="BX45" s="1">
        <v>69580</v>
      </c>
      <c r="BY45" s="1">
        <v>69945</v>
      </c>
      <c r="BZ45" s="1">
        <v>70311</v>
      </c>
      <c r="CA45" s="1">
        <v>70676</v>
      </c>
      <c r="CB45" s="1">
        <v>71041</v>
      </c>
      <c r="CC45" s="1">
        <v>71406</v>
      </c>
      <c r="CD45" s="1">
        <v>71772</v>
      </c>
      <c r="CE45" s="1">
        <v>72137</v>
      </c>
      <c r="CF45" s="1">
        <v>72502</v>
      </c>
      <c r="CG45" s="1">
        <v>72867</v>
      </c>
      <c r="CH45" s="1">
        <v>73232</v>
      </c>
      <c r="CI45" s="1">
        <v>73597</v>
      </c>
      <c r="CJ45" s="1">
        <v>73962</v>
      </c>
      <c r="CK45" s="1">
        <v>74327</v>
      </c>
      <c r="CL45" s="1">
        <v>74693</v>
      </c>
      <c r="CM45" s="1">
        <v>75058</v>
      </c>
      <c r="CN45" s="1">
        <v>75423</v>
      </c>
      <c r="CO45" s="1">
        <v>75788</v>
      </c>
      <c r="CP45" s="1">
        <v>76154</v>
      </c>
      <c r="CQ45" s="1">
        <v>76519</v>
      </c>
      <c r="CR45" s="1">
        <v>76884</v>
      </c>
      <c r="CS45" s="1">
        <v>77249</v>
      </c>
      <c r="CT45" s="1">
        <v>77615</v>
      </c>
      <c r="CU45" s="1">
        <v>77980</v>
      </c>
      <c r="CV45" s="1">
        <v>78345</v>
      </c>
      <c r="CW45" s="1">
        <v>78710</v>
      </c>
      <c r="CX45" s="1">
        <v>79076</v>
      </c>
      <c r="CY45" s="1">
        <v>79441</v>
      </c>
      <c r="CZ45" s="1">
        <v>79806</v>
      </c>
      <c r="DA45" s="1">
        <v>80171</v>
      </c>
      <c r="DB45" s="1">
        <v>80537</v>
      </c>
      <c r="DC45" s="1">
        <v>80902</v>
      </c>
      <c r="DD45" s="1">
        <v>81267</v>
      </c>
      <c r="DE45" s="1">
        <v>81632</v>
      </c>
      <c r="DF45" s="1">
        <v>81998</v>
      </c>
      <c r="DG45" s="1">
        <v>82363</v>
      </c>
      <c r="DH45" s="1">
        <v>82728</v>
      </c>
      <c r="DI45" s="1">
        <v>83093</v>
      </c>
      <c r="DJ45" s="1">
        <v>83459</v>
      </c>
      <c r="DK45" s="1">
        <v>83824</v>
      </c>
      <c r="DL45" s="1">
        <v>84189</v>
      </c>
      <c r="DM45" s="1">
        <v>84554</v>
      </c>
      <c r="DN45" s="1">
        <v>84920</v>
      </c>
      <c r="DO45" s="1">
        <v>85285</v>
      </c>
      <c r="DP45" s="1">
        <v>85650</v>
      </c>
      <c r="DQ45" s="1">
        <v>86015</v>
      </c>
      <c r="DR45" s="1">
        <v>86381</v>
      </c>
      <c r="DS45" s="1">
        <v>86746</v>
      </c>
      <c r="DT45" s="1">
        <v>87111</v>
      </c>
      <c r="DU45" s="1">
        <v>87476</v>
      </c>
      <c r="DV45" s="1">
        <v>87842</v>
      </c>
      <c r="DW45" s="1">
        <v>88207</v>
      </c>
      <c r="DX45" s="1">
        <v>88572</v>
      </c>
      <c r="DY45" s="1">
        <v>88937</v>
      </c>
      <c r="DZ45">
        <v>89303</v>
      </c>
      <c r="EA45">
        <v>89668</v>
      </c>
    </row>
    <row r="46" spans="1:131" x14ac:dyDescent="0.25">
      <c r="A46" t="s">
        <v>179</v>
      </c>
      <c r="B46" s="88">
        <v>25000</v>
      </c>
      <c r="C46" s="13">
        <v>46235</v>
      </c>
      <c r="D46" s="88">
        <v>8</v>
      </c>
      <c r="E46" s="88">
        <v>1000</v>
      </c>
      <c r="F46" s="13">
        <f>EDATE(tblAssets[[#This Row],[Acquired]],(tblAssets[[#This Row],[Life]]+1)*12)</f>
        <v>49522</v>
      </c>
      <c r="G46" s="88">
        <v>500</v>
      </c>
      <c r="H46" s="13" t="s">
        <v>311</v>
      </c>
      <c r="J46" t="str" cm="1">
        <f t="array" ref="J46:J65">oz.LabelDepreciateλ(tblAssets[Asset])</f>
        <v>Cutter CAPEX</v>
      </c>
      <c r="K46" cm="1">
        <f t="array" ref="K46:K65">oz.SumDepreciateλ(_xlfn.ANCHORARRAY(L46))</f>
        <v>25000</v>
      </c>
      <c r="L46" s="55" cm="1">
        <f t="array" ref="L46:EA65">oz.Depreciateλ(tblAssets[Amount],tblAssets[Acquired],tblAssets[Life],_xlfn.ANCHORARRAY(L45),tblAssets[Salvage],tblAssets[Date],tblAssets[Cost],tblAssets[Method])</f>
        <v>25000</v>
      </c>
      <c r="M46" s="144">
        <v>0</v>
      </c>
      <c r="N46" s="144">
        <v>0</v>
      </c>
      <c r="O46" s="144">
        <v>0</v>
      </c>
      <c r="P46" s="144">
        <v>0</v>
      </c>
      <c r="Q46" s="144">
        <v>0</v>
      </c>
      <c r="R46" s="144">
        <v>0</v>
      </c>
      <c r="S46" s="144">
        <v>0</v>
      </c>
      <c r="T46" s="144">
        <v>0</v>
      </c>
      <c r="U46" s="144">
        <v>0</v>
      </c>
      <c r="V46" s="144">
        <v>0</v>
      </c>
      <c r="W46" s="144">
        <v>0</v>
      </c>
      <c r="X46" s="144">
        <v>0</v>
      </c>
      <c r="Y46" s="144">
        <v>0</v>
      </c>
      <c r="Z46" s="144">
        <v>0</v>
      </c>
      <c r="AA46" s="144">
        <v>0</v>
      </c>
      <c r="AB46" s="144">
        <v>0</v>
      </c>
      <c r="AC46" s="144">
        <v>0</v>
      </c>
      <c r="AD46" s="144">
        <v>0</v>
      </c>
      <c r="AE46" s="144">
        <v>0</v>
      </c>
      <c r="AF46" s="144">
        <v>0</v>
      </c>
      <c r="AG46" s="144">
        <v>0</v>
      </c>
      <c r="AH46" s="144">
        <v>0</v>
      </c>
      <c r="AI46" s="144">
        <v>0</v>
      </c>
      <c r="AJ46" s="144">
        <v>0</v>
      </c>
      <c r="AK46" s="144">
        <v>0</v>
      </c>
      <c r="AL46" s="144">
        <v>0</v>
      </c>
      <c r="AM46" s="144">
        <v>0</v>
      </c>
      <c r="AN46" s="144">
        <v>0</v>
      </c>
      <c r="AO46" s="144">
        <v>0</v>
      </c>
      <c r="AP46" s="144">
        <v>0</v>
      </c>
      <c r="AQ46" s="144">
        <v>0</v>
      </c>
      <c r="AR46" s="144">
        <v>0</v>
      </c>
      <c r="AS46" s="144">
        <v>0</v>
      </c>
      <c r="AT46" s="144">
        <v>0</v>
      </c>
      <c r="AU46" s="144">
        <v>0</v>
      </c>
      <c r="AV46" s="144">
        <v>0</v>
      </c>
      <c r="AW46" s="144">
        <v>0</v>
      </c>
      <c r="AX46" s="144">
        <v>0</v>
      </c>
      <c r="AY46" s="144">
        <v>0</v>
      </c>
      <c r="AZ46" s="144">
        <v>0</v>
      </c>
      <c r="BA46" s="144">
        <v>0</v>
      </c>
      <c r="BB46" s="144">
        <v>0</v>
      </c>
      <c r="BC46" s="144">
        <v>0</v>
      </c>
      <c r="BD46" s="144">
        <v>0</v>
      </c>
      <c r="BE46" s="144">
        <v>0</v>
      </c>
      <c r="BF46" s="144">
        <v>0</v>
      </c>
      <c r="BG46" s="144">
        <v>0</v>
      </c>
      <c r="BH46" s="144">
        <v>0</v>
      </c>
      <c r="BI46" s="144">
        <v>0</v>
      </c>
      <c r="BJ46" s="144">
        <v>0</v>
      </c>
      <c r="BK46" s="144">
        <v>0</v>
      </c>
      <c r="BL46" s="144">
        <v>0</v>
      </c>
      <c r="BM46" s="144">
        <v>0</v>
      </c>
      <c r="BN46" s="144">
        <v>0</v>
      </c>
      <c r="BO46" s="144">
        <v>0</v>
      </c>
      <c r="BP46" s="144">
        <v>0</v>
      </c>
      <c r="BQ46" s="144">
        <v>0</v>
      </c>
      <c r="BR46" s="144">
        <v>0</v>
      </c>
      <c r="BS46" s="144">
        <v>0</v>
      </c>
      <c r="BT46" s="144">
        <v>0</v>
      </c>
      <c r="BU46" s="144">
        <v>0</v>
      </c>
      <c r="BV46" s="144">
        <v>0</v>
      </c>
      <c r="BW46" s="144">
        <v>0</v>
      </c>
      <c r="BX46" s="144">
        <v>0</v>
      </c>
      <c r="BY46" s="144">
        <v>0</v>
      </c>
      <c r="BZ46" s="144">
        <v>0</v>
      </c>
      <c r="CA46" s="144">
        <v>0</v>
      </c>
      <c r="CB46" s="144">
        <v>0</v>
      </c>
      <c r="CC46" s="144">
        <v>0</v>
      </c>
      <c r="CD46" s="144">
        <v>0</v>
      </c>
      <c r="CE46" s="144">
        <v>0</v>
      </c>
      <c r="CF46" s="144">
        <v>0</v>
      </c>
      <c r="CG46" s="144">
        <v>0</v>
      </c>
      <c r="CH46" s="144">
        <v>0</v>
      </c>
      <c r="CI46" s="144">
        <v>0</v>
      </c>
      <c r="CJ46" s="144">
        <v>0</v>
      </c>
      <c r="CK46" s="144">
        <v>0</v>
      </c>
      <c r="CL46" s="144">
        <v>0</v>
      </c>
      <c r="CM46" s="144">
        <v>0</v>
      </c>
      <c r="CN46" s="144">
        <v>0</v>
      </c>
      <c r="CO46" s="144">
        <v>0</v>
      </c>
      <c r="CP46" s="144">
        <v>0</v>
      </c>
      <c r="CQ46" s="144">
        <v>0</v>
      </c>
      <c r="CR46" s="144">
        <v>0</v>
      </c>
      <c r="CS46" s="144">
        <v>0</v>
      </c>
      <c r="CT46" s="144">
        <v>0</v>
      </c>
      <c r="CU46" s="144">
        <v>0</v>
      </c>
      <c r="CV46" s="144">
        <v>0</v>
      </c>
      <c r="CW46" s="144">
        <v>0</v>
      </c>
      <c r="CX46" s="144">
        <v>0</v>
      </c>
      <c r="CY46" s="144">
        <v>0</v>
      </c>
      <c r="CZ46" s="144">
        <v>0</v>
      </c>
      <c r="DA46" s="144">
        <v>0</v>
      </c>
      <c r="DB46" s="144">
        <v>0</v>
      </c>
      <c r="DC46" s="144">
        <v>0</v>
      </c>
      <c r="DD46" s="144">
        <v>0</v>
      </c>
      <c r="DE46" s="144">
        <v>0</v>
      </c>
      <c r="DF46" s="144">
        <v>0</v>
      </c>
      <c r="DG46" s="144">
        <v>0</v>
      </c>
      <c r="DH46" s="144">
        <v>0</v>
      </c>
      <c r="DI46" s="144">
        <v>0</v>
      </c>
      <c r="DJ46" s="144">
        <v>0</v>
      </c>
      <c r="DK46" s="144">
        <v>0</v>
      </c>
      <c r="DL46" s="144">
        <v>0</v>
      </c>
      <c r="DM46" s="144">
        <v>0</v>
      </c>
      <c r="DN46" s="144">
        <v>0</v>
      </c>
      <c r="DO46" s="144">
        <v>0</v>
      </c>
      <c r="DP46" s="144">
        <v>0</v>
      </c>
      <c r="DQ46" s="144">
        <v>0</v>
      </c>
      <c r="DR46" s="144">
        <v>0</v>
      </c>
      <c r="DS46" s="144">
        <v>0</v>
      </c>
      <c r="DT46" s="144">
        <v>0</v>
      </c>
      <c r="DU46" s="144">
        <v>0</v>
      </c>
      <c r="DV46" s="144">
        <v>0</v>
      </c>
      <c r="DW46" s="144">
        <v>0</v>
      </c>
      <c r="DX46" s="144">
        <v>0</v>
      </c>
      <c r="DY46" s="144">
        <v>0</v>
      </c>
      <c r="DZ46">
        <v>0</v>
      </c>
      <c r="EA46">
        <v>0</v>
      </c>
    </row>
    <row r="47" spans="1:131" x14ac:dyDescent="0.25">
      <c r="A47" s="146" t="s">
        <v>180</v>
      </c>
      <c r="B47" s="149">
        <v>10000</v>
      </c>
      <c r="C47" s="150">
        <v>46296</v>
      </c>
      <c r="D47" s="90">
        <v>10</v>
      </c>
      <c r="E47" s="90">
        <v>500</v>
      </c>
      <c r="F47" s="147">
        <f>EDATE(tblAssets[[#This Row],[Acquired]],(tblAssets[[#This Row],[Life]]+1)*12)</f>
        <v>50314</v>
      </c>
      <c r="G47" s="149">
        <v>100</v>
      </c>
      <c r="H47" s="147" t="s">
        <v>177</v>
      </c>
      <c r="J47" t="str">
        <v>Cutter Opening Value</v>
      </c>
      <c r="K47">
        <v>0</v>
      </c>
      <c r="L47" s="144">
        <v>25000</v>
      </c>
      <c r="M47" s="144">
        <v>19270.869999999981</v>
      </c>
      <c r="N47" s="144">
        <v>14453.06999999998</v>
      </c>
      <c r="O47" s="144">
        <v>10839.829999999987</v>
      </c>
      <c r="P47" s="144">
        <v>8129.8449999999939</v>
      </c>
      <c r="Q47" s="144">
        <v>6097.466249999994</v>
      </c>
      <c r="R47" s="144">
        <v>4425.3971874999888</v>
      </c>
      <c r="S47" s="144">
        <v>2781.1914583333219</v>
      </c>
      <c r="T47" s="144">
        <v>1136.9857291666553</v>
      </c>
      <c r="U47" s="144">
        <v>999.99999999998863</v>
      </c>
      <c r="V47" s="144">
        <v>0</v>
      </c>
      <c r="W47" s="144">
        <v>0</v>
      </c>
      <c r="X47" s="144">
        <v>0</v>
      </c>
      <c r="Y47" s="144">
        <v>0</v>
      </c>
      <c r="Z47" s="144">
        <v>0</v>
      </c>
      <c r="AA47" s="144">
        <v>0</v>
      </c>
      <c r="AB47" s="144">
        <v>0</v>
      </c>
      <c r="AC47" s="144">
        <v>0</v>
      </c>
      <c r="AD47" s="144">
        <v>0</v>
      </c>
      <c r="AE47" s="144">
        <v>0</v>
      </c>
      <c r="AF47" s="144">
        <v>0</v>
      </c>
      <c r="AG47" s="144">
        <v>0</v>
      </c>
      <c r="AH47" s="144">
        <v>0</v>
      </c>
      <c r="AI47" s="144">
        <v>0</v>
      </c>
      <c r="AJ47" s="144">
        <v>0</v>
      </c>
      <c r="AK47" s="144">
        <v>0</v>
      </c>
      <c r="AL47" s="144">
        <v>0</v>
      </c>
      <c r="AM47" s="144">
        <v>0</v>
      </c>
      <c r="AN47" s="144">
        <v>0</v>
      </c>
      <c r="AO47" s="144">
        <v>0</v>
      </c>
      <c r="AP47" s="144">
        <v>0</v>
      </c>
      <c r="AQ47" s="144">
        <v>0</v>
      </c>
      <c r="AR47" s="144">
        <v>0</v>
      </c>
      <c r="AS47" s="144">
        <v>0</v>
      </c>
      <c r="AT47" s="144">
        <v>0</v>
      </c>
      <c r="AU47" s="144">
        <v>0</v>
      </c>
      <c r="AV47" s="144">
        <v>0</v>
      </c>
      <c r="AW47" s="144">
        <v>0</v>
      </c>
      <c r="AX47" s="144">
        <v>0</v>
      </c>
      <c r="AY47" s="144">
        <v>0</v>
      </c>
      <c r="AZ47" s="144">
        <v>0</v>
      </c>
      <c r="BA47" s="144">
        <v>0</v>
      </c>
      <c r="BB47" s="144">
        <v>0</v>
      </c>
      <c r="BC47" s="144">
        <v>0</v>
      </c>
      <c r="BD47" s="144">
        <v>0</v>
      </c>
      <c r="BE47" s="144">
        <v>0</v>
      </c>
      <c r="BF47" s="144">
        <v>0</v>
      </c>
      <c r="BG47" s="144">
        <v>0</v>
      </c>
      <c r="BH47" s="144">
        <v>0</v>
      </c>
      <c r="BI47" s="144">
        <v>0</v>
      </c>
      <c r="BJ47" s="144">
        <v>0</v>
      </c>
      <c r="BK47" s="144">
        <v>0</v>
      </c>
      <c r="BL47" s="144">
        <v>0</v>
      </c>
      <c r="BM47" s="144">
        <v>0</v>
      </c>
      <c r="BN47" s="144">
        <v>0</v>
      </c>
      <c r="BO47" s="144">
        <v>0</v>
      </c>
      <c r="BP47" s="144">
        <v>0</v>
      </c>
      <c r="BQ47" s="144">
        <v>0</v>
      </c>
      <c r="BR47" s="144">
        <v>0</v>
      </c>
      <c r="BS47" s="144">
        <v>0</v>
      </c>
      <c r="BT47" s="144">
        <v>0</v>
      </c>
      <c r="BU47" s="144">
        <v>0</v>
      </c>
      <c r="BV47" s="144">
        <v>0</v>
      </c>
      <c r="BW47" s="144">
        <v>0</v>
      </c>
      <c r="BX47" s="144">
        <v>0</v>
      </c>
      <c r="BY47" s="144">
        <v>0</v>
      </c>
      <c r="BZ47" s="144">
        <v>0</v>
      </c>
      <c r="CA47" s="144">
        <v>0</v>
      </c>
      <c r="CB47" s="144">
        <v>0</v>
      </c>
      <c r="CC47" s="144">
        <v>0</v>
      </c>
      <c r="CD47" s="144">
        <v>0</v>
      </c>
      <c r="CE47" s="144">
        <v>0</v>
      </c>
      <c r="CF47" s="144">
        <v>0</v>
      </c>
      <c r="CG47" s="144">
        <v>0</v>
      </c>
      <c r="CH47" s="144">
        <v>0</v>
      </c>
      <c r="CI47" s="144">
        <v>0</v>
      </c>
      <c r="CJ47" s="144">
        <v>0</v>
      </c>
      <c r="CK47" s="144">
        <v>0</v>
      </c>
      <c r="CL47" s="144">
        <v>0</v>
      </c>
      <c r="CM47" s="144">
        <v>0</v>
      </c>
      <c r="CN47" s="144">
        <v>0</v>
      </c>
      <c r="CO47" s="144">
        <v>0</v>
      </c>
      <c r="CP47" s="144">
        <v>0</v>
      </c>
      <c r="CQ47" s="144">
        <v>0</v>
      </c>
      <c r="CR47" s="144">
        <v>0</v>
      </c>
      <c r="CS47" s="144">
        <v>0</v>
      </c>
      <c r="CT47" s="144">
        <v>0</v>
      </c>
      <c r="CU47" s="144">
        <v>0</v>
      </c>
      <c r="CV47" s="144">
        <v>0</v>
      </c>
      <c r="CW47" s="144">
        <v>0</v>
      </c>
      <c r="CX47" s="144">
        <v>0</v>
      </c>
      <c r="CY47" s="144">
        <v>0</v>
      </c>
      <c r="CZ47" s="144">
        <v>0</v>
      </c>
      <c r="DA47" s="144">
        <v>0</v>
      </c>
      <c r="DB47" s="144">
        <v>0</v>
      </c>
      <c r="DC47" s="144">
        <v>0</v>
      </c>
      <c r="DD47" s="144">
        <v>0</v>
      </c>
      <c r="DE47" s="144">
        <v>0</v>
      </c>
      <c r="DF47" s="144">
        <v>0</v>
      </c>
      <c r="DG47" s="144">
        <v>0</v>
      </c>
      <c r="DH47" s="144">
        <v>0</v>
      </c>
      <c r="DI47" s="144">
        <v>0</v>
      </c>
      <c r="DJ47" s="144">
        <v>0</v>
      </c>
      <c r="DK47" s="144">
        <v>0</v>
      </c>
      <c r="DL47" s="144">
        <v>0</v>
      </c>
      <c r="DM47" s="144">
        <v>0</v>
      </c>
      <c r="DN47" s="144">
        <v>0</v>
      </c>
      <c r="DO47" s="144">
        <v>0</v>
      </c>
      <c r="DP47" s="144">
        <v>0</v>
      </c>
      <c r="DQ47" s="144">
        <v>0</v>
      </c>
      <c r="DR47" s="144">
        <v>0</v>
      </c>
      <c r="DS47" s="144">
        <v>0</v>
      </c>
      <c r="DT47" s="144">
        <v>0</v>
      </c>
      <c r="DU47" s="144">
        <v>0</v>
      </c>
      <c r="DV47" s="144">
        <v>0</v>
      </c>
      <c r="DW47" s="144">
        <v>0</v>
      </c>
      <c r="DX47" s="144">
        <v>0</v>
      </c>
      <c r="DY47" s="144">
        <v>0</v>
      </c>
      <c r="DZ47">
        <v>0</v>
      </c>
      <c r="EA47">
        <v>0</v>
      </c>
    </row>
    <row r="48" spans="1:131" x14ac:dyDescent="0.25">
      <c r="A48" s="145" t="s">
        <v>181</v>
      </c>
      <c r="B48" s="149">
        <v>50181</v>
      </c>
      <c r="C48" s="150">
        <v>46204</v>
      </c>
      <c r="D48" s="90">
        <v>20</v>
      </c>
      <c r="E48" s="90"/>
      <c r="F48" s="148">
        <f>EDATE(tblAssets[[#This Row],[Acquired]],(tblAssets[[#This Row],[Life]]+1)*12)</f>
        <v>53874</v>
      </c>
      <c r="G48" s="149">
        <v>250</v>
      </c>
      <c r="H48" s="148" t="s">
        <v>178</v>
      </c>
      <c r="J48" t="str">
        <v>Cutter Depreciation</v>
      </c>
      <c r="K48">
        <v>25000.000000000004</v>
      </c>
      <c r="L48" s="144">
        <v>5729.13</v>
      </c>
      <c r="M48" s="144">
        <v>4817.8</v>
      </c>
      <c r="N48" s="144">
        <v>3613.2400000000007</v>
      </c>
      <c r="O48" s="144">
        <v>2709.9849999999992</v>
      </c>
      <c r="P48" s="144">
        <v>2032.3787499999999</v>
      </c>
      <c r="Q48" s="144">
        <v>1672.0690625</v>
      </c>
      <c r="R48" s="144">
        <v>1644.2057291666665</v>
      </c>
      <c r="S48" s="144">
        <v>1644.2057291666665</v>
      </c>
      <c r="T48" s="144">
        <v>136.98572916666672</v>
      </c>
      <c r="U48" s="144">
        <v>1000</v>
      </c>
      <c r="V48" s="144">
        <v>0</v>
      </c>
      <c r="W48" s="144">
        <v>0</v>
      </c>
      <c r="X48" s="144">
        <v>0</v>
      </c>
      <c r="Y48" s="144">
        <v>0</v>
      </c>
      <c r="Z48" s="144">
        <v>0</v>
      </c>
      <c r="AA48" s="144">
        <v>0</v>
      </c>
      <c r="AB48" s="144">
        <v>0</v>
      </c>
      <c r="AC48" s="144">
        <v>0</v>
      </c>
      <c r="AD48" s="144">
        <v>0</v>
      </c>
      <c r="AE48" s="144">
        <v>0</v>
      </c>
      <c r="AF48" s="144">
        <v>0</v>
      </c>
      <c r="AG48" s="144">
        <v>0</v>
      </c>
      <c r="AH48" s="144">
        <v>0</v>
      </c>
      <c r="AI48" s="144">
        <v>0</v>
      </c>
      <c r="AJ48" s="144">
        <v>0</v>
      </c>
      <c r="AK48" s="144">
        <v>0</v>
      </c>
      <c r="AL48" s="144">
        <v>0</v>
      </c>
      <c r="AM48" s="144">
        <v>0</v>
      </c>
      <c r="AN48" s="144">
        <v>0</v>
      </c>
      <c r="AO48" s="144">
        <v>0</v>
      </c>
      <c r="AP48" s="144">
        <v>0</v>
      </c>
      <c r="AQ48" s="144">
        <v>0</v>
      </c>
      <c r="AR48" s="144">
        <v>0</v>
      </c>
      <c r="AS48" s="144">
        <v>0</v>
      </c>
      <c r="AT48" s="144">
        <v>0</v>
      </c>
      <c r="AU48" s="144">
        <v>0</v>
      </c>
      <c r="AV48" s="144">
        <v>0</v>
      </c>
      <c r="AW48" s="144">
        <v>0</v>
      </c>
      <c r="AX48" s="144">
        <v>0</v>
      </c>
      <c r="AY48" s="144">
        <v>0</v>
      </c>
      <c r="AZ48" s="144">
        <v>0</v>
      </c>
      <c r="BA48" s="144">
        <v>0</v>
      </c>
      <c r="BB48" s="144">
        <v>0</v>
      </c>
      <c r="BC48" s="144">
        <v>0</v>
      </c>
      <c r="BD48" s="144">
        <v>0</v>
      </c>
      <c r="BE48" s="144">
        <v>0</v>
      </c>
      <c r="BF48" s="144">
        <v>0</v>
      </c>
      <c r="BG48" s="144">
        <v>0</v>
      </c>
      <c r="BH48" s="144">
        <v>0</v>
      </c>
      <c r="BI48" s="144">
        <v>0</v>
      </c>
      <c r="BJ48" s="144">
        <v>0</v>
      </c>
      <c r="BK48" s="144">
        <v>0</v>
      </c>
      <c r="BL48" s="144">
        <v>0</v>
      </c>
      <c r="BM48" s="144">
        <v>0</v>
      </c>
      <c r="BN48" s="144">
        <v>0</v>
      </c>
      <c r="BO48" s="144">
        <v>0</v>
      </c>
      <c r="BP48" s="144">
        <v>0</v>
      </c>
      <c r="BQ48" s="144">
        <v>0</v>
      </c>
      <c r="BR48" s="144">
        <v>0</v>
      </c>
      <c r="BS48" s="144">
        <v>0</v>
      </c>
      <c r="BT48" s="144">
        <v>0</v>
      </c>
      <c r="BU48" s="144">
        <v>0</v>
      </c>
      <c r="BV48" s="144">
        <v>0</v>
      </c>
      <c r="BW48" s="144">
        <v>0</v>
      </c>
      <c r="BX48" s="144">
        <v>0</v>
      </c>
      <c r="BY48" s="144">
        <v>0</v>
      </c>
      <c r="BZ48" s="144">
        <v>0</v>
      </c>
      <c r="CA48" s="144">
        <v>0</v>
      </c>
      <c r="CB48" s="144">
        <v>0</v>
      </c>
      <c r="CC48" s="144">
        <v>0</v>
      </c>
      <c r="CD48" s="144">
        <v>0</v>
      </c>
      <c r="CE48" s="144">
        <v>0</v>
      </c>
      <c r="CF48" s="144">
        <v>0</v>
      </c>
      <c r="CG48" s="144">
        <v>0</v>
      </c>
      <c r="CH48" s="144">
        <v>0</v>
      </c>
      <c r="CI48" s="144">
        <v>0</v>
      </c>
      <c r="CJ48" s="144">
        <v>0</v>
      </c>
      <c r="CK48" s="144">
        <v>0</v>
      </c>
      <c r="CL48" s="144">
        <v>0</v>
      </c>
      <c r="CM48" s="144">
        <v>0</v>
      </c>
      <c r="CN48" s="144">
        <v>0</v>
      </c>
      <c r="CO48" s="144">
        <v>0</v>
      </c>
      <c r="CP48" s="144">
        <v>0</v>
      </c>
      <c r="CQ48" s="144">
        <v>0</v>
      </c>
      <c r="CR48" s="144">
        <v>0</v>
      </c>
      <c r="CS48" s="144">
        <v>0</v>
      </c>
      <c r="CT48" s="144">
        <v>0</v>
      </c>
      <c r="CU48" s="144">
        <v>0</v>
      </c>
      <c r="CV48" s="144">
        <v>0</v>
      </c>
      <c r="CW48" s="144">
        <v>0</v>
      </c>
      <c r="CX48" s="144">
        <v>0</v>
      </c>
      <c r="CY48" s="144">
        <v>0</v>
      </c>
      <c r="CZ48" s="144">
        <v>0</v>
      </c>
      <c r="DA48" s="144">
        <v>0</v>
      </c>
      <c r="DB48" s="144">
        <v>0</v>
      </c>
      <c r="DC48" s="144">
        <v>0</v>
      </c>
      <c r="DD48" s="144">
        <v>0</v>
      </c>
      <c r="DE48" s="144">
        <v>0</v>
      </c>
      <c r="DF48" s="144">
        <v>0</v>
      </c>
      <c r="DG48" s="144">
        <v>0</v>
      </c>
      <c r="DH48" s="144">
        <v>0</v>
      </c>
      <c r="DI48" s="144">
        <v>0</v>
      </c>
      <c r="DJ48" s="144">
        <v>0</v>
      </c>
      <c r="DK48" s="144">
        <v>0</v>
      </c>
      <c r="DL48" s="144">
        <v>0</v>
      </c>
      <c r="DM48" s="144">
        <v>0</v>
      </c>
      <c r="DN48" s="144">
        <v>0</v>
      </c>
      <c r="DO48" s="144">
        <v>0</v>
      </c>
      <c r="DP48" s="144">
        <v>0</v>
      </c>
      <c r="DQ48" s="144">
        <v>0</v>
      </c>
      <c r="DR48" s="144">
        <v>0</v>
      </c>
      <c r="DS48" s="144">
        <v>0</v>
      </c>
      <c r="DT48" s="144">
        <v>0</v>
      </c>
      <c r="DU48" s="144">
        <v>0</v>
      </c>
      <c r="DV48" s="144">
        <v>0</v>
      </c>
      <c r="DW48" s="144">
        <v>0</v>
      </c>
      <c r="DX48" s="144">
        <v>0</v>
      </c>
      <c r="DY48" s="144">
        <v>0</v>
      </c>
      <c r="DZ48">
        <v>0</v>
      </c>
      <c r="EA48">
        <v>0</v>
      </c>
    </row>
    <row r="49" spans="10:131" x14ac:dyDescent="0.25">
      <c r="J49" t="str">
        <v>Cutter Book Value</v>
      </c>
      <c r="K49">
        <v>0</v>
      </c>
      <c r="L49" s="144">
        <v>19270.87</v>
      </c>
      <c r="M49" s="144">
        <v>14453.069999999982</v>
      </c>
      <c r="N49" s="144">
        <v>10839.82999999998</v>
      </c>
      <c r="O49" s="144">
        <v>8129.8449999999884</v>
      </c>
      <c r="P49" s="144">
        <v>6097.466249999994</v>
      </c>
      <c r="Q49" s="144">
        <v>4425.3971874999943</v>
      </c>
      <c r="R49" s="144">
        <v>2781.1914583333223</v>
      </c>
      <c r="S49" s="144">
        <v>1136.9857291666553</v>
      </c>
      <c r="T49" s="144">
        <v>999.99999999998863</v>
      </c>
      <c r="U49" s="144">
        <v>-1.1368683772161603E-11</v>
      </c>
      <c r="V49" s="144">
        <v>0</v>
      </c>
      <c r="W49" s="144">
        <v>0</v>
      </c>
      <c r="X49" s="144">
        <v>0</v>
      </c>
      <c r="Y49" s="144">
        <v>0</v>
      </c>
      <c r="Z49" s="144">
        <v>0</v>
      </c>
      <c r="AA49" s="144">
        <v>0</v>
      </c>
      <c r="AB49" s="144">
        <v>0</v>
      </c>
      <c r="AC49" s="144">
        <v>0</v>
      </c>
      <c r="AD49" s="144">
        <v>0</v>
      </c>
      <c r="AE49" s="144">
        <v>0</v>
      </c>
      <c r="AF49" s="144">
        <v>0</v>
      </c>
      <c r="AG49" s="144">
        <v>0</v>
      </c>
      <c r="AH49" s="144">
        <v>0</v>
      </c>
      <c r="AI49" s="144">
        <v>0</v>
      </c>
      <c r="AJ49" s="144">
        <v>0</v>
      </c>
      <c r="AK49" s="144">
        <v>0</v>
      </c>
      <c r="AL49" s="144">
        <v>0</v>
      </c>
      <c r="AM49" s="144">
        <v>0</v>
      </c>
      <c r="AN49" s="144">
        <v>0</v>
      </c>
      <c r="AO49" s="144">
        <v>0</v>
      </c>
      <c r="AP49" s="144">
        <v>0</v>
      </c>
      <c r="AQ49" s="144">
        <v>0</v>
      </c>
      <c r="AR49" s="144">
        <v>0</v>
      </c>
      <c r="AS49" s="144">
        <v>0</v>
      </c>
      <c r="AT49" s="144">
        <v>0</v>
      </c>
      <c r="AU49" s="144">
        <v>0</v>
      </c>
      <c r="AV49" s="144">
        <v>0</v>
      </c>
      <c r="AW49" s="144">
        <v>0</v>
      </c>
      <c r="AX49" s="144">
        <v>0</v>
      </c>
      <c r="AY49" s="144">
        <v>0</v>
      </c>
      <c r="AZ49" s="144">
        <v>0</v>
      </c>
      <c r="BA49" s="144">
        <v>0</v>
      </c>
      <c r="BB49" s="144">
        <v>0</v>
      </c>
      <c r="BC49" s="144">
        <v>0</v>
      </c>
      <c r="BD49" s="144">
        <v>0</v>
      </c>
      <c r="BE49" s="144">
        <v>0</v>
      </c>
      <c r="BF49" s="144">
        <v>0</v>
      </c>
      <c r="BG49" s="144">
        <v>0</v>
      </c>
      <c r="BH49" s="144">
        <v>0</v>
      </c>
      <c r="BI49" s="144">
        <v>0</v>
      </c>
      <c r="BJ49" s="144">
        <v>0</v>
      </c>
      <c r="BK49" s="144">
        <v>0</v>
      </c>
      <c r="BL49" s="144">
        <v>0</v>
      </c>
      <c r="BM49" s="144">
        <v>0</v>
      </c>
      <c r="BN49" s="144">
        <v>0</v>
      </c>
      <c r="BO49" s="144">
        <v>0</v>
      </c>
      <c r="BP49" s="144">
        <v>0</v>
      </c>
      <c r="BQ49" s="144">
        <v>0</v>
      </c>
      <c r="BR49" s="144">
        <v>0</v>
      </c>
      <c r="BS49" s="144">
        <v>0</v>
      </c>
      <c r="BT49" s="144">
        <v>0</v>
      </c>
      <c r="BU49" s="144">
        <v>0</v>
      </c>
      <c r="BV49" s="144">
        <v>0</v>
      </c>
      <c r="BW49" s="144">
        <v>0</v>
      </c>
      <c r="BX49" s="144">
        <v>0</v>
      </c>
      <c r="BY49" s="144">
        <v>0</v>
      </c>
      <c r="BZ49" s="144">
        <v>0</v>
      </c>
      <c r="CA49" s="144">
        <v>0</v>
      </c>
      <c r="CB49" s="144">
        <v>0</v>
      </c>
      <c r="CC49" s="144">
        <v>0</v>
      </c>
      <c r="CD49" s="144">
        <v>0</v>
      </c>
      <c r="CE49" s="144">
        <v>0</v>
      </c>
      <c r="CF49" s="144">
        <v>0</v>
      </c>
      <c r="CG49" s="144">
        <v>0</v>
      </c>
      <c r="CH49" s="144">
        <v>0</v>
      </c>
      <c r="CI49" s="144">
        <v>0</v>
      </c>
      <c r="CJ49" s="144">
        <v>0</v>
      </c>
      <c r="CK49" s="144">
        <v>0</v>
      </c>
      <c r="CL49" s="144">
        <v>0</v>
      </c>
      <c r="CM49" s="144">
        <v>0</v>
      </c>
      <c r="CN49" s="144">
        <v>0</v>
      </c>
      <c r="CO49" s="144">
        <v>0</v>
      </c>
      <c r="CP49" s="144">
        <v>0</v>
      </c>
      <c r="CQ49" s="144">
        <v>0</v>
      </c>
      <c r="CR49" s="144">
        <v>0</v>
      </c>
      <c r="CS49" s="144">
        <v>0</v>
      </c>
      <c r="CT49" s="144">
        <v>0</v>
      </c>
      <c r="CU49" s="144">
        <v>0</v>
      </c>
      <c r="CV49" s="144">
        <v>0</v>
      </c>
      <c r="CW49" s="144">
        <v>0</v>
      </c>
      <c r="CX49" s="144">
        <v>0</v>
      </c>
      <c r="CY49" s="144">
        <v>0</v>
      </c>
      <c r="CZ49" s="144">
        <v>0</v>
      </c>
      <c r="DA49" s="144">
        <v>0</v>
      </c>
      <c r="DB49" s="144">
        <v>0</v>
      </c>
      <c r="DC49" s="144">
        <v>0</v>
      </c>
      <c r="DD49" s="144">
        <v>0</v>
      </c>
      <c r="DE49" s="144">
        <v>0</v>
      </c>
      <c r="DF49" s="144">
        <v>0</v>
      </c>
      <c r="DG49" s="144">
        <v>0</v>
      </c>
      <c r="DH49" s="144">
        <v>0</v>
      </c>
      <c r="DI49" s="144">
        <v>0</v>
      </c>
      <c r="DJ49" s="144">
        <v>0</v>
      </c>
      <c r="DK49" s="144">
        <v>0</v>
      </c>
      <c r="DL49" s="144">
        <v>0</v>
      </c>
      <c r="DM49" s="144">
        <v>0</v>
      </c>
      <c r="DN49" s="144">
        <v>0</v>
      </c>
      <c r="DO49" s="144">
        <v>0</v>
      </c>
      <c r="DP49" s="144">
        <v>0</v>
      </c>
      <c r="DQ49" s="144">
        <v>0</v>
      </c>
      <c r="DR49" s="144">
        <v>0</v>
      </c>
      <c r="DS49" s="144">
        <v>0</v>
      </c>
      <c r="DT49" s="144">
        <v>0</v>
      </c>
      <c r="DU49" s="144">
        <v>0</v>
      </c>
      <c r="DV49" s="144">
        <v>0</v>
      </c>
      <c r="DW49" s="144">
        <v>0</v>
      </c>
      <c r="DX49" s="144">
        <v>0</v>
      </c>
      <c r="DY49" s="144">
        <v>0</v>
      </c>
      <c r="DZ49">
        <v>0</v>
      </c>
      <c r="EA49">
        <v>0</v>
      </c>
    </row>
    <row r="50" spans="10:131" x14ac:dyDescent="0.25">
      <c r="J50" t="str">
        <v>Cutter Revenue from Sale</v>
      </c>
      <c r="K50">
        <v>1000</v>
      </c>
      <c r="L50" s="144">
        <v>0</v>
      </c>
      <c r="M50" s="144">
        <v>0</v>
      </c>
      <c r="N50" s="144">
        <v>0</v>
      </c>
      <c r="O50" s="144">
        <v>0</v>
      </c>
      <c r="P50" s="144">
        <v>0</v>
      </c>
      <c r="Q50" s="144">
        <v>0</v>
      </c>
      <c r="R50" s="144">
        <v>0</v>
      </c>
      <c r="S50" s="144">
        <v>0</v>
      </c>
      <c r="T50" s="144">
        <v>0</v>
      </c>
      <c r="U50" s="144">
        <v>1000</v>
      </c>
      <c r="V50" s="144">
        <v>0</v>
      </c>
      <c r="W50" s="144">
        <v>0</v>
      </c>
      <c r="X50" s="144">
        <v>0</v>
      </c>
      <c r="Y50" s="144">
        <v>0</v>
      </c>
      <c r="Z50" s="144">
        <v>0</v>
      </c>
      <c r="AA50" s="144">
        <v>0</v>
      </c>
      <c r="AB50" s="144">
        <v>0</v>
      </c>
      <c r="AC50" s="144">
        <v>0</v>
      </c>
      <c r="AD50" s="144">
        <v>0</v>
      </c>
      <c r="AE50" s="144">
        <v>0</v>
      </c>
      <c r="AF50" s="144">
        <v>0</v>
      </c>
      <c r="AG50" s="144">
        <v>0</v>
      </c>
      <c r="AH50" s="144">
        <v>0</v>
      </c>
      <c r="AI50" s="144">
        <v>0</v>
      </c>
      <c r="AJ50" s="144">
        <v>0</v>
      </c>
      <c r="AK50" s="144">
        <v>0</v>
      </c>
      <c r="AL50" s="144">
        <v>0</v>
      </c>
      <c r="AM50" s="144">
        <v>0</v>
      </c>
      <c r="AN50" s="144">
        <v>0</v>
      </c>
      <c r="AO50" s="144">
        <v>0</v>
      </c>
      <c r="AP50" s="144">
        <v>0</v>
      </c>
      <c r="AQ50" s="144">
        <v>0</v>
      </c>
      <c r="AR50" s="144">
        <v>0</v>
      </c>
      <c r="AS50" s="144">
        <v>0</v>
      </c>
      <c r="AT50" s="144">
        <v>0</v>
      </c>
      <c r="AU50" s="144">
        <v>0</v>
      </c>
      <c r="AV50" s="144">
        <v>0</v>
      </c>
      <c r="AW50" s="144">
        <v>0</v>
      </c>
      <c r="AX50" s="144">
        <v>0</v>
      </c>
      <c r="AY50" s="144">
        <v>0</v>
      </c>
      <c r="AZ50" s="144">
        <v>0</v>
      </c>
      <c r="BA50" s="144">
        <v>0</v>
      </c>
      <c r="BB50" s="144">
        <v>0</v>
      </c>
      <c r="BC50" s="144">
        <v>0</v>
      </c>
      <c r="BD50" s="144">
        <v>0</v>
      </c>
      <c r="BE50" s="144">
        <v>0</v>
      </c>
      <c r="BF50" s="144">
        <v>0</v>
      </c>
      <c r="BG50" s="144">
        <v>0</v>
      </c>
      <c r="BH50" s="144">
        <v>0</v>
      </c>
      <c r="BI50" s="144">
        <v>0</v>
      </c>
      <c r="BJ50" s="144">
        <v>0</v>
      </c>
      <c r="BK50" s="144">
        <v>0</v>
      </c>
      <c r="BL50" s="144">
        <v>0</v>
      </c>
      <c r="BM50" s="144">
        <v>0</v>
      </c>
      <c r="BN50" s="144">
        <v>0</v>
      </c>
      <c r="BO50" s="144">
        <v>0</v>
      </c>
      <c r="BP50" s="144">
        <v>0</v>
      </c>
      <c r="BQ50" s="144">
        <v>0</v>
      </c>
      <c r="BR50" s="144">
        <v>0</v>
      </c>
      <c r="BS50" s="144">
        <v>0</v>
      </c>
      <c r="BT50" s="144">
        <v>0</v>
      </c>
      <c r="BU50" s="144">
        <v>0</v>
      </c>
      <c r="BV50" s="144">
        <v>0</v>
      </c>
      <c r="BW50" s="144">
        <v>0</v>
      </c>
      <c r="BX50" s="144">
        <v>0</v>
      </c>
      <c r="BY50" s="144">
        <v>0</v>
      </c>
      <c r="BZ50" s="144">
        <v>0</v>
      </c>
      <c r="CA50" s="144">
        <v>0</v>
      </c>
      <c r="CB50" s="144">
        <v>0</v>
      </c>
      <c r="CC50" s="144">
        <v>0</v>
      </c>
      <c r="CD50" s="144">
        <v>0</v>
      </c>
      <c r="CE50" s="144">
        <v>0</v>
      </c>
      <c r="CF50" s="144">
        <v>0</v>
      </c>
      <c r="CG50" s="144">
        <v>0</v>
      </c>
      <c r="CH50" s="144">
        <v>0</v>
      </c>
      <c r="CI50" s="144">
        <v>0</v>
      </c>
      <c r="CJ50" s="144">
        <v>0</v>
      </c>
      <c r="CK50" s="144">
        <v>0</v>
      </c>
      <c r="CL50" s="144">
        <v>0</v>
      </c>
      <c r="CM50" s="144">
        <v>0</v>
      </c>
      <c r="CN50" s="144">
        <v>0</v>
      </c>
      <c r="CO50" s="144">
        <v>0</v>
      </c>
      <c r="CP50" s="144">
        <v>0</v>
      </c>
      <c r="CQ50" s="144">
        <v>0</v>
      </c>
      <c r="CR50" s="144">
        <v>0</v>
      </c>
      <c r="CS50" s="144">
        <v>0</v>
      </c>
      <c r="CT50" s="144">
        <v>0</v>
      </c>
      <c r="CU50" s="144">
        <v>0</v>
      </c>
      <c r="CV50" s="144">
        <v>0</v>
      </c>
      <c r="CW50" s="144">
        <v>0</v>
      </c>
      <c r="CX50" s="144">
        <v>0</v>
      </c>
      <c r="CY50" s="144">
        <v>0</v>
      </c>
      <c r="CZ50" s="144">
        <v>0</v>
      </c>
      <c r="DA50" s="144">
        <v>0</v>
      </c>
      <c r="DB50" s="144">
        <v>0</v>
      </c>
      <c r="DC50" s="144">
        <v>0</v>
      </c>
      <c r="DD50" s="144">
        <v>0</v>
      </c>
      <c r="DE50" s="144">
        <v>0</v>
      </c>
      <c r="DF50" s="144">
        <v>0</v>
      </c>
      <c r="DG50" s="144">
        <v>0</v>
      </c>
      <c r="DH50" s="144">
        <v>0</v>
      </c>
      <c r="DI50" s="144">
        <v>0</v>
      </c>
      <c r="DJ50" s="144">
        <v>0</v>
      </c>
      <c r="DK50" s="144">
        <v>0</v>
      </c>
      <c r="DL50" s="144">
        <v>0</v>
      </c>
      <c r="DM50" s="144">
        <v>0</v>
      </c>
      <c r="DN50" s="144">
        <v>0</v>
      </c>
      <c r="DO50" s="144">
        <v>0</v>
      </c>
      <c r="DP50" s="144">
        <v>0</v>
      </c>
      <c r="DQ50" s="144">
        <v>0</v>
      </c>
      <c r="DR50" s="144">
        <v>0</v>
      </c>
      <c r="DS50" s="144">
        <v>0</v>
      </c>
      <c r="DT50" s="144">
        <v>0</v>
      </c>
      <c r="DU50" s="144">
        <v>0</v>
      </c>
      <c r="DV50" s="144">
        <v>0</v>
      </c>
      <c r="DW50" s="144">
        <v>0</v>
      </c>
      <c r="DX50" s="144">
        <v>0</v>
      </c>
      <c r="DY50" s="144">
        <v>0</v>
      </c>
      <c r="DZ50">
        <v>0</v>
      </c>
      <c r="EA50">
        <v>0</v>
      </c>
    </row>
    <row r="51" spans="10:131" x14ac:dyDescent="0.25">
      <c r="J51" t="str">
        <v>Cutter Disposal Costs</v>
      </c>
      <c r="K51">
        <v>500</v>
      </c>
      <c r="L51" s="144">
        <v>0</v>
      </c>
      <c r="M51" s="144">
        <v>0</v>
      </c>
      <c r="N51" s="144">
        <v>0</v>
      </c>
      <c r="O51" s="144">
        <v>0</v>
      </c>
      <c r="P51" s="144">
        <v>0</v>
      </c>
      <c r="Q51" s="144">
        <v>0</v>
      </c>
      <c r="R51" s="144">
        <v>0</v>
      </c>
      <c r="S51" s="144">
        <v>0</v>
      </c>
      <c r="T51" s="144">
        <v>0</v>
      </c>
      <c r="U51" s="144">
        <v>500</v>
      </c>
      <c r="V51" s="144">
        <v>0</v>
      </c>
      <c r="W51" s="144">
        <v>0</v>
      </c>
      <c r="X51" s="144">
        <v>0</v>
      </c>
      <c r="Y51" s="144">
        <v>0</v>
      </c>
      <c r="Z51" s="144">
        <v>0</v>
      </c>
      <c r="AA51" s="144">
        <v>0</v>
      </c>
      <c r="AB51" s="144">
        <v>0</v>
      </c>
      <c r="AC51" s="144">
        <v>0</v>
      </c>
      <c r="AD51" s="144">
        <v>0</v>
      </c>
      <c r="AE51" s="144">
        <v>0</v>
      </c>
      <c r="AF51" s="144">
        <v>0</v>
      </c>
      <c r="AG51" s="144">
        <v>0</v>
      </c>
      <c r="AH51" s="144">
        <v>0</v>
      </c>
      <c r="AI51" s="144">
        <v>0</v>
      </c>
      <c r="AJ51" s="144">
        <v>0</v>
      </c>
      <c r="AK51" s="144">
        <v>0</v>
      </c>
      <c r="AL51" s="144">
        <v>0</v>
      </c>
      <c r="AM51" s="144">
        <v>0</v>
      </c>
      <c r="AN51" s="144">
        <v>0</v>
      </c>
      <c r="AO51" s="144">
        <v>0</v>
      </c>
      <c r="AP51" s="144">
        <v>0</v>
      </c>
      <c r="AQ51" s="144">
        <v>0</v>
      </c>
      <c r="AR51" s="144">
        <v>0</v>
      </c>
      <c r="AS51" s="144">
        <v>0</v>
      </c>
      <c r="AT51" s="144">
        <v>0</v>
      </c>
      <c r="AU51" s="144">
        <v>0</v>
      </c>
      <c r="AV51" s="144">
        <v>0</v>
      </c>
      <c r="AW51" s="144">
        <v>0</v>
      </c>
      <c r="AX51" s="144">
        <v>0</v>
      </c>
      <c r="AY51" s="144">
        <v>0</v>
      </c>
      <c r="AZ51" s="144">
        <v>0</v>
      </c>
      <c r="BA51" s="144">
        <v>0</v>
      </c>
      <c r="BB51" s="144">
        <v>0</v>
      </c>
      <c r="BC51" s="144">
        <v>0</v>
      </c>
      <c r="BD51" s="144">
        <v>0</v>
      </c>
      <c r="BE51" s="144">
        <v>0</v>
      </c>
      <c r="BF51" s="144">
        <v>0</v>
      </c>
      <c r="BG51" s="144">
        <v>0</v>
      </c>
      <c r="BH51" s="144">
        <v>0</v>
      </c>
      <c r="BI51" s="144">
        <v>0</v>
      </c>
      <c r="BJ51" s="144">
        <v>0</v>
      </c>
      <c r="BK51" s="144">
        <v>0</v>
      </c>
      <c r="BL51" s="144">
        <v>0</v>
      </c>
      <c r="BM51" s="144">
        <v>0</v>
      </c>
      <c r="BN51" s="144">
        <v>0</v>
      </c>
      <c r="BO51" s="144">
        <v>0</v>
      </c>
      <c r="BP51" s="144">
        <v>0</v>
      </c>
      <c r="BQ51" s="144">
        <v>0</v>
      </c>
      <c r="BR51" s="144">
        <v>0</v>
      </c>
      <c r="BS51" s="144">
        <v>0</v>
      </c>
      <c r="BT51" s="144">
        <v>0</v>
      </c>
      <c r="BU51" s="144">
        <v>0</v>
      </c>
      <c r="BV51" s="144">
        <v>0</v>
      </c>
      <c r="BW51" s="144">
        <v>0</v>
      </c>
      <c r="BX51" s="144">
        <v>0</v>
      </c>
      <c r="BY51" s="144">
        <v>0</v>
      </c>
      <c r="BZ51" s="144">
        <v>0</v>
      </c>
      <c r="CA51" s="144">
        <v>0</v>
      </c>
      <c r="CB51" s="144">
        <v>0</v>
      </c>
      <c r="CC51" s="144">
        <v>0</v>
      </c>
      <c r="CD51" s="144">
        <v>0</v>
      </c>
      <c r="CE51" s="144">
        <v>0</v>
      </c>
      <c r="CF51" s="144">
        <v>0</v>
      </c>
      <c r="CG51" s="144">
        <v>0</v>
      </c>
      <c r="CH51" s="144">
        <v>0</v>
      </c>
      <c r="CI51" s="144">
        <v>0</v>
      </c>
      <c r="CJ51" s="144">
        <v>0</v>
      </c>
      <c r="CK51" s="144">
        <v>0</v>
      </c>
      <c r="CL51" s="144">
        <v>0</v>
      </c>
      <c r="CM51" s="144">
        <v>0</v>
      </c>
      <c r="CN51" s="144">
        <v>0</v>
      </c>
      <c r="CO51" s="144">
        <v>0</v>
      </c>
      <c r="CP51" s="144">
        <v>0</v>
      </c>
      <c r="CQ51" s="144">
        <v>0</v>
      </c>
      <c r="CR51" s="144">
        <v>0</v>
      </c>
      <c r="CS51" s="144">
        <v>0</v>
      </c>
      <c r="CT51" s="144">
        <v>0</v>
      </c>
      <c r="CU51" s="144">
        <v>0</v>
      </c>
      <c r="CV51" s="144">
        <v>0</v>
      </c>
      <c r="CW51" s="144">
        <v>0</v>
      </c>
      <c r="CX51" s="144">
        <v>0</v>
      </c>
      <c r="CY51" s="144">
        <v>0</v>
      </c>
      <c r="CZ51" s="144">
        <v>0</v>
      </c>
      <c r="DA51" s="144">
        <v>0</v>
      </c>
      <c r="DB51" s="144">
        <v>0</v>
      </c>
      <c r="DC51" s="144">
        <v>0</v>
      </c>
      <c r="DD51" s="144">
        <v>0</v>
      </c>
      <c r="DE51" s="144">
        <v>0</v>
      </c>
      <c r="DF51" s="144">
        <v>0</v>
      </c>
      <c r="DG51" s="144">
        <v>0</v>
      </c>
      <c r="DH51" s="144">
        <v>0</v>
      </c>
      <c r="DI51" s="144">
        <v>0</v>
      </c>
      <c r="DJ51" s="144">
        <v>0</v>
      </c>
      <c r="DK51" s="144">
        <v>0</v>
      </c>
      <c r="DL51" s="144">
        <v>0</v>
      </c>
      <c r="DM51" s="144">
        <v>0</v>
      </c>
      <c r="DN51" s="144">
        <v>0</v>
      </c>
      <c r="DO51" s="144">
        <v>0</v>
      </c>
      <c r="DP51" s="144">
        <v>0</v>
      </c>
      <c r="DQ51" s="144">
        <v>0</v>
      </c>
      <c r="DR51" s="144">
        <v>0</v>
      </c>
      <c r="DS51" s="144">
        <v>0</v>
      </c>
      <c r="DT51" s="144">
        <v>0</v>
      </c>
      <c r="DU51" s="144">
        <v>0</v>
      </c>
      <c r="DV51" s="144">
        <v>0</v>
      </c>
      <c r="DW51" s="144">
        <v>0</v>
      </c>
      <c r="DX51" s="144">
        <v>0</v>
      </c>
      <c r="DY51" s="144">
        <v>0</v>
      </c>
      <c r="DZ51">
        <v>0</v>
      </c>
      <c r="EA51">
        <v>0</v>
      </c>
    </row>
    <row r="52" spans="10:131" x14ac:dyDescent="0.25">
      <c r="J52" t="str">
        <v/>
      </c>
      <c r="K52">
        <v>0</v>
      </c>
      <c r="L52" s="144" t="str">
        <v/>
      </c>
      <c r="M52" s="144" t="str">
        <v/>
      </c>
      <c r="N52" s="144" t="str">
        <v/>
      </c>
      <c r="O52" s="144" t="str">
        <v/>
      </c>
      <c r="P52" s="144" t="str">
        <v/>
      </c>
      <c r="Q52" s="144" t="str">
        <v/>
      </c>
      <c r="R52" s="144" t="str">
        <v/>
      </c>
      <c r="S52" s="144" t="str">
        <v/>
      </c>
      <c r="T52" s="144" t="str">
        <v/>
      </c>
      <c r="U52" s="144" t="str">
        <v/>
      </c>
      <c r="V52" s="144" t="str">
        <v/>
      </c>
      <c r="W52" s="144" t="str">
        <v/>
      </c>
      <c r="X52" s="144" t="str">
        <v/>
      </c>
      <c r="Y52" s="144" t="str">
        <v/>
      </c>
      <c r="Z52" s="144" t="str">
        <v/>
      </c>
      <c r="AA52" s="144" t="str">
        <v/>
      </c>
      <c r="AB52" s="144" t="str">
        <v/>
      </c>
      <c r="AC52" s="144" t="str">
        <v/>
      </c>
      <c r="AD52" s="144" t="str">
        <v/>
      </c>
      <c r="AE52" s="144" t="str">
        <v/>
      </c>
      <c r="AF52" s="144" t="str">
        <v/>
      </c>
      <c r="AG52" s="144" t="str">
        <v/>
      </c>
      <c r="AH52" s="144" t="str">
        <v/>
      </c>
      <c r="AI52" s="144" t="str">
        <v/>
      </c>
      <c r="AJ52" s="144" t="str">
        <v/>
      </c>
      <c r="AK52" s="144" t="str">
        <v/>
      </c>
      <c r="AL52" s="144" t="str">
        <v/>
      </c>
      <c r="AM52" s="144" t="str">
        <v/>
      </c>
      <c r="AN52" s="144" t="str">
        <v/>
      </c>
      <c r="AO52" s="144" t="str">
        <v/>
      </c>
      <c r="AP52" s="144" t="str">
        <v/>
      </c>
      <c r="AQ52" s="144" t="str">
        <v/>
      </c>
      <c r="AR52" s="144" t="str">
        <v/>
      </c>
      <c r="AS52" s="144" t="str">
        <v/>
      </c>
      <c r="AT52" s="144" t="str">
        <v/>
      </c>
      <c r="AU52" s="144" t="str">
        <v/>
      </c>
      <c r="AV52" s="144" t="str">
        <v/>
      </c>
      <c r="AW52" s="144" t="str">
        <v/>
      </c>
      <c r="AX52" s="144" t="str">
        <v/>
      </c>
      <c r="AY52" s="144" t="str">
        <v/>
      </c>
      <c r="AZ52" s="144" t="str">
        <v/>
      </c>
      <c r="BA52" s="144" t="str">
        <v/>
      </c>
      <c r="BB52" s="144" t="str">
        <v/>
      </c>
      <c r="BC52" s="144" t="str">
        <v/>
      </c>
      <c r="BD52" s="144" t="str">
        <v/>
      </c>
      <c r="BE52" s="144" t="str">
        <v/>
      </c>
      <c r="BF52" s="144" t="str">
        <v/>
      </c>
      <c r="BG52" s="144" t="str">
        <v/>
      </c>
      <c r="BH52" s="144" t="str">
        <v/>
      </c>
      <c r="BI52" s="144" t="str">
        <v/>
      </c>
      <c r="BJ52" s="144" t="str">
        <v/>
      </c>
      <c r="BK52" s="144" t="str">
        <v/>
      </c>
      <c r="BL52" s="144" t="str">
        <v/>
      </c>
      <c r="BM52" s="144" t="str">
        <v/>
      </c>
      <c r="BN52" s="144" t="str">
        <v/>
      </c>
      <c r="BO52" s="144" t="str">
        <v/>
      </c>
      <c r="BP52" s="144" t="str">
        <v/>
      </c>
      <c r="BQ52" s="144" t="str">
        <v/>
      </c>
      <c r="BR52" s="144" t="str">
        <v/>
      </c>
      <c r="BS52" s="144" t="str">
        <v/>
      </c>
      <c r="BT52" s="144" t="str">
        <v/>
      </c>
      <c r="BU52" s="144" t="str">
        <v/>
      </c>
      <c r="BV52" s="144" t="str">
        <v/>
      </c>
      <c r="BW52" s="144" t="str">
        <v/>
      </c>
      <c r="BX52" s="144" t="str">
        <v/>
      </c>
      <c r="BY52" s="144" t="str">
        <v/>
      </c>
      <c r="BZ52" s="144" t="str">
        <v/>
      </c>
      <c r="CA52" s="144" t="str">
        <v/>
      </c>
      <c r="CB52" s="144" t="str">
        <v/>
      </c>
      <c r="CC52" s="144" t="str">
        <v/>
      </c>
      <c r="CD52" s="144" t="str">
        <v/>
      </c>
      <c r="CE52" s="144" t="str">
        <v/>
      </c>
      <c r="CF52" s="144" t="str">
        <v/>
      </c>
      <c r="CG52" s="144" t="str">
        <v/>
      </c>
      <c r="CH52" s="144" t="str">
        <v/>
      </c>
      <c r="CI52" s="144" t="str">
        <v/>
      </c>
      <c r="CJ52" s="144" t="str">
        <v/>
      </c>
      <c r="CK52" s="144" t="str">
        <v/>
      </c>
      <c r="CL52" s="144" t="str">
        <v/>
      </c>
      <c r="CM52" s="144" t="str">
        <v/>
      </c>
      <c r="CN52" s="144" t="str">
        <v/>
      </c>
      <c r="CO52" s="144" t="str">
        <v/>
      </c>
      <c r="CP52" s="144" t="str">
        <v/>
      </c>
      <c r="CQ52" s="144" t="str">
        <v/>
      </c>
      <c r="CR52" s="144" t="str">
        <v/>
      </c>
      <c r="CS52" s="144" t="str">
        <v/>
      </c>
      <c r="CT52" s="144" t="str">
        <v/>
      </c>
      <c r="CU52" s="144" t="str">
        <v/>
      </c>
      <c r="CV52" s="144" t="str">
        <v/>
      </c>
      <c r="CW52" s="144" t="str">
        <v/>
      </c>
      <c r="CX52" s="144" t="str">
        <v/>
      </c>
      <c r="CY52" s="144" t="str">
        <v/>
      </c>
      <c r="CZ52" s="144" t="str">
        <v/>
      </c>
      <c r="DA52" s="144" t="str">
        <v/>
      </c>
      <c r="DB52" s="144" t="str">
        <v/>
      </c>
      <c r="DC52" s="144" t="str">
        <v/>
      </c>
      <c r="DD52" s="144" t="str">
        <v/>
      </c>
      <c r="DE52" s="144" t="str">
        <v/>
      </c>
      <c r="DF52" s="144" t="str">
        <v/>
      </c>
      <c r="DG52" s="144" t="str">
        <v/>
      </c>
      <c r="DH52" s="144" t="str">
        <v/>
      </c>
      <c r="DI52" s="144" t="str">
        <v/>
      </c>
      <c r="DJ52" s="144" t="str">
        <v/>
      </c>
      <c r="DK52" s="144" t="str">
        <v/>
      </c>
      <c r="DL52" s="144" t="str">
        <v/>
      </c>
      <c r="DM52" s="144" t="str">
        <v/>
      </c>
      <c r="DN52" s="144" t="str">
        <v/>
      </c>
      <c r="DO52" s="144" t="str">
        <v/>
      </c>
      <c r="DP52" s="144" t="str">
        <v/>
      </c>
      <c r="DQ52" s="144" t="str">
        <v/>
      </c>
      <c r="DR52" s="144" t="str">
        <v/>
      </c>
      <c r="DS52" s="144" t="str">
        <v/>
      </c>
      <c r="DT52" s="144" t="str">
        <v/>
      </c>
      <c r="DU52" s="144" t="str">
        <v/>
      </c>
      <c r="DV52" s="144" t="str">
        <v/>
      </c>
      <c r="DW52" s="144" t="str">
        <v/>
      </c>
      <c r="DX52" s="144" t="str">
        <v/>
      </c>
      <c r="DY52" s="144" t="str">
        <v/>
      </c>
      <c r="DZ52" t="str">
        <v/>
      </c>
      <c r="EA52" t="str">
        <v/>
      </c>
    </row>
    <row r="53" spans="10:131" x14ac:dyDescent="0.25">
      <c r="J53" t="str">
        <v>Press CAPEX</v>
      </c>
      <c r="K53">
        <v>10000</v>
      </c>
      <c r="L53" s="144">
        <v>10000</v>
      </c>
      <c r="M53" s="144">
        <v>0</v>
      </c>
      <c r="N53" s="144">
        <v>0</v>
      </c>
      <c r="O53" s="144">
        <v>0</v>
      </c>
      <c r="P53" s="144">
        <v>0</v>
      </c>
      <c r="Q53" s="144">
        <v>0</v>
      </c>
      <c r="R53" s="144">
        <v>0</v>
      </c>
      <c r="S53" s="144">
        <v>0</v>
      </c>
      <c r="T53" s="144">
        <v>0</v>
      </c>
      <c r="U53" s="144">
        <v>0</v>
      </c>
      <c r="V53" s="144">
        <v>0</v>
      </c>
      <c r="W53" s="144">
        <v>0</v>
      </c>
      <c r="X53" s="144">
        <v>0</v>
      </c>
      <c r="Y53" s="144">
        <v>0</v>
      </c>
      <c r="Z53" s="144">
        <v>0</v>
      </c>
      <c r="AA53" s="144">
        <v>0</v>
      </c>
      <c r="AB53" s="144">
        <v>0</v>
      </c>
      <c r="AC53" s="144">
        <v>0</v>
      </c>
      <c r="AD53" s="144">
        <v>0</v>
      </c>
      <c r="AE53" s="144">
        <v>0</v>
      </c>
      <c r="AF53" s="144">
        <v>0</v>
      </c>
      <c r="AG53" s="144">
        <v>0</v>
      </c>
      <c r="AH53" s="144">
        <v>0</v>
      </c>
      <c r="AI53" s="144">
        <v>0</v>
      </c>
      <c r="AJ53" s="144">
        <v>0</v>
      </c>
      <c r="AK53" s="144">
        <v>0</v>
      </c>
      <c r="AL53" s="144">
        <v>0</v>
      </c>
      <c r="AM53" s="144">
        <v>0</v>
      </c>
      <c r="AN53" s="144">
        <v>0</v>
      </c>
      <c r="AO53" s="144">
        <v>0</v>
      </c>
      <c r="AP53" s="144">
        <v>0</v>
      </c>
      <c r="AQ53" s="144">
        <v>0</v>
      </c>
      <c r="AR53" s="144">
        <v>0</v>
      </c>
      <c r="AS53" s="144">
        <v>0</v>
      </c>
      <c r="AT53" s="144">
        <v>0</v>
      </c>
      <c r="AU53" s="144">
        <v>0</v>
      </c>
      <c r="AV53" s="144">
        <v>0</v>
      </c>
      <c r="AW53" s="144">
        <v>0</v>
      </c>
      <c r="AX53" s="144">
        <v>0</v>
      </c>
      <c r="AY53" s="144">
        <v>0</v>
      </c>
      <c r="AZ53" s="144">
        <v>0</v>
      </c>
      <c r="BA53" s="144">
        <v>0</v>
      </c>
      <c r="BB53" s="144">
        <v>0</v>
      </c>
      <c r="BC53" s="144">
        <v>0</v>
      </c>
      <c r="BD53" s="144">
        <v>0</v>
      </c>
      <c r="BE53" s="144">
        <v>0</v>
      </c>
      <c r="BF53" s="144">
        <v>0</v>
      </c>
      <c r="BG53" s="144">
        <v>0</v>
      </c>
      <c r="BH53" s="144">
        <v>0</v>
      </c>
      <c r="BI53" s="144">
        <v>0</v>
      </c>
      <c r="BJ53" s="144">
        <v>0</v>
      </c>
      <c r="BK53" s="144">
        <v>0</v>
      </c>
      <c r="BL53" s="144">
        <v>0</v>
      </c>
      <c r="BM53" s="144">
        <v>0</v>
      </c>
      <c r="BN53" s="144">
        <v>0</v>
      </c>
      <c r="BO53" s="144">
        <v>0</v>
      </c>
      <c r="BP53" s="144">
        <v>0</v>
      </c>
      <c r="BQ53" s="144">
        <v>0</v>
      </c>
      <c r="BR53" s="144">
        <v>0</v>
      </c>
      <c r="BS53" s="144">
        <v>0</v>
      </c>
      <c r="BT53" s="144">
        <v>0</v>
      </c>
      <c r="BU53" s="144">
        <v>0</v>
      </c>
      <c r="BV53" s="144">
        <v>0</v>
      </c>
      <c r="BW53" s="144">
        <v>0</v>
      </c>
      <c r="BX53" s="144">
        <v>0</v>
      </c>
      <c r="BY53" s="144">
        <v>0</v>
      </c>
      <c r="BZ53" s="144">
        <v>0</v>
      </c>
      <c r="CA53" s="144">
        <v>0</v>
      </c>
      <c r="CB53" s="144">
        <v>0</v>
      </c>
      <c r="CC53" s="144">
        <v>0</v>
      </c>
      <c r="CD53" s="144">
        <v>0</v>
      </c>
      <c r="CE53" s="144">
        <v>0</v>
      </c>
      <c r="CF53" s="144">
        <v>0</v>
      </c>
      <c r="CG53" s="144">
        <v>0</v>
      </c>
      <c r="CH53" s="144">
        <v>0</v>
      </c>
      <c r="CI53" s="144">
        <v>0</v>
      </c>
      <c r="CJ53" s="144">
        <v>0</v>
      </c>
      <c r="CK53" s="144">
        <v>0</v>
      </c>
      <c r="CL53" s="144">
        <v>0</v>
      </c>
      <c r="CM53" s="144">
        <v>0</v>
      </c>
      <c r="CN53" s="144">
        <v>0</v>
      </c>
      <c r="CO53" s="144">
        <v>0</v>
      </c>
      <c r="CP53" s="144">
        <v>0</v>
      </c>
      <c r="CQ53" s="144">
        <v>0</v>
      </c>
      <c r="CR53" s="144">
        <v>0</v>
      </c>
      <c r="CS53" s="144">
        <v>0</v>
      </c>
      <c r="CT53" s="144">
        <v>0</v>
      </c>
      <c r="CU53" s="144">
        <v>0</v>
      </c>
      <c r="CV53" s="144">
        <v>0</v>
      </c>
      <c r="CW53" s="144">
        <v>0</v>
      </c>
      <c r="CX53" s="144">
        <v>0</v>
      </c>
      <c r="CY53" s="144">
        <v>0</v>
      </c>
      <c r="CZ53" s="144">
        <v>0</v>
      </c>
      <c r="DA53" s="144">
        <v>0</v>
      </c>
      <c r="DB53" s="144">
        <v>0</v>
      </c>
      <c r="DC53" s="144">
        <v>0</v>
      </c>
      <c r="DD53" s="144">
        <v>0</v>
      </c>
      <c r="DE53" s="144">
        <v>0</v>
      </c>
      <c r="DF53" s="144">
        <v>0</v>
      </c>
      <c r="DG53" s="144">
        <v>0</v>
      </c>
      <c r="DH53" s="144">
        <v>0</v>
      </c>
      <c r="DI53" s="144">
        <v>0</v>
      </c>
      <c r="DJ53" s="144">
        <v>0</v>
      </c>
      <c r="DK53" s="144">
        <v>0</v>
      </c>
      <c r="DL53" s="144">
        <v>0</v>
      </c>
      <c r="DM53" s="144">
        <v>0</v>
      </c>
      <c r="DN53" s="144">
        <v>0</v>
      </c>
      <c r="DO53" s="144">
        <v>0</v>
      </c>
      <c r="DP53" s="144">
        <v>0</v>
      </c>
      <c r="DQ53" s="144">
        <v>0</v>
      </c>
      <c r="DR53" s="144">
        <v>0</v>
      </c>
      <c r="DS53" s="144">
        <v>0</v>
      </c>
      <c r="DT53" s="144">
        <v>0</v>
      </c>
      <c r="DU53" s="144">
        <v>0</v>
      </c>
      <c r="DV53" s="144">
        <v>0</v>
      </c>
      <c r="DW53" s="144">
        <v>0</v>
      </c>
      <c r="DX53" s="144">
        <v>0</v>
      </c>
      <c r="DY53" s="144">
        <v>0</v>
      </c>
      <c r="DZ53">
        <v>0</v>
      </c>
      <c r="EA53">
        <v>0</v>
      </c>
    </row>
    <row r="54" spans="10:131" x14ac:dyDescent="0.25">
      <c r="J54" t="str">
        <v>Press Opening Value</v>
      </c>
      <c r="K54">
        <v>0</v>
      </c>
      <c r="L54" s="144">
        <v>10000</v>
      </c>
      <c r="M54" s="144">
        <v>8499.9699999999993</v>
      </c>
      <c r="N54" s="144">
        <v>6800.03</v>
      </c>
      <c r="O54" s="144">
        <v>5439.9699999999993</v>
      </c>
      <c r="P54" s="144">
        <v>4352.03</v>
      </c>
      <c r="Q54" s="144">
        <v>3481.57</v>
      </c>
      <c r="R54" s="144">
        <v>2785.3099999999986</v>
      </c>
      <c r="S54" s="144">
        <v>2228.2299999999973</v>
      </c>
      <c r="T54" s="144">
        <v>1782.6019999999967</v>
      </c>
      <c r="U54" s="144">
        <v>1426.0815999999959</v>
      </c>
      <c r="V54" s="144">
        <v>710.55727999999499</v>
      </c>
      <c r="W54" s="144">
        <v>499.99999999999886</v>
      </c>
      <c r="X54" s="144">
        <v>0</v>
      </c>
      <c r="Y54" s="144">
        <v>0</v>
      </c>
      <c r="Z54" s="144">
        <v>0</v>
      </c>
      <c r="AA54" s="144">
        <v>0</v>
      </c>
      <c r="AB54" s="144">
        <v>0</v>
      </c>
      <c r="AC54" s="144">
        <v>0</v>
      </c>
      <c r="AD54" s="144">
        <v>0</v>
      </c>
      <c r="AE54" s="144">
        <v>0</v>
      </c>
      <c r="AF54" s="144">
        <v>0</v>
      </c>
      <c r="AG54" s="144">
        <v>0</v>
      </c>
      <c r="AH54" s="144">
        <v>0</v>
      </c>
      <c r="AI54" s="144">
        <v>0</v>
      </c>
      <c r="AJ54" s="144">
        <v>0</v>
      </c>
      <c r="AK54" s="144">
        <v>0</v>
      </c>
      <c r="AL54" s="144">
        <v>0</v>
      </c>
      <c r="AM54" s="144">
        <v>0</v>
      </c>
      <c r="AN54" s="144">
        <v>0</v>
      </c>
      <c r="AO54" s="144">
        <v>0</v>
      </c>
      <c r="AP54" s="144">
        <v>0</v>
      </c>
      <c r="AQ54" s="144">
        <v>0</v>
      </c>
      <c r="AR54" s="144">
        <v>0</v>
      </c>
      <c r="AS54" s="144">
        <v>0</v>
      </c>
      <c r="AT54" s="144">
        <v>0</v>
      </c>
      <c r="AU54" s="144">
        <v>0</v>
      </c>
      <c r="AV54" s="144">
        <v>0</v>
      </c>
      <c r="AW54" s="144">
        <v>0</v>
      </c>
      <c r="AX54" s="144">
        <v>0</v>
      </c>
      <c r="AY54" s="144">
        <v>0</v>
      </c>
      <c r="AZ54" s="144">
        <v>0</v>
      </c>
      <c r="BA54" s="144">
        <v>0</v>
      </c>
      <c r="BB54" s="144">
        <v>0</v>
      </c>
      <c r="BC54" s="144">
        <v>0</v>
      </c>
      <c r="BD54" s="144">
        <v>0</v>
      </c>
      <c r="BE54" s="144">
        <v>0</v>
      </c>
      <c r="BF54" s="144">
        <v>0</v>
      </c>
      <c r="BG54" s="144">
        <v>0</v>
      </c>
      <c r="BH54" s="144">
        <v>0</v>
      </c>
      <c r="BI54" s="144">
        <v>0</v>
      </c>
      <c r="BJ54" s="144">
        <v>0</v>
      </c>
      <c r="BK54" s="144">
        <v>0</v>
      </c>
      <c r="BL54" s="144">
        <v>0</v>
      </c>
      <c r="BM54" s="144">
        <v>0</v>
      </c>
      <c r="BN54" s="144">
        <v>0</v>
      </c>
      <c r="BO54" s="144">
        <v>0</v>
      </c>
      <c r="BP54" s="144">
        <v>0</v>
      </c>
      <c r="BQ54" s="144">
        <v>0</v>
      </c>
      <c r="BR54" s="144">
        <v>0</v>
      </c>
      <c r="BS54" s="144">
        <v>0</v>
      </c>
      <c r="BT54" s="144">
        <v>0</v>
      </c>
      <c r="BU54" s="144">
        <v>0</v>
      </c>
      <c r="BV54" s="144">
        <v>0</v>
      </c>
      <c r="BW54" s="144">
        <v>0</v>
      </c>
      <c r="BX54" s="144">
        <v>0</v>
      </c>
      <c r="BY54" s="144">
        <v>0</v>
      </c>
      <c r="BZ54" s="144">
        <v>0</v>
      </c>
      <c r="CA54" s="144">
        <v>0</v>
      </c>
      <c r="CB54" s="144">
        <v>0</v>
      </c>
      <c r="CC54" s="144">
        <v>0</v>
      </c>
      <c r="CD54" s="144">
        <v>0</v>
      </c>
      <c r="CE54" s="144">
        <v>0</v>
      </c>
      <c r="CF54" s="144">
        <v>0</v>
      </c>
      <c r="CG54" s="144">
        <v>0</v>
      </c>
      <c r="CH54" s="144">
        <v>0</v>
      </c>
      <c r="CI54" s="144">
        <v>0</v>
      </c>
      <c r="CJ54" s="144">
        <v>0</v>
      </c>
      <c r="CK54" s="144">
        <v>0</v>
      </c>
      <c r="CL54" s="144">
        <v>0</v>
      </c>
      <c r="CM54" s="144">
        <v>0</v>
      </c>
      <c r="CN54" s="144">
        <v>0</v>
      </c>
      <c r="CO54" s="144">
        <v>0</v>
      </c>
      <c r="CP54" s="144">
        <v>0</v>
      </c>
      <c r="CQ54" s="144">
        <v>0</v>
      </c>
      <c r="CR54" s="144">
        <v>0</v>
      </c>
      <c r="CS54" s="144">
        <v>0</v>
      </c>
      <c r="CT54" s="144">
        <v>0</v>
      </c>
      <c r="CU54" s="144">
        <v>0</v>
      </c>
      <c r="CV54" s="144">
        <v>0</v>
      </c>
      <c r="CW54" s="144">
        <v>0</v>
      </c>
      <c r="CX54" s="144">
        <v>0</v>
      </c>
      <c r="CY54" s="144">
        <v>0</v>
      </c>
      <c r="CZ54" s="144">
        <v>0</v>
      </c>
      <c r="DA54" s="144">
        <v>0</v>
      </c>
      <c r="DB54" s="144">
        <v>0</v>
      </c>
      <c r="DC54" s="144">
        <v>0</v>
      </c>
      <c r="DD54" s="144">
        <v>0</v>
      </c>
      <c r="DE54" s="144">
        <v>0</v>
      </c>
      <c r="DF54" s="144">
        <v>0</v>
      </c>
      <c r="DG54" s="144">
        <v>0</v>
      </c>
      <c r="DH54" s="144">
        <v>0</v>
      </c>
      <c r="DI54" s="144">
        <v>0</v>
      </c>
      <c r="DJ54" s="144">
        <v>0</v>
      </c>
      <c r="DK54" s="144">
        <v>0</v>
      </c>
      <c r="DL54" s="144">
        <v>0</v>
      </c>
      <c r="DM54" s="144">
        <v>0</v>
      </c>
      <c r="DN54" s="144">
        <v>0</v>
      </c>
      <c r="DO54" s="144">
        <v>0</v>
      </c>
      <c r="DP54" s="144">
        <v>0</v>
      </c>
      <c r="DQ54" s="144">
        <v>0</v>
      </c>
      <c r="DR54" s="144">
        <v>0</v>
      </c>
      <c r="DS54" s="144">
        <v>0</v>
      </c>
      <c r="DT54" s="144">
        <v>0</v>
      </c>
      <c r="DU54" s="144">
        <v>0</v>
      </c>
      <c r="DV54" s="144">
        <v>0</v>
      </c>
      <c r="DW54" s="144">
        <v>0</v>
      </c>
      <c r="DX54" s="144">
        <v>0</v>
      </c>
      <c r="DY54" s="144">
        <v>0</v>
      </c>
      <c r="DZ54">
        <v>0</v>
      </c>
      <c r="EA54">
        <v>0</v>
      </c>
    </row>
    <row r="55" spans="10:131" x14ac:dyDescent="0.25">
      <c r="J55" t="str">
        <v>Press Depreciation</v>
      </c>
      <c r="K55">
        <v>9999.9999999999982</v>
      </c>
      <c r="L55" s="144">
        <v>1500.03</v>
      </c>
      <c r="M55" s="144">
        <v>1699.9399999999996</v>
      </c>
      <c r="N55" s="144">
        <v>1360.0600000000002</v>
      </c>
      <c r="O55" s="144">
        <v>1087.9400000000005</v>
      </c>
      <c r="P55" s="144">
        <v>870.45999999999992</v>
      </c>
      <c r="Q55" s="144">
        <v>696.26000000000056</v>
      </c>
      <c r="R55" s="144">
        <v>557.08000000000038</v>
      </c>
      <c r="S55" s="144">
        <v>445.62800000000027</v>
      </c>
      <c r="T55" s="144">
        <v>356.52040000000034</v>
      </c>
      <c r="U55" s="144">
        <v>715.52432000000044</v>
      </c>
      <c r="V55" s="144">
        <v>210.55727999999601</v>
      </c>
      <c r="W55" s="144">
        <v>500</v>
      </c>
      <c r="X55" s="144">
        <v>0</v>
      </c>
      <c r="Y55" s="144">
        <v>0</v>
      </c>
      <c r="Z55" s="144">
        <v>0</v>
      </c>
      <c r="AA55" s="144">
        <v>0</v>
      </c>
      <c r="AB55" s="144">
        <v>0</v>
      </c>
      <c r="AC55" s="144">
        <v>0</v>
      </c>
      <c r="AD55" s="144">
        <v>0</v>
      </c>
      <c r="AE55" s="144">
        <v>0</v>
      </c>
      <c r="AF55" s="144">
        <v>0</v>
      </c>
      <c r="AG55" s="144">
        <v>0</v>
      </c>
      <c r="AH55" s="144">
        <v>0</v>
      </c>
      <c r="AI55" s="144">
        <v>0</v>
      </c>
      <c r="AJ55" s="144">
        <v>0</v>
      </c>
      <c r="AK55" s="144">
        <v>0</v>
      </c>
      <c r="AL55" s="144">
        <v>0</v>
      </c>
      <c r="AM55" s="144">
        <v>0</v>
      </c>
      <c r="AN55" s="144">
        <v>0</v>
      </c>
      <c r="AO55" s="144">
        <v>0</v>
      </c>
      <c r="AP55" s="144">
        <v>0</v>
      </c>
      <c r="AQ55" s="144">
        <v>0</v>
      </c>
      <c r="AR55" s="144">
        <v>0</v>
      </c>
      <c r="AS55" s="144">
        <v>0</v>
      </c>
      <c r="AT55" s="144">
        <v>0</v>
      </c>
      <c r="AU55" s="144">
        <v>0</v>
      </c>
      <c r="AV55" s="144">
        <v>0</v>
      </c>
      <c r="AW55" s="144">
        <v>0</v>
      </c>
      <c r="AX55" s="144">
        <v>0</v>
      </c>
      <c r="AY55" s="144">
        <v>0</v>
      </c>
      <c r="AZ55" s="144">
        <v>0</v>
      </c>
      <c r="BA55" s="144">
        <v>0</v>
      </c>
      <c r="BB55" s="144">
        <v>0</v>
      </c>
      <c r="BC55" s="144">
        <v>0</v>
      </c>
      <c r="BD55" s="144">
        <v>0</v>
      </c>
      <c r="BE55" s="144">
        <v>0</v>
      </c>
      <c r="BF55" s="144">
        <v>0</v>
      </c>
      <c r="BG55" s="144">
        <v>0</v>
      </c>
      <c r="BH55" s="144">
        <v>0</v>
      </c>
      <c r="BI55" s="144">
        <v>0</v>
      </c>
      <c r="BJ55" s="144">
        <v>0</v>
      </c>
      <c r="BK55" s="144">
        <v>0</v>
      </c>
      <c r="BL55" s="144">
        <v>0</v>
      </c>
      <c r="BM55" s="144">
        <v>0</v>
      </c>
      <c r="BN55" s="144">
        <v>0</v>
      </c>
      <c r="BO55" s="144">
        <v>0</v>
      </c>
      <c r="BP55" s="144">
        <v>0</v>
      </c>
      <c r="BQ55" s="144">
        <v>0</v>
      </c>
      <c r="BR55" s="144">
        <v>0</v>
      </c>
      <c r="BS55" s="144">
        <v>0</v>
      </c>
      <c r="BT55" s="144">
        <v>0</v>
      </c>
      <c r="BU55" s="144">
        <v>0</v>
      </c>
      <c r="BV55" s="144">
        <v>0</v>
      </c>
      <c r="BW55" s="144">
        <v>0</v>
      </c>
      <c r="BX55" s="144">
        <v>0</v>
      </c>
      <c r="BY55" s="144">
        <v>0</v>
      </c>
      <c r="BZ55" s="144">
        <v>0</v>
      </c>
      <c r="CA55" s="144">
        <v>0</v>
      </c>
      <c r="CB55" s="144">
        <v>0</v>
      </c>
      <c r="CC55" s="144">
        <v>0</v>
      </c>
      <c r="CD55" s="144">
        <v>0</v>
      </c>
      <c r="CE55" s="144">
        <v>0</v>
      </c>
      <c r="CF55" s="144">
        <v>0</v>
      </c>
      <c r="CG55" s="144">
        <v>0</v>
      </c>
      <c r="CH55" s="144">
        <v>0</v>
      </c>
      <c r="CI55" s="144">
        <v>0</v>
      </c>
      <c r="CJ55" s="144">
        <v>0</v>
      </c>
      <c r="CK55" s="144">
        <v>0</v>
      </c>
      <c r="CL55" s="144">
        <v>0</v>
      </c>
      <c r="CM55" s="144">
        <v>0</v>
      </c>
      <c r="CN55" s="144">
        <v>0</v>
      </c>
      <c r="CO55" s="144">
        <v>0</v>
      </c>
      <c r="CP55" s="144">
        <v>0</v>
      </c>
      <c r="CQ55" s="144">
        <v>0</v>
      </c>
      <c r="CR55" s="144">
        <v>0</v>
      </c>
      <c r="CS55" s="144">
        <v>0</v>
      </c>
      <c r="CT55" s="144">
        <v>0</v>
      </c>
      <c r="CU55" s="144">
        <v>0</v>
      </c>
      <c r="CV55" s="144">
        <v>0</v>
      </c>
      <c r="CW55" s="144">
        <v>0</v>
      </c>
      <c r="CX55" s="144">
        <v>0</v>
      </c>
      <c r="CY55" s="144">
        <v>0</v>
      </c>
      <c r="CZ55" s="144">
        <v>0</v>
      </c>
      <c r="DA55" s="144">
        <v>0</v>
      </c>
      <c r="DB55" s="144">
        <v>0</v>
      </c>
      <c r="DC55" s="144">
        <v>0</v>
      </c>
      <c r="DD55" s="144">
        <v>0</v>
      </c>
      <c r="DE55" s="144">
        <v>0</v>
      </c>
      <c r="DF55" s="144">
        <v>0</v>
      </c>
      <c r="DG55" s="144">
        <v>0</v>
      </c>
      <c r="DH55" s="144">
        <v>0</v>
      </c>
      <c r="DI55" s="144">
        <v>0</v>
      </c>
      <c r="DJ55" s="144">
        <v>0</v>
      </c>
      <c r="DK55" s="144">
        <v>0</v>
      </c>
      <c r="DL55" s="144">
        <v>0</v>
      </c>
      <c r="DM55" s="144">
        <v>0</v>
      </c>
      <c r="DN55" s="144">
        <v>0</v>
      </c>
      <c r="DO55" s="144">
        <v>0</v>
      </c>
      <c r="DP55" s="144">
        <v>0</v>
      </c>
      <c r="DQ55" s="144">
        <v>0</v>
      </c>
      <c r="DR55" s="144">
        <v>0</v>
      </c>
      <c r="DS55" s="144">
        <v>0</v>
      </c>
      <c r="DT55" s="144">
        <v>0</v>
      </c>
      <c r="DU55" s="144">
        <v>0</v>
      </c>
      <c r="DV55" s="144">
        <v>0</v>
      </c>
      <c r="DW55" s="144">
        <v>0</v>
      </c>
      <c r="DX55" s="144">
        <v>0</v>
      </c>
      <c r="DY55" s="144">
        <v>0</v>
      </c>
      <c r="DZ55">
        <v>0</v>
      </c>
      <c r="EA55">
        <v>0</v>
      </c>
    </row>
    <row r="56" spans="10:131" x14ac:dyDescent="0.25">
      <c r="J56" t="str">
        <v>Press Book Value</v>
      </c>
      <c r="K56">
        <v>0</v>
      </c>
      <c r="L56" s="144">
        <v>8499.9699999999993</v>
      </c>
      <c r="M56" s="144">
        <v>6800.03</v>
      </c>
      <c r="N56" s="144">
        <v>5439.9699999999993</v>
      </c>
      <c r="O56" s="144">
        <v>4352.0299999999988</v>
      </c>
      <c r="P56" s="144">
        <v>3481.5699999999997</v>
      </c>
      <c r="Q56" s="144">
        <v>2785.3099999999995</v>
      </c>
      <c r="R56" s="144">
        <v>2228.2299999999982</v>
      </c>
      <c r="S56" s="144">
        <v>1782.6019999999971</v>
      </c>
      <c r="T56" s="144">
        <v>1426.0815999999963</v>
      </c>
      <c r="U56" s="144">
        <v>710.55727999999544</v>
      </c>
      <c r="V56" s="144">
        <v>499.99999999999898</v>
      </c>
      <c r="W56" s="144">
        <v>-1.1368683772161603E-12</v>
      </c>
      <c r="X56" s="144">
        <v>0</v>
      </c>
      <c r="Y56" s="144">
        <v>0</v>
      </c>
      <c r="Z56" s="144">
        <v>0</v>
      </c>
      <c r="AA56" s="144">
        <v>0</v>
      </c>
      <c r="AB56" s="144">
        <v>0</v>
      </c>
      <c r="AC56" s="144">
        <v>0</v>
      </c>
      <c r="AD56" s="144">
        <v>0</v>
      </c>
      <c r="AE56" s="144">
        <v>0</v>
      </c>
      <c r="AF56" s="144">
        <v>0</v>
      </c>
      <c r="AG56" s="144">
        <v>0</v>
      </c>
      <c r="AH56" s="144">
        <v>0</v>
      </c>
      <c r="AI56" s="144">
        <v>0</v>
      </c>
      <c r="AJ56" s="144">
        <v>0</v>
      </c>
      <c r="AK56" s="144">
        <v>0</v>
      </c>
      <c r="AL56" s="144">
        <v>0</v>
      </c>
      <c r="AM56" s="144">
        <v>0</v>
      </c>
      <c r="AN56" s="144">
        <v>0</v>
      </c>
      <c r="AO56" s="144">
        <v>0</v>
      </c>
      <c r="AP56" s="144">
        <v>0</v>
      </c>
      <c r="AQ56" s="144">
        <v>0</v>
      </c>
      <c r="AR56" s="144">
        <v>0</v>
      </c>
      <c r="AS56" s="144">
        <v>0</v>
      </c>
      <c r="AT56" s="144">
        <v>0</v>
      </c>
      <c r="AU56" s="144">
        <v>0</v>
      </c>
      <c r="AV56" s="144">
        <v>0</v>
      </c>
      <c r="AW56" s="144">
        <v>0</v>
      </c>
      <c r="AX56" s="144">
        <v>0</v>
      </c>
      <c r="AY56" s="144">
        <v>0</v>
      </c>
      <c r="AZ56" s="144">
        <v>0</v>
      </c>
      <c r="BA56" s="144">
        <v>0</v>
      </c>
      <c r="BB56" s="144">
        <v>0</v>
      </c>
      <c r="BC56" s="144">
        <v>0</v>
      </c>
      <c r="BD56" s="144">
        <v>0</v>
      </c>
      <c r="BE56" s="144">
        <v>0</v>
      </c>
      <c r="BF56" s="144">
        <v>0</v>
      </c>
      <c r="BG56" s="144">
        <v>0</v>
      </c>
      <c r="BH56" s="144">
        <v>0</v>
      </c>
      <c r="BI56" s="144">
        <v>0</v>
      </c>
      <c r="BJ56" s="144">
        <v>0</v>
      </c>
      <c r="BK56" s="144">
        <v>0</v>
      </c>
      <c r="BL56" s="144">
        <v>0</v>
      </c>
      <c r="BM56" s="144">
        <v>0</v>
      </c>
      <c r="BN56" s="144">
        <v>0</v>
      </c>
      <c r="BO56" s="144">
        <v>0</v>
      </c>
      <c r="BP56" s="144">
        <v>0</v>
      </c>
      <c r="BQ56" s="144">
        <v>0</v>
      </c>
      <c r="BR56" s="144">
        <v>0</v>
      </c>
      <c r="BS56" s="144">
        <v>0</v>
      </c>
      <c r="BT56" s="144">
        <v>0</v>
      </c>
      <c r="BU56" s="144">
        <v>0</v>
      </c>
      <c r="BV56" s="144">
        <v>0</v>
      </c>
      <c r="BW56" s="144">
        <v>0</v>
      </c>
      <c r="BX56" s="144">
        <v>0</v>
      </c>
      <c r="BY56" s="144">
        <v>0</v>
      </c>
      <c r="BZ56" s="144">
        <v>0</v>
      </c>
      <c r="CA56" s="144">
        <v>0</v>
      </c>
      <c r="CB56" s="144">
        <v>0</v>
      </c>
      <c r="CC56" s="144">
        <v>0</v>
      </c>
      <c r="CD56" s="144">
        <v>0</v>
      </c>
      <c r="CE56" s="144">
        <v>0</v>
      </c>
      <c r="CF56" s="144">
        <v>0</v>
      </c>
      <c r="CG56" s="144">
        <v>0</v>
      </c>
      <c r="CH56" s="144">
        <v>0</v>
      </c>
      <c r="CI56" s="144">
        <v>0</v>
      </c>
      <c r="CJ56" s="144">
        <v>0</v>
      </c>
      <c r="CK56" s="144">
        <v>0</v>
      </c>
      <c r="CL56" s="144">
        <v>0</v>
      </c>
      <c r="CM56" s="144">
        <v>0</v>
      </c>
      <c r="CN56" s="144">
        <v>0</v>
      </c>
      <c r="CO56" s="144">
        <v>0</v>
      </c>
      <c r="CP56" s="144">
        <v>0</v>
      </c>
      <c r="CQ56" s="144">
        <v>0</v>
      </c>
      <c r="CR56" s="144">
        <v>0</v>
      </c>
      <c r="CS56" s="144">
        <v>0</v>
      </c>
      <c r="CT56" s="144">
        <v>0</v>
      </c>
      <c r="CU56" s="144">
        <v>0</v>
      </c>
      <c r="CV56" s="144">
        <v>0</v>
      </c>
      <c r="CW56" s="144">
        <v>0</v>
      </c>
      <c r="CX56" s="144">
        <v>0</v>
      </c>
      <c r="CY56" s="144">
        <v>0</v>
      </c>
      <c r="CZ56" s="144">
        <v>0</v>
      </c>
      <c r="DA56" s="144">
        <v>0</v>
      </c>
      <c r="DB56" s="144">
        <v>0</v>
      </c>
      <c r="DC56" s="144">
        <v>0</v>
      </c>
      <c r="DD56" s="144">
        <v>0</v>
      </c>
      <c r="DE56" s="144">
        <v>0</v>
      </c>
      <c r="DF56" s="144">
        <v>0</v>
      </c>
      <c r="DG56" s="144">
        <v>0</v>
      </c>
      <c r="DH56" s="144">
        <v>0</v>
      </c>
      <c r="DI56" s="144">
        <v>0</v>
      </c>
      <c r="DJ56" s="144">
        <v>0</v>
      </c>
      <c r="DK56" s="144">
        <v>0</v>
      </c>
      <c r="DL56" s="144">
        <v>0</v>
      </c>
      <c r="DM56" s="144">
        <v>0</v>
      </c>
      <c r="DN56" s="144">
        <v>0</v>
      </c>
      <c r="DO56" s="144">
        <v>0</v>
      </c>
      <c r="DP56" s="144">
        <v>0</v>
      </c>
      <c r="DQ56" s="144">
        <v>0</v>
      </c>
      <c r="DR56" s="144">
        <v>0</v>
      </c>
      <c r="DS56" s="144">
        <v>0</v>
      </c>
      <c r="DT56" s="144">
        <v>0</v>
      </c>
      <c r="DU56" s="144">
        <v>0</v>
      </c>
      <c r="DV56" s="144">
        <v>0</v>
      </c>
      <c r="DW56" s="144">
        <v>0</v>
      </c>
      <c r="DX56" s="144">
        <v>0</v>
      </c>
      <c r="DY56" s="144">
        <v>0</v>
      </c>
      <c r="DZ56">
        <v>0</v>
      </c>
      <c r="EA56">
        <v>0</v>
      </c>
    </row>
    <row r="57" spans="10:131" x14ac:dyDescent="0.25">
      <c r="J57" t="str">
        <v>Press Revenue from Sale</v>
      </c>
      <c r="K57">
        <v>500</v>
      </c>
      <c r="L57" s="144">
        <v>0</v>
      </c>
      <c r="M57" s="144">
        <v>0</v>
      </c>
      <c r="N57" s="144">
        <v>0</v>
      </c>
      <c r="O57" s="144">
        <v>0</v>
      </c>
      <c r="P57" s="144">
        <v>0</v>
      </c>
      <c r="Q57" s="144">
        <v>0</v>
      </c>
      <c r="R57" s="144">
        <v>0</v>
      </c>
      <c r="S57" s="144">
        <v>0</v>
      </c>
      <c r="T57" s="144">
        <v>0</v>
      </c>
      <c r="U57" s="144">
        <v>0</v>
      </c>
      <c r="V57" s="144">
        <v>0</v>
      </c>
      <c r="W57" s="144">
        <v>500</v>
      </c>
      <c r="X57" s="144">
        <v>0</v>
      </c>
      <c r="Y57" s="144">
        <v>0</v>
      </c>
      <c r="Z57" s="144">
        <v>0</v>
      </c>
      <c r="AA57" s="144">
        <v>0</v>
      </c>
      <c r="AB57" s="144">
        <v>0</v>
      </c>
      <c r="AC57" s="144">
        <v>0</v>
      </c>
      <c r="AD57" s="144">
        <v>0</v>
      </c>
      <c r="AE57" s="144">
        <v>0</v>
      </c>
      <c r="AF57" s="144">
        <v>0</v>
      </c>
      <c r="AG57" s="144">
        <v>0</v>
      </c>
      <c r="AH57" s="144">
        <v>0</v>
      </c>
      <c r="AI57" s="144">
        <v>0</v>
      </c>
      <c r="AJ57" s="144">
        <v>0</v>
      </c>
      <c r="AK57" s="144">
        <v>0</v>
      </c>
      <c r="AL57" s="144">
        <v>0</v>
      </c>
      <c r="AM57" s="144">
        <v>0</v>
      </c>
      <c r="AN57" s="144">
        <v>0</v>
      </c>
      <c r="AO57" s="144">
        <v>0</v>
      </c>
      <c r="AP57" s="144">
        <v>0</v>
      </c>
      <c r="AQ57" s="144">
        <v>0</v>
      </c>
      <c r="AR57" s="144">
        <v>0</v>
      </c>
      <c r="AS57" s="144">
        <v>0</v>
      </c>
      <c r="AT57" s="144">
        <v>0</v>
      </c>
      <c r="AU57" s="144">
        <v>0</v>
      </c>
      <c r="AV57" s="144">
        <v>0</v>
      </c>
      <c r="AW57" s="144">
        <v>0</v>
      </c>
      <c r="AX57" s="144">
        <v>0</v>
      </c>
      <c r="AY57" s="144">
        <v>0</v>
      </c>
      <c r="AZ57" s="144">
        <v>0</v>
      </c>
      <c r="BA57" s="144">
        <v>0</v>
      </c>
      <c r="BB57" s="144">
        <v>0</v>
      </c>
      <c r="BC57" s="144">
        <v>0</v>
      </c>
      <c r="BD57" s="144">
        <v>0</v>
      </c>
      <c r="BE57" s="144">
        <v>0</v>
      </c>
      <c r="BF57" s="144">
        <v>0</v>
      </c>
      <c r="BG57" s="144">
        <v>0</v>
      </c>
      <c r="BH57" s="144">
        <v>0</v>
      </c>
      <c r="BI57" s="144">
        <v>0</v>
      </c>
      <c r="BJ57" s="144">
        <v>0</v>
      </c>
      <c r="BK57" s="144">
        <v>0</v>
      </c>
      <c r="BL57" s="144">
        <v>0</v>
      </c>
      <c r="BM57" s="144">
        <v>0</v>
      </c>
      <c r="BN57" s="144">
        <v>0</v>
      </c>
      <c r="BO57" s="144">
        <v>0</v>
      </c>
      <c r="BP57" s="144">
        <v>0</v>
      </c>
      <c r="BQ57" s="144">
        <v>0</v>
      </c>
      <c r="BR57" s="144">
        <v>0</v>
      </c>
      <c r="BS57" s="144">
        <v>0</v>
      </c>
      <c r="BT57" s="144">
        <v>0</v>
      </c>
      <c r="BU57" s="144">
        <v>0</v>
      </c>
      <c r="BV57" s="144">
        <v>0</v>
      </c>
      <c r="BW57" s="144">
        <v>0</v>
      </c>
      <c r="BX57" s="144">
        <v>0</v>
      </c>
      <c r="BY57" s="144">
        <v>0</v>
      </c>
      <c r="BZ57" s="144">
        <v>0</v>
      </c>
      <c r="CA57" s="144">
        <v>0</v>
      </c>
      <c r="CB57" s="144">
        <v>0</v>
      </c>
      <c r="CC57" s="144">
        <v>0</v>
      </c>
      <c r="CD57" s="144">
        <v>0</v>
      </c>
      <c r="CE57" s="144">
        <v>0</v>
      </c>
      <c r="CF57" s="144">
        <v>0</v>
      </c>
      <c r="CG57" s="144">
        <v>0</v>
      </c>
      <c r="CH57" s="144">
        <v>0</v>
      </c>
      <c r="CI57" s="144">
        <v>0</v>
      </c>
      <c r="CJ57" s="144">
        <v>0</v>
      </c>
      <c r="CK57" s="144">
        <v>0</v>
      </c>
      <c r="CL57" s="144">
        <v>0</v>
      </c>
      <c r="CM57" s="144">
        <v>0</v>
      </c>
      <c r="CN57" s="144">
        <v>0</v>
      </c>
      <c r="CO57" s="144">
        <v>0</v>
      </c>
      <c r="CP57" s="144">
        <v>0</v>
      </c>
      <c r="CQ57" s="144">
        <v>0</v>
      </c>
      <c r="CR57" s="144">
        <v>0</v>
      </c>
      <c r="CS57" s="144">
        <v>0</v>
      </c>
      <c r="CT57" s="144">
        <v>0</v>
      </c>
      <c r="CU57" s="144">
        <v>0</v>
      </c>
      <c r="CV57" s="144">
        <v>0</v>
      </c>
      <c r="CW57" s="144">
        <v>0</v>
      </c>
      <c r="CX57" s="144">
        <v>0</v>
      </c>
      <c r="CY57" s="144">
        <v>0</v>
      </c>
      <c r="CZ57" s="144">
        <v>0</v>
      </c>
      <c r="DA57" s="144">
        <v>0</v>
      </c>
      <c r="DB57" s="144">
        <v>0</v>
      </c>
      <c r="DC57" s="144">
        <v>0</v>
      </c>
      <c r="DD57" s="144">
        <v>0</v>
      </c>
      <c r="DE57" s="144">
        <v>0</v>
      </c>
      <c r="DF57" s="144">
        <v>0</v>
      </c>
      <c r="DG57" s="144">
        <v>0</v>
      </c>
      <c r="DH57" s="144">
        <v>0</v>
      </c>
      <c r="DI57" s="144">
        <v>0</v>
      </c>
      <c r="DJ57" s="144">
        <v>0</v>
      </c>
      <c r="DK57" s="144">
        <v>0</v>
      </c>
      <c r="DL57" s="144">
        <v>0</v>
      </c>
      <c r="DM57" s="144">
        <v>0</v>
      </c>
      <c r="DN57" s="144">
        <v>0</v>
      </c>
      <c r="DO57" s="144">
        <v>0</v>
      </c>
      <c r="DP57" s="144">
        <v>0</v>
      </c>
      <c r="DQ57" s="144">
        <v>0</v>
      </c>
      <c r="DR57" s="144">
        <v>0</v>
      </c>
      <c r="DS57" s="144">
        <v>0</v>
      </c>
      <c r="DT57" s="144">
        <v>0</v>
      </c>
      <c r="DU57" s="144">
        <v>0</v>
      </c>
      <c r="DV57" s="144">
        <v>0</v>
      </c>
      <c r="DW57" s="144">
        <v>0</v>
      </c>
      <c r="DX57" s="144">
        <v>0</v>
      </c>
      <c r="DY57" s="144">
        <v>0</v>
      </c>
      <c r="DZ57">
        <v>0</v>
      </c>
      <c r="EA57">
        <v>0</v>
      </c>
    </row>
    <row r="58" spans="10:131" x14ac:dyDescent="0.25">
      <c r="J58" t="str">
        <v>Press Disposal Costs</v>
      </c>
      <c r="K58">
        <v>100</v>
      </c>
      <c r="L58" s="144">
        <v>0</v>
      </c>
      <c r="M58" s="144">
        <v>0</v>
      </c>
      <c r="N58" s="144">
        <v>0</v>
      </c>
      <c r="O58" s="144">
        <v>0</v>
      </c>
      <c r="P58" s="144">
        <v>0</v>
      </c>
      <c r="Q58" s="144">
        <v>0</v>
      </c>
      <c r="R58" s="144">
        <v>0</v>
      </c>
      <c r="S58" s="144">
        <v>0</v>
      </c>
      <c r="T58" s="144">
        <v>0</v>
      </c>
      <c r="U58" s="144">
        <v>0</v>
      </c>
      <c r="V58" s="144">
        <v>0</v>
      </c>
      <c r="W58" s="144">
        <v>100</v>
      </c>
      <c r="X58" s="144">
        <v>0</v>
      </c>
      <c r="Y58" s="144">
        <v>0</v>
      </c>
      <c r="Z58" s="144">
        <v>0</v>
      </c>
      <c r="AA58" s="144">
        <v>0</v>
      </c>
      <c r="AB58" s="144">
        <v>0</v>
      </c>
      <c r="AC58" s="144">
        <v>0</v>
      </c>
      <c r="AD58" s="144">
        <v>0</v>
      </c>
      <c r="AE58" s="144">
        <v>0</v>
      </c>
      <c r="AF58" s="144">
        <v>0</v>
      </c>
      <c r="AG58" s="144">
        <v>0</v>
      </c>
      <c r="AH58" s="144">
        <v>0</v>
      </c>
      <c r="AI58" s="144">
        <v>0</v>
      </c>
      <c r="AJ58" s="144">
        <v>0</v>
      </c>
      <c r="AK58" s="144">
        <v>0</v>
      </c>
      <c r="AL58" s="144">
        <v>0</v>
      </c>
      <c r="AM58" s="144">
        <v>0</v>
      </c>
      <c r="AN58" s="144">
        <v>0</v>
      </c>
      <c r="AO58" s="144">
        <v>0</v>
      </c>
      <c r="AP58" s="144">
        <v>0</v>
      </c>
      <c r="AQ58" s="144">
        <v>0</v>
      </c>
      <c r="AR58" s="144">
        <v>0</v>
      </c>
      <c r="AS58" s="144">
        <v>0</v>
      </c>
      <c r="AT58" s="144">
        <v>0</v>
      </c>
      <c r="AU58" s="144">
        <v>0</v>
      </c>
      <c r="AV58" s="144">
        <v>0</v>
      </c>
      <c r="AW58" s="144">
        <v>0</v>
      </c>
      <c r="AX58" s="144">
        <v>0</v>
      </c>
      <c r="AY58" s="144">
        <v>0</v>
      </c>
      <c r="AZ58" s="144">
        <v>0</v>
      </c>
      <c r="BA58" s="144">
        <v>0</v>
      </c>
      <c r="BB58" s="144">
        <v>0</v>
      </c>
      <c r="BC58" s="144">
        <v>0</v>
      </c>
      <c r="BD58" s="144">
        <v>0</v>
      </c>
      <c r="BE58" s="144">
        <v>0</v>
      </c>
      <c r="BF58" s="144">
        <v>0</v>
      </c>
      <c r="BG58" s="144">
        <v>0</v>
      </c>
      <c r="BH58" s="144">
        <v>0</v>
      </c>
      <c r="BI58" s="144">
        <v>0</v>
      </c>
      <c r="BJ58" s="144">
        <v>0</v>
      </c>
      <c r="BK58" s="144">
        <v>0</v>
      </c>
      <c r="BL58" s="144">
        <v>0</v>
      </c>
      <c r="BM58" s="144">
        <v>0</v>
      </c>
      <c r="BN58" s="144">
        <v>0</v>
      </c>
      <c r="BO58" s="144">
        <v>0</v>
      </c>
      <c r="BP58" s="144">
        <v>0</v>
      </c>
      <c r="BQ58" s="144">
        <v>0</v>
      </c>
      <c r="BR58" s="144">
        <v>0</v>
      </c>
      <c r="BS58" s="144">
        <v>0</v>
      </c>
      <c r="BT58" s="144">
        <v>0</v>
      </c>
      <c r="BU58" s="144">
        <v>0</v>
      </c>
      <c r="BV58" s="144">
        <v>0</v>
      </c>
      <c r="BW58" s="144">
        <v>0</v>
      </c>
      <c r="BX58" s="144">
        <v>0</v>
      </c>
      <c r="BY58" s="144">
        <v>0</v>
      </c>
      <c r="BZ58" s="144">
        <v>0</v>
      </c>
      <c r="CA58" s="144">
        <v>0</v>
      </c>
      <c r="CB58" s="144">
        <v>0</v>
      </c>
      <c r="CC58" s="144">
        <v>0</v>
      </c>
      <c r="CD58" s="144">
        <v>0</v>
      </c>
      <c r="CE58" s="144">
        <v>0</v>
      </c>
      <c r="CF58" s="144">
        <v>0</v>
      </c>
      <c r="CG58" s="144">
        <v>0</v>
      </c>
      <c r="CH58" s="144">
        <v>0</v>
      </c>
      <c r="CI58" s="144">
        <v>0</v>
      </c>
      <c r="CJ58" s="144">
        <v>0</v>
      </c>
      <c r="CK58" s="144">
        <v>0</v>
      </c>
      <c r="CL58" s="144">
        <v>0</v>
      </c>
      <c r="CM58" s="144">
        <v>0</v>
      </c>
      <c r="CN58" s="144">
        <v>0</v>
      </c>
      <c r="CO58" s="144">
        <v>0</v>
      </c>
      <c r="CP58" s="144">
        <v>0</v>
      </c>
      <c r="CQ58" s="144">
        <v>0</v>
      </c>
      <c r="CR58" s="144">
        <v>0</v>
      </c>
      <c r="CS58" s="144">
        <v>0</v>
      </c>
      <c r="CT58" s="144">
        <v>0</v>
      </c>
      <c r="CU58" s="144">
        <v>0</v>
      </c>
      <c r="CV58" s="144">
        <v>0</v>
      </c>
      <c r="CW58" s="144">
        <v>0</v>
      </c>
      <c r="CX58" s="144">
        <v>0</v>
      </c>
      <c r="CY58" s="144">
        <v>0</v>
      </c>
      <c r="CZ58" s="144">
        <v>0</v>
      </c>
      <c r="DA58" s="144">
        <v>0</v>
      </c>
      <c r="DB58" s="144">
        <v>0</v>
      </c>
      <c r="DC58" s="144">
        <v>0</v>
      </c>
      <c r="DD58" s="144">
        <v>0</v>
      </c>
      <c r="DE58" s="144">
        <v>0</v>
      </c>
      <c r="DF58" s="144">
        <v>0</v>
      </c>
      <c r="DG58" s="144">
        <v>0</v>
      </c>
      <c r="DH58" s="144">
        <v>0</v>
      </c>
      <c r="DI58" s="144">
        <v>0</v>
      </c>
      <c r="DJ58" s="144">
        <v>0</v>
      </c>
      <c r="DK58" s="144">
        <v>0</v>
      </c>
      <c r="DL58" s="144">
        <v>0</v>
      </c>
      <c r="DM58" s="144">
        <v>0</v>
      </c>
      <c r="DN58" s="144">
        <v>0</v>
      </c>
      <c r="DO58" s="144">
        <v>0</v>
      </c>
      <c r="DP58" s="144">
        <v>0</v>
      </c>
      <c r="DQ58" s="144">
        <v>0</v>
      </c>
      <c r="DR58" s="144">
        <v>0</v>
      </c>
      <c r="DS58" s="144">
        <v>0</v>
      </c>
      <c r="DT58" s="144">
        <v>0</v>
      </c>
      <c r="DU58" s="144">
        <v>0</v>
      </c>
      <c r="DV58" s="144">
        <v>0</v>
      </c>
      <c r="DW58" s="144">
        <v>0</v>
      </c>
      <c r="DX58" s="144">
        <v>0</v>
      </c>
      <c r="DY58" s="144">
        <v>0</v>
      </c>
      <c r="DZ58">
        <v>0</v>
      </c>
      <c r="EA58">
        <v>0</v>
      </c>
    </row>
    <row r="59" spans="10:131" x14ac:dyDescent="0.25">
      <c r="J59" t="str">
        <v/>
      </c>
      <c r="K59">
        <v>0</v>
      </c>
      <c r="L59" s="144" t="str">
        <v/>
      </c>
      <c r="M59" s="144" t="str">
        <v/>
      </c>
      <c r="N59" s="144" t="str">
        <v/>
      </c>
      <c r="O59" s="144" t="str">
        <v/>
      </c>
      <c r="P59" s="144" t="str">
        <v/>
      </c>
      <c r="Q59" s="144" t="str">
        <v/>
      </c>
      <c r="R59" s="144" t="str">
        <v/>
      </c>
      <c r="S59" s="144" t="str">
        <v/>
      </c>
      <c r="T59" s="144" t="str">
        <v/>
      </c>
      <c r="U59" s="144" t="str">
        <v/>
      </c>
      <c r="V59" s="144" t="str">
        <v/>
      </c>
      <c r="W59" s="144" t="str">
        <v/>
      </c>
      <c r="X59" s="144" t="str">
        <v/>
      </c>
      <c r="Y59" s="144" t="str">
        <v/>
      </c>
      <c r="Z59" s="144" t="str">
        <v/>
      </c>
      <c r="AA59" s="144" t="str">
        <v/>
      </c>
      <c r="AB59" s="144" t="str">
        <v/>
      </c>
      <c r="AC59" s="144" t="str">
        <v/>
      </c>
      <c r="AD59" s="144" t="str">
        <v/>
      </c>
      <c r="AE59" s="144" t="str">
        <v/>
      </c>
      <c r="AF59" s="144" t="str">
        <v/>
      </c>
      <c r="AG59" s="144" t="str">
        <v/>
      </c>
      <c r="AH59" s="144" t="str">
        <v/>
      </c>
      <c r="AI59" s="144" t="str">
        <v/>
      </c>
      <c r="AJ59" s="144" t="str">
        <v/>
      </c>
      <c r="AK59" s="144" t="str">
        <v/>
      </c>
      <c r="AL59" s="144" t="str">
        <v/>
      </c>
      <c r="AM59" s="144" t="str">
        <v/>
      </c>
      <c r="AN59" s="144" t="str">
        <v/>
      </c>
      <c r="AO59" s="144" t="str">
        <v/>
      </c>
      <c r="AP59" s="144" t="str">
        <v/>
      </c>
      <c r="AQ59" s="144" t="str">
        <v/>
      </c>
      <c r="AR59" s="144" t="str">
        <v/>
      </c>
      <c r="AS59" s="144" t="str">
        <v/>
      </c>
      <c r="AT59" s="144" t="str">
        <v/>
      </c>
      <c r="AU59" s="144" t="str">
        <v/>
      </c>
      <c r="AV59" s="144" t="str">
        <v/>
      </c>
      <c r="AW59" s="144" t="str">
        <v/>
      </c>
      <c r="AX59" s="144" t="str">
        <v/>
      </c>
      <c r="AY59" s="144" t="str">
        <v/>
      </c>
      <c r="AZ59" s="144" t="str">
        <v/>
      </c>
      <c r="BA59" s="144" t="str">
        <v/>
      </c>
      <c r="BB59" s="144" t="str">
        <v/>
      </c>
      <c r="BC59" s="144" t="str">
        <v/>
      </c>
      <c r="BD59" s="144" t="str">
        <v/>
      </c>
      <c r="BE59" s="144" t="str">
        <v/>
      </c>
      <c r="BF59" s="144" t="str">
        <v/>
      </c>
      <c r="BG59" s="144" t="str">
        <v/>
      </c>
      <c r="BH59" s="144" t="str">
        <v/>
      </c>
      <c r="BI59" s="144" t="str">
        <v/>
      </c>
      <c r="BJ59" s="144" t="str">
        <v/>
      </c>
      <c r="BK59" s="144" t="str">
        <v/>
      </c>
      <c r="BL59" s="144" t="str">
        <v/>
      </c>
      <c r="BM59" s="144" t="str">
        <v/>
      </c>
      <c r="BN59" s="144" t="str">
        <v/>
      </c>
      <c r="BO59" s="144" t="str">
        <v/>
      </c>
      <c r="BP59" s="144" t="str">
        <v/>
      </c>
      <c r="BQ59" s="144" t="str">
        <v/>
      </c>
      <c r="BR59" s="144" t="str">
        <v/>
      </c>
      <c r="BS59" s="144" t="str">
        <v/>
      </c>
      <c r="BT59" s="144" t="str">
        <v/>
      </c>
      <c r="BU59" s="144" t="str">
        <v/>
      </c>
      <c r="BV59" s="144" t="str">
        <v/>
      </c>
      <c r="BW59" s="144" t="str">
        <v/>
      </c>
      <c r="BX59" s="144" t="str">
        <v/>
      </c>
      <c r="BY59" s="144" t="str">
        <v/>
      </c>
      <c r="BZ59" s="144" t="str">
        <v/>
      </c>
      <c r="CA59" s="144" t="str">
        <v/>
      </c>
      <c r="CB59" s="144" t="str">
        <v/>
      </c>
      <c r="CC59" s="144" t="str">
        <v/>
      </c>
      <c r="CD59" s="144" t="str">
        <v/>
      </c>
      <c r="CE59" s="144" t="str">
        <v/>
      </c>
      <c r="CF59" s="144" t="str">
        <v/>
      </c>
      <c r="CG59" s="144" t="str">
        <v/>
      </c>
      <c r="CH59" s="144" t="str">
        <v/>
      </c>
      <c r="CI59" s="144" t="str">
        <v/>
      </c>
      <c r="CJ59" s="144" t="str">
        <v/>
      </c>
      <c r="CK59" s="144" t="str">
        <v/>
      </c>
      <c r="CL59" s="144" t="str">
        <v/>
      </c>
      <c r="CM59" s="144" t="str">
        <v/>
      </c>
      <c r="CN59" s="144" t="str">
        <v/>
      </c>
      <c r="CO59" s="144" t="str">
        <v/>
      </c>
      <c r="CP59" s="144" t="str">
        <v/>
      </c>
      <c r="CQ59" s="144" t="str">
        <v/>
      </c>
      <c r="CR59" s="144" t="str">
        <v/>
      </c>
      <c r="CS59" s="144" t="str">
        <v/>
      </c>
      <c r="CT59" s="144" t="str">
        <v/>
      </c>
      <c r="CU59" s="144" t="str">
        <v/>
      </c>
      <c r="CV59" s="144" t="str">
        <v/>
      </c>
      <c r="CW59" s="144" t="str">
        <v/>
      </c>
      <c r="CX59" s="144" t="str">
        <v/>
      </c>
      <c r="CY59" s="144" t="str">
        <v/>
      </c>
      <c r="CZ59" s="144" t="str">
        <v/>
      </c>
      <c r="DA59" s="144" t="str">
        <v/>
      </c>
      <c r="DB59" s="144" t="str">
        <v/>
      </c>
      <c r="DC59" s="144" t="str">
        <v/>
      </c>
      <c r="DD59" s="144" t="str">
        <v/>
      </c>
      <c r="DE59" s="144" t="str">
        <v/>
      </c>
      <c r="DF59" s="144" t="str">
        <v/>
      </c>
      <c r="DG59" s="144" t="str">
        <v/>
      </c>
      <c r="DH59" s="144" t="str">
        <v/>
      </c>
      <c r="DI59" s="144" t="str">
        <v/>
      </c>
      <c r="DJ59" s="144" t="str">
        <v/>
      </c>
      <c r="DK59" s="144" t="str">
        <v/>
      </c>
      <c r="DL59" s="144" t="str">
        <v/>
      </c>
      <c r="DM59" s="144" t="str">
        <v/>
      </c>
      <c r="DN59" s="144" t="str">
        <v/>
      </c>
      <c r="DO59" s="144" t="str">
        <v/>
      </c>
      <c r="DP59" s="144" t="str">
        <v/>
      </c>
      <c r="DQ59" s="144" t="str">
        <v/>
      </c>
      <c r="DR59" s="144" t="str">
        <v/>
      </c>
      <c r="DS59" s="144" t="str">
        <v/>
      </c>
      <c r="DT59" s="144" t="str">
        <v/>
      </c>
      <c r="DU59" s="144" t="str">
        <v/>
      </c>
      <c r="DV59" s="144" t="str">
        <v/>
      </c>
      <c r="DW59" s="144" t="str">
        <v/>
      </c>
      <c r="DX59" s="144" t="str">
        <v/>
      </c>
      <c r="DY59" s="144" t="str">
        <v/>
      </c>
      <c r="DZ59" t="str">
        <v/>
      </c>
      <c r="EA59" t="str">
        <v/>
      </c>
    </row>
    <row r="60" spans="10:131" x14ac:dyDescent="0.25">
      <c r="J60" t="str">
        <v>CNC CAPEX</v>
      </c>
      <c r="K60">
        <v>50181</v>
      </c>
      <c r="L60" s="144">
        <v>50181</v>
      </c>
      <c r="M60" s="144">
        <v>0</v>
      </c>
      <c r="N60" s="144">
        <v>0</v>
      </c>
      <c r="O60" s="144">
        <v>0</v>
      </c>
      <c r="P60" s="144">
        <v>0</v>
      </c>
      <c r="Q60" s="144">
        <v>0</v>
      </c>
      <c r="R60" s="144">
        <v>0</v>
      </c>
      <c r="S60" s="144">
        <v>0</v>
      </c>
      <c r="T60" s="144">
        <v>0</v>
      </c>
      <c r="U60" s="144">
        <v>0</v>
      </c>
      <c r="V60" s="144">
        <v>0</v>
      </c>
      <c r="W60" s="144">
        <v>0</v>
      </c>
      <c r="X60" s="144">
        <v>0</v>
      </c>
      <c r="Y60" s="144">
        <v>0</v>
      </c>
      <c r="Z60" s="144">
        <v>0</v>
      </c>
      <c r="AA60" s="144">
        <v>0</v>
      </c>
      <c r="AB60" s="144">
        <v>0</v>
      </c>
      <c r="AC60" s="144">
        <v>0</v>
      </c>
      <c r="AD60" s="144">
        <v>0</v>
      </c>
      <c r="AE60" s="144">
        <v>0</v>
      </c>
      <c r="AF60" s="144">
        <v>0</v>
      </c>
      <c r="AG60" s="144">
        <v>0</v>
      </c>
      <c r="AH60" s="144">
        <v>0</v>
      </c>
      <c r="AI60" s="144">
        <v>0</v>
      </c>
      <c r="AJ60" s="144">
        <v>0</v>
      </c>
      <c r="AK60" s="144">
        <v>0</v>
      </c>
      <c r="AL60" s="144">
        <v>0</v>
      </c>
      <c r="AM60" s="144">
        <v>0</v>
      </c>
      <c r="AN60" s="144">
        <v>0</v>
      </c>
      <c r="AO60" s="144">
        <v>0</v>
      </c>
      <c r="AP60" s="144">
        <v>0</v>
      </c>
      <c r="AQ60" s="144">
        <v>0</v>
      </c>
      <c r="AR60" s="144">
        <v>0</v>
      </c>
      <c r="AS60" s="144">
        <v>0</v>
      </c>
      <c r="AT60" s="144">
        <v>0</v>
      </c>
      <c r="AU60" s="144">
        <v>0</v>
      </c>
      <c r="AV60" s="144">
        <v>0</v>
      </c>
      <c r="AW60" s="144">
        <v>0</v>
      </c>
      <c r="AX60" s="144">
        <v>0</v>
      </c>
      <c r="AY60" s="144">
        <v>0</v>
      </c>
      <c r="AZ60" s="144">
        <v>0</v>
      </c>
      <c r="BA60" s="144">
        <v>0</v>
      </c>
      <c r="BB60" s="144">
        <v>0</v>
      </c>
      <c r="BC60" s="144">
        <v>0</v>
      </c>
      <c r="BD60" s="144">
        <v>0</v>
      </c>
      <c r="BE60" s="144">
        <v>0</v>
      </c>
      <c r="BF60" s="144">
        <v>0</v>
      </c>
      <c r="BG60" s="144">
        <v>0</v>
      </c>
      <c r="BH60" s="144">
        <v>0</v>
      </c>
      <c r="BI60" s="144">
        <v>0</v>
      </c>
      <c r="BJ60" s="144">
        <v>0</v>
      </c>
      <c r="BK60" s="144">
        <v>0</v>
      </c>
      <c r="BL60" s="144">
        <v>0</v>
      </c>
      <c r="BM60" s="144">
        <v>0</v>
      </c>
      <c r="BN60" s="144">
        <v>0</v>
      </c>
      <c r="BO60" s="144">
        <v>0</v>
      </c>
      <c r="BP60" s="144">
        <v>0</v>
      </c>
      <c r="BQ60" s="144">
        <v>0</v>
      </c>
      <c r="BR60" s="144">
        <v>0</v>
      </c>
      <c r="BS60" s="144">
        <v>0</v>
      </c>
      <c r="BT60" s="144">
        <v>0</v>
      </c>
      <c r="BU60" s="144">
        <v>0</v>
      </c>
      <c r="BV60" s="144">
        <v>0</v>
      </c>
      <c r="BW60" s="144">
        <v>0</v>
      </c>
      <c r="BX60" s="144">
        <v>0</v>
      </c>
      <c r="BY60" s="144">
        <v>0</v>
      </c>
      <c r="BZ60" s="144">
        <v>0</v>
      </c>
      <c r="CA60" s="144">
        <v>0</v>
      </c>
      <c r="CB60" s="144">
        <v>0</v>
      </c>
      <c r="CC60" s="144">
        <v>0</v>
      </c>
      <c r="CD60" s="144">
        <v>0</v>
      </c>
      <c r="CE60" s="144">
        <v>0</v>
      </c>
      <c r="CF60" s="144">
        <v>0</v>
      </c>
      <c r="CG60" s="144">
        <v>0</v>
      </c>
      <c r="CH60" s="144">
        <v>0</v>
      </c>
      <c r="CI60" s="144">
        <v>0</v>
      </c>
      <c r="CJ60" s="144">
        <v>0</v>
      </c>
      <c r="CK60" s="144">
        <v>0</v>
      </c>
      <c r="CL60" s="144">
        <v>0</v>
      </c>
      <c r="CM60" s="144">
        <v>0</v>
      </c>
      <c r="CN60" s="144">
        <v>0</v>
      </c>
      <c r="CO60" s="144">
        <v>0</v>
      </c>
      <c r="CP60" s="144">
        <v>0</v>
      </c>
      <c r="CQ60" s="144">
        <v>0</v>
      </c>
      <c r="CR60" s="144">
        <v>0</v>
      </c>
      <c r="CS60" s="144">
        <v>0</v>
      </c>
      <c r="CT60" s="144">
        <v>0</v>
      </c>
      <c r="CU60" s="144">
        <v>0</v>
      </c>
      <c r="CV60" s="144">
        <v>0</v>
      </c>
      <c r="CW60" s="144">
        <v>0</v>
      </c>
      <c r="CX60" s="144">
        <v>0</v>
      </c>
      <c r="CY60" s="144">
        <v>0</v>
      </c>
      <c r="CZ60" s="144">
        <v>0</v>
      </c>
      <c r="DA60" s="144">
        <v>0</v>
      </c>
      <c r="DB60" s="144">
        <v>0</v>
      </c>
      <c r="DC60" s="144">
        <v>0</v>
      </c>
      <c r="DD60" s="144">
        <v>0</v>
      </c>
      <c r="DE60" s="144">
        <v>0</v>
      </c>
      <c r="DF60" s="144">
        <v>0</v>
      </c>
      <c r="DG60" s="144">
        <v>0</v>
      </c>
      <c r="DH60" s="144">
        <v>0</v>
      </c>
      <c r="DI60" s="144">
        <v>0</v>
      </c>
      <c r="DJ60" s="144">
        <v>0</v>
      </c>
      <c r="DK60" s="144">
        <v>0</v>
      </c>
      <c r="DL60" s="144">
        <v>0</v>
      </c>
      <c r="DM60" s="144">
        <v>0</v>
      </c>
      <c r="DN60" s="144">
        <v>0</v>
      </c>
      <c r="DO60" s="144">
        <v>0</v>
      </c>
      <c r="DP60" s="144">
        <v>0</v>
      </c>
      <c r="DQ60" s="144">
        <v>0</v>
      </c>
      <c r="DR60" s="144">
        <v>0</v>
      </c>
      <c r="DS60" s="144">
        <v>0</v>
      </c>
      <c r="DT60" s="144">
        <v>0</v>
      </c>
      <c r="DU60" s="144">
        <v>0</v>
      </c>
      <c r="DV60" s="144">
        <v>0</v>
      </c>
      <c r="DW60" s="144">
        <v>0</v>
      </c>
      <c r="DX60" s="144">
        <v>0</v>
      </c>
      <c r="DY60" s="144">
        <v>0</v>
      </c>
      <c r="DZ60">
        <v>0</v>
      </c>
      <c r="EA60">
        <v>0</v>
      </c>
    </row>
    <row r="61" spans="10:131" x14ac:dyDescent="0.25">
      <c r="J61" t="str">
        <v>CNC Opening Value</v>
      </c>
      <c r="K61">
        <v>0</v>
      </c>
      <c r="L61" s="144">
        <v>50181</v>
      </c>
      <c r="M61" s="144">
        <v>45162.899999999994</v>
      </c>
      <c r="N61" s="144">
        <v>40646.609999999986</v>
      </c>
      <c r="O61" s="144">
        <v>36581.948999999971</v>
      </c>
      <c r="P61" s="144">
        <v>32923.754099999984</v>
      </c>
      <c r="Q61" s="144">
        <v>29631.378689999976</v>
      </c>
      <c r="R61" s="144">
        <v>26668.24082099997</v>
      </c>
      <c r="S61" s="144">
        <v>24001.416738899952</v>
      </c>
      <c r="T61" s="144">
        <v>21601.27506500997</v>
      </c>
      <c r="U61" s="144">
        <v>19441.147558508987</v>
      </c>
      <c r="V61" s="144">
        <v>17497.032802658105</v>
      </c>
      <c r="W61" s="144">
        <v>15747.329522392287</v>
      </c>
      <c r="X61" s="144">
        <v>14172.596570153062</v>
      </c>
      <c r="Y61" s="144">
        <v>12755.336913137751</v>
      </c>
      <c r="Z61" s="144">
        <v>11479.803221823964</v>
      </c>
      <c r="AA61" s="144">
        <v>10331.822899641564</v>
      </c>
      <c r="AB61" s="144">
        <v>9298.6406096774008</v>
      </c>
      <c r="AC61" s="144">
        <v>8368.7765487096603</v>
      </c>
      <c r="AD61" s="144">
        <v>7531.8988938386938</v>
      </c>
      <c r="AE61" s="144">
        <v>6778.7090044548167</v>
      </c>
      <c r="AF61" s="144">
        <v>-5.1159076974727213E-12</v>
      </c>
      <c r="AG61" s="144">
        <v>-5.1159076974727213E-12</v>
      </c>
      <c r="AH61" s="144">
        <v>0</v>
      </c>
      <c r="AI61" s="144">
        <v>0</v>
      </c>
      <c r="AJ61" s="144">
        <v>0</v>
      </c>
      <c r="AK61" s="144">
        <v>0</v>
      </c>
      <c r="AL61" s="144">
        <v>0</v>
      </c>
      <c r="AM61" s="144">
        <v>0</v>
      </c>
      <c r="AN61" s="144">
        <v>0</v>
      </c>
      <c r="AO61" s="144">
        <v>0</v>
      </c>
      <c r="AP61" s="144">
        <v>0</v>
      </c>
      <c r="AQ61" s="144">
        <v>0</v>
      </c>
      <c r="AR61" s="144">
        <v>0</v>
      </c>
      <c r="AS61" s="144">
        <v>0</v>
      </c>
      <c r="AT61" s="144">
        <v>0</v>
      </c>
      <c r="AU61" s="144">
        <v>0</v>
      </c>
      <c r="AV61" s="144">
        <v>0</v>
      </c>
      <c r="AW61" s="144">
        <v>0</v>
      </c>
      <c r="AX61" s="144">
        <v>0</v>
      </c>
      <c r="AY61" s="144">
        <v>0</v>
      </c>
      <c r="AZ61" s="144">
        <v>0</v>
      </c>
      <c r="BA61" s="144">
        <v>0</v>
      </c>
      <c r="BB61" s="144">
        <v>0</v>
      </c>
      <c r="BC61" s="144">
        <v>0</v>
      </c>
      <c r="BD61" s="144">
        <v>0</v>
      </c>
      <c r="BE61" s="144">
        <v>0</v>
      </c>
      <c r="BF61" s="144">
        <v>0</v>
      </c>
      <c r="BG61" s="144">
        <v>0</v>
      </c>
      <c r="BH61" s="144">
        <v>0</v>
      </c>
      <c r="BI61" s="144">
        <v>0</v>
      </c>
      <c r="BJ61" s="144">
        <v>0</v>
      </c>
      <c r="BK61" s="144">
        <v>0</v>
      </c>
      <c r="BL61" s="144">
        <v>0</v>
      </c>
      <c r="BM61" s="144">
        <v>0</v>
      </c>
      <c r="BN61" s="144">
        <v>0</v>
      </c>
      <c r="BO61" s="144">
        <v>0</v>
      </c>
      <c r="BP61" s="144">
        <v>0</v>
      </c>
      <c r="BQ61" s="144">
        <v>0</v>
      </c>
      <c r="BR61" s="144">
        <v>0</v>
      </c>
      <c r="BS61" s="144">
        <v>0</v>
      </c>
      <c r="BT61" s="144">
        <v>0</v>
      </c>
      <c r="BU61" s="144">
        <v>0</v>
      </c>
      <c r="BV61" s="144">
        <v>0</v>
      </c>
      <c r="BW61" s="144">
        <v>0</v>
      </c>
      <c r="BX61" s="144">
        <v>0</v>
      </c>
      <c r="BY61" s="144">
        <v>0</v>
      </c>
      <c r="BZ61" s="144">
        <v>0</v>
      </c>
      <c r="CA61" s="144">
        <v>0</v>
      </c>
      <c r="CB61" s="144">
        <v>0</v>
      </c>
      <c r="CC61" s="144">
        <v>0</v>
      </c>
      <c r="CD61" s="144">
        <v>0</v>
      </c>
      <c r="CE61" s="144">
        <v>0</v>
      </c>
      <c r="CF61" s="144">
        <v>0</v>
      </c>
      <c r="CG61" s="144">
        <v>0</v>
      </c>
      <c r="CH61" s="144">
        <v>0</v>
      </c>
      <c r="CI61" s="144">
        <v>0</v>
      </c>
      <c r="CJ61" s="144">
        <v>0</v>
      </c>
      <c r="CK61" s="144">
        <v>0</v>
      </c>
      <c r="CL61" s="144">
        <v>0</v>
      </c>
      <c r="CM61" s="144">
        <v>0</v>
      </c>
      <c r="CN61" s="144">
        <v>0</v>
      </c>
      <c r="CO61" s="144">
        <v>0</v>
      </c>
      <c r="CP61" s="144">
        <v>0</v>
      </c>
      <c r="CQ61" s="144">
        <v>0</v>
      </c>
      <c r="CR61" s="144">
        <v>0</v>
      </c>
      <c r="CS61" s="144">
        <v>0</v>
      </c>
      <c r="CT61" s="144">
        <v>0</v>
      </c>
      <c r="CU61" s="144">
        <v>0</v>
      </c>
      <c r="CV61" s="144">
        <v>0</v>
      </c>
      <c r="CW61" s="144">
        <v>0</v>
      </c>
      <c r="CX61" s="144">
        <v>0</v>
      </c>
      <c r="CY61" s="144">
        <v>0</v>
      </c>
      <c r="CZ61" s="144">
        <v>0</v>
      </c>
      <c r="DA61" s="144">
        <v>0</v>
      </c>
      <c r="DB61" s="144">
        <v>0</v>
      </c>
      <c r="DC61" s="144">
        <v>0</v>
      </c>
      <c r="DD61" s="144">
        <v>0</v>
      </c>
      <c r="DE61" s="144">
        <v>0</v>
      </c>
      <c r="DF61" s="144">
        <v>0</v>
      </c>
      <c r="DG61" s="144">
        <v>0</v>
      </c>
      <c r="DH61" s="144">
        <v>0</v>
      </c>
      <c r="DI61" s="144">
        <v>0</v>
      </c>
      <c r="DJ61" s="144">
        <v>0</v>
      </c>
      <c r="DK61" s="144">
        <v>0</v>
      </c>
      <c r="DL61" s="144">
        <v>0</v>
      </c>
      <c r="DM61" s="144">
        <v>0</v>
      </c>
      <c r="DN61" s="144">
        <v>0</v>
      </c>
      <c r="DO61" s="144">
        <v>0</v>
      </c>
      <c r="DP61" s="144">
        <v>0</v>
      </c>
      <c r="DQ61" s="144">
        <v>0</v>
      </c>
      <c r="DR61" s="144">
        <v>0</v>
      </c>
      <c r="DS61" s="144">
        <v>0</v>
      </c>
      <c r="DT61" s="144">
        <v>0</v>
      </c>
      <c r="DU61" s="144">
        <v>0</v>
      </c>
      <c r="DV61" s="144">
        <v>0</v>
      </c>
      <c r="DW61" s="144">
        <v>0</v>
      </c>
      <c r="DX61" s="144">
        <v>0</v>
      </c>
      <c r="DY61" s="144">
        <v>0</v>
      </c>
      <c r="DZ61">
        <v>0</v>
      </c>
      <c r="EA61">
        <v>0</v>
      </c>
    </row>
    <row r="62" spans="10:131" x14ac:dyDescent="0.25">
      <c r="J62" t="str">
        <v>CNC Depreciation</v>
      </c>
      <c r="K62">
        <v>50181</v>
      </c>
      <c r="L62" s="144">
        <v>5018.1000000000004</v>
      </c>
      <c r="M62" s="144">
        <v>4516.2900000000009</v>
      </c>
      <c r="N62" s="144">
        <v>4064.6610000000005</v>
      </c>
      <c r="O62" s="144">
        <v>3658.1949000000009</v>
      </c>
      <c r="P62" s="144">
        <v>3292.375410000001</v>
      </c>
      <c r="Q62" s="144">
        <v>2963.137869000001</v>
      </c>
      <c r="R62" s="144">
        <v>2666.8240821000009</v>
      </c>
      <c r="S62" s="144">
        <v>2400.1416738900007</v>
      </c>
      <c r="T62" s="144">
        <v>2160.1275065010009</v>
      </c>
      <c r="U62" s="144">
        <v>1944.1147558509008</v>
      </c>
      <c r="V62" s="144">
        <v>1749.7032802658109</v>
      </c>
      <c r="W62" s="144">
        <v>1574.7329522392299</v>
      </c>
      <c r="X62" s="144">
        <v>1417.2596570153071</v>
      </c>
      <c r="Y62" s="144">
        <v>1275.5336913137764</v>
      </c>
      <c r="Z62" s="144">
        <v>1147.9803221823988</v>
      </c>
      <c r="AA62" s="144">
        <v>1033.1822899641588</v>
      </c>
      <c r="AB62" s="144">
        <v>929.86406096774317</v>
      </c>
      <c r="AC62" s="144">
        <v>836.87765487096885</v>
      </c>
      <c r="AD62" s="144">
        <v>753.1898893838719</v>
      </c>
      <c r="AE62" s="144">
        <v>6778.7090044548222</v>
      </c>
      <c r="AF62" s="144">
        <v>0</v>
      </c>
      <c r="AG62" s="144">
        <v>0</v>
      </c>
      <c r="AH62" s="144">
        <v>0</v>
      </c>
      <c r="AI62" s="144">
        <v>0</v>
      </c>
      <c r="AJ62" s="144">
        <v>0</v>
      </c>
      <c r="AK62" s="144">
        <v>0</v>
      </c>
      <c r="AL62" s="144">
        <v>0</v>
      </c>
      <c r="AM62" s="144">
        <v>0</v>
      </c>
      <c r="AN62" s="144">
        <v>0</v>
      </c>
      <c r="AO62" s="144">
        <v>0</v>
      </c>
      <c r="AP62" s="144">
        <v>0</v>
      </c>
      <c r="AQ62" s="144">
        <v>0</v>
      </c>
      <c r="AR62" s="144">
        <v>0</v>
      </c>
      <c r="AS62" s="144">
        <v>0</v>
      </c>
      <c r="AT62" s="144">
        <v>0</v>
      </c>
      <c r="AU62" s="144">
        <v>0</v>
      </c>
      <c r="AV62" s="144">
        <v>0</v>
      </c>
      <c r="AW62" s="144">
        <v>0</v>
      </c>
      <c r="AX62" s="144">
        <v>0</v>
      </c>
      <c r="AY62" s="144">
        <v>0</v>
      </c>
      <c r="AZ62" s="144">
        <v>0</v>
      </c>
      <c r="BA62" s="144">
        <v>0</v>
      </c>
      <c r="BB62" s="144">
        <v>0</v>
      </c>
      <c r="BC62" s="144">
        <v>0</v>
      </c>
      <c r="BD62" s="144">
        <v>0</v>
      </c>
      <c r="BE62" s="144">
        <v>0</v>
      </c>
      <c r="BF62" s="144">
        <v>0</v>
      </c>
      <c r="BG62" s="144">
        <v>0</v>
      </c>
      <c r="BH62" s="144">
        <v>0</v>
      </c>
      <c r="BI62" s="144">
        <v>0</v>
      </c>
      <c r="BJ62" s="144">
        <v>0</v>
      </c>
      <c r="BK62" s="144">
        <v>0</v>
      </c>
      <c r="BL62" s="144">
        <v>0</v>
      </c>
      <c r="BM62" s="144">
        <v>0</v>
      </c>
      <c r="BN62" s="144">
        <v>0</v>
      </c>
      <c r="BO62" s="144">
        <v>0</v>
      </c>
      <c r="BP62" s="144">
        <v>0</v>
      </c>
      <c r="BQ62" s="144">
        <v>0</v>
      </c>
      <c r="BR62" s="144">
        <v>0</v>
      </c>
      <c r="BS62" s="144">
        <v>0</v>
      </c>
      <c r="BT62" s="144">
        <v>0</v>
      </c>
      <c r="BU62" s="144">
        <v>0</v>
      </c>
      <c r="BV62" s="144">
        <v>0</v>
      </c>
      <c r="BW62" s="144">
        <v>0</v>
      </c>
      <c r="BX62" s="144">
        <v>0</v>
      </c>
      <c r="BY62" s="144">
        <v>0</v>
      </c>
      <c r="BZ62" s="144">
        <v>0</v>
      </c>
      <c r="CA62" s="144">
        <v>0</v>
      </c>
      <c r="CB62" s="144">
        <v>0</v>
      </c>
      <c r="CC62" s="144">
        <v>0</v>
      </c>
      <c r="CD62" s="144">
        <v>0</v>
      </c>
      <c r="CE62" s="144">
        <v>0</v>
      </c>
      <c r="CF62" s="144">
        <v>0</v>
      </c>
      <c r="CG62" s="144">
        <v>0</v>
      </c>
      <c r="CH62" s="144">
        <v>0</v>
      </c>
      <c r="CI62" s="144">
        <v>0</v>
      </c>
      <c r="CJ62" s="144">
        <v>0</v>
      </c>
      <c r="CK62" s="144">
        <v>0</v>
      </c>
      <c r="CL62" s="144">
        <v>0</v>
      </c>
      <c r="CM62" s="144">
        <v>0</v>
      </c>
      <c r="CN62" s="144">
        <v>0</v>
      </c>
      <c r="CO62" s="144">
        <v>0</v>
      </c>
      <c r="CP62" s="144">
        <v>0</v>
      </c>
      <c r="CQ62" s="144">
        <v>0</v>
      </c>
      <c r="CR62" s="144">
        <v>0</v>
      </c>
      <c r="CS62" s="144">
        <v>0</v>
      </c>
      <c r="CT62" s="144">
        <v>0</v>
      </c>
      <c r="CU62" s="144">
        <v>0</v>
      </c>
      <c r="CV62" s="144">
        <v>0</v>
      </c>
      <c r="CW62" s="144">
        <v>0</v>
      </c>
      <c r="CX62" s="144">
        <v>0</v>
      </c>
      <c r="CY62" s="144">
        <v>0</v>
      </c>
      <c r="CZ62" s="144">
        <v>0</v>
      </c>
      <c r="DA62" s="144">
        <v>0</v>
      </c>
      <c r="DB62" s="144">
        <v>0</v>
      </c>
      <c r="DC62" s="144">
        <v>0</v>
      </c>
      <c r="DD62" s="144">
        <v>0</v>
      </c>
      <c r="DE62" s="144">
        <v>0</v>
      </c>
      <c r="DF62" s="144">
        <v>0</v>
      </c>
      <c r="DG62" s="144">
        <v>0</v>
      </c>
      <c r="DH62" s="144">
        <v>0</v>
      </c>
      <c r="DI62" s="144">
        <v>0</v>
      </c>
      <c r="DJ62" s="144">
        <v>0</v>
      </c>
      <c r="DK62" s="144">
        <v>0</v>
      </c>
      <c r="DL62" s="144">
        <v>0</v>
      </c>
      <c r="DM62" s="144">
        <v>0</v>
      </c>
      <c r="DN62" s="144">
        <v>0</v>
      </c>
      <c r="DO62" s="144">
        <v>0</v>
      </c>
      <c r="DP62" s="144">
        <v>0</v>
      </c>
      <c r="DQ62" s="144">
        <v>0</v>
      </c>
      <c r="DR62" s="144">
        <v>0</v>
      </c>
      <c r="DS62" s="144">
        <v>0</v>
      </c>
      <c r="DT62" s="144">
        <v>0</v>
      </c>
      <c r="DU62" s="144">
        <v>0</v>
      </c>
      <c r="DV62" s="144">
        <v>0</v>
      </c>
      <c r="DW62" s="144">
        <v>0</v>
      </c>
      <c r="DX62" s="144">
        <v>0</v>
      </c>
      <c r="DY62" s="144">
        <v>0</v>
      </c>
      <c r="DZ62">
        <v>0</v>
      </c>
      <c r="EA62">
        <v>0</v>
      </c>
    </row>
    <row r="63" spans="10:131" x14ac:dyDescent="0.25">
      <c r="J63" t="str">
        <v>CNC Book Value</v>
      </c>
      <c r="K63">
        <v>0</v>
      </c>
      <c r="L63" s="144">
        <v>45162.9</v>
      </c>
      <c r="M63" s="144">
        <v>40646.609999999993</v>
      </c>
      <c r="N63" s="144">
        <v>36581.948999999986</v>
      </c>
      <c r="O63" s="144">
        <v>32923.754099999969</v>
      </c>
      <c r="P63" s="144">
        <v>29631.378689999983</v>
      </c>
      <c r="Q63" s="144">
        <v>26668.240820999974</v>
      </c>
      <c r="R63" s="144">
        <v>24001.41673889997</v>
      </c>
      <c r="S63" s="144">
        <v>21601.275065009952</v>
      </c>
      <c r="T63" s="144">
        <v>19441.147558508968</v>
      </c>
      <c r="U63" s="144">
        <v>17497.032802658086</v>
      </c>
      <c r="V63" s="144">
        <v>15747.329522392294</v>
      </c>
      <c r="W63" s="144">
        <v>14172.596570153057</v>
      </c>
      <c r="X63" s="144">
        <v>12755.336913137755</v>
      </c>
      <c r="Y63" s="144">
        <v>11479.803221823975</v>
      </c>
      <c r="Z63" s="144">
        <v>10331.822899641566</v>
      </c>
      <c r="AA63" s="144">
        <v>9298.6406096774044</v>
      </c>
      <c r="AB63" s="144">
        <v>8368.7765487096585</v>
      </c>
      <c r="AC63" s="144">
        <v>7531.8988938386919</v>
      </c>
      <c r="AD63" s="144">
        <v>6778.7090044548222</v>
      </c>
      <c r="AE63" s="144">
        <v>-5.4569682106375694E-12</v>
      </c>
      <c r="AF63" s="144">
        <v>-5.1159076974727213E-12</v>
      </c>
      <c r="AG63" s="144">
        <v>-5.1159076974727213E-12</v>
      </c>
      <c r="AH63" s="144">
        <v>0</v>
      </c>
      <c r="AI63" s="144">
        <v>0</v>
      </c>
      <c r="AJ63" s="144">
        <v>0</v>
      </c>
      <c r="AK63" s="144">
        <v>0</v>
      </c>
      <c r="AL63" s="144">
        <v>0</v>
      </c>
      <c r="AM63" s="144">
        <v>0</v>
      </c>
      <c r="AN63" s="144">
        <v>0</v>
      </c>
      <c r="AO63" s="144">
        <v>0</v>
      </c>
      <c r="AP63" s="144">
        <v>0</v>
      </c>
      <c r="AQ63" s="144">
        <v>0</v>
      </c>
      <c r="AR63" s="144">
        <v>0</v>
      </c>
      <c r="AS63" s="144">
        <v>0</v>
      </c>
      <c r="AT63" s="144">
        <v>0</v>
      </c>
      <c r="AU63" s="144">
        <v>0</v>
      </c>
      <c r="AV63" s="144">
        <v>0</v>
      </c>
      <c r="AW63" s="144">
        <v>0</v>
      </c>
      <c r="AX63" s="144">
        <v>0</v>
      </c>
      <c r="AY63" s="144">
        <v>0</v>
      </c>
      <c r="AZ63" s="144">
        <v>0</v>
      </c>
      <c r="BA63" s="144">
        <v>0</v>
      </c>
      <c r="BB63" s="144">
        <v>0</v>
      </c>
      <c r="BC63" s="144">
        <v>0</v>
      </c>
      <c r="BD63" s="144">
        <v>0</v>
      </c>
      <c r="BE63" s="144">
        <v>0</v>
      </c>
      <c r="BF63" s="144">
        <v>0</v>
      </c>
      <c r="BG63" s="144">
        <v>0</v>
      </c>
      <c r="BH63" s="144">
        <v>0</v>
      </c>
      <c r="BI63" s="144">
        <v>0</v>
      </c>
      <c r="BJ63" s="144">
        <v>0</v>
      </c>
      <c r="BK63" s="144">
        <v>0</v>
      </c>
      <c r="BL63" s="144">
        <v>0</v>
      </c>
      <c r="BM63" s="144">
        <v>0</v>
      </c>
      <c r="BN63" s="144">
        <v>0</v>
      </c>
      <c r="BO63" s="144">
        <v>0</v>
      </c>
      <c r="BP63" s="144">
        <v>0</v>
      </c>
      <c r="BQ63" s="144">
        <v>0</v>
      </c>
      <c r="BR63" s="144">
        <v>0</v>
      </c>
      <c r="BS63" s="144">
        <v>0</v>
      </c>
      <c r="BT63" s="144">
        <v>0</v>
      </c>
      <c r="BU63" s="144">
        <v>0</v>
      </c>
      <c r="BV63" s="144">
        <v>0</v>
      </c>
      <c r="BW63" s="144">
        <v>0</v>
      </c>
      <c r="BX63" s="144">
        <v>0</v>
      </c>
      <c r="BY63" s="144">
        <v>0</v>
      </c>
      <c r="BZ63" s="144">
        <v>0</v>
      </c>
      <c r="CA63" s="144">
        <v>0</v>
      </c>
      <c r="CB63" s="144">
        <v>0</v>
      </c>
      <c r="CC63" s="144">
        <v>0</v>
      </c>
      <c r="CD63" s="144">
        <v>0</v>
      </c>
      <c r="CE63" s="144">
        <v>0</v>
      </c>
      <c r="CF63" s="144">
        <v>0</v>
      </c>
      <c r="CG63" s="144">
        <v>0</v>
      </c>
      <c r="CH63" s="144">
        <v>0</v>
      </c>
      <c r="CI63" s="144">
        <v>0</v>
      </c>
      <c r="CJ63" s="144">
        <v>0</v>
      </c>
      <c r="CK63" s="144">
        <v>0</v>
      </c>
      <c r="CL63" s="144">
        <v>0</v>
      </c>
      <c r="CM63" s="144">
        <v>0</v>
      </c>
      <c r="CN63" s="144">
        <v>0</v>
      </c>
      <c r="CO63" s="144">
        <v>0</v>
      </c>
      <c r="CP63" s="144">
        <v>0</v>
      </c>
      <c r="CQ63" s="144">
        <v>0</v>
      </c>
      <c r="CR63" s="144">
        <v>0</v>
      </c>
      <c r="CS63" s="144">
        <v>0</v>
      </c>
      <c r="CT63" s="144">
        <v>0</v>
      </c>
      <c r="CU63" s="144">
        <v>0</v>
      </c>
      <c r="CV63" s="144">
        <v>0</v>
      </c>
      <c r="CW63" s="144">
        <v>0</v>
      </c>
      <c r="CX63" s="144">
        <v>0</v>
      </c>
      <c r="CY63" s="144">
        <v>0</v>
      </c>
      <c r="CZ63" s="144">
        <v>0</v>
      </c>
      <c r="DA63" s="144">
        <v>0</v>
      </c>
      <c r="DB63" s="144">
        <v>0</v>
      </c>
      <c r="DC63" s="144">
        <v>0</v>
      </c>
      <c r="DD63" s="144">
        <v>0</v>
      </c>
      <c r="DE63" s="144">
        <v>0</v>
      </c>
      <c r="DF63" s="144">
        <v>0</v>
      </c>
      <c r="DG63" s="144">
        <v>0</v>
      </c>
      <c r="DH63" s="144">
        <v>0</v>
      </c>
      <c r="DI63" s="144">
        <v>0</v>
      </c>
      <c r="DJ63" s="144">
        <v>0</v>
      </c>
      <c r="DK63" s="144">
        <v>0</v>
      </c>
      <c r="DL63" s="144">
        <v>0</v>
      </c>
      <c r="DM63" s="144">
        <v>0</v>
      </c>
      <c r="DN63" s="144">
        <v>0</v>
      </c>
      <c r="DO63" s="144">
        <v>0</v>
      </c>
      <c r="DP63" s="144">
        <v>0</v>
      </c>
      <c r="DQ63" s="144">
        <v>0</v>
      </c>
      <c r="DR63" s="144">
        <v>0</v>
      </c>
      <c r="DS63" s="144">
        <v>0</v>
      </c>
      <c r="DT63" s="144">
        <v>0</v>
      </c>
      <c r="DU63" s="144">
        <v>0</v>
      </c>
      <c r="DV63" s="144">
        <v>0</v>
      </c>
      <c r="DW63" s="144">
        <v>0</v>
      </c>
      <c r="DX63" s="144">
        <v>0</v>
      </c>
      <c r="DY63" s="144">
        <v>0</v>
      </c>
      <c r="DZ63">
        <v>0</v>
      </c>
      <c r="EA63">
        <v>0</v>
      </c>
    </row>
    <row r="64" spans="10:131" x14ac:dyDescent="0.25">
      <c r="J64" t="str">
        <v>CNC Revenue from Sale</v>
      </c>
      <c r="K64">
        <v>0</v>
      </c>
      <c r="L64" s="144">
        <v>0</v>
      </c>
      <c r="M64" s="144">
        <v>0</v>
      </c>
      <c r="N64" s="144">
        <v>0</v>
      </c>
      <c r="O64" s="144">
        <v>0</v>
      </c>
      <c r="P64" s="144">
        <v>0</v>
      </c>
      <c r="Q64" s="144">
        <v>0</v>
      </c>
      <c r="R64" s="144">
        <v>0</v>
      </c>
      <c r="S64" s="144">
        <v>0</v>
      </c>
      <c r="T64" s="144">
        <v>0</v>
      </c>
      <c r="U64" s="144">
        <v>0</v>
      </c>
      <c r="V64" s="144">
        <v>0</v>
      </c>
      <c r="W64" s="144">
        <v>0</v>
      </c>
      <c r="X64" s="144">
        <v>0</v>
      </c>
      <c r="Y64" s="144">
        <v>0</v>
      </c>
      <c r="Z64" s="144">
        <v>0</v>
      </c>
      <c r="AA64" s="144">
        <v>0</v>
      </c>
      <c r="AB64" s="144">
        <v>0</v>
      </c>
      <c r="AC64" s="144">
        <v>0</v>
      </c>
      <c r="AD64" s="144">
        <v>0</v>
      </c>
      <c r="AE64" s="144">
        <v>0</v>
      </c>
      <c r="AF64" s="144">
        <v>0</v>
      </c>
      <c r="AG64" s="144">
        <v>0</v>
      </c>
      <c r="AH64" s="144">
        <v>0</v>
      </c>
      <c r="AI64" s="144">
        <v>0</v>
      </c>
      <c r="AJ64" s="144">
        <v>0</v>
      </c>
      <c r="AK64" s="144">
        <v>0</v>
      </c>
      <c r="AL64" s="144">
        <v>0</v>
      </c>
      <c r="AM64" s="144">
        <v>0</v>
      </c>
      <c r="AN64" s="144">
        <v>0</v>
      </c>
      <c r="AO64" s="144">
        <v>0</v>
      </c>
      <c r="AP64" s="144">
        <v>0</v>
      </c>
      <c r="AQ64" s="144">
        <v>0</v>
      </c>
      <c r="AR64" s="144">
        <v>0</v>
      </c>
      <c r="AS64" s="144">
        <v>0</v>
      </c>
      <c r="AT64" s="144">
        <v>0</v>
      </c>
      <c r="AU64" s="144">
        <v>0</v>
      </c>
      <c r="AV64" s="144">
        <v>0</v>
      </c>
      <c r="AW64" s="144">
        <v>0</v>
      </c>
      <c r="AX64" s="144">
        <v>0</v>
      </c>
      <c r="AY64" s="144">
        <v>0</v>
      </c>
      <c r="AZ64" s="144">
        <v>0</v>
      </c>
      <c r="BA64" s="144">
        <v>0</v>
      </c>
      <c r="BB64" s="144">
        <v>0</v>
      </c>
      <c r="BC64" s="144">
        <v>0</v>
      </c>
      <c r="BD64" s="144">
        <v>0</v>
      </c>
      <c r="BE64" s="144">
        <v>0</v>
      </c>
      <c r="BF64" s="144">
        <v>0</v>
      </c>
      <c r="BG64" s="144">
        <v>0</v>
      </c>
      <c r="BH64" s="144">
        <v>0</v>
      </c>
      <c r="BI64" s="144">
        <v>0</v>
      </c>
      <c r="BJ64" s="144">
        <v>0</v>
      </c>
      <c r="BK64" s="144">
        <v>0</v>
      </c>
      <c r="BL64" s="144">
        <v>0</v>
      </c>
      <c r="BM64" s="144">
        <v>0</v>
      </c>
      <c r="BN64" s="144">
        <v>0</v>
      </c>
      <c r="BO64" s="144">
        <v>0</v>
      </c>
      <c r="BP64" s="144">
        <v>0</v>
      </c>
      <c r="BQ64" s="144">
        <v>0</v>
      </c>
      <c r="BR64" s="144">
        <v>0</v>
      </c>
      <c r="BS64" s="144">
        <v>0</v>
      </c>
      <c r="BT64" s="144">
        <v>0</v>
      </c>
      <c r="BU64" s="144">
        <v>0</v>
      </c>
      <c r="BV64" s="144">
        <v>0</v>
      </c>
      <c r="BW64" s="144">
        <v>0</v>
      </c>
      <c r="BX64" s="144">
        <v>0</v>
      </c>
      <c r="BY64" s="144">
        <v>0</v>
      </c>
      <c r="BZ64" s="144">
        <v>0</v>
      </c>
      <c r="CA64" s="144">
        <v>0</v>
      </c>
      <c r="CB64" s="144">
        <v>0</v>
      </c>
      <c r="CC64" s="144">
        <v>0</v>
      </c>
      <c r="CD64" s="144">
        <v>0</v>
      </c>
      <c r="CE64" s="144">
        <v>0</v>
      </c>
      <c r="CF64" s="144">
        <v>0</v>
      </c>
      <c r="CG64" s="144">
        <v>0</v>
      </c>
      <c r="CH64" s="144">
        <v>0</v>
      </c>
      <c r="CI64" s="144">
        <v>0</v>
      </c>
      <c r="CJ64" s="144">
        <v>0</v>
      </c>
      <c r="CK64" s="144">
        <v>0</v>
      </c>
      <c r="CL64" s="144">
        <v>0</v>
      </c>
      <c r="CM64" s="144">
        <v>0</v>
      </c>
      <c r="CN64" s="144">
        <v>0</v>
      </c>
      <c r="CO64" s="144">
        <v>0</v>
      </c>
      <c r="CP64" s="144">
        <v>0</v>
      </c>
      <c r="CQ64" s="144">
        <v>0</v>
      </c>
      <c r="CR64" s="144">
        <v>0</v>
      </c>
      <c r="CS64" s="144">
        <v>0</v>
      </c>
      <c r="CT64" s="144">
        <v>0</v>
      </c>
      <c r="CU64" s="144">
        <v>0</v>
      </c>
      <c r="CV64" s="144">
        <v>0</v>
      </c>
      <c r="CW64" s="144">
        <v>0</v>
      </c>
      <c r="CX64" s="144">
        <v>0</v>
      </c>
      <c r="CY64" s="144">
        <v>0</v>
      </c>
      <c r="CZ64" s="144">
        <v>0</v>
      </c>
      <c r="DA64" s="144">
        <v>0</v>
      </c>
      <c r="DB64" s="144">
        <v>0</v>
      </c>
      <c r="DC64" s="144">
        <v>0</v>
      </c>
      <c r="DD64" s="144">
        <v>0</v>
      </c>
      <c r="DE64" s="144">
        <v>0</v>
      </c>
      <c r="DF64" s="144">
        <v>0</v>
      </c>
      <c r="DG64" s="144">
        <v>0</v>
      </c>
      <c r="DH64" s="144">
        <v>0</v>
      </c>
      <c r="DI64" s="144">
        <v>0</v>
      </c>
      <c r="DJ64" s="144">
        <v>0</v>
      </c>
      <c r="DK64" s="144">
        <v>0</v>
      </c>
      <c r="DL64" s="144">
        <v>0</v>
      </c>
      <c r="DM64" s="144">
        <v>0</v>
      </c>
      <c r="DN64" s="144">
        <v>0</v>
      </c>
      <c r="DO64" s="144">
        <v>0</v>
      </c>
      <c r="DP64" s="144">
        <v>0</v>
      </c>
      <c r="DQ64" s="144">
        <v>0</v>
      </c>
      <c r="DR64" s="144">
        <v>0</v>
      </c>
      <c r="DS64" s="144">
        <v>0</v>
      </c>
      <c r="DT64" s="144">
        <v>0</v>
      </c>
      <c r="DU64" s="144">
        <v>0</v>
      </c>
      <c r="DV64" s="144">
        <v>0</v>
      </c>
      <c r="DW64" s="144">
        <v>0</v>
      </c>
      <c r="DX64" s="144">
        <v>0</v>
      </c>
      <c r="DY64" s="144">
        <v>0</v>
      </c>
      <c r="DZ64">
        <v>0</v>
      </c>
      <c r="EA64">
        <v>0</v>
      </c>
    </row>
    <row r="65" spans="10:131" x14ac:dyDescent="0.25">
      <c r="J65" t="str">
        <v>CNC Disposal Costs</v>
      </c>
      <c r="K65">
        <v>250</v>
      </c>
      <c r="L65" s="144">
        <v>0</v>
      </c>
      <c r="M65" s="144">
        <v>0</v>
      </c>
      <c r="N65" s="144">
        <v>0</v>
      </c>
      <c r="O65" s="144">
        <v>0</v>
      </c>
      <c r="P65" s="144">
        <v>0</v>
      </c>
      <c r="Q65" s="144">
        <v>0</v>
      </c>
      <c r="R65" s="144">
        <v>0</v>
      </c>
      <c r="S65" s="144">
        <v>0</v>
      </c>
      <c r="T65" s="144">
        <v>0</v>
      </c>
      <c r="U65" s="144">
        <v>0</v>
      </c>
      <c r="V65" s="144">
        <v>0</v>
      </c>
      <c r="W65" s="144">
        <v>0</v>
      </c>
      <c r="X65" s="144">
        <v>0</v>
      </c>
      <c r="Y65" s="144">
        <v>0</v>
      </c>
      <c r="Z65" s="144">
        <v>0</v>
      </c>
      <c r="AA65" s="144">
        <v>0</v>
      </c>
      <c r="AB65" s="144">
        <v>0</v>
      </c>
      <c r="AC65" s="144">
        <v>0</v>
      </c>
      <c r="AD65" s="144">
        <v>0</v>
      </c>
      <c r="AE65" s="144">
        <v>0</v>
      </c>
      <c r="AF65" s="144">
        <v>0</v>
      </c>
      <c r="AG65" s="144">
        <v>250</v>
      </c>
      <c r="AH65" s="144">
        <v>0</v>
      </c>
      <c r="AI65" s="144">
        <v>0</v>
      </c>
      <c r="AJ65" s="144">
        <v>0</v>
      </c>
      <c r="AK65" s="144">
        <v>0</v>
      </c>
      <c r="AL65" s="144">
        <v>0</v>
      </c>
      <c r="AM65" s="144">
        <v>0</v>
      </c>
      <c r="AN65" s="144">
        <v>0</v>
      </c>
      <c r="AO65" s="144">
        <v>0</v>
      </c>
      <c r="AP65" s="144">
        <v>0</v>
      </c>
      <c r="AQ65" s="144">
        <v>0</v>
      </c>
      <c r="AR65" s="144">
        <v>0</v>
      </c>
      <c r="AS65" s="144">
        <v>0</v>
      </c>
      <c r="AT65" s="144">
        <v>0</v>
      </c>
      <c r="AU65" s="144">
        <v>0</v>
      </c>
      <c r="AV65" s="144">
        <v>0</v>
      </c>
      <c r="AW65" s="144">
        <v>0</v>
      </c>
      <c r="AX65" s="144">
        <v>0</v>
      </c>
      <c r="AY65" s="144">
        <v>0</v>
      </c>
      <c r="AZ65" s="144">
        <v>0</v>
      </c>
      <c r="BA65" s="144">
        <v>0</v>
      </c>
      <c r="BB65" s="144">
        <v>0</v>
      </c>
      <c r="BC65" s="144">
        <v>0</v>
      </c>
      <c r="BD65" s="144">
        <v>0</v>
      </c>
      <c r="BE65" s="144">
        <v>0</v>
      </c>
      <c r="BF65" s="144">
        <v>0</v>
      </c>
      <c r="BG65" s="144">
        <v>0</v>
      </c>
      <c r="BH65" s="144">
        <v>0</v>
      </c>
      <c r="BI65" s="144">
        <v>0</v>
      </c>
      <c r="BJ65" s="144">
        <v>0</v>
      </c>
      <c r="BK65" s="144">
        <v>0</v>
      </c>
      <c r="BL65" s="144">
        <v>0</v>
      </c>
      <c r="BM65" s="144">
        <v>0</v>
      </c>
      <c r="BN65" s="144">
        <v>0</v>
      </c>
      <c r="BO65" s="144">
        <v>0</v>
      </c>
      <c r="BP65" s="144">
        <v>0</v>
      </c>
      <c r="BQ65" s="144">
        <v>0</v>
      </c>
      <c r="BR65" s="144">
        <v>0</v>
      </c>
      <c r="BS65" s="144">
        <v>0</v>
      </c>
      <c r="BT65" s="144">
        <v>0</v>
      </c>
      <c r="BU65" s="144">
        <v>0</v>
      </c>
      <c r="BV65" s="144">
        <v>0</v>
      </c>
      <c r="BW65" s="144">
        <v>0</v>
      </c>
      <c r="BX65" s="144">
        <v>0</v>
      </c>
      <c r="BY65" s="144">
        <v>0</v>
      </c>
      <c r="BZ65" s="144">
        <v>0</v>
      </c>
      <c r="CA65" s="144">
        <v>0</v>
      </c>
      <c r="CB65" s="144">
        <v>0</v>
      </c>
      <c r="CC65" s="144">
        <v>0</v>
      </c>
      <c r="CD65" s="144">
        <v>0</v>
      </c>
      <c r="CE65" s="144">
        <v>0</v>
      </c>
      <c r="CF65" s="144">
        <v>0</v>
      </c>
      <c r="CG65" s="144">
        <v>0</v>
      </c>
      <c r="CH65" s="144">
        <v>0</v>
      </c>
      <c r="CI65" s="144">
        <v>0</v>
      </c>
      <c r="CJ65" s="144">
        <v>0</v>
      </c>
      <c r="CK65" s="144">
        <v>0</v>
      </c>
      <c r="CL65" s="144">
        <v>0</v>
      </c>
      <c r="CM65" s="144">
        <v>0</v>
      </c>
      <c r="CN65" s="144">
        <v>0</v>
      </c>
      <c r="CO65" s="144">
        <v>0</v>
      </c>
      <c r="CP65" s="144">
        <v>0</v>
      </c>
      <c r="CQ65" s="144">
        <v>0</v>
      </c>
      <c r="CR65" s="144">
        <v>0</v>
      </c>
      <c r="CS65" s="144">
        <v>0</v>
      </c>
      <c r="CT65" s="144">
        <v>0</v>
      </c>
      <c r="CU65" s="144">
        <v>0</v>
      </c>
      <c r="CV65" s="144">
        <v>0</v>
      </c>
      <c r="CW65" s="144">
        <v>0</v>
      </c>
      <c r="CX65" s="144">
        <v>0</v>
      </c>
      <c r="CY65" s="144">
        <v>0</v>
      </c>
      <c r="CZ65" s="144">
        <v>0</v>
      </c>
      <c r="DA65" s="144">
        <v>0</v>
      </c>
      <c r="DB65" s="144">
        <v>0</v>
      </c>
      <c r="DC65" s="144">
        <v>0</v>
      </c>
      <c r="DD65" s="144">
        <v>0</v>
      </c>
      <c r="DE65" s="144">
        <v>0</v>
      </c>
      <c r="DF65" s="144">
        <v>0</v>
      </c>
      <c r="DG65" s="144">
        <v>0</v>
      </c>
      <c r="DH65" s="144">
        <v>0</v>
      </c>
      <c r="DI65" s="144">
        <v>0</v>
      </c>
      <c r="DJ65" s="144">
        <v>0</v>
      </c>
      <c r="DK65" s="144">
        <v>0</v>
      </c>
      <c r="DL65" s="144">
        <v>0</v>
      </c>
      <c r="DM65" s="144">
        <v>0</v>
      </c>
      <c r="DN65" s="144">
        <v>0</v>
      </c>
      <c r="DO65" s="144">
        <v>0</v>
      </c>
      <c r="DP65" s="144">
        <v>0</v>
      </c>
      <c r="DQ65" s="144">
        <v>0</v>
      </c>
      <c r="DR65" s="144">
        <v>0</v>
      </c>
      <c r="DS65" s="144">
        <v>0</v>
      </c>
      <c r="DT65" s="144">
        <v>0</v>
      </c>
      <c r="DU65" s="144">
        <v>0</v>
      </c>
      <c r="DV65" s="144">
        <v>0</v>
      </c>
      <c r="DW65" s="144">
        <v>0</v>
      </c>
      <c r="DX65" s="144">
        <v>0</v>
      </c>
      <c r="DY65" s="144">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pageSetup paperSize="9" scale="48" fitToHeight="0" orientation="landscape" horizontalDpi="0" verticalDpi="0"/>
  <drawing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66023C"/>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5" t="str">
        <f ca="1">_xlfn.TEXTAFTER(CELL("filename",A1),"]")</f>
        <v>oz.LabelDepreciateλ</v>
      </c>
      <c r="B1" s="185"/>
      <c r="C1" s="185"/>
      <c r="D1" s="185"/>
      <c r="E1" s="185"/>
      <c r="F1" s="185"/>
      <c r="G1" s="185"/>
      <c r="H1" s="185"/>
      <c r="I1" s="185"/>
      <c r="J1" s="185"/>
      <c r="K1" s="185"/>
      <c r="L1" s="185"/>
      <c r="M1" s="185"/>
      <c r="N1" s="185"/>
      <c r="O1" s="185"/>
      <c r="P1" s="185"/>
      <c r="Q1" s="185"/>
    </row>
    <row r="2" spans="1:20" x14ac:dyDescent="0.25">
      <c r="A2" s="186" t="s">
        <v>92</v>
      </c>
      <c r="B2" s="215"/>
      <c r="C2" s="215"/>
      <c r="D2" s="215"/>
      <c r="E2" s="215"/>
      <c r="F2" s="215"/>
      <c r="G2" s="215"/>
      <c r="H2" s="215"/>
      <c r="I2" s="215"/>
      <c r="J2" s="215"/>
      <c r="K2" s="215"/>
      <c r="L2" s="215"/>
      <c r="M2" s="215"/>
      <c r="N2" s="215"/>
      <c r="O2" s="215"/>
      <c r="P2" s="215"/>
      <c r="Q2" s="216"/>
    </row>
    <row r="3" spans="1:20" x14ac:dyDescent="0.25">
      <c r="A3" s="4"/>
      <c r="B3" s="4"/>
      <c r="C3" s="4"/>
      <c r="D3" s="4"/>
      <c r="E3" s="4"/>
      <c r="F3" s="4"/>
      <c r="G3" s="4"/>
      <c r="H3" s="4"/>
      <c r="I3" s="4"/>
      <c r="J3" s="4"/>
      <c r="K3" s="4"/>
      <c r="L3" s="4"/>
      <c r="M3" s="4"/>
      <c r="N3" s="4"/>
      <c r="O3" s="4"/>
      <c r="P3" s="4"/>
      <c r="Q3" s="4"/>
    </row>
    <row r="4" spans="1:20" x14ac:dyDescent="0.25">
      <c r="A4" s="55" t="str" cm="1">
        <f t="array" ref="A4:B12">oz.LabelDepreciateλ()</f>
        <v>FUNCTION:</v>
      </c>
      <c r="B4" t="str">
        <v>LabelDepreciateλ( AssetNames)</v>
      </c>
      <c r="M4" s="220"/>
      <c r="N4" s="220"/>
      <c r="O4" s="220"/>
      <c r="P4" s="220"/>
      <c r="Q4" s="220"/>
      <c r="R4" s="220"/>
      <c r="S4" s="220"/>
      <c r="T4" s="220"/>
    </row>
    <row r="5" spans="1:20" x14ac:dyDescent="0.25">
      <c r="A5" t="str">
        <v>DESCRIPTION:</v>
      </c>
      <c r="B5" t="str">
        <v>Create row labels for the depreciation schedule array produced by Depreciateλ</v>
      </c>
      <c r="M5" s="220"/>
      <c r="N5" s="220"/>
      <c r="O5" s="220"/>
      <c r="P5" s="220"/>
      <c r="Q5" s="220"/>
      <c r="R5" s="220"/>
      <c r="S5" s="220"/>
      <c r="T5" s="220"/>
    </row>
    <row r="6" spans="1:20" x14ac:dyDescent="0.25">
      <c r="A6" t="str">
        <v>WEBPAGE:</v>
      </c>
      <c r="B6" t="str">
        <v>https://github.com/ryanduguid/Ozzit</v>
      </c>
      <c r="M6" s="220"/>
      <c r="N6" s="220"/>
      <c r="O6" s="220"/>
      <c r="P6" s="220"/>
      <c r="Q6" s="220"/>
      <c r="R6" s="220"/>
      <c r="S6" s="220"/>
      <c r="T6" s="220"/>
    </row>
    <row r="7" spans="1:20" x14ac:dyDescent="0.25">
      <c r="A7" t="str">
        <v>VERSION:</v>
      </c>
      <c r="B7" t="str">
        <v>20 Aug 2026</v>
      </c>
      <c r="K7" s="126"/>
      <c r="L7" s="126"/>
      <c r="M7" s="220"/>
      <c r="N7" s="220"/>
      <c r="O7" s="220"/>
      <c r="P7" s="220"/>
      <c r="Q7" s="220"/>
      <c r="R7" s="220"/>
      <c r="S7" s="220"/>
      <c r="T7" s="220"/>
    </row>
    <row r="8" spans="1:20" x14ac:dyDescent="0.25">
      <c r="A8" t="str">
        <v>PARAMETERS:</v>
      </c>
      <c r="B8" t="str">
        <v/>
      </c>
      <c r="K8" s="126"/>
      <c r="L8" s="126"/>
      <c r="M8" s="220"/>
      <c r="N8" s="220"/>
      <c r="O8" s="220"/>
      <c r="P8" s="220"/>
      <c r="Q8" s="220"/>
      <c r="R8" s="220"/>
      <c r="S8" s="220"/>
      <c r="T8" s="220"/>
    </row>
    <row r="9" spans="1:20" x14ac:dyDescent="0.25">
      <c r="A9" t="str">
        <v>AssetNames</v>
      </c>
      <c r="B9" t="str">
        <v>(Required) The names or descriptions of each asset in the depreciation schedule produced by Depreciateλ</v>
      </c>
      <c r="K9" s="126"/>
      <c r="L9" s="126"/>
      <c r="M9" s="220"/>
      <c r="N9" s="220"/>
      <c r="O9" s="220"/>
      <c r="P9" s="220"/>
      <c r="Q9" s="220"/>
      <c r="R9" s="220"/>
      <c r="S9" s="220"/>
      <c r="T9" s="220"/>
    </row>
    <row r="10" spans="1:20" x14ac:dyDescent="0.25">
      <c r="A10" t="str">
        <v>EXAMPLES:</v>
      </c>
      <c r="B10" t="str">
        <v/>
      </c>
      <c r="K10" s="126"/>
      <c r="L10" s="126"/>
      <c r="M10" s="220"/>
      <c r="N10" s="220"/>
      <c r="O10" s="220"/>
      <c r="P10" s="220"/>
      <c r="Q10" s="220"/>
      <c r="R10" s="220"/>
      <c r="S10" s="220"/>
      <c r="T10" s="220"/>
    </row>
    <row r="11" spans="1:20" x14ac:dyDescent="0.25">
      <c r="A11" t="str">
        <v>Result</v>
      </c>
      <c r="B11" t="str">
        <v>Formula (oz is assumed to be the module's name)</v>
      </c>
      <c r="K11" s="126"/>
      <c r="L11" s="126"/>
      <c r="M11" s="220"/>
      <c r="N11" s="220"/>
      <c r="O11" s="220"/>
      <c r="P11" s="220"/>
      <c r="Q11" s="220"/>
      <c r="R11" s="220"/>
      <c r="S11" s="220"/>
      <c r="T11" s="220"/>
    </row>
    <row r="12" spans="1:20" x14ac:dyDescent="0.25">
      <c r="A12" t="str">
        <v/>
      </c>
      <c r="B12" t="str">
        <v>=oz.LabelDepreciateλ(tblAssets[Asset Name])</v>
      </c>
      <c r="K12" s="126"/>
      <c r="L12" s="126"/>
      <c r="M12" s="220"/>
      <c r="N12" s="220"/>
      <c r="O12" s="220"/>
      <c r="P12" s="220"/>
      <c r="Q12" s="220"/>
      <c r="R12" s="220"/>
      <c r="S12" s="220"/>
      <c r="T12" s="220"/>
    </row>
    <row r="13" spans="1:20" x14ac:dyDescent="0.25">
      <c r="K13" s="126"/>
      <c r="L13" s="126"/>
      <c r="M13" s="220"/>
      <c r="N13" s="220"/>
      <c r="O13" s="220"/>
      <c r="P13" s="220"/>
      <c r="Q13" s="220"/>
      <c r="R13" s="220"/>
      <c r="S13" s="220"/>
      <c r="T13" s="220"/>
    </row>
    <row r="15" spans="1:20" ht="21" x14ac:dyDescent="0.35">
      <c r="A15" s="203" t="s">
        <v>148</v>
      </c>
      <c r="B15" s="203"/>
      <c r="C15" s="203"/>
      <c r="J15" s="2" t="s">
        <v>165</v>
      </c>
    </row>
    <row r="17" spans="1:23" x14ac:dyDescent="0.25">
      <c r="A17" s="54" t="s">
        <v>149</v>
      </c>
      <c r="B17" s="54" t="s">
        <v>14</v>
      </c>
      <c r="C17" s="54" t="s">
        <v>15</v>
      </c>
      <c r="J17" s="83" t="s">
        <v>7</v>
      </c>
      <c r="K17" s="83" t="s">
        <v>152</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112</v>
      </c>
      <c r="B18" s="34">
        <v>46569</v>
      </c>
      <c r="C18" t="s">
        <v>21</v>
      </c>
      <c r="J18" t="s">
        <v>218</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17</v>
      </c>
      <c r="B19">
        <v>12</v>
      </c>
      <c r="C19" t="s">
        <v>22</v>
      </c>
      <c r="J19" t="s">
        <v>219</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18</v>
      </c>
      <c r="B20" t="s">
        <v>2</v>
      </c>
      <c r="J20" t="s">
        <v>220</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221</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222</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192" t="s">
        <v>171</v>
      </c>
      <c r="B23" s="193"/>
      <c r="C23" s="193"/>
      <c r="D23" s="193"/>
      <c r="E23" s="193"/>
      <c r="F23" s="193"/>
      <c r="G23" s="193"/>
      <c r="H23" s="217"/>
    </row>
    <row r="24" spans="1:23" x14ac:dyDescent="0.25">
      <c r="A24" s="213"/>
      <c r="B24" s="214"/>
      <c r="C24" s="214"/>
      <c r="D24" s="214"/>
      <c r="E24" s="214"/>
      <c r="F24" s="214"/>
      <c r="G24" s="214"/>
      <c r="H24" s="214"/>
    </row>
    <row r="25" spans="1:23" x14ac:dyDescent="0.25">
      <c r="A25" s="86" t="s">
        <v>172</v>
      </c>
      <c r="B25" s="87" t="s">
        <v>125</v>
      </c>
      <c r="C25" s="87" t="s">
        <v>173</v>
      </c>
      <c r="D25" s="87" t="s">
        <v>182</v>
      </c>
      <c r="E25" s="87" t="s">
        <v>174</v>
      </c>
      <c r="F25" s="87" t="s">
        <v>6</v>
      </c>
      <c r="G25" s="87" t="s">
        <v>183</v>
      </c>
      <c r="H25" s="86" t="s">
        <v>175</v>
      </c>
      <c r="J25" s="83" t="s">
        <v>7</v>
      </c>
      <c r="K25" s="83" t="s">
        <v>152</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179</v>
      </c>
      <c r="B26" s="88">
        <v>25000</v>
      </c>
      <c r="C26" s="13">
        <v>46204</v>
      </c>
      <c r="D26" s="88">
        <v>8</v>
      </c>
      <c r="E26" s="88">
        <v>1000</v>
      </c>
      <c r="F26" s="13"/>
      <c r="G26" s="88">
        <v>500</v>
      </c>
      <c r="H26" s="13" t="s">
        <v>176</v>
      </c>
      <c r="J26" s="55" t="str" cm="1">
        <f t="array" ref="J26:J45">oz.LabelDepreciateλ(tblAssets11[Asset])</f>
        <v>Cutter CAPEX</v>
      </c>
      <c r="K26" cm="1">
        <f t="array" ref="K26:K45">oz.SumDepreciateλ(_xlfn.ANCHORARRAY(L26))</f>
        <v>0</v>
      </c>
      <c r="L26" s="85" cm="1">
        <f t="array" ref="L26:W45">oz.Depreciateλ(tblAssets11[Amount],tblAssets11[Acquired],tblAssets11[Life],_xlfn.ANCHORARRAY(L25),tblAssets11[Salvage],tblAssets11[Date],tblAssets11[Cost],tblAssets11[Method])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180</v>
      </c>
      <c r="B27" s="88">
        <v>10000</v>
      </c>
      <c r="C27" s="13">
        <v>46661</v>
      </c>
      <c r="D27" s="88">
        <v>10</v>
      </c>
      <c r="E27" s="88">
        <v>500</v>
      </c>
      <c r="F27" s="13"/>
      <c r="G27" s="88">
        <v>100</v>
      </c>
      <c r="H27" s="13" t="s">
        <v>177</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181</v>
      </c>
      <c r="B28" s="88">
        <v>50546</v>
      </c>
      <c r="C28" s="89">
        <v>47484</v>
      </c>
      <c r="D28" s="90">
        <v>20</v>
      </c>
      <c r="E28" s="88">
        <v>1000</v>
      </c>
      <c r="F28" s="13"/>
      <c r="G28" s="88">
        <v>250</v>
      </c>
      <c r="H28" s="13" t="s">
        <v>178</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pageSetup paperSize="9" scale="50" fitToHeight="0" orientation="landscape" horizontalDpi="0" verticalDpi="0"/>
  <drawing r:id="rId1"/>
  <tableParts count="1">
    <tablePart r:id="rId2"/>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66023C"/>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5" t="str">
        <f ca="1">_xlfn.TEXTAFTER(CELL("filename",A1),"]")</f>
        <v>oz.SumDepreciateλ</v>
      </c>
      <c r="B1" s="185"/>
      <c r="C1" s="185"/>
      <c r="D1" s="185"/>
      <c r="E1" s="185"/>
      <c r="F1" s="185"/>
      <c r="G1" s="185"/>
      <c r="H1" s="185"/>
      <c r="I1" s="185"/>
      <c r="J1" s="185"/>
      <c r="K1" s="185"/>
      <c r="L1" s="185"/>
      <c r="M1" s="185"/>
      <c r="N1" s="185"/>
      <c r="O1" s="185"/>
      <c r="P1" s="185"/>
      <c r="Q1" s="185"/>
    </row>
    <row r="2" spans="1:20" x14ac:dyDescent="0.25">
      <c r="A2" s="186" t="s">
        <v>243</v>
      </c>
      <c r="B2" s="215"/>
      <c r="C2" s="215"/>
      <c r="D2" s="215"/>
      <c r="E2" s="215"/>
      <c r="F2" s="215"/>
      <c r="G2" s="215"/>
      <c r="H2" s="215"/>
      <c r="I2" s="215"/>
      <c r="J2" s="215"/>
      <c r="K2" s="215"/>
      <c r="L2" s="215"/>
      <c r="M2" s="215"/>
      <c r="N2" s="215"/>
      <c r="O2" s="215"/>
      <c r="P2" s="215"/>
      <c r="Q2" s="216"/>
    </row>
    <row r="3" spans="1:20" x14ac:dyDescent="0.25">
      <c r="A3" s="4"/>
      <c r="B3" s="4"/>
      <c r="C3" s="4"/>
      <c r="D3" s="4"/>
      <c r="E3" s="4"/>
      <c r="F3" s="4"/>
      <c r="G3" s="4"/>
      <c r="H3" s="4"/>
      <c r="I3" s="4"/>
      <c r="J3" s="4"/>
      <c r="K3" s="4"/>
      <c r="L3" s="4"/>
      <c r="M3" s="4"/>
      <c r="N3" s="4"/>
      <c r="O3" s="4"/>
      <c r="P3" s="4"/>
      <c r="Q3" s="4"/>
    </row>
    <row r="4" spans="1:20" x14ac:dyDescent="0.25">
      <c r="A4" s="55" t="str" cm="1">
        <f t="array" ref="A4:B13">oz.SumDepreciateλ()</f>
        <v>FUNCTION:</v>
      </c>
      <c r="B4" t="str">
        <v>SumDepreciateλ(DepreciationSchedule)</v>
      </c>
      <c r="M4" s="220"/>
      <c r="N4" s="220"/>
      <c r="O4" s="220"/>
      <c r="P4" s="220"/>
      <c r="Q4" s="220"/>
      <c r="R4" s="220"/>
      <c r="S4" s="220"/>
      <c r="T4" s="220"/>
    </row>
    <row r="5" spans="1:20" x14ac:dyDescent="0.25">
      <c r="A5" t="str">
        <v>DESCRIPTION:</v>
      </c>
      <c r="B5" t="str">
        <v>Create row totals for Depreciateλ</v>
      </c>
      <c r="M5" s="220"/>
      <c r="N5" s="220"/>
      <c r="O5" s="220"/>
      <c r="P5" s="220"/>
      <c r="Q5" s="220"/>
      <c r="R5" s="220"/>
      <c r="S5" s="220"/>
      <c r="T5" s="220"/>
    </row>
    <row r="6" spans="1:20" x14ac:dyDescent="0.25">
      <c r="A6" t="str">
        <v>WEBPAGE:</v>
      </c>
      <c r="B6" t="str">
        <v>https://github.com/ryanduguid/Ozzit</v>
      </c>
      <c r="M6" s="220"/>
      <c r="N6" s="220"/>
      <c r="O6" s="220"/>
      <c r="P6" s="220"/>
      <c r="Q6" s="220"/>
      <c r="R6" s="220"/>
      <c r="S6" s="220"/>
      <c r="T6" s="220"/>
    </row>
    <row r="7" spans="1:20" x14ac:dyDescent="0.25">
      <c r="A7" t="str">
        <v>VERSION:</v>
      </c>
      <c r="B7" t="str">
        <v>20 Aug 2026</v>
      </c>
      <c r="K7" s="126"/>
      <c r="L7" s="126"/>
      <c r="M7" s="220"/>
      <c r="N7" s="220"/>
      <c r="O7" s="220"/>
      <c r="P7" s="220"/>
      <c r="Q7" s="220"/>
      <c r="R7" s="220"/>
      <c r="S7" s="220"/>
      <c r="T7" s="220"/>
    </row>
    <row r="8" spans="1:20" x14ac:dyDescent="0.25">
      <c r="A8" t="str">
        <v>PARAMETERS:</v>
      </c>
      <c r="B8" t="str">
        <v/>
      </c>
      <c r="K8" s="126"/>
      <c r="L8" s="126"/>
      <c r="M8" s="220"/>
      <c r="N8" s="220"/>
      <c r="O8" s="220"/>
      <c r="P8" s="220"/>
      <c r="Q8" s="220"/>
      <c r="R8" s="220"/>
      <c r="S8" s="220"/>
      <c r="T8" s="220"/>
    </row>
    <row r="9" spans="1:20" x14ac:dyDescent="0.25">
      <c r="A9" t="str">
        <v>DepreciationSchedule</v>
      </c>
      <c r="B9" t="str">
        <v>(Required) An array produced by Depreciateλ</v>
      </c>
      <c r="K9" s="126"/>
      <c r="L9" s="126"/>
      <c r="M9" s="220"/>
      <c r="N9" s="220"/>
      <c r="O9" s="220"/>
      <c r="P9" s="220"/>
      <c r="Q9" s="220"/>
      <c r="R9" s="220"/>
      <c r="S9" s="220"/>
      <c r="T9" s="220"/>
    </row>
    <row r="10" spans="1:20" x14ac:dyDescent="0.25">
      <c r="A10" t="str">
        <v/>
      </c>
      <c r="B10" t="str">
        <v/>
      </c>
      <c r="K10" s="126"/>
      <c r="L10" s="126"/>
      <c r="M10" s="220"/>
      <c r="N10" s="220"/>
      <c r="O10" s="220"/>
      <c r="P10" s="220"/>
      <c r="Q10" s="220"/>
      <c r="R10" s="220"/>
      <c r="S10" s="220"/>
      <c r="T10" s="220"/>
    </row>
    <row r="11" spans="1:20" x14ac:dyDescent="0.25">
      <c r="A11" t="str">
        <v>EXAMPLES:</v>
      </c>
      <c r="B11" t="str">
        <v/>
      </c>
      <c r="K11" s="126"/>
      <c r="L11" s="126"/>
      <c r="M11" s="220"/>
      <c r="N11" s="220"/>
      <c r="O11" s="220"/>
      <c r="P11" s="220"/>
      <c r="Q11" s="220"/>
      <c r="R11" s="220"/>
      <c r="S11" s="220"/>
      <c r="T11" s="220"/>
    </row>
    <row r="12" spans="1:20" x14ac:dyDescent="0.25">
      <c r="A12" t="str">
        <v>Result</v>
      </c>
      <c r="B12" t="str">
        <v>Formula (oz is assumed to be the module's name)</v>
      </c>
      <c r="K12" s="126"/>
      <c r="L12" s="126"/>
      <c r="M12" s="220"/>
      <c r="N12" s="220"/>
      <c r="O12" s="220"/>
      <c r="P12" s="220"/>
      <c r="Q12" s="220"/>
      <c r="R12" s="220"/>
      <c r="S12" s="220"/>
      <c r="T12" s="220"/>
    </row>
    <row r="13" spans="1:20" x14ac:dyDescent="0.25">
      <c r="A13" t="str">
        <v/>
      </c>
      <c r="B13" t="str">
        <v>=oz.SumDepreciateλ(DepreciationSchedule)</v>
      </c>
      <c r="K13" s="126"/>
      <c r="L13" s="126"/>
      <c r="M13" s="220"/>
      <c r="N13" s="220"/>
      <c r="O13" s="220"/>
      <c r="P13" s="220"/>
      <c r="Q13" s="220"/>
      <c r="R13" s="220"/>
      <c r="S13" s="220"/>
      <c r="T13" s="220"/>
    </row>
    <row r="15" spans="1:20" ht="21" x14ac:dyDescent="0.35">
      <c r="A15" s="203" t="s">
        <v>148</v>
      </c>
      <c r="B15" s="203"/>
      <c r="C15" s="203"/>
      <c r="J15" s="2" t="s">
        <v>165</v>
      </c>
    </row>
    <row r="17" spans="1:23" x14ac:dyDescent="0.25">
      <c r="A17" s="54" t="s">
        <v>149</v>
      </c>
      <c r="B17" s="54" t="s">
        <v>14</v>
      </c>
      <c r="C17" s="54" t="s">
        <v>15</v>
      </c>
      <c r="J17" s="83" t="s">
        <v>7</v>
      </c>
      <c r="K17" s="83" t="s">
        <v>152</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112</v>
      </c>
      <c r="B18" s="34">
        <v>46569</v>
      </c>
      <c r="C18" t="s">
        <v>21</v>
      </c>
      <c r="J18" t="s">
        <v>218</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17</v>
      </c>
      <c r="B19">
        <v>12</v>
      </c>
      <c r="C19" t="s">
        <v>22</v>
      </c>
      <c r="J19" t="s">
        <v>219</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18</v>
      </c>
      <c r="B20" t="s">
        <v>2</v>
      </c>
      <c r="J20" t="s">
        <v>220</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221</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222</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192" t="s">
        <v>171</v>
      </c>
      <c r="B23" s="193"/>
      <c r="C23" s="193"/>
      <c r="D23" s="193"/>
      <c r="E23" s="193"/>
      <c r="F23" s="193"/>
      <c r="G23" s="193"/>
      <c r="H23" s="217"/>
    </row>
    <row r="24" spans="1:23" x14ac:dyDescent="0.25">
      <c r="A24" s="213"/>
      <c r="B24" s="214"/>
      <c r="C24" s="214"/>
      <c r="D24" s="214"/>
      <c r="E24" s="214"/>
      <c r="F24" s="214"/>
      <c r="G24" s="214"/>
      <c r="H24" s="214"/>
    </row>
    <row r="25" spans="1:23" x14ac:dyDescent="0.25">
      <c r="A25" s="86" t="s">
        <v>172</v>
      </c>
      <c r="B25" s="87" t="s">
        <v>125</v>
      </c>
      <c r="C25" s="87" t="s">
        <v>173</v>
      </c>
      <c r="D25" s="87" t="s">
        <v>182</v>
      </c>
      <c r="E25" s="87" t="s">
        <v>174</v>
      </c>
      <c r="F25" s="87" t="s">
        <v>6</v>
      </c>
      <c r="G25" s="87" t="s">
        <v>183</v>
      </c>
      <c r="H25" s="86" t="s">
        <v>175</v>
      </c>
      <c r="J25" s="83" t="s">
        <v>7</v>
      </c>
      <c r="K25" s="83" t="s">
        <v>152</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179</v>
      </c>
      <c r="B26" s="88">
        <v>25000</v>
      </c>
      <c r="C26" s="13">
        <v>46204</v>
      </c>
      <c r="D26" s="88">
        <v>8</v>
      </c>
      <c r="E26" s="88">
        <v>1000</v>
      </c>
      <c r="F26" s="13"/>
      <c r="G26" s="88">
        <v>500</v>
      </c>
      <c r="H26" s="13" t="s">
        <v>176</v>
      </c>
      <c r="J26" s="85" t="str" cm="1">
        <f t="array" ref="J26:J45">oz.LabelDepreciateλ(tblAssets1112[Asset])</f>
        <v>Cutter CAPEX</v>
      </c>
      <c r="K26" s="55" cm="1">
        <f t="array" ref="K26:K45">oz.SumDepreciateλ(_xlfn.ANCHORARRAY(L26))</f>
        <v>0</v>
      </c>
      <c r="L26" s="85" cm="1">
        <f t="array" ref="L26:W45">oz.Depreciateλ(tblAssets1112[Amount],tblAssets1112[Acquired],tblAssets1112[Life],_xlfn.ANCHORARRAY(L25),tblAssets1112[Salvage],tblAssets1112[Date],tblAssets1112[Cost],tblAssets1112[Method])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180</v>
      </c>
      <c r="B27" s="88">
        <v>10000</v>
      </c>
      <c r="C27" s="13">
        <v>46661</v>
      </c>
      <c r="D27" s="88">
        <v>10</v>
      </c>
      <c r="E27" s="88">
        <v>500</v>
      </c>
      <c r="F27" s="13"/>
      <c r="G27" s="88">
        <v>100</v>
      </c>
      <c r="H27" s="13" t="s">
        <v>177</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181</v>
      </c>
      <c r="B28" s="88">
        <v>50546</v>
      </c>
      <c r="C28" s="89">
        <v>47484</v>
      </c>
      <c r="D28" s="90">
        <v>20</v>
      </c>
      <c r="E28" s="88">
        <v>1000</v>
      </c>
      <c r="F28" s="13"/>
      <c r="G28" s="88">
        <v>250</v>
      </c>
      <c r="H28" s="13" t="s">
        <v>178</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pageSetup paperSize="9" scale="50" fitToHeight="0" orientation="landscape" horizontalDpi="0" verticalDpi="0"/>
  <drawing r:id="rId1"/>
  <tableParts count="1">
    <tablePart r:id="rId2"/>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66023C"/>
    <pageSetUpPr fitToPage="1"/>
  </sheetPr>
  <dimension ref="A1:W48"/>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5" t="str">
        <f ca="1">_xlfn.TEXTAFTER(CELL("filename",A1),"]")</f>
        <v>oz.SumContainsλ</v>
      </c>
      <c r="B1" s="185"/>
      <c r="C1" s="185"/>
      <c r="D1" s="185"/>
      <c r="E1" s="185"/>
      <c r="F1" s="185"/>
      <c r="G1" s="185"/>
      <c r="H1" s="185"/>
      <c r="I1" s="185"/>
      <c r="J1" s="185"/>
      <c r="K1" s="185"/>
      <c r="L1" s="185"/>
      <c r="M1" s="185"/>
      <c r="N1" s="185"/>
      <c r="O1" s="185"/>
      <c r="P1" s="185"/>
      <c r="Q1" s="185"/>
    </row>
    <row r="2" spans="1:20" x14ac:dyDescent="0.25">
      <c r="A2" s="186" t="s">
        <v>244</v>
      </c>
      <c r="B2" s="215"/>
      <c r="C2" s="215"/>
      <c r="D2" s="215"/>
      <c r="E2" s="215"/>
      <c r="F2" s="215"/>
      <c r="G2" s="215"/>
      <c r="H2" s="215"/>
      <c r="I2" s="215"/>
      <c r="J2" s="215"/>
      <c r="K2" s="215"/>
      <c r="L2" s="215"/>
      <c r="M2" s="215"/>
      <c r="N2" s="215"/>
      <c r="O2" s="215"/>
      <c r="P2" s="215"/>
      <c r="Q2" s="216"/>
    </row>
    <row r="3" spans="1:20" x14ac:dyDescent="0.25">
      <c r="A3" s="4"/>
      <c r="B3" s="4"/>
      <c r="C3" s="4"/>
      <c r="D3" s="4"/>
      <c r="E3" s="4"/>
      <c r="F3" s="4"/>
      <c r="G3" s="4"/>
      <c r="H3" s="4"/>
      <c r="I3" s="4"/>
      <c r="J3" s="4"/>
      <c r="K3" s="4"/>
      <c r="L3" s="4"/>
      <c r="M3" s="4"/>
      <c r="N3" s="4"/>
      <c r="O3" s="4"/>
      <c r="P3" s="4"/>
      <c r="Q3" s="4"/>
    </row>
    <row r="4" spans="1:20" x14ac:dyDescent="0.25">
      <c r="A4" s="55" t="str" cm="1">
        <f t="array" ref="A4:B17">oz.SumContainsλ()</f>
        <v>FUNCTION:</v>
      </c>
      <c r="B4" t="str">
        <v>SumContainsλ(ValuesToFilter, ValueLabels, FilterByText, [IgnoreCase?])</v>
      </c>
      <c r="M4" s="220"/>
      <c r="N4" s="220"/>
      <c r="O4" s="220"/>
      <c r="P4" s="220"/>
      <c r="Q4" s="220"/>
      <c r="R4" s="220"/>
      <c r="S4" s="220"/>
      <c r="T4" s="220"/>
    </row>
    <row r="5" spans="1:20" x14ac:dyDescent="0.25">
      <c r="A5" t="str">
        <v>DESCRIPTION:</v>
      </c>
      <c r="B5" t="str">
        <v>Creates a row of column totals for each row in an array where</v>
      </c>
      <c r="M5" s="220"/>
      <c r="N5" s="220"/>
      <c r="O5" s="220"/>
      <c r="P5" s="220"/>
      <c r="Q5" s="220"/>
      <c r="R5" s="220"/>
      <c r="S5" s="220"/>
      <c r="T5" s="220"/>
    </row>
    <row r="6" spans="1:20" x14ac:dyDescent="0.25">
      <c r="A6" t="str">
        <v/>
      </c>
      <c r="B6" t="str">
        <v>its labels contain a unique letter, word, or phrase.</v>
      </c>
      <c r="M6" s="220"/>
      <c r="N6" s="220"/>
      <c r="O6" s="220"/>
      <c r="P6" s="220"/>
      <c r="Q6" s="220"/>
      <c r="R6" s="220"/>
      <c r="S6" s="220"/>
      <c r="T6" s="220"/>
    </row>
    <row r="7" spans="1:20" x14ac:dyDescent="0.25">
      <c r="A7" t="str">
        <v>SEE ALSO:</v>
      </c>
      <c r="B7" t="str">
        <v>Excel 365 now has GROUPBY and PIVOTBY for formula-driven aggregation.</v>
      </c>
      <c r="K7" s="126"/>
      <c r="L7" s="126"/>
      <c r="M7" s="220"/>
      <c r="N7" s="220"/>
      <c r="O7" s="220"/>
      <c r="P7" s="220"/>
      <c r="Q7" s="220"/>
      <c r="R7" s="220"/>
      <c r="S7" s="220"/>
      <c r="T7" s="220"/>
    </row>
    <row r="8" spans="1:20" x14ac:dyDescent="0.25">
      <c r="A8" t="str">
        <v>WEBPAGE:</v>
      </c>
      <c r="B8" t="str">
        <v>https://github.com/ryanduguid/Ozzit</v>
      </c>
      <c r="K8" s="126"/>
      <c r="L8" s="126"/>
      <c r="M8" s="220"/>
      <c r="N8" s="220"/>
      <c r="O8" s="220"/>
      <c r="P8" s="220"/>
      <c r="Q8" s="220"/>
      <c r="R8" s="220"/>
      <c r="S8" s="220"/>
      <c r="T8" s="220"/>
    </row>
    <row r="9" spans="1:20" x14ac:dyDescent="0.25">
      <c r="A9" t="str">
        <v>VERSION:</v>
      </c>
      <c r="B9" t="str">
        <v>20 Aug 2026</v>
      </c>
      <c r="K9" s="126"/>
      <c r="L9" s="126"/>
      <c r="M9" s="220"/>
      <c r="N9" s="220"/>
      <c r="O9" s="220"/>
      <c r="P9" s="220"/>
      <c r="Q9" s="220"/>
      <c r="R9" s="220"/>
      <c r="S9" s="220"/>
      <c r="T9" s="220"/>
    </row>
    <row r="10" spans="1:20" x14ac:dyDescent="0.25">
      <c r="A10" t="str">
        <v>PARAMETERS:</v>
      </c>
      <c r="B10" t="str">
        <v/>
      </c>
      <c r="K10" s="126"/>
      <c r="L10" s="126"/>
      <c r="M10" s="220"/>
      <c r="N10" s="220"/>
      <c r="O10" s="220"/>
      <c r="P10" s="220"/>
      <c r="Q10" s="220"/>
      <c r="R10" s="220"/>
      <c r="S10" s="220"/>
      <c r="T10" s="220"/>
    </row>
    <row r="11" spans="1:20" x14ac:dyDescent="0.25">
      <c r="A11" t="str">
        <v>ValuesToFilter</v>
      </c>
      <c r="B11" t="str">
        <v>(Required) An array of values to be filtered</v>
      </c>
      <c r="K11" s="126"/>
      <c r="L11" s="126"/>
      <c r="M11" s="220"/>
      <c r="N11" s="220"/>
      <c r="O11" s="220"/>
      <c r="P11" s="220"/>
      <c r="Q11" s="220"/>
      <c r="R11" s="220"/>
      <c r="S11" s="220"/>
      <c r="T11" s="220"/>
    </row>
    <row r="12" spans="1:20" x14ac:dyDescent="0.25">
      <c r="A12" t="str">
        <v>ValueLabels</v>
      </c>
      <c r="B12" t="str">
        <v>(Required) An array containing the values' labels</v>
      </c>
      <c r="K12" s="126"/>
      <c r="L12" s="126"/>
      <c r="M12" s="220"/>
      <c r="N12" s="220"/>
      <c r="O12" s="220"/>
      <c r="P12" s="220"/>
      <c r="Q12" s="220"/>
      <c r="R12" s="220"/>
      <c r="S12" s="220"/>
      <c r="T12" s="220"/>
    </row>
    <row r="13" spans="1:20" x14ac:dyDescent="0.25">
      <c r="A13" t="str">
        <v>FilterByText</v>
      </c>
      <c r="B13" t="str">
        <v>(Required) A unique letter, word or phrase to find contained in ValueLabels</v>
      </c>
      <c r="K13" s="126"/>
      <c r="L13" s="126"/>
      <c r="M13" s="220"/>
      <c r="N13" s="220"/>
      <c r="O13" s="220"/>
      <c r="P13" s="220"/>
      <c r="Q13" s="220"/>
      <c r="R13" s="220"/>
      <c r="S13" s="220"/>
      <c r="T13" s="220"/>
    </row>
    <row r="14" spans="1:20" x14ac:dyDescent="0.25">
      <c r="A14" t="str">
        <v>IgnoreCase?</v>
      </c>
      <c r="B14" t="str">
        <v>(Optional) A flag to determine if Text's case is important. Default is TRUE</v>
      </c>
      <c r="K14" s="126"/>
      <c r="L14" s="126"/>
      <c r="M14" s="127"/>
      <c r="N14" s="127"/>
      <c r="O14" s="127"/>
      <c r="P14" s="127"/>
      <c r="Q14" s="127"/>
      <c r="R14" s="127"/>
      <c r="S14" s="127"/>
      <c r="T14" s="127"/>
    </row>
    <row r="15" spans="1:20" x14ac:dyDescent="0.25">
      <c r="A15" t="str">
        <v>EXAMPLES:</v>
      </c>
      <c r="B15" t="str">
        <v/>
      </c>
      <c r="K15" s="126"/>
      <c r="L15" s="126"/>
      <c r="M15" s="127"/>
      <c r="N15" s="127"/>
      <c r="O15" s="127"/>
      <c r="P15" s="127"/>
      <c r="Q15" s="127"/>
      <c r="R15" s="127"/>
      <c r="S15" s="127"/>
      <c r="T15" s="127"/>
    </row>
    <row r="16" spans="1:20" x14ac:dyDescent="0.25">
      <c r="A16" t="str">
        <v>Result</v>
      </c>
      <c r="B16" t="str">
        <v>Formula (oz is assumed to be the module's name)</v>
      </c>
      <c r="K16" s="126"/>
      <c r="L16" s="126"/>
      <c r="M16" s="127"/>
      <c r="N16" s="127"/>
      <c r="O16" s="127"/>
      <c r="P16" s="127"/>
      <c r="Q16" s="127"/>
      <c r="R16" s="127"/>
      <c r="S16" s="127"/>
      <c r="T16" s="127"/>
    </row>
    <row r="17" spans="1:23" x14ac:dyDescent="0.25">
      <c r="A17" t="str">
        <v/>
      </c>
      <c r="B17" t="str">
        <v>=oz.SumContainsλ( Array, Labels, "CAPEX" )</v>
      </c>
    </row>
    <row r="18" spans="1:23" ht="21" x14ac:dyDescent="0.35">
      <c r="A18" s="203" t="s">
        <v>148</v>
      </c>
      <c r="B18" s="203"/>
      <c r="C18" s="203"/>
      <c r="J18" s="2" t="s">
        <v>165</v>
      </c>
    </row>
    <row r="20" spans="1:23" x14ac:dyDescent="0.25">
      <c r="A20" s="54" t="s">
        <v>149</v>
      </c>
      <c r="B20" s="54" t="s">
        <v>14</v>
      </c>
      <c r="C20" s="54" t="s">
        <v>15</v>
      </c>
      <c r="J20" s="83" t="s">
        <v>7</v>
      </c>
      <c r="K20" s="83" t="s">
        <v>152</v>
      </c>
      <c r="L20" s="1" cm="1">
        <f t="array" ref="L20:W20">oz.Timelineλ($B$21, $B$22, $B$23)</f>
        <v>46569</v>
      </c>
      <c r="M20" s="1">
        <v>46935</v>
      </c>
      <c r="N20" s="1">
        <v>47300</v>
      </c>
      <c r="O20" s="1">
        <v>47665</v>
      </c>
      <c r="P20" s="1">
        <v>48030</v>
      </c>
      <c r="Q20" s="1">
        <v>48396</v>
      </c>
      <c r="R20" s="1">
        <v>48761</v>
      </c>
      <c r="S20" s="1">
        <v>49126</v>
      </c>
      <c r="T20" s="1">
        <v>49491</v>
      </c>
      <c r="U20" s="1">
        <v>49857</v>
      </c>
      <c r="V20" s="1">
        <v>50222</v>
      </c>
      <c r="W20" s="1">
        <v>50587</v>
      </c>
    </row>
    <row r="21" spans="1:23" x14ac:dyDescent="0.25">
      <c r="A21" t="s">
        <v>112</v>
      </c>
      <c r="B21" s="34">
        <v>46569</v>
      </c>
      <c r="C21" t="s">
        <v>21</v>
      </c>
      <c r="J21" t="s">
        <v>218</v>
      </c>
      <c r="L21" s="55" cm="1">
        <f t="array" ref="L21:W21">oz.SumContainsλ(_xlfn.ANCHORARRAY($L$29),_xlfn.ANCHORARRAY($J$29),J21)</f>
        <v>10000</v>
      </c>
      <c r="M21">
        <v>0</v>
      </c>
      <c r="N21">
        <v>50546</v>
      </c>
      <c r="O21">
        <v>0</v>
      </c>
      <c r="P21">
        <v>0</v>
      </c>
      <c r="Q21">
        <v>0</v>
      </c>
      <c r="R21">
        <v>0</v>
      </c>
      <c r="S21">
        <v>0</v>
      </c>
      <c r="T21">
        <v>0</v>
      </c>
      <c r="U21">
        <v>0</v>
      </c>
      <c r="V21">
        <v>0</v>
      </c>
      <c r="W21">
        <v>0</v>
      </c>
    </row>
    <row r="22" spans="1:23" x14ac:dyDescent="0.25">
      <c r="A22" t="s">
        <v>17</v>
      </c>
      <c r="B22">
        <v>12</v>
      </c>
      <c r="C22" t="s">
        <v>22</v>
      </c>
      <c r="J22" t="s">
        <v>219</v>
      </c>
      <c r="L22" s="55" cm="1">
        <f t="array" ref="L22:W22">oz.SumContainsλ(_xlfn.ANCHORARRAY($L$29),_xlfn.ANCHORARRAY($J$29),J22)</f>
        <v>4500.03</v>
      </c>
      <c r="M22">
        <v>4699.9399999999996</v>
      </c>
      <c r="N22">
        <v>6887.380000000001</v>
      </c>
      <c r="O22">
        <v>8889.82</v>
      </c>
      <c r="P22">
        <v>8192.1400000000012</v>
      </c>
      <c r="Q22">
        <v>7585.7660000000014</v>
      </c>
      <c r="R22">
        <v>7057.6234000000013</v>
      </c>
      <c r="S22">
        <v>4596.1110599999993</v>
      </c>
      <c r="T22">
        <v>3191.9911540000012</v>
      </c>
      <c r="U22">
        <v>3267.4659986000015</v>
      </c>
      <c r="V22">
        <v>3007.2567907399966</v>
      </c>
      <c r="W22">
        <v>2067.0595596660019</v>
      </c>
    </row>
    <row r="23" spans="1:23" x14ac:dyDescent="0.25">
      <c r="A23" t="s">
        <v>18</v>
      </c>
      <c r="B23" t="s">
        <v>2</v>
      </c>
      <c r="J23" t="s">
        <v>220</v>
      </c>
      <c r="L23" s="55" cm="1">
        <f t="array" ref="L23:W23">oz.SumContainsλ(_xlfn.ANCHORARRAY($L$29),_xlfn.ANCHORARRAY($J$29),J23)</f>
        <v>27499.97</v>
      </c>
      <c r="M23">
        <v>22800.03</v>
      </c>
      <c r="N23">
        <v>66458.649999999994</v>
      </c>
      <c r="O23">
        <v>57568.829999999994</v>
      </c>
      <c r="P23">
        <v>49376.689999999995</v>
      </c>
      <c r="Q23">
        <v>41790.923999999985</v>
      </c>
      <c r="R23">
        <v>34733.300599999973</v>
      </c>
      <c r="S23">
        <v>30137.189539999978</v>
      </c>
      <c r="T23">
        <v>26945.198385999964</v>
      </c>
      <c r="U23">
        <v>23677.732387399963</v>
      </c>
      <c r="V23">
        <v>20670.47559665997</v>
      </c>
      <c r="W23">
        <v>18603.416036993964</v>
      </c>
    </row>
    <row r="24" spans="1:23" x14ac:dyDescent="0.25">
      <c r="J24" t="s">
        <v>221</v>
      </c>
      <c r="L24" s="55" cm="1">
        <f t="array" ref="L24:W24">oz.SumContainsλ(_xlfn.ANCHORARRAY($L$29),_xlfn.ANCHORARRAY($J$29),J24)</f>
        <v>0</v>
      </c>
      <c r="M24">
        <v>0</v>
      </c>
      <c r="N24">
        <v>0</v>
      </c>
      <c r="O24">
        <v>0</v>
      </c>
      <c r="P24">
        <v>0</v>
      </c>
      <c r="Q24">
        <v>0</v>
      </c>
      <c r="R24">
        <v>0</v>
      </c>
      <c r="S24">
        <v>1000</v>
      </c>
      <c r="T24">
        <v>0</v>
      </c>
      <c r="U24">
        <v>0</v>
      </c>
      <c r="V24">
        <v>500</v>
      </c>
      <c r="W24">
        <v>0</v>
      </c>
    </row>
    <row r="25" spans="1:23" x14ac:dyDescent="0.25">
      <c r="J25" t="s">
        <v>222</v>
      </c>
      <c r="L25" s="55" cm="1">
        <f t="array" ref="L25:W25">oz.SumContainsλ(_xlfn.ANCHORARRAY($L$29),_xlfn.ANCHORARRAY($J$29),J25)</f>
        <v>0</v>
      </c>
      <c r="M25">
        <v>0</v>
      </c>
      <c r="N25">
        <v>0</v>
      </c>
      <c r="O25">
        <v>0</v>
      </c>
      <c r="P25">
        <v>0</v>
      </c>
      <c r="Q25">
        <v>0</v>
      </c>
      <c r="R25">
        <v>0</v>
      </c>
      <c r="S25">
        <v>500</v>
      </c>
      <c r="T25">
        <v>0</v>
      </c>
      <c r="U25">
        <v>0</v>
      </c>
      <c r="V25">
        <v>100</v>
      </c>
      <c r="W25">
        <v>0</v>
      </c>
    </row>
    <row r="26" spans="1:23" ht="21" x14ac:dyDescent="0.35">
      <c r="A26" s="192" t="s">
        <v>171</v>
      </c>
      <c r="B26" s="193"/>
      <c r="C26" s="193"/>
      <c r="D26" s="193"/>
      <c r="E26" s="193"/>
      <c r="F26" s="193"/>
      <c r="G26" s="193"/>
      <c r="H26" s="217"/>
    </row>
    <row r="27" spans="1:23" x14ac:dyDescent="0.25">
      <c r="A27" s="213"/>
      <c r="B27" s="214"/>
      <c r="C27" s="214"/>
      <c r="D27" s="214"/>
      <c r="E27" s="214"/>
      <c r="F27" s="214"/>
      <c r="G27" s="214"/>
      <c r="H27" s="214"/>
    </row>
    <row r="28" spans="1:23" x14ac:dyDescent="0.25">
      <c r="A28" s="86" t="s">
        <v>172</v>
      </c>
      <c r="B28" s="87" t="s">
        <v>125</v>
      </c>
      <c r="C28" s="87" t="s">
        <v>173</v>
      </c>
      <c r="D28" s="87" t="s">
        <v>182</v>
      </c>
      <c r="E28" s="87" t="s">
        <v>174</v>
      </c>
      <c r="F28" s="87" t="s">
        <v>6</v>
      </c>
      <c r="G28" s="87" t="s">
        <v>183</v>
      </c>
      <c r="H28" s="86" t="s">
        <v>175</v>
      </c>
      <c r="J28" s="83" t="s">
        <v>7</v>
      </c>
      <c r="K28" s="83" t="s">
        <v>152</v>
      </c>
      <c r="L28" s="1" cm="1">
        <f t="array" ref="L28:W28">oz.Timelineλ($B$21, $B$22, $B$23)</f>
        <v>46569</v>
      </c>
      <c r="M28" s="1">
        <v>46935</v>
      </c>
      <c r="N28" s="1">
        <v>47300</v>
      </c>
      <c r="O28" s="1">
        <v>47665</v>
      </c>
      <c r="P28" s="1">
        <v>48030</v>
      </c>
      <c r="Q28" s="1">
        <v>48396</v>
      </c>
      <c r="R28" s="1">
        <v>48761</v>
      </c>
      <c r="S28" s="1">
        <v>49126</v>
      </c>
      <c r="T28" s="1">
        <v>49491</v>
      </c>
      <c r="U28" s="1">
        <v>49857</v>
      </c>
      <c r="V28" s="1">
        <v>50222</v>
      </c>
      <c r="W28" s="1">
        <v>50587</v>
      </c>
    </row>
    <row r="29" spans="1:23" x14ac:dyDescent="0.25">
      <c r="A29" t="s">
        <v>179</v>
      </c>
      <c r="B29" s="88">
        <v>25000</v>
      </c>
      <c r="C29" s="13">
        <v>46204</v>
      </c>
      <c r="D29" s="88">
        <v>8</v>
      </c>
      <c r="E29" s="88">
        <v>1000</v>
      </c>
      <c r="F29" s="13"/>
      <c r="G29" s="88">
        <v>500</v>
      </c>
      <c r="H29" s="13" t="s">
        <v>176</v>
      </c>
      <c r="J29" s="85" t="str" cm="1">
        <f t="array" ref="J29:J48">oz.LabelDepreciateλ(tblAssets111214[Asset])</f>
        <v>Cutter CAPEX</v>
      </c>
      <c r="K29" s="85" cm="1">
        <f t="array" ref="K29:K48">oz.SumDepreciateλ(_xlfn.ANCHORARRAY(L29))</f>
        <v>0</v>
      </c>
      <c r="L29" s="85" cm="1">
        <f t="array" ref="L29:W48">oz.Depreciateλ(tblAssets111214[Amount],tblAssets111214[Acquired],tblAssets111214[Life],_xlfn.ANCHORARRAY(L28),tblAssets111214[Salvage],tblAssets111214[Date],tblAssets111214[Cost],tblAssets111214[Method])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180</v>
      </c>
      <c r="B30" s="88">
        <v>10000</v>
      </c>
      <c r="C30" s="13">
        <v>46661</v>
      </c>
      <c r="D30" s="88">
        <v>10</v>
      </c>
      <c r="E30" s="88">
        <v>500</v>
      </c>
      <c r="F30" s="13"/>
      <c r="G30" s="88">
        <v>100</v>
      </c>
      <c r="H30" s="13" t="s">
        <v>177</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181</v>
      </c>
      <c r="B31" s="88">
        <v>50546</v>
      </c>
      <c r="C31" s="89">
        <v>47484</v>
      </c>
      <c r="D31" s="90">
        <v>20</v>
      </c>
      <c r="E31" s="88">
        <v>1000</v>
      </c>
      <c r="F31" s="13"/>
      <c r="G31" s="88">
        <v>250</v>
      </c>
      <c r="H31" s="13" t="s">
        <v>178</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50546</v>
      </c>
      <c r="L43">
        <v>0</v>
      </c>
      <c r="M43">
        <v>0</v>
      </c>
      <c r="N43">
        <v>50546</v>
      </c>
      <c r="O43">
        <v>0</v>
      </c>
      <c r="P43">
        <v>0</v>
      </c>
      <c r="Q43">
        <v>0</v>
      </c>
      <c r="R43">
        <v>0</v>
      </c>
      <c r="S43">
        <v>0</v>
      </c>
      <c r="T43">
        <v>0</v>
      </c>
      <c r="U43">
        <v>0</v>
      </c>
      <c r="V43">
        <v>0</v>
      </c>
      <c r="W43">
        <v>0</v>
      </c>
    </row>
    <row r="44" spans="10:23" x14ac:dyDescent="0.25">
      <c r="J44" t="str">
        <v>CNC Opening Value</v>
      </c>
      <c r="K44">
        <v>0</v>
      </c>
      <c r="L44">
        <v>0</v>
      </c>
      <c r="M44">
        <v>0</v>
      </c>
      <c r="N44">
        <v>50546</v>
      </c>
      <c r="O44">
        <v>48018.679999999993</v>
      </c>
      <c r="P44">
        <v>43216.799999999996</v>
      </c>
      <c r="Q44">
        <v>38895.119999999988</v>
      </c>
      <c r="R44">
        <v>35005.61399999998</v>
      </c>
      <c r="S44">
        <v>31505.070599999977</v>
      </c>
      <c r="T44">
        <v>28354.587539999968</v>
      </c>
      <c r="U44">
        <v>25519.11678599997</v>
      </c>
      <c r="V44">
        <v>22967.175107399969</v>
      </c>
      <c r="W44">
        <v>20670.475596659966</v>
      </c>
    </row>
    <row r="45" spans="10:23" x14ac:dyDescent="0.25">
      <c r="J45" t="str">
        <v>CNC Depreciation</v>
      </c>
      <c r="K45">
        <v>31942.583963006007</v>
      </c>
      <c r="L45">
        <v>0</v>
      </c>
      <c r="M45">
        <v>0</v>
      </c>
      <c r="N45">
        <v>2527.3200000000006</v>
      </c>
      <c r="O45">
        <v>4801.8799999999992</v>
      </c>
      <c r="P45">
        <v>4321.6800000000012</v>
      </c>
      <c r="Q45">
        <v>3889.5060000000012</v>
      </c>
      <c r="R45">
        <v>3500.5434000000009</v>
      </c>
      <c r="S45">
        <v>3150.4830599999996</v>
      </c>
      <c r="T45">
        <v>2835.4707540000009</v>
      </c>
      <c r="U45">
        <v>2551.9416786000011</v>
      </c>
      <c r="V45">
        <v>2296.6995107400007</v>
      </c>
      <c r="W45">
        <v>2067.0595596660019</v>
      </c>
    </row>
    <row r="46" spans="10:23" x14ac:dyDescent="0.25">
      <c r="J46" t="str">
        <v>CNC Book Value</v>
      </c>
      <c r="K46">
        <v>0</v>
      </c>
      <c r="L46">
        <v>0</v>
      </c>
      <c r="M46">
        <v>0</v>
      </c>
      <c r="N46">
        <v>48018.68</v>
      </c>
      <c r="O46">
        <v>43216.799999999996</v>
      </c>
      <c r="P46">
        <v>38895.119999999995</v>
      </c>
      <c r="Q46">
        <v>35005.613999999987</v>
      </c>
      <c r="R46">
        <v>31505.070599999977</v>
      </c>
      <c r="S46">
        <v>28354.587539999979</v>
      </c>
      <c r="T46">
        <v>25519.116785999966</v>
      </c>
      <c r="U46">
        <v>22967.175107399969</v>
      </c>
      <c r="V46">
        <v>20670.47559665997</v>
      </c>
      <c r="W46">
        <v>18603.416036993964</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pageSetup paperSize="9" scale="52" fitToHeight="0" orientation="landscape" horizontalDpi="0" verticalDpi="0"/>
  <drawing r:id="rId1"/>
  <tableParts count="1">
    <tablePart r:id="rId2"/>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66023C"/>
    <pageSetUpPr fitToPage="1"/>
  </sheetPr>
  <dimension ref="A1:U39"/>
  <sheetViews>
    <sheetView showGridLines="0" workbookViewId="0">
      <selection sqref="A1:P1"/>
    </sheetView>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6.5" x14ac:dyDescent="0.7">
      <c r="A1" s="185" t="str">
        <f ca="1">_xlfn.TEXTAFTER(CELL("filename",A1),"]")</f>
        <v>oz.IntOnIntλ</v>
      </c>
      <c r="B1" s="185"/>
      <c r="C1" s="185"/>
      <c r="D1" s="185"/>
      <c r="E1" s="185"/>
      <c r="F1" s="185"/>
      <c r="G1" s="185"/>
      <c r="H1" s="185"/>
      <c r="I1" s="185"/>
      <c r="J1" s="185"/>
      <c r="K1" s="185"/>
      <c r="L1" s="185"/>
      <c r="M1" s="185"/>
      <c r="N1" s="185"/>
      <c r="O1" s="185"/>
      <c r="P1" s="185"/>
    </row>
    <row r="2" spans="1:17" x14ac:dyDescent="0.25">
      <c r="A2" s="186" t="s">
        <v>85</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c r="O3" s="4"/>
      <c r="P3" s="4"/>
    </row>
    <row r="4" spans="1:17" x14ac:dyDescent="0.25">
      <c r="A4" s="55" t="str" cm="1">
        <f t="array" ref="A4:B14">oz.IntOnIntλ()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https://github.com/ryanduguid/Ozzit</v>
      </c>
    </row>
    <row r="8" spans="1:17" x14ac:dyDescent="0.25">
      <c r="A8" t="str">
        <v>VERSION:</v>
      </c>
      <c r="B8" t="str">
        <v>20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(oz is assumed to be the module's name)</v>
      </c>
    </row>
    <row r="14" spans="1:17" x14ac:dyDescent="0.25">
      <c r="A14" t="str">
        <v>52.63</v>
      </c>
      <c r="B14" t="str">
        <v>=oz.IntOnIntλ( 1000, 5%)</v>
      </c>
    </row>
    <row r="17" spans="1:21" ht="21" x14ac:dyDescent="0.35">
      <c r="A17" s="203" t="s">
        <v>148</v>
      </c>
      <c r="B17" s="203"/>
      <c r="C17" s="203"/>
    </row>
    <row r="18" spans="1:21" x14ac:dyDescent="0.25">
      <c r="I18" s="84" t="s">
        <v>155</v>
      </c>
      <c r="J18" s="58" cm="1">
        <f t="array" ref="J18:U18">oz.Timelineλ($B$20, $B$21, $B$22, FALSE)</f>
        <v>46568</v>
      </c>
      <c r="K18" s="58">
        <v>46934</v>
      </c>
      <c r="L18" s="58">
        <v>47299</v>
      </c>
      <c r="M18" s="58">
        <v>47664</v>
      </c>
      <c r="N18" s="58">
        <v>48029</v>
      </c>
      <c r="O18" s="58">
        <v>48395</v>
      </c>
      <c r="P18" s="58">
        <v>48760</v>
      </c>
      <c r="Q18" s="58">
        <v>49125</v>
      </c>
      <c r="R18" s="58">
        <v>49490</v>
      </c>
      <c r="S18" s="58">
        <v>49856</v>
      </c>
      <c r="T18" s="58">
        <v>50221</v>
      </c>
      <c r="U18" s="58">
        <v>50586</v>
      </c>
    </row>
    <row r="19" spans="1:21" x14ac:dyDescent="0.25">
      <c r="A19" s="54" t="s">
        <v>149</v>
      </c>
      <c r="B19" s="54" t="s">
        <v>14</v>
      </c>
      <c r="C19" s="54" t="s">
        <v>15</v>
      </c>
      <c r="F19" s="92" t="s">
        <v>134</v>
      </c>
      <c r="G19" s="93" t="s">
        <v>14</v>
      </c>
      <c r="H19" s="92" t="s">
        <v>15</v>
      </c>
      <c r="I19" s="83" t="s">
        <v>152</v>
      </c>
      <c r="J19" s="1" cm="1">
        <f t="array" ref="J19:U19">oz.Timelineλ($B$20, $B$21, $B$22)</f>
        <v>46204</v>
      </c>
      <c r="K19" s="1">
        <v>46569</v>
      </c>
      <c r="L19" s="1">
        <v>46935</v>
      </c>
      <c r="M19" s="1">
        <v>47300</v>
      </c>
      <c r="N19" s="1">
        <v>47665</v>
      </c>
      <c r="O19" s="1">
        <v>48030</v>
      </c>
      <c r="P19" s="1">
        <v>48396</v>
      </c>
      <c r="Q19" s="1">
        <v>48761</v>
      </c>
      <c r="R19" s="1">
        <v>49126</v>
      </c>
      <c r="S19" s="1">
        <v>49491</v>
      </c>
      <c r="T19" s="1">
        <v>49857</v>
      </c>
      <c r="U19" s="1">
        <v>50222</v>
      </c>
    </row>
    <row r="20" spans="1:21" x14ac:dyDescent="0.25">
      <c r="A20" t="s">
        <v>112</v>
      </c>
      <c r="B20" s="34">
        <v>46204</v>
      </c>
      <c r="C20" t="s">
        <v>21</v>
      </c>
      <c r="F20" s="2" t="s">
        <v>186</v>
      </c>
    </row>
    <row r="21" spans="1:21" x14ac:dyDescent="0.25">
      <c r="A21" t="s">
        <v>17</v>
      </c>
      <c r="B21">
        <v>12</v>
      </c>
      <c r="C21" t="s">
        <v>22</v>
      </c>
      <c r="F21" s="14" t="s">
        <v>112</v>
      </c>
      <c r="G21" s="34">
        <f>_xlfn.XLOOKUP(F20, tblPhases[Description], tblPhases[Start])</f>
        <v>46204</v>
      </c>
      <c r="H21" t="s">
        <v>6</v>
      </c>
    </row>
    <row r="22" spans="1:21" x14ac:dyDescent="0.25">
      <c r="A22" t="s">
        <v>18</v>
      </c>
      <c r="B22" t="s">
        <v>2</v>
      </c>
      <c r="F22" s="14" t="s">
        <v>162</v>
      </c>
      <c r="G22" s="91">
        <f>_xlfn.XLOOKUP(F20, tblPhases[Description], tblPhases[APR])</f>
        <v>7.0000000000000007E-2</v>
      </c>
      <c r="H22" t="s">
        <v>133</v>
      </c>
    </row>
    <row r="23" spans="1:21" x14ac:dyDescent="0.25">
      <c r="F23" s="14" t="s">
        <v>161</v>
      </c>
      <c r="G23">
        <f>_xlfn.XLOOKUP(F20,tblPhases[Description],tblPhases[Principal])</f>
        <v>50546</v>
      </c>
      <c r="H23" t="s">
        <v>37</v>
      </c>
      <c r="J23" cm="1">
        <f t="array" ref="J23:U23">oz.IsBetweenλ(G21,_xlfn.ANCHORARRAY( $J$19),_xlfn.ANCHORARRAY( $J$18), TRUE) * G23</f>
        <v>50546</v>
      </c>
      <c r="K23">
        <v>0</v>
      </c>
      <c r="L23">
        <v>0</v>
      </c>
      <c r="M23">
        <v>0</v>
      </c>
      <c r="N23">
        <v>0</v>
      </c>
      <c r="O23">
        <v>0</v>
      </c>
      <c r="P23">
        <v>0</v>
      </c>
      <c r="Q23">
        <v>0</v>
      </c>
      <c r="R23">
        <v>0</v>
      </c>
      <c r="S23">
        <v>0</v>
      </c>
      <c r="T23">
        <v>0</v>
      </c>
      <c r="U23">
        <v>0</v>
      </c>
    </row>
    <row r="24" spans="1:21" x14ac:dyDescent="0.25">
      <c r="A24" s="221"/>
      <c r="B24" s="221"/>
      <c r="C24" s="221"/>
      <c r="D24" s="221"/>
      <c r="F24" s="14" t="s">
        <v>189</v>
      </c>
      <c r="J24" s="55" cm="1">
        <f t="array" ref="J24:U24">oz.IntOnIntλ(_xlfn.ANCHORARRAY(J23),G22)</f>
        <v>3804.5376344086035</v>
      </c>
      <c r="K24">
        <v>0</v>
      </c>
      <c r="L24">
        <v>0</v>
      </c>
      <c r="M24">
        <v>0</v>
      </c>
      <c r="N24">
        <v>0</v>
      </c>
      <c r="O24">
        <v>0</v>
      </c>
      <c r="P24">
        <v>0</v>
      </c>
      <c r="Q24">
        <v>0</v>
      </c>
      <c r="R24">
        <v>0</v>
      </c>
      <c r="S24">
        <v>0</v>
      </c>
      <c r="T24">
        <v>0</v>
      </c>
      <c r="U24">
        <v>0</v>
      </c>
    </row>
    <row r="25" spans="1:21" ht="21" x14ac:dyDescent="0.35">
      <c r="A25" s="200" t="s">
        <v>191</v>
      </c>
      <c r="B25" s="204"/>
      <c r="C25" s="204"/>
      <c r="D25" s="204"/>
      <c r="F25" s="2" t="s">
        <v>190</v>
      </c>
      <c r="J25" s="60" cm="1">
        <f t="array" ref="J25:U25">_xlfn.ANCHORARRAY(J23)+_xlfn.ANCHORARRAY(J24)</f>
        <v>54350.537634408603</v>
      </c>
      <c r="K25" s="60">
        <v>0</v>
      </c>
      <c r="L25" s="60">
        <v>0</v>
      </c>
      <c r="M25" s="60">
        <v>0</v>
      </c>
      <c r="N25" s="60">
        <v>0</v>
      </c>
      <c r="O25" s="60">
        <v>0</v>
      </c>
      <c r="P25" s="60">
        <v>0</v>
      </c>
      <c r="Q25" s="60">
        <v>0</v>
      </c>
      <c r="R25" s="60">
        <v>0</v>
      </c>
      <c r="S25" s="60">
        <v>0</v>
      </c>
      <c r="T25" s="60">
        <v>0</v>
      </c>
      <c r="U25" s="60">
        <v>0</v>
      </c>
    </row>
    <row r="26" spans="1:21" x14ac:dyDescent="0.25">
      <c r="A26" s="202"/>
      <c r="B26" s="201"/>
      <c r="C26" s="201"/>
      <c r="D26" s="201"/>
    </row>
    <row r="27" spans="1:21" x14ac:dyDescent="0.25">
      <c r="A27" s="65" t="s">
        <v>7</v>
      </c>
      <c r="B27" s="66" t="s">
        <v>161</v>
      </c>
      <c r="C27" s="66" t="s">
        <v>112</v>
      </c>
      <c r="D27" s="66" t="s">
        <v>162</v>
      </c>
      <c r="F27" s="2" t="s">
        <v>187</v>
      </c>
    </row>
    <row r="28" spans="1:21" x14ac:dyDescent="0.25">
      <c r="A28" s="70" t="s">
        <v>186</v>
      </c>
      <c r="B28" s="71">
        <v>50546</v>
      </c>
      <c r="C28" s="74">
        <v>46204</v>
      </c>
      <c r="D28" s="72">
        <v>7.0000000000000007E-2</v>
      </c>
      <c r="F28" s="14" t="s">
        <v>112</v>
      </c>
      <c r="G28" s="34">
        <f>_xlfn.XLOOKUP(F27,tblPhases[Description],tblPhases[Start])</f>
        <v>46569</v>
      </c>
      <c r="H28" t="s">
        <v>6</v>
      </c>
    </row>
    <row r="29" spans="1:21" x14ac:dyDescent="0.25">
      <c r="A29" s="70" t="s">
        <v>187</v>
      </c>
      <c r="B29" s="71">
        <v>500000</v>
      </c>
      <c r="C29" s="74">
        <v>46569</v>
      </c>
      <c r="D29" s="72">
        <v>6.5000000000000002E-2</v>
      </c>
      <c r="F29" s="14" t="s">
        <v>162</v>
      </c>
      <c r="G29" s="91">
        <f>_xlfn.XLOOKUP(F27,tblPhases[Description],tblPhases[APR])</f>
        <v>6.5000000000000002E-2</v>
      </c>
      <c r="H29" t="s">
        <v>133</v>
      </c>
    </row>
    <row r="30" spans="1:21" x14ac:dyDescent="0.25">
      <c r="A30" s="70" t="s">
        <v>188</v>
      </c>
      <c r="B30" s="71">
        <v>450000</v>
      </c>
      <c r="C30" s="74">
        <v>46935</v>
      </c>
      <c r="D30" s="72">
        <v>0.08</v>
      </c>
      <c r="F30" s="14" t="s">
        <v>161</v>
      </c>
      <c r="G30">
        <f>_xlfn.XLOOKUP(F27,tblPhases[Description],tblPhases[Principal])</f>
        <v>500000</v>
      </c>
      <c r="H30" t="s">
        <v>37</v>
      </c>
      <c r="J30" cm="1">
        <f t="array" ref="J30:U30">oz.IsBetweenλ(G28,_xlfn.ANCHORARRAY( $J$19),_xlfn.ANCHORARRAY( $J$18), TRUE) * G30</f>
        <v>0</v>
      </c>
      <c r="K30">
        <v>500000</v>
      </c>
      <c r="L30">
        <v>0</v>
      </c>
      <c r="M30">
        <v>0</v>
      </c>
      <c r="N30">
        <v>0</v>
      </c>
      <c r="O30">
        <v>0</v>
      </c>
      <c r="P30">
        <v>0</v>
      </c>
      <c r="Q30">
        <v>0</v>
      </c>
      <c r="R30">
        <v>0</v>
      </c>
      <c r="S30">
        <v>0</v>
      </c>
      <c r="T30">
        <v>0</v>
      </c>
      <c r="U30">
        <v>0</v>
      </c>
    </row>
    <row r="31" spans="1:21" x14ac:dyDescent="0.25">
      <c r="F31" s="14" t="s">
        <v>189</v>
      </c>
      <c r="J31" s="55" cm="1">
        <f t="array" ref="J31:U31">oz.IntOnIntλ(_xlfn.ANCHORARRAY(J30),G29)</f>
        <v>0</v>
      </c>
      <c r="K31">
        <v>34759.358288770076</v>
      </c>
      <c r="L31">
        <v>0</v>
      </c>
      <c r="M31">
        <v>0</v>
      </c>
      <c r="N31">
        <v>0</v>
      </c>
      <c r="O31">
        <v>0</v>
      </c>
      <c r="P31">
        <v>0</v>
      </c>
      <c r="Q31">
        <v>0</v>
      </c>
      <c r="R31">
        <v>0</v>
      </c>
      <c r="S31">
        <v>0</v>
      </c>
      <c r="T31">
        <v>0</v>
      </c>
      <c r="U31">
        <v>0</v>
      </c>
    </row>
    <row r="32" spans="1:21" x14ac:dyDescent="0.25">
      <c r="F32" s="2" t="s">
        <v>190</v>
      </c>
      <c r="J32" s="60" cm="1">
        <f t="array" ref="J32:U32">_xlfn.ANCHORARRAY(J30)+_xlfn.ANCHORARRAY(J31)</f>
        <v>0</v>
      </c>
      <c r="K32" s="60">
        <v>534759.35828877008</v>
      </c>
      <c r="L32" s="60">
        <v>0</v>
      </c>
      <c r="M32" s="60">
        <v>0</v>
      </c>
      <c r="N32" s="60">
        <v>0</v>
      </c>
      <c r="O32" s="60">
        <v>0</v>
      </c>
      <c r="P32" s="60">
        <v>0</v>
      </c>
      <c r="Q32" s="60">
        <v>0</v>
      </c>
      <c r="R32" s="60">
        <v>0</v>
      </c>
      <c r="S32" s="60">
        <v>0</v>
      </c>
      <c r="T32" s="60">
        <v>0</v>
      </c>
      <c r="U32" s="60">
        <v>0</v>
      </c>
    </row>
    <row r="34" spans="6:21" x14ac:dyDescent="0.25">
      <c r="F34" s="2" t="s">
        <v>188</v>
      </c>
    </row>
    <row r="35" spans="6:21" x14ac:dyDescent="0.25">
      <c r="F35" s="14" t="s">
        <v>112</v>
      </c>
      <c r="G35" s="34">
        <f>_xlfn.XLOOKUP(F34,tblPhases[Description],tblPhases[Start])</f>
        <v>46935</v>
      </c>
      <c r="H35" t="s">
        <v>6</v>
      </c>
    </row>
    <row r="36" spans="6:21" x14ac:dyDescent="0.25">
      <c r="F36" s="14" t="s">
        <v>162</v>
      </c>
      <c r="G36" s="91">
        <f>_xlfn.XLOOKUP(F34,tblPhases[Description],tblPhases[APR])</f>
        <v>0.08</v>
      </c>
      <c r="H36" t="s">
        <v>133</v>
      </c>
    </row>
    <row r="37" spans="6:21" x14ac:dyDescent="0.25">
      <c r="F37" s="14" t="s">
        <v>161</v>
      </c>
      <c r="G37">
        <f>_xlfn.XLOOKUP(F34,tblPhases[Description],tblPhases[Principal])</f>
        <v>450000</v>
      </c>
      <c r="H37" t="s">
        <v>37</v>
      </c>
      <c r="J37" cm="1">
        <f t="array" ref="J37:U37">oz.IsBetweenλ(G35,_xlfn.ANCHORARRAY( $J$19),_xlfn.ANCHORARRAY( $J$18), TRUE) * G37</f>
        <v>0</v>
      </c>
      <c r="K37">
        <v>0</v>
      </c>
      <c r="L37">
        <v>450000</v>
      </c>
      <c r="M37">
        <v>0</v>
      </c>
      <c r="N37">
        <v>0</v>
      </c>
      <c r="O37">
        <v>0</v>
      </c>
      <c r="P37">
        <v>0</v>
      </c>
      <c r="Q37">
        <v>0</v>
      </c>
      <c r="R37">
        <v>0</v>
      </c>
      <c r="S37">
        <v>0</v>
      </c>
      <c r="T37">
        <v>0</v>
      </c>
      <c r="U37">
        <v>0</v>
      </c>
    </row>
    <row r="38" spans="6:21" x14ac:dyDescent="0.25">
      <c r="F38" s="14" t="s">
        <v>189</v>
      </c>
      <c r="J38" s="55" cm="1">
        <f t="array" ref="J38:U38">oz.IntOnIntλ(_xlfn.ANCHORARRAY(J37),G36)</f>
        <v>0</v>
      </c>
      <c r="K38">
        <v>0</v>
      </c>
      <c r="L38">
        <v>39130.434782608703</v>
      </c>
      <c r="M38">
        <v>0</v>
      </c>
      <c r="N38">
        <v>0</v>
      </c>
      <c r="O38">
        <v>0</v>
      </c>
      <c r="P38">
        <v>0</v>
      </c>
      <c r="Q38">
        <v>0</v>
      </c>
      <c r="R38">
        <v>0</v>
      </c>
      <c r="S38">
        <v>0</v>
      </c>
      <c r="T38">
        <v>0</v>
      </c>
      <c r="U38">
        <v>0</v>
      </c>
    </row>
    <row r="39" spans="6:21" x14ac:dyDescent="0.25">
      <c r="F39" s="2" t="s">
        <v>190</v>
      </c>
      <c r="J39" s="60" cm="1">
        <f t="array" ref="J39:U39">_xlfn.ANCHORARRAY(J37)+_xlfn.ANCHORARRAY(J38)</f>
        <v>0</v>
      </c>
      <c r="K39" s="60">
        <v>0</v>
      </c>
      <c r="L39" s="60">
        <v>489130.4347826087</v>
      </c>
      <c r="M39" s="60">
        <v>0</v>
      </c>
      <c r="N39" s="60">
        <v>0</v>
      </c>
      <c r="O39" s="60">
        <v>0</v>
      </c>
      <c r="P39" s="60">
        <v>0</v>
      </c>
      <c r="Q39" s="60">
        <v>0</v>
      </c>
      <c r="R39" s="60">
        <v>0</v>
      </c>
      <c r="S39" s="60">
        <v>0</v>
      </c>
      <c r="T39" s="60">
        <v>0</v>
      </c>
      <c r="U39" s="60">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pageSetup paperSize="9" scale="54" fitToHeight="0" orientation="landscape" horizontalDpi="0" verticalDpi="0"/>
  <drawing r:id="rId1"/>
  <tableParts count="1">
    <tablePart r:id="rId2"/>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66023C"/>
    <pageSetUpPr fitToPage="1"/>
  </sheetPr>
  <dimension ref="A1:R28"/>
  <sheetViews>
    <sheetView showGridLines="0" workbookViewId="0">
      <selection sqref="A1:J1"/>
    </sheetView>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6.5" x14ac:dyDescent="0.7">
      <c r="A1" s="185" t="str">
        <f ca="1">_xlfn.TEXTAFTER(CELL("filename",A1),"]")</f>
        <v>oz.IRRλ</v>
      </c>
      <c r="B1" s="185"/>
      <c r="C1" s="185"/>
      <c r="D1" s="185"/>
      <c r="E1" s="185"/>
      <c r="F1" s="185"/>
      <c r="G1" s="185"/>
      <c r="H1" s="185"/>
      <c r="I1" s="185"/>
      <c r="J1" s="185"/>
    </row>
    <row r="2" spans="1:18" x14ac:dyDescent="0.25">
      <c r="A2" s="186" t="s">
        <v>86</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row>
    <row r="4" spans="1:18" x14ac:dyDescent="0.25">
      <c r="A4" s="55" t="str" cm="1">
        <f t="array" ref="A4:B21">oz.IRRλ()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https://github.com/ryanduguid/Ozzit</v>
      </c>
    </row>
    <row r="7" spans="1:18" x14ac:dyDescent="0.25">
      <c r="A7" t="str">
        <v>VERSION:</v>
      </c>
      <c r="B7" t="str">
        <v>20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(oz is assumed to be the module's name)</v>
      </c>
    </row>
    <row r="17" spans="1:17" x14ac:dyDescent="0.25">
      <c r="A17" t="str">
        <v>Dates</v>
      </c>
      <c r="B17" t="str">
        <v>=EDATE("1/7/2026",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25%</v>
      </c>
      <c r="B21" t="str">
        <v>=oz.IRRλ( Values, Dates)</v>
      </c>
    </row>
    <row r="23" spans="1:17" ht="21" x14ac:dyDescent="0.35">
      <c r="A23" s="203" t="s">
        <v>148</v>
      </c>
      <c r="B23" s="203"/>
      <c r="C23" s="203"/>
    </row>
    <row r="25" spans="1:17" x14ac:dyDescent="0.25">
      <c r="A25" s="54" t="s">
        <v>149</v>
      </c>
      <c r="B25" s="54" t="s">
        <v>14</v>
      </c>
      <c r="C25" s="54" t="s">
        <v>15</v>
      </c>
      <c r="E25" s="83" t="s">
        <v>192</v>
      </c>
      <c r="F25" s="1" cm="1">
        <f t="array" ref="F25:Q25">oz.Timelineλ($B$26, $B$27, $B$28)</f>
        <v>46204</v>
      </c>
      <c r="G25" s="1">
        <v>46569</v>
      </c>
      <c r="H25" s="1">
        <v>46935</v>
      </c>
      <c r="I25" s="1">
        <v>47300</v>
      </c>
      <c r="J25" s="1">
        <v>47665</v>
      </c>
      <c r="K25" s="1">
        <v>48030</v>
      </c>
      <c r="L25" s="1">
        <v>48396</v>
      </c>
      <c r="M25" s="1">
        <v>48761</v>
      </c>
      <c r="N25" s="1">
        <v>49126</v>
      </c>
      <c r="O25" s="1">
        <v>49491</v>
      </c>
      <c r="P25" s="1">
        <v>49857</v>
      </c>
      <c r="Q25" s="1">
        <v>50222</v>
      </c>
    </row>
    <row r="26" spans="1:17" x14ac:dyDescent="0.25">
      <c r="A26" t="s">
        <v>112</v>
      </c>
      <c r="B26" s="34">
        <v>46204</v>
      </c>
      <c r="C26" t="s">
        <v>21</v>
      </c>
      <c r="E26" s="94" cm="1">
        <f t="array" ref="E26">oz.IRRλ(_xlfn.ANCHORARRAY(F26),_xlfn.ANCHORARRAY( F25))</f>
        <v>0.23169315457344056</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17</v>
      </c>
      <c r="B27">
        <v>12</v>
      </c>
      <c r="C27" t="s">
        <v>22</v>
      </c>
    </row>
    <row r="28" spans="1:17" x14ac:dyDescent="0.25">
      <c r="A28" t="s">
        <v>18</v>
      </c>
      <c r="B28" t="s">
        <v>2</v>
      </c>
    </row>
  </sheetData>
  <mergeCells count="3">
    <mergeCell ref="A1:J1"/>
    <mergeCell ref="A23:C23"/>
    <mergeCell ref="A2:R2"/>
  </mergeCells>
  <hyperlinks>
    <hyperlink ref="A1" location="'TOC'!$A$1" display="'TOC'!$A$1" xr:uid="{0DEF40C9-B061-4D8B-9DEE-A6673FD6E617}"/>
  </hyperlinks>
  <pageMargins left="0.7" right="0.7" top="0.75" bottom="0.75" header="0.3" footer="0.3"/>
  <pageSetup paperSize="9" scale="67" fitToHeight="0" orientation="landscape" horizontalDpi="0" verticalDpi="0"/>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66023C"/>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185" t="str">
        <f ca="1">_xlfn.TEXTAFTER(CELL("filename",A1),"]")</f>
        <v>oz.Reversalλ</v>
      </c>
      <c r="B1" s="185"/>
      <c r="C1" s="185"/>
      <c r="D1" s="185"/>
      <c r="E1" s="185"/>
      <c r="F1" s="185"/>
      <c r="G1" s="185"/>
      <c r="H1" s="185"/>
      <c r="I1" s="185"/>
      <c r="J1" s="185"/>
      <c r="K1" s="185"/>
      <c r="L1" s="185"/>
      <c r="M1" s="185"/>
      <c r="N1" s="185"/>
      <c r="O1" s="185"/>
      <c r="P1" s="185"/>
    </row>
    <row r="2" spans="1:18" x14ac:dyDescent="0.25">
      <c r="A2" s="186" t="s">
        <v>300</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3">oz.Reversalλ()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(oz is assumed to be the module's name)</v>
      </c>
    </row>
    <row r="13" spans="1:18" x14ac:dyDescent="0.25">
      <c r="A13" t="str">
        <v>0,-100,-110</v>
      </c>
      <c r="B13" t="str">
        <v>=oz.Reversalλ( , {100,110,130})</v>
      </c>
    </row>
    <row r="17" spans="1:19" ht="21" x14ac:dyDescent="0.35">
      <c r="A17" s="203" t="s">
        <v>148</v>
      </c>
      <c r="B17" s="203"/>
      <c r="C17" s="203"/>
    </row>
    <row r="19" spans="1:19" x14ac:dyDescent="0.25">
      <c r="A19" s="54" t="s">
        <v>149</v>
      </c>
      <c r="B19" s="54" t="s">
        <v>14</v>
      </c>
      <c r="C19" s="54" t="s">
        <v>15</v>
      </c>
      <c r="F19" s="54" t="s">
        <v>7</v>
      </c>
      <c r="G19" s="48" t="s">
        <v>152</v>
      </c>
      <c r="H19" s="49"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112</v>
      </c>
      <c r="B20" s="124">
        <v>46204</v>
      </c>
      <c r="C20" t="s">
        <v>21</v>
      </c>
      <c r="F20" t="s">
        <v>5</v>
      </c>
      <c r="G20" cm="1">
        <f t="array" ref="G20">oz.SumRowsλ(_xlfn.ANCHORARRAY(H20))</f>
        <v>2298</v>
      </c>
      <c r="H20" s="85"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17</v>
      </c>
      <c r="B21" s="125">
        <v>12</v>
      </c>
      <c r="C21" t="s">
        <v>22</v>
      </c>
      <c r="F21" s="2" t="s">
        <v>301</v>
      </c>
      <c r="G21" cm="1">
        <f t="array" ref="G21">oz.SumRowsλ(_xlfn.ANCHORARRAY(H21))</f>
        <v>-2035</v>
      </c>
      <c r="H21" s="55" cm="1">
        <f t="array" ref="H21:S21">oz.Reversalλ( ,_xlfn.ANCHORARRAY( H20))</f>
        <v>0</v>
      </c>
      <c r="I21">
        <v>-120</v>
      </c>
      <c r="J21">
        <v>-133</v>
      </c>
      <c r="K21">
        <v>-146</v>
      </c>
      <c r="L21">
        <v>-159</v>
      </c>
      <c r="M21">
        <v>-172</v>
      </c>
      <c r="N21">
        <v>-185</v>
      </c>
      <c r="O21">
        <v>-198</v>
      </c>
      <c r="P21">
        <v>-211</v>
      </c>
      <c r="Q21">
        <v>-224</v>
      </c>
      <c r="R21">
        <v>-237</v>
      </c>
      <c r="S21">
        <v>-250</v>
      </c>
    </row>
    <row r="22" spans="1:19" x14ac:dyDescent="0.25">
      <c r="A22" t="s">
        <v>18</v>
      </c>
      <c r="B22" s="125" t="s">
        <v>20</v>
      </c>
    </row>
  </sheetData>
  <mergeCells count="3">
    <mergeCell ref="A1:P1"/>
    <mergeCell ref="A2:R2"/>
    <mergeCell ref="A17:C17"/>
  </mergeCells>
  <hyperlinks>
    <hyperlink ref="A1" location="'TOC'!$A$1" display="'TOC'!$A$1" xr:uid="{3E86717D-F46F-4A77-9743-81160AA2972C}"/>
  </hyperlinks>
  <pageMargins left="0.7" right="0.7" top="0.75" bottom="0.75" header="0.3" footer="0.3"/>
  <pageSetup paperSize="9" scale="63" fitToHeight="0" orientation="landscape" horizontalDpi="0" verticalDpi="0"/>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66023C"/>
    <pageSetUpPr fitToPage="1"/>
  </sheetPr>
  <dimension ref="A1:R20"/>
  <sheetViews>
    <sheetView showGridLines="0" workbookViewId="0">
      <selection sqref="A1:P1"/>
    </sheetView>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185" t="str">
        <f ca="1">_xlfn.TEXTAFTER(CELL("filename",A1),"]")</f>
        <v>oz.Movementλ</v>
      </c>
      <c r="B1" s="185"/>
      <c r="C1" s="185"/>
      <c r="D1" s="185"/>
      <c r="E1" s="185"/>
      <c r="F1" s="185"/>
      <c r="G1" s="185"/>
      <c r="H1" s="185"/>
      <c r="I1" s="185"/>
      <c r="J1" s="185"/>
      <c r="K1" s="185"/>
      <c r="L1" s="185"/>
      <c r="M1" s="185"/>
      <c r="N1" s="185"/>
      <c r="O1" s="185"/>
      <c r="P1" s="185"/>
    </row>
    <row r="2" spans="1:16" x14ac:dyDescent="0.25">
      <c r="A2" s="186" t="s">
        <v>87</v>
      </c>
      <c r="B2" s="187"/>
      <c r="C2" s="187"/>
      <c r="D2" s="187"/>
      <c r="E2" s="187"/>
      <c r="F2" s="187"/>
      <c r="G2" s="187"/>
      <c r="H2" s="187"/>
      <c r="I2" s="187"/>
      <c r="J2" s="187"/>
      <c r="K2" s="187"/>
      <c r="L2" s="187"/>
      <c r="M2" s="187"/>
      <c r="N2" s="187"/>
      <c r="O2" s="187"/>
      <c r="P2" s="188"/>
    </row>
    <row r="3" spans="1:16" x14ac:dyDescent="0.25">
      <c r="A3" s="4"/>
      <c r="B3" s="4"/>
      <c r="C3" s="4"/>
      <c r="D3" s="4"/>
      <c r="E3" s="4"/>
      <c r="F3" s="4"/>
      <c r="G3" s="4"/>
      <c r="H3" s="4"/>
      <c r="I3" s="4"/>
      <c r="J3" s="4"/>
      <c r="K3" s="4"/>
      <c r="L3" s="4"/>
      <c r="M3" s="4"/>
      <c r="N3" s="4"/>
      <c r="O3" s="4"/>
      <c r="P3" s="4"/>
    </row>
    <row r="4" spans="1:16" x14ac:dyDescent="0.25">
      <c r="A4" s="55" t="str" cm="1">
        <f t="array" ref="A4:B13">oz.Movementλ()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https://github.com/ryanduguid/Ozzit</v>
      </c>
      <c r="G6" s="2"/>
    </row>
    <row r="7" spans="1:16" x14ac:dyDescent="0.25">
      <c r="A7" t="str">
        <v>VERSION:</v>
      </c>
      <c r="B7" t="str">
        <v>20 Aug 2026</v>
      </c>
    </row>
    <row r="8" spans="1:16" x14ac:dyDescent="0.25">
      <c r="A8" t="str">
        <v>PARAMETERS:</v>
      </c>
      <c r="B8" t="str">
        <v/>
      </c>
    </row>
    <row r="9" spans="1:16" x14ac:dyDescent="0.25">
      <c r="A9" t="str">
        <v>BeginningValues</v>
      </c>
      <c r="B9" t="str">
        <v>(Optional) Defaults to 0. One value, or one per row of Values</v>
      </c>
    </row>
    <row r="10" spans="1:16" x14ac:dyDescent="0.25">
      <c r="A10" t="str">
        <v>Values</v>
      </c>
      <c r="B10" t="str">
        <v>(Required) A row (or rows) of values to compare column to column</v>
      </c>
    </row>
    <row r="11" spans="1:16" x14ac:dyDescent="0.25">
      <c r="A11" t="str">
        <v>EXAMPLES:</v>
      </c>
      <c r="B11" t="str">
        <v/>
      </c>
    </row>
    <row r="12" spans="1:16" x14ac:dyDescent="0.25">
      <c r="A12" t="str">
        <v>Result</v>
      </c>
      <c r="B12" t="str">
        <v>Formula (oz is assumed to be the module's name)</v>
      </c>
    </row>
    <row r="13" spans="1:16" x14ac:dyDescent="0.25">
      <c r="A13" t="str">
        <v>100,10,20,-30</v>
      </c>
      <c r="B13" t="str">
        <v>=oz.Movementλ(,{100,110,130,100})</v>
      </c>
    </row>
    <row r="15" spans="1:16" ht="21" x14ac:dyDescent="0.35">
      <c r="A15" s="203" t="s">
        <v>148</v>
      </c>
      <c r="B15" s="203"/>
      <c r="C15" s="203"/>
    </row>
    <row r="17" spans="1:18" x14ac:dyDescent="0.25">
      <c r="A17" s="54" t="s">
        <v>149</v>
      </c>
      <c r="B17" s="54" t="s">
        <v>14</v>
      </c>
      <c r="C17" s="54" t="s">
        <v>15</v>
      </c>
      <c r="E17" s="54" t="s">
        <v>7</v>
      </c>
      <c r="F17" s="48" t="s">
        <v>152</v>
      </c>
      <c r="G17" s="49" cm="1">
        <f t="array" ref="G17:R17">oz.Timelineλ($B$18, $B$19, $B$20)</f>
        <v>46204</v>
      </c>
      <c r="H17" s="1">
        <v>46235</v>
      </c>
      <c r="I17" s="1">
        <v>46266</v>
      </c>
      <c r="J17" s="1">
        <v>46296</v>
      </c>
      <c r="K17" s="1">
        <v>46327</v>
      </c>
      <c r="L17" s="1">
        <v>46357</v>
      </c>
      <c r="M17" s="1">
        <v>46388</v>
      </c>
      <c r="N17" s="1">
        <v>46419</v>
      </c>
      <c r="O17" s="1">
        <v>46447</v>
      </c>
      <c r="P17" s="1">
        <v>46478</v>
      </c>
      <c r="Q17" s="1">
        <v>46508</v>
      </c>
      <c r="R17" s="1">
        <v>46539</v>
      </c>
    </row>
    <row r="18" spans="1:18" x14ac:dyDescent="0.25">
      <c r="A18" t="s">
        <v>112</v>
      </c>
      <c r="B18" s="34">
        <v>46204</v>
      </c>
      <c r="C18" t="s">
        <v>21</v>
      </c>
      <c r="E18" t="s">
        <v>5</v>
      </c>
      <c r="F18" cm="1">
        <f t="array" ref="F18">oz.SumRowsλ(_xlfn.ANCHORARRAY(G18))</f>
        <v>4</v>
      </c>
      <c r="G18" s="85"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17</v>
      </c>
      <c r="B19">
        <v>12</v>
      </c>
      <c r="C19" t="s">
        <v>22</v>
      </c>
      <c r="E19" s="2" t="s">
        <v>224</v>
      </c>
      <c r="G19" s="55" cm="1">
        <f t="array" ref="G19:R19">oz.Movementλ(F18,_xlfn.ANCHORARRAY(  G18))</f>
        <v>0</v>
      </c>
      <c r="H19">
        <v>-9</v>
      </c>
      <c r="I19">
        <v>2</v>
      </c>
      <c r="J19">
        <v>2</v>
      </c>
      <c r="K19">
        <v>2</v>
      </c>
      <c r="L19">
        <v>2</v>
      </c>
      <c r="M19">
        <v>2</v>
      </c>
      <c r="N19">
        <v>-9</v>
      </c>
      <c r="O19">
        <v>2</v>
      </c>
      <c r="P19">
        <v>2</v>
      </c>
      <c r="Q19">
        <v>2</v>
      </c>
      <c r="R19">
        <v>2</v>
      </c>
    </row>
    <row r="20" spans="1:18" x14ac:dyDescent="0.25">
      <c r="A20" t="s">
        <v>18</v>
      </c>
      <c r="B20" t="s">
        <v>20</v>
      </c>
    </row>
  </sheetData>
  <mergeCells count="3">
    <mergeCell ref="A1:P1"/>
    <mergeCell ref="A2:P2"/>
    <mergeCell ref="A15:C15"/>
  </mergeCells>
  <hyperlinks>
    <hyperlink ref="A1" location="'TOC'!$A$1" display="'TOC'!$A$1" xr:uid="{9DA15BC7-65D2-4D2A-9856-1FC945A34D23}"/>
  </hyperlinks>
  <pageMargins left="0.7" right="0.7" top="0.75" bottom="0.75" header="0.3" footer="0.3"/>
  <pageSetup paperSize="9" scale="59" fitToHeight="0" orientation="landscape" horizontalDpi="0" verticalDpi="0"/>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66023C"/>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185" t="str">
        <f ca="1">_xlfn.TEXTAFTER(CELL("filename",A1),"]")</f>
        <v>oz.RollingSumλ</v>
      </c>
      <c r="B1" s="185"/>
      <c r="C1" s="185"/>
      <c r="D1" s="185"/>
      <c r="E1" s="185"/>
      <c r="F1" s="185"/>
      <c r="G1" s="185"/>
      <c r="H1" s="185"/>
      <c r="I1" s="185"/>
      <c r="J1" s="185"/>
      <c r="K1" s="185"/>
      <c r="L1" s="185"/>
      <c r="M1" s="185"/>
      <c r="N1" s="185"/>
      <c r="O1" s="185"/>
      <c r="P1" s="185"/>
    </row>
    <row r="2" spans="1:18" x14ac:dyDescent="0.25">
      <c r="A2" s="186" t="s">
        <v>245</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5">oz.RollingSumλ()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precede the current value</v>
      </c>
    </row>
    <row r="13" spans="1:18" x14ac:dyDescent="0.25">
      <c r="A13" t="str">
        <v>EXAMPLES:</v>
      </c>
      <c r="B13" t="str">
        <v/>
      </c>
    </row>
    <row r="14" spans="1:18" x14ac:dyDescent="0.25">
      <c r="A14" t="str">
        <v>Result</v>
      </c>
      <c r="B14" t="str">
        <v>Formula (oz is assumed to be the module's name)</v>
      </c>
    </row>
    <row r="15" spans="1:18" x14ac:dyDescent="0.25">
      <c r="A15" t="str">
        <v>1,3,6,9,12</v>
      </c>
      <c r="B15" t="str">
        <v>=oz.RollingSumλ(SEQUENCE(, 5), 3)</v>
      </c>
    </row>
    <row r="17" spans="1:19" ht="21" x14ac:dyDescent="0.35">
      <c r="A17" s="203" t="s">
        <v>148</v>
      </c>
      <c r="B17" s="203"/>
      <c r="C17" s="203"/>
    </row>
    <row r="19" spans="1:19" x14ac:dyDescent="0.25">
      <c r="A19" s="54" t="s">
        <v>149</v>
      </c>
      <c r="B19" s="54" t="s">
        <v>14</v>
      </c>
      <c r="C19" s="54" t="s">
        <v>15</v>
      </c>
      <c r="F19" s="54" t="s">
        <v>7</v>
      </c>
      <c r="G19" s="48" t="s">
        <v>152</v>
      </c>
      <c r="H19" s="49"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112</v>
      </c>
      <c r="B20" s="124">
        <v>46204</v>
      </c>
      <c r="C20" t="s">
        <v>21</v>
      </c>
      <c r="F20" t="s">
        <v>5</v>
      </c>
      <c r="G20" cm="1">
        <f t="array" ref="G20">oz.SumRowsλ(_xlfn.ANCHORARRAY(H20))</f>
        <v>5.98</v>
      </c>
      <c r="H20" s="85"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17</v>
      </c>
      <c r="B21" s="125">
        <v>12</v>
      </c>
      <c r="C21" t="s">
        <v>22</v>
      </c>
      <c r="F21" s="2" t="s">
        <v>223</v>
      </c>
      <c r="H21" s="55" cm="1">
        <f t="array" ref="H21:S21">oz.RollingSumλ(_xlfn.ANCHORARRAY(H20),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18</v>
      </c>
      <c r="B22" s="125" t="s">
        <v>20</v>
      </c>
    </row>
  </sheetData>
  <mergeCells count="3">
    <mergeCell ref="A1:P1"/>
    <mergeCell ref="A17:C17"/>
    <mergeCell ref="A2:R2"/>
  </mergeCells>
  <hyperlinks>
    <hyperlink ref="A1" location="'TOC'!$A$1" display="'TOC'!$A$1" xr:uid="{CF6B0A29-711C-4B98-A743-3C84160907B3}"/>
  </hyperlinks>
  <pageMargins left="0.7" right="0.7" top="0.75" bottom="0.75" header="0.3" footer="0.3"/>
  <pageSetup paperSize="9" scale="63" fitToHeight="0" orientation="landscape" horizontalDpi="0" verticalDpi="0"/>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66023C"/>
    <pageSetUpPr fitToPage="1"/>
  </sheetPr>
  <dimension ref="A1:NI38"/>
  <sheetViews>
    <sheetView showGridLines="0" workbookViewId="0">
      <pane xSplit="8" topLeftCell="I1" activePane="topRight" state="frozen"/>
      <selection sqref="A1:Q1"/>
      <selection pane="topRight" activeCell="I1" sqref="I1"/>
    </sheetView>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6.5" x14ac:dyDescent="0.7">
      <c r="A1" s="185" t="str">
        <f ca="1">_xlfn.TEXTAFTER(CELL("filename",A1),"]")</f>
        <v>oz.SumPeriodsλ</v>
      </c>
      <c r="B1" s="185"/>
      <c r="C1" s="185"/>
      <c r="D1" s="185"/>
      <c r="E1" s="185"/>
      <c r="F1" s="185"/>
      <c r="G1" s="185"/>
      <c r="H1" s="185"/>
      <c r="I1" s="185"/>
      <c r="J1" s="185"/>
      <c r="K1" s="185"/>
      <c r="L1" s="185"/>
      <c r="M1" s="185"/>
      <c r="N1" s="185"/>
      <c r="O1" s="185"/>
      <c r="P1" s="185"/>
      <c r="Q1" s="185"/>
    </row>
    <row r="2" spans="1:17" x14ac:dyDescent="0.25">
      <c r="A2" s="186" t="s">
        <v>90</v>
      </c>
      <c r="B2" s="187"/>
      <c r="C2" s="187"/>
      <c r="D2" s="187"/>
      <c r="E2" s="187"/>
      <c r="F2" s="187"/>
      <c r="G2" s="187"/>
      <c r="H2" s="187"/>
      <c r="I2" s="187"/>
      <c r="J2" s="187"/>
      <c r="K2" s="187"/>
      <c r="L2" s="187"/>
      <c r="M2" s="187"/>
      <c r="N2" s="187"/>
      <c r="O2" s="188"/>
      <c r="P2" s="4"/>
      <c r="Q2" s="4"/>
    </row>
    <row r="3" spans="1:17" x14ac:dyDescent="0.25">
      <c r="A3" s="4"/>
      <c r="B3" s="4"/>
      <c r="C3" s="4"/>
      <c r="D3" s="4"/>
      <c r="E3" s="4"/>
      <c r="F3" s="4"/>
      <c r="G3" s="4"/>
      <c r="H3" s="4"/>
      <c r="I3" s="4"/>
      <c r="J3" s="4"/>
      <c r="K3" s="4"/>
      <c r="L3" s="4"/>
      <c r="M3" s="4"/>
      <c r="N3" s="4"/>
      <c r="O3" s="4"/>
      <c r="P3" s="4"/>
      <c r="Q3" s="4"/>
    </row>
    <row r="4" spans="1:17" x14ac:dyDescent="0.25">
      <c r="A4" s="55" t="str" cm="1">
        <f t="array" ref="A4:B18">oz.SumPeriodsλ()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SEE ALSO:</v>
      </c>
      <c r="B7" t="str">
        <v>Excel 365 now has GROUPBY and PIVOTBY for formula-driven aggregation.</v>
      </c>
    </row>
    <row r="8" spans="1:17" x14ac:dyDescent="0.25">
      <c r="A8" t="str">
        <v>VERSION:</v>
      </c>
      <c r="B8" t="str">
        <v>20 Aug 2026</v>
      </c>
    </row>
    <row r="9" spans="1:17" x14ac:dyDescent="0.25">
      <c r="A9" t="str">
        <v>WEBPAGE:</v>
      </c>
      <c r="B9" t="str">
        <v>https://github.com/ryanduguid/Ozzit</v>
      </c>
    </row>
    <row r="10" spans="1:17" x14ac:dyDescent="0.25">
      <c r="A10" t="str">
        <v>PARAMETERS:</v>
      </c>
      <c r="B10" t="str">
        <v/>
      </c>
    </row>
    <row r="11" spans="1:17" x14ac:dyDescent="0.25">
      <c r="A11" t="str">
        <v>Values</v>
      </c>
      <c r="B11" t="str">
        <v>(Required) A two dimensional array/range containing values to be summed whereeach column is for a specific day</v>
      </c>
    </row>
    <row r="12" spans="1:17" x14ac:dyDescent="0.25">
      <c r="A12" t="str">
        <v>Dates</v>
      </c>
      <c r="B12" t="str">
        <v>(Required) A row of dates providing the date for each Values column</v>
      </c>
    </row>
    <row r="13" spans="1:17" x14ac:dyDescent="0.25">
      <c r="A13" t="str">
        <v>PeriodStarts</v>
      </c>
      <c r="B13" t="str">
        <v>(Required) A row of period start dates</v>
      </c>
    </row>
    <row r="14" spans="1:17" x14ac:dyDescent="0.25">
      <c r="A14" t="str">
        <v>EXAMPLES:</v>
      </c>
      <c r="B14" t="str">
        <v/>
      </c>
    </row>
    <row r="15" spans="1:17" x14ac:dyDescent="0.25">
      <c r="A15" t="str">
        <v>Result</v>
      </c>
      <c r="B15" t="str">
        <v>Formula (oz is assumed to be the module's name)</v>
      </c>
    </row>
    <row r="16" spans="1:17" x14ac:dyDescent="0.25">
      <c r="A16" t="str">
        <v>03, 07</v>
      </c>
      <c r="B16" t="str">
        <v>=oz.SumPeriodsλ({1,2,3,4;4,3,2,1;10,20,30,40}, {1,2,3,4}, {1,3})</v>
      </c>
    </row>
    <row r="17" spans="1:373" x14ac:dyDescent="0.25">
      <c r="A17" t="str">
        <v>07, 03</v>
      </c>
      <c r="B17" t="str">
        <v/>
      </c>
    </row>
    <row r="18" spans="1:373" x14ac:dyDescent="0.25">
      <c r="A18" t="str">
        <v>30, 70</v>
      </c>
      <c r="B18" t="str">
        <v/>
      </c>
    </row>
    <row r="20" spans="1:373" ht="26.25" x14ac:dyDescent="0.4">
      <c r="A20" s="103" t="s">
        <v>96</v>
      </c>
      <c r="B20" s="103"/>
      <c r="C20" s="103"/>
      <c r="D20" s="103"/>
      <c r="E20" s="103"/>
      <c r="H20" s="28"/>
      <c r="I20" s="50"/>
      <c r="J20" s="50"/>
      <c r="K20" s="50"/>
      <c r="L20" s="50"/>
      <c r="M20" s="50"/>
      <c r="N20" s="50"/>
      <c r="O20" s="50"/>
      <c r="P20" s="50"/>
      <c r="Q20" s="50"/>
      <c r="R20" s="50"/>
      <c r="S20" s="50"/>
      <c r="T20" s="50"/>
      <c r="U20" s="50"/>
      <c r="V20" s="50"/>
      <c r="W20" s="50"/>
      <c r="X20" s="50"/>
      <c r="Y20" s="50"/>
      <c r="Z20" s="50"/>
      <c r="AA20" s="50"/>
      <c r="AB20" s="50"/>
      <c r="AC20" s="50"/>
      <c r="AD20" s="50"/>
      <c r="AE20" s="50"/>
      <c r="AF20" s="50"/>
      <c r="AG20" s="50"/>
      <c r="AH20" s="50"/>
      <c r="AI20" s="50"/>
      <c r="AJ20" s="50"/>
      <c r="AK20" s="50"/>
      <c r="AL20" s="50"/>
      <c r="AM20" s="50"/>
      <c r="AN20" s="50"/>
      <c r="AO20" s="50"/>
      <c r="AP20" s="50"/>
      <c r="AQ20" s="50"/>
      <c r="AR20" s="50"/>
      <c r="AS20" s="50"/>
      <c r="AT20" s="50"/>
      <c r="AU20" s="50"/>
      <c r="AV20" s="50"/>
      <c r="AW20" s="50"/>
      <c r="AX20" s="50"/>
      <c r="AY20" s="50"/>
      <c r="AZ20" s="50"/>
      <c r="BA20" s="50"/>
      <c r="BB20" s="50"/>
      <c r="BC20" s="50"/>
      <c r="BD20" s="50"/>
      <c r="BE20" s="50"/>
      <c r="BF20" s="50"/>
      <c r="BG20" s="50"/>
      <c r="BH20" s="50"/>
      <c r="BI20" s="50"/>
      <c r="BJ20" s="50"/>
      <c r="BK20" s="50"/>
      <c r="BL20" s="50"/>
      <c r="BM20" s="50"/>
      <c r="BN20" s="50"/>
      <c r="BO20" s="50"/>
      <c r="BP20" s="50"/>
      <c r="BQ20" s="50"/>
      <c r="BR20" s="50"/>
      <c r="BS20" s="50"/>
      <c r="BT20" s="50"/>
      <c r="BU20" s="50"/>
      <c r="BV20" s="50"/>
      <c r="BW20" s="50"/>
      <c r="BX20" s="50"/>
      <c r="BY20" s="50"/>
      <c r="BZ20" s="50"/>
      <c r="CA20" s="50"/>
      <c r="CB20" s="50"/>
      <c r="CC20" s="50"/>
      <c r="CD20" s="50"/>
      <c r="CE20" s="50"/>
      <c r="CF20" s="50"/>
      <c r="CG20" s="50"/>
      <c r="CH20" s="50"/>
      <c r="CI20" s="50"/>
      <c r="CJ20" s="50"/>
      <c r="CK20" s="50"/>
      <c r="CL20" s="50"/>
      <c r="CM20" s="50"/>
      <c r="CN20" s="50"/>
      <c r="CO20" s="50"/>
      <c r="CP20" s="50"/>
      <c r="CQ20" s="50"/>
      <c r="CR20" s="50"/>
      <c r="CS20" s="50"/>
      <c r="CT20" s="50"/>
      <c r="CU20" s="50"/>
      <c r="CV20" s="50"/>
      <c r="CW20" s="50"/>
      <c r="CX20" s="50"/>
      <c r="CY20" s="50"/>
      <c r="CZ20" s="50"/>
      <c r="DA20" s="50"/>
      <c r="DB20" s="50"/>
      <c r="DC20" s="50"/>
      <c r="DD20" s="50"/>
      <c r="DE20" s="50"/>
      <c r="DF20" s="50"/>
      <c r="DG20" s="50"/>
      <c r="DH20" s="50"/>
      <c r="DI20" s="50"/>
      <c r="DJ20" s="50"/>
      <c r="DK20" s="50"/>
      <c r="DL20" s="50"/>
      <c r="DM20" s="50"/>
      <c r="DN20" s="50"/>
      <c r="DO20" s="50"/>
      <c r="DP20" s="50"/>
      <c r="DQ20" s="50"/>
      <c r="DR20" s="50"/>
      <c r="DS20" s="50"/>
      <c r="DT20" s="50"/>
      <c r="DU20" s="50"/>
      <c r="DV20" s="50"/>
      <c r="DW20" s="50"/>
      <c r="DX20" s="50"/>
      <c r="DY20" s="50"/>
      <c r="DZ20" s="50"/>
      <c r="EA20" s="50"/>
      <c r="EB20" s="50"/>
      <c r="EC20" s="50"/>
      <c r="ED20" s="50"/>
      <c r="EE20" s="50"/>
      <c r="EF20" s="50"/>
      <c r="EG20" s="50"/>
      <c r="EH20" s="50"/>
      <c r="EI20" s="50"/>
      <c r="EJ20" s="50"/>
      <c r="EK20" s="50"/>
      <c r="EL20" s="50"/>
      <c r="EM20" s="50"/>
      <c r="EN20" s="50"/>
      <c r="EO20" s="50"/>
      <c r="EP20" s="50"/>
      <c r="EQ20" s="50"/>
      <c r="ER20" s="50"/>
      <c r="ES20" s="50"/>
      <c r="ET20" s="50"/>
      <c r="EU20" s="50"/>
      <c r="EV20" s="50"/>
      <c r="EW20" s="50"/>
      <c r="EX20" s="50"/>
      <c r="EY20" s="50"/>
      <c r="EZ20" s="50"/>
      <c r="FA20" s="50"/>
      <c r="FB20" s="50"/>
      <c r="FC20" s="50"/>
      <c r="FD20" s="50"/>
      <c r="FE20" s="50"/>
      <c r="FF20" s="50"/>
      <c r="FG20" s="50"/>
      <c r="FH20" s="50"/>
      <c r="FI20" s="50"/>
      <c r="FJ20" s="50"/>
      <c r="FK20" s="50"/>
      <c r="FL20" s="50"/>
      <c r="FM20" s="50"/>
      <c r="FN20" s="50"/>
      <c r="FO20" s="50"/>
      <c r="FP20" s="50"/>
      <c r="FQ20" s="50"/>
      <c r="FR20" s="50"/>
      <c r="FS20" s="50"/>
      <c r="FT20" s="50"/>
      <c r="FU20" s="50"/>
      <c r="FV20" s="50"/>
      <c r="FW20" s="50"/>
      <c r="FX20" s="50"/>
      <c r="FY20" s="50"/>
      <c r="FZ20" s="50"/>
      <c r="GA20" s="50"/>
      <c r="GB20" s="50"/>
      <c r="GC20" s="50"/>
      <c r="GD20" s="50"/>
      <c r="GE20" s="50"/>
      <c r="GF20" s="50"/>
      <c r="GG20" s="50"/>
      <c r="GH20" s="50"/>
      <c r="GI20" s="50"/>
      <c r="GJ20" s="50"/>
      <c r="GK20" s="50"/>
      <c r="GL20" s="50"/>
      <c r="GM20" s="50"/>
      <c r="GN20" s="50"/>
      <c r="GO20" s="50"/>
      <c r="GP20" s="50"/>
      <c r="GQ20" s="50"/>
      <c r="GR20" s="50"/>
      <c r="GS20" s="50"/>
      <c r="GT20" s="50"/>
      <c r="GU20" s="50"/>
      <c r="GV20" s="50"/>
      <c r="GW20" s="50"/>
      <c r="GX20" s="50"/>
      <c r="GY20" s="50"/>
      <c r="GZ20" s="50"/>
      <c r="HA20" s="50"/>
      <c r="HB20" s="50"/>
      <c r="HC20" s="50"/>
      <c r="HD20" s="50"/>
      <c r="HE20" s="50"/>
      <c r="HF20" s="50"/>
      <c r="HG20" s="50"/>
      <c r="HH20" s="50"/>
      <c r="HI20" s="50"/>
      <c r="HJ20" s="50"/>
      <c r="HK20" s="50"/>
      <c r="HL20" s="50"/>
      <c r="HM20" s="50"/>
      <c r="HN20" s="50"/>
      <c r="HO20" s="50"/>
      <c r="HP20" s="50"/>
      <c r="HQ20" s="50"/>
      <c r="HR20" s="50"/>
      <c r="HS20" s="50"/>
      <c r="HT20" s="50"/>
      <c r="HU20" s="50"/>
      <c r="HV20" s="50"/>
      <c r="HW20" s="50"/>
      <c r="HX20" s="50"/>
      <c r="HY20" s="50"/>
      <c r="HZ20" s="50"/>
      <c r="IA20" s="50"/>
      <c r="IB20" s="50"/>
      <c r="IC20" s="50"/>
      <c r="ID20" s="50"/>
      <c r="IE20" s="50"/>
      <c r="IF20" s="50"/>
      <c r="IG20" s="50"/>
      <c r="IH20" s="50"/>
      <c r="II20" s="50"/>
      <c r="IJ20" s="50"/>
      <c r="IK20" s="50"/>
      <c r="IL20" s="50"/>
      <c r="IM20" s="50"/>
      <c r="IN20" s="50"/>
      <c r="IO20" s="50"/>
      <c r="IP20" s="50"/>
      <c r="IQ20" s="50"/>
      <c r="IR20" s="50"/>
      <c r="IS20" s="50"/>
      <c r="IT20" s="50"/>
      <c r="IU20" s="50"/>
      <c r="IV20" s="50"/>
      <c r="IW20" s="50"/>
      <c r="IX20" s="50"/>
      <c r="IY20" s="50"/>
      <c r="IZ20" s="50"/>
      <c r="JA20" s="50"/>
      <c r="JB20" s="50"/>
      <c r="JC20" s="50"/>
      <c r="JD20" s="50"/>
      <c r="JE20" s="50"/>
      <c r="JF20" s="50"/>
      <c r="JG20" s="50"/>
      <c r="JH20" s="50"/>
      <c r="JI20" s="50"/>
      <c r="JJ20" s="50"/>
      <c r="JK20" s="50"/>
      <c r="JL20" s="50"/>
      <c r="JM20" s="50"/>
      <c r="JN20" s="50"/>
      <c r="JO20" s="50"/>
      <c r="JP20" s="50"/>
      <c r="JQ20" s="50"/>
      <c r="JR20" s="50"/>
      <c r="JS20" s="50"/>
      <c r="JT20" s="50"/>
      <c r="JU20" s="50"/>
      <c r="JV20" s="50"/>
      <c r="JW20" s="50"/>
      <c r="JX20" s="50"/>
      <c r="JY20" s="50"/>
      <c r="JZ20" s="50"/>
      <c r="KA20" s="50"/>
      <c r="KB20" s="50"/>
      <c r="KC20" s="50"/>
      <c r="KD20" s="50"/>
      <c r="KE20" s="50"/>
      <c r="KF20" s="50"/>
      <c r="KG20" s="50"/>
      <c r="KH20" s="50"/>
      <c r="KI20" s="50"/>
      <c r="KJ20" s="50"/>
      <c r="KK20" s="50"/>
      <c r="KL20" s="50"/>
      <c r="KM20" s="50"/>
      <c r="KN20" s="50"/>
      <c r="KO20" s="50"/>
      <c r="KP20" s="50"/>
      <c r="KQ20" s="50"/>
      <c r="KR20" s="50"/>
      <c r="KS20" s="50"/>
      <c r="KT20" s="50"/>
      <c r="KU20" s="50"/>
      <c r="KV20" s="50"/>
      <c r="KW20" s="50"/>
      <c r="KX20" s="50"/>
      <c r="KY20" s="50"/>
      <c r="KZ20" s="50"/>
      <c r="LA20" s="50"/>
      <c r="LB20" s="50"/>
      <c r="LC20" s="50"/>
      <c r="LD20" s="50"/>
      <c r="LE20" s="50"/>
      <c r="LF20" s="50"/>
      <c r="LG20" s="50"/>
      <c r="LH20" s="50"/>
      <c r="LI20" s="50"/>
      <c r="LJ20" s="50"/>
      <c r="LK20" s="50"/>
      <c r="LL20" s="50"/>
      <c r="LM20" s="50"/>
      <c r="LN20" s="50"/>
      <c r="LO20" s="50"/>
      <c r="LP20" s="50"/>
      <c r="LQ20" s="50"/>
      <c r="LR20" s="50"/>
      <c r="LS20" s="50"/>
      <c r="LT20" s="50"/>
      <c r="LU20" s="50"/>
      <c r="LV20" s="50"/>
      <c r="LW20" s="50"/>
      <c r="LX20" s="50"/>
      <c r="LY20" s="50"/>
      <c r="LZ20" s="50"/>
      <c r="MA20" s="50"/>
      <c r="MB20" s="50"/>
      <c r="MC20" s="50"/>
      <c r="MD20" s="50"/>
      <c r="ME20" s="50"/>
      <c r="MF20" s="50"/>
      <c r="MG20" s="50"/>
      <c r="MH20" s="50"/>
      <c r="MI20" s="50"/>
      <c r="MJ20" s="50"/>
      <c r="MK20" s="50"/>
      <c r="ML20" s="50"/>
      <c r="MM20" s="50"/>
      <c r="MN20" s="50"/>
      <c r="MO20" s="50"/>
      <c r="MP20" s="50"/>
      <c r="MQ20" s="50"/>
      <c r="MR20" s="50"/>
      <c r="MS20" s="50"/>
      <c r="MT20" s="50"/>
      <c r="MU20" s="50"/>
      <c r="MV20" s="50"/>
      <c r="MW20" s="50"/>
      <c r="MX20" s="50"/>
      <c r="MY20" s="50"/>
      <c r="MZ20" s="50"/>
      <c r="NA20" s="50"/>
      <c r="NB20" s="50"/>
      <c r="NC20" s="50"/>
      <c r="ND20" s="50"/>
      <c r="NE20" s="50"/>
      <c r="NF20" s="50"/>
      <c r="NG20" s="50"/>
      <c r="NH20" s="50"/>
      <c r="NI20" s="50"/>
    </row>
    <row r="21" spans="1:373" x14ac:dyDescent="0.25">
      <c r="A21" s="222" t="s">
        <v>97</v>
      </c>
      <c r="B21" s="222"/>
      <c r="C21" s="222"/>
      <c r="D21" s="222"/>
      <c r="E21" s="222"/>
      <c r="H21" s="51"/>
      <c r="I21" s="52"/>
      <c r="J21" s="52"/>
      <c r="K21" s="52"/>
      <c r="L21" s="52"/>
      <c r="M21" s="52"/>
      <c r="N21" s="52"/>
      <c r="O21" s="52"/>
      <c r="P21" s="52"/>
      <c r="Q21" s="52"/>
      <c r="R21" s="52"/>
      <c r="S21" s="52"/>
      <c r="T21" s="52"/>
      <c r="U21" s="52"/>
      <c r="V21" s="52"/>
      <c r="W21" s="52"/>
      <c r="X21" s="52"/>
      <c r="Y21" s="52"/>
      <c r="Z21" s="52"/>
      <c r="AA21" s="52"/>
      <c r="AB21" s="52"/>
      <c r="AC21" s="52"/>
      <c r="AD21" s="52"/>
      <c r="AE21" s="52"/>
      <c r="AF21" s="52"/>
      <c r="AG21" s="52"/>
      <c r="AH21" s="52"/>
      <c r="AI21" s="52"/>
      <c r="AJ21" s="52"/>
      <c r="AK21" s="52"/>
      <c r="AL21" s="52"/>
      <c r="AM21" s="52"/>
      <c r="AN21" s="52"/>
      <c r="AO21" s="52"/>
      <c r="AP21" s="52"/>
      <c r="AQ21" s="52"/>
      <c r="AR21" s="52"/>
      <c r="AS21" s="52"/>
      <c r="AT21" s="52"/>
      <c r="AU21" s="52"/>
      <c r="AV21" s="52"/>
      <c r="AW21" s="52"/>
      <c r="AX21" s="52"/>
      <c r="AY21" s="52"/>
      <c r="AZ21" s="52"/>
      <c r="BA21" s="52"/>
      <c r="BB21" s="52"/>
      <c r="BC21" s="52"/>
      <c r="BD21" s="52"/>
      <c r="BE21" s="52"/>
      <c r="BF21" s="52"/>
      <c r="BG21" s="52"/>
      <c r="BH21" s="52"/>
      <c r="BI21" s="52"/>
      <c r="BJ21" s="52"/>
      <c r="BK21" s="52"/>
      <c r="BL21" s="52"/>
      <c r="BM21" s="52"/>
      <c r="BN21" s="52"/>
      <c r="BO21" s="52"/>
      <c r="BP21" s="52"/>
      <c r="BQ21" s="52"/>
      <c r="BR21" s="52"/>
      <c r="BS21" s="52"/>
      <c r="BT21" s="52"/>
      <c r="BU21" s="52"/>
      <c r="BV21" s="52"/>
      <c r="BW21" s="52"/>
      <c r="BX21" s="52"/>
      <c r="BY21" s="52"/>
      <c r="BZ21" s="52"/>
      <c r="CA21" s="52"/>
      <c r="CB21" s="52"/>
      <c r="CC21" s="52"/>
      <c r="CD21" s="52"/>
      <c r="CE21" s="52"/>
      <c r="CF21" s="52"/>
      <c r="CG21" s="52"/>
      <c r="CH21" s="52"/>
      <c r="CI21" s="52"/>
      <c r="CJ21" s="52"/>
      <c r="CK21" s="52"/>
      <c r="CL21" s="52"/>
      <c r="CM21" s="52"/>
      <c r="CN21" s="52"/>
      <c r="CO21" s="52"/>
      <c r="CP21" s="52"/>
      <c r="CQ21" s="52"/>
      <c r="CR21" s="52"/>
      <c r="CS21" s="52"/>
      <c r="CT21" s="52"/>
      <c r="CU21" s="52"/>
      <c r="CV21" s="52"/>
      <c r="CW21" s="52"/>
      <c r="CX21" s="52"/>
      <c r="CY21" s="52"/>
      <c r="CZ21" s="52"/>
      <c r="DA21" s="52"/>
      <c r="DB21" s="52"/>
      <c r="DC21" s="52"/>
      <c r="DD21" s="52"/>
      <c r="DE21" s="52"/>
      <c r="DF21" s="52"/>
      <c r="DG21" s="52"/>
      <c r="DH21" s="52"/>
      <c r="DI21" s="52"/>
      <c r="DJ21" s="52"/>
      <c r="DK21" s="52"/>
      <c r="DL21" s="52"/>
      <c r="DM21" s="52"/>
      <c r="DN21" s="52"/>
      <c r="DO21" s="52"/>
      <c r="DP21" s="52"/>
      <c r="DQ21" s="52"/>
      <c r="DR21" s="52"/>
      <c r="DS21" s="52"/>
      <c r="DT21" s="52"/>
      <c r="DU21" s="52"/>
      <c r="DV21" s="52"/>
      <c r="DW21" s="52"/>
      <c r="DX21" s="52"/>
      <c r="DY21" s="52"/>
      <c r="DZ21" s="52"/>
      <c r="EA21" s="52"/>
      <c r="EB21" s="52"/>
      <c r="EC21" s="52"/>
      <c r="ED21" s="52"/>
      <c r="EE21" s="52"/>
      <c r="EF21" s="52"/>
      <c r="EG21" s="52"/>
      <c r="EH21" s="52"/>
      <c r="EI21" s="52"/>
      <c r="EJ21" s="52"/>
      <c r="EK21" s="52"/>
      <c r="EL21" s="52"/>
      <c r="EM21" s="52"/>
      <c r="EN21" s="52"/>
      <c r="EO21" s="52"/>
      <c r="EP21" s="52"/>
      <c r="EQ21" s="52"/>
      <c r="ER21" s="52"/>
      <c r="ES21" s="52"/>
      <c r="ET21" s="52"/>
      <c r="EU21" s="52"/>
      <c r="EV21" s="52"/>
      <c r="EW21" s="52"/>
      <c r="EX21" s="52"/>
      <c r="EY21" s="52"/>
      <c r="EZ21" s="52"/>
      <c r="FA21" s="52"/>
      <c r="FB21" s="52"/>
      <c r="FC21" s="52"/>
      <c r="FD21" s="52"/>
      <c r="FE21" s="52"/>
      <c r="FF21" s="52"/>
      <c r="FG21" s="52"/>
      <c r="FH21" s="52"/>
      <c r="FI21" s="52"/>
      <c r="FJ21" s="52"/>
      <c r="FK21" s="52"/>
      <c r="FL21" s="52"/>
      <c r="FM21" s="52"/>
      <c r="FN21" s="52"/>
      <c r="FO21" s="52"/>
      <c r="FP21" s="52"/>
      <c r="FQ21" s="52"/>
      <c r="FR21" s="52"/>
      <c r="FS21" s="52"/>
      <c r="FT21" s="52"/>
      <c r="FU21" s="52"/>
      <c r="FV21" s="52"/>
      <c r="FW21" s="52"/>
      <c r="FX21" s="52"/>
      <c r="FY21" s="52"/>
      <c r="FZ21" s="52"/>
      <c r="GA21" s="52"/>
      <c r="GB21" s="52"/>
      <c r="GC21" s="52"/>
      <c r="GD21" s="52"/>
      <c r="GE21" s="52"/>
      <c r="GF21" s="52"/>
      <c r="GG21" s="52"/>
      <c r="GH21" s="52"/>
      <c r="GI21" s="52"/>
      <c r="GJ21" s="52"/>
      <c r="GK21" s="52"/>
      <c r="GL21" s="52"/>
      <c r="GM21" s="52"/>
      <c r="GN21" s="52"/>
      <c r="GO21" s="52"/>
      <c r="GP21" s="52"/>
      <c r="GQ21" s="52"/>
      <c r="GR21" s="52"/>
      <c r="GS21" s="52"/>
      <c r="GT21" s="52"/>
      <c r="GU21" s="52"/>
      <c r="GV21" s="52"/>
      <c r="GW21" s="52"/>
      <c r="GX21" s="52"/>
      <c r="GY21" s="52"/>
      <c r="GZ21" s="52"/>
      <c r="HA21" s="52"/>
      <c r="HB21" s="52"/>
      <c r="HC21" s="52"/>
      <c r="HD21" s="52"/>
      <c r="HE21" s="52"/>
      <c r="HF21" s="52"/>
      <c r="HG21" s="52"/>
      <c r="HH21" s="52"/>
      <c r="HI21" s="52"/>
      <c r="HJ21" s="52"/>
      <c r="HK21" s="52"/>
      <c r="HL21" s="52"/>
      <c r="HM21" s="52"/>
      <c r="HN21" s="52"/>
      <c r="HO21" s="52"/>
      <c r="HP21" s="52"/>
      <c r="HQ21" s="52"/>
      <c r="HR21" s="52"/>
      <c r="HS21" s="52"/>
      <c r="HT21" s="52"/>
      <c r="HU21" s="52"/>
      <c r="HV21" s="52"/>
      <c r="HW21" s="52"/>
      <c r="HX21" s="52"/>
      <c r="HY21" s="52"/>
      <c r="HZ21" s="52"/>
      <c r="IA21" s="52"/>
      <c r="IB21" s="52"/>
      <c r="IC21" s="52"/>
      <c r="ID21" s="52"/>
      <c r="IE21" s="52"/>
      <c r="IF21" s="52"/>
      <c r="IG21" s="52"/>
      <c r="IH21" s="52"/>
      <c r="II21" s="52"/>
      <c r="IJ21" s="52"/>
      <c r="IK21" s="52"/>
      <c r="IL21" s="52"/>
      <c r="IM21" s="52"/>
      <c r="IN21" s="52"/>
      <c r="IO21" s="52"/>
      <c r="IP21" s="52"/>
      <c r="IQ21" s="52"/>
      <c r="IR21" s="52"/>
      <c r="IS21" s="52"/>
      <c r="IT21" s="52"/>
      <c r="IU21" s="52"/>
      <c r="IV21" s="52"/>
      <c r="IW21" s="52"/>
      <c r="IX21" s="52"/>
      <c r="IY21" s="52"/>
      <c r="IZ21" s="52"/>
      <c r="JA21" s="52"/>
      <c r="JB21" s="52"/>
      <c r="JC21" s="52"/>
      <c r="JD21" s="52"/>
      <c r="JE21" s="52"/>
      <c r="JF21" s="52"/>
      <c r="JG21" s="52"/>
      <c r="JH21" s="52"/>
      <c r="JI21" s="52"/>
      <c r="JJ21" s="52"/>
      <c r="JK21" s="52"/>
      <c r="JL21" s="52"/>
      <c r="JM21" s="52"/>
      <c r="JN21" s="52"/>
      <c r="JO21" s="52"/>
      <c r="JP21" s="52"/>
      <c r="JQ21" s="52"/>
      <c r="JR21" s="52"/>
      <c r="JS21" s="52"/>
      <c r="JT21" s="52"/>
      <c r="JU21" s="52"/>
      <c r="JV21" s="52"/>
      <c r="JW21" s="52"/>
      <c r="JX21" s="52"/>
      <c r="JY21" s="52"/>
      <c r="JZ21" s="52"/>
      <c r="KA21" s="52"/>
      <c r="KB21" s="52"/>
      <c r="KC21" s="52"/>
      <c r="KD21" s="52"/>
      <c r="KE21" s="52"/>
      <c r="KF21" s="52"/>
      <c r="KG21" s="52"/>
      <c r="KH21" s="52"/>
      <c r="KI21" s="52"/>
      <c r="KJ21" s="52"/>
      <c r="KK21" s="52"/>
      <c r="KL21" s="52"/>
      <c r="KM21" s="52"/>
      <c r="KN21" s="52"/>
      <c r="KO21" s="52"/>
      <c r="KP21" s="52"/>
      <c r="KQ21" s="52"/>
      <c r="KR21" s="52"/>
      <c r="KS21" s="52"/>
      <c r="KT21" s="52"/>
      <c r="KU21" s="52"/>
      <c r="KV21" s="52"/>
      <c r="KW21" s="52"/>
      <c r="KX21" s="52"/>
      <c r="KY21" s="52"/>
      <c r="KZ21" s="52"/>
      <c r="LA21" s="52"/>
      <c r="LB21" s="52"/>
      <c r="LC21" s="52"/>
      <c r="LD21" s="52"/>
      <c r="LE21" s="52"/>
      <c r="LF21" s="52"/>
      <c r="LG21" s="52"/>
      <c r="LH21" s="52"/>
      <c r="LI21" s="52"/>
      <c r="LJ21" s="52"/>
      <c r="LK21" s="52"/>
      <c r="LL21" s="52"/>
      <c r="LM21" s="52"/>
      <c r="LN21" s="52"/>
      <c r="LO21" s="52"/>
      <c r="LP21" s="52"/>
      <c r="LQ21" s="52"/>
      <c r="LR21" s="52"/>
      <c r="LS21" s="52"/>
      <c r="LT21" s="52"/>
      <c r="LU21" s="52"/>
      <c r="LV21" s="52"/>
      <c r="LW21" s="52"/>
      <c r="LX21" s="52"/>
      <c r="LY21" s="52"/>
      <c r="LZ21" s="52"/>
      <c r="MA21" s="52"/>
      <c r="MB21" s="52"/>
      <c r="MC21" s="52"/>
      <c r="MD21" s="52"/>
      <c r="ME21" s="52"/>
      <c r="MF21" s="52"/>
      <c r="MG21" s="52"/>
      <c r="MH21" s="52"/>
      <c r="MI21" s="52"/>
      <c r="MJ21" s="52"/>
      <c r="MK21" s="52"/>
      <c r="ML21" s="52"/>
      <c r="MM21" s="52"/>
      <c r="MN21" s="52"/>
      <c r="MO21" s="52"/>
      <c r="MP21" s="52"/>
      <c r="MQ21" s="52"/>
      <c r="MR21" s="52"/>
      <c r="MS21" s="52"/>
      <c r="MT21" s="52"/>
      <c r="MU21" s="52"/>
      <c r="MV21" s="52"/>
      <c r="MW21" s="52"/>
      <c r="MX21" s="52"/>
      <c r="MY21" s="52"/>
      <c r="MZ21" s="52"/>
      <c r="NA21" s="52"/>
      <c r="NB21" s="52"/>
      <c r="NC21" s="52"/>
      <c r="ND21" s="52"/>
      <c r="NE21" s="52"/>
      <c r="NF21" s="52"/>
      <c r="NG21" s="52"/>
      <c r="NH21" s="52"/>
      <c r="NI21" s="52"/>
    </row>
    <row r="22" spans="1:373" x14ac:dyDescent="0.25">
      <c r="A22" s="42" t="s">
        <v>7</v>
      </c>
      <c r="B22" s="42" t="s">
        <v>125</v>
      </c>
      <c r="C22" s="42" t="s">
        <v>98</v>
      </c>
      <c r="D22" s="42" t="s">
        <v>99</v>
      </c>
      <c r="E22" s="42" t="s">
        <v>100</v>
      </c>
      <c r="G22" s="42" t="s">
        <v>196</v>
      </c>
      <c r="H22" s="48" t="s">
        <v>123</v>
      </c>
      <c r="I22" s="49" cm="1">
        <f t="array" ref="I22:NI22">oz.Timelineλ("1/7/2026", 365, "D")</f>
        <v>46204</v>
      </c>
      <c r="J22" s="49">
        <v>46205</v>
      </c>
      <c r="K22" s="49">
        <v>46206</v>
      </c>
      <c r="L22" s="49">
        <v>46207</v>
      </c>
      <c r="M22" s="49">
        <v>46208</v>
      </c>
      <c r="N22" s="49">
        <v>46209</v>
      </c>
      <c r="O22" s="49">
        <v>46210</v>
      </c>
      <c r="P22" s="49">
        <v>46211</v>
      </c>
      <c r="Q22" s="49">
        <v>46212</v>
      </c>
      <c r="R22" s="49">
        <v>46213</v>
      </c>
      <c r="S22" s="49">
        <v>46214</v>
      </c>
      <c r="T22" s="49">
        <v>46215</v>
      </c>
      <c r="U22" s="49">
        <v>46216</v>
      </c>
      <c r="V22" s="49">
        <v>46217</v>
      </c>
      <c r="W22" s="49">
        <v>46218</v>
      </c>
      <c r="X22" s="49">
        <v>46219</v>
      </c>
      <c r="Y22" s="49">
        <v>46220</v>
      </c>
      <c r="Z22" s="49">
        <v>46221</v>
      </c>
      <c r="AA22" s="49">
        <v>46222</v>
      </c>
      <c r="AB22" s="49">
        <v>46223</v>
      </c>
      <c r="AC22" s="49">
        <v>46224</v>
      </c>
      <c r="AD22" s="49">
        <v>46225</v>
      </c>
      <c r="AE22" s="49">
        <v>46226</v>
      </c>
      <c r="AF22" s="49">
        <v>46227</v>
      </c>
      <c r="AG22" s="49">
        <v>46228</v>
      </c>
      <c r="AH22" s="49">
        <v>46229</v>
      </c>
      <c r="AI22" s="49">
        <v>46230</v>
      </c>
      <c r="AJ22" s="49">
        <v>46231</v>
      </c>
      <c r="AK22" s="49">
        <v>46232</v>
      </c>
      <c r="AL22" s="49">
        <v>46233</v>
      </c>
      <c r="AM22" s="49">
        <v>46234</v>
      </c>
      <c r="AN22" s="49">
        <v>46235</v>
      </c>
      <c r="AO22" s="49">
        <v>46236</v>
      </c>
      <c r="AP22" s="49">
        <v>46237</v>
      </c>
      <c r="AQ22" s="49">
        <v>46238</v>
      </c>
      <c r="AR22" s="49">
        <v>46239</v>
      </c>
      <c r="AS22" s="49">
        <v>46240</v>
      </c>
      <c r="AT22" s="49">
        <v>46241</v>
      </c>
      <c r="AU22" s="49">
        <v>46242</v>
      </c>
      <c r="AV22" s="49">
        <v>46243</v>
      </c>
      <c r="AW22" s="49">
        <v>46244</v>
      </c>
      <c r="AX22" s="49">
        <v>46245</v>
      </c>
      <c r="AY22" s="49">
        <v>46246</v>
      </c>
      <c r="AZ22" s="49">
        <v>46247</v>
      </c>
      <c r="BA22" s="49">
        <v>46248</v>
      </c>
      <c r="BB22" s="49">
        <v>46249</v>
      </c>
      <c r="BC22" s="49">
        <v>46250</v>
      </c>
      <c r="BD22" s="49">
        <v>46251</v>
      </c>
      <c r="BE22" s="49">
        <v>46252</v>
      </c>
      <c r="BF22" s="49">
        <v>46253</v>
      </c>
      <c r="BG22" s="49">
        <v>46254</v>
      </c>
      <c r="BH22" s="49">
        <v>46255</v>
      </c>
      <c r="BI22" s="49">
        <v>46256</v>
      </c>
      <c r="BJ22" s="49">
        <v>46257</v>
      </c>
      <c r="BK22" s="49">
        <v>46258</v>
      </c>
      <c r="BL22" s="49">
        <v>46259</v>
      </c>
      <c r="BM22" s="49">
        <v>46260</v>
      </c>
      <c r="BN22" s="49">
        <v>46261</v>
      </c>
      <c r="BO22" s="49">
        <v>46262</v>
      </c>
      <c r="BP22" s="49">
        <v>46263</v>
      </c>
      <c r="BQ22" s="49">
        <v>46264</v>
      </c>
      <c r="BR22" s="49">
        <v>46265</v>
      </c>
      <c r="BS22" s="49">
        <v>46266</v>
      </c>
      <c r="BT22" s="49">
        <v>46267</v>
      </c>
      <c r="BU22" s="49">
        <v>46268</v>
      </c>
      <c r="BV22" s="49">
        <v>46269</v>
      </c>
      <c r="BW22" s="49">
        <v>46270</v>
      </c>
      <c r="BX22" s="49">
        <v>46271</v>
      </c>
      <c r="BY22" s="49">
        <v>46272</v>
      </c>
      <c r="BZ22" s="49">
        <v>46273</v>
      </c>
      <c r="CA22" s="49">
        <v>46274</v>
      </c>
      <c r="CB22" s="49">
        <v>46275</v>
      </c>
      <c r="CC22" s="49">
        <v>46276</v>
      </c>
      <c r="CD22" s="49">
        <v>46277</v>
      </c>
      <c r="CE22" s="49">
        <v>46278</v>
      </c>
      <c r="CF22" s="49">
        <v>46279</v>
      </c>
      <c r="CG22" s="49">
        <v>46280</v>
      </c>
      <c r="CH22" s="49">
        <v>46281</v>
      </c>
      <c r="CI22" s="49">
        <v>46282</v>
      </c>
      <c r="CJ22" s="49">
        <v>46283</v>
      </c>
      <c r="CK22" s="49">
        <v>46284</v>
      </c>
      <c r="CL22" s="49">
        <v>46285</v>
      </c>
      <c r="CM22" s="49">
        <v>46286</v>
      </c>
      <c r="CN22" s="49">
        <v>46287</v>
      </c>
      <c r="CO22" s="49">
        <v>46288</v>
      </c>
      <c r="CP22" s="49">
        <v>46289</v>
      </c>
      <c r="CQ22" s="49">
        <v>46290</v>
      </c>
      <c r="CR22" s="49">
        <v>46291</v>
      </c>
      <c r="CS22" s="49">
        <v>46292</v>
      </c>
      <c r="CT22" s="49">
        <v>46293</v>
      </c>
      <c r="CU22" s="49">
        <v>46294</v>
      </c>
      <c r="CV22" s="49">
        <v>46295</v>
      </c>
      <c r="CW22" s="49">
        <v>46296</v>
      </c>
      <c r="CX22" s="49">
        <v>46297</v>
      </c>
      <c r="CY22" s="49">
        <v>46298</v>
      </c>
      <c r="CZ22" s="49">
        <v>46299</v>
      </c>
      <c r="DA22" s="49">
        <v>46300</v>
      </c>
      <c r="DB22" s="49">
        <v>46301</v>
      </c>
      <c r="DC22" s="49">
        <v>46302</v>
      </c>
      <c r="DD22" s="49">
        <v>46303</v>
      </c>
      <c r="DE22" s="49">
        <v>46304</v>
      </c>
      <c r="DF22" s="49">
        <v>46305</v>
      </c>
      <c r="DG22" s="49">
        <v>46306</v>
      </c>
      <c r="DH22" s="49">
        <v>46307</v>
      </c>
      <c r="DI22" s="49">
        <v>46308</v>
      </c>
      <c r="DJ22" s="49">
        <v>46309</v>
      </c>
      <c r="DK22" s="49">
        <v>46310</v>
      </c>
      <c r="DL22" s="49">
        <v>46311</v>
      </c>
      <c r="DM22" s="49">
        <v>46312</v>
      </c>
      <c r="DN22" s="49">
        <v>46313</v>
      </c>
      <c r="DO22" s="49">
        <v>46314</v>
      </c>
      <c r="DP22" s="49">
        <v>46315</v>
      </c>
      <c r="DQ22" s="49">
        <v>46316</v>
      </c>
      <c r="DR22" s="49">
        <v>46317</v>
      </c>
      <c r="DS22" s="49">
        <v>46318</v>
      </c>
      <c r="DT22" s="49">
        <v>46319</v>
      </c>
      <c r="DU22" s="49">
        <v>46320</v>
      </c>
      <c r="DV22" s="49">
        <v>46321</v>
      </c>
      <c r="DW22" s="49">
        <v>46322</v>
      </c>
      <c r="DX22" s="49">
        <v>46323</v>
      </c>
      <c r="DY22" s="49">
        <v>46324</v>
      </c>
      <c r="DZ22" s="49">
        <v>46325</v>
      </c>
      <c r="EA22" s="49">
        <v>46326</v>
      </c>
      <c r="EB22" s="49">
        <v>46327</v>
      </c>
      <c r="EC22" s="49">
        <v>46328</v>
      </c>
      <c r="ED22" s="49">
        <v>46329</v>
      </c>
      <c r="EE22" s="49">
        <v>46330</v>
      </c>
      <c r="EF22" s="49">
        <v>46331</v>
      </c>
      <c r="EG22" s="49">
        <v>46332</v>
      </c>
      <c r="EH22" s="49">
        <v>46333</v>
      </c>
      <c r="EI22" s="49">
        <v>46334</v>
      </c>
      <c r="EJ22" s="49">
        <v>46335</v>
      </c>
      <c r="EK22" s="49">
        <v>46336</v>
      </c>
      <c r="EL22" s="49">
        <v>46337</v>
      </c>
      <c r="EM22" s="49">
        <v>46338</v>
      </c>
      <c r="EN22" s="49">
        <v>46339</v>
      </c>
      <c r="EO22" s="49">
        <v>46340</v>
      </c>
      <c r="EP22" s="49">
        <v>46341</v>
      </c>
      <c r="EQ22" s="49">
        <v>46342</v>
      </c>
      <c r="ER22" s="49">
        <v>46343</v>
      </c>
      <c r="ES22" s="49">
        <v>46344</v>
      </c>
      <c r="ET22" s="49">
        <v>46345</v>
      </c>
      <c r="EU22" s="49">
        <v>46346</v>
      </c>
      <c r="EV22" s="49">
        <v>46347</v>
      </c>
      <c r="EW22" s="49">
        <v>46348</v>
      </c>
      <c r="EX22" s="49">
        <v>46349</v>
      </c>
      <c r="EY22" s="49">
        <v>46350</v>
      </c>
      <c r="EZ22" s="49">
        <v>46351</v>
      </c>
      <c r="FA22" s="49">
        <v>46352</v>
      </c>
      <c r="FB22" s="49">
        <v>46353</v>
      </c>
      <c r="FC22" s="49">
        <v>46354</v>
      </c>
      <c r="FD22" s="49">
        <v>46355</v>
      </c>
      <c r="FE22" s="49">
        <v>46356</v>
      </c>
      <c r="FF22" s="49">
        <v>46357</v>
      </c>
      <c r="FG22" s="49">
        <v>46358</v>
      </c>
      <c r="FH22" s="49">
        <v>46359</v>
      </c>
      <c r="FI22" s="49">
        <v>46360</v>
      </c>
      <c r="FJ22" s="49">
        <v>46361</v>
      </c>
      <c r="FK22" s="49">
        <v>46362</v>
      </c>
      <c r="FL22" s="49">
        <v>46363</v>
      </c>
      <c r="FM22" s="49">
        <v>46364</v>
      </c>
      <c r="FN22" s="49">
        <v>46365</v>
      </c>
      <c r="FO22" s="49">
        <v>46366</v>
      </c>
      <c r="FP22" s="49">
        <v>46367</v>
      </c>
      <c r="FQ22" s="49">
        <v>46368</v>
      </c>
      <c r="FR22" s="49">
        <v>46369</v>
      </c>
      <c r="FS22" s="49">
        <v>46370</v>
      </c>
      <c r="FT22" s="49">
        <v>46371</v>
      </c>
      <c r="FU22" s="49">
        <v>46372</v>
      </c>
      <c r="FV22" s="49">
        <v>46373</v>
      </c>
      <c r="FW22" s="49">
        <v>46374</v>
      </c>
      <c r="FX22" s="49">
        <v>46375</v>
      </c>
      <c r="FY22" s="49">
        <v>46376</v>
      </c>
      <c r="FZ22" s="49">
        <v>46377</v>
      </c>
      <c r="GA22" s="49">
        <v>46378</v>
      </c>
      <c r="GB22" s="49">
        <v>46379</v>
      </c>
      <c r="GC22" s="49">
        <v>46380</v>
      </c>
      <c r="GD22" s="49">
        <v>46381</v>
      </c>
      <c r="GE22" s="49">
        <v>46382</v>
      </c>
      <c r="GF22" s="49">
        <v>46383</v>
      </c>
      <c r="GG22" s="49">
        <v>46384</v>
      </c>
      <c r="GH22" s="49">
        <v>46385</v>
      </c>
      <c r="GI22" s="49">
        <v>46386</v>
      </c>
      <c r="GJ22" s="49">
        <v>46387</v>
      </c>
      <c r="GK22" s="49">
        <v>46388</v>
      </c>
      <c r="GL22" s="49">
        <v>46389</v>
      </c>
      <c r="GM22" s="49">
        <v>46390</v>
      </c>
      <c r="GN22" s="49">
        <v>46391</v>
      </c>
      <c r="GO22" s="49">
        <v>46392</v>
      </c>
      <c r="GP22" s="49">
        <v>46393</v>
      </c>
      <c r="GQ22" s="49">
        <v>46394</v>
      </c>
      <c r="GR22" s="49">
        <v>46395</v>
      </c>
      <c r="GS22" s="49">
        <v>46396</v>
      </c>
      <c r="GT22" s="49">
        <v>46397</v>
      </c>
      <c r="GU22" s="49">
        <v>46398</v>
      </c>
      <c r="GV22" s="49">
        <v>46399</v>
      </c>
      <c r="GW22" s="49">
        <v>46400</v>
      </c>
      <c r="GX22" s="49">
        <v>46401</v>
      </c>
      <c r="GY22" s="49">
        <v>46402</v>
      </c>
      <c r="GZ22" s="49">
        <v>46403</v>
      </c>
      <c r="HA22" s="49">
        <v>46404</v>
      </c>
      <c r="HB22" s="49">
        <v>46405</v>
      </c>
      <c r="HC22" s="49">
        <v>46406</v>
      </c>
      <c r="HD22" s="49">
        <v>46407</v>
      </c>
      <c r="HE22" s="49">
        <v>46408</v>
      </c>
      <c r="HF22" s="49">
        <v>46409</v>
      </c>
      <c r="HG22" s="49">
        <v>46410</v>
      </c>
      <c r="HH22" s="49">
        <v>46411</v>
      </c>
      <c r="HI22" s="49">
        <v>46412</v>
      </c>
      <c r="HJ22" s="49">
        <v>46413</v>
      </c>
      <c r="HK22" s="49">
        <v>46414</v>
      </c>
      <c r="HL22" s="49">
        <v>46415</v>
      </c>
      <c r="HM22" s="49">
        <v>46416</v>
      </c>
      <c r="HN22" s="49">
        <v>46417</v>
      </c>
      <c r="HO22" s="49">
        <v>46418</v>
      </c>
      <c r="HP22" s="49">
        <v>46419</v>
      </c>
      <c r="HQ22" s="49">
        <v>46420</v>
      </c>
      <c r="HR22" s="49">
        <v>46421</v>
      </c>
      <c r="HS22" s="49">
        <v>46422</v>
      </c>
      <c r="HT22" s="49">
        <v>46423</v>
      </c>
      <c r="HU22" s="49">
        <v>46424</v>
      </c>
      <c r="HV22" s="49">
        <v>46425</v>
      </c>
      <c r="HW22" s="49">
        <v>46426</v>
      </c>
      <c r="HX22" s="49">
        <v>46427</v>
      </c>
      <c r="HY22" s="49">
        <v>46428</v>
      </c>
      <c r="HZ22" s="49">
        <v>46429</v>
      </c>
      <c r="IA22" s="49">
        <v>46430</v>
      </c>
      <c r="IB22" s="49">
        <v>46431</v>
      </c>
      <c r="IC22" s="49">
        <v>46432</v>
      </c>
      <c r="ID22" s="49">
        <v>46433</v>
      </c>
      <c r="IE22" s="49">
        <v>46434</v>
      </c>
      <c r="IF22" s="49">
        <v>46435</v>
      </c>
      <c r="IG22" s="49">
        <v>46436</v>
      </c>
      <c r="IH22" s="49">
        <v>46437</v>
      </c>
      <c r="II22" s="49">
        <v>46438</v>
      </c>
      <c r="IJ22" s="49">
        <v>46439</v>
      </c>
      <c r="IK22" s="49">
        <v>46440</v>
      </c>
      <c r="IL22" s="49">
        <v>46441</v>
      </c>
      <c r="IM22" s="49">
        <v>46442</v>
      </c>
      <c r="IN22" s="49">
        <v>46443</v>
      </c>
      <c r="IO22" s="49">
        <v>46444</v>
      </c>
      <c r="IP22" s="49">
        <v>46445</v>
      </c>
      <c r="IQ22" s="49">
        <v>46446</v>
      </c>
      <c r="IR22" s="49">
        <v>46447</v>
      </c>
      <c r="IS22" s="49">
        <v>46448</v>
      </c>
      <c r="IT22" s="49">
        <v>46449</v>
      </c>
      <c r="IU22" s="49">
        <v>46450</v>
      </c>
      <c r="IV22" s="49">
        <v>46451</v>
      </c>
      <c r="IW22" s="49">
        <v>46452</v>
      </c>
      <c r="IX22" s="49">
        <v>46453</v>
      </c>
      <c r="IY22" s="49">
        <v>46454</v>
      </c>
      <c r="IZ22" s="49">
        <v>46455</v>
      </c>
      <c r="JA22" s="49">
        <v>46456</v>
      </c>
      <c r="JB22" s="49">
        <v>46457</v>
      </c>
      <c r="JC22" s="49">
        <v>46458</v>
      </c>
      <c r="JD22" s="49">
        <v>46459</v>
      </c>
      <c r="JE22" s="49">
        <v>46460</v>
      </c>
      <c r="JF22" s="49">
        <v>46461</v>
      </c>
      <c r="JG22" s="49">
        <v>46462</v>
      </c>
      <c r="JH22" s="49">
        <v>46463</v>
      </c>
      <c r="JI22" s="49">
        <v>46464</v>
      </c>
      <c r="JJ22" s="49">
        <v>46465</v>
      </c>
      <c r="JK22" s="49">
        <v>46466</v>
      </c>
      <c r="JL22" s="49">
        <v>46467</v>
      </c>
      <c r="JM22" s="49">
        <v>46468</v>
      </c>
      <c r="JN22" s="49">
        <v>46469</v>
      </c>
      <c r="JO22" s="49">
        <v>46470</v>
      </c>
      <c r="JP22" s="49">
        <v>46471</v>
      </c>
      <c r="JQ22" s="49">
        <v>46472</v>
      </c>
      <c r="JR22" s="49">
        <v>46473</v>
      </c>
      <c r="JS22" s="49">
        <v>46474</v>
      </c>
      <c r="JT22" s="49">
        <v>46475</v>
      </c>
      <c r="JU22" s="49">
        <v>46476</v>
      </c>
      <c r="JV22" s="49">
        <v>46477</v>
      </c>
      <c r="JW22" s="49">
        <v>46478</v>
      </c>
      <c r="JX22" s="49">
        <v>46479</v>
      </c>
      <c r="JY22" s="49">
        <v>46480</v>
      </c>
      <c r="JZ22" s="49">
        <v>46481</v>
      </c>
      <c r="KA22" s="49">
        <v>46482</v>
      </c>
      <c r="KB22" s="49">
        <v>46483</v>
      </c>
      <c r="KC22" s="49">
        <v>46484</v>
      </c>
      <c r="KD22" s="49">
        <v>46485</v>
      </c>
      <c r="KE22" s="49">
        <v>46486</v>
      </c>
      <c r="KF22" s="49">
        <v>46487</v>
      </c>
      <c r="KG22" s="49">
        <v>46488</v>
      </c>
      <c r="KH22" s="49">
        <v>46489</v>
      </c>
      <c r="KI22" s="49">
        <v>46490</v>
      </c>
      <c r="KJ22" s="49">
        <v>46491</v>
      </c>
      <c r="KK22" s="49">
        <v>46492</v>
      </c>
      <c r="KL22" s="49">
        <v>46493</v>
      </c>
      <c r="KM22" s="49">
        <v>46494</v>
      </c>
      <c r="KN22" s="49">
        <v>46495</v>
      </c>
      <c r="KO22" s="49">
        <v>46496</v>
      </c>
      <c r="KP22" s="49">
        <v>46497</v>
      </c>
      <c r="KQ22" s="49">
        <v>46498</v>
      </c>
      <c r="KR22" s="49">
        <v>46499</v>
      </c>
      <c r="KS22" s="49">
        <v>46500</v>
      </c>
      <c r="KT22" s="49">
        <v>46501</v>
      </c>
      <c r="KU22" s="49">
        <v>46502</v>
      </c>
      <c r="KV22" s="49">
        <v>46503</v>
      </c>
      <c r="KW22" s="49">
        <v>46504</v>
      </c>
      <c r="KX22" s="49">
        <v>46505</v>
      </c>
      <c r="KY22" s="49">
        <v>46506</v>
      </c>
      <c r="KZ22" s="49">
        <v>46507</v>
      </c>
      <c r="LA22" s="49">
        <v>46508</v>
      </c>
      <c r="LB22" s="49">
        <v>46509</v>
      </c>
      <c r="LC22" s="49">
        <v>46510</v>
      </c>
      <c r="LD22" s="49">
        <v>46511</v>
      </c>
      <c r="LE22" s="49">
        <v>46512</v>
      </c>
      <c r="LF22" s="49">
        <v>46513</v>
      </c>
      <c r="LG22" s="49">
        <v>46514</v>
      </c>
      <c r="LH22" s="49">
        <v>46515</v>
      </c>
      <c r="LI22" s="49">
        <v>46516</v>
      </c>
      <c r="LJ22" s="49">
        <v>46517</v>
      </c>
      <c r="LK22" s="49">
        <v>46518</v>
      </c>
      <c r="LL22" s="49">
        <v>46519</v>
      </c>
      <c r="LM22" s="49">
        <v>46520</v>
      </c>
      <c r="LN22" s="49">
        <v>46521</v>
      </c>
      <c r="LO22" s="49">
        <v>46522</v>
      </c>
      <c r="LP22" s="49">
        <v>46523</v>
      </c>
      <c r="LQ22" s="49">
        <v>46524</v>
      </c>
      <c r="LR22" s="49">
        <v>46525</v>
      </c>
      <c r="LS22" s="49">
        <v>46526</v>
      </c>
      <c r="LT22" s="49">
        <v>46527</v>
      </c>
      <c r="LU22" s="49">
        <v>46528</v>
      </c>
      <c r="LV22" s="49">
        <v>46529</v>
      </c>
      <c r="LW22" s="49">
        <v>46530</v>
      </c>
      <c r="LX22" s="49">
        <v>46531</v>
      </c>
      <c r="LY22" s="49">
        <v>46532</v>
      </c>
      <c r="LZ22" s="49">
        <v>46533</v>
      </c>
      <c r="MA22" s="49">
        <v>46534</v>
      </c>
      <c r="MB22" s="49">
        <v>46535</v>
      </c>
      <c r="MC22" s="49">
        <v>46536</v>
      </c>
      <c r="MD22" s="49">
        <v>46537</v>
      </c>
      <c r="ME22" s="49">
        <v>46538</v>
      </c>
      <c r="MF22" s="49">
        <v>46539</v>
      </c>
      <c r="MG22" s="49">
        <v>46540</v>
      </c>
      <c r="MH22" s="49">
        <v>46541</v>
      </c>
      <c r="MI22" s="49">
        <v>46542</v>
      </c>
      <c r="MJ22" s="49">
        <v>46543</v>
      </c>
      <c r="MK22" s="49">
        <v>46544</v>
      </c>
      <c r="ML22" s="49">
        <v>46545</v>
      </c>
      <c r="MM22" s="49">
        <v>46546</v>
      </c>
      <c r="MN22" s="49">
        <v>46547</v>
      </c>
      <c r="MO22" s="49">
        <v>46548</v>
      </c>
      <c r="MP22" s="49">
        <v>46549</v>
      </c>
      <c r="MQ22" s="49">
        <v>46550</v>
      </c>
      <c r="MR22" s="49">
        <v>46551</v>
      </c>
      <c r="MS22" s="49">
        <v>46552</v>
      </c>
      <c r="MT22" s="49">
        <v>46553</v>
      </c>
      <c r="MU22" s="49">
        <v>46554</v>
      </c>
      <c r="MV22" s="49">
        <v>46555</v>
      </c>
      <c r="MW22" s="49">
        <v>46556</v>
      </c>
      <c r="MX22" s="49">
        <v>46557</v>
      </c>
      <c r="MY22" s="49">
        <v>46558</v>
      </c>
      <c r="MZ22" s="49">
        <v>46559</v>
      </c>
      <c r="NA22" s="49">
        <v>46560</v>
      </c>
      <c r="NB22" s="49">
        <v>46561</v>
      </c>
      <c r="NC22" s="49">
        <v>46562</v>
      </c>
      <c r="ND22" s="49">
        <v>46563</v>
      </c>
      <c r="NE22" s="49">
        <v>46564</v>
      </c>
      <c r="NF22" s="49">
        <v>46565</v>
      </c>
      <c r="NG22" s="49">
        <v>46566</v>
      </c>
      <c r="NH22" s="49">
        <v>46567</v>
      </c>
      <c r="NI22" s="49">
        <v>46568</v>
      </c>
    </row>
    <row r="23" spans="1:373" x14ac:dyDescent="0.25">
      <c r="A23" t="s">
        <v>103</v>
      </c>
      <c r="B23" s="100">
        <v>6000</v>
      </c>
      <c r="C23" s="101" t="s">
        <v>101</v>
      </c>
      <c r="D23" s="102">
        <v>46204</v>
      </c>
      <c r="E23" s="102"/>
      <c r="G23" t="s">
        <v>103</v>
      </c>
      <c r="H23" cm="1">
        <f t="array" ref="H23:H28">oz.SumRowsλ(_xlfn.ANCHORARRAY(I23))</f>
        <v>162000</v>
      </c>
      <c r="I23" s="85" cm="1">
        <f t="array" ref="I23:NI28">oz.IsOccurrenceDateλ(_xlfn.ANCHORARRAY(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104</v>
      </c>
      <c r="B24" s="100">
        <v>-4500</v>
      </c>
      <c r="C24" s="101" t="s">
        <v>20</v>
      </c>
      <c r="D24" s="102">
        <v>46208</v>
      </c>
      <c r="E24" s="102">
        <v>48760</v>
      </c>
      <c r="G24" t="s">
        <v>104</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-4500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-4500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-4500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-4500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-4500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-4500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105</v>
      </c>
      <c r="B25" s="100">
        <v>-2000</v>
      </c>
      <c r="C25" s="101" t="s">
        <v>106</v>
      </c>
      <c r="D25" s="102">
        <v>46204</v>
      </c>
      <c r="E25" s="102"/>
      <c r="G25" t="s">
        <v>105</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-2000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110</v>
      </c>
      <c r="B26" s="100">
        <v>-500</v>
      </c>
      <c r="C26" s="101" t="s">
        <v>109</v>
      </c>
      <c r="D26" s="102">
        <v>46213</v>
      </c>
      <c r="E26" s="102"/>
      <c r="G26" t="s">
        <v>110</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0</v>
      </c>
      <c r="DF26">
        <v>-500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0</v>
      </c>
      <c r="GS26">
        <v>0</v>
      </c>
      <c r="GT26">
        <v>-500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108</v>
      </c>
      <c r="B27" s="100">
        <v>-75</v>
      </c>
      <c r="C27" s="101" t="s">
        <v>107</v>
      </c>
      <c r="D27" s="102">
        <v>46206</v>
      </c>
      <c r="E27" s="102"/>
      <c r="G27" t="s">
        <v>108</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111</v>
      </c>
      <c r="B28" s="100">
        <v>-19</v>
      </c>
      <c r="C28" s="101" t="s">
        <v>102</v>
      </c>
      <c r="D28" s="102">
        <v>46204</v>
      </c>
      <c r="E28" s="102"/>
      <c r="G28" t="s">
        <v>111</v>
      </c>
      <c r="H28">
        <v>-4959</v>
      </c>
      <c r="I28">
        <v>-19</v>
      </c>
      <c r="J28">
        <v>-19</v>
      </c>
      <c r="K28">
        <v>-19</v>
      </c>
      <c r="L28">
        <v>0</v>
      </c>
      <c r="M28">
        <v>0</v>
      </c>
      <c r="N28">
        <v>-19</v>
      </c>
      <c r="O28">
        <v>-19</v>
      </c>
      <c r="P28">
        <v>-19</v>
      </c>
      <c r="Q28">
        <v>-19</v>
      </c>
      <c r="R28">
        <v>-19</v>
      </c>
      <c r="S28">
        <v>0</v>
      </c>
      <c r="T28">
        <v>0</v>
      </c>
      <c r="U28">
        <v>-19</v>
      </c>
      <c r="V28">
        <v>-19</v>
      </c>
      <c r="W28">
        <v>-19</v>
      </c>
      <c r="X28">
        <v>-19</v>
      </c>
      <c r="Y28">
        <v>-19</v>
      </c>
      <c r="Z28">
        <v>0</v>
      </c>
      <c r="AA28">
        <v>0</v>
      </c>
      <c r="AB28">
        <v>-19</v>
      </c>
      <c r="AC28">
        <v>-19</v>
      </c>
      <c r="AD28">
        <v>-19</v>
      </c>
      <c r="AE28">
        <v>-19</v>
      </c>
      <c r="AF28">
        <v>-19</v>
      </c>
      <c r="AG28">
        <v>0</v>
      </c>
      <c r="AH28">
        <v>0</v>
      </c>
      <c r="AI28">
        <v>-19</v>
      </c>
      <c r="AJ28">
        <v>-19</v>
      </c>
      <c r="AK28">
        <v>-19</v>
      </c>
      <c r="AL28">
        <v>-19</v>
      </c>
      <c r="AM28">
        <v>-19</v>
      </c>
      <c r="AN28">
        <v>0</v>
      </c>
      <c r="AO28">
        <v>0</v>
      </c>
      <c r="AP28">
        <v>-19</v>
      </c>
      <c r="AQ28">
        <v>-19</v>
      </c>
      <c r="AR28">
        <v>-19</v>
      </c>
      <c r="AS28">
        <v>-19</v>
      </c>
      <c r="AT28">
        <v>-19</v>
      </c>
      <c r="AU28">
        <v>0</v>
      </c>
      <c r="AV28">
        <v>0</v>
      </c>
      <c r="AW28">
        <v>-19</v>
      </c>
      <c r="AX28">
        <v>-19</v>
      </c>
      <c r="AY28">
        <v>-19</v>
      </c>
      <c r="AZ28">
        <v>-19</v>
      </c>
      <c r="BA28">
        <v>-19</v>
      </c>
      <c r="BB28">
        <v>0</v>
      </c>
      <c r="BC28">
        <v>0</v>
      </c>
      <c r="BD28">
        <v>-19</v>
      </c>
      <c r="BE28">
        <v>-19</v>
      </c>
      <c r="BF28">
        <v>-19</v>
      </c>
      <c r="BG28">
        <v>-19</v>
      </c>
      <c r="BH28">
        <v>-19</v>
      </c>
      <c r="BI28">
        <v>0</v>
      </c>
      <c r="BJ28">
        <v>0</v>
      </c>
      <c r="BK28">
        <v>-19</v>
      </c>
      <c r="BL28">
        <v>-19</v>
      </c>
      <c r="BM28">
        <v>-19</v>
      </c>
      <c r="BN28">
        <v>-19</v>
      </c>
      <c r="BO28">
        <v>-19</v>
      </c>
      <c r="BP28">
        <v>0</v>
      </c>
      <c r="BQ28">
        <v>0</v>
      </c>
      <c r="BR28">
        <v>-19</v>
      </c>
      <c r="BS28">
        <v>-19</v>
      </c>
      <c r="BT28">
        <v>-19</v>
      </c>
      <c r="BU28">
        <v>-19</v>
      </c>
      <c r="BV28">
        <v>-19</v>
      </c>
      <c r="BW28">
        <v>0</v>
      </c>
      <c r="BX28">
        <v>0</v>
      </c>
      <c r="BY28">
        <v>-19</v>
      </c>
      <c r="BZ28">
        <v>-19</v>
      </c>
      <c r="CA28">
        <v>-19</v>
      </c>
      <c r="CB28">
        <v>-19</v>
      </c>
      <c r="CC28">
        <v>-19</v>
      </c>
      <c r="CD28">
        <v>0</v>
      </c>
      <c r="CE28">
        <v>0</v>
      </c>
      <c r="CF28">
        <v>-19</v>
      </c>
      <c r="CG28">
        <v>-19</v>
      </c>
      <c r="CH28">
        <v>-19</v>
      </c>
      <c r="CI28">
        <v>-19</v>
      </c>
      <c r="CJ28">
        <v>-19</v>
      </c>
      <c r="CK28">
        <v>0</v>
      </c>
      <c r="CL28">
        <v>0</v>
      </c>
      <c r="CM28">
        <v>-19</v>
      </c>
      <c r="CN28">
        <v>-19</v>
      </c>
      <c r="CO28">
        <v>-19</v>
      </c>
      <c r="CP28">
        <v>-19</v>
      </c>
      <c r="CQ28">
        <v>-19</v>
      </c>
      <c r="CR28">
        <v>0</v>
      </c>
      <c r="CS28">
        <v>0</v>
      </c>
      <c r="CT28">
        <v>-19</v>
      </c>
      <c r="CU28">
        <v>-19</v>
      </c>
      <c r="CV28">
        <v>-19</v>
      </c>
      <c r="CW28">
        <v>-19</v>
      </c>
      <c r="CX28">
        <v>-19</v>
      </c>
      <c r="CY28">
        <v>0</v>
      </c>
      <c r="CZ28">
        <v>0</v>
      </c>
      <c r="DA28">
        <v>-19</v>
      </c>
      <c r="DB28">
        <v>-19</v>
      </c>
      <c r="DC28">
        <v>-19</v>
      </c>
      <c r="DD28">
        <v>-19</v>
      </c>
      <c r="DE28">
        <v>-19</v>
      </c>
      <c r="DF28">
        <v>0</v>
      </c>
      <c r="DG28">
        <v>0</v>
      </c>
      <c r="DH28">
        <v>-19</v>
      </c>
      <c r="DI28">
        <v>-19</v>
      </c>
      <c r="DJ28">
        <v>-19</v>
      </c>
      <c r="DK28">
        <v>-19</v>
      </c>
      <c r="DL28">
        <v>-19</v>
      </c>
      <c r="DM28">
        <v>0</v>
      </c>
      <c r="DN28">
        <v>0</v>
      </c>
      <c r="DO28">
        <v>-19</v>
      </c>
      <c r="DP28">
        <v>-19</v>
      </c>
      <c r="DQ28">
        <v>-19</v>
      </c>
      <c r="DR28">
        <v>-19</v>
      </c>
      <c r="DS28">
        <v>-19</v>
      </c>
      <c r="DT28">
        <v>0</v>
      </c>
      <c r="DU28">
        <v>0</v>
      </c>
      <c r="DV28">
        <v>-19</v>
      </c>
      <c r="DW28">
        <v>-19</v>
      </c>
      <c r="DX28">
        <v>-19</v>
      </c>
      <c r="DY28">
        <v>-19</v>
      </c>
      <c r="DZ28">
        <v>-19</v>
      </c>
      <c r="EA28">
        <v>0</v>
      </c>
      <c r="EB28">
        <v>0</v>
      </c>
      <c r="EC28">
        <v>-19</v>
      </c>
      <c r="ED28">
        <v>-19</v>
      </c>
      <c r="EE28">
        <v>-19</v>
      </c>
      <c r="EF28">
        <v>-19</v>
      </c>
      <c r="EG28">
        <v>-19</v>
      </c>
      <c r="EH28">
        <v>0</v>
      </c>
      <c r="EI28">
        <v>0</v>
      </c>
      <c r="EJ28">
        <v>-19</v>
      </c>
      <c r="EK28">
        <v>-19</v>
      </c>
      <c r="EL28">
        <v>-19</v>
      </c>
      <c r="EM28">
        <v>-19</v>
      </c>
      <c r="EN28">
        <v>-19</v>
      </c>
      <c r="EO28">
        <v>0</v>
      </c>
      <c r="EP28">
        <v>0</v>
      </c>
      <c r="EQ28">
        <v>-19</v>
      </c>
      <c r="ER28">
        <v>-19</v>
      </c>
      <c r="ES28">
        <v>-19</v>
      </c>
      <c r="ET28">
        <v>-19</v>
      </c>
      <c r="EU28">
        <v>-19</v>
      </c>
      <c r="EV28">
        <v>0</v>
      </c>
      <c r="EW28">
        <v>0</v>
      </c>
      <c r="EX28">
        <v>-19</v>
      </c>
      <c r="EY28">
        <v>-19</v>
      </c>
      <c r="EZ28">
        <v>-19</v>
      </c>
      <c r="FA28">
        <v>-19</v>
      </c>
      <c r="FB28">
        <v>-19</v>
      </c>
      <c r="FC28">
        <v>0</v>
      </c>
      <c r="FD28">
        <v>0</v>
      </c>
      <c r="FE28">
        <v>-19</v>
      </c>
      <c r="FF28">
        <v>-19</v>
      </c>
      <c r="FG28">
        <v>-19</v>
      </c>
      <c r="FH28">
        <v>-19</v>
      </c>
      <c r="FI28">
        <v>-19</v>
      </c>
      <c r="FJ28">
        <v>0</v>
      </c>
      <c r="FK28">
        <v>0</v>
      </c>
      <c r="FL28">
        <v>-19</v>
      </c>
      <c r="FM28">
        <v>-19</v>
      </c>
      <c r="FN28">
        <v>-19</v>
      </c>
      <c r="FO28">
        <v>-19</v>
      </c>
      <c r="FP28">
        <v>-19</v>
      </c>
      <c r="FQ28">
        <v>0</v>
      </c>
      <c r="FR28">
        <v>0</v>
      </c>
      <c r="FS28">
        <v>-19</v>
      </c>
      <c r="FT28">
        <v>-19</v>
      </c>
      <c r="FU28">
        <v>-19</v>
      </c>
      <c r="FV28">
        <v>-19</v>
      </c>
      <c r="FW28">
        <v>-19</v>
      </c>
      <c r="FX28">
        <v>0</v>
      </c>
      <c r="FY28">
        <v>0</v>
      </c>
      <c r="FZ28">
        <v>-19</v>
      </c>
      <c r="GA28">
        <v>-19</v>
      </c>
      <c r="GB28">
        <v>-19</v>
      </c>
      <c r="GC28">
        <v>-19</v>
      </c>
      <c r="GD28">
        <v>-19</v>
      </c>
      <c r="GE28">
        <v>0</v>
      </c>
      <c r="GF28">
        <v>0</v>
      </c>
      <c r="GG28">
        <v>-19</v>
      </c>
      <c r="GH28">
        <v>-19</v>
      </c>
      <c r="GI28">
        <v>-19</v>
      </c>
      <c r="GJ28">
        <v>-19</v>
      </c>
      <c r="GK28">
        <v>-19</v>
      </c>
      <c r="GL28">
        <v>0</v>
      </c>
      <c r="GM28">
        <v>0</v>
      </c>
      <c r="GN28">
        <v>-19</v>
      </c>
      <c r="GO28">
        <v>-19</v>
      </c>
      <c r="GP28">
        <v>-19</v>
      </c>
      <c r="GQ28">
        <v>-19</v>
      </c>
      <c r="GR28">
        <v>-19</v>
      </c>
      <c r="GS28">
        <v>0</v>
      </c>
      <c r="GT28">
        <v>0</v>
      </c>
      <c r="GU28">
        <v>-19</v>
      </c>
      <c r="GV28">
        <v>-19</v>
      </c>
      <c r="GW28">
        <v>-19</v>
      </c>
      <c r="GX28">
        <v>-19</v>
      </c>
      <c r="GY28">
        <v>-19</v>
      </c>
      <c r="GZ28">
        <v>0</v>
      </c>
      <c r="HA28">
        <v>0</v>
      </c>
      <c r="HB28">
        <v>-19</v>
      </c>
      <c r="HC28">
        <v>-19</v>
      </c>
      <c r="HD28">
        <v>-19</v>
      </c>
      <c r="HE28">
        <v>-19</v>
      </c>
      <c r="HF28">
        <v>-19</v>
      </c>
      <c r="HG28">
        <v>0</v>
      </c>
      <c r="HH28">
        <v>0</v>
      </c>
      <c r="HI28">
        <v>-19</v>
      </c>
      <c r="HJ28">
        <v>-19</v>
      </c>
      <c r="HK28">
        <v>-19</v>
      </c>
      <c r="HL28">
        <v>-19</v>
      </c>
      <c r="HM28">
        <v>-19</v>
      </c>
      <c r="HN28">
        <v>0</v>
      </c>
      <c r="HO28">
        <v>0</v>
      </c>
      <c r="HP28">
        <v>-19</v>
      </c>
      <c r="HQ28">
        <v>-19</v>
      </c>
      <c r="HR28">
        <v>-19</v>
      </c>
      <c r="HS28">
        <v>-19</v>
      </c>
      <c r="HT28">
        <v>-19</v>
      </c>
      <c r="HU28">
        <v>0</v>
      </c>
      <c r="HV28">
        <v>0</v>
      </c>
      <c r="HW28">
        <v>-19</v>
      </c>
      <c r="HX28">
        <v>-19</v>
      </c>
      <c r="HY28">
        <v>-19</v>
      </c>
      <c r="HZ28">
        <v>-19</v>
      </c>
      <c r="IA28">
        <v>-19</v>
      </c>
      <c r="IB28">
        <v>0</v>
      </c>
      <c r="IC28">
        <v>0</v>
      </c>
      <c r="ID28">
        <v>-19</v>
      </c>
      <c r="IE28">
        <v>-19</v>
      </c>
      <c r="IF28">
        <v>-19</v>
      </c>
      <c r="IG28">
        <v>-19</v>
      </c>
      <c r="IH28">
        <v>-19</v>
      </c>
      <c r="II28">
        <v>0</v>
      </c>
      <c r="IJ28">
        <v>0</v>
      </c>
      <c r="IK28">
        <v>-19</v>
      </c>
      <c r="IL28">
        <v>-19</v>
      </c>
      <c r="IM28">
        <v>-19</v>
      </c>
      <c r="IN28">
        <v>-19</v>
      </c>
      <c r="IO28">
        <v>-19</v>
      </c>
      <c r="IP28">
        <v>0</v>
      </c>
      <c r="IQ28">
        <v>0</v>
      </c>
      <c r="IR28">
        <v>-19</v>
      </c>
      <c r="IS28">
        <v>-19</v>
      </c>
      <c r="IT28">
        <v>-19</v>
      </c>
      <c r="IU28">
        <v>-19</v>
      </c>
      <c r="IV28">
        <v>-19</v>
      </c>
      <c r="IW28">
        <v>0</v>
      </c>
      <c r="IX28">
        <v>0</v>
      </c>
      <c r="IY28">
        <v>-19</v>
      </c>
      <c r="IZ28">
        <v>-19</v>
      </c>
      <c r="JA28">
        <v>-19</v>
      </c>
      <c r="JB28">
        <v>-19</v>
      </c>
      <c r="JC28">
        <v>-19</v>
      </c>
      <c r="JD28">
        <v>0</v>
      </c>
      <c r="JE28">
        <v>0</v>
      </c>
      <c r="JF28">
        <v>-19</v>
      </c>
      <c r="JG28">
        <v>-19</v>
      </c>
      <c r="JH28">
        <v>-19</v>
      </c>
      <c r="JI28">
        <v>-19</v>
      </c>
      <c r="JJ28">
        <v>-19</v>
      </c>
      <c r="JK28">
        <v>0</v>
      </c>
      <c r="JL28">
        <v>0</v>
      </c>
      <c r="JM28">
        <v>-19</v>
      </c>
      <c r="JN28">
        <v>-19</v>
      </c>
      <c r="JO28">
        <v>-19</v>
      </c>
      <c r="JP28">
        <v>-19</v>
      </c>
      <c r="JQ28">
        <v>-19</v>
      </c>
      <c r="JR28">
        <v>0</v>
      </c>
      <c r="JS28">
        <v>0</v>
      </c>
      <c r="JT28">
        <v>-19</v>
      </c>
      <c r="JU28">
        <v>-19</v>
      </c>
      <c r="JV28">
        <v>-19</v>
      </c>
      <c r="JW28">
        <v>-19</v>
      </c>
      <c r="JX28">
        <v>-19</v>
      </c>
      <c r="JY28">
        <v>0</v>
      </c>
      <c r="JZ28">
        <v>0</v>
      </c>
      <c r="KA28">
        <v>-19</v>
      </c>
      <c r="KB28">
        <v>-19</v>
      </c>
      <c r="KC28">
        <v>-19</v>
      </c>
      <c r="KD28">
        <v>-19</v>
      </c>
      <c r="KE28">
        <v>-19</v>
      </c>
      <c r="KF28">
        <v>0</v>
      </c>
      <c r="KG28">
        <v>0</v>
      </c>
      <c r="KH28">
        <v>-19</v>
      </c>
      <c r="KI28">
        <v>-19</v>
      </c>
      <c r="KJ28">
        <v>-19</v>
      </c>
      <c r="KK28">
        <v>-19</v>
      </c>
      <c r="KL28">
        <v>-19</v>
      </c>
      <c r="KM28">
        <v>0</v>
      </c>
      <c r="KN28">
        <v>0</v>
      </c>
      <c r="KO28">
        <v>-19</v>
      </c>
      <c r="KP28">
        <v>-19</v>
      </c>
      <c r="KQ28">
        <v>-19</v>
      </c>
      <c r="KR28">
        <v>-19</v>
      </c>
      <c r="KS28">
        <v>-19</v>
      </c>
      <c r="KT28">
        <v>0</v>
      </c>
      <c r="KU28">
        <v>0</v>
      </c>
      <c r="KV28">
        <v>-19</v>
      </c>
      <c r="KW28">
        <v>-19</v>
      </c>
      <c r="KX28">
        <v>-19</v>
      </c>
      <c r="KY28">
        <v>-19</v>
      </c>
      <c r="KZ28">
        <v>-19</v>
      </c>
      <c r="LA28">
        <v>0</v>
      </c>
      <c r="LB28">
        <v>0</v>
      </c>
      <c r="LC28">
        <v>-19</v>
      </c>
      <c r="LD28">
        <v>-19</v>
      </c>
      <c r="LE28">
        <v>-19</v>
      </c>
      <c r="LF28">
        <v>-19</v>
      </c>
      <c r="LG28">
        <v>-19</v>
      </c>
      <c r="LH28">
        <v>0</v>
      </c>
      <c r="LI28">
        <v>0</v>
      </c>
      <c r="LJ28">
        <v>-19</v>
      </c>
      <c r="LK28">
        <v>-19</v>
      </c>
      <c r="LL28">
        <v>-19</v>
      </c>
      <c r="LM28">
        <v>-19</v>
      </c>
      <c r="LN28">
        <v>-19</v>
      </c>
      <c r="LO28">
        <v>0</v>
      </c>
      <c r="LP28">
        <v>0</v>
      </c>
      <c r="LQ28">
        <v>-19</v>
      </c>
      <c r="LR28">
        <v>-19</v>
      </c>
      <c r="LS28">
        <v>-19</v>
      </c>
      <c r="LT28">
        <v>-19</v>
      </c>
      <c r="LU28">
        <v>-19</v>
      </c>
      <c r="LV28">
        <v>0</v>
      </c>
      <c r="LW28">
        <v>0</v>
      </c>
      <c r="LX28">
        <v>-19</v>
      </c>
      <c r="LY28">
        <v>-19</v>
      </c>
      <c r="LZ28">
        <v>-19</v>
      </c>
      <c r="MA28">
        <v>-19</v>
      </c>
      <c r="MB28">
        <v>-19</v>
      </c>
      <c r="MC28">
        <v>0</v>
      </c>
      <c r="MD28">
        <v>0</v>
      </c>
      <c r="ME28">
        <v>-19</v>
      </c>
      <c r="MF28">
        <v>-19</v>
      </c>
      <c r="MG28">
        <v>-19</v>
      </c>
      <c r="MH28">
        <v>-19</v>
      </c>
      <c r="MI28">
        <v>-19</v>
      </c>
      <c r="MJ28">
        <v>0</v>
      </c>
      <c r="MK28">
        <v>0</v>
      </c>
      <c r="ML28">
        <v>-19</v>
      </c>
      <c r="MM28">
        <v>-19</v>
      </c>
      <c r="MN28">
        <v>-19</v>
      </c>
      <c r="MO28">
        <v>-19</v>
      </c>
      <c r="MP28">
        <v>-19</v>
      </c>
      <c r="MQ28">
        <v>0</v>
      </c>
      <c r="MR28">
        <v>0</v>
      </c>
      <c r="MS28">
        <v>-19</v>
      </c>
      <c r="MT28">
        <v>-19</v>
      </c>
      <c r="MU28">
        <v>-19</v>
      </c>
      <c r="MV28">
        <v>-19</v>
      </c>
      <c r="MW28">
        <v>-19</v>
      </c>
      <c r="MX28">
        <v>0</v>
      </c>
      <c r="MY28">
        <v>0</v>
      </c>
      <c r="MZ28">
        <v>-19</v>
      </c>
      <c r="NA28">
        <v>-19</v>
      </c>
      <c r="NB28">
        <v>-19</v>
      </c>
      <c r="NC28">
        <v>-19</v>
      </c>
      <c r="ND28">
        <v>-19</v>
      </c>
      <c r="NE28">
        <v>0</v>
      </c>
      <c r="NF28">
        <v>0</v>
      </c>
      <c r="NG28">
        <v>-19</v>
      </c>
      <c r="NH28">
        <v>-19</v>
      </c>
      <c r="NI28">
        <v>-19</v>
      </c>
    </row>
    <row r="32" spans="1:373" x14ac:dyDescent="0.25">
      <c r="G32" s="42" t="s">
        <v>196</v>
      </c>
      <c r="H32" s="48" t="s">
        <v>123</v>
      </c>
      <c r="I32" s="49" cm="1">
        <f t="array" ref="I32:T32">oz.Timelineλ("1/7/2026", 12, "M")</f>
        <v>46204</v>
      </c>
      <c r="J32" s="49">
        <v>46235</v>
      </c>
      <c r="K32" s="49">
        <v>46266</v>
      </c>
      <c r="L32" s="49">
        <v>46296</v>
      </c>
      <c r="M32" s="49">
        <v>46327</v>
      </c>
      <c r="N32" s="49">
        <v>46357</v>
      </c>
      <c r="O32" s="49">
        <v>46388</v>
      </c>
      <c r="P32" s="49">
        <v>46419</v>
      </c>
      <c r="Q32" s="49">
        <v>46447</v>
      </c>
      <c r="R32" s="49">
        <v>46478</v>
      </c>
      <c r="S32" s="49">
        <v>46508</v>
      </c>
      <c r="T32" s="49">
        <v>46539</v>
      </c>
    </row>
    <row r="33" spans="7:20" x14ac:dyDescent="0.25">
      <c r="G33" t="s">
        <v>103</v>
      </c>
      <c r="H33" cm="1">
        <f t="array" ref="H33:H38">oz.SumRowsλ(_xlfn.ANCHORARRAY(I33))</f>
        <v>162000</v>
      </c>
      <c r="I33" s="55" cm="1">
        <f t="array" ref="I33:T38">oz.SumPeriodsλ(_xlfn.ANCHORARRAY(I23),_xlfn.ANCHORARRAY(I22),_xlfn.ANCHORARRAY( I32))</f>
        <v>18000</v>
      </c>
      <c r="J33">
        <v>12000</v>
      </c>
      <c r="K33">
        <v>12000</v>
      </c>
      <c r="L33">
        <v>12000</v>
      </c>
      <c r="M33">
        <v>12000</v>
      </c>
      <c r="N33">
        <v>18000</v>
      </c>
      <c r="O33">
        <v>12000</v>
      </c>
      <c r="P33">
        <v>12000</v>
      </c>
      <c r="Q33">
        <v>12000</v>
      </c>
      <c r="R33">
        <v>12000</v>
      </c>
      <c r="S33">
        <v>12000</v>
      </c>
      <c r="T33">
        <v>18000</v>
      </c>
    </row>
    <row r="34" spans="7:20" x14ac:dyDescent="0.25">
      <c r="G34" t="s">
        <v>104</v>
      </c>
      <c r="H34">
        <v>-54000</v>
      </c>
      <c r="I34">
        <v>-4500</v>
      </c>
      <c r="J34">
        <v>-4500</v>
      </c>
      <c r="K34">
        <v>-4500</v>
      </c>
      <c r="L34">
        <v>-4500</v>
      </c>
      <c r="M34">
        <v>-4500</v>
      </c>
      <c r="N34">
        <v>-4500</v>
      </c>
      <c r="O34">
        <v>-4500</v>
      </c>
      <c r="P34">
        <v>-4500</v>
      </c>
      <c r="Q34">
        <v>-4500</v>
      </c>
      <c r="R34">
        <v>-4500</v>
      </c>
      <c r="S34">
        <v>-4500</v>
      </c>
      <c r="T34">
        <v>-4500</v>
      </c>
    </row>
    <row r="35" spans="7:20" x14ac:dyDescent="0.25">
      <c r="G35" t="s">
        <v>105</v>
      </c>
      <c r="H35">
        <v>-4000</v>
      </c>
      <c r="I35">
        <v>-2000</v>
      </c>
      <c r="J35">
        <v>0</v>
      </c>
      <c r="K35">
        <v>0</v>
      </c>
      <c r="L35">
        <v>0</v>
      </c>
      <c r="M35">
        <v>0</v>
      </c>
      <c r="N35">
        <v>0</v>
      </c>
      <c r="O35">
        <v>-2000</v>
      </c>
      <c r="P35">
        <v>0</v>
      </c>
      <c r="Q35">
        <v>0</v>
      </c>
      <c r="R35">
        <v>0</v>
      </c>
      <c r="S35">
        <v>0</v>
      </c>
      <c r="T35">
        <v>0</v>
      </c>
    </row>
    <row r="36" spans="7:20" x14ac:dyDescent="0.25">
      <c r="G36" t="s">
        <v>110</v>
      </c>
      <c r="H36">
        <v>-2000</v>
      </c>
      <c r="I36">
        <v>-500</v>
      </c>
      <c r="J36">
        <v>0</v>
      </c>
      <c r="K36">
        <v>0</v>
      </c>
      <c r="L36">
        <v>-500</v>
      </c>
      <c r="M36">
        <v>0</v>
      </c>
      <c r="N36">
        <v>0</v>
      </c>
      <c r="O36">
        <v>-500</v>
      </c>
      <c r="P36">
        <v>0</v>
      </c>
      <c r="Q36">
        <v>0</v>
      </c>
      <c r="R36">
        <v>-500</v>
      </c>
      <c r="S36">
        <v>0</v>
      </c>
      <c r="T36">
        <v>0</v>
      </c>
    </row>
    <row r="37" spans="7:20" x14ac:dyDescent="0.25">
      <c r="G37" t="s">
        <v>108</v>
      </c>
      <c r="H37">
        <v>-3900</v>
      </c>
      <c r="I37">
        <v>-375</v>
      </c>
      <c r="J37">
        <v>-300</v>
      </c>
      <c r="K37">
        <v>-300</v>
      </c>
      <c r="L37">
        <v>-375</v>
      </c>
      <c r="M37">
        <v>-300</v>
      </c>
      <c r="N37">
        <v>-300</v>
      </c>
      <c r="O37">
        <v>-375</v>
      </c>
      <c r="P37">
        <v>-300</v>
      </c>
      <c r="Q37">
        <v>-300</v>
      </c>
      <c r="R37">
        <v>-375</v>
      </c>
      <c r="S37">
        <v>-300</v>
      </c>
      <c r="T37">
        <v>-300</v>
      </c>
    </row>
    <row r="38" spans="7:20" x14ac:dyDescent="0.25">
      <c r="G38" t="s">
        <v>111</v>
      </c>
      <c r="H38">
        <v>-4959</v>
      </c>
      <c r="I38">
        <v>-437</v>
      </c>
      <c r="J38">
        <v>-399</v>
      </c>
      <c r="K38">
        <v>-418</v>
      </c>
      <c r="L38">
        <v>-418</v>
      </c>
      <c r="M38">
        <v>-399</v>
      </c>
      <c r="N38">
        <v>-437</v>
      </c>
      <c r="O38">
        <v>-399</v>
      </c>
      <c r="P38">
        <v>-380</v>
      </c>
      <c r="Q38">
        <v>-437</v>
      </c>
      <c r="R38">
        <v>-418</v>
      </c>
      <c r="S38">
        <v>-399</v>
      </c>
      <c r="T38">
        <v>-418</v>
      </c>
    </row>
  </sheetData>
  <mergeCells count="3">
    <mergeCell ref="A1:Q1"/>
    <mergeCell ref="A21:E21"/>
    <mergeCell ref="A2:O2"/>
  </mergeCells>
  <hyperlinks>
    <hyperlink ref="A1" location="'TOC'!$A$1" display="'TOC'!$A$1" xr:uid="{B9933F6E-8B86-46EB-9647-C53B5EC99776}"/>
  </hyperlinks>
  <pageMargins left="0.7" right="0.7" top="0.75" bottom="0.75" header="0.3" footer="0.3"/>
  <pageSetup paperSize="9" scale="48" fitToHeight="0" orientation="landscape" horizontalDpi="0" verticalDpi="0"/>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66023C"/>
    <pageSetUpPr fitToPage="1"/>
  </sheetPr>
  <dimension ref="A1:NC25"/>
  <sheetViews>
    <sheetView showGridLines="0" workbookViewId="0">
      <pane xSplit="2" topLeftCell="C1" activePane="topRight" state="frozen"/>
      <selection sqref="A1:P1"/>
      <selection pane="topRight" activeCell="C1" sqref="C1"/>
    </sheetView>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6.5" x14ac:dyDescent="0.7">
      <c r="A1" s="185" t="str">
        <f ca="1">_xlfn.TEXTAFTER(CELL("filename",A1),"]")</f>
        <v>oz.TimelineOffsetλ</v>
      </c>
      <c r="B1" s="185"/>
      <c r="C1" s="185"/>
      <c r="D1" s="185"/>
      <c r="E1" s="185"/>
      <c r="F1" s="185"/>
      <c r="G1" s="185"/>
      <c r="H1" s="185"/>
      <c r="I1" s="185"/>
      <c r="J1" s="185"/>
      <c r="K1" s="185"/>
      <c r="L1" s="185"/>
      <c r="M1" s="185"/>
      <c r="N1" s="185"/>
      <c r="O1" s="185"/>
      <c r="P1" s="185"/>
    </row>
    <row r="2" spans="1:18" x14ac:dyDescent="0.25">
      <c r="A2" s="186" t="s">
        <v>93</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5">oz.TimelineOffsetλ()</f>
        <v>FUNCTION:</v>
      </c>
      <c r="B4" t="str">
        <v>TimelineOffsetλ(Date, Timeline)</v>
      </c>
    </row>
    <row r="5" spans="1:18" x14ac:dyDescent="0.25">
      <c r="A5" t="str">
        <v>DESCRIPTION:</v>
      </c>
      <c r="B5" t="str">
        <v>Determines in which period, relative to the timeline's start and interval,</v>
      </c>
    </row>
    <row r="6" spans="1:18" x14ac:dyDescent="0.25">
      <c r="A6" s="86" t="str">
        <v/>
      </c>
      <c r="B6" t="str">
        <v>a date falls within.</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timeline (Row of period start dates)</v>
      </c>
    </row>
    <row r="12" spans="1:18" x14ac:dyDescent="0.25">
      <c r="A12" t="str">
        <v>EXAMPLES:</v>
      </c>
      <c r="B12" t="str">
        <v/>
      </c>
    </row>
    <row r="13" spans="1:18" x14ac:dyDescent="0.25">
      <c r="A13" t="str">
        <v>Result</v>
      </c>
      <c r="B13" t="str">
        <v>Formula (oz is assumed to be the module's name)</v>
      </c>
    </row>
    <row r="14" spans="1:18" x14ac:dyDescent="0.25">
      <c r="A14" t="str">
        <v>1</v>
      </c>
      <c r="B14" t="str">
        <v>=oz.TimelineOffsetλ("15/8/2026", EDATE("1/7/2026", SEQUENCE( , 12, 0)))</v>
      </c>
    </row>
    <row r="15" spans="1:18" x14ac:dyDescent="0.25">
      <c r="A15" t="str">
        <v>-11</v>
      </c>
      <c r="B15" t="str">
        <v>=oz.TimelineOffsetλ("15/8/2025", EDATE("1/7/2026", SEQUENCE( , 12, 0)))</v>
      </c>
    </row>
    <row r="17" spans="1:367" x14ac:dyDescent="0.25">
      <c r="C17" s="123" t="s">
        <v>25</v>
      </c>
    </row>
    <row r="18" spans="1:367" x14ac:dyDescent="0.25">
      <c r="A18" s="54" t="s">
        <v>198</v>
      </c>
      <c r="B18" s="48" t="s">
        <v>199</v>
      </c>
      <c r="C18" s="49" cm="1">
        <f t="array" ref="C18:NC18">oz.Timelineλ("1/7/2026", 365, "M")</f>
        <v>46204</v>
      </c>
      <c r="D18" s="49">
        <v>46235</v>
      </c>
      <c r="E18" s="49">
        <v>46266</v>
      </c>
      <c r="F18" s="49">
        <v>46296</v>
      </c>
      <c r="G18" s="49">
        <v>46327</v>
      </c>
      <c r="H18" s="49">
        <v>46357</v>
      </c>
      <c r="I18" s="49">
        <v>46388</v>
      </c>
      <c r="J18" s="49">
        <v>46419</v>
      </c>
      <c r="K18" s="49">
        <v>46447</v>
      </c>
      <c r="L18" s="49">
        <v>46478</v>
      </c>
      <c r="M18" s="49">
        <v>46508</v>
      </c>
      <c r="N18" s="49">
        <v>46539</v>
      </c>
      <c r="O18" s="49">
        <v>46569</v>
      </c>
      <c r="P18" s="49">
        <v>46600</v>
      </c>
      <c r="Q18" s="49">
        <v>46631</v>
      </c>
      <c r="R18" s="49">
        <v>46661</v>
      </c>
      <c r="S18" s="49">
        <v>46692</v>
      </c>
      <c r="T18" s="49">
        <v>46722</v>
      </c>
      <c r="U18" s="49">
        <v>46753</v>
      </c>
      <c r="V18" s="49">
        <v>46784</v>
      </c>
      <c r="W18" s="49">
        <v>46813</v>
      </c>
      <c r="X18" s="49">
        <v>46844</v>
      </c>
      <c r="Y18" s="49">
        <v>46874</v>
      </c>
      <c r="Z18" s="49">
        <v>46905</v>
      </c>
      <c r="AA18" s="49">
        <v>46935</v>
      </c>
      <c r="AB18" s="49">
        <v>46966</v>
      </c>
      <c r="AC18" s="49">
        <v>46997</v>
      </c>
      <c r="AD18" s="49">
        <v>47027</v>
      </c>
      <c r="AE18" s="49">
        <v>47058</v>
      </c>
      <c r="AF18" s="49">
        <v>47088</v>
      </c>
      <c r="AG18" s="49">
        <v>47119</v>
      </c>
      <c r="AH18" s="49">
        <v>47150</v>
      </c>
      <c r="AI18" s="49">
        <v>47178</v>
      </c>
      <c r="AJ18" s="49">
        <v>47209</v>
      </c>
      <c r="AK18" s="49">
        <v>47239</v>
      </c>
      <c r="AL18" s="49">
        <v>47270</v>
      </c>
      <c r="AM18" s="49">
        <v>47300</v>
      </c>
      <c r="AN18" s="49">
        <v>47331</v>
      </c>
      <c r="AO18" s="49">
        <v>47362</v>
      </c>
      <c r="AP18" s="49">
        <v>47392</v>
      </c>
      <c r="AQ18" s="49">
        <v>47423</v>
      </c>
      <c r="AR18" s="49">
        <v>47453</v>
      </c>
      <c r="AS18" s="49">
        <v>47484</v>
      </c>
      <c r="AT18" s="49">
        <v>47515</v>
      </c>
      <c r="AU18" s="49">
        <v>47543</v>
      </c>
      <c r="AV18" s="49">
        <v>47574</v>
      </c>
      <c r="AW18" s="49">
        <v>47604</v>
      </c>
      <c r="AX18" s="49">
        <v>47635</v>
      </c>
      <c r="AY18" s="49">
        <v>47665</v>
      </c>
      <c r="AZ18" s="49">
        <v>47696</v>
      </c>
      <c r="BA18" s="49">
        <v>47727</v>
      </c>
      <c r="BB18" s="49">
        <v>47757</v>
      </c>
      <c r="BC18" s="49">
        <v>47788</v>
      </c>
      <c r="BD18" s="49">
        <v>47818</v>
      </c>
      <c r="BE18" s="49">
        <v>47849</v>
      </c>
      <c r="BF18" s="49">
        <v>47880</v>
      </c>
      <c r="BG18" s="49">
        <v>47908</v>
      </c>
      <c r="BH18" s="49">
        <v>47939</v>
      </c>
      <c r="BI18" s="49">
        <v>47969</v>
      </c>
      <c r="BJ18" s="49">
        <v>48000</v>
      </c>
      <c r="BK18" s="49">
        <v>48030</v>
      </c>
      <c r="BL18" s="49">
        <v>48061</v>
      </c>
      <c r="BM18" s="49">
        <v>48092</v>
      </c>
      <c r="BN18" s="49">
        <v>48122</v>
      </c>
      <c r="BO18" s="49">
        <v>48153</v>
      </c>
      <c r="BP18" s="49">
        <v>48183</v>
      </c>
      <c r="BQ18" s="49">
        <v>48214</v>
      </c>
      <c r="BR18" s="49">
        <v>48245</v>
      </c>
      <c r="BS18" s="49">
        <v>48274</v>
      </c>
      <c r="BT18" s="49">
        <v>48305</v>
      </c>
      <c r="BU18" s="49">
        <v>48335</v>
      </c>
      <c r="BV18" s="49">
        <v>48366</v>
      </c>
      <c r="BW18" s="49">
        <v>48396</v>
      </c>
      <c r="BX18" s="49">
        <v>48427</v>
      </c>
      <c r="BY18" s="49">
        <v>48458</v>
      </c>
      <c r="BZ18" s="49">
        <v>48488</v>
      </c>
      <c r="CA18" s="49">
        <v>48519</v>
      </c>
      <c r="CB18" s="49">
        <v>48549</v>
      </c>
      <c r="CC18" s="49">
        <v>48580</v>
      </c>
      <c r="CD18" s="49">
        <v>48611</v>
      </c>
      <c r="CE18" s="49">
        <v>48639</v>
      </c>
      <c r="CF18" s="49">
        <v>48670</v>
      </c>
      <c r="CG18" s="49">
        <v>48700</v>
      </c>
      <c r="CH18" s="49">
        <v>48731</v>
      </c>
      <c r="CI18" s="49">
        <v>48761</v>
      </c>
      <c r="CJ18" s="49">
        <v>48792</v>
      </c>
      <c r="CK18" s="49">
        <v>48823</v>
      </c>
      <c r="CL18" s="49">
        <v>48853</v>
      </c>
      <c r="CM18" s="49">
        <v>48884</v>
      </c>
      <c r="CN18" s="49">
        <v>48914</v>
      </c>
      <c r="CO18" s="49">
        <v>48945</v>
      </c>
      <c r="CP18" s="49">
        <v>48976</v>
      </c>
      <c r="CQ18" s="49">
        <v>49004</v>
      </c>
      <c r="CR18" s="49">
        <v>49035</v>
      </c>
      <c r="CS18" s="49">
        <v>49065</v>
      </c>
      <c r="CT18" s="49">
        <v>49096</v>
      </c>
      <c r="CU18" s="49">
        <v>49126</v>
      </c>
      <c r="CV18" s="49">
        <v>49157</v>
      </c>
      <c r="CW18" s="49">
        <v>49188</v>
      </c>
      <c r="CX18" s="49">
        <v>49218</v>
      </c>
      <c r="CY18" s="49">
        <v>49249</v>
      </c>
      <c r="CZ18" s="49">
        <v>49279</v>
      </c>
      <c r="DA18" s="49">
        <v>49310</v>
      </c>
      <c r="DB18" s="49">
        <v>49341</v>
      </c>
      <c r="DC18" s="49">
        <v>49369</v>
      </c>
      <c r="DD18" s="49">
        <v>49400</v>
      </c>
      <c r="DE18" s="49">
        <v>49430</v>
      </c>
      <c r="DF18" s="49">
        <v>49461</v>
      </c>
      <c r="DG18" s="49">
        <v>49491</v>
      </c>
      <c r="DH18" s="49">
        <v>49522</v>
      </c>
      <c r="DI18" s="49">
        <v>49553</v>
      </c>
      <c r="DJ18" s="49">
        <v>49583</v>
      </c>
      <c r="DK18" s="49">
        <v>49614</v>
      </c>
      <c r="DL18" s="49">
        <v>49644</v>
      </c>
      <c r="DM18" s="49">
        <v>49675</v>
      </c>
      <c r="DN18" s="49">
        <v>49706</v>
      </c>
      <c r="DO18" s="49">
        <v>49735</v>
      </c>
      <c r="DP18" s="49">
        <v>49766</v>
      </c>
      <c r="DQ18" s="49">
        <v>49796</v>
      </c>
      <c r="DR18" s="49">
        <v>49827</v>
      </c>
      <c r="DS18" s="49">
        <v>49857</v>
      </c>
      <c r="DT18" s="49">
        <v>49888</v>
      </c>
      <c r="DU18" s="49">
        <v>49919</v>
      </c>
      <c r="DV18" s="49">
        <v>49949</v>
      </c>
      <c r="DW18" s="49">
        <v>49980</v>
      </c>
      <c r="DX18" s="49">
        <v>50010</v>
      </c>
      <c r="DY18" s="49">
        <v>50041</v>
      </c>
      <c r="DZ18" s="49">
        <v>50072</v>
      </c>
      <c r="EA18" s="49">
        <v>50100</v>
      </c>
      <c r="EB18" s="49">
        <v>50131</v>
      </c>
      <c r="EC18" s="49">
        <v>50161</v>
      </c>
      <c r="ED18" s="49">
        <v>50192</v>
      </c>
      <c r="EE18" s="49">
        <v>50222</v>
      </c>
      <c r="EF18" s="49">
        <v>50253</v>
      </c>
      <c r="EG18" s="49">
        <v>50284</v>
      </c>
      <c r="EH18" s="49">
        <v>50314</v>
      </c>
      <c r="EI18" s="49">
        <v>50345</v>
      </c>
      <c r="EJ18" s="49">
        <v>50375</v>
      </c>
      <c r="EK18" s="49">
        <v>50406</v>
      </c>
      <c r="EL18" s="49">
        <v>50437</v>
      </c>
      <c r="EM18" s="49">
        <v>50465</v>
      </c>
      <c r="EN18" s="49">
        <v>50496</v>
      </c>
      <c r="EO18" s="49">
        <v>50526</v>
      </c>
      <c r="EP18" s="49">
        <v>50557</v>
      </c>
      <c r="EQ18" s="49">
        <v>50587</v>
      </c>
      <c r="ER18" s="49">
        <v>50618</v>
      </c>
      <c r="ES18" s="49">
        <v>50649</v>
      </c>
      <c r="ET18" s="49">
        <v>50679</v>
      </c>
      <c r="EU18" s="49">
        <v>50710</v>
      </c>
      <c r="EV18" s="49">
        <v>50740</v>
      </c>
      <c r="EW18" s="49">
        <v>50771</v>
      </c>
      <c r="EX18" s="49">
        <v>50802</v>
      </c>
      <c r="EY18" s="49">
        <v>50830</v>
      </c>
      <c r="EZ18" s="49">
        <v>50861</v>
      </c>
      <c r="FA18" s="49">
        <v>50891</v>
      </c>
      <c r="FB18" s="49">
        <v>50922</v>
      </c>
      <c r="FC18" s="49">
        <v>50952</v>
      </c>
      <c r="FD18" s="49">
        <v>50983</v>
      </c>
      <c r="FE18" s="49">
        <v>51014</v>
      </c>
      <c r="FF18" s="49">
        <v>51044</v>
      </c>
      <c r="FG18" s="49">
        <v>51075</v>
      </c>
      <c r="FH18" s="49">
        <v>51105</v>
      </c>
      <c r="FI18" s="49">
        <v>51136</v>
      </c>
      <c r="FJ18" s="49">
        <v>51167</v>
      </c>
      <c r="FK18" s="49">
        <v>51196</v>
      </c>
      <c r="FL18" s="49">
        <v>51227</v>
      </c>
      <c r="FM18" s="49">
        <v>51257</v>
      </c>
      <c r="FN18" s="49">
        <v>51288</v>
      </c>
      <c r="FO18" s="49">
        <v>51318</v>
      </c>
      <c r="FP18" s="49">
        <v>51349</v>
      </c>
      <c r="FQ18" s="49">
        <v>51380</v>
      </c>
      <c r="FR18" s="49">
        <v>51410</v>
      </c>
      <c r="FS18" s="49">
        <v>51441</v>
      </c>
      <c r="FT18" s="49">
        <v>51471</v>
      </c>
      <c r="FU18" s="49">
        <v>51502</v>
      </c>
      <c r="FV18" s="49">
        <v>51533</v>
      </c>
      <c r="FW18" s="49">
        <v>51561</v>
      </c>
      <c r="FX18" s="49">
        <v>51592</v>
      </c>
      <c r="FY18" s="49">
        <v>51622</v>
      </c>
      <c r="FZ18" s="49">
        <v>51653</v>
      </c>
      <c r="GA18" s="49">
        <v>51683</v>
      </c>
      <c r="GB18" s="49">
        <v>51714</v>
      </c>
      <c r="GC18" s="49">
        <v>51745</v>
      </c>
      <c r="GD18" s="49">
        <v>51775</v>
      </c>
      <c r="GE18" s="49">
        <v>51806</v>
      </c>
      <c r="GF18" s="49">
        <v>51836</v>
      </c>
      <c r="GG18" s="49">
        <v>51867</v>
      </c>
      <c r="GH18" s="49">
        <v>51898</v>
      </c>
      <c r="GI18" s="49">
        <v>51926</v>
      </c>
      <c r="GJ18" s="49">
        <v>51957</v>
      </c>
      <c r="GK18" s="49">
        <v>51987</v>
      </c>
      <c r="GL18" s="49">
        <v>52018</v>
      </c>
      <c r="GM18" s="49">
        <v>52048</v>
      </c>
      <c r="GN18" s="49">
        <v>52079</v>
      </c>
      <c r="GO18" s="49">
        <v>52110</v>
      </c>
      <c r="GP18" s="49">
        <v>52140</v>
      </c>
      <c r="GQ18" s="49">
        <v>52171</v>
      </c>
      <c r="GR18" s="49">
        <v>52201</v>
      </c>
      <c r="GS18" s="49">
        <v>52232</v>
      </c>
      <c r="GT18" s="49">
        <v>52263</v>
      </c>
      <c r="GU18" s="49">
        <v>52291</v>
      </c>
      <c r="GV18" s="49">
        <v>52322</v>
      </c>
      <c r="GW18" s="49">
        <v>52352</v>
      </c>
      <c r="GX18" s="49">
        <v>52383</v>
      </c>
      <c r="GY18" s="49">
        <v>52413</v>
      </c>
      <c r="GZ18" s="49">
        <v>52444</v>
      </c>
      <c r="HA18" s="49">
        <v>52475</v>
      </c>
      <c r="HB18" s="49">
        <v>52505</v>
      </c>
      <c r="HC18" s="49">
        <v>52536</v>
      </c>
      <c r="HD18" s="49">
        <v>52566</v>
      </c>
      <c r="HE18" s="49">
        <v>52597</v>
      </c>
      <c r="HF18" s="49">
        <v>52628</v>
      </c>
      <c r="HG18" s="49">
        <v>52657</v>
      </c>
      <c r="HH18" s="49">
        <v>52688</v>
      </c>
      <c r="HI18" s="49">
        <v>52718</v>
      </c>
      <c r="HJ18" s="49">
        <v>52749</v>
      </c>
      <c r="HK18" s="49">
        <v>52779</v>
      </c>
      <c r="HL18" s="49">
        <v>52810</v>
      </c>
      <c r="HM18" s="49">
        <v>52841</v>
      </c>
      <c r="HN18" s="49">
        <v>52871</v>
      </c>
      <c r="HO18" s="49">
        <v>52902</v>
      </c>
      <c r="HP18" s="49">
        <v>52932</v>
      </c>
      <c r="HQ18" s="49">
        <v>52963</v>
      </c>
      <c r="HR18" s="49">
        <v>52994</v>
      </c>
      <c r="HS18" s="49">
        <v>53022</v>
      </c>
      <c r="HT18" s="49">
        <v>53053</v>
      </c>
      <c r="HU18" s="49">
        <v>53083</v>
      </c>
      <c r="HV18" s="49">
        <v>53114</v>
      </c>
      <c r="HW18" s="49">
        <v>53144</v>
      </c>
      <c r="HX18" s="49">
        <v>53175</v>
      </c>
      <c r="HY18" s="49">
        <v>53206</v>
      </c>
      <c r="HZ18" s="49">
        <v>53236</v>
      </c>
      <c r="IA18" s="49">
        <v>53267</v>
      </c>
      <c r="IB18" s="49">
        <v>53297</v>
      </c>
      <c r="IC18" s="49">
        <v>53328</v>
      </c>
      <c r="ID18" s="49">
        <v>53359</v>
      </c>
      <c r="IE18" s="49">
        <v>53387</v>
      </c>
      <c r="IF18" s="49">
        <v>53418</v>
      </c>
      <c r="IG18" s="49">
        <v>53448</v>
      </c>
      <c r="IH18" s="49">
        <v>53479</v>
      </c>
      <c r="II18" s="49">
        <v>53509</v>
      </c>
      <c r="IJ18" s="49">
        <v>53540</v>
      </c>
      <c r="IK18" s="49">
        <v>53571</v>
      </c>
      <c r="IL18" s="49">
        <v>53601</v>
      </c>
      <c r="IM18" s="49">
        <v>53632</v>
      </c>
      <c r="IN18" s="49">
        <v>53662</v>
      </c>
      <c r="IO18" s="49">
        <v>53693</v>
      </c>
      <c r="IP18" s="49">
        <v>53724</v>
      </c>
      <c r="IQ18" s="49">
        <v>53752</v>
      </c>
      <c r="IR18" s="49">
        <v>53783</v>
      </c>
      <c r="IS18" s="49">
        <v>53813</v>
      </c>
      <c r="IT18" s="49">
        <v>53844</v>
      </c>
      <c r="IU18" s="49">
        <v>53874</v>
      </c>
      <c r="IV18" s="49">
        <v>53905</v>
      </c>
      <c r="IW18" s="49">
        <v>53936</v>
      </c>
      <c r="IX18" s="49">
        <v>53966</v>
      </c>
      <c r="IY18" s="49">
        <v>53997</v>
      </c>
      <c r="IZ18" s="49">
        <v>54027</v>
      </c>
      <c r="JA18" s="49">
        <v>54058</v>
      </c>
      <c r="JB18" s="49">
        <v>54089</v>
      </c>
      <c r="JC18" s="49">
        <v>54118</v>
      </c>
      <c r="JD18" s="49">
        <v>54149</v>
      </c>
      <c r="JE18" s="49">
        <v>54179</v>
      </c>
      <c r="JF18" s="49">
        <v>54210</v>
      </c>
      <c r="JG18" s="49">
        <v>54240</v>
      </c>
      <c r="JH18" s="49">
        <v>54271</v>
      </c>
      <c r="JI18" s="49">
        <v>54302</v>
      </c>
      <c r="JJ18" s="49">
        <v>54332</v>
      </c>
      <c r="JK18" s="49">
        <v>54363</v>
      </c>
      <c r="JL18" s="49">
        <v>54393</v>
      </c>
      <c r="JM18" s="49">
        <v>54424</v>
      </c>
      <c r="JN18" s="49">
        <v>54455</v>
      </c>
      <c r="JO18" s="49">
        <v>54483</v>
      </c>
      <c r="JP18" s="49">
        <v>54514</v>
      </c>
      <c r="JQ18" s="49">
        <v>54544</v>
      </c>
      <c r="JR18" s="49">
        <v>54575</v>
      </c>
      <c r="JS18" s="49">
        <v>54605</v>
      </c>
      <c r="JT18" s="49">
        <v>54636</v>
      </c>
      <c r="JU18" s="49">
        <v>54667</v>
      </c>
      <c r="JV18" s="49">
        <v>54697</v>
      </c>
      <c r="JW18" s="49">
        <v>54728</v>
      </c>
      <c r="JX18" s="49">
        <v>54758</v>
      </c>
      <c r="JY18" s="49">
        <v>54789</v>
      </c>
      <c r="JZ18" s="49">
        <v>54820</v>
      </c>
      <c r="KA18" s="49">
        <v>54848</v>
      </c>
      <c r="KB18" s="49">
        <v>54879</v>
      </c>
      <c r="KC18" s="49">
        <v>54909</v>
      </c>
      <c r="KD18" s="49">
        <v>54940</v>
      </c>
      <c r="KE18" s="49">
        <v>54970</v>
      </c>
      <c r="KF18" s="49">
        <v>55001</v>
      </c>
      <c r="KG18" s="49">
        <v>55032</v>
      </c>
      <c r="KH18" s="49">
        <v>55062</v>
      </c>
      <c r="KI18" s="49">
        <v>55093</v>
      </c>
      <c r="KJ18" s="49">
        <v>55123</v>
      </c>
      <c r="KK18" s="49">
        <v>55154</v>
      </c>
      <c r="KL18" s="49">
        <v>55185</v>
      </c>
      <c r="KM18" s="49">
        <v>55213</v>
      </c>
      <c r="KN18" s="49">
        <v>55244</v>
      </c>
      <c r="KO18" s="49">
        <v>55274</v>
      </c>
      <c r="KP18" s="49">
        <v>55305</v>
      </c>
      <c r="KQ18" s="49">
        <v>55335</v>
      </c>
      <c r="KR18" s="49">
        <v>55366</v>
      </c>
      <c r="KS18" s="49">
        <v>55397</v>
      </c>
      <c r="KT18" s="49">
        <v>55427</v>
      </c>
      <c r="KU18" s="49">
        <v>55458</v>
      </c>
      <c r="KV18" s="49">
        <v>55488</v>
      </c>
      <c r="KW18" s="49">
        <v>55519</v>
      </c>
      <c r="KX18" s="49">
        <v>55550</v>
      </c>
      <c r="KY18" s="49">
        <v>55579</v>
      </c>
      <c r="KZ18" s="49">
        <v>55610</v>
      </c>
      <c r="LA18" s="49">
        <v>55640</v>
      </c>
      <c r="LB18" s="49">
        <v>55671</v>
      </c>
      <c r="LC18" s="49">
        <v>55701</v>
      </c>
      <c r="LD18" s="49">
        <v>55732</v>
      </c>
      <c r="LE18" s="49">
        <v>55763</v>
      </c>
      <c r="LF18" s="49">
        <v>55793</v>
      </c>
      <c r="LG18" s="49">
        <v>55824</v>
      </c>
      <c r="LH18" s="49">
        <v>55854</v>
      </c>
      <c r="LI18" s="49">
        <v>55885</v>
      </c>
      <c r="LJ18" s="49">
        <v>55916</v>
      </c>
      <c r="LK18" s="49">
        <v>55944</v>
      </c>
      <c r="LL18" s="49">
        <v>55975</v>
      </c>
      <c r="LM18" s="49">
        <v>56005</v>
      </c>
      <c r="LN18" s="49">
        <v>56036</v>
      </c>
      <c r="LO18" s="49">
        <v>56066</v>
      </c>
      <c r="LP18" s="49">
        <v>56097</v>
      </c>
      <c r="LQ18" s="49">
        <v>56128</v>
      </c>
      <c r="LR18" s="49">
        <v>56158</v>
      </c>
      <c r="LS18" s="49">
        <v>56189</v>
      </c>
      <c r="LT18" s="49">
        <v>56219</v>
      </c>
      <c r="LU18" s="49">
        <v>56250</v>
      </c>
      <c r="LV18" s="49">
        <v>56281</v>
      </c>
      <c r="LW18" s="49">
        <v>56309</v>
      </c>
      <c r="LX18" s="49">
        <v>56340</v>
      </c>
      <c r="LY18" s="49">
        <v>56370</v>
      </c>
      <c r="LZ18" s="49">
        <v>56401</v>
      </c>
      <c r="MA18" s="49">
        <v>56431</v>
      </c>
      <c r="MB18" s="49">
        <v>56462</v>
      </c>
      <c r="MC18" s="49">
        <v>56493</v>
      </c>
      <c r="MD18" s="49">
        <v>56523</v>
      </c>
      <c r="ME18" s="49">
        <v>56554</v>
      </c>
      <c r="MF18" s="49">
        <v>56584</v>
      </c>
      <c r="MG18" s="49">
        <v>56615</v>
      </c>
      <c r="MH18" s="49">
        <v>56646</v>
      </c>
      <c r="MI18" s="49">
        <v>56674</v>
      </c>
      <c r="MJ18" s="49">
        <v>56705</v>
      </c>
      <c r="MK18" s="49">
        <v>56735</v>
      </c>
      <c r="ML18" s="49">
        <v>56766</v>
      </c>
      <c r="MM18" s="49">
        <v>56796</v>
      </c>
      <c r="MN18" s="49">
        <v>56827</v>
      </c>
      <c r="MO18" s="49">
        <v>56858</v>
      </c>
      <c r="MP18" s="49">
        <v>56888</v>
      </c>
      <c r="MQ18" s="49">
        <v>56919</v>
      </c>
      <c r="MR18" s="49">
        <v>56949</v>
      </c>
      <c r="MS18" s="49">
        <v>56980</v>
      </c>
      <c r="MT18" s="49">
        <v>57011</v>
      </c>
      <c r="MU18" s="49">
        <v>57040</v>
      </c>
      <c r="MV18" s="49">
        <v>57071</v>
      </c>
      <c r="MW18" s="49">
        <v>57101</v>
      </c>
      <c r="MX18" s="49">
        <v>57132</v>
      </c>
      <c r="MY18" s="49">
        <v>57162</v>
      </c>
      <c r="MZ18" s="49">
        <v>57193</v>
      </c>
      <c r="NA18" s="49">
        <v>57224</v>
      </c>
      <c r="NB18" s="49">
        <v>57254</v>
      </c>
      <c r="NC18" s="49">
        <v>57285</v>
      </c>
    </row>
    <row r="19" spans="1:367" x14ac:dyDescent="0.25">
      <c r="A19" s="34">
        <v>46204</v>
      </c>
      <c r="B19" s="55" cm="1">
        <f t="array" ref="B19">oz.TimelineOffsetλ(A19,_xlfn.ANCHORARRAY(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34">
        <v>46251</v>
      </c>
      <c r="B20" s="55" cm="1">
        <f t="array" ref="B20">oz.TimelineOffsetλ(A20,_xlfn.ANCHORARRAY(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34">
        <v>46300</v>
      </c>
      <c r="B21" s="55" cm="1">
        <f t="array" ref="B21">oz.TimelineOffsetλ(A21,_xlfn.ANCHORARRAY(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34">
        <v>46348</v>
      </c>
      <c r="B22" s="55" cm="1">
        <f t="array" ref="B22">oz.TimelineOffsetλ(A22,_xlfn.ANCHORARRAY(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34">
        <v>46395</v>
      </c>
      <c r="B23" s="55" cm="1">
        <f t="array" ref="B23">oz.TimelineOffsetλ(A23,_xlfn.ANCHORARRAY(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34">
        <v>46442</v>
      </c>
      <c r="B24" s="55" cm="1">
        <f t="array" ref="B24">oz.TimelineOffsetλ(A24,_xlfn.ANCHORARRAY(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34">
        <v>46487</v>
      </c>
      <c r="B25" s="55" cm="1">
        <f t="array" ref="B25">oz.TimelineOffsetλ(A25,_xlfn.ANCHORARRAY(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pageSetup paperSize="9" scale="55" fitToHeight="0" orientation="landscape" horizontalDpi="0" verticalDpi="0"/>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66023C"/>
    <pageSetUpPr fitToPage="1"/>
  </sheetPr>
  <dimension ref="A1:W38"/>
  <sheetViews>
    <sheetView showGridLines="0" workbookViewId="0">
      <selection sqref="A1:P1"/>
    </sheetView>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6.5" x14ac:dyDescent="0.7">
      <c r="A1" s="185" t="str">
        <f ca="1">_xlfn.TEXTAFTER(CELL("filename",A1),"]")</f>
        <v>oz.TimelinePositionλ</v>
      </c>
      <c r="B1" s="185"/>
      <c r="C1" s="185"/>
      <c r="D1" s="185"/>
      <c r="E1" s="185"/>
      <c r="F1" s="185"/>
      <c r="G1" s="185"/>
      <c r="H1" s="185"/>
      <c r="I1" s="185"/>
      <c r="J1" s="185"/>
      <c r="K1" s="185"/>
      <c r="L1" s="185"/>
      <c r="M1" s="185"/>
      <c r="N1" s="185"/>
      <c r="O1" s="185"/>
      <c r="P1" s="185"/>
    </row>
    <row r="2" spans="1:17" x14ac:dyDescent="0.25">
      <c r="A2" s="186" t="s">
        <v>94</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c r="O3" s="4"/>
      <c r="P3" s="4"/>
    </row>
    <row r="4" spans="1:17" x14ac:dyDescent="0.25">
      <c r="A4" s="55" t="str" cm="1">
        <f t="array" ref="A4:B16">oz.TimelinePositionλ()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timeline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(oz is assumed to be the module's name)</v>
      </c>
    </row>
    <row r="16" spans="1:17" x14ac:dyDescent="0.25">
      <c r="A16" t="str">
        <v/>
      </c>
      <c r="B16" t="str">
        <v>=oz.TimelinePositionλ(SEQUENCE(3,3), EDATE("1/7/2026", SEQUENCE( , 12, 0)), 12)</v>
      </c>
    </row>
    <row r="20" spans="1:23" ht="21" x14ac:dyDescent="0.35">
      <c r="A20" s="203" t="s">
        <v>193</v>
      </c>
      <c r="B20" s="203"/>
      <c r="C20" s="203"/>
      <c r="G20" s="189" t="s">
        <v>201</v>
      </c>
      <c r="H20" s="208"/>
      <c r="I20" s="208"/>
      <c r="J20" s="208"/>
      <c r="K20" s="208"/>
      <c r="L20" s="208"/>
      <c r="M20" s="208"/>
      <c r="N20" s="208"/>
      <c r="O20" s="208"/>
      <c r="P20" s="208"/>
      <c r="Q20" s="208"/>
      <c r="R20" s="208"/>
      <c r="S20" s="208"/>
      <c r="T20" s="208"/>
      <c r="U20" s="208"/>
      <c r="V20" s="208"/>
      <c r="W20" s="190"/>
    </row>
    <row r="22" spans="1:23" x14ac:dyDescent="0.25">
      <c r="A22" s="54" t="s">
        <v>7</v>
      </c>
      <c r="B22" s="53" t="s">
        <v>161</v>
      </c>
      <c r="C22" s="53" t="s">
        <v>162</v>
      </c>
      <c r="D22" s="53" t="s">
        <v>163</v>
      </c>
      <c r="E22" s="53" t="s">
        <v>164</v>
      </c>
      <c r="F22" s="67"/>
      <c r="G22" s="121" t="s">
        <v>6</v>
      </c>
      <c r="H22" s="8" t="s">
        <v>165</v>
      </c>
      <c r="I22" s="1" cm="1">
        <f t="array" ref="I22:R22">oz.Timelineλ( E23, D23, "Y")</f>
        <v>46204</v>
      </c>
      <c r="J22" s="1">
        <v>46569</v>
      </c>
      <c r="K22" s="1">
        <v>46935</v>
      </c>
      <c r="L22" s="1">
        <v>47300</v>
      </c>
      <c r="M22" s="1">
        <v>47665</v>
      </c>
      <c r="N22" s="1">
        <v>48030</v>
      </c>
      <c r="O22" s="1">
        <v>48396</v>
      </c>
      <c r="P22" s="1">
        <v>48761</v>
      </c>
      <c r="Q22" s="1">
        <v>49126</v>
      </c>
      <c r="R22" s="1">
        <v>49491</v>
      </c>
      <c r="S22" s="1"/>
      <c r="T22" s="1"/>
      <c r="U22" s="1"/>
      <c r="V22" s="1"/>
      <c r="W22" s="1"/>
    </row>
    <row r="23" spans="1:23" x14ac:dyDescent="0.25">
      <c r="A23" s="82" t="s">
        <v>166</v>
      </c>
      <c r="B23" s="71">
        <v>51642</v>
      </c>
      <c r="C23" s="72">
        <v>7.0000000000000007E-2</v>
      </c>
      <c r="D23" s="73">
        <v>10</v>
      </c>
      <c r="E23" s="124">
        <v>46204</v>
      </c>
      <c r="G23" s="75" t="str" cm="1">
        <f t="array" ref="G23:G28">oz.LabelAmortiseλ(A23)</f>
        <v>Renovation Debt Issuance</v>
      </c>
      <c r="H23" s="95" cm="1">
        <f t="array" ref="H23:H28">oz.SumAmortiseλ(_xlfn.ANCHORARRAY(I23))</f>
        <v>0</v>
      </c>
      <c r="I23" s="95" cm="1">
        <f t="array" ref="I23:R28">oz.Amortiseλ( B23,C23,D23,E23,_xlfn.ANCHORARRAY( I22))</f>
        <v>51642</v>
      </c>
      <c r="J23" s="79">
        <v>0</v>
      </c>
      <c r="K23" s="79">
        <v>0</v>
      </c>
      <c r="L23" s="79">
        <v>0</v>
      </c>
      <c r="M23" s="79">
        <v>0</v>
      </c>
      <c r="N23" s="79">
        <v>0</v>
      </c>
      <c r="O23" s="79">
        <v>0</v>
      </c>
      <c r="P23" s="79">
        <v>0</v>
      </c>
      <c r="Q23" s="79">
        <v>0</v>
      </c>
      <c r="R23" s="79">
        <v>0</v>
      </c>
      <c r="S23" s="79"/>
      <c r="T23" s="79"/>
      <c r="U23" s="79"/>
      <c r="V23" s="79"/>
      <c r="W23" s="79"/>
    </row>
    <row r="24" spans="1:23" x14ac:dyDescent="0.25">
      <c r="G24" s="75" t="str">
        <v>Renovation Debt Balance</v>
      </c>
      <c r="H24" s="79">
        <v>0</v>
      </c>
      <c r="I24" s="79">
        <v>51642</v>
      </c>
      <c r="J24" s="79">
        <v>0</v>
      </c>
      <c r="K24" s="79">
        <v>0</v>
      </c>
      <c r="L24" s="79">
        <v>0</v>
      </c>
      <c r="M24" s="79">
        <v>0</v>
      </c>
      <c r="N24" s="79">
        <v>0</v>
      </c>
      <c r="O24" s="79">
        <v>0</v>
      </c>
      <c r="P24" s="79">
        <v>0</v>
      </c>
      <c r="Q24" s="79">
        <v>0</v>
      </c>
      <c r="R24" s="79">
        <v>0</v>
      </c>
      <c r="S24" s="79"/>
      <c r="T24" s="79"/>
      <c r="U24" s="79"/>
      <c r="V24" s="79"/>
      <c r="W24" s="79"/>
    </row>
    <row r="25" spans="1:23" x14ac:dyDescent="0.25">
      <c r="G25" s="75" t="str">
        <v>Renovation Interest</v>
      </c>
      <c r="H25" s="79">
        <v>1671.3019720882637</v>
      </c>
      <c r="I25" s="79">
        <v>1671.3019720882637</v>
      </c>
      <c r="J25" s="79">
        <v>0</v>
      </c>
      <c r="K25" s="79">
        <v>0</v>
      </c>
      <c r="L25" s="79">
        <v>0</v>
      </c>
      <c r="M25" s="79">
        <v>0</v>
      </c>
      <c r="N25" s="79">
        <v>0</v>
      </c>
      <c r="O25" s="79">
        <v>0</v>
      </c>
      <c r="P25" s="79">
        <v>0</v>
      </c>
      <c r="Q25" s="79">
        <v>0</v>
      </c>
      <c r="R25" s="79">
        <v>0</v>
      </c>
      <c r="S25" s="79"/>
      <c r="T25" s="79"/>
      <c r="U25" s="79"/>
      <c r="V25" s="79"/>
      <c r="W25" s="79"/>
    </row>
    <row r="26" spans="1:23" x14ac:dyDescent="0.25">
      <c r="G26" s="75" t="str">
        <v>Renovation Debt Services</v>
      </c>
      <c r="H26" s="79">
        <v>-53313.30197208828</v>
      </c>
      <c r="I26" s="79">
        <v>-53313.30197208828</v>
      </c>
      <c r="J26" s="79">
        <v>0</v>
      </c>
      <c r="K26" s="79">
        <v>0</v>
      </c>
      <c r="L26" s="79">
        <v>0</v>
      </c>
      <c r="M26" s="79">
        <v>0</v>
      </c>
      <c r="N26" s="79">
        <v>0</v>
      </c>
      <c r="O26" s="79">
        <v>0</v>
      </c>
      <c r="P26" s="79">
        <v>0</v>
      </c>
      <c r="Q26" s="79">
        <v>0</v>
      </c>
      <c r="R26" s="79">
        <v>0</v>
      </c>
      <c r="S26" s="79"/>
      <c r="T26" s="79"/>
      <c r="U26" s="79"/>
      <c r="V26" s="79"/>
      <c r="W26" s="79"/>
    </row>
    <row r="27" spans="1:23" x14ac:dyDescent="0.25">
      <c r="G27" s="75" t="str">
        <v>Renovation Closing Balance</v>
      </c>
      <c r="H27" s="79">
        <v>0</v>
      </c>
      <c r="I27" s="79">
        <v>-2.3737811716273427E-10</v>
      </c>
      <c r="J27" s="79">
        <v>0</v>
      </c>
      <c r="K27" s="79">
        <v>0</v>
      </c>
      <c r="L27" s="79">
        <v>0</v>
      </c>
      <c r="M27" s="79">
        <v>0</v>
      </c>
      <c r="N27" s="79">
        <v>0</v>
      </c>
      <c r="O27" s="79">
        <v>0</v>
      </c>
      <c r="P27" s="79">
        <v>0</v>
      </c>
      <c r="Q27" s="79">
        <v>0</v>
      </c>
      <c r="R27" s="79">
        <v>0</v>
      </c>
      <c r="S27" s="79"/>
      <c r="T27" s="79"/>
      <c r="U27" s="79"/>
      <c r="V27" s="79"/>
      <c r="W27" s="79"/>
    </row>
    <row r="28" spans="1:23" x14ac:dyDescent="0.25">
      <c r="G28" s="75" t="str">
        <v>Renovation Debt Repayment</v>
      </c>
      <c r="H28" s="79">
        <v>51642.000000000015</v>
      </c>
      <c r="I28" s="79">
        <v>51642.000000000015</v>
      </c>
      <c r="J28" s="79">
        <v>0</v>
      </c>
      <c r="K28" s="79">
        <v>0</v>
      </c>
      <c r="L28" s="79">
        <v>0</v>
      </c>
      <c r="M28" s="79">
        <v>0</v>
      </c>
      <c r="N28" s="79">
        <v>0</v>
      </c>
      <c r="O28" s="79">
        <v>0</v>
      </c>
      <c r="P28" s="79">
        <v>0</v>
      </c>
      <c r="Q28" s="79">
        <v>0</v>
      </c>
      <c r="R28" s="79">
        <v>0</v>
      </c>
      <c r="S28" s="79"/>
      <c r="T28" s="79"/>
      <c r="U28" s="79"/>
      <c r="V28" s="79"/>
      <c r="W28" s="79"/>
    </row>
    <row r="30" spans="1:23" ht="21" x14ac:dyDescent="0.35">
      <c r="G30" s="189" t="s">
        <v>200</v>
      </c>
      <c r="H30" s="208"/>
      <c r="I30" s="208"/>
      <c r="J30" s="208"/>
      <c r="K30" s="208"/>
      <c r="L30" s="208"/>
      <c r="M30" s="208"/>
      <c r="N30" s="208"/>
      <c r="O30" s="208"/>
      <c r="P30" s="208"/>
      <c r="Q30" s="208"/>
      <c r="R30" s="208"/>
      <c r="S30" s="208"/>
      <c r="T30" s="208"/>
      <c r="U30" s="208"/>
      <c r="V30" s="208"/>
      <c r="W30" s="190"/>
    </row>
    <row r="32" spans="1:23" x14ac:dyDescent="0.25">
      <c r="G32" s="121" t="s">
        <v>6</v>
      </c>
      <c r="H32" s="8" t="s">
        <v>165</v>
      </c>
      <c r="I32" s="1" cm="1">
        <f t="array" ref="I32:T32">oz.Timelineλ("1/7/2026", 12, "Y")</f>
        <v>46204</v>
      </c>
      <c r="J32" s="1">
        <v>46569</v>
      </c>
      <c r="K32" s="1">
        <v>46935</v>
      </c>
      <c r="L32" s="1">
        <v>47300</v>
      </c>
      <c r="M32" s="1">
        <v>47665</v>
      </c>
      <c r="N32" s="1">
        <v>48030</v>
      </c>
      <c r="O32" s="1">
        <v>48396</v>
      </c>
      <c r="P32" s="1">
        <v>48761</v>
      </c>
      <c r="Q32" s="1">
        <v>49126</v>
      </c>
      <c r="R32" s="1">
        <v>49491</v>
      </c>
      <c r="S32" s="1">
        <v>49857</v>
      </c>
      <c r="T32" s="1">
        <v>50222</v>
      </c>
      <c r="U32" s="1"/>
      <c r="V32" s="1"/>
      <c r="W32" s="1"/>
    </row>
    <row r="33" spans="7:20" x14ac:dyDescent="0.25">
      <c r="G33" s="75" t="str" cm="1">
        <f t="array" ref="G33:G38">oz.LabelAmortiseλ(A23)</f>
        <v>Renovation Debt Issuance</v>
      </c>
      <c r="H33" s="95" cm="1">
        <f t="array" ref="H33:H38">oz.SumAmortiseλ(_xlfn.ANCHORARRAY(I33))</f>
        <v>0</v>
      </c>
      <c r="I33" s="55" cm="1">
        <f t="array" ref="I33:T38">oz.TimelinePositionλ(_xlfn.ANCHORARRAY(I23),_xlfn.ANCHORARRAY(I32), oz.TimelineOffsetλ(E23,_xlfn.ANCHORARRAY($I$32)))</f>
        <v>51642</v>
      </c>
      <c r="J33">
        <v>0</v>
      </c>
      <c r="K33">
        <v>0</v>
      </c>
      <c r="L33">
        <v>0</v>
      </c>
      <c r="M33">
        <v>0</v>
      </c>
      <c r="N33">
        <v>0</v>
      </c>
      <c r="O33">
        <v>0</v>
      </c>
      <c r="P33">
        <v>0</v>
      </c>
      <c r="Q33">
        <v>0</v>
      </c>
      <c r="R33">
        <v>0</v>
      </c>
      <c r="S33">
        <v>0</v>
      </c>
      <c r="T33">
        <v>0</v>
      </c>
    </row>
    <row r="34" spans="7:20" x14ac:dyDescent="0.25">
      <c r="G34" t="str">
        <v>Renovation Debt Balance</v>
      </c>
      <c r="H34">
        <v>0</v>
      </c>
      <c r="I34">
        <v>51642</v>
      </c>
      <c r="J34">
        <v>0</v>
      </c>
      <c r="K34">
        <v>0</v>
      </c>
      <c r="L34">
        <v>0</v>
      </c>
      <c r="M34">
        <v>0</v>
      </c>
      <c r="N34">
        <v>0</v>
      </c>
      <c r="O34">
        <v>0</v>
      </c>
      <c r="P34">
        <v>0</v>
      </c>
      <c r="Q34">
        <v>0</v>
      </c>
      <c r="R34">
        <v>0</v>
      </c>
      <c r="S34">
        <v>0</v>
      </c>
      <c r="T34">
        <v>0</v>
      </c>
    </row>
    <row r="35" spans="7:20" x14ac:dyDescent="0.25">
      <c r="G35" t="str">
        <v>Renovation Interest</v>
      </c>
      <c r="H35">
        <v>1671.3019720882637</v>
      </c>
      <c r="I35">
        <v>1671.3019720882637</v>
      </c>
      <c r="J35">
        <v>0</v>
      </c>
      <c r="K35">
        <v>0</v>
      </c>
      <c r="L35">
        <v>0</v>
      </c>
      <c r="M35">
        <v>0</v>
      </c>
      <c r="N35">
        <v>0</v>
      </c>
      <c r="O35">
        <v>0</v>
      </c>
      <c r="P35">
        <v>0</v>
      </c>
      <c r="Q35">
        <v>0</v>
      </c>
      <c r="R35">
        <v>0</v>
      </c>
      <c r="S35">
        <v>0</v>
      </c>
      <c r="T35">
        <v>0</v>
      </c>
    </row>
    <row r="36" spans="7:20" x14ac:dyDescent="0.25">
      <c r="G36" t="str">
        <v>Renovation Debt Services</v>
      </c>
      <c r="H36">
        <v>-53313.30197208828</v>
      </c>
      <c r="I36">
        <v>-53313.30197208828</v>
      </c>
      <c r="J36">
        <v>0</v>
      </c>
      <c r="K36">
        <v>0</v>
      </c>
      <c r="L36">
        <v>0</v>
      </c>
      <c r="M36">
        <v>0</v>
      </c>
      <c r="N36">
        <v>0</v>
      </c>
      <c r="O36">
        <v>0</v>
      </c>
      <c r="P36">
        <v>0</v>
      </c>
      <c r="Q36">
        <v>0</v>
      </c>
      <c r="R36">
        <v>0</v>
      </c>
      <c r="S36">
        <v>0</v>
      </c>
      <c r="T36">
        <v>0</v>
      </c>
    </row>
    <row r="37" spans="7:20" x14ac:dyDescent="0.25">
      <c r="G37" t="str">
        <v>Renovation Closing Balance</v>
      </c>
      <c r="H37">
        <v>0</v>
      </c>
      <c r="I37">
        <v>-2.3737811716273427E-10</v>
      </c>
      <c r="J37">
        <v>0</v>
      </c>
      <c r="K37">
        <v>0</v>
      </c>
      <c r="L37">
        <v>0</v>
      </c>
      <c r="M37">
        <v>0</v>
      </c>
      <c r="N37">
        <v>0</v>
      </c>
      <c r="O37">
        <v>0</v>
      </c>
      <c r="P37">
        <v>0</v>
      </c>
      <c r="Q37">
        <v>0</v>
      </c>
      <c r="R37">
        <v>0</v>
      </c>
      <c r="S37">
        <v>0</v>
      </c>
      <c r="T37">
        <v>0</v>
      </c>
    </row>
    <row r="38" spans="7:20" x14ac:dyDescent="0.25">
      <c r="G38" t="str">
        <v>Renovation Debt Repayment</v>
      </c>
      <c r="H38">
        <v>51642.000000000015</v>
      </c>
      <c r="I38">
        <v>51642.000000000015</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pageSetup paperSize="9" scale="51" fitToHeight="0" orientation="landscape" horizontalDpi="0" verticalDpi="0"/>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990024"/>
    <pageSetUpPr fitToPage="1"/>
  </sheetPr>
  <dimension ref="A1:I26"/>
  <sheetViews>
    <sheetView showGridLines="0" workbookViewId="0">
      <selection sqref="A1:E1"/>
    </sheetView>
  </sheetViews>
  <sheetFormatPr defaultRowHeight="15" x14ac:dyDescent="0.25"/>
  <cols>
    <col min="1" max="1" width="22" bestFit="1" customWidth="1"/>
    <col min="2" max="2" width="99.75" bestFit="1" customWidth="1"/>
  </cols>
  <sheetData>
    <row r="1" spans="1:9" ht="46.5" x14ac:dyDescent="0.7">
      <c r="A1" s="185" t="str">
        <f ca="1">_xlfn.TEXTAFTER(CELL("filename",A1),"]")</f>
        <v>oz.AboutEssentialsλ</v>
      </c>
      <c r="B1" s="185"/>
      <c r="C1" s="185"/>
      <c r="D1" s="185"/>
      <c r="E1" s="185"/>
      <c r="F1" s="6"/>
      <c r="G1" s="6"/>
      <c r="H1" s="6"/>
      <c r="I1" s="6"/>
    </row>
    <row r="2" spans="1:9" x14ac:dyDescent="0.25">
      <c r="A2" s="186" t="s">
        <v>255</v>
      </c>
      <c r="B2" s="187"/>
      <c r="C2" s="187"/>
      <c r="D2" s="187"/>
      <c r="E2" s="187"/>
      <c r="F2" s="187"/>
      <c r="G2" s="187"/>
      <c r="H2" s="187"/>
      <c r="I2" s="188"/>
    </row>
    <row r="3" spans="1:9" x14ac:dyDescent="0.25">
      <c r="A3" s="4"/>
      <c r="B3" s="4"/>
      <c r="C3" s="4"/>
      <c r="D3" s="4"/>
      <c r="E3" s="4"/>
      <c r="F3" s="4"/>
      <c r="G3" s="4"/>
      <c r="H3" s="4"/>
      <c r="I3" s="4"/>
    </row>
    <row r="5" spans="1:9" x14ac:dyDescent="0.25">
      <c r="A5" s="24" t="str" cm="1">
        <f t="array" ref="A5:B26">oz.AboutEssentialsλ</f>
        <v>About:</v>
      </c>
      <c r="B5" t="str">
        <v>Basic functions for working with dynamic arrays. Suggested module name: oz</v>
      </c>
    </row>
    <row r="6" spans="1:9" x14ac:dyDescent="0.25">
      <c r="A6" t="str">
        <v>Version:</v>
      </c>
      <c r="B6" t="str">
        <v>20 Aug 2026</v>
      </c>
    </row>
    <row r="7" spans="1:9" x14ac:dyDescent="0.25">
      <c r="A7" t="str">
        <v>Repository:</v>
      </c>
      <c r="B7" t="str">
        <v>https://github.com/ryanduguid/Ozzit</v>
      </c>
    </row>
    <row r="8" spans="1:9" x14ac:dyDescent="0.25">
      <c r="A8" t="str">
        <v/>
      </c>
      <c r="B8" t="str">
        <v/>
      </c>
      <c r="D8" s="3"/>
    </row>
    <row r="9" spans="1:9" x14ac:dyDescent="0.25">
      <c r="A9" t="str">
        <v>Function</v>
      </c>
      <c r="B9" t="str">
        <v>Description</v>
      </c>
    </row>
    <row r="10" spans="1:9" x14ac:dyDescent="0.25">
      <c r="A10" t="str">
        <v>AboutEssentialsλ</v>
      </c>
      <c r="B10" t="str">
        <v>Produces this table</v>
      </c>
    </row>
    <row r="11" spans="1:9" x14ac:dyDescent="0.25">
      <c r="A11" t="str">
        <v>CountCλ</v>
      </c>
      <c r="B11" t="str">
        <v>Count how many of one or more characters are in a text string</v>
      </c>
    </row>
    <row r="12" spans="1:9" x14ac:dyDescent="0.25">
      <c r="A12" t="str">
        <v>SumColsλ</v>
      </c>
      <c r="B12" t="str">
        <v>Get the total of each column</v>
      </c>
    </row>
    <row r="13" spans="1:9" x14ac:dyDescent="0.25">
      <c r="A13" t="str">
        <v>SumRowsλ</v>
      </c>
      <c r="B13" t="str">
        <v>Get the total of each row</v>
      </c>
    </row>
    <row r="14" spans="1:9" x14ac:dyDescent="0.25">
      <c r="A14" t="str">
        <v>AvgColsλ</v>
      </c>
      <c r="B14" t="str">
        <v>Get the average of each column</v>
      </c>
    </row>
    <row r="15" spans="1:9" x14ac:dyDescent="0.25">
      <c r="A15" t="str">
        <v>AvgRowsλ</v>
      </c>
      <c r="B15" t="str">
        <v>Get the average of each row</v>
      </c>
    </row>
    <row r="16" spans="1:9"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pageSetup paperSize="9" scale="54" fitToHeight="0" orientation="landscape" horizontalDpi="0" verticalDpi="0"/>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990024"/>
    <pageSetUpPr fitToPage="1"/>
  </sheetPr>
  <dimension ref="A1:Q21"/>
  <sheetViews>
    <sheetView showGridLines="0" workbookViewId="0">
      <selection sqref="A1:K1"/>
    </sheetView>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6.5" x14ac:dyDescent="0.7">
      <c r="A1" s="185" t="str">
        <f ca="1">_xlfn.TEXTAFTER(CELL("filename",A1),"]")</f>
        <v>oz.CountCλ</v>
      </c>
      <c r="B1" s="185"/>
      <c r="C1" s="185"/>
      <c r="D1" s="185"/>
      <c r="E1" s="185"/>
      <c r="F1" s="185"/>
      <c r="G1" s="185"/>
      <c r="H1" s="185"/>
      <c r="I1" s="185"/>
      <c r="J1" s="185"/>
      <c r="K1" s="185"/>
    </row>
    <row r="2" spans="1:17" x14ac:dyDescent="0.25">
      <c r="A2" s="186" t="s">
        <v>289</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row>
    <row r="4" spans="1:17" x14ac:dyDescent="0.25">
      <c r="A4" s="55" t="str" cm="1">
        <f t="array" ref="A4:B13">oz.CountCλ()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Text</v>
      </c>
      <c r="B9" t="str">
        <v>(Required) The string to interrogate. Empty text returns 0</v>
      </c>
    </row>
    <row r="10" spans="1:17" x14ac:dyDescent="0.25">
      <c r="A10" t="str">
        <v>Characters</v>
      </c>
      <c r="B10" t="str">
        <v>(Required) A single character, or CSV of characters to find in Text</v>
      </c>
    </row>
    <row r="11" spans="1:17" x14ac:dyDescent="0.25">
      <c r="A11" t="str">
        <v/>
      </c>
      <c r="B11" t="str">
        <v>NOTE! Case sensitive. A single character is taken as itself, so a comma works</v>
      </c>
    </row>
    <row r="12" spans="1:17" x14ac:dyDescent="0.25">
      <c r="A12" t="str">
        <v>EXAMPLES:</v>
      </c>
      <c r="B12" t="str">
        <v>Formula (oz is assumed to be the module's name)</v>
      </c>
    </row>
    <row r="13" spans="1:17" x14ac:dyDescent="0.25">
      <c r="A13" t="str">
        <v/>
      </c>
      <c r="B13" t="str">
        <v>=oz.CountCλ( "Mary had a little lamb", "a,b")</v>
      </c>
    </row>
    <row r="16" spans="1:17" x14ac:dyDescent="0.25">
      <c r="B16" s="83" t="s">
        <v>266</v>
      </c>
      <c r="C16" s="83" t="s">
        <v>265</v>
      </c>
      <c r="D16" s="1" t="s">
        <v>267</v>
      </c>
      <c r="E16" s="136" t="s">
        <v>273</v>
      </c>
      <c r="F16" s="1"/>
      <c r="G16" s="1"/>
      <c r="H16" s="1"/>
      <c r="I16" s="1"/>
      <c r="J16" s="1"/>
      <c r="K16" s="1"/>
      <c r="L16" s="1"/>
      <c r="M16" s="1"/>
      <c r="N16" s="1"/>
      <c r="O16" s="1"/>
    </row>
    <row r="17" spans="2:5" x14ac:dyDescent="0.25">
      <c r="B17" s="14" t="s">
        <v>268</v>
      </c>
      <c r="C17" s="67" t="s">
        <v>269</v>
      </c>
      <c r="D17" s="55" cm="1">
        <f t="array" ref="D17">oz.CountCλ(B17,C17)</f>
        <v>5</v>
      </c>
      <c r="E17" t="s">
        <v>274</v>
      </c>
    </row>
    <row r="18" spans="2:5" x14ac:dyDescent="0.25">
      <c r="B18" s="14" t="s">
        <v>268</v>
      </c>
      <c r="C18" s="67" t="s">
        <v>20</v>
      </c>
      <c r="D18" s="55" cm="1">
        <f t="array" ref="D18">oz.CountCλ(B18,C18)</f>
        <v>1</v>
      </c>
      <c r="E18" t="s">
        <v>275</v>
      </c>
    </row>
    <row r="19" spans="2:5" x14ac:dyDescent="0.25">
      <c r="B19" s="14" t="s">
        <v>268</v>
      </c>
      <c r="C19" s="67" t="s">
        <v>270</v>
      </c>
      <c r="D19" s="55" cm="1">
        <f t="array" ref="D19">oz.CountCλ(B19,C19)</f>
        <v>2</v>
      </c>
    </row>
    <row r="20" spans="2:5" x14ac:dyDescent="0.25">
      <c r="B20" s="14" t="s">
        <v>268</v>
      </c>
      <c r="C20" s="67" t="s">
        <v>271</v>
      </c>
      <c r="D20" s="55" cm="1">
        <f t="array" ref="D20">oz.CountCλ(B20,C20)</f>
        <v>3</v>
      </c>
    </row>
    <row r="21" spans="2:5" x14ac:dyDescent="0.25">
      <c r="B21" s="14" t="s">
        <v>268</v>
      </c>
      <c r="C21" s="67" t="s">
        <v>272</v>
      </c>
      <c r="D21" s="55" cm="1">
        <f t="array" ref="D21">oz.CountCλ(B21,C21)</f>
        <v>3</v>
      </c>
      <c r="E21" t="s">
        <v>276</v>
      </c>
    </row>
  </sheetData>
  <mergeCells count="2">
    <mergeCell ref="A1:K1"/>
    <mergeCell ref="A2:Q2"/>
  </mergeCells>
  <hyperlinks>
    <hyperlink ref="A1" location="'TOC'!$A$1" display="'TOC'!$A$1" xr:uid="{A745DC2E-F8AB-4E84-B9E0-B68127444689}"/>
  </hyperlinks>
  <pageMargins left="0.7" right="0.7" top="0.75" bottom="0.75" header="0.3" footer="0.3"/>
  <pageSetup paperSize="9" scale="62" fitToHeight="0" orientation="landscape" horizontalDpi="0" verticalDpi="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990024"/>
    <pageSetUpPr fitToPage="1"/>
  </sheetPr>
  <dimension ref="A1:R25"/>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6.5" x14ac:dyDescent="0.7">
      <c r="A1" s="185" t="str">
        <f ca="1">_xlfn.TEXTAFTER(CELL("filename",A1),"]")</f>
        <v>oz.SumRowsλ</v>
      </c>
      <c r="B1" s="185"/>
      <c r="C1" s="185"/>
      <c r="D1" s="185"/>
      <c r="E1" s="185"/>
      <c r="F1" s="185"/>
      <c r="G1" s="185"/>
      <c r="H1" s="185"/>
      <c r="I1" s="185"/>
      <c r="J1" s="185"/>
      <c r="K1" s="185"/>
    </row>
    <row r="2" spans="1:17" x14ac:dyDescent="0.25">
      <c r="A2" s="186" t="s">
        <v>89</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row>
    <row r="4" spans="1:17" x14ac:dyDescent="0.25">
      <c r="A4" s="55" t="str" cm="1">
        <f t="array" ref="A4:B11">oz.SumRowsλ()</f>
        <v>FUNCTION:</v>
      </c>
      <c r="B4" t="str">
        <v>SumRowsλ( Array)</v>
      </c>
    </row>
    <row r="5" spans="1:17" x14ac:dyDescent="0.25">
      <c r="A5" t="str">
        <v>DESCRIPTION:</v>
      </c>
      <c r="B5" t="str">
        <v>Get the total of each row</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(oz is assumed to be the module's name)</v>
      </c>
    </row>
    <row r="11" spans="1:17" x14ac:dyDescent="0.25">
      <c r="A11" t="str">
        <v/>
      </c>
      <c r="B11" t="str">
        <v>=oz.SumRowsλ( SEQUENCE(5,5))</v>
      </c>
    </row>
    <row r="17" spans="1:18" ht="21" x14ac:dyDescent="0.35">
      <c r="A17" s="203" t="s">
        <v>148</v>
      </c>
      <c r="B17" s="203"/>
      <c r="C17" s="203"/>
    </row>
    <row r="19" spans="1:18" x14ac:dyDescent="0.25">
      <c r="A19" s="54" t="s">
        <v>149</v>
      </c>
      <c r="B19" s="54" t="s">
        <v>14</v>
      </c>
      <c r="C19" s="54" t="s">
        <v>15</v>
      </c>
      <c r="E19" s="83" t="s">
        <v>7</v>
      </c>
      <c r="F19" s="83" t="s">
        <v>152</v>
      </c>
      <c r="G19" s="1" cm="1">
        <f t="array" ref="G19:R19">oz.Timelineλ($B$20,$B$21,$B$22)</f>
        <v>46204</v>
      </c>
      <c r="H19" s="1">
        <v>46569</v>
      </c>
      <c r="I19" s="1">
        <v>46935</v>
      </c>
      <c r="J19" s="1">
        <v>47300</v>
      </c>
      <c r="K19" s="1">
        <v>47665</v>
      </c>
      <c r="L19" s="1">
        <v>48030</v>
      </c>
      <c r="M19" s="1">
        <v>48396</v>
      </c>
      <c r="N19" s="1">
        <v>48761</v>
      </c>
      <c r="O19" s="1">
        <v>49126</v>
      </c>
      <c r="P19" s="1">
        <v>49491</v>
      </c>
      <c r="Q19" s="1">
        <v>49857</v>
      </c>
      <c r="R19" s="1">
        <v>50222</v>
      </c>
    </row>
    <row r="20" spans="1:18" x14ac:dyDescent="0.25">
      <c r="A20" t="s">
        <v>112</v>
      </c>
      <c r="B20" s="34">
        <v>46204</v>
      </c>
      <c r="C20" t="s">
        <v>21</v>
      </c>
      <c r="E20" s="14" t="str" cm="1">
        <f t="array" ref="E20:E24">tblCT[Customer]</f>
        <v>ACME</v>
      </c>
      <c r="F20" s="129" cm="1">
        <f t="array" ref="F20:F24">oz.SumRowsλ(_xlfn.ANCHORARRAY(G20))</f>
        <v>13098</v>
      </c>
      <c r="G20" s="128"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17</v>
      </c>
      <c r="B21">
        <v>12</v>
      </c>
      <c r="C21" t="s">
        <v>22</v>
      </c>
      <c r="E21" s="14" t="str">
        <v>Wool*Art</v>
      </c>
      <c r="F21" s="67">
        <v>13182</v>
      </c>
      <c r="G21" s="67">
        <v>1027</v>
      </c>
      <c r="H21">
        <v>1040</v>
      </c>
      <c r="I21">
        <v>1053</v>
      </c>
      <c r="J21">
        <v>1066</v>
      </c>
      <c r="K21">
        <v>1079</v>
      </c>
      <c r="L21">
        <v>1092</v>
      </c>
      <c r="M21">
        <v>1105</v>
      </c>
      <c r="N21">
        <v>1118</v>
      </c>
      <c r="O21">
        <v>1131</v>
      </c>
      <c r="P21">
        <v>1144</v>
      </c>
      <c r="Q21">
        <v>1157</v>
      </c>
      <c r="R21">
        <v>1170</v>
      </c>
    </row>
    <row r="22" spans="1:18" x14ac:dyDescent="0.25">
      <c r="A22" t="s">
        <v>18</v>
      </c>
      <c r="B22" t="s">
        <v>2</v>
      </c>
      <c r="E22" s="14" t="str">
        <v>Town Hall</v>
      </c>
      <c r="F22" s="67">
        <v>13266</v>
      </c>
      <c r="G22" s="67">
        <v>1034</v>
      </c>
      <c r="H22">
        <v>1047</v>
      </c>
      <c r="I22">
        <v>1060</v>
      </c>
      <c r="J22">
        <v>1073</v>
      </c>
      <c r="K22">
        <v>1086</v>
      </c>
      <c r="L22">
        <v>1099</v>
      </c>
      <c r="M22">
        <v>1112</v>
      </c>
      <c r="N22">
        <v>1125</v>
      </c>
      <c r="O22">
        <v>1138</v>
      </c>
      <c r="P22">
        <v>1151</v>
      </c>
      <c r="Q22">
        <v>1164</v>
      </c>
      <c r="R22">
        <v>1177</v>
      </c>
    </row>
    <row r="23" spans="1:18" x14ac:dyDescent="0.25">
      <c r="E23" s="14" t="str">
        <v>Jacqie Penee</v>
      </c>
      <c r="F23" s="67">
        <v>13350</v>
      </c>
      <c r="G23">
        <v>1041</v>
      </c>
      <c r="H23">
        <v>1054</v>
      </c>
      <c r="I23">
        <v>1067</v>
      </c>
      <c r="J23">
        <v>1080</v>
      </c>
      <c r="K23">
        <v>1093</v>
      </c>
      <c r="L23">
        <v>1106</v>
      </c>
      <c r="M23">
        <v>1119</v>
      </c>
      <c r="N23">
        <v>1132</v>
      </c>
      <c r="O23">
        <v>1145</v>
      </c>
      <c r="P23">
        <v>1158</v>
      </c>
      <c r="Q23">
        <v>1171</v>
      </c>
      <c r="R23">
        <v>1184</v>
      </c>
    </row>
    <row r="24" spans="1:18" x14ac:dyDescent="0.25">
      <c r="E24" s="14" t="str">
        <v>Amazonia</v>
      </c>
      <c r="F24" s="67">
        <v>13434</v>
      </c>
      <c r="G24">
        <v>1048</v>
      </c>
      <c r="H24">
        <v>1061</v>
      </c>
      <c r="I24">
        <v>1074</v>
      </c>
      <c r="J24">
        <v>1087</v>
      </c>
      <c r="K24">
        <v>1100</v>
      </c>
      <c r="L24">
        <v>1113</v>
      </c>
      <c r="M24">
        <v>1126</v>
      </c>
      <c r="N24">
        <v>1139</v>
      </c>
      <c r="O24">
        <v>1152</v>
      </c>
      <c r="P24">
        <v>1165</v>
      </c>
      <c r="Q24">
        <v>1178</v>
      </c>
      <c r="R24">
        <v>1191</v>
      </c>
    </row>
    <row r="25" spans="1:18" ht="15.75" thickBot="1" x14ac:dyDescent="0.3">
      <c r="E25" s="96" t="s">
        <v>5</v>
      </c>
      <c r="F25" s="64">
        <f>SUM(_xlfn.ANCHORARRAY(G25))</f>
        <v>66330</v>
      </c>
      <c r="G25" s="64" cm="1">
        <f t="array" ref="G25:R25">oz.SumColsλ(_xlfn.ANCHORARRAY(G20))</f>
        <v>5170</v>
      </c>
      <c r="H25" s="64">
        <v>5235</v>
      </c>
      <c r="I25" s="64">
        <v>5300</v>
      </c>
      <c r="J25" s="64">
        <v>5365</v>
      </c>
      <c r="K25" s="64">
        <v>5430</v>
      </c>
      <c r="L25" s="64">
        <v>5495</v>
      </c>
      <c r="M25" s="64">
        <v>5560</v>
      </c>
      <c r="N25" s="64">
        <v>5625</v>
      </c>
      <c r="O25" s="64">
        <v>5690</v>
      </c>
      <c r="P25" s="64">
        <v>5755</v>
      </c>
      <c r="Q25" s="64">
        <v>5820</v>
      </c>
      <c r="R25" s="64">
        <v>5885</v>
      </c>
    </row>
  </sheetData>
  <mergeCells count="3">
    <mergeCell ref="A1:K1"/>
    <mergeCell ref="A17:C17"/>
    <mergeCell ref="A2:Q2"/>
  </mergeCells>
  <hyperlinks>
    <hyperlink ref="A1" location="'TOC'!$A$1" display="'TOC'!$A$1" xr:uid="{4AB2A53D-4913-401C-9816-B1BB1FB12942}"/>
  </hyperlinks>
  <pageMargins left="0.7" right="0.7" top="0.75" bottom="0.75" header="0.3" footer="0.3"/>
  <pageSetup paperSize="9" scale="64" fitToHeight="0" orientation="landscape" horizontalDpi="0" verticalDpi="0"/>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990024"/>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oz.SumColsλ</v>
      </c>
      <c r="B1" s="185"/>
      <c r="C1" s="185"/>
      <c r="D1" s="185"/>
      <c r="E1" s="185"/>
      <c r="F1" s="185"/>
      <c r="G1" s="185"/>
      <c r="H1" s="185"/>
      <c r="I1" s="185"/>
      <c r="J1" s="185"/>
      <c r="K1" s="185"/>
      <c r="L1" s="185"/>
      <c r="M1" s="185"/>
      <c r="N1" s="185"/>
      <c r="O1" s="185"/>
      <c r="P1" s="185"/>
    </row>
    <row r="2" spans="1:19" x14ac:dyDescent="0.25">
      <c r="A2" s="186" t="s">
        <v>260</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oz.SumColsλ()</f>
        <v>FUNCTION:</v>
      </c>
      <c r="B4" t="str">
        <v>SumColsλ( Array)</v>
      </c>
    </row>
    <row r="5" spans="1:19" x14ac:dyDescent="0.25">
      <c r="A5" t="str">
        <v>DESCRIPTION:</v>
      </c>
      <c r="B5" t="str">
        <v>Get the total of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(oz is assumed to be the module's name)</v>
      </c>
    </row>
    <row r="11" spans="1:19" x14ac:dyDescent="0.25">
      <c r="A11" t="str">
        <v/>
      </c>
      <c r="B11" t="str">
        <v>=oz.SumColsλ(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13098</v>
      </c>
      <c r="H17" s="85"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17</v>
      </c>
      <c r="B18">
        <v>12</v>
      </c>
      <c r="C18" t="s">
        <v>22</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18</v>
      </c>
      <c r="B19" t="s">
        <v>20</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60" t="s">
        <v>159</v>
      </c>
      <c r="G22" s="60">
        <f>SUM(_xlfn.ANCHORARRAY(H22))</f>
        <v>66330</v>
      </c>
      <c r="H22" s="97" cm="1">
        <f t="array" ref="H22:S22">oz.SumColsλ(_xlfn.ANCHORARRAY(H17))</f>
        <v>5170</v>
      </c>
      <c r="I22" s="60">
        <v>5235</v>
      </c>
      <c r="J22" s="60">
        <v>5300</v>
      </c>
      <c r="K22" s="60">
        <v>5365</v>
      </c>
      <c r="L22" s="60">
        <v>5430</v>
      </c>
      <c r="M22" s="60">
        <v>5495</v>
      </c>
      <c r="N22" s="60">
        <v>5560</v>
      </c>
      <c r="O22" s="60">
        <v>5625</v>
      </c>
      <c r="P22" s="60">
        <v>5690</v>
      </c>
      <c r="Q22" s="60">
        <v>5755</v>
      </c>
      <c r="R22" s="60">
        <v>5820</v>
      </c>
      <c r="S22" s="60">
        <v>5885</v>
      </c>
    </row>
  </sheetData>
  <mergeCells count="3">
    <mergeCell ref="A1:P1"/>
    <mergeCell ref="A14:C14"/>
    <mergeCell ref="A2:R2"/>
  </mergeCells>
  <hyperlinks>
    <hyperlink ref="A1" location="'TOC'!$A$1" display="'TOC'!$A$1" xr:uid="{775083F9-1866-4C3F-B4C6-E07B2BBE8F4B}"/>
  </hyperlinks>
  <pageMargins left="0.7" right="0.7" top="0.75" bottom="0.75" header="0.3" footer="0.3"/>
  <pageSetup paperSize="9" scale="63" fitToHeight="0" orientation="landscape" horizontalDpi="0" verticalDpi="0"/>
  <drawing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990024"/>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oz.AvgRowsλ</v>
      </c>
      <c r="B1" s="185"/>
      <c r="C1" s="185"/>
      <c r="D1" s="185"/>
      <c r="E1" s="185"/>
      <c r="F1" s="185"/>
      <c r="G1" s="185"/>
      <c r="H1" s="185"/>
      <c r="I1" s="185"/>
      <c r="J1" s="185"/>
      <c r="K1" s="185"/>
    </row>
    <row r="2" spans="1:18" x14ac:dyDescent="0.25">
      <c r="A2" s="186" t="s">
        <v>259</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oz.AvgRowsλ()</f>
        <v>FUNCTION:</v>
      </c>
      <c r="B4" t="str">
        <v>AvgRowsλ( Array)</v>
      </c>
    </row>
    <row r="5" spans="1:18" x14ac:dyDescent="0.25">
      <c r="A5" t="str">
        <v>DESCRIPTION:</v>
      </c>
      <c r="B5" t="str">
        <v>Get the average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(oz is assumed to be the module's name)</v>
      </c>
    </row>
    <row r="11" spans="1:18" x14ac:dyDescent="0.25">
      <c r="A11" t="str">
        <v/>
      </c>
      <c r="B11" t="str">
        <v>=oz.AvgRowsλ( SEQUENCE(5,5))</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oz.AvgRowsλ(_xlfn.ANCHORARRAY(G17))</f>
        <v>1091.5</v>
      </c>
      <c r="G17" s="128"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17</v>
      </c>
      <c r="B18">
        <v>12</v>
      </c>
      <c r="C18" t="s">
        <v>22</v>
      </c>
      <c r="E18" s="14" t="str">
        <v>Wool*Art</v>
      </c>
      <c r="F18" s="67">
        <v>1098.5</v>
      </c>
      <c r="G18" s="67">
        <v>1027</v>
      </c>
      <c r="H18">
        <v>1040</v>
      </c>
      <c r="I18">
        <v>1053</v>
      </c>
      <c r="J18">
        <v>1066</v>
      </c>
      <c r="K18">
        <v>1079</v>
      </c>
      <c r="L18">
        <v>1092</v>
      </c>
      <c r="M18">
        <v>1105</v>
      </c>
      <c r="N18">
        <v>1118</v>
      </c>
      <c r="O18">
        <v>1131</v>
      </c>
      <c r="P18">
        <v>1144</v>
      </c>
      <c r="Q18">
        <v>1157</v>
      </c>
      <c r="R18">
        <v>1170</v>
      </c>
    </row>
    <row r="19" spans="1:18" x14ac:dyDescent="0.25">
      <c r="A19" t="s">
        <v>18</v>
      </c>
      <c r="B19" t="s">
        <v>2</v>
      </c>
      <c r="E19" s="14" t="str">
        <v>Town Hall</v>
      </c>
      <c r="F19" s="67">
        <v>1105.5</v>
      </c>
      <c r="G19" s="67">
        <v>1034</v>
      </c>
      <c r="H19">
        <v>1047</v>
      </c>
      <c r="I19">
        <v>1060</v>
      </c>
      <c r="J19">
        <v>1073</v>
      </c>
      <c r="K19">
        <v>1086</v>
      </c>
      <c r="L19">
        <v>1099</v>
      </c>
      <c r="M19">
        <v>1112</v>
      </c>
      <c r="N19">
        <v>1125</v>
      </c>
      <c r="O19">
        <v>1138</v>
      </c>
      <c r="P19">
        <v>1151</v>
      </c>
      <c r="Q19">
        <v>1164</v>
      </c>
      <c r="R19">
        <v>1177</v>
      </c>
    </row>
    <row r="20" spans="1:18" x14ac:dyDescent="0.25">
      <c r="E20" s="14" t="str">
        <v>Jacqie Penee</v>
      </c>
      <c r="F20" s="67">
        <v>1112.5</v>
      </c>
      <c r="G20">
        <v>1041</v>
      </c>
      <c r="H20">
        <v>1054</v>
      </c>
      <c r="I20">
        <v>1067</v>
      </c>
      <c r="J20">
        <v>1080</v>
      </c>
      <c r="K20">
        <v>1093</v>
      </c>
      <c r="L20">
        <v>1106</v>
      </c>
      <c r="M20">
        <v>1119</v>
      </c>
      <c r="N20">
        <v>1132</v>
      </c>
      <c r="O20">
        <v>1145</v>
      </c>
      <c r="P20">
        <v>1158</v>
      </c>
      <c r="Q20">
        <v>1171</v>
      </c>
      <c r="R20">
        <v>1184</v>
      </c>
    </row>
    <row r="21" spans="1:18" x14ac:dyDescent="0.25">
      <c r="E21" s="14" t="str">
        <v>Amazonia</v>
      </c>
      <c r="F21" s="67">
        <v>1119.5</v>
      </c>
      <c r="G21">
        <v>1048</v>
      </c>
      <c r="H21">
        <v>1061</v>
      </c>
      <c r="I21">
        <v>1074</v>
      </c>
      <c r="J21">
        <v>1087</v>
      </c>
      <c r="K21">
        <v>1100</v>
      </c>
      <c r="L21">
        <v>1113</v>
      </c>
      <c r="M21">
        <v>1126</v>
      </c>
      <c r="N21">
        <v>1139</v>
      </c>
      <c r="O21">
        <v>1152</v>
      </c>
      <c r="P21">
        <v>1165</v>
      </c>
      <c r="Q21">
        <v>1178</v>
      </c>
      <c r="R21">
        <v>1191</v>
      </c>
    </row>
    <row r="22" spans="1:18" ht="15.75" thickBot="1" x14ac:dyDescent="0.3">
      <c r="E22" s="96" t="s">
        <v>5</v>
      </c>
      <c r="F22" s="64">
        <f>SUM(_xlfn.ANCHORARRAY(G22))</f>
        <v>66330</v>
      </c>
      <c r="G22" s="64" cm="1">
        <f t="array" ref="G22:R22">oz.SumColsλ(_xlfn.ANCHORARRAY(G17))</f>
        <v>5170</v>
      </c>
      <c r="H22" s="64">
        <v>5235</v>
      </c>
      <c r="I22" s="64">
        <v>5300</v>
      </c>
      <c r="J22" s="64">
        <v>5365</v>
      </c>
      <c r="K22" s="64">
        <v>5430</v>
      </c>
      <c r="L22" s="64">
        <v>5495</v>
      </c>
      <c r="M22" s="64">
        <v>5560</v>
      </c>
      <c r="N22" s="64">
        <v>5625</v>
      </c>
      <c r="O22" s="64">
        <v>5690</v>
      </c>
      <c r="P22" s="64">
        <v>5755</v>
      </c>
      <c r="Q22" s="64">
        <v>5820</v>
      </c>
      <c r="R22" s="64">
        <v>5885</v>
      </c>
    </row>
  </sheetData>
  <mergeCells count="3">
    <mergeCell ref="A1:K1"/>
    <mergeCell ref="A14:C14"/>
    <mergeCell ref="A2:Q2"/>
  </mergeCells>
  <hyperlinks>
    <hyperlink ref="A1" location="'TOC'!$A$1" display="'TOC'!$A$1" xr:uid="{7EC2FDFB-D606-49BB-B861-1E86349E7EAB}"/>
  </hyperlinks>
  <pageMargins left="0.7" right="0.7" top="0.75" bottom="0.75" header="0.3" footer="0.3"/>
  <pageSetup paperSize="9" scale="64" fitToHeight="0" orientation="landscape" horizontalDpi="0" verticalDpi="0"/>
  <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990024"/>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oz.AvgColsλ</v>
      </c>
      <c r="B1" s="185"/>
      <c r="C1" s="185"/>
      <c r="D1" s="185"/>
      <c r="E1" s="185"/>
      <c r="F1" s="185"/>
      <c r="G1" s="185"/>
      <c r="H1" s="185"/>
      <c r="I1" s="185"/>
      <c r="J1" s="185"/>
      <c r="K1" s="185"/>
      <c r="L1" s="185"/>
      <c r="M1" s="185"/>
      <c r="N1" s="185"/>
      <c r="O1" s="185"/>
      <c r="P1" s="185"/>
    </row>
    <row r="2" spans="1:19" x14ac:dyDescent="0.25">
      <c r="A2" s="186" t="s">
        <v>258</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oz.AvgColsλ()</f>
        <v>FUNCTION:</v>
      </c>
      <c r="B4" t="str">
        <v>AvgColsλ( Array)</v>
      </c>
    </row>
    <row r="5" spans="1:19" x14ac:dyDescent="0.25">
      <c r="A5" t="str">
        <v>DESCRIPTION:</v>
      </c>
      <c r="B5" t="str">
        <v>Get the average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(oz is assumed to be the module's name)</v>
      </c>
    </row>
    <row r="11" spans="1:19" x14ac:dyDescent="0.25">
      <c r="A11" t="str">
        <v/>
      </c>
      <c r="B11" t="str">
        <v>=oz.AvgColsλ(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2298</v>
      </c>
      <c r="H17" s="85"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0" t="s">
        <v>159</v>
      </c>
      <c r="G22" s="60">
        <f>SUM(_xlfn.ANCHORARRAY(H22))</f>
        <v>2466</v>
      </c>
      <c r="H22" s="97" cm="1">
        <f t="array" ref="H22:S22">oz.AvgColsλ(_xlfn.ANCHORARRAY(H17))</f>
        <v>134</v>
      </c>
      <c r="I22" s="60">
        <v>147</v>
      </c>
      <c r="J22" s="60">
        <v>160</v>
      </c>
      <c r="K22" s="60">
        <v>173</v>
      </c>
      <c r="L22" s="60">
        <v>186</v>
      </c>
      <c r="M22" s="60">
        <v>199</v>
      </c>
      <c r="N22" s="60">
        <v>212</v>
      </c>
      <c r="O22" s="60">
        <v>225</v>
      </c>
      <c r="P22" s="60">
        <v>238</v>
      </c>
      <c r="Q22" s="60">
        <v>251</v>
      </c>
      <c r="R22" s="60">
        <v>264</v>
      </c>
      <c r="S22" s="60">
        <v>277</v>
      </c>
    </row>
  </sheetData>
  <mergeCells count="3">
    <mergeCell ref="A1:P1"/>
    <mergeCell ref="A14:C14"/>
    <mergeCell ref="A2:R2"/>
  </mergeCells>
  <hyperlinks>
    <hyperlink ref="A1" location="'TOC'!$A$1" display="'TOC'!$A$1" xr:uid="{EB8AA815-4618-410B-9B7C-0CFFCFC28A4A}"/>
  </hyperlinks>
  <pageMargins left="0.7" right="0.7" top="0.75" bottom="0.75" header="0.3" footer="0.3"/>
  <pageSetup paperSize="9" scale="63" fitToHeight="0" orientation="landscape" horizontalDpi="0" verticalDpi="0"/>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990024"/>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oz.MinRowsλ</v>
      </c>
      <c r="B1" s="185"/>
      <c r="C1" s="185"/>
      <c r="D1" s="185"/>
      <c r="E1" s="185"/>
      <c r="F1" s="185"/>
      <c r="G1" s="185"/>
      <c r="H1" s="185"/>
      <c r="I1" s="185"/>
      <c r="J1" s="185"/>
      <c r="K1" s="185"/>
    </row>
    <row r="2" spans="1:18" x14ac:dyDescent="0.25">
      <c r="A2" s="186" t="s">
        <v>261</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oz.MinRowsλ()</f>
        <v>FUNCTION:</v>
      </c>
      <c r="B4" t="str">
        <v>MinRowsλ( Array)</v>
      </c>
    </row>
    <row r="5" spans="1:18" x14ac:dyDescent="0.25">
      <c r="A5" t="str">
        <v>DESCRIPTION:</v>
      </c>
      <c r="B5" t="str">
        <v>Get the minimum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(oz is assumed to be the module's name)</v>
      </c>
    </row>
    <row r="11" spans="1:18" x14ac:dyDescent="0.25">
      <c r="A11" t="str">
        <v/>
      </c>
      <c r="B11" t="str">
        <v>=oz.MinRowsλ( SEQUENCE(5,5))</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oz.MinRowsλ(_xlfn.ANCHORARRAY(G17))</f>
        <v>120</v>
      </c>
      <c r="G17" s="128"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17</v>
      </c>
      <c r="B18">
        <v>12</v>
      </c>
      <c r="C18" t="s">
        <v>22</v>
      </c>
      <c r="E18" s="14" t="str">
        <v>Wool*Art</v>
      </c>
      <c r="F18" s="67">
        <v>127</v>
      </c>
      <c r="G18" s="67">
        <v>127</v>
      </c>
      <c r="H18">
        <v>140</v>
      </c>
      <c r="I18">
        <v>153</v>
      </c>
      <c r="J18">
        <v>166</v>
      </c>
      <c r="K18">
        <v>179</v>
      </c>
      <c r="L18">
        <v>192</v>
      </c>
      <c r="M18">
        <v>205</v>
      </c>
      <c r="N18">
        <v>218</v>
      </c>
      <c r="O18">
        <v>231</v>
      </c>
      <c r="P18">
        <v>244</v>
      </c>
      <c r="Q18">
        <v>257</v>
      </c>
      <c r="R18">
        <v>270</v>
      </c>
    </row>
    <row r="19" spans="1:18" x14ac:dyDescent="0.25">
      <c r="A19" t="s">
        <v>18</v>
      </c>
      <c r="B19" t="s">
        <v>2</v>
      </c>
      <c r="E19" s="14" t="str">
        <v>Town Hall</v>
      </c>
      <c r="F19" s="67">
        <v>134</v>
      </c>
      <c r="G19" s="67">
        <v>134</v>
      </c>
      <c r="H19">
        <v>147</v>
      </c>
      <c r="I19">
        <v>160</v>
      </c>
      <c r="J19">
        <v>173</v>
      </c>
      <c r="K19">
        <v>186</v>
      </c>
      <c r="L19">
        <v>199</v>
      </c>
      <c r="M19">
        <v>212</v>
      </c>
      <c r="N19">
        <v>225</v>
      </c>
      <c r="O19">
        <v>238</v>
      </c>
      <c r="P19">
        <v>251</v>
      </c>
      <c r="Q19">
        <v>264</v>
      </c>
      <c r="R19">
        <v>277</v>
      </c>
    </row>
    <row r="20" spans="1:18" x14ac:dyDescent="0.25">
      <c r="E20" s="14" t="str">
        <v>Jacqie Penee</v>
      </c>
      <c r="F20" s="67">
        <v>141</v>
      </c>
      <c r="G20">
        <v>141</v>
      </c>
      <c r="H20">
        <v>154</v>
      </c>
      <c r="I20">
        <v>167</v>
      </c>
      <c r="J20">
        <v>180</v>
      </c>
      <c r="K20">
        <v>193</v>
      </c>
      <c r="L20">
        <v>206</v>
      </c>
      <c r="M20">
        <v>219</v>
      </c>
      <c r="N20">
        <v>232</v>
      </c>
      <c r="O20">
        <v>245</v>
      </c>
      <c r="P20">
        <v>258</v>
      </c>
      <c r="Q20">
        <v>271</v>
      </c>
      <c r="R20">
        <v>284</v>
      </c>
    </row>
    <row r="21" spans="1:18" x14ac:dyDescent="0.25">
      <c r="E21" s="14" t="str">
        <v>Amazonia</v>
      </c>
      <c r="F21" s="67">
        <v>148</v>
      </c>
      <c r="G21">
        <v>148</v>
      </c>
      <c r="H21">
        <v>161</v>
      </c>
      <c r="I21">
        <v>174</v>
      </c>
      <c r="J21">
        <v>187</v>
      </c>
      <c r="K21">
        <v>200</v>
      </c>
      <c r="L21">
        <v>213</v>
      </c>
      <c r="M21">
        <v>226</v>
      </c>
      <c r="N21">
        <v>239</v>
      </c>
      <c r="O21">
        <v>252</v>
      </c>
      <c r="P21">
        <v>265</v>
      </c>
      <c r="Q21">
        <v>278</v>
      </c>
      <c r="R21">
        <v>291</v>
      </c>
    </row>
    <row r="22" spans="1:18" ht="15.75" thickBot="1" x14ac:dyDescent="0.3">
      <c r="E22" s="96" t="s">
        <v>5</v>
      </c>
      <c r="F22" s="64">
        <f>SUM(_xlfn.ANCHORARRAY(G22))</f>
        <v>12330</v>
      </c>
      <c r="G22" s="64" cm="1">
        <f t="array" ref="G22:R22">oz.SumColsλ(_xlfn.ANCHORARRAY(G17))</f>
        <v>670</v>
      </c>
      <c r="H22" s="64">
        <v>735</v>
      </c>
      <c r="I22" s="64">
        <v>800</v>
      </c>
      <c r="J22" s="64">
        <v>865</v>
      </c>
      <c r="K22" s="64">
        <v>930</v>
      </c>
      <c r="L22" s="64">
        <v>995</v>
      </c>
      <c r="M22" s="64">
        <v>1060</v>
      </c>
      <c r="N22" s="64">
        <v>1125</v>
      </c>
      <c r="O22" s="64">
        <v>1190</v>
      </c>
      <c r="P22" s="64">
        <v>1255</v>
      </c>
      <c r="Q22" s="64">
        <v>1320</v>
      </c>
      <c r="R22" s="64">
        <v>1385</v>
      </c>
    </row>
  </sheetData>
  <mergeCells count="3">
    <mergeCell ref="A1:K1"/>
    <mergeCell ref="A14:C14"/>
    <mergeCell ref="A2:Q2"/>
  </mergeCells>
  <hyperlinks>
    <hyperlink ref="A1" location="'TOC'!$A$1" display="'TOC'!$A$1" xr:uid="{12995ECD-B50D-4A84-B688-27BBD06F1A74}"/>
  </hyperlinks>
  <pageMargins left="0.7" right="0.7" top="0.75" bottom="0.75" header="0.3" footer="0.3"/>
  <pageSetup paperSize="9" scale="64" fitToHeight="0" orientation="landscape" horizontalDpi="0" verticalDpi="0"/>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990024"/>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oz.MinColsλ</v>
      </c>
      <c r="B1" s="185"/>
      <c r="C1" s="185"/>
      <c r="D1" s="185"/>
      <c r="E1" s="185"/>
      <c r="F1" s="185"/>
      <c r="G1" s="185"/>
      <c r="H1" s="185"/>
      <c r="I1" s="185"/>
      <c r="J1" s="185"/>
      <c r="K1" s="185"/>
      <c r="L1" s="185"/>
      <c r="M1" s="185"/>
      <c r="N1" s="185"/>
      <c r="O1" s="185"/>
      <c r="P1" s="185"/>
    </row>
    <row r="2" spans="1:19" x14ac:dyDescent="0.25">
      <c r="A2" s="186" t="s">
        <v>257</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oz.MinColsλ()</f>
        <v>FUNCTION:</v>
      </c>
      <c r="B4" t="str">
        <v>MinColsλ( Array)</v>
      </c>
    </row>
    <row r="5" spans="1:19" x14ac:dyDescent="0.25">
      <c r="A5" t="str">
        <v>DESCRIPTION:</v>
      </c>
      <c r="B5" t="str">
        <v>Get the minimum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minimum by column.</v>
      </c>
    </row>
    <row r="10" spans="1:19" x14ac:dyDescent="0.25">
      <c r="A10" t="str">
        <v>EXAMPLES:</v>
      </c>
      <c r="B10" t="str">
        <v>Formula (oz is assumed to be the module's name)</v>
      </c>
    </row>
    <row r="11" spans="1:19" x14ac:dyDescent="0.25">
      <c r="A11" t="str">
        <v/>
      </c>
      <c r="B11" t="str">
        <v>=oz.MinColsλ(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2298</v>
      </c>
      <c r="H17" s="85"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0" t="s">
        <v>159</v>
      </c>
      <c r="G22" s="60">
        <f>SUM(_xlfn.ANCHORARRAY(H22))</f>
        <v>2298</v>
      </c>
      <c r="H22" s="97" cm="1">
        <f t="array" ref="H22:S22">oz.MinColsλ(_xlfn.ANCHORARRAY(H17))</f>
        <v>120</v>
      </c>
      <c r="I22" s="60">
        <v>133</v>
      </c>
      <c r="J22" s="60">
        <v>146</v>
      </c>
      <c r="K22" s="60">
        <v>159</v>
      </c>
      <c r="L22" s="60">
        <v>172</v>
      </c>
      <c r="M22" s="60">
        <v>185</v>
      </c>
      <c r="N22" s="60">
        <v>198</v>
      </c>
      <c r="O22" s="60">
        <v>211</v>
      </c>
      <c r="P22" s="60">
        <v>224</v>
      </c>
      <c r="Q22" s="60">
        <v>237</v>
      </c>
      <c r="R22" s="60">
        <v>250</v>
      </c>
      <c r="S22" s="60">
        <v>263</v>
      </c>
    </row>
  </sheetData>
  <mergeCells count="3">
    <mergeCell ref="A1:P1"/>
    <mergeCell ref="A14:C14"/>
    <mergeCell ref="A2:R2"/>
  </mergeCells>
  <hyperlinks>
    <hyperlink ref="A1" location="'TOC'!$A$1" display="'TOC'!$A$1" xr:uid="{9B5EA9D2-BD68-4FA6-A9DC-2476CAA1563C}"/>
  </hyperlinks>
  <pageMargins left="0.7" right="0.7" top="0.75" bottom="0.75" header="0.3" footer="0.3"/>
  <pageSetup paperSize="9" scale="63" fitToHeight="0" orientation="landscape" horizontalDpi="0" verticalDpi="0"/>
  <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990024"/>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oz.MaxRowsλ</v>
      </c>
      <c r="B1" s="185"/>
      <c r="C1" s="185"/>
      <c r="D1" s="185"/>
      <c r="E1" s="185"/>
      <c r="F1" s="185"/>
      <c r="G1" s="185"/>
      <c r="H1" s="185"/>
      <c r="I1" s="185"/>
      <c r="J1" s="185"/>
      <c r="K1" s="185"/>
    </row>
    <row r="2" spans="1:18" x14ac:dyDescent="0.25">
      <c r="A2" s="186" t="s">
        <v>262</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oz.MaxRowsλ()</f>
        <v>FUNCTION:</v>
      </c>
      <c r="B4" t="str">
        <v>MaxRowsλ( Array)</v>
      </c>
    </row>
    <row r="5" spans="1:18" x14ac:dyDescent="0.25">
      <c r="A5" t="str">
        <v>DESCRIPTION:</v>
      </c>
      <c r="B5" t="str">
        <v>Get the maximum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(oz is assumed to be the module's name)</v>
      </c>
    </row>
    <row r="11" spans="1:18" x14ac:dyDescent="0.25">
      <c r="A11" t="str">
        <v/>
      </c>
      <c r="B11" t="str">
        <v>=oz.MaxRowsλ( SEQUENCE(5,5))</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oz.MaxRowsλ(_xlfn.ANCHORARRAY(G17))</f>
        <v>263</v>
      </c>
      <c r="G17" s="128"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17</v>
      </c>
      <c r="B18">
        <v>12</v>
      </c>
      <c r="C18" t="s">
        <v>22</v>
      </c>
      <c r="E18" s="14" t="str">
        <v>Wool*Art</v>
      </c>
      <c r="F18" s="67">
        <v>270</v>
      </c>
      <c r="G18" s="67">
        <v>127</v>
      </c>
      <c r="H18">
        <v>140</v>
      </c>
      <c r="I18">
        <v>153</v>
      </c>
      <c r="J18">
        <v>166</v>
      </c>
      <c r="K18">
        <v>179</v>
      </c>
      <c r="L18">
        <v>192</v>
      </c>
      <c r="M18">
        <v>205</v>
      </c>
      <c r="N18">
        <v>218</v>
      </c>
      <c r="O18">
        <v>231</v>
      </c>
      <c r="P18">
        <v>244</v>
      </c>
      <c r="Q18">
        <v>257</v>
      </c>
      <c r="R18">
        <v>270</v>
      </c>
    </row>
    <row r="19" spans="1:18" x14ac:dyDescent="0.25">
      <c r="A19" t="s">
        <v>18</v>
      </c>
      <c r="B19" t="s">
        <v>2</v>
      </c>
      <c r="E19" s="14" t="str">
        <v>Town Hall</v>
      </c>
      <c r="F19" s="67">
        <v>277</v>
      </c>
      <c r="G19" s="67">
        <v>134</v>
      </c>
      <c r="H19">
        <v>147</v>
      </c>
      <c r="I19">
        <v>160</v>
      </c>
      <c r="J19">
        <v>173</v>
      </c>
      <c r="K19">
        <v>186</v>
      </c>
      <c r="L19">
        <v>199</v>
      </c>
      <c r="M19">
        <v>212</v>
      </c>
      <c r="N19">
        <v>225</v>
      </c>
      <c r="O19">
        <v>238</v>
      </c>
      <c r="P19">
        <v>251</v>
      </c>
      <c r="Q19">
        <v>264</v>
      </c>
      <c r="R19">
        <v>277</v>
      </c>
    </row>
    <row r="20" spans="1:18" x14ac:dyDescent="0.25">
      <c r="E20" s="14" t="str">
        <v>Jacqie Penee</v>
      </c>
      <c r="F20" s="67">
        <v>284</v>
      </c>
      <c r="G20">
        <v>141</v>
      </c>
      <c r="H20">
        <v>154</v>
      </c>
      <c r="I20">
        <v>167</v>
      </c>
      <c r="J20">
        <v>180</v>
      </c>
      <c r="K20">
        <v>193</v>
      </c>
      <c r="L20">
        <v>206</v>
      </c>
      <c r="M20">
        <v>219</v>
      </c>
      <c r="N20">
        <v>232</v>
      </c>
      <c r="O20">
        <v>245</v>
      </c>
      <c r="P20">
        <v>258</v>
      </c>
      <c r="Q20">
        <v>271</v>
      </c>
      <c r="R20">
        <v>284</v>
      </c>
    </row>
    <row r="21" spans="1:18" x14ac:dyDescent="0.25">
      <c r="E21" s="14" t="str">
        <v>Amazonia</v>
      </c>
      <c r="F21" s="67">
        <v>291</v>
      </c>
      <c r="G21">
        <v>148</v>
      </c>
      <c r="H21">
        <v>161</v>
      </c>
      <c r="I21">
        <v>174</v>
      </c>
      <c r="J21">
        <v>187</v>
      </c>
      <c r="K21">
        <v>200</v>
      </c>
      <c r="L21">
        <v>213</v>
      </c>
      <c r="M21">
        <v>226</v>
      </c>
      <c r="N21">
        <v>239</v>
      </c>
      <c r="O21">
        <v>252</v>
      </c>
      <c r="P21">
        <v>265</v>
      </c>
      <c r="Q21">
        <v>278</v>
      </c>
      <c r="R21">
        <v>291</v>
      </c>
    </row>
    <row r="22" spans="1:18" ht="15.75" thickBot="1" x14ac:dyDescent="0.3">
      <c r="E22" s="96" t="s">
        <v>5</v>
      </c>
      <c r="F22" s="64">
        <f>SUM(_xlfn.ANCHORARRAY(G22))</f>
        <v>12330</v>
      </c>
      <c r="G22" s="64" cm="1">
        <f t="array" ref="G22:R22">oz.SumColsλ(_xlfn.ANCHORARRAY(G17))</f>
        <v>670</v>
      </c>
      <c r="H22" s="64">
        <v>735</v>
      </c>
      <c r="I22" s="64">
        <v>800</v>
      </c>
      <c r="J22" s="64">
        <v>865</v>
      </c>
      <c r="K22" s="64">
        <v>930</v>
      </c>
      <c r="L22" s="64">
        <v>995</v>
      </c>
      <c r="M22" s="64">
        <v>1060</v>
      </c>
      <c r="N22" s="64">
        <v>1125</v>
      </c>
      <c r="O22" s="64">
        <v>1190</v>
      </c>
      <c r="P22" s="64">
        <v>1255</v>
      </c>
      <c r="Q22" s="64">
        <v>1320</v>
      </c>
      <c r="R22" s="64">
        <v>1385</v>
      </c>
    </row>
  </sheetData>
  <mergeCells count="3">
    <mergeCell ref="A1:K1"/>
    <mergeCell ref="A14:C14"/>
    <mergeCell ref="A2:Q2"/>
  </mergeCells>
  <hyperlinks>
    <hyperlink ref="A1" location="'TOC'!$A$1" display="'TOC'!$A$1" xr:uid="{EC6DE38F-774F-4E30-A41A-8DCE612A90DD}"/>
  </hyperlinks>
  <pageMargins left="0.7" right="0.7" top="0.75" bottom="0.75" header="0.3" footer="0.3"/>
  <pageSetup paperSize="9" scale="64" fitToHeight="0" orientation="landscape" horizontalDpi="0" verticalDpi="0"/>
  <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990024"/>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oz.MaxColsλ</v>
      </c>
      <c r="B1" s="185"/>
      <c r="C1" s="185"/>
      <c r="D1" s="185"/>
      <c r="E1" s="185"/>
      <c r="F1" s="185"/>
      <c r="G1" s="185"/>
      <c r="H1" s="185"/>
      <c r="I1" s="185"/>
      <c r="J1" s="185"/>
      <c r="K1" s="185"/>
      <c r="L1" s="185"/>
      <c r="M1" s="185"/>
      <c r="N1" s="185"/>
      <c r="O1" s="185"/>
      <c r="P1" s="185"/>
    </row>
    <row r="2" spans="1:19" x14ac:dyDescent="0.25">
      <c r="A2" s="186" t="s">
        <v>263</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oz.MaxColsλ()</f>
        <v>FUNCTION:</v>
      </c>
      <c r="B4" t="str">
        <v>MaxColsλ( Array)</v>
      </c>
    </row>
    <row r="5" spans="1:19" x14ac:dyDescent="0.25">
      <c r="A5" t="str">
        <v>DESCRIPTION:</v>
      </c>
      <c r="B5" t="str">
        <v>Get the maximum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(oz is assumed to be the module's name)</v>
      </c>
    </row>
    <row r="11" spans="1:19" x14ac:dyDescent="0.25">
      <c r="A11" t="str">
        <v/>
      </c>
      <c r="B11" t="str">
        <v>=oz.MaxColsλ(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2298</v>
      </c>
      <c r="H17" s="85"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0" t="s">
        <v>159</v>
      </c>
      <c r="G22" s="60">
        <f>SUM(_xlfn.ANCHORARRAY(H22))</f>
        <v>2634</v>
      </c>
      <c r="H22" s="97" cm="1">
        <f t="array" ref="H22:S22">oz.MaxColsλ(_xlfn.ANCHORARRAY(H17))</f>
        <v>148</v>
      </c>
      <c r="I22" s="60">
        <v>161</v>
      </c>
      <c r="J22" s="60">
        <v>174</v>
      </c>
      <c r="K22" s="60">
        <v>187</v>
      </c>
      <c r="L22" s="60">
        <v>200</v>
      </c>
      <c r="M22" s="60">
        <v>213</v>
      </c>
      <c r="N22" s="60">
        <v>226</v>
      </c>
      <c r="O22" s="60">
        <v>239</v>
      </c>
      <c r="P22" s="60">
        <v>252</v>
      </c>
      <c r="Q22" s="60">
        <v>265</v>
      </c>
      <c r="R22" s="60">
        <v>278</v>
      </c>
      <c r="S22" s="60">
        <v>291</v>
      </c>
    </row>
  </sheetData>
  <mergeCells count="3">
    <mergeCell ref="A1:P1"/>
    <mergeCell ref="A14:C14"/>
    <mergeCell ref="A2:R2"/>
  </mergeCells>
  <hyperlinks>
    <hyperlink ref="A1" location="'TOC'!$A$1" display="'TOC'!$A$1" xr:uid="{363009BD-CEEE-4358-9324-B8C1CFF31DDB}"/>
  </hyperlinks>
  <pageMargins left="0.7" right="0.7" top="0.75" bottom="0.75" header="0.3" footer="0.3"/>
  <pageSetup paperSize="9" scale="63" fitToHeight="0" orientation="landscape" horizontalDpi="0" verticalDpi="0"/>
  <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990024"/>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oz.CountRowsλ</v>
      </c>
      <c r="B1" s="185"/>
      <c r="C1" s="185"/>
      <c r="D1" s="185"/>
      <c r="E1" s="185"/>
      <c r="F1" s="185"/>
      <c r="G1" s="185"/>
      <c r="H1" s="185"/>
      <c r="I1" s="185"/>
      <c r="J1" s="185"/>
      <c r="K1" s="185"/>
    </row>
    <row r="2" spans="1:18" x14ac:dyDescent="0.25">
      <c r="A2" s="186" t="s">
        <v>286</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oz.CountRowsλ()</f>
        <v>FUNCTION:</v>
      </c>
      <c r="B4" t="str">
        <v>CountRowsλ( Array)</v>
      </c>
    </row>
    <row r="5" spans="1:18" x14ac:dyDescent="0.25">
      <c r="A5" t="str">
        <v>DESCRIPTION:</v>
      </c>
      <c r="B5" t="str">
        <v>Count numbers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=oz.CountRowsλ(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oz.CountRowsλ(_xlfn.ANCHORARRAY(G17))</f>
        <v>6</v>
      </c>
      <c r="G17" s="128"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17</v>
      </c>
      <c r="B18">
        <v>12</v>
      </c>
      <c r="C18" t="s">
        <v>22</v>
      </c>
      <c r="E18" s="14" t="str">
        <v>Wool*Art</v>
      </c>
      <c r="F18" s="67">
        <v>7</v>
      </c>
      <c r="G18" s="67">
        <v>4</v>
      </c>
      <c r="H18" t="str">
        <v>A</v>
      </c>
      <c r="I18" t="str">
        <v/>
      </c>
      <c r="J18">
        <v>3</v>
      </c>
      <c r="K18">
        <v>6</v>
      </c>
      <c r="L18" t="str">
        <v>C</v>
      </c>
      <c r="M18">
        <v>2</v>
      </c>
      <c r="N18">
        <v>5</v>
      </c>
      <c r="O18" t="str">
        <v>B</v>
      </c>
      <c r="P18">
        <v>1</v>
      </c>
      <c r="Q18">
        <v>4</v>
      </c>
      <c r="R18" t="str">
        <v>A</v>
      </c>
    </row>
    <row r="19" spans="1:18" x14ac:dyDescent="0.25">
      <c r="A19" t="s">
        <v>18</v>
      </c>
      <c r="B19" t="s">
        <v>2</v>
      </c>
      <c r="E19" s="14" t="str">
        <v>Town Hall</v>
      </c>
      <c r="F19" s="67">
        <v>8</v>
      </c>
      <c r="G19" s="67">
        <v>1</v>
      </c>
      <c r="H19">
        <v>4</v>
      </c>
      <c r="I19" t="str">
        <v>A</v>
      </c>
      <c r="J19" t="str">
        <v/>
      </c>
      <c r="K19">
        <v>3</v>
      </c>
      <c r="L19">
        <v>6</v>
      </c>
      <c r="M19" t="str">
        <v>C</v>
      </c>
      <c r="N19">
        <v>2</v>
      </c>
      <c r="O19">
        <v>5</v>
      </c>
      <c r="P19" t="str">
        <v>B</v>
      </c>
      <c r="Q19">
        <v>1</v>
      </c>
      <c r="R19">
        <v>4</v>
      </c>
    </row>
    <row r="20" spans="1:18" x14ac:dyDescent="0.25">
      <c r="E20" s="14" t="str">
        <v>Jacqie Penee</v>
      </c>
      <c r="F20" s="67">
        <v>7</v>
      </c>
      <c r="G20" t="str">
        <v>B</v>
      </c>
      <c r="H20">
        <v>1</v>
      </c>
      <c r="I20">
        <v>4</v>
      </c>
      <c r="J20" t="str">
        <v>A</v>
      </c>
      <c r="K20" t="str">
        <v/>
      </c>
      <c r="L20">
        <v>3</v>
      </c>
      <c r="M20">
        <v>6</v>
      </c>
      <c r="N20" t="str">
        <v>C</v>
      </c>
      <c r="O20">
        <v>2</v>
      </c>
      <c r="P20">
        <v>5</v>
      </c>
      <c r="Q20" t="str">
        <v>B</v>
      </c>
      <c r="R20">
        <v>1</v>
      </c>
    </row>
    <row r="21" spans="1:18" x14ac:dyDescent="0.25">
      <c r="E21" s="14" t="str">
        <v>Amazonia</v>
      </c>
      <c r="F21" s="67">
        <v>7</v>
      </c>
      <c r="G21">
        <v>5</v>
      </c>
      <c r="H21" t="str">
        <v>B</v>
      </c>
      <c r="I21">
        <v>1</v>
      </c>
      <c r="J21">
        <v>4</v>
      </c>
      <c r="K21" t="str">
        <v>A</v>
      </c>
      <c r="L21" t="str">
        <v/>
      </c>
      <c r="M21">
        <v>3</v>
      </c>
      <c r="N21">
        <v>6</v>
      </c>
      <c r="O21" t="str">
        <v>C</v>
      </c>
      <c r="P21">
        <v>2</v>
      </c>
      <c r="Q21">
        <v>5</v>
      </c>
      <c r="R21" t="str">
        <v>B</v>
      </c>
    </row>
    <row r="22" spans="1:18" ht="15.75" thickBot="1" x14ac:dyDescent="0.3">
      <c r="E22" s="96" t="s">
        <v>5</v>
      </c>
      <c r="F22" s="64">
        <f>SUM(_xlfn.ANCHORARRAY(G22))</f>
        <v>35</v>
      </c>
      <c r="G22" s="64" cm="1">
        <f t="array" ref="G22:R22">oz.CountColsλ(_xlfn.ANCHORARRAY(G17))</f>
        <v>3</v>
      </c>
      <c r="H22" s="64">
        <v>2</v>
      </c>
      <c r="I22" s="64">
        <v>3</v>
      </c>
      <c r="J22" s="64">
        <v>3</v>
      </c>
      <c r="K22" s="64">
        <v>2</v>
      </c>
      <c r="L22" s="64">
        <v>3</v>
      </c>
      <c r="M22" s="64">
        <v>4</v>
      </c>
      <c r="N22" s="64">
        <v>3</v>
      </c>
      <c r="O22" s="64">
        <v>3</v>
      </c>
      <c r="P22" s="64">
        <v>4</v>
      </c>
      <c r="Q22" s="64">
        <v>3</v>
      </c>
      <c r="R22" s="64">
        <v>2</v>
      </c>
    </row>
  </sheetData>
  <mergeCells count="3">
    <mergeCell ref="A1:K1"/>
    <mergeCell ref="A2:Q2"/>
    <mergeCell ref="A14:C14"/>
  </mergeCells>
  <hyperlinks>
    <hyperlink ref="A1" location="'TOC'!$A$1" display="'TOC'!$A$1" xr:uid="{B07DD42F-B3A3-4F78-AC3E-5A9C098CBEB9}"/>
  </hyperlinks>
  <pageMargins left="0.7" right="0.7" top="0.75" bottom="0.75" header="0.3" footer="0.3"/>
  <pageSetup paperSize="9" scale="64" fitToHeight="0" orientation="landscape" horizontalDpi="0" verticalDpi="0"/>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990024"/>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oz.CountColsλ</v>
      </c>
      <c r="B1" s="185"/>
      <c r="C1" s="185"/>
      <c r="D1" s="185"/>
      <c r="E1" s="185"/>
      <c r="F1" s="185"/>
      <c r="G1" s="185"/>
      <c r="H1" s="185"/>
      <c r="I1" s="185"/>
      <c r="J1" s="185"/>
      <c r="K1" s="185"/>
    </row>
    <row r="2" spans="1:18" x14ac:dyDescent="0.25">
      <c r="A2" s="186" t="s">
        <v>285</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oz.CountColsλ()</f>
        <v>FUNCTION:</v>
      </c>
      <c r="B4" t="str">
        <v>CountColsλ( Array)</v>
      </c>
    </row>
    <row r="5" spans="1:18" x14ac:dyDescent="0.25">
      <c r="A5" t="str">
        <v>DESCRIPTION:</v>
      </c>
      <c r="B5" t="str">
        <v>Count numbers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=oz.CountColsλ(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67" cm="1">
        <f t="array" ref="F17:F21">oz.CountRowsλ(_xlfn.ANCHORARRAY(G17))</f>
        <v>6</v>
      </c>
      <c r="G17" s="128"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17</v>
      </c>
      <c r="B18">
        <v>12</v>
      </c>
      <c r="C18" t="s">
        <v>22</v>
      </c>
      <c r="E18" s="14" t="str">
        <v>Wool*Art</v>
      </c>
      <c r="F18" s="67">
        <v>7</v>
      </c>
      <c r="G18" s="67">
        <v>4</v>
      </c>
      <c r="H18" t="str">
        <v>A</v>
      </c>
      <c r="I18" t="str">
        <v/>
      </c>
      <c r="J18">
        <v>3</v>
      </c>
      <c r="K18">
        <v>6</v>
      </c>
      <c r="L18" t="str">
        <v>C</v>
      </c>
      <c r="M18">
        <v>2</v>
      </c>
      <c r="N18">
        <v>5</v>
      </c>
      <c r="O18" t="str">
        <v>B</v>
      </c>
      <c r="P18">
        <v>1</v>
      </c>
      <c r="Q18">
        <v>4</v>
      </c>
      <c r="R18" t="str">
        <v>A</v>
      </c>
    </row>
    <row r="19" spans="1:18" x14ac:dyDescent="0.25">
      <c r="A19" t="s">
        <v>18</v>
      </c>
      <c r="B19" t="s">
        <v>2</v>
      </c>
      <c r="E19" s="14" t="str">
        <v>Town Hall</v>
      </c>
      <c r="F19" s="67">
        <v>8</v>
      </c>
      <c r="G19" s="67">
        <v>1</v>
      </c>
      <c r="H19">
        <v>4</v>
      </c>
      <c r="I19" t="str">
        <v>A</v>
      </c>
      <c r="J19" t="str">
        <v/>
      </c>
      <c r="K19">
        <v>3</v>
      </c>
      <c r="L19">
        <v>6</v>
      </c>
      <c r="M19" t="str">
        <v>C</v>
      </c>
      <c r="N19">
        <v>2</v>
      </c>
      <c r="O19">
        <v>5</v>
      </c>
      <c r="P19" t="str">
        <v>B</v>
      </c>
      <c r="Q19">
        <v>1</v>
      </c>
      <c r="R19">
        <v>4</v>
      </c>
    </row>
    <row r="20" spans="1:18" x14ac:dyDescent="0.25">
      <c r="E20" s="14" t="str">
        <v>Jacqie Penee</v>
      </c>
      <c r="F20" s="67">
        <v>7</v>
      </c>
      <c r="G20" t="str">
        <v>B</v>
      </c>
      <c r="H20">
        <v>1</v>
      </c>
      <c r="I20">
        <v>4</v>
      </c>
      <c r="J20" t="str">
        <v>A</v>
      </c>
      <c r="K20" t="str">
        <v/>
      </c>
      <c r="L20">
        <v>3</v>
      </c>
      <c r="M20">
        <v>6</v>
      </c>
      <c r="N20" t="str">
        <v>C</v>
      </c>
      <c r="O20">
        <v>2</v>
      </c>
      <c r="P20">
        <v>5</v>
      </c>
      <c r="Q20" t="str">
        <v>B</v>
      </c>
      <c r="R20">
        <v>1</v>
      </c>
    </row>
    <row r="21" spans="1:18" x14ac:dyDescent="0.25">
      <c r="E21" s="14" t="str">
        <v>Amazonia</v>
      </c>
      <c r="F21" s="67">
        <v>7</v>
      </c>
      <c r="G21">
        <v>5</v>
      </c>
      <c r="H21" t="str">
        <v>B</v>
      </c>
      <c r="I21">
        <v>1</v>
      </c>
      <c r="J21">
        <v>4</v>
      </c>
      <c r="K21" t="str">
        <v>A</v>
      </c>
      <c r="L21" t="str">
        <v/>
      </c>
      <c r="M21">
        <v>3</v>
      </c>
      <c r="N21">
        <v>6</v>
      </c>
      <c r="O21" t="str">
        <v>C</v>
      </c>
      <c r="P21">
        <v>2</v>
      </c>
      <c r="Q21">
        <v>5</v>
      </c>
      <c r="R21" t="str">
        <v>B</v>
      </c>
    </row>
    <row r="22" spans="1:18" ht="15.75" thickBot="1" x14ac:dyDescent="0.3">
      <c r="E22" s="96" t="s">
        <v>5</v>
      </c>
      <c r="F22" s="64">
        <f>SUM(_xlfn.ANCHORARRAY(G22))</f>
        <v>35</v>
      </c>
      <c r="G22" s="137" cm="1">
        <f t="array" ref="G22:R22">oz.CountColsλ(_xlfn.ANCHORARRAY(G17))</f>
        <v>3</v>
      </c>
      <c r="H22" s="64">
        <v>2</v>
      </c>
      <c r="I22" s="64">
        <v>3</v>
      </c>
      <c r="J22" s="64">
        <v>3</v>
      </c>
      <c r="K22" s="64">
        <v>2</v>
      </c>
      <c r="L22" s="64">
        <v>3</v>
      </c>
      <c r="M22" s="64">
        <v>4</v>
      </c>
      <c r="N22" s="64">
        <v>3</v>
      </c>
      <c r="O22" s="64">
        <v>3</v>
      </c>
      <c r="P22" s="64">
        <v>4</v>
      </c>
      <c r="Q22" s="64">
        <v>3</v>
      </c>
      <c r="R22" s="64">
        <v>2</v>
      </c>
    </row>
  </sheetData>
  <mergeCells count="3">
    <mergeCell ref="A1:K1"/>
    <mergeCell ref="A2:Q2"/>
    <mergeCell ref="A14:C14"/>
  </mergeCells>
  <hyperlinks>
    <hyperlink ref="A1" location="'TOC'!$A$1" display="'TOC'!$A$1" xr:uid="{AA1461E5-6747-4F24-BF1F-E74155322384}"/>
  </hyperlinks>
  <pageMargins left="0.7" right="0.7" top="0.75" bottom="0.75" header="0.3" footer="0.3"/>
  <pageSetup paperSize="9" scale="64" fitToHeight="0" orientation="landscape" horizontalDpi="0" verticalDpi="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990024"/>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oz.CountARowsλ</v>
      </c>
      <c r="B1" s="185"/>
      <c r="C1" s="185"/>
      <c r="D1" s="185"/>
      <c r="E1" s="185"/>
      <c r="F1" s="185"/>
      <c r="G1" s="185"/>
      <c r="H1" s="185"/>
      <c r="I1" s="185"/>
      <c r="J1" s="185"/>
      <c r="K1" s="185"/>
    </row>
    <row r="2" spans="1:18" x14ac:dyDescent="0.25">
      <c r="A2" s="186" t="s">
        <v>430</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oz.CountARowsλ()</f>
        <v>FUNCTION:</v>
      </c>
      <c r="B4" t="str">
        <v>CountARowsλ( Array)</v>
      </c>
    </row>
    <row r="5" spans="1:18" x14ac:dyDescent="0.25">
      <c r="A5" t="str">
        <v>DESCRIPTION:</v>
      </c>
      <c r="B5" t="str">
        <v>Count everything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=oz.CountARowsλ(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oz.CountARowsλ(G17:R21)</f>
        <v>11</v>
      </c>
      <c r="G17" s="128" t="s">
        <v>277</v>
      </c>
      <c r="H17">
        <v>1</v>
      </c>
      <c r="I17">
        <v>4</v>
      </c>
      <c r="J17">
        <v>5</v>
      </c>
      <c r="K17">
        <v>3</v>
      </c>
      <c r="L17" t="s">
        <v>278</v>
      </c>
      <c r="M17" t="s">
        <v>101</v>
      </c>
      <c r="N17" t="s">
        <v>101</v>
      </c>
      <c r="O17">
        <v>1</v>
      </c>
      <c r="Q17">
        <v>5</v>
      </c>
      <c r="R17" t="s">
        <v>101</v>
      </c>
    </row>
    <row r="18" spans="1:18" x14ac:dyDescent="0.25">
      <c r="A18" t="s">
        <v>17</v>
      </c>
      <c r="B18">
        <v>12</v>
      </c>
      <c r="C18" t="s">
        <v>22</v>
      </c>
      <c r="E18" s="14" t="str">
        <v>Wool*Art</v>
      </c>
      <c r="F18" s="67">
        <v>11</v>
      </c>
      <c r="G18" s="67"/>
      <c r="H18">
        <v>3</v>
      </c>
      <c r="I18">
        <v>4</v>
      </c>
      <c r="J18" t="s">
        <v>279</v>
      </c>
      <c r="K18" t="s">
        <v>279</v>
      </c>
      <c r="L18">
        <v>4</v>
      </c>
      <c r="M18">
        <v>3</v>
      </c>
      <c r="N18" t="s">
        <v>101</v>
      </c>
      <c r="O18">
        <v>3</v>
      </c>
      <c r="P18" t="s">
        <v>277</v>
      </c>
      <c r="Q18">
        <v>2</v>
      </c>
      <c r="R18" t="s">
        <v>277</v>
      </c>
    </row>
    <row r="19" spans="1:18" x14ac:dyDescent="0.25">
      <c r="A19" t="s">
        <v>18</v>
      </c>
      <c r="B19" t="s">
        <v>2</v>
      </c>
      <c r="E19" s="14" t="str">
        <v>Town Hall</v>
      </c>
      <c r="F19" s="67">
        <v>12</v>
      </c>
      <c r="G19" s="67">
        <v>5</v>
      </c>
      <c r="H19" t="s">
        <v>279</v>
      </c>
      <c r="I19" t="s">
        <v>279</v>
      </c>
      <c r="J19">
        <v>4</v>
      </c>
      <c r="K19" t="s">
        <v>279</v>
      </c>
      <c r="L19" t="s">
        <v>279</v>
      </c>
      <c r="M19">
        <v>1</v>
      </c>
      <c r="N19" t="s">
        <v>277</v>
      </c>
      <c r="O19" t="s">
        <v>101</v>
      </c>
      <c r="P19" t="s">
        <v>101</v>
      </c>
      <c r="Q19" t="s">
        <v>101</v>
      </c>
      <c r="R19">
        <v>5</v>
      </c>
    </row>
    <row r="20" spans="1:18" x14ac:dyDescent="0.25">
      <c r="E20" s="14" t="str">
        <v>Jacqie Penee</v>
      </c>
      <c r="F20" s="67">
        <v>12</v>
      </c>
      <c r="G20" t="s">
        <v>101</v>
      </c>
      <c r="H20">
        <v>4</v>
      </c>
      <c r="I20">
        <v>4</v>
      </c>
      <c r="J20" t="s">
        <v>277</v>
      </c>
      <c r="K20">
        <v>3</v>
      </c>
      <c r="L20">
        <v>1</v>
      </c>
      <c r="M20" t="s">
        <v>101</v>
      </c>
      <c r="N20">
        <v>2</v>
      </c>
      <c r="O20">
        <v>3</v>
      </c>
      <c r="P20">
        <v>3</v>
      </c>
      <c r="Q20" t="s">
        <v>279</v>
      </c>
      <c r="R20">
        <v>5</v>
      </c>
    </row>
    <row r="21" spans="1:18" x14ac:dyDescent="0.25">
      <c r="E21" s="14" t="str">
        <v>Amazonia</v>
      </c>
      <c r="F21" s="67">
        <v>9</v>
      </c>
      <c r="H21">
        <v>5</v>
      </c>
      <c r="I21" t="s">
        <v>101</v>
      </c>
      <c r="K21" t="s">
        <v>277</v>
      </c>
      <c r="L21" t="s">
        <v>279</v>
      </c>
      <c r="N21">
        <v>3</v>
      </c>
      <c r="O21">
        <v>3</v>
      </c>
      <c r="P21">
        <v>3</v>
      </c>
      <c r="Q21">
        <v>3</v>
      </c>
      <c r="R21" t="s">
        <v>277</v>
      </c>
    </row>
    <row r="22" spans="1:18" ht="15.75" thickBot="1" x14ac:dyDescent="0.3">
      <c r="E22" s="96" t="s">
        <v>5</v>
      </c>
      <c r="F22" s="64">
        <f>SUM(_xlfn.ANCHORARRAY(G22))</f>
        <v>55</v>
      </c>
      <c r="G22" s="64" cm="1">
        <f t="array" ref="G22:R22">oz.CountAColsλ(G17:R21)</f>
        <v>3</v>
      </c>
      <c r="H22" s="64">
        <v>5</v>
      </c>
      <c r="I22" s="64">
        <v>5</v>
      </c>
      <c r="J22" s="64">
        <v>4</v>
      </c>
      <c r="K22" s="64">
        <v>5</v>
      </c>
      <c r="L22" s="64">
        <v>5</v>
      </c>
      <c r="M22" s="64">
        <v>4</v>
      </c>
      <c r="N22" s="64">
        <v>5</v>
      </c>
      <c r="O22" s="64">
        <v>5</v>
      </c>
      <c r="P22" s="64">
        <v>4</v>
      </c>
      <c r="Q22" s="64">
        <v>5</v>
      </c>
      <c r="R22" s="64">
        <v>5</v>
      </c>
    </row>
  </sheetData>
  <mergeCells count="3">
    <mergeCell ref="A1:K1"/>
    <mergeCell ref="A2:Q2"/>
    <mergeCell ref="A14:C14"/>
  </mergeCells>
  <hyperlinks>
    <hyperlink ref="A1" location="'TOC'!$A$1" display="'TOC'!$A$1" xr:uid="{5E788C95-A844-48ED-9BEC-12FC4957635C}"/>
  </hyperlinks>
  <pageMargins left="0.7" right="0.7" top="0.75" bottom="0.75" header="0.3" footer="0.3"/>
  <pageSetup paperSize="9" scale="61" fitToHeight="0" orientation="landscape" horizontalDpi="0" verticalDpi="0"/>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990024"/>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oz.CountAColsλ</v>
      </c>
      <c r="B1" s="185"/>
      <c r="C1" s="185"/>
      <c r="D1" s="185"/>
      <c r="E1" s="185"/>
      <c r="F1" s="185"/>
      <c r="G1" s="185"/>
      <c r="H1" s="185"/>
      <c r="I1" s="185"/>
      <c r="J1" s="185"/>
      <c r="K1" s="185"/>
    </row>
    <row r="2" spans="1:18" x14ac:dyDescent="0.25">
      <c r="A2" s="186" t="s">
        <v>431</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oz.CountAColsλ()</f>
        <v>FUNCTION:</v>
      </c>
      <c r="B4" t="str">
        <v>CountAColsλ( Array )</v>
      </c>
    </row>
    <row r="5" spans="1:18" x14ac:dyDescent="0.25">
      <c r="A5" t="str">
        <v>DESCRIPTION:</v>
      </c>
      <c r="B5" t="str">
        <v>Count everything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=oz.CountAColsλ(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67" cm="1">
        <f t="array" ref="F17:F21">oz.CountARowsλ(G17:R21)</f>
        <v>11</v>
      </c>
      <c r="G17" s="128" t="s">
        <v>277</v>
      </c>
      <c r="H17">
        <v>1</v>
      </c>
      <c r="I17">
        <v>4</v>
      </c>
      <c r="J17">
        <v>5</v>
      </c>
      <c r="K17">
        <v>3</v>
      </c>
      <c r="L17" t="s">
        <v>278</v>
      </c>
      <c r="M17" t="s">
        <v>101</v>
      </c>
      <c r="N17" t="s">
        <v>101</v>
      </c>
      <c r="O17">
        <v>1</v>
      </c>
      <c r="Q17">
        <v>5</v>
      </c>
      <c r="R17" t="s">
        <v>101</v>
      </c>
    </row>
    <row r="18" spans="1:18" x14ac:dyDescent="0.25">
      <c r="A18" t="s">
        <v>17</v>
      </c>
      <c r="B18">
        <v>12</v>
      </c>
      <c r="C18" t="s">
        <v>22</v>
      </c>
      <c r="E18" s="14" t="str">
        <v>Wool*Art</v>
      </c>
      <c r="F18" s="67">
        <v>11</v>
      </c>
      <c r="G18" s="67"/>
      <c r="H18">
        <v>3</v>
      </c>
      <c r="I18">
        <v>4</v>
      </c>
      <c r="J18" t="s">
        <v>279</v>
      </c>
      <c r="K18" t="s">
        <v>279</v>
      </c>
      <c r="L18">
        <v>4</v>
      </c>
      <c r="M18">
        <v>3</v>
      </c>
      <c r="N18" t="s">
        <v>101</v>
      </c>
      <c r="O18">
        <v>3</v>
      </c>
      <c r="P18" t="s">
        <v>277</v>
      </c>
      <c r="Q18">
        <v>2</v>
      </c>
      <c r="R18" t="s">
        <v>277</v>
      </c>
    </row>
    <row r="19" spans="1:18" x14ac:dyDescent="0.25">
      <c r="A19" t="s">
        <v>18</v>
      </c>
      <c r="B19" t="s">
        <v>2</v>
      </c>
      <c r="E19" s="14" t="str">
        <v>Town Hall</v>
      </c>
      <c r="F19" s="67">
        <v>12</v>
      </c>
      <c r="G19" s="67">
        <v>5</v>
      </c>
      <c r="H19" t="s">
        <v>279</v>
      </c>
      <c r="I19" t="s">
        <v>279</v>
      </c>
      <c r="J19">
        <v>4</v>
      </c>
      <c r="K19" t="s">
        <v>279</v>
      </c>
      <c r="L19" t="s">
        <v>279</v>
      </c>
      <c r="M19">
        <v>1</v>
      </c>
      <c r="N19" t="s">
        <v>277</v>
      </c>
      <c r="O19" t="s">
        <v>101</v>
      </c>
      <c r="P19" t="s">
        <v>101</v>
      </c>
      <c r="Q19" t="s">
        <v>101</v>
      </c>
      <c r="R19">
        <v>5</v>
      </c>
    </row>
    <row r="20" spans="1:18" x14ac:dyDescent="0.25">
      <c r="E20" s="14" t="str">
        <v>Jacqie Penee</v>
      </c>
      <c r="F20" s="67">
        <v>12</v>
      </c>
      <c r="G20" t="s">
        <v>101</v>
      </c>
      <c r="H20">
        <v>4</v>
      </c>
      <c r="I20">
        <v>4</v>
      </c>
      <c r="J20" t="s">
        <v>277</v>
      </c>
      <c r="K20">
        <v>3</v>
      </c>
      <c r="L20">
        <v>1</v>
      </c>
      <c r="M20" t="s">
        <v>101</v>
      </c>
      <c r="N20">
        <v>2</v>
      </c>
      <c r="O20">
        <v>3</v>
      </c>
      <c r="P20">
        <v>3</v>
      </c>
      <c r="Q20" t="s">
        <v>279</v>
      </c>
      <c r="R20">
        <v>5</v>
      </c>
    </row>
    <row r="21" spans="1:18" x14ac:dyDescent="0.25">
      <c r="E21" s="14" t="str">
        <v>Amazonia</v>
      </c>
      <c r="F21" s="67">
        <v>9</v>
      </c>
      <c r="H21">
        <v>5</v>
      </c>
      <c r="I21" t="s">
        <v>101</v>
      </c>
      <c r="K21" t="s">
        <v>277</v>
      </c>
      <c r="L21" t="s">
        <v>279</v>
      </c>
      <c r="N21">
        <v>3</v>
      </c>
      <c r="O21">
        <v>3</v>
      </c>
      <c r="P21">
        <v>3</v>
      </c>
      <c r="Q21">
        <v>3</v>
      </c>
      <c r="R21" t="s">
        <v>277</v>
      </c>
    </row>
    <row r="22" spans="1:18" ht="15.75" thickBot="1" x14ac:dyDescent="0.3">
      <c r="E22" s="96" t="s">
        <v>5</v>
      </c>
      <c r="F22" s="64">
        <f>SUM(_xlfn.ANCHORARRAY(G22))</f>
        <v>55</v>
      </c>
      <c r="G22" s="137" cm="1">
        <f t="array" ref="G22:R22">oz.CountAColsλ(G17:R21)</f>
        <v>3</v>
      </c>
      <c r="H22" s="64">
        <v>5</v>
      </c>
      <c r="I22" s="64">
        <v>5</v>
      </c>
      <c r="J22" s="64">
        <v>4</v>
      </c>
      <c r="K22" s="64">
        <v>5</v>
      </c>
      <c r="L22" s="64">
        <v>5</v>
      </c>
      <c r="M22" s="64">
        <v>4</v>
      </c>
      <c r="N22" s="64">
        <v>5</v>
      </c>
      <c r="O22" s="64">
        <v>5</v>
      </c>
      <c r="P22" s="64">
        <v>4</v>
      </c>
      <c r="Q22" s="64">
        <v>5</v>
      </c>
      <c r="R22" s="64">
        <v>5</v>
      </c>
    </row>
  </sheetData>
  <mergeCells count="3">
    <mergeCell ref="A1:K1"/>
    <mergeCell ref="A2:Q2"/>
    <mergeCell ref="A14:C14"/>
  </mergeCells>
  <hyperlinks>
    <hyperlink ref="A1" location="'TOC'!$A$1" display="'TOC'!$A$1" xr:uid="{178E30B8-F48E-4BD5-91A8-F60DEC29A4D5}"/>
  </hyperlinks>
  <pageMargins left="0.7" right="0.7" top="0.75" bottom="0.75" header="0.3" footer="0.3"/>
  <pageSetup paperSize="9" scale="61" fitToHeight="0" orientation="landscape" horizontalDpi="0" verticalDpi="0"/>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990024"/>
    <pageSetUpPr fitToPage="1"/>
  </sheetPr>
  <dimension ref="A1:R3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6.5" x14ac:dyDescent="0.7">
      <c r="A1" s="185" t="str">
        <f ca="1">_xlfn.TEXTAFTER(CELL("filename",A1),"]")</f>
        <v>oz.IsBetweenEλ</v>
      </c>
      <c r="B1" s="185"/>
      <c r="C1" s="185"/>
      <c r="D1" s="185"/>
      <c r="E1" s="185"/>
      <c r="F1" s="185"/>
      <c r="G1" s="185"/>
      <c r="H1" s="185"/>
      <c r="I1" s="185"/>
      <c r="J1" s="185"/>
      <c r="K1" s="185"/>
    </row>
    <row r="2" spans="1:17" x14ac:dyDescent="0.25">
      <c r="A2" s="186" t="s">
        <v>72</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row>
    <row r="4" spans="1:17" x14ac:dyDescent="0.25">
      <c r="A4" s="55" t="str" cm="1">
        <f t="array" ref="A4:B16">oz.IsBetweenEλ()</f>
        <v>FUNCTION:</v>
      </c>
      <c r="B4" t="str">
        <v>IsBetweenEλ(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=IsBetweenEλ(1, 2, 4)</v>
      </c>
    </row>
    <row r="15" spans="1:17" x14ac:dyDescent="0.25">
      <c r="A15" t="str">
        <v>TRUE</v>
      </c>
      <c r="B15" t="str">
        <v>=IsBetweenEλ(2, 2, 4)</v>
      </c>
    </row>
    <row r="16" spans="1:17" x14ac:dyDescent="0.25">
      <c r="A16" t="str">
        <v>FALSE</v>
      </c>
      <c r="B16" t="str">
        <v>=IsBetweenEλ(2, 2, 4, FALSE)</v>
      </c>
    </row>
    <row r="18" spans="1:18" ht="21" x14ac:dyDescent="0.35">
      <c r="A18" s="203" t="s">
        <v>148</v>
      </c>
      <c r="B18" s="203"/>
      <c r="C18" s="203"/>
    </row>
    <row r="19" spans="1:18" x14ac:dyDescent="0.25">
      <c r="F19" s="84" t="s">
        <v>290</v>
      </c>
      <c r="G19" s="138" cm="1">
        <f t="array" ref="G19:R19">oz.Timelineλ($B$21,$B$22,$B$23, FALSE)</f>
        <v>46568</v>
      </c>
      <c r="H19" s="138">
        <v>46934</v>
      </c>
      <c r="I19" s="138">
        <v>47299</v>
      </c>
      <c r="J19" s="138">
        <v>47664</v>
      </c>
      <c r="K19" s="138">
        <v>48029</v>
      </c>
      <c r="L19" s="138">
        <v>48395</v>
      </c>
      <c r="M19" s="138">
        <v>48760</v>
      </c>
      <c r="N19" s="138">
        <v>49125</v>
      </c>
      <c r="O19" s="138">
        <v>49490</v>
      </c>
      <c r="P19" s="138">
        <v>49856</v>
      </c>
      <c r="Q19" s="138">
        <v>50221</v>
      </c>
      <c r="R19" s="138">
        <v>50586</v>
      </c>
    </row>
    <row r="20" spans="1:18" x14ac:dyDescent="0.25">
      <c r="A20" s="54" t="s">
        <v>149</v>
      </c>
      <c r="B20" s="54" t="s">
        <v>14</v>
      </c>
      <c r="C20" s="54" t="s">
        <v>15</v>
      </c>
      <c r="E20" s="83" t="s">
        <v>7</v>
      </c>
      <c r="F20" s="48" t="s">
        <v>152</v>
      </c>
      <c r="G20" s="49"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112</v>
      </c>
      <c r="B21" s="34">
        <v>46204</v>
      </c>
      <c r="C21" t="s">
        <v>21</v>
      </c>
      <c r="E21" s="14" t="str" cm="1">
        <f t="array" ref="E21:E25">tblCT[Customer]</f>
        <v>ACME</v>
      </c>
      <c r="F21" s="67" cm="1">
        <f t="array" ref="F21:F25">oz.SumRowsλ(_xlfn.ANCHORARRAY(G21))</f>
        <v>1</v>
      </c>
      <c r="G21" s="55" cm="1">
        <f t="array" ref="G21:R25">N(oz.IsBetweenλ(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17</v>
      </c>
      <c r="B22">
        <v>12</v>
      </c>
      <c r="C22" t="s">
        <v>22</v>
      </c>
      <c r="E22" s="14" t="str">
        <v>Wool*Art</v>
      </c>
      <c r="F22" s="67">
        <v>1</v>
      </c>
      <c r="G22" s="67">
        <v>0</v>
      </c>
      <c r="H22">
        <v>1</v>
      </c>
      <c r="I22">
        <v>0</v>
      </c>
      <c r="J22">
        <v>0</v>
      </c>
      <c r="K22">
        <v>0</v>
      </c>
      <c r="L22">
        <v>0</v>
      </c>
      <c r="M22">
        <v>0</v>
      </c>
      <c r="N22">
        <v>0</v>
      </c>
      <c r="O22">
        <v>0</v>
      </c>
      <c r="P22">
        <v>0</v>
      </c>
      <c r="Q22">
        <v>0</v>
      </c>
      <c r="R22">
        <v>0</v>
      </c>
    </row>
    <row r="23" spans="1:18" x14ac:dyDescent="0.25">
      <c r="A23" t="s">
        <v>18</v>
      </c>
      <c r="B23" t="s">
        <v>2</v>
      </c>
      <c r="E23" s="14" t="str">
        <v>Town Hall</v>
      </c>
      <c r="F23" s="67">
        <v>1</v>
      </c>
      <c r="G23" s="67">
        <v>0</v>
      </c>
      <c r="H23">
        <v>0</v>
      </c>
      <c r="I23">
        <v>1</v>
      </c>
      <c r="J23">
        <v>0</v>
      </c>
      <c r="K23">
        <v>0</v>
      </c>
      <c r="L23">
        <v>0</v>
      </c>
      <c r="M23">
        <v>0</v>
      </c>
      <c r="N23">
        <v>0</v>
      </c>
      <c r="O23">
        <v>0</v>
      </c>
      <c r="P23">
        <v>0</v>
      </c>
      <c r="Q23">
        <v>0</v>
      </c>
      <c r="R23">
        <v>0</v>
      </c>
    </row>
    <row r="24" spans="1:18" x14ac:dyDescent="0.25">
      <c r="E24" s="14" t="str">
        <v>Jacqie Penee</v>
      </c>
      <c r="F24" s="67">
        <v>1</v>
      </c>
      <c r="G24">
        <v>0</v>
      </c>
      <c r="H24">
        <v>0</v>
      </c>
      <c r="I24">
        <v>0</v>
      </c>
      <c r="J24">
        <v>1</v>
      </c>
      <c r="K24">
        <v>0</v>
      </c>
      <c r="L24">
        <v>0</v>
      </c>
      <c r="M24">
        <v>0</v>
      </c>
      <c r="N24">
        <v>0</v>
      </c>
      <c r="O24">
        <v>0</v>
      </c>
      <c r="P24">
        <v>0</v>
      </c>
      <c r="Q24">
        <v>0</v>
      </c>
      <c r="R24">
        <v>0</v>
      </c>
    </row>
    <row r="25" spans="1:18" x14ac:dyDescent="0.25">
      <c r="E25" s="14" t="str">
        <v>Amazonia</v>
      </c>
      <c r="F25" s="67">
        <v>1</v>
      </c>
      <c r="G25">
        <v>0</v>
      </c>
      <c r="H25">
        <v>0</v>
      </c>
      <c r="I25">
        <v>0</v>
      </c>
      <c r="J25">
        <v>0</v>
      </c>
      <c r="K25">
        <v>1</v>
      </c>
      <c r="L25">
        <v>0</v>
      </c>
      <c r="M25">
        <v>0</v>
      </c>
      <c r="N25">
        <v>0</v>
      </c>
      <c r="O25">
        <v>0</v>
      </c>
      <c r="P25">
        <v>0</v>
      </c>
      <c r="Q25">
        <v>0</v>
      </c>
      <c r="R25">
        <v>0</v>
      </c>
    </row>
    <row r="26" spans="1:18" ht="21.75" thickBot="1" x14ac:dyDescent="0.4">
      <c r="A26" s="209" t="s">
        <v>291</v>
      </c>
      <c r="B26" s="210"/>
      <c r="E26" s="96" t="s">
        <v>5</v>
      </c>
      <c r="F26" s="64">
        <f>SUM(_xlfn.ANCHORARRAY(G26))</f>
        <v>5</v>
      </c>
      <c r="G26" s="139" cm="1">
        <f t="array" ref="G26:R26">oz.SumColsλ(_xlfn.ANCHORARRAY(G21))</f>
        <v>0</v>
      </c>
      <c r="H26" s="64">
        <v>2</v>
      </c>
      <c r="I26" s="64">
        <v>1</v>
      </c>
      <c r="J26" s="64">
        <v>1</v>
      </c>
      <c r="K26" s="64">
        <v>1</v>
      </c>
      <c r="L26" s="64">
        <v>0</v>
      </c>
      <c r="M26" s="64">
        <v>0</v>
      </c>
      <c r="N26" s="64">
        <v>0</v>
      </c>
      <c r="O26" s="64">
        <v>0</v>
      </c>
      <c r="P26" s="64">
        <v>0</v>
      </c>
      <c r="Q26" s="64">
        <v>0</v>
      </c>
      <c r="R26" s="64">
        <v>0</v>
      </c>
    </row>
    <row r="27" spans="1:18" ht="15.75" thickTop="1" x14ac:dyDescent="0.25"/>
    <row r="28" spans="1:18" x14ac:dyDescent="0.25">
      <c r="A28" t="s">
        <v>140</v>
      </c>
      <c r="B28" t="s">
        <v>291</v>
      </c>
    </row>
    <row r="29" spans="1:18" x14ac:dyDescent="0.25">
      <c r="A29" s="14" t="str">
        <f>E21</f>
        <v>ACME</v>
      </c>
      <c r="B29" s="34" cm="1">
        <f t="array" ref="B29">$B$21 + 365 * (ROW() - ROW(tblOnBoarding[#Headers]))</f>
        <v>46569</v>
      </c>
    </row>
    <row r="30" spans="1:18" x14ac:dyDescent="0.25">
      <c r="A30" s="14" t="str">
        <f t="shared" ref="A30:A33" si="0">E22</f>
        <v>Wool*Art</v>
      </c>
      <c r="B30" s="34" cm="1">
        <f t="array" ref="B30">$B$21 + 365 * (ROW() - ROW(tblOnBoarding[#Headers]))</f>
        <v>46934</v>
      </c>
    </row>
    <row r="31" spans="1:18" x14ac:dyDescent="0.25">
      <c r="A31" s="14" t="str">
        <f t="shared" si="0"/>
        <v>Town Hall</v>
      </c>
      <c r="B31" s="34" cm="1">
        <f t="array" ref="B31">$B$21 + 365 * (ROW() - ROW(tblOnBoarding[#Headers]))</f>
        <v>47299</v>
      </c>
    </row>
    <row r="32" spans="1:18" x14ac:dyDescent="0.25">
      <c r="A32" s="14" t="str">
        <f t="shared" si="0"/>
        <v>Jacqie Penee</v>
      </c>
      <c r="B32" s="34" cm="1">
        <f t="array" ref="B32">$B$21 + 365 * (ROW() - ROW(tblOnBoarding[#Headers]))</f>
        <v>47664</v>
      </c>
    </row>
    <row r="33" spans="1:2" x14ac:dyDescent="0.25">
      <c r="A33" s="14" t="str">
        <f t="shared" si="0"/>
        <v>Amazonia</v>
      </c>
      <c r="B33" s="34" cm="1">
        <f t="array" ref="B33">$B$21 + 365 * (ROW() - ROW(tblOnBoarding[#Headers]))</f>
        <v>48029</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pageSetup paperSize="9" scale="59" fitToHeight="0" orientation="landscape" horizontalDpi="0" verticalDpi="0"/>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990024"/>
    <pageSetUpPr fitToPage="1"/>
  </sheetPr>
  <dimension ref="A1:R2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6.5" x14ac:dyDescent="0.7">
      <c r="A1" s="185" t="str">
        <f ca="1">_xlfn.TEXTAFTER(CELL("filename",A1),"]")</f>
        <v>oz.RangeToDAEλ</v>
      </c>
      <c r="B1" s="185"/>
      <c r="C1" s="185"/>
      <c r="D1" s="185"/>
      <c r="E1" s="185"/>
      <c r="F1" s="185"/>
      <c r="G1" s="185"/>
      <c r="H1" s="185"/>
      <c r="I1" s="185"/>
      <c r="J1" s="185"/>
      <c r="K1" s="185"/>
    </row>
    <row r="2" spans="1:18" x14ac:dyDescent="0.25">
      <c r="A2" s="186" t="s">
        <v>298</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3">oz.RangeToDAEλ()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WEBSITE:</v>
      </c>
      <c r="B7" t="str">
        <f/>
        <v>https://github.com/ryanduguid/Ozzit</v>
      </c>
    </row>
    <row r="8" spans="1:18" x14ac:dyDescent="0.25">
      <c r="A8" t="str">
        <f/>
        <v>PARAMETERS:</v>
      </c>
      <c r="B8" t="str">
        <f/>
        <v/>
      </c>
    </row>
    <row r="9" spans="1:18" x14ac:dyDescent="0.25">
      <c r="A9" t="str">
        <f/>
        <v>Range</v>
      </c>
      <c r="B9" t="str">
        <f/>
        <v>(Required) A reference to the range to be converted.</v>
      </c>
    </row>
    <row r="10" spans="1:18" x14ac:dyDescent="0.25">
      <c r="A10" t="str">
        <f/>
        <v>Rows</v>
      </c>
      <c r="B10" t="str">
        <f/>
        <v>(Optional) Number of rows for the dynamic array. Defaults to 1.</v>
      </c>
    </row>
    <row r="11" spans="1:18" x14ac:dyDescent="0.25">
      <c r="A11" t="str">
        <f/>
        <v>Columns</v>
      </c>
      <c r="B11" t="str">
        <f/>
        <v>(Optional) Number of columns for the dynamic array. Defaults to 1.</v>
      </c>
    </row>
    <row r="12" spans="1:18" x14ac:dyDescent="0.25">
      <c r="A12" t="str">
        <f/>
        <v/>
      </c>
      <c r="B12" t="str">
        <f/>
        <v/>
      </c>
    </row>
    <row r="13" spans="1:18" x14ac:dyDescent="0.25">
      <c r="A13" t="str">
        <f/>
        <v>EXAMPLES:</v>
      </c>
      <c r="B13" t="str">
        <f/>
        <v>=RangeToDAEλ(A1, , ModelPeriodCount)</v>
      </c>
    </row>
    <row r="14" spans="1:18" x14ac:dyDescent="0.25">
      <c r="F14" s="48" t="s">
        <v>292</v>
      </c>
      <c r="G14" s="49" cm="1">
        <f t="array" ref="G14:R14">oz.Timelineλ($B$21,$B$22,$B$23)</f>
        <v>46204</v>
      </c>
      <c r="H14" s="1">
        <v>46569</v>
      </c>
      <c r="I14" s="1">
        <v>46935</v>
      </c>
      <c r="J14" s="1">
        <v>47300</v>
      </c>
      <c r="K14" s="1">
        <v>47665</v>
      </c>
      <c r="L14" s="1">
        <v>48030</v>
      </c>
      <c r="M14" s="1">
        <v>48396</v>
      </c>
      <c r="N14" s="1">
        <v>48761</v>
      </c>
      <c r="O14" s="1">
        <v>49126</v>
      </c>
      <c r="P14" s="1">
        <v>49491</v>
      </c>
      <c r="Q14" s="1">
        <v>49857</v>
      </c>
      <c r="R14" s="1">
        <v>50222</v>
      </c>
    </row>
    <row r="15" spans="1:18" x14ac:dyDescent="0.25">
      <c r="F15" t="s">
        <v>293</v>
      </c>
      <c r="G15" s="140">
        <v>3.5000000000000003E-2</v>
      </c>
      <c r="H15" s="140">
        <v>3.2500000000000001E-2</v>
      </c>
      <c r="I15" s="140">
        <v>0.03</v>
      </c>
      <c r="J15" s="140">
        <v>2.75E-2</v>
      </c>
      <c r="K15" s="140">
        <v>2.5000000000000001E-2</v>
      </c>
      <c r="L15" s="140">
        <v>2.5000000000000001E-2</v>
      </c>
      <c r="M15" s="140">
        <v>2.5000000000000001E-2</v>
      </c>
      <c r="N15" s="140">
        <v>2.5000000000000001E-2</v>
      </c>
      <c r="O15" s="140">
        <v>2.75E-2</v>
      </c>
      <c r="P15" s="95"/>
      <c r="Q15" s="95"/>
      <c r="R15" s="95"/>
    </row>
    <row r="16" spans="1:18" x14ac:dyDescent="0.25">
      <c r="F16" t="s">
        <v>294</v>
      </c>
      <c r="G16" s="140">
        <v>0.03</v>
      </c>
      <c r="H16" s="140">
        <v>3.2000000000000001E-2</v>
      </c>
      <c r="I16" s="140">
        <v>3.3000000000000002E-2</v>
      </c>
      <c r="J16" s="140">
        <v>0.04</v>
      </c>
      <c r="K16" s="140">
        <v>0.05</v>
      </c>
      <c r="L16" s="140">
        <v>0.06</v>
      </c>
      <c r="M16" s="140">
        <v>6.5000000000000002E-2</v>
      </c>
      <c r="N16" s="140">
        <v>6.5000000000000002E-2</v>
      </c>
      <c r="O16" s="140">
        <v>7.0000000000000007E-2</v>
      </c>
      <c r="P16" s="95"/>
      <c r="Q16" s="95"/>
      <c r="R16" s="95"/>
    </row>
    <row r="18" spans="1:18" ht="21" x14ac:dyDescent="0.35">
      <c r="A18" s="203" t="s">
        <v>148</v>
      </c>
      <c r="B18" s="203"/>
      <c r="C18" s="203"/>
    </row>
    <row r="19" spans="1:18" x14ac:dyDescent="0.25">
      <c r="F19" s="84" t="s">
        <v>290</v>
      </c>
      <c r="G19" s="138" cm="1">
        <f t="array" ref="G19:R19">oz.Timelineλ($B$21,$B$22,$B$23, FALSE)</f>
        <v>46568</v>
      </c>
      <c r="H19" s="138">
        <v>46934</v>
      </c>
      <c r="I19" s="138">
        <v>47299</v>
      </c>
      <c r="J19" s="138">
        <v>47664</v>
      </c>
      <c r="K19" s="138">
        <v>48029</v>
      </c>
      <c r="L19" s="138">
        <v>48395</v>
      </c>
      <c r="M19" s="138">
        <v>48760</v>
      </c>
      <c r="N19" s="138">
        <v>49125</v>
      </c>
      <c r="O19" s="138">
        <v>49490</v>
      </c>
      <c r="P19" s="138">
        <v>49856</v>
      </c>
      <c r="Q19" s="138">
        <v>50221</v>
      </c>
      <c r="R19" s="138">
        <v>50586</v>
      </c>
    </row>
    <row r="20" spans="1:18" x14ac:dyDescent="0.25">
      <c r="A20" s="54" t="s">
        <v>149</v>
      </c>
      <c r="B20" s="54" t="s">
        <v>14</v>
      </c>
      <c r="C20" s="54" t="s">
        <v>15</v>
      </c>
      <c r="E20" s="83" t="s">
        <v>7</v>
      </c>
      <c r="F20" s="48" t="s">
        <v>152</v>
      </c>
      <c r="G20" s="49"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112</v>
      </c>
      <c r="B21" s="34">
        <v>46204</v>
      </c>
      <c r="C21" t="s">
        <v>21</v>
      </c>
      <c r="E21" t="s">
        <v>293</v>
      </c>
      <c r="F21" s="67" cm="1">
        <f t="array" ref="F21">oz.SumRowsλ(_xlfn.ANCHORARRAY(G21))</f>
        <v>0.2525</v>
      </c>
      <c r="G21" s="142" cm="1">
        <f t="array" ref="G21:R21">oz.RangeToDAEλ(G15, ,COLUMNS(_xlfn.ANCHORARRAY($G$14)))</f>
        <v>3.5000000000000003E-2</v>
      </c>
      <c r="H21" s="141">
        <f/>
        <v>3.2500000000000001E-2</v>
      </c>
      <c r="I21" s="141">
        <f/>
        <v>0.03</v>
      </c>
      <c r="J21" s="141">
        <f/>
        <v>2.75E-2</v>
      </c>
      <c r="K21" s="141">
        <f/>
        <v>2.5000000000000001E-2</v>
      </c>
      <c r="L21" s="141">
        <f/>
        <v>2.5000000000000001E-2</v>
      </c>
      <c r="M21" s="141">
        <f/>
        <v>2.5000000000000001E-2</v>
      </c>
      <c r="N21" s="141">
        <f/>
        <v>2.5000000000000001E-2</v>
      </c>
      <c r="O21" s="141">
        <f/>
        <v>2.75E-2</v>
      </c>
      <c r="P21" s="141">
        <f/>
        <v>0</v>
      </c>
      <c r="Q21" s="141">
        <f/>
        <v>0</v>
      </c>
      <c r="R21" s="141">
        <f/>
        <v>0</v>
      </c>
    </row>
    <row r="22" spans="1:18" x14ac:dyDescent="0.25">
      <c r="A22" t="s">
        <v>17</v>
      </c>
      <c r="B22">
        <v>12</v>
      </c>
      <c r="C22" t="s">
        <v>22</v>
      </c>
      <c r="E22" t="s">
        <v>294</v>
      </c>
      <c r="F22" s="67"/>
      <c r="G22" s="142" cm="1">
        <f t="array" ref="G22:R22">oz.RangeToDAEλ(G16, ,COLUMNS(_xlfn.ANCHORARRAY($G$20)))</f>
        <v>0.03</v>
      </c>
      <c r="H22" s="141">
        <f/>
        <v>3.2000000000000001E-2</v>
      </c>
      <c r="I22" s="141">
        <f/>
        <v>3.3000000000000002E-2</v>
      </c>
      <c r="J22" s="141">
        <f/>
        <v>0.04</v>
      </c>
      <c r="K22" s="141">
        <f/>
        <v>0.05</v>
      </c>
      <c r="L22" s="141">
        <f/>
        <v>0.06</v>
      </c>
      <c r="M22" s="141">
        <f/>
        <v>6.5000000000000002E-2</v>
      </c>
      <c r="N22" s="141">
        <f/>
        <v>6.5000000000000002E-2</v>
      </c>
      <c r="O22" s="141">
        <f/>
        <v>7.0000000000000007E-2</v>
      </c>
      <c r="P22" s="141">
        <f/>
        <v>0</v>
      </c>
      <c r="Q22" s="141">
        <f/>
        <v>0</v>
      </c>
      <c r="R22" s="141">
        <f/>
        <v>0</v>
      </c>
    </row>
    <row r="23" spans="1:18" x14ac:dyDescent="0.25">
      <c r="A23" t="s">
        <v>18</v>
      </c>
      <c r="B23" t="s">
        <v>2</v>
      </c>
      <c r="E23" s="14"/>
      <c r="F23" s="67"/>
      <c r="G23" s="67"/>
    </row>
  </sheetData>
  <mergeCells count="3">
    <mergeCell ref="A1:K1"/>
    <mergeCell ref="A2:Q2"/>
    <mergeCell ref="A18:C18"/>
  </mergeCells>
  <hyperlinks>
    <hyperlink ref="A1" location="'TOC'!$A$1" display="'TOC'!$A$1" xr:uid="{6E285F4F-4C2C-4FDC-B933-2496B1C8FAAA}"/>
  </hyperlinks>
  <pageMargins left="0.7" right="0.7" top="0.75" bottom="0.75" header="0.3" footer="0.3"/>
  <pageSetup paperSize="9" scale="58" fitToHeight="0" orientation="landscape" horizontalDpi="0" verticalDpi="0"/>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66023C"/>
    <pageSetUpPr fitToPage="1"/>
  </sheetPr>
  <dimension ref="A1:K64"/>
  <sheetViews>
    <sheetView showGridLines="0" workbookViewId="0">
      <selection sqref="A1:K1"/>
    </sheetView>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6.5" x14ac:dyDescent="0.7">
      <c r="A1" s="185" t="str">
        <f ca="1">_xlfn.TEXTAFTER(CELL("filename",A1),"]")</f>
        <v>oz.FinancialRatios</v>
      </c>
      <c r="B1" s="185"/>
      <c r="C1" s="185"/>
      <c r="D1" s="185"/>
      <c r="E1" s="185"/>
      <c r="F1" s="185"/>
      <c r="G1" s="185"/>
      <c r="H1" s="185"/>
      <c r="I1" s="185"/>
      <c r="J1" s="185"/>
      <c r="K1" s="185"/>
    </row>
    <row r="2" spans="1:11" x14ac:dyDescent="0.25">
      <c r="A2" s="186" t="s">
        <v>432</v>
      </c>
      <c r="B2" s="221"/>
      <c r="C2" s="221"/>
      <c r="D2" s="221"/>
      <c r="E2" s="221"/>
      <c r="F2" s="221"/>
      <c r="G2" s="221"/>
      <c r="H2" s="221"/>
      <c r="I2" s="221"/>
      <c r="J2" s="221"/>
      <c r="K2" s="221"/>
    </row>
    <row r="10" spans="1:11" x14ac:dyDescent="0.25">
      <c r="D10" t="s">
        <v>325</v>
      </c>
      <c r="E10" t="s">
        <v>7</v>
      </c>
    </row>
    <row r="11" spans="1:11" x14ac:dyDescent="0.25">
      <c r="D11" t="s">
        <v>326</v>
      </c>
      <c r="E11" t="s">
        <v>327</v>
      </c>
    </row>
    <row r="12" spans="1:11" x14ac:dyDescent="0.25">
      <c r="D12" t="s">
        <v>278</v>
      </c>
      <c r="E12" t="s">
        <v>278</v>
      </c>
    </row>
    <row r="13" spans="1:11" x14ac:dyDescent="0.25">
      <c r="B13" s="2" t="s">
        <v>315</v>
      </c>
      <c r="D13" t="s">
        <v>315</v>
      </c>
      <c r="E13" t="s">
        <v>278</v>
      </c>
    </row>
    <row r="14" spans="1:11" x14ac:dyDescent="0.25">
      <c r="A14" s="152" cm="1">
        <f t="array" ref="A14">oz.CurrentRatioλ( 134.836, 125.481)</f>
        <v>1.0745531195957956</v>
      </c>
      <c r="B14" t="str">
        <f t="shared" ref="B14:B20" si="0">_xlfn.FORMULATEXT(A14)</f>
        <v>=oz.CurrentRatioλ( 134.836, 125.481)</v>
      </c>
      <c r="D14" t="s">
        <v>328</v>
      </c>
      <c r="E14" t="s">
        <v>329</v>
      </c>
    </row>
    <row r="15" spans="1:11" x14ac:dyDescent="0.25">
      <c r="A15" s="152" cm="1">
        <f t="array" ref="A15">oz.QuickRatioλ(165000,137500)</f>
        <v>1.2</v>
      </c>
      <c r="B15" t="str">
        <f t="shared" si="0"/>
        <v>=oz.QuickRatioλ(165000,137500)</v>
      </c>
      <c r="D15" t="s">
        <v>330</v>
      </c>
      <c r="E15" t="s">
        <v>331</v>
      </c>
    </row>
    <row r="16" spans="1:11" x14ac:dyDescent="0.25">
      <c r="A16" s="152" cm="1">
        <f t="array" ref="A16">oz.CashRatioλ( 63900000, 123500000)</f>
        <v>0.51740890688259111</v>
      </c>
      <c r="B16" t="str">
        <f t="shared" si="0"/>
        <v>=oz.CashRatioλ( 63900000, 123500000)</v>
      </c>
      <c r="D16" t="s">
        <v>332</v>
      </c>
      <c r="E16" t="s">
        <v>333</v>
      </c>
    </row>
    <row r="17" spans="1:5" x14ac:dyDescent="0.25">
      <c r="A17" s="152" cm="1">
        <f t="array" ref="A17">oz.OperatingCashFlowRatioλ( 27.8, 77.5)</f>
        <v>0.35870967741935483</v>
      </c>
      <c r="B17" t="str">
        <f t="shared" si="0"/>
        <v>=oz.OperatingCashFlowRatioλ( 27.8, 77.5)</v>
      </c>
      <c r="D17" t="s">
        <v>332</v>
      </c>
      <c r="E17" t="s">
        <v>334</v>
      </c>
    </row>
    <row r="18" spans="1:5" x14ac:dyDescent="0.25">
      <c r="A18" s="152" cm="1">
        <f t="array" ref="A18">oz.ReceivablesTurnoverRatioλ( 800000, 68000 )</f>
        <v>11.764705882352942</v>
      </c>
      <c r="B18" t="str">
        <f t="shared" si="0"/>
        <v>=oz.ReceivablesTurnoverRatioλ( 800000, 68000 )</v>
      </c>
      <c r="D18" t="s">
        <v>335</v>
      </c>
      <c r="E18" t="s">
        <v>336</v>
      </c>
    </row>
    <row r="19" spans="1:5" x14ac:dyDescent="0.25">
      <c r="A19" s="152" cm="1">
        <f t="array" ref="A19">oz.InventoryTurnoverRatioλ( 429, 50.7)</f>
        <v>8.4615384615384617</v>
      </c>
      <c r="B19" t="str">
        <f t="shared" si="0"/>
        <v>=oz.InventoryTurnoverRatioλ( 429, 50.7)</v>
      </c>
      <c r="D19" t="s">
        <v>337</v>
      </c>
      <c r="E19" t="s">
        <v>338</v>
      </c>
    </row>
    <row r="20" spans="1:5" x14ac:dyDescent="0.25">
      <c r="A20" s="152" cm="1">
        <f t="array" ref="A20">oz.WorkingCapitalTurnoverRatioλ( 12, 2)</f>
        <v>6</v>
      </c>
      <c r="B20" t="str">
        <f t="shared" si="0"/>
        <v>=oz.WorkingCapitalTurnoverRatioλ( 12, 2)</v>
      </c>
      <c r="D20" t="s">
        <v>339</v>
      </c>
      <c r="E20" t="s">
        <v>340</v>
      </c>
    </row>
    <row r="21" spans="1:5" x14ac:dyDescent="0.25">
      <c r="A21" s="152"/>
      <c r="D21" t="s">
        <v>278</v>
      </c>
      <c r="E21" t="s">
        <v>278</v>
      </c>
    </row>
    <row r="22" spans="1:5" x14ac:dyDescent="0.25">
      <c r="A22" s="152"/>
      <c r="B22" s="2" t="s">
        <v>316</v>
      </c>
      <c r="D22" t="s">
        <v>316</v>
      </c>
      <c r="E22" t="s">
        <v>278</v>
      </c>
    </row>
    <row r="23" spans="1:5" x14ac:dyDescent="0.25">
      <c r="A23" s="152" cm="1">
        <f t="array" ref="A23">oz.DebtRatioλ(30000000, 100000000)</f>
        <v>0.3</v>
      </c>
      <c r="B23" t="str">
        <f>_xlfn.FORMULATEXT(A23)</f>
        <v>=oz.DebtRatioλ(30000000, 100000000)</v>
      </c>
      <c r="D23" t="s">
        <v>341</v>
      </c>
      <c r="E23" t="s">
        <v>342</v>
      </c>
    </row>
    <row r="24" spans="1:5" x14ac:dyDescent="0.25">
      <c r="A24" s="152" cm="1">
        <f t="array" ref="A24">oz.DSCRλ(2150000, 350000)</f>
        <v>6.1428571428571432</v>
      </c>
      <c r="B24" t="str">
        <f>_xlfn.FORMULATEXT(A24)</f>
        <v>=oz.DSCRλ(2150000, 350000)</v>
      </c>
      <c r="D24" t="s">
        <v>343</v>
      </c>
      <c r="E24" t="s">
        <v>344</v>
      </c>
    </row>
    <row r="25" spans="1:5" x14ac:dyDescent="0.25">
      <c r="A25" s="152" cm="1">
        <f t="array" ref="A25">oz.DebtToCapitalRatioλ( 80000000, 223000000 )</f>
        <v>0.264026402640264</v>
      </c>
      <c r="B25" t="str">
        <f>_xlfn.FORMULATEXT(A25)</f>
        <v>=oz.DebtToCapitalRatioλ( 80000000, 223000000 )</v>
      </c>
      <c r="D25" t="s">
        <v>345</v>
      </c>
      <c r="E25" t="s">
        <v>346</v>
      </c>
    </row>
    <row r="26" spans="1:5" x14ac:dyDescent="0.25">
      <c r="A26" s="91" cm="1">
        <f t="array" ref="A26">oz.EquityMultiplierλ(366.6, 83.2 )</f>
        <v>4.40625</v>
      </c>
      <c r="B26" t="str">
        <f>_xlfn.FORMULATEXT(A26)</f>
        <v>=oz.EquityMultiplierλ(366.6, 83.2 )</v>
      </c>
      <c r="D26" t="s">
        <v>347</v>
      </c>
      <c r="E26" t="s">
        <v>348</v>
      </c>
    </row>
    <row r="27" spans="1:5" x14ac:dyDescent="0.25">
      <c r="D27" t="s">
        <v>278</v>
      </c>
      <c r="E27" t="s">
        <v>278</v>
      </c>
    </row>
    <row r="28" spans="1:5" x14ac:dyDescent="0.25">
      <c r="B28" s="2" t="s">
        <v>317</v>
      </c>
      <c r="D28" t="s">
        <v>317</v>
      </c>
      <c r="E28" t="s">
        <v>278</v>
      </c>
    </row>
    <row r="29" spans="1:5" x14ac:dyDescent="0.25">
      <c r="A29" s="152" cm="1">
        <f t="array" ref="A29">oz.DebtToEquityRatioλ(279, 74 )</f>
        <v>3.7702702702702702</v>
      </c>
      <c r="B29" t="str">
        <f>_xlfn.FORMULATEXT(A29)</f>
        <v>=oz.DebtToEquityRatioλ(279, 74 )</v>
      </c>
      <c r="D29" t="s">
        <v>349</v>
      </c>
      <c r="E29" t="s">
        <v>350</v>
      </c>
    </row>
    <row r="30" spans="1:5" x14ac:dyDescent="0.25">
      <c r="A30" s="152" cm="1">
        <f t="array" ref="A30">oz.DebtToAssetRatioλ(31.845, 63.852 )</f>
        <v>0.4987314414583725</v>
      </c>
      <c r="B30" t="str">
        <f t="shared" ref="B30:B32" si="1">_xlfn.FORMULATEXT(A30)</f>
        <v>=oz.DebtToAssetRatioλ(31.845, 63.852 )</v>
      </c>
      <c r="D30" t="s">
        <v>351</v>
      </c>
      <c r="E30" t="s">
        <v>352</v>
      </c>
    </row>
    <row r="31" spans="1:5" x14ac:dyDescent="0.25">
      <c r="A31" s="152" cm="1">
        <f t="array" ref="A31">oz.InterestCoverageRatioλ( 625, 90 )</f>
        <v>6.9444444444444446</v>
      </c>
      <c r="B31" t="str">
        <f t="shared" si="1"/>
        <v>=oz.InterestCoverageRatioλ( 625, 90 )</v>
      </c>
      <c r="D31" t="s">
        <v>353</v>
      </c>
      <c r="E31" t="s">
        <v>354</v>
      </c>
    </row>
    <row r="32" spans="1:5" x14ac:dyDescent="0.25">
      <c r="A32" s="152" cm="1">
        <f t="array" ref="A32">oz.EquityRatioλ( 20, 60, 10 )</f>
        <v>0.4</v>
      </c>
      <c r="B32" t="str">
        <f t="shared" si="1"/>
        <v>=oz.EquityRatioλ( 20, 60, 10 )</v>
      </c>
      <c r="D32" t="s">
        <v>355</v>
      </c>
      <c r="E32" t="s">
        <v>356</v>
      </c>
    </row>
    <row r="33" spans="1:5" x14ac:dyDescent="0.25">
      <c r="A33" s="152"/>
      <c r="D33" t="s">
        <v>278</v>
      </c>
      <c r="E33" t="s">
        <v>278</v>
      </c>
    </row>
    <row r="34" spans="1:5" x14ac:dyDescent="0.25">
      <c r="A34" s="152"/>
      <c r="B34" s="2" t="s">
        <v>318</v>
      </c>
      <c r="D34" t="s">
        <v>318</v>
      </c>
      <c r="E34" t="s">
        <v>278</v>
      </c>
    </row>
    <row r="35" spans="1:5" x14ac:dyDescent="0.25">
      <c r="A35" s="152" cm="1">
        <f t="array" ref="A35">oz.AssetTurnoverRatioλ( 171760, 538715 )</f>
        <v>0.31883277799949883</v>
      </c>
      <c r="B35" t="str">
        <f t="shared" ref="B35:B37" si="2">_xlfn.FORMULATEXT(A35)</f>
        <v>=oz.AssetTurnoverRatioλ( 171760, 538715 )</v>
      </c>
      <c r="D35" t="s">
        <v>357</v>
      </c>
      <c r="E35" t="s">
        <v>358</v>
      </c>
    </row>
    <row r="36" spans="1:5" x14ac:dyDescent="0.25">
      <c r="A36" s="152" cm="1">
        <f t="array" ref="A36">oz.DSIλ(54.9, 490 )</f>
        <v>40.894897959183673</v>
      </c>
      <c r="B36" t="str">
        <f t="shared" si="2"/>
        <v>=oz.DSIλ(54.9, 490 )</v>
      </c>
      <c r="D36" t="s">
        <v>359</v>
      </c>
      <c r="E36" t="s">
        <v>360</v>
      </c>
    </row>
    <row r="37" spans="1:5" x14ac:dyDescent="0.25">
      <c r="A37" s="152" cm="1">
        <f t="array" ref="A37">oz.OperatingRatioλ( 14.37, 48.48, 90.75 )</f>
        <v>0.69256198347107434</v>
      </c>
      <c r="B37" t="str">
        <f t="shared" si="2"/>
        <v>=oz.OperatingRatioλ( 14.37, 48.48, 90.75 )</v>
      </c>
      <c r="D37" t="s">
        <v>361</v>
      </c>
      <c r="E37" t="s">
        <v>362</v>
      </c>
    </row>
    <row r="38" spans="1:5" x14ac:dyDescent="0.25">
      <c r="A38" s="152"/>
      <c r="D38" t="s">
        <v>278</v>
      </c>
      <c r="E38" t="s">
        <v>278</v>
      </c>
    </row>
    <row r="39" spans="1:5" x14ac:dyDescent="0.25">
      <c r="A39" s="152"/>
      <c r="B39" s="2" t="s">
        <v>319</v>
      </c>
      <c r="D39" t="s">
        <v>319</v>
      </c>
      <c r="E39" t="s">
        <v>278</v>
      </c>
    </row>
    <row r="40" spans="1:5" x14ac:dyDescent="0.25">
      <c r="A40" s="152" cm="1">
        <f t="array" ref="A40">oz.GrossMarginλ( 62984, 102007 )</f>
        <v>0.61744782220827987</v>
      </c>
      <c r="B40" t="str">
        <f t="shared" ref="B40:B46" si="3">_xlfn.FORMULATEXT(A40)</f>
        <v>=oz.GrossMarginλ( 62984, 102007 )</v>
      </c>
      <c r="D40" t="s">
        <v>363</v>
      </c>
      <c r="E40" t="s">
        <v>364</v>
      </c>
    </row>
    <row r="41" spans="1:5" x14ac:dyDescent="0.25">
      <c r="A41" s="152" cm="1">
        <f t="array" ref="A41">oz.EBITDAMarginλ( 15, 125 )</f>
        <v>0.12</v>
      </c>
      <c r="B41" t="str">
        <f t="shared" si="3"/>
        <v>=oz.EBITDAMarginλ( 15, 125 )</v>
      </c>
      <c r="D41" t="s">
        <v>365</v>
      </c>
      <c r="E41" t="s">
        <v>366</v>
      </c>
    </row>
    <row r="42" spans="1:5" x14ac:dyDescent="0.25">
      <c r="A42" s="91" cm="1">
        <f t="array" ref="A42">oz.OperatingMarginλ( 0.8, 2 )</f>
        <v>0.4</v>
      </c>
      <c r="B42" t="str">
        <f t="shared" si="3"/>
        <v>=oz.OperatingMarginλ( 0.8, 2 )</v>
      </c>
      <c r="D42" t="s">
        <v>367</v>
      </c>
      <c r="E42" t="s">
        <v>368</v>
      </c>
    </row>
    <row r="43" spans="1:5" x14ac:dyDescent="0.25">
      <c r="A43" s="91" cm="1">
        <f t="array" ref="A43">oz.PretaxMarginλ( 40, 500 )</f>
        <v>0.08</v>
      </c>
      <c r="B43" t="str">
        <f t="shared" si="3"/>
        <v>=oz.PretaxMarginλ( 40, 500 )</v>
      </c>
      <c r="D43" t="s">
        <v>369</v>
      </c>
      <c r="E43" t="s">
        <v>370</v>
      </c>
    </row>
    <row r="44" spans="1:5" x14ac:dyDescent="0.25">
      <c r="A44" s="91" cm="1">
        <f t="array" ref="A44">oz.NetProfitMarginλ( 56, 100 )</f>
        <v>0.56000000000000005</v>
      </c>
      <c r="B44" t="str">
        <f t="shared" si="3"/>
        <v>=oz.NetProfitMarginλ( 56, 100 )</v>
      </c>
      <c r="D44" t="s">
        <v>371</v>
      </c>
      <c r="E44" t="s">
        <v>372</v>
      </c>
    </row>
    <row r="45" spans="1:5" x14ac:dyDescent="0.25">
      <c r="A45" s="91" cm="1">
        <f t="array" ref="A45">oz.CashFlowMarginλ( 2.695, 5.3 )</f>
        <v>0.50849056603773579</v>
      </c>
      <c r="B45" t="str">
        <f t="shared" si="3"/>
        <v>=oz.CashFlowMarginλ( 2.695, 5.3 )</v>
      </c>
      <c r="D45" t="s">
        <v>373</v>
      </c>
      <c r="E45" t="s">
        <v>374</v>
      </c>
    </row>
    <row r="46" spans="1:5" x14ac:dyDescent="0.25">
      <c r="A46" s="91" cm="1">
        <f t="array" ref="A46">oz.ROAλ(1200, 15000 )</f>
        <v>0.08</v>
      </c>
      <c r="B46" t="str">
        <f t="shared" si="3"/>
        <v>=oz.ROAλ(1200, 15000 )</v>
      </c>
      <c r="D46" t="s">
        <v>375</v>
      </c>
      <c r="E46" t="s">
        <v>376</v>
      </c>
    </row>
    <row r="47" spans="1:5" x14ac:dyDescent="0.25">
      <c r="A47" s="91" cm="1">
        <f t="array" ref="A47">oz.ROEλ( 59.972, AVERAGE(251.635, 256.144) )</f>
        <v>0.23621299817440264</v>
      </c>
      <c r="B47" t="str">
        <f>_xlfn.FORMULATEXT(A47)</f>
        <v>=oz.ROEλ( 59.972, AVERAGE(251.635, 256.144) )</v>
      </c>
      <c r="D47" t="s">
        <v>377</v>
      </c>
      <c r="E47" t="s">
        <v>378</v>
      </c>
    </row>
    <row r="48" spans="1:5" x14ac:dyDescent="0.25">
      <c r="A48" s="91" cm="1">
        <f t="array" ref="A48">oz.ROIλ( 2875, 10000 )</f>
        <v>0.28749999999999998</v>
      </c>
      <c r="B48" t="str">
        <f>_xlfn.FORMULATEXT(A48)</f>
        <v>=oz.ROIλ( 2875, 10000 )</v>
      </c>
      <c r="D48" t="s">
        <v>379</v>
      </c>
      <c r="E48" t="s">
        <v>380</v>
      </c>
    </row>
    <row r="49" spans="1:5" x14ac:dyDescent="0.25">
      <c r="A49" s="91" cm="1">
        <f t="array" ref="A49">oz.ROICλ( 3245, 25729 )</f>
        <v>0.12612227447627192</v>
      </c>
      <c r="B49" t="str">
        <f>_xlfn.FORMULATEXT(A49)</f>
        <v>=oz.ROICλ( 3245, 25729 )</v>
      </c>
      <c r="D49" t="s">
        <v>381</v>
      </c>
      <c r="E49" t="s">
        <v>382</v>
      </c>
    </row>
    <row r="50" spans="1:5" x14ac:dyDescent="0.25">
      <c r="A50" s="91"/>
      <c r="D50" t="s">
        <v>278</v>
      </c>
      <c r="E50" t="s">
        <v>278</v>
      </c>
    </row>
    <row r="51" spans="1:5" x14ac:dyDescent="0.25">
      <c r="B51" s="2" t="s">
        <v>320</v>
      </c>
      <c r="D51" t="s">
        <v>320</v>
      </c>
      <c r="E51" t="s">
        <v>278</v>
      </c>
    </row>
    <row r="52" spans="1:5" x14ac:dyDescent="0.25">
      <c r="A52" s="152" cm="1">
        <f t="array" ref="A52">oz.PriceEarningsRatioλ( 242.62, 16.85)</f>
        <v>14.39881305637982</v>
      </c>
      <c r="B52" t="str">
        <f>_xlfn.FORMULATEXT(A52)</f>
        <v>=oz.PriceEarningsRatioλ( 242.62, 16.85)</v>
      </c>
      <c r="D52" t="s">
        <v>383</v>
      </c>
      <c r="E52" t="s">
        <v>384</v>
      </c>
    </row>
    <row r="53" spans="1:5" x14ac:dyDescent="0.25">
      <c r="A53" s="152" cm="1">
        <f t="array" ref="A53">oz.PriceToBookRatioλ( 5, 2.5 )</f>
        <v>2</v>
      </c>
      <c r="B53" t="str">
        <f>_xlfn.FORMULATEXT(A53)</f>
        <v>=oz.PriceToBookRatioλ( 5, 2.5 )</v>
      </c>
      <c r="D53" t="s">
        <v>385</v>
      </c>
      <c r="E53" t="s">
        <v>386</v>
      </c>
    </row>
    <row r="54" spans="1:5" x14ac:dyDescent="0.25">
      <c r="A54" s="152" cm="1">
        <f t="array" ref="A54">oz.PriceToSalesRatioλ( 455, 100 )</f>
        <v>4.55</v>
      </c>
      <c r="B54" t="str">
        <f>_xlfn.FORMULATEXT(A54)</f>
        <v>=oz.PriceToSalesRatioλ( 455, 100 )</v>
      </c>
      <c r="D54" t="s">
        <v>387</v>
      </c>
      <c r="E54" t="s">
        <v>388</v>
      </c>
    </row>
    <row r="55" spans="1:5" x14ac:dyDescent="0.25">
      <c r="A55" s="152" cm="1">
        <f t="array" ref="A55">oz.PriceToCashRatioλ( 200, 100 )</f>
        <v>2</v>
      </c>
      <c r="B55" t="str">
        <f>_xlfn.FORMULATEXT(A55)</f>
        <v>=oz.PriceToCashRatioλ( 200, 100 )</v>
      </c>
      <c r="D55" t="s">
        <v>389</v>
      </c>
      <c r="E55" t="s">
        <v>390</v>
      </c>
    </row>
    <row r="56" spans="1:5" x14ac:dyDescent="0.25">
      <c r="A56" s="151" cm="1">
        <f t="array" ref="A56">oz.BVPSλ(20, 5, AVERAGE( 2.9, 3.1) )</f>
        <v>5</v>
      </c>
      <c r="B56" t="str">
        <f t="shared" ref="B56:B58" si="4">_xlfn.FORMULATEXT(A56)</f>
        <v>=oz.BVPSλ(20, 5, AVERAGE( 2.9, 3.1) )</v>
      </c>
      <c r="D56" t="s">
        <v>391</v>
      </c>
      <c r="E56" t="s">
        <v>392</v>
      </c>
    </row>
    <row r="57" spans="1:5" x14ac:dyDescent="0.25">
      <c r="A57" s="152" cm="1">
        <f t="array" ref="A57">oz.CAPERatioλ( 100, 10  )</f>
        <v>10</v>
      </c>
      <c r="B57" t="str">
        <f t="shared" si="4"/>
        <v>=oz.CAPERatioλ( 100, 10  )</v>
      </c>
      <c r="D57" t="s">
        <v>393</v>
      </c>
      <c r="E57" t="s">
        <v>394</v>
      </c>
    </row>
    <row r="58" spans="1:5" x14ac:dyDescent="0.25">
      <c r="A58" s="152" cm="1">
        <f t="array" ref="A58">oz.DPRλ( 5, 20 )</f>
        <v>0.25</v>
      </c>
      <c r="B58" t="str">
        <f t="shared" si="4"/>
        <v>=oz.DPRλ( 5, 20 )</v>
      </c>
      <c r="D58" t="s">
        <v>395</v>
      </c>
      <c r="E58" t="s">
        <v>396</v>
      </c>
    </row>
    <row r="59" spans="1:5" x14ac:dyDescent="0.25">
      <c r="A59" s="152" cm="1">
        <f t="array" ref="A59">oz.DividendYieldRatioλ( 1.2, 45 )</f>
        <v>2.6666666666666665E-2</v>
      </c>
      <c r="B59" t="str">
        <f>_xlfn.FORMULATEXT(A59)</f>
        <v>=oz.DividendYieldRatioλ( 1.2, 45 )</v>
      </c>
      <c r="D59" t="s">
        <v>397</v>
      </c>
      <c r="E59" t="s">
        <v>398</v>
      </c>
    </row>
    <row r="60" spans="1:5" x14ac:dyDescent="0.25">
      <c r="A60" s="152" cm="1">
        <f t="array" ref="A60">oz.EPSλ( 7.6, 0, 3.98 )</f>
        <v>1.9095477386934672</v>
      </c>
      <c r="B60" t="str">
        <f t="shared" ref="B60:B61" si="5">_xlfn.FORMULATEXT(A60)</f>
        <v>=oz.EPSλ( 7.6, 0, 3.98 )</v>
      </c>
      <c r="D60" t="s">
        <v>399</v>
      </c>
      <c r="E60" t="s">
        <v>400</v>
      </c>
    </row>
    <row r="61" spans="1:5" x14ac:dyDescent="0.25">
      <c r="A61" s="152" cm="1">
        <f t="array" ref="A61">oz.RetentionRatioλ( 19.869, 41.981)</f>
        <v>0.47328553393201683</v>
      </c>
      <c r="B61" t="str">
        <f t="shared" si="5"/>
        <v>=oz.RetentionRatioλ( 19.869, 41.981)</v>
      </c>
      <c r="D61" t="s">
        <v>401</v>
      </c>
      <c r="E61" t="s">
        <v>402</v>
      </c>
    </row>
    <row r="62" spans="1:5" x14ac:dyDescent="0.25">
      <c r="A62" s="91"/>
      <c r="D62" t="s">
        <v>278</v>
      </c>
      <c r="E62" t="s">
        <v>278</v>
      </c>
    </row>
    <row r="63" spans="1:5" x14ac:dyDescent="0.25">
      <c r="D63" t="s">
        <v>403</v>
      </c>
      <c r="E63" t="s">
        <v>404</v>
      </c>
    </row>
    <row r="64" spans="1:5" x14ac:dyDescent="0.25">
      <c r="D64" t="s">
        <v>278</v>
      </c>
      <c r="E64" t="s">
        <v>278</v>
      </c>
    </row>
  </sheetData>
  <mergeCells count="2">
    <mergeCell ref="A1:K1"/>
    <mergeCell ref="A2:K2"/>
  </mergeCells>
  <hyperlinks>
    <hyperlink ref="A1" location="'TOC'!$A$1" display="'TOC'!$A$1" xr:uid="{B782A6BB-286B-46B1-81DB-8C4B9AD862BC}"/>
  </hyperlinks>
  <pageMargins left="0.7" right="0.7" top="0.75" bottom="0.75" header="0.3" footer="0.3"/>
  <pageSetup paperSize="9" scale="27" fitToHeight="0" orientation="portrait" horizontalDpi="0" verticalDpi="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wB6AHoAaQB0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EEAYgBvAHUAdABEAGEAdABlAHMAuwMgAD0AIABUAFIASQBNACgAXABuACAAIAAgACAAVABFAFgAVABTAFAATABJAFQAKABcAG4AIAAgACAAIAAgACAAIAAgAFwAIgBBAGIAbwB1AHQAOgAgACAAIAAgACAAIAAgACAAIAAgACAAIAAgACAAIAAgACAAkiFPAHoAegBpAHQAIABjAG8AbQBwAGwAaQBhAG4AdAAgAEwAQQBNAEIARABBAHMAIABkAGUAYQBsAGkAbgBnACAAdwBpAHQAaAAgAGQAYQB0AGUAcwAuACAAUwB1AGcAZwBlAHMAdABlAGQAIABtAG8AZAB1AGwAZQAgAG4AYQBtAGUAOgAgAG8AegC2AFwAIgAgACYAXABuACAAIAAgACAAIAAgACAAIABcACIAVgBlAHIAcwBpAG8AbgA6ACAAIAAgACAAIAAgACAAIAAgACAAIAAgACAAIAAgAJIhNgAgAFMAZQBwACAAMgAwADIANgC2AFwAIgAgACYAXABuACAAIAAgACAAIAAgACAAIABcACIAUgBlAHAAbwBzAGkAdABvAHIAeQA6ACAAIAAgACAAIAAgACAAIAAgACAAIAAgACAAIACSIWgAdAB0AHAAcwA6AC8ALwBnAGkAdABoAHUAYgAuAGMAbwBtAC8AcgB5AGEAbgBkAHUAZwB1AGkAZAAvAE8AegB6AGkAdAAgALYAXAAiACAAJgBcAG4AIAAgACAAIAAgACAAIAAgAFwAIgCSIbYAXAAiACAAJgAgAFwAbgAgACAAIAAgACAAIAAgACAAXAAiAEYAdQBuAGMAdABpAG8AbgAgACAAIAAgACAAIAAgACAAIAAgACAAIAAgACAAIACSIUQAZQBzAGMAcgBpAHAAdABpAG8AbgC2AFwAIgAgACYAIABcAG4AIAAgACAAIAAgACAAIAAgAFwAIgBBAGIAbwB1AHQARABhAHQAZQBz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IAYQB0AGUAQQB0AEQAYQB0AGUAuwMgACAAIAAgACAAIAAgACAAIAAgACAAIACSIVIAZQB0AHUAcgBuACAAdABoAGUAIAByAGEAdABlACAAaQBuACAAZQBmAGYAZQBjAHQAIABvAG4AIABlAGEAYwBoACAAZABhAHQAZQAgAGYAcgBvAG0AIABhACAAYwBoAGUAYwBrAGUAZAAgAHQAYQBiAGwAZQAgAG8AZgAgAGUAZgBmAGUAYwB0AGkAdgBlACAAZABhAHQAZQBzALYAXAAiACAAJgBcAG4AIAAgACAAIAAgACAAIAAgAFwAIgBTAGMAaABlAGQAdQBsAGUAVgBhAGwAdQBlAHMAuwMgACAAIAAgACAAIAAgACAAkiFTAGMAaABlAGQAdQBsAGUAcwAgAHYAYQBsAHUAZQBzACAAaQBuACAAYQAgAHQAaQBtAGUAbABpAG4AZQAuACAAtgBcACIAIAAmAFwAbgAgACAAIAAgACAAIAAgACAAXAAiAFMAYwBoAGUAZAB1AGwAZQBWAGEAbAB1AGUAcwBCAHkASQB0AGUAbQBzALsDIACSIVMAYwBoAGUAZAB1AGwAZQBzACAAdgBhAGwAdQBlAHMAIABpAG4AIABhACAAdABpAG0AZQBsAGkAbgBlACAAZgBvAHIAIABlAGEAYwBoACAAaQB0AGUAbQAgAGkAbgAgAGEAIABsAGkAcwB0AC4AtgBcACIAIAAmAFwAbgAgACAAIAAgACAAIAAgACAAXAAiAFQAaQBtAGUAbABpAG4AZQC7AyAAIAAgACAAIAAgACAAIAAgACAAIAAgACAAIACSIUMAcgBlAGEAdABlAHMAIABhACAAaABvAHIAaQB6AG8AbgB0AGEAbAAgAGwAaQBzAHQAIABvAGYAIABzAHQAYQByAHQAIABvAHIAIABlAG4AZAAgAGQAYQB0AGUAcwAgAGYAbwByACAAYQAgAHQAaQBtAGUAbABpAG4AZQC2AFwAIgAgACYAXABuACAAIAAgACAAIAAgACAAIABcACIARABhAHQAZQBEAGkAZgC7AyAAIAAgACAAIAAgACAAIAAgACAAIAAgACAAIAAgAJIhVwBoAG8AbABlACAAeQBlAGEAcgBzACwAIABtAG8AbgB0AGgAcwAgAG8AcgAgAGQAYQB5AHMAIABiAGUAdAB3AGUAZQBuACAAdAB3AG8AIABkAGEAdABlAHMALAAgAGEAbgBkACAAdABoAGUAIAByAGUAbQBhAGkAbgBkAGUAcgBzALYAXAAiACAAJgAgAFwAbgAgACAAIAAgACAAIAAgACAAXAAiAEYAaQBuAGEAbgBjAGkAYQBsAFkAZQBhAHIAuwMgACAAIAAgACAAIAAgACAAIACSIUwAYQBiAGUAbABzACAAZABhAHQAZQBzACAAdwBpAHQAaAAgAHQAaABlAGkAcgAgAEEAdQBzAHQAcgBhAGwAaQBhAG4AIABmAGkAbgBhAG4AYwBpAGEAbAAgAHkAZQBhAHIALAAgAHMAdABhAHIAdABpAG4AZwAgADEAIABKAHUAbAB5ALYAXAAiACAAJgBcAG4AIAAgACAAIAAgACAAIAAgAFwAIgCSIVwAIgAsACAAIABcAG4AIAAgACAAIAAgACAAIAAgAFwAIgCSIVwAIgAsACAAXAAiALYAXAAiAFwAbgAgACAAIAAgACkAXABuACkAOwBcAG4AXABuAFwAbgBcAG4ALwAqACAAIABGAFUATgBDAFQASQBPAE4AIABOAEEATQBFADoAIAAgAEMAbwB1AG4AdABEAE8AVwC7A1wAbgAgACAAIAAgAEQARQBTAEMAUgBJAFAAVABJAE8ATgA6ACoALwAgACAALwAqACoAQwBvAHUAbgB0ACAAaQBuAHMAdABhAG4AYwBlAHMAIABvAGYAIABhACAAcwBwAGUAYwBpAGYAaQBjACAAZABhAHkAIABvAGYAIAB0AGgAZQAgAHcAZQBlAGsAIABiAGUAdAB3AGUAZQBuACAAdAB3AG8AIABkAGEAdABlAHMALgAqAC8AXABuAEMAbwB1AG4AdABEAE8AVwC7AyAAPQAgAEwAQQBNAEIARABBACgAIAAgACAAXABuAC8ALwAgACAAUABhAHIAYQBtAGUAdABlAHIAIABEAGUAYwBsAGEAcgBhAHQAaQBvAG4AcwBcAG4AIAAgACAAIABbAFMAdABhAHIAdABzAF0ALABcAG4AIAAgACAAIABbAEUAbgBkAHMAXQAsAFwAbgAgACAAIAAgAFsARABhAHkATwBmAFcAZQBlAGsAXQAsACAAIABcAG4ALwAvACAAIABIAGUAbABwAFwAbgAgACAAIAAgAEwARQBUACgASABlAGwAcAAsACAAIAAgACAAIAAgACAAVABSAEkATQAoAFQARQBYAFQAUwBQAEwASQBUACgAIABcAG4AIAAgACAAIAAgACAAIAAgACAAIAAgACAAIAAgACAAIAAgACAAIAAgACAAIAAgACAAXAAiAEYAVQBOAEMAVABJAE8ATgA6ACAAIAAgACAAIAAgAJIhQwBvAHUAbgB0AEQATwBXALsDKABTAHQAYQByAHQAcwAsACAARQBuAGQAcwAsACAARABhAHkATwBmAFcAZQBlAGsAKQC2AFwAIgAgACYAIABcAG4AIAAgACAAIAAgACAAIAAgACAAIAAgACAAIAAgACAAIAAgACAAIAAgACAAIAAgACAAXAAiAEQARQBTAEMAUgBJAFAAVABJAE8ATgA6ACAAIAAgAJIhQwBvAHUAbgB0ACAAaQBuAHMAdABhAG4AYwBlAHMAIABvAGYAIABhACAAcwBwAGUAYwBpAGYAaQBjACAAZABhAHkAIABvAGYAIAB0AGgAZQAgAHcAZQBlAGsAIABiAGUAdAB3AGUAZQBuACAAdAB3AG8AIABkAGEAdABlAHMALgC2AFwAIgAgACYAIABcAG4AIAAgACAAIAAgACAAIAAgACAAIAAgACAAIAAgACAAIAAgACAAIAAgACAAIAAgACAAXAAiAFcARQBCAFMASQBUAEUAOgAgACAAIAAgACAAIAAgAJIhaAB0AHQAcABzADoALwAvAGcAaQB0AGgAdQBiAC4AYwBvAG0ALwByAHkAYQBuAGQAdQBnAHUAaQBkAC8ATwB6AHoAaQB0ALYAXAAiACAAJgBcAG4AIAAgACAAIAAgACAAIAAgACAAIAAgACAAIAAgACAAIAAgACAAIAAgACAAIAAgACAAXAAiAFAAQQBSAEEATQBFAFQARQBSAFMAOgAgACAAIAAgAJIhtgBcACIAIAAmACAAXABuACAAIAAgACAAIAAgACAAIAAgACAAIAAgACAAIAAgACAAIAAgACAAIAAgACAAIAAgAFwAIgBTAHQAYQByAHQAcwAgACAAIAAgACAAIAAgACAAIACSISgAUgBlAHEAdQBpAHIAZQBkACkAIABPAG4AZQAgAG8AZgAgAG0AbwByAGUAIABzAHQAYQByAHQAIABkAGEAdABlAHMAIAAoAHQAZQB4AHQAIABvAHIAIABuAHUAbQBlAHIAaQBjACkAIABpAG4AIABhACAAcgBvAHcAIABvAHIAIABjAG8AbAB1AG0AbgC2AFwAIgAgACYAIABcAG4AIAAgACAAIAAgACAAIAAgACAAIAAgACAAIAAgACAAIAAgACAAIAAgACAAIAAgACAAXAAiAEUAbgBkAHMAIAAgACAAIAAgACAAIAAgACAAIAAgAJIhKABSAGUAcQB1AGkAcgBlAGQAKQAgAEUAbgBkACAAZABhAHQAZQBzACAAKAB0AGUAeAB0ACAAbwByACAAbgB1AG0AZQByAGkAYwApACAAZgBvAHIAIABlAGEAYwBoACAAcwB0AGEAcgB0ACAAZABhAHQAZQC2AFwAIgAgACYAIABcAG4AIAAgACAAIAAgACAAIAAgACAAIAAgACAAIAAgACAAIAAgACAAIAAgACAAIAAgACAAXAAiAEQAYQB5AE8AZgBXAGUAZQBrACAAIAAgACAAIAAgAJIhKABSAGUAcQB1AGkAcgBlAGQAKQAgADEAPQBTAHUAbgBkAGEAeQAsACAANwA9AFMAYQB0AHUAcgBkAGEAeQAu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zACAAIAAgACAAIAAgACAAIAAgACAAIAAgACAAIACSIT0AbwB6AC4AQwBvAHUAbgB0AEQATwBXALsDKABcACIAXAAiADIAMwAvADcALwAyADAAMgA2AFwAIgBcACIALAAgAFwAIgBcACIAMQAxAC8AOAAvADIAMAAyADYAXAAiAFwAIgAsACAAIAAx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AgAFwAbgAgACAAIAAgACAAIAAgACAAIAAgACAAIAAgACAAIAAgACAAIAAgACAAIAAgACAAIAAgACAAIAAgAEkAUwBPAE0ASQBUAFQARQBEACgAIABFAG4AZABzACkALABcAG4AIAAgACAAIAAgACAAIAAgACAAIAAgACAAIAAgACAAIAAgACAAIAAgACAAIAAgACAAIAAgACAAIABJAFMATwBNAEkAVABUAEUARAAoACAARABhAHkATwBmAFcAZQBlAGs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cwAsACAAIAAgACAAIAAgAEkARgAoACAASQBTAE8ATQBJAFQAVABFAEQAKAAgAFMAdABhAHIAdABzACkALAAgAFwAbgAgACAAIAAgACAAIAAgACAAIAAgACAAIAAgACAAIAAgACAAIAAgACAAIAAgACAAIAAgACAAIAAgAEYAQQBMAFMARQAsAFwAbgAgACAAIAAgACAAIAAgACAAIAAgACAAIAAgACAAIAAgACAAIAAgACAAIAAgACAAIAAgACAAIAAgAEkARgAoACAASQBTAE4AVQBNAEIARQBSACgAIABTAHQAYQByAHQAcwApACwAIABTAHQAYQByAHQAcwAsACAARABBAFQARQBWAEEATABVAEUAKAAgAFMAdABhAHIAdABzACkAKQBcAG4AIAAgACAAIAAgACAAIAAgACAAIAAgACAAIAAgACAAIAAgACAAIAAgACAAIAAgACAAKQAsAFwAbgAgACAAIAAgACAAIAAgACAAQwB2AHQARQBuAGQAcwAsACAAIAAgACAAIAAgACAAIABJAEYAKAAgAEkAUwBPAE0ASQBUAFQARQBEACgAIABFAG4AZABzACkALAAgAFwAbgAgACAAIAAgACAAIAAgACAAIAAgACAAIAAgACAAIAAgACAAIAAgACAAIAAgACAAIAAgACAAIAAgAEYAQQBMAFMARQAsACAAXABuACAAIAAgACAAIAAgACAAIAAgACAAIAAgACAAIAAgACAAIAAgACAAIAAgACAAIAAgACAAIAAgACAASQBGACgAIABJAFMATgBVAE0AQgBFAFIAKAAgAEUAbgBkAHMAKQAsACAARQBuAGQAcwAsACAARABBAFQARQBWAEEATABVAEUAKAAgAEUAbgBkAHMAKQApAFwAbgAgACAAIAAgACAAIAAgACAAIAAgACAAIAAgACAAIAAgACAAIAAgACAAIAAgACAAIAApACwAXABuACAAIAAgACAAIAAgACAALwAvACAAIABQAHIAbwBjAGUAZAB1AHIAZQBcAG4AIAAgACAAIAAgACAAIABSAGUAcwB1AGwAdAAsACAAIAAgACAAIAAgACAAIAAgACAASQBOAFQAKAAgACgAIAAoACAAQwB2AHQARQBuAGQAcwAgAC0AIABDAHYAdABTAHQAYQByAHQAcwApACAAKwAgAFcAZQBlAGsARABhAHkAKAAgAEMAdgB0AFMAdABhAHIAdABzACAALQAgAEQAYQB5AE8AZgBXAGUAZQBrACkAKQAgAC8AIAA3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IAZQB0AHcAZQBlAG4AuwNcAG4AIAAgACAAIABEAEUAUwBDAFIASQBQAFQASQBPAE4AOgAqAC8ALwAqACoARABlAHQAZQByAG0AaQBuAGUAIABpAGYAIABhACAAdgBhAGwAdQBlACAAaQBzACAAYgBlAHQAdwBlAGUAbgAgAGEAIABsAG8AdwBlAHIAIABhAG4AZAAgAHUAcABwAGUAcgAgAGwAaQBtAGkAdAAqAC8AXABuAEkAcwBCAGUAdAB3AGUAZQBuALsDIAA9ACAATABBAE0AQgBEAEEAKABcAG4ALwAvACAAIABQAGEAcgBhAG0AZQB0AGUAcgAgAEQAZQBjAGwAYQByAGEAdABpAG8AbgBzAFwAbgAgACAAIAAgAFsAVgBhAGwAdQBlAHMAXQAsAFwAbgAgACAAIAAgAFsATABvAHcAXQAsAFwAbgAgACAAIAAgAFsASABpAGcAaABdACwAXABuACAAIAAgACAAWwBJAG4AYwBsAHUAcwBpAHYAZQBdACwAXABuAC8ALwAgACAASABlAGwAcABcAG4AIAAgACAAIABMAEUAVAAoAEgAZQBsAHAALAAgACAAIAAgACAAIAAgAFQAUgBJAE0AKABUAEUAWABUAFMAUABMAEkAVAAoACAAXABuACAAIAAgACAAIAAgACAAIAAgACAAIAAgACAAIAAgACAAIAAgACAAIAAgACAAIAAgAFwAIgBGAFUATgBDAFQASQBPAE4AOgAgACAAIAAgACAAIACSIUkAcwBCAGUAdAB3AGUAZQBuALsDKABWAGEAbAB1AGUAcwAsACAATABvAHcALAAgAEgAaQBnAGgALAAgAFsASQBuAGMAbAB1AHMAaQB2AGUAXQApALYAXAAiACAAJgBcAG4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BcACIAVwBFAEIAUwBJAFQARQA6ACAAIAAgACAAIAAgACAAkiFoAHQAdABwAHMAOgAvAC8AZwBpAHQAaAB1AGIALgBjAG8AbQAvAHIAeQBhAG4AZAB1AGcAdQBpAGQALwBPAHoAegBpAHQAIAC2AFwAIgAgACYAXABuACAAIAAgACAAIAAgACAAIAAgACAAIAAgACAAIAAgACAAIAAgACAAIAAgACAAIAAgAFwAIgBQAEEAUgBBAE0ARQBUAEUAUgBTADoAIAAgACAAIACSIbYAXAAiACAAJgAgAFwAbgAgACAAIAAgACAAIAAgACAAIAAgACAAIAAgACAAIAAgACAAIAAgACAAIAAgACAAIABcACIAVgBhAGwAdQBlAHMAIAAgACAAIAAgACAAIAAgACAAkiEoAFIAZQBxAHUAaQByAGUAZAApACAAbwBuAGUAIABvAHIAIABtAG8AcgBlACAAdgBhAGwAdQBlAHMAIAB0AG8AIABjAG8AbQBwAGEAcgBlAC4AtgBcACIAIAAmACAAXABuACAAIAAgACAAIAAgACAAIAAgACAAIAAgACAAIAAgACAAIAAgACAAIAAgACAAIAAgAFwAIgBMAG8AdwAgACAAIAAgACAAIAAgACAAIAAgACAAIACSISgAUgBlAHEAdQBpAHIAZQBkACkAIABUAGgAZQAgAGwAbwB3AGUAcgAgAGwAaQBtAGkAdAAgAHQAaABhAHQAIAB0AGgAZQAgAHYAYQBsAHUAZQAoAHMAKQAgAG0AdQBzAHQAIABiAGUAIABnAHIAZQBhAHQAZQByACAAdABoAGEAbgC2AFwAIgAgACYAXABuACAAIAAgACAAIAAgACAAIAAgACAAIAAgACAAIAAgACAAIAAgACAAIAAgACAAIAAgAFwAIgBIAGkAZwBoACAAIAAgACAAIAAgACAAIAAgACAAIACSISgAUgBlAHEAdQBpAHIAZQBkACkAIABUAGgAZQAgAGgAaQBnAGgAZQByACAAbABpAG0AaQB0ACAAdABoAGEAdAAgAHQAaABlACAAdgBhAGwAdQBlACgAcwApACAAbQB1AHMAdAAgAGIAZQAgAGwAZQBzAHMAIAB0AGgAYQBuALYAXAAiACAAJgBcAG4AIAAgACAAIAAgACAAIAAgACAAIAAgACAAIAAgACAAIAAgACAAIAAgACAAIAAgACAAXAAiAEkAbgBjAGwAdQBzAGkAdgBlACAAIAAgACAAIAAgAJIhKABPAHAAdABpAG8AbgBhAGwAKQAgAFQAUgBVAEUAOgAgAFYAYQBsAHUAZQAoAHMAKQAgAGMAYQBuACAAYgBlACAAZQBxAHUAYQBsACAAdABvACAATABvAHcAIABhAG4AZAAvAG8AcgAgAEgAaQBnAGgAIAAoAGQAZQBmAGEAdQBsAHQ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RgBBAEwAUwBFACAAIAAgACAAIAAgACAAIAAgACAAkiE9AG8AegAuAEkAcwBCAGUAdAB3AGUAZQBuALsDKAAxACwAIAAyACwAIAA0ACkAtgBcACIAIAAmACAAXABuACAAIAAgACAAIAAgACAAIAAgACAAIAAgACAAIAAgACAAIAAgACAAIAAgACAAIAAgAFwAIgBUAFIAVQBFACAAIAAgACAAIAAgACAAIAAgACAAIACSIT0AbwB6AC4ASQBzAEIAZQB0AHcAZQBlAG4AuwMoAFQAbwBkAGEAeQAoACkALAAgAFQAbwBkAGEAeQAoACkALAAgAFQAbwBkAGEAeQAoACkAKwAxACkAtgBcACIAIAAmACAAXABuACAAIAAgACAAIAAgACAAIAAgACAAIAAgACAAIAAgACAAIAAgACAAIAAgACAAIAAgAFwAIgBGAEEATABTAEUAIAAgACAAIAAgACAAIAAgACAAIACSIT0AbwB6AC4ASQBzAEIAZQB0AHcAZQBlAG4AuwMoAFwAIgBcACIAQgBcACIAXAAiACwAIABcACIAXAAiAEIAXAAiAFwAIgAsACAAXAAiAFwAIgBEAFwAIgBcACIALAAgAEYAQQBMAFMAR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UwBlAHQAIABvAHAAdABpAG8AbgBhAGwAIABhAHIAZwB1AG0AZQBuAHQAcwAgAGQAZQBmAGEAdQBsAHQAcwBcAG4AIAAgACAAIAAgACAAIAAgAEkAbgBjAGwAdQBzAGkAdgBlACwAIAAgACAAIAAgACAASQBGACgAIABJAFMATABPAEcASQBDAEEATAAoACAASQBuAGMAbAB1AHMAaQB2AGUAKQAsACAASQBuAGMAbAB1AHMAaQB2AGUALAAgAFQAUgBVAEUAKQAsAFwAbgAgACAAIAAgAC8ALwAgACAAQwBoAGUAYwBrACAAaQBuAHAAdQB0AHMAIAAtACAATwBtAGkAdAB0AGUAZAAgAHIAZQBxAHUAaQByAGUAZAAgAGEAcgBnAHUAbQBlAG4AdABzACAAXABuACAAIAAgACAAIAAgACAAIABIAGUAbABwAD8ALAAgACAAIAAgACAAIAAgACAAIAAgAE8AUgAoAFwAbgAgACAAIAAgACAAIAAgACAAIAAgACAAIAAgACAAIAAgACAAIAAgACAAIAAgACAAIAAgACAAIAAgAEkAUwBPAE0ASQBUAFQARQBEACgAIABWAGEAbAB1AGUAcwApACwAIABcAG4AIAAgACAAIAAgACAAIAAgACAAIAAgACAAIAAgACAAIAAgACAAIAAgACAAIAAgACAAIAAgACAAIABJAFMATwBNAEkAVABUAEUARAAoACAATABvAHcAKQAsAFwAbgAgACAAIAAgACAAIAAgACAAIAAgACAAIAAgACAAIAAgACAAIAAgACAAIAAgACAAIAAgACAAIAAgAEkAUwBPAE0ASQBUAFQARQBEACgAIABIAGkAZwBoACkAXABuACAAIAAgACAAIAAgACAAIAAgACAAIAAgACAAIAAgACAAIAAgACAAIAAgACAAIAAgACkALAAgACAAIAAgACAAIAAgACAAXABuACAAIAAgACAALwAvACAAIABQAHIAbwBjAGUAZAB1AHIAZQBcAG4AIAAgACAAIAAgACAAIAAgAFIAZQBzAHUAbAB0ACwAIAAgACAAIAAgACAAIAAgACAASQBGACgASQBuAGMAbAB1AHMAaQB2AGUALAAgACgAVgBhAGwAdQBlAHMAIAA+AD0AIABMAG8AdwApACAAKgAgACgAVgBhAGwAdQBlAHMAIAA8AD0AIABIAGkAZwBoACkAIAA9ACAAMQAsACAAKABWAGEAbAB1AGUAcwAgAD4AIABMAG8AdwApACAAKgAgACgAVgBhAGwAdQBlAHMAIAA8ACAASABpAGcAaAApACAAPQAg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TwBjAGMAdQByAHIAZQBuAGMAZQBEAGEAdABlALsDXABuACAAIAAgACAARABFAFMAQwBSAEkAUABUAEkATwBOADoAKgAvAC8AKgAqAFIAZQB0AHUAcgBuAHMAIABUAFIAVQBFACAAaQBmACAARABhAHQAZQAgAHAAYQBzAHMAZQBkACAAaQBzACAAdwBoAGUAbgAgAHMAbwBtAGUAdABoAGkAbgBnACAAaABhAHAAcABlAG4AcwAuACAAVABoAGkAcwAgAHcAYQBzACAAZABlAHYAZQBsAG8AcABlAGQAIABmAG8AcgAgAGIAdQBkAGcAZQB0AGkAbgBnACAAdwBoAGUAcgBlACAAdwBlACAAaABhAHYAZQAgAGUAeABwAGUAbgBzAGUAcwAgAHQAaABhAHQAIABzAHQAYQByAHQALAAgAGEAbgBkACAAcwBvAG0AZQB0AGkAbQBlAHMAIAByAGUAcABlAGEAdAAgAGEAdAAgAHIAZQBnAHUAbABhAHIAIABpAG4AdABlAHIAdgBhAGwAcwAuACoALwBcAG4AXABuAEkAcwBPAGMAYwB1AHIAcgBlAG4AYwBlAEQAYQB0AGUAuwMgAD0AIABMAEEATQBCAEQAQQAoAFwAbgAvAC8AIAAgAFAAYQByAGEAbQBlAHQAZQByACAAZABlAGMAbABhAHIAYQB0AGkAbwBuAHMAXABuACAAIAAgACAAWwBEAGEAdABlAHMAXQAsAFwAbgAgACAAIAAgAFsARgBpAHIAcwB0AE8AYwBjAHUAcgByAGUAbgBjAGUAXQAsAFwAbgAgACAAIAAgAFsATABhAHMAdABPAGMAYwB1AHIAcgBlAG4AYwBlAF0ALABcAG4AIAAgACAAIABbAFIAZQBwAGUAYQB0AHMAXQAsAFwAbgAvAC8AIAAgAEgAZQBsAHAAXABuACAAIAAgACAATABFAFQAKABcAG4AIAAgACAAIAAgACAAIAAgAEgAZQBsAHAALAAgACAAIAAgACAAIAAgAFQAUgBJAE0AKABUAEUAWABUAFMAUABMAEkAVAAoAFwAbgAgACAAIAAgACAAIAAgACAAIAAgACAAIAAgACAAIAAgACAAIAAgACAAIAAgACAAIABcACIARgBVAE4AQwBUAEkATwBOADoAIAAgACAAIAAgACAAkiFJAHMATwBjAGMAdQByAHIAZQBuAGMAZQBEAGEAdABlALsDKABEAGEAdABlAHMALAAgAEYAaQByAHMAdABPAGMAYwB1AHIAcgBlAG4AYwBlACwAIABbAEwAYQBzAHQATwBjAGMAdQByAHIAZQBuAGMAZQBdACwAIABbAFIAZQBwAGUAYQB0AHMAXQApALYAXAAiACAAJgBcAG4AIAAgACAAIAAgACAAIAAgACAAIAAgACAAIAAgACAAIAAgACAAIAAgACAAIAAgACAAXAAiAEQARQBTAEMAUgBJAFAAVABJAE8ATgA6ACAAIAAgAJIhUgBlAHQAdQByAG4AcwAgAFQAUgBVAEUAIABpAGYAIABhACAARABhAHQAZQAgAGkAcwAgAHcAaABlAG4AIABzAG8AbQBlAHQAaABpAG4AZwAgAGgAYQBwAHAAZQBuAHMALgC2AFwAIgAgACYAXABuACAAIAAgACAAIAAgACAAIAAgACAAIAAgACAAIAAgACAAIAAgACAAIAAgACAAIAAgAFwAIgAgACAAIAAgACAAIAAgACAAIAAgACAAIAAgACAAIACSIVQAaABpAHMAIAB3AGEAcwAgAGQAZQB2AGUAbABvAHAAZQBkACAAZgBvAHIAIABiAHUAZABnAGUAdABpAG4AZwAgAHcAaABlAHIAZQAgAHcAZQAgAGgAYQB2AGUAIABlAHgAcABlAG4AcwBlAHMAIAB0AGgAYQB0ACAAcwB0AGEAcgB0ACwAtgBcACIAIAAmAFwAbgAgACAAIAAgACAAIAAgACAAIAAgACAAIAAgACAAIAAgACAAIAAgACAAIAAgACAAIABcACIAIAAgACAAIAAgACAAIAAgACAAIAAgACAAIAAgACAAkiFhAG4AZAAgAHMAbwBtAGUAdABpAG0AZQBzACAAcgBlAHAAZQBhAHQAIABhAHQAIAByAGUAZwB1AGwAYQByACAAaQBuAHQAZQByAHYAYQBsAHMALgC2AFwAIgAgACYAIA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XABuACAAIAAgACAAIAAgACAAIAAgACAAIAAgACAAIAAgACAAIAAgACAAIAAgACAAIAAgAFwAIgBEAGEAdABlAHMAIAAgACAAIAAgACAAIAAgACAAIACSISgAUgBlAHEAdQBpAHIAZQBkACkAIABEAGEAdABlACAAdABvACAAdABlAHMAdAAuACAATgBvAHIAbQBhAGwAbAB5ACAAdABoAGkAcwAgAGkAcwAgAGgAbwByAGkAegBvAG4AdABhAGwAIAB0AGkAbQBlAGwAaQBuAGUAIABiAHkAIABkAGEAeQC2AFwAIgAgACYAXABuACAAIAAgACAAIAAgACAAIAAgACAAIAAgACAAIAAgACAAIAAgACAAIAAgACAAIAAgAFwAIgBGAGkAcgBzAHQATwBjAGMAdQByAHIAZQBuAGMAZQAgAJIhKABSAGUAcQB1AGkAcgBlAGQAKQAgAFcAaABlAG4AIABzAG8AbQBlAHQAaABpAG4AZwAgAHQAaABhAHQAIABtAGEAeQAgAHIAZQBwAGUAYQB0ACwAIABoAGEAcABwAGUAbgBzACAAZgBvAHIAIAB0AGgAZQAgAGYAaQByAHMAdAAgAHQAaQBtAGUALgC2AFwAIgAgACYAXABuACAAIAAgACAAIAAgACAAIAAgACAAIAAgACAAIAAgACAAIAAgACAAIAAgACAAIAAgAFwAIgBMAGEAcwB0AE8AYwBjAHUAcgByAGUAbgBjAGUAIAAgAJIhKABPAHAAdABpAG8AbgBhAGwAKQAgAFcAaABlAG4AIABzAG8AbQBlAHQAaABpAG4AZwAgAHQAaABhAHQAIABtAGEAeQAgAHIAZQBwAGUAYQB0ACwAIABoAGEAcABwAGUAbgBzACAAZgBvAHIAIAB0AGgAZQAgAGwAYQBzAHQAIAB0AGkAbQBlAC4AtgBcACIAIAAmAFwAbgAgACAAIAAgACAAIAAgACAAIAAgACAAIAAgACAAIAAgACAAIAAgACAAIAAgACAAIAAgACAAIAAgACAAIAAgACAAIAAgACAAIAAgACAAIAAgAFwAIgCSIUkAZgAgAG8AbQBpAHQAdABlAGQALAAgAGkAdAAgAGkAcwAgAGEAcwBzAHUAbQBlAGQAIAByAGUAcABlAGEAdABpAG4AZwAgAGkAdABlAG0AcwAgAHIAZQBwAGUAYQB0ACAAZgBvAHIAZQB2AGUAcgAuALYAXAAiACAAJgBcAG4AIAAgACAAIAAgACAAIAAgACAAIAAgACAAIAAgACAAIAAgACAAIAAgACAAIAAgACAAXAAiAFIAZQBwAGUAYQB0AHMAIAAgACAAIAAgACAAIAAgAJIhKABPAHAAdABpAG8AbgBhAGwAKQAgAEEAIABjAG8AZABlACAAdABoAGEAdAAgAGMAbwBuAHYAZQB5AHMAIABoAG8AdwAgAG8AZgB0AGUAbgAgAHQAaABpAHMAIAB0AGgAaQBuAGcAIAByAGUAcABlAGEAdABzAC4AIABSAGUAcABlAGEAdAAgAGMAbwBkAGUAcwAgAGEAcgBlALYAXAAiACAAJgBcAG4AIAAgACAAIAAgACAAIAAgACAAIAAgACAAIAAgACAAIAAgACAAIAAgACAAIAAgACAAIAAgACAAIAAgACAAIAAgACAAIAAgACAAIAAgACAAIABcACIAkiFPAD0ATwBuAGUAIAB0AGkAbQBlAC8AbgBlAHYAZQByACAAcgBlAHAAZQBhAHQAcwAgACgAZABlAGYAYQB1AGwAdAApALYAXAAiACAAJgAgAFwAbgAgACAAIAAgACAAIAAgACAAIAAgACAAIAAgACAAIAAgACAAIAAgACAAIAAgACAAIAAgACAAIAAgACAAIAAgACAAIAAgACAAIAAgACAAIAAgAFwAIgCSIUEAPQBBAG4AbgB1AGEAbABsAHkAtgBcACIAIAAmACAAXABuACAAIAAgACAAIAAgACAAIAAgACAAIAAgACAAIAAgACAAIAAgACAAIAAgACAAIAAgACAAIAAgACAAIAAgACAAIAAgACAAIAAgACAAIAAgACAAXAAiAJIhUwA9AFMAZQBtAGkALQBBAG4AbgB1AGEAbABsAHkAtgBcACIAIAAmAFwAbgAgACAAIAAgACAAIAAgACAAIAAgACAAIAAgACAAIAAgACAAIAAgACAAIAAgACAAIAAgACAAIAAgACAAIAAgACAAIAAgACAAIAAgACAAIAAgAFwAIgCSIVEAPQBRAHUAYQByAHQAZQByAGwAeQC2AFwAIgAgACYAIABcAG4AIAAgACAAIAAgACAAIAAgACAAIAAgACAAIAAgACAAIAAgACAAIAAgACAAIAAgACAAIAAgACAAIAAgACAAIAAgACAAIAAgACAAIAAgACAAIABcACIAkiFNAD0ATQBvAG4AdABoAGwAeQC2AFwAIgAgACYAIABcAG4AIAAgACAAIAAgACAAIAAgACAAIAAgACAAIAAgACAAIAAgACAAIAAgACAAIAAgACAAIAAgACAAIAAgACAAIAAgACAAIAAgACAAIAAgACAAIABcACIAkiFCAD0AQgBpAFcAZQBlAGsAbAB5ALYAXAAiACAAJgAgAFwAbgAgACAAIAAgACAAIAAgACAAIAAgACAAIAAgACAAIAAgACAAIAAgACAAIAAgACAAIAAgACAAIAAgACAAIAAgACAAIAAgACAAIAAgACAAIAAgAFwAIgCSIVcAPQBXAGUAZQBrAGwAeQC2AFwAIgAgACYAXABuACAAIAAgACAAIAAgACAAIAAgACAAIAAgACAAIAAgACAAIAAgACAAIAAgACAAIAAgACAAIAAgACAAIAAgACAAIAAgACAAIAAgACAAIAAgACAAXAAiAJIhWAA9AEUAdgBlAHIAeQAgAFcAbwByAGsAZABhAHkAIAAoAE0AbwBuAGQAYQB5ACAAdABvACAARgByAGkAZABhAHkAKQC2AFwAIgAgACYAIABcAG4AIAAgACAAIAAgACAAIAAgACAAIAAgACAAIAAgACAAIAAgACAAIAAgACAAIAAgACAAIAAgACAAIAAgACAAIAAgACAAIAAgACAAIAAgACAAIABcACIAkiFEAD0ARABhAGkAbAB5ALYAXAAiACAAJgAgACAAIAAgACAAIAAgACAAIAAgACAAIAAgACAAIAAgACAAIAAgACAAIAAgAFwAbgAgACAAIAAgACAAIAAgACAAIAAgACAAIAAgACAAIAAgACAAIAAgACAAIAAgACAAIABcACIATgBPAFQARQAhACAAIAAgACAAIAAgACAAIAAgACAAkiFBACAAbQBvAG4AdABoAGwAeQAsACAAcQB1AGEAcgB0AGUAcgBsAHkALAAgAHMAZQBtAGkALQBhAG4AbgB1AGEAbAAgAG8AcgAgAGEAbgBuAHUAYQBsACAAaQB0AGUAbQAgAHQAaABhAHQAIABzAHQAYQByAHQAcwAgAG8AbgAgAHQAaABlACAAMgA5AHQAaAAsACAAMwAwAHQAaAAgAG8AcgAgADMAMQBzAHQAtgBcACIAIAAmAFwAbgAgACAAIAAgACAAIAAgACAAIAAgACAAIAAgACAAIAAgACAAIAAgACAAIAAgACAAIAAgACAAIAAgACAAIAAgACAAIAAgACAAIAAgACAAIAAgAFwAIgCSIWYAYQBsAGwAcwAgAG8AbgAgAHQAaABlACAAbABhAHMAdAAgAGQAYQB5ACAAbwBmACAAYQBuAHkAIABzAGgAbwByAHQAZQByACAAbQBvAG4AdABoAC4AtgBcACIAIAAmAFwAbgAgACAAIAAgACAAIAAgACAAIAAgACAAIAAgACAAIAAgACAAIAAgACAAIAAgACAAIABcACIARQBYAEEATQBQAEwARQBTADoAIAAgACAAIAAgACAAkiG2AFwAIgAgACY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3ADIAIAAgACAAIAAgACAAIAAgACAAIAAgACAAIACSIT0AUwBVAE0AKABOACgAbwB6AC4ASQBzAE8AYwBjAHUAcgByAGUAbgBjAGUARABhAHQAZQC7AygAUwBFAFEAVQBFAE4AQwBFACgALAA5ADAALABcACIAXAAiADEALwA3AC8AMgAwADIANgBcACIAXAAiACkALAAgAFwAIgBcACIAMQAvADcALwAyADAAMgA2AFwAIgBcACIALAAgAFwAIgBcACIAMQAwAC8AOQAvADIAMAAyADYAXAAiAFwAIgAsACAAXAAiAFwAIgBEAFwAIgBcACIAKQApACkAtgBcACIAIAAmAFwAbgAgACAAIAAgACAAIAAgACAAIAAgACAAIAAgACAAIAAgACAAIAAgACAAIAAgACAAIABcACIAMAAxACAAIAAgACAAIAAgACAAIAAgACAAIAAgACAAkiE9AFMAVQBNACgATgAoAG8AegAuAEkAcwBPAGMAYwB1AHIAcgBlAG4AYwBlAEQAYQB0AGUAuwMoAFMARQBRAFUARQBOAEMARQAoACwAOQAwACwAXAAiAFwAIgAxAC8ANwAvADIAMAAyADYAXAAiAFwAIgApACwAIABcACIAXAAiADEALwA3AC8AMgAwADIANgBcACIAXAAiACwAIABcACIAXAAiADEAMAAvADkALwAyADAAMgA2AFwAIgBcACIALAAgAFwAIgBcACIATwBcACIAXAAiACkAKQApALYAXAAiACAAJgBcAG4AIAAgACAAIAAgACAAIAAgACAAIAAgACAAIAAgACAAIAAgACAAIAAgACAAIAAgACAAXAAiADEAMQAgACAAIAAgACAAIAAgACAAIAAgACAAIAAgAJIhPQBTAFUATQAoAE4AKABvAHoALgBJAHMATwBjAGMAdQByAHIAZQBuAGMAZQBEAGEAdABlALsDKABTAEUAUQBVAEUATgBDAEUAKAAsADkAMAAsAFwAIgBcACIAMQAvADcALwAyADAAMgA2AFwAIgBcACIAKQAsACAAXAAiAFwAIgAxAC8ANwAvADIAMAAyADYAXAAiAFwAIgAsACAAXAAiAFwAIgAxADAALwA5AC8AMgAwADIANgBcACIAXAAiACwAIABcACIAXAAiAFcAXAAiAFwAIgApACkAKQBcACIALAAgAFwAbgAgACAAIAAgACAAIAAgACAAIAAgACAAIAAgACAAIAAgACAAIAAgACAAIAAgACAAIABcACIAkiFcACIALAAgAFwAIgC2AFwAIgBcAG4AIAAgACAAIAAgACAAIAAgACAAIAAgACAAIAAgACAAIAAgACAAIAAgACAAIAAgACAAKQBcAG4AIAAgACAAIAAgACAAIAAgACAAIAAgACAAIAAgACAAIAAgACAAIAAgACkALABcAG4AIAAgACAAIAAvAC8AIAAgAE4AYQBtAGUAZAAgAGMAbwBuAHMAdABhAG4AdABzAFwAbgAgACAAIAAgACAAIAAgACAAUwBlAG0AaQBBAG4AbgB1AGEAbABsAHkALAAgACAAIAA2ACwAIAAgACAAIAAvAC8ATQBvAG4AdABoAHMAXABuACAAIAAgACAAIAAgACAAIABRAHUAYQByAHQAZQByAGwAeQAsACAAIAAgACAAIAAgADMALAAgACAAIAAgAC8ALwBNAG8AbgB0AGgAcwBcAG4AIAAgACAAIAAgACAAIAAgAEIAaQB3AGUAZQBrAGwAeQAsACAAIAAgACAAIAAgACAAMQA0ACwAIAAgACAALwAvAEQAYQB5AHMAXABuACAAIAAgACAAIAAgACAAIABXAGUAZQBrAGwAeQAsACAAIAAgACAAIAAgACAAIAAgADcALAAgACAAIAAgAC8ALwBEAGEAeQBzAFwAbgAgACAAIAAgACAAIAAgACAATQBvAG4AMgBTAHUAbgAsACAAIAAgACAAIAAgACAAIAAyACwAIAAgACAAIAAvAC8AVwBFAEUASwBEAEEAWQAoACkAIABUAHkAcABlACAAcABhAHIAYQBtAGUAdABlAHIAXABuACAAIAAgACAAIAAgACAAIABGAHIAaQBkAGEAeQAsACAAIAAgACAAIAAgACAAIAAgADUALAAgACAAIAAgAC8ALwBXAEUARQBLAEQAQQBZACgAKQAnAHMAIAB2AGEAbAB1AGUAIABmAG8AcgAgAEYAcgBpAGQAYQB5ACAAdwBoAGUAbgAgAHQAeQBwAGUAPQAgADIAXABuACAAIAAgACAALwAvACAAIABDAGgAZQBjAGsAIABpAG4AcAB1AHQAcwAgAC0AIABPAG0AaQB0AHQAZQBkACAAcgBlAHEAdQBpAHIAZQBkACAAYQByAGcAdQBtAGUAbgB0AHMAXABuACAAIAAgACAAIAAgACAAIABIAGUAbABwAD8ALAAgACAAIAAgACAAIAAgACAAIAAgAE8AUgAoACAASQBTAE8ATQBJAFQAVABFAEQAKAAgAEQAYQB0AGUAcwApACwAIABcAG4AIAAgACAAIAAgACAAIAAgACAAIAAgACAAIAAgACAAIAAgACAAIAAgACAAIAAgACAAIAAgACAAIABJAFMATwBNAEkAVABUAEUARAAoACAARgBpAHIAcwB0AE8AYwBjAHUAcgByAGUAbgBjAGU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EAGEAdABlAHMALAAgACAAIAAgACAAIAAgAEkARgAoACAASQBTAE8ATQBJAFQAVABFAEQAKAAgAEQAYQB0AGUAcwApACwAIABcAG4AIAAgACAAIAAgACAAIAAgACAAIAAgACAAIAAgACAAIAAgACAAIAAgACAAIAAgACAAIAAgACAAIABGAEEATABTAEUALABcAG4AIAAgACAAIAAgACAAIAAgACAAIAAgACAAIAAgACAAIAAgACAAIAAgACAAIAAgACAAIAAgACAAIABJAEYAKAAgAEkAUwBOAFUATQBCAEUAUgAoACAARABhAHQAZQBzACkALAAgAEQAYQB0AGUAcwAsACAARABBAFQARQBWAEEATABVAEUAKAAgAEQAYQB0AGUAcwApACkAXABuACAAIAAgACAAIAAgACAAIAAgACAAIAAgACAAIAAgACAAIAAgACAAIAAgACAAIAAgACkALABcAG4AIAAgACAAIAAgACAAIAAgAEMAdgB0AEYAaQByAHMAdABzACwAIAAgACAAIAAgACAASQBGACgAIABJAFMATwBNAEkAVABUAEUARAAoACAARgBpAHIAcwB0AE8AYwBjAHUAcgByAGUAbgBjAGUAKQAsACAAXABuACAAIAAgACAAIAAgACAAIAAgACAAIAAgACAAIAAgACAAIAAgACAAIAAgACAAIAAgACAAIAAgACAARgBBAEwAUwBFACwAIABcAG4AIAAgACAAIAAgACAAIAAgACAAIAAgACAAIAAgACAAIAAgACAAIAAgACAAIAAgACAAIAAgACAAIABJAEYAKAAgAEkAUwBOAFUATQBCAEUAUgAoACAARgBpAHIAcwB0AE8AYwBjAHUAcgByAGUAbgBjAGUAKQAsACAARgBpAHIAcwB0AE8AYwBjAHUAcgByAGUAbgBjAGUALAAgAEQAQQBUAEUAVgBBAEwAVQBFACgAIABGAGkAcgBzAHQATwBjAGMAdQByAHIAZQBuAGMAZQApACkAXABuACAAIAAgACAAIAAgACAAIAAgACAAIAAgACAAIAAgACAAIAAgACAAIAAgACAAIAAgACkALABcAG4AIAAgACAAIAAvAC8AIAAgAFIAbwB3ACAAYgB5ACAAcgBvAHcALAAgAHMAbwAgAGEAIABiAGwAYQBuAGsAIABvAHIAIABhACAAZABhAHQAZQAgAGkAbgAgAG8AbgBlACAAcgBvAHcAIABvAGYAIABhACAAdABhAGIAbABlACAAYwBvAGwAdQBtAG4AIABkAG8AZQBzACAAbgBvAHQAIABkAGUAYwBpAGQAZQAgAGgAbwB3AFwAbgAgACAAIAAgAC8ALwAgACAAZQB2AGUAcgB5ACAAcgBvAHcAIABpAHMAIAByAGUAYQBkAC4AIABBACAAYgBsAGEAbgBrACAAbABhAHMAdAAgAG8AYwBjAHUAcgByAGUAbgBjAGUAIABiAGUAYwBvAG0AZQBzACAAXAAiAFwAIgAsACAAdwBoAGkAYwBoACAAVABlAHMAdAAgAHIAZQBhAGQAcwAgAGEAcwAgAG4AbwBuAGUALgBcAG4AIAAgACAAIAAgACAAIAAgAEMAdgB0AEwAYQBzAHQAcwAsACAAIAAgACAAIAAgACAASQBGACgAIABJAFMATwBNAEkAVABUAEUARAAoACAATABhAHMAdABPAGMAYwB1AHIAcgBlAG4AYwBlACkALAAgAFwAbgAgACAAIAAgACAAIAAgACAAIAAgACAAIAAgACAAIAAgACAAIAAgACAAIAAgACAAIAAgACAAIAAgAEYAQQBMAFMARQAsACAAXABuACAAIAAgACAAIAAgACAAIAAgACAAIAAgACAAIAAgACAAIAAgACAAIAAgACAAIAAgACAAIAAgACAASQBGACgAIABUAFIASQBNACgAIABMAGEAcwB0AE8AYwBjAHUAcgByAGUAbgBjAGUAKQAgAD0AIABcACIAXAAiACwAIABcAG4AIAAgACAAIAAgACAAIAAgACAAIAAgACAAIAAgACAAIAAgACAAIAAgACAAIAAgACAAIAAgACAAIAAgACAAIAAgAFwAIgBcACIALAAgAFwAbgAgACAAIAAgACAAIAAgACAAIAAgACAAIAAgACAAIAAgACAAIAAgACAAIAAgACAAIAAgACAAIAAgACAAIAAgACAASQBGACgAIABJAFMATgBVAE0AQgBFAFIAKAAgAEwAYQBzAHQATwBjAGMAdQByAHIAZQBuAGMAZQApACwAIABMAGEAcwB0AE8AYwBjAHUAcgByAGUAbgBjAGUALAAgAEQAQQBUAEUAVgBBAEwAVQBFACgAIABMAGEAcwB0AE8AYwBjAHUAcgByAGUAbgBjAGUAKQApACkAXABuACAAIAAgACAAIAAgACAAIAAgACAAIAAgACAAIAAgACAAIAAgACAAIAAgACAAIAAgACkALABcAG4AIAAgACAAIAAgACAAIAAgAFIAZQBwAGUAYQB0AHMALAAgACAAIAAgACAAIAAgACAASQBGACgAIABJAFMATwBNAEkAVABUAEUARAAoACAAUgBlAHAAZQBhAHQAcwApACwAIABcACIATwBcACIALAAgAEkARgAoACAAVABSAEkATQAoACAAUgBlAHAAZQBhAHQAcwApACAAPQAgAFwAIgBcACIALAAgAFwAIgBPAFwAIgAsACAATABFAEYAVAAoACAAUgBlAHAAZQBhAHQAcwAsACAAMQApACkAKQAsAFwAbgAgACAAIAAgAC8ALwAgACAAUAByAG8AYwBlAGQAdQByAGUAXABuACAAIAAgACAALwAvACAAIABBACAAcwB0AGEAcgB0ACAAbwBuACAAdABoAGUAIAAyADkAdABoACwAIAAzADAAdABoACAAbwByACAAMwAxAHMAdAAgAGYAYQBsAGwAcwAgAG8AbgAgAHQAaABlACAAbABhAHMAdAAgAGQAYQB5ACAAbwBmACAAYQBuAHkAIABzAGgAbwByAHQAZQByACAAbQBvAG4AdABoAFwAbgAgACAAIAAgACAAIAAgACAATQBvAG4AdABoAEUAbgBkAHMALAAgACAAIAAgACAAIABEAEEAWQAoACAARQBPAE0ATwBOAFQASAAoACAAQwB2AHQARABhAHQAZQBzACwAIAAwACkAKQAsAFwAbgAgACAAIAAgACAAIAAgACAAUwBhAG0AZQBEAGEAeQAsACAAIAAgACAAIAAgACAAIABEAEEAWQAoACAAQwB2AHQARABhAHQAZQBzACkAIAA9ACAASQBGACgAIABEAEEAWQAoACAAQwB2AHQARgBpAHIAcwB0AHMAKQAgAD4AIABNAG8AbgB0AGgARQBuAGQAcwAsACAATQBvAG4AdABoAEUAbgBkAHMALAAgAEQAQQBZACgAIABDAHYAdABGAGkAcgBzAHQAcwApACkALABcAG4AIAAgACAAIAAgACAAIAAgAFMAYQBtAGUATQBvAG4AdABoACwAIAAgACAAIAAgACAATQBPAE4AVABIACgAIABDAHYAdABEAGEAdABlAHMAKQAgAD0AIABNAE8ATgBUAEgAKAAgAEMAdgB0AEYAaQByAHMAdABzACkALABcAG4AIAAgACAAIAAgACAAIAAgAFQAZQBzAHQALAAgACAAIAAgACAAIAAgACAAIAAgACAAKAAgAEMAdgB0AEYAaQByAHMAdABzACAAPAA9ACAAQwB2AHQARABhAHQAZQBzACkAIAAqACAAXABuACAAIAAgACAAIAAgACAAIAAgACAAIAAgACAAIAAgACAAIAAgACAAIAAgACAAIAAgAEkARgAoAFQAUgBJAE0AKAAgAEMAdgB0AEwAYQBzAHQAcwApACAAPQAgAFwAIgBcACIALAAgADEALAAgAEMAdgB0AEQAYQB0AGUAcwAgADwAPQAgAEMAdgB0AEwAYQBzAHQAcwApACAAKgBcAG4AIAAgACAAIAAgACAAIAAgACAAIAAgACAAIAAgACAAIAAgACAAIAAgACAAIAAgACAAUwBXAEkAVABDAEgAKABcAG4AIAAgACAAIAAgACAAIAAgACAAIAAgACAAIAAgACAAIAAgACAAIAAgACAAIAAgACAAIAAgACAAIABSAGUAcABlAGEAdABzACwAXABuACAAIAAgACAAIAAgACAAIAAgACAAIAAgACAAIAAgACAAIAAgACAAIAAgACAAIAAgACAAIAAgACAAXAAiAE8AXAAiACwAIAAgACAAIABDAHYAdABEAGEAdABlAHMAIAA9ACAAQwB2AHQARgBpAHIAcwB0AHMALABcAG4AIAAgACAAIAAgACAAIAAgACAAIAAgACAAIAAgACAAIAAgACAAIAAgACAAIAAgACAAIAAgACAAIABcACIAQQBcACIALAAgACAAIAAgAFMAYQBtAGUARABhAHkAIAAqACAAUwBhAG0AZQBNAG8AbgB0AGgALABcAG4AIAAgACAAIAAgACAAIAAgACAAIAAgACAAIAAgACAAIAAgACAAIAAgACAAIAAgACAAIAAgACAAIABcACIAUwBcACIALAAgACAAIAAgAFMAYQBtAGUARABhAHkAIAAqACAAXABuACAAIAAgACAAIAAgACAAIAAgACAAIAAgACAAIAAgACAAIAAgACAAIAAgACAAIAAgACAAIAAgACAAIAAgACAAIAAgACAAIAAgACAAIAAgACAAKABNAE8ARAAoACAATQBPAE4AVABIACgAIABDAHYAdABEAGEAdABlAHMAKQAsACAAUwBlAG0AaQBBAG4AbgB1AGEAbABsAHkAKQAgAD0AIABNAE8ARAAoACAATQBPAE4AVABIACgAIABDAHYAdABGAGkAcgBzAHQAcwApACwAIABTAGUAbQBpAEEAbgBuAHUAYQBsAGwAeQApACkALABcAG4AIAAgACAAIAAgACAAIAAgACAAIAAgACAAIAAgACAAIAAgACAAIAAgACAAIAAgACAAIAAgACAAIABcACIAUQBcACIALAAgACAAIAAgAFMAYQBtAGUARABhAHkAIAAqAFwAbgAgACAAIAAgACAAIAAgACAAIAAgACAAIAAgACAAIAAgACAAIAAgACAAIAAgACAAIAAgACAAIAAgACAAIAAgACAAIAAgACAAIAAgACAAIAAgACgATQBPAEQAKAAgAE0ATwBOAFQASAAoACAAQwB2AHQARABhAHQAZQBzACkALAAgAFEAdQBhAHIAdABlAHIAbAB5ACkAIAA9ACAATQBPAEQAKAAgAE0ATwBOAFQASAAoACAAQwB2AHQARgBpAHIAcwB0AHMAKQAsACAAUQB1AGEAcgB0AGUAcgBsAHkAKQApACwAXABuACAAIAAgACAAIAAgACAAIAAgACAAIAAgACAAIAAgACAAIAAgACAAIAAgACAAIAAgACAAIAAgACAAXAAiAE0AXAAiACwAIAAgACAAIABTAGEAbQBlAEQAYQB5ACwAXABuACAAIAAgACAAIAAgACAAIAAgACAAIAAgACAAIAAgACAAIAAgACAAIAAgACAAIAAgACAAIAAgACAAXAAiAEIAXAAiACwAIAAgACAAIABNAE8ARAAoACAAQwB2AHQARABhAHQAZQBzACwAIABCAGkAdwBlAGUAawBsAHkAKQAgAD0AIABNAE8ARAAoACAAQwB2AHQARgBpAHIAcwB0AHMALAAgAEIAaQB3AGUAZQBrAGwAeQApACwAXABuACAAIAAgACAAIAAgACAAIAAgACAAIAAgACAAIAAgACAAIAAgACAAIAAgACAAIAAgACAAIAAgACAAXAAiAFcAXAAiACwAIAAgACAAIABNAE8ARAAoACAAQwB2AHQARABhAHQAZQBzACwAIABXAGUAZQBrAGwAeQApACAAPQAgAE0ATwBEACgAIABDAHYAdABGAGkAcgBzAHQAcwAsACAAVwBlAGUAawBsAHkAKQAsAFwAbgAgACAAIAAgACAAIAAgACAAIAAgACAAIAAgACAAIAAgACAAIAAgACAAIAAgACAAIAAgACAAIAAgAFwAIgBYAFwAIgAsACAAIAAgACAAVwBFAEUASwBEAEEAWQAoACAAQwB2AHQARABhAHQAZQBzACwAIABNAG8AbgAyAFMAdQBuACkAIAA8AD0AIABGAHIAaQBkAGEAeQAsAFwAbgAgACAAIAAgACAAIAAgACAAIAAgACAAIAAgACAAIAAgACAAIAAgACAAIAAgACAAIAAgACAAIAAgAFwAIgBEAFwAIgAsACAAIAAgACAAVABSAFUARQAsAFwAbgAgACAAIAAgACAAIAAgACAAIAAgACAAIAAgACAAIAAgACAAIAAgACAAIAAgACAAIAAgACAAIAAgADAAXABuACAAIAAgACAAIAAgACAAIAAgACAAIAAgACAAIAAgACAAIAAgACAAIAAgACAAIAAgACkALABcAG4AIAAgACAAIAAgACAAIAAgAFIAZQBzAHUAbAB0ACwAIAAgACAAIAAgACAAIAAgACAAVABlAHMAdAAgAD0AIAAxACwAIAAgACAAIAAgACAAIAAgAFwAbgAgACAAIAAgAC8ALwAgACAAUgBlAHQAdQByAG4AIABSAGUAcwB1AGwAdABcAG4AIAAgACAAIAAgACAAIAAgAEMASABPAE8AUwBFACgAIABIAGUAbABwAD8AIAArACAAMQAsACAAUgBlAHMAdQBsAHQALAAgAEgAZQBsAHAAKQBcAG4AIAAgACAAIAApAFwAbgApADsAXABuAFwAbgBcAG4AXABuAFwAbgAvACoAIAAgAEYAVQBOAEMAVABJAE8ATgAgAE4AQQBNAEUAOgAgACAATwB2AGUAcgBMAGEAcABEAGEAeQBzALsDXABuACAAIAAgACAARABFAFMAQwBSAEkAUABUAEkATwBOADoAKgAvAC8AKgAqAFIAZQB0AHUAcgBuACAAaABvAHcAIABtAGEAbgB5ACAAZABhAHkAcwAgAG8AdgBlAHIAbABhAHAAIAB0AHcAbwAgAHAAZQByAGkAbwBkACAAcgBhAG4AZwBlAHMALgAgACoALwBcAG4ATwB2AGUAcgBMAGEAcABEAGEAeQBzALsDIAA9ACAATABBAE0AQgBEAEEAKABcAG4ALwAvACAAIABQAGEAcgBhAG0AZQB0AGUAcgAgAEQAZQBjAGwAYQByAGEAdABpAG8AbgBzAFwAbgAgACAAIAAgAFsAUABlAHIAaQBvAGQAMQBTAHQAYQByAHQAXQAsAFwAbgAgACAAIAAgAFsAUABlAHIAaQBvAGQAMQBFAG4AZABdACwAXABuACAAIAAgACAAWwBQAGUAcgBpAG8AZAAyAFMAdABhAHIAdABdACwAXABuACAAIAAgACAAWwBQAGUAcgBpAG8AZAAyAEUAbgBkAF0ALAAgACAAXABuAC8ALwAgACAASABlAGwAcABcAG4AIAAgACAAIABMAEUAVAAoAFwAbgAgACAAIAAgACAAIAAgACAASABlAGwAcAAsACAAIAAgACAAIAAgACAAVABSAEkATQAoAFQARQBYAFQAUwBQAEwASQBUACgAXABuACAAIAAgACAAIAAgACAAIAAgACAAIAAgACAAIAAgACAAIAAgACAAIAAgACAAIAAgAFwAIgBGAFUATgBDAFQASQBPAE4AOgAgACAAIAAgACAAIACSIU8AdgBlAHIATABhAHAARABhAHkAcwC7AygAUABlAHIAaQBvAGQAMQBTAHQAYQByAHQALAAgAFAAZQByAGkAbwBkADEARQBuAGQALAAgAFAAZQByAGkAbwBkADIAUwB0AGEAcgB0ACwAIABQAGUAcgBpAG8AZAAyAEUAbgBkACkAtgBcACIAIAAmAFwAbgAgACAAIAAgACAAIAAgACAAIAAgACAAIAAgACAAIAAgACAAIAAgACAAIAAgACAAIABcACIARABFAFMAQwBSAEkAUABUAEkATwBOADoAIAAgACAAkiFDAG8AdQBuAHQAIABkAGEAeQBzACAAcwBoAGEAcgBlAGQAIABiAGUAdAB3AGUAZQBuACAAdAB3AG8AIABzAGUAdABzACAAbwBmACAAcABlAHIAaQBvAGQ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AAZQByAGkAbwBkADEAUwB0AGEAcgB0ACAAIAAgAJIhKABSAGUAcQB1AGkAcgBlAGQAKQAgAEYAaQByAHMAdAAgAHAAZQByAGkAbwBkACcAcwAgAHMAdABhAHIAdAAgAGQAYQB0AGUALgC2AFwAIgAgACYAIABcAG4AIAAgACAAIAAgACAAIAAgACAAIAAgACAAIAAgACAAIAAgACAAIAAgACAAIAAgACAAXAAiAFAAZQByAGkAbwBkADEARQBuAGQAIAAgACAAIAAgAJIhKABSAGUAcQB1AGkAcgBlAGQAKQAgAEYAaQByAHMAdAAgAHAAZQByAGkAbwBkACcAcwAgAGUAbgBkACAAZABhAHQAZQAuALYAXAAiACAAJgAgAFwAbgAgACAAIAAgACAAIAAgACAAIAAgACAAIAAgACAAIAAgACAAIAAgACAAIAAgACAAIABcACIAUABlAHIAaQBvAGQAMgBTAHQAYQByAHQAIAAgACAAkiEoAFIAZQBxAHUAaQByAGUAZAApACAAUwBlAGMAbwBuAGQAIABwAGUAcgBpAG8AZAAnAHMAIABzAHQAYQByAHQAIABkAGEAdABlAC4AtgBcACIAIAAmACAAXABuACAAIAAgACAAIAAgACAAIAAgACAAIAAgACAAIAAgACAAIAAgACAAIAAgACAAIAAgAFwAIgBQAGUAcgBpAG8AZAAyAEUAbgBkACAAIAAgACAAIACSISgAUgBlAHEAdQBpAHIAZQBkACkAIABTAGUAYwBvAG4AZAAgAHAAZQByAGkAbwBkACcAcwAgAGUAbgBkACAAZABhAHQAZ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UAIAAgACAAIAAgACAAIAAgACAAIAAgACAAIAAgAJIhPQBvAHoALgBPAHYAZQByAEwAYQBwAEQAYQB5AHMAuwMoADAAOAAsACAAMQA0ACwAIAAxADAALAAgADEANwApALYAXAAiACAAJgAgAFwAbgAgACAAIAAgACAAIAAgACAAIAAgACAAIAAgACAAIAAgACAAIAAgACAAIAAgACAAIABcACIAOAAgACAAIAAgACAAIAAgACAAIAAgACAAIAAgACAAkiE9AG8AegAuAE8AdgBlAHIATABhAHAARABhAHkAcwC7AygAMQAwACwAIAAyADAALAAgADEAMQAsACAAMQA4ACkAtgBcACIAIAAmACAAXABuACAAIAAgACAAIAAgACAAIAAgACAAIAAgACAAIAAgACAAIAAgACAAIAAgACAAIAAgAFwAIgAyACAAIAAgACAAIAAgACAAIAAgACAAIAAgACAAIACSIT0AbwB6AC4ATwB2AGUAcgBMAGEAcABEAGEAeQBzALsDKABcACIAXAAiADEANwAvADcALwAyADAAMgA2AFwAIgBcACIALAAgAFwAIgBcACIAMgA1AC8ANwAvADIAMAAyADYAXAAiAFwAIgAsACAAXAAiAFwAIgA3AC8ANwAvADIAMAAyADYAXAAiAFwAIgAsACAAXAAiAFwAIgAxADgALwA3AC8AMgAwADIANg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DEAUwB0AGEAcgB0ACkALAAgAFwAbgAgACAAIAAgACAAIAAgACAAIAAgACAAIAAgACAAIAAgACAAIAAgACAAIAAgACAAIAAgACAAIAAgAEkAUwBPAE0ASQBUAFQARQBEACgAIABQAGUAcgBpAG8AZAAxAEUAbgBkACkALABcAG4AIAAgACAAIAAgACAAIAAgACAAIAAgACAAIAAgACAAIAAgACAAIAAgACAAIAAgACAAIAAgACAAIABJAFMATwBNAEkAVABUAEUARAAoACAAUABlAHIAaQBvAGQAMgBTAHQAYQByAHQAKQAsACAAXABuACAAIAAgACAAIAAgACAAIAAgACAAIAAgACAAIAAgACAAIAAgACAAIAAgACAAIAAgACAAIAAgACAASQBTAE8ATQBJAFQAVABFAEQAKAAgAFAAZQByAGkAbwBkADIARQBuAG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DEAUwB0AGEAcgB0ACwAIAAgACAAIAAgAEkARgAoACAASQBTAE8ATQBJAFQAVABFAEQAKAAgAFAAZQByAGkAbwBkADEAUwB0AGEAcgB0ACkALAAgAFwAbgAgACAAIAAgACAAIAAgACAAIAAgACAAIAAgACAAIAAgACAAIAAgACAAIAAgACAAIAAgACAAIAAgAEYAQQBMAFMARQAsAFwAbgAgACAAIAAgACAAIAAgACAAIAAgACAAIAAgACAAIAAgACAAIAAgACAAIAAgACAAIAAgACAAIAAgAEkARgAoACAASQBTAE4AVQBNAEIARQBSACgAIABQAGUAcgBpAG8AZAAxAFMAdABhAHIAdAApACwAIABQAGUAcgBpAG8AZAAxAFMAdABhAHIAdAAsACAARABBAFQARQBWAEEATABVAEUAKAAgAFAAZQByAGkAbwBkADEAUwB0AGEAcgB0ACkAKQBcAG4AIAAgACAAIAAgACAAIAAgACAAIAAgACAAIAAgACAAIAAgACAAIAAgACAAIAAgACAAKQAsAFwAbgAgACAAIAAgACAAIAAgACAAQwB2AHQAUAAxAEUAbgBkACwAIAAgACAAIAAgAEkARgAoACAASQBTAE8ATQBJAFQAVABFAEQAKAAgAFAAZQByAGkAbwBkADEARQBuAGQAKQAsACAAXABuACAAIAAgACAAIAAgACAAIAAgACAAIAAgACAAIAAgACAAIAAgACAAIAAgACAAIAAgACAAIAAgACAARgBBAEwAUwBFACwAXABuACAAIAAgACAAIAAgACAAIAAgACAAIAAgACAAIAAgACAAIAAgACAAIAAgACAAIAAgACAAIAAgACAASQBGACgAIABJAFMATgBVAE0AQgBFAFIAKAAgAFAAZQByAGkAbwBkADEARQBuAGQAKQAsACAAUABlAHIAaQBvAGQAMQBFAG4AZAAsACAARABBAFQARQBWAEEATABVAEUAKAAgAFAAZQByAGkAbwBkADEARQBuAGQAKQApAFwAbgAgACAAIAAgACAAIAAgACAAIAAgACAAIAAgACAAIAAgACAAIAAgACAAIAAgACAAIAApACwAXABuACAAIAAgACAAIAAgACAAIABDAHYAdABQADIAUwB0AGEAcgB0ACwAIAAgACAAIAAgAEkARgAoACAASQBTAE8ATQBJAFQAVABFAEQAKAAgAFAAZQByAGkAbwBkADIAUwB0AGEAcgB0ACkALAAgAFwAbgAgACAAIAAgACAAIAAgACAAIAAgACAAIAAgACAAIAAgACAAIAAgACAAIAAgACAAIAAgACAAIAAgAEYAQQBMAFMARQAsAFwAbgAgACAAIAAgACAAIAAgACAAIAAgACAAIAAgACAAIAAgACAAIAAgACAAIAAgACAAIAAgACAAIAAgAEkARgAoACAASQBTAE4AVQBNAEIARQBSACgAIABQAGUAcgBpAG8AZAAyAFMAdABhAHIAdAApACwAIABQAGUAcgBpAG8AZAAyAFMAdABhAHIAdAAsACAARABBAFQARQBWAEEATABVAEUAKAAgAFAAZQByAGkAbwBkADIAUwB0AGEAcgB0ACkAKQBcAG4AIAAgACAAIAAgACAAIAAgACAAIAAgACAAIAAgACAAIAAgACAAIAAgACAAIAAgACAAKQAsAFwAbgAgACAAIAAgACAAIAAgACAAQwB2AHQAUAAyAEUAbgBkACwAIAAgACAAIAAgAEkARgAoACAASQBTAE8ATQBJAFQAVABFAEQAKAAgAFAAZQByAGkAbwBkADIARQBuAGQAKQAsACAAXABuACAAIAAgACAAIAAgACAAIAAgACAAIAAgACAAIAAgACAAIAAgACAAIAAgACAAIAAgACAAIAAgACAARgBBAEwAUwBFACwAXABuACAAIAAgACAAIAAgACAAIAAgACAAIAAgACAAIAAgACAAIAAgACAAIAAgACAAIAAgACAAIAAgACAASQBGACgAIABJAFMATgBVAE0AQgBFAFIAKAAgAFAAZQByAGkAbwBkADIARQBuAGQAKQAsACAAUABlAHIAaQBvAGQAMgBFAG4AZAAsACAARABBAFQARQBWAEEATABVAEUAKAAgAFAAZQByAGkAbwBkADIARQBuAGQAKQApAFwAbgAgACAAIAAgACAAIAAgACAAIAAgACAAIAAgACAAIAAgACAAIAAgACAAIAAgACAAIAApACwAXABuACAAIAAgACAALwAvACAAIABQAHIAbwBjAGUAZAB1AHIAZQBcAG4AIAAgACAAIAAgACAAIAAgAE0AaQBuAE8AZgBFAG4AZAAsACAAIAAgAEkARgAoAEMAdgB0AFAAMgBFAG4AZAAgADwAPQAgAEMAdgB0AFAAMQBFAG4AZAAsACAAQwB2AHQAUAAyAEUAbgBkACwAIABDAHYAdABQADEARQBuAGQAKQAsAFwAbgAgACAAIAAgACAAIAAgACAATQBhAHgATwBmAFMAdABhAHIAdAAsACAASQBGACgAQwB2AHQAUAAyAFMAdABhAHIAdAAgAD4APQAgAEMAdgB0AFAAMQBTAHQAYQByAHQALAAgAEMAdgB0AFAAMgBTAHQAYQByAHQALAAgAEMAdgB0AFAAMQBTAHQAYQByAHQAKQAsAFwAbgAgACAAIAAgACAAIAAgACAARABhAHkAcwAsACAAIAAgACAAIAAgACAATQBpAG4ATwBmAEUAbgBkACAALQAgAE0AYQB4AE8AZgBTAHQAYQByAHQAIAArACAAMQAsAFwAbgAgACAAIAAgACAAIAAgACAAUgBlAHMAdQBsAHQALAAgACAAIAAgACAASQBGACgARABhAHkAcwAgAD4AIAAwACwAIABEAGEAeQBzACwAIAAw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TABhAGIAZQBsALsDXABuACAAIAAgACAARABFAFMAQwBSAEkAUABUAEkATwBOADoAKgAvAC8AKgAqAEMAcgBlAGEAdABlAHMAIABhACAAbABhAGIAZQBsACAAZgBvAHIAIABhACAAZABhAHQAZQAgAGIAYQBzAGUAZAAgAG8AbgAgAHAAZQByAGkAbwBkACAAaQBuAHQAZQByAHYAYQBsACoALwBcAG4AUABlAHIAaQBvAGQATABhAGIAZQBsALsDIAA9ACAATABBAE0AQgBEAEEAKABcAG4ALwAvACAAIABQAGEAcgBhAG0AZQB0AGUAcgAgAEQAZQBjAGwAYQByAGEAdABpAG8AbgBzAFwAbgAgACAAIAAgAFsARABhAHQAZQBdACwAXABuACAAIAAgACAAWwBJAG4AdABlAHIAdgBhAGwAXQAsAFwAbgAgACAAIAAgAEwARQBUACgAXABuAC8ALwAgACAASABlAGwAcABcAG4AIAAgACAAIAAgACAAIAAgAEgAZQBsAHAALAAgACAAIAAgACAAIAAgAFQAUgBJAE0AKABUAEUAWABUAFMAUABMAEkAVAAoACAAXABuACAAIAAgACAAIAAgACAAIAAgACAAIAAgACAAIAAgACAAIAAgACAAIAAgACAAIAAgAFwAIgBGAFUATgBDAFQASQBPAE4AOgAgACAAIAAgACAAIACSIVAAZQByAGkAbwBkAEwAYQBiAGUAbAC7AygARABhAHQAZQAsACAAWwBJAG4AdABlAHIAdgBhAGwAXQApALYAXAAiACAAJgBcAG4AIAAgACAAIAAgACAAIAAgACAAIAAgACAAIAAgACAAIAAgACAAIAAgACAAIAAgACAAXAAiAEQARQBTAEMAUgBJAFAAVABJAE8ATgA6ACAAIAAgAJIhQwByAGUAYQB0AGUAcwAgAGEAIABsAGEAYgBlAGwAIABmAG8AcgAgAGEAIABkAGEAdABlACAAYgBhAHMAZQBkACAAbwBuACAAcABlAHIAaQBvAGQAIABpAG4AdABlAHIAdgBhAGw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EAGEAdABlACAAIAAgACAAIAAgACAAIAAgACAAIACSISgAUgBlAHEAdQBpAHIAZQBkACkAIABBACAAcwBpAG4AZwBsAGUAIABkAGEAdABlACAAbwByACAAYQByAHIAYQB5ACAAbwBmACAAZABhAHQAZQAoAHMAKQAgAHcAaABlAHIAZQAgAHQAaABlACAAZgBpAHIAcwB0ACAAZABhAHQAZQAgAGkAcwAgAHQAaABlACAAZgBpAHIAcwB0ACAAZABhAHQAZQAgAG8AZgAgAGEAIABjAGEAbABlAG4AZABhAHIAIAB5AGUAYQByAC4AtgBcACIAIAAmACAAXABuACAAIAAgACAAIAAgACAAIAAgACAAIAAgACAAIAAgACAAIAAgACAAIAAgACAAIAAgAFwAIgBJAG4AdABlAHIAdgBhAGwAIAAgACAAIAAgACAAIACSISgATwBwAHQAaQBvAG4AYQBsACkAIABNAHUAcwB0ACAAYgBlACAAbwBuAGUAIABvAGYAOgAgALYAXAAiACAAJgAgAFwAbgAgACAAIAAgACAAIAAgACAAIAAgACAAIAAgACAAIAAgACAAIAAgACAAIAAgACAAIAAgACAAIAAgACAAIAAgACAAIAAgACAAIAAgACAAIABcACIAkiFEAD0ARABhAGkAbAB5ALYAXAAiACAAJgAgAFwAbgAgACAAIAAgACAAIAAgACAAIAAgACAAIAAgACAAIAAgACAAIAAgACAAIAAgACAAIAAgACAAIAAgACAAIAAgACAAIAAgACAAIAAgACAAIABcACIAkiFXAD0AVwBlAGUAawBsAHkAtgBcACIAIAAmACAAXABuACAAIAAgACAAIAAgACAAIAAgACAAIAAgACAAIAAgACAAIAAgACAAIAAgACAAIAAgACAAIAAgACAAIAAgACAAIAAgACAAIAAgACAAIAAgAFwAIgCSIUkAPQBXAGUAZQBrAGwAeQAgACgAdQBzAGkAbgBnACAASQBTAE8AIAB3AGUAZQBrACAAbgB1AG0AYgBlAHIAKQC2AFwAIgAgACYAIABcAG4AIAAgACAAIAAgACAAIAAgACAAIAAgACAAIAAgACAAIAAgACAAIAAgACAAIAAgACAAIAAgACAAIAAgACAAIAAgACAAIAAgACAAIAAgACAAXAAiAJIhTQA9AE0AbwBuAHQAaABsAHkAtgBcACIAIAAmACAAXABuACAAIAAgACAAIAAgACAAIAAgACAAIAAgACAAIAAgACAAIAAgACAAIAAgACAAIAAgACAAIAAgACAAIAAgACAAIAAgACAAIAAgACAAIAAgAFwAIgCSIVEAPQBRAHUAYQByAHQAZQByAGwAeQC2AFwAIgAgACYAIABcAG4AIAAgACAAIAAgACAAIAAgACAAIAAgACAAIAAgACAAIAAgACAAIAAgACAAIAAgACAAIAAgACAAIAAgACAAIAAgACAAIAAgACAAIAAgACAAXAAiAJIhUwA9AFMAZQBtAGkALQBBAG4AbgB1AGEAbABsAHkAtgBcACIAIAAmACAAXABuACAAIAAgACAAIAAgACAAIAAgACAAIAAgACAAIAAgACAAIAAgACAAIAAgACAAIAAgACAAIAAgACAAIAAgACAAIAAgACAAIAAgACAAIAAgAFwAIgCSIUEAIABvAHIAIABZAD0AQQBuAG4AdQBhAGwAbAB5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IAMAAyADYALQBBAHUAZwAtADIANgAgACAAIAAgAJIhPQBvAHoALgBQAGUAcgBpAG8AZABMAGEAYgBlAGwAuwMoAEQAQQBUAEUAVgBBAEwAVQBFACgAXAAiAFwAIgAyADYALwA4AC8AMgAwADIANgBcACIAXAAiACkALAAgAFwAIgBcACIARABcACIAXAAiACkAtgBcACIAIAAmAFwAbgAgACAAIAAgACAAIAAgACAAIAAgACAAIAAgACAAIAAgACAAIAAgACAAIAAgACAAIABcACIAMgAwADIANgAtAEEAdQBnACAAIAAgACAAIAAgACAAkiE9AG8AegAuAFAAZQByAGkAbwBkAEwAYQBiAGUAbAC7AygARABBAFQARQBWAEEATABVAEUAKABcACIAXAAiADIANgAvADgALwAyADAAMgA2AFwAIgBcACIAKQAsACAAXAAiAFwAIgBNAFwAIgBcACIAKQC2AFwAIgAgACYAIABcAG4AIAAgACAAIAAgACAAIAAgACAAIAAgACAAIAAgACAAIAAgACAAIAAgACAAIAAgACAAXAAiADIAMAAyADYAOgBRADMAIAAgACAAIAAgACAAIACSIT0AbwB6AC4AUABlAHIAaQBvAGQATABhAGIAZQBsALsDKABEAEEAVABFAFYAQQBMAFUARQAoAFwAIgBcACIAMgA2AC8AOAAvADIAMAAyADYAXAAiAFwAIgApACwAIABcACIAXAAiAFEAXAAiAFwAIgApALYAXAAiACAAJgAgAFwAbgAgACAAIAAgACAAIAAgACAAIAAgACAAIAAgACAAIAAgACAAIAAgACAAIAAgACAAIABcACIAMgAwADIANgAgACAAIAAgACAAIAAgACAAIAAgACAAkiE9AG8AegAuAFAAZQByAGkAbwBkAEwAYQBiAGUAbAC7AygARABBAFQARQBWAEEATABVAEUAKABcACIAXAAiADIANgAvADgALwAyADAAMgA2AFwAIgBcACIAKQAsACAAXAAiAFwAIgBZ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QAYQB0AGU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EAGEAdABlACwAIAAgACAAIAAgACAAIAAgAEkARgAoACAASQBTAE8ATQBJAFQAVABFAEQAKAAgAEQAYQB0AGUAKQAsACAAXABuACAAIAAgACAAIAAgACAAIAAgACAAIAAgACAAIAAgACAAIAAgACAAIAAgACAAIAAgACAAIAAgACAARgBBAEwAUwBFACwAXABuACAAIAAgACAAIAAgACAAIAAgACAAIAAgACAAIAAgACAAIAAgACAAIAAgACAAIAAgACAAIAAgACAASQBGACgAIABJAFMATgBVAE0AQgBFAFIAKAAgAEQAYQB0AGUAKQAsACAARABhAHQAZQAsACAARABBAFQARQBWAEEATABVAEUAKAAgAEQAYQB0AGUAKQApAFwAbgAgACAAIAAgACAAIAAgACAAIAAgACAAIAAgACAAIAAgACAAIAAgACAAIAAgACAAIAApACwAXABuACAAIAAgACAAIAAgACAAIABJAG4AdABlAHIAdgBhAGwALAAgACAAIAAgACAAIAAgACAAIABJAEYAKAAgAEkAUwBPAE0ASQBUAFQARQBEACgAIABJAG4AdABlAHIAdgBhAGwAKQAsACAAXAAiAE0AXAAiACwAIABJAG4AdABlAHIAdgBhAGwAKQAsAFwAbgAgACAAIAAgAC8ALwAgACAAUAByAG8AYwBlAGQAdQByAGUAXABuACAAIAAgACAAIAAgACAAIABSAGUAcwB1AGwAdAAsACAAIAAgACAAIABTAFcASQBUAEMASAAoAEkAbgB0AGUAcgB2AGEAbAAsAFwAbgAgACAAIAAgACAAIAAgACAAIAAgACAAIAAgACAAIAAgACAAIAAgACAAIAAgACAAIABcACIARABcACIALAAgAFQARQBYAFQAKABDAHYAdABEAGEAdABlACwAIABcACIAeQB5AHkAeQAtAG0AbQBtAC0AZABkAFwAIgApACwAXABuACAAIAAgACAAIAAgACAAIAAgACAAIAAgACAAIAAgACAAIAAgACAAIAAgACAAIAAgAFwAIgBXAFwAIgAsACAAWQBFAEEAUgAoAEMAdgB0AEQAYQB0AGUAKQAgACYAIABcACIAOgBXAFwAIgAgACYAIABUAEUAWABUACgAUQBVAE8AVABJAEUATgBUACgAQwB2AHQARABhAHQAZQAgAC0AIABEAEEAVABFACgAWQBFAEEAUgAoAEMAdgB0AEQAYQB0AGUAKQAsACAAMQAsACAAMAApACAALQAgADEALAAgADcAKQAgACsAIAAxACwAIABcACIAMAAwAFwAIgApACwAXABuACAAIAAgACAAIAAgACAAIAAgACAAIAAgACAAIAAgACAAIAAgACAAIAAvAC8AIAAgAFQAaABlACAASQBTAE8AIAB5AGUAYQByACAAaQBzACAAdABoAGUAIAB5AGUAYQByACAAbwBmACAAdABoAGUAIAB3AGUAZQBrACcAcwAgAFQAaAB1AHIAcwBkAGEAeQAsACAAbgBvAHQAIAB0AGgAZQAgAGMAYQBsAGUAbgBkAGEAcgAgAHkAZQBhAHIAXABuACAAIAAgACAAIAAgACAAIAAgACAAIAAgACAAIAAgACAAIAAgACAAIAAgACAAIAAgAFwAIgBJAFwAIgAsACAAWQBFAEEAUgAoAEMAdgB0AEQAYQB0AGUAIAArACAANAAgAC0AIABXAEUARQBLAEQAQQBZACgAQwB2AHQARABhAHQAZQAsACAAMgApACkAIAAmACAAXAAiADoAVwBcACIAIAAmACAAVABFAFgAVAAoAEkAUwBPAFcARQBFAEsATgBVAE0AKABDAHYAdABEAGEAdABlACkALAAgAFwAIgAwADAAXAAiACkALABcAG4AIAAgACAAIAAgACAAIAAgACAAIAAgACAAIAAgACAAIAAgACAAIAAgACAAIAAgACAAXAAiAE0AXAAiACwAIABUAEUAWABUACgAQwB2AHQARABhAHQAZQAsACAAXAAiAFkAWQBZAFkALQBNAE0ATQBcACIAKQAsAFwAbgAgACAAIAAgACAAIAAgACAAIAAgACAAIAAgACAAIAAgACAAIAAgACAAIAAgACAAIABcACIAUQBcACIALAAgAFkARQBBAFIAKABDAHYAdABEAGEAdABlACkAIAAmACAAXAAiADoAUQBcACIAIAAmACAAUQBVAE8AVABJAEUATgBUACgATQBPAE4AVABIACgAQwB2AHQARABhAHQAZQApACAALQAgADEALAAgADMAKQAgACsAIAAxACwAXABuACAAIAAgACAAIAAgACAAIAAgACAAIAAgACAAIAAgACAAIAAgACAAIAAgACAAIAAgAFwAIgBTAFwAIgAsACAAWQBFAEEAUgAoAEMAdgB0AEQAYQB0AGUAKQAgACYAIABcACIAOgBTAFwAIgAgACYAIABRAFUATwBUAEkARQBOAFQAKABNAE8ATgBUAEgAKABDAHYAdABEAGEAdABlACkAIAAtACAAMQAsACAANgApACAAKwAgADEALABcAG4AIAAgACAAIAAgACAAIAAgACAAIAAgACAAIAAgACAAIAAgACAAIAAgACAAIAAgACAAXAAiAEEAXAAiACwAIABUAEUAWABUACgAQwB2AHQARABhAHQAZQAsACAAXAAiAFkAWQBZAFkAXAAiACkALABcAG4AIAAgACAAIAAgACAAIAAgACAAIAAgACAAIAAgACAAIAAgACAAIAAgACAAIAAgACAAXAAiAFkAXAAiACwAIABUAEUAWABUACgAQwB2AHQARABhAHQAZQAsACAAXAAiAFkAWQBZAFkAXAAiACkALAAgACAAIAAgACAAIAAgACAAIAAgACAAIAAgACAAIAAgACAAIAAgACAAIAAgACAAIAAgACAAIAAgAFwAbgAgACAAIAAgACAAIAAgACAAIAAgACAAIAAgACAAIAAgACAAIAAgACAAIAAgACAAIAAjAFYAYQBsAHUAZQAh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cwC7A1wAbgAgACAAIAAgAEQARQBTAEMAUgBJAFAAVABJAE8ATgA6ACoALwAvACoAKgBEAGUAdABlAHIAbQBpAG4AZQAgAHQAaABlACAAbgB1AG0AYgBlAHIAIABvAGYAIABwAGUAcgBpAG8AZABzACAAZgByAG8AbQAgAFMAdABhAHIAdABzACAAdABvACAARABhAHQAZQAyACAAaQBuACAARABhAHkAcwAsACAAVwBlAGUAawBzACwAIABNAG8AbgB0AGgAcwAsACAAUQB1AGEAcgB0AGUAcgBzACwAIABvAHIAIABZAGUAYQByAHMALgAqAC8AXABuAFAAZQByAGkAbwBkAHMAuwMgAD0AIABMAEEATQBCAEQAQQAoAFwAbgAvAC8AIAAgAFAAYQByAGEAbQBlAHQAZQByACAARABlAGMAbABhAHIAYQB0AGkAbwBuAHMAXABuACAAIAAgACAAWwBTAHQAYQByAHQAcwBdACwAXABuACAAIAAgACAAWwBFAG4AZABzAF0ALABcAG4AIAAgACAAIABbAEkAbgB0AGUAcgB2AGEAbA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zALsDKABTAHQAYQByAHQAcwAsACAARQBuAGQAcwAsACAAWwBJAG4AdABlAHIAdgBhAGwAcwBdACkAtgBcACIAIAAmAFwAbgAgACAAIAAgACAAIAAgACAAIAAgACAAIAAgACAAIAAgACAAIAAgACAAIAAgACAAIABcACIARABFAFMAQwBSAEkAUABUAEkATwBOADoAIAAgACAAkiFEAGUAdABlAHIAbQBpAG4AZQAgAHQAaABlACAAbgB1AG0AYgBlAHIAIABvAGYAIABwAGUAcgBpAG8AZABzACAAZgByAG8AbQAgAFMAdABhAHIAdABzACAAdABvACAARQBuAGQAcwAgAGkAbgBjAGwAdQBzAGkAdgBlAC4AtgBcACIAIAAmAFwAbgAgACAAIAAgACAAIAAgACAAIAAgACAAIAAgACAAIAAgACAAIAAgACAAIAAgACAAIAAgACAAIAAgACAAIAAgACAAIAAgACAAIAAgACAAIABcACIAkiFEAGkAZgBmAGUAcgBlAG4AYwBlAHMAIAB0AG8AIABFAHgAYwBlAGwAJwBzACAARABBAFQARQBEAEkARgAgAGEAcgBlADoAtgBcACIAIAAmACAAXABuACAAIAAgACAAIAAgACAAIAAgACAAIAAgACAAIAAgACAAIAAgACAAIAAgACAAIAAgACAAIAAgACAAIAAgACAAIAAgACAAIAAgACAAIAAgAFwAIgCSISoAIABJAG4AdABlAHIAdgBhAGwAIABpAG4AYwBsAHUAZABlAHMAIABXAGUAZQBrAHMAIAAmACAAUQB1AGEAcgB0AGUAcgBzALYAXAAiACAAJgAgAFwAbgAgACAAIAAgACAAIAAgACAAIAAgACAAIAAgACAAIAAgACAAIAAgACAAIAAgACAAIAAgACAAIAAgACAAIAAgACAAIAAgACAAIAAgACAAIABcACIAkiEqACAAQwBvAHUAbgB0AHMAIAB0AGgAZQAgAHAAZQByAGkAbwBkACAAcwB0AGEAcgB0AHMAIABjAHIAbwBzAHMAZQBkACwAIABzAG8AIABhACAAcABhAHIAdAAgAHAAZQByAGkAbwBkACAAYQB0ACAAdABoAGUAIABlAG4AZAAgAGMAbwB1AG4AdABzALYAXAAiACAAJgAgAFwAbgAgACAAIAAgACAAIAAgACAAIAAgACAAIAAgACAAIAAgACAAIAAgACAAIAAgACAAIAAgACAAIAAgACAAIAAgACAAIAAgACAAIAAgACAAIABcACIAkiEqACAAUgBlAHQAdQByAG4AcwAgAG4AZQBnAGEAdABpAHYAZQAgAHYAYQBsAHUAZQBzACAAaQBmACAAUwB0AGEAcgB0AHMAIABpAHMAIABhAGYAdABlAHIAIABFAG4AZABz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QQAgAHMAaQBuAGcAbABlACAAZABhAHQAZQAgAG8AcgAgAGEAbgAgAGEAcgByAGEAeQAgAG8AZgAgAGQAYQB0AGUAcwAuALYAXAAiACAAJgBcAG4AIAAgACAAIAAgACAAIAAgACAAIAAgACAAIAAgACAAIAAgACAAIAAgACAAIAAgACAAXAAiAEUAbgBkAHMAIAAgACAAIAAgACAAIAAgACAAIAAgAJIhKABSAGUAcQB1AGkAcgBlAGQAKQAgAFMAZQBjAG8AbgBkACAAZABhAHQAZQAgACgAbgBvAHIAbQBhAGwAbAB5ACAAbgBlAHcAZQByACkALgAgAEEAIABzAGkAbgBnAGwAZQAgAGQAYQB0AGUAIABvAHIAIABhAG4AIABhAHIAcgBhAHkAIAB0AGgAZQAgAHMAYQBtAGUAIABzAGgAYQBwAGUAIABhAHMAIABTAHQAYQByAHQAcwAuALYAXAAiACAAJgBcAG4AIAAgACAAIAAgACAAIAAgACAAIAAgACAAIAAgACAAIAAgACAAIAAgACAAIAAgACAAIAAgACAAIAAgACAAIAAgACAAIAAgACAAIAAgACAAXAAiAJIhQQAgAHMAaQBuAGcAbABlACAAUwB0AGEAcgB0AHMAIABvAHIAIABFAG4AZABzACAAaQBzACAAYQBwAHAAbABpAGUAZAAgAHQAbwAgAGUAdgBlAHIAeQAgAGQAYQB0AGUAIABpAG4AIAB0AGgAZQAgAG8AdABoAGUAcgAuALYAXAAiACAAJgBcAG4AIAAgACAAIAAgACAAIAAgACAAIAAgACAAIAAgACAAIAAgACAAIAAgACAAIAAgACAAXAAiAEkAbgB0AGUAcgB2AGEAbABzACAAIAAgACAAIAAgAJIhKABPAHAAdABpAG8AbgBhAGwAKQAgAEQAYQB5AHMALAAgAFcAZQBlAGsAcwAsACAATQBvAG4AdABoAHMAIAAoAGQAZQBmAGEAdQBsAHQAKQAsACAAUQB1AGEAcgB0AGUAcgBzACwAIABvAHIAIABZAGUAYQByAHMAIAAoAEQALAAgAFcALAAgAE0ALAAgAFEALAAgAFkAKQAuALYAXAAiACAAJgBcAG4AIAAgACAAIAAgACAAIAAgACAAIAAgACAAIAAgACAAIAAgACAAIAAgACAAIAAgACAAIAAgACAAIAAgACAAIAAgACAAIAAgACAAIAAgACAAXAAiAJIhTwBuAGUAIABjAG8AZABlACwAIABvAHIAIABhAG4AIABhAHIAcgBhAHkAIABvAGYAIABjAG8AZABlAHMAIAB0AGgAZQAgAHMAYQBtAGUAIABzAGgAYQBwAGUAIABhAHMAIAB0AGgAZQAgAGQAYQB0AGUAcwAu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yACAAIAAgACAAIAAgACAAIAAgACAAIAAgACAAIACSIT0AbwB6AC4AUABlAHIAaQBvAGQAcwC7AygAXAAiAFwAIgAzADEALwA3AC8AMgAwADIANgBcACIAXAAiACwAIABcACIAXAAiADEANQAvADkALwAyADAAMgA2AFwAIgBcACIAKQC2AFwAIgAgACYAXABuACAAIAAgACAAIAAgACAAIAAgACAAIAAgACAAIAAgACAAIAAgACAAIAAgACAAIAAgAFwAIgAtADIAIAAgACAAIAAgACAAIAAgACAAIAAgACAAIACSIT0AbwB6AC4AUABlAHIAaQBvAGQAcwC7AygAXAAiAFwAIgAxADUALwA5AC8AMgAwADIANgBcACIAXAAiACwAIABcACIAXAAiADMAMQAvADcALwAyADAAMgA2AFwAIgBcACIAKQC2AFwAIgAgACYAXABuACAAIAAgACAAIAAgACAAIAAgACAAIAAgACAAIAAgACAAIAAgACAAIAAgACAAIAAgAFwAIgAtADEAMgAgACAAIAAgACAAIAAgACAAIAAgACAAIACSIT0AbwB6AC4AUABlAHIAaQBvAGQAcwC7AygAXAAiAFwAIgAxADUALwA3AC8AMgAwADIANwBcACIAXAAiACwAIABcACIAXAAiADEANgAvADcALwAyADAAMgA2AFwAIgBcACIAKQC2AFwAIgAgACYAXABuACAAIAAgACAAIAAgACAAIAAgACAAIAAgACAAIAAgACAAIAAgACAAIAAgACAAIAAgAFwAIgAtADUAMgAgACAAIAAgACAAIAAgACAAIAAgACAAIACSIT0AbwB6AC4AUABlAHIAaQBvAGQAcwC7AygAXAAiAFwAIgAxADUALwA3AC8AMgAwADIANwBcACIAXAAiACwAIABcACIAXAAiADEANgAvADcALwAyADAAMgA2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IAAgACAAIABXAFAAWQAsACAANQAzACwAIAAgACAAIAAvAC8AVwBlAGUAawAgAGwAYQBiAGUAbABzACAAUABlAHIAIABZAGUAYQByADoAIAB0AGgAZQAgAGwAYQBzAHQAIABvAG4AZQAgAHIAdQBuAHMAIAAxACAAbwByACAAMgAgAGQAYQB5AHMAXABuACAAIAAgACAAIAAgACAAIABRAFAAWQAsACAANAAsACAAIAAgACAAIAAvAC8AUQB1AGEAcgB0AGUAcgBzACAAUABlAHIAIABZAGUAYQByAFwAbgAgACAAIAAgAC8ALwAgACAAUAByAG8AYwBlAGQAdQByAGUAIAAtACAAZQB2AGUAcgB5ACAAcwB0AGUAcAAgAGwAaQBmAHQAcwAgAG8AdgBlAHIAIABhAHIAcgBhAHkAcwAsACAAcwBvACAAYQAgAHMAaQBuAGcAbABlACAAZABhAHQAZQAgAG8AcgAgAGMAbwBkAGUAIABhAHAAcABsAGkAZQBzACAAdABvACAAYQBsAGwAXABuACAAIAAgACAAIAAgACAAIABFAGEAcgBsAGkAZQBzAHQALAAgACAAIABJAEYAKAAgAEMAdgB0AFMAdABhAHIAdABzACAAPAA9ACAAQwB2AHQARQBuAGQAcwAsACAAQwB2AHQAUwB0AGEAcgB0AHMALAAgAEMAdgB0AEUAbgBkAHMAKQAsAFwAbgAgACAAIAAgACAAIAAgACAATABhAHQAZQBzAHQALAAgACAAIAAgACAASQBGACgAIABDAHYAdABTAHQAYQByAHQAcwAgADwAPQAgAEMAdgB0AEUAbgBkAHMALAAgAEMAdgB0AEUAbgBkAHMALAAgAEMAdgB0AFMAdABhAHIAdABzACkALABcAG4AIAAgACAAIAAgACAAIAAgAFMAaQBnAG4ALAAgACAAIAAgACAAIAAgAFMASQBHAE4AKAAgAEMAdgB0AEUAbgBkAHMAIAAtACAAQwB2AHQAUwB0AGEAcgB0AHMAKQAsAFwAbgAgACAAIAAgACAAIAAgACAAWQBlAGEAcgBzACwAIAAgACAAIAAgACAAWQBFAEEAUgAoACAATABhAHQAZQBzAHQAKQAgAC0AIABZAEUAQQBSACgAIABFAGEAcgBsAGkAZQBzAHQAKQAsAFwAbgAgACAAIAAgACAAIAAgACAAUABlAHIAaQBvAGQAcwAsACAAIAAgACAAKAAgAEkAbgB0AGUAcgB2AGEAbABzACAAPQAgAFwAIgBEAFwAIgApACAAKgAgACgAIABMAGEAdABlAHMAdAAgAC0AIABFAGEAcgBsAGkAZQBzAHQAKQBcAG4AIAAgACAAIAAgACAAIAAgACAAIAAgACAAIAAgACAAIAAgACAAKwAgACgAIABJAG4AdABlAHIAdgBhAGwAcwAgAD0AIABcACIAVwBcACIAKQAgACoAIAAoACAAVwBQAFkAIAAqACAAWQBlAGEAcgBzAFwAbgAgACAAIAAgACAAIAAgACAAIAAgACAAIAAgACAAIAAgACAAIAAgACAAIAAgACAAIAAgACAAIAAgACAAIAAgACAAIAAgACAAIAAgACAAIAAgACAAIAAgACsAIABRAFUATwBUAEkARQBOAFQAKAAgAEwAYQB0AGUAcwB0ACAAIAAgAC0AIABEAEEAVABFACgAIABZAEUAQQBSACgAIABMAGEAdABlAHMAdAApACwAIAAgACAAMQAsACAAMAApACAALQAgADEALAAgAEQAUABXACkAXABuACAAIAAgACAAIAAgACAAIAAgACAAIAAgACAAIAAgACAAIAAgACAAIAAgACAAIAAgACAAIAAgACAAIAAgACAAIAAgACAAIAAgACAAIAAgACAAIAAgACAALQAgAFEAVQBPAFQASQBFAE4AVAAoACAARQBhAHIAbABpAGUAcwB0ACAALQAgAEQAQQBUAEUAKAAgAFkARQBBAFIAKAAgAEUAYQByAGwAaQBlAHMAdAApACwAIAAxACwAIAAwACkAIAAtACAAMQAsACAARABQAFcAKQApAFwAbgAgACAAIAAgACAAIAAgACAAIAAgACAAIAAgACAAIAAgACAAIAArACAAKAAgAEkAbgB0AGUAcgB2AGEAbABzACAAPQAgAFwAIgBNAFwAIgApACAAKgAgACgAIABNAFAAWQAgACoAIABZAGUAYQByAHMAIAArACAATQBPAE4AVABIACgAIABMAGEAdABlAHMAdAApACAALQAgAE0ATwBOAFQASAAoACAARQBhAHIAbABpAGUAcwB0ACkAKQBcAG4AIAAgACAAIAAgACAAIAAgACAAIAAgACAAIAAgACAAIAAgACAAKwAgACgAIABJAG4AdABlAHIAdgBhAGwAcwAgAD0AIABcACIAUQBcACIAKQAgACoAIAAoACAAUQBQAFkAIAAqACAAWQBlAGEAcgBzAFwAbgAgACAAIAAgACAAIAAgACAAIAAgACAAIAAgACAAIAAgACAAIAAgACAAIAAgACAAIAAgACAAIAAgACAAIAAgACAAIAAgACAAIAAgACAAIAAgACAAIAAgACsAIABRAFUATwBUAEkARQBOAFQAKAAgAE0ATwBOAFQASAAoACAATABhAHQAZQBzAHQAKQAgACAAIAAtACAAMQAsACAATQBQAFEAKQBcAG4AIAAgACAAIAAgACAAIAAgACAAIAAgACAAIAAgACAAIAAgACAAIAAgACAAIAAgACAAIAAgACAAIAAgACAAIAAgACAAIAAgACAAIAAgACAAIAAgACAAIAAtACAAUQBVAE8AVABJAEUATgBUACgAIABNAE8ATgBUAEgAKAAgAEUAYQByAGwAaQBlAHMAdAApACAALQAgADEALAAgAE0AUABRACkAKQBcAG4AIAAgACAAIAAgACAAIAAgACAAIAAgACAAIAAgACAAIAAgACAAKwAgACgAIABJAG4AdABlAHIAdgBhAGwAcwAgAD0AIABcACIAWQBcACIAKQAgACoAIABZAGUAYQByAHMALABcAG4AIAAgACAAIAAvAC8AIAAgAEEAbgAgAHUAbgBrAG4AbwB3AG4AIABpAG4AdABlAHIAdgBhAGwAIABjAG8AZABlACAAaQBzACAAYQBuACAAZQByAHIAbwByACwAIABuAG8AdAAgAGEAIABuAG8AdQBnAGgAdABcAG4AIAAgACAAIAAgACAAIAAgAEsAbgBvAHcAbgAsACAAIAAgACAAIAAgAEkARgAoACAASQBTAE4AVQBNAEIARQBSACgAIABYAE0AQQBUAEMASAAoACAASQBuAHQAZQByAHYAYQBsAHMALAAgAHsAXAAiAEQAXAAiACwAXAAiAFcAXAAiACwAXAAiAE0AXAAiACwAXAAiAFEAXAAiACwAXAAiAFkAXAAiAH0ALAAgADAAKQApACwAIAAxACwAIAAjAE4ALwBBACkALABcAG4AIAAgACAAIAAgACAAIAAgAFIAZQBzAHUAbAB0ACwAIAAgACAAIAAgAFMAaQBnAG4AIAAqACAAUABlAHIAaQBvAGQAcwAgACoAIABLAG4AbwB3AG4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IAYQB0AGUAcwC7A1wAbgAgACAAIAAgAEQARQBTAEMAUgBJAFAAVABJAE8ATgA6ACoALwAvACoAKgBTAGMAaABlAGQAdQBsAGUAIAByAGEAdABlAHMAIAB0AGgAYQB0ACAAcABlAHIAcwBpAHMAdAAgAHUAbgB0AGkAbAAgAHIAZQBwAGwAYQBjAGUAZAAgAGkAbgAgAGEAIAB0AGkAbQBlAGwAaQBuAGUALgAgACoALwBcAG4AUwBjAGgAZQBkAHUAbABlAFIAYQB0AGUAcwC7AyAAPQAgAEwAQQBNAEIARABBACgAXABuAC8ALwAgACAAUABhAHIAYQBtAGUAdABlAHIAIABEAGUAYwBsAGEAcgBhAHQAaQBvAG4AcwBcAG4AIAAgACAAIABbAFAAZQByAGkAbwBkAEUAbgBkAHMAXQAsAFwAbgAgACAAIAAgAFsAUgBhAHQAZQBTAHQAYQByAHQAcwBdACwAXABuACAAIAAgACAAWwBSAGEAdABlAHM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UwBjAGgAZQBkAHUAbABlAFIAYQB0AGUAcwC7AygAUABlAHIAaQBvAGQARQBuAGQAcwAsACAAUgBhAHQAZQBTAHQAYQByAHQAcwAsACAAUgBhAHQAZQBzACkAtgBcACIAIAAmAFwAbgAgACAAIAAgACAAIAAgACAAIAAgACAAIAAgACAAIAAgACAAIAAgACAAIAAgACAAIABcACIARABFAFMAQwBSAEkAUABUAEkATwBOADoAIAAgACAAkiFTAGMAaABlAGQAdQBsAGUAcwAgAHIAYQB0AGUAcwAgAHQAaABhAHQAIABwAGUAcgBzAGkAcwB0ACAAdQBuAHQAaQBsACAAcgBlAHAAbABhAGMAZQBkACAAaQBuACAAYQAgAHQAaQBtAGUAbABpAG4AZQAgAGYAcgBvAG0AIABhACAAcwBjAGgAZQBkAHUAbABlACAAaQBuACAAYQAgAHQAYQBiAGwAZQAuALYAXAAiACAAJgAgAFwAbgAgACAAIAAgACAAIAAgACAAIAAgACAAIAAgACAAIAAgACAAIAAgACAAIAAgACAAIABcACIATgBPAFQARQAhACAAIAAgACAAIAAgACAAIAAgACAAkiFJAGYAIAAyACAAcgBhAHQAZQBzACAAYQByAGUAIABzAGMAaABlAGQAdQBsAGUAZAAgAHcAaQB0AGgAaQBuACAAdABoAGUAIABzAGEAbQBlACAAcABlAHIAaQBvAGQALAAgAG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FIAYQB0AGUAUwB0AGEAcgB0AHMAIAAgACAAIAAgAJIhKABSAGUAcQB1AGkAcgBlAGQAKQAgAEEAIABjAG8AbAB1AG0AbgAgAG8AcgAgAHIAbwB3ACAAbwBmACAAcgBhAHQAZQAgAGUAZgBmAGUAYwB0AGkAdgBlACAAZABhAHQAZQBzACAAaQBuACAAYQBuAHkAIABvAHIAZABlAHIALgC2AFwAIgAgACYAIABcAG4AIAAgACAAIAAgACAAIAAgACAAIAAgACAAIAAgACAAIAAgACAAIAAgACAAIAAgACAAXAAiAFIAYQB0AGUAcwAgACAAIAAgACAAIAAgACAAIAAgAJIhKABSAGUAcQB1AGkAcgBlAGQAKQAgAEEAIABjAG8AbAB1AG0AbgAgAG8AcgAgAHIAbwB3ACAAbwBmACAAcgBhAHQAZQBzACAAYQBzAHMAbwBjAGkAYQB0AGUAZAAgAHcAaQB0AGgAIABSAGEAdABlAFMAdABhAHIAdABz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XwAsADEAMAAsADIAMAAsADMAMAAsADMAMAAgACAAkiE9AG8AegAuAFMAYwBoAGUAZAB1AGwAZQBSAGEAdABlAHMAuwMoAFQAaQBtAGUAbABpAG4AZQC7AygAXAAiAFwAIgAxAC8ANwAvADIAMAAyADYAXAAiAFwAIgAsADUALABcACIAXAAiAFcAXAAiAFwAIgApACwAewA0ADYAMgAwADgAOwAgADQANgAyADEANgA7ACAANAA2ADIAMgAyAH0ALAAgAHsAMQAwADsAIAAyADAAOwAgADMAMAB9ACkAXAAiACwAIABcAG4AIAAgACAAIAAgACAAIAAgACAAIAAgACAAIAAgACAAIAAgACAAIAAgACAAIAAgACAAXAAiAJIhXAAiACwAIABcACIAtgBcACIAXABuACAAIAAgACAAIAAgACAAIAAgACAAIAAgACAAIAAgACAAIAAgACAAIAAgACAAIAAgACkAXABuACAAIAAgACAAIAAgACAAIAAgACAAIAAgACAAIAAgACAAIAAgACAAIAApACwAIAAgACAAXABuACAAIAAgACAALwAvACAAIABDAGgAZQBjAGsAIABpAG4AcAB1AHQAcwAgAC0AIABPAG0AaQB0AHQAZQBkACAAcgBlAHEAdQBpAHIAZQBkACAAYQByAGcAdQBtAGUAbgB0AHMAXABuACAAIAAgACAAIAAgACAAIABzACwAIAAgACAAIAAgACAAIAAgACAAIAAgACAAIAAgADEALABcAG4AIAAgACAAIAAgACAAIAAgAEgAZQBsAHAAPwAsACAAIAAgACAAIAAgACAAIAAgACAATwBSACgAIABJAFMATwBNAEkAVABUAEUARAAoACAAUABlAHIAaQBvAGQARQBuAGQAcwApACwAXABuACAAIAAgACAAIAAgACAAIAAgACAAIAAgACAAIAAgACAAIAAgACAAIAAgACAAIAAgACAAIAAgACAASQBTAE8ATQBJAFQAVABFAEQAKAAgAFIAYQB0AGUAUwB0AGEAcgB0AHMAKQAsAFwAbgAgACAAIAAgACAAIAAgACAAIAAgACAAIAAgACAAIAAgACAAIAAgACAAIAAgACAAIAAgACAAIAAgAEkAUwBPAE0ASQBUAFQARQBEACgAIABS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FAG4AZABzACwAIAAgACA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TAHQAYQByAHQAcwAsACAAIAAgACAAIAAgAEkARgAoACAASQBTAE8ATQBJAFQAVABFAEQAKAAgAFIAYQB0AGUAUwB0AGEAcgB0AHMAKQAsACAAXABuACAAIAAgACAAIAAgACAAIAAgACAAIAAgACAAIAAgACAAIAAgACAAIAAgACAAIAAgACAAIAAgACAARgBBAEwAUwBFACwAIABcAG4AIAAgACAAIAAgACAAIAAgACAAIAAgACAAIAAgACAAIAAgACAAIAAgACAAIAAgACAAIAAgACAAIABJAEYAKAAgAEkAUwBOAFUATQBCAEUAUgAoACAAUgBhAHQAZQBTAHQAYQByAHQAcwApACwAIABSAGEAdABlAFMAdABhAHIAdABzACwAIABEAEEAVABFAFYAQQBMAFUARQAoACAAUgBhAHQAZQBTAHQAYQByAHQAcwApACkAXABuACAAIAAgACAAIAAgACAAIAAgACAAIAAgACAAIAAgACAAIAAgACAAIAAgACAAIAAgACkALABcAG4AIAAgACAAIAAvAC8AIAAgAFAAcgBvAGMAZQBkAHUAcgBlAFwAbgAgACAAIAAgACAAIAAgACAAUgBlAHMAdQBsAHQALAAgACAAIAAgACAAIAAgACAAIABYAEwATwBPAEsAVQBQACgAQwB2AHQARQBuAGQAcwAsACAAQwB2AHQAUwB0AGEAcgB0AHMALAAgAFIAYQB0AGUAcwAsACAAXAAiAFwAIgAsACAALQAx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EkAdABlAG0ARgBpAGwAdABlAHIAIAAgACAAIAAgAJIhKABSAGUAcQB1AGkAcgBlAGQAKQAgAEEAIABjAG8AbAB1AG0AbgAgAG8AZgAgADEAIABvAHIAIABtAG8AcgBlACAAaQB0AGUAbQBzACAAdABvACAAZgBpAGwAdABlAHIAIABhACAAcgBhAHQAZQAgAHMAYwBoAGUAZAB1AGwAZQAgAGIAeQAuACAAtgBcACIAIAAmAFwAbgAgACAAIAAgACAAIAAgACAAIAAgACAAIAAgACAAIAAgACAAIAAgACAAIAAgACAAIABcACIAIAAgACAAIAAgACAAIAAgACAAIAAgACAAIAAgACAAkiFBACAAJwByAGEAdABlACAAcwBjAGgAZQBkAHUAbABlACcAIABpAHMAIABhACAAdABhAGIAbABlAC8AbABpAHMAdAAgAHcAaABlAHIAZQAgAGUAYQBjAGgAIAByAG8AdwAgAGMAbwBuAHQAYQBpAG4AcwAgAGEAIAB1AG4AaQBxAHUAZQAgAGkAdABlAG0ALwBlAGYAZgBlAGMAdABpAHYAZQAgAGQAYQB0AGUAIABwAGEAaQByACAAdwBpAHQAaAAgAGEAIAByAGEAdABlAC4AtgBcACIAIAAmAFwAbgAgACAAIAAgACAAIAAgACAAIAAgACAAIAAgACAAIAAgACAAIAAgACAAIAAgACAAIAAgACAAIAAgACAAIAAgACAAIAAgACAAIAAgACAAIABcACIAkiFBAG4AIABpAHQAZQBtACAAdwBpAHQAaAAgAG4AbwAgAHIAYQB0AGUAIABpAG4AIAB0AGgAZQAgAHMAYwBoAGUAZAB1AGwAZQAgAHMAYwBvAHIAZQBzACAAbgBvAHUAZwBoAHQAIABpAG4AIABlAHYAZQByAHkAIABwAGUAcgBpAG8AZAAuALYAXAAiACAAJgBcAG4AIAAgACAAIAAgACAAIAAgACAAIAAgACAAIAAgACAAIAAgACAAIAAgACAAIAAgACAAXAAiAEkAdABlAG0ATABpAHMAdAAgACAAIAAgACAAIAAgAJIhKABSAGUAcQB1AGkAcgBlAGQAKQAgAEkAdABlAG0AcwAgAGkAbgAgAGEAIAByAGEAdABlACAAcwBjAGgAZQBkAHUAbABlAC4AtgBcACIAIAAmACAAXABuACAAIAAgACAAIAAgACAAIAAgACAAIAAgACAAIAAgACAAIAAgACAAIAAgACAAIAAgAFwAIgBFAGYAZgBlAGMAdABpAHYAZQBMAGkAcwB0ACAAIACSISgAUgBlAHEAdQBpAHIAZQBkACkAIABFAGYAZgBlAGMAdABpAHYAZQAgAGQAYQB0AGUAcwAgAGkAbgAgAHQAaABlACAAcgBhAHQAZQAgAHMAYwBoAGUAZAB1AGwAZQAuALYAXAAiACAAJgAgAFwAbgAgACAAIAAgACAAIAAgACAAIAAgACAAIAAgACAAIAAgACAAIAAgACAAIAAgACAAIABcACIAUgBhAHQAZQBMAGkAcwB0ACAAIAAgACAAIAAgACAAkiEoAFIAZQBxAHUAaQByAGUAZAApACAAUgBhAHQAZQBzACAAaQBuACAAYQAgAHIAYQB0AGUAIABzAGMAaABlAGQAdQBsAGUAIABmAG8AcgAgAGUAYQBjAGgAIABpAHQAZQBtAC8AZQBmAGYAZQBjAHQAaQB2AGUAIABkAGEAdABlACAAcABhAGkAcg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TAGMAaABlAGQAdQBsAGUAUgBhAHQAZQBzAEIAeQBJAHQAZQBtAHMAuwMoACAAbwB6AC4AVABpAG0AZQBsAGkAbgBlALsDKAAgAFwAIgBcACIAMQAvADcALwAyADAAMgA2AFwAIgBcACIAKQAsACAAVQBOAEkAUQBVAEUAKAAgAHQAYgBsAFIAYQB0AGUAcwBbAFUAbgBpAHQAXQApACwAtgBcACIAIAAmAFwAbgAgACAAIAAgACAAIAAgACAAIAAgACAAIAAgACAAIAAgACAAIAAgACAAIAAgACAAIAAgACAAIAAgACAAIAAgACAAIAAgACAAIAAgACAAIABcACIAkiF0AGIAbABSAGEAdABlAHMAWwBVAG4AaQB0AF0ALAAgAHQAYgBsAFIAYQB0AGUAcwBbAEUAZgBmAGUAYwB0AGkAdgBlAF0ALAAgAHQAYgBsAFIAYQB0AGUAcwBbAFIAZQBuAHQAXQApAFwAIgAsACAAXABuACAAIAAgACAAIAAgACAAIAAgACAAIAAgACAAIAAgACAAIAAgACAAIAAgACAAIAAgAFwAIgCSIVwAIgAsACAAXAAiALYAXAAiAFwAbgAgACAAIAAgACAAIAAgACAAIAAgACAAIAAgACAAIAAgACAAIAAgACAAIAAgACAAIAAgACAAIAAgACkAXABuACAAIAAgACAAIAAgACAAIAAgACAAIAAgACAAIAAgACAAIAAgACAAIAAgACAAIAAgACkALABcAG4AIAAgACAAIAAgACAAIAAgACAAIAAgACAAIAAgACAAIAAgACAAIAAgAFwAbgAgACAAIAAgAC8ALwAgACAAQwBoAGUAYwBrACAAaQBuAHAAdQB0AHMAIAAtACAATwBtAGkAdAB0AGUAZAAgAHIAZQBxAHUAaQByAGUAZAAgAGEAcgBnAHUAbQBlAG4AdABzAFwAbgAgACAAIAAgACAAIAAgACAASABlAGwAcAA/ACwAIAAgACAAIAAgACAAIAAgACAAIABPAFIAK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UgBhAHQ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FwAbgAgACAAIAAgAC8ALwAgACAAUAByAG8AYwBlAGQAdQByAGUAIAAtACAAbwBuAGUAIAByAG8AdwAgAHAAZQByACAAaQB0AGUAbQAsACAAZQBhAGMAaAAgAHQAaABlACAAbABhAHQAZQBzAHQAIAByAGEAdABlACAAaQBuACAAZgBvAHIAYwBlACAAYQB0ACAAZQB2AGUAcgB5ACAAcABlAHIAaQBvAGQAIABlAG4AZAAuAFwAbgAgACAAIAAgAC8ALwAgACAAQQBuACAAaQB0AGUAbQAgAHcAaQB0AGgAIABuAG8AIAByAG8AdwBzACAAaQBuACAAdABoAGUAIABzAGMAaABlAGQAdQBsAGUAIABrAGUAZQBwAHMAIABhACAAcABsAGEAYwBlAGgAbwBsAGQAZQByACAAZABhAHQAZQAgAG4AbwAgAHAAZQByAGkAbwBkACAAYwBhAG4AIAByAGUAYQBjAGgALABcAG4AIAAgACAAIAAvAC8AIAAgAHMAbwAgAGkAdAAgAHMAYwBvAHIAZQBzACAAbgBvAHUAZwBoAHQAIAByAGEAdABoAGUAcgAgAHQAaABhAG4AIAAjAEMAQQBMAEMAIQAuAFwAbgAgACAAIAAgACAAIAAgACAASQB0AGUAbQBzACwAIAAgACAAIAAgACAAIAAgACAAIABUAE8AQwBPAEwAKAAgAEkAdABlAG0ARgBpAGwAdABlAHIAKQAsAFwAbgAgACAAIAAgACAAIAAgACAAUgBlAHMAdQBsAHQALAAgACAAIAAgACAAIAAgACAAIABEAFIATwBQACgAIABcAG4AIAAgACAAIAAgACAAIAAgACAAIAAgACAAIAAgACAAIAAgACAAIAAgACAAIAAgACAAIAAgACAAIABSAEUARABVAEMARQAoACAAMAAsACAAUwBFAFEAVQBFAE4AQwBFACgAIABSAE8AVwBTACgAIABJAHQAZQBtAHMAKQApACwAXABuACAAIAAgACAAIAAgACAAIAAgACAAIAAgACAAIAAgACAAIAAgACAAIAAgACAAIAAgACAAIAAgACAAIAAgACAAIABMAEEATQBCAEQAQQAoACAAQQBjAGMALAAgAFIAbwB3ACwAXABuACAAIAAgACAAIAAgACAAIAAgACAAIAAgACAAIAAgACAAIAAgACAAIAAgACAAIAAgACAAIAAgACAAIAAgACAAIAAgACAAIAAgAEwARQBUACgASQB0AGUAbQAsACAAIAAgACAAIAAgACAASQBOAEQARQBYACgAIABJAHQAZQBtAHMALAAgAFIAbwB3ACkALABcAG4AIAAgACAAIAAgACAAIAAgACAAIAAgACAAIAAgACAAIAAgACAAIAAgACAAIAAgACAAIAAgACAAIAAgACAAIAAgACAAIAAgACAAIAAgACAAIABJAHQAZQBtAEQAYQB0AGUAcwAsACAAIABGAEkATABUAEUAUgAoACAAQwB2AHQARQBmAGYARABhAHQAZQBzACwAIABJAHQAZQBtAEwAaQBzAHQAIAA9ACAASQB0AGUAbQAsACAALQAxACkALAAgAFwAbgAgACAAIAAgACAAIAAgACAAIAAgACAAIAAgACAAIAAgACAAIAAgACAAIAAgACAAIAAgACAAIAAgACAAIAAgACAAIAAgACAAIAAgACAAIAAgAEkAdABlAG0AUgBhAHQAZQBzACwAIAAgAEYASQBMAFQARQBSACgAIABSAGEAdABlAEwAaQBzAHQALAAgAEkAdABlAG0ATABpAHMAdAAgAD0AIABJAHQAZQBtACwAIAAwACkALAAgAFwAbgAgACAAIAAgACAAIAAgACAAIAAgACAAIAAgACAAIAAgACAAIAAgACAAIAAgACAAIAAgACAAIAAgACAAIAAgACAAIAAgACAAIAAgACAAIAAgAFYAUwBUAEEAQwBLACgAIABBAGMAYwAsACAAWABMAE8ATwBLAFUAUAAoACAAQwB2AHQAUAByAGQARQBuAGQAcwAsACAASQB0AGUAbQBEAGEAdABlAHMALAAgAEkAdABlAG0AUgBhAHQAZQBzACwAIAAwACwAIAAtADEALAAgAC0AMQApACk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LABcAG4AIAAgACAAIAAgACAAIAAgACAAIAAgACAAIAAgACAAIAAgACAAIAAgACAAIAAgACAAIAAgACAAIAAx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C7A1wAbgAgACAAIAAgAEQARQBTAEMAUgBJAFAAVABJAE8ATgA6ACoALwAvACoAKgBTAGMAaABlAGQAdQBsAGUAcwAgAHYAYQBsAHUAZQBzACAAaQBuACAAYQAgAHQAaQBtAGUAbABpAG4AZQAgAGYAcgBvAG0AIABhACAAcwBjAGgAZQBkAHUAbABlACAAaQBuACAAYQAgAHQAYQBiAGwAZQAuACAAKgAvAFwAbgBTAGMAaABlAGQAdQBsAGUAVgBhAGwAdQBlAHMAuwMgAD0AIABMAEEATQBCAEQAQQAoAFwAbgAvAC8AIAAgAFAAYQByAGEAbQBlAHQAZQByACAARABlAGMAbABhAHIAYQB0AGkAbwBuAHMAXABuACAAIAAgACAAWwBQAGUAcgBpAG8AZABTAHQAYQByAHQAcwBdACwAXABuACAAIAAgACAAWwBQAGUAcgBpAG8AZABFAG4AZABzAF0ALABcAG4AIAAgACAAIABbAFYAYQBsAHUAZQBzAF0ALABcAG4AIAAgACAAIABbAEUAZgBmAGUAYwB0AGkAdgBlAEQAYQB0AGU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LsDKABQAGUAcgBpAG8AZABTAHQAYQByAHQAcwAsACAAUABlAHIAaQBvAGQARQBuAGQAcwAsACAAVgBhAGwAdQBlAHMALAAgAEUAZgBmAGUAYwB0AGkAdgBlAEQAYQB0AGUAcwApALYAXAAiACAAJgBcAG4AIAAgACAAIAAgACAAIAAgACAAIAAgACAAIAAgACAAIAAgACAAIAAgACAAIAAgACAAXAAiAEQARQBTAEMAUgBJAFAAVABJAE8ATgA6ACAAIAAgAJIhUABsAGEAYwBlACAAdgBhAGwAdQBlAHMAIABmAHIAbwBtACAAYQAgAHQAYQBiAGwAZQAgAGkAbgB0AG8AIABhACAAdABpAG0AZQBsAGkAbgBlACcAcwAgAGEAcABwAHIAbwBwAHIAaQBhAHQAZQAgAHAAZQByAGkAbwBkAC4AtgBcACIAIAAmACAAXABuACAAIAAgACAAIAAgACAAIAAgACAAIAAgACAAIAAgACAAIAAgACAAIAAgACAAIAAgAFwAIgBXAEUAQgBTAEkAVABFADoAIAAgACAAIAAgACAAIACSIWgAdAB0AHAAcwA6AC8ALwBnAGkAdABoAHUAYgAuAGMAbwBtAC8AcgB5AGEAbgBkAHUAZwB1AGkAZAAvAE8AegB6AGkAdAAgALYAXAAiACAAJg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cgBvAHcAIABvAGYAIABwAGUAcgBpAG8AZAAgAHMAdABhAHIAdAAgAGQAYQB0AGUAcwAgACgAdABpAG0AZQBsAGkAbgBlACkALgC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WAGEAbAB1AGUAcwAgACAAIAAgACAAIAAgACAAIACSISgAUgBlAHEAdQBpAHIAZQBkACkAIABBACAAYwBvAGwAdQBtAG4AIABvAHIAIAByAG8AdwAgAG8AZgAgAHYAYQBsAHUAZQBzACAAdABvACAAYgBlACAAcwBjAGgAZQBkAHUAbABlAGQALgC2AFwAIgAgACYAIABcAG4AIAAgACAAIAAgACAAIAAgACAAIAAgACAAIAAgACAAIAAgACAAIAAgACAAIAAgACAAXAAiAEUAZgBmAGUAYwB0AGkAdgBlAEQAYQB0AGUAcwAgAJIhKABSAGUAcQB1AGkAcgBlAGQAKQAgAFcAaABlAG4AIABlAGEAYwBoACAAdgBhAGwAdQBlACAAaQBzACAAcwBjAGgAZQBkAHUAbABlAGQALAAgAGkAbgAgAHQAaABlACAAcwBhAG0AZQAgAG8AcgBpAGUAbgB0AGEAdABpAG8AbgAgAGEAcwAgAFYAYQBsAHUAZQBzAC4AtgBcACIAIAAmACAAIAAgACAAIAAgACAAIAAgACAAIAAgACAAIAAgACAAIAAgACAAXABuACAAIAAgACAAIAAgACAAIAAgACAAIAAgACAAIAAgACAAIAAgACAAIAAgACAAIAAgAFwAIgBFAFgAQQBNAFAATABFAFMAOg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TAGMAaABlAGQAdQBsAGUAVgBhAGwAdQBlAHMAuwMoAFQAaQBtAGUAbABpAG4AZQC7AygAXAAiAFwAIgAxAC8ANwAvADIAMAAyADYAXAAiAFwAIgApACwAIABUAGkAbQBlAGwAaQBuAGUAuwMoAFwAIgBcACIAMQAvADcALwAyADAAMgA2AFwAIgBcACIALAAsACwARgBBAEwAUwBFACkALAAgAHsAMQA7ADMAfQAsACAAewBcACIAXAAiADEALwA3AC8AMgAwADIANgBcACIAXAAiADsAIABcACIAXAAiADEANQAvADgALwAyADAAMgA2AFwAIgBcACIAf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XABuACAAIAAgACAAIAAgACAAIAAgACAAIAAgACAAIAAgACAAIAAgACAAIAAgACAAIAAgACAAIAAgACAASQBTAE8ATQBJAFQAVABFAEQAKAAgAFYAYQBsAHUAZQBzACkALAAgAFwAbgAgACAAIAAgACAAIAAgACAAIAAgACAAIAAgACAAIAAgACAAIAAgACAAIAAgACAAIAAgACAAIAAgAEkAUwBPAE0ASQBUAFQARQBEACgAIABFAGYAZgBlAGMAdABpAHYAZQBE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EAGEAdABlAHMAKQAsACAAXABuACAAIAAgACAAIAAgACAAIAAgACAAIAAgACAAIAAgACAAIAAgACAAIAAgACAAIAAgACAAIAAgACAARgBBAEwAUwBFACwAXABuACAAIAAgACAAIAAgACAAIAAgACAAIAAgACAAIAAgACAAIAAgACAAIAAgACAAIAAgACAAIAAgACAASQBGACgAIABJAFMATgBVAE0AQgBFAFIAKAAgAEUAZgBmAGUAYwB0AGkAdgBlAEQAYQB0AGUAcwApACwAIABFAGYAZgBlAGMAdABpAHYAZQBEAGEAdABlAHMALAAgAEQAQQBUAEUAVgBBAEwAVQBFACgAIABFAGYAZgBlAGMAdABpAHYAZQBEAGEAdABlAHMAKQApAFwAbgAgACAAIAAgACAAIAAgACAAIAAgACAAIAAgACAAIAAgACAAIAAgACAAIAAgACAAIAApACwAXABuACAAIAAgACAALwAvACAAIABQAHIAbwBjAGUAZAB1AHIAZQBcAG4AIAAgACAAIAAgACAAIAAgAFIAZQBzAHUAbAB0ACwAIAAgACAAIAAgACAAIAAgACAAQgBZAEMATwBMACgAXABuACAAIAAgACAAIAAgACAAIAAgACAAIAAgACAAIAAgACAAIAAgACAAIAAgACAAIAAgACAAIAAgACAAUwBFAFEAVQBFAE4AQwBFACgALAAgAEMATwBMAFUATQBOAFMAKABDAHYAdABQAHIAZABTAHQAYQByAHQAcwApACkALAAgAFwAbgAgACAAIAAgACAAIAAgACAAIAAgACAAIAAgACAAIAAgACAAIAAgACAAIAAgACAAIAAgACAAIAAgAEwAQQBNAEIARABBACgAUABlAHIAaQBvAGQALAAgAFwAbgAgACAAIAAgACAAIAAgACAAIAAgACAAIAAgACAAIAAgACAAIAAgACAAIAAgACAAIAAgACAAIAAgACAAIAAgACAATABFAFQAKABTAHQAYQByAHQARABhAHQAZQAsACAAIABJAE4ARABFAFgAKABDAHYAdABQAHIAZABTAHQAYQByAHQAcwAsACAAUABlAHIAaQBvAGQAKQAsACAAXABuACAAIAAgACAAIAAgACAAIAAgACAAIAAgACAAIAAgACAAIAAgACAAIAAgACAAIAAgACAAIAAgACAAIAAgACAAIAAgACAAIAAgAEUAbgBkAEQAYQB0AGUALAAgACAAIAAgAEkATgBEAEUAWAAoAEMAdgB0AFAAcgBkAEUAbgBkAHMALAAgAFAAZQByAGkAbwBkACkALABcAG4AIAAgACAAIAAgACAAIAAgACAAIAAgACAAIAAgACAAIAAgACAAIAAgACAAIAAgACAAIAAgACAAIAAgACAAIAAgACAAIAAgACAAUwBVAE0AKABWAGEAbAB1AGUAcwAgACoAIAAoAEMAdgB0AEUAZgBmAEQAYQB0AGUAcwAgAD4APQAgAFMAdABhAHIAdABEAGEAdABlACkAIAAqACAAKABDAHYAdABFAGYAZgBEAGEAdABlAHMAIAA8AD0AIABFAG4AZABEAGEAdABlACk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QgB5AEkAdABlAG0AcwC7A1wAbgAgACAAIAAgAEQARQBTAEMAUgBJAFAAVABJAE8ATgA6ACoALwAvACoAKgBTAGMAaABlAGQAdQBsAGUAIABhAG4AZAAgAHMAdQBtACAAdgBhAGwAdQBlAHMAIABpAG4AIABhACAAdABpAG0AZQBsAGkAbgBlACAAZgBvAHIAIABlAGEAYwBoACAAaQB0AGUAbQAuACoALwBcAG4AUwBjAGgAZQBkAHUAbABlAFYAYQBsAHUAZQBzAEIAeQBJAHQAZQBtAHMAuwMgAD0AIABMAEEATQBCAEQAQQAoAFwAbgAvAC8AIAAgAFAAYQByAGEAbQBlAHQAZQByACAARABlAGMAbABhAHIAYQB0AGkAbwBuAHMAXABuACAAIAAgACAAWwBQAGUAcgBpAG8AZABTAHQAYQByAHQAcwBdACwAXABuACAAIAAgACAAWwBQAGUAcgBpAG8AZABFAG4AZABzAF0ALABcAG4AIAAgACAAIABbAEkAdABlAG0ARgBpAGwAdABlAHIAXQAsAFwAbgAgACAAIAAgAFsASQB0AGUAbQBMAGkAcwB0AF0ALABcAG4AIAAgACAAIABbAEUAZgBmAGUAYwB0AGkAdgBlAEwAaQBzAHQAXQAsAFwAbgAgACAAIAAgAFsAVgBhAGwAdQBlAEwAaQBzAHQ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BCAHkASQB0AGUAbQBzALsDKABQAGUAcgBpAG8AZABTAHQAYQByAHQAcwAsACAAUABlAHIAaQBvAGQARQBuAGQAcwAsACAASQB0AGUAbQBGAGkAbAB0AGUAcgAsACAASQB0AGUAbQBMAGkAcwB0ACwAIABFAGYAZgBlAGMAdABpAHYAZQBMAGkAcwB0ACwAIABWAGEAbAB1AGUATABpAHMAdAApALYAXAAiACAAJgBcAG4AIAAgACAAIAAgACAAIAAgACAAIAAgACAAIAAgACAAIAAgACAAIAAgACAAIAAgACAAXAAiAEQARQBTAEMAUgBJAFAAVABJAE8ATgA6ACAAIAAgAJIhUwBjAGgAZQBkAHUAbABlACAAYQBuAGQAIABzAHUAbQAgAHYAYQBsAHUAZQBzACAAaQBuACAAYQAgAHQAaQBtAGUAbABpAG4AZQAgAGYAbwByACAAZQBhAGMAaAAgAGkAdABlAG0ALg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yAG8AdwAgAG8AZgAgAHAAZQByAGkAbwBkACAAcwB0AGEAcgB0ACAAZABhAHQAZQBzACAAKAB0AGkAbQBlAGwAaQBuAGUAKQAuAL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EkAdABlAG0ARgBpAGwAdABlAHIAIAAgACAAIAAgAJIhKABSAGUAcQB1AGkAcgBlAGQAKQAgAEEAIABjAG8AbAB1AG0AbgAgAG8AZgAgADEAIABvAHIAIABtAG8AcgBlACAAaQB0AGUAbQBzACAAdABvACAAZgBpAGwAdABlAHIAIABhACAAdgBhAGwAdQBlACAAcwBjAGgAZQBkAHUAbABlACAAYgB5AC4AIAC2AFwAIgAgACYAXABuACAAIAAgACAAIAAgACAAIAAgACAAIAAgACAAIAAgACAAIAAgACAAIAAgACAAIAAgAFwAIgAgACAAIAAgACAAIAAgACAAIAAgACAAIAAgACAAIACSIUEAIAAnAHYAYQBsAHUAZQAgAHMAYwBoAGUAZAB1AGwAZQAnACAAaQBzACAAYQAgAHQAYQBiAGwAZQAvAGwAaQBzAHQAIAB3AGgAZQByAGUAIABlAGEAYwBoACAAcgBvAHcAIABjAG8AbgB0AGEAaQBuAHMAIABhACAAdQBuAGkAcQB1AGUAIABpAHQAZQBtAC8AZQBmAGYAZQBjAHQAaQB2AGUAIABkAGEAdABlACAAcABhAGkAcgAgAHcAaQB0AGgAIABhACAAdgBhAGwAdQBlAC4AtgBcACIAIAAmAFwAbgAgACAAIAAgACAAIAAgACAAIAAgACAAIAAgACAAIAAgACAAIAAgACAAIAAgACAAIABcACIASQB0AGUAbQBMAGkAcwB0ACAAIAAgACAAIAAgACAAkiEoAFIAZQBxAHUAaQByAGUAZAApACAASQB0AGUAbQBzACAAaQBuACAAYQAgAHYAYQBsAHUAZQAgAHMAYwBoAGUAZAB1AGwAZQAuALYAXAAiACAAJgAgAFwAbgAgACAAIAAgACAAIAAgACAAIAAgACAAIAAgACAAIAAgACAAIAAgACAAIAAgACAAIABcACIARQBmAGYAZQBjAHQAaQB2AGUATABpAHMAdAAgACAAkiEoAFIAZQBxAHUAaQByAGUAZAApACAARQBmAGYAZQBjAHQAaQB2AGUAIABkAGEAdABlAHMAIABpAG4AIAB0AGgAZQAgAHYAYQBsAHUAZQAgAHMAYwBoAGUAZAB1AGwAZQAuALYAXAAiACAAJgAgAFwAbgAgACAAIAAgACAAIAAgACAAIAAgACAAIAAgACAAIAAgACAAIAAgACAAIAAgACAAIABcACIAVgBhAGwAdQBlAEwAaQBzAHQAIAAgACAAIAAgACAAkiEoAFIAZQBxAHUAaQByAGUAZAApACAAVgBhAGwAdQBlAHMAIABpAG4AIABhACAAdgBhAGwAdQBlACAAcwBjAGgAZQBkAHUAbABlACAAZgBvAHIAIABlAGEAYwBoACAAaQB0AGUAbQAvAGUAZgBmAGUAYwB0AGkAdgBlACAAZABhAHQAZQAgAHAAYQBpAHIALgC2AFwAIgAgACYAIABcAG4AIAAgACAAIAAgACAAIAAgACAAIAAgACAAIAAgACAAIAAgACAAIAAgACAAIAAgACAAIAAgACAAIAAgACAAIAAgACAAIAAgACAAIAAgACAAXAAiAJIhQQBuACAAaQB0AGUAbQAgAHcAaQB0AGgAIABuAG8AIAByAG8AdwBzACAAaQBuACAAdABoAGUAIABzAGMAaABlAGQAdQBsAGUAIAB0AG8AdABhAGwAcwAgAG4AbwB1AGcAaAB0ACAAaQBuACAAZQB2AGUAcgB5ACAAcABlAHIAaQBvAGQ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FwAIgCSIT0AbwB6AC4AUwBjAGgAZQBkAHUAbABlAFYAYQBsAHUAZQBzAEIAeQBJAHQAZQBtAHMAuwMoACAAbwB6AC4AVABpAG0AZQBsAGkAbgBlALsDKAAgAFwAIgBcACIAMQAvADcALwAyADAAMgA2AFwAIgBcACIAKQAsACAAIABvAHoALgBUAGkAbQBlAGwAaQBuAGUAuwMoACAAXAAiAFwAIgAxAC8ANwAvADIAMAAyADYAXAAiAFwAIgAsACwALABGAEEATABTAEUAKQAsACAAtgBcACIAIAAmACAAXABuACAAIAAgACAAIAAgACAAIAAgACAAIAAgACAAIAAgACAAIAAgACAAIAAgACAAIAAgACAAIAAgACAAIAAgACAAIAAgACAAIAAgACAAIAAgAFwAIgCSIVUATgBJAFEAVQBFACgAIAB0AGIAbABFAHgAcABbAEkAdABlAG0AcwBdACkALAAgAHQAYgBsAEUAeABwAFsASQB0AGUAbQBzAF0ALAAgAHQAYgBsAEUAeABwAFsARABhAHQAZQBzAF0ALAAgAHQAYgBsAEUAeABwAFsAQQBtAG8AdQBuAHQAX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YAYQBsAHU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AByAGQAUwB0AGEAcgB0AHMALAAgACAAIABJAEYAKAAgAEkAUwBPAE0ASQBUAFQARQBEACgAIABQAGUAcgBpAG8AZABTAHQAYQByAHQAcwApACwAIABcAG4AIAAgACAAIAAgACAAIAAgACAAIAAgACAAIAAgACAAIAAgACAAIAAgACAAIAAgACAAIAAgACAAIABGAEEATABTAEUALABcAG4AIAAgACAAIAAgACAAIAAgACAAIAAgACAAIAAgACAAIAAgACAAIAAgACAAIAAgACAAIAAgACAAIABJAEYAKAAgAEkAUwBOAFUATQBCAEUAUgAoACAAUABlAHIAaQBvAGQAUwB0AGEAcgB0AHMAKQAsACAAUABlAHIAaQBvAGQAUwB0AGEAcgB0AHMALAAgAEQAQQBUAEUAVgBBAEwAVQBFACgAIABQAGUAcgBpAG8AZABTAHQAYQByAHQAcwApACkAXABuACAAIAAgACAAIAAgACAAIAAgACAAIAAgACAAIAAgACAAIAAgACAAIAAgACAAIAAg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AgACAAIABcAG4AIAAgACAAIAAvAC8AIAAgAFAAcgBvAGMAZQBkAHUAcgBlACAALQAgAG8AbgBlACAAbQBhAHQAcgBpAHgAIABwAHIAbwBkAHUAYwB0ADoAIAB3AGgAaQBjAGgAIABzAGMAaABlAGQAdQBsAGUAIAByAG8AdwBzACAAYgBlAGwAbwBuAGcAIAB0AG8AIABlAGEAYwBoACAAaQB0AGUAbQAsACAAdABpAG0AZQBzAFwAbgAgACAAIAAgAC8ALwAgACAAdwBoAGkAYwBoACAAcABlAHIAaQBvAGQAIABlAGEAYwBoACAAcwBjAGgAZQBkAHUAbABlACAAcgBvAHcAIABmAGEAbABsAHMAIABpAG4ALAAgAGMAYQByAHIAeQBpAG4AZwAgAGkAdABzACAAdgBhAGwAdQBlAFwAbgAgACAAIAAgACAAIAAgACAASQB0AGUAbQBzACwAIAAgACAAIAAgACAAIAAgACAAIABUAE8AQwBPAEwAKAAgAEkAdABlAG0ARgBpAGwAdABlAHIAKQAsAFwAbgAgACAAIAAgACAAIAAgACAAQgBlAGwAbwBuAGcAcwAsACAAIAAgACAAIAAgACAAIAAoACAASQB0AGUAbQBzACAAPQAgAFQATwBSAE8AVwAoACAASQB0AGUAbQBMAGkAcwB0ACkAKQAgACoAIAAoACAASQB0AGUAbQBzACAAPAA+ACAAXAAiAFwAIgApACwAXABuACAAIAAgACAAIAAgACAAIABGAGEAbABsAHMALAAgACAAIAAgACAAIAAgACAAIAAgACgAIABUAE8AQwBPAEwAKAAgAEMAdgB0AEUAZgBmAEQAYQB0AGUAcwApACAAPgA9ACAAQwB2AHQAUAByAGQAUwB0AGEAcgB0AHMAKQAgACoAIAAoACAAVABPAEMATwBMACgAIABDAHYAdABFAGYAZgBEAGEAdABlAHMAKQAgADwAPQAgAEMAdgB0AFAAcgBkAEUAbgBkAHMAKQAgACoAIABUAE8AQwBPAEwAKAAgAFYAYQBsAHUAZQBMAGkAcwB0ACkALABcAG4AIAAgACAAIAAgACAAIAAgAFIAZQBzAHUAbAB0ACwAIAAgACAAIAAgACAAIAAgACAATQBNAFUATABUACgAIABCAGUAbABvAG4AZwBzACwAIABGAGEAbABsAHM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UAGkAbQBlAGwAaQBuAGUAuwNcAG4AIAAgACAAIABEAEUAUwBDAFIASQBQAFQASQBPAE4AOgAqAC8ALwAqACoAQwByAGUAYQB0AGUAIABhACAAaABvAHIAaQB6AG8AbgB0AGEAbAAgAGwAaQBzAHQAIABvAGYAIABwAGUAcgBpAG8AZAAgAGQAYQB0AGUAcwAqAC8AXABuAFQAaQBtAGUAbABpAG4AZQC7AyAAPQAgAEwAQQBNAEIARABBACgAXABuAC8ALwAgACAAUABhAHIAYQBtAGUAdABlAHIAIABEAGUAYwBsAGEAcgBhAHQAaQBvAG4AcwBcAG4AIAAgACAAIABbAFMAdABhAHIAdABEAGEAdABlAF0ALABcAG4AIAAgACAAIABbAFAAZQByAGkAbwBkAHMAXQAsAFwAbgAgACAAIAAgAFsASQBuAHQAZQByAHYAYQBsAF0ALABcAG4AIAAgACAAIABbAFAAZQByAGkAbwBkAFMAdABhAHIAdABzAD8AXQAsACAAIAAgACA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QAaQBtAGUAbABpAG4AZQC7AygAUwB0AGEAcgB0AEQAYQB0AGUALAAgAFAAZQByAGkAbwBkAHMALAAgAEkAbgB0AGUAcgB2AGEAbAAsACAAUABlAHIAaQBvAGQAUwB0AGEAcgB0AHMAPwApALYAXAAiACAAJgBcAG4AIAAgACAAIAAgACAAIAAgACAAIAAgACAAIAAgACAAIAAgACAAIAAgACAAIAAgACAAIAAgACAAIABcACIARABFAFMAQwBSAEkAUABUAEkATwBOADoAIAAgACAAkiFDAHIAZQBhAHQAZQBzACAAYQAgAGgAbwByAGkAegBvAG4AdABhAGwAIABsAGkAcwB0ACAAbwBmACAAcABlAHIAaQBvAGQAIABkAGEAdABlAHMALgC2AFwAIgAgACYAIABcAG4AIAAgACAAIAAgACAAIAAgACAAIAAgACAAIAAgACAAIAAgACAAIAAgACAAIAAgACAAIAAgACAAIABcACIAVwBFAEIAUwBJAFQARQA6ACAAIAAgACAAIAAgACAAkiFoAHQAdABwAHMAOgAvAC8AZwBpAHQAaAB1AGIALgBjAG8AbQAvAHIAeQBhAG4AZAB1AGcAdQBpAGQALwBPAHoAegBpAHQAtgBcACIAIAAmACAAXABuACAAIAAgACAAIAAgACAAIAAgACAAIAAgACAAIAAgACAAIAAgACAAIAAgACAAIAAgACAAIAAgACAAXAAiAFAAQQBSAEEATQBFAFQARQBSAFMAOgAgACAAIAAgACAAIAAgACAAkiG2AFwAIgAgACYAIABcAG4AIAAgACAAIAAgACAAIAAgACAAIAAgACAAIAAgACAAIAAgACAAIAAgACAAIAAgACAAIAAgACAAIABcACIAUwB0AGEAcgB0AEQAYQB0AGUAIAAgACAAIAAgACAAkiEoAFIAZQBxAHUAaQByAGUAZAApACAARgBpAHIAcwB0ACAAcABlAHIAaQBvAGQAJwBzACAAcwB0AGEAcgB0ACAAZABhAHQAZQAuACAATQBhAHkAIABiAGUAIABlAG4AdABlAHIAZQBkACAAYQBzACAAdABlAHgAdAAuALYAXAAiACAAJgBcAG4AIAAgACAAIAAgACAAIAAgACAAIAAgACAAIAAgACAAIAAgACAAIAAgACAAIAAgACAAIAAgACAAIABcACIAUABlAHIAaQBvAGQAcwAgACAAIAAgACAAIAAgACAAkiEoAE8AcAB0AGkAbwBuAGEAbAApACAAVABoAGUAIABuAHUAbQBiAGUAcgAgAG8AZgAgAHAAZQByAGkAbwBkACAAaQBuACAAdABoAGUAIAB0AGkAbQBlAGwAaQBuAGUALgAgAEQAZQBmAGEAdQBsAHQAcwAgAHQAbwAgADEAMgAuALYAXAAiACAAJgBcAG4AIAAgACAAIAAgACAAIAAgACAAIAAgACAAIAAgACAAIAAgACAAIAAgACAAIAAgACAAIAAgACAAIABcACIASQBuAHQAZQByAHYAYQBsACAAIAAgACAAIAAgACAAkiEoAE8AcAB0AGkAbwBuAGEAbAApACAAUABlAHIAaQBvAGQAIABpAG4AdABlAHIAdgBhAGwAOgAgAEQALAAgAFcALAAgAE0ALAAgAFEAIABvAHIAIABZACAAKABEAGEAeQAsACAAVwBlAGUAawAsACAATQBvAG4AdABoACAAPABkAGUAZgBhAHUAbAB0AD4ALAAgAFEAdQBhAHIAdABlAHIALAAgAG8AcgAgAFkAZQBhAHIAKQC2AFwAIgAgACYAXABuACAAIAAgACAAIAAgACAAIAAgACAAIAAgACAAIAAgACAAIAAgACAAIAAgACAAIAAgACAAIAAgACAAXAAiAFAAZQByAGkAbwBkAFMAdABhAHIAdABzAD8AIAAgAJIhKABPAHAAdABpAG8AbgBhAGwAKQAgAFQAUgBVAEUAPQBEAGkAcwBwAGwAYQB5ACAAcABlAHIAaQBvAGQAIABzAHQAYQByAHQAIABkAGEAdABlAHMAIAA8AGQAZQBmAGEAdQBsAHQAPgAuACAARgBBAEwAUwBFAD0AUABlAHIAaQBvAGQAIABlAG4AZAAgAGQAYQB0AGUAcwC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yACAAbQBvACwAIABzAHQAYQByAHQAcwAgACAAkiE9AG8AegAuAFQAaQBtAGUAbABpAG4AZQC7AygAVABPAEQAQQBZACgAKQApALYAXAAiACAAJgBcAG4AIAAgACAAIAAgACAAIAAgACAAIAAgACAAIAAgACAAIAAgACAAIAAgACAAIAAgACAAIAAgACAAIABcACIAMQAyACAAcQB0AHIALAAgAGUAbgBkAHMAIAAgACAAkiE9AG8AegAuAFQAaQBtAGUAbABpAG4AZQC7AygAVABPAEQAQQBZACgAKQAsACAALAAgAFwAIgBcACIAUQBcACIAXAAiACwAIABGAEEATABTAE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CAAIAAgACAAXABuACAAIAAgACAALwAvACAAIABOAGEAbQBlAGQAIABDAG8AbgBzAHQAYQBuAHQAcwBcAG4AIAAgACAAIAAgACAAIAAgAE0AUABZACwAIAAxADIALAAgACAAIAAgACAAIAAgACAALwAvAE0AbwBuAHQAaABzACAAUABlAHIAIABZAGUAYQByAFwAbgAgACAAIAAgACAAIAAgACAATQBQAFEALAAgADMALAAgACAAIAAgACAAIAAgACAAIAAvAC8ATQBvAG4AdABoAHMAIABQAGUAcgAgAFEAdQBhAHIAdABlAHIAXABuACAAIAAgACAAIAAgACAAIABEAFAAVwAsACAANwAsACAAIAAgACAAIAAgACAAIAAgAC8ALwBEAGEAeQBzACAAUABlAHIAIABXAGUAZQBrAFwAbgAgACAAIAAgAC8ALwAgACAAQwBoAGUAYwBrACAAaQBuAHAAdQB0AHMAIAAtACAATwBtAGkAdAB0AGUAZAAgAHIAZQBxAHUAaQByAGUAZAAgAGEAcgBnAHUAbQBlAG4AdABzAFwAbgAgACAAIAAgACAAIAAgACAASABlAGwAcAA/ACwAIAAgACAAIAAgACAAIAAgACAAIABJAFMATwBNAEkAVABUAEUARAAoACAAUwB0AGEAcgB0AEQAYQB0AGUAKQAsACA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AsACAAIAAgACAAIAAgACAASQBGACgAIABJAFMATwBNAEkAVABUAEUARAAoACAAUwB0AGEAcgB0AEQAYQB0AGUAKQAsACAAXABuACAAIAAgACAAIAAgACAAIAAgACAAIAAgACAAIAAgACAAIAAgACAAIAAgACAAIAAgACAAIAAgACAARgBBAEwAUwBFACwAXABuACAAIAAgACAAIAAgACAAIAAgACAAIAAgACAAIAAgACAAIAAgACAAIAAgACAAIAAgACAAIAAgACAASQBGACgAIABJAFMATgBVAE0AQgBFAFIAKAAgAFMAdABhAHIAdABEAGEAdABlACkALAAgAFMAdABhAHIAdABEAGEAdABlACwAIABEAEEAVABFAFYAQQBMAFUARQAoACAAUwB0AGEAcgB0AEQAYQB0AGUAKQApAFwAbgAgACAAIAAgACAAIAAgACAAIAAgACAAIAAgACAAIAAgACAAIAAgACAAIAAgACAAIAApACwAXABuACAAIAAgACAAIAAgACAAIABQAGUAcgBpAG8AZABzACwAIAAgACAAIAAgACAAIAAgAEkARgAoACAASQBTAE8ATQBJAFQAVABFAEQAKAAgAFAAZQByAGkAbwBkAHMAKQAsACAAMQAyACwAIABQAGUAcgBpAG8AZABzACkALABcAG4AIAAgACAAIAAgACAAIAAgAEkAbgB0AGUAcgB2AGEAbAAsACAAIAAgACAAIAAgACAASQBGACgAIABJAFMATwBNAEkAVABUAEUARAAoACAASQBuAHQAZQByAHYAYQBsACkALAAgAFwAIgBNAFwAIgAsACAASQBuAHQAZQByAHYAYQBsACkALABcAG4AIAAgACAAIAAgACAAIAAgAFAAZQByAGkAbwBkAFMAdABhAHIAdABzAD8ALAAgACAASQBGACgAIABJAFMATABPAEcASQBDAEEATAAoACAAUABlAHIAaQBvAGQAUwB0AGEAcgB0AHMAPwApACwAIABQAGUAcgBpAG8AZABTAHQAYQByAHQAcwA/ACwAIABUAFIAVQBFACkALABcAG4AIAAgACAAIAAvAC8AIAAgAFAAcgBvAGMAZQBkAHUAcgBlAFwAbgAgACAAIAAgACAAIAAgACAARQBuAGQARABhAHQAZQBzACwAIAAgACAAIAAgACAAIABOACgATgBPAFQAKABQAGUAcgBpAG8AZABTAHQAYQByAHQAcwA/ACkAKQAsAFwAbgAgACAAIAAgACAAIAAgACAAUgBlAHMAdQBsAHQALAAgACAAIAAgACAAIAAgACAAIABTAFcASQBUAEMASAAoAFwAbgAgACAAIAAgACAAIAAgACAAIAAgACAAIAAgACAAIAAgACAAIAAgACAAIAAgACAAIAAgACAAIAAgAEkAbgB0AGUAcgB2AGEAbAAsAFwAbgAgACAAIAAgACAAIAAgACAAIAAgACAAIAAgACAAIAAgACAAIAAgACAAIAAgACAAIAAgACAAIAAgAFwAIgBZAFwAIgAsACAARQBEAEEAVABFACgAQwB2AHQAUwB0AGEAcgB0ACwAIABTAEUAUQBVAEUATgBDAEUAKAAxACwAIABQAGUAcgBpAG8AZABzACwAIABFAG4AZABEAGEAdABlAHMAIAAqACAATQBQAFkALAAgAE0AUABZACkAKQAgAC0AIABFAG4AZABEAGEAdABlAHMALABcAG4AIAAgACAAIAAgACAAIAAgACAAIAAgACAAIAAgACAAIAAgACAAIAAgACAAIAAgACAAIAAgACAAIABcACIAUQBcACIALAAgAEUARABBAFQARQAoAEMAdgB0AFMAdABhAHIAdAAsACAAUwBFAFEAVQBFAE4AQwBFACgAMQAsACAAUABlAHIAaQBvAGQAcwAsACAARQBuAGQARABhAHQAZQBzACAAKgAgAE0AUABRACwAIABNAFAAUQApACkAIAAtACAARQBuAGQARABhAHQAZQBzACwAXABuACAAIAAgACAAIAAgACAAIAAgACAAIAAgACAAIAAgACAAIAAgACAAIAAgACAAIAAgACAAIAAgACAAXAAiAE0AXAAiACwAIABFAEQAQQBUAEUAKABDAHYAdABTAHQAYQByAHQALAAgAFMARQBRAFUARQBOAEMARQAoADEALAAgAFAAZQByAGkAbwBkAHMALAAgAEUAbgBkAEQAYQB0AGUAcwAsACAAMQApACkAIAAtACAARQBuAGQARABhAHQAZQBzACwAXABuACAAIAAgACAAIAAgACAAIAAgACAAIAAgACAAIAAgACAAIAAgACAAIAAgACAAIAAgACAAIAAgACAAXAAiAFcAXAAiACwAIABTAEUAUQBVAEUATgBDAEUAKAAxACwAIABQAGUAcgBpAG8AZABzACwAIABDAHYAdABTAHQAYQByAHQAIAArACAASQBGACgAUABlAHIAaQBvAGQAUwB0AGEAcgB0AHMAPwAsACAAMAAsACAARABQAFcAIAAtACAAMQApACwAIABEAFAAVwApACwAXABuACAAIAAgACAAIAAgACAAIAAgACAAIAAgACAAIAAgACAAIAAgACAAIAAgACAAIAAgACAAIAAgACAAXAAiAEQAXAAiACwAIABTAEUAUQBVAEUATgBDAEUAKAAxACwAIABQAGUAcgBpAG8AZABzACwAIABDAHYAdABTAHQAYQByAHQALAAgADEAKQAsAFwAbgAgACAAIAAgACAAIAAgACAAIAAgACAAIAAgACAAIAAgACAAIAAgACAAIAAgACAAIAAgACAAIAAgACMAVgBhAGwAdQBlACE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RgBpAG4AYQBuAGMAaQBhAGwAWQBlAGEAcgC7A1wAbgAgACAAIAAgAEQARQBTAEMAUgBJAFAAVABJAE8ATgA6ACoALwAvACoAKgBMAGEAYgBlAGwAcwAgAGQAYQB0AGUAcwAgAHcAaQB0AGgAIAB0AGgAZQBpAHIAIABBAHUAcwB0AHIAYQBsAGkAYQBuACAAZgBpAG4AYQBuAGMAaQBhAGwAIAB5AGUAYQByACwAIAB3AGgAaQBjAGgAIABzAHQAYQByAHQAcwAgAG8AbgAgADEAIABKAHUAbAB5ACoALwBcAG4AXABuAEYAaQBuAGEAbgBjAGkAYQBsAFkAZQBhAHIAuwMgAD0AIABMAEEATQBCAEQAQQAoAFwAbgAvAC8AIAAgAFAAYQByAGEAbQBlAHQAZQByACAARABlAGMAbABhAHIAYQB0AGkAbwBuAFwAbgAgACAAIAAgAFsARABhAHQAZQBzAF0ALABcAG4AIAAgACAAIABbAFMAdABhAHIAdABNAG8AbgB0AGg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GAGkAbgBhAG4AYwBpAGEAbABZAGUAYQByALsDKABEAGEAdABlAHMALAAgAFsAUwB0AGEAcgB0AE0AbwBuAHQAaABdACkAtgBcACIAIAAmAFwAbgAgACAAIAAgACAAIAAgACAAIAAgACAAIAAgACAAIAAgACAAIAAgACAAIAAgACAAIAAgACAAIAAgAFwAIgBEAEUAUwBDAFIASQBQAFQASQBPAE4AOgAgACAAIACSIUwAYQBiAGUAbABzACAAZABhAHQAZQBzACAAdwBpAHQAaAAgAHQAaABlAGkAcgAgAEEAdQBzAHQAcgBhAGwAaQBhAG4AIABmAGkAbgBhAG4AYwBpAGEAbAAgAHkAZQBhAHIALAAgAHcAaABpAGMAaAAgAHMAdABhAHIAdABzACAAbwBuACAAMQAgAEoAdQBsAHk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RABhAHQAZQBzACAAIAAgACAAIAAgACAAIAAgACAAkiEoAFIAZQBxAHUAaQByAGUAZAApACAATwBuAGUAIABvAHIAIABtAG8AcgBlACAAZABhAHQAZQBzACwAIABuAHUAbQBlAHIAaQBjACAAbwByACAAdABlAHgAdAAuACAAQQAgAGIAbABhAG4AawAgAGMAZQBsAGwAIAByAGUAdAB1AHIAbgBzACAAYQAgAGIAbABhAG4AawAuALYAXAAiACAAJgBcAG4AIAAgACAAIAAgACAAIAAgACAAIAAgACAAIAAgACAAIAAgACAAIAAgACAAIAAgACAAIAAgACAAIABcACIAUwB0AGEAcgB0AE0AbwBuAHQAaAAgACAAIAAgACAAkiEoAE8AcAB0AGkAbwBuAGEAbAA6ACAARABlAGYAYQB1AGwAdAAgAD0AIAA3ACkAIABNAG8AbgB0AGgAIAB0AGgAZQAgAGYAaQBuAGEAbgBjAGkAYQBsACAAeQBlAGEAcgAgAHMAdABhAHIAdABzAC4AIABCAGwAYQBuAGsAIABjAGUAbABsAHMAIABhAG4AZAAgAGUAbQBwAHQAeQAgAHQAZQB4AHQAIAB1AHMAZQAgADc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GAGkAbgBhAG4AYwBpAGEAbABZAGUAYQByALsDKABEAEEAVABFACgAMgAwADIANgAsADgALAAxADUAKQApALYAXAAiACAAJgBcAG4AIAAgACAAIAAgACAAIAAgACAAIAAgACAAIAAgACAAIAAgACAAIAAgACAAIAAgACAAIAAgACAAIABcACIAkiFSAGUAcwB1AGwAdAC2AFwAIgAgACYAXABuACAAIAAgACAAIAAgACAAIAAgACAAIAAgACAAIAAgACAAIAAgACAAIAAgACAAIAAgACAAIAAgACAAXAAiAJIhRgBZADIAMAAyADc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QAYQB0AGUAcwApACwAXABuACAAIAAgACAALwAvACAAIABTAGUAdAAgAGQAZQBmAGEAdQBsAHQAcwBcAG4AIAAgACAAIAAgACAAIAAgAEYAWQBTAHQAYQByAHQALAAgACAAIAAgACAAIAAgACAASQBGACgASQBTAE8ATQBJAFQAVABFAEQAKABTAHQAYQByAHQATQBvAG4AdABoACkALAAgADcALAAgAEkARgAoAFMAdABhAHIAdABNAG8AbgB0AGgAIAA9ACAAXAAiAFwAIgAsACAANwAsACAAUwB0AGEAcgB0AE0AbwBuAHQAaAApACkALABcAG4AIAAgACAAIAAvAC8AIAAgAEMAaABlAGMAawAgAGkAbgBwAHUAdABzACAALQAgAGEAcABwAGwAeQAgAGMAbwBuAHYAZQBuAGkAZQBuAGMAZQAgAGMAbwBuAHYAZQByAHMAaQBvAG4AcwAuACAAQQAgAGIAbABhAG4AawAgAGMAZQBsAGwAIABzAHQAYQB5AHMAIABiAGwAYQBuAGsALAAgAGEAIAB0AGUAeAB0ACAAZABhAHQAZQAgAGkAcwAgAHIAZQBhAGQAXABuACAAIAAgACAAIAAgACAAIABDAHYAdABEAGEAdABlAHMALAAgACAAIAAgACAAIAAgAEkARgAoACAASQBTAE8ATQBJAFQAVABFAEQAKAAgAEQAYQB0AGUAcwApACwAXABuACAAIAAgACAAIAAgACAAIAAgACAAIAAgACAAIAAgACAAIAAgACAAIAAgACAAIAAgACAAIAAgACAARgBBAEwAUwBFACwAXABuACAAIAAgACAAIAAgACAAIAAgACAAIAAgACAAIAAgACAAIAAgACAAIAAgACAAIAAgACAAIAAgACAASQBGACgAIABJAFMATgBVAE0AQgBFAFIAKAAgAEQAYQB0AGUAcwApACwAIABEAGEAdABlAHMALAAgAEkARgAoACAARABhAHQAZQBzACAAPQAgAFwAIgBcACIALAAgADAALAAgAEQAQQBUAEUAVgBBAEwAVQBFACgAIABEAGEAdABlAHMAKQApACkAXABuACAAIAAgACAAIAAgACAAIAAgACAAIAAgACAAIAAgACAAIAAgACAAIAAgACAAIAAgACkALABcAG4AIAAgACAAIAAvAC8AIAAgAE0AdQBsAHQAaQBwAGwAeQAgAHIAYQB0AGgAZQByACAAdABoAGEAbgAgAEEATgBEACwAIAB3AGgAaQBjAGgAIAB3AG8AdQBsAGQAIABjAG8AbABsAGEAcABzAGUAIABhACAAcgBhAG4AZwBlACAAbwBmACAAZABhAHQAZQBzACAAdABvACAAbwBuAGUAIABhAG4AcwB3AGUAcgBcAG4AIAAgACAAIAAgACAAIAAgAFIAZQBzAHUAbAB0ACwAIAAgACAAIAAgACAAIAAgACAASQBGACgAQwB2AHQARABhAHQAZQBzACAAPQAgADAALAAgAFwAIgBcACIALAAgAFwAIgBGAFkAXAAiACAAJgAgAFQARQBYAFQAKABZAEUAQQBSACgAQwB2AHQARABhAHQAZQBzACkAIAArACAAKABGAFkAUwB0AGEAcgB0AD4AMQApACAAKgAgACgATQBPAE4AVABIACgAQwB2AHQARABhAHQAZQBzACkAIAA+AD0AIABGAFkAUwB0AGEAcgB0ACkALAAgAFwAIgAwADAAMAAwAFwAIg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IAYQB0AGUAQQB0AEQAYQB0AGUAuwNcAG4AIAAgACAAIABEAEUAUwBDAFIASQBQAFQASQBPAE4AOgAqAC8ALwAqACoAUgBlAHQAdQByAG4AcwAgAHQAaABlACAAcgBhAHQAZQAgAGkAbgAgAGUAZgBmAGUAYwB0ACAAbwBuACAAZQBhAGMAaAAgAGQAYQB0AGUAIABmAHIAbwBtACAAYQAgAHQAYQBiAGwAZQAgAG8AZgAgAGUAZgBmAGUAYwB0AGkAdgBlACAAZABhAHQAZQBzACAAYQBuAGQAIAByAGEAdABlAHMALAAgAHIAZQBmAHUAcwBpAG4AZwAgAGcAYQBwAHMALAAgAHUAbgBzAG8AcgB0AGUAZAAgAG8AcgAgAHIAZQBwAGUAYQB0AGUAZAAgAGQAYQB0AGUAcwAqAC8AXABuAFwAbgBSAGEAdABlAEEAdABEAGEAdABlALsDIAA9ACAATABBAE0AQgBEAEEAKABcAG4ALwAvACAAIABQAGEAcgBhAG0AZQB0AGUAcgAgAEQAZQBjAGwAYQByAGEAdABpAG8AbgBcAG4AIAAgACAAIABbAEUAZgBmAGUAYwB0AGkAdgBlAEQAYQB0AGUAcwBdACwAXABuACAAIAAgACAAWwBSAGEAdABlAHMAXQAsAFwAbgAgACAAIAAgAFsARABhAHQAZQ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gBhAHQAZQBBAHQARABhAHQAZQC7AygARQBmAGYAZQBjAHQAaQB2AGUARABhAHQAZQBzACwAIABSAGEAdABlAHMALAAgAEQAYQB0AGUAcwApALYAXAAiACAAJgBcAG4AIAAgACAAIAAgACAAIAAgACAAIAAgACAAIAAgACAAIAAgACAAIAAgACAAIAAgACAAIAAgACAAIABcACIARABFAFMAQwBSAEkAUABUAEkATwBOADoAIAAgACAAkiFSAGUAdAB1AHIAbgBzACAAdABoAGUAIAByAGEAdABlACAAaQBuACAAZQBmAGYAZQBjAHQAIABvAG4AIABlAGEAYwBoACAAZABhAHQAZQAgAGYAcgBvAG0AIAB5AG8AdQByACAAdABhAGIAbABlACAAbwBmACAAZQBmAGYAZQBjAHQAaQB2AGUAIABkAGEAdABlAHMAIABhAG4AZAAgAHIAYQB0AGUAcwAuALYATgBPAFQARQBTACEAIAAgACAAIAAgACAAIAAgACAAkiFFAGEAYwBoACAAcgBhAHQAZQAgAGEAcABwAGwAaQBlAHMAIABmAHIAbwBtACAAaQB0AHMAIABlAGYAZgBlAGMAdABpAHYAZQAgAGQAYQB0AGUAIAB1AG4AdABpAGwAIAB0AGgAZQAgAG4AZQB4AHQAIABvAG4AZQAuACAARABhAHQAZQBzACAAbQBhAHkAtgAgACAAIAAgACAAIAAgACAAIAAgACAAIAAgACAAIACSIWIAZQAgAG8AbgBlACAAZABhAHQAZQAgAG8AcgAgAGEAIAByAG8AdwAgAG8AcgAgAGMAbwBsAHUAbQBuACAAbwBmACAAdABoAGUAbQAsACAAYQBuAGQAIAB0AGgAZQAgAHIAZQBzAHUAbAB0ACAAdABhAGsAZQBzACAAdABoAGUAaQByACAAcwBoAGEAcABlAC4AtgAgACAAIAAgACAAIAAgACAAIAAgACAAIAAgACAAIACSIUEAIABkAGEAdABlACAAYgBlAGYAbwByAGUAIAB0AGgAZQAgAGYAaQByAHMAdAAgAGUAZgBmAGUAYwB0AGkAdgBlACAAZABhAHQAZQAgAGgAYQBzACAAbgBvACAAcgBhAHQAZQAgAGkAbgAgAGUAZgBmAGUAYwB0ACAAYQBuAGQAIAByAGUAdAB1AHIAbgBzALYAIAAgACAAIAAgACAAIAAgACAAIAAgACAAIAAgACAAkiEjAE4ALwBBAC4AIABUAGgAZQAgAHQAYQBiAGwAZQAgAG0AdQBzAHQAIABiAGUAIABjAG8AbQBwAGwAZQB0AGUAIABhAG4AZAAgAGkAbgAgAG8AcgBkAGUAcgAsACAAcwBvACAAaQBuAHMAdABlAGEAZAAgAG8AZgAgAGEAIAByAGUAcwB1AGwAdAAgAGkAdAC2ACAAIAAgACAAIAAgACAAIAAgACAAIAAgACAAIAAgAJIhcgBlAHQAdQByAG4AcwAgAGEAIABtAGUAcwBzAGEAZwBlACAAdwBoAGUAbgAgAEUAZgBmAGUAYwB0AGkAdgBlAEQAYQB0AGUAcwAgAGEAbgBkACAAUgBhAHQAZQBzACAAZABpAGYAZgBlAHIAIABpAG4AIABsAGUAbgBnAHQAaAAgAG8AcgAgAGgAbwBsAGQAtgAgACAAIAAgACAAIAAgACAAIAAgACAAIAAgACAAIACSIWEAIABiAGwAYQBuAGsAIABvAHIAIAB0AGUAeAB0ACAAZQBuAHQAcgB5ACwAIAB3AGgAZQBuACAAdABoAGUAIABkAGEAdABlAHMAIABhAHIAZQAgAG4AbwB0ACAAaQBuACAAYQBzAGMAZQBuAGQAaQBuAGcAIABvAHIAZABlAHIALAAgAG8AcgAgAHcAaABlAG4AtgAgACAAIAAgACAAIAAgACAAIAAgACAAIAAgACAAIACSIWEAIABkAGEAdABlACAAcgBlAHAAZQBhAHQAcwAuACAAQQAgAHQAZQB4AHQAIABvAHIAIABiAGwAYQBuAGsAIABkAGEAdABlACAAaQBuACAARABhAHQAZQBzACAAcgBlAHQAdQByAG4AcwAgACMAVgBBAEwAVQBFACEALgAgAFQAaABlALYAIAAgACAAIAAgACAAIAAgACAAIAAgACAAIAAgACAAkiFsAGkAYgByAGEAcgB5ACAAcwBoAGkAcABzACAAbgBvACAAcgBhAHQAZQAgAHQAYQBiAGwAZQA6ACAAcwB1AHAAcABsAHkAIAB5AG8AdQByACAAbwB3AG4ALAAgAHcAaQB0AGgAIABpAHQAcwAgAHMAbwB1AHIAYwBlACAAYQBuAGQAIAB0AGgAZQC2ACAAIAAgACAAIAAgACAAIAAgACAAIAAgACAAIAAgAJIhZABhAHQAZQAgAHkAbwB1ACAAYwBoAGUAYwBrAGUAZAAgAGkAdAAuACAAUwBjAGgAZQBkAHUAbABlAFIAYQB0AGUAcwC7AygAKQAgAGwAYQB5AHMAIAByAGEAdABlAHMAIABhAGMAcgBvAHMAcwAgAGEAIAB0AGkAbQBlAGwAaQBuAGUAtgAgACAAIAAgACAAIAAgACAAIAAgACAAIAAgACAAIACSIXcAaQB0AGgAbwB1AHQAIAB0AGgAZQBzAGUAIABjAGgAZQBjAGsAcw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EAOQAgAE8AYwB0ACAAMgAwADIANgC2AFwAIgAgACYAXABuACAAIAAgACAAIAAgACAAIAAgACAAIAAgACAAIAAgACAAIAAgACAAIAAgACAAIAAgACAAIAAgACAAXAAiAFAAQQBSAEEATQBFAFQARQBSAFMAOgAgACAAIAAgAJIhtgBcACIAIAAmAFwAbgAgACAAIAAgACAAIAAgACAAIAAgACAAIAAgACAAIAAgACAAIAAgACAAIAAgACAAIAAgACAAIAAgAFwAIgBFAGYAZgBlAGMAdABpAHYAZQBEAGEAdABlAHMAIACSISgAUgBlAHEAdQBpAHIAZQBkACkAIABBACAAcgBvAHcAIABvAHIAIABjAG8AbAB1AG0AbgAgAG8AZgAgAGQAYQB0AGUAcwAgAGYAcgBvAG0AIAB3AGgAaQBjAGgAIABlAGEAYwBoACAAcgBhAHQAZQAgAGEAcABwAGwAaQBlAHMALAAgAGkAbgAgAGEAcwBjAGUAbgBkAGkAbgBnACAAbwByAGQAZQByAC4AtgBcACIAIAAmAFwAbgAgACAAIAAgACAAIAAgACAAIAAgACAAIAAgACAAIAAgACAAIAAgACAAIAAgACAAIAAgACAAIAAgAFwAIgBSAGEAdABlAHMAIAAgACAAIAAgACAAIAAgACAAIACSISgAUgBlAHEAdQBpAHIAZQBkACkAIABUAGgAZQAgAHIAYQB0AGUAIAB0AGgAYQB0ACAAYQBwAHAAbABpAGUAcwAgAGYAcgBvAG0AIABlAGEAYwBoACAAZQBmAGYAZQBjAHQAaQB2AGUAIABkAGEAdABlACwAIAB0AGgAZQAgAHMAYQBtAGUAIABsAGUAbgBnAHQAaAAgAGEAcwAgAEUAZgBmAGUAYwB0AGkAdgBlAEQAYQB0AGUAcwAuALYAXAAiACAAJgBcAG4AIAAgACAAIAAgACAAIAAgACAAIAAgACAAIAAgACAAIAAgACAAIAAgACAAIAAgACAAIAAgACAAIABcACIARABhAHQAZQBzACAAIAAgACAAIAAgACAAIAAgACAAkiEoAFIAZQBxAHUAaQByAGUAZAApACAAVABoAGUAIABkAGEAdABlACwAIABvAHIAIABhACAAcgBvAHcAIABvAHIAIABjAG8AbAB1AG0AbgAgAG8AZgAgAGQAYQB0AGUAcwAsACAAdABvACAAbABvAG8AawAgAHUAcA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FIAYQB0AGUAQQB0AEQAYQB0AGUAuwMoAEQAQQBUAEUAKAAyADAAMgA2ACwAIAB7ADEAOwA3ADsAMQAwAH0ALAAgADEAKQAsACAAewAwAC4AMAA0ADsAMAAuADAANAA1ADsAMAAuADAANQB9ACwAIABEAEEAVABFACgAMgAwADIANgAsACAAOAAsACAAMQA1ACkAKQC2AFwAIgAgACYAXABuACAAIAAgACAAIAAgACAAIAAgACAAIAAgACAAIAAgACAAIAAgACAAIAAgACAAIAAgACAAIAAgACAAXAAiAJIhUgBlAHMAdQBsAHQAtgBcACIAIAAmAFwAbgAgACAAIAAgACAAIAAgACAAIAAgACAAIAAgACAAIAAgACAAIAAgACAAIAAgACAAIAAgACAAIAAgAFwAIgCSITAALgAwADQANQ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RQBmAGYAZQBjAHQAaQB2AGUARABhAHQAZQBzACkALAAgAEkAUwBPAE0ASQBUAFQARQBEACgAUgBhAHQAZQBzACkALAAgAEkAUwBPAE0ASQBUAFQARQBEACgARABhAHQAZQBzACkAKQAsAFwAbgAgACAAIAAgAC8ALwAgACAAVABoAGUAIAB0AGEAYgBsAGUAIABsAGEAaQBkACAAZABvAHcAbgAgAG8AbgBlACAAYwBvAGwAdQBtAG4ALAAgAHMAbwAgAGEAIAByAG8AdwAgAGEAbgBkACAAYQAgAGMAbwBsAHUAbQBuACAAcgBlAGEAZAAgAHQAaABlACAAcwBhAG0AZQBcAG4AIAAgACAAIAAgACAAIAAgAFMAdABhAHIAdABzACwAIAAgACAAIAAgACAAIAAgACAAVABPAEMATwBMACgARQBmAGYAZQBjAHQAaQB2AGUARABhAHQAZQBzACkALABcAG4AIAAgACAAIAAgACAAIAAgAFYAYQBsAHUAZQBzACwAIAAgACAAIAAgACAAIAAgACAAVABPAEMATwBMACgAUgBhAHQAZQBzACkALABcAG4AIAAgACAAIAAgACAAIAAgAEMAbwB1AG4AdAAsACAAIAAgACAAIAAgACAAIAAgACAAUgBPAFcAUwAoAFMAdABhAHIAdABzACkALABcAG4AIAAgACAAIAAvAC8AIAAgAFIAZQBhAGQAIABvAG4AIAB0AGgAZQAgAGEAcgBnAHUAbQBlAG4AdABzACwAIABuAG8AdAAgAHQAaABlACAAYwBvAGwAdQBtAG4AcwA6ACAAVABPAEMATwBMACAAdAB1AHIAbgBzACAAYQAgAGIAbABhAG4AawAgAGMAZQBsAGwAIABpAG4AdABvACAAMAAsACAAdwBoAGkAYwBoAFwAbgAgACAAIAAgAC8ALwAgACAAdwBvAHUAbABkACAAcABhAHMAcwAgAGEAcwAgAGEAIABkAGEAdABlACAAaQBuACAAMQA5ADAAMAAgAG8AcgAgAGEAIABuAGkAbAAgAHIAYQB0AGUAXABuACAAIAAgACAAIAAgACAAIABDAG8AbQBwAGwAZQB0AGUAPwAsACAAIAAgACAAIAAgAEEATgBEACgAQwBvAHUAbgB0ACAAPQAgAFIATwBXAFMAKABWAGEAbAB1AGUAcwApACwAIABJAFMATgBVAE0AQgBFAFIAKABFAGYAZgBlAGMAdABpAHYAZQBEAGEAdABlAHMAKQAsACAASQBTAE4AVQBNAEIARQBSACgAUgBhAHQAZQBzACkAKQAsAFwAbgAgACAAIAAgACAAIAAgACAAUwB0AGUAcABzACwAIAAgACAAIAAgACAAIAAgACAAIABJAEYAKABDAG8AdQBuAHQAIAA9ACAAMQAsACAAMQAsACAARABSAE8AUAAoAFMAdABhAHIAdABzACwAIAAxACkAIAAtACAARABSAE8AUAAoAFMAdABhAHIAdABzACwAIAAtADEAKQApACwAXABuACAAIAAgACAAIAAgACAAIABVAG4AcwBvAHIAdABlAGQAPwAsACAAIAAgACAAIAAgAE8AUgAoAFMAdABlAHAAcwAgADwAIAAwACkALABcAG4AIAAgACAAIAAgACAAIAAgAFIAZQBwAGUAYQB0AGUAZAA/ACwAIAAgACAAIAAgACAATwBSACgAUwB0AGUAcABzACAAPQAgADAAKQAsAFwAbgAgACAAIAAgACAAIAAgACAARwBhAHAATQBlAHMAcwBhAGcAZQAsACAAIAAgACAAIABcACIAUgBhAHQAZQBBAHQARABhAHQAZQC7AyAAbgBlAGUAZABzACAARQBmAGYAZQBjAHQAaQB2AGUARABhAHQAZQBzACAAYQBuAGQAIABSAGEAdABlAHMAIABvAGYAIAB0AGgAZQAgAHMAYQBtAGUAIABsAGUAbgBnAHQAaAAgAHcAaQB0AGgAIABhACAAbgB1AG0AYgBlAHIAIABcACIAXABuACAAIAAgACAAIAAgACAAIAAgACAAIAAgACAAIAAgACAAIAAgACAAIAAgACAAIAAgACYAIABcACIAaQBuACAAZQB2AGUAcgB5ACAAZQBuAHQAcgB5AC4AIABBACAAYgBsAGEAbgBrACAAbwByACAAdABlAHgAdAAgAGUAbgB0AHIAeQAgAGwAZQBhAHYAZQBzACAAYQAgAGcAYQBwACAAaQBuACAAdABoAGUAIAB0AGEAYgBsAGUALgBcACIALABcAG4AIAAgACAAIAAgACAAIAAgAFMAbwByAHQATQBlAHMAcwBhAGcAZQAsACAAIAAgACAAXAAiAFIAYQB0AGUAQQB0AEQAYQB0AGUAuwMgAG4AZQBlAGQAcwAgAEUAZgBmAGUAYwB0AGkAdgBlAEQAYQB0AGUAcwAgAGkAbgAgAGEAcwBjAGUAbgBkAGkAbgBnACAAbwByAGQAZQByAC4AIABTAG8AcgB0ACAAdABoAGUAIAB0AGEAYgBsAGUAIABiAHkAIABcACIAXABuACAAIAAgACAAIAAgACAAIAAgACAAIAAgACAAIAAgACAAIAAgACAAIAAgACAAIAAgACYAIABcACIAZQBmAGYAZQBjAHQAaQB2AGUAIABkAGEAdABlAC4AXAAiACwAXABuACAAIAAgACAAIAAgACAAIABSAGUAcABlAGEAdABNAGUAcwBzAGEAZwBlACwAIAAgAFwAIgBSAGEAdABlAEEAdABEAGEAdABlALsDIABmAG8AdQBuAGQAIABhAG4AIABlAGYAZgBlAGMAdABpAHYAZQAgAGQAYQB0AGUAIAB0AGgAYQB0ACAAcgBlAHAAZQBhAHQAcwAuACAASwBlAGUAcAAgAG8AbgBlACAAcgBhAHQAZQAgAGYAbwByACAAZQBhAGMAaAAgAFwAIgBcAG4AIAAgACAAIAAgACAAIAAgACAAIAAgACAAIAAgACAAIAAgACAAIAAgACAAIAAgACAAJgAgAFwAIgBkAGEAdABlAC4AXAAiACwAXABuACAAIAAgACAALwAvACAAIABCAGkAbgBhAHIAeQAgAHMAZQBhAHIAYwBoACAAaQBzACAAcwBhAGYAZQAgAG8AbgBjAGUAIAB0AGgAZQAgAG8AcgBkAGUAcgAgAGkAcwAgAHAAcgBvAHYAZQBuAC4AIABOAG8AIABkAGEAdABlACAAYQB0ACAAbwByACAAYgBlAGYAbwByAGUAIAB0AGgAZQAgAGwAbwBvAGsAdQBwAFwAbgAgACAAIAAgAC8ALwAgACAAZABhAHQAZQAgAG0AZQBhAG4AcwAgAG4AbwAgAHIAYQB0AGUAIAB3AGEAcwAgAHkAZQB0ACAAaQBuACAAZQBmAGYAZQBjAHQAOgAgACMATgAvAEEALgBcAG4AIAAgACAAIAAgACAAIAAgAFIAZQBzAHUAbAB0ACwAIAAgACAAIAAgACAAIAAgACAASQBGACgASQBTAE4AVQBNAEIARQBSACgARABhAHQAZQBzACkALAAgAFgATABPAE8ASwBVAFAAKABEAGEAdABlAHMALAAgAFMAdABhAHIAdABzACwAIABWAGEAbAB1AGUAcwAsACAATgBBACgAKQAsACAALQAxACwAIAAyACkALAAgACMAVgBBAEwAVQBFACEAKQAsAFwAbgAgACAAIAAgAC8ALwAgACAAUgBlAHQAdQByAG4AIABSAGUAcwB1AGwAdAAsACAASABlAGwAcAAsACAAbwByACAAdABoAGUAIABtAGUAcwBzAGEAZwBlAFwAbgAgACAAIAAgACAAIAAgACAAUgBlAHQAdQByAG4ALAAgACAAIAAgACAAIAAgACAAIABJAEYAKABIAGUAbABwAD8ALAAgADIALAAgAEkARgAoAE4ATwBUACgAQwBvAG0AcABsAGUAdABlAD8AKQAsACAAMwAsACAASQBGACgAVQBuAHMAbwByAHQAZQBkAD8ALAAgADQALAAgAEkARgAoAFIAZQBwAGUAYQB0AGUAZAA/ACwAIAA1ACwAIAAxACkAKQApACkALABcAG4AIAAgACAAIAAgACAAIAAgAEMASABPAE8AUwBFACgAIABSAGUAdAB1AHIAbgAsACAAUgBlAHMAdQBsAHQALAAgAEgAZQBsAHAALAAgAEcAYQBwAE0AZQBzAHMAYQBnAGUALAAgAFMAbwByAHQATQBlAHMAcwBhAGcAZQAsACAAUgBlAHAAZQBhAHQATQBlAHMAcwBhAGcAZQApAFwAbgAgACAAIAAgACkAXABuACkAOwBcAG4AXABuAFwAbgBcAG4ALwAqACAAIABGAFUATgBDAFQASQBPAE4AIABOAEEATQBFADoAIAAgAEQAYQB0AGUARABpAGYAuwNcAG4AIAAgACAAIABEAEUAUwBDAFIASQBQAFQASQBPAE4AOgAqAC8ALwAqACoAVwBoAG8AbABlACAAeQBlAGEAcgBzACwAIABtAG8AbgB0AGgAcwAgAG8AcgAgAGQAYQB5AHMAIABiAGUAdAB3AGUAZQBuACAAdAB3AG8AIABkAGEAdABlAHMALAAgAGEAbgBkACAAdABoAGUAIAByAGUAbQBhAGkAbgBkAGUAcgBzACAARABBAFQARQBEAEkARgAgAGcAZQB0AHMAIAB3AHIAbwBuAGcAKgAvAFwAbgBcAG4ARABhAHQAZQBEAGkAZgC7AyAAPQAgAEwAQQBNAEIARABBACgAXABuAC8ALwAgACAAUABhAHIAYQBtAGUAdABlAHIAIABEAGUAYwBsAGEAcgBhAHQAaQBvAG4AXABuACAAIAAgACAAWwBTAHQAYQByAHQARABhAHQAZQBdACwAXABuACAAIAAgACAAWwBFAG4AZABEAGEAdABlAF0ALABcAG4AIAAgACAAIABbAFUAbgBpAHQ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EAdABlAEQAaQBmALsDKABTAHQAYQByAHQARABhAHQAZQAsACAARQBuAGQARABhAHQAZQAsACAAWwBVAG4AaQB0AF0AKQC2AFwAIgAgACYAXABuACAAIAAgACAAIAAgACAAIAAgACAAIAAgACAAIAAgACAAIAAgACAAIAAgACAAIAAgACAAIAAgACAAXAAiAEQARQBTAEMAUgBJAFAAVABJAE8ATgA6ACAAIAAgAJIhVwBoAG8AbABlACAAeQBlAGEAcgBzACwAIABtAG8AbgB0AGgAcwAgAG8AcgAgAGQAYQB5AHMAIABiAGUAdAB3AGUAZQBuACAAdAB3AG8AIABkAGEAdABlAHMALAAgAGEAbgBkACAAdABoAGUAIAByAGUAbQBhAGkAbgBkAGUAcgBzAC4AtgBOAE8AVABFAFMAIQAgACAAIAAgACAAIAAgACAAIACSIUUAeABjAGUAbAAgAGQAbwBjAHUAbQBlAG4AdABzACAARABBAFQARQBEAEkARgAgAGEAcwAgAGEAIABsAGUAZwBhAGMAeQAgAGMAbwBtAHAAYQB0AGkAYgBpAGwAaQB0AHkAIABmAHUAbgBjAHQAaQBvAG4AIABhAG4AZAAgAHcAYQByAG4AcwC2ACAAIAAgACAAIAAgACAAIAAgACAAIAAgACAAIAAgAJIhaQB0AHMAIABNAEQAIAB1AG4AaQB0ACAAYwBhAG4AIAByAGUAdAB1AHIAbgAgAGEAIABuAGUAZwBhAHQAaQB2AGUAIABvAHIAIAB3AHIAbwBuAGcAIABkAGEAeQAgAGMAbwB1AG4AdAAuACAAVABoAGkAcwAgAGMAbwB1AG4AdABzACAAYQC2ACAAIAAgACAAIAAgACAAIAAgACAAIAAgACAAIAAgAJIhbQBvAG4AdABoACAAYQBzACAAYwBvAG0AcABsAGUAdABlACAAdwBoAGUAbgAgAEUARABBAFQARQAoACkAIABvAGYAIAB0AGgAZQAgAHMAdABhAHIAdAAgAGQAYQB0AGUAIABoAGEAcwAgAGEAcgByAGkAdgBlAGQALAAgAHMAbwAgAGEAtgAgACAAIAAgACAAIAAgACAAIAAgACAAIAAgACAAIACSIW0AbwBuAHQAaAAgAGEAZgB0AGUAcgAgADMAMQAgAEoAYQBuAHUAYQByAHkAIABpAHMAIAB0AGgAZQAgAGwAYQBzAHQAIABkAGEAeQAgAG8AZgAgAEYAZQBiAHIAdQBhAHIAeQAsACAAYQBuAGQAIAB0AGEAawBlAHMAIABlAHYAZQByAHkAtgAgACAAIAAgACAAIAAgACAAIAAgACAAIAAgACAAIACSIXIAZQBtAGEAaQBuAGQAZQByACAAZgByAG8AbQAgAHQAaABlAHIAZQAuACAAQQAgAHIAZQB2AGUAcgBzAGUAZAAgAHIAYQBuAGcAZQAgAG8AcgAgAGEAbgAgAHUAbgBrAG4AbwB3AG4AIAB1AG4AaQB0ACAAcgBlAHQAdQByAG4AcwAgACMATgBVAE0AI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YAIABTAGUAcAAgADIAMAAyADYAtgBcACIAIAAmAFwAbgAgACAAIAAgACAAIAAgACAAIAAgACAAIAAgACAAIAAgACAAIAAgACAAIAAgACAAIAAgACAAIAAgAFwAIgBQAEEAUgBBAE0ARQBUAEUAUgBTADoAIAAgACAAIACSIbYAXAAiACAAJgBcAG4AIAAgACAAIAAgACAAIAAgACAAIAAgACAAIAAgACAAIAAgACAAIAAgACAAIAAgACAAIAAgACAAIABcACIAUwB0AGEAcgB0AEQAYQB0AGUAIAAgACAAIAAgACAAkiEoAFIAZQBxAHUAaQByAGUAZAApACAAVABoAGUAIABlAGEAcgBsAGkAZQByACAAZABhAHQAZQAsACAAbgB1AG0AZQByAGkAYwAgAG8AcgAgAHQAZQB4AHQALgC2AFwAIgAgACYAXABuACAAIAAgACAAIAAgACAAIAAgACAAIAAgACAAIAAgACAAIAAgACAAIAAgACAAIAAgACAAIAAgACAAXAAiAEUAbgBkAEQAYQB0AGUAIAAgACAAIAAgACAAIAAgAJIhKABSAGUAcQB1AGkAcgBlAGQAKQAgAFQAaABlACAAbABhAHQAZQByACAAZABhAHQAZQAsACAAbgB1AG0AZQByAGkAYwAgAG8AcgAgAHQAZQB4AHQALgC2AFwAIgAgACYAXABuACAAIAAgACAAIAAgACAAIAAgACAAIAAgACAAIAAgACAAIAAgACAAIAAgACAAIAAgACAAIAAgACAAXAAiAFUAbgBpAHQAIAAgACAAIAAgACAAIAAgACAAIAAgAJIhKABPAHAAdABpAG8AbgBhAGwAOgAgAEQAZQBmAGEAdQBsAHQAIAA9ACAARAApACAAWQAgAHcAaABvAGwAZQAgAHkAZQBhAHIAcwAsACAATQAgAHcAaABvAGwAZQAgAG0AbwBuAHQAaABzACwAIABEACAAZABhAHkAcwAsACAAWQBNACAAbQBvAG4AdABoAHMAIABsAGUAZgB0ACAAYQBmAHQAZQByACAAdABoAGUAIAB3AGgAbwBsAGUAIAB5AGUAYQByAHMALAAgAFkARAAgAGQAYQB5AHMAIABsAGUAZgB0ACAAYQBmAHQAZQByACAAdABoAGUAIAB3AGgAbwBsAGUAIAB5AGUAYQByAHMALAAgAE0ARAAgAGQAYQB5AHMAIABsAGUAZgB0ACAAYQBmAHQAZQByACAAdABoAGUAIAB3AGgAbwBsAGUAIABtAG8AbgB0AGg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QAYQB0AGUARABpAGYAuwMoAEQAQQBUAEUAKAAyADAAMgA2ACwAMQAsADMAMQApACwAIABEAEEAVABFACgAMgAwADIANgAsADMALAAxACkALAAgAFwAIgBcACIATQBEAFwAIgBcACIAKQC2AFwAIgAgACYAXABuACAAIAAgACAAIAAgACAAIAAgACAAIAAgACAAIAAgACAAIAAgACAAIAAgACAAIAAgACAAIAAgACAAXAAiAJIhUgBlAHMAdQBsAHQAtgBcACIAIAAmAFwAbgAgACAAIAAgACAAIAAgACAAIAAgACAAIAAgACAAIAAgACAAIAAgACAAIAAgACAAIAAgACAAIAAgAFwAIgCSITE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MAdABhAHIAdABEAGEAdABlACkALAAgAEkAUwBPAE0ASQBUAFQARQBEACgARQBuAGQARABhAHQAZQApACkALABcAG4AIAAgACAAIAAvAC8AIAAgAFQAZQB4AHQAIABkAGEAdABlAHMAIABhAHIAZQAgAHIAZQBhAGQAOwAgAGEAIABiAGwAYQBuAGsAIABVAG4AaQB0ACAAYwBlAGwAbAAgAGkAcwAgAG4AbwB0ACAAYQBuACAAbwBtAGkAdAB0AGUAZAAgAGEAcgBnAHUAbQBlAG4AdAAsACAAcwBvACAAdABlAHMAdAAgAGYAbwByACAAYgBvAHQAaABcAG4AIAAgACAAIAAgACAAIAAgAFMAdABhAHIAdAAsACAAIAAgACAAIAAgACAAIAAgACAASQBGACgASQBTAE4AVQBNAEIARQBSACgAUwB0AGEAcgB0AEQAYQB0AGUAKQAsACAAUwB0AGEAcgB0AEQAYQB0AGUALAAgAEQAQQBUAEUAVgBBAEwAVQBFACgAUwB0AGEAcgB0AEQAYQB0AGUAKQApACwAXABuACAAIAAgACAAIAAgACAAIABGAGkAbgBpAHMAaAAsACAAIAAgACAAIAAgACAAIAAgAEkARgAoAEkAUwBOAFUATQBCAEUAUgAoAEUAbgBkAEQAYQB0AGUAKQAsACAARQBuAGQARABhAHQAZQAsACAARABBAFQARQBWAEEATABVAEUAKABFAG4AZABEAGEAdABlACkAKQAsAFwAbgAgACAAIAAgAC8ALwAgACAARQBsAGUAbQBlAG4AdAAtAHcAaQBzAGUALAAgAHMAbwAgAG8AbgBlACAAYgBsAGEAbgBrACAAVQBuAGkAdAAgAGkAbgAgAGEAIABjAG8AbAB1AG0AbgAgAGQAZQBmAGEAdQBsAHQAcwAgAGkAdABzACAAbwB3AG4AIAByAG8AdwAgAGEAbgBkACAAbgBvAHQAIABlAHYAZQByAHkAIAByAG8AdwBcAG4AIAAgACAAIAAgACAAIAAgAEMAbwBkAGUALAAgACAAIAAgACAAIAAgACAAIAAgACAASQBGACgASQBTAE8ATQBJAFQAVABFAEQAKABVAG4AaQB0ACkALAAgAFwAIgBEAFwAIgAsACAASQBGACgAVQBuAGkAdAAgAD0AIABcACIAXAAiACwAIABcACIARABcACIALAAgAFUAUABQAEUAUgAoAFUAbgBpAHQAKQApACkALABcAG4AIAAgACAAIAAvAC8AIAAgAEMAYQBsAGUAbgBkAGEAcgAgAG0AbwBuAHQAaABzACAAYwByAG8AcwBzAGUAZAAsACAAbABlAHMAcwAgAG8AbgBlACAAdwBoAGUAbgAgAHQAaABlACAAbABhAHMAdAAgAGgAYQBzACAAbgBvAHQAIAB5AGUAdAAgAGMAbwBtAHAAbABlAHQAZQBkAFwAbgAgACAAIAAgACAAIAAgACAAUgBhAHcATQBvAG4AdABoAHMALAAgACAAIAAgACAAIAAxADIAIAAqACAAKABZAEUAQQBSACgARgBpAG4AaQBzAGgAKQAgAC0AIABZAEUAQQBSACgAUwB0AGEAcgB0ACkAKQAgACsAIABNAE8ATgBUAEgAKABGAGkAbgBpAHMAaAApACAALQAgAE0ATwBOAFQASAAoAFMAdABhAHIAdAApACwAXABuACAAIAAgACAAIAAgACAAIABNAG8AbgB0AGgAcwAsACAAIAAgACAAIAAgACAAIAAgAFIAYQB3AE0AbwBuAHQAaABzACAALQAgACgARQBEAEEAVABFACgAUwB0AGEAcgB0ACwAIABSAGEAdwBNAG8AbgB0AGgAcwApACAAPgAgAEYAaQBuAGkAcwBoACkALABcAG4AIAAgACAAIAAgACAAIAAgAFkAZQBhAHIAcwAsACAAIAAgACAAIAAgACAAIAAgACAASQBOAFQAKABNAG8AbgB0AGgAcwAgAC8AIAAxADIAKQAsAFwAbgAgACAAIAAgACAAIAAgACAAUgBlAHMAdQBsAHQALAAgACAAIAAgACAAIAAgACAAIABJAEYAKABGAGkAbgBpAHMAaAAgADwAIABTAHQAYQByAHQALABcAG4AIAAgACAAIAAgACAAIAAgACAAIAAgACAAIAAgACAAIAAgACAAIAAgACAAIAAgACAAIAAgACAAIAAjAE4AVQBNACEALABcAG4AIAAgACAAIAAgACAAIAAgACAAIAAgACAAIAAgACAAIAAgACAAIAAgACAAIAAgACAAIAAgACAAIABTAFcASQBUAEMASAAoAEMAbwBkAGUALABcAG4AIAAgACAAIAAgACAAIAAgACAAIAAgACAAIAAgACAAIAAgACAAIAAgACAAIAAgACAAIAAgACAAIAAgACAAIAAgAFwAIgBZAFwAIgAsACAAWQBlAGEAcgBzACwAXABuACAAIAAgACAAIAAgACAAIAAgACAAIAAgACAAIAAgACAAIAAgACAAIAAgACAAIAAgACAAIAAgACAAIAAgACAAIABcACIATQBcACIALAAgAE0AbwBuAHQAaABzACwAXABuACAAIAAgACAAIAAgACAAIAAgACAAIAAgACAAIAAgACAAIAAgACAAIAAgACAAIAAgACAAIAAgACAAIAAgACAAIABcACIARABcACIALAAgAEYAaQBuAGkAcwBoACAALQAgAFMAdABhAHIAdAAsAFwAbgAgACAAIAAgACAAIAAgACAAIAAgACAAIAAgACAAIAAgACAAIAAgACAAIAAgACAAIAAgACAAIAAgACAAIAAgACAAXAAiAFkATQBcACIALAAgAE0AbwBuAHQAaABzACAALQAgADEAMgAgACoAIABZAGUAYQByAHMALABcAG4AIAAgACAAIAAgACAAIAAgACAAIAAgACAAIAAgACAAIAAgACAAIAAgACAAIAAgACAAIAAgACAAIAAgACAAIAAgAFwAIgBZAEQAXAAiACwAIABGAGkAbgBpAHMAaAAgAC0AIABFAEQAQQBUAEUAKABTAHQAYQByAHQALAAgADEAMgAgACoAIABZAGUAYQByAHMAKQAsAFwAbgAgACAAIAAgACAAIAAgACAAIAAgACAAIAAgACAAIAAgACAAIAAgACAAIAAgACAAIAAgACAAIAAgACAAIAAgACAAXAAiAE0ARABcACIALAAgAEYAaQBuAGkAcwBoACAALQAgAEUARABBAFQARQAoAFMAdABhAHIAdAAsACAATQBvAG4AdABoAHMAKQAsAFwAbgAgACAAIAAgACAAIAAgACAAIAAgACAAIAAgACAAIAAgACAAIAAgACAAIAAgACAAIAAgACAAIAAgACAAIAAgACAAIwBOAFUATQAh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EUAcwBzAGUAbgB0AGkAYQBsAHMAIgAsACIAdABlAHgAdAAiADoAIgAvACoAIAAgAEYAVQBOAEMAVABJAE8ATgAgAE4AQQBNAEUAOgAgACAAQQBiAG8AdQB0AEUAcwBzAGUAbgB0AGkAYQBsAHMAuwNcAG4AIAAgACAAIABEAEUAUwBDAFIASQBQAFQASQBPAE4AOgAqAC8ALwAqACoARABpAHMAcABsAGEAeQBzACAAdABoAGkAcwAgAG0AbwBkAHUAbABlACcAcwAgAHIAZQBwAG8AcwBpAHQAbwByAHkAIABVAFIATAAgAGEAbgBkACAAZgB1AG4AYwB0AGkAbwBuACAAbABpAHMAdAAqAC8AXABuAFwAbgBBAGIAbwB1AHQARQBzAHMAZQBuAHQAaQBhAGw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8AegC2AFwAIgAgACYAXABuACAAIAAgACAAXAAiAFYAZQByAHMAaQBvAG4AOgAgACAAIAAgACAAIAAgACAAIAAgACAAIAAgACAAIAAgACAAIAAgAJIhMgAwACAAQQB1AGcAIAAyADAAMgA2ALYAXAAiACAAJgBcAG4AIAAgACAAIABcACIAUgBlAHAAbwBzAGkAdABvAHIAeQA6ACAAIAAgACAAIAAgACAAIAAgACAAIAAgACAAIAAgACAAIAAgAJIhaAB0AHQAcABzADoALwAvAGcAaQB0AGgAdQBiAC4AYwBvAG0ALwByAHkAYQBuAGQAdQBnAHUAaQBkAC8ATwB6AHoAaQB0ACAAtgBcACIAIAAmAFwAbgAgACAAIAAgAFwAIgCSIbYAXAAiACAAJgBcAG4AIAAgACAAIABcACIARgB1AG4AYwB0AGkAbwBuACAAIAAgACAAIAAgACAAIAAgACAAIAAgACAAIAAgACAAIAAgACAAkiFEAGUAcwBjAHIAaQBwAHQAaQBvAG4AtgBcACIAIAAmACAAXABuACAAIAAgACAAXAAiAEEAYgBvAHUAdABFAHMAcwBlAG4AdABpAGEAbABz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RQ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BF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AuACAARQBtAHAAdAB5ACAAdABlAHgAdAAgAHIAZQB0AHUAcgBuAHMAIAAw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C4AIABBACAAcwBpAG4AZwBsAGUAIABjAGgAYQByAGEAYwB0AGUAcgAgAGkAcwAgAHQAYQBrAGUAbgAgAGEAcwAgAGkAdABzAGUAbABmACwAIABzAG8AIABhACAAYwBvAG0AbQBhACAAdwBvAHIAawBz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AuACAATwBuAGUAIABjAGgAYQByAGEAYwB0AGUAcgAgAGkAcwAgAHQAYQBrAGUAbgAgAGEAcwAgAGkAdABzAGUAbABmACwAIABzAG8AIABhACAAYwBvAG0AbQBhACAAYwBhAG4AIABiAGUAIABhAHMAawBlAGQAIABmAG8AcgA7AFwAbgAgACAAIAAgAC8ALwAgACAAMgAgAG8AcgAgAG0AbwByAGUAIABhAHIAZQAgAHIAZQBhAGQAIABhAHMAIAB0AGgAZQAgAGMAbwBtAG0AYQAgAHMAZQBwAGEAcgBhAHQAZQBkACAAbABpAHMAdAAgAHQAaABlACAAaABlAGwAcAAgAGQAZQBzAGMAcgBpAGIAZQBzAC4AXABuACAAIAAgACAAIAAgACAAIABDAGgAYQByAGEAYwB0AGUAcgBzACwAIAAgACAAIAAgAEkARgAoACAATABFAE4AKAAgAEMAaABhAHIAYQBjAHQAZQByAHMAKQAgAD0AIAAxACwAIABDAGgAYQByAGEAYwB0AGUAcgBzACwAIABUAEUAWABUAFMAUABMAEkAVAAoACAAQwBoAGEAcgBhAGMAdABlAHIAcwAsACAAXAAiACwAXAAiACAAKQApACwAXABuACAAIAAgACAALwAvACAAIABQAHIAbwBjAGUAZAB1AHIAZQAuACAARQBtAHAAdAB5ACAAdABlAHgAdAAgAGgAbwBsAGQAcwAgAG4AbwBuAGUAIABvAGYAIAB0AGgAZQBtACwAIABhAG4AZAAgAFQARQBYAFQAUwBQAEwASQBUACAAaABhAHMAIABuAG8AdABoAGkAbgBnACAAdABvACAAcwBwAGwAaQB0AC4AXABuACAAIAAgACAAIAAgACAAIABSAGUAcwB1AGwAdAAsACAAIAAgACAAIAAgACAAIAAgAEkARgAoACAATABFAE4AKAAgAFQAZQB4AHQAKQAgAD0AIAAwACwAIAAwACwAXABuACAAIAAgACAAIAAgACAAIAAgACAAIAAgACAAIAAgACAAIAAgACAAIAAgACAAIAAgACAAIAAgACAATABFAE4AKAAgAFQAZQB4AHQAKQAgAC0AIABTAFUATQAoACAATABFAE4AKAAgAFQARQBYAFQAUwBQAEwASQBUACgAIABUAGUAeAB0ACwAIABDAGgAYQByAGEAYwB0AGUAcgBzACk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LsDXABuACAAIAAgACAARABFAFMAQwBSAEkAUABUAEkATwBOADoAKgAvAC8AKgAqAEcAZQB0ACAAdABoAGUAIAB0AG8AdABhAGwAIABmAG8AcgAgAGUAYQBjAGgAIAByAG8AdwAqAC8AXABuAFMAdQBt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LsDXABuACAAIAAgACAARABFAFMAQwBSAEkAUABUAEkATwBOADoAKgAvAC8AKgAqAEcAZQB0ACAAdABoAGUAIAB0AG8AdABhAGwAIABmAG8AcgAgAGUAYQBjAGgAIABDAG8AbAB1AG0AbgAqAC8AXABuAFMAdQBt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LsDXABuACAAIAAgACAARABFAFMAQwBSAEkAUABUAEkATwBOADoAKgAvAC8AKgAqAEcAZQB0ACAAdABoAGUAIABhAHYAZQByAGEAZwBlACAAZgBvAHIAIABlAGEAYwBoACAAcgBvAHcAKgAvAFwAbgBBAHYAZw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dgBn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C7A1wAbgAgACAAIAAgAEQARQBTAEMAUgBJAFAAVABJAE8ATgA6ACoALwAvACoAKgBHAGUAdAAgAHQAaABlACAAYQB2AGUAcgBhAGcAZQAgAGYAbwByACAAZQBhAGMAaAAgAEMAbwBsAHUAbQBuACoALwBcAG4AQQB2AGc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dgBn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C7A1wAbgAgACAAIAAgAEQARQBTAEMAUgBJAFAAVABJAE8ATgA6ACoALwAvACoAKgBHAGUAdAAgAHQAaABlACAAbQBpAG4AaQBtAHUAbQAgAGYAbwByACAAZQBhAGMAaAAgAHIAbwB3ACoALwBcAG4ATQBpAG4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C7A1wAbgAgACAAIAAgAEQARQBTAEMAUgBJAFAAVABJAE8ATgA6ACoALwAvACoAKgBHAGUAdAAgAHQAaABlACAAbQBpAG4AaQBtAHUAbQAgAGYAbwByACAAZQBhAGMAaAAgAEMAbwBsAHUAbQBuACoALwBcAG4ATQBpAG4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kAbg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LsDXABuACAAIAAgACAARABFAFMAQwBSAEkAUABUAEkATwBOADoAKgAvAC8AKgAqAEcAZQB0ACAAdABoAGUAIABtAGEAeABpAG0AdQBtACAAZgBvAHIAIABlAGEAYwBoACAAcgBvAHcAKgAvAFwAbgBNAGEAe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EAeA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LsDXABuACAAIAAgACAARABFAFMAQwBSAEkAUABUAEkATwBOADoAKgAvAC8AKgAqAEcAZQB0ACAAdABoAGUAIABtAGEAeABpAG0AdQBtACAAZgBvAHIAIABlAGEAYwBoACAAQwBvAGwAdQBtAG4AKgAvAFwAbgBNAGEAe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LsDKAAgAEEAcgByAGEAeQApALYAXAAiACAAJgBcAG4AIAAgACAAIAAgACAAIAAgACAAIAAgACAAIAAgACAAIAAgACAAIAAgACAAIAAgACAAIAAgACAAIABcACIARABFAFMAQwBSAEkAUABUAEkATwBOADoAIAAgACAAkiFHAGUAdAAgAHQAaABlACAAbQBhAHg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uwNcAG4AIAAgACAAIABEAEUAUwBDAFIASQBQAFQASQBPAE4AOgAqAC8ALwAqACoAQwBvAHUAbgB0ACAAZQB2AGUAcgB5AHQAaABpAG4AZwAgAGkAbgAgAGUAYQBjAGgAIAByAG8AdwAqAC8AXABuAEMAbwB1AG4AdABB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B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LsDXABuACAAIAAgACAARABFAFMAQwBSAEkAUABUAEkATwBOADoAKgAvAC8AKgAqAEMAbwB1AG4AdAAgAGUAdgBlAHIAeQB0AGgAaQBuAGcAIABpAG4AIABlAGEAYwBoACAAYwBvAGwAdQBtAG4AKgAvAFwAbgBDAG8AdQBuAHQAQ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B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C7A1wAbgAgACAAIAAgAEQARQBTAEMAUgBJAFAAVABJAE8ATgA6ACoALwAvACoAKgBDAG8AdQBuAHQAIABuAHUAbQBiAGUAcgBzACAAaQBuACAAZQBhAGMAaAAgAHIAbwB3ACoALwBcAG4AQwBvAHUAbgB0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LsDXABuACAAIAAgACAARABFAFMAQwBSAEkAUABUAEkATwBOADoAKgAvAC8AKgAqAEMAbwB1AG4AdAAgAG4AdQBtAGIAZQByAHMAIABpAG4AIABlAGEAYwBoACAAYwBvAGwAdQBtAG4AKgAvAFwAbgBDAG8AdQBuAHQ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uwMoACAAQQByAHIAYQB5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BFALsDXABuACAAIAAgACAARABFAFMAQwBSAEkAUABUAEkATwBOADoAKgAvAC8AKgAqAEQAZQB0AGUAcgBtAGkAbgBlACAAaQBmACAAYQAgAHYAYQBsAHUAZQAgAGkAcwAgAGIAZQB0AHcAZQBlAG4AIABhACAAbABvAHcAZQByACAAYQBuAGQAIAB1AHAAcABlAHIAIABsAGkAbQBpAHQAKgAvAFwAbgBJAHMAQgBlAHQAdwBlAGUAbgBF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BF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dw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aABpAGcAaA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dwAgAGEAbgBkAC8AbwByACAASABp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BFALsDKAAxACwAIAAyACwAIAA0ACkAtgBcACIAIAAmACAAXABuACAAIAAgACAAIAAgACAAIAAgACAAIAAgACAAIAAgACAAIAAgACAAIAAgACAAIAAgACAAIAAgACAAXAAiAFQAUgBVAEUAIAAgACAAIAAgACAAIAAgACAAIAAgAJIhPQBJAHMAQgBlAHQAdwBlAGUAbgBFALsDKAAyACwAIAAyACwAIAA0ACkAtgBcACIAIAAmACAAXABuACAAIAAgACAAIAAgACAAIAAgACAAIAAgACAAIAAgACAAIAAgACAAIAAgACAAIAAgACAAIAAgACAAXAAiAEYAQQBMAFMARQAgACAAIAAgACAAIAAgACAAIAAgAJIhPQBJAHMAQgBlAHQAdwBlAGUAbgBF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FMAZQB0ACAAbwBwAHQAaQBvAG4AYQBsACAAYQByAGcAdQBtAGUAbgB0AHMAIABkAGUAZgBhAHUAbAB0AHMAXABuACAAIAAgACAAIAAgACAAIABJAG4AYwBsAHUAcwBpAHYAZQAsACAAIAAgACAAIAAgAEkARgAoACAASQBTAEwATwBHAEkAQwBBAEwAKAAgAEkAbgBjAGwAdQBzAGkAdgBlACkALAAgAEkAbgBjAGwAdQBzAGkAdgBlACwAIABUAFIAVQBF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uwNcAG4AIAAgACAAIABEAEUAUwBDAFIASQBQAFQASQBPAE4AOgAqAC8ALwAqACoARABlAHQAZQByAG0AaQBuAGUAIAB3AGgAZQB0AGgAZQByACAAYQAgAHYAYQBsAHUAZQAgAGkAcwAgAG8AbgBlACAAbwBmACAAYQAgAGwAaQBzAHQAIABvAGYAIABpAHQAZQBtAHMAKgAvAFwAbgBJAHMASQBuAEwAaQBzAHQAuwMgAD0AIABMAEEATQBCAEQAQQAoAFwAbgAvAC8AIAAgAFAAYQByAGEAbQBlAHQAZQByACAARABlAGMAbABhAHIAYQB0AGkAbwBuAHMAXABuACAAIAAgACAAWwBWAGEAbAB1AGUAXQAsAFwAbgAgACAAIAAgAFsATABpAHMAdABdACwAXABuAC8ALwAgACAASABlAGwAcABcAG4AIAAgACAAIABMAEUAVAAoAEgAZQBsAHAALAAgACAAIAAgACAAIAAgACAAIAAgACAAVABSAEkATQAoAFQARQBYAFQAUwBQAEwASQBUACgAIABcAG4AIAAgACAAIAAgACAAIAAgACAAIAAgACAAIAAgACAAIAAgACAAIAAgACAAIAAgACAAIAAgACAAIABcACIARgBVAE4AQwBUAEkATwBOADoAIAAgACAAIAAgACAAkiFJAHMASQBuAEwAaQBzAHQAuwMoACAAVgBhAGwAdQBlACwAIABMAGkAcwB0ACkAtgBcACIAIAAmAFwAbgAgACAAIAAgACAAIAAgACAAIAAgACAAIAAgACAAIAAgACAAIAAgACAAIAAgACAAIAAgACAAIAAgAFwAIgBEAEUAUwBDAFIASQBQAFQASQBPAE4AOgAgACAAIACSIUQAZQB0AGUAcgBtAGkAbgBlACAAaQBmACAAYQAgAHYAYQBsAHUAZQAgAGkAcwAgAG8AbgBlACAAbwBmACAAYQAgAGwAaQBzAHQAIABvAGYAIABpAHQAZQBtAHM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kAcwB0ACAAIAAgACAAIAAgACAAIAAgACAAIACSISgAUgBlAHEAdQBpAHIAZQBkACkAIABBACAAbABpAHMAdAAgAG8AZgAgAHYAYQBsAHUAZQBzACAAdABvACAAYwBoAGUAYwBrADoAIABhACAAcgBvAHcALAAgAGEAIABjAG8AbAB1AG0AbgAgAG8AcgAgAGEAIABnAHIAaQBkAC4AtgBcACIAIAAmAFwAbgAgACAAIAAgACAAIAAgACAAIAAgACAAIAAgACAAIAAgACAAIAAgACAAIAAgACAAIAAgACAAIAAgAFwAIgBOAE8AVABFACEAIAAgACAAIAAgACAAIAAgACAAIACSIVQAaABlACAAYwBvAG0AcABhAHIAaQBzAG8AbgAgAGkAcwAgAGUAeABhAGMAdAAgAGEAbgBkACAAYwBhAHMAZQAtAGkAbgBzAGUAbgBzAGkAdABpAHYAZQA7ACAAKgAgAGEAbgBkACAAPwAgAGEAcgBlACAAbwByAGQAaQBuAGEAcgB5ACAAYwBoAGEAcgBhAGMAdABlAHIAcwAu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uwMoADEALAAgAHsAMgAsADMALAA0AH0AKQC2AFwAIgAgACYAIABcAG4AIAAgACAAIAAgACAAIAAgACAAIAAgACAAIAAgACAAIAAgACAAIAAgACAAIAAgACAAIAAgACAAIABcACIAVABSAFUARQAgACAAIAAgACAAIAAgACAAIAAgACAAkiE9AEkAcwBJAG4ATABpAHMAdAC7AygAMQAsACAAewAxACwAMwAsADUAfQApALYAXAAiACAAJgAgAFwAbgAgACAAIAAgACAAIAAgACAAIAAgACAAIAAgACAAIAAgACAAIAAgACAAIAAgACAAIAAgACAAIAAgAFwAIgCSIVwAIgAs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kAcwB0ACkAXABuACAAIAAgACAAIAAgACAAIAAgACAAIAAgACAAIAAgACAAIAAgACAAIAAgACAAIAAgACkALABcAG4AIAAgACAAIAAvAC8AIAAgAFAAcgBvAGMAZQBkAHUAcgBlAFwAbgAgACAAIAAgAC8ALwAgACAARgBsAGEAdAB0AGUAbgAgAHQAaABlACAAbABpAHMAdAAgAGYAaQByAHMAdAA6ACAATQBBAFQAQwBIACAAbgBlAGUAZABzACAAbwBuAGUAIABkAGkAbQBlAG4AcwBpAG8AbgAgAGEAbgBkACAAdAByAGUAYQB0AHMAIAAqACAAYQBuAGQAIAA/ACAAYQBzACAAdwBpAGwAZABjAGEAcgBkAHMAXABuACAAIAAgACAAIAAgACAAIABSAGUAcwB1AGwAdAAsACAAIAAgACAAIAAgACAAIAAgAEkAUwBOAFUATQBCAEUAUgAoACAAWABNAEEAVABDAEgAKAAgAFYAYQBsAHUAZQAsACAAVABPAEMATwBMACgAIABMAGkAcwB0ACkALAAgADA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BFALsDXABuACAAIAAgACAARABFAFMAQwBSAEkAUABUAEkATwBOADoAKgAvAC8AKgAqAEMAbwBuAHYAZQByAHQAIABhACAAcgBhAG4AZwBlACAAcgBlAGYAZQByAGUAbgBjAGUAIAB0AG8AIABhACAAZAB5AG4AYQBtAGkAYwAgAGEAcgByAGEAeQAgAHIAZQBmAGUAcgBlAG4AYwBlACoALwBcAG4AUgBhAG4AZwBlAFQAbwBEAEEAR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EU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PAHoAegBpAHQ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E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EYAaQBuAGEAbgBjAGkAYQBsACIALAAiAHQAZQB4AHQAIgA6ACIALwAqACAAIABGAFUATgBDAFQASQBPAE4AIABOAEEATQBFADoAIAAgAEEAYgBvAHUAdABGAGkAbgBhAG4AYwBpAGEAbAC7A1wAbgAgACAAIAAgAEQARQBTAEMAUgBJAFAAVABJAE8ATgA6ACoALwAvACoAKgBEAGkAcwBwAGwAYQB5AHMAIAB0AGgAaQBzACAAbQBvAGQAdQBsAGUAJwBzACAAcgBlAHAAbwBzAGkAdABvAHIAeQAgAFUAUgBMACAAYQBuAGQAIABmAHUAbgBjAHQAaQBvAG4AIABsAGkAcwB0ACoALwBcAG4AXABuAEEAYgBvAHUAdABGAGkAbgBhAG4AYwBpAGEAbAC7AyAAPQAgAFQAUgBJAE0AKABUAEUAWABUAFMAUABMAEkAVAAoAFwAbgAgACAAIAAgAFwAIgBBAEIATwBVAFQAOgAgACAAIAAgACAAIAAgACAAIAAgACAAIAAgAJIhTwB6AHoAaQB0ACcAcwAgAEYAaQBuAGEAbgBjAGkAYQBsACAATQBvAGQAZQBsAHMAIABtAG8AZAB1AGwAZQAuACAAUwB1AGcAZwBlAHMAdABlAGQAIABtAG8AZAB1AGwAZQAgAG4AYQBtAGUAOgAgAG8AegC2AFwAIgAgACYAXABuACAAIAAgACAAXAAiAFYARQBSAFMASQBPAE4AOgAgACAAIAAgACAAIAAgACAAIAAgACAAkiE2ACAAUwBlAHAAIAAyADAAMgA2ALYAXAAiACAAJgBcAG4AIAAgACAAIABcACIAUgBFAFAATwBTAEkAVABPAFIAWQA6ACAAIAAgACAAIAAgACAAIAAgACAAkiFoAHQAdABwAHMAOgAvAC8AZwBpAHQAaAB1AGIALgBjAG8AbQAvAHIAeQBhAG4AZAB1AGcAdQBpAGQALwBPAHoAegBpAHQAIAC2AFwAIgAgACYAXABuACAAIAAgACAAXAAiAFcARQBCAFMASQBUAEUAOgAgACAAIAAgACAAIAAgACAAIAAgACAAkiFoAHQAdABwAHMAOgAvAC8AZwBpAHQAaAB1AGIALgBjAG8AbQAvAHIAeQBhAG4AZAB1AGcAdQBpAGQALwBPAHoAegBpAHQAIAC2AFwAIgAgACYAXABuACAAIAAgACAAXAAiAJIhtgBcACIAIAAmAFwAbgAgACAAIAAgAFwAIgBGAFUATgBDAFQASQBPAE4AIAAgACAAIAAgACAAIAAgACAAIAAgAJIhRABFAFMAQwBSAEkAUABUAEkATwBOALYAXAAiACAAJgAgAFwAbgAgACAAIAAgAFwAIgBBAGIAbwB1AHQARgBpAG4AYQBuAGMAaQBhAGwAuwMgACAAIAAgACAAIAAgACAAIAAgACAAIAAgAJIhUAByAG8AZAB1AGMAZQBzACAAdABoAGkAcwAgAHQAYQBiAGwAZQC2AFwAIgAgACYAIABcAG4AIAAgACAAIABcACIAQwBvAHIAawBzAGMAcgBlAHcAuwMgACAAIAAgACAAIAAgACAAIACSIUMAcgBlAGEAdABlAHMAIABhACAAcwBpAG0AcABsAGUAIABjAG8AcgBrAHMAYwByAGUAdwAgAHcAaABlAHIAZQAgAHQAaABlACAAYwBsAG8AcwBpAG4AZwAgAGIAYQBsAGEAbgBjAGUAIABpAHMAIAB0AGgAZQAgAHMAdQBtACAAbwBmACAAaQBuAGQAZQBwAGUAbgBkAGUAbgB0ACAAZgBsAG8AdwBzACAAcABsAHUAcwAgAG8AcABlAG4AaQBuAGcAIABiAGEAbABhAG4AYwBlALYAXAAiACAAJgBcAG4AIAAgACAAIABcACIAQwBvAHIAawBTAGMAcgBlAHcAUgBlAHYAZQByAHMAYQBsALsDIACSIUMAcgBlAGEAdABlACAAYQAgAGMAbwByAGsAcwBjAHIAZQB3ACAAdwBoAGUAcgBlACAAdABoAGUAIABvAHAAZQBuAGkAbgBnACAAYgBhAGwAYQBuAGMAZQAgAGkAcwAgAHIAZQB2AGUAcgBzAGUAZAAgAGkAbgAgAHQAaABlACAAbgBlAHgAdAAgAHAAZQByAGkAbwBkACAAYgBhAHMAZQBkACAAbwBuACAAYQAgAHQAaQBtAGkAbgBnACAAcgBvAHcAtgBcACIAIAAmAFwAbgAgACAAIAAgAFwAIgBDAHUAbQB1AGwAYQB0AGkAdgBlALsDIAAgACAAIAAgACAAIAAgAJIhQwByAGUAYQB0AGUAcwAgAGEAIAByAG8AdwAgAG8AcgAgAGMAbwBsAHUAbQBuACAAbwBmACAAYwB1AG0AdQBsAGEAdABpAHYAZQAgAHQAbwB0AGEAbABzACAAZgByAG8AbQAgAGEAIAB0AG8AdABhAGwAIAByAG8AdwAgAG8AcgAgAGMAbwBsAHUAbQBuALYAXAAiACAAJgBcAG4AIAAgACAAIABcACIASQBuAHQATwBuAEkAbgB0ALsDIAAgACAAIAAgACAAIAAgACAAIACSIUMAYQBsAGMAdQBsAGEAdABlACAASQBuAHQAZQByAGUAcwB0ACAAbwBuACAASQBuAHQAZQByAGUAcwB0AC4AIABVAHMAZQAgAHQAbwAgAGQAZQB0AGUAcgBtAGkAbgBlACAAYQBtAG8AdQBuAHQAIABuAGUAZQBkAGUAZAAgAHQAbwAgAGMAbwB2AGUAcgAgAGQAZQBiAHQAIABwAGwAdQBzACAAaQBuAHQAZQByAGUAcwB0ACAAbwBuACAAZABlAGIAdAC2AFwAIgAgACYAIABcAG4AIAAgACAAIABcACIASQBSAFIAuwMgACAAIAAgACAAIAAgACAAIAAgACAAIAAgACAAIACSIUMAYQBsAGMAdQBsAGEAdABlAHMAIABJAFIAUgAsACAAYwBvAHIAcgBlAGMAdABpAG4AZwAgAGYAbwByACAAdwBoAGUAbgAgAHQAaABlACAAZgBpAHIAcwB0ACAAaQBuAHYAZQBzAHQAbQBlAG4AdAAgAGkAcwAgAG4AbwB0ACAAaQBuACAAdABoAGUAIABmAGkAcgBzAHQAIABwAGUAcgBpAG8AZAC2AFwAIgAgACYAIABcAG4AIAAgACAAIABcACIATQBvAHYAZQBtAGUAbgB0ALsDIAAgACAAIAAgACAAIAAgACAAIACSIUMAcgBlAGEAdABlACAAYQAgAHIAbwB3ACAAbwBmACAAZABpAGYAZgBlAHIAZQBuAGMAZQBzACAAZgByAG8AbQAgAGMAbwBsAHUAbQBuACAAdABvACAAYwBvAGwAdQBtAG4AtgBcACIAIAAmACAAXABuACAAIAAgACAAXAAiAFIAZQB2AGUAcgBzAGEAbAC7AyAAIAAgACAAIAAgACAAIAAgACAAkiFDAHIAZQBhAHQAZQAgAGEAIAByAG8AdwAgAHQAaABhAHQAIAByAGUAdgBlAHIAcwBlAHMAIABpAG4AcAB1AHQAIAB2AGEAbAB1AGUAcwAgAGkAbgAgAHQAaABlACAAbgBlAHgAdAAgAHAAZQByAGkAbwBkAC4AtgBcACIAIAAmACAAXABuACAAIAAgACAAXAAiAFIAbwBsAGwAaQBuAGcAQQB2AGcAuwMgACAAIAAgACAAIAAgACAAkiFDAHIAZQBhAHQAZQBzACAAYQB2AGUAcgBhAGcAZQBzACAAZgBvAHIAIABwAHIAZQBjAGUAZABpAG4AZwAgAHYAYQBsAHUAZQBzACAAbwBmACAAYQAgAHMAZQB0ACAAcwBpAHoAZQAgAG0AbwB2AGkAbgBnACAAZgByAG8AbQAgAGIAZQBnAGkAbgBuAGkAbgBnACAAdABvACAAZQBuAGQAIABvAHYAZQByACAAYQAgAHIAbwB3ACAAbwBmACAAdgBhAGwAdQBlAHMALgC2AFwAIgAgACYAXABuACAAIAAgACAAXAAiAFIAbwBsAGwAaQBuAGcATQBhAHgAuwMgACAAIAAgACAAIAAgACAAkiFGAGkAbgBkAHMAIAB0AGgAZQAgAG0AYQB4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NAGkAbgC7AyAAIAAgACAAIAAgACAAIACSIUYAaQBuAGQAcwAgAHQAaABlACAAbQBpAG4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FMAdQBtALsDIAAgACAAIAAgACAAIAAgAJIhQwByAGUAYQB0AGUAcwAgAHQAbwB0AGEAbABzACAAZgBvAHIAIABwAHIAZQBjAGUAZABpAG4AZwAgAHYAYQBsAHUAZQBzACAAbwBmACAAYQAgAHMAZQB0ACAAcwBpAHoAZQAgAG0AbwB2AGkAbgBnACAAZgByAG8AbQAgAGIAZQBnAGkAbgBuAGkAbgBnACAAdABvACAAZQBuAGQAIABvAHYAZQByACAAYQAgAHIAbwB3ACAAbwBmACAAdgBhAGwAdQBlAHMALgC2AFwAIgAgACYAXABuACAAIAAgACAAXAAiAFMAdQBtAEMAbwBuAHQAYQBpAG4AcwC7AyAAIAAgACAAIAAgACAAkiFDAHIAZQBhAHQAZQBzACAAYQAgAHIAbwB3ACAAbwBmACAAdABvAHQAYQBsAHMAIABmAG8AcgAgAGUAYQBjAGgAIAByAG8AdwAgAGkAbgAgAGEAbgAgAGEAcgByAGEAeQAgAHcAaABlAHIAZQAgAGkAdABzACAAbABhAGIAZQBsAHMAIABjAG8AbgB0AGEAaQBuACAAYQAgAHUAbgBpAHEAdQBlACAAbABlAHQAdABlAHIALAAgAHcAbwByAGQALAAgAG8AcgAgAHAAaAByAGEAcwBlAC4AtgBcACIAIAAmACAAXABuACAAIAAgACAAXAAiAFMAdQBtAFAAZQByAGkAbwBkAHMAuwMgACAAIAAgACAAIAAgACAAkiFHAHIAbwB1AHAAcwAgAGEAbgBkACAAdABvAHQAYQBsAHMAIABhAGwAbAAgAGMAbwBsAHUAbQBuAHMAIABpAG4AIABhACAAVgBhAGwAdQBlAHMAIABhAHIAcgBhAHkAIABiAHkAIABwAGUAcgBpAG8AZAAgAHIAZQBzAHUAbAB0AGkAbgBnACAAaQBuACAAbwBuAGUAIABjAG8AbAB1AG0AbgAgAGYAbwByACAAZQBhAGMAaAAgAHAAZQByAGkAbwBkAC4AtgBcACIAIAAmACAAXABuACAAIAAgACAAXAAiAJIhtgBcACIAIAAmAFwAbgAgACAAIAAgAFwAIgBBAE0ATwBSAFQASQBTAEEAVABJAE8ATgAgAFMAVQBJAFQARQCSIbYAXAAiACAAJgAgAFwAbgAgACAAIAAgAFwAIgBBAG0AbwByAHQAaQBzAGUAuwMgACAAIAAgACAAIAAgACAAIAAgAJIhQwByAGUAYQB0AGUAcwAgAGEAIABjAG8AcgBrAHMAYwByAGUAdwAgAGEAbQBvAHIAdABpAHMAYQB0AGkAbwBuACAAcwBjAGgAZQBkAHUAbABlAC4AtgBcACIAIAAmACAAXABuACAAIAAgACAAXAAiAEwAYQBiAGUAbABBAG0AbwByAHQAaQBzAGUAuwMgACAAIAAgACAAkiFDAHIAZQBhAHQAZQAgAHIAbwB3ACAAbABhAGIAZQBsAHMAIABmAG8AcgAgAEEAbQBvAHIAdABpAHMAZQC7AyAAcgBlAHMAdQBsAHQAtgBcACIAIAAmACAAXABuACAAIAAgACAAXAAiAFMAdQBtAEEAbQBvAHIAdABpAHMAZQC7AyAAIAAgACAAIAAgACAAkiFDAHIAZQBhAHQAZQAgAHIAbwB3ACAAdABvAHQAYQBsAHMAIABmAG8AcgAgAHAAYQB5AG0AZQBuAHQAcwAsACAAaQBuAHQAZQByAGUAcwB0ACwAIABhAG4AZAAgAHAAcgBpAG4AYwBpAHAAYQBsACAAcABvAHIAdABpAG8AbgAgAGkAbgAgAEEAbQBvAHIAdABpAHMAZQC7AyAAcgBlAHMAdQBsAHQAcwC2AFwAIgAgACYAIABcAG4AIAAgACAAIABcACIAkiG2AFwAIgAgACYAXABuACAAIAAgACAAXAAiAEQARQBQAFIARQBDAEkAQQBUAEkATwBOACAAUwBVAEkAVABFAJIhtgBcACIAIAAmACAAXABuACAAIAAgACAAXAAiAEQAZQBwAHIAZQBjAGkAYQB0AGUAuwMgACAAIAAgACAAIAAgACAAkiFDAHIAZQBhAHQAZQAgAGEAIABiAGwAbwBjAGsAIABvAGYAIABDAEEAUABFAFgALAAgAE8AcABlAG4AaQBuAGcAIABCAGEAbABhAG4AYwBlACwAIABEAGUAcAByAGUAYwBpAGEAdABpAG8AbgAgAFYAYQBsAHUAZQBzACwAIABhAG4AZAAgAEIAbwBvAGsAIABWAGEAbAB1AGUAIABmAG8AcgAgAGUAYQBjAGgAIABhAHMAcwBlAHQAtgBcACIAIAAmACAAXABuACAAIAAgACAAXAAiAEwAYQBiAGUAbABEAGUAcAByAGUAYwBpAGEAdABlALsDIAAgACAAkiFDAHIAZQBhAHQAZQAgAHIAbwB3ACAAbABhAGIAZQBsAHMAIABmAG8AcgAgAEQAZQBwAHIAZQBjAGkAYQB0AGUAuwMgAHIAZQBzAHUAbAB0ALYAXAAiACAAJgAgAFwAbgAgACAAIAAgAFwAIgBTAHUAbQBEAGUAcAByAGUAYwBpAGEAdABlALsDIAAgACAAIAAgAJIhQwByAGUAYQB0AGUAIAByAG8AdwAgAHQAbwB0AGEAbABzACAAZgBvAHIAIABDAEEAUABFAFgALAAgAEQAZQBwAHIAZQBjAGkAYQB0AGkAbwBuACwAIABTAGEAbAB2AGEAZwBlACAAVgBhAGwAdQBlACwAIABhAG4AZAAgAEQAaQBzAHAAbwBzAGEAbAAgAGMAbwBzAHQAcwAgAGkAbgAgAEQAZQBwAHIAZQBjAGkAYQB0AGUAuwMgAHIAZQBzAHUAbAB0AHMAtgBcACIAIAAmACAAXABuACAAIAAgACAAXAAiAEEAbABsAG8AYwBhAHQAZQC7AyAAIAAgACAAIAAgACAAIAAgACAAkiFEAGkAdgBpAGQAZQAgAG8AbgBlACAAbwByACAAbQBvAHIAZQAgAGEAbQBvAHUAbgB0AHMAIABlAHEAdQBhAGwAbAB5ACAAYQBjAHIAbwBzAHMAIABzAG0AYQBsAGwAZQByACAAcABlAHIAaQBvAGQAcwC2AFwAIgAgACYAIABcAG4AIAAgACAAIABcACIAUwBMAE4AuwMgACAAIAAgACAAIAAgACAAIAAgACAAIAAgACAAIACSIVMAdAByAGEAaQBnAGgAdAAgAEwAaQBuAGUAIABkAGUAcAByAGUAYwBpAGEAdABpAG8AbgAgAG0AZQB0AGgAbwBkACAAZgBvAHIAIABvAG4AZQAgAGEAcwBzAGUAdAAgAG8AcgAgAGEAcwBzAGUAdAAgAGMAbABhAHMAcwAuALYAXAAiACAAJgAgAFwAbgAgACAAIAAgAFwAIgBTAFkARAC7AyAAIAAgACAAIAAgACAAIAAgACAAIAAgACAAIAAgAJIhUwB1AG0ALQBvAGYALQB5AGUAYQByAHMAJwAgAGQAaQBnAGkAdABzACAAZABlAHAAcgBlAGMAaQBhAHQAaQBvAG4AIABtAGUAdABoAG8AZAAgAGYAbwByACAAbwBuAGUAIABhAHMAcwBlAHQAIABvAHIAIABhAHMAcwBlAHQAIABjAGwAYQBzAHMALgC2AFwAIgAgACYAIABcAG4AIAAgACAAIABcACIARABCALsDIAAgACAAIAAgACAAIAAgACAAIAAgACAAIAAgACAAIACSIUYAaQB4AGUAZAAgAGQAZQBjAGwAaQBuAGkAbgBnACAAYgBhAGwAYQBuAGMAZQAgAGQAZQBwAHIAZQBjAGkAYQB0AGkAbwBuACAAbQBlAHQAaABvAGQAIABmAG8AcgAgAG8AbgBlACAAYQBzAHMAZQB0ACAAbwByACAAYQBzAHMAZQB0ACAAYwBsAGEAcwBzAC4AtgBcACIAIAAmACAAXABuACAAIAAgACAAXAAiAEQARABCALsDIAAgACAAIAAgACAAIAAgACAAIAAgACAAIAAgACAAkiFEAG8AdQBiAGwAZQAtAGQAZQBjAGwAaQBuAGkAbgBnACAAYgBhAGwAYQBuAGMAZQAgAGQAZQBwAHIAZQBjAGkAYQB0AGkAbwBuACAAbQBlAHQAaABvAGQAIABmAG8AcgAgAG8AbgBlACAAYQBzAHMAZQB0ACAAbwByACAAYQBzAHMAZQB0ACAAYwBsAGEAcwBzAC4AtgBcACIAIAAmACAAXABuACAAIAAgACAAXAAiAFYARABCALsDIAAgACAAIAAgACAAIAAgACAAIAAgACAAIAAgACAAkiFWAGEAcgBpAGEAYgBsAGUAIABkAGUAYwBsAGkAbgBpAG4AZwAgAGIAYQBsAGEAbgBjAGUAIABkAGUAcAByAGUAYwBpAGEAdABpAG8AbgAgAG0AZQB0AGgAbwBkACAAZgBvAHIAIABvAG4AZQAgAGEAcwBzAGUAdAAgAG8AcgAgAGEAcwBzAGUAdAAgAGMAbABhAHMAcwAuALYAXAAiACAAJgAgAFwAbgAgACAAIAAgACAAIAAgACAAIAAgACAAIAAgACAAIAAgACAAIAAgACAAIAAgACAAIAAgACAAIAAgACAAIAAgACAAIAAgACAAIAAgACAAIAAgACAAIAAgAFwAIgBEAGkAbQBpAG4AaQBzAGgAaQBuAGcAVgBhAGwAdQBlALsDIAAgAJIh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uALYAXAAiACAAJgAgAFwAbgAgACAAIAAgACAAIAAgACAAIAAgACAAIAAgACAAIAAgACAAIAAgACAAIAAgACAAIAAgACAAIAAgACAAIAAgACAAIAAgACAAIAAgACAAIAAgACAAIAAgAFwAIgBQAHIAaQBtAGUAQwBvAHMAdAC7AyAAIAAgACAAIAAgACAAIAAgAJIh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tgBcACIAIAAmACAAXABuACAAIAAgACAAIAAgACAAIAAgACAAIAAgACAAIAAgACAAIAAgACAAIAAgACAAIAAgACAAIAAgACAAIAAgACAAIAAgACAAIAAgACAAIAAgACAAIAAgACAAXAAiAJIhtgBcACIAIAAmACAAXABuACAAIAAgACAAIAAgACAAIAAgACAAIAAgACAAIAAgACAAIAAgACAAIAAgACAAIAAgACAAIAAgACAAIAAgACAAIAAgACAAIAAgACAAIAAgACAAIAAgACAAXAAiAEEAVQBTAFQAUgBBAEwASQBBAE4AIABUAEEAWAAgACAAIAAgACAAkiG2AFwAIgAgACYAIABcAG4AIAAgACAAIAAgACAAIAAgACAAIAAgACAAIAAgACAAIAAgACAAIAAgACAAIAAgACAAIAAgACAAIAAgACAAIAAgACAAIAAgACAAIAAgACAAIAAgACAAIABcACIARwBTAFQAQQBkAGQAuwMgACAAIAAgACAAIAAgACAAIAAgACAAIACSIUEAZABkAHMAIABHAFMAVAAgAHQAbwAgAG8AbgBlACAAbwByACAAbQBvAHIAZQAgAEcAUwBUAC0AZQB4AGMAbAB1AHMAaQB2AGUAIABhAG0AbwB1AG4AdABzAC4AtgBcACIAIAAmACAAXABuACAAIAAgACAAIAAgACAAIAAgACAAIAAgACAAIAAgACAAIAAgACAAIAAgACAAIAAgACAAIAAgACAAIAAgACAAIAAgACAAIAAgACAAIAAgACAAIAAgACAAXAAiAEcAUwBUAEUAeAB0AHIAYQBjAHQAuwMgACAAIAAgACAAIAAgACAAkiFSAGUAdAB1AHIAbgBzACAAdABoAGUAIABHAFMAVAAgAGMAbwBuAHQAYQBpAG4AZQBkACAAaQBuACAAbwBuAGUAIABvAHIAIABtAG8AcgBlACAARwBTAFQALQBpAG4AYwBsAHUAcwBpAHYAZQAgAGEAbQBvAHUAbgB0AHMALgC2AFwAIgAgACYAXABuACAAIAAgACAAIAAgACAAIAAgACAAIAAgACAAIAAgACAAIAAgACAAIAAgACAAIAAgACAAIAAgACAAIAAgACAAIAAgACAAIAAgACAAIAAgACAAIAAgACAAXAAiAEwARQBBAFMARQBTACAAKABBAEEAUwBCACAAMQA2ACkAIAAgACAAkiG2AFwAIgAgACYAXABuACAAIAAgACAAIAAgACAAIAAgACAAIAAgACAAIAAgACAAIAAgACAAIAAgACAAIAAgACAAIAAgACAAIAAgACAAIAAgACAAIAAgACAAIAAgACAAIAAgACAAXAAiAEwAZQBhAHMAZQBMAGkAYQBiAGkAbABpAHQAeQC7AyAAIAAgACAAkiFQAHIAZQBzAGUAbgB0ACAAdgBhAGwAdQBlACAAbwBmACAAdABoAGUAIABsAGUAYQBzAGUAIABwAGEAeQBtAGUAbgB0AHMAIAB0AGgAYQB0ACAAYQByAGUAIABuAG8AdAAgAHAAYQBpAGQAIABhAHQAIAB0AGgAZQAgAGMAbwBtAG0AZQBuAGMAZQBtAGUAbgB0ACAAZABhAHQAZQC2AFwAIgAgACYAXABuACAAIAAgACAAIAAgACAAIAAgACAAIAAgACAAIAAgACAAIAAgACAAIAAgACAAIAAgACAAIAAgACAAIAAgACAAIAAgACAAIAAgACAAIAAgACAAIAAgACAAXAAiAEwAZQBhAHMAZQBTAGMAaABlAGQAdQBsAGUAuwMgACAAIAAgACAAkiFVAG4AdwBpAG4AZABzACAAYQAgAGwAZQBhAHMAZQAgAGwAaQBhAGIAaQBsAGkAdAB5ACAAaQBuAHQAbwAgAG8AcABlAG4AaQBuAGcALAAgAHAAYQB5AG0AZQBuAHQALAAgAGkAbgB0AGUAcgBlAHMAdAAgAGEAbgBkACAAYwBsAG8AcwBpAG4AZwAgAHIAbwB3AHMAtgBcACIAIAAmAFwAbgAgACAAIAAgACAAIAAgACAAIAAgACAAIAAgACAAIAAgACAAIAAgACAAIAAgACAAIAAgACAAIAAgACAAIAAgACAAIAAgACAAIAAgACAAIAAgACAAIAAgAFwAIgBMAGUAYQBzAGUAUgBlAG0AZQBhAHMAdQByAGUAuwMgACAAIAAgAJIhUgBlAG0AZQBhAHMAdQByAGUAcwAgAGEAIABsAGUAYQBzAGUAIABsAGkAYQBiAGkAbABpAHQAeQAgAGYAbwByACAAcgBlAHYAaQBzAGUAZAAgAHAAYQB5AG0AZQBuAHQAcwAgAGEAbgBkACAAYQBkAGoAdQBzAHQAcwAgAHQAaABlACAAcgBpAGcAaAB0AC0AbwBmAC0AdQBzAGUAIABhAHMAcwBlAHQAtgBcACIAIAAmAFwAbgAgACAAIAAgACAAIAAgACAAIAAgACAAIAAgACAAIAAgACAAIAAgACAAIAAgACAAIAAgACAAIAAgACAAIAAgACAAIAAgACAAIAAgACAAIAAgACAAIAAgAFwAIgBSAE8AVQBTAGMAaABlAGQAdQBsAGUAuwMgACAAIAAgACAAIAAgAJIhRABlAHAAcgBlAGMAaQBhAHQAZQBzACAAYQAgAHIAaQBnAGgAdAAtAG8AZgAtAHUAcwBlACAAYQBzAHMAZQB0ACAAaQBuACAAYQAgAHMAdAByAGEAaQBnAGgAdAAgAGwAaQBuAGUAIABvAHYAZQByACAAdABoAGUAIABsAGUAYQBzAGUAIAB0AGUAcgBtALYAXAAiACAAJgBcAG4AIAAgACAAIAAgACAAIAAgACAAIAAgACAAIAAgACAAIAAgACAAIAAgACAAIAAgACAAIAAgACAAIAAgACAAIAAgACAAIAAgACAAIAAgACAAIAAgACAAIABcACIAkiG2AFwAIgAgACYAXABuACAAIAAgACAAIAAgACAAIAAgACAAIAAgACAAIAAgACAAIAAgACAAIAAgACAAIAAgACAAIAAgACAAIAAgACAAIAAgACAAIAAgACAAIAAgACAAIAAgACAAXAAiAFIAQQBUAEUAUwAgACAAIAAgACAAIAAgACAAIAAgACAAIAAgACAAkiG2AFwAIgAgACYAXABuACAAIAAgACAAIAAgACAAIAAgACAAIAAgACAAIAAgACAAIAAgACAAIAAgACAAIAAgACAAIAAgACAAIAAgACAAIAAgACAAIAAgACAAIAAgACAAIAAgACAAXAAiAFAAZQByAGkAbwBkAFIAYQB0AGUAuwMgACAAIAAgACAAIAAgACAAkiFDAG8AbgB2AGUAcgB0AHMAIABhAG4AIABlAGYAZgBlAGMAdABpAHYAZQAgAGEAbgBuAHUAYQBsACAAcgBhAHQAZQAgAHQAbwAgAHQAaABlACAAZQBxAHUAaQB2AGEAbABlAG4AdAAgAHIAYQB0AGUAIABwAGUAcgAgAHAAZQByAGkAbwBkALYAXAAiACAAJgBcAG4AIAAgACAAIAAgACAAIAAgACAAIAAgACAAIAAgACAAIAAgACAAIAAgACAAIAAgACAAIAAgACAAIAAgACAAIAAgACAAIAAgACAAIAAgACAAIAAgACAAIABcACIAQQBuAG4AdQBhAGwAUgBhAHQAZQC7AyAAIAAgACAAIAAgACAAIACSIUMAbwBuAHYAZQByAHQAcwAgAGEAIAByAGEAdABlACAAcABlAHIAIABwAGUAcgBpAG8AZAAgAHQAbwAgAHQAaABlACAAZQBmAGYAZQBjAHQAaQB2AGUAIABhAG4AbgB1AGEAbAAgAHIAYQB0AGUAtgBcACIAIAAmAFwAbgAgACAAIAAgACAAIAAgACAAIAAgACAAIAAgACAAIAAgACAAIAAgACAAIAAgACAAIAAgACAAIAAgACAAIAAgACAAIAAgACAAIAAgACAAIAAgACAAIAAgAFwAIgBEAGEAeQBDAG8AdQBuAHQAUgBhAHQAZQC7AyAAIAAgACAAIAAgAJIhSQBuAHQAZQByAGUAcwB0ACAAcgBhAHQAZQAgAGYAbwByACAAZQBhAGMAaAAgAHQAaQBtAGUAbABpAG4AZQAgAHAAZQByAGkAbwBkACAAdQBuAGQAZQByACAAYQAgAGQAYQB5ACAAYwBvAHUAbgB0ACAAYwBvAG4AdgBlAG4AdABpAG8AbgC2AFwAIgAgACYAIABcAG4AIAAgACAAIAAgACAAIAAgACAAIAAgACAAIAAgACAAIAAgACAAIAAgACAAIAAgACAAIAAgACAAIAAgACAAIAAgACAAIAAgACAAIAAgACAAIAAgACAAIABcAG4AIAAgACAAIABcACIAkiG2AFwAIgAgACYAXABuACAAIAAgACAAXAAiAFMAVQBCAFIATwBVAFQASQBOAEUAUwAgACAAIAAgACAAIAAgACAAkiFGAHUAbgBjAHQAaQBvAG4AcwAgAHUAcwBlAGQAIABiAHkAIABvAHQAaABlAHIAIABmAHUAbgBjAHQAaQBvAG4AcwAgAG8AcgAgAGcAZQBuAGUAcgBhAGwAIABwAHUAcgBwAG8AcwBlACAAZgB1AG4AYwB0AGkAbwBuAHMALgC2AFwAIgAgACYAIABcAG4AIAAgACAAIABcACIARgBpAGwAdABlAHIAQwBvAG4AdABhAGkAbgBzALsDIAAgACAAIACSIUYAaQBsAHQAZQByACAAYQBuACAAYQByAHIAYQB5ACAAYgB5ACAAYQBuAG8AdABoAGUAcgAgAGEAcgByAGEAeQAgAHQAaABhAHQAIABjAG8AbgB0AGEAaQBuAHMAIABzAHAAZQBjAGkAZgBpAGMAIAB0AGUAeAB0ALYAXAAiACAAJgAgAFwAbgAgACAAIAAgAFwAIgBSAGEAbgBnAGUAVABvAEQAQQC7AyAAIAAgACAAIAAgACAAIAAgAJIhQwByAGUAYQB0AGUAIABhACAAZAB5AG4AYQBtAGkAYwAgAGEAcgByAGEAeQAgAGYAcgBvAG0AIABhACAAcwB0AGEAdABpAGMAIAByAGEAbgBnAGUAtgBcACIAIAAmACAAXABuACAAIAAgACAAXAAiAFQAaQBtAGUAbABpAG4AZQBPAGYAZgBzAGUAdAC7AyAAIAAgACAAkiFEAGUAdABlAHIAbQBpAG4AZQBzACAAaABvAHcAIABtAGEAbgB5ACAAYwBvAGwAdQBtAG4AcwAgAGEAIABkAGEAdABlACAAaQBzACAAbwBmAGYAcwBlAHQAIABmAHIAbwBtACAAYQAgAHQAaQBtAGUAbABpAG4AZQAnAHMAIABmAGkAcgBzAHQAIABkAGEAdABlALYAXAAiACAAJgAgAFwAbgAgACAAIAAgAFwAIgBUAGkAbQBlAGwAaQBuAGUAUABvAHMAaQB0AGkAbwBuALsDIAAgAJIhUABsAGEAYwBlAHMAIABhAG4AIABhAHIAcgBhAHkAIABvAHIAIAB2AGEAbAB1AGUAIABhAHAAcAByAG8AcAByAGkAYQB0AGUAbAB5ACAAdwBpAHQAaABpAG4AIABhACAAbQBvAGQAZQBsACcAcwAgAHQAaQBtAGUAbABpAG4AZQAuALYAXAAiACAAJgAgACAAXABuACAAIAAgACAAXAAiAFAAZQByAGkAbwBkAFMAdABhAHIAdAC7AyAAIAAgACAAIAAgACAAkiFEAGUAdABlAHIAbQBpAG4AZQAgAHcAaABlAG4AIABhACAAcABlAHIAaQBvAGQAIABjAG8AbgB0AGEAaQBuAGkAbgBnACAAYQAgAGQAYQB0AGUAIABvAGYAIABpAG4AdABlAHIAZQBzAHQAIABzAHQAYQByAHQAcwAuALYAXAAiACAAJgAgAFwAbgAgACAAIAAgAFwAIgBQAGUAcgBpAG8AZABEAGkAZgBmALsDIAAgACAAIAAgACAAIAAgAJIhRABlAHQAZQByAG0AaQBuAGUAIAB0AGgAZQAgAG4AdQBtAGIAZQByACAAbwBmACAAcABlAHIAaQBvAGQAcwAgAGIAZQB0AHcAZQBlAG4AIAB0AHcAbwAgAGQAYQB0AGUAcwAuAFwAIgAsAFwAbgAgACAAIAAgAFwAIgCSIVwAIgAsAFwAIgC2AFwAIgBcAG4AIAAgACAAIAApAFwAbgApADsAXABuAFwAbgBcAG4AXABuAFwAbgAvACoAIAAgAEYAVQBOAEMAVABJAE8ATgAgAE4AQQBNAEUAOgAgACAAQwBvAHIAawBzAGMAcgBlAHcAuwNcAG4AIAAgACAAIABEAEUAUwBDAFIASQBQAFQASQBPAE4AOgAqAC8ALwAqACoAQwByAGUAYQB0AGUAIABhACAAYwBvAHIAawBzAGMAcgBlAHcAIABzAGUAYwB0AGkAbwBuACAAdABoAGEAdAAgAHMAdQBtAHMAIAB0AGgAZQAgAG8AcABlAG4AaQBuAGcAIABiAGEAbABhAG4AYwBlACAAYQBuAGQAIAB1AHAAIAB0AG8AIAA0ACAAaQBuAGQAZQBwAGUAbgBkAGUAbgB0ACAAZgBsAG8AdwBzAC4AKgAvAFwAbgBDAG8AcgBrAHMAYwByAGUAdwC7Ay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XABuACAAIAAgACAATABFAFQAKABcAG4AIAAgACAAIAAvAC8AIAAgAEgAZQBsAHAAXABuACAAIAAgACAAIAAgACAAIABIAGUAbABwACwAIAAgACAAIAAgACAAIABUAFIASQBNACgAVABFAFgAVABTAFAATABJAFQAKAAgAFwAbgAgACAAIAAgACAAIAAgACAAIAAgACAAIAAgACAAIAAgACAAIAAgACAAIAAgACAAIABcACIARgBVAE4AQwBUAEkATwBOADoAIAAgACAAIAAgACAAkiFDAG8AcgBrAHMAYwByAGUAdwC7AygAIABPAHAAZQBuAGkAbgBnACwAIABGAGwAbwB3ADEALAAgAFsARgBsAG8AdwAyAF0ALAAgAFsARgBsAG8AdwAzAF0ALAAgAFsARgBsAG8AdwA0AF0AKQC2AFwAIgAgACYAXABuACAAIAAgACAAIAAgACAAIAAgACAAIAAgACAAIAAgACAAIAAgACAAIAAgACAAIAAgAFwAIgBEAEUAUwBDAFIASQBQAFQASQBPAE4AOgAgACAAIACSIUMAcgBlAGEAdABlACAAYQAgAGMAbwByAGsAcwBjAHIAZQB3ACAAcwBlAGMAdABpAG8AbgAgAHQAaABhAHQAIABzAHUAbQBzACAAdABoAGUAIABvAHAAZQBuAGkAbgBnACAAYgBhAGwAYQBuAGMAZQAgAGEAbgBkACAAdQBwACAAdABvACAANAAgAGkAbgBkAGUAcABlAG4AZABlAG4AdAAgAGYAbABvAHcAcw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LYAXAAiACAAJgAgAFwAbgAgACAAIAAgACAAIAAgACAAIAAgACAAIAAgACAAIAAgACAAIAAgACAAIAAgACAAIABcACIAkiG2AFwAIgAgACYAXABuACAAIAAgACAAIAAgACAAIAAgACAAIAAgACAAIAAgACAAIAAgACAAIAAgACAAIAAgAFwAIgBFAFgAQQBNAFAATABFAFMAOgAgACAAIAAgACAAIACSIU4ATwBUAEUAIQAgAG8AegAgAGkAcwAgAGEAcwBzAHUAbQBlAGQAIAB0AG8AIABiAGUAIAB0AGgAZQAgAG0AbwBkAHUAbABlACcAcwAgAG4AYQBtAGUAtgBcACIAIAAmACAAXABuACAAIAAgACAAIAAgACAAIAAgACAAIAAgACAAIAAgACAAIAAgACAAIAAgACAAIAAgAFwAIgBGAG8AcgBtAHUAbABhADoAIAAgACAAIAAgACAAIACSIT0AbwB6AC4AQwBvAHIAawBzAGMAcgBlAHcAuwMoADAALAAgAFMAZQBxAHUAZQBuAGMAZQAoADEALAA1ACkAKQC2AFwAIgAgACYAXABuACAAIAAgACAAIAAgACAAIAAgACAAIAAgACAAIAAgACAAIAAgACAAIAAgACAAIAAgAFwAIgBSAGUAcwB1AGwAdAA6ACAAIAAgACAAIAAgACAAIACSITAAMAAsACAAMAAxACwAIAAwADMALAAgADAANgAsACAAMQAwALYAXAAiACAAJgBcAG4AIAAgACAAIAAgACAAIAAgACAAIAAgACAAIAAgACAAIAAgACAAIAAgACAAIAAgACAAIAAgACAAIAAgACAAIAAgACAAIAAgACAAIAAgACAAXAAiAJIhMAAxACwAIAAwADIALAAgADAAMwAsACAAMAA0ACwAIAAwADUAtgBcACIAIAAmAFwAbgAgACAAIAAgACAAIAAgACAAIAAgACAAIAAgACAAIAAgACAAIAAgACAAIAAgACAAIAAgACAAIAAgACAAIAAgACAAIAAgACAAIAAgACAAIABcACIAkiEwADEALAAgADAAMwAsACAAMAA2ACwAIAAxADAALAAgADEAN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8AcABlAG4AaQBuAGcAKQAsAFwAbgAgACAAIAAgACAAIAAgACAAIAAgACAAIAAgACAAIAAgACAAIAAgACAAIAAgACAAIAAgACAAIAAgAEkAUwBPAE0ASQBUAFQARQBEACgAIABGAGwAbwB3ADEAKQBcAG4AIAAgACAAIAAgACAAIAAgACAAIAAgACAAIAAgACAAIAAgACAAIAAgACAAIAAgACAAKQAsAFwAbgAgACAAIAAgAC8ALwAgACAAUAByAG8AYwBlAHMAcwBpAG4AZwBcAG4AIAAgACAAIAAgACAAIAAgAEMAbwBsAHMALAAgACAAIAAgACAAIAAgACAAIAAgACAAQwBvAGwAdQBtAG4AcwAoAEYAbABvAHcAMQApACw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CAAIAAgACAAIAAgACAAIAAgACAAIAAgACAAIAAgACAAIAAgACAAIAAgACAAIABcAG4AIAAgACAAIAAgACAAIAAgAFAAZQByAGkAbwBkAEEAcgByAGEAeQAsACAAIAAgACAAUwBXAEkAVABDAEgAKABSAG8AdwBzACwAIABcAG4AIAAgACAAIAAgACAAIAAgACAAIAAgACAAIAAgACAAIAAgACAAIAAgACAAIAAgACAAIAAgACAAIAAxACwAIAAgAEYAbABvAHcAMQAsACAAXABuACAAIAAgACAAIAAgACAAIAAgACAAIAAgACAAIAAgACAAIAAgACAAIAAgACAAIAAgACAAIAAgACAAMgAsACAAIABWAFMAVABBAEMASwAoAEYAbABvAHcAMQAsACAARgBsAG8AdwAyACkALAAgAFwAbgAgACAAIAAgACAAIAAgACAAIAAgACAAIAAgACAAIAAgACAAIAAgACAAIAAgACAAIAAgACAAIAAgADMALAAgACAAVgBTAFQAQQBDAEsAKABGAGwAbwB3ADEALAAgAEYAbABvAHcAMgAsACAARgBsAG8AdwAzACkALABcAG4AIAAgACAAIAAgACAAIAAgACAAIAAgACAAIAAgACAAIAAgACAAIAAgACAAIAAgACAAIAAgACAAIAA0ACwAIAAgAFYAUwBUAEEAQwBLACgARgBsAG8AdwAxACwAIABGAGwAbwB3ADIALAAgAEYAbABvAHcAMwAsACAARgBsAG8AdwA0ACkAXABuACAAIAAgACAAIAAgACAAIAAgACAAIAAgACAAIAAgACAAIAAgACAAIAAgACAAIAAgACkALAAgAFwAbgAgACAAIAAgACAAIAAgACAAUABlAHIAaQBvAGQAVABvAHQAYQBsACwAIAAgACAAIABCAFkAQwBPAEwAKABQAGUAcgBpAG8AZABBAHIAcgBhAHkALAAgAEwAQQBNAEIARABBACgAQwBvAGwALAAgAFMAVQBNACgAQwBvAGwAKQApACkALAAgAFwAbgAgACAAIAAgACAAIAAgACAAQwBsAG8AcwBpAG4AZwBUAG8AdABhAGwALAAgACAAIABTAEMAQQBOACgATwBwAGUAbgBpAG4AZwAsACAAUABlAHIAaQBvAGQAVABvAHQAYQBsACwAIABMAEEATQBCAEQAQQAoAE8AcABuACwAIABQAHIAZABUAG8AdAAsACAATwBwAG4AIAArACAAUAByAGQAVABvAHQAKQApACwAIABcAG4AIAAgACAAIAAgACAAIAAgAE8AcABlAG4AaQBuAGcAVABvAHQAYQBsACwAIAAgACAATQBBAFAAKAAgAFMARQBRAFUARQBOAEMARQAoACwAIABDAG8AbABzACkALAAgAEwAQQBNAEIARABBACgAIABDAG8AbAAsACAASQBGACgAIABDAG8AbAAgAD0AIAAxACwAIABPAHAAZQBuAGkAbgBnACwAIABJAE4ARABFAFgAKAAgAEMAbABvAHMAaQBuAGcAVABvAHQAYQBsACwAIABDAG8AbAAgAC0AIAAxACkAKQApACkALABcAG4AIAAgACAAIAAgACAAIAAgAFIAZQBzAHUAbAB0ACwAIAAgACAAIAAgACAAIAAgACAAVgBTAFQAQQBDAEsAKABPAHAAZQBuAGkAbgBnAFQAbwB0AGEAbAAsACAAUABlAHIAaQBvAGQAQQByAHIAYQB5ACwAIABDAGwAbwBzAGkAbgBnAFQAbwB0AGEAbAApACwAI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DAG8AcgBrAFMAYwByAGUAdwBSAGUAdgBlAHIAcwBhAGwAuwNcAG4AIAAgACAAIABEAEUAUwBDAFIASQBQAFQASQBPAE4AOgAqAC8ALwAqACoAQwByAGUAYQB0AGUAIABhACAAYwBvAHIAawBzAGMAcgBlAHcAIAB3AGgAZQByAGUAIAB0AGgAZQAgAG8AcABlAG4AaQBuAGcAIABiAGEAbABhAG4AYwBlACAAaQBzACAAcgBlAHYAZQByAHMAZQBkACAAaQBuACAAdABoAGUAIABuAGUAeAB0ACAAcABlAHIAaQBvAGQAIABiAGEAcwBlAGQAIABvAG4AIABhACAAdABpAG0AaQBuAGcAIABwAGEAcgBhAG0AZQB0AGUAcgAuACoALwBcAG4AQwBvAHIAawBTAGMAcgBlAHcAUgBlAHYAZQByAHMAYQBsALsDPQBMAEEATQBCAEQAQQAoAFwAbgAvAC8AIAAgAFAAYQByAGEAbQBlAHQAZQByACAARABlAGMAbABhAHIAYQB0AGkAbwBuAHMAXABuACAAIAAgACAAWwBPAHAAZQBuAGkAbgBnAF0ALABcAG4AIAAgACAAIABbAFIAZQB2AGUAcgBzAGEAbABGAGwAYQBnAHMAXQAsAFwAbgAgACAAIAAgAFsARgBsAG8AdwAxAF0ALABcAG4AIAAgACAAIABbAEYAbABvAHcAMgBdACwAXABuACAAIAAgACAAWwBGAGwAbwB3ADMAXQAsAFwAbgAgACAAIAAgAFsARgBsAG8AdwA0AF0ALAAgAFwAbgAgACAAIAAgAC8ALwAgACAASABlAGwAcABcAG4AIAAgACAAIABMAEUAVAAoAEgAZQBsAHAALAAgACAAIAAgACAAIAAgACAAIAAgACAAVABSAEkATQAoAFQARQBYAFQAUwBQAEwASQBUACgAXABuACAAIAAgACAAIAAgACAAIAAgACAAIAAgACAAIAAgACAAIAAgACAAIAAgACAAIAAgAFwAIgBGAFUATgBDAFQASQBPAE4AOgAgACAAIAAgACAAIACSIUMAbwByAGsAUwBjAHIAZQB3AFIAZQB2AGUAcgBzAGEAbAC7AygAIABPAHAAZQBuAGkAbgBnACwAIABSAGUAdgBlAHIAcwBhAGwARgBsAGEAZwBzACwAIABGAGwAbwB3ADEALAAgAFsARgBsAG8AdwAyAF0ALAAgAFsARgBsAG8AdwAzAF0ALAAgAFsARgBsAG8AdwA0AF0AKQC2AFwAIgAgACYAIABcAG4AIAAgACAAIAAgACAAIAAgACAAIAAgACAAIAAgACAAIAAgACAAIAAgACAAIAAgACAAXAAiAEQARQBTAEMAUgBJAFAAVABJAE8ATgA6ACAAIAAgAJIhQwByAGUAYQB0AGUAIABhACAAYwBvAHIAawBzAGMAcgBlAHcAIAB3AGgAZQByAGUAIAB0AGgAZQAgAG8AcABlAG4AaQBuAGcAIABiAGEAbABhAG4AYwBlACAAaQBzACAAcgBlAHYAZQByAHMAZQBkACAAaQBuACAAdABoAGUAIABuAGUAeAB0ACAAcABlAHIAaQBvAGQAIABiAGEAcwBlAGQAIABvAG4AIABhACAAdABpAG0AaQBuAGcAIABwAGEAcgBhAG0AZQB0AGUAcgC2AFwAIgAgACYAIABcAG4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XAAiAFYARQBSAFMASQBPAE4AOgAgACAAIAAgACAAIAAgAJIhMgAwACAAQQB1AGcAIAAyADAAMgA2ALYAXAAiACAAJgAg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FIAZQB2AGUAcgBzAGEAbABGAGwAYQBnAHMAIAAgAJIhKABSAGUAcQB1AGkAcgBlAGQAKQAgAEEAIAByAG8AdwAgAG8AZgAgAG8AbgBlAHMAIABhAG4AZAAgAGIAbABhAG4AawBzACAAKABvAHIAIAB6AGUAcgBvAHMAKQAgAGkAbgBkAGkAYwBhAHQAaQBuAGcAIAB3AGgAZQBuACAAdABvACAAcgBlAHYAZQByAHMAZQAgAHAAZQByAGkAbwBkACAAdABvAHQAYQBsAHM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FwAIgAsACAAXABuACAAIAAgACAAIAAgACAAIAAgACAAIAAgACAAIAAgACAAIAAgACAAIAAgACAAIAAgAFwAIgCSIVwAIgAsACAAXAAiALYAXAAiACkAKQAsACAAXABuACAAIAAgACAALwAvACAAIABDAGgAZQBjAGsAIABpAG4AcAB1AHQAcwAgAC0AIABPAG0AaQB0AHQAZQBkACAAcgBlAHEAdQBpAHIAZQBkACAAYQByAGcAdQBtAGUAbgB0AHMAXABuACAAIAAgACAAIAAgACAAIABIAGUAbABwAD8ALAAgACAAIAAgACAAIAAgACAAIAAgAE8AUgAoACAASQBTAE8ATQBJAFQAVABFAEQAKAAgAE8AcABlAG4AaQBuAGcAKQAsACAAXABuACAAIAAgACAAIAAgACAAIAAgACAAIAAgACAAIAAgACAAIAAgACAAIAAgACAAIAAgACAAIAAgACAASQBTAE8ATQBJAFQAVABFAEQAKAAgAFIAZQB2AGUAcgBzAGEAbABGAGwAYQBnAHMAKQAsACAAXABuACAAIAAgACAAIAAgACAAIAAgACAAIAAgACAAIAAgACAAIAAgACAAIAAgACAAIAAgACAAIAAgACAASQBTAE8ATQBJAFQAVABFAEQAKAAgAEYAbABvAHcAMQApACkALAAgAFwAbgAgACAAIAAgAC8ALwAgACAAUwBlAHQAIABkAGUAZgBhAHUAbAB0AHMAIABhAG4AZAAgAGMAbwBuAHMAdABhAG4AdABzAFwAbgAgACAAIAAgACAAIAAgACAAQwBvAGwAcwAsACAAIAAgACAAIAAgACAAIAAgACAAIABDAE8ATABVAE0ATgBTACgARgBsAG8AdwAxACkALAAg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BcAG4AIAAgACAAIAAvAC8AIAAgAFAAcgBvAGMAZQBkAHUAcgBlAFwAbgAgACAAIAAgACAAIAAgACAAUABlAHIAaQBvAGQAQQByAHIAYQB5ACwAIAAgACAAIABTAFcASQBUAEMASAAoAFIAbwB3AHMALAAgAFwAbgAgACAAIAAgACAAIAAgACAAIAAgACAAIAAgACAAIAAgACAAIAAgACAAIAAgACAAIAAgACAAIAAgADEALAAgAEYAbABvAHcAMQAsACAAXABuACAAIAAgACAAIAAgACAAIAAgACAAIAAgACAAIAAgACAAIAAgACAAIAAgACAAIAAgACAAIAAgACAAMgAsACAAVgBTAFQAQQBDAEsAKABGAGwAbwB3ADEALAAgAEYAbABvAHcAMgApACwAIABcAG4AIAAgACAAIAAgACAAIAAgACAAIAAgACAAIAAgACAAIAAgACAAIAAgACAAIAAgACAAIAAgACAAIAAzACwAIABWAFMAVABBAEMASwAoAEYAbABvAHcAMQAsACAARgBsAG8AdwAyACwAIABGAGwAbwB3ADMAKQAsACAAXABuACAAIAAgACAAIAAgACAAIAAgACAAIAAgACAAIAAgACAAIAAgACAAIAAgACAAIAAgACAAIAAgACAANAAs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LwAvACAAIABUAGgAZQAgAGMAbABvAHMAaQBuAGcAIABiAGEAbABhAG4AYwBlACAAaQBzACAAdABoAGUAIABvAG4AbAB5ACAAcwB0AGEAdABlACAAYwBhAHIAcgBpAGUAZAAgAGYAcgBvAG0AIABvAG4AZQAgAHAAZQByAGkAbwBkACAAdABvACAAdABoAGUAIABuAGUAeAB0ADoAIABhACAAcABlAHIAaQBvAGQAXABuACAAIAAgACAALwAvACAAIABjAGwAbwBzAGUAcwAgAG8AbgAgAGkAdABzACAAbwBwAGUAbgBpAG4AZwAgAGIAYQBsAGEAbgBjAGUALAAgAGwAZQBzAHMAIAB0AGgAYQB0ACAAYgBhAGwAYQBuAGMAZQAgAHcAaABlAHIAZQAgAHQAaABlACAAZgBsAGEAZwAgAHIAZQB2AGUAcgBzAGUAcwAgAGkAdAAsACAAcABsAHUAcwBcAG4AIAAgACAAIAAvAC8AIAAgAGkAdABzACAAZgBsAG8AdwBzAC4AIABTAG8AbAB2AGUAIAB0AGgAZQAgAGMAbABvAHMAaQBuAGcAcwAgAGkAbgAgAG8AbgBlACAAcABhAHMAcwAgAGEAbgBkACAAcgBlAGEAZAAgAGUAdgBlAHIAeQAgAG8AdABoAGUAcgAgAHIAbwB3ACAAbwBmAGYAIAB0AGgAZQBtAC4AXABuACAAIAAgACAAIAAgACAAIABGAGwAYQBnAHMALAAgACAAIAAgACAAIAAgACAAIAAgAEkATgBEAEUAWAAoACAAUgBlAHYAZQByAHMAYQBsAEYAbABhAGcAcwAsACAAMQAsACAAUwBFAFEAVQBFAE4AQwBFACgAIAAsACAAQwBvAGwAcwApACkALABcAG4AIAAgACAAIAAgACAAIAAgAEMAbABvAHMAaQBuAGcAcwAsACAAIAAgACAAIAAgACAAUwBDAEEATgAoACAATwBwAGUAbgBpAG4AZwAsACAAUwBFAFEAVQBFAE4AQwBFACgAIAAsACAAQwBvAGwAcwApACwAXABuACAAIAAgACAAIAAgACAAIAAgACAAIAAgACAAIAAgACAAIAAgACAAIAAgACAAIAAgACAAIAAgACAATABBAE0AQgBEAEEAKAAgAEEAYwBjACwAIABDAG8AbAAsAFwAbgAgACAAIAAgACAAIAAgACAAIAAgACAAIAAgACAAIAAgACAAIAAgACAAIAAgACAAIAAgACAAIAAgACAAIAAgACAAQQBjAGMAIAAqACAAKAAgADEAIAAtACAASQBOAEQARQBYACgAIABGAGwAYQBnAHMALAAgADEALAAgAEMAbwBsACkAKQAgACsAIABJAE4ARABFAFgAKAAgAFAAZQByAGkAbwBkAFQAbwB0AGEAbAAsACAAMQAsACAAQwBvAGwAKQBcAG4AIAAgACAAIAAgACAAIAAgACAAIAAgACAAIAAgACAAIAAgACAAIAAgACAAIAAgACAAIAAgACAAIAApAFwAbgAgACAAIAAgACAAIAAgACAAIAAgACAAIAAgACAAIAAgACAAIAAgACAAIAAgACAAIAApACwAXABuACAAIAAgACAAIAAgACAAIABPAHAAZQBuAGkAbgBnAHMALAAgACAAIAAgACAAIAAgAEkARgAoACAAQwBvAGwAcwAgAD0AIAAxACwAIABPAHAAZQBuAGkAbgBnACwAIABIAFMAVABBAEMASwAoACAATwBwAGUAbgBpAG4AZwAsACAARABSAE8AUAAoACAAQwBsAG8AcwBpAG4AZwBzACwAIAAsACAALQAxACkAKQApACwAXABuACAAIAAgACAAIAAgACAAIABSAGUAdgBlAHIAcwBhAGwAcwAsACAAIAAgACAAIAAgAC0ARgBsAGEAZwBzACAAKgAgAE8AcABlAG4AaQBuAGcAcwAsAFwAbgAgACAAIAAgACAAIAAgACAAUgBlAHMAdQBsAHQALAAgACAAIAAgACAAIAAgACAAIABWAFMAVABBAEMASwAoACAATwBwAGUAbgBpAG4AZwBzACwAIABSAGUAdgBlAHIAcwBhAGwAcwAsACAAUABlAHIAaQBvAGQAQQByAHIAYQB5ACwAIABDAGwAbwBzAGkAbgBnAHM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bgB0AE8AbgBJAG4AdAC7A1wAdABcAG4AIAAgACAAIABEAEUAUwBDAFIASQBQAFQASQBPAE4AOgAqAC8AIAAvACoAKgBDAGEAbABjAHUAbABhAHQAZQAgAEkAbgB0AGUAcgBlAHMAdAAgAG8AbgAgAEkAbgB0AGUAcgBlAHMAdAAuACAAVQBzAGUAIAB0AG8AIABkAGUAdABlAHIAbQBpAG4AZQAgAGEAbQBvAHUAbgB0ACAAbgBlAGUAZABlAGQAIAB0AG8AIABjAG8AdgBlAHIAIABkAGUAYgB0ACAAcABsAHUAcwAgAGkAbgB0AGUAcgBlAHMAdAAgAG8AbgAgAGQAZQBiAHQAKgAvAFwAbgAvACoAIAAgAE4ATwBUAEUAOgAgACAAIAAgACAAIAAgACAAIAAgACAATQBhAHQAaAAgAHMAbwB1AHIAYwBlACAAZgByAG8AbQAgAEQAaQBhAHIAbQB1AGkAZAAgAEUAYQByAGwAeQAnAHMAIABwAG8AcwB0ADoAIABoAHQAdABwAHMAOgAvAC8AdwB3AHcALgB5AG8AdQB0AHUAYgBlAC4AYwBvAG0ALwB3AGEAdABjAGgAPwB2AD0AawA1AHIARwBfAE0AdgBJAFcAVwBzACYAdAA9ADcAOAA3AHMAXABuACoALwBcAG4ASQBuAHQATwBuAEkAbgB0ALsDIAA9ACAATABBAE0AQgBEAEEAKABcAG4AIAAgACAAIABbAFAAcgBpAG4AYwBpAHAAYQBsAF0ALABcAG4AIAAgACAAIABbAFIAYQB0AGU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bgB0AE8AbgBJAG4AdAC7AygAIABQAHIAaQBuAGMAaQBwAGEAbAAsACAAUgBhAHQAZQApALYAXAAiACAAJgAgAFwAbgAgACAAIAAgACAAIAAgACAAIAAgACAAIAAgACAAIAAgACAAIAAgACAAIAAgACAAIAAgACAAIAAgAFwAIgBEAEUAUwBDAFIASQBQAFQASQBPAE4AOgAgACAAIACSIUMAYQBsAGMAdQBsAGEAdABlACAASQBuAHQAZQByAGUAcwB0ACAAbwBuACAASQBuAHQAZQByAGUAcwB0ACAAKABJAG4AdABlAHIAZQBzAHQAIABvAG4AbAB5ACkALgAgAFUAcwBlACAAdABvACAAZABlAHQAZQByAG0AaQBuAGUAIABhAG0AbwB1AG4AdAAgALYAXAAiACAAJgBcAG4AIAAgACAAIAAgACAAIAAgACAAIAAgACAAIAAgACAAIAAgACAAIAAgACAAIAAgACAAIAAgACAAIAAgACAAIAAgACAAIAAgACAAIAAgACAAIAAgACAAIABcACIAkiFuAGUAZQBkAGUAZAAgAHQAbwAgAGMAbwB2AGUAcgAgAGIAbwByAHIAbwB3AGUAZAAgAGkAbgB0AGUAcgBlAHMAdAC2AFwAIgAgACYAIABcAG4AIAAgACAAIA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AAcgBpAG4AYwBpAHAAYQBsACAAIAAgACAAIACSISgAUgBlAHEAdQBpAHIAZQBkACkAIABQAHIAaQBuAGMAaQBwAGEAbAAgAGEAbQBvAHUAbgB0ALYAXAAiACAAJgAgAFwAbgAgACAAIAAgACAAIAAgACAAIAAgACAAIAAgACAAIAAgACAAIAAgACAAIAAgACAAIAAgACAAIAAgAFwAIgBSAGEAdABlACAAIAAgACAAIAAgACAAIAAgACAAkiEoAFIAZQBxAHUAaQByAGUAZAApACAASQBuAHQAZQByAGUAcwB0ACAAcABlAHIAYwBlAG4AdABhAGcAZQAgAHIAYQB0AGUALgAgAEYAbwByACAAeQBlAGEAcgBzACwAIABBAFAAUgAuACAARgBvAHIAIABtAG8AbgB0AGgAcwAsACAAQQBQAFIALwAxADI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NQAyAC4ANgAzACAAIAAgACAAIAAgACAAIAAgACAAkiE9AG8AegAuAEkAbgB0AE8AbgBJAG4AdAC7AygAIAAxADAAMAAwACwAIAA1AC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cgBpAG4AYwBpAHAAYQBsACkALABcAG4AIAAgACAAIAAgACAAIAAgACAAIAAgACAAIAAgACAAIAAgACAAIAAgACAAIAAgACAAIAAgACAAIABJAFMATwBNAEkAVABUAEUARAAoACAAUgBhAHQAZQApAFwAbgAgACAAIAAgACAAIAAgACAAIAAgACAAIAAgACAAIAAgACAAIAAgACAAIAAgACAAIAApACwAXABuACAAIAAgACAALwAvACAAIABQAHIAbwBjAGUAZAB1AHIAZQBcAG4AIAAgACAAIAAgACAAIAAgAFIAZQBzAHUAbAB0ACwAIAAgACAAIAAgACAAIAAgACAAUAByAGkAbgBjAGkAcABhAGwAIAAvACgAMQAtAFIAYQB0AGUAKQAgAC0AIABQAHIAaQBuAGMAaQBwAGEAbA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UgBSALsDXAB0AFwAbgAgACAAIAAgAEQARQBTAEMAUgBJAFAAVABJAE8ATgA6ACoALwAgAC8AKgAqAEMAYQBsAGMAdQBsAGEAdABlAHMAIABJAFIAUgAsACAAYwBvAHIAcgBlAGMAdABpAG4AZwAgAGYAbwByACAAdwBoAGUAbgAgAHQAaABlACAAZgBpAHIAcwB0ACAAaQBuAHYAZQBzAHQAbQBlAG4AdAAgAGkAcwAgAG4AbwB0ACAAaQBuACAAdABoAGUAIABmAGkAcgBzAHQAIABwAGUAcgBpAG8AZAAgACoALwBcAG4ASQBSAFIAuwMgAD0AIABMAEEATQBCAEQAQQAoAFwAbgAgACAAIAAgAFsAVgBhAGwAdQBlAHMAXQAsAFwAbgAgACAAIAAgAFsARABhAHQAZQBz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FIAUgC7AygAIABWAGEAbAB1AGUAcwAsACAARABhAHQAZQBzACkAtgBcACIAIAAmACAAXABuACAAIAAgACAAIAAgACAAIAAgACAAIAAgACAAIAAgACAAIAAgACAAIAAgACAAIAAgACAAIAAgACAAXAAiAEQARQBTAEMAUgBJAFAAVABJAE8ATgA6ACAAIAAgAJIhQwBhAGwAYwB1AGwAYQB0AGUAcwAgAEkAUgBSACwAIABjAG8AcgByAGUAYwB0AGkAbgBnACAAZgBvAHIAIAB3AGgAZQBuACAAdABoAGUAIABmAGkAcgBzAHQAIABpAG4AdgBlAHMAdABtAGUAbgB0ACAAaQBzACAAbgBvAHQAIABpAG4AIAB0AGgAZQAgAGYAaQByAHMAdAAgAHAAZQByAGkAbwBkALYAXAAiACAAJgAgAFwAbgAgACAAIAAg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aQBuAHYAZQBzAHQAbQBlAG4AdABzACAAKABuAGUAZwBhAHQAaQB2AGUAKQAgAGEAbgBkACAAZABpAHMAdAByAGkAYgB1AHQAaQBvAG4AcwAgACgAcABvAHMAaQB0AGkAdgBlACkAtgBcACIAIAAmACAAXABuACAAIAAgACAAIAAgACAAIAAgACAAIAAgACAAIAAgACAAIAAgACAAIAAgACAAIAAgACAAIAAgACAAIAAgACAAIAAgACAAIAAgACAAIAAgACAAIAAgACAAXAAiAJIhVABoAGUAIABmAGkAcgBzAHQAIABlAG4AdAByAHkALAAgAHcAaABlAHQAaABlAHIAIAAwACAAbwByACAAYQBuACAAYQBtAG8AdQBuAHQALAAgAG0AdQBzAHQAIABiAGUAIABmAG8AcgAgAHQAaABlACAAZgBpAHIAcwB0ACAAcABlAHIAaQBvAGQAIABpAG4AIAB0AGgAZQAgAHQAaQBtAGUAbABpAG4AZQC2AFwAIgAgACYAIABcAG4AIAAgACAAIAAgACAAIAAgACAAIAAgACAAIAAgACAAIAAgACAAIAAgACAAIAAgACAAIAAgACAAIAAgACAAIAAgACAAIAAgACAAIAAgACAAIAAgACAAIABcACIAkiFhAG4AZAAgAHMAdQBiAHMAZQBxAHUAZQBuAHQAIABlAG4AdAByAGkAZQBzACAAbQB1AHMAdAAgAGMAbwByAHIAZQBzAHAAbwBuAGQAIAB0AG8AIABwAGUAcgBpAG8AZABzACAAaQBuACAAdABoAGUAIAB0AGkAbQBlAGwAaQBuAGUAOwAgAGgAbwB3AGUAdgBlAHIALAC2AFwAIgAgACYAIABcAG4AIAAgACAAIAAgACAAIAAgACAAIAAgACAAIAAgACAAIAAgACAAIAAgACAAIAAgACAAIAAgACAAIAAgACAAIAAgACAAIAAgACAAIAAgACAAIAAgACAAIABcACIAkiF0AGgAZQAgAHQAaQBtAGUAbABpAG4AZQAgAG0AYQB5ACAAZQB4AHQAZQBuAGQAIABiAGUAeQBvAG4AZAAgAHQAaABlACAAZQBuAGQAIABvAGYAIAB2AGEAbAB1AGUAcwAuALYAXAAiACAAJgAgAFwAbgAgACAAIAAgACAAIAAgACAAIAAgACAAIAAgACAAIAAgACAAIAAgACAAIAAgACAAIAAgACAAIAAgAFwAIgBEAGEAdABlAHMAIAAgACAAIAAgACAAIAAgACAAIACSISgAUgBlAHEAdQBpAHIAZQBkACkAIABBACAAdABpAG0AZQBsAGkAbgBlACAAZgBvAHIAIAB3AGgAZQBuACAAZQBhAGMAaAAgAGkAbgB2AGUAcwB0AG0AZQBuAHQAIABpAHMAIABtAGEAZABlALYAXAAiACAAJgAg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BEAGEAdABlAHMAIAAgACAAIAAgACAAIAAgACAAIACSIT0ARQBEAEEAVABFACgAXAAiAFwAIgAxAC8ANwAvADIAMAAyADYAXAAiAFwAIgAsACAAUwBFAFEAVQBFAE4AQwBFACgALAAyADQALAAgADAAKQApALYAXAAiACAAJgBcAG4AIAAgACAAIAAgACAAIAAgACAAIAAgACAAIAAgACAAIAAgACAAIAAgACAAIAAgACAAIAAgACAAIABcACIAVgBhAGwAdQBlAHMAIAAgACAAIAAgACAAIAAgACAAkiE9AHsAMAAsADAALAAtADEANQAwACwAMAAsAC0AMQAwADAALAAxADAALAAyADAALAAzADAALAA0ADAALAA1ADAALAA2ADAALAA3ADAAfQC2AFwAIgAgACYAIABcAG4AIAAgACAAIAAgACAAIAAgACAAIAAgACAAIAAgACAAIAAgACAAIAAgACAAIAAgACAAIAAgACAAIABcACIAkiG2AFwAIgAgACYAXABuACAAIAAgACAAIAAgACAAIAAgACAAIAAgACAAIAAgACAAIAAgACAAIAAgACAAIAAgACAAIAAgACAAXAAiAFIAZQBzAHUAbAB0ACAAIAAgACAAIAAgACAAIAAgAJIhRgBvAHIAbQB1AGwAYQC2AFwAIgAgACYAXABuACAAIAAgACAAIAAgACAAIAAgACAAIAAgACAAIAAgACAAIAAgACAAIAAgACAAIAAgACAAIAAgACAAXAAiADIANQAlACAAIAAgACAAIAAgACAAIAAgACAAIAAgAJIhPQBvAHoALgBJAFIAUgC7AygAIABWAGEAbAB1AGUAcwAsACAARABhAHQAZQBz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FwAbgAgACAAIAAgACAAIAAgACAAIAAgACAAIAAgACAAIAAgACAAIAAgACAAIAAgACAAIAApACwAXABuACAAIAAgACAALwAvACAAIABTAGUAdAAgAEQAZQBmAGEAdQBsAHQAcwBcAG4AIAAgACAAIAAgACAAIAAgAFYAYQBsAHUAZQBzACwAIAAgACAAIAAgACAAIAAgACAARQBYAFAAQQBOAEQAKABWAEEATABVAEUAUwAsACAAMQAsACAAQwBPAFUATgBUAEEAKABEAGEAdABlAHMAKQAsACAAMAApACwAXABuACAAIAAgACAALwAvACAAIABQAHIAbwBjAGUAZAB1AHIAZQBcAG4AIAAgACAAIAAgACAAIAAgAEYAaQBsAHQAZQByAEIAeQAsACAAIAAgACAAIAAgACAAVgBhAGwAdQBlAHMAIAA8AD4AIAAwACwAXABuACAAIAAgACAAIAAgACAAIABGAGkAbAB0AGUAcgBlAGQAVgBhAGwAdQBlAHMALAAgAEYASQBMAFQARQBSACgAIABWAGEAbAB1AGUAcwAsACAARgBpAGwAdABlAHIAQgB5ACkALAAgAFwAbgAgACAAIAAgACAAIAAgACAARgBpAGwAdABlAHIAZQBkAEQAYQB0AGUAcwAsACAAIABGAEkATABUAEUAUgAoACAARABhAHQAZQBzACwAIABGAGkAbAB0AGUAcgBCAHkAKQAsACAAXABuACAAIAAgACAAIAAgACAAIABSAGUAcwB1AGwAdAAsACAAIAAgACAAIAAgACAAIAAgAFgASQBSAFIAKAAgAEYAaQBsAHQAZQByAGUAZABWAGEAbAB1AGUAcwAsACAARgBpAGwAdABlAHIAZQBkAEQAYQB0AGUAcwApACwAI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QBvAHYAZQBtAGUAbgB0ALsDXABuACAAIAAgACAARABFAFMAQwBSAEkAUABUAEkATwBOADoAKgAvAC8AKgAqAEMAcgBlAGEAdABlACAAYQAgAHIAbwB3ACAAbwBmACAAZABpAGYAZgBlAHIAZQBuAGMAZQBzACAAZgByAG8AbQAgAGMAbwBsAHUAbQBuACAAdABvACAAYwBvAGwAdQBtAG4AKgAvAFwAbgBNAG8AdgBlAG0AZQBuAHQAuwMgAD0AIABMAEEATQBCAEQAQQAoAFwAbgAvAC8AIAAgAFAAYQByAGEAbQBlAHQAZQByACAARABlAGMAbABhAHIAYQB0AGkAbwBuAHMAXABuACAAIAAgACAAWwBCAGUAZwBpAG4AbgBpAG4AZwBWAGEAbAB1AGUAcwBdACwAXABuACAAIAAgACAAWwBWAGEAbAB1AGUAcwBdACwAIAAgACAAIABcAG4ALwAvACAAIABIAGUAbABwAFwAbgAgACAAIAAgAEwARQBUACgASABlAGwAcAAsACAAIAAgACAAIAAgACAAVABSAEkATQAoAFQARQBYAFQAUwBQAEwASQBUACgAIABcAG4AIAAgACAAIAAgACAAIAAgACAAIAAgACAAIAAgACAAIAAgACAAIAAgACAAIAAgACAAIAAgACAAIABcACIARgBVAE4AQwBUAEkATwBOADoAIAAgACAAIAAgACAAkiFNAG8AdgBlAG0AZQBuAHQAuwMoACAAWwBCAGUAZwBpAG4AbgBpAG4AZwBWAGEAbAB1AGUAcwBdACwAIABWAGEAbAB1AGUAcwApALYAXAAiACAAJgBcAG4AIAAgACAAIAAgACAAIAAgACAAIAAgACAAIAAgACAAIAAgACAAIAAgACAAIAAgACAAIAAgACAAIABcACIARABFAFMAQwBSAEkAUABUAEkATwBOADoAIAAgACAAkiFDAHIAZQBhAHQAZQAgAGEAIAByAG8AdwAgAG8AZgAgAGQAaQBmAGYAZQByAGUAbgBjAGUAcwAgAGYAcgBvAG0AIABjAG8AbAB1AG0AbgAgAHQAbw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gBlAGcAaQBuAG4AaQBuAGcAVgBhAGwAdQBlAHMAkiEoAE8AcAB0AGkAbwBuAGEAbAApACAARABlAGYAYQB1AGwAdABzACAAdABvACAAMAAuACAATwBuAGUAIAB2AGEAbAB1AGUALAAgAG8AcgAgAG8AbgBlACAAcABlAHIAIAByAG8AdwAgAG8AZgAgAFYAYQBsAHUAZQBzALYAXAAiACAAJgAgAFwAbgAgACAAIAAgACAAIAAgACAAIAAgACAAIAAgACAAIAAgACAAIAAgACAAIAAgACAAIAAgACAAIAAgAFwAIgBWAGEAbAB1AGUAcwAgACAAIAAgACAAIAAgACAAIACSISgAUgBlAHEAdQBpAHIAZQBkACkAIABBACAAcgBvAHcAIAAoAG8AcgAgAHIAbwB3AHMAKQAgAG8AZgAgAHYAYQBsAHUAZQBzACAAdABvACAAYwBvAG0AcABhAHIAZQAgAGMAbwBsAHUAbQBuACAAdABvACAAYwBvAGwAdQBtAG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wADAALAAxADAALAAyADAALAAtADMAMAAgACAAkiE9AG8AegAuAE0AbwB2AGUAbQBlAG4AdAC7AygALAB7ADEAMAAwACwAMQAxADAALAAxADMAMAAsADEAMAAwAH0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WAGEAbAB1AGUAcwApACwAXABuACAAIAAgACAALwAvACAAIABTAGUAdAAgAEQAZQBmAGEAdQBsAHQAcwBcAG4AIAAgACAAIAAvAC8AIAAgAEUAbABlAG0AZQBuAHQALQB3AGkAcwBlACwAIABzAG8AIABvAG4AZQAgAGIAbABhAG4AawAgAG8AcABlAG4AaQBuAGcAIABkAGUAZgBhAHUAbAB0AHMAIABpAHQAcwAgAG8AdwBuACAAcgBvAHcAIABhAG4AZAAgAG4AbwB0ACAAZQB2AGUAcgB5ACAAcgBvAHcAXABuACAAIAAgACAAIAAgACAAIABCAGUAZwBpAG4AbgBpAG4AZwBWAGEAbAB1AGUAcwAsACAASQBGACgASQBTAE8ATQBJAFQAVABFAEQAKABCAGUAZwBpAG4AbgBpAG4AZwBWAGEAbAB1AGUAcwApACwAIAAwACwAXABuACAAIAAgACAAIAAgACAAIAAgACAAIAAgACAAIAAgACAAIAAgACAAIAAgACAAIAAgACAAIAAgACAASQBGACgAVABSAEkATQAoAEIAZQBnAGkAbgBuAGkAbgBnAFYAYQBsAHUAZQBzACAAJgAgAFwAIgBcACIAKQA9AFwAIgBcACIALAAgADAALAAgAEIAZQBnAGkAbgBuAGkAbgBnAFYAYQBsAHUAZQBzACkAKQAsAFwAbgAgACAAIAAgAC8ALwAgACAAUAByAG8AYwBlAGQAdQByAGUAXABuACAAIAAgACAAIAAgACAAIABSAG8AdwBzACwAIAAgACAAIAAgACAAIAAgACAAIAAgAFIATwBXAFMAKAAgAFYAYQBsAHUAZQBzACkALABcAG4AIAAgACAAIAAgACAAIAAgAEMAbwBsAHMALAAgACAAIAAgACAAIAAgACAAIAAgACAAQwBPAEwAVQBNAE4AUwAoACAAVgBhAGwAdQBlAHMAKQAsAFwAbgAgACAAIAAgAC8ALwAgACAARQBhAGMAaAAgAGMAbwBsAHUAbQBuACAAaQBzACAAYwBvAG0AcABhAHIAZQBkACAAdwBpAHQAaAAgAHQAaABlACAAbwBuAGUAIABiAGUAZgBvAHIAZQAgAGkAdAA7ACAAdABoAGUAIABmAGkAcgBzAHQAIAB3AGkAdABoACAAaQB0AHMAIAByAG8AdwAnAHMAIABiAGUAZwBpAG4AbgBpAG4AZwAgAHYAYQBsAHUAZQBcAG4AIAAgACAAIAAgACAAIAAgAEIAZQBnAGkAbgBzACwAIAAgACAAIAAgACAAIAAgACAAUwBFAFEAVQBFAE4AQwBFACgAIABSAG8AdwBzACwAIAAxACwAIAAwACwAIAAwACkAIAArACAAQgBlAGcAaQBuAG4AaQBuAGcAVgBhAGwAdQBlAHMALABcAG4AIAAgACAAIAAgACAAIAAgAFAAcgBlAHYAaQBvAHUAcwAsACAAIAAgACAAIAAgACAASQBGACgAIABDAG8AbABzACAAPQAgADEALAAgAEIAZQBnAGkAbgBzACwAIABIAFMAVABBAEMASwAoACAAQgBlAGcAaQBuAHMALAAgAEQAUgBPAFAAKAAgAFYAYQBsAHUAZQBzACwAIAAsACAALQAxACkAKQApACwAXABuACAAIAAgACAAIAAgACAAIABSAGUAcwB1AGwAdAAsACAAIAAgACAAIAAgACAAIAAgAFYAYQBsAHUAZQBzACAALQAgAFAAcgBlAHYAaQBvAHUAcw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ZQB2AGUAcgBzAGEAbAC7A1wAbgAgACAAIAAgAEQARQBTAEMAUgBJAFAAVABJAE8ATgA6ACoALwAvACoAKgBDAHIAZQBhAHQAZQAgAGEAIAByAG8AdwAgAHQAaABhAHQAIAByAGUAdgBlAHIAcwBlAHMAIABpAG4AcAB1AHQAIAB2AGEAbAB1AGUAcwAgAGkAbgAgAHQAaABlACAAbgBlAHgAdAAgAHAAZQByAGkAbwBkAC4AKgAvAFwAbgBSAGUAdgBlAHIAcwBhAGwAuwMgAD0AIABMAEEATQBCAEQAQQAoAFwAbgAvAC8AIAAgAFAAYQByAGEAbQBlAHQAZQByACAARABlAGMAbABhAHIAYQB0AGkAbwBuAHMAXABuACAAIAAgACAAWwBPAHAAZQBuAGkAbgBnAFYAYQBsAHUAZQBdACwAXABuACAAIAAgACAAWwBSAG8AdwBUAG8AUgBlAHYAZQByAHMAZQBdACwAIAAgACAAIABcAG4ALwAvACAAIABIAGUAbABwAFwAbgAgACAAIAAgAEwARQBUACgASABlAGwAcAAsACAAIAAgACAAIAAgACAAVABSAEkATQAoAFQARQBYAFQAUwBQAEwASQBUACgAIABcAG4AIAAgACAAIAAgACAAIAAgACAAIAAgACAAIAAgACAAIAAgACAAIAAgACAAIAAgACAAIAAgACAAIABcACIARgBVAE4AQwBUAEkATwBOADoAIAAgACAAIAAgACAAkiFSAGUAdgBlAHIAcwBhAGwAuwMoACAAWwBPAHAAZQBuAGkAbgBnAFYAYQBsAHUAZQBdACwAIABSAG8AdwBUAG8AUgBlAHYAZQByAHMAZQApALYAXAAiACAAJgBcAG4AIAAgACAAIAAgACAAIAAgACAAIAAgACAAIAAgACAAIAAgACAAIAAgACAAIAAgACAAIAAgACAAIABcACIARABFAFMAQwBSAEkAUABUAEkATwBOADoAIAAgACAAkiFDAHIAZQBhAHQAZQAgAGEAIAByAG8AdwAgAHQAaABhAHQAIAByAGUAdgBlAHIAcwBlAHMAIABpAG4AcAB1AHQAIAB2AGEAbAB1AGUAcwAgAGkAbgAgAHQAaABlACAAbgBlAHgAdAAgAHAAZQByAGkAbwBkAC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PAHAAZQBuAGkAbgBnAFYAYQBsAHUAZQAgACAAIACSISgATwBwAHQAaQBvAG4AYQBsACkAIABEAGUAZgBhAHUAbAB0AHMAIAB0AG8AIAAwALYAXAAiACAAJgAgAFwAbgAgACAAIAAgACAAIAAgACAAIAAgACAAIAAgACAAIAAgACAAIAAgACAAIAAgACAAIAAgACAAIAAgAFwAIgBSAG8AdwBUAG8AUgBlAHYAZQByAHMAZQAgACAAIACSISgAUgBlAHEAdQBpAHIAZQBkACkAIABBACAAcgBvAHcAIABvAGYAIAB2AGEAbAB1AGUAcwAgAHQAbwAgAHIAZQB2AGUAcgBzAGUAIAB0AGgAZQAgAGYAbwBsAGwAbwB3AGkAbgBnACAAcABlAHIAaQBvAGQAcw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wACwALQAxADAAMAAsAC0AMQAxADAAIAAgACAAIACSIT0AbwB6AC4AUgBlAHYAZQByAHMAYQBsALsDKAAgACwAIAB7ADEAMAAwACwAMQAxADAALAAxADMAMAB9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UgBvAHcAVABvAFIAZQB2AGUAcgBzAGUAKQAsAFwAbgAgACAAIAAgAC8ALwAgACAAUwBlAHQAIABEAGUAZgBhAHUAbAB0AHMAXABuACAAIAAgACAAIAAgACAAIABCAGUAZwBpAG4AbgBpAG4AZwBWAGEAbAB1AGUALAAgAEkARgAoACAASQBTAE8ATQBJAFQAVABFAEQAKAAgAE8AcABlAG4AaQBuAGcAVgBhAGwAdQBlACkALAAgADAALAAgACAATwBwAGUAbgBpAG4AZwBWAGEAbAB1AGUAKQAsAFwAbgAgACAAIAAgAC8ALwAgACAAUAByAG8AYwBlAGQAdQByAGUAXABuACAAIAAgACAAIAAgACAAIABDAG8AdQBuAHQAZQByACwAIAAgACAAIAAgACAAIAAgAFMARQBRAFUARQBOAEMARQAoACAALAAgAEMATwBMAFUATQBOAFMAKABSAG8AdwBUAG8AUgBlAHYAZQByAHMAZQApACkALABcAG4AIAAgACAAIAAgACAAIAAgAFIAZQBzAHUAbAB0ACwAIAAgACAAIAAgACAAIAAgACAATQBBAFAAKAAgAEMAbwB1AG4AdABlAHIALAAgAFwAbgAgACAAIAAgACAAIAAgACAAIAAgACAAIAAgACAAIAAgACAAIAAgACAAIAAgACAAIAAgACAAIAAgAEwAQQBNAEIARABBACgAQwBvAGwALAAgACAASQBGACgAQwBvAGwAIAA9ACAAMQAsACAALQBPAHAAZQBuAGkAbgBnAFYAYQBsAHUAZQAsACAALQBDAEgATwBPAFMARQBDAE8ATABTACgAIABSAG8AdwBUAG8AUgBlAHYAZQByAHMAZQAsACAAQwBvAGwALQAxACkAKQ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C8AKgAgACAARgBVAE4AQwBUAEkATwBOACAATgBBAE0ARQA6ACAAIABDAHUAbQB1AGwAYQB0AGkAdgBlALsDXABuACAAIAAgACAARABFAFMAQwBSAEkAUABUAEkATwBOADoAKgAvAC8AKgAqAEMAcgBlAGEAdABlAHMAIABhACAAcgBvAHcAIABvAHIAIABjAG8AbAB1AG0AbgAgAG8AZgAgAGMAdQBtAHUAbABhAHQAaQB2AGUAIAB0AG8AdABhAGwAcwAgAGYAcgBvAG0AIABhACAAdABvAHQAYQBsACAAcgBvAHcAIABvAHIAIABjAG8AbAB1AG0AbgAqAC8AXABuAEMAdQBtAHUAbABhAHQAaQB2AGUAuwMgAD0AIABMAEEATQBCAEQAQQAoAFwAbgAvAC8AIAAgAFAAYQByAGEAbQBlAHQAZQByACAARABlAGMAbABhAHIAYQB0AGkAbwBuAHMAXABuACAAIAAgACAAWwBUAG8AdABhAGwAcwBdACwAXABuACAAIAAgACAAWwBPAHAAZQBuAGkAbgBnAEIAYQBsAGEAbgBjAGUAXQAsAFwAbgAvAC8AIAAgAEgAZQBsAHAAXABuACAAIAAgACAATABFAFQAKABIAGUAbABwACwAIAAgACAAIAAgACAAIABUAFIASQBNACgAVABFAFgAVABTAFAATABJAFQAKAAgAFwAbgAgACAAIAAgACAAIAAgACAAIAAgACAAIAAgACAAIAAgACAAIAAgACAAIAAgACAAIAAgACAAIAAgAFwAIgBGAFUATgBDAFQASQBPAE4AOgAgACAAIAAgACAAIACSIUMAdQBtAHUAbABhAHQAaQB2AGUAuwMoACAAVABvAHQAYQBsAHMALAAgAFsATwBwAGUAbgBpAG4AZwBCAGEAbABhAG4AYwBlAF0AKQC2AFwAIgAgACYAXABuACAAIAAgACAAIAAgACAAIAAgACAAIAAgACAAIAAgACAAIAAgACAAIAAgACAAIAAgACAAIAAgACAAXAAiAEQARQBTAEMAUgBJAFAAVABJAE8ATgA6ACAAIAAgAJIhQwByAGUAYQB0AGUAcwAgAGEAIAByAG8AdwAgAG8AcgAgAGMAbwBsAHUAbQBuACAAbwBmACAAYwB1AG0AdQBsAGEAdABpAHYAZQAgAHQAbwB0AGEAbABzACAAZgByAG8AbQAgAGEAIAB0AG8AdABhAGwAIAByAG8AdwAgAG8Acg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ABvAHQAYQBsAHMAIAAgACAAIAAgACAAIAAgACAAkiEoAFIAZQBxAHUAaQByAGUAZAApACAAQQAgAHIAbwB3ACAAbwByACAAYwBvAGwAdQBtAG4AIABvAGYAIAB0AG8AdABhAGwAcwAgAGYAcgBvAG0AIAB3AGgAaQBjAGgAIAB0AG8AIAByAHUAbgAgAGMAdQBtAHUAbABhAHQAaQB2AGUAIAB0AG8AdABhAGwAcwC2AFwAIgAgACYAIABcAG4AIAAgACAAIAAgACAAIAAgACAAIAAgACAAIAAgACAAIAAgACAAIAAgACAAIAAgACAAIAAgACAAIABcACIATwBwAGUAbgBpAG4AZwBCAGEAbABhAG4AYwBlACAAkiEoAE8AcAB0AGkAbwBuAGEAbAApACAAQQAgAHMAdABhAHIAdABpAG4AZwAgAGIAYQBsAGEAbgBjAGUALgAgAFQAaABpAHMAIABkAGUAZgBhAHUAbAB0AHMAIAB0AG8AIAAw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LAAzACwANgAgACAAIAAgACAAIAAgACAAIAAgAJIhPQBvAHoALgBDAHUAbQB1AGwAYQB0AGkAdgBlALsDKABTAGUAcQB1AGUAbgBjAGUAKAAsADMAK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QAbwB0AGEAbABzACkALABcAG4AIAAgACAAIAAvAC8AIAAgAFAAcgBvAGMAZQBkAHUAcgBlAFwAbgAgACAAIAAgACAAIAAgACAAUgBlAHMAdQBsAHQALAAgACAAIAAgACAAIAAgACAAIABTAEMAQQBOACgAIABPAHAAZQBuAGkAbgBnAEIAYQBsAGEAbgBjAGUALAAgAFQAbwB0AGEAbABzACwAIABMAEEATQBCAEQAQQAoAFAAcgBlAHYAaQBvAHUAcwBBAG0AbwB1AG4AdAAsACAAQwB1AHIAcgBlAG4AdABBAG0AbwB1AG4AdAAsACAAUAByAGUAdgBpAG8AdQBzAEEAbQBvAHUAbgB0ACAAKwAgAEMAdQByAHIAZQBuAHQAQQBtAG8AdQBuAHQAKQ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vAGwAbABpAG4AZwBBAHYAZwC7A1wAbgAgACAAIAAgAEQARQBTAEMAUgBJAFAAVABJAE8ATgA6ACoALwAvACoAKgBDAHIAZQBhAHQAZQBzACAAQQB2AGUAcgBhAGcAZQBzACAAZgBvAHIAIABwAHIAZQBjAGUAZABpAG4AZwAgAHYAYQBsAHUAZQBzACAAbwBmACAAYQAgAHMAZQB0ACAAcwBpAHoAZQAgAG0AbwB2AGkAbgBnACAAZgByAG8AbQAgAGIAZQBnAGkAbgBuAGkAbgBnACAAdABvACAAZQBuAGQAIABvAHYAZQByACAAYQAgAHIAbwB3ACAAbwBmACAAdgBhAGwAdQBlAHMALgAqAC8AXABuAFIAbwBsAGwAaQBuAGcAQQB2AGc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QQB2AGcAuwMoACAAVgBhAGwAdQBlAHMALAAgAFMAaQB6AGUAKQC2AFwAIgAgACYAXABuACAAIAAgACAAIAAgACAAIAAgACAAIAAgACAAIAAgACAAIAAgACAAIAAgACAAIAAgACAAIAAgACAAXAAiAEQARQBTAEMAUgBJAFAAVABJAE8ATgA6ACAAIAAgAJIhQwByAGUAYQB0AGUAcwAgAGEAdgBlAHIAYQBnAGU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EAdgBlAHIAYQBnAGUAZAAuALYAXAAiACAAJgAgAFwAbgAgACAAIAAgACAAIAAgACAAIAAgACAAIAAgACAAIAAgACAAIAAgACAAIAAgACAAIAAgACAAIAAgAFwAIgBTAGkAegBlACAAIAAgACAAIAAgACAAIAAgACAAIACSISgAUgBlAHEAdQBpAHIAZQBkACkAIABUAGgAZQAgAG4AdQBtAGIAZQByACAAbwBmACAAdgBhAGwAdQBlAHMAIAB0AG8AIABhAHYAZQByAGEAZwBlACAAdABoAGEAdAAgALYAXAAiACAAJgAgAFwAbgAgACAAIAAgACAAIAAgACAAIAAgACAAIAAgACAAIAAgACAAIAAgACAAIAAgACAAIAAgACAAIAAgACAAIAAgACAAIAAgACAAIAAgACAAIAAgACAAIAAgAFwAIgCSIWkAbgBjAGwAdQBkAGUAIABhAG4AZAAgAHAAcgBlAGMAZQBkAGU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LAAxAC4ANQAsADIALAAzACwANAAgACAAIAAgAJIhPQBvAHoALgBSAG8AbABsAGkAbgBnAEEAdgBn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IABDAE8ATABVAE0ATgBTACgAIABWAGEAbAB1AGUAcwApACkALABcAG4AIAAgACAAIAAvAC8AIAAgAEUAYQBjAGgAIAB3AGkAbgBkAG8AdwAgAGkAcwAgAHQAaABlACAAYwB1AHIAcgBlAG4AdAAgAGMAbwBsAHUAbQBuACAAYQBuAGQAIAB1AHAAIAB0AG8AIABTAGkAegBlACAALQAgADEAIABjAG8AbAB1AG0AbgBzACAAYgBlAGYAbwByAGUAIABpAHQAXABuACAAIAAgACAAIAAgACAAIABSAGUAcwB1AGwAdAAsACAAIAAgACAAIAAgACAAIAAgAE0AQQBQACgAIABDAG8AdQBuAHQAZQByACwAIABcAG4AIAAgACAAIAAgACAAIAAgACAAIAAgACAAIAAgACAAIAAgACAAIAAgACAAIAAgACAAIAAgACAAIABMAEEATQBCAEQAQQAoACAAVgBhAGwALABcAG4AIAAgACAAIAAgACAAIAAgACAAIAAgACAAIAAgACAAIAAgACAAIAAgACAAIAAgACAAIAAgACAAIAAgACAAIAAgAEEAVgBFAFIAQQBHAEUAKAAgAEMASABPAE8AUwBFAEMATwBMAFMAKAAgAFYAYQBsAHUAZQBzACwAIABTAEUAUQBVAEUATgBDAEUAKAAgADEALAAgAE0ASQBOACgAIABWAGEAbAAsACAAUwBpAHoAZQApACwAIABNAEEAWAAoACAAMQAsACAAVgBhAGwAIAAtACAAUwBpAHoAZQAgACsAIAAxACkAKQAp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EAeAC7A1wAbgAgACAAIAAgAEQARQBTAEMAUgBJAFAAVABJAE8ATgA6ACoALwAvACoAKgBDAHIAZQBhAHQAZQBzACAAdABoAGUAIABtAGEAeABpAG0AdQBtACAAZgBvAHIAIABwAHIAZQBjAGUAZABpAG4AZwAgAHYAYQBsAHUAZQBzACAAbwBmACAAYQAgAHMAZQB0ACAAcwBpAHoAZQAgAG0AbwB2AGkAbgBnACAAZgByAG8AbQAgAGIAZQBnAGkAbgBuAGkAbgBnACAAdABvACAAZQBuAGQAIABvAHYAZQByACAAYQAgAHIAbwB3ACAAbwBmACAAdgBhAGwAdQBlAHMALgAqAC8AXABuAFIAbwBsAGwAaQBuAGcATQBhAHg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hAHgAuwMoACAAVgBhAGwAdQBlAHMALAAgAFMAaQB6AGUAKQC2AFwAIgAgACYAXABuACAAIAAgACAAIAAgACAAIAAgACAAIAAgACAAIAAgACAAIAAgACAAIAAgACAAIAAgACAAIAAgACAAXAAiAEQARQBTAEMAUgBJAFAAVABJAE8ATgA6ACAAIAAgAJIhQwByAGUAYQB0AGUAcwAgAHQAaABlACAAbQBhAHgAaQBtAHUAbQ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0AYQB4AGUAZAAuALYAXAAiACAAJgAgAFwAbgAgACAAIAAgACAAIAAgACAAIAAgACAAIAAgACAAIAAgACAAIAAgACAAIAAgACAAIAAgACAAIAAgAFwAIgBTAGkAegBlACAAIAAgACAAIAAgACAAIAAgACAAIACSISgAUgBlAHEAdQBpAHIAZQBkACkAIABUAGgAZQAgAG4AdQBtAGIAZQByACAAbwBmACAAdgBhAGwAdQBlAHMAIAB0AG8AIABmAGkAbgBkACAAdABoAGUAIABtAGEAeABpAG0AdQBtACAAbwBmACAAdABoAGEAdAAgALYAXAAiACAAJgAgAFwAbgAgACAAIAAgACAAIAAgACAAIAAgACAAIAAgACAAIAAgACAAIAAgACAAIAAgACAAIAAgACAAIAAgACAAIAAgACAAIAAgACAAIAAgACAAIAAgACAAIAAgAFwAIgCSIWkAbgBjAGwAdQBkAGUAIABhAG4AZAAgAHAAcgBlAGMAZQBkAGU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UALAA1ACwANQAsADYALAA2ACwANwAgACAAIAAgAJIhPQBvAHoALgBSAG8AbABsAGkAbgBnAE0AYQB4ALsDKAB7ADUALAAzACwANAAsADYALAAz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IABDAE8ATABVAE0ATgBTACgAIABWAGEAbAB1AGUAcwApACkALABcAG4AIAAgACAAIAAvAC8AIAAgAEUAYQBjAGgAIAB3AGkAbgBkAG8AdwAgAGkAcwAgAHQAaABlACAAYwB1AHIAcgBlAG4AdAAgAGMAbwBsAHUAbQBuACAAYQBuAGQAIAB1AHAAIAB0AG8AIABTAGkAegBlACAALQAgADEAIABjAG8AbAB1AG0AbgBzACAAYgBlAGYAbwByAGUAIABpAHQAXABuACAAIAAgACAAIAAgACAAIABSAGUAcwB1AGwAdAAsACAAIAAgACAAIAAgACAAIAAgAE0AQQBQACgAIABDAG8AdQBuAHQAZQByACwAIABcAG4AIAAgACAAIAAgACAAIAAgACAAIAAgACAAIAAgACAAIAAgACAAIAAgACAAIAAgACAAIAAgACAAIABMAEEATQBCAEQAQQAoACAAVgBhAGwALABcAG4AIAAgACAAIAAgACAAIAAgACAAIAAgACAAIAAgACAAIAAgACAAIAAgACAAIAAgACAAIAAgACAAIAAgACAAIAAgAE0AQQBYACgAIABDAEgATwBPAFMARQBDAE8ATABTACgAIABWAGEAbAB1AGUAcwAsACAAUwBFAFEAVQBFAE4AQwBFACgAIAAxACwAIABNAEkATgAoACAAVgBhAGwALAAgAFMAaQB6AGUAKQAsACAATQBBAFgAKAAgADEALAAgAFYAYQBsACAALQAgAFMAaQB6AGUAIAArACAAMQApACkAKQ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pAG4AuwNcAG4AIAAgACAAIABEAEUAUwBDAFIASQBQAFQASQBPAE4AOgAqAC8ALwAqACoAQwByAGUAYQB0AGUAcwAgAHQAaABlACAATQBpAG4AaQBtAHUAbQAgAGYAbwByACAAcAByAGUAYwBlAGQAaQBuAGcAIAB2AGEAbAB1AGUAcwAgAG8AZgAgAGEAIABzAGUAdAAgAHMAaQB6AGUAIABtAG8AdgBpAG4AZwAgAGYAcgBvAG0AIABiAGUAZwBpAG4AbgBpAG4AZwAgAHQAbwAgAGUAbgBkACAAbwB2AGUAcgAgAGEAIAByAG8AdwAgAG8AZgAgAHYAYQBsAHUAZQBzAC4AKgAvAFwAbgBSAG8AbABsAGkAbgBnAE0AaQBu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0AaQBuALsDKAAgAFYAYQBsAHUAZQBzACwAIABTAGkAegBlACkAtgBcACIAIAAmAFwAbgAgACAAIAAgACAAIAAgACAAIAAgACAAIAAgACAAIAAgACAAIAAgACAAIAAgACAAIAAgACAAIAAgAFwAIgBEAEUAUwBDAFIASQBQAFQASQBPAE4AOgAgACAAIACSIUMAcgBlAGEAdABlAHMAIAB0AGgAZQAgAG0AaQBuAGkAbQB1AG0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0AGEAawBlACAAdABoAGUAIABtAGkAbgBpAG0AdQBtACAAbwBmAC4AtgBcACIAIAAmACAAXABuACAAIAAgACAAIAAgACAAIAAgACAAIAAgACAAIAAgACAAIAAgACAAIAAgACAAIAAgACAAIAAgACAAXAAiAFMAaQB6AGUAIAAgACAAIAAgACAAIAAgACAAIAAgAJIhKABSAGUAcQB1AGkAcgBlAGQAKQAgAFQAaABlACAAbgB1AG0AYgBlAHIAIABvAGYAIAB2AGEAbAB1AGUAcwAgAHQAbwAgAGYAaQBuAGQAIAB0AGgAZQAgAG0AaQBuAGkAbQB1AG0AIABvAGYAIAB0AGgAYQB0ACAAtgBcACIAIAAmACAAXABuACAAIAAgACAAIAAgACAAIAAgACAAIAAgACAAIAAgACAAIAAgACAAIAAgACAAIAAgACAAIAAgACAAIAAgACAAIAAgACAAIAAgACAAIAAgACAAIAAgACAAXAAiAJIhaQBuAGMAbAB1AGQAZQAgAGEAbgBkACAAcAByAGUAYwBlAGQAZQ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NQAsADMALAAzACwAMwAsADIALAAyACAAIAAgACAAkiE9AG8AegAuAFIAbwBsAGwAaQBuAGcATQBpAG4AuwMoAHsANQAsADMALAA0ACwANgAsADI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AgAEMATwBMAFUATQBOAFMAKAAgAFYAYQBsAHUAZQBzACkAKQAsAFwAbgAgACAAIAAgAC8ALwAgACAARQBhAGMAaAAgAHcAaQBuAGQAbwB3ACAAaQBzACAAdABoAGUAIABjAHUAcgByAGUAbgB0ACAAYwBvAGwAdQBtAG4AIABhAG4AZAAgAHUAcAAgAHQAbwAgAFMAaQB6AGUAIAAtACAAMQAgAGMAbwBsAHUAbQBuAHMAIABiAGUAZgBvAHIAZQAgAGkAdABcAG4AIAAgACAAIAAgACAAIAAgAFIAZQBzAHUAbAB0ACwAIAAgACAAIAAgACAAIAAgACAATQBBAFAAKAAgAEMAbwB1AG4AdABlAHIALAAgAFwAbgAgACAAIAAgACAAIAAgACAAIAAgACAAIAAgACAAIAAgACAAIAAgACAAIAAgACAAIAAgACAAIAAgAEwAQQBNAEIARABBACgAIABWAGEAbAAsAFwAbgAgACAAIAAgACAAIAAgACAAIAAgACAAIAAgACAAIAAgACAAIAAgACAAIAAgACAAIAAgACAAIAAgACAAIAAgACAATQBJAE4AKAAgAEMASABPAE8AUwBFAEMATwBMAFMAKAAgAFYAYQBsAHUAZQBzACwAIABTAEUAUQBVAEUATgBDAEUAKAAgADEALAAgAE0ASQBOACgAIABWAGEAbAAsACAAUwBpAHoAZQApACwAIABNAEEAWAAoACAAMQAsACAAVgBhAGwAIAAtACAAUwBpAHoAZQAgACsAIAAxACkAKQAp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TAHUAbQC7A1wAbgAgACAAIAAgAEQARQBTAEMAUgBJAFAAVABJAE8ATgA6ACoALwAvACoAKgBDAHIAZQBhAHQAZQBzACAAdABvAHQAYQBsAHMAIABmAG8AcgAgAHAAcgBlAGMAZQBkAGkAbgBnACAAdgBhAGwAdQBlAHMAIABvAGYAIABhACAAcwBlAHQAIABzAGkAegBlACAAbQBvAHYAaQBuAGcAIABmAHIAbwBtACAAYgBlAGcAaQBuAG4AaQBuAGcAIAB0AG8AIABlAG4AZAAgAG8AdgBlAHIAIABhACAAcgBvAHcAIABvAGYAIAB2AGEAbAB1AGUAcwAuACoALwBcAG4AUgBvAGwAbABpAG4AZwBTAHUAbQ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TAHUAbQC7AygAIABWAGEAbAB1AGUAcwAsACAAUwBpAHoAZQApALYAXAAiACAAJgBcAG4AIAAgACAAIAAgACAAIAAgACAAIAAgACAAIAAgACAAIAAgACAAIAAgACAAIAAgACAAIAAgACAAIABcACIARABFAFMAQwBSAEkAUABUAEkATwBOADoAIAAgACAAkiFDAHIAZQBhAHQAZQBzACAAdABvAHQAYQBsAHM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0AG8AdABhAGwAbABlAGQALgC2AFwAIgAgACYAIABcAG4AIAAgACAAIAAgACAAIAAgACAAIAAgACAAIAAgACAAIAAgACAAIAAgACAAIAAgACAAIAAgACAAIABcACIAUwBpAHoAZQAgACAAIAAgACAAIAAgACAAIAAgACAAkiEoAFIAZQBxAHUAaQByAGUAZAApACAAVABoAGUAIABuAHUAbQBiAGUAcgAgAG8AZgAgAHYAYQBsAHUAZQBzACAAdABvACAAdABvAHQAYQBsACAAdABoAGEAdAAgALYAXAAiACAAJgAgAFwAbgAgACAAIAAgACAAIAAgACAAIAAgACAAIAAgACAAIAAgACAAIAAgACAAIAAgACAAIAAgACAAIAAgACAAIAAgACAAIAAgACAAIAAgACAAIAAgACAAIAAgAFwAIgCSIWkAbgBjAGwAdQBkAGUAIABhAG4AZAAgAHAAcgBlAGMAZQBkAGU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LAAzACwANgAsADkALAAxADIAIAAgACAAIAAgAJIhPQBvAHoALgBSAG8AbABsAGkAbgBnAFMAdQBt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IABDAE8ATABVAE0ATgBTACgAIABWAGEAbAB1AGUAcwApACkALABcAG4AIAAgACAAIAAvAC8AIAAgAEUAYQBjAGgAIAB3AGkAbgBkAG8AdwAgAGkAcwAgAHQAaABlACAAYwB1AHIAcgBlAG4AdAAgAGMAbwBsAHUAbQBuACAAYQBuAGQAIAB1AHAAIAB0AG8AIABTAGkAegBlACAALQAgADEAIABjAG8AbAB1AG0AbgBzACAAYgBlAGYAbwByAGUAIABpAHQAXABuACAAIAAgACAAIAAgACAAIABSAGUAcwB1AGwAdAAsACAAIAAgACAAIAAgACAAIAAgAE0AQQBQACgAIABDAG8AdQBuAHQAZQByACwAIABcAG4AIAAgACAAIAAgACAAIAAgACAAIAAgACAAIAAgACAAIAAgACAAIAAgACAAIAAgACAAIAAgACAAIABMAEEATQBCAEQAQQAoACAAVgBhAGwALABcAG4AIAAgACAAIAAgACAAIAAgACAAIAAgACAAIAAgACAAIAAgACAAIAAgACAAIAAgACAAIAAgACAAIAAgACAAIAAgAFMAVQBNACgAIABDAEgATwBPAFMARQBDAE8ATABTACgAIABWAGEAbAB1AGUAcwAsACAAUwBFAFEAVQBFAE4AQwBFACgAIAAxACwAIABNAEkATgAoACAAVgBhAGwALAAgAFMAaQB6AGUAKQAsACAATQBBAFgAKAAgADEALAAgAFYAYQBsACAALQAgAFMAaQB6AGUAIAArACAAMQApACkAKQ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MAdQBtAEMAbwBuAHQAYQBpAG4AcwC7A1wAbgAgACAAIAAgAEQARQBTAEMAUgBJAFAAVABJAE8ATgA6ACoALwAvACoAKgCSIUMAcgBlAGEAdABlAHMAIABhACAAcgBvAHcAIABvAGYAIAB0AG8AdABhAGwAcwAgAGYAbwByACAAZQBhAGMAaAAgAHIAbwB3ACAAaQBuACAAYQBuACAAYQByAHIAYQB5ACAAdwBoAGUAcgBlACAAXABuAGkAdABzACAAbABhAGIAZQBsAHMAIABjAG8AbgB0AGEAaQBuACAAYQAgAGwAZQB0AHQAZQByACwAIAB3AG8AcgBkACwAIABvAHIAIABwAGgAcgBhAHMAZQAqAC8AXABuAFMAdQBtAEMAbwBuAHQAYQBpAG4AcwC7AyAAPQAgAEwAQQBNAEIARABBACgAXABuAC8ALwAgACAAUABhAHIAYQBtAGUAdABlAHIAIABEAGUAYwBsAGEAcgBhAHQAaQBvAG4AcwBcAG4AIAAgACAAIABbAFYAYQBsAHUAZQBzAFQAbwBGAGkAbAB0AGUAcgBdACwAXABuACAAIAAgACAAWwBWAGEAbAB1AGUATABhAGIAZQBsAHMAXQAsAFwAbgAgACAAIAAgAFsARgBpAGwAdABlAHIAQgB5AFQAZQB4AHQAXQAsAFwAbgAgACAAIAAgAFsASQBnAG4AbwByAGUAQwBhAHMAZQA/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DAG8AbgB0AGEAaQBuAHMAuwMoAFYAYQBsAHUAZQBzAFQAbwBGAGkAbAB0AGUAcgAsACAAVgBhAGwAdQBlAEwAYQBiAGUAbABzACwAIABGAGkAbAB0AGUAcgBCAHkAVABlAHgAdAAsACAAWwBJAGcAbgBvAHIAZQBDAGEAcwBlAD8AXQApALYAXAAiACAAJgBcAG4AIAAgACAAIAAgACAAIAAgACAAIAAgACAAIAAgACAAIAAgACAAIAAgACAAIAAgACAAIAAgACAAIABcACIARABFAFMAQwBSAEkAUABUAEkATwBOADoAIAAgACAAkiFDAHIAZQBhAHQAZQBzACAAYQAgAHIAbwB3ACAAbwBmACAAYwBvAGwAdQBtAG4AIAB0AG8AdABhAGwAcwAgAGYAbwByACAAZQBhAGMAaAAgAHIAbwB3ACAAaQBuACAAYQBuACAAYQByAHIAYQB5ACAAdwBoAGUAcgBlALYAXAAiACAAJgAgAFwAbgAgACAAIAAgACAAIAAgACAAIAAgACAAIAAgACAAIAAgACAAIAAgACAAIAAgACAAIAAgACAAIAAgACAAIAAgACAAIAAgACAAIAAgACAAIAAgACAAIAAgAFwAIgCSIWkAdABzACAAbABhAGIAZQBsAHMAIABjAG8AbgB0AGEAaQBuACAAYQAgAHUAbgBpAHEAdQBlACAAbABlAHQAdABlAHIALAAgAHcAbwByAGQALAAgAG8AcgAgAHAAaAByAGEAcwBlAC4AtgBcACIAIAAmACAAXABuACAAIAAgACAAIAAgACAAIAAgACAAIAAgACAAIAAgACAAIAAgACAAIAAgACAAIAAgACAAIAAgACAAXAAiAFMARQBFACAAQQBMAFMATwA6ACAAIAAgACAAIAAgAJIhRQB4AGMAZQBsACAAMwA2ADUAIABuAG8AdwAgAGgAYQBzACAARwBSAE8AVQBQAEIAWQAgAGEAbgBkACAAUABJAFYATwBUAEIAWQAgAGYAbwByACAAZgBvAHIAbQB1AGwAYQAtAGQAcgBpAHYAZQBuACAAYQBnAGcAcgBlAGcAYQB0AGkAbwBu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BUAG8ARgBpAGwAdABlAHIAIACSISgAUgBlAHEAdQBpAHIAZQBkACkAIABBAG4AIABhAHIAcgBhAHkAIABvAGYAIAB2AGEAbAB1AGUAcwAgAHQAbwAgAGIAZQAgAGYAaQBsAHQAZQByAGUAZAC2AFwAIgAgACYAIAAgACAAIAAgACAAIAAgACAAIAAgACAAIAAgACAAIAAgACAAIABcAG4AIAAgACAAIAAgACAAIAAgACAAIAAgACAAIAAgACAAIAAgACAAIAAgACAAIAAgACAAIAAgACAAIABcACIAVgBhAGwAdQBlAEwAYQBiAGUAbABzACAAIAAgACAAkiEoAFIAZQBxAHUAaQByAGUAZAApACAAQQBuACAAYQByAHIAYQB5ACAAYwBvAG4AdABhAGkAbgBpAG4AZwAgAHQAaABlACAAdgBhAGwAdQBlAHMAJwAgAGwAYQBiAGUAbABzALYAXAAiACAAJgAgACAAIAAgACAAIAAgACAAIAAgACAAIAAgACAAIAAgACAAIAAgAFwAbgAgACAAIAAgACAAIAAgACAAIAAgACAAIAAgACAAIAAgACAAIAAgACAAIAAgACAAIAAgACAAIAAgAFwAIgBGAGkAbAB0AGUAcgBCAHkAVABlAHgAdAAgACAAIACSISgAUgBlAHEAdQBpAHIAZQBkACkAIABBACAAdQBuAGkAcQB1AGUAIABsAGUAdAB0AGUAcgAsACAAdwBvAHIAZAAgAG8AcgAgAHAAaAByAGEAcwBlACAAdABvACAAZgBpAG4AZAAgAGMAbwBuAHQAYQBpAG4AZQBkACAAaQBuACAAVgBhAGwAdQBlAEwAYQBiAGUAbABz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gACAAIAAgACAAIAAgACAAIAAgACAAIAAgACAAIACSIT0AbwB6AC4AUwB1AG0AQwBvAG4AdABhAGkAbgBzALsDKAAgAEEAcgByAGEAeQAsACAATABhAGIAZQBsAHMALAAgAFwAIgBcACIAQwBBAFAARQBY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VABvAEYAaQBsAHQAZQByACkALAAgAFwAbgAgACAAIAAgACAAIAAgACAAIAAgACAAIAAgACAAIAAgACAAIAAgACAAIAAgACAAIAAgACAAIAAgAEkAUwBPAE0ASQBUAFQARQBEACgAIABWAGEAbAB1AGUATABhAGIAZQBsAHMAKQAsACAAXABuACAAIAAgACAAIAAgACAAIAAgACAAIAAgACAAIAAgACAAIAAgACAAIAAgACAAIAAgACAAIAAgACAASQBTAE8ATQBJAFQAVABFAEQAKAAgAEYAaQBsAHQAZQByAEIAeQBUAGUAeAB0ACk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AAIAAgACAATABhAGIAZQBsAHMALAAgACAAIAAgACAAIAAgACAAIABDAEgATwBPAFMARQBDAE8ATABTACgAVgBhAGwAdQBlAEwAYQBiAGUAbABzACwAIAAxACkALABcAG4AIAAgACAAIAAvAC8AIAAgAFAAcgBvAGMAZQBkAHUAcgBlAFwAbgAgACAAIAAgACAAIAAgACAATQBhAHQAYwBoAGUAcwAsACAAIAAgACAAIAAgACAAIABJAEYAKAAgAEkAZwBuAG8AcgBlAEMAYQBzAGUAPwAsACAAXABuACAAIAAgACAAIAAgACAAIAAgACAAIAAgACAAIAAgACAAIAAgACAAIAAgACAAIAAgACAAIAAgACAAUwBFAEEAUgBDAEgAKAAgAEYAaQBsAHQAZQByAEIAeQBUAGUAeAB0ACwAIABMAGEAYgBlAGwAcwApACwAXABuACAAIAAgACAAIAAgACAAIAAgACAAIAAgACAAIAAgACAAIAAgACAAIAAgACAAIAAgACAAIAAgACAARgBJAE4ARAAoACAARgBpAGwAdABlAHIAQgB5AFQAZQB4AHQALAAgAEwAYQBiAGUAbABzACkAXABuACAAIAAgACAAIAAgACAAIAAgACAAIAAgACAAIAAgACAAIAAgACAAIAAgACAAIAAgACkALABcAG4AIAAgACAAIAAgACAAIAAgAEYAaQBsAHQAZQByAGUAZABSAG8AdwBzACwAIAAgACAARgBJAEwAVABFAFIAKAAgAFYAYQBsAHUAZQBzAFQAbwBGAGkAbAB0AGUAcgAsACAASQBTAE4AVQBNAEIARQBSACgAIABNAGEAdABjAGgAZQBzACkAKQAsAFwAbgAgACAAIAAgACAAIAAgACAAUgBlAHMAdQBsAHQALAAgACAAIAAgACAAIAAgACAAIABCAFkAQwBPAEwAKABGAGkAbAB0AGUAcgBlAGQAUgBvAHcAcwAsACAATABBAE0AQgBEAEEAKAAgAEMAbwBsACwAIABTAFUATQAoAEMAbwBsACkAKQApACwAXABuACAAIAAgACAALwAvACAAIABSAGUAdAB1AHIAbgAgAFIAZQBzAHUAbAB0ACAAbwByACAAaABlAGwAcABcAG4AIAAgACAAIAAgACAAIAAgAEMASABPAE8AUwBFACgASABlAGwAcAA/ACAAKwAgADEALAAgAFIAZQBzAHUAbAB0ACwAIABIAGUAbABwACkAXABuACAAIAAgACAAKQAgACAAXABuACkAOwBcAG4AXABuAFwAbgAvACoAIAAgAEYAVQBOAEMAVABJAE8ATgAgAE4AQQBNAEUAOgAgACAAUwB1AG0AUABlAHIAaQBvAGQAcwC7A1wAbgAgACAAIAAgAEQARQBTAEMAUgBJAFAAVABJAE8ATgA6ACoALwAvACoAKgBHAHIAbwB1AHAAcwAgAGEAbgBkACAAdABvAHQAYQBsAHMAIABhAGwAbAAgAGMAbwBsAHUAbQBuAHMAIABpAG4AIABhACAAVgBhAGwAdQBlAHMAIABhAHIAcgBhAHkAIABiAHkAIABwAGUAcgBpAG8AZAAgAHIAZQBzAHUAbAB0AGkAbgBnACAAaQBuACAAbwBuAGUAIABjAG8AbAB1AG0AbgAgAGYAbwByACAAZQBhAGMAaAAgAHAAZQByAGkAbwBkACoALwBcAG4AUwB1AG0AUABlAHIAaQBvAGQAcwC7AyAAPQAgAEwAQQBNAEIARABBACgAXABuAC8ALwAgACAAUABhAHIAYQBtAGUAdABlAHIAIABEAGUAYwBsAGEAcgBhAHQAaQBvAG4AcwBcAG4AIAAgACAAIABbAFYAYQBsAHUAZQBzAF0ALABcAG4AIAAgACAAIABbAEQAYQB0AGUAcwBdACwAXABuACAAIAAgACAAWwBQAGUAcgBpAG8AZABTAHQAYQByAHQAcwBdACwAXABuACAAIAAgACAAXABuAC8ALwAgACAAUAByAG8AYwBlAGQAdQByAGUAXABuACAAIAAgACAATABFAFQAKABIAGUAbABwACwAIAAgACAAIAAgACAAIABUAFIASQBNACgAVABFAFgAVABTAFAATABJAFQAKAAgAFwAbgAgACAAIAAgACAAIAAgACAAIAAgACAAIAAgACAAIAAgACAAIAAgACAAIAAgACAAIAAgACAAIAAgAFwAIgBGAFUATgBDAFQASQBPAE4AOgAgACAAIAAgACAAIACSIVMAdQBtAFAAZQByAGkAbwBkAHMAuwMoACAAVgBhAGwAdQBlAHMALAAgAEQAYQB0AGUAcwAsACAAUABlAHIAaQBvAGQAUwB0AGEAcgB0AHMAKQC2AFwAIgAgACYAXABuACAAIAAgACAAIAAgACAAIAAgACAAIAAgACAAIAAgACAAIAAgACAAIAAgACAAIAAgACAAIAAgACAAXAAiAEQARQBTAEMAUgBJAFAAVABJAE8ATgA6ACAAIAAgAJIhUwB1AG0AbQBhAHIAaQBzAGUAcwAgAHYAYQBsAHUAZQBzACAAdwBoAGUAcgBlACAAZQBhAGMAaAAgAHYAYQBsAHUAZQAgAGMAbwBsAHUAbQBuACAAaQBzACAAZgBvAHIAIABvAG4AZQAgAGQAYQB5ACAAtgBcACIAIAAmACAAXABuACAAIAAgACAAIAAgACAAIAAgACAAIAAgACAAIAAgACAAIAAgACAAIAAgACAAIAAgACAAIAAgACAAIAAgACAAIAAgACAAIAAgACAAIAAgACAAIAAgACAAXAAiAJIhaQBuAHQAbwAgAG8AbgBlACAAYwBvAGwAdQBtAG4AIABmAG8AcgAgAGUAYQBjAGgAIABwAGUAcgBpAG8AZAAuACAAtgBcACIAIAAmACAAXABuACAAIAAgACAAIAAgACAAIAAgACAAIAAgACAAIAAgACAAIAAgACAAIAAgACAAIAAgACAAIAAgACAAXAAiAFMARQBFACAAQQBMAFMATwA6ACAAIAAgACAAIAAgAJIhRQB4AGMAZQBsACAAMwA2ADUAIABuAG8AdwAgAGgAYQBzACAARwBSAE8AVQBQAEIAWQAgAGEAbgBkACAAUABJAFYATwBUAEIAWQAgAGYAbwByACAAZgBvAHIAbQB1AGwAYQAtAGQAcgBpAHYAZQBuACAAYQBnAGcAcgBlAGcAYQB0AGkAbwBuAC4AtgBcACIAIAAmAFwAbgAgACAAIAAgACAAIAAgACAAIAAgACAAIAAgACAAIAAgACAAIAAgACAAIAAgACAAIAAgACAAIAAgAFwAIgBWAEUAUgBTAEkATwBOADoAIAAgACAAIAAgACAAIACSITIAMAAgAEEAdQBnACAAMgAwADIAN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UABBAFIAQQBNAEUAVABFAFIAUwA6AJIhtgBcACIAIAAmACAAXABuACAAIAAgACAAIAAgACAAIAAgACAAIAAgACAAIAAgACAAIAAgACAAIAAgACAAIAAgACAAIAAgACAAXAAiAFYAYQBsAHUAZQBzACAAIAAgACAAIAAgACAAIAAgAJIhKABSAGUAcQB1AGkAcgBlAGQAKQAgAEEAIAB0AHcAbwAgAGQAaQBtAGUAbgBzAGkAbwBuAGEAbAAgAGEAcgByAGEAeQAvAHIAYQBuAGcAZQAgAGMAbwBuAHQAYQBpAG4AaQBuAGcAIAB2AGEAbAB1AGUAcwAgAHQAbwAgAGIAZQAgAHMAdQBtAG0AZQBkACAAdwBoAGUAcgBlAFwAIgAgACYAIABcAG4AIAAgACAAIAAgACAAIAAgACAAIAAgACAAIAAgACAAIAAgACAAIAAgACAAIAAgACAAIAAgACAAIAAgACAAIAAgACAAIAAgACAAIAAgACAAIAAgACAAIAAgAFwAIgBlAGEAYwBoACAAYwBvAGwAdQBtAG4AIABpAHMAIABmAG8AcgAgAGEAIABzAHAAZQBjAGkAZgBpAGMAIABkAGEAeQC2AFwAIgAgACYAIABcAG4AIAAgACAAIAAgACAAIAAgACAAIAAgACAAIAAgACAAIAAgACAAIAAgACAAIAAgACAAIAAgACAAIABcACIARABhAHQAZQBzACAAIAAgACAAIAAgACAAIAAgACAAkiEoAFIAZQBxAHUAaQByAGUAZAApACAAQQAgAHIAbwB3ACAAbwBmACAAZABhAHQAZQBzACAAcAByAG8AdgBpAGQAaQBuAGcAIAB0AGgAZQAgAGQAYQB0AGUAIABmAG8AcgAgAGUAYQBjAGgAIABWAGEAbAB1AGUAcwAgAGMAbwBsAHUAbQBuALYAXAAiACAAJgBcAG4AIAAgACAAIAAgACAAIAAgACAAIAAgACAAIAAgACAAIAAgACAAIAAgACAAIAAgACAAIAAgACAAIABcACIAUABlAHIAaQBvAGQAUwB0AGEAcgB0AHMAIAAgACAAkiEoAFIAZQBxAHUAaQByAGUAZAApACAAQQAgAHIAbwB3ACAAbwBmACAAcABlAHIAaQBvAGQAIABzAHQAYQByAHQAIABkAGEAdABlAHMAtgBcACIAIAAm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wADMALAAgADAANwAgACAAIAAgACAAIAAgACAAIACSIT0AbwB6AC4AUwB1AG0AUABlAHIAaQBvAGQAcwC7AygAewAxACwAMgAsADMALAA0ADsANAAsADMALAAyACwAMQA7ADEAMAAsADIAMAAsADMAMAAsADQAMAB9ACwAIAB7ADEALAAyACwAMwAsADQAfQAsACAAewAxACwAMwB9ACkAtgBcACIAIAAmACAAXABuACAAIAAgACAAIAAgACAAIAAgACAAIAAgACAAIAAgACAAIAAgACAAIAAgACAAIAAgACAAIAAgACAAXAAiADAANwAsACAAMAAzACAAIAAgACAAIAAgACAAIAAgAJIhtgBcACIAIAAmACAAXABuACAAIAAgACAAIAAgACAAIAAgACAAIAAgACAAIAAgACAAIAAgACAAIAAgACAAIAAgACAAIAAgACAAXAAiADMAMAAsACAANwAwACAAIAAgACAAIAAgACAAIAAgAJIh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CwAXABuACAAIAAgACAAIAAgACAAIAAgACAAIAAgACAAIAAgACAAIAAgACAAIAAgACAAIAAgACAAIAAgACAASQBTAE8ATQBJAFQAVABFAEQAKAAgAFAAZQByAGkAbwBkAFMAdABhAHIAdABzACkAKQAsAFwAbgAgACAAIAAgAC8ALwAgACAAUAByAG8AYwBlAGQAdQByAGUAIAAtACAAdABoAGUAIABwAGUAcgBpAG8AZAAgAGUAYQBjAGgAIABkAGEAdABlACAAZgBhAGwAbABzACAAaQBuACwAIAB0AGgAZQBuACAAbwBuAGUAIABtAGEAdAByAGkAeAAgAHAAcgBvAGQAdQBjAHQALgAgAEEAIABkAGEAdABlACAAYgBlAGYAbwByAGUAIAB0AGgAZQBcAG4AIAAgACAAIAAvAC8AIAAgAGYAaQByAHMAdAAgAHAAZQByAGkAbwBkACAAcwB0AGEAcgB0ACAAYgBlAGwAbwBuAGcAcwAgAHQAbwAgAG4AbwAgAHAAZQByAGkAbwBkACAAYQBuAGQAIABpAHMAIABkAHIAbwBwAHAAZQBkACAAcgBhAHQAaABlAHIAIAB0AGgAYQBuACAAZQByAHIAbwByAGkAbgBnACAAdABoAGUAIAByAG8AdwAuAFwAbgAgACAAIAAgACAAIAAgACAAUAByAGQATgB1AG0ALAAgACAAIAAgACAAIAAgACAAIABJAEYARQBSAFIATwBSACgAIABNAEEAVABDAEgAKAAgAEQAYQB0AGUAcwAsACAAUABlAHIAaQBvAGQAUwB0AGEAcgB0AHMALAAgADEAKQAsACAAMAApACwAXABuACAAIAAgACAAIAAgACAAIABJAG4AUABlAHIAaQBvAGQALAAgACAAIAAgACAAIAAgACgAIABUAE8AQwBPAEwAKAAgAFAAcgBkAE4AdQBtACkAIAA9ACAAUwBFAFEAVQBFAE4AQwBFACgAIAAxACwAIABDAE8ATABVAE0ATgBTACgAIABQAGUAcgBpAG8AZABTAHQAYQByAHQAcwApACkAKQAgACoAIAAxACwAXABuACAAIAAgACAAIAAgACAAIABSAGUAcwB1AGwAdAAsACAAIAAgACAAIAAgACAAIAAgAE0ATQBVAEwAVAAoACAAVgBhAGwAdQBlAHMAIAAqACAAMQAsACAASQBuAFAAZQByAGkAbwBkACkALABcAG4AIAAgACAAIAAvAC8AIAAgAFIAZQB0AHUAcgBuACAAUgBlAHMAdQBsAHQAXABuACAAIAAgACAAIAAgACAAIABDAEgATwBPAFMARQAoAEgAZQBsAHAAPwAgACsAIAAxACwAIABSAGUAcwB1AGwAdAAsACAASABlAGwAcAApAFwAbgAgACAAIAAgACkAXABuACkAOwBcAG4AXABuAFwAbgBcAG4AXABuAFwAbgAvAC8AIAAgAEEAbQBvAHIAdABpAHMAYQB0AGkAbwBuACAAUwB1AGkAdABlAFwAbgBcAG4ALwAqACAAIABGAFUATgBDAFQASQBPAE4AIABOAEEATQBFADoAIAAgAEEAbQBvAHIAdABpAHMAZQC7A1wAbgAgACAAIAAgAEQARQBTAEMAUgBJAFAAVABJAE8ATgA6ACoALwAvACoAKgBDAHIAZQBhAHQAZQBzACAAYQAgAGMAbwByAGsAcwBjAHIAZQB3ACAAYQBtAG8AcgB0AGkAcwBhAHQAaQBvAG4AIABzAGMAaABlAGQAdQBsAGUAKgAvAFwAbgBBAG0AbwByAHQAaQBzAGUAuwMgAD0AIABMAEEATQBCAEQAQQAoAFwAbgAvAC8AIAAgAFAAYQByAGEAbQBlAHQAZQByACAARABlAGMAbABhAHIAYQB0AGkAbwBuAHMAXABuACAAIAAgACAAWwBQAHIAaQBuAGMAaQBwAGEAbABzAF0ALAAgAFwAbgAgACAAIAAgAFsAQQBQAFIAcwBdACwAIABcAG4AIAAgACAAIABbAFQAZQByAG0AcwBdACwAIABcAG4AIAAgACAAIABbAFMAdABhAHIAdABEAGEAdABlAHMAXQAsAFwAbgAgACAAIAAgAFsAVABpAG0AZQBsAGkAbgBlAF0ALABcAG4AIAAgACAAIABbAEYAaQBuAGEAbABQAGUAcgBpAG8AZABFAG4AZABdACwAXABuAFwAbgAgACAAIAAgAEwARQBUACgAXABuACAAIAAgACAALwAvACAAIABIAGUAbABwACAAIAAgACAAIAAgACAAIABcAG4AIAAgACAAIAAgACAAIAAgAEgAZQBsAHAALAAgACAAIAAgACAAIAAgAFQAUgBJAE0AKABUAEUAWABUAFMAUABMAEkAVAAoACAAXABuACAAIAAgACAAIAAgACAAIAAgACAAIAAgACAAIAAgACAAIAAgACAAIAAgACAAIAAgAFwAIgBGAFUATgBDAFQASQBPAE4AOgAgACAAIAAgACAAIACSIUEAbQBvAHIAdABpAHMAZQC7AygAIABQAHIAaQBuAGMAaQBwAGEAbABzACwAIABBAFAAUgBzACwAIABUAGUAcgBtAHMALAAgAFMAdABhAHIAdABEAGEAdABlAHMALAAgAFsAVABpAG0AZQBsAGkAbgBlAF0ALAAgAFsARgBpAG4AYQBsAFAAZQByAGkAbwBkAEUAbgBkAF0AKQC2AFwAIgAgACYAXABuACAAIAAgACAAIAAgACAAIAAgACAAIAAgACAAIAAgACAAIAAgACAAIAAgACAAIAAgAFwAIgBEAEUAUwBDAFIASQBQAFQASQBPAE4AOgAgACAAIACSIUMAcgBlAGEAdABlAHMAIABhAG4AIABhAG0AbwByAHQAaQBzAGEAdABpAG8AbgAgAHMAYwBoAGUAZAB1AGwAZQAgAGEAcgByAGEAeQAgAGYAbwByACAAbwBuAGUAIABvAHIAIABtAG8AcgBlACAAbABvAGEAbgBzAC4AtgBcACIAIAAmAFwAbgAgACAAIAAgACAAIAAgACAAIAAgACAAIAAgACAAIAAgACAAIAAgACAAIAAgACAAIAAgACAAIAAgACAAIAAgACAAIAAgACAAIAAgACAAIABcACIAkiFQAGEAeQBtAGUAbgB0AHMAIABhAHIAZQAgAGEAcwBzAHUAbQBlAGQAIABtAG8AbgB0AGgAbAB5AC4AIABFAGEAYwBoACAAbQBvAG4AdABoACAAbABhAG4AZABzACAAaQBuACAAdABoAGUAIABwAGUAcgBpAG8AZAAgAGgAbwBsAGQAaQBuAGcAIABpAHQAcwAgAHMAdABhAHIAdAAuACAARgBsAG8AdwBzACAAYQBkAGQAIAB1AHAAOwAgAGIAYQBsAGEAbgBjAGUAcwAgAHMAaABvAHcAIAB0AGgAZQAgAGYAaQByAHMAdAAgAG8AcABlAG4AaQBuAGcAIABhAG4AZAAgAGwAYQBzAHQAIABjAGwAbwBzAGkAbgBnAC4AIABQAGUAcgBpAG8AZABzACAAdwBpAHQAaABvAHUAdAAgAGEAIABsAG8AYQBuACAAbQBvAG4AdABoACAAYQByAGUAIABuAGkAbAAuALYAXAAiACAAJgBcAG4AIAAgACAAIAAgACAAIAAgACAAIAAgACAAIAAgACAAIAAgACAAIAAgACAAIAAgACAAIAAgACAAIAAgACAAIAAgACAAIAAgACAAIAAgACAAXAAiAJIhVQBzAGUAIABMAGEAYgBlAGwAQQBtAG8AcgB0AGkAcwBlALsDKAApACAAdABvACAAYQBwAHAAbAB5ACAAbABhAGIAZQBsAHMAIAB0AG8AIAB0AGgAaQBzACAAZgB1AG4AYwB0AGkAbwBuACcAcwAgAHIAZQBzAHUAbAB0AHMAOgC2AFwAIgAgACYAIABcAG4AIAAgACAAIAAgACAAIAAgACAAIAAgACAAIAAgACAAIAAgACAAIAAgACAAIAAgACAAIAAgACAAIAAgACAAIAAgACAAIAAgACAAIAAgACAAXAAiAJIhVQBzAGUAIABTAHUAbQBBAG0AbwByAHQAaQBzAGUAuwMoACkAIAB0AG8AIABhAHAAcABsAHkAIAB0AG8AdABhAGwAcwAgAHQAbwAgAHQAaABpAHMAIABmAHUAbgBjAHQAaQBvAG4AJwBzACAAcgBlAHMAdQBsAHQAcwA6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QAHIAaQBuAGMAaQBwAGEAbABzACAAIAAgACAAIACSISgAUgBlAHEAdQBpAHIAZQBkACkAIABMAG8AYQBuAC8AZABlAGIAdAAgAGEAbQBvAHUAbgB0AHMALgC2AFwAIgAgACYAIABcAG4AIAAgACAAIAAgACAAIAAgACAAIAAgACAAIAAgACAAIAAgACAAIAAgACAAIAAgACAAXAAiAEEAUABSAHMAIAAgACAAIAAgACAAIAAgACAAIAAgAJIhKABSAGUAcQB1AGkAcgBlAGQAKQAgAEEAbgBuAHUAYQBsACAAUABlAHIAYwBlAG4AdABhAGcAZQAgAFIAYQB0AGUAcwAgAGYAbwByACAAaQBuAHQAZQByAGUAcwB0AC4AtgBcACIAIAAmACAAXABuACAAIAAgACAAIAAgACAAIAAgACAAIAAgACAAIAAgACAAIAAgACAAIAAgACAAIAAgAFwAIgBUAGUAcgBtAHMAIAAgACAAIAAgACAAIAAgACAAIACSISgAUgBlAHEAdQBpAHIAZQBkACkAIABOAHUAbQBiAGUAcgAgAG8AZgAgAG0AbwBuAHQAaABzACAAZgBvAHIAIABsAG8AYQBuAHMALwBkAGUAYgB0AHMALgC2AFwAIgAgACYAIABcAG4AIAAgACAAIAAgACAAIAAgACAAIAAgACAAIAAgACAAIAAgACAAIAAgACAAIAAgACAAXAAiAFMAdABhAHIAdABEAGEAdABlAHMAIAAgACAAIAAgAJIhKABSAGUAcQB1AGkAcgBlAGQAKQAgAEQAYQB0AGUAcwAgAGQAZQBiAHQAcwAgAGEAcgBlACAAaQBzAHMAdQBlAGQALgC2AFwAIgAgACYAIABcAG4AIAAgACAAIAAgACAAIAAgACAAIAAgACAAIAAgACAAIAAgACAAIAAgACAAIAAgACAAXAAiAFQAaQBtAGUAbABpAG4AZQAgACAAIAAgACAAIAAgAJIhKABPAHAAdABpAG8AbgBhAGwAKQAgAEEAIAByAG8AdwAgAG8AZgAgAHAAZQByAGkAbwBkACAAcwB0AGEAcgB0ACAAZABhAHQAZQBzAC4AIABJAGYAIABvAG0AaQB0AHQAZQBkACwAIABhACAAbQBvAG4AdABoAGwAeQAgAHQAaQBtAGUAbABpAG4AZQAgAGkAcwAgAGEAZABkAGUAZAC2AFwAIgAgACYAXABuACAAIAAgACAAIAAgACAAIAAgACAAIAAgACAAIAAgACAAIAAgACAAIAAgACAAIAAgAFwAIgBGAGkAbgBhAGwAUABlAHIAaQBvAGQARQBuAGQAIACSISgATwBwAHQAaQBvAG4AYQBsACkAIABUAGgAZQAgAGQAYQB5ACAAYQBmAHQAZQByACAAdABoAGUAIABsAGEAcwB0ACAAcABlAHIAaQBvAGQAIABlAG4AZABzAC4AIABOAGUAZQBkAHMAIABUAGkAbQBlAGwAaQBuAGUALAAgAGEAbgBkACAAbwBuAGwAeQAgAG0AbwB2AGUAcwAgAG0AbwBuAGUAeQAgAHcAaABlAHIAZQAgAGkAdABzACAAcABlAHIAaQBvAGQAcwAgAGEAcgBlACAAcwBoAG8AcgB0AGUAcgAgAHQAaABhAG4AIABhACAAbQBvAG4AdABoAC4AIABPAHQAaABlAHIAdwBpAHMAZQAsACAAdABoAGUAIABsAGEAcwB0ACAAcABlAHIAaQBvAGQAIABmAG8AbABsAG8AdwBzACAAdABoAGUAIABwAHIAZQBjAGUAZABpAG4AZwAgAGkAbgB0AGUAcgB2AGEAbAAsACAAdQBzAGkAbgBnACAAYwBhAGwAZQBuAGQAYQByACAAbQBvAG4AdABoAHMAIABmAG8AcgAgAG0AbwBuAHQAaABsAHkAIABvAHIAIABsAG8AbgBnAGUAcgAgAGkAbgB0AGUAcgB2AGEAbABzAC4AtgBcACIAIAAmAFwAbgAgACAAIAAgACAAIAAgACAAIAAgACAAIAAgACAAIAAgACAAIAAgACAAIAAgACAAIABcACIARQBYAEEATQBQAEwARQBTADoAkiG2AFwAIgAgACY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FwAIgCSIT0AbwB6AC4AQQBtAG8AcgB0AGkAcwBlALsDKAAxADAAMAAwADAALAAgADUAJQAsACAANAAgACoAIAAxADIALAAgAFwAIgBcACIAMgAwADIANgAtADAANwAtADAAMQBcACIAXAAiACkAXAAiACwAIABcAG4AIAAgACAAIAAgACAAIAAgACAAIAAgACAAIAAgACAAIAAgACAAIAAgACAAIAAgACAAXAAiAJIhXAAiACwAIABcACIAtgBcACIAIAApAFwAbgAgACAAIAAgACAAIAAgACAAIAAgACAAIAAgACAAIAAgACAAIAAgACAAKQAsAFwAbgAgACAAIAAgAC8ALwAgACAAQwBvAG4AcwB0AGEAbgB0AHMAXABuACAAIAAgACAAIAAgACAAIABNAHAAWQAsACAAIAAgACAAIAAgACAAIAAgACAAIAAgACAAIAAgACAAMQAyACwAIAAgACAAIAAgAC8ALwBNAG8AbgB0AGgAcwAgAFAAZQByACAAWQBlAGEAcgBcAG4AIAAgACAAIAAgACAAIAAgAEEARABwAE0ALAAgACAAIAAgACAAIAAgACAAIAAgACAAIAAgACAAIAAzADAALgA0ADIALAAgACAALwAvAEEAdgBlAHIAYQBnAGUAIABEAGEAeQBzACAAUABlAHIAIABNAG8AbgB0AGgAXABuACAAIAAgACAAXABuACAAIAAgACAALwAvACAAIABDAGgAZQBjAGsAIABpAG4AcAB1AHQAcwAgAC0AIABPAG0AaQB0AHQAZQBkACAAcgBlAHEAdQBpAHIAZQBkACAAYQByAGcAdQBtAGUAbgB0AHMAXABuACAAIAAgACAAIAAgACAAIABIAGUAbABwAD8ALAAgACAAIAAgACAAIAAgACAAIAAgACAAIAAgACAATwBSACgAIABJAFMATwBNAEkAVABUAEUARAAoACAAUAByAGkAbgBjAGkAcABhAGwAcwApACwAXABuACAAIAAgACAAIAAgACAAIAAgACAAIAAgACAAIAAgACAAIAAgACAAIAAgACAAIAAgACAAIAAgACAAIAAgACAAIABJAFMATwBNAEkAVABUAEUARAAoACAAQQBQAFIAcwApACwAXABuACAAIAAgACAAIAAgACAAIAAgACAAIAAgACAAIAAgACAAIAAgACAAIAAgACAAIAAgACAAIAAgACAAIAAgACAAIABJAFMATwBNAEkAVABUAEUARAAoACAAVABlAHIAbQBzACkALABcAG4AIAAgACAAIAAgACAAIAAgACAAIAAgACAAIAAgACAAIAAgACAAIAAgACAAIAAgACAAIAAgACAAIAAgACAAIAAgAEkAUwBPAE0ASQBUAFQARQBEACgAIABTAHQAYQByAHQARABhAHQAZQBzACkAXABuACAAIAAgACAAIAAgACAAIAAgACAAIAAgACAAIAAgACAAIAAgACAAIAAgACAAIAAgACAAIAAgACAAKQAsAFwAbgAgACAAIAAgAFwAbgAgACAAIAAgAC8ALwAgACAAUwBlAHQAIABkAGUAZgBhAHUAbAB0AHMAIABhAG4AZAAgAGEAcABwAGwAeQAgAGMAbwBuAHYAZQBuAGkAZQBuAGMAZQAgAGMAbwBuAHYAZQByAHMAaQBvAG4AcwAuACAAQQAgAHQAZQB4AHQAIABzAHQAYQByAHQAIABkAGEAdABlACAAaQBzACAAcgBlAGEAZAAgAGEAcwAgAGEAIABkAGEAdABlACwAXABuACAAIAAgACAALwAvACAAIABhAG4AZAAgAHQAaABlACAAZABlAGYAYQB1AGwAdAAgAHQAaQBtAGUAbABpAG4AZQAgAHIAdQBuAHMAIABmAHIAbwBtACAAdABoAGUAIABlAGEAcgBsAGkAZQBzAHQAIABzAHQAYQByAHQAIAB0AG8AIAB0AGgAZQAgAGwAYQBzAHQAIABtAG8AbgB0AGgAIABvAGYAIAB0AGgAZQBcAG4AIAAgACAAIAAvAC8AIAAgAGwAbwBuAGcAZQBzAHQALQByAHUAbgBuAGkAbgBnACAAbABvAGEAbgAsACAAdwBoAGkAYwBoAGUAdgBlAHIAIABsAG8AYQBuACAAdABoAGEAdAAgAGkAcwAuAFwAbgAgACAAIAAgACAAIAAgACAAQwB2AHQAUwB0AGEAcgB0AHMALAAgACAAIAAgACAAIAAgACAAIAAgAEkARgAoACAASQBTAE4AVQBNAEIARQBSACgAIABTAHQAYQByAHQARABhAHQAZQBzACkALAAgAFMAdABhAHIAdABEAGEAdABlAHMALAAgAEQAQQBUAEUAVgBBAEwAVQBFACgAIABTAHQAYQByAHQARABhAHQAZQBzACkAKQAsAFwAbgAgACAAIAAgAC8ALwAgACAAUgBlAGEAZAAgAGIAZQBmAG8AcgBlACAAdABoAGUAIABkAGUAZgBhAHUAbAB0ACAAcgBlAHAAbABhAGMAZQBzACAAaQB0ACwAIABiAGUAYwBhAHUAcwBlACAARgBpAG4AYQBsAFAAZQByAGkAbwBkAEUAbgBkACAAZABlAHMAYwByAGkAYgBlAHMAIABhACAAcwB1AHAAcABsAGkAZQBkAFwAbgAgACAAIAAgAC8ALwAgACAAdABpAG0AZQBsAGkAbgBlACAAYQBuAGQAIABkAG8AZQBzACAAbgBvAHQAIABhAHAAcABsAHkAIAB0AG8AIAB0AGgAZQAgAGQAZQBmAGEAdQBsAHQAIABtAG8AbgB0AGgAbAB5ACAAdABpAG0AZQBsAGkAbgBlAC4AXABuACAAIAAgACAAIAAgACAAIABUAGkAbQBlAGwAaQBuAGUARwBpAHYAZQBuAD8ALAAgACAAIAAgACAATgBPAFQAKAAgAEkAUwBPAE0ASQBUAFQARQBEACgAIABUAGkAbQBlAGwAaQBuAGUAKQApACwAXABuACAAIAAgACAAIAAgACAAIABUAGkAbQBlAGwAaQBuAGUALAAgACAAIAAgACAAIAAgACAAIAAgACAASQBGACgAIABJAFMATwBNAEkAVABUAEUARAAoACAAVABpAG0AZQBsAGkAbgBlACkALAAgAFwAbgAgACAAIAAgACAAIAAgACAAIAAgACAAIAAgACAAIAAgACAAIAAgACAAIAAgACAAIAAgACAAIAAgACAAIAAgACAATABFAFQAKABMAGEAcwB0AE0AbwBuAHQAaABzACwAIABFAEQAQQBUAEUAKAAgAEMAdgB0AFMAdABhAHIAdABzACwAIABUAGUAcgBtAHMAIAAtACAAMQApACwAXABuACAAIAAgACAAIAAgACAAIAAgACAAIAAgACAAIAAgACAAIAAgACAAIAAgACAAIAAgACAAIAAgACAAIAAgACAAIAAgACAAIAAgAE0AaQBuAEQAYQB0AGUALAAgACAAIAAgAE0ASQBOACgAIABDAHYAdABTAHQAYQByAHQAcwApACwAXABuACAAIAAgACAAIAAgACAAIAAgACAAIAAgACAAIAAgACAAIAAgACAAIAAgACAAIAAgACAAIAAgACAAIAAgACAAIAAgACAAIAAgAEwAYQBzAHQATQBvAG4AdABoACwAIAAgAE0AQQBYACgAIABMAGEAcwB0AE0AbwBuAHQAaABzACkALABcAG4AIAAgACAAIAAgACAAIAAgACAAIAAgACAAIAAgACAAIAAgACAAIAAgACAAIAAgACAAIAAgACAAIAAgACAAIAAgAC8ALwAgACAAQwBvAHUAbgB0ACAAYwBhAGwAZQBuAGQAYQByACAAbQBvAG4AdABoAHMALAAgAG4AbwB0ACAARABBAFQARQBEAEkARgAgAFwAIgBNAFwAIgA6ACAAYQAgAG0AbwBuAHQAaAAtAGUAbgBkACAAcwB0AGEAcgB0AFwAbgAgACAAIAAgACAAIAAgACAAIAAgACAAIAAgACAAIAAgACAAIAAgACAAIAAgACAAIAAgACAAIAAgACAAIAAgACAALwAvACAAIABsAGEAbgBkAHMAIABpAHQAcwAgAGwAYQBzAHQAIABFAEQAQQBUAEUAIABpAG4AIABhACAAcwBoAG8AcgB0AGUAcgAgAG0AbwBuAHQAaAAgAGEAbgBkACAARABBAFQARQBEAEkARgAgAGQAcgBvAHAAcwAgAGkAdAAuAFwAbgAgACAAIAAgACAAIAAgACAAIAAgACAAIAAgACAAIAAgACAAIAAgACAAIAAgACAAIAAgACAAIAAgACAAIAAgACAAIAAgACAAIABNAGEAeABUAGUAcgBtACwAIAAgACAAIAAoACAAWQBFAEEAUgAoACAATABhAHMAdABNAG8AbgB0AGgAKQAgAC0AIABZAEUAQQBSACgAIABNAGkAbgBEAGEAdABlACkAKQAgACoAIABNAHAAWQBcAG4AIAAgACAAIAAgACAAIAAgACAAIAAgACAAIAAgACAAIAAgACAAIAAgACAAIAAgACAAIAAgACAAIAAgACAAIAAgACAAIAAgACAAIAAgACAAIAAgACAAIAAgACAAIAAgACAAKwAgAE0ATwBOAFQASAAoACAATABhAHMAdABNAG8AbgB0AGgAKQAgAC0AIABNAE8ATgBUAEgAKAAgAE0AaQBuAEQAYQB0AGUAKQAgACsAIAAxACwAXABuACAAIAAgACAAIAAgACAAIAAgACAAIAAgACAAIAAgACAAIAAgACAAIAAgACAAIAAgACAAIAAgACAAIAAgACAAIAAgACAAIAAgAEUARABBAFQARQAoACAATQBpAG4ARABhAHQAZQAsACAAUwBFAFEAVQBFAE4AQwBFACgAIAAxACwAIABNAGEAeABUAGUAcgBtACwAIAAwACkAKQApACwAXABuACAAIAAgACAAIAAgACAAIAAgACAAIAAgACAAIAAgACAAIAAgACAAIAAgACAAIAAgACAAIAAgACAAIAAgACAAIABUAGkAbQBlAGwAaQBuAGUAXABuACAAIAAgACAAIAAgACAAIAAgACAAIAAgACAAIAAgACAAIAAgACAAIAAgACAAIAAgACAAIAAgACAAKQAsAFwAbgAgACAAIAAgAC8ALwAgACAARABlAHQAZQByAG0AaQBuAGUAIAB0AGkAbQBlAGwAaQBuAGUAJwBzACAAaQBuAHQAZQByAHYAYQBsACAAKABsAGUAbgBnAHQAaAAgAG8AZgAgAHAAZQByAGkAbwBkAHMAKQAgAGEAbgBkACAAbwByAGkAZQBuAHQAYQB0AGkAbwBuACAAKABoAG8AcgBpAHoAbwBuAHQAYQBsACAAbwByACAAdgBlAHIAdABpAGMAYQBsACkAXABuACAAIAAgACAALwAvACAAIABBACAAbwBuAGUALQBkAGEAdABlACAAdABpAG0AZQBsAGkAbgBlACAAKABhACAAbwBuAGUALQBtAG8AbgB0AGgAIABsAG8AYQBuACkAIABoAGEAcwAgAG4AbwAgAHMAZQBjAG8AbgBkACAAZABhAHQAZQAgAHQAbwAgAG0AZQBhAHMAdQByAGUALAAgAHMAbwAgAGkAdAAgAGkAcwAgAG0AbwBuAHQAaABsAHkALgBcAG4AIAAgACAAIAAgACAAIAAgAEYAaQByAHMAdABQAGUAcgBpAG8AZAAsACAAIAAgACAAIAAgACAAIABJAE4ARABFAFgAKAAgAFQAaQBtAGUAbABpAG4AZQAsACAAMQApACwAXABuACAAIAAgACAAIAAgACAAIABTAGkAbgBnAGwAZQA/ACwAIAAgACAAIAAgACAAIAAgACAAIAAgACAAQwBPAFUATgBUAEEAKAAgAFQAaQBtAGUAbABpAG4AZQApACAAPAAgADIALABcAG4AIAAgACAAIAAgACAAIAAgAFMAZQBjAG8AbgBkAFAAZQByAGkAbwBkACwAIAAgACAAIAAgACAAIABJAEYAKAAgAFMAaQBuAGcAbABlAD8ALAAgAEUARABBAFQARQAoACAARgBpAHIAcwB0AFAAZQByAGkAbwBkACwAIAAxACkALAAgAEkATgBEAEUAWAAoACAAVABpAG0AZQBsAGkAbgBlACwAIAAyACkAKQAsAFwAbgAgACAAIAAgAC8ALwAgACAAQQAgAHMAdQBwAHAAbABpAGUAZAAgAHQAaQBtAGUAbABpAG4AZQAgAGgAYQBzACAAdABvACAAYQBkAHYAYQBuAGMAZQAuACAAVABoAGUAIABhAHAAcAByAG8AeABpAG0AYQB0AGUAIABNAEEAVABDAEgAIABiAGUAbABvAHcAIABiAHUAYwBrAGUAdABzACAAYQAgAHIAZQBwAGUAYQB0AGUAZABcAG4AIAAgACAAIAAvAC8AIAAgAG8AcgAgAG8AdQB0AC0AbwBmAC0AbwByAGQAZQByACAAZABhAHQAZQAgAGEAcwAgAG8AbgBlACAAcABlAHIAaQBvAGQALAAgAHcAaABpAGMAaAAgAG0AbwB2AGUAcwAgAG0AbwBuAGUAeQAgAGkAbgB0AG8AIABhACAAcABlAHIAaQBvAGQAIAB0AGgAZQAgAGQAYQB0AGUAcwAgAGQAbwAgAG4AbwB0AFwAbgAgACAAIAAgAC8ALwAgACAAagB1AHMAdABpAGYAeQAgAGkAbgBzAHQAZQBhAGQAIABvAGYAIABmAGEAaQBsAGkAbgBnADoAIAAxACAASgBhAG4AdQBhAHIAeQAgAHQAbwAgADEAIABKAHUAbgBlACAAdwBpAHQAaAAgADEAIABNAGEAcgBjAGgAIAByAGUAcABlAGEAdABlAGQAIAByAGUAdAB1AHIAbgBlAGQAXABuACAAIAAgACAALwAvACAAIAA1ACwANwA3ADIALgA2ADEAIABvAGYAIABwAHIAaQBuAGMAaQBwAGEAbAAgAHcAaABlAHIAZQAgAHQAaABlACAAcwBhAG0AZQAgAHMAcABhAG4AIAB3AGkAdABoAG8AdQB0ACAAdABoAGUAIAByAGUAcABlAGEAdAAgAHIAZQB0AHUAcgBuAHMAIAA0ACwAOQAzADcALgA2ADMALgAgAEEAXABuACAAIAAgACAALwAvACAAIABvAG4AZQAtAGQAYQB0AGUAIAB0AGkAbQBlAGwAaQBuAGUAIABoAGEAcwAgAG4AbwAgAHAAYQBpAHIAIAB0AG8AIABtAGUAYQBzAHUAcgBlAC4AIABUAGgAZQAgAGQAZQBmAGEAdQBsAHQAIAB0AGkAbQBlAGwAaQBuAGUAIABhAGwAdwBhAHkAcwAgAGEAZAB2AGEAbgBjAGUAcwAuAFwAbgAgACAAIAAgACAAIAAgACAAQgBhAGQAVABpAG0AZQBsAGkAbgBlAD8ALAAgACAAIAAgACAAIAAgAEkARgAoACAAUwBpAG4AZwBsAGUAPwAsACAARgBBAEwAUwBFACwAXABuACAAIAAgACAAIAAgACAAIAAgACAAIAAgACAAIAAgACAAIAAgACAAIAAgACAAIAAgACAAIAAgACAAIAAgACAAIABMAEUAVAAoACAARABhAHQAZQBzACwAIABUAE8AUgBPAFcAKAAgAFQAaQBtAGUAbABpAG4AZQApACwAXABuACAAIAAgACAAIAAgACAAIAAgACAAIAAgACAAIAAgACAAIAAgACAAIAAgACAAIAAgACAAIAAgACAAIAAgACAAIAAgACAAIAAgACAATQBJAE4AKAAgAEQAUgBPAFAAKAAgAEQAYQB0AGUAcwAsACAALAAgADEAKQAgAC0AIABEAFIATwBQACgAIABEAGEAdABlAHMALAAgACwAIAAtADEAKQApACAAPAAgADEAKQApACwAXABuACAAIAAgACAAIAAgACAAIABUAGkAbQBlAGwAaQBuAGUATQBlAHMAcwBhAGcAZQAsACAAIAAgACAAXAAiAFQAaQBtAGUAbABpAG4AZQAgAG0AdQBzAHQAIABiAGUAIABwAGUAcgBpAG8AZAAgAHMAdABhAHIAdAAgAGQAYQB0AGUAcwAgAHcAaABlAHIAZQAgAGUAYQBjAGgAIABkAGEAdABlACAAaQBzACAAYQB0ACAAbABlAGEAcwB0ACAAYQAgAGQAYQB5ACAAXAAiAFwAbgAgACAAIAAgACAAIAAgACAAIAAgACAAIAAgACAAIAAgACAAIAAgACAAIAAgACAAIAAgACAAIAAgACYAIABcACIAYQBmAHQAZQByACAAdABoAGUAIABvAG4AZQAgAGIAZQBmAG8AcgBlACAAaQB0AC4AIABBACAAcgBlAHAAZQBhAHQAZQBkACAAbwByACAAbwB1AHQALQBvAGYALQBvAHIAZABlAHIAIABkAGEAdABlACAAcAB1AHQAcwAgAG8AbgBlACAAcABlAHIAaQBvAGQAJwBzACAAXAAiAFwAbgAgACAAIAAgACAAIAAgACAAIAAgACAAIAAgACAAIAAgACAAIAAgACAAIAAgACAAIAAgACAAIAAgACYAIABcACIAbQBvAG4AZQB5ACAAaQBuACAAYQBuAG8AdABoAGUAcgAgAHAAZQByAGkAbwBkAC4AXAAiACwAXABuACAAIAAgACAAIAAgACAAIABEAHAAUAAsACAAIAAgACAAIAAgACAAIAAgACAAIAAgACAAIAAgACAAUwBlAGMAbwBuAGQAUABlAHIAaQBvAGQAIAAtACAARgBpAHIAcwB0AFAAZQByAGkAbwBkACwAIAAgACAAIAAgACAAIAAgACAAIAAgACAAIAAgACAAIAAgAC8ALwBEAGEAeQBzACAAUABlAHIAIABQAGUAcgBpAG8AZABcAG4AIAAgACAAIAAvAC8AIAAgAFQAaABlACAAbABhAHMAdAAgAHAAZQByAGkAbwBkACAAaABhAHMAIABuAG8AIABzAHUAYwBjAGUAcwBzAG8AcgAgAHQAbwAgAG0AZQBhAHMAdQByAGUALAAgAHMAbwAgAGkAdAAgAHIAdQBuAHMAIABhAHMAIABsAG8AbgBnACAAYQBzACAAdABoAGUAIABvAG4AZQAgAGIAZQBmAG8AcgBlAFwAbgAgACAAIAAgAC8ALwAgACAAaQB0AC4AIABGAGkAbgBhAGwAUABlAHIAaQBvAGQARQBuAGQAIABzAHQAYQB0AGUAcwAgAHQAaABhAHQAIABiAG8AdQBuAGQAYQByAHkAIABpAG4AcwB0AGUAYQBkADoAIABpAHQAIABpAHMAIAB0AGgAZQAgAGQAYQB5ACAAYQBmAHQAZQByACAAdABoAGUAIABwAGUAcgBpAG8AZABcAG4AIAAgACAAIAAvAC8AIAAgAGUAbgBkAHMALAAgAHMAbwAgAGkAdAAgAGgAYQBzACAAdABvACAAZgBhAGwAbAAgAGEAZgB0AGUAcgAgAHQAaABlACAAbABhAHMAdAAgAHAAZQByAGkAbwBkACAAcwB0AGEAcgB0AC4AIABJAHQAIABkAGUAcwBjAHIAaQBiAGUAcwAgAGEAIAB0AGkAbQBlAGwAaQBuAGUAIAB0AGgAZQBcAG4AIAAgACAAIAAvAC8AIAAgAGMAYQBsAGwAZQByACAAcwB1AHAAcABsAGkAZQBkACwAIABzAG8AIABpAHQAIABpAHMAIAByAGUAZgB1AHMAZQBkACAAdwBpAHQAaABvAHUAdAAgAG8AbgBlACAAcgBhAHQAaABlAHIAIAB0AGgAYQBuACAAbQBlAGEAcwB1AHIAZQBkACAAYQBnAGEAaQBuAHMAdAAgAGEAXABuACAAIAAgACAALwAvACAAIABkAGUAZgBhAHUAbAB0ACAAdABoAGkAcwAgAGYAdQBuAGMAdABpAG8AbgAgAGMAaABvAHMAZQAuACAAQwBPAFUATgBUACAAcgBlAGoAZQBjAHQAcwAgAHQAZQB4AHQAIABhAG4AZAAgAGEAIAByAGEAbgBnAGUAIABvAGYAIABtAG8AcgBlACAAdABoAGEAbgAgAG8AbgBlACAAYwBlAGwAbABcAG4AIAAgACAAIAAvAC8AIAAgAHcAaQB0AGgAbwB1AHQAIAByAGUAYQBkAGkAbgBnACAAYQBuACAAbwBtAGkAdAB0AGUAZAAgAGEAcgBnAHUAbQBlAG4AdAAuAFwAbgAgACAAIAAgACAAIAAgACAARgBpAG4AYQBsAEUAbgBkAD8ALAAgACAAIAAgACAAIAAgACAAIAAgAE4ATwBUACgAIABJAFMATwBNAEkAVABUAEUARAAoACAARgBpAG4AYQBsAFAAZQByAGkAbwBkAEUAbgBkACkAKQAsAFwAbgAgACAAIAAgACAAIAAgACAARgBpAG4AYQBsAEUAbgBkAEQAYQB0AGUALAAgACAAIAAgACAAIAAgAEkARgAoACAARgBpAG4AYQBsAEUAbgBkAD8ALAAgAE0AQQBYACgAIABGAGkAbgBhAGwAUABlAHIAaQBvAGQARQBuAGQAKQAsACAAMAApACwAXABuACAAIAAgACAAIAAgACAAIABCAGEAZABGAGkAbgBhAGwARQBuAGQAPwAsACAAIAAgACAAIAAgACAASQBGACgAIABGAGkAbgBhAGwARQBuAGQAPwAsAFwAbgAgACAAIAAgACAAIAAgACAAIAAgACAAIAAgACAAIAAgACAAIAAgACAAIAAgACAAIAAgACAAIAAgACAAIAAgACAATwBSACgAIABOAE8AVAAoACAAVABpAG0AZQBsAGkAbgBlAEcAaQB2AGUAbgA/ACkALABcAG4AIAAgACAAIAAgACAAIAAgACAAIAAgACAAIAAgACAAIAAgACAAIAAgACAAIAAgACAAIAAgACAAIAAgACAAIAAgACAAIAAgACAAQwBPAFUATgBUACgAIABGAGkAbgBhAGwAUABlAHIAaQBvAGQARQBuAGQAKQAgADwAPgAgADEALABcAG4AIAAgACAAIAAgACAAIAAgACAAIAAgACAAIAAgACAAIAAgACAAIAAgACAAIAAgACAAIAAgACAAIAAgACAAIAAgACAAIAAgACAARgBpAG4AYQBsAEUAbgBkAEQAYQB0AGUAIAA8AD0AIABNAEEAWAAoACAAVABpAG0AZQBsAGkAbgBlACkAKQAsAFwAbgAgACAAIAAgACAAIAAgACAAIAAgACAAIAAgACAAIAAgACAAIAAgACAAIAAgACAAIAAgACAAIAAgACAAIAAgACAARgBBAEwAUwBFACkALABcAG4AIAAgACAAIAAgACAAIAAgAEYAaQBuAGEAbABFAG4AZABNAGUAcwBzAGEAZwBlACwAIAAgACAAIABcACIARgBpAG4AYQBsAFAAZQByAGkAbwBkAEUAbgBkACAAbgBlAGUAZABzACAAYQAgAFQAaQBtAGUAbABpAG4AZQAsACAAYQBuAGQAIABtAHUAcwB0ACAAYgBlACAAbwBuAGUAIABkAGEAdABlACAAYQBmAHQAZQByACAAdABoAGUAIABsAGEAcwB0ACAAXAAiAFwAbgAgACAAIAAgACAAIAAgACAAIAAgACAAIAAgACAAIAAgACAAIAAgACAAIAAgACAAIAAgACAAIAAgACYAIABcACIAZABhAHQAZQAgAGkAbgAgAGkAdAAuACAASQB0ACAAaQBzACAAdABoAGUAIABkAGEAeQAgAGEAZgB0AGUAcgAgAHQAaABlACAAZgBpAG4AYQBsACAAcABlAHIAaQBvAGQAIABlAG4AZABzAC4AXAAiACwAXABuACAAIAAgACAAIAAgACAAIABTAHUAYgBNAG8AbgB0AGgAbAB5AD8ALAAgACAAIAAgACAAIAAgACAARABwAFAAIAA8ACAAMgA4ACwAXABuACAAIAAgACAAIAAgACAAIABMAGEAcwB0AEQAYQB0AGUALAAgACAAIAAgACAAIAAgACAAIAAgACAATQBBAFgAKAAgAFQAaQBtAGUAbABpAG4AZQApACwAXABuACAAIAAgACAAIAAgACAAIABQAHIAaQBvAHIARABhAHQAZQAsACAAIAAgACAAIAAgACAAIAAgACAASQBGACgAIABTAGkAbgBnAGwAZQA/ACwAIABGAGkAcgBzAHQAUABlAHIAaQBvAGQALAAgAEkATgBEAEUAWAAoACAAVABpAG0AZQBsAGkAbgBlACwAIABDAE8AVQBOAFQAQQAoACAAVABpAG0AZQBsAGkAbgBlACkAIAAtACAAMQApACkALABcAG4AIAAgACAAIAAgACAAIAAgAEwAYQBzAHQARwBhAHAALAAgACAAIAAgACAAIAAgACAAIAAgACAAIABJAEYAKAAgAFMAaQBuAGcAbABlAD8ALAAgAEQAcABQACwAIABMAGEAcwB0AEQAYQB0AGUAIAAtACAAUAByAGkAbwByAEQAYQB0AGUAKQAsAFwAbgAgACAAIAAgACAAIAAgACAATABhAHMAdABNAG8AbgB0AGgAcwAsACAAIAAgACAAIAAgACAAIAAgAE0AQQBYACgAIABSAE8AVQBOAEQAKAAgAEwAYQBzAHQARwBhAHAAIAAvACAAQQBEAHAATQAsACAAMAApACwAIAAxACkALABcAG4AIAAgACAAIAAvAC8AIAAgAFAAcgBlAHMAZQByAHYAZQAgAHQAaABlACAAYwBhAGwAZQBuAGQAYQByACAAYQBuAGMAaABvAHIAIAB3AGgAZQBuACAARgBlAGIAcgB1AGEAcgB5ACAAYwBsAGkAcABzACAAaQB0ADoAIABKAGEAbgAgADMAMAAsACAARgBlAGIAIAAyADgAXABuACAAIAAgACAALwAvACAAIABjAG8AbgB0AGkAbgB1AGUAcwAgAHQAbwAgAE0AYQByACAAMwAwAC4AIABBACAAcwBvAGwAZQAgAHMAdABhAHIAdAAgAGEAZAB2AGEAbgBjAGUAcwAgAG8AbgBlACAAbQBvAG4AdABoACAAZgByAG8AbQAgAGkAdABzACAAbwB3AG4AIABkAGEAdABlAC4AXABuACAAIAAgACAAIAAgACAAIABDAGEAbABlAG4AZABhAHIARQBuAGQALAAgACAAIAAgACAAIAAgACAASQBGACgAIABTAGkAbgBnAGwAZQA/ACwAIABFAEQAQQBUAEUAKAAgAEwAYQBzAHQARABhAHQAZQAsACAAMQApACwAXABuACAAIAAgACAAIAAgACAAIAAgACAAIAAgACAAIAAgACAAIAAgACAAIAAgACAAIAAgACAAIAAgACAAIAAgACAAIABJAEYAKAAgAEUARABBAFQARQAoACAAUAByAGkAbwByAEQAYQB0AGUALAAgAEwAYQBzAHQATQBvAG4AdABoAHMAKQAgAD0AIABMAGEAcwB0AEQAYQB0AGUALABcAG4AIAAgACAAIAAgACAAIAAgACAAIAAgACAAIAAgACAAIAAgACAAIAAgACAAIAAgACAAIAAgACAAIAAgACAAIAAgACAAIAAgACAARQBEAEEAVABFACgAIABQAHIAaQBvAHIARABhAHQAZQAsACAAMgAgACoAIABMAGEAcwB0AE0AbwBuAHQAaABzACkALABcAG4AIAAgACAAIAAgACAAIAAgACAAIAAgACAAIAAgACAAIAAgACAAIAAgACAAIAAgACAAIAAgACAAIAAgACAAIAAgACAAIAAgACAASQBGACgAIABEAEEAWQAoACAATABhAHMAdABEAGEAdABlACAAKwAgADEAKQAgAD0AIAAxACwAXABuACAAIAAgACAAIAAgACAAIAAgACAAIAAgACAAIAAgACAAIAAgACAAIAAgACAAIAAgACAAIAAgACAAIAAgACAAIAAgACAAIAAgACAAIAAgACAARQBPAE0ATwBOAFQASAAoACAATABhAHMAdABEAGEAdABlACwAIABMAGEAcwB0AE0AbwBuAHQAaABzACkALABcAG4AIAAgACAAIAAgACAAIAAgACAAIAAgACAAIAAgACAAIAAgACAAIAAgACAAIAAgACAAIAAgACAAIAAgACAAIAAgACAAIAAgACAAIAAgACAAIABFAEQAQQBUAEUAKAAgAEwAYQBzAHQARABhAHQAZQAsACAATABhAHMAdABNAG8AbgB0AGgAcwApACkAKQApACwAXABuACAAIAAgACAALwAvACAAIABLAGUAZQBwACAAdABoAGUAIABlAHgAaQBzAHQAaQBuAGcAIABkAGEAeQAtAGcAYQBwACAAYQBuAGQAIABlAHgAcABsAGkAYwBpAHQALQBlAG4AZAAgAHIAdQBsAGUAcwAgAGYAbwByACAAcwB1AGIALQBtAG8AbgB0AGgAbAB5ACAAdABpAG0AZQBsAGkAbgBlAHMALgBcAG4AIAAgACAAIAAgACAAIAAgAEkAbgBmAGUAcgByAGUAZABFAG4AZAAsACAAIAAgACAAIAAgACAAIABJAEYAKAAgAE8AUgAoACAAUwB1AGIATQBvAG4AdABoAGwAeQA/ACwAIABMAGEAcwB0AEcAYQBwACAAPAAgADIAOAApACwAIABMAGEAcwB0AEQAYQB0AGUAIAArACAATABhAHMAdABHAGEAcAAsACAAQwBhAGwAZQBuAGQAYQByAEUAbgBkACkALABcAG4AIAAgACAAIAAgACAAIAAgAEIAdQBjAGsAZQB0AEUAbgBkACwAIAAgACAAIAAgACAAIAAgACAAIABJAEYAKAAgAEEATgBEACgAIABGAGkAbgBhAGwARQBuAGQAPwAsACAAUwB1AGIATQBvAG4AdABoAGwAeQA/ACkALAAgAEYAaQBuAGEAbABFAG4AZABEAGEAdABlACwAIABJAG4AZgBlAHIAcgBlAGQARQBuAGQAKQAsAFwAbgBcAG4AIAAgACAAIAAvAC8AIAAgAE8AbgBlACAAbABvAGEAbgAnAHMAIABzAGMAaABlAGQAdQBsAGUALAAgAGwAYQBpAGQAIABvAG4AdABvACAAdABoAGUAIAB0AGkAbQBlAGwAaQBuAGUAXABuACAAIAAgACAAIAAgACAAIABTAGMAaABlAGQAdQBsAGUALAAgAFwAbgAgACAAIAAgACAAIAAgACAAIAAgACAAIABMAEEATQBCAEQAQQAoACAAQQBzAHMAZQB0ACwAXABuACAAIAAgACAAIAAgACAAIAAgACAAIAAgACAAIAAgACAATABFAFQAKABcAG4AIAAgACAAIAAgACAAIAAgACAAIAAgACAAIAAgACAAIAAvAC8AIAAgAFMAYwBhAGwAYQByACAAaQBuAHAAdQB0AHMAIABrAGUAZQBwACAARQB4AGMAZQBsACAAZgByAG8AbQAgAGwAaQBmAHQAaQBuAGcAIABlAGEAYwBoACAAbABvAGEAbgAnAHMAIABzAGMAaABlAGQAdQBsAGUAIABpAG4AdABvACAAbgBlAHMAdABlAGQAIABhAHIAcgBhAHkAcwAuAFwAbgAgACAAIAAgACAAIAAgACAAIAAgACAAIAAgACAAIAAgACAAIAAgACAAUAByAGkAbgBjAGkAcABhAGwALAAgACAAIAAgACAAIAAgACAAIAAgAEAASQBOAEQARQBYACgAIABQAHIAaQBuAGMAaQBwAGEAbABzACwAIABBAHMAcwBlAHQAKQAsAFwAbgAgACAAIAAgACAAIAAgACAAIAAgACAAIAAgACAAIAAgACAAIAAgACAAQQBQAFIALAAgACAAIAAgACAAIAAgACAAIAAgACAAIAAgACAAIAAgAEAASQBOAEQARQBYACgAIABBAFAAUgBzACwAIABBAHMAcwBlAHQAKQAsAFwAbgAgACAAIAAgACAAIAAgACAAIAAgACAAIAAgACAAIAAgACAAIAAgACAAVABlAHIAbQAsACAAIAAgACAAIAAgACAAIAAgACAAIAAgACAAIAAgAEAASQBOAEQARQBYACgAIABUAGUAcgBtAHMALAAgAEEAcwBzAGUAdAApACwAXABuACAAIAAgACAAIAAgACAAIAAgACAAIAAgACAAIAAgACAAIAAgACAAIABTAHQAYQByAHQARABhAHQAZQAsACAAIAAgACAAIAAgACAAIAAgACAAQABJAE4ARABFAFgAKAAgAEMAdgB0AFMAdABhAHIAdABzACwAIABBAHMAcwBlAHQAKQAsAFwAbgBcAG4AIAAgACAAIAAgACAAIAAgACAAIAAgACAAIAAgACAAIAAvAC8AIAAgAEMAYQBsAGMAdQBsAGEAdABlACAAZgBvAHIAIABlAGEAYwBoACAAbQBvAG4AdABoAFwAbgAgACAAIAAgACAAIAAgACAAIAAgACAAIAAgACAAIAAgACAAIAAgACAAUgBhAHQAZQAsACAAIAAgACAAIAAgACAAIAAgACAAIAAgACAAIAAgAEEAUABSACAALwAgAE0AcABZACwAXABuACAAIAAgACAAIAAgACAAIAAgACAAIAAgACAAIAAgACAAIAAgACAAIABNAG8AbgB0AGgAbAB5AFAAYQB5AG0AZQBuAHQALAAgACAAIAAgACAAUABNAFQAKAAgAFIAYQB0AGUALAAgAFQAZQByAG0ALAAgAFAAcgBpAG4AYwBpAHAAYQBsACkALAAgACAAIAAgAFwAbgAgACAAIAAgACAAIAAgACAAIAAgACAAIAAgACAAIAAgACAAIAAgACAATQBvAG4AdABoAGwAeQBQAHIAaQBuAGMAaQBwAGEAbAAsACAAIAAgAC0ARgBWACgAUgBhAHQAZQAsACAAUwBFAFEAVQBFAE4AQwBFACgAIAAxACwAIABUAGUAcgBtACwAIAAwACkALAAgAE0AbwBuAHQAaABsAHkAUABhAHkAbQBlAG4AdAAsACAAUAByAGkAbgBjAGkAcABhAGwAKQAsAFwAbgAgACAAIAAgACAAIAAgACAAIAAgACAAIAAgACAAIAAgACAAIAAgACAATQBvAG4AdABoAGwAeQBJAG4AdABlAHIAZQBzAHQALAAgACAAIAAgAE0AbwBuAHQAaABsAHkAUAByAGkAbgBjAGkAcABhAGwAIAAqACAAUgBhAHQAZQAsAFwAbgBcAG4AIAAgACAAIAAgACAAIAAgACAAIAAgACAAIAAgACAAIAAvAC8AIAAgAEsAZQBlAHAAIABlAHYAZQByAHkAIABsAG8AYQBuACAAbQBvAG4AdABoACAAcwBlAHAAYQByAGEAdABlACAAdQBuAHQAaQBsACAAaQB0AHMAIAB0AGkAbQBlAGwAaQBuAGUAIABwAGUAcgBpAG8AZAAgAGkAcwAgAGsAbgBvAHcAbgAuAFwAbgAgACAAIAAgACAAIAAgACAAIAAgACAAIAAgACAAIAAgACAAIAAgACAARABlAGIAdABJAHMAcwB1AGUAQQByAHIAYQB5ACwAIAAgACAAIAAgAEUAWABQAEEATgBEACgAIABQAHIAaQBuAGMAaQBwAGEAbAAsACAAMQAsACAAVABlAHIAbQAsACAAMAApACwAXABuACAAIAAgACAAIAAgACAAIAAgACAAIAAgACAAIAAgACAAIAAgACAAIABQAHIAaQBuAGMAaQBwAGEAbABBAHIAcgBhAHkALAAgACAAIAAgACAATQBvAG4AdABoAGwAeQBQAHIAaQBuAGMAaQBwAGEAbAAsAFwAbgAgACAAIAAgACAAIAAgACAAIAAgACAAIAAgACAAIAAgACAAIAAgACAASQBuAHQAZQByAGUAcwB0AEEAcgByAGEAeQAsACAAIAAgACAAIAAgAE0AbwBuAHQAaABsAHkASQBuAHQAZQByAGUAcwB0ACwAXABuACAAIAAgACAAIAAgACAAIAAgACAAIAAgACAAIAAgACAAIAAgACAAIABQAGEAeQBtAGUAbgB0AEEAcgByAGEAeQAsACAAIAAgACAAIAAgACAAUwBFAFEAVQBFAE4AQwBFACgAIAAxACwAIABUAGUAcgBtACwAIABNAG8AbgB0AGgAbAB5AFAAYQB5AG0AZQBuAHQALAAgADAAKQAsAFwAbgAgACAAIAAgACAAIAAgACAAIAAgACAAIAAgACAAIAAgACAAIAAgACAAQwBsAG8AcwBpAG4AZwBBAHIAcgBhAHkALAAgACAAIAAgACAAIAAgAFAAcgBpAG4AYwBpAHAAYQBsAEEAcgByAGEAeQAgACsAIABJAG4AdABlAHIAZQBzAHQAQQByAHIAYQB5ACAAKwAgAFAAYQB5AG0AZQBuAHQAQQByAHIAYQB5ACwAXABuACAAIAAgACAAIAAgACAAIAAgACAAIAAgACAAIAAgACAAIAAgACAAIABQAG8AcgB0AGkAbwBuAEEAcgByAGEAeQAsACAAIAAgACAAIAAgACAALQBQAGEAeQBtAGUAbgB0AEEAcgByAGEAeQAgAC0AIABJAG4AdABlAHIAZQBzAHQAQQByAHIAYQB5ACwAIAAgACAAIABcAG4AIAAgACAAIAAgACAAIAAgACAAIAAgACAAIAAgACAAIAAgACAAIAAgAEEAbQBvAHIAdABpAHMAYQB0AGkAbwBuAFMAYwBoAGUAZAAsACAAIABWAFMAVABBAEMASwAoAFwAbgAgACAAIAAgACAAIAAgACAAIAAgACAAIAAgACAAIAAgACAAIAAgACAAIAAgACAAIAAgACAAIAAgACAAIAAgACAAIAAgACAAIAAgACAAIAAgACAAIAAgACAARABlAGIAdABJAHMAcwB1AGUAQQByAHIAYQB5ACwAIABcAG4AIAAgACAAIAAgACAAIAAgACAAIAAgACAAIAAgACAAIAAgACAAIAAgACAAIAAgACAAIAAgACAAIAAgACAAIAAgACAAIAAgACAAIAAgACAAIAAgACAAIAAgAFAAcgBpAG4AYwBpAHAAYQBsAEEAcgByAGEAeQAsACAAXABuACAAIAAgACAAIAAgACAAIAAgACAAIAAgACAAIAAgACAAIAAgACAAIAAgACAAIAAgACAAIAAgACAAIAAgACAAIAAgACAAIAAgACAAIAAgACAAIAAgACAAIABJAG4AdABlAHIAZQBzAHQAQQByAHIAYQB5ACwAIABcAG4AIAAgACAAIAAgACAAIAAgACAAIAAgACAAIAAgACAAIAAgACAAIAAgACAAIAAgACAAIAAgACAAIAAgACAAIAAgACAAIAAgACAAIAAgACAAIAAgACAAIAAgAFAAYQB5AG0AZQBuAHQAQQByAHIAYQB5ACwAIABcAG4AIAAgACAAIAAgACAAIAAgACAAIAAgACAAIAAgACAAIAAgACAAIAAgACAAIAAgACAAIAAgACAAIAAgACAAIAAgACAAIAAgACAAIAAgACAAIAAgACAAIAAgAEMAbABvAHMAaQBuAGcAQQByAHIAYQB5ACwAIABcAG4AIAAgACAAIAAgACAAIAAgACAAIAAgACAAIAAgACAAIAAgACAAIAAgACAAIAAgACAAIAAgACAAIAAgACAAIAAgACAAIAAgACAAIAAgACAAIAAgACAAIAAgAFAAbwByAHQAaQBvAG4AQQByAHIAYQB5ACkALABcAG4AIAAgACAAIAAgACAAIAAgACAAIAAgACAAIAAgACAAIAAvAC8AIAAgAEEAbABsAG8AYwBhAHQAZQAgAG0AbwBuAHQAaABsAHkAIAB2AGEAbAB1AGUAcwAgAHQAbwAgAGEAYwB0AHUAYQBsACAAcABlAHIAaQBvAGQAIABkAGEAdABlAHMALAAgAGUAeABjAGwAdQBkAGkAbgBnACAAdABoAGUAIABmAGkAbgBhAGwAIABlAG4AZAAuAFwAbgAgACAAIAAgACAAIAAgACAAIAAgACAAIAAgACAAIAAgACAAIAAgACAATQBvAG4AdABoAFMAdABhAHIAdABzACwAIAAgACAAIAAgACAAIAAgAEUARABBAFQARQAoACAAUwB0AGEAcgB0AEQAYQB0AGUALAAgAFMARQBRAFUARQBOAEMARQAoACAALAAgAFQAZQByAG0ALAAgADAAKQApACwAXABuACAAIAAgACAAIAAgACAAIAAgACAAIAAgACAAIAAgACAAIAAgACAAIABCAHUAYwBrAGUAdABzACwAIAAgACAAIAAgACAAIAAgACAAIAAgACAASQBGAEUAUgBSAE8AUgAoACAATQBBAFQAQwBIACgAIABNAG8AbgB0AGgAUwB0AGEAcgB0AHMALAAgAFQATwBSAE8AVwAoACAAVABpAG0AZQBsAGkAbgBlACkALAAgADEAKQAsACAAMAApAFwAbgAgACAAIAAgACAAIAAgACAAIAAgACAAIAAgACAAIAAgACAAIAAgACAAIAAgACAAIAAgACAAIAAgACAAIAAgACAAIAAgACAAIAAgACAAIAAgACoAIAAoACAATQBvAG4AdABoAFMAdABhAHIAdABzACAAPAAgAEIAdQBjAGsAZQB0AEUAbgBkACkALABcAG4AIAAgACAAIAAgACAAIAAgACAAIAAgACAAIAAgACAAIAAgACAAIAAgAEkAbgBQAGUAcgBpAG8AZAAsACAAIAAgACAAIAAgACAAIAAgACAAIAAoACAAVABPAEMATwBMACgAIABCAHUAYwBrAGUAdABzACkAIAA9ACAAUwBFAFEAVQBFAE4AQwBFACgAIAAxACwAIABDAE8AVQBOAFQAQQAoACAAVABpAG0AZQBsAGkAbgBlACkAKQApACAAKgAgADEALABcAG4AIAAgACAAIAAgACAAIAAgACAAIAAgACAAIAAgACAAIAAvAC8AIAAgAFIAbwB3AHMAIAAyACAAYQBuAGQAIAA1ACAAYQByAGUAIABiAGEAbABhAG4AYwBlAHMAIAByAGEAdABoAGUAcgAgAHQAaABhAG4AIABmAGwAbwB3AHMALgAgAEEAIABwAGUAcgBpAG8AZAAgAGMAYQBuACAAaABvAGwAZAAgAHMAZQB2AGUAcgBhAGwAXABuACAAIAAgACAAIAAgACAAIAAgACAAIAAgACAAIAAgACAALwAvACAAIABtAG8AbgB0AGgAcwAsACAAYQBzACAAdABoAGUAIABsAGEAcwB0ACAAbwBuAGUAIABkAG8AZQBzACAAdwBoAGUAbgAgAEYAaQBuAGEAbABQAGUAcgBpAG8AZABFAG4AZAAgAGUAeAB0AGUAbgBkAHMAIABpAHQALAAgAG8AcgAgAGEAIABsAG8AbgBnAGUAcgBcAG4AIAAgACAAIAAgACAAIAAgACAAIAAgACAAIAAgACAAIAAvAC8AIAAgAHAAZQByAGkAbwBkACAAYQBmAHQAZQByACAAcwBoAG8AcgB0AGUAcgAgAG8AbgBlAHMAOgAgAHQAaABlACAAZgBsAG8AdwBzACAAbwBmACAAaQB0AHMAIABtAG8AbgB0AGgAcwAgAGEAZABkACAAdQBwACwAIABiAHUAdAAgAGkAdAAgAG8AcABlAG4AcwAgAG8AbgBcAG4AIAAgACAAIAAgACAAIAAgACAAIAAgACAAIAAgACAAIAAvAC8AIAAgAGkAdABzACAAZgBpAHIAcwB0ACAAbQBvAG4AdABoACcAcwAgAGIAYQBsAGEAbgBjAGUAIABhAG4AZAAgAGMAbABvAHMAZQBzACAAbwBuACAAaQB0AHMAIABsAGEAcwB0ACAAbQBvAG4AdABoACcAcwAsACAAdwBoAGkAYwBoACAAaQBzACAAaABvAHcAXABuACAAIAAgACAAIAAgACAAIAAgACAAIAAgACAAIAAgACAALwAvACAAIABEAGUAcAByAGUAYwBpAGEAdABlALsDIAByAGUAYQBkAHMAIABpAHQAcwAgAG8AdwBuACAAbwBwAGUAbgBpAG4AZwAgAGIAYQBsAGEAbgBjAGUAIAByAG8AdwAuACAAUwB1AG0AbQBlAGQAIAB3AGkAdABoACAAdABoAGUAIABmAGwAbwB3AHMALAAgAGEAIABsAG8AYQBuAFwAbgAgACAAIAAgACAAIAAgACAAIAAgACAAIAAgACAAIAAgAC8ALwAgACAAcgBlAHAAYQBpAGQAIABpAG4AcwBpAGQAZQAgAHMAdQBjAGgAIABhACAAcABlAHIAaQBvAGQAIABjAGwAbwBzAGUAZAAgAGkAdAAgAG8AbgAgAHQAaABlACAAdABvAHQAYQBsACAAbwBmACAAaQB0AHMAIABtAG8AbgB0AGgAbAB5ACAAYgBhAGwAYQBuAGMAZQBzAC4AXABuACAAIAAgACAAIAAgACAAIAAgACAAIAAgACAAIAAgACAAIAAgACAAIABFAGEAcgBsAGkAZQByACwAIAAgACAAIAAgACAAIAAgACAAIAAgACAASQBGACgAIABUAGUAcgBtACAAPQAgADEALAAgADAALAAgAEgAUwBUAEEAQwBLACgAIAAwACwAIABEAFIATwBQACgAIABCAHUAYwBrAGUAdABzACwAIAAsACAALQAxACkAKQApACwAXABuACAAIAAgACAAIAAgACAAIAAgACAAIAAgACAAIAAgACAAIAAgACAAIABMAGEAdABlAHIALAAgACAAIAAgACAAIAAgACAAIAAgACAAIAAgACAASQBGACgAIABUAGUAcgBtACAAPQAgADEALAAgADAALAAgAEgAUwBUAEEAQwBLACgAIABEAFIATwBQACgAIABCAHUAYwBrAGUAdABzACwAIAAsACAAMQApACwAIAAwACkAKQAsAFwAbgAgACAAIAAgACAAIAAgACAAIAAgACAAIAAgACAAIAAgACAAIAAgACAARgBpAHIAcwB0AEkAbgBQAGUAcgBpAG8AZAAsACAAIAAgACAAIAAgACgAIABCAHUAYwBrAGUAdABzACAAPAA+ACAARQBhAHIAbABpAGUAcgApACAAKgAgACgAIABCAHUAYwBrAGUAdABzACAAPgAgADAAKQAsAFwAbgAgACAAIAAgACAAIAAgACAAIAAgACAAIAAgACAAIAAgACAAIAAgACAATABhAHMAdABJAG4AUABlAHIAaQBvAGQALAAgACAAIAAgACAAIAAgACgAIABCAHUAYwBrAGUAdABzACAAPAA+ACAATABhAHQAZQByACkAIAAqACAAKAAgAEIAdQBjAGsAZQB0AHMAIAA+ACAAMAApACwAXABuACAAIAAgACAAIAAgACAAIAAgACAAIAAgACAAIAAgACAAIAAgACAAIABGAGwAbwB3AHMALAAgACAAIAAgACAAIAAgACAAIAAgACAAIAAgACAATQBNAFUATABUACgAIABBAG0AbwByAHQAaQBzAGEAdABpAG8AbgBTAGMAaABlAGQALAAgAEkAbgBQAGUAcgBpAG8AZAApACwAXABuACAAIAAgACAAIAAgACAAIAAgACAAIAAgACAAIAAgACAAIAAgACAAIABCAHkARABhAHQAZQAsACAAIAAgACAAIAAgACAAIAAgACAAIAAgACAAVgBTAFQAQQBDAEsAKAAgAFQAQQBLAEUAKAAgAEYAbABvAHcAcwAsACAAMQApACwAXABuACAAIAAgACAAIAAgACAAIAAgACAAIAAgACAAIAAgACAAIAAgACAAIAAgACAAIAAgACAAIAAgACAAIAAgACAAIAAgACAAIAAgACAAIAAgACAAIAAgACAAIAAgACAAIAAgAE0ATQBVAEwAVAAoACAAQwBIAE8ATwBTAEUAUgBPAFcAUwAoACAAQQBtAG8AcgB0AGkAcwBhAHQAaQBvAG4AUwBjAGgAZQBkACwAIAAyACkAIAAqACAARgBpAHIAcwB0AEkAbgBQAGUAcgBpAG8AZAAsACAASQBuAFAAZQByAGkAbwBkACkALABcAG4AIAAgACAAIAAgACAAIAAgACAAIAAgACAAIAAgACAAIAAgACAAIAAgACAAIAAgACAAIAAgACAAIAAgACAAIAAgACAAIAAgACAAIAAgACAAIAAgACAAIAAgACAAIAAgACAAQwBIAE8ATwBTAEUAUgBPAFcAUwAoACAARgBsAG8AdwBzACwAIAAzACwAIAA0ACkALABcAG4AIAAgACAAIAAgACAAIAAgACAAIAAgACAAIAAgACAAIAAgACAAIAAgACAAIAAgACAAIAAgACAAIAAgACAAIAAgACAAIAAgACAAIAAgACAAIAAgACAAIAAgACAAIAAgACAATQBNAFUATABUACgAIABDAEgATwBPAFMARQBSAE8AVwBTACgAIABBAG0AbwByAHQAaQBzAGEAdABpAG8AbgBTAGMAaABlAGQALAAgADUAKQAgACoAIABMAGEAcwB0AEkAbgBQAGUAcgBpAG8AZAAsACAASQBuAFAAZQByAGkAbwBkACkALABcAG4AIAAgACAAIAAgACAAIAAgACAAIAAgACAAIAAgACAAIAAgACAAIAAgACAAIAAgACAAIAAgACAAIAAgACAAIAAgACAAIAAgACAAIAAgACAAIAAgACAAIAAgACAAIAAgACAAVABBAEsARQAoACAARgBsAG8AdwBzACwAIAAtADEAKQApACwAXABuACAAIAAgACAAIAAgACAAIAAgACAAIAAgACAAIAAgACAAIAAgACAAIABCAHkARABhAHQAZQBcAG4AIAAgACAAIAAgACAAIAAgACAAIAAgACAAIAAgACAAIAApACAAIAAgAFwAbgAgACAAIAAgACAAIAAgACAAIAAgACAAIAApACwAIAAgACAAIABcAG4AIAAgACAAIAAvAC8AIAAgAEUAdgBlAHIAeQAgAGwAbwBhAG4AIABpAG4AIAB0AHUAcgBuACwAIABhACAAYgBsAGEAbgBrACAAcgBvAHcAIABiAGUAdAB3AGUAZQBuACAAbwBuAGUAIABiAGwAbwBjAGsAIABhAG4AZAAgAHQAaABlACAAbgBlAHgAdABcAG4AIAAgACAAIAAgACAAIAAgAFIAZQBzAHUAbAB0ACwAIAAgACAAIAAgAFIARQBEAFUAQwBFACgAIAAwACwAIABTAEUAUQBVAEUATgBDAEUAKAAgAFIATwBXAFMAKAAgAFAAcgBpAG4AYwBpAHAAYQBsAHMAKQApACwAXABuACAAIAAgACAAIAAgACAAIAAgACAAIAAgACAAIAAgACAAIAAgACAAIAAgACAAIAAgAEwAQQBNAEIARABBACgAIABBAGMAYwAsACAAQQBzAHMAZQB0ACwAXABuACAAIAAgACAAIAAgACAAIAAgACAAIAAgACAAIAAgACAAIAAgACAAIAAgACAAIAAgACAAIAAgACAATABFAFQAKABOAGUAdwBCAGwAbwBjAGsALAAgACAAIABTAGMAaABlAGQAdQBsAGUAKAAgAEEAcwBzAGUAdAApACwAXABuACAAIAAgACAAIAAgACAAIAAgACAAIAAgACAAIAAgACAAIAAgACAAIAAgACAAIAAgACAAIAAgACAAIAAgACAAIABJAEYAKAAgAEEAcwBzAGUAdAAgAD0AIAAxACwAIABcAG4AIAAgACAAIAAgACAAIAAgACAAIAAgACAAIAAgACAAIAAgACAAIAAgACAAIAAgACAAIAAgACAAIAAgACAAIAAgACAAIAAgACAATgBlAHcAQgBsAG8AYwBrACwAXABuACAAIAAgACAAIAAgACAAIAAgACAAIAAgACAAIAAgACAAIAAgACAAIAAgACAAIAAgACAAIAAgACAAIAAgACAAIAAgACAAIAAgAFYAUwBUAEEAQwBLACgAIABBAGMAYwAsACAARQBYAFAAQQBOAEQAKAB7AFwAIgAgAFwAIgB9ACwAIAAxACwAIABDAE8AVQBOAFQAQQAoAFQAaQBtAGUAbABpAG4AZQApACwAIABcACIAIABcACIAKQAsACAATgBlAHcAQgBsAG8AYwBrACkAKQBcAG4AIAAgACAAIAAgACAAIAAgACAAIAAgACAAIAAgACAAIAAgACAAIAAgACAAIAAgACAAIAAgACAAIAApAFwAbgAgACAAIAAgACAAIAAgACAAIAAgACAAIAAgACAAIAAgACAAIAAgACAAIAAgACAAIAApAFwAbgAgACAAIAAgACAAIAAgACAAIAAgACAAIAAgACAAIAAgACAAIAAgACAAKQAsAFwAbgAgACAAIAAgAC8ALwAgACAAUgBlAHQAdQByAG4AIABSAGUAcwB1AGwAdAAsACAASABlAGwAcAAsACAAbwByACAAdABoAGUAIABtAGUAcwBzAGEAZwBlAFwAbgAgACAAIAAgACAAIAAgACAAUgBlAHQAdQByAG4ALAAgACAAIAAgACAASQBGACgAIABIAGUAbABwAD8ALAAgADIALAAgAEkARgAoACAAQgBhAGQAVABpAG0AZQBsAGkAbgBlAD8ALAAgADMALAAgAEkARgAoACAAQgBhAGQARgBpAG4AYQBsAEUAbgBkAD8ALAAgADQALAAgADEAKQApACkALABcAG4AIAAgACAAIAAgACAAIAAgAEMASABPAE8AUwBFACgAIABSAGUAdAB1AHIAbgAsACAAUgBlAHMAdQBsAHQALAAgAEgAZQBsAHAALAAgAFQAaQBtAGUAbABpAG4AZQBNAGUAcwBzAGEAZwBlACwAIABGAGkAbgBhAGwARQBuAGQATQBlAHMAcwBhAGcAZQApAFwAbgAgACAAIAAgACkAIABcAG4AKQA7AFwAbgBcAG4AXABuAC8AKgAgACAARgBVAE4AQwBUAEkATwBOACAATgBBAE0ARQA6ACAAIABMAGEAYgBlAGwAQQBtAG8AcgB0AGkAcwBlALsDXABuACAAIAAgACAARABFAFMAQwBSAEkAUABUAEkATwBOADoAKgAvAC8AKgAqAEMAcgBlAGEAdABlACAAbABhAGIAZQBsAHMAIABmAG8AcgAgAEEAbQBvAHIAdABpAHMAZQC7AyoALwBcAG4ATABhAGIAZQBsAEEAbQBvAHIAdABpAHMAZQC7AyAAPQAgAEwAQQBNAEIARABBACgAXABuAC8ALwAgACAAUABhAHIAYQBtAGUAdABlAHIAIABEAGUAYwBsAGEAcgBhAHQAaQBvAG4AcwBcAG4AIAAgACAAIABbAEwAbwBhAG4ATgBhAG0AZQBzAF0ALAAgACAAXABuACAAIAAgACAAWwBMAG8AYQBuAEEAbQBvAHUAbgB0AHMAXQAsACAAIABcAG4AIAAgACAAIABbAEwAbwBhAG4AQQBQAFIAcwBdACwAIAAgAFwAbgAgACAAIAAgAFsATABvAGEAbgBUAGUAcgBtAHMAXQAs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QQBtAG8AcgB0AGkAcwBlALsDKABMAG8AYQBuAE4AYQBtAGUAcwAsACAAWwBMAG8AYQBuAEEAbQBvAHUAbgB0AHMAXQAsACAAWwBMAG8AYQBuAEEAUABSAHMAXQAsACAAWwBMAG8AYQBuAFQAZQByAG0AcwBdACkAtgBcACIAIAAmAFwAbgAgACAAIAAgACAAIAAgACAAIAAgACAAIAAgACAAIAAgACAAIAAgACAAIAAgACAAIAAgACAAIAAgAFwAIgBEAEUAUwBDAFIASQBQAFQASQBPAE4AOgAgACAAIACSIUMAcgBlAGEAdABlACAAcgBvAHcAIABsAGEAYgBlAGwAcwAgAGYAbwByACAAdABoAGUAIABhAG0AbwByAHQAaQBzAGEAdABpAG8AbgAgAHMAYwBoAGUAZAB1AGwAZQAgAGEAcgByAGEAeQAgAHAAcgBvAGQAdQBjAGUAZAAgAGIAeQAgAEEAbQBvAHIAdABpAHM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MAG8AYQBuAE4AYQBtAGUAcwAgACAAIAAgACAAkiEoAFIAZQBxAHUAaQByAGUAZAApACAATgBhAG0AZQBzACAAbwByACAAZABlAHMAYwByAGkAcAB0AGkAbwBuAHMAIABvAGYAIABlAGEAYwBoACAAbABvAGEAbgAgAGkAbgAgAHQAaABlACAAYQBtAG8AcgB0AGkAcwBhAHQAaQBvAG4AIABzAGMAaABlAGQAdQBsAGUAIABwAHIAbwBkAHUAYwBlAGQAIABiAHkAIABBAG0AbwByAHQAaQBzAGUAuwO2AFwAIgAgACYAIAAgACAAIAAgACAAIAAgACAAIAAgACAAIAAgACAAIAAgACAAXABuACAAIAAgACAAIAAgACAAIAAgACAAIAAgACAAIAAgACAAIAAgACAAIAAgACAAIAAgACAAIAAgACAAXAAiAEwAbwBhAG4AQQBtAG8AdQBuAHQAcwAgACAAIACSISgATwBwAHQAaQBvAG4AYQBsACkAIABBAG0AbwB1AG4AdAAgAGIAbwByAHIAbwB3AGUAZAC2AFwAIgAgACYAIAAgACAAIAAgACAAIAAgACAAIAAgACAAIAAgACAAIAAgACAAXABuACAAIAAgACAAIAAgACAAIAAgACAAIAAgACAAIAAgACAAIAAgACAAIAAgACAAIAAgACAAIAAgACAAXAAiAEwAbwBhAG4AQQBQAFIAcwAgACAAIAAgACAAIACSISgATwBwAHQAaQBvAG4AYQBsACkAIABBAG4AbgB1AGEAbAAgAFAAZQByAGMAZQBuAHQAYQBnAGUAIABJAG4AdABlAHIAZQBzAHQAIABSAGEAdABlALYAXAAiACAAJgAgACAAIAAgACAAIAAgACAAIAAgACAAIAAgACAAIAAgACAAIABcAG4AIAAgACAAIAAgACAAIAAgACAAIAAgACAAIAAgACAAIAAgACAAIAAgACAAIAAgACAAIAAgACAAIABcACIATABvAGEAbgBUAGUAcgBtAHMAIAAgACAAIAAgAJIhKABPAHAAdABpAG8AbgBhAGwAKQAgAE4AdQBtAGIAZQByACAAbwBmACAAbQBvAG4AdABoAHMAIAB0AG8AIAByAGUAcABhAHkAtgBcACIAIAAm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ABhAGIAZQBsAEEAbQBvAHIAdABpAHMAZQC7AygAdABiAGwATABvAGEAbgBzAFsATABvAGEAbg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cgBlAHEAdQBpAHIAZQBkACAAaQBuAHAAdQB0AHMAIAAtACAATwBtAGkAdAB0AGUAZAAgAHIAZQBxAHUAaQByAGUAZAAgAGEAcgBnAHUAbQBlAG4AdABzAFwAbgAgACAAIAAgACAAIAAgACAASABlAGwAcAA/ACwAIAAgACAAIAAgACAAIAAgACAAIABJAFMATwBNAEkAVABUAEUARAAoACAATABvAGEAbgBOAGEAbQBlAHMAKQAsAFwAbgAgACAAIAAgAC8ALwAgACAAQwBoAGUAYwBrACAAbwBwAHQAaQBvAG4AYQBsACAAaQBuAHAAdQB0AHMAXABuACAAIAAgACAAIAAgACAAIABPAHAAdABpAG8AbgBhAGwAcwAsACAAIAAgACAAIAAgAE4ATwBUACgAIABPAFIAKAAgAFwAbgAgACAAIAAgACAAIAAgACAAIAAgACAAIAAgACAAIAAgACAAIAAgACAAIAAgACAAIAAgACAAIAAgAEkAUwBPAE0ASQBUAFQARQBEACgAIABMAG8AYQBuAEEAbQBvAHUAbgB0AHMAKQAsACAAXABuACAAIAAgACAAIAAgACAAIAAgACAAIAAgACAAIAAgACAAIAAgACAAIAAgACAAIAAgACAAIAAgACAASQBTAE8ATQBJAFQAVABFAEQAKAAgAEwAbwBhAG4AQQBQAFIAcwApACwAIABcAG4AIAAgACAAIAAgACAAIAAgACAAIAAgACAAIAAgACAAIAAgACAAIAAgACAAIAAgACAAIAAgACAAIABJAFMATwBNAEkAVABUAEUARAAoACAATABvAGEAbgBUAGUAcgBtAHMAKQBcAG4AIAAgACAAIAAgACAAIAAgACAAIAAgACAAIAAgACAAIAAgACAAIAAgACAAIAAgACAAKQApACwAXABuACAAIAAgACAALwAvACAAIABQAHIAbwBjAGUAZAB1AHIAZQAgAC0AIABzAGkAeAAgAGwAYQBiAGUAbABsAGUAZAAgAHIAbwB3AHMAIABhAG4AZAAgAGEAIABiAGwAYQBuAGsAIAByAG8AdwAgAHAAZQByACAAbABvAGEAbgAsACAAdwBpAHQAaABvAHUAdAAgAHQAaABlACAAdAByAGEAaQBsAGkAbgBnACAAYgBsAGEAbgBrAFwAbgAgACAAIAAgACAAIAAgACAAUgBlAHMAdQBsAHQALAAgACAAIAAgACAAIAAgACAAIABNAEEASwBFAEEAUgBSAEEAWQAoACAAUgBPAFcAUwAoACAATABvAGEAbgBOAGEAbQBlAHMAKQAgACoAIAA3ACAALQAgADEALAAgAEkARgAoACAATwBwAHQAaQBvAG4AYQBsAHMALAAgADMALAAgADEAKQAsAFwAbgAgACAAIAAgACAAIAAgACAAIAAgACAAIAAgACAAIAAgACAAIAAgACAAIAAgACAAIAAgACAAIAAgAEwAQQBNAEIARABBACgAUgBvAHcALAAgAEMAbwBsACwAIABcAG4AIAAgACAAIAAgACAAIAAgACAAIAAgACAAIAAgACAAIAAgACAAIAAgACAAIAAgACAAIAAgACAAIAAgACAAIAAgAEwARQBUACgASQBkAHgALAAgACAAIAAgACAAIAAgACAAIAAgACAAIABRAFUATwBUAEkARQBOAFQAKAAgAFIAbwB3ACAALQAgADEALAAgADcAKQAgACsAIAAxACwAXABuACAAIAAgACAAIAAgACAAIAAgACAAIAAgACAAIAAgACAAIAAgACAAIAAgACAAIAAgACAAIAAgACAAIAAgACAAIAAgACAAIAAgAEwAaQBuAGUALAAgACAAIAAgACAAIAAgACAAIAAgACAATQBPAEQAKAAgAFIAbwB3ACAALQAgADEALAAgADcAKQAgACsAIAAxACwAIABcAG4AIAAgACAAIAAgACAAIAAgACAAIAAgACAAIAAgACAAIAAgACAAIAAgACAAIAAgACAAIAAgACAAIAAgACAAIAAgACAAIAAgACAATABvAGEAbgBOAGEAbQBlACwAIAAgACAAIAAgACAAIABJAE4ARABFAFgAKAAgAEwAbwBhAG4ATgBhAG0AZQBzACwAIABJAGQAeAApACwAIABcAG4AIAAgACAAIAAgACAAIAAgACAAIAAgACAAIAAgACAAIAAgACAAIAAgACAAIAAgACAAIAAgACAAIAAgACAAIAAgACAAIAAgACAATABvAGEAbgBBAG0AbwB1AG4AdAAsACAAIAAgACAAIABJAEYAKABJAFMATwBNAEkAVABUAEUARAAoACAATABvAGEAbgBBAG0AbwB1AG4AdABzACkALAAgADAALAAgAEkATgBEAEUAWAAoACAATABvAGEAbgBBAG0AbwB1AG4AdABzACwAIABJAGQAeAApACkALABcAG4AIAAgACAAIAAgACAAIAAgACAAIAAgACAAIAAgACAAIAAgACAAIAAgACAAIAAgACAAIAAgACAAIAAgACAAIAAgACAAIAAgACAATABvAGEAbgBBAFAAUgAsACAAIAAgACAAIAAgACAAIABJAEYAKABJAFMATwBNAEkAVABUAEUARAAoACAATABvAGEAbgBBAFAAUgBzACkALAAgADAALAAgAEkATgBEAEUAWAAoACAATABvAGEAbgBBAFAAUgBzACwAIABJAGQAeAApACkALABcAG4AIAAgACAAIAAgACAAIAAgACAAIAAgACAAIAAgACAAIAAgACAAIAAgACAAIAAgACAAIAAgACAAIAAgACAAIAAgACAAIAAgACAATABvAGEAbgBUAGUAcgBtACwAIAAgACAAIAAgACAAIABJAEYAKABJAFMATwBNAEkAVABUAEUARAAoACAATABvAGEAbgBUAGUAcgBtAHMAKQAsACAAMAAsACAASQBOAEQARQBYACgAIABMAG8AYQBuAFQAZQByAG0AcwAsACAASQBkAHgAKQApACwAXABuACAAIAAgACAAIAAgACAAIAAgACAAIAAgACAAIAAgACAAIAAgACAAIAAgACAAIAAgACAAIAAgACAAIAAgACAAIAAgACAAIAAgAFMAVwBJAFQAQwBIACgAIABDAG8AbAAsAFwAbgAgACAAIAAgACAAIAAgACAAIAAgACAAIAAgACAAIAAgACAAIAAgACAAIAAgACAAIAAgACAAIAAgACAAIAAgACAAIAAgACAAIAAgACAAIAAgADEALAAgACAAUwBXAEkAVABDAEgAKAAgAEwAaQBuAGUALABcAG4AIAAgACAAIAAgACAAIAAgACAAIAAgACAAIAAgACAAIAAgACAAIAAgACAAIAAgACAAIAAgACAAIAAgACAAIAAgACAAIAAgACAAIAAgACAAIAAgACAAIAAgACAAIAAgACAAMQAsACAAIABMAG8AYQBuAE4AYQBtAGUAIAAmACAAXAAiACAARABlAGIAdAAgAEkAcwBzAHUAYQBuAGMAZQBcACIALABcAG4AIAAgACAAIAAgACAAIAAgACAAIAAgACAAIAAgACAAIAAgACAAIAAgACAAIAAgACAAIAAgACAAIAAgACAAIAAgACAAIAAgACAAIAAgACAAIAAgACAAIAAgACAAIAAgACAAMgAsACAAIABMAG8AYQBuAE4AYQBtAGUAIAAmACAAXAAiACAARABlAGIAdAAgAEIAYQBsAGEAbgBjAGUAXAAiACwAXABuACAAIAAgACAAIAAgACAAIAAgACAAIAAgACAAIAAgACAAIAAgACAAIAAgACAAIAAgACAAIAAgACAAIAAgACAAIAAgACAAIAAgACAAIAAgACAAIAAgACAAIAAgACAAIAAgADMALAAgACAATABvAGEAbgBOAGEAbQBlACAAJgAgAFwAIgAgAEkAbgB0AGUAcgBlAHMAdABcACIALABcAG4AIAAgACAAIAAgACAAIAAgACAAIAAgACAAIAAgACAAIAAgACAAIAAgACAAIAAgACAAIAAgACAAIAAgACAAIAAgACAAIAAgACAAIAAgACAAIAAgACAAIAAgACAAIAAgACAANAAsACAAIABMAG8AYQBuAE4AYQBtAGUAIAAmACAAXAAiACAARABlAGIAdAAgAFMAZQByAHYAaQBjAGUAcwBcACIALABcAG4AIAAgACAAIAAgACAAIAAgACAAIAAgACAAIAAgACAAIAAgACAAIAAgACAAIAAgACAAIAAgACAAIAAgACAAIAAgACAAIAAgACAAIAAgACAAIAAgACAAIAAgACAAIAAgACAANQAsACAAIABMAG8AYQBuAE4AYQBtAGUAIAAmACAAXAAiACAAQwBsAG8AcwBpAG4AZwAgAEIAYQBsAGEAbgBjAGUAXAAiACwAXABuACAAIAAgACAAIAAgACAAIAAgACAAIAAgACAAIAAgACAAIAAgACAAIAAgACAAIAAgACAAIAAgACAAIAAgACAAIAAgACAAIAAgACAAIAAgACAAIAAgACAAIAAgACAAIAAgADYALAAgACAATABvAGEAbgBOAGEAbQBlACAAJgAgAFwAIgAgAEQAZQBiAHQAIABSAGUAcABhAHkAbQBlAG4AdABcACIALABcAG4AIAAgACAAIAAgACAAIAAgACAAIAAgACAAIAAgACAAIAAgACAAIAAgACAAIAAgACAAIAAgACAAIAAgACAAIAAgACAAIAAgACAAIAAgACAAIAAgACAAIAAgACAAIAAgACAAXAAiAFwAIgApACwAXABuACAAIAAgACAAIAAgACAAIAAgACAAIAAgACAAIAAgACAAIAAgACAAIAAgACAAIAAgACAAIAAgACAAIAAgACAAIAAgACAAIAAgACAAIAAgACAAMgAsACAAIABTAFcASQBUAEMASAAoACAATABpAG4AZQAsACAAMQAsACAATABvAGEAbgBBAG0AbwB1AG4AdAAsACAAMwAsACAAVABFAFgAVAAoACAATABvAGEAbgBBAFAAUgAsACAAXAAiADAALgAwADAAJQBcACIAKQAsACAANAAsACAATABvAGEAbgBUAGUAcgBtACwAIABcACIAXAAiACkALABcAG4AIAAgACAAIAAgACAAIAAgACAAIAAgACAAIAAgACAAIAAgACAAIAAgACAAIAAgACAAIAAgACAAIAAgACAAIAAgACAAIAAgACAAIAAgACAAIAAzACwAIAAgAFMAVwBJAFQAQwBIACgAIABMAGkAbgBlACwAIAAzACwAIABcACIAQQBQAFIAXAAiACwAIAA0ACwAIABcACIATQBvAG4AdABoAHMAXAAiACwAIABcACIAXAAiACk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UwB1AG0AQQBtAG8AcgB0AGkAcwBlALsDXABuACAAIAAgACAARABFAFMAQwBSAEkAUABUAEkATwBOADoAKgAvAC8AKgAqAEMAcgBlAGEAdABlACAAcgBvAHcAIAB0AG8AdABhAGwAcwAgAGYAbwByACAAQQBtAG8AcgB0AGkAcwBlALsDKgAvAFwAbgBTAHUAbQBBAG0AbwByAHQAaQBzAGUAuwMgAD0AIABMAEEATQBCAEQAQQAoAFwAbgAvAC8AIAAgAFAAYQByAGEAbQBlAHQAZQByACAARABlAGMAbABhAHIAYQB0AGkAbwBuAHMAXABuACAAIAAgACAAWwBBAG0AbwByAHQAaQBz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BAG0AbwByAHQAaQBzAGUAuwMoAEEAbQBvAHIAdABpAHMAYQB0AGkAbwBuAFMAYwBoAGUAZAB1AGwAZQApALYAXAAiACAAJgBcAG4AIAAgACAAIAAgACAAIAAgACAAIAAgACAAIAAgACAAIAAgACAAIAAgACAAIAAgACAAIAAgACAAIABcACIARABFAFMAQwBSAEkAUABUAEkATwBOADoAIAAgACAAkiFDAHIAZQBhAHQAZQAgAHIAbwB3ACAAdABvAHQAYQBsAHMAIABmAG8AcgAgAEEAbQBvAHIAdABpAHM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0AbwByAHQAaQBzAGEAdABpAG8AbgBTAGMAaABlAGQAdQBsAGUAkiEoAFIAZQBxAHUAaQByAGUAZAApACAAQQBuACAAYQByAHIAYQB5ACAAcAByAG8AZAB1AGMAZQBkACAAYgB5ACAAQQBtAG8AcgB0AGkAcwBlALsDtgBcACIAIAAmACAAIAAgACAAIAAgACAAIAAgACAAIAAgACAAIAAgACAAIAAgAFwAbgAgACAAIAAgACAAIAAgACAAIAAgACAAIAAgACAAIAAgACAAIAAgACAAIAAgACAAIAAgACAAIAAgAFwAIgBFAFgAQQBNAFAATABFAFMAOg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BAG0AbwByAHQAaQBzAGUAuwMoAEEAbQBvAHIAdABpAHM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IAdABpAHMAYQB0AGkAbwBuAFMAYwBoAGUAZAB1AGwAZQApACwAXABuACAAIAAgACAALwAvACAAIABQAHIAbwBjAGUAZAB1AHIAZQBcAG4AIAAgACAAIAAgACAAIAAgAFIAZQBzAHUAbAB0ACwAIAAgACAAIAAgACAAIAAgACAATQBBAEsARQBBAFIAUgBBAFkAKABSAE8AVwBTACgAQQBtAG8AcgB0AGkAcw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zACwAIABTAFUATQAoAEMASABPAE8AUwBFAFIATwBXAFMAKAAgAEEAbQBvAHIAdABpAHMAYQB0AGkAbwBuAFMAYwBoAGUAZAB1AGwAZQAsACAAUgApACkALABcAG4AIAAgACAAIAAgACAAIAAgACAAIAAgACAAIAAgACAAIAAgACAAIAAgACAAIAAgACAAIAAgACAAIAAgACAAIAAgACAAIAAgACAANAAsACAAUwBVAE0AKABDAEgATwBPAFMARQBSAE8AVwBTACgAIABBAG0AbwByAHQAaQBzAGEAdABpAG8AbgBTAGMAaABlAGQAdQBsAGUALAAgAFIAKQApACwAXABuACAAIAAgACAAIAAgACAAIAAgACAAIAAgACAAIAAgACAAIAAgACAAIAAgACAAIAAgACAAIAAgACAAIAAgACAAIAAgACAAIAAgADYALAAgAFMAVQBNACgAQwBIAE8ATwBTAEUAUgBPAFcAUwAoACAAQQBtAG8AcgB0AGkAcw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XABuAFwAbgAvAC8AIAAgAEQAZQBwAHIAZQBjAGkAYQB0AGkAbwBuACAAUwB1AGkAdABlAFwAbgBcAG4ALwAqACAAIABGAFUATgBDAFQASQBPAE4AIABOAEEATQBFADoAIAAgAEQAZQBwAHIAZQBjAGkAYQB0AGUAuwNcAG4AIAAgACAAIABEAEUAUwBDAFIASQBQAFQASQBPAE4AOgAqAC8ALwAqACoAQwByAGUAYQB0AGUAIABhACAAYgBsAG8AYwBrACAAbwBmACAAQwBBAFAARQBYACwAIABPAHAAZQBuAGkAbgBnACAAQgBhAGwAYQBuAGMAZQAsACAARABlAHAAcgBlAGMAaQBhAHQAaQBvAG4AIABWAGEAbAB1AGUAcwAsACAAYQBuAGQAIABCAG8AbwBrACAAVgBhAGwAdQBlACAAZgBvAHIAIABlAGEAYwBoACAAYQBzAHMAZQB0ACoALwBcAG4ARABlAHAAcgBlAGMAaQBhAHQAZQC7Ay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FwAbgAgACAAIAAgAFsARgBhAGMAdABvAHIAcwBdACwAXABuACAAIAAgACAATABFAFQAKABcAG4ALwAvACAAIABIAGUAbABwAFwAbgAgACAAIAAgACAAIAAgACAASABlAGwAcAAsACAAIAAgACAAIAAgACAAIAAgACAAIABUAFIASQBNACgAVABFAFgAVABTAFAATABJAFQAKAAgAFwAbgAgACAAIAAgACAAIAAgACAAIAAgACAAIAAgACAAIAAgACAAIAAgACAAIAAgACAAIAAgACAAIAAgAFwAIgBGAFUATgBDAFQASQBPAE4AOgAgACAAIAAgACAAIACSIUQAZQBwAHIAZQBjAGkAYQB0AGUAuwMoAEkAbgBpAHQAaQBhAGwAVgBhAGwAdQBlAHMALAAgAEkAbgBTAGUAcgB2AGkAYwBlAEQAYQB0AGUAcwAsACAATABpAGYAZQBJAG4AWQBlAGEAcgBzACwAIABUAGkAbQBlAGwAaQBuAGUALAAgALYAXAAiACAAJgBcAG4AIAAgACAAIAAgACAAIAAgACAAIAAgACAAIAAgACAAIAAgACAAIAAgACAAIAAgACAAIAAgACAAIABcACIAIAAgACAAIAAgACAAIAAgACAAIAAgACAAIAAgACAAkiFbAFMAYQBsAHYAYQBnAGUAVgBhAGwAdQBlAHMAXQAsACAAWwBEAGkAcwBwAG8AcwBhAGwARABhAHQAZQBzAF0ALAAgAFsARABpAHMAcABvAHMAYQBsAEMAbwBzAHQAcwBdACwAIABbAE0AZQB0AGgAbwBkAHMAXQAsACAAWwBGAGEAYwB0AG8AcgBzAF0AKQC2AFwAIgAgACYAXABuACAAIAAgACAAIAAgACAAIAAgACAAIAAgACAAIAAgACAAIAAgACAAIAAgACAAIAAgACAAIAAgACAAXAAiAEQARQBTAEMAUgBJAFAAVABJAE8ATgA6ACAAIAAgAJIhQwByAGUAYQB0AGUAcwAgAGEAbgAgAGEAcgByAGEAeQAgAG8AZgAgAEMAQQBQAEUAWAAsACAAZABlAHAAcgBlAGMAaQBhAHQAaQBvAG4ALAAgAGEAbgBkACAAYgBvAG8AawAgAHYAYQBsAHUAZQBzACAAZgBvAHIAIABhACAAbQBvAGQAZQBsACcAcwAgAHQAaQBtAGUAbABpAG4AZQC2AFwAIgAgACYAIABcAG4AIAAgACAAIAAgACAAIAAgACAAIAAgACAAIAAgACAAIAAgACAAIAAgACAAIAAgACAAIAAgACAAIABcACIAVwBFAEIAUABBAEcARQA6ACAAIAAgACAAIAAgACAAkiFoAHQAdABwAHMAOgAvAC8AZwBpAHQAaAB1AGIALgBjAG8AbQAvAHIAeQBhAG4AZAB1AGcAdQBpAGQALwBPAHoAegBpAHQAIAC2AFwAIgAgACYAIABcAG4AIAAgACAAIAAgACAAIAAgACAAIAAgACAAIAAgACAAIAAgACAAIAAgACAAIAAgACAAIAAgACAAIABcACIAVgBFAFIAUwBJAE8ATgA6ACAAIAAgACAAIAAgACAAkiEyADAAIABBAHUAZwAgADIAMAAyADYAtgBcACIAIAAmAFwAbgAgACAAIAAgACAAIAAgACAAIAAgACAAIAAgACAAIAAgACAAIAAgACAAIAAgACAAIAAgACAAIAAgAFwAIgBOAE8AVABFAFMAOgAgACAAIAAgACAAIAAgACAAIACSIVQAaABlACAAbQBlAHQAaABvAGQAcwAgAHUAcwBlAGQAIABoAGUAcgBlACAAZABpAGYAZgBlAHIAIABmAHIAbwBtACAARQB4AGMAZQBsACcAcwAgAGYAdQBuAGMAdABpAG8AbgBzACAAaQBuACAAcwBlAHYAZQByAGEAbAAgAHcAYQB5AHMALgAgAFAAbABlAGEAcwBlACAAcwBlAGUAIAB3AGUAYgBwAGEAZwBlACAAZgBvAHIAIABkAGUAdABhAGkAbABzAC4AtgBcACIAIAAmAFwAbgAgACAAIAAgACAAIAAgACAAIAAgACAAIAAgACAAIAAgACAAIAAgACAAIAAgACAAIAAgACAAIAAgAFwAIgBQAEEAUgBBAE0ARQBUAEUAUgBTADoAIAAgACAAIACSIbYAXAAiACAAJgAgAFwAbgAgACAAIAAgACAAIAAgACAAIAAgACAAIAAgACAAIAAgACAAIAAgACAAIAAgACAAIAAgACAAIAAgAFwAIgBJAG4AaQB0AGkAYQBsAFYAYQBsAHUAZQBzACAAIACSISgAUgBlAHEAdQBpAHIAZQBkACkAIABUAGgAZQAgAHAAdQByAGMAaABhAHMAZQAgAHYAYQBsAHUAZQBzACAAbwBmACAAZQBhAGMAaAAgAGEAcwBzAGUAdAAgAHQAbwAgAGQAZQBwAHIAZQBjAGkAYQB0AGUAtgBcACIAIAAmACAAXABuACAAIAAgACAAIAAgACAAIAAgACAAIAAgACAAIAAgACAAIAAgACAAIAAgACAAIAAgACAAIAAgACAAXAAiAEkAbgBTAGUAcgB2AGkAYwBlAEQAYQB0AGUAcwAgAJIhKABSAGUAcQB1AGkAcgBlAGQAKQAgAFQAaABlACAAZABhAHQAZQBzACAAZgByAG8AbQAgAHcAaABpAGMAaAAgAHQAbwAgAHMAdABhAHIAdAAgAGQAZQBwAHIAZQBjAGkAYQB0AGkAbgBnACAAZQBhAGMAaAAgAGEAcwBzAGUAdAC2AFwAIgAgACYAIABcAG4AIAAgACAAIAAgACAAIAAgACAAIAAgACAAIAAgACAAIAAgACAAIAAgACAAIAAgACAAIAAgACAAIABcACIATABpAGYAZQBJAG4AWQBlAGEAcgBzACAAIAAgACAAkiEoAFIAZQBxAHUAaQByAGUAZAApACAAVABoAGUAIAB3AGgAbwBsAGUAIABuAHUAbQBiAGUAcgAgAG8AZgAgAHkAZQBhAHIAcwAgAG8AdgBlAHIAIAB3AGgAaQBjAGgAIAB0AG8AIABkAGUAcAByAGUAYwBpAGEAdABlACAAZQBhAGMAaAAgAGEAcwBzAGUAdAAuALYAXAAiACAAJgAgAFwAbgAgACAAIAAgACAAIAAgACAAIAAgACAAIAAgACAAIAAgACAAIAAgACAAIAAgACAAIAAgACAAIAAgAFwAIgAgACAAIAAgACAAIAAgACAAIAAgACAAIAAgACAAIACSIU0AbwByAGUAIAB0AGgAYQBuACAAMAAgAGEAbgBkACAAbgBvACAAbQBvAHIAZQAgAHQAaABhAG4AIAAxADAAMAAuACAAQQAgAGQAYQB0AGUAIABoAGUAcgBlACAAaQBzACAAbgBvAHQAIABhACAAbABpAGYAZQA6ALYAXAAiACAAJgAgAFwAbgAgACAAIAAgACAAIAAgACAAIAAgACAAIAAgACAAIAAgACAAIAAgACAAIAAgACAAIAAgACAAIAAgAFwAIgAgACAAIAAgACAAIAAgACAAIAAgACAAIAAgACAAIACSIXQAaABlACAAYQByAGcAdQBtAGUAbgB0AHMAIAByAGUAYQBkACAASQBuAGkAdABpAGEAbABWAGEAbAB1AGUAcwAsACAASQBuAFMAZQByAHYAaQBjAGUARABhAHQAZQBzACwAIABMAGkAZgBlAEkAbgBZAGUAYQByAHMALAAgAFQAaQBtAGUAbABpAG4AZQAuALYAXAAiACAAJgAgAFwAbgAgACAAIAAgACAAIAAgACAAIAAgACAAIAAgACAAIAAgACAAIAAgACAAIAAgACAAIAAgACAAIAAgAFwAIgBUAGkAbQBlAGwAaQBuAGUAIAAgACAAIAAgACAAIACSISgAUgBlAHEAdQBpAHIAZQBkACkAIABUAGgAZQAgAG0AbwBkAGUAbAAnAHMAIAB0AGkAbQBlAGwAaQBuAGUAIABvAHIAIABhACAAcgBvAHcAIABvAGYAIABwAGUAcgBpAG8AZAAgAHMAdABhAHIAdAAgAGQAYQB0AGUAcwAuACAAtgBcACIAIAAmACAAXABuACAAIAAgACAAIAAgACAAIAAgACAAIAAgACAAIAAgACAAIAAgACAAIAAgACAAIAAgACAAIAAgACAAXAAiACAAIAAgACAAIAAgACAAIAAgACAAIAAgACAAIAAgAJIhVABpAG0AZQBsAGkAbgBlACAAYwBhAG4AIABiAGUAIABhAG4AeQAgAGkAbgB0AGUAcgB2AGEAbAA6ACAAZABhAHkAcwAsACAAdwBlAGUAawBzACwAIABtAG8AbgB0AGgAcwAsACAAcQB1AGEAcgB0AGUAcgBzACAAbwByACAAeQBlAGEAcgBzALYAXAAiACAAJgAgAFwAbgAgACAAIAAgACAAIAAgACAAIAAgACAAIAAgACAAIAAgACAAIAAgACAAIAAgACAAIAAgACAAIAAgAFwAIgBTAGEAbAB2AGEAZwBlAFYAYQBsAHUAZQ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EAGkAcwBwAG8AcwBhAGwARABhAHQAZQBzACAAIACSISgATwBwAHQAaQBvAG4AYQBsADoAIABEAGUAZgBhAHUAbAB0ACAAPQAgAEUAbgBkACAAbwBmACAAbABpAGYAZQApACAAVABoAGUAIABkAGEAdABlAHMAIABvAG4AIAB3AGgAaQBjAGgAIAB0AGgAZQAgAGEAcwBzAGUAdABzACAAYQByAGUAIAByAGUAbQBvAHYAZQBkACAAZgByAG8AbQAgAHQAaABlACAAYgBvAG8AawBzAC4AtgBcACIAIAAmACAAXABuACAAIAAgACAAIAAgACAAIAAgACAAIAAgACAAIAAgACAAIAAgACAAIAAgACAAIAAgACAAIAAgACAAIAAgACAAIAAgACAAIAAgACAAIAAgACAAIAAgACAAXAAiAJIhQQAgAGQAaQBzAHAAbwBzAGEAbAAgAGIAZQBmAG8AcgBlACAAdABoAGUAIABlAG4AZAAgAG8AZgAgAGwAaQBmAGUAIAB3AHIAaQB0AGUAcwAgAHQAaABlACAAcgBlAG0AYQBpAG4AaQBuAGcAIABiAG8AbwBrACAAdgBhAGwAdQBlACAAbwBmAGYAIABpAG4AIAB0AGgAYQB0ACAAbQBvAG4AdABoAC4AtgBcACIAIAAmACAAXABuACAAIAAgACAAIAAgACAAIAAgACAAIAAgACAAIAAgACAAIAAgACAAIAAgACAAIAAgACAAIAAgACAAXAAiAEQAaQBzAHAAbwBzAGEAbABDAG8AcwB0AHMAIAAgAJIhKABPAHAAdABpAG8AbgBhAGwAOgAgAEQAZQBmAGEAdQBsAHQAIAA9ACAAMAApACAAVABoAGUAIABjAG8AcwB0AHMAIABvAGYAIAByAGUAbQBvAHYAaQBuAGcAIABlAGEAYwBoACAAYQBzAHMAZQB0ACAAZgByAG8AbQAgAHQAaABlACAAYgBvAG8AawBzACwAIABjAGgAYQByAGcAZQBkACAAaQBuACAAdABoAGUAIABkAGkAcwBwAG8AcwBhAGwAIABwAGUAcgBpAG8AZAAuALYAXAAiACAAJgAgAFwAbgAgACAAIAAgACAAIAAgACAAIAAgACAAIAAgACAAIAAgACAAIAAgACAAIAAgACAAIAAgACAAIAAgAFwAIgBNAGUAdABoAG8AZABzACAAIAAgACAAIAAgACAAIACSISgATwBwAHQAaQBvAG4AYQBsADoAIABEAGUAZgBhAHUAbAB0ACAAPQAgAFMATABOACkAIABUAGgAZQAgAGQAZQBzAGkAcgBlAGQAIABkAGUAcAByAGUAYwBpAGEAdABpAG8AbgAgAG0AZQB0AGgAbwBkAC4AIABNAHUAcwB0ACAAYgBlACAAbwBuAGUAIABvAGYAIAB0AGgAZQBzAGUAIABtAGUAdABoAG8AZAAgAGMAbwBkAGUAcwA6ACAAtgBcACIAIAAmACAAXABuACAAIAAgACAAIAAgACAAIAAgACAAIAAgACAAIAAgACAAIAAgACAAIAAgACAAIAAgACAAIAAgACAAIAAgACAAIAAgACAAIAAgACAAIAAgACAAIAAgACAAXAAiAJIhUwBMAE4APQBTAHQAcgBhAGkAZwBoAHQAIABMAGkAbgBlACAARABlAHAAcgBlAGMAaQBhAHQAaQBvAG4AtgBcACIAIAAmACAAXABuACAAIAAgACAAIAAgACAAIAAgACAAIAAgACAAIAAgACAAIAAgACAAIAAgACAAIAAgACAAIAAgACAAIAAgACAAIAAgACAAIAAgACAAIAAgACAAIAAgACAAXAAiAJIhUwBZAEQAPQBTAHUAbQAgAG8AZgAgAFkAZQBhAHIAJwBzACAARABpAGcAaQB0AHMAtgBcACIAIAAmACAAXABuACAAIAAgACAAIAAgACAAIAAgACAAIAAgACAAIAAgACAAIAAgACAAIAAgACAAIAAgACAAIAAgACAAIAAgACAAIAAgACAAIAAgACAAIAAgACAAIAAgACAAXAAiAJIhRABCACAAPQBEAGUAYwBsAGkAbgBpAG4AZwAgAEIAYQBsAGEAbgBjAGUAtgBcACIAIAAmACAAXABuACAAIAAgACAAIAAgACAAIAAgACAAIAAgACAAIAAgACAAIAAgACAAIAAgACAAIAAgACAAIAAgACAAIAAgACAAIAAgACAAIAAgACAAIAAgACAAIAAgACAAXAAiAJIhRABEAEIAPQBEAG8AdQBiAGwAZQAgAEQAZQBjAGwAaQBuAGkAbgBnACAAQgBhAGwAYQBuAGMAZQC2AFwAIgAgACYAIABcAG4AIAAgACAAIAAgACAAIAAgACAAIAAgACAAIAAgACAAIAAgACAAIAAgACAAIAAgACAAIAAgACAAIAAgACAAIAAgACAAIAAgACAAIAAgACAAIAAgACAAIABcACIAkiFWAEQAQgA9AFYAYQByAGkAYQBiAGwAZQAgAEQAZQBjAGwAaQBuAGkAbgBnACAAQgBhAGwAYQBuAGMAZQC2AFwAIgAgACYAIABcAG4AIAAgACAAIAAgACAAIAAgACAAIAAgACAAIAAgACAAIAAgACAAIAAgACAAIAAgACAAIAAgACAAIAAgACAAIAAgACAAIAAgACAAIAAgACAAIAAgACAAIABcACIAkiFEAFYAIAA9AEQAaQBtAGkAbgBpAHMAaABpAG4AZwAgAGIAYQBsAGEAbgBjAGUAIABhAHQAIAAyADAAMAAlACAAbwBmACAAcwB0AHIAYQBpAGcAaAB0ACAAbABpAG4AZQAuACAAUwBhAGwAdgBhAGcAZQAgAHYAYQBsAHUAZQAgAGkAZwBuAG8AcgBlAGQAtgBcACIAIAAmACAAXABuACAAIAAgACAAIAAgACAAIAAgACAAIAAgACAAIAAgACAAIAAgACAAIAAgACAAIAAgACAAIAAgACAAIAAgACAAIAAgACAAIAAgACAAIAAgACAAIAAgACAAXAAiAJIhUABDACAAPQBTAHQAcgBhAGkAZwBoAHQAIABsAGkAbgBlACwAIAB3AGgAbwBsAGUAIAB5AGUAYQByAHMALgAgAFMAYQBsAHYAYQBnAGUAIAB2AGEAbAB1AGUAIABpAGcAbgBvAHIAZQBkALYAXAAiACAAJgAgAFwAbgAgACAAIAAgACAAIAAgACAAIAAgACAAIAAgACAAIAAgACAAIAAgACAAIAAgACAAIAAgACAAIAAgAFwAIgBGAGEAYwB0AG8AcgBzACAAIAAgACAAIAAgACAAIACSISgATwBwAHQAaQBvAG4AYQBsADoAIABEAGUAZgBhAHUAbAB0ACAAPQAgADIAKQAgAE8AbgBsAHkAIABhAHAAcABsAGkAYwBhAGIAbABlACAAdABvACAARABEAEIAIABhAG4AZAAgAFYARABCACAAbQBlAHQAaABvAGQAcwAu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JAG4AaQB0AGkAYQBsAFYAYQBsAHUAZQBzACkALABcAG4AIAAgACAAIAAgACAAIAAgACAAIAAgACAAIAAgACAAIAAgACAAIAAgACAAIAAgACAAIAAgACAAIABJAFMATwBNAEkAVABUAEUARAAoACAATABpAGYAZQBJAG4AWQBlAGEAcgBzACkALABcAG4AIAAgACAAIAAgACAAIAAgACAAIAAgACAAIAAgACAAIAAgACAAIAAgACAAIAAgACAAIAAgACAAIABJAFMATwBNAEkAVABUAEUARAAoACAASQBuAFMAZQByAHYAaQBjAGUARABhAHQAZQBzACkALABcAG4AIAAgACAAIAAgACAAIAAgACAAIAAgACAAIAAgACAAIAAgACAAIAAgACAAIAAgACAAIAAgACAAIABJAFMATwBNAEkAVABUAEUARAAoACAAVABpAG0AZQBsAGkAbgBlACkAXABuACAAIAAgACAAIAAgACAAIAAgACAAIAAgACAAIAAgACAAIAAgACAAIAAgACAAIAAgACkALABcAG4AIAAgACAAIAAvAC8AIAAgAFMAZQB0ACAAQwBvAG4AcwB0AGEAbgB0AHMAXABuACAAIAAgACAAIAAgACAAIABNAGUAdABoAG8AZABBAHIAcgBhAHkALAAgACAAIAAgAHsAXAAiAFMATABOAFwAIgAsAFwAIgBTAFkARABcACIALABcACIARABCAFwAIgAsAFwAIgBEAEQAQgBcACIALABcACIAVgBEAEIAXAAiACwAXAAiAEQAVgBcACIALABcACIAUABDAFwAIgB9ACwAXABuACAAIAAgACAAIAAgACAAIABNAHAAeQAsACAAIAAgACAAIAAgACAAIAAgACAAIAAgADEAMgAsACAALwAvAE0AbwBuAHQAaABzACAAUABlAHIAIABZAGUAYQByAFwAbgAgACAAIAAgAC8ALwAgACAAQwBoAGUAYwBrACAAaQBuAHAAdQB0AHMAIAAtACAAYQAgAGwAaQBmAGUAIABpAG4AIAB5AGUAYQByAHMAIABtAHUAcwB0ACAAYgBlACAAYQAgAGwAaQBmAGUALAAgAG4AbwB0ACAAYQAgAGQAYQB0AGUAXABuACAAIAAgACAAIAAgACAAIABMAGkAZgBlAEcAaQB2AGUAbgAsACAAIAAgACAAIAAgAEkARgAoACAASQBTAE8ATQBJAFQAVABFAEQAKAAgAEwAaQBmAGUASQBuAFkAZQBhAHIAcwApACwAIAAxACwAIABMAGkAZgBlAEkAbgBZAGUAYQByAHMAKQAsAFwAbgAgACAAIAAgACAAIAAgACAATABpAGYAZQBOAHUAbQBzACwAIAAgACAAIAAgACAAIABJAEYARQBSAFIATwBSACgAIABWAEEATABVAEUAKAAgAEwAaQBmAGUARwBpAHYAZQBuACkALAAgAC0AMQApACwAXABuACAAIAAgACAAIAAgACAAIABCAGEAZABMAGkAZgBlAD8ALAAgACAAIAAgACAAIAAgAE8AUgAoACAATQBJAE4AKAAgAEwAaQBmAGUATgB1AG0AcwApACAAPAA9ACAAMAAsACAATQBBAFgAKAAgAEwAaQBmAGUATgB1AG0AcwApACAAPgAgADEAMAAwACwAXABuACAAIAAgACAAIAAgACAAIAAgACAAIAAgACAAIAAgACAAIAAgACAAIAAgACAAIAAgACAAIAAgACAAUwBVAE0AUABSAE8ARABVAEMAVAAoACAALQAtACgAIABNAE8ARAAoACAATABpAGYAZQBOAHUAbQBzACwAIAAxACkAIAA8AD4AIAAwACkAKQAgAD4AIAAwACkALABcAG4AIAAgACAAIAAgACAAIAAgAEwAaQBmAGUATQBlAHMAcwBhAGcAZQAsACAAIAAgACAAXAAiAEwAaQBmAGUASQBuAFkAZQBhAHIAcwAgAG0AdQBzAHQAIABiAGUAIABhACAAdwBoAG8AbABlACAAbgB1AG0AYgBlAHIAIABvAGYAIAB5AGUAYQByAHMAIABnAHIAZQBhAHQAZQByACAAdABoAGEAbgAgADAAIABhAG4AZAAgAG4AbwAgAG0AbwByAGUAIAB0AGgAYQBuACAAMQAwADAALgAgAFwAIgBcAG4AIAAgACAAIAAgACAAIAAgACAAIAAgACAAIAAgACAAIAAgACAAIAAgACAAIAAgACAAJgAgAFwAIgBDAGgAZQBjAGsAIAB0AGgAZQAgAGEAcgBnAHUAbQBlAG4AdAAgAG8AcgBkAGUAcgA6ACAASQBuAGkAdABpAGEAbABWAGEAbAB1AGUAcwAsACAASQBuAFMAZQByAHYAaQBjAGUARABhAHQAZQBzACwAIABMAGkAZgBlAEkAbgBZAGUAYQByAHMALAAgAFQAaQBtAGUAbABpAG4AZQAuAFwAIgAsAFwAbgAgACAAIAAgAC8ALwAgACAAUwBlAHQAIABkAGUAZgBhAHUAbAB0AHMAIABhAG4AZAAgAGEAcABwAGwAeQAgAGMAbwBuAHYAZQBuAGkAZQBuAGMAZQAgAGMAbwBuAHYAZQByAHMAaQBvAG4AcwBcAG4AIAAgACAAIAAgACAAIAAgAFMAYQBsAHYAYQBnAGUAVgBhAGwAdQBlAHMALAAgACAASQBGACgAIABJAFMATwBNAEkAVABUAEUARAAoACAAUwBhAGwAdgBhAGcAZQBWAGEAbAB1AGUAcwApACwAIABcAG4AIAAgACAAIAAgACAAIAAgACAAIAAgACAAIAAgACAAIAAgACAAIAAgACAAIAAgACAAIAAgACAAIABNAEEAUAAoACAASQBuAGkAdABpAGEAbABWAGEAbAB1AGUAcwAsACAATABBAE0AQgBEAEEAKAAgAEUAbABlACwAIAAwACkAKQAsACAAXABuACAAIAAgACAAIAAgACAAIAAgACAAIAAgACAAIAAgACAAIAAgACAAIAAgACAAIAAgACAAIAAgACAATQBBAFAAKAAgAFMAYQBsAHYAYQBnAGUAVgBhAGwAdQBlAHMALAAgAEwAQQBNAEIARABBACgAdgAsACAASQBGAEUAUgBSAE8AUgAoACAAVgBBAEwAVQBFACgAIAB2ACkALAAgADAAKQApACkAKQAsAFwAbgAgACAAIAAgACAAIAAgACAAQwB2AHQAUwByAHYARABhAHQAZQBzACwAIAAgACAAIABJAEYAKAAgAE4ATwBUACgAIABJAFMATwBNAEkAVABUAEUARAAoACAASQBuAFMAZQByAHYAaQBjAGUARABhAHQAZQBzACkAKQAsACAAXABuACAAIAAgACAAIAAgACAAIAAgACAAIAAgACAAIAAgACAAIAAgACAAIAAgACAAIAAgACAAIAAgACAASQBGACgAIABJAFMATgBVAE0AQgBFAFIAKAAgAEkAbgBTAGUAcgB2AGkAYwBlAEQAYQB0AGUAcwApACwAIABcAG4AIAAgACAAIAAgACAAIAAgACAAIAAgACAAIAAgACAAIAAgACAAIAAgACAAIAAgACAAIAAgACAAIAAgACAAIAAgAEkAbgBTAGUAcgB2AGkAYwBlAEQAYQB0AGUAcwAsACAAXABuACAAIAAgACAAIAAgACAAIAAgACAAIAAgACAAIAAgACAAIAAgACAAIAAgACAAIAAgACAAIAAgACAAIAAgACAAIABEAEEAVABFAFYAQQBMAFUARQAoACAASQBuAFMAZQByAHYAaQBjAGUARABhAHQAZQBzACkAKQApACwAXABuACAAIAAgACAAIAAgACAAIABEAGkAcwBwAG8AcwBhAGwARABhAHQAZQBzACwAIAAgAEkARgAoACAASQBTAE8ATQBJAFQAVABFAEQAKAAgAEQAaQBzAHAAbwBzAGEAbABEAGEAdABlAHMAKQAsACAAXABuACAAIAAgACAAIAAgACAAIAAgACAAIAAgACAAIAAgACAAIAAgACAAIAAgACAAIAAgACAAIAAgACAARQBEAEEAVABFACgAIAArAEMAdgB0AFMAcgB2AEQAYQB0AGUAcwAsACAATABpAGYAZQBpAG4AWQBlAGEAcgBzACAAKgAgADEAMgApACwAIABcAG4AIAAgACAAIAAgACAAIAAgACAAIAAgACAAIAAgACAAIAAgACAAIAAgACAAIAAgACAAIAAgACAAIABNAEEASwBFAEEAUgBSAEEAWQAoACAAUgBPAFcAUwAoACAARABpAHMAcABvAHMAYQBsAEQAYQB0AGUAcwApACwAIAAxACwAIABcAG4AIAAgACAAIAAgACAAIAAgACAAIAAgACAAIAAgACAAIAAgACAAIAAgACAAIAAgACAAIAAgACAAIAAgACAAIAAgAEwAQQBNAEIARABBACgAUgAsACAAQwAsACAAXABuACAAIAAgACAAIAAgACAAIAAgACAAIAAgACAAIAAgACAAIAAgACAAIAAgACAAIAAgACAAIAAgACAAIAAgACAAIAAgACAAIAAgAEkARgAoACAASQBOAEQARQBYACgAIABEAGkAcwBwAG8AcwBhAGwARABhAHQAZQBzACwAIABSACkAIAAgAD0AIABcACIAXAAiACwAIABcAG4AIAAgACAAIAAgACAAIAAgACAAIAAgACAAIAAgACAAIAAgACAAIAAgACAAIAAgACAAIAAgACAAIAAgACAAIAAgACAAIAAgACAAIAAgACAAIABFAEQAQQBUAEUAKAAgAEkATgBEAEUAWAAoACAAQwB2AHQAUwByAHYARABhAHQAZQBzACwAIABSACkALAAgAEkATgBEAEUAWAAoAEwAaQBmAGUAaQBuAFkAZQBhAHIAcwAsACAAUgApACAAKgAgADEAMgApACwAIABcAG4AIAAgACAAIAAgACAAIAAgACAAIAAgACAAIAAgACAAIAAgACAAIAAgACAAIAAgACAAIAAgACAAIAAgACAAIAAgACAAIAAgACAAIAAgACAAIABJAE4ARABFAFgAKAAgAEQAaQBzAHAAbwBzAGEAbABEAGEAdABlAHMALAAgAFIAKQ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AAIAAgACAARABpAHMAcABvAHMAYQBsAEMAbwBzAHQAcwAsACAAIABJAEYAKAAgAEkAUwBPAE0ASQBUAFQARQBEACgAIABEAGkAcwBwAG8AcwBhAGwAQwBvAHMAdABzACkALAAgAFwAbgAgACAAIAAgACAAIAAgACAAIAAgACAAIAAgACAAIAAgACAAIAAgACAAIAAgACAAIAAgACAAIAAgAE0AQQBQACgAIABJAG4AaQB0AGkAYQBsAFYAYQBsAHUAZQBzACwAIABMAEEATQBCAEQAQQAoACAARQBsAGUALAAgADAAKQApACwAIABcAG4AIAAgACAAIAAgACAAIAAgACAAIAAgACAAIAAgACAAIAAgACAAIAAgACAAIAAgACAAIAAgACAAIABEAGkAcwBwAG8AcwBhAGwAQwBvAHMAdABzACkALABcAG4AIAAgACAAIAAgACAAIAAgAE0AZQB0AGgAbwBkAHMALAAgACAAIAAgACAAIAAgACAASQBGACgAIABJAFMATwBNAEkAVABUAEUARAAoACAATQBlAHQAaABvAGQAcwApACwAIABcAG4AIAAgACAAIAAgACAAIAAgACAAIAAgACAAIAAgACAAIAAgACAAIAAgACAAIAAgACAAIAAgACAAIABNAEEAUAAoACAASQBuAGkAdABpAGEAbABWAGEAbAB1AGUAcwAsACAATABBAE0AQgBEAEEAKAAgAEUAbABlACwAIABcACIAUwBMAE4AXAAiACkAKQAsACAAXABuACAAIAAgACAAIAAgACAAIAAgACAAIAAgACAAIAAgACAAIAAgACAAIAAgACAAIAAgACAAIAAgACAATQBBAFAAKAAgAE0AZQB0AGgAbwBkAHMALAAgAEwAQQBNAEIARABBACgAdgAsACAASQBGACgAIABUAFIASQBNACgAIAB2ACkAIAA9ACAAXAAiAFwAIgAsACAAXAAiAFMATABOAFwAIgAsACAAdgApACkAKQApACwAXABuACAAIAAgACAAIAAgACAAIABGAGEAYwB0AG8AcgBzACwAIAAgACAAIAAgACAAIAAgAEkARgAoACAASQBTAE8ATQBJAFQAVABFAEQAKAAgAEYAYQBjAHQAbwByAHMAKQAsACAAXABuACAAIAAgACAAIAAgACAAIAAgACAAIAAgACAAIAAgACAAIAAgACAAIAAgACAAIAAgACAAIAAgACAATQBBAFAAKAAgAEkAbgBpAHQAaQBhAGwAVgBhAGwAdQBlAHMALAAgAEwAQQBNAEIARABBACgAIABFAGwAZQAsACAAMgApACkALAAgAFwAbgAgACAAIAAgACAAIAAgACAAIAAgACAAIAAgACAAIAAgACAAIAAgACAAIAAgACAAIAAgACAAIAAgAE0AQQBQACgAIABGAGEAYwB0AG8AcgBzACwAIABMAEEATQBCAEQAQQAoAHYALAAgAEkARgAoACAAVABSAEkATQAoACAAdgApACAAPQAgAFwAIgBcACIALAAgADIALAAgAHYAKQApACkAKQAsAFwAbgAgACAAIAAgAC8ALwAgACAAQwByAGUAYQB0AGUAIABpAG4AZABpAHYAaQBkAHUAYQBsACAAVgBhAGwAdQBlAHMAIABmAHIAbwBtACAAdABpAG0AZQBsAGkAbgBlACAAYQByAHIAYQB5AFwAbgAgACAAIAAgACAAIAAgACAAVABpAG0AZQBsAGkAbgBlAEMAbwBsAHMALAAgACAAIABDAE8ATABVAE0ATgBTACgAIABUAEkAbQBlAGwAaQBuAGUAKQAsAFwAbgAgACAAIAAgACAAIAAgACAARgBpAHIAcwB0AFAAZQByAGkAbwBkACwAIAAgACAAIABJAE4ARABFAFgAKAAgAFQAaQBtAGUAbABpAG4AZQAsACAAMQApACwAXABuACAAIAAgACAAIAAgACAAIABTAGUAYwBvAG4AZABQAGUAcgBpAG8AZAAsACAAIAAgAEkATgBEAEUAWAAoACAAVABJAG0AZQBsAGkAbgBlACwAIAAyACkALABcAG4AIAAgACAAIAAgACAAIAAgAEQAcABQACwAIAAgACAAIAAgACAAIAAgACAAIAAgACAAUwBlAGMAbwBuAGQAUABlAHIAaQBvAGQAIAAtACAARgBpAHIAcwB0AFAAZQByAGkAbwBkACwAIAAgACAAIAAgACAAIAAgACAAIAAgACAAIAAgACAAIAAgACAAIAAgACAAIAAvAC8ARABhAHkAcwAgAFAAZQByACAAUABlAHIAaQBvAGQAXABuACAAIAAgACAAIAAgACAAIABTAHUAYgBNAG8AbgB0AGgAbAB5AD8ALAAgACAAIAAgAEQAcABQACAAPAAgADIAOAAsACAAIAAgACAAIAAgACAAIAAgACAAIAAgACAAIAAgACAAIAAgACAAIAAgACAAIAAgACAAIAAgACAAIAAgACAAIAAgACAAIAAgACAAIAAgACAALwAvAE4AbwAgAG0AbwBuAHQAaAAgAGkAcwAgAHMAaABvAHIAdABlAHIAXABuACAAIAAgACAAIAAgACAAIABNAHAAUAAsACAAIAAgACAAIAAgACAAIAAgACAAIAAgAE0AQQBYACgAIABAAFIATwBVAE4ARAAoACAARABwAFAAIAAvACAAMwAwAC4ANQAsACAAMAApACwAIAAxACkALAAgACAAIAAgACAAIAAgACAAIAAgACAAIAAgACAAIAAgACAALwAvAE0AbwBuAHQAaABzACAAUABlAHIAIABQAGUAcgBpAG8AZAAsACAAbgBlAHYAZQByACAAbgBvAHUAZwBoAHQAXABuACAAIAAgACAALwAvACAAIABUAGgAZQAgAGwAYQBzAHQAIABwAGUAcgBpAG8AZAAgAGgAYQBzACAAbgBvACAAcwB1AGMAYwBlAHMAcwBvAHIAIAB0AG8AIAB0AGEAawBlACAAaQB0AHMAIABlAG4AZAAgAGQAYQB0AGUAIABmAHIAbwBtACwAIABzAG8AIABpAHQAIABlAG4AZABzACAAbwBuAGUAIABwAGUAcgBpAG8AZABcAG4AIAAgACAAIAAvAC8AIAAgAG8AbgAgAGYAcgBvAG0AIABpAHQAcwAgAG8AdwBuACAAcwB0AGEAcgB0ADoAIABhACAAdwBoAG8AbABlACAAbgB1AG0AYgBlAHIAIABvAGYAIABtAG8AbgB0AGgAcwAgAHcAaABlAHIAZQAgAHQAaABlACAAdABpAG0AZQBsAGkAbgBlACAAaQBzACAAbQBvAG4AdABoAGwAeQAgAG8AcgBcAG4AIAAgACAAIAAvAC8AIAAgAGwAbwBuAGcAZQByACwAIAB0AGgAZQAgAHMAYQBtAGUAIABuAHUAbQBiAGUAcgAgAG8AZgAgAGQAYQB5AHMAIABhAHMAIABlAHYAZQByAHkAIABvAHQAaABlAHIAIABwAGUAcgBpAG8AZAAgAHcAaABlAHIAZQAgAGkAdAAgAGkAcwAgAHMAaABvAHIAdABlAHIALgBcAG4AIAAgACAAIAAvAC8AIAAgAEEAIABtAG8AbgB0AGgALQBlAG4AZAAgAHMAdABhAHIAdAAgAHMAdABlAHAAcwAgAGYAbwByAHcAYQByAGQAIAB0AGgAcgBvAHUAZwBoACAARQBPAE0ATwBOAFQASAAsACAAYgBlAGMAYQB1AHMAZQAgAEUARABBAFQARQAoADIAOAAgAEYAZQBiACwAIAAxACkAIABpAHMAXABuACAAIAAgACAALwAvACAAIAAyADgAIABNAGEAcgAsACAAbgBvAHQAIAAzADEAIABNAGEAcgAsACAAYQBuAGQAIAB0AGgAZQAgAHQAaAByAGUAZQAgAGQAYQB5AHMAIABiAGUAdAB3AGUAZQBuACAAZgBhAGwAbAAgAG8AdQB0ACAAbwBmACAAdABoAGUAIABzAGMAaABlAGQAdQBsAGUALgAgAFQAaABpAHMAIABpAHMAXABuACAAIAAgACAALwAvACAAIAB0AGgAZQAgAHMAdABlAHAAIABEAGEAeQBDAG8AdQBuAHQAUgBhAHQAZQC7AygAKQAgAGEAbAByAGUAYQBkAHkAIAB0AGEAawBlAHMAIABmAG8AcgAgAGkAdABzACAAbwB3AG4AIABsAGEAcwB0ACAAcABlAHIAaQBvAGQALgBcAG4AIAAgACAAIAAgACAAIAAgAEwAYQBzAHQARwBhAHAALAAgACAAIAAgACAAIAAgACAATQBBAFgAKAAgAFQAaQBtAGUAbABpAG4AZQApACAALQAgAEkATgBEAEUAWAAoACAAVABpAG0AZQBsAGkAbgBlACwAIABUAGkAbQBlAGwAaQBuAGUAQwBvAGwAcwAgAC0AIAAxACkALABcAG4AIAAgACAAIAAgACAAIAAgAEwAYQBzAHQARABhAHQAZQAsACAAIAAgACAAIAAgACAATQBBAFgAKAAgAFQAaQBtAGUAbABpAG4AZQApACwAXABuACAAIAAgACAAIAAgACAAIABMAGEAcwB0AEUAbgBkACwAIAAgACAAIAAgACAAIAAgAEkARgAoACAAUwB1AGIATQBvAG4AdABoAGwAeQA/ACwAXABuACAAIAAgACAAIAAgACAAIAAgACAAIAAgACAAIAAgACAAIAAgACAAIAAgACAAIAAgACAAIAAgACAATABhAHMAdABEAGEAdABlACAAKwAgAEwAYQBzAHQARwBhAHAALABcAG4AIAAgACAAIAAgACAAIAAgACAAIAAgACAAIAAgACAAIAAgACAAIAAgACAAIAAgACAAIAAgACAAIABJAEYAKAAgAEQAQQBZACgAIABMAGEAcwB0AEQAYQB0AGUAIAArACAAMQApACAAPQAgADEALABcAG4AIAAgACAAIAAgACAAIAAgACAAIAAgACAAIAAgACAAIAAgACAAIAAgACAAIAAgACAAIAAgACAAIAAgACAAIAAgAEUATwBNAE8ATgBUAEgAKAAgAEwAYQBzAHQARABhAHQAZQAsACAATQBwAFAAKQAsAFwAbgAgACAAIAAgACAAIAAgACAAIAAgACAAIAAgACAAIAAgACAAIAAgACAAIAAgACAAIAAgACAAIAAgACAAIAAgACAARQBEAEEAVABFACgAIABMAGEAcwB0AEQAYQB0AGUALAAgAE0AcABQACkAKQApACAALQAgADEALABcAG4AIAAgACAAIAAgACAAIAAgAEUAbgBkAEQAYQB0AGUAcwAsACAAIAAgACAAIAAgACAASABTAFQAQQBDAEsAKAAgAE0AQQBQACgAIAAgAFMARQBRAFUARQBOAEMARQAoACwAIABUAGkAbQBlAGwAaQBuAGUAQwBvAGwAcwAgAC0AIAAxACkALAAgAEwAQQBNAEIARABBACgAIABuACwAIABJAE4ARABFAFgAKAAgAFQAaQBtAGUAbABpAG4AZQAsACAAbgAgACsAIAAxACkAIAAtACAAMQApACkALAAgAEwAYQBzAHQARQBuAGQAKQAsAFwAbgAgACAAIAAgAC8ALwAgACAAUAByAG8AYwBlAHMAcwAgAGUAYQBjAGgAIABhAHMAcwBlAHQAXABuACAAIAAgACAAIAAgACAAIABSAGUAcwB1AGwAdAAsACAAIAAgACAAIAAgACAAIAAgAFIARQBEAFUAQwBFACgAIAAwACwAIABTAEUAUQBVAEUATgBDAEUAKAAgAFIATwBXAFMAKAAgAEkAbgBpAHQAaQBhAGwAVgBhAGwAdQBlAHMAKQApACwAIABcAG4AIAAgACAAIAAgACAAIAAgACAAIAAgACAAIAAgACAAIAAgACAAIAAgACAAIAAgACAAIAAgACAAIABMAEEATQBCAEQAQQAoAEIAbABvAGMAawAsACAAQQBzAHMAZQB0ACwAIABcAG4AIAAgACAAIAAgACAAIAAgACAAIAAgACAAIAAgACAAIAAgACAAIAAgACAAIAAgACAAIAAgACAAIAAgACAAIAAgAEwARQBUACgAIABcAG4AIAAgACAAIAAgACAAIAAgACAAIAAgACAAIAAgACAAIAAgACAAIAAgACAAIAAgACAAIAAgACAAIAAgACAAIAAgAC8ALwAgACAAQwByAGUAYQB0AGUAIABpAG4AZABpAHYAaQBkAHUAYQBsACAAdgBhAGwAdQBlAHMAIABmAHIAbwBtACAAYQByAGcAdQBtAGUAbgB0AHMAXABuACAAIAAgACAAIAAgACAAIAAgACAAIAAgACAAIAAgACAAIAAgACAAIAAgACAAIAAgACAAIAAgACAAIAAgACAAIAAgACAAIAAgAE0AZQB0AGgAbwBkACwAIAAgACAAIAAgACAAIAAgACAAQABJAE4ARABFAFgAKAAgAE0AZQB0AGgAbwBkAHMALAAgAEEAcwBzAGUAdAApACwAXABuACAAIAAgACAAIAAgACAAIAAgACAAIAAgACAAIAAgACAAIAAgACAAIAAgACAAIAAgACAAIAAgACAAIAAgACAAIAAgACAAIAAgAFkAZQBhAHIAcwAsACAAIAAgACAAIAAgACAAIAAgACAASQBGACgAIABCAGEAZABMAGkAZgBlAD8ALAAgADEALAAgAEAASQBOAEQARQBYACgAIABMAGkAZgBlAEkAbgBZAGUAYQByAHMALAAgAEEAcwBzAGUAdAApACkALABcAG4AIAAgACAAIAAgACAAIAAgACAAIAAgACAAIAAgACAAIAAgACAAIAAgACAAIAAgACAAIAAgACAAIAAgACAAIAAgACAAIAAgACAASQBuAGkAdABpAGEAbABWAGEAbAB1AGUALAAgACAAIABAAEkATgBEAEUAWAAoACAASQBuAGkAdABpAGEAbABWAGEAbAB1AGUAcwAsACAAQQBzAHMAZQB0ACkALAAgAFwAbgAgACAAIAAgACAAIAAgACAAIAAgACAAIAAgACAAIAAgACAAIAAgACAAIAAgACAAIAAgACAAIAAgACAAIAAgACAAIAAgACAAIABTAGEAbAB2AGEAZwBlAFYAYQBsAHUAZQAsACAAIAAgAEkARgAoACAATwBSACgAIABNAGUAdABoAG8AZAAgAD0AIABcACIARABWAFwAIgAsACAATQBlAHQAaABvAGQAIAA9ACAAXAAiAFAAQwBcACIAKQAsACAAMAAsACAAQABJAE4ARABFAFgAKAAgAFMAYQBsAHYAYQBnAGUAVgBhAGwAdQBlAHMALAAgAEEAcwBzAGUAdAApACkALAAgAFwAbgAgACAAIAAgACAAIAAgACAAIAAgACAAIAAgACAAIAAgACAAIAAgACAAIAAgACAAIAAgACAAIAAgACAAIAAgACAAIAAgACAAIABJAG4AUwBlAHIAdgBpAGMAZQBEAGEAdABlACwAIAAgAEAASQBOAEQARQBYACgAIABDAHYAdABTAHIAdgBEAGEAdABlAHMALAAgAEEAcwBzAGUAdAApACwAIABcAG4AIAAgACAAIAAgACAAIAAgACAAIAAgACAAIAAgACAAIAAgACAAIAAgACAAIAAgACAAIAAgACAAIAAgACAAIAAgACAAIAAgACAARABpAHMAcABvAHMAYQBsAEQAYQB0AGUALAAgACAAIABAAEkATgBEAEUAWAAoACAARABpAHMAcABvAHMAYQBsAEQAYQB0AGUAcwAsACAAQQBzAHMAZQB0ACkALAAgAFwAbgAgACAAIAAgACAAIAAgACAAIAAgACAAIAAgACAAIAAgACAAIAAgACAAIAAgACAAIAAgACAAIAAgACAAIAAgACAAIAAgACAAIABEAGkAcwBwAG8AcwBhAGwAQwBvAHMAdAAsACAAIAAgAEAASQBOAEQARQBYACgAIABEAGkAcwBwAG8AcwBhAGwAQwBvAHMAdABzACwAIABBAHMAcwBlAHQAKQAsACAAXABuACAAIAAgACAAIAAgACAAIAAgACAAIAAgACAAIAAgACAAIAAgACAAIAAgACAAIAAgACAAIAAgACAAIAAgACAAIAAgACAAIAAgAEYAYQBjAHQAbwByACwAIAAgACAAIAAgACAAIAAgACAAQABJAE4ARABFAFgAKAAgAEYAYQBjAHQAbwByAHMALAAgAEEAcwBzAGUAdAApACwAXABuACAAIAAgACAAIAAgACAAIAAgACAAIAAgACAAIAAgACAAIAAgACAAIAAgACAAIAAgACAAIAAgACAAIAAgACAAIAAgACAAIAAgAEwAaQBmAGUASQBuAE0AbwBuAHQAaABzACwAIAAgACAAUABlAHIAaQBvAGQARABpAGYAZgC7AygAIABJAG4AcwBlAHIAdgBpAGMAZQBEAGEAdABlACwAIABEAGkAcwBwAG8AcwBhAGwARABhAHQAZQAsACAAXAAiAE0AXAAiACkALABcAG4AIAAgACAAIAAgACAAIAAgACAAIAAgACAAIAAgACAAIAAgACAAIAAgACAAIAAgACAAIAAgACAAIAAgACAAIAAgAC8ALwAgACAAUAByAG8AYwBlAGQAdQByAGUAXABuACAAIAAgACAAIAAgACAAIAAgACAAIAAgACAAIAAgACAAIAAgACAAIAAgACAAIAAgACAAIAAgACAAIAAgACAAIAAvAC8AIAAgAEQAZQBwAHIAZQBjAGkAYQB0AGkAbwBuACAAaQBzACAAYwBhAGwAYwB1AGwAYQB0AGUAZAAgAGEAbgBuAHUAYQBsAGwAeQAgAHQAaABlAG4AIABhAGwAbABvAGMAYQB0AGUAZAAgAGUAcQB1AGEAbABsAHkAIABvAHYAZQByACAAdABoAGUAIABuAGUAeAB0ACAAMQAyACAAbQBvAG4AdABoAHMAXABuACAAIAAgACAAIAAgACAAIAAgACAAIAAgACAAIAAgACAAIAAgACAAIAAgACAAIAAgACAAIAAgACAAIAAgACAAIAAgACAAIAAgAEQAZQBwAHIAZQBjAGkAYQB0AGUALAAgACAAIAAgACAAQwBIAE8ATwBTAEUAKAAgAE0AQQBUAEMASAAoACAAQABNAGUAdABoAG8AZAAsACAATQBlAHQAaABvAGQAQQByAHIAYQB5ACwAIAAwACkALAAgAC8ALwBDAEgATwBPAFMARQAgAGkAcwAgAG0AbwByAGUAIABlAGYAZgBpAGMAaQBlAG4AdAAgAHQAaABhAG4AIABTAFcASQBUAEMASABcAG4AIAAgACAAIAAgACAAIAAgACAAIAAgACAAIAAgACAAIAAgACAAIAAgACAAIAAgACAAIAAgACAAIAAgACAAIAAgACAAIAAgACAAIAAgACAAIAAgACAAIAAgACAAIAAgACAAIAAgACAAIAAvAC8AIAAgADEALgAgAFMAdAByAGEAaQBnAGgAdAAgAGwAaQBuAGUAIABcAG4AIAAgACAAIAAgACAAIAAgACAAIAAgACAAIAAgACAAIAAgACAAIAAgACAAIAAgACAAIAAgACAAIAAgACAAIAAgACAAIAAgACAAIAAgACAAIAAgACAAIAAgACAAIAAgACAAIAAgACAAIAAgACAAIAAgAFMATABOALsDKAAgAEkAbgBpAHQAaQBhAGwAVgBhAGwAdQBlACwAIABTAGEAbAB2AGEAZwBlAFYAYQBsAHUAZQAsACAAWQBlAGEAcgBzACkALAAgAFwAbgAgACAAIAAgACAAIAAgACAAIAAgACAAIAAgACAAIAAgACAAIAAgACAAIAAgACAAIAAgACAAIAAgACAAIAAgACAAIAAgACAAIAAgACAAIAAgACAAIAAgACAAIAAgACAAIAAgACAAIAAgAC8ALwAgACAAMgAuACAAUwB1AG0ALQBvAGYALQB5AGUAYQByAHMAJwAgAGQAaQBnAGkAdABzAFwAbgAgACAAIAAgACAAIAAgACAAIAAgACAAIAAgACAAIAAgACAAIAAgACAAIAAgACAAIAAgACAAIAAgACAAIAAgACAAIAAgACAAIAAgACAAIAAgACAAIAAgACAAIAAgACAAIAAgACAAIAAgACAAIAAgACAAUwBZAEQAuwMoACAASQBuAGkAdABpAGEAbABWAGEAbAB1AGUALAAgAFMAYQBsAHYAYQBnAGUAVgBhAGwAdQBlACwAIABZAGUAYQByAHMAKQAsAFwAbgAgACAAIAAgACAAIAAgACAAIAAgACAAIAAgACAAIAAgACAAIAAgACAAIAAgACAAIAAgACAAIAAgACAAIAAgACAAIAAgACAAIAAgACAAIAAgACAAIAAgACAAIAAgACAAIAAgACAAIAAgAC8ALwAgACAAMwAuACAARABlAGMAbABpAG4AaQBuAGcAIABiAGEAbABhAG4AYwBlAFwAbgAgACAAIAAgACAAIAAgACAAIAAgACAAIAAgACAAIAAgACAAIAAgACAAIAAgACAAIAAgACAAIAAgACAAIAAgACAAIAAgACAAIAAgACAAIAAgACAAIAAgACAAIAAgACAAIAAgACAAIAAgACAAIAAgACAARABCALsDKAAgAEkAbgBpAHQAaQBhAGwAVgBhAGwAdQBlACwAIABTAGEAbAB2AGEAZwBlAFYAYQBsAHUAZQAsACAAWQBlAGEAcgBzACkALABcAG4AIAAgACAAIAAgACAAIAAgACAAIAAgACAAIAAgACAAIAAgACAAIAAgACAAIAAgACAAIAAgACAAIAAgACAAIAAgACAAIAAgACAAIAAgACAAIAAgACAAIAAgACAAIAAgACAAIAAgACAAIAAvAC8AIAAgADQALgAgAEQAbwB1AGIAbABlACAAZABlAGMAbABpAG4AaQBuAGcAIABiAGEAbABhAG4AYwBlACAAXABuACAAIAAgACAAIAAgACAAIAAgACAAIAAgACAAIAAgACAAIAAgACAAIAAgACAAIAAgACAAIAAgACAAIAAgACAAIAAgACAAIAAgACAAIAAgACAAIAAgACAAIAAgACAAIAAgACAAIAAgACAAIAAgACAAIABEAEQAQgC7AygAIABJAG4AaQB0AGkAYQBsAFYAYQBsAHUAZQAsACAAUwBhAGwAdgBhAGcAZQBWAGEAbAB1AGUALAAgAFkAZQBhAHIAcwAsACAARgBhAGMAdABvAHIAKQAsAFwAbgAgACAAIAAgACAAIAAgACAAIAAgACAAIAAgACAAIAAgACAAIAAgACAAIAAgACAAIAAgACAAIAAgACAAIAAgACAAIAAgACAAIAAgACAAIAAgACAAIAAgACAAIAAgACAAIAAgACAAIAAgAC8ALwAgACAANQAuACAAVgBhAHIAaQBhAGIAbABlACAAZABlAGMAbABpAG4AaQBuAGcAIABiAGEAbABhAG4AYwBlACAAXABuACAAIAAgACAAIAAgACAAIAAgACAAIAAgACAAIAAgACAAIAAgACAAIAAgACAAIAAgACAAIAAgACAAIAAgACAAIAAgACAAIAAgACAAIAAgACAAIAAgACAAIAAgACAAIAAgACAAIAAgACAAIAAgACAAIABWAEQAQgC7AygAIABJAG4AaQB0AGkAYQBsAFYAYQBsAHUAZQAsACAAUwBhAGwAdgBhAGcAZQBWAGEAbAB1AGUALAAgAFkAZQBhAHIAcwAsACAARgBhAGMAdABvAHIAKQAsACAAXABuACAAIAAgACAAIAAgACAAIAAgACAAIAAgACAAIAAgACAAIAAgACAAIAAgACAAIAAgACAAIAAgACAAIAAgACAAIAAgACAAIAAgACAAIAAgACAAIAAgACAAIAAgACAAIAAgACAAIAAgACAALwAvACAAIAA2AC4AIABEAGkAbQBpAG4AaQBzAGgAaQBuAGcAIABiAGEAbABhAG4AYwBlACAAYQB0ACAAMgAwADAAJQAgAG8AZgAgAHMAdAByAGEAaQBnAGgAdAAgAGwAaQBuAGUAXABuACAAIAAgACAAIAAgACAAIAAgACAAIAAgACAAIAAgACAAIAAgACAAIAAgACAAIAAgACAAIAAgACAAIAAgACAAIAAgACAAIAAgACAAIAAgACAAIAAgACAAIAAgACAAIAAgACAAIAAgACAAIAAgACAAIABEAGkAbQBpAG4AaQBzAGgAaQBuAGcAVgBhAGwAdQBlALsDKAAgAEkAbgBpAHQAaQBhAGwAVgBhAGwAdQBlACwAIABZAGUAYQByAHMAKQAsAFwAbgAgACAAIAAgACAAIAAgACAAIAAgACAAIAAgACAAIAAgACAAIAAgACAAIAAgACAAIAAgACAAIAAgACAAIAAgACAAIAAgACAAIAAgACAAIAAgACAAIAAgACAAIAAgACAAIAAgACAAIAAgAC8ALwAgACAANwAuACAAUwB0AHIAYQBpAGcAaAB0ACAAbABpAG4AZQAsACAAdwBoAG8AbABlACAAeQBlAGEAcgBzAFwAbgAgACAAIAAgACAAIAAgACAAIAAgACAAIAAgACAAIAAgACAAIAAgACAAIAAgACAAIAAgACAAIAAgACAAIAAgACAAIAAgACAAIAAgACAAIAAgACAAIAAgACAAIAAgACAAIAAgACAAIAAgACAAIAAgACAAUAByAGkAbQBlAEMAbwBzAHQAuwMoACAASQBuAGkAdABpAGEAbABWAGEAbAB1AGUALAAgAFkAZQBhAHIAcwApACwAXABuACAAIAAgACAAIAAgACAAIAAgACAAIAAgACAAIAAgACAAIAAgACAAIAAgACAAIAAgACAAIAAgACAAIAAgACAAIAAgACAAIAAgACAAIAAgACAAIAAgACAAIAAgACAAIAAgACAAIAAgACAAKQAsAFwAbgAgACAAIAAgACAAIAAgACAAIAAgACAAIAAgACAAIAAgACAAIAAgACAAIAAgACAAIAAgACAAIAAgACAAIAAgACAALwAvACAAIABBAGwAbABvAGMAYQB0AGkAbgBnACAAYQBuAG4AdQBhAGwAIAB2AGEAbAB1AGUAcwAgAHQAbwAgAG0AbwBuAHQAaABzAC4AIABUAGgAZQAgAGEAcwBzAGUAdAAnAHMAIABtAG8AbgB0AGgAcwAgAHIAdQBuACAAdABvACAAaQB0AHMAIABkAGkAcwBwAG8AcwBhAGwAOgBcAG4AIAAgACAAIAAgACAAIAAgACAAIAAgACAAIAAgACAAIAAgACAAIAAgACAAIAAgACAAIAAgACAAIAAgACAAIAAgAC8ALwAgACAAYQAgAGQAaQBzAHAAbwBzAGEAbAAgAGEAZgB0AGUAcgAgAHQAaABlACAAZQBuAGQAIABvAGYAIABsAGkAZgBlACAAcABhAGQAcwAgAHQAaABlACAAdABhAGkAbAAgAHcAaQB0AGgAIABuAG8AdQBnAGgAdAAgAGEAbgBkACAAdwByAGkAdABlAHMAIAB0AGgAZQBcAG4AIAAgACAAIAAgACAAIAAgACAAIAAgACAAIAAgACAAIAAgACAAIAAgACAAIAAgACAAIAAgACAAIAAgACAAIAAgAC8ALwAgACAAcwBhAGwAdgBhAGcAZQAgAHYAYQBsAHUAZQAgAG8AZgBmACAAaQBuACAAdABoAGUAIABsAGEAcwB0ACAAbQBvAG4AdABoADsAIABhACAAZABpAHMAcABvAHMAYQBsACAAYgBlAGYAbwByAGUAIAB0AGgAZQAgAGUAbgBkACAAbwBmACAAbABpAGYAZQAgAHMAdABvAHAAcwBcAG4AIAAgACAAIAAgACAAIAAgACAAIAAgACAAIAAgACAAIAAgACAAIAAgACAAIAAgACAAIAAgACAAIAAgACAAIAAgAC8ALwAgACAAdABoAGUAIABzAGMAaABlAGQAdQBsAGUAIAB0AGgAZQByAGUAIABhAG4AZAAgAHcAcgBpAHQAZQBzACAAdABoAGUAIAByAGUAbQBhAGkAbgBpAG4AZwAgAGIAbwBvAGsAIAB2AGEAbAB1AGUAIABvAGYAZgAgAGkAbgBzAHQAZQBhAGQALgBcAG4AIAAgACAAIAAgACAAIAAgACAAIAAgACAAIAAgACAAIAAgACAAIAAgACAAIAAgACAAIAAgACAAIAAgACAAIAAgACAAIAAgACAATQBvAG4AdABoAGwAeQAsACAAIAAgACAAIAAgACAAIABBAGwAbABvAGMAYQB0AGUAuwMoACAARABlAHAAcgBlAGMAaQBhAHQAZQAsACAAXAAiAFkAXAAiACwAIABcACIATQBcACIAKQAsAFwAbgAgACAAIAAgACAAIAAgACAAIAAgACAAIAAgACAAIAAgACAAIAAgACAAIAAgACAAIAAgACAAIAAgACAAIAAgACAAIAAgACAAIABNAG8AbgB0AGgAcwAsACAAIAAgACAAIAAgACAAIAAgAEwAaQBmAGUASQBuAE0AbwBuAHQAaABzACAALQAgADEALABcAG4AIAAgACAAIAAgACAAIAAgACAAIAAgACAAIAAgACAAIAAgACAAIAAgACAAIAAgACAAIAAgACAAIAAgACAAIAAgACAAIAAgACAAQQBsAGwAbwBjAGEAdABlACwAIAAgACAAIAAgACAAIABJAEYAKAAgAE0AbwBuAHQAaABzACAAPAAgADEALABcAG4AIAAgACAAIAAgACAAIAAgACAAIAAgACAAIAAgACAAIAAgACAAIAAgACAAIAAgACAAIAAgACAAIAAgACAAIAAgACAAIAAgACAAIAAgACAAIAAgACAAIAAgACAAIAAgACAAIAAgACAAIAAgACAAIAAgAEkAbgBpAHQAaQBhAGwAVgBhAGwAdQBlACwAXABuACAAIAAgACAAIAAgACAAIAAgACAAIAAgACAAIAAgACAAIAAgACAAIAAgACAAIAAgACAAIAAgACAAIAAgACAAIAAgACAAIAAgACAAIAAgACAAIAAgACAAIAAgACAAIAAgACAAIAAgACAAIAAgACAAIABJAEYAKAAgAE0AbwBuAHQAaABzACAAPgA9ACAAQwBPAEwAVQBNAE4AUwAoACAATQBvAG4AdABoAGwAeQApACwAXABuACAAIAAgACAAIAAgACAAIAAgACAAIAAgACAAIAAgACAAIAAgACAAIAAgACAAIAAgACAAIAAgACAAIAAgACAAIAAgACAAIAAgACAAIAAgACAAIAAgACAAIAAgACAAIAAgACAAIAAgACAAIAAgACAAIAAgACAAIAAgAEgAUwBUAEEAQwBLACgAIABFAFgAUABBAE4ARAAoACAATQBvAG4AdABoAGwAeQAsACAAMQAsACAATQBvAG4AdABoAHMALAAgADAAKQAsACAAUwBhAGwAdgBhAGcAZQBWAGEAbAB1AGUAKQAsAFwAbgAgACAAIAAgACAAIAAgACAAIAAgACAAIAAgACAAIAAgACAAIAAgACAAIAAgACAAIAAgACAAIAAgACAAIAAgACAAIAAgACAAIAAgACAAIAAgACAAIAAgACAAIAAgACAAIAAgACAAIAAgACAAIAAgACAAIAAgACAAIABIAFMAVABBAEMASwAoACAAVABBAEsARQAoACAATQBvAG4AdABoAGwAeQAsACAALAAgAE0AbwBuAHQAaABzACkALAAgAEkAbgBpAHQAaQBhAGwAVgBhAGwAdQBlACAALQAgAFMAVQBNACgAIABUAEEASwBFACgAIABNAG8AbgB0AGgAbAB5ACwAIAAsACAATQBvAG4AdABoAHMAKQApACkAKQApACwAXABuACAAIAAgACAAIAAgACAAIAAgACAAIAAgACAAIAAgACAAIAAgACAAIAAgACAAIAAgACAAIAAgACAAIAAgACAAIAAgACAAIAAgAE8AcABlAG4AaQBuAGcALAAgACAAIAAgACAAIAAgACAARABSAE8AUAAoACAASABTAFQAQQBDAEsAKAAgAEkAbgBpAHQAaQBhAGwAVgBhAGwAdQBlACwAIABTAEMAQQBOACgAIABJAG4AaQB0AGkAYQBsAFYAYQBsAHUAZQAsACAAQQBsAGwAbwBjAGEAdABlACwAIABMAEEATQBCAEQAQQAoACAAQQBjAGMALAAgAFYAYQBsACwAIABBAGMAYwAgAC0AIABWAGEAbAApACkAKQAsACAAMAAsACAALQAxACkALABcAG4AIAAgACAAIAAgACAAIAAgACAAIAAgACAAIAAgACAAIAAgACAAIAAgACAAIAAgACAAIAAgACAAIAAgACAAIAAgAC8ALwAgACAAQwByAGUAYQB0AGUAIABhACAAbQBvAG4AdABoAGwAeQAgAHQAaQBtAGUAbABpAG4AZQAgAGYAbwByACAAdABoAGUAIABhAHMAcwBlAHQAXABuACAAIAAgACAAIAAgACAAIAAgACAAIAAgACAAIAAgACAAIAAgACAAIAAgACAAIAAgACAAIAAgACAAIAAgACAAIAAgACAAIAAgAEEAcwBzAGUAdABUAGkAbQBlAGwAaQBuAGUALAAgACAARQBEAEEAVABFACgAIABJAG4AUwBlAHIAdgBpAGMAZQBEAGEAdABlACwAIABTAEUAUQBVAEUATgBDAEUAKAAgACwAIABMAGkAZgBlAEkAbgBNAG8AbgB0AGgAcwAsACAAMAApACkALAAgAFwAbgAgACAAIAAgACAAIAAgACAAIAAgACAAIAAgACAAIAAgACAAIAAgACAAIAAgACAAIAAgACAAIAAgACAAIAAgACAALwAvACAAIABUAGgAZQAgAHAAZQByAGkAbwBkACAAZQBhAGMAaAAgAGEAcwBzAGUAdAAgAG0AbwBuAHQAaAAgAGYAYQBsAGwAcwAgAGkAbgAgAGkAcwAgAHQAaABlACAAbABhAHMAdAAgAHAAZQByAGkAbwBkACAAcwB0AGEAcgB0ACAAbwBuACAAbwByACAAYgBlAGYAbwByAGUAIABpAHQAOwBcAG4AIAAgACAAIAAgACAAIAAgACAAIAAgACAAIAAgACAAIAAgACAAIAAgACAAIAAgACAAIAAgACAAIAAgACAAIAAgAC8ALwAgACAAYQAgAG0AbwBuAHQAaAAgAGEAZgB0AGUAcgAgAHQAaABlACAAbABhAHMAdAAgAHAAZQByAGkAbwBkACAAZQBuAGQAcwAgAGIAZQBsAG8AbgBnAHMAIAB0AG8AIABuAG8AIABwAGUAcgBpAG8AZAAuACAATwBuAGUAIABtAGEAdAByAGkAeAAgAHAAcgBvAGQAdQBjAHQAXABuACAAIAAgACAAIAAgACAAIAAgACAAIAAgACAAIAAgACAAIAAgACAAIAAgACAAIAAgACAAIAAgACAAIAAgACAAIAAvAC8AIAAgAHQAaABlAG4AIABhAGcAZwByAGUAZwBhAHQAZQBzACAAdABoAGUAIABtAG8AbgB0AGgAcwAgAGkAbgB0AG8AIAB0AGgAZQAgAG0AbwBkAGUAbAAnAHMAIABwAGUAcgBpAG8AZABzAC4AXABuACAAIAAgACAAIAAgACAAIAAgACAAIAAgACAAIAAgACAAIAAgACAAIAAgACAAIAAgACAAIAAgACAAIAAgACAAIAAgACAAIAAgAEIAdQBjAGsAZQB0AHMALAAgACAAIAAgACAAIAAgACAASQBGAEUAUgBSAE8AUgAoACAATQBBAFQAQwBIACgAIABBAHMAcwBlAHQAVABpAG0AZQBsAGkAbgBlACwAIABUAGkAbQBlAGwAaQBuAGUALAAgADEAKQAsACAAMAApACAAKgAgACgAIABBAHMAcwBlAHQAVABpAG0AZQBsAGkAbgBlACAAPAA9ACAATABhAHMAdABFAG4AZAApACwAXABuACAAIAAgACAAIAAgACAAIAAgACAAIAAgACAAIAAgACAAIAAgACAAIAAgACAAIAAgACAAIAAgACAAIAAgACAAIAAgACAAIAAgAEkAbgBQAGUAcgBpAG8AZAAsACAAIAAgACAAIAAgACAAKAAgAFQATwBDAE8ATAAoACAAQgB1AGMAawBlAHQAcwApACAAPQAgAFMARQBRAFUARQBOAEMARQAoACAAMQAsACAAVABpAG0AZQBsAGkAbgBlAEMAbwBsAHMAKQApACAAKgAgADEALABcAG4AIAAgACAAIAAgACAAIAAgACAAIAAgACAAIAAgACAAIAAgACAAIAAgACAAIAAgACAAIAAgACAAIAAgACAAIAAgACAAIAAgACAARABlAHAAcgBlAGMAaQBhAHQAaQBvAG4ALAAgACAAIABNAE0AVQBMAFQAKAAgAEEAbABsAG8AYwBhAHQAZQAsACAASQBuAFAAZQByAGkAbwBkACkALABcAG4AIAAgACAAIAAgACAAIAAgACAAIAAgACAAIAAgACAAIAAgACAAIAAgACAAIAAgACAAIAAgACAAIAAgACAAIAAgACAAIAAgACAAQwBBAFAARQBYACwAIAAgACAAIAAgACAAIAAgACAAIABJAG4AaQB0AGkAYQBsAFYAYQBsAHUAZQAgACoAIAAoAFQAaQBtAGUAbABpAG4AZQAgADwAPQAgAEkAbgBTAGUAcgB2AGkAYwBlAEQAYQB0AGUAKQAgACoAIAAoAEUAbgBkAEQAYQB0AGUAcwAgAD4APQAgAEkAbgBTAGUAcgB2AGkAYwBlAEQAYQB0AGUAKQAsACAAXABuACAAIAAgACAAIAAgACAAIAAgACAAIAAgACAAIAAgACAAIAAgACAAIAAgACAAIAAgACAAIAAgACAAIAAgACAAIAAvAC8AIAAgAFQAaABlACAAbwBwAGUAbgBpAG4AZwAgAGIAYQBsAGEAbgBjAGUAIABhACAAcABlAHIAaQBvAGQAIABzAGgAbwB3AHMAIABpAHMAIAB0AGgAZQAgAG8AbgBlACAAaQB0AHMAIABmAGkAcgBzAHQAIABhAHMAcwBlAHQAIABtAG8AbgB0AGgAIABjAGEAcgByAGkAZQBzAFwAbgAgACAAIAAgACAAIAAgACAAIAAgACAAIAAgACAAIAAgACAAIAAgACAAIAAgACAAIAAgACAAIAAgACAAIAAgACAAIAAgACAAIABFAGEAcgBsAGkAZQByACwAIAAgACAAIAAgACAAIAAgAEkARgAoACAATABpAGYAZQBJAG4ATQBvAG4AdABoAHMAIAA9ACAAMQAsACAAMAAsACAASABTAFQAQQBDAEsAKAAgADAALAAgAEQAUgBPAFAAKAAgAEIAdQBjAGsAZQB0AHMALAAgACwAIAAtADEAKQApACkALABcAG4AIAAgACAAIAAgACAAIAAgACAAIAAgACAAIAAgACAAIAAgACAAIAAgACAAIAAgACAAIAAgACAAIAAgACAAIAAgACAAIAAgACAARgBpAHIAcwB0AEkAbgBQAGUAcgBpAG8AZAAsACAAIAAoACAAQgB1AGMAawBlAHQAcwAgADwAPgAgAEUAYQByAGwAaQBlAHIAKQAgACoAIAAoACAAQgB1AGMAawBlAHQAcwAgAD4AIAAwACkALABcAG4AIAAgACAAIAAgACAAIAAgACAAIAAgACAAIAAgACAAIAAgACAAIAAgACAAIAAgACAAIAAgACAAIAAgACAAIAAgACAAIAAgACAATwBwAGUAbgBpAG4AZwBBAG0AbwB1AG4AdAAsACAAIABNAE0AVQBMAFQAKAAgAE8AcABlAG4AaQBuAGcAIAAqACAARgBpAHIAcwB0AEkAbgBQAGUAcgBpAG8AZAAsACAASQBuAFAAZQByAGkAbwBkACkALABcAG4AIAAgACAAIAAgACAAIAAgACAAIAAgACAAIAAgACAAIAAgACAAIAAgACAAIAAgACAAIAAgACAAIAAgACAAIAAgACAAIAAgACAAQgBvAG8AawBWAGEAbAB1AGUALAAgACAAIAAgACAAIABPAHAAZQBuAGkAbgBnAEEAbQBvAHUAbgB0ACAALQAgAEQAZQBwAHIAZQBjAGkAYQB0AGkAbwBuACwAXABuACAAIAAgACAAIAAgACAAIAAgACAAIAAgACAAIAAgACAAIAAgACAAIAAgACAAIAAgACAAIAAgACAAIAAgACAAIAAgACAAIAAgAFMAYQBsAGUAcwBSAGUAdgBlAG4AdQBlACwAIAAgACAAUwBhAGwAdgBhAGcAZQBWAGEAbAB1AGUAIAAqACAAKABUAGkAbQBlAGwAaQBuAGUAIAA8AD0AIABEAGkAcwBwAG8AcwBhAGwARABhAHQAZQApACAAKgAgACgARQBuAGQARABhAHQAZQBzACAAPgA9ACAARABpAHMAcABvAHMAYQBsAEQAYQB0AGUAKQAsACAAXABuACAAIAAgACAAIAAgACAAIAAgACAAIAAgACAAIAAgACAAIAAgACAAIAAgACAAIAAgACAAIAAgACAAIAAgACAAIAAgACAAIAAgAEQAaQBzAHAAbwBzAGEAbABFAHgAcAAsACAAIAAgACAARABpAHMAcABvAHMAYQBsAEMAbwBzAHQAIAAqACAAKABUAGkAbQBlAGwAaQBuAGUAIAA8AD0AIABEAGkAcwBwAG8AcwBhAGwARABhAHQAZQApACAAKgAgACgARQBuAGQARABhAHQAZQBzACAAPgA9ACAARABpAHMAcABvAHMAYQBsAEQAYQB0AGUAKQAsACAAXABuACAAIAAgACAAIAAgACAAIAAgACAAIAAgACAAIAAgACAAIAAgACAAIAAgACAAIAAgACAAIAAgACAAIAAgACAAIAAvAC8AIAAgAEEAcwBzAGUAbQBiAGwAZQAgAHQAaABpAHMAIABhAHMAcwBlAHQAcwAgAHIAbwB3AHMAIABpAG4AdABvACAAYQAgAGIAbABvAGMAawBcAG4AIAAgACAAIAAgACAAIAAgACAAIAAgACAAIAAgACAAIAAgACAAIAAgACAAIAAgACAAIAAgACAAIAAgACAAIAAgACAAIAAgACAATgBlAHcAQgBsAG8AYwBrACwAIAAgACAAIAAgACAAIABWAFMAVABBAEMASwAoACAAQwBBAFAARQBYACwAIABPAHAAZQBuAGkAbgBnAEEAbQBvAHUAbgB0ACwAIABEAGUAcAByAGUAYwBpAGEAdABpAG8AbgAsACAAQgBvAG8AawBWAGEAbAB1AGUALAAgAFMAYQBsAGUAcwBSAGUAdgBlAG4AdQBlACwAIABEAGkAcwBwAG8AcwBhAGwARQB4AHAAKQAsAFwAbgAgACAAIAAgACAAIAAgACAAIAAgACAAIAAgACAAIAAgACAAIAAgACAAIAAgACAAIAAgACAAIAAgACAAIAAgACAALwAvACAAIABBAGQAZAAgAHQAaABpAHMAIABiAGwAbwBjAGsAIAB0AG8AIABwAHIAaQBvAHIAIABiAGwAbwBjAGsAcwAgACgAaQBmACAAYQBuAHkAKQBcAG4AIAAgACAAIAAgACAAIAAgACAAIAAgACAAIAAgACAAIAAgACAAIAAgACAAIAAgACAAIAAgACAAIAAgACAAIAAgACAAIAAgACAAUgBlAHMAdQBsAHQALAAgACAAIAAgACAAIAAgACAAIABJAEYAKAAgAEEAcwBzAGUAdAAgAD0AIAAxACwAIABcAG4AIAAgACAAIAAgACAAIAAgACAAIAAgACAAIAAgACAAIAAgACAAIAAgACAAIAAgACAAIAAgACAAIAAgACAAIAAgACAAIAAgACAAIAAgACAAIAAgACAAIAAgACAAIAAgACAAIAAgACAAIAAgACAAIAAgAE4AZQB3AEIAbABvAGMAawAsACAAXABuACAAIAAgACAAIAAgACAAIAAgACAAIAAgACAAIAAgACAAIAAgACAAIAAgACAAIAAgACAAIAAgACAAIAAgACAAIAAgACAAIAAgACAAIAAgACAAIAAgACAAIAAgACAAIAAgACAAIAAgACAAIAAgACAAIABWAFMAVABBAEMASwAoAFwAbgAgACAAIAAgACAAIAAgACAAIAAgACAAIAAgACAAIAAgACAAIAAgACAAIAAgACAAIAAgACAAIAAgACAAIAAgACAAIAAgACAAIAAgACAAIAAgACAAIAAgACAAIAAgACAAIAAgACAAIAAgACAAIAAgACAAIAAgACAAIABCAGwAbwBjAGsALABcAG4AIAAgACAAIAAgACAAIAAgACAAIAAgACAAIAAgACAAIAAgACAAIAAgACAAIAAgACAAIAAgACAAIAAgACAAIAAgACAAIAAgACAAIAAgACAAIAAgACAAIAAgACAAIAAgACAAIAAgACAAIAAgACAAIAAgACAAIAAgACAARQBYAFAAQQBOAEQAKABcACIAXAAiACwAIAAxACwAIABUAGkAbQBlAGwAaQBuAGUAQwBvAGwAcwAsACAAXAAiAFwAIgApACwAXABuACAAIAAgACAAIAAgACAAIAAgACAAIAAgACAAIAAgACAAIAAgACAAIAAgACAAIAAgACAAIAAgACAAIAAgACAAIAAgACAAIAAgACAAIAAgACAAIAAgACAAIAAgACAAIAAgACAAIAAgACAAIAAgACAAIAAgACAAIAAgAE4AZQB3AEIAbABvAGMAaw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CwAIABIAGUAbABwACwAIABvAHIAIAB0AGgAZQAgAG0AZQBzAHMAYQBnAGUAXABuACAAIAAgACAAIAAgACAAIABSAGUAdAB1AHIAbgAsACAAIAAgACAAIAAgACAAIAAgAEkARgAoACAASABlAGwAcAA/ACwAIAAyACwAIABJAEYAKAAgAEIAYQBkAEwAaQBmAGUAPwAsACAAMwAsACAAMQApACkALABcAG4AIAAgACAAIAAgACAAIAAgAEMASABPAE8AUwBFACgAIABSAGUAdAB1AHIAbgAsACAAUgBlAHMAdQBsAHQALAAgAEgAZQBsAHAALAAgAEwAaQBmAGUATQBlAHMAcwBhAGcAZQApAFwAbgAgACAAIAAgACkAIABcAG4AKQA7AFwAbgBcAG4AXABuAFwAbgAvACoAIAAgAEYAVQBOAEMAVABJAE8ATgAgAE4AQQBNAEUAOgAgACAATABhAGIAZQBsAEQAZQBwAHIAZQBjAGkAYQB0AGUAuwNcAG4AIAAgACAAIABEAEUAUwBDAFIASQBQAFQASQBPAE4AOgAqAC8ALwAqACoAQwByAGUAYQB0AGUAIABsAGEAYgBlAGwAcwAgAGYAbwByACAARABlAHAAcgBlAGMAaQBhAHQAZQC7AyoALwBcAG4ATABhAGIAZQBsAEQAZQBwAHIAZQBjAGkAYQB0AGUAuwMgAD0AIABMAEEATQBCAEQAQQAoAFwAbgAvAC8AIAAgAFAAYQByAGEAbQBlAHQAZQByACAARABlAGMAbABhAHIAYQB0AGkAbwBuAHMAXABuACAAIAAgACAAWwBBAHMAcwBlAHQATgBhAG0AZQBzAF0ALAAgACA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EAGUAcAByAGUAYwBpAGEAdABlALsDKAAgAEEAcwBzAGUAdABOAGEAbQBlAHMAKQC2AFwAIgAgACYAXABuACAAIAAgACAAIAAgACAAIAAgACAAIAAgACAAIAAgACAAIAAgACAAIAAgACAAIAAgACAAIAAgACAAXAAiAEQARQBTAEMAUgBJAFAAVABJAE8ATgA6ACAAIAAgAJIhQwByAGUAYQB0AGUAIAByAG8AdwAgAGwAYQBiAGUAbABzACAAZgBvAHIAIAB0AGgAZQAgAGQAZQBwAHIAZQBjAGkAYQB0AGkAbwBuACAAcwBjAGgAZQBkAHUAbABlACAAYQByAHIAYQB5ACAAcAByAG8AZAB1AGMAZQBkACAAYgB5ACAARABlAHAAcgBlAGMAaQBhAHQ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MAcwBlAHQATgBhAG0AZQBzACAAIAAgACAAIACSISgAUgBlAHEAdQBpAHIAZQBkACkAIABUAGgAZQAgAG4AYQBtAGUAcwAgAG8AcgAgAGQAZQBzAGMAcgBpAHAAdABpAG8AbgBzACAAbwBmACAAZQBhAGMAaAAgAGEAcwBzAGUAdAAgAGkAbgAgAHQAaABlACAAZABlAHAAcgBlAGMAaQBhAHQAaQBvAG4AIABzAGMAaABlAGQAdQBsAGUAIABwAHIAbwBkAHUAYwBlAGQAIABiAHkAIABEAGUAcAByAGUAYwBpAGEAdABlALsD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MAGEAYgBlAGwARABlAHAAcgBlAGMAaQBhAHQAZQC7AygAdABiAGwAQQBzAHMAZQB0AHMAWwBBAHMAcwBlAHQ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cwBzAGUAdABOAGEAbQBlAHMAKQAsAFwAbgAgACAAIAAgAC8ALwAgACAAUAByAG8AYwBlAGQAdQByAGUAXABuACAAIAAgACAAIAAgACAAIABSAGUAcwB1AGwAdAAsACAAIAAgACAAIAAgACAAIAAgAE0AQQBLAEUAQQBSAFIAQQBZACgAIABSAE8AVwBTACgAQQBzAHMAZQB0AE4AYQBtAGUAcwApACAAKgAgADcAIAAtACAAMQAsACAAMQAsACAAXABuACAAIAAgACAAIAAgACAAIAAgACAAIAAgACAAIAAgACAAIAAgACAAIAAgACAAIAAgACAAIAAgACAATABBAE0AQgBEAEEAKABSACwAIABDACwAIABcAG4AIAAgACAAIAAgACAAIAAgACAAIAAgACAAIAAgACAAIAAgACAAIAAgACAAIAAgACAAIAAgACAAIAAgACAAIAAgAEwARQBUACgAQQBzAHMAZQB0AE4AYQBtAGUALAAgACAAIABJAE4ARABFAFgAKAAgAEEAcwBzAGUAdABOAGEAbQBlAHMALAAgAFEAVQBPAFQASQBFAE4AVAAoAFIALQAxACwAIAA3ACkAIAArACAAMQApACwAIABcAG4AIAAgACAAIAAgACAAIAAgACAAIAAgACAAIAAgACAAIAAgACAAIAAgACAAIAAgACAAIAAgACAAIAAgACAAIAAgACAAIAAgACAAUwBXAEkAVABDAEgAKAAgAE0ATwBEACgAUgAtADEALAAgADcAKQAgACsAIAAxACwAXABuACAAIAAgACAAIAAgACAAIAAgACAAIAAgACAAIAAgACAAIAAgACAAIAAgACAAIAAgACAAIAAgACAAIAAgACAAIAAgACAAIAAgACAAIAAgACAAMQAsACAAIABBAHMAcwBlAHQATgBhAG0AZQAgACYAIABcACIAIABDAEEAUABFAFgAXAAiACwAXABuACAAIAAgACAAIAAgACAAIAAgACAAIAAgACAAIAAgACAAIAAgACAAIAAgACAAIAAgACAAIAAgACAAIAAgACAAIAAgACAAIAAgACAAIAAgACAAMgAsACAAIABBAHMAcwBlAHQATgBhAG0AZQAgACYAIABcACIAIABPAHAAZQBuAGkAbgBnACAAVgBhAGwAdQBlAFwAIgAsAFwAbgAgACAAIAAgACAAIAAgACAAIAAgACAAIAAgACAAIAAgACAAIAAgACAAIAAgACAAIAAgACAAIAAgACAAIAAgACAAIAAgACAAIAAgACAAIAAgADMALAAgACAAQQBzAHMAZQB0AE4AYQBtAGUAIAAmACAAXAAiACAARABlAHAAcgBlAGMAaQBhAHQAaQBvAG4AXAAiACwAXABuACAAIAAgACAAIAAgACAAIAAgACAAIAAgACAAIAAgACAAIAAgACAAIAAgACAAIAAgACAAIAAgACAAIAAgACAAIAAgACAAIAAgACAAIAAgACAANAAsACAAIABBAHMAcwBlAHQATgBhAG0AZQAgACYAIABcACIAIABCAG8AbwBrACAAVgBhAGwAdQBlAFwAIgAsAFwAbgAgACAAIAAgACAAIAAgACAAIAAgACAAIAAgACAAIAAgACAAIAAgACAAIAAgACAAIAAgACAAIAAgACAAIAAgACAAIAAgACAAIAAgACAAIAAgADUALAAgACAAQQBzAHMAZQB0AE4AYQBtAGUAIAAmACAAXAAiACAAUgBlAHYAZQBuAHUAZQAgAGYAcgBvAG0AIABTAGEAbABlAFwAIgAsAFwAbgAgACAAIAAgACAAIAAgACAAIAAgACAAIAAgACAAIAAgACAAIAAgACAAIAAgACAAIAAgACAAIAAgACAAIAAgACAAIAAgACAAIAAgACAAIAAgADYALAAgACAAQQBzAHMAZQB0AE4AYQBtAGUAIAAmACAAXAAiACAARABpAHMAcABvAHMAYQBsACAAQwBvAHMAdABzAFwAIgAsAFwAbgAgACAAIAAgACAAIAAgACAAIAAgACAAIAAgACAAIAAgACAAIAAgACAAIAAgACAAIAAgACAAIAAgACAAIAAgACAAIAAgACAAIAAgACAAIAAgADcALAAgACAAXAAiAFwAIg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RABlAHAAcgBlAGMAaQBhAHQAZQC7A1wAbgAgACAAIAAgAEQARQBTAEMAUgBJAFAAVABJAE8ATgA6ACoALwAvACoAKgBDAHIAZQBhAHQAZQAgAHIAbwB3ACAAdABvAHQAYQBsAHMAIABmAG8AcgAgAEQAZQBwAHIAZQBjAGkAYQB0AGUAuwMqAC8AXABuAFMAdQBtAEQAZQBwAHIAZQBjAGkAYQB0AGUAuwMgAD0AIABMAEEATQBCAEQAQQAoAFwAbgAvAC8AIAAgAFAAYQByAGEAbQBlAHQAZQByACAARABlAGMAbABhAHIAYQB0AGkAbwBuAHMAXABuACAAIAAgACAAWwBEAGUAcAByAGUAYwBp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EAGUAcAByAGUAYwBpAGEAdABlALsDKABEAGUAcAByAGUAYwBpAGEAdABpAG8AbgBTAGMAaABlAGQAdQBsAGUAKQC2AFwAIgAgACYAXABuACAAIAAgACAAIAAgACAAIAAgACAAIAAgACAAIAAgACAAIAAgACAAIAAgACAAIAAgACAAIAAgACAAXAAiAEQARQBTAEMAUgBJAFAAVABJAE8ATgA6ACAAIAAgAJIhQwByAGUAYQB0AGUAIAByAG8AdwAgAHQAbwB0AGEAbABzACAAZgBvAHIAIABEAGUAcAByAGUAYwBpAGEAdA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QAZQBwAHIAZQBjAGkAYQB0AGkAbwBuAFMAYwBoAGUAZAB1AGwAZQCSISgAUgBlAHEAdQBpAHIAZQBkACkAIABBAG4AIABhAHIAcgBhAHkAIABwAHIAbwBkAHUAYwBlAGQAIABiAHkAIABEAGUAcAByAGUAYwBpAGEAdABlALsDtgBcACIAIAAmAFwAbgAgACAAIAAgACAAIAAgACAAIAAgACAAIAAgACAAIAAgACAAIAAgACAAIAAgACAAIAAgACAAIAAgAFwAIgCSIbYAXAAiACAAJg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EAGUAcAByAGUAYwBpAGEAdABlALsDKABEAGUAcAByAGUAYwBp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PAG0AaQB0AHQAZQBkAEEAcgBnAHMALAAgACAAIAAgAFYAUwBUAEEAQwBLACgASQBTAE8ATQBJAFQAVABFAEQAKAAgAEQAZQBwAHIAZQBjAGkAYQB0AGkAbwBuAFMAYwBoAGUAZAB1AGwAZQApACkALABcAG4AIAAgACAAIAAgACAAIAAgAEgAZQBsAHAAPwAsACAAIAAgACAAIAAgACAAIAAgACAAQQBOAEQAKAAgAE8AbQBpAHQAdABlAGQAQQByAGcAcwApACwAXABuACAAIAAgACAALwAvACAAIABQAHIAbwBjAGUAZAB1AHIAZQBcAG4AIAAgACAAIAAgACAAIAAgAFIAZQBzAHUAbAB0ACwAIAAgACAAIAAgACAAIAAgACAATQBBAEsARQBBAFIAUgBBAFkAKABSAE8AVwBTACgARABlAHAAcgBlAGMAaQ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xACwAIABTAFUATQAoAEMASABPAE8AUwBFAFIATwBXAFMAKAAgAEQAZQBwAHIAZQBjAGkAYQB0AGkAbwBuAFMAYwBoAGUAZAB1AGwAZQAsACAAUgApACkALABcAG4AIAAgACAAIAAgACAAIAAgACAAIAAgACAAIAAgACAAIAAgACAAIAAgACAAIAAgACAAIAAgACAAIAAgACAAIAAgACAAIAAgACAAMwAsACAAUwBVAE0AKABDAEgATwBPAFMARQBSAE8AVwBTACgAIABEAGUAcAByAGUAYwBpAGEAdABpAG8AbgBTAGMAaABlAGQAdQBsAGUALAAgAFIAKQApACwAXABuACAAIAAgACAAIAAgACAAIAAgACAAIAAgACAAIAAgACAAIAAgACAAIAAgACAAIAAgACAAIAAgACAAIAAgACAAIAAgACAAIAAgADUALAAgAFMAVQBNACgAQwBIAE8ATwBTAEUAUgBPAFcAUwAoACAARABlAHAAcgBlAGMAaQBhAHQAaQBvAG4AUwBjAGgAZQBkAHUAbABlACwAIABSACkAKQAsAFwAbgAgACAAIAAgACAAIAAgACAAIAAgACAAIAAgACAAIAAgACAAIAAgACAAIAAgACAAIAAgACAAIAAgACAAIAAgACAAIAAgACAAIAA2ACwAIABTAFUATQAoAEMASABPAE8AUwBFAFIATwBXAFMAKAAgAEQAZQBwAHIAZQBjAGk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FIAZQB0AHUAcgBuACwAIAAgACAAIAAgACAAIAAgACAASQBGACgAIABIAGUAbABwAD8ALAAgADIALAAgADEAKQAsAFwAbgAgACAAIAAgACAAIAAgACAAQwBIAE8ATwBTAEUAKABSAGUAdAB1AHIAbgAsACAAUgBlAHMAdQBsAHQALAAgAEgAZQBsAHAAKQBcAG4AIAAgACAAIAApAFwAbgApADsAXABuAFwAbgBcAG4AXABuAC8AKgAgACAARgBVAE4AQwBUAEkATwBOACAATgBBAE0ARQA6ACAAIABBAGwAbABvAGMAYQB0AGUAuwNcAG4AIAAgACAAIABEAEUAUwBDAFIASQBQAFQASQBPAE4AOgAqAC8ALwAqACoAkiFEAGkAdgBpAGQAZQAgAG8AbgBlACAAbwByACAAbQBvAHIAZQAgAGEAbQBvAHUAbgB0AHMAIABlAHEAdQBhAGwAbAB5ACAAYQBjAHIAbwBzAHMAIABzAG0AYQBsAGwAZQByACAAcABlAHIAaQBvAGQAcwAqAC8AXABuAEEAbABsAG8AYwBhAHQAZQC7AyAAPQAgAEwAQQBNAEIARABBACgAXABuAC8ALwAgACAAUABhAHIAYQBtAGUAdABlAHIAIABEAGUAYwBsAGEAcgBhAHQAaQBvAG4AXABuACAAIAAgACAAWwBBAG0AbwB1AG4AdABzAF0ALABcAG4AIAAgACAAIABbAEYAcgBvAG0ASQBuAHQAZQByAHYAYQBsAF0ALAAgAFwAbgAgACAAIAAgAFsAVABv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BAGwAbABvAGMAYQB0AGUAuwMoAEEAbQBvAHUAbgB0AHMALAAgAFsARgByAG8AbQBJAG4AdABlAHIAdgBhAGwAXQAsACAAWwBUAG8ASQBuAHQAZQByAHYAYQBsAF0AKQC2AFwAIgAgACYAXABuACAAIAAgACAAIAAgACAAIAAgACAAIAAgACAAIAAgACAAIAAgACAAIAAgACAAIAAgACAAIAAgACAAXAAiAEQARQBTAEMAUgBJAFAAVABJAE8ATgA6ACAAIAAgAJIhRABpAHYAaQBkAGUAIABvAG4AZQAgAG8AcgAgAG0AbwByAGUAIABhAG0AbwB1AG4AdABzACAAZQBxAHUAYQBsAGwAeQAgAGEAYwByAG8AcwBzACAAcwBtAGEAbABsAGUAcgAgAHAAZQByAGkAbwBkAHM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0AbwB1AG4AdABzACAAIAAgACAAIAAgACAAIACSISgAUgBlAHEAdQBpAHIAZQBkACkAIABPAG4AZQAgAGEAbQBvAHUAbgB0ACAAbwByACAAYQAgAHIAbwB3ACAAbwBmACAAYQBtAG8AdQBuAHQAcwAgAHQAbwAgAGEAbABsAG8AYwBhAHQAZQAuALYAXAAiACAAJgAgACAAIAAgACAAIAAgACAAIAAgACAAIAAgACAAIAAgACAAIAAgAFwAbgAgACAAIAAgACAAIAAgACAAIAAgACAAIAAgACAAIAAgACAAIAAgACAAIAAgACAAIAAgACAAIAAgAFwAIgBGAHIAbwBtAEkAbgB0AGUAcgB2AGEAbAAgACAAIACSISgATwBwAHQAaQBvAG4AYQBsACAARABlAGYAYQB1AGwAdAA9AFkAKQAgAFQAaABlACAAbABhAHIAZwBlAHIAIABpAG4AdABlAHIAdgBhAGwAIABpAG4AIABRAD0AUQB1AGEAcgB0AGUAcgBzACAAbwByACAAWQA9AFkAZQBhAHIAcwC2AFwAIgAgACYAIABcAG4AIAAgACAAIAAgACAAIAAgACAAIAAgACAAIAAgACAAIAAgACAAIAAgACAAIAAgACAAIAAgACAAIABcACIAVABvAEkAbgB0AGUAcgB2AGEAbAAgACAAIAAgACAAkiEoAE8AcAB0AGkAbwBuAGEAbAAgAEQAZQBmAGEAdQBsAHQAPQBNACkAIABUAGgAZQAgAHMAbQBhAGwAbABlAHIAIABpAG4AdABlAHIAdgBhAGwAIABpAG4AIABXAD0AVwBlAGUAawBzACwAIABNAD0ATQBvAG4AdABoAHMALAAgAG8AcgAgAFEAPQBRAHUAYQByAHQAZQByAHMAtgBcACIAIAAmACAAXABuACAAIAAgACAAIAAgACAAIAAgACAAIAAgACAAIAAgACAAIAAgACAAIAAgACAAIAAgACAAIAAgACAAXAAiAE4ATwBUAEUAIQAgACAAIAAgACAAIAAgACAAIAAgAJIhtgBcACIAIAAmACAAXABuACAAIAAgACAAIAAgACAAIAAgACAAIAAgACAAIAAgACAAIAAgACAAIAAgACAAIAAgACAAIAAgACAAIAAgACAAIAAgACAAIAAgACAAIAAgACAAIAAgACAAXAAiAJIhVwBoAGUAbgAgAGEAIABGAHIAbwBtACAAUABlAHIAaQBvAGQAJwBzACAAYQBtAG8AdQBuAHQAIABkAG8AZQBzACAAbgBvAHQAIABkAGkAdgBpAGQAZQAgAGUAdgBlAG4AbAB5ACAAdABvACAAdABoAGUAIAAxAC8AMQAwADAAIABmAG8AcgAgAGEAbABsACAAVABvACAAUABlAHIAaQBvAGQAcwAnACwAtgBcACIAIAAmACAAXABuACAAIAAgACAAIAAgACAAIAAgACAAIAAgACAAIAAgACAAIAAgACAAIAAgACAAIAAgACAAIAAgACAAIAAgACAAIAAgACAAIAAgACAAIAAgACAAIAAgACAAXAAiAJIhdABoAGUAIABsAGEAcwB0ACAAVABvACAAUABlAHIAaQBvAGQAIABjAG8AbgB0AGEAaQBuAHMAIAB0AGgAZQAgAG4AZQBjAGUAcwBzAGEAcgB5ACAAYQBkAGoAdQBzAHQAbQBlAG4AdA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sAGwAbwBjAGEAdABlALsDKAB7ADkAOQA5AC4AOQA5ACwAIAAyADAAMAAwAH0ALAAgAFwAIgBcACIAWQBcACIAXAAiACwAIABcACIAXAAiAFEAXAAiAFwAIg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gA1ADAALAAyADUAMAAsADIANQAwACwAMgA0ADkALgA5ADkALAA1ADAAMAAsADUAMAAwACwANQAwADAALAA1ADA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UAbgB0AHMAKQAsAFwAbgAgACAAIAAgAC8ALwAgACAAUwBlAHQAIABkAGUAZgBhAHUAbAB0AHMAIABmAG8AcgAgAG8AcAB0AGkAbwBuAGEAbAAgAHYAYQBsAHUAZQBzAFwAbgAgACAAIAAgACAAIAAgACAARgByAG8AbQBJAG4AdABlAHIAdgBhAGwALAAgACAAIABJAEYAKAAgAEkAUwBPAE0ASQBUAFQARQBEACgAIABGAHIAbwBtAEkAbgB0AGUAcgB2AGEAbAApACwAIABcACIAWQBcACIALAAgAEYAcgBvAG0ASQBuAHQAZQByAHYAYQBsACkALABcAG4AIAAgACAAIAAgACAAIAAgAFQAbwBJAG4AdABlAHIAdgBhAGwALAAgACAAIAAgACAASQBGACgAIABJAFMATwBNAEkAVABUAEUARAAoACAAVABvAEkAbgB0AGUAcgB2AGEAbAApACwAIABcACIATQBcACIALAAgAFQAbwBJAG4AdABlAHIAdgBhAGwAKQAsAFwAbgAgACAAIAAgAC8ALwAgACAAUAByAG8AYwBlAGQAdQByAGUAXABuACAAIAAgACAAIAAgACAAIABGAHIAbwBtACwAIAAgACAAIAAgACAAIAAgACAAIAAgAFMAVwBJAFQAQwBIACgARgByAG8AbQBJAG4AdABlAHIAdgBhAGwALAAgAFwAIgBZAFwAIgAsACAAMQAsACAAXAAiAFEAXAAiACwAIAA0ACkALABcAG4AIAAgACAAIAAgACAAIAAgAFQAbwAsACAAIAAgACAAIAAgACAAIAAgACAAIAAgACAAUwBXAEkAVABDAEgAKABUAG8ASQBuAHQAZQByAHYAYQBsACwAIABcACIAUQBcACIALAAgADQALAAgAFwAIgBNAFwAIgAsACAAMQAyACwAIABcACIAVwBcACIALAAgADUAMgApACwAXABuACAAIAAgACAAIAAgACAAIABGAHIAbwBtAEMAbwB1AG4AdAAsACAAIAAgACAAIAAgAEMATwBVAE4AVAAoACAAQQBtAG8AdQBuAHQAcwApACwAXABuACAAIAAgACAAIAAgACAAIABUAG8AQwBvAHUAbgB0ACwAIAAgACAAIAAgACAAIAAgAFQAbwAgAC8AIABGAHIAbwBtACwAXABuACAAIAAgACAAIAAgACAAIABSAGUAcwB1AGwAdAAsACAAIAAgACAAIAAgACAAIAAgAE0AQQBLAEUAQQBSAFIAQQBZACgAIAAxACwAIABGAHIAbwBtAEMAbwB1AG4AdAAgACoAIABUAG8AQwBvAHUAbgB0ACwAXABuACAAIAAgACAAIAAgACAAIAAgACAAIAAgACAAIAAgACAAIAAgACAAIAAgACAAIAAgACAAIAAgACAATABBAE0AQgBEAEEAKAAgAFIALAAgAEMALABcAG4AIAAgACAAIAAgACAAIAAgACAAIAAgACAAIAAgACAAIAAgACAAIAAgACAAIAAgACAAIAAgACAAIAAgACAAIAAgAEwARQBUACgAXABuACAAIAAgACAAIAAgACAAIAAgACAAIAAgACAAIAAgACAAIAAgACAAIAAgACAAIAAgACAAIAAgACAAIAAgACAAIAAvAC8AIAAgAEMAbwBsAHUAbQBuACAAQwAgAGgAbwBsAGQAcwAgAHAAYQByAHQAIABDACAAbwBmACAAYQBtAG8AdQBuAHQAIABRAFUATwBUAEkARQBOAFQAKAAgAEMAIAAtACAAMQAsACAAVABvAEMAbwB1AG4AdAApACAAKwAgADEAXABuACAAIAAgACAAIAAgACAAIAAgACAAIAAgACAAIAAgACAAIAAgACAAIAAgACAAIAAgACAAIAAgACAAIAAgACAAIAAgACAAIAAgAEYAcgBvAG0AQQBtAG8AdQBuAHQALAAgACAAIAAgACAASQBOAEQARQBYACgAIABBAG0AbwB1AG4AdABzACwAIABRAFUATwBUAEkARQBOAFQAKAAgAEMAIAAtACAAMQAsACAAVABvAEMAbwB1AG4AdAApACAAKwAgADEAKQAsAFwAbgAgACAAIAAgACAAIAAgACAAIAAgACAAIAAgACAAIAAgACAAIAAgACAAIAAgACAAIAAgACAAIAAgACAAIAAgACAAIAAgACAAIABUAG8AQQBtAG8AdQBuAHQALAAgACAAIAAgACAAIAAgAFIATwBVAE4ARAAoACAARgByAG8AbQBBAG0AbwB1AG4AdAAgACoAIABGAHIAbwBtACAALwAgAFQAbwAsACAAMgApACwAXABuACAAIAAgACAAIAAgACAAIAAgACAAIAAgACAAIAAgACAAIAAgACAAIAAgACAAIAAgACAAIAAgACAAIAAgACAAIAAvAC8AIAAgAFQAaABlACAAbABhAHMAdAAgAHAAYQByAHQAIABvAGYAIABlAGEAYwBoACAAYQBtAG8AdQBuAHQAIABjAGEAcgByAGkAZQBzACAAdABoAGUAIAByAG8AdQBuAGQAaQBuAGcAIABkAGkAZgBmAGUAcgBlAG4AYwBlAFwAbgAgACAAIAAgACAAIAAgACAAIAAgACAAIAAgACAAIAAgACAAIAAgACAAIAAgACAAIAAgACAAIAAgACAAIAAgACAAIAAgACAAIABMAGEAcwB0AD8ALAAgACAAIAAgACAAIAAgACAAIAAgAE0ATwBEACgAIABDACAALQAgADEALAAgAFQAbwBDAG8AdQBuAHQAKQAgACsAIAAxACAAPQAgAFQAbwBDAG8AdQBuAHQALABcAG4AIAAgACAAIAAgACAAIAAgACAAIAAgACAAIAAgACAAIAAgACAAIAAgACAAIAAgACAAIAAgACAAIAAgACAAIAAgACAAIAAgACAASQBGACgAIABBAE4ARAAoACAATABhAHMAdAA/ACwAIABUAG8AQwBvAHUAbgB0ACAAPgAgADEAKQAsAFwAbgAgACAAIAAgACAAIAAgACAAIAAgACAAIAAgACAAIAAgACAAIAAgACAAIAAgACAAIAAgACAAIAAgACAAIAAgACAAIAAgACAAIAAgACAAIAAgAEYAcgBvAG0AQQBtAG8AdQBuAHQAIAAtACAAUwBVAE0AKAAgAEUAWABQAEEATgBEACgAIABUAG8AQQBtAG8AdQBuAHQALAAgADEALAAgAE0AQQBYACgAIABUAG8AQwBvAHUAbgB0ACAALQAgADEALAAgADEAKQAsACAAVABvAEEAbQBvAHUAbgB0ACkAKQAsAFwAbgAgACAAIAAgACAAIAAgACAAIAAgACAAIAAgACAAIAAgACAAIAAgACAAIAAgACAAIAAgACAAIAAgACAAIAAgACAAIAAgACAAIAAgACAAIAAgAFQAbwBBAG0AbwB1AG4Ad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ZQByAGkAbwBkAEQAaQBmAGYAuwNcAG4AIAAgACAAIABEAEUAUwBDAFIASQBQAFQASQBPAE4AOgAqAC8ALwAqACoARABlAHQAZQByAG0AaQBuAGUAIAB0AGgAZQAgAG4AdQBtAGIAZQByACAAbwBmACAAcABlAHIAaQBvAGQAcwAgAGIAZQB0AHcAZQBlAG4AIAB0AHcAbwAgAGQAYQB0AGUAcwAuACoALwBcAG4AUABlAHIAaQBvAGQARABpAGYAZgC7AyAAPQAgAEwAQQBNAEIARABBACgAXABuAC8ALwAgACAAUABhAHIAYQBtAGUAdABlAHIAIABEAGUAYwBsAGEAcgBhAHQAaQBvAG4AXABuACAAIAAgACAAWwBTAHQAYQByAHQARABhAHQAZQBdACwAXABuACAAIAAgACAAWwBFAG4AZABEAGEAdABlAF0ALAAgAFwAbgAgACAAIAAgAFs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EQAaQBmAGYAuwMoAFMAdABhAHIAdABEAGEAdABlACwAIABFAG4AZABEAGEAdABlACwAIABJAG4AdABlAHIAdgBhAGwAKQC2AFwAIgAgACYAXABuACAAIAAgACAAIAAgACAAIAAgACAAIAAgACAAIAAgACAAIAAgACAAIAAgACAAIAAgACAAIAAgACAAXAAiAEQARQBTAEMAUgBJAFAAVABJAE8ATgA6ACAAIAAgAJIhRABlAHQAZQByAG0AaQBuAGUAIAB0AGgAZQAgAG4AdQBtAGIAZQByACAAbwBmACAAcABlAHIAaQBvAGQAcwAgAGIAZQB0AHcAZQBlAG4AIAB0AHcAbwAgAGQAYQB0AGUAcwAuALYAXAAiACAAJgBcAG4AIAAgACAAIAAgACAAIAAgACAAIAAgACAAIAAgACAAIAAgACAAIAAgACAAIAAgACAAIAAgACAAIABcACIATgBPAFQARQBTACEAIAAgACAAIAAgACAAIAAgACAAkiFUAGgAaQBzACAAaQBtAHAAcgBvAHYAZQBzACAAbwBuACwAIABhAG4AZAAgAGMAbwByAHIAZQBjAHQAcwAgAHAAcgBvAGIAbABlAG0AcwAgAHcALwBFAHgAYwBlAGwAJwBzACAAZABlAHAAcgBlAGMAYQB0AGUAZAAgAEQAQQBUAEUARABJAEYAKAApACAAZgB1AG4AYwB0AGkAbwBu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TAHQAYQByAHQARABhAHQAZQAgACAAIAAgACAAIACSISgAUgBlAHEAdQBpAHIAZQBkACkAIABTAHQAYQByAHQAIABEAGEAdABlAC4AtgBcACIAIAAmACAAIAAgACAAIAAgACAAIAAgACAAIAAgACAAIAAgACAAIAAgACAAXABuACAAIAAgACAAIAAgACAAIAAgACAAIAAgACAAIAAgACAAIAAgACAAIAAgACAAIAAgACAAIAAgACAAXAAiAEUAbgBkAEQAYQB0AGUAIAAgACAAIAAgACAAIAAgAJIhKABSAGUAcQB1AGkAcgBlAGQAKQAgAEUAbgBkACAARABhAHQAZQC2AFwAIgAgACYAIABcAG4AIAAgACAAIAAgACAAIAAgACAAIAAgACAAIAAgACAAIAAgACAAIAAgACAAIAAgACAAIAAgACAAIABcACIASQBuAHQAZQByAHYAYQBsACAAIAAgACAAIAAgACAAkiEoAFIAZQBxAHUAaQByAGUAZAApACAAVwA9AFcAZQBlAGsALAAgAE0APQBNAG8AbgB0AGgALAAgAFEAPQBRAHUAYQByAHQAZQByACwAIABZAD0AWQBlAGEAcg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yACAAIAAgACAAIAAgACAAIAAgACAAIAAgACAAIACSIT0AbwB6AC4AUABlAHIAaQBvAGQARABpAGYAZgC7AygAXAAiAFwAIgAyADAAMgA2AC0AMAAxAC0AMAAxAFwAIgBcACIALAAgAFwAIgBcACIAMgAwADIANgAtADAANAAtADEANQBcACIAXAAiACwAIABcACIAXAAiAFE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TAHQAYQByAHQARABhAHQAZQApACwAXABuACAAIAAgACAAIAAgACAAIAAgACAAIAAgACAAIAAgACAAIAAgACAAIAAgACAAIAAgACAAIAAgACAASQBTAE8ATQBJAFQAVABFAEQAKAAgAEUAbgBkAEQAYQB0AGUAKQAsAFwAbgAgACAAIAAgACAAIAAgACAAIAAgACAAIAAgACAAIAAgACAAIAAgACAAIAAgACAAIAAgACAAIAAgAEkAUwBPAE0ASQBUAFQARQBEACgAIABJAG4AdABlAHIAdgBhAGwAKQBcAG4AIAAgACAAIAAgACAAIAAgACAAIAAgACAAIAAgACAAIAAgACAAIAAgACAAIAAgACAAKQAsAFwAbgAgACAAIAAgAC8ALwAgACAAQwBvAG4AcwB0AGEAbgB0AHMAXABuACAAIAAgACAAIAAgACAAIABNAHAAUAAsACAAIAAgACAAIAAgACAAIAAgACAAIAAgACAAIAAgACAAUwBXAEkAVABDAEgAKAAgAEkAbgB0AGUAcgB2AGEAbAAsACAAXAAiAE0AXAAiACwAIAAxACwAIABcACIAUQBcACIALAAgADMALAAgAFwAIgBZAFwAIgAsACAAMQAyACwAIAAwACkALABcAG4AIAAgACAAIAAvAC8AIAAgAFAAcgBvAGMAZQBkAHUAcgBlAFwAbgAgACAAIAAgACAAIAAgACAATQBvAG4AdABoAHMALAAgACAAIAAgACAAIAAgACAAIAAgACAAIAAgAEQAQQBUAEUARABJAEYAKAAgAFMAdABhAHIAdABEAGEAdABlACwAIABFAG4AZABEAGEAdABlACwAIABcACIATQBcACIAKQAgACsAIAAxACwAXABuACAAIAAgACAALwAvACAAIABNAHAAUAAgAGkAcwAgADAAIABmAG8AcgAgAFwAIgBXAFwAIgAgAGEAbgBkACAAZgBvAHIAIABhAG4AeQAgAGkAbgB0AGUAcgB2AGEAbAAgAFMAVwBJAFQAQwBIACAAZABvAGUAcwAgAG4AbwB0ACAAcgBlAGMAbwBnAG4AaQBzAGUALAAgAGEAbgBkACAAYgBvAHQAaABcAG4AIAAgACAAIAAvAC8AIAAgAEkATgBUACgAIABNAG8AbgB0AGgAcwAgAC8AIAAwACkAIABhAG4AZAAgAE0ATwBEACgAIABNAG8AbgB0AGgAcwAsACAAMAApACAAYQByAGUAIAAjAEQASQBWAC8AMAAhAC4AIABUAGgAZQAgAHcAZQBlAGsAbAB5ACAAcgBlAHMAdQBsAHQAIABuAGUAdgBlAHIAXABuACAAIAAgACAALwAvACAAIABuAGUAZQBkAHMAIAB0AGgAZQAgAG0AbwBuAHQAaAAgAGEAcgBpAHQAaABtAGUAdABpAGMALAAgAGEAbgBkACAAYQBuACAAdQBuAHIAZQBjAG8AZwBuAGkAcwBlAGQAIABpAG4AdABlAHIAdgBhAGwAIABpAHMAIAByAGUAcABvAHIAdABlAGQAIABiAGUAbABvAHcALgBcAG4AIAAgACAAIAAgACAAIAAgAEQAaQB2AGkAcwBvAHIALAAgACAAIAAgACAAIAAgACAAIAAgACAAIABJAEYAKAAgAE0AcABQACAAPQAgADAALAAgADEALAAgAE0AcABQACkALABcAG4AIAAgACAAIAAgACAAIAAgAFAAZQByAGkAbwBkAHMALAAgACAAIAAgACAAIAAgACAAIAAgACAAIABJAE4AVAAoACAATQBvAG4AdABoAHMAIAAvACAARABpAHYAaQBzAG8AcgApACwAXABuACAAIAAgACAAIAAgACAAIABQAGEAcgB0AGkAYQBsAFAAZQByAGkAbwBkACwAIAAgACAAIAAgACAATgAoACAATQBPAEQAKAAgAE0AbwBuAHQAaABzACwAIABEAGkAdgBpAHMAbwByACkAIAA+ACAAMAApACwAXABuACAAIAAgACAAIAAgACAAIABFAE8ATQBDAG8AcgByAGUAYwB0AGkAbwBuACwAIAAgACAAIAAgACAATgAoACAAQQBOAEQAKAAgAEUAbgBkAEQAYQB0AGUAIAA9ACAARQBPAE0ATwBOAFQASAAoACAARQBuAGQARABhAHQAZQAsACAAMAApACwAIABEAEEAWQAoACAAUwB0AGEAcgB0AEQAYQB0AGUAKQAgAD4AIABEAGEAeQAoACAARQBuAGQARABhAHQAZQApACkAKQAsAFwAbgAgACAAIAAgACAAIAAgACAAUgBlAHMAdQBsAHQALAAgACAAIAAgACAAIAAgACAAIAAgACAAIAAgAEkARgBTACgAIABJAG4AdABlAHIAdgBhAGwAIAA9ACAAXAAiAFcAXAAiACwAIABJAE4AVAAoACgARQBuAGQARABhAHQAZQAgAC0AIABTAHQAYQByAHQARABhAHQAZQAgACsAIAAxACkAIAAvACAANwApACwAXABuACAAIAAgACAAIAAgACAAIAAgACAAIAAgACAAIAAgACAAIAAgACAAIAAgACAAIAAgACAAIAAgACAAIAAgACAAIAAgAE0AcABQACAAPQAgADAALAAgACAAIAAgACAAIAAgACAATgBBACgAKQAsAFwAbgAgACAAIAAgACAAIAAgACAAIAAgACAAIAAgACAAIAAgACAAIAAgACAAIAAgACAAIAAgACAAIAAgACAAIAAgACAAIABUAFIAVQBFACwAIAAgACAAIAAgACAAIAAgACAAIAAgAFAAZQByAGkAbwBkAHMAIAArACAATwBSACgAUABhAHIAdABpAGEAbABQAGUAcgBpAG8AZAAsACAARQBPAE0AQwBvAHIAcgBlAGMAdABpAG8Abg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MATABOALsDXABuACAAIAAgACAARABFAFMAQwBSAEkAUABUAEkATwBOADoAKgAvAC8AKgAqAFMAdAByAGEAaQBnAGgAdAAgAEwAaQBuAGUAIABkAGUAcAByAGUAYwBpAGEAdABpAG8AbgAgAG0AZQB0AGgAbwBkACAAZgBvAHIAIABvAG4AZQAgAGEAcwBzAGUAdAAgAG8AcgAgAGEAcwBzAGUAdAAgAGMAbABhAHMAcwAuACoALwBcAG4AUwBMAE4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EwATgC7AygAQwBvAHMAdAAsACAAUwBhAGwAdgBhAGcAZQAsACAATABpAGYAZQApALYAXAAiACAAJgBcAG4AIAAgACAAIAAgACAAIAAgACAAIAAgACAAIAAgACAAIAAgACAAIAAgACAAIAAgACAAIAAgACAAIABcACIARABFAFMAQwBSAEkAUABUAEkATwBOADoAIAAgACAAkiFTAHQAcgBhAGkAZwBoAHQAIABMAGkAbgBlACAARABlAHAAcgBlAGMAaQBhAHQAaQBvAG4AIABN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TABO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QA4ADAALAAxADgAMAAsADEAOAAwACwAMQA4ADAALAAxADg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AAcgBvAGMAZQBkAHUAcgBlAC4AIABBACAAZgByAGEAYwB0AGkAbwBuAGEAbAAgAGwAaQBmAGUAIABrAGUAZQBwAHMAIABpAHQAcwAgAHcAaABvAGwAZQAgAHkAZQBhAHIAcwAgAGEAdAAgAHQAaABlACAAYQBuAG4AdQBhAGwAIABjAGgAYQByAGcAZQAgAGEAbgBkAFwAbgAgACAAIAAgAC8ALwAgACAAcAB1AHQAcwAgAHQAaABlACAAcgBlAG0AYQBpAG4AZABlAHIAIABpAG4AIABvAG4AZQAgAGYAaQBuAGEAbAAgAHAAYQByAHQALQB5AGUAYQByACAAYwBvAGwAdQBtAG4ALAAgAHMAbwAgAG4AbwB0AGgAaQBuAGcAIABpAHMAIABsAGUAZgB0ACAAdQBuAGQAZQBwAHIAZQBjAGkAYQB0AGUAZAAuAFwAbgAgACAAIAAgACAAIAAgACAARABlAHAAbgAsACAAIAAgACAAIAAgACAAIAAgACAAIABTAEwATgAoACAAQwBvAHMAdAAsACAAUwBhAGwAdgBhAGcAZQAsACAATABpAGYAZQApACwAXABuACAAIAAgACAAIAAgACAAIABXAGgAbwBsAGUALAAgACAAIAAgACAAIAAgACAAIAAgAEkATgBUACgAIABMAGkAZgBlACkALABcAG4AIAAgACAAIAAgACAAIAAgAFIAZQBzAHUAbAB0ACwAIAAgACAAIAAgACAAIAAgACAASQBGACgAIABXAGgAbwBsAGUAIAA9ACAATABpAGYAZQAsACAARQBYAFAAQQBOAEQAKAAgAEQAZQBwAG4ALAAgADEALAAgAEwAaQBmAGUALAAgAEQAZQBwAG4AKQAsAFwAbgAgACAAIAAgACAAIAAgACAAIAAgACAAIAAgACAAIAAgACAAIAAgACAAIAAgACAAIAAgACAAIAAgAEkARgAoACAAVwBoAG8AbABlACAAPQAgADAALAAgAEMAbwBzAHQAIAAtACAAUwBhAGwAdgBhAGcAZQAsAFwAbgAgACAAIAAgACAAIAAgACAAIAAgACAAIAAgACAAIAAgACAAIAAgACAAIAAgACAAIAAgACAAIAAgACAAIAAgACAASABTAFQAQQBDAEsAKAAgAEUAWABQAEEATgBEACgAIABEAGUAcABuACwAIAAxACwAIABXAGgAbwBsAGUALAAgAEQAZQBwAG4AKQAsACAAQwBvAHMAdAAgAC0AIABTAGEAbAB2AGEAZwBlACAALQAgAEQAZQBwAG4AIAAqACAAVwBoAG8AbABlACkAKQ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FMAWQBEALsDXABuACAAIAAgACAARABFAFMAQwBSAEkAUABUAEkATwBOADoAKgAvAC8AKgAqAFMAdQBtAC0AbwBmAC0AeQBlAGEAcgBzACcAIABkAGkAZwBpAHQAcwAgAGQAZQBwAHIAZQBjAGkAYQB0AGkAbwBuACAAbQBlAHQAaABvAGQAIABmAG8AcgAgAG8AbgBlACAAYQBzAHMAZQB0ACAAbwByACAAYQBzAHMAZQB0ACAAYwBsAGEAcwBzAC4AKgAvAFwAbgBTAFkARA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WQBEALsDKABDAG8AcwB0ACwAIABTAGEAbAB2AGEAZwBlACwAIABMAGkAZgBlACkAtgBcACIAIAAmAFwAbgAgACAAIAAgACAAIAAgACAAIAAgACAAIAAgACAAIAAgACAAIAAgACAAIAAgACAAIAAgACAAIAAgAFwAIgBEAEUAUwBDAFIASQBQAFQASQBPAE4AOgAgACAAIACSIVMAdQBtAC0AbwBmAC0AeQBlAGEAcgBzACcAIABkAGkAZwBpAHQAcw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FkARA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wAMgA0ADAALAAxADgAMAAsADEAMgAwACw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XABuACAAIAAgACAAIAAgACAAIABSAGUAcwB1AGwAdAAsACAAIAAgACAAIAAgACAAIABTAFkARAAoAEMAbwBzAHQALAAgAFMAYQBsAHYAYQBnAGUALAAgAEwAaQBmAGUALAAgAFMARQBRAFUARQBOAEMARQAoACAALAAgAEwAaQBm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IAuwNcAG4AIAAgACAAIABEAEUAUwBDAFIASQBQAFQASQBPAE4AOgAqAC8ALwAqACoARgBpAHgAZQBkACAAZABlAGMAbABpAG4AaQBuAGcAIABiAGEAbABhAG4AYwBlACAAZABlAHAAcgBlAGMAaQBhAHQAaQBvAG4AIABtAGUAdABoAG8AZAAgAGYAbwByACAAbwBuAGUAIABhAHMAcwBlAHQAIABvAHIAIABhAHMAcwBlAHQAIABjAGwAYQBzAHMALgAqAC8AXABuAEQAQgC7AyAAPQAgAEwAQQBNAEIARABBACgAXABuAC8ALwAgACAAUABhAHIAYQBtAGUAdABlAHIAIABEAGUAYwBsAGEAcgBhAHQAaQBvAG4AXABuACAAIAAgACAAWwBDAG8AcwB0AF0ALABcAG4AIAAgACAAIABbAFMAYQBsAHYAYQBnAGUAXQAsACAAXABuACAAIAAgACAAWwBMAGkAZgBlAF0ALAAgAFwAbgAgACAAIAAgAFsATQBvAG4AdABoAHM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QgC7AygAQwBvAHMAdAAsACAAUwBhAGwAdgBhAGcAZQAsACAATABpAGYAZQAsACAAWwBNAG8AbgB0AGgAcwBdACkAtgBcACIAIAAmAFwAbgAgACAAIAAgACAAIAAgACAAIAAgACAAIAAgACAAIAAgACAAIAAgACAAIAAgACAAIAAgACAAIAAgAFwAIgBEAEUAUwBDAFIASQBQAFQASQBPAE4AOgAgACAAIACSIUYAaQB4AGUAZAAgAGQAZQBjAGwAaQBuAGkAbgBnACAAYgBhAGwAYQBuAGMAZQAgAGQAZQBwAHIAZQBjAGkAYQB0AGkAbwBuACAAbQBlAHQAaABvAGQAIABmAG8AcgAgAG8AbgBlACAAYQBzAHMAZQB0ACAAbwByACAAYQBzAHMAZQB0ACAAYwBsAGEAcwBz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TgBPAFQARQBTADoAIAAgACAAIAAgACAAIAAgACAAkiFGAG8AcgAgAGEAIABwAG8AcwBpAHQAaQB2AGUAIAB3AGgAbwBsAGUALQBuAHUAbQBiAGUAcgAgAEwAaQBmAGUALAAgAHIAZQB0AHUAcgBuAHMAIABMAGkAZgBlACAAcwBjAGgAZQBkAHUAbABlACAAdgBhAGwAdQBlAHMALgC2AFwAIgAgACYAXABuACAAIAAgACAAIAAgACAAIAAgACAAIAAgACAAIAAgACAAIAAgACAAIAAgACAAIAAgACAAIAAgACAAXAAiACAAIAAgACAAIAAgACAAIAAgACAAIAAgACAAIAAgAJIhVABoAGUAIABmAGkAcgBzAHQAIABMAGkAZgBlAC0AMQAgAHYAYQBsAHUAZQBzACAAdQBzAGUAIABFAHgAYwBlAGwAJwBzACAARABCACAAYwBhAGwAYwB1AGwAYQB0AGkAbwBuAC4AtgBcACIAIAAmAFwAbgAgACAAIAAgACAAIAAgACAAIAAgACAAIAAgACAAIAAgACAAIAAgACAAIAAgACAAIAAgACAAIAAgAFwAIgAgACAAIAAgACAAIAAgACAAIAAgACAAIAAgACAAIACSIVQAaABlACAAZgBpAG4AYQBsACAAdgBhAGwAdQBlACAAbQBhAGsAZQBzACAAdABvAHQAYQBsACAAZABlAHAAcgBlAGMAaQBhAHQAaQBvAG4AIABlAHEAdQBhAGwAIABDAG8AcwB0ACAAbQBpAG4AdQBzACAAUwBhAGwAdgBhAGcAZQAuALYAXAAiACAAJgBcAG4AIAAgACAAIAAgACAAIAAgACAAIAAgACAAIAAgACAAIAAgACAAIAAgACAAIAAgACAAIAAgACAAIABcACIAIAAgACAAIAAgACAAIAAgACAAIAAgACAAIAAgACAAkiFNAG8AbgB0AGgAcwAgAGEAcABwAGwAaQBlAHMAIAB0AG8AIAB0AGgAZQAgAGYAaQByAHMAdAAgAG8AZgAgAHQAaABvAHMAZQAgAGUAYQByAGwAaQBlAHIAIAB2AGEAbAB1AGUAcwA7ACAAbgBvACAAZQB4AHQAcgBhACAAZgBpAG4AYQBsACAAcABlAHIAaQBvAGQAIABpAHMAIABhAGQAZABlAGQALgC2AFwAIgAgACYAXABuACAAIAAgACAAIAAgACAAIAAgACAAIAAgACAAIAAgACAAIAAgACAAIAAgACAAIAAgACAAIAAgACAAXAAiACAAIAAgACAAIAAgACAAIAAgACAAIAAgACAAIAAgAJIhQQAgAG8AbgBlAC0AeQBlAGEAcgAgAGwAaQBmAGUAIAByAGUAdAB1AHIAbgBzACAAQwBvAHMAdAAgAG0AaQBuAHUAcwAgAFMAYQBsAHYAYQBnAGUALAAgAHIAZQBnAGEAcgBkAGwAZQBzAHMAIABvAGYAIABNAG8AbgB0AGgAcwAu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HQAIAB0AGgAZQAgAGUAbgBkACAAbwBmACAAaQB0AHMAIABsAGkAZgBlAC4AIABNAGEAeQAgAGIAZQAgADAALgC2AFwAIgAgACY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TQBvAG4AdABoAHMAIAAgACAAIAAgACAAIAAgACAAkiEoAE8AcAB0AGkAbwBuAGEAbAApACAATgB1AG0AYgBlAHIAIABvAGYAIABtAG8AbgB0AGgAcwAgAGkAbgAgAHQAaABlACAAZgBpAHIAcwB0ACAAeQBlAGEAcgAgAHQAbwAgAGQAZQBwAHIAZQBjAGkAYQB0AGU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NgA5AC4AMAAwACwAMgAzADIALgA4ADQALAAxADQANgAuADkAMgAsADkAMgAuADcAMQAsADUAOAAuADU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0AbwBuAHQAaABzACwAIAAgACAAIAAgACAAIAAgACAASQBGACgAIABJAFMATwBNAEkAVABUAEUARAAoACAATQBvAG4AdABoAHMAKQAsACAAMQAyACwAIABNAG8AbgB0AGgAcwApACwAXABuACAAIAAgACAALwAvACAAIABQAHIAbwBjAGUAZAB1AHIAZQAuACAAQQAgAG8AbgBlAC0AeQBlAGEAcgAgAGwAaQBmAGUAIABoAGEAcwAgAG4AbwAgAHAAcgBlAGMAZQBkAGkAbgBnACAAeQBlAGEAcgBzACAAdABvACAAcwBjAGgAZQBkAHUAbABlACwAIABzAG8AIAB0AGgAZQAgAHcAaABvAGwAZQBcAG4AIAAgACAAIAAvAC8AIAAgAGQAZQBwAHIAZQBjAGkAYQBiAGwAZQAgAGEAbQBvAHUAbgB0ACAAaQBzACAAdABoAGUAIABmAGkAbgBhAGwALQB5AGUAYQByACAAYgBhAGwAYQBuAGMAZQAuAFwAbgAgACAAIAAgACAAIAAgACAARABlAHAAbgAsACAAIAAgACAAIAAgACAAIAAgACAAIABEAEIAKAAgAEMAbwBzAHQALAAgAFMAYQBsAHYAYQBnAGUALAAgAEwAaQBmAGUALAAgAFMARQBRAFUARQBOAEMARQAoACAALAAgAE0AQQBYACgAIABMAGkAZgBlACAALQAgADEALAAgADEAKQApACwAIABNAG8AbgB0AGgAcwApACwAXABuACAAIAAgACAAIAAgACAAIABSAGUAcwB1AGwAdAAsACAAIAAgACAAIAAgACAAIAAgAEkARgAoACAATABpAGYAZQAgADwAIAAyACwAIABDAG8AcwB0ACAALQAgAFMAYQBsAHYAYQBnAGUALAAgAEgAUwBUAEEAQwBLACgAIABEAGUAcABuACwAIABDAG8AcwB0ACAALQAgAFMAVQBNACgAIABEAGUAcABuACkAIAAtACAAUwBhAGwAdgBhAGc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RABCALsDXABuACAAIAAgACAARABFAFMAQwBSAEkAUABUAEkATwBOADoAKgAvAC8AKgAqAEQAbwB1AGIAbABlAC0AZABlAGMAbABpAG4AaQBuAGcAIABiAGEAbABhAG4AYwBlACAAZABlAHAAcgBlAGMAaQBhAHQAaQBvAG4AIABtAGUAdABoAG8AZAAgAGYAbwByACAAbwBuAGUAIABhAHMAcwBlAHQAIABvAHIAIABhAHMAcwBlAHQAIABjAGwAYQBzAHMALgAqAC8AXABuAEQ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EAEIAuwMoAEMAbwBzAHQALAAgAFMAYQBsAHYAYQBnAGUALAAgAEwAaQBmAGUALAAgAFsARgBhAGMAdABvAHIAXQApALYAXAAiACAAJgBcAG4AIAAgACAAIAAgACAAIAAgACAAIAAgACAAIAAgACAAIAAgACAAIAAgACAAIAAgACAAIAAgACAAIABcACIARABFAFMAQwBSAEkAUABUAEkATwBOADoAIAAgACAAkiFEAG8AdQBiAGwAZQAt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OAE8AVABFAFMAOgAgACAAIAAgACAAIAAgACAAIACSIUYAbwByACAAYQAgAHAAbwBzAGkAdABpAHYAZQAgAHcAaABvAGwAZQAtAG4AdQBtAGIAZQByACAATABpAGYAZQAsACAAcgBlAHQAdQByAG4AcwAgAEwAaQBmAGUAIABzAGMAaABlAGQAdQBsAGUAIAB2AGEAbAB1AGUAcwAuALYAXAAiACAAJgBcAG4AIAAgACAAIAAgACAAIAAgACAAIAAgACAAIAAgACAAIAAgACAAIAAgACAAIAAgACAAIAAgACAAIABcACIAIAAgACAAIAAgACAAIAAgACAAIAAgACAAIAAgACAAkiFUAGgAZQAgAGYAaQByAHMAdAAgAEwAaQBmAGUALQAxACAAdgBhAGwAdQBlAHMAIAB1AHMAZQAgAEUAeABjAGUAbAAnAHMAIABEAEQAQgAgAGMAYQBsAGMAdQBsAGEAdABpAG8AbgAuALYAXAAiACAAJgBcAG4AIAAgACAAIAAgACAAIAAgACAAIAAgACAAIAAgACAAIAAgACAAIAAgACAAIAAgACAAIAAgACAAIABcACIAIAAgACAAIAAgACAAIAAgACAAIAAgACAAIAAgACAAkiFUAGgAZQAgAGYAaQBuAGEAbAAgAHYAYQBsAHUAZQAgAG0AYQBrAGUAcwAgAHQAbwB0AGEAbAAgAGQAZQBwAHIAZQBjAGkAYQB0AGkAbwBuACAAZQBxAHUAYQBsACAAQwBvAHMAdAAgAG0AaQBuAHUAcwAgAFMAYQBsAHYAYQBnAGUALgC2AFwAIgAgACYAXABuACAAIAAgACAAIAAgACAAIAAgACAAIAAgACAAIAAgACAAIAAgACAAIAAgACAAIAAgACAAIAAgACAAXAAiACAAIAAgACAAIAAgACAAIAAgACAAIAAgACAAIAAgAJIhQQAgAG8AbgBlAC0AeQBlAGEAcgAgAGwAaQBmAGUAIAByAGUAdAB1AHIAbgBzACAAQwBvAHMAdAAgAG0AaQBuAHUAcwAgAFMAYQBsAHYAYQBnAGUALAAgAHIAZQBnAGEAcgBkAGwAZQBzAHMAIABvAGYAIABGAGEAYwB0AG8AcgAu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HQAIAB0AGgAZQAgAGUAbgBkACAAbwBmACAAaQB0AHMAIABsAGkAZgBlAC4AIABNAGEAeQAgAGIAZQAgADAALgC2AFwAIgAgACY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E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QAMAAwAC4AMAAwACwAMgA0ADAALgAwADAALAAxADQANAAuADAAMAAsADgANgAuADQAMAAsADIAOQAuADY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8ALwAgACAAUAByAG8AYwBlAGQAdQByAGUALgAgAEEAIABvAG4AZQAtAHkAZQBhAHIAIABsAGkAZgBlACAAaABhAHMAIABuAG8AIABwAHIAZQBjAGUAZABpAG4AZwAgAHkAZQBhAHIAcwAgAHQAbwAgAHMAYwBoAGUAZAB1AGwAZQAsACAAcwBvACAAdABoAGUAIAB3AGgAbwBsAGUAXABuACAAIAAgACAALwAvACAAIABkAGUAcAByAGUAYwBpAGEAYgBsAGUAIABhAG0AbwB1AG4AdAAgAGkAcwAgAHQAaABlACAAZgBpAG4AYQBsAC0AeQBlAGEAcgAgAGIAYQBsAGEAbgBjAGUALgBcAG4AIAAgACAAIAAgACAAIAAgAEQAZQBwAG4ALAAgACAAIAAgACAAIAAgACAAIAAgACAARABEAEIAKAAgAEMAbwBzAHQALAAgAFMAYQBsAHYAYQBnAGUALAAgAEwAaQBmAGUALAAgAFMARQBRAFUARQBOAEMARQAoACAALAAgAE0AQQBYACgAIABMAGkAZgBlACAALQAgADEALAAgADEAKQApACwAIABGAGEAYwB0AG8AcgApACwAXABuACAAIAAgACAAIAAgACAAIABSAGUAcwB1AGwAdAAsACAAIAAgACAAIAAgACAAIAAgAEkARgAoACAATABpAGYAZQAgADwAIAAyACwAIABDAG8AcwB0ACAALQAgAFMAYQBsAHYAYQBnAGUALAAgAEgAUwBUAEEAQwBLACgAIABEAGUAcABuACwAIABDAG8AcwB0ACAALQAgAFMAVQBNACgAIABEAGUAcABuACkAIAAtACAAUwBhAGwAdgBhAGc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YARABCALsDXABuACAAIAAgACAARABFAFMAQwBSAEkAUABUAEkATwBOADoAKgAvAC8AKgAqAFYAYQByAGkAYQBiAGwAZQAgAGQAZQBjAGwAaQBuAGkAbgBnACAAYgBhAGwAYQBuAGMAZQAgAGQAZQBwAHIAZQBjAGkAYQB0AGkAbwBuACAAbQBlAHQAaABvAGQAIABmAG8AcgAgAG8AbgBlACAAYQBzAHMAZQB0ACAAbwByACAAYQBzAHMAZQB0ACAAYwBsAGEAcwBzAC4AKgAvAFwAbgBW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FsATgBvAF8AUwB3AGkAdABjAGg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YARABCALsDKABDAG8AcwB0ACwAIABTAGEAbAB2AGEAZwBlACwAIABMAGkAZgBlACwAIABbAEYAYQBjAHQAbwByAF0ALAAgAFsATgBvAF8AUwB3AGkAdABjAGgAXQApALYAXAAiACAAJgBcAG4AIAAgACAAIAAgACAAIAAgACAAIAAgACAAIAAgACAAIAAgACAAIAAgACAAIAAgACAAIAAgACAAIABcACIARABFAFMAQwBSAEkAUABUAEkATwBOADoAIAAgACAAkiFWAGEAcgBpAGEAYgBsAGUAIA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HQAIAB0AGgAZQAgAGUAbgBkACAAbwBmACAAaQB0AHMAIABsAGkAZgBlAC4AIABNAGEAeQAgAGIAZQAgADAALgC2AFwAIgAgACY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4AbwBfAFMAdwBpAHQAYwBoACAAIAAgACAAIAAgAJIhKABPAHAAdABpAG8AbgBhAGwAIABEAGUAZgBhAHUAbAB0AD0ARgBBAEwAUwBFACkAIABTAHcAaQB0AGMAaAAgAHQAbwAgAHMAdAByAGEAaQBnAGgAdAAtAGwAaQBuAGUAIABkAGUAcAByAGUAYwBpAGEAdABpAG8AbgAgAHcAaABlAG4AtgBcACIAIAAmACAAXABuACAAIAAgACAAIAAgACAAIAAgACAAIAAgACAAIAAgACAAIAAgACAAIAAgACAAIAAgACAAIAAgACAAIAAgACAAIAAgACAAIAAgACAAIAAgACAAIAAgACAAXAAiAJIhIABkAGUAcAByAGUAYwBpAGEAdABpAG8AbgAgAGkAcwAgAGcAcgBlAGEAdABlAHIAIAB0AGgAYQBuACAAdABoAGUAIABkAGUAYwBsAGkAbgBpAG4AZwAgAGIAYQBsAGEAbgBjAGUAIABjAGEAbABjAHUAbABhAHQAaQBvAG4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YARABCALsDKAAxADAAMAAwACwAIAAxADAAMAAsACAANQAsACAAMQAuADUALAAgAFQAUgBVAE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4AMAAwACwAMgAxADAALgAwADAALAAxADQANwAuADAAMAAsADEAMAAyAC4AOQAwACwANwAyAC4AMAAz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IAAgACAAIABOAG8AXwBTAHcAaQB0AGMAaAAsACAAIAAgACAAIAAgAEkARgAoACAASQBTAE8ATQBJAFQAVABFAEQAKAAgAE4AbwBfAFMAdwBpAHQAYwBoACkALAAgAEYAQQBMAFMARQAsACAATgBvAF8AUwB3AGkAdABjAGgAKQAsAFwAbgAgACAAIAAgAC8ALwAgACAAUAByAG8AYwBlAGQAdQByAGUAXABuACAAIAAgACAAIAAgACAAIABSAGUAcwB1AGwAdAAsACAAIAAgACAAIAAgACAAIAAgAFYARABCACgAIABDAG8AcwB0ACwAIABTAGEAbAB2AGEAZwBlACwAIABMAGkAZgBlACwAIABTAEUAUQBVAEUATgBDAEUAKAAgACwAIABMAGkAZgBlACwAIAAwACkALAAgAFMARQBRAFUARQBOAEMARQAoACAALAAgAEwAaQBmAGUAKQAsACAARgBhAGMAdABvAHIALAAgAE4AbwBfAFMAdwBpAHQAYwBoACkAL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EAbQBvAHIAdABpAHMAZQC7A0QAVgBcAG4AIAAgACAAIABEAEUAUwBDAFIASQBQAFQASQBPAE4AOgAqAC8ALwAqACoAUAByAG8AdgBpAGQAZQBzACAAZQB4AHQAZQBuAGQAZQBkACAAZABhAHQAYQAgAHYAYQBsAGkAZABhAHQAaQBvAG4AIABvAGYAIABhAHIAZwB1AG0AZQBuAHQAcwAgAGYAbwByACAAQQBtAG8AcgB0AGkAcwBlALsDKAApACoALwBcAG4AQQBtAG8AcgB0AGkAcwBlALsDRABWACAAPQAgAEwAQQBNAEIARABBACgAXABuAC8ALwAgACAAUABhAHIAYQBtAGUAdABlAHIAIABEAGUAYwBsAGEAcgBhAHQAaQBvAG4AcwBcAG4AIAAgACAAIABbAFAAcgBpAG4AYwBpAHAAYQBsAF0ALABcAG4AIAAgACAAIABbAEEAUABSAF0ALABcAG4AIAAgACAAIABbAFQAZQByAG0AXQAsACAAXABuACAAIAAgACAAWwBTAHQAYQByAHQARABhAHQAZQBdACwAXABuACAAIAAgACAAWwBUAGkAbQBlAGwAaQBuAGUAXQAsACAAXABuACAAIAAgACAAWwBGAGkAbgBhAGwAUABlAHIAaQBvAGQARQBuAGQAXQAs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UAByAGkAbgBjAGkAcABhAGwAKQApACwAXABuACAAIAAgACAAIAAgACAAIAAgACAAIAAgACAAIAAgACAAIAAgACAAIAAgACAAIAAgACAAIAAgACAATwBSACgAIABJAFMARQBSAFIATwBSACgAIABBAFAAUgApACkALABcAG4AIAAgACAAIAAgACAAIAAgACAAIAAgACAAIAAgACAAIAAgACAAIAAgACAAIAAgACAAIAAgACAAIABPAFIAKAAgAEkAUwBFAFIAUgBPAFIAKAAgAFQAZQByAG0AKQApACwAXABuACAAIAAgACAAIAAgACAAIAAgACAAIAAgACAAIAAgACAAIAAgACAAIAAgACAAIAAgACAAIAAgACAATwBSACgAIABJAFMARQBSAFIATwBSACgAIABTAHQAYQByAHQARABhAHQAZQApACkALABcAG4AIAAgACAAIAAgACAAIAAgACAAIAAgACAAIAAgACAAIAAgACAAIAAgACAAIAAgACAAIAAgACAAIABPAFIAKAAgAEkAUwBFAFIAUgBPAFIAKAAgAFQAaQBtAGUAbABpAG4AZQApACkALABcAG4AIAAgACAAIAAgACAAIAAgACAAIAAgACAAIAAgACAAIAAgACAAIAAgACAAIAAgACAALwAvACAAIABBAG0AbwByAHQAaQBzAGUAuwMgAHIAZQBhAGQAcwAgAHQAaABpAHMAIABvAG4AZQAgAHQAaAByAG8AdQBnAGgAIABNAEEAWAAsACAAcwBvACAAYQBuACAAZQByAHIAbwByACAAaQBuACAAaQB0ACAAcwB0AG8AcABzACAAYQBcAG4AIAAgACAAIAAgACAAIAAgACAAIAAgACAAIAAgACAAIAAgACAAIAAgACAAIAAgACAALwAvACAAIABzAGMAaABlAGQAdQBsAGUAIABhAG4AZAAgAGgAYQBzACAAdABvACAAcwB0AG8AcAAgAHQAaABlACAAdgBhAGwAaQBkAGEAdABvAHIAIAB0AG8AbwAuACAAQQBuACAAbwBtAGkAdAB0AGUAZAAgAGEAcgBnAHUAbQBlAG4AdABcAG4AIAAgACAAIAAgACAAIAAgACAAIAAgACAAIAAgACAAIAAgACAAIAAgACAAIAAgACAALwAvACAAIABpAHMAIABuAG8AdAAgAGEAbgAgAGUAcgByAG8AcgAsACAAYQBuAGQAIABJAFMARQBSAFIATwBSACAAYwBhAG4AbgBvAHQAIABiAGUAIABhAHMAawBlAGQAIABhAGIAbwB1AHQAIABvAG4AZQAuAFwAbgAgACAAIAAgACAAIAAgACAAIAAgACAAIAAgACAAIAAgACAAIAAgACAAIAAgACAAIAAgACAAIAAgAEkARgAoACAASQBTAE8ATQBJAFQAVABFAEQAKAAgAEYAaQBuAGEAbABQAGUAcgBpAG8AZABFAG4AZAApACwAIABGAEEATABTAEUALAAgAE8AUgAoACAASQBTAEUAUgBSAE8AUgAoACAARgBpAG4AYQBsAFAAZQByAGkAbwBkAEUAbgBkACk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QAHIAaQBuAGMAaQBwAGEAbAApACwAIABJAFMARQBSAFIATwBSACgAIABQAHIAaQBuAGMAaQBwAGEAbAApACkALAAgAFwAbgAgACAAIAAgACAAIAAgACAAIAAgACAAIAAgACAAIAAgACAAIAAgACAAIAAgACAAIAAgACAAIAAgAEYAQQBMAFMARQAsACAAXABuACAAIAAgACAAIAAgACAAIAAgACAAIAAgACAAIAAgACAAIAAgACAAIAAgACAAIAAgACAAIAAgACAATwBSACgAIABJAEYARQBSAFIATwBSACgAIABWAEEATABVAEUAKABQAHIAaQBuAGMAaQBwAGEAbAApACAAPAAgADEALAAgAFQAUgBVAEUAKQApACkALABcAG4AIAAgACAAIAAgACAAIAAgAEQAVgBBAHIAZwAyACwAIAAgACAAIAAgACAAIAAgACAASQBGACgAIABPAFIAKAAgAEkAUwBPAE0ASQBUAFQARQBEACgAIABBAFAAUgApACwAIABJAFMARQBSAFIATwBSACgAIABBAFAAUgApACkALAAgAFwAbgAgACAAIAAgACAAIAAgACAAIAAgACAAIAAgACAAIAAgACAAIAAgACAAIAAgACAAIAAgACAAIAAgAEYAQQBMAFMARQAsACAAXABuACAAIAAgACAAIAAgACAAIAAgACAAIAAgACAAIAAgACAAIAAgACAAIAAgACAAIAAgACAAIAAgACAATwBSACgAIABJAEYARQBSAFIATwBSACgAIABWAEEATABVAEUAKABBAFAAUgApACAAPAAgADAALAAgAFQAUgBVAEUAKQApACkALABcAG4AIAAgACAAIAAgACAAIAAgAEQAVgBBAHIAZwAzACwAIAAgACAAIAAgACAAIAAgACAASQBGACgAIABPAFIAKAAgAEkAUwBPAE0ASQBUAFQARQBEACgAIABUAGUAcgBtACkALAAgAEkAUwBFAFIAUgBPAFIAKAAgAFQAZQByAG0AKQApACwAIABcAG4AIAAgACAAIAAgACAAIAAgACAAIAAgACAAIAAgACAAIAAgACAAIAAgACAAIAAgACAAIAAgACAAIABGAEEATABTAEUALAAgAFwAbgAgACAAIAAgACAAIAAgACAAIAAgACAAIAAgACAAIAAgACAAIAAgACAAIAAgACAAIAAgACAAIAAgAE8AUgAoACAASQBGAEUAUgBSAE8AUgAoACAAVgBBAEwAVQBFACgAVABlAHIAbQApACAAPAAgADEALAAgAFQAUgBVAEUAKQApACkALABcAG4AIAAgACAAIAAgACAAIAAgAEQAVgBBAHIAZwA0ACwAIAAgACAAIAAgACAAIAAgACAASQBGACgAIABPAFIAKAAgAEkAUwBPAE0ASQBUAFQARQBEACgAIABTAHQAYQByAHQARABhAHQAZQApACwAIABJAFMARQBSAFIATwBSACgAIABTAHQAYQByAHQARABhAHQAZQApACkALAAgAFwAbgAgACAAIAAgACAAIAAgACAAIAAgACAAIAAgACAAIAAgACAAIAAgACAAIAAgACAAIAAgACAAIAAgAEYAQQBMAFMARQAsACAAXABuACAAIAAgACAAIAAgACAAIAAgACAAIAAgACAAIAAgACAAIAAgACAAIAAgACAAIAAgACAAIAAgACAATwBSACgAIABJAEYARQBSAFIATwBSACgAIABWAEEATABVAEUAKABTAHQAYQByAHQARABhAHQAZQApACAAPAAgAE0ASQBOACgAIABUAGkAbQBlAGwAaQBuAGUAKQAsACAAVABSAFUARQApACkAKQAsAFwAbgAgACAAIAAgACAAIAAgACAARABWAEEAcgBnADUALAAgACAAIAAgACAAIAAgACAAIABJAEYAKAAgAE8AUgAoACAASQBTAE8ATQBJAFQAVABFAEQAKAAgAFQAaQBtAGUAbABpAG4AZQ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VABpAG0AZQBsAGkAbgBlACkAIAA8ACAAMQAsACAAVABSAFUARQApACkAKQAsAFwAbgAgACAAIAAgACAAIAAgACAARABWAEEAcgBnADYALAAgACAAIAAgACAAIAAgACAAIABJAEYAKAAgAE8AUgAoACAASQBTAE8ATQBJAFQAVABFAEQAKAAgAFQAaQBtAGUAbABpAG4AZQApACwAIABJAFMARQBSAFIATwBSACgAIABUAGkAbQBlAGwAaQBuAGUAKQAsACAARABWAEEAcgBnADUAKQAsACAAXABuACAAIAAgACAAIAAgACAAIAAgACAAIAAgACAAIAAgACAAIAAgACAAIAAgACAAIAAgACAAIAAgACAARgBBAEwAUwBFACwAIABcAG4AIAAgACAAIAAgACAAIAAgACAAIAAgACAAIAAgACAAIAAgACAAIAAgACAAIAAgACAAIAAgACAAIABDAE8AVQBOAFQAQQAoAFQAaQBtAGUAbABpAG4AZQApACAAPAAgADIAKQAsAFwAbgAgACAAIAAgAC8ALwAgACAAQQBtAG8AcgB0AGkAcwBlALsDIAByAGUAYQBkAHMAIABhACAAZwBhAHAAIAB1AG4AZABlAHIAIAAyADgAIABkAGEAeQBzACAAYQBzACAAYQAgAHMAdQBiAC0AbQBvAG4AdABoAGwAeQAgAHQAaQBtAGUAbABpAG4AZQAgAGEAbgBkACAAbABhAHkAcwAgAHQAaABlAFwAbgAgACAAIAAgAC8ALwAgACAAcwBjAGgAZQBkAHUAbABlACAAbwB1AHQAIABpAG4AIABkAGEAeQBzACwAIABzAG8AIABvAG4AbAB5ACAAYQAgAHQAaQBtAGUAbABpAG4AZQAgAHQAaABhAHQAIABkAG8AZQBzACAAbgBvAHQAIABhAGQAdgBhAG4AYwBlACAAaQBzACAAdwByAG8AbgBnACAAaABlAHIAZQAuAFwAbgAgACAAIAAgAC8ALwAgACAARQB2AGUAcgB5ACAAYwBvAG4AcwBlAGMAdQB0AGkAdgBlACAAcABhAGkAcgAgAGkAcwAgAG0AZQBhAHMAdQByAGUAZAAuACAAVABoAGUAIABmAGkAcgBzAHQAIABnAGEAcAAgAGEAbABvAG4AZQAgAGwAZQB0ACAAYQAgAHIAZQBwAGUAYQB0AGUAZAAgAGQAYQB0AGUAXABuACAAIAAgACAALwAvACAAIABsAGEAdABlAHIAIABpAG4AIAB0AGgAZQAgAHIAbwB3ACAAdABoAHIAbwB1AGcAaAAsACAAYQBuAGQAIAB0AGgAZQAgAHAAYQByAGUAbgB0ACcAcwAgAGEAcABwAHIAbwB4AGkAbQBhAHQAZQAgAE0AQQBUAEMASAAgAHQAaABlAG4AIABiAHUAYwBrAGUAdABzACAAYgBvAHQAaABcAG4AIAAgACAAIAAvAC8AIAAgAGMAbwBwAGkAZQBzACAAaQBuAHQAbwAgAG8AbgBlACAAcABlAHIAaQBvAGQAIABhAG4AZAAgAGQAcgBvAHAAcwAgAHQAaABlACAAZAB1AHAAbABpAGMAYQB0AGUAJwBzACAAdgBhAGwAdQBlAC4AXABuACAAIAAgACAAIAAgACAAIABEAFYAQQByAGcANwAsACAAIAAgACAAIAAgACAAIAAgAEkARgAoACAATwBSACgAIABJAFMATwBNAEkAVABUAEUARAAoACAAVABpAG0AZQBsAGkAbgBlACkALAAgAEkAUwBFAFIAUgBPAFIAKAAgAFQAaQBtAGUAbABpAG4AZQApACwAIABEAFYAQQByAGcANQAsACAARABWAEEAcgBnADYAKQAsACAAXABuACAAIAAgACAAIAAgACAAIAAgACAAIAAgACAAIAAgACAAIAAgACAAIAAgACAAIAAgACAAIAAgACAARgBBAEwAUwBFACwAIABcAG4AIAAgACAAIAAgACAAIAAgACAAIAAgACAAIAAgACAAIAAgACAAIAAgACAAIAAgACAAIAAgACAAIABMAEUAVAAoACAARABhAHQAZQBzACwAIABUAE8AUgBPAFcAKAAgAFQAaQBtAGUAbABpAG4AZQApACwAXABuACAAIAAgACAAIAAgACAAIAAgACAAIAAgACAAIAAgACAAIAAgACAAIAAgACAAIAAgACAAIAAgACAAIAAgACAAIAAgAE0ASQBOACgAIABEAFIATwBQACgAIABEAGEAdABlAHMALAAgACwAIAAxACkAIAAtACAARABSAE8AUAAoACAARABhAHQAZQBzACwAIAAsACAALQAxACkAKQAgADwAIAAxACkAKQAsAFwAbgAgACAAIAAgAC8ALwAgACAARgBpAG4AYQBsAFAAZQByAGkAbwBkAEUAbgBkACAAaQBzACAAdABoAGUAIABkAGEAeQAgAGEAZgB0AGUAcgAgAHQAaABlACAAbABhAHMAdAAgAHAAZQByAGkAbwBkACAAZQBuAGQAcwAsACAAcwBvACAAaQB0ACAAZgBhAGwAbABzACAAYQBmAHQAZQByACAAdABoAGUAIABsAGEAcwB0AFwAbgAgACAAIAAgAC8ALwAgACAAZABhAHQAZQAgAGkAbgAgAHQAaABlACAAdABpAG0AZQBsAGkAbgBlAC4AIABDAE8AVQBOAFQAIABpAHMAIAAxACAAZgBvAHIAIABvAG4AZQAgAGQAYQB0AGUALAAgADAAIABmAG8AcgAgAHQAZQB4AHQAIABhAG4AZAAgAG0AbwByAGUAIAB0AGgAYQBuACAAMQAgAGYAbwByACAAYQBcAG4AIAAgACAAIAAvAC8AIAAgAHIAYQBuAGcAZQAsACAAdwBoAGkAYwBoACAAYwBvAHYAZQByAHMAIAB0AGgAZQAgAHMAaABhAHAAZQAgAGEAbgBkACAAdABoAGUAIAB0AHkAcABlACAAaQBuACAAbwBuAGUAIAB0AGUAcwB0AC4AIABBAG0AbwByAHQAaQBzAGUAuwMgAHIAZQBmAHUAcwBlAHMAIABpAHQAXABuACAAIAAgACAALwAvACAAIAB3AGkAdABoAG8AdQB0ACAAYQAgAHQAaQBtAGUAbABpAG4AZQAgAHIAYQB0AGgAZQByACAAdABoAGEAbgAgAG0AZQBhAHMAdQByAGUAIABpAHQAIABhAGcAYQBpAG4AcwB0ACAAdABoAGUAIABkAGUAZgBhAHUAbAB0ACAAaQB0ACAAYwBoAG8AcwBlACAAZgBvAHIAIABpAHQAcwBlAGwAZgAsAFwAbgAgACAAIAAgAC8ALwAgACAAcwBvACAAdABoAGkAcwAgAHIAZQBmAHUAcwBlAHMAIAB0AGgAZQAgAHMAYQBtAGUAIABjAGEAbABsACAAcgBhAHQAaABlAHIAIAB0AGgAYQBuACAAcABhAHMAcwBpAG4AZwAgAG8AbgBlACAAaQB0AHMAIABwAGEAcgBlAG4AdAAgAHcAaQBsAGwAIABuAG8AdAAgAGEAbgBzAHcAZQByAC4AXABuACAAIAAgACAAIAAgACAAIABEAFYAQQByAGcAOAAsACAAIAAgACAAIAAgACAAIAAgAEkARgAoACAATwBSACgAIABJAFMATwBNAEkAVABUAEUARAAoACAARgBpAG4AYQBsAFAAZQByAGkAbwBkAEUAbgBkACkALAAgAEkAUwBFAFIAUgBPAFIAKAAgAEYAaQBuAGEAbABQAGUAcgBpAG8AZABFAG4AZAApACkALABcAG4AIAAgACAAIAAgACAAIAAgACAAIAAgACAAIAAgACAAIAAgACAAIAAgACAAIAAgACAAIAAgACAAIABGAEEATABTAEUALABcAG4AIAAgACAAIAAgACAAIAAgACAAIAAgACAAIAAgACAAIAAgACAAIAAgACAAIAAgACAAIAAgACAAIABPAFIAKAAgAEkAUwBPAE0ASQBUAFQARQBEACgAIABUAGkAbQBlAGwAaQBuAGUAKQAsAFwAbgAgACAAIAAgACAAIAAgACAAIAAgACAAIAAgACAAIAAgACAAIAAgACAAIAAgACAAIAAgACAAIAAgACAAIAAgACAAQwBPAFUATgBUACgAIABGAGkAbgBhAGwAUABlAHIAaQBvAGQARQBuAGQAKQAgADwAPgAgADEALABcAG4AIAAgACAAIAAgACAAIAAgACAAIAAgACAAIAAgACAAIAAgACAAIAAgACAAIAAgACAAIAAgACAAIAAgACAAIAAgAEkARgAoACAATwBSACgAIABJAFMARQBSAFIATwBSACgAIABUAGkAbQBlAGwAaQBuAGUAKQAsACAARABWAEEAcgBnADUAKQAsAFwAbgAgACAAIAAgACAAIAAgACAAIAAgACAAIAAgACAAIAAgACAAIAAgACAAIAAgACAAIAAgACAAIAAgACAAIAAgACAAIAAgACAAIABGAEEATABTAEUALABcAG4AIAAgACAAIAAgACAAIAAgACAAIAAgACAAIAAgACAAIAAgACAAIAAgACAAIAAgACAAIAAgACAAIAAgACAAIAAgACAAIAAgACAATQBBAFgAKAAgAEYAaQBuAGEAbABQAGUAcgBpAG8AZABFAG4AZAApACAAPAA9ACAATQBBAFgAKAAgAFQAaQBtAGUAbABpAG4AZQApACkAKQApACwAXABuACAAIAAgACAAIAAgACAAIABEAFYARQByAHIAbwByAHMALAAgACAAIAAgACAAIAAgAFYAUwBUAEEAQwBLACgAIABEAFYAQQByAGcAMQAsACAARABWAEEAcgBnADIALAAgAEQAVgBBAHIAZwAzACwAIABEAFYAQQByAGcANAAsACAARABWAEEAcgBnADUALAAgAEQAVgBBAHIAZwA2ACwAIABEAFYAQQByAGcANwAsACAARABWAEEAcgBnADg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BuACAAIAAgACAAIAAgACAAIAAgACAAIAAgACAAIAAgACAAIAAgACAAIAAvAC8AIAAgAEUAcgByAG8AcgBzACAAaQBuACAAYQByAGcAdQBtAGUAbgB0AHMAXABuACAAIAAgACAAIAAgACAAIAAgACAAIAAgACAAIAAgACAAIAAgACAAIAAgACAAIAAgAFwAIgBBAG0AbwB1AG4AdAAgAGMAbwBuAHQAYQBpAG4AcwAgAGUAcgByAG8AcgBzACAAaQBuACAAYwBlAGwAbABzAC4AIABSAGUAcwBvAGwAdgBlACAAZQByAHIAbwByAHMAIABmAGkAcgBzAHQALgBcACIAOwBcAG4AIAAgACAAIAAgACAAIAAgACAAIAAgACAAIAAgACAAIAAgACAAIAAgACAAIAAgACAAXAAiAEEAUABSACAAYwBvAG4AdABhAGkAbgBzACAAZQByAHIAbwByAHMAIABpAG4AIABjAGUAbABsAHMALgAgAFIAZQBzAG8AbAB2AGUAIABlAHIAcgBvAHIAcwAgAGYAaQByAHMAdAAuAFwAIgA7AFwAbgAgACAAIAAgACAAIAAgACAAIAAgACAAIAAgACAAIAAgACAAIAAgACAAIAAgACAAIABcACIAVABlAHIAbQAgAGMAbwBuAHQAYQBpAG4AcwAgAGUAcgByAG8AcgBzACAAaQBuACAAYwBlAGwAbABzAC4AIABSAGUAcwBvAGwAdgBlACAAZQByAHIAbwByAHMAIABmAGkAcgBzAHQALgBcACIAOwBcAG4AIAAgACAAIAAgACAAIAAgACAAIAAgACAAIAAgACAAIAAgACAAIAAgACAAIAAgACAAXAAiAFMAdABhAHIAdABEAGEAdABlACAAYwBvAG4AdABhAGkAbgBzACAAZQByAHIAbwByAHMAIABpAG4AIABjAGUAbABsAHMALgAgAFIAZQBzAG8AbAB2AGUAIABlAHIAcgBvAHIAcwAgAGYAaQByAHMAdAAuAFwAIgA7AFwAbgAgACAAIAAgACAAIAAgACAAIAAgACAAIAAgACAAIAAgACAAIAAgACAAIAAgACAAIABcACIAVABpAG0AZQBsAGkAbgBlACAAYwBvAG4AdABhAGkAbgBzACAAZQByAHIAbwByAHMAIABpAG4AIABjAGUAbABsAHMALgAgAFIAZQBzAG8AbAB2AGUAIABlAHIAcgBvAHIAcwAgAGYAaQByAHMAdAAuAFwAIgA7AFwAbgAgACAAIAAgACAAIAAgACAAIAAgACAAIAAgACAAIAAgACAAIAAgACAAIAAgACAAIABcACIARgBpAG4AYQBsAFAAZQByAGkAbwBkAEUAbgBkACAAYwBvAG4AdABhAGkAbgBzACAAZQByAHIAbwByAHMAIABpAG4AIABjAGUAbABsAHMALgAgAFIAZQBzAG8AbAB2AGUAIABlAHIAcgBvAHIAcwAgAGYAaQByAHMAdAAuAFwAIgA7AFwAbgBcAG4AIAAgACAAIAAgACAAIAAgACAAIAAgACAAIAAgACAAIAAgACAAIAAgAC8ALwAgACAARABhAHQAYQAgAHYAYQBsAGkAZABhAHQAaQBvAG4AIABlAHIAcgBvAHIAcwBcAG4AIAAgACAAIAAgACAAIAAgACAAIAAgACAAIAAgACAAIAAgACAAIAAgACAAIAAgACAAXAAiAEEAbQBvAHUAbgB0ACAAbQB1AHMAdAAgAGIAZQAgAGcAcgBlAGEAdABlAHIAIAB0AGgAYQBuACAAMABcACIAOwBcAG4AIAAgACAAIAAgACAAIAAgACAAIAAgACAAIAAgACAAIAAgACAAIAAgACAAIAAgACAAXAAiAEEAUABSACAAbQB1AHMAdAAgAGIAZQAgAGEAIABwAGUAcgBjAGUAbgB0AGEAZwBlACAAbwBmACAAMAAgAG8AcgAgAG0AbwByAGUAXAAiADsAXABuACAAIAAgACAAIAAgACAAIAAgACAAIAAgACAAIAAgACAAIAAgACAAIAAgACAAIAAgAFwAIgBUAGUAcgBtACAAbQB1AHMAdAAgAGIAZQAgAHQAaABlACAAbgB1AG0AYgBlAHIAIABvAGYAIAB0AGkAbQBlAGwAaQBuAGUAIABwAGUAcgBpAG8AZABzACAAdQBuAHQAaQBsACAAdABoAGUAIABkAGUAYgB0ACAAaQBzACAAcwBhAHQAaQBzAGYAaQBlAGQALgBcACIAOwBcAG4AIAAgACAAIAAgACAAIAAgACAAIAAgACAAIAAgACAAIAAgACAAIAAgACAAIAAgACAAXAAiAFMAdABhAHIAdABEAGEAdABlACAAbQB1AHMAdAAgAGIAZQAgAGEAIAB2AGEAbABpAGQAIABkAGEAdABlAC4AXAAiADsAXABuACAAIAAgACAAIAAgACAAIAAgACAAIAAgACAAIAAgACAAIAAgACAAIAAgACAAIAAgAFwAIgBUAGkAbQBlAGwAaQBuAGUAIABtAHUAcwB0ACAAYQAgAHIAbwB3ACAAbwBmACAAcABlAHIAaQBvAGQAIABzAHQAYQByAHQAIABkAGEAdABlAHMALgBcACIAOwBcAG4AIAAgACAAIAAgACAAIAAgACAAIAAgACAAIAAgACAAIAAgACAAIAAgACAAIAAgACAAXAAiAFQAaQBtAGUAbABpAG4AZQAgAG0AdQBzAHQAIABhACAAcgBvAHcAIABvAGYAIABwAGUAcgBpAG8AZAAgAHMAdABhAHIAdAAgAGQAYQB0AGUAcwAgAHcAaQB0AGgAIABtAG8AcgBlACAAdABoAGEAbgAgADEAIABlAG4AdAByAHkALgBcACIAOwBcAG4AIAAgACAAIAAgACAAIAAgACAAIAAgACAAIAAgACAAIAAgACAAIAAgACAAIAAgACAAXAAiAFQAaQBtAGUAbABpAG4AZQAgAG0AdQBzAHQAIABhACAAcgBvAHcAIABvAGYAIABwAGUAcgBpAG8AZAAgAHMAdABhAHIAdAAgAGQAYQB0AGUAcwAgAHQAaABhAHQAIABhAGQAdgBhAG4AYwBlACAAYgB5ACAAYQB0ACAAbABlAGEAcwB0ACAAYQAgAGQAYQB5AC4AXAAiADsAXABuACAAIAAgACAAIAAgACAAIAAgACAAIAAgACAAIAAgACAAIAAgACAAIAAgACAAIAAgAFwAIgBGAGkAbgBhAGwAUABlAHIAaQBvAGQARQBuAGQAIABuAGUAZQBkAHMAIABhACAAVABpAG0AZQBsAGkAbgBlACwAIABhAG4AZAAgAG0AdQBzAHQAIABiAGUAIABvAG4AZQAgAGQAYQB0AGUAIABhAGYAdABlAHIAIAB0AGgAZQAgAGwAYQBzAHQAIABkAGEAdABlACAAaQBuACAAaQB0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DAG8AcgBrAHMAYwByAGUAdwC7A0QAVgBcAG4AIAAgACAAIABEAEUAUwBDAFIASQBQAFQASQBPAE4AOgAqAC8ALwAqACoAUAByAG8AdgBpAGQAZQBzACAAZQB4AHQAZQBuAGQAZQBkACAAZABhAHQAYQAgAHYAYQBsAGkAZABhAHQAaQBvAG4AIABvAGYAIABhAHIAZwB1AG0AZQBuAHQAcwAgAGYAbwByACAAQwBvAHIAawBzAGMAcgBlAHcAuwMuACoALwBcAG4AQwBvAHIAawBzAGMAcgBlAHcAuwNEAFYA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TwBwAGUAbgBpAG4AZwApACkALABcAG4AIAAgACAAIAAgACAAIAAgACAAIAAgACAAIAAgACAAIAAgACAAIAAgACAAIAAgACAAIAAgACAAIABPAFIAKAAgAEkAUwBFAFIAUgBPAFIAKAAgAEYAbABvAHcAMQApACkALABcAG4AIAAgACAAIAAgACAAIAAgACAAIAAgACAAIAAgACAAIAAgACAAIAAgACAAIAAgACAAIAAgACAAIABPAFIAKAAgAEkAUwBFAFIAUgBPAFIAKAAgAEYAbABvAHcAMgApACkALABcAG4AIAAgACAAIAAgACAAIAAgACAAIAAgACAAIAAgACAAIAAgACAAIAAgACAAIAAgACAAIAAgACAAIABPAFIAKAAgAEkAUwBFAFIAUgBPAFIAKAAgAEYAbABvAHcAMwApACkALABcAG4AIAAgACAAIAAgACAAIAAgACAAIAAgACAAIAAgACAAIAAgACAAIAAgACAAIAAgACAAIAAgACAAIABPAFIAKAAgAEkAUwBFAFIAUgBPAFIAKAAgAEYAbABvAHcANA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E8AcABlAG4AaQBuAGcAKQAsACAASQBTAEUAUgBSAE8AUgAoACAATwBwAGUAbgBpAG4AZwApACkALAAgAFwAbgAgACAAIAAgACAAIAAgACAAIAAgACAAIAAgACAAIAAgACAAIAAgACAAIAAgACAAIAAgACAAIAAgAEYAQQBMAFMARQAsACAAXABuACAAIAAgACAAIAAgACAAIAAgACAAIAAgACAAIAAgACAAIAAgACAAIAAgACAAIAAgACAAIAAgACAATgBPAFQAKAAgAEkAUwBOAFUATQBCAEUAUgAoACAATwBwAGUAbgBpAG4AZwAgACkAKQApACwAXABuACAAIAAgACAAIAAgACAAIABEAFYAQQByAGcAMgAsACAAIAAgACAAIAAgACAAIAAgAEkARgAoACAATwBSACgAIABJAFMATwBNAEkAVABUAEUARAAoACAARgBsAG8AdwAxACkALAAgAEkAUwBFAFIAUgBPAFIAKAAgAEYAbABvAHcAMQApACkALAAgAFwAbgAgACAAIAAgACAAIAAgACAAIAAgACAAIAAgACAAIAAgACAAIAAgACAAIAAgACAAIAAgACAAIAAgAEYAQQBMAFMARQAsACAAXABuACAAIAAgACAAIAAgACAAIAAgACAAIAAgACAAIAAgACAAIAAgACAAIAAgACAAIAAgACAAIAAgACAATgBPAFQAKAAgAEEATgBEACgASQBTAE4AVQBNAEIARQBSACgAIABGAGwAbwB3ADEAIAApACkAKQApACwAXABuACAAIAAgACAAIAAgACAAIABEAFYAQQByAGcAMwAsACAAIAAgACAAIAAgACAAIAAgAEkARgAoACAATwBSACgAIABJAFMATwBNAEkAVABUAEUARAAoACAARgBsAG8AdwAyACkALAAgAEkAUwBFAFIAUgBPAFIAKAAgAEYAbABvAHcAMgApACkALAAgAFwAbgAgACAAIAAgACAAIAAgACAAIAAgACAAIAAgACAAIAAgACAAIAAgACAAIAAgACAAIAAgACAAIAAgAEYAQQBMAFMARQAsACAAXABuACAAIAAgACAAIAAgACAAIAAgACAAIAAgACAAIAAgACAAIAAgACAAIAAgACAAIAAgACAAIAAgACAATgBPAFQAKAAgAEEATgBEACgASQBTAE4AVQBNAEIARQBSACgAIABGAGwAbwB3ADIAIAApACkAKQApACwAXABuACAAIAAgACAAIAAgACAAIABEAFYAQQByAGcANAAsACAAIAAgACAAIAAgACAAIAAgAEkARgAoACAATwBSACgAIABJAFMATwBNAEkAVABUAEUARAAoACAARgBsAG8AdwAzACkALAAgAEkAUwBFAFIAUgBPAFIAKAAgAEYAbABvAHcAMwApACkALAAgAFwAbgAgACAAIAAgACAAIAAgACAAIAAgACAAIAAgACAAIAAgACAAIAAgACAAIAAgACAAIAAgACAAIAAgAEYAQQBMAFMARQAsACAAXABuACAAIAAgACAAIAAgACAAIAAgACAAIAAgACAAIAAgACAAIAAgACAAIAAgACAAIAAgACAAIAAgACAATgBPAFQAKAAgAEEATgBEACgASQBTAE4AVQBNAEIARQBSACgAIABGAGwAbwB3ADMAIAApACkAKQApACwAXABuACAAIAAgACAAIAAgACAAIABEAFYAQQByAGcANQAsACAAIAAgACAAIAAgACAAIAAgAEkARgAoACAATwBSACgAIABJAFMATwBNAEkAVABUAEUARAAoACAARgBsAG8AdwA0ACkALAAgAEkAUwBFAFIAUgBPAFIAKAAgAEYAbABvAHcANAApACkALAAgAFwAbgAgACAAIAAgACAAIAAgACAAIAAgACAAIAAgACAAIAAgACAAIAAgACAAIAAgACAAIAAgACAAIAAgAEYAQQBMAFMARQAsACAAXABuACAAIAAgACAAIAAgACAAIAAgACAAIAAgACAAIAAgACAAIAAgACAAIAAgACAAIAAgACAAIAAgACAATgBPAFQAKAAgAEEATgBEACgASQBTAE4AVQBNAEIARQBSACgAIABGAGwAbwB3ADQAIAApACkAKQApACwAXABuACAAIAAgACAAIAAgACAAIABEAFYARQByAHIAbwByAHMALAAgACAAIAAgACAAIAAgAFYAUwBUAEEAQwBLACgAIABEAFYAQQByAGcAMQAsACAARABWAEEAcgBnADIALAAgAEQAVgBBAHIAZwAzACwAIABEAFYAQQByAGcANAAsACAARABWAEEAcgBnADU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AiAE8AcABlAG4AaQBuAGcAIABjAG8AbgB0AGEAaQBuAHMAIABlAHIAcgBvAHIAcwAgAGkAbgAgAGMAZQBsAGwAcwAuACAAUgBlAHMAbwBsAHYAZQAgAGUAcgByAG8AcgBzACAAZgBpAHIAcwB0AC4AXAAiADsAXABuACAAIAAgACAAIAAgACAAIAAgACAAIAAgACAAIAAgACAAIAAgACAAIAAgACAAIAAgACAAXAAiAEYAbABvAHcAMQAgAGMAbwBuAHQAYQBpAG4AcwAgAGUAcgByAG8AcgBzACAAaQBuACAAYwBlAGwAbABzAC4AIABSAGUAcwBvAGwAdgBlACAAZQByAHIAbwByAHMAIABmAGkAcgBzAHQALgBcACIAOwBcAG4AIAAgACAAIAAgACAAIAAgACAAIAAgACAAIAAgACAAIAAgACAAIAAgACAAIAAgACAAIABcACIARgBsAG8AdwAyACAAYwBvAG4AdABhAGkAbgBzACAAZQByAHIAbwByAHMAIABpAG4AIABjAGUAbABsAHMALgAgAFIAZQBzAG8AbAB2AGUAIABlAHIAcgBvAHIAcwAgAGYAaQByAHMAdAAuAFwAIgA7AFwAbgAgACAAIAAgACAAIAAgACAAIAAgACAAIAAgACAAIAAgACAAIAAgACAAIAAgACAAIAAgAFwAIgBGAGwAbwB3ADMAIABjAG8AbgB0AGEAaQBuAHMAIABlAHIAcgBvAHIAcwAgAGkAbgAgAGMAZQBsAGwAcwAuACAAUgBlAHMAbwBsAHYAZQAgAGUAcgByAG8AcgBzACAAZgBpAHIAcwB0AC4AXAAiADsAXABuACAAIAAgACAAIAAgACAAIAAgACAAIAAgACAAIAAgACAAIAAgACAAIAAgACAAIAAgACAAXAAiAEYAbABvAHcANAAgAGMAbwBuAHQAYQBpAG4AcwAgAGUAcgByAG8AcgBzACAAaQBuACAAYwBlAGwAbABzAC4AIABSAGUAcwBvAGwAdgBlACAAZQByAHIAbwByAHMAIABmAGkAcgBzAHQALgBcACIAOwBcAG4AIAAgACAAIAAgACAAIAAgACAAIAAgACAAIAAgACAAIAAgACAAIAAgACAAIAAgACAAIABcAG4AIAAgACAAIAAgACAAIAAgACAAIAAgACAAIAAgACAAIAAgACAAIAAgACAAIAAgACAAIABcACIAUwBlAHQAIABPAHAAZQBuAGkAbgBnACAAbQB1AHMAdAAgAHQAbwAgAGMAbwBuAHQAYQBpAG4AIABvAG4AbAB5ACAAbgB1AG0AZQByAGkAYwAgAHYAYQBsAHUAZQBzAC4AXAAiADsAXABuACAAIAAgACAAIAAgACAAIAAgACAAIAAgACAAIAAgACAAIAAgACAAIAAgACAAIAAgACAAXAAiAFMAZQB0ACAARgBsAG8AdwAxACAAdABvACAAYwBvAG4AdABhAGkAbgAgAG8AbgBsAHkAIABuAHUAbQBlAHIAaQBjACAAdgBhAGwAdQBlAHMALgBcACIAOwBcAG4AIAAgACAAIAAgACAAIAAgACAAIAAgACAAIAAgACAAIAAgACAAIAAgACAAIAAgACAAIABcACIAUwBlAHQAIABGAGwAbwB3ADIAIAB0AG8AIABjAG8AbgB0AGEAaQBuACAAbwBuAGwAeQAgAG4AdQBtAGUAcgBpAGMAIAB2AGEAbAB1AGUAcwAuAFwAIgA7AFwAbgAgACAAIAAgACAAIAAgACAAIAAgACAAIAAgACAAIAAgACAAIAAgACAAIAAgACAAIAAgAFwAIgBTAGUAdAAgAEYAbABvAHcAMwAgAHQAbwAgAGMAbwBuAHQAYQBpAG4AIABvAG4AbAB5ACAAbgB1AG0AZQByAGkAYwAgAHYAYQBsAHUAZQBzAC4AXAAiADsAXABuACAAIAAgACAAIAAgACAAIAAgACAAIAAgACAAIAAgACAAIAAgACAAIAAgACAAIAAgACAAXAAiAFMAZQB0ACAARgBsAG8AdwA0ACAAdABvACAAYwBvAG4AdABhAGkAbgAgAG8AbgBsAHkAIABuAHUAbQBlAHIAaQBjACAAdgBhAGwAdQBlAHM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EAGUAcAByAGUAYwBpAGEAdABlALsDRABWAFwAbgAgACAAIAAgAEQARQBTAEMAUgBJAFAAVABJAE8ATgA6ACoALwAvACoAKgBQAHIAbwB2AGkAZABlAHMAIABlAHgAdABlAG4AZABlAGQAIABkAGEAdABhACAAdgBhAGwAaQBkAGEAdABpAG8AbgAgAG8AZgAgAGEAcgBnAHUAbQBlAG4AdABzACAAZgBvAHIAIABEAGUAcAByAGUAYwBpAGEAdABlALsDKgAvAFwAbgBEAGUAcAByAGUAYwBpAGEAdABlALsDRABWAC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CAAXABuACAAIAAgACAAWwBGAGEAYwB0AG8AcgBz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SQBuAGkAdABpAGEAbABWAGEAbAB1AGUAcwApACkALABcAG4AIAAgACAAIAAgACAAIAAgACAAIAAgACAAIAAgACAAIAAgACAAIAAgACAAIAAgACAAIAAgACAAIABPAFIAKAAgAEkAUwBFAFIAUgBPAFIAKAAgAEkAbgBTAGUAcgB2AGkAYwBlAEQAYQB0AGUAcwApACkALABcAG4AIAAgACAAIAAgACAAIAAgACAAIAAgACAAIAAgACAAIAAgACAAIAAgACAAIAAgACAAIAAgACAAIABPAFIAKAAgAEkAUwBFAFIAUgBPAFIAKAAgAEwAaQBmAGUASQBuAFkAZQBhAHIAcwApACkALABcAG4AIAAgACAAIAAgACAAIAAgACAAIAAgACAAIAAgACAAIAAgACAAIAAgACAAIAAgACAAIAAgACAAIABPAFIAKAAgAEkAUwBFAFIAUgBPAFIAKAAgAFQAaQBtAGUAbABpAG4AZQApACkALABcAG4AIAAgACAAIAAgACAAIAAgACAAIAAgACAAIAAgACAAIAAgACAAIAAgACAAIAAgACAAIAAgACAAIABPAFIAKAAgAEkAUwBFAFIAUgBPAFIAKAAgAFMAYQBsAHYAYQBnAGUAVgBhAGwAdQBlAHMAKQApACwAXABuACAAIAAgACAAIAAgACAAIAAgACAAIAAgACAAIAAgACAAIAAgACAAIAAgACAAIAAgACAAIAAgACAATwBSACgAIABJAFMARQBSAFIATwBSACgAIABEAGkAcwBwAG8AcwBhAGwARABhAHQAZQBzACkAKQAsAFwAbgAgACAAIAAgACAAIAAgACAAIAAgACAAIAAgACAAIAAgACAAIAAgACAAIAAgACAAIAAgACAAIAAgAE8AUgAoACAASQBTAEUAUgBSAE8AUgAoACAARABpAHMAcABvAHMAYQBsAEMAbwBzAHQAcwApACkALABcAG4AIAAgACAAIAAgACAAIAAgACAAIAAgACAAIAAgACAAIAAgACAAIAAgACAAIAAgACAAIAAgACAAIABPAFIAKAAgAEkAUwBFAFIAUgBPAFIAKAAgAE0AZQB0AGgAbwBkAHMAKQApACwAXABuACAAIAAgACAAIAAgACAAIAAgACAAIAAgACAAIAAgACAAIAAgACAAIAAgACAAIAAgACAAIAAgACAATwBSACgAIABJAFMARQBSAFIATwBSACgAIABGAGEAYwB0AG8AcgBz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RQBSAFIATwBSACgASQBuAGkAdABpAGEAbABWAGEAbAB1AGUAcwApACkALAAgAFwAbgAgACAAIAAgACAAIAAgACAAIAAgACAAIAAgACAAIAAgACAAIAAgACAAIAAgACAAIAAgACAAIAAgAEYAQQBMAFMARQAsACAAXABuACAAIAAgACAAIAAgACAAIAAgACAAIAAgACAAIAAgACAAIAAgACAAIAAgACAAIAAgACAAIAAgACAATwBSACgAIABJAEYARQBSAFIATwBSACgAIABWAEEATABVAEUAKABJAG4AaQB0AGkAYQBsAFYAYQBsAHUAZQBzACkAIAA8ACAAMQAsACAAVABSAFUARQApACkAKQAsAFwAbgAgACAAIAAgACAAIAAgACAARABWAEEAcgBnADIALAAgACAAIAAgACAAIAAgACAAIABJAEYAKAAgAE8AUgAoACAASQBTAEUAUgBSAE8AUgAoACAASQBuAFMAZQByAHYAaQBjAGUARABhAHQAZQBz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JAG4AUwBlAHIAdgBpAGMAZQBEAGEAdABlAHMAKQAgADwAIABNAEkATgAoACAAVABpAG0AZQBsAGkAbgBlACkALAAgAFQAUgBVAEUAKQApACkALABcAG4AIAAgACAAIAAvAC8AIAAgAEQAZQBwAHIAZQBjAGkAYQB0AGUAuwMgAHQAYQBrAGUAcwAgAGEAIAB3AGgAbwBsAGUAIABuAHUAbQBiAGUAcgAgAG8AZgAgAHkAZQBhAHIAcwAgAGYAcgBvAG0AIAAxACAAdABvACAAMQAwADAAIABhAG4AZAAgAHIAZQBmAHUAcwBlAHMAIABhAG4AeQB0AGgAaQBuAGcAXABuACAAIAAgACAALwAvACAAIABlAGwAcwBlACwAIABzAG8AIAB0AGgAZQAgAGMAbwBtAHAAYQBuAGkAbwBuACAAcgBlAGEAZABzACAAdABoAGUAIABsAGkAZgBlACAAdABoAGUAIABzAGEAbQBlACAAdwBhAHkAIABpAHQAcwAgAHAAYQByAGUAbgB0ACAAZABvAGUAcwAuAFwAbgAgACAAIAAgACAAIAAgACAARABWAEEAcgBnADMALAAgACAAIAAgACAAIAAgACAAIABJAEYAKAAgAE8AUgAoACAASQBTAEUAUgBSAE8AUgAoACAATABpAGYAZQBJAG4AWQBlAGEAcgBzACkAKQAsACAAXABuACAAIAAgACAAIAAgACAAIAAgACAAIAAgACAAIAAgACAAIAAgACAAIAAgACAAIAAgACAAIAAgACAARgBBAEwAUwBFACwAIABcAG4AIAAgACAAIAAgACAAIAAgACAAIAAgACAAIAAgACAAIAAgACAAIAAgACAAIAAgACAAIAAgACAAIABMAEUAVAAoACAATABpAHYAZQBzACwAIABJAEYARQBSAFIATwBSACgAIABWAEEATABVAEUAKAAgAEwAaQBmAGUASQBuAFkAZQBhAHIAcwApACwAIAAtADEAKQAsAFwAbgAgACAAIAAgACAAIAAgACAAIAAgACAAIAAgACAAIAAgACAAIAAgACAAIAAgACAAIAAgACAAIAAgACAAIAAgACAAIABPAFIAKAAgAE0ASQBOACgAIABMAGkAdgBlAHMAKQAgADwAPQAgADAALAAgAE0AQQBYACgAIABMAGkAdgBlAHMAKQAgAD4AIAAxADAAMAAsAFwAbgAgACAAIAAgACAAIAAgACAAIAAgACAAIAAgACAAIAAgACAAIAAgACAAIAAgACAAIAAgACAAIAAgACAAIAAgACAAIAAgACAAIAAgAFMAVQBNAFAAUgBPAEQAVQBDAFQAKAAgAC0ALQAoACAATQBPAEQAKAAgAEwAaQB2AGUAcwAsACAAMQApACAAPAA+ACAAMAApACkAIAA+ACAAMAApACkAKQAsAFwAbgAgACAAIAAgACAAIAAgACAARABWAEEAcgBnADQALAAgACAAIAAgACAAIAAgACAAIABJAEYAKAAgAE8AUgAoACAASQBTAEUAUgBSAE8AUgAoACAAVABpAG0AZQBsAGkAbgBlACkAKQAsACAAXABuACAAIAAgACAAIAAgACAAIAAgACAAIAAgACAAIAAgACAAIAAgACAAIAAgACAAIAAgACAAIAAgACAARgBBAEwAUwBFACwAIABcAG4AIAAgACAAIAAgACAAIAAgACAAIAAgACAAIAAgACAAIAAgACAAIAAgACAAIAAgACAAIAAgACAAIABDAE8AVQBOAFQAQQAoACAAVABpAG0AZQBsAGkAbgBlACkAIAA8ACAAMgApACwAXABuACAAIAAgACAALwAvACAAIABEAGUAcAByAGUAYwBpAGEAdABlALsDIABzAHUAcABwAG8AcgB0AHMAIABhACAAcwB1AGIALQBtAG8AbgB0AGgAbAB5ACAAdABpAG0AZQBsAGkAbgBlACwAIABzAG8AIABvAG4AbAB5ACAAYQAgAHQAaQBtAGUAbABpAG4AZQAgAHQAaABhAHQAIABkAG8AZQBzAFwAbgAgACAAIAAgAC8ALwAgACAAbgBvAHQAIABhAGQAdgBhAG4AYwBlACAAaQBzACAAdwByAG8AbgBnACAAaABlAHIAZQAuACAARQB2AGUAcgB5ACAAYwBvAG4AcwBlAGMAdQB0AGkAdgBlACAAcABhAGkAcgAgAGkAcwAgAG0AZQBhAHMAdQByAGUAZAAsACAAZgBvAHIAIAB0AGgAZQAgAHMAYQBtAGUAXABuACAAIAAgACAALwAvACAAIAByAGUAYQBzAG8AbgAgAGEAcwAgAEEAbQBvAHIAdABpAHMAZQC7AycAcwA6ACAAYQAgAHIAZQBwAGUAYQB0AGUAZAAgAGQAYQB0AGUAIABsAGEAdABlAHIAIABpAG4AIAB0AGgAZQAgAHIAbwB3ACAAcABhAHMAcwBlAGQAIAB0AGgAZQAgAGYAaQByAHMAdAAtAGcAYQBwAFwAbgAgACAAIAAgAC8ALwAgACAAdABlAHMAdAAgAGEAbgBkACAAdABoAGUAIABwAGEAcgBlAG4AdAAnAHMAIABhAHAAcAByAG8AeABpAG0AYQB0AGUAIABNAEEAVABDAEgAIABkAHIAbwBwAHMAIAB0AGgAZQAgAGQAdQBwAGwAaQBjAGEAdABlACcAcwAgAHYAYQBsAHUAZQAuAFwAbgAgACAAIAAgACAAIAAgACAARABWAEEAcgBnADQAYgAsACAAIAAgACAAIAAgACAAIABJAEYAKAAgAE8AUgAoACAATwBSACgARQByAHIAbwByAHMASQBuAEEAcgBnAHMAKQAsACAARABWAEEAcgBnADQAKQAsACAAXABuACAAIAAgACAAIAAgACAAIAAgACAAIAAgACAAIAAgACAAIAAgACAAIAAgACAAIAAgACAAIAAgACAARgBBAEwAUwBFACwAIABcAG4AIAAgACAAIAAgACAAIAAgACAAIAAgACAAIAAgACAAIAAgACAAIAAgACAAIAAgACAAIAAgACAAIABMAEUAVAAoACAARABhAHQAZQBzACwAIABUAE8AUgBPAFcAKAAgAFQAaQBtAGUAbABpAG4AZQApACwAXABuACAAIAAgACAAIAAgACAAIAAgACAAIAAgACAAIAAgACAAIAAgACAAIAAgACAAIAAgACAAIAAgACAAIAAgACAAIAAgAE0ASQBOACgAIABEAFIATwBQACgAIABEAGEAdABlAHMALAAgACwAIAAxACkAIAAtACAARABSAE8AUAAoACAARABhAHQAZQBzACwAIAAsACAALQAxACkAKQAgADwAIAAxACkAKQAsAFwAbgAgACAAIAAgACAAIAAgACAARABWAEEAcgBnADUALAAgACAAIAAgACAAIAAgACAAIABJAEYAKAAgAE8AUgAoACAASQBTAE8ATQBJAFQAVABFAEQAKAAgAFMAYQBsAHYAYQBnAGUAVgBhAGwAdQBlAHMAKQAsACAATwBSACgASQBTAEUAUgBSAE8AUgAoAFMAYQBsAHYAYQBnAGUAVgBhAGwAdQBlAHMAKQApACkALAAgAFwAbgAgACAAIAAgACAAIAAgACAAIAAgACAAIAAgACAAIAAgACAAIAAgACAAIAAgACAAIAAgACAAIAAgAEYAQQBMAFMARQAsACAAXABuACAAIAAgACAAIAAgACAAIAAgACAAIAAgACAAIAAgACAAIAAgACAAIAAgACAAIAAgACAAIAAgACAATwBSACgAIABJAEYARQBSAFIATwBSACgAIABWAEEATABVAEUAKABTAGEAbAB2AGEAZwBlAFYAYQBsAHUAZQBzACkAIAA8ACAAMAAsACAAVABSAFUARQApACkAKQAsAFwAbgAgACAAIAAgACAAIAAgACAARABWAEEAcgBnADYALAAgACAAIAAgACAAIAAgACAAIABJAEYAKAAgAE8AUgAoACAASQBTAE8ATQBJAFQAVABFAEQAKAAgAEQAaQBzAHAAbwBzAGEAbABEAGEAdABlAHMAKQAsACAATwBSACgARQByAHIAbwByAHMASQBuAEEAcgBnAHMAKQApACwAXABuACAAIAAgACAAIAAgACAAIAAgACAAIAAgACAAIAAgACAAIAAgACAAIAAgACAAIAAgACAAIAAgACAARgBBAEwAUwBFACwAIABcAG4AIAAgACAAIAAgACAAIAAgACAAIAAgACAAIAAgACAAIAAgACAAIAAgACAAIAAgACAAIAAgACAAIABPAFIAKAAgAEQAaQBzAHAAbwBzAGEAbABEAGEAdABlAHMAIAA8ACAASQBuAFMAZQByAHYAaQBjAGUARABhAHQAZQBzACkAKQAsAFwAbgAgACAAIAAgACAAIAAgACAAIAAgACAAIAAgACAAIAAgACAAIAAgACAAIAAgACAAIAAgACAAIAAgAC8ALwBPAFIAKAAgAEkARgBFAFIAUgBPAFIAKAAgAFYAQQBMAFUARQAoAEQAaQBzAHAAbwBzAGEAbABEAGEAdABlAHMAKQAgADwAIABJAG4AUwBlAHIAdgBpAGMAZQBEAGEAdABlAHMALAAgAFQAUgBVAEUAKQApACkALABcAG4AIAAgACAAIAAgACAAIAAgAEQAVgBBAHIAZwA3ACwAIAAgACAAIAAgACAAIAAgACAASQBGACgAIABPAFIAKAAgAEkAUwBPAE0ASQBUAFQARQBEACgAIABEAGkAcwBwAG8AcwBhAGwAQwBvAHMAdABzACkALAAgAE8AUgAoAEkAUwBFAFIAUgBPAFIAKABEAGkAcwBwAG8AcwBhAGwAQwBvAHMAdABzACkAKQApACwAIABcAG4AIAAgACAAIAAgACAAIAAgACAAIAAgACAAIAAgACAAIAAgACAAIAAgACAAIAAgACAAIAAgACAAIABGAEEATABTAEUALAAgAFwAbgAgACAAIAAgACAAIAAgACAAIAAgACAAIAAgACAAIAAgACAAIAAgACAAIAAgACAAIAAgACAAIAAgAE8AUgAoACAASQBGAEUAUgBSAE8AUgAoACAAVgBBAEwAVQBFACgARABpAHMAcABvAHMAYQBsAEMAbwBzAHQAcwApACAAPAAgADAALAAgAFQAUgBVAEUAKQApACkALABcAG4AIAAgACAAIAAgACAAIAAgAEQAVgBBAHIAZwA4ACwAIAAgACAAIAAgACAAIAAgACAASQBGACgAIABPAFIAKAAgAEkAUwBPAE0ASQBUAFQARQBEACgAIABNAGUAdABoAG8AZABzACkALAAgACAASQBTAEUAUgBSAE8AUgAoACAATQBlAHQAaABvAGQAcwApACkALAAgAFwAbgAgACAAIAAgACAAIAAgACAAIAAgACAAIAAgACAAIAAgACAAIAAgACAAIAAgACAAIAAgACAAIAAgAEYAQQBMAFMARQAsACAAXABuACAAIAAgACAAIAAgACAAIAAgACAAIAAgACAAIAAgACAAIAAgACAAIAAgACAAIAAgAC8ALwAgACAAUwBFAEEAUgBDAEgAIABtAGEAdABjAGgAZQBzACAAYQAgAHMAdQBiAHMAdAByAGkAbgBnACwAIABzAG8AIABcACIARABcACIAIABwAGEAcwBzAGUAZAAgAGEAbgBkACAARABlAHAAcgBlAGMAaQBhAHQAZQC7AycAcwAgAGUAeABhAGMAdABcAG4AIAAgACAAIAAgACAAIAAgACAAIAAgACAAIAAgACAAIAAgACAAIAAgACAAIAAgACAALwAvACAAIABNAEEAVABDAEgAIAB0AGgAZQBuACAAcgBlAHQAdQByAG4AZQBkACAAIwBOAC8AQQAuACAAWABNAEEAVABDAEgAIAB3AGkAdABoACAAbQBhAHQAYwBoAF8AbQBvAGQAZQAgADAAIABpAHMAIABlAHgAYQBjAHQALgBcAG4AIAAgACAAIAAgACAAIAAgACAAIAAgACAAIAAgACAAIAAgACAAIAAgACAAIAAgACAAIAAgACAAIABPAFIAKABJAFMATgBBACgAIABYAE0AQQBUAEMASAAoACAATQBlAHQAaABvAGQAcwAsACAAewBcACIAUwBMAE4AXAAiACwAXAAiAFMAWQBEAFwAIgAsAFwAIgBEAEIAXAAiACwAXAAiAEQARABCAFwAIgAsAFwAIgBWAEQAQgBcACIALABcACIARABWAFwAIgAsAFwAIgBQAEMAXAAiAH0ALAAgADAAKQApACkAKQAsAFwAbgAgACAAIAAgACAAIAAgACAARABWAEEAcgBnADkALAAgACAAIAAgACAAIAAgACAAIABJAEYAKAAgAE8AUgAoACAASQBTAE8ATQBJAFQAVABFAEQAKAAgAEYAYQBjAHQAbwByAHMAKQAsACAAIABJAFMARQBSAFIATwBSACgAIABGAGEAYwB0AG8AcgBzACkAKQAsACAAXABuACAAIAAgACAAIAAgACAAIAAgACAAIAAgACAAIAAgACAAIAAgACAAIAAgACAAIAAgACAAIAAgACAARgBBAEwAUwBFACwAIABcAG4AIAAgACAAIAAgACAAIAAgACAAIAAgACAAIAAgACAAIAAgACAAIAAgACAAIAAgACAALwAvACAAIABUAGgAZQAgAG0AZQBzAHMAYQBnAGUAIAByAGUAcQB1AGkAcgBlAHMAIABhACAAZgBhAGMAdABvAHIAIABnAHIAZQBhAHQAZQByACAAdABoAGEAbgAgAHoAZQByAG8ALAAgAGEAbgBkACAAYQAgAGYAYQBjAHQAbwByACAAbwBmACAAMABcAG4AIAAgACAAIAAgACAAIAAgACAAIAAgACAAIAAgACAAIAAgACAAIAAgACAAIAAgACAALwAvACAAIAByAGUAYQBjAGgAZQBzACAARABEAEIAuwMgAG8AcgAgAFYARABCALsDLAAgAHMAbwAgAHIAZQBqAGUAYwB0ACAAaQB0ACAAaABlAHIAZQAgAHIAYQB0AGgAZQByACAAdABoAGEAbgAgAGIAZQBsAG8AdwAuAFwAbgAgACAAIAAgACAAIAAgACAAIAAgACAAIAAgACAAIAAgACAAIAAgACAAIAAgACAAIAAgACAAIAAgAE8AUgAoAEkARgBFAFIAUgBPAFIAKAAgAFYAQQBMAFUARQAoACAARgBhAGMAdABvAHIAcwApACAAPAA9ACAAMAAsACAAVABSAFUARQAgACkAKQApACwAXABuACAAIAAgACAAIAAgACAAIABEAFYARQByAHIAbwByAHMALAAgACAAIAAgACAAIAAgAFYAUwBUAEEAQwBLACgAIABEAFYAQQByAGcAMQAsACAARABWAEEAcgBnADIALAAgAEQAVgBBAHIAZwAzACwAIABEAFYAQQByAGcANAAsACAARABWAEEAcgBnADQAYgAsACAARABWAEEAcgBnADUALAAgAEQAVgBBAHIAZwA2ACwAIABEAFYAQQByAGcANwAsACAARABWAEEAcgBnADgALAAgAEQAVgBBAHIAZwA5ACA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BuACAAIAAgACAAIAAgACAAIAAgACAAIAAgACAAIAAgACAAIAAgACAAIAAvAC8AIAAgAEUAcgByAG8AcgBzACAAaQBuACAAYQByAGcAdQBtAGUAbgB0AHMAXABuACAAIAAgACAAIAAgACAAIAAgACAAIAAgACAAIAAgACAAIAAgACAAIAAgACAAIAAgACAAXAAiAEkAbgBpAHQAaQBhAGwAVgBhAGwAdQBlAHMAIABjAG8AbgB0AGEAaQBuAHMAIABlAHIAcgBvAHIAcwAgAGkAbgAgAGMAZQBsAGwAcwAuACAAUgBlAHMAbwBsAHYAZQAgAGUAcgByAG8AcgBzACAAZgBpAHIAcwB0AC4AXAAiADsAXABuACAAIAAgACAAIAAgACAAIAAgACAAIAAgACAAIAAgACAAIAAgACAAIAAgACAAIAAgACAAXAAiAEkAbgBTAGUAcgB2AGkAYwBlAEQAYQB0AGUAcwAgAGMAbwBuAHQAYQBpAG4AcwAgAGUAcgByAG8AcgBzACAAaQBuACAAYwBlAGwAbABzAC4AIABSAGUAcwBvAGwAdgBlACAAZQByAHIAbwByAHMAIABmAGkAcgBzAHQALgBcACIAOwBcAG4AIAAgACAAIAAgACAAIAAgACAAIAAgACAAIAAgACAAIAAgACAAIAAgACAAIAAgACAAIABcACIATABpAGYAZQBJAG4AWQBlAGEAcgBzACAAYwBvAG4AdABhAGkAbgBzACAAZQByAHIAbwByAHMAIABpAG4AIABjAGUAbABsAHMALgAgAFIAZQBzAG8AbAB2AGUAIABlAHIAcgBvAHIAcwAgAGYAaQByAHMAdAAuAFwAIgA7AFwAbgAg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AgACAAIAAgACAAXAAiAFMAYQBsAHYAYQBnAGUAVgBhAGwAdQBlAHMAIABjAG8AbgB0AGEAaQBuAHMAIABlAHIAcgBvAHIAcwAgAGkAbgAgAGMAZQBsAGwAcwAuACAAUgBlAHMAbwBsAHYAZQAgAGUAcgByAG8AcgBzACAAZgBpAHIAcwB0AC4AXAAiADsAXABuACAAIAAgACAAIAAgACAAIAAgACAAIAAgACAAIAAgACAAIAAgACAAIAAgACAAIAAgACAAXAAiAEQAaQBzAHAAbwBzAGEAbABEAGEAdABlAHMAIABjAG8AbgB0AGEAaQBuAHMAIABlAHIAcgBvAHIAcwAgAGkAbgAgAGMAZQBsAGwAcwAuACAAUgBlAHMAbwBsAHYAZQAgAGUAcgByAG8AcgBzACAAZgBpAHIAcwB0AC4AXAAiADsAXABuACAAIAAgACAAIAAgACAAIAAgACAAIAAgACAAIAAgACAAIAAgACAAIAAgACAAIAAgACAAXAAiAEQAaQBzAHAAbwBzAGEAbABDAG8AcwB0AHMAIABjAG8AbgB0AGEAaQBuAHMAIABlAHIAcgBvAHIAcwAgAGkAbgAgAGMAZQBsAGwAcwAuACAAUgBlAHMAbwBsAHYAZQAgAGUAcgByAG8AcgBzACAAZgBpAHIAcwB0AC4AXAAiADsAXABuACAAIAAgACAAIAAgACAAIAAgACAAIAAgACAAIAAgACAAIAAgACAAIAAgACAAIAAgACAAXAAiAE0AZQB0AGgAbwBkAHMAIABjAG8AbgB0AGEAaQBuAHMAIABlAHIAcgBvAHIAcwAgAGkAbgAgAGMAZQBsAGwAcwAuACAAUgBlAHMAbwBsAHYAZQAgAGUAcgByAG8AcgBzACAAZgBpAHIAcwB0AC4AXAAiADsAXABuACAAIAAgACAAIAAgACAAIAAgACAAIAAgACAAIAAgACAAIAAgACAAIAAgACAAIAAgACAAXAAiAEYAYQBjAHQAbwByAHM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IABcACIASQBuAGkAdABpAGEAbABWAGEAbAB1AGUAcwAgAG0AdQBzAHQAIABiAGUAIABhAG4AIABhAG0AbwB1AG4AdAAgAGcAcgBlAGEAdABlAHIAIAB0AGgAYQBuACAAMABcACIAOwBcAG4AIAAgACAAIAAgACAAIAAgACAAIAAgACAAIAAgACAAIAAgACAAIAAgACAAIAAgACAAIABcACIASQBuAFMAZQByAHYAaQBjAGUARABhAHQAZQBzACAAbQB1AHMAdAAgAGIAZQAgAHYAYQBsAGkAZAAgAGQAYQB0AGUAcwBcACIAOwBcAG4AIAAgACAAIAAgACAAIAAgACAAIAAgACAAIAAgACAAIAAgACAAIAAgACAAIAAgACAAIABcACIATABpAGYAZQBJAG4AWQBlAGEAcgBzACAAbQB1AHMAdAAgAGIAZQAgAGEAIAB3AGgAbwBsAGUAIABuAHUAbQBiAGUAcgAgAG8AZgAgAHkAZQBhAHIAcwAgAGcAcgBlAGEAdABlAHIAIAB0AGgAYQBuACAAMAAgAGEAbgBkACAAbgBvACAAbQBvAHIAZQAgAHQAaABhAG4AIAAxADAAMABcACIAOwBcAG4AIAAgACAAIAAgACAAIAAgACAAIAAgACAAIAAgACAAIAAgACAAIAAgACAAIAAgACAAIABcACIAVABpAG0AZQBsAGkAbgBlACAAbQB1AHMAdAAgAGIAZQAgAGEAIAByAG8AdwAgAG8AZgAgAHAAZQByAGkAbwBkACAAcwB0AGEAcgB0ACAAZABhAHQAZQBzACAAdwBpAHQAaAAgAG0AbwByAGUAIAB0AGgAYQBuACAAMQAgAGUAbgB0AHIAeQAuAFwAIgA7AFwAbgAgACAAIAAgACAAIAAgACAAIAAgACAAIAAgACAAIAAgACAAIAAgACAAIAAgACAAIAAgAFwAIgBFAGEAYwBoACAAcABlAHIAaQBvAGQAIABpAG4AIAB0AGgAZQAgAHQAaQBtAGUAbABpAG4AZQAgAG0AdQBzAHQAIABhAGQAdgBhAG4AYwBlACAAYgB5ACAAYQB0ACAAbABlAGEAcwB0ACAAYQAgAGQAYQB5AC4AXAAiADsAXABuACAAIAAgACAAIAAgACAAIAAgACAAIAAgACAAIAAgACAAIAAgACAAIAAgACAAIAAgACAAXAAiAFMAYQBsAHYAYQBnAGUAVgBhAGwAdQBlAHMAIABtAHUAcwB0ACAAYgBlACAAYQBuACAAYQBtAG8AdQBuAHQAIABuAG8AdAAgAGwAZQBzAHMAIAB0AGgAYQBuACAAMAAgAG8AcgAgAG8AbQBpAHQAdABlAGQAXAAiADsAXABuACAAIAAgACAAIAAgACAAIAAgACAAIAAgACAAIAAgACAAIAAgACAAIAAgACAAIAAgACAAXAAiAEQAaQBzAHAAbwBzAGEAbABEAGEAdABlAHMAIABtAHUAcwB0ACAAYgBlACAAYQAgAGQAYQB0AGUAIABnAHIAZQBhAHQAZQByACAAdABoAGEAbgAgAEkAbgBTAGUAcgB2AGkAYwBlAEQAYQB0AGUAcwAgAG8AcgAgAG8AbQBpAHQAdABlAGQAXAAiADsAXABuACAAIAAgACAAIAAgACAAIAAgACAAIAAgACAAIAAgACAAIAAgACAAIAAgACAAIAAgACAAXAAiAEQAaQBzAHAAbwBzAGEAbABDAG8AcwB0AHMAIABtAHUAcwB0ACAAYgBlACAAYQBuACAAYQBtAG8AdQBuAHQAIABuAG8AdAAgAGwAZQBzAHMAIAB0AGgAYQBuACAAMAAgAG8AcgAgAG8AbQBpAHQAdABlAGQAXAAiADsAXABuACAAIAAgACAAIAAgACAAIAAgACAAIAAgACAAIAAgACAAIAAgACAAIAAgACAAIAAgACAAXAAiAE0AZQB0AGgAbwBkAHMAIABtAHUAcwB0ACAAYgBlACAAbwBtAGkAdAB0AGUAZAAgAG8AcgAgAG8AbgBlACAAbwBmADoAIABTAEwATgAsACAAUwBZAEQALAAgAEQAQgAsACAARABEAEIALAAgAFYARABCACwAIABEAFYALAAgAG8AcgAgAFAAQwAuAFwAIgA7AFwAbgAgACAAIAAgACAAIAAgACAAIAAgACAAIAAgACAAIAAgACAAIAAgACAAIAAgACAAIAAgAFwAIgBGAGEAYwB0AG8AcgBzACAAbQB1AHMAdAAgAGIAZQAgAGEAIAB2AGEAbAB1AGUAIABnAHIAZQBhAHQAZQByACAAdABoAGEAbgAgADA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8AIAAgAFMAdQBiAFIAbwB1AHQAaQBuAGUAcwBcAG4AXABuAFwAbgAvACoAIAAgAEYAVQBOAEMAVABJAE8ATgAgAE4AQQBNAEUAOgAgACAAVABpAG0AZQBsAGkAbgBlAE8AZgBmAHMAZQB0ALsDXABuACAAIAAgACAARABFAFMAQwBSAEkAUABUAEkATwBOADoAKgAvAC8AKgAqAEQAZQB0AGUAcgBtAGkAbgBlAHMAIABoAG8AdwAgAG0AYQBuAHkAIABwAGUAcgBpAG8AZABzACAAbwBuAGUAIABhAHIAcgBhAHkAIABpAHMAIABvAGYAZgBzAGUAdAAgAGYAcgBvAG0AIAB0AGgAZQAgAHQAaQBtAGUAbABpAG4AZQAqAC8AXABuAC8AKgAgACAARABJAFMAQwBVAFMAUwBJAE8ATgA6ACAAIAAgACAAIABUAGgAZQAgAHAAbwBzAHMAaQBiAGkAbABpAHQAeQAgAGUAeABpAHMAdABzACAAcgBlAHEAdQBpAHIAaQBuAGcAIABjAGEAbABjAHUAbABhAHQAaQBvAG4AcwAgAGIAZQBmAG8AcgBlACAAYQAgAG0AbwBkAGUAbAAnAHMAIAB0AGkAbQBlAGwAaQBuAGUALgAgAEEAbgAgAGUAeABhAG0AcABsAGUAIABpAHMAXABuACAAIAAgACAAIAAgACAAIAAgACAAIAAgACAAIAAgACAAIAAgACAAIABkAGUAcAByAGUAYwBpAGEAdABpAG8AbgAgAG8AZgAgAGEAcwBzAGUAdABzACAAaQBuACAAYQBuACAAZQB4AGkAcwB0AGkAbgBnACAAYwBvAG0AcABhAG4AeQAgAHcAYQBuAHQAaQBuAGcAIAB0AG8AIABmAG8AcgBlAGMAYQBzAHQAIABzAG8AbQBlACAAYQBjAHQAaQB2AGkAdAB5AC4AIABcAG4AIAAgACAAIAAgACAAIAAgACAAIAAgACAAIAAgACAAIAAgACAAIAAgAEkAbgAgAHMAdQBjAGgAIABjAGEAcwBlAHMALAAgAGkAdAAgAGMAYQBuACAAYgBlACAAYQBkAHYAYQBuAHQAYQBnAGUAbwB1AHMAIAB0AG8AIABwAGUAcgBmAG8AcgBtACAAdABoAGUAIABjAGEAbABjAHUAbABhAHQAaQBvAG4AcwAgAHcAaQB0AGgAaQBuACAAdABoAGUAaQByACAAbwB3AG4AIAB0AGkAbQBlAGwAaQBuAGUAXABuACAAIAAgACAAIAAgACAAIAAgACAAIAAgACAAIAAgACAAIAAgACAAIABhAG4AZAAgAHQAaABlAG4AIABwAGwAYQBjAGUAIAB0AGgAZQAgAHIAZQBzAHUAbAB0AHMAIABwAHIAbwBwAGUAcgBsAHkAIAB3AGkAdABoAGkAbgAgAHQAaABlACAAbQBvAGQAZQBsACcAcwAgAHQAaQBtAGUAbABpAG4AZQAuACAAXABuACAAIAAgACAAIAAgACAAIAAgACAAIAAgACAAIAAgACAAIAAgACAAIABUAGgAaQBzACAAcgBvAHUAdABpAG4AZQAgAGQAZQB0AGUAcgBtAGkAbgBlACAAdwBoAGUAcgBlACAAcwB1AGMAaAAgAGMAYQBsAGMAdQBsAGEAdABpAG8AbgAgAHIAZQBzAHUAbAB0AHMAIABmAGkAdAAgAHcAaQB0AGgAaQBuACAAdABoAGUAIABtAG8AZABlAGwAJwBzACAAdABpAG0AZQBsAGkAbgBlACAAYQBuAGQAIABcAG4AIAAgACAAIAAgACAAIAAgACAAIAAgACAAIAAgACAAIAAgACAAIAAgAGMAcgBvAHAAcwAgAHQAaABvAHMAZQAgAHIAZQBzAHUAbAB0AHMAIAB0AGgAYQB0ACAAZABvACAAbgBvAHQAIABiAGUAbABvAG4AZwAuACAAKgAvAFwAbgBUAGkAbQBlAGwAaQBuAGUATwBmAGYAcwBlAHQAuwMgAD0AIABMAEEATQBCAEQAQQAoAFwAbgAvAC8AIAAgAFAAYQByAGEAbQBlAHQAZQByACAARABlAGMAbABhAHIAYQB0AGkAbwBuAHMAXABuACAAIAAgACAAWwBEAGEAdABlAF0ALAAgACAAIAAgAFwAbgAgACAAIAAgAFsAVABpAG0AZQBsAGkAbgBlAF0AL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TwBmAGYAcwBlAHQAuwMoAEQAYQB0AGUALAAgAFQAaQBtAGUAbABpAG4AZQApALYAXAAiACAAJgBcAG4AIAAgACAAIAAgACAAIAAgACAAIAAgACAAIAAgACAAIAAgACAAIAAgACAAIAAgACAAIAAgACAAIABcACIARABFAFMAQwBSAEkAUABUAEkATwBOADoAIAAgACAAkiFEAGUAdABlAHIAbQBpAG4AZQBzACAAaQBuACAAdwBoAGkAYwBoACAAcABlAHIAaQBvAGQALAAgAHIAZQBsAGEAdABpAHYAZQAgAHQAbwAgAHQAaABlACAAdABpAG0AZQBsAGkAbgBlACcAcwAgAHMAdABhAHIAdAAgAGEAbgBkACAAaQBuAHQAZQByAHYAYQBsACwAtgBcACIAIAAmAFwAbgAgACAAIAAgACAAIAAgACAAIAAgACAAIAAgACAAIAAgACAAIAAgACAAIAAgACAAIAAgACAAIAAgACAAIAAgACAAIAAgACAAIAAgACAAIAAgACAAIAAgAFwAIgCSIWEAIABkAGEAdABlACAAZgBhAGwAbABzACAAdwBpAHQAaABpAG4ALgC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RABhAHQAZQAgACAAIAAgACAAIAAgACAAIAAgACAAkiEoAFIAZQBxAHUAaQByAGUAZAApACAAQQAgAHMAdABhAHIAdABpAG4AZwAgAGQAYQB0AGUAtgBcACIAIAAmACAAXABuACAAIAAgACAAIAAgACAAIAAgACAAIAAgACAAIAAgACAAIAAgACAAIAAgACAAIAAgACAAIAAgACAAXAAiAFQAaQBtAGUAbABpAG4AZQAgACAAIAAgACAAIAAgAJIhKABSAGUAcQB1AGkAcgBlAGQAKQAgAEEAIABtAG8AZABlAGwAJwBzACAAdABpAG0AZQBsAGkAbgBlACAAKABSAG8AdwAgAG8AZgAgAHAAZQByAGkAbwBkACAAcwB0AGEAcgB0ACAAZABhAHQAZQBzACk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IAAgACAAIAAgACAAIAAgACAAIAAgACAAIAAgAJIhPQBvAHoALgBUAGkAbQBlAGwAaQBuAGUATwBmAGYAcwBlAHQAuwMoAFwAIgBcACIAMQA1AC8AOAAvADIAMAAyADYAXAAiAFwAIgAsACAARQBEAEEAVABFACgAXAAiAFwAIgAxAC8ANwAvADIAMAAyADYAXAAiAFwAIgAsACAAUwBFAFEAVQBFAE4AQwBFACgAIAAsACAAMQAyACwAIAAwACkAKQApALYAXAAiACAAJgBcAG4AIAAgACAAIAAgACAAIAAgACAAIAAgACAAIAAgACAAIAAgACAAIAAgACAAIAAgACAAIAAgACAAIABcACIALQAxADEAIAAgACAAIAAgACAAIAAgACAAIAAgACAAkiE9AG8AegAuAFQAaQBtAGUAbABpAG4AZQBPAGYAZgBzAGUAdAC7AygAXAAiAFwAIgAxADUALwA4AC8AMgAwADIANQBcACIAXAAiACwAIABFAEQAQQBUAEUAKABcACIAXAAiADEALwA3AC8AMgAwADIANgBcACIAXAAiACwAIABTAEUAUQBVAEUATgBDAEUAKAAgACwAIAAxADIALAAgADAAKQAp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QAYQB0AGUAKQAsAFwAbgAgACAAIAAgACAAIAAgACAAIAAgACAAIAAgACAAIAAgACAAIAAgACAAIAAgACAAIAAgACAAIAAgAEkAUwBPAE0ASQBUAFQARQBEACgAIABUAGkAbQBlAGwAaQBuAGUAKQBcAG4AIAAgACAAIAAgACAAIAAgACAAIAAgACAAIAAgACAAIAAgACAAIAAgACAAIAAgACAAKQAsAFwAbgAgACAAIAAgAC8ALwAgACAAQwBoAGUAYwBrACAAaQBuAHAAdQB0AHMAIAAtACAASQBmACAAZABhAHQAZQAgAGkAcwAgAGkAbgAgAHQAZQB4AHQALAAgAGMAbwBuAHYAZQByAHQAIAB0AG8AIAB2AGEAbAB1AGUAXABuACAAIAAgACAAIAAgACAAIABEAGEAdABlACwAIAAgACAAIAAgACAAIAAgACAAIAAgAEAASQBGACgAIABJAFMAVABFAFgAVAAoACAARABhAHQAZQApACwAIABEAEEAVABFAFYAQQBMAFUARQAoACAARABhAHQAZQApACwAIABEAGEAdABlACkALABcAG4AIAAgACAAIAAvACoAIAAgAFAAcgBlAG0AaQBzAGUAOgAgACAAIAAgACAAIAAgACAAQwByAGUAYQB0AGUAIABhACAAcwBoAG8AcgB0ACAAdABpAG0AZQBsAGkAbgBlACAAdABoAGEAdAAgAGkAcwAgAGkAbgAgAHMAeQBuAGMAIAB3AGkAdABoACAAdABoAGUAIABtAG8AZABlAGwAJwBzACAAdABpAG0AZQBsAGkAbgBlACAAdABoAGEAdAAgAHMAcABhAG4AcwAgAFwAbgAgACAAIAAgACAAIAAgACAAIAAgACAAIAAgACAAIAAgACAAIAAgACAAIAAgACAAIABmAHIAbwBtACAAdABoAGUAIAB0AGkAbQBlAGwAaQBuAGUAIABzAHQAYQByAHQAIAB0AG8AIAB0AGgAZQAgAGQAYQB0AGUAIABpAG4AIABxAHUAZQBzAHQAaQBvAG4AIABwAGwAdQBzACAAbwBuAGUAIABwAGUAcgBpAG8AZAAgAG8AbgAgAGUAaQB0AGgAZQByACAAcwBpAGQAZQAuAFwAbgAgACAAIAAgACAAIAAgACAAIAAgACAAIAAgACAAIAAgACAAIAAgACAAIAAgACAAIABOAG8AIAB3AGUAIABjAGEAbgAgAHUAcwBlACAATQBBAFQAQwBIACgAKQAgAHQAbwAgAGYAaQBuAGQAIAB3AGgAaQBjAGgAIAB0AGkAbQBlAGwAaQBuAGUAIABwAGUAcgBpAG8AZAAgACAAIAAgACoALwBcAG4AIAAgACAAIAAvAC8AIAAgAEQAZQB0AGUAcgBtAGkAbgBlACAAdABpAG0AZQBsAGkAbgBlACcAcwAgAGkAbgB0AGUAcgB2AGEAbAAgACgAbABlAG4AZwB0AGgAIABvAGYAIABwAGUAcgBpAG8AZABzACkALgAgAEEAIABvAG4AZQAtAGQAYQB0AGUAIAB0AGkAbQBlAGwAaQBuAGUAIABoAGEAcwAgAG4AbwBcAG4AIAAgACAAIAAvAC8AIAAgAHMAZQBjAG8AbgBkACAAZABhAHQAZQAgAHQAbwAgAG0AZQBhAHMAdQByAGUALAAgAHMAbwAgAGkAdAAgAGkAcwAgAHIAZQBhAGQAIABhAHMAIABtAG8AbgB0AGgAbAB5AC4AXABuACAAIAAgACAAIAAgACAAIABQAGUAcgBpAG8AZAAxACwAIAAgACAAIAAgACAAIAAgAEkATgBEAEUAWAAoACAAVABpAG0AZQBsAGkAbgBlACwAIAAxACkALABcAG4AIAAgACAAIAAgACAAIAAgAFAAZQByAGkAbwBkADIALAAgACAAIAAgACAAIAAgACAASQBGACgAIABDAE8AVQBOAFQAQQAoACAAVABpAG0AZQBsAGkAbgBlACkAIAA8ACAAMgAsACAARQBEAEEAVABFACgAIABQAGUAcgBpAG8AZAAxACwAIAAxACkALAAgAEkATgBEAEUAWAAoACAAVABpAG0AZQBsAGkAbgBlACwAIAAyACkAKQAsAFwAbgAgACAAIAAgACAAIAAgACAARABwAFAALAAgACAAIAAgACAAIAAgACAAIAAgACAAIABQAGUAcgBpAG8AZAAyACAALQAgAFAAZQByAGkAbwBkADEALAAgACAAIAAgACAAIAAgACAAIAAgACAAIAAgACAAIAAgACAAIAAgACAALwAvAEQAYQB5AHMAIABQAGUAcgAgAFAAZQByAGkAbwBkAFwAbgAgACAAIAAgACAAIAAgACAATQBwAFAALAAgACAAIAAgACAAIAAgACAAIAAgACAAIABNAEEAWAAoACAAUgBPAFUATgBEACgAIABEAHAAUAAvADMAMAAuADUALAAgADAAKQAsACAAMQApACwAIAAgACAAIAAgACAAIAAgACAALwAvAE0AbwBuAHQAaABzACAAUABlAHIAIABQAGUAcgBpAG8AZAAsACAAbgBlAHYAZQByACAAegBlAHIAbwBcAG4AIAAgACAAIAAgACAAIAAgAFMAdQBiAE0AbwBuAHQAaABsAHkAPwAsACAAIAAgACAAUgBPAFUATgBEACgAIABEAHAAUAAvADMAMAAuADUALAAgADAAKQAgAD0AIAAwACwAXABuACAAIAAgACAALwAvACAAIABEAGUAdABlAHIAbQBpAG4AZQAgAGkAZgAgAFAAcgBpAG8AcgAgAHQAbwAgAHQAaQBtAGUAbABpAG4AZQAgAG8AcgAgAGEAZgB0AGUAcgBcAG4AIAAgACAAIAAgACAAIAAgAEQAaQByAGUAYwB0AGkAbwBuACwAIAAgACAAIAAgACAASQBGACgARABhAHQAZQAgADwAIABQAGUAcgBpAG8AZAAxACwAIAAtADEALAAgADEAKQAsAFwAbgAgACAAIAAgAC8ALwAgACAARABlAHQAZQByAG0AaQBuAGUAIAB0AGgAZQAgAG4AdQBtAGIAZQByACAAbwBmACAAbQBvAG4AdABoAHMAIABiAGUAdAB3AGUAZQBuACAAdABpAG0AZQBsAGkAbgBlACcAcwAgAHMAdABhAHIAdAAgAGEAbgBkACAAdABoAGUAIABkAGEAdABlACcAcwAgAHAAZQByAGkAbwBkACAAcwB0AGEAcgB0AFwAbgAgACAAIAAgACAAIAAgACAATQBvAG4AdABoAEQAaQBmAGYALAAgACAAIAAgACAAIABAAEQAQQBUAEUARABJAEYAKAAgAE0ASQBOACgAIABQAGUAcgBpAG8AZAAxACwAIABEAGEAdABlACkALAAgAE0AQQBYACgAIABQAGUAcgBpAG8AZAAxACwAIABEAGEAdABlACkALAAgAFwAIgBNAFwAIgApACwAXABuACAAIAAgACAALwAvACAAIABDAG8AbgB2AGUAcgB0ACAAdABvACAAbgB1AG0AYgBlAHIAIABvAGYAIABwAGUAcgBpAG8AZABzAFwAbgAgACAAIAAgACAAIAAgACAAUABlAHIAaQBvAGQARABpAGYAZgAsACAAIAAgACAAIABRAFUATwBUAEkARQBOAFQAKAAgAE0AbwBuAHQAaABEAGkAZgBmACwAIABNAHAAUAApACwAXABuACAAIAAgACAAIAAgACAAIABQAGUAcgBpAG8AZABTAGUAcQAsACAAIAAgACAAIAAgAFMARQBRAFUARQBOAEMARQAoACAAMQAsACAAUABlAHIAaQBvAGQARABpAGYAZgAgACsAIAAyACwAIABJAEYAKAAgAEQAaQByAGUAYwB0AGkAbwBuACAAPQAgADEALAAgADAALAAgAC0AKAAgAFAAZQByAGkAbwBkAEQAaQBmAGYAIAArACAAMQApACkAKQAsAFwAbgAgACAAIAAgACAAIAAgACAAUwBlAGEAcgBjAGgAVABpAG0AZQBsAGkAbgBlACwAIABFAEQAQQBUAEUAKAAgAFAAZQByAGkAbwBkADEALAAgAFAAZQByAGkAbwBkAFMAZQBxACAAKgAgAE0AcABQACkALABcAG4AIAAgACAAIAAgACAAIAAgAEIAeQBNAG8AbgB0AGgALAAgACAAIAAgACAAIAAgACAATQBBAFQAQwBIACgAIABEAGEAdABlACwAIABTAGUAYQByAGMAaABUAGkAbQBlAGwAaQBuAGUALAAgADEAKQAgAC0AIABJAEYAKAAgAEQAaQByAGUAYwB0AGkAbwBuACAAPQAgADEALAAgADEALAAgAFAAZQByAGkAbwBkAEQAaQBmAGYAIAArACAAMgApACwAXABuACAAIAAgACAALwAvACAAIABBACAAcwB1AGIALQBtAG8AbgB0AGgAbAB5ACAAdABpAG0AZQBsAGkAbgBlACAAaQBzACAAYQAgAGYAaQB4AGUAZAAgAG4AdQBtAGIAZQByACAAbwBmACAAZABhAHkAcwAgAHAAZQByACAAcABlAHIAaQBvAGQALAAgAHMAbwAgAHQAaABlACAAbwBmAGYAcwBlAHQAIABpAHMAIAB0AGgAZQBcAG4AIAAgACAAIAAvAC8AIAAgAHcAaABvAGwAZQAgAG4AdQBtAGIAZQByACAAbwBmACAAcABlAHIAaQBvAGQAcwAgAGIAZQB0AHcAZQBlAG4AIAB0AGgAZQAgAHQAaQBtAGUAbABpAG4AZQAgAHMAdABhAHIAdAAgAGEAbgBkACAAdABoAGUAIABkAGEAdABlACwAIABmAGwAbwBvAHIAZQBkACwAIAB3AGgAaQBjAGgAXABuACAAIAAgACAALwAvACAAIABwAHUAdABzACAAYQAgAGQAYQB0AGUAIABiAGUAZgBvAHIAZQAgAHQAaABlACAAdABpAG0AZQBsAGkAbgBlACAAaQBuACAAdABoAGUAIABwAGUAcgBpAG8AZAAgAHQAaABhAHQAIABlAG4AZABzACAAdwBoAGUAcgBlACAAdABoAGUAIAB0AGkAbQBlAGwAaQBuAGUAIABiAGUAZwBpAG4AcwAuAFwAbgAgACAAIAAgACAAIAAgACAAUgBlAHMAdQBsAHQALAAgACAAIAAgACAAIAAgACAAIABJAEYAKAAgAFMAdQBiAE0AbwBuAHQAaABsAHkAPwAsACAASQBOAFQAKAAgACgARABhAHQAZQAgAC0AIABQAGUAcgBpAG8AZAAxACkAIAAvACAARABwAFAAKQAsACAAQgB5AE0AbwBuAHQAaA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UAGkAbQBlAGwAaQBuAGUAUABvAHMAaQB0AGkAbwBuALsDXABuACAAIAAgACAARABFAFMAQwBSAEkAUABUAEkATwBOADoAKgAvAC8AKgAqAEMAcgBvAHAAcwAgAGEAbgAgAGEAcgByAGEAeQAgAGIAYQBzAGUAZAAgAG8AbgAgAGEAIABtAG8AZABlAGwAJwBzACAAdABpAG0AZQBsAGkAbgBlACoALwBcAG4AVABpAG0AZQBsAGkAbgBlAFAAbwBzAGkAdABpAG8AbgC7AyAAPQAgAEwAQQBNAEIARABBACgAXABuACAAIAAgACAAWwBBAHIAcgBhAHkAXQAsACAAIAAgACAAIAAgACAAIAAgACAAIAAgAFwAbgAgACAAIAAgAFsAVABpAG0AZQBsAGkAbgBlAF0ALAAgACAAIAAgACAAIAAgACAAIABcAG4AIAAgACAAIABbAE8AZgBmAHMAZQB0AF0ALAAgACAAIAAgACA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FAAbwBzAGkAdABpAG8AbgC7AygAQQByAHIAYQB5ACwAIABUAGkAbQBlAGwAaQBuAGUALAAgAE8AZgBmAHMAZQB0ACkAtgBcACIAIAAmAFwAbgAgACAAIAAgACAAIAAgACAAIAAgACAAIAAgACAAIAAgACAAIAAgACAAIAAgACAAIAAgACAAIAAgAFwAIgBEAEUAUwBDAFIASQBQAFQASQBPAE4AOgAgACAAIACSIVAAbwBzAGkAdABpAG8AbgAgAGEAbgAgAGEAcgByAGEAeQAgAHIAZQBsAGEAdABpAHYAZQAgAHQAbwAgAHQAaABlACAAbQBvAGQAZQBsACcAcwAgAHQAaQBtAGUAbABpAG4AZQ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FQAaABlACAAYQByAHIAYQB5ACAAdABvACAAYgBlACAAcABvAHMAaQB0AGkAbwBuAGUAZAAgAHIAZQBsAGEAdABpAHYAZQAgAHQAbwAgAGEAIABtAG8AZABlAGwAJwBzACAAdABpAG0AZQBsAGkAbgBlALYAXAAiACAAJgAgAFwAbgAgACAAIAAgACAAIAAgACAAIAAgACAAIAAgACAAIAAgACAAIAAgACAAIAAgACAAIAAgACAAIAAgAFwAIgBUAGkAbQBlAGwAaQBuAGUAIAAgACAAIAAgACAAIACSISgAUgBlAHEAdQBpAHIAZQBkACkAIABBACAAbQBvAGQAZQBsACcAcwAgAHQAaQBtAGUAbABpAG4AZQC2AFwAIgAgACYAIABcAG4AIAAgACAAIAAgACAAIAAgACAAIAAgACAAIAAgACAAIAAgACAAIAAgACAAIAAgACAAIAAgACAAIABcACIATwBmAGYAcwBlAHQAIAAgACAAIAAgACAAIAAgACAAkiEoAFIAZQBxAHUAaQByAGUAZAApACAAVABoAGUAIABuAHUAbQBiAGUAcgAgAG8AZgAgAHIAbwB3AHMAIABvAHIAIABjAG8AbAB1AG0AbgBzACAAdABvACAAcwB0AGEAcgB0ACAAcABsAGEAYwBpAG4AZwAgAHQAaABlACAAYQByAHIAYQB5ACAAdwBpAHQAaABpAG4AIAB0AGgAZQAgAHQAaQBtAGUAbABpAG4AZQC2AFwAIgAgACYAIAAgACAAIAAgACAAIAAgACAAIAAgACAAIAAgACAAIAAgACAAIAAgACAAXABuACAAIAAgACAAIAAgACAAIAAgACAAIAAgACAAIAAgACAAIAAgACAAIAAgACAAIAAgACAAIAAgACAAXAAiAE4ATwBUAEUAUwAhACAAIAAgACAAIAAgACAAIAAgAJIhtgBcACIAIAAmACAAXABuACAAIAAgACAAIAAgACAAIAAgACAAIAAgACAAIAAgACAAIAAgACAAIAAgACAAIAAgACAAIAAgACAAIAAgACAAIAAgACAAIAAgACAAIAAgACAAIAAgACAAXAAiAJIhVABpAG0AZQBsAGkAbgBlAHMAIABjAGEAbgAgAGIAZQAgAHYAZQByAHQAaQBjAGEAbAAgAG8AcgAgAGgAbwByAGkAegBvAG4AdABhAGwALgAgAFcAaABpAGMAaABlAHYAZQByACAAdwBhAHkAIAB0AGgAZQAgAHQAaQBtAGUAbABpAG4AZQAgAGcAbwBlAHMALAAgAHQAaABlACAAYQByAHIAYQB5ACAAbQB1AHMAdAAgAG0AYQB0AGMAaAAuALYAXAAiACAAJgAgACA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QAaQBtAGUAbABpAG4AZQBQAG8AcwBpAHQAaQBvAG4AuwMoAFMARQBRAFUARQBOAEMARQAoADMALAAzACkALAAgAEUARABBAFQARQAoAFwAIgBcACIAMQAvADcALwAyADAAMgA2AFwAIgBcACIALAAgAFMARQBRAFUARQBOAEMARQAoACAALAAgADEAMgAsACAAMAApACkALAAgADEAM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KQAsAFwAbgAgACAAIAAgACAAIAAgACAAIAAgACAAIAAgACAAIAAgACAAIAAgACAAIAAgACAAIAAgACAAIAAgAEkAUwBPAE0ASQBUAFQARQBEACgAIABUAGkAbQBlAGwAaQBuAGUAKQAsAFwAbgAgACAAIAAgACAAIAAgACAAIAAgACAAIAAgACAAIAAgACAAIAAgACAAIAAgACAAIAAgACAAIAAgAEkAUwBPAE0ASQBUAFQARQBEACgAIABPAGYAZgBzAGUAdAApAFwAbgAgACAAIAAgACAAIAAgACAAIAAgACAAIAAgACAAIAAgACAAIAAgACAAIAAgACAAIAApACwAXABuACAAIAAgACAALwAvACAAIABDAGgAZQBjAGsAIABpAG4AcAB1AHQAcwAgAC0AIABNAGEAawBlACAAcwB1AHIAZQAgAHMAYwBhAGwAYQByAHMAIABhAHIAZQAgAG4AbwB0ACAAYQByAHIAYQB5AHMAXABuACAAIAAgACAAIAAgACAAIABPAGYAZgBzAGUAdAAsACAAIAAgACAAIAAgACAAIAAgAEAATwBmAGYAcwBlAHQALABcAG4AIAAgACAAIAAvAC8AIAAgAFAAcgBlAGMAZQBkAHUAcgBlAFwAbgAgACAAIAAgACAAIAAgACAAUgBvAHcAcwAsACAAIAAgACAAIAAgACAAIAAgACAAIABSAE8AVwBTACgAQQByAHIAYQB5ACkALABcAG4AIAAgACAAIAAgACAAIAAgAEMAbwBsAHMALAAgACAAIAAgACAAIAAgACAAIAAgACAAQwBPAEwAVQBNAE4AUwAoAEEAcgByAGEAeQApACwAXABuACAAIAAgACAALwAvACAAIABBACAAbwBuAGUALQBkAGEAdABlACAAdABpAG0AZQBsAGkAbgBlACAAaQBzACAAbgBlAGkAdABoAGUAcgAgAHcAaQBkAGUAIABuAG8AcgAgAHQAYQBsAGwAOwAgAHIAZQBhAGQAIABpAHQAIABhAHMAIABoAG8AcgBpAHoAbwBuAHQAYQBsACAAcwBvACAAdABoAGUAXABuACAAIAAgACAALwAvACAAIABhAHIAcgBhAHkAIABrAGUAZQBwAHMAIABpAHQAcwAgAHIAbwB3AHMAIABhAG4AZAAgAGwAYQBuAGQAcwAgAGkAbgAgAHQAaABhAHQAIABzAGkAbgBnAGwAZQAgAHAAZQByAGkAbwBkAC4AXABuACAAIAAgACAAIAAgACAAIABSAGUAcwB1AGwAdAAsACAAIAAgACAAIAAgACAAIAAgAEkARgAoACAATwBSACgAIABDAE8ATABVAE0ATgBTACgAIABUAGkAbQBlAGwAaQBuAGUAKQAgAD4AIAAxACwAIABSAE8AVwBTACgAIABUAGkAbQBlAGwAaQBuAGUAKQAgAD0AIAAxACkALABcAG4AIAAgACAAIAAgACAAIAAgACAAIAAgACAAIAAgACAAIAAgACAAIAAgACAAIAAgACAALwAvACAAIABIAG8AcgBpAHoAbwBuAHQAYQBsACAAVABpAG0AZQBsAGkAbgBlAFwAbgAgACAAIAAgACAAIAAgACAAIAAgACAAIAAgACAAIAAgACAAIAAgACAAIAAgACAAIAAgACAAIAAgAE0AQQBLAEUAQQBSAFIAQQBZACgAIABSAG8AdwBzACwAIABDAE8ATABVAE0ATgBTACgAIABUAGkAbQBlAGwAaQBuAGUAKQAsAFwAbgAgACAAIAAgACAAIAAgACAAIAAgACAAIAAgACAAIAAgACAAIAAgACAAIAAgACAAIAAgACAAIAAgACAAIAAgACAATABBAE0AQgBEAEEAKABSACwAIABDACwAXABuACAAIAAgACAAIAAgACAAIAAgACAAIAAgACAAIAAgACAAIAAgACAAIAAgACAAIAAgACAAIAAgACAAIAAgACAAIAAgACAAIAAgAEkARgAoACAAKAAoAEMAIAAtACAATwBmAGYAcwBlAHQAKQAgAD4APQAgADEAKQAgACoAIAAoACgAIABDACAALQAgAE8AZgBmAHMAZQB0ACkAIAA8AD0AIABDAG8AbABzACkAIAA9ACAAMQAsAFwAbgAgACAAIAAgACAAIAAgACAAIAAgACAAIAAgACAAIAAgACAAIAAgACAAIAAgACAAIAAgACAAIAAgACAAIAAgACAAIAAgACAAIAAgACAAIAAgAEkATgBEAEUAWAAoACAAQQByAHIAYQB5ACwAIABSACwAIABDACAALQAgAE8AZgBmAHMAZQB0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LABcAG4AIAAgACAAIAAgACAAIAAgACAAIAAgACAAIAAgACAAIAAgACAAIAAgACAAIAAgACAALwAvACAAIABWAGUAcgB0AGkAYwBhAGwAIABUAGkAbQBlAGwAaQBuAGUAXABuACAAIAAgACAAIAAgACAAIAAgACAAIAAgACAAIAAgACAAIAAgACAAIAAgACAAIAAgACAAIAAgACAATQBBAEsARQBBAFIAUgBBAFkAKAAgAFIATwBXAFMAKAAgAFQAaQBtAGUAbABpAG4AZQApACwAIABDAG8AbABzACwAXABuACAAIAAgACAAIAAgACAAIAAgACAAIAAgACAAIAAgACAAIAAgACAAIAAgACAAIAAgACAAIAAgACAAIAAgACAAIABMAEEATQBCAEQAQQAoAFIALAAgAEMALABcAG4AIAAgACAAIAAgACAAIAAgACAAIAAgACAAIAAgACAAIAAgACAAIAAgACAAIAAgACAAIAAgACAAIAAgACAAIAAgACAAIAAgACAASQBGACgAIAAoACgAUgAgAC0AIABPAGYAZgBzAGUAdAApACAAPgA9ACAAMQApACAAKgAgACgAKAAgAFIAIAAtACAATwBmAGYAcwBlAHQAKQAgADwAPQAgAFIAbwB3AHMAKQAgAD0AIAAxACwAXABuACAAIAAgACAAIAAgACAAIAAgACAAIAAgACAAIAAgACAAIAAgACAAIAAgACAAIAAgACAAIAAgACAAIAAgACAAIAAgACAAIAAgACAAIAAgACAASQBOAEQARQBYACgAIABBAHIAcgBhAHkALAAgAFIAIAAtACAATwBmAGYAcwBlAHQALAAgAEM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RgBpAGwAdABlAHIAQwBvAG4AdABhAGkAbgBzALsDXABuACAAIAAgACAARABFAFMAQwBSAEkAUABUAEkATwBOADoAKgAvAC8AKgAqAEYAaQBsAHQAZQByACAAYQBuACAAYQByAHIAYQB5ACAAYgB5ACAAYQBuAG8AdABoAGUAcgAgAGEAcgByAGEAeQAgAHQAaABhAHQAIABjAG8AbgB0AGEAaQBuAHMAIABzAHAAZQBjAGkAZgBpAGMAIAB0AGUAeAB0ACoALwBcAG4ARgBpAGwAdABlAHIAQwBvAG4AdABhAGkAbgBzALsDIAA9ACAATABBAE0AQgBEAEEAKABcAG4ALwAvACAAIABQAGEAcgBhAG0AZQB0AGUAcgAgAEQAZQBjAGwAYQByAGEAdABpAG8AbgBzAFwAbgAgACAAIAAgAFsAQQByAHIAYQB5AFQAbwBGAGkAbAB0AGUAcgBdACwAXABuACAAIAAgACAAWwBGAGkAbAB0AGUAcgBCAHkAQQByAHIAYQB5AF0ALABcAG4AIAAgACAAIABbAEYAaQBsAHQAZQByAEIAeQBUAGUAeAB0AF0ALABcAG4AIAAgACAAIABbAEkAZwBuAG8AcgBlAEMAYQBzAGUAPw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YAaQBsAHQAZQByAEMAbwBuAHQAYQBpAG4AcwC7AygAIABBAHIAcgBhAHkAVABvAEYAaQBsAHQAZQByACwAIABGAGkAbAB0AGUAcgBCAHkAQQByAHIAYQB5ACwAIABGAGkAbAB0AGUAcgBCAHkAVABlAHgAdAAsACAAWwBJAGcAbgBvAHIAZQBDAGEAcwBlAD8AXQAgACkAtgBcACIAIAAmAFwAbgAgACAAIAAgACAAIAAgACAAIAAgACAAIAAgACAAIAAgACAAIAAgACAAIAAgACAAIAAgACAAIAAgAFwAIgBEAEUAUwBDAFIASQBQAFQASQBPAE4AOgAgACAAIACSIUYAaQBsAHQAZQByACAAYQBuACAAYQByAHIAYQB5ACAAYgB5ACAAYQBuAG8AdABoAGUAcgAgAGEAcgByAGEAeQAgAHQAaABhAHQAIABjAG8AbgB0AGEAaQBuAHMAIABzAHAAZQBjAGkAZgBpAGMAIAB0AGUAeAB0AC4AtgBcACIAIAAmACAAXABuACAAIAAgACAAIAAgACAAIAAgACAAIAAgACAAIAAgACAAIAAgACAAIAAgACAAIAAgACAAIAAgACAAXAAiAFMARQBFACAAQQBMAFMATwA6ACAAIAAgACAAIAAgAJIhRQB4AGMAZQBsACAAMwA2ADUAIABuAG8AdwAgAGgAYQBzACAAUgBFAEcARQBYAFQARQBTAFQAIABhAG4AZAAgAFIARQBHAEUAWABFAFgAVABSAEEAQwBUACAAZgBvAHIAIABwAGEAdAB0AGUAcgBuACAAbQBhAHQAYwBoAGkAbgBn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VABvAEYAaQBsAHQAZQByACAAIACSISgAUgBlAHEAdQBpAHIAZQBkACkAIABBAG4AIABhAHIAcgBhAHkAIAB0AG8AIABiAGUAIABmAGkAbAB0AGUAcgBlAGQAtgBcACIAIAAmACAAIAAgACAAIAAgACAAIAAgACAAIAAgACAAIAAgACAAIAAgACAAXABuACAAIAAgACAAIAAgACAAIAAgACAAIAAgACAAIAAgACAAIAAgACAAIAAgACAAIAAgACAAIAAgACAAXAAiAEYAaQBsAHQAZQByAEIAeQBBAHIAcgBhAHkAIAAgAJIhKABSAGUAcQB1AGkAcgBlAGQAKQAgAEEAbgAgAGEAcgByAGEAeQAgAGMAbwBuAHQAYQBpAG4AaQBuAGcAIAB0AGUAeAB0ACAAdABvACAAdQBzAGUAIABhAHMAIABhACAAZgBpAGwAdABlAHIAtgBcACIAIAAmACAAIAAgACAAIAAgACAAIAAgACAAIAAgACAAIAAgACAAIAAgACAAXABuACAAIAAgACAAIAAgACAAIAAgACAAIAAgACAAIAAgACAAIAAgACAAIAAgACAAIAAgACAAIAAgACAAXAAiAEYAaQBsAHQAZQByAEIAeQBUAGUAeAB0ACAAIAAgAJIhKABSAGUAcQB1AGkAcgBlAGQAKQAgAEEAIAB0AGUAeAB0ACAAcwB0AHIAaQBuAGcAIAB0AG8AIABmAGkAbgBkACAAaQBuACAARgBpAGwAdABlAHIAQgB5AEEAcgByAGEAeQ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XAAiAFwAIgBDAGEAdABcACIAXAAiACAAIAAgACAAIAAgACAAIACSIT0AbwB6AC4ARgBpAGwAdABlAHIAQwBvAG4AdABhAGkAbgBzALsDKAAgAHsAXAAiAFwAIgBKAG8AZQBcACIAXAAiACwAIABcACIAXAAiAFMAYQBsAGwAeQBcACIAXAAiACwAIABcACIAXAAiAEMAYQB0AFwAIgBcACIAfQAsACAAewBcACIAXAAiAEgAMQBcACIAXAAiACwAIABcACIAXAAiAEgAMgBcACIAXAAiACwAIABcACIAXAAiAEEAMQBcACIAXAAiAH0ALAAgAFwAIgBcACIAQQ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BUAG8ARgBpAGwAdABlAHIAKQAsACAAXABuACAAIAAgACAAIAAgACAAIAAgACAAIAAgACAAIAAgACAAIAAgACAAIAAgACAAIAAgACAAIAAgACAASQBTAE8ATQBJAFQAVABFAEQAKAAgAEYAaQBsAHQAZQByAEIAeQBBAHIAcgBhAHkAKQAsACAAXABuACAAIAAgACAAIAAgACAAIAAgACAAIAAgACAAIAAgACAAIAAgACAAIAAgACAAIAAgACAAIAAgACAASQBTAE8ATQBJAFQAVABFAEQAKAAgAEYAaQBsAHQAZQByAEIAeQBUAGUAeAB0ACkAXABuACAAIAAgACAAIAAgACAAIAAgACAAIAAgACAAIAAgACAAIAAgACAAIAAgACAAIAAg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vAC8AIAAgAFAAcgBvAGMAZQBkAHUAcgBlAFwAbgAgACAAIAAgACAAIAAgACAATQBhAHQAYwBoAGUAcwAsACAAIAAgACAAIAAgACAAIABJAEYAKAAgAEkAZwBuAG8AcgBlAEMAYQBzAGUAPwAsACAAXABuACAAIAAgACAAIAAgACAAIAAgACAAIAAgACAAIAAgACAAIAAgACAAIAAgACAAIAAgACAAIAAgACAAUwBFAEEAUgBDAEgAKAAgAEYAaQBsAHQAZQByAEIAeQBUAGUAeAB0ACwAIABGAGkAbAB0AGUAcgBCAHkAQQByAHIAYQB5ACkALABcAG4AIAAgACAAIAAgACAAIAAgACAAIAAgACAAIAAgACAAIAAgACAAIAAgACAAIAAgACAAIAAgACAAIABGAEkATgBEACgAIABGAGkAbAB0AGUAcgBCAHkAVABlAHgAdAAsACAARgBpAGwAdABlAHIAQgB5AEEAcgByAGEAeQApAFwAbgAgACAAIAAgACAAIAAgACAAIAAgACAAIAAgACAAIAAgACAAIAAgACAAIAAgACAAIAApACwAXABuACAAIAAgACAAIAAgACAAIABSAGUAcwB1AGwAdAAsACAAIAAgACAAIAAgACAAIAAgAEYASQBMAFQARQBSACgAIABBAHIAcgBhAHkAVABvAEYAaQBsAHQAZQByACwAIABJAFMATgBVAE0AQgBFAFIAKAAgAE0AYQB0AGMAaABlAHMAKQ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hAG4AZwBlAFQAbwBEAEEAuwNcAG4AIAAgACAAIABEAEUAUwBDAFIASQBQAFQASQBPAE4AOgAqAC8ALwAqACoAQwByAGUAYQB0AGUAIABhACAAZAB5AG4AYQBtAGkAYwAgAGEAcgByAGEAeQAgAGYAcgBvAG0AIABhACAAcwB0AGEAdABpAGMAIAByAGEAbgBnAGUAKgAvAFwAbgBSAGEAbgBnAGUAVABvAEQAQQC7AyAAPQAgAEwAQQBNAEIARABBACgAXABuAC8ALwAgACAAUABhAHIAYQBtAGUAdABlAHIAIABEAGUAYwBsAGEAcgBhAHQAaQBvAG4AcwBcAG4AIAAgACAAIABbAEMAZQBsAGwAXQAsAFwAbgAgACAAIAAgAFsAUgBvAHcAcwBdACwAIAAgACAAIABcAG4AIAAgACAAIABbAEMAbwBsAHUAbQBuAHMAXQAsACAAIAAgACAAXABuAC8ALwAgACAASABlAGwAcABcAG4AIAAgACAAIABMAEUAVAAoAEgAZQBsAHAALAAgACAAIAAgACAAIAAgAFQAUgBJAE0AKABUAEUAWABUAFMAUABMAEkAVAAoACAAXABuACAAIAAgACAAIAAgACAAIAAgACAAIAAgACAAIAAgACAAIAAgACAAIAAgACAAIAAgACAAIAAgACAAXAAiAEYAVQBOAEMAVABJAE8ATgA6ACAAIAAgACAAIAAgAJIhUgBhAG4AZwBlAFQAbwBEAEEAuwMoACAAQwBlAGwAbAAsACAAWwBSAG8AdwBzAF0ALAAgAFsAQwBvAGwAdQBtAG4AcwBdACkAtgBcACIAIAAmAFwAbgAgACAAIAAgACAAIAAgACAAIAAgACAAIAAgACAAIAAgACAAIAAgACAAIAAgACAAIAAgACAAIAAgAFwAIgBEAEUAUwBDAFIASQBQAFQASQBPAE4AOgAgACAAIACSIUMAcgBlAGEAdABlACAAYQAgAGQAeQBuAGEAbQBpAGMAIABhAHIAcgBhAHkAIABmAHIAbwBtACAAYQAgAHMAdABhAHQAaQBjACAAcgBhAG4AZwBl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ZQBsAGwAIAAgACAAIAAgACAAIAAgACAAIAAgAJIhKABSAGUAcQB1AGkAcgBlAGQAKQAgAFQAaABlACAAdQBwAHAAZQByACAAbABlAGYAdAAgAGMAZQBsAGwAIABvAGYAIABhACAAcgBhAG4AZwBlACAAdABvACAAYwBvAG4AdgBlAHIAdAC2AFwAIgAgACYAIABcAG4AIAAgACAAIAAgACAAIAAgACAAIAAgACAAIAAgACAAIAAgACAAIAAgACAAIAAgACAAIAAgACAAIABcACIAUgBvAHcAcwAgACAAIAAgACAAIAAgACAAIAAgACAAkiEoAE8AcAB0AGkAbwBuAGEAbAApACAAVABoAGUAIABuAHUAbQBiAGUAcgAgAG8AZgAgAHIAbwB3AHMAIABmAG8AcgAgAGQAeQBuAGEAbQBpAGMAIABhAHIAcgBhAHkALgAgAEQAZQBmAGEAdQBsAHQAcwAgAHQAbwAgADEALgC2AFwAIgAgACYAIABcAG4AIAAgACAAIAAgACAAIAAgACAAIAAgACAAIAAgACAAIAAgACAAIAAgACAAIAAgACAAIAAgACAAIABcACIAQwBvAGwAdQBtAG4AcwAgACAAIAAgACAAIAAgACAAkiEoAE8AcAB0AGkAbwBuAGEAbAApACAAVABoAGUAIABuAHUAbQBiAGUAcgAgAG8AZgAgAGMAbwBsAHUAbQBuAHMAIABmAG8AcgAgAGQAeQBuAGEAbQBpAGMAIABhAHIAcgBhAHkALgAgAEQAZQBmAGEAdQBsAHQAcwAgAHQAbwAgADEAL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gACAAIAAgACAAIAAgACAAIAAgACAAIAAgACAAIACSIT0AbwB6AC4AUgBhAG4AZwBlAFQAbwBEAEEAuwMoACAAQQAxACwAIAAsACAAMQAy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QwBlAGwAbAApACwAXABuACAAIAAgACAALwAvACAAIABTAGUAdAAgAEQAZQBmAGEAdQBsAHQAcwBcAG4AIAAgACAAIAAgACAAIAAgAFIAbwB3AHMALAAgACAAIAAgACAAIAAgACAAIAAgACAASQBGACgASQBTAE8ATQBJAFQAVABFAEQAKABSAG8AdwBzACkALAAgADEALAAgAEkARgAoAFIAbwB3AHMAIAA9ACAAMAAsACAAMQAsACAAUgBvAHcAcwApACkALABcAG4AIAAgACAAIAAgACAAIAAgAEMAbwBsAHUAbQBuAHMALAAgACAAIAAgACAAIAAgACAASQBGACgASQBTAE8ATQBJAFQAVABFAEQAKABDAG8AbAB1AG0AbgBzACkALAAgADEALAAgAEkARgAoAEMAbwBsAHUAbQBuAHMAIAA9ACAAMAAsACAAMQAsACAAQwBvAGwAdQBtAG4AcwApACkALABcAG4AIAAgACAAIAAvAC8AIAAgAFAAcgBvAGMAZQBkAHUAcgBlAFwAbgAgACAAIAAgACAAIAAgACAAUgBlAHMAdQBsAHQALAAgACAAIAAgACAAIAAgACAAIABPAEYARgBTAEUAVAAoAEMAZQBsAGwALAAgADAALAAgADAALAAgAFIAbwB3AHMALAAgAEMAbwBsAHUAbQBuAHM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AAZQByAGkAbwBkAFMAdABhAHIAdAC7A1wAbgAgACAAIAAgAEQARQBTAEMAUgBJAFAAVABJAE8ATgA6ACoALwAvACoAKgBEAGUAdABlAHIAbQBpAG4AZQAgAHcAaABlAG4AIAB0AGgAZQAgAHAAZQByAGkAbwBkACAAYwBvAG4AdABhAGkAbgBpAG4AZwAgAGEAIABkAGEAdABlACAAbwBmACAAaQBuAHQAZQByAGUAcwB0ACAAcwB0AGEAcgB0AHMAKgAvAFwAbgBQAGUAcgBpAG8AZABTAHQAYQByAHQAuwMgAD0AIABMAEEATQBCAEQAQQAoAFwAbgAvAC8AIAAgAFAAYQByAGEAbQBlAHQAZQByACAARABlAGMAbABhAHIAYQB0AGkAbwBuAFwAbgAgACAAIAAgAFsAQQBuAHkAUABlAHIAaQBvAGQAUwB0AGEAcgB0AF0ALABcAG4AIAAgACAAIABbAE0AbwBuAHQAaABzAFAAZQByAFAAZQByAGkAbwBkAF0ALAAgAFwAbgAgACAAIAAgAFsARABhAHQAZQBPAGYASQBuAHQAZQByAGUAcwB0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FMAdABhAHIAdAC7AygAQQBuAHkAUABlAHIAaQBvAGQAUwB0AGEAcgB0ACwAIABNAG8AbgB0AGgAcwBQAGUAcgBQAGUAcgBpAG8AZAAsACAARABhAHQAZQBPAGYASQBuAHQAZQByAGUAcwB0ACkAtgBcACIAIAAmAFwAbgAgACAAIAAgACAAIAAgACAAIAAgACAAIAAgACAAIAAgACAAIAAgACAAIAAgACAAIAAgACAAIAAgAFwAIgBEAEUAUwBDAFIASQBQAFQASQBPAE4AOgAgACAAIACSIUQAZQB0AGUAcgBtAGkAbgBlACAAdwBoAGUAbgAgAHQAaABlACAAcABlAHIAaQBvAGQAIABjAG8AbgB0AGEAaQBuAGkAbgBnACAAYQAgAGQAYQB0AGUAIABvAGYAIABpAG4AdABlAHIAZQBzAHQAIABzAHQAYQByAHQ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uAHkAUABlAHIAaQBvAGQAUwB0AGEAcgB0ACAAkiEoAFIAZQBxAHUAaQByAGUAZAApACAAQQBuAHkAIABzAHQAYQByAHQAIABkAGEAdABlACAAdwBpAHQAaABpAG4AIABhACAAdABpAG0AZQBsAGkAbgBlAC4AtgBcACIAIAAmACAAIAAgACAAIAAgACAAIAAgACAAIAAgACAAIAAgACAAIAAgACAAXABuACAAIAAgACAAIAAgACAAIAAgACAAIAAgACAAIAAgACAAIAAgACAAIAAgACAAIAAgACAAIAAgACAAXAAiAE0AbwBuAHQAaABzAFAAZQByAFAAZQByAGkAbwBkAJIhKABSAGUAcQB1AGkAcgBlAGQAKQAgAE4AdQBtAGIAZQByACAAbwBmACAAbQBvAG4AdABoAHMAIABpAG4AIABlAGEAYwBoACAAcABlAHIAaQBvAGQAtgBcACIAIAAmACAAXABuACAAIAAgACAAIAAgACAAIAAgACAAIAAgACAAIAAgACAAIAAgACAAIAAgACAAIAAgACAAIAAgACAAXAAiAEQAYQB0AGUATwBmAEkAbgB0AGUAcgBlAHMAdAAgAJIhKABSAGUAcQB1AGkAcgBlAGQAKQAgAEEAIABkAGEAdABlACAAZgBvAHIAIAB3AGgAaQBjAGgAIAB3AGUAIAB3AGEAbgB0ACAAdABvACAAawBuAG8AdwAgAHQAaABlACAAcwB0AGEAcgB0ACAAbwBmACAAdABoAGUAIABwAGUAcgBpAG8AZAAgAGMAbwBuAHQAYQBpAG4AaQBuAGcAIABpAHQALg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gAwADIANgAtADEAMAAtADAAMQAgACAAIAAgACAAkiE9AG8AegAuAFAAZQByAGkAbwBkAFMAdABhAHIAdAC7AygAXAAiAFwAIgAyADAAMgA2AC0AMAA3AC0AMAAxAFwAIgBcACIALAAgADMALAAgAFwAIgBcACIAMgAwADIANgAtADEAMAAtADEAN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bgB5AFAAZQByAGkAbwBkAFMAdABhAHIAdAApACwAXABuACAAIAAgACAAIAAgACAAIAAgACAAIAAgACAAIAAgACAAIAAgACAAIAAgACAAIAAgACAAIAAgACAASQBTAE8ATQBJAFQAVABFAEQAKAAgAE0AbwBuAHQAaABzAFAAZQByAFAAZQByAGkAbwBkACkALABcAG4AIAAgACAAIAAgACAAIAAgACAAIAAgACAAIAAgACAAIAAgACAAIAAgACAAIAAgACAAIAAgACAAIABJAFMATwBNAEkAVABUAEUARAAoACAARABhAHQAZQBPAGYASQBuAHQAZQByAGUAcwB0ACkAXABuACAAIAAgACAAIAAgACAAIAAgACAAIAAgACAAIAAgACAAIAAgACAAIAAgACAAIAAgACkALABcAG4AIAAgACAAIAAvAC8AIAAgAEMAbwBuAHMAdABhAG4AdABzAFwAbgAgACAAIAAgACAAIAAgACAATQBwAFkALAAgACAAIAAgACAAIAAgACAAIAAgACAAIAAgACAAIAAgADEAMgAsACAALwAvAE0AbwBuAHQAaABzACAAUABlAHIAIABZAGUAYQByAFwAbgAgACAAIAAgACAAIAAgACAATQBwAFAALAAgACAAIAAgACAAIAAgACAAIAAgACAAIAAgACAAIAAgAE0AbwBuAHQAaABzAFAAZQByAFAAZQByAGkAbwBkACwAXABuACAAIAAgACAALwAvACAAIABDAGgAZQBjAGsAIABpAG4AcAB1AHQAcwAgAC0AIABJAGYAIABhACAAZABhAHQAZQAgAGkAcwAgAGkAbgAgAHQAZQB4AHQALAAgAGMAbwBuAHYAZQByAHQAIAB0AG8AIAB2AGEAbAB1AGUAXABuACAAIAAgACAAIAAgACAAIABDAHYAdABTAHQAYQByAHQALAAgACAAIAAgACAAIAAgACAAIAAgACAASQBGACgAIABJAFMAVABFAFgAVAAoACAAQQBuAHkAUABlAHIAaQBvAGQAUwB0AGEAcgB0ACkALAAgAEQAQQBUAEUAVgBBAEwAVQBFACgAIABBAG4AeQBQAGUAcgBpAG8AZABTAHQAYQByAHQAKQAsACAAQQBuAHkAUABlAHIAaQBvAGQAUwB0AGEAcgB0ACkALABcAG4AIAAgACAAIAAgACAAIAAgAEMAdgB0AEQAYQB0AGUALAAgACAAIAAgACAAIAAgACAAIAAgACAAIABJAEYAKAAgAEkAUwBUAEUAWABUACgAIABEAGEAdABlAE8AZgBJAG4AdABlAHIAZQBzAHQAKQAsACAARABBAFQARQBWAEEATABVAEUAKAAgAEQAYQB0AGUATwBmAEkAbgB0AGUAcgBlAHMAdAApACwAIABEAGEAdABlAE8AZgBJAG4AdABlAHIAZQBzAHQAKQAsAFwAbgAgACAAIAAgAC8ALwAgACAAUAByAG8AYwBlAGQAdQByAGUAXABuACAAIAAgACAALwAvACAAIABDAG8AdQBuAHQAIAB0AGgAZQAgAHcAaABvAGwAZQAgAHAAZQByAGkAbwBkAHMAIABmAHIAbwBtACAAdABoAGUAIABhAG4AYwBoAG8AcgAgAHQAbwAgAHQAaABlACAAZABhAHQAZQAgAG8AZgAgAGkAbgB0AGUAcgBlAHMAdAAgAGEAbgBkACAAcwB0AGUAcAAgAHQAaABlAFwAbgAgACAAIAAgAC8ALwAgACAAYQBuAGMAaABvAHIAIABvAG4AIABiAHkAIAB0AGgAYQB0ACAAbQBhAG4AeQAuAFwAbgAgACAAIAAgACAAIAAgACAATQBvAG4AdABoAEQAaQBmAGYALAAgACAAIAAgACAAIAAgACAAIAAgACgAWQBFAEEAUgAoACAAQwB2AHQARABhAHQAZQApACAALQAgAFkARQBBAFIAKAAgAEMAdgB0AFMAdABhAHIAdAApACkAIAAqACAATQBwAFkAIAArACAATQBPAE4AVABIACgAIABDAHYAdABEAGEAdABlACkAIAAtACAATQBPAE4AVABIACgAIABDAHYAdABTAHQAYQByAHQAKQAsAFwAbgAgACAAIAAgACAAIAAgACAAVwBoAG8AbABlAFAAZQByAGkAbwBkAHMALAAgACAAIAAgACAAIAAgAFEAVQBPAFQASQBFAE4AVAAoACAATQBvAG4AdABoAEQAaQBmAGYALAAgAE0AcABQACkALABcAG4AIAAgACAAIAAgACAAIAAgAEMAYQBuAGQAaQBkAGEAdABlACwAIAAgACAAIAAgACAAIAAgACAAIABFAEQAQQBUAEUAKAAgAEMAdgB0AFMAdABhAHIAdAAsACAAVwBoAG8AbABlAFAAZQByAGkAbwBkAHMAIAAqACAATQBwAFAAKQAsAFwAbgAgACAAIAAgAC8ALwAgACAAUQBVAE8AVABJAEUATgBUACAAdAByAHUAbgBjAGEAdABlAHMAIAB0AG8AdwBhAHIAZABzACAAegBlAHIAbwAsACAAYQBuAGQAIAB0AGgAZQAgAGQAYQB5ACAAbwBmACAAdABoAGUAIABtAG8AbgB0AGgAIABjAGEAbgAgAGwAZQBhAHYAZQAgAHQAaABlACAAYwBhAG4AZABpAGQAYQB0AGUAXABuACAAIAAgACAALwAvACAAIABwAGEAcwB0ACAAdABoAGUAIABkAGEAdABlACAAbwBmACAAaQBuAHQAZQByAGUAcwB0ACwAIABzAG8AIABzAHQAZQBwACAAYgBhAGMAawAgAGEAIABwAGUAcgBpAG8AZAAgAHcAaABlAHIAZQAgAGkAdAAgAGQAbwBlAHMALgAgAE8AbgBlACAAcwB0AGUAcAAgAGkAcwAgAGEAbAB3AGEAeQBzAFwAbgAgACAAIAAgAC8ALwAgACAAZQBuAG8AdQBnAGgAOgAgAGEAIAB0AHIAdQBuAGMAYQB0AGUAZAAgAHEAdQBvAHQAaQBlAG4AdAAgAGkAcwAgAG4AZQB2AGUAcgAgAG0AbwByAGUAIAB0AGgAYQBuACAAbwBuAGUAIABwAGUAcgBpAG8AZAAgAG8AdQB0AC4AXABuACAAIAAgACAAIAAgACAAIABSAGUAcwB1AGwAdAAsACAAIAAgACAAIAAgACAAIAAgACAAIAAgACAASQBGACgAIABDAGEAbgBkAGkAZABhAHQAZQAgAD4AIABDAHYAdABEAGEAdABlACwAIABFAEQAQQBUAEUAKAAgAEMAdgB0AFMAdABhAHIAdAAsACAAKABXAGgAbwBsAGUAUABlAHIAaQBvAGQAcwAgAC0AIAAxACkAIAAqACAATQBwAFAAKQAsACAAQwBhAG4AZABpAGQAYQB0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pAG0AaQBuAGkAcwBoAGkAbgBnAFYAYQBsAHUAZQC7A1wAbgAgACAAIAAgAEQARQBTAEMAUgBJAFAAVABJAE8ATgA6ACoALwAvACoAKgBEAGkAbQBpAG4AaQBzAGgAaQBuAGcALQBiAGEAbABhAG4AYwBlACAAZABlAHAAcgBlAGMAaQBhAHQAaQBvAG4AIABzAGMAaABlAGQAdQBsAGUAIABhAHQAIAAyADAAMAAlACAAbwBmACAAdABoAGUAIABzAHQAcgBhAGkAZwBoAHQALQBsAGkAbgBlACAAcgBhAHQAZQAsACAAdwByAGkAdABpAG4AZwAgAHQAaABlACAAcgBlAHMAaQBkAHUAYQBsACAAbwBmAGYAIABpAG4AIAB0AGgAZQAgAGYAaQBuAGEAbAAgAHAAZQByAGkAbwBkAC4AIABBACAAbQBvAGQAZQBsAGwAaQBuAGcAIABzAGMAaABlAGQAdQBsAGUALAAgAG4AbwB0ACAAYQAgAHQAYQB4ACAAYwBhAGwAYwB1AGwAYQB0AGkAbwBuAC4AKgAvAFwAbgBcAG4ARABpAG0AaQBuAGkAcwBoAGkAbgBnAFYAYQBsAHUAZQ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kAbQBpAG4AaQBzAGgAaQBuAGcAVgBhAGwAdQBlALsDKABDAG8AcwB0ACwAIABMAGkAZgBlACkAtgBcACIAIAAmAFwAbgAgACAAIAAgACAAIAAgACAAIAAgACAAIAAgACAAIAAgACAAIAAgACAAIAAgACAAIAAgACAAIAAgAFwAIgBEAEUAUwBDAFIASQBQAFQASQBPAE4AOgAgACAAIACSIU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EAGkAbQBpAG4AaQBzAGgAaQBuAGcAVgBhAGwAdQBlALsDKAAxADAAMAAwACwAIAA1ACkAtgBcACIAIAAmAFwAbgAgACAAIAAgACAAIAAgACAAIAAgACAAIAAgACAAIAAgACAAIAAgACAAIAAgACAAIAAgACAAIAAgAFwAIgCSIVIAZQBzAHUAbAB0ALYAXAAiACAAJgBcAG4AIAAgACAAIAAgACAAIAAgACAAIAAgACAAIAAgACAAIAAgACAAIAAgACAAIAAgACAAIAAgACAAIABcACIAkiE0ADAAMAAuADAAMAAsADIANAAwAC4AMAAwACwAMQA0ADQALgAwADAALAA4ADYALgA0ADAALAAxADIAOQAuADY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SAGUAZgB1AHMAZQAgAGEAIABsAGkAZgBlACAAdABoAGEAdAAgAGMAYQBuAG4AbwB0ACAAbQBhAGsAZQAgAGEAIABzAGMAaABlAGQAdQBsAGUAOgAgAGEAIABuAGUAZwBhAHQAaQB2AGUAIABvAG4AZQAgAHcAcgBvAHQAZQAgAHQAaABlACAAdwBoAG8AbABlACAAYwBvAHMAdAAgAG8AZgBmAFwAbgAgACAAIAAgAC8ALwAgACAAaQBuACAAbwBuAGUAIABwAGUAcgBpAG8AZAAgAGEAbgBkACAAegBlAHIAbwAgAGQAaQB2AGkAZABlAGQAIABiAHkAIAB6AGUAcgBvAFwAbgAgACAAIAAgACAAIAAgACAAVgBhAGwAaQBkAD8ALAAgACAAIAAgACAAIAAgACAAIABBAE4ARAAoAEkAUwBOAFUATQBCAEUAUgAoAEwAaQBmAGUAKQAsACAATABpAGYAZQAgAD4AIAAwACkALABcAG4AIAAgACAAIAAvAC8AIAAgAFIAYQB0AGUAIABpAHMAIABjAGEAcABwAGUAZAA6ACAAYQAgAGwAaQBmAGUAIAB1AG4AZABlAHIAIAB0AHcAbwAgAHkAZQBhAHIAcwAgAHcAbwB1AGwAZAAgAG8AdABoAGUAcgB3AGkAcwBlACAAZQB4AGMAZQBlAGQAIAAxADAAMAAlAFwAbgAgACAAIAAgACAAIAAgACAAUgBhAHQAZQAsACAAIAAgACAAIAAgACAAIAAgACAAIABNAEkATgAoADIALwBMAGkAZgBlACwAIAAxACk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UwBlAHQAIABDAG8AbgBzAHQAYQBuAHQAcwBcAG4AIAAgACAAIAAgACAAIAAgAFAAZQByAGkAbwBkAHMALAAgACAAIAAgACAAIAAgACAAUwBFAFEAVQBFAE4AQwBFACgALAAgAEMAbwB1AG4AdAApACwAXABuACAAIAAgACAALwAvACAAIABUAGgAZQAgAFAAZQByAGkAbwBkAHMAPQAxACAAZwB1AGEAcgBkACAAYQB2AG8AaQBkAHMAIAAwAF4AMAAsACAAdwBoAGkAYwBoACAARQB4AGMAZQBsACAAcgBlAHQAdQByAG4AcwAgAGEAcwAgACMATgBVAE0AIQAgAG8AbgBjAGUAIABSAGEAdABlACAAcgBlAGEAYwBoAGUAcwAgADEAXABuACAAIAAgACAAIAAgACAAIABSAGEAdwAsACAAIAAgACAAIAAgACAAIAAgACAAIAAgAEMAbwBzAHQAIAAqACAAUgBhAHQAZQAgACoAIABJAEYAKABQAGUAcgBpAG8AZABzACAAPQAgADEALAAgADEALAAgACgAMQAtAFIAYQB0AGUAKQBeACgAUABlAHIAaQBvAGQAcwAtADEAKQApACwAXABuACAAIAAgACAALwAvACAAIABXAHIAaQB0AGUAIAB0AGgAZQAgAHUAbgBkAGUAZAB1AGMAdABlAGQAIAByAGUAcwBpAGQAdQBhAGwAIABvAGYAZgAgAGkAbgAgAHQAaABlACAAZgBpAG4AYQBsACAAcABlAHIAaQBvAGQAXABuACAAIAAgACAAIAAgACAAIABSAGUAcwB1AGwAdAAsACAAIAAgACAAIAAgACAAIAAgAEkARgAoAFYAYQBsAGkAZAA/ACwAIABSAGEAdwAgACsAIAAoAFAAZQByAGkAbwBkAHMAIAA9ACAAQwBvAHUAbgB0ACkAIAAqACAAKABDAG8AcwB0ACAALQAgAFMAVQBNACgAUgBhAHcAKQApACwAXABuACAAIAAgACAAIAAgACAAIAAgACAAIAAgACAAIAAgACAAIAAgACAAIAAgACAAIAAgACAAIAAgACAAXAAiAEQAaQBtAGkAbgBpAHMAaABpAG4AZwBWAGEAbAB1AGUAuwMgAG4AZQBlAGQAcwAgAGEAIABMAGkAZgBlACAAZwByAGUAYQB0AGUAcgAgAHQAaABhAG4AIAAwAFwAIg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HIAaQBtAGUAQwBvAHMAdAC7A1wAbgAgACAAIAAgAEQARQBTAEMAUgBJAFAAVABJAE8ATgA6ACoALwAvACoAKgB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AqAC8AXABuAFwAbgBQAHIAaQBtAGUAQwBvAHMAdA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QAHIAaQBtAGUAQwBvAHMAdAC7AygAQwBvAHMAdAAsACAATABpAGYAZQApALYAXAAiACAAJgBcAG4AIAAgACAAIAAgACAAIAAgACAAIAAgACAAIAAgACAAIAAgACAAIAAgACAAIAAgACAAIAAgACAAIABcACIARABFAFMAQwBSAEkAUABUAEkATwBOADoAIAAgACAAkiF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QAHIAaQBtAGUAQwBvAHMAdAC7AygAMQAwADAAMAAsACAANQApALYAXAAiACAAJgBcAG4AIAAgACAAIAAgACAAIAAgACAAIAAgACAAIAAgACAAIAAgACAAIAAgACAAIAAgACAAIAAgACAAIABcACIAkiFSAGUAcwB1AGwAdAC2AFwAIgAgACYAXABuACAAIAAgACAAIAAgACAAIAAgACAAIAAgACAAIAAgACAAIAAgACAAIAAgACAAIAAgACAAIAAgACAAXAAiAJIhMgAwADAALgAwADAALAAyADAAMAAuADAAMAAsADIAMAAwAC4AMAAwACwAMgAwADAALgAwADAALAAyADAAMAAuAD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SAGUAZgB1AHMAZQAgAGEAIABsAGkAZgBlACAAdABoAGEAdAAgAGMAYQBuAG4AbwB0ACAAbQBhAGsAZQAgAGEAIABzAGMAaABlAGQAdQBsAGUAOgAgAGEAIABuAGUAZwBhAHQAaQB2AGUAIABvAG4AZQAgAHcAcgBvAHQAZQAgAHQAaABlACAAdwBoAG8AbABlACAAYwBvAHMAdAAgAG8AZgBmAFwAbgAgACAAIAAgAC8ALwAgACAAaQBuACAAbwBuAGUAIABwAGUAcgBpAG8AZAAgAGEAbgBkACAAegBlAHIAbwAgAGQAaQB2AGkAZABlAGQAIABiAHkAIAB6AGUAcgBvAFwAbgAgACAAIAAgACAAIAAgACAAVgBhAGwAaQBkAD8ALAAgACAAIAAgACAAIAAgACAAIABBAE4ARAAoAEkAUwBOAFUATQBCAEUAUgAoAEwAaQBmAGUAKQAsACAATABpAGYAZQAgAD4AIAAwACkALABcAG4AIAAgACAAIAAvAC8AIAAgAFMAZQB0ACAAQwBvAG4AcwB0AGEAbgB0AHMAXABuACAAIAAgACAAIAAgACAAIABBAG4AbgB1AGEAbAAsACAAIAAgACAAIAAgACAAIAAgAEMAbwBzAHQALwBMAGkAZgBl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QAaABlACAAZgBpAG4AYQBsACAAcABlAHIAaQBvAGQAIABjAGEAcgByAGkAZQBzACAAdABoAGUAIABwAGEAcgB0AC0AeQBlAGEAcgAgAHIAZQBtAGEAaQBuAGQAZQByACwAIABzAG8AIAB0AGgAZQAgAHMAYwBoAGUAZAB1AGwAZQAgAHMAdQBtAHMAIAB0AG8AIABjAG8AcwB0AFwAbgAgACAAIAAgACAAIAAgACAAUgBlAHMAdQBsAHQALAAgACAAIAAgACAAIAAgACAAIABJAEYAKABWAGEAbABpAGQAPwAsACAASQBGACgAUwBFAFEAVQBFAE4AQwBFACgALAAgAEMAbwB1AG4AdAApACAAPQAgAEMAbwB1AG4AdAAsACAAQwBvAHMAdAAgAC0AIABBAG4AbgB1AGEAbAAgACoAIAAoAEMAbwB1AG4AdAAgAC0AIAAxACkALAAgAEEAbgBuAHUAYQBsACkALABcAG4AIAAgACAAIAAgACAAIAAgACAAIAAgACAAIAAgACAAIAAgACAAIAAgACAAIAAgACAAIAAgACAAIABcACIAUAByAGkAbQBlAEMAbwBzAHQAuwMgAG4AZQBlAGQAcwAgAGEAIABMAGkAZgBlACAAZwByAGUAYQB0AGUAcgAgAHQAaABhAG4AIAAwAFwAIg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BAGQAZAC7A1wAbgAgACAAIAAgAEQARQBTAEMAUgBJAFAAVABJAE8ATgA6ACoALwAvACoAKgBBAGQAZABzACAARwBTAFQAIAB0AG8AIABvAG4AZQAgAG8AcgAgAG0AbwByAGUAIABHAFMAVAAtAGUAeABjAGwAdQBzAGkAdgBlACAAYQBtAG8AdQBuAHQAcwAuACoALwBcAG4AXABuAEcAUwBUAEEAZABk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EAZABkALsDKABBAG0AbwB1AG4AdABzACwAIABbAFIAYQB0AGUAXQApALYAXAAiACAAJgBcAG4AIAAgACAAIAAgACAAIAAgACAAIAAgACAAIAAgACAAIAAgACAAIAAgACAAIAAgACAAIAAgACAAIABcACIARABFAFMAQwBSAEkAUABUAEkATwBOADoAIAAgACAAkiFBAGQAZABzACAARwBTAFQAIAB0AG8AIABvAG4AZQAgAG8AcgAgAG0AbwByAGUAIABHAFMAVAAtAGUAeABjAGwAdQBzAGkAdgBlACAAYQBtAG8AdQBuAHQAcwAuALYATgBPAFQARQBTACEAIAAgACAAIAAgACAAIAAgACAAkiFUAGgAZQAgADEAMAAlACAAZABlAGYAYQB1AGwAdAAgAGEAbgBkACAAbwBuAGUALQBlAGwAZQB2AGUAbgB0AGgAIABlAHgAdAByAGEAYwB0AGkAbwBuACAAcgBlAGYAbABlAGMAdAAgAHQAaABlACAAYgBhAHMAaQBjACAAcgB1AGwAZQC2ACAAIAAgACAAIAAgACAAIAAgACAAIAAgACAAIAAgAJIhZgBvAHIAIABhACAAdABhAHgAYQBiAGwAZQAgAHMAdQBwAHAAbAB5ACAAaQBuACAAQQAgAE4AZQB3ACAAVABhAHgAIABTAHkAcwB0AGUAbQAgACgARwBvAG8AZABzACAAYQBuAGQAIABTAGUAcgB2AGkAYwBlAHMAIABUAGEAeAApALYAIAAgACAAIAAgACAAIAAgACAAIAAgACAAIAAgACAAkiFBAGMAdAAgADEAOQA5ADkAIABzAHMAIAA5AC0ANwAwACAAYQBuAGQAIAA5AC0ANwA1ACAAKABzAG8AdQByAGMAZQAgAGMAaABlAGMAawBlAGQAIAAyADAAIABBAHUAZwB1AHMAdAAgADIAMAAyADYAKQAuALYAIAAgACAAIAAgACAAIAAgACAAIAAgACAAIAAgACAAkiFSAGUAYwBoAGUAYwBrACAAdABoAGUAIABjAHUAcgByAGUAbgB0ACAAQQBjAHQALgAgAFQAaABlAHMAZQAgAGgAZQBsAHAAZQByAHMAIABhAHAAcABsAHkAIABhAHIAaQB0AGgAbQBlAHQAaQBjACAAbwBuAGwAeQA6ACAAdABoAGUAeQC2ACAAIAAgACAAIAAgACAAIAAgACAAIAAgACAAIAAgAJIhZABvACAAbgBvAHQAIABkAGUAYwBpAGQAZQAgAHcAaABlAHQAaABlAHIAIABhACAAcwB1AHAAcABsAHkAIABpAHMAIAB0AGEAeABhAGIAbABlACwAIABHAFMAVAAtAGYAcgBlAGUALAAgAGkAbgBwAHUAdAAgAHQAYQB4AGUAZAAsALYAIAAgACAAIAAgACAAIAAgACAAIAAgACAAIAAgACAAkiFvAHUAdABzAGkAZABlACAAdABoAGUAIABHAFMAVAAgAHMAeQBzAHQAZQBtACwAIABvAHIAIABzAHUAYgBqAGUAYwB0ACAAdABvACAAYQAgAHMAcABlAGMAaQBhAGwAIAByAHUAbABl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ZQB4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wBTAFQAQQBkAGQAuwMoADEAMAAwACkAtgBcACIAIAAmAFwAbgAgACAAIAAgACAAIAAgACAAIAAgACAAIAAgACAAIAAgACAAIAAgACAAIAAgACAAIAAgACAAIAAgAFwAIgCSIVIAZQBzAHUAbAB0ALYAXAAiACAAJgBcAG4AIAAgACAAIAAgACAAIAAgACAAIAAgACAAIAAgACAAIAAgACAAIAAgACAAIAAgACAAIAAgACAAIABcACIAkiExAD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QQBtAG8AdQBuAHQAcwApACwAXABuACAAIAAgACAALwAvACAAIABBACAAYgBsAGEAbgBrACAAUgBhAHQAZQAgAGMAZQBsAGwAIABpAHMAIABuAG8AdAAgAGEAbgAgAG8AbQBpAHQAdABlAGQAIABhAHIAZwB1AG0AZQBuAHQALAAgAHMAbwAgAHQAZQBzAHQAIABmAG8AcgAgAGIAbwB0AGgALgAgAFQAaABlACAAYgBsAGEAbgBrACAAdABlAHMAdABcAG4AIAAgACAAIAAvAC8AIAAgAHMAdABhAHkAcwAgAGUAbABlAG0AZQBuAHQALQB3AGkAcwBlADoAIABPAFIAKAApACAAcgBlAGQAdQBjAGUAZAAgAGEAIABjAG8AbAB1AG0AbgAgAG8AZgAgAHIAYQB0AGUAcwAgAHQAbwAgAG8AbgBlACAAVABSAFUARQAsACAAcwBvACAAYQAgAHMAaQBuAGcAbABlACAAYgBsAGEAbgBrAFwAbgAgACAAIAAgAC8ALwAgACAAZwBhAHYAZQAgAGUAdgBlAHIAeQAgAHIAbwB3ACAAdABoAGUAIABkAGUAZgBhAHUAbAB0ACwAIAB6AGUAcgBvAC0AcgBhAHQAZQBkACAAbABpAG4AZQBzACAAaQBuAGMAbAB1AGQAZQBkAC4AXABuACAAIAAgACAAIAAgACAAIABHAFMAVABSAGEAdABlACwAIAAgACAAIAAgACAAIAAgAEkARgAoAEkAUwBPAE0ASQBUAFQARQBEACgAUgBhAHQAZQApACwAIAAwAC4AMQAsACAASQBGACgAVABSAEkATQAoAFIAYQB0AGUAIAAmACAAXAAiAFwAIgApAD0AXAAiAFwAIgAsACAAMAAuADEALAAgAFIAYQB0AGUAK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AoADEAIAArACAARwBTAFQAUgBhAHQ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UAeAB0AHIAYQBjAHQAuwNcAG4AIAAgACAAIABEAEUAUwBDAFIASQBQAFQASQBPAE4AOgAqAC8ALwAqACoAUgBlAHQAdQByAG4AcwAgAHQAaABlACAARwBTAFQAIABjAG8AbgB0AGEAaQBuAGUAZAAgAGkAbgAgAG8AbgBlACAAbwByACAAbQBvAHIAZQAgAEcAUwBUAC0AaQBuAGMAbAB1AHMAaQB2AGUAIABhAG0AbwB1AG4AdABzAC4AKgAvAFwAbgBcAG4ARwBTAFQARQB4AHQAcgBhAGMAd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FAHgAdAByAGEAYwB0ALsDKABBAG0AbwB1AG4AdABzACwAIABbAFIAYQB0AGUAXQApALYAXAAiACAAJgBcAG4AIAAgACAAIAAgACAAIAAgACAAIAAgACAAIAAgACAAIAAgACAAIAAgACAAIAAgACAAIAAgACAAIABcACIARABFAFMAQwBSAEkAUABUAEkATwBOADoAIAAgACAAkiFSAGUAdAB1AHIAbgBzACAAdABoAGUAIABHAFMAVAAgAGMAbwBuAHQAYQBpAG4AZQBkACAAaQBuACAAbwBuAGUAIABvAHIAIABtAG8AcgBlACAARwBTAFQALQBpAG4AYwBsAHUAcwBpAHYAZQAgAGEAbQBvAHUAbgB0AHMALgC2AE4ATwBUAEUAUwAhACAAIAAgACAAIAAgACAAIAAgAJIhVABoAGUAIAAxADAAJQAgAGQAZQBmAGEAdQBsAHQAIABhAG4AZAAgAG8AbgBlAC0AZQBsAGUAdgBlAG4AdABoACAAZQB4AHQAcgBhAGMAdABpAG8AbgAgAHIAZQBmAGwAZQBjAHQAIAB0AGgAZQAgAGIAYQBzAGkAYwAgAHIAdQBsAGUAtgAgACAAIAAgACAAIAAgACAAIAAgACAAIAAgACAAIACSIWYAbwByACAAYQAgAHQAYQB4AGEAYgBsAGUAIABzAHUAcABwAGwAeQAgAGkAbgAgAEEAIABOAGUAdwAgAFQAYQB4ACAAUwB5AHMAdABlAG0AIAAoAEcAbwBvAGQAcwAgAGEAbgBkACAAUwBlAHIAdgBpAGMAZQBzACAAVABhAHgAKQC2ACAAIAAgACAAIAAgACAAIAAgACAAIAAgACAAIAAgAJIhQQBjAHQAIAAxADkAOQA5ACAAcwBzACAAOQAtADcAMAAgAGEAbgBkACAAOQAtADcANQAgACgAcwBvAHUAcgBjAGUAIABjAGgAZQBjAGsAZQBkACAAMgAwACAAQQB1AGcAdQBzAHQAIAAyADAAMgA2ACkALgC2ACAAIAAgACAAIAAgACAAIAAgACAAIAAgACAAIAAgAJIhUgBlAGMAaABlAGMAawAgAHQAaABlACAAYwB1AHIAcgBlAG4AdAAgAEEAYwB0AC4AIABUAGgAZQBzAGUAIABoAGUAbABwAGUAcgBzACAAYQBwAHAAbAB5ACAAYQByAGkAdABoAG0AZQB0AGkAYwAgAG8AbgBsAHkAOgAgAHQAaABlAHkAtgAgACAAIAAgACAAIAAgACAAIAAgACAAIAAgACAAIACSIWQAbwAgAG4AbwB0ACAAZABlAGMAaQBkAGUAIAB3AGgAZQB0AGgAZQByACAAYQAgAHMAdQBwAHAAbAB5ACAAaQBzACAAdABhAHgAYQBiAGwAZQAsACAARwBTAFQALQBmAHIAZQBlACwAIABpAG4AcAB1AHQAIAB0AGEAeABlAGQALAC2ACAAIAAgACAAIAAgACAAIAAgACAAIAAgACAAIAAgAJIhbwB1AHQAcwBpAGQAZQAgAHQAaABlACAARwBTAFQAIABzAHkAcwB0AGUAbQAsACAAbwByACAAcwB1AGIAagBlAGMAdAAgAHQAbwAgAGEAIABzAHAAZQBjAGkAYQBsACAAcgB1AGwAZ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kAbg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cAUwBUAEUAeAB0AHIAYQBjAHQAuwMoADEAMQAwACkAtgBcACIAIAAmAFwAbgAgACAAIAAgACAAIAAgACAAIAAgACAAIAAgACAAIAAgACAAIAAgACAAIAAgACAAIAAgACAAIAAgAFwAIgCSIVIAZQBzAHUAbAB0ALYAXAAiACAAJgBcAG4AIAAgACAAIAAgACAAIAAgACAAIAAgACAAIAAgACAAIAAgACAAIAAgACAAIAAgACAAIAAgACAAIABcACIAkiE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C4AIABUAGgAZQAgAGIAbABhAG4AawAgAHQAZQBzAHQAXABuACAAIAAgACAALwAvACAAIABzAHQAYQB5AHMAIABlAGwAZQBtAGUAbgB0AC0AdwBpAHMAZQA6ACAATwBSACgAKQAgAHIAZQBkAHUAYwBlAGQAIABhACAAYwBvAGwAdQBtAG4AIABvAGYAIAByAGEAdABlAHMAIAB0AG8AIABvAG4AZQAgAFQAUgBVAEUALAAgAHMAbwAgAGEAIABzAGkAbgBnAGwAZQAgAGIAbABhAG4AawBcAG4AIAAgACAAIAAvAC8AIAAgAGcAYQB2AGUAIABlAHYAZQByAHkAIAByAG8AdwAgAHQAaABlACAAZABlAGYAYQB1AGwAdAAsACAAegBlAHIAbwAtAHIAYQB0AGUAZAAgAGwAaQBuAGUAcwAgAGkAbgBjAGwAdQBkAGUAZAAuAFwAbgAgACAAIAAgACAAIAAgACAARwBTAFQAUgBhAHQAZQAsACAAIAAgACAAIAAgACAAIABJAEYAKABJAFMATwBNAEkAVABUAEUARAAoAFIAYQB0AGUAKQAsACAAMAAuADEALAAgAEkARgAoAFQAUgBJAE0AKABSAGEAdABlACAAJgAgAFwAIgBcACIAKQA9AFwAIgBcACIALAAgADAALgAxACwAIABSAGEAdABlACk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RwBTAFQAUgBhAHQAZQAgAC8AIAAoADEAIAArACAARwBTAFQAUgBhAHQ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wAZQBhAHMAZQBMAGkAYQBiAGkAbABpAHQAeQC7A1wAbgAgACAAIAAgAEQARQBTAEMAUgBJAFAAVABJAE8ATgA6ACoALwAvACoAKgBQAHIAZQBzAGUAbgB0ACAAdgBhAGwAdQBlACAAbwBmACAAdABoAGUAIABsAGUAYQBzAGUAIABwAGEAeQBtAGUAbgB0AHMAIAB0AGgAYQB0ACAAYQByAGUAIABuAG8AdAAgAHAAYQBpAGQAIABhAHQAIAB0AGgAZQAgAGMAbwBtAG0AZQBuAGMAZQBtAGUAbgB0ACAAZABhAHQAZQAqAC8AXABuAFwAbgBMAGUAYQBzAGUATABpAGEAYgBpAGwAaQB0AHkAuwMgAD0AIABMAEEATQBCAEQAQQAoAFwAbgAvAC8AIAAgAFAAYQByAGEAbQBlAHQAZQByACAARABlAGMAbABhAHIAYQB0AGkAbwBuAFwAbgAgACAAIAAgAFsAUABhAHkAbQBlAG4AdABzAF0ALABcAG4AIAAgACAAIABbAFIAYQB0AGUAXQAsAFwAbgAgACAAIAAgAFsASQBuAEEAZAB2AGEAbgBj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MAGUAYQBzAGUATABpAGEAYgBpAGwAaQB0AHkAuwMoAFAAYQB5AG0AZQBuAHQAcwAsACAAUgBhAHQAZQAsACAAWwBJAG4AQQBkAHYAYQBuAGMAZQBdACkAtgBcACIAIAAmAFwAbgAgACAAIAAgACAAIAAgACAAIAAgACAAIAAgACAAIAAgACAAIAAgACAAIAAgACAAIAAgACAAIAAgAFwAIgBEAEUAUwBDAFIASQBQAFQASQBPAE4AOgAgACAAIACSIVAAcgBlAHMAZQBuAHQAIAB2AGEAbAB1AGUAIABvAGYAIAB0AGgAZQAgAGwAZQBhAHMAZQAgAHAAYQB5AG0AZQBuAHQAcwAgAHQAaABhAHQAIABhAHIAZQAgAG4AbwB0ACAAcABhAGkAZAAgAGEAdAAgAHQAaABlACAAYwBvAG0AbQBlAG4AYwBlAG0AZQBuAHQAIABkAGEAdABlAC4AtgBOAE8AVABFAFMAIQAgACAAIAAgACAAIAAgACAAIACSIUEAQQBTAEIAIAAxADYAIABwAGEAcgBhAGcAcgBhAHAAaAAgADIANgAgAG0AZQBhAHMAdQByAGUAcwAgAHQAaABlACAAbABlAGEAcwBlACAAbABpAGEAYgBpAGwAaQB0AHkAIABhAHQAIAB0AGgAZQAgAHAAcgBlAHMAZQBuAHQAIAB2AGEAbAB1AGUAtgAgACAAIAAgACAAIAAgACAAIAAgACAAIAAgACAAIACSIW8AZgAgAHQAaABlACAAbABlAGEAcwBlACAAcABhAHkAbQBlAG4AdABzACAAbgBvAHQAIABwAGEAaQBkACAAYQB0ACAAdABoAGUAIABjAG8AbQBtAGUAbgBjAGUAbQBlAG4AdAAgAGQAYQB0AGUALAAgAGQAaQBzAGMAbwB1AG4AdABlAGQAIABhAHQAtgAgACAAIAAgACAAIAAgACAAIAAgACAAIAAgACAAIACSIXQAaABlACAAaQBuAHQAZQByAGUAcwB0ACAAcgBhAHQAZQAgAGkAbQBwAGwAaQBjAGkAdAAgAGkAbgAgAHQAaABlACAAbABlAGEAcwBlACAAdwBoAGUAcgBlACAAdABoAGEAdAAgAHIAYQB0AGUAIABjAGEAbgAgAGIAZQAgAHIAZQBhAGQAaQBsAHkAtgAgACAAIAAgACAAIAAgACAAIAAgACAAIAAgACAAIACSIWQAZQB0AGUAcgBtAGkAbgBlAGQAIABhAG4AZAAgAGEAdAAgAHQAaABlACAAbABlAHMAcwBlAGUAJwBzACAAaQBuAGMAcgBlAG0AZQBuAHQAYQBsACAAYgBvAHIAcgBvAHcAaQBuAGcAIAByAGEAdABlACAAdwBoAGUAcgBlACAAaQB0ALYAIAAgACAAIAAgACAAIAAgACAAIAAgACAAIAAgACAAkiFjAGEAbgBuAG8AdAAuACAAVwBoAGUAbgAgAEkAbgBBAGQAdgBhAG4AYwBlACAAaQBzACAAVABSAFUARQAsACAAdABoAGUAIABmAGkAcgBzAHQAIABzAHUAcABwAGwAaQBlAGQAIABwAGEAeQBtAGUAbgB0ACAAaQBzACAAcABhAGkAZAAgAGEAdAC2ACAAIAAgACAAIAAgACAAIAAgACAAIAAgACAAIAAgAJIhdABoAGUAIABtAGUAYQBzAHUAcgBlAG0AZQBuAHQAIABkAGEAdABlACAAYQBuAGQAIABlAHgAYwBsAHUAZABlAGQAIABmAHIAbwBtACAAdABoAGUAIABsAGkAYQBiAGkAbABpAHQAeQAuACAAQQBkAGQAIABhACAAcABhAHkAbQBlAG4AdAC2ACAAIAAgACAAIAAgACAAIAAgACAAIAAgACAAIAAgAJIhbQBhAGQAZQAgAGEAdAAgAG8AcgAgAGIAZQBmAG8AcgBlACAAYwBvAG0AbQBlAG4AYwBlAG0AZQBuAHQAIAB0AG8AIAB0AGgAZQAgAHIAaQBnAGgAdAAtAG8AZgAtAHUAcwBlACAAYQBzAHMAZQB0ACAAYwBvAHMAdAAgAGkAbgBzAHQAZQBhAGQALgC2ACAAIAAgACAAIAAgACAAIAAgACAAIAAgACAAIAAgAJIhUgBhAHQAZQAgAGkAcwAgAHAAZQByACAAcABlAHIAaQBvAGQALgAgAEMAbwBuAHYAZQByAHQAIABhAG4AIABlAGYAZgBlAGMAdABpAHYAZQAgAGEAbgBuAHUAYQBsACAAcgBhAHQAZQAgAHcAaQB0AGgAtgAgACAAIAAgACAAIAAgACAAIAAgACAAIAAgACAAIACSIVAAZQByAGkAbwBkAFIAYQB0AGUAuwMoAEEAbgBuAHUAYQBsAFIAYQB0AGUALAAgAFAAZQByAGkAbwBkAHMAUABlAHIAWQBlAGEAcgApAC4AIABEAGkAdgBpAGQAZQAgAGEAIABuAG8AbQBpAG4AYQBsACAAYQBuAG4AdQBhAGwAIAByAGEAdABlALYAIAAgACAAIAAgACAAIAAgACAAIAAgACAAIAAgACAAkiFiAHkAIABQAGUAcgBpAG8AZABzAFAAZQByAFkAZQBhAHIAIABvAG4AbAB5ACAAdwBoAGUAbgAgAGkAdABzACAAYwBvAG0AcABvAHUAbgBkAGkAbgBnACAAcABlAHIAaQBvAGQAcwAgAG0AYQB0AGMAaAAgAHQAaABlACAAcABhAHkAbQBlAG4AdABzAC4AtgAgACAAIAAgACAAIAAgACAAIAAgACAAIAAgACAAIACSIUkAbgBjAGwAdQBkAGUAIABhAG4AIABhAG0AbwB1AG4AdAAgAGUAeABwAGUAYwB0AGUAZAAgAHQAbwAgAGIAZQAgAHAAYQB5AGEAYgBsAGUAIAB1AG4AZABlAHIAIABhALYAIAAgACAAIAAgACAAIAAgACAAIAAgACAAIAAgACAAkiFyAGUAcwBpAGQAdQBhAGwAIAB2AGEAbAB1AGUAIABnAHUAYQByAGEAbgB0AGUAZQAsACAAbwByACAAdABoAGUAIABlAHgAZQByAGMAaQBzAGUAIABwAHIAaQBjAGUAIABvAGYAIABhACAAcAB1AHIAYwBoAGEAcwBlACAAbwBwAHQAaQBvAG4ALAC2ACAAIAAgACAAIAAgACAAIAAgACAAIAAgACAAIAAgAJIhaQBuACAAdABoAGUAIABmAGkAbgBhAGwAIABwAGUAcgBpAG8AZAAgAHcAaABlAHIAZQAgAHAAYQByAGEAZwByAGEAcABoACAAMgA3ACAAYgByAGkAbgBnAHMAIABpAHQAIABpAG4AdABvACAAdABoAGUAIABsAGUAYQBzAGUAtgAgACAAIAAgACAAIAAgACAAIAAgACAAIAAgACAAIACSIXAAYQB5AG0AZQBuAHQAcwAuACAASQBSAFIAuwMoACkAIABvAHYAZQByACAAdABoAGUAIABzAGEAbQBlACAAYwBhAHMAaAAgAGYAbABvAHcAcwAgAGcAaQB2AGUAcwAgAGEAbgAgAGkAbQBwAGwAaQBjAGkAdAAgAHIAYQB0AGUAIABwAGUAcgAgAHkAZQBhAHIAOwC2ACAAIAAgACAAIAAgACAAIAAgACAAIAAgACAAIAAgAJIhYwBvAG4AdgBlAHIAdAAgAGkAdAAgAHQAbwAgAHQAaABlACAAcgBhAHQAZQAgAHAAZQByACAAcABlAHIAaQBvAGQALAAgACgAMQAgACsAIABhAG4AbgB1AGEAbAApACAAXgAgACgAMQAgAC8AIAAxADIAKQAgAC0AIAAxACAAZgBvAHIAIABtAG8AbgB0AGgAcwAsALYAIAAgACAAIAAgACAAIAAgACAAIAAgACAAIAAgACAAkiFiAGUAZgBvAHIAZQAgAHAAYQBzAHMAaQBuAGcAIABpAHQAIABoAGUAcgBlAC4AtgAgACAAIAAgACAAIAAgACAAIAAgACAAIAAgACAAIACSIUEAcgBpAHQAaABtAGUAdABpAGMAIABvAG4AbAB5ADoAIAB0AGgAaQBzACAAZABvAGUAcwAgAG4AbwB0ACAAZABlAHQAZQByAG0AaQBuAGUAIAB0AGgAZQAgAGwAZQBhAHMAZQAgAHQAZQByAG0ALAAgAGQAZQBjAGkAZABlACAAdwBoAGEAdAAgAGkAcwC2ACAAIAAgACAAIAAgACAAIAAgACAAIAAgACAAIAAgAJIhYQAgAGwAZQBhAHMAZQAgAHAAYQB5AG0AZQBuAHQALAAgAG8AcgAgAGQAZQBjAGkAZABlACAAdwBoAGUAdABoAGUAcgAgAHQAaABlACAAYQByAHIAYQBuAGcAZQBtAGUAbgB0ACAAYwBvAG4AdABhAGkAbgBzACAAYQAgAGwAZQBhAHMAZQAuALYAIAAgACAAIAAgACAAIAAgACAAIAAgACAAIAAgACAAkiFBAEEAUwBCACAAMQA2ACAAYwBvAG0AcABpAGwAYQB0AGkAbwBuACAAYwBoAGUAYwBrAGUAZAAgADIANAAgAEEAdQBnAHUAcwB0ACAAMgAwADIANg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NAAgAEEAdQBnACAAMgAwADIANgC2AFwAIgAgACYAXABuACAAIAAgACAAIAAgACAAIAAgACAAIAAgACAAIAAgACAAIAAgACAAIAAgACAAIAAgACAAIAAgACAAXAAiAFAAQQBSAEEATQBFAFQARQBSAFMAOgAgACAAIAAgAJIhtgBcACIAIAAmAFwAbgAgACAAIAAgACAAIAAgACAAIAAgACAAIAAgACAAIAAgACAAIAAgACAAIAAgACAAIAAgACAAIAAgAFwAIgBQAGEAeQBtAGUAbgB0AHMAIAAgACAAIAAgACAAIACSISgAUgBlAHEAdQBpAHIAZQBkACkAIABPAG4AZQAgAHIAbwB3ACAAbwByACAAbwBuAGUAIABjAG8AbAB1AG0AbgAgAG8AZgAgAGwAZQBhAHMAZQAgAHAAYQB5AG0AZQBuAHQAcwAsACAAbwBuAGUAIABwAGUAcgAgAHAAZQByAGkAbwBkACwAIABlAG4AdABlAHIAZQBkACAAcABvAHMAaQB0AGkAdgBlAC4AIABJAG4AYwBsAHUAZABlACAAdABoAGUAIABtAGUAYQBzAHUAcgBlAG0AZQBuAHQALQBkAGEAdABlACAAcABhAHkAbQBlAG4AdAAgAGYAaQByAHMAdAAgAHcAaABlAG4AIABJAG4AQQBkAHYAYQBuAGMAZQAgAGkAcwAgAFQAUgBVAEUALgC2AFwAIgAgACYAXABuACAAIAAgACAAIAAgACAAIAAgACAAIAAgACAAIAAgACAAIAAgACAAIAAgACAAIAAgACAAIAAgACAAXAAiAFIAYQB0AGUAIAAgACAAIAAgACAAIAAgACAAIAAgAJIhKABSAGUAcQB1AGkAcgBlAGQAKQAgAEQAaQBzAGMAbwB1AG4AdAAgAHIAYQB0AGUAIABwAGUAcgAgAHAAZQByAGkAbwBkACwAIABuAG8AdAAgAHAAZQByACAAeQBlAGEAcgAuALYAXAAiACAAJgBcAG4AIAAgACAAIAAgACAAIAAgACAAIAAgACAAIAAgACAAIAAgACAAIAAgACAAIAAgACAAIAAgACAAIABcACIASQBuAEEAZAB2AGEAbgBjAGUAIAAgACAAIAAgACAAkiEoAE8AcAB0AGkAbwBuAGEAbAA6ACAARABlAGYAYQB1AGwAdAAgAD0AIABGAEEATABTAEUAKQAgAFQAUgBVAEUAIAB3AGgAZQBuACAAdABoAGUAIABmAGkAcgBzAHQAIABzAHUAcABwAGwAaQBlAGQAIABwAGEAeQBtAGUAbgB0ACAAaQBzACAAcABhAGkAZAAgAGEAdAAgAHQAaABlACAAbQBlAGEAcwB1AHIAZQBtAGUAbgB0ACAAZABhAHQAZQ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wAZQBhAHMAZQBMAGkAYQBiAGkAbABpAHQAeQC7AygAewAxADAAMAAsADEAMAAwACwAMQAwADAAfQAsACAAMAAuADAANQApALYAXAAiACAAJgBcAG4AIAAgACAAIAAgACAAIAAgACAAIAAgACAAIAAgACAAIAAgACAAIAAgACAAIAAgACAAIAAgACAAIABcACIAkiFSAGUAcwB1AGwAdAC2AFwAIgAgACYAXABuACAAIAAgACAAIAAgACAAIAAgACAAIAAgACAAIAAgACAAIAAgACAAIAAgACAAIAAgACAAIAAgACAAXAAiAJIhMgA3ADIALgAzADI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AAYQB5AG0AZQBuAHQAcwApACwAIABJAFMATwBNAEkAVABUAEUARAAoAFIAYQB0AGUAKQApACwAXABuACAAIAAgACAALwAvACAAIABBACAAYgBsAGEAbgBrACAASQBuAEEAZAB2AGEAbgBjAGUAIABjAGUAbABsACAAaQBzACAAbgBvAHQAIABhAG4AIABvAG0AaQB0AHQAZQBkACAAYQByAGcAdQBtAGUAbgB0ACwAIABzAG8AIAB0AGUAcwB0ACAAZgBvAHIAIABiAG8AdABoAFwAbgAgACAAIAAgACAAIAAgACAAQQBkAHYAYQBuAGMAZQA/ACwAIAAgACAAIAAgACAAIABJAEYAKABPAFIAKABJAFMATwBNAEkAVABUAEUARAAoAEkAbgBBAGQAdgBhAG4AYwBlACkALAAgAFQAUgBJAE0AKABJAG4AQQBkAHYAYQBuAGMAZQAgACYAIABcACIAXAAiACkAPQBcACIAXAAiACkALAAgAEYAQQBMAFMARQAsACAASQBuAEEAZAB2AGEAbgBjAGUAKQAsAFwAbgAgACAAIAAgAC8ALwAgACAATwBuAGUAIABsAGUAYQBzAGUAIABhAHQAIABhACAAdABpAG0AZQAsACAAbABhAGkAZAAgAGEAbABvAG4AZwAgAGEAIAByAG8AdwAgAHQAaABlACAAdwBhAHkAIAB0AGgAZQAgAHQAaQBtAGUAbABpAG4AZQAgAGgAZQBsAHAAZQByAHMAIABlAHgAcABlAGMAdABcAG4AIAAgACAAIAAgACAAIAAgAEYAbABhAHQALAAgACAAIAAgACAAIAAgACAAIAAgACAASQBGACgAUgBPAFcAUwAoAFAAYQB5AG0AZQBuAHQAcwApACAAPQAgADEALAAgAFAAYQB5AG0AZQBuAHQAcwAsACAAVABSAEEATgBTAFAATwBTAEUAKABQAGEAeQBtAGUAbgB0AHMAKQApACwAXABuACAAIAAgACAAIAAgACAAIABDAG8AdQBuAHQALAAgACAAIAAgACAAIAAgACAAIAAgAEMATwBMAFUATQBOAFMAKABGAGwAYQB0ACkALABcAG4AIAAgACAAIAAvAC8AIAAgAFQAaABlACAAZgBpAHIAcwB0ACAAaQBuAC0AYQBkAHYAYQBuAGMAZQAgAHAAYQB5AG0AZQBuAHQAIABpAHMAIABtAGEAZABlACAAYQB0ACAAdABoAGUAIABtAGUAYQBzAHUAcgBlAG0AZQBuAHQAIABkAGEAdABlACwAIABuAG8AdAAgAGwAZQBmAHQAIAB1AG4AcABhAGkAZABcAG4AIAAgACAAIAAgACAAIAAgAEwAaQBhAGIAaQBsAGkAdAB5AFAAYQB5AG0AZQBuAHQAcwAsACAASQBGACgAQQBOAEQAKABBAGQAdgBhAG4AYwBlAD8ALAAgAEMAbwB1AG4AdAAgAD4AIAAxACkALABcAG4AIAAgACAAIAAgACAAIAAgACAAIAAgACAAIAAgACAAIAAgACAAIAAgACAAIAAgACAAIAAgACAAIAAgACAAIAAgAEQAUgBPAFAAKABGAGwAYQB0ACwAIAAsACAAMQApACwAXABuACAAIAAgACAAIAAgACAAIAAgACAAIAAgACAAIAAgACAAIAAgACAAIAAgACAAIAAgACAAIAAgACAAIAAgACAAIABJAEYAKABBAGQAdgBhAG4AYwBlAD8ALAAgADAALAAgAEYAbABhAHQAKQApACwAXABuACAAIAAgACAAIAAgACAAIABFAHgAcABvAG4AZQBuAHQAcwAsACAAIAAgACAAIAAgAFMARQBRAFUARQBOAEMARQAoADEALAAgAEMATwBMAFUATQBOAFMAKABMAGkAYQBiAGkAbABpAHQAeQBQAGEAeQBtAGUAbgB0AHMAKQApACwAXABuACAAIAAgACAAIAAgACAAIABSAGUAcwB1AGwAdAAsACAAIAAgACAAIAAgACAAIAAgAFMAVQBNACgATABpAGEAYgBpAGwAaQB0AHkAUABhAHkAbQBlAG4AdABzACAALwAgACgAMQAgACsAIABSAGEAdABlACkAIABeACAARQB4AHAAbwBuAGUAbgB0AHMAK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MAGUAYQBzAGUAUwBjAGgAZQBkAHUAbABlALsDXABuACAAIAAgACAARABFAFMAQwBSAEkAUABUAEkATwBOADoAKgAvAC8AKgAqAFUAbgB3AGkAbgBkAHMAIABhAG4AIABBAEEAUwBCACAAMQA2ACAAbABlAGEAcwBlACAAbABpAGEAYgBpAGwAaQB0AHkAOgAgAG8AcABlAG4AaQBuAGcALAAgAHAAYQB5AG0AZQBuAHQALAAgAGkAbgB0AGUAcgBlAHMAdAAgAGEAbgBkACAAYwBsAG8AcwBpAG4AZwAgAGYAbwByACAAZQBhAGMAaAAgAHAAZQByAGkAbwBkACoALwBcAG4AXABuAEwAZQBhAHMAZQBTAGMAaABlAGQAdQBsAGUAuwMgAD0AIABMAEEATQBCAEQAQQAoAFwAbgAvAC8AIAAgAFAAYQByAGEAbQBlAHQAZQByACAARABlAGMAbABhAHIAYQB0AGkAbwBuAFwAbgAgACAAIAAgAFsAUABhAHkAbQBlAG4AdABzAF0ALABcAG4AIAAgACAAIABbAFIAYQB0AGUAXQAsAFwAbgAgACAAIAAgAFsASQBuAEEAZAB2AGEAbgBj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MAGUAYQBzAGUAUwBjAGgAZQBkAHUAbABlALsDKABQAGEAeQBtAGUAbgB0AHMALAAgAFIAYQB0AGUALAAgAFsASQBuAEEAZAB2AGEAbgBjAGUAXQApALYAXAAiACAAJgBcAG4AIAAgACAAIAAgACAAIAAgACAAIAAgACAAIAAgACAAIAAgACAAIAAgACAAIAAgACAAIAAgACAAIABcACIARABFAFMAQwBSAEkAUABUAEkATwBOADoAIAAgACAAkiFVAG4AdwBpAG4AZABzACAAYQBuACAAQQBBAFMAQgAgADEANgAgAGwAZQBhAHMAZQAgAGwAaQBhAGIAaQBsAGkAdAB5ACAAbwB2AGUAcgAgAGkAdABzACAAdABlAHIAbQAuALYATgBPAFQARQBTACEAIAAgACAAIAAgACAAIAAgACAAkiFSAGUAdAB1AHIAbgBzACAAZgBvAHUAcgAgAHIAbwB3AHMAOgAgAG8AcABlAG4AaQBuAGcAIABsAGkAYQBiAGkAbABpAHQAeQAsACAAcABhAHkAbQBlAG4AdAAsACAAaQBuAHQAZQByAGUAcwB0ACwAIABjAGwAbwBzAGkAbgBnALYAIAAgACAAIAAgACAAIAAgACAAIAAgACAAIAAgACAAkiFsAGkAYQBiAGkAbABpAHQAeQAuACAAVwBoAGUAbgAgAEkAbgBBAGQAdgBhAG4AYwBlACAAaQBzACAAVABSAFUARQAsACAAdABoAGUAIABmAGkAcgBzAHQAIABzAHUAcABwAGwAaQBlAGQAIABwAGEAeQBtAGUAbgB0ACAAaQBzACAAcABhAGkAZAC2ACAAIAAgACAAIAAgACAAIAAgACAAIAAgACAAIAAgAJIhYQB0ACAAdABoAGUAIABtAGUAYQBzAHUAcgBlAG0AZQBuAHQAIABkAGEAdABlACAAYQBuAGQAIABpAHMAIABlAHgAYwBsAHUAZABlAGQAIABmAHIAbwBtACAAYgBvAHQAaAAgAHQAaABlACAAbwBwAGUAbgBpAG4AZwAgAGwAaQBhAGIAaQBsAGkAdAB5ALYAIAAgACAAIAAgACAAIAAgACAAIAAgACAAIAAgACAAkiFhAG4AZAAgAHQAaABlACAAcABhAHkAbQBlAG4AdAAgAHIAbwB3AC4AIABFAGEAYwBoACAAcgBlAG0AYQBpAG4AaQBuAGcAIABwAGEAeQBtAGUAbgB0ACAAZgBvAGwAbABvAHcAcwAgAG8AbgBlACAAcABlAHIAaQBvAGQAIABvAGYAtgAgACAAIAAgACAAIAAgACAAIAAgACAAIAAgACAAIACSIWkAbgB0AGUAcgBlAHMAdAAsACAAcwBvACAAYwBsAG8AcwBpAG4AZwAgAGkAcwAgAG8AcABlAG4AaQBuAGcAIABwAGwAdQBzACAAaQBuAHQAZQByAGUAcwB0ACAAbABlAHMAcwAgAHAAYQB5AG0AZQBuAHQAIABhAG4AZAAgAHQAaABlACAAbABhAHMAdAC2ACAAIAAgACAAIAAgACAAIAAgACAAIAAgACAAIAAgAJIhYwBsAG8AcwBpAG4AZwAgAGIAYQBsAGEAbgBjAGUAIABpAHMAIABuAGkAbAAuACAAVABoAGUAIAByAGUAcwB1AGwAdAAgAGgAYQBzACAAbwBuAGUAIABmAGUAdwBlAHIAIABjAG8AbAB1AG0AbgAgAGYAbwByACAAcABhAHkAbQBlAG4AdABzACAAaQBuALYAIAAgACAAIAAgACAAIAAgACAAIAAgACAAIAAgACAAkiFhAGQAdgBhAG4AYwBlADsAIABhACAAcwBvAGwAZQAgAG0AZQBhAHMAdQByAGUAbQBlAG4AdAAtAGQAYQB0AGUAIABwAGEAeQBtAGUAbgB0ACAAcgBlAHQAdQByAG4AcwAgAG8AbgBlACAAegBlAHIAbwAgAGMAbwBsAHUAbQBuAC4AIABUAGgAZQC2ACAAIAAgACAAIAAgACAAIAAgACAAIAAgACAAIAAgAJIhbwBwAGUAbgBpAG4AZwAgAGIAYQBsAGEAbgBjAGUAIABpAHMAIABMAGUAYQBzAGUATABpAGEAYgBpAGwAaQB0AHkAuwMoACkAIABvAG4AIAB0AGgAZQAgAHMAYQBtAGUAIABhAHIAZwB1AG0AZQBuAHQAcwAuACAAUABhAGkAcgAgAHQAaABpAHMAtgAgACAAIAAgACAAIAAgACAAIAAgACAAIAAgACAAIACSIXcAaQB0AGgAIABSAE8AVQBTAGMAaABlAGQAdQBsAGUAuwMoACkAIABmAG8AcgAgAHQAaABlACAAYQBzAHMAZQB0ACAAdABoAGEAdAAgAHMAaQB0AHMAIABvAHAAcABvAHMAaQB0AGUAIABpAHQAOgAgAHQAaABlACAAdAB3AG8AtgAgACAAIAAgACAAIAAgACAAIAAgACAAIAAgACAAIACSIXQAbwBnAGUAdABoAGUAcgAgAGcAaQB2AGUAIAB0AGgAZQAgAGYAcgBvAG4AdAAtAGwAbwBhAGQAZQBkACAAZQB4AHAAZQBuAHMAZQAgAHAAcgBvAGYAaQBsAGUAIABBAEEAUwBCACAAMQA2ACAAcAByAG8AZAB1AGMAZQBzAC4AtgAgACAAIAAgACAAIAAgACAAIAAgACAAIAAgACAAIACSIUEAcgBpAHQAaABtAGUAdABpAGMAIABvAG4AbAB5ACwAIABvAG4AIAB0AGgAZQAgAHAAYQB5AG0AZQBuAHQAcwAgAGEAbgBkACAAcgBhAHQAZQAgAHkAbwB1ACAAcwB1AHAAcABsAHk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QAIABBAHUAZwAgADIAMAAyADYAtgBcACIAIAAmAFwAbgAgACAAIAAgACAAIAAgACAAIAAgACAAIAAgACAAIAAgACAAIAAgACAAIAAgACAAIAAgACAAIAAgAFwAIgBQAEEAUgBBAE0ARQBUAEUAUgBTADoAIAAgACAAIACSIbYAXAAiACAAJgBcAG4AIAAgACAAIAAgACAAIAAgACAAIAAgACAAIAAgACAAIAAgACAAIAAgACAAIAAgACAAIAAgACAAIABcACIAUABhAHkAbQBlAG4AdABzACAAIAAgACAAIAAgACAAkiEoAFIAZQBxAHUAaQByAGUAZAApACAATwBuAGUAIAByAG8AdwAgAG8AcgAgAG8AbgBlACAAYwBvAGwAdQBtAG4AIABvAGYAIABsAGUAYQBzAGUAIABwAGEAeQBtAGUAbgB0AHMALAAgAG8AbgBlACAAcABlAHIAIABwAGUAcgBpAG8AZAAsACAAZQBuAHQAZQByAGUAZAAgAHAAbwBzAGkAdABpAHYAZQAuACAASQBuAGMAbAB1AGQAZQAgAHQAaABlACAAbQBlAGEAcwB1AHIAZQBtAGUAbgB0AC0AZABhAHQAZQAgAHAAYQB5AG0AZQBuAHQAIABmAGkAcgBzAHQAIAB3AGgAZQBuACAASQBuAEEAZAB2AGEAbgBjAGUAIABpAHMAIABUAFIAVQBFAC4AtgBcACIAIAAmAFwAbgAgACAAIAAgACAAIAAgACAAIAAgACAAIAAgACAAIAAgACAAIAAgACAAIAAgACAAIAAgACAAIAAgAFwAIgBSAGEAdABlACAAIAAgACAAIAAgACAAIAAgACAAIACSISgAUgBlAHEAdQBpAHIAZQBkACkAIABEAGkAcwBjAG8AdQBuAHQAIAByAGEAdABlACAAcABlAHIAIABwAGUAcgBpAG8AZAAsACAAbgBvAHQAIABwAGUAcgAgAHkAZQBhAHIALgC2AFwAIgAgACYAXABuACAAIAAgACAAIAAgACAAIAAgACAAIAAgACAAIAAgACAAIAAgACAAIAAgACAAIAAgACAAIAAgACAAXAAiAEkAbgBBAGQAdgBhAG4AYwBlACAAIAAgACAAIAAgAJIhKABPAHAAdABpAG8AbgBhAGwAOgAgAEQAZQBmAGEAdQBsAHQAIAA9ACAARgBBAEwAUwBFACkAIABUAFIAVQBFACAAdwBoAGUAbgAgAHQAaABlACAAZgBpAHIAcwB0ACAAcwB1AHAAcABsAGkAZQBkACAAcABhAHkAbQBlAG4AdAAgAGkAcwAgAHAAYQBpAGQAIABhAHQAIAB0AGgAZQAgAG0AZQBhAHMAdQByAGUAbQBlAG4AdAAgAGQAYQB0AGU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MAGUAYQBzAGUAUwBjAGgAZQBkAHUAbABlALsDKAB7ADEAMAAwACwAMQAwADAALAAxADAAMAB9ACwAIAAwAC4AMAA1ACkAtgBcACIAIAAmAFwAbgAgACAAIAAgACAAIAAgACAAIAAgACAAIAAgACAAIAAgACAAIAAgACAAIAAgACAAIAAgACAAIAAgAFwAIgCSIVIAZQBzAHUAbAB0ALYAXAAiACAAJgBcAG4AIAAgACAAIAAgACAAIAAgACAAIAAgACAAIAAgACAAIAAgACAAIAAgACAAIAAgACAAIAAgACAAIABcACIAkiEyADcAMgAuADMAMgAsACAAMQA4ADUALgA5ADQALAAgACAAOQA1AC4AMgA0ALYAXAAiACAAJgBcAG4AIAAgACAAIAAgACAAIAAgACAAIAAgACAAIAAgACAAIAAgACAAIAAgACAAIAAgACAAIAAgACAAIABcACIAkiExADAAMAAuADAAMAAsACAAMQAwADAALgAwADAALAAgADEAMAAwAC4AMAAwALYAXAAiACAAJgBcAG4AIAAgACAAIAAgACAAIAAgACAAIAAgACAAIAAgACAAIAAgACAAIAAgACAAIAAgACAAIAAgACAAIABcACIAkiEgADEAMwAuADYAMgAsACAAIAAgADkALgAzADAALAAgACAAIAA0AC4ANwA2ALYAXAAiACAAJgBcAG4AIAAgACAAIAAgACAAIAAgACAAIAAgACAAIAAgACAAIAAgACAAIAAgACAAIAAgACAAIAAgACAAIABcACIAkiExADgANQAuADkANAAsACAAIAA5ADUALgAyADQALAAgACAAIAAwAC4AMA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QAGEAeQBtAGUAbgB0AHMAKQAsACAASQBTAE8ATQBJAFQAVABFAEQAKABSAGEAdABlACkAKQAsAFwAbgAgACAAIAAgAC8ALwAgACAAQQAgAGIAbABhAG4AawAgAEkAbgBBAGQAdgBhAG4AYwBlACAAYwBlAGwAbAAgAGkAcwAgAG4AbwB0ACAAYQBuACAAbwBtAGkAdAB0AGUAZAAgAGEAcgBnAHUAbQBlAG4AdAAsACAAcwBvACAAdABlAHMAdAAgAGYAbwByACAAYgBvAHQAaABcAG4AIAAgACAAIAAgACAAIAAgAEEAZAB2AGEAbgBjAGUAPwAsACAAIAAgACAAIAAgACAASQBGACgATwBSACgASQBTAE8ATQBJAFQAVABFAEQAKABJAG4AQQBkAHYAYQBuAGMAZQApACwAIABUAFIASQBNACgASQBuAEEAZAB2AGEAbgBjAGUAIAAmACAAXAAiAFwAIgApAD0AXAAiAFwAIgApACwAIABGAEEATABTAEUALAAgAEkAbgBBAGQAdgBhAG4AYwBlACkALABcAG4AIAAgACAAIAAvAC8AIAAgAE8AbgBlACAAbABlAGEAcwBlACAAYQB0ACAAYQAgAHQAaQBtAGUALAAgAGwAYQBpAGQAIABhAGwAbwBuAGcAIABhACAAcgBvAHcAIAB0AGgAZQAgAHcAYQB5ACAAdABoAGUAIAB0AGkAbQBlAGwAaQBuAGUAIABoAGUAbABwAGUAcgBzACAAZQB4AHAAZQBjAHQAXABuACAAIAAgACAAIAAgACAAIABGAGwAYQB0ACwAIAAgACAAIAAgACAAIAAgACAAIAAgAEkARgAoAFIATwBXAFMAKABQAGEAeQBtAGUAbgB0AHMAKQAgAD0AIAAxACwAIABQAGEAeQBtAGUAbgB0AHMALAAgAFQAUgBBAE4AUwBQAE8AUwBFACgAUABhAHkAbQBlAG4AdABzACkAKQAsAFwAbgAgACAAIAAgACAAIAAgACAASQBuAHAAdQB0AEMAbwB1AG4AdAAsACAAIAAgACAAIABDAE8ATABVAE0ATgBTACgARgBsAGEAdAApACwAXABuACAAIAAgACAAIAAgACAAIABMAGkAYQBiAGkAbABpAHQAeQBQAGEAeQBtAGUAbgB0AHMALAAgAEkARgAoAEEATgBEACgAQQBkAHYAYQBuAGMAZQA/ACwAIABJAG4AcAB1AHQAQwBvAHUAbgB0ACAAPgAgADEAKQAsAFwAbgAgACAAIAAgACAAIAAgACAAIAAgACAAIAAgACAAIAAgACAAIAAgACAAIAAgACAAIAAgACAAIAAgACAAIAAgACAARABSAE8AUAAoAEYAbABhAHQALAAgACwAIAAxACkALABcAG4AIAAgACAAIAAgACAAIAAgACAAIAAgACAAIAAgACAAIAAgACAAIAAgACAAIAAgACAAIAAgACAAIAAgACAAIAAgAEkARgAoAEEAZAB2AGEAbgBjAGUAPwAsACAAMAAsACAARgBsAGEAdAApACkALABcAG4AIAAgACAAIAAgACAAIAAgAEMAbwB1AG4AdAAsACAAIAAgACAAIAAgACAAIAAgACAAQwBPAEwAVQBNAE4AUwAoAEwAaQBhAGIAaQBsAGkAdAB5AFAAYQB5AG0AZQBuAHQAcwApACwAXABuACAAIAAgACAAIAAgACAAIABPAHAAZQBuAGkAbgBnADEALAAgACAAIAAgACAAIAAgAEwAZQBhAHMAZQBMAGkAYQBiAGkAbABpAHQAeQC7AygARgBsAGEAdAAsACAAUgBhAHQAZQAsACAAQQBkAHYAYQBuAGMAZQA/ACkALABcAG4AIAAgACAAIAAvAC8AIAAgAEUAdgBlAHIAeQAgAHAAYQB5AG0AZQBuAHQAIABsAGUAZgB0ACAAaQBuACAAdABoAGUAIABsAGkAYQBiAGkAbABpAHQAeQAgAHYAZQBjAHQAbwByACAAZgBvAGwAbABvAHcAcwAgAG8AbgBlACAAcABlAHIAaQBvAGQAIABvAGYAIABpAG4AdABlAHIAZQBzAHQAXABuACAAIAAgACAAIAAgACAAIABDAGwAbwBzAGkAbgBnAHMALAAgACAAIAAgACAAIAAgAFMAQwBBAE4AKABPAHAAZQBuAGkAbgBnADEALAAgAEwAaQBhAGIAaQBsAGkAdAB5AFAAYQB5AG0AZQBuAHQAcwAsACAATABBAE0AQgBEAEEAKABCAGEAbABhAG4AYwBlACwAIABQAGEAeQBtAGUAbgB0ACwAXABuACAAIAAgACAAIAAgACAAIAAgACAAIAAgACAAIAAgACAAIAAgACAAIAAgACAAIAAgACAAIAAgACAAQgBhAGwAYQBuAGMAZQAgACoAIAAoADEAIAArACAAUgBhAHQAZQApACAALQAgAFAAYQB5AG0AZQBuAHQAKQApACwAXABuACAAIAAgACAALwAvACAAIABFAGEAYwBoACAAbwBwAGUAbgBpAG4AZwAgAGkAcwAgAHQAaABlACAAYwBsAG8AcwBpAG4AZwAgAGIAZQBmAG8AcgBlACAAaQB0AC4AIABBACAAbwBuAGUALQBwAGUAcgBpAG8AZAAgAGwAZQBhAHMAZQAgAGgAYQBzACAAbgBvACAAYwBsAG8AcwBpAG4AZwAgAHQAbwAgAHMAaABpAGYAdAAuAFwAbgAgACAAIAAgACAAIAAgACAATwBwAGUAbgBpAG4AZwBzACwAIAAgACAAIAAgACAAIABJAEYAKABDAG8AdQBuAHQAIAA9ACAAMQAsACAATwBwAGUAbgBpAG4AZwAxACwAIABIAFMAVABBAEMASwAoAE8AcABlAG4AaQBuAGcAMQAsACAARABSAE8AUAAoAEMAbABvAHMAaQBuAGcAcwAsACAALAAgAC0AMQApACkAKQAsAFwAbgAgACAAIAAgACAAIAAgACAASQBuAHQAZQByAGUAcwB0ACwAIAAgACAAIAAgACAAIABPAHAAZQBuAGkAbgBnAHMAIAAqACAAUgBhAHQAZQAsAFwAbgAgACAAIAAgACAAIAAgACAAUgBlAHMAdQBsAHQALAAgACAAIAAgACAAIAAgACAAIABWAFMAVABBAEMASwAoAE8AcABlAG4AaQBuAGcAcwAsACAATABpAGEAYgBpAGwAaQB0AHkAUABhAHkAbQBlAG4AdABzACwAIABJAG4AdABlAHIAZQBzAHQALAAgAEMAbABvAHMAaQBuAGcAcw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EwAZQBhAHMAZQBSAGUAbQBlAGEAcwB1AHIAZQC7A1wAbgAgACAAIAAgAEQARQBTAEMAUgBJAFAAVABJAE8ATgA6ACoALwAvACoAKgBSAGUAbQBlAGEAcwB1AHIAZQBzACAAYQBuACAAQQBBAFMAQgAgADEANgAgAGwAZQBhAHMAZQAgAGwAaQBhAGIAaQBsAGkAdAB5ACAAZgBvAHIAIAByAGUAdgBpAHMAZQBkACAAcABhAHkAbQBlAG4AdABzACAAYQBuAGQAIABhAGQAagB1AHMAdABzACAAdABoAGUAIAByAGkAZwBoAHQALQBvAGYALQB1AHMAZQAgAGEAcwBzAGUAdAAqAC8AXABuAFwAbgBMAGUAYQBzAGUAUgBlAG0AZQBhAHMAdQByAGUAuwMgAD0AIABMAEEATQBCAEQAQQAoAFwAbgAvAC8AIAAgAFAAYQByAGEAbQBlAHQAZQByACAARABlAGMAbABhAHIAYQB0AGkAbwBuAFwAbgAgACAAIAAgAFsAUgBlAHYAaQBzAGUAZABQAGEAeQBtAGUAbgB0AHMAXQAsAFwAbgAgACAAIAAgAFsAUgBhAHQAZQBdACwAXABuACAAIAAgACAAWwBDAGEAcgByAHkAaQBuAGcATABpAGEAYgBpAGwAaQB0AHkAXQAsAFwAbgAgACAAIAAgAFsAQwBhAHIAcgB5AGkAbgBnAFIATwBVAF0ALABcAG4AIAAgACAAIABbAEkAbgBBAGQAdgBhAG4AYw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TABlAGEAcwBlAFIAZQBtAGUAYQBzAHUAcgBlALsDKABSAGUAdgBpAHMAZQBkAFAAYQB5AG0AZQBuAHQAcwAsACAAUgBhAHQAZQAsACAAQwBhAHIAcgB5AGkAbgBnAEwAaQBhAGIAaQBsAGkAdAB5ACwAIABDAGEAcgByAHkAaQBuAGcAUgBPAFUALAAgAFsASQBuAEEAZAB2AGEAbgBjAGUAXQApALYAXAAiACAAJgBcAG4AIAAgACAAIAAgACAAIAAgACAAIAAgACAAIAAgACAAIAAgACAAIAAgACAAIAAgACAAIAAgACAAIABcACIARABFAFMAQwBSAEkAUABUAEkATwBOADoAIAAgACAAkiFSAGUAbQBlAGEAcwB1AHIAZQBzACAAYQAgAGwAZQBhAHMAZQAgAGwAaQBhAGIAaQBsAGkAdAB5ACAAZgBvAHIAIAByAGUAdgBpAHMAZQBkACAAcABhAHkAbQBlAG4AdABzACAAYQBuAGQAIABhAGQAagB1AHMAdABzACAAdABoAGUAIABhAHMAcwBlAHQALgC2AE4ATwBUAEUAUwAhACAAIAAgACAAIAAgACAAIAAgAJIhUgBlAHQAdQByAG4AcwAgAGYAbwB1AHIAIAByAG8AdwBzADoAIAByAGUAdgBpAHMAZQBkACAAbABlAGEAcwBlACAAbABpAGEAYgBpAGwAaQB0AHkALAAgAGEAZABqAHUAcwB0AG0AZQBuAHQALAAgAHIAZQB2AGkAcwBlAGQAtgAgACAAIAAgACAAIAAgACAAIAAgACAAIAAgACAAIACSIXIAaQBnAGgAdAAtAG8AZgAtAHUAcwBlACAAYQBzAHMAZQB0ACwAIABhAG0AbwB1AG4AdAAgAHIAZQBjAG8AZwBuAGkAcwBlAGQAIABpAG4AIABwAHIAbwBmAGkAdAAgAG8AcgAgAGwAbwBzAHMALgAgAEEAQQBTAEIAIAAxADYAtgAgACAAIAAgACAAIAAgACAAIAAgACAAIAAgACAAIACSIXAAYQByAGEAZwByAGEAcABoACAANAAyACgAYgApACAAcgBlAG0AZQBhAHMAdQByAGUAcwAgAHQAaABlACAAbABpAGEAYgBpAGwAaQB0AHkAIAB3AGgAZQByAGUAIABmAHUAdAB1AHIAZQAgAHAAYQB5AG0AZQBuAHQAcwAgAGMAaABhAG4AZwBlALYAIAAgACAAIAAgACAAIAAgACAAIAAgACAAIAAgACAAkiFiAGUAYwBhAHUAcwBlACAAYQBuACAAaQBuAGQAZQB4ACAAbwByACAAYQAgAHIAYQB0AGUAIAB1AHMAZQBkACAAdABvACAAZABlAHQAZQByAG0AaQBuAGUAIAB0AGgAZQBtACAAaABhAHMAIABjAGgAYQBuAGcAZQBkACwAIABhAG4AZAC2ACAAIAAgACAAIAAgACAAIAAgACAAIAAgACAAIAAgAJIhbwBuAGwAeQAgAHcAaABlAG4AIAB0AGgAZQAgAGMAYQBzAGgAIABmAGwAbwB3AHMAIABjAGgAYQBuAGcAZQAuACAAUABhAHIAYQBnAHIAYQBwAGgAIAA0ADMAIABrAGUAZQBwAHMAIAB0AGgAZQAgAGQAaQBzAGMAbwB1AG4AdAAgAHIAYQB0AGUAtgAgACAAIAAgACAAIAAgACAAIAAgACAAIAAgACAAIACSIXUAbgBjAGgAYQBuAGcAZQBkACAAZgBvAHIAIAB0AGgAYQB0ACAAcgBlAHYAaQBzAGkAbwBuACwAIABhAG4AZAAgAHUAcwBlAHMAIABhACAAcgBlAHYAaQBzAGUAZAAgAHIAYQB0AGUAIABvAG4AbAB5ACAAdwBoAGUAcgBlACAAdABoAGUAtgAgACAAIAAgACAAIAAgACAAIAAgACAAIAAgACAAIACSIWMAaABhAG4AZwBlACAAYQByAGkAcwBlAHMAIABmAHIAbwBtACAAYQAgAGYAbABvAGEAdABpAG4AZwAgAGkAbgB0AGUAcgBlAHMAdAAgAHIAYQB0AGUALAAgAHMAbwAgAHAAYQBzAHMAIAB0AGgAZQAgAG8AcgBpAGcAaQBuAGEAbAAgAHIAYQB0AGUAtgAgACAAIAAgACAAIAAgACAAIAAgACAAIAAgACAAIACSIXUAbgBsAGUAcwBzACAAaQB0ACAAaQBzACAAdABoAGUAIAByAGEAdABlACAAaQB0AHMAZQBsAGYAIAB0AGgAYQB0ACAAbQBvAHYAZQBkAC4AIABXAGgAZQBuACAASQBuAEEAZAB2AGEAbgBjAGUAIABpAHMAIABUAFIAVQBFACwAIAB0AGgAZQC2ACAAIAAgACAAIAAgACAAIAAgACAAIAAgACAAIAAgAJIhZgBpAHIAcwB0ACAAcgBlAHYAaQBzAGUAZAAgAHAAYQB5AG0AZQBuAHQAIABpAHMAIABwAGEAaQBkACAAYQB0ACAAdABoAGUAIAByAGUAbQBlAGEAcwB1AHIAZQBtAGUAbgB0ACAAZABhAHQAZQAgAGEAbgBkACAAZQB4AGMAbAB1AGQAZQBkALYAIAAgACAAIAAgACAAIAAgACAAIAAgACAAIAAgACAAkiFmAHIAbwBtACAAdABoAGUAIAByAGUAdgBpAHMAZQBkACAAbABpAGEAYgBpAGwAaQB0AHkALgAgAFAAYQByAGEAZwByAGEAcABoACAAMwA5ACAAdABhAGsAZQBzACAAdABoAGUAIAByAGUAbQBlAGEAcwB1AHIAZQBtAGUAbgB0ACAAdABvACAAdABoAGUAtgAgACAAIAAgACAAIAAgACAAIAAgACAAIAAgACAAIACSIXIAaQBnAGgAdAAtAG8AZgAtAHUAcwBlACAAYQBzAHMAZQB0ACwAIABhAG4AZAAgAHcAaABlAHIAZQAgAHQAaABhAHQAIABhAHMAcwBlAHQAIABpAHMAIAByAGUAZAB1AGMAZQBkACAAdABvACAAbgBpAGwAIABhAG4AeQAgAGYAdQByAHQAaABlAHIAtgAgACAAIAAgACAAIAAgACAAIAAgACAAIAAgACAAIACSIXIAZQBkAHUAYwB0AGkAbwBuACAAZwBvAGUAcwAgAHQAbwAgAHAAcgBvAGYAaQB0ACAAbwByACAAbABvAHMAcwA6ACAAcgBvAHcAIABmAG8AdQByACAAYwBhAHIAcgBpAGUAcwAgAHQAaABhAHQAIAByAGUAbQBhAGkAbgBkAGUAcgAsALYAIAAgACAAIAAgACAAIAAgACAAIAAgACAAIAAgACAAkiFuAGUAZwBhAHQAaQB2AGUALAAgAGIAZQBjAGEAdQBzAGUAIABpAHQAIABpAHMAIABhACAAYwByAGUAZABpAHQALgAgAEEAcgBpAHQAaABtAGUAdABpAGMAIABvAG4AbAB5AC4AtgAgACAAIAAgACAAIAAgACAAIAAgACAAIAAgACAAIACSIUEAQQBTAEIAIAAxADYAIABjAG8AbQBwAGkAbABhAHQAaQBvAG4AIABjAGgAZQBjAGsAZQBkACAAMgA0ACAAQQB1AGcAdQBzAHQAIAAyADAAMgA2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0ACAAQQB1AGcAIAAyADAAMgA2ALYAXAAiACAAJgBcAG4AIAAgACAAIAAgACAAIAAgACAAIAAgACAAIAAgACAAIAAgACAAIAAgACAAIAAgACAAIAAgACAAIABcACIAUABBAFIAQQBNAEUAVABFAFIAUwA6ACAAIAAgACAAkiG2AFwAIgAgACYAXABuACAAIAAgACAAIAAgACAAIAAgACAAIAAgACAAIAAgACAAIAAgACAAIAAgACAAIAAgACAAIAAgACAAXAAiAFIAZQB2AGkAcwBlAGQAUABhAHkAbQBlAG4AdABzAJIhKABSAGUAcQB1AGkAcgBlAGQAKQAgAFIAZQB2AGkAcwBlAGQAIABsAGUAYQBzAGUAIABwAGEAeQBtAGUAbgB0AHMAIABmAG8AcgAgAHQAaABlACAAcgBlAG0AYQBpAG4AaQBuAGcAIAB0AGUAcgBtACwAIABvAG4AZQAgAHAAZQByACAAcABlAHIAaQBvAGQALAAgAHAAbwBzAGkAdABpAHYAZQAuACAASQBuAGMAbAB1AGQAZQAgAGEAIABwAGEAeQBtAGUAbgB0ACAAbQBhAGQAZQAgAGEAdAAgAHQAaABlACAAcgBlAG0AZQBhAHMAdQByAGUAbQBlAG4AdAAgAGQAYQB0AGUAIABmAGkAcgBzAHQAIAB3AGgAZQBuACAASQBuAEEAZAB2AGEAbgBjAGUAIABpAHMAIABUAFIAVQBFAC4AtgBcACIAIAAmAFwAbgAgACAAIAAgACAAIAAgACAAIAAgACAAIAAgACAAIAAgACAAIAAgACAAIAAgACAAIAAgACAAIAAgAFwAIgBSAGEAdABlACAAIAAgACAAIAAgACAAIAAgACAAIACSISgAUgBlAHEAdQBpAHIAZQBkACkAIABEAGkAcwBjAG8AdQBuAHQAIAByAGEAdABlACAAcABlAHIAIABwAGUAcgBpAG8AZAAuACAAVQBuAGMAaABhAG4AZwBlAGQALAAgAHUAbgBsAGUAcwBzACAAYQAgAGYAbABvAGEAdABpAG4AZwAgAHIAYQB0AGUAIABtAG8AdgBlAGQALgC2AFwAIgAgACYAXABuACAAIAAgACAAIAAgACAAIAAgACAAIAAgACAAIAAgACAAIAAgACAAIAAgACAAIAAgACAAIAAgACAAXAAiAEMAYQByAHIAeQBpAG4AZwBMAGkAYQBiAGkAbABpAHQAeQCSISgAUgBlAHEAdQBpAHIAZQBkACkAIABMAGUAYQBzAGUAIABsAGkAYQBiAGkAbABpAHQAeQAgAGIAZQBmAG8AcgBlACAAcgBlAG0AZQBhAHMAdQByAGUAbQBlAG4AdAAgAGEAbgBkACAAYgBlAGYAbwByAGUAIABhAG4AeQAgAHAAYQB5AG0AZQBuAHQAIABkAHUAZQAgAHQAaABhAHQAIABkAGEAeQAuACAARABvACAAbgBvAHQAIABkAGUAZAB1AGMAdAAgAHQAaABlACAAZgBpAHIAcwB0ACAAcgBlAHYAaQBzAGUAZAAgAHAAYQB5AG0AZQBuAHQALgC2AFwAIgAgACYAXABuACAAIAAgACAAIAAgACAAIAAgACAAIAAgACAAIAAgACAAIAAgACAAIAAgACAAIAAgACAAIAAgACAAXAAiAEMAYQByAHIAeQBpAG4AZwBSAE8AVQAgACAAIAAgAJIhKABSAGUAcQB1AGkAcgBlAGQAKQAgAFIAaQBnAGgAdAAtAG8AZgAtAHUAcwBlACAAYQBzAHMAZQB0ACAAYwBhAHIAcgBpAGUAZAAgAGkAbQBtAGUAZABpAGEAdABlAGwAeQAgAGIAZQBmAG8AcgBlACAAdABoAGUAIAByAGUAbQBlAGEAcwB1AHIAZQBtAGUAbgB0AC4AtgBcACIAIAAmAFwAbgAgACAAIAAgACAAIAAgACAAIAAgACAAIAAgACAAIAAgACAAIAAgACAAIAAgACAAIAAgACAAIAAgAFwAIgBJAG4AQQBkAHYAYQBuAGMAZQAgACAAIAAgACAAIACSISgATwBwAHQAaQBvAG4AYQBsADoAIABEAGUAZgBhAHUAbAB0ACAAPQAgAEYAQQBMAFMARQApACAAVABSAFUARQAgAHcAaABlAG4AIAB0AGgAZQAgAGYAaQByAHMAdAAgAHIAZQB2AGkAcwBlAGQAIABwAGEAeQBtAGUAbgB0ACAAaQBzACAAcABhAGkAZAAgAGEAdAAgAHQAaABlACAAcgBlAG0AZQBhAHMAdQByAGUAbQBlAG4AdAAgAGQAYQB0AGU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MAGUAYQBzAGUAUgBlAG0AZQBhAHMAdQByAGUAuwMoAHsAMQAxADAALAAxADEAMAB9ACwAIAAwAC4AMAA1ACwAIAAxADgANQAuADkANAAsACAAMQA4ADEALgA1ADUAKQC2AFwAIgAgACYAXABuACAAIAAgACAAIAAgACAAIAAgACAAIAAgACAAIAAgACAAIAAgACAAIAAgACAAIAAgACAAIAAgACAAXAAiAJIhUgBlAHMAdQBsAHQAtgBcACIAIAAmAFwAbgAgACAAIAAgACAAIAAgACAAIAAgACAAIAAgACAAIAAgACAAIAAgACAAIAAgACAAIAAgACAAIAAgAFwAIgCSITIAMAA0AC4ANQA0ALYAXAAiACAAJgBcAG4AIAAgACAAIAAgACAAIAAgACAAIAAgACAAIAAgACAAIAAgACAAIAAgACAAIAAgACAAIAAgACAAIABcACIAkiEgADEAOAAuADYAMAC2AFwAIgAgACYAXABuACAAIAAgACAAIAAgACAAIAAgACAAIAAgACAAIAAgACAAIAAgACAAIAAgACAAIAAgACAAIAAgACAAXAAiAJIhMgAwADAALgAxADUAtgBcACIAIAAmAFwAbgAgACAAIAAgACAAIAAgACAAIAAgACAAIAAgACAAIAAgACAAIAAgACAAIAAgACAAIAAgACAAIAAgAFwAIgCSISAAIAAwAC4AMA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SAGUAdgBpAHMAZQBkAFAAYQB5AG0AZQBuAHQAcwApACwAIABJAFMATwBNAEkAVABUAEUARAAoAFIAYQB0AGUAKQAsAFwAbgAgACAAIAAgACAAIAAgACAAIAAgACAAIAAgACAAIAAgACAAIAAgACAAIAAgACAAIAAgACAAIAAgAEkAUwBPAE0ASQBUAFQARQBEACgAQwBhAHIAcgB5AGkAbgBnAEwAaQBhAGIAaQBsAGkAdAB5ACkALAAgAEkAUwBPAE0ASQBUAFQARQBEACgAQwBhAHIAcgB5AGkAbgBnAFIATwBVACkAKQAsAFwAbgAgACAAIAAgAC8ALwAgACAAQQAgAGIAbABhAG4AawAgAEkAbgBBAGQAdgBhAG4AYwBlACAAYwBlAGwAbAAgAGkAcwAgAG4AbwB0ACAAYQBuACAAbwBtAGkAdAB0AGUAZAAgAGEAcgBnAHUAbQBlAG4AdAAsACAAcwBvACAAdABlAHMAdAAgAGYAbwByACAAYgBvAHQAaABcAG4AIAAgACAAIAAgACAAIAAgAEEAZAB2AGEAbgBjAGUAPwAsACAAIAAgACAAIAAgACAASQBGACgATwBSACgASQBTAE8ATQBJAFQAVABFAEQAKABJAG4AQQBkAHYAYQBuAGMAZQApACwAIABUAFIASQBNACgASQBuAEEAZAB2AGEAbgBjAGUAIAAmACAAXAAiAFwAIgApAD0AXAAiAFwAIgApACwAIABGAEEATABTAEUALAAgAEkAbgBBAGQAdgBhAG4AYwBlACkALABcAG4AIAAgACAAIAAgACAAIAAgAFIAZQB2AGkAcwBlAGQALAAgACAAIAAgACAAIAAgACAATABlAGEAcwBlAEwAaQBhAGIAaQBsAGkAdAB5ALsDKABSAGUAdgBpAHMAZQBkAFAAYQB5AG0AZQBuAHQAcwAsACAAUgBhAHQAZQAsACAAQQBkAHYAYQBuAGMAZQA/ACkALABcAG4AIAAgACAAIAAvAC8AIAAgAEMAbwBtAHAAYQByAGUAIABsAGkAYQBiAGkAbABpAHQAaQBlAHMAIABiAGUAZgBvAHIAZQAgAHQAaABlACAAcABhAHkAbQBlAG4AdAAgAGEAdAAgAHQAaABlACAAcgBlAG0AZQBhAHMAdQByAGUAbQBlAG4AdAAgAGQAYQB0AGUAXABuACAAIAAgACAAIAAgACAAIABQAGEAaQBkAE4AbwB3ACwAIAAgACAAIAAgACAAIAAgAEkARgAoAEEAZAB2AGEAbgBjAGUAPwAsACAASQBOAEQARQBYACgAUgBlAHYAaQBzAGUAZABQAGEAeQBtAGUAbgB0AHMALAAgADEALAAgADEAKQAsACAAMAApACwAXABuACAAIAAgACAAIAAgACAAIABBAGQAagB1AHMAdABtAGUAbgB0ACwAIAAgACAAIAAgAFIAZQB2AGkAcwBlAGQAIAArACAAUABhAGkAZABOAG8AdwAgAC0AIABDAGEAcgByAHkAaQBuAGcATABpAGEAYgBpAGwAaQB0AHkALABcAG4AIAAgACAAIAAvAC8AIAAgAFQAaABlACAAYQBzAHMAZQB0ACAAYQBiAHMAbwByAGIAcwAgAHQAaABlACAAYQBkAGoAdQBzAHQAbQBlAG4AdAAgAHUAbgB0AGkAbAAgAGkAdAAgAGkAcwAgAGUAeABoAGEAdQBzAHQAZQBkACwAIABhAG4AZAAgAG4AbwAgAGYAdQByAHQAaABlAHIAXABuACAAIAAgACAAIAAgACAAIABSAGEAdwBBAHMAcwBlAHQALAAgACAAIAAgACAAIAAgAEMAYQByAHIAeQBpAG4AZwBSAE8AVQAgACsAIABBAGQAagB1AHMAdABtAGUAbgB0ACwAXABuACAAIAAgACAAIAAgACAAIABSAGUAcwB1AGwAdAAsACAAIAAgACAAIAAgACAAIAAgAFYAUwBUAEEAQwBLACgAUgBlAHYAaQBzAGUAZAAsACAAQQBkAGoAdQBzAHQAbQBlAG4AdAAsACAATQBBAFgAKABSAGEAdwBBAHMAcwBlAHQALAAgADAAKQAsACAATQBJAE4AKABSAGEAdwBBAHMAcwBlAHQALAAgADAAKQ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FIATwBVAFMAYwBoAGUAZAB1AGwAZQC7A1wAbgAgACAAIAAgAEQARQBTAEMAUgBJAFAAVABJAE8ATgA6ACoALwAvACoAKgBTAHQAcgBhAGkAZwBoAHQALQBsAGkAbgBlACAAcgBpAGcAaAB0AC0AbwBmAC0AdQBzAGUAIABhAHMAcwBlAHQAIABzAGMAaABlAGQAdQBsAGUAOgAgAG8AcABlAG4AaQBuAGcALAAgAGQAZQBwAHIAZQBjAGkAYQB0AGkAbwBuACAAYQBuAGQAIABjAGwAbwBzAGkAbgBnACAAZgBvAHIAIABlAGEAYwBoACAAcABlAHIAaQBvAGQAKgAvAFwAbgBcAG4AUgBPAFUAUwBjAGgAZQBkAHUAbABlALsDIAA9ACAATABBAE0AQgBEAEEAKABcAG4ALwAvACAAIABQAGEAcgBhAG0AZQB0AGUAcgAgAEQAZQBjAGwAYQByAGEAdABpAG8AbgBcAG4AIAAgACAAIABbAEMAbwBzAHQAXQAsAFwAbgAgACAAIAAgAFsAUABlAHIAaQBvAGQ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IATwBVAFMAYwBoAGUAZAB1AGwAZQC7AygAQwBvAHMAdAAsACAAUABlAHIAaQBvAGQAcwApALYAXAAiACAAJgBcAG4AIAAgACAAIAAgACAAIAAgACAAIAAgACAAIAAgACAAIAAgACAAIAAgACAAIAAgACAAIAAgACAAIABcACIARABFAFMAQwBSAEkAUABUAEkATwBOADoAIAAgACAAkiFEAGUAcAByAGUAYwBpAGEAdABlAHMAIABhACAAcgBpAGcAaAB0AC0AbwBmAC0AdQBzAGUAIABhAHMAcwBlAHQAIABpAG4AIABhACAAcwB0AHIAYQBpAGcAaAB0ACAAbABpAG4AZQAgAG8AdgBlAHIAIAB0AGgAZQAgAGwAZQBhAHMAZQAgAHQAZQByAG0ALgC2AE4ATwBUAEUAUwAhACAAIAAgACAAIAAgACAAIAAgAJIhUgBlAHQAdQByAG4AcwAgAHQAaAByAGUAZQAgAHIAbwB3AHMAOgAgAG8AcABlAG4AaQBuAGcAIABjAGEAcgByAHkAaQBuAGcAIABhAG0AbwB1AG4AdAAsACAAZABlAHAAcgBlAGMAaQBhAHQAaQBvAG4ALAAgAGMAbABvAHMAaQBuAGcAtgAgACAAIAAgACAAIAAgACAAIAAgACAAIAAgACAAIACSIWMAYQByAHIAeQBpAG4AZwAgAGEAbQBvAHUAbgB0AC4AIABBAEEAUwBCACAAMQA2ACAAcABhAHIAYQBnAHIAYQBwAGgAIAAyADQAIABtAGUAYQBzAHUAcgBlAHMAIAB0AGgAZQAgAGEAcwBzAGUAdAAgAGEAdAAgAGMAbwBzAHQALAC2ACAAIAAgACAAIAAgACAAIAAgACAAIAAgACAAIAAgAJIhYwBvAG0AcAByAGkAcwBpAG4AZwAgAHQAaABlACAAaQBuAGkAdABpAGEAbAAgAGwAZQBhAHMAZQAgAGwAaQBhAGIAaQBsAGkAdAB5ACwAIABsAGUAYQBzAGUAIABwAGEAeQBtAGUAbgB0AHMAIABtAGEAZABlACAAYQB0ACAAbwByALYAIAAgACAAIAAgACAAIAAgACAAIAAgACAAIAAgACAAkiFiAGUAZgBvAHIAZQAgAHQAaABlACAAYwBvAG0AbQBlAG4AYwBlAG0AZQBuAHQAIABkAGEAdABlACAAbABlAHMAcwAgAGkAbgBjAGUAbgB0AGkAdgBlAHMAIAByAGUAYwBlAGkAdgBlAGQALAAgAGkAbgBpAHQAaQBhAGwAIABkAGkAcgBlAGMAdAC2ACAAIAAgACAAIAAgACAAIAAgACAAIAAgACAAIAAgAJIhYwBvAHMAdABzACwAIABhAG4AZAAgAGEAbgAgAGUAcwB0AGkAbQBhAHQAZQAgAG8AZgAgAGQAaQBzAG0AYQBuAHQAbABpAG4AZwAgAGEAbgBkACAAcgBlAHMAdABvAHIAYQB0AGkAbwBuACAAYwBvAHMAdABzAC4AIABBAGQAZAAgAHQAaABvAHMAZQC2ACAAIAAgACAAIAAgACAAIAAgACAAIAAgACAAIAAgAJIhdQBwACAAeQBvAHUAcgBzAGUAbABmACAAYQBuAGQAIABwAGEAcwBzACAAdABoAGUAIAB0AG8AdABhAGwAIABhAHMAIABDAG8AcwB0AC4AIABEAGUAcAByAGUAYwBpAGEAdABlACAAbwB2AGUAcgAgAHQAaABlACAAbABlAGEAcwBlACAAdABlAHIAbQC2ACAAIAAgACAAIAAgACAAIAAgACAAIAAgACAAIAAgAJIhdwBoAGUAcgBlACAAbwB3AG4AZQByAHMAaABpAHAAIABkAG8AZQBzACAAbgBvAHQAIAB0AHIAYQBuAHMAZgBlAHIALAAgAGEAbgBkACAAbwB2AGUAcgAgAHQAaABlACAAdQBzAGUAZgB1AGwAIABsAGkAZgBlACAAdwBoAGUAcgBlACAAaQB0ALYAIAAgACAAIAAgACAAIAAgACAAIAAgACAAIAAgACAAkiFkAG8AZQBzAC4AIABDAG8AcwB0ACAAYQBuAGQAIABQAGUAcgBpAG8AZABzACAAYQByAGUAIABzAGkAbgBnAGwAZQAgAHYAYQBsAHUAZQBzACwAIABuAG8AdAAgAGEAcgByAGEAeQBzAC4AIABBAHIAaQB0AGgAbQBlAHQAaQBjACAAbwBuAGwAeQAuALYAIAAgACAAIAAgACAAIAAgACAAIAAgACAAIAAgACAAkiFBAEEAUwBCACAAMQA2ACAAYwBvAG0AcABpAGwAYQB0AGkAbwBuACAAYwBoAGUAYwBrAGUAZAAgADIANAAgAEEAdQBnAHUAcwB0ACAAMgAwADIANg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N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JAG4AaQB0AGkAYQBsACAAYwBhAHIAcgB5AGkAbgBnACAAYQBtAG8AdQBuAHQAIABvAGYAIAB0AGgAZQAgAHIAaQBnAGgAdAAtAG8AZgAtAHUAcwBlACAAYQBzAHMAZQB0AC4AtgBcACIAIAAmAFwAbgAgACAAIAAgACAAIAAgACAAIAAgACAAIAAgACAAIAAgACAAIAAgACAAIAAgACAAIAAgACAAIAAgAFwAIgBQAGUAcgBpAG8AZABzACAAIAAgACAAIAAgACAAIACSISgAUgBlAHEAdQBpAHIAZQBkACkAIABOAHUAbQBiAGUAcgAgAG8AZgAgAHAAZQByAGkAbwBkAHMAIAB0AG8AIABkAGUAcAByAGUAYwBpAGEAdABlACAAbwB2AGUAcgAsACAAYQB0ACAAbABlAGEAcwB0ACAAMQ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FIATwBVAFMAYwBoAGUAZAB1AGwAZQC7AygAMwAwADAALAAgADMAKQC2AFwAIgAgACYAXABuACAAIAAgACAAIAAgACAAIAAgACAAIAAgACAAIAAgACAAIAAgACAAIAAgACAAIAAgACAAIAAgACAAXAAiAJIhUgBlAHMAdQBsAHQAtgBcACIAIAAmAFwAbgAgACAAIAAgACAAIAAgACAAIAAgACAAIAAgACAAIAAgACAAIAAgACAAIAAgACAAIAAgACAAIAAgAFwAIgCSITMAMAAwACwAIAAyADAAMAAsACAAMQAwADAAtgBcACIAIAAmAFwAbgAgACAAIAAgACAAIAAgACAAIAAgACAAIAAgACAAIAAgACAAIAAgACAAIAAgACAAIAAgACAAIAAgAFwAIgCSITEAMAAwACwAIAAxADAAMAAsACAAMQAwADAAtgBcACIAIAAmAFwAbgAgACAAIAAgACAAIAAgACAAIAAgACAAIAAgACAAIAAgACAAIAAgACAAIAAgACAAIAAgACAAIAAgAFwAIgCSITIAMAAwACwAIAAxADAAMAAsACAAIAAg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QAGUAcgBpAG8AZABzACkAKQAsAFwAbgAgACAAIAAgAC8ALwAgACAAUgBlAGYAdQBzAGUAIAByAGEAdABoAGUAcgAgAHQAaABhAG4AIABiAHUAaQBsAGQAIABhACAAcwBjAGgAZQBkAHUAbABlACAAZgByAG8AbQAgAGEAbgAgAGEAcgBnAHUAbQBlAG4AdAAgAHQAaABhAHQAIABjAGEAbgBuAG8AdAAgAG0AYQBrAGUAIABvAG4AZQBcAG4AIAAgACAAIAAgACAAIAAgAFYAYQBsAGkAZAA/ACwAIAAgACAAIAAgACAAIAAgACAAQQBOAEQAKABJAFMATgBVAE0AQgBFAFIAKABDAG8AcwB0ACkALAAgAEkAUwBOAFUATQBCAEUAUgAoAFAAZQByAGkAbwBkAHMAKQAsACAAUABlAHIAaQBvAGQAcwAgAD4APQAgADEAKQAsAFwAbgAgACAAIAAgACAAIAAgACAAQwBvAHUAbgB0ACwAIAAgACAAIAAgACAAIAAgACAAIABJAEYAKABWAGEAbABpAGQAPwAsACAASQBOAFQAKABQAGUAcgBpAG8AZABzACkALAAgADEAKQAsAFwAbgAgACAAIAAgACAAIAAgACAAQwBoAGEAcgBnAGUALAAgACAAIAAgACAAIAAgACAAIABJAEYAKABWAGEAbABpAGQAPwAsACAAQwBvAHMAdAAgAC8AIABDAG8AdQBuAHQALAAgADAAKQAsAFwAbgAgACAAIAAgACAAIAAgACAASQBuAGQAZQB4ACwAIAAgACAAIAAgACAAIAAgACAAIABTAEUAUQBVAEUATgBDAEUAKAAxACwAIABDAG8AdQBuAHQAKQAsAFwAbgAgACAAIAAgACAAIAAgACAAUgBlAHMAdQBsAHQALAAgACAAIAAgACAAIAAgACAAIABJAEYAKABWAGEAbABpAGQAPwAsAFwAbgAgACAAIAAgACAAIAAgACAAIAAgACAAIAAgACAAIAAgACAAIAAgACAAIAAgACAAIAAgACAAIAAgAFYAUwBUAEEAQwBLACgAXABuACAAIAAgACAAIAAgACAAIAAgACAAIAAgACAAIAAgACAAIAAgACAAIAAgACAAIAAgACAAIAAgACAAIAAgACAAIABDAG8AcwB0ACAALQAgAEMAaABhAHIAZwBlACAAKgAgACgASQBuAGQAZQB4ACAALQAgADEAKQAsAFwAbgAgACAAIAAgACAAIAAgACAAIAAgACAAIAAgACAAIAAgACAAIAAgACAAIAAgACAAIAAgACAAIAAgACAAIAAgACAAUwBFAFEAVQBFAE4AQwBFACgAMQAsACAAQwBvAHUAbgB0ACwAIABDAGgAYQByAGcAZQAsACAAMAApACwAXABuACAAIAAgACAAIAAgACAAIAAgACAAIAAgACAAIAAgACAAIAAgACAAIAAgACAAIAAgACAAIAAgACAAIAAgACAAIABDAG8AcwB0ACAALQAgAEMAaABhAHIAZwBlACAAKgAgAEkAbgBkAGUAeAApACwAXABuACAAIAAgACAAIAAgACAAIAAgACAAIAAgACAAIAAgACAAIAAgACAAIAAgACAAIAAgACAAIAAgACAAXAAiAFIATwBVAFMAYwBoAGUAZAB1AGwAZQC7AyAAbgBlAGUAZABzACAAYQAgAG4AdQBtAGUAcgBpAGMAIABDAG8AcwB0ACAAYQBuAGQAIABQAGUAcgBpAG8AZABzACAAbwBmACAAYQB0ACAAbABlAGEAcwB0ACAAMQBcACI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lAHIAaQBvAGQAUgBhAHQAZQC7A1wAbgAgACAAIAAgAEQARQBTAEMAUgBJAFAAVABJAE8ATgA6ACoALwAvACoAKgBDAG8AbgB2AGUAcgB0AHMAIABhAG4AIABlAGYAZgBlAGMAdABpAHYAZQAgAGEAbgBuAHUAYQBsACAAcgBhAHQAZQAgAHQAbwAgAHQAaABlACAAZQBxAHUAaQB2AGEAbABlAG4AdAAgAHIAYQB0AGUAIABwAGUAcgAgAHAAZQByAGkAbwBkACwAIAB0AGgAZQAgAHIAYQB0AGUAIAB0AGgAZQAgAGwAZQBhAHMAZQAgAGYAdQBuAGMAdABpAG8AbgBzACAAdABhAGsAZQAqAC8AXABuAFwAbgBQAGUAcgBpAG8AZABSAGEAdABlALsDIAA9ACAATABBAE0AQgBEAEEAKABcAG4ALwAvACAAIABQAGEAcgBhAG0AZQB0AGUAcgAgAEQAZQBjAGwAYQByAGEAdABpAG8AbgBcAG4AIAAgACAAIABbAEEAbgBuAHUAYQBsAFIAYQB0AGUAXQAsAFwAbgAgACAAIAAgAFsAUABlAHIAaQBvAGQAcwBQAGUAcgBZAGUAYQBy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ABlAHIAaQBvAGQAUgBhAHQAZQC7AygAQQBuAG4AdQBhAGwAUgBhAHQAZQAsACAAWwBQAGUAcgBpAG8AZABzAFAAZQByAFkAZQBhAHIAXQApALYAXAAiACAAJgBcAG4AIAAgACAAIAAgACAAIAAgACAAIAAgACAAIAAgACAAIAAgACAAIAAgACAAIAAgACAAIAAgACAAIABcACIARABFAFMAQwBSAEkAUABUAEkATwBOADoAIAAgACAAkiFDAG8AbgB2AGUAcgB0AHMAIABhAG4AIABlAGYAZgBlAGMAdABpAHYAZQAgAGEAbgBuAHUAYQBsACAAcgBhAHQAZQAgAHQAbwAgAHQAaABlACAAZQBxAHUAaQB2AGEAbABlAG4AdAAgAHIAYQB0AGUAIABwAGUAcgAgAHAAZQByAGkAbwBkAC4AtgBOAE8AVABFAFMAIQAgACAAIAAgACAAIAAgACAAIACSISgAMQAgACsAIABBAG4AbgB1AGEAbABSAGEAdABlACkAIABeACAAKAAxACAALwAgAFAAZQByAGkAbwBkAHMAUABlAHIAWQBlAGEAcgApACAALQAgADEALAAgAHMAbwAgAGMAbwBtAHAAbwB1AG4AZABpAG4AZwAgAHQAaABlACAAcgBlAHMAdQBsAHQAtgAgACAAIAAgACAAIAAgACAAIAAgACAAIAAgACAAIACSIVAAZQByAGkAbwBkAHMAUABlAHIAWQBlAGEAcgAgAHQAaQBtAGUAcwAgAGcAaQB2AGUAcwAgAHQAaABlACAAYQBuAG4AdQBhAGwAIAByAGEAdABlACAAYgBhAGMAawAuACAAVABoAGkAcwAgAGkAcwAgAHQAaABlACAAcgBhAHQAZQAgAHAAZQByALYAIAAgACAAIAAgACAAIAAgACAAIAAgACAAIAAgACAAkiFwAGUAcgBpAG8AZAAgAHQAaABhAHQAIABMAGUAYQBzAGUATABpAGEAYgBpAGwAaQB0AHkAuwMoACkALAAgAEwAZQBhAHMAZQBTAGMAaABlAGQAdQBsAGUAuwMoACkAIABhAG4AZAAgAEwAZQBhAHMAZQBSAGUAbQBlAGEAcwB1AHIAZQC7AygAKQC2ACAAIAAgACAAIAAgACAAIAAgACAAIAAgACAAIAAgAJIhdABhAGsAZQAuACAASQB0ACAAaQBzACAAZgBvAHIAIABhAG4AIABlAGYAZgBlAGMAdABpAHYAZQAgAGEAbgBuAHUAYQBsACAAcgBhAHQAZQAuACAAQQAgAG4AbwBtAGkAbgBhAGwAIABhAG4AbgB1AGEAbAAgAHAAZQByAGMAZQBuAHQAYQBnAGUAtgAgACAAIAAgACAAIAAgACAAIAAgACAAIAAgACAAIACSIXIAYQB0AGUAIAB0AGgAYQB0ACAAYwBvAG0AcABvAHUAbgBkAHMAIABtAG8AbgB0AGgAbAB5ACAAaQBzACAAYQBsAHIAZQBhAGQAeQAgAEEAUABSACAALwAgADEAMgAgAHAAZQByACAAbQBvAG4AdABoACwAIABzAG8AIABkAG8AIABuAG8AdAC2ACAAIAAgACAAIAAgACAAIAAgACAAIAAgACAAIAAgAJIhcABhAHMAcwAgAGkAdAAgAGgAZQByAGUAOwAgAEUARgBGAEUAQwBUACgAKQAgAHQAdQByAG4AcwAgAG8AbgBlACAAaQBuAHQAbwAgAHQAaABlACAAZQBmAGYAZQBjAHQAaQB2AGUAIAByAGEAdABlACAAdABoAGkAcwAgAHQAYQBrAGUAcwAuALYAIAAgACAAIAAgACAAIAAgACAAIAAgACAAIAAgACAAkiFBAG4AbgB1AGEAbABSAGEAdABlALsDKAApACAAaQBzACAAdABoAGUAIABpAG4AdgBlAHIAcwBl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NgAgAFMAZQBwACAAMgAwADIANgC2AFwAIgAgACYAXABuACAAIAAgACAAIAAgACAAIAAgACAAIAAgACAAIAAgACAAIAAgACAAIAAgACAAIAAgACAAIAAgACAAXAAiAFAAQQBSAEEATQBFAFQARQBSAFMAOgAgACAAIAAgAJIhtgBcACIAIAAmAFwAbgAgACAAIAAgACAAIAAgACAAIAAgACAAIAAgACAAIAAgACAAIAAgACAAIAAgACAAIAAgACAAIAAgAFwAIgBBAG4AbgB1AGEAbABSAGEAdABlACAAIAAgACAAIACSISgAUgBlAHEAdQBpAHIAZQBkACkAIABFAGYAZgBlAGMAdABpAHYAZQAgAGEAbgBuAHUAYQBsACAAcgBhAHQAZQAsACAAbwByACAAYQAgAHIAbwB3ACAAbwByACAAYwBvAGwAdQBtAG4AIABvAGYAIAB0AGgAZQBtAC4AtgBcACIAIAAmAFwAbgAgACAAIAAgACAAIAAgACAAIAAgACAAIAAgACAAIAAgACAAIAAgACAAIAAgACAAIAAgACAAIAAgAFwAIgBQAGUAcgBpAG8AZABzAFAAZQByAFkAZQBhAHIAIACSISgATwBwAHQAaQBvAG4AYQBsADoAIABEAGUAZgBhAHUAbAB0ACAAPQAgADEAMgApACAAUABlAHIAaQBvAGQAcwAgAGkAbgAgAGEAIAB5AGUAYQByADoAIAAxADIAIABmAG8AcgAgAG0AbwBuAHQAaABzACwAIAA0ACAAZgBvAHIAIABxAHUAYQByAHQAZQByAHMALAAgADEAIABmAG8Ac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FAAZQByAGkAbwBkAFIAYQB0AGUAuwMoADAALgAwADUAKQC2AFwAIgAgACYAXABuACAAIAAgACAAIAAgACAAIAAgACAAIAAgACAAIAAgACAAIAAgACAAIAAgACAAIAAgACAAIAAgACAAXAAiAJIhUgBlAHMAdQBsAHQAtgBcACIAIAAmAFwAbgAgACAAIAAgACAAIAAgACAAIAAgACAAIAAgACAAIAAgACAAIAAgACAAIAAgACAAIAAgACAAIAAgAFwAIgCSITAALgAwADAANAAwADcAN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QQBuAG4AdQBhAGwAUgBhAHQAZQApACwAXABuACAAIAAgACAALwAvACAAIABBACAAYgBsAGEAbgBrACAAUABlAHIAaQBvAGQAcwBQAGUAcgBZAGUAYQByACAAYwBlAGwAbAAgAGkAcwAgAG4AbwB0ACAAYQBuACAAbwBtAGkAdAB0AGUAZAAgAGEAcgBnAHUAbQBlAG4AdAAsACAAcwBvACAAdABlAHMAdAAgAGYAbwByACAAYgBvAHQAaAAuACAAVABoAGUAXABuACAAIAAgACAALwAvACAAIABiAGwAYQBuAGsAIAB0AGUAcwB0ACAAcwB0AGEAeQBzACAAZQBsAGUAbQBlAG4AdAAtAHcAaQBzAGUAOgAgAE8AUgAoACkAIAByAGUAZAB1AGMAZQBkACAAYQAgAGMAbwBsAHUAbQBuACAAbwBmACAAZgByAGUAcQB1AGUAbgBjAGkAZQBzACAAdABvACAAbwBuAGUAIABUAFIAVQBFACwAXABuACAAIAAgACAALwAvACAAIABzAG8AIABhACAAcwBpAG4AZwBsAGUAIABiAGwAYQBuAGsAIABnAGEAdgBlACAAZQB2AGUAcgB5ACAAcgBvAHcAIAAxADIALgBcAG4AIAAgACAAIAAgACAAIAAgAFAAZQByAGkAbwBkAHMALAAgACAAIAAgACAAIAAgACAASQBGACgASQBTAE8ATQBJAFQAVABFAEQAKABQAGUAcgBpAG8AZABzAFAAZQByAFkAZQBhAHIAKQAsACAAMQAyACwAXABuACAAIAAgACAAIAAgACAAIAAgACAAIAAgACAAIAAgACAAIAAgACAAIAAgACAAIAAgACAAIAAgACAASQBGACgASQBTAE4AVQBNAEIARQBSACgAUABlAHIAaQBvAGQAcwBQAGUAcgBZAGUAYQByACkALAAgAFAAZQByAGkAbwBkAHMAUABlAHIAWQBlAGEAcgAsACAAMQAyACkAKQAsAFwAbgAgACAAIAAgACAAIAAgACAAUgBlAHMAdQBsAHQALAAgACAAIAAgACAAIAAgACAAIAAoADEAIAArACAAQQBuAG4AdQBhAGwAUgBhAHQAZQApACAAXgAgACgAMQAgAC8AIABQAGUAcgBpAG8AZABzACkAIAAtACAAM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BAG4AbgB1AGEAbABSAGEAdABlALsDXABuACAAIAAgACAARABFAFMAQwBSAEkAUABUAEkATwBOADoAKgAvAC8AKgAqAEMAbwBuAHYAZQByAHQAcwAgAGEAIAByAGEAdABlACAAcABlAHIAIABwAGUAcgBpAG8AZAAgAHQAbwAgAHQAaABlACAAZQBmAGYAZQBjAHQAaQB2AGUAIABhAG4AbgB1AGEAbAAgAHIAYQB0AGUALAAgAHQAaABlACAAaQBuAHYAZQByAHMAZQAgAG8AZgAgAFAAZQByAGkAbwBkAFIAYQB0AGUAuwMqAC8AXABuAFwAbgBBAG4AbgB1AGEAbABSAGEAdABlALsDIAA9ACAATABBAE0AQgBEAEEAKABcAG4ALwAvACAAIABQAGEAcgBhAG0AZQB0AGUAcgAgAEQAZQBjAGwAYQByAGEAdABpAG8AbgBcAG4AIAAgACAAIABbAFAAZQByAGkAbwBkAFIAYQB0AGUAXQAsAFwAbgAgACAAIAAgAFsAUABlAHIAaQBvAGQAcwBQAGUAcgBZAGUAYQBy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QQBuAG4AdQBhAGwAUgBhAHQAZQC7AygAUABlAHIAaQBvAGQAUgBhAHQAZQAsACAAWwBQAGUAcgBpAG8AZABzAFAAZQByAFkAZQBhAHIAXQApALYAXAAiACAAJgBcAG4AIAAgACAAIAAgACAAIAAgACAAIAAgACAAIAAgACAAIAAgACAAIAAgACAAIAAgACAAIAAgACAAIABcACIARABFAFMAQwBSAEkAUABUAEkATwBOADoAIAAgACAAkiFDAG8AbgB2AGUAcgB0AHMAIABhACAAcgBhAHQAZQAgAHAAZQByACAAcABlAHIAaQBvAGQAIAB0AG8AIAB0AGgAZQAgAGUAZgBmAGUAYwB0AGkAdgBlACAAYQBuAG4AdQBhAGwAIAByAGEAdABlAC4AtgBOAE8AVABFAFMAIQAgACAAIAAgACAAIAAgACAAIACSISgAMQAgACsAIABQAGUAcgBpAG8AZABSAGEAdABlACkAIABeACAAUABlAHIAaQBvAGQAcwBQAGUAcgBZAGUAYQByACAALQAgADEALAAgAHQAaABlACAAaQBuAHYAZQByAHMAZQAgAG8AZgAgAFAAZQByAGkAbwBkAFIAYQB0AGUAuwMoACkALgC2ACAAIAAgACAAIAAgACAAIAAgACAAIAAgACAAIAAgAJIhVQBzAGUAIABpAHQAIAB0AG8AIABzAHQAYQB0AGUAIABhACAAcgBhAHQAZQAgAHAAZQByACAAcABlAHIAaQBvAGQALAAgAHMAdQBjAGgAIABhAHMAIABhACAAbABlAGEAcwBlACAAcgBhAHQAZQAgAHMAbwBsAHYAZQBkACAAcABlAHIAtgAgACAAIAAgACAAIAAgACAAIAAgACAAIAAgACAAIACSIW0AbwBuAHQAaAAsACAAYQBzACAAdABoAGUAIABhAG4AbgB1AGEAbAAgAGYAaQBnAHUAcgBlACAAYQAgAHIAZQBhAGQAZQByACAAZQB4AHAAZQBjAHQAcw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YAIABTAGUAcAAgADIAMAAyADYAtgBcACIAIAAmAFwAbgAgACAAIAAgACAAIAAgACAAIAAgACAAIAAgACAAIAAgACAAIAAgACAAIAAgACAAIAAgACAAIAAgAFwAIgBQAEEAUgBBAE0ARQBUAEUAUgBTADoAIAAgACAAIACSIbYAXAAiACAAJgBcAG4AIAAgACAAIAAgACAAIAAgACAAIAAgACAAIAAgACAAIAAgACAAIAAgACAAIAAgACAAIAAgACAAIABcACIAUABlAHIAaQBvAGQAUgBhAHQAZQAgACAAIAAgACAAkiEoAFIAZQBxAHUAaQByAGUAZAApACAAUgBhAHQAZQAgAHAAZQByACAAcABlAHIAaQBvAGQALAAgAG8AcgAgAGEAIAByAG8AdwAgAG8AcgAgAGMAbwBsAHUAbQBuACAAbwBmACAAdABoAGUAbQAuALYAXAAiACAAJgBcAG4AIAAgACAAIAAgACAAIAAgACAAIAAgACAAIAAgACAAIAAgACAAIAAgACAAIAAgACAAIAAgACAAIABcACIAUABlAHIAaQBvAGQAcwBQAGUAcgBZAGUAYQByACAAkiEoAE8AcAB0AGkAbwBuAGEAbAA6ACAARABlAGYAYQB1AGwAdAAgAD0AIAAxADIAKQAgAFAAZQByAGkAbwBkAHMAIABpAG4AIABhACAAeQBlAGEAcgA6ACAAMQAyACAAZgBvAHIAIABtAG8AbgB0AGgAcwAsACAANAAgAGYAbwByACAAcQB1AGEAcgB0AGUAcgBzACwAIAAxACAAZgBvAHI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BAG4AbgB1AGEAbABSAGEAdABlALsDKAAwAC4AMAAxACkAtgBcACIAIAAmAFwAbgAgACAAIAAgACAAIAAgACAAIAAgACAAIAAgACAAIAAgACAAIAAgACAAIAAgACAAIAAgACAAIAAgAFwAIgCSIVIAZQBzAHUAbAB0ALYAXAAiACAAJgBcAG4AIAAgACAAIAAgACAAIAAgACAAIAAgACAAIAAgACAAIAAgACAAIAAgACAAIAAgACAAIAAgACAAIABcACIAkiEwAC4AMQAyADYAOAAyADU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FAAZQByAGkAbwBkAFIAYQB0AGUAKQAsAFwAbgAgACAAIAAgAC8ALwAgACAAQQAgAGIAbABhAG4AawAgAFAAZQByAGkAbwBkAHMAUABlAHIAWQBlAGEAcgAgAGMAZQBsAGwAIABpAHMAIABuAG8AdAAgAGEAbgAgAG8AbQBpAHQAdABlAGQAIABhAHIAZwB1AG0AZQBuAHQALAAgAHMAbwAgAHQAZQBzAHQAIABmAG8AcgAgAGIAbwB0AGgALgAgAFQAaABlAFwAbgAgACAAIAAgAC8ALwAgACAAYgBsAGEAbgBrACAAdABlAHMAdAAgAHMAdABhAHkAcwAgAGUAbABlAG0AZQBuAHQALQB3AGkAcwBlADoAIABPAFIAKAApACAAcgBlAGQAdQBjAGUAZAAgAGEAIABjAG8AbAB1AG0AbgAgAG8AZgAgAGYAcgBlAHEAdQBlAG4AYwBpAGUAcwAgAHQAbwAgAG8AbgBlACAAVABSAFUARQAsAFwAbgAgACAAIAAgAC8ALwAgACAAcwBvACAAYQAgAHMAaQBuAGcAbABlACAAYgBsAGEAbgBrACAAZwBhAHYAZQAgAGUAdgBlAHIAeQAgAHIAbwB3ACAAMQAyAC4AXABuACAAIAAgACAAIAAgACAAIABQAGUAcgBpAG8AZABzACwAIAAgACAAIAAgACAAIAAgAEkARgAoAEkAUwBPAE0ASQBUAFQARQBEACgAUABlAHIAaQBvAGQAcwBQAGUAcgBZAGUAYQByACkALAAgADEAMgAsAFwAbgAgACAAIAAgACAAIAAgACAAIAAgACAAIAAgACAAIAAgACAAIAAgACAAIAAgACAAIAAgACAAIAAgAEkARgAoAEkAUwBOAFUATQBCAEUAUgAoAFAAZQByAGkAbwBkAHMAUABlAHIAWQBlAGEAcgApACwAIABQAGUAcgBpAG8AZABzAFAAZQByAFkAZQBhAHIALAAgADEAMgApACkALABcAG4AIAAgACAAIAAgACAAIAAgAFIAZQBzAHUAbAB0ACwAIAAgACAAIAAgACAAIAAgACAAKAAxACAAKwAgAFAAZQByAGkAbwBkAFIAYQB0AGUAKQAgAF4AIABQAGUAcgBpAG8AZABzACAALQAgADE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RABhAHkAQwBvAHUAbgB0AFIAYQB0AGUAuwNcAG4AIAAgACAAIABEAEUAUwBDAFIASQBQAFQASQBPAE4AOgAqAC8ALwAqACoASQBuAHQAZQByAGUAcwB0ACAAcgBhAHQAZQAgAGYAbwByACAAZQBhAGMAaAAgAHAAZQByAGkAbwBkACAAbwBmACAAYQAgAHQAaQBtAGUAbABpAG4AZQAgAHUAbgBkAGUAcgAgAGEAIABkAGEAeQAgAGMAbwB1AG4AdAAgAGMAbwBuAHYAZQBuAHQAaQBvAG4AOgAgADMAMAAvADMANgAwACwAIABBAGMAdAB1AGEAbAAvADMANgAwACwAIABBAGMAdAB1AGEAbAAvADMANgA1ACAAbwByACAAQQBjAHQAdQBhAGwALwBBAGMAdAB1AGEAbAAqAC8AXABuAFwAbgBEAGEAeQBDAG8AdQBuAHQAUgBhAHQAZQC7AyAAPQAgAEwAQQBNAEIARABBACgAXABuAC8ALwAgACAAUABhAHIAYQBtAGUAdABlAHIAIABEAGUAYwBsAGEAcgBhAHQAaQBvAG4AXABuACAAIAAgACAAWwBUAGkAbQBlAGwAaQBuAGUAXQAsAFwAbgAgACAAIAAgAFsAQQBQAFIAXQAsAFwAbgAgACAAIAAgAFsAQwBvAG4AdgBlAG4AdABpAG8AbgBdACwAXABuACAAIAAgACAAWwBFAG4AZABEAGEAdABl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EAeQBDAG8AdQBuAHQAUgBhAHQAZQC7AygAVABpAG0AZQBsAGkAbgBlACwAIABBAFAAUgAsACAAWwBDAG8AbgB2AGUAbgB0AGkAbwBuAF0ALAAgAFsARQBuAGQARABhAHQAZQBzAF0AKQC2AFwAIgAgACYAXABuACAAIAAgACAAIAAgACAAIAAgACAAIAAgACAAIAAgACAAIAAgACAAIAAgACAAIAAgACAAIAAgACAAXAAiAEQARQBTAEMAUgBJAFAAVABJAE8ATgA6ACAAIAAgAJIhSQBuAHQAZQByAGUAcwB0ACAAcgBhAHQAZQAgAGYAbwByACAAZQBhAGMAaAAgAHAAZQByAGkAbwBkACAAbwBmACAAYQAgAHQAaQBtAGUAbABpAG4AZQAgAHUAbgBkAGUAcgAgAGEAIABkAGEAeQAgAGMAbwB1AG4AdAAgAGMAbwBuAHYAZQBuAHQAaQBvAG4ALgC2AE4ATwBUAEUAUwAhACAAIAAgACAAIAAgACAAIAAgAJIhUgBlAHQAdQByAG4AcwAgAGEAIAByAG8AdwAgAHcAaQB0AGgAIABvAG4AZQAgAHIAYQB0AGUAIABwAGUAcgAgAHQAaQBtAGUAbABpAG4AZQAgAHAAZQByAGkAbwBkACwAIAB3AGgAaQBjAGgAZQB2AGUAcgAgAHcAYQB5ACAAdABoAGUAtgAgACAAIAAgACAAIAAgACAAIAAgACAAIAAgACAAIACSIXQAaQBtAGUAbABpAG4AZQAgAHIAdQBuAHMAOgAgAEEAUABSACAAbQB1AGwAdABpAHAAbABpAGUAZAAgAGIAeQAgAHQAaABlACAAZABhAHkAcwAgAGkAbgAgAHQAaABlACAAcABlAHIAaQBvAGQAIABhAG4AZAAgAGQAaQB2AGkAZABlAGQAIABiAHkAtgAgACAAIAAgACAAIAAgACAAIAAgACAAIAAgACAAIACSIXQAaABlACAAZABhAHkAcwAgAGkAbgAgAHQAaABlACAAeQBlAGEAcgAsACAAYQBzACAAdABoAGUAIABjAG8AbgB2AGUAbgB0AGkAbwBuACAAYwBvAHUAbgB0AHMAIAB0AGgAZQBtAC4AIABQAGEAcwBzACAAdABoAGUAIAByAGUAcwB1AGwAdAAgAHQAbwC2ACAAIAAgACAAIAAgACAAIAAgACAAIAAgACAAIAAgAJIhRABlAGIAdABTAGMAdQBsAHAAdABWAGEAcgBpAGEAYgBsAGUAuwMoACkAIABvAHIAIABEAGUAYgB0AFMAYwB1AGwAcAB0AFYAYQByAGkAYQBiAGwAZQBMAFIAVgC7AygAKQAgAGEAcwAgAFAAZQByAGkAbwBkAFIAYQB0AGUAcwAgAGkAbgAgAHAAbABhAGMAZQC2ACAAIAAgACAAIAAgACAAIAAgACAAIAAgACAAIAAgAJIhbwBmACAAYQAgAGYAbABhAHQAIAB0AHcAZQBsAGYAdABoACAAbwBmACAAdABoAGUAIABBAFAAUgAuACAAVwBpAHQAaAAgAHMAdABhAHIAdAAgAGQAYQB0AGUAcwAgAGUAYQBjAGgAIABwAGUAcgBpAG8AZAAgAHIAdQBuAHMAIABmAHIAbwBtACAAaQB0AHMAtgAgACAAIAAgACAAIAAgACAAIAAgACAAIAAgACAAIACSIWQAYQB0AGUAIAB0AG8AIAB0AGgAZQAgAGQAYQB5ACAAYgBlAGYAbwByAGUAIAB0AGgAZQAgAG4AZQB4AHQALAAgAGEAbgBkACAAdABoAGUAIABsAGEAcwB0ACAAcABlAHIAaQBvAGQAIAB0AGEAawBlAHMAIABpAHQAcwAgAGwAZQBuAGcAdABoALYAIAAgACAAIAAgACAAIAAgACAAIAAgACAAIAAgACAAkiFmAHIAbwBtACAAdABoAGUAIABvAG4AZQAgAGIAZQBmAG8AcgBlACAAaQB0ADsAIAB3AGkAdABoACAAZQBuAGQAIABkAGEAdABlAHMAIABlAGEAYwBoACAAcgB1AG4AcwAgAGYAcgBvAG0AIAB0AGgAZQAgAGQAYQB5ACAAYQBmAHQAZQByACAAdABoAGUAtgAgACAAIAAgACAAIAAgACAAIAAgACAAIAAgACAAIACSIXAAcgBlAHYAaQBvAHUAcwAgAGQAYQB0AGUAIAB0AG8AIABpAHQAcwAgAG8AdwBuACwAIABhAG4AZAAgAHQAaABlACAAZgBpAHIAcwB0ACAAcABlAHIAaQBvAGQAIABpAHMAIAB0AGgAZQAgAG8AbgBlACAAaQBuAGYAZQByAHIAZQBkAC4AIABBALYAIAAgACAAIAAgACAAIAAgACAAIAAgACAAIAAgACAAkiFnAGEAcAAgAG8AZgAgADIAOAAgAGQAYQB5AHMAIABvAHIAIABtAG8AcgBlACAAaQBzACAAcgBlAGEAZAAgAGEAcwAgAHcAaABvAGwAZQAgAGMAYQBsAGUAbgBkAGEAcgAgAG0AbwBuAHQAaABzACwAIABhACAAcwBoAG8AcgB0AGUAcgAgAG8AbgBlALYAIAAgACAAIAAgACAAIAAgACAAIAAgACAAIAAgACAAkiFhAHMAIABkAGEAeQBzAC4AIAAzADAALwAzADYAMAAgAGMAbwB1AG4AdABzACAAZQB2AGUAcgB5ACAAbQBvAG4AdABoACAAYQBzACAAMwAwACAAZABhAHkAcwAgAG8AbgAgAHQAaABlACAARQB1AHIAbwBwAGUAYQBuACAAcgB1AGwAZQAuALYAIAAgACAAIAAgACAAIAAgACAAIAAgACAAIAAgACAAkiFVAG4AZABlAHIAIABBAGMAdAB1AGEAbAAvAEEAYwB0AHUAYQBsACAAZQBhAGMAaAAgAGMAYQBsAGUAbgBkAGEAcgAgAHkAZQBhAHIAIAB1AHMAZQBzACAAaQB0AHMAIABvAHcAbgAgAGwAZQBuAGcAdABoACAAYQBzACAAdABoAGUAtgAgACAAIAAgACAAIAAgACAAIAAgACAAIAAgACAAIACSIWQAZQBuAG8AbQBpAG4AYQB0AG8AcgAgACgAdABoAGUAIABJAFMARABBACAAcgB1AGwAZQApACwAIABpAG4AYwBsAHUAZABpAG4AZwAgAHAAZQByAGkAbwBkAHMAIABzAHAAYQBuAG4AaQBuAGcAIABzAGUAdgBlAHIAYQBsACAAeQBlAGEAcgBz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QAwACAAUwBlAHAAIAAyADAAMgA2ALYAXAAiACAAJgBcAG4AIAAgACAAIAAgACAAIAAgACAAIAAgACAAIAAgACAAIAAgACAAIAAgACAAIAAgACAAIAAgACAAIABcACIAUABBAFIAQQBNAEUAVABFAFIAUwA6ACAAIAAgACAAkiG2AFwAIgAgACYAXABuACAAIAAgACAAIAAgACAAIAAgACAAIAAgACAAIAAgACAAIAAgACAAIAAgACAAIAAgACAAIAAgACAAXAAiAFQAaQBtAGUAbABpAG4AZQAgACAAIAAgACAAIAAgAJIhKABSAGUAcQB1AGkAcgBlAGQAKQAgAEEAIAByAG8AdwAgAG8AcgAgAGMAbwBsAHUAbQBuACAAbwBmACAAcABlAHIAaQBvAGQAIABkAGEAdABlAHMALAAgAGEAdAAgAGwAZQBhAHMAdAAgAHQAdwBvACwAIABlAHYAZQBuAGwAeQAgAHMAcABhAGMAZQBkAC4AtgBcACIAIAAmAFwAbgAgACAAIAAgACAAIAAgACAAIAAgACAAIAAgACAAIAAgACAAIAAgACAAIAAgACAAIAAgACAAIAAgAFwAIgBBAFAAUgAgACAAIAAgACAAIAAgACAAIAAgACAAIACSISgAUgBlAHEAdQBpAHIAZQBkACkAIABBAG4AbgB1AGEAbAAgAHAAZQByAGMAZQBuAHQAYQBnAGUAIAByAGEAdABlACwAIABvAG4AZQAgAHYAYQBsAHUAZQAgAG8AcgAgAG8AbgBlACAAcABlAHIAIABwAGUAcgBpAG8AZAAuALYAXAAiACAAJgBcAG4AIAAgACAAIAAgACAAIAAgACAAIAAgACAAIAAgACAAIAAgACAAIAAgACAAIAAgACAAIAAgACAAIABcACIAQwBvAG4AdgBlAG4AdABpAG8AbgAgACAAIAAgACAAkiEoAE8AcAB0AGkAbwBuAGEAbAA6ACAARABlAGYAYQB1AGwAdAAgAD0AIAAzACkAIAAxACAAPQAgADMAMAAvADMANgAwACwAIAAyACAAPQAgAEEAYwB0AHUAYQBsAC8AMwA2ADAALAAgADMAIAA9ACAAQQBjAHQAdQBhAGwALwAzADYANQAsACAANAAgAD0AIABBAGMAdAB1AGEAbAAvAEEAYwB0AHUAYQBsAC4AIABBAG4AeQAgAG8AdABoAGUAcgAgAG4AdQBtAGIAZQByACAAaQBzACAAIwBWAEEATABVAEUAIQAuALYAXAAiACAAJgBcAG4AIAAgACAAIAAgACAAIAAgACAAIAAgACAAIAAgACAAIAAgACAAIAAgACAAIAAgACAAIAAgACAAIABcACIARQBuAGQARABhAHQAZQBzACAAIAAgACAAIAAgACAAkiEoAE8AcAB0AGkAbwBuAGEAbAA6ACAARABlAGYAYQB1AGwAdAAgAD0AIABGAEEATABTAEUAKQAgAFQAUgBVAEUALAAgAG8AcgAgAGEAIABuAHUAbQBiAGUAcgAgAG8AdABoAGUAcgAgAHQAaABhAG4AIAAwACwAIAB3AGgAZQBuACAAdABoAGUAIAB0AGkAbQBlAGwAaQBuAGUAIABzAGgAbwB3AHMAIABwAGUAcgBpAG8AZAAgAGUAbgBkACAAZABhAHQAZQBzACAAcgBhAHQAaABlAHIAIAB0AGgAYQBuACAAcwB0AGEAcgB0ACAAZABhAHQAZQ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ABhAHkAQwBvAHUAbgB0AFIAYQB0AGUAuwMoAEUARABBAFQARQAoAEQAQQBUAEUAKAAyADAAMgA2ACwANwAsADEAKQAsACAAewAwACwAMQAsADIAfQApACwAIAAwAC4AMAA3ADMAKQC2AFwAIgAgACYAXABuACAAIAAgACAAIAAgACAAIAAgACAAIAAgACAAIAAgACAAIAAgACAAIAAgACAAIAAgACAAIAAgACAAXAAiAJIhUgBlAHMAdQBsAHQAtgBcACIAIAAmAFwAbgAgACAAIAAgACAAIAAgACAAIAAgACAAIAAgACAAIAAgACAAIAAgACAAIAAgACAAIAAgACAAIAAgAFwAIgCSITAALgAwADAANgAyACwAIAAwAC4AMAAwADYAMgAsACAAMAAuADAAMAA2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QAaQBtAGUAbABpAG4AZQApACwAIABJAFMATwBNAEkAVABUAEUARAAoAEEAUABSACkAKQAsAFwAbgAgACAAIAAgAC8ALwAgACAAQQAgAGIAbABhAG4AawAgAGMAZQBsAGwAIABpAHMAIABuAG8AdAAgAGEAbgAgAG8AbQBpAHQAdABlAGQAIABhAHIAZwB1AG0AZQBuAHQALAAgAHMAbwAgAHQAZQBzAHQAIABmAG8AcgAgAGIAbwB0AGgAXABuACAAIAAgACAAIAAgACAAIABNAGUAdABoAG8AZAAsACAAIAAgACAAIAAgACAAIAAgAEkARgAoAE8AUgAoAEkAUwBPAE0ASQBUAFQARQBEACgAQwBvAG4AdgBlAG4AdABpAG8AbgApACwAIABOAE8AVAAoAEkAUwBOAFUATQBCAEUAUgAoAEMAbwBuAHYAZQBuAHQAaQBvAG4AKQApACkALAAgADMALAAgAEMAbwBuAHYAZQBuAHQAaQBvAG4AKQAsAFwAbgAgACAAIAAgACAAIAAgACAARQBuAGQARgBsAGEAZwAsACAAIAAgACAAIAAgACAAIABJAEYAKABJAFMATABPAEcASQBDAEEATAAoAEUAbgBkAEQAYQB0AGUAcwApACwAIABFAG4AZABEAGEAdABlAHMALAAgAEkARgAoAEkAUwBOAFUATQBCAEUAUgAoAEUAbgBkAEQAYQB0AGUAcwApACwAIABFAG4AZABEAGEAdABlAHMAIAA8AD4AIAAwACwAIABGAEEATABTAEUAKQApACwAXABuACAAIAAgACAALwAvACAAIABPAG4AZQAgAHQAaQBtAGUAbABpAG4AZQAgAGwAYQBpAGQAIABhAGwAbwBuAGcAIABhACAAcgBvAHcALAAgAHQAZQB4AHQAIABkAGEAdABlAHMAIAByAGUAYQBkACwAIABhAG4AZAAgAGEAIABjAG8AbAB1AG0AbgAgAG8AZgAgAHIAYQB0AGUAcwAgAGwAYQBpAGQAIAB0AGgAZQAgAHMAYQBtAGUAIAB3AGEAeQBcAG4AIAAgACAAIAAgACAAIAAgAFIAbwB3ACwAIAAgACAAIAAgACAAIAAgACAAIAAgACAASQBGACgAUgBPAFcAUwAoAFQAaQBtAGUAbABpAG4AZQApACAAPQAgADEALAAgAFQAaQBtAGUAbABpAG4AZQAsACAAVABSAEEATgBTAFAATwBTAEUAKABUAGkAbQBlAGwAaQBuAGUAKQApACwAXABuACAAIAAgACAAIAAgACAAIABEAGEAdABlAHMALAAgACAAIAAgACAAIAAgACAAIAAgAEkARgAoAEkAUwBOAFUATQBCAEUAUgAoAFIAbwB3ACkALAAgAFIAbwB3ACwAIABEAEEAVABFAFYAQQBMAFUARQAoAFIAbwB3ACkAKQAsAFwAbgAgACAAIAAgACAAIAAgACAAUgBhAHQAZQAsACAAIAAgACAAIAAgACAAIAAgACAAIABJAEYAKABSAE8AVwBTACgAQQBQAFIAKQAgAD0AIAAxACwAIABBAFAAUgAsACAAVABSAEEATgBTAFAATwBTAEUAKABBAFAAUgApACkALABcAG4AIAAgACAAIAAgACAAIAAgAEMAbwB1AG4AdAAsACAAIAAgACAAIAAgACAAIAAgACAAQwBPAEwAVQBNAE4AUwAoAEQAYQB0AGUAcwApACwAXABuACAAIAAgACAALwAvACAAIABUAGgAZQAgAHAAZQByAGkAbwBkACAAbABlAG4AZwB0AGgAIABpAHMAIAByAGUAYQBkACAAbwBmAGYAIAB0AGgAZQAgAGYAaQByAHMAdAAgAGcAYQBwACAAZgBvAHIAIAB0AGgAZQAgAGYAaQByAHMAdAAgAHAAZQByAGkAbwBkACAAYQBuAGQAIAB0AGgAZQAgAGwAYQBzAHQAIABnAGEAcABcAG4AIAAgACAAIAAvAC8AIAAgAGYAbwByACAAdABoAGUAIABsAGEAcwB0ACwAIABpAG4AIAB3AGgAbwBsAGUAIABtAG8AbgB0AGgAcwAgAGYAcgBvAG0AIAAyADgAIABkAGEAeQBzACAAdQBwACAAYQBuAGQAIABpAG4AIABkAGEAeQBzACAAYgBlAGwAbwB3ACAAdABoAGEAdAAuACAAQQAgAG0AbwBuAHQAaAAtAGUAbgBkAFwAbgAgACAAIAAgAC8ALwAgACAAZABhAHQAZQAgAHMAdABlAHAAcwAgAGIAYQBjAGsAIAB0AGgAcgBvAHUAZwBoACAARQBPAE0ATwBOAFQASAAsACAAYgBlAGMAYQB1AHMAZQAgAEUARABBAFQARQAoADIAOAAgAEYAZQBiACwAIAAtADEAKQAgAGkAcwAgADIAOAAgAEoAYQBuACwAIABuAG8AdAAgADMAMQAgAEoAYQBuAC4AXABuACAAIAAgACAAIAAgACAAIABGAGkAcgBzAHQARwBhAHAALAAgACAAIAAgACAAIAAgAEkATgBEAEUAWAAoAEQAYQB0AGUAcwAsACAAMQAsACAAMgApACAALQAgAEkATgBEAEUAWAAoAEQAYQB0AGUAcwAsACAAMQAsACAAMQApACwAXABuACAAIAAgACAAIAAgACAAIABMAGEAcwB0AEcAYQBwACwAIAAgACAAIAAgACAAIAAgAEkATgBEAEUAWAAoAEQAYQB0AGUAcwAsACAAMQAsACAAQwBvAHUAbgB0ACkAIAAtACAASQBOAEQARQBYACgARABhAHQAZQBzACwAIAAxACwAIABDAG8AdQBuAHQAIAAtACAAMQApACwAXABuACAAIAAgACAAIAAgACAAIABGAGkAcgBzAHQARABhAHQAZQAsACAAIAAgACAAIAAgAEkATgBEAEUAWAAoAEQAYQB0AGUAcwAsACAAMQAsACAAMQApACwAXABuACAAIAAgACAAIAAgACAAIABGAGkAcgBzAHQATQBvAG4AdABoAHMALAAgACAAIAAgAFIATwBVAE4ARAAoAEYAaQByAHMAdABHAGEAcAAgAC8AIAAzADAALgA1ACwAIAAwACkALABcAG4AIAAgACAAIAAgACAAIAAgAEYAaQByAHMAdABTAHQAYQByAHQALAAgACAAIAAgACAASQBGACgARgBpAHIAcwB0AEcAYQBwACAAPAAgADIAOAAsAFwAbgAgACAAIAAgACAAIAAgACAAIAAgACAAIAAgACAAIAAgACAAIAAgACAAIAAgACAAIAAgACAAIAAgAEYAaQByAHMAdABEAGEAdABlACAALQAgAEYAaQByAHMAdABHAGEAcAAsAFwAbgAgACAAIAAgACAAIAAgACAAIAAgACAAIAAgACAAIAAgACAAIAAgACAAIAAgACAAIAAgACAAIAAgAEkARgAoAEQAQQBZACgARgBpAHIAcwB0AEQAYQB0AGUAIAArACAAMQApACAAPQAgADEALABcAG4AIAAgACAAIAAgACAAIAAgACAAIAAgACAAIAAgACAAIAAgACAAIAAgACAAIAAgACAAIAAgACAAIAAgACAAIAAgAEUATwBNAE8ATgBUAEgAKABGAGkAcgBzAHQARABhAHQAZQAsACAALQBGAGkAcgBzAHQATQBvAG4AdABoAHMAKQAsAFwAbgAgACAAIAAgACAAIAAgACAAIAAgACAAIAAgACAAIAAgACAAIAAgACAAIAAgACAAIAAgACAAIAAgACAAIAAgACAARQBEAEEAVABFACgARgBpAHIAcwB0AEQAYQB0AGUALAAgAC0ARgBpAHIAcwB0AE0AbwBuAHQAaABzACkAKQApACAAKwAgADEALABcAG4AIAAgACAAIAAgACAAIAAgAEwAYQBzAHQARABhAHQAZQAsACAAIAAgACAAIAAgACAASQBOAEQARQBYACgARABhAHQAZQBzACwAIAAxACwAIABDAG8AdQBuAHQAKQAsAFwAbgAgACAAIAAgACAAIAAgACAATABhAHMAdABNAG8AbgB0AGgAcwAsACAAIAAgACAAIABSAE8AVQBOAEQAKABMAGEAcwB0AEcAYQBwACAALwAgADMAMAAuADUALAAgADAAKQAsAFwAbgAgACAAIAAgACAAIAAgACAATABhAHMAdABFAG4AZAAsACAAIAAgACAAIAAgACAAIABJAEYAKABMAGEAcwB0AEcAYQBwACAAPAAgADIAOAAsAFwAbgAgACAAIAAgACAAIAAgACAAIAAgACAAIAAgACAAIAAgACAAIAAgACAAIAAgACAAIAAgACAAIAAgAEwAYQBzAHQARABhAHQAZQAgACsAIABMAGEAcwB0AEcAYQBwACwAXABuACAAIAAgACAAIAAgACAAIAAgACAAIAAgACAAIAAgACAAIAAgACAAIAAgACAAIAAgACAAIAAgACAASQBGACgARABBAFkAKABMAGEAcwB0AEQAYQB0AGUAIAArACAAMQApACAAPQAgADEALABcAG4AIAAgACAAIAAgACAAIAAgACAAIAAgACAAIAAgACAAIAAgACAAIAAgACAAIAAgACAAIAAgACAAIAAgACAAIAAgAEUATwBNAE8ATgBUAEgAKABMAGEAcwB0AEQAYQB0AGUALAAgAEwAYQBzAHQATQBvAG4AdABoAHMAKQAsAFwAbgAgACAAIAAgACAAIAAgACAAIAAgACAAIAAgACAAIAAgACAAIAAgACAAIAAgACAAIAAgACAAIAAgACAAIAAgACAARQBEAEEAVABFACgATABhAHMAdABEAGEAdABlACwAIABMAGEAcwB0AE0AbwBuAHQAaABzACkAKQApACAALQAgADEALABcAG4AIAAgACAAIAAvAC8AIAAgAEUAdgBlAHIAeQAgAHAAZQByAGkAbwBkACAAcgB1AG4AcwAgAGYAcgBvAG0AIABpAHQAcwAgAHMAdABhAHIAdAAgAHQAbwAgAHQAaABlACAAZABhAHkAIABiAGUAZgBvAHIAZQAgAHQAaABlACAAbgBlAHgAdAAgAHMAdABhAHIAdABcAG4AIAAgACAAIAAgACAAIAAgAFMAdABhAHIAdABzACwAIAAgACAAIAAgACAAIAAgACAASQBGACgARQBuAGQARgBsAGEAZwAsACAASABTAFQAQQBDAEsAKABGAGkAcgBzAHQAUwB0AGEAcgB0ACwAIABEAFIATwBQACgARABhAHQAZQBzACwAIAAsACAALQAxACkAIAArACAAMQApACwAIABEAGEAdABlAHMAKQAsAFwAbgAgACAAIAAgACAAIAAgACAARQBuAGQAcwAsACAAIAAgACAAIAAgACAAIAAgACAAIABJAEYAKABFAG4AZABGAGwAYQBnACwAIABEAGEAdABlAHMALAAgAEgAUwBUAEEAQwBLACgARABSAE8AUAAoAEQAYQB0AGUAcwAsACAALAAgADEAKQAgAC0AIAAxACwAIABMAGEAcwB0AEUAbgBkACkAKQAsAFwAbgAgACAAIAAgACAAIAAgACAATgBlAHgAdAAsACAAIAAgACAAIAAgACAAIAAgACAAIABFAG4AZABzACAAKwAgADEALABcAG4AIAAgACAAIAAvAC8AIAAgADMAMAAvADMANgAwACAAbwBuACAAdABoAGUAIABFAHUAcgBvAHAAZQBhAG4AIAByAHUAbABlADoAIABhACAAMwAxAHMAdAAgAGMAbwB1AG4AdABzACAAYQBzACAAdABoAGUAIAAzADAAdABoACAAYQB0ACAAZQBpAHQAaABlAHIAIABlAG4AZABcAG4AIAAgACAAIAAgACAAIAAgAEQAYQB5AHMALAAgACAAIAAgACAAIAAgACAAIAAgACAASQBGACgATQBlAHQAaABvAGQAIAA9ACAAMQAsAFwAbgAgACAAIAAgACAAIAAgACAAIAAgACAAIAAgACAAIAAgACAAIAAgACAAIAAgACAAIAAgACAAIAAgADMANgAwACAAKgAgACgAWQBFAEEAUgAoAE4AZQB4AHQAKQAgAC0AIABZAEUAQQBSACgAUwB0AGEAcgB0AHMAKQApACAAKwAgADMAMAAgACoAIAAoAE0ATwBOAFQASAAoAE4AZQB4AHQAKQAgAC0AIABNAE8ATgBUAEgAKABTAHQAYQByAHQAcwApACkAXABuACAAIAAgACAAIAAgACAAIAAgACAAIAAgACAAIAAgACAAIAAgACAAIAAgACAAIAAgACAAIAAgACAAIAAgACAAIAArACAASQBGACgARABBAFkAKABOAGUAeAB0ACkAIAA+ACAAMwAwACwAIAAzADAALAAgAEQAQQBZACgATgBlAHgAdAApACkAIAAtACAASQBGACgARABBAFkAKABTAHQAYQByAHQAcwApACAAPgAgADMAMAAsACAAMwAwACwAIABEAEEAWQAoAFMAdABhAHIAdABzACkAKQAsAFwAbgAgACAAIAAgACAAIAAgACAAIAAgACAAIAAgACAAIAAgACAAIAAgACAAIAAgACAAIAAgACAAIAAgAE4AZQB4AHQAIAAtACAAUwB0AGEAcgB0AHMAKQAsAFwAbgAgACAAIAAgAC8ALwAgACAAQQBjAHQAdQBhAGwALwBBAGMAdAB1AGEAbAAgAGMAbwB1AG4AdABzACAAcABhAHIAdABpAGEAbAAgAGYAaQByAHMAdAAgAGEAbgBkACAAbABhAHMAdAAgAHkAZQBhAHIAcwAsACAAcABsAHUAcwAgAGEAbgB5ACAAdwBoAG8AbABlACAAeQBlAGEAcgBzACAAYgBlAHQAdwBlAGUAbgAuAFwAbgAgACAAIAAgAC8ALwAgACAASQBGACAAcgBhAHQAaABlAHIAIAB0AGgAYQBuACAATQBJAE4ALAAgAGIAZQBjAGEAdQBzAGUAIABNAEkATgAgAHcAbwB1AGwAZAAgAGMAbwBsAGwAYQBwAHMAZQAgAHQAaABlACAAcgBvAHcAIAB0AG8AIABvAG4AZQAgAHYAYQBsAHUAZQAuAFwAbgAgACAAIAAgACAAIAAgACAAWQBlAGEAcgBPAG4AZQAsACAAIAAgACAAIAAgACAAIABZAEUAQQBSACgAUwB0AGEAcgB0AHMAKQAsAFwAbgAgACAAIAAgACAAIAAgACAAQgBvAHUAbgBkAGEAcgB5ACwAIAAgACAAIAAgACAAIABEAEEAVABFACgAWQBlAGEAcgBPAG4AZQAgACsAIAAxACwAIAAxACwAIAAxACkALABcAG4AIAAgACAAIAAgACAAIAAgAFMAcABsAGkAdAAsACAAIAAgACAAIAAgACAAIAAgACAASQBGACgATgBlAHgAdAAgADwAIABCAG8AdQBuAGQAYQByAHkALAAgAE4AZQB4AHQALAAgAEIAbwB1AG4AZABhAHIAeQApACwAXABuACAAIAAgACAAIAAgACAAIABEAGEAeQBzAE8AbgBlACwAIAAgACAAIAAgACAAIAAgAEkARgAoAEQAQQBZACgARABBAFQARQAoAFkAZQBhAHIATwBuAGUALAAgADIALAAgADIAOQApACkAIAA9ACAAMgA5ACwAIAAzADYANgAsACAAMwA2ADUAKQAsAFwAbgAgACAAIAAgACAAIAAgACAAWQBlAGEAcgBMAGEAcwB0ACwAIAAgACAAIAAgACAAIABZAEUAQQBSACgATgBlAHgAdAApACwAXABuACAAIAAgACAAIAAgACAAIABMAGEAcwB0AFkAZQBhAHIAUwB0AGEAcgB0ACwAIAAgAEQAQQBUAEUAKABZAGUAYQByAEwAYQBzAHQALAAgADEALAAgADEAKQAsAFwAbgAgACAAIAAgACAAIAAgACAARABhAHkAcwBMAGEAcwB0ACwAIAAgACAAIAAgACAAIABEAEEAVABFACgAWQBlAGEAcgBMAGEAcwB0ACAAKwAgADEALAAgADEALAAgADEAKQAgAC0AIABMAGEAcwB0AFkAZQBhAHIAUwB0AGEAcgB0ACwAXABuACAAIAAgACAAIAAgACAAIABGAHIAYQBjAHQAaQBvAG4ALAAgACAAIAAgACAAIAAgAFMAVwBJAFQAQwBIACgATQBlAHQAaABvAGQALABcAG4AIAAgACAAIAAgACAAIAAgACAAIAAgACAAIAAgACAAIAAgACAAIAAgACAAIAAgACAAIAAgACAAIAAxACwAIABEAGEAeQBzACAALwAgADMANgAwACwAXABuACAAIAAgACAAIAAgACAAIAAgACAAIAAgACAAIAAgACAAIAAgACAAIAAgACAAIAAgACAAIAAgACAAMgAsACAARABhAHkAcwAgAC8AIAAzADYAMAAsAFwAbgAgACAAIAAgACAAIAAgACAAIAAgACAAIAAgACAAIAAgACAAIAAgACAAIAAgACAAIAAgACAAIAAgADQALAAgACgAUwBwAGwAaQB0ACAALQAgAFMAdABhAHIAdABzACkAIAAvACAARABhAHkAcwBPAG4AZQAgACsAIABJAEYAKABZAGUAYQByAEwAYQBzAHQAIAA+ACAAWQBlAGEAcgBPAG4AZQAsAFwAbgAgACAAIAAgACAAIAAgACAAIAAgACAAIAAgACAAIAAgACAAIAAgACAAIAAgACAAIAAgACAAIAAgACAAIAAgACAAWQBlAGEAcgBMAGEAcwB0ACAALQAgAFkAZQBhAHIATwBuAGUAIAAtACAAMQAgACsAIAAoAE4AZQB4AHQAIAAtACAATABhAHMAdABZAGUAYQByAFMAdABhAHIAdAApACAALwAgAEQAYQB5AHMATABhAHMAdAAsACAAMAApACwAXABuACAAIAAgACAAIAAgACAAIAAgACAAIAAgACAAIAAgACAAIAAgACAAIAAgACAAIAAgACAAIAAgACAARABhAHkAcwAgAC8AIAAzADYANQApACwAXABuACAAIAAgACAAIAAgACAAIABSAGEAdABlAHMALAAgACAAIAAgACAAIAAgACAAIAAgAFIAYQB0AGUAIAAqACAARgByAGEAYwB0AGkAbwBuACwAXABuACAAIAAgACAAIAAgACAAIABSAGUAcwB1AGwAdAAsACAAIAAgACAAIAAgACAAIAAgAEkARgAoAE8AUgAoAEMAbwB1AG4AdAAgADwAIAAyACwAIABOAE8AVAAoAE8AUgAoAE0AZQB0AGgAbwBkACAAPQAgAHsAMQAsADIALAAzACwANAB9ACkAKQApACwAIAAjAFYAQQBMAFUARQAhACwAIABSAGEAdABlAHM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FIAYQB0AGkAbwBzACIALAAiAHQAZQB4AHQAIgA6ACIALwAqACAAIABNAG8AZAB1AGwAZQAgAEMAbwBuAHQAYQBpAG4AcwAgAGEAIABsAGkAYgByAGEAcgB5ACAAbwBmACAARgBpAG4AYQBuAGMAaQBhAGwAIABSAGEAdABpAG8AcwAgACoALwBcAG4AXABuAC8AKgAgACAARgBVAE4AQwBUAEkATwBOACAATgBBAE0ARQA6ACAAIABBAGIAbwB1AHQAUgBhAHQAaQBvAHMAuwNcAG4AIAAgACAAIABEAEUAUwBDAFIASQBQAFQASQBPAE4AOgAqAC8ALwAqACoARABpAHMAcABsAGEAeQBzACAAdABoAGkAcwAgAG0AbwBkAHUAbABlACcAcwAgAHIAZQBwAG8AcwBpAHQAbwByAHkAIABVAFIATAAgAGEAbgBkACAAZgB1AG4AYwB0AGkAbwBuACAAbABpAHMAdAAqAC8AXABuAEEAYgBvAHUAdABSAGEAdABpAG8AcwC7AyAAPQAgAFQAUgBJAE0AKABcAG4AIAAgACAAIABUAEUAWABUAFMAUABMAEkAVAAoAFwAbgAgACAAIAAgACAAIAAgACAAXAAiAEEAYgBvAHUAdAA6ACAAIAAgACAAIAAgACAAIAAgACAAIAAgACAAIAAgACAAIAAgACAAIAAgAJIhQQAgAGwAaQBiAHIAYQByAHkAIABvAGYAIABGAGkAbgBhAG4AYwBpAGEAbAAgAFIAYQB0AGkAbwBzALYAXAAiACAAJgBcAG4AIAAgACAAIAAgACAAIAAgAFwAIgBWAGUAcgBzAGkAbwBuADoAIAAgACAAIAAgACAAIAAgACAAIAAgACAAIAAgACAAIAAgACAAIACSITIAMAAgAEEAdQBnACAAMgAwADIANgC2AFwAIgAgACYAXABuACAAIAAgACAAIAAgACAAIABcACIAUgBlAHAAbwBzAGkAdABvAHIAeQA6ACAAIAAgACAAIAAgACAAIAAgACAAIAAgACAAIAAgACAAIAAgAJIhaAB0AHQAcABzADoALwAvAGcAaQB0AGgAdQBiAC4AYwBvAG0ALwByAHkAYQBuAGQAdQBnAHUAaQBkAC8ATwB6AHoAaQB0ACAAtgBcACIAIAAmAFwAbgAgACAAIAAgACAAIAAgACAAXAAiAE4AbwB0AGUAcwA6ACAAIAAgACAAIAAgACAAIAAgACAAIAAgACAAIAAgACAAIAAgACAAIAAgAJIhUwBvAHUAcgBjAGUAcwAgAGkAbgBjAGwAdQBkAGUAIABJAG4AdgBlAHMAdABvAHAAZQBkAGkAYQAuAGMAbwBtACwAIABDAG8AcgBwAG8AcgBhAHQAZQAgAEYAaQBuAGEAbgBjAGUAIABhAG4AZAAgAFcAYQBsAGwAUwB0AHIAZQBlAHQAUAByAGUAcAAuAGMAbwBtAC4AtgBcACIAIAAmAFwAbgAgACAAIAAgACAAIAAgACAAIAAgACAAIAAgACAAIAAgACAAIAAgACAAIAAgACAAIAAgACAAIAAgACAAIAAgACAAIAAgACAAXAAiAJIhQwBvAHAAeQByAGkAZwBoAHQAIABhAHAAcABsAGkAZQBzACAAdABvACAATABBAE0AQgBEAEEAIABjAG8AZABpAG4AZwC2AFwAIgAgACYAXABuACAAIAAgACAAIAAgACAAIABcACIAkiG2AFwAIgAgACYAIABcAG4AIAAgACAAIAAgACAAIAAgAFwAIgBGAHUAbgBjAHQAaQBvAG4AIAAgACAAIAAgACAAIAAgACAAIAAgACAAIAAgACAAIAAgACAAIACSIUQAZQBzAGMAcgBpAHAAdABpAG8AbgC2AFwAIgAgACYAIABcAG4AIAAgACAAIAAgACAAIAAgAFwAIgBBAGIAbwB1AHQAUgBhAHQAaQBvAHMAuwMgACAAIAAgACAAIAAgACAAIAAgACAAIAAgACAAIAAgACAAIAAgACAAIACSIVAAcgBvAGQAdQBjAGUAcwAgAHQAaABpAHMAIAB0AGEAYgBsAGUAtgBcACIAIAAmAFwAbgAgACAAIAAgACAAIAAgACAAXAAiAJIhtgBcACIAIAAmACAAXABuACAAIAAgACAAIAAgACAAIABcACIATABpAHEAdQBpAGQAaQB0AHkAIABSAGEAdABpAG8AcwCSIbYAXAAiACAAJgBcAG4AIAAgACAAIAAgACAAIAAgAFwAIgBDAHUAcgByAGUAbgB0AFIAYQB0AGkAbwC7AyAAIAAgACAAIAAgACAAIAAgACAAIAAgACAAIACSIU0AZQBhAHMAdQByAGUAcwAgAGEAYgBpAGwAaQB0AHkAIAB0AG8AIABwAGEAeQAgAHMAaABvAHIAdAAtAHQAZQByAG0AIABvAGIAbABpAGcAYQB0AGkAbwBuAHMAtgBcACIAIAAmAFwAbgAgACAAIAAgACAAIAAgACAAXAAiAFEAdQBpAGMAawBSAGEAdABpAG8AuwMgACAAIAAgACAAIAAgACAAIAAgACAAIAAgACAAIAAgAJIhTQBlAGEAcwB1AHIAZQBzACAAYQBiAGkAbABpAHQAeQAgAHQAbwAgAG0AZQBlAHQAIABzAGgAbwByAHQALQB0AGUAcgBtACAAbwBiAGwAaQBnAGEAdABpAG8AbgBzALYAXAAiACAAJgBcAG4AIAAgACAAIAAgACAAIAAgAFwAIgBDAGEAcwBoAFIAYQB0AGkAbwC7AyAAIAAgACAAIAAgACAAIAAgACAAIAAgACAAIAAgACAAIACSIUUAdgBhAGwAdQBhAHQAZQBzACAAYQBiAGkAbABpAHQAeQAgAHQAbwAgAHIAZQBwAGEAeQAgAHMAaABvAHIAdAAtAHQAZQByAG0AIABkAGUAYgB0ACAAdwAvAGMAYQBzAGgAIABvAHIAIABuAGUAYQByAC0AYwBhAHMAaAAgAHIAZQBzAG8AdQByAGMAZQBzALYAXAAiACAAJgBcAG4AIAAgACAAIAAgACAAIAAgAFwAIgBPAHAAZQByAGEAdABpAG4AZwBDAGEAcwBoAEYAbABvAHcAUgBhAHQAaQBvALsDIAAgACAAIACSIU0AZQBhAHMAdQByAGUAcwAgAGgAbwB3ACAAcgBlAGEAZABpAGwAeQAgAGMAdQByAHIAZQBuAHQAIABsAGkAYQBiAGkAbABpAHQAaQBlAHMAIABhAHIAZQAgAGMAbwB2AGUAcgBlAGQAIABiAHkAIABjAGEAcwBoACAAZgBsAG8AdwBzACAAZwBlAG4AZQByAGEAdABlAGQAIABmAHIAbwBtACAAbwBwAGUAcgBhAHQAaQBvAG4AcwAuACAAtgBcACIAIAAmAFwAbgAgACAAIAAgACAAIAAgACAAXAAiAFIAZQBjAGUAaQB2AGEAYgBsAGUAcwBUAHUAcgBuAG8AdgBlAHIAUgBhAHQAaQBvALsDIAAgAJIhSQBuAGQAaQBjAGEAdABlAHMAIABlAGYAZgBlAGMAdABpAHYAZQBuAGUAcwBzACAAaQBuACAAYwBvAGwAbABlAGMAdABpAG4AZwAgAG8AdQB0AHMAdABhAG4AZABpAG4AZwAgAGIAYQBsAGEAbgBjAGUAcwAgAGYAcgBvAG0AIABjAGwAaQBlAG4AdABzACAAYQBuAGQAIABtAGEAbgBhAGcAaQBuAGcAIABsAGkAbgBlACAAbwBmACAAYwByAGUAZABpAHQAIABwAHIAbwBjAGUAcwBzALYAXAAiACAAJgBcAG4AIAAgACAAIAAgACAAIAAgAFwAIgBJAG4AdgBlAG4AdABvAHIAeQBUAHUAcgBuAG8AdgBlAHIAUgBhAHQAaQBvALsDIAAgACAAIACSIVMAaABvAHcAcwAgAGgAbwB3ACAAbQBhAG4AeQAgAHQAaQBtAGUAcwAgAGEAIABjAG8AbQBwAGEAbgB5ACAAdAB1AHIAbgBlAGQAIABvAHYAZQByACAAaQB0AHMAIABpAG4AdgBlAG4AdABvAHIAeQAgAHIAZQBsAGEAdABpAHYAZQAgACAAdABvACAAaQB0AHMAIABjAG8AcwB0ACAAbwBmACAAZwBvAG8AZABzACAAcwBvAGwAZAC2AFwAIgAgACYAXABuACAAIAAgACAAIAAgACAAIABcACIAVwBvAHIAawBpAG4AZwBDAGEAcABpAHQAYQBsAFQAdQByAG4AbwB2AGUAcgBSAGEAdABpAG8AuwOSIVcAbwByAGsAaQBuAGcAIABDAGEAcABpAHQAYQBsACAAVAB1AHIAbgBvAHYAZQByACAAUgBhAHQAaQBvACAAbQBlAGEAcwB1AHIAZQBzACAAaABvAHcAIABlAGYAZgBpAGMAaQBlAG4AdABsAHkAIABhACAAYwBvAG0AcABhAG4AeQAgAGkAcwAgAHUAcwBpAG4AZwAgAGkAdABzACAAdwBvAHIAawBpAG4AZwAgAGMAYQBwAGkAdABhAGwAIAB0AG8AIABzAHUAcABwAG8AcgB0ACAAcwBhAGwAZQBzACAAYQBuAGQAIABnAHIAbwB3AHQAaAC2AFwAIgAgACYAXABuACAAIAAgACAAIAAgACAAIABcACIAkiG2AFwAIgAgACYAIABcAG4AIAAgACAAIAAgACAAIAAgAFwAIgBMAGUAdgBlAHIAYQBnAGUAIABSAGEAdABpAG8AcwCSIbYAXAAiACAAJgBcAG4AIAAgACAAIAAgACAAIAAgAFwAIgBEAGUAYgB0AFIAYQB0AGkAbwC7AyAAIAAgACAAIAAgACAAIAAgACAAIAAgACAAIAAgACAAIACSIU0AZQBhAHMAdQByAGUAcwAgAHQAaABlACAAZQB4AHQAZQBuAHQAIABvAGYAIABhACAAYwBvAG0AcABhAG4AeQAnAHMAIABsAGUAdgBlAHIAYQBnAGUAtgBcACIAIAAmAFwAbgAgACAAIAAgACAAIAAgACAAXAAiAEQAUwBDAFIAuwMgACAAIAAgACAAIAAgACAAIAAgACAAIAAgACAAIAAgACAAIAAgACAAIAAgAJIhRABlAGIAdAAgAHMAZQByAHYAaQBjAGUAIABjAG8AdgBlAHIAYQBnAGUAIABSAGEAdABpAG8AIABtAGUAYQBzAHUAcgBlAHMAIABhACAAZgBpAHIAbQAZIHMAIABhAHYAYQBpAGwAYQBiAGwAZQAgAGMAYQBzAGgAIABmAGwAbwB3ACAAdABvACAAcABhAHkAIABpAHQAcwAgAGMAdQByAHIAZQBuAHQAIABkAGUAYgB0ACAAbwBiAGwAaQBnAGEAdABpAG8AbgBzALYAXAAiACAAJgBcAG4AIAAgACAAIAAgACAAIAAgAFwAIgBEAGUAYgB0AFQAbwBDAGEAcABpAHQAYQBsAFIAYQB0AGkAbwC7AyAAIAAgACAAIAAgACAAIACSIUcAaQB2AGUAcwAgAGEAbgBhAGwAeQBzAHQAcwAgAGEAbgBkACAAaQBuAHYAZQBzAHQAbwByAHMAIABhACAAYgBlAHQAdABlAHIAIABpAGQAZQBhACAAbwBmACAAYQAgAGMAbwBtAHAAYQBuAHkAJwBzACAAZgBpAG4AYQBuAGMAaQBhAGwAIABzAHQAcgB1AGMAdAB1AHIAZQAgAGEAbgBkACAAdwBoAGUAdABoAGUAcgAgAG8AcgAgAG4AbwB0ACAAdABoAGUAIABjAG8AbQBwAGEAbgB5ACAAaQBzACAAYQAgAHMAdQBpAHQAYQBiAGwAZQAgAGkAbgB2AGUAcwB0AG0AZQBuAHQAtgBcACIAIAAmAFwAbgAgACAAIAAgACAAIAAgACAAXAAiAEUAcQB1AGkAdAB5AE0AdQBsAHQAaQBwAGwAaQBlAHIAuwMgACAAIAAgACAAIAAgACAAIAAgAJIhTQBlAGEAcwB1AHIAZQBzACAAdABoAGUAIABwAG8AcgB0AGkAbwBuACAAbwBmACAAYQAgAGMAbwBtAHAAYQBuAHkAGSBzACAAYQBzAHMAZQB0AHMAIABmAGkAbgBhAG4AYwBlAGQAIABiAHkAIABzAGgAYQByAGUAaABvAGwAZABlAHIAcwAnAGUAcQB1AGkAdAB5ACAAcgBhAHQAaABlAHIAIAB0AGgAYQBuACAAYgB5ACAAZABlAGIAdAC2AFwAIgAgACYAXABuACAAIAAgACAAIAAgACAAIABcACIAkiG2AFwAIgAgACYAIABcAG4AIAAgACAAIAAgACAAIAAgAFwAIgBTAG8AbAB2AGUAbgBjAHkAIABSAGEAdABpAG8AcwCSIbYAXAAiACAAJgBcAG4AIAAgACAAIAAgACAAIAAgAFwAIgBEAGUAYgB0AFQAbwBFAHEAdQBpAHQAeQBSAGEAdABpAG8AuwMgACAAIAAgACAAIAAgACAAIACSIU0AZQBhAHMAdQByAGUAcwAgAHQAaABlACAAZABlAGcAcgBlAGUAIAB0AG8AIAB3AGgAaQBjAGgAIABhACAAYwBvAG0AcABhAG4AeQAgAGkAcwAgAGYAaQBuAGEAbgBjAGkAbgBnACAAbwBwAGUAcgBhAHQAaQBvAG4AcwAgAHcAaQB0AGgAIABkAGUAYgB0ACAAcgBhAHQAaABlAHIAIAB0AGgAYQBuACAAaQB0AHMAIABvAHcAbgAgAHIAZQBzAG8AdQByAGMAZQBzAC4AtgBcACIAIAAmAFwAbgAgACAAIAAgACAAIAAgACAAXAAiAEQAZQBiAHQAVABvAEEAcwBzAGUAdABSAGEAdABpAG8AuwMgACAAIAAgACAAIAAgACAAIAAgAJIhQQBuAGEAbAB5AHMAdABzACAAYwBhAG4AIABjAG8AbQBwAGEAcgBlACAAbwBuAGUAIABjAG8AbQBwAGEAbgB5ACcAcwAgAGwAZQB2AGUAcgBhAGcAZQAgAHcAaQB0AGgAIAB0AGgAYQB0ACAAbwBmACAAbwB0AGgAZQByACAAYwBvAG0AcABhAG4AaQBlAHMAIABpAG4AIAB0AGgAZQAgAHMAYQBtAGUAIABpAG4AZAB1AHMAdAByAHkALgC2AFwAIgAgACYAXABuACAAIAAgACAAIAAgACAAIABcACIASQBuAHQAZQByAGUAcwB0AEMAbwB2AGUAcgBhAGcAZQBSAGEAdABpAG8AuwMgACAAIAAgACAAkiFEAGUAdABlAHIAbQBpAG4AZQBzACAAaABvAHcAIABlAGEAcwBpAGwAeQAgAGEAIABjAG8AbQBwAGEAbgB5ACAAYwBhAG4AIABwAGEAeQAgAGkAbgB0AGUAcgBlAHMAdAAgAG8AbgAgAGkAdABzACAAbwB1AHQAcwB0AGEAbgBkAGkAbgBnACAAZABlAGIAdAC2AFwAIgAgACYAXABuACAAIAAgACAAIAAgACAAIABcACIARQBxAHUAaQB0AHkAUgBhAHQAaQBvALsDIAAgACAAIAAgACAAIAAgACAAIAAgACAAIAAgACAAkiFNAGUAYQBzAHUAcgBlAHMAIAB0AGgAZQAgAGwAbwBuAGcALQB0AGUAcgBtACAAcwBvAGwAdgBlAG4AYwB5ACAAbwBmACAAYQAgAGMAbwBtAHAAYQBuAHkAIABiAHkAIABjAG8AbQBwAGEAcgBpAG4AZwAgAGkAdABzACAAcwBoAGEAcgBlAGgAbwBsAGQAZQByAHMAGSAgAGUAcQB1AGkAdAB5ACAAdABvACAAaQB0AHMAIAB0AG8AdABhAGwAIABhAHMAcwBlAHQAcwC2AFwAIgAgACYAXABuACAAIAAgACAAIAAgACAAIABcACIAkiG2AFwAIgAgACYAIABcAG4AIAAgACAAIAAgACAAIAAgAFwAIgBFAGYAZgBpAGMAaQBlAG4AYwB5ACAAUgBhAHQAaQBvAHMAkiG2AFwAIgAgACYAXABuACAAIAAgACAAIAAgACAAIABcACIAQQBzAHMAZQB0AFQAdQByAG4AbwB2AGUAcgBSAGEAdABpAG8AuwMgACAAIAAgACA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FwAIgBEAFMASQC7AyAAIAAgACAAIAAgACAAIAAgACAAIAAgACAAIAAgACAAIAAgACAAIAAgACAAIACSIUQAYQB5AHMAIABTAGEAbABlAHMAIABpAG4AIABJAG4AdgBlAG4AdABvAHIAeQAgAFIAYQB0AGkAbwAgACgAYQBrAGEAIABBAHYAZQByAGEAZwBlACAAYQBnAGUAIABvAGYAIABpAG4AdgBlAG4AdABvAHIAeQAgAGkAbgBkAGkAYwBhAHQAZQBzACAAdABoAGUAIABhAHYAZQByAGEAZwBlACAAdABpAG0AZQAgAGkAbgAgAGQAYQB5AHMAIAB0AGgAYQB0ACAAYQAgAGMAbwBtAHAAYQBuAHkAIAB0AGEAawBlAHMAIAB0AG8AIAB0AHUAcgBuACAAaQB0AHMAIABpAG4AdgBlAG4AdABvAHIAeQC2AFwAIgAgACYAXABuACAAIAAgACAAIAAgACAAIABcACIATwBwAGUAcgBhAHQAaQBuAGcAUgBhAHQAaQBvALsDIAAgACAAIAAgACAAIAAgACAAIAAgACAAkiFTAGgAbwB3AHMAIABoAG8AdwAgAGUAZgBmAGkAYwBpAGUAbgB0ACAAbQBhAG4AYQBnAGUAbQBlAG4AdAAgAGkAcwAgAGEAdAAgAGsAZQBlAHAAaQBuAGcAIABjAG8AcwB0AHMAIABsAG8AdwAgAHcAaABpAGwAZQAgAGcAZQBuAGUAcgBhAHQAaQBuAGcAIAByAGUAdgBlAG4AdQBlALYAXAAiACAAJgBcAG4AIAAgACAAIAAgACAAIAAgAFwAIgBSAGUAYwBlAGkAdgBhAGIAbABlAEQAYQB5AHMAuwMgACAAIAAgACAAIAAgACAAIAAgACAAIACSIVIAZQBjAGUAaQB2AGEAYgBsAGUAIABkAGEAeQBzACAAKABEAFMATwApADoAIAByAGUAYwBlAGkAdgBhAGIAbABlAHMAIABhAHMAIABkAGEAeQBzACAAbwBmACAAcwBhAGwAZQBzALYAXAAiACAAJgBcAG4AIAAgACAAIAAgACAAIAAgAFwAIgBQAGEAeQBhAGIAbABlAEQAYQB5AHMAuwMgACAAIAAgACAAIAAgACAAIAAgACAAIAAgACAAIACSIVAAYQB5AGEAYgBsAGUAIABkAGEAeQBzACAAKABEAFAATwApADoAIABwAGEAeQBhAGIAbABlAHMAIABhAHMAIABkAGEAeQBzACAAbwBmACAAcAB1AHIAYwBoAGEAcwBlAHMAtgBcACIAIAAmAFwAbgAgACAAIAAgACAAIAAgACAAXAAiAFcASQBQAEQAYQB5AHMAuwMgACAAIAAgACAAIAAgACAAIAAgACAAIAAgACAAIAAgACAAIAAgAJIhVwBvAHIAawAgAGkAbgAgAHAAcgBvAGcAcgBlAHMAcwAgAGQAYQB5AHMAOgAgAFcASQBQACAAYQBzACAAZABhAHkAcwAgAG8AZgAgAHIAZQBsAGEAdABlAGQAIAByAGUAdgBlAG4AdQBlACAAbwByACAAYwBvAHMAdAC2AFwAIgAgACYAXABuACAAIAAgACAAIAAgACAAIABcACIAQwBhAHMAaABDAG8AbgB2AGUAcgBzAGkAbwBuAEMAeQBjAGwAZQC7AyAAIAAgACAAIAAgACAAkiFDAGEAcwBoACAAYwBvAG4AdgBlAHIAcwBpAG8AbgAgAGMAeQBjAGwAZQA6ACAAaQBuAHYAZQBuAHQAbwByAHkALAAgAFcASQBQACAAYQBuAGQAIAByAGUAYwBlAGkAdgBhAGIAbABlACAAZABhAHkAcwAgAGwAZQBzAHMAIABwAGEAeQBhAGIAbABlACAAZABhAHkAcwC2AFwAIgAgACYAXABuACAAIAAgACAAIAAgACAAIABcACIAkiG2AFwAIgAgACYAIABcAG4AIAAgACAAIAAgACAAIAAgAFwAIgBQAHIAbwBmAGkAdABhAGIAaQBsAGkAdAB5ACAATQBhAHIAZwBpAG4AcwAgACYAIABSAGEAdABpAG8AcwCSIbYAXAAiACAAJgBcAG4AIAAgACAAIAAgACAAIAAgAFwAIgBHAHIAbwBzAHMATQBhAHIAZwBpAG4AuwMgACAAIAAgACAAIAAgACAAIAAgACAAIAAgACAAIACSIVMAaABvAHcAcwAgAGgAbwB3ACAAbQB1AGMAaAAgAHAAcgBvAGYAaQB0ACAAYQAgAGMAbwBtAHAAYQBuAHkAIABtAGEAawBlAHMAIABhAGYAdABlAHIAIABwAGEAeQBpAG4AZwAgAG8AZgBmACAAaQB0AHMAIABDAG8AcwB0ACAAbwBmACAARwBvAG8AZABzACAAUwBvAGwAZAC2AFwAIgAgACYAXABuACAAIAAgACAAIAAgACAAIABcACIARQBCAEkAVABEAEEATQBhAHIAZwBpAG4AuwMgACAAIAAgACAAIAAgACAAIAAgACAAIAAgACAAkiFNAGUAYQBzAHUAcgBlAHMAIABhACAAYwBvAG0AcABhAG4AeQAnAHMAIABvAHAAZQByAGEAdABpAG4AZwAgAHAAcgBvAGYAaQB0ACAAYQBzACAAYQAgAHAAZQByAGMAZQBuAHQAYQBnAGUAIABvAGYAIABpAHQAcwAgAHIAZQB2AGUAbgB1AGUAtgBcACIAIAAmAFwAbgAgACAAIAAgACAAIAAgACAAXAAiAE8AcABlAHIAYQB0AGkAbgBnAE0AYQByAGcAaQBuALsDIAAgACAAIAAgACAAIAAgACAAIAAgAJIhTQBlAGEAcwB1AHIAZQBzACAAaABvAHcAIABtAHUAYwBoACAAcAByAG8AZgBpAHQAIABhACAAYwBvAG0AcABhAG4AeQAgAG0AYQBrAGUAcwAgAG8AbgAgAGEAIABkAG8AbABsAGEAcgAgAG8AZgAgAHMAYQBsAGUAcwAgAGEAZgB0AGUAcgAgAHAAYQB5AGkAbgBnACAAZgBvAHIAIAB2AGEAcgBpAGEAYgBsAGUAIABjAG8AcwB0AHMAIABvAGYAIABwAHIAbwBkAHUAYwB0AGkAbwBuACwAIABzAHUAYwBoACAAYQBzACAAdwBhAGcAZQBzACAAYQBuAGQAIAByAGEAdwAgAG0AYQB0AGUAcgBpAGEAbABzACwAIABiAHUAdAAgAGIAZQBmAG8AcgBlACAAcABhAHkAaQBuAGcAIABpAG4AdABlAHIAZQBzAHQAIABvAHIAIAB0AGEAeAC2AFwAIgAgACYAXABuACAAIAAgACAAIAAgACAAIABcACIAUAByAGUAdABhAHgATQBhAHIAZwBpAG4AuwMgACAAIAAgACAAIAAgACAAIAAgACAAIAAgACAAkiFNAGUAYQBzAHUAcgBlAHMAIAB0AGgAZQAgAG8AcABlAHIAYQB0AGkAbgBnACAAZQBmAGYAaQBjAGkAZQBuAGMAeQAgAG8AZgAgAGEAIABjAG8AbQBwAGEAbgB5ACAAtgBcACIAIAAmAFwAbgAgACAAIAAgACAAIAAgACAAXAAiAE4AZQB0AFAAcgBvAGYAaQB0AE0AYQByAGcAaQBuALsDIAAgACAAIAAgACAAIAAgACAAIAAgAJIhTQBlAGEAcwB1AHIAZQBzACAAaABvAHcAIABtAHUAYwBoACAAbgBlAHQAIABpAG4AYwBvAG0AZQAgAG8AcgAgAHAAcgBvAGYAaQB0ACAAYQAgAGMAbwBtAHAAYQBuAHkAIABnAGUAbgBlAHIAYQB0AGUAcwAgAGEAcwAgAGEAIABwAGUAcgBjAGUAbgB0AGEAZwBlACAAbwBmACAAaQB0AHMAIAByAGUAdgBlAG4AdQBlAC4AtgBcACIAIAAmAFwAbgAgACAAIAAgACAAIAAgACAAXAAiAEMAYQBzAGgARgBsAG8AdwBNAGEAcgBnAGkAbgC7AyAAIAAgACAAIAAgACAAIAAgACAAIAAgAJIhQwBhAHMAaAAgAEYAbABvAHcAIABNAGEAcgBnAGkAbgAgAGkAcwAgAGEAIAB0AHIAdQBzAHQAZQBkACAAbQBlAHQAcgBpAGMAIABvAGYAIABhACAAYwBvAG0AcABhAG4AeQAZIHMAIABwAHIAbwBmAGkAdABhAGIAaQBsAGkAdAB5ACAAYQBuAGQAIABlAGYAZgBpAGMAaQBlAG4AYwB5ACAAYQBuAGQAIABpAHQAcwAgAGUAYQByAG4AaQBuAGcAcwAgAHEAdQBhAGwAaQB0AHkAtgBcACIAIAAmAFwAbgAgACAAIAAgACAAIAAgACAAXAAiAFIATwBBALsDIAAgACAAIAAgACAAIAAgACAAIAAgACAAIAAgACAAIAAgACAAIAAgACAAIAAgAJIhKgBSAGUAdAB1AHIAbgAgAG8AbgAgAEEAcwBzAGUAdABzACAASQBuAGQAaQBjAGEAdABlAHMAIABoAG8AdwAgAHAAcgBvAGYAaQB0AGEAYgBsAGUAIABhACAAYwBvAG0AcABhAG4AeQAgAGkAcwAgAGkAbgAgAHIAZQBsAGEAdABpAG8AbgAgAHQAbwAgAGkAdABzACAAdABvAHQAYQBsACAAYQBzAHMAZQB0AHMAtgBcACIAIAAmAFwAbgAgACAAIAAgACAAIAAgACAAXAAiAFIATwBFALsDIAAgACAAIAAgACAAIAAgACAAIAAgACAAIAAgACAAIAAgACAAIAAgACAAIAAgAJIhKgBSAGUAdAB1AHIAbgAgAG8AbgAgAGUAcQB1AGkAdAB5ACAAaQBzACAAYQAgAG0AZQBhAHMAdQByAGUAIABvAGYAIABmAGkAbgBhAG4AYwBpAGEAbAAgAHAAZQByAGYAbwByAG0AYQBuAGMAZQAgALYAXAAiACAAJgBcAG4AIAAgACAAIAAgACAAIAAgAFwAIgBSAE8ASQC7AyAAIAAgACAAIAAgACAAIAAgACAAIAAgACAAIAAgACAAIAAgACAAIAAgACAAIACSIVIAZQB0AHUAcgBuACAAbwBuACAASQBuAHYAZQBzAHQAbQBlAG4AdAAgAHIAYQB0AGkAbwAgACAAbQBlAGEAcwB1AHIAZQBzACAAdABoAGUAIABwAHIAbwBmAGkAdABhAGIAaQBsAGkAdAB5ACAAbwBmACAAYQBuACAAaQBuAHYAZQBzAHQAbQBlAG4AdAAgAGIAeQAgAGMAbwBtAHAAYQByAGkAbgBnACAAdABoAGUAIABnAGEAaQBuACAAbwByACAAbABvAHMAcwAgAHQAbwAgAGkAdABzACAAYwBvAHMAdAC2AFwAIgAgACYAXABuACAAIAAgACAAIAAgACAAIABcACIAUgBPAEkAQwC7AyAAIAAgACAAIAAgACAAIAAgACAAIAAgACAAIAAgACAAIAAgACAAIAAgACAAkiFSAGUAdAB1AHIAbgAgAG8AbgAgAEkAbgB2AGUAcwB0AGUAZAAgAGMAYQBwAGkAdABhAGwAIAAgAGEAcwBzAGUAcwBzAGUAcwAgAGEAIABjAG8AbQBwAGEAbgB5ABkgcwAgAGUAZgBmAGkAYwBpAGUAbgBjAHkAIABpAG4AIABhAGwAbABvAGMAYQB0AGkAbgBnACAAYwBhAHAAaQB0AGEAbAAgAHQAbwAgAHAAcgBvAGYAaQB0AGEAYgBsAGUAIABpAG4AdgBlAHMAdABtAGUAbgB0AHMAtgBcACIAIAAmAFwAbgAgACAAIAAgACAAIAAgACAAXAAiAJIhtgBcACIAIAAmACAAXABuACAAIAAgACAAIAAgACAAIABcACIATQBhAHIAawBlAHQAIABWAGEAbAB1AGUAIABSAGEAdABpAG8AcwCSIbYAXAAiACAAJgBcAG4AIAAgACAAIAAgACAAIAAgAFwAIgBQAHIAaQBjAGUARQBhAHIAbgBpAG4AZwBzAFIAYQB0AGkAbwC7AyAAIAAgACAAIAAgACAAIACSISoAUAByAGkAYwBlAC0AZQBhAHIAbgBpAG4AZwBzACAAUgBhAHQAaQBvACAAbQBlAGEAcwB1AHIAZQBzACAAYQAgAGMAbwBtAHAAYQBuAHkAJwBzACAAcwBoAGEAcgBlACAAcAByAGkAYwBlACAAcgBlAGwAYQB0AGkAdgBlACAAdABvACAAaQB0AHMAIABlAGEAcgBuAGkAbgBnAHMAIABwAGUAcgAgAHMAaABhAHIAZQC2AFwAIgAgACYAXABuACAAIAAgACAAIAAgACAAIABcACIAUAByAGkAYwBlAFQAbwBCAG8AbwBrAFIAYQB0AGkAbwC7AyAAIAAgACAAIAAgACAAIAAgACAAkiFNAGEAbgB5ACAAaQBuAHYAZQBzAHQAbwByAHMAIAB1AHMAZQAgAHQAaABlACAAcAByAGkAYwBlAC0AdABvAC0AYgBvAG8AawAgAHIAYQB0AGkAbwAgACgAUAAvAEIAIAByAGEAdABpAG8AKQAgAHQAbwAgAGMAbwBtAHAAYQByAGUAIABhACAAZgBpAHIAbQAnAHMAIABtAGEAcgBrAGUAdAAgAGMAYQBwAGkAdABhAGwAaQBzAGEAdABpAG8AbgAgAHQAbwAgAGkAdABzACAAYgBvAG8AawAgAHYAYQBsAHUAZQAgAGEAbgBkACAAbABvAGMAYQB0AGUAIAB1AG4AZABlAHIAdgBhAGwAdQBlAGQAIABjAG8AbQBwAGEAbgBpAGUAcwAuALYAXAAiACAAJgBcAG4AIAAgACAAIAAgACAAIAAgAFwAIgBQAHIAaQBjAGUAVABvAFMAYQBsAGUAcwBSAGEAdABpAG8AuwMgACAAIAAgACAAIAAgACAAIACSIVAAcgBpAGMAZQAgAHQAbwAgAFMAYQBsAGUAcwAgACgAUAAvAFMAKQAgAFIAYQB0AGkAbwAgAGkAcwAgAGEAbgAgAGkAbgBkAGkAYwBhAHQAbwByACAAbwBmACAAdABoAGUAIAB2AGEAbAB1AGUAIAB0AGgAYQB0ACAAZgBpAG4AYQBuAGMAaQBhAGwAIABtAGEAcgBrAGUAdABzACAAaABhAHYAZQAgAHAAbABhAGMAZQBkACAAbwBuACAAZQBhAGMAaAAgAGQAbwBsAGwAYQByACAAbwBmACAAYQAgAGMAbwBtAHAAYQBuAHkAJwBzACAAcwBhAGwAZQBzACAAbwByACAAcgBlAHYAZQBuAHUAZQBzALYAXAAiACAAJgBcAG4AIAAgACAAIAAgACAAIAAgAFwAIgBQAHIAaQBjAGUAVABvAEMAYQBzAGgAUgBhAHQAaQBvALsDIAAgACAAIAAgACAAIAAgACAAIACSIVAAcgBpAGMAZQAgAHQAbwAgAEMAYQBzAGgAIAAoAFAALwBDAEYAKQAgAFIAYQB0AGkAbwAgAGkAcwAgAGEAIABzAHQAbwBjAGsAIAB2AGEAbAB1AGEAdABpAG8AbgAgAGkAbgBkAGkAYwBhAHQAbwByACAAbwByACAAbQB1AGwAdABpAHAAbABlACAAdABoAGEAdAAgAG0AZQBhAHMAdQByAGUAcwAgAHQAaABlACAAdgBhAGwAdQBlACAAbwBmACAAYQAgAHMAdABvAGMAawAZIHMAIABwAHIAaQBjAGUAIAByAGUAbABhAHQAaQB2AGUAIAB0AG8AIABpAHQAcwAgAG8AcABlAHIAYQB0AGkAbgBnACAAYwBhAHMAaAAgAGYAbABvAHcAIABwAGUAcgAgAHMAaABhAHIAZQC2AFwAIgAgACYAXABuACAAIAAgACAAIAAgACAAIABcACIAQgBWAFAAUwC7AyAAIAAgACAAIAAgACAAIAAgACAAIAAgACAAIAAgACAAIAAgACAAIAAgACAAkiFCAG8AbwBrACAAdgBhAGwAdQBlACAAcABlAHIAIABzAGgAYQByAGUAIAByAGEAdABpAG8AIABpAHMAIABhAG4AIABpAG4AZABpAGMAYQB0AG8AcgAgAG8AZgAgAHQAaABlACAAdgBhAGwAdQBlACAAbwBmACAAYQAgAGMAbwBtAHAAYQBuAHkAGSBzACAAcwB0AG8AYwBrALYAXAAiACAAJgBcAG4AIAAgACAAIAAgACAAIAAgAFwAIgBDAEEAUABFAFIAYQB0AGkAbwC7AyAAIAAgACAAIAAgACAAIAAgACAAIAAgACAAIAAgACAAIACSIU0AZQBhAHMAdQByAGUAIAB0AGgAYQB0ACAAdQBzAGUAcwAgAHIAZQBhAGwAIABlAGEAcgBuAGkAbgBnAHMAIABwAGUAcgAgAHMAaABhAHIAZQAgACgARQBQAFMAKQAgAG8AdgBlAHIAIABhACAAMQAwAC0AeQBlAGEAcgAgAHAAZQByAGkAbwBkACAAdABvACAAcwBtAG8AbwB0AGgAIABvAHUAdAAgAGYAbAB1AGMAdAB1AGEAdABpAG8AbgBzACAAaQBuACAAYwBvAHIAcABvAHIAYQB0AGUAIABwAHIAbwBmAGkAdABzACAAdABoAGEAdAAgAG8AYwBjAHUAcgAgAG8AdgBlAHIAIABkAGkAZgBmAGUAcgBlAG4AdAAgAHAAZQByAGkAbwBkAHMAIABvAGYAIABhACAAYgB1AHMAaQBuAGUAcwBzACAAYwB5AGMAbABlACAAKABhAGsAYQAgAFMAaABpAGwAbABlAHIAIABQAEUAIABSAGEAdABpAG8AKQC2AFwAIgAgACYAXABuACAAIAAgACAAIAAgACAAIABcACIARABQAFIAuwMgACAAIAAgACAAIAAgACAAIAAgACAAIAAgACAAIAAgACAAIAAgACAAIAAgACAAkiFEAGkAdgBpAGQAZQBuAGQAIABQAGEAeQBvAHUAdAAgAFIAYQB0AGkAbwAgAGkAcwAgAHQAaABlACAAcABlAHIAYwBlAG4AdABhAGcAZQAgAG8AZgAgAGUAYQByAG4AaQBuAGcAcwAgAHAAYQBpAGQAIAB0AG8AIABzAGgAYQByAGUAaABvAGwAZABlAHIAcwAgAHYAaQBhACAAZABpAHYAaQBkAGUAbgBkAHMAtgBcACIAIAAmAFwAbgAgACAAIAAgACAAIAAgACAAXAAiAEQAaQB2AGkAZABlAG4AZABZAGkAZQBsAGQAUgBhAHQAaQBvALsDIAAgACAAIAAgACAAIAAgAJIhRABpAHYAaQBkAGUAbgBkACAAeQBpAGUAbABkACAAcgBhAHQAaQBvACAAcwBoAG8AdwBzACAAaABvAHcAIABtAHUAYwBoACAAYQAgAGMAbwBtAHAAYQBuAHkAIABwAGEAeQBzACAAbwB1AHQAIABpAG4AIABkAGkAdgBpAGQAZQBuAGQAcwC2AFwAIgAgACYAXABuACAAIAAgACAAIAAgACAAIABcACIARQBQAFMAuwMgACAAIAAgACAAIAAgACAAIAAgACAAIAAgACAAIAAgACAAIAAgACAAIAAgACAAkiFFAGEAcgBuAGkAbgBnAHMAIABwAGUAcgAgAHMAaABhAHIAZQAgAG0AZQBhAHMAdQByAGUAcwAgAHAAcgBvAGYAaQB0AGEAYgBpAGwAaQB0AHkAIABpAG4AZABpAGMAYQB0AGkAbgBnACAAaABvAHcAIABtAHUAYwBoACAAcAByAG8AZgBpAHQAIABlAGEAYwBoACAAbwB1AHQAcwB0AGEAbgBkAGkAbgBnACAAcwBoAGEAcgBlACAAbwBmACAAYwBvAG0AbQBvAG4AIABzAHQAbwBjAGsAIABoAGEAcwAgAGUAYQByAG4AZQBkACAAtgBcACIAIAAmAFwAbgAgACAAIAAgACAAIAAgACAAXAAiAFIAZQB0AGUAbgB0AGkAbwBuAFIAYQB0AGkAbwC7AyAAIAAgACAAIAAgACAAIAAgACAAIAAgAJIhUgBlAHQAZQBuAHQAaQBvAG4AIABSAGEAdABpAG8AIABpAHMAIAB0AGgAZQAgAHAAcgBvAHAAbwByAHQAaQBvAG4AIABvAGYAIABlAGEAcgBuAGkAbgBnAHMAIABrAGUAcAB0ACAAYgBhAGMAawAgAGkAbgAgAHQAaABlACAAYgB1AHMAaQBuAGUAcwBzACAAYQBzACAAcgBlAHQAYQBpAG4AZQBkACAAZQBhAHIAbgBpAG4AZwBzALYAXAAiACAAJgBcAG4AIAAgACAAIAAgACAAIAAgAFwAIgCSIbYAXAAiACAAJgBcAG4AIAAgACAAIAAgACAAIAAgAFwAIgBBAFQATwAgAFMAbQBhAGwAbAAgAEIAdQBzAGkAbgBlAHMAcwAgAEIAZQBuAGMAaABtAGEAcgBrACAAUgBhAHQAaQBvAHMAkiG2AFwAIgAgACYAXABuACAAIAAgACAAIAAgACAAIABcACIAQQBUAE8AVAB1AHIAbgBvAHYAZQByALsDIAAgACAAIAAgACAAIAAgACAAIAAgACAAIAAgACAAkiFUAHUAcgBuAG8AdgBlAHIAIABlAHgAYwBsAHUAZABpAG4AZwAgAEcAUwBUACAAYQBzACAAdABoAGUAIABBAFQATwAgAGIAZQBuAGMAaABtAGEAcgBrAHMAIABtAGUAYQBzAHUAcgBlACAAaQB0ALYAXAAiACAAJgBcAG4AIAAgACAAIAAgACAAIAAgAFwAIgBBAFQATwBCAGUAbgBjAGgAbQBhAHIAawBSAGEAdABpAG8AuwMgACAAIAAgACAAIAAgACAAIACSIUEAbgAgAGEAbQBvAHUAbgB0ACAAbwB2AGUAcgAgAHQAdQByAG4AbwB2AGUAcgAsACAAYQBzACAAZgBvAHIAIABBAFQATwAgAHIAZQBuAHQAIABvAHIAIABtAG8AdABvAHIAIAB2AGUAaABpAGMAbABlACAAZQB4AHAAZQBuAHMAZQBzACAAdABvACAAdAB1AHIAbgBvAHYAZQByALYAXAAiACAAJgBcAG4AIAAgACAAIAAgACAAIAAgAFwAIgBBAFQATwBUAG8AdABhAGwARQB4AHAAZQBuAHMAZQBzAFIAYQB0AGkAbwC7AyAAIAAgACAAIACSIUEAVABPACAAdABvAHQAYQBsACAAZQB4AHAAZQBuAHMAZQBzACAAdABvACAAdAB1AHIAbgBvAHYAZQByACwAIABsAGUAcwBzACAAcABhAHkAbQBlAG4AdABzACAAdABvACAAYQBzAHMAbwBjAGkAYQB0AGUAZAAgAHAAZQByAHMAbwBuAHMAtgBcACIAIAAmAFwAbgAgACAAIAAgACAAIAAgACAAXAAiAEEAVABPAEMAbwBzAHQATwBmAFMAYQBsAGUAcwBSAGEAdABpAG8AuwMgACAAIAAgACAAIAAgAJIhQQBUAE8AIABjAG8AcwB0ACAAbwBmACAAcwBhAGwAZQBzACAAdABvACAAdAB1AHIAbgBvAHYAZQByACwAIABlAHgAYwBsAHUAZABpAG4AZwAgAGwAYQBiAG8AdQByALYAXAAiACAAJgBcAG4AIAAgACAAIAAgACAAIAAgAFwAIgBBAFQATwBMAGEAYgBvAHUAcgBSAGEAdABpAG8AuwMgACAAIAAgACAAIAAgACAAIAAgACAAIACSIUEAVABPACAAbABhAGIAbwB1AHIAIAB0AG8AIAB0AHUAcgBuAG8AdgBlAHIAOgAgAHcAYQBnAGUAcwAgAGEAbgBkACAAYwBvAG4AdAByAGEAYwB0AG8AcgBzACAAbABlAHMAcwAgAHAAYQB5AG0AZQBuAHQAcwAgAHQAbwAgAGEAcwBzAG8AYwBpAGEAdABlAGQAIABwAGUAcgBzAG8AbgBzALYAXAAiACAAJgBcAG4AIAAgACAAIAAgACAAIAAgAFwAIgCSIbYAXAAiACAAJgAgAFwAbgAgACAAIAAgACAAIAAgACAAXAAiACoAIAAgACAAIAAgACAAIAAgACAAIAAgACAAIAAgACAAIAAgACAAIAAgACAAIAAgACAAIAAgAJIhVABoAGUAcwBlACAAYQByAGUAIABjAG8AbgBzAGkAZABlAHIAZQBkACAAJwBLAGUAeQAgAFIAYQB0AGkAbwBzACcAtgBcACIAIAAmAFwAbgAgACAAIAAgACAAIAAgACAAXAAiAJIhXAAiACwAIABcACIAkiFcACIALAAgAFwAIgC2AFwAIgBcAG4AIAAgACAAIAApAFwAbgApADsAXABuAFwAbgBcAG4AXABuAC8AKgAgACAARgBVAE4AQwBUAEkATwBOACAATgBBAE0ARQA6ACAAIABDAHUAcgByAGUAbgB0AFIAYQB0AGkAbwC7A1wAbgAgACAAIAAgAEQARQBTAEMAUgBJAFAAVABJAE8ATgA6ACoALwAvACoAKgBNAGUAYQBzAHUAcgBlAHMAIABhACAAYwBvAG0AcABhAG4AeQAZIHMAIABhAGIAaQBsAGkAdAB5ACAAdABvACAAcABhAHkAIABzAGgAbwByAHQALQB0AGUAcgBtACAAbwBiAGwAaQBnAGEAdABpAG8AbgBzACAAKABDAHUAcgByAGUAbgB0ACAAQQBzAHMAZQB0AHMALwBMAGkAYQBiAGkAbABpAHQAaQBlAHMAKQAqAC8AXABuAEMAdQByAHIAZQBuAHQAUgBhAHQAaQBvALsDIAA9ACAATABBAE0AQgBEAEEAKABcAG4ALwAvACAAIABQAGEAcgBhAG0AZQB0AGUAcgAgAEQAZQBjAGwAYQByAGEAdABpAG8AbgBzAFwAbgAgACAAIAAgACAAIAAgACAAWwBBAHMAcwBlAHQAc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HUAcgByAGUAbgB0AFIAYQB0AGkAbwC7AygAIABBAHMAcwBlAHQAcwAsACAATABpAGEAYgBpAGwAaQB0AGkAZQBzACkAtgBcACIAIAAmACAAXABuACAAIAAgACAAIAAgACAAIAAgACAAIAAgACAAIAAgACAAIAAgACAAIAAgACAAIAAgAFwAIgBEAEUAUwBDAFIASQBQAFQASQBPAE4AOgAgACAAIACSIU0AZQBhAHMAdQByAGUAcwAgAGEAIABjAG8AbQBwAGEAbgB5ABkgcwAgAGEAYgBpAGwAaQB0AHkAIAB0AG8AIABwAGEAeQAgAHMAaABvAHIAdAAtAHQAZQByAG0AIABvAGIAbABpAGcAYQB0AGkAbwBuAHMAIAAgALYAXAAiACAAJgAgAFwAbgAgACAAIAAgACAAIAAgACAAIAAgACAAIAAgACAAIAAgACAAIAAgACAAIAAgACAAIAAgACAAIAAgACAAIAAgACAAIAAgACAAIAAgACAAIABcACIAkiEoAEMAdQByAHIAZQBuAHQAIABBAHMAcwBlAHQAcwAvAEwAaQBhAGIAaQBsAGkAdABpAGUAcwApALYAXAAiACAAJgAgAFwAbgAgACAAIAAgACAAIAAgACAAIAAgACAAIAAgACAAIAAgACAAIAAgACAAIAAgACAAIABcACIAVwBFAEIAUABBAEcARQA6ACAAIAAgACAAIAAgACAAkiFoAHQAdABwAHMAOgAvAC8AdwB3AHcALgBpAG4AdgBlAHMAdABvAHAAZQBkAGkAYQAuAGMAbwBtAC8AdABlAHIAbQBzAC8AYwAvAGMAdQByAHIAZQBuAHQ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EAcwBzAGUAdABzACAAIAAgACAAIAAgACAAIAAgAJIhKABSAGUAcQB1AGkAcgBlAGQAKQAgAEMAdQByAHIAZQBuAHQAIABBAHMAcwBlAHQAcwAuACAASQBuAGMAbAB1AGQAZQBzADoAIAC2AFwAIgAgACYAIABcAG4AIAAgACAAIAAgACAAIAAgACAAIAAgACAAIAAgACAAIAAgACAAIAAgACAAIAAgACAAIAAgACAAIAAgACAAIAAgACAAIAAgACAAIAAgACAAXAAiAJIhQwBhAHMAaAAgALYAXAAiACAAJgAgAFwAbgAgACAAIAAgACAAIAAgACAAIAAgACAAIAAgACAAIAAgACAAIAAgACAAIAAgACAAIAAgACAAIAAgACAAIAAgACAAIAAgACAAIAAgACAAIABcACIAkiFBAGMAYwBvAHUAbgB0AHMAIAByAGUAYwBlAGkAdgBhAGIAbABlACAAtgBcACIAIAAmACAAXABuACAAIAAgACAAIAAgACAAIAAgACAAIAAgACAAIAAgACAAIAAgACAAIAAgACAAIAAgACAAIAAgACAAIAAgACAAIAAgACAAIAAgACAAIAAgAFwAIgCSIUkAbgB2AGUAbgB0AG8AcgB5ACAAtgBcACIAIAAmACAAXABuACAAIAAgACAAIAAgACAAIAAgACAAIAAgACAAIAAgACAAIAAgACAAIAAgACAAIAAgACAAIAAgACAAIAAgACAAIAAgACAAIAAgACAAIAAgAFwAIgCSIVYAZQBuAGQAbwByACAAbgBvAG4ALQB0AHIAYQBkAGUAIAByAGUAYwBlAGkAdgBhAGIAbABlAHMAIAC2AFwAIgAgACYAIABcAG4AIAAgACAAIAAgACAAIAAgACAAIAAgACAAIAAgACAAIAAgACAAIAAgACAAIAAgACAAIAAgACAAIAAgACAAIAAgACAAIAAgACAAIAAgACAAXAAiAJIhQQBzAHMAZQB0AHMAIABlAHgAcABlAGMAdABlAGQAIAB0AG8AIABiAGUAIABsAGkAcQB1AGkAZABhAHQAZQBkACAAaQBuACAAdABoAGUAIABjAHUAcgByAGUAbgB0ACAAeQBlAGEAcgAgALYAXAAiACAAJg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UABQAEUAIABvAG4AbAB5ACAAdwBoAGUAbgAgAGkAdAAgAG0AZQBlAHQAcwAgAGMAdQByAHIAZQBuAHQALQBhAHMAcwBlAHQAIABjAGwAYQBzAHMAaQBmAGkAYwBhAHQAaQBvAG4AIABjAHIAaQB0AGUAcgBpAGE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C4AMAA3ADUAIAAgACAAIAAgACAAIAAgACAAIACSIT0AbwB6AC4AQwB1AHIAcgBlAG4AdABSAGEAdABpAG8AuwMoACAAMQAzADQALgA4ADMANgAsACAAMQAyADUALgA0ADgAM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EAdQBpAGMAawBSAGEAdABpAG8AuwNcAG4AIAAgACAAIABEAEUAUwBDAFIASQBQAFQASQBPAE4AOgAqAC8ALwAqACoATQBlAGEAcwB1AHIAZQBzACAAYQBiAGkAbABpAHQAeQAgAHQAbwAgAG0AZQBlAHQAIABzAGgAbwByAHQALQB0AGUAcgBtACAAbwBiAGwAaQBnAGEAdABpAG8AbgBzACAAKABRAHUAaQBjAGsAIABBAHMAcwBlAHQAcwAvAEMAdQByAHIAZQBuAHQAIABMAGkAYQBiAGkAbABpAHQAaQBlAHMAKQAqAC8AXABuAFEAdQBpAGMAawBSAGEAdABpAG8AuwMgAD0AIABMAEEATQBCAEQAQQAoAFwAbgAvAC8AIAAgAFAAYQByAGEAbQBlAHQAZQByACAARABlAGMAbABhAHIAYQB0AGkAbwBuAHMAXABuACAAIAAgACAAIAAgACAAIABbAFEAdQBpAGMAawBBAHMAcwBlAHQAcwBdACwAIAAgAFwAbgAgACAAIAAgACAAIAAgACAAWwBMAGkAYQBiAGkAbABpAHQAaQBlAHMAXQAsACAAIAAgACAAIAAgACAAXABuAC8ALwAgACAASABlAGwAcABcAG4AIAAgACAAIABMAEUAVAAoAEgAZQBsAHAALAAgACAAIABUAFIASQBNACgAVABFAFgAVABTAFAATABJAFQAKAAgAFwAbgAgACAAIAAgACAAIAAgACAAIAAgACAAIAAgACAAIAAgACAAIAAgACAAIAAgACAAIABcACIARgBVAE4AQwBUAEkATwBOADoAIAAgACAAIAAgACAAkiFRAHUAaQBjAGsAUgBhAHQAaQBvALsDKAAgAFEAdQBpAGMAawBBAHMAcwBlAHQAcwAsACAATABpAGEAYgBpAGwAaQB0AGkAZQBzACkAtgBcACIAIAAmACAAXABuACAAIAAgACAAIAAgACAAIAAgACAAIAAgACAAIAAgACAAIAAgACAAIAAgACAAIAAgAFwAIgBEAEUAUwBDAFIASQBQAFQASQBPAE4AOgAgACAAIACSIU0AZQBhAHMAdQByAGUAcwAgAGEAYgBpAGwAaQB0AHkAIAB0AG8AIABtAGUAZQB0ACAAcwBoAG8AcgB0AC0AdABlAHIAbQAgAG8AYgBsAGkAZwBhAHQAaQBvAG4AcwC2AFwAIgAgACYAIABcAG4AIAAgACAAIAAgACAAIAAgACAAIAAgACAAIAAgACAAIAAgACAAIAAgACAAIAAgACAAIAAgACAAIAAgACAAIAAgACAAIAAgACAAIAAgACAAXAAiAJIhKABRAHUAaQBjAGsAIABBAHMAcwBlAHQAcwAv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HEALwBxAHUAaQBjAGs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EAdQBpAGMAawBBAHMAcwBlAHQAcwAgACAAkiEoAFIAZQBxAHUAaQByAGUAZAApACAAUQB1AGkAYwBrACAAQQBzAHMAZQB0AHMALgAgAEkAbgBjAGwAdQBkAGUAcwA6ACAAtgBcACIAIAAmACAAXABuACAAIAAgACAAIAAgACAAIAAgACAAIAAgACAAIAAgACAAIAAgACAAIAAgACAAIAAgACAAIAAgACAAIAAgACAAIAAgACAAIAAgACAAIAAgAFwAIgCSISIgIABDAGEAcwBoACAAJgAgAEMAYQBzAGgAIABlAHEAdQBpAHYAYQBsAGUAbgB0AHMAIAC2AFwAIgAgACYAIABcAG4AIAAgACAAIAAgACAAIAAgACAAIAAgACAAIAAgACAAIAAgACAAIAAgACAAIAAgACAAIAAgACAAIAAgACAAIAAgACAAIAAgACAAIAAgACAAXAAiAJIhIiAgAE0AYQByAGsAZQB0AGEAYgBsAGUAIABzAGUAYwB1AHIAaQB0AGkAZQBzACAAtgBcACIAIAAmACAAXABuACAAIAAgACAAIAAgACAAIAAgACAAIAAgACAAIAAgACAAIAAgACAAIAAgACAAIAAgACAAIAAgACAAIAAgACAAIAAgACAAIAAgACAAIAAgAFwAIgCSISIgIABBAGMAYwBvAHUAbgB0AHMAIAByAGUAYwBlAGkAdgBhAGIAbABlACAAtgBcACIAIAAmACAAXABuACAAIAAgACAAIAAgACAAIAAgACAAIAAgACAAIAAgACAAIAAgACAAIAAgACAAIAAgACAAIAAgACAAIAAgACAAIAAgACAAIAAgACAAIAAgAFwAIgCSIUEAbAB0AGUAcgBhAG4AdABpAHYAZQBsAHkAIABpAHQAIABpAG4AYwBsAHUAZABlAHMAOgAgALYAXAAiACAAJgAgAFwAbgAgACAAIAAgACAAIAAgACAAIAAgACAAIAAgACAAIAAgACAAIAAgACAAIAAgACAAIAAgACAAIAAgACAAIAAgACAAIAAgACAAIAAgACAAIABcACIAkiEiICAAQwB1AHIAcgBlAG4AdAAgAGEAcwBzAGUAdABzACAAtgBcACIAIAAmACAAXABuACAAIAAgACAAIAAgACAAIAAgACAAIAAgACAAIAAgACAAIAAgACAAIAAgACAAIAAgACAAIAAgACAAIAAgACAAIAAgACAAIAAgACAAIAAgAFwAIgCSISIgIABMAGUAcwBzACAAaQBuAHYAZQBuAHQAbwByAHkAIAC2AFwAIgAgACYAIABcAG4AIAAgACAAIAAgACAAIAAgACAAIAAgACAAIAAgACAAIAAgACAAIAAgACAAIAAgACAAIAAgACAAIAAgACAAIAAgACAAIAAgACAAIAAgACAAXAAiAJIhIiAgAEwAZQBzAHMAIABwAHIAZQBwAGEAaQBkACAAZQB4AHAAZQBuAHMAZQBz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uADIAIAAgACAAIAAgACAAIAAgACAAIAAgACAAkiE9AG8AegAuAFEAdQBpAGMAawBSAGEAdABpAG8AuwMoACAAMQA2ADUAMAAwADAALAAgADEAMwA3ADU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EAdQBpAGMAaw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RAHUAaQBjAGs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DAGEAcwBoAFIAYQB0AGkAbwC7A1wAbgAgACAAIAAgAEQARQBTAEMAUgBJAFAAVABJAE8ATgA6ACoALwAvACoAKgBFAHYAYQBsAHUAYQB0AGUAcwAgAGEAYgBpAGwAaQB0AHkAIAB0AG8AIAByAGUAcABhAHkAIABzAGgAbwByAHQALQB0AGUAcgBtACAAZABlAGIAdAAgAHcALwBjAGEAcwBoACAAbwByACAAbgBlAGEAcgAtAGMAYQBzAGgAIAByAGUAcwBvAHUAcgBjAGUAcwAgAFwAbgAgACAAIAAgACgAQwBhAHMAaAAgAGEAbgBkACAAQwBhAHMAaAAgAEUAcQB1AGkAdgBhAGwAZQBuAHQAcwAgAC8AIABDAHUAcgByAGUAbgB0ACAATABpAGEAYgBpAGwAaQB0AGkAZQBzACkAKgAvAFwAbgBDAGEAcwBoAFIAYQB0AGkAbwC7AyAAPQAgAEwAQQBNAEIARABBACgAXABuAC8ALwAgACAAUABhAHIAYQBtAGUAdABlAHIAIABEAGUAYwBsAGEAcgBhAHQAaQBvAG4AcwBcAG4AIAAgACAAIAAgACAAIAAgAFsAQwBhAHMAaA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GEAcwBoAFIAYQB0AGkAbwC7AygAIABDAGEAcwBoACwAIABMAGkAYQBiAGkAbABpAHQAaQBlAHMAKQC2AFwAIgAgACYAIABcAG4AIAAgACAAIAAgACAAIAAgACAAIAAgACAAIAAgACAAIAAgACAAIAAgACAAIAAgACAAXAAiAEQARQBTAEMAUgBJAFAAVABJAE8ATgA6ACAAIAAgAJIhRQB2AGEAbAB1AGEAdABlAHMAIABhAGIAaQBsAGkAdAB5ACAAdABvACAAcgBlAHAAYQB5ACAAcwBoAG8AcgB0AC0AdABlAHIAbQAgAGQAZQBiAHQAIAB3AC8AYwBhAHMAaAAgAG8AcgAgAG4AZQBhAHIALQBjAGEAcwBoACAAcgBlAHMAbwB1AHIAYwBlAHMAtgBcACIAIAAmACAAXABuACAAIAAgACAAIAAgACAAIAAgACAAIAAgACAAIAAgACAAIAAgACAAIAAgACAAIAAgACAAIAAgACAAIAAgACAAIAAgACAAIAAgACAAIAAgAFwAIgCSISgAQwBhAHMAaAAgAGEAbgBkACAAQwBhAHMAaAAgAEUAcQB1AGkAdgBhAGwAZQBuAHQAcwAgAC8AIA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DAGEAcwBoACAAIAAgACAAIAAgACAAIAAgACAAIACSISgAUgBlAHEAdQBpAHIAZQBkACkAIABDAGEAcwBoACAAYQBuAGQAIABDAGEAcwBoACAARQBxAHUAaQB2AGEAbABlAG4AdABz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C4ANQAxADcANAAwADkAIAAgACAAIAAgACAAIAAgAJIhPQBvAHoALgBDAGEAcwBoAFIAYQB0AGkAbwC7AygAIAA2ADMAOQAwADAAMAAwADAALAAgADEAMgAzADUAMAAwADA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wBhAHMAaA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8AcABlAHIAYQB0AGkAbgBnAEMAYQBzAGgARgBsAG8AdwBSAGEAdABpAG8AuwNcAG4AIAAgACAAIABEAEUAUwBDAFIASQBQAFQASQBPAE4AOgAqAC8ALwAqACoATQBlAGEAcwB1AHIAZQBzACAAaABvAHcAIAByAGUAYQBkAGkAbAB5ACAAYwB1AHIAcgBlAG4AdAAgAGwAaQBhAGIAaQBsAGkAdABpAGUAcwAgAGEAcgBlACAAYwBvAHYAZQByAGUAZAAgAGIAeQAgAGMAYQBzAGgAIABmAGwAbwB3AHMAIABnAGUAbgBlAHIAYQB0AGUAZAAgAGYAcgBvAG0AIABvAHAAZQByAGEAdABpAG8AbgBzACoALwBcAG4ATwBwAGUAcgBhAHQAaQBuAGcAQwBhAHMAaABGAGwAbwB3AFIAYQB0AGkAbwC7AyAAPQAgAEwAQQBNAEIARABBACgAXABuAC8ALwAgACAAUABhAHIAYQBtAGUAdABlAHIAIABEAGUAYwBsAGEAcgBhAHQAaQBvAG4AcwBcAG4AIAAgACAAIAAgACAAIAAgAFsATwBwAGUAcgBhAHQAaQBuAGcAQwBhAHMAaABGAGwAbwB3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QwBhAHMAaABGAGwAbwB3AFIAYQB0AGkAbwC7AygAIABPAHAAZQByAGEAdABpAG4AZwBDAGEAcwBoAEYAbABvAHcALAAgAEwAaQBhAGIAaQBsAGkAdABpAGUAcwApALYAXAAiACAAJgAgAFwAbgAgACAAIAAgACAAIAAgACAAIAAgACAAIAAgACAAIAAgACAAIAAgACAAIAAgACAAIABcACIARABFAFMAQwBSAEkAUABUAEkATwBOADoAIAAgACAAIAAgACAAIACSIU0AZQBhAHMAdQByAGUAcwAgAGgAbwB3ACAAcgBlAGEAZABpAGwAeQAgAGMAdQByAHIAZQBuAHQAIABsAGkAYQBiAGkAbABpAHQAaQBlAHMAIABhAHIAZQAgAGMAbwB2AGUAcgBlAGQAIABiAHkAIABjAGEAcwBoACAAZgBsAG8AdwBzACAAZwBlAG4AZQByAGEAdABlAGQAIABmAHIAbwBtACAAbwBwAGUAcgBhAHQAaQBvAG4AcwAuALYAXAAiACAAJgAgAFwAbgAgACAAIAAgACAAIAAgACAAIAAgACAAIAAgACAAIAAgACAAIAAgACAAIAAgACAAIAAgACAAIAAgACAAIAAgACAAIAAgACAAIAAgACAAIAAgACAAIAAgAFwAIgCSISgATwBwAGUAcgBhAHQAaQBuAGcAQwBhAHMAaABGAGwAbwB3AC8ATABpAGEAYgBpAGwAaQB0AGkAZQBzACkAtgBcACIAIAAmACAAXABuACAAIAAgACAAIAAgACAAIAAgACAAIAAgACAAIAAgACAAIAAgACAAIAAgACAAIAAgAFwAIgBXAEUAQgBQAEEARwBFADoAIAAgACAAIAAgACAAIAAgACAAIAAgAJIhaAB0AHQAcABzADoALwAvAHcAdwB3AC4AaQBuAHYAZQBzAHQAbwBwAGUAZABpAGEALgBjAG8AbQAvAHQAZQByAG0AcwAvAG8ALwBvAGMAZg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QwBhAHMAaABGAGwAbwB3ACAAIACSISgAUgBlAHEAdQBpAHIAZQBkACkAIABPAHAAZQByAGEAdABpAG4AZwAgAGMAYQBzAGgAIABmAGwAbwB3AC4AIAC2AFwAIgAgACYAIABcAG4AIAAgACAAIAAgACAAIAAgACAAIAAgACAAIAAgACAAIAAgACAAIAAgACAAIAAgACAAIAAgACAAIAAgACAAIAAgACAAIAAgACAAIAAgACAAIAAgACAAIABcACIAkiFJAG4AZABpAHIAZQBjAHQAIABtAGUAdABoAG8AZAAgAGkAbgBjAGwAdQBkAGUAcwA6ACAAtgBcACIAIAAmACAAXABuACAAIAAgACAAIAAgACAAIAAgACAAIAAgACAAIAAgACAAIAAgACAAIAAgACAAIAAgACAAIAAgACAAIAAgACAAIAAgACAAIAAgACAAIAAgACAAIAAgACAAXAAiAJIhIiAgAE4AZQB0ACAASQBuAGMAbwBtAGUAIAC2AFwAIgAgACYAIABcAG4AIAAgACAAIAAgACAAIAAgACAAIAAgACAAIAAgACAAIAAgACAAIAAgACAAIAAgACAAIAAgACAAIAAgACAAIAAgACAAIAAgACAAIAAgACAAIAAgACAAIABcACIAkiEiICAAUABsAHUAcwAgAGQAZQBwAHIAZQBjAGkAYQB0AGkAbwBuACAAYQBuAGQAIABhAG0AbwByAHQAaQBzAGEAdABpAG8AbgAgALYAXAAiACAAJgAgAFwAbgAgACAAIAAgACAAIAAgACAAIAAgACAAIAAgACAAIAAgACAAIAAgACAAIAAgACAAIAAgACAAIAAgACAAIAAgACAAIAAgACAAIAAgACAAIAAgACAAIAAgAFwAIgCSISIgIABMAGUAcwBzACAAaQBuAGMAcgBlAGEAcwBlACAAaQBuACAAbgBlAHQAIAB3AG8AcgBrAGkAbgBnACAAYwBhAHAAaQB0AGEAbAAgALYAXAAiACAAJgAgAFwAbgAgACAAIAAgACAAIAAgACAAIAAgACAAIAAgACAAIAAgACAAIAAgACAAIAAgACAAIAAgACAAIAAgACAAIAAgACAAIAAgACAAIAAgACAAIAAgACAAIAAgAFwAIgCSIUQAaQByAGUAYwB0ACAAbQBlAHQAaABvAGQAIABpAG4AYwBsAHUAZABlAHMAOgAgALYAXAAiACAAJgAgAFwAbgAgACAAIAAgACAAIAAgACAAIAAgACAAIAAgACAAIAAgACAAIAAgACAAIAAgACAAIAAgACAAIAAgACAAIAAgACAAIAAgACAAIAAgACAAIAAgACAAIAAgAFwAIgCSISIgIABDAGEAcwBoACAAcgBlAHYAZQBuAHUAZQAgALYAXAAiACAAJgAgAFwAbgAgACAAIAAgACAAIAAgACAAIAAgACAAIAAgACAAIAAgACAAIAAgACAAIAAgACAAIAAgACAAIAAgACAAIAAgACAAIAAgACAAIAAgACAAIAAgACAAIAAgAFwAIgCSISIgIABMAGUAcwBzACAATwBwAGUAcgBhAHQAaQBuAGcAIABlAHgAcABlAG4AcwBlAHMAIABwAGEAaQBkACAAaQBuACAAYwBhAHMAaAC2AFwAIgAgACYAIABcAG4AIAAgACAAIAAgACAAIAAgACAAIAAgACAAIAAgACAAIAAgACAAIAAgACAAIAAgACAAXAAiAEwAaQBhAGIAaQBsAGkAdABpAGUAcwAgACAAIAAgACAAIAAgACAAIACSISgAUgBlAHEAdQBpAHIAZQBkACkAIABDAHUAcgByAGUAbgB0ACAATABpAGEAYgBpAGwAaQB0AGkAZQBzAC4AIABJAG4AYwBsAHUAZABlAHMAOgAgALYAXAAiACAAJgAgAFwAbgAgACAAIAAg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IAAgACAAIABcACIAkiFXAGEAZwBlAHMAIAC2AFwAIgAgACYAIABcAG4AIAAgACAAIAAgACAAIAAgACAAIAAgACAAIAAgACAAIAAgACAAIAAgACAAIAAgACAAIAAgACAAIAAgACAAIAAgACAAIAAgACAAIAAgACAAIAAgACAAIABcACIAkiFUAGEAeABlAHMAIABwAGEAeQBhAGIAbABlACAAtgBcACIAIAAmACAAXABuACAAIAAgACA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AALgAzADUAOAA3ADEAIAAgACAAIAAgACAAIAAgACAAIAAgACAAkiE9AG8AegAuAE8AcABlAHIAYQB0AGkAbgBnAEMAYQBzAGgARgBsAG8AdwBSAGEAdABpAG8AuwMoACAAMgA3AC4AOAAsACAANwA3AC4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DAGEAcwBoAEYAbABvAHc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TwBwAGUAcgBhAHQAaQBuAGcAQwBhAHMAaABGAGwAbwB3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gBlAGMAZQBpAHYAYQBiAGwAZQBzAFQAdQByAG4AbwB2AGUAcgBSAGEAdABpAG8AuwNcAG4AIAAgACAAIABEAEUAUwBDAFIASQBQAFQASQBPAE4AOgAqAC8ALwAqACoASQBuAGQAaQBjAGEAdABlAHMAIABlAGYAZgBlAGMAdABpAHYAZQBuAGUAcwBzACAAaQBuACAAYwBvAGwAbABlAGMAdABpAG4AZwAgAG8AdQB0AHMAdABhAG4AZABpAG4AZwAgAGIAYQBsAGEAbgBjAGUAcwAgAGYAcgBvAG0AIABjAGwAaQBlAG4AdABzACAAYQBuAGQAIABcAG4AbQBhAG4AYQBnAGkAbgBnACAAbABpAG4AZQAgAG8AZgAgAGMAcgBlAGQAaQB0ACAAcAByAG8AYwBlAHMAcwAgACgATgBlAHQAIABDAHIAZQBkAGkAdAAgAFMAYQBsAGUAcwAvAEEAdgBlAHIAYQBnAGUAIABBAGMAYwBvAHUAbgB0AHMAIABSAGUAYwBlAGkAdgBhAGIAbABlACkAIAAqAC8AXABuAFIAZQBjAGUAaQB2AGEAYgBsAGUAcwBUAHUAcgBuAG8AdgBlAHIAUgBhAHQAaQBvALsDIAA9ACAATABBAE0AQgBEAEEAKABcAG4ALwAvACAAIABQAGEAcgBhAG0AZQB0AGUAcgAgAEQAZQBjAGwAYQByAGEAdABpAG8AbgBzAFwAbgAgACAAIAAgACAAIAAgACAAWwBOAGUAdABDAHIAZQBkAGkAdABTAGEAbABlAHMAXQAsACAAIABcAG4AIAAgACAAIAAgACAAIAAgAFsAQQB2AGUAcgBhAGcAZQBBAGMAYwBvAHUAbgB0AHMAUgBlAGMAZQBpAHYAYQBiAGwAZQBdACwAIAAgACAAIABcAG4ALwAvACAAIABIAGUAbABwAFwAbgAgACAAIAAgAEwARQBUACgASABlAGwAcAAsACAAIAAgAFQAUgBJAE0AKABUAEUAWABUAFMAUABMAEkAVAAoACAAXABuACAAIAAgACAAIAAgACAAIAAgACAAIAAgACAAIAAgACAAIAAgACAAIAAgACAAIAAgAFwAIgBGAFUATgBDAFQASQBPAE4AOgAgACAAIAAgACAAIACSIVIAZQBjAGUAaQB2AGEAYgBsAGUAcwBUAHUAcgBuAG8AdgBlAHIAUgBhAHQAaQBvALsDKAAgAE4AZQB0AEMAcgBlAGQAaQB0AFMAYQBsAGUAcwAsACAAQQB2AGUAcgBhAGcAZQBBAGMAYwBvAHUAbgB0AHMAUgBlAGMAZQBpAHYAYQBiAGwAZQApALYAXAAiACAAJgAgAFwAbgAgACAAIAAgACAAIAAgACAAIAAgACAAIAAgACAAIAAgACAAIAAgACAAIAAgACAAIABcACIARABFAFMAQwBSAEkAUABUAEkATwBOADoAIAAgACAAkiFJAG4AZABpAGMAYQB0AGUAcwAgAGUAZgBmAGUAYwB0AGkAdgBlAG4AZQBzAHMAIABpAG4AIABjAG8AbABsAGUAYwB0AGkAbgBnACAAbwB1AHQAcwB0AGEAbgBkAGkAbgBnACAAYgBhAGwAYQBuAGMAZQBzACAAZgByAG8AbQAgAGMAbABpAGUAbgB0AHMAIABhAG4AZAAgALYAXAAiACAAJgBcAG4AIAAgACAAIAAgACAAIAAgACAAIAAgACAAIAAgACAAIAAgACAAIAAgACAAIAAgACAAIAAgACAAIAAgACAAIAAgACAAIAAgACAAIAAgACAAXAAiAJIhbQBhAG4AYQBnAGkAbgBnACAAbABpAG4AZQAgAG8AZgAgAGMAcgBlAGQAaQB0ACAAcAByAG8AYwBlAHMAcwAgACgATgBlAHQAIABDAHIAZQBkAGkAdAAgAFMAYQBsAGUAcwAvAEEAdgBlAHIAYQBnAGUAIABBAGMAYwBvAHUAbgB0AHMAIABSAGUAYwBlAGkAdgBhAGIAbABlACkAtgBcACIAIAAmACAAXABuACAAIAAgACAAIAAgACAAIAAgACAAIAAgACAAIAAgACAAIAAgACAAIAAgACAAIAAgAFwAIgBXAEUAQgBQAEEARwBFADoAIAAgACAAIAAgACAAIACSIWgAdAB0AHAAcwA6AC8ALwB3AHcAdwAuAGkAbgB2AGUAcwB0AG8AcABlAGQAaQBhAC4AYwBvAG0ALwB0AGUAcgBtAHMALwByAC8AcgBlAGMAZQBpAHYAYQBiAGwAZQB0AHUAcgBuAG8AdgBlAHI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MAcgBlAGQAaQB0AFMAYQBsAGUAcwAgAJIhKABSAGUAcQB1AGkAcgBlAGQAKQAgAE4AZQB0ACAAQwByAGUAZABpAHQAIABTAGEAbABlAHMALgAgAEEAbQBvAHUAbgB0ACAAbwBmACAAcgBlAHYAZQBuAHUAZQAgAGUAYQByAG4AZQBkACAAYgB5ACAAYQAgAGMAbwBtAHAAYQBuAHkAIABwAGEAaQBkACAAdgBpAGEAIABjAHIAZQBkAGkAdAC2AFwAIgAgACYAIABcAG4AIAAgACAAIAAgACAAIAAgACAAIAAgACAAIAAgACAAIAAgACAAIAAgACAAIAAgACAAXAAiAEEAdgBlAHIAYQBnAGUAQQBjAGMAbwB1AG4AdABzAFIAZQBjAGUAaQB2AGEAYgBsAGUAkiEoAFIAZQBxAHUAaQByAGUAZAApACAAQQB2AGUAcgBhAGcAZQAgAEEAYwBjAG8AdQBuAHQAcwAgAFIAZQBjAGUAaQB2AGEAYgBsAGUALgAgAEEAdgBlAHIAYQBnAGUAIABvAGYAIABwAGUAcgBpAG8AZAAgAG8AcABlAG4AaQBuAGcAIABhAG4AZAAgAGMAbABvAHMAaQBuAGcAIABiAGEAbABhAG4AYw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xAC4ANwA2ADQANwAxACAAIAAgACAAIAAgACAAkiE9AG8AegAuAFIAZQBjAGUAaQB2AGEAYgBsAGUAcwBUAHUAcgBuAG8AdgBlAHIAUgBhAHQAaQBvALsDKAAgADgAMAAwADAAMAAwACwAIAA2ADg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DAHIAZQBkAGkAdABTAGEAbABlAHMAKQAsAFwAbgAgACAAIAAgACAAIAAgACAAIAAgACAAIAAgACAAIAAgACAAIAAgACAAIAAgACAAIAAgACAAIAAgAEkAUwBPAE0ASQBUAFQARQBEACgAIABBAHYAZQByAGEAZwBlAEEAYwBjAG8AdQBuAHQAcwBSAGUAYwBlAGkAdgBhAGIAbABlACkAXABuACAAIAAgACAAIAAgACAAIAAgACAAIAAgACAAIAAgACAAIAAgACAAIAAgACAAIAAgACkALABcAG4AIAAgACAAIAAvAC8AIAAgAFAAcgBvAGMAZQBkAHUAcgBlAFwAbgAgACAAIAAgACAAIAAgACAAUgBlAHMAdQBsAHQALAAgACAAIAAgACAAIAAgACAAIABOAGUAdABDAHIAZQBkAGkAdABTAGEAbABlAHMALwBBAHYAZQByAGEAZwBlAEEAYwBjAG8AdQBuAHQAcwBSAGUAYwBlAGkAdgBhAGIAbA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gBlAG4AdABvAHIAeQBUAHUAcgBuAG8AdgBlAHIAUgBhAHQAaQBvALsDXABuACAAIAAgACAARABFAFMAQwBSAEkAUABUAEkATwBOADoAKgAvAC8AKgAqAFMAaABvAHcAcwAgAGgAbwB3ACAAbQBhAG4AeQAgAHQAaQBtAGUAcwAgAGEAIABjAG8AbQBwAGEAbgB5ACAAdAB1AHIAbgBlAGQAIABvAHYAZQByACAAaQB0AHMAIABpAG4AdgBlAG4AdABvAHIAeQAgAHIAZQBsAGEAdABpAHYAZQAgAFwAbgAgACAAIAAgAHQAbwAgAGkAdABzACAAYwBvAHMAdAAgAG8AZgAgAGcAbwBvAGQAcwAgAHMAbwBsAGQAIAAoAEMATwBHAFMAKQAgACgAQwBPAEcAUwAvAEEAdgBlAHIAYQBnAGUAIABJAG4AdgBlAG4AdABvAHIAeQApACAAKgAvAFwAbgBJAG4AdgBlAG4AdABvAHIAeQBUAHUAcgBuAG8AdgBlAHIAUgBhAHQAaQBvALsDIAA9ACAATABBAE0AQgBEAEEAKABcAG4ALwAvACAAIABQAGEAcgBhAG0AZQB0AGUAcgAgAEQAZQBjAGwAYQBSAGEAdABpAG8AbgBzAFwAbgAgACAAIAAgACAAIAAgACAAWwBDAG8AcwB0AE8AZgBHAG8AbwBkAHMAUwBvAGwAZABdACwAIAAgAFwAbgAgACAAIAAgACAAIAAgACAAWwBBAHYAZQByAGEAZwBlAEkAbgB2AGUAbgB0AG8AcgB5AF0ALAAgACAAIAAgAFwAbgAvAC8AIAAgAEgAZQBsAHAAXABuACAAIAAgACAATABFAFQAKABIAGUAbABwACwAIAAgACAAVABSAEkATQAoAFQARQBYAFQAUwBQAEwASQBUACgAIABcAG4AIAAgACAAIAAgACAAIAAgACAAIAAgACAAIAAgACAAIAAgACAAIAAgACAAIAAgACAAXAAiAEYAVQBOAEMAVABJAE8ATgA6ACAAIAAgACAAIAAgACAAIAAgACAAkiFJAG4AdgBlAG4AdABvAHIAeQBUAHUAcgBuAG8AdgBlAHIAUgBhAHQAaQBvALsDKAAgAEMAbwBzAHQATwBmAEcAbwBvAGQAcwBTAG8AbABkACwAIABBAHYAZQByAGEAZwBlAEkAbgB2AGUAbgB0AG8AcgB5ACkAtgBcACIAIAAmACAAXABuACAAIAAgACAAIAAgACAAIAAgACAAIAAgACAAIAAgACAAIAAgACAAIAAgACAAIAAgAFwAIgBEAEUAUwBDAFIASQBQAFQASQBPAE4AOgAgACAAIAAgACAAIAAgAJIhUwBoAG8AdwBzACAAaABvAHcAIABtAGEAbgB5ACAAdABpAG0AZQBzACAAYQAgAGMAbwBtAHAAYQBuAHkAIAB0AHUAcgBuAGUAZAAgAG8AdgBlAHIAIABpAHQAcwAgAGkAbgB2AGUAbgB0AG8AcgB5ACAAcgBlAGwAYQB0AGkAdgBlACAAtgBcACIAIAAmAFwAbgAgACAAIAAgACAAIAAgACAAIAAgACAAIAAgACAAIAAgACAAIAAgACAAIAAgACAAIAAgACAAIAAgACAAIAAgACAAIAAgACAAIAAgACAAIAAgACAAIAAgAFwAIgCSIXQAbwAgAGkAdABzACAAYwBvAHMAdAAgAG8AZgAgAGcAbwBvAGQAcwAgAHMAbwBsAGQAIAAoAEMATwBHAFMAKQAgACgAQwBPAEcAUwAvAEEAdgBlAHIAYQBnAGUAIABJAG4AdgBlAG4AdABvAHIAeQApALYAXAAiACAAJgAgAFwAbgAgACAAIAAgACAAIAAgACAAIAAgACAAIAAgACAAIAAgACAAIAAgACAAIAAgACAAIABcACIAVwBFAEIAUABBAEcARQA6ACAAIAAgACAAIAAgACAAIAAgACAAIACSIWgAdAB0AHAAcwA6AC8ALwB3AHcAdwAuAGkAbgB2AGUAcwB0AG8AcABlAGQAaQBhAC4AYwBvAG0ALwB0AGUAcgBtAHMALwBpAC8AaQBuAHYAZQBuAHQAbwByAHkAdAB1AHIAbgBvAHYAZQBy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QQB2AGUAcgBhAGcAZQBJAG4AdgBlAG4AdABvAHIAeQAgACAAIACSISgAUgBlAHEAdQBpAHIAZQBkACkAIABBAHYAZQByAGEAZwBlACAAbwBmACAAcABlAHIAaQBvAGQAIABvAHAAZQBuACAAYQBuAGQAIABjAGwAbwBzAGUAIABpAG4AdgBlAG4AdABvAHIAe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4AC4ANAA2ADEANQAzADgAIAAgACAAIAAgACAAIAAgACAAIAAgAJIhPQBvAHoALgBJAG4AdgBlAG4AdABvAHIAeQBUAHUAcgBuAG8AdgBlAHIAUgBhAHQAaQBvALsDKAAgADQAMgA5ACwAIAA1ADAALgA3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bwBzAHQATwBmAEcAbwBvAGQAcwBTAG8AbABkACkALABcAG4AIAAgACAAIAAgACAAIAAgACAAIAAgACAAIAAgACAAIAAgACAAIAAgACAAIAAgACAAIAAgACAAIABJAFMATwBNAEkAVABUAEUARAAoACAAQQB2AGUAcgBhAGcAZQBJAG4AdgBlAG4AdABvAHIAeQApAFwAbgAgACAAIAAgACAAIAAgACAAIAAgACAAIAAgACAAIAAgACAAIAAgACAAIAAgACAAIAApACwAXABuACAAIAAgACAALwAvACAAIABQAHIAbwBjAGUAZAB1AHIAZQBcAG4AIAAgACAAIAAgACAAIAAgAFIAZQBzAHUAbAB0ACwAIAAgACAAIAAgACAAIAAgACAAQwBvAHMAdABPAGYARwBvAG8AZABzAFMAbwBsAGQALwBBAHYAZQByAGEAZwBlAEkAbgB2AGUAbgB0AG8Acg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XAG8AcgBrAGkAbgBnAEMAYQBwAGkAdABhAGwAVAB1AHIAbgBvAHYAZQByAFIAYQB0AGkAbwC7A1wAbgAgACAAIAAgAEQARQBTAEMAUgBJAFAAVABJAE8ATgA6ACoALwAvACoAKgBXAG8AcgBrAGkAbgBnACAAQwBhAHAAaQB0AGEAbAAgAFQAdQByAG4AbwB2AGUAcgAgAFIAYQB0AGkAbwAgAG0AZQBhAHMAdQByAGUAcwAgAGgAbwB3ACAAZQBmAGYAaQBjAGkAZQBuAHQAbAB5ACAAYQAgAGMAbwBtAHAAYQBuAHkAIABpAHMAIAB1AHMAaQBuAGcAIABpAHQAcwAgAHcAbwByAGsAaQBuAGcAIABcAG4AYwBhAHAAaQB0AGEAbAAgAHQAbwAgAHMAdQBwAHAAbwByAHQAIABzAGEAbABlAHMAIABhAG4AZAAgAGcAcgBvAHcAdABoACAAKABOAGUAdAAgAEEAbgBuAHUAYQBsACAAUwBhAGwAZQBzAC8AQQB2AGUAcgBhAGcAZQAgAFcAbwByAGsAaQBuAGcAIABDAGEAcABpAHQAYQBsACkALgAgACoALwBcAG4AVwBvAHIAawBpAG4AZwBDAGEAcABpAHQAYQBsAFQAdQByAG4AbwB2AGUAcgBSAGEAdABpAG8AuwMgAD0AIABMAEEATQBCAEQAQQAoAFwAbgAvAC8AIAAgAFAAYQByAGEAbQBlAHQAZQByACAARABlAGMAbABhAFIAYQB0AGkAbwBuAHMAXABuACAAIAAgACAAIAAgACAAIABbAE4AZQB0AEEAbgBuAHUAYQBsAFMAYQBsAGUAcwBdACwAIAAgAFwAbgAgACAAIAAgACAAIAAgACAAWwBXAG8AcgBrAGkAbgBnAEMAYQBwAGkAdABhAGwAXQAsACAAIAAgACAAXABuAC8ALwAgACAASABlAGwAcABcAG4AIAAgACAAIABMAEUAVAAoAEgAZQBsAHAALAAgACAAIABUAFIASQBNACgAVABFAFgAVABTAFAATABJAFQAKAAgAFwAbgAgACAAIAAgACAAIAAgACAAIAAgACAAIAAgACAAIAAgACAAIAAgACAAIAAgACAAIABcACIARgBVAE4AQwBUAEkATwBOADoAIAAgACAAIAAgACAAIAAgACAAkiFXAG8AcgBrAGkAbgBnAEMAYQBwAGkAdABhAGwAVAB1AHIAbgBvAHYAZQByAFIAYQB0AGkAbwC7AygAIABOAGUAdABBAG4AbgB1AGEAbABTAGEAbABlAHMALAAgAFcAbwByAGsAaQBuAGcAQwBhAHAAaQB0AGEAbAApALYAXAAiACAAJgAgAFwAbgAgACAAIAAgACAAIAAgACAAIAAgACAAIAAgACAAIAAgACAAIAAgACAAIAAgACAAIABcACIARABFAFMAQwBSAEkAUABUAEkATwBOADoAIAAgACAAIAAgACAAkiFXAG8AcgBrAGkAbgBnACAAQwBhAHAAaQB0AGEAbAAgAFQAdQByAG4AbwB2AGUAcgAgAFIAYQB0AGkAbwAgAG0AZQBhAHMAdQByAGUAcwAgAGgAbwB3ACAAZQBmAGYAaQBjAGkAZQBuAHQAbAB5ACAAYQAgAGMAbwBtAHAAYQBuAHkAIAC2AFwAIgAgACYAXABuACAAIAAgACAAIAAgACAAIAAgACAAIAAgACAAIAAgACAAIAAgACAAIAAgACAAIAAgACAAIAAgACAAIAAgACAAIAAgACAAIAAgACAAIAAgACAAIAAgAFwAIgCSIWkAcwAgAHUAcwBpAG4AZwAgAGkAdABzACAAdwBvAHIAawBpAG4AZwAgAGMAYQBwAGkAdABhAGwAIAB0AG8AIABzAHUAcABwAG8AcgB0ACAAcwBhAGwAZQBzACAAYQBuAGQAIABnAHIAbwB3AHQAaAAgALYAXAAiACAAJgBcAG4AIAAgACAAIAAgACAAIAAgACAAIAAgACAAIAAgACAAIAAgACAAIAAgACAAIAAgACAAIAAgACAAIAAgACAAIAAgACAAIAAgACAAIAAgACAAIAAgACAAXAAiAJIhKABOAGUAdAAgAEEAbgBuAHUAYQBsACAAUwBhAGwAZQBzAC8AQQB2AGUAcgBhAGcAZQAgAFcAbwByAGsAaQBuAGcAIABDAGEAcABpAHQAYQBsACkALgAgALYAXAAiACAAJgBcAG4AIAAgACAAIAAgACAAIAAgACAAIAAgACAAIAAgACAAIAAgACAAIAAgACAAIAAgACAAXAAiAFcARQBCAFAAQQBHAEUAOgAgACAAIAAgACAAIAAgACAAIAAgAJIhaAB0AHQAcABzADoALwAvAHcAdwB3AC4AaQBuAHYAZQBzAHQAbwBwAGUAZABpAGEALgBjAG8AbQAvAHQAZQByAG0AcwAvAHcALwB3AG8AcgBrAGkAbgBnAGMAYQBwAGkAdABhAGwAdAB1AHIAbgBvAHYAZQByAC4AYQBzAHAAIAC2AFwAIgAgACYAXABuACAAIAAgACAAIAAgACAAIAAgACAAIAAgACAAIAAgACAAIAAgACAAIAAgACAAIAAgAFwAIgBWAEUAUgBTAEkATwBOADoAIAAgACAAIAAgACAAIAAgACAAIACSITIAMAAgAEEAdQBnACAAMgAwADIANgC2AFwAIgAgACYAXABuACAAIAAgACAAIAAgACAAIAAgACAAIAAgACAAIAAgACAAIAAgACAAIAAgACAAIAAgAFwAIgBQAEEAUgBBAE0ARQBUAEUAUgBTADoAkiG2AFwAIgAgACYAIABcAG4AIAAgACAAIAAgACAAIAAgACAAIAAgACAAIAAgACAAIAAgACAAIAAgACAAIAAgACAAXAAiAE4AZQB0AEEAbgBuAHUAYQBsAFMAYQBsAGUAcwAgACAAIAAgAJIhKABSAGUAcQB1AGkAcgBlAGQAKQAgAE4AZQB0ACAAQQBuAG4AdQBhAGwAIABTAGEAbABlAHMAIABjAGEAbgAgAGkAbgBjAGwAdQBkAGUAOgC2AFwAIgAgACYAXABuACAAIAAgACAAIAAgACAAIAAgACAAIAAgACAAIAAgACAAIAAgACAAIAAgACAAIAAgACAAIAAgACAAIAAgACAAIAAgACAAIAAgACAAIAAgACAAIAAgAFwAIgCSIUcAcgBvAHMAcwAgAHMAYQBsAGUAcwC2AFwAIgAgACYAXABuACAAIAAgACAAIAAgACAAIAAgACAAIAAgACAAIAAgACAAIAAgACAAIAAgACAAIAAgACAAIAAgACAAIAAgACAAIAAgACAAIAAgACAAIAAgACAAIAAgAFwAIgCSIUwAZQBzAHMAIAByAGUAdAB1AHIAbgBzALYAXAAiACAAJgBcAG4AIAAgACAAIAAgACAAIAAgACAAIAAgACAAIAAgACAAIAAgACAAIAAgACAAIAAgACAAIAAgACAAIAAgACAAIAAgACAAIAAgACAAIAAgACAAIAAgACAAXAAiAJIhTABlAHMAcwAgAGEAbABsAG8AdwBhAG4AYwBlAHMAtgBcACIAIAAmAFwAbgAgACAAIAAgACAAIAAgACAAIAAgACAAIAAgACAAIAAgACAAIAAgACAAIAAgACAAIAAgACAAIAAgACAAIAAgACAAIAAgACAAIAAgACAAIAAgACAAIABcACIAkiFMAGUAcwBzACAAZABpAHMAYwBvAHUAbgB0AHMAtgBcACIAIAAmACAAXABuACAAIAAgACAAIAAgACAAIAAgACAAIAAgACAAIAAgACAAIAAgACAAIAAgACAAIAAgAFwAIgBXAG8AcgBrAGkAbgBnAEMAYQBwAGkAdABhAGwAIAAgACAAIACSISgAUgBlAHEAdQBpAHIAZQBkACkAIABBAHYAZQByAGEAZwBlACAAbwBmACAAcABlAHIAaQBvAGQAIABvAHAAZQBuACAAYQBuAGQAIABjAGwAbwBzAGUAIABjAHUAcgByAGUAbgB0ACAAYQBzAHMAdABzACAAbABlAHMAcwAgAGMAdQByAHIAZQBuACAAbABpAGEAYgBpAGwAaQB0AGkAZQBzAC4AtgBcACIAIAAmACAAXABuACAAIAAgACAAIAAgACAAIAAgACAAIAAgACAAIAAgACAAIAAgACAAIAAgACAAIAAgAFwAIgBFAFgAQQBNAFAATABFAFMAOgAgACAAIAAgACAAIAAgACAAIACSIUYAbwByAG0AdQBsAGEAIAAoAG8AegAgAGkAcwAgAGEAcwBzAHUAbQBlAGQAIAB0AG8AIABiAGUAIAB0AGgAZQAgAG0AbwBkAHUAbABlACcAcwAgAG4AYQBtAGUAKQC2AFwAIgAgACYAXABuACAAIAAgACAAIAAgACAAIAAgACAAIAAgACAAIAAgACAAIAAgACAAIAAgACAAIAAgAFwAIgA2AC4AMAAgACAAIAAgACAAIAAgACAAIAAgACAAIAAgACAAIACSIT0AbwB6AC4AVwBvAHIAawBpAG4AZwBDAGEAcABpAHQAYQBsAFQAdQByAG4AbwB2AGUAcgBSAGEAdABpAG8AuwMoACAAMQAyAC4AMAAsACAAMg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QBuAG4AdQBhAGwAUwBhAGwAZQBzACkALABcAG4AIAAgACAAIAAgACAAIAAgACAAIAAgACAAIAAgACAAIAAgACAAIAAgACAAIAAgACAAIAAgACAAIABJAFMATwBNAEkAVABUAEUARAAoACAAVwBvAHIAawBpAG4AZwBDAGEAcABpAHQAYQBsACkAXABuACAAIAAgACAAIAAgACAAIAAgACAAIAAgACAAIAAgACAAIAAgACAAIAAgACAAIAAgACkALABcAG4AIAAgACAAIAAvAC8AIAAgAFAAcgBvAGMAZQBkAHUAcgBlAFwAbgAgACAAIAAgACAAIAAgACAAUgBlAHMAdQBsAHQALAAgACAAIAAgACAAIAAgACAAIABOAGUAdABBAG4AbgB1AGEAbABTAGEAbABlAHMALwBXAG8AcgBrAGkAbgBn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ABlAHYAZQByAGEAZwBlACAAUgBhAHQAaQBvAHMAIAAoAGEAawBhACAAUwBvAGwAdgBlAG4AYwB5ACAAUgBhAHQAaQBvAHMAKQBcAG4AXABuAFwAbgBcAG4ALwAqACAAIABGAFUATgBDAFQASQBPAE4AIABOAEEATQBFADoAIAAgAEQAZQBiAHQAUgBhAHQAaQBvALsDXABuACAAIAAgACAARABFAFMAQwBSAEkAUABUAEkATwBOADoAKgAvAC8AKgAqAE0AZQBhAHMAdQByAGUAcwAgAHQAaABlACAAZQB4AHQAZQBuAHQAIABvAGYAIABhACAAYwBvAG0AcABhAG4AeQAZIHMAIABnAGUAYQByAGkAbgBnACAAKgAvAFwAbgBEAGUAYg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RABlAGIAdABSAGEAdABpAG8AuwMoACAAVABvAHQAYQBsAEQAZQBiAHQALAAgAFQAbwB0AGEAbABBAHMAcwBlAHQAcwApALYAXAAiACAAJgAgAFwAbgAgACAAIAAgACAAIAAgACAAIAAgACAAIAAgACAAIAAgACAAIAAgACAAIAAgACAAIABcACIARABFAFMAQwBSAEkAUABUAEkATwBOADoAIAAgACAAkiFNAGUAYQBzAHUAcgBlAHMAIAB0AGgAZQAgAGUAeAB0AGUAbgB0ACAAbwBmACAAYQAgAGMAbwBtAHAAYQBuAHkAGSBzACAAbABlAHYAZQByAGEAZwBlACAAKABUAG8AdABhAGwARABlAGIAdAAvAFQAbwB0AGEAbABBAHMAcwBlAHQAcwApALYAXAAiACAAJgAgAFwAbgAgACAAIAAgACAAIAAgACAAIAAgACAAIAAgACAAIAAgACAAIAAgACAAIAAgACAAIABcACIAVwBFAEIAUABBAEcARQA6ACAAIAAgACAAIAAgACAAkiFoAHQAdABwAHMAOgAvAC8AdwB3AHcALgBpAG4AdgBlAHMAdABvAHAAZQBkAGkAYQAuAGMAbwBtAC8AdABlAHIAbQBzAC8AZAAvAGQAZQBiAHQAcgBhAHQAaQBvAC4AYQBzAHAAIw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VABvAHQAYQBsAEQAZQBiAHQAIAAgACAAIAAgACAAkiEoAFIAZQBxAHUAaQByAGUAZAApACAAVABvAHQAYQBsACAARABlAGIAdAAgALYAXAAiACAAJgAgAFwAbgAgACAAIAAgACAAIAAgACAAIAAgACAAIAAgACAAIAAgACAAIAAgACAAIAAgACAAIABcACIAVABvAHQAYQBsAEEAcwBzAGUAdABzACAAIAAgACAAkiEoAFIAZQBxAHUAaQByAGUAZAApACAAVABvAHQAYQBsACAAQQBzAHMAZQB0AHMAIAC2AFwAIgAgACYAIABcAG4AIAAgACAAIAAgACAAIAAgACAAIAAgACAAIAAgACAAIAAgACAAIAAgACAAIAAgACAAXAAiAFMARQBFACAAQQBMAFMATwA6ACAAIAAgACAAIAAgAJIhRABlAGIAdABUAG8AQQBzAHMAZQB0AFIAYQB0AGkAbwC7AyAAYwBvAG0AcAB1AHQAZQBzACAAdABoAGUAIABzAGEAbQBlACAAcgBhAHQAaQBvACAAdQBuAGQAZQByACAAaQB0AHMAIABsAG8AbgBnAGUAcgAgAG4AYQBtAGUALg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C4AMwAgACAAIAAgACAAIAAgACAAIAAgACAAIAAgAJIhPQBvAHoALgBEAGUAYgB0AFIAYQB0AGkAbwC7AygAMwAwAC4AMAAsACAAMQAw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MAUgC7A1wAbgAgACAAIAAgAEQARQBTAEMAUgBJAFAAVABJAE8ATgA6ACoALwAvACoAKgBEAGUAYgB0ACAAcwBlAHIAdgBpAGMAZQAgAGMAbwB2AGUAcgBhAGcAZQAgAFIAYQB0AGkAbwAgAG0AZQBhAHMAdQByAGUAcwAgAGEAIABmAGkAcgBtABkgcwAgAGEAdgBhAGkAbABhAGIAbABlACAAYwBhAHMAaAAgAGYAbABvAHcAIAB0AG8AIABwAGEAeQAgAGkAdABzACAAXABuAGMAdQByAHIAZQBuAHQAIABkAGUAYgB0ACAAbwBiAGwAaQBnAGEAdABpAG8AbgBzACgATgBlAHQAIABPAHAAZQByAGEAdABpAG4AZwAgAEkAbgBjAG8AbQBlAC8AVABvAHQAYQBsACAARABlAGIAdAAgAFMAZQByAHYAaQBjAGUAKQAgACoALwBcAG4ARABTAEMAUgC7AyAAPQAgAEwAQQBNAEIARABBACgAXABuAC8ALwAgACAAUABhAHIAYQBtAGUAdABlAHIAIABEAGUAYwBsAGEAUgBhAHQAaQBvAG4AcwBcAG4AIAAgACAAIAAgACAAIAAgAFsATgBlAHQATwBwAGUAcgBhAHQAaQBuAGcASQBuAGMAbwBtAGUAXQAsACAAIABcAG4AIAAgACAAIAAgACAAIAAgAFsAVABvAHQAYQBsAEQAZQBiAHQAUwBlAHIAdgBpAGMAZQBdACwAIAAgACAAIABcAG4ALwAvACAAIABIAGUAbABwAFwAbgAgACAAIAAgAEwARQBUACgASABlAGwAcAAsACAAIAAgAFQAUgBJAE0AKABUAEUAWABUAFMAUABMAEkAVAAoACAAXABuACAAIAAgACAAIAAgACAAIAAgACAAIAAgACAAIAAgACAAIAAgACAAIAAgACAAIAAgAFwAIgBGAFUATgBDAFQASQBPAE4AOgAgACAAIAAgACAAIAAgACAAIAAgAJIhRABTAEMAUgC7AygAIABOAGUAdABPAHAAZQByAGEAdABpAG4AZwBJAG4AYwBvAG0AZQAsACAAVABvAHQAYQBsAEQAZQBiAHQAUwBlAHIAdgBpAGMAZQApALYAXAAiACAAJgAgAFwAbgAgACAAIAAgACAAIAAgACAAIAAgACAAIAAgACAAIAAgACAAIAAgACAAIAAgACAAIABcACIARABFAFMAQwBSAEkAUABUAEkATwBOADoAIAAgACAAIAAgACAAIACSIU0AZQBhAHMAdQByAGUAcwAgAGEAIABmAGkAcgBtABkgcwAgAGEAdgBhAGkAbABhAGIAbABlACAAYwBhAHMAaAAgAGYAbABvAHcAIAB0AG8AIABwAGEAeQAgAGkAdABzACAAYwB1AHIAcgBlAG4AdAAgAGQAZQBiAHQAIABvAGIAbABpAGcAYQB0AGkAbwBuAHMAtgBcACIAIAAmAFwAbgAgACAAIAAgACAAIAAgACAAIAAgACAAIAAgACAAIAAgACAAIAAgACAAIAAgACAAIAAgACAAIAAgACAAIAAgACAAIAAgACAAIAAgACAAIAAgACAAIAAgAFwAIgCSISgATgBlAHQAIABPAHAAZQByAGEAdABpAG4AZwAgAEkAbgBjAG8AbQBlAC8AVABvAHQAYQBsACAARABlAGIAdAAgAFMAZQByAHYAaQBjAGUAKQC2AFwAIgAgACYAIABcAG4AIAAgACAAIAAgACAAIAAgACAAIAAgACAAIAAgACAAIAAgACAAIAAgACAAIAAgACAAXAAiAFcARQBCAFAAQQBHAEUAOgAgACAAIAAgACAAIAAgACAAIAAgACAAkiFoAHQAdABwAHMAOgAvAC8AdwB3AHcALgBpAG4AdgBlAHMAdABvAHAAZQBkAGkAYQAuAGMAbwBtAC8AdABlAHIAbQBzAC8AZAAvAGQAcwBjAHI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OAGUAdABPAHAAZQByAGEAdABpAG4AZwBJAG4AYwBvAG0AZQAgAJIhKABSAGUAcQB1AGkAcgBlAGQAKQAgAEkAbgBjAG8AbQBlACAAbQBlAGEAcwB1AHIAZQAgAGQAZQBmAGkAbgBlAGQAIABiAHkAIAB0AGgAZQAgAGEAcABwAGwAaQBjAGEAYgBsAGUAIABjAG8AdgBlAG4AYQBuAHQAtgBcACIAIAAmACAAXABuACAAIAAgACAAIAAgACAAIAAgACAAIAAgACAAIAAgACAAIAAgACAAIAAgACAAIAAgAFwAIgBUAG8AdABhAGwARABlAGIAdABTAGUAcgB2AGkAYwBlACAAIAAgAJIhKABSAGUAcQB1AGkAcgBlAGQAKQAgAFAAcgBpAG4AYwBpAHAAYQBsACwAIABpAG4AdABlAHIAZQBzAHQAIABhAG4AZAAgAG8AdABoAGUAcgAgAHAAYQB5AG0AZQBuAHQAcwAgAGQAZQBmAGkAbgBlAGQAIABiAHkAIAB0AGgAYQB0ACAAYwBvAHYAZQBuAGEAbgB0ALYAXAAiACAAJgBcAG4AIAAgACAAIAAgACAAIAAgACAAIAAgACAAIAAgACAAIAAgACAAIAAgACAAIAAgACAAIAAgACAAIAAgACAAIAAgACAAIAAgACAAIAAgACAAIAAgACAAIABcACIAkiFVAHMAZQAgAHQAaABlACAAcwBhAG0AZQAgAHAAZQByAGkAbwBkAC4AIABUAGEAeAAtAGEAZABqAHUAcwB0ACAAaQBuAHQAZQByAGUAcwB0ACAAbwBuAGwAeQAgAGkAZgAgAHQAaABlACAAYwBvAHYAZQBuAGEAbgB0ACAAcgBlAHEAdQBpAHIAZQBzACAAaQB0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2AC4AMQA0ADIAOAA1ADcAIAAgACAAIAAgACAAIAAgACAAIAAgAJIhPQBvAHoALgBEAFMAQwBSALsDKAAyADEANQAwAC4AMAAsACAAMwA1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EkAbgBjAG8AbQBlACkALABcAG4AIAAgACAAIAAgACAAIAAgACAAIAAgACAAIAAgACAAIAAgACAAIAAgACAAIAAgACAAIAAgACAAIABJAFMATwBNAEkAVABUAEUARAAoACAAVABvAHQAYQBsAGQAZQBiAHQAcwBlAHIAdgBpAGMAZQApAFwAbgAgACAAIAAgACAAIAAgACAAIAAgACAAIAAgACAAIAAgACAAIAAgACAAIAAgACAAIAApACwAXABuACAAIAAgACAALwAvACAAIABQAHIAbwBjAGUAZAB1AHIAZQBcAG4AIAAgACAAIAAgACAAIAAgAFIAZQBzAHUAbAB0ACwAIAAgACAAIAAgACAAIAAgACAATgBlAHQATwBwAGUAcgBhAHQAaQBuAGcASQBuAGMAbwBtAGUALwBUAG8AdABhAGwARABlAGIAdABTAGUAcgB2AGkAYw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DAGEAcABpAHQAYQBsAFIAYQB0AGkAbwC7A1wAbgAgACAAIAAgAEQARQBTAEMAUgBJAFAAVABJAE8ATgA6ACoALwAvACoAKgBHAGkAdgBlAHMAIABhAG4AYQBsAHkAcwB0AHMAIABhAG4AZAAgAGkAbgB2AGUAcwB0AG8AcgBzACAAYQAgAGIAZQB0AHQAZQByACAAaQBkAGUAYQAgAG8AZgAgAGEAIABjAG8AbQBwAGEAbgB5ACcAcwAgAGYAaQBuAGEAbgBjAGkAYQBsACAAcwB0AHIAdQBjAHQAdQByAGUAXABuAGEAbgBkACAAdwBoAGUAdABoAGUAcgAgAG8AcgAgAG4AbwB0ACAAdABoAGUAIABjAG8AbQBwAGEAbgB5ACAAaQBzACAAYQAgAHMAdQBpAHQAYQBiAGwAZQAgAGkAbgB2AGUAcwB0AG0AZQBuAHQAIAAoAEQAZQBiAHQALwAoAEQAZQBiAHQAIAArACAAUwBoAGEAcgBlAGgAbwBsAGQAZQByAHMAJwAgAGUAcQB1AGkAdAB5ACkAIAAqAC8AXABuAEQAZQBiAHQAVABvAEMAYQBwAGkAdABhAGwAUgBhAHQAaQBvALsDIAA9ACAATABBAE0AQgBEAEEAKABcAG4ALwAvACAAIABQAGEAcgBhAG0AZQB0AGUAcgAgAEQAZQBjAGwAYQBSAGEAdABpAG8AbgBzAFwAbgAgACAAIAAgACAAIAAgACAAWwBEAGUAYgB0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DAGEAcABpAHQAYQBsAFIAYQB0AGkAbwC7AygAIABEAGUAYgB0ACwAIABTAGgAYQByAGUAaABvAGwAZABlAHIAcwBFAHEAdQBpAHQAeQApALYAXAAiACAAJgAgAFwAbgAgACAAIAAgACAAIAAgACAAIAAgACAAIAAgACAAIAAgACAAIAAgACAAIAAgACAAIABcACIARABFAFMAQwBSAEkAUABUAEkATwBOADoAIAAgACAAIAAgACAAIACSIUcAaQB2AGUAcwAgAGEAbgBhAGwAeQBzAHQAcwAgAGEAbgBkACAAaQBuAHYAZQBzAHQAbwByAHMAIABhACAAYgBlAHQAdABlAHIAIABpAGQAZQBhACAAbwBmACAAYQAgAGMAbwBtAHAAYQBuAHkAJwBzACAAZgBpAG4AYQBuAGMAaQBhAGwAIABzAHQAcgB1AGMAdAB1AHIAZQC2AFwAIgAgACYAXABuACAAIAAgACAAIAAgACAAIAAgACAAIAAgACAAIAAgACAAIAAgACAAIAAgACAAIAAgACAAIAAgACAAIAAgACAAIAAgACAAIAAgACAAIAAgACAAIAAgACAAXAAiAJIhYQBuAGQAIAB3AGgAZQB0AGgAZQByACAAbwByACAAbgBvAHQAIAB0AGgAZQAgAGMAbwBtAHAAYQBuAHkAIABpAHMAIABhACAAcwB1AGkAdABhAGIAbABlACAAaQBuAHYAZQBzAHQAbQBlAG4AdAAuALYAXAAiACAAJgAgAFwAbgAgACAAIAAgACAAIAAgACAAIAAgACAAIAAgACAAIAAgACAAIAAgACAAIAAgACAAIAAgACAAIAAgACAAIAAgACAAIAAgACAAIAAgACAAIAAgACAAIAAgAFwAIgCSISgARABlAGIAdAAvACgARABlAGIAdAAgACsAIABTAGgAYQByAGUAaABvAGwAZABlAHIAcwAnACAAZQBxAHUAaQB0AHkAKQC2AFwAIgAgACYAIABcAG4AIAAgACAAIAAgACAAIAAgACAAIAAgACAAIAAgACAAIAAgACAAIAAgACAAIAAgACAAXAAiAFcARQBCAFAAQQBHAEUAOgAgACAAIAAgACAAIAAgACAAIAAgACAAkiFoAHQAdABwAHMAOgAvAC8AdwB3AHcALgBpAG4AdgBlAHMAdABvAHAAZQBkAGkAYQAuAGMAbwBtAC8AdABlAHIAbQBzAC8AZAAvAGQAZQBiAHQALQB0AG8ALQBjAGEAcABpAHQAYQBs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QAZQBiAHQAIAAgACAAIAAgACAAIAAgACAAIAAgACAAIAAgACAAkiEoAFIAZQBxAHUAaQByAGUAZAApACAAVABvAHQAYQBsACAARABlAGIAdAAgAHcAaABpAGMAaAAgAGMAYQBuACAAaQBuAGMAbAB1AGQAZQA6ACAAtgBcACIAIAAmAFwAbgAgACAAIAAgACAAIAAgACAAIAAgACAAIAAgACAAIAAgACAAIAAgACAAIAAgACAAIAAgACAAIAAgACAAIAAgACAAIAAgACAAIAAgACAAIAAgACAAIAAgAFwAIgCSIU4AbwB0AGUAcwAgAHAAYQB5AGEAYgBsAGUAtgBcACIAIAAmAFwAbgAgACAAIAAgACAAIAAgACAAIAAgACAAIAAgACAAIAAgACAAIAAgACAAIAAgACAAIAAgACAAIAAgACAAIAAgACAAIAAgACAAIAAgACAAIAAgACAAIAAgAFwAIgCSIUIAbwBuAGQAcwAgAHAAYQB5AGEAYgBsAGUAtgBcACIAIAAmAFwAbgAgACAAIAAgACAAIAAgACAAIAAgACAAIAAgACAAIAAgACAAIAAgACAAIAAgACAAIAAgACAAIAAgACAAIAAgACAAIAAgACAAIAAgACAAIAAgACAAIAAgAFwAIgCSIUwAbwBuAGcALQB0AGUAcgBtACAAbABpAGEAYgBpAGwAaQB0AGkAZQBzALYAXAAiACAAJg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DYALgA0ACUAIAAgACAAIAAgACAAIAAgACAAIAAgACAAIAAgAJIhPQBvAHoALgBEAGUAYgB0AFQAbwBDAGEAcABpAHQAYQBsAFIAYQB0AGkAbwC7AygAIAA4ADAALgAwACwAIAAyADIAMw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UAYgB0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QAZQBiAHQALwAoAEQAZQBiAHQAKwBTAGgAYQByAGUAaABvAGwAZABlAHIAcwBFAHEAdQBpAHQAeQAp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NAHUAbAB0AGkAcABsAGkAZQByALsDXABuACAAIAAgACAARABFAFMAQwBSAEkAUABUAEkATwBOADoAKgAvAC8AKgAqAE0AZQBhAHMAdQByAGUAcwAgAHQAaABlACAAcABvAHIAdABpAG8AbgAgAG8AZgAgAGEAIABjAG8AbQBwAGEAbgB5ABkgcwAgAGEAcwBzAGUAdABzACAAZgBpAG4AYQBuAGMAZQBkACAAYgB5ACAAcwBoAGEAcgBlAGgAbwBsAGQAZQByAHMAJwBcAG4AZQBxAHUAaQB0AHkAIAByAGEAdABoAGUAcgAgAHQAaABhAG4AIABiAHkAIABkAGUAYgB0ACAAKABUAG8AdABhAGwAQQBzAHMAZQB0AHMALwBUAG8AdABhAGwAUwBoAGEAcgBlAGgAbwBsAGQAZQByAHMARQBxAHUAaQB0AHkAKQAgACoALwBcAG4ARQBxAHUAaQB0AHkATQB1AGwAdABpAHAAbABpAGUAcgC7AyAAPQAgAEwAQQBNAEIARABBACgAXABuAC8ALwAgACAAUABhAHIAYQBtAGUAdABlAHIAIABEAGUAYwBsAGEAUgBhAHQAaQBvAG4AcwBcAG4AIAAgACAAIAAgACAAIAAgAFsAVABvAHQAYQBsAEEAcwBzAGUAdABzAF0ALAAgACAAXABuACAAIAAgACAAIAAgACAAIABbAFQAbwB0AGEAbA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QBxAHUAaQB0AHkATQB1AGwAdABpAHAAbABpAGUAcgC7AygAIABUAG8AdABhAGwAQQBzAHMAZQB0AHMALAAgAFQAbwB0AGEAbABTAGgAYQByAGUAaABvAGwAZABlAHIAcwBFAHEAdQBpAHQAeQApALYAXAAiACAAJgAgAFwAbgAgACAAIAAgACAAIAAgACAAIAAgACAAIAAgACAAIAAgACAAIAAgACAAIAAgACAAIABcACIARABFAFMAQwBSAEkAUABUAEkATwBOADoAIAAgACAAIAAgACAAIACSIU0AZQBhAHMAdQByAGUAcwAgAHQAaABlACAAcABvAHIAdABpAG8AbgAgAG8AZgAgAGEAIABjAG8AbQBwAGEAbgB5ABkgcwAgAGEAcwBzAGUAdABzACAAZgBpAG4AYQBuAGMAZQBkACAAYgB5ACAAcwBoAGEAcgBlAGgAbwBsAGQAZQByAHMAJwAgALYAXAAiACAAJgBcAG4AIAAgACAAIAAgACAAIAAgACAAIAAgACAAIAAgACAAIAAgACAAIAAgACAAIAAgACAAIAAgACAAIAAgACAAIAAgACAAIAAgACAAIAAgACAAIAAgACAAIABcACIAkiFlAHEAdQBpAHQAeQAgAHIAYQB0AGgAZQByACAAdABoAGEAbgAgAGIAeQAgAGQAZQBiAHQAIAAoAFQAbwB0AGEAbABBAHMAcwBlAHQAcwAvAFQAbwB0AGEAbABTAGgAYQByAGUAaABvAGwAZABlAHIAcwBFAHEAdQBpAHQAeQApALYAXAAiACAAJgAgAFwAbgAgACAAIAAgACAAIAAgACAAIAAgACAAIAAgACAAIAAgACAAIAAgACAAIAAgACAAIABcACIAVwBFAEIAUABBAEcARQA6ACAAIAAgACAAIAAgACAAIAAgACAAIACSIWgAdAB0AHAAcwA6AC8ALwB3AHcAdwAuAGkAbgB2AGUAcwB0AG8AcABlAGQAaQBhAC4AYwBvAG0ALwB0AGUAcgBtAHMALwBlAC8AZQBxAHUAaQB0AHkAbQB1AGwAdABpAHAAbABpAGUAc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VABvAHQAYQBs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C4ANAAwADYAMgA1ACAAIAAgACAAIAAgACAAIAAgACAAIAAgAJIhPQBvAHoALgBFAHEAdQBpAHQAeQBNAHUAbAB0AGkAcABsAGkAZQByALsDKAAzADYANgAuADYALAAgADgAMwAu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QQBzAHMAZQB0AHMAKQAsAFwAbgAgACAAIAAgACAAIAAgACAAIAAgACAAIAAgACAAIAAgACAAIAAgACAAIAAgACAAIAAgACAAIAAgAEkAUwBPAE0ASQBUAFQARQBEACgAIABUAG8AdABhAGwAUwBoAGEAcgBlAGgAbwBsAGQAZQByAHMARQBxAHUAaQB0AHkAKQBcAG4AIAAgACAAIAAgACAAIAAgACAAIAAgACAAIAAgACAAIAAgACAAIAAgACAAIAAgACAAKQAsAFwAbgAgACAAIAAgAC8ALwAgACAAUAByAG8AYwBlAGQAdQByAGUAXABuACAAIAAgACAAIAAgACAAIABSAGUAcwB1AGwAdAAsACAAIAAgACAAIAAgACAAIAAgAFQAbwB0AGEAbABBAHMAcwBlAHQAcwAvAFQAbwB0AGEAbA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BcAG4AXABuAFwAbgBcAG4ALwAvACAAIABTAG8AbAB2AGUAbgBjAHkAIABSAGEAdABpAG8AcwBcAG4AXABuACAAXABuAC8AKgAgACAARgBVAE4AQwBUAEkATwBOACAATgBBAE0ARQA6ACAAIABEAGUAYgB0AFQAbwBFAHEAdQBpAHQAeQBSAGEAdABpAG8AuwNcAG4AIAAgACAAIABEAEUAUwBDAFIASQBQAFQASQBPAE4AOgAqAC8ALwAqACoATQBlAGEAcwB1AHIAZQBzACAAdABoAGUAIABkAGUAZwByAGUAZQAgAHQAbwAgAHcAaABpAGMAaAAgAGEAIABjAG8AbQBwAGEAbgB5ACAAaQBzACAAZgBpAG4AYQBuAGMAaQBuAGcAIABvAHAAZQByAGEAdABpAG8AbgBzAFwAbgB3AGkAdABoACAAZABlAGIAdAAgAHIAYQB0AGgAZQByACAAdABoAGEAbgAgAGkAdABzACAAbwB3AG4AIAByAGUAcwBvAHUAcgBjAGUAcwAuACAAKABUAG8AdABhAGwAIABMAGkAYQBiAGkAbABpAHQAaQBlAHMALwBTAGgAYQByAGUAaABvAGwAZABlAHIAcwAnACAARQBxAHUAaQB0AHkAKQAgACoALwBcAG4ARABlAGIAdABUAG8ARQBxAHUAaQB0AHkAUgBhAHQAaQBvALsDIAA9ACAATABBAE0AQgBEAEEAKABcAG4ALwAvACAAIABQAGEAcgBhAG0AZQB0AGUAcgAgAEQAZQBjAGwAYQBSAGEAdABpAG8AbgBzAFwAbgAgACAAIAAgACAAIAAgACAAWwBUAG8AdABhAGwATABpAGEAYgBpAGwAaQB0AGkAZQBz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FAHEAdQBpAHQAeQBSAGEAdABpAG8AuwMoACAAVABvAHQAYQBsAEwAaQBhAGIAaQBsAGkAdABpAGUAcwAsACAAUwBoAGEAcgBlAGgAbwBsAGQAZQByAHMARQBxAHUAaQB0AHkAKQC2AFwAIgAgACYAIABcAG4AIAAgACAAIAAgACAAIAAgACAAIAAgACAAIAAgACAAIAAgACAAIAAgACAAIAAgACAAXAAiAEQARQBTAEMAUgBJAFAAVABJAE8ATgA6ACAAIAAgACAAIAAgACAAkiFNAGUAYQBzAHUAcgBlAHMAIAB0AGgAZQAgAGQAZQBnAHIAZQBlACAAdABvACAAdwBoAGkAYwBoACAAYQAgAGMAbwBtAHAAYQBuAHkAIABpAHMAIABmAGkAbgBhAG4AYwBpAG4AZwAgAG8AcABlAHIAYQB0AGkAbwBuAHMAtgBcACIAIAAmAFwAbgAgACAAIAAgACAAIAAgACAAIAAgACAAIAAgACAAIAAgACAAIAAgACAAIAAgACAAIAAgACAAIAAgACAAIAAgACAAIAAgACAAIAAgACAAIAAgACAAIAAgAFwAIgCSIXcAaQB0AGgAIABkAGUAYgB0ACAAcgBhAHQAaABlAHIAIAB0AGgAYQBuACAAaQB0AHMAIABvAHcAbgAgAHIAZQBzAG8AdQByAGMAZQBzAC4AIAAoAFQAbwB0AGEAbAAgAEwAaQBhAGIAaQBsAGkAdABpAGUAcwAvAFMAaABhAHIAZQBoAG8AbABkAGUAcgBzACcAIABFAHEAdQBpAHQAeQApALYAXAAiACAAJgAgAFwAbgAgACAAIAAgACAAIAAgACAAIAAgACAAIAAgACAAIAAgACAAIAAgACAAIAAgACAAIABcACIAVwBFAEIAUABBAEcARQA6ACAAIAAgACAAIAAgACAAIAAgACAAIACSIWgAdAB0AHAAcwA6AC8ALwB3AHcAdwAuAGkAbgB2AGUAcwB0AG8AcABlAGQAaQBhAC4AYwBvAG0ALwB0AGUAcgBtAHMALwBkAC8AZABlAGIAdABlAHEAdQBpAHQAeQ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VABvAHQAYQBsAEwAaQBhAGIAaQBsAGkAdABpAGUAcwAgACAAIACSISgAUgBlAHEAdQBpAHIAZQBkACkAIABUAG8AdABhAGwAIABMAGkAYQBiAGkAbABpAHQAaQBlAHMA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wAuADcANwAgACAAIAAgACAAIAAgACAAIAAgACAAIAAgACAAIACSIT0AbwB6AC4ARABlAGIAdABUAG8ARQBxAHUAaQB0AHkAUgBhAHQAaQBvALsDKAAyADcAOQAuADAALAAgADcAN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TABpAGEAYgBpAGwAaQB0AGkAZQBz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FQAbwB0AGEAbABMAGkAYQBiAGkAbABpAHQAaQBlAHM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QBzAHMAZQB0AFIAYQB0AGkAbwC7A1wAbgAgACAAIAAgAEQARQBTAEMAUgBJAFAAVABJAE8ATgA6ACoALwAvACoAKgBBAG4AYQBsAHkAcwB0AHMAIABjAGEAbgAgAGMAbwBtAHAAYQByAGUAIABvAG4AZQAgAGMAbwBtAHAAYQBuAHkAJwBzACAAZwBlAGEAcgBpAG4AZwAgAHcAaQB0AGgAIAB0AGgAYQB0ACAAbwBmACAAbwB0AGgAZQByACAAXABuAGMAbwBtAHAAYQBuAGkAZQBzACAAaQBuACAAdABoAGUAIABzAGEAbQBlACAAaQBuAGQAdQBzAHQAcgB5AC4AIAAoAFQAbwB0AGEAbAAgAEQAZQBiAHQALwBUAG8AdABhAGwAIABBAHMAcwBlAHQAcwApACAAKgAvAFwAbgBEAGUAYgB0AFQAbwBBAHMAcwBl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IAAgACAAIACSIUQAZQBiAHQAVABvAEEAcwBzAGUAdABSAGEAdABpAG8AuwMoACAAVABvAHQAYQBsAEQAZQBiAHQALAAgAFQAbwB0AGEAbABBAHMAcwBlAHQAcwApALYAXAAiACAAJgAgAFwAbgAgACAAIAAgACAAIAAgACAAIAAgACAAIAAgACAAIAAgACAAIAAgACAAIAAgACAAIABcACIARABFAFMAQwBSAEkAUABUAEkATwBOADoAIAAgACAAIAAgACAAIACSIUEAbgBhAGwAeQBzAHQAcwAgAGMAYQBuACAAYwBvAG0AcABhAHIAZQAgAG8AbgBlACAAYwBvAG0AcABhAG4AeQAnAHMAIABsAGUAdgBlAHIAYQBnAGUAIAB3AGkAdABoACAAdABoAGEAdAAgAG8AZgAgAG8AdABoAGUAcgAgAHkAtgBcACIAIAAmAFwAbgAgACAAIAAgACAAIAAgACAAIAAgACAAIAAgACAAIAAgACAAIAAgACAAIAAgACAAIAAgACAAIAAgACAAIAAgACAAIAAgACAAIAAgACAAIAAgACAAIAAgAFwAIgCSIWMAbwBtAHAAYQBuAGkAZQBzACAAaQBuACAAdABoAGUAIABzAGEAbQBlACAAaQBuAGQAdQBzAHQAcgB5ACAAKABUAG8AdABhAGwAIABEAGUAYgB0AC8AVABvAHQAYQBsACAAQQBzAHMAZQB0AHMAKQC2AFwAIgAgACYAXABuACAAIAAgACAAIAAgACAAIAAgACAAIAAgACAAIAAgACAAIAAgACAAIAAgACAAIAAgAFwAIgBXAEUAQgBQAEEARwBFADoAIAAgACAAIAAgACAAIAAgACAAIAAgAJIhaAB0AHQAcABzADoALwAvAHcAdwB3AC4AaQBuAHYAZQBzAHQAbwBwAGUAZABpAGEALgBjAG8AbQAvAHQAZQByAG0AcwAvAHQALwB0AG8AdABhAGwAZABlAGIAdAB0AG8AdABvAHQAYQBsAGEAcwBzAGUAdABz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FQAbwB0AGEAbABEAGUAYgB0ACAAIAAgACAAIAAgACAAIAAgACAAkiEoAFIAZQBxAHUAaQByAGUAZAApACAAVABvAHQAYQBsACAAZABlAGIAdAAgAGkAbgBjAGwAdQBkAGUAcwAgAHMAaABvAHIAdAB0AGUAcgBtACAAYQBuAGQAIABsAG8AbgBnAHQAZQByAG0AIABkAGUAYgB0ALYAXAAiACAAJgAgAFwAbgAgACAAIAAgACAAIAAgACAAIAAgACAAIAAgACAAIAAgACAAIAAgACAAIAAgACAAIABcACIAVABvAHQAYQBsAEEAcwBzAGUAdABzACAAIAAgACAAIAAgACAAIACSISgAUgBlAHEAdQBpAHIAZQBkACkAIABUAG8AdABhAGwAIABBAHMAcwBlAHQAcwAgALYAXAAiACAAJgAgAFwAbgAgACAAIAAgACAAIAAgACAAIAAgACAAIAAgACAAIAAgACAAIAAgACAAIAAgACAAIABcACIAUwBFAEUAIABBAEwAUwBPADoAIAAgACAAIAAgACAAIAAgACAAIACSIUQAZQBiAHQAUgBhAHQAaQBvALsDIABjAG8AbQBwAHUAdABlAHMAIAB0AGgAZQAgAHMAYQBtAGUAIAByAGEAdABpAG8AIAB1AG4AZABlAHIAIABpAHQAcwAgAHMAaABvAHIAdABlAHIAIABuAGEAbQBlAC4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C4ANAA5ADgANwAzACAAIAAgACAAIAAgACAAIAAgACAAIAAgACAAkiE9AG8AegAuAEQAZQBiAHQAVABvAEEAcwBzAGUAdABSAGEAdABpAG8AuwMoADMAMQAuADgANAA1ACwAIAA2ADMALgA4ADU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g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ABlAHIAZQBzAHQAQwBvAHYAZQByAGEAZwBlAFIAYQB0AGkAbwC7A1wAbgAgACAAIAAgAEQARQBTAEMAUgBJAFAAVABJAE8ATgA6ACoALwAvACoAKgBEAGUAdABlAHIAbQBpAG4AZQBzACAAaABvAHcAIABlAGEAcwBpAGwAeQAgAGEAIABjAG8AbQBwAGEAbgB5ACAAYwBhAG4AIABwAGEAeQAgAGkAbgB0AGUAcgBlAHMAdAAgAG8AbgAgAGkAdABzACAAbwB1AHQAcwB0AGEAbgBkAGkAbgBnACAAZABlAGIAdABcAG4AKABPAHAAZQByAGEAdABpAG4AZwAgAEkAbgBjAG8AbQBlAC8ASQBuAHQAZQByAGUAcwB0ACAARQB4AHAAZQBuAHMAZQBzACkAIAAqAC8AXABuAEkAbgB0AGUAcgBlAHMAdABDAG8AdgBlAHIAYQBnAGUAUgBhAHQAaQBvALsDIAA9ACAATABBAE0AQgBEAEEAKABcAG4ALwAvACAAIABQAGEAcgBhAG0AZQB0AGUAcgAgAEQAZQBjAGwAYQBSAGEAdABpAG8AbgBzAFwAbgAgACAAIAAgACAAIAAgACAAWwBPAHAAZQByAGEAdABpAG4AZwBJAG4AYwBvAG0AZQBdACwAIAAgAFwAbgAgACAAIAAgACAAIAAgACAAWwBJAG4AdABlAHIAZQBzAHQARQB4AHAAZQBuAHMAZQBzAF0ALAAgACAAIAAgAFwAbgAvAC8AIAAgAEgAZQBsAHAAXABuACAAIAAgACAATABFAFQAKABIAGUAbABwACwAIAAgACAAVABSAEkATQAoAFQARQBYAFQAUwBQAEwASQBUACgAIABcAG4AIAAgACAAIAAgACAAIAAgACAAIAAgACAAIAAgACAAIAAgACAAIAAgACAAIAAgACAAXAAiAEYAVQBOAEMAVABJAE8ATgA6ACAAIAAgACAAIAAgACAAIAAgACAAkiFJAG4AdABlAHIAZQBzAHQAQwBvAHYAZQByAGEAZwBlAFIAYQB0AGkAbwC7AygAIABPAHAAZQByAGEAdABpAG4AZwBJAG4AYwBvAG0AZQAsACAASQBuAHQAZQByAGUAcwB0AEUAeABwAGUAbgBzAGUAcwApALYAXAAiACAAJgAgAFwAbgAgACAAIAAgACAAIAAgACAAIAAgACAAIAAgACAAIAAgACAAIAAgACAAIAAgACAAIABcACIARABFAFMAQwBSAEkAUABUAEkATwBOADoAIAAgACAAIAAgACAAIACSIUQAZQB0AGUAcgBtAGkAbgBlAHMAIABoAG8AdwAgAGUAYQBzAGkAbAB5ACAAYQAgAGMAbwBtAHAAYQBuAHkAIABjAGEAbgAgAHAAYQB5ACAAaQBuAHQAZQByAGUAcwB0ACAAbwBuACAAaQB0AHMAIABvAHUAdABzAHQAYQBuAGQAaQBuAGcAIABkAGUAYgB0ALYAXAAiACAAJgBcAG4AIAAgACAAIAAgACAAIAAgACAAIAAgACAAIAAgACAAIAAgACAAIAAgACAAIAAgACAAIAAgACAAIAAgACAAIAAgACAAIAAgACAAIAAgACAAIAAgACAAIABcACIAkiEoAE8AcABlAHIAYQB0AGkAbgBnACAASQBuAGMAbwBtAGUALwBJAG4AdABlAHIAZQBzAHQAIABFAHgAcABlAG4AcwBlAHMAKQC2AFwAIgAgACYAIABcAG4AIAAgACAAIAAgACAAIAAgACAAIAAgACAAIAAgACAAIAAgACAAIAAgACAAIAAgACAAXAAiAFcARQBCAFAAQQBHAEUAOgAgACAAIAAgACAAIAAgACAAIAAgACAAkiFoAHQAdABwAHMAOgAvAC8AdwB3AHcALgBpAG4AdgBlAHMAdABvAHAAZQBkAGkAYQAuAGMAbwBtAC8AdABlAHIAbQBzAC8AaQAvAGkAbgB0AGUAcgBlAHMAdABjAG8AdgBlAHIAYQBnAGU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kAbgBjAG8AbQBlACAAIAAgACAAkiEoAFIAZQBxAHUAaQByAGUAZAApACAATwBwAGUAcgBhAHQAaQBuAGcAIABJAG4AYwBvAG0AZQAgACgARQBCAEkAVAApACAAtgBcACIAIAAmACAAXABuACAAIAAgACAAIAAgACAAIAAgACAAIAAgACAAIAAgACAAIAAgACAAIAAgACAAIAAgAFwAIgBJAG4AdABlAHIAZQBzAHQARQB4AHAAZQBuAHMAZQBzACAAIAAgAJIhKABSAGUAcQB1AGkAcgBlAGQAKQAgAEkAbgB0AGUAcgBlAHMAdAAgAEUAeABwAGUAbgBzAGU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gAuADkANAA0ADQANAA0ACAAIAAgACAAIAAgACAAIAAgACAAIACSIT0AbwB6AC4ASQBuAHQAZQByAGUAcwB0AEMAbwB2AGUAcgBhAGcAZQBSAGEAdABpAG8AuwMoACAANgAyADUALgAwACwAIAA5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SQBuAGMAbwBtAGUAKQAsAFwAbgAgACAAIAAgACAAIAAgACAAIAAgACAAIAAgACAAIAAgACAAIAAgACAAIAAgACAAIAAgACAAIAAgAEkAUwBPAE0ASQBUAFQARQBEACgAIABJAG4AdABlAHIAZQBzAHQARQB4AHAAZQBuAHMAZQBzACkAXABuACAAIAAgACAAIAAgACAAIAAgACAAIAAgACAAIAAgACAAIAAgACAAIAAgACAAIAAgACkALABcAG4AIAAgACAAIAAvAC8AIAAgAFAAcgBvAGMAZQBkAHUAcgBlAFwAbgAgACAAIAAgACAAIAAgACAAUgBlAHMAdQBsAHQALAAgACAAIAAgACAAIAAgACAAIABPAHAAZQByAGEAdABpAG4AZwBJAG4AYwBvAG0AZQAvAEkAbgB0AGUAcgBlAHMAdABFAHgAcABlAG4Acw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FIAYQB0AGkAbwC7A1wAbgAgACAAIAAgAEQARQBTAEMAUgBJAFAAVABJAE8ATgA6ACoALwAvACoAKgBNAGUAYQBzAHUAcgBlAHMAIAB0AGgAZQAgAGwAbwBuAGcALQB0AGUAcgBtACAAcwBvAGwAdgBlAG4AYwB5ACAAbwBmACAAYQAgAGMAbwBtAHAAYQBuAHkAIABiAHkAIABjAG8AbQBwAGEAcgBpAG4AZwAgAGkAdABzACAAcwBoAGEAcgBlAGgAbwBsAGQAZQByAHMAGSAgAGUAcQB1AGkAdAB5ACAAdABvACAAaQB0AHMAIABcAG4AdABvAHQAYQBsACAAYQBzAHMAZQB0AHMAIAAoAFMAaABhAHIAZQBoAG8AbABkAGUAcgAnAHMAIABFAHEAdQBpAHQAeQAvACgAVABvAHQAYQBsACAAQQBzAHMAZQB0AHMAIAAtACAASQBuAHQAYQBuAGcAaQBiAGwAZQAgAEEAcwBzAGUAdABzACkAKQAuACAAKgAvAFwAbgBFAHEAdQBpAHQAeQBSAGEAdABpAG8AuwMgAD0AIABMAEEATQBCAEQAQQAoAFwAbgAvAC8AIAAgAFAAYQByAGEAbQBlAHQAZQByACAARABlAGMAbABhAFIAYQB0AGkAbwBuAHMAXABuACAAIAAgACAAIAAgACAAIABbAFMAaABhAHIAZQBoAG8AbABkAGUAcgBzAEUAcQB1AGkAdAB5AF0ALAAgACAAXABuACAAIAAgACAAIAAgACAAIABbAFQAbwB0AGEAbABBAHMAcwBlAHQAcwBdACwAXABuACAAIAAgACAAIAAgACAAIABbAEkAbgB0AGEAbgBnAGkAYgBsAGUAQQBzAHMAZQB0AHMAXQAsAFwAbgAvAC8AIAAgAEgAZQBsAHAAXABuACAAIAAgACAATABFAFQAKABIAGUAbABwACwAIAAgACAAVABSAEkATQAoAFQARQBYAFQAUwBQAEwASQBUACgAIABcAG4AIAAgACAAIAAgACAAIAAgACAAIAAgACAAIAAgACAAIAAgACAAIAAgACAAIAAgACAAXAAiAEYAVQBOAEMAVABJAE8ATgA6ACAAIAAgACAAIAAgACAAIAAgACAAkiFFAHEAdQBpAHQAeQBSAGEAdABpAG8AuwMoACAAUwBoAGEAcgBlAGgAbwBsAGQAZQByAHMARQBxAHUAaQB0AHkALAAgAFQAbwB0AGEAbABBAHMAcwBlAHQAcwAsACAASQBuAHQAYQBuAGcAaQBiAGwAZQBBAHMAcwBlAHQAcwApALYAXAAiACAAJgAgAFwAbgAgACAAIAAgACAAIAAgACAAIAAgACAAIAAgACAAIAAgACAAIAAgACAAIAAgACAAIABcACIARABFAFMAQwBSAEkAUABUAEkATwBOADoAIAAgACAAIAAgACAAIACSIU0AZQBhAHMAdQByAGUAcwAgAHQAaABlACAAbABvAG4AZwAtAHQAZQByAG0AIABzAG8AbAB2AGUAbgBjAHkAIABvAGYAIABhACAAYwBvAG0AcABhAG4AeQAgAGIAeQAgAGMAbwBtAHAAYQByAGkAbgBnACAAaQB0AHMAIABzAGgAYQByAGUAaABvAGwAZABlAHIAcwAZICAAtgBcACIAIAAmAFwAbgAgACAAIAAgACAAIAAgACAAIAAgACAAIAAgACAAIAAgACAAIAAgACAAIAAgACAAIAAgACAAIAAgACAAIAAgACAAIAAgACAAIAAgACAAIAAgACAAIAAgAFwAIgCSIWUAcQB1AGkAdAB5ACAAdABvACAAaQB0AHMAIAB0AG8AdABhAGwAIABhAHMAcwBlAHQAcwAgACgAUwBoAGEAcgBlAGgAbwBsAGQAZQByACcAcwAgAEUAcQB1AGkAdAB5AC8AKABUAG8AdABhAGwAIABBAHMAcwBlAHQAcwAgAC0AIABJAG4AdABhAG4AZwBpAGIAbABlACAAQQBzAHMAZQB0AHMAKQApALYAXAAiACAAJgBcAG4AIAAgACAAIAAgACAAIAAgACAAIAAgACAAIAAgACAAIAAgACAAIAAgACAAIAAgACAAXAAiAFcARQBCAFAAQQBHAEUAOgAgACAAIAAgACAAIAAgACAAIAAgACAAkiFoAHQAdABwAHMAOgAvAC8AdwB3AHcALgB3AGEAbABsAHMAdAByAGUAZQB0AHAAcgBlAHAALgBjAG8AbQAvAGsAbgBvAHcAbABlAGQAZwBlAC8AZQBxAHUAaQB0AHkALQByAGEAdABpAG8ALw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SQBuAHQAYQBuAGcAaQBiAGwAZQBBAHMAcwBlAHQAcwAgACAAIACSISgAUgBlAHEAdQBpAHIAZQBkACkAIABEAGUAZAB1AGMAdABlAGQAIABmAHIAbwBtACAAdABvAHQAYQBsACAAYQBzAHMAZQB0AHMAIABiAGUAZgBvAHIAZQAgAHQAaABlACAAYwBvAG0AcABhAHIAaQBzAG8Abg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wACUAIAAgACAAIAAgACAAIAAgACAAIAAgACAAIAAgACAAIACSIT0AbwB6AC4ARQBxAHUAaQB0AHkAUgBhAHQAaQBvALsDKAAgADIAMAAuADAALAAgADYAMAAuADAALAAgADE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FQAbwB0AGEAbABBAHMAcwBlAHQAcwApACwAXABuACAAIAAgACAAIAAgACAAIAAgACAAIAAgACAAIAAgACAAIAAgACAAIAAgACAAIAAgACAAIAAgACAASQBTAE8ATQBJAFQAVABFAEQAKAAgAEkAbgB0AGEAbgBnAGkAYgBsAGUAQQBzAHMAZQB0AHMAKQBcAG4AIAAgACAAIAAgACAAIAAgACAAIAAgACAAIAAgACAAIAAgACAAIAAgACAAIAAgACAAKQAsAFwAbgAgACAAIAAgAC8ALwAgACAAUAByAG8AYwBlAGQAdQByAGUAXABuACAAIAAgACAAIAAgACAAIABSAGUAcwB1AGwAdAAsACAAIAAgACAAIAAgACAAIAAgAFMAaABhAHIAZQBoAG8AbABkAGUAcgBzAEUAcQB1AGkAdAB5AC8AKABUAG8AdABhAGwAQQBzAHMAZQB0AHMAIAAtACAASQBuAHQAYQBuAGcAaQBiAGwAZQBBAHMAcwBlAHQAcwApACwAXABuACAAIAAgACAALwAvACAAIABSAGUAdAB1AHIAbgAgAFIAZQBzAHUAbAB0AFwAbgAgACAAIAAgACAAIAAgACAAQwBIAE8ATwBTAEUAKABIAGUAbABwAD8AIAArACAAMQAsACAAUgBlAHMAdQBsAHQALAAgAEgAZQBsAHAAKQAgACAAIAAgACAAIAAgACAAXABuACAAIAAgACAAKQBcAG4AKQA7AFwAbgBcAG4AXABuAFwAbgBcAG4AXABuACAAXABuAC8ALwAgACAARQBmAGYAaQBjAGkAZQBuAGMAeQAgAFIAYQB0AGkAbwBzAFwAbgBcAG4AXABuAFwAbgAvACoAIAAgAEYAVQBOAEMAVABJAE8ATgAgAE4AQQBNAEUAOgAgACAAQQBzAHMAZQB0AFQAdQByAG4AbwB2AGUAcgBSAGEAdABpAG8AuwNcAG4AIAAgACAAIABEAEUAUwBDAFIASQBQAFQASQBPAE4AOgAqAC8ALwAqACoATQBlAGEAcwB1AHIAZQBzACAAdABoAGUAIAB2AGEAbAB1AGUAIABvAGYAIABhACAAYwBvAG0AcABhAG4AeQAnAHMAIABzAGEAbABlAHMAIABvAHIAIAByAGUAdgBlAG4AdQBlAHMAIAByAGUAbABhAHQAaQB2AGUAIAB0AG8AIAB0AGgAZQAgAHYAYQBsAHUAZQAgAG8AZgAgAGkAdABzACAAYQBzAHMAZQB0AHMALgBcAG4AKABOAGUAdAAgAFMAYQBsAGUAcwAvAFQAbwB0AGEAbAAgAEEAcwBzAGUAdABzACkAKgAvAFwAbgBBAHMAcwBlAHQAVAB1AHIAbgBvAHYAZQByAFIAYQB0AGkAbwC7AyAAPQAgAEwAQQBNAEIARABBACgAXABuAC8ALwAgACAAUABhAHIAYQBtAGUAdABlAHIAIABEAGUAYwBsAGEAUgBhAHQAaQBvAG4AcwBcAG4AIAAgACAAIAAgACAAIAAgAFsATgBlAHQAUwBhAGwAZQBz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EAcwBzAGUAdABUAHUAcgBuAG8AdgBlAHIAUgBhAHQAaQBvALsDKAAgAE4AZQB0AFMAYQBsAGUAcwAsACAAVABvAHQAYQBsAEEAcwBzAGUAdABzACkAtgBcACIAIAAmACAAXABuACAAIAAgACAAIAAgACAAIAAgACAAIAAgACAAIAAgACAAIAAgACAAIAAgACAAIAAgAFwAIgBEAEUAUwBDAFIASQBQAFQASQBPAE4AOg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IAAgACAAIAAgACAAIAAgACAAIAAgACAAIAAgACAAIAAgACAAIAAgACAAIAAgACAAIAAgACAAIAAgACAAIABcACIAkiEoAE4AZQB0ACAAUwBhAGwAZQBzAC8AVABvAHQAYQBsACAAQQBzAHMAZQB0AHMAKQC2AFwAIgAgACYAIABcAG4AIAAgACAAIAAgACAAIAAgACAAIAAgACAAIAAgACAAIAAgACAAIAAgACAAIAAgACAAXAAiAFcARQBCAFAAQQBHAEUAOgAgACAAIAAgACAAIAAgAJIhaAB0AHQAcABzADoALwAvAHcAdwB3AC4AaQBuAHYAZQBzAHQAbwBwAGUAZABpAGEALgBjAG8AbQAvAHQAZQByAG0AcwAvAGEALwBhAHMAcwBlAHQAdAB1AHIAbgBvAHYAZQBy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FMAYQBsAGUAcwAgACAAIAAgACAAIAAgAJIhKABSAGUAcQB1AGkAcgBlAGQAKQAgAHIAZQB2AGUAbgB1AGUAIABvAHIAIABuAGUAdAAgAHMAYQBsAGUAcwAuACAAtgBcACIAIAAmACAAXABuACAAIAAgACAAIAAgACAAIAAgACAAIAAgACAAIAAgACAAIAAgACAAIAAgACAAIAAgAFwAIgBUAG8AdABhAGwAQQBzAHMAZQB0AHMAIAAgACAAIACSISgAUgBlAHEAdQBpAHIAZQBkACkAIABBAHYAZQByAGEAZwBlACAAbwBmACAAQQBzAHMAZQB0AHMAIABhAG4AZAAgAHAAZQByAGkAbwBkACAAcwB0AGEAcgB0ACAAYQBuAGQAIABlAG4AZAAu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LgAzADIAeAAgACAAIAAgACAAIAAgACAAIAAgACAAkiE9AG8AegAuAEEAcwBzAGUAdABUAHUAcgBuAG8AdgBlAHIAUgBhAHQAaQBvALsDKAAgADEANwAxADcANgAwACwAIAA1ADMAOAA3ADE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MAYQBsAGUAcw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UwBhAGwAZQBz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MASQC7A1wAbgAgACAAIAAgAEQARQBTAEMAUgBJAFAAVABJAE8ATgA6ACoALwAvACoAKgBEAGEAeQBzACAAUwBhAGwAZQBzACAAaQBuACAASQBuAHYAZQBuAHQAbwByAHkAIABSAGEAdABpAG8AIAAoAGEAawBhACAAQQB2AGUAcgBhAGcAZQAgAGEAZwBlACAAbwBmACAAaQBuAHYAZQBuAHQAbwByAHkAIABcAG4AaQBuAGQAaQBjAGEAdABlAHMAIAB0AGgAZQAgAGEAdgBlAHIAYQBnAGUAIAB0AGkAbQBlACAAaQBuACAAZABhAHkAcwAgAHQAaABhAHQAIABhACAAYwBvAG0AcABhAG4AeQAgAHQAYQBrAGUAcwAgAHQAbwAgAHQAdQByAG4AIABpAHQAcwAgAGkAbgB2AGUAbgB0AG8AcgB5ACAAXABuACgAQQB2AGUAcgBhAGcAZQAgAEkAbgB2AGUAbgB0AG8AcgB5AC8AQQBuAG4AdQBhAGwAIABDAG8AcwB0ACAAbwBmACAARwBvAG8AZABzACAAUwBvAGwAZAAgAHgAIAAzADYANQApACAAKgAvAFwAbgBEAFMASQC7AyAAPQAgAEwAQQBNAEIARABBACgAXABuAC8ALwAgACAAUABhAHIAYQBtAGUAdABlAHIAIABEAGUAYwBsAGEAUgBhAHQAaQBvAG4AcwBcAG4AIAAgACAAIAAgACAAIAAgAFsAQQB2AGUAcgBhAGcAZQBJAG4AdgBlAG4AdABvAHIAeQBdACwAIAAgAFwAbgAgACAAIAAgACAAIAAgACAAWwBDAG8AcwB0AE8AZgBHAG8AbwBkAHMAUwBvAGwAZABdACwAIAAgACAAIABcAG4ALwAvACAAIABIAGUAbABwAFwAbgAgACAAIAAgAEwARQBUACgASABlAGwAcAAsACAAIAAgAFQAUgBJAE0AKABUAEUAWABUAFMAUABMAEkAVAAoACAAXABuACAAIAAgACAAIAAgACAAIAAgACAAIAAgACAAIAAgACAAIAAgACAAIAAgACAAIAAgAFwAIgBGAFUATgBDAFQASQBPAE4AOgAgACAAIAAgACAAIAAgACAAIAAgAJIhRABTAEkAuwMoACAAQQB2AGUAcgBhAGcAZQBJAG4AdgBlAG4AdABvAHIAeQAsACAAQwBvAHMAdABPAGYARwBvAG8AZABzAFMAbwBsAGQAKQC2AFwAIgAgACYAIABcAG4AIAAgACAAIAAgACAAIAAgACAAIAAgACAAIAAgACAAIAAgACAAIAAgACAAIAAgACAAXAAiAEQARQBTAEMAUgBJAFAAVABJAE8ATgA6ACAAIAAgACAAIAAgACAAkiFEAGEAeQBzACAAUwBhAGwAZQBzACAAaQBuACAASQBuAHYAZQBuAHQAbwByAHkAIABSAGEAdABpAG8AIAAoAGEAawBhACAAQQB2AGUAcgBhAGcAZQAgAGEAZwBlACAAbwBmACAAaQBuAHYAZQBuAHQAbwByAHkAKQC2AFwAIgAgACYAIABcAG4AIAAgACAAIAAgACAAIAAgACAAIAAgACAAIAAgACAAIAAgACAAIAAgACAAIAAgACAAIAAgACAAIAAgACAAIAAgACAAIAAgACAAIAAgACAAIAAgACAAIABcACIAkiFpAG4AZABpAGMAYQB0AGUAcwAgAHQAaABlACAAYQB2AGUAcgBhAGcAZQAgAHQAaQBtAGUAIABpAG4AIABkAGEAeQBzACAAdABoAGEAdAAgAGEAIABjAG8AbQBwAGEAbgB5ACAAdABhAGsAZQBzACAAdABvACAAdAB1AHIAbgAgAGkAdABzACAAaQBuAHYAZQBuAHQAbwByAHkAtgBcACIAIAAmACAAXABuACAAIAAgACAAIAAgACAAIAAgACAAIAAgACAAIAAgACAAIAAgACAAIAAgACAAIAAgACAAIAAgACAAIAAgACAAIAAgACAAIAAgACAAIAAgACAAIAAgACAAXAAiAJIhKABBAHYAZQByAGEAZwBlACAASQBuAHYAZQBuAHQAbwByAHkALwBBAG4AbgB1AGEAbAAgAEMAbwBzAHQAIABvAGYAIABHAG8AbwBkAHMAIABTAG8AbABkACAAeAAgADMANgA1ACAAZABhAHkAcwApALYAXAAiACAAJgAgAFwAbgAgACAAIAAgACAAIAAgACAAIAAgACAAIAAgACAAIAAgACAAIAAgACAAIAAgACAAIABcACIAVwBFAEIAUABBAEcARQA6ACAAIAAgACAAIAAgACAAIAAgACAAIACSIWgAdAB0AHAAcwA6AC8ALwB3AHcAdwAuAGkAbgB2AGUAcwB0AG8AcABlAGQAaQBhAC4AYwBvAG0ALwB0AGUAcgBtAHMALwBkAC8AZABhAHkAcwAtAHMAYQBsAGUAcwAtAGkAbgB2AGUAbgB0AG8AcgB5AC0AZABzAGk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BAHYAZQByAGEAZwBlAEkAbgB2AGUAbgB0AG8AcgB5AJIhIAAgACgAUgBlAHEAdQBpAHIAZQBkACkAIABBAHYAZQByAGEAZwBlACAAbwBmACAAcABlAHIAaQBvAGQAIABvAHAAZQBuACAAYQBuAGQAIABjAGwAbwBzAGUAIABJAG4AdgBlAG4AdABvAHIAeQC2AFwAIgAgACYAIABcAG4AIAAgACAAIAAgACAAIAAgACAAIAAgACAAIAAgACAAIAAgACAAIAAgACAAIAAgACAAXAAiAEMAbwBzAHQATwBmAEcAbwBvAGQAcwBTAG8AbABkAJIhIAAgACAAKABSAGUAcQB1AGkAcgBlAGQAKQAgAEMAbwBzAHQAIABvAGYAIABHAG8AbwBkAHMAIABTAG8AbABkACAAKABDAE8ARwBTACkAIABmAG8AcgAgAGEAIABmAHUAbABsACAAeQBlAGEAcg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DAALgA4ADkANAA5ACAAZABhAHkAcwAgACAAIAAgACAAIAAgAJIhPQBvAHoALgBEAFMASQC7AygANQA0AC4AOQAsACAANAA5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YAZQByAGEAZwBlAEkAbgB2AGUAbgB0AG8AcgB5ACkALABcAG4AIAAgACAAIAAgACAAIAAgACAAIAAgACAAIAAgACAAIAAgACAAIAAgACAAIAAgACAAIAAgACAAIABJAFMATwBNAEkAVABUAEUARAAoACAAQwBvAHMAdABPAGYARwBvAG8AZABzAFMAbwBsAGQAKQBcAG4AIAAgACAAIAAgACAAIAAgACAAIAAgACAAIAAgACAAIAAgACAAIAAgACAAIAAgACAAKQAsAFwAbgAgACAAIAAgAC8ALwAgACAAQwBvAG4AcwB0AGEAbgB0AHMAXABuACAAIAAgACAAIAAgACAAIABEAHAAWQAsACAAIAAgACAAIAAgACAAIAAgACAAIAAgADMANgA1ACwAIAAvAC8ARABhAHkAcwAgAHAAZQByACAAWQBlAGEAcgBcAG4AIAAgACAAIAAvAC8AIAAgAFAAcgBvAGMAZQBkAHUAcgBlAFwAbgAgACAAIAAgACAAIAAgACAAUgBlAHMAdQBsAHQALAAgACAAIAAgACAAIAAgACAAIABBAHYAZQByAGEAZwBlAEkAbgB2AGUAbgB0AG8AcgB5AC8AQwBvAHMAdABPAGYARwBvAG8AZABzAFMAbwBsAGQAIAAqACAARABwAF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FIAYQB0AGkAbwC7A1wAbgAgACAAIAAgAEQARQBTAEMAUgBJAFAAVABJAE8ATgA6ACoALwAvACoAKgBTAGgAbwB3AHMAIABoAG8AdwAgAGUAZgBmAGkAYwBpAGUAbgB0ACAAbQBhAG4AYQBnAGUAbQBlAG4AdAAgAGkAcwAgAGEAdAAgAGsAZQBlAHAAaQBuAGcAIABjAG8AcwB0AHMAIABsAG8AdwAgAHcAaABpAGwAZQAgAGcAZQBuAGUAcgBhAHQAaQBuAGcAIAByAGUAdgBlAG4AdQBlACAAXABuACgATwBwAGUAcgBhAHQAaQBuAGcAIABFAHgAcABlAG4AcwBlAHMAIAArACAAQwBvAHMAdAAgAE8AZgAgAEcAbwBvAGQAcwAgAFMAbwBsAGQAKQAvAE4AZQB0ACAAUwBhAGwAZQBzACkAKgAvAFwAbgBPAHAAZQByAGEAdABpAG4AZwBSAGEAdABpAG8AuwMgAD0AIABMAEEATQBCAEQAQQAoAFwAbgAvAC8AIAAgAFAAYQByAGEAbQBlAHQAZQByACAARABlAGMAbABhAFIAYQB0AGkAbwBuAHMAXABuACAAIAAgACAAIAAgACAAIABbAE8AcABlAHIAYQB0AGkAbgBnAEUAeABwAGUAbgBzAGUAcwBdACwAIAAgAFwAbgAgACAAIAAgACAAIAAgACAAWwBDAG8AcwB0AE8AZgBHAG8AbwBkAHMAUwBvAGwAZABdACwAIAAg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SAGEAdABpAG8AuwMoACAATwBwAGUAcgBhAHQAaQBuAGcARQB4AHAAZQBuAHMAZQBzACwAIABDAG8AcwB0AE8AZgBHAG8AbwBkAHMAUwBvAGwAZAAsACAATgBlAHQAUwBhAGwAZQBzACkAtgBcACIAIAAmACAAXABuACAAIAAgACAAIAAgACAAIAAgACAAIAAgACAAIAAgACAAIAAgACAAIAAgACAAIAAgAFwAIgBEAEUAUwBDAFIASQBQAFQASQBPAE4AOgAgACAAIAAgACAAIAAgAJIhUwBoAG8AdwBzACAAaABvAHcAIABlAGYAZgBpAGMAaQBlAG4AdAAgAG0AYQBuAGEAZwBlAG0AZQBuAHQAIABpAHMAIABhAHQAIABrAGUAZQBwAGkAbgBnACAAYwBvAHMAdABzACAAbABvAHcAIAC2AFwAIgAgACYAXABuACAAIAAgACAAIAAgACAAIAAgACAAIAAgACAAIAAgACAAIAAgACAAIAAgACAAIAAgACAAIAAgACAAIAAgACAAIAAgACAAIAAgACAAIAAgACAAIAAgACAAXAAiAJIhdwBoAGkAbABlACAAZwBlAG4AZQByAGEAdABpAG4AZwAgAHIAZQB2AGUAbgB1AGUAtgBcACIAIAAmACAAXABuACAAIAAgACAAIAAgACAAIAAgACAAIAAgACAAIAAgACAAIAAgACAAIAAgACAAIAAgACAAIAAgACAAIAAgACAAIAAgACAAIAAgACAAIAAgACAAIAAgACAAXAAiAJIhKABPAHAAZQByAGEAdABpAG4AZwAgAEUAeABwAGUAbgBzAGUAcwAgACsAIABDAG8AcwB0ACAATwBmACAARwBvAG8AZABzACAAUwBvAGwAZAApAC8ATgBlAHQAIABTAGEAbABlAHMAKQC2AFwAIgAgACYAIABcAG4AIAAgACAAIAAgACAAIAAgACAAIAAgACAAIAAgACAAIAAgACAAIAAgACAAIAAgACAAXAAiAFcARQBCAFAAQQBHAEUAOgAgACAAIAAgACAAIAAgACAAIAAgACAAkiFoAHQAdABwAHMAOgAvAC8AdwB3AHcALgBpAG4AdgBlAHMAdABvAHAAZQBkAGkAYQAuAGMAbwBtAC8AdABlAHIAbQBzAC8AbwAvAG8AcABlAHIAYQB0AGkAbgBn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8AcABlAHIAYQB0AGkAbgBnAEUAeABwAGUAbgBzAGUAcwAgACAAkiEoAFIAZQBxAHUAaQByAGUAZAApACAATwBwAGUAcgBhAHQAaQBuAGcAIABFAHgAcABlAG4AcwBlAHMAIABlAHgAYwBsAHUAZABpAG4AZwAgAEMATwBHAFMALAAgAHcAaABpAGMAaAAgAGkAcwC2AFwAIgAgACYAXABuACAAIAAgACAAIAAgACAAIAAgACAAIAAgACAAIAAgACAAIAAgACAAIAAgACAAIAAgACAAIAAgACAAIAAgACAAIAAgACAAIAAgACAAIAAgACAAIAAgACAAXAAiAJIhcwB1AHAAcABsAGkAZQBkACAAcwBlAHAAYQByAGEAdABlAGwAeQAgAGEAbgBkACAAYQBkAGQAZQBkACAAYgB5ACAAdABoAGUAIABmAG8AcgBtAHUAbABhAC4AIABDAGEAbgAgAGkAbgBjAGwAdQBkAGUAOgC2AFwAIgAgACYAXABuACAAIAAgACAAIAAgACAAIAAgACAAIAAgACAAIAAgACAAIAAgACAAIAAgACAAIAAgACAAIAAgACAAIAAgACAAIAAgACAAIAAgACAAIAAgACAAIAAgACAAXAAiAJIhQQBjAGMAbwB1AG4AdABpAG4AZwAgAGEAbgBkACAAbABlAGcAYQBsACAAZgBlAGUAcwC2AFwAIgAgACYAXABuACAAIAAgACAAIAAgACAAIAAgACAAIAAgACAAIAAgACAAIAAgACAAIAAgACAAIAAgACAAIAAgACAAIAAgACAAIAAgACAAIAAgACAAIAAgACAAIAAgACAAXAAiAJIhQgBhAG4AawAgAGMAaABhAHIAZwBlAHMAtgBcACIAIAAmAFwAbgAgACAAIAAgACAAIAAgACAAIAAgACAAIAAgACAAIAAgACAAIAAgACAAIAAgACAAIAAgACAAIAAgACAAIAAgACAAIAAgACAAIAAgACAAIAAgACAAIAAgAFwAIgCSIVMAYQBsAGUAcwAgAGEAbgBkACAAbQBhAHIAawBlAHQAaQBuAGcAIABjAG8AcwB0AHMAtgBcACIAIAAmAFwAbgAgACAAIAAgACAAIAAgACAAIAAgACAAIAAgACAAIAAgACAAIAAgACAAIAAgACAAIAAgACAAIAAgACAAIAAgACAAIAAgACAAIAAgACAAIAAgACAAIAAgAFwAIgCSIU4AbwBuAC0AYwBhAHAAaQB0AGEAbABpAHMAZQBkACAAcgBlAHMAZQBhAHIAYwBoALYAXAAiACAAJgBcAG4AIAAgACAAIAAgACAAIAAgACAAIAAgACAAIAAgACAAIAAgACAAIAAgACAAIAAgACAAIAAgACAAIAAgACAAIAAgACAAIAAgACAAIAAgACAAIAAgACAAIABcACIAkiFkAGUAdgBlAGwAbwBwAG0AZQBuAHQAIAAoAFIAJgBEACkAIABlAHgAcABlAG4AcwBlAHMAtgBcACIAIAAm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TgBlAHQAUwBhAGwAZQBzACAAIAAgACAAIAAgACAAIAAgACAAIACSISgAUgBlAHEAdQBpAHIAZQBkACkAIABOAGUAdAAgAFMAYQBsAGUAcwAgAG8AcgAgAFIAZQB2AGUAbgB1AGUALg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gA5ACUAIAAgACAAIAAgACAAIAAgACAAIAAgACAAIAAgACAAIACSIT0AbwB6AC4ATwBwAGUAcgBhAHQAaQBuAGcAUgBhAHQAaQBvALsDKAAgADEANAAuADMANwAsACAANAA4AC4ANAA4ACwAIAA5ADAALgA3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HgAcABlAG4AcwBlAHMAKQAsAFwAbgAgACAAIAAgACAAIAAgACAAIAAgACAAIAAgACAAIAAgACAAIAAgACAAIAAgACAAIAAgACAAIAAgAEkAUwBPAE0ASQBUAFQARQBEACgAIABDAG8AcwB0AE8AZgBHAG8AbwBkAHMAUwBvAGwAZ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KABPAHAAZQByAGEAdABpAG4AZwBFAHgAcABlAG4AcwBlAHMAKwBDAG8AcwB0AE8AZgBHAG8AbwBkAHMAUwBvAGwAZAApAC8ATgBlAHQAUwBhAGwAZQBzACwAXABuACAAIAAgACAALwAvACAAIABSAGUAdAB1AHIAbgAgAFIAZQBzAHUAbAB0AFwAbgAgACAAIAAgACAAIAAgACAAQwBIAE8ATwBTAEUAKABIAGUAbABwAD8AIAArACAAMQAsACAAUgBlAHMAdQBsAHQALAAgAEgAZQBsAHAAKQAgACAAIAAgACAAIAAgACAAXABuACAAIAAgACAAKQBcAG4AKQA7AFwAbgBcAG4AXABuAFwAbgBcAG4AXABuAFwAbgAvAC8AIAAgAFAAcgBvAGYAaQB0AGEAYgBpAGwAaQB0AHkAIABNAGEAcgBnAGkAbgBzACAAYQBuAGQAIABSAGEAdABpAG8AcwBcAG4AXABuAFwAbgAgAFwAbgAvACoAIAAgAEYAVQBOAEMAVABJAE8ATgAgAE4AQQBNAEUAOgAgACAARwByAG8AcwBzAE0AYQByAGcAaQBuALsDXABuACAAIAAgACAARABFAFMAQwBSAEkAUABUAEkATwBOADoAKgAvAC8AKgAqAFMAaABvAHcAcwAgAGgAbwB3ACAAbQB1AGMAaAAgAHAAcgBvAGYAaQB0ACAAYQAgAGMAbwBtAHAAYQBuAHkAIABtAGEAawBlAHMAIABhAGYAdABlAHIAIABwAGEAeQBpAG4AZwAgAG8AZgBmACAAaQB0AHMAIABDAG8AcwB0ACAAbwBmACAARwBvAG8AZABzACAAUwBvAGwAZAAgACoALwBcAG4ARwByAG8AcwBzAE0AYQByAGcAaQBuALsDIAA9ACAATABBAE0AQgBEAEEAKABcAG4ALwAvACAAIABQAGEAcgBhAG0AZQB0AGUAcgAgAEQAZQBjAGwAYQByAGEAdABpAG8AbgBzAFwAbgAgACAAIAAgACAAIAAgACAAWwBHAHIAbwBzAHMAUAByAG8AZgBpAHQAXQAs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JIhRwByAG8AcwBzAE0AYQByAGcAaQBuALsDKAAgAEcAcgBvAHMAcwBQAHIAbwBmAGkAdAAsACAATgBlAHQAUwBhAGwAZQBzACkAtgBcACIAIAAmACAAXABuACAAIAAgACAAIAAgACAAIAAgACAAIAAgACAAIAAgACAAIAAgACAAIAAgACAAIAAgAFwAIgBEAEUAUwBDAFIASQBQAFQASQBPAE4AOgAgACAAIACSIVMAaABvAHcAcwAgAGgAbwB3ACAAbQB1AGMAaAAgAHAAcgBvAGYAaQB0ACAAYQAgAGMAbwBtAHAAYQBuAHkAIABtAGEAawBlAHMAIABhAGYAdABlAHIAIABwAGEAeQBpAG4AZwAgAG8AZgBmACAAaQB0AHMAIABDAG8AcwB0ACAAbwBmACAARwBvAG8AZABzACAAUwBvAGwAZAAgACgAQwBPAEcAUwApAC4AtgBcACIAIAAmACAAXABuACAAIAAgACAAIAAgACAAIAAgACAAIAAgACAAIAAgACAAIAAgACAAIAAgACAAIAAgACAAIAAgACAAIAAgACAAIAAgACAAIAAgACAAIAAgAFwAIgCSISgARwByAG8AcwBzACAAUAByAG8AZgBpAHQALwBOAGUAdAAgAFMAYQBsAGUAcwApALYAXAAiACAAJgAgAFwAbgAgACAAIAAgACAAIAAgACAAIAAgACAAIAAgACAAIAAgACAAIAAgACAAIAAgACAAIABcACIAVwBFAEIAUABBAEcARQA6ACAAIAAgACAAIAAgACAAkiFoAHQAdABwAHMAOgAvAC8AYwBvAHIAcABvAHIAYQB0AGUAZgBpAG4AYQBuAGMAZQBpAG4AcwB0AGkAdAB1AHQAZQAuAGMAbwBtAC8AcgBlAHMAbwB1AHIAYwBlAHMALwBhAGMAYwBvAHUAbgB0AGkAbgBnAC8AZwByAG8AcwBzAC0AbQBhAHIAZwBpAG4ALQByAGEAdABpAG8ALw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RwByAG8AcwBzAFAAcgBvAGYAaQB0ACAAIAAgACAAkiEoAFIAZQBxAHUAaQByAGUAZAApACAARwByAG8AcwBzACAAUAByAG8AZgBpAHQAtgBcACIAIAAmACAAXABuACAAIAAgACAAIAAgACAAIAAgACAAIAAgACAAIAAgACAAIAAgACAAIAAgACAAIAAgAFwAIgBOAGUAdABTAGEAbABlAHMAIAAgACAAIAAgACAAIACSISgAUgBlAHEAdQBpAHIAZQBkACkAIABOAGUAdAAgAFMAYQBsAGUAcwAgAG8Acg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2ADEALgA3ADQANAA4ACUAIAAgACAAIAAgACAAIACSIT0AbwB6AC4ARwByAG8AcwBzAE0AYQByAGcAaQBuALsDKAAgADYAMgAuADkAOAA0ACwAIAAxADAAMgAuADAAMAA3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wByAG8AcwBzAFAAcgBvAGYAaQB0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BHAHIAbwBzAHMAUAByAG8AZgBpAHQALwBOAGUAdABTAGEAbA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QgBJAFQARABBAE0AYQByAGcAaQBuALsDXABuACAAIAAgACAARABFAFMAQwBSAEkAUABUAEkATwBOADoAKgAvAC8AKgAqAE0AZQBhAHMAdQByAGUAcwAgAGEAIABjAG8AbQBwAGEAbgB5ACcAcwAgAG8AcABlAHIAYQB0AGkAbgBnACAAcAByAG8AZgBpAHQAIABhAHMAIABhACAAcABlAHIAYwBlAG4AdABhAGcAZQAgAG8AZgAgAGkAdABzACAAcgBlAHYAZQBuAHUAZQAgACgARQBCAEkAVABEAEEALwBUAG8AdABhAGwAIABSAGUAdgBlAG4AdQBlACkALgAqAC8AXABuAEUAQgBJAFQARABBAE0AYQByAGcAaQBuALsDIAA9ACAATABBAE0AQgBEAEEAKABcAG4ALwAvACAAIABQAGEAcgBhAG0AZQB0AGUAcgAgAEQAZQBjAGwAYQByAGEAdABpAG8AbgBzAFwAbgAgACAAIAAgACAAIAAgACAAWwBFAEIASQBUAEQAQQBdACwAIAAgAFwAbgAgACAAIAAgACAAIAAgACAAWwBUAG8AdABhAGwAUgBlAHYAZQBuAHUAZQBdACwAIAAgACAAIABcAG4ALwAvACAAIABIAGUAbABwAFwAbgAgACAAIAAgAEwARQBUACgASABlAGwAcAAsACAAIAAgAFQAUgBJAE0AKABUAEUAWABUAFMAUABMAEkAVAAoACAAXABuACAAIAAgACAAIAAgACAAIAAgACAAIAAgACAAIAAgACAAIAAgACAAIAAgACAAIAAgAFwAIgBGAFUATgBDAFQASQBPAE4AOgAgACAAIAAgACAAIACSIUUAQgBJAFQARABBAE0AYQByAGcAaQBuALsDKAAgAEUAQgBJAFQARABBACwAIABUAG8AdABhAGwAUgBlAHYAZQBuAHUAZQApALYAXAAiACAAJgAgAFwAbgAgACAAIAAgACAAIAAgACAAIAAgACAAIAAgACAAIAAgACAAIAAgACAAIAAgACAAIABcACIARABFAFMAQwBSAEkAUABUAEkATwBOADoAIAAgACAAkiFNAGUAYQBzAHUAcgBlAHMAIABhACAAYwBvAG0AcABhAG4AeQAnAHMAIABvAHAAZQByAGEAdABpAG4AZwAgAHAAcgBvAGYAaQB0ACAAYQBzACAAYQAgAHAAZQByAGMAZQBuAHQAYQBnAGUAIABvAGYAIABpAHQAcwAgAHIAZQB2AGUAbgB1AGUALgC2AFwAIgAgACYAIABcAG4AIAAgACAAIAAgACAAIAAgACAAIAAgACAAIAAgACAAIAAgACAAIAAgACAAIAAgACAAIAAgACAAIAAgACAAIAAgACAAIAAgACAAIAAgACAAXAAiAJIhKABFAEIASQBUAEQAQQAvAFQAbwB0AGEAbAAgAFIAZQB2AGUAbgB1AGUAKQC2AFwAIgAgACYAIABcAG4AIAAgACAAIAAgACAAIAAgACAAIAAgACAAIAAgACAAIAAgACAAIAAgACAAIAAgACAAXAAiAFcARQBCAFAAQQBHAEUAOgAgACAAIAAgACAAIAAgAJIhaAB0AHQAcABzADoALwAvAHcAdwB3AC4AaQBuAHYAZQBzAHQAbwBwAGUAZABpAGEALgBjAG8AbQAvAHQAZQByAG0AcwAvAGUALwBlAGIAaQB0AGQAYQAtAG0AYQByAGcAaQBu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UAQgBJAFQARABBACAAIAAgACAAIAAgACAAIAAgAJIhKABSAGUAcQB1AGkAcgBlAGQAKQAgAEUAYQByAG4AaQBuAGcAcwAgAEIAZQBmAG8AcgBlACAASQBuAHQAZQByAGUAcwB0ACwAIAB0AGEAeAAsACAAZABlAHAAcgBlAGMAaQBhAHQAaQBvAG4ALAAgAGEAbgBkACAAYQBtAG8AcgB0AGkAcwBhAHQAaQBvAG4AtgBcACIAIAAmACAAXABuACAAIAAgACAAIAAgACAAIAAgACAAIAAgACAAIAAgACAAIAAgACAAIAAgACAAIAAgAFwAIgBUAG8AdABhAGwAUgBlAHYAZQBuAHUAZQAgACAAIACSISgAUgBlAHEAdQBpAHIAZQBkACkAIABUAG8AdABhAGw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yACUAIAAgACAAIAAgACAAIAAgACAAIAAgACAAkiE9AG8AegAuAEUAQgBJAFQARABBAE0AYQByAGcAaQBuALsDKAAgADEANQAuADAALAAgADEAMgA1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UAQgBJAFQARABBACkALABcAG4AIAAgACAAIAAgACAAIAAgACAAIAAgACAAIAAgACAAIAAgACAAIAAgACAAIAAgACAAIAAgACAAIABJAFMATwBNAEkAVABUAEUARAAoACAAVABvAHQAYQBsAFIAZQB2AGUAbgB1AGUAKQBcAG4AIAAgACAAIAAgACAAIAAgACAAIAAgACAAIAAgACAAIAAgACAAIAAgACAAIAAgACAAKQAsAFwAbgAgACAAIAAgAC8ALwAgACAAUAByAG8AYwBlAGQAdQByAGUAXABuACAAIAAgACAAIAAgACAAIABSAGUAcwB1AGwAdAAsACAAIAAgACAAIAAgACAAIAAgAEUAQgBJAFQARABBAC8AVABvAHQAYQBs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E0AYQByAGcAaQBuALsDXABuACAAIAAgACAARABFAFMAQwBSAEkAUABUAEkATwBOADoAKgAvAC8AKgAqACAATQBlAGEAcwB1AHIAZQBzACAAaABvAHcAIABtAHUAYwBoACAAcAByAG8AZgBpAHQAIABhACAAYwBvAG0AcABhAG4AeQAgAG0AYQBrAGUAcwAgAG8AbgAgAGEAIABkAG8AbABsAGEAcgAgAG8AZgAgAHMAYQBsAGUAcwAgAGEAZgB0AGUAcgAgAHAAYQB5AGkAbgBnACAAZgBvAHIAIAB2AGEAcgBpAGEAYgBsAGUAIABjAG8AcwB0AHMAIABcAG4AbwBmACAAcAByAG8AZAB1AGMAdABpAG8AbgAsACAAcwB1AGMAaAAgAGEAcwAgAHcAYQBnAGUAcwAgAGEAbgBkACAAcgBhAHcAIABtAGEAdABlAHIAaQBhAGwAcwAsACAAYgB1AHQAIABiAGUAZgBvAHIAZQAgAHAAYQB5AGkAbgBnACAAaQBuAHQAZQByAGUAcwB0ACAAbwByACAAdABhAHgAIAAoAE8AcABlAHIAYQB0AGkAbgBnACAARQBhAHIAbgBpAG4AZwBzAC8AUgBlAHYAZQBuAHUAZQApAC4AKgAvAFwAbgBPAHAAZQByAGEAdABpAG4AZwBNAGEAcgBnAGkAbgC7AyAAPQAgAEwAQQBNAEIARABBACgAXABuAC8ALwAgACAAUABhAHIAYQBtAGUAdABlAHIAIABEAGUAYwBsAGEAcgBhAHQAaQBvAG4AcwBcAG4AIAAgACAAIAAgACAAIAAgAFsATwBwAGUAcgBhAHQAaQBuAGc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0AYQByAGcAaQBuALsDKAAgAE8AcABlAHIAYQB0AGkAbgBnAEUAYQByAG4AaQBuAGcAcwAsACAAUgBlAHYAZQBuAHUAZQApALYAXAAiACAAJgAgAFwAbgAgACAAIAAgACAAIAAgACAAIAAgACAAIAAgACAAIAAgACAAIAAgACAAIAAgACAAIABcACIARABFAFMAQwBSAEkAUABUAEkATwBOADoAIAAgACAAIAAgACAAIACSIU0AZQBhAHMAdQByAGUAcwAgAGgAbwB3ACAAbQB1AGMAaAAgAHAAcgBvAGYAaQB0ACAAYQAgAGMAbwBtAHAAYQBuAHkAIABtAGEAawBlAHMAIABvAG4AIABhACAAZABvAGwAbABhAHIAIABvAGYAIABzAGEAbABlAHMAIABhAGYAdABlAHIAIABwAGEAeQBpAG4AZwC2AFwAIgAgACYAIABcAG4AIAAgACAAIAAgACAAIAAgACAAIAAgACAAIAAgACAAIAAgACAAIAAgACAAIAAgACAAIAAgACAAIAAgACAAIAAgACAAIAAgACAAIAAgACAAIAAgACAAIABcACIAkiFmAG8AcgAgAHYAYQByAGkAYQBiAGwAZQAgAGMAbwBzAHQAcwAgAG8AZgAgAHAAcgBvAGQAdQBjAHQAaQBvAG4ALAAgAHMAdQBjAGgAIABhAHMAIAB3AGEAZwBlAHMAIABhAG4AZAAgAHIAYQB3ACAAbQBhAHQAZQByAGkAYQBsAHMALAAgAGIAdQB0ACAAtgBcACIAIAAmACAAXABuACAAIAAgACAAIAAgACAAIAAgACAAIAAgACAAIAAgACAAIAAgACAAIAAgACAAIAAgACAAIAAgACAAIAAgACAAIAAgACAAIAAgACAAIAAgACAAIAAgACAAXAAiAJIhYgBlAGYAbwByAGUAIABwAGEAeQBpAG4AZwAgAGkAbgB0AGUAcgBlAHMAdAAgAG8AcgAgAHQAYQB4ACAAKABPAHAAZQByAGEAdABpAG4AZwAgAEUAYQByAG4AaQBuAGcAcwAvAFIAZQB2AGUAbgB1AGUAKQAuALYAXAAiACAAJgAgAFwAbgAgACAAIAAgACAAIAAgACAAIAAgACAAIAAgACAAIAAgACAAIAAgACAAIAAgACAAIABcACIAVwBFAEIAUABBAEcARQA6ACAAIAAgACAAIAAgACAAIAAgACAAIACSIWgAdAB0AHAAcwA6AC8ALwB3AHcAdwAuAGkAbgB2AGUAcwB0AG8AcABlAGQAaQBhAC4AYwBvAG0ALwB0AGUAcgBtAHMALwBvAC8AbwBwAGUAcgBhAHQAaQBuAGcAbQBhAHIAZwBpAG4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PAHAAZQByAGEAdABpAG4AZwBFAGEAcgBuAGkAbgBnAHMAIAAgAJIhKABSAGUAcQB1AGkAcgBlAGQAKQAgAEUAYQByAG4AaQBuAGcAcwAgAEIAZQBmAG8AcgBlACAASQBuAHQAZQByAGUAcwB0ACAAYQBuAGQAIAB0AGEAeAAgACgARQBCAEkAVAApACwAIAB3AGgAaQBjAGgAIABpAHMAIAByAGUAdgBlAG4AdQBlALYAXAAiACAAJgBcAG4AIAAgACAAIAAgACAAIAAgACAAIAAgACAAIAAgACAAIAAgACAAIAAgACAAIAAgACAAIAAgACAAIAAgACAAIAAgACAAIAAgACAAIAAgACAAIAAgACAAIABcACIAkiFsAGUAcwBzACAAQwBPAEcAUwAgAGEAbgBkACAAbABlAHMAcwAgAHQAaABlACAAbwB0AGgAZQByACAAbwBwAGUAcgBhAHQAaQBuAGcAIABlAHgAcABlAG4AcwBlAHMAtgBcACIAIAAmAFwAbgAgACAAIAAgACAAIAAgACAAIAAgACAAIAAgACAAIAAgACAAIAAgACAAIAAgACAAIABcACIAUgBlAHYAZQBuAHUAZQAgACAAIAAgACAAIAAgACAAIAAgACAAIACSISgAUgBlAHEAdQBpAHIAZQBkACkAIABSAGUAdgBlAG4AdQBl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DAAJQAgACAAIAAgACAAIAAgACAAIAAgACAAIAAgACAAIAAgAJIhPQBvAHoALgBPAHAAZQByAGEAdABpAG4AZwBNAGEAcgBnAGkAbgC7AygAIAAuADgALAAgADI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wBwAGUAcgBhAHQAaQBuAGc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UAdABhAHgATQBhAHIAZwBpAG4AuwNcAG4AIAAgACAAIABEAEUAUwBDAFIASQBQAFQASQBPAE4AOgAqAC8ALwAqACoATQBlAGEAcwB1AHIAZQBzACAAdABoAGUAIABvAHAAZQByAGEAdABpAG4AZwAgAGUAZgBmAGkAYwBpAGUAbgBjAHkAIABvAGYAIABhACAAYwBvAG0AcABhAG4AeQAgACgAUAByAGUAdABhAHgAIABFAGEAcgBuAGkAbgBnAHMALwBSAGUAdgBlAG4AdQBlACkALgAqAC8AXABuAFAAcgBlAHQAYQB4AE0AYQByAGcAaQBuALsDIAA9ACAATABBAE0AQgBEAEEAKABcAG4ALwAvACAAIABQAGEAcgBhAG0AZQB0AGUAcgAgAEQAZQBjAGwAYQByAGEAdABpAG8AbgBzAFwAbgAgACAAIAAgACAAIAAgACAAWwBQAHIAZQB0AGEAeA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VAAcgBlAHQAYQB4AE0AYQByAGcAaQBuALsDKAAgAFAAcgBlAHQAYQB4AEUAYQByAG4AaQBuAGcAcwAsACAAUgBlAHYAZQBuAHUAZQApALYAXAAiACAAJgAgAFwAbgAgACAAIAAgACAAIAAgACAAIAAgACAAIAAgACAAIAAgACAAIAAgACAAIAAgACAAIABcACIARABFAFMAQwBSAEkAUABUAEkATwBOADoAIAAgACAAkiFNAGUAYQBzAHUAcgBlAHMAIAB0AGgAZQAgAG8AcABlAHIAYQB0AGkAbgBnACAAZQBmAGYAaQBjAGkAZQBuAGMAeQAgAG8AZgAgAGEAIABjAG8AbQBwAGEAbgB5ACAAKABQAHIAZQB0AGEAeAAgAEUAYQByAG4AaQBuAGcAcwAvAFIAZQB2AGUAbgB1AGUAKQAuALYAXAAiACAAJgAgAFwAbgAgACAAIAAgACAAIAAgACAAIAAgACAAIAAgACAAIAAgACAAIAAgACAAIAAgACAAIABcACIAVwBFAEIAUABBAEcARQA6ACAAIAAgACAAIAAgACAAkiFoAHQAdABwAHMAOgAvAC8AdwB3AHcALgBpAG4AdgBlAHMAdABvAHAAZQBkAGkAYQAuAGMAbwBtAC8AdABlAHIAbQBzAC8AcAAvAHAAcgBlAHQAYQB4AC0AbQBhAHIAZwBpAG4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UAByAGUAdABhAHgARQBhAHIAbgBpAG4AZwBzACAAkiEoAFIAZQBxAHUAaQByAGUAZAApACAARQBhAHIAbgBpAG4AZwBzACAAYgBlAGYAbwByAGUAIAB0AGEAeAAgACgARQBCAFQAKQ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4ACUAIAAgACAAIAAgACAAIAAgACAAIAAgACAAIACSIT0AbwB6AC4AUAByAGUAdABhAHgATQBhAHIAZwBpAG4AuwMoACAANAAwAC4AMAAsACAAN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AByAGUAdABhAHg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UAByAGUAdABhAHg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gBlAHQAUAByAG8AZgBpAHQATQBhAHIAZwBpAG4AuwNcAG4AIAAgACAAIABEAEUAUwBDAFIASQBQAFQASQBPAE4AOgAqAC8ALwAqACoATQBlAGEAcwB1AHIAZQBzACAAaABvAHcAIABtAHUAYwBoACAAbgBlAHQAIABpAG4AYwBvAG0AZQAgAG8AcgAgAHAAcgBvAGYAaQB0ACAAYQAgAGMAbwBtAHAAYQBuAHkAIABnAGUAbgBlAHIAYQB0AGUAcwAgAGEAcwAgAGEAIABwAGUAcgBjAGUAbgB0AGEAZwBlACAAbwBmACAAaQB0AHMAIAByAGUAdgBlAG4AdQBlAC4AIABcAG4AKABOAGUAdAAgAEkAbgBjAG8AbQBlAC8AUgBlAHYAZQBuAHUAZQApAC4AKgAvAFwAbgBOAGUAdABQAHIAbwBmAGkAdABNAGEAcgBnAGkAbgC7AyAAPQAgAEwAQQBNAEIARABBACgAXABuAC8ALwAgACAAUABhAHIAYQBtAGUAdABlAHIAIABEAGUAYwBsAGEAcgBhAHQAaQBvAG4AcwBcAG4AIAAgACAAIAAgACAAIAAgAFsATgBlAHQASQBuAGMAbwBtAGU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4AZQB0AFAAcgBvAGYAaQB0AE0AYQByAGcAaQBuALsDKAAgAE4AZQB0AEkAbgBjAG8AbQBlACwAIABSAGUAdgBlAG4AdQBlACkAtgBcACIAIAAmACAAXABuACAAIAAgACAAIAAgACAAIAAgACAAIAAgACAAIAAgACAAIAAgACAAIAAgACAAIAAgAFwAIgBEAEUAUwBDAFIASQBQAFQASQBPAE4AOgAgACAAIACSIU0AZQBhAHMAdQByAGUAcwAgAGgAbwB3ACAAbQB1AGMAaAAgAG4AZQB0ACAAaQBuAGMAbwBtAGUAIABvAHIAIABwAHIAbwBmAGkAdAAgAGEAIABjAG8AbQBwAGEAbgB5ACAAZwBlAG4AZQByAGEAdABlAHMAIABhAHMAIABhACAAtgBcACIAIAAmACAAXABuACAAIAAgACAAIAAgACAAIAAgACAAIAAgACAAIAAgACAAIAAgACAAIAAgACAAIAAgACAAIAAgACAAIAAgACAAIAAgACAAIAAgACAAIAAgAFwAIgCSIXAAZQByAGMAZQBuAHQAYQBnAGUAIABvAGYAIABpAHQAcwAgAHIAZQB2AGUAbgB1AGUALgAgACgATgBlAHQAIABJAG4AYwBvAG0AZQAvAFIAZQB2AGUAbgB1AGUAKQC2AFwAIgAgACYAIABcAG4AIAAgACAAIAAgACAAIAAgACAAIAAgACAAIAAgACAAIAAgACAAIAAgACAAIAAgACAAXAAiAFcARQBCAFAAQQBHAEUAOgAgACAAIAAgACAAIAAgAJIhaAB0AHQAcABzADoALwAvAHcAdwB3AC4AaQBuAHYAZQBzAHQAbwBwAGUAZABpAGEALgBjAG8AbQAvAHQAZQByAG0AcwAvAG4ALwBuAGUAdABfAG0AYQByAGcAaQBu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IABpAG4AYwBsAHUAZABlAHMAOgC2AFwAIgAgACYAIABcAG4AIAAgACAAIAAgACAAIAAgACAAIAAgACAAIAAgACAAIAAgACAAIAAgACAAIAAgACAAIAAgACAAIAAgACAAIAAgACAAIAAgACAAIAAgACAAXAAiAJIhUgBlAHYAZQBuAHUAZQC2AFwAIgAgACYAIABcAG4AIAAgACAAIAAgACAAIAAgACAAIAAgACAAIAAgACAAIAAgACAAIAAgACAAIAAgACAAIAAgACAAIAAgACAAIAAgACAAIAAgACAAIAAgACAAXAAiAJIhTABlAHMAcwAgAEMATwBHAFMAtgBcACIAIAAmACAAXABuACAAIAAgACAAIAAgACAAIAAgACAAIAAgACAAIAAgACAAIAAgACAAIAAgACAAIAAgACAAIAAgACAAIAAgACAAIAAgACAAIAAgACAAIAAgAFwAIgCSIUwAZQBzAHMAIABPAHAAZQByAGEAdABpAG4AZwAgAGEAbgBkACAAbwB0AGgAZQByACAAZQB4AHAAZQBuAHMAZQBzALYAXAAiACAAJgAgAFwAbgAgACAAIAAgACAAIAAgACAAIAAgACAAIAAgACAAIAAgACAAIAAgACAAIAAgACAAIAAgACAAIAAgACAAIAAgACAAIAAgACAAIAAgACAAIABcACIAkiFMAGUAcwBzACAASQBuAHQAZQByAGUAcwB0ALYAXAAiACAAJgAgAFwAbgAgACAAIAAgACAAIAAgACAAIAAgACAAIAAgACAAIAAgACAAIAAgACAAIAAgACAAIAAgACAAIAAgACAAIAAgACAAIAAgACAAIAAgACAAIABcACIAkiFMAGUAcwBzACAAVABhAHgAZQBz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UANgAlACAAIAAgACAAIAAgACAAIAAgACAAIAAgAJIhPQBvAHoALgBOAGUAdABQAHIAbwBmAGkAdABNAGEAcgBnAGkAbgC7AygAIAA1ADY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4AZQB0AEkAbgBjAG8AbQBl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EMAYQBzAGgARgBsAG8AdwBNAGEAcgBnAGkAbgC7A1wAbgAgACAAIAAgAEQARQBTAEMAUgBJAFAAVABJAE8ATgA6ACoALwAvACoAKgBDAGEAcwBoACAARgBsAG8AdwAgAE0AYQByAGcAaQBuACAAaQBzACAAYQAgAHQAcgB1AHMAdABlAGQAIABtAGUAdAByAGkAYwAgAG8AZgAgAGEAIABjAG8AbQBwAGEAbgB5ABkgcwAgAHAAcgBvAGYAaQB0AGEAYgBpAGwAaQB0AHkAIABhAG4AZAAgAGUAZgBmAGkAYwBpAGUAbgBjAHkAIABcAG4AYQBuAGQAIABpAHQAcwAgAGUAYQByAG4AaQBuAGcAcwAgAHEAdQBhAGwAaQB0AHkAIAAoAEMAYQBzAGgAIABGAGwAbwB3ACAARgByAG8AbQAgAE8AcABlAHIAYQB0AGkAbgBnACAAQQBjAHQAaQB2AGkAdABpAGUAcwAvAFIAZQB2AGUAbgB1AGUAKQAuACoALwBcAG4AQwBhAHMAaABGAGwAbwB3AE0AYQByAGcAaQBuALsDIAA9ACAATABBAE0AQgBEAEEAKABcAG4ALwAvACAAIABQAGEAcgBhAG0AZQB0AGUAcgAgAEQAZQBjAGwAYQByAGEAdABpAG8AbgBzAFwAbgAgACAAIAAgACAAIAAgACAAWwBDAGEAcwBoAEYAbABvAHcARgByAG8AbQBPAHAAZQByAGEAdABpAG4AZwBBAGMAdABpAHYAaQB0AGkAZQ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DAGEAcwBoAEYAbABvAHcATQBhAHIAZwBpAG4AuwMoACAAQwBhAHMAaABGAGwAbwB3AEYAcgBvAG0ATwBwAGUAcgBhAHQAaQBuAGcAQQBjAHQAaQB2AGkAdABpAGUAcwAsACAAUgBlAHYAZQBuAHUAZQApALYAXAAiACAAJgAgAFwAbgAgACAAIAAgACAAIAAgACAAIAAgACAAIAAgACAAIAAgACAAIAAgACAAIAAgACAAIABcACIARABFAFMAQwBSAEkAUABUAEkATwBOADoAIAAgACAAkiFDAGEAcwBoACAARgBsAG8AdwAgAE0AYQByAGcAaQBuACAAaQBzACAAYQAgAHQAcgB1AHMAdABlAGQAIABtAGUAdAByAGkAYwAgAG8AZgAgAGEAIABjAG8AbQBwAGEAbgB5ABkgcwAgAHAAcgBvAGYAaQB0AGEAYgBpAGwAaQB0AHkAIAC2AFwAIgAgACYAIABcAG4AIAAgACAAIAAgACAAIAAgACAAIAAgACAAIAAgACAAIAAgACAAIAAgACAAIAAgACAAIAAgACAAIAAgACAAIAAgACAAIAAgACAAIAAgACAAXAAiAJIhYQBuAGQAIABlAGYAZgBpAGMAaQBlAG4AYwB5ACAAYQBuAGQAIABpAHQAcwAgAGUAYQByAG4AaQBuAGcAcwAgAHEAdQBhAGwAaQB0AHkAIAC2AFwAIgAgACYAIABcAG4AIAAgACAAIAAgACAAIAAgACAAIAAgACAAIAAgACAAIAAgACAAIAAgACAAIAAgACAAIAAgACAAIAAgACAAIAAgACAAIAAgACAAIAAgACAAXAAiAJIhKABDAGEAcwBoACAARgBsAG8AdwAgAEYAcgBvAG0AIABPAHAAZQByAGEAdABpAG4AZwAgAEEAYwB0AGkAdgBpAHQAaQBlAHMALwBSAGUAdgBlAG4AdQBlACkALgC2AFwAIgAgACYAIABcAG4AIAAgACAAIAAgACAAIAAgACAAIAAgACAAIAAgACAAIAAgACAAIAAgACAAIAAgACAAXAAiAFcARQBCAFAAQQBHAEUAOgAgACAAIAAgACAAIAAgAJIhaAB0AHQAcABzADoALwAvAHcAdwB3AC4AaQBuAHYAZQBzAHQAbwBwAGUAZABpAGEALgBjAG8AbQAvAHQAZQByAG0AcwAvAG8ALwBvAHAAZQByAGEAdABpAG4AZwAtAGMAYQBzAGgALQBmAGwAbwB3AC0AbQBhAHIAZwBpAG4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QwBhAHMAaABGAGwAbwB3AEYAcgBvAG0ATwBwAGUAcgBhAHQAaQBuAGcAQQBjAHQAaQB2AGkAdABpAGUAcwCSISgAUgBlAHEAdQBpAHIAZQBkACkAIABDAGEAcwBoACAARgBsAG8AdwAgAEYAcgBvAG0AIABPAHAAZQByAGEAdABpAG4AZwAgAEEAYwB0AGkAdgBpAHQAaQBlAHMAIABpAG4AYwBsAHUAZABlAHMAOgC2AFwAIgAgACYAIABcAG4AIAAgACAAIAAgACAAIAAgACAAIAAgACAAIAAgACAAIAAgACAAIAAgACAAIAAgACAAIAAgACAAIAAgACAAIAAgACAAIAAgACAAIAAgACAAXAAiAJIhTgBlAHQAIABJAG4AYwBvAG0AZQC2AFwAIgAgACYAIABcAG4AIAAgACAAIAAgACAAIAAgACAAIAAgACAAIAAgACAAIAAgACAAIAAgACAAIAAgACAAIAAgACAAIAAgACAAIAAgACAAIAAgACAAIAAgACAAXAAiAJIhTgBvAG4ALQBjAGEAcwBoACAARQB4AHAAZQBuAHMAZQBzACAAKABEAGUAcAByAGUAYwBpAGEAdABpAG8AbgAgAGEAbgBkACAAQQBtAG8AcgB0AGkAcwBhAHQAaQBvAG4AKQC2AFwAIgAgACYAIABcAG4AIAAgACAAIAAgACAAIAAgACAAIAAgACAAIAAgACAAIAAgACAAIAAgACAAIAAgACAAIAAgACAAIAAgACAAIAAgACAAIAAgACAAIAAgACAAXAAiAJIhQwBoAGEAbgBnAGUAIABpAG4AIABXAG8AcgBrAGkAbgBnACAAQwBhAHAAaQB0AGEAbA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1ADAALgA4ACUAIAAgACAAIAAgACAAIAAgACAAIACSIT0AbwB6AC4AQwBhAHMAaABGAGwAbwB3AE0AYQByAGcAaQBuALsDKAAgADIALgA2ADkANQAsACAANQAuADM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EYAbABvAHcARgByAG8AbQBPAHAAZQByAGEAdABpAG4AZwBBAGMAdABpAHYAaQB0AGkAZQ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QwBhAHMAaABGAGwAbwB3AEYAcgBvAG0ATwBwAGUAcgBhAHQAaQBuAGcAQQBjAHQAaQB2AGkAdABpAGU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BALsDXABuACAAIAAgACAARABFAFMAQwBSAEkAUABUAEkATwBOADoAKgAvAC8AKgAqAFIAZQB0AHUAcgBuACAAbwBuACAAYQBzAHMAZQB0AHMAIAAoAFIATwBBACkAIAByAGEAdABpAG8AIABpAG4AZABpAGMAYQB0AGUAcwAgAGgAbwB3ACAAcAByAG8AZgBpAHQAYQBiAGwAZQAgAGEAIABjAG8AbQBwAGEAbgB5ACAAaQBzACAAXABuAGkAbgAgAHIAZQBsAGEAdABpAG8AbgAgAHQAbwAgAGkAdABzACAAdABvAHQAYQBsACAAYQBzAHMAZQB0AHMAIAAoACAATgBlAHQAIABJAG4AYwBvAG0AZQAgAC8AIABUAG8AdABhAGwAIABBAHMAcwBlAHQAcwApACAAKgAvAFwAbgBSAE8AQQC7AyAAPQAgAEwAQQBNAEIARABBACgAXABuAC8ALwAgACAAUABhAHIAYQBtAGUAdABlAHIAIABEAGUAYwBsAGEAcgBhAHQAaQBvAG4AcwBcAG4AIAAgACAAIAAgACAAIAAgAFsATgBlAHQASQBuAGMAbwBtAGU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UgBPAEEAuwMoACAATgBlAHQASQBuAGMAbwBtAGUALAAgAFQAbwB0AGEAbABBAHMAcwBlAHQAcwApALYAXAAiACAAJgAgAFwAbgAgACAAIAAgACAAIAAgACAAIAAgACAAIAAgACAAIAAgACAAIAAgACAAIAAgACAAIABcACIARABFAFMAQwBSAEkAUABUAEkATwBOADoAIAAgACAAkiFSAGUAdAB1AHIAbgAgAG8AbgAgAGEAcwBzAGUAdABzACAAcgBhAHQAaQBvACAAaQBuAGQAaQBjAGEAdABlAHMAIABoAG8AdwAgAHAAcgBvAGYAaQB0AGEAYgBsAGUAIABhACAAYwBvAG0AcABhAG4AeQAgAGkAcwAgALYAXAAiACAAJgAgAFwAbgAgACAAIAAgACAAIAAgACAAIAAgACAAIAAgACAAIAAgACAAIAAgACAAIAAgACAAIAAgACAAIAAgACAAIAAgACAAIAAgACAAIAAgACAAIABcACIAkiFpAG4AIAByAGUAbABhAHQAaQBvAG4AIAB0AG8AIABpAHQAcwAgAHQAbwB0AGEAbAAgAGEAcwBzAGUAdABzACAAKAAgAE4AZQB0ACAASQBuAGMAbwBtAGUAIAAvACAAVABvAHQAYQBsACAAQQBzAHMAZQB0AHMAKQC2AFwAIgAgACYAIABcAG4AIAAgACAAIAAgACAAIAAgACAAIAAgACAAIAAgACAAIAAgACAAIAAgACAAIAAgACAAXAAiAFcARQBCAFAAQQBHAEUAOgAgACAAIAAgACAAIAAgAJIhaAB0AHQAcABzADoALwAvAHcAdwB3AC4AaQBuAHYAZQBzAHQAbwBwAGUAZABpAGEALgBjAG8AbQAvAHQAZQByAG0AcwAvAHIALwByAGUAdAB1AHIAbgBvAG4AYQBzAHMAZQB0AHM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C2AFwAIgAgACYAIABcAG4AIAAgACAAIAAgACAAIAAgACAAIAAgACAAIAAgACAAIAAgACAAIAAgACAAIAAgACAAXAAiAFQAbwB0AGEAbABBAHMAcwBlAHQAcwAgACAAIAAgAJIhKABSAGUAcQB1AGkAcgBlAGQAKQAgAFQAbwB0AGEAbAAgAEEAcwBzAGUAdABz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OAAlACAAIAAgACAAIAAgACAAIAAgACAAIAAgACAAkiE9AG8AegAuAFIATwBBALsDKAAxADIAMAAwACwAIAAxADU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SQBuAGMAbwBtAGU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FALsDXABuACAAIAAgACAARABFAFMAQwBSAEkAUABUAEkATwBOADoAKgAvAC8AKgAqAFIAZQB0AHUAcgBuACAAbwBuACAAZQBxAHUAaQB0AHkAIAAoAFIATwBFACkAIAByAGEAdABpAG8AIABpAHMAIABhACAAbQBlAGEAcwB1AHIAZQAgAG8AZgAgAGYAaQBuAGEAbgBjAGkAYQBsACAAcABlAHIAZgBvAHIAbQBhAG4AYwBlACAAKABOAGUAdAAgAEkAbgBjAG8AbQBlAC8AQQB2AGUAcgBhAGcAZQAgAFMAaABhAHIAZQBoAG8AbABkAGUAcgBzACcAIABFAHEAdQBpAHQAeQApACoALwBcAG4AUgBPAEUAuwMgAD0AIABMAEEATQBCAEQAQQAoAFwAbgAvAC8AIAAgAFAAYQByAGEAbQBlAHQAZQByACAARABlAGMAbABhAHIAYQB0AGkAbwBuAHMAXABuACAAIAAgACAAIAAgACAAIABbAE4AZQB0AEkAbgBjAG8AbQBlAF0ALABcAG4AIAAgACAAIAAgACAAIAAgAFsAUwBoAGEAcgBlAGgAbwBsAGQAZQByAHMARQBxAHUAaQB0AHkAXQAsAFwAbgAgACAAIAAgACAAIAAgACAAWwBPAHAAZQBuAGkAbgBnAEUAcQB1AGkAdAB5AF0ALABcAG4ALwAvACAAIABIAGUAbABwAFwAbgAgACAAIAAgAEwARQBUACgASABlAGwAcAAsACAAIAAgAFQAUgBJAE0AKABUAEUAWABUAFMAUABMAEkAVAAoAFwAbgAgACAAIAAgACAAIAAgACAAIAAgACAAIAAgACAAIAAgACAAIAAgACAAIAAgACAAIABcACIARgBVAE4AQwBUAEkATwBOADoAIAAgACAAIAAgACAAIAAgACAAIACSIVIATwBFALsDKAAgAE4AZQB0AEkAbgBjAG8AbQBlACwAIABTAGgAYQByAGUAaABvAGwAZABlAHIAcwBFAHEAdQBpAHQAeQAsACAAWwBPAHAAZQBuAGkAbgBnAEUAcQB1AGkAdAB5AF0AKQC2AFwAIgAgACYAXABuACAAIAAgACAAIAAgACAAIAAgACAAIAAgACAAIAAgACAAIAAgACAAIAAgACAAIAAgAFwAIgBEAEUAUwBDAFIASQBQAFQASQBPAE4AOgAgACAAIAAgACAAIAAgAJIhUgBlAHQAdQByAG4AIABvAG4AIABlAHEAdQBpAHQAeQAgAHIAYQB0AGkAbwAgAGkAcwAgAGMAbwBuAHMAaQBkAGUAcgBlAGQAIABhACAAZwBhAHUAZwBlACAAbwBmACAAYQAgAGMAbwByAHAAbwByAGEAdABpAG8AbgAnAHMAIAC2AFwAIgAgACYAXABuACAAIAAgACAAIAAgACAAIAAgACAAIAAgACAAIAAgACAAIAAgACAAIAAgACAAIAAgACAAIAAgACAAIAAgACAAIAAgACAAIAAgACAAIAAgACAAIAAgACAAXAAiAJIhcAByAG8AZgBpAHQAYQBiAGkAbABpAHQAeQAgAGEAbgBkACAAaABvAHcAIABlAGYAZgBpAGMAaQBlAG4AdAAgAGkAdAAgAGkAcwAgAGkAbgAgAGcAZQBuAGUAcgBhAHQAaQBuAGcAIABwAHIAbwBmAGkAdABzALYAXAAiACAAJgBcAG4AIAAgACAAIAAgACAAIAAgACAAIAAgACAAIAAgACAAIAAgACAAIAAgACAAIAAgACAAIAAgACAAIAAgACAAIAAgACAAIAAgACAAIAAgACAAIAAgACAAIABcACIAkiEoAE4AZQB0ACAASQBuAGMAbwBtAGUALwAgAEEAdgBlAHIAYQBnAGUAIABTAGgAYQByAGUAaABvAGwAZABlAHIAcwAnACAARQBxAHUAaQB0AHkAKQC2AFwAIgAgACYAXABuACAAIAAgACAAIAAgACAAIAAgACAAIAAgACAAIAAgACAAIAAgACAAIAAgACAAIAAgAFwAIgBXAEUAQgBQAEEARwBFADo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kiE2ACAAUwBlAHAAIAAyADAAMgA2ALYAXAAiACAAJgBcAG4AIAAgACAAIAAgACAAIAAgACAAIAAgACAAIAAgACAAIAAgACAAIAAgACAAIAAgACAAXAAiAFAAQQBSAEEATQBFAFQARQBSAFMAOgCSIbYAXAAiACAAJgBcAG4AIAAgACAAIAAgACAAIAAgACAAIAAgACAAIAAgACAAIAAgACAAIAAgACAAIAAgACAAXAAiAE4AZQB0AEkAbgBjAG8AbQBlACAAIAAgACAAIAAgACAAIAAgACAAkiEoAFIAZQBxAHUAaQByAGUAZAApACAATgBlAHQAIABJAG4AYwBvAG0AZQC2AFwAIgAgACYAXABuACAAIAAgACAAIAAgACAAIAAgACAAIAAgACAAIAAgACAAIAAgACAAIAAgACAAIAAgAFwAIgBTAGgAYQByAGUAaABvAGwAZABlAHIAcwBFAHEAdQBpAHQAeQAgAJIhKABSAGUAcQB1AGkAcgBlAGQAKQAgAFMAaABhAHIAZQBoAG8AbABkAGUAcgBzACcAIABFAHEAdQBpAHQAeQAgAGEAdAAgAHQAaABlACAAcABlAHIAaQBvAGQAIABjAGwAbwBzAGUALgAgAEcAaQB2AGUAIAB0AGgAZQAgAGEAdgBlAHIAYQBnAGUAIABvAGYAIABvAHAAZQBuACAAYQBuAGQAIABjAGwAbwBzAGUAIABoAGUAcgBlACAAdwBoAGUAbgAgAE8AcABlAG4AaQBuAGcARQBxAHUAaQB0AHkAIABpAHMAIABsAGUAZgB0ACAAbwB1AHQAIAC2AFwAIgAgACYAXABuACAAIAAgACAAIAAgACAAIAAgACAAIAAgACAAIAAgACAAIAAgACAAIAAgACAAIAAgAFwAIgBPAHAAZQBuAGkAbgBnAEUAcQB1AGkAdAB5ACAAIAAgACAAIAAgAJIhKABPAHAAdABpAG8AbgBhAGwAKQAgAFMAaABhAHIAZQBoAG8AbABkAGUAcgBzACcAIABFAHEAdQBpAHQAeQAgAGEAdAAgAHQAaABlACAAcABlAHIAaQBvAGQAIABvAHAAZQBuAC4AIABXAGgAZQBuACAAZwBpAHYAZQBuACwAIAB0AGgAZQAgAHIAYQB0AGkAbwAgAGQAaQB2AGkAZABlAHMAIABiAHkAIAB0AGgAZQAgAGEAdgBlAHIAYQBnAGUAIABvAGYAIABPAHAAZQBuAGkAbgBnAEUAcQB1AGkAdAB5ACAAYQBuAGQAIABTAGgAYQByAGUAaABvAGwAZABlAHIAcwBFAHEAdQBpAHQAeQAgALYAXAAiACAAJg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gAzAC4ANgAyADEAMwAlACAAIAAgACAAIAAgACAAIAAgACAAIACSIT0AbwB6AC4AUgBPAEUAuwMoACAANQA5AC4AOQA3ADIALAAgADIANQA2AC4AMQA0ADQALAAgADIANQAxAC4ANgAzADUAIAApALYAXAAiACAAJgBcAG4AIAAgACAAIAAgACAAIAAgACAAIAAgACAAIAAgACAAIAAgACAAIAAgACAAIAAgACAAXAAiADIAMwAuADYAMgAxADMAJQAgACAAIAAgACAAIAAgACAAIAAgACAAkiE9AG8AegAuAFIATwBFALsDKAAgADUAOQAuADkANwAyACwAIABBAFYARQBSAEEARwBFACgAMgA1ADEALgA2ADMANQAsACAAMgA1ADYALgAxADQANAApACAAKQBcACIAL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wBoAGEAcgBlAGgAbwBsAGQAZQByAHMARQBxAHUAaQB0AHkAKQBcAG4AIAAgACAAIAAgACAAIAAgACAAIAAgACAAIAAgACAAIAAgACAAIAAgACAAIAAgACAAKQAsAFwAbgAgACAAIAAgAC8ALwAgACAAQQAgAGIAbABhAG4AawAgAE8AcABlAG4AaQBuAGcARQBxAHUAaQB0AHkAIABjAGUAbABsACAAaQBzACAAbgBvAHQAIABhAG4AIABvAG0AaQB0AHQAZQBkACAAYQByAGcAdQBtAGUAbgB0ACwAIABzAG8AIAB0AGUAcwB0ACAAZgBvAHIAIABiAG8AdABoADoAIABlAGkAdABoAGUAcgBcAG4AIAAgACAAIAAvAC8AIAAgAHcAYQB5ACAAdABoAGUAIABjAGwAbwBzAGkAbgBnACAAZQBxAHUAaQB0AHkAIABzAHQAYQBuAGQAcwAgAGkAbgAgAGYAbwByACAAaQB0ACAAYQBuAGQAIAB0AGgAZQAgAHIAYQB0AGkAbwAgAGkAcwAgAHcAaABhAHQAIABpAHQAIAB3AGEAcwAgAGIAZQBmAG8AcgBlAFwAbgAgACAAIAAgACAAIAAgACAATwBwAGUAbgBpAG4AZwAsACAAIAAgACAAIAAgACAAIABJAEYAKAAgAEkAUwBPAE0ASQBUAFQARQBEACgAIABPAHAAZQBuAGkAbgBnAEUAcQB1AGkAdAB5ACkALABcAG4AIAAgACAAIAAgACAAIAAgACAAIAAgACAAIAAgACAAIAAgACAAIAAgACAAIAAgACAAIAAgACAAIABTAGgAYQByAGUAaABvAGwAZABlAHIAcwBFAHEAdQBpAHQAeQAsAFwAbgAgACAAIAAgACAAIAAgACAAIAAgACAAIAAgACAAIAAgACAAIAAgACAAIAAgACAAIAAgACAAIAAgAEkARgAoACAASQBTAE4AVQBNAEIARQBSACgAIABPAHAAZQBuAGkAbgBnAEUAcQB1AGkAdAB5ACkALAAgAE8AcABlAG4AaQBuAGcARQBxAHUAaQB0AHkALAAgAFMAaABhAHIAZQBoAG8AbABkAGUAcgBzAEUAcQB1AGkAdAB5ACkAXABuACAAIAAgACAAIAAgACAAIAAgACAAIAAgACAAIAAgACAAIAAgACAAIAAgACAAIAAgACkALABcAG4AIAAgACAAIAAvAC8AIAAgAFAAcgBvAGMAZQBkAHUAcgBlAFwAbgAgACAAIAAgACAAIAAgACAAUgBlAHMAdQBsAHQALAAgACAAIAAgACAAIAAgACAAIABOAGUAdABJAG4AYwBvAG0AZQAgAC8AIAAoACgAUwBoAGEAcgBlAGgAbwBsAGQAZQByAHMARQBxAHUAaQB0AHkAIAArACAATwBwAGUAbgBpAG4AZwApACAALwAgADIAK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uwNcAG4AIAAgACAAIABEAEUAUwBDAFIASQBQAFQASQBPAE4AOgAqAC8ALwAqACoAUgBlAHQAdQByAG4AIABvAG4AIABJAG4AdgBlAHMAdABtAGUAbgB0ACAAKABSAE8ASQApACAAcgBhAHQAaQBvACAAIABtAGUAYQBzAHUAcgBlAHMAIAB0AGgAZQAgAHAAcgBvAGYAaQB0AGEAYgBpAGwAaQB0AHkAIABvAGYAIABhAG4AIABpAG4AdgBlAHMAdABtAGUAbgB0ACAAYgB5ACAAYwBvAG0AcABhAHIAaQBuAGcAIABcAG4AdABoAGUAIABnAGEAaQBuACAAbwByACAAbABvAHMAcwAgAHQAbwAgAGkAdABzACAAYwBvAHMAdAAgACgATgBlAHQAIABSAGUAdAB1AHIAbgAgAG8AbgAgAEkAbgB2AGUAcwB0AG0AZQBuAHQALwBDAG8AcwB0ACAAbwBmACAASQBuAHYAZQBzAHQAbQBlAG4AdAApAC4AKgAvAFwAbgBSAE8ASQC7AyAAPQAgAEwAQQBNAEIARABBACgAXABuAC8ALwAgACAAUABhAHIAYQBtAGUAdABlAHIAIABEAGUAYwBsAGEAcgBhAHQAaQBvAG4AcwBcAG4AIAAgACAAIAAgACAAIAAgAFsATgBlAHQAUgBlAHQAdQByAG4AbwBuAEkAbgB2AGUAcwB0AG0AZQBuAHQAXQAsACAAIABcAG4AIAAgACAAIAAgACAAIAAgAFsAQwBvAHMAdABvAGYASQBuAHYAZQBzAHQAbQBlAG4AdABdACwAIAAgACAAIABcAG4ALwAvACAAIABIAGUAbABwAFwAbgAgACAAIAAgAEwARQBUACgASABlAGwAcAAsACAAIAAgAFQAUgBJAE0AKABUAEUAWABUAFMAUABMAEkAVAAoACAAXABuACAAIAAgACAAIAAgACAAIAAgACAAIAAgACAAIAAgACAAIAAgACAAIAAgACAAIAAgAFwAIgBGAFUATgBDAFQASQBPAE4AOgAgACAAIAAgACAAIAAgACAAIAAgACAAIAAgACAAkiFSAE8ASQC7AygAIABOAGUAdABSAGUAdAB1AHIAbgBvAG4ASQBuAHYAZQBzAHQAbQBlAG4AdAAsACAAQwBvAHMAdABvAGYASQBuAHYAZQBzAHQAbQBlAG4AdAApALYAXAAiACAAJgAgAFwAbgAgACAAIAAgACAAIAAgACAAIAAgACAAIAAgACAAIAAgACAAIAAgACAAIAAgACAAIABcACIARABFAFMAQwBSAEkAUABUAEkATwBOADoAIAAgACAAIAAgACAAIAAgACAAIAAgAJIhUgBlAHQAdQByAG4AIABvAG4AIABJAG4AdgBlAHMAdABtAGUAbgB0ACAAKABSAE8ASQApACAAcgBhAHQAaQBvACAAIABtAGUAYQBzAHUAcgBlAHMAIAB0AGgAZQAgAHAAcgBvAGYAaQB0AGEAYgBpAGwAaQB0AHkAIABvAGYAtgBcACIAIAAmACAAXABuACAAIAAgACAAIAAgACAAIAAgACAAIAAgACAAIAAgACAAIAAgACAAIAAgACAAIAAgACAAIAAgACAAIAAgACAAIAAgACAAIAAgACAAIAAgACAAIAAgACAAIAAgACAAIABcACIAkiFhAG4AIABpAG4AdgBlAHMAdABtAGUAbgB0ACAAYgB5ACAAYwBvAG0AcABhAHIAaQBuAGcAIAB0AGgAZQAgAGcAYQBpAG4AIABvAHIAIABsAG8AcwBzACAAdABvACAAaQB0AHMAIABjAG8AcwB0AC4AIAC2AFwAIgAgACYAIABcAG4AIAAgACAAIAAgACAAIAAgACAAIAAgACAAIAAgACAAIAAgACAAIAAgACAAIAAgACAAIAAgACAAIAAgACAAIAAgACAAIAAgACAAIAAgACAAIAAgACAAIAAgACAAIAAgAFwAIgCSISgATgBlAHQAIABSAGUAdAB1AHIAbgAgAG8AbgAgAEkAbgB2AGUAcwB0AG0AZQBuAHQALwBDAG8AcwB0ACAAbwBmACAASQBuAHYAZQBzAHQAbQBlAG4AdAApALYAXAAiACAAJgAgAFwAbgAgACAAIAAgACAAIAAgACAAIAAgACAAIAAgACAAIAAgACAAIAAgACAAIAAgACAAIABcACIAVwBFAEIAUABBAEcARQA6ACAAIAAgACAAIAAgACAAIAAgACAAIAAgACAAIAAgAJIhaAB0AHQAcABzADoALwAvAHcAdwB3AC4AaQBuAHYAZQBzAHQAbwBwAGUAZABpAGEALgBjAG8AbQAvAHQAZQByAG0AcwAvAHIALwByAGUAdAB1AHIAbgBvAG4AaQBuAHYAZQBzAHQAbQBlAG4AdAAuAGEAcwBwACAAtgBcACIAIAAmAFwAbgAgACAAIAAgACAAIAAgACAAIAAgACAAIAAgACAAIAAgACAAIAAgACAAIAAgACAAIABcACIAVgBFAFIAUwBJAE8ATgA6ACAAIAAgACAAIAAgACAAIAAgACAAIAAgACAAIAAgAJIhMgAwACAAQQB1AGcAIAAyADAAMgA2ALYAXAAiACAAJgBcAG4AIAAgACAAIAAgACAAIAAgACAAIAAgACAAIAAgACAAIAAgACAAIAAgACAAIAAgACAAXAAiAFAAQQBSAEEATQBFAFQARQBSAFMAOgCSIbYAXAAiACAAJgAgAFwAbgAgACAAIAAgACAAIAAgACAAIAAgACAAIAAgACAAIAAgACAAIAAgACAAIAAgACAAIABcACIATgBlAHQAUgBlAHQAdQByAG4AbwBuAEkAbgB2AGUAcwB0AG0AZQBuAHQAIAAgAJIhKABSAGUAcQB1AGkAcgBlAGQAKQAgAE4AZQB0ACAAUgBlAHQAdQByAG4AIABvAG4AIABJAG4AdgBlAHMAdABtAGUAbgB0ACAAaQBzACAAdABoAGUAIAC2AFwAIgAgACYAIABcAG4AIAAgACAAIAAgACAAIAAgACAAIAAgACAAIAAgACAAIAAgACAAIAAgACAAIAAgACAAIAAgACAAIAAgACAAIAAgACAAIAAgACAAIAAgACAAIAAgACAAIAAgACAAIAAgAFwAIgCSIWYAaQBuAGEAbAAgAHYAYQBsAHUAZQAgAG8AZgAgAGkAbgB2AGUAcwB0AG0AZQBuAHQAIAAtACAAaQBuAGkAdABpAGEAbAAgAHYAYQBsAHUAZQAgAG8AZgAgAGkAbgB2AGUAcwB0AG0AZQBuAHQAtgBcACIAIAAmACAAXABuACAAIAAgACAAIAAgACAAIAAgACAAIAAgACAAIAAgACAAIAAgACAAIAAgACAAIAAgAFwAIgBDAG8AcwB0AG8AZgBJAG4AdgBlAHMAdABtAGUAbgB0ACAAIAAgACAAIAAgACAAkiEoAFIAZQBxAHUAaQByAGUAZAApACAAQwBvAHMAdAAgAG8AZgAgAEkAbgB2AGUAcwB0AG0AZQBuAHQAIAC2AFwAIgAgACYAIABcAG4AIAAgACAAIAAgACAAIAAgACAAIAAgACAAIAAgACAAIAAgACAAIAAgACAAIAAgACAAXAAiAEUAWABBAE0AUABMAEUAUwA6ACAAIAAgACAAIAAgACAAIAAgACAAIAAgACAAIACSIUYAbwByAG0AdQBsAGEAIAAoAG8AegAgAGkAcwAgAGEAcwBzAHUAbQBlAGQAIAB0AG8AIABiAGUAIAB0AGgAZQAgAG0AbwBkAHUAbABlACcAcwAgAG4AYQBtAGUAKQC2AFwAIgAgACYAXABuACAAIAAgACAAIAAgACAAIAAgACAAIAAgACAAIAAgACAAIAAgACAAIAAgACAAIAAgAFwAIgAyADgALgA3ADUAJQAgACAAIAAgACAAIAAgACAAIAAgACAAIAAgACAAIAAgACAAkiE9AG8AegAuAFIATwBJALsDKAAgADIAOAA3ADUALAAgADEAM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IAZQB0AHUAcgBuAG8AbgBJAG4AdgBlAHMAdABtAGUAbgB0ACkALABcAG4AIAAgACAAIAAgACAAIAAgACAAIAAgACAAIAAgACAAIAAgACAAIAAgACAAIAAgACAAIAAgACAAIABJAFMATwBNAEkAVABUAEUARAAoACAAQwBvAHMAdABvAGYASQBuAHYAZQBzAHQAbQBlAG4AdAApAFwAbgAgACAAIAAgACAAIAAgACAAIAAgACAAIAAgACAAIAAgACAAIAAgACAAIAAgACAAIAApACwAXABuACAAIAAgACAALwAvACAAIABQAHIAbwBjAGUAZAB1AHIAZQBcAG4AIAAgACAAIAAgACAAIAAgAFIAZQBzAHUAbAB0ACwAIAAgACAAIAAgACAAIAAgACAATgBlAHQAUgBlAHQAdQByAG4AbwBuAEkAbgB2AGUAcwB0AG0AZQBuAHQALwBDAG8AcwB0AG8AZgBJAG4AdgBlAHMAdABtAGUAbgB0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BDALsDXABuACAAIAAgACAARABFAFMAQwBSAEkAUABUAEkATwBOADoAKgAvAC8AKgAqAFIAZQB0AHUAcgBuACAAbwBuACAASQBuAHYAZQBzAHQAZQBkACAAYwBhAHAAaQB0AGEAbAAgACAAYQBzAHMAZQBzAHMAZQBzACAAYQAgAGMAbwBtAHAAYQBuAHkAGSBzACAAZQBmAGYAaQBjAGkAZQBuAGMAeQAgAGkAbgAgAGEAbABsAG8AYwBhAHQAaQBuAGcAIABcAG4AYwBhAHAAaQB0AGEAbAAgAHQAbwAgAHAAcgBvAGYAaQB0AGEAYgBsAGUAIABpAG4AdgBlAHMAdABtAGUAbgB0AHMAIAAoAE4AZQB0ACAATwBwAGUAcgBhAHQAaQBuAGcAIABQAHIAbwBmAGkAdAAgAEEAZgB0AGUAcgAgAFQAYQB4AC8ASQBuAHYAZQBzAHQAZQBkACAAQwBhAHAAaQB0AGEAbAApACAAKgAvAFwAbgBSAE8ASQBDALsDIAA9ACAATABBAE0AQgBEAEEAKABcAG4ALwAvACAAIABQAGEAcgBhAG0AZQB0AGUAcgAgAEQAZQBjAGwAYQByAGEAdABpAG8AbgBzAFwAbgAgACAAIAAgACAAIAAgACAAWwBOAGUAdABPAHAAZQByAGEAdABpAG4AZwBQAHIAbwBmAGkAdABBAGYAdABlAHIAVABhAHgAXQAsACAAIABcAG4AIAAgACAAIAAgACAAIAAgAFsASQBuAHYAZQBzAHQAZQBkAEMAYQBwAGkAdABhAGwAXQAsACAAIAAgACAAXABuAC8ALwAgACAASABlAGwAcABcAG4AIAAgACAAIABMAEUAVAAoAEgAZQBsAHAALAAgACAAIABUAFIASQBNACgAVABFAFgAVABTAFAATABJAFQAKAAgAFwAbgAgACAAIAAgACAAIAAgACAAIAAgACAAIAAgACAAIAAgACAAIAAgACAAIAAgACAAIABcACIARgBVAE4AQwBUAEkATwBOADoAIAAgACAAIAAgACAAkiFSAE8ASQBDALsDKAAgAE4AZQB0AE8AcABlAHIAYQB0AGkAbgBnAFAAcgBvAGYAaQB0AEEAZgB0AGUAcgBUAGEAeAAsACAASQBuAHYAZQBzAHQAZQBkAEMAYQBwAGkAdABhAGwAKQC2AFwAIgAgACYAIABcAG4AIAAgACAAIAAgACAAIAAgACAAIAAgACAAIAAgACAAIAAgACAAIAAgACAAIAAgACAAXAAiAEQARQBTAEMAUgBJAFAAVABJAE8ATgA6ACAAIAAgAJIhUgBlAHQAdQByAG4AIABvAG4AIABJAG4AdgBlAHMAdABlAGQAIABjAGEAcABpAHQAYQBsACAAIABhAHMAcwBlAHMAcwBlAHMAIABhACAAYwBvAG0AcABhAG4AeQAZIHMAIABlAGYAZgBpAGMAaQBlAG4AYwB5ACAAaQBuACAAYQBsAGwAbwBjAGEAdABpAG4AZwAgALYAXAAiACAAJgBcAG4AIAAgACAAIAAgACAAIAAgACAAIAAgACAAIAAgACAAIAAgACAAIAAgACAAIAAgACAAIAAgACAAIAAgACAAIAAgACAAIAAgACAAIAAgACAAXAAiAJIhYwBhAHAAaQB0AGEAbAAgAHQAbwAgAHAAcgBvAGYAaQB0AGEAYgBsAGUAIABpAG4AdgBlAHMAdABtAGUAbgB0AHMAIAAoAE4AZQB0ACAATwBwAGUAcgBhAHQAaQBuAGcAIABQAHIAbwBmAGkAdAAgAEEAZgB0AGUAcgAgAFQAYQB4AC8ASQBuAHYAZQBzAHQAZQBkACAAQwBhAHAAaQB0AGEAbAApALYAXAAiACAAJgAgAFwAbgAgACAAIAAgACAAIAAgACAAIAAgACAAIAAgACAAIAAgACAAIAAgACAAIAAgACAAIABcACIAVwBFAEIAUABBAEcARQA6ACAAIAAgACAAIAAgACAAkiFoAHQAdABwAHMAOgAvAC8AdwB3AHcALgBpAG4AdgBlAHMAdABvAHAAZQBkAGkAYQAuAGMAbwBtAC8AdABlAHIAbQBzAC8AcgAvAHIAZQB0AHUAcgBuAG8AbgBpAG4AdgBlAHMAdABtAGUAbgB0AGMAYQBwAGkAdABhAGw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TwBwAGUAcgBhAHQAaQBuAGcAUAByAG8AZgBpAHQAQQBmAHQAZQByAFQAYQB4AJIhKABSAGUAcQB1AGkAcgBlAGQAKQAgAE4AZQB0ACAATwBwAGUAcgBhAHQAaQBuAGcAIABwAHIAbwBmAGkAdAAgAGEAZgB0AGUAcgAgAFQAYQB4ACAAWwAgAG8AcABlAHIAYQB0AGkAbgBnACAAcAByAG8AZgBpAHQAIAB4ACAAKAAxACAALQAgAGUAZgBmAGUAYwB0AGkAdgBlACAAdABhAHgAIAByAGEAdABlACkAIABdAC4AtgBcACIAIAAmACAAXABuACAAIAAgACAAIAAgACAAIAAgACAAIAAgACAAIAAgACAAIAAgACAAIAAgACAAIAAgAFwAIgBJAG4AdgBlAHMAdABlAGQAQwBhAHAAaQB0AGEAbACSISgAUgBlAHEAdQBpAHIAZQBkACkAIABJAG4AdgBlAHMAdABlAGQAIABDAGEAcABpAHQAYQBsACAAKABEAGUAYgB0ACAAKwAgAEUAcQB1AGkAdAB5ACkALg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MgAuADYAMQAyADIAJQAgACAAIAAgACAAIAAgAJIhPQBvAHoALgBSAE8ASQBDALsDKAAgADMAMgA0ADUALAAgADIANQA3ADIAO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FAAcgBvAGYAaQB0AEEAZgB0AGUAcgBUAGEAeAApACwAXABuACAAIAAgACAAIAAgACAAIAAgACAAIAAgACAAIAAgACAAIAAgACAAIAAgACAAIAAgACAAIAAgACAASQBTAE8ATQBJAFQAVABFAEQAKAAgAEkAbgB2AGUAcwB0AGUAZABDAGEAcABpAHQAYQBsACkAXABuACAAIAAgACAAIAAgACAAIAAgACAAIAAgACAAIAAgACAAIAAgACAAIAAgACAAIAAgACkALABcAG4AIAAgACAAIAAvAC8AIAAgAFAAcgBvAGMAZQBkAHUAcgBlAFwAbgAgACAAIAAgACAAIAAgACAAUgBlAHMAdQBsAHQALAAgACAAIAAgACAAIAAgACAAIABOAGUAdABPAHAAZQByAGEAdABpAG4AZwBQAHIAbwBmAGkAdABBAGYAdABlAHIAVABhAHgALwBJAG4AdgBlAHMAdABlAGQ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NAGEAcgBrAGUAdAAgAFYAYQBsAHUAZQAgAFIAYQB0AGkAbwBzAFwAbgBcAG4AXABuACAAXABuAC8AKgAgACAARgBVAE4AQwBUAEkATwBOACAATgBBAE0ARQA6ACAAIABQAHIAaQBjAGUARQBhAHIAbgBpAG4AZwBzAFIAYQB0AGkAbwC7A1wAbgAgACAAIAAgAEQARQBTAEMAUgBJAFAAVABJAE8ATgA6ACoALwAvACoAKgBQAHIAaQBjAGUALQBlAGEAcgBuAGkAbgBnAHMAIABSAGEAdABpAG8AIABtAGUAYQBzAHUAcgBlAHMAIABhACAAYwBvAG0AcABhAG4AeQAnAHMAIABzAGgAYQByAGUAIABwAHIAaQBjAGUAIAByAGUAbABhAHQAaQB2AGUAIAB0AG8AIABcAG4AaQB0AHMAIABlAGEAcgBuAGkAbgBnAHMAIABwAGUAcgAgAHMAaABhAHIAZQAgACgAUwBoAGEAcgBlACAAUAByAGkAYwBlAC8ARQBhAHIAbgBpAG4AZwBzACAAUABlAHIAIABTAGgAYQByAGUAKQAuACoALwBcAG4AUAByAGkAYwBlAEUAYQByAG4AaQBuAGcAcwBSAGEAdABpAG8AuwMgAD0AIABMAEEATQBCAEQAQQAoAFwAbgAvAC8AIAAgAFAAYQByAGEAbQBlAHQAZQByACAARABlAGMAbABhAHIAYQB0AGkAbwBuAHMAXABuACAAIAAgACAAIAAgACAAIABbAFMAaABhAHIAZQBQAHIAaQBjAGUAXQAsACAAIABcAG4AIAAgACAAIAAgACAAIAAgAFsARQBhAHIAbgBpAG4AZw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EUAYQByAG4AaQBuAGcAcwBSAGEAdABpAG8AuwMoACAAUwBoAGEAcgBlAFAAcgBpAGMAZQAsACAARQBhAHIAbgBpAG4AZwBzAFAAZQByAFMAaABhAHIAZQApALYAXAAiACAAJgAgAFwAbgAgACAAIAAgACAAIAAgACAAIAAgACAAIAAgACAAIAAgACAAIAAgACAAIAAgACAAIABcACIARABFAFMAQwBSAEkAUABUAEkATwBOADoAIAAgACAAIAAgACAAIACSIVAAcgBpAGMAZQAtAGUAYQByAG4AaQBuAGcAcwAgAFIAYQB0AGkAbwAgAG0AZQBhAHMAdQByAGUAcwAgAGEAIABjAG8AbQBwAGEAbgB5ACcAcwAgAHMAaABhAHIAZQAgAHAAcgBpAGMAZQAgAHIAZQBsAGEAdABpAHYAZQAgAHQAbwAgALYAXAAiACAAJgAgAFwAbgAgACAAIAAgACAAIAAgACAAIAAgACAAIAAgACAAIAAgACAAIAAgACAAIAAgACAAIAAgACAAIAAgACAAIAAgACAAIAAgACAAIAAgACAAIAAgACAAIAAgAFwAIgCSIWkAdABzACAAZQBhAHIAbgBpAG4AZwBzACAAcABlAHIAIABzAGgAYQByAGUAIAAoAFMAaABhAHIAZQAgAFAAcgBpAGMAZQAvAEUAYQByAG4AaQBuAGc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GUAYQByAG4AaQBuAGcAc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TAGgAYQByAGUAUAByAGkAYwBlACAAIAAgACAAIAAgACAAIAAgAJIhKABSAGUAcQB1AGkAcgBlAGQAKQAgAFMAaABhAHIAZQAgAFAAcgBpAGMAZQAgACgATQBhAHIAawBlAHQAIABWAGEAbAB1AGUAIABQAGUAcgAgAFMAaABhAHIAZQApACAAtgBcACIAIAAmACAAXABuACAAIAAgACAAIAAgACAAIAAgACAAIAAgACAAIAAgACAAIAAgACAAIAAgACAAIAAgAFwAIgBFAGEAcgBuAGkAbgBnAHMAUABlAHIAUwBoAGEAcgBlACAAIAAgAJIhKABSAGUAcQB1AGkAcgBlAGQAKQAgAEUAYQByAG4AaQBuAGcAcwAgAFAAZQByACAAUwBoAGEAcgBl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xADQALgAzADkAOAA4ADEAIAAgACAAIAAgACAAIAAgACAAIAAgAJIhPQBvAHoALgBQAHIAaQBjAGUARQBhAHIAbgBpAG4AZwBzAFIAYQB0AGkAbwC7AygAIAAyADQAMgAuADYAMgAsACAAMQA2AC4AOA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FAGEAcgBuAGkAbgBnAHMAUABlAHIAUwBoAGEAcgBlACkAXABuACAAIAAgACAAIAAgACAAIAAgACAAIAAgACAAIAAgACAAIAAgACAAIAAgACAAIAAgACkALABcAG4AIAAgACAAIAAvAC8AIAAgAFAAcgBvAGMAZQBkAHUAcgBlAFwAbgAgACAAIAAgACAAIAAgACAAUgBlAHMAdQBsAHQALAAgACAAIAAgACAAIAAgACAAIABTAGgAYQByAGUAUAByAGkAYwBlAC8ARQBhAHIAbgBpAG4AZwBzAFAAZQByAFMAaABhAHI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kAYwBlAFQAbwBCAG8AbwBrAFIAYQB0AGkAbwC7A1wAbgAgACAAIAAgAEQARQBTAEMAUgBJAFAAVABJAE8ATgA6ACoALwAvACoAKgBNAGEAbgB5ACAAaQBuAHYAZQBzAHQAbwByAHMAIAB1AHMAZQAgAHQAaABlACAAcAByAGkAYwBlAC0AdABvAC0AYgBvAG8AawAgAHIAYQB0AGkAbwAgACgAUAAvAEIAIAByAGEAdABpAG8AKQAgAHQAbwAgAGMAbwBtAHAAYQByAGUAIABhACAAZgBpAHIAbQAnAHMAIABtAGEAcgBrAGUAdAAgAFwAbgBjAGEAcABpAHQAYQBsAGkAcwBhAHQAaQBvAG4AIAB0AG8AIABpAHQAcwAgAGIAbwBvAGsAIAB2AGEAbAB1AGUAIABhAG4AZAAgAGwAbwBjAGEAdABlACAAdQBuAGQAZQByAHYAYQBsAHUAZQBkACAAYwBvAG0AcABhAG4AaQBlAHMALgAgACoALwBcAG4AUAByAGkAYwBlAFQAbwBCAG8AbwBrAFIAYQB0AGkAbwC7AyAAPQAgAEwAQQBNAEIARABBACgAXABuAC8ALwAgACAAUABhAHIAYQBtAGUAdABlAHIAIABEAGUAYwBsAGEAcgBhAHQAaQBvAG4AcwBcAG4AIAAgACAAIAAgACAAIAAgAFsATQBhAHIAawBlAHQAUAByAGkAYwBlAFAAZQByAFMAaABhAHIAZQBdACwAIAAgAFwAbgAgACAAIAAgACAAIAAgACAAWwBCAG8AbwBrAFYAYQBsAHUAZQ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gBvAG8AawBSAGEAdABpAG8AuwMoACAATQBhAHIAawBlAHQAUAByAGkAYwBlAFAAZQByAFMAaABhAHIAZQAsACAAQgBvAG8AawBWAGEAbAB1AGUAUABlAHIAUwBoAGEAcgBlACkAtgBcACIAIAAmACAAXABuACAAIAAgACAAIAAgACAAIAAgACAAIAAgACAAIAAgACAAIAAgACAAIAAgACAAIAAgAFwAIgBEAEUAUwBDAFIASQBQAFQASQBPAE4AOgAgACAAIAAgACAAIAAgAJIhTQBhAG4AeQAgAGkAbgB2AGUAcwB0AG8AcgBzACAAdQBzAGUAIAB0AGgAZQAgAHAAcgBpAGMAZQAtAHQAbwAtAGIAbwBvAGsAIAByAGEAdABpAG8AIAAoAFAALwBCACAAcgBhAHQAaQBvACkAIAB0AG8AIABjAG8AbQBwAGEAcgBlACAAYQAgALYAXAAiACAAJgAgAFwAbgAgACAAIAAgACAAIAAgACAAIAAgACAAIAAgACAAIAAgACAAIAAgACAAIAAgACAAIAAgACAAIAAgACAAIAAgACAAIAAgACAAIAAgACAAIAAgACAAIAAgAFwAIgCSIWYAaQByAG0AJwBzACAAbQBhAHIAawBlAHQAIABjAGEAcABpAHQAYQBsAGkAcwBhAHQAaQBvAG4AIAB0AG8AIABpAHQAcwAgAGIAbwBvAGsAIAB2AGEAbAB1AGUAIABhAG4AZAAgAGwAbwBjAGEAdABlACAAdQBuAGQAZQByAHYAYQBsAHUAZQBkACAAYwBvAG0AcABhAG4AaQBlAHMALgC2AFwAIgAgACYAIABcAG4AIAAgACAAIAAgACAAIAAgACAAIAAgACAAIAAgACAAIAAgACAAIAAgACAAIAAgACAAIAAgACAAIAAgACAAIAAgACAAIAAgACAAIAAgACAAIAAgACAAIABcACIAkiEoAE0AYQByAGsAZQB0ACAAUAByAGkAYwBlACAAUABlAHIAIABTAGgAYQByAGUALwBCAG8AbwBrACAAVgBhAGwAdQBlACAAUABlAHIAIABTAGgAYQByAGUAKQC2AFwAIgAgACYAIABcAG4AIAAgACAAIAAgACAAIAAgACAAIAAgACAAIAAgACAAIAAgACAAIAAgACAAIAAgACAAXAAiAFcARQBCAFAAQQBHAEUAOgAgACAAIAAgACAAIAAgACAAIAAgACAAkiFoAHQAdABwAHMAOgAvAC8AdwB3AHcALgBpAG4AdgBlAHMAdABvAHAAZQBkAGkAYQAuAGMAbwBtAC8AdABlAHIAbQBzAC8AcAAvAHAAcgBpAGMAZQAtAHQAbwAtAGIAbwBvAGs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QgBvAG8AawBWAGEAbAB1AGUAUABlAHIAUwBoAGEAcgBlACAAIACSISgAUgBlAHEAdQBpAHIAZQBkACkAIABUAGEAbgBnAGkAYgBsAGUAIABiAG8AbwBrACAAdgBhAGwAdQBlACAAcABlAHIAIABzAGgAYQByAGUAIAAoAG8AegAuAEIAVgBQAFMAuwMgAGsAZQBlAHAAcwAgAGkAbgB0AGEAbgBnAGkAYgBsAGUAcwApACAAtgBcACIAIAAmACAAXABuACAAIAAgACAAIAAgACAAIAAgACAAIAAgACAAIAAgACAAIAAgACAAIAAgACAAIAAgACAAIAAgACAAIAAgACAAIAAgACAAIAAgACAAIAAgACAAIAAgACAAXAAiAJIhKABUAG8AdABhAGwAIABhAHMAcwBlAHQAcwAgAC0AIABpAG4AdABhAG4AZwBpAGIAbABlACAAYQBzAHMAZQB0AHMAIAAtACAAdABvAHQAYQBsACAAbABpAGEAYgBpAGwAaQB0AGkAZQBzACkAIAD3ACAAbgB1AG0AYgBlAHIAIABvAGYAIABvAHUAdABzAHQAYQBuAGQAaQBuAGcAIABzAGgAYQByAGUAcw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C4AMAAgACAAIAAgACAAIAAgACAAIAAgACAAIAAgACAAIAAgAJIhPQBvAHoALgBQAHIAaQBjAGUAVABvAEIAbwBvAGsAUgBhAHQAaQBvALsDKAAgADUALAAgADIALgA1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QgBvAG8AawBWAGEAbAB1AGUAUABlAHIAUwBoAGEAcgBlACkAXABuACAAIAAgACAAIAAgACAAIAAgACAAIAAgACAAIAAgACAAIAAgACAAIAAgACAAIAAgACkALABcAG4AIAAgACAAIAAvAC8AIAAgAFAAcgBvAGMAZQBkAHUAcgBlAFwAbgAgACAAIAAgACAAIAAgACAAUgBlAHMAdQBsAHQALAAgACAAIAAgACAAIAAgACAAIABNAGEAcgBrAGUAdABQAHIAaQBjAGUAUABlAHIAUwBoAGEAcgBlAC8AQgBvAG8AawBWAGEAbAB1AGU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TAGEAbABlAHMAUgBhAHQAaQBvALsDXABuACAAIAAgACAARABFAFMAQwBSAEkAUABUAEkATwBOADoAKgAvAC8AKgAqAFAAcgBpAGMAZQAgAHQAbwAgAFMAYQBsAGUAcwAgACgAUAAvAFMAKQAgAFIAYQB0AGkAbwAgAGkAcwAgAGEAbgAgAGkAbgBkAGkAYwBhAHQAbwByACAAbwBmACAAdABoAGUAIAB2AGEAbAB1AGUAIAB0AGgAYQB0ACAAZgBpAG4AYQBuAGMAaQBhAGwAIABtAGEAcgBrAGUAdABzACAAaABhAHYAZQAgAFwAbgBwAGwAYQBjAGUAZAAgAG8AbgAgAGUAYQBjAGgAIABkAG8AbABsAGEAcgAgAG8AZgAgAGEAIABjAG8AbQBwAGEAbgB5ACcAcwAgAHMAYQBsAGUAcwAgAG8AcgAgAHIAZQB2AGUAbgB1AGUAcwAgACgATQBhAHIAawBlAHQAIABQAHIAaQBjAGUAIABQAGUAcgAgAFMAaABhAHIAZQAvAFMAYQBsAGUAcwAgAFAAZQByACAAUwBoAGEAcgBlACkALgAgACoALwBcAG4AUAByAGkAYwBlAFQAbwBTAGEAbABlAHMAUgBhAHQAaQBvALsDIAA9ACAATABBAE0AQgBEAEEAKABcAG4ALwAvACAAIABQAGEAcgBhAG0AZQB0AGUAcgAgAEQAZQBjAGwAYQByAGEAdABpAG8AbgBzAFwAbgAgACAAIAAgACAAIAAgACAAWwBNAGEAcgBrAGUAdABQAHIAaQBjAGUAUABlAHIAUwBoAGEAcgBlAF0ALAAgACAAXABuACAAIAAgACAAIAAgACAAIABbAFMAYQBsAGU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UwBhAGwAZQBzAFIAYQB0AGkAbwC7AygAIABNAGEAcgBrAGUAdABQAHIAaQBjAGUAUABlAHIAUwBoAGEAcgBlACwAIABTAGEAbABlAHMAUABlAHIAUwBoAGEAcgBlACkAtgBcACIAIAAmACAAXABuACAAIAAgACAAIAAgACAAIAAgACAAIAAgACAAIAAgACAAIAAgACAAIAAgACAAIAAgAFwAIgBEAEUAUwBDAFIASQBQAFQASQBPAE4AOgAgACAAIAAgACAAIAAgAJIhUAByAGkAYwBlACAAdABvACAAUwBhAGwAZQBzACAAKABQAC8AUwApACAAUgBhAHQAaQBvACAAaQBzACAAYQBuACAAaQBuAGQAaQBjAGEAdABvAHIAIABvAGYAIAB0AGgAZQAgAHYAYQBsAHUAZQAgAHQAaABhAHQAIABmAGkAbgBhAG4AYwBpAGEAbAAgAG0AYQByAGsAZQB0AHMAIABoAGEAdgBlALYAXAAiACAAJgAgAFwAbgAgACAAIAAgACAAIAAgACAAIAAgACAAIAAgACAAIAAgACAAIAAgACAAIAAgACAAIAAgACAAIAAgACAAIAAgACAAIAAgACAAIAAgACAAIAAgACAAIAAgAFwAIgCSIXAAbABhAGMAZQBkACAAbwBuACAAZQBhAGMAaAAgAGQAbwBsAGwAYQByACAAbwBmACAAYQAgAGMAbwBtAHAAYQBuAHkAJwBzACAAcwBhAGwAZQBzACAAbwByACAAcgBlAHYAZQBuAHUAZQBzACAAKABNAGEAcgBrAGUAdAAgAFAAcgBpAGMAZQAgAFAAZQByACAAUwBoAGEAcgBlAC8AUwBhAGwAZQ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cwBhAGwAZQBz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FMAYQBsAGUAcwBQAGUAcgBTAGgAYQByAGUAIAAgACAAIAAgACAAkiEoAFIAZQBxAHUAaQByAGUAZAApACAAQQBuAG4AdQBhAGwAIABTAGEAbABlAHMAIABQAGUAcgAgAFMAaABhAHIAZQAgACgAUgBlAHYAZQBuAHUAZQAgAHAAcgBpAG8AcgAgADEAMgAgAG0AbwBuAHQAaA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uADUANQAgACAAIAAgACAAIAAgACAAIAAgACAAIAAgACAAIACSIT0AbwB6AC4AUAByAGkAYwBlAFQAbwBTAGEAbABlAHMAUgBhAHQAaQBvALsDKAAgADQANQA1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FMAYQBsAGUAcwBQAGUAcgBTAGgAYQByAGUAKQBcAG4AIAAgACAAIAAgACAAIAAgACAAIAAgACAAIAAgACAAIAAgACAAIAAgACAAIAAgACAAKQAsAFwAbgAgACAAIAAgAC8ALwAgACAAUAByAG8AYwBlAGQAdQByAGUAXABuACAAIAAgACAAIAAgACAAIABSAGUAcwB1AGwAdAAsACAAIAAgACAAIAAgACAAIAAgAE0AYQByAGsAZQB0AFAAcgBpAGMAZQBQAGUAcgBTAGgAYQByAGUALwBTAGEAbABlAHM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DAGEAcwBoAFIAYQB0AGkAbwC7A1wAbgAgACAAIAAgAEQARQBTAEMAUgBJAFAAVABJAE8ATgA6ACoALwAvACoAKgBQAHIAaQBjAGUAIAB0AG8AIABDAGEAcwBoACAAKABQAC8AQwBGACkAIABSAGEAdABpAG8AIABpAHMAIABhACAAcwB0AG8AYwBrACAAdgBhAGwAdQBhAHQAaQBvAG4AIABpAG4AZABpAGMAYQB0AG8AcgAgAG8AcgAgAG0AdQBsAHQAaQBwAGwAZQAgAHQAaABhAHQAIABtAGUAYQBzAHUAcgBlAHMAIABcAG4AdABoAGUAIAB2AGEAbAB1AGUAIABvAGYAIABhACAAcwB0AG8AYwBrABkgcwAgAHAAcgBpAGMAZQAgAHIAZQBsAGEAdABpAHYAZQAgAHQAbwAgAGkAdABzACAAbwBwAGUAcgBhAHQAaQBuAGcAIABjAGEAcwBoACAAZgBsAG8AdwAgAHAAZQByACAAcwBoAGEAcgBlACAAXABuACgATQBhAHIAawBlAHQAIABQAHIAaQBjAGUAIABQAGUAcgAgAFMAaABhAHIAZQAvAE8AcABlAHIAYQB0AGkAbgBnACAAQwBhAHMAaAAgAEYAbABvAHcAIABQAGUAcgAgAFMAaABhAHIAZQApAC4AIAAqAC8AXABuAFAAcgBpAGMAZQBUAG8AQwBhAHMAaABSAGEAdABpAG8AuwMgAD0AIABMAEEATQBCAEQAQQAoAFwAbgAvAC8AIAAgAFAAYQByAGEAbQBlAHQAZQByACAARABlAGMAbABhAHIAYQB0AGkAbwBuAHMAXABuACAAIAAgACAAIAAgACAAIABbAE0AYQByAGsAZQB0AFAAcgBpAGMAZQBQAGUAcgBTAGgAYQByAGUAXQAsACAAIABcAG4AIAAgACAAIAAgACAAIAAgAFsATwBwAGUAcgBhAHQAaQBuAGcAQwBhAHMAaABGAGwAbwB3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DAGEAcwBoAFIAYQB0AGkAbwC7AygAIABNAGEAcgBrAGUAdABQAHIAaQBjAGUAUABlAHIAUwBoAGEAcgBlACwAIABPAHAAZQByAGEAdABpAG4AZwBDAGEAcwBoAEYAbABvAHcAUABlAHIAUwBoAGEAcgBlACkAtgBcACIAIAAmACAAXABuACAAIAAgACAAIAAgACAAIAAgACAAIAAgACAAIAAgACAAIAAgACAAIAAgACAAIAAgAFwAIgBEAEUAUwBDAFIASQBQAFQASQBPAE4AOgAgACAAIAAgACAAIAAgAJIhUAByAGkAYwBlACAAdABvACAAQwBhAHMAaAAgACgAUAAvAEMARgApACAAUgBhAHQAaQBvACAAIABpAHMAIABhACAAcwB0AG8AYwBrACAAdgBhAGwAdQBhAHQAaQBvAG4AIABpAG4AZABpAGMAYQB0AG8AcgAgAG8AcgAgAG0AdQBsAHQAaQBwAGwAZQAgAHQAaABhAHQAIAC2AFwAIgAgACYAIABcAG4AIAAgACAAIAAgACAAIAAgACAAIAAgACAAIAAgACAAIAAgACAAIAAgACAAIAAgACAAIAAgACAAIAAgACAAIAAgACAAIAAgACAAIAAgACAAIAAgACAAIABcACIAkiFtAGUAYQBzAHUAcgBlAHMAIAB0AGgAZQAgAHYAYQBsAHUAZQAgAG8AZgAgAGEAIABzAHQAbwBjAGsAGSBzACAAcAByAGkAYwBlACAAcgBlAGwAYQB0AGkAdgBlACAAdABvACAAaQB0AHMAIABvAHAAZQByAGEAdABpAG4AZwAgAGMAYQBzAGgAIABmAGwAbwB3ACAAtgBcACIAIAAmACAAXABuACAAIAAgACAAIAAgACAAIAAgACAAIAAgACAAIAAgACAAIAAgACAAIAAgACAAIAAgACAAIAAgACAAIAAgACAAIAAgACAAIAAgACAAIAAgACAAIAAgACAAXAAiAJIhcABlAHIAIABzAGgAYQByAGUAIAAoAE0AYQByAGsAZQB0ACAAUAByAGkAYwBlACAAUABlAHIAIABTAGgAYQByAGUALwBPAHAAZQByAGEAdABpAG4AZwAgAEMAYQBzAGgAIABGAGwAbwB3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YwBhAHMAaAAtAGYAbABvAHc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TwBwAGUAcgBhAHQAaQBuAGcAQwBhAHMAaABGAGwAbwB3AFAAZQByAFMAaABhAHIAZQCSISgAUgBlAHEAdQBpAHIAZQBkACkAIABPAHAAZQByAGEAdABpAG4AZwAgAEMAYQBzAGgAIABGAGwAbwB3ACAAZgBvAHIAIABwAHIAaQBvAHIAIAAxADIAIABtAG8AbgB0AGgAcwAvAFMAaABhAHIAZQBzACAAbwB1AHQAcwB0AGEAbgBkAGkAbgBn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IAAgACAAIAAgACAAIAAgACAAIAAgACAAIAAgACAAIAAgACAAkiE9AG8AegAuAFAAcgBpAGMAZQBUAG8AQwBhAHMAaABSAGEAdABpAG8AuwMoACAAMgAwADA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TwBwAGUAcgBhAHQAaQBuAGcAQwBhAHMAaABGAGwAbwB3AFAAZQByAFMAaABhAHIAZQApAFwAbgAgACAAIAAgACAAIAAgACAAIAAgACAAIAAgACAAIAAgACAAIAAgACAAIAAgACAAIAApACwAXABuACAAIAAgACAALwAvACAAIABQAHIAbwBjAGUAZAB1AHIAZQBcAG4AIAAgACAAIAAgACAAIAAgAFIAZQBzAHUAbAB0ACwAIAAgACAAIAAgACAAIAAgACAATQBhAHIAawBlAHQAUAByAGkAYwBlAFAAZQByAFMAaABhAHIAZQAvAE8AcABlAHIAYQB0AGkAbgBnAEMAYQBzAGgARgBsAG8Ad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CAFYAUABTALsDXABuACAAIAAgACAARABFAFMAQwBSAEkAUABUAEkATwBOADoAKgAvAC8AKgAqAEIAbwBvAGsAIAB2AGEAbAB1AGUAIABwAGUAcgAgAHMAaABhAHIAZQAgAHIAYQB0AGkAbwAgAGkAcwAgAGEAbgAgAGkAbgBkAGkAYwBhAHQAbwByACAAbwBmACAAdABoAGUAIAB2AGEAbAB1AGUAIABvAGYAIABhACAAYwBvAG0AcABhAG4AeQAZIHMAIABzAHQAbwBjAGsAIABcAG4AKABTAGgAYQByAGUAaABvAGwAZABlAHIAcwAnACAARQBxAHUAaQB0AHkAIAAtACAAUAByAGUAZgBlAHIAcgBlAGQAIABTAHQAbwBjAGsAKQAvAEEAdgBlAHIAYQBnAGUAIABTAGgAYQByAGUAcwAgAE8AdQB0AHMAdABhAG4AZABpAG4AZwApACAAKgAvAFwAbgBCAFYAUABTALsDIAA9ACAATABBAE0AQgBEAEEAKABcAG4ALwAvACAAIABQAGEAcgBhAG0AZQB0AGUAcgAgAEQAZQBjAGwAYQByAGEAdABpAG8AbgBzAFwAbgAgACAAIAAgACAAIAAgACAAWwBTAGgAYQByAGUAaABvAGwAZABlAHIAcwBFAHEAdQBpAHQAeQBdACwAIABcAG4AIAAgACAAIAAgACAAIAAgAFsAUAByAGUAZgBlAHIAcgBlAGQAUwB0AG8AYwBrAF0AIAAsAFwAbgAgACAAIAAgACAAIAAgACAAWwBBAHYAZQByAGEAZwBl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QgBWAFAAUwC7AygAIABTAGgAYQByAGUAaABvAGwAZABlAHIAcwBFAHEAdQBpAHQAeQAsACAAUAByAGUAZgBlAHIAcgBlAGQAUwB0AG8AYwBrACwAIABBAHYAZQByAGEAZwBlAFMAaABhAHIAZQBzAE8AdQB0AHMAdABhAG4AZABpAG4AZwAgACkAtgBcACIAIAAmACAAXABuACAAIAAgACAAIAAgACAAIAAgACAAIAAgACAAIAAgACAAIAAgACAAIAAgACAAIAAgAFwAIgBEAEUAUwBDAFIASQBQAFQASQBPAE4AOgAgACAAIAAgACAAIAAgAJIhQgBvAG8AawAgAHYAYQBsAHUAZQAgAHAAZQByACAAcwBoAGEAcgBlACAAcgBhAHQAaQBvACAAaQBzACAAYQBuACAAaQBuAGQAaQBjAGEAdABvAHIAIABvAGYAIAB0AGgAZQAgAHYAYQBsAHUAZQAgAG8AZgAgAGEAIABjAG8AbQBwAGEAbgB5ABkgcwAgAHMAdABvAGMAawC2AFwAIgAgACYAIABcAG4AIAAgACAAIAAgACAAIAAgACAAIAAgACAAIAAgACAAIAAgACAAIAAgACAAIAAgACAAIAAgACAAIAAgACAAIAAgACAAIAAgACAAIAAgACAAIAAgACAAIABcACIAkiEoAFMAaABhAHIAZQBoAG8AbABkAGUAcgBzACcAIABFAHEAdQBpAHQAeQAgAC0AIABQAHIAZQBmAGUAcgByAGUAZAAgAFMAdABvAGMAawApAC8AQQB2AGUAcgBhAGcAZQAgAFMAaABhAHIAZQBzACAATwB1AHQAcwB0AGEAbgBkAGkAbgBnACkAtgBcACIAIAAmACAAXABuACAAIAAgACAAIAAgACAAIAAgACAAIAAgACAAIAAgACAAIAAgACAAIAAgACAAIAAgAFwAIgBXAEUAQgBQAEEARwBFADoAIAAgACAAIAAgACAAIAAgACAAIAAgAJIhaAB0AHQAcABzADoALwAvAGMAbwByAHAAbwByAGEAdABlAGYAaQBuAGEAbgBjAGUAaQBuAHMAdABpAHQAdQB0AGUALgBjAG8AbQAvAHIAZQBzAG8AdQByAGMAZQBzAC8AdgBhAGwAdQBhAHQAaQBvAG4ALwBiAG8AbwBrAC0AdgBhAGwAdQBlAC0AcABlAHIALQBzAGgAYQByAGUALQBiAHYAcABzAC8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wAIABpAG4AdABhAG4AZwBpAGIAbABlAHMAIABrAGUAcAB0ACAAtgBcACIAIAAmACAAXABuACAAIAAgACAAIAAgACAAIAAgACAAIAAgACAAIAAgACAAIAAgACAAIAAgACAAIAAgAFwAIgBQAHIAZQBmAGUAcgByAGUAZABTAHQAbwBjAGsAIAAgACAAIAAgAJIhKABSAGUAcQB1AGkAcgBlAGQAKQAgAFAAcgBlAGYAZQByAHIAZQBkACAAUwB0AG8AYwBrACAAKABzAGUAYwB1AHIAaQB0AGkAZQBzACAAdABoAGEAdAAgAHIAZQBwAHIAZQBzAGUAbgB0ACAAbwB3AG4AZQByAHMAaABpAHAAIABpAG4AIABhACAAYwBvAHIAcABvAHIAYQB0AGkAbwBuACkALgC2AFwAIgAgACYAIABcAG4AIAAgACAAIAAgACAAIAAgACAAIAAgACAAIAAgACAAIAAgACAAIAAgACAAIAAgACAAXAAiAEEAdgBlAHIAYQBnAGUAUwBoAGEAcgBlAHMATwB1AHQAcwB0AGEAbgBkAGkAbgBnAJIhKABSAGUAcQB1AGkAcgBlAGQAKQAgAEEAdgBlAHIAYQBnAGUAIABTAGgAYQByAGUAcwAgAE8AdQB0ACAAUwB0AGEAbgBkAGkAbgBn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UAIAAgACAAIAAgACAAIAAgACAAIAAgACAAIAAgACAAIAAgACAAkiE9AG8AegAuAEIAVgBQAFMAuwMoADIAMAAuADAALAAgADUALgAwACwAIABBAFYARQBSAEEARwBFACgAIAAyAC4AOQAsACAAMwAuADE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UAByAGUAZgBlAHIAcgBlAGQAUwB0AG8AYwBrACkALABcAG4AIAAgACAAIAAgACAAIAAgACAAIAAgACAAIAAgACAAIAAgACAAIAAgACAAIAAgACAAIAAgACAAIABJAFMATwBNAEkAVABUAEUARAAoACAAQQB2AGUAcgBhAGcAZQBTAGgAYQByAGUAcwBPAHUAdABzAHQAYQBuAGQAaQBuAGcAKQBcAG4AIAAgACAAIAAgACAAIAAgACAAIAAgACAAIAAgACAAIAAgACAAIAAgACAAIAAgACAAKQAsAFwAbgAgACAAIAAgAC8ALwAgACAAUAByAG8AYwBlAGQAdQByAGUAXABuACAAIAAgACAAIAAgACAAIABSAGUAcwB1AGwAdAAsACAAIAAgACAAIAAgACAAIAAgACgAUwBoAGEAcgBlAGgAbwBsAGQAZQByAHMARQBxAHUAaQB0AHkAIAAtACAAUAByAGUAZgBlAHIAcgBlAGQAUwB0AG8AYwBrACkALwBBAHYAZQByAGEAZwBl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QwBBAFAARQBSAGEAdABpAG8AuwNcAG4AIAAgACAAIABEAEUAUwBDAFIASQBQAFQASQBPAE4AOgAqAC8ALwAqACoAQwBBAFAARQAgAFIAYQB0AGkAbwAgAGkAcwAgAGEAIAB2AGEAbAB1AGEAdABpAG8AbgAgAG0AZQBhAHMAdQByAGUAIAB0AGgAYQB0ACAAdQBzAGUAcwAgAHIAZQBhAGwAIABlAGEAcgBuAGkAbgBnAHMAIABwAGUAcgAgAHMAaABhAHIAZQAgACgARQBQAFMAKQAgAG8AdgBlAHIAIABhACAAMQAwAC0AeQBlAGEAcgAgAHAAZQByAGkAbwBkAFwAbgB0AG8AIABzAG0AbwBvAHQAaAAgAG8AdQB0ACAAZgBsAHUAYwB0AHUAYQB0AGkAbwBuAHMAIABpAG4AIABjAG8AcgBwAG8AcgBhAHQAZQAgAHAAcgBvAGYAaQB0AHMAIAB0AGgAYQB0ACAAbwBjAGMAdQByACAAbwB2AGUAcgAgAGQAaQBmAGYAZQByAGUAbgB0ACAAcABlAHIAaQBvAGQAcwAgAG8AZgAgAGEAIABiAHUAcwBpAG4AZQBzAHMAXABuAGMAeQBjAGwAZQAgACgAYQBrAGEAIABTAGgAaQBsAGwAZQByACAAUABFACAAUgBhAHQAaQBvACkAIAAoAFMAaABhAHIAZQAgAFAAcgBpAGMAZQAvAFQAZQBuACAAWQBlAGEAcgAgAEEAdgBlAHIAYQBnAGUAIABFAGEAcgBuAGkAbgBnAHMAIABJAG4AZgBsAGEAdABpAG8AbgAgAEEAZABqAHUAcwB0AGUAZAApACAAKgAvAFwAbgBDAEEAUABFAFIAYQB0AGkAbwC7AyAAPQAgAEwAQQBNAEIARABBACgAXABuAC8ALwAgACAAUABhAHIAYQBtAGUAdABlAHIAIABEAGUAYwBsAGEAcgBhAHQAaQBvAG4AcwBcAG4AIAAgACAAIAAgACAAIAAgAFsAUwBoAGEAcgBlAFAAcgBpAGMAZQBdACwAIAAgAFwAbgAgACAAIAAgACAAIAAgACAAWwBUAGUAbgBZAGUAYQByAEEAdgBlAHIAYQBnAGUARQBhAHIAbgBpAG4AZwBzAEkAbgBmAGwAYQB0AGkAbwBuAEEAZABqAHUAcwB0AGUAZABdACwAIAAgACAAIABcAG4ALwAvACAAIABIAGUAbABwAFwAbgAgACAAIAAgAEwARQBUACgASABlAGwAcAAsACAAIAAgAFQAUgBJAE0AKABUAEUAWABUAFMAUABMAEkAVAAoACAAXABuACAAIAAgACAAIAAgACAAIAAgACAAIAAgACAAIAAgACAAIAAgACAAIAAgACAAIAAgAFwAIgBGAFUATgBDAFQASQBPAE4AOgAgACAAIAAgACAAIACSIUMAQQBQAEUAUgBhAHQAaQBvALsDKAAgAFMAaABhAHIAZQBQAHIAaQBjAGUALAAgAFQAZQBuAFkAZQBhAHIAQQB2AGUAcgBhAGcAZQBFAGEAcgBuAGkAbgBnAHMASQBuAGYAbABhAHQAaQBvAG4AQQBkAGoAdQBzAHQAZQBkACAAKQC2AFwAIgAgACYAIABcAG4AIAAgACAAIAAgACAAIAAgACAAIAAgACAAIAAgACAAIAAgACAAIAAgACAAIAAgACAAXAAiAEQARQBTAEMAUgBJAFAAVABJAE8ATgA6ACAAIAAgAJIhQwBBAFAARQAgAFIAYQB0AGkAbwAgAGkAcwAgAGEAIAB2AGEAbAB1AGEAdABpAG8AbgAgAG0AZQBhAHMAdQByAGUAIAB0AGgAYQB0ACAAdQBzAGUAcwAgAHIAZQBhAGwAIABlAGEAcgBuAGkAbgBnAHMAIABwAGUAcgAgAHMAaABhAHIAZQAgACgARQBQAFMAKQAgAG8AdgBlAHIAIABhACAAMQAwAC0AeQBlAGEAcgAgAHAAZQByAGkAbwBkACAAtgBcACIAIAAmACAAXABuACAAIAAgACAAIAAgACAAIAAgACAAIAAgACAAIAAgACAAIAAgACAAIAAgACAAIAAgACAAIAAgACAAIAAgACAAIAAgACAAIAAgACAAIAAgACAAXAAiAJIhdABvACAAcwBtAG8AbwB0AGgAIABvAHUAdAAgAGYAbAB1AGMAdAB1AGEAdABpAG8AbgBzACAAaQBuACAAYwBvAHIAcABvAHIAYQB0AGUAIABwAHIAbwBmAGkAdABzACAAdABoAGEAdAAgAG8AYwBjAHUAcgAgAG8AdgBlAHIAIABkAGkAZgBmAGUAcgBlAG4AdAAgAHAAZQByAGkAbwBkAHMAIABvAGYAIABhACAAYgB1AHMAaQBuAGUAcwBzACAAtgBcACIAIAAmACAAXABuACAAIAAgACAAIAAgACAAIAAgACAAIAAgACAAIAAgACAAIAAgACAAIAAgACAAIAAgACAAIAAgACAAIAAgACAAIAAgACAAIAAgACAAIAAgACAAXAAiAJIhYwB5AGMAbABlACAAKABhAGsAYQAgAFMAaABpAGwAbABlAHIAIABQAEUAIABSAGEAdABpAG8AKQAgACgAUwBoAGEAcgBlACAAUAByAGkAYwBlAC8AVABlAG4AIABZAGUAYQByACAAQQB2AGUAcgBhAGcAZQAgAEUAYQByAG4AaQBuAGcAcwAgAEkAbgBmAGwAYQB0AGkAbwBuACAAQQBkAGoAdQBzAHQAZQBkACkAtgBcACIAIAAmACAAXABuACAAIAAgACAAIAAgACAAIAAgACAAIAAgACAAIAAgACAAIAAgACAAIAAgACAAIAAgAFwAIgBXAEUAQgBQAEEARwBFADoAIAAgACAAIAAgACAAIACSIWgAdAB0AHAAcwA6AC8ALwB3AHcAdwAuAGkAbgB2AGUAcwB0AG8AcABlAGQAaQBhAC4AYwBvAG0ALwB0AGUAcgBtAHMALwBjAC8AYwBhAHAAZQAt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TAGgAYQByAGUAUAByAGkAYwBlACAAIAAgACAAIACSISgAUgBlAHEAdQBpAHIAZQBkACkAIABDAHUAcgByAGUAbgB0ACAAcwB0AG8AYwBrACAAcAByAGkAYwBlACAAtgBcACIAIAAmACAAXABuACAAIAAgACAAIAAgACAAIAAgACAAIAAgACAAIAAgACAAIAAgACAAIAAgACAAIAAgAFwAIgBUAGUAbgBZAGUAYQByAEEAdgBlAHIAYQBnAGUARQBhAHIAbgBpAG4AZwBzAEkAbgBmAGwAYQB0AGkAbwBuAEEAZABqAHUAcwB0AGUAZACSISgAUgBlAHEAdQBpAHIAZQBkACkAIABBAHYAZQByAGEAZwBlACAAZQBhAHIAbgBpAG4AZwBzACAAcABlAHIAIABzAGgAYQByAGUAIABmAG8AcgAgADEAMAAgAHkAZQBhAHIAcwAgAGEAZABqAHUAcwB0AGUAZAAgAGYAbwByACAAaQBuAGYAbABhAHQAaQBvAG4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MAAgACAAIAAgACAAIAAgACAAIAAgACAAIAAgAJIhPQBvAHoALgBDAEEAUABFAFIAYQB0AGkAbwC7AygAIAAxADAAMAAuADAALAAgADEAMAAuADAAI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UAGUAbgBZAGUAYQByAEEAdgBlAHIAYQBnAGUARQBhAHIAbgBpAG4AZwBzAEkAbgBmAGwAYQB0AGkAbwBuAEEAZABqAHUAcwB0AGUAZAApAFwAbgAgACAAIAAgACAAIAAgACAAIAAgACAAIAAgACAAIAAgACAAIAAgACAAIAAgACAAIAApACwAXABuACAAIAAgACAALwAvACAAIABQAHIAbwBjAGUAZAB1AHIAZQBcAG4AIAAgACAAIAAgACAAIAAgAFIAZQBzAHUAbAB0ACwAIAAgACAAIAAgACAAIAAgACAAUwBoAGEAcgBlAFAAcgBpAGMAZQAvAFQAZQBuAFkAZQBhAHIAQQB2AGUAcgBhAGcAZQBFAGEAcgBuAGkAbgBnAHMASQBuAGYAbABhAHQAaQBvAG4AQQBkAGoAdQBzAHQAZQBk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AAUgC7A1wAbgAgACAAIAAgAEQARQBTAEMAUgBJAFAAVABJAE8ATgA6ACoALwAvACoAKgBEAGkAdgBpAGQAZQBuAGQAIABQAGEAeQBvAHUAdAAgAFIAYQB0AGkAbwAgAGkAcwAgAHQAaABlACAAcABlAHIAYwBlAG4AdABhAGcAZQAgAG8AZgAgAGUAYQByAG4AaQBuAGcAcwAgAHAAYQBpAGQAIAB0AG8AIABzAGgAYQByAGUAaABvAGwAZABlAHIAcwAgAHYAaQBhACAAZABpAHYAaQBkAGUAbgBkAHMAXABuACAAIAAgACAAKABEAGkAdgBpAGQAZQBuAGQAcwBQAGEAaQBkAC8ATgBlAHQASQBuAGMAbwBtAGUAKQAgACoALwBcAG4ARABQAFIAuwMgAD0AIABMAEEATQBCAEQAQQAoAFwAbgAvAC8AIAAgAFAAYQByAGEAbQBlAHQAZQByACAARABlAGMAbABhAHIAYQB0AGkAbwBuAHMAXABuACAAIAAgACAAIAAgACAAIABbAEQAaQB2AGkAZABlAG4AZABzAFAAYQBpAGQ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kiFEAFAAUgC7AygAIABEAGkAdgBpAGQAZQBuAGQAcwBQAGEAaQBkACwAIABOAGUAdABJAG4AYwBvAG0AZQAgACkAtgBcACIAIAAmACAAXABuACAAIAAgACAAIAAgACAAIAAgACAAIAAgACAAIAAgACAAIAAgACAAIAAgACAAIAAgAFwAIgBEAEUAUwBDAFIASQBQAFQASQBPAE4AOgAgACAAIACSIUQAaQB2AGkAZABlAG4AZAAgAFAAYQB5AG8AdQB0ACAAUgBhAHQAaQBvACAAaQBzACAAdABoAGUAIABwAGUAcgBjAGUAbgB0AGEAZwBlACAAbwBmACAAZQBhAHIAbgBpAG4AZwBzACAAcABhAGkAZAAgAHQAbwAgAHMAaABhAHIAZQBoAG8AbABkAGUAcgBzACAAdgBpAGEAIABkAGkAdgBpAGQAZQBuAGQAcwC2AFwAIgAgACYAIABcAG4AIAAgACAAIAAgACAAIAAgACAAIAAgACAAIAAgACAAIAAgACAAIAAgACAAIAAgACAAIAAgACAAIAAgACAAIAAgACAAIAAgACAAIAAgACAAXAAiAJIhKABEAGkAdgBpAGQAZQBuAGQAcwBQAGEAaQBkAC8ATgBlAHQASQBuAGMAbwBtAGUAKQC2AFwAIgAgACYAIABcAG4AIAAgACAAIAAgACAAIAAgACAAIAAgACAAIAAgACAAIAAgACAAIAAgACAAIAAgACAAXAAiAFcARQBCAFAAQQBHAEUAOgAgACAAIAAgACAAIAAgAJIhaAB0AHQAcABzADoALwAvAHcAdwB3AC4AaQBuAHYAZQBzAHQAbwBwAGUAZABpAGEALgBjAG8AbQAvAHQAZQByAG0AcwAvAGQALwBkAGkAdgBpAGQAZQBuAGQAcABhAHkAbwB1AHQ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QAaQB2AGkAZABlAG4AZABzAFAAYQBpAGQAIAAgAJIhKABSAGUAcQB1AGkAcgBlAGQAKQAgAEQAaQB2AGkAZABlAG4AZABzACAAcABhAGkAZAAgALYAXAAiACAAJgAgAFwAbgAgACAAIAAgACAAIAAgACAAIAAgACAAIAAgACAAIAAgACAAIAAgACAAIAAgACAAIABcACIATgBlAHQASQBuAGMAbwBtAGUAIAAgACAAIAAgACAAkiEoAFIAZQBxAHUAaQByAGUAZAApACAATgBlAHQAIABJAG4AYwBvAG0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IANQAlACAAIAAgACAAIAAgACAAIAAgACAAIAAgAJIhPQBvAHoALgBEAFAAUgC7AygAIAA1AC4AMAAsACAAMg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aQB2AGkAZABlAG4AZABzAFAAYQBpAGQ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RABpAHYAaQBkAGUAbgBkAHMAUABhAGkAZAAvAE4AZQB0AEkAbgBjAG8Ab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kAdgBpAGQAZQBuAGQAWQBpAGUAbABkAFIAYQB0AGkAbwC7A1wAbgAgACAAIAAgAEQARQBTAEMAUgBJAFAAVABJAE8ATgA6ACoALwAvACoAKgBEAGkAdgBpAGQAZQBuAGQAIAB5AGkAZQBsAGQAIAByAGEAdABpAG8AIABzAGgAbwB3AHMAIABoAG8AdwAgAG0AdQBjAGgAIABhACAAYwBvAG0AcABhAG4AeQAgAHAAYQB5AHMAIABvAHUAdAAgAGkAbgAgAGQAaQB2AGkAZABlAG4AZABzACAAXABuAGUAYQBjAGgAIAB5AGUAYQByACAAcgBlAGwAYQB0AGkAdgBlACAAdABvACAAaQB0AHMAIABzAHQAbwBjAGsAIABwAHIAaQBjAGUAIAAoAEEAbgBuAHUAYQBsACAARABpAHYAaQBkAGUAbgBkAHMAIABQAGUAIAByAFMAaABhAHIAZQAvAFMAaABhAHIAZQAgAFAAcgBpAGMAZQApACAAKgAvAFwAbgBEAGkAdgBpAGQAZQBuAGQAWQBpAGUAbABkAFIAYQB0AGkAbwC7AyAAPQAgAEwAQQBNAEIARABBACgAXABuAC8ALwAgACAAUABhAHIAYQBtAGUAdABlAHIAIABEAGUAYwBsAGEAcgBhAHQAaQBvAG4AcwBcAG4AIAAgACAAIAAgACAAIAAgAFsAQQBuAG4AdQBhAGwARABpAHYAaQBkAGUAbgBkAHMAUABlAHIAUwBoAGEAcgBlAF0ALAAgACAAXABuACAAIAAgACAAIAAgACAAIABbAFMAaABhAHIAZQBQAHIAaQBjAGUAXQAsACAAIAAgACAAXABuAC8ALwAgACAASABlAGwAcABcAG4AIAAgACAAIABMAEUAVAAoAEgAZQBsAHAALAAgACAAIABUAFIASQBNACgAVABFAFgAVABTAFAATABJAFQAKAAgAFwAbgAgACAAIAAgACAAIAAgACAAIAAgACAAIAAgACAAIAAgACAAIAAgACAAIAAgACAAIABcACIARgBVAE4AQwBUAEkATwBOADoAIAAgACAAIAAgACAAkiFEAGkAdgBpAGQAZQBuAGQAWQBpAGUAbABkAFIAYQB0AGkAbwC7AygAIABBAG4AbgB1AGEAbABEAGkAdgBpAGQAZQBuAGQAcwBQAGUAcgBTAGgAYQByAGUALAAgAFMAaABhAHIAZQBQAHIAaQBjAGUAKQC2AFwAIgAgACYAIABcAG4AIAAgACAAIAAgACAAIAAgACAAIAAgACAAIAAgACAAIAAgACAAIAAgACAAIAAgACAAXAAiAEQARQBTAEMAUgBJAFAAVABJAE8ATgA6ACAAIAAgAJIhRABpAHYAaQBkAGUAbgBkACAAeQBpAGUAbABkACAAcgBhAHQAaQBvACAAcwBoAG8AdwBzACAAaABvAHcAIABtAHUAYwBoACAAYQAgAGMAbwBtAHAAYQBuAHkAIABwAGEAeQBzACAAbwB1AHQAIABpAG4AIABkAGkAdgBpAGQAZQBuAGQAcwAgALYAXAAiACAAJgAgAFwAbgAgACAAIAAgACAAIAAgACAAIAAgACAAIAAgACAAIAAgACAAIAAgACAAIAAgACAAIAAgACAAIAAgACAAIAAgACAAIAAgACAAIAAgACAAIABcACIAkiFlAGEAYwBoACAAeQBlAGEAcgAgAHIAZQBsAGEAdABpAHYAZQAgAHQAbwAgAGkAdABzACAAcwB0AG8AYwBrACAAcAByAGkAYwBlACAAKABBAG4AbgB1AGEAbAAgAEQAaQB2AGkAZABlAG4AZABzACAAUABlACAAcgBTAGgAYQByAGUALwBTAGgAYQByAGUAIABQAHIAaQBjAGUAKQC2AFwAIgAgACYAIABcAG4AIAAgACAAIAAgACAAIAAgACAAIAAgACAAIAAgACAAIAAgACAAIAAgACAAIAAgACAAXAAiAFcARQBCAFAAQQBHAEUAOgAgACAAIAAgACAAIAAgAJIhaAB0AHQAcABzADoALwAvAHcAdwB3AC4AaQBuAHYAZQBzAHQAbwBwAGUAZABpAGEALgBjAG8AbQAvAHQAZQByAG0AcwAvAGQALwBkAGkAdgBpAGQAZQBuAGQAeQBpAGUAbABk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EAbgBuAHUAYQBsAEQAaQB2AGkAZABlAG4AZABzAFAAZQByAFMAaABhAHIAZQCSISgAUgBlAHEAdQBpAHIAZQBkACkAIABBAG4AbgB1AGEAbAAgAEQAaQB2AGkAZABlAG4AZABzACAAUABlAHIAIABTAGgAYQByAGUAIAC2AFwAIgAgACYAIABcAG4AIAAgACAAIAAgACAAIAAgACAAIAAgACAAIAAgACAAIAAgACAAIAAgACAAIAAgACAAXAAiAFMAaABhAHIAZQBQAHIAaQBjAGUAIAAgACAAIAAgAJIhKABSAGUAcQB1AGkAcgBlAGQAKQAgAE0AYQByAGsAZQB0ACAAdgBhAGwAdQBlACAAcABlAHIAIABzAGgAYQByAGU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IALgA2ADYANgA3ACUAIAAgACAAIAAgACAAIAAgAJIhPQBvAHoALgBEAGkAdgBpAGQAZQBuAGQAWQBpAGUAbABkAFIAYQB0AGkAbwC7AygAIAAxAC4AMgAsACAANA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uAG4AdQBhAGwARABpAHYAaQBkAGUAbgBkAHMAUABlAHIAUwBoAGEAcgBlACkALABcAG4AIAAgACAAIAAgACAAIAAgACAAIAAgACAAIAAgACAAIAAgACAAIAAgACAAIAAgACAAIAAgACAAIABJAFMATwBNAEkAVABUAEUARAAoACAAUwBoAGEAcgBlAFAAcgBpAGMAZQApAFwAbgAgACAAIAAgACAAIAAgACAAIAAgACAAIAAgACAAIAAgACAAIAAgACAAIAAgACAAIAApACwAXABuACAAIAAgACAALwAvACAAIABQAHIAbwBjAGUAZAB1AHIAZQBcAG4AIAAgACAAIAAgACAAIAAgAFIAZQBzAHUAbAB0ACwAIAAgACAAIAAgACAAIAAgACAAQQBuAG4AdQBhAGwARABpAHYAaQBkAGUAbgBkAHMAUABlAHIAUwBoAGEAcgBlAC8AUwBoAGEAcgBlAFAAcgBpAGM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UAUABTALsDXABuACAAIAAgACAARABFAFMAQwBSAEkAUABUAEkATwBOADoAKgAvAC8AKgAqAEUAYQByAG4AaQBuAGcAcwAgAHAAZQByACAAcwBoAGEAcgBlACAAbQBlAGEAcwB1AHIAZQBzACAAcAByAG8AZgBpAHQAYQBiAGkAbABpAHQAeQAgAGkAbgBkAGkAYwBhAHQAaQBuAGcAIABoAG8AdwAgAG0AdQBjAGgAIABwAHIAbwBmAGkAdAAgAGUAYQBjAGgAIABcAG4AbwB1AHQAcwB0AGEAbgBkAGkAbgBnACAAcwBoAGEAcgBlACAAbwBmACAAYwBvAG0AbQBvAG4AIABzAHQAbwBjAGsAIABoAGEAcwAgAGUAYQByAG4AZQBkACAAXABuACAAIAAgACAAKABOAGUAdAAgAEkAbgBjAG8AbQBlACAALQAgAFAAcgBlAGYAZQByAHIAZQBkACAARABpAHYAaQBkAGUAbgBkAHMAKQAvAEUAbgBkACAATwBmACAAUABlAHIAaQBvAGQAIABDAG8AbQBtAG8AbgAgAFMAaABhAHIAZQBzACAATwB1AHQAcwB0AGEAbgBkAGkAbgBnACkAIAAqAC8AXABuAEUAUABTALsDIAA9ACAATABBAE0AQgBEAEEAKABcAG4ALwAvACAAIABQAGEAcgBhAG0AZQB0AGUAcgAgAEQAZQBjAGwAYQByAGEAdABpAG8AbgBzAFwAbgAgACAAIAAgACAAIAAgACAAWwBOAGUAdABJAG4AYwBvAG0AZQBdACwAIAAgAFwAbgAgACAAIAAgACAAIAAgACAAWwBQAHIAZQBmAGUAcgByAGUAZABEAGkAdgBpAGQAZQBuAGQAcwBdACwAIAAgACAAIABcAG4AIAAgACAAIAAgACAAIAAgAFsARQBuAGQATwBmAFAAZQByAGkAbwBkAEMAbwBtAG0AbwBu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RQBQAFMAuwMoACAATgBlAHQASQBuAGMAbwBtAGUALAAgAFAAcgBlAGYAZQByAHIAZQBkAEQAaQB2AGkAZABlAG4AZABzACwAIABFAG4AZABPAGYAUABlAHIAaQBvAGQAQwBvAG0AbQBvAG4AUwBoAGEAcgBlAHMATwB1AHQAcwB0AGEAbgBkAGkAbgBnACkAtgBcACIAIAAmACAAXABuACAAIAAgACAAIAAgACAAIAAgACAAIAAgACAAIAAgACAAIAAgACAAIAAgACAAIAAgAFwAIgBEAEUAUwBDAFIASQBQAFQASQBPAE4AOgAgACAAIAAgACAAIAAgAJIhRQBhAHIAbgBpAG4AZwBzACAAcABlAHIAIABzAGgAYQByAGUAIABtAGUAYQBzAHUAcgBlAHMAIABwAHIAbwBmAGkAdABhAGIAaQBsAGkAdAB5ACAAaQBuAGQAaQBjAGEAdABpAG4AZwAgAGgAbwB3ACAAbQB1AGMAaAAgAHAAcgBvAGYAaQB0ACAAZQBhAGMAaAAgALYAXAAiACAAJgAgAFwAbgAgACAAIAAgACAAIAAgACAAIAAgACAAIAAgACAAIAAgACAAIAAgACAAIAAgACAAIAAgACAAIAAgACAAIAAgACAAIAAgACAAIAAgACAAIAAgACAAIAAgAFwAIgCSIW8AdQB0AHMAdABhAG4AZABpAG4AZwAgAHMAaABhAHIAZQAgAG8AZgAgAGMAbwBtAG0AbwBuACAAcwB0AG8AYwBrACAAaABhAHMAIABlAGEAcgBuAGUAZAAgALYAXAAiACAAJgAgAFwAbgAgACAAIAAgACAAIAAgACAAIAAgACAAIAAgACAAIAAgACAAIAAgACAAIAAgACAAIAAgACAAIAAgACAAIAAgACAAIAAgACAAIAAgACAAIAAgACAAIAAgAFwAIgCSISgATgBlAHQAIABJAG4AYwBvAG0AZQAgAC0AIABQAHIAZQBmAGUAcgByAGUAZAAgAEQAaQB2AGkAZABlAG4AZABzACkALwBFAG4AZAAgAE8AZgAgAFAAZQByAGkAbwBkACAAQwBvAG0AbQBvAG4AIABTAGgAYQByAGUAcwAgAE8AdQB0AHMAdABhAG4AZABpAG4AZwApALYAXAAiACAAJgAgAFwAbgAgACAAIAAgACAAIAAgACAAIAAgACAAIAAgACAAIAAgACAAIAAgACAAIAAgACAAIABcACIAVwBFAEIAUABBAEcARQA6ACAAIAAgACAAIAAgACAAIAAgACAAIACSIWgAdAB0AHAAcwA6AC8ALwB3AHcAdwAuAGkAbgB2AGUAcwB0AG8AcABlAGQAaQBhAC4AYwBvAG0ALwB0AGUAcgBtAHMALwBlAC8AZQBwAHM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IAC2AFwAIgAgACYAIABcAG4AIAAgACAAIAAgACAAIAAgACAAIAAgACAAIAAgACAAIAAgACAAIAAgACAAIAAgACAAXAAiAFAAcgBlAGYAZQByAHIAZQBkAEQAaQB2AGkAZABlAG4AZABzACAAkiEoAFIAZQBxAHUAaQByAGUAZAApACAARABpAHYAaQBkAGUAbgBkAHMAIABwAGEAaQBkACAAbwBuACAAcAByAGUAZgBlAHIAZQBkACAAcwB0AG8AYwBrALYAXAAiACAAJgAgAFwAbgAgACAAIAAgACAAIAAgACAAIAAgACAAIAAgACAAIAAgACAAIAAgACAAIAAgACAAIABcACIARQBuAGQATwBmAFAAZQByAGkAbwBkAEMAbwBtAG0AbwBuAFMAaABhAHIAZQBzAE8AdQB0AHMAdABhAG4AZABpAG4AZwCSISgAUgBlAHEAdQBpAHIAZQBkACkAIABXAGUAaQBnAGgAdABlAGQALQBhAHYAZQByAGEAZwBlACAAbwByAGQAaQBuAGEAcgB5ACAAcwBoAGEAcgBlAHMAIABmAG8AcgAgAGIAYQBzAGkAYwAgAEUAUABTALYAXAAiACAAJgAgAFwAbgAgACAAIAAgACAAIAAgACAAIAAgACAAIAAgACAAIAAgACAAIAAgACAAIAAgACAAIAAgACAAIAAgACAAIAAgACAAIAAgACAAIAAgACAAIAAgACAAIAAgAFwAIgCSIVUAcwBlACAAYwBsAG8AcwBpAG4AZwAgAHMAaABhAHIAZQBzACAAbwBuAGwAeQAgAHcAaABlAG4AIAB0AGgAZQB5ACAAZQBxAHUAYQBsACAAdABoAGEAdAAgAHcAZQBpAGcAaAB0AGUAZAAgAGEAdgBlAHIAYQBnAGU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EALgA5ADAAOQA1ADQAOAAgACAAIAAgACAAIAAgACAAIAAgACAAkiE9AG8AegAuAEUAUABTALsDKAAgADcALgA2ACwAIAAwACwAIAAzAC4AOQA4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QAHIAZQBmAGUAcgByAGUAZABEAGkAdgBpAGQAZQBuAGQAcwApACwAXABuACAAIAAgACAAIAAgACAAIAAgACAAIAAgACAAIAAgACAAIAAgACAAIAAgACAAIAAgACAAIAAgACAASQBTAE8ATQBJAFQAVABFAEQAKAAgAEUAbgBkAE8AZgBQAGUAcgBpAG8AZABDAG8AbQBtAG8AbgBTAGgAYQByAGUAcwBPAHUAdABzAHQAYQBuAGQAaQBuAGcAKQBcAG4AIAAgACAAIAAgACAAIAAgACAAIAAgACAAIAAgACAAIAAgACAAIAAgACAAIAAgACAAKQAsAFwAbgAgACAAIAAgAC8ALwAgACAAUAByAG8AYwBlAGQAdQByAGUAXABuACAAIAAgACAAIAAgACAAIABSAGUAcwB1AGwAdAAsACAAIAAgACAAIAAgACAAIAAgACgATgBlAHQASQBuAGMAbwBtAGUALQBQAHIAZQBmAGUAcgByAGUAZABEAGkAdgBpAGQAZQBuAGQAcwApAC8ARQBuAGQATwBmAFAAZQByAGkAbwBkAEMAbwBtAG0AbwBu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lAHQAZQBuAHQAaQBvAG4AUgBhAHQAaQBvALsDXABuACAAIAAgACAARABFAFMAQwBSAEkAUABUAEkATwBOADoAKgAvAC8AKgAqAFIAZQB0AGUAbgB0AGkAbwBuACAAUgBhAHQAaQBvACAAaQBzACAAdABoAGUAIABwAHIAbwBwAG8AcgB0AGkAbwBuACAAbwBmACAAZQBhAHIAbgBpAG4AZwBzACAAawBlAHAAdAAgAGIAYQBjAGsAIABpAG4AIAB0AGgAZQAgAFwAbgBiAHUAcwBpAG4AZQBzAHMAIABhAHMAIAByAGUAdABhAGkAbgBlAGQAIABlAGEAcgBuAGkAbgBnAHMAIAAoAFIAZQB0AGEAaQBuAGUAZAAgAEUAYQByAG4AaQBuAGcAcwAvAE4AZQB0ACAASQBuAGMAbwBtAGUAKQAuACAAKgAvAFwAbgBSAGUAdABlAG4AdABpAG8AbgBSAGEAdABpAG8AuwMgAD0AIABMAEEATQBCAEQAQQAoAFwAbgAvAC8AIAAgAFAAYQByAGEAbQBlAHQAZQByACAARABlAGMAbABhAHIAYQB0AGkAbwBuAHMAXABuACAAIAAgACAAIAAgACAAIABbAFIAZQB0AGEAaQBuAGUAZABFAGEAcgBuAGkAbgBnAHM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IAAgACAAIACSIVIAZQB0AGUAbgB0AGkAbwBuAFIAYQB0AGkAbwC7AygAIABSAGUAdABhAGkAbgBlAGQARQBhAHIAbgBpAG4AZwBzACwAIABOAGUAdABJAG4AYwBvAG0AZQAgACkAtgBcACIAIAAmACAAXABuACAAIAAgACAAIAAgACAAIAAgACAAIAAgACAAIAAgACAAIAAgACAAIAAgACAAIAAgAFwAIgBEAEUAUwBDAFIASQBQAFQASQBPAE4AOgAgACAAIAAgACAAIAAgAJIhUgBlAHQAZQBuAHQAaQBvAG4AIABSAGEAdABpAG8AIABpAHMAIAB0AGgAZQAgAHAAcgBvAHAAbwByAHQAaQBvAG4AIABvAGYAIABlAGEAcgBuAGkAbgBnAHMAIABrAGUAcAB0ACAAYgBhAGMAawAgAGkAbgAgAHQAaABlACAAtgBcACIAIAAmACAAXABuACAAIAAgACAAIAAgACAAIAAgACAAIAAgACAAIAAgACAAIAAgACAAIAAgACAAIAAgACAAIAAgACAAIAAgACAAIAAgACAAIAAgACAAIAAgACAAIAAgACAAXAAiAJIhYgB1AHMAaQBuAGUAcwBzACAAYQBzACAAcgBlAHQAYQBpAG4AZQBkACAAZQBhAHIAbgBpAG4AZwBzACAAKABSAGUAdABhAGkAbgBlAGQAIABFAGEAcgBuAGkAbgBnAHMALwBOAGUAdAAgAEkAbgBjAG8AbQBlACkALgC2AFwAIgAgACYAIABcAG4AIAAgACAAIAAgACAAIAAgACAAIAAgACAAIAAgACAAIAAgACAAIAAgACAAIAAgACAAXAAiAFcARQBCAFAAQQBHAEUAOgAgACAAIAAgACAAIAAgACAAIAAgACAAkiFoAHQAdABwAHMAOgAvAC8AdwB3AHcALgBpAG4AdgBlAHMAdABvAHAAZQBkAGkAYQAuAGMAbwBtAC8AdABlAHIAbQBzAC8AcgAvAHIAZQB0AGUAbgB0AGkAbwBu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FIAZQB0AGEAaQBuAGUAZABFAGEAcgBuAGkAbgBnAHMAIAAgACAAkiEoAFIAZQBxAHUAaQByAGUAZAApACAAUgBlAHQAYQBpAG4AZQBkACAARQBhAHIAbgBpAG4AZwBzACAAKABOAGUAdAAgAEkAbgBjAG8AbQBlACAALQAgAHAAYQBpAGQAIABkAGkAdgBpAGQAZQBuAGQAcwApAL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DcALgAzACUAIAAgACAAIAAgACAAIAAgACAAIAAgACAAIAAgAJIhPQBvAHoALgBSAGUAdABlAG4AdABpAG8AbgBSAGEAdABpAG8AuwMoACAAMQA5AC4AOAA2ADkALAAgADQAMQAuADkAOAAx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IAZQB0AGEAaQBuAGUAZABFAGEAcgBuAGkAbgBnAHM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UgBlAHQAYQBpAG4AZQBkAEUAYQByAG4AaQBuAGcAcwAvAE4AZQB0AEkAbgBjAG8AbQBlACwAXABuACAAIAAgACAALwAvACAAIABSAGUAdAB1AHIAbgAgAFIAZQBzAHUAbAB0AFwAbgAgACAAIAAgACAAIAAgACAAQwBIAE8ATwBTAEUAKABIAGUAbABwAD8AIAArACAAMQAsACAAUgBlAHMAdQBsAHQALAAgAEgAZQBsAHAAKQAgACAAIAAgACAAIAAgACAAXABuACAAIAAgACAAKQBcAG4AKQA7AFwAbgBcAG4AXABuAC8AKgAgACAARgBVAE4AQwBUAEkATwBOACAATgBBAE0ARQA6ACAAIABBAFQATwBUAHUAcgBuAG8AdgBlAHIAuwNcAG4AIAAgACAAIABEAEUAUwBDAFIASQBQAFQASQBPAE4AOgAqAC8ALwAqACoAVAB1AHIAbgBvAHYAZQByACAAYQBzACAAdABoAGUAIABBAFQATwAgAHMAbQBhAGwAbAAgAGIAdQBzAGkAbgBlAHMAcwAgAGIAZQBuAGMAaABtAGEAcgBrAHMAIABtAGUAYQBzAHUAcgBlACAAaQB0ADoAIABvAHQAaABlAHIAIABzAGEAbABlAHMAIAB1AG4AbABlAHMAcwAgAHUAbgBkAGUAcgAgAGgAYQBsAGYAIABvAGYAIAB0AG8AdABhAGwAIABiAHUAcwBpAG4AZQBzAHMAIABpAG4AYwBvAG0AZQAqAC8AXABuAFwAbgBBAFQATwBUAHUAcgBuAG8AdgBlAHIAuwMgAD0AIABMAEEATQBCAEQAQQAoAFwAbgAvAC8AIAAgAFAAYQByAGEAbQBlAHQAZQByACAARABlAGMAbABhAHIAYQB0AGkAbwBuAFwAbgAgACAAIAAgAFsATwB0AGgAZQByAFMAYQBsAGUAcwBdACwAXABuACAAIAAgACAAWwBUAG8AdABhAGwAQgB1AHMAaQBuAGUAcwBzAEkAbgBjAG8AbQ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QQBUAE8AVAB1AHIAbgBvAHYAZQByALsDKABPAHQAaABlAHIAUwBhAGwAZQBzACwAIABUAG8AdABhAGwAQgB1AHMAaQBuAGUAcwBzAEkAbgBjAG8AbQBlACkAtgBcACIAIAAmAFwAbgAgACAAIAAgACAAIAAgACAAIAAgACAAIAAgACAAIAAgACAAIAAgACAAIAAgACAAIAAgACAAIAAgAFwAIgBEAEUAUwBDAFIASQBQAFQASQBPAE4AOgAgACAAIACSIVQAdQByAG4AbwB2AGUAcgAgAGUAeABjAGwAdQBkAGkAbgBnACAARwBTAFQALAAgAHQAaABlACAAZABlAG4AbwBtAGkAbgBhAHQAbwByACAAbwBmACAAZQB2AGUAcgB5ACAAQQBUAE8AIAB0AGEAeAAgAHIAZQB0AHUAcgBuACAAYgBlAG4AYwBoAG0AYQByAGsAIAByAGEAdABpAG8ALgC2AE4ATwBUAEUAUwAhACAAIAAgACAAIAAgACAAIAAgAJIhUgBlAHQAdQByAG4AcwAgAE8AdABoAGUAcgBTAGEAbABlAHMALAAgAHUAbgBsAGUAcwBzACAAaQB0ACAAaQBzACAAegBlAHIAbwAsACAAYgBsAGEAbgBrACAAbwByACAAbABlAHMAcwAgAHQAaABhAG4AIABoAGEAbABmACAAbwBmALYAIAAgACAAIAAgACAAIAAgACAAIAAgACAAIAAgACAAkiFUAG8AdABhAGwAQgB1AHMAaQBuAGUAcwBzAEkAbgBjAG8AbQBlACwAIAB3AGgAZQBuACAAaQB0ACAAcgBlAHQAdQByAG4AcwAgAFQAbwB0AGEAbABCAHUAcwBpAG4AZQBzAHMASQBuAGMAbwBtAGUAIABpAG4AcwB0AGUAYQBkAC4AIABUAGgAYQB0ACAAaQBzALYAIAAgACAAIAAgACAAIAAgACAAIAAgACAAIAAgACAAkiF0AGgAZQAgAEEAVABPACcAcwAgAHIAdQBsAGUALgAgAE8AdABoAGUAcgBTAGEAbABlAHMAIABpAHMAIAB0AGgAZQAgAG8AdABoAGUAcgAgAHMAYQBsAGUAcwAgAG8AZgAgAGcAbwBvAGQAcwAgAGEAbgBkACAAcwBlAHIAdgBpAGMAZQBzALYAIAAgACAAIAAgACAAIAAgACAAIAAgACAAIAAgACAAkiFhAG0AbwB1AG4AdAAgAG8AbgAgAHQAaABlACAAcgBlAHQAdQByAG4ALgAgAFcAaABlAHIAZQAgAHQAbwB0AGEAbAAgAGIAdQBzAGkAbgBlAHMAcwAgAGkAbgBjAG8AbQBlACAAaQBzACAAYgBsAGEAbgBrACAAbwByALYAIAAgACAAIAAgACAAIAAgACAAIAAgACAAIAAgACAAkiFpAG4AYwBvAG0AcABsAGUAdABlACwAIAB0AGgAZQAgAEEAVABPACAAYQBkAGQAcwAgAHUAcAAgAHQAaABlACAAYgB1AHMAaQBuAGUAcwBzACAAaQBuAGMAbwBtAGUAIABpAHQAZQBtAHMAIABpAHQAIABsAGkAcwB0AHMAIABmAG8AcgAgAHQAaABlALYAIAAgACAAIAAgACAAIAAgACAAIAAgACAAIAAgACAAkiFyAGUAdAB1AHIAbgAgAHQAeQBwAGUAOgAgAHAAYQBzAHMAIAB0AGgAYQB0ACAAdABvAHQAYQBsACAAYQBzACAAVABvAHQAYQBsAEIAdQBzAGkAbgBlAHMAcwBJAG4AYwBvAG0AZQAuACAAUABhAHMAcwAgAGIAbwB0AGgAIABhAG0AbwB1AG4AdABzALYAIAAgACAAIAAgACAAIAAgACAAIAAgACAAIAAgACAAkiFlAHgAYwBsAHUAZABpAG4AZwAgAEcAUwBUAC4AIABUAGUAeAB0ACAAaQBuACAAZQBpAHQAaABlAHIAIABhAHIAZwB1AG0AZQBuAHQAIAByAGUAdAB1AHIAbgBzACAAIwBWAEEATABVAEUAIQAuACAAQQByAGkAdABoAG0AZQB0AGkAYwAgAG8AbgBsAHkAOgC2ACAAIAAgACAAIAAgACAAIAAgACAAIAAgACAAIAAgAJIhdABoAGUAIAByAGUAdgBpAGUAdwBlAHIAIABkAGUAYwBpAGQAZQBzACAAdwBoAGEAdAAgAGIAZQBsAG8AbgBnAHMAIABpAG4AIABlAGEAYwBoACAAYQBtAG8AdQBuAHQALgAgAEEAVABPACAAYgBlAG4AYwBoAG0AYQByAGsAIAByAGEAdABpAG8AtgAgACAAIAAgACAAIAAgACAAIAAgACAAIAAgACAAIACSIWMAYQBsAGMAdQBsAGEAdABpAG8AbgBzACAAYwBoAGUAYwBrAGUAZAAgADEAOQAgAE8AYwB0AG8AYgBlAHIAIAAyADAAMgA2AC4AtgBcACIAIAAmAFwAbgAgACAAIAAgACAAIAAgACAAIAAgACAAIAAgACAAIAAgACAAIAAgACAAIAAgACAAIAAgACAAIAAgAFwAIgBXAEUAQgBQAEEARwBFADoAIAAgACAAIAAgACAAIACSIWgAdAB0AHAAcwA6AC8ALwB3AHcAdwAuAGEAdABvAC4AZwBvAHYALgBhAHUALwBiAHUAcwBpAG4AZQBzAHMAZQBzAC0AYQBuAGQALQBvAHIAZwBhAG4AaQBzAGEAdABpAG8AbgBzAC8AaQBuAGMAbwBtAGUALQBkAGUAZAB1AGMAdABpAG8AbgBzAC0AYQBuAGQALQBjAG8AbgBjAGUAcwBzAGkAbwBuAHMALwBzAG0AYQBsAGwALQBiAHUAcwBpAG4AZQBzAHMALQBiAGUAbgBjAGgAbQBhAHIAawBzAC8AcwBtAGEAbABsAC0AYgB1AHMAaQBuAGUAcwBzAC0AYgBlAG4AYwBoAG0AYQByAGsAcwAtAG0AZQB0AGgAbwBkAG8AbABvAGcAeQAtAGEAbgBkAC0AcgBhAHQAaQBvAC0AYwBhAGwAYwB1AGwAYQB0AGkAbwBuAHMALwBoAG8AdwAtAHcAZQAtAGMAYQBsAGMAdQBsAGEAdABlAC0AYgBlAG4AYwBoAG0AYQByAGsALQByAGEAdABpAG8AcwC2AFwAIgAgACYAXABuACAAIAAgACAAIAAgACAAIAAgACAAIAAgACAAIAAgACAAIAAgACAAIAAgACAAIAAgACAAIAAgACAAXAAiAFYARQBSAFMASQBPAE4AOgAgACAAIAAgACAAIAAgAJIhMQA5ACAATwBjAHQAIAAyADAAMgA2ALYAXAAiACAAJgBcAG4AIAAgACAAIAAgACAAIAAgACAAIAAgACAAIAAgACAAIAAgACAAIAAgACAAIAAgACAAIAAgACAAIABcACIAUABBAFIAQQBNAEUAVABFAFIAUwA6ACAAIAAgACAAkiG2AFwAIgAgACYAXABuACAAIAAgACAAIAAgACAAIAAgACAAIAAgACAAIAAgACAAIAAgACAAIAAgACAAIAAgACAAIAAgACAAXAAiAE8AdABoAGUAcgBTAGEAbABlAHMAIAAgACAAIAAgAJIhKABSAGUAcQB1AGkAcgBlAGQAKQAgAE8AdABoAGUAcgAgAHMAYQBsAGUAcwAgAG8AZgAgAGcAbwBvAGQAcwAgAGEAbgBkACAAcwBlAHIAdgBpAGMAZQBzACwAIABlAHgAYwBsAHUAZABpAG4AZwAgAEcAUwBUAC4AtgBcACIAIAAmAFwAbgAgACAAIAAgACAAIAAgACAAIAAgACAAIAAgACAAIAAgACAAIAAgACAAIAAgACAAIAAgACAAIAAgAFwAIgBUAG8AdABhAGwAQgB1AHMAaQBuAGUAcwBzAEkAbgBjAG8AbQBlAJIhKABSAGUAcQB1AGkAcgBlAGQAKQAgAFQAbwB0AGEAbAAgAGIAdQBzAGkAbgBlAHMAcwAgAGkAbgBjAG8AbQBlACwAIABlAHgAYwBsAHUAZABpAG4AZwAgAEcAUwBU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QQBUAE8AVAB1AHIAbgBvAHYAZQByALsDKAA0ADgAMAAwADAAMAAsACAANQAwADAAMAAwADAAKQC2AFwAIgAgACYAXABuACAAIAAgACAAIAAgACAAIAAgACAAIAAgACAAIAAgACAAIAAgACAAIAAgACAAIAAgACAAIAAgACAAXAAiAJIhUgBlAHMAdQBsAHQAtgBcACIAIAAmAFwAbgAgACAAIAAgACAAIAAgACAAIAAgACAAIAAgACAAIAAgACAAIAAgACAAIAAgACAAIAAgACAAIAAgAFwAIgCSITQAOAAwADAAMAAwALYAXAAiACAAJgBcAG4AIAAgACAAIAAgACAAIAAgACAAIAAgACAAIAAgACAAIAAgACAAIAAgACAAIAAgACAAIAAgACAAIABcACIAkiE9AG8AegAuAEEAVABPAFQAdQByAG4AbwB2AGUAcgC7AygAMgAwADAAMAAwADAALAAgADUAMAAwADAAMAAwACkAtgBcACIAIAAmAFwAbgAgACAAIAAgACAAIAAgACAAIAAgACAAIAAgACAAIAAgACAAIAAgACAAIAAgACAAIAAgACAAIAAgAFwAIgCSIVIAZQBzAHUAbAB0ALYAXAAiACAAJgBcAG4AIAAgACAAIAAgACAAIAAgACAAIAAgACAAIAAgACAAIAAgACAAIAAgACAAIAAgACAAIAAgACAAIABcACIAkiE1ADAAMAAwAD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TwB0AGgAZQByAFMAYQBsAGUAcwApACwAIABJAFMATwBNAEkAVABUAEUARAAoAFQAbwB0AGEAbABCAHUAcwBpAG4AZQBzAHMASQBuAGMAbwBtAGUAKQApACwAXABuACAAIAAgACAALwAvACAAIABQAHIAbwBjAGUAZAB1AHIAZQBcAG4AIAAgACAAIAAvAC8AIAAgAEEAIABiAGwAYQBuAGsAIABPAHQAaABlAHIAUwBhAGwAZQBzACAAYwBlAGwAbAAgAG8AcgAgAGEAbgAgAGUAbQBwAHQAeQAgAHMAdAByAGkAbgBnACAAaQBzACAAbgBpAGwALAAgAHIAbwB3ACAAYgB5ACAAcgBvAHcALAAgAHcAaABpAGMAaAAgAHQAaABlACAAcgB1AGwAZQBcAG4AIAAgACAAIAAvAC8AIAAgAHIAZQBwAGwAYQBjAGUAcwAgAHcAaQB0AGgAIAB0AG8AdABhAGwAIABiAHUAcwBpAG4AZQBzAHMAIABpAG4AYwBvAG0AZQA7ACAAYQBuAHkAIABvAHQAaABlAHIAIAB0AGUAeAB0ACAAaQBzACAAIwBWAEEATABVAEUAIQBcAG4AIAAgACAAIAAgACAAIAAgAFMAYQBsAGUAcwAsACAAIAAgACAAIAAgACAAIAAgACAASQBGACgATwB0AGgAZQByAFMAYQBsAGUAcwAgAD0AIABcACIAXAAiACwAIAAwACwAIABJAEYAKABJAFMATgBVAE0AQgBFAFIAKABPAHQAaABlAHIAUwBhAGwAZQBzACkALAAgAE8AdABoAGUAcgBTAGEAbABlAHMALAAgACMAVgBBAEwAVQBFACEAKQApACwAXABuACAAIAAgACAAIAAgACAAIABJAG4AYwBvAG0AZQAsACAAIAAgACAAIAAgACAAIAAgAEkARgAoAEkAUwBOAFUATQBCAEUAUgAoAFQAbwB0AGEAbABCAHUAcwBpAG4AZQBzAHMASQBuAGMAbwBtAGUAKQAsACAAVABvAHQAYQBsAEIAdQBzAGkAbgBlAHMAcwBJAG4AYwBvAG0AZQAsACAAIwBWAEEATABVAEUAIQApACwAXABuACAAIAAgACAAIAAgACAAIABSAGUAcwB1AGwAdAAsACAAIAAgACAAIAAgACAAIAAgAEkARgAoACgAUwBhAGwAZQBzACAAPQAgADAAKQAgACsAIAAoAFMAYQBsAGUAcwAgADwAIABJAG4AYwBvAG0AZQAgAC8AIAAyACkALAAgAEkAbgBjAG8AbQBlACwAIABTAGEAbABlAHMAK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BAFQATwBCAGUAbgBjAGgAbQBhAHIAawBSAGEAdABpAG8AuwNcAG4AIAAgACAAIABEAEUAUwBDAFIASQBQAFQASQBPAE4AOgAqAC8ALwAqACoAQQBUAE8AIAB0AGEAeAAgAHIAZQB0AHUAcgBuACAAYgBlAG4AYwBoAG0AYQByAGsAIAByAGEAdABpAG8AOgAgAGEAbgAgAGEAbQBvAHUAbgB0ACAAZABpAHYAaQBkAGUAZAAgAGIAeQAgAHQAdQByAG4AbwB2AGUAcgAsACAAYQBzACAAZgBvAHIAIAByAGUAbgB0ACAAbwByACAAbQBvAHQAbwByACAAdgBlAGgAaQBjAGwAZQAgAGUAeABwAGUAbgBzAGUAcwAgAHQAbwAgAHQAdQByAG4AbwB2AGUAcgAqAC8AXABuAFwAbgBBAFQATwBCAGUAbgBjAGgAbQBhAHIAawBSAGEAdABpAG8AuwMgAD0AIABMAEEATQBCAEQAQQAoAFwAbgAvAC8AIAAgAFAAYQByAGEAbQBlAHQAZQByACAARABlAGMAbABhAHIAYQB0AGkAbwBuAFwAbgAgACAAIAAgAFsAQQBtAG8AdQBuAHQAXQAsAFwAbgAgACAAIAAgAFsAVAB1AHIAbgBvAHYAZQBy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QQBUAE8AQgBlAG4AYwBoAG0AYQByAGsAUgBhAHQAaQBvALsDKABBAG0AbwB1AG4AdAAsACAAVAB1AHIAbgBvAHYAZQByACkAtgBcACIAIAAmAFwAbgAgACAAIAAgACAAIAAgACAAIAAgACAAIAAgACAAIAAgACAAIAAgACAAIAAgACAAIAAgACAAIAAgAFwAIgBEAEUAUwBDAFIASQBQAFQASQBPAE4AOgAgACAAIACSIUEAVABPACAAdABhAHgAIAByAGUAdAB1AHIAbgAgAGIAZQBuAGMAaABtAGEAcgBrACAAcgBhAHQAaQBvADoAIABBAG0AbwB1AG4AdAAgAC8AIABUAHUAcgBuAG8AdgBlAHIALgC2AE4ATwBUAEUAUwAhACAAIAAgACAAIAAgACAAIAAgAJIhVABoAGUAIABBAFQATwAnAHMAIABiAGEAcwBpAGMAIABmAG8AcgBtAHUAbABhACAAZgBvAHIAIABhACAAdABhAHgAIAByAGUAdAB1AHIAbgAgAGIAZQBuAGMAaABtAGEAcgBrACAAcgBhAHQAaQBvACwAIABhAG4AZAAgAHQAaABlACAAdwBoAG8AbABlALYAIAAgACAAIAAgACAAIAAgACAAIAAgACAAIAAgACAAkiFvAGYAIABpAHQAcwAgAHIAZQBuAHQAIABlAHgAcABlAG4AcwBlAHMAIAB0AG8AIAB0AHUAcgBuAG8AdgBlAHIAIABhAG4AZAAgAG0AbwB0AG8AcgAgAHYAZQBoAGkAYwBsAGUAIABlAHgAcABlAG4AcwBlAHMAIAB0AG8AIAB0AHUAcgBuAG8AdgBlAHIAtgAgACAAIAAgACAAIAAgACAAIAAgACAAIAAgACAAIACSIXIAYQB0AGkAbwBzADoAIABwAGEAcwBzACAAdABoAGUAIAByAGUAbgB0ACAAbwByACAAbQBvAHQAbwByACAAdgBlAGgAaQBjAGwAZQAgAGUAeABwAGUAbgBzAGUAcwAgAGEAbQBvAHUAbgB0ACAAZgByAG8AbQAgAHQAaABlACAAcgBlAHQAdQByAG4ALgC2ACAAIAAgACAAIAAgACAAIAAgACAAIAAgACAAIAAgAJIhUgBlAHQAdQByAG4AcwAgAGEAIABmAHIAYQBjAHQAaQBvAG4AOwAgAGYAbwByAG0AYQB0ACAAaQB0ACAAYQBzACAAYQAgAHAAZQByAGMAZQBuAHQAYQBnAGUALAAgAGEAcwAgAHQAaABlACAAQQBUAE8AJwBzACAAZgBpAGcAdQByAGUAIABpAHMAIAB0AGgAZQC2ACAAIAAgACAAIAAgACAAIAAgACAAIAAgACAAIAAgAJIhcwBhAG0AZQAgAHEAdQBvAHQAaQBlAG4AdAAgAG0AdQBsAHQAaQBwAGwAaQBlAGQAIABiAHkAIAAxADAAMAAuACAAVABhAGsAZQAgAFQAdQByAG4AbwB2AGUAcgAgAGYAcgBvAG0AIABBAFQATwBUAHUAcgBuAG8AdgBlAHIAuwMoACkALgAgAFUAcwBlALYAIAAgACAAIAAgACAAIAAgACAAIAAgACAAIAAgACAAkiFBAFQATwBUAG8AdABhAGwARQB4AHAAZQBuAHMAZQBzAFIAYQB0AGkAbwC7AygAKQAsACAAQQBUAE8AQwBvAHMAdABPAGYAUwBhAGwAZQBzAFIAYQB0AGkAbwC7AygAKQAgAGEAbgBkACAAQQBUAE8ATABhAGIAbwB1AHIAUgBhAHQAaQBvALsDKAApALYAIAAgACAAIAAgACAAIAAgACAAIAAgACAAIAAgACAAkiFmAG8AcgAgAHQAaABlACAAMwAgAHIAYQB0AGkAbwBzACAAdwBoAG8AcwBlACAAYQBtAG8AdQBuAHQAcwAgAHQAaABlACAAQQBUAE8AIABhAGQAagB1AHMAdABzAC4AIABUAHUAcgBuAG8AdgBlAHIAIABvAGYAIAAwACAAcgBlAHQAdQByAG4AcwC2ACAAIAAgACAAIAAgACAAIAAgACAAIAAgACAAIAAgAJIhIwBEAEkAVgAvADAAIQAuACAAQQByAGkAdABoAG0AZQB0AGkAYwAgAG8AbgBsAHkALgAgAEEAVABPACAAYgBlAG4AYwBoAG0AYQByAGsAIAByAGEAdABpAG8AIABjAGEAbABjAHUAbABhAHQAaQBvAG4AcwAgAGMAaABlAGMAawBlAGQAtgAgACAAIAAgACAAIAAgACAAIAAgACAAIAAgACAAIACSITEAOQAgAE8AYwB0AG8AYgBlAHIAIAAyADAAMgA2AC4AtgBcACIAIAAmAFwAbgAgACAAIAAgACAAIAAgACAAIAAgACAAIAAgACAAIAAgACAAIAAgACAAIAAgACAAIAAgACAAIAAgAFwAIgBXAEUAQgBQAEEARwBFADoAIAAgACAAIAAgACAAIACSIWgAdAB0AHAAcwA6AC8ALwB3AHcAdwAuAGEAdABvAC4AZwBvAHYALgBhAHUALwBiAHUAcwBpAG4AZQBzAHMAZQBzAC0AYQBuAGQALQBvAHIAZwBhAG4AaQBzAGEAdABpAG8AbgBzAC8AaQBuAGMAbwBtAGUALQBkAGUAZAB1AGMAdABpAG8AbgBzAC0AYQBuAGQALQBjAG8AbgBjAGUAcwBzAGkAbwBuAHMALwBzAG0AYQBsAGwALQBiAHUAcwBpAG4AZQBzAHMALQBiAGUAbgBjAGgAbQBhAHIAawBzAC8AcwBtAGEAbABsAC0AYgB1AHMAaQBuAGUAcwBzAC0AYgBlAG4AYwBoAG0AYQByAGsAcwAtAG0AZQB0AGgAbwBkAG8AbABvAGcAeQAtAGEAbgBkAC0AcgBhAHQAaQBvAC0AYwBhAGwAYwB1AGwAYQB0AGkAbwBuAHMALwBoAG8AdwAtAHcAZQAtAGMAYQBsAGMAdQBsAGEAdABlAC0AYgBlAG4AYwBoAG0AYQByAGsALQByAGEAdABpAG8AcwC2AFwAIgAgACYAXABuACAAIAAgACAAIAAgACAAIAAgACAAIAAgACAAIAAgACAAIAAgACAAIAAgACAAIAAgACAAIAAgACAAXAAiAFYARQBSAFMASQBPAE4AOgAgACAAIAAgACAAIAAgAJIhMQA5ACAATwBjAHQAIAAyADAAMgA2ALYAXAAiACAAJgBcAG4AIAAgACAAIAAgACAAIAAgACAAIAAgACAAIAAgACAAIAAgACAAIAAgACAAIAAgACAAIAAgACAAIABcACIAUABBAFIAQQBNAEUAVABFAFIAUwA6ACAAIAAgACAAkiG2AFwAIgAgACYAXABuACAAIAAgACAAIAAgACAAIAAgACAAIAAgACAAIAAgACAAIAAgACAAIAAgACAAIAAgACAAIAAgACAAXAAiAEEAbQBvAHUAbgB0ACAAIAAgACAAIAAgACAAIAAgAJIhKABSAGUAcQB1AGkAcgBlAGQAKQAgAFQAaABlACAAZQB4AHAAZQBuAHMAZQAgAGEAbQBvAHUAbgB0ACwAIABlAHgAYwBsAHUAZABpAG4AZwAgAEcAUwBUAC4AtgBcACIAIAAmAFwAbgAgACAAIAAgACAAIAAgACAAIAAgACAAIAAgACAAIAAgACAAIAAgACAAIAAgACAAIAAgACAAIAAgAFwAIgBUAHUAcgBuAG8AdgBlAHIAIAAgACAAIAAgACAAIACSISgAUgBlAHEAdQBpAHIAZQBkACkAIABUAHUAcgBuAG8AdgBlAHIAIABlAHgAYwBsAHUAZABpAG4AZwAgAEcAUwBUACwAIABmAG8AcgAgAGUAeABhAG0AcABsAGUAIABmAHIAbwBtACAAQQBUAE8AVAB1AHIAbgBvAHYAZQByALsDKAAp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QQBUAE8AQgBlAG4AYwBoAG0AYQByAGsAUgBhAHQAaQBvALsDKAAyADQAMAAwADAALAAgADQAOAAwADAAMAAwACkAtgBcACIAIAAmAFwAbgAgACAAIAAgACAAIAAgACAAIAAgACAAIAAgACAAIAAgACAAIAAgACAAIAAgACAAIAAgACAAIAAgAFwAIgCSIVIAZQBzAHUAbAB0ALYAXAAiACAAJgBcAG4AIAAgACAAIAAgACAAIAAgACAAIAAgACAAIAAgACAAIAAgACAAIAAgACAAIAAgACAAIAAgACAAIABcACIAkiE1ACU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EAbQBvAHUAbgB0ACkALAAgAEkAUwBPAE0ASQBUAFQARQBEACgAVAB1AHIAbgBvAHYAZQByACkAKQAsAFwAbgAgACAAIAAgAC8ALwAgACAAUAByAG8AYwBlAGQAdQByAGUAXABuACAAIAAgACAAIAAgACAAIABSAGUAcwB1AGwAdAAsACAAIAAgACAAIAAgACAAIAAgAEEAbQBvAHUAbgB0ACAALwAgAFQAdQByAG4AbwB2AGUAcg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BAFQATwBUAG8AdABhAGwARQB4AHAAZQBuAHMAZQBzAFIAYQB0AGkAbwC7A1wAbgAgACAAIAAgAEQARQBTAEMAUgBJAFAAVABJAE8ATgA6ACoALwAvACoAKgBBAFQATwAgAHQAbwB0AGEAbAAgAGUAeABwAGUAbgBzAGUAcwAgAHQAbwAgAHQAdQByAG4AbwB2AGUAcgA6ACAAdABvAHQAYQBsACAAZQB4AHAAZQBuAHMAZQBzACAAbABlAHMAcwAgAHAAYQB5AG0AZQBuAHQAcwAgAHQAbwAgAGEAcwBzAG8AYwBpAGEAdABlAGQAIABwAGUAcgBzAG8AbgBzACwAIABvAHYAZQByACAAdAB1AHIAbgBvAHYAZQByACoALwBcAG4AXABuAEEAVABPAFQAbwB0AGEAbABFAHgAcABlAG4AcwBlAHMAUgBhAHQAaQBvALsDIAA9ACAATABBAE0AQgBEAEEAKABcAG4ALwAvACAAIABQAGEAcgBhAG0AZQB0AGUAcgAgAEQAZQBjAGwAYQByAGEAdABpAG8AbgBcAG4AIAAgACAAIABbAFQAbwB0AGEAbABFAHgAcABlAG4AcwBlAHMAXQAsAFwAbgAgACAAIAAgAFsAVAB1AHIAbgBvAHYAZQByAF0ALABcAG4AIAAgACAAIABbAEEAcwBzAG8AYwBpAGEAdABlAFAAYQB5AG0AZQBuAHQ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EAVABPAFQAbwB0AGEAbABFAHgAcABlAG4AcwBlAHMAUgBhAHQAaQBvALsDKABUAG8AdABhAGwARQB4AHAAZQBuAHMAZQBzACwAIABUAHUAcgBuAG8AdgBlAHIALAAgAFsAQQBzAHMAbwBjAGkAYQB0AGUAUABhAHkAbQBlAG4AdABzAF0AKQC2AFwAIgAgACYAXABuACAAIAAgACAAIAAgACAAIAAgACAAIAAgACAAIAAgACAAIAAgACAAIAAgACAAIAAgACAAIAAgACAAXAAiAEQARQBTAEMAUgBJAFAAVABJAE8ATgA6ACAAIAAgAJIhQQBUAE8AIAB0AG8AdABhAGwAIABlAHgAcABlAG4AcwBlAHMAIAB0AG8AIAB0AHUAcgBuAG8AdgBlAHIAIABiAGUAbgBjAGgAbQBhAHIAawAgAHIAYQB0AGkAbwAuALYATgBPAFQARQBTACEAIAAgACAAIAAgACAAIAAgACAAkiEoAFQAbwB0AGEAbABFAHgAcABlAG4AcwBlAHMAIAAtACAAQQBzAHMAbwBjAGkAYQB0AGUAUABhAHkAbQBlAG4AdABzACkAIAAvACAAVAB1AHIAbgBvAHYAZQByAC4AIABUAGgAZQAgAEEAVABPACAAZABlAGQAdQBjAHQAcwAgAHAAYQB5AG0AZQBuAHQAcwC2ACAAIAAgACAAIAAgACAAIAAgACAAIAAgACAAIAAgAJIhdABvACAAYQBzAHMAbwBjAGkAYQB0AGUAZAAgAHAAZQByAHMAbwBuAHMAIABmAHIAbwBtACAAdABvAHQAYQBsACAAZQB4AHAAZQBuAHMAZQBzACAAYgBlAGYAbwByAGUAIABkAGkAdgBpAGQAaQBuAGcALgAgAFcAaABlAHIAZQAgAHQAbwB0AGEAbAC2ACAAIAAgACAAIAAgACAAIAAgACAAIAAgACAAIAAgAJIhZQB4AHAAZQBuAHMAZQBzACAAaQBzACAAYgBsAGEAbgBrACAAbwByACAAaQBuAGMAbwBtAHAAbABlAHQAZQAsACAAaQB0ACAAYQBkAGQAcwAgAHUAcAAgAHQAaABlACAAZQB4AHAAZQBuAHMAZQAgAGkAdABlAG0AcwAgAGkAdAAgAGwAaQBzAHQAcwC2ACAAIAAgACAAIAAgACAAIAAgACAAIAAgACAAIAAgAJIhZgBvAHIAIAB0AGgAZQAgAHIAZQB0AHUAcgBuACAAdAB5AHAAZQA6ACAAcABhAHMAcwAgAHQAaABhAHQAIAB0AG8AdABhAGwAIABhAHMAIABUAG8AdABhAGwARQB4AHAAZQBuAHMAZQBzAC4AIABPAHAAZQByAGEAdABpAG4AZwBSAGEAdABpAG8AuwMoACkAtgAgACAAIAAgACAAIAAgACAAIAAgACAAIAAgACAAIACSIWcAaQB2AGUAcwAgAHQAaABlACAAcwBhAG0AZQAgAHEAdQBvAHQAaQBlAG4AdAAgAG8AbgBsAHkAIAB3AGgAZQBuACAAaQB0AHMAIABlAHgAcABlAG4AcwBlAHMAIABhAGwAcgBlAGEAZAB5ACAAZQB4AGMAbAB1AGQAZQAgAHQAaABvAHMAZQC2ACAAIAAgACAAIAAgACAAIAAgACAAIAAgACAAIAAgAJIhcABhAHkAbQBlAG4AdABzACAAYQBuAGQAIABpAHQAcwAgAG4AZQB0ACAAcwBhAGwAZQBzACAAZQBxAHUAYQBsACAAdABoAGkAcwAgAFQAdQByAG4AbwB2AGUAcgAuACAAUgBlAHQAdQByAG4AcwAgAGEAIABmAHIAYQBjAHQAaQBvAG4ALAAgAGEAcwC2ACAAIAAgACAAIAAgACAAIAAgACAAIAAgACAAIAAgAJIhQQBUAE8AQgBlAG4AYwBoAG0AYQByAGsAUgBhAHQAaQBvALsDKAApACAAZABvAGUAcwAuACAAQQBuACAAbwBtAGkAdAB0AGUAZAAgAG8AcgAgAGIAbABhAG4AawAgAEEAcwBzAG8AYwBpAGEAdABlAFAAYQB5AG0AZQBuAHQAcwAgAGMAbwB1AG4AdABzALYAIAAgACAAIAAgACAAIAAgACAAIAAgACAAIAAgACAAkiFhAHMAIAAwAC4AIABUAHUAcgBuAG8AdgBlAHIAIABvAGYAIAAwACAAcgBlAHQAdQByAG4AcwAgACMARABJAFYALwAwACEALgAgAEEAcgBpAHQAaABtAGUAdABpAGMAIABvAG4AbAB5AC4AIABBAFQATwAgAGIAZQBuAGMAaABtAGEAcgBrACAAcgBhAHQAaQBvALYAIAAgACAAIAAgACAAIAAgACAAIAAgACAAIAAgACAAkiFjAGEAbABjAHUAbABhAHQAaQBvAG4AcwAgAGMAaABlAGMAawBlAGQAIAAxADkAIABPAGMAdABvAGIAZQByACAAMgAwADIANgAuALYAXAAiACAAJgBcAG4AIAAgACAAIAAgACAAIAAgACAAIAAgACAAIAAgACAAIAAgACAAIAAgACAAIAAgACAAIAAgACAAIABcACIAVwBFAEIAUABBAEcARQA6ACAAIAAgACAAIAAgACAAkiFoAHQAdABwAHMAOgAvAC8AdwB3AHcALgBhAHQAbwAuAGcAbwB2AC4AYQB1AC8AYgB1AHMAaQBuAGUAcwBzAGUAcwAtAGEAbgBkAC0AbwByAGcAYQBuAGkAcwBhAHQAaQBvAG4AcwAvAGkAbgBjAG8AbQBlAC0AZABlAGQAdQBjAHQAaQBvAG4AcwAtAGEAbgBkAC0AYwBvAG4AYwBlAHMAcwBpAG8AbgBzAC8AcwBtAGEAbABsAC0AYgB1AHMAaQBuAGUAcwBzAC0AYgBlAG4AYwBoAG0AYQByAGsAcwAvAHMAbQBhAGwAbAAtAGIAdQBzAGkAbgBlAHMAcwAtAGIAZQBuAGMAaABtAGEAcgBrAHMALQBtAGUAdABoAG8AZABvAGwAbwBnAHkALQBhAG4AZAAtAHIAYQB0AGkAbwAtAGMAYQBsAGMAdQBsAGEAdABpAG8AbgBzAC8AaABvAHcALQB3AGUALQBjAGEAbABjAHUAbABhAHQAZQAtAGIAZQBuAGMAaABtAGEAcgBrAC0AcgBhAHQAaQBvAHMAtgBcACIAIAAmAFwAbgAgACAAIAAgACAAIAAgACAAIAAgACAAIAAgACAAIAAgACAAIAAgACAAIAAgACAAIAAgACAAIAAgAFwAIgBWAEUAUgBTAEkATwBOADoAIAAgACAAIAAgACAAIACSITEAOQAgAE8AYwB0ACAAMgAwADIANgC2AFwAIgAgACYAXABuACAAIAAgACAAIAAgACAAIAAgACAAIAAgACAAIAAgACAAIAAgACAAIAAgACAAIAAgACAAIAAgACAAXAAiAFAAQQBSAEEATQBFAFQARQBSAFMAOgAgACAAIAAgAJIhtgBcACIAIAAmAFwAbgAgACAAIAAgACAAIAAgACAAIAAgACAAIAAgACAAIAAgACAAIAAgACAAIAAgACAAIAAgACAAIAAgAFwAIgBUAG8AdABhAGwARQB4AHAAZQBuAHMAZQBzACAAIACSISgAUgBlAHEAdQBpAHIAZQBkACkAIABUAG8AdABhAGwAIABlAHgAcABlAG4AcwBlAHMAIABmAHIAbwBtACAAdABoAGUAIAByAGUAdAB1AHIAbgAsACAAZQB4AGMAbAB1AGQAaQBuAGcAIABHAFMAVAAuALYAXAAiACAAJgBcAG4AIAAgACAAIAAgACAAIAAgACAAIAAgACAAIAAgACAAIAAgACAAIAAgACAAIAAgACAAIAAgACAAIABcACIAVAB1AHIAbgBvAHYAZQByACAAIAAgACAAIAAgACAAkiEoAFIAZQBxAHUAaQByAGUAZAApACAAVAB1AHIAbgBvAHYAZQByACAAZQB4AGMAbAB1AGQAaQBuAGcAIABHAFMAVAAsACAAZgBvAHIAIABlAHgAYQBtAHAAbABlACAAZgByAG8AbQAgAEEAVABPAFQAdQByAG4AbwB2AGUAcgC7AygAKQAuALYAXAAiACAAJgBcAG4AIAAgACAAIAAgACAAIAAgACAAIAAgACAAIAAgACAAIAAgACAAIAAgACAAIAAgACAAIAAgACAAIABcACIAQQBzAHMAbwBjAGkAYQB0AGUAUABhAHkAbQBlAG4AdABzAJIhKABPAHAAdABpAG8AbgBhAGwAOgAgAEQAZQBmAGEAdQBsAHQAIAA9ACAAMAApACAAUABhAHkAbQBlAG4AdABzACAAdABvACAAYQBzAHMAbwBjAGkAYQB0AGUAZAAgAHAAZQByAHMAbwBu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BAFQATwBUAG8AdABhAGwARQB4AHAAZQBuAHMAZQBzAFIAYQB0AGkAbwC7AygANAAxADAAMAAwADAALAAgADQAOAAwADAAMAAwACwAIAAzADAAMAAwADAAKQC2AFwAIgAgACYAXABuACAAIAAgACAAIAAgACAAIAAgACAAIAAgACAAIAAgACAAIAAgACAAIAAgACAAIAAgACAAIAAgACAAXAAiAJIhUgBlAHMAdQBsAHQAtgBcACIAIAAmAFwAbgAgACAAIAAgACAAIAAgACAAIAAgACAAIAAgACAAIAAgACAAIAAgACAAIAAgACAAIAAgACAAIAAgAFwAIgCSITAALgA3ADkAMQ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UAG8AdABhAGwARQB4AHAAZQBuAHMAZQBzACkALAAgAEkAUwBPAE0ASQBUAFQARQBEACgAVAB1AHIAbgBvAHYAZQByACkAKQAsAFwAbgAgACAAIAAgAC8ALwAgACAAUAByAG8AYwBlAGQAdQByAGUAXABuACAAIAAgACAALwAvACAAIABBAG4AIABvAG0AaQB0AHQAZQBkACAAQQBzAHMAbwBjAGkAYQB0AGUAUABhAHkAbQBlAG4AdABzACwAIABhACAAYgBsAGEAbgBrACAAYwBlAGwAbAAgAG8AcgAgAGEAbgAgAGUAbQBwAHQAeQAgAHMAdAByAGkAbgBnACAAaQBzACAAMAAsACAAcgBvAHcAIABiAHkAIAByAG8AdwA7AFwAbgAgACAAIAAgAC8ALwAgACAAYQBuAHkAIABvAHQAaABlAHIAIAB0AGUAeAB0ACAAaQBzACAAIwBWAEEATABVAEUAIQBcAG4AIAAgACAAIAAgACAAIAAgAEEAcwBzAG8AYwBpAGEAdABlAHMALAAgACAAIAAgACAASQBGACgASQBTAE8ATQBJAFQAVABFAEQAKABBAHMAcwBvAGMAaQBhAHQAZQBQAGEAeQBtAGUAbgB0AHMAKQAsACAAMAAsAFwAbgAgACAAIAAgACAAIAAgACAAIAAgACAAIAAgACAAIAAgACAAIAAgACAAIAAgACAAIAAgACAAIAAgAEkARgAoAEEAcwBzAG8AYwBpAGEAdABlAFAAYQB5AG0AZQBuAHQAcwAgAD0AIABcACIAXAAiACwAIAAwACwAXABuACAAIAAgACAAIAAgACAAIAAgACAAIAAgACAAIAAgACAAIAAgACAAIAAgACAAIAAgACAAIAAgACAAIAAgACAAIABJAEYAKABJAFMATgBVAE0AQgBFAFIAKABBAHMAcwBvAGMAaQBhAHQAZQBQAGEAeQBtAGUAbgB0AHMAKQAsACAAQQBzAHMAbwBjAGkAYQB0AGUAUABhAHkAbQBlAG4AdABzACwAIAAjAFYAQQBMAFUARQAhACkAKQApACwAXABuACAAIAAgACAAIAAgACAAIABSAGUAcwB1AGwAdAAsACAAIAAgACAAIAAgACAAIAAgACgAVABvAHQAYQBsAEUAeABwAGUAbgBzAGUAcwAgAC0AIABBAHMAcwBvAGMAaQBhAHQAZQBzACkAIAAvACAAVAB1AHIAbgBvAHYAZQBy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EEAVABPAEMAbwBzAHQATwBmAFMAYQBsAGUAcwBSAGEAdABpAG8AuwNcAG4AIAAgACAAIABEAEUAUwBDAFIASQBQAFQASQBPAE4AOgAqAC8ALwAqACoAQQBUAE8AIABjAG8AcwB0ACAAbwBmACAAcwBhAGwAZQBzACAAdABvACAAdAB1AHIAbgBvAHYAZQByACwAIABlAHgAYwBsAHUAZABpAG4AZwAgAHMAYQBsAGEAcgB5ACAAYQBuAGQAIAB3AGEAZwBlAHMAIABpAG4AYwBsAHUAZABlAGQAIABpAG4AIABjAG8AcwB0ACAAbwBmACAAcwBhAGwAZQBzACoALwBcAG4AXABuAEEAVABPAEMAbwBzAHQATwBmAFMAYQBsAGUAcwBSAGEAdABpAG8AuwMgAD0AIABMAEEATQBCAEQAQQAoAFwAbgAvAC8AIAAgAFAAYQByAGEAbQBlAHQAZQByACAARABlAGMAbABhAHIAYQB0AGkAbwBuAFwAbgAgACAAIAAgAFsAQwBvAHMAdABPAGYAUwBhAGwAZQBzAF0ALABcAG4AIAAgACAAIABbAFQAdQByAG4AbwB2AGUAcgBdACwAXABuACAAIAAgACAAWwBJAG4AYwBsAHUAZABlAGQAVwBhAGcAZQ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QQBUAE8AQwBvAHMAdABPAGYAUwBhAGwAZQBzAFIAYQB0AGkAbwC7AygAQwBvAHMAdABPAGYAUwBhAGwAZQBzACwAIABUAHUAcgBuAG8AdgBlAHIALAAgAFsASQBuAGMAbAB1AGQAZQBkAFcAYQBnAGUAcwBdACkAtgBcACIAIAAmAFwAbgAgACAAIAAgACAAIAAgACAAIAAgACAAIAAgACAAIAAgACAAIAAgACAAIAAgACAAIAAgACAAIAAgAFwAIgBEAEUAUwBDAFIASQBQAFQASQBPAE4AOgAgACAAIACSIUEAVABPACAAYwBvAHMAdAAgAG8AZgAgAHMAYQBsAGUAcwAgAHQAbwAgAHQAdQByAG4AbwB2AGUAcgAgAGIAZQBuAGMAaABtAGEAcgBrACAAcgBhAHQAaQBvACwAIABlAHgAYwBsAHUAZABpAG4AZwAgAGwAYQBiAG8AdQByAC4AtgBOAE8AVABFAFMAIQAgACAAIAAgACAAIAAgACAAIACSISgAQwBvAHMAdABPAGYAUwBhAGwAZQBzACAALQAgAEkAbgBjAGwAdQBkAGUAZABXAGEAZwBlAHMAKQAgAC8AIABUAHUAcgBuAG8AdgBlAHIALgAgAFQAaABlACAAQQBUAE8AJwBzACAAYwBvAHMAdAAgAG8AZgAgAHMAYQBsAGUAcwAgAGUAeABjAGwAdQBkAGUAcwC2ACAAIAAgACAAIAAgACAAIAAgACAAIAAgACAAIAAgAJIhcwBhAGwAYQByAHkAIABhAG4AZAAgAHcAYQBnAGUAcwA6ACAAdwBoAGUAcgBlACAAdABoAGUAIAByAGUAdAB1AHIAbgAnAHMAIAB0AG8AdABhAGwAIABzAGEAbABhAHIAeQAgAGEAbgBkACAAdwBhAGcAZQBzACAAYwBvAGQAZQAgAGkAcwAgAEMALAC2ACAAIAAgACAAIAAgACAAIAAgACAAIAAgACAAIAAgAJIhbQBlAGEAbgBpAG4AZwAgAHQAaABlAHkAIABhAHIAZQAgAGkAbgBjAGwAdQBkAGUAZAAgAGkAbgAgAGMAbwBzAHQAIABvAGYAIABzAGEAbABlAHMALAAgAGkAdAAgAGQAZQBkAHUAYwB0AHMAIAB0AGgAZQAgAHQAbwB0AGEAbAAgAHMAYQBsAGEAcgB5ALYAIAAgACAAIAAgACAAIAAgACAAIAAgACAAIAAgACAAkiFhAG4AZAAgAHcAYQBnAGUAcwAgAGUAeABwAGUAbgBzAGUAcwAuACAAUABhAHMAcwAgAHQAaABhAHQAIAB0AG8AdABhAGwAIABhAHMAIABJAG4AYwBsAHUAZABlAGQAVwBhAGcAZQBzACAAbwBuAGwAeQAgAHcAaABlAG4AIAB0AGgAZQAgAGMAbwBkAGUAIABpAHMAtgAgACAAIAAgACAAIAAgACAAIAAgACAAIAAgACAAIACSIUMALAAgAGEAbgBkACAAbABlAGEAdgBlACAAaQB0ACAAbwB1AHQAIABvAHQAaABlAHIAdwBpAHMAZQAuACAARwByAG8AcwBzAE0AYQByAGcAaQBuALsDKAApACAAaQBzACAAYQAgAGQAaQBmAGYAZQByAGUAbgB0ACAAbQBlAGEAcwB1AHIAZQA6ALYAIAAgACAAIAAgACAAIAAgACAAIAAgACAAIAAgACAAkiFpAHQAIABrAGUAZQBwAHMAIAB3AGEAZwBlAHMAIABpAG4AIABjAG8AcwB0ACAAbwBmACAAcwBhAGwAZQBzAC4AIABSAGUAdAB1AHIAbgBzACAAYQAgAGYAcgBhAGMAdABpAG8AbgAsACAAYQBzALYAIAAgACAAIAAgACAAIAAgACAAIAAgACAAIAAgACAAkiFBAFQATwBCAGUAbgBjAGgAbQBhAHIAawBSAGEAdABpAG8AuwMoACkAIABkAG8AZQBzAC4AIABBAG4AIABvAG0AaQB0AHQAZQBkACAAbwByACAAYgBsAGEAbgBrACAASQBuAGMAbAB1AGQAZQBkAFcAYQBnAGUAcwAgAGMAbwB1AG4AdABzACAAYQBzACAAMAAuALYAIAAgACAAIAAgACAAIAAgACAAIAAgACAAIAAgACAAkiFUAHUAcgBuAG8AdgBlAHIAIABvAGYAIAAwACAAcgBlAHQAdQByAG4AcwAgACMARABJAFYALwAwACEALgAgAEEAcgBpAHQAaABtAGUAdABpAGMAIABvAG4AbAB5AC4AIABBAFQATwAgAGIAZQBuAGMAaABtAGEAcgBrACAAcgBhAHQAaQBvALYAIAAgACAAIAAgACAAIAAgACAAIAAgACAAIAAgACAAkiFjAGEAbABjAHUAbABhAHQAaQBvAG4AcwAgAGMAaABlAGMAawBlAGQAIAAxADkAIABPAGMAdABvAGIAZQByACAAMgAwADIANgAuALYAXAAiACAAJgBcAG4AIAAgACAAIAAgACAAIAAgACAAIAAgACAAIAAgACAAIAAgACAAIAAgACAAIAAgACAAIAAgACAAIABcACIAVwBFAEIAUABBAEcARQA6ACAAIAAgACAAIAAgACAAkiFoAHQAdABwAHMAOgAvAC8AdwB3AHcALgBhAHQAbwAuAGcAbwB2AC4AYQB1AC8AYgB1AHMAaQBuAGUAcwBzAGUAcwAtAGEAbgBkAC0AbwByAGcAYQBuAGkAcwBhAHQAaQBvAG4AcwAvAGkAbgBjAG8AbQBlAC0AZABlAGQAdQBjAHQAaQBvAG4AcwAtAGEAbgBkAC0AYwBvAG4AYwBlAHMAcwBpAG8AbgBzAC8AcwBtAGEAbABsAC0AYgB1AHMAaQBuAGUAcwBzAC0AYgBlAG4AYwBoAG0AYQByAGsAcwAvAHMAbQBhAGwAbAAtAGIAdQBzAGkAbgBlAHMAcwAtAGIAZQBuAGMAaABtAGEAcgBrAHMALQBtAGUAdABoAG8AZABvAGwAbwBnAHkALQBhAG4AZAAtAHIAYQB0AGkAbwAtAGMAYQBsAGMAdQBsAGEAdABpAG8AbgBzAC8AaABvAHcALQB3AGUALQBjAGEAbABjAHUAbABhAHQAZQAtAGIAZQBuAGMAaABtAGEAcgBrAC0AcgBhAHQAaQBvAHMAtgBcACIAIAAmAFwAbgAgACAAIAAgACAAIAAgACAAIAAgACAAIAAgACAAIAAgACAAIAAgACAAIAAgACAAIAAgACAAIAAgAFwAIgBWAEUAUgBTAEkATwBOADoAIAAgACAAIAAgACAAIACSITEAOQAgAE8AYwB0ACAAMgAwADIANgC2AFwAIgAgACYAXABuACAAIAAgACAAIAAgACAAIAAgACAAIAAgACAAIAAgACAAIAAgACAAIAAgACAAIAAgACAAIAAgACAAXAAiAFAAQQBSAEEATQBFAFQARQBSAFMAOgAgACAAIAAgAJIhtgBcACIAIAAmAFwAbgAgACAAIAAgACAAIAAgACAAIAAgACAAIAAgACAAIAAgACAAIAAgACAAIAAgACAAIAAgACAAIAAgAFwAIgBDAG8AcwB0AE8AZgBTAGEAbABlAHMAIAAgACAAIACSISgAUgBlAHEAdQBpAHIAZQBkACkAIABDAG8AcwB0ACAAbwBmACAAcwBhAGwAZQBzACAAZgByAG8AbQAgAHQAaABlACAAcgBlAHQAdQByAG4ALAAgAGUAeABjAGwAdQBkAGkAbgBnACAARwBTAFQALgC2AFwAIgAgACYAXABuACAAIAAgACAAIAAgACAAIAAgACAAIAAgACAAIAAgACAAIAAgACAAIAAgACAAIAAgACAAIAAgACAAXAAiAFQAdQByAG4AbwB2AGUAcgAgACAAIAAgACAAIAAgAJIhKABSAGUAcQB1AGkAcgBlAGQAKQAgAFQAdQByAG4AbwB2AGUAcgAgAGUAeABjAGwAdQBkAGkAbgBnACAARwBTAFQALAAgAGYAbwByACAAZQB4AGEAbQBwAGwAZQAgAGYAcgBvAG0AIABBAFQATwBUAHUAcgBuAG8AdgBlAHIAuwMoACkALgC2AFwAIgAgACYAXABuACAAIAAgACAAIAAgACAAIAAgACAAIAAgACAAIAAgACAAIAAgACAAIAAgACAAIAAgACAAIAAgACAAXAAiAEkAbgBjAGwAdQBkAGUAZABXAGEAZwBlAHMAIAAgAJIhKABPAHAAdABpAG8AbgBhAGwAOgAgAEQAZQBmAGEAdQBsAHQAIAA9ACAAMAApACAAVABvAHQAYQBsACAAcwBhAGwAYQByAHkAIABhAG4AZAAgAHcAYQBnAGUAcwAgAGUAeABwAGUAbgBzAGUAcwAsACAAbwBuAGwAeQAgAHcAaABlAG4AIAB0AGgAZQAgAHIAZQB0AHUAcgBuACcAcwAgAGMAbwBkAGUAIABpAHMAIABD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QQBUAE8AQwBvAHMAdABPAGYAUwBhAGwAZQBzAFIAYQB0AGkAbwC7AygAMgA2ADAAMAAwADAALAAgADQAOAAwADAAMAAwACwAIAA2ADAAMAAwADAAKQC2AFwAIgAgACYAXABuACAAIAAgACAAIAAgACAAIAAgACAAIAAgACAAIAAgACAAIAAgACAAIAAgACAAIAAgACAAIAAgACAAXAAiAJIhUgBlAHMAdQBsAHQAtgBcACIAIAAmAFwAbgAgACAAIAAgACAAIAAgACAAIAAgACAAIAAgACAAIAAgACAAIAAgACAAIAAgACAAIAAgACAAIAAgAFwAIgCSITAALgA0ADEANg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E8AZgBTAGEAbABlAHMAKQAsACAASQBTAE8ATQBJAFQAVABFAEQAKABUAHUAcgBuAG8AdgBlAHIAKQApACwAXABuACAAIAAgACAALwAvACAAIABQAHIAbwBjAGUAZAB1AHIAZQBcAG4AIAAgACAAIAAvAC8AIAAgAEEAbgAgAG8AbQBpAHQAdABlAGQAIABJAG4AYwBsAHUAZABlAGQAVwBhAGcAZQBzACwAIABhACAAYgBsAGEAbgBrACAAYwBlAGwAbAAgAG8AcgAgAGEAbgAgAGUAbQBwAHQAeQAgAHMAdAByAGkAbgBnACAAaQBzACAAMAAsACAAcgBvAHcAIABiAHkAIAByAG8AdwA7AFwAbgAgACAAIAAgAC8ALwAgACAAYQBuAHkAIABvAHQAaABlAHIAIAB0AGUAeAB0ACAAaQBzACAAIwBWAEEATABVAEUAIQBcAG4AIAAgACAAIAAgACAAIAAgAFcAYQBnAGUAcwAsACAAIAAgACAAIAAgACAAIAAgACAASQBGACgASQBTAE8ATQBJAFQAVABFAEQAKABJAG4AYwBsAHUAZABlAGQAVwBhAGcAZQBzACkALAAgADAALABcAG4AIAAgACAAIAAgACAAIAAgACAAIAAgACAAIAAgACAAIAAgACAAIAAgACAAIAAgACAAIAAgACAAIABJAEYAKABJAG4AYwBsAHUAZABlAGQAVwBhAGcAZQBzACAAPQAgAFwAIgBcACIALAAgADAALABcAG4AIAAgACAAIAAgACAAIAAgACAAIAAgACAAIAAgACAAIAAgACAAIAAgACAAIAAgACAAIAAgACAAIAAgACAAIAAgAEkARgAoAEkAUwBOAFUATQBCAEUAUgAoAEkAbgBjAGwAdQBkAGUAZABXAGEAZwBlAHMAKQAsACAASQBuAGMAbAB1AGQAZQBkAFcAYQBnAGUAcwAsACAAIwBWAEEATABVAEUAIQApACkAKQAsAFwAbgAgACAAIAAgACAAIAAgACAAUgBlAHMAdQBsAHQALAAgACAAIAAgACAAIAAgACAAIAAoAEMAbwBzAHQATwBmAFMAYQBsAGUAcwAgAC0AIABXAGEAZwBlAHMAKQAgAC8AIABUAHUAcgBuAG8AdgBlAHI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QQBUAE8ATABhAGIAbwB1AHIAUgBhAHQAaQBvALsDXABuACAAIAAgACAARABFAFMAQwBSAEkAUABUAEkATwBOADoAKgAvAC8AKgAqAEEAVABPACAAbABhAGIAbwB1AHIAIAB0AG8AIAB0AHUAcgBuAG8AdgBlAHIAOgAgAHMAYQBsAGEAcgB5ACAAYQBuAGQAIAB3AGEAZwBlAHMAIABwAGwAdQBzACAAYwBvAG4AdAByAGEAYwB0AG8AcgBzACAAbABlAHMAcwAgAHAAYQB5AG0AZQBuAHQAcwAgAHQAbwAgAGEAcwBzAG8AYwBpAGEAdABlAGQAIABwAGUAcgBzAG8AbgBzACwAIABvAHYAZQByACAAdAB1AHIAbgBvAHYAZQByACoALwBcAG4AXABuAEEAVABPAEwAYQBiAG8AdQByAFIAYQB0AGkAbwC7AyAAPQAgAEwAQQBNAEIARABBACgAXABuAC8ALwAgACAAUABhAHIAYQBtAGUAdABlAHIAIABEAGUAYwBsAGEAcgBhAHQAaQBvAG4AXABuACAAIAAgACAAWwBTAGEAbABhAHIAeQBXAGEAZwBlAHMAXQAsAFwAbgAgACAAIAAgAFsAQwBvAG4AdAByAGEAYwB0AG8AcgBzAF0ALABcAG4AIAAgACAAIABbAFQAdQByAG4AbwB2AGUAcgBdACwAXABuACAAIAAgACAAWwBBAHMAcwBvAGMAaQBhAHQAZQBQAGEAeQBtAGUAbgB0AHMAXQAsAFwAbgAgACAAIAAgAFsAVwAx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QQBUAE8ATABhAGIAbwB1AHIAUgBhAHQAaQBvALsDKABTAGEAbABhAHIAeQBXAGEAZwBlAHMALAAgAEMAbwBuAHQAcgBhAGMAdABvAHIAcwAsACAAVAB1AHIAbgBvAHYAZQByACwAIABbAEEAcwBzAG8AYwBpAGEAdABlAFAAYQB5AG0AZQBuAHQAcwBdACwAIABbAFcAMQBdACkAtgBcACIAIAAmAFwAbgAgACAAIAAgACAAIAAgACAAIAAgACAAIAAgACAAIAAgACAAIAAgACAAIAAgACAAIAAgACAAIAAgAFwAIgBEAEUAUwBDAFIASQBQAFQASQBPAE4AOgAgACAAIACSIUEAVABPACAAbABhAGIAbwB1AHIAIAB0AG8AIAB0AHUAcgBuAG8AdgBlAHIAIABiAGUAbgBjAGgAbQBhAHIAawAgAHIAYQB0AGkAbwAuALYATgBPAFQARQBTACEAIAAgACAAIAAgACAAIAAgACAAkiEoAFcAYQBnAGUAcwAgACsAIABDAG8AbgB0AHIAYQBjAHQAbwByAHMAIAAtACAAQQBzAHMAbwBjAGkAYQB0AGUAUABhAHkAbQBlAG4AdABzACkAIAAvACAAVAB1AHIAbgBvAHYAZQByACwAIAB3AGgAZQByAGUAIABXAGEAZwBlAHMAIABpAHMAtgAgACAAIAAgACAAIAAgACAAIAAgACAAIAAgACAAIACSIVMAYQBsAGEAcgB5AFcAYQBnAGUAcwAsACAAbwByACAAVwAxACAAdwBoAGUAbgAgAFcAMQAgAGkAcwAgAGcAcgBlAGEAdABlAHIALgAgAFQAaABlACAAQQBUAE8AIABhAGQAZABzACAAdABvAHQAYQBsACAAcwBhAGwAYQByAHkAIABhAG4AZAC2ACAAIAAgACAAIAAgACAAIAAgACAAIAAgACAAIAAgAJIhdwBhAGcAZQBzACAAZQB4AHAAZQBuAHMAZQBzACAAdABvACAAYwBvAG4AdAByAGEAYwB0AG8AcgAsACAAcwB1AGIAYwBvAG4AdAByAGEAYwB0AG8AcgAgAGEAbgBkACAAYwBvAG0AbQBpAHMAcwBpAG8AbgAgAGUAeABwAGUAbgBzAGUAcwAgAGEAbgBkALYAIAAgACAAIAAgACAAIAAgACAAIAAgACAAIAAgACAAkiFkAGUAZAB1AGMAdABzACAAcABhAHkAbQBlAG4AdABzACAAdABvACAAYQBzAHMAbwBjAGkAYQB0AGUAZAAgAHAAZQByAHMAbwBuAHMALgAgAFcAaABlAHIAZQAgAHQAaABlACAAYQBjAHQAaQB2AGkAdAB5ACAAcwB0AGEAdABlAG0AZQBuAHQAcwAnALYAIAAgACAAIAAgACAAIAAgACAAIAAgACAAIAAgACAAkiFsAGEAYgBlAGwAIABXADEAIAAoAHQAbwB0AGEAbAAgAHMAYQBsAGEAcgB5ACwAIAB3AGEAZwBlAHMAIABhAG4AZAAgAG8AdABoAGUAcgAgAHAAYQB5AG0AZQBuAHQAcwApACAAZgBvAHIAIAB0AGgAZQAgAHkAZQBhAHIAIABlAHgAYwBlAGUAZABzALYAIAAgACAAIAAgACAAIAAgACAAIAAgACAAIAAgACAAkiF0AGgAZQAgAHIAZQB0AHUAcgBuACcAcwAgAHMAYQBsAGEAcgB5ACAAYQBuAGQAIAB3AGEAZwBlAHMALAAgAGkAdAAgAHUAcwBlAHMAIABXADEALgAgAFIAZQB0AHUAcgBuAHMAIABhACAAZgByAGEAYwB0AGkAbwBuACwAIABhAHMAtgAgACAAIAAgACAAIAAgACAAIAAgACAAIAAgACAAIACSIUEAVABPAEIAZQBuAGMAaABtAGEAcgBrAFIAYQB0AGkAbwC7AygAKQAgAGQAbwBlAHMALgAgAEEAbgAgAG8AbQBpAHQAdABlAGQAIABvAHIAIABiAGwAYQBuAGsAIABBAHMAcwBvAGMAaQBhAHQAZQBQAGEAeQBtAGUAbgB0AHMAIABvAHIAIABXADEAtgAgACAAIAAgACAAIAAgACAAIAAgACAAIAAgACAAIACSIWMAbwB1AG4AdABzACAAYQBzACAAMAAuACAAVAB1AHIAbgBvAHYAZQByACAAbwBmACAAMAAgAHIAZQB0AHUAcgBuAHMAIAAjAEQASQBWAC8AMAAhAC4AIABBAHIAaQB0AGgAbQBlAHQAaQBjACAAbwBuAGwAeQAuACAAQQBUAE8AIABiAGUAbgBjAGgAbQBhAHIAawC2ACAAIAAgACAAIAAgACAAIAAgACAAIAAgACAAIAAgAJIhcgBhAHQAaQBvACAAYwBhAGwAYwB1AGwAYQB0AGkAbwBuAHMAIABjAGgAZQBjAGsAZQBkACAAMQA5ACAATwBjAHQAbwBiAGUAcgAgADIAMAAyADYALgC2AFwAIgAgACYAXABuACAAIAAgACAAIAAgACAAIAAgACAAIAAgACAAIAAgACAAIAAgACAAIAAgACAAIAAgACAAIAAgACAAXAAiAFcARQBCAFAAQQBHAEUAOgAgACAAIAAgACAAIAAgAJIhaAB0AHQAcABzADoALwAvAHcAdwB3AC4AYQB0AG8ALgBnAG8AdgAuAGEAdQAvAGIAdQBzAGkAbgBlAHMAcwBlAHMALQBhAG4AZAAtAG8AcgBnAGEAbgBpAHMAYQB0AGkAbwBuAHMALwBpAG4AYwBvAG0AZQAtAGQAZQBkAHUAYwB0AGkAbwBuAHMALQBhAG4AZAAtAGMAbwBuAGMAZQBzAHMAaQBvAG4AcwAvAHMAbQBhAGwAbAAtAGIAdQBzAGkAbgBlAHMAcwAtAGIAZQBuAGMAaABtAGEAcgBrAHMALwBzAG0AYQBsAGwALQBiAHUAcwBpAG4AZQBzAHMALQBiAGUAbgBjAGgAbQBhAHIAawBzAC0AbQBlAHQAaABvAGQAbwBsAG8AZwB5AC0AYQBuAGQALQByAGEAdABpAG8ALQBjAGEAbABjAHUAbABhAHQAaQBvAG4AcwAvAGgAbwB3AC0AdwBlAC0AYwBhAGwAYwB1AGwAYQB0AGUALQBiAGUAbgBjAGgAbQBhAHIAawAtAHIAYQB0AGkAbwBzALYAXAAiACAAJgBcAG4AIAAgACAAIAAgACAAIAAgACAAIAAgACAAIAAgACAAIAAgACAAIAAgACAAIAAgACAAIAAgACAAIABcACIAVgBFAFIAUwBJAE8ATgA6ACAAIAAgACAAIAAgACAAkiExADkAIABPAGMAdAAgADIAMAAyADYAtgBcACIAIAAmAFwAbgAgACAAIAAgACAAIAAgACAAIAAgACAAIAAgACAAIAAgACAAIAAgACAAIAAgACAAIAAgACAAIAAgAFwAIgBQAEEAUgBBAE0ARQBUAEUAUgBTADoAIAAgACAAIACSIbYAXAAiACAAJgBcAG4AIAAgACAAIAAgACAAIAAgACAAIAAgACAAIAAgACAAIAAgACAAIAAgACAAIAAgACAAIAAgACAAIABcACIAUwBhAGwAYQByAHkAVwBhAGcAZQBzACAAIAAgACAAkiEoAFIAZQBxAHUAaQByAGUAZAApACAAVABvAHQAYQBsACAAcwBhAGwAYQByAHkAIABhAG4AZAAgAHcAYQBnAGUAcwAgAGUAeABwAGUAbgBzAGUAcwAgAGYAcgBvAG0AIAB0AGgAZQAgAHIAZQB0AHUAcgBuAC4AtgBcACIAIAAmAFwAbgAgACAAIAAgACAAIAAgACAAIAAgACAAIAAgACAAIAAgACAAIAAgACAAIAAgACAAIAAgACAAIAAgAFwAIgBDAG8AbgB0AHIAYQBjAHQAbwByAHMAIAAgACAAIACSISgAUgBlAHEAdQBpAHIAZQBkACkAIABDAG8AbgB0AHIAYQBjAHQAbwByACwAIABzAHUAYgBjAG8AbgB0AHIAYQBjAHQAbwByACAAYQBuAGQAIABjAG8AbQBtAGkAcwBzAGkAbwBuACAAZQB4AHAAZQBuAHMAZQBzAC4AtgBcACIAIAAmAFwAbgAgACAAIAAgACAAIAAgACAAIAAgACAAIAAgACAAIAAgACAAIAAgACAAIAAgACAAIAAgACAAIAAgAFwAIgBUAHUAcgBuAG8AdgBlAHIAIAAgACAAIAAgACAAIACSISgAUgBlAHEAdQBpAHIAZQBkACkAIABUAHUAcgBuAG8AdgBlAHIAIABlAHgAYwBsAHUAZABpAG4AZwAgAEcAUwBUACwAIABmAG8AcgAgAGUAeABhAG0AcABsAGUAIABmAHIAbwBtACAAQQBUAE8AVAB1AHIAbgBvAHYAZQByALsDKAApAC4AtgBcACIAIAAmAFwAbgAgACAAIAAgACAAIAAgACAAIAAgACAAIAAgACAAIAAgACAAIAAgACAAIAAgACAAIAAgACAAIAAgAFwAIgBBAHMAcwBvAGMAaQBhAHQAZQBQAGEAeQBtAGUAbgB0AHMAkiEoAE8AcAB0AGkAbwBuAGEAbAA6ACAARABlAGYAYQB1AGwAdAAgAD0AIAAwACkAIABQAGEAeQBtAGUAbgB0AHMAIAB0AG8AIABhAHMAcwBvAGMAaQBhAHQAZQBkACAAcABlAHIAcwBvAG4AcwAuALYAXAAiACAAJgBcAG4AIAAgACAAIAAgACAAIAAgACAAIAAgACAAIAAgACAAIAAgACAAIAAgACAAIAAgACAAIAAgACAAIABcACIAVwAxACAAIAAgACAAIAAgACAAIAAgACAAIAAgACAAkiEoAE8AcAB0AGkAbwBuAGEAbAA6ACAARABlAGYAYQB1AGwAdAAgAD0AIAAwACkAIABUAGgAZQAgAHkAZQBhAHIAJwBzACAAdABvAHQAYQBsACAAYQB0ACAAYQBjAHQAaQB2AGkAdAB5ACAAcwB0AGEAdABlAG0AZQBuAHQAIABsAGEAYgBlAGwAIABXADE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BAFQATwBMAGEAYgBvAHUAcgBSAGEAdABpAG8AuwMoADkAMAAwADAAMAAsACAAMgAwADAAMAAwACwAIAA0ADgAMAAwADAAMAAsACAAMQAwADAAMAAwACwAIAA5ADUAMAAwADAAKQC2AFwAIgAgACYAXABuACAAIAAgACAAIAAgACAAIAAgACAAIAAgACAAIAAgACAAIAAgACAAIAAgACAAIAAgACAAIAAgACAAXAAiAJIhUgBlAHMAdQBsAHQAtgBcACIAIAAmAFwAbgAgACAAIAAgACAAIAAgACAAIAAgACAAIAAgACAAIAAgACAAIAAgACAAIAAgACAAIAAgACAAIAAgAFwAIgCSITAALgAyADEAOAA3ADU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MAYQBsAGEAcgB5AFcAYQBnAGUAcwApACwAIABJAFMATwBNAEkAVABUAEUARAAoAEMAbwBuAHQAcgBhAGMAdABvAHIAcwApACwAIABJAFMATwBNAEkAVABUAEUARAAoAFQAdQByAG4AbwB2AGUAcgApACkALABcAG4AIAAgACAAIAAvAC8AIAAgAFAAcgBvAGMAZQBkAHUAcgBlAFwAbgAgACAAIAAgAC8ALwAgACAAQQBuACAAbwBtAGkAdAB0AGUAZAAgAG8AcAB0AGkAbwBuAGEAbAAgAGEAcgBnAHUAbQBlAG4AdAAsACAAYQAgAGIAbABhAG4AawAgAGMAZQBsAGwAIABvAHIAIABhAG4AIABlAG0AcAB0AHkAIABzAHQAcgBpAG4AZwAgAGkAcwAgADAALAAgAHIAbwB3ACAAYgB5ACAAcgBvAHcAOwBcAG4AIAAgACAAIAAvAC8AIAAgAGEAbgB5ACAAbwB0AGgAZQByACAAdABlAHgAdAAgAGkAcwAgACMAVgBBAEwAVQBFACEAXABuACAAIAAgACAAIAAgACAAIABBAHMAcwBvAGMAaQBhAHQAZQBzACwAIAAgACAAIAAgAEkARgAoAEkAUwBPAE0ASQBUAFQARQBEACgAQQBzAHMAbwBjAGkAYQB0AGUAUABhAHkAbQBlAG4AdABzACkALAAgADAALABcAG4AIAAgACAAIAAgACAAIAAgACAAIAAgACAAIAAgACAAIAAgACAAIAAgACAAIAAgACAAIAAgACAAIABJAEYAKABBAHMAcwBvAGMAaQBhAHQAZQBQAGEAeQBtAGUAbgB0AHMAIAA9ACAAXAAiAFwAIgAsACAAMAAsAFwAbgAgACAAIAAgACAAIAAgACAAIAAgACAAIAAgACAAIAAgACAAIAAgACAAIAAgACAAIAAgACAAIAAgACAAIAAgACAASQBGACgASQBTAE4AVQBNAEIARQBSACgAQQBzAHMAbwBjAGkAYQB0AGUAUABhAHkAbQBlAG4AdABzACkALAAgAEEAcwBzAG8AYwBpAGEAdABlAFAAYQB5AG0AZQBuAHQAcwAsACAAIwBWAEEATABVAEUAIQApACkAKQAsAFwAbgAgACAAIAAgACAAIAAgACAAQQBjAHQAaQB2AGkAdAB5ACwAIAAgACAAIAAgACAAIABJAEYAKABJAFMATwBNAEkAVABUAEUARAAoAFcAMQApACwAIAAwACwAIABJAEYAKABXADEAIAA9ACAAXAAiAFwAIgAsACAAMAAsACAASQBGACgASQBTAE4AVQBNAEIARQBSACgAVwAxACkALAAgAFcAMQAsACAAIwBWAEEATABVAEUAIQApACkAKQAsAFwAbgAgACAAIAAgAC8ALwAgACAAVABoAGUAIABsAGEAcgBnAGUAcgAgAG8AZgAgAHQAaABlACAAMgAgAHcAYQBnAGUAIABmAGkAZwB1AHIAZQBzACwAIAByAG8AdwAgAGIAeQAgAHIAbwB3ADoAIABNAEEAWAAoACkAIAB3AG8AdQBsAGQAIAByAGUAZAB1AGMAZQAgAGEAIABjAG8AbAB1AG0AbgAgAHQAbwAgAG8AbgBlAFwAbgAgACAAIAAgACAAIAAgACAAVwBhAGcAZQBzACwAIAAgACAAIAAgACAAIAAgACAAIABJAEYAKABBAGMAdABpAHYAaQB0AHkAIAA+ACAAUwBhAGwAYQByAHkAVwBhAGcAZQBzACwAIABBAGMAdABpAHYAaQB0AHkALAAgAFMAYQBsAGEAcgB5AFcAYQBnAGUAcwApACwAXABuACAAIAAgACAAIAAgACAAIABSAGUAcwB1AGwAdAAsACAAIAAgACAAIAAgACAAIAAgACgAVwBhAGcAZQBzACAAKwAgAEMAbwBuAHQAcgBhAGMAdABvAHIAcwAgAC0AIABBAHMAcwBvAGMAaQBhAHQAZQBzACkAIAAvACAAVAB1AHIAbgBvAHYAZQBy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FIAZQBjAGUAaQB2AGEAYgBsAGUARABhAHkAcwC7A1wAbgAgACAAIAAgAEQARQBTAEMAUgBJAFAAVABJAE8ATgA6ACoALwAvACoAKgBSAGUAYwBlAGkAdgBhAGIAbABlACAAZABhAHkAcwAsACAAbwByACAAZABhAHkAcwAgAHMAYQBsAGUAcwAgAG8AdQB0AHMAdABhAG4AZABpAG4AZwAgACgARABTAE8AKQA6ACAAUgBlAGMAZQBpAHYAYQBiAGwAZQBzACAALwAgAFMAYQBsAGUAcwAgAHgAIABEAGEAeQBzACoALwBcAG4AXABuAFIAZQBjAGUAaQB2AGEAYgBsAGUARABhAHkAcwC7AyAAPQAgAEwAQQBNAEIARABBACgAXABuAC8ALwAgACAAUABhAHIAYQBtAGUAdABlAHIAIABEAGUAYwBsAGEAcgBhAHQAaQBvAG4AXABuACAAIAAgACAAWwBSAGUAYwBlAGkAdgBhAGIAbABlAHMAXQAsAFwAbgAgACAAIAAgAFsAUwBhAGwAZQBzAF0ALABcAG4AIAAgACAAIABbAEQAYQB5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SAGUAYwBlAGkAdgBhAGIAbABlAEQAYQB5AHMAuwMoAFIAZQBjAGUAaQB2AGEAYgBsAGUAcwAsACAAUwBhAGwAZQBzACwAIABbAEQAYQB5AHMAXQApALYAXAAiACAAJgBcAG4AIAAgACAAIAAgACAAIAAgACAAIAAgACAAIAAgACAAIAAgACAAIAAgACAAIAAgACAAIAAgACAAIABcACIARABFAFMAQwBSAEkAUABUAEkATwBOADoAIAAgACAAkiFSAGUAYwBlAGkAdgBhAGIAbABlACAAZABhAHkAcwAsACAAbwByACAAZABhAHkAcwAgAHMAYQBsAGUAcwAgAG8AdQB0AHMAdABhAG4AZABpAG4AZwAgACgARABTAE8AKQA6ACAAdABoAGUAIABkAGEAeQBzACAAbwBmACAAcwBhAGwAZQBzACAAbgBvAHQAIAB5AGUAdAAgAGMAbwBsAGwAZQBjAHQAZQBkAC4AtgBOAE8AVABFAFMAIQAgACAAIAAgACAAIAAgACAAIACSIVIAZQBjAGUAaQB2AGEAYgBsAGUAcwAgAC8AIABTAGEAbABlAHMAIAAqACAARABhAHkAcwAuACAARABhAHkAcwAgAGkAcwAgAHQAaABlACAAbgB1AG0AYgBlAHIAIABvAGYAIABkAGEAeQBzACAAdABoAGUAIABTAGEAbABlAHMAIABmAGkAZwB1AHIAZQC2ACAAIAAgACAAIAAgACAAIAAgACAAIAAgACAAIAAgAJIhYwBvAHYAZQByAHMAOgAgADMANgA1ACAAdwBpAHQAaAAgAGEAIAB5AGUAYQByACcAcwAgAHMAYQBsAGUAcwAsACAAOQAwACAAdwBpAHQAaAAgAHQAaABlACAAbABhAHMAdAAgAHQAaAByAGUAZQAgAG0AbwBuAHQAaABzACcAIABzAGEAbABlAHMAIABmAG8AcgC2ACAAIAAgACAAIAAgACAAIAAgACAAIAAgACAAIAAgAJIhYQAgAHIAbwBsAGwAaQBuAGcAIABmAGkAZwB1AHIAZQAsACAAbwByACAAYQAgAG0AbwBuAHQAaAAnAHMAIABkAGEAeQBzACAAdwBpAHQAaAAgAHQAaABhAHQAIABtAG8AbgB0AGgAJwBzACAAcwBhAGwAZQBzAC4AIABQAGEAcwBzACAAYwBsAG8AcwBpAG4AZwC2ACAAIAAgACAAIAAgACAAIAAgACAAIAAgACAAIAAgAJIhcgBlAGMAZQBpAHYAYQBiAGwAZQBzACwAIABvAHIAIAB0AGgAZQAgAGEAdgBlAHIAYQBnAGUAIABvAGYAIABvAHAAZQBuAGkAbgBnACAAYQBuAGQAIABjAGwAbwBzAGkAbgBnACAAZgBvAHIAIABhAG4AIABhAHYAZQByAGEAZwBlAC0AYgBhAGwAYQBuAGMAZQC2ACAAIAAgACAAIAAgACAAIAAgACAAIAAgACAAIAAgAJIhZgBpAGcAdQByAGUALgAgAFAAdQB0ACAAdABoAGUAIABiAGEAbABhAG4AYwBlACAAYQBuAGQAIAB0AGgAZQAgAHMAYQBsAGUAcwAgAG8AbgAgAHQAaABlACAAcwBhAG0AZQAgAGIAYQBzAGkAcwA6ACAAdwBoAGUAcgBlACAAbwBuAGUAIABpAG4AYwBsAHUAZABlAHMAtgAgACAAIAAgACAAIAAgACAAIAAgACAAIAAgACAAIACSIUcAUwBUACAAYQBuAGQAIAB0AGgAZQAgAG8AdABoAGUAcgAgAGQAbwBlAHMAIABuAG8AdAAsACAAYQBkAGoAdQBzAHQAIAB0AGgAZQAgAGkAbgBwAHUAdABzACAAZgBpAHIAcwB0ACwAIABiAGUAYwBhAHUAcwBlACAAdABoAGkAcwAgAGYAdQBuAGMAdABpAG8AbgC2ACAAIAAgACAAIAAgACAAIAAgACAAIAAgACAAIAAgAJIhbQBhAGsAZQBzACAAbgBvACAARwBTAFQAIABhAGQAagB1AHMAdABtAGUAbgB0AC4AIABTAGEAbABlAHMAIABvAGYAIAAwACAAcgBlAHQAdQByAG4AcwAgACMARABJAFYALwAwACEALAAgAGEAbgBkACAARABhAHkAcwAgAG8AZgAgADAAIABvAHIAIABsAGUAcwBzALYAIAAgACAAIAAgACAAIAAgACAAIAAgACAAIAAgACAAkiFyAGUAdAB1AHIAbgBzACAAIwBOAFUATQAhAC4AtgBcACIAIAAmAFwAbgAgACAAIAAgACAAIAAgACAAIAAgACAAIAAgACAAIAAgACAAIAAgACAAIAAgACAAIAAgACAAIAAgAFwAIgBXAEUAQgBQAEEARwBFADoAIAAgACAAIAAgACAAIACSIWgAdAB0AHAAcwA6AC8ALwBnAGkAdABoAHUAYgAuAGMAbwBtAC8AcgB5AGEAbgBkAHUAZwB1AGkAZAAvAE8AegB6AGkAdAAvAGIAbABvAGIALwBtAGEAaQBuAC8AZABvAGMAcwAvAHIAYQB0AGkAbwAtAGQAZQBmAGkAbgBpAHQAaQBvAG4AcwAuAG0AZAC2AFwAIgAgACYAXABuACAAIAAgACAAIAAgACAAIAAgACAAIAAgACAAIAAgACAAIAAgACAAIAAgACAAIAAgACAAIAAgACAAXAAiAFYARQBSAFMASQBPAE4AOgAgACAAIAAgACAAIAAgAJIhMgA5ACAAUwBlAHAAIAAyADAAMgA2ALYAXAAiACAAJgBcAG4AIAAgACAAIAAgACAAIAAgACAAIAAgACAAIAAgACAAIAAgACAAIAAgACAAIAAgACAAIAAgACAAIABcACIAUABBAFIAQQBNAEUAVABFAFIAUwA6ACAAIAAgACAAkiG2AFwAIgAgACYAXABuACAAIAAgACAAIAAgACAAIAAgACAAIAAgACAAIAAgACAAIAAgACAAIAAgACAAIAAgACAAIAAgACAAXAAiAFIAZQBjAGUAaQB2AGEAYgBsAGUAcwAgACAAIAAgAJIhKABSAGUAcQB1AGkAcgBlAGQAKQAgAFQAcgBhAGQAZQAgAHIAZQBjAGUAaQB2AGEAYgBsAGUAcwA6ACAAdABoAGUAIABjAGwAbwBzAGkAbgBnACAAYgBhAGwAYQBuAGMAZQAsACAAbwByACAAdABoAGUAIABhAHYAZQByAGEAZwBlACAAbwBmACAAbwBwAGUAbgBpAG4AZwAgAGEAbgBkACAAYwBsAG8AcwBpAG4AZwAuALYAXAAiACAAJgBcAG4AIAAgACAAIAAgACAAIAAgACAAIAAgACAAIAAgACAAIAAgACAAIAAgACAAIAAgACAAIAAgACAAIABcACIAUwBhAGwAZQBzACAAIAAgACAAIAAgACAAIAAgACAAkiEoAFIAZQBxAHUAaQByAGUAZAApACAAQwByAGUAZABpAHQAIABzAGEAbABlAHMAIABvAHYAZQByACAAdABoAGUAIABzAGEAbQBlACAARABhAHkAcwAuALYAXAAiACAAJgBcAG4AIAAgACAAIAAgACAAIAAgACAAIAAgACAAIAAgACAAIAAgACAAIAAgACAAIAAgACAAIAAgACAAIABcACIARABhAHkAcwAgACAAIAAgACAAIAAgACAAIAAgACAAkiEoAE8AcAB0AGkAbwBuAGEAbAA6ACAARABlAGYAYQB1AGwAdAAgAD0AIAAzADYANQApACAARABhAHkAcwAgAHQAaABlACAAUwBhAGwAZQBzACAAZgBpAGcAdQByAGUAIABjAG8AdgBlAHI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FIAZQBjAGUAaQB2AGEAYgBsAGUARABhAHkAcwC7AygAMQAyADUAMAAwADAALAAgADEAMgAwADAAMAAwADAAKQC2AFwAIgAgACYAXABuACAAIAAgACAAIAAgACAAIAAgACAAIAAgACAAIAAgACAAIAAgACAAIAAgACAAIAAgACAAIAAgACAAXAAiAJIhUgBlAHMAdQBsAHQAtgBcACIAIAAmAFwAbgAgACAAIAAgACAAIAAgACAAIAAgACAAIAAgACAAIAAgACAAIAAgACAAIAAgACAAIAAgACAAIAAgAFwAIgCSITMAOAAuADAAMgAwADgAtgBcACIAIAAmAFwAbgAgACAAIAAgACAAIAAgACAAIAAgACAAIAAgACAAIAAgACAAIAAgACAAIAAgACAAIAAgACAAIAAgAFwAIgCSIT0AbwB6AC4AUgBlAGMAZQBpAHYAYQBiAGwAZQBEAGEAeQBzALsDKAAxADIANQAwADAAMAAsACAAMwAzADAAMAAwADAALAAgADkAMAApALYAXAAiACAAJgBcAG4AIAAgACAAIAAgACAAIAAgACAAIAAgACAAIAAgACAAIAAgACAAIAAgACAAIAAgACAAIAAgACAAIABcACIAkiFSAGUAcwB1AGwAdAC2AFwAIgAgACYAXABuACAAIAAgACAAIAAgACAAIAAgACAAIAAgACAAIAAgACAAIAAgACAAIAAgACAAIAAgACAAIAAgACAAXAAiAJIhMwA0AC4AMAA5ADAAOQ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UgBlAGMAZQBpAHYAYQBiAGwAZQBzACkALAAgAEkAUwBPAE0ASQBUAFQARQBEACgAUwBhAGwAZQBzACkAKQAsAFwAbgAgACAAIAAgAC8ALwAgACAAUAByAG8AYwBlAGQAdQByAGUAXABuACAAIAAgACAALwAvACAAIABBAG4AIABvAG0AaQB0AHQAZQBkACAARABhAHkAcwAsACAAYQAgAGIAbABhAG4AawAgAGMAZQBsAGwAIABvAHIAIABhAG4AIABlAG0AcAB0AHkAIABzAHQAcgBpAG4AZwAgAGkAcwAgADMANgA1ACwAIAByAG8AdwAgAGIAeQAgAHIAbwB3AC4AIABBAG4AeQB0AGgAaQBuAGcAIABlAGwAcwBlAFwAbgAgACAAIAAgAC8ALwAgACAAdABoAGEAdAAgAGkAcwAgAG4AbwB0ACAAYQAgAG4AdQBtAGIAZQByACAAaQBzACAAIwBWAEEATABVAEUAIQA6ACAAdABlAHgAdAAgAGMAbwBtAHAAYQByAGUAcwAgAGcAcgBlAGEAdABlAHIAIAB0AGgAYQBuACAAZQB2AGUAcgB5ACAAbgB1AG0AYgBlAHIALAAgAHMAbwAgAFwAIgAwAFwAIgBcAG4AIAAgACAAIAAvAC8AIAAgAHcAbwB1AGwAZAAgAHAAYQBzAHMAIAB0AGgAZQAgAGMAaABlAGMAawAgAGIAZQBsAG8AdwAgAGEAbgBkACAAYQByAGkAdABoAG0AZQB0AGkAYwAgAHcAbwB1AGwAZAAgAHQAaABlAG4AIAByAGUAYQBkACAAaQB0ACAAYQBzACAAMAAuAFwAbgAgACAAIAAgACAAIAAgACAAUABlAHIAaQBvAGQALAAgACAAIAAgACAAIAAgACAAIABJAEYAKABJAFMATwBNAEkAVABUAEUARAAoAEQAYQB5AHMAKQAsACAAMwA2ADUALAAgAEkARgAoAEQAYQB5AHMAIAA9ACAAXAAiAFwAIgAsACAAMwA2ADUALAAgAEkARgAoAEkAUwBOAFUATQBCAEUAUgAoAEQAYQB5AHMAKQAsACAARABhAHkAcwAsACAAIwBWAEEATABVAEUAIQApACkAKQAsAFwAbgAgACAAIAAgACAAIAAgACAAUgBlAHMAdQBsAHQALAAgACAAIAAgACAAIAAgACAAIABJAEYAKABQAGUAcgBpAG8AZAAgADwAPQAgADAALAAgACMATgBVAE0AIQAsACAAUgBlAGMAZQBpAHYAYQBiAGwAZQBzACAALwAgAFMAYQBsAGUAcwAgACoAIABQAGUAcgBpAG8AZA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FAAYQB5AGEAYgBsAGUARABhAHkAcwC7A1wAbgAgACAAIAAgAEQARQBTAEMAUgBJAFAAVABJAE8ATgA6ACoALwAvACoAKgBQAGEAeQBhAGIAbABlACAAZABhAHkAcwAsACAAbwByACAAZABhAHkAcwAgAHAAYQB5AGEAYgBsAGUAIABvAHUAdABzAHQAYQBuAGQAaQBuAGcAIAAoAEQAUABPACkAOgAgAFAAYQB5AGEAYgBsAGUAcwAgAC8AIABQAHUAcgBjAGgAYQBzAGUAcwAgAHgAIABEAGEAeQBzACoALwBcAG4AXABuAFAAYQB5AGEAYgBsAGUARABhAHkAcwC7AyAAPQAgAEwAQQBNAEIARABBACgAXABuAC8ALwAgACAAUABhAHIAYQBtAGUAdABlAHIAIABEAGUAYwBsAGEAcgBhAHQAaQBvAG4AXABuACAAIAAgACAAWwBQAGEAeQBhAGIAbABlAHMAXQAsAFwAbgAgACAAIAAgAFsAUAB1AHIAYwBoAGEAcwBlAHMAXQAsAFwAbgAgACAAIAAgAFsARABhAHk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AAYQB5AGEAYgBsAGUARABhAHkAcwC7AygAUABhAHkAYQBiAGwAZQBzACwAIABQAHUAcgBjAGgAYQBzAGUAcwAsACAAWwBEAGEAeQBzAF0AKQC2AFwAIgAgACYAXABuACAAIAAgACAAIAAgACAAIAAgACAAIAAgACAAIAAgACAAIAAgACAAIAAgACAAIAAgACAAIAAgACAAXAAiAEQARQBTAEMAUgBJAFAAVABJAE8ATgA6ACAAIAAgAJIhUABhAHkAYQBiAGwAZQAgAGQAYQB5AHMALAAgAG8AcgAgAGQAYQB5AHMAIABwAGEAeQBhAGIAbABlACAAbwB1AHQAcwB0AGEAbgBkAGkAbgBnACAAKABEAFAATwApADoAIAB0AGgAZQAgAGQAYQB5AHMAIABvAGYAIABwAHUAcgBjAGgAYQBzAGUAcwAgAG4AbwB0ACAAeQBlAHQAIABwAGEAaQBkAC4AtgBOAE8AVABFAFMAIQAgACAAIAAgACAAIAAgACAAIACSIVAAYQB5AGEAYgBsAGUAcwAgAC8AIABQAHUAcgBjAGgAYQBzAGUAcwAgACoAIABEAGEAeQBzAC4AIABEAGEAeQBzACAAaQBzACAAdABoAGUAIABuAHUAbQBiAGUAcgAgAG8AZgAgAGQAYQB5AHMAIAB0AGgAZQAgAFAAdQByAGMAaABhAHMAZQBzALYAIAAgACAAIAAgACAAIAAgACAAIAAgACAAIAAgACAAkiFmAGkAZwB1AHIAZQAgAGMAbwB2AGUAcgBzACwAIABhAHMAIABmAG8AcgAgAFIAZQBjAGUAaQB2AGEAYgBsAGUARABhAHkAcwC7AygAKQAuACAAQwByAGUAZABpAHQAIABwAHUAcgBjAGgAYQBzAGUAcwAgAGEAcgBlACAAdABoAGUAIABtAGEAdABjAGgAaQBuAGcAtgAgACAAIAAgACAAIAAgACAAIAAgACAAIAAgACAAIACSIWYAbABvAHcAOwAgAGMAbwBzAHQAIABvAGYAIABzAGEAbABlAHMAIABpAHMAIAB0AGgAZQAgAGMAbwBtAG0AbwBuACAAcwB1AGIAcwB0AGkAdAB1AHQAZQAgAHcAaABlAHIAZQAgAHAAdQByAGMAaABhAHMAZQBzACAAYQByAGUAIABuAG8AdAC2ACAAIAAgACAAIAAgACAAIAAgACAAIAAgACAAIAAgAJIhcgBlAHAAbwByAHQAZQBkAC4AIABQAGEAcwBzACAAYwBsAG8AcwBpAG4AZwAgAHAAYQB5AGEAYgBsAGUAcwAsACAAbwByACAAdABoAGUAIABhAHYAZQByAGEAZwBlACAAbwBmACAAbwBwAGUAbgBpAG4AZwAgAGEAbgBkACAAYwBsAG8AcwBpAG4AZwAuACAAUAB1AHQAtgAgACAAIAAgACAAIAAgACAAIAAgACAAIAAgACAAIACSIXQAaABlACAAYgBhAGwAYQBuAGMAZQAgAGEAbgBkACAAdABoAGUAIABwAHUAcgBjAGgAYQBzAGUAcwAgAG8AbgAgAHQAaABlACAAcwBhAG0AZQAgAGIAYQBzAGkAcwA6ACAAdwBoAGUAcgBlACAAbwBuAGUAIABpAG4AYwBsAHUAZABlAHMAIABHAFMAVAAgAGEAbgBkALYAIAAgACAAIAAgACAAIAAgACAAIAAgACAAIAAgACAAkiF0AGgAZQAgAG8AdABoAGUAcgAgAGQAbwBlAHMAIABuAG8AdAAsACAAYQBkAGoAdQBzAHQAIAB0AGgAZQAgAGkAbgBwAHUAdABzACAAZgBpAHIAcwB0ACwAIABiAGUAYwBhAHUAcwBlACAAdABoAGkAcwAgAGYAdQBuAGMAdABpAG8AbgAgAG0AYQBrAGUAcwC2ACAAIAAgACAAIAAgACAAIAAgACAAIAAgACAAIAAgAJIhbgBvACAARwBTAFQAIABhAGQAagB1AHMAdABtAGUAbgB0AC4AIABQAHUAcgBjAGgAYQBzAGUAcwAgAG8AZgAgADAAIAByAGUAdAB1AHIAbgBzACAAIwBEAEkAVgAvADAAIQAsACAAYQBuAGQAIABEAGEAeQBzACAAbwBmACAAMAAgAG8AcgAgAGwAZQBzAHMAtgAgACAAIAAgACAAIAAgACAAIAAgACAAIAAgACAAIACSIXIAZQB0AHUAcgBuAHMAIAAjAE4AVQBNACEALgC2AFwAIgAgACYAXABuACAAIAAgACAAIAAgACAAIAAgACAAIAAgACAAIAAgACAAIAAgACAAIAAgACAAIAAgACAAIAAgACAAXAAiAFcARQBCAFAAQQBHAEUAOgAgACAAIAAgACAAIAAgAJIhaAB0AHQAcABzADoALwAvAGcAaQB0AGgAdQBiAC4AYwBvAG0ALwByAHkAYQBuAGQAdQBnAHUAaQBkAC8ATwB6AHoAaQB0AC8AYgBsAG8AYgAvAG0AYQBpAG4ALwBkAG8AYwBzAC8AcgBhAHQAaQBvAC0AZABlAGYAaQBuAGkAdABpAG8AbgBzAC4AbQBkALYAXAAiACAAJgBcAG4AIAAgACAAIAAgACAAIAAgACAAIAAgACAAIAAgACAAIAAgACAAIAAgACAAIAAgACAAIAAgACAAIABcACIAVgBFAFIAUwBJAE8ATgA6ACAAIAAgACAAIAAgACAAkiEyADkAIABTAGUAcAAgADIAMAAyADYAtgBcACIAIAAmAFwAbgAgACAAIAAgACAAIAAgACAAIAAgACAAIAAgACAAIAAgACAAIAAgACAAIAAgACAAIAAgACAAIAAgAFwAIgBQAEEAUgBBAE0ARQBUAEUAUgBTADoAIAAgACAAIACSIbYAXAAiACAAJgBcAG4AIAAgACAAIAAgACAAIAAgACAAIAAgACAAIAAgACAAIAAgACAAIAAgACAAIAAgACAAIAAgACAAIABcACIAUABhAHkAYQBiAGwAZQBzACAAIAAgACAAIAAgACAAkiEoAFIAZQBxAHUAaQByAGUAZAApACAAVAByAGEAZABlACAAcABhAHkAYQBiAGwAZQBzADoAIAB0AGgAZQAgAGMAbABvAHMAaQBuAGcAIABiAGEAbABhAG4AYwBlACwAIABvAHIAIAB0AGgAZQAgAGEAdgBlAHIAYQBnAGUAIABvAGYAIABvAHAAZQBuAGkAbgBnACAAYQBuAGQAIABjAGwAbwBzAGkAbgBnAC4AtgBcACIAIAAmAFwAbgAgACAAIAAgACAAIAAgACAAIAAgACAAIAAgACAAIAAgACAAIAAgACAAIAAgACAAIAAgACAAIAAgAFwAIgBQAHUAcgBjAGgAYQBzAGUAcwAgACAAIAAgACAAIACSISgAUgBlAHEAdQBpAHIAZQBkACkAIABDAHIAZQBkAGkAdAAgAHAAdQByAGMAaABhAHMAZQBzACwAIABvAHIAIABjAG8AcwB0ACAAbwBmACAAcwBhAGwAZQBzACwAIABvAHYAZQByACAAdABoAGUAIABzAGEAbQBlACAARABhAHkAcwAuALYAXAAiACAAJgBcAG4AIAAgACAAIAAgACAAIAAgACAAIAAgACAAIAAgACAAIAAgACAAIAAgACAAIAAgACAAIAAgACAAIABcACIARABhAHkAcwAgACAAIAAgACAAIAAgACAAIAAgACAAkiEoAE8AcAB0AGkAbwBuAGEAbAA6ACAARABlAGYAYQB1AGwAdAAgAD0AIAAzADYANQApACAARABhAHkAcwAgAHQAaABlACAAUAB1AHIAYwBoAGEAcwBlAHMAIABmAGkAZwB1AHIAZQAgAGMAbwB2AGUAc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UABhAHkAYQBiAGwAZQBEAGEAeQBzALsDKAA2ADQAMAAwADAALAAgADcAOAAwADAAMAAwACkAtgBcACIAIAAmAFwAbgAgACAAIAAgACAAIAAgACAAIAAgACAAIAAgACAAIAAgACAAIAAgACAAIAAgACAAIAAgACAAIAAgAFwAIgCSIVIAZQBzAHUAbAB0ALYAXAAiACAAJgBcAG4AIAAgACAAIAAgACAAIAAgACAAIAAgACAAIAAgACAAIAAgACAAIAAgACAAIAAgACAAIAAgACAAIABcACIAkiEyADkALgA5ADQAOA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QAGEAeQBhAGIAbABlAHMAKQAsACAASQBTAE8ATQBJAFQAVABFAEQAKABQAHUAcgBjAGgAYQBzAGUAcwApACkALABcAG4AIAAgACAAIAAvAC8AIAAgAFAAcgBvAGMAZQBkAHUAcgBlAFwAbgAgACAAIAAgAC8ALwAgACAAQQBuACAAbwBtAGkAdAB0AGUAZAAgAEQAYQB5AHMALAAgAGEAIABiAGwAYQBuAGsAIABjAGUAbABsACAAbwByACAAYQBuACAAZQBtAHAAdAB5ACAAcwB0AHIAaQBuAGcAIABpAHMAIAAzADYANQAsACAAcgBvAHcAIABiAHkAIAByAG8AdwA7ACAAYQBuAHkAdABoAGkAbgBnACAAZQBsAHMAZQBcAG4AIAAgACAAIAAvAC8AIAAgAHQAaABhAHQAIABpAHMAIABuAG8AdAAgAGEAIABuAHUAbQBiAGUAcgAgAGkAcwAgACMAVgBBAEwAVQBFACEALAAgAGEAcwAgAGkAbgAgAFIAZQBjAGUAaQB2AGEAYgBsAGUARABhAHkAcwC7AygAKQBcAG4AIAAgACAAIAAgACAAIAAgAFAAZQByAGkAbwBkACwAIAAgACAAIAAgACAAIAAgACAASQBGACgASQBTAE8ATQBJAFQAVABFAEQAKABEAGEAeQBzACkALAAgADMANgA1ACwAIABJAEYAKABEAGEAeQBzACAAPQAgAFwAIgBcACIALAAgADMANgA1ACwAIABJAEYAKABJAFMATgBVAE0AQgBFAFIAKABEAGEAeQBzACkALAAgAEQAYQB5AHMALAAgACMAVgBBAEwAVQBFACEAKQApACkALABcAG4AIAAgACAAIAAgACAAIAAgAFIAZQBzAHUAbAB0ACwAIAAgACAAIAAgACAAIAAgACAASQBGACgAUABlAHIAaQBvAGQAIAA8AD0AIAAwACwAIAAjAE4AVQBNACEALAAgAFAAYQB5AGEAYgBsAGUAcwAgAC8AIABQAHUAcgBjAGgAYQBzAGUAcwAgACoAIABQAGUAcgBpAG8AZA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FcASQBQAEQAYQB5AHMAuwNcAG4AIAAgACAAIABEAEUAUwBDAFIASQBQAFQASQBPAE4AOgAqAC8ALwAqACoAVwBvAHIAawAgAGkAbgAgAHAAcgBvAGcAcgBlAHMAcwAgAGQAYQB5AHMAOgAgAFcASQBQACAALwAgAFIAZQBsAGEAdABlAGQARgBsAG8AdwAgAHgAIABEAGEAeQBzACwAIAB3AGkAdABoACAAYgBvAHQAaAAgAG8AbgAgAG8AbgBlACAAdgBhAGwAdQBhAHQAaQBvAG4AIABiAGEAcwBpAHMAKgAvAFwAbgBcAG4AVwBJAFAARABhAHkAcwC7AyAAPQAgAEwAQQBNAEIARABBACgAXABuAC8ALwAgACAAUABhAHIAYQBtAGUAdABlAHIAIABEAGUAYwBsAGEAcgBhAHQAaQBvAG4AXABuACAAIAAgACAAWwBXAEkAUABdACwAXABuACAAIAAgACAAWwBSAGUAbABhAHQAZQBkAEYAbABvAHcAXQAsAFwAbgAgACAAIAAgAFsARABhAHk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cASQBQAEQAYQB5AHMAuwMoAFcASQBQACwAIABSAGUAbABhAHQAZQBkAEYAbABvAHcALAAgAFsARABhAHkAcwBdACkAtgBcACIAIAAmAFwAbgAgACAAIAAgACAAIAAgACAAIAAgACAAIAAgACAAIAAgACAAIAAgACAAIAAgACAAIAAgACAAIAAgAFwAIgBEAEUAUwBDAFIASQBQAFQASQBPAE4AOgAgACAAIACSIVcAbwByAGsAIABpAG4AIABwAHIAbwBnAHIAZQBzAHMAIABkAGEAeQBzADoAIAB0AGgAZQAgAGQAYQB5AHMAIABvAGYAIAB3AG8AcgBrACAAZABvAG4AZQAgAGIAdQB0ACAAbgBvAHQAIAB5AGUAdAAgAGIAaQBsAGwAZQBkACAAbwByACAAYwBvAG0AcABsAGUAdABlAGQALgC2AE4ATwBUAEUAUwAhACAAIAAgACAAIAAgACAAIAAgAJIhVwBJAFAAIAAvACAAUgBlAGwAYQB0AGUAZABGAGwAbwB3ACAAKgAgAEQAYQB5AHMALgAgAFcASQBQACAAYQBuAGQAIABSAGUAbABhAHQAZQBkAEYAbABvAHcAIABtAHUAcwB0ACAAdQBzAGUAIAB0AGgAZQAgAHMAYQBtAGUAIAB2AGEAbAB1AGEAdABpAG8AbgC2ACAAIAAgACAAIAAgACAAIAAgACAAIAAgACAAIAAgAJIhYgBhAHMAaQBzADoAIABmAGUAZQAgAHIAZQB2AGUAbgB1AGUAIAB3AGkAdABoACAAVwBJAFAAIABhAHQAIABjAGgAYQByAGcAZQAtAG8AdQB0ACAAdgBhAGwAdQBlACwAIABhAHMAIABhACAAcAByAG8AZgBlAHMAcwBpAG8AbgBhAGwAIABzAGUAcgB2AGkAYwBlAHMAtgAgACAAIAAgACAAIAAgACAAIAAgACAAIAAgACAAIACSIWYAaQByAG0AIAByAGUAYwBvAHIAZABzACAAaQB0ACwAIABvAHIAIABjAG8AcwB0ACAAbwBmACAAcwBhAGwAZQBzACAAdwBpAHQAaAAgAFcASQBQACAAYQB0ACAAYwBvAHMAdAAuACAARABhAHkAcwAgAGkAcwAgAHQAaABlACAAbgB1AG0AYgBlAHIAIABvAGYAtgAgACAAIAAgACAAIAAgACAAIAAgACAAIAAgACAAIACSIWQAYQB5AHMAIAB0AGgAZQAgAFIAZQBsAGEAdABlAGQARgBsAG8AdwAgAGYAaQBnAHUAcgBlACAAYwBvAHYAZQByAHMALgAgAFcASQBQACAAZABhAHkAcwAgAHAAbAB1AHMAIABSAGUAYwBlAGkAdgBhAGIAbABlAEQAYQB5AHMAuwMoACkAIABnAGkAdgBlAHMAtgAgACAAIAAgACAAIAAgACAAIAAgACAAIAAgACAAIACSIXQAaABlACAAbABvAGMAawAtAHUAcAAgAGQAYQB5AHMAIABhACAAcwBlAHIAdgBpAGMAZQBzACAAZgBpAHIAbQAgAHQAcgBhAGMAawBzAC4AIABSAGUAbABhAHQAZQBkAEYAbABvAHcAIABvAGYAIAAwACAAcgBlAHQAdQByAG4AcwAgACMARABJAFYALwAwACEALAC2ACAAIAAgACAAIAAgACAAIAAgACAAIAAgACAAIAAgAJIhYQBuAGQAIABEAGEAeQBzACAAbwBmACAAMAAgAG8AcgAgAGwAZQBzAHMAIAByAGUAdAB1AHIAbgBzACAAIwBOAFUATQAhAC4AtgBcACIAIAAmAFwAbgAgACAAIAAgACAAIAAgACAAIAAgACAAIAAgACAAIAAgACAAIAAgACAAIAAgACAAIAAgACAAIAAgAFwAIgBXAEUAQgBQAEEARwBFADoAIAAgACAAIAAgACAAIACSIWgAdAB0AHAAcwA6AC8ALwBnAGkAdABoAHUAYgAuAGMAbwBtAC8AcgB5AGEAbgBkAHUAZwB1AGkAZAAvAE8AegB6AGkAdAAvAGIAbABvAGIALwBtAGEAaQBuAC8AZABvAGMAcwAvAHIAYQB0AGkAbwAtAGQAZQBmAGkAbgBpAHQAaQBvAG4AcwAuAG0AZAC2AFwAIgAgACYAXABuACAAIAAgACAAIAAgACAAIAAgACAAIAAgACAAIAAgACAAIAAgACAAIAAgACAAIAAgACAAIAAgACAAXAAiAFYARQBSAFMASQBPAE4AOgAgACAAIAAgACAAIAAgAJIhMgA5ACAAUwBlAHAAIAAyADAAMgA2ALYAXAAiACAAJgBcAG4AIAAgACAAIAAgACAAIAAgACAAIAAgACAAIAAgACAAIAAgACAAIAAgACAAIAAgACAAIAAgACAAIABcACIAUABBAFIAQQBNAEUAVABFAFIAUwA6ACAAIAAgACAAkiG2AFwAIgAgACYAXABuACAAIAAgACAAIAAgACAAIAAgACAAIAAgACAAIAAgACAAIAAgACAAIAAgACAAIAAgACAAIAAgACAAXAAiAFcASQBQACAAIAAgACAAIAAgACAAIAAgACAAIAAgAJIhKABSAGUAcQB1AGkAcgBlAGQAKQAgAFcAbwByAGsAIABpAG4AIABwAHIAbwBnAHIAZQBzAHMAOgAgAHQAaABlACAAYwBsAG8AcwBpAG4AZwAgAGIAYQBsAGEAbgBjAGUALAAgAG8AcgAgAHQAaABlACAAYQB2AGUAcgBhAGcAZQAgAG8AZgAgAG8AcABlAG4AaQBuAGcAIABhAG4AZAAgAGMAbABvAHMAaQBuAGcALgC2AFwAIgAgACYAXABuACAAIAAgACAAIAAgACAAIAAgACAAIAAgACAAIAAgACAAIAAgACAAIAAgACAAIAAgACAAIAAgACAAXAAiAFIAZQBsAGEAdABlAGQARgBsAG8AdwAgACAAIAAgAJIhKABSAGUAcQB1AGkAcgBlAGQAKQAgAEYAZQBlACAAcgBlAHYAZQBuAHUAZQAgAG8AcgAgAGMAbwBzAHQAIABvAGYAIABzAGEAbABlAHMAIABvAHYAZQByACAAdABoAGUAIABzAGEAbQBlACAARABhAHkAcwAsACAAbwBuACAAdABoAGUAIAB2AGEAbAB1AGEAdABpAG8AbgAgAGIAYQBzAGkAcwAgAG8AZgAgAFcASQBQAC4AtgBcACIAIAAmAFwAbgAgACAAIAAgACAAIAAgACAAIAAgACAAIAAgACAAIAAgACAAIAAgACAAIAAgACAAIAAgACAAIAAgAFwAIgBEAGEAeQBzACAAIAAgACAAIAAgACAAIAAgACAAIACSISgATwBwAHQAaQBvAG4AYQBsADoAIABEAGUAZgBhAHUAbAB0ACAAPQAgADMANgA1ACkAIABEAGEAeQBzACAAdABoAGUAIABSAGUAbABhAHQAZQBkAEYAbABvAHcAIABmAGkAZwB1AHIAZQAgAGMAbwB2AGUAc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VwBJAFAARABhAHkAcwC7AygANAAyADAAMAAwACwAIAA1ADEAMAAwADAAMAApALYAXAAiACAAJgBcAG4AIAAgACAAIAAgACAAIAAgACAAIAAgACAAIAAgACAAIAAgACAAIAAgACAAIAAgACAAIAAgACAAIABcACIAkiFSAGUAcwB1AGwAdAC2AFwAIgAgACYAXABuACAAIAAgACAAIAAgACAAIAAgACAAIAAgACAAIAAgACAAIAAgACAAIAAgACAAIAAgACAAIAAgACAAXAAiAJIhMwAwAC4AMAA1ADgAO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VwBJAFAAKQAsACAASQBTAE8ATQBJAFQAVABFAEQAKABSAGUAbABhAHQAZQBkAEYAbABvAHcAKQApACwAXABuACAAIAAgACAALwAvACAAIABQAHIAbwBjAGUAZAB1AHIAZQBcAG4AIAAgACAAIAAvAC8AIAAgAEEAbgAgAG8AbQBpAHQAdABlAGQAIABEAGEAeQBzACwAIABhACAAYgBsAGEAbgBrACAAYwBlAGwAbAAgAG8AcgAgAGEAbgAgAGUAbQBwAHQAeQAgAHMAdAByAGkAbgBnACAAaQBzACAAMwA2ADUALAAgAHIAbwB3ACAAYgB5ACAAcgBvAHcAOwAgAGEAbgB5AHQAaABpAG4AZwAgAGUAbABzAGUAXABuACAAIAAgACAALwAvACAAIAB0AGgAYQB0ACAAaQBzACAAbgBvAHQAIABhACAAbgB1AG0AYgBlAHIAIABpAHMAIAAjAFYAQQBMAFUARQAhACwAIABhAHMAIABpAG4AIABSAGUAYwBlAGkAdgBhAGIAbABlAEQAYQB5AHMAuwMoACkAXABuACAAIAAgACAAIAAgACAAIABQAGUAcgBpAG8AZAAsACAAIAAgACAAIAAgACAAIAAgAEkARgAoAEkAUwBPAE0ASQBUAFQARQBEACgARABhAHkAcwApACwAIAAzADYANQAsACAASQBGACgARABhAHkAcwAgAD0AIABcACIAXAAiACwAIAAzADYANQAsACAASQBGACgASQBTAE4AVQBNAEIARQBSACgARABhAHkAcwApACwAIABEAGEAeQBzACwAIAAjAFYAQQBMAFUARQAhACkAKQApACwAXABuACAAIAAgACAAIAAgACAAIABSAGUAcwB1AGwAdAAsACAAIAAgACAAIAAgACAAIAAgAEkARgAoAFAAZQByAGkAbwBkACAAPAA9ACAAMAAsACAAIwBOAFUATQAhACwAIABXAEkAUAAgAC8AIABSAGUAbABhAHQAZQBkAEYAbABvAHcAIAAqACAAUABlAHIAaQBvAGQAK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DAGEAcwBoAEMAbwBuAHYAZQByAHMAaQBvAG4AQwB5AGMAbABlALsDXABuACAAIAAgACAARABFAFMAQwBSAEkAUABUAEkATwBOADoAKgAvAC8AKgAqAEMAYQBzAGgAIABjAG8AbgB2AGUAcgBzAGkAbwBuACAAYwB5AGMAbABlACAAaQBuACAAZABhAHkAcwA6ACAAaQBuAHYAZQBuAHQAbwByAHkAIABkAGEAeQBzACAAKwAgAFcASQBQACAAZABhAHkAcwAgACsAIAByAGUAYwBlAGkAdgBhAGIAbABlACAAZABhAHkAcwAgAC0AIABwAGEAeQBhAGIAbABlACAAZABhAHkAcwAqAC8AXABuAFwAbgBDAGEAcwBoAEMAbwBuAHYAZQByAHMAaQBvAG4AQwB5AGMAbABlALsDIAA9ACAATABBAE0AQgBEAEEAKABcAG4ALwAvACAAIABQAGEAcgBhAG0AZQB0AGUAcgAgAEQAZQBjAGwAYQByAGEAdABpAG8AbgBcAG4AIAAgACAAIABbAEkAbgB2AGUAbgB0AG8AcgB5AEQAYQB5AHMAXQAsAFwAbgAgACAAIAAgAFsAUgBlAGMAZQBpAHYAYQBiAGwAZQBEAGEAeQBzAF0ALABcAG4AIAAgACAAIABbAFAAYQB5AGEAYgBsAGUARABhAHkAcwBdACwAXABuACAAIAAgACAAWwBXAEkAUABEAGEAeQ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QwBhAHMAaABDAG8AbgB2AGUAcgBzAGkAbwBuAEMAeQBjAGwAZQC7AygASQBuAHYAZQBuAHQAbwByAHkARABhAHkAcwAsACAAUgBlAGMAZQBpAHYAYQBiAGwAZQBEAGEAeQBzACwAIABQAGEAeQBhAGIAbABlAEQAYQB5AHMALAAgAFsAVwBJAFAARABhAHkAcwBdACkAtgBcACIAIAAmAFwAbgAgACAAIAAgACAAIAAgACAAIAAgACAAIAAgACAAIAAgACAAIAAgACAAIAAgACAAIAAgACAAIAAgAFwAIgBEAEUAUwBDAFIASQBQAFQASQBPAE4AOgAgACAAIACSIUMAYQBzAGgAIABjAG8AbgB2AGUAcgBzAGkAbwBuACAAYwB5AGMAbABlADoAIAB0AGgAZQAgAGQAYQB5AHMAIABiAGUAdAB3AGUAZQBuACAAcABhAHkAaQBuAGcAIABzAHUAcABwAGwAaQBlAHIAcwAgAGEAbgBkACAAYwBvAGwAbABlAGMAdABpAG4AZwAgAGYAcgBvAG0AIABjAHUAcwB0AG8AbQBlAHIAcwAuALYATgBPAFQARQBTACEAIAAgACAAIAAgACAAIAAgACAAkiFJAG4AdgBlAG4AdABvAHIAeQBEAGEAeQBzACAAKwAgAFcASQBQAEQAYQB5AHMAIAArACAAUgBlAGMAZQBpAHYAYQBiAGwAZQBEAGEAeQBzACAALQAgAFAAYQB5AGEAYgBsAGUARABhAHkAcwAuACAAUABhAHMAcwAgAGQAYQB5ACAAYwBvAHUAbgB0AHMALAC2ACAAIAAgACAAIAAgACAAIAAgACAAIAAgACAAIAAgAJIhZgBvAHIAIABlAHgAYQBtAHAAbABlACAAZgByAG8AbQAgAEQAUwBJALsDKAApACwAIABSAGUAYwBlAGkAdgBhAGIAbABlAEQAYQB5AHMAuwMoACkALAAgAFAAYQB5AGEAYgBsAGUARABhAHkAcwC7AygAKQAgAGEAbgBkACAAVwBJAFAARABhAHkAcwC7AygAKQAsALYAIAAgACAAIAAgACAAIAAgACAAIAAgACAAIAAgACAAkiF3AGkAdABoACAAZQB2AGUAcgB5ACAAYwBvAG0AcABvAG4AZQBuAHQAIABvAG4AIAB0AGgAZQAgAHMAYQBtAGUAIABwAGUAcgBpAG8AZAAgAGIAYQBzAGkAcwAuACAARABTAEkAuwMoACkAIABtAHUAbAB0AGkAcABsAGkAZQBzACAAYgB5ACAAMwA2ADUAtgAgACAAIAAgACAAIAAgACAAIAAgACAAIAAgACAAIACSIWEAbgBkACAAZQB4AHAAZQBjAHQAcwAgAGEAIABmAHUAbABsACAAeQBlAGEAcgAnAHMAIABjAG8AcwB0ACAAbwBmACAAZwBvAG8AZABzACAAcwBvAGwAZAAsACAAcwBvACAAZgBvAHIAIABhACAAcwBoAG8AcgB0AGUAcgAgAHcAaQBuAGQAbwB3ALYAIAAgACAAIAAgACAAIAAgACAAIAAgACAAIAAgACAAkiFhAG4AbgB1AGEAbABpAHMAZQAgAHQAaABhAHQAIAB3AGkAbgBkAG8AdwAnAHMAIABjAG8AcwB0ACAAbwBmACAAZwBvAG8AZABzACAAcwBvAGwAZAAgAGIAZQBmAG8AcgBlACAAcABhAHMAcwBpAG4AZwAgAGkAdAAuACAAQQAgAG4AZQBnAGEAdABpAHYAZQC2ACAAIAAgACAAIAAgACAAIAAgACAAIAAgACAAIAAgAJIhcgBlAHMAdQBsAHQAIABtAGUAYQBuAHMAIABzAHUAcABwAGwAaQBlAHIAcwAgAGEAcgBlACAAcABhAGkAZAAgAGEAZgB0AGUAcgAgAGMAdQBzAHQAbwBtAGUAcgBzACAAcABhAHkALgAgAEEAbgAgAG8AbQBpAHQAdABlAGQAIABvAHIAIABiAGwAYQBuAGsAtgAgACAAIAAgACAAIAAgACAAIAAgACAAIAAgACAAIACSIVcASQBQAEQAYQB5AHMAIABjAG8AdQBuAHQAcwAgAGEAcwAgADAALgAgAFAAYQBzAHMAIABXAEkAUABEAGEAeQBzACAAbwBuAGwAeQAgAHcAaABlAHIAZQAgAFcASQBQACAAaQBzACAAbgBvAHQAIABhAGwAcgBlAGEAZAB5ACAAaQBuACAAdABoAGUAtgAgACAAIAAgACAAIAAgACAAIAAgACAAIAAgACAAIACSIWkAbgB2AGUAbgB0AG8AcgB5ACAAYgBlAGgAaQBuAGQAIABJAG4AdgBlAG4AdABvAHIAeQBEAGEAeQBzACwAIABvAHIAIABpAHQAIABpAHMAIABjAG8AdQBuAHQAZQBkACAAdAB3AGkAYwBlAC4AtgBcACIAIAAmAFwAbgAgACAAIAAgACAAIAAgACAAIAAgACAAIAAgACAAIAAgACAAIAAgACAAIAAgACAAIAAgACAAIAAgAFwAIgBXAEUAQgBQAEEARwBFADoAIAAgACAAIAAgACAAIACSIWgAdAB0AHAAcwA6AC8ALwBnAGkAdABoAHUAYgAuAGMAbwBtAC8AcgB5AGEAbgBkAHUAZwB1AGkAZAAvAE8AegB6AGkAdAAvAGIAbABvAGIALwBtAGEAaQBuAC8AZABvAGMAcwAvAHIAYQB0AGkAbwAtAGQAZQBmAGkAbgBpAHQAaQBvAG4AcwAuAG0AZAC2AFwAIgAgACYAXABuACAAIAAgACAAIAAgACAAIAAgACAAIAAgACAAIAAgACAAIAAgACAAIAAgACAAIAAgACAAIAAgACAAXAAiAFYARQBSAFMASQBPAE4AOgAgACAAIAAgACAAIAAgAJIhMgA5ACAAUwBlAHAAIAAyADAAMgA2ALYAXAAiACAAJgBcAG4AIAAgACAAIAAgACAAIAAgACAAIAAgACAAIAAgACAAIAAgACAAIAAgACAAIAAgACAAIAAgACAAIABcACIAUABBAFIAQQBNAEUAVABFAFIAUwA6ACAAIAAgACAAkiG2AFwAIgAgACYAXABuACAAIAAgACAAIAAgACAAIAAgACAAIAAgACAAIAAgACAAIAAgACAAIAAgACAAIAAgACAAIAAgACAAXAAiAEkAbgB2AGUAbgB0AG8AcgB5AEQAYQB5AHMAIAAgAJIhKABSAGUAcQB1AGkAcgBlAGQAKQAgAEkAbgB2AGUAbgB0AG8AcgB5ACAAZABhAHkAcwAsACAAZgBvAHIAIABlAHgAYQBtAHAAbABlACAAZgByAG8AbQAgAEQAUwBJALsDKAApAC4AtgBcACIAIAAmAFwAbgAgACAAIAAgACAAIAAgACAAIAAgACAAIAAgACAAIAAgACAAIAAgACAAIAAgACAAIAAgACAAIAAgAFwAIgBSAGUAYwBlAGkAdgBhAGIAbABlAEQAYQB5AHMAIACSISgAUgBlAHEAdQBpAHIAZQBkACkAIABSAGUAYwBlAGkAdgBhAGIAbABlACAAZABhAHkAcwAsACAAZgBvAHIAIABlAHgAYQBtAHAAbABlACAAZgByAG8AbQAgAFIAZQBjAGUAaQB2AGEAYgBsAGUARABhAHkAcwC7AygAKQAuALYAXAAiACAAJgBcAG4AIAAgACAAIAAgACAAIAAgACAAIAAgACAAIAAgACAAIAAgACAAIAAgACAAIAAgACAAIAAgACAAIABcACIAUABhAHkAYQBiAGwAZQBEAGEAeQBzACAAIAAgACAAkiEoAFIAZQBxAHUAaQByAGUAZAApACAAUABhAHkAYQBiAGwAZQAgAGQAYQB5AHMALAAgAGYAbwByACAAZQB4AGEAbQBwAGwAZQAgAGYAcgBvAG0AIABQAGEAeQBhAGIAbABlAEQAYQB5AHMAuwMoACkALgC2AFwAIgAgACYAXABuACAAIAAgACAAIAAgACAAIAAgACAAIAAgACAAIAAgACAAIAAgACAAIAAgACAAIAAgACAAIAAgACAAXAAiAFcASQBQAEQAYQB5AHMAIAAgACAAIAAgACAAIAAgAJIhKABPAHAAdABpAG8AbgBhAGwAOgAgAEQAZQBmAGEAdQBsAHQAIAA9ACAAMAApACAAVwBvAHIAawAgAGkAbgAgAHAAcgBvAGcAcgBlAHMAcwAgAGQAYQB5AHMALAAgAGYAbwByACAAZQB4AGEAbQBwAGwAZQAgAGYAcgBvAG0AIABXAEkAUABEAGEAeQBzALsDKAAp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QwBhAHMAaABDAG8AbgB2AGUAcgBzAGkAbwBuAEMAeQBjAGwAZQC7AygANAAwAC4AOAA5ADQAOQAsACAAMwA4AC4AMAAyADAAOAAsACAAMgA5AC4AOQA0ADgANwApALYAXAAiACAAJgBcAG4AIAAgACAAIAAgACAAIAAgACAAIAAgACAAIAAgACAAIAAgACAAIAAgACAAIAAgACAAIAAgACAAIABcACIAkiFSAGUAcwB1AGwAdAC2AFwAIgAgACYAXABuACAAIAAgACAAIAAgACAAIAAgACAAIAAgACAAIAAgACAAIAAgACAAIAAgACAAIAAgACAAIAAgACAAXAAiAJIhNAA4AC4AOQA2ADc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kAbgB2AGUAbgB0AG8AcgB5AEQAYQB5AHMAKQAsACAASQBTAE8ATQBJAFQAVABFAEQAKABSAGUAYwBlAGkAdgBhAGIAbABlAEQAYQB5AHMAKQAsACAASQBTAE8ATQBJAFQAVABFAEQAKABQAGEAeQBhAGIAbABlAEQAYQB5AHMAKQApACwAXABuACAAIAAgACAALwAvACAAIABQAHIAbwBjAGUAZAB1AHIAZQBcAG4AIAAgACAAIAAvAC8AIAAgAEEAbgAgAG8AbQBpAHQAdABlAGQAIABXAEkAUABEAGEAeQBzACwAIABhACAAYgBsAGEAbgBrACAAYwBlAGwAbAAgAG8AcgAgAGEAbgAgAGUAbQBwAHQAeQAgAHMAdAByAGkAbgBnACAAaQBzACAAMAAsACAAcgBvAHcAIABiAHkAIAByAG8AdwBcAG4AIAAgACAAIAAgACAAIAAgAFcASQBQAFAAYQByAHQALAAgACAAIAAgACAAIAAgACAASQBGACgASQBTAE8ATQBJAFQAVABFAEQAKABXAEkAUABEAGEAeQBzACkALAAgADAALAAgAEkARgAoAFcASQBQAEQAYQB5AHMAIAA9ACAAXAAiAFwAIgAsACAAMAAsACAAVwBJAFAARABhAHkAcwApACkALABcAG4AIAAgACAAIAAgACAAIAAgAFIAZQBzAHUAbAB0ACwAIAAgACAAIAAgACAAIAAgACAASQBuAHYAZQBuAHQAbwByAHkARABhAHkAcwAgACsAIABXAEkAUABQAGEAcgB0ACAAKwAgAFIAZQBjAGUAaQB2AGEAYgBsAGUARABhAHkAcwAgAC0AIABQAGEAeQBhAGIAbABlAEQAYQB5AHMALABcAG4AIAAgACAAIAAvAC8AIAAgAFIAZQB0AHUAcgBuACAAUgBlAHMAdQBsAHQAIABvAHIAIABIAGUAbABwAFwAbgAgACAAIAAgACAAIAAgACAAQwBIAE8ATwBTAEUAKAAgAEgAZQBsAHAAPwAgACsAIAAxACwAIABSAGUAcwB1AGwAdAAsACAASABlAGwAcAApAFwAbgAgACAAIAAgACkAXABuACkAOwAiAH0ALAB7ACIAcABhAHQAaAAiADoAIgAvAHAAcgBvAGoAZQBjAHQAcwAvAFUAdABpAGwAaQB0AGkAZQBzACIALAAiAHQAZQB4AHQAIgA6ACIALwAqACAAIABGAFUATgBDAFQASQBPAE4AIABOAEEATQBFADoAIAAgAEEAYgBvAHUAdABVAHQAaQBsAGkAdABpAGUAcwC7A1wAbgAgACAAIAAgAEQARQBTAEMAUgBJAFAAVABJAE8ATgA6ACoALwAvACoAKgBEAGkAcwBwAGwAYQB5AHMAIAB0AGgAaQBzACAAbQBvAGQAdQBsAGUAJwBzACAAcgBlAHAAbwBzAGkAdABvAHIAeQAgAFUAUgBMACAAYQBuAGQAIABmAHUAbgBjAHQAaQBvAG4AIABsAGkAcwB0ACoALwBcAG4AXABuAEEAYgBvAHUAdABVAHQAaQBsAGkAdABpAGU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8AegC2AFwAIgAgACYAXABuACAAIAAgACAAXAAiAFYAZQByAHMAaQBvAG4AOgAgACAAIAAgACAAIAAgACAAIAAgACAAIAAgACAAIAAgACAAIAAgAJIhMgAwACAAQQB1AGcAIAAyADAAMgA2ALYAXAAiACAAJgBcAG4AIAAgACAAIABcACIAUgBlAHAAbwBzAGkAdABvAHIAeQA6ACAAIAAgACAAIAAgACAAIAAgACAAIAAgACAAIAAgACAAIAAgAJIhaAB0AHQAcABzADoALwAvAGcAaQB0AGgAdQBiAC4AYwBvAG0ALwByAHkAYQBuAGQAdQBnAHUAaQBkAC8ATwB6AHoAaQB0ACAAtgBcACIAIAAmAFwAbgAgACAAIAAgAFwAIgCSIbYAXAAiACAAJgBcAG4AIAAgACAAIABcACIARgB1AG4AYwB0AGkAbwBuACAAIAAgACAAIAAgACAAIAAgACAAIAAgACAAIAAgACAAIAAgACAAkiFEAGUAcwBjAHIAaQBwAHQAaQBvAG4AtgBcACIAIAAmACAAXABuACAAIAAgACAAXAAiAEEAYgBvAHUAdABVAHQAaQBsAGkAdABpAGUAcwC7AyAAIAAgACAAIAAgACAAIAAgACAAIAAgACAAIAAgACAAIAAgACAAIAAgAJIhUAByAG8AZAB1AGMAZQBzACAAdABoAGkAcwAgAHQAYQBiAGwAZQC2AFwAIgAgACYAIABcAG4AIAAgACAAIABcACIAQwBvAHUAbgB0AEMAVQC7AyAAIAAgACAAIAAgACAAIAAgACAAIAAgACAAIAAgACAAIAAgACAAIACSIUMAbwB1AG4AdAAgAGgAbwB3ACAAbQBhAG4AeQAgAG8AZgAgAG8AbgBlACAAbwByACAAbQBvAHIAZQAgAGMAaABhAHIAYQBjAHQAZQByAHMAIABhAHIAZQAgAGkAbgAgAGEAIAB0AGUAeAB0ACAAcwB0AHIAaQBuAGcAtgBcACIAIAAmAFwAbgAgACAAIAAgAFwAIgBTAHUAbQBDAG8AbABzAFUAuwMgACAAIAAgACAAIAAgACAAIAAgACAAIAAgACAAIAAgACAAIAAgAJIhRwBlAHQAIAB0AGgAZQAgAHQAbwB0AGEAbAAgAG8AZgAgAGUAYQBjAGgAIABjAG8AbAB1AG0AbgC2AFwAIgAgACYAIABcAG4AIAAgACAAIABcACIAUwB1AG0AUgBvAHcAcwBVALsDIAAgACAAIAAgACAAIAAgACAAIAAgACAAIAAgACAAIAAgACAAIACSIUcAZQB0ACAAdABoAGUAIAB0AG8AdABhAGwAIABvAGYAIABlAGEAYwBoACAAcgBvAHcAtgBcACIAIAAmACAAXABuACAAIAAgACAAXAAiAEEAdgBnAEMAbwBsAHMAVQC7AyAAIAAgACAAIAAgACAAIAAgACAAIAAgACAAIAAgACAAIAAgACAAkiFHAGUAdAAgAHQAaABlACAAYQB2AGUAcgBhAGcAZQAgAG8AZgAgAGUAYQBjAGgAIABjAG8AbAB1AG0AbgC2AFwAIgAgACYAIABcAG4AIAAgACAAIABcACIAQQB2AGcAUgBvAHcAcwBVALsDIAAgACAAIAAgACAAIAAgACAAIAAgACAAIAAgACAAIAAgACAAIACSIUcAZQB0ACAAdABoAGUAIABhAHYAZQByAGEAZwBlACAAbwBmACAAZQBhAGMAaAAgAHIAbwB3ALYAXAAiACAAJgAgAFwAbgAgACAAIAAgAFwAIgBNAGkAbgBDAG8AbABzAFUAuwMgACAAIAAgACAAIAAgACAAIAAgACAAIAAgACAAIAAgACAAIAAgAJIhRwBlAHQAIAB0AGgAZQAgAG0AaQBuAGkAbQB1AG0AIABvAGYAIABlAGEAYwBoACAAYwBvAGwAdQBtAG4AtgBcACIAIAAmACAAXABuACAAIAAgACAAXAAiAE0AaQBuAFIAbwB3AHMAVQC7AyAAIAAgACAAIAAgACAAIAAgACAAIAAgACAAIAAgACAAIAAgACAAkiFHAGUAdAAgAHQAaABlACAAbQBpAG4AaQBtAHUAbQAgAG8AZgAgAGUAYQBjAGgAIAByAG8AdwC2AFwAIgAgACYAIABcAG4AIAAgACAAIABcACIATQBhAHgAQwBvAGwAcwBVALsDIAAgACAAIAAgACAAIAAgACAAIAAgACAAIAAgACAAIAAgACAAIACSIUcAZQB0ACAAdABoAGUAIABtAGEAeABpAG0AdQBtACAAbwBmACAAZQBhAGMAaAAgAGMAbwBsAHUAbQBuALYAXAAiACAAJgAgAFwAbgAgACAAIAAgAFwAIgBNAGEAeABSAG8AdwBzAFUAuwMgACAAIAAgACAAIAAgACAAIAAgACAAIAAgACAAIAAgACAAIAAgAJIhRwBlAHQAIAB0AGgAZQAgAG0AYQB4AGkAbQB1AG0AIABvAGYAIABlAGEAYwBoACAAcgBvAHcAtgBcACIAIAAmACAAXABuACAAIAAgACAAXAAiAEMAbwB1AG4AdABDAG8AbABzAFUAuwMgACAAIAAgACAAIAAgACAAIAAgACAAIAAgACAAIAAgACAAkiFHAGUAdAAgAHQAaABlACAAYwBvAHUAbgB0ACAAbwBmACAAbgB1AG0AYgBlAHIAcwAgAGkAbgAgAGUAYQBjAGgAIABjAG8AbAB1AG0AbgC2AFwAIgAgACYAIABcAG4AIAAgACAAIABcACIAQwBvAHUAbgB0AFIAbwB3AHMAVQC7AyAAIAAgACAAIAAgACAAIAAgACAAIAAgACAAIAAgACAAIACSIUcAZQB0ACAAdABoAGUAIABjAG8AdQBuAHQAIABvAGYAIABuAHUAbQBiAGUAcgBzACAAaQBuACAAZQBhAGMAaAAgAHIAbwB3ALYAXAAiACAAJgAgAFwAbgAgACAAIAAgAFwAIgBDAG8AdQBuAHQAQQBDAG8AbABzAFUAuwMgACAAIAAgACAAIAAgACAAIAAgACAAIAAgACAAIAAgAJIhRwBlAHQAIAB0AGgAZQAgAGMAbwB1AG4AdAAgAG8AZgAgAGUAdgBlAHIAeQB0AGgAaQBuAGcAIABvAGYAIABlAGEAYwBoACAAYwBvAGwAdQBtAG4AtgBcACIAIAAmACAAXABuACAAIAAgACAAXAAiAEMAbwB1AG4AdABBAFIAbwB3AHMAVQC7AyAAIAAgACAAIAAgACAAIAAgACAAIAAgACAAIAAgACAAkiFHAGUAdAAgAHQAaABlACAAYwBvAHUAbgB0ACAAbwBmACAAZQB2AGUAcgB5AHQAaABpAG4AZwAgAG8AZgAgAGUAYQBjAGgAIAByAG8AdwC2AFwAIgAgACYAIABcAG4AIAAgACAAIABcACIASQBzAEIAZQB0AHcAZQBlAG4AVQC7AyAAIAAgACAAIAAgACAAIAAgACAAIAAgACAAIAAgACAAIACSIUQAZQB0AGUAcgBtAGkAbgBlACAAaQBmACAAYQAgAHYAYQBsAHUAZQAgAGkAcwAgAGIAZQB0AHcAZQBlAG4AIABhACAAbABvAHcAZQByACAAYQBuAGQAIAB1AHAAcABlAHIAIABsAGkAbQBpAHQALgC2AFwAIgAgACYAIABcAG4AIAAgACAAIABcACIASQBzAEkAbgBMAGkAcwB0AFUAuwMgACAAIAAgACAAIAAgACAAIAAgACAAIAAgACAAIAAgACAAIACSIUQAZQB0AGUAcgBtAGkAbgBlACAAaQBmACAAYQAgAHYAYQBsAHUAZQAgAGkAcwAgAG8AbgBlACAAbwBmACAAYQAgAGwAaQBzAHQAIABvAGYAIABpAHQAZQBtAHMALgC2AFwAIgAgACYAXABuACAAIAAgACAAXAAiAFIAYQBuAGcAZQBUAG8ARABBAFU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VQC7A1wAbgAgACAAIAAgAEQARQBTAEMAUgBJAFAAVABJAE8ATgA6ACoALwAvACoAKgBDAG8AdQBuAHQAIABvAGMAYwB1AHIAcgBlAG4AYwBlAHMAIABvAGYAIABjAGgAYQByAGEAYwB0AGUAcgAoAHMAKQAgAGkAbgAgAGEAIABzAHQAcgBpAG4AZwAqAC8AXABuAEMAbwB1AG4AdABDAFU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C4AIABFAG0AcAB0AHkAIAB0AGUAeAB0ACAAcgBlAHQAdQByAG4AcwAgADA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LgAgAEEAIABzAGkAbgBnAGwAZQAgAGMAaABhAHIAYQBjAHQAZQByACAAaQBzACAAdABhAGsAZQBuACAAYQBzACAAaQB0AHMAZQBsAGYALAAgAHMAbwAgAGEAIABjAG8AbQBtAGEAIAB3AG8AcgBrAHM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DAFU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LgAgAE8AbgBlACAAYwBoAGEAcgBhAGMAdABlAHIAIABpAHMAIAB0AGEAawBlAG4AIABhAHMAIABpAHQAcwBlAGwAZgAsACAAcwBvACAAYQAgAGMAbwBtAG0AYQAgAGMAYQBuACAAYgBlACAAYQBzAGsAZQBkACAAZgBvAHIAOwBcAG4AIAAgACAAIAAvAC8AIAAgADIAIABvAHIAIABtAG8AcgBlACAAYQByAGUAIAByAGUAYQBkACAAYQBzACAAdABoAGUAIABjAG8AbQBtAGEAIABzAGUAcABhAHIAYQB0AGUAZAAgAGwAaQBzAHQAIAB0AGgAZQAgAGgAZQBsAHAAIABkAGUAcwBjAHIAaQBiAGUAcwAuAFwAbgAgACAAIAAgACAAIAAgACAAQwBoAGEAcgBhAGMAdABlAHIAcwAsACAAIAAgACAAIABJAEYAKAAgAEwARQBOACgAIABDAGgAYQByAGEAYwB0AGUAcgBzACkAIAA9ACAAMQAsACAAQwBoAGEAcgBhAGMAdABlAHIAcwAsACAAVABFAFgAVABTAFAATABJAFQAKAAgAEMAaABhAHIAYQBjAHQAZQByAHMALAAgAFwAIgAsAFwAIgAgACkAKQAsAFwAbgAgACAAIAAgAC8ALwAgACAAUAByAG8AYwBlAGQAdQByAGUALgAgAEUAbQBwAHQAeQAgAHQAZQB4AHQAIABoAG8AbABkAHMAIABuAG8AbgBlACAAbwBmACAAdABoAGUAbQAsACAAYQBuAGQAIABUAEUAWABUAFMAUABMAEkAVAAgAGgAYQBzACAAbgBvAHQAaABpAG4AZwAgAHQAbwAgAHMAcABsAGkAdAAuAFwAbgAgACAAIAAgACAAIAAgACAAUgBlAHMAdQBsAHQALAAgACAAIAAgACAAIAAgACAAIABJAEYAKAAgAEwARQBOACgAIABUAGUAeAB0ACkAIAA9ACAAMAAsACAAMAAsAFwAbgAgACAAIAAgACAAIAAgACAAIAAgACAAIAAgACAAIAAgACAAIAAgACAAIAAgACAAIAAgACAAIAAgAEwARQBOACgAIABUAGUAeAB0ACkAIAAtACAAUwBVAE0AKAAgAEwARQBOACgAIABUAEUAWABUAFMAUABMAEkAVAAoACAAVABlAHgAdAAsACAAQwBoAGEAcgBhAGMAdABlAHIAcwAp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BVALsDXABuACAAIAAgACAARABFAFMAQwBSAEkAUABUAEkATwBOADoAKgAvAC8AKgAqAEcAZQB0ACAAdABoAGUAIAB0AG8AdABhAGwAIABmAG8AcgAgAGUAYQBjAGgAIAByAG8AdwAqAC8AXABuAFMAdQBt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BV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FUAuwNcAG4AIAAgACAAIABEAEUAUwBDAFIASQBQAFQASQBPAE4AOgAqAC8ALwAqACoARwBlAHQAIAB0AGgAZQAgAHQAbwB0AGEAbAAgAGYAbwByACAAZQBhAGMAaAAgAEMAbwBsAHUAbQBuACoALwBcAG4AUwB1AG0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FU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VQC7A1wAbgAgACAAIAAgAEQARQBTAEMAUgBJAFAAVABJAE8ATgA6ACoALwAvACoAKgBHAGUAdAAgAHQAaABlACAAYQB2AGUAcgBhAGcAZQAgAGYAbwByACAAZQBhAGMAaAAgAHIAbwB3ACoALwBcAG4AQQB2AGc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FU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2AGc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VQC7A1wAbgAgACAAIAAgAEQARQBTAEMAUgBJAFAAVABJAE8ATgA6ACoALwAvACoAKgBHAGUAdAAgAHQAaABlACAAYQB2AGUAcgBhAGcAZQAgAGYAbwByACAAZQBhAGMAaAAgAEMAbwBsAHUAbQBuACoALwBcAG4AQQB2AGc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DAG8AbABzAFU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BVALsDXABuACAAIAAgACAARABFAFMAQwBSAEkAUABUAEkATwBOADoAKgAvAC8AKgAqAEcAZQB0ACAAdABoAGUAIABtAGkAbgBpAG0AdQBtACAAZgBvAHIAIABlAGEAYwBoACAAcgBvAHcAKgAvAFwAbgBNAGkAbg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VQ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FUAuwNcAG4AIAAgACAAIABEAEUAUwBDAFIASQBQAFQASQBPAE4AOgAqAC8ALwAqACoARwBlAHQAIAB0AGgAZQAgAG0AaQBuAGkAbQB1AG0AIABmAG8AcgAgAGUAYQBjAGgAIABDAG8AbAB1AG0AbgAqAC8AXABuAE0AaQBu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BV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BVALsDXABuACAAIAAgACAARABFAFMAQwBSAEkAUABUAEkATwBOADoAKgAvAC8AKgAqAEcAZQB0ACAAdABoAGUAIABtAGEAeABpAG0AdQBtACAAZgBvAHIAIABlAGEAYwBoACAAcgBvAHcAKgAvAFwAbgBNAGEAeA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VQ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hAHg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FUAuwNcAG4AIAAgACAAIABEAEUAUwBDAFIASQBQAFQASQBPAE4AOgAqAC8ALwAqACoARwBlAHQAIAB0AGgAZQAgAG0AYQB4AGkAbQB1AG0AIABmAG8AcgAgAGUAYQBjAGgAIABDAG8AbAB1AG0AbgAqAC8AXABuAE0AYQB4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BVALsDKAAgAEEAcgByAGEAeQApALYAXAAiACAAJgBcAG4AIAAgACAAIAAgACAAIAAgACAAIAAgACAAIAAgACAAIAAgACAAIAAgACAAIAAgACAAIAAgACAAIABcACIARABFAFMAQwBSAEkAUABUAEkATwBOADoAIAAgACAAkiFHAGUAdAAgAHQAaABlACAAbQBhAHg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BVALsDXABuACAAIAAgACAARABFAFMAQwBSAEkAUABUAEkATwBOADoAKgAvAC8AKgAqAEMAbwB1AG4AdAAgAGUAdgBlAHIAeQB0AGgAaQBuAGcAIABpAG4AIABlAGEAYwBoACAAcgBvAHcAKgAvAFwAbgBDAG8AdQBuAHQAQQ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VQ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EAUgBvAHc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BVALsDXABuACAAIAAgACAARABFAFMAQwBSAEkAUABUAEkATwBOADoAKgAvAC8AKgAqAEMAbwB1AG4AdAAgAGUAdgBlAHIAeQB0AGgAaQBuAGcAIABpAG4AIABlAGEAYwBoACAAYwBvAGwAdQBtAG4AKgAvAFwAbgBDAG8AdQBuAHQAQQ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VQ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DAG8AbA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BVALsDXABuACAAIAAgACAARABFAFMAQwBSAEkAUABUAEkATwBOADoAKgAvAC8AKgAqAEMAbwB1AG4AdAAgAG4AdQBtAGIAZQByAHMAIABpAG4AIABlAGEAYwBoACAAcgBvAHcAKgAvAFwAbgBDAG8AdQBuAHQ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BV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SAG8Adw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VQC7A1wAbgAgACAAIAAgAEQARQBTAEMAUgBJAFAAVABJAE8ATgA6ACoALwAvACoAKgBDAG8AdQBuAHQAIABuAHUAbQBiAGUAcgBzACAAaQBuACAAZQBhAGMAaAAgAGMAbwBsAHUAbQBuACoALwBcAG4AQwBvAHUAbgB0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VQC7AygAIABBAHIAcgBhAHk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VQC7A1wAbgAgACAAIAAgAEQARQBTAEMAUgBJAFAAVABJAE8ATgA6ACoALwAvACoAKgBEAGUAdABlAHIAbQBpAG4AZQAgAGkAZgAgAGEAIAB2AGEAbAB1AGUAIABpAHMAIABiAGUAdAB3AGUAZQBuACAAYQAgAGwAbwB3AGUAcgAgAGEAbgBkACAAdQBwAHAAZQByACAAbABpAG0AaQB0ACoALwBcAG4ASQBzAEIAZQB0AHcAZQBlAG4AV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V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VQC7AygAMQAsACAAMgAsACAANAApALYAXAAiACAAJgAgAFwAbgAgACAAIAAgACAAIAAgACAAIAAgACAAIAAgACAAIAAgACAAIAAgACAAIAAgACAAIAAgACAAIAAgAFwAIgBUAFIAVQBFACAAIAAgACAAIAAgACAAIAAgACAAIACSIT0ASQBzAEIAZQB0AHcAZQBlAG4AVQC7AygAMgAsACAAMgAsACAANAApALYAXAAiACAAJgAgAFwAbgAgACAAIAAgACAAIAAgACAAIAAgACAAIAAgACAAIAAgACAAIAAgACAAIAAgACAAIAAgACAAIAAgAFwAIgBGAEEATABTAEUAIAAgACAAIAAgACAAIAAgACAAIACSIT0ASQBzAEIAZQB0AHcAZQBlAG4AV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FUAuwNcAG4AIAAgACAAIABEAEUAUwBDAFIASQBQAFQASQBPAE4AOgAqAC8ALwAqACoARABlAHQAZQByAG0AaQBuAGUAIAB3AGgAZQB0AGgAZQByACAAYQAgAHYAYQBsAHUAZQAgAGkAcwAgAG8AbgBlACAAbwBmACAAYQAgAGwAaQBzAHQAIABvAGYAIABpAHQAZQBtAHMAKgAvAFwAbgBJAHMASQBuAEwAaQBzAHQAVQ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BV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A6ACAAYQAgAHIAbwB3ACwAIABhACAAYwBvAGwAdQBtAG4AIABvAHIAIABhACAAZwByAGkAZAAuALYAXAAiACAAJgBcAG4AIAAgACAAIAAgACAAIAAgACAAIAAgACAAIAAgACAAIAAgACAAIAAgACAAIAAgACAAIAAgACAAIABcACIATgBPAFQARQAhACAAIAAgACAAIAAgACAAIAAgACAAkiFUAGgAZQAgAGMAbwBtAHAAYQByAGkAcwBvAG4AIABpAHMAIABlAHgAYQBjAHQAIABhAG4AZAAgAGMAYQBzAGUALQBpAG4AcwBlAG4AcwBpAHQAaQB2AGUAOwAgACoAIABhAG4AZAAgAD8AIABhAHIAZQAgAG8AcgBkAGkAbgBhAHIAeQAgAGMAaABhAHIAYQBjAHQAZQByAHMALg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FUAuwMoADEALAAgAHsAMgAsADMALAA0AH0AKQC2AFwAIgAgACYAIABcAG4AIAAgACAAIAAgACAAIAAgACAAIAAgACAAIAAgACAAIAAgACAAIAAgACAAIAAgACAAIAAgACAAIABcACIAVABSAFUARQAgACAAIAAgACAAIAAgACAAIAAgACAAkiE9AEkAcwBJAG4ATABpAHMAdABV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LwAvACAAIABGAGwAYQB0AHQAZQBuACAAdABoAGUAIABsAGkAcwB0ACAAZgBpAHIAcwB0ADoAIABNAEEAVABDAEgAIABuAGUAZQBkAHMAIABvAG4AZQAgAGQAaQBtAGUAbgBzAGkAbwBuACAAYQBuAGQAIAB0AHIAZQBhAHQAcwAgACoAIABhAG4AZAAgAD8AIABhAHMAIAB3AGkAbABkAGMAYQByAGQAcwBcAG4AIAAgACAAIAAgACAAIAAgAFIAZQBzAHUAbAB0ACwAIAAgACAAIAAgACAAIAAgACAASQBTAE4AVQBNAEIARQBSACgAIABYAE0AQQBUAEMASAAoACAAVgBhAGwAdQBlACwAIABUAE8AQwBPAEwAKAAgAEwAaQBzAHQAKQAsACAAMAAp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YQBuAGcAZQBUAG8ARABBAFUAuwNcAG4AIAAgACAAIABEAEUAUwBDAFIASQBQAFQASQBPAE4AOgAqAC8ALwAqACoAQwBvAG4AdgBlAHIAdAAgAGEAIAByAGEAbgBnAGUAIAByAGUAZgBlAHIAZQBuAGMAZQAgAHQAbwAgAGEAIABkAHkAbgBhAG0AaQBjACAAYQByAHIAYQB5ACAAcgBlAGYAZQByAGUAbgBjAGUAKgAvAFwAbgBSAGEAbgBnAGUAVABvAEQAQQBV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V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wBJAFQARQA6ACAAIAAgACAAIAAgACAAIAAgACAAIACSIWgAdAB0AHAAcwA6AC8ALwBnAGkAdABoAHUAYgAuAGMAbwBtAC8AcgB5AGEAbgBkAHUAZwB1AGkAZAAvAE8AegB6AGkAdA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V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AsAHsAIgBwAGEAdABoACIAOgAiAC8AcAByAG8AagBlAGMAdABzAC8ARABlAGIAdAAiACwAIgB0AGUAeAB0ACIAOgAiAC8AKgAgACAATQBvAGQAdQBsAGUAIABDAG8AbgB0AGEAaQBuAHMAIABPAHoAegBpAHQAIABDAG8AbQBwAGwAaQBhAG4AdAAgAEwAQQBNAEIARABBAHMAIABmAG8AcgAgAGQAZQBiAHQAIABzAGMAdQBsAHAAdABpAG4AZwAgAGEAbgBkACAAYQBtAG8AcgB0AGkAcwBhAHQAaQBvAG4ALgBcAG4AIAAgACAAIABFAHYAZQByAHkAIABzAGMAaABlAGQAdQBsAGUAIABzAG8AbAB2AGUAcwAgAGkAdABzACAAYwBsAG8AcwBpAG4AZwAgAGIAYQBsAGEAbgBjAGUAcwAgAHcAaQB0AGgAIABTAEMAQQBOACwAIABvAG4AZQAgAHAAZQByAGkAbwBkACAAYQBmAHQAZQByACAAYQBuAG8AdABoAGUAcgAsACAAcwBvAFwAbgAgACAAIAAgAG4AbwB0AGgAaQBuAGcAIABoAGUAcgBlACAAcgBlAGMAdQByAHMAZQBzACAAYQBuAGQAIAB0AGgAZQAgAG0AbwBkAHUAbABlACAAaQBzACAAaABlAGwAZAAgAGkAbgAgAHQAaABlACAAQQBkAHYAYQBuAGMAZQBkACAARgBvAHIAbQB1AGwAYQAgAEUAbgB2AGkAcgBvAG4AbQBlAG4AdABcAG4AIAAgACAAIABzAHQAbwByAGUAIAB3AGkAdABoACAAdABoAGUAIABvAHQAaABlAHIAIABmAGkAdgBlAC4AIAAqAC8AXABuAFwAbgAvACoAIAAgAEYAVQBOAEMAVABJAE8ATgAgAE4AQQBNAEUAOgAgACAAQQBtAG8AcgB0AGkAcwBlAEIAuwNcAG4AIAAgACAAIABEAEUAUwBDAFIASQBQAFQASQBPAE4AOgAqAC8ALwAqACoAQwByAGUAYQB0AGUAcwAgAGEAbgAgAGEAbQBvAHIAdABpAHMAYQB0AGkAbwBuACAAcwBjAGgAZQBkAHUAbABlACAAZgBvAHIAIABhACAAZABlAGIAdAAvAGwAbwBhAG4AIABhAGMAcgBvAHMAcwAgAGEAIABtAG8AZABlAGwAJwBzACAAcABlAHIAaQBvAGQAcwAqAC8AXABuAEEAbQBvAHIAdABpAHMAZQBCALsDIAA9ACAATABBAE0AQgBEAEEAKABcAG4ALwAvACAAIABQAGEAcgBhAG0AZQB0AGUAcgAgAEQAZQBjAGwAYQByAGEAdABpAG8AbgBzAFwAbgAgACAAIAAgAFsAUAByAGkAbgBjAGkAcABhAGwAXQAsAFwAbgAgACAAIAAgAFsAQQBQAFIAXQAsAFwAbgAgACAAIAAgAFsAVABlAHIAbQBdACwAXABuACAAIAAgACAAWwBNAG8AZABlAGwAUABlAHIAaQBvAGQAcwBdACwAXABuACAAIAAgACAAWwBTAHQAYQByAHQAUABlAHIAaQBvAGQAXQAsAFwAbgAgACAAIAAgAFsATQBvAG4AdABoAHMAUABlAHIAUABlAHIAaQBvAGQAXQAsAFwAbgAvAC8AIAAgAEgAZQBsAHAAXABuACAAIAAgACAATABFAFQAKABIAGUAbABwACwAIAAgACAAIAAgACAAIABUAFIASQBNACgAVABFAFgAVABTAFAATABJAFQAKABcAG4AIAAgACAAIAAgACAAIAAgACAAIAAgACAAIAAgACAAIAAgACAAIAAgACAAIAAgACAAXAAiAEYAVQBOAEMAVABJAE8ATgA6ACAAIAAgACAAIAAgAJIhQQBtAG8AcgB0AGkAcwBlAEIAuwMoAFAAcgBpAG4AYwBpAHAAYQBsACwAIABBAFAAUgAsACAAVABlAHIAbQAsACAATQBvAGQAZQBsAFAAZQByAGkAbwBkAHMALAAgAFsAUwB0AGEAcgB0AFAAZQByAGkAbwBkAF0ALAAgAFsATQBvAG4AdABoAHMAUABlAHIAUABlAHIAaQBvAGQAXQApALYAXAAiACAAJgBcAG4AIAAgACAAIAAgACAAIAAgACAAIAAgACAAIAAgACAAIAAgACAAIAAgACAAIAAgACAAXAAiAEQARQBTAEMAUgBJAFAAVABJAE8ATgA6ACAAIAAgAJIhQwByAGUAYQB0AGUAcwAgAGEAbgAgAGEAbQBvAHIAdABpAHMAYQB0AGkAbwBuACAAcwBjAGgAZQBkAHUAbABlACAAZgBvAHIAIABhACAAZABlAGIAdAAvAGwAbwBhAG4AIABhAGMAcgBvAHMAcwAgAGEAIABtAG8AZABlAGwAJwBzACAAcABlAHIAaQBvAGQAcwAuALYAXAAiACAAJgBcAG4AIAAgACAAIAAgACAAIAAgACAAIAAgACAAIAAgACAAIAAgACAAIAAgACAAIAAgACAAXAAiAFIATwBXACAAQwBPAE4AVABFAE4AVABTADoAIAAgAJIhTwBwAGUAbgBpAG4AZwAgAEIAYQBsAGEAbgBjAGUAtgBcACIAIAAmAFwAbgAgACAAIAAgACAAIAAgACAAIAAgACAAIAAgACAAIAAgACAAIAAgACAAIAAgACAAIABcACIAIAAgACAAIAAgACAAIAAgACAAIAAgACAAIAAgACAAkiFJAG4AdABlAHIAZQBzAHQAIABQAG8AcgB0AGkAbwBuALYAXAAiACAAJgBcAG4AIAAgACAAIAAgACAAIAAgACAAIAAgACAAIAAgACAAIAAgACAAIAAgACAAIAAgACAAXAAiACAAIAAgACAAIAAgACAAIAAgACAAIAAgACAAIAAgAJIhUgBlAHAAYQB5AG0AZQBuAHQAtgBcACIAIAAmAFwAbgAgACAAIAAgACAAIAAgACAAIAAgACAAIAAgACAAIAAgACAAIAAgACAAIAAgACAAIABcACIAIAAgACAAIAAgACAAIAAgACAAIAAgACAAIAAgACAAkiFDAGwAbwBzAGkAbgBnACAAQgBhAGwAYQBuAGMAZQC2AFwAIgAgACYAXABuACAAIAAgACAAIAAgACAAIAAgACAAIAAgACAAIAAgACAAIAAgACAAIAAgACAAIAAgAFwAIgAgACAAIAAgACAAIAAgACAAIAAgACAAIAAgACAAIACSIVAAcgBpAG4AYwBpAHAAYQBsACAAUABvAHIAdABpAG8AbgC2AFwAIgAgACYAXABu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FwAIgBWAEUAUgBTAEkATwBOADoAIAAgACAAIAAgACAAIACSITIAMAAgAEEAdQBnACAAMgAwADIANgC2AFwAIgAgACYAXABuACAAIAAgACAAIAAgACAAIAAgACAAIAAgACAAIAAgACAAIAAgACAAIAAgACAAIAAgAFwAIgBQAEEAUgBBAE0ARQBUAEUAUgBTADoAIAAgACAAIACSIbYAXAAiACAAJgBcAG4AIAAgACAAIAAgACAAIAAgACAAIAAgACAAIAAgACAAIAAgACAAIAAgACAAIAAgACAAXAAiAFAAcgBpAG4AYwBpAHAAYQBsACAAIAAgACAAIAAgAJIhKABSAGUAcQB1AGkAcgBlAGQAKQAgAFAAcgBpAG4AYwBpAHAAYQBsACAAbwBwAGUAbgBpAG4AZwAgAGIAYQBsAGEAbgBjAGUALgC2AFwAIgAgACYAXABuACAAIAAgACAAIAAgACAAIAAgACAAIAAgACAAIAAgACAAIAAgACAAIAAgACAAIAAgAFwAIgBBAFAAUgAgACAAIAAgACAAIAAgACAAIAAgACAAIACSISgAUgBlAHEAdQBpAHIAZQBkACkAIABBAG4AbgB1AGEAbAAgAHAAZQByAGMAZQBuAHQAYQBnAGUAIAByAGEAdABlAC4AtgBcACIAIAAmAFwAbgAgACAAIAAgACAAIAAgACAAIAAgACAAIAAgACAAIAAgACAAIAAgACAAIAAgACAAIABcACIAVABlAHIAbQAgACAAIAAgACAAIAAgACAAIAAgACAAkiEoAFIAZQBxAHUAaQByAGUAZAApACAATgB1AG0AYgBlAHIAIABvAGYAIABwAGUAcgBpAG8AZABzACAAdABvACAAcABhAHkAIABvAGYAZgAgAHQAaABlACAAZABlAGIAdAAuALYAXAAiACAAJgBcAG4AIAAgACAAIAAgACAAIAAgACAAIAAgACAAIAAgACAAIAAgACAAIAAgACAAIAAgACAAXAAiAE0AbwBkAGUAbABQAGUAcgBpAG8AZABzACAAIAAgAJIhKABSAGUAcQB1AGkAcgBlAGQAKQAgAE4AdQBtAGIAZQByACAAbwBmACAAbQBvAGQAZQBsACAAcABlAHIAaQBvAGQAcwAuALYAXAAiACAAJgBcAG4AIAAgACAAIAAgACAAIAAgACAAIAAgACAAIAAgACAAIAAgACAAIAAgACAAIAAgACAAXAAiAFMAdABhAHIAdABQAGUAcgBpAG8AZAAgACAAIAAgAJIhKABPAHAAdABpAG8AbgBhAGwAKQAgAFAAZQByAGkAbwBkACAAdwBoAGUAbgAgAHQAaABlACAAZABlAGIAdAAgAGkAcwAgAGkAcwBzAHUAZQBkAC4AIABEAGUAZgBhAHUAbAB0AHMAIAB0AG8AIAAxAC4AtgBcACIAIAAmAFwAbgAgACAAIAAgACAAIAAgACAAIAAgACAAIAAgACAAIAAgACAAIAAgACAAIAAgACAAIABcACIATQBvAG4AdABoAHMAUABlAHIAUABlAHIAaQBvAGQAkiEoAE8AcAB0AGkAbwBuAGEAbAApACAATgB1AG0AYgBlAHIAIABvAGYAIABtAG8AbgB0AGgAcwAgAGkAbgAgAGUAYQBjAGgAIABwAGUAcgBpAG8AZAAuACAARABlAGYAYQB1AGwAdABzACAAdABvACAAMQAuALYAXAAiACAAJgBcAG4AIAAgACAAIAAgACAAIAAgACAAIAAgACAAIAAgACAAIAAgACAAIAAgACAAIAAgACAAXAAiAEUAWABBAE0AUABMAEUAUwA6ACAAIAAgACAAIAAgAJIhtgBcACIAIAAm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NQAgAHIAbwB3AHMALAAgADYAMAAgAGMAbwBsAHMAkiE9AG8AegAuAEEAbQBvAHIAdABpAHMAZQBCALsDKAAxADAAMAAwADAALAAgADMAJQAsACAANAA4ACwAIAA2ADAAKQBcACIAL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cgBpAG4AYwBpAHAAYQBsACkALABcAG4AIAAgACAAIAAgACAAIAAgACAAIAAgACAAIAAgACAAIAAgACAAIAAgACAAIAAgACAAIAAgACAAIABJAFMATwBNAEkAVABUAEUARAAoACAAQQBQAFIAKQAsAFwAbgAgACAAIAAgACAAIAAgACAAIAAgACAAIAAgACAAIAAgACAAIAAgACAAIAAgACAAIAAgACAAIAAgAEkAUwBPAE0ASQBUAFQARQBEACgAIABUAGUAcgBtACkALABcAG4AIAAgACAAIAAgACAAIAAgACAAIAAgACAAIAAgACAAIAAgACAAIAAgACAAIAAgACAAIAAgACAAIABJAFMATwBNAEkAVABUAEUARAAoACAATQBvAGQAZQBsAFAAZQByAGkAbwBkAHMAKQBcAG4AIAAgACAAIAAgACAAIAAgACAAIAAgACAAIAAgACAAIAAgACAAIAAgACAAIAAgACAAKQAsAFwAbgAgACAAIAAgAC8ALwAgACAAQwBoAGUAYwBrACAAaQBuAHAAdQB0AHMAIAAtACAARQByAHIAbwByAHMAIABpAG4AIABhAHIAZwB1AG0AZQBuAHQAIAB2AGEAbAB1AGUAcwBcAG4AIAAgACAAIAAgACAAIAAgAEUAcgByAE0AcwBnAHMALAAgACAAIAAgACAAIAAgACAAewBcACIAUAByAGkAbgBjAGkAcABhAGwAIABtAHUAcwB0ACAAYgBlACAAYQAgAHMAaQBuAGcAbABlACAAbgB1AG0AYgBlAHIAIABwAHIAbwB2AGkAZABpAG4AZwAgAHQAaABlACAAbwBwAGUAbgBpAG4AZwAgAGQAZQBiAHQAIABhAG0AbwB1AG4AdAAuAFwAIgA7AFwAbgAgACAAIAAgACAAIAAgACAAIAAgACAAIAAgACAAIAAgACAAIAAgACAAIAAgACAAIAAgAFwAIgBBAFAAUgAgAG0AdQBzAHQAIABiAGUAIABhACAAcwBpAG4AZwBsAGUAIABuAHUAbQBiAGUAcgAgAHAAcgBvAHYAaQBkAGkAbgBnACAAYQBuAG4AdQBhAGwAIABwAGUAcgBjAGUAbgB0AGEAZwBlACAAcgBhAHQAZQAgAGYAbwByACAAaQBuAHQAZQByAGUAcwB0AC4AXAAiADsAXABuACAAIAAgACAAIAAgACAAIAAgACAAIAAgACAAIAAgACAAIAAgACAAIAAgACAAIAAgACAAXAAiAFQAZQByAG0AIABtAHUAcwB0ACAAYgBlACAAYQAgAHAAbwBzAGkAdABpAHYAZQAgAHcAaABvAGwAZQAgAG4AdQBtAGIAZQByACAAbwBmACAAcABlAHIAaQBvAGQAcwAgAHQAbwAgAHAAYQB5ACAAbwBmAGYAIAB0AGgAZQAgAGQAZQBiAHQAXAAiADsAXABuACAAIAAgACAAIAAgACAAIAAgACAAIAAgACAAIAAgACAAIAAgACAAIAAgACAAIAAgACAAXAAiAE0AbwBkAGUAbAAgAFAAZQByAGkAbwBkAHMAIABtAHUAcwB0ACAAYgBlACAAYQAgAHAAbwBzAGkAdABpAHYAZQAgAHcAaABvAGwAZQAgAG4AdQBtAGIAZQByACAAbwBmACAAcABlAHIAaQBvAGQAcwAgAGkAbgAgAHQAaABpAHMAIABtAG8AZABlAGwALgBcACIAfQAsAFwAbgAgACAAIAAgAC8ALwAgACAAVABlAHIAbQAgAHIAZQBhAGMAaABlAHMAIABQAE0AVAAoACAAUgBhAHQAZQAsACAAVABlAHIAbQAsACAATwBwAGUAbgBpAG4AZwApACAAYQBuAGQAIABNAG8AZABlAGwAUABlAHIAaQBvAGQAcwAgAHIAZQBhAGMAaABlAHMAIABTAEUAUQBVAEUATgBDAEUAOgBcAG4AIAAgACAAIAAvAC8AIAAgAGEAIAB6AGUAcgBvACwAIABuAGUAZwBhAHQAaQB2AGUAIABvAHIAIABmAHIAYQBjAHQAaQBvAG4AYQBsACAAdgBhAGwAdQBlACAAcgBlAHQAdQByAG4AcwAgACMATgBVAE0AIQAgAHIAYQB0AGgAZQByACAAdABoAGEAbgAgAHQAaABpAHMAIABtAGUAcwBzAGEAZwBlAC4AXABuACAAIAAgACAAIAAgACAAIABFAHIAcgBvAHIAcwAsACAAIAAgACAAIAAgACAAIAAgAFYAUwBUAEEAQwBLACgAIABOAE8AVAAoACAASQBTAE4AVQBNAEIARQBSACgAIABQAHIAaQBuAGMAaQBwAGEAbAApACkALABcAG4AIAAgACAAIAAgACAAIAAgACAAIAAgACAAIAAgACAAIAAgACAAIAAgACAAIAAgACAAIAAgACAAIAAgACAAIAAgAE4ATwBUACgAIABJAFMATgBVAE0AQgBFAFIAKAAgAEEAUABSACkAKQAsAFwAbgAgACAAIAAgACAAIAAgACAAIAAgACAAIAAgACAAIAAgACAAIAAgACAAIAAgACAAIAAgACAAIAAgACAAIAAgACAATgBPAFQAKAAgAEEATgBEACgAIABJAFMATgBVAE0AQgBFAFIAKAAgAFQAZQByAG0AKQAsACAAVABlAHIAbQAgAD4AIAAwACwAIABUAGUAcgBtACAAPQAgAEkATgBUACgAIABUAGUAcgBtACkAKQApACwAXABuACAAIAAgACAAIAAgACAAIAAgACAAIAAgACAAIAAgACAAIAAgACAAIAAgACAAIAAgACAAIAAgACAAIAAgACAAIABOAE8AVAAoACAAQQBOAEQAKAAgAEkAUwBOAFUATQBCAEUAUgAoACAATQBvAGQAZQBsAFAAZQByAGkAbwBkAHMAKQAsACAATQBvAGQAZQBsAFAAZQByAGkAbwBkAHMAIAA+ACAAMAAsAFwAbgAgACAAIAAgACAAIAAgACAAIAAgACAAIAAgACAAIAAgACAAIAAgACAAIAAgACAAIAAgACAAIAAgACAAIAAgACAAIAAgACAAIAAgACAAIAAgACAAIABNAG8AZABlAGwAUABlAHIAaQBvAGQAcwAgAD0AIABJAE4AVAAoACAATQBvAGQAZQBsAFAAZQByAGkAbwBkAHMAKQApACkAXABuACAAIAAgACAAIAAgACAAIAAgACAAIAAgACAAIAAgACAAIAAgACAAIAAgACAAIAAgACkALABcAG4AIAAgACAAIAAgACAAIAAgAE0AZQBzAHMAYQBnAGUAcwAsACAAIAAgACAAIAAgACAARgBJAEwAVABFAFIAKAAgAEUAcgByAE0AcwBnAHMALAAgAEUAcgByAG8AcgBzACwAIABcACIAXAAiACkALABcAG4AIAAgACAAIAAvAC8AIAAgAEMAaABlAGMAawAgAGkAbgBwAHUAdABzACAALQAgAFMAZQB0ACAAbwBwAHQAaQBvAG4AYQBsACAAYQByAGcAdQBtAGUAbgB0AHMAJwAgAGQAZQBmAGEAdQBsAHQAcwBcAG4AIAAgACAAIAAgACAAIAAgAFMAdABhAHIAdABQAGUAcgBpAG8AZAAsACAAIAAgACAASQBGACgAIABJAFMATgBVAE0AQgBFAFIAKAAgAFMAdABhAHIAdABQAGUAcgBpAG8AZAApACwAIABTAHQAYQByAHQAUABlAHIAaQBvAGQALAAgADEAKQAsAFwAbgAgACAAIAAgACAAIAAgACAATQBvAG4AdABoAHMAUABlAHIAUABlAHIAaQBvAGQALAAgAEkARgAoACAASQBTAE4AVQBNAEIARQBSACgAIABNAG8AbgB0AGgAcwBQAGUAcgBQAGUAcgBpAG8AZAApACwAIABNAG8AbgB0AGgAcwBQAGUAcgBQAGUAcgBpAG8AZAAsACAAMQApACwAXABuACAAIAAgACAALwAvACAAIABQAHIAbwBjAGUAZAB1AHIAZQAgAC0AIABzAG8AbAB2AGUAIAB0AGgAZQAgAGMAbABvAHMAaQBuAGcAIABiAGEAbABhAG4AYwBlACAAcABlAHIAaQBvAGQAIABiAHkAIABwAGUAcgBpAG8AZAAsACAAdABoAGUAbgAgAHIAZQBhAGQAIAB0AGgAZQAgAHIAbwB3AHMAIABvAGYAZgAgAGkAdAAuAFwAbgAgACAAIAAgAC8ALwAgACAAQgBlAGYAbwByAGUAIAB0AGgAZQAgAHMAdABhAHIAdAAgAHAAZQByAGkAbwBkACAAdABoAGUAIABiAGEAbABhAG4AYwBlACAAaQBzACAAYwBhAHIAcgBpAGUAZAAgAHUAbgB0AG8AdQBjAGgAZQBkADsAIABmAHIAbwBtACAAaQB0ACwAIABlAGEAYwBoACAAcABlAHIAaQBvAGQAIABwAGEAeQBzAFwAbgAgACAAIAAgAC8ALwAgACAAdABoAGUAIABsAGUAdgBlAGwAIABwAGEAeQBtAGUAbgB0ACAAZgBvAHIAIAB0AGgAZQAgAHQAZQByAG0AIAB0AGgAYQB0ACAAcgBlAG0AYQBpAG4AcwAsACAAYwBhAHAAcABlAGQAIABhAHQAIAB0AGgAZQAgAGIAYQBsAGEAbgBjAGUAIABwAGwAdQBzACAAaQBuAHQAZQByAGUAcwB0AC4AXABuACAAIAAgACAAIAAgACAAIABSAGEAdABlACwAIAAgACAAIAAgACAAIAAgACAAIAAgAEEAUABSACAALwAgADEAMgAgACoAIABNAG8AbgB0AGgAcwBQAGUAcgBQAGUAcgBpAG8AZAAsAFwAbgAgACAAIAAgACAAIAAgACAAUABlAHIAaQBvAGQAcwAsACAAIAAgACAAIAAgACAAIABTAEUAUQBVAEUATgBDAEUAKAAgADEALAAgAE0AbwBkAGUAbABQAGUAcgBpAG8AZABzACkALABcAG4AIAAgACAAIAAgACAAIAAgAEMAbABvAHMAaQBuAGcAcwAsACAAIAAgACAAIAAgACAAUwBDAEEATgAoACAAUAByAGkAbgBjAGkAcABhAGwALAAgAFAAZQByAGkAbwBkAHMALABcAG4AIAAgACAAIAAgACAAIAAgACAAIAAgACAAIAAgACAAIAAgACAAIAAgACAAIAAgACAAIAAgACAAIABMAEEATQBCAEQAQQAoACAAQwBhAHIAcgBpAGUAZAAsACAAUABlAHIAaQBvAGQALABcAG4AIAAgACAAIAAgACAAIAAgACAAIAAgACAAIAAgACAAIAAgACAAIAAgACAAIAAgACAAIAAgACAAIAAgACAAIAAgAEwARQBUACgAUgBlAG0AYQBpAG4AaQBuAGcALAAgACAASQBGACgAIABQAGUAcgBpAG8AZAAgADwAIABTAHQAYQByAHQAUABlAHIAaQBvAGQALAAgADAALAAgAE0AQQBYACgAIABUAGUAcgBtACAALQAgAFAAZQByAGkAbwBkACAAKwAgAFMAdABhAHIAdABQAGUAcgBpAG8AZAAsACAAMAApACkALABcAG4AIAAgACAAIAAgACAAIAAgACAAIAAgACAAIAAgACAAIAAgACAAIAAgACAAIAAgACAAIAAgACAAIAAgACAAIAAgACAAIAAgACAATwBwAGUAbgBpAG4AZwAsACAAIAAgACAASQBGACgAIABSAGUAbQBhAGkAbgBpAG4AZwAgAD0AIAAwACwAIAAwACwAIABDAGEAcgByAGkAZQBkACkALABcAG4AIAAgACAAIAAgACAAIAAgACAAIAAgACAAIAAgACAAIAAgACAAIAAgACAAIAAgACAAIAAgACAAIAAgACAAIAAgACAAIAAgACAASQBuAHQAZQByAGUAcwB0ACwAIAAgACAATwBwAGUAbgBpAG4AZwAgACoAIABSAGEAdABlACwAXABuACAAIAAgACAAIAAgACAAIAAgACAAIAAgACAAIAAgACAAIAAgACAAIAAgACAAIAAgACAAIAAgACAAIAAgACAAIAAgACAAIAAgAFAAYQB5AG0AZQBuAHQALAAgACAAIAAgAEkARgAoACAAUgBlAG0AYQBpAG4AaQBuAGcAIAA9ACAAMAAsACAAMAAsACAATQBJAE4AKAAgAC0AUABNAFQAKAAgAFIAYQB0AGUALAAgAFIAZQBtAGEAaQBuAGkAbgBnACwAIABPAHAAZQBuAGkAbgBnACkALAAgAE8AcABlAG4AaQBuAGcAIAArACAASQBuAHQAZQByAGUAcwB0ACkAKQAsAFwAbgAgACAAIAAgACAAIAAgACAAIAAgACAAIAAgACAAIAAgACAAIAAgACAAIAAgACAAIAAgACAAIAAgACAAIAAgACAAIAAgACAAIABJAEYAKAAgAFAAZQByAGkAbwBkACAAPAAgAFMAdABhAHIAdABQAGUAcgBpAG8AZAAsACAAQwBhAHIAcgBpAGUAZAAsACAATwBwAGUAbgBpAG4AZwAgACsAIABJAG4AdABlAHIAZQBzAHQAIAAtACAAUABhAHkAbQBlAG4Ad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DAGEAcgByAGkAZQBkACwAIAAgACAAIAAgACAAIAAgAEkARgAoACAATQBvAGQAZQBsAFAAZQByAGkAbwBkAHMAIAA9ACAAMQAsACAAUAByAGkAbgBjAGkAcABhAGwALAAgAEgAUwBUAEEAQwBLACgAIABQAHIAaQBuAGMAaQBwAGEAbAAsACAARABSAE8AUAAoACAAQwBsAG8AcwBpAG4AZwBzACwAIAAsACAALQAxACkAKQApACwAXABuACAAIAAgACAAIAAgACAAIABSAGUAbQBhAGkAbgBpAG4AZwAsACAAIAAgACAAIAAgAEkARgAoACAAUABlAHIAaQBvAGQAcwAgADwAIABTAHQAYQByAHQAUABlAHIAaQBvAGQALAAgADAALAAgAEkARgAoACAAVABlAHIAbQAgAC0AIABQAGUAcgBpAG8AZABzACAAKwAgAFMAdABhAHIAdABQAGUAcgBpAG8AZAAgAD4AIAAwACwAIABUAGUAcgBtACAALQAgAFAAZQByAGkAbwBkAHMAIAArACAAUwB0AGEAcgB0AFAAZQByAGkAbwBkACwAIAAwACkAKQAsAFwAbgAgACAAIAAgACAAIAAgACAATwBwAGUAbgBpAG4AZwAsACAAIAAgACAAIAAgACAAIABJAEYAKAAgAFIAZQBtAGEAaQBuAGkAbgBnACAAPQAgADAALAAgADAALAAgAEMAYQByAHIAaQBlAGQAKQAsAFwAbgAgACAAIAAgACAAIAAgACAASQBuAHQAZQByAGUAcwB0ACwAIAAgACAAIAAgACAAIABPAHAAZQBuAGkAbgBnACAAKgAgAFIAYQB0AGUALABcAG4AIAAgACAAIAAgACAAIAAgAEwAZQB2AGUAbAAsACAAIAAgACAAIAAgACAAIAAgACAASQBGACgAIABSAGUAbQBhAGkAbgBpAG4AZwAgAD0AIAAwACwAIAAwACwAIAAtAFAATQBUACgAIABSAGEAdABlACwAIABSAGUAbQBhAGkAbgBpAG4AZwAsACAATwBwAGUAbgBpAG4AZwApACkALABcAG4AIAAgACAAIAAgACAAIAAgAFAAYQB5AG0AZQBuAHQALAAgACAAIAAgACAAIAAgACAASQBGACgAIABMAGUAdgBlAGwAIAA8ACAATwBwAGUAbgBpAG4AZwAgACsAIABJAG4AdABlAHIAZQBzAHQALAAgAEwAZQB2AGUAbAAsACAATwBwAGUAbgBpAG4AZwAgACsAIABJAG4AdABlAHIAZQBzAHQAKQAsAFwAbgAgACAAIAAgACAAIAAgACAAQwBsAG8AcwBpAG4AZwAsACAAIAAgACAAIAAgACAAIABPAHAAZQBuAGkAbgBnACAAKwAgAEkAbgB0AGUAcgBlAHMAdAAgAC0AIABQAGEAeQBtAGUAbgB0ACwAXABuACAAIAAgACAAIAAgACAAIABQAG8AcgB0AGkAbwBuACwAIAAgACAAIAAgACAAIAAgAFAAYQB5AG0AZQBuAHQAIAAtACAASQBuAHQAZQByAGUAcwB0ACwAXABuACAAIAAgACAAIAAgACAAIABSAGUAcwB1AGwAdAAsACAAIAAgACAAIAAgACAAIAAgAFYAUwBUAEEAQwBLACgAIABPAHAAZQBuAGkAbgBnACwAIABJAG4AdABlAHIAZQBzAHQALAAgAFAAYQB5AG0AZQBuAHQALAAgAEMAbABvAHMAaQBuAGcALAAgAFAAbwByAHQAaQBvAG4AKQAsAFwAbgAgACAAIAAgAC8ALwAgACAAUgBlAHQAdQByAG4AIABSAGUAcwB1AGwAdAAsACAASABlAGwAcAAgAG8AcgAgAHQAaABlACAAbQBlAHMAcwBhAGcAZQBzAFwAbgAgACAAIAAgACAAIAAgACAAUgBlAHQAdQByAG4ALAAgACAAIAAgACAAIAAgACAAIABJAEYAKAAgAEgAZQBsAHAAPwAsACAAMgAsACAASQBGACgAIABPAFIAKAAgAEUAcgByAG8AcgBzACkALAAgADMALAAgADEAKQApACwAXABuACAAIAAgACAAIAAgACAAIABDAEgATwBPAFMARQAoACAAUgBlAHQAdQByAG4ALAAgAFIAZQBzAHUAbAB0ACwAIABIAGUAbABwACwAIABNAGUAcwBzAGEAZwBlAHMAKQBcAG4AIAAgACAAIAApAFwAbgApADsAXABuAFwAbgBcAG4AXABuAC8AKgAgACAARgBVAE4AQwBUAEkATwBOACAATgBBAE0ARQA6ACAAIABEAGUAYgB0AFMAYwB1AGwAcAB0AEYAaQB4AGUAZAC7A1wAbgAgACAAIAAgAEQARQBTAEMAUgBJAFAAVABJAE8ATgA6ACoALwAvACoAKgBDAHIAZQBhAHQAZQBzACAAYQAgAGQAZQBiAHQAIABzAGMAdQBsAHAAdABpAG4AZwAgAHMAYwBoAGUAZAB1AGwAZQAgAHcAaABlAHIAZQAgAEEAUABSACAAYQBuAGQAIABEAFMAQwBSACAAYQByAGUAIABmAGkAeABlAGQAIABmAG8AcgAgAGEAbABsACAAcABlAHIAaQBvAGQAcwAqAC8AXABuAEQAZQBiAHQAUwBjAHUAbABwAHQARgBpAHgAZQBkALsDIAA9ACAATABBAE0AQgBEAEEAKABcAG4ALwAvACAAIABQAGEAcgBhAG0AZQB0AGUAcgAgAEQAZQBjAGwAYQByAGEAdABpAG8AbgBzAFwAbgAgACAAIAAgAFsATwBwAGUAbgBpAG4AZwBCAGEAbABhAG4AYwBlAF0ALABcAG4AIAAgACAAIABbAEQAZQBiAHQAXQAsAFwAbgAgACAAIAAgAFsAQwBGAEEARABTAF0ALABcAG4AIAAgACAAIABbAEQAUwBDAFIAXQAsAFwAbgAgACAAIAAgAFsAQQBQAFIAXQAsAFwAbgAgACAAIAAgAFsATQBvAG4AdABoAHMAUABlAHIAUABlAHIAaQBvAGQAXQAsAFwAbgAvAC8AIAAgAEgAZQBsAHAAXABuACAAIAAgACAATABFAFQAKABIAGUAbABwACwAIAAgACAAIAAgACAAIABUAFIASQBNACgAVABFAFgAVABTAFAATABJAFQAKABcAG4AIAAgACAAIAAgACAAIAAgACAAIAAgACAAIAAgACAAIAAgACAAIAAgACAAIAAgACAAXAAiAEYAVQBOAEMAVABJAE8ATgA6ACAAIAAgACAAIAAgACAAIAAgACAAkiFEAGUAYgB0AFMAYwB1AGwAcAB0AEYAaQB4AGUAZAC7AygAWwBPAHAAZQBuAGkAbgBnAEIAYQBsAGEAbgBjAGUAXQAsACAARABlAGIAdAAsACAAQwBGAEEARABTACwAIABEAFMAQwBSACwAIABBAFAAUgAsACAAWwBNAG8AbgB0AGgAcwBQAGUAcgBQAGUAcgBpAG8AZABdACkAtgBcACIAIAAmAFwAbgAgACAAIAAgACAAIAAgACAAIAAgACAAIAAgACAAIAAgACAAIAAgACAAIAAgACAAIABcACIARABFAFMAQwBSAEkAUABUAEkATwBOADoAIAAgACAAIAAgACAAIACSIUMAcgBlAGEAdABlAHMAIABhACAARABlAGIAdAAgAFMAYwB1AGwAcAB0AGkAbgBnACAAcwBjAGgAZQBkAHUAbABlACAAdwBoAGUAcgBlACAAQQBQAFIAIABhAG4AZAAgAEQAUwBDAFIAIABhAHIAZQAgAGYAaQB4AGUAZAAgAGYAbwByACAAYQBsAGwAIABwAGUAcgBpAG8AZABzALYAXAAiACAAJgBcAG4AIAAgACAAIAAgACAAIAAgACAAIAAgACAAIAAgACAAIAAgACAAIAAgACAAIAAgACAAXAAiAFMAVQBHAEcARQBTAFQARQBEACAAUgBPAFcAIABJAEQAUwA6ACAAkiFEAGUAYgB0ACAAbwBwAGUAbgBpAG4AZwAgAGIAYQBsAGEAbgBjAGUAtgBcACIAIAAmAFwAbgAgACAAIAAgACAAIAAgACAAIAAgACAAIAAgACAAIAAgACAAIAAgACAAIAAgACAAIABcACIAIAAgACAAIAAgACAAIAAgACAAIAAgACAAIAAgACAAIAAgACAAIACSIUkAbgB0AGUAcgBlAHMAdAAgAG8AbgAgAFAAcgBpAG4AYwBpAHAAYQBsACAAQgBhAGwAYQBuAGMAZQC2AFwAIgAgACYAXABuACAAIAAgACAAIAAgACAAIAAgACAAIAAgACAAIAAgACAAIAAgACAAIAAgACAAIAAgAFwAIgAgACAAIAAgACAAIAAgACAAIAAgACAAIAAgACAAIAAgACAAIAAgAJIhRABlAGIAdAAgAHMAZQByAHYAaQBjAGUAIAAoAGkAbgB0AGUAcgBlAHMAdAAgAGEAbgBkACAAcAByAGkAbgBjAGkAcABhAGwAKQC2AFwAIgAgACYAXABuACAAIAAgACAAIAAgACAAIAAgACAAIAAgACAAIAAgACAAIAAgACAAIAAgACAAIAAgAFwAIgAgACAAIAAgACAAIAAgACAAIAAgACAAIAAgACAAIAAgACAAIAAgAJIhRABlAGIAdAAgAGMAbABvAHMAaQBuAGcAIABiAGEAbABhAG4AYwBlALYAXAAiACAAJgBcAG4AIAAgACAAIAAgACAAIAAgACAAIAAgACAAIAAgACAAIAAgACAAIAAgACAAIAAgACAAXAAiAFcARQBCAFAAQQBHAEUAOgAgACAAIAAgACAAIAAgACAAIAAgACAAkiFoAHQAdABwAHMAOgAvAC8AZwBpAHQAaAB1AGIALgBjAG8AbQAvAHIAeQBhAG4AZAB1AGcAdQBpAGQALwBPAHoAegBpAHQAtgBcACIAIAAmAFwAbgAgACAAIAAgACAAIAAgACAAIAAgACAAIAAgACAAIAAgACAAIAAgACAAIAAgACAAIABcACIAVgBFAFIAUwBJAE8ATgA6ACAAIAAgACAAIAAgACAAIAAgACAAIACSITEAMAAgAFMAZQBwACAAMgAwADIANgC2AFwAIgAgACYAXABuACAAIAAgACAAIAAgACAAIAAgACAAIAAgACAAIAAgACAAIAAgACAAIAAgACAAIAAgAFwAIgBQAEEAUgBBAE0ARQBUAEUAUgBTADoAIAAgACAAIAAgACAAIAAgAJIhtgBcACIAIAAmAFwAbgAgACAAIAAgACAAIAAgACAAIAAgACAAIAAgACAAIAAgACAAIAAgACAAIAAgACAAIABcACIATwBwAGUAbgBpAG4AZwBCAGEAbABhAG4AYwBlACAAIAAgACAAIACSISgATwBwAHQAaQBvAG4AYQBsACkAIABNAG8AZABlAGwAJwBzACAAZABlAGIAdAAgAG8AbgAgAG8AcABlAG4AaQBuAGcALgAgAEQAZQBmAGEAdQBsAHQAcwAgAHQAbwAgADAAtgBcACIAIAAmAFwAbgAgACAAIAAgACAAIAAgACAAIAAgACAAIAAgACAAIAAgACAAIAAgACAAIAAgACAAIABcACIARABlAGIAdAAgACAAIAAgACAAIAAgACAAIAAgACAAIAAgACAAIACSISgAUgBlAHEAdQBpAHIAZQBkACkAIABPAG4AZQAgAHIAbwB3ACAAbwBmACAAbgBlAHcAIABkAGUAYgB0ACwAIABhAHQAIABsAGUAYQBzAHQAIAB0AHcAbwAgAHAAZQByAGkAbwBkAHMALgAgAEUAdgBlAHIAeQAgAHAAZQByAGkAbwBkACAAaQBuAHAAdQB0ACAAbQB1AHMAdAAgAGgAYQB2AGUAIAB0AGgAaQBzACAAcwBhAG0AZQAgAHcAaQBkAHQAaAC2AFwAIgAgACYAXABuACAAIAAgACAAIAAgACAAIAAgACAAIAAgACAAIAAgACAAIAAgACAAIAAgACAAIAAgAFwAIgBDAEYAQQBEAFMAIAAgACAAIAAgACAAIAAgACAAIAAgACAAIAAgAJIhKABSAGUAcQB1AGkAcgBlAGQAKQAgAEEAIAByAG8AdwAgAG8AZgAgAEMAYQBzAGgAIABGAGwAbwB3ACAAQQB2AGEAaQBsAGEAYgBsAGUAIABmAG8AcgAgAEQAZQBiAHQAIABTAGUAcgB2AGkAYwBlACAAaQBuACAAZQBhAGMAaAAgAHAAZQByAGkAbwBkALYAXAAiACAAJgBcAG4AIAAgACAAIAAgACAAIAAgACAAIAAgACAAIAAgACAAIAAgACAAIAAgACAAIAAgACAAXAAiAEQAUwBDAFIAIAAgACAAIAAgACAAIAAgACAAIAAgACAAIAAgACAAkiEoAFIAZQBxAHUAaQByAGUAZAApACAARABlAGIAdAAgAFMAZQByAHYAaQBjAGUAIABDAG8AdgBlAHIAYQBnAGUAIABSAGEAdABpAG8ALAAgAG8AbgBlACAAbgB1AG0AYgBlAHIAIABmAG8AcgAgAGEAbABsACAAcABlAHIAaQBvAGQAcwC2AFwAIgAgACYAXABuACAAIAAgACAAIAAgACAAIAAgACAAIAAgACAAIAAgACAAIAAgACAAIAAgACAAIAAgAFwAIgBBAFAAUgAgACAAIAAgACAAIAAgACAAIAAgACAAIAAgACAAIAAgAJIhKABSAGUAcQB1AGkAcgBlAGQAKQAgAEkAbgB0AGUAcgBlAHMAdAAnAHMAIABBAG4AbgB1AGEAbAAgAFAAZQByAGMAZQBuAHQAYQBnAGUAIABSAGEAdABlACwAIABvAG4AZQAgAG4AdQBtAGIAZQByACAAZgBvAHIAIABhAGwAbAAgAHAAZQByAGkAbwBkAHMAtgBcACIAIAAmAFwAbgAgACAAIAAgACAAIAAgACAAIAAgACAAIAAgACAAIAAgACAAIAAgACAAIAAgACAAIABcACIATQBvAG4AdABoAHMAUABlAHIAUABlAHIAaQBvAGQAIAAgACAAIACSISgATwBwAHQAaQBvAG4AYQBsACkAIABEAGUAZgBhAHUAbAB0AHMAIAB0AG8AIABvAG4AZQAgAG0AbwBuAHQAaAAgAHAAZQByACAAcABlAHIAaQBvAGQALgC2AFwAIgAgACYAXABuACAAIAAgACAAIAAgACAAIAAgACAAIAAgACAAIAAgACAAIAAgACAAIAAgACAAIAAgAFwAIgBFAFgAQQBNAFAATABFAFMAOgAgACAAIAAgACAAIAAgACAAIAAgAJIhtgBcACIAIAAmAFwAbgAgACAAIAAgACAAIAAgACAAIAAgACAAIAAgACAAIAAgACAAIAAgACAAIAAgACAAIABcACIAUgBlAHMAdQBsAHQAIAAgACAAIAAgACAAIAAgACAAIAAgACAAIACSIUYAbwByAG0AdQBsAGEAIAAoAG8AegAgAGkAcwAgAGEAcwBzAHUAbQBlAGQAIAB0AG8AIABiAGUAIAB0AGgAZQAgAG0AbwBkAHUAbABlACcAcwAgAG4AYQBtAGUAKQC2AFwAIgAgACYAXABuACAAIAAgACAAIAAgACAAIAAgACAAIAAgACAAIAAgACAAIAAgACAAIAAgACAAIAAgAFwAIgA0ACAAcgBvAHcAcwAsACAAMwAgAGMAbwBsAHMAIAAgACAAIAAgAJIhPQBvAHoALgBEAGUAYgB0AFMAYwB1AGwAcAB0AEYAaQB4AGUAZAC7AygALAAgAHsAMQAwADAAMAAsADAALAAwAH0ALAAgAHsAMwAwADAALAAzADAAMAAsADMAMAAwAH0ALAAgADEALgAyACwAIAA2ACUALAAgADEAMgApAFwAIgAs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RABlAGIAdAApACwAXABuACAAIAAgACAAIAAgACAAIAAgACAAIAAgACAAIAAgACAAIAAgACAAIAAgACAAIAAgACAAIAAgACAASQBTAE8ATQBJAFQAVABFAEQAKAAgAEMARgBBAEQAUwApACwAXABuACAAIAAgACAAIAAgACAAIAAgACAAIAAgACAAIAAgACAAIAAgACAAIAAgACAAIAAgACAAIAAgACAASQBTAE8ATQBJAFQAVABFAEQAKAAgAEQAUwBDAFIAKQAsAFwAbgAgACAAIAAgACAAIAAgACAAIAAgACAAIAAgACAAIAAgACAAIAAgACAAIAAgACAAIAAgACAAIAAgAEkAUwBPAE0ASQBUAFQARQBEACgAIABBAFAAUgApAFwAbgAgACAAIAAgACAAIAAgACAAIAAgACAAIAAgACAAIAAgACAAIAAgACAAIAAgACAAIAApACwAXABuACAAIAAgACAALwAvACAAIABDAGgAZQBjAGsAIABpAG4AcAB1AHQAcwAgAC0AIABFAHIAcgBvAHIAcwAgAGkAbgAgAGEAcgBnAHUAbQBlAG4AdAAgAHYAYQBsAHUAZQBzAFwAbgAgACAAIAAgACAAIAAgACAARQByAHIATQBzAGcAcwAsACAAIAAgACAAIAAgACAAIAB7AFwAIgBEAGUAYgB0ACAAbQB1AHMAdAAgAGIAZQAgAG8AbgBlACAAcgBvAHcAIABvAGYAIABuAGUAdwAgAGQAZQBiAHQAIAB3AGkAdABoACAAYQB0ACAAbABlAGEAcwB0ACAAdAB3AG8AIABwAGUAcgBpAG8AZABzAFwAIgA7AFwAbgAgACAAIAAgACAAIAAgACAAIAAgACAAIAAgACAAIAAgACAAIAAgACAAIAAgACAAIAAgAFwAIgBDAEYAQQBEAFMAIABtAHUAcwB0ACAAYgBlACAAbwBuAGUAIAByAG8AdwAgAHcAaQB0AGgAIAB0AGgAZQAgAHMAYQBtAGUAIABuAHUAbQBiAGUAcgAgAG8AZgAgAHAAZQByAGkAbwBkAHMAIABhAHMAIABEAGUAYgB0AFwAIgA7AFwAbgAgACAAIAAgACAAIAAgACAAIAAgACAAIAAgACAAIAAgACAAIAAgACAAIAAgACAAIAAgAFwAIgBEAFMAQwBSACAAbQB1AHMAdAAgAGIAZQAgAGEAIABzAGkAbgBnAGwAZQAgAHAAbwBzAGkAdABpAHYAZQAgAG4AdQBtAGIAZQByACAAaABvAGwAZABpAG4AZwAgAGQAZQBiAHQAIABzAGUAcgB2AGkAYwBlACAAYwBvAHYAZQByAGEAZwBlACAAcgBhAHQAaQBvACAAZgBvAHIAIABhAGwAbAAgAHAAZQByAGkAbwBkAHMAXAAiADsAXABuACAAIAAgACAAIAAgACAAIAAgACAAIAAgACAAIAAgACAAIAAgACAAIAAgACAAIAAgACAAXAAiAEEAUABSACAAbQB1AHMAdAAgAGIAZQAgAGEAIABzAGkAbgBnAGwAZQAgAG4AdQBtAGIAZQByACAAaABvAGwAZABpAG4AZwAgAGkAbgB0AGUAcgBlAHMAdAAnAHMAIABhAG4AbgB1AGEAbAAgAHAAZQByAGMAZQBuAHQAYQBnAGUAIAByAGEAdABlACAAZgBvAHIAIABhAGwAbAAgAHAAZQByAGkAbwBkAHMAXAAiAH0ALABcAG4AIAAgACAAIAAvAC8AIAAgAEQAUwBDAFIAIABkAGkAdgBpAGQAZQBzACAAQwBhAHMAaAAgAGIAZQBsAG8AdwAsACAAcwBvACAAegBlAHIAbwAgAHIAZQB0AHUAcgBuAHMAIAAjAEQASQBWAC8AMAAhACAAcgBhAHQAaABlAHIAIAB0AGgAYQBuACAAdABoAGkAcwAgAG0AZQBzAHMAYQBnAGUALgBcAG4AIAAgACAAIAAgACAAIAAgAEUAcgByAG8AcgBzACwAIAAgACAAIAAgACAAIAAgACAAVgBTAFQAQQBDAEsAKAAgAE8AUgAoACAAUgBPAFcAUwAoACAARABlAGIAdAApACAAPAA+ACAAMQAsACAAQwBPAEwAVQBNAE4AUwAoACAARABlAGIAdAApACAAPAA9ACAAMQApACwAXABuACAAIAAgACAAIAAgACAAIAAgACAAIAAgACAAIAAgACAAIAAgACAAIAAgACAAIAAgACAAIAAgACAAIAAgACAAIABPAFIAKAAgAFIATwBXAFMAKAAgAEMARgBBAEQAUwApACAAPAA+ACAAMQAsACAAQwBPAEwAVQBNAE4AUwAoACAAQwBGAEEARABTACkAIAA8AD4AIABDAE8ATABVAE0ATgBTACgAIABEAGUAYgB0ACkAKQAsAFwAbgAgACAAIAAgACAAIAAgACAAIAAgACAAIAAgACAAIAAgACAAIAAgACAAIAAgACAAIAAgACAAIAAgACAAIAAgACAATgBPAFQAKAAgAEEATgBEACgAIABJAFMATgBVAE0AQgBFAFIAKAAgAEQAUwBDAFIAKQAsACAAUgBPAFcAUwAoACAARABTAEMAUgApACAAPQAgADEALAAgAEMATwBMAFUATQBOAFMAKAAgAEQAUwBDAFIAKQAgAD0AIAAxACwAXABuACAAIAAgACAAIAAgACAAIAAgACAAIAAgACAAIAAgACAAIAAgACAAIAAgACAAIAAgACAAIAAgACAAIAAgACAAIAAgACAAIAAgACAAIAAgACAAIAAgAEQAUwBDAFIAIAA+ACAAMAApACkALABcAG4AIAAgACAAIAAgACAAIAAgACAAIAAgACAAIAAgACAAIAAgACAAIAAgACAAIAAgACAAIAAgACAAIAAgACAAIAAgAE4ATwBUACgAIABBAE4ARAAoACAASQBTAE4AVQBNAEIARQBSACgAIABBAFAAUgApACwAIABSAE8AVwBTACgAIABBAFAAUgApACAAPQAgADEALAAgAEMATwBMAFUATQBOAFMAKAAgAEEAUABSACkAIAA9ACAAMQApACkAXABuACAAIAAgACAAIAAgACAAIAAgACAAIAAgACAAIAAgACAAIAAgACAAIAAgACAAIAAgACkALABcAG4AIAAgACAAIAAgACAAIAAgAE0AZQBzAHMAYQBnAGUAcwAsACAAIAAgACAAIAAgACAARgBJAEwAVABFAFIAKAAgAEUAcgByAE0AcwBnAHMALAAgAEUAcgByAG8AcgBzACwAIABcACIAXAAiACkALABcAG4AIAAgACAAIAAvAC8AIAAgAEMAaABlAGMAawAgAGkAbgBwAHUAdABzACAALQAgAFMAZQB0ACAAbwBwAHQAaQBvAG4AYQBsACAAYQByAGcAdQBtAGUAbgB0AHMAJwAgAGQAZQBmAGEAdQBsAHQAcwBcAG4AIAAgACAAIAAgACAAIAAgAE8AcABlAG4AaQBuAGcAQgBhAGwAYQBuAGMAZQAsACAASQBGACgAIABJAFMATgBVAE0AQgBFAFIAKAAgAE8AcABlAG4AaQBuAGcAQgBhAGwAYQBuAGMAZQApACwAIABPAHAAZQBuAGkAbgBnAEIAYQBsAGEAbgBjAGUALAAgADAAKQAsAFwAbgAgACAAIAAgACAAIAAgACAATQBvAG4AdABoAHMAUABlAHIAUABlAHIAaQBvAGQALAAgAEkARgAoACAASQBTAE4AVQBNAEIARQBSACgAIABNAG8AbgB0AGgAcwBQAGUAcgBQAGUAcgBpAG8AZAApACwAIABNAG8AbgB0AGgAcwBQAGUAcgBQAGUAcgBpAG8AZAAsACAAMQApACwAXABuACAAIAAgACAALwAvACAAIABQAHIAbwBjAGUAZAB1AHIAZQAgAC0AIABzAG8AbAB2AGUAIAB0AGgAZQAgAGMAbABvAHMAaQBuAGcAIABiAGEAbABhAG4AYwBlACAAcABlAHIAaQBvAGQAIABiAHkAIABwAGUAcgBpAG8AZAAsACAAdABoAGUAbgAgAHIAZQBhAGQAIAB0AGgAZQAgAHIAbwB3AHMAIABvAGYAZgAgAGkAdABcAG4AIAAgACAAIAAvAC8AIAAgAE4AZQBnAGEAdABpAHYAZQAgAEMARgBBAEQAUwAgAG0AZQBhAG4AcwAgAG4AbwAgAGMAYQBzAGgAIABmAG8AcgAgAGQAZQBiAHQAIABzAGUAcgB2AGkAYwBlACwAIABzAG8AIAB0AGgAZQAgAHAAYQB5AG0AZQBuAHQAIABpAHMAIABmAGwAbwBvAHIAZQBkACAAYQB0AFwAbgAgACAAIAAgAC8ALwAgACAAegBlAHIAbwAuACAAVwBpAHQAaABvAHUAdAAgAHQAaABlACAAZgBsAG8AbwByACAAaQB0ACAAdwBlAG4AdAAgAG4AZQBnAGEAdABpAHYAZQAsACAAdwBoAGkAYwBoACAAcgBhAGkAcwBlAGQAIAB0AGgAZQAgAGMAbABvAHMAaQBuAGcAIABiAGEAbABhAG4AYwBlACAAYQBuAGQAXABuACAAIAAgACAALwAvACAAIAByAGUAcABvAHIAdABlAGQAIAB0AGgAZQAgAG4AZQBnAGEAdABlAGQAIABhAG0AbwB1AG4AdAAgAGEAcwAgAHAAbwBzAGkAdABpAHYAZQAgAGQAZQBiAHQAIABzAGUAcgB2AGkAYwBlAC4AIABUAGgAZQAgAHIAbwB3AHMAIABiAGUAbABvAHcAIABmAGwAbwBvAHIAIAB3AGkAdABoAFwAbgAgACAAIAAgAC8ALwAgACAASQBGACAAcgBhAHQAaABlAHIAIAB0AGgAYQBuACAATQBBAFgAOgAgAE0AQQBYACAAdwBvAHUAbABkACAAYQBnAGcAcgBlAGcAYQB0AGUAIAB0AGgAZQAgAHcAaABvAGwAZQAgAHIAbwB3ACAAdABvACAAbwBuAGUAIABuAHUAbQBiAGUAcgAuACAAVABoAGUAeQAgAGYAbABvAG8AcgBcAG4AIAAgACAAIAAvAC8AIAAgAHQAaABlACAAYQBtAG8AdQBuAHQAIABvAHcAZQBkACAAdABvAG8ALAAgAHMAbwAgAGEAIABuAGUAZwBhAHQAaQB2AGUAIABvAHAAZQBuAGkAbgBnACAAYgBhAGwAYQBuAGMAZQAgAHIAZQBwAGEAeQBzACAAbgBvAHQAaABpAG4AZwAgAGkAbgAgAHQAaABlACAAcgBvAHcAcwBcAG4AIAAgACAAIAAvAC8AIAAgAGUAeABhAGMAdABsAHkAIABhAHMAIABpAHQAIABkAG8AZQBzACAAaQBuACAAdABoAGUAIABTAEMAQQBOACwAIABhAG4AZAAgAGUAYQBjAGgAIABjAGwAbwBzAGkAbgBnACAAYgBhAGwAYQBuAGMAZQAgAG8AcABlAG4AcwAgAHQAaABlACAAbgBlAHgAdAAgAHAAZQByAGkAbwBkAC4AXABuACAAIAAgACAAIAAgACAAIABSAGEAdABlACwAIAAgACAAIAAgACAAIAAgACAAIAAgAEEAUABSACAALwAgADEAMgAgACoAIABNAG8AbgB0AGgAcwBQAGUAcgBQAGUAcgBpAG8AZAAsAFwAbgAgACAAIAAgACAAIAAgACAAUABlAHIAaQBvAGQAcwAsACAAIAAgACAAIAAgACAAIABTAEUAUQBVAEUATgBDAEUAKAAgADEALAAgAEMATwBMAFUATQBOAFMAKAAgAEQAZQBiAHQAKQApACwAXABuACAAIAAgACAAIAAgACAAIABOAGUAdwBEAGUAYgB0ACwAIAAgACAAIAAgACAAIAAgAEkATgBEAEUAWAAoACAARABlAGIAdAAsACAAMQAsACAAUABlAHIAaQBvAGQAcwApACwAXABuACAAIAAgACAAIAAgACAAIABDAGEAcwBoACwAIAAgACAAIAAgACAAIAAgACAAIAAgAEkATgBEAEUAWAAoACAAQwBGAEEARABTACwAIAAxACwAIABQAGUAcgBpAG8AZABzACkALABcAG4AIAAgACAAIAAgACAAIAAgAEMAbABvAHMAaQBuAGcAcwAsACAAIAAgACAAIAAgACAAUwBDAEEATgAoACAATwBwAGUAbgBpAG4AZwBCAGEAbABhAG4AYwBlACwAIABQAGUAcgBpAG8AZABzACwAXABuACAAIAAgACAAIAAgACAAIAAgACAAIAAgACAAIAAgACAAIAAgACAAIAAgACAAIAAgACAAIAAgACAATABBAE0AQgBEAEEAKAAgAEMAYQByAHIAaQBlAGQALAAgAFAAZQByAGkAbwBkACwAXABuACAAIAAgACAAIAAgACAAIAAgACAAIAAgACAAIAAgACAAIAAgACAAIAAgACAAIAAgACAAIAAgACAAIAAgACAAIABMAEUAVAAoAE8AcABlAG4AaQBuAGcALAAgACAAIAAgAEMAYQByAHIAaQBlAGQAIAArACAASQBOAEQARQBYACgAIABOAGUAdwBEAGUAYgB0ACwAIAAxACwAIABQAGUAcgBpAG8AZAApACwAXABuACAAIAAgACAAIAAgACAAIAAgACAAIAAgACAAIAAgACAAIAAgACAAIAAgACAAIAAgACAAIAAgACAAIAAgACAAIAAgACAAIAAgAEkAbgB0AGUAcgBlAHMAdAAsACAAIAAgAE8AcABlAG4AaQBuAGcAIAAqACAAUgBhAHQAZQAsAFwAbgAgACAAIAAgACAAIAAgACAAIAAgACAAIAAgACAAIAAgACAAIAAgACAAIAAgACAAIAAgACAAIAAgACAAIAAgACAAIAAgACAAIABQAGEAeQBtAGUAbgB0ACwAIAAgACAAIABNAEEAWAAoACAAMAAsACAATQBJAE4AKAAgAEkATgBEAEUAWAAoACAAQwBhAHMAaAAsACAAMQAsACAAUABlAHIAaQBvAGQAKQAgAC8AIABEAFMAQwBSACwAIABPAHAAZQBuAGkAbgBnACAAKwAgAEkAbgB0AGUAcgBlAHMAdAApACkALABcAG4AIAAgACAAIAAgACAAIAAgACAAIAAgACAAIAAgACAAIAAgACAAIAAgACAAIAAgACAAIAAgACAAIAAgACAAIAAgACAAIAAgACAATwBwAGUAbgBpAG4AZwAgACsAIABJAG4AdABlAHIAZQBzAHQAIAAtACAAUABhAHkAbQBlAG4AdABcAG4AIAAgACAAIAAgACAAIAAgACAAIAAgACAAIAAgACAAIAAgACAAIAAgACAAIAAgACAAIAAgACAAIAAgACAAIAAgACkAXABuACAAIAAgACAAIAAgACAAIAAgACAAIAAgACAAIAAgACAAIAAgACAAIAAgACAAIAAgACAAIAAgACAAKQBcAG4AIAAgACAAIAAgACAAIAAgACAAIAAgACAAIAAgACAAIAAgACAAIAAgACAAIAAgACAAKQAsAFwAbgAgACAAIAAgACAAIAAgACAAQwBhAHIAcgBpAGUAZAAsACAAIAAgACAAIAAgACAAIABJAEYAKAAgAEMATwBMAFUATQBOAFMAKAAgAEQAZQBiAHQAKQAgAD0AIAAxACwAIABPAHAAZQBuAGkAbgBnAEIAYQBsAGEAbgBjAGUALAAgAEgAUwBUAEEAQwBLACgAIABPAHAAZQBuAGkAbgBnAEIAYQBsAGEAbgBjAGUALAAgAEQAUgBPAFAAKAAgAEMAbABvAHMAaQBuAGcAcwAsACAALAAgAC0AMQApACkAKQAsAFwAbgAgACAAIAAgACAAIAAgACAATwBwAGUAbgBpAG4AZwAsACAAIAAgACAAIAAgACAAIABDAGEAcgByAGkAZQBkACAAKwAgAE4AZQB3AEQAZQBiAHQALABcAG4AIAAgACAAIAAgACAAIAAgAEkAbgB0AGUAcgBlAHMAdAAsACAAIAAgACAAIAAgACAATwBwAGUAbgBpAG4AZwAgACoAIABSAGEAdABlACwAXABuACAAIAAgACAAIAAgACAAIABTAGUAcgB2AGkAYwBlACwAIAAgACAAIAAgACAAIAAgAEkARgAoACAAQwBhAHMAaAAgAC8AIABEAFMAQwBSACAAPAAgADAALAAgADAALAAgAEMAYQBzAGgAIAAvACAARABTAEMAUgApACwAXABuACAAIAAgACAAIAAgACAAIABQAGEAeQBtAGUAbgB0ACwAIAAgACAAIAAgACAAIAAgAEkARgAoACAATwBwAGUAbgBpAG4AZwAgACsAIABJAG4AdABlAHIAZQBzAHQAIAA8ACAAMAAsACAAMAAsACAASQBGACgAIABTAGUAcgB2AGkAYwBlACAAPAAgAE8AcABlAG4AaQBuAGcAIAArACAASQBuAHQAZQByAGUAcwB0ACwAIABTAGUAcgB2AGkAYwBlACwAIABPAHAAZQBuAGkAbgBnACAAKwAgAEkAbgB0AGUAcgBlAHMAdAApACkALABcAG4AIAAgACAAIAAgACAAIAAgAEMAbABvAHMAaQBuAGcALAAgACAAIAAgACAAIAAgACAATwBwAGUAbgBpAG4AZwAgACsAIABJAG4AdABlAHIAZQBzAHQAIAAtACAAUABhAHkAbQBlAG4AdAAsAFwAbgAgACAAIAAgACAAIAAgACAAUgBlAHMAdQBsAHQALAAgACAAIAAgACAAIAAgACAAIABWAFMAVABBAEMASwAoACAATwBwAGUAbgBpAG4AZwAsACAASQBuAHQAZQByAGUAcwB0ACwAIAAtAFAAYQB5AG0AZQBuAHQALAAgAEMAbABvAHMAaQBuAGcAKQAsAFwAbgAgACAAIAAgAC8ALwAgACAAUgBlAHQAdQByAG4AIABSAGUAcwB1AGwAdAAsACAASABlAGwAcAAgAG8AcgAgAHQAaABlACAAbQBlAHMAcwBhAGcAZQBzAFwAbgAgACAAIAAgACAAIAAgACAAUgBlAHQAdQByAG4ALAAgACAAIAAgACAAIAAgACAAIABJAEYAKAAgAEgAZQBsAHAAPwAsACAAMgAsACAASQBGACgAIABPAFIAKAAgAEUAcgByAG8AcgBzACkALAAgADMALAAgADEAKQApACwAXABuACAAIAAgACAAIAAgACAAIABDAEgATwBPAFMARQAoACAAUgBlAHQAdQByAG4ALAAgAFIAZQBzAHUAbAB0ACwAIABIAGUAbABwACwAIABNAGUAcwBzAGEAZwBlAHMAKQBcAG4AIAAgACAAIAApAFwAbgApADsAXABuAFwAbgBcAG4AXABuAC8AKgAgACAARgBVAE4AQwBUAEkATwBOACAATgBBAE0ARQA6ACAAIABEAGUAYgB0AFMAYwB1AGwAcAB0AFYAYQByAGkAYQBiAGwAZQBMAFIAVgC7A1wAbgAgACAAIAAgAEQARQBTAEMAUgBJAFAAVABJAE8ATgA6ACoALwAvACoAKgBDAHIAZQBhAHQAZQBzACAAYQAgAGQAZQBiAHQAIABzAGMAdQBsAHAAdABpAG4AZwAgAHMAYwBoAGUAZAB1AGwAZQAgAHcAaABlAHIAZQAgAEEAUABSACAAYQBuAGQAIABEAFMAQwBSACAAYQByAGUAIABzAGUAdAAgAGYAbwByACAAZQBhAGMAaAAgAHAAZQByAGkAbwBkACwAIAB3AGkAdABoACAAaQBuAHQAZQByAGUAcwB0ACAAYwBoAGEAcgBnAGUAZAAgAG8AbgAgAHQAaABlACAAYQB2AGUAcgBhAGcAZQAgAGIAYQBsAGEAbgBjAGUAKgAvAFwAbgBEAGUAYgB0AFMAYwB1AGwAcAB0AFYAYQByAGkAYQBiAGwAZQBMAFIAVgC7AyAAPQAgAEwAQQBNAEIARABBACgAXABuAC8ALwAgACAAUABhAHIAYQBtAGUAdABlAHIAIABEAGUAYwBsAGEAcgBhAHQAaQBvAG4AcwBcAG4AIAAgACAAIABbAE8AcABlAG4AaQBuAGcAQgBhAGwAYQBuAGMAZQBdACwAXABuACAAIAAgACAAWwBEAGUAYgB0AF0ALABcAG4AIAAgACAAIABbAEMARgBBAEQAUwBdACwAXABuACAAIAAgACAAWwBEAFMAQwBSAF0ALABcAG4AIAAgACAAIABbAEEAUABSAF0ALABcAG4AIAAgACAAIABbAE0AbwBuAHQAaABzAFAAZQByAFAAZQByAGkAbwBkAF0ALABcAG4AIAAgACAAIABbAFAAZQByAGkAbwBkAFIAYQB0AGUAcwBdACwAXABuAC8ALwAgACAASABlAGwAcABcAG4AIAAgACAAIABMAEUAVAAoAEgAZQBsAHAALAAgACAAIAAgACAAIAAgAFQAUgBJAE0AKABUAEUAWABUAFMAUABMAEkAVAAoAFwAbgAgACAAIAAgACAAIAAgACAAIAAgACAAIAAgACAAIAAgACAAIAAgACAAIAAgACAAIABcACIARgBVAE4AQwBUAEkATwBOADoAIAAgACAAIAAgACAAIAAgACAAIACSIUQAZQBiAHQAUwBjAHUAbABwAHQAVgBhAHIAaQBhAGIAbABlAEwAUgBWALsDKABbAE8AcABlAG4AaQBuAGcAQgBhAGwAYQBuAGMAZQBdACwAIABEAGUAYgB0ACwAIABDAEYAQQBEAFMALAAgAEQAUwBDAFIALAAgAEEAUABSACwAIABbAE0AbwBuAHQAaABzAFAAZQByAFAAZQByAGkAbwBkAF0ALAAgAFsAUABlAHIAaQBvAGQAUgBhAHQAZQBzAF0AKQC2AFwAIgAgACYAXABuACAAIAAgACAAIAAgACAAIAAgACAAIAAgACAAIAAgACAAIAAgACAAIAAgACAAIAAgAFwAIgBEAEUAUwBDAFIASQBQAFQASQBPAE4AOgAgACAAIAAgACAAIAAgAJIhQwByAGUAYQB0AGUAcwAgAGEAIABEAGUAYgB0ACAAUwBjAHUAbABwAHQAaQBuAGcAIABzAGMAaABlAGQAdQBsAGUAIAB3AGgAZQByAGUAIABBAFAAUgAgAGEAbgBkACAARABTAEMAUgAgAGEAcgBlACAAcwBlAHQAIABmAG8AcgAgAGUAYQBjAGgAIABwAGUAcgBpAG8AZAAuALYAXAAiACAAJgBcAG4AIAAgACAAIAAgACAAIAAgACAAIAAgACAAIAAgACAAIAAgACAAIAAgACAAIAAgACAAXAAiACAAIAAgACAAIAAgACAAIAAgACAAIAAgACAAIAAgACAAIAAgACAAkiFJAG4AdABlAHIAZQBzAHQAIABpAHMAIABjAGgAYQByAGcAZQBkACAAbwBuACAAdABoAGUAIABhAHYAZQByAGEAZwBlACAAYgBhAGwAYQBuAGMAZQAgAG8AdgBlAHIAIAB0AGgAZQAgAHAAZQByAGkAbwBkACwAIAB0AGgAZQAgAG0AZQB0AGgAbwBkALYAXAAiACAAJgBcAG4AIAAgACAAIAAgACAAIAAgACAAIAAgACAAIAAgACAAIAAgACAAIAAgACAAIAAgACAAXAAiACAAIAAgACAAIAAgACAAIAAgACAAIAAgACAAIAAgACAAIAAgACAAkiFwAHIAZQBzAGUAbgB0AGUAZAAgAGIAeQAgAEwAYQBuAGMAZQAgAFIAdQBiAGkAbgAsACAAYQBuAGQAIAB0AGgAZQAgAHAAcgBpAG4AYwBpAHAAYQBsACAAcgBlAHAAYQBpAGQAIABpAHMAIAB3AGgAYQB0ACAAdABoAGUAIABjAGEAcwBoALYAXAAiACAAJgBcAG4AIAAgACAAIAAgACAAIAAgACAAIAAgACAAIAAgACAAIAAgACAAIAAgACAAIAAgACAAXAAiACAAIAAgACAAIAAgACAAIAAgACAAIAAgACAAIAAgACAAIAAgACAAkiFhAHYAYQBpAGwAYQBiAGwAZQAgAGYAbwByACAAZABlAGIAdAAgAHMAZQByAHYAaQBjAGUAIABsAGUAYQB2AGUAcwAgAGEAZgB0AGUAcgAgAHQAaABhAHQAIABpAG4AdABlAHIAZQBzAHQALgC2AFwAIgAgACYAXABuACAAIAAgACAAIAAgACAAIAAgACAAIAAgACAAIAAgACAAIAAgACAAIAAgACAAIAAgAFwAIgBTAFUARwBHAEUAUwBUAEUARAAgAFIATwBXACAASQBEAFMAOgAgAJIhRABlAGIAdAAgAG8AcABlAG4AaQBuAGcAIABiAGEAbABhAG4AYwBlALYAXAAiACAAJgBcAG4AIAAgACAAIAAgACAAIAAgACAAIAAgACAAIAAgACAAIAAgACAAIAAgACAAIAAgACAAXAAiACAAIAAgACAAIAAgACAAIAAgACAAIAAgACAAIAAgACAAIAAgACAAkiFJAG4AdABlAHIAZQBzAHQAIABvAG4AIABQAHIAaQBuAGMAaQBwAGEAbAAgAEIAYQBsAGEAbgBjAGUAtgBcACIAIAAmAFwAbgAgACAAIAAgACAAIAAgACAAIAAgACAAIAAgACAAIAAgACAAIAAgACAAIAAgACAAIABcACIAIAAgACAAIAAgACAAIAAgACAAIAAgACAAIAAgACAAIAAgACAAIACSIVAAcgBpAG4AYwBpAHAAYQBsACAAcgBlAHAAYQB5AG0AZQBuAHQAcwC2AFwAIgAgACYAXABuACAAIAAgACAAIAAgACAAIAAgACAAIAAgACAAIAAgACAAIAAgACAAIAAgACAAIAAgAFwAIgAgACAAIAAgACAAIAAgACAAIAAgACAAIAAgACAAIAAgACAAIAAgAJIhRABlAGIAdAAgAGMAbABvAHMAaQBuAGcAIABiAGEAbABhAG4AYwBlALYAXAAiACAAJgBcAG4AIAAgACAAIAAgACAAIAAgACAAIAAgACAAIAAgACAAIAAgACAAIAAgACAAIAAgACAAXAAiAFcARQBCAFAAQQBHAEUAOgAgACAAIAAgACAAIAAgACAAIAAgACAAkiFoAHQAdABwAHMAOgAvAC8AZwBpAHQAaAB1AGIALgBjAG8AbQAvAHIAeQBhAG4AZAB1AGcAdQBpAGQALwBPAHoAegBpAHQAtgBcACIAIAAmAFwAbgAgACAAIAAgACAAIAAgACAAIAAgACAAIAAgACAAIAAgACAAIAAgACAAIAAgACAAIABcACIAVgBFAFIAUwBJAE8ATgA6ACAAIAAgACAAIAAgACAAIAAgACAAIACSITEAMAAgAFMAZQBwACAAMgAwADIANgC2AFwAIgAgACYAXABuACAAIAAgACAAIAAgACAAIAAgACAAIAAgACAAIAAgACAAIAAgACAAIAAgACAAIAAgAFwAIgBQAEEAUgBBAE0ARQBUAEUAUgBTADoAIAAgACAAIAAgACAAIAAgAJIhtgBcACIAIAAmAFwAbgAgACAAIAAgACAAIAAgACAAIAAgACAAIAAgACAAIAAgACAAIAAgACAAIAAgACAAIABcACIATwBwAGUAbgBpAG4AZwBCAGEAbABhAG4AYwBlACAAIAAgACAAIACSISgATwBwAHQAaQBvAG4AYQBsACkAIABNAG8AZABlAGwAJwBzACAAZABlAGIAdAAgAG8AbgAgAG8AcABlAG4AaQBuAGcALgAgAEQAZQBmAGEAdQBsAHQAcwAgAHQAbwAgADAAtgBcACIAIAAmAFwAbgAgACAAIAAgACAAIAAgACAAIAAgACAAIAAgACAAIAAgACAAIAAgACAAIAAgACAAIABcACIARABlAGIAdAAgACAAIAAgACAAIAAgACAAIAAgACAAIAAgACAAIACSISgAUgBlAHEAdQBpAHIAZQBkACkAIABPAG4AZQAgAHIAbwB3ACAAbwBmACAAbgBlAHcAIABkAGUAYgB0ACwAIABhAHQAIABsAGUAYQBzAHQAIAB0AHcAbwAgAHAAZQByAGkAbwBkAHMALgAgAEUAdgBlAHIAeQAgAHAAZQByAGkAbwBkACAAaQBuAHAAdQB0ACAAbQB1AHMAdAAgAGgAYQB2AGUAIAB0AGgAaQBzACAAcwBhAG0AZQAgAHcAaQBkAHQAaAC2AFwAIgAgACYAXABuACAAIAAgACAAIAAgACAAIAAgACAAIAAgACAAIAAgACAAIAAgACAAIAAgACAAIAAgAFwAIgBDAEYAQQBEAFMAIAAgACAAIAAgACAAIAAgACAAIAAgACAAIAAgAJIhKABSAGUAcQB1AGkAcgBlAGQAKQAgAEEAIAByAG8AdwAgAG8AZgAgAG4AdQBtAGUAcgBpAGMAIABDAGEAcwBoACAARgBsAG8AdwAgAEEAdgBhAGkAbABhAGIAbABlACAAZgBvAHIAIABEAGUAYgB0ACAAUwBlAHIAdgBpAGMAZQAgAGkAbgAgAGUAYQBjAGgAIABwAGUAcgBpAG8AZAAuACAAQgBsAGEAbgBrACAAYwBlAGwAbABzACwAIAB0AGUAeAB0ACAAYQBuAGQAIABsAG8AZwBpAGMAYQBsACAAdgBhAGwAdQBlAHMAIABhAHIAZQAgAHIAZQBqAGUAYwB0AGUAZAAuACAATgBlAGcAYQB0AGkAdgBlACAAdgBhAGwAdQBlAHMAIABzAHUAcABwAGwAeQAgAG4AbwAgAGMAYQBzAGgAIABmAG8AcgAgAGQAZQBiAHQAIABzAGUAcgB2AGkAYwBlADsAIABlAHgAaQBzAHQAaQBuAGcAIABkAGUAYgB0ACAAcwB0AGkAbABsACAAYwBhAHAAaQB0AGEAbABpAHMAZQBzACAAdQBuAHAAYQBpAGQAIABpAG4AdABlAHIAZQBzAHQAtgBcACIAIAAmAFwAbgAgACAAIAAgACAAIAAgACAAIAAgACAAIAAgACAAIAAgACAAIAAgACAAIAAgACAAIABcACIARABTAEMAUgAgACAAIAAgACAAIAAgACAAIAAgACAAIAAgACAAIACSISgAUgBlAHEAdQBpAHIAZQBkACkAIABBACAAcgBvAHcAIABvAGYAIABEAGUAYgB0ACAAUwBlAHIAdgBpAGMAZQAgAEMAbwB2AGUAcgBhAGcAZQAgAFIAYQB0AGkAbwBzACwAIABvAG4AZQAgAHAAZQByACAAcABlAHIAaQBvAGQAtgBcACIAIAAmAFwAbgAgACAAIAAgACAAIAAgACAAIAAgACAAIAAgACAAIAAgACAAIAAgACAAIAAgACAAIABcACIAQQBQAFIAIAAgACAAIAAgACAAIAAgACAAIAAgACAAIAAgACAAIACSISgAUgBlAHEAdQBpAHIAZQBkACAAdQBuAGwAZQBzAHMAIABQAGUAcgBpAG8AZABSAGEAdABlAHMAIABpAHMAIABnAGkAdgBlAG4AKQAgAEEAIAByAG8AdwAgAG8AZgAgAEkAbgB0AGUAcgBlAHMAdAAnAHMAIABBAG4AbgB1AGEAbAAgAFAAZQByAGMAZQBuAHQAYQBnAGUAIABSAGEAdABlAHMALAAgAG8AbgBlACAAcABlAHIAIABwAGUAcgBpAG8AZAAuACAARQBhAGMAaAAgAHAAZQByAGkAbwBkACAAYwBoAGEAcgBnAGUAcwAgAEEAUABSACAALwAgADEAMgAgACoAIABNAG8AbgB0AGgAcwBQAGUAcgBQAGUAcgBpAG8AZAC2AFwAIgAgACYAXABuACAAIAAgACAAIAAgACAAIAAgACAAIAAgACAAIAAgACAAIAAgACAAIAAgACAAIAAgAFwAIgBNAG8AbgB0AGgAcwBQAGUAcgBQAGUAcgBpAG8AZAAgACAAIAAgAJIhKABPAHAAdABpAG8AbgBhAGwAKQAgAEQAZQBmAGEAdQBsAHQAcwAgAHQAbwAgAG8AbgBlACAAbQBvAG4AdABoACAAcABlAHIAIABwAGUAcgBpAG8AZAAuACAASQBnAG4AbwByAGUAZAAgAHcAaABlAG4AIABQAGUAcgBpAG8AZABSAGEAdABlAHMAIABpAHMAIABnAGkAdgBlAG4AtgBcACIAIAAmAFwAbgAgACAAIAAgACAAIAAgACAAIAAgACAAIAAgACAAIAAgACAAIAAgACAAIAAgACAAIABcACIAUABlAHIAaQBvAGQAUgBhAHQAZQBzACAAIAAgACAAIAAgACAAIACSISgATwBwAHQAaQBvAG4AYQBsACkAIABBACAAcgBvAHcAIABvAGYAIABpAG4AdABlAHIAZQBzAHQAIAByAGEAdABlAHMAIABwAGUAcgAgAHAAZQByAGkAbwBkACwAIABvAG4AZQAgAHAAZQByACAAcABlAHIAaQBvAGQALAAgAHMAdQBjAGgAIABhAHMAIABEAGEAeQBDAG8AdQBuAHQAUgBhAHQAZQC7AygAKQAgAHIAZQB0AHUAcgBuAHMAIABmAG8AcgAgAGEAIABkAGEAeQAgAGMAbwB1AG4AdAAgAGMAbwBuAHYAZQBuAHQAaQBvAG4ALgAgAFcAaABlAG4AIABnAGkAdgBlAG4ALAAgAGkAbgB0AGUAcgBlAHMAdAAgAHUAcwBlAHMAIAB0AGgAZQBzAGUAIAByAGEAdABlAHMAIABhAG4AZAAgAEEAUABSACAAYQBuAGQAIABNAG8AbgB0AGgAcwBQAGUAcgBQAGUAcgBpAG8AZAAgAGEAcgBlACAAaQBnAG4AbwByAGUAZAAuACAAQQAgAGIAbABhAG4AawAgAGMAZQBsAGwAIABvAHIAIAByAGEAbgBnAGUAIABjAG8AdQBuAHQAcwAgAGEAcwAgAG4AbwB0ACAAZwBpAHYAZQBuALYAXAAiACAAJgBcAG4AIAAgACAAIAAgACAAIAAgACAAIAAgACAAIAAgACAAIAAgACAAIAAgACAAIAAgACAAXAAiAEUAWABBAE0AUABMAEUAUwA6ACAAIAAgACAAIAAgACAAIAAgACAAkiG2AFwAIgAgACYAXABuACAAIAAgACAAIAAgACAAIAAgACAAIAAgACAAIAAgACAAIAAgACAAIAAgACAAIAAgAFwAIgBSAGUAcwB1AGwAdAAgACAAIAAgACAAIAAgACAAIAAgACAAIAAgAJIhRgBvAHIAbQB1AGwAYQAgACgAbwB6ACAAaQBzACAAYQBzAHMAdQBtAGUAZAAgAHQAbwAgAGIAZQAgAHQAaABlACAAbQBvAGQAdQBsAGUAJwBzACAAbgBhAG0AZQApALYAXAAiACAAJgBcAG4AIAAgACAAIAAgACAAIAAgACAAIAAgACAAIAAgACAAIAAgACAAIAAgACAAIAAgACAAXAAiADQAIAByAG8AdwBzACwAIAAzACAAYwBvAGwAcwAgACAAIAAgACAAkiE9AG8AegAuAEQAZQBiAHQAUwBjAHUAbABwAHQAVgBhAHIAaQBhAGIAbABlAEwAUgBWALsDKAAsACAAewAxADAAMAAwACwAMAAsADAAfQAsACAAewAzADAAMAAsADMAMAAwACwAMwAwADAAfQAsACAAewAxAC4AMgAsADEALgAyACwAMQAuADIAfQAsACAAewAwAC4AMAA2ACwAMAAuADAANgAsADAALgAwADYAfQAsACAAMQAyACkAXAAiACwAXABuACAAIAAgACAAIAAgACAAIAAgACAAIAAgACAAIAAgACAAIAAgACAAIAAgACAAIAAgAFwAIgCSIVwAIgAsACAAXAAiALYAXAAiAFwAbgAgACAAIAAgACAAIAAgACAAIAAgACAAIAAgACAAIAAgACAAIAAgACAAIAAgACAAIAApAFwAbgAgACAAIAAgACAAIAAgACAAIAAgACAAIAAgACAAIAAgACAAIAAgACAAKQAsAFwAbgAgACAAIAAgAC8ALwAgACAAQQAgAGIAbABhAG4AawAgAFAAZQByAGkAbwBkAFIAYQB0AGUAcwAgAGMAZQBsAGwAIABvAHIAIAByAGEAbgBnAGUAIABpAHMAIABuAG8AdAAgAGEAIAByAG8AdwAgAG8AZgAgAHIAYQB0AGUAcwAsACAAcwBvACAAdABlAHMAdAAgAGYAbwByACAAYgBvAHQAaABcAG4AIAAgACAAIAAgACAAIAAgAFUAcwBlAFIAYQB0AGUAcwAsACAAIAAgACAAIAAgACAAQQBOAEQAKAAgAE4ATwBUACgAIABJAFMATwBNAEkAVABUAEUARAAoACAAUABlAHIAaQBvAGQAUgBhAHQAZQBzACkAKQAsACAAQwBPAFUATgBUACgAIABQAGUAcgBpAG8AZABSAGEAdABlAHMAKQAgAD4AIAAwACkALABcAG4AIAAgACAAIAAvAC8AIAAgAEMAaABlAGMAawAgAGkAbgBwAHUAdABzACAALQAgAE8AbQBpAHQAdABlAGQAIAByAGUAcQB1AGkAcgBlAGQAIABhAHIAZwB1AG0AZQBuAHQAcwBcAG4AIAAgACAAIAAgACAAIAAgAEgAZQBsAHAAPwAsACAAIAAgACAAIAAgACAAIAAgACAATwBSACgAIABJAFMATwBNAEkAVABUAEUARAAoACAARABlAGIAdAApACwAXABuACAAIAAgACAAIAAgACAAIAAgACAAIAAgACAAIAAgACAAIAAgACAAIAAgACAAIAAgACAAIAAgACAASQBTAE8ATQBJAFQAVABFAEQAKAAgAEMARgBBAEQAUwApACwAXABuACAAIAAgACAAIAAgACAAIAAgACAAIAAgACAAIAAgACAAIAAgACAAIAAgACAAIAAgACAAIAAgACAASQBTAE8ATQBJAFQAVABFAEQAKAAgAEQAUwBDAFIAKQAsAFwAbgAgACAAIAAgACAAIAAgACAAIAAgACAAIAAgACAAIAAgACAAIAAgACAAIAAgACAAIAAgACAAIAAgAEEATgBEACgAIABJAFMATwBNAEkAVABUAEUARAAoACAAQQBQAFIAKQAsACAATgBPAFQAKAAgAFUAcwBlAFIAYQB0AGUAcwApACkAXABuACAAIAAgACAAIAAgACAAIAAgACAAIAAgACAAIAAgACAAIAAgACAAIAAgACAAIAAgACkALABcAG4AIAAgACAAIAAvAC8AIAAgAEMAaABlAGMAawAgAGkAbgBwAHUAdABzACAALQAgAEUAcgByAG8AcgBzACAAaQBuACAAYQByAGcAdQBtAGUAbgB0ACAAdgBhAGwAdQBlAHMAXABuACAAIAAgACAAIAAgACAAIABFAHIAcgBNAHMAZwBzACwAIAAgACAAIAAgACAAIAAgAHsAXAAiAEQAZQBiAHQAIABtAHUAcwB0ACAAYgBlACAAbwBuAGUAIAByAG8AdwAgAG8AZgAgAG4AZQB3ACAAZABlAGIAdAAgAHcAaQB0AGgAIABhAHQAIABsAGUAYQBzAHQAIAB0AHcAbwAgAHAAZQByAGkAbwBkAHMAXAAiADsAXABuACAAIAAgACAAIAAgACAAIAAgACAAIAAgACAAIAAgACAAIAAgACAAIAAgACAAIAAgACAAXAAiAEMARgBBAEQAUwAgAG0AdQBzAHQAIABiAGUAIABvAG4AZQAgAHIAbwB3ACAAbwBmACAAbgB1AG0AYgBlAHIAcwAgAHcAaQB0AGgAIAB0AGgAZQAgAHMAYQBtAGUAIABuAHUAbQBiAGUAcgAgAG8AZgAgAHAAZQByAGkAbwBkAHMAIABhAHMAIABEAGUAYgB0AFwAIgA7AFwAbgAgACAAIAAgACAAIAAgACAAIAAgACAAIAAgACAAIAAgACAAIAAgACAAIAAgACAAIAAgAFwAIgBEAFMAQwBSACAAbQB1AHMAdAAgAGIAZQAgAG8AbgBlACAAcgBvAHcAIABvAGYAIABwAG8AcwBpAHQAaQB2AGUAIABuAHUAbQBiAGUAcgBzACAAdwBpAHQAaAAgAHQAaABlACAAcwBhAG0AZQAgAG4AdQBtAGIAZQByACAAbwBmACAAcABlAHIAaQBvAGQAcwAgAGEAcwAgAEQAZQBiAHQAXAAiADsAXABuACAAIAAgACAAIAAgACAAIAAgACAAIAAgACAAIAAgACAAIAAgACAAIAAgACAAIAAgACAAXAAiAEEAUABSACAAbwByACAAUABlAHIAaQBvAGQAUgBhAHQAZQBzACAAbQB1AHMAdAAgAGIAZQAgAG8AbgBlACAAcgBvAHcAIAB3AGkAdABoACAAdABoAGUAIABzAGEAbQBlACAAbgB1AG0AYgBlAHIAIABvAGYAIABwAGUAcgBpAG8AZABzACAAYQBzACAARABlAGIAdABcACIAfQAsAFwAbgAgACAAIAAgAC8ALwAgACAARQB2AGUAcgB5ACAARABTAEMAUgAgAGUAbABlAG0AZQBuAHQAIABkAGkAdgBpAGQAZQBzACAAaQB0AHMAIABwAGUAcgBpAG8AZAAnAHMAIABjAGEAcwBoACAAYgBlAGwAbwB3ACwAIABzAG8AIABvAG4AZQAgAHoAZQByAG8AIAByAGUAdAB1AHIAbgBzAFwAbgAgACAAIAAgAC8ALwAgACAAIwBEAEkAVgAvADAAIQAgAGYAbwByACAAdABoAGUAIAB3AGgAbwBsAGUAIABzAGMAaABlAGQAdQBsAGUAIAByAGEAdABoAGUAcgAgAHQAaABhAG4AIAB0AGgAaQBzACAAbQBlAHMAcwBhAGcAZQAuAFwAbgAgACAAIAAgACAAIAAgACAARQByAHIAbwByAHMALAAgACAAIAAgACAAIAAgACAAIABWAFMAVABBAEMASwAoACAATwBSACgAIABSAE8AVwBTACgAIABEAGUAYgB0ACkAIAA8AD4AIAAxACwAIABDAE8ATABVAE0ATgBTACgAIABEAGUAYgB0ACkAIAA8AD0AIAAxACkALABcAG4AIAAgACAAIAAgACAAIAAgACAAIAAgACAAIAAgACAAIAAgACAAIAAgACAAIAAgACAAIAAgACAAIAAgACAAIAAgAE8AUgAoACAAUgBPAFcAUwAoACAAQwBGAEEARABTACkAIAA8AD4AIAAxACwAIABDAE8ATABVAE0ATgBTACgAIABDAEYAQQBEAFMAKQAgADwAPgAgAEMATwBMAFUATQBOAFMAKAAgAEQAZQBiAHQAKQAsAFwAbgAgACAAIAAgACAAIAAgACAAIAAgACAAIAAgACAAIAAgACAAIAAgACAAIAAgACAAIAAgACAAIAAgACAAIAAgACAAIAAgACAAIABOAE8AVAAoACAAQQBOAEQAKAAgAEkAUwBOAFUATQBCAEUAUgAoACAAQwBGAEEARABTACkAKQApACkALABcAG4AIAAgACAAIAAgACAAIAAgACAAIAAgACAAIAAgACAAIAAgACAAIAAgACAAIAAgACAAIAAgACAAIAAgACAAIAAgAE8AUgAoACAAUgBPAFcAUwAoACAARABTAEMAUgApACAAPAA+ACAAMQAsACAAQwBPAEwAVQBNAE4AUwAoACAARABTAEMAUgApACAAPAA+ACAAQwBPAEwAVQBNAE4AUwAoACAARABlAGIAdAApACwAXABuACAAIAAgACAAIAAgACAAIAAgACAAIAAgACAAIAAgACAAIAAgACAAIAAgACAAIAAgACAAIAAgACAAIAAgACAAIAAgACAAIAAgAE4ATwBUACgAIABBAE4ARAAoACAASQBTAE4AVQBNAEIARQBSACgAIABEAFMAQwBSACkAKQApACwAIABPAFIAKAAgAEQAUwBDAFIAIAA8AD0AIAAwACkAKQAsAFwAbgAgACAAIAAgACAAIAAgACAAIAAgACAAIAAgACAAIAAgACAAIAAgACAAIAAgACAAIAAgACAAIAAgACAAIAAgACAASQBGACgAIABVAHMAZQBSAGEAdABlAHMALABcAG4AIAAgACAAIAAgACAAIAAgACAAIAAgACAAIAAgACAAIAAgACAAIAAgACAAIAAgACAAIAAgACAAIAAgACAAIAAgACAAIAAgACAATwBSACgAIABSAE8AVwBTACgAIABQAGUAcgBpAG8AZABSAGEAdABlAHMAKQAgADwAPgAgADEALAAgAEMATwBMAFUATQBOAFMAKAAgAFAAZQByAGkAbwBkAFIAYQB0AGUAcwApACAAPAA+ACAAQwBPAEwAVQBNAE4AUwAoACAARABlAGIAdAApACkALABcAG4AIAAgACAAIAAgACAAIAAgACAAIAAgACAAIAAgACAAIAAgACAAIAAgACAAIAAgACAAIAAgACAAIAAgACAAIAAgACAAIAAgACAATwBSACgAIABSAE8AVwBTACgAIABBAFAAUgApACAAPAA+ACAAMQAsACAAQwBPAEwAVQBNAE4AUwAoACAAQQBQAFIAKQAgADwAPgAgAEMATwBMAFUATQBOAFMAKAAgAEQAZQBiAHQAKQApACkAXABuACAAIAAgACAAIAAgACAAIAAgACAAIAAgACAAIAAgACAAIAAgACAAIAAgACAAIAAgACkALABcAG4AIAAgACAAIAAgACAAIAAgAE0AZQBzAHMAYQBnAGUAcwAsACAAIAAgACAAIAAgACAARgBJAEwAVABFAFIAKAAgAEUAcgByAE0AcwBnAHMALAAgAEUAcgByAG8AcgBzACwAIABcACIAXAAiACkALABcAG4AIAAgACAAIAAvAC8AIAAgAEMAaABlAGMAawAgAGkAbgBwAHUAdABzACAALQAgAFMAZQB0ACAAbwBwAHQAaQBvAG4AYQBsACAAYQByAGcAdQBtAGUAbgB0AHMAJwAgAGQAZQBmAGEAdQBsAHQAcwBcAG4AIAAgACAAIAAgACAAIAAgAE8AcABlAG4AaQBuAGcAQgBhAGwAYQBuAGMAZQAsACAASQBGACgAIABJAFMATgBVAE0AQgBFAFIAKAAgAE8AcABlAG4AaQBuAGcAQgBhAGwAYQBuAGMAZQApACwAIABPAHAAZQBuAGkAbgBnAEIAYQBsAGEAbgBjAGUALAAgADAAKQAsAFwAbgAgACAAIAAgACAAIAAgACAATQBvAG4AdABoAHMAUABlAHIAUABlAHIAaQBvAGQALAAgAEkARgAoACAASQBTAE4AVQBNAEIARQBSACgAIABNAG8AbgB0AGgAcwBQAGUAcgBQAGUAcgBpAG8AZAApACwAIABNAG8AbgB0AGgAcwBQAGUAcgBQAGUAcgBpAG8AZAAsACAAMQApACwAXABuACAAIAAgACAALwAvACAAIABQAHIAbwBjAGUAZAB1AHIAZQAgAC0AIABzAG8AbAB2AGUAIAB0AGgAZQAgAGMAbABvAHMAaQBuAGcAIABiAGEAbABhAG4AYwBlACAAcABlAHIAaQBvAGQAIABiAHkAIABwAGUAcgBpAG8AZAAsACAAdABoAGUAbgAgAHIAZQBhAGQAIAB0AGgAZQAgAHIAbwB3AHMAIABvAGYAZgAgAGkAdABcAG4AIAAgACAAIAAvAC8AIAAgAEEAIABwAGEAeQBtAGUAbgB0ACAAYgBlAGwAbwB3ACAAegBlAHIAbwAgAGkAcwAgAGQAZQBsAGkAYgBlAHIAYQB0AGUAIABoAGUAcgBlADoAIAB0AGgAaQBzACAAZgB1AG4AYwB0AGkAbwBuACAAcABhAHkAcwAgAGkAbgB0AGUAcgBlAHMAdAAgAG8AdQB0ACAAbwBmACAAdABoAGUAXABuACAAIAAgACAALwAvACAAIABwAGUAcgBpAG8AZAAnAHMAIABjAGEAcwBoACAAYQBuAGQAIAByAGUAcABhAHkAcwAgAHAAcgBpAG4AYwBpAHAAYQBsACwAIABzAG8AIABhAG4AIAB1AG4AcABhAGkAZAAgAHAAZQByAGkAbwBkACAAYwBhAHAAaQB0AGEAbABpAHMAZQBzACAAaQB0AHMAIABpAG4AdABlAHIAZQBzAHQAXABuACAAIAAgACAALwAvACAAIAB0AGgAcgBvAHUAZwBoACAAYQAgAG4AZQBnAGEAdABpAHYAZQAgAHAAYQB5AG0AZQBuAHQALgAgAHQAbwBvAGwAcwAvAGUAeABjAGUAbABfAHMAZQBsAGYAdABlAHMAdAAuAHAAcwAxACAAcABpAG4AcwAgAGkAdAAgAGEAcwAgAFwAIgBuAG8AIABjAGEAcwBoAFwAbgAgACAAIAAgAC8ALwAgACAAYwBhAHAAaQB0AGEAbABpAHMAZQBzACAAaQBuAHQAZQByAGUAcwB0ACAAbwBuAGMAZQBcACIALgAgAEQAbwAgAG4AbwB0ACAAZgBsAG8AbwByACAAaQB0ACAAdwBpAHQAaABvAHUAdAAgAGMAaABhAG4AZwBpAG4AZwAgAHQAaABhAHQAIABhAHMAcwBlAHIAdABpAG8AbgAuAFwAbgAgACAAIAAgACAAIAAgACAAUABlAHIAaQBvAGQAcwAsACAAIAAgACAAIAAgACAAIABTAEUAUQBVAEUATgBDAEUAKAAgADEALAAgAEMATwBMAFUATQBOAFMAKAAgAEQAZQBiAHQAKQApACwAXABuACAAIAAgACAALwAvACAAIABBACAAcgBvAHcAIABvAGYAIAByAGEAdABlAHMAIABwAGUAcgAgAHAAZQByAGkAbwBkACwAIABmAHIAbwBtACAAYQAgAGQAYQB5ACAAYwBvAHUAbgB0ACAAYwBvAG4AdgBlAG4AdABpAG8AbgAsACAAcgBlAHAAbABhAGMAZQBzACAAdABoAGUAIABmAGwAYQB0ACAAdAB3AGUAbABmAHQAaAAgAG8AZgAgAEEAUABSAFwAbgAgACAAIAAgACAAIAAgACAAUgBhAHQAZQBzACwAIAAgACAAIAAgACAAIAAgACAAIABJAEYAKAAgAFUAcwBlAFIAYQB0AGUAcwAsAFwAbgAgACAAIAAgACAAIAAgACAAIAAgACAAIAAgACAAIAAgACAAIAAgACAAIAAgACAAIAAgACAAIAAgAEkATgBEAEUAWAAoACAAUABlAHIAaQBvAGQAUgBhAHQAZQBzACwAIAAxACwAIABQAGUAcgBpAG8AZABzACkALABcAG4AIAAgACAAIAAgACAAIAAgACAAIAAgACAAIAAgACAAIAAgACAAIAAgACAAIAAgACAAIAAgACAAIABJAE4ARABFAFgAKAAgAEEAUABSACwAIAAxACwAIABQAGUAcgBpAG8AZABzACkAIAAvACAAMQAyACAAKgAgAE0AbwBuAHQAaABzAFAAZQByAFAAZQByAGkAbwBkAFwAbgAgACAAIAAgACAAIAAgACAAIAAgACAAIAAgACAAIAAgACAAIAAgACAAIAAgACAAIAApACwAXABuACAAIAAgACAAIAAgACAAIABOAGUAdwBEAGUAYgB0ACwAIAAgACAAIAAgACAAIAAgAEkATgBEAEUAWAAoACAARABlAGIAdAAsACAAMQAsACAAUABlAHIAaQBvAGQAcwApACwAXABuACAAIAAgACAAIAAgACAAIABSAGEAdwBDAGEAcwBoACwAIAAgACAAIAAgACAAIAAgAEkATgBEAEUAWAAoACAAQwBGAEEARABTACwAIAAxACwAIABQAGUAcgBpAG8AZABzACkALABcAG4AIAAgACAAIAAgACAAIAAgAEMAYQBzAGgALAAgACAAIAAgACAAIAAgACAAIAAgACAASQBGACgAIABSAGEAdwBDAGEAcwBoACAAPAAgADAALAAgADAALAAgAFIAYQB3AEMAYQBzAGgAKQAsAFwAbgAgACAAIAAgACAAIAAgACAAQwBvAHYAZQByACwAIAAgACAAIAAgACAAIAAgACAAIABJAE4ARABFAFgAKAAgAEQAUwBDAFIALAAgADEALAAgAFAAZQByAGkAbwBkAHMAKQAsAFwAbgAgACAAIAAgACAAIAAgACAAQwBsAG8AcwBpAG4AZwBzACwAIAAgACAAIAAgACAAIABTAEMAQQBOACgAIABPAHAAZQBuAGkAbgBnAEIAYQBsAGEAbgBjAGUALAAgAFAAZQByAGkAbwBkAHMALABcAG4AIAAgACAAIAAgACAAIAAgACAAIAAgACAAIAAgACAAIAAgACAAIAAgACAAIAAgACAAIAAgACAAIABMAEEATQBCAEQAQQAoACAAQwBhAHIAcgBpAGUAZAAsACAAUABlAHIAaQBvAGQALABcAG4AIAAgACAAIAAgACAAIAAgACAAIAAgACAAIAAgACAAIAAgACAAIAAgACAAIAAgACAAIAAgACAAIAAgACAAIAAgAEwARQBUACgATwBwAGUAbgBpAG4AZwAsACAAIAAgACAAQwBhAHIAcgBpAGUAZAAgACsAIABJAE4ARABFAFgAKAAgAE4AZQB3AEQAZQBiAHQALAAgADEALAAgAFAAZQByAGkAbwBkACkALABcAG4AIAAgACAAIAAgACAAIAAgACAAIAAgACAAIAAgACAAIAAgACAAIAAgACAAIAAgACAAIAAgACAAIAAgACAAIAAgACAAIAAgACAASQBuAHQAZQByAGUAcwB0ACwAIAAgACAASQBuAHQAZQByAGUAcwB0AEwAUgBWALsDKAAgAEkATgBEAEUAWAAoACAAQwBhAHMAaAAsACAAMQAsACAAUABlAHIAaQBvAGQAKQAsACAASQBOAEQARQBYACgAIABDAG8AdgBlAHIALAAgADEALAAgAFAAZQByAGkAbwBkACkALAAgAE8AcABlAG4AaQBuAGcALAAgAEkATgBEAEUAWAAoACAAUgBhAHQAZQBzACwAIAAxACwAIABQAGUAcgBpAG8AZAApACkALABcAG4AIAAgACAAIAAgACAAIAAgACAAIAAgACAAIAAgACAAIAAgACAAIAAgACAAIAAgACAAIAAgACAAIAAgACAAIAAgACAAIAAgACAAUABhAHkAbQBlAG4AdAAsACAAIAAgACAATQBJAE4AKAAgAEkATgBEAEUAWAAoACAAQwBhAHMAaAAsACAAMQAsACAAUABlAHIAaQBvAGQAKQAgAC8AIABJAE4ARABFAFgAKAAgAEMAbwB2AGUAcgAsACAAMQAsACAAUABlAHIAaQBvAGQAKQAgAC0AIABJAG4AdABlAHIAZQBzAHQALAAgAE8AcABlAG4AaQBuAGcAKQAsAFwAbgAgACAAIAAgACAAIAAgACAAIAAgACAAIAAgACAAIAAgACAAIAAgACAAIAAgACAAIAAgACAAIAAgACAAIAAgACAAIAAgACAAIABPAHAAZQBuAGkAbgBnACAALQAgAFAAYQB5AG0AZQBuAHQAXABuACAAIAAgACAAIAAgACAAIAAgACAAIAAgACAAIAAgACAAIAAgACAAIAAgACAAIAAgACAAIAAgACAAIAAgACAAIAApAFwAbgAgACAAIAAgACAAIAAgACAAIAAgACAAIAAgACAAIAAgACAAIAAgACAAIAAgACAAIAAgACAAIAAgACkAXABuACAAIAAgACAAIAAgACAAIAAgACAAIAAgACAAIAAgACAAIAAgACAAIAAgACAAIAAgACkALABcAG4AIAAgACAAIAAgACAAIAAgAEMAYQByAHIAaQBlAGQALAAgACAAIAAgACAAIAAgACAASQBGACgAIABDAE8ATABVAE0ATgBTACgAIABEAGUAYgB0ACkAIAA9ACAAMQAsACAATwBwAGUAbgBpAG4AZwBCAGEAbABhAG4AYwBlACwAIABIAFMAVABBAEMASwAoACAATwBwAGUAbgBpAG4AZwBCAGEAbABhAG4AYwBlACwAIABEAFIATwBQACgAIABDAGwAbwBzAGkAbgBnAHMALAAgACwAIAAtADEAKQApACkALABcAG4AIAAgACAAIAAgACAAIAAgAE8AcABlAG4AaQBuAGcALAAgACAAIAAgACAAIAAgACAAQwBhAHIAcgBpAGUAZAAgACsAIABOAGUAdwBEAGUAYgB0ACwAXABuACAAIAAgACAAIAAgACAAIABJAG4AdABlAHIAZQBzAHQALAAgACAAIAAgACAAIAAgAE0AQQBQACgAIABQAGUAcgBpAG8AZABzACwAXABuACAAIAAgACAAIAAgACAAIAAgACAAIAAgACAAIAAgACAAIAAgACAAIAAgACAAIAAgACAAIAAgACAATABBAE0AQgBEAEEAKAAgAFAAZQByAGkAbwBkACwAXABuACAAIAAgACAAIAAgACAAIAAgACAAIAAgACAAIAAgACAAIAAgACAAIAAgACAAIAAgACAAIAAgACAAIAAgACAAIABJAG4AdABlAHIAZQBzAHQATABSAFYAuwMoACAASQBOAEQARQBYACgAIABDAGEAcwBoACwAIAAxACwAIABQAGUAcgBpAG8AZAApACwAIABJAE4ARABFAFgAKAAgAEMAbwB2AGUAcgAsACAAMQAsACAAUABlAHIAaQBvAGQAKQAsACAASQBOAEQARQBYACgAIABPAHAAZQBuAGkAbgBnACwAIAAxACwAIABQAGUAcgBpAG8AZAApACwAIABJAE4ARABFAFgAKAAgAFIAYQB0AGUAcwAsACAAMQAsACAAUABlAHIAaQBvAGQAKQApAFwAbgAgACAAIAAgACAAIAAgACAAIAAgACAAIAAgACAAIAAgACAAIAAgACAAIAAgACAAIAAgACAAIAAgACkAXABuACAAIAAgACAAIAAgACAAIAAgACAAIAAgACAAIAAgACAAIAAgACAAIAAgACAAIAAgACkALABcAG4AIAAgACAAIAAgACAAIAAgAEEAdgBhAGkAbABhAGIAbABlACwAIAAgACAAIAAgACAAQwBhAHMAaAAgAC8AIABDAG8AdgBlAHIAIAAtACAASQBuAHQAZQByAGUAcwB0ACwAXABuACAAIAAgACAAIAAgACAAIABQAGEAeQBtAGUAbgB0ACwAIAAgACAAIAAgACAAIAAgAEkARgAoACAAQQB2AGEAaQBsAGEAYgBsAGUAIAA8ACAATwBwAGUAbgBpAG4AZwAsACAAQQB2AGEAaQBsAGEAYgBsAGUALAAgAE8AcABlAG4AaQBuAGcAKQAsAFwAbgAgACAAIAAgACAAIAAgACAAQwBsAG8AcwBpAG4AZwAsACAAIAAgACAAIAAgACAAIABPAHAAZQBuAGkAbgBnACAALQAgAFAAYQB5AG0AZQBuAHQALABcAG4AIAAgACAAIAAgACAAIAAgAFIAZQBzAHUAbAB0ACwAIAAgACAAIAAgACAAIAAgACAAVgBTAFQAQQBDAEsAKAAgAE8AcABlAG4AaQBuAGcALAAgAEkAbgB0AGUAcgBlAHMAdAAsACAALQBQAGEAeQBtAGUAbgB0ACwAIABDAGwAbwBzAGkAbgBnACkALABcAG4AIAAgACAAIAAvAC8AIAAgAFIAZQB0AHUAcgBuACAAUgBlAHMAdQBsAHQALAAgAEgAZQBsAHAAIABvAHIAIAB0AGgAZQAgAG0AZQBzAHMAYQBnAGUAcwBcAG4AIAAgACAAIAAgACAAIAAgAFIAZQB0AHUAcgBuACwAIAAgACAAIAAgACAAIAAgACAASQBGACgAIABIAGUAbABwAD8ALAAgADIALAAgAEkARgAoACAATwBSACgAIABFAHIAcgBvAHIAcwApACwAIAAzACwAIAAxACkAKQAsAFwAbgAgACAAIAAgACAAIAAgACAAQwBIAE8ATwBTAEUAKAAgAFIAZQB0AHUAcgBuACwAIABSAGUAcwB1AGwAdAAsACAASABlAGwAcAAsACAATQBlAHMAcwBhAGcAZQBzACkAXABuACAAIAAgACAAKQBcAG4AKQA7AFwAbgBcAG4AXABuAFwAbgAvACoAIAAgAEYAVQBOAEMAVABJAE8ATgAgAE4AQQBNAEUAOgAgACAARABlAGIAdABTAGMAdQBsAHAAdABWAGEAcgBpAGEAYgBsAGUAuwNcAG4AIAAgACAAIABEAEUAUwBDAFIASQBQAFQASQBPAE4AOgAqAC8ALwAqACoAQwByAGUAYQB0AGUAcwAgAGEAIABkAGUAYgB0ACAAcwBjAHUAbABwAHQAaQBuAGcAIABzAGMAaABlAGQAdQBsAGUAIAB3AGgAZQByAGUAIABBAFAAUgAgAGEAbgBkACAARABTAEMAUgAgAGEAcgBlACAAcwBlAHQAIABmAG8AcgAgAGUAYQBjAGgAIABwAGUAcgBpAG8AZAAqAC8AXABuAEQAZQBiAHQAUwBjAHUAbABwAHQAVgBhAHIAaQBhAGIAbABlALsDIAA9ACAATABBAE0AQgBEAEEAKABcAG4ALwAvACAAIABQAGEAcgBhAG0AZQB0AGUAcgAgAEQAZQBjAGwAYQByAGEAdABpAG8AbgBzAFwAbgAgACAAIAAgAFsATwBwAGUAbgBpAG4AZwBCAGEAbABhAG4AYwBlAF0ALABcAG4AIAAgACAAIABbAEQAZQBiAHQAXQAsAFwAbgAgACAAIAAgAFsAQwBGAEEARABTAF0ALABcAG4AIAAgACAAIABbAEQAUwBDAFIAXQAsAFwAbgAgACAAIAAgAFsAQQBQAFIAXQAsAFwAbgAgACAAIAAgAFsATQBvAG4AdABoAHMAUABlAHIAUABlAHIAaQBvAGQAXQAsAFwAbgAgACAAIAAgAFsAUABlAHIAaQBvAGQAUgBhAHQAZQBzAF0ALABcAG4ALwAvACAAIABIAGUAbABwAFwAbgAgACAAIAAgAEwARQBUACgASABlAGwAcAAsACAAIAAgACAAIAAgACAAVABSAEkATQAoAFQARQBYAFQAUwBQAEwASQBUACgAXABuACAAIAAgACAAIAAgACAAIAAgACAAIAAgACAAIAAgACAAIAAgACAAIAAgACAAIAAgAFwAIgBGAFUATgBDAFQASQBPAE4AOgAgACAAIAAgACAAIAAgACAAIAAgAJIhRABlAGIAdABTAGMAdQBsAHAAdABWAGEAcgBpAGEAYgBsAGUAuwMoAFsATwBwAGUAbgBpAG4AZwBCAGEAbABhAG4AYwBlAF0ALAAgAEQAZQBiAHQALAAgAEMARgBBAEQAUwAsACAARABTAEMAUgAsACAAQQBQAFIALAAgAFsATQBvAG4AdABoAHMAUABlAHIAUABlAHIAaQBvAGQAXQAsACAAWwBQAGUAcgBpAG8AZABSAGEAdABlAHMAXQApALYAXAAiACAAJgBcAG4AIAAgACAAIAAgACAAIAAgACAAIAAgACAAIAAgACAAIAAgACAAIAAgACAAIAAgACAAXAAiAEQARQBTAEMAUgBJAFAAVABJAE8ATgA6ACAAIAAgACAAIAAgACAAkiFDAHIAZQBhAHQAZQBzACAAYQAgAEQAZQBiAHQAIABTAGMAdQBsAHAAdABpAG4AZwAgAHMAYwBoAGUAZAB1AGwAZQAgAHcAaABlAHIAZQAgAEEAUABSACAAYQBuAGQAIABEAFMAQwBSACAAYQByAGUAIABzAGUAdAAgAGYAbwByACAAZQBhAGMAaAAgAHAAZQByAGkAbwBkALYAXAAiACAAJgBcAG4AIAAgACAAIAAgACAAIAAgACAAIAAgACAAIAAgACAAIAAgACAAIAAgACAAIAAgACAAXAAiAFMAVQBHAEcARQBTAFQARQBEACAAUgBPAFcAIABJAEQAUwA6ACAAkiFEAGUAYgB0ACAAbwBwAGUAbgBpAG4AZwAgAGIAYQBsAGEAbgBjAGUAtgBcACIAIAAmAFwAbgAgACAAIAAgACAAIAAgACAAIAAgACAAIAAgACAAIAAgACAAIAAgACAAIAAgACAAIABcACIAIAAgACAAIAAgACAAIAAgACAAIAAgACAAIAAgACAAIAAgACAAIACSIUkAbgB0AGUAcgBlAHMAdAAgAG8AbgAgAFAAcgBpAG4AYwBpAHAAYQBsACAAQgBhAGwAYQBuAGMAZQC2AFwAIgAgACYAXABuACAAIAAgACAAIAAgACAAIAAgACAAIAAgACAAIAAgACAAIAAgACAAIAAgACAAIAAgAFwAIgAgACAAIAAgACAAIAAgACAAIAAgACAAIAAgACAAIAAgACAAIAAgAJIhRABlAGIAdAAgAHMAZQByAHYAaQBjAGUAIAAoAGkAbgB0AGUAcgBlAHMAdAAgAGEAbgBkACAAcAByAGkAbgBjAGkAcABhAGwAKQC2AFwAIgAgACYAXABuACAAIAAgACAAIAAgACAAIAAgACAAIAAgACAAIAAgACAAIAAgACAAIAAgACAAIAAgAFwAIgAgACAAIAAgACAAIAAgACAAIAAgACAAIAAgACAAIAAgACAAIAAgAJIhRABlAGIAdAAgAGMAbABvAHMAaQBuAGcAIABiAGEAbABhAG4AYwBlALYAXAAiACAAJgBcAG4AIAAgACAAIAAgACAAIAAgACAAIAAgACAAIAAgACAAIAAgACAAIAAgACAAIAAgACAAXAAiAFcARQBCAFAAQQBHAEUAOgAgACAAIAAgACAAIAAgACAAIAAgACAAkiFoAHQAdABwAHMAOgAvAC8AZwBpAHQAaAB1AGIALgBjAG8AbQAvAHIAeQBhAG4AZAB1AGcAdQBpAGQALwBPAHoAegBpAHQAtgBcACIAIAAmAFwAbgAgACAAIAAgACAAIAAgACAAIAAgACAAIAAgACAAIAAgACAAIAAgACAAIAAgACAAIABcACIAVgBFAFIAUwBJAE8ATgA6ACAAIAAgACAAIAAgACAAIAAgACAAIACSITEAMAAgAFMAZQBwACAAMgAwADIANgC2AFwAIgAgACYAXABuACAAIAAgACAAIAAgACAAIAAgACAAIAAgACAAIAAgACAAIAAgACAAIAAgACAAIAAgAFwAIgBQAEEAUgBBAE0ARQBUAEUAUgBTADoAIAAgACAAIAAgACAAIAAgAJIhtgBcACIAIAAmAFwAbgAgACAAIAAgACAAIAAgACAAIAAgACAAIAAgACAAIAAgACAAIAAgACAAIAAgACAAIABcACIATwBwAGUAbgBpAG4AZwBCAGEAbABhAG4AYwBlACAAIAAgACAAIACSISgATwBwAHQAaQBvAG4AYQBsACkAIABNAG8AZABlAGwAJwBzACAAZABlAGIAdAAgAG8AbgAgAG8AcABlAG4AaQBuAGcALgAgAEQAZQBmAGEAdQBsAHQAcwAgAHQAbwAgADAAtgBcACIAIAAmAFwAbgAgACAAIAAgACAAIAAgACAAIAAgACAAIAAgACAAIAAgACAAIAAgACAAIAAgACAAIABcACIARABlAGIAdAAgACAAIAAgACAAIAAgACAAIAAgACAAIAAgACAAIACSISgAUgBlAHEAdQBpAHIAZQBkACkAIABPAG4AZQAgAHIAbwB3ACAAbwBmACAAbgBlAHcAIABkAGUAYgB0ACwAIABhAHQAIABsAGUAYQBzAHQAIAB0AHcAbwAgAHAAZQByAGkAbwBkAHMALgAgAEUAdgBlAHIAeQAgAHAAZQByAGkAbwBkACAAaQBuAHAAdQB0ACAAbQB1AHMAdAAgAGgAYQB2AGUAIAB0AGgAaQBzACAAcwBhAG0AZQAgAHcAaQBkAHQAaAC2AFwAIgAgACYAXABuACAAIAAgACAAIAAgACAAIAAgACAAIAAgACAAIAAgACAAIAAgACAAIAAgACAAIAAgAFwAIgBDAEYAQQBEAFMAIAAgACAAIAAgACAAIAAgACAAIAAgACAAIAAgAJIhKABSAGUAcQB1AGkAcgBlAGQAKQAgAEEAIAByAG8AdwAgAG8AZgAgAEMAYQBzAGgAIABGAGwAbwB3ACAAQQB2AGEAaQBsAGEAYgBsAGUAIABmAG8AcgAgAEQAZQBiAHQAIABTAGUAcgB2AGkAYwBlACAAaQBuACAAZQBhAGMAaAAgAHAAZQByAGkAbwBkALYAXAAiACAAJgBcAG4AIAAgACAAIAAgACAAIAAgACAAIAAgACAAIAAgACAAIAAgACAAIAAgACAAIAAgACAAXAAiAEQAUwBDAFIAIAAgACAAIAAgACAAIAAgACAAIAAgACAAIAAgACAAkiEoAFIAZQBxAHUAaQByAGUAZAApACAAQQAgAHIAbwB3ACAAbwBmACAARABlAGIAdAAgAFMAZQByAHYAaQBjAGUAIABDAG8AdgBlAHIAYQBnAGUAIABSAGEAdABpAG8AcwAsACAAbwBuAGUAIABwAGUAcgAgAHAAZQByAGkAbwBkALYAXAAiACAAJgBcAG4AIAAgACAAIAAgACAAIAAgACAAIAAgACAAIAAgACAAIAAgACAAIAAgACAAIAAgACAAXAAiAEEAUABSACAAIAAgACAAIAAgACAAIAAgACAAIAAgACAAIAAgACAAkiEoAFIAZQBxAHUAaQByAGUAZAAgAHUAbgBsAGUAcwBzACAAUABlAHIAaQBvAGQAUgBhAHQAZQBzACAAaQBzACAAZwBpAHYAZQBuACkAIABBACAAcgBvAHcAIABvAGYAIABJAG4AdABlAHIAZQBzAHQAJwBzACAAQQBuAG4AdQBhAGwAIABQAGUAcgBjAGUAbgB0AGEAZwBlACAAUgBhAHQAZQBzACwAIABvAG4AZQAgAHAAZQByACAAcABlAHIAaQBvAGQALgAgAEUAYQBjAGgAIABwAGUAcgBpAG8AZAAgAGMAaABhAHIAZwBlAHMAIABBAFAAUgAgAC8AIAAxADIAIAAqACAATQBvAG4AdABoAHMAUABlAHIAUABlAHIAaQBvAGQAtgBcACIAIAAmAFwAbgAgACAAIAAgACAAIAAgACAAIAAgACAAIAAgACAAIAAgACAAIAAgACAAIAAgACAAIABcACIATQBvAG4AdABoAHMAUABlAHIAUABlAHIAaQBvAGQAIAAgACAAIACSISgATwBwAHQAaQBvAG4AYQBsACkAIABEAGUAZgBhAHUAbAB0AHMAIAB0AG8AIABvAG4AZQAgAG0AbwBuAHQAaAAgAHAAZQByACAAcABlAHIAaQBvAGQALgAgAEkAZwBuAG8AcgBlAGQAIAB3AGgAZQBuACAAUABlAHIAaQBvAGQAUgBhAHQAZQBzACAAaQBzACAAZwBpAHYAZQBuALYAXAAiACAAJgBcAG4AIAAgACAAIAAgACAAIAAgACAAIAAgACAAIAAgACAAIAAgACAAIAAgACAAIAAgACAAXAAiAFAAZQByAGkAbwBkAFIAYQB0AGUAcwAgACAAIAAgACAAIAAgACAAkiEoAE8AcAB0AGkAbwBuAGEAbAApACAAQQAgAHIAbwB3ACAAbwBmACAAaQBuAHQAZQByAGUAcwB0ACAAcgBhAHQAZQBzACAAcABlAHIAIABwAGUAcgBpAG8AZAAsACAAbwBuAGUAIABwAGUAcgAgAHAAZQByAGkAbwBkACwAIABzAHUAYwBoACAAYQBzACAARABhAHkAQwBvAHUAbgB0AFIAYQB0AGUAuwMoACkAIAByAGUAdAB1AHIAbgBzACAAZgBvAHIAIABhACAAZABhAHkAIABjAG8AdQBuAHQAIABjAG8AbgB2AGUAbgB0AGkAbwBuAC4AIABXAGgAZQBuACAAZwBpAHYAZQBuACwAIABpAG4AdABlAHIAZQBzAHQAIAB1AHMAZQBzACAAdABoAGUAcwBlACAAcgBhAHQAZQBzACAAYQBuAGQAIABBAFAAUgAgAGEAbgBkACAATQBvAG4AdABoAHMAUABlAHIAUABlAHIAaQBvAGQAIABhAHIAZQAgAGkAZwBuAG8AcgBlAGQALgAgAEEAIABiAGwAYQBuAGsAIABjAGUAbABsACAAbwByACAAcgBhAG4AZwBlACAAYwBvAHUAbgB0AHMAIABhAHMAIABuAG8AdAAgAGcAaQB2AGUAbgC2AFwAIgAgACYAXABuACAAIAAgACAAIAAgACAAIAAgACAAIAAgACAAIAAgACAAIAAgACAAIAAgACAAIAAgAFwAIgBFAFgAQQBNAFAATABFAFMAOgAgACAAIAAgACAAIAAgACAAIAAgAJIhtgBcACIAIAAmAFwAbgAgACAAIAAgACAAIAAgACAAIAAgACAAIAAgACAAIAAgACAAIAAgACAAIAAgACAAIABcACIAUgBlAHMAdQBsAHQAIAAgACAAIAAgACAAIAAgACAAIAAgACAAIACSIUYAbwByAG0AdQBsAGEAIAAoAG8AegAgAGkAcwAgAGEAcwBzAHUAbQBlAGQAIAB0AG8AIABiAGUAIAB0AGgAZQAgAG0AbwBkAHUAbABlACcAcwAgAG4AYQBtAGUAKQC2AFwAIgAgACYAXABuACAAIAAgACAAIAAgACAAIAAgACAAIAAgACAAIAAgACAAIAAgACAAIAAgACAAIAAgAFwAIgA0ACAAcgBvAHcAcwAsACAAMwAgAGMAbwBsAHMAIAAgACAAIAAgAJIhPQBvAHoALgBEAGUAYgB0AFMAYwB1AGwAcAB0AFYAYQByAGkAYQBiAGwAZQC7AygALAAgAHsAMQAwADAAMAAsADAALAAwAH0ALAAgAHsAMwAwADAALAAzADAAMAAsADMAMAAwAH0ALAAgAHsAMQAuADIALAAxAC4AMgAsADEALgAyAH0ALAAgAHsAMAAuADAANgAsADAALgAwADYALAAwAC4AMAA2AH0ALAAgADEAMgApAFwAIgAsAFwAbgAgACAAIAAgACAAIAAgACAAIAAgACAAIAAgACAAIAAgACAAIAAgACAAIAAgACAAIABcACIAkiFcACIALAAgAFwAIgC2AFwAIgBcAG4AIAAgACAAIAAgACAAIAAgACAAIAAgACAAIAAgACAAIAAgACAAIAAgACAAIAAgACAAKQBcAG4AIAAgACAAIAAgACAAIAAgACAAIAAgACAAIAAgACAAIAAgACAAIAAgACkALABcAG4AIAAgACAAIAAvAC8AIAAgAEEAIABiAGwAYQBuAGsAIABQAGUAcgBpAG8AZABSAGEAdABlAHMAIABjAGUAbABsACAAbwByACAAcgBhAG4AZwBlACAAaQBzACAAbgBvAHQAIABhACAAcgBvAHcAIABvAGYAIAByAGEAdABlAHMALAAgAHMAbwAgAHQAZQBzAHQAIABmAG8AcgAgAGIAbwB0AGgAXABuACAAIAAgACAAIAAgACAAIABVAHMAZQBSAGEAdABlAHMALAAgACAAIAAgACAAIAAgAEEATgBEACgAIABOAE8AVAAoACAASQBTAE8ATQBJAFQAVABFAEQAKAAgAFAAZQByAGkAbwBkAFIAYQB0AGUAcwApACkALAAgAEMATwBVAE4AVAAoACAAUABlAHIAaQBvAGQAUgBhAHQAZQBzACkAIAA+ACAAMAApACwAXABuACAAIAAgACAALwAvACAAIABDAGgAZQBjAGsAIABpAG4AcAB1AHQAcwAgAC0AIABPAG0AaQB0AHQAZQBkACAAcgBlAHEAdQBpAHIAZQBkACAAYQByAGcAdQBtAGUAbgB0AHMAXABuACAAIAAgACAAIAAgACAAIABIAGUAbABwAD8ALAAgACAAIAAgACAAIAAgACAAIAAgAE8AUgAoACAASQBTAE8ATQBJAFQAVABFAEQAKAAgAEQAZQBiAHQAKQAsAFwAbgAgACAAIAAgACAAIAAgACAAIAAgACAAIAAgACAAIAAgACAAIAAgACAAIAAgACAAIAAgACAAIAAgAEkAUwBPAE0ASQBUAFQARQBEACgAIABDAEYAQQBEAFMAKQAsAFwAbgAgACAAIAAgACAAIAAgACAAIAAgACAAIAAgACAAIAAgACAAIAAgACAAIAAgACAAIAAgACAAIAAgAEkAUwBPAE0ASQBUAFQARQBEACgAIABEAFMAQwBSACkALABcAG4AIAAgACAAIAAgACAAIAAgACAAIAAgACAAIAAgACAAIAAgACAAIAAgACAAIAAgACAAIAAgACAAIABBAE4ARAAoACAASQBTAE8ATQBJAFQAVABFAEQAKAAgAEEAUABSACkALAAgAE4ATwBUACgAIABVAHMAZQBSAGEAdABlAHMAKQApAFwAbgAgACAAIAAgACAAIAAgACAAIAAgACAAIAAgACAAIAAgACAAIAAgACAAIAAgACAAIAApACwAXABuACAAIAAgACAALwAvACAAIABDAGgAZQBjAGsAIABpAG4AcAB1AHQAcwAgAC0AIABFAHIAcgBvAHIAcwAgAGkAbgAgAGEAcgBnAHUAbQBlAG4AdAAgAHYAYQBsAHUAZQBzAFwAbgAgACAAIAAgACAAIAAgACAARQByAHIATQBzAGcAcwAsACAAIAAgACAAIAAgACAAIAB7AFwAIgBEAGUAYgB0ACAAbQB1AHMAdAAgAGIAZQAgAG8AbgBlACAAcgBvAHcAIABvAGYAIABuAGUAdwAgAGQAZQBiAHQAIAB3AGkAdABoACAAYQB0ACAAbABlAGEAcwB0ACAAdAB3AG8AIABwAGUAcgBpAG8AZABzAFwAIgA7AFwAbgAgACAAIAAgACAAIAAgACAAIAAgACAAIAAgACAAIAAgACAAIAAgACAAIAAgACAAIAAgAFwAIgBDAEYAQQBEAFMAIABtAHUAcwB0ACAAYgBlACAAbwBuAGUAIAByAG8AdwAgAHcAaQB0AGgAIAB0AGgAZQAgAHMAYQBtAGUAIABuAHUAbQBiAGUAcgAgAG8AZgAgAHAAZQByAGkAbwBkAHMAIABhAHMAIABEAGUAYgB0AFwAIgA7AFwAbgAgACAAIAAgACAAIAAgACAAIAAgACAAIAAgACAAIAAgACAAIAAgACAAIAAgACAAIAAgAFwAIgBEAFMAQwBSACAAbQB1AHMAdAAgAGIAZQAgAG8AbgBlACAAcgBvAHcAIABvAGYAIABwAG8AcwBpAHQAaQB2AGUAIABuAHUAbQBiAGUAcgBzACAAdwBpAHQAaAAgAHQAaABlACAAcwBhAG0AZQAgAG4AdQBtAGIAZQByACAAbwBmACAAcABlAHIAaQBvAGQAcwAgAGEAcwAgAEQAZQBiAHQAXAAiADsAXABuACAAIAAgACAAIAAgACAAIAAgACAAIAAgACAAIAAgACAAIAAgACAAIAAgACAAIAAgACAAXAAiAEEAUABSACAAbwByACAAUABlAHIAaQBvAGQAUgBhAHQAZQBzACAAbQB1AHMAdAAgAGIAZQAgAG8AbgBlACAAcgBvAHcAIAB3AGkAdABoACAAdABoAGUAIABzAGEAbQBlACAAbgB1AG0AYgBlAHIAIABvAGYAIABwAGUAcgBpAG8AZABzACAAYQBzACAARABlAGIAdABcACIAfQAsAFwAbgAgACAAIAAgAC8ALwAgACAARQB2AGUAcgB5ACAARABTAEMAUgAgAGUAbABlAG0AZQBuAHQAIABkAGkAdgBpAGQAZQBzACAAaQB0AHMAIABwAGUAcgBpAG8AZAAnAHMAIABjAGEAcwBoACAAYgBlAGwAbwB3ACwAIABzAG8AIABvAG4AZQAgAHoAZQByAG8AIAByAGUAdAB1AHIAbgBzAFwAbgAgACAAIAAgAC8ALwAgACAAIwBEAEkAVgAvADAAIQAgAGYAbwByACAAdABoAGUAIAB3AGgAbwBsAGUAIABzAGMAaABlAGQAdQBsAGUAIAByAGEAdABoAGUAcgAgAHQAaABhAG4AIAB0AGgAaQBzACAAbQBlAHMAcwBhAGcAZQAuAFwAbgAgACAAIAAgACAAIAAgACAARQByAHIAbwByAHMALAAgACAAIAAgACAAIAAgACAAIABWAFMAVABBAEMASwAoACAATwBSACgAIABSAE8AVwBTACgAIABEAGUAYgB0ACkAIAA8AD4AIAAxACwAIABDAE8ATABVAE0ATgBTACgAIABEAGUAYgB0ACkAIAA8AD0AIAAxACkALABcAG4AIAAgACAAIAAgACAAIAAgACAAIAAgACAAIAAgACAAIAAgACAAIAAgACAAIAAgACAAIAAgACAAIAAgACAAIAAgAE8AUgAoACAAUgBPAFcAUwAoACAAQwBGAEEARABTACkAIAA8AD4AIAAxACwAIABDAE8ATABVAE0ATgBTACgAIABDAEYAQQBEAFMAKQAgADwAPgAgAEMATwBMAFUATQBOAFMAKAAgAEQAZQBiAHQAKQApACwAXABuACAAIAAgACAAIAAgACAAIAAgACAAIAAgACAAIAAgACAAIAAgACAAIAAgACAAIAAgACAAIAAgACAAIAAgACAAIABPAFIAKAAgAFIATwBXAFMAKAAgAEQAUwBDAFIAKQAgADwAPgAgADEALAAgAEMATwBMAFUATQBOAFMAKAAgAEQAUwBDAFIAKQAgADwAPgAgAEMATwBMAFUATQBOAFMAKAAgAEQAZQBiAHQAKQAsAFwAbgAgACAAIAAgACAAIAAgACAAIAAgACAAIAAgACAAIAAgACAAIAAgACAAIAAgACAAIAAgACAAIAAgACAAIAAgACAAIAAgACAAIABOAE8AVAAoACAAQQBOAEQAKAAgAEkAUwBOAFUATQBCAEUAUgAoACAARABTAEMAUgApACkAKQAsACAATwBSACgAIABEAFMAQwBSACAAPAA9ACAAMAApACkALABcAG4AIAAgACAAIAAgACAAIAAgACAAIAAgACAAIAAgACAAIAAgACAAIAAgACAAIAAgACAAIAAgACAAIAAgACAAIAAgAEkARgAoACAAVQBzAGUAUgBhAHQAZQBzACwAXABuACAAIAAgACAAIAAgACAAIAAgACAAIAAgACAAIAAgACAAIAAgACAAIAAgACAAIAAgACAAIAAgACAAIAAgACAAIAAgACAAIAAgAE8AUgAoACAAUgBPAFcAUwAoACAAUABlAHIAaQBvAGQAUgBhAHQAZQBzACkAIAA8AD4AIAAxACwAIABDAE8ATABVAE0ATgBTACgAIABQAGUAcgBpAG8AZABSAGEAdABlAHMAKQAgADwAPgAgAEMATwBMAFUATQBOAFMAKAAgAEQAZQBiAHQAKQApACwAXABuACAAIAAgACAAIAAgACAAIAAgACAAIAAgACAAIAAgACAAIAAgACAAIAAgACAAIAAgACAAIAAgACAAIAAgACAAIAAgACAAIAAgAE8AUgAoACAAUgBPAFcAUwAoACAAQQBQAFIAKQAgADwAPgAgADEALAAgAEMATwBMAFUATQBOAFMAKAAgAEEAUABSACkAIAA8AD4AIABDAE8ATABVAE0ATgBTACgAIABEAGUAYgB0ACkAKQApAFwAbgAgACAAIAAgACAAIAAgACAAIAAgACAAIAAgACAAIAAgACAAIAAgACAAIAAgACAAIAApACwAXABuACAAIAAgACAAIAAgACAAIABNAGUAcwBzAGEAZwBlAHMALAAgACAAIAAgACAAIAAgAEYASQBMAFQARQBSACgAIABFAHIAcgBNAHMAZwBzACwAIABFAHIAcgBvAHIAcwAsACAAXAAiAFwAIgApACwAXABuACAAIAAgACAALwAvACAAIABDAGgAZQBjAGsAIABpAG4AcAB1AHQAcwAgAC0AIABTAGUAdAAgAG8AcAB0AGkAbwBuAGEAbAAgAGEAcgBnAHUAbQBlAG4AdABzACcAIABkAGUAZgBhAHUAbAB0AHMAXABuACAAIAAgACAAIAAgACAAIABPAHAAZQBuAGkAbgBnAEIAYQBsAGEAbgBjAGUALAAgAEkARgAoACAASQBTAE4AVQBNAEIARQBSACgAIABPAHAAZQBuAGkAbgBnAEIAYQBsAGEAbgBjAGUAKQAsACAATwBwAGUAbgBpAG4AZwBCAGEAbABhAG4AYwBlACwAIAAwACkALABcAG4AIAAgACAAIAAgACAAIAAgAE0AbwBuAHQAaABzAFAAZQByAFAAZQByAGkAbwBkACwAIABJAEYAKAAgAEkAUwBOAFUATQBCAEUAUgAoACAATQBvAG4AdABoAHMAUABlAHIAUABlAHIAaQBvAGQAKQAsACAATQBvAG4AdABoAHMAUABlAHIAUABlAHIAaQBvAGQALAAgADEAKQAsAFwAbgAgACAAIAAgAC8ALwAgACAAUAByAG8AYwBlAGQAdQByAGUAIAAtACAAcwBvAGwAdgBlACAAdABoAGUAIABjAGwAbwBzAGkAbgBnACAAYgBhAGwAYQBuAGMAZQAgAHAAZQByAGkAbwBkACAAYgB5ACAAcABlAHIAaQBvAGQALAAgAHQAaABlAG4AIAByAGUAYQBkACAAdABoAGUAIAByAG8AdwBzACAAbwBmAGYAIABpAHQAXABuACAAIAAgACAALwAvACAAIABOAGUAZwBhAHQAaQB2AGUAIABDAEYAQQBEAFMAIABtAGUAYQBuAHMAIABuAG8AIABjAGEAcwBoACAAZgBvAHIAIABkAGUAYgB0ACAAcwBlAHIAdgBpAGMAZQAsACAAcwBvACAAdABoAGUAIABwAGEAeQBtAGUAbgB0ACAAaQBzACAAZgBsAG8AbwByAGUAZAAgAGEAdABcAG4AIAAgACAAIAAvAC8AIAAgAHoAZQByAG8ALgAgAFcAaQB0AGgAbwB1AHQAIAB0AGgAZQAgAGYAbABvAG8AcgAgAGkAdAAgAHcAZQBuAHQAIABuAGUAZwBhAHQAaQB2AGUALAAgAHcAaABpAGMAaAAgAHIAYQBpAHMAZQBkACAAdABoAGUAIABjAGwAbwBzAGkAbgBnACAAYgBhAGwAYQBuAGMAZQAgAGEAbgBkAFwAbgAgACAAIAAgAC8ALwAgACAAcgBlAHAAbwByAHQAZQBkACAAdABoAGUAIABuAGUAZwBhAHQAZQBkACAAYQBtAG8AdQBuAHQAIABhAHMAIABwAG8AcwBpAHQAaQB2AGUAIABkAGUAYgB0ACAAcwBlAHIAdgBpAGMAZQAuACAAVABoAGUAIAByAG8AdwBzACAAYgBlAGwAbwB3ACAAZgBsAG8AbwByACAAdwBpAHQAaABcAG4AIAAgACAAIAAvAC8AIAAgAEkARgAgAHIAYQB0AGgAZQByACAAdABoAGEAbgAgAE0AQQBYADoAIABNAEEAWAAgAHcAbwB1AGwAZAAgAGEAZwBnAHIAZQBnAGEAdABlACAAdABoAGUAIAB3AGgAbwBsAGUAIAByAG8AdwAgAHQAbwAgAG8AbgBlACAAbgB1AG0AYgBlAHIALgAgAFQAaABlAHkAIABmAGwAbwBvAHIAXABuACAAIAAgACAALwAvACAAIAB0AGgAZQAgAGEAbQBvAHUAbgB0ACAAbwB3AGUAZAAgAHQAbwBvACwAIABzAG8AIABhACAAbgBlAGcAYQB0AGkAdgBlACAAbwBwAGUAbgBpAG4AZwAgAGIAYQBsAGEAbgBjAGUAIAByAGUAcABhAHkAcwAgAG4AbwB0AGgAaQBuAGcAIABpAG4AIAB0AGgAZQAgAHIAbwB3AHMAXABuACAAIAAgACAALwAvACAAIABlAHgAYQBjAHQAbAB5ACAAYQBzACAAaQB0ACAAZABvAGUAcwAgAGkAbgAgAHQAaABlACAAUwBDAEEATgAsACAAYQBuAGQAIABlAGEAYwBoACAAYwBsAG8AcwBpAG4AZwAgAGIAYQBsAGEAbgBjAGUAIABvAHAAZQBuAHMAIAB0AGgAZQAgAG4AZQB4AHQAIABwAGUAcgBpAG8AZAAuAFwAbgAgACAAIAAgACAAIAAgACAAUABlAHIAaQBvAGQAcwAsACAAIAAgACAAIAAgACAAIABTAEUAUQBVAEUATgBDAEUAKAAgADEALAAgAEMATwBMAFUATQBOAFMAKAAgAEQAZQBiAHQAKQApACwAXABuACAAIAAgACAALwAvACAAIABBACAAcgBvAHcAIABvAGYAIAByAGEAdABlAHMAIABwAGUAcgAgAHAAZQByAGkAbwBkACwAIABmAHIAbwBtACAAYQAgAGQAYQB5ACAAYwBvAHUAbgB0ACAAYwBvAG4AdgBlAG4AdABpAG8AbgAsACAAcgBlAHAAbABhAGMAZQBzACAAdABoAGUAIABmAGwAYQB0ACAAdAB3AGUAbABmAHQAaAAgAG8AZgAgAEEAUABSAFwAbgAgACAAIAAgACAAIAAgACAAUgBhAHQAZQBzACwAIAAgACAAIAAgACAAIAAgACAAIABJAEYAKAAgAFUAcwBlAFIAYQB0AGUAcwAsAFwAbgAgACAAIAAgACAAIAAgACAAIAAgACAAIAAgACAAIAAgACAAIAAgACAAIAAgACAAIAAgACAAIAAgAEkATgBEAEUAWAAoACAAUABlAHIAaQBvAGQAUgBhAHQAZQBzACwAIAAxACwAIABQAGUAcgBpAG8AZABzACkALABcAG4AIAAgACAAIAAgACAAIAAgACAAIAAgACAAIAAgACAAIAAgACAAIAAgACAAIAAgACAAIAAgACAAIABJAE4ARABFAFgAKAAgAEEAUABSACwAIAAxACwAIABQAGUAcgBpAG8AZABzACkAIAAvACAAMQAyACAAKgAgAE0AbwBuAHQAaABzAFAAZQByAFAAZQByAGkAbwBkAFwAbgAgACAAIAAgACAAIAAgACAAIAAgACAAIAAgACAAIAAgACAAIAAgACAAIAAgACAAIAApACwAXABuACAAIAAgACAAIAAgACAAIABOAGUAdwBEAGUAYgB0ACwAIAAgACAAIAAgACAAIAAgAEkATgBEAEUAWAAoACAARABlAGIAdAAsACAAMQAsACAAUABlAHIAaQBvAGQAcwApACwAXABuACAAIAAgACAAIAAgACAAIABDAGEAcwBoACwAIAAgACAAIAAgACAAIAAgACAAIAAgAEkATgBEAEUAWAAoACAAQwBGAEEARABTACwAIAAxACwAIABQAGUAcgBpAG8AZABzACkALABcAG4AIAAgACAAIAAgACAAIAAgAEMAbwB2AGUAcgAsACAAIAAgACAAIAAgACAAIAAgACAASQBOAEQARQBYACgAIABEAFMAQwBSACwAIAAxACwAIABQAGUAcgBpAG8AZABzACkALABcAG4AIAAgACAAIAAgACAAIAAgAEMAbABvAHMAaQBuAGcAcwAsACAAIAAgACAAIAAgACAAUwBDAEEATgAoACAATwBwAGUAbgBpAG4AZwBCAGEAbABhAG4AYwBlACwAIABQAGUAcgBpAG8AZABzACwAXABuACAAIAAgACAAIAAgACAAIAAgACAAIAAgACAAIAAgACAAIAAgACAAIAAgACAAIAAgACAAIAAgACAATABBAE0AQgBEAEEAKAAgAEMAYQByAHIAaQBlAGQALAAgAFAAZQByAGkAbwBkACwAXABuACAAIAAgACAAIAAgACAAIAAgACAAIAAgACAAIAAgACAAIAAgACAAIAAgACAAIAAgACAAIAAgACAAIAAgACAAIABMAEUAVAAoAE8AcABlAG4AaQBuAGcALAAgACAAIAAgAEMAYQByAHIAaQBlAGQAIAArACAASQBOAEQARQBYACgAIABOAGUAdwBEAGUAYgB0ACwAIAAxACwAIABQAGUAcgBpAG8AZAApACwAXABuACAAIAAgACAAIAAgACAAIAAgACAAIAAgACAAIAAgACAAIAAgACAAIAAgACAAIAAgACAAIAAgACAAIAAgACAAIAAgACAAIAAgAEkAbgB0AGUAcgBlAHMAdAAsACAAIAAgAE8AcABlAG4AaQBuAGcAIAAqACAASQBOAEQARQBYACgAIABSAGEAdABlAHMALAAgADEALAAgAFAAZQByAGkAbwBkACkALABcAG4AIAAgACAAIAAgACAAIAAgACAAIAAgACAAIAAgACAAIAAgACAAIAAgACAAIAAgACAAIAAgACAAIAAgACAAIAAgACAAIAAgACAAUABhAHkAbQBlAG4AdAAsACAAIAAgACAATQBBAFgAKAAgADAALAAgAE0ASQBOACgAIABJAE4ARABFAFgAKAAgAEMAYQBzAGgALAAgADEALAAgAFAAZQByAGkAbwBkACkAIAAvACAASQBOAEQARQBYACgAIABDAG8AdgBlAHIALAAgADEALAAgAFAAZQByAGkAbwBkACkALAAgAE8AcABlAG4AaQBuAGcAIAArACAASQBuAHQAZQByAGUAcwB0ACkAKQAsAFwAbgAgACAAIAAgACAAIAAgACAAIAAgACAAIAAgACAAIAAgACAAIAAgACAAIAAgACAAIAAgACAAIAAgACAAIAAgACAAIAAgACAAIABPAHAAZQBuAGkAbgBnACAAKwAgAEkAbgB0AGUAcgBlAHMAdAAgAC0AIABQAGEAeQBtAGUAbgB0AFwAbgAgACAAIAAgACAAIAAgACAAIAAgACAAIAAgACAAIAAgACAAIAAgACAAIAAgACAAIAAgACAAIAAgACAAIAAgACAAKQBcAG4AIAAgACAAIAAgACAAIAAgACAAIAAgACAAIAAgACAAIAAgACAAIAAgACAAIAAgACAAIAAgACAAIAApAFwAbgAgACAAIAAgACAAIAAgACAAIAAgACAAIAAgACAAIAAgACAAIAAgACAAIAAgACAAIAApACwAXABuACAAIAAgACAAIAAgACAAIABDAGEAcgByAGkAZQBkACwAIAAgACAAIAAgACAAIAAgAEkARgAoACAAQwBPAEwAVQBNAE4AUwAoACAARABlAGIAdAApACAAPQAgADEALAAgAE8AcABlAG4AaQBuAGcAQgBhAGwAYQBuAGMAZQAsACAASABTAFQAQQBDAEsAKAAgAE8AcABlAG4AaQBuAGcAQgBhAGwAYQBuAGMAZQAsACAARABSAE8AUAAoACAAQwBsAG8AcwBpAG4AZwBzACwAIAAsACAALQAxACkAKQApACwAXABuACAAIAAgACAAIAAgACAAIABPAHAAZQBuAGkAbgBnACwAIAAgACAAIAAgACAAIAAgAEMAYQByAHIAaQBlAGQAIAArACAATgBlAHcARABlAGIAdAAsAFwAbgAgACAAIAAgACAAIAAgACAASQBuAHQAZQByAGUAcwB0ACwAIAAgACAAIAAgACAAIABPAHAAZQBuAGkAbgBnACAAKgAgAFIAYQB0AGUAcwAsAFwAbgAgACAAIAAgACAAIAAgACAAUwBlAHIAdgBpAGMAZQAsACAAIAAgACAAIAAgACAAIABJAEYAKAAgAEMAYQBzAGgAIAAvACAAQwBvAHYAZQByACAAPAAgADAALAAgADAALAAgAEMAYQBzAGgAIAAvACAAQwBvAHYAZQByACkALABcAG4AIAAgACAAIAAgACAAIAAgAFAAYQB5AG0AZQBuAHQALAAgACAAIAAgACAAIAAgACAASQBGACgAIABPAHAAZQBuAGkAbgBnACAAKwAgAEkAbgB0AGUAcgBlAHMAdAAgADwAIAAwACwAIAAwACwAIABJAEYAKAAgAFMAZQByAHYAaQBjAGUAIAA8ACAATwBwAGUAbgBpAG4AZwAgACsAIABJAG4AdABlAHIAZQBzAHQALAAgAFMAZQByAHYAaQBjAGUALAAgAE8AcABlAG4AaQBuAGcAIAArACAASQBuAHQAZQByAGUAcwB0ACkAKQAsAFwAbgAgACAAIAAgACAAIAAgACAAQwBsAG8AcwBpAG4AZwAsACAAIAAgACAAIAAgACAAIABPAHAAZQBuAGkAbgBnACAAKwAgAEkAbgB0AGUAcgBlAHMAdAAgAC0AIABQAGEAeQBtAGUAbgB0ACwAXABuACAAIAAgACAAIAAgACAAIABSAGUAcwB1AGwAdAAsACAAIAAgACAAIAAgACAAIAAgAFYAUwBUAEEAQwBLACgAIABPAHAAZQBuAGkAbgBnACwAIABJAG4AdABlAHIAZQBzAHQALAAgAC0AUABhAHkAbQBlAG4AdAAsACAAQwBsAG8AcwBpAG4AZwApACwAXABuACAAIAAgACAALwAvACAAIABSAGUAdAB1AHIAbgAgAFIAZQBzAHUAbAB0ACwAIABIAGUAbABwACAAbwByACAAdABoAGUAIABtAGUAcwBzAGEAZwBlAHMAXABuACAAIAAgACAAIAAgACAAIABSAGUAdAB1AHIAbgAsACAAIAAgACAAIAAgACAAIAAgAEkARgAoACAASABlAGwAcAA/ACwAIAAyACwAIABJAEYAKAAgAE8AUgAoACAARQByAHIAbwByAHMAKQAsACAAMwAsACAAMQApACkALABcAG4AIAAgACAAIAAgACAAIAAgAEMASABPAE8AUwBFACgAIABSAGUAdAB1AHIAbgAsACAAUgBlAHMAdQBsAHQALAAgAEgAZQBsAHAALAAgAE0AZQBzAHMAYQBnAGUAcwApAFwAbgAgACAAIAAgACkAXABuACkAOwBcAG4AXABuAFwAbgBcAG4ALwAqACAAIABGAFUATgBDAFQASQBPAE4AIABOAEEATQBFADoAIAAgAEkAbgB0AGUAcgBlAHMAdABMAFIAVgC7A1wAbgAgACAAIAAgAEQARQBTAEMAUgBJAFAAVABJAE8ATgA6ACoALwAvACoAKgBDAGEAbABjAHUAbABhAHQAZQBzACAAZABlAGIAdAAgAHMAYwB1AGwAcAB0AGkAbgBnACAAaQBuAHQAZQByAGUAcwB0ACAAbwBuACAAdABoAGUAIABhAHYAZQByAGEAZwBlACAAYgBhAGwAYQBuAGMAZQAgAG8AdgBlAHIAIAB0AGgAZQAgAHAAZQByAGkAbwBkACwAIAB0AGgAZQAgAG0AZQB0AGgAbwBkACAAcAByAGUAcwBlAG4AdABlAGQAIABiAHkAIABMAGEAbgBjAGUAIABSAHUAYgBpAG4AKgAvAFwAbgBJAG4AdABlAHIAZQBzAHQATABSAFYAuwMgAD0AIABMAEEATQBCAEQAQQAoAFwAbgAvAC8AIAAgAFAAYQByAGEAbQBlAHQAZQByACAARABlAGMAbABhAHIAYQB0AGkAbwBuAHMAXABuACAAIAAgACAAWwBDAEYAQQBEAFMAXQAsAFwAbgAgACAAIAAgAFsARABTAEMAUgBdACwAXABuACAAIAAgACAAWwBQAHIAaQBuAGMAaQBwAGEAbABdACwAXABuACAAIAAgACAAWwBJAG4AdABlAHIAZQBzAHQAUgBhAHQAZQBdACwAXABuAC8ALwAgACAASABlAGwAcABcAG4AIAAgACAAIABMAEUAVAAoAEgAZQBsAHAALAAgACAAIAAgACAAIAAgAFQAUgBJAE0AKABUAEUAWABUAFMAUABMAEkAVAAoAFwAbgAgACAAIAAgACAAIAAgACAAIAAgACAAIAAgACAAIAAgACAAIAAgACAAIAAgACAAIABcACIARgBVAE4AQwBUAEkATwBOADoAIAAgACAAIAAgACAAkiFJAG4AdABlAHIAZQBzAHQATABSAFYAuwMoAEMARgBBAEQAUwAsACAARABTAEMAUgAsACAAUAByAGkAbgBjAGkAcABhAGwALAAgAEkAbgB0AGUAcgBlAHMAdABSAGEAdABlACkAtgBcACIAIAAmAFwAbgAgACAAIAAgACAAIAAgACAAIAAgACAAIAAgACAAIAAgACAAIAAgACAAIAAgACAAIABcACIARABFAFMAQwBSAEkAUABUAEkATwBOADoAIAAgACAAkiFDAGEAbABjAHUAbABhAHQAZQBzACAAZABlAGIAdAAgAHMAYwB1AGwAcAB0AGkAbgBnACAAaQBuAHQAZQByAGUAcwB0ACAAdQBzAGkAbgBnACAAdABoAGUAIABtAGUAdABoAG8AZAAgAHAAcgBlAHMAZQBuAHQAZQBkACAAYgB5ACAATABhAG4AYwBlACAAUgB1AGIAaQBuAC4AtgBcACIAIAAmAFwAbgAgACAAIAAgACAAIAAgACAAIAAgACAAIAAgACAAIAAgACAAIAAgACAAIAAgACAAIAAgACAAIAAgACAAIAAgACAAIAAgACAAIAAgACAAIABcACIAkiFJAG4AdABlAHIAZQBzAHQAIABpAHMAIABjAGgAYQByAGcAZQBkACAAbwBuACAAdABoAGUAIABhAHYAZQByAGEAZwBlACAAYgBhAGwAYQBuAGMAZQAgAG8AdgBlAHIAIAB0AGgAZQAgAHAAZQByAGkAbwBkACwAIAB3AGkAdABoACAAdABoAGUAtgBcACIAIAAmAFwAbgAgACAAIAAgACAAIAAgACAAIAAgACAAIAAgACAAIAAgACAAIAAgACAAIAAgACAAIAAgACAAIAAgACAAIAAgACAAIAAgACAAIAAgACAAIABcACIAkiFwAHIAaQBuAGMAaQBwAGEAbAAgAHIAZQBwAGEAaQBkACAAYwBhAHAAcABlAGQAIABhAHQAIAB0AGgAZQAgAHAAcgBpAG4AYwBpAHAAYQBsACAAbwB1AHQAcwB0AGEAbgBkAGkAbgBnAC4AIABUAGgAZQAgAGEAdgBlAHIAYQBnAGUAIABiAGEAbABhAG4AYwBlALYAXAAiACAAJgBcAG4AIAAgACAAIAAgACAAIAAgACAAIAAgACAAIAAgACAAIAAgACAAIAAgACAAIAAgACAAIAAgACAAIAAgACAAIAAgACAAIAAgACAAIAAgACAAXAAiAJIhZABlAHAAZQBuAGQAcwAgAG8AbgAgAHQAaABlACAAaQBuAHQAZQByAGUAcwB0ACAAYQBuAGQAIAB0AGgAZQAgAGkAbgB0AGUAcgBlAHMAdAAgAG8AbgAgAHQAaABlACAAYQB2AGUAcgBhAGcAZQAgAGIAYQBsAGEAbgBjAGUALAAgAHcAaABpAGMAaAC2AFwAIgAgACYAXABuACAAIAAgACAAIAAgACAAIAAgACAAIAAgACAAIAAgACAAIAAgACAAIAAgACAAIAAgACAAIAAgACAAIAAgACAAIAAgACAAIAAgACAAIAAgAFwAIgCSIWkAcwAgAHMAbwBsAHYAZQBkACAAaQBuACAAYwBsAG8AcwBlAGQAIABmAG8AcgBtACAAcgBhAHQAaABlAHIAIAB0AGgAYQBuACAAYgB5ACAAaQB0AGUAcgBhAHQAaQBvAG4ALgC2AFwAIgAgACYAXABu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FwAIgBWAEUAUgBTAEkATwBOADoAIAAgACAAIAAgACAAIACSITIAMAAgAEEAdQBnACAAMgAwADIANgC2AFwAIgAgACYAXABuACAAIAAgACAAIAAgACAAIAAgACAAIAAgACAAIAAgACAAIAAgACAAIAAgACAAIAAgAFwAIgBQAEEAUgBBAE0ARQBUAEUAUgBTADoAIAAgACAAIACSIbYAXAAiACAAJgBcAG4AIAAgACAAIAAgACAAIAAgACAAIAAgACAAIAAgACAAIAAgACAAIAAgACAAIAAgACAAXAAiAEMARgBBAEQAUwAgACAAIAAgACAAIAAgACAAIAAgAJIhKABSAGUAcQB1AGkAcgBlAGQAKQAgAEMAYQBzAGgAIABGAGwAbwB3ACAAQQB2AGEAaQBsAGEAYgBsAGUAIABmAG8AcgAgAEQAZQBiAHQAIABTAGUAcgB2AGkAYwBlACAAZgBvAHIAIAB0AGgAaQBzACAAcABlAHIAaQBvAGQAtgBcACIAIAAmAFwAbgAgACAAIAAgACAAIAAgACAAIAAgACAAIAAgACAAIAAgACAAIAAgACAAIAAgACAAIABcACIARABTAEMAUgAgACAAIAAgACAAIAAgACAAIAAgACAAkiEoAFIAZQBxAHUAaQByAGUAZAApACAARABlAGIAdAAgAFMAZQByAHYAaQBjAGUAIABDAG8AdgBlAHIAYQBnAGUAIABSAGEAdABpAG8AIABmAG8AcgAgAHQAaABpAHMAIABwAGUAcgBpAG8AZAC2AFwAIgAgACYAXABuACAAIAAgACAAIAAgACAAIAAgACAAIAAgACAAIAAgACAAIAAgACAAIAAgACAAIAAgAFwAIgBQAHIAaQBuAGMAaQBwAGEAbAAgACAAIAAgACAAIACSISgAUgBlAHEAdQBpAHIAZQBkACkAIABQAHIAaQBuAGMAaQBwAGEAbAAgAGIAYQBsAGEAbgBjAGUAIABmAG8AcgAgAHQAaABpAHMAIABwAGUAcgBpAG8AZAC2AFwAIgAgACYAXABuACAAIAAgACAAIAAgACAAIAAgACAAIAAgACAAIAAgACAAIAAgACAAIAAgACAAIAAgAFwAIgBJAG4AdABlAHIAZQBzAHQAUgBhAHQAZQAgACAAIACSISgAUgBlAHEAdQBpAHIAZQBkACkAIABJAG4AdABlAHIAZQBzAHQAIAByAGEAdABlACAAZgBvAHIAIAB0AGgAaQBzACAAcABlAHIAaQBvAGQAIAAoAGUAZwAuACAAQQBQAFIALwBEAGEAeQBzACAAaQBuACAAdABoAGkAcwAgAHkAZQBhAHIAIAAqACAARABhAHkAcwAgAGkAbgAgAHQAaABpAHMAIABwAGUAcgBpAG8AZAApALYAXAAiACAAJgBcAG4AIAAgACAAIAAgACAAIAAgACAAIAAgACAAIAAgACAAIAAgACAAIAAgACAAIAAgACAAXAAiAEUAWABBAE0AUABMAEUAUwA6ACAAIAAgACAAIAAgAJIhtgBcACIAIAAm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MgAyADIALgA5ADAAIAAgACAAIAAgACAAIAAgACAAkiE9AG8AegAuAEkAbgB0AGUAcgBlAHMAdABMAFIAVgC7AygAIAA2ADYANgA2AC4AMwA3ACwAIAAzAC4ANQAwACwAIAA5ADAAMAAwADAALAAgADMAJQAvADEAMgApAFwAIgAs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GAEEARABTACkALABcAG4AIAAgACAAIAAgACAAIAAgACAAIAAgACAAIAAgACAAIAAgACAAIAAgACAAIAAgACAAIAAgACAAIABJAFMATwBNAEkAVABUAEUARAAoACAARABTAEMAUgApACwAXABuACAAIAAgACAAIAAgACAAIAAgACAAIAAgACAAIAAgACAAIAAgACAAIAAgACAAIAAgACAAIAAgACAASQBTAE8ATQBJAFQAVABFAEQAKAAgAFAAcgBpAG4AYwBpAHAAYQBsACkALABcAG4AIAAgACAAIAAgACAAIAAgACAAIAAgACAAIAAgACAAIAAgACAAIAAgACAAIAAgACAAIAAgACAAIABJAFMATwBNAEkAVABUAEUARAAoACAASQBuAHQAZQByAGUAcwB0AFIAYQB0AGUAKQBcAG4AIAAgACAAIAAgACAAIAAgACAAIAAgACAAIAAgACAAIAAgACAAIAAgACAAIAAgACAAKQAsAFwAbgAgACAAIAAgAC8ALwAgACAAQwBoAGUAYwBrACAAaQBuAHAAdQB0AHMAIAAtACAARQByAHIAbwByAHMAIABpAG4AIABhAHIAZwB1AG0AZQBuAHQAIAB2AGEAbAB1AGUAcwBcAG4AIAAgACAAIAAgACAAIAAgAEUAcgByAE0AcwBnAHMALAAgACAAIAAgACAAIAAgACAAewBcACIAQwBGAEEARABTACAAbQB1AHMAdAAgAGIAZQAgAGEAIABzAGkAbgBnAGwAZQAgAG4AdQBtAGIAZQByACAAaABvAGwAZABpAG4AZwAgAGMAYQBzAGgAIABhAHYAYQBpAGwAYQBiAGwAZQAgAGYAbwByACAAZABlAGIAdAAgAHMAZQByAHYAaQBjAGUAIABmAG8AcgAgAHQAaABpAHMAIABwAGUAcgBpAG8AZABcACIAOwBcAG4AIAAgACAAIAAgACAAIAAgACAAIAAgACAAIAAgACAAIAAgACAAIAAgACAAIAAgACAAIABcACIARABTAEMAUgAgAG0AdQBzAHQAIABiAGUAIABhACAAcwBpAG4AZwBsAGUAIABwAG8AcwBpAHQAaQB2AGUAIABuAHUAbQBiAGUAcgAgAGgAbwBsAGQAaQBuAGcAIABkAGUAYgB0ACAAcwBlAHIAdgBpAGMAZQAgAGMAbwB2AGUAcgBhAGcAZQAgAHIAYQB0AGkAbwAgAGYAbwByACAAdABoAGkAcwAgAHAAZQByAGkAbwBkAFwAIgA7AFwAbgAgACAAIAAgACAAIAAgACAAIAAgACAAIAAgACAAIAAgACAAIAAgACAAIAAgACAAIAAgAFwAIgBQAHIAaQBuAGMAaQBwAGEAbAAgAG0AdQBzAHQAIABiAGUAIABhACAAcwBpAG4AZwBsAGUAIABuAHUAbQBiAGUAcgAgAGgAbwBsAGQAaQBuAGcAIAB0AGgAaQBzACAAcABlAHIAaQBvAGQAJwBzACAAbwBwAGUAbgBpAG4AZwAgAGQAZQBiAHQAIABiAGEAbABhAG4AYwBlAFwAIgA7AFwAbgAgACAAIAAgACAAIAAgACAAIAAgACAAIAAgACAAIAAgACAAIAAgACAAIAAgACAAIAAgAFwAIgBJAG4AdABlAHIAZQBzAHQAUgBhAHQAZQAgAG0AdQBzAHQAIABiAGUAIABhACAAcwBpAG4AZwBsAGUAIABuAHUAbQBiAGUAcgAgAGgAbwBsAGQAaQBuAGcAIAB0AGgAaQBzACAAcABlAHIAaQBvAGQAJwBzACAAaQBuAHQAZQByAGUAcwB0ACAAcgBhAHQAZQAgACgAQQBQAFIALwBEAGEAeQBzACAAaQBuACAAdABoAGkAcwAgAHkAZQBhAHIAIAAqACAARABhAHkAcwAgAGkAbgAgAHQAaABpAHMAIABwAGUAcgBpAG8AZAApAFwAIgB9ACwAXABuACAAIAAgACAAIAAgACAAIABFAHIAcgBvAHIAcwAsACAAIAAgACAAIAAgACAAIAAgAFYAUwBUAEEAQwBLACgAIABOAE8AVAAoACAAQQBOAEQAKAAgAEkAUwBOAFUATQBCAEUAUgAoACAAQwBGAEEARABTACkALAAgAEMATwBMAFUATQBOAFMAKAAgAEMARgBBAEQAUwApACAAPQAgADEAKQApACwAXABuACAAIAAgACAAIAAgACAAIAAgACAAIAAgACAAIAAgACAAIAAgACAAIAAgACAAIAAgACAAIAAgACAAIAAgACAAIABOAE8AVAAoACAAQQBOAEQAKAAgAEkAUwBOAFUATQBCAEUAUgAoACAARABTAEMAUgApACwAIABDAE8ATABVAE0ATgBTACgAIABEAFMAQwBSACkAIAA9ACAAMQAsACAARABTAEMAUgAgAD4AIAAwACkAKQAsAFwAbgAgACAAIAAgACAAIAAgACAAIAAgACAAIAAgACAAIAAgACAAIAAgACAAIAAgACAAIAAgACAAIAAgACAAIAAgACAATgBPAFQAKAAgAEEATgBEACgAIABJAFMATgBVAE0AQgBFAFIAKAAgAFAAcgBpAG4AYwBpAHAAYQBsACkALAAgAEMATwBMAFUATQBOAFMAKAAgAFAAcgBpAG4AYwBpAHAAYQBsACkAIAA9ACAAMQApACkALABcAG4AIAAgACAAIAAgACAAIAAgACAAIAAgACAAIAAgACAAIAAgACAAIAAgACAAIAAgACAAIAAgACAAIAAgACAAIAAgAE4ATwBUACgAIABBAE4ARAAoACAASQBTAE4AVQBNAEIARQBSACgAIABJAG4AdABlAHIAZQBzAHQAUgBhAHQAZQApACwAIABDAE8ATABVAE0ATgBTACgAIABJAG4AdABlAHIAZQBzAHQAUgBhAHQAZQApACAAPQAgADEAKQApAFwAbgAgACAAIAAgACAAIAAgACAAIAAgACAAIAAgACAAIAAgACAAIAAgACAAIAAgACAAIAApACwAXABuACAAIAAgACAAIAAgACAAIABNAGUAcwBzAGEAZwBlAHMALAAgACAAIAAgACAAIAAgAEYASQBMAFQARQBSACgAIABFAHIAcgBNAHMAZwBzACwAIABFAHIAcgBvAHIAcwAsACAAXAAiAFwAIgApACwAXABuACAAIAAgACAALwAvACAAIABQAHIAbwBjAGUAZAB1AHIAZQAgAC0AIAB0AGgAZQAgAGYAaQB4AGUAZAAgAHAAbwBpAG4AdAAgAG8AZgAgAEkAbgB0AGUAcgBlAHMAdAAgAD0AIAAoAFAAcgBpAG4AYwBpAHAAYQBsACAALQAgAFAAYQB5AG0AZQBuAHQAIAAvACAAMgApACAAKgAgAFIAYQB0AGUAIAB3AGkAdABoAFwAbgAgACAAIAAgAC8ALwAgACAAUABhAHkAbQBlAG4AdAAgAD0AIABNAEkATgAoACAARABlAGIAdABTAGUAcgB2AGkAYwBlACAALQAgAEkAbgB0AGUAcgBlAHMAdAAsACAAUAByAGkAbgBjAGkAcABhAGwAKQAsACAAcwBvAGwAdgBlAGQAIABpAG4AIABjAGwAbwBzAGUAZAAgAGYAbwByAG0ALgAgAFcAaABlAHIAZQAgAHQAaABlAFwAbgAgACAAIAAgAC8ALwAgACAAYwBhAHMAaAAgAHcAbwB1AGwAZAAgAHIAZQBwAGEAeQAgAG0AbwByAGUAIAB0AGgAYQBuACAAdABoAGUAIABwAHIAaQBuAGMAaQBwAGEAbAAsACAAdABoAGUAIABwAGEAeQBtAGUAbgB0ACAAaQBzACAAdABoAGUAIABwAHIAaQBuAGMAaQBwAGEAbAAgAGEAbgBkACAAaABhAGwAZgAgAGEAXABuACAAIAAgACAALwAvACAAIABwAGUAcgBpAG8AZAAnAHMAIABpAG4AdABlAHIAZQBzAHQAIABpAHMAIABjAGgAYQByAGcAZQBkACAAbwBuACAAaQB0AC4AXABuACAAIAAgACAAIAAgACAAIABEAGUAYgB0AFMAZQByAHYAaQBjAGUALAAgACAAIAAgAEMARgBBAEQAUwAgAC8AIABEAFMAQwBSACwAXABuACAAIAAgACAAIAAgACAAIABDAGEAcABwAGUAZAA/ACwAIAAgACAAIAAgACAAIAAgAEQAZQBiAHQAUwBlAHIAdgBpAGMAZQAgAD4APQAgAFAAcgBpAG4AYwBpAHAAYQBsACAAKgAgACgAIAAxACAAKwAgAEkAbgB0AGUAcgBlAHMAdABSAGEAdABlACAALwAgADIAKQAsAFwAbgAgACAAIAAgACAAIAAgACAASQBuAHQAZQByAGUAcwB0ACwAIAAgACAAIAAgACAAIABJAEYAKAAgAEMAYQBwAHAAZQBkAD8ALABcAG4AIAAgACAAIAAgACAAIAAgACAAIAAgACAAIAAgACAAIAAgACAAIAAgACAAIAAgACAAIAAgACAAIABQAHIAaQBuAGMAaQBwAGEAbAAgACoAIABJAG4AdABlAHIAZQBzAHQAUgBhAHQAZQAgAC8AIAAyACwAXABuACAAIAAgACAAIAAgACAAIAAgACAAIAAgACAAIAAgACAAIAAgACAAIAAgACAAIAAgACAAIAAgACAASQBuAHQAZQByAGUAcwB0AFIAYQB0AGUAIAAqACAAKAAgADIAIAAqACAAUAByAGkAbgBjAGkAcABhAGwAIAAtACAARABlAGIAdABTAGUAcgB2AGkAYwBlACkAIAAvACAAKAAgADIAIAAtACAASQBuAHQAZQByAGUAcwB0AFIAYQB0AGUAKQBcAG4AIAAgACAAIAAgACAAIAAgACAAIAAgACAAIAAgACAAIAAgACAAIAAgACAAIAAgACAAKQAsAFwAbgAgACAAIAAgACAAIAAgACAAUgBlAHMAdQBsAHQALAAgACAAIAAgACAAIAAgACAAIABNAEEAWAAoACAASQBuAHQAZQByAGUAcwB0ACwAIAAwACkALABcAG4AIAAgACAAIAAvAC8AIAAgAFIAZQB0AHUAcgBuACAAUgBlAHMAdQBsAHQALAAgAEgAZQBsAHAAIABvAHIAIAB0AGgAZQAgAG0AZQBzAHMAYQBnAGUAcwBcAG4AIAAgACAAIAAgACAAIAAgAFIAZQB0AHUAcgBuACwAIAAgACAAIAAgACAAIAAgACAASQBGACgAIABIAGUAbABwAD8ALAAgADIALAAgAEkARgAoACAATwBSACgAIABFAHIAcgBvAHIAcwApACwAIAAzACwAIAAxACkAKQAsAFwAbgAgACAAIAAgACAAIAAgACAAQwBIAE8ATwBTAEUAKAAgAFIAZQB0AHUAcgBuACwAIABSAGUAcwB1AGwAdAAsACAASABlAGwAcAAsACAATQBlAHMAcwBhAGcAZQBzACkAXABuACAAIAAgACAAKQBcAG4AKQA7AFwAbgAiAH0AXQAsACIAcAByAG8AagBlAGMAdABOAGEAbQBlAHMAIgA6AFsAIgBvAHoALgBBAGIAbwB1AHQARABhAHQAZQBzALsDIgAsACIAbwB6AC4AQwBvAHUAbgB0AEQATwBXALsDIgAsACIAbwB6AC4ASQBzAEIAZQB0AHcAZQBlAG4AuwMiACwAIgBvAHoALgBJAHMATwBjAGMAdQByAHIAZQBuAGMAZQBEAGEAdABlALsDIgAsACIAbwB6AC4ATwB2AGUAcgBMAGEAcABEAGEAeQBzALsDIgAsACIAbwB6AC4AUABlAHIAaQBvAGQATABhAGIAZQBsALsDIgAsACIAbwB6AC4AUABlAHIAaQBvAGQAcwC7AyIALAAiAG8AegAuAFMAYwBoAGUAZAB1AGwAZQBSAGEAdABlAHMAuwMiACwAIgBvAHoALgBTAGMAaABlAGQAdQBsAGUAUgBhAHQAZQBzAEIAeQBJAHQAZQBtAHMAuwMiACwAIgBvAHoALgBTAGMAaABlAGQAdQBsAGUAVgBhAGwAdQBlAHMAuwMiACwAIgBvAHoALgBTAGMAaABlAGQAdQBsAGUAVgBhAGwAdQBlAHMAQgB5AEkAdABlAG0AcwC7AyIALAAiAG8AegAuAFQAaQBtAGUAbABpAG4AZQC7AyIALAAiAG8AegAuAEEAYgBvAHUAdABFAHMAcwBlAG4AdABpAGEAbABzALsDIgAsACIAbwB6AC4AQwBvAHUAbgB0AEMAuwMiACwAIgBvAHoALgBTAHUAbQBSAG8AdwBzALsDIgAsACIAbwB6AC4AUwB1AG0AQwBvAGwAcwC7AyIALAAiAG8AegAuAEEAdgBnAFIAbwB3AHMAuwMiACwAIgBvAHoALgBBAHYAZwBDAG8AbABzALsDIgAsACIAbwB6AC4ATQBpAG4AUgBvAHcAcwC7AyIALAAiAG8AegAuAE0AaQBuAEMAbwBsAHMAuwMiACwAIgBvAHoALgBNAGEAeABSAG8AdwBzALsDIgAsACIAbwB6AC4ATQBhAHgAQwBvAGwAcwC7AyIALAAiAG8AegAuAEMAbwB1AG4AdABBAFIAbwB3AHMAuwMiACwAIgBvAHoALgBDAG8AdQBuAHQAQQBDAG8AbABzALsDIgAsACIAbwB6AC4AQwBvAHUAbgB0AFIAbwB3AHMAuwMiACwAIgBvAHoALgBDAG8AdQBuAHQAQwBvAGwAcwC7AyIALAAiAG8AegAuAEkAcwBCAGUAdAB3AGUAZQBuAEUAuwMiACwAIgBvAHoALgBJAHMASQBuAEwAaQBzAHQAuwMiACwAIgBvAHoALgBSAGEAbgBnAGUAVABvAEQAQQBFALsDIgAsACIAbwB6AC4AQQBiAG8AdQB0AEYAaQBuAGEAbgBjAGkAYQBsALsDIgAsACIAbwB6AC4AQwBvAHIAawBzAGMAcgBlAHcAuwMiACwAIgBvAHoALgBDAG8AcgBrAFMAYwByAGUAdwBSAGUAdgBlAHIAcwBhAGwAuwMiACwAIgBvAHoALgBJAG4AdABPAG4ASQBuAHQAuwMiACwAIgBvAHoALgBJAFIAUgC7AyIALAAiAG8AegAuAE0AbwB2AGUAbQBlAG4AdAC7AyIALAAiAG8AegAuAFIAZQB2AGUAcgBzAGEAbAC7AyIALAAiAG8AegAuAEMAdQBtAHUAbABhAHQAaQB2AGUAuwMiACwAIgBvAHoALgBSAG8AbABsAGkAbgBnAEEAdgBnALsDIgAsACIAbwB6AC4AUgBvAGwAbABpAG4AZwBNAGEAeAC7AyIALAAiAG8AegAuAFIAbwBsAGwAaQBuAGcATQBpAG4AuwMiACwAIgBvAHoALgBSAG8AbABsAGkAbgBnAFMAdQBtALsDIgAsACIAbwB6AC4AUwB1AG0AQwBvAG4AdABhAGkAbgBzALsDIgAsACIAbwB6AC4AUwB1AG0AUABlAHIAaQBvAGQAcwC7AyIALAAiAG8AegAuAEEAbQBvAHIAdABpAHMAZQC7AyIALAAiAG8AegAuAEwAYQBiAGUAbABBAG0AbwByAHQAaQBzAGUAuwMiACwAIgBvAHoALgBTAHUAbQBBAG0AbwByAHQAaQBzAGUAuwMiACwAIgBvAHoALgBEAGUAcAByAGUAYwBpAGEAdABlALsDIgAsACIAbwB6AC4ATABhAGIAZQBsAEQAZQBwAHIAZQBjAGkAYQB0AGUAuwMiACwAIgBvAHoALgBBAGwAbABvAGMAYQB0AGUAuwMiACwAIgBvAHoALgBQAGUAcgBpAG8AZABEAGkAZgBmALsDIgAsACIAbwB6AC4AUwBMAE4AuwMiACwAIgBvAHoALgBTAFkARAC7AyIALAAiAG8AegAuAEQAQgC7AyIALAAiAG8AegAuAEQARABCALsDIgAsACIAbwB6AC4AVgBEAEIAuwMiACwAIgBvAHoALgBBAG0AbwByAHQAaQBzAGUAuwNEAFYAIgAsACIAbwB6AC4AQwBvAHIAawBzAGMAcgBlAHcAuwNEAFYAIgAsACIAbwB6AC4ARABlAHAAcgBlAGMAaQBhAHQAZQC7A0QAVgAiACwAIgBvAHoALgBUAGkAbQBlAGwAaQBuAGUATwBmAGYAcwBlAHQAuwMiACwAIgBvAHoALgBUAGkAbQBlAGwAaQBuAGUAUABvAHMAaQB0AGkAbwBuALsDIgAsACIAbwB6AC4ARgBpAGwAdABlAHIAQwBvAG4AdABhAGkAbgBzALsDIgAsACIAbwB6AC4AUgBhAG4AZwBlAFQAbwBEAEEAuwMiACwAIgBvAHoALgBQAGUAcgBpAG8AZABTAHQAYQByAHQAuwMiACwAIgBvAHoALgBBAGIAbwB1AHQAUgBhAHQAaQBvAHMAuwMiACwAIgBvAHoALgBDAHUAcgByAGUAbgB0AFIAYQB0AGkAbwC7AyIALAAiAG8AegAuAFEAdQBpAGMAawBSAGEAdABpAG8AuwMiACwAIgBvAHoALgBDAGEAcwBoAFIAYQB0AGkAbwC7AyIALAAiAG8AegAuAE8AcABlAHIAYQB0AGkAbgBnAEMAYQBzAGgARgBsAG8AdwBSAGEAdABpAG8AuwMiACwAIgBvAHoALgBSAGUAYwBlAGkAdgBhAGIAbABlAHMAVAB1AHIAbgBvAHYAZQByAFIAYQB0AGkAbwC7AyIALAAiAG8AegAuAEkAbgB2AGUAbgB0AG8AcgB5AFQAdQByAG4AbwB2AGUAcgBSAGEAdABpAG8AuwMiACwAIgBvAHoALgBXAG8AcgBrAGkAbgBnAEMAYQBwAGkAdABhAGwAVAB1AHIAbgBvAHYAZQByAFIAYQB0AGkAbwC7AyIALAAiAG8AegAuAEQAZQBiAHQAUgBhAHQAaQBvALsDIgAsACIAbwB6AC4ARABTAEMAUgC7AyIALAAiAG8AegAuAEQAZQBiAHQAVABvAEMAYQBwAGkAdABhAGwAUgBhAHQAaQBvALsDIgAsACIAbwB6AC4ARQBxAHUAaQB0AHkATQB1AGwAdABpAHAAbABpAGUAcgC7AyIALAAiAG8AegAuAEQAZQBiAHQAVABvAEUAcQB1AGkAdAB5AFIAYQB0AGkAbwC7AyIALAAiAG8AegAuAEQAZQBiAHQAVABvAEEAcwBzAGUAdABSAGEAdABpAG8AuwMiACwAIgBvAHoALgBJAG4AdABlAHIAZQBzAHQAQwBvAHYAZQByAGEAZwBlAFIAYQB0AGkAbwC7AyIALAAiAG8AegAuAEUAcQB1AGkAdAB5AFIAYQB0AGkAbwC7AyIALAAiAG8AegAuAEEAcwBzAGUAdABUAHUAcgBuAG8AdgBlAHIAUgBhAHQAaQBvALsDIgAsACIAbwB6AC4ARABTAEkAuwMiACwAIgBvAHoALgBPAHAAZQByAGEAdABpAG4AZwBSAGEAdABpAG8AuwMiACwAIgBvAHoALgBHAHIAbwBzAHMATQBhAHIAZwBpAG4AuwMiACwAIgBvAHoALgBFAEIASQBUAEQAQQBNAGEAcgBnAGkAbgC7AyIALAAiAG8AegAuAE8AcABlAHIAYQB0AGkAbgBnAE0AYQByAGcAaQBuALsDIgAsACIAbwB6AC4AUAByAGUAdABhAHgATQBhAHIAZwBpAG4AuwMiACwAIgBvAHoALgBOAGUAdABQAHIAbwBmAGkAdABNAGEAcgBnAGkAbgC7AyIALAAiAG8AegAuAEMAYQBzAGgARgBsAG8AdwBNAGEAcgBnAGkAbgC7AyIALAAiAG8AegAuAFIATwBBALsDIgAsACIAbwB6AC4AUgBPAEUAuwMiACwAIgBvAHoALgBSAE8ASQC7AyIALAAiAG8AegAuAFIATwBJAEMAuwMiACwAIgBvAHoALgBQAHIAaQBjAGUARQBhAHIAbgBpAG4AZwBzAFIAYQB0AGkAbwC7AyIALAAiAG8AegAuAFAAcgBpAGMAZQBUAG8AQgBvAG8AawBSAGEAdABpAG8AuwMiACwAIgBvAHoALgBQAHIAaQBjAGUAVABvAFMAYQBsAGUAcwBSAGEAdABpAG8AuwMiACwAIgBvAHoALgBQAHIAaQBjAGUAVABvAEMAYQBzAGgAUgBhAHQAaQBvALsDIgAsACIAbwB6AC4AQgBWAFAAUwC7AyIALAAiAG8AegAuAEMAQQBQAEUAUgBhAHQAaQBvALsDIgAsACIAbwB6AC4ARABQAFIAuwMiACwAIgBvAHoALgBEAGkAdgBpAGQAZQBuAGQAWQBpAGUAbABkAFIAYQB0AGkAbwC7AyIALAAiAG8AegAuAEUAUABTALsDIgAsACIAbwB6AC4AUgBlAHQAZQBuAHQAaQBvAG4AUgBhAHQAaQBvALsDIgAsACIAbwB6AC4AQwBhAHMAaABDAG8AbgB2AGUAcgBzAGkAbwBuAEMAeQBjAGwAZQC7AyIALAAiAG8AegAuAFAAYQB5AGEAYgBsAGUARABhAHkAcwC7AyIALAAiAG8AegAuAFIAZQBjAGUAaQB2AGEAYgBsAGUARABhAHkAcwC7AyIALAAiAG8AegAuAFcASQBQAEQAYQB5AHMAuwMiACwAIgBvAHoALgBBAFQATwBCAGUAbgBjAGgAbQBhAHIAawBSAGEAdABpAG8AuwMiACwAIgBvAHoALgBBAFQATwBDAG8AcwB0AE8AZgBTAGEAbABlAHMAUgBhAHQAaQBvALsDIgAsACIAbwB6AC4AQQBUAE8ATABhAGIAbwB1AHIAUgBhAHQAaQBvALsDIgAsACIAbwB6AC4AQQBUAE8AVABvAHQAYQBsAEUAeABwAGUAbgBzAGUAcwBSAGEAdABpAG8AuwMiACwAIgBvAHoALgBBAFQATwBUAHUAcgBuAG8AdgBlAHIAuwMiACwAIgBvAHoALgBBAGIAbwB1AHQAVQB0AGkAbABpAHQAaQBlAHMAuwMiACwAIgBvAHoALgBDAG8AdQBuAHQAQwBVALsDIgAsACIAbwB6AC4AUwB1AG0AUgBvAHcAcwBVALsDIgAsACIAbwB6AC4AUwB1AG0AQwBvAGwAcwBVALsDIgAsACIAbwB6AC4AQQB2AGcAUgBvAHcAcwBVALsDIgAsACIAbwB6AC4AQQB2AGcAQwBvAGwAcwBVALsDIgAsACIAbwB6AC4ATQBpAG4AUgBvAHcAcwBVALsDIgAsACIAbwB6AC4ATQBpAG4AQwBvAGwAcwBVALsDIgAsACIAbwB6AC4ATQBhAHgAUgBvAHcAcwBVALsDIgAsACIAbwB6AC4ATQBhAHgAQwBvAGwAcwBVALsDIgAsACIAbwB6AC4AQwBvAHUAbgB0AEEAUgBvAHcAcwBVALsDIgAsACIAbwB6AC4AQwBvAHUAbgB0AEEAQwBvAGwAcwBVALsDIgAsACIAbwB6AC4AQwBvAHUAbgB0AFIAbwB3AHMAVQC7AyIALAAiAG8AegAuAEMAbwB1AG4AdABDAG8AbABzAFUAuwMiACwAIgBvAHoALgBJAHMAQgBlAHQAdwBlAGUAbgBVALsDIgAsACIAbwB6AC4ASQBzAEkAbgBMAGkAcwB0AFUAuwMiACwAIgBvAHoALgBSAGEAbgBnAGUAVABvAEQAQQBVALsDIgAsACIAbwB6AC4AUwB1AG0ARABlAHAAcgBlAGMAaQBhAHQAZQC7AyIALAAiAG8AegAuAEQAaQBtAGkAbgBpAHMAaABpAG4AZwBWAGEAbAB1AGUAuwMiACwAIgBvAHoALgBQAHIAaQBtAGUAQwBvAHMAdAC7AyIALAAiAG8AegAuAEcAUwBUAEEAZABkALsDIgAsACIAbwB6AC4ARwBTAFQARQB4AHQAcgBhAGMAdAC7AyIALAAiAG8AegAuAEwAZQBhAHMAZQBMAGkAYQBiAGkAbABpAHQAeQC7AyIALAAiAG8AegAuAEwAZQBhAHMAZQBSAGUAbQBlAGEAcwB1AHIAZQC7AyIALAAiAG8AegAuAEwAZQBhAHMAZQBTAGMAaABlAGQAdQBsAGUAuwMiACwAIgBvAHoALgBSAE8AVQBTAGMAaABlAGQAdQBsAGUAuwMiACwAIgBvAHoALgBBAG4AbgB1AGEAbABSAGEAdABlALsDIgAsACIAbwB6AC4ARABhAHkAQwBvAHUAbgB0AFIAYQB0AGUAuwMiACwAIgBvAHoALgBQAGUAcgBpAG8AZABSAGEAdABlALsDIgAsACIAbwB6AC4ARgBpAG4AYQBuAGMAaQBhAGwAWQBlAGEAcgC7AyIALAAiAG8AegAuAEQAYQB0AGUARABpAGYAuwMiACwAIgBvAHoALgBSAGEAdABlAEEAdABEAGEAdABlALsDIgAsACIAbwB6AC4AQQBtAG8AcgB0AGkAcwBlAEIAuwMiACwAIgBvAHoALgBEAGUAYgB0AFMAYwB1AGwAcAB0AEYAaQB4AGUAZAC7AyIALAAiAG8AegAuAEQAZQBiAHQAUwBjAHUAbABwAHQAVgBhAHIAaQBhAGIAbABlAEwAUgBWALsDIgAsACIAbwB6AC4ARABlAGIAdABTAGMAdQBsAHAAdABWAGEAcgBpAGEAYgBsAGUAuwMiACwAIgBvAHoALgBJAG4AdABlAHIAZQBzAHQATABSAFYAuwM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GEAdQAiAH0AfQ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49</vt:i4>
      </vt:variant>
      <vt:variant>
        <vt:lpstr>Named Ranges</vt:lpstr>
      </vt:variant>
      <vt:variant>
        <vt:i4>6</vt:i4>
      </vt:variant>
    </vt:vector>
  </HeadingPairs>
  <TitlesOfParts>
    <vt:vector size="55" baseType="lpstr">
      <vt:lpstr>Cover</vt:lpstr>
      <vt:lpstr>TOC</vt:lpstr>
      <vt:lpstr>Data Validation</vt:lpstr>
      <vt:lpstr>Australian tax</vt:lpstr>
      <vt:lpstr>oz.CountDOWλ</vt:lpstr>
      <vt:lpstr>oz.IsBetweenλ</vt:lpstr>
      <vt:lpstr>oz.IsOccurrenceDateλ</vt:lpstr>
      <vt:lpstr>oz.OverLapDaysλ</vt:lpstr>
      <vt:lpstr>oz.Periodsλ</vt:lpstr>
      <vt:lpstr>oz.PeriodLabelλ</vt:lpstr>
      <vt:lpstr>oz.ScheduleRatesλ</vt:lpstr>
      <vt:lpstr>oz.ScheduleRatesByItemsλ</vt:lpstr>
      <vt:lpstr>oz.ScheduleValuesλ</vt:lpstr>
      <vt:lpstr>oz.ScheduleValuesByItemsλ</vt:lpstr>
      <vt:lpstr>oz.Timelineλ</vt:lpstr>
      <vt:lpstr>oz.Amortiseλ</vt:lpstr>
      <vt:lpstr>oz.LabelAmortiseλ</vt:lpstr>
      <vt:lpstr>oz.SumAmortiseλ</vt:lpstr>
      <vt:lpstr>oz.Corkscrewλ</vt:lpstr>
      <vt:lpstr>oz.Cumulativeλ</vt:lpstr>
      <vt:lpstr>oz.Depreciateλ</vt:lpstr>
      <vt:lpstr>oz.LabelDepreciateλ</vt:lpstr>
      <vt:lpstr>oz.SumDepreciateλ</vt:lpstr>
      <vt:lpstr>oz.SumContainsλ</vt:lpstr>
      <vt:lpstr>oz.IntOnIntλ</vt:lpstr>
      <vt:lpstr>oz.IRRλ</vt:lpstr>
      <vt:lpstr>oz.Reversalλ</vt:lpstr>
      <vt:lpstr>oz.Movementλ</vt:lpstr>
      <vt:lpstr>oz.RollingSumλ</vt:lpstr>
      <vt:lpstr>oz.SumPeriodsλ</vt:lpstr>
      <vt:lpstr>oz.TimelineOffsetλ</vt:lpstr>
      <vt:lpstr>oz.TimelinePositionλ</vt:lpstr>
      <vt:lpstr>oz.AboutEssentialsλ</vt:lpstr>
      <vt:lpstr>oz.CountCλ</vt:lpstr>
      <vt:lpstr>oz.SumRowsλ</vt:lpstr>
      <vt:lpstr>oz.SumColsλ</vt:lpstr>
      <vt:lpstr>oz.AvgRowsλ</vt:lpstr>
      <vt:lpstr>oz.AvgColsλ</vt:lpstr>
      <vt:lpstr>oz.MinRowsλ</vt:lpstr>
      <vt:lpstr>oz.MinColsλ</vt:lpstr>
      <vt:lpstr>oz.MaxRowsλ</vt:lpstr>
      <vt:lpstr>oz.MaxColsλ</vt:lpstr>
      <vt:lpstr>oz.CountRowsλ</vt:lpstr>
      <vt:lpstr>oz.CountColsλ</vt:lpstr>
      <vt:lpstr>oz.CountARowsλ</vt:lpstr>
      <vt:lpstr>oz.CountAColsλ</vt:lpstr>
      <vt:lpstr>oz.IsBetweenEλ</vt:lpstr>
      <vt:lpstr>oz.RangeToDAEλ</vt:lpstr>
      <vt:lpstr>oz.FinancialRatios</vt:lpstr>
      <vt:lpstr>oz.Amortiseλ!Print_Area</vt:lpstr>
      <vt:lpstr>oz.Depreciateλ!Print_Area</vt:lpstr>
      <vt:lpstr>oz.IsOccurrenceDateλ!Print_Area</vt:lpstr>
      <vt:lpstr>oz.SumAmortiseλ!Print_Area</vt:lpstr>
      <vt:lpstr>oz.SumPeriodsλ!Print_Area</vt:lpstr>
      <vt:lpstr>oz.TimelineOffsetλ!Print_Area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Ozzit</dc:title>
  <dc:subject>LAMBDA function library for dynamic-array financial models</dc:subject>
  <dc:creator>Ozzit project</dc:creator>
  <cp:lastModifiedBy>Ozzit project</cp:lastModifiedBy>
  <dcterms:created xsi:type="dcterms:W3CDTF">2023-08-10T15:46:16Z</dcterms:created>
  <dcterms:modified xsi:type="dcterms:W3CDTF">2026-01-01T00:00:00Z</dcterms:modified>
</cp:coreProperties>
</file>