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drawings/drawing9.xml" ContentType="application/vnd.openxmlformats-officedocument.drawing+xml"/>
  <Override PartName="/xl/tables/table8.xml" ContentType="application/vnd.openxmlformats-officedocument.spreadsheetml.tab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1.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2.xml" ContentType="application/vnd.openxmlformats-officedocument.spreadsheetml.table+xml"/>
  <Override PartName="/xl/drawings/drawing19.xml" ContentType="application/vnd.openxmlformats-officedocument.drawing+xml"/>
  <Override PartName="/xl/tables/table13.xml" ContentType="application/vnd.openxmlformats-officedocument.spreadsheetml.table+xml"/>
  <Override PartName="/xl/drawings/drawing20.xml" ContentType="application/vnd.openxmlformats-officedocument.drawing+xml"/>
  <Override PartName="/xl/tables/table14.xml" ContentType="application/vnd.openxmlformats-officedocument.spreadsheetml.table+xml"/>
  <Override PartName="/xl/drawings/drawing21.xml" ContentType="application/vnd.openxmlformats-officedocument.drawing+xml"/>
  <Override PartName="/xl/tables/table15.xml" ContentType="application/vnd.openxmlformats-officedocument.spreadsheetml.table+xml"/>
  <Override PartName="/xl/drawings/drawing22.xml" ContentType="application/vnd.openxmlformats-officedocument.drawing+xml"/>
  <Override PartName="/xl/tables/table16.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xr:revisionPtr revIDLastSave="0" documentId="13_ncr:1_{9C5E2E38-D768-43F5-8346-A39F06CA7C63}" xr6:coauthVersionLast="47" xr6:coauthVersionMax="47" xr10:uidLastSave="{00000000-0000-0000-0000-000000000000}"/>
  <bookViews>
    <workbookView xWindow="-120" yWindow="-120" windowWidth="51840" windowHeight="21120" xr2:uid="{9D40AE0A-C643-4032-94D1-3D65DF585AF3}"/>
  </bookViews>
  <sheets>
    <sheet name="Cover" sheetId="103" r:id="rId1"/>
    <sheet name="TOC" sheetId="19" r:id="rId2"/>
    <sheet name="Data Validation" sheetId="129" r:id="rId3"/>
    <sheet name="Australian tax" sheetId="132" r:id="rId4"/>
    <sheet name="FMTs" sheetId="2" state="hidden" r:id="rId5"/>
    <sheet name="oz.CountDOWλ" sheetId="41" r:id="rId6"/>
    <sheet name="oz.IsBetweenλ" sheetId="43" r:id="rId7"/>
    <sheet name="oz.IsOccurrenceDateλ" sheetId="44" r:id="rId8"/>
    <sheet name="oz.OverLapDaysλ" sheetId="45" r:id="rId9"/>
    <sheet name="oz.Periodsλ" sheetId="46" r:id="rId10"/>
    <sheet name="oz.PeriodLabelλ" sheetId="47" r:id="rId11"/>
    <sheet name="oz.ScheduleRatesλ" sheetId="48" r:id="rId12"/>
    <sheet name="oz.ScheduleRatesByItemsλ" sheetId="49" r:id="rId13"/>
    <sheet name="oz.ScheduleValuesλ" sheetId="50" r:id="rId14"/>
    <sheet name="oz.ScheduleValuesByItemsλ" sheetId="51" r:id="rId15"/>
    <sheet name="oz.Timelineλ" sheetId="52" r:id="rId16"/>
    <sheet name="oz.Amortiseλ" sheetId="76" r:id="rId17"/>
    <sheet name="oz.LabelAmortiseλ" sheetId="90" r:id="rId18"/>
    <sheet name="oz.SumAmortiseλ" sheetId="83" r:id="rId19"/>
    <sheet name="oz.Corkscrewλ" sheetId="77" r:id="rId20"/>
    <sheet name="oz.Cumulativeλ" sheetId="99" r:id="rId21"/>
    <sheet name="oz.Depreciateλ" sheetId="78" r:id="rId22"/>
    <sheet name="oz.LabelDepreciateλ" sheetId="106" r:id="rId23"/>
    <sheet name="oz.SumDepreciateλ" sheetId="107" r:id="rId24"/>
    <sheet name="oz.SumContains" sheetId="108" r:id="rId25"/>
    <sheet name="oz.IntOnIntλ" sheetId="80" r:id="rId26"/>
    <sheet name="oz.IRRλ" sheetId="81" r:id="rId27"/>
    <sheet name="oz.Reversalλ" sheetId="128" r:id="rId28"/>
    <sheet name="oz.Movementλ" sheetId="82" r:id="rId29"/>
    <sheet name="oz.RollingSumλ" sheetId="105" r:id="rId30"/>
    <sheet name="oz.SumPeriodsλ" sheetId="89" r:id="rId31"/>
    <sheet name="oz.TimelineOffsetλ" sheetId="96" r:id="rId32"/>
    <sheet name="oz.TimelinePositionλ" sheetId="97" r:id="rId33"/>
    <sheet name="oz.AboutEssentialsλ" sheetId="110" r:id="rId34"/>
    <sheet name="oz.CountCλ" sheetId="118" r:id="rId35"/>
    <sheet name="oz.SumRowsλ" sheetId="87" r:id="rId36"/>
    <sheet name="oz.SumColsλ" sheetId="88" r:id="rId37"/>
    <sheet name="oz.AvgRowsλ" sheetId="111" r:id="rId38"/>
    <sheet name="oz.AvgColsλ" sheetId="112" r:id="rId39"/>
    <sheet name="oz.MinRowsλ" sheetId="113" r:id="rId40"/>
    <sheet name="oz.MinColsλ" sheetId="114" r:id="rId41"/>
    <sheet name="oz.MaxRowsλ" sheetId="115" r:id="rId42"/>
    <sheet name="oz.MaxColsλ" sheetId="116" r:id="rId43"/>
    <sheet name="oz.CountRowsλ" sheetId="119" r:id="rId44"/>
    <sheet name="oz.CountColsλ" sheetId="120" r:id="rId45"/>
    <sheet name="oz.CountARowsλ" sheetId="122" r:id="rId46"/>
    <sheet name="oz.CountAColsλ" sheetId="123" r:id="rId47"/>
    <sheet name="oz.IsBetweenEλ" sheetId="125" r:id="rId48"/>
    <sheet name="oz.RangeToDAEλ" sheetId="126" r:id="rId49"/>
    <sheet name="oz.FinancialRatios" sheetId="131" r:id="rId50"/>
  </sheets>
  <definedNames>
    <definedName name="oz.AboutDatesλ" comment="Displays this module's repository URL and function list">TRIM( _xlfn.TEXTSPLIT( "About: →CBSE compliant LAMBDAs dealing with dates. Suggested module name: oz¶" &amp; "Version: →20 Aug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TRIM(_xlfn.TEXTSPLIT("ABOUT:             →Ozzit's Financial Models module. Suggested module name: oz¶" &amp; "VERSION:           →20 Aug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→20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[0]!oz.AmortiseBλ(IF(_xlpm.Period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oz.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(oz is assumed to be the module's name)¶" &amp; "→=oz.Amortiseλ(10000, 5%, 4 * 12, ""2026-07-01"")",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_xlpm.DpP, _xlpm.SecondPeriod - _xlpm.FirstPeriod, _xlpm.LastGap, MAX(_xlpm.Timeline) - INDEX(_xlpm.Timeline, COUNTA(_xlpm.Timeline) - 1), _xlpm.SubMonthly?, _xlpm.DpP &lt; 28, _xlpm.MpP, MAX(_xlfn.SINGLE(ROUND(_xlpm.DpP / _xlpm.ADpM, 0)), 1),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oz.TimelineOffsetλ(_xlpm.StartDate, _xlpm.Timeline), _xlpm.MonthStarts, EDATE(_xlpm.StartDate, _xlfn.SEQUENCE(, _xlpm.Periods, 0)), _xlpm.ByDate, _xlfn.MAKEARRAY(ROWS(_xlpm.AmortisationSched), COUNTA(_xlpm.Timeline), _xlfn.LAMBDA(_xlpm.R,_xlpm.C, _xlfn.LET(_xlpm.PeriodOpens, INDEX(_xlpm.Timeline, _xlpm.C), _xlpm.PeriodShut, IF(_xlpm.C = COUNTA(_xlpm.Timeline), _xlpm.PeriodOpens + _xlpm.LastGap, INDEX(_xlpm.Timeline, _xlpm.C + 1)), SUM(_xlfn.CHOOSEROWS(_xlpm.AmortisationSched, _xlpm.R) * (_xlpm.MonthStarts &gt;= _xlpm.PeriodOpens) * (_xlpm.MonthStarts &lt; _xlpm.PeriodShut))))), _xlpm.NewBlock, IF(_xlpm.SubMonthly?, _xlpm.ByDate, oz.TimelinePositionλ(_xlpm.AmortisationSched,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oz.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(oz is assumed to be the module's name)¶" &amp; "5                  →=oz.BVPSλ(20.0,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_xlpm.Help?, OR(_xlfn.ISOMITTED(_xlpm.Cash), _xlfn.ISOMITTED(_xlpm.Liabilities)), _xlpm.Result, _xlpm.Cash / _xlpm.Liabilities, CHOOSE(_xlpm.Help? + 1, _xlpm.Result, _xlpm.Help)))</definedName>
    <definedName name="oz.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row">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row">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row">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row">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TRIM(_xlfn.TEXTSPLIT("FUNCTION:      →CountCUλ(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Cλ" comment="Count occurrences of character(s) in a string">_xlfn.LAMBDA(_xlop.Text,_xlop.Characters, _xlfn.LET(_xlpm.Help, TRIM(_xlfn.TEXTSPLIT("FUNCTION:      →CountCλ(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→20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_xlpm.Help?, OR(_xlfn.ISOMITTED(_xlpm.Assets), _xlfn.ISOMITTED(_xlpm.Liabilities)), _xlpm.Result, _xlpm.Assets / _xlpm.Liabilities, CHOOSE(_xlpm.Help? + 1, _xlpm.Result, _xlpm.Help)))</definedName>
    <definedName name="oz.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oz.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oz.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"EXAMPLES:      →Formula (oz is assumed to be the module's name)¶" &amp; ".3             →=oz.DebtRatioλ(30.0, 100.0)", "→", "¶")), _xlpm.Help?, OR(_xlfn.ISOMITTED(_xlpm.TotalDebt), _xlfn.ISOMITTED(_xlpm.TotalAssets)), _xlpm.Result, _xlpm.TotalDebt / _xlpm.TotalAssets, CHOOSE(_xlpm.Help? + 1, _xlpm.Result, _xlpm.Help)))</definedName>
    <definedName name="oz.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→Debt service (interest and principal)¶"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[0]!oz.DebtSculptFixedλ(_xlpm.ClosingDebt, _xlpm.Debt, _xlpm.CFADS, _xlpm.DSCR, _xlpm.APR, _xlpm.MonthsPerPeriod, _xlpm.Period + 1))), _xlpm.Return, IF(AND(_xlpm.Errors), 2, IF(OR(_xlpm.Errors), 3, IF(OR(ISERROR(_xlpm.Result)), 2, 1))), CHOOSE(_xlpm.Return, _xlpm.Result, _xlpm.Help, _xlpm.Messages)))</definedName>
    <definedName name="oz.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→=DebtSculptVariableLRVλ(,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[0]!oz.InterestLRVλ(_xlpm.PeriodCFADS, _xlpm.PeriodDSCR, _xlpm.Principal, _xlpm.PeriodRate), _xlpm.Payment, MIN(_xlpm.PeriodCFADS / _xlpm.PeriodDSCR - _xlpm.Interest, _xlpm.Principal), _xlpm.ClosingDebt, _xlpm.Principal - _xlpm.Payment, _xlpm.NewColumn, _xlfn.VSTACK(_xlpm.Principal, _xlpm.Interest, -_xlpm.Payment, _xlpm.ClosingDebt), _xlpm.Result, IF(_xlpm.Period = _xlpm.ModelPeriods, _xlpm.NewColumn, _xlfn.HSTACK(_xlpm.NewColumn, [0]!oz.DebtSculptVariableLRVλ(_xlpm.ClosingDebt, _xlpm.Debt, _xlpm.CFADS, _xlpm.DSCR, _xlpm.APR, _xlpm.MonthsPerPeriod, _xlpm.Period + 1))), _xlpm.Return, IF(AND(_xlpm.Errors), 2, IF(OR(_xlpm.Errors), 3, IF(OR(ISERROR(_xlpm.Result)), 2, 1))), CHOOSE(_xlpm.Return, _xlpm.Result, _xlpm.Help, _xlpm.Messages)))</definedName>
    <definedName name="oz.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→Debt service (interest and principal)¶"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[0]!oz.DebtSculptVariableλ(_xlpm.ClosingDebt, _xlpm.Debt, _xlpm.CFADS, _xlpm.DSCR, _xlpm.APR, _xlpm.MonthsPerPeriod, _xlpm.Period + 1))), _xlpm.Return, IF(AND(_xlpm.Errors), 2, IF(OR(_xlpm.Errors), 3, IF(OR(ISERROR(_xlpm.Result)), 2, 1))), CHOOSE(_xlpm.Return, _xlpm.Result, _xlpm.Help, _xlpm.Messages)))</definedName>
    <definedName name="oz.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Shareholders' Equity (total assets - total liabilities) ¶" &amp; "EXAMPLES:          →Formula (oz is assumed to be the module's name)¶" &amp; ".49873             →=oz.DebtToAssetRatioλ(31.845, 63.852 )", "→", "¶")), _xlpm.Help?, OR(_xlfn.ISOMITTED(_xlpm.TotalDebt), _xlfn.ISOMITTED(_xlpm.TotalAssets)), _xlpm.Result, _xlpm.TotalDebt / _xlpm.TotalAssets, CHOOSE(_xlpm.Help? + 1, _xlpm.Result, _xlpm.Help)))</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_xlpm.Help?, OR(_xlfn.ISOMITTED(_xlpm.TotalLiabilities), _xlfn.ISOMITTED(_xlpm.ShareholdersEquity), ), _xlpm.Result, _xlpm.TotalLiabilities / _xlpm.ShareholdersEquity, CHOOSE(_xlpm.Help? + 1, _xlpm.Result, _xlpm.Help)))</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→https://github.com/ryanduguid/Ozzit ¶" &amp; "VERSION:       →20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               →More than 0 and no more than 100. A date here is not a life:¶" &amp; "               →the arguments read InitialValues, InServiceDates, LifeInYears, Timeline.¶" &amp; "Timeline       →(Required) The model's timeline or a row of period start dates. ¶" &amp; "               →Timeline can be any interval: days, weeks,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_xlpm.LifeGiven, IF(_xlfn.ISOMITTED(_xlpm.LifeInYears), 1, _xlpm.LifeInYears), _xlpm.LifeNums, IFERROR(VALUE(_xlpm.LifeGiven), -1), _xlpm.BadLife?, OR(MIN(_xlpm.LifeNums) &lt;= 0, MAX(_xlpm.LifeNums) &gt; 100), _xlpm.LifeMessage, "LifeInYears must be a number of years greater than 0 and no more than 100. " &amp; "Check the argument order: InitialValues, InServiceDates, LifeInYears, Timeline.",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_xlpm.DpP, _xlpm.SecondPeriod - _xlpm.FirstPeriod, _xlpm.SubMonthly?, _xlpm.DpP &lt; 28, _xlpm.MpP, MAX(_xlfn.SINGLE(ROUND(_xlpm.DpP / 30.5, 0)), 1), _xlpm.LastGap, MAX(_xlpm.Timeline) - INDEX(_xlpm.Timeline, _xlpm.TimelineCols - 1), _xlpm.LastEnd, IF(_xlpm.SubMonthly?, MAX(_xlpm.Timeline) + _xlpm.LastGap, EDATE(MAX(_xlpm.Timeline), _xlpm.MpP)) - 1, _xlpm.EndDates, _xlfn.HSTACK(_xlfn.MAP(_xlfn.SEQUENCE(, _xlpm.TimelineCols - 1), _xlfn.LAMBDA(_xlpm.n, INDEX(_xlpm.Timeline, _xlpm.n + 1) - 1)), _xlpm.LastEnd), _xlpm.Result, _xlfn.REDUCE(0, _xlfn.SEQUENCE(ROWS(_xlpm.InitialValues)), _xlfn.LAMBDA(_xlpm.Block,_xlpm.Asset, _xlfn.LET(_xlpm.Method, _xlfn.SINGLE(INDEX(_xlpm.Methods, _xlpm.Asset)), _xlpm.Years, IF(_xlpm.BadLife?, 1,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_xlpm.LifeInMonths, oz.PeriodDiffλ(_xlpm.InServiceDate, _xlpm.DisposalDate, "M"), _xlpm.Depreciate, CHOOSE(MATCH(_xlfn.SINGLE(_xlpm.Method), _xlpm.MethodArray, 0), oz.SLNλ(_xlpm.InitialValue, _xlpm.SalvageValue, _xlpm.Years), oz.SYDλ(_xlpm.InitialValue, _xlpm.SalvageValue, _xlpm.Years), oz.DBλ(_xlpm.InitialValue, _xlpm.SalvageValue, _xlpm.Years), oz.DDBλ(_xlpm.InitialValue, _xlpm.SalvageValue, _xlpm.Years, _xlpm.Factor), oz.VDBλ(_xlpm.InitialValue, _xlpm.SalvageValue, _xlpm.Years, _xlpm.Factor), oz.DiminishingValueλ(_xlpm.InitialValue, _xlpm.Years), oz.PrimeCostλ(_xlpm.InitialValue, _xlpm.Years), ), _xlpm.Disposal, _xlfn.HSTACK(_xlfn.SEQUENCE(1, _xlpm.LifeInMonths - 1, 0, 0), _xlpm.DisposalCost), _xlpm.Salvage, _xlfn.HSTACK(_xlfn.SEQUENCE(1, _xlpm.LifeInMonths - 1, 0, 0), _xlpm.SalvageValue), _xlpm.Allocate, _xlfn.HSTACK(_xlfn.EXPAND(oz.Allocateλ(_xlpm.Depreciate,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_xlpm.Return, IF(_xlpm.Help?, 2, IF(_xlpm.BadLife?, 3, 1)), CHOOSE(_xlpm.Return, _xlpm.Result, _xlpm.Help, 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oz.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Revenue - Certain Operating Expenses¶" &amp; "TotalDebtService   →(Required) Interest * (1-Tax Rate), principal, sinking fund,¶" &amp; "→and lease payments due in the coming year¶" &amp; "EXAMPLES:          →Formula (oz is assumed to be the module's name)¶" &amp; "6.142857           →=oz.DSCRλ(2150.0, 350.0)", "→", "¶")), _xlpm.Help?, OR(_xlfn.ISOMITTED(_xlpm.NetOperatingIncome), _xlfn.ISOMITTED(_xlpm.TotalDebtService)), _xlpm.Result, _xlpm.NetOperatingIncome / _xlpm.TotalDebtService, CHOOSE(_xlpm.Help? + 1, _xlpm.Result, _xlpm.Help)))</definedName>
    <definedName name="oz.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→20 Aug 2026¶" &amp; "PARAMETERS:→¶" &amp; "AverageInventory→  (Required) Average of period open and close Inventory¶" &amp; "CostOfGoodsSold→   (Required) Cost of Goods Sold (COGS) ¶" &amp; "EXAMPLES:          →Formula (oz is assumed to be the module's name)¶" &amp; "40.8949 days       →=oz.DSIλ(54.9, 490 )", "→", "¶")), _xlpm.Help?, OR(_xlfn.ISOMITTED(_xlpm.AverageInventory), _xlfn.ISOMITTED(_xlpm.CostOfGoodsSold)), _xlpm.DpY, 365, _xlpm.Result, _xlpm.AverageInventory / _xlpm.CostOfGoodsSold * _xlpm.DpY, CHOOSE(_xlpm.Help? + 1, _xlpm.Result, _xlpm.Help)))</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(oz is assumed to be the module's name)¶" &amp; "1.909548           →=oz.EPSλ( 7.6,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→https://github.com/ryanduguid/Ozzit¶" &amp; "VERSION:       →20 Aug 2026¶" &amp; "PARAMETERS:    →¶" &amp; "Dates          →(Required) One or more dates.¶" &amp; "StartMonth     →(Optional: Default = 7) Month the financial year starts.¶" &amp; "EXAMPLES:      →¶" &amp; "→Formula (oz is assumed to be the module's name)¶" &amp; "→=oz.FinancialYearλ(DATE(2026,8,15))¶"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_xlfn.LET(_xlpm.Help, TRIM(_xlfn.TEXTSPLIT("FUNCTION:      →GSTAddλ(Amounts, [Rate])¶" &amp; "DESCRIPTION:   →Adds GST to one or more GST-exclusive amounts.¶"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_xlpm.Help?, _xlfn.ISOMITTED(_xlpm.Amounts), _xlpm.GSTRate, IF(OR(_xlfn.ISOMITTED(_xlpm.Rate), TRIM(_xlpm.Rate &amp; "")=""), 0.1, _xlpm.Rate), _xlpm.Result, IF(TRIM(_xlpm.Amounts &amp; "")="", "", _xlpm.Amounts * (1 + _xlpm.GSTRate)), CHOOSE(_xlpm.Help? + 1, _xlpm.Result, _xlpm.Help)))</definedName>
    <definedName name="oz.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Rubin.¶→Charged on the average balance over the period, with the principal repaid¶→capped at the principal outstanding.¶" &amp; "VERSION:       →20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MIN(IF(_xlpm.DoNotUse = 0, _xlpm.CFADS / _xlpm.DSCR, _xlpm.DoNotUse), _xlpm.Principal), _xlpm.Interest, (_xlpm.Principal - _xlpm.Payment / 2) * _xlpm.InterestRate, _xlpm.Repayment, -MIN(_xlpm.CFADS / _xlpm.DSCR - _xlpm.Interest, _xlpm.Principal), _xlpm.Balance, _xlpm.Principal + _xlpm.Interest + _xlpm.Repayment, _xlpm.Result, IF(ABS(_xlpm.Payment + _xlpm.Repayment) &lt; 0.01, MAX(_xlpm.Interest, 0), [0]!oz.InterestLRVλ(_xlpm.CFADS, _xlpm.DSCR, _xlpm.Principal, _xlpm.InterestRate, -_xlpm.Repayment)), _xlpm.Return, IF(AND(_xlpm.Errors), 2, IF(OR(_xlpm.Errors), 3, IF(OR(ISERROR(_xlpm.Result)), 2, 1))), CHOOSE(_xlpm.Return, _xlpm.Result, _xlpm.Help, _xlpm.Messages)))</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oz.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(oz is assumed to be the module's name)¶" &amp; "72             →=SUM(N(oz.IsOccurrenceDateλ(SEQUENCE(,90,""1/7/2026""), ""1/7/2026"", ""10/9/2026"", ""D"")))¶" &amp; "01             →=SUM(N(oz.IsOccurrenceDateλ(SEQUENCE(,90,""1/7/2026""), ""1/7/2026"", ""10/9/2026"", ""O"")))¶" &amp; "11             →=SUM(N(oz.IsOccurrenceDateλ(SEQUENCE(,90,""1/7/2026""), ""1/7/2026"", ""10/9/2026"",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oz.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TRIM(_xlfn.TEXTSPLIT("FUNCTION:      →MinColsUλ( Array)¶" &amp; "DESCRIPTION:   →Get the minimum for each Column¶" &amp; "WEBPAGE:       →https://github.com/ryanduguid/Ozzit¶" &amp; "VERSION:       →20 Aug 2026¶" &amp; "PARAMETERS:    →¶" &amp; "Array          →(Required) A two dimensional array/range containing values to find the minumum by column.¶" &amp; "EXAMPLES:      →Formula (oz is assumed to be the module's name)¶" &amp; "→=oz.MinColsUλ( SEQUENCE(5,5))", "→", "¶")), _xlpm.Help?, _xlfn.ISOMITTED(_xlpm.Array), _xlpm.Result, _xlfn.BYCOL(_xlpm.Array, _xlfn.LAMBDA(_xlpm.Col, MIN(_xlpm.Col))), CHOOSE(_xlpm.Help? + 1, _xlpm.Result, _xlpm.Help)))</definedName>
    <definedName name="oz.MinColsλ" comment="Get the minimum for each Column">_xlfn.LAMBDA(_xlop.Array, _xlfn.LET(_xlpm.Help, TRIM(_xlfn.TEXTSPLIT("FUNCTION:      →MinColsλ( Array)¶" &amp; "DESCRIPTION:   →Get the minimum for each Column¶" &amp; "WEBPAGE:       →https://github.com/ryanduguid/Ozzit¶" &amp; "VERSION:       →20 Aug 2026¶" &amp; "PARAMETERS:    →¶" &amp; "Array          →(Required) A two dimensional array/range containing values to find the minumum by column.¶" &amp; "EXAMPLES:      →Formula (oz is assumed to be the module's name)¶" &amp; "→=oz.MinColsλ( SEQUENCE(5,5))", "→", "¶")), _xlpm.Help?, _xlfn.ISOMITTED(_xlpm.Array), _xlpm.Result, _xlfn.BYCOL(_xlpm.Array, _xlfn.LAMBDA(_xlpm.Col, MIN(_xlpm.Col))), CHOOSE(_xlpm.Help? + 1, _xlpm.Result, _xlpm.Help)))</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→https://github.com/ryanduguid/Ozzit¶" &amp; "VERSION:       →20 Aug 2026¶" &amp; "PARAMETERS:    →¶" &amp; "BeginningValues→(Optional) Defaults to 0¶" &amp; "Values         →(Required) A row of values to compare column to column¶" &amp; "EXAMPLES:      →¶" &amp; "Result         →Formula (oz is assumed to be the module's name)¶" &amp; "100,10,20,-30  →=oz.Movementλ(,{100,110,130,100},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 COGS¶" &amp; "Revenue            →(Required) Revenue¶" &amp; "EXAMPLES:          →Formula (oz is assumed to be the module's name)¶" &amp; "40%                →=oz.OperatingMarginλ( .8, 2.0 )", "→", "¶")), _xlpm.Help?, OR(_xlfn.ISOMITTED(_xlpm.OperatingEarnings), _xlfn.ISOMITTED(_xlpm.Revenue)), _xlpm.Result, _xlpm.OperatingEarnings / _xlpm.Revenue, CHOOSE(_xlpm.Help? + 1, _xlpm.Result, _xlpm.Help)))</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oz.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Decond period's end date.¶" &amp; "EXAMPLES:      →¶" &amp; "Result         →Formula (oz is assumed to be the module's name)¶" &amp; "5              →=oz.OverLapDaysλ(08, 14, 10, 17)¶" &amp; "8              →=oz.OverLapDaysλ(10, 20, 11, 18)¶" &amp; "2              →=oz.OverLapDaysλ(""17/7/2026"", ""25/7/2026"", ""7/7/2026"", ""18/7/2026"")",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oz.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"1              →=oz.PeriodDiffλ(""2026-01-01"",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oz.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→https://github.com/ryanduguid/Ozzit¶"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(oz is assumed to be the module's name)¶" &amp; "2              →=oz.Periodsλ(""31/7/2026"", ""15/9/2026"")¶" &amp; "-2             →=oz.Periodsλ(""15/9/2026"", ""31/7/2026"")¶" &amp; "-12            →=oz.Periodsλ(""15/7/2027"", ""16/7/2026"")¶" &amp; "-52            →=oz.Periodsλ(""15/7/2027"", ""16/7/2026"",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Book Value Per share ¶" &amp; "→(Total assets - intangible assets - total liabilities) ÷ number of outstanding shares ¶" &amp; "EXAMPLES:          →Formula (oz is assumed to be the module's name)¶" &amp; "2.0                →=oz.PriceToBookRatioλ( 5, 2.50 )", "→", "¶")), _xlpm.Help?, OR(_xlfn.ISOMITTED(_xlpm.MarketPricePerShare), _xlfn.ISOMITTED(_xlpm.BookValuePerShare)), _xlpm.Result, _xlpm.MarketPricePerShare / _xlpm.BookValuePerShare, CHOOSE(_xlpm.Help? + 1, _xlpm.Result, _xlpm.Help)))</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"189.9%             →=oz.RetentionRatioλ( 41.981, 22.112)", "→", "¶")), _xlpm.Help?, OR(_xlfn.ISOMITTED(_xlpm.RetainedEarnings), _xlfn.ISOMITTED(_xlpm.NetIncome)), _xlpm.Result, _xlpm.RetainedEarnings / _xlpm.NetIncome, CHOOSE(_xlpm.Help? + 1, _xlpm.Result, _xlpm.Help)))</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"-100,-110,-130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→20 Aug 2026¶" &amp; "PARAMETERS:→¶" &amp; "NetIncome          →(Required) Net Income¶" &amp; "ShareholdersEquity →(Required) Average Shareholders' Equity from period open and close ¶" &amp; "EXAMPLES:          →Formula (oz is assumed to be the module's name)¶" &amp; "23.6213%           →=oz.ROEλ( 59.972, AVERAGE(251.635, 256.144) )", "→", "¶")), _xlpm.Help?, OR(_xlfn.ISOMITTED(_xlpm.NetIncome), _xlfn.ISOMITTED(_xlpm.ShareholdersEquity)), _xlpm.Result, _xlpm.NetIncome / _xlpm.ShareholdersEquity, CHOOSE(_xlpm.Help? + 1, _xlpm.Result, _xlpm.Help)))</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preceed the current value¶" &amp; "EXAMPLES:      →¶" &amp; "Result         →Formula (oz is assumed to be the module's name)¶" &amp; "1,1.5,2,3,4    →=oz.RollingAvgλ(SEQUENCE(,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oz.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→https://github.com/ryanduguid/Ozzit¶" &amp; "VERSION:       →20 Aug 2026¶" &amp; "PARAMETERS:    →¶" &amp; "Values         →(Required) A row of values to be maxed.¶" &amp; "Size           →(Required) The number of values to find maximum that ¶" &amp; "→include and preceed the current value¶" &amp; "EXAMPLES:      →¶" &amp; "Result         →Formula (oz is assumed to be the module's name)¶" &amp; "5,5,5,6,6,7    →=oz.RollingMaxλ({5,3,4,6,3,7},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oz.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→https://github.com/ryanduguid/Ozzit¶" &amp; "VERSION:       →20 Aug 2026¶" &amp; "PARAMETERS:    →¶" &amp; "Values         →(Required) A row of values to be minned.¶" &amp; "Size           →(Required) The number of values to find maximum that ¶" &amp; "→include and preceed the current value¶" &amp; "EXAMPLES:      →¶" &amp; "Result         →Formula (oz is assumed to be the module's name)¶" &amp; "5,3,3,3,2,2    →=oz.RollingMinλ({5,3,4,6,2,7},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oz.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preceed the current value¶" &amp; "EXAMPLES:      →¶" &amp; "Result         →Formula (oz is assumed to be the module's name)¶" &amp; "1,3,6,9,12     →=oz.RollingSumλ(SEQUENCE(,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oz.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(oz is assumed to be the module's name)¶" &amp; "→oz.ScheduleRatesByItemsλ( Timelineλ( ""1/7/2026""),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_xlfn.XLOOKUP(_xlpm.CvtPrdEnds, _xlpm.ItemDates, _xlpm.ItemRates, 0, -1), _xlpm.Result, IF(_xlpm.DoNotUse &gt;= _xlpm.Counts, _xlpm.NewRow, _xlfn.VSTACK(_xlpm.NewRow, oz.ScheduleRatesByItemsλ(_xlpm.CvtPrdEnds, _xlpm.ItemFilter, _xlpm.ItemList, _xlpm.CvtEffDates, _xlpm.RateList, _xlpm.DoNotUse + 1))), CHOOSE(_xlpm.Help? + 1, _xlpm.Result, _xlpm.Help)))</definedName>
    <definedName name="oz.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oz.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(oz is assumed to be the module's name)¶" &amp; "→oz.ScheduleValuesByItemsλ( Timelineλ( ""1/7/2026""),  Timelineλ( ""1/7/2026"",,,FALSE),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_xlpm.CvtPrdStarts) * (_xlpm.ItemDates &lt;= _xlpm.CvtPrdEnds) * _xlpm.ItemValues, _xlpm.NewRow, _xlfn.BYCOL(_xlpm.Array, _xlfn.LAMBDA(_xlpm.Column, SUM(_xlpm.Column))), _xlpm.Result, IF(_xlpm.Counter &gt;= _xlpm.Counts, _xlpm.NewRow, _xlfn.VSTACK(_xlpm.NewRow, oz.ScheduleValuesByItemsλ(_xlpm.CvtPrdStarts, _xlpm.CvtPrdEnds, _xlpm.ItemFilter, _xlpm.ItemList, _xlpm.CvtEffDates, _xlpm.ValueList, _xlpm.Counter + 1))), CHOOSE(_xlpm.Help? + 1, _xlpm.Result, _xlpm.Help)))</definedName>
    <definedName name="oz.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→https://github.com/ryanduguid/Ozzit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(oz is assumed to be the module's name)¶" &amp; "→=oz.ScheduleValuesλ(Timelineλ(""1/7/2026""), Timelineλ(""1/7/2026"",,,FALSE), {1;3}, {""1/7/2026""; ""15/8/2026""})",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oz.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_xlpm.Help?, OR(_xlfn.ISOMITTED(_xlpm.Date), _xlfn.ISOMITTED(_xlpm.Timeline)), _xlpm.Date, _xlfn.SINGLE(IF(ISTEXT(_xlpm.Date), DATEVALUE(_xlpm.Date), _xlpm.Date)), _xlpm.Period1, INDEX(_xlpm.Timeline, 1), _xlpm.Period2, INDEX(_xlpm.Timeline, 2), _xlpm.DpP, _xlpm.Period2 - _xlpm.Period1, _xlpm.MpP, MAX(ROUND(_xlpm.DpP / 30.5, 0), 1), _xlpm.SubMonthly?, ROUND(_xlpm.DpP / 30.5, 0) =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_xlpm.ByMonth, MATCH(_xlpm.Date, _xlpm.SearchTimeline, 1) - IF(_xlpm.Direction = 1, 1, _xlpm.PeriodDiff + 2), _xlpm.Result, IF(_xlpm.SubMonthly?, INT((_xlpm.Date - _xlpm.Period1) / _xlpm.DpP), _xlpm.ByMonth), CHOOSE(_xlpm.Help? + 1, _xlpm.Result, _xlpm.Help)))</definedName>
    <definedName name="oz.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6">oz.Amortiseλ!$A$1:$V$43</definedName>
    <definedName name="_xlnm.Print_Area" localSheetId="21">oz.Depreciateλ!$A$1:$V$65</definedName>
    <definedName name="_xlnm.Print_Area" localSheetId="7">oz.IsOccurrenceDateλ!$A$1:$V$39</definedName>
    <definedName name="_xlnm.Print_Area" localSheetId="18">oz.SumAmortiseλ!$A$1:$V$43</definedName>
    <definedName name="_xlnm.Print_Area" localSheetId="30">oz.SumPeriodsλ!$A$1:$V$38</definedName>
    <definedName name="_xlnm.Print_Area" localSheetId="31">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3"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4"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I24" i="83" l="1" a="1"/>
  <c r="I24" i="90" a="1"/>
  <c r="I24"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4"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<sst xmlns="http://schemas.openxmlformats.org/spreadsheetml/2006/main" count="1898" uniqueCount="557">
  <si>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</si>
  <si>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</si>
  <si>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</si>
  <si>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</si>
  <si>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</si>
  <si>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</si>
  <si>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</si>
  <si>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</si>
  <si>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</si>
  <si>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</si>
  <si>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</si>
  <si>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</si>
  <si>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</si>
  <si>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</si>
  <si>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</si>
  <si>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</si>
  <si>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</si>
  <si>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</si>
  <si>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ozzit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</si>
  <si>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</si>
  <si>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</si>
  <si>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</si>
  <si>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</si>
  <si>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</si>
  <si>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</si>
  <si>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</si>
  <si>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</si>
  <si>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</si>
  <si>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</si>
  <si>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</si>
  <si>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</si>
  <si>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</si>
  <si>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</si>
  <si>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</si>
  <si>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</si>
  <si>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</si>
  <si>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</si>
  <si>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</si>
  <si>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</si>
  <si>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</si>
  <si>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</si>
  <si>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</si>
  <si>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</si>
  <si>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</si>
  <si>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</si>
  <si>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</si>
  <si>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</si>
  <si>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</si>
  <si>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</si>
  <si>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</si>
  <si>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</si>
  <si>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</si>
  <si>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</si>
  <si>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</si>
  <si>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</si>
  <si>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</si>
  <si>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</si>
  <si>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</si>
  <si>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</si>
  <si>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</si>
  <si>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</si>
  <si>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</si>
  <si>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</si>
  <si>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</si>
  <si>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</si>
  <si>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</si>
  <si>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</si>
  <si>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</si>
  <si>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</si>
  <si>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</si>
  <si>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</si>
  <si>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</si>
  <si>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</si>
  <si>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</si>
  <si>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</si>
  <si>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</si>
  <si>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</si>
  <si>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</si>
  <si>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</si>
  <si>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</si>
  <si>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</si>
  <si>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</si>
  <si>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</si>
  <si>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</si>
  <si>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</si>
  <si>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</si>
  <si>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</si>
  <si>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</si>
  <si>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</si>
  <si>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</si>
  <si>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</si>
  <si>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</si>
  <si>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</si>
  <si>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</si>
  <si>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</si>
  <si>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</si>
  <si>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</si>
  <si>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</si>
  <si>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</si>
  <si>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</si>
  <si>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</si>
  <si>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</si>
  <si>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</si>
  <si>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</si>
  <si>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</si>
  <si>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</si>
  <si>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</si>
  <si>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</si>
  <si>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</si>
  <si>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</si>
  <si>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</si>
  <si>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</si>
  <si>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</si>
  <si>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</si>
  <si>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</si>
  <si>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</si>
  <si>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</si>
  <si>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</si>
  <si>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</si>
  <si>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</si>
  <si>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</si>
  <si>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</si>
  <si>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</si>
  <si>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</si>
  <si>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</si>
  <si>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</si>
  <si>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</si>
  <si>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</si>
  <si>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</si>
  <si>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</si>
  <si>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</si>
  <si>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</si>
  <si>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</si>
  <si>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</si>
  <si>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</si>
  <si>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</si>
  <si>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</si>
  <si>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</si>
  <si>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</si>
  <si>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</si>
  <si>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</si>
  <si>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</si>
  <si>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</si>
  <si>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</si>
  <si>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</si>
  <si>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</si>
  <si>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</si>
  <si>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</si>
  <si>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</si>
  <si>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</si>
  <si>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</si>
  <si>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</si>
  <si>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</si>
  <si>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</si>
  <si>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</si>
  <si>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</si>
  <si>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</si>
  <si>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</si>
  <si>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</si>
  <si>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</si>
  <si>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</si>
  <si>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</si>
  <si>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</si>
  <si>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</si>
  <si>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</si>
  <si>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</si>
  <si>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</si>
  <si>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</si>
  <si>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</si>
  <si>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</si>
  <si>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</si>
  <si>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</si>
  <si>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</si>
  <si>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</si>
  <si>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</si>
  <si>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</si>
  <si>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</si>
  <si>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</si>
  <si>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</si>
  <si>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</si>
  <si>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</si>
  <si>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</si>
  <si>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</si>
  <si>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</si>
  <si>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</si>
  <si>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</si>
  <si>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</si>
  <si>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</si>
  <si>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</si>
  <si>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</si>
  <si>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</si>
  <si>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</si>
  <si>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</si>
  <si>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</si>
  <si>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</si>
  <si>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</si>
  <si>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</si>
  <si>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</si>
  <si>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</si>
  <si>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</si>
  <si>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</si>
  <si>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</si>
  <si>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</si>
  <si>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</si>
  <si>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</si>
  <si>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</si>
  <si>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</si>
  <si>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</si>
  <si>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</si>
  <si>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</si>
  <si>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</si>
  <si>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</si>
  <si>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</si>
  <si>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</si>
  <si>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</si>
  <si>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</si>
  <si>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</si>
  <si>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</si>
  <si>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</si>
  <si>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</si>
  <si>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</si>
  <si>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</si>
  <si>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</si>
  <si>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</si>
  <si>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</si>
  <si>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</si>
  <si>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</si>
  <si>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</si>
  <si>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</si>
  <si>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</si>
  <si>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</si>
  <si>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</si>
  <si>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</si>
  <si>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</si>
  <si>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</si>
  <si>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</si>
  <si>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</si>
  <si>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</si>
  <si>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</si>
  <si>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</si>
  <si>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</si>
  <si>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</si>
  <si>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</si>
  <si>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</si>
  <si>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</si>
  <si>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</si>
  <si>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</si>
  <si>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B2733"/>
        <rFont val="Aptos"/>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</si>
  <si>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</si>
  <si>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</si>
  <si>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</si>
  <si>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</si>
  <si>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</si>
  <si>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</si>
  <si>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</si>
  <si>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</si>
  <si>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</si>
  <si>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</si>
  <si>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</si>
  <si>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</si>
  <si>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</si>
  <si>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</si>
  <si>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</si>
  <si>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</si>
  <si>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</si>
  <si>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</si>
  <si>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</si>
  <si>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</si>
  <si>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</si>
  <si>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</si>
  <si>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</si>
  <si>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</si>
  <si>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</si>
  <si>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</si>
  <si>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</si>
  <si>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</si>
  <si>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</si>
  <si>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</si>
  <si>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</si>
  <si>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</si>
  <si>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</si>
  <si>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</si>
  <si>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</si>
  <si>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</si>
  <si>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</si>
  <si>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</si>
  <si>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</si>
  <si>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</si>
  <si>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</si>
  <si>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</si>
  <si>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</si>
  <si>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</si>
  <si>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</si>
  <si>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</si>
  <si>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</si>
  <si>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</si>
  <si>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</si>
  <si>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</si>
  <si>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</si>
  <si>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</si>
  <si>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</si>
  <si>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</si>
  <si>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</si>
  <si>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</si>
  <si>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</si>
  <si>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</si>
  <si>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</si>
  <si>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</si>
  <si>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</si>
  <si>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</si>
  <si>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</si>
  <si>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</si>
  <si>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</si>
  <si>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</si>
  <si>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</si>
  <si>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</si>
  <si>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</si>
  <si>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</si>
  <si>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</si>
  <si>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</si>
  <si>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</si>
  <si>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</si>
  <si>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</si>
  <si>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</si>
  <si>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</si>
  <si>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</si>
  <si>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</si>
  <si>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</si>
  <si>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</si>
  <si>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</si>
  <si>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</si>
  <si>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</si>
  <si>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</si>
  <si>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</si>
  <si>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</si>
  <si>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</si>
  <si>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</si>
  <si>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</si>
  <si>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</si>
  <si>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</si>
  <si>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</si>
  <si>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</si>
  <si>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</si>
  <si>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</si>
  <si>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</si>
  <si>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</si>
  <si>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</si>
  <si>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</si>
  <si>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</si>
  <si>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</si>
  <si>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</si>
  <si>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</si>
  <si>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</si>
  <si>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</si>
  <si>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</si>
  <si>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</si>
  <si>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</si>
  <si>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</si>
  <si>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</si>
  <si>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</si>
  <si>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</si>
  <si>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</si>
  <si>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</si>
  <si>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t>
  </si>
  <si>
    <t>tblAssets111214</t>
  </si>
  <si>
    <t>tblPhases</t>
  </si>
  <si>
    <t>oz.RollingSumλ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</si>
  <si>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</si>
  <si>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</si>
  <si>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</si>
  <si>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</si>
  <si>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</si>
  <si>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</si>
  <si>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</si>
  <si>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</si>
  <si>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</si>
  <si>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</si>
  <si>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</si>
  <si>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</si>
  <si>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</si>
  <si>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</si>
  <si>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</si>
  <si>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</si>
  <si>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</si>
  <si>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</si>
  <si>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</si>
  <si>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</si>
  <si>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</si>
  <si>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</si>
  <si>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</si>
  <si>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</si>
  <si>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</si>
  <si>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</si>
  <si>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</si>
  <si>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</si>
  <si>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</si>
  <si>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</si>
  <si>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</si>
  <si>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</si>
  <si>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</si>
  <si>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</si>
  <si>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</si>
  <si>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</si>
  <si>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</si>
  <si>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</si>
  <si>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</si>
  <si>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</si>
  <si>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</si>
  <si>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</si>
  <si>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</si>
  <si>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</si>
  <si>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</si>
  <si>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</si>
  <si>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</si>
  <si>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</si>
  <si>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</si>
  <si>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</si>
  <si>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</si>
  <si>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</si>
  <si>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</si>
  <si>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</si>
  <si>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</si>
  <si>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</si>
  <si>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</si>
  <si>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</si>
  <si>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</si>
  <si>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</si>
  <si>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</si>
  <si>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</si>
  <si>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</si>
  <si>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</si>
  <si>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</si>
  <si>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</si>
  <si>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</si>
  <si>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</si>
  <si>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</si>
  <si>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</si>
  <si>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</si>
  <si>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</si>
  <si>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</si>
  <si>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</si>
  <si>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</si>
  <si>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</si>
  <si>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</si>
  <si>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</si>
  <si>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</si>
  <si>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</si>
  <si>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</si>
  <si>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</si>
  <si>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</si>
  <si>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</si>
  <si>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</si>
  <si>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</si>
  <si>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</si>
  <si>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</si>
  <si>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</si>
  <si>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</si>
  <si>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</si>
  <si>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</si>
  <si>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</si>
  <si>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</si>
  <si>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</si>
  <si>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</si>
  <si>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</si>
  <si>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</si>
  <si>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</si>
  <si>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</si>
  <si>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</si>
  <si>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</si>
  <si>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</si>
  <si>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</si>
  <si>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</si>
  <si>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</si>
  <si>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</si>
  <si>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</si>
  <si>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</si>
  <si>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</si>
  <si>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</si>
  <si>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</si>
  <si>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</si>
  <si>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</si>
  <si>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</si>
  <si>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</si>
  <si>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</si>
  <si>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</si>
  <si>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</si>
  <si>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</si>
  <si>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</si>
  <si>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</si>
  <si>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</si>
  <si>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</si>
  <si>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</si>
  <si>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</si>
  <si>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</si>
  <si>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</si>
  <si>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</si>
  <si>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</si>
  <si>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</si>
  <si>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</si>
  <si>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</si>
  <si>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</si>
  <si>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</si>
  <si>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</si>
  <si>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</si>
  <si>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</si>
  <si>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</si>
  <si>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</si>
  <si>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</si>
  <si>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</si>
  <si>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</si>
  <si>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</si>
  <si>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</si>
  <si>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</si>
  <si>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</si>
  <si>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</si>
  <si>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</si>
  <si>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</si>
  <si>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</si>
  <si>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</si>
  <si>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</si>
  <si>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</si>
  <si>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</si>
  <si>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</si>
  <si>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</si>
  <si>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</si>
  <si>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</si>
  <si>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</si>
  <si>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</si>
  <si>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</si>
  <si>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</si>
  <si>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</si>
  <si>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</si>
  <si>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</si>
  <si>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</si>
  <si>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</si>
  <si>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</si>
  <si>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</si>
  <si>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</si>
  <si>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</si>
  <si>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</si>
  <si>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</si>
  <si>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</si>
  <si>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</si>
  <si>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</si>
  <si>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</si>
  <si>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</si>
  <si>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</si>
  <si>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</si>
  <si>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</si>
  <si>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</si>
  <si>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</si>
  <si>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</si>
  <si>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</si>
  <si>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20 August 2026    -    130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</si>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</sst>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7"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B2733"/>
      <name val="Aptos"/>
      <family val="2"/>
      <scheme val="minor"/>
    </font>
    <font>
      <b/>
      <sz val="16"/>
      <color rgb="FF000000"/>
      <name val="Aptos"/>
      <family val="2"/>
      <scheme val="minor"/>
    </font>
    <font>
      <sz val="11"/>
      <color rgb="FF5C2D91"/>
      <name val="Aptos"/>
      <family val="2"/>
      <scheme val="minor"/>
    </font>
    <font>
      <sz val="11"/>
      <color rgb="FF5C2D91"/>
      <name val="Aptos"/>
      <family val="2"/>
      <scheme val="minor"/>
    </font>
    <font>
      <sz val="11"/>
      <color rgb="FFC00000"/>
      <name val="Aptos"/>
      <family val="2"/>
      <scheme val="minor"/>
    </font>
    <font>
      <sz val="11"/>
      <color rgb="FF5C2D91"/>
      <name val="Aptos"/>
      <family val="3"/>
      <scheme val="minor"/>
    </font>
    <font>
      <sz val="11"/>
      <color rgb="FFC00000"/>
      <name val="Aptos"/>
      <family val="3"/>
      <scheme val="minor"/>
    </font>
    <font>
      <sz val="11"/>
      <color rgb="FFC00000"/>
      <name val="Aptos"/>
      <family val="3"/>
      <scheme val="minor"/>
    </font>
    <font>
      <i/>
      <sz val="11"/>
      <color theme="1" tint="0.499984740745262"/>
      <name val="Aptos"/>
      <family val="2"/>
      <scheme val="minor"/>
    </font>
    <font>
      <u/>
      <sz val="11"/>
      <color rgb="FF5C2D91"/>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Aptos Display"/>
    </font>
    <font>
      <b/>
      <sz val="20"/>
      <color theme="4"/>
      <name val="Aptos Display"/>
    </font>
    <font>
      <b/>
      <sz val="16"/>
      <color theme="4"/>
      <name val="Aptos Display"/>
    </font>
    <font>
      <b/>
      <i/>
      <u/>
      <sz val="12"/>
      <color theme="4"/>
      <name val="Aptos Display"/>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Aptos Display"/>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5C2D91"/>
      <name val="Aptos"/>
      <family val="2"/>
      <scheme val="minor"/>
    </font>
    <font>
      <sz val="11"/>
      <color rgb="FFC00000"/>
      <name val="Aptos"/>
      <family val="2"/>
      <scheme val="minor"/>
    </font>
    <font>
      <i/>
      <sz val="11"/>
      <color rgb="FF6E6862"/>
      <name val="Aptos"/>
      <family val="2"/>
      <scheme val="minor"/>
    </font>
    <font>
      <u/>
      <sz val="11"/>
      <color rgb="FF5C2D91"/>
      <name val="Aptos"/>
      <family val="2"/>
      <scheme val="minor"/>
    </font>
    <font>
      <b/>
      <sz val="36"/>
      <color rgb="FF5C2D91"/>
      <name val="Aptos Display"/>
    </font>
    <font>
      <b/>
      <sz val="20"/>
      <color rgb="FF5C2D91"/>
      <name val="Aptos Display"/>
    </font>
    <font>
      <b/>
      <sz val="16"/>
      <color rgb="FF5C2D91"/>
      <name val="Aptos Display"/>
    </font>
    <font>
      <b/>
      <i/>
      <u/>
      <sz val="12"/>
      <color rgb="FF5C2D91"/>
      <name val="Aptos Display"/>
    </font>
    <font>
      <u/>
      <sz val="11"/>
      <color theme="10"/>
      <name val="Aptos"/>
      <family val="2"/>
      <scheme val="minor"/>
    </font>
    <font>
      <u/>
      <sz val="11"/>
      <color theme="11"/>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B2733"/>
      <name val="Aptos"/>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F3F1F6"/>
        <bgColor rgb="FF000000"/>
      </patternFill>
    </fill>
    <fill>
      <patternFill patternType="solid">
        <fgColor rgb="FFF5F5F5"/>
        <bgColor rgb="FF000000"/>
      </patternFill>
    </fill>
    <fill>
      <patternFill patternType="solid">
        <fgColor rgb="FFF3F1F6"/>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F3F1F5"/>
        <bgColor indexed="64"/>
      </patternFill>
    </fill>
    <fill>
      <gradientFill>
        <stop position="0">
          <color theme="0"/>
        </stop>
        <stop position="1">
          <color rgb="FFE8E4EC"/>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rgb="FFDED9E8"/>
        <bgColor rgb="FF000000"/>
      </patternFill>
    </fill>
    <fill>
      <patternFill patternType="solid">
        <fgColor indexed="26"/>
        <bgColor rgb="FF000000"/>
      </patternFill>
    </fill>
    <fill>
      <patternFill patternType="solid">
        <fgColor rgb="FFDDDBE0"/>
      </patternFill>
    </fill>
    <fill>
      <patternFill patternType="solid">
        <fgColor rgb="FFE7E4EB"/>
      </patternFill>
    </fill>
    <fill>
      <patternFill patternType="solid">
        <fgColor rgb="FFF3F1F6"/>
      </patternFill>
    </fill>
    <fill>
      <patternFill patternType="solid">
        <fgColor rgb="FFE2E0DF"/>
      </patternFill>
    </fill>
    <fill>
      <patternFill patternType="solid">
        <fgColor rgb="FFECECEC"/>
      </patternFill>
    </fill>
    <fill>
      <patternFill patternType="solid">
        <fgColor rgb="FFF5F5F5"/>
      </patternFill>
    </fill>
    <fill>
      <patternFill patternType="solid">
        <fgColor rgb="FFBBB7C0"/>
      </patternFill>
    </fill>
    <fill>
      <patternFill patternType="solid">
        <fgColor rgb="FFD0CAD7"/>
      </patternFill>
    </fill>
    <fill>
      <patternFill patternType="solid">
        <fgColor rgb="FFE8E4EC"/>
      </patternFill>
    </fill>
    <fill>
      <patternFill patternType="solid">
        <fgColor rgb="FFC6C2BF"/>
      </patternFill>
    </fill>
    <fill>
      <patternFill patternType="solid">
        <fgColor rgb="FFDAD9D9"/>
      </patternFill>
    </fill>
    <fill>
      <patternFill patternType="solid">
        <fgColor rgb="FFECEBEA"/>
      </patternFill>
    </fill>
    <fill>
      <patternFill patternType="solid">
        <fgColor rgb="FF9A94A1"/>
      </patternFill>
    </fill>
    <fill>
      <patternFill patternType="solid">
        <fgColor rgb="FFB8AFC3"/>
      </patternFill>
    </fill>
    <fill>
      <patternFill patternType="solid">
        <fgColor rgb="FFDCD7E2"/>
      </patternFill>
    </fill>
    <fill>
      <patternFill patternType="solid">
        <fgColor rgb="FFAAA49F"/>
      </patternFill>
    </fill>
    <fill>
      <patternFill patternType="solid">
        <fgColor rgb="FFC8C6C5"/>
      </patternFill>
    </fill>
    <fill>
      <patternFill patternType="solid">
        <fgColor rgb="FFE2E1E0"/>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86807A"/>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4">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69"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69"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69"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8"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0" fillId="47" borderId="6" xfId="0" applyFont="1" applyFill="1" applyBorder="1"/>
    <xf numFmtId="173" fontId="50" fillId="47" borderId="6" xfId="0" applyFont="1" applyFill="1" applyBorder="1" applyAlignment="1">
      <alignment horizontal="right"/>
    </xf>
    <xf numFmtId="38" fontId="49" fillId="23" borderId="43" xfId="0" applyNumberFormat="1" applyFont="1" applyBorder="1" applyAlignment="1">
      <alignment horizontal="left" vertical="top"/>
    </xf>
    <xf numFmtId="38" fontId="49" fillId="23" borderId="43" xfId="0" applyNumberFormat="1" applyFont="1" applyBorder="1" applyAlignment="1">
      <alignment horizontal="right" vertical="top"/>
    </xf>
    <xf numFmtId="10" fontId="49" fillId="23" borderId="43" xfId="0" applyNumberFormat="1" applyFont="1" applyBorder="1"/>
    <xf numFmtId="173" fontId="49" fillId="23" borderId="43" xfId="0" applyFont="1" applyBorder="1"/>
    <xf numFmtId="169" fontId="49" fillId="23" borderId="43" xfId="0" applyNumberFormat="1" applyFont="1" applyBorder="1" applyAlignment="1">
      <alignment horizontal="right" vertical="top"/>
    </xf>
    <xf numFmtId="38" fontId="49" fillId="46" borderId="43" xfId="0" applyNumberFormat="1" applyFont="1" applyFill="1" applyBorder="1" applyAlignment="1">
      <alignment horizontal="left" vertical="top"/>
    </xf>
    <xf numFmtId="38" fontId="49" fillId="46" borderId="43" xfId="0" applyNumberFormat="1" applyFont="1" applyFill="1" applyBorder="1" applyAlignment="1">
      <alignment horizontal="right" vertical="top"/>
    </xf>
    <xf numFmtId="10" fontId="49" fillId="46" borderId="43" xfId="0" applyNumberFormat="1" applyFont="1" applyFill="1" applyBorder="1"/>
    <xf numFmtId="173" fontId="49" fillId="46" borderId="43" xfId="0" applyFont="1" applyFill="1" applyBorder="1"/>
    <xf numFmtId="169" fontId="49" fillId="46" borderId="43" xfId="0" applyNumberFormat="1" applyFont="1" applyFill="1" applyBorder="1" applyAlignment="1">
      <alignment horizontal="right" vertical="top"/>
    </xf>
    <xf numFmtId="38" fontId="49" fillId="23" borderId="6" xfId="0" applyNumberFormat="1" applyFont="1" applyBorder="1" applyAlignment="1">
      <alignment horizontal="left" vertical="top"/>
    </xf>
    <xf numFmtId="38" fontId="49" fillId="23" borderId="6" xfId="0" applyNumberFormat="1" applyFont="1" applyBorder="1" applyAlignment="1">
      <alignment horizontal="right" vertical="top"/>
    </xf>
    <xf numFmtId="10" fontId="49" fillId="23" borderId="6" xfId="0" applyNumberFormat="1" applyFont="1" applyBorder="1"/>
    <xf numFmtId="173" fontId="49" fillId="23" borderId="6" xfId="0" applyFont="1" applyBorder="1"/>
    <xf numFmtId="169" fontId="49"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2" fillId="23" borderId="0" xfId="0" applyFont="1"/>
    <xf numFmtId="173" fontId="51" fillId="23" borderId="0" xfId="0" applyFont="1" applyAlignment="1">
      <alignment horizontal="justify" vertical="center"/>
    </xf>
    <xf numFmtId="173" fontId="54" fillId="23" borderId="0" xfId="0" applyFont="1" applyAlignment="1">
      <alignment horizontal="justify" vertical="center"/>
    </xf>
    <xf numFmtId="173" fontId="52" fillId="23" borderId="0" xfId="0" applyFont="1" applyAlignment="1">
      <alignment horizontal="justify" vertical="center"/>
    </xf>
    <xf numFmtId="173" fontId="57" fillId="23" borderId="0" xfId="0" applyFont="1"/>
    <xf numFmtId="173" fontId="56" fillId="23" borderId="0" xfId="0" applyFont="1" applyAlignment="1">
      <alignment horizontal="justify" vertical="center"/>
    </xf>
    <xf numFmtId="173" fontId="56" fillId="23" borderId="0" xfId="0" applyFont="1" applyAlignment="1">
      <alignment horizontal="justify" vertical="top" wrapText="1"/>
    </xf>
    <xf numFmtId="173" fontId="57" fillId="23" borderId="0" xfId="0" applyFont="1" applyAlignment="1">
      <alignment horizontal="justify" vertical="top" wrapText="1"/>
    </xf>
    <xf numFmtId="173" fontId="58"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0" fillId="23" borderId="0" xfId="0" applyAlignment="1">
      <alignment horizontal="justify" vertical="center"/>
    </xf>
    <xf numFmtId="173" fontId="0" fillId="23" borderId="0" xfId="0" applyAlignment="1">
      <alignment horizontal="justify" vertical="top" wrapText="1"/>
    </xf>
    <xf numFmtId="173" fontId="59" fillId="0" borderId="6" xfId="11" applyNumberFormat="1" applyFont="1" applyFill="1" applyProtection="1"/>
    <xf numFmtId="173" fontId="60" fillId="23" borderId="0" xfId="0" applyFont="1" applyBorder="1"/>
    <xf numFmtId="173" fontId="60" fillId="46" borderId="0" xfId="0" applyFont="1" applyFill="1" applyBorder="1"/>
    <xf numFmtId="169" fontId="60" fillId="46" borderId="0" xfId="0" applyNumberFormat="1" applyFont="1" applyFill="1" applyBorder="1"/>
    <xf numFmtId="169" fontId="60" fillId="23" borderId="0" xfId="0" applyNumberFormat="1" applyFont="1" applyBorder="1"/>
    <xf numFmtId="38" fontId="60" fillId="23" borderId="0" xfId="1" applyNumberFormat="1" applyFont="1" applyFill="1" applyBorder="1">
      <alignment horizontal="right" vertical="top"/>
    </xf>
    <xf numFmtId="169" fontId="60"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173" fontId="53" fillId="23" borderId="0" xfId="0" applyFont="1" applyAlignment="1">
      <alignment horizontal="left" vertical="center" indent="1"/>
    </xf>
    <xf numFmtId="0" fontId="4" fillId="0" borderId="0" xfId="0" applyNumberFormat="1" applyFont="1" applyFill="1"/>
    <xf numFmtId="164" fontId="0" fillId="0" borderId="0" xfId="0" applyNumberFormat="1" applyFill="1"/>
    <xf numFmtId="171" fontId="0" fillId="0" borderId="0" xfId="0" applyNumberFormat="1" applyFill="1"/>
    <xf numFmtId="173" fontId="64" fillId="23" borderId="0" xfId="0" applyFont="1"/>
    <xf numFmtId="173" fontId="65" fillId="23" borderId="0" xfId="0" applyFont="1" applyAlignment="1">
      <alignment horizontal="left" vertical="center" indent="1"/>
    </xf>
    <xf numFmtId="173" fontId="53" fillId="23" borderId="0" xfId="0" applyFont="1" applyAlignment="1">
      <alignment horizontal="left" vertical="center" indent="1"/>
    </xf>
    <xf numFmtId="173" fontId="63" fillId="23" borderId="6" xfId="21" applyNumberFormat="1" applyFont="1" applyFill="1" applyAlignment="1">
      <alignment horizontal="left" vertical="top" wrapText="1"/>
    </xf>
    <xf numFmtId="173" fontId="56" fillId="23" borderId="40" xfId="0" applyFont="1" applyBorder="1" applyAlignment="1">
      <alignment horizontal="left" vertical="top" wrapText="1"/>
    </xf>
    <xf numFmtId="0" fontId="62" fillId="23" borderId="6" xfId="6" applyFont="1" applyFill="1" applyAlignment="1"/>
    <xf numFmtId="0" fontId="55"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66" fillId="23" borderId="6" xfId="6" applyFont="1" applyFill="1" applyAlignment="1"/>
    <xf numFmtId="0" fontId="41" fillId="23" borderId="0" xfId="6" applyFill="1" applyBorder="1" applyAlignment="1"/>
    <xf numFmtId="0" fontId="41" fillId="23" borderId="6" xfId="6" applyFill="1"/>
    <xf numFmtId="0" fontId="39" fillId="23" borderId="6" xfId="21" applyFill="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39" fillId="23" borderId="0" xfId="21" applyFill="1" applyBorder="1" applyAlignment="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173" fontId="43" fillId="23" borderId="42" xfId="8" applyNumberFormat="1" applyFill="1" applyBorder="1"/>
    <xf numFmtId="173" fontId="43" fillId="23" borderId="0"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microsoft.com/office/2007/relationships/slicerCache" Target="slicerCaches/slicerCach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4" Type="http://schemas.openxmlformats.org/officeDocument/2006/relationships/table" Target="../tables/table4.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4"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5" Type="http://schemas.openxmlformats.org/officeDocument/2006/relationships/table" Target="../tables/table7.xml"/><Relationship Id="rId4"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4"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5" Type="http://schemas.openxmlformats.org/officeDocument/2006/relationships/table" Target="../tables/table10.xml"/><Relationship Id="rId4" Type="http://schemas.openxmlformats.org/officeDocument/2006/relationships/table" Target="../tables/table9.x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customProperty" Target="../customProperty16.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customProperty" Target="../customProperty17.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customProperty" Target="../customProperty18.bin"/></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customProperty" Target="../customProperty19.bin"/><Relationship Id="rId4" Type="http://schemas.openxmlformats.org/officeDocument/2006/relationships/table" Target="../tables/table12.xml"/></Relationships>
</file>

<file path=xl/worksheets/_rels/sheet23.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customProperty" Target="../customProperty20.bin"/><Relationship Id="rId4" Type="http://schemas.openxmlformats.org/officeDocument/2006/relationships/table" Target="../tables/table13.xml"/></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0.xml"/><Relationship Id="rId2" Type="http://schemas.openxmlformats.org/officeDocument/2006/relationships/customProperty" Target="../customProperty21.bin"/><Relationship Id="rId4" Type="http://schemas.openxmlformats.org/officeDocument/2006/relationships/table" Target="../tables/table14.xml"/></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customProperty" Target="../customProperty22.bin"/><Relationship Id="rId4" Type="http://schemas.openxmlformats.org/officeDocument/2006/relationships/table" Target="../tables/table15.x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customProperty" Target="../customProperty23.bin"/><Relationship Id="rId4" Type="http://schemas.openxmlformats.org/officeDocument/2006/relationships/table" Target="../tables/table16.x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customProperty" Target="../customProperty24.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4.xml"/></Relationships>
</file>

<file path=xl/worksheets/_rels/sheet29.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customProperty" Target="../customProperty25.bin"/></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6.xml"/><Relationship Id="rId2" Type="http://schemas.openxmlformats.org/officeDocument/2006/relationships/customProperty" Target="../customProperty2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customProperty" Target="../customProperty27.bin"/></Relationships>
</file>

<file path=xl/worksheets/_rels/sheet32.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customProperty" Target="../customProperty2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customProperty" Target="../customProperty29.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customProperty" Target="../customProperty30.bin"/></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customProperty" Target="../customProperty31.bin"/></Relationships>
</file>

<file path=xl/worksheets/_rels/sheet37.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customProperty" Target="../customProperty32.bin"/></Relationships>
</file>

<file path=xl/worksheets/_rels/sheet38.xml.rels><?xml version="1.0" encoding="UTF-8" standalone="yes"?>
<Relationships xmlns="http://schemas.openxmlformats.org/package/2006/relationships"><Relationship Id="rId3" Type="http://schemas.openxmlformats.org/officeDocument/2006/relationships/drawing" Target="../drawings/drawing33.xml"/><Relationship Id="rId2" Type="http://schemas.openxmlformats.org/officeDocument/2006/relationships/customProperty" Target="../customProperty33.bin"/></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4.xml"/><Relationship Id="rId2" Type="http://schemas.openxmlformats.org/officeDocument/2006/relationships/customProperty" Target="../customProperty34.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customProperty" Target="../customProperty35.bin"/></Relationships>
</file>

<file path=xl/worksheets/_rels/sheet41.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customProperty" Target="../customProperty36.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customProperty" Target="../customProperty37.bin"/></Relationships>
</file>

<file path=xl/worksheets/_rels/sheet43.xml.rels><?xml version="1.0" encoding="UTF-8" standalone="yes"?>
<Relationships xmlns="http://schemas.openxmlformats.org/package/2006/relationships"><Relationship Id="rId3" Type="http://schemas.openxmlformats.org/officeDocument/2006/relationships/drawing" Target="../drawings/drawing38.xml"/><Relationship Id="rId2" Type="http://schemas.openxmlformats.org/officeDocument/2006/relationships/customProperty" Target="../customProperty38.bin"/></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39.xml"/></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s>
</file>

<file path=xl/worksheets/_rels/sheet48.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1.xml"/></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38"/>
  <sheetViews>
    <sheetView showGridLines="0" tabSelected="1" zoomScaleNormal="100" workbookViewId="0">
      <selection sqref="A1:B1"/>
    </sheetView>
  </sheetViews>
  <sheetFormatPr defaultColWidth="8.875" defaultRowHeight="15" x14ac:dyDescent="0.25"/>
  <cols>
    <col min="1" max="1" width="10.625" style="241" customWidth="1"/>
    <col min="2" max="2" width="111.625" style="248" customWidth="1"/>
    <col min="3" max="3" width="37.875" style="241" customWidth="1"/>
    <col min="4" max="16384" width="8.875" style="241"/>
  </cols>
  <sheetData>
    <row r="1" spans="1:2" ht="62.1" customHeight="1" x14ac:dyDescent="1">
      <c r="A1" s="278" t="s">
        <v>551</v>
      </c>
      <c r="B1" s="279"/>
    </row>
    <row r="2" spans="1:2" ht="30" customHeight="1" x14ac:dyDescent="0.25">
      <c r="A2" s="276" t="s">
        <v>552</v>
      </c>
      <c r="B2" s="277"/>
    </row>
    <row r="3" spans="1:2" ht="20.100000000000001" customHeight="1" x14ac:dyDescent="0.25">
      <c r="A3" s="273" t="s">
        <v>553</v>
      </c>
      <c r="B3" s="247"/>
    </row>
    <row r="4" spans="1:2" ht="47.25" x14ac:dyDescent="0.25">
      <c r="A4" s="245"/>
      <c r="B4" s="247" t="s">
        <v>336</v>
      </c>
    </row>
    <row r="5" spans="1:2" ht="31.5" x14ac:dyDescent="0.25">
      <c r="A5" s="246"/>
      <c r="B5" s="247" t="s">
        <v>337</v>
      </c>
    </row>
    <row r="6" spans="1:2" ht="343.9" customHeight="1" x14ac:dyDescent="0.25">
      <c r="A6" s="242"/>
    </row>
    <row r="7" spans="1:2" ht="15.75" x14ac:dyDescent="0.25">
      <c r="A7" s="242"/>
    </row>
    <row r="8" spans="1:2" ht="15.75" x14ac:dyDescent="0.25">
      <c r="A8" s="242"/>
      <c r="B8" s="249"/>
    </row>
    <row r="9" spans="1:2" ht="32.1" customHeight="1" x14ac:dyDescent="0.25">
      <c r="A9" s="274" t="s">
        <v>326</v>
      </c>
      <c r="B9" s="275"/>
    </row>
    <row r="10" spans="1:2" ht="47.25" x14ac:dyDescent="0.25">
      <c r="B10" s="247" t="s">
        <v>529</v>
      </c>
    </row>
    <row r="11" spans="1:2" ht="15.75" x14ac:dyDescent="0.25">
      <c r="B11" s="247"/>
    </row>
    <row r="12" spans="1:2" ht="47.25" x14ac:dyDescent="0.25">
      <c r="B12" s="247" t="s">
        <v>338</v>
      </c>
    </row>
    <row r="13" spans="1:2" ht="15.75" x14ac:dyDescent="0.25">
      <c r="B13" s="247"/>
    </row>
    <row r="14" spans="1:2" ht="47.25" x14ac:dyDescent="0.25">
      <c r="B14" s="247" t="s">
        <v>388</v>
      </c>
    </row>
    <row r="15" spans="1:2" ht="15.75" x14ac:dyDescent="0.25">
      <c r="A15" s="242"/>
      <c r="B15" s="249"/>
    </row>
    <row r="16" spans="1:2" ht="32.1" customHeight="1" x14ac:dyDescent="0.25">
      <c r="A16" s="274" t="s">
        <v>327</v>
      </c>
      <c r="B16" s="275"/>
    </row>
    <row r="17" spans="1:2" ht="126" x14ac:dyDescent="0.25">
      <c r="B17" s="247" t="s">
        <v>334</v>
      </c>
    </row>
    <row r="18" spans="1:2" ht="15.75" x14ac:dyDescent="0.25">
      <c r="A18" s="242"/>
      <c r="B18" s="249"/>
    </row>
    <row r="19" spans="1:2" ht="32.1" customHeight="1" x14ac:dyDescent="0.25">
      <c r="A19" s="274" t="s">
        <v>330</v>
      </c>
      <c r="B19" s="275"/>
    </row>
    <row r="20" spans="1:2" ht="47.25" x14ac:dyDescent="0.25">
      <c r="B20" s="247" t="s">
        <v>339</v>
      </c>
    </row>
    <row r="21" spans="1:2" ht="15.75" x14ac:dyDescent="0.25">
      <c r="B21" s="247"/>
    </row>
    <row r="22" spans="1:2" ht="78.75" x14ac:dyDescent="0.25">
      <c r="A22" s="243"/>
      <c r="B22" s="247" t="s">
        <v>340</v>
      </c>
    </row>
    <row r="23" spans="1:2" ht="15.75" x14ac:dyDescent="0.25">
      <c r="A23" s="242"/>
      <c r="B23" s="249"/>
    </row>
    <row r="24" spans="1:2" ht="32.1" customHeight="1" x14ac:dyDescent="0.25">
      <c r="A24" s="274" t="s">
        <v>328</v>
      </c>
      <c r="B24" s="275"/>
    </row>
    <row r="25" spans="1:2" ht="31.5" x14ac:dyDescent="0.25">
      <c r="B25" s="247" t="s">
        <v>329</v>
      </c>
    </row>
    <row r="26" spans="1:2" ht="15.75" x14ac:dyDescent="0.25">
      <c r="B26" s="247"/>
    </row>
    <row r="27" spans="1:2" ht="31.5" x14ac:dyDescent="0.25">
      <c r="A27" s="244"/>
      <c r="B27" s="247" t="s">
        <v>341</v>
      </c>
    </row>
    <row r="28" spans="1:2" ht="15.75" x14ac:dyDescent="0.25">
      <c r="A28" s="242"/>
      <c r="B28" s="249"/>
    </row>
    <row r="29" spans="1:2" ht="46.5" x14ac:dyDescent="0.25">
      <c r="B29" s="269"/>
    </row>
    <row r="30" spans="1:2" ht="15.75" x14ac:dyDescent="0.25">
      <c r="A30" s="243"/>
    </row>
    <row r="31" spans="1:2" ht="15.75" x14ac:dyDescent="0.25">
      <c r="A31" s="243"/>
      <c r="B31" s="247"/>
    </row>
    <row r="32" spans="1:2" ht="15.75" x14ac:dyDescent="0.25">
      <c r="A32" s="243"/>
    </row>
    <row r="33" spans="1:2" ht="15.75" x14ac:dyDescent="0.25">
      <c r="A33" s="243"/>
    </row>
    <row r="34" spans="1:2" ht="15.75" x14ac:dyDescent="0.25">
      <c r="A34" s="243"/>
      <c r="B34" s="247"/>
    </row>
    <row r="35" spans="1:2" ht="15.75" x14ac:dyDescent="0.25">
      <c r="A35" s="242"/>
    </row>
    <row r="36" spans="1:2" ht="15.75" x14ac:dyDescent="0.25">
      <c r="A36" s="242"/>
    </row>
    <row r="37" spans="1:2" customFormat="1" x14ac:dyDescent="0.25">
      <c r="A37" s="258"/>
      <c r="B37" s="259"/>
    </row>
    <row r="38" spans="1:2" ht="15.75" x14ac:dyDescent="0.25">
      <c r="A38" s="242"/>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scale="68" fitToHeight="0" orientation="portrait" horizontalDpi="360" verticalDpi="360"/>
  <customProperties>
    <customPr name="Description" r:id="rId2"/>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sqref="A1:F1"/>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6.5" x14ac:dyDescent="0.7">
      <c r="A1" s="285" t="s">
        <v>132</v>
      </c>
      <c r="B1" s="286"/>
      <c r="C1" s="286"/>
      <c r="D1" s="286"/>
      <c r="E1" s="286"/>
      <c r="F1" s="286"/>
    </row>
    <row r="2" spans="1:6" ht="21" x14ac:dyDescent="0.35">
      <c r="A2" s="283" t="s">
        <v>136</v>
      </c>
      <c r="B2" s="284"/>
      <c r="C2" s="284"/>
      <c r="D2" s="284"/>
      <c r="E2" s="238"/>
      <c r="F2" s="238"/>
    </row>
    <row r="3" spans="1:6" x14ac:dyDescent="0.25">
      <c r="A3" s="280" t="s">
        <v>423</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349</v>
      </c>
      <c r="B7" s="108" t="s">
        <v>350</v>
      </c>
      <c r="C7" s="111" t="s">
        <v>136</v>
      </c>
      <c r="D7" s="109" t="s">
        <v>423</v>
      </c>
    </row>
    <row r="8" spans="1:6" x14ac:dyDescent="0.25">
      <c r="A8" s="110" t="s">
        <v>445</v>
      </c>
      <c r="B8" s="108" t="s">
        <v>134</v>
      </c>
      <c r="C8" s="111" t="s">
        <v>445</v>
      </c>
      <c r="D8" s="109"/>
    </row>
    <row r="9" spans="1:6" x14ac:dyDescent="0.25">
      <c r="A9" s="237" t="s">
        <v>446</v>
      </c>
      <c r="B9" s="108" t="s">
        <v>350</v>
      </c>
      <c r="C9" s="111" t="s">
        <v>438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351</v>
      </c>
      <c r="B13" s="108" t="s">
        <v>350</v>
      </c>
      <c r="C13" s="111" t="s">
        <v>220</v>
      </c>
      <c r="D13" s="109" t="s">
        <v>221</v>
      </c>
    </row>
    <row r="14" spans="1:6" x14ac:dyDescent="0.25">
      <c r="A14" s="110" t="s">
        <v>171</v>
      </c>
      <c r="B14" s="108" t="s">
        <v>134</v>
      </c>
      <c r="C14" s="111" t="s">
        <v>171</v>
      </c>
      <c r="D14" s="109" t="s">
        <v>198</v>
      </c>
    </row>
    <row r="15" spans="1:6" x14ac:dyDescent="0.25">
      <c r="A15" s="237" t="s">
        <v>352</v>
      </c>
      <c r="B15" s="108" t="s">
        <v>350</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353</v>
      </c>
      <c r="B19" s="108" t="s">
        <v>350</v>
      </c>
      <c r="C19" s="111" t="s">
        <v>180</v>
      </c>
      <c r="D19" s="109"/>
    </row>
    <row r="20" spans="1:4" x14ac:dyDescent="0.25">
      <c r="A20" s="237" t="s">
        <v>354</v>
      </c>
      <c r="B20" s="108" t="s">
        <v>350</v>
      </c>
      <c r="C20" s="111" t="s">
        <v>179</v>
      </c>
      <c r="D20" s="109"/>
    </row>
    <row r="21" spans="1:4" x14ac:dyDescent="0.25">
      <c r="A21" s="110" t="s">
        <v>175</v>
      </c>
      <c r="B21" s="108" t="s">
        <v>134</v>
      </c>
      <c r="C21" s="111" t="s">
        <v>175</v>
      </c>
      <c r="D21" s="109" t="s">
        <v>202</v>
      </c>
    </row>
    <row r="22" spans="1:4" x14ac:dyDescent="0.25">
      <c r="A22" s="237" t="s">
        <v>355</v>
      </c>
      <c r="B22" s="108" t="s">
        <v>350</v>
      </c>
      <c r="C22" s="111" t="s">
        <v>355</v>
      </c>
      <c r="D22" s="109"/>
    </row>
    <row r="23" spans="1:4" x14ac:dyDescent="0.25">
      <c r="A23" s="110" t="s">
        <v>176</v>
      </c>
      <c r="B23" s="108" t="s">
        <v>134</v>
      </c>
      <c r="C23" s="111" t="s">
        <v>176</v>
      </c>
      <c r="D23" s="109" t="s">
        <v>203</v>
      </c>
    </row>
    <row r="24" spans="1:4" x14ac:dyDescent="0.25">
      <c r="A24" s="237" t="s">
        <v>357</v>
      </c>
      <c r="B24" s="108" t="s">
        <v>350</v>
      </c>
      <c r="C24" s="111" t="s">
        <v>278</v>
      </c>
      <c r="D24" s="109"/>
    </row>
    <row r="25" spans="1:4" x14ac:dyDescent="0.25">
      <c r="A25" s="237" t="s">
        <v>356</v>
      </c>
      <c r="B25" s="108" t="s">
        <v>350</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449</v>
      </c>
      <c r="C28" s="111" t="s">
        <v>182</v>
      </c>
      <c r="D28" s="109" t="s">
        <v>380</v>
      </c>
    </row>
    <row r="29" spans="1:4" x14ac:dyDescent="0.25">
      <c r="A29" s="110" t="s">
        <v>183</v>
      </c>
      <c r="B29" s="108" t="s">
        <v>134</v>
      </c>
      <c r="C29" s="111" t="s">
        <v>183</v>
      </c>
      <c r="D29" s="109" t="s">
        <v>206</v>
      </c>
    </row>
    <row r="30" spans="1:4" x14ac:dyDescent="0.25">
      <c r="A30" s="237" t="s">
        <v>358</v>
      </c>
      <c r="B30" s="108" t="s">
        <v>350</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359</v>
      </c>
      <c r="B36" s="108" t="s">
        <v>350</v>
      </c>
      <c r="C36" s="111" t="s">
        <v>295</v>
      </c>
      <c r="D36" s="109"/>
    </row>
    <row r="37" spans="1:4" x14ac:dyDescent="0.25">
      <c r="A37" s="110" t="s">
        <v>192</v>
      </c>
      <c r="B37" s="108" t="s">
        <v>134</v>
      </c>
      <c r="C37" s="111" t="s">
        <v>192</v>
      </c>
      <c r="D37" s="109" t="s">
        <v>216</v>
      </c>
    </row>
    <row r="38" spans="1:4" x14ac:dyDescent="0.25">
      <c r="A38" s="237" t="s">
        <v>360</v>
      </c>
      <c r="B38" s="108" t="s">
        <v>350</v>
      </c>
      <c r="C38" s="111" t="s">
        <v>295</v>
      </c>
      <c r="D38" s="109"/>
    </row>
    <row r="39" spans="1:4" x14ac:dyDescent="0.25">
      <c r="A39" s="110" t="s">
        <v>361</v>
      </c>
      <c r="B39" s="108" t="s">
        <v>134</v>
      </c>
      <c r="C39" s="111" t="s">
        <v>361</v>
      </c>
      <c r="D39" s="109" t="s">
        <v>367</v>
      </c>
    </row>
    <row r="40" spans="1:4" x14ac:dyDescent="0.25">
      <c r="A40" s="237" t="s">
        <v>362</v>
      </c>
      <c r="B40" s="108" t="s">
        <v>350</v>
      </c>
      <c r="C40" s="111" t="s">
        <v>295</v>
      </c>
      <c r="D40" s="109"/>
    </row>
    <row r="41" spans="1:4" x14ac:dyDescent="0.25">
      <c r="A41" s="110" t="s">
        <v>363</v>
      </c>
      <c r="B41" s="108" t="s">
        <v>134</v>
      </c>
      <c r="C41" s="111" t="s">
        <v>363</v>
      </c>
      <c r="D41" s="109" t="s">
        <v>368</v>
      </c>
    </row>
    <row r="42" spans="1:4" x14ac:dyDescent="0.25">
      <c r="A42" s="237" t="s">
        <v>364</v>
      </c>
      <c r="B42" s="108" t="s">
        <v>350</v>
      </c>
      <c r="C42" s="111" t="s">
        <v>295</v>
      </c>
      <c r="D42" s="109"/>
    </row>
    <row r="43" spans="1:4" x14ac:dyDescent="0.25">
      <c r="A43" s="110" t="s">
        <v>186</v>
      </c>
      <c r="B43" s="108" t="s">
        <v>134</v>
      </c>
      <c r="C43" s="111" t="s">
        <v>186</v>
      </c>
      <c r="D43" s="109" t="s">
        <v>209</v>
      </c>
    </row>
    <row r="44" spans="1:4" x14ac:dyDescent="0.25">
      <c r="A44" s="237" t="s">
        <v>365</v>
      </c>
      <c r="B44" s="108" t="s">
        <v>350</v>
      </c>
      <c r="C44" s="111" t="s">
        <v>315</v>
      </c>
      <c r="D44" s="109"/>
    </row>
    <row r="45" spans="1:4" x14ac:dyDescent="0.25">
      <c r="A45" s="110" t="s">
        <v>187</v>
      </c>
      <c r="B45" s="108" t="s">
        <v>134</v>
      </c>
      <c r="C45" s="111" t="s">
        <v>187</v>
      </c>
      <c r="D45" s="109" t="s">
        <v>210</v>
      </c>
    </row>
    <row r="46" spans="1:4" x14ac:dyDescent="0.25">
      <c r="A46" s="110" t="s">
        <v>426</v>
      </c>
      <c r="B46" s="108" t="s">
        <v>134</v>
      </c>
      <c r="C46" s="111" t="s">
        <v>426</v>
      </c>
      <c r="D46" s="109" t="s">
        <v>427</v>
      </c>
    </row>
    <row r="47" spans="1:4" x14ac:dyDescent="0.25">
      <c r="A47" s="110" t="s">
        <v>188</v>
      </c>
      <c r="B47" s="108" t="s">
        <v>134</v>
      </c>
      <c r="C47" s="111" t="s">
        <v>188</v>
      </c>
      <c r="D47" s="109" t="s">
        <v>211</v>
      </c>
    </row>
    <row r="48" spans="1:4" x14ac:dyDescent="0.25">
      <c r="A48" s="110" t="s">
        <v>366</v>
      </c>
      <c r="B48" s="108" t="s">
        <v>134</v>
      </c>
      <c r="C48" s="111" t="s">
        <v>366</v>
      </c>
      <c r="D48" s="109" t="s">
        <v>369</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372</v>
      </c>
      <c r="B52" s="108" t="s">
        <v>134</v>
      </c>
      <c r="C52" s="111" t="s">
        <v>372</v>
      </c>
      <c r="D52" s="109" t="s">
        <v>379</v>
      </c>
    </row>
    <row r="53" spans="1:4" x14ac:dyDescent="0.25">
      <c r="A53" s="110" t="s">
        <v>404</v>
      </c>
      <c r="B53" s="108" t="s">
        <v>134</v>
      </c>
      <c r="C53" s="111" t="s">
        <v>404</v>
      </c>
      <c r="D53" s="109" t="s">
        <v>413</v>
      </c>
    </row>
    <row r="54" spans="1:4" x14ac:dyDescent="0.25">
      <c r="A54" s="110" t="s">
        <v>371</v>
      </c>
      <c r="B54" s="108" t="s">
        <v>134</v>
      </c>
      <c r="C54" s="111" t="s">
        <v>371</v>
      </c>
      <c r="D54" s="109" t="s">
        <v>213</v>
      </c>
    </row>
    <row r="55" spans="1:4" x14ac:dyDescent="0.25">
      <c r="A55" s="110" t="s">
        <v>370</v>
      </c>
      <c r="B55" s="108" t="s">
        <v>134</v>
      </c>
      <c r="C55" s="111" t="s">
        <v>370</v>
      </c>
      <c r="D55" s="109" t="s">
        <v>384</v>
      </c>
    </row>
    <row r="56" spans="1:4" x14ac:dyDescent="0.25">
      <c r="A56" s="110" t="s">
        <v>373</v>
      </c>
      <c r="B56" s="108" t="s">
        <v>134</v>
      </c>
      <c r="C56" s="111" t="s">
        <v>373</v>
      </c>
      <c r="D56" s="109" t="s">
        <v>383</v>
      </c>
    </row>
    <row r="57" spans="1:4" x14ac:dyDescent="0.25">
      <c r="A57" s="110" t="s">
        <v>374</v>
      </c>
      <c r="B57" s="108" t="s">
        <v>134</v>
      </c>
      <c r="C57" s="111" t="s">
        <v>374</v>
      </c>
      <c r="D57" s="109" t="s">
        <v>382</v>
      </c>
    </row>
    <row r="58" spans="1:4" x14ac:dyDescent="0.25">
      <c r="A58" s="110" t="s">
        <v>375</v>
      </c>
      <c r="B58" s="108" t="s">
        <v>134</v>
      </c>
      <c r="C58" s="111" t="s">
        <v>375</v>
      </c>
      <c r="D58" s="109" t="s">
        <v>385</v>
      </c>
    </row>
    <row r="59" spans="1:4" x14ac:dyDescent="0.25">
      <c r="A59" s="110" t="s">
        <v>376</v>
      </c>
      <c r="B59" s="108" t="s">
        <v>134</v>
      </c>
      <c r="C59" s="111" t="s">
        <v>376</v>
      </c>
      <c r="D59" s="109" t="s">
        <v>381</v>
      </c>
    </row>
    <row r="60" spans="1:4" x14ac:dyDescent="0.25">
      <c r="A60" s="110" t="s">
        <v>377</v>
      </c>
      <c r="B60" s="108" t="s">
        <v>134</v>
      </c>
      <c r="C60" s="111" t="s">
        <v>377</v>
      </c>
      <c r="D60" s="109" t="s">
        <v>386</v>
      </c>
    </row>
    <row r="61" spans="1:4" x14ac:dyDescent="0.25">
      <c r="A61" s="110" t="s">
        <v>378</v>
      </c>
      <c r="B61" s="108" t="s">
        <v>134</v>
      </c>
      <c r="C61" s="111" t="s">
        <v>378</v>
      </c>
      <c r="D61" s="109" t="s">
        <v>387</v>
      </c>
    </row>
    <row r="62" spans="1:4" x14ac:dyDescent="0.25">
      <c r="A62" s="110" t="s">
        <v>405</v>
      </c>
      <c r="B62" s="108" t="s">
        <v>134</v>
      </c>
      <c r="C62" s="111" t="s">
        <v>405</v>
      </c>
      <c r="D62" s="109" t="s">
        <v>410</v>
      </c>
    </row>
    <row r="63" spans="1:4" x14ac:dyDescent="0.25">
      <c r="A63" s="110" t="s">
        <v>406</v>
      </c>
      <c r="B63" s="108" t="s">
        <v>134</v>
      </c>
      <c r="C63" s="111" t="s">
        <v>406</v>
      </c>
      <c r="D63" s="109" t="s">
        <v>409</v>
      </c>
    </row>
    <row r="64" spans="1:4" x14ac:dyDescent="0.25">
      <c r="A64" s="110" t="s">
        <v>407</v>
      </c>
      <c r="B64" s="108" t="s">
        <v>134</v>
      </c>
      <c r="C64" s="111" t="s">
        <v>407</v>
      </c>
      <c r="D64" s="109" t="s">
        <v>411</v>
      </c>
    </row>
    <row r="65" spans="1:4" x14ac:dyDescent="0.25">
      <c r="A65" s="110" t="s">
        <v>408</v>
      </c>
      <c r="B65" s="108" t="s">
        <v>134</v>
      </c>
      <c r="C65" s="111" t="s">
        <v>408</v>
      </c>
      <c r="D65" s="109" t="s">
        <v>412</v>
      </c>
    </row>
    <row r="66" spans="1:4" x14ac:dyDescent="0.25">
      <c r="A66" s="110" t="s">
        <v>419</v>
      </c>
      <c r="B66" s="108" t="s">
        <v>134</v>
      </c>
      <c r="C66" s="111" t="s">
        <v>419</v>
      </c>
      <c r="D66" s="109" t="s">
        <v>196</v>
      </c>
    </row>
    <row r="67" spans="1:4" x14ac:dyDescent="0.25">
      <c r="A67" s="237" t="s">
        <v>420</v>
      </c>
      <c r="B67" s="108" t="s">
        <v>350</v>
      </c>
      <c r="C67" s="111" t="s">
        <v>415</v>
      </c>
      <c r="D67" s="109"/>
    </row>
    <row r="68" spans="1:4" x14ac:dyDescent="0.25">
      <c r="A68" s="110" t="s">
        <v>421</v>
      </c>
      <c r="B68" s="108" t="s">
        <v>134</v>
      </c>
      <c r="C68" s="111" t="s">
        <v>421</v>
      </c>
      <c r="D68" s="109" t="s">
        <v>422</v>
      </c>
    </row>
    <row r="69" spans="1:4" x14ac:dyDescent="0.25">
      <c r="A69" s="110" t="s">
        <v>447</v>
      </c>
      <c r="B69" s="108" t="s">
        <v>134</v>
      </c>
      <c r="C69" s="111" t="s">
        <v>447</v>
      </c>
      <c r="D69" s="109" t="s">
        <v>448</v>
      </c>
    </row>
    <row r="70" spans="1:4" x14ac:dyDescent="0.25">
      <c r="A70" s="110" t="s">
        <v>532</v>
      </c>
      <c r="B70" s="108" t="s">
        <v>134</v>
      </c>
      <c r="C70" s="111" t="s">
        <v>532</v>
      </c>
      <c r="D70" s="109" t="s">
        <v>533</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A$1" display="'oz.SumContains'!$A$1" xr:uid="{5C8DAB05-8B34-4E16-BE14-BDB67049DC49}"/>
    <hyperlink ref="A42" location="'oz.SumContains'!$A$29:$H$31" display="'oz.SumContains'!$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287" t="str">
        <f ca="1">_xlfn.TEXTAFTER(CELL("filename",A1),"]")</f>
        <v>Data Validation</v>
      </c>
      <c r="B1" s="287"/>
      <c r="C1" s="287"/>
      <c r="D1" s="287"/>
      <c r="E1" s="287"/>
      <c r="F1" s="287"/>
      <c r="G1" s="287"/>
      <c r="H1" s="287"/>
      <c r="I1" s="112"/>
      <c r="J1" s="112"/>
      <c r="K1" s="112"/>
      <c r="L1" s="112"/>
      <c r="M1" s="112"/>
    </row>
    <row r="2" spans="1:13" x14ac:dyDescent="0.25">
      <c r="A2" s="288" t="s">
        <v>429</v>
      </c>
      <c r="B2" s="289"/>
      <c r="C2" s="289"/>
      <c r="D2" s="289"/>
      <c r="E2" s="289"/>
      <c r="F2" s="289"/>
      <c r="G2" s="289"/>
      <c r="H2" s="289"/>
      <c r="I2" s="289"/>
      <c r="J2" s="289"/>
      <c r="K2" s="289"/>
      <c r="L2" s="289"/>
      <c r="M2" s="290"/>
    </row>
    <row r="4" spans="1:13" ht="21" x14ac:dyDescent="0.35">
      <c r="A4" s="291" t="s">
        <v>438</v>
      </c>
      <c r="B4" s="292"/>
    </row>
    <row r="6" spans="1:13" x14ac:dyDescent="0.25">
      <c r="A6" t="s">
        <v>299</v>
      </c>
      <c r="B6" t="s">
        <v>131</v>
      </c>
    </row>
    <row r="7" spans="1:13" x14ac:dyDescent="0.25">
      <c r="A7" t="s">
        <v>428</v>
      </c>
      <c r="B7" t="s">
        <v>431</v>
      </c>
    </row>
    <row r="8" spans="1:13" x14ac:dyDescent="0.25">
      <c r="A8" t="s">
        <v>301</v>
      </c>
      <c r="B8" t="s">
        <v>432</v>
      </c>
    </row>
    <row r="9" spans="1:13" x14ac:dyDescent="0.25">
      <c r="A9" t="s">
        <v>302</v>
      </c>
      <c r="B9" t="s">
        <v>437</v>
      </c>
    </row>
    <row r="10" spans="1:13" x14ac:dyDescent="0.25">
      <c r="A10" t="s">
        <v>300</v>
      </c>
      <c r="B10" t="s">
        <v>430</v>
      </c>
    </row>
    <row r="11" spans="1:13" x14ac:dyDescent="0.25">
      <c r="A11" t="s">
        <v>433</v>
      </c>
      <c r="B11" t="s">
        <v>434</v>
      </c>
    </row>
    <row r="12" spans="1:13" x14ac:dyDescent="0.25">
      <c r="A12" t="s">
        <v>435</v>
      </c>
      <c r="B12" t="s">
        <v>436</v>
      </c>
    </row>
    <row r="13" spans="1:13" x14ac:dyDescent="0.25">
      <c r="A13" t="s">
        <v>530</v>
      </c>
      <c r="B13" t="s">
        <v>531</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112" t="str">
        <f ca="1">_xlfn.TEXTAFTER(CELL("filename",A1),"]")</f>
        <v>Australian tax</v>
      </c>
    </row>
    <row r="2" spans="1:6" x14ac:dyDescent="0.25">
      <c r="A2" t="s">
        <v>534</v>
      </c>
    </row>
    <row r="4" spans="1:6" x14ac:dyDescent="0.25">
      <c r="A4" s="270" t="s">
        <v>535</v>
      </c>
    </row>
    <row r="5" spans="1:6" x14ac:dyDescent="0.25">
      <c r="A5" s="270" t="s">
        <v>307</v>
      </c>
      <c r="B5" s="270" t="s">
        <v>536</v>
      </c>
    </row>
    <row r="6" spans="1:6" x14ac:dyDescent="0.25">
      <c r="A6" s="271">
        <v>50000</v>
      </c>
      <c r="B6">
        <v>5</v>
      </c>
    </row>
    <row r="8" spans="1:6" x14ac:dyDescent="0.25">
      <c r="A8" t="s">
        <v>537</v>
      </c>
      <c r="B8" s="271" cm="1">
        <f t="array" ref="B8:F8">oz.DiminishingValueλ($A$6,$B$6)</f>
        <v>20000</v>
      </c>
      <c r="C8">
        <v>12000</v>
      </c>
      <c r="D8">
        <v>7200</v>
      </c>
      <c r="E8">
        <v>4320</v>
      </c>
      <c r="F8">
        <v>6480</v>
      </c>
    </row>
    <row r="9" spans="1:6" x14ac:dyDescent="0.25">
      <c r="A9" t="s">
        <v>538</v>
      </c>
      <c r="B9" s="271" cm="1">
        <f t="array" ref="B9:F9">oz.PrimeCostλ($A$6,$B$6)</f>
        <v>10000</v>
      </c>
      <c r="C9">
        <v>10000</v>
      </c>
      <c r="D9">
        <v>10000</v>
      </c>
      <c r="E9">
        <v>10000</v>
      </c>
      <c r="F9">
        <v>10000</v>
      </c>
    </row>
    <row r="10" spans="1:6" x14ac:dyDescent="0.25">
      <c r="A10" t="s">
        <v>539</v>
      </c>
      <c r="B10" s="271">
        <f>SUM(_xlfn.ANCHORARRAY(B8))</f>
        <v>50000</v>
      </c>
    </row>
    <row r="11" spans="1:6" x14ac:dyDescent="0.25">
      <c r="A11" t="s">
        <v>540</v>
      </c>
      <c r="B11" s="271">
        <f>SUM(_xlfn.ANCHORARRAY(B9))</f>
        <v>50000</v>
      </c>
    </row>
    <row r="12" spans="1:6" x14ac:dyDescent="0.25">
      <c r="A12" t="s">
        <v>541</v>
      </c>
    </row>
    <row r="13" spans="1:6" x14ac:dyDescent="0.25">
      <c r="A13" t="s">
        <v>542</v>
      </c>
    </row>
    <row r="14" spans="1:6" x14ac:dyDescent="0.25">
      <c r="A14" s="270" t="s">
        <v>543</v>
      </c>
    </row>
    <row r="15" spans="1:6" x14ac:dyDescent="0.25">
      <c r="A15" s="270" t="s">
        <v>544</v>
      </c>
      <c r="B15" s="270" t="s">
        <v>545</v>
      </c>
    </row>
    <row r="16" spans="1:6" x14ac:dyDescent="0.25">
      <c r="A16" s="271">
        <v>1000</v>
      </c>
      <c r="B16" s="271" cm="1">
        <f t="array" ref="B16">oz.GSTAddλ(A16)</f>
        <v>1100</v>
      </c>
    </row>
    <row r="18" spans="1:2" x14ac:dyDescent="0.25">
      <c r="A18" s="270" t="s">
        <v>546</v>
      </c>
      <c r="B18" s="270" t="s">
        <v>547</v>
      </c>
    </row>
    <row r="19" spans="1:2" x14ac:dyDescent="0.25">
      <c r="A19" s="271">
        <v>1100</v>
      </c>
      <c r="B19" s="271" cm="1">
        <f t="array" ref="B19">oz.GSTExtractλ(A19)</f>
        <v>99.999999999999986</v>
      </c>
    </row>
    <row r="21" spans="1:2" x14ac:dyDescent="0.25">
      <c r="A21" s="270" t="s">
        <v>548</v>
      </c>
    </row>
    <row r="22" spans="1:2" x14ac:dyDescent="0.25">
      <c r="A22" s="270" t="s">
        <v>66</v>
      </c>
      <c r="B22" s="270" t="s">
        <v>549</v>
      </c>
    </row>
    <row r="23" spans="1:2" x14ac:dyDescent="0.25">
      <c r="A23" s="272">
        <v>46203</v>
      </c>
      <c r="B23" t="str" cm="1">
        <f t="array" ref="B23:B26">oz.FinancialYearλ(A23:A26)</f>
        <v>FY2026</v>
      </c>
    </row>
    <row r="24" spans="1:2" x14ac:dyDescent="0.25">
      <c r="A24" s="272">
        <v>46204</v>
      </c>
      <c r="B24" t="str">
        <v>FY2027</v>
      </c>
    </row>
    <row r="25" spans="1:2" x14ac:dyDescent="0.25">
      <c r="A25" s="272">
        <v>46249</v>
      </c>
      <c r="B25" t="str">
        <v>FY2027</v>
      </c>
    </row>
    <row r="26" spans="1:2" x14ac:dyDescent="0.25">
      <c r="A26" s="272">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4F485E"/>
    <pageSetUpPr fitToPage="1"/>
  </sheetPr>
  <dimension ref="A1:V135"/>
  <sheetViews>
    <sheetView showGridLines="0" workbookViewId="0"/>
  </sheetViews>
  <sheetFormatPr defaultRowHeight="15" x14ac:dyDescent="0.25"/>
  <cols>
    <col min="1" max="1" width="18.25" customWidth="1"/>
    <col min="2" max="2" width="24.125" customWidth="1"/>
    <col min="3" max="3" width="5.75" customWidth="1"/>
    <col min="4" max="4" width="3.625" customWidth="1"/>
    <col min="5" max="5" width="18.25" customWidth="1"/>
    <col min="6" max="12" width="3.625" customWidth="1"/>
  </cols>
  <sheetData>
    <row r="1" spans="1:22" ht="46.5" x14ac:dyDescent="0.7">
      <c r="A1" s="295" t="s">
        <v>2</v>
      </c>
      <c r="B1" s="295"/>
      <c r="C1" s="295"/>
      <c r="D1" s="295"/>
      <c r="E1" s="295"/>
      <c r="F1" s="295"/>
      <c r="G1" s="295"/>
      <c r="H1" s="295"/>
      <c r="I1" s="295"/>
      <c r="J1" s="295"/>
      <c r="K1" s="295"/>
      <c r="L1" s="295"/>
      <c r="M1" s="295"/>
      <c r="N1" s="295"/>
      <c r="O1" s="295"/>
      <c r="P1" s="295"/>
      <c r="Q1" s="295"/>
      <c r="R1" s="295"/>
      <c r="S1" s="113"/>
      <c r="T1" s="113"/>
      <c r="U1" s="113"/>
      <c r="V1" s="113"/>
    </row>
    <row r="2" spans="1:22" x14ac:dyDescent="0.25">
      <c r="A2" s="296"/>
      <c r="B2" s="296"/>
      <c r="C2" s="296"/>
      <c r="D2" s="296"/>
      <c r="E2" s="296"/>
      <c r="F2" s="296"/>
      <c r="G2" s="296"/>
      <c r="H2" s="296"/>
      <c r="I2" s="296"/>
      <c r="J2" s="296"/>
      <c r="K2" s="296"/>
      <c r="L2" s="296"/>
      <c r="M2" s="296"/>
      <c r="N2" s="296"/>
      <c r="O2" s="296"/>
      <c r="P2" s="296"/>
      <c r="Q2" s="296"/>
      <c r="R2" s="296"/>
      <c r="S2" s="104"/>
      <c r="T2" s="104"/>
      <c r="U2" s="104"/>
      <c r="V2" s="104"/>
    </row>
    <row r="4" spans="1:22" ht="21" x14ac:dyDescent="0.25">
      <c r="A4" s="294" t="s">
        <v>3</v>
      </c>
      <c r="B4" s="294"/>
      <c r="C4" s="294"/>
      <c r="D4" s="294"/>
      <c r="E4" s="294"/>
      <c r="F4" s="294"/>
      <c r="G4" s="294"/>
      <c r="H4" s="294"/>
      <c r="I4" s="294"/>
      <c r="J4" s="294"/>
      <c r="K4" s="294"/>
      <c r="L4" s="294"/>
    </row>
    <row r="5" spans="1:22" x14ac:dyDescent="0.25">
      <c r="A5" s="293" t="s">
        <v>4</v>
      </c>
      <c r="B5" s="293"/>
      <c r="C5" s="293"/>
      <c r="D5" s="293"/>
      <c r="E5" s="293"/>
      <c r="F5" s="293"/>
      <c r="G5" s="293"/>
      <c r="H5" s="293"/>
      <c r="I5" s="293"/>
      <c r="J5" s="293"/>
      <c r="K5" s="293"/>
      <c r="L5" s="293"/>
    </row>
    <row r="6" spans="1:22" ht="59.25"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6.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1"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46228.605671296296</v>
      </c>
      <c r="F53" s="10" t="s">
        <v>24</v>
      </c>
      <c r="G53" s="10" t="s">
        <v>24</v>
      </c>
      <c r="H53" s="10"/>
      <c r="I53" s="10"/>
      <c r="J53" s="10" t="s">
        <v>24</v>
      </c>
      <c r="K53" s="10"/>
      <c r="L53" s="10"/>
    </row>
    <row r="54" spans="1:12" x14ac:dyDescent="0.25">
      <c r="A54" s="3" t="s">
        <v>56</v>
      </c>
      <c r="B54" s="3" t="s">
        <v>66</v>
      </c>
      <c r="C54" s="3"/>
      <c r="D54" s="3">
        <v>10</v>
      </c>
      <c r="E54" s="47">
        <v>46228.605613425927</v>
      </c>
      <c r="F54" s="10" t="s">
        <v>24</v>
      </c>
      <c r="G54" s="10" t="s">
        <v>24</v>
      </c>
      <c r="H54" s="10"/>
      <c r="I54" s="10"/>
      <c r="J54" s="10" t="s">
        <v>24</v>
      </c>
      <c r="K54" s="10"/>
      <c r="L54" s="10"/>
    </row>
    <row r="55" spans="1:12" x14ac:dyDescent="0.25">
      <c r="A55" s="3" t="s">
        <v>56</v>
      </c>
      <c r="B55" s="3" t="s">
        <v>67</v>
      </c>
      <c r="C55" s="16"/>
      <c r="D55" s="3">
        <v>10</v>
      </c>
      <c r="E55" s="48">
        <v>46267</v>
      </c>
      <c r="F55" s="10" t="s">
        <v>24</v>
      </c>
      <c r="G55" s="10" t="s">
        <v>24</v>
      </c>
      <c r="H55" s="10"/>
      <c r="I55" s="10"/>
      <c r="J55" s="10" t="s">
        <v>24</v>
      </c>
      <c r="K55" s="10"/>
      <c r="L55" s="10"/>
    </row>
    <row r="56" spans="1:12" x14ac:dyDescent="0.25">
      <c r="A56" s="3" t="s">
        <v>56</v>
      </c>
      <c r="B56" s="3" t="s">
        <v>68</v>
      </c>
      <c r="C56" s="3"/>
      <c r="D56" s="3">
        <v>11</v>
      </c>
      <c r="E56" s="49">
        <v>46228.605752314812</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pageSetup paperSize="9" scale="67" fitToHeight="0" orientation="landscape" horizontalDpi="0" verticalDpi="0"/>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287" t="str">
        <f ca="1">_xlfn.TEXTAFTER(CELL("filename",A1),"]")</f>
        <v>oz.CountDOWλ</v>
      </c>
      <c r="B1" s="287"/>
      <c r="C1" s="287"/>
      <c r="D1" s="287"/>
      <c r="E1" s="287"/>
      <c r="F1" s="287"/>
      <c r="G1" s="287"/>
      <c r="H1" s="287"/>
      <c r="I1" s="287"/>
      <c r="J1" s="287"/>
      <c r="K1" s="287"/>
      <c r="L1" s="287"/>
      <c r="M1" s="287"/>
      <c r="N1" s="112"/>
    </row>
    <row r="2" spans="1:17" x14ac:dyDescent="0.25">
      <c r="A2" s="288" t="s">
        <v>195</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row>
    <row r="4" spans="1:17" x14ac:dyDescent="0.25">
      <c r="A4" s="131"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127" t="s">
        <v>150</v>
      </c>
      <c r="F18" s="128" cm="1">
        <f t="array" ref="F18:Q18">oz.Timelineλ($B$21,$B$22,$B$23)</f>
        <v>46204</v>
      </c>
      <c r="G18" s="128">
        <v>46569</v>
      </c>
      <c r="H18" s="128">
        <v>46935</v>
      </c>
      <c r="I18" s="128">
        <v>47300</v>
      </c>
      <c r="J18" s="128">
        <v>47665</v>
      </c>
      <c r="K18" s="128">
        <v>48030</v>
      </c>
      <c r="L18" s="128">
        <v>48396</v>
      </c>
      <c r="M18" s="128">
        <v>48761</v>
      </c>
      <c r="N18" s="128">
        <v>49126</v>
      </c>
      <c r="O18" s="128">
        <v>49491</v>
      </c>
      <c r="P18" s="128">
        <v>49857</v>
      </c>
      <c r="Q18" s="128">
        <v>50222</v>
      </c>
    </row>
    <row r="19" spans="1:17" x14ac:dyDescent="0.25">
      <c r="A19" s="115" t="s">
        <v>137</v>
      </c>
      <c r="B19" s="116" t="s">
        <v>138</v>
      </c>
      <c r="C19" s="115" t="s">
        <v>139</v>
      </c>
      <c r="E19" s="126" t="s">
        <v>151</v>
      </c>
      <c r="F19" s="129" cm="1">
        <f t="array" ref="F19:Q19">oz.Timelineλ($B$21,$B$22,$B$23,FALSE)</f>
        <v>46568</v>
      </c>
      <c r="G19" s="129">
        <v>46934</v>
      </c>
      <c r="H19" s="129">
        <v>47299</v>
      </c>
      <c r="I19" s="129">
        <v>47664</v>
      </c>
      <c r="J19" s="129">
        <v>48029</v>
      </c>
      <c r="K19" s="129">
        <v>48395</v>
      </c>
      <c r="L19" s="129">
        <v>48760</v>
      </c>
      <c r="M19" s="129">
        <v>49125</v>
      </c>
      <c r="N19" s="129">
        <v>49490</v>
      </c>
      <c r="O19" s="129">
        <v>49856</v>
      </c>
      <c r="P19" s="129">
        <v>50221</v>
      </c>
      <c r="Q19" s="129">
        <v>50586</v>
      </c>
    </row>
    <row r="20" spans="1:17" x14ac:dyDescent="0.25">
      <c r="A20" s="2" t="s">
        <v>149</v>
      </c>
      <c r="F20" s="130"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287" t="str">
        <f ca="1">_xlfn.TEXTAFTER(CELL("filename",A1),"]")</f>
        <v>oz.IsBetweenλ</v>
      </c>
      <c r="B1" s="287"/>
      <c r="C1" s="287"/>
      <c r="D1" s="287"/>
      <c r="E1" s="287"/>
      <c r="F1" s="287"/>
      <c r="G1" s="287"/>
      <c r="H1" s="287"/>
      <c r="I1" s="287"/>
      <c r="J1" s="287"/>
      <c r="K1" s="287"/>
      <c r="L1" s="287"/>
      <c r="M1" s="287"/>
      <c r="N1" s="112"/>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127" t="s">
        <v>150</v>
      </c>
      <c r="F22" s="132" cm="1">
        <f t="array" ref="F22:Q22">oz.Timelineλ($B$25,$B$26,$B$27)</f>
        <v>46204</v>
      </c>
      <c r="G22" s="128">
        <v>46235</v>
      </c>
      <c r="H22" s="128">
        <v>46266</v>
      </c>
      <c r="I22" s="128">
        <v>46296</v>
      </c>
      <c r="J22" s="128">
        <v>46327</v>
      </c>
      <c r="K22" s="128">
        <v>46357</v>
      </c>
      <c r="L22" s="128">
        <v>46388</v>
      </c>
      <c r="M22" s="128">
        <v>46419</v>
      </c>
      <c r="N22" s="128">
        <v>46447</v>
      </c>
      <c r="O22" s="128">
        <v>46478</v>
      </c>
      <c r="P22" s="128">
        <v>46508</v>
      </c>
      <c r="Q22" s="128">
        <v>46539</v>
      </c>
    </row>
    <row r="23" spans="1:17" x14ac:dyDescent="0.25">
      <c r="A23" s="115" t="s">
        <v>137</v>
      </c>
      <c r="B23" s="116" t="s">
        <v>138</v>
      </c>
      <c r="C23" s="115" t="s">
        <v>139</v>
      </c>
      <c r="E23" s="126" t="s">
        <v>151</v>
      </c>
      <c r="F23" s="129" cm="1">
        <f t="array" ref="F23:Q23">oz.Timelineλ($B$25,$B$26,$B$27,FALSE)</f>
        <v>46234</v>
      </c>
      <c r="G23" s="129">
        <v>46265</v>
      </c>
      <c r="H23" s="129">
        <v>46295</v>
      </c>
      <c r="I23" s="129">
        <v>46326</v>
      </c>
      <c r="J23" s="129">
        <v>46356</v>
      </c>
      <c r="K23" s="129">
        <v>46387</v>
      </c>
      <c r="L23" s="129">
        <v>46418</v>
      </c>
      <c r="M23" s="129">
        <v>46446</v>
      </c>
      <c r="N23" s="129">
        <v>46477</v>
      </c>
      <c r="O23" s="129">
        <v>46507</v>
      </c>
      <c r="P23" s="129">
        <v>46538</v>
      </c>
      <c r="Q23" s="129">
        <v>46568</v>
      </c>
    </row>
    <row r="24" spans="1:17" x14ac:dyDescent="0.25">
      <c r="A24" s="2" t="s">
        <v>149</v>
      </c>
    </row>
    <row r="25" spans="1:17" x14ac:dyDescent="0.25">
      <c r="A25" s="121" t="s">
        <v>150</v>
      </c>
      <c r="B25" s="119">
        <v>46204</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46249</v>
      </c>
      <c r="C29" t="s">
        <v>145</v>
      </c>
      <c r="F29" s="187" cm="1">
        <f t="array" ref="F29:Q29">N( oz.IsBetweenλ(B29,_xlfn.ANCHORARRAY(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46213</v>
      </c>
      <c r="C31" t="s">
        <v>145</v>
      </c>
      <c r="F31" s="154"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19">
        <v>46275</v>
      </c>
      <c r="C32" t="s">
        <v>145</v>
      </c>
      <c r="F32">
        <v>0</v>
      </c>
      <c r="G32">
        <v>0</v>
      </c>
      <c r="H32">
        <v>1</v>
      </c>
      <c r="I32">
        <v>0</v>
      </c>
      <c r="J32">
        <v>0</v>
      </c>
      <c r="K32">
        <v>0</v>
      </c>
      <c r="L32">
        <v>0</v>
      </c>
      <c r="M32">
        <v>0</v>
      </c>
      <c r="N32">
        <v>0</v>
      </c>
      <c r="O32">
        <v>0</v>
      </c>
      <c r="P32">
        <v>0</v>
      </c>
      <c r="Q32">
        <v>0</v>
      </c>
    </row>
    <row r="33" spans="2:17" x14ac:dyDescent="0.25">
      <c r="B33" s="119">
        <v>46361</v>
      </c>
      <c r="C33" t="s">
        <v>145</v>
      </c>
      <c r="F33">
        <v>0</v>
      </c>
      <c r="G33">
        <v>0</v>
      </c>
      <c r="H33">
        <v>0</v>
      </c>
      <c r="I33">
        <v>0</v>
      </c>
      <c r="J33">
        <v>0</v>
      </c>
      <c r="K33">
        <v>1</v>
      </c>
      <c r="L33">
        <v>0</v>
      </c>
      <c r="M33">
        <v>0</v>
      </c>
      <c r="N33">
        <v>0</v>
      </c>
      <c r="O33">
        <v>0</v>
      </c>
      <c r="P33">
        <v>0</v>
      </c>
      <c r="Q33">
        <v>0</v>
      </c>
    </row>
    <row r="34" spans="2:17" x14ac:dyDescent="0.25">
      <c r="B34" s="119">
        <v>46453</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customProperties>
    <customPr name="Description" r:id="rId2"/>
  </customProperties>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selection sqref="A1:P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287" t="str">
        <f ca="1">_xlfn.TEXTAFTER(CELL("filename",A1),"]")</f>
        <v>oz.IsOccurrenceDateλ</v>
      </c>
      <c r="B1" s="287"/>
      <c r="C1" s="287"/>
      <c r="D1" s="287"/>
      <c r="E1" s="287"/>
      <c r="F1" s="287"/>
      <c r="G1" s="287"/>
      <c r="H1" s="287"/>
      <c r="I1" s="287"/>
      <c r="J1" s="287"/>
      <c r="K1" s="287"/>
      <c r="L1" s="287"/>
      <c r="M1" s="287"/>
      <c r="N1" s="287"/>
      <c r="O1" s="287"/>
      <c r="P1" s="287"/>
    </row>
    <row r="2" spans="1:16" x14ac:dyDescent="0.25">
      <c r="A2" s="288" t="s">
        <v>197</v>
      </c>
      <c r="B2" s="289"/>
      <c r="C2" s="289"/>
      <c r="D2" s="289"/>
      <c r="E2" s="289"/>
      <c r="F2" s="289"/>
      <c r="G2" s="289"/>
      <c r="H2" s="289"/>
      <c r="I2" s="289"/>
      <c r="J2" s="289"/>
      <c r="K2" s="289"/>
      <c r="L2" s="289"/>
      <c r="M2" s="289"/>
      <c r="N2" s="289"/>
      <c r="O2" s="289"/>
      <c r="P2" s="290"/>
    </row>
    <row r="4" spans="1:16" x14ac:dyDescent="0.25">
      <c r="A4" s="131" t="str" cm="1">
        <f t="array" ref="A4:B28">oz.IsOccurrenceDateλ()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(oz is assumed to be the module's name)</v>
      </c>
    </row>
    <row r="26" spans="1:372" x14ac:dyDescent="0.25">
      <c r="A26" t="str">
        <v>72</v>
      </c>
      <c r="B26" t="str">
        <v>=SUM(N(oz.IsOccurrenceDateλ(SEQUENCE(,90,"1/7/2026"), "1/7/2026", "10/9/2026", "D")))</v>
      </c>
    </row>
    <row r="27" spans="1:372" x14ac:dyDescent="0.25">
      <c r="A27" t="str">
        <v>01</v>
      </c>
      <c r="B27" t="str">
        <v>=SUM(N(oz.IsOccurrenceDateλ(SEQUENCE(,90,"1/7/2026"), "1/7/2026", "10/9/2026", "O")))</v>
      </c>
    </row>
    <row r="28" spans="1:372" x14ac:dyDescent="0.25">
      <c r="A28" t="str">
        <v>11</v>
      </c>
      <c r="B28" t="str">
        <v>=SUM(N(oz.IsOccurrenceDateλ(SEQUENCE(,90,"1/7/2026"), "1/7/2026", "10/9/2026", "W")))</v>
      </c>
    </row>
    <row r="31" spans="1:372" ht="21" x14ac:dyDescent="0.35">
      <c r="A31" s="298" t="s">
        <v>220</v>
      </c>
      <c r="B31" s="299"/>
      <c r="C31" s="299"/>
      <c r="D31" s="299"/>
      <c r="E31" s="299"/>
      <c r="F31" s="153"/>
      <c r="G31" s="135" t="s">
        <v>246</v>
      </c>
      <c r="H31" s="157" cm="1">
        <f t="array" ref="H31:NH31">oz.Cumulativeλ(_xlfn.ANCHORARRAY(H32))</f>
        <v>3981</v>
      </c>
      <c r="I31" s="157">
        <v>3962</v>
      </c>
      <c r="J31" s="157">
        <v>3868</v>
      </c>
      <c r="K31" s="157">
        <v>3868</v>
      </c>
      <c r="L31" s="157">
        <v>-632</v>
      </c>
      <c r="M31" s="157">
        <v>-651</v>
      </c>
      <c r="N31" s="157">
        <v>-670</v>
      </c>
      <c r="O31" s="157">
        <v>-689</v>
      </c>
      <c r="P31" s="157">
        <v>-708</v>
      </c>
      <c r="Q31" s="157">
        <v>-1302</v>
      </c>
      <c r="R31" s="157">
        <v>-1302</v>
      </c>
      <c r="S31" s="157">
        <v>-1302</v>
      </c>
      <c r="T31" s="157">
        <v>-1321</v>
      </c>
      <c r="U31" s="157">
        <v>-1340</v>
      </c>
      <c r="V31" s="157">
        <v>4641</v>
      </c>
      <c r="W31" s="157">
        <v>4622</v>
      </c>
      <c r="X31" s="157">
        <v>4528</v>
      </c>
      <c r="Y31" s="157">
        <v>4528</v>
      </c>
      <c r="Z31" s="157">
        <v>4528</v>
      </c>
      <c r="AA31" s="157">
        <v>4509</v>
      </c>
      <c r="AB31" s="157">
        <v>4490</v>
      </c>
      <c r="AC31" s="157">
        <v>4471</v>
      </c>
      <c r="AD31" s="157">
        <v>4452</v>
      </c>
      <c r="AE31" s="157">
        <v>4358</v>
      </c>
      <c r="AF31" s="157">
        <v>4358</v>
      </c>
      <c r="AG31" s="157">
        <v>4358</v>
      </c>
      <c r="AH31" s="157">
        <v>4339</v>
      </c>
      <c r="AI31" s="157">
        <v>4320</v>
      </c>
      <c r="AJ31" s="157">
        <v>10301</v>
      </c>
      <c r="AK31" s="157">
        <v>10282</v>
      </c>
      <c r="AL31" s="157">
        <v>10188</v>
      </c>
      <c r="AM31" s="157">
        <v>10188</v>
      </c>
      <c r="AN31" s="157">
        <v>10188</v>
      </c>
      <c r="AO31" s="157">
        <v>10169</v>
      </c>
      <c r="AP31" s="157">
        <v>10150</v>
      </c>
      <c r="AQ31" s="157">
        <v>5631</v>
      </c>
      <c r="AR31" s="157">
        <v>5612</v>
      </c>
      <c r="AS31" s="157">
        <v>5518</v>
      </c>
      <c r="AT31" s="157">
        <v>5518</v>
      </c>
      <c r="AU31" s="157">
        <v>5518</v>
      </c>
      <c r="AV31" s="157">
        <v>5499</v>
      </c>
      <c r="AW31" s="157">
        <v>5480</v>
      </c>
      <c r="AX31" s="157">
        <v>11461</v>
      </c>
      <c r="AY31" s="157">
        <v>11442</v>
      </c>
      <c r="AZ31" s="157">
        <v>11348</v>
      </c>
      <c r="BA31" s="157">
        <v>11348</v>
      </c>
      <c r="BB31" s="157">
        <v>11348</v>
      </c>
      <c r="BC31" s="157">
        <v>11329</v>
      </c>
      <c r="BD31" s="157">
        <v>11310</v>
      </c>
      <c r="BE31" s="157">
        <v>11291</v>
      </c>
      <c r="BF31" s="157">
        <v>11272</v>
      </c>
      <c r="BG31" s="157">
        <v>11178</v>
      </c>
      <c r="BH31" s="157">
        <v>11178</v>
      </c>
      <c r="BI31" s="157">
        <v>11178</v>
      </c>
      <c r="BJ31" s="157">
        <v>11159</v>
      </c>
      <c r="BK31" s="157">
        <v>11140</v>
      </c>
      <c r="BL31" s="157">
        <v>17121</v>
      </c>
      <c r="BM31" s="157">
        <v>17102</v>
      </c>
      <c r="BN31" s="157">
        <v>17008</v>
      </c>
      <c r="BO31" s="157">
        <v>17008</v>
      </c>
      <c r="BP31" s="157">
        <v>17008</v>
      </c>
      <c r="BQ31" s="157">
        <v>16989</v>
      </c>
      <c r="BR31" s="157">
        <v>16970</v>
      </c>
      <c r="BS31" s="157">
        <v>16951</v>
      </c>
      <c r="BT31" s="157">
        <v>16932</v>
      </c>
      <c r="BU31" s="157">
        <v>16838</v>
      </c>
      <c r="BV31" s="157">
        <v>12338</v>
      </c>
      <c r="BW31" s="157">
        <v>12338</v>
      </c>
      <c r="BX31" s="157">
        <v>12319</v>
      </c>
      <c r="BY31" s="157">
        <v>12300</v>
      </c>
      <c r="BZ31" s="157">
        <v>18281</v>
      </c>
      <c r="CA31" s="157">
        <v>18262</v>
      </c>
      <c r="CB31" s="157">
        <v>18168</v>
      </c>
      <c r="CC31" s="157">
        <v>18168</v>
      </c>
      <c r="CD31" s="157">
        <v>18168</v>
      </c>
      <c r="CE31" s="157">
        <v>18149</v>
      </c>
      <c r="CF31" s="157">
        <v>18130</v>
      </c>
      <c r="CG31" s="157">
        <v>18111</v>
      </c>
      <c r="CH31" s="157">
        <v>18092</v>
      </c>
      <c r="CI31" s="157">
        <v>17998</v>
      </c>
      <c r="CJ31" s="157">
        <v>17998</v>
      </c>
      <c r="CK31" s="157">
        <v>17998</v>
      </c>
      <c r="CL31" s="157">
        <v>17979</v>
      </c>
      <c r="CM31" s="157">
        <v>17960</v>
      </c>
      <c r="CN31" s="157">
        <v>23941</v>
      </c>
      <c r="CO31" s="157">
        <v>23922</v>
      </c>
      <c r="CP31" s="157">
        <v>23828</v>
      </c>
      <c r="CQ31" s="157">
        <v>23828</v>
      </c>
      <c r="CR31" s="157">
        <v>23828</v>
      </c>
      <c r="CS31" s="157">
        <v>23809</v>
      </c>
      <c r="CT31" s="157">
        <v>23790</v>
      </c>
      <c r="CU31" s="157">
        <v>23771</v>
      </c>
      <c r="CV31" s="157">
        <v>23752</v>
      </c>
      <c r="CW31" s="157">
        <v>23658</v>
      </c>
      <c r="CX31" s="157">
        <v>23658</v>
      </c>
      <c r="CY31" s="157">
        <v>23658</v>
      </c>
      <c r="CZ31" s="157">
        <v>19139</v>
      </c>
      <c r="DA31" s="157">
        <v>19120</v>
      </c>
      <c r="DB31" s="157">
        <v>25101</v>
      </c>
      <c r="DC31" s="157">
        <v>25082</v>
      </c>
      <c r="DD31" s="157">
        <v>24988</v>
      </c>
      <c r="DE31" s="157">
        <v>24488</v>
      </c>
      <c r="DF31" s="157">
        <v>24488</v>
      </c>
      <c r="DG31" s="157">
        <v>24469</v>
      </c>
      <c r="DH31" s="157">
        <v>24450</v>
      </c>
      <c r="DI31" s="157">
        <v>24431</v>
      </c>
      <c r="DJ31" s="157">
        <v>24412</v>
      </c>
      <c r="DK31" s="157">
        <v>24318</v>
      </c>
      <c r="DL31" s="157">
        <v>24318</v>
      </c>
      <c r="DM31" s="157">
        <v>24318</v>
      </c>
      <c r="DN31" s="157">
        <v>24299</v>
      </c>
      <c r="DO31" s="157">
        <v>24280</v>
      </c>
      <c r="DP31" s="157">
        <v>30261</v>
      </c>
      <c r="DQ31" s="157">
        <v>30242</v>
      </c>
      <c r="DR31" s="157">
        <v>30148</v>
      </c>
      <c r="DS31" s="157">
        <v>30148</v>
      </c>
      <c r="DT31" s="157">
        <v>30148</v>
      </c>
      <c r="DU31" s="157">
        <v>30129</v>
      </c>
      <c r="DV31" s="157">
        <v>30110</v>
      </c>
      <c r="DW31" s="157">
        <v>30091</v>
      </c>
      <c r="DX31" s="157">
        <v>30072</v>
      </c>
      <c r="DY31" s="157">
        <v>29978</v>
      </c>
      <c r="DZ31" s="157">
        <v>29978</v>
      </c>
      <c r="EA31" s="157">
        <v>29978</v>
      </c>
      <c r="EB31" s="157">
        <v>29959</v>
      </c>
      <c r="EC31" s="157">
        <v>29940</v>
      </c>
      <c r="ED31" s="157">
        <v>35921</v>
      </c>
      <c r="EE31" s="157">
        <v>31402</v>
      </c>
      <c r="EF31" s="157">
        <v>31308</v>
      </c>
      <c r="EG31" s="157">
        <v>31308</v>
      </c>
      <c r="EH31" s="157">
        <v>31308</v>
      </c>
      <c r="EI31" s="157">
        <v>31289</v>
      </c>
      <c r="EJ31" s="157">
        <v>31270</v>
      </c>
      <c r="EK31" s="157">
        <v>31251</v>
      </c>
      <c r="EL31" s="157">
        <v>31232</v>
      </c>
      <c r="EM31" s="157">
        <v>31138</v>
      </c>
      <c r="EN31" s="157">
        <v>31138</v>
      </c>
      <c r="EO31" s="157">
        <v>31138</v>
      </c>
      <c r="EP31" s="157">
        <v>31119</v>
      </c>
      <c r="EQ31" s="157">
        <v>31100</v>
      </c>
      <c r="ER31" s="157">
        <v>37081</v>
      </c>
      <c r="ES31" s="157">
        <v>37062</v>
      </c>
      <c r="ET31" s="157">
        <v>36968</v>
      </c>
      <c r="EU31" s="157">
        <v>36968</v>
      </c>
      <c r="EV31" s="157">
        <v>36968</v>
      </c>
      <c r="EW31" s="157">
        <v>36949</v>
      </c>
      <c r="EX31" s="157">
        <v>36930</v>
      </c>
      <c r="EY31" s="157">
        <v>36911</v>
      </c>
      <c r="EZ31" s="157">
        <v>36892</v>
      </c>
      <c r="FA31" s="157">
        <v>36798</v>
      </c>
      <c r="FB31" s="157">
        <v>36798</v>
      </c>
      <c r="FC31" s="157">
        <v>36798</v>
      </c>
      <c r="FD31" s="157">
        <v>36779</v>
      </c>
      <c r="FE31" s="157">
        <v>36760</v>
      </c>
      <c r="FF31" s="157">
        <v>42741</v>
      </c>
      <c r="FG31" s="157">
        <v>42722</v>
      </c>
      <c r="FH31" s="157">
        <v>42628</v>
      </c>
      <c r="FI31" s="157">
        <v>38128</v>
      </c>
      <c r="FJ31" s="157">
        <v>38128</v>
      </c>
      <c r="FK31" s="157">
        <v>38109</v>
      </c>
      <c r="FL31" s="157">
        <v>38090</v>
      </c>
      <c r="FM31" s="157">
        <v>38071</v>
      </c>
      <c r="FN31" s="157">
        <v>38052</v>
      </c>
      <c r="FO31" s="157">
        <v>37958</v>
      </c>
      <c r="FP31" s="157">
        <v>37958</v>
      </c>
      <c r="FQ31" s="157">
        <v>37958</v>
      </c>
      <c r="FR31" s="157">
        <v>37939</v>
      </c>
      <c r="FS31" s="157">
        <v>37920</v>
      </c>
      <c r="FT31" s="157">
        <v>43901</v>
      </c>
      <c r="FU31" s="157">
        <v>43882</v>
      </c>
      <c r="FV31" s="157">
        <v>43788</v>
      </c>
      <c r="FW31" s="157">
        <v>43788</v>
      </c>
      <c r="FX31" s="157">
        <v>43788</v>
      </c>
      <c r="FY31" s="157">
        <v>43769</v>
      </c>
      <c r="FZ31" s="157">
        <v>43750</v>
      </c>
      <c r="GA31" s="157">
        <v>43731</v>
      </c>
      <c r="GB31" s="157">
        <v>43712</v>
      </c>
      <c r="GC31" s="157">
        <v>43618</v>
      </c>
      <c r="GD31" s="157">
        <v>43618</v>
      </c>
      <c r="GE31" s="157">
        <v>43618</v>
      </c>
      <c r="GF31" s="157">
        <v>43599</v>
      </c>
      <c r="GG31" s="157">
        <v>43580</v>
      </c>
      <c r="GH31" s="157">
        <v>49561</v>
      </c>
      <c r="GI31" s="157">
        <v>49542</v>
      </c>
      <c r="GJ31" s="157">
        <v>47448</v>
      </c>
      <c r="GK31" s="157">
        <v>47448</v>
      </c>
      <c r="GL31" s="157">
        <v>47448</v>
      </c>
      <c r="GM31" s="157">
        <v>47429</v>
      </c>
      <c r="GN31" s="157">
        <v>42910</v>
      </c>
      <c r="GO31" s="157">
        <v>42891</v>
      </c>
      <c r="GP31" s="157">
        <v>42872</v>
      </c>
      <c r="GQ31" s="157">
        <v>42778</v>
      </c>
      <c r="GR31" s="157">
        <v>42778</v>
      </c>
      <c r="GS31" s="157">
        <v>42278</v>
      </c>
      <c r="GT31" s="157">
        <v>42259</v>
      </c>
      <c r="GU31" s="157">
        <v>42240</v>
      </c>
      <c r="GV31" s="157">
        <v>48221</v>
      </c>
      <c r="GW31" s="157">
        <v>48202</v>
      </c>
      <c r="GX31" s="157">
        <v>48108</v>
      </c>
      <c r="GY31" s="157">
        <v>48108</v>
      </c>
      <c r="GZ31" s="157">
        <v>48108</v>
      </c>
      <c r="HA31" s="157">
        <v>48089</v>
      </c>
      <c r="HB31" s="157">
        <v>48070</v>
      </c>
      <c r="HC31" s="157">
        <v>48051</v>
      </c>
      <c r="HD31" s="157">
        <v>48032</v>
      </c>
      <c r="HE31" s="157">
        <v>47938</v>
      </c>
      <c r="HF31" s="157">
        <v>47938</v>
      </c>
      <c r="HG31" s="157">
        <v>47938</v>
      </c>
      <c r="HH31" s="157">
        <v>47919</v>
      </c>
      <c r="HI31" s="157">
        <v>47900</v>
      </c>
      <c r="HJ31" s="157">
        <v>53881</v>
      </c>
      <c r="HK31" s="157">
        <v>53862</v>
      </c>
      <c r="HL31" s="157">
        <v>53768</v>
      </c>
      <c r="HM31" s="157">
        <v>53768</v>
      </c>
      <c r="HN31" s="157">
        <v>53768</v>
      </c>
      <c r="HO31" s="157">
        <v>53749</v>
      </c>
      <c r="HP31" s="157">
        <v>53730</v>
      </c>
      <c r="HQ31" s="157">
        <v>53711</v>
      </c>
      <c r="HR31" s="157">
        <v>53692</v>
      </c>
      <c r="HS31" s="157">
        <v>49098</v>
      </c>
      <c r="HT31" s="157">
        <v>49098</v>
      </c>
      <c r="HU31" s="157">
        <v>49098</v>
      </c>
      <c r="HV31" s="157">
        <v>49079</v>
      </c>
      <c r="HW31" s="157">
        <v>49060</v>
      </c>
      <c r="HX31" s="157">
        <v>55041</v>
      </c>
      <c r="HY31" s="157">
        <v>55022</v>
      </c>
      <c r="HZ31" s="157">
        <v>54928</v>
      </c>
      <c r="IA31" s="157">
        <v>54928</v>
      </c>
      <c r="IB31" s="157">
        <v>54928</v>
      </c>
      <c r="IC31" s="157">
        <v>54909</v>
      </c>
      <c r="ID31" s="157">
        <v>54890</v>
      </c>
      <c r="IE31" s="157">
        <v>54871</v>
      </c>
      <c r="IF31" s="157">
        <v>54852</v>
      </c>
      <c r="IG31" s="157">
        <v>54758</v>
      </c>
      <c r="IH31" s="157">
        <v>54758</v>
      </c>
      <c r="II31" s="157">
        <v>54758</v>
      </c>
      <c r="IJ31" s="157">
        <v>54739</v>
      </c>
      <c r="IK31" s="157">
        <v>54720</v>
      </c>
      <c r="IL31" s="157">
        <v>60701</v>
      </c>
      <c r="IM31" s="157">
        <v>60682</v>
      </c>
      <c r="IN31" s="157">
        <v>60588</v>
      </c>
      <c r="IO31" s="157">
        <v>60588</v>
      </c>
      <c r="IP31" s="157">
        <v>60588</v>
      </c>
      <c r="IQ31" s="157">
        <v>60569</v>
      </c>
      <c r="IR31" s="157">
        <v>60550</v>
      </c>
      <c r="IS31" s="157">
        <v>60531</v>
      </c>
      <c r="IT31" s="157">
        <v>60512</v>
      </c>
      <c r="IU31" s="157">
        <v>55918</v>
      </c>
      <c r="IV31" s="157">
        <v>55918</v>
      </c>
      <c r="IW31" s="157">
        <v>55918</v>
      </c>
      <c r="IX31" s="157">
        <v>55899</v>
      </c>
      <c r="IY31" s="157">
        <v>55880</v>
      </c>
      <c r="IZ31" s="157">
        <v>61861</v>
      </c>
      <c r="JA31" s="157">
        <v>61842</v>
      </c>
      <c r="JB31" s="157">
        <v>61748</v>
      </c>
      <c r="JC31" s="157">
        <v>61748</v>
      </c>
      <c r="JD31" s="157">
        <v>61748</v>
      </c>
      <c r="JE31" s="157">
        <v>61729</v>
      </c>
      <c r="JF31" s="157">
        <v>61710</v>
      </c>
      <c r="JG31" s="157">
        <v>61691</v>
      </c>
      <c r="JH31" s="157">
        <v>61672</v>
      </c>
      <c r="JI31" s="157">
        <v>61578</v>
      </c>
      <c r="JJ31" s="157">
        <v>61578</v>
      </c>
      <c r="JK31" s="157">
        <v>61578</v>
      </c>
      <c r="JL31" s="157">
        <v>61559</v>
      </c>
      <c r="JM31" s="157">
        <v>61540</v>
      </c>
      <c r="JN31" s="157">
        <v>67521</v>
      </c>
      <c r="JO31" s="157">
        <v>67502</v>
      </c>
      <c r="JP31" s="157">
        <v>67408</v>
      </c>
      <c r="JQ31" s="157">
        <v>67408</v>
      </c>
      <c r="JR31" s="157">
        <v>67408</v>
      </c>
      <c r="JS31" s="157">
        <v>67389</v>
      </c>
      <c r="JT31" s="157">
        <v>67370</v>
      </c>
      <c r="JU31" s="157">
        <v>67351</v>
      </c>
      <c r="JV31" s="157">
        <v>67332</v>
      </c>
      <c r="JW31" s="157">
        <v>67238</v>
      </c>
      <c r="JX31" s="157">
        <v>67238</v>
      </c>
      <c r="JY31" s="157">
        <v>67238</v>
      </c>
      <c r="JZ31" s="157">
        <v>62719</v>
      </c>
      <c r="KA31" s="157">
        <v>62700</v>
      </c>
      <c r="KB31" s="157">
        <v>68681</v>
      </c>
      <c r="KC31" s="157">
        <v>68662</v>
      </c>
      <c r="KD31" s="157">
        <v>68568</v>
      </c>
      <c r="KE31" s="157">
        <v>68068</v>
      </c>
      <c r="KF31" s="157">
        <v>68068</v>
      </c>
      <c r="KG31" s="157">
        <v>68049</v>
      </c>
      <c r="KH31" s="157">
        <v>68030</v>
      </c>
      <c r="KI31" s="157">
        <v>68011</v>
      </c>
      <c r="KJ31" s="157">
        <v>67992</v>
      </c>
      <c r="KK31" s="157">
        <v>67898</v>
      </c>
      <c r="KL31" s="157">
        <v>67898</v>
      </c>
      <c r="KM31" s="157">
        <v>67898</v>
      </c>
      <c r="KN31" s="157">
        <v>67879</v>
      </c>
      <c r="KO31" s="157">
        <v>67860</v>
      </c>
      <c r="KP31" s="157">
        <v>73841</v>
      </c>
      <c r="KQ31" s="157">
        <v>73822</v>
      </c>
      <c r="KR31" s="157">
        <v>73728</v>
      </c>
      <c r="KS31" s="157">
        <v>73728</v>
      </c>
      <c r="KT31" s="157">
        <v>73728</v>
      </c>
      <c r="KU31" s="157">
        <v>73709</v>
      </c>
      <c r="KV31" s="157">
        <v>73690</v>
      </c>
      <c r="KW31" s="157">
        <v>73671</v>
      </c>
      <c r="KX31" s="157">
        <v>73652</v>
      </c>
      <c r="KY31" s="157">
        <v>73558</v>
      </c>
      <c r="KZ31" s="157">
        <v>73558</v>
      </c>
      <c r="LA31" s="157">
        <v>73558</v>
      </c>
      <c r="LB31" s="157">
        <v>73539</v>
      </c>
      <c r="LC31" s="157">
        <v>73520</v>
      </c>
      <c r="LD31" s="157">
        <v>75001</v>
      </c>
      <c r="LE31" s="157">
        <v>74982</v>
      </c>
      <c r="LF31" s="157">
        <v>74888</v>
      </c>
      <c r="LG31" s="157">
        <v>74888</v>
      </c>
      <c r="LH31" s="157">
        <v>74888</v>
      </c>
      <c r="LI31" s="157">
        <v>74869</v>
      </c>
      <c r="LJ31" s="157">
        <v>74850</v>
      </c>
      <c r="LK31" s="157">
        <v>74831</v>
      </c>
      <c r="LL31" s="157">
        <v>74812</v>
      </c>
      <c r="LM31" s="157">
        <v>74718</v>
      </c>
      <c r="LN31" s="157">
        <v>74718</v>
      </c>
      <c r="LO31" s="157">
        <v>74718</v>
      </c>
      <c r="LP31" s="157">
        <v>74699</v>
      </c>
      <c r="LQ31" s="157">
        <v>74680</v>
      </c>
      <c r="LR31" s="157">
        <v>80661</v>
      </c>
      <c r="LS31" s="157">
        <v>80642</v>
      </c>
      <c r="LT31" s="157">
        <v>80548</v>
      </c>
      <c r="LU31" s="157">
        <v>80548</v>
      </c>
      <c r="LV31" s="157">
        <v>80548</v>
      </c>
      <c r="LW31" s="157">
        <v>80529</v>
      </c>
      <c r="LX31" s="157">
        <v>80510</v>
      </c>
      <c r="LY31" s="157">
        <v>80491</v>
      </c>
      <c r="LZ31" s="157">
        <v>80472</v>
      </c>
      <c r="MA31" s="157">
        <v>80378</v>
      </c>
      <c r="MB31" s="157">
        <v>80378</v>
      </c>
      <c r="MC31" s="157">
        <v>80378</v>
      </c>
      <c r="MD31" s="157">
        <v>80359</v>
      </c>
      <c r="ME31" s="157">
        <v>80340</v>
      </c>
      <c r="MF31" s="157">
        <v>86321</v>
      </c>
      <c r="MG31" s="157">
        <v>86302</v>
      </c>
      <c r="MH31" s="157">
        <v>86208</v>
      </c>
      <c r="MI31" s="157">
        <v>81708</v>
      </c>
      <c r="MJ31" s="157">
        <v>81708</v>
      </c>
      <c r="MK31" s="157">
        <v>81689</v>
      </c>
      <c r="ML31" s="157">
        <v>81670</v>
      </c>
      <c r="MM31" s="157">
        <v>81651</v>
      </c>
      <c r="MN31" s="157">
        <v>81632</v>
      </c>
      <c r="MO31" s="157">
        <v>81538</v>
      </c>
      <c r="MP31" s="157">
        <v>81538</v>
      </c>
      <c r="MQ31" s="157">
        <v>81538</v>
      </c>
      <c r="MR31" s="157">
        <v>81519</v>
      </c>
      <c r="MS31" s="157">
        <v>81500</v>
      </c>
      <c r="MT31" s="157">
        <v>87481</v>
      </c>
      <c r="MU31" s="157">
        <v>87462</v>
      </c>
      <c r="MV31" s="157">
        <v>87368</v>
      </c>
      <c r="MW31" s="157">
        <v>87368</v>
      </c>
      <c r="MX31" s="157">
        <v>87368</v>
      </c>
      <c r="MY31" s="157">
        <v>87349</v>
      </c>
      <c r="MZ31" s="157">
        <v>87330</v>
      </c>
      <c r="NA31" s="157">
        <v>87311</v>
      </c>
      <c r="NB31" s="157">
        <v>87292</v>
      </c>
      <c r="NC31" s="157">
        <v>87198</v>
      </c>
      <c r="ND31" s="157">
        <v>87198</v>
      </c>
      <c r="NE31" s="157">
        <v>87198</v>
      </c>
      <c r="NF31" s="157">
        <v>87179</v>
      </c>
      <c r="NG31" s="157">
        <v>87160</v>
      </c>
      <c r="NH31" s="157">
        <v>93141</v>
      </c>
    </row>
    <row r="32" spans="1:372" x14ac:dyDescent="0.25">
      <c r="A32" s="280" t="s">
        <v>221</v>
      </c>
      <c r="B32" s="281"/>
      <c r="C32" s="281"/>
      <c r="D32" s="281"/>
      <c r="E32" s="281"/>
      <c r="F32" s="152"/>
      <c r="G32" s="158" t="s">
        <v>245</v>
      </c>
      <c r="H32" s="159" cm="1">
        <f t="array" ref="H32:NH32">oz.SumColsλ(_xlfn.ANCHORARRAY($H$34))</f>
        <v>3981</v>
      </c>
      <c r="I32" s="159">
        <v>-19</v>
      </c>
      <c r="J32" s="159">
        <v>-94</v>
      </c>
      <c r="K32" s="159">
        <v>0</v>
      </c>
      <c r="L32" s="159">
        <v>-4500</v>
      </c>
      <c r="M32" s="159">
        <v>-19</v>
      </c>
      <c r="N32" s="159">
        <v>-19</v>
      </c>
      <c r="O32" s="159">
        <v>-19</v>
      </c>
      <c r="P32" s="159">
        <v>-19</v>
      </c>
      <c r="Q32" s="159">
        <v>-594</v>
      </c>
      <c r="R32" s="159">
        <v>0</v>
      </c>
      <c r="S32" s="159">
        <v>0</v>
      </c>
      <c r="T32" s="159">
        <v>-19</v>
      </c>
      <c r="U32" s="159">
        <v>-19</v>
      </c>
      <c r="V32" s="159">
        <v>5981</v>
      </c>
      <c r="W32" s="159">
        <v>-19</v>
      </c>
      <c r="X32" s="159">
        <v>-94</v>
      </c>
      <c r="Y32" s="159">
        <v>0</v>
      </c>
      <c r="Z32" s="159">
        <v>0</v>
      </c>
      <c r="AA32" s="159">
        <v>-19</v>
      </c>
      <c r="AB32" s="159">
        <v>-19</v>
      </c>
      <c r="AC32" s="159">
        <v>-19</v>
      </c>
      <c r="AD32" s="159">
        <v>-19</v>
      </c>
      <c r="AE32" s="159">
        <v>-94</v>
      </c>
      <c r="AF32" s="159">
        <v>0</v>
      </c>
      <c r="AG32" s="159">
        <v>0</v>
      </c>
      <c r="AH32" s="159">
        <v>-19</v>
      </c>
      <c r="AI32" s="159">
        <v>-19</v>
      </c>
      <c r="AJ32" s="159">
        <v>5981</v>
      </c>
      <c r="AK32" s="159">
        <v>-19</v>
      </c>
      <c r="AL32" s="159">
        <v>-94</v>
      </c>
      <c r="AM32" s="159">
        <v>0</v>
      </c>
      <c r="AN32" s="159">
        <v>0</v>
      </c>
      <c r="AO32" s="159">
        <v>-19</v>
      </c>
      <c r="AP32" s="159">
        <v>-19</v>
      </c>
      <c r="AQ32" s="159">
        <v>-4519</v>
      </c>
      <c r="AR32" s="159">
        <v>-19</v>
      </c>
      <c r="AS32" s="159">
        <v>-94</v>
      </c>
      <c r="AT32" s="159">
        <v>0</v>
      </c>
      <c r="AU32" s="159">
        <v>0</v>
      </c>
      <c r="AV32" s="159">
        <v>-19</v>
      </c>
      <c r="AW32" s="159">
        <v>-19</v>
      </c>
      <c r="AX32" s="159">
        <v>5981</v>
      </c>
      <c r="AY32" s="159">
        <v>-19</v>
      </c>
      <c r="AZ32" s="159">
        <v>-94</v>
      </c>
      <c r="BA32" s="159">
        <v>0</v>
      </c>
      <c r="BB32" s="159">
        <v>0</v>
      </c>
      <c r="BC32" s="159">
        <v>-19</v>
      </c>
      <c r="BD32" s="159">
        <v>-19</v>
      </c>
      <c r="BE32" s="159">
        <v>-19</v>
      </c>
      <c r="BF32" s="159">
        <v>-19</v>
      </c>
      <c r="BG32" s="159">
        <v>-94</v>
      </c>
      <c r="BH32" s="159">
        <v>0</v>
      </c>
      <c r="BI32" s="159">
        <v>0</v>
      </c>
      <c r="BJ32" s="159">
        <v>-19</v>
      </c>
      <c r="BK32" s="159">
        <v>-19</v>
      </c>
      <c r="BL32" s="159">
        <v>5981</v>
      </c>
      <c r="BM32" s="159">
        <v>-19</v>
      </c>
      <c r="BN32" s="159">
        <v>-94</v>
      </c>
      <c r="BO32" s="159">
        <v>0</v>
      </c>
      <c r="BP32" s="159">
        <v>0</v>
      </c>
      <c r="BQ32" s="159">
        <v>-19</v>
      </c>
      <c r="BR32" s="159">
        <v>-19</v>
      </c>
      <c r="BS32" s="159">
        <v>-19</v>
      </c>
      <c r="BT32" s="159">
        <v>-19</v>
      </c>
      <c r="BU32" s="159">
        <v>-94</v>
      </c>
      <c r="BV32" s="159">
        <v>-4500</v>
      </c>
      <c r="BW32" s="159">
        <v>0</v>
      </c>
      <c r="BX32" s="159">
        <v>-19</v>
      </c>
      <c r="BY32" s="159">
        <v>-19</v>
      </c>
      <c r="BZ32" s="159">
        <v>5981</v>
      </c>
      <c r="CA32" s="159">
        <v>-19</v>
      </c>
      <c r="CB32" s="159">
        <v>-94</v>
      </c>
      <c r="CC32" s="159">
        <v>0</v>
      </c>
      <c r="CD32" s="159">
        <v>0</v>
      </c>
      <c r="CE32" s="159">
        <v>-19</v>
      </c>
      <c r="CF32" s="159">
        <v>-19</v>
      </c>
      <c r="CG32" s="159">
        <v>-19</v>
      </c>
      <c r="CH32" s="159">
        <v>-19</v>
      </c>
      <c r="CI32" s="159">
        <v>-94</v>
      </c>
      <c r="CJ32" s="159">
        <v>0</v>
      </c>
      <c r="CK32" s="159">
        <v>0</v>
      </c>
      <c r="CL32" s="159">
        <v>-19</v>
      </c>
      <c r="CM32" s="159">
        <v>-19</v>
      </c>
      <c r="CN32" s="159">
        <v>5981</v>
      </c>
      <c r="CO32" s="159">
        <v>-19</v>
      </c>
      <c r="CP32" s="159">
        <v>-94</v>
      </c>
      <c r="CQ32" s="159">
        <v>0</v>
      </c>
      <c r="CR32" s="159">
        <v>0</v>
      </c>
      <c r="CS32" s="159">
        <v>-19</v>
      </c>
      <c r="CT32" s="159">
        <v>-19</v>
      </c>
      <c r="CU32" s="159">
        <v>-19</v>
      </c>
      <c r="CV32" s="159">
        <v>-19</v>
      </c>
      <c r="CW32" s="159">
        <v>-94</v>
      </c>
      <c r="CX32" s="159">
        <v>0</v>
      </c>
      <c r="CY32" s="159">
        <v>0</v>
      </c>
      <c r="CZ32" s="159">
        <v>-4519</v>
      </c>
      <c r="DA32" s="159">
        <v>-19</v>
      </c>
      <c r="DB32" s="159">
        <v>5981</v>
      </c>
      <c r="DC32" s="159">
        <v>-19</v>
      </c>
      <c r="DD32" s="159">
        <v>-94</v>
      </c>
      <c r="DE32" s="159">
        <v>-500</v>
      </c>
      <c r="DF32" s="159">
        <v>0</v>
      </c>
      <c r="DG32" s="159">
        <v>-19</v>
      </c>
      <c r="DH32" s="159">
        <v>-19</v>
      </c>
      <c r="DI32" s="159">
        <v>-19</v>
      </c>
      <c r="DJ32" s="159">
        <v>-19</v>
      </c>
      <c r="DK32" s="159">
        <v>-94</v>
      </c>
      <c r="DL32" s="159">
        <v>0</v>
      </c>
      <c r="DM32" s="159">
        <v>0</v>
      </c>
      <c r="DN32" s="159">
        <v>-19</v>
      </c>
      <c r="DO32" s="159">
        <v>-19</v>
      </c>
      <c r="DP32" s="159">
        <v>5981</v>
      </c>
      <c r="DQ32" s="159">
        <v>-19</v>
      </c>
      <c r="DR32" s="159">
        <v>-94</v>
      </c>
      <c r="DS32" s="159">
        <v>0</v>
      </c>
      <c r="DT32" s="159">
        <v>0</v>
      </c>
      <c r="DU32" s="159">
        <v>-19</v>
      </c>
      <c r="DV32" s="159">
        <v>-19</v>
      </c>
      <c r="DW32" s="159">
        <v>-19</v>
      </c>
      <c r="DX32" s="159">
        <v>-19</v>
      </c>
      <c r="DY32" s="159">
        <v>-94</v>
      </c>
      <c r="DZ32" s="159">
        <v>0</v>
      </c>
      <c r="EA32" s="159">
        <v>0</v>
      </c>
      <c r="EB32" s="159">
        <v>-19</v>
      </c>
      <c r="EC32" s="159">
        <v>-19</v>
      </c>
      <c r="ED32" s="159">
        <v>5981</v>
      </c>
      <c r="EE32" s="159">
        <v>-4519</v>
      </c>
      <c r="EF32" s="159">
        <v>-94</v>
      </c>
      <c r="EG32" s="159">
        <v>0</v>
      </c>
      <c r="EH32" s="159">
        <v>0</v>
      </c>
      <c r="EI32" s="159">
        <v>-19</v>
      </c>
      <c r="EJ32" s="159">
        <v>-19</v>
      </c>
      <c r="EK32" s="159">
        <v>-19</v>
      </c>
      <c r="EL32" s="159">
        <v>-19</v>
      </c>
      <c r="EM32" s="159">
        <v>-94</v>
      </c>
      <c r="EN32" s="159">
        <v>0</v>
      </c>
      <c r="EO32" s="159">
        <v>0</v>
      </c>
      <c r="EP32" s="159">
        <v>-19</v>
      </c>
      <c r="EQ32" s="159">
        <v>-19</v>
      </c>
      <c r="ER32" s="159">
        <v>5981</v>
      </c>
      <c r="ES32" s="159">
        <v>-19</v>
      </c>
      <c r="ET32" s="159">
        <v>-94</v>
      </c>
      <c r="EU32" s="159">
        <v>0</v>
      </c>
      <c r="EV32" s="159">
        <v>0</v>
      </c>
      <c r="EW32" s="159">
        <v>-19</v>
      </c>
      <c r="EX32" s="159">
        <v>-19</v>
      </c>
      <c r="EY32" s="159">
        <v>-19</v>
      </c>
      <c r="EZ32" s="159">
        <v>-19</v>
      </c>
      <c r="FA32" s="159">
        <v>-94</v>
      </c>
      <c r="FB32" s="159">
        <v>0</v>
      </c>
      <c r="FC32" s="159">
        <v>0</v>
      </c>
      <c r="FD32" s="159">
        <v>-19</v>
      </c>
      <c r="FE32" s="159">
        <v>-19</v>
      </c>
      <c r="FF32" s="159">
        <v>5981</v>
      </c>
      <c r="FG32" s="159">
        <v>-19</v>
      </c>
      <c r="FH32" s="159">
        <v>-94</v>
      </c>
      <c r="FI32" s="159">
        <v>-4500</v>
      </c>
      <c r="FJ32" s="159">
        <v>0</v>
      </c>
      <c r="FK32" s="159">
        <v>-19</v>
      </c>
      <c r="FL32" s="159">
        <v>-19</v>
      </c>
      <c r="FM32" s="159">
        <v>-19</v>
      </c>
      <c r="FN32" s="159">
        <v>-19</v>
      </c>
      <c r="FO32" s="159">
        <v>-94</v>
      </c>
      <c r="FP32" s="159">
        <v>0</v>
      </c>
      <c r="FQ32" s="159">
        <v>0</v>
      </c>
      <c r="FR32" s="159">
        <v>-19</v>
      </c>
      <c r="FS32" s="159">
        <v>-19</v>
      </c>
      <c r="FT32" s="159">
        <v>5981</v>
      </c>
      <c r="FU32" s="159">
        <v>-19</v>
      </c>
      <c r="FV32" s="159">
        <v>-94</v>
      </c>
      <c r="FW32" s="159">
        <v>0</v>
      </c>
      <c r="FX32" s="159">
        <v>0</v>
      </c>
      <c r="FY32" s="159">
        <v>-19</v>
      </c>
      <c r="FZ32" s="159">
        <v>-19</v>
      </c>
      <c r="GA32" s="159">
        <v>-19</v>
      </c>
      <c r="GB32" s="159">
        <v>-19</v>
      </c>
      <c r="GC32" s="159">
        <v>-94</v>
      </c>
      <c r="GD32" s="159">
        <v>0</v>
      </c>
      <c r="GE32" s="159">
        <v>0</v>
      </c>
      <c r="GF32" s="159">
        <v>-19</v>
      </c>
      <c r="GG32" s="159">
        <v>-19</v>
      </c>
      <c r="GH32" s="159">
        <v>5981</v>
      </c>
      <c r="GI32" s="159">
        <v>-19</v>
      </c>
      <c r="GJ32" s="159">
        <v>-2094</v>
      </c>
      <c r="GK32" s="159">
        <v>0</v>
      </c>
      <c r="GL32" s="159">
        <v>0</v>
      </c>
      <c r="GM32" s="159">
        <v>-19</v>
      </c>
      <c r="GN32" s="159">
        <v>-4519</v>
      </c>
      <c r="GO32" s="159">
        <v>-19</v>
      </c>
      <c r="GP32" s="159">
        <v>-19</v>
      </c>
      <c r="GQ32" s="159">
        <v>-94</v>
      </c>
      <c r="GR32" s="159">
        <v>0</v>
      </c>
      <c r="GS32" s="159">
        <v>-500</v>
      </c>
      <c r="GT32" s="159">
        <v>-19</v>
      </c>
      <c r="GU32" s="159">
        <v>-19</v>
      </c>
      <c r="GV32" s="159">
        <v>5981</v>
      </c>
      <c r="GW32" s="159">
        <v>-19</v>
      </c>
      <c r="GX32" s="159">
        <v>-94</v>
      </c>
      <c r="GY32" s="159">
        <v>0</v>
      </c>
      <c r="GZ32" s="159">
        <v>0</v>
      </c>
      <c r="HA32" s="159">
        <v>-19</v>
      </c>
      <c r="HB32" s="159">
        <v>-19</v>
      </c>
      <c r="HC32" s="159">
        <v>-19</v>
      </c>
      <c r="HD32" s="159">
        <v>-19</v>
      </c>
      <c r="HE32" s="159">
        <v>-94</v>
      </c>
      <c r="HF32" s="159">
        <v>0</v>
      </c>
      <c r="HG32" s="159">
        <v>0</v>
      </c>
      <c r="HH32" s="159">
        <v>-19</v>
      </c>
      <c r="HI32" s="159">
        <v>-19</v>
      </c>
      <c r="HJ32" s="159">
        <v>5981</v>
      </c>
      <c r="HK32" s="159">
        <v>-19</v>
      </c>
      <c r="HL32" s="159">
        <v>-94</v>
      </c>
      <c r="HM32" s="159">
        <v>0</v>
      </c>
      <c r="HN32" s="159">
        <v>0</v>
      </c>
      <c r="HO32" s="159">
        <v>-19</v>
      </c>
      <c r="HP32" s="159">
        <v>-19</v>
      </c>
      <c r="HQ32" s="159">
        <v>-19</v>
      </c>
      <c r="HR32" s="159">
        <v>-19</v>
      </c>
      <c r="HS32" s="159">
        <v>-4594</v>
      </c>
      <c r="HT32" s="159">
        <v>0</v>
      </c>
      <c r="HU32" s="159">
        <v>0</v>
      </c>
      <c r="HV32" s="159">
        <v>-19</v>
      </c>
      <c r="HW32" s="159">
        <v>-19</v>
      </c>
      <c r="HX32" s="159">
        <v>5981</v>
      </c>
      <c r="HY32" s="159">
        <v>-19</v>
      </c>
      <c r="HZ32" s="159">
        <v>-94</v>
      </c>
      <c r="IA32" s="159">
        <v>0</v>
      </c>
      <c r="IB32" s="159">
        <v>0</v>
      </c>
      <c r="IC32" s="159">
        <v>-19</v>
      </c>
      <c r="ID32" s="159">
        <v>-19</v>
      </c>
      <c r="IE32" s="159">
        <v>-19</v>
      </c>
      <c r="IF32" s="159">
        <v>-19</v>
      </c>
      <c r="IG32" s="159">
        <v>-94</v>
      </c>
      <c r="IH32" s="159">
        <v>0</v>
      </c>
      <c r="II32" s="159">
        <v>0</v>
      </c>
      <c r="IJ32" s="159">
        <v>-19</v>
      </c>
      <c r="IK32" s="159">
        <v>-19</v>
      </c>
      <c r="IL32" s="159">
        <v>5981</v>
      </c>
      <c r="IM32" s="159">
        <v>-19</v>
      </c>
      <c r="IN32" s="159">
        <v>-94</v>
      </c>
      <c r="IO32" s="159">
        <v>0</v>
      </c>
      <c r="IP32" s="159">
        <v>0</v>
      </c>
      <c r="IQ32" s="159">
        <v>-19</v>
      </c>
      <c r="IR32" s="159">
        <v>-19</v>
      </c>
      <c r="IS32" s="159">
        <v>-19</v>
      </c>
      <c r="IT32" s="159">
        <v>-19</v>
      </c>
      <c r="IU32" s="159">
        <v>-4594</v>
      </c>
      <c r="IV32" s="159">
        <v>0</v>
      </c>
      <c r="IW32" s="159">
        <v>0</v>
      </c>
      <c r="IX32" s="159">
        <v>-19</v>
      </c>
      <c r="IY32" s="159">
        <v>-19</v>
      </c>
      <c r="IZ32" s="159">
        <v>5981</v>
      </c>
      <c r="JA32" s="159">
        <v>-19</v>
      </c>
      <c r="JB32" s="159">
        <v>-94</v>
      </c>
      <c r="JC32" s="159">
        <v>0</v>
      </c>
      <c r="JD32" s="159">
        <v>0</v>
      </c>
      <c r="JE32" s="159">
        <v>-19</v>
      </c>
      <c r="JF32" s="159">
        <v>-19</v>
      </c>
      <c r="JG32" s="159">
        <v>-19</v>
      </c>
      <c r="JH32" s="159">
        <v>-19</v>
      </c>
      <c r="JI32" s="159">
        <v>-94</v>
      </c>
      <c r="JJ32" s="159">
        <v>0</v>
      </c>
      <c r="JK32" s="159">
        <v>0</v>
      </c>
      <c r="JL32" s="159">
        <v>-19</v>
      </c>
      <c r="JM32" s="159">
        <v>-19</v>
      </c>
      <c r="JN32" s="159">
        <v>5981</v>
      </c>
      <c r="JO32" s="159">
        <v>-19</v>
      </c>
      <c r="JP32" s="159">
        <v>-94</v>
      </c>
      <c r="JQ32" s="159">
        <v>0</v>
      </c>
      <c r="JR32" s="159">
        <v>0</v>
      </c>
      <c r="JS32" s="159">
        <v>-19</v>
      </c>
      <c r="JT32" s="159">
        <v>-19</v>
      </c>
      <c r="JU32" s="159">
        <v>-19</v>
      </c>
      <c r="JV32" s="159">
        <v>-19</v>
      </c>
      <c r="JW32" s="159">
        <v>-94</v>
      </c>
      <c r="JX32" s="159">
        <v>0</v>
      </c>
      <c r="JY32" s="159">
        <v>0</v>
      </c>
      <c r="JZ32" s="159">
        <v>-4519</v>
      </c>
      <c r="KA32" s="159">
        <v>-19</v>
      </c>
      <c r="KB32" s="159">
        <v>5981</v>
      </c>
      <c r="KC32" s="159">
        <v>-19</v>
      </c>
      <c r="KD32" s="159">
        <v>-94</v>
      </c>
      <c r="KE32" s="159">
        <v>-500</v>
      </c>
      <c r="KF32" s="159">
        <v>0</v>
      </c>
      <c r="KG32" s="159">
        <v>-19</v>
      </c>
      <c r="KH32" s="159">
        <v>-19</v>
      </c>
      <c r="KI32" s="159">
        <v>-19</v>
      </c>
      <c r="KJ32" s="159">
        <v>-19</v>
      </c>
      <c r="KK32" s="159">
        <v>-94</v>
      </c>
      <c r="KL32" s="159">
        <v>0</v>
      </c>
      <c r="KM32" s="159">
        <v>0</v>
      </c>
      <c r="KN32" s="159">
        <v>-19</v>
      </c>
      <c r="KO32" s="159">
        <v>-19</v>
      </c>
      <c r="KP32" s="159">
        <v>5981</v>
      </c>
      <c r="KQ32" s="159">
        <v>-19</v>
      </c>
      <c r="KR32" s="159">
        <v>-94</v>
      </c>
      <c r="KS32" s="159">
        <v>0</v>
      </c>
      <c r="KT32" s="159">
        <v>0</v>
      </c>
      <c r="KU32" s="159">
        <v>-19</v>
      </c>
      <c r="KV32" s="159">
        <v>-19</v>
      </c>
      <c r="KW32" s="159">
        <v>-19</v>
      </c>
      <c r="KX32" s="159">
        <v>-19</v>
      </c>
      <c r="KY32" s="159">
        <v>-94</v>
      </c>
      <c r="KZ32" s="159">
        <v>0</v>
      </c>
      <c r="LA32" s="159">
        <v>0</v>
      </c>
      <c r="LB32" s="159">
        <v>-19</v>
      </c>
      <c r="LC32" s="159">
        <v>-19</v>
      </c>
      <c r="LD32" s="159">
        <v>1481</v>
      </c>
      <c r="LE32" s="159">
        <v>-19</v>
      </c>
      <c r="LF32" s="159">
        <v>-94</v>
      </c>
      <c r="LG32" s="159">
        <v>0</v>
      </c>
      <c r="LH32" s="159">
        <v>0</v>
      </c>
      <c r="LI32" s="159">
        <v>-19</v>
      </c>
      <c r="LJ32" s="159">
        <v>-19</v>
      </c>
      <c r="LK32" s="159">
        <v>-19</v>
      </c>
      <c r="LL32" s="159">
        <v>-19</v>
      </c>
      <c r="LM32" s="159">
        <v>-94</v>
      </c>
      <c r="LN32" s="159">
        <v>0</v>
      </c>
      <c r="LO32" s="159">
        <v>0</v>
      </c>
      <c r="LP32" s="159">
        <v>-19</v>
      </c>
      <c r="LQ32" s="159">
        <v>-19</v>
      </c>
      <c r="LR32" s="159">
        <v>5981</v>
      </c>
      <c r="LS32" s="159">
        <v>-19</v>
      </c>
      <c r="LT32" s="159">
        <v>-94</v>
      </c>
      <c r="LU32" s="159">
        <v>0</v>
      </c>
      <c r="LV32" s="159">
        <v>0</v>
      </c>
      <c r="LW32" s="159">
        <v>-19</v>
      </c>
      <c r="LX32" s="159">
        <v>-19</v>
      </c>
      <c r="LY32" s="159">
        <v>-19</v>
      </c>
      <c r="LZ32" s="159">
        <v>-19</v>
      </c>
      <c r="MA32" s="159">
        <v>-94</v>
      </c>
      <c r="MB32" s="159">
        <v>0</v>
      </c>
      <c r="MC32" s="159">
        <v>0</v>
      </c>
      <c r="MD32" s="159">
        <v>-19</v>
      </c>
      <c r="ME32" s="159">
        <v>-19</v>
      </c>
      <c r="MF32" s="159">
        <v>5981</v>
      </c>
      <c r="MG32" s="159">
        <v>-19</v>
      </c>
      <c r="MH32" s="159">
        <v>-94</v>
      </c>
      <c r="MI32" s="159">
        <v>-4500</v>
      </c>
      <c r="MJ32" s="159">
        <v>0</v>
      </c>
      <c r="MK32" s="159">
        <v>-19</v>
      </c>
      <c r="ML32" s="159">
        <v>-19</v>
      </c>
      <c r="MM32" s="159">
        <v>-19</v>
      </c>
      <c r="MN32" s="159">
        <v>-19</v>
      </c>
      <c r="MO32" s="159">
        <v>-94</v>
      </c>
      <c r="MP32" s="159">
        <v>0</v>
      </c>
      <c r="MQ32" s="159">
        <v>0</v>
      </c>
      <c r="MR32" s="159">
        <v>-19</v>
      </c>
      <c r="MS32" s="159">
        <v>-19</v>
      </c>
      <c r="MT32" s="159">
        <v>5981</v>
      </c>
      <c r="MU32" s="159">
        <v>-19</v>
      </c>
      <c r="MV32" s="159">
        <v>-94</v>
      </c>
      <c r="MW32" s="159">
        <v>0</v>
      </c>
      <c r="MX32" s="159">
        <v>0</v>
      </c>
      <c r="MY32" s="159">
        <v>-19</v>
      </c>
      <c r="MZ32" s="159">
        <v>-19</v>
      </c>
      <c r="NA32" s="159">
        <v>-19</v>
      </c>
      <c r="NB32" s="159">
        <v>-19</v>
      </c>
      <c r="NC32" s="159">
        <v>-94</v>
      </c>
      <c r="ND32" s="159">
        <v>0</v>
      </c>
      <c r="NE32" s="159">
        <v>0</v>
      </c>
      <c r="NF32" s="159">
        <v>-19</v>
      </c>
      <c r="NG32" s="159">
        <v>-19</v>
      </c>
      <c r="NH32" s="159">
        <v>5981</v>
      </c>
    </row>
    <row r="33" spans="1:372" x14ac:dyDescent="0.25">
      <c r="A33" s="145" t="s">
        <v>131</v>
      </c>
      <c r="B33" s="146" t="s">
        <v>249</v>
      </c>
      <c r="C33" s="146" t="s">
        <v>222</v>
      </c>
      <c r="D33" s="147" t="s">
        <v>223</v>
      </c>
      <c r="E33" s="145" t="s">
        <v>224</v>
      </c>
      <c r="G33" s="155" t="s">
        <v>247</v>
      </c>
      <c r="H33" s="156" cm="1">
        <f t="array" ref="H33:NH33">oz.Timelineλ("1/7/2026", 365, "D")</f>
        <v>46204</v>
      </c>
      <c r="I33" s="156">
        <v>46205</v>
      </c>
      <c r="J33" s="156">
        <v>46206</v>
      </c>
      <c r="K33" s="156">
        <v>46207</v>
      </c>
      <c r="L33" s="156">
        <v>46208</v>
      </c>
      <c r="M33" s="156">
        <v>46209</v>
      </c>
      <c r="N33" s="156">
        <v>46210</v>
      </c>
      <c r="O33" s="156">
        <v>46211</v>
      </c>
      <c r="P33" s="156">
        <v>46212</v>
      </c>
      <c r="Q33" s="156">
        <v>46213</v>
      </c>
      <c r="R33" s="156">
        <v>46214</v>
      </c>
      <c r="S33" s="156">
        <v>46215</v>
      </c>
      <c r="T33" s="156">
        <v>46216</v>
      </c>
      <c r="U33" s="156">
        <v>46217</v>
      </c>
      <c r="V33" s="156">
        <v>46218</v>
      </c>
      <c r="W33" s="156">
        <v>46219</v>
      </c>
      <c r="X33" s="156">
        <v>46220</v>
      </c>
      <c r="Y33" s="156">
        <v>46221</v>
      </c>
      <c r="Z33" s="156">
        <v>46222</v>
      </c>
      <c r="AA33" s="156">
        <v>46223</v>
      </c>
      <c r="AB33" s="156">
        <v>46224</v>
      </c>
      <c r="AC33" s="156">
        <v>46225</v>
      </c>
      <c r="AD33" s="156">
        <v>46226</v>
      </c>
      <c r="AE33" s="156">
        <v>46227</v>
      </c>
      <c r="AF33" s="156">
        <v>46228</v>
      </c>
      <c r="AG33" s="156">
        <v>46229</v>
      </c>
      <c r="AH33" s="156">
        <v>46230</v>
      </c>
      <c r="AI33" s="156">
        <v>46231</v>
      </c>
      <c r="AJ33" s="156">
        <v>46232</v>
      </c>
      <c r="AK33" s="156">
        <v>46233</v>
      </c>
      <c r="AL33" s="156">
        <v>46234</v>
      </c>
      <c r="AM33" s="156">
        <v>46235</v>
      </c>
      <c r="AN33" s="156">
        <v>46236</v>
      </c>
      <c r="AO33" s="156">
        <v>46237</v>
      </c>
      <c r="AP33" s="156">
        <v>46238</v>
      </c>
      <c r="AQ33" s="156">
        <v>46239</v>
      </c>
      <c r="AR33" s="156">
        <v>46240</v>
      </c>
      <c r="AS33" s="156">
        <v>46241</v>
      </c>
      <c r="AT33" s="156">
        <v>46242</v>
      </c>
      <c r="AU33" s="156">
        <v>46243</v>
      </c>
      <c r="AV33" s="156">
        <v>46244</v>
      </c>
      <c r="AW33" s="156">
        <v>46245</v>
      </c>
      <c r="AX33" s="156">
        <v>46246</v>
      </c>
      <c r="AY33" s="156">
        <v>46247</v>
      </c>
      <c r="AZ33" s="156">
        <v>46248</v>
      </c>
      <c r="BA33" s="156">
        <v>46249</v>
      </c>
      <c r="BB33" s="156">
        <v>46250</v>
      </c>
      <c r="BC33" s="156">
        <v>46251</v>
      </c>
      <c r="BD33" s="156">
        <v>46252</v>
      </c>
      <c r="BE33" s="156">
        <v>46253</v>
      </c>
      <c r="BF33" s="156">
        <v>46254</v>
      </c>
      <c r="BG33" s="156">
        <v>46255</v>
      </c>
      <c r="BH33" s="156">
        <v>46256</v>
      </c>
      <c r="BI33" s="156">
        <v>46257</v>
      </c>
      <c r="BJ33" s="156">
        <v>46258</v>
      </c>
      <c r="BK33" s="156">
        <v>46259</v>
      </c>
      <c r="BL33" s="156">
        <v>46260</v>
      </c>
      <c r="BM33" s="156">
        <v>46261</v>
      </c>
      <c r="BN33" s="156">
        <v>46262</v>
      </c>
      <c r="BO33" s="156">
        <v>46263</v>
      </c>
      <c r="BP33" s="156">
        <v>46264</v>
      </c>
      <c r="BQ33" s="156">
        <v>46265</v>
      </c>
      <c r="BR33" s="156">
        <v>46266</v>
      </c>
      <c r="BS33" s="156">
        <v>46267</v>
      </c>
      <c r="BT33" s="156">
        <v>46268</v>
      </c>
      <c r="BU33" s="156">
        <v>46269</v>
      </c>
      <c r="BV33" s="156">
        <v>46270</v>
      </c>
      <c r="BW33" s="156">
        <v>46271</v>
      </c>
      <c r="BX33" s="156">
        <v>46272</v>
      </c>
      <c r="BY33" s="156">
        <v>46273</v>
      </c>
      <c r="BZ33" s="156">
        <v>46274</v>
      </c>
      <c r="CA33" s="156">
        <v>46275</v>
      </c>
      <c r="CB33" s="156">
        <v>46276</v>
      </c>
      <c r="CC33" s="156">
        <v>46277</v>
      </c>
      <c r="CD33" s="156">
        <v>46278</v>
      </c>
      <c r="CE33" s="156">
        <v>46279</v>
      </c>
      <c r="CF33" s="156">
        <v>46280</v>
      </c>
      <c r="CG33" s="156">
        <v>46281</v>
      </c>
      <c r="CH33" s="156">
        <v>46282</v>
      </c>
      <c r="CI33" s="156">
        <v>46283</v>
      </c>
      <c r="CJ33" s="156">
        <v>46284</v>
      </c>
      <c r="CK33" s="156">
        <v>46285</v>
      </c>
      <c r="CL33" s="156">
        <v>46286</v>
      </c>
      <c r="CM33" s="156">
        <v>46287</v>
      </c>
      <c r="CN33" s="156">
        <v>46288</v>
      </c>
      <c r="CO33" s="156">
        <v>46289</v>
      </c>
      <c r="CP33" s="156">
        <v>46290</v>
      </c>
      <c r="CQ33" s="156">
        <v>46291</v>
      </c>
      <c r="CR33" s="156">
        <v>46292</v>
      </c>
      <c r="CS33" s="156">
        <v>46293</v>
      </c>
      <c r="CT33" s="156">
        <v>46294</v>
      </c>
      <c r="CU33" s="156">
        <v>46295</v>
      </c>
      <c r="CV33" s="156">
        <v>46296</v>
      </c>
      <c r="CW33" s="156">
        <v>46297</v>
      </c>
      <c r="CX33" s="156">
        <v>46298</v>
      </c>
      <c r="CY33" s="156">
        <v>46299</v>
      </c>
      <c r="CZ33" s="156">
        <v>46300</v>
      </c>
      <c r="DA33" s="156">
        <v>46301</v>
      </c>
      <c r="DB33" s="156">
        <v>46302</v>
      </c>
      <c r="DC33" s="156">
        <v>46303</v>
      </c>
      <c r="DD33" s="156">
        <v>46304</v>
      </c>
      <c r="DE33" s="156">
        <v>46305</v>
      </c>
      <c r="DF33" s="156">
        <v>46306</v>
      </c>
      <c r="DG33" s="156">
        <v>46307</v>
      </c>
      <c r="DH33" s="156">
        <v>46308</v>
      </c>
      <c r="DI33" s="156">
        <v>46309</v>
      </c>
      <c r="DJ33" s="156">
        <v>46310</v>
      </c>
      <c r="DK33" s="156">
        <v>46311</v>
      </c>
      <c r="DL33" s="156">
        <v>46312</v>
      </c>
      <c r="DM33" s="156">
        <v>46313</v>
      </c>
      <c r="DN33" s="156">
        <v>46314</v>
      </c>
      <c r="DO33" s="156">
        <v>46315</v>
      </c>
      <c r="DP33" s="156">
        <v>46316</v>
      </c>
      <c r="DQ33" s="156">
        <v>46317</v>
      </c>
      <c r="DR33" s="156">
        <v>46318</v>
      </c>
      <c r="DS33" s="156">
        <v>46319</v>
      </c>
      <c r="DT33" s="156">
        <v>46320</v>
      </c>
      <c r="DU33" s="156">
        <v>46321</v>
      </c>
      <c r="DV33" s="156">
        <v>46322</v>
      </c>
      <c r="DW33" s="156">
        <v>46323</v>
      </c>
      <c r="DX33" s="156">
        <v>46324</v>
      </c>
      <c r="DY33" s="156">
        <v>46325</v>
      </c>
      <c r="DZ33" s="156">
        <v>46326</v>
      </c>
      <c r="EA33" s="156">
        <v>46327</v>
      </c>
      <c r="EB33" s="156">
        <v>46328</v>
      </c>
      <c r="EC33" s="156">
        <v>46329</v>
      </c>
      <c r="ED33" s="156">
        <v>46330</v>
      </c>
      <c r="EE33" s="156">
        <v>46331</v>
      </c>
      <c r="EF33" s="156">
        <v>46332</v>
      </c>
      <c r="EG33" s="156">
        <v>46333</v>
      </c>
      <c r="EH33" s="156">
        <v>46334</v>
      </c>
      <c r="EI33" s="156">
        <v>46335</v>
      </c>
      <c r="EJ33" s="156">
        <v>46336</v>
      </c>
      <c r="EK33" s="156">
        <v>46337</v>
      </c>
      <c r="EL33" s="156">
        <v>46338</v>
      </c>
      <c r="EM33" s="156">
        <v>46339</v>
      </c>
      <c r="EN33" s="156">
        <v>46340</v>
      </c>
      <c r="EO33" s="156">
        <v>46341</v>
      </c>
      <c r="EP33" s="156">
        <v>46342</v>
      </c>
      <c r="EQ33" s="156">
        <v>46343</v>
      </c>
      <c r="ER33" s="156">
        <v>46344</v>
      </c>
      <c r="ES33" s="156">
        <v>46345</v>
      </c>
      <c r="ET33" s="156">
        <v>46346</v>
      </c>
      <c r="EU33" s="156">
        <v>46347</v>
      </c>
      <c r="EV33" s="156">
        <v>46348</v>
      </c>
      <c r="EW33" s="156">
        <v>46349</v>
      </c>
      <c r="EX33" s="156">
        <v>46350</v>
      </c>
      <c r="EY33" s="156">
        <v>46351</v>
      </c>
      <c r="EZ33" s="156">
        <v>46352</v>
      </c>
      <c r="FA33" s="156">
        <v>46353</v>
      </c>
      <c r="FB33" s="156">
        <v>46354</v>
      </c>
      <c r="FC33" s="156">
        <v>46355</v>
      </c>
      <c r="FD33" s="156">
        <v>46356</v>
      </c>
      <c r="FE33" s="156">
        <v>46357</v>
      </c>
      <c r="FF33" s="156">
        <v>46358</v>
      </c>
      <c r="FG33" s="156">
        <v>46359</v>
      </c>
      <c r="FH33" s="156">
        <v>46360</v>
      </c>
      <c r="FI33" s="156">
        <v>46361</v>
      </c>
      <c r="FJ33" s="156">
        <v>46362</v>
      </c>
      <c r="FK33" s="156">
        <v>46363</v>
      </c>
      <c r="FL33" s="156">
        <v>46364</v>
      </c>
      <c r="FM33" s="156">
        <v>46365</v>
      </c>
      <c r="FN33" s="156">
        <v>46366</v>
      </c>
      <c r="FO33" s="156">
        <v>46367</v>
      </c>
      <c r="FP33" s="156">
        <v>46368</v>
      </c>
      <c r="FQ33" s="156">
        <v>46369</v>
      </c>
      <c r="FR33" s="156">
        <v>46370</v>
      </c>
      <c r="FS33" s="156">
        <v>46371</v>
      </c>
      <c r="FT33" s="156">
        <v>46372</v>
      </c>
      <c r="FU33" s="156">
        <v>46373</v>
      </c>
      <c r="FV33" s="156">
        <v>46374</v>
      </c>
      <c r="FW33" s="156">
        <v>46375</v>
      </c>
      <c r="FX33" s="156">
        <v>46376</v>
      </c>
      <c r="FY33" s="156">
        <v>46377</v>
      </c>
      <c r="FZ33" s="156">
        <v>46378</v>
      </c>
      <c r="GA33" s="156">
        <v>46379</v>
      </c>
      <c r="GB33" s="156">
        <v>46380</v>
      </c>
      <c r="GC33" s="156">
        <v>46381</v>
      </c>
      <c r="GD33" s="156">
        <v>46382</v>
      </c>
      <c r="GE33" s="156">
        <v>46383</v>
      </c>
      <c r="GF33" s="156">
        <v>46384</v>
      </c>
      <c r="GG33" s="156">
        <v>46385</v>
      </c>
      <c r="GH33" s="156">
        <v>46386</v>
      </c>
      <c r="GI33" s="156">
        <v>46387</v>
      </c>
      <c r="GJ33" s="156">
        <v>46388</v>
      </c>
      <c r="GK33" s="156">
        <v>46389</v>
      </c>
      <c r="GL33" s="156">
        <v>46390</v>
      </c>
      <c r="GM33" s="156">
        <v>46391</v>
      </c>
      <c r="GN33" s="156">
        <v>46392</v>
      </c>
      <c r="GO33" s="156">
        <v>46393</v>
      </c>
      <c r="GP33" s="156">
        <v>46394</v>
      </c>
      <c r="GQ33" s="156">
        <v>46395</v>
      </c>
      <c r="GR33" s="156">
        <v>46396</v>
      </c>
      <c r="GS33" s="156">
        <v>46397</v>
      </c>
      <c r="GT33" s="156">
        <v>46398</v>
      </c>
      <c r="GU33" s="156">
        <v>46399</v>
      </c>
      <c r="GV33" s="156">
        <v>46400</v>
      </c>
      <c r="GW33" s="156">
        <v>46401</v>
      </c>
      <c r="GX33" s="156">
        <v>46402</v>
      </c>
      <c r="GY33" s="156">
        <v>46403</v>
      </c>
      <c r="GZ33" s="156">
        <v>46404</v>
      </c>
      <c r="HA33" s="156">
        <v>46405</v>
      </c>
      <c r="HB33" s="156">
        <v>46406</v>
      </c>
      <c r="HC33" s="156">
        <v>46407</v>
      </c>
      <c r="HD33" s="156">
        <v>46408</v>
      </c>
      <c r="HE33" s="156">
        <v>46409</v>
      </c>
      <c r="HF33" s="156">
        <v>46410</v>
      </c>
      <c r="HG33" s="156">
        <v>46411</v>
      </c>
      <c r="HH33" s="156">
        <v>46412</v>
      </c>
      <c r="HI33" s="156">
        <v>46413</v>
      </c>
      <c r="HJ33" s="156">
        <v>46414</v>
      </c>
      <c r="HK33" s="156">
        <v>46415</v>
      </c>
      <c r="HL33" s="156">
        <v>46416</v>
      </c>
      <c r="HM33" s="156">
        <v>46417</v>
      </c>
      <c r="HN33" s="156">
        <v>46418</v>
      </c>
      <c r="HO33" s="156">
        <v>46419</v>
      </c>
      <c r="HP33" s="156">
        <v>46420</v>
      </c>
      <c r="HQ33" s="156">
        <v>46421</v>
      </c>
      <c r="HR33" s="156">
        <v>46422</v>
      </c>
      <c r="HS33" s="156">
        <v>46423</v>
      </c>
      <c r="HT33" s="156">
        <v>46424</v>
      </c>
      <c r="HU33" s="156">
        <v>46425</v>
      </c>
      <c r="HV33" s="156">
        <v>46426</v>
      </c>
      <c r="HW33" s="156">
        <v>46427</v>
      </c>
      <c r="HX33" s="156">
        <v>46428</v>
      </c>
      <c r="HY33" s="156">
        <v>46429</v>
      </c>
      <c r="HZ33" s="156">
        <v>46430</v>
      </c>
      <c r="IA33" s="156">
        <v>46431</v>
      </c>
      <c r="IB33" s="156">
        <v>46432</v>
      </c>
      <c r="IC33" s="156">
        <v>46433</v>
      </c>
      <c r="ID33" s="156">
        <v>46434</v>
      </c>
      <c r="IE33" s="156">
        <v>46435</v>
      </c>
      <c r="IF33" s="156">
        <v>46436</v>
      </c>
      <c r="IG33" s="156">
        <v>46437</v>
      </c>
      <c r="IH33" s="156">
        <v>46438</v>
      </c>
      <c r="II33" s="156">
        <v>46439</v>
      </c>
      <c r="IJ33" s="156">
        <v>46440</v>
      </c>
      <c r="IK33" s="156">
        <v>46441</v>
      </c>
      <c r="IL33" s="156">
        <v>46442</v>
      </c>
      <c r="IM33" s="156">
        <v>46443</v>
      </c>
      <c r="IN33" s="156">
        <v>46444</v>
      </c>
      <c r="IO33" s="156">
        <v>46445</v>
      </c>
      <c r="IP33" s="156">
        <v>46446</v>
      </c>
      <c r="IQ33" s="156">
        <v>46447</v>
      </c>
      <c r="IR33" s="156">
        <v>46448</v>
      </c>
      <c r="IS33" s="156">
        <v>46449</v>
      </c>
      <c r="IT33" s="156">
        <v>46450</v>
      </c>
      <c r="IU33" s="156">
        <v>46451</v>
      </c>
      <c r="IV33" s="156">
        <v>46452</v>
      </c>
      <c r="IW33" s="156">
        <v>46453</v>
      </c>
      <c r="IX33" s="156">
        <v>46454</v>
      </c>
      <c r="IY33" s="156">
        <v>46455</v>
      </c>
      <c r="IZ33" s="156">
        <v>46456</v>
      </c>
      <c r="JA33" s="156">
        <v>46457</v>
      </c>
      <c r="JB33" s="156">
        <v>46458</v>
      </c>
      <c r="JC33" s="156">
        <v>46459</v>
      </c>
      <c r="JD33" s="156">
        <v>46460</v>
      </c>
      <c r="JE33" s="156">
        <v>46461</v>
      </c>
      <c r="JF33" s="156">
        <v>46462</v>
      </c>
      <c r="JG33" s="156">
        <v>46463</v>
      </c>
      <c r="JH33" s="156">
        <v>46464</v>
      </c>
      <c r="JI33" s="156">
        <v>46465</v>
      </c>
      <c r="JJ33" s="156">
        <v>46466</v>
      </c>
      <c r="JK33" s="156">
        <v>46467</v>
      </c>
      <c r="JL33" s="156">
        <v>46468</v>
      </c>
      <c r="JM33" s="156">
        <v>46469</v>
      </c>
      <c r="JN33" s="156">
        <v>46470</v>
      </c>
      <c r="JO33" s="156">
        <v>46471</v>
      </c>
      <c r="JP33" s="156">
        <v>46472</v>
      </c>
      <c r="JQ33" s="156">
        <v>46473</v>
      </c>
      <c r="JR33" s="156">
        <v>46474</v>
      </c>
      <c r="JS33" s="156">
        <v>46475</v>
      </c>
      <c r="JT33" s="156">
        <v>46476</v>
      </c>
      <c r="JU33" s="156">
        <v>46477</v>
      </c>
      <c r="JV33" s="156">
        <v>46478</v>
      </c>
      <c r="JW33" s="156">
        <v>46479</v>
      </c>
      <c r="JX33" s="156">
        <v>46480</v>
      </c>
      <c r="JY33" s="156">
        <v>46481</v>
      </c>
      <c r="JZ33" s="156">
        <v>46482</v>
      </c>
      <c r="KA33" s="156">
        <v>46483</v>
      </c>
      <c r="KB33" s="156">
        <v>46484</v>
      </c>
      <c r="KC33" s="156">
        <v>46485</v>
      </c>
      <c r="KD33" s="156">
        <v>46486</v>
      </c>
      <c r="KE33" s="156">
        <v>46487</v>
      </c>
      <c r="KF33" s="156">
        <v>46488</v>
      </c>
      <c r="KG33" s="156">
        <v>46489</v>
      </c>
      <c r="KH33" s="156">
        <v>46490</v>
      </c>
      <c r="KI33" s="156">
        <v>46491</v>
      </c>
      <c r="KJ33" s="156">
        <v>46492</v>
      </c>
      <c r="KK33" s="156">
        <v>46493</v>
      </c>
      <c r="KL33" s="156">
        <v>46494</v>
      </c>
      <c r="KM33" s="156">
        <v>46495</v>
      </c>
      <c r="KN33" s="156">
        <v>46496</v>
      </c>
      <c r="KO33" s="156">
        <v>46497</v>
      </c>
      <c r="KP33" s="156">
        <v>46498</v>
      </c>
      <c r="KQ33" s="156">
        <v>46499</v>
      </c>
      <c r="KR33" s="156">
        <v>46500</v>
      </c>
      <c r="KS33" s="156">
        <v>46501</v>
      </c>
      <c r="KT33" s="156">
        <v>46502</v>
      </c>
      <c r="KU33" s="156">
        <v>46503</v>
      </c>
      <c r="KV33" s="156">
        <v>46504</v>
      </c>
      <c r="KW33" s="156">
        <v>46505</v>
      </c>
      <c r="KX33" s="156">
        <v>46506</v>
      </c>
      <c r="KY33" s="156">
        <v>46507</v>
      </c>
      <c r="KZ33" s="156">
        <v>46508</v>
      </c>
      <c r="LA33" s="156">
        <v>46509</v>
      </c>
      <c r="LB33" s="156">
        <v>46510</v>
      </c>
      <c r="LC33" s="156">
        <v>46511</v>
      </c>
      <c r="LD33" s="156">
        <v>46512</v>
      </c>
      <c r="LE33" s="156">
        <v>46513</v>
      </c>
      <c r="LF33" s="156">
        <v>46514</v>
      </c>
      <c r="LG33" s="156">
        <v>46515</v>
      </c>
      <c r="LH33" s="156">
        <v>46516</v>
      </c>
      <c r="LI33" s="156">
        <v>46517</v>
      </c>
      <c r="LJ33" s="156">
        <v>46518</v>
      </c>
      <c r="LK33" s="156">
        <v>46519</v>
      </c>
      <c r="LL33" s="156">
        <v>46520</v>
      </c>
      <c r="LM33" s="156">
        <v>46521</v>
      </c>
      <c r="LN33" s="156">
        <v>46522</v>
      </c>
      <c r="LO33" s="156">
        <v>46523</v>
      </c>
      <c r="LP33" s="156">
        <v>46524</v>
      </c>
      <c r="LQ33" s="156">
        <v>46525</v>
      </c>
      <c r="LR33" s="156">
        <v>46526</v>
      </c>
      <c r="LS33" s="156">
        <v>46527</v>
      </c>
      <c r="LT33" s="156">
        <v>46528</v>
      </c>
      <c r="LU33" s="156">
        <v>46529</v>
      </c>
      <c r="LV33" s="156">
        <v>46530</v>
      </c>
      <c r="LW33" s="156">
        <v>46531</v>
      </c>
      <c r="LX33" s="156">
        <v>46532</v>
      </c>
      <c r="LY33" s="156">
        <v>46533</v>
      </c>
      <c r="LZ33" s="156">
        <v>46534</v>
      </c>
      <c r="MA33" s="156">
        <v>46535</v>
      </c>
      <c r="MB33" s="156">
        <v>46536</v>
      </c>
      <c r="MC33" s="156">
        <v>46537</v>
      </c>
      <c r="MD33" s="156">
        <v>46538</v>
      </c>
      <c r="ME33" s="156">
        <v>46539</v>
      </c>
      <c r="MF33" s="156">
        <v>46540</v>
      </c>
      <c r="MG33" s="156">
        <v>46541</v>
      </c>
      <c r="MH33" s="156">
        <v>46542</v>
      </c>
      <c r="MI33" s="156">
        <v>46543</v>
      </c>
      <c r="MJ33" s="156">
        <v>46544</v>
      </c>
      <c r="MK33" s="156">
        <v>46545</v>
      </c>
      <c r="ML33" s="156">
        <v>46546</v>
      </c>
      <c r="MM33" s="156">
        <v>46547</v>
      </c>
      <c r="MN33" s="156">
        <v>46548</v>
      </c>
      <c r="MO33" s="156">
        <v>46549</v>
      </c>
      <c r="MP33" s="156">
        <v>46550</v>
      </c>
      <c r="MQ33" s="156">
        <v>46551</v>
      </c>
      <c r="MR33" s="156">
        <v>46552</v>
      </c>
      <c r="MS33" s="156">
        <v>46553</v>
      </c>
      <c r="MT33" s="156">
        <v>46554</v>
      </c>
      <c r="MU33" s="156">
        <v>46555</v>
      </c>
      <c r="MV33" s="156">
        <v>46556</v>
      </c>
      <c r="MW33" s="156">
        <v>46557</v>
      </c>
      <c r="MX33" s="156">
        <v>46558</v>
      </c>
      <c r="MY33" s="156">
        <v>46559</v>
      </c>
      <c r="MZ33" s="156">
        <v>46560</v>
      </c>
      <c r="NA33" s="156">
        <v>46561</v>
      </c>
      <c r="NB33" s="156">
        <v>46562</v>
      </c>
      <c r="NC33" s="156">
        <v>46563</v>
      </c>
      <c r="ND33" s="156">
        <v>46564</v>
      </c>
      <c r="NE33" s="156">
        <v>46565</v>
      </c>
      <c r="NF33" s="156">
        <v>46566</v>
      </c>
      <c r="NG33" s="156">
        <v>46567</v>
      </c>
      <c r="NH33" s="156">
        <v>46568</v>
      </c>
    </row>
    <row r="34" spans="1:372" x14ac:dyDescent="0.25">
      <c r="A34" s="138" t="s">
        <v>227</v>
      </c>
      <c r="B34" s="137">
        <v>6000</v>
      </c>
      <c r="C34" s="139" t="s">
        <v>225</v>
      </c>
      <c r="D34" s="140">
        <v>46204</v>
      </c>
      <c r="E34" s="140"/>
      <c r="G34" cm="1">
        <f t="array" ref="G34:G39">oz.SumRowsλ(_xlfn.ANCHORARRAY(H34))</f>
        <v>162000</v>
      </c>
      <c r="H34" s="142"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46208</v>
      </c>
      <c r="E35" s="140">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46204</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46213</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46206</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46204</v>
      </c>
      <c r="E39" s="144"/>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customProperties>
    <customPr name="Description" r:id="rId2"/>
  </customProperties>
  <ignoredErrors>
    <ignoredError sqref="B34" calculatedColumn="1"/>
  </ignoredErrors>
  <drawing r:id="rId3"/>
  <tableParts count="1">
    <tablePart r:id="rId4"/>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287" t="str">
        <f ca="1">_xlfn.TEXTAFTER(CELL("filename",A1),"]")</f>
        <v>oz.OverLapDaysλ</v>
      </c>
      <c r="B1" s="287"/>
      <c r="C1" s="287"/>
      <c r="D1" s="287"/>
      <c r="E1" s="287"/>
      <c r="F1" s="287"/>
      <c r="G1" s="287"/>
      <c r="H1" s="287"/>
      <c r="I1" s="287"/>
      <c r="J1" s="287"/>
      <c r="K1" s="287"/>
      <c r="L1" s="287"/>
      <c r="M1" s="287"/>
      <c r="N1" s="287"/>
      <c r="O1" s="287"/>
    </row>
    <row r="2" spans="1:15" x14ac:dyDescent="0.25">
      <c r="A2" s="288" t="s">
        <v>198</v>
      </c>
      <c r="B2" s="289"/>
      <c r="C2" s="289"/>
      <c r="D2" s="289"/>
      <c r="E2" s="289"/>
      <c r="F2" s="289"/>
      <c r="G2" s="289"/>
      <c r="H2" s="289"/>
      <c r="I2" s="289"/>
      <c r="J2" s="289"/>
      <c r="K2" s="289"/>
      <c r="L2" s="289"/>
      <c r="M2" s="289"/>
      <c r="N2" s="290"/>
      <c r="O2" s="104"/>
    </row>
    <row r="4" spans="1:15" x14ac:dyDescent="0.25">
      <c r="A4" s="142"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298" t="s">
        <v>243</v>
      </c>
      <c r="B20" s="299"/>
      <c r="C20" s="299"/>
      <c r="D20" s="299"/>
      <c r="E20" s="299"/>
    </row>
    <row r="21" spans="1:19" x14ac:dyDescent="0.25">
      <c r="A21" s="280"/>
      <c r="B21" s="281"/>
      <c r="C21" s="281"/>
      <c r="D21" s="281"/>
      <c r="E21" s="281"/>
      <c r="G21" s="150" t="s">
        <v>151</v>
      </c>
      <c r="H21" s="151" cm="1">
        <f t="array" ref="H21:S21">oz.Timelineλ("1/7/2026", ,,FALSE)</f>
        <v>46234</v>
      </c>
      <c r="I21" s="151">
        <v>46265</v>
      </c>
      <c r="J21" s="151">
        <v>46295</v>
      </c>
      <c r="K21" s="151">
        <v>46326</v>
      </c>
      <c r="L21" s="151">
        <v>46356</v>
      </c>
      <c r="M21" s="151">
        <v>46387</v>
      </c>
      <c r="N21" s="151">
        <v>46418</v>
      </c>
      <c r="O21" s="151">
        <v>46446</v>
      </c>
      <c r="P21" s="151">
        <v>46477</v>
      </c>
      <c r="Q21" s="151">
        <v>46507</v>
      </c>
      <c r="R21" s="151">
        <v>46538</v>
      </c>
      <c r="S21" s="151">
        <v>46568</v>
      </c>
    </row>
    <row r="22" spans="1:19" x14ac:dyDescent="0.25">
      <c r="A22" s="114" t="s">
        <v>244</v>
      </c>
      <c r="B22" t="s">
        <v>241</v>
      </c>
      <c r="C22" s="114" t="s">
        <v>236</v>
      </c>
      <c r="D22" s="114" t="s">
        <v>237</v>
      </c>
      <c r="E22" s="114" t="s">
        <v>238</v>
      </c>
      <c r="G22" s="149" t="s">
        <v>276</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240</v>
      </c>
      <c r="C23" s="141">
        <v>46249</v>
      </c>
      <c r="D23" s="141">
        <v>46453</v>
      </c>
      <c r="E23" s="148">
        <v>12</v>
      </c>
      <c r="G23" cm="1">
        <f t="array" ref="G23:G25">oz.SumRowsλ(_xlfn.ANCHORARRAY(H23))</f>
        <v>2460</v>
      </c>
      <c r="H23" s="142"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239</v>
      </c>
      <c r="C24" s="141">
        <v>46218</v>
      </c>
      <c r="D24" s="141">
        <v>46286</v>
      </c>
      <c r="E24" s="148">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242</v>
      </c>
      <c r="C25" s="141">
        <v>46204</v>
      </c>
      <c r="D25" s="141">
        <v>46234</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customProperties>
    <customPr name="Description" r:id="rId2"/>
  </customProperties>
  <drawing r:id="rId3"/>
  <tableParts count="1">
    <tablePart r:id="rId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287" t="str">
        <f ca="1">_xlfn.TEXTAFTER(CELL("filename",A1),"]")</f>
        <v>oz.Periodsλ</v>
      </c>
      <c r="B1" s="287"/>
      <c r="C1" s="287"/>
      <c r="D1" s="287"/>
      <c r="E1" s="287"/>
      <c r="F1" s="287"/>
      <c r="G1" s="287"/>
      <c r="H1" s="287"/>
      <c r="I1" s="287"/>
      <c r="J1" s="287"/>
      <c r="K1" s="287"/>
      <c r="L1" s="287"/>
      <c r="M1" s="287"/>
      <c r="N1" s="287"/>
      <c r="O1" s="287"/>
      <c r="P1" s="287"/>
    </row>
    <row r="2" spans="1:20" x14ac:dyDescent="0.25">
      <c r="A2" s="288" t="s">
        <v>199</v>
      </c>
      <c r="B2" s="297"/>
      <c r="C2" s="297"/>
      <c r="D2" s="297"/>
      <c r="E2" s="297"/>
      <c r="F2" s="297"/>
      <c r="G2" s="297"/>
      <c r="H2" s="297"/>
      <c r="I2" s="297"/>
      <c r="J2" s="297"/>
      <c r="K2" s="297"/>
      <c r="L2" s="297"/>
      <c r="M2" s="297"/>
      <c r="N2" s="297"/>
      <c r="O2" s="297"/>
      <c r="P2" s="297"/>
      <c r="Q2" s="297"/>
      <c r="R2" s="297"/>
      <c r="S2" s="297"/>
      <c r="T2" s="297"/>
    </row>
    <row r="4" spans="1:20" x14ac:dyDescent="0.25">
      <c r="A4" s="162" t="str" cm="1">
        <f t="array" ref="A4:B20">oz.Periodsλ()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(oz is assumed to be the module's name)</v>
      </c>
    </row>
    <row r="17" spans="1:4" x14ac:dyDescent="0.25">
      <c r="A17" t="str">
        <v>2</v>
      </c>
      <c r="B17" t="str">
        <v>=oz.Periodsλ("31/7/2026", "15/9/2026")</v>
      </c>
    </row>
    <row r="18" spans="1:4" x14ac:dyDescent="0.25">
      <c r="A18" t="str">
        <v>-2</v>
      </c>
      <c r="B18" t="str">
        <v>=oz.Periodsλ("15/9/2026", "31/7/2026")</v>
      </c>
    </row>
    <row r="19" spans="1:4" x14ac:dyDescent="0.25">
      <c r="A19" t="str">
        <v>-12</v>
      </c>
      <c r="B19" t="str">
        <v>=oz.Periodsλ("15/7/2027", "16/7/2026")</v>
      </c>
    </row>
    <row r="20" spans="1:4" x14ac:dyDescent="0.25">
      <c r="A20" t="str">
        <v>-52</v>
      </c>
      <c r="B20" t="str">
        <v>=oz.Periodsλ("15/7/2027", "16/7/2026", "W")</v>
      </c>
    </row>
    <row r="24" spans="1:4" x14ac:dyDescent="0.25">
      <c r="A24" s="160" t="s">
        <v>250</v>
      </c>
      <c r="B24" s="160" t="s">
        <v>251</v>
      </c>
      <c r="C24" s="161" t="s">
        <v>142</v>
      </c>
      <c r="D24" s="161" t="s">
        <v>141</v>
      </c>
    </row>
    <row r="25" spans="1:4" x14ac:dyDescent="0.25">
      <c r="A25" s="141">
        <v>46262</v>
      </c>
      <c r="B25" s="141">
        <v>46537</v>
      </c>
      <c r="C25" t="s">
        <v>144</v>
      </c>
      <c r="D25" s="162" cm="1">
        <f t="array" ref="D25:D29">oz.Periodsλ(A25:A29,B25:B29,C25:C29)</f>
        <v>9</v>
      </c>
    </row>
    <row r="26" spans="1:4" x14ac:dyDescent="0.25">
      <c r="A26" s="141">
        <v>46386</v>
      </c>
      <c r="B26" s="141">
        <v>46784</v>
      </c>
      <c r="C26" t="s">
        <v>233</v>
      </c>
      <c r="D26">
        <v>5</v>
      </c>
    </row>
    <row r="27" spans="1:4" x14ac:dyDescent="0.25">
      <c r="A27" s="141">
        <v>46204</v>
      </c>
      <c r="B27" s="141">
        <v>47300</v>
      </c>
      <c r="C27" t="s">
        <v>24</v>
      </c>
      <c r="D27">
        <v>3</v>
      </c>
    </row>
    <row r="28" spans="1:4" x14ac:dyDescent="0.25">
      <c r="A28" s="141">
        <v>46325</v>
      </c>
      <c r="B28" s="141">
        <v>46692</v>
      </c>
      <c r="C28" t="s">
        <v>231</v>
      </c>
      <c r="D28">
        <v>53</v>
      </c>
    </row>
    <row r="29" spans="1:4" x14ac:dyDescent="0.25">
      <c r="A29" s="141">
        <v>46446</v>
      </c>
      <c r="B29" s="141">
        <v>46812</v>
      </c>
      <c r="C29" t="s">
        <v>550</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customProperties>
    <customPr name="Description" r:id="rId2"/>
  </customProperties>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287" t="str">
        <f ca="1">_xlfn.TEXTAFTER(CELL("filename",A1),"]")</f>
        <v>oz.PeriodLabelλ</v>
      </c>
      <c r="B1" s="287"/>
      <c r="C1" s="287"/>
      <c r="D1" s="287"/>
      <c r="E1" s="287"/>
      <c r="F1" s="287"/>
      <c r="G1" s="287"/>
      <c r="H1" s="287"/>
      <c r="I1" s="287"/>
      <c r="J1" s="287"/>
      <c r="K1" s="287"/>
      <c r="L1" s="287"/>
      <c r="M1" s="287"/>
      <c r="N1" s="287"/>
      <c r="O1" s="287"/>
      <c r="P1" s="287"/>
    </row>
    <row r="2" spans="1:16" x14ac:dyDescent="0.25">
      <c r="A2" s="288" t="s">
        <v>200</v>
      </c>
      <c r="B2" s="289"/>
      <c r="C2" s="289"/>
      <c r="D2" s="289"/>
      <c r="E2" s="289"/>
      <c r="F2" s="289"/>
      <c r="G2" s="289"/>
      <c r="H2" s="289"/>
      <c r="I2" s="289"/>
      <c r="J2" s="289"/>
      <c r="K2" s="289"/>
      <c r="L2" s="289"/>
      <c r="M2" s="289"/>
      <c r="N2" s="289"/>
      <c r="O2" s="289"/>
      <c r="P2" s="290"/>
    </row>
    <row r="4" spans="1:16" x14ac:dyDescent="0.25">
      <c r="A4" s="162"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149</v>
      </c>
      <c r="B25" t="s">
        <v>253</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252</v>
      </c>
      <c r="B26" s="232" t="s">
        <v>24</v>
      </c>
      <c r="C26" s="162"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287" t="str">
        <f ca="1">_xlfn.TEXTAFTER(CELL("filename",A1),"]")</f>
        <v>oz.ScheduleRatesλ</v>
      </c>
      <c r="B1" s="287"/>
      <c r="C1" s="287"/>
      <c r="D1" s="287"/>
      <c r="E1" s="287"/>
      <c r="F1" s="287"/>
      <c r="G1" s="287"/>
      <c r="H1" s="287"/>
      <c r="I1" s="287"/>
      <c r="J1" s="287"/>
      <c r="K1" s="287"/>
      <c r="L1" s="287"/>
      <c r="M1" s="287"/>
      <c r="N1" s="112"/>
    </row>
    <row r="2" spans="1:15" x14ac:dyDescent="0.25">
      <c r="A2" s="288" t="s">
        <v>201</v>
      </c>
      <c r="B2" s="297"/>
      <c r="C2" s="297"/>
      <c r="D2" s="297"/>
      <c r="E2" s="297"/>
      <c r="F2" s="297"/>
      <c r="G2" s="297"/>
      <c r="H2" s="297"/>
      <c r="I2" s="297"/>
      <c r="J2" s="297"/>
      <c r="K2" s="297"/>
      <c r="L2" s="297"/>
      <c r="M2" s="297"/>
      <c r="N2" s="297"/>
      <c r="O2" s="297"/>
    </row>
    <row r="4" spans="1:15" x14ac:dyDescent="0.25">
      <c r="A4" s="131"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127" t="s">
        <v>150</v>
      </c>
      <c r="F18" s="132" cm="1">
        <f t="array" ref="F18:Q18">oz.Timelineλ($B$21,$B$22,$B$23)</f>
        <v>46204</v>
      </c>
      <c r="G18" s="132">
        <v>46235</v>
      </c>
      <c r="H18" s="132">
        <v>46266</v>
      </c>
      <c r="I18" s="132">
        <v>46296</v>
      </c>
      <c r="J18" s="132">
        <v>46327</v>
      </c>
      <c r="K18" s="132">
        <v>46357</v>
      </c>
      <c r="L18" s="132">
        <v>46388</v>
      </c>
      <c r="M18" s="132">
        <v>46419</v>
      </c>
      <c r="N18" s="132">
        <v>46447</v>
      </c>
      <c r="O18" s="132">
        <v>46478</v>
      </c>
      <c r="P18" s="132">
        <v>46508</v>
      </c>
      <c r="Q18" s="132">
        <v>46539</v>
      </c>
    </row>
    <row r="19" spans="1:17" x14ac:dyDescent="0.25">
      <c r="A19" s="115" t="s">
        <v>137</v>
      </c>
      <c r="B19" s="116" t="s">
        <v>138</v>
      </c>
      <c r="C19" s="115" t="s">
        <v>139</v>
      </c>
      <c r="E19" s="126" t="s">
        <v>151</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283" t="s">
        <v>181</v>
      </c>
      <c r="B20" s="283"/>
      <c r="C20" s="283"/>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144</v>
      </c>
      <c r="C23" t="s">
        <v>153</v>
      </c>
    </row>
    <row r="25" spans="1:17" ht="21" x14ac:dyDescent="0.35">
      <c r="A25" s="283" t="s">
        <v>156</v>
      </c>
      <c r="B25" s="283"/>
      <c r="C25" s="283"/>
    </row>
    <row r="26" spans="1:17" x14ac:dyDescent="0.25">
      <c r="A26" s="133" t="s">
        <v>157</v>
      </c>
      <c r="B26" s="119">
        <v>46204</v>
      </c>
      <c r="C26" t="s">
        <v>145</v>
      </c>
    </row>
    <row r="27" spans="1:17" x14ac:dyDescent="0.25">
      <c r="A27" s="133" t="s">
        <v>158</v>
      </c>
      <c r="B27" s="119">
        <v>46357</v>
      </c>
      <c r="C27" t="s">
        <v>145</v>
      </c>
    </row>
    <row r="28" spans="1:17" x14ac:dyDescent="0.25">
      <c r="A28" s="133" t="s">
        <v>159</v>
      </c>
      <c r="B28" s="124">
        <v>5</v>
      </c>
      <c r="C28" t="s">
        <v>161</v>
      </c>
    </row>
    <row r="29" spans="1:17" x14ac:dyDescent="0.25">
      <c r="A29" s="133" t="s">
        <v>160</v>
      </c>
      <c r="B29" s="124">
        <v>10</v>
      </c>
      <c r="C29" t="s">
        <v>161</v>
      </c>
      <c r="F29" s="131"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283" t="s">
        <v>180</v>
      </c>
      <c r="B33" s="301"/>
      <c r="C33" s="117"/>
    </row>
    <row r="34" spans="1:17" x14ac:dyDescent="0.25">
      <c r="A34" s="280"/>
      <c r="B34" s="282"/>
    </row>
    <row r="35" spans="1:17" x14ac:dyDescent="0.25">
      <c r="A35" s="135" t="s">
        <v>162</v>
      </c>
      <c r="B35" s="125" t="s">
        <v>163</v>
      </c>
      <c r="F35" s="131"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46204</v>
      </c>
      <c r="B36">
        <v>100</v>
      </c>
    </row>
    <row r="37" spans="1:17" x14ac:dyDescent="0.25">
      <c r="A37" s="120">
        <v>46280</v>
      </c>
      <c r="B37">
        <v>125</v>
      </c>
    </row>
    <row r="38" spans="1:17" x14ac:dyDescent="0.25">
      <c r="A38" s="120">
        <v>46371</v>
      </c>
      <c r="B38">
        <v>150</v>
      </c>
    </row>
    <row r="40" spans="1:17" ht="21" x14ac:dyDescent="0.35">
      <c r="A40" s="283" t="s">
        <v>179</v>
      </c>
      <c r="B40" s="300"/>
      <c r="C40" s="301"/>
    </row>
    <row r="41" spans="1:17" x14ac:dyDescent="0.25">
      <c r="A41" s="280"/>
      <c r="B41" s="281"/>
      <c r="C41" s="282"/>
    </row>
    <row r="42" spans="1:17" x14ac:dyDescent="0.25">
      <c r="A42" s="114" t="s">
        <v>164</v>
      </c>
      <c r="B42" s="114" t="s">
        <v>165</v>
      </c>
      <c r="C42" s="114" t="s">
        <v>166</v>
      </c>
      <c r="F42" s="131"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46204</v>
      </c>
      <c r="B43">
        <v>10</v>
      </c>
      <c r="C43">
        <f>SUMIFS(tblUnits[Units Built],tblUnits[Ready Dates],"&lt;=" &amp; tblUnits[[#This Row],[Ready Dates]])</f>
        <v>10</v>
      </c>
    </row>
    <row r="44" spans="1:17" x14ac:dyDescent="0.25">
      <c r="A44" s="120">
        <v>46235</v>
      </c>
      <c r="B44">
        <v>10</v>
      </c>
      <c r="C44">
        <f>SUMIFS(tblUnits[Units Built],tblUnits[Ready Dates],"&lt;=" &amp; tblUnits[[#This Row],[Ready Dates]])</f>
        <v>20</v>
      </c>
    </row>
    <row r="45" spans="1:17" x14ac:dyDescent="0.25">
      <c r="A45" s="120">
        <v>46296</v>
      </c>
      <c r="B45">
        <v>5</v>
      </c>
      <c r="C45">
        <f>SUMIFS(tblUnits[Units Built],tblUnits[Ready Dates],"&lt;=" &amp; tblUnits[[#This Row],[Ready Dates]])</f>
        <v>25</v>
      </c>
    </row>
    <row r="46" spans="1:17" x14ac:dyDescent="0.25">
      <c r="A46" s="120">
        <v>46327</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customProperties>
    <customPr name="Description" r:id="rId2"/>
  </customProperties>
  <drawing r:id="rId3"/>
  <tableParts count="2">
    <tablePart r:id="rId4"/>
    <tablePart r:id="rId5"/>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287" t="str">
        <f ca="1">_xlfn.TEXTAFTER(CELL("filename",A1),"]")</f>
        <v>oz.ScheduleRatesByItemsλ</v>
      </c>
      <c r="B1" s="287"/>
      <c r="C1" s="287"/>
      <c r="D1" s="287"/>
      <c r="E1" s="287"/>
      <c r="F1" s="287"/>
      <c r="G1" s="287"/>
      <c r="H1" s="287"/>
      <c r="I1" s="287"/>
      <c r="J1" s="287"/>
      <c r="K1" s="287"/>
      <c r="L1" s="287"/>
      <c r="M1" s="287"/>
      <c r="N1" s="287"/>
      <c r="O1" s="287"/>
      <c r="P1" s="287"/>
    </row>
    <row r="2" spans="1:16" x14ac:dyDescent="0.25">
      <c r="A2" s="288" t="s">
        <v>202</v>
      </c>
      <c r="B2" s="289"/>
      <c r="C2" s="289"/>
      <c r="D2" s="289"/>
      <c r="E2" s="289"/>
      <c r="F2" s="289"/>
      <c r="G2" s="289"/>
      <c r="H2" s="289"/>
      <c r="I2" s="289"/>
      <c r="J2" s="289"/>
      <c r="K2" s="289"/>
      <c r="L2" s="289"/>
      <c r="M2" s="289"/>
      <c r="N2" s="289"/>
      <c r="O2" s="289"/>
      <c r="P2" s="290"/>
    </row>
    <row r="4" spans="1:16" x14ac:dyDescent="0.25">
      <c r="A4" s="162"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Timelineλ( "1/7/2026"), UNIQUE( tblRates(Unit)),</v>
      </c>
    </row>
    <row r="20" spans="1:20" x14ac:dyDescent="0.25">
      <c r="A20" t="str">
        <v/>
      </c>
      <c r="B20" t="str">
        <v>tblRates[Unit], tblRates[Rent], tblRates[Effective])</v>
      </c>
    </row>
    <row r="22" spans="1:20" ht="21" x14ac:dyDescent="0.35">
      <c r="D22" s="302" t="s">
        <v>355</v>
      </c>
      <c r="E22" s="303"/>
      <c r="F22" s="303"/>
    </row>
    <row r="23" spans="1:20" x14ac:dyDescent="0.25">
      <c r="D23" s="304"/>
      <c r="E23" s="303"/>
      <c r="F23" s="303"/>
      <c r="I23" s="125" t="s">
        <v>254</v>
      </c>
    </row>
    <row r="24" spans="1:20" x14ac:dyDescent="0.25">
      <c r="A24" s="115" t="s">
        <v>6</v>
      </c>
      <c r="B24" s="115" t="s">
        <v>138</v>
      </c>
      <c r="D24" t="s">
        <v>255</v>
      </c>
      <c r="E24" s="114" t="s">
        <v>256</v>
      </c>
      <c r="F24" s="114" t="s">
        <v>257</v>
      </c>
      <c r="H24" s="115" t="s">
        <v>258</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236</v>
      </c>
      <c r="B25" s="163">
        <v>46204</v>
      </c>
      <c r="D25" t="s">
        <v>259</v>
      </c>
      <c r="E25" s="141">
        <v>46227</v>
      </c>
      <c r="F25">
        <v>291</v>
      </c>
      <c r="H25" t="str" cm="1">
        <f t="array" ref="H25:H29">_xlfn._xlws.SORT(_xlfn.UNIQUE(tblItems[Item]))</f>
        <v>Unit 100</v>
      </c>
      <c r="I25" s="162"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46298</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46357</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46357</v>
      </c>
      <c r="F30">
        <v>125</v>
      </c>
    </row>
    <row r="31" spans="1:20" x14ac:dyDescent="0.25">
      <c r="D31" t="s">
        <v>259</v>
      </c>
      <c r="E31" s="141">
        <v>46424</v>
      </c>
      <c r="F31">
        <v>295</v>
      </c>
    </row>
    <row r="32" spans="1:20" x14ac:dyDescent="0.25">
      <c r="D32" t="s">
        <v>262</v>
      </c>
      <c r="E32" s="141">
        <v>46429</v>
      </c>
      <c r="F32">
        <v>250</v>
      </c>
      <c r="J32">
        <f>SIGN(0)</f>
        <v>0</v>
      </c>
    </row>
    <row r="33" spans="4:6" x14ac:dyDescent="0.25">
      <c r="D33" t="s">
        <v>262</v>
      </c>
      <c r="E33" s="141">
        <v>46457</v>
      </c>
      <c r="F33">
        <v>275</v>
      </c>
    </row>
    <row r="34" spans="4:6" x14ac:dyDescent="0.25">
      <c r="D34" t="s">
        <v>260</v>
      </c>
      <c r="E34" s="141">
        <v>46482</v>
      </c>
      <c r="F34">
        <v>325</v>
      </c>
    </row>
    <row r="35" spans="4:6" x14ac:dyDescent="0.25">
      <c r="D35" t="s">
        <v>261</v>
      </c>
      <c r="E35" s="141">
        <v>46500</v>
      </c>
      <c r="F35">
        <v>535</v>
      </c>
    </row>
    <row r="36" spans="4:6" x14ac:dyDescent="0.25">
      <c r="D36" t="s">
        <v>262</v>
      </c>
      <c r="E36" s="141">
        <v>46502</v>
      </c>
      <c r="F36">
        <v>300</v>
      </c>
    </row>
    <row r="37" spans="4:6" x14ac:dyDescent="0.25">
      <c r="D37" t="s">
        <v>263</v>
      </c>
      <c r="E37" s="141">
        <v>46512</v>
      </c>
      <c r="F37">
        <v>150</v>
      </c>
    </row>
    <row r="38" spans="4:6" x14ac:dyDescent="0.25">
      <c r="D38" t="s">
        <v>259</v>
      </c>
      <c r="E38" s="141">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customProperties>
    <customPr name="Description" r:id="rId2"/>
  </customProperties>
  <drawing r:id="rId3"/>
  <tableParts count="1">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287" t="str">
        <f ca="1">_xlfn.TEXTAFTER(CELL("filename",A1),"]")</f>
        <v>oz.ScheduleValuesλ</v>
      </c>
      <c r="B1" s="287"/>
      <c r="C1" s="287"/>
      <c r="D1" s="287"/>
      <c r="E1" s="287"/>
      <c r="F1" s="287"/>
      <c r="G1" s="287"/>
      <c r="H1" s="287"/>
      <c r="I1" s="287"/>
      <c r="J1" s="287"/>
      <c r="K1" s="287"/>
      <c r="L1" s="287"/>
      <c r="M1" s="287"/>
      <c r="N1" s="287"/>
      <c r="O1" s="287"/>
      <c r="P1" s="287"/>
      <c r="Q1" s="287"/>
      <c r="R1" s="287"/>
      <c r="S1" s="287"/>
      <c r="T1" s="287"/>
    </row>
    <row r="2" spans="1:20" x14ac:dyDescent="0.25">
      <c r="A2" s="288" t="s">
        <v>203</v>
      </c>
      <c r="B2" s="289"/>
      <c r="C2" s="289"/>
      <c r="D2" s="289"/>
      <c r="E2" s="289"/>
      <c r="F2" s="289"/>
      <c r="G2" s="289"/>
      <c r="H2" s="289"/>
      <c r="I2" s="289"/>
      <c r="J2" s="289"/>
      <c r="K2" s="289"/>
      <c r="L2" s="289"/>
      <c r="M2" s="289"/>
      <c r="N2" s="289"/>
      <c r="O2" s="289"/>
      <c r="P2" s="290"/>
      <c r="Q2" s="104"/>
      <c r="R2" s="104"/>
      <c r="S2" s="104"/>
      <c r="T2" s="104"/>
    </row>
    <row r="4" spans="1:20" x14ac:dyDescent="0.25">
      <c r="A4" s="162"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305" t="s">
        <v>272</v>
      </c>
      <c r="B17" s="305"/>
      <c r="C17" s="305"/>
      <c r="E17" s="302" t="s">
        <v>278</v>
      </c>
      <c r="F17" s="307"/>
      <c r="G17" s="307"/>
      <c r="H17" s="307"/>
      <c r="I17" s="308"/>
    </row>
    <row r="18" spans="1:24" x14ac:dyDescent="0.25">
      <c r="E18" s="304"/>
      <c r="F18" s="309"/>
      <c r="G18" s="309"/>
      <c r="H18" s="309"/>
      <c r="I18" s="309"/>
      <c r="L18" s="166" t="s">
        <v>279</v>
      </c>
      <c r="M18" s="165" cm="1">
        <f t="array" ref="M18:X18">oz.Timelineλ(B20,B21,B22, FALSE)</f>
        <v>46234</v>
      </c>
      <c r="N18" s="165">
        <v>46265</v>
      </c>
      <c r="O18" s="165">
        <v>46295</v>
      </c>
      <c r="P18" s="165">
        <v>46326</v>
      </c>
      <c r="Q18" s="165">
        <v>46356</v>
      </c>
      <c r="R18" s="165">
        <v>46387</v>
      </c>
      <c r="S18" s="165">
        <v>46418</v>
      </c>
      <c r="T18" s="165">
        <v>46446</v>
      </c>
      <c r="U18" s="165">
        <v>46477</v>
      </c>
      <c r="V18" s="165">
        <v>46507</v>
      </c>
      <c r="W18" s="165">
        <v>46538</v>
      </c>
      <c r="X18" s="165">
        <v>46568</v>
      </c>
    </row>
    <row r="19" spans="1:24" x14ac:dyDescent="0.25">
      <c r="A19" s="161" t="s">
        <v>273</v>
      </c>
      <c r="B19" s="161" t="s">
        <v>138</v>
      </c>
      <c r="C19" s="161" t="s">
        <v>139</v>
      </c>
      <c r="E19" s="114" t="s">
        <v>280</v>
      </c>
      <c r="F19" t="s">
        <v>264</v>
      </c>
      <c r="G19" t="s">
        <v>269</v>
      </c>
      <c r="H19" t="s">
        <v>274</v>
      </c>
      <c r="I19" t="s">
        <v>249</v>
      </c>
      <c r="L19" s="149" t="s">
        <v>276</v>
      </c>
      <c r="M19" s="156"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236</v>
      </c>
      <c r="B20" s="141">
        <v>46204</v>
      </c>
      <c r="C20" t="s">
        <v>145</v>
      </c>
      <c r="E20" cm="1">
        <f t="array" ref="E20">100 + ROW() - ROW(tblCO[#Headers])</f>
        <v>101</v>
      </c>
      <c r="F20" t="s">
        <v>266</v>
      </c>
      <c r="G20" s="141">
        <v>46207</v>
      </c>
      <c r="H20" s="141">
        <f>tblCO[[#This Row],[Issued]]+_xlfn.XLOOKUP(tblCO[[#This Row],[Customer]],tblCT[Customer], tblCT[Terms])</f>
        <v>46237</v>
      </c>
      <c r="I20">
        <v>1000</v>
      </c>
      <c r="K20" s="2" t="s">
        <v>275</v>
      </c>
      <c r="L20">
        <f>SUM(_xlfn.ANCHORARRAY(M20))</f>
        <v>62370</v>
      </c>
      <c r="M20" s="162"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141</v>
      </c>
      <c r="B21">
        <v>12</v>
      </c>
      <c r="C21" t="s">
        <v>146</v>
      </c>
      <c r="E21" cm="1">
        <f t="array" ref="E21">100 + ROW() - ROW(tblCO[#Headers])</f>
        <v>102</v>
      </c>
      <c r="F21" t="s">
        <v>267</v>
      </c>
      <c r="G21" s="141">
        <v>46214</v>
      </c>
      <c r="H21" s="141">
        <f>tblCO[[#This Row],[Issued]]+_xlfn.XLOOKUP(tblCO[[#This Row],[Customer]],tblCT[Customer], tblCT[Terms])</f>
        <v>46334</v>
      </c>
      <c r="I21">
        <v>1197</v>
      </c>
      <c r="K21" s="2" t="s">
        <v>277</v>
      </c>
      <c r="L21">
        <f>SUM(_xlfn.ANCHORARRAY(M21))</f>
        <v>62370</v>
      </c>
      <c r="M21" s="162"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142</v>
      </c>
      <c r="B22" t="s">
        <v>144</v>
      </c>
      <c r="E22" cm="1">
        <f t="array" ref="E22">100 + ROW() - ROW(tblCO[#Headers])</f>
        <v>103</v>
      </c>
      <c r="F22" t="s">
        <v>268</v>
      </c>
      <c r="G22" s="141">
        <v>46221</v>
      </c>
      <c r="H22" s="141">
        <f>tblCO[[#This Row],[Issued]]+_xlfn.XLOOKUP(tblCO[[#This Row],[Customer]],tblCT[Customer], tblCT[Terms])</f>
        <v>46266</v>
      </c>
      <c r="I22">
        <v>1394</v>
      </c>
      <c r="K22" s="2" t="s">
        <v>282</v>
      </c>
      <c r="L22">
        <f>SUM(_xlfn.ANCHORARRAY(M22))</f>
        <v>0</v>
      </c>
      <c r="M22" s="167" cm="1">
        <f t="array" ref="M22:X22">_xlfn.ANCHORARRAY(M20)-_xlfn.ANCHORARRAY(M21)</f>
        <v>5182</v>
      </c>
      <c r="N22" s="167">
        <v>5546</v>
      </c>
      <c r="O22" s="167">
        <v>7107</v>
      </c>
      <c r="P22" s="167">
        <v>3743</v>
      </c>
      <c r="Q22" s="167">
        <v>10062</v>
      </c>
      <c r="R22" s="167">
        <v>-19775</v>
      </c>
      <c r="S22" s="167">
        <v>-7713</v>
      </c>
      <c r="T22" s="167">
        <v>-4152</v>
      </c>
      <c r="U22" s="167">
        <v>0</v>
      </c>
      <c r="V22" s="167">
        <v>0</v>
      </c>
      <c r="W22" s="167">
        <v>0</v>
      </c>
      <c r="X22" s="167">
        <v>0</v>
      </c>
    </row>
    <row r="23" spans="1:24" x14ac:dyDescent="0.25">
      <c r="E23" cm="1">
        <f t="array" ref="E23">100 + ROW() - ROW(tblCO[#Headers])</f>
        <v>104</v>
      </c>
      <c r="F23" t="s">
        <v>318</v>
      </c>
      <c r="G23" s="141">
        <v>46228</v>
      </c>
      <c r="H23" s="141">
        <f>tblCO[[#This Row],[Issued]]+_xlfn.XLOOKUP(tblCO[[#This Row],[Customer]],tblCT[Customer], tblCT[Terms])</f>
        <v>46288</v>
      </c>
      <c r="I23">
        <v>1591</v>
      </c>
      <c r="K23" s="2"/>
    </row>
    <row r="24" spans="1:24" x14ac:dyDescent="0.25">
      <c r="E24" cm="1">
        <f t="array" ref="E24">100 + ROW() - ROW(tblCO[#Headers])</f>
        <v>105</v>
      </c>
      <c r="F24" t="s">
        <v>319</v>
      </c>
      <c r="G24" s="141">
        <v>46235</v>
      </c>
      <c r="H24" s="141">
        <f>tblCO[[#This Row],[Issued]]+_xlfn.XLOOKUP(tblCO[[#This Row],[Customer]],tblCT[Customer], tblCT[Terms])</f>
        <v>46250</v>
      </c>
      <c r="I24">
        <v>1788</v>
      </c>
      <c r="K24" s="2" t="s">
        <v>281</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302" t="s">
        <v>270</v>
      </c>
      <c r="B25" s="306"/>
      <c r="C25" s="306"/>
      <c r="E25" cm="1">
        <f t="array" ref="E25">100 + ROW() - ROW(tblCO[#Headers])</f>
        <v>106</v>
      </c>
      <c r="F25" t="s">
        <v>266</v>
      </c>
      <c r="G25" s="141">
        <v>46242</v>
      </c>
      <c r="H25" s="141">
        <f>tblCO[[#This Row],[Issued]]+_xlfn.XLOOKUP(tblCO[[#This Row],[Customer]],tblCT[Customer], tblCT[Terms])</f>
        <v>46272</v>
      </c>
      <c r="I25">
        <v>1985</v>
      </c>
    </row>
    <row r="26" spans="1:24" x14ac:dyDescent="0.25">
      <c r="A26" s="304"/>
      <c r="B26" s="303"/>
      <c r="C26" s="303"/>
      <c r="E26" cm="1">
        <f t="array" ref="E26">100 + ROW() - ROW(tblCO[#Headers])</f>
        <v>107</v>
      </c>
      <c r="F26" t="s">
        <v>267</v>
      </c>
      <c r="G26" s="141">
        <v>46249</v>
      </c>
      <c r="H26" s="141">
        <f>tblCO[[#This Row],[Issued]]+_xlfn.XLOOKUP(tblCO[[#This Row],[Customer]],tblCT[Customer], tblCT[Terms])</f>
        <v>46369</v>
      </c>
      <c r="I26">
        <v>2182</v>
      </c>
    </row>
    <row r="27" spans="1:24" x14ac:dyDescent="0.25">
      <c r="A27" s="114" t="s">
        <v>271</v>
      </c>
      <c r="B27" t="s">
        <v>264</v>
      </c>
      <c r="C27" s="114" t="s">
        <v>265</v>
      </c>
      <c r="E27" cm="1">
        <f t="array" ref="E27">100 + ROW() - ROW(tblCO[#Headers])</f>
        <v>108</v>
      </c>
      <c r="F27" t="s">
        <v>268</v>
      </c>
      <c r="G27" s="141">
        <v>46256</v>
      </c>
      <c r="H27" s="141">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266</v>
      </c>
      <c r="C28">
        <v>30</v>
      </c>
      <c r="E28" cm="1">
        <f t="array" ref="E28">100 + ROW() - ROW(tblCO[#Headers])</f>
        <v>109</v>
      </c>
      <c r="F28" t="s">
        <v>318</v>
      </c>
      <c r="G28" s="141">
        <v>46266</v>
      </c>
      <c r="H28" s="141">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267</v>
      </c>
      <c r="C29">
        <v>120</v>
      </c>
      <c r="E29" cm="1">
        <f t="array" ref="E29">100 + ROW() - ROW(tblCO[#Headers])</f>
        <v>110</v>
      </c>
      <c r="F29" t="s">
        <v>319</v>
      </c>
      <c r="G29" s="141">
        <v>46273</v>
      </c>
      <c r="H29" s="141">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268</v>
      </c>
      <c r="C30">
        <v>45</v>
      </c>
      <c r="E30" cm="1">
        <f t="array" ref="E30">100 + ROW() - ROW(tblCO[#Headers])</f>
        <v>111</v>
      </c>
      <c r="F30" t="s">
        <v>266</v>
      </c>
      <c r="G30" s="141">
        <v>46280</v>
      </c>
      <c r="H30" s="141">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318</v>
      </c>
      <c r="C31">
        <v>60</v>
      </c>
      <c r="E31" cm="1">
        <f t="array" ref="E31">100 + ROW() - ROW(tblCO[#Headers])</f>
        <v>112</v>
      </c>
      <c r="F31" t="s">
        <v>267</v>
      </c>
      <c r="G31" s="141">
        <v>46287</v>
      </c>
      <c r="H31" s="141">
        <f>tblCO[[#This Row],[Issued]]+_xlfn.XLOOKUP(tblCO[[#This Row],[Customer]],tblCT[Customer], tblCT[Terms])</f>
        <v>46407</v>
      </c>
      <c r="I31">
        <v>3167</v>
      </c>
    </row>
    <row r="32" spans="1:24" x14ac:dyDescent="0.25">
      <c r="A32" cm="1">
        <f t="array" ref="A32">ROW()-ROW(tblCT[#Headers])</f>
        <v>5</v>
      </c>
      <c r="B32" t="s">
        <v>319</v>
      </c>
      <c r="C32">
        <v>15</v>
      </c>
      <c r="E32" cm="1">
        <f t="array" ref="E32">100 + ROW() - ROW(tblCO[#Headers])</f>
        <v>113</v>
      </c>
      <c r="F32" t="s">
        <v>268</v>
      </c>
      <c r="G32" s="141">
        <v>46294</v>
      </c>
      <c r="H32" s="141">
        <f>tblCO[[#This Row],[Issued]]+_xlfn.XLOOKUP(tblCO[[#This Row],[Customer]],tblCT[Customer], tblCT[Terms])</f>
        <v>46339</v>
      </c>
      <c r="I32">
        <v>3364</v>
      </c>
    </row>
    <row r="33" spans="5:9" x14ac:dyDescent="0.25">
      <c r="E33" cm="1">
        <f t="array" ref="E33">100 + ROW() - ROW(tblCO[#Headers])</f>
        <v>114</v>
      </c>
      <c r="F33" t="s">
        <v>318</v>
      </c>
      <c r="G33" s="141">
        <v>46300</v>
      </c>
      <c r="H33" s="141">
        <f>tblCO[[#This Row],[Issued]]+_xlfn.XLOOKUP(tblCO[[#This Row],[Customer]],tblCT[Customer], tblCT[Terms])</f>
        <v>46360</v>
      </c>
      <c r="I33">
        <v>3561</v>
      </c>
    </row>
    <row r="34" spans="5:9" x14ac:dyDescent="0.25">
      <c r="E34" cm="1">
        <f t="array" ref="E34">100 + ROW() - ROW(tblCO[#Headers])</f>
        <v>115</v>
      </c>
      <c r="F34" t="s">
        <v>319</v>
      </c>
      <c r="G34" s="141">
        <v>46307</v>
      </c>
      <c r="H34" s="141">
        <f>tblCO[[#This Row],[Issued]]+_xlfn.XLOOKUP(tblCO[[#This Row],[Customer]],tblCT[Customer], tblCT[Terms])</f>
        <v>46322</v>
      </c>
      <c r="I34">
        <v>3758</v>
      </c>
    </row>
    <row r="35" spans="5:9" x14ac:dyDescent="0.25">
      <c r="E35" cm="1">
        <f t="array" ref="E35">100 + ROW() - ROW(tblCO[#Headers])</f>
        <v>116</v>
      </c>
      <c r="F35" t="s">
        <v>266</v>
      </c>
      <c r="G35" s="141">
        <v>46314</v>
      </c>
      <c r="H35" s="141">
        <f>tblCO[[#This Row],[Issued]]+_xlfn.XLOOKUP(tblCO[[#This Row],[Customer]],tblCT[Customer], tblCT[Terms])</f>
        <v>46344</v>
      </c>
      <c r="I35">
        <v>3955</v>
      </c>
    </row>
    <row r="36" spans="5:9" x14ac:dyDescent="0.25">
      <c r="E36" cm="1">
        <f t="array" ref="E36">100 + ROW() - ROW(tblCO[#Headers])</f>
        <v>117</v>
      </c>
      <c r="F36" t="s">
        <v>267</v>
      </c>
      <c r="G36" s="141">
        <v>46321</v>
      </c>
      <c r="H36" s="141">
        <f>tblCO[[#This Row],[Issued]]+_xlfn.XLOOKUP(tblCO[[#This Row],[Customer]],tblCT[Customer], tblCT[Terms])</f>
        <v>46441</v>
      </c>
      <c r="I36">
        <v>4152</v>
      </c>
    </row>
    <row r="37" spans="5:9" x14ac:dyDescent="0.25">
      <c r="E37" cm="1">
        <f t="array" ref="E37">100 + ROW() - ROW(tblCO[#Headers])</f>
        <v>118</v>
      </c>
      <c r="F37" t="s">
        <v>268</v>
      </c>
      <c r="G37" s="141">
        <v>46329</v>
      </c>
      <c r="H37" s="141">
        <f>tblCO[[#This Row],[Issued]]+_xlfn.XLOOKUP(tblCO[[#This Row],[Customer]],tblCT[Customer], tblCT[Terms])</f>
        <v>46374</v>
      </c>
      <c r="I37">
        <v>4349</v>
      </c>
    </row>
    <row r="38" spans="5:9" x14ac:dyDescent="0.25">
      <c r="E38" cm="1">
        <f t="array" ref="E38">100 + ROW() - ROW(tblCO[#Headers])</f>
        <v>119</v>
      </c>
      <c r="F38" t="s">
        <v>318</v>
      </c>
      <c r="G38" s="141">
        <v>46336</v>
      </c>
      <c r="H38" s="141">
        <f>tblCO[[#This Row],[Issued]]+_xlfn.XLOOKUP(tblCO[[#This Row],[Customer]],tblCT[Customer], tblCT[Terms])</f>
        <v>46396</v>
      </c>
      <c r="I38">
        <v>4546</v>
      </c>
    </row>
    <row r="39" spans="5:9" x14ac:dyDescent="0.25">
      <c r="E39" cm="1">
        <f t="array" ref="E39">100 + ROW() - ROW(tblCO[#Headers])</f>
        <v>120</v>
      </c>
      <c r="F39" t="s">
        <v>319</v>
      </c>
      <c r="G39" s="141">
        <v>46343</v>
      </c>
      <c r="H39" s="141">
        <f>tblCO[[#This Row],[Issued]]+_xlfn.XLOOKUP(tblCO[[#This Row],[Customer]],tblCT[Customer], tblCT[Terms])</f>
        <v>46358</v>
      </c>
      <c r="I39">
        <v>4743</v>
      </c>
    </row>
    <row r="40" spans="5:9" x14ac:dyDescent="0.25">
      <c r="E40" cm="1">
        <f t="array" ref="E40">100 + ROW() - ROW(tblCO[#Headers])</f>
        <v>121</v>
      </c>
      <c r="F40" t="s">
        <v>266</v>
      </c>
      <c r="G40" s="141">
        <v>46350</v>
      </c>
      <c r="H40" s="141">
        <f>tblCO[[#This Row],[Issued]]+_xlfn.XLOOKUP(tblCO[[#This Row],[Customer]],tblCT[Customer], tblCT[Terms])</f>
        <v>46380</v>
      </c>
      <c r="I40">
        <v>4940</v>
      </c>
    </row>
    <row r="41" spans="5:9" x14ac:dyDescent="0.25">
      <c r="E41" s="168" t="s">
        <v>63</v>
      </c>
      <c r="F41" s="168"/>
      <c r="G41" s="169"/>
      <c r="H41" s="169"/>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customProperties>
    <customPr name="Description" r:id="rId2"/>
  </customProperties>
  <drawing r:id="rId3"/>
  <tableParts count="2">
    <tablePart r:id="rId4"/>
    <tablePart r:id="rId5"/>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287" t="str">
        <f ca="1">_xlfn.TEXTAFTER(CELL("filename",A1),"]")</f>
        <v>oz.ScheduleValuesByItemsλ</v>
      </c>
      <c r="B1" s="287"/>
      <c r="C1" s="287"/>
      <c r="D1" s="287"/>
      <c r="E1" s="287"/>
      <c r="F1" s="287"/>
      <c r="G1" s="287"/>
      <c r="H1" s="287"/>
      <c r="I1" s="287"/>
      <c r="J1" s="287"/>
      <c r="K1" s="287"/>
      <c r="L1" s="287"/>
      <c r="M1" s="287"/>
      <c r="N1" s="287"/>
      <c r="O1" s="287"/>
      <c r="P1" s="287"/>
      <c r="Q1" s="287"/>
    </row>
    <row r="2" spans="1:17" x14ac:dyDescent="0.25">
      <c r="A2" s="288" t="s">
        <v>204</v>
      </c>
      <c r="B2" s="289"/>
      <c r="C2" s="289"/>
      <c r="D2" s="289"/>
      <c r="E2" s="289"/>
      <c r="F2" s="289"/>
      <c r="G2" s="289"/>
      <c r="H2" s="289"/>
      <c r="I2" s="289"/>
      <c r="J2" s="289"/>
      <c r="K2" s="289"/>
      <c r="L2" s="289"/>
      <c r="M2" s="289"/>
      <c r="N2" s="289"/>
      <c r="O2" s="289"/>
      <c r="P2" s="289"/>
      <c r="Q2" s="290"/>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Timelineλ( "1/7/2026"), Timelineλ( "1/7/2026",,,FALSE),</v>
      </c>
    </row>
    <row r="19" spans="1:24" x14ac:dyDescent="0.25">
      <c r="A19" t="str">
        <v/>
      </c>
      <c r="B19" t="str">
        <v>UNIQUE( tblExp(Items)), tblExp[Items], tblExp[Dates], tblExp[Amount])</v>
      </c>
    </row>
    <row r="22" spans="1:24" ht="21" x14ac:dyDescent="0.35">
      <c r="A22" s="305" t="s">
        <v>272</v>
      </c>
      <c r="B22" s="305"/>
      <c r="C22" s="305"/>
      <c r="E22" s="291" t="s">
        <v>278</v>
      </c>
      <c r="F22" s="310"/>
      <c r="G22" s="310"/>
      <c r="H22" s="310"/>
      <c r="I22" s="292"/>
      <c r="L22" s="166" t="s">
        <v>279</v>
      </c>
      <c r="M22" s="170" cm="1">
        <f t="array" ref="M22:X22">oz.Timelineλ($B$25, $B$26, $B$27, FALSE)</f>
        <v>46234</v>
      </c>
      <c r="N22" s="170">
        <v>46265</v>
      </c>
      <c r="O22" s="170">
        <v>46295</v>
      </c>
      <c r="P22" s="170">
        <v>46326</v>
      </c>
      <c r="Q22" s="170">
        <v>46356</v>
      </c>
      <c r="R22" s="170">
        <v>46387</v>
      </c>
      <c r="S22" s="170">
        <v>46418</v>
      </c>
      <c r="T22" s="170">
        <v>46446</v>
      </c>
      <c r="U22" s="170">
        <v>46477</v>
      </c>
      <c r="V22" s="170">
        <v>46507</v>
      </c>
      <c r="W22" s="170">
        <v>46538</v>
      </c>
      <c r="X22" s="170">
        <v>46568</v>
      </c>
    </row>
    <row r="23" spans="1:24" x14ac:dyDescent="0.25">
      <c r="K23" s="161" t="s">
        <v>264</v>
      </c>
      <c r="L23" s="149" t="s">
        <v>276</v>
      </c>
      <c r="M23" s="156"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161" t="s">
        <v>273</v>
      </c>
      <c r="B24" s="161" t="s">
        <v>138</v>
      </c>
      <c r="C24" s="161" t="s">
        <v>139</v>
      </c>
      <c r="E24" s="160" t="str" cm="1">
        <f t="array" ref="E24:I46">tblCO[#All]</f>
        <v>Inv.#</v>
      </c>
      <c r="F24" s="160" t="str">
        <v>Customer</v>
      </c>
      <c r="G24" s="160" t="str">
        <v>Issued</v>
      </c>
      <c r="H24" s="160" t="str">
        <v>Exp. Receipt</v>
      </c>
      <c r="I24" s="160" t="str">
        <v>Amount</v>
      </c>
      <c r="L24" s="125" t="s">
        <v>275</v>
      </c>
    </row>
    <row r="25" spans="1:24" x14ac:dyDescent="0.25">
      <c r="A25" t="s">
        <v>236</v>
      </c>
      <c r="B25" s="141">
        <v>46204</v>
      </c>
      <c r="C25" t="s">
        <v>145</v>
      </c>
      <c r="E25">
        <v>101</v>
      </c>
      <c r="F25" t="str">
        <v>ACME</v>
      </c>
      <c r="G25" s="141">
        <v>46207</v>
      </c>
      <c r="H25" s="141">
        <v>46237</v>
      </c>
      <c r="I25">
        <v>1000</v>
      </c>
      <c r="K25" t="str" cm="1">
        <f t="array" ref="K25:K29">tblCT[Customer]</f>
        <v>ACME</v>
      </c>
      <c r="L25" cm="1">
        <f t="array" ref="L25:L29">oz.SumRowsλ(_xlfn.ANCHORARRAY(M25))</f>
        <v>14850</v>
      </c>
      <c r="M25" s="162"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141</v>
      </c>
      <c r="B26">
        <v>12</v>
      </c>
      <c r="C26" t="s">
        <v>146</v>
      </c>
      <c r="E26">
        <v>102</v>
      </c>
      <c r="F26" t="str">
        <v>Wool*Art</v>
      </c>
      <c r="G26" s="141">
        <v>46214</v>
      </c>
      <c r="H26" s="141">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142</v>
      </c>
      <c r="B27" t="s">
        <v>144</v>
      </c>
      <c r="E27">
        <v>103</v>
      </c>
      <c r="F27" t="str">
        <v>Town Hall</v>
      </c>
      <c r="G27" s="141">
        <v>46221</v>
      </c>
      <c r="H27" s="141">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141">
        <v>46228</v>
      </c>
      <c r="H28" s="141">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141">
        <v>46235</v>
      </c>
      <c r="H29" s="141">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311" t="s">
        <v>270</v>
      </c>
      <c r="B30" s="312"/>
      <c r="C30" s="312"/>
      <c r="E30">
        <v>106</v>
      </c>
      <c r="F30" t="str">
        <v>ACME</v>
      </c>
      <c r="G30" s="141">
        <v>46242</v>
      </c>
      <c r="H30" s="141">
        <v>46272</v>
      </c>
      <c r="I30">
        <v>1985</v>
      </c>
      <c r="K30" s="167" t="s">
        <v>283</v>
      </c>
      <c r="L30" s="167">
        <f>SUM(_xlfn.ANCHORARRAY(M30))</f>
        <v>62370</v>
      </c>
      <c r="M30" s="167" cm="1">
        <f t="array" ref="M30:X30">oz.SumColsλ(_xlfn.ANCHORARRAY(M25))</f>
        <v>5182</v>
      </c>
      <c r="N30" s="167">
        <v>8334</v>
      </c>
      <c r="O30" s="167">
        <v>14850</v>
      </c>
      <c r="P30" s="167">
        <v>15426</v>
      </c>
      <c r="Q30" s="167">
        <v>18578</v>
      </c>
      <c r="R30" s="167">
        <v>0</v>
      </c>
      <c r="S30" s="167">
        <v>0</v>
      </c>
      <c r="T30" s="167">
        <v>0</v>
      </c>
      <c r="U30" s="167">
        <v>0</v>
      </c>
      <c r="V30" s="167">
        <v>0</v>
      </c>
      <c r="W30" s="167">
        <v>0</v>
      </c>
      <c r="X30" s="167">
        <v>0</v>
      </c>
    </row>
    <row r="31" spans="1:24" x14ac:dyDescent="0.25">
      <c r="E31">
        <v>107</v>
      </c>
      <c r="F31" t="str">
        <v>Wool*Art</v>
      </c>
      <c r="G31" s="141">
        <v>46249</v>
      </c>
      <c r="H31" s="141">
        <v>46369</v>
      </c>
      <c r="I31">
        <v>2182</v>
      </c>
    </row>
    <row r="32" spans="1:24" x14ac:dyDescent="0.25">
      <c r="A32" s="160" t="str" cm="1">
        <f t="array" ref="A32:C37">tblCT[#All]</f>
        <v>ID#</v>
      </c>
      <c r="B32" s="161" t="str">
        <v>Customer</v>
      </c>
      <c r="C32" s="160" t="str">
        <v>Terms</v>
      </c>
      <c r="E32">
        <v>108</v>
      </c>
      <c r="F32" t="str">
        <v>Town Hall</v>
      </c>
      <c r="G32" s="141">
        <v>46256</v>
      </c>
      <c r="H32" s="141">
        <v>46301</v>
      </c>
      <c r="I32">
        <v>2379</v>
      </c>
      <c r="L32" s="125" t="s">
        <v>284</v>
      </c>
    </row>
    <row r="33" spans="1:24" x14ac:dyDescent="0.25">
      <c r="A33">
        <v>1</v>
      </c>
      <c r="B33" t="str">
        <v>ACME</v>
      </c>
      <c r="C33">
        <v>30</v>
      </c>
      <c r="E33">
        <v>109</v>
      </c>
      <c r="F33" t="str">
        <v>Jacqie Penee</v>
      </c>
      <c r="G33" s="141">
        <v>46266</v>
      </c>
      <c r="H33" s="141">
        <v>46326</v>
      </c>
      <c r="I33">
        <v>2576</v>
      </c>
      <c r="K33" t="str" cm="1">
        <f t="array" ref="K33:K37">tblCT[Customer]</f>
        <v>ACME</v>
      </c>
      <c r="L33" cm="1">
        <f t="array" ref="L33:L37">oz.SumRowsλ(_xlfn.ANCHORARRAY(M33))</f>
        <v>14850</v>
      </c>
      <c r="M33" s="162"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141">
        <v>46273</v>
      </c>
      <c r="H34" s="141">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141">
        <v>46280</v>
      </c>
      <c r="H35" s="141">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141">
        <v>46287</v>
      </c>
      <c r="H36" s="141">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141">
        <v>46294</v>
      </c>
      <c r="H37" s="141">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141">
        <v>46300</v>
      </c>
      <c r="H38" s="141">
        <v>46360</v>
      </c>
      <c r="I38">
        <v>3561</v>
      </c>
      <c r="K38" s="167" t="s">
        <v>283</v>
      </c>
      <c r="L38" s="167">
        <f>SUM(_xlfn.ANCHORARRAY(M38))</f>
        <v>62370</v>
      </c>
      <c r="M38" s="167" cm="1">
        <f t="array" ref="M38:X38">oz.SumColsλ(_xlfn.ANCHORARRAY(M33))</f>
        <v>0</v>
      </c>
      <c r="N38" s="167">
        <v>2788</v>
      </c>
      <c r="O38" s="167">
        <v>7743</v>
      </c>
      <c r="P38" s="167">
        <v>11683</v>
      </c>
      <c r="Q38" s="167">
        <v>8516</v>
      </c>
      <c r="R38" s="167">
        <v>19775</v>
      </c>
      <c r="S38" s="167">
        <v>7713</v>
      </c>
      <c r="T38" s="167">
        <v>4152</v>
      </c>
      <c r="U38" s="167">
        <v>0</v>
      </c>
      <c r="V38" s="167">
        <v>0</v>
      </c>
      <c r="W38" s="167">
        <v>0</v>
      </c>
      <c r="X38" s="167">
        <v>0</v>
      </c>
    </row>
    <row r="39" spans="1:24" x14ac:dyDescent="0.25">
      <c r="E39">
        <v>115</v>
      </c>
      <c r="F39" t="str">
        <v>Amazonia</v>
      </c>
      <c r="G39" s="141">
        <v>46307</v>
      </c>
      <c r="H39" s="141">
        <v>46322</v>
      </c>
      <c r="I39">
        <v>3758</v>
      </c>
    </row>
    <row r="40" spans="1:24" ht="15.75" thickBot="1" x14ac:dyDescent="0.3">
      <c r="E40">
        <v>116</v>
      </c>
      <c r="F40" t="str">
        <v>ACME</v>
      </c>
      <c r="G40" s="141">
        <v>46314</v>
      </c>
      <c r="H40" s="141">
        <v>46344</v>
      </c>
      <c r="I40">
        <v>3955</v>
      </c>
      <c r="L40" s="125" t="s">
        <v>282</v>
      </c>
      <c r="M40" s="171" cm="1">
        <f t="array" ref="M40:X40">_xlfn.ANCHORARRAY(M30)-_xlfn.ANCHORARRAY(M38)</f>
        <v>5182</v>
      </c>
      <c r="N40" s="171">
        <v>5546</v>
      </c>
      <c r="O40" s="171">
        <v>7107</v>
      </c>
      <c r="P40" s="171">
        <v>3743</v>
      </c>
      <c r="Q40" s="171">
        <v>10062</v>
      </c>
      <c r="R40" s="171">
        <v>-19775</v>
      </c>
      <c r="S40" s="171">
        <v>-7713</v>
      </c>
      <c r="T40" s="171">
        <v>-4152</v>
      </c>
      <c r="U40" s="171">
        <v>0</v>
      </c>
      <c r="V40" s="171">
        <v>0</v>
      </c>
      <c r="W40" s="171">
        <v>0</v>
      </c>
      <c r="X40" s="171">
        <v>0</v>
      </c>
    </row>
    <row r="41" spans="1:24" ht="15.75" thickTop="1" x14ac:dyDescent="0.25">
      <c r="E41">
        <v>117</v>
      </c>
      <c r="F41" t="str">
        <v>Wool*Art</v>
      </c>
      <c r="G41" s="141">
        <v>46321</v>
      </c>
      <c r="H41" s="141">
        <v>46441</v>
      </c>
      <c r="I41">
        <v>4152</v>
      </c>
    </row>
    <row r="42" spans="1:24" x14ac:dyDescent="0.25">
      <c r="E42">
        <v>118</v>
      </c>
      <c r="F42" t="str">
        <v>Town Hall</v>
      </c>
      <c r="G42" s="141">
        <v>46329</v>
      </c>
      <c r="H42" s="141">
        <v>46374</v>
      </c>
      <c r="I42">
        <v>4349</v>
      </c>
      <c r="L42" s="125" t="s">
        <v>281</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141">
        <v>46336</v>
      </c>
      <c r="H43" s="141">
        <v>46396</v>
      </c>
      <c r="I43">
        <v>4546</v>
      </c>
    </row>
    <row r="44" spans="1:24" x14ac:dyDescent="0.25">
      <c r="E44">
        <v>120</v>
      </c>
      <c r="F44" t="str">
        <v>Amazonia</v>
      </c>
      <c r="G44" s="141">
        <v>46343</v>
      </c>
      <c r="H44" s="141">
        <v>46358</v>
      </c>
      <c r="I44">
        <v>4743</v>
      </c>
    </row>
    <row r="45" spans="1:24" x14ac:dyDescent="0.25">
      <c r="E45">
        <v>121</v>
      </c>
      <c r="F45" t="str">
        <v>ACME</v>
      </c>
      <c r="G45" s="141">
        <v>46350</v>
      </c>
      <c r="H45" s="141">
        <v>46380</v>
      </c>
      <c r="I45">
        <v>4940</v>
      </c>
    </row>
    <row r="46" spans="1:24" x14ac:dyDescent="0.25">
      <c r="E46" s="205" t="str">
        <v>Total</v>
      </c>
      <c r="F46" s="205">
        <v>0</v>
      </c>
      <c r="G46" s="206">
        <v>0</v>
      </c>
      <c r="H46" s="206">
        <v>0</v>
      </c>
      <c r="I46" s="167">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customProperties>
    <customPr name="Description"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287" t="str">
        <f ca="1">_xlfn.TEXTAFTER(CELL("filename",A1),"]")</f>
        <v>oz.Timelineλ</v>
      </c>
      <c r="B1" s="287"/>
      <c r="C1" s="287"/>
      <c r="D1" s="287"/>
      <c r="E1" s="287"/>
      <c r="F1" s="287"/>
      <c r="G1" s="287"/>
      <c r="H1" s="287"/>
      <c r="I1" s="287"/>
      <c r="J1" s="287"/>
      <c r="K1" s="287"/>
      <c r="L1" s="287"/>
      <c r="M1" s="287"/>
      <c r="N1" s="287"/>
    </row>
    <row r="2" spans="1:17" x14ac:dyDescent="0.25">
      <c r="A2" s="288" t="s">
        <v>205</v>
      </c>
      <c r="B2" s="297"/>
      <c r="C2" s="297"/>
      <c r="D2" s="297"/>
      <c r="E2" s="297"/>
      <c r="F2" s="297"/>
      <c r="G2" s="297"/>
      <c r="H2" s="297"/>
      <c r="I2" s="297"/>
      <c r="J2" s="297"/>
      <c r="K2" s="297"/>
      <c r="L2" s="297"/>
      <c r="M2" s="297"/>
      <c r="N2" s="297"/>
      <c r="O2" s="297"/>
      <c r="P2" s="297"/>
      <c r="Q2" s="297"/>
    </row>
    <row r="3" spans="1:17" x14ac:dyDescent="0.25">
      <c r="A3" s="296"/>
      <c r="B3" s="296"/>
      <c r="C3" s="296"/>
      <c r="D3" s="296"/>
      <c r="E3" s="296"/>
      <c r="F3" s="296"/>
      <c r="G3" s="296"/>
      <c r="H3" s="296"/>
      <c r="I3" s="296"/>
      <c r="J3" s="296"/>
      <c r="K3" s="296"/>
      <c r="L3" s="296"/>
      <c r="M3" s="296"/>
      <c r="N3" s="296"/>
    </row>
    <row r="4" spans="1:17" x14ac:dyDescent="0.25">
      <c r="A4" s="131"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149</v>
      </c>
    </row>
    <row r="19" spans="1:16" x14ac:dyDescent="0.25">
      <c r="A19" s="115" t="s">
        <v>137</v>
      </c>
      <c r="B19" s="116" t="s">
        <v>138</v>
      </c>
      <c r="C19" s="115" t="s">
        <v>139</v>
      </c>
      <c r="E19" s="136"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140</v>
      </c>
      <c r="B20" s="119">
        <v>46204</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D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287" t="str">
        <f ca="1">_xlfn.TEXTAFTER(CELL("filename",A1),"]")</f>
        <v>oz.Amortiseλ</v>
      </c>
      <c r="B1" s="287"/>
      <c r="C1" s="287"/>
      <c r="D1" s="287"/>
      <c r="E1" s="287"/>
      <c r="F1" s="287"/>
      <c r="G1" s="287"/>
      <c r="H1" s="287"/>
      <c r="I1" s="287"/>
      <c r="J1" s="287"/>
      <c r="K1" s="287"/>
      <c r="L1" s="287"/>
      <c r="M1" s="287"/>
      <c r="N1" s="287"/>
      <c r="O1" s="287"/>
      <c r="P1" s="287"/>
    </row>
    <row r="2" spans="1:17" x14ac:dyDescent="0.25">
      <c r="A2" s="288" t="s">
        <v>206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313"/>
      <c r="L3" s="313"/>
      <c r="M3" s="313"/>
      <c r="N3" s="313"/>
      <c r="O3" s="313"/>
      <c r="P3" s="313"/>
    </row>
    <row r="4" spans="1:17" x14ac:dyDescent="0.25">
      <c r="A4" s="131" t="str" cm="1">
        <f t="array" ref="A4:B19">oz.Amortiseλ()</f>
        <v>FUNCTION:</v>
      </c>
      <c r="B4" t="str">
        <v>Amortiseλ( Principals, APRs, Terms, StartDates, [Timeline])</v>
      </c>
      <c r="K4" s="313"/>
      <c r="L4" s="313"/>
      <c r="M4" s="313"/>
      <c r="N4" s="313"/>
      <c r="O4" s="313"/>
      <c r="P4" s="313"/>
    </row>
    <row r="5" spans="1:17" x14ac:dyDescent="0.25">
      <c r="A5" t="str">
        <v>DESCRIPTION:</v>
      </c>
      <c r="B5" t="str">
        <v>Creates an amortisation schedule array for one or more loans.</v>
      </c>
      <c r="K5" s="313"/>
      <c r="L5" s="313"/>
      <c r="M5" s="313"/>
      <c r="N5" s="313"/>
      <c r="O5" s="313"/>
      <c r="P5" s="313"/>
    </row>
    <row r="6" spans="1:17" x14ac:dyDescent="0.25">
      <c r="A6" t="str">
        <v/>
      </c>
      <c r="B6" t="str">
        <v>Payments are assumed monthly. On periods shorter than a month the figures for each month land in the period holding its start, the rest nil.</v>
      </c>
      <c r="K6" s="313"/>
      <c r="L6" s="313"/>
      <c r="M6" s="313"/>
      <c r="N6" s="313"/>
      <c r="O6" s="313"/>
      <c r="P6" s="313"/>
    </row>
    <row r="7" spans="1:17" x14ac:dyDescent="0.25">
      <c r="A7" t="str">
        <v/>
      </c>
      <c r="B7" t="str">
        <v>Use LabelAmortiseλ() to apply labels to this function's results:</v>
      </c>
      <c r="K7" s="313"/>
      <c r="L7" s="313"/>
      <c r="M7" s="313"/>
      <c r="N7" s="313"/>
      <c r="O7" s="313"/>
      <c r="P7" s="313"/>
    </row>
    <row r="8" spans="1:17" x14ac:dyDescent="0.25">
      <c r="A8" t="str">
        <v/>
      </c>
      <c r="B8" t="str">
        <v>Use SumAmortiseλ() to apply totals to this function's results:</v>
      </c>
      <c r="K8" s="313"/>
      <c r="L8" s="313"/>
      <c r="M8" s="313"/>
      <c r="N8" s="313"/>
      <c r="O8" s="313"/>
      <c r="P8" s="313"/>
    </row>
    <row r="9" spans="1:17" x14ac:dyDescent="0.25">
      <c r="A9" t="str">
        <v>WEBPAGE:</v>
      </c>
      <c r="B9" t="str">
        <v>https://github.com/ryanduguid/Ozzit</v>
      </c>
      <c r="K9" s="313"/>
      <c r="L9" s="313"/>
      <c r="M9" s="313"/>
      <c r="N9" s="313"/>
      <c r="O9" s="313"/>
      <c r="P9" s="313"/>
    </row>
    <row r="10" spans="1:17" x14ac:dyDescent="0.25">
      <c r="A10" t="str">
        <v>VERSION:</v>
      </c>
      <c r="B10" t="str">
        <v>20 Aug 2026</v>
      </c>
      <c r="K10" s="313"/>
      <c r="L10" s="313"/>
      <c r="M10" s="313"/>
      <c r="N10" s="313"/>
      <c r="O10" s="313"/>
      <c r="P10" s="313"/>
    </row>
    <row r="11" spans="1:17" x14ac:dyDescent="0.25">
      <c r="A11" t="str">
        <v>PARAMETERS:</v>
      </c>
      <c r="B11" t="str">
        <v/>
      </c>
      <c r="K11" s="313"/>
      <c r="L11" s="313"/>
      <c r="M11" s="313"/>
      <c r="N11" s="313"/>
      <c r="O11" s="313"/>
      <c r="P11" s="313"/>
    </row>
    <row r="12" spans="1:17" x14ac:dyDescent="0.25">
      <c r="A12" t="str">
        <v>Principals</v>
      </c>
      <c r="B12" t="str">
        <v>(Required) Loan/debt amounts.</v>
      </c>
      <c r="K12" s="313"/>
      <c r="L12" s="313"/>
      <c r="M12" s="313"/>
      <c r="N12" s="313"/>
      <c r="O12" s="313"/>
      <c r="P12" s="313"/>
    </row>
    <row r="13" spans="1:17" x14ac:dyDescent="0.25">
      <c r="A13" t="str">
        <v>APRs</v>
      </c>
      <c r="B13" t="str">
        <v>(Required) Annual Percentage Rates for interest.</v>
      </c>
      <c r="K13" s="313"/>
      <c r="L13" s="313"/>
      <c r="M13" s="313"/>
      <c r="N13" s="313"/>
      <c r="O13" s="313"/>
      <c r="P13" s="313"/>
    </row>
    <row r="14" spans="1:17" x14ac:dyDescent="0.25">
      <c r="A14" t="str">
        <v>Terms</v>
      </c>
      <c r="B14" t="str">
        <v>(Required) Number of months for loans/debts.</v>
      </c>
      <c r="K14" s="313"/>
      <c r="L14" s="313"/>
      <c r="M14" s="313"/>
      <c r="N14" s="313"/>
      <c r="O14" s="313"/>
      <c r="P14" s="313"/>
    </row>
    <row r="15" spans="1:17" x14ac:dyDescent="0.25">
      <c r="A15" t="str">
        <v>StartDates</v>
      </c>
      <c r="B15" t="str">
        <v>(Required) Dates debts are issued.</v>
      </c>
      <c r="K15" s="313"/>
      <c r="L15" s="313"/>
      <c r="M15" s="313"/>
      <c r="N15" s="313"/>
      <c r="O15" s="313"/>
      <c r="P15" s="313"/>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(oz is assumed to be the module's name)</v>
      </c>
    </row>
    <row r="19" spans="1:127" x14ac:dyDescent="0.25">
      <c r="A19" t="str">
        <v/>
      </c>
      <c r="B19" t="str">
        <v>=oz.Amortiseλ(10000, 5%, 4 * 12, "2026-07-01")</v>
      </c>
    </row>
    <row r="21" spans="1:127" ht="21" x14ac:dyDescent="0.35">
      <c r="A21" s="302" t="s">
        <v>317</v>
      </c>
      <c r="B21" s="306"/>
      <c r="C21" s="306"/>
      <c r="D21" s="306"/>
      <c r="E21" s="306"/>
    </row>
    <row r="22" spans="1:127" x14ac:dyDescent="0.25">
      <c r="A22" s="304"/>
      <c r="B22" s="303"/>
      <c r="C22" s="303"/>
      <c r="D22" s="303"/>
      <c r="E22" s="303"/>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51216</v>
      </c>
      <c r="C24" s="179">
        <v>7.0000000000000007E-2</v>
      </c>
      <c r="D24" s="180">
        <v>10</v>
      </c>
      <c r="E24" s="181">
        <v>46266</v>
      </c>
      <c r="G24" s="182" t="str" cm="1">
        <f t="array" ref="G24:G43">oz.LabelAmortiseλ(tblLoans[Description])</f>
        <v>Renovation Debt Issuance</v>
      </c>
      <c r="H24" s="186" cm="1">
        <f t="array" ref="H24:H43">oz.SumAmortiseλ(_xlfn.ANCHORARRAY(I24))</f>
        <v>0</v>
      </c>
      <c r="I24" s="187"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customProperties>
    <customPr name="Description" r:id="rId2"/>
  </customProperties>
  <drawing r:id="rId3"/>
  <tableParts count="1">
    <tablePart r:id="rId4"/>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287" t="str">
        <f ca="1">_xlfn.TEXTAFTER(CELL("filename",A1),"]")</f>
        <v>oz.LabelAmortiseλ</v>
      </c>
      <c r="B1" s="287"/>
      <c r="C1" s="287"/>
      <c r="D1" s="287"/>
      <c r="E1" s="287"/>
      <c r="F1" s="287"/>
      <c r="G1" s="287"/>
      <c r="H1" s="287"/>
      <c r="I1" s="287"/>
      <c r="J1" s="287"/>
      <c r="K1" s="287"/>
      <c r="L1" s="287"/>
      <c r="M1" s="287"/>
      <c r="N1" s="287"/>
      <c r="O1" s="287"/>
      <c r="P1" s="287"/>
    </row>
    <row r="2" spans="1:18" x14ac:dyDescent="0.25">
      <c r="A2" s="288" t="s">
        <v>215</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311" t="s">
        <v>317</v>
      </c>
      <c r="B21" s="312"/>
      <c r="C21" s="312"/>
      <c r="D21" s="312"/>
      <c r="E21" s="31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213" t="str">
        <v>Renovation</v>
      </c>
      <c r="B24" s="214">
        <v>51216</v>
      </c>
      <c r="C24" s="215">
        <v>7.0000000000000007E-2</v>
      </c>
      <c r="D24" s="216">
        <v>10</v>
      </c>
      <c r="E24" s="217">
        <v>46266</v>
      </c>
      <c r="G24" s="229" t="str" cm="1">
        <f t="array" ref="G24:G43">oz.LabelAmortiseλ(tblLoans[Description])</f>
        <v>Renovation Debt Issuance</v>
      </c>
      <c r="H24" s="202"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46218</v>
      </c>
      <c r="C25" s="220">
        <v>6.5000000000000002E-2</v>
      </c>
      <c r="D25" s="221">
        <v>10</v>
      </c>
      <c r="E25" s="222">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customProperties>
    <customPr name="Description" r:id="rId2"/>
  </customProperties>
  <drawing r:id="rId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DX43"/>
  <sheetViews>
    <sheetView showGridLines="0" workbookViewId="0">
      <selection sqref="A1:P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287" t="str">
        <f ca="1">_xlfn.TEXTAFTER(CELL("filename",A1),"]")</f>
        <v>oz.SumAmortiseλ</v>
      </c>
      <c r="B1" s="287"/>
      <c r="C1" s="287"/>
      <c r="D1" s="287"/>
      <c r="E1" s="287"/>
      <c r="F1" s="287"/>
      <c r="G1" s="287"/>
      <c r="H1" s="287"/>
      <c r="I1" s="287"/>
      <c r="J1" s="287"/>
      <c r="K1" s="287"/>
      <c r="L1" s="287"/>
      <c r="M1" s="287"/>
      <c r="N1" s="287"/>
      <c r="O1" s="287"/>
      <c r="P1" s="287"/>
    </row>
    <row r="2" spans="1:17" x14ac:dyDescent="0.25">
      <c r="A2" s="288" t="s">
        <v>212</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128" ht="21" x14ac:dyDescent="0.35">
      <c r="A21" s="305" t="s">
        <v>317</v>
      </c>
      <c r="B21" s="305"/>
      <c r="C21" s="305"/>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51216</v>
      </c>
      <c r="C24" s="179">
        <v>7.0000000000000007E-2</v>
      </c>
      <c r="D24" s="180">
        <v>10</v>
      </c>
      <c r="E24" s="181">
        <v>46266</v>
      </c>
      <c r="G24" s="182" t="str" cm="1">
        <f t="array" ref="G24:G43">oz.LabelAmortiseλ(tblLoans[Description])</f>
        <v>Renovation Debt Issuance</v>
      </c>
      <c r="H24" s="187"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customProperties>
    <customPr name="Description" r:id="rId2"/>
  </customProperties>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oz.Corkscrewλ</v>
      </c>
      <c r="B1" s="287"/>
      <c r="C1" s="287"/>
      <c r="D1" s="287"/>
      <c r="E1" s="287"/>
      <c r="F1" s="287"/>
      <c r="G1" s="287"/>
      <c r="H1" s="287"/>
      <c r="I1" s="287"/>
      <c r="J1" s="287"/>
      <c r="K1" s="287"/>
      <c r="L1" s="287"/>
      <c r="M1" s="287"/>
      <c r="N1" s="287"/>
      <c r="O1" s="287"/>
      <c r="P1" s="287"/>
      <c r="Q1" s="287"/>
      <c r="R1" s="287"/>
      <c r="S1" s="287"/>
    </row>
    <row r="2" spans="1:19" x14ac:dyDescent="0.25">
      <c r="A2" s="288" t="s">
        <v>207</v>
      </c>
      <c r="B2" s="289"/>
      <c r="C2" s="289"/>
      <c r="D2" s="289"/>
      <c r="E2" s="289"/>
      <c r="F2" s="289"/>
      <c r="G2" s="289"/>
      <c r="H2" s="289"/>
      <c r="I2" s="289"/>
      <c r="J2" s="289"/>
      <c r="K2" s="289"/>
      <c r="L2" s="289"/>
      <c r="M2" s="289"/>
      <c r="N2" s="289"/>
      <c r="O2" s="289"/>
      <c r="P2" s="290"/>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305" t="s">
        <v>272</v>
      </c>
      <c r="B22" s="305"/>
      <c r="C22" s="305"/>
    </row>
    <row r="23" spans="1:18" x14ac:dyDescent="0.25">
      <c r="F23" s="191" t="s">
        <v>279</v>
      </c>
      <c r="G23" s="165" cm="1">
        <f t="array" ref="G23:R23">oz.Timelineλ($B$25, $B$26, $B$27, FALSE)</f>
        <v>46234</v>
      </c>
      <c r="H23" s="165">
        <v>46265</v>
      </c>
      <c r="I23" s="165">
        <v>46295</v>
      </c>
      <c r="J23" s="165">
        <v>46326</v>
      </c>
      <c r="K23" s="165">
        <v>46356</v>
      </c>
      <c r="L23" s="165">
        <v>46387</v>
      </c>
      <c r="M23" s="165">
        <v>46418</v>
      </c>
      <c r="N23" s="165">
        <v>46446</v>
      </c>
      <c r="O23" s="165">
        <v>46477</v>
      </c>
      <c r="P23" s="165">
        <v>46507</v>
      </c>
      <c r="Q23" s="165">
        <v>46538</v>
      </c>
      <c r="R23" s="165">
        <v>46568</v>
      </c>
    </row>
    <row r="24" spans="1:18" x14ac:dyDescent="0.25">
      <c r="A24" s="161" t="s">
        <v>273</v>
      </c>
      <c r="B24" s="161" t="s">
        <v>138</v>
      </c>
      <c r="C24" s="161" t="s">
        <v>139</v>
      </c>
      <c r="F24" s="190" t="s">
        <v>276</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236</v>
      </c>
      <c r="B25" s="141">
        <v>46204</v>
      </c>
      <c r="C25" t="s">
        <v>145</v>
      </c>
      <c r="E25" s="2" t="s">
        <v>275</v>
      </c>
      <c r="F25">
        <f>SUM(_xlfn.ANCHORARRAY(G25))</f>
        <v>62370</v>
      </c>
      <c r="G25" s="192"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141</v>
      </c>
      <c r="B26">
        <v>12</v>
      </c>
      <c r="C26" t="s">
        <v>146</v>
      </c>
      <c r="E26" s="2" t="s">
        <v>277</v>
      </c>
      <c r="F26">
        <f>SUM(_xlfn.ANCHORARRAY(G26))</f>
        <v>62370</v>
      </c>
      <c r="G26" s="192"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142</v>
      </c>
      <c r="B27" t="s">
        <v>144</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293</v>
      </c>
      <c r="G29" s="162"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275</v>
      </c>
      <c r="G30">
        <v>5182</v>
      </c>
      <c r="H30">
        <v>8334</v>
      </c>
      <c r="I30">
        <v>14850</v>
      </c>
      <c r="J30">
        <v>15426</v>
      </c>
      <c r="K30">
        <v>18578</v>
      </c>
      <c r="L30">
        <v>0</v>
      </c>
      <c r="M30">
        <v>0</v>
      </c>
      <c r="N30">
        <v>0</v>
      </c>
      <c r="O30">
        <v>0</v>
      </c>
      <c r="P30">
        <v>0</v>
      </c>
      <c r="Q30">
        <v>0</v>
      </c>
      <c r="R30">
        <v>0</v>
      </c>
    </row>
    <row r="31" spans="1:18" x14ac:dyDescent="0.25">
      <c r="E31" t="s">
        <v>277</v>
      </c>
      <c r="G31">
        <v>0</v>
      </c>
      <c r="H31">
        <v>-2788</v>
      </c>
      <c r="I31">
        <v>-7743</v>
      </c>
      <c r="J31">
        <v>-11683</v>
      </c>
      <c r="K31">
        <v>-8516</v>
      </c>
      <c r="L31">
        <v>-19775</v>
      </c>
      <c r="M31">
        <v>-7713</v>
      </c>
      <c r="N31">
        <v>-4152</v>
      </c>
      <c r="O31">
        <v>0</v>
      </c>
      <c r="P31">
        <v>0</v>
      </c>
      <c r="Q31">
        <v>0</v>
      </c>
      <c r="R31">
        <v>0</v>
      </c>
    </row>
    <row r="32" spans="1:18" x14ac:dyDescent="0.25">
      <c r="E32" t="s">
        <v>154</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customProperties>
    <customPr name="Description" r:id="rId2"/>
  </customProperties>
  <drawing r:id="rId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oz.Cumulativeλ</v>
      </c>
      <c r="B1" s="287"/>
      <c r="C1" s="287"/>
      <c r="D1" s="287"/>
      <c r="E1" s="287"/>
      <c r="F1" s="287"/>
      <c r="G1" s="287"/>
      <c r="H1" s="287"/>
      <c r="I1" s="287"/>
      <c r="J1" s="287"/>
      <c r="K1" s="287"/>
      <c r="L1" s="287"/>
      <c r="M1" s="287"/>
      <c r="N1" s="287"/>
      <c r="O1" s="287"/>
      <c r="P1" s="287"/>
    </row>
    <row r="2" spans="1:16" x14ac:dyDescent="0.25">
      <c r="A2" s="288" t="s">
        <v>309</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305" t="s">
        <v>272</v>
      </c>
      <c r="B16" s="305"/>
      <c r="C16" s="305"/>
    </row>
    <row r="17" spans="1:18" x14ac:dyDescent="0.25">
      <c r="F17" s="191" t="s">
        <v>279</v>
      </c>
      <c r="G17" s="165" cm="1">
        <f t="array" ref="G17:R17">oz.Timelineλ($B$19, $B$20, $B$21, FALSE)</f>
        <v>46234</v>
      </c>
      <c r="H17" s="165">
        <v>46265</v>
      </c>
      <c r="I17" s="165">
        <v>46295</v>
      </c>
      <c r="J17" s="165">
        <v>46326</v>
      </c>
      <c r="K17" s="165">
        <v>46356</v>
      </c>
      <c r="L17" s="165">
        <v>46387</v>
      </c>
      <c r="M17" s="165">
        <v>46418</v>
      </c>
      <c r="N17" s="165">
        <v>46446</v>
      </c>
      <c r="O17" s="165">
        <v>46477</v>
      </c>
      <c r="P17" s="165">
        <v>46507</v>
      </c>
      <c r="Q17" s="165">
        <v>46538</v>
      </c>
      <c r="R17" s="165">
        <v>46568</v>
      </c>
    </row>
    <row r="18" spans="1:18" x14ac:dyDescent="0.25">
      <c r="A18" s="161" t="s">
        <v>273</v>
      </c>
      <c r="B18" s="161" t="s">
        <v>138</v>
      </c>
      <c r="C18" s="161" t="s">
        <v>139</v>
      </c>
      <c r="F18" s="190" t="s">
        <v>276</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236</v>
      </c>
      <c r="B19" s="141">
        <v>46204</v>
      </c>
      <c r="C19" t="s">
        <v>145</v>
      </c>
      <c r="E19" s="2" t="s">
        <v>275</v>
      </c>
      <c r="F19">
        <f>SUM(_xlfn.ANCHORARRAY(G19))</f>
        <v>62370</v>
      </c>
      <c r="G19" s="192"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141</v>
      </c>
      <c r="B20">
        <v>12</v>
      </c>
      <c r="C20" t="s">
        <v>146</v>
      </c>
      <c r="E20" s="2" t="s">
        <v>277</v>
      </c>
      <c r="F20">
        <f>SUM(_xlfn.ANCHORARRAY(G20))</f>
        <v>62370</v>
      </c>
      <c r="G20" s="192"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142</v>
      </c>
      <c r="B21" t="s">
        <v>144</v>
      </c>
      <c r="E21" s="2" t="s">
        <v>60</v>
      </c>
      <c r="G21" s="167" cm="1">
        <f t="array" ref="G21:R21">_xlfn.ANCHORARRAY(G19)-_xlfn.ANCHORARRAY(G20)</f>
        <v>5182</v>
      </c>
      <c r="H21" s="167">
        <v>5546</v>
      </c>
      <c r="I21" s="167">
        <v>7107</v>
      </c>
      <c r="J21" s="167">
        <v>3743</v>
      </c>
      <c r="K21" s="167">
        <v>10062</v>
      </c>
      <c r="L21" s="167">
        <v>-19775</v>
      </c>
      <c r="M21" s="167">
        <v>-7713</v>
      </c>
      <c r="N21" s="167">
        <v>-4152</v>
      </c>
      <c r="O21" s="167">
        <v>0</v>
      </c>
      <c r="P21" s="167">
        <v>0</v>
      </c>
      <c r="Q21" s="167">
        <v>0</v>
      </c>
      <c r="R21" s="167">
        <v>0</v>
      </c>
    </row>
    <row r="22" spans="1:18" x14ac:dyDescent="0.25">
      <c r="E22" s="2" t="s">
        <v>294</v>
      </c>
      <c r="G22" s="162"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customProperties>
    <customPr name="Description" r:id="rId2"/>
  </customProperties>
  <drawing r:id="rId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selection sqref="A1:Q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287" t="str">
        <f ca="1">_xlfn.TEXTAFTER(CELL("filename",A1),"]")</f>
        <v>oz.Depreciateλ</v>
      </c>
      <c r="B1" s="287"/>
      <c r="C1" s="287"/>
      <c r="D1" s="287"/>
      <c r="E1" s="287"/>
      <c r="F1" s="287"/>
      <c r="G1" s="287"/>
      <c r="H1" s="287"/>
      <c r="I1" s="287"/>
      <c r="J1" s="287"/>
      <c r="K1" s="287"/>
      <c r="L1" s="287"/>
      <c r="M1" s="287"/>
      <c r="N1" s="287"/>
      <c r="O1" s="287"/>
      <c r="P1" s="287"/>
      <c r="Q1" s="287"/>
    </row>
    <row r="2" spans="1:18" x14ac:dyDescent="0.25">
      <c r="A2" s="288" t="s">
        <v>208</v>
      </c>
      <c r="B2" s="316"/>
      <c r="C2" s="316"/>
      <c r="D2" s="316"/>
      <c r="E2" s="316"/>
      <c r="F2" s="316"/>
      <c r="G2" s="316"/>
      <c r="H2" s="316"/>
      <c r="I2" s="316"/>
      <c r="J2" s="316"/>
      <c r="K2" s="316"/>
      <c r="L2" s="316"/>
      <c r="M2" s="316"/>
      <c r="N2" s="316"/>
      <c r="O2" s="316"/>
      <c r="P2" s="316"/>
      <c r="Q2" s="317"/>
    </row>
    <row r="3" spans="1:18" x14ac:dyDescent="0.25">
      <c r="A3" s="104"/>
      <c r="B3" s="104"/>
      <c r="C3" s="104"/>
      <c r="D3" s="104"/>
      <c r="E3" s="104"/>
      <c r="F3" s="104"/>
      <c r="G3" s="104"/>
      <c r="H3" s="104"/>
      <c r="I3" s="104"/>
      <c r="J3" s="104"/>
      <c r="K3" s="319"/>
      <c r="L3" s="319"/>
      <c r="M3" s="319"/>
      <c r="N3" s="319"/>
      <c r="O3" s="319"/>
      <c r="P3" s="319"/>
      <c r="Q3" s="319"/>
      <c r="R3" s="319"/>
    </row>
    <row r="4" spans="1:18" x14ac:dyDescent="0.25">
      <c r="A4" s="162" t="str" cm="1">
        <f t="array" ref="A4:B29">oz.Depreciateλ()</f>
        <v>FUNCTION:</v>
      </c>
      <c r="B4" t="str">
        <v>Depreciateλ(InitialValues, InServiceDates, LifeInYears, Timeline,</v>
      </c>
      <c r="K4" s="319"/>
      <c r="L4" s="319"/>
      <c r="M4" s="319"/>
      <c r="N4" s="319"/>
      <c r="O4" s="319"/>
      <c r="P4" s="319"/>
      <c r="Q4" s="319"/>
      <c r="R4" s="319"/>
    </row>
    <row r="5" spans="1:18" x14ac:dyDescent="0.25">
      <c r="A5" t="str">
        <v/>
      </c>
      <c r="B5" t="str">
        <v>[SalvageValues], [DisposalDates], [DisposalCosts], [Methods], [Factors])</v>
      </c>
      <c r="K5" s="319"/>
      <c r="L5" s="319"/>
      <c r="M5" s="319"/>
      <c r="N5" s="319"/>
      <c r="O5" s="319"/>
      <c r="P5" s="319"/>
      <c r="Q5" s="319"/>
      <c r="R5" s="319"/>
    </row>
    <row r="6" spans="1:18" x14ac:dyDescent="0.25">
      <c r="A6" t="str">
        <v>DESCRIPTION:</v>
      </c>
      <c r="B6" t="str">
        <v>Creates an array of CAPEX, depreciation, and book values for a model's timeline</v>
      </c>
      <c r="K6" s="319"/>
      <c r="L6" s="319"/>
      <c r="M6" s="319"/>
      <c r="N6" s="319"/>
      <c r="O6" s="319"/>
      <c r="P6" s="319"/>
      <c r="Q6" s="319"/>
      <c r="R6" s="319"/>
    </row>
    <row r="7" spans="1:18" x14ac:dyDescent="0.25">
      <c r="A7" t="str">
        <v>WEBPAGE:</v>
      </c>
      <c r="B7" t="str">
        <v>https://github.com/ryanduguid/Ozzit</v>
      </c>
      <c r="K7" s="319"/>
      <c r="L7" s="319"/>
      <c r="M7" s="319"/>
      <c r="N7" s="319"/>
      <c r="O7" s="319"/>
      <c r="P7" s="319"/>
      <c r="Q7" s="319"/>
      <c r="R7" s="319"/>
    </row>
    <row r="8" spans="1:18" x14ac:dyDescent="0.25">
      <c r="A8" t="str">
        <v>VERSION:</v>
      </c>
      <c r="B8" t="str">
        <v>20 Aug 2026</v>
      </c>
      <c r="K8" s="319"/>
      <c r="L8" s="319"/>
      <c r="M8" s="319"/>
      <c r="N8" s="319"/>
      <c r="O8" s="319"/>
      <c r="P8" s="319"/>
      <c r="Q8" s="319"/>
      <c r="R8" s="319"/>
    </row>
    <row r="9" spans="1:18" x14ac:dyDescent="0.25">
      <c r="A9" t="str">
        <v>NOTES:</v>
      </c>
      <c r="B9" t="str">
        <v>The methods used here differs from Excel's functions in several ways. Please see webpage for details.</v>
      </c>
      <c r="K9" s="319"/>
      <c r="L9" s="319"/>
      <c r="M9" s="319"/>
      <c r="N9" s="319"/>
      <c r="O9" s="319"/>
      <c r="P9" s="319"/>
      <c r="Q9" s="319"/>
      <c r="R9" s="319"/>
    </row>
    <row r="10" spans="1:18" x14ac:dyDescent="0.25">
      <c r="A10" t="str">
        <v>PARAMETERS:</v>
      </c>
      <c r="B10" t="str">
        <v/>
      </c>
      <c r="K10" s="319"/>
      <c r="L10" s="319"/>
      <c r="M10" s="319"/>
      <c r="N10" s="319"/>
      <c r="O10" s="319"/>
      <c r="P10" s="319"/>
      <c r="Q10" s="319"/>
      <c r="R10" s="319"/>
    </row>
    <row r="11" spans="1:18" x14ac:dyDescent="0.25">
      <c r="A11" t="str">
        <v>InitialValues</v>
      </c>
      <c r="B11" t="str">
        <v>(Required) The purchase values of each asset to depreciate</v>
      </c>
      <c r="K11" s="319"/>
      <c r="L11" s="319"/>
      <c r="M11" s="319"/>
      <c r="N11" s="319"/>
      <c r="O11" s="319"/>
      <c r="P11" s="319"/>
      <c r="Q11" s="319"/>
      <c r="R11" s="319"/>
    </row>
    <row r="12" spans="1:18" x14ac:dyDescent="0.25">
      <c r="A12" t="str">
        <v>InServiceDates</v>
      </c>
      <c r="B12" t="str">
        <v>(Required) The dates from which to start depreciating each asset</v>
      </c>
      <c r="K12" s="319"/>
      <c r="L12" s="319"/>
      <c r="M12" s="319"/>
      <c r="N12" s="319"/>
      <c r="O12" s="319"/>
      <c r="P12" s="319"/>
      <c r="Q12" s="319"/>
      <c r="R12" s="319"/>
    </row>
    <row r="13" spans="1:18" x14ac:dyDescent="0.25">
      <c r="A13" t="str">
        <v>LifeInYears</v>
      </c>
      <c r="B13" t="str">
        <v>(Required) The number of years with which to depreciate each asset.</v>
      </c>
      <c r="K13" s="319"/>
      <c r="L13" s="319"/>
      <c r="M13" s="319"/>
      <c r="N13" s="319"/>
      <c r="O13" s="319"/>
      <c r="P13" s="319"/>
      <c r="Q13" s="319"/>
      <c r="R13" s="319"/>
    </row>
    <row r="14" spans="1:18" x14ac:dyDescent="0.25">
      <c r="A14" t="str">
        <v/>
      </c>
      <c r="B14" t="str">
        <v>More than 0 and no more than 100. A date here is not a life:</v>
      </c>
      <c r="K14" s="319"/>
      <c r="L14" s="319"/>
      <c r="M14" s="319"/>
      <c r="N14" s="319"/>
      <c r="O14" s="319"/>
      <c r="P14" s="319"/>
      <c r="Q14" s="319"/>
      <c r="R14" s="319"/>
    </row>
    <row r="15" spans="1:18" x14ac:dyDescent="0.25">
      <c r="A15" t="str">
        <v/>
      </c>
      <c r="B15" t="str">
        <v>the arguments read InitialValues, InServiceDates, LifeInYears, Timeline.</v>
      </c>
      <c r="K15" s="319"/>
      <c r="L15" s="319"/>
      <c r="M15" s="319"/>
      <c r="N15" s="319"/>
      <c r="O15" s="319"/>
      <c r="P15" s="319"/>
      <c r="Q15" s="319"/>
      <c r="R15" s="319"/>
    </row>
    <row r="16" spans="1:18" x14ac:dyDescent="0.25">
      <c r="A16" t="str">
        <v>Timeline</v>
      </c>
      <c r="B16" t="str">
        <v>(Required) The model's timeline or a row of period start dates.</v>
      </c>
      <c r="K16" s="319"/>
      <c r="L16" s="319"/>
      <c r="M16" s="319"/>
      <c r="N16" s="319"/>
      <c r="O16" s="319"/>
      <c r="P16" s="319"/>
      <c r="Q16" s="319"/>
      <c r="R16" s="319"/>
    </row>
    <row r="17" spans="1:18" x14ac:dyDescent="0.25">
      <c r="A17" t="str">
        <v/>
      </c>
      <c r="B17" t="str">
        <v>Timeline can be any interval: days, weeks, months, quarters or years</v>
      </c>
      <c r="K17" s="319"/>
      <c r="L17" s="319"/>
      <c r="M17" s="319"/>
      <c r="N17" s="319"/>
      <c r="O17" s="319"/>
      <c r="P17" s="319"/>
      <c r="Q17" s="319"/>
      <c r="R17" s="319"/>
    </row>
    <row r="18" spans="1:18" x14ac:dyDescent="0.25">
      <c r="A18" t="str">
        <v>SalvageValues</v>
      </c>
      <c r="B18" t="str">
        <v>(Optional: Default = 0) The book values of each asset after fully depreciated.</v>
      </c>
      <c r="K18" s="319"/>
      <c r="L18" s="319"/>
      <c r="M18" s="319"/>
      <c r="N18" s="319"/>
      <c r="O18" s="319"/>
      <c r="P18" s="319"/>
      <c r="Q18" s="319"/>
      <c r="R18" s="319"/>
    </row>
    <row r="19" spans="1:18" x14ac:dyDescent="0.25">
      <c r="A19" t="str">
        <v>DisposalDates</v>
      </c>
      <c r="B19" t="str">
        <v>(Optional: Default = End of life) The dates on which the assets are removed from the books.</v>
      </c>
      <c r="K19" s="319"/>
      <c r="L19" s="319"/>
      <c r="M19" s="319"/>
      <c r="N19" s="319"/>
      <c r="O19" s="319"/>
      <c r="P19" s="319"/>
      <c r="Q19" s="319"/>
      <c r="R19" s="319"/>
    </row>
    <row r="20" spans="1:18" x14ac:dyDescent="0.25">
      <c r="A20" t="str">
        <v>DisposalCosts</v>
      </c>
      <c r="B20" t="str">
        <v>(Optional: Default = 0) The book values of each asset after fully depreciated.</v>
      </c>
      <c r="K20" s="319"/>
      <c r="L20" s="319"/>
      <c r="M20" s="319"/>
      <c r="N20" s="319"/>
      <c r="O20" s="319"/>
      <c r="P20" s="319"/>
      <c r="Q20" s="319"/>
      <c r="R20" s="319"/>
    </row>
    <row r="21" spans="1:18" x14ac:dyDescent="0.25">
      <c r="A21" t="str">
        <v>Methods</v>
      </c>
      <c r="B21" t="str">
        <v>(Optional: Default = SLN) The desired depreciation method. Must be one of these method codes:</v>
      </c>
      <c r="K21" s="319"/>
      <c r="L21" s="319"/>
      <c r="M21" s="319"/>
      <c r="N21" s="319"/>
      <c r="O21" s="319"/>
      <c r="P21" s="319"/>
      <c r="Q21" s="319"/>
      <c r="R21" s="319"/>
    </row>
    <row r="22" spans="1:18" x14ac:dyDescent="0.25">
      <c r="A22" t="str">
        <v/>
      </c>
      <c r="B22" t="str">
        <v>SLN=Straight Line Depreciation</v>
      </c>
      <c r="K22" s="319"/>
      <c r="L22" s="319"/>
      <c r="M22" s="319"/>
      <c r="N22" s="319"/>
      <c r="O22" s="319"/>
      <c r="P22" s="319"/>
      <c r="Q22" s="319"/>
      <c r="R22" s="319"/>
    </row>
    <row r="23" spans="1:18" x14ac:dyDescent="0.25">
      <c r="A23" t="str">
        <v/>
      </c>
      <c r="B23" t="str">
        <v>SYD=Sum of Year's Digits</v>
      </c>
      <c r="K23" s="320" t="s">
        <v>335</v>
      </c>
      <c r="L23" s="320"/>
      <c r="M23" s="320"/>
      <c r="N23" s="320"/>
      <c r="O23" s="320"/>
      <c r="P23" s="320"/>
      <c r="Q23" s="320"/>
      <c r="R23" s="320"/>
    </row>
    <row r="24" spans="1:18" x14ac:dyDescent="0.25">
      <c r="A24" t="str">
        <v/>
      </c>
      <c r="B24" t="str">
        <v>DB =Declining Balance</v>
      </c>
    </row>
    <row r="25" spans="1:18" x14ac:dyDescent="0.25">
      <c r="A25" t="str">
        <v/>
      </c>
      <c r="B25" t="str">
        <v>DDB=Double Declining Balance</v>
      </c>
    </row>
    <row r="26" spans="1:18" x14ac:dyDescent="0.25">
      <c r="A26" t="str">
        <v/>
      </c>
      <c r="B26" t="str">
        <v>VDB=Variable Declining Balance</v>
      </c>
    </row>
    <row r="27" spans="1:18" x14ac:dyDescent="0.25">
      <c r="A27" t="str">
        <v/>
      </c>
      <c r="B27" t="str">
        <v>DV =Diminishing balance at 200% of straight line. Salvage value ignored</v>
      </c>
    </row>
    <row r="28" spans="1:18" x14ac:dyDescent="0.25">
      <c r="A28" t="str">
        <v/>
      </c>
      <c r="B28" t="str">
        <v>PC =Straight line, whole years. Salvage value ignored</v>
      </c>
    </row>
    <row r="29" spans="1:18" x14ac:dyDescent="0.25">
      <c r="A29" t="str">
        <v>Factors</v>
      </c>
      <c r="B29" t="str">
        <v>(Optional: Default = 2) Only applicable to DDB and VDB methods.</v>
      </c>
    </row>
    <row r="35" spans="1:131" ht="21" x14ac:dyDescent="0.35">
      <c r="A35" s="305" t="s">
        <v>272</v>
      </c>
      <c r="B35" s="305"/>
      <c r="C35" s="305"/>
      <c r="J35" s="2" t="s">
        <v>289</v>
      </c>
    </row>
    <row r="37" spans="1:131" x14ac:dyDescent="0.25">
      <c r="A37" s="161" t="s">
        <v>273</v>
      </c>
      <c r="B37" s="161" t="s">
        <v>138</v>
      </c>
      <c r="C37" s="161" t="s">
        <v>139</v>
      </c>
      <c r="J37" s="190" t="s">
        <v>131</v>
      </c>
      <c r="K37" s="190" t="s">
        <v>276</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236</v>
      </c>
      <c r="B38" s="141">
        <v>46204</v>
      </c>
      <c r="C38" t="s">
        <v>145</v>
      </c>
      <c r="J38" t="s">
        <v>342</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343</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344</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345</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346</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298" t="s">
        <v>295</v>
      </c>
      <c r="B43" s="299"/>
      <c r="C43" s="299"/>
      <c r="D43" s="299"/>
      <c r="E43" s="299"/>
      <c r="F43" s="299"/>
      <c r="G43" s="299"/>
      <c r="H43" s="318"/>
    </row>
    <row r="44" spans="1:131" x14ac:dyDescent="0.25">
      <c r="A44" s="314"/>
      <c r="B44" s="315"/>
      <c r="C44" s="315"/>
      <c r="D44" s="315"/>
      <c r="E44" s="315"/>
      <c r="F44" s="315"/>
      <c r="G44" s="315"/>
      <c r="H44" s="315"/>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303</v>
      </c>
      <c r="B46" s="195">
        <v>25000</v>
      </c>
      <c r="C46" s="120">
        <v>46235</v>
      </c>
      <c r="D46" s="195">
        <v>8</v>
      </c>
      <c r="E46" s="195">
        <v>1000</v>
      </c>
      <c r="F46" s="120">
        <f>EDATE(tblAssets[[#This Row],[Acquired]],(tblAssets[[#This Row],[Life]]+1)*12)</f>
        <v>49522</v>
      </c>
      <c r="G46" s="195">
        <v>500</v>
      </c>
      <c r="H46" s="120" t="s">
        <v>435</v>
      </c>
      <c r="J46" t="str" cm="1">
        <f t="array" ref="J46:J65">oz.LabelDepreciateλ(tblAssets[Asset])</f>
        <v>Cutter CAPEX</v>
      </c>
      <c r="K46" cm="1">
        <f t="array" ref="K46:K65">oz.SumDepreciateλ(_xlfn.ANCHORARRAY(L46))</f>
        <v>25000</v>
      </c>
      <c r="L46" s="162" cm="1">
        <f t="array" ref="L46:EA65">oz.Depreciateλ(tblAssets[Amount],tblAssets[Acquired],tblAssets[Life],_xlfn.ANCHORARRAY(L45),tblAssets[Salvage],tblAssets[Date],tblAssets[Cost],tblAssets[Method])</f>
        <v>25000</v>
      </c>
      <c r="M46" s="260">
        <v>0</v>
      </c>
      <c r="N46" s="260">
        <v>0</v>
      </c>
      <c r="O46" s="260">
        <v>0</v>
      </c>
      <c r="P46" s="260">
        <v>0</v>
      </c>
      <c r="Q46" s="260">
        <v>0</v>
      </c>
      <c r="R46" s="260">
        <v>0</v>
      </c>
      <c r="S46" s="260">
        <v>0</v>
      </c>
      <c r="T46" s="260">
        <v>0</v>
      </c>
      <c r="U46" s="260">
        <v>0</v>
      </c>
      <c r="V46" s="260">
        <v>0</v>
      </c>
      <c r="W46" s="260">
        <v>0</v>
      </c>
      <c r="X46" s="260">
        <v>0</v>
      </c>
      <c r="Y46" s="260">
        <v>0</v>
      </c>
      <c r="Z46" s="260">
        <v>0</v>
      </c>
      <c r="AA46" s="260">
        <v>0</v>
      </c>
      <c r="AB46" s="260">
        <v>0</v>
      </c>
      <c r="AC46" s="260">
        <v>0</v>
      </c>
      <c r="AD46" s="260">
        <v>0</v>
      </c>
      <c r="AE46" s="260">
        <v>0</v>
      </c>
      <c r="AF46" s="260">
        <v>0</v>
      </c>
      <c r="AG46" s="260">
        <v>0</v>
      </c>
      <c r="AH46" s="260">
        <v>0</v>
      </c>
      <c r="AI46" s="260">
        <v>0</v>
      </c>
      <c r="AJ46" s="260">
        <v>0</v>
      </c>
      <c r="AK46" s="260">
        <v>0</v>
      </c>
      <c r="AL46" s="260">
        <v>0</v>
      </c>
      <c r="AM46" s="260">
        <v>0</v>
      </c>
      <c r="AN46" s="260">
        <v>0</v>
      </c>
      <c r="AO46" s="260">
        <v>0</v>
      </c>
      <c r="AP46" s="260">
        <v>0</v>
      </c>
      <c r="AQ46" s="260">
        <v>0</v>
      </c>
      <c r="AR46" s="260">
        <v>0</v>
      </c>
      <c r="AS46" s="260">
        <v>0</v>
      </c>
      <c r="AT46" s="260">
        <v>0</v>
      </c>
      <c r="AU46" s="260">
        <v>0</v>
      </c>
      <c r="AV46" s="260">
        <v>0</v>
      </c>
      <c r="AW46" s="260">
        <v>0</v>
      </c>
      <c r="AX46" s="260">
        <v>0</v>
      </c>
      <c r="AY46" s="260">
        <v>0</v>
      </c>
      <c r="AZ46" s="260">
        <v>0</v>
      </c>
      <c r="BA46" s="260">
        <v>0</v>
      </c>
      <c r="BB46" s="260">
        <v>0</v>
      </c>
      <c r="BC46" s="260">
        <v>0</v>
      </c>
      <c r="BD46" s="260">
        <v>0</v>
      </c>
      <c r="BE46" s="260">
        <v>0</v>
      </c>
      <c r="BF46" s="260">
        <v>0</v>
      </c>
      <c r="BG46" s="260">
        <v>0</v>
      </c>
      <c r="BH46" s="260">
        <v>0</v>
      </c>
      <c r="BI46" s="260">
        <v>0</v>
      </c>
      <c r="BJ46" s="260">
        <v>0</v>
      </c>
      <c r="BK46" s="260">
        <v>0</v>
      </c>
      <c r="BL46" s="260">
        <v>0</v>
      </c>
      <c r="BM46" s="260">
        <v>0</v>
      </c>
      <c r="BN46" s="260">
        <v>0</v>
      </c>
      <c r="BO46" s="260">
        <v>0</v>
      </c>
      <c r="BP46" s="260">
        <v>0</v>
      </c>
      <c r="BQ46" s="260">
        <v>0</v>
      </c>
      <c r="BR46" s="260">
        <v>0</v>
      </c>
      <c r="BS46" s="260">
        <v>0</v>
      </c>
      <c r="BT46" s="260">
        <v>0</v>
      </c>
      <c r="BU46" s="260">
        <v>0</v>
      </c>
      <c r="BV46" s="260">
        <v>0</v>
      </c>
      <c r="BW46" s="260">
        <v>0</v>
      </c>
      <c r="BX46" s="260">
        <v>0</v>
      </c>
      <c r="BY46" s="260">
        <v>0</v>
      </c>
      <c r="BZ46" s="260">
        <v>0</v>
      </c>
      <c r="CA46" s="260">
        <v>0</v>
      </c>
      <c r="CB46" s="260">
        <v>0</v>
      </c>
      <c r="CC46" s="260">
        <v>0</v>
      </c>
      <c r="CD46" s="260">
        <v>0</v>
      </c>
      <c r="CE46" s="260">
        <v>0</v>
      </c>
      <c r="CF46" s="260">
        <v>0</v>
      </c>
      <c r="CG46" s="260">
        <v>0</v>
      </c>
      <c r="CH46" s="260">
        <v>0</v>
      </c>
      <c r="CI46" s="260">
        <v>0</v>
      </c>
      <c r="CJ46" s="260">
        <v>0</v>
      </c>
      <c r="CK46" s="260">
        <v>0</v>
      </c>
      <c r="CL46" s="260">
        <v>0</v>
      </c>
      <c r="CM46" s="260">
        <v>0</v>
      </c>
      <c r="CN46" s="260">
        <v>0</v>
      </c>
      <c r="CO46" s="260">
        <v>0</v>
      </c>
      <c r="CP46" s="260">
        <v>0</v>
      </c>
      <c r="CQ46" s="260">
        <v>0</v>
      </c>
      <c r="CR46" s="260">
        <v>0</v>
      </c>
      <c r="CS46" s="260">
        <v>0</v>
      </c>
      <c r="CT46" s="260">
        <v>0</v>
      </c>
      <c r="CU46" s="260">
        <v>0</v>
      </c>
      <c r="CV46" s="260">
        <v>0</v>
      </c>
      <c r="CW46" s="260">
        <v>0</v>
      </c>
      <c r="CX46" s="260">
        <v>0</v>
      </c>
      <c r="CY46" s="260">
        <v>0</v>
      </c>
      <c r="CZ46" s="260">
        <v>0</v>
      </c>
      <c r="DA46" s="260">
        <v>0</v>
      </c>
      <c r="DB46" s="260">
        <v>0</v>
      </c>
      <c r="DC46" s="260">
        <v>0</v>
      </c>
      <c r="DD46" s="260">
        <v>0</v>
      </c>
      <c r="DE46" s="260">
        <v>0</v>
      </c>
      <c r="DF46" s="260">
        <v>0</v>
      </c>
      <c r="DG46" s="260">
        <v>0</v>
      </c>
      <c r="DH46" s="260">
        <v>0</v>
      </c>
      <c r="DI46" s="260">
        <v>0</v>
      </c>
      <c r="DJ46" s="260">
        <v>0</v>
      </c>
      <c r="DK46" s="260">
        <v>0</v>
      </c>
      <c r="DL46" s="260">
        <v>0</v>
      </c>
      <c r="DM46" s="260">
        <v>0</v>
      </c>
      <c r="DN46" s="260">
        <v>0</v>
      </c>
      <c r="DO46" s="260">
        <v>0</v>
      </c>
      <c r="DP46" s="260">
        <v>0</v>
      </c>
      <c r="DQ46" s="260">
        <v>0</v>
      </c>
      <c r="DR46" s="260">
        <v>0</v>
      </c>
      <c r="DS46" s="260">
        <v>0</v>
      </c>
      <c r="DT46" s="260">
        <v>0</v>
      </c>
      <c r="DU46" s="260">
        <v>0</v>
      </c>
      <c r="DV46" s="260">
        <v>0</v>
      </c>
      <c r="DW46" s="260">
        <v>0</v>
      </c>
      <c r="DX46" s="260">
        <v>0</v>
      </c>
      <c r="DY46" s="260">
        <v>0</v>
      </c>
      <c r="DZ46">
        <v>0</v>
      </c>
      <c r="EA46">
        <v>0</v>
      </c>
    </row>
    <row r="47" spans="1:131" x14ac:dyDescent="0.25">
      <c r="A47" s="262" t="s">
        <v>304</v>
      </c>
      <c r="B47" s="265">
        <v>10000</v>
      </c>
      <c r="C47" s="266">
        <v>46296</v>
      </c>
      <c r="D47" s="197">
        <v>10</v>
      </c>
      <c r="E47" s="197">
        <v>500</v>
      </c>
      <c r="F47" s="263">
        <f>EDATE(tblAssets[[#This Row],[Acquired]],(tblAssets[[#This Row],[Life]]+1)*12)</f>
        <v>50314</v>
      </c>
      <c r="G47" s="265">
        <v>100</v>
      </c>
      <c r="H47" s="263" t="s">
        <v>301</v>
      </c>
      <c r="J47" t="str">
        <v>Cutter Opening Value</v>
      </c>
      <c r="K47">
        <v>0</v>
      </c>
      <c r="L47" s="260">
        <v>25000</v>
      </c>
      <c r="M47" s="260">
        <v>19270.869999999981</v>
      </c>
      <c r="N47" s="260">
        <v>14453.06999999998</v>
      </c>
      <c r="O47" s="260">
        <v>10839.829999999987</v>
      </c>
      <c r="P47" s="260">
        <v>8129.8449999999939</v>
      </c>
      <c r="Q47" s="260">
        <v>6097.466249999994</v>
      </c>
      <c r="R47" s="260">
        <v>4425.3971874999888</v>
      </c>
      <c r="S47" s="260">
        <v>2781.1914583333219</v>
      </c>
      <c r="T47" s="260">
        <v>1136.9857291666553</v>
      </c>
      <c r="U47" s="260">
        <v>999.99999999998863</v>
      </c>
      <c r="V47" s="260">
        <v>0</v>
      </c>
      <c r="W47" s="260">
        <v>0</v>
      </c>
      <c r="X47" s="260">
        <v>0</v>
      </c>
      <c r="Y47" s="260">
        <v>0</v>
      </c>
      <c r="Z47" s="260">
        <v>0</v>
      </c>
      <c r="AA47" s="260">
        <v>0</v>
      </c>
      <c r="AB47" s="260">
        <v>0</v>
      </c>
      <c r="AC47" s="260">
        <v>0</v>
      </c>
      <c r="AD47" s="260">
        <v>0</v>
      </c>
      <c r="AE47" s="260">
        <v>0</v>
      </c>
      <c r="AF47" s="260">
        <v>0</v>
      </c>
      <c r="AG47" s="260">
        <v>0</v>
      </c>
      <c r="AH47" s="260">
        <v>0</v>
      </c>
      <c r="AI47" s="260">
        <v>0</v>
      </c>
      <c r="AJ47" s="260">
        <v>0</v>
      </c>
      <c r="AK47" s="260">
        <v>0</v>
      </c>
      <c r="AL47" s="260">
        <v>0</v>
      </c>
      <c r="AM47" s="260">
        <v>0</v>
      </c>
      <c r="AN47" s="260">
        <v>0</v>
      </c>
      <c r="AO47" s="260">
        <v>0</v>
      </c>
      <c r="AP47" s="260">
        <v>0</v>
      </c>
      <c r="AQ47" s="260">
        <v>0</v>
      </c>
      <c r="AR47" s="260">
        <v>0</v>
      </c>
      <c r="AS47" s="260">
        <v>0</v>
      </c>
      <c r="AT47" s="260">
        <v>0</v>
      </c>
      <c r="AU47" s="260">
        <v>0</v>
      </c>
      <c r="AV47" s="260">
        <v>0</v>
      </c>
      <c r="AW47" s="260">
        <v>0</v>
      </c>
      <c r="AX47" s="260">
        <v>0</v>
      </c>
      <c r="AY47" s="260">
        <v>0</v>
      </c>
      <c r="AZ47" s="260">
        <v>0</v>
      </c>
      <c r="BA47" s="260">
        <v>0</v>
      </c>
      <c r="BB47" s="260">
        <v>0</v>
      </c>
      <c r="BC47" s="260">
        <v>0</v>
      </c>
      <c r="BD47" s="260">
        <v>0</v>
      </c>
      <c r="BE47" s="260">
        <v>0</v>
      </c>
      <c r="BF47" s="260">
        <v>0</v>
      </c>
      <c r="BG47" s="260">
        <v>0</v>
      </c>
      <c r="BH47" s="260">
        <v>0</v>
      </c>
      <c r="BI47" s="260">
        <v>0</v>
      </c>
      <c r="BJ47" s="260">
        <v>0</v>
      </c>
      <c r="BK47" s="260">
        <v>0</v>
      </c>
      <c r="BL47" s="260">
        <v>0</v>
      </c>
      <c r="BM47" s="260">
        <v>0</v>
      </c>
      <c r="BN47" s="260">
        <v>0</v>
      </c>
      <c r="BO47" s="260">
        <v>0</v>
      </c>
      <c r="BP47" s="260">
        <v>0</v>
      </c>
      <c r="BQ47" s="260">
        <v>0</v>
      </c>
      <c r="BR47" s="260">
        <v>0</v>
      </c>
      <c r="BS47" s="260">
        <v>0</v>
      </c>
      <c r="BT47" s="260">
        <v>0</v>
      </c>
      <c r="BU47" s="260">
        <v>0</v>
      </c>
      <c r="BV47" s="260">
        <v>0</v>
      </c>
      <c r="BW47" s="260">
        <v>0</v>
      </c>
      <c r="BX47" s="260">
        <v>0</v>
      </c>
      <c r="BY47" s="260">
        <v>0</v>
      </c>
      <c r="BZ47" s="260">
        <v>0</v>
      </c>
      <c r="CA47" s="260">
        <v>0</v>
      </c>
      <c r="CB47" s="260">
        <v>0</v>
      </c>
      <c r="CC47" s="260">
        <v>0</v>
      </c>
      <c r="CD47" s="260">
        <v>0</v>
      </c>
      <c r="CE47" s="260">
        <v>0</v>
      </c>
      <c r="CF47" s="260">
        <v>0</v>
      </c>
      <c r="CG47" s="260">
        <v>0</v>
      </c>
      <c r="CH47" s="260">
        <v>0</v>
      </c>
      <c r="CI47" s="260">
        <v>0</v>
      </c>
      <c r="CJ47" s="260">
        <v>0</v>
      </c>
      <c r="CK47" s="260">
        <v>0</v>
      </c>
      <c r="CL47" s="260">
        <v>0</v>
      </c>
      <c r="CM47" s="260">
        <v>0</v>
      </c>
      <c r="CN47" s="260">
        <v>0</v>
      </c>
      <c r="CO47" s="260">
        <v>0</v>
      </c>
      <c r="CP47" s="260">
        <v>0</v>
      </c>
      <c r="CQ47" s="260">
        <v>0</v>
      </c>
      <c r="CR47" s="260">
        <v>0</v>
      </c>
      <c r="CS47" s="260">
        <v>0</v>
      </c>
      <c r="CT47" s="260">
        <v>0</v>
      </c>
      <c r="CU47" s="260">
        <v>0</v>
      </c>
      <c r="CV47" s="260">
        <v>0</v>
      </c>
      <c r="CW47" s="260">
        <v>0</v>
      </c>
      <c r="CX47" s="260">
        <v>0</v>
      </c>
      <c r="CY47" s="260">
        <v>0</v>
      </c>
      <c r="CZ47" s="260">
        <v>0</v>
      </c>
      <c r="DA47" s="260">
        <v>0</v>
      </c>
      <c r="DB47" s="260">
        <v>0</v>
      </c>
      <c r="DC47" s="260">
        <v>0</v>
      </c>
      <c r="DD47" s="260">
        <v>0</v>
      </c>
      <c r="DE47" s="260">
        <v>0</v>
      </c>
      <c r="DF47" s="260">
        <v>0</v>
      </c>
      <c r="DG47" s="260">
        <v>0</v>
      </c>
      <c r="DH47" s="260">
        <v>0</v>
      </c>
      <c r="DI47" s="260">
        <v>0</v>
      </c>
      <c r="DJ47" s="260">
        <v>0</v>
      </c>
      <c r="DK47" s="260">
        <v>0</v>
      </c>
      <c r="DL47" s="260">
        <v>0</v>
      </c>
      <c r="DM47" s="260">
        <v>0</v>
      </c>
      <c r="DN47" s="260">
        <v>0</v>
      </c>
      <c r="DO47" s="260">
        <v>0</v>
      </c>
      <c r="DP47" s="260">
        <v>0</v>
      </c>
      <c r="DQ47" s="260">
        <v>0</v>
      </c>
      <c r="DR47" s="260">
        <v>0</v>
      </c>
      <c r="DS47" s="260">
        <v>0</v>
      </c>
      <c r="DT47" s="260">
        <v>0</v>
      </c>
      <c r="DU47" s="260">
        <v>0</v>
      </c>
      <c r="DV47" s="260">
        <v>0</v>
      </c>
      <c r="DW47" s="260">
        <v>0</v>
      </c>
      <c r="DX47" s="260">
        <v>0</v>
      </c>
      <c r="DY47" s="260">
        <v>0</v>
      </c>
      <c r="DZ47">
        <v>0</v>
      </c>
      <c r="EA47">
        <v>0</v>
      </c>
    </row>
    <row r="48" spans="1:131" x14ac:dyDescent="0.25">
      <c r="A48" s="261" t="s">
        <v>305</v>
      </c>
      <c r="B48" s="265">
        <v>50181</v>
      </c>
      <c r="C48" s="266">
        <v>46204</v>
      </c>
      <c r="D48" s="197">
        <v>20</v>
      </c>
      <c r="E48" s="197"/>
      <c r="F48" s="264">
        <f>EDATE(tblAssets[[#This Row],[Acquired]],(tblAssets[[#This Row],[Life]]+1)*12)</f>
        <v>53874</v>
      </c>
      <c r="G48" s="265">
        <v>250</v>
      </c>
      <c r="H48" s="264" t="s">
        <v>302</v>
      </c>
      <c r="J48" t="str">
        <v>Cutter Depreciation</v>
      </c>
      <c r="K48">
        <v>25000.000000000004</v>
      </c>
      <c r="L48" s="260">
        <v>5729.13</v>
      </c>
      <c r="M48" s="260">
        <v>4817.8</v>
      </c>
      <c r="N48" s="260">
        <v>3613.2400000000007</v>
      </c>
      <c r="O48" s="260">
        <v>2709.9849999999992</v>
      </c>
      <c r="P48" s="260">
        <v>2032.3787499999999</v>
      </c>
      <c r="Q48" s="260">
        <v>1672.0690625</v>
      </c>
      <c r="R48" s="260">
        <v>1644.2057291666665</v>
      </c>
      <c r="S48" s="260">
        <v>1644.2057291666665</v>
      </c>
      <c r="T48" s="260">
        <v>136.98572916666672</v>
      </c>
      <c r="U48" s="260">
        <v>1000</v>
      </c>
      <c r="V48" s="260">
        <v>0</v>
      </c>
      <c r="W48" s="260">
        <v>0</v>
      </c>
      <c r="X48" s="260">
        <v>0</v>
      </c>
      <c r="Y48" s="260">
        <v>0</v>
      </c>
      <c r="Z48" s="260">
        <v>0</v>
      </c>
      <c r="AA48" s="260">
        <v>0</v>
      </c>
      <c r="AB48" s="260">
        <v>0</v>
      </c>
      <c r="AC48" s="260">
        <v>0</v>
      </c>
      <c r="AD48" s="260">
        <v>0</v>
      </c>
      <c r="AE48" s="260">
        <v>0</v>
      </c>
      <c r="AF48" s="260">
        <v>0</v>
      </c>
      <c r="AG48" s="260">
        <v>0</v>
      </c>
      <c r="AH48" s="260">
        <v>0</v>
      </c>
      <c r="AI48" s="260">
        <v>0</v>
      </c>
      <c r="AJ48" s="260">
        <v>0</v>
      </c>
      <c r="AK48" s="260">
        <v>0</v>
      </c>
      <c r="AL48" s="260">
        <v>0</v>
      </c>
      <c r="AM48" s="260">
        <v>0</v>
      </c>
      <c r="AN48" s="260">
        <v>0</v>
      </c>
      <c r="AO48" s="260">
        <v>0</v>
      </c>
      <c r="AP48" s="260">
        <v>0</v>
      </c>
      <c r="AQ48" s="260">
        <v>0</v>
      </c>
      <c r="AR48" s="260">
        <v>0</v>
      </c>
      <c r="AS48" s="260">
        <v>0</v>
      </c>
      <c r="AT48" s="260">
        <v>0</v>
      </c>
      <c r="AU48" s="260">
        <v>0</v>
      </c>
      <c r="AV48" s="260">
        <v>0</v>
      </c>
      <c r="AW48" s="260">
        <v>0</v>
      </c>
      <c r="AX48" s="260">
        <v>0</v>
      </c>
      <c r="AY48" s="260">
        <v>0</v>
      </c>
      <c r="AZ48" s="260">
        <v>0</v>
      </c>
      <c r="BA48" s="260">
        <v>0</v>
      </c>
      <c r="BB48" s="260">
        <v>0</v>
      </c>
      <c r="BC48" s="260">
        <v>0</v>
      </c>
      <c r="BD48" s="260">
        <v>0</v>
      </c>
      <c r="BE48" s="260">
        <v>0</v>
      </c>
      <c r="BF48" s="260">
        <v>0</v>
      </c>
      <c r="BG48" s="260">
        <v>0</v>
      </c>
      <c r="BH48" s="260">
        <v>0</v>
      </c>
      <c r="BI48" s="260">
        <v>0</v>
      </c>
      <c r="BJ48" s="260">
        <v>0</v>
      </c>
      <c r="BK48" s="260">
        <v>0</v>
      </c>
      <c r="BL48" s="260">
        <v>0</v>
      </c>
      <c r="BM48" s="260">
        <v>0</v>
      </c>
      <c r="BN48" s="260">
        <v>0</v>
      </c>
      <c r="BO48" s="260">
        <v>0</v>
      </c>
      <c r="BP48" s="260">
        <v>0</v>
      </c>
      <c r="BQ48" s="260">
        <v>0</v>
      </c>
      <c r="BR48" s="260">
        <v>0</v>
      </c>
      <c r="BS48" s="260">
        <v>0</v>
      </c>
      <c r="BT48" s="260">
        <v>0</v>
      </c>
      <c r="BU48" s="260">
        <v>0</v>
      </c>
      <c r="BV48" s="260">
        <v>0</v>
      </c>
      <c r="BW48" s="260">
        <v>0</v>
      </c>
      <c r="BX48" s="260">
        <v>0</v>
      </c>
      <c r="BY48" s="260">
        <v>0</v>
      </c>
      <c r="BZ48" s="260">
        <v>0</v>
      </c>
      <c r="CA48" s="260">
        <v>0</v>
      </c>
      <c r="CB48" s="260">
        <v>0</v>
      </c>
      <c r="CC48" s="260">
        <v>0</v>
      </c>
      <c r="CD48" s="260">
        <v>0</v>
      </c>
      <c r="CE48" s="260">
        <v>0</v>
      </c>
      <c r="CF48" s="260">
        <v>0</v>
      </c>
      <c r="CG48" s="260">
        <v>0</v>
      </c>
      <c r="CH48" s="260">
        <v>0</v>
      </c>
      <c r="CI48" s="260">
        <v>0</v>
      </c>
      <c r="CJ48" s="260">
        <v>0</v>
      </c>
      <c r="CK48" s="260">
        <v>0</v>
      </c>
      <c r="CL48" s="260">
        <v>0</v>
      </c>
      <c r="CM48" s="260">
        <v>0</v>
      </c>
      <c r="CN48" s="260">
        <v>0</v>
      </c>
      <c r="CO48" s="260">
        <v>0</v>
      </c>
      <c r="CP48" s="260">
        <v>0</v>
      </c>
      <c r="CQ48" s="260">
        <v>0</v>
      </c>
      <c r="CR48" s="260">
        <v>0</v>
      </c>
      <c r="CS48" s="260">
        <v>0</v>
      </c>
      <c r="CT48" s="260">
        <v>0</v>
      </c>
      <c r="CU48" s="260">
        <v>0</v>
      </c>
      <c r="CV48" s="260">
        <v>0</v>
      </c>
      <c r="CW48" s="260">
        <v>0</v>
      </c>
      <c r="CX48" s="260">
        <v>0</v>
      </c>
      <c r="CY48" s="260">
        <v>0</v>
      </c>
      <c r="CZ48" s="260">
        <v>0</v>
      </c>
      <c r="DA48" s="260">
        <v>0</v>
      </c>
      <c r="DB48" s="260">
        <v>0</v>
      </c>
      <c r="DC48" s="260">
        <v>0</v>
      </c>
      <c r="DD48" s="260">
        <v>0</v>
      </c>
      <c r="DE48" s="260">
        <v>0</v>
      </c>
      <c r="DF48" s="260">
        <v>0</v>
      </c>
      <c r="DG48" s="260">
        <v>0</v>
      </c>
      <c r="DH48" s="260">
        <v>0</v>
      </c>
      <c r="DI48" s="260">
        <v>0</v>
      </c>
      <c r="DJ48" s="260">
        <v>0</v>
      </c>
      <c r="DK48" s="260">
        <v>0</v>
      </c>
      <c r="DL48" s="260">
        <v>0</v>
      </c>
      <c r="DM48" s="260">
        <v>0</v>
      </c>
      <c r="DN48" s="260">
        <v>0</v>
      </c>
      <c r="DO48" s="260">
        <v>0</v>
      </c>
      <c r="DP48" s="260">
        <v>0</v>
      </c>
      <c r="DQ48" s="260">
        <v>0</v>
      </c>
      <c r="DR48" s="260">
        <v>0</v>
      </c>
      <c r="DS48" s="260">
        <v>0</v>
      </c>
      <c r="DT48" s="260">
        <v>0</v>
      </c>
      <c r="DU48" s="260">
        <v>0</v>
      </c>
      <c r="DV48" s="260">
        <v>0</v>
      </c>
      <c r="DW48" s="260">
        <v>0</v>
      </c>
      <c r="DX48" s="260">
        <v>0</v>
      </c>
      <c r="DY48" s="260">
        <v>0</v>
      </c>
      <c r="DZ48">
        <v>0</v>
      </c>
      <c r="EA48">
        <v>0</v>
      </c>
    </row>
    <row r="49" spans="10:131" x14ac:dyDescent="0.25">
      <c r="J49" t="str">
        <v>Cutter Book Value</v>
      </c>
      <c r="K49">
        <v>0</v>
      </c>
      <c r="L49" s="260">
        <v>19270.87</v>
      </c>
      <c r="M49" s="260">
        <v>14453.069999999982</v>
      </c>
      <c r="N49" s="260">
        <v>10839.82999999998</v>
      </c>
      <c r="O49" s="260">
        <v>8129.8449999999884</v>
      </c>
      <c r="P49" s="260">
        <v>6097.466249999994</v>
      </c>
      <c r="Q49" s="260">
        <v>4425.3971874999943</v>
      </c>
      <c r="R49" s="260">
        <v>2781.1914583333223</v>
      </c>
      <c r="S49" s="260">
        <v>1136.9857291666553</v>
      </c>
      <c r="T49" s="260">
        <v>999.99999999998863</v>
      </c>
      <c r="U49" s="260">
        <v>-1.1368683772161603E-11</v>
      </c>
      <c r="V49" s="260">
        <v>0</v>
      </c>
      <c r="W49" s="260">
        <v>0</v>
      </c>
      <c r="X49" s="260">
        <v>0</v>
      </c>
      <c r="Y49" s="260">
        <v>0</v>
      </c>
      <c r="Z49" s="260">
        <v>0</v>
      </c>
      <c r="AA49" s="260">
        <v>0</v>
      </c>
      <c r="AB49" s="260">
        <v>0</v>
      </c>
      <c r="AC49" s="260">
        <v>0</v>
      </c>
      <c r="AD49" s="260">
        <v>0</v>
      </c>
      <c r="AE49" s="260">
        <v>0</v>
      </c>
      <c r="AF49" s="260">
        <v>0</v>
      </c>
      <c r="AG49" s="260">
        <v>0</v>
      </c>
      <c r="AH49" s="260">
        <v>0</v>
      </c>
      <c r="AI49" s="260">
        <v>0</v>
      </c>
      <c r="AJ49" s="260">
        <v>0</v>
      </c>
      <c r="AK49" s="260">
        <v>0</v>
      </c>
      <c r="AL49" s="260">
        <v>0</v>
      </c>
      <c r="AM49" s="260">
        <v>0</v>
      </c>
      <c r="AN49" s="260">
        <v>0</v>
      </c>
      <c r="AO49" s="260">
        <v>0</v>
      </c>
      <c r="AP49" s="260">
        <v>0</v>
      </c>
      <c r="AQ49" s="260">
        <v>0</v>
      </c>
      <c r="AR49" s="260">
        <v>0</v>
      </c>
      <c r="AS49" s="260">
        <v>0</v>
      </c>
      <c r="AT49" s="260">
        <v>0</v>
      </c>
      <c r="AU49" s="260">
        <v>0</v>
      </c>
      <c r="AV49" s="260">
        <v>0</v>
      </c>
      <c r="AW49" s="260">
        <v>0</v>
      </c>
      <c r="AX49" s="260">
        <v>0</v>
      </c>
      <c r="AY49" s="260">
        <v>0</v>
      </c>
      <c r="AZ49" s="260">
        <v>0</v>
      </c>
      <c r="BA49" s="260">
        <v>0</v>
      </c>
      <c r="BB49" s="260">
        <v>0</v>
      </c>
      <c r="BC49" s="260">
        <v>0</v>
      </c>
      <c r="BD49" s="260">
        <v>0</v>
      </c>
      <c r="BE49" s="260">
        <v>0</v>
      </c>
      <c r="BF49" s="260">
        <v>0</v>
      </c>
      <c r="BG49" s="260">
        <v>0</v>
      </c>
      <c r="BH49" s="260">
        <v>0</v>
      </c>
      <c r="BI49" s="260">
        <v>0</v>
      </c>
      <c r="BJ49" s="260">
        <v>0</v>
      </c>
      <c r="BK49" s="260">
        <v>0</v>
      </c>
      <c r="BL49" s="260">
        <v>0</v>
      </c>
      <c r="BM49" s="260">
        <v>0</v>
      </c>
      <c r="BN49" s="260">
        <v>0</v>
      </c>
      <c r="BO49" s="260">
        <v>0</v>
      </c>
      <c r="BP49" s="260">
        <v>0</v>
      </c>
      <c r="BQ49" s="260">
        <v>0</v>
      </c>
      <c r="BR49" s="260">
        <v>0</v>
      </c>
      <c r="BS49" s="260">
        <v>0</v>
      </c>
      <c r="BT49" s="260">
        <v>0</v>
      </c>
      <c r="BU49" s="260">
        <v>0</v>
      </c>
      <c r="BV49" s="260">
        <v>0</v>
      </c>
      <c r="BW49" s="260">
        <v>0</v>
      </c>
      <c r="BX49" s="260">
        <v>0</v>
      </c>
      <c r="BY49" s="260">
        <v>0</v>
      </c>
      <c r="BZ49" s="260">
        <v>0</v>
      </c>
      <c r="CA49" s="260">
        <v>0</v>
      </c>
      <c r="CB49" s="260">
        <v>0</v>
      </c>
      <c r="CC49" s="260">
        <v>0</v>
      </c>
      <c r="CD49" s="260">
        <v>0</v>
      </c>
      <c r="CE49" s="260">
        <v>0</v>
      </c>
      <c r="CF49" s="260">
        <v>0</v>
      </c>
      <c r="CG49" s="260">
        <v>0</v>
      </c>
      <c r="CH49" s="260">
        <v>0</v>
      </c>
      <c r="CI49" s="260">
        <v>0</v>
      </c>
      <c r="CJ49" s="260">
        <v>0</v>
      </c>
      <c r="CK49" s="260">
        <v>0</v>
      </c>
      <c r="CL49" s="260">
        <v>0</v>
      </c>
      <c r="CM49" s="260">
        <v>0</v>
      </c>
      <c r="CN49" s="260">
        <v>0</v>
      </c>
      <c r="CO49" s="260">
        <v>0</v>
      </c>
      <c r="CP49" s="260">
        <v>0</v>
      </c>
      <c r="CQ49" s="260">
        <v>0</v>
      </c>
      <c r="CR49" s="260">
        <v>0</v>
      </c>
      <c r="CS49" s="260">
        <v>0</v>
      </c>
      <c r="CT49" s="260">
        <v>0</v>
      </c>
      <c r="CU49" s="260">
        <v>0</v>
      </c>
      <c r="CV49" s="260">
        <v>0</v>
      </c>
      <c r="CW49" s="260">
        <v>0</v>
      </c>
      <c r="CX49" s="260">
        <v>0</v>
      </c>
      <c r="CY49" s="260">
        <v>0</v>
      </c>
      <c r="CZ49" s="260">
        <v>0</v>
      </c>
      <c r="DA49" s="260">
        <v>0</v>
      </c>
      <c r="DB49" s="260">
        <v>0</v>
      </c>
      <c r="DC49" s="260">
        <v>0</v>
      </c>
      <c r="DD49" s="260">
        <v>0</v>
      </c>
      <c r="DE49" s="260">
        <v>0</v>
      </c>
      <c r="DF49" s="260">
        <v>0</v>
      </c>
      <c r="DG49" s="260">
        <v>0</v>
      </c>
      <c r="DH49" s="260">
        <v>0</v>
      </c>
      <c r="DI49" s="260">
        <v>0</v>
      </c>
      <c r="DJ49" s="260">
        <v>0</v>
      </c>
      <c r="DK49" s="260">
        <v>0</v>
      </c>
      <c r="DL49" s="260">
        <v>0</v>
      </c>
      <c r="DM49" s="260">
        <v>0</v>
      </c>
      <c r="DN49" s="260">
        <v>0</v>
      </c>
      <c r="DO49" s="260">
        <v>0</v>
      </c>
      <c r="DP49" s="260">
        <v>0</v>
      </c>
      <c r="DQ49" s="260">
        <v>0</v>
      </c>
      <c r="DR49" s="260">
        <v>0</v>
      </c>
      <c r="DS49" s="260">
        <v>0</v>
      </c>
      <c r="DT49" s="260">
        <v>0</v>
      </c>
      <c r="DU49" s="260">
        <v>0</v>
      </c>
      <c r="DV49" s="260">
        <v>0</v>
      </c>
      <c r="DW49" s="260">
        <v>0</v>
      </c>
      <c r="DX49" s="260">
        <v>0</v>
      </c>
      <c r="DY49" s="260">
        <v>0</v>
      </c>
      <c r="DZ49">
        <v>0</v>
      </c>
      <c r="EA49">
        <v>0</v>
      </c>
    </row>
    <row r="50" spans="10:131" x14ac:dyDescent="0.25">
      <c r="J50" t="str">
        <v>Cutter Revenue from Sale</v>
      </c>
      <c r="K50">
        <v>1000</v>
      </c>
      <c r="L50" s="260">
        <v>0</v>
      </c>
      <c r="M50" s="260">
        <v>0</v>
      </c>
      <c r="N50" s="260">
        <v>0</v>
      </c>
      <c r="O50" s="260">
        <v>0</v>
      </c>
      <c r="P50" s="260">
        <v>0</v>
      </c>
      <c r="Q50" s="260">
        <v>0</v>
      </c>
      <c r="R50" s="260">
        <v>0</v>
      </c>
      <c r="S50" s="260">
        <v>0</v>
      </c>
      <c r="T50" s="260">
        <v>0</v>
      </c>
      <c r="U50" s="260">
        <v>1000</v>
      </c>
      <c r="V50" s="260">
        <v>0</v>
      </c>
      <c r="W50" s="260">
        <v>0</v>
      </c>
      <c r="X50" s="260">
        <v>0</v>
      </c>
      <c r="Y50" s="260">
        <v>0</v>
      </c>
      <c r="Z50" s="260">
        <v>0</v>
      </c>
      <c r="AA50" s="260">
        <v>0</v>
      </c>
      <c r="AB50" s="260">
        <v>0</v>
      </c>
      <c r="AC50" s="260">
        <v>0</v>
      </c>
      <c r="AD50" s="260">
        <v>0</v>
      </c>
      <c r="AE50" s="260">
        <v>0</v>
      </c>
      <c r="AF50" s="260">
        <v>0</v>
      </c>
      <c r="AG50" s="260">
        <v>0</v>
      </c>
      <c r="AH50" s="260">
        <v>0</v>
      </c>
      <c r="AI50" s="260">
        <v>0</v>
      </c>
      <c r="AJ50" s="260">
        <v>0</v>
      </c>
      <c r="AK50" s="260">
        <v>0</v>
      </c>
      <c r="AL50" s="260">
        <v>0</v>
      </c>
      <c r="AM50" s="260">
        <v>0</v>
      </c>
      <c r="AN50" s="260">
        <v>0</v>
      </c>
      <c r="AO50" s="260">
        <v>0</v>
      </c>
      <c r="AP50" s="260">
        <v>0</v>
      </c>
      <c r="AQ50" s="260">
        <v>0</v>
      </c>
      <c r="AR50" s="260">
        <v>0</v>
      </c>
      <c r="AS50" s="260">
        <v>0</v>
      </c>
      <c r="AT50" s="260">
        <v>0</v>
      </c>
      <c r="AU50" s="260">
        <v>0</v>
      </c>
      <c r="AV50" s="260">
        <v>0</v>
      </c>
      <c r="AW50" s="260">
        <v>0</v>
      </c>
      <c r="AX50" s="260">
        <v>0</v>
      </c>
      <c r="AY50" s="260">
        <v>0</v>
      </c>
      <c r="AZ50" s="260">
        <v>0</v>
      </c>
      <c r="BA50" s="260">
        <v>0</v>
      </c>
      <c r="BB50" s="260">
        <v>0</v>
      </c>
      <c r="BC50" s="260">
        <v>0</v>
      </c>
      <c r="BD50" s="260">
        <v>0</v>
      </c>
      <c r="BE50" s="260">
        <v>0</v>
      </c>
      <c r="BF50" s="260">
        <v>0</v>
      </c>
      <c r="BG50" s="260">
        <v>0</v>
      </c>
      <c r="BH50" s="260">
        <v>0</v>
      </c>
      <c r="BI50" s="260">
        <v>0</v>
      </c>
      <c r="BJ50" s="260">
        <v>0</v>
      </c>
      <c r="BK50" s="260">
        <v>0</v>
      </c>
      <c r="BL50" s="260">
        <v>0</v>
      </c>
      <c r="BM50" s="260">
        <v>0</v>
      </c>
      <c r="BN50" s="260">
        <v>0</v>
      </c>
      <c r="BO50" s="260">
        <v>0</v>
      </c>
      <c r="BP50" s="260">
        <v>0</v>
      </c>
      <c r="BQ50" s="260">
        <v>0</v>
      </c>
      <c r="BR50" s="260">
        <v>0</v>
      </c>
      <c r="BS50" s="260">
        <v>0</v>
      </c>
      <c r="BT50" s="260">
        <v>0</v>
      </c>
      <c r="BU50" s="260">
        <v>0</v>
      </c>
      <c r="BV50" s="260">
        <v>0</v>
      </c>
      <c r="BW50" s="260">
        <v>0</v>
      </c>
      <c r="BX50" s="260">
        <v>0</v>
      </c>
      <c r="BY50" s="260">
        <v>0</v>
      </c>
      <c r="BZ50" s="260">
        <v>0</v>
      </c>
      <c r="CA50" s="260">
        <v>0</v>
      </c>
      <c r="CB50" s="260">
        <v>0</v>
      </c>
      <c r="CC50" s="260">
        <v>0</v>
      </c>
      <c r="CD50" s="260">
        <v>0</v>
      </c>
      <c r="CE50" s="260">
        <v>0</v>
      </c>
      <c r="CF50" s="260">
        <v>0</v>
      </c>
      <c r="CG50" s="260">
        <v>0</v>
      </c>
      <c r="CH50" s="260">
        <v>0</v>
      </c>
      <c r="CI50" s="260">
        <v>0</v>
      </c>
      <c r="CJ50" s="260">
        <v>0</v>
      </c>
      <c r="CK50" s="260">
        <v>0</v>
      </c>
      <c r="CL50" s="260">
        <v>0</v>
      </c>
      <c r="CM50" s="260">
        <v>0</v>
      </c>
      <c r="CN50" s="260">
        <v>0</v>
      </c>
      <c r="CO50" s="260">
        <v>0</v>
      </c>
      <c r="CP50" s="260">
        <v>0</v>
      </c>
      <c r="CQ50" s="260">
        <v>0</v>
      </c>
      <c r="CR50" s="260">
        <v>0</v>
      </c>
      <c r="CS50" s="260">
        <v>0</v>
      </c>
      <c r="CT50" s="260">
        <v>0</v>
      </c>
      <c r="CU50" s="260">
        <v>0</v>
      </c>
      <c r="CV50" s="260">
        <v>0</v>
      </c>
      <c r="CW50" s="260">
        <v>0</v>
      </c>
      <c r="CX50" s="260">
        <v>0</v>
      </c>
      <c r="CY50" s="260">
        <v>0</v>
      </c>
      <c r="CZ50" s="260">
        <v>0</v>
      </c>
      <c r="DA50" s="260">
        <v>0</v>
      </c>
      <c r="DB50" s="260">
        <v>0</v>
      </c>
      <c r="DC50" s="260">
        <v>0</v>
      </c>
      <c r="DD50" s="260">
        <v>0</v>
      </c>
      <c r="DE50" s="260">
        <v>0</v>
      </c>
      <c r="DF50" s="260">
        <v>0</v>
      </c>
      <c r="DG50" s="260">
        <v>0</v>
      </c>
      <c r="DH50" s="260">
        <v>0</v>
      </c>
      <c r="DI50" s="260">
        <v>0</v>
      </c>
      <c r="DJ50" s="260">
        <v>0</v>
      </c>
      <c r="DK50" s="260">
        <v>0</v>
      </c>
      <c r="DL50" s="260">
        <v>0</v>
      </c>
      <c r="DM50" s="260">
        <v>0</v>
      </c>
      <c r="DN50" s="260">
        <v>0</v>
      </c>
      <c r="DO50" s="260">
        <v>0</v>
      </c>
      <c r="DP50" s="260">
        <v>0</v>
      </c>
      <c r="DQ50" s="260">
        <v>0</v>
      </c>
      <c r="DR50" s="260">
        <v>0</v>
      </c>
      <c r="DS50" s="260">
        <v>0</v>
      </c>
      <c r="DT50" s="260">
        <v>0</v>
      </c>
      <c r="DU50" s="260">
        <v>0</v>
      </c>
      <c r="DV50" s="260">
        <v>0</v>
      </c>
      <c r="DW50" s="260">
        <v>0</v>
      </c>
      <c r="DX50" s="260">
        <v>0</v>
      </c>
      <c r="DY50" s="260">
        <v>0</v>
      </c>
      <c r="DZ50">
        <v>0</v>
      </c>
      <c r="EA50">
        <v>0</v>
      </c>
    </row>
    <row r="51" spans="10:131" x14ac:dyDescent="0.25">
      <c r="J51" t="str">
        <v>Cutter Disposal Costs</v>
      </c>
      <c r="K51">
        <v>500</v>
      </c>
      <c r="L51" s="260">
        <v>0</v>
      </c>
      <c r="M51" s="260">
        <v>0</v>
      </c>
      <c r="N51" s="260">
        <v>0</v>
      </c>
      <c r="O51" s="260">
        <v>0</v>
      </c>
      <c r="P51" s="260">
        <v>0</v>
      </c>
      <c r="Q51" s="260">
        <v>0</v>
      </c>
      <c r="R51" s="260">
        <v>0</v>
      </c>
      <c r="S51" s="260">
        <v>0</v>
      </c>
      <c r="T51" s="260">
        <v>0</v>
      </c>
      <c r="U51" s="260">
        <v>500</v>
      </c>
      <c r="V51" s="260">
        <v>0</v>
      </c>
      <c r="W51" s="260">
        <v>0</v>
      </c>
      <c r="X51" s="260">
        <v>0</v>
      </c>
      <c r="Y51" s="260">
        <v>0</v>
      </c>
      <c r="Z51" s="260">
        <v>0</v>
      </c>
      <c r="AA51" s="260">
        <v>0</v>
      </c>
      <c r="AB51" s="260">
        <v>0</v>
      </c>
      <c r="AC51" s="260">
        <v>0</v>
      </c>
      <c r="AD51" s="260">
        <v>0</v>
      </c>
      <c r="AE51" s="260">
        <v>0</v>
      </c>
      <c r="AF51" s="260">
        <v>0</v>
      </c>
      <c r="AG51" s="260">
        <v>0</v>
      </c>
      <c r="AH51" s="260">
        <v>0</v>
      </c>
      <c r="AI51" s="260">
        <v>0</v>
      </c>
      <c r="AJ51" s="260">
        <v>0</v>
      </c>
      <c r="AK51" s="260">
        <v>0</v>
      </c>
      <c r="AL51" s="260">
        <v>0</v>
      </c>
      <c r="AM51" s="260">
        <v>0</v>
      </c>
      <c r="AN51" s="260">
        <v>0</v>
      </c>
      <c r="AO51" s="260">
        <v>0</v>
      </c>
      <c r="AP51" s="260">
        <v>0</v>
      </c>
      <c r="AQ51" s="260">
        <v>0</v>
      </c>
      <c r="AR51" s="260">
        <v>0</v>
      </c>
      <c r="AS51" s="260">
        <v>0</v>
      </c>
      <c r="AT51" s="260">
        <v>0</v>
      </c>
      <c r="AU51" s="260">
        <v>0</v>
      </c>
      <c r="AV51" s="260">
        <v>0</v>
      </c>
      <c r="AW51" s="260">
        <v>0</v>
      </c>
      <c r="AX51" s="260">
        <v>0</v>
      </c>
      <c r="AY51" s="260">
        <v>0</v>
      </c>
      <c r="AZ51" s="260">
        <v>0</v>
      </c>
      <c r="BA51" s="260">
        <v>0</v>
      </c>
      <c r="BB51" s="260">
        <v>0</v>
      </c>
      <c r="BC51" s="260">
        <v>0</v>
      </c>
      <c r="BD51" s="260">
        <v>0</v>
      </c>
      <c r="BE51" s="260">
        <v>0</v>
      </c>
      <c r="BF51" s="260">
        <v>0</v>
      </c>
      <c r="BG51" s="260">
        <v>0</v>
      </c>
      <c r="BH51" s="260">
        <v>0</v>
      </c>
      <c r="BI51" s="260">
        <v>0</v>
      </c>
      <c r="BJ51" s="260">
        <v>0</v>
      </c>
      <c r="BK51" s="260">
        <v>0</v>
      </c>
      <c r="BL51" s="260">
        <v>0</v>
      </c>
      <c r="BM51" s="260">
        <v>0</v>
      </c>
      <c r="BN51" s="260">
        <v>0</v>
      </c>
      <c r="BO51" s="260">
        <v>0</v>
      </c>
      <c r="BP51" s="260">
        <v>0</v>
      </c>
      <c r="BQ51" s="260">
        <v>0</v>
      </c>
      <c r="BR51" s="260">
        <v>0</v>
      </c>
      <c r="BS51" s="260">
        <v>0</v>
      </c>
      <c r="BT51" s="260">
        <v>0</v>
      </c>
      <c r="BU51" s="260">
        <v>0</v>
      </c>
      <c r="BV51" s="260">
        <v>0</v>
      </c>
      <c r="BW51" s="260">
        <v>0</v>
      </c>
      <c r="BX51" s="260">
        <v>0</v>
      </c>
      <c r="BY51" s="260">
        <v>0</v>
      </c>
      <c r="BZ51" s="260">
        <v>0</v>
      </c>
      <c r="CA51" s="260">
        <v>0</v>
      </c>
      <c r="CB51" s="260">
        <v>0</v>
      </c>
      <c r="CC51" s="260">
        <v>0</v>
      </c>
      <c r="CD51" s="260">
        <v>0</v>
      </c>
      <c r="CE51" s="260">
        <v>0</v>
      </c>
      <c r="CF51" s="260">
        <v>0</v>
      </c>
      <c r="CG51" s="260">
        <v>0</v>
      </c>
      <c r="CH51" s="260">
        <v>0</v>
      </c>
      <c r="CI51" s="260">
        <v>0</v>
      </c>
      <c r="CJ51" s="260">
        <v>0</v>
      </c>
      <c r="CK51" s="260">
        <v>0</v>
      </c>
      <c r="CL51" s="260">
        <v>0</v>
      </c>
      <c r="CM51" s="260">
        <v>0</v>
      </c>
      <c r="CN51" s="260">
        <v>0</v>
      </c>
      <c r="CO51" s="260">
        <v>0</v>
      </c>
      <c r="CP51" s="260">
        <v>0</v>
      </c>
      <c r="CQ51" s="260">
        <v>0</v>
      </c>
      <c r="CR51" s="260">
        <v>0</v>
      </c>
      <c r="CS51" s="260">
        <v>0</v>
      </c>
      <c r="CT51" s="260">
        <v>0</v>
      </c>
      <c r="CU51" s="260">
        <v>0</v>
      </c>
      <c r="CV51" s="260">
        <v>0</v>
      </c>
      <c r="CW51" s="260">
        <v>0</v>
      </c>
      <c r="CX51" s="260">
        <v>0</v>
      </c>
      <c r="CY51" s="260">
        <v>0</v>
      </c>
      <c r="CZ51" s="260">
        <v>0</v>
      </c>
      <c r="DA51" s="260">
        <v>0</v>
      </c>
      <c r="DB51" s="260">
        <v>0</v>
      </c>
      <c r="DC51" s="260">
        <v>0</v>
      </c>
      <c r="DD51" s="260">
        <v>0</v>
      </c>
      <c r="DE51" s="260">
        <v>0</v>
      </c>
      <c r="DF51" s="260">
        <v>0</v>
      </c>
      <c r="DG51" s="260">
        <v>0</v>
      </c>
      <c r="DH51" s="260">
        <v>0</v>
      </c>
      <c r="DI51" s="260">
        <v>0</v>
      </c>
      <c r="DJ51" s="260">
        <v>0</v>
      </c>
      <c r="DK51" s="260">
        <v>0</v>
      </c>
      <c r="DL51" s="260">
        <v>0</v>
      </c>
      <c r="DM51" s="260">
        <v>0</v>
      </c>
      <c r="DN51" s="260">
        <v>0</v>
      </c>
      <c r="DO51" s="260">
        <v>0</v>
      </c>
      <c r="DP51" s="260">
        <v>0</v>
      </c>
      <c r="DQ51" s="260">
        <v>0</v>
      </c>
      <c r="DR51" s="260">
        <v>0</v>
      </c>
      <c r="DS51" s="260">
        <v>0</v>
      </c>
      <c r="DT51" s="260">
        <v>0</v>
      </c>
      <c r="DU51" s="260">
        <v>0</v>
      </c>
      <c r="DV51" s="260">
        <v>0</v>
      </c>
      <c r="DW51" s="260">
        <v>0</v>
      </c>
      <c r="DX51" s="260">
        <v>0</v>
      </c>
      <c r="DY51" s="260">
        <v>0</v>
      </c>
      <c r="DZ51">
        <v>0</v>
      </c>
      <c r="EA51">
        <v>0</v>
      </c>
    </row>
    <row r="52" spans="10:131" x14ac:dyDescent="0.25">
      <c r="J52" t="str">
        <v/>
      </c>
      <c r="K52">
        <v>0</v>
      </c>
      <c r="L52" s="260" t="str">
        <v/>
      </c>
      <c r="M52" s="260" t="str">
        <v/>
      </c>
      <c r="N52" s="260" t="str">
        <v/>
      </c>
      <c r="O52" s="260" t="str">
        <v/>
      </c>
      <c r="P52" s="260" t="str">
        <v/>
      </c>
      <c r="Q52" s="260" t="str">
        <v/>
      </c>
      <c r="R52" s="260" t="str">
        <v/>
      </c>
      <c r="S52" s="260" t="str">
        <v/>
      </c>
      <c r="T52" s="260" t="str">
        <v/>
      </c>
      <c r="U52" s="260" t="str">
        <v/>
      </c>
      <c r="V52" s="260" t="str">
        <v/>
      </c>
      <c r="W52" s="260" t="str">
        <v/>
      </c>
      <c r="X52" s="260" t="str">
        <v/>
      </c>
      <c r="Y52" s="260" t="str">
        <v/>
      </c>
      <c r="Z52" s="260" t="str">
        <v/>
      </c>
      <c r="AA52" s="260" t="str">
        <v/>
      </c>
      <c r="AB52" s="260" t="str">
        <v/>
      </c>
      <c r="AC52" s="260" t="str">
        <v/>
      </c>
      <c r="AD52" s="260" t="str">
        <v/>
      </c>
      <c r="AE52" s="260" t="str">
        <v/>
      </c>
      <c r="AF52" s="260" t="str">
        <v/>
      </c>
      <c r="AG52" s="260" t="str">
        <v/>
      </c>
      <c r="AH52" s="260" t="str">
        <v/>
      </c>
      <c r="AI52" s="260" t="str">
        <v/>
      </c>
      <c r="AJ52" s="260" t="str">
        <v/>
      </c>
      <c r="AK52" s="260" t="str">
        <v/>
      </c>
      <c r="AL52" s="260" t="str">
        <v/>
      </c>
      <c r="AM52" s="260" t="str">
        <v/>
      </c>
      <c r="AN52" s="260" t="str">
        <v/>
      </c>
      <c r="AO52" s="260" t="str">
        <v/>
      </c>
      <c r="AP52" s="260" t="str">
        <v/>
      </c>
      <c r="AQ52" s="260" t="str">
        <v/>
      </c>
      <c r="AR52" s="260" t="str">
        <v/>
      </c>
      <c r="AS52" s="260" t="str">
        <v/>
      </c>
      <c r="AT52" s="260" t="str">
        <v/>
      </c>
      <c r="AU52" s="260" t="str">
        <v/>
      </c>
      <c r="AV52" s="260" t="str">
        <v/>
      </c>
      <c r="AW52" s="260" t="str">
        <v/>
      </c>
      <c r="AX52" s="260" t="str">
        <v/>
      </c>
      <c r="AY52" s="260" t="str">
        <v/>
      </c>
      <c r="AZ52" s="260" t="str">
        <v/>
      </c>
      <c r="BA52" s="260" t="str">
        <v/>
      </c>
      <c r="BB52" s="260" t="str">
        <v/>
      </c>
      <c r="BC52" s="260" t="str">
        <v/>
      </c>
      <c r="BD52" s="260" t="str">
        <v/>
      </c>
      <c r="BE52" s="260" t="str">
        <v/>
      </c>
      <c r="BF52" s="260" t="str">
        <v/>
      </c>
      <c r="BG52" s="260" t="str">
        <v/>
      </c>
      <c r="BH52" s="260" t="str">
        <v/>
      </c>
      <c r="BI52" s="260" t="str">
        <v/>
      </c>
      <c r="BJ52" s="260" t="str">
        <v/>
      </c>
      <c r="BK52" s="260" t="str">
        <v/>
      </c>
      <c r="BL52" s="260" t="str">
        <v/>
      </c>
      <c r="BM52" s="260" t="str">
        <v/>
      </c>
      <c r="BN52" s="260" t="str">
        <v/>
      </c>
      <c r="BO52" s="260" t="str">
        <v/>
      </c>
      <c r="BP52" s="260" t="str">
        <v/>
      </c>
      <c r="BQ52" s="260" t="str">
        <v/>
      </c>
      <c r="BR52" s="260" t="str">
        <v/>
      </c>
      <c r="BS52" s="260" t="str">
        <v/>
      </c>
      <c r="BT52" s="260" t="str">
        <v/>
      </c>
      <c r="BU52" s="260" t="str">
        <v/>
      </c>
      <c r="BV52" s="260" t="str">
        <v/>
      </c>
      <c r="BW52" s="260" t="str">
        <v/>
      </c>
      <c r="BX52" s="260" t="str">
        <v/>
      </c>
      <c r="BY52" s="260" t="str">
        <v/>
      </c>
      <c r="BZ52" s="260" t="str">
        <v/>
      </c>
      <c r="CA52" s="260" t="str">
        <v/>
      </c>
      <c r="CB52" s="260" t="str">
        <v/>
      </c>
      <c r="CC52" s="260" t="str">
        <v/>
      </c>
      <c r="CD52" s="260" t="str">
        <v/>
      </c>
      <c r="CE52" s="260" t="str">
        <v/>
      </c>
      <c r="CF52" s="260" t="str">
        <v/>
      </c>
      <c r="CG52" s="260" t="str">
        <v/>
      </c>
      <c r="CH52" s="260" t="str">
        <v/>
      </c>
      <c r="CI52" s="260" t="str">
        <v/>
      </c>
      <c r="CJ52" s="260" t="str">
        <v/>
      </c>
      <c r="CK52" s="260" t="str">
        <v/>
      </c>
      <c r="CL52" s="260" t="str">
        <v/>
      </c>
      <c r="CM52" s="260" t="str">
        <v/>
      </c>
      <c r="CN52" s="260" t="str">
        <v/>
      </c>
      <c r="CO52" s="260" t="str">
        <v/>
      </c>
      <c r="CP52" s="260" t="str">
        <v/>
      </c>
      <c r="CQ52" s="260" t="str">
        <v/>
      </c>
      <c r="CR52" s="260" t="str">
        <v/>
      </c>
      <c r="CS52" s="260" t="str">
        <v/>
      </c>
      <c r="CT52" s="260" t="str">
        <v/>
      </c>
      <c r="CU52" s="260" t="str">
        <v/>
      </c>
      <c r="CV52" s="260" t="str">
        <v/>
      </c>
      <c r="CW52" s="260" t="str">
        <v/>
      </c>
      <c r="CX52" s="260" t="str">
        <v/>
      </c>
      <c r="CY52" s="260" t="str">
        <v/>
      </c>
      <c r="CZ52" s="260" t="str">
        <v/>
      </c>
      <c r="DA52" s="260" t="str">
        <v/>
      </c>
      <c r="DB52" s="260" t="str">
        <v/>
      </c>
      <c r="DC52" s="260" t="str">
        <v/>
      </c>
      <c r="DD52" s="260" t="str">
        <v/>
      </c>
      <c r="DE52" s="260" t="str">
        <v/>
      </c>
      <c r="DF52" s="260" t="str">
        <v/>
      </c>
      <c r="DG52" s="260" t="str">
        <v/>
      </c>
      <c r="DH52" s="260" t="str">
        <v/>
      </c>
      <c r="DI52" s="260" t="str">
        <v/>
      </c>
      <c r="DJ52" s="260" t="str">
        <v/>
      </c>
      <c r="DK52" s="260" t="str">
        <v/>
      </c>
      <c r="DL52" s="260" t="str">
        <v/>
      </c>
      <c r="DM52" s="260" t="str">
        <v/>
      </c>
      <c r="DN52" s="260" t="str">
        <v/>
      </c>
      <c r="DO52" s="260" t="str">
        <v/>
      </c>
      <c r="DP52" s="260" t="str">
        <v/>
      </c>
      <c r="DQ52" s="260" t="str">
        <v/>
      </c>
      <c r="DR52" s="260" t="str">
        <v/>
      </c>
      <c r="DS52" s="260" t="str">
        <v/>
      </c>
      <c r="DT52" s="260" t="str">
        <v/>
      </c>
      <c r="DU52" s="260" t="str">
        <v/>
      </c>
      <c r="DV52" s="260" t="str">
        <v/>
      </c>
      <c r="DW52" s="260" t="str">
        <v/>
      </c>
      <c r="DX52" s="260" t="str">
        <v/>
      </c>
      <c r="DY52" s="260" t="str">
        <v/>
      </c>
      <c r="DZ52" t="str">
        <v/>
      </c>
      <c r="EA52" t="str">
        <v/>
      </c>
    </row>
    <row r="53" spans="10:131" x14ac:dyDescent="0.25">
      <c r="J53" t="str">
        <v>Press CAPEX</v>
      </c>
      <c r="K53">
        <v>10000</v>
      </c>
      <c r="L53" s="260">
        <v>10000</v>
      </c>
      <c r="M53" s="260">
        <v>0</v>
      </c>
      <c r="N53" s="260">
        <v>0</v>
      </c>
      <c r="O53" s="260">
        <v>0</v>
      </c>
      <c r="P53" s="260">
        <v>0</v>
      </c>
      <c r="Q53" s="260">
        <v>0</v>
      </c>
      <c r="R53" s="260">
        <v>0</v>
      </c>
      <c r="S53" s="260">
        <v>0</v>
      </c>
      <c r="T53" s="260">
        <v>0</v>
      </c>
      <c r="U53" s="260">
        <v>0</v>
      </c>
      <c r="V53" s="260">
        <v>0</v>
      </c>
      <c r="W53" s="260">
        <v>0</v>
      </c>
      <c r="X53" s="260">
        <v>0</v>
      </c>
      <c r="Y53" s="260">
        <v>0</v>
      </c>
      <c r="Z53" s="260">
        <v>0</v>
      </c>
      <c r="AA53" s="260">
        <v>0</v>
      </c>
      <c r="AB53" s="260">
        <v>0</v>
      </c>
      <c r="AC53" s="260">
        <v>0</v>
      </c>
      <c r="AD53" s="260">
        <v>0</v>
      </c>
      <c r="AE53" s="260">
        <v>0</v>
      </c>
      <c r="AF53" s="260">
        <v>0</v>
      </c>
      <c r="AG53" s="260">
        <v>0</v>
      </c>
      <c r="AH53" s="260">
        <v>0</v>
      </c>
      <c r="AI53" s="260">
        <v>0</v>
      </c>
      <c r="AJ53" s="260">
        <v>0</v>
      </c>
      <c r="AK53" s="260">
        <v>0</v>
      </c>
      <c r="AL53" s="260">
        <v>0</v>
      </c>
      <c r="AM53" s="260">
        <v>0</v>
      </c>
      <c r="AN53" s="260">
        <v>0</v>
      </c>
      <c r="AO53" s="260">
        <v>0</v>
      </c>
      <c r="AP53" s="260">
        <v>0</v>
      </c>
      <c r="AQ53" s="260">
        <v>0</v>
      </c>
      <c r="AR53" s="260">
        <v>0</v>
      </c>
      <c r="AS53" s="260">
        <v>0</v>
      </c>
      <c r="AT53" s="260">
        <v>0</v>
      </c>
      <c r="AU53" s="260">
        <v>0</v>
      </c>
      <c r="AV53" s="260">
        <v>0</v>
      </c>
      <c r="AW53" s="260">
        <v>0</v>
      </c>
      <c r="AX53" s="260">
        <v>0</v>
      </c>
      <c r="AY53" s="260">
        <v>0</v>
      </c>
      <c r="AZ53" s="260">
        <v>0</v>
      </c>
      <c r="BA53" s="260">
        <v>0</v>
      </c>
      <c r="BB53" s="260">
        <v>0</v>
      </c>
      <c r="BC53" s="260">
        <v>0</v>
      </c>
      <c r="BD53" s="260">
        <v>0</v>
      </c>
      <c r="BE53" s="260">
        <v>0</v>
      </c>
      <c r="BF53" s="260">
        <v>0</v>
      </c>
      <c r="BG53" s="260">
        <v>0</v>
      </c>
      <c r="BH53" s="260">
        <v>0</v>
      </c>
      <c r="BI53" s="260">
        <v>0</v>
      </c>
      <c r="BJ53" s="260">
        <v>0</v>
      </c>
      <c r="BK53" s="260">
        <v>0</v>
      </c>
      <c r="BL53" s="260">
        <v>0</v>
      </c>
      <c r="BM53" s="260">
        <v>0</v>
      </c>
      <c r="BN53" s="260">
        <v>0</v>
      </c>
      <c r="BO53" s="260">
        <v>0</v>
      </c>
      <c r="BP53" s="260">
        <v>0</v>
      </c>
      <c r="BQ53" s="260">
        <v>0</v>
      </c>
      <c r="BR53" s="260">
        <v>0</v>
      </c>
      <c r="BS53" s="260">
        <v>0</v>
      </c>
      <c r="BT53" s="260">
        <v>0</v>
      </c>
      <c r="BU53" s="260">
        <v>0</v>
      </c>
      <c r="BV53" s="260">
        <v>0</v>
      </c>
      <c r="BW53" s="260">
        <v>0</v>
      </c>
      <c r="BX53" s="260">
        <v>0</v>
      </c>
      <c r="BY53" s="260">
        <v>0</v>
      </c>
      <c r="BZ53" s="260">
        <v>0</v>
      </c>
      <c r="CA53" s="260">
        <v>0</v>
      </c>
      <c r="CB53" s="260">
        <v>0</v>
      </c>
      <c r="CC53" s="260">
        <v>0</v>
      </c>
      <c r="CD53" s="260">
        <v>0</v>
      </c>
      <c r="CE53" s="260">
        <v>0</v>
      </c>
      <c r="CF53" s="260">
        <v>0</v>
      </c>
      <c r="CG53" s="260">
        <v>0</v>
      </c>
      <c r="CH53" s="260">
        <v>0</v>
      </c>
      <c r="CI53" s="260">
        <v>0</v>
      </c>
      <c r="CJ53" s="260">
        <v>0</v>
      </c>
      <c r="CK53" s="260">
        <v>0</v>
      </c>
      <c r="CL53" s="260">
        <v>0</v>
      </c>
      <c r="CM53" s="260">
        <v>0</v>
      </c>
      <c r="CN53" s="260">
        <v>0</v>
      </c>
      <c r="CO53" s="260">
        <v>0</v>
      </c>
      <c r="CP53" s="260">
        <v>0</v>
      </c>
      <c r="CQ53" s="260">
        <v>0</v>
      </c>
      <c r="CR53" s="260">
        <v>0</v>
      </c>
      <c r="CS53" s="260">
        <v>0</v>
      </c>
      <c r="CT53" s="260">
        <v>0</v>
      </c>
      <c r="CU53" s="260">
        <v>0</v>
      </c>
      <c r="CV53" s="260">
        <v>0</v>
      </c>
      <c r="CW53" s="260">
        <v>0</v>
      </c>
      <c r="CX53" s="260">
        <v>0</v>
      </c>
      <c r="CY53" s="260">
        <v>0</v>
      </c>
      <c r="CZ53" s="260">
        <v>0</v>
      </c>
      <c r="DA53" s="260">
        <v>0</v>
      </c>
      <c r="DB53" s="260">
        <v>0</v>
      </c>
      <c r="DC53" s="260">
        <v>0</v>
      </c>
      <c r="DD53" s="260">
        <v>0</v>
      </c>
      <c r="DE53" s="260">
        <v>0</v>
      </c>
      <c r="DF53" s="260">
        <v>0</v>
      </c>
      <c r="DG53" s="260">
        <v>0</v>
      </c>
      <c r="DH53" s="260">
        <v>0</v>
      </c>
      <c r="DI53" s="260">
        <v>0</v>
      </c>
      <c r="DJ53" s="260">
        <v>0</v>
      </c>
      <c r="DK53" s="260">
        <v>0</v>
      </c>
      <c r="DL53" s="260">
        <v>0</v>
      </c>
      <c r="DM53" s="260">
        <v>0</v>
      </c>
      <c r="DN53" s="260">
        <v>0</v>
      </c>
      <c r="DO53" s="260">
        <v>0</v>
      </c>
      <c r="DP53" s="260">
        <v>0</v>
      </c>
      <c r="DQ53" s="260">
        <v>0</v>
      </c>
      <c r="DR53" s="260">
        <v>0</v>
      </c>
      <c r="DS53" s="260">
        <v>0</v>
      </c>
      <c r="DT53" s="260">
        <v>0</v>
      </c>
      <c r="DU53" s="260">
        <v>0</v>
      </c>
      <c r="DV53" s="260">
        <v>0</v>
      </c>
      <c r="DW53" s="260">
        <v>0</v>
      </c>
      <c r="DX53" s="260">
        <v>0</v>
      </c>
      <c r="DY53" s="260">
        <v>0</v>
      </c>
      <c r="DZ53">
        <v>0</v>
      </c>
      <c r="EA53">
        <v>0</v>
      </c>
    </row>
    <row r="54" spans="10:131" x14ac:dyDescent="0.25">
      <c r="J54" t="str">
        <v>Press Opening Value</v>
      </c>
      <c r="K54">
        <v>0</v>
      </c>
      <c r="L54" s="260">
        <v>10000</v>
      </c>
      <c r="M54" s="260">
        <v>8499.9699999999993</v>
      </c>
      <c r="N54" s="260">
        <v>6800.03</v>
      </c>
      <c r="O54" s="260">
        <v>5439.9699999999993</v>
      </c>
      <c r="P54" s="260">
        <v>4352.03</v>
      </c>
      <c r="Q54" s="260">
        <v>3481.57</v>
      </c>
      <c r="R54" s="260">
        <v>2785.3099999999986</v>
      </c>
      <c r="S54" s="260">
        <v>2228.2299999999973</v>
      </c>
      <c r="T54" s="260">
        <v>1782.6019999999967</v>
      </c>
      <c r="U54" s="260">
        <v>1426.0815999999959</v>
      </c>
      <c r="V54" s="260">
        <v>710.55727999999499</v>
      </c>
      <c r="W54" s="260">
        <v>499.99999999999886</v>
      </c>
      <c r="X54" s="260">
        <v>0</v>
      </c>
      <c r="Y54" s="260">
        <v>0</v>
      </c>
      <c r="Z54" s="260">
        <v>0</v>
      </c>
      <c r="AA54" s="260">
        <v>0</v>
      </c>
      <c r="AB54" s="260">
        <v>0</v>
      </c>
      <c r="AC54" s="260">
        <v>0</v>
      </c>
      <c r="AD54" s="260">
        <v>0</v>
      </c>
      <c r="AE54" s="260">
        <v>0</v>
      </c>
      <c r="AF54" s="260">
        <v>0</v>
      </c>
      <c r="AG54" s="260">
        <v>0</v>
      </c>
      <c r="AH54" s="260">
        <v>0</v>
      </c>
      <c r="AI54" s="260">
        <v>0</v>
      </c>
      <c r="AJ54" s="260">
        <v>0</v>
      </c>
      <c r="AK54" s="260">
        <v>0</v>
      </c>
      <c r="AL54" s="260">
        <v>0</v>
      </c>
      <c r="AM54" s="260">
        <v>0</v>
      </c>
      <c r="AN54" s="260">
        <v>0</v>
      </c>
      <c r="AO54" s="260">
        <v>0</v>
      </c>
      <c r="AP54" s="260">
        <v>0</v>
      </c>
      <c r="AQ54" s="260">
        <v>0</v>
      </c>
      <c r="AR54" s="260">
        <v>0</v>
      </c>
      <c r="AS54" s="260">
        <v>0</v>
      </c>
      <c r="AT54" s="260">
        <v>0</v>
      </c>
      <c r="AU54" s="260">
        <v>0</v>
      </c>
      <c r="AV54" s="260">
        <v>0</v>
      </c>
      <c r="AW54" s="260">
        <v>0</v>
      </c>
      <c r="AX54" s="260">
        <v>0</v>
      </c>
      <c r="AY54" s="260">
        <v>0</v>
      </c>
      <c r="AZ54" s="260">
        <v>0</v>
      </c>
      <c r="BA54" s="260">
        <v>0</v>
      </c>
      <c r="BB54" s="260">
        <v>0</v>
      </c>
      <c r="BC54" s="260">
        <v>0</v>
      </c>
      <c r="BD54" s="260">
        <v>0</v>
      </c>
      <c r="BE54" s="260">
        <v>0</v>
      </c>
      <c r="BF54" s="260">
        <v>0</v>
      </c>
      <c r="BG54" s="260">
        <v>0</v>
      </c>
      <c r="BH54" s="260">
        <v>0</v>
      </c>
      <c r="BI54" s="260">
        <v>0</v>
      </c>
      <c r="BJ54" s="260">
        <v>0</v>
      </c>
      <c r="BK54" s="260">
        <v>0</v>
      </c>
      <c r="BL54" s="260">
        <v>0</v>
      </c>
      <c r="BM54" s="260">
        <v>0</v>
      </c>
      <c r="BN54" s="260">
        <v>0</v>
      </c>
      <c r="BO54" s="260">
        <v>0</v>
      </c>
      <c r="BP54" s="260">
        <v>0</v>
      </c>
      <c r="BQ54" s="260">
        <v>0</v>
      </c>
      <c r="BR54" s="260">
        <v>0</v>
      </c>
      <c r="BS54" s="260">
        <v>0</v>
      </c>
      <c r="BT54" s="260">
        <v>0</v>
      </c>
      <c r="BU54" s="260">
        <v>0</v>
      </c>
      <c r="BV54" s="260">
        <v>0</v>
      </c>
      <c r="BW54" s="260">
        <v>0</v>
      </c>
      <c r="BX54" s="260">
        <v>0</v>
      </c>
      <c r="BY54" s="260">
        <v>0</v>
      </c>
      <c r="BZ54" s="260">
        <v>0</v>
      </c>
      <c r="CA54" s="260">
        <v>0</v>
      </c>
      <c r="CB54" s="260">
        <v>0</v>
      </c>
      <c r="CC54" s="260">
        <v>0</v>
      </c>
      <c r="CD54" s="260">
        <v>0</v>
      </c>
      <c r="CE54" s="260">
        <v>0</v>
      </c>
      <c r="CF54" s="260">
        <v>0</v>
      </c>
      <c r="CG54" s="260">
        <v>0</v>
      </c>
      <c r="CH54" s="260">
        <v>0</v>
      </c>
      <c r="CI54" s="260">
        <v>0</v>
      </c>
      <c r="CJ54" s="260">
        <v>0</v>
      </c>
      <c r="CK54" s="260">
        <v>0</v>
      </c>
      <c r="CL54" s="260">
        <v>0</v>
      </c>
      <c r="CM54" s="260">
        <v>0</v>
      </c>
      <c r="CN54" s="260">
        <v>0</v>
      </c>
      <c r="CO54" s="260">
        <v>0</v>
      </c>
      <c r="CP54" s="260">
        <v>0</v>
      </c>
      <c r="CQ54" s="260">
        <v>0</v>
      </c>
      <c r="CR54" s="260">
        <v>0</v>
      </c>
      <c r="CS54" s="260">
        <v>0</v>
      </c>
      <c r="CT54" s="260">
        <v>0</v>
      </c>
      <c r="CU54" s="260">
        <v>0</v>
      </c>
      <c r="CV54" s="260">
        <v>0</v>
      </c>
      <c r="CW54" s="260">
        <v>0</v>
      </c>
      <c r="CX54" s="260">
        <v>0</v>
      </c>
      <c r="CY54" s="260">
        <v>0</v>
      </c>
      <c r="CZ54" s="260">
        <v>0</v>
      </c>
      <c r="DA54" s="260">
        <v>0</v>
      </c>
      <c r="DB54" s="260">
        <v>0</v>
      </c>
      <c r="DC54" s="260">
        <v>0</v>
      </c>
      <c r="DD54" s="260">
        <v>0</v>
      </c>
      <c r="DE54" s="260">
        <v>0</v>
      </c>
      <c r="DF54" s="260">
        <v>0</v>
      </c>
      <c r="DG54" s="260">
        <v>0</v>
      </c>
      <c r="DH54" s="260">
        <v>0</v>
      </c>
      <c r="DI54" s="260">
        <v>0</v>
      </c>
      <c r="DJ54" s="260">
        <v>0</v>
      </c>
      <c r="DK54" s="260">
        <v>0</v>
      </c>
      <c r="DL54" s="260">
        <v>0</v>
      </c>
      <c r="DM54" s="260">
        <v>0</v>
      </c>
      <c r="DN54" s="260">
        <v>0</v>
      </c>
      <c r="DO54" s="260">
        <v>0</v>
      </c>
      <c r="DP54" s="260">
        <v>0</v>
      </c>
      <c r="DQ54" s="260">
        <v>0</v>
      </c>
      <c r="DR54" s="260">
        <v>0</v>
      </c>
      <c r="DS54" s="260">
        <v>0</v>
      </c>
      <c r="DT54" s="260">
        <v>0</v>
      </c>
      <c r="DU54" s="260">
        <v>0</v>
      </c>
      <c r="DV54" s="260">
        <v>0</v>
      </c>
      <c r="DW54" s="260">
        <v>0</v>
      </c>
      <c r="DX54" s="260">
        <v>0</v>
      </c>
      <c r="DY54" s="260">
        <v>0</v>
      </c>
      <c r="DZ54">
        <v>0</v>
      </c>
      <c r="EA54">
        <v>0</v>
      </c>
    </row>
    <row r="55" spans="10:131" x14ac:dyDescent="0.25">
      <c r="J55" t="str">
        <v>Press Depreciation</v>
      </c>
      <c r="K55">
        <v>9999.9999999999982</v>
      </c>
      <c r="L55" s="260">
        <v>1500.03</v>
      </c>
      <c r="M55" s="260">
        <v>1699.9399999999996</v>
      </c>
      <c r="N55" s="260">
        <v>1360.0600000000002</v>
      </c>
      <c r="O55" s="260">
        <v>1087.9400000000005</v>
      </c>
      <c r="P55" s="260">
        <v>870.45999999999992</v>
      </c>
      <c r="Q55" s="260">
        <v>696.26000000000056</v>
      </c>
      <c r="R55" s="260">
        <v>557.08000000000038</v>
      </c>
      <c r="S55" s="260">
        <v>445.62800000000027</v>
      </c>
      <c r="T55" s="260">
        <v>356.52040000000034</v>
      </c>
      <c r="U55" s="260">
        <v>715.52432000000044</v>
      </c>
      <c r="V55" s="260">
        <v>210.55727999999601</v>
      </c>
      <c r="W55" s="260">
        <v>500</v>
      </c>
      <c r="X55" s="260">
        <v>0</v>
      </c>
      <c r="Y55" s="260">
        <v>0</v>
      </c>
      <c r="Z55" s="260">
        <v>0</v>
      </c>
      <c r="AA55" s="260">
        <v>0</v>
      </c>
      <c r="AB55" s="260">
        <v>0</v>
      </c>
      <c r="AC55" s="260">
        <v>0</v>
      </c>
      <c r="AD55" s="260">
        <v>0</v>
      </c>
      <c r="AE55" s="260">
        <v>0</v>
      </c>
      <c r="AF55" s="260">
        <v>0</v>
      </c>
      <c r="AG55" s="260">
        <v>0</v>
      </c>
      <c r="AH55" s="260">
        <v>0</v>
      </c>
      <c r="AI55" s="260">
        <v>0</v>
      </c>
      <c r="AJ55" s="260">
        <v>0</v>
      </c>
      <c r="AK55" s="260">
        <v>0</v>
      </c>
      <c r="AL55" s="260">
        <v>0</v>
      </c>
      <c r="AM55" s="260">
        <v>0</v>
      </c>
      <c r="AN55" s="260">
        <v>0</v>
      </c>
      <c r="AO55" s="260">
        <v>0</v>
      </c>
      <c r="AP55" s="260">
        <v>0</v>
      </c>
      <c r="AQ55" s="260">
        <v>0</v>
      </c>
      <c r="AR55" s="260">
        <v>0</v>
      </c>
      <c r="AS55" s="260">
        <v>0</v>
      </c>
      <c r="AT55" s="260">
        <v>0</v>
      </c>
      <c r="AU55" s="260">
        <v>0</v>
      </c>
      <c r="AV55" s="260">
        <v>0</v>
      </c>
      <c r="AW55" s="260">
        <v>0</v>
      </c>
      <c r="AX55" s="260">
        <v>0</v>
      </c>
      <c r="AY55" s="260">
        <v>0</v>
      </c>
      <c r="AZ55" s="260">
        <v>0</v>
      </c>
      <c r="BA55" s="260">
        <v>0</v>
      </c>
      <c r="BB55" s="260">
        <v>0</v>
      </c>
      <c r="BC55" s="260">
        <v>0</v>
      </c>
      <c r="BD55" s="260">
        <v>0</v>
      </c>
      <c r="BE55" s="260">
        <v>0</v>
      </c>
      <c r="BF55" s="260">
        <v>0</v>
      </c>
      <c r="BG55" s="260">
        <v>0</v>
      </c>
      <c r="BH55" s="260">
        <v>0</v>
      </c>
      <c r="BI55" s="260">
        <v>0</v>
      </c>
      <c r="BJ55" s="260">
        <v>0</v>
      </c>
      <c r="BK55" s="260">
        <v>0</v>
      </c>
      <c r="BL55" s="260">
        <v>0</v>
      </c>
      <c r="BM55" s="260">
        <v>0</v>
      </c>
      <c r="BN55" s="260">
        <v>0</v>
      </c>
      <c r="BO55" s="260">
        <v>0</v>
      </c>
      <c r="BP55" s="260">
        <v>0</v>
      </c>
      <c r="BQ55" s="260">
        <v>0</v>
      </c>
      <c r="BR55" s="260">
        <v>0</v>
      </c>
      <c r="BS55" s="260">
        <v>0</v>
      </c>
      <c r="BT55" s="260">
        <v>0</v>
      </c>
      <c r="BU55" s="260">
        <v>0</v>
      </c>
      <c r="BV55" s="260">
        <v>0</v>
      </c>
      <c r="BW55" s="260">
        <v>0</v>
      </c>
      <c r="BX55" s="260">
        <v>0</v>
      </c>
      <c r="BY55" s="260">
        <v>0</v>
      </c>
      <c r="BZ55" s="260">
        <v>0</v>
      </c>
      <c r="CA55" s="260">
        <v>0</v>
      </c>
      <c r="CB55" s="260">
        <v>0</v>
      </c>
      <c r="CC55" s="260">
        <v>0</v>
      </c>
      <c r="CD55" s="260">
        <v>0</v>
      </c>
      <c r="CE55" s="260">
        <v>0</v>
      </c>
      <c r="CF55" s="260">
        <v>0</v>
      </c>
      <c r="CG55" s="260">
        <v>0</v>
      </c>
      <c r="CH55" s="260">
        <v>0</v>
      </c>
      <c r="CI55" s="260">
        <v>0</v>
      </c>
      <c r="CJ55" s="260">
        <v>0</v>
      </c>
      <c r="CK55" s="260">
        <v>0</v>
      </c>
      <c r="CL55" s="260">
        <v>0</v>
      </c>
      <c r="CM55" s="260">
        <v>0</v>
      </c>
      <c r="CN55" s="260">
        <v>0</v>
      </c>
      <c r="CO55" s="260">
        <v>0</v>
      </c>
      <c r="CP55" s="260">
        <v>0</v>
      </c>
      <c r="CQ55" s="260">
        <v>0</v>
      </c>
      <c r="CR55" s="260">
        <v>0</v>
      </c>
      <c r="CS55" s="260">
        <v>0</v>
      </c>
      <c r="CT55" s="260">
        <v>0</v>
      </c>
      <c r="CU55" s="260">
        <v>0</v>
      </c>
      <c r="CV55" s="260">
        <v>0</v>
      </c>
      <c r="CW55" s="260">
        <v>0</v>
      </c>
      <c r="CX55" s="260">
        <v>0</v>
      </c>
      <c r="CY55" s="260">
        <v>0</v>
      </c>
      <c r="CZ55" s="260">
        <v>0</v>
      </c>
      <c r="DA55" s="260">
        <v>0</v>
      </c>
      <c r="DB55" s="260">
        <v>0</v>
      </c>
      <c r="DC55" s="260">
        <v>0</v>
      </c>
      <c r="DD55" s="260">
        <v>0</v>
      </c>
      <c r="DE55" s="260">
        <v>0</v>
      </c>
      <c r="DF55" s="260">
        <v>0</v>
      </c>
      <c r="DG55" s="260">
        <v>0</v>
      </c>
      <c r="DH55" s="260">
        <v>0</v>
      </c>
      <c r="DI55" s="260">
        <v>0</v>
      </c>
      <c r="DJ55" s="260">
        <v>0</v>
      </c>
      <c r="DK55" s="260">
        <v>0</v>
      </c>
      <c r="DL55" s="260">
        <v>0</v>
      </c>
      <c r="DM55" s="260">
        <v>0</v>
      </c>
      <c r="DN55" s="260">
        <v>0</v>
      </c>
      <c r="DO55" s="260">
        <v>0</v>
      </c>
      <c r="DP55" s="260">
        <v>0</v>
      </c>
      <c r="DQ55" s="260">
        <v>0</v>
      </c>
      <c r="DR55" s="260">
        <v>0</v>
      </c>
      <c r="DS55" s="260">
        <v>0</v>
      </c>
      <c r="DT55" s="260">
        <v>0</v>
      </c>
      <c r="DU55" s="260">
        <v>0</v>
      </c>
      <c r="DV55" s="260">
        <v>0</v>
      </c>
      <c r="DW55" s="260">
        <v>0</v>
      </c>
      <c r="DX55" s="260">
        <v>0</v>
      </c>
      <c r="DY55" s="260">
        <v>0</v>
      </c>
      <c r="DZ55">
        <v>0</v>
      </c>
      <c r="EA55">
        <v>0</v>
      </c>
    </row>
    <row r="56" spans="10:131" x14ac:dyDescent="0.25">
      <c r="J56" t="str">
        <v>Press Book Value</v>
      </c>
      <c r="K56">
        <v>0</v>
      </c>
      <c r="L56" s="260">
        <v>8499.9699999999993</v>
      </c>
      <c r="M56" s="260">
        <v>6800.03</v>
      </c>
      <c r="N56" s="260">
        <v>5439.9699999999993</v>
      </c>
      <c r="O56" s="260">
        <v>4352.0299999999988</v>
      </c>
      <c r="P56" s="260">
        <v>3481.5699999999997</v>
      </c>
      <c r="Q56" s="260">
        <v>2785.3099999999995</v>
      </c>
      <c r="R56" s="260">
        <v>2228.2299999999982</v>
      </c>
      <c r="S56" s="260">
        <v>1782.6019999999971</v>
      </c>
      <c r="T56" s="260">
        <v>1426.0815999999963</v>
      </c>
      <c r="U56" s="260">
        <v>710.55727999999544</v>
      </c>
      <c r="V56" s="260">
        <v>499.99999999999898</v>
      </c>
      <c r="W56" s="260">
        <v>-1.1368683772161603E-12</v>
      </c>
      <c r="X56" s="260">
        <v>0</v>
      </c>
      <c r="Y56" s="260">
        <v>0</v>
      </c>
      <c r="Z56" s="260">
        <v>0</v>
      </c>
      <c r="AA56" s="260">
        <v>0</v>
      </c>
      <c r="AB56" s="260">
        <v>0</v>
      </c>
      <c r="AC56" s="260">
        <v>0</v>
      </c>
      <c r="AD56" s="260">
        <v>0</v>
      </c>
      <c r="AE56" s="260">
        <v>0</v>
      </c>
      <c r="AF56" s="260">
        <v>0</v>
      </c>
      <c r="AG56" s="260">
        <v>0</v>
      </c>
      <c r="AH56" s="260">
        <v>0</v>
      </c>
      <c r="AI56" s="260">
        <v>0</v>
      </c>
      <c r="AJ56" s="260">
        <v>0</v>
      </c>
      <c r="AK56" s="260">
        <v>0</v>
      </c>
      <c r="AL56" s="260">
        <v>0</v>
      </c>
      <c r="AM56" s="260">
        <v>0</v>
      </c>
      <c r="AN56" s="260">
        <v>0</v>
      </c>
      <c r="AO56" s="260">
        <v>0</v>
      </c>
      <c r="AP56" s="260">
        <v>0</v>
      </c>
      <c r="AQ56" s="260">
        <v>0</v>
      </c>
      <c r="AR56" s="260">
        <v>0</v>
      </c>
      <c r="AS56" s="260">
        <v>0</v>
      </c>
      <c r="AT56" s="260">
        <v>0</v>
      </c>
      <c r="AU56" s="260">
        <v>0</v>
      </c>
      <c r="AV56" s="260">
        <v>0</v>
      </c>
      <c r="AW56" s="260">
        <v>0</v>
      </c>
      <c r="AX56" s="260">
        <v>0</v>
      </c>
      <c r="AY56" s="260">
        <v>0</v>
      </c>
      <c r="AZ56" s="260">
        <v>0</v>
      </c>
      <c r="BA56" s="260">
        <v>0</v>
      </c>
      <c r="BB56" s="260">
        <v>0</v>
      </c>
      <c r="BC56" s="260">
        <v>0</v>
      </c>
      <c r="BD56" s="260">
        <v>0</v>
      </c>
      <c r="BE56" s="260">
        <v>0</v>
      </c>
      <c r="BF56" s="260">
        <v>0</v>
      </c>
      <c r="BG56" s="260">
        <v>0</v>
      </c>
      <c r="BH56" s="260">
        <v>0</v>
      </c>
      <c r="BI56" s="260">
        <v>0</v>
      </c>
      <c r="BJ56" s="260">
        <v>0</v>
      </c>
      <c r="BK56" s="260">
        <v>0</v>
      </c>
      <c r="BL56" s="260">
        <v>0</v>
      </c>
      <c r="BM56" s="260">
        <v>0</v>
      </c>
      <c r="BN56" s="260">
        <v>0</v>
      </c>
      <c r="BO56" s="260">
        <v>0</v>
      </c>
      <c r="BP56" s="260">
        <v>0</v>
      </c>
      <c r="BQ56" s="260">
        <v>0</v>
      </c>
      <c r="BR56" s="260">
        <v>0</v>
      </c>
      <c r="BS56" s="260">
        <v>0</v>
      </c>
      <c r="BT56" s="260">
        <v>0</v>
      </c>
      <c r="BU56" s="260">
        <v>0</v>
      </c>
      <c r="BV56" s="260">
        <v>0</v>
      </c>
      <c r="BW56" s="260">
        <v>0</v>
      </c>
      <c r="BX56" s="260">
        <v>0</v>
      </c>
      <c r="BY56" s="260">
        <v>0</v>
      </c>
      <c r="BZ56" s="260">
        <v>0</v>
      </c>
      <c r="CA56" s="260">
        <v>0</v>
      </c>
      <c r="CB56" s="260">
        <v>0</v>
      </c>
      <c r="CC56" s="260">
        <v>0</v>
      </c>
      <c r="CD56" s="260">
        <v>0</v>
      </c>
      <c r="CE56" s="260">
        <v>0</v>
      </c>
      <c r="CF56" s="260">
        <v>0</v>
      </c>
      <c r="CG56" s="260">
        <v>0</v>
      </c>
      <c r="CH56" s="260">
        <v>0</v>
      </c>
      <c r="CI56" s="260">
        <v>0</v>
      </c>
      <c r="CJ56" s="260">
        <v>0</v>
      </c>
      <c r="CK56" s="260">
        <v>0</v>
      </c>
      <c r="CL56" s="260">
        <v>0</v>
      </c>
      <c r="CM56" s="260">
        <v>0</v>
      </c>
      <c r="CN56" s="260">
        <v>0</v>
      </c>
      <c r="CO56" s="260">
        <v>0</v>
      </c>
      <c r="CP56" s="260">
        <v>0</v>
      </c>
      <c r="CQ56" s="260">
        <v>0</v>
      </c>
      <c r="CR56" s="260">
        <v>0</v>
      </c>
      <c r="CS56" s="260">
        <v>0</v>
      </c>
      <c r="CT56" s="260">
        <v>0</v>
      </c>
      <c r="CU56" s="260">
        <v>0</v>
      </c>
      <c r="CV56" s="260">
        <v>0</v>
      </c>
      <c r="CW56" s="260">
        <v>0</v>
      </c>
      <c r="CX56" s="260">
        <v>0</v>
      </c>
      <c r="CY56" s="260">
        <v>0</v>
      </c>
      <c r="CZ56" s="260">
        <v>0</v>
      </c>
      <c r="DA56" s="260">
        <v>0</v>
      </c>
      <c r="DB56" s="260">
        <v>0</v>
      </c>
      <c r="DC56" s="260">
        <v>0</v>
      </c>
      <c r="DD56" s="260">
        <v>0</v>
      </c>
      <c r="DE56" s="260">
        <v>0</v>
      </c>
      <c r="DF56" s="260">
        <v>0</v>
      </c>
      <c r="DG56" s="260">
        <v>0</v>
      </c>
      <c r="DH56" s="260">
        <v>0</v>
      </c>
      <c r="DI56" s="260">
        <v>0</v>
      </c>
      <c r="DJ56" s="260">
        <v>0</v>
      </c>
      <c r="DK56" s="260">
        <v>0</v>
      </c>
      <c r="DL56" s="260">
        <v>0</v>
      </c>
      <c r="DM56" s="260">
        <v>0</v>
      </c>
      <c r="DN56" s="260">
        <v>0</v>
      </c>
      <c r="DO56" s="260">
        <v>0</v>
      </c>
      <c r="DP56" s="260">
        <v>0</v>
      </c>
      <c r="DQ56" s="260">
        <v>0</v>
      </c>
      <c r="DR56" s="260">
        <v>0</v>
      </c>
      <c r="DS56" s="260">
        <v>0</v>
      </c>
      <c r="DT56" s="260">
        <v>0</v>
      </c>
      <c r="DU56" s="260">
        <v>0</v>
      </c>
      <c r="DV56" s="260">
        <v>0</v>
      </c>
      <c r="DW56" s="260">
        <v>0</v>
      </c>
      <c r="DX56" s="260">
        <v>0</v>
      </c>
      <c r="DY56" s="260">
        <v>0</v>
      </c>
      <c r="DZ56">
        <v>0</v>
      </c>
      <c r="EA56">
        <v>0</v>
      </c>
    </row>
    <row r="57" spans="10:131" x14ac:dyDescent="0.25">
      <c r="J57" t="str">
        <v>Press Revenue from Sale</v>
      </c>
      <c r="K57">
        <v>500</v>
      </c>
      <c r="L57" s="260">
        <v>0</v>
      </c>
      <c r="M57" s="260">
        <v>0</v>
      </c>
      <c r="N57" s="260">
        <v>0</v>
      </c>
      <c r="O57" s="260">
        <v>0</v>
      </c>
      <c r="P57" s="260">
        <v>0</v>
      </c>
      <c r="Q57" s="260">
        <v>0</v>
      </c>
      <c r="R57" s="260">
        <v>0</v>
      </c>
      <c r="S57" s="260">
        <v>0</v>
      </c>
      <c r="T57" s="260">
        <v>0</v>
      </c>
      <c r="U57" s="260">
        <v>0</v>
      </c>
      <c r="V57" s="260">
        <v>0</v>
      </c>
      <c r="W57" s="260">
        <v>500</v>
      </c>
      <c r="X57" s="260">
        <v>0</v>
      </c>
      <c r="Y57" s="260">
        <v>0</v>
      </c>
      <c r="Z57" s="260">
        <v>0</v>
      </c>
      <c r="AA57" s="260">
        <v>0</v>
      </c>
      <c r="AB57" s="260">
        <v>0</v>
      </c>
      <c r="AC57" s="260">
        <v>0</v>
      </c>
      <c r="AD57" s="260">
        <v>0</v>
      </c>
      <c r="AE57" s="260">
        <v>0</v>
      </c>
      <c r="AF57" s="260">
        <v>0</v>
      </c>
      <c r="AG57" s="260">
        <v>0</v>
      </c>
      <c r="AH57" s="260">
        <v>0</v>
      </c>
      <c r="AI57" s="260">
        <v>0</v>
      </c>
      <c r="AJ57" s="260">
        <v>0</v>
      </c>
      <c r="AK57" s="260">
        <v>0</v>
      </c>
      <c r="AL57" s="260">
        <v>0</v>
      </c>
      <c r="AM57" s="260">
        <v>0</v>
      </c>
      <c r="AN57" s="260">
        <v>0</v>
      </c>
      <c r="AO57" s="260">
        <v>0</v>
      </c>
      <c r="AP57" s="260">
        <v>0</v>
      </c>
      <c r="AQ57" s="260">
        <v>0</v>
      </c>
      <c r="AR57" s="260">
        <v>0</v>
      </c>
      <c r="AS57" s="260">
        <v>0</v>
      </c>
      <c r="AT57" s="260">
        <v>0</v>
      </c>
      <c r="AU57" s="260">
        <v>0</v>
      </c>
      <c r="AV57" s="260">
        <v>0</v>
      </c>
      <c r="AW57" s="260">
        <v>0</v>
      </c>
      <c r="AX57" s="260">
        <v>0</v>
      </c>
      <c r="AY57" s="260">
        <v>0</v>
      </c>
      <c r="AZ57" s="260">
        <v>0</v>
      </c>
      <c r="BA57" s="260">
        <v>0</v>
      </c>
      <c r="BB57" s="260">
        <v>0</v>
      </c>
      <c r="BC57" s="260">
        <v>0</v>
      </c>
      <c r="BD57" s="260">
        <v>0</v>
      </c>
      <c r="BE57" s="260">
        <v>0</v>
      </c>
      <c r="BF57" s="260">
        <v>0</v>
      </c>
      <c r="BG57" s="260">
        <v>0</v>
      </c>
      <c r="BH57" s="260">
        <v>0</v>
      </c>
      <c r="BI57" s="260">
        <v>0</v>
      </c>
      <c r="BJ57" s="260">
        <v>0</v>
      </c>
      <c r="BK57" s="260">
        <v>0</v>
      </c>
      <c r="BL57" s="260">
        <v>0</v>
      </c>
      <c r="BM57" s="260">
        <v>0</v>
      </c>
      <c r="BN57" s="260">
        <v>0</v>
      </c>
      <c r="BO57" s="260">
        <v>0</v>
      </c>
      <c r="BP57" s="260">
        <v>0</v>
      </c>
      <c r="BQ57" s="260">
        <v>0</v>
      </c>
      <c r="BR57" s="260">
        <v>0</v>
      </c>
      <c r="BS57" s="260">
        <v>0</v>
      </c>
      <c r="BT57" s="260">
        <v>0</v>
      </c>
      <c r="BU57" s="260">
        <v>0</v>
      </c>
      <c r="BV57" s="260">
        <v>0</v>
      </c>
      <c r="BW57" s="260">
        <v>0</v>
      </c>
      <c r="BX57" s="260">
        <v>0</v>
      </c>
      <c r="BY57" s="260">
        <v>0</v>
      </c>
      <c r="BZ57" s="260">
        <v>0</v>
      </c>
      <c r="CA57" s="260">
        <v>0</v>
      </c>
      <c r="CB57" s="260">
        <v>0</v>
      </c>
      <c r="CC57" s="260">
        <v>0</v>
      </c>
      <c r="CD57" s="260">
        <v>0</v>
      </c>
      <c r="CE57" s="260">
        <v>0</v>
      </c>
      <c r="CF57" s="260">
        <v>0</v>
      </c>
      <c r="CG57" s="260">
        <v>0</v>
      </c>
      <c r="CH57" s="260">
        <v>0</v>
      </c>
      <c r="CI57" s="260">
        <v>0</v>
      </c>
      <c r="CJ57" s="260">
        <v>0</v>
      </c>
      <c r="CK57" s="260">
        <v>0</v>
      </c>
      <c r="CL57" s="260">
        <v>0</v>
      </c>
      <c r="CM57" s="260">
        <v>0</v>
      </c>
      <c r="CN57" s="260">
        <v>0</v>
      </c>
      <c r="CO57" s="260">
        <v>0</v>
      </c>
      <c r="CP57" s="260">
        <v>0</v>
      </c>
      <c r="CQ57" s="260">
        <v>0</v>
      </c>
      <c r="CR57" s="260">
        <v>0</v>
      </c>
      <c r="CS57" s="260">
        <v>0</v>
      </c>
      <c r="CT57" s="260">
        <v>0</v>
      </c>
      <c r="CU57" s="260">
        <v>0</v>
      </c>
      <c r="CV57" s="260">
        <v>0</v>
      </c>
      <c r="CW57" s="260">
        <v>0</v>
      </c>
      <c r="CX57" s="260">
        <v>0</v>
      </c>
      <c r="CY57" s="260">
        <v>0</v>
      </c>
      <c r="CZ57" s="260">
        <v>0</v>
      </c>
      <c r="DA57" s="260">
        <v>0</v>
      </c>
      <c r="DB57" s="260">
        <v>0</v>
      </c>
      <c r="DC57" s="260">
        <v>0</v>
      </c>
      <c r="DD57" s="260">
        <v>0</v>
      </c>
      <c r="DE57" s="260">
        <v>0</v>
      </c>
      <c r="DF57" s="260">
        <v>0</v>
      </c>
      <c r="DG57" s="260">
        <v>0</v>
      </c>
      <c r="DH57" s="260">
        <v>0</v>
      </c>
      <c r="DI57" s="260">
        <v>0</v>
      </c>
      <c r="DJ57" s="260">
        <v>0</v>
      </c>
      <c r="DK57" s="260">
        <v>0</v>
      </c>
      <c r="DL57" s="260">
        <v>0</v>
      </c>
      <c r="DM57" s="260">
        <v>0</v>
      </c>
      <c r="DN57" s="260">
        <v>0</v>
      </c>
      <c r="DO57" s="260">
        <v>0</v>
      </c>
      <c r="DP57" s="260">
        <v>0</v>
      </c>
      <c r="DQ57" s="260">
        <v>0</v>
      </c>
      <c r="DR57" s="260">
        <v>0</v>
      </c>
      <c r="DS57" s="260">
        <v>0</v>
      </c>
      <c r="DT57" s="260">
        <v>0</v>
      </c>
      <c r="DU57" s="260">
        <v>0</v>
      </c>
      <c r="DV57" s="260">
        <v>0</v>
      </c>
      <c r="DW57" s="260">
        <v>0</v>
      </c>
      <c r="DX57" s="260">
        <v>0</v>
      </c>
      <c r="DY57" s="260">
        <v>0</v>
      </c>
      <c r="DZ57">
        <v>0</v>
      </c>
      <c r="EA57">
        <v>0</v>
      </c>
    </row>
    <row r="58" spans="10:131" x14ac:dyDescent="0.25">
      <c r="J58" t="str">
        <v>Press Disposal Costs</v>
      </c>
      <c r="K58">
        <v>100</v>
      </c>
      <c r="L58" s="260">
        <v>0</v>
      </c>
      <c r="M58" s="260">
        <v>0</v>
      </c>
      <c r="N58" s="260">
        <v>0</v>
      </c>
      <c r="O58" s="260">
        <v>0</v>
      </c>
      <c r="P58" s="260">
        <v>0</v>
      </c>
      <c r="Q58" s="260">
        <v>0</v>
      </c>
      <c r="R58" s="260">
        <v>0</v>
      </c>
      <c r="S58" s="260">
        <v>0</v>
      </c>
      <c r="T58" s="260">
        <v>0</v>
      </c>
      <c r="U58" s="260">
        <v>0</v>
      </c>
      <c r="V58" s="260">
        <v>0</v>
      </c>
      <c r="W58" s="260">
        <v>100</v>
      </c>
      <c r="X58" s="260">
        <v>0</v>
      </c>
      <c r="Y58" s="260">
        <v>0</v>
      </c>
      <c r="Z58" s="260">
        <v>0</v>
      </c>
      <c r="AA58" s="260">
        <v>0</v>
      </c>
      <c r="AB58" s="260">
        <v>0</v>
      </c>
      <c r="AC58" s="260">
        <v>0</v>
      </c>
      <c r="AD58" s="260">
        <v>0</v>
      </c>
      <c r="AE58" s="260">
        <v>0</v>
      </c>
      <c r="AF58" s="260">
        <v>0</v>
      </c>
      <c r="AG58" s="260">
        <v>0</v>
      </c>
      <c r="AH58" s="260">
        <v>0</v>
      </c>
      <c r="AI58" s="260">
        <v>0</v>
      </c>
      <c r="AJ58" s="260">
        <v>0</v>
      </c>
      <c r="AK58" s="260">
        <v>0</v>
      </c>
      <c r="AL58" s="260">
        <v>0</v>
      </c>
      <c r="AM58" s="260">
        <v>0</v>
      </c>
      <c r="AN58" s="260">
        <v>0</v>
      </c>
      <c r="AO58" s="260">
        <v>0</v>
      </c>
      <c r="AP58" s="260">
        <v>0</v>
      </c>
      <c r="AQ58" s="260">
        <v>0</v>
      </c>
      <c r="AR58" s="260">
        <v>0</v>
      </c>
      <c r="AS58" s="260">
        <v>0</v>
      </c>
      <c r="AT58" s="260">
        <v>0</v>
      </c>
      <c r="AU58" s="260">
        <v>0</v>
      </c>
      <c r="AV58" s="260">
        <v>0</v>
      </c>
      <c r="AW58" s="260">
        <v>0</v>
      </c>
      <c r="AX58" s="260">
        <v>0</v>
      </c>
      <c r="AY58" s="260">
        <v>0</v>
      </c>
      <c r="AZ58" s="260">
        <v>0</v>
      </c>
      <c r="BA58" s="260">
        <v>0</v>
      </c>
      <c r="BB58" s="260">
        <v>0</v>
      </c>
      <c r="BC58" s="260">
        <v>0</v>
      </c>
      <c r="BD58" s="260">
        <v>0</v>
      </c>
      <c r="BE58" s="260">
        <v>0</v>
      </c>
      <c r="BF58" s="260">
        <v>0</v>
      </c>
      <c r="BG58" s="260">
        <v>0</v>
      </c>
      <c r="BH58" s="260">
        <v>0</v>
      </c>
      <c r="BI58" s="260">
        <v>0</v>
      </c>
      <c r="BJ58" s="260">
        <v>0</v>
      </c>
      <c r="BK58" s="260">
        <v>0</v>
      </c>
      <c r="BL58" s="260">
        <v>0</v>
      </c>
      <c r="BM58" s="260">
        <v>0</v>
      </c>
      <c r="BN58" s="260">
        <v>0</v>
      </c>
      <c r="BO58" s="260">
        <v>0</v>
      </c>
      <c r="BP58" s="260">
        <v>0</v>
      </c>
      <c r="BQ58" s="260">
        <v>0</v>
      </c>
      <c r="BR58" s="260">
        <v>0</v>
      </c>
      <c r="BS58" s="260">
        <v>0</v>
      </c>
      <c r="BT58" s="260">
        <v>0</v>
      </c>
      <c r="BU58" s="260">
        <v>0</v>
      </c>
      <c r="BV58" s="260">
        <v>0</v>
      </c>
      <c r="BW58" s="260">
        <v>0</v>
      </c>
      <c r="BX58" s="260">
        <v>0</v>
      </c>
      <c r="BY58" s="260">
        <v>0</v>
      </c>
      <c r="BZ58" s="260">
        <v>0</v>
      </c>
      <c r="CA58" s="260">
        <v>0</v>
      </c>
      <c r="CB58" s="260">
        <v>0</v>
      </c>
      <c r="CC58" s="260">
        <v>0</v>
      </c>
      <c r="CD58" s="260">
        <v>0</v>
      </c>
      <c r="CE58" s="260">
        <v>0</v>
      </c>
      <c r="CF58" s="260">
        <v>0</v>
      </c>
      <c r="CG58" s="260">
        <v>0</v>
      </c>
      <c r="CH58" s="260">
        <v>0</v>
      </c>
      <c r="CI58" s="260">
        <v>0</v>
      </c>
      <c r="CJ58" s="260">
        <v>0</v>
      </c>
      <c r="CK58" s="260">
        <v>0</v>
      </c>
      <c r="CL58" s="260">
        <v>0</v>
      </c>
      <c r="CM58" s="260">
        <v>0</v>
      </c>
      <c r="CN58" s="260">
        <v>0</v>
      </c>
      <c r="CO58" s="260">
        <v>0</v>
      </c>
      <c r="CP58" s="260">
        <v>0</v>
      </c>
      <c r="CQ58" s="260">
        <v>0</v>
      </c>
      <c r="CR58" s="260">
        <v>0</v>
      </c>
      <c r="CS58" s="260">
        <v>0</v>
      </c>
      <c r="CT58" s="260">
        <v>0</v>
      </c>
      <c r="CU58" s="260">
        <v>0</v>
      </c>
      <c r="CV58" s="260">
        <v>0</v>
      </c>
      <c r="CW58" s="260">
        <v>0</v>
      </c>
      <c r="CX58" s="260">
        <v>0</v>
      </c>
      <c r="CY58" s="260">
        <v>0</v>
      </c>
      <c r="CZ58" s="260">
        <v>0</v>
      </c>
      <c r="DA58" s="260">
        <v>0</v>
      </c>
      <c r="DB58" s="260">
        <v>0</v>
      </c>
      <c r="DC58" s="260">
        <v>0</v>
      </c>
      <c r="DD58" s="260">
        <v>0</v>
      </c>
      <c r="DE58" s="260">
        <v>0</v>
      </c>
      <c r="DF58" s="260">
        <v>0</v>
      </c>
      <c r="DG58" s="260">
        <v>0</v>
      </c>
      <c r="DH58" s="260">
        <v>0</v>
      </c>
      <c r="DI58" s="260">
        <v>0</v>
      </c>
      <c r="DJ58" s="260">
        <v>0</v>
      </c>
      <c r="DK58" s="260">
        <v>0</v>
      </c>
      <c r="DL58" s="260">
        <v>0</v>
      </c>
      <c r="DM58" s="260">
        <v>0</v>
      </c>
      <c r="DN58" s="260">
        <v>0</v>
      </c>
      <c r="DO58" s="260">
        <v>0</v>
      </c>
      <c r="DP58" s="260">
        <v>0</v>
      </c>
      <c r="DQ58" s="260">
        <v>0</v>
      </c>
      <c r="DR58" s="260">
        <v>0</v>
      </c>
      <c r="DS58" s="260">
        <v>0</v>
      </c>
      <c r="DT58" s="260">
        <v>0</v>
      </c>
      <c r="DU58" s="260">
        <v>0</v>
      </c>
      <c r="DV58" s="260">
        <v>0</v>
      </c>
      <c r="DW58" s="260">
        <v>0</v>
      </c>
      <c r="DX58" s="260">
        <v>0</v>
      </c>
      <c r="DY58" s="260">
        <v>0</v>
      </c>
      <c r="DZ58">
        <v>0</v>
      </c>
      <c r="EA58">
        <v>0</v>
      </c>
    </row>
    <row r="59" spans="10:131" x14ac:dyDescent="0.25">
      <c r="J59" t="str">
        <v/>
      </c>
      <c r="K59">
        <v>0</v>
      </c>
      <c r="L59" s="260" t="str">
        <v/>
      </c>
      <c r="M59" s="260" t="str">
        <v/>
      </c>
      <c r="N59" s="260" t="str">
        <v/>
      </c>
      <c r="O59" s="260" t="str">
        <v/>
      </c>
      <c r="P59" s="260" t="str">
        <v/>
      </c>
      <c r="Q59" s="260" t="str">
        <v/>
      </c>
      <c r="R59" s="260" t="str">
        <v/>
      </c>
      <c r="S59" s="260" t="str">
        <v/>
      </c>
      <c r="T59" s="260" t="str">
        <v/>
      </c>
      <c r="U59" s="260" t="str">
        <v/>
      </c>
      <c r="V59" s="260" t="str">
        <v/>
      </c>
      <c r="W59" s="260" t="str">
        <v/>
      </c>
      <c r="X59" s="260" t="str">
        <v/>
      </c>
      <c r="Y59" s="260" t="str">
        <v/>
      </c>
      <c r="Z59" s="260" t="str">
        <v/>
      </c>
      <c r="AA59" s="260" t="str">
        <v/>
      </c>
      <c r="AB59" s="260" t="str">
        <v/>
      </c>
      <c r="AC59" s="260" t="str">
        <v/>
      </c>
      <c r="AD59" s="260" t="str">
        <v/>
      </c>
      <c r="AE59" s="260" t="str">
        <v/>
      </c>
      <c r="AF59" s="260" t="str">
        <v/>
      </c>
      <c r="AG59" s="260" t="str">
        <v/>
      </c>
      <c r="AH59" s="260" t="str">
        <v/>
      </c>
      <c r="AI59" s="260" t="str">
        <v/>
      </c>
      <c r="AJ59" s="260" t="str">
        <v/>
      </c>
      <c r="AK59" s="260" t="str">
        <v/>
      </c>
      <c r="AL59" s="260" t="str">
        <v/>
      </c>
      <c r="AM59" s="260" t="str">
        <v/>
      </c>
      <c r="AN59" s="260" t="str">
        <v/>
      </c>
      <c r="AO59" s="260" t="str">
        <v/>
      </c>
      <c r="AP59" s="260" t="str">
        <v/>
      </c>
      <c r="AQ59" s="260" t="str">
        <v/>
      </c>
      <c r="AR59" s="260" t="str">
        <v/>
      </c>
      <c r="AS59" s="260" t="str">
        <v/>
      </c>
      <c r="AT59" s="260" t="str">
        <v/>
      </c>
      <c r="AU59" s="260" t="str">
        <v/>
      </c>
      <c r="AV59" s="260" t="str">
        <v/>
      </c>
      <c r="AW59" s="260" t="str">
        <v/>
      </c>
      <c r="AX59" s="260" t="str">
        <v/>
      </c>
      <c r="AY59" s="260" t="str">
        <v/>
      </c>
      <c r="AZ59" s="260" t="str">
        <v/>
      </c>
      <c r="BA59" s="260" t="str">
        <v/>
      </c>
      <c r="BB59" s="260" t="str">
        <v/>
      </c>
      <c r="BC59" s="260" t="str">
        <v/>
      </c>
      <c r="BD59" s="260" t="str">
        <v/>
      </c>
      <c r="BE59" s="260" t="str">
        <v/>
      </c>
      <c r="BF59" s="260" t="str">
        <v/>
      </c>
      <c r="BG59" s="260" t="str">
        <v/>
      </c>
      <c r="BH59" s="260" t="str">
        <v/>
      </c>
      <c r="BI59" s="260" t="str">
        <v/>
      </c>
      <c r="BJ59" s="260" t="str">
        <v/>
      </c>
      <c r="BK59" s="260" t="str">
        <v/>
      </c>
      <c r="BL59" s="260" t="str">
        <v/>
      </c>
      <c r="BM59" s="260" t="str">
        <v/>
      </c>
      <c r="BN59" s="260" t="str">
        <v/>
      </c>
      <c r="BO59" s="260" t="str">
        <v/>
      </c>
      <c r="BP59" s="260" t="str">
        <v/>
      </c>
      <c r="BQ59" s="260" t="str">
        <v/>
      </c>
      <c r="BR59" s="260" t="str">
        <v/>
      </c>
      <c r="BS59" s="260" t="str">
        <v/>
      </c>
      <c r="BT59" s="260" t="str">
        <v/>
      </c>
      <c r="BU59" s="260" t="str">
        <v/>
      </c>
      <c r="BV59" s="260" t="str">
        <v/>
      </c>
      <c r="BW59" s="260" t="str">
        <v/>
      </c>
      <c r="BX59" s="260" t="str">
        <v/>
      </c>
      <c r="BY59" s="260" t="str">
        <v/>
      </c>
      <c r="BZ59" s="260" t="str">
        <v/>
      </c>
      <c r="CA59" s="260" t="str">
        <v/>
      </c>
      <c r="CB59" s="260" t="str">
        <v/>
      </c>
      <c r="CC59" s="260" t="str">
        <v/>
      </c>
      <c r="CD59" s="260" t="str">
        <v/>
      </c>
      <c r="CE59" s="260" t="str">
        <v/>
      </c>
      <c r="CF59" s="260" t="str">
        <v/>
      </c>
      <c r="CG59" s="260" t="str">
        <v/>
      </c>
      <c r="CH59" s="260" t="str">
        <v/>
      </c>
      <c r="CI59" s="260" t="str">
        <v/>
      </c>
      <c r="CJ59" s="260" t="str">
        <v/>
      </c>
      <c r="CK59" s="260" t="str">
        <v/>
      </c>
      <c r="CL59" s="260" t="str">
        <v/>
      </c>
      <c r="CM59" s="260" t="str">
        <v/>
      </c>
      <c r="CN59" s="260" t="str">
        <v/>
      </c>
      <c r="CO59" s="260" t="str">
        <v/>
      </c>
      <c r="CP59" s="260" t="str">
        <v/>
      </c>
      <c r="CQ59" s="260" t="str">
        <v/>
      </c>
      <c r="CR59" s="260" t="str">
        <v/>
      </c>
      <c r="CS59" s="260" t="str">
        <v/>
      </c>
      <c r="CT59" s="260" t="str">
        <v/>
      </c>
      <c r="CU59" s="260" t="str">
        <v/>
      </c>
      <c r="CV59" s="260" t="str">
        <v/>
      </c>
      <c r="CW59" s="260" t="str">
        <v/>
      </c>
      <c r="CX59" s="260" t="str">
        <v/>
      </c>
      <c r="CY59" s="260" t="str">
        <v/>
      </c>
      <c r="CZ59" s="260" t="str">
        <v/>
      </c>
      <c r="DA59" s="260" t="str">
        <v/>
      </c>
      <c r="DB59" s="260" t="str">
        <v/>
      </c>
      <c r="DC59" s="260" t="str">
        <v/>
      </c>
      <c r="DD59" s="260" t="str">
        <v/>
      </c>
      <c r="DE59" s="260" t="str">
        <v/>
      </c>
      <c r="DF59" s="260" t="str">
        <v/>
      </c>
      <c r="DG59" s="260" t="str">
        <v/>
      </c>
      <c r="DH59" s="260" t="str">
        <v/>
      </c>
      <c r="DI59" s="260" t="str">
        <v/>
      </c>
      <c r="DJ59" s="260" t="str">
        <v/>
      </c>
      <c r="DK59" s="260" t="str">
        <v/>
      </c>
      <c r="DL59" s="260" t="str">
        <v/>
      </c>
      <c r="DM59" s="260" t="str">
        <v/>
      </c>
      <c r="DN59" s="260" t="str">
        <v/>
      </c>
      <c r="DO59" s="260" t="str">
        <v/>
      </c>
      <c r="DP59" s="260" t="str">
        <v/>
      </c>
      <c r="DQ59" s="260" t="str">
        <v/>
      </c>
      <c r="DR59" s="260" t="str">
        <v/>
      </c>
      <c r="DS59" s="260" t="str">
        <v/>
      </c>
      <c r="DT59" s="260" t="str">
        <v/>
      </c>
      <c r="DU59" s="260" t="str">
        <v/>
      </c>
      <c r="DV59" s="260" t="str">
        <v/>
      </c>
      <c r="DW59" s="260" t="str">
        <v/>
      </c>
      <c r="DX59" s="260" t="str">
        <v/>
      </c>
      <c r="DY59" s="260" t="str">
        <v/>
      </c>
      <c r="DZ59" t="str">
        <v/>
      </c>
      <c r="EA59" t="str">
        <v/>
      </c>
    </row>
    <row r="60" spans="10:131" x14ac:dyDescent="0.25">
      <c r="J60" t="str">
        <v>CNC CAPEX</v>
      </c>
      <c r="K60">
        <v>50181</v>
      </c>
      <c r="L60" s="260">
        <v>50181</v>
      </c>
      <c r="M60" s="260">
        <v>0</v>
      </c>
      <c r="N60" s="260">
        <v>0</v>
      </c>
      <c r="O60" s="260">
        <v>0</v>
      </c>
      <c r="P60" s="260">
        <v>0</v>
      </c>
      <c r="Q60" s="260">
        <v>0</v>
      </c>
      <c r="R60" s="260">
        <v>0</v>
      </c>
      <c r="S60" s="260">
        <v>0</v>
      </c>
      <c r="T60" s="260">
        <v>0</v>
      </c>
      <c r="U60" s="260">
        <v>0</v>
      </c>
      <c r="V60" s="260">
        <v>0</v>
      </c>
      <c r="W60" s="260">
        <v>0</v>
      </c>
      <c r="X60" s="260">
        <v>0</v>
      </c>
      <c r="Y60" s="260">
        <v>0</v>
      </c>
      <c r="Z60" s="260">
        <v>0</v>
      </c>
      <c r="AA60" s="260">
        <v>0</v>
      </c>
      <c r="AB60" s="260">
        <v>0</v>
      </c>
      <c r="AC60" s="260">
        <v>0</v>
      </c>
      <c r="AD60" s="260">
        <v>0</v>
      </c>
      <c r="AE60" s="260">
        <v>0</v>
      </c>
      <c r="AF60" s="260">
        <v>0</v>
      </c>
      <c r="AG60" s="260">
        <v>0</v>
      </c>
      <c r="AH60" s="260">
        <v>0</v>
      </c>
      <c r="AI60" s="260">
        <v>0</v>
      </c>
      <c r="AJ60" s="260">
        <v>0</v>
      </c>
      <c r="AK60" s="260">
        <v>0</v>
      </c>
      <c r="AL60" s="260">
        <v>0</v>
      </c>
      <c r="AM60" s="260">
        <v>0</v>
      </c>
      <c r="AN60" s="260">
        <v>0</v>
      </c>
      <c r="AO60" s="260">
        <v>0</v>
      </c>
      <c r="AP60" s="260">
        <v>0</v>
      </c>
      <c r="AQ60" s="260">
        <v>0</v>
      </c>
      <c r="AR60" s="260">
        <v>0</v>
      </c>
      <c r="AS60" s="260">
        <v>0</v>
      </c>
      <c r="AT60" s="260">
        <v>0</v>
      </c>
      <c r="AU60" s="260">
        <v>0</v>
      </c>
      <c r="AV60" s="260">
        <v>0</v>
      </c>
      <c r="AW60" s="260">
        <v>0</v>
      </c>
      <c r="AX60" s="260">
        <v>0</v>
      </c>
      <c r="AY60" s="260">
        <v>0</v>
      </c>
      <c r="AZ60" s="260">
        <v>0</v>
      </c>
      <c r="BA60" s="260">
        <v>0</v>
      </c>
      <c r="BB60" s="260">
        <v>0</v>
      </c>
      <c r="BC60" s="260">
        <v>0</v>
      </c>
      <c r="BD60" s="260">
        <v>0</v>
      </c>
      <c r="BE60" s="260">
        <v>0</v>
      </c>
      <c r="BF60" s="260">
        <v>0</v>
      </c>
      <c r="BG60" s="260">
        <v>0</v>
      </c>
      <c r="BH60" s="260">
        <v>0</v>
      </c>
      <c r="BI60" s="260">
        <v>0</v>
      </c>
      <c r="BJ60" s="260">
        <v>0</v>
      </c>
      <c r="BK60" s="260">
        <v>0</v>
      </c>
      <c r="BL60" s="260">
        <v>0</v>
      </c>
      <c r="BM60" s="260">
        <v>0</v>
      </c>
      <c r="BN60" s="260">
        <v>0</v>
      </c>
      <c r="BO60" s="260">
        <v>0</v>
      </c>
      <c r="BP60" s="260">
        <v>0</v>
      </c>
      <c r="BQ60" s="260">
        <v>0</v>
      </c>
      <c r="BR60" s="260">
        <v>0</v>
      </c>
      <c r="BS60" s="260">
        <v>0</v>
      </c>
      <c r="BT60" s="260">
        <v>0</v>
      </c>
      <c r="BU60" s="260">
        <v>0</v>
      </c>
      <c r="BV60" s="260">
        <v>0</v>
      </c>
      <c r="BW60" s="260">
        <v>0</v>
      </c>
      <c r="BX60" s="260">
        <v>0</v>
      </c>
      <c r="BY60" s="260">
        <v>0</v>
      </c>
      <c r="BZ60" s="260">
        <v>0</v>
      </c>
      <c r="CA60" s="260">
        <v>0</v>
      </c>
      <c r="CB60" s="260">
        <v>0</v>
      </c>
      <c r="CC60" s="260">
        <v>0</v>
      </c>
      <c r="CD60" s="260">
        <v>0</v>
      </c>
      <c r="CE60" s="260">
        <v>0</v>
      </c>
      <c r="CF60" s="260">
        <v>0</v>
      </c>
      <c r="CG60" s="260">
        <v>0</v>
      </c>
      <c r="CH60" s="260">
        <v>0</v>
      </c>
      <c r="CI60" s="260">
        <v>0</v>
      </c>
      <c r="CJ60" s="260">
        <v>0</v>
      </c>
      <c r="CK60" s="260">
        <v>0</v>
      </c>
      <c r="CL60" s="260">
        <v>0</v>
      </c>
      <c r="CM60" s="260">
        <v>0</v>
      </c>
      <c r="CN60" s="260">
        <v>0</v>
      </c>
      <c r="CO60" s="260">
        <v>0</v>
      </c>
      <c r="CP60" s="260">
        <v>0</v>
      </c>
      <c r="CQ60" s="260">
        <v>0</v>
      </c>
      <c r="CR60" s="260">
        <v>0</v>
      </c>
      <c r="CS60" s="260">
        <v>0</v>
      </c>
      <c r="CT60" s="260">
        <v>0</v>
      </c>
      <c r="CU60" s="260">
        <v>0</v>
      </c>
      <c r="CV60" s="260">
        <v>0</v>
      </c>
      <c r="CW60" s="260">
        <v>0</v>
      </c>
      <c r="CX60" s="260">
        <v>0</v>
      </c>
      <c r="CY60" s="260">
        <v>0</v>
      </c>
      <c r="CZ60" s="260">
        <v>0</v>
      </c>
      <c r="DA60" s="260">
        <v>0</v>
      </c>
      <c r="DB60" s="260">
        <v>0</v>
      </c>
      <c r="DC60" s="260">
        <v>0</v>
      </c>
      <c r="DD60" s="260">
        <v>0</v>
      </c>
      <c r="DE60" s="260">
        <v>0</v>
      </c>
      <c r="DF60" s="260">
        <v>0</v>
      </c>
      <c r="DG60" s="260">
        <v>0</v>
      </c>
      <c r="DH60" s="260">
        <v>0</v>
      </c>
      <c r="DI60" s="260">
        <v>0</v>
      </c>
      <c r="DJ60" s="260">
        <v>0</v>
      </c>
      <c r="DK60" s="260">
        <v>0</v>
      </c>
      <c r="DL60" s="260">
        <v>0</v>
      </c>
      <c r="DM60" s="260">
        <v>0</v>
      </c>
      <c r="DN60" s="260">
        <v>0</v>
      </c>
      <c r="DO60" s="260">
        <v>0</v>
      </c>
      <c r="DP60" s="260">
        <v>0</v>
      </c>
      <c r="DQ60" s="260">
        <v>0</v>
      </c>
      <c r="DR60" s="260">
        <v>0</v>
      </c>
      <c r="DS60" s="260">
        <v>0</v>
      </c>
      <c r="DT60" s="260">
        <v>0</v>
      </c>
      <c r="DU60" s="260">
        <v>0</v>
      </c>
      <c r="DV60" s="260">
        <v>0</v>
      </c>
      <c r="DW60" s="260">
        <v>0</v>
      </c>
      <c r="DX60" s="260">
        <v>0</v>
      </c>
      <c r="DY60" s="260">
        <v>0</v>
      </c>
      <c r="DZ60">
        <v>0</v>
      </c>
      <c r="EA60">
        <v>0</v>
      </c>
    </row>
    <row r="61" spans="10:131" x14ac:dyDescent="0.25">
      <c r="J61" t="str">
        <v>CNC Opening Value</v>
      </c>
      <c r="K61">
        <v>0</v>
      </c>
      <c r="L61" s="260">
        <v>50181</v>
      </c>
      <c r="M61" s="260">
        <v>45162.899999999994</v>
      </c>
      <c r="N61" s="260">
        <v>40646.609999999986</v>
      </c>
      <c r="O61" s="260">
        <v>36581.948999999971</v>
      </c>
      <c r="P61" s="260">
        <v>32923.754099999984</v>
      </c>
      <c r="Q61" s="260">
        <v>29631.378689999976</v>
      </c>
      <c r="R61" s="260">
        <v>26668.24082099997</v>
      </c>
      <c r="S61" s="260">
        <v>24001.416738899952</v>
      </c>
      <c r="T61" s="260">
        <v>21601.27506500997</v>
      </c>
      <c r="U61" s="260">
        <v>19441.147558508987</v>
      </c>
      <c r="V61" s="260">
        <v>17497.032802658105</v>
      </c>
      <c r="W61" s="260">
        <v>15747.329522392287</v>
      </c>
      <c r="X61" s="260">
        <v>14172.596570153062</v>
      </c>
      <c r="Y61" s="260">
        <v>12755.336913137751</v>
      </c>
      <c r="Z61" s="260">
        <v>11479.803221823964</v>
      </c>
      <c r="AA61" s="260">
        <v>10331.822899641564</v>
      </c>
      <c r="AB61" s="260">
        <v>9298.6406096774008</v>
      </c>
      <c r="AC61" s="260">
        <v>8368.7765487096603</v>
      </c>
      <c r="AD61" s="260">
        <v>7531.8988938386938</v>
      </c>
      <c r="AE61" s="260">
        <v>6778.7090044548167</v>
      </c>
      <c r="AF61" s="260">
        <v>-5.1159076974727213E-12</v>
      </c>
      <c r="AG61" s="260">
        <v>-5.1159076974727213E-12</v>
      </c>
      <c r="AH61" s="260">
        <v>0</v>
      </c>
      <c r="AI61" s="260">
        <v>0</v>
      </c>
      <c r="AJ61" s="260">
        <v>0</v>
      </c>
      <c r="AK61" s="260">
        <v>0</v>
      </c>
      <c r="AL61" s="260">
        <v>0</v>
      </c>
      <c r="AM61" s="260">
        <v>0</v>
      </c>
      <c r="AN61" s="260">
        <v>0</v>
      </c>
      <c r="AO61" s="260">
        <v>0</v>
      </c>
      <c r="AP61" s="260">
        <v>0</v>
      </c>
      <c r="AQ61" s="260">
        <v>0</v>
      </c>
      <c r="AR61" s="260">
        <v>0</v>
      </c>
      <c r="AS61" s="260">
        <v>0</v>
      </c>
      <c r="AT61" s="260">
        <v>0</v>
      </c>
      <c r="AU61" s="260">
        <v>0</v>
      </c>
      <c r="AV61" s="260">
        <v>0</v>
      </c>
      <c r="AW61" s="260">
        <v>0</v>
      </c>
      <c r="AX61" s="260">
        <v>0</v>
      </c>
      <c r="AY61" s="260">
        <v>0</v>
      </c>
      <c r="AZ61" s="260">
        <v>0</v>
      </c>
      <c r="BA61" s="260">
        <v>0</v>
      </c>
      <c r="BB61" s="260">
        <v>0</v>
      </c>
      <c r="BC61" s="260">
        <v>0</v>
      </c>
      <c r="BD61" s="260">
        <v>0</v>
      </c>
      <c r="BE61" s="260">
        <v>0</v>
      </c>
      <c r="BF61" s="260">
        <v>0</v>
      </c>
      <c r="BG61" s="260">
        <v>0</v>
      </c>
      <c r="BH61" s="260">
        <v>0</v>
      </c>
      <c r="BI61" s="260">
        <v>0</v>
      </c>
      <c r="BJ61" s="260">
        <v>0</v>
      </c>
      <c r="BK61" s="260">
        <v>0</v>
      </c>
      <c r="BL61" s="260">
        <v>0</v>
      </c>
      <c r="BM61" s="260">
        <v>0</v>
      </c>
      <c r="BN61" s="260">
        <v>0</v>
      </c>
      <c r="BO61" s="260">
        <v>0</v>
      </c>
      <c r="BP61" s="260">
        <v>0</v>
      </c>
      <c r="BQ61" s="260">
        <v>0</v>
      </c>
      <c r="BR61" s="260">
        <v>0</v>
      </c>
      <c r="BS61" s="260">
        <v>0</v>
      </c>
      <c r="BT61" s="260">
        <v>0</v>
      </c>
      <c r="BU61" s="260">
        <v>0</v>
      </c>
      <c r="BV61" s="260">
        <v>0</v>
      </c>
      <c r="BW61" s="260">
        <v>0</v>
      </c>
      <c r="BX61" s="260">
        <v>0</v>
      </c>
      <c r="BY61" s="260">
        <v>0</v>
      </c>
      <c r="BZ61" s="260">
        <v>0</v>
      </c>
      <c r="CA61" s="260">
        <v>0</v>
      </c>
      <c r="CB61" s="260">
        <v>0</v>
      </c>
      <c r="CC61" s="260">
        <v>0</v>
      </c>
      <c r="CD61" s="260">
        <v>0</v>
      </c>
      <c r="CE61" s="260">
        <v>0</v>
      </c>
      <c r="CF61" s="260">
        <v>0</v>
      </c>
      <c r="CG61" s="260">
        <v>0</v>
      </c>
      <c r="CH61" s="260">
        <v>0</v>
      </c>
      <c r="CI61" s="260">
        <v>0</v>
      </c>
      <c r="CJ61" s="260">
        <v>0</v>
      </c>
      <c r="CK61" s="260">
        <v>0</v>
      </c>
      <c r="CL61" s="260">
        <v>0</v>
      </c>
      <c r="CM61" s="260">
        <v>0</v>
      </c>
      <c r="CN61" s="260">
        <v>0</v>
      </c>
      <c r="CO61" s="260">
        <v>0</v>
      </c>
      <c r="CP61" s="260">
        <v>0</v>
      </c>
      <c r="CQ61" s="260">
        <v>0</v>
      </c>
      <c r="CR61" s="260">
        <v>0</v>
      </c>
      <c r="CS61" s="260">
        <v>0</v>
      </c>
      <c r="CT61" s="260">
        <v>0</v>
      </c>
      <c r="CU61" s="260">
        <v>0</v>
      </c>
      <c r="CV61" s="260">
        <v>0</v>
      </c>
      <c r="CW61" s="260">
        <v>0</v>
      </c>
      <c r="CX61" s="260">
        <v>0</v>
      </c>
      <c r="CY61" s="260">
        <v>0</v>
      </c>
      <c r="CZ61" s="260">
        <v>0</v>
      </c>
      <c r="DA61" s="260">
        <v>0</v>
      </c>
      <c r="DB61" s="260">
        <v>0</v>
      </c>
      <c r="DC61" s="260">
        <v>0</v>
      </c>
      <c r="DD61" s="260">
        <v>0</v>
      </c>
      <c r="DE61" s="260">
        <v>0</v>
      </c>
      <c r="DF61" s="260">
        <v>0</v>
      </c>
      <c r="DG61" s="260">
        <v>0</v>
      </c>
      <c r="DH61" s="260">
        <v>0</v>
      </c>
      <c r="DI61" s="260">
        <v>0</v>
      </c>
      <c r="DJ61" s="260">
        <v>0</v>
      </c>
      <c r="DK61" s="260">
        <v>0</v>
      </c>
      <c r="DL61" s="260">
        <v>0</v>
      </c>
      <c r="DM61" s="260">
        <v>0</v>
      </c>
      <c r="DN61" s="260">
        <v>0</v>
      </c>
      <c r="DO61" s="260">
        <v>0</v>
      </c>
      <c r="DP61" s="260">
        <v>0</v>
      </c>
      <c r="DQ61" s="260">
        <v>0</v>
      </c>
      <c r="DR61" s="260">
        <v>0</v>
      </c>
      <c r="DS61" s="260">
        <v>0</v>
      </c>
      <c r="DT61" s="260">
        <v>0</v>
      </c>
      <c r="DU61" s="260">
        <v>0</v>
      </c>
      <c r="DV61" s="260">
        <v>0</v>
      </c>
      <c r="DW61" s="260">
        <v>0</v>
      </c>
      <c r="DX61" s="260">
        <v>0</v>
      </c>
      <c r="DY61" s="260">
        <v>0</v>
      </c>
      <c r="DZ61">
        <v>0</v>
      </c>
      <c r="EA61">
        <v>0</v>
      </c>
    </row>
    <row r="62" spans="10:131" x14ac:dyDescent="0.25">
      <c r="J62" t="str">
        <v>CNC Depreciation</v>
      </c>
      <c r="K62">
        <v>50181</v>
      </c>
      <c r="L62" s="260">
        <v>5018.1000000000004</v>
      </c>
      <c r="M62" s="260">
        <v>4516.2900000000009</v>
      </c>
      <c r="N62" s="260">
        <v>4064.6610000000005</v>
      </c>
      <c r="O62" s="260">
        <v>3658.1949000000009</v>
      </c>
      <c r="P62" s="260">
        <v>3292.375410000001</v>
      </c>
      <c r="Q62" s="260">
        <v>2963.137869000001</v>
      </c>
      <c r="R62" s="260">
        <v>2666.8240821000009</v>
      </c>
      <c r="S62" s="260">
        <v>2400.1416738900007</v>
      </c>
      <c r="T62" s="260">
        <v>2160.1275065010009</v>
      </c>
      <c r="U62" s="260">
        <v>1944.1147558509008</v>
      </c>
      <c r="V62" s="260">
        <v>1749.7032802658109</v>
      </c>
      <c r="W62" s="260">
        <v>1574.7329522392299</v>
      </c>
      <c r="X62" s="260">
        <v>1417.2596570153071</v>
      </c>
      <c r="Y62" s="260">
        <v>1275.5336913137764</v>
      </c>
      <c r="Z62" s="260">
        <v>1147.9803221823988</v>
      </c>
      <c r="AA62" s="260">
        <v>1033.1822899641588</v>
      </c>
      <c r="AB62" s="260">
        <v>929.86406096774317</v>
      </c>
      <c r="AC62" s="260">
        <v>836.87765487096885</v>
      </c>
      <c r="AD62" s="260">
        <v>753.1898893838719</v>
      </c>
      <c r="AE62" s="260">
        <v>6778.7090044548222</v>
      </c>
      <c r="AF62" s="260">
        <v>0</v>
      </c>
      <c r="AG62" s="260">
        <v>0</v>
      </c>
      <c r="AH62" s="260">
        <v>0</v>
      </c>
      <c r="AI62" s="260">
        <v>0</v>
      </c>
      <c r="AJ62" s="260">
        <v>0</v>
      </c>
      <c r="AK62" s="260">
        <v>0</v>
      </c>
      <c r="AL62" s="260">
        <v>0</v>
      </c>
      <c r="AM62" s="260">
        <v>0</v>
      </c>
      <c r="AN62" s="260">
        <v>0</v>
      </c>
      <c r="AO62" s="260">
        <v>0</v>
      </c>
      <c r="AP62" s="260">
        <v>0</v>
      </c>
      <c r="AQ62" s="260">
        <v>0</v>
      </c>
      <c r="AR62" s="260">
        <v>0</v>
      </c>
      <c r="AS62" s="260">
        <v>0</v>
      </c>
      <c r="AT62" s="260">
        <v>0</v>
      </c>
      <c r="AU62" s="260">
        <v>0</v>
      </c>
      <c r="AV62" s="260">
        <v>0</v>
      </c>
      <c r="AW62" s="260">
        <v>0</v>
      </c>
      <c r="AX62" s="260">
        <v>0</v>
      </c>
      <c r="AY62" s="260">
        <v>0</v>
      </c>
      <c r="AZ62" s="260">
        <v>0</v>
      </c>
      <c r="BA62" s="260">
        <v>0</v>
      </c>
      <c r="BB62" s="260">
        <v>0</v>
      </c>
      <c r="BC62" s="260">
        <v>0</v>
      </c>
      <c r="BD62" s="260">
        <v>0</v>
      </c>
      <c r="BE62" s="260">
        <v>0</v>
      </c>
      <c r="BF62" s="260">
        <v>0</v>
      </c>
      <c r="BG62" s="260">
        <v>0</v>
      </c>
      <c r="BH62" s="260">
        <v>0</v>
      </c>
      <c r="BI62" s="260">
        <v>0</v>
      </c>
      <c r="BJ62" s="260">
        <v>0</v>
      </c>
      <c r="BK62" s="260">
        <v>0</v>
      </c>
      <c r="BL62" s="260">
        <v>0</v>
      </c>
      <c r="BM62" s="260">
        <v>0</v>
      </c>
      <c r="BN62" s="260">
        <v>0</v>
      </c>
      <c r="BO62" s="260">
        <v>0</v>
      </c>
      <c r="BP62" s="260">
        <v>0</v>
      </c>
      <c r="BQ62" s="260">
        <v>0</v>
      </c>
      <c r="BR62" s="260">
        <v>0</v>
      </c>
      <c r="BS62" s="260">
        <v>0</v>
      </c>
      <c r="BT62" s="260">
        <v>0</v>
      </c>
      <c r="BU62" s="260">
        <v>0</v>
      </c>
      <c r="BV62" s="260">
        <v>0</v>
      </c>
      <c r="BW62" s="260">
        <v>0</v>
      </c>
      <c r="BX62" s="260">
        <v>0</v>
      </c>
      <c r="BY62" s="260">
        <v>0</v>
      </c>
      <c r="BZ62" s="260">
        <v>0</v>
      </c>
      <c r="CA62" s="260">
        <v>0</v>
      </c>
      <c r="CB62" s="260">
        <v>0</v>
      </c>
      <c r="CC62" s="260">
        <v>0</v>
      </c>
      <c r="CD62" s="260">
        <v>0</v>
      </c>
      <c r="CE62" s="260">
        <v>0</v>
      </c>
      <c r="CF62" s="260">
        <v>0</v>
      </c>
      <c r="CG62" s="260">
        <v>0</v>
      </c>
      <c r="CH62" s="260">
        <v>0</v>
      </c>
      <c r="CI62" s="260">
        <v>0</v>
      </c>
      <c r="CJ62" s="260">
        <v>0</v>
      </c>
      <c r="CK62" s="260">
        <v>0</v>
      </c>
      <c r="CL62" s="260">
        <v>0</v>
      </c>
      <c r="CM62" s="260">
        <v>0</v>
      </c>
      <c r="CN62" s="260">
        <v>0</v>
      </c>
      <c r="CO62" s="260">
        <v>0</v>
      </c>
      <c r="CP62" s="260">
        <v>0</v>
      </c>
      <c r="CQ62" s="260">
        <v>0</v>
      </c>
      <c r="CR62" s="260">
        <v>0</v>
      </c>
      <c r="CS62" s="260">
        <v>0</v>
      </c>
      <c r="CT62" s="260">
        <v>0</v>
      </c>
      <c r="CU62" s="260">
        <v>0</v>
      </c>
      <c r="CV62" s="260">
        <v>0</v>
      </c>
      <c r="CW62" s="260">
        <v>0</v>
      </c>
      <c r="CX62" s="260">
        <v>0</v>
      </c>
      <c r="CY62" s="260">
        <v>0</v>
      </c>
      <c r="CZ62" s="260">
        <v>0</v>
      </c>
      <c r="DA62" s="260">
        <v>0</v>
      </c>
      <c r="DB62" s="260">
        <v>0</v>
      </c>
      <c r="DC62" s="260">
        <v>0</v>
      </c>
      <c r="DD62" s="260">
        <v>0</v>
      </c>
      <c r="DE62" s="260">
        <v>0</v>
      </c>
      <c r="DF62" s="260">
        <v>0</v>
      </c>
      <c r="DG62" s="260">
        <v>0</v>
      </c>
      <c r="DH62" s="260">
        <v>0</v>
      </c>
      <c r="DI62" s="260">
        <v>0</v>
      </c>
      <c r="DJ62" s="260">
        <v>0</v>
      </c>
      <c r="DK62" s="260">
        <v>0</v>
      </c>
      <c r="DL62" s="260">
        <v>0</v>
      </c>
      <c r="DM62" s="260">
        <v>0</v>
      </c>
      <c r="DN62" s="260">
        <v>0</v>
      </c>
      <c r="DO62" s="260">
        <v>0</v>
      </c>
      <c r="DP62" s="260">
        <v>0</v>
      </c>
      <c r="DQ62" s="260">
        <v>0</v>
      </c>
      <c r="DR62" s="260">
        <v>0</v>
      </c>
      <c r="DS62" s="260">
        <v>0</v>
      </c>
      <c r="DT62" s="260">
        <v>0</v>
      </c>
      <c r="DU62" s="260">
        <v>0</v>
      </c>
      <c r="DV62" s="260">
        <v>0</v>
      </c>
      <c r="DW62" s="260">
        <v>0</v>
      </c>
      <c r="DX62" s="260">
        <v>0</v>
      </c>
      <c r="DY62" s="260">
        <v>0</v>
      </c>
      <c r="DZ62">
        <v>0</v>
      </c>
      <c r="EA62">
        <v>0</v>
      </c>
    </row>
    <row r="63" spans="10:131" x14ac:dyDescent="0.25">
      <c r="J63" t="str">
        <v>CNC Book Value</v>
      </c>
      <c r="K63">
        <v>0</v>
      </c>
      <c r="L63" s="260">
        <v>45162.9</v>
      </c>
      <c r="M63" s="260">
        <v>40646.609999999993</v>
      </c>
      <c r="N63" s="260">
        <v>36581.948999999986</v>
      </c>
      <c r="O63" s="260">
        <v>32923.754099999969</v>
      </c>
      <c r="P63" s="260">
        <v>29631.378689999983</v>
      </c>
      <c r="Q63" s="260">
        <v>26668.240820999974</v>
      </c>
      <c r="R63" s="260">
        <v>24001.41673889997</v>
      </c>
      <c r="S63" s="260">
        <v>21601.275065009952</v>
      </c>
      <c r="T63" s="260">
        <v>19441.147558508968</v>
      </c>
      <c r="U63" s="260">
        <v>17497.032802658086</v>
      </c>
      <c r="V63" s="260">
        <v>15747.329522392294</v>
      </c>
      <c r="W63" s="260">
        <v>14172.596570153057</v>
      </c>
      <c r="X63" s="260">
        <v>12755.336913137755</v>
      </c>
      <c r="Y63" s="260">
        <v>11479.803221823975</v>
      </c>
      <c r="Z63" s="260">
        <v>10331.822899641566</v>
      </c>
      <c r="AA63" s="260">
        <v>9298.6406096774044</v>
      </c>
      <c r="AB63" s="260">
        <v>8368.7765487096585</v>
      </c>
      <c r="AC63" s="260">
        <v>7531.8988938386919</v>
      </c>
      <c r="AD63" s="260">
        <v>6778.7090044548222</v>
      </c>
      <c r="AE63" s="260">
        <v>-5.4569682106375694E-12</v>
      </c>
      <c r="AF63" s="260">
        <v>-5.1159076974727213E-12</v>
      </c>
      <c r="AG63" s="260">
        <v>-5.1159076974727213E-12</v>
      </c>
      <c r="AH63" s="260">
        <v>0</v>
      </c>
      <c r="AI63" s="260">
        <v>0</v>
      </c>
      <c r="AJ63" s="260">
        <v>0</v>
      </c>
      <c r="AK63" s="260">
        <v>0</v>
      </c>
      <c r="AL63" s="260">
        <v>0</v>
      </c>
      <c r="AM63" s="260">
        <v>0</v>
      </c>
      <c r="AN63" s="260">
        <v>0</v>
      </c>
      <c r="AO63" s="260">
        <v>0</v>
      </c>
      <c r="AP63" s="260">
        <v>0</v>
      </c>
      <c r="AQ63" s="260">
        <v>0</v>
      </c>
      <c r="AR63" s="260">
        <v>0</v>
      </c>
      <c r="AS63" s="260">
        <v>0</v>
      </c>
      <c r="AT63" s="260">
        <v>0</v>
      </c>
      <c r="AU63" s="260">
        <v>0</v>
      </c>
      <c r="AV63" s="260">
        <v>0</v>
      </c>
      <c r="AW63" s="260">
        <v>0</v>
      </c>
      <c r="AX63" s="260">
        <v>0</v>
      </c>
      <c r="AY63" s="260">
        <v>0</v>
      </c>
      <c r="AZ63" s="260">
        <v>0</v>
      </c>
      <c r="BA63" s="260">
        <v>0</v>
      </c>
      <c r="BB63" s="260">
        <v>0</v>
      </c>
      <c r="BC63" s="260">
        <v>0</v>
      </c>
      <c r="BD63" s="260">
        <v>0</v>
      </c>
      <c r="BE63" s="260">
        <v>0</v>
      </c>
      <c r="BF63" s="260">
        <v>0</v>
      </c>
      <c r="BG63" s="260">
        <v>0</v>
      </c>
      <c r="BH63" s="260">
        <v>0</v>
      </c>
      <c r="BI63" s="260">
        <v>0</v>
      </c>
      <c r="BJ63" s="260">
        <v>0</v>
      </c>
      <c r="BK63" s="260">
        <v>0</v>
      </c>
      <c r="BL63" s="260">
        <v>0</v>
      </c>
      <c r="BM63" s="260">
        <v>0</v>
      </c>
      <c r="BN63" s="260">
        <v>0</v>
      </c>
      <c r="BO63" s="260">
        <v>0</v>
      </c>
      <c r="BP63" s="260">
        <v>0</v>
      </c>
      <c r="BQ63" s="260">
        <v>0</v>
      </c>
      <c r="BR63" s="260">
        <v>0</v>
      </c>
      <c r="BS63" s="260">
        <v>0</v>
      </c>
      <c r="BT63" s="260">
        <v>0</v>
      </c>
      <c r="BU63" s="260">
        <v>0</v>
      </c>
      <c r="BV63" s="260">
        <v>0</v>
      </c>
      <c r="BW63" s="260">
        <v>0</v>
      </c>
      <c r="BX63" s="260">
        <v>0</v>
      </c>
      <c r="BY63" s="260">
        <v>0</v>
      </c>
      <c r="BZ63" s="260">
        <v>0</v>
      </c>
      <c r="CA63" s="260">
        <v>0</v>
      </c>
      <c r="CB63" s="260">
        <v>0</v>
      </c>
      <c r="CC63" s="260">
        <v>0</v>
      </c>
      <c r="CD63" s="260">
        <v>0</v>
      </c>
      <c r="CE63" s="260">
        <v>0</v>
      </c>
      <c r="CF63" s="260">
        <v>0</v>
      </c>
      <c r="CG63" s="260">
        <v>0</v>
      </c>
      <c r="CH63" s="260">
        <v>0</v>
      </c>
      <c r="CI63" s="260">
        <v>0</v>
      </c>
      <c r="CJ63" s="260">
        <v>0</v>
      </c>
      <c r="CK63" s="260">
        <v>0</v>
      </c>
      <c r="CL63" s="260">
        <v>0</v>
      </c>
      <c r="CM63" s="260">
        <v>0</v>
      </c>
      <c r="CN63" s="260">
        <v>0</v>
      </c>
      <c r="CO63" s="260">
        <v>0</v>
      </c>
      <c r="CP63" s="260">
        <v>0</v>
      </c>
      <c r="CQ63" s="260">
        <v>0</v>
      </c>
      <c r="CR63" s="260">
        <v>0</v>
      </c>
      <c r="CS63" s="260">
        <v>0</v>
      </c>
      <c r="CT63" s="260">
        <v>0</v>
      </c>
      <c r="CU63" s="260">
        <v>0</v>
      </c>
      <c r="CV63" s="260">
        <v>0</v>
      </c>
      <c r="CW63" s="260">
        <v>0</v>
      </c>
      <c r="CX63" s="260">
        <v>0</v>
      </c>
      <c r="CY63" s="260">
        <v>0</v>
      </c>
      <c r="CZ63" s="260">
        <v>0</v>
      </c>
      <c r="DA63" s="260">
        <v>0</v>
      </c>
      <c r="DB63" s="260">
        <v>0</v>
      </c>
      <c r="DC63" s="260">
        <v>0</v>
      </c>
      <c r="DD63" s="260">
        <v>0</v>
      </c>
      <c r="DE63" s="260">
        <v>0</v>
      </c>
      <c r="DF63" s="260">
        <v>0</v>
      </c>
      <c r="DG63" s="260">
        <v>0</v>
      </c>
      <c r="DH63" s="260">
        <v>0</v>
      </c>
      <c r="DI63" s="260">
        <v>0</v>
      </c>
      <c r="DJ63" s="260">
        <v>0</v>
      </c>
      <c r="DK63" s="260">
        <v>0</v>
      </c>
      <c r="DL63" s="260">
        <v>0</v>
      </c>
      <c r="DM63" s="260">
        <v>0</v>
      </c>
      <c r="DN63" s="260">
        <v>0</v>
      </c>
      <c r="DO63" s="260">
        <v>0</v>
      </c>
      <c r="DP63" s="260">
        <v>0</v>
      </c>
      <c r="DQ63" s="260">
        <v>0</v>
      </c>
      <c r="DR63" s="260">
        <v>0</v>
      </c>
      <c r="DS63" s="260">
        <v>0</v>
      </c>
      <c r="DT63" s="260">
        <v>0</v>
      </c>
      <c r="DU63" s="260">
        <v>0</v>
      </c>
      <c r="DV63" s="260">
        <v>0</v>
      </c>
      <c r="DW63" s="260">
        <v>0</v>
      </c>
      <c r="DX63" s="260">
        <v>0</v>
      </c>
      <c r="DY63" s="260">
        <v>0</v>
      </c>
      <c r="DZ63">
        <v>0</v>
      </c>
      <c r="EA63">
        <v>0</v>
      </c>
    </row>
    <row r="64" spans="10:131" x14ac:dyDescent="0.25">
      <c r="J64" t="str">
        <v>CNC Revenue from Sale</v>
      </c>
      <c r="K64">
        <v>0</v>
      </c>
      <c r="L64" s="260">
        <v>0</v>
      </c>
      <c r="M64" s="260">
        <v>0</v>
      </c>
      <c r="N64" s="260">
        <v>0</v>
      </c>
      <c r="O64" s="260">
        <v>0</v>
      </c>
      <c r="P64" s="260">
        <v>0</v>
      </c>
      <c r="Q64" s="260">
        <v>0</v>
      </c>
      <c r="R64" s="260">
        <v>0</v>
      </c>
      <c r="S64" s="260">
        <v>0</v>
      </c>
      <c r="T64" s="260">
        <v>0</v>
      </c>
      <c r="U64" s="260">
        <v>0</v>
      </c>
      <c r="V64" s="260">
        <v>0</v>
      </c>
      <c r="W64" s="260">
        <v>0</v>
      </c>
      <c r="X64" s="260">
        <v>0</v>
      </c>
      <c r="Y64" s="260">
        <v>0</v>
      </c>
      <c r="Z64" s="260">
        <v>0</v>
      </c>
      <c r="AA64" s="260">
        <v>0</v>
      </c>
      <c r="AB64" s="260">
        <v>0</v>
      </c>
      <c r="AC64" s="260">
        <v>0</v>
      </c>
      <c r="AD64" s="260">
        <v>0</v>
      </c>
      <c r="AE64" s="260">
        <v>0</v>
      </c>
      <c r="AF64" s="260">
        <v>0</v>
      </c>
      <c r="AG64" s="260">
        <v>0</v>
      </c>
      <c r="AH64" s="260">
        <v>0</v>
      </c>
      <c r="AI64" s="260">
        <v>0</v>
      </c>
      <c r="AJ64" s="260">
        <v>0</v>
      </c>
      <c r="AK64" s="260">
        <v>0</v>
      </c>
      <c r="AL64" s="260">
        <v>0</v>
      </c>
      <c r="AM64" s="260">
        <v>0</v>
      </c>
      <c r="AN64" s="260">
        <v>0</v>
      </c>
      <c r="AO64" s="260">
        <v>0</v>
      </c>
      <c r="AP64" s="260">
        <v>0</v>
      </c>
      <c r="AQ64" s="260">
        <v>0</v>
      </c>
      <c r="AR64" s="260">
        <v>0</v>
      </c>
      <c r="AS64" s="260">
        <v>0</v>
      </c>
      <c r="AT64" s="260">
        <v>0</v>
      </c>
      <c r="AU64" s="260">
        <v>0</v>
      </c>
      <c r="AV64" s="260">
        <v>0</v>
      </c>
      <c r="AW64" s="260">
        <v>0</v>
      </c>
      <c r="AX64" s="260">
        <v>0</v>
      </c>
      <c r="AY64" s="260">
        <v>0</v>
      </c>
      <c r="AZ64" s="260">
        <v>0</v>
      </c>
      <c r="BA64" s="260">
        <v>0</v>
      </c>
      <c r="BB64" s="260">
        <v>0</v>
      </c>
      <c r="BC64" s="260">
        <v>0</v>
      </c>
      <c r="BD64" s="260">
        <v>0</v>
      </c>
      <c r="BE64" s="260">
        <v>0</v>
      </c>
      <c r="BF64" s="260">
        <v>0</v>
      </c>
      <c r="BG64" s="260">
        <v>0</v>
      </c>
      <c r="BH64" s="260">
        <v>0</v>
      </c>
      <c r="BI64" s="260">
        <v>0</v>
      </c>
      <c r="BJ64" s="260">
        <v>0</v>
      </c>
      <c r="BK64" s="260">
        <v>0</v>
      </c>
      <c r="BL64" s="260">
        <v>0</v>
      </c>
      <c r="BM64" s="260">
        <v>0</v>
      </c>
      <c r="BN64" s="260">
        <v>0</v>
      </c>
      <c r="BO64" s="260">
        <v>0</v>
      </c>
      <c r="BP64" s="260">
        <v>0</v>
      </c>
      <c r="BQ64" s="260">
        <v>0</v>
      </c>
      <c r="BR64" s="260">
        <v>0</v>
      </c>
      <c r="BS64" s="260">
        <v>0</v>
      </c>
      <c r="BT64" s="260">
        <v>0</v>
      </c>
      <c r="BU64" s="260">
        <v>0</v>
      </c>
      <c r="BV64" s="260">
        <v>0</v>
      </c>
      <c r="BW64" s="260">
        <v>0</v>
      </c>
      <c r="BX64" s="260">
        <v>0</v>
      </c>
      <c r="BY64" s="260">
        <v>0</v>
      </c>
      <c r="BZ64" s="260">
        <v>0</v>
      </c>
      <c r="CA64" s="260">
        <v>0</v>
      </c>
      <c r="CB64" s="260">
        <v>0</v>
      </c>
      <c r="CC64" s="260">
        <v>0</v>
      </c>
      <c r="CD64" s="260">
        <v>0</v>
      </c>
      <c r="CE64" s="260">
        <v>0</v>
      </c>
      <c r="CF64" s="260">
        <v>0</v>
      </c>
      <c r="CG64" s="260">
        <v>0</v>
      </c>
      <c r="CH64" s="260">
        <v>0</v>
      </c>
      <c r="CI64" s="260">
        <v>0</v>
      </c>
      <c r="CJ64" s="260">
        <v>0</v>
      </c>
      <c r="CK64" s="260">
        <v>0</v>
      </c>
      <c r="CL64" s="260">
        <v>0</v>
      </c>
      <c r="CM64" s="260">
        <v>0</v>
      </c>
      <c r="CN64" s="260">
        <v>0</v>
      </c>
      <c r="CO64" s="260">
        <v>0</v>
      </c>
      <c r="CP64" s="260">
        <v>0</v>
      </c>
      <c r="CQ64" s="260">
        <v>0</v>
      </c>
      <c r="CR64" s="260">
        <v>0</v>
      </c>
      <c r="CS64" s="260">
        <v>0</v>
      </c>
      <c r="CT64" s="260">
        <v>0</v>
      </c>
      <c r="CU64" s="260">
        <v>0</v>
      </c>
      <c r="CV64" s="260">
        <v>0</v>
      </c>
      <c r="CW64" s="260">
        <v>0</v>
      </c>
      <c r="CX64" s="260">
        <v>0</v>
      </c>
      <c r="CY64" s="260">
        <v>0</v>
      </c>
      <c r="CZ64" s="260">
        <v>0</v>
      </c>
      <c r="DA64" s="260">
        <v>0</v>
      </c>
      <c r="DB64" s="260">
        <v>0</v>
      </c>
      <c r="DC64" s="260">
        <v>0</v>
      </c>
      <c r="DD64" s="260">
        <v>0</v>
      </c>
      <c r="DE64" s="260">
        <v>0</v>
      </c>
      <c r="DF64" s="260">
        <v>0</v>
      </c>
      <c r="DG64" s="260">
        <v>0</v>
      </c>
      <c r="DH64" s="260">
        <v>0</v>
      </c>
      <c r="DI64" s="260">
        <v>0</v>
      </c>
      <c r="DJ64" s="260">
        <v>0</v>
      </c>
      <c r="DK64" s="260">
        <v>0</v>
      </c>
      <c r="DL64" s="260">
        <v>0</v>
      </c>
      <c r="DM64" s="260">
        <v>0</v>
      </c>
      <c r="DN64" s="260">
        <v>0</v>
      </c>
      <c r="DO64" s="260">
        <v>0</v>
      </c>
      <c r="DP64" s="260">
        <v>0</v>
      </c>
      <c r="DQ64" s="260">
        <v>0</v>
      </c>
      <c r="DR64" s="260">
        <v>0</v>
      </c>
      <c r="DS64" s="260">
        <v>0</v>
      </c>
      <c r="DT64" s="260">
        <v>0</v>
      </c>
      <c r="DU64" s="260">
        <v>0</v>
      </c>
      <c r="DV64" s="260">
        <v>0</v>
      </c>
      <c r="DW64" s="260">
        <v>0</v>
      </c>
      <c r="DX64" s="260">
        <v>0</v>
      </c>
      <c r="DY64" s="260">
        <v>0</v>
      </c>
      <c r="DZ64">
        <v>0</v>
      </c>
      <c r="EA64">
        <v>0</v>
      </c>
    </row>
    <row r="65" spans="10:131" x14ac:dyDescent="0.25">
      <c r="J65" t="str">
        <v>CNC Disposal Costs</v>
      </c>
      <c r="K65">
        <v>250</v>
      </c>
      <c r="L65" s="260">
        <v>0</v>
      </c>
      <c r="M65" s="260">
        <v>0</v>
      </c>
      <c r="N65" s="260">
        <v>0</v>
      </c>
      <c r="O65" s="260">
        <v>0</v>
      </c>
      <c r="P65" s="260">
        <v>0</v>
      </c>
      <c r="Q65" s="260">
        <v>0</v>
      </c>
      <c r="R65" s="260">
        <v>0</v>
      </c>
      <c r="S65" s="260">
        <v>0</v>
      </c>
      <c r="T65" s="260">
        <v>0</v>
      </c>
      <c r="U65" s="260">
        <v>0</v>
      </c>
      <c r="V65" s="260">
        <v>0</v>
      </c>
      <c r="W65" s="260">
        <v>0</v>
      </c>
      <c r="X65" s="260">
        <v>0</v>
      </c>
      <c r="Y65" s="260">
        <v>0</v>
      </c>
      <c r="Z65" s="260">
        <v>0</v>
      </c>
      <c r="AA65" s="260">
        <v>0</v>
      </c>
      <c r="AB65" s="260">
        <v>0</v>
      </c>
      <c r="AC65" s="260">
        <v>0</v>
      </c>
      <c r="AD65" s="260">
        <v>0</v>
      </c>
      <c r="AE65" s="260">
        <v>0</v>
      </c>
      <c r="AF65" s="260">
        <v>0</v>
      </c>
      <c r="AG65" s="260">
        <v>250</v>
      </c>
      <c r="AH65" s="260">
        <v>0</v>
      </c>
      <c r="AI65" s="260">
        <v>0</v>
      </c>
      <c r="AJ65" s="260">
        <v>0</v>
      </c>
      <c r="AK65" s="260">
        <v>0</v>
      </c>
      <c r="AL65" s="260">
        <v>0</v>
      </c>
      <c r="AM65" s="260">
        <v>0</v>
      </c>
      <c r="AN65" s="260">
        <v>0</v>
      </c>
      <c r="AO65" s="260">
        <v>0</v>
      </c>
      <c r="AP65" s="260">
        <v>0</v>
      </c>
      <c r="AQ65" s="260">
        <v>0</v>
      </c>
      <c r="AR65" s="260">
        <v>0</v>
      </c>
      <c r="AS65" s="260">
        <v>0</v>
      </c>
      <c r="AT65" s="260">
        <v>0</v>
      </c>
      <c r="AU65" s="260">
        <v>0</v>
      </c>
      <c r="AV65" s="260">
        <v>0</v>
      </c>
      <c r="AW65" s="260">
        <v>0</v>
      </c>
      <c r="AX65" s="260">
        <v>0</v>
      </c>
      <c r="AY65" s="260">
        <v>0</v>
      </c>
      <c r="AZ65" s="260">
        <v>0</v>
      </c>
      <c r="BA65" s="260">
        <v>0</v>
      </c>
      <c r="BB65" s="260">
        <v>0</v>
      </c>
      <c r="BC65" s="260">
        <v>0</v>
      </c>
      <c r="BD65" s="260">
        <v>0</v>
      </c>
      <c r="BE65" s="260">
        <v>0</v>
      </c>
      <c r="BF65" s="260">
        <v>0</v>
      </c>
      <c r="BG65" s="260">
        <v>0</v>
      </c>
      <c r="BH65" s="260">
        <v>0</v>
      </c>
      <c r="BI65" s="260">
        <v>0</v>
      </c>
      <c r="BJ65" s="260">
        <v>0</v>
      </c>
      <c r="BK65" s="260">
        <v>0</v>
      </c>
      <c r="BL65" s="260">
        <v>0</v>
      </c>
      <c r="BM65" s="260">
        <v>0</v>
      </c>
      <c r="BN65" s="260">
        <v>0</v>
      </c>
      <c r="BO65" s="260">
        <v>0</v>
      </c>
      <c r="BP65" s="260">
        <v>0</v>
      </c>
      <c r="BQ65" s="260">
        <v>0</v>
      </c>
      <c r="BR65" s="260">
        <v>0</v>
      </c>
      <c r="BS65" s="260">
        <v>0</v>
      </c>
      <c r="BT65" s="260">
        <v>0</v>
      </c>
      <c r="BU65" s="260">
        <v>0</v>
      </c>
      <c r="BV65" s="260">
        <v>0</v>
      </c>
      <c r="BW65" s="260">
        <v>0</v>
      </c>
      <c r="BX65" s="260">
        <v>0</v>
      </c>
      <c r="BY65" s="260">
        <v>0</v>
      </c>
      <c r="BZ65" s="260">
        <v>0</v>
      </c>
      <c r="CA65" s="260">
        <v>0</v>
      </c>
      <c r="CB65" s="260">
        <v>0</v>
      </c>
      <c r="CC65" s="260">
        <v>0</v>
      </c>
      <c r="CD65" s="260">
        <v>0</v>
      </c>
      <c r="CE65" s="260">
        <v>0</v>
      </c>
      <c r="CF65" s="260">
        <v>0</v>
      </c>
      <c r="CG65" s="260">
        <v>0</v>
      </c>
      <c r="CH65" s="260">
        <v>0</v>
      </c>
      <c r="CI65" s="260">
        <v>0</v>
      </c>
      <c r="CJ65" s="260">
        <v>0</v>
      </c>
      <c r="CK65" s="260">
        <v>0</v>
      </c>
      <c r="CL65" s="260">
        <v>0</v>
      </c>
      <c r="CM65" s="260">
        <v>0</v>
      </c>
      <c r="CN65" s="260">
        <v>0</v>
      </c>
      <c r="CO65" s="260">
        <v>0</v>
      </c>
      <c r="CP65" s="260">
        <v>0</v>
      </c>
      <c r="CQ65" s="260">
        <v>0</v>
      </c>
      <c r="CR65" s="260">
        <v>0</v>
      </c>
      <c r="CS65" s="260">
        <v>0</v>
      </c>
      <c r="CT65" s="260">
        <v>0</v>
      </c>
      <c r="CU65" s="260">
        <v>0</v>
      </c>
      <c r="CV65" s="260">
        <v>0</v>
      </c>
      <c r="CW65" s="260">
        <v>0</v>
      </c>
      <c r="CX65" s="260">
        <v>0</v>
      </c>
      <c r="CY65" s="260">
        <v>0</v>
      </c>
      <c r="CZ65" s="260">
        <v>0</v>
      </c>
      <c r="DA65" s="260">
        <v>0</v>
      </c>
      <c r="DB65" s="260">
        <v>0</v>
      </c>
      <c r="DC65" s="260">
        <v>0</v>
      </c>
      <c r="DD65" s="260">
        <v>0</v>
      </c>
      <c r="DE65" s="260">
        <v>0</v>
      </c>
      <c r="DF65" s="260">
        <v>0</v>
      </c>
      <c r="DG65" s="260">
        <v>0</v>
      </c>
      <c r="DH65" s="260">
        <v>0</v>
      </c>
      <c r="DI65" s="260">
        <v>0</v>
      </c>
      <c r="DJ65" s="260">
        <v>0</v>
      </c>
      <c r="DK65" s="260">
        <v>0</v>
      </c>
      <c r="DL65" s="260">
        <v>0</v>
      </c>
      <c r="DM65" s="260">
        <v>0</v>
      </c>
      <c r="DN65" s="260">
        <v>0</v>
      </c>
      <c r="DO65" s="260">
        <v>0</v>
      </c>
      <c r="DP65" s="260">
        <v>0</v>
      </c>
      <c r="DQ65" s="260">
        <v>0</v>
      </c>
      <c r="DR65" s="260">
        <v>0</v>
      </c>
      <c r="DS65" s="260">
        <v>0</v>
      </c>
      <c r="DT65" s="260">
        <v>0</v>
      </c>
      <c r="DU65" s="260">
        <v>0</v>
      </c>
      <c r="DV65" s="260">
        <v>0</v>
      </c>
      <c r="DW65" s="260">
        <v>0</v>
      </c>
      <c r="DX65" s="260">
        <v>0</v>
      </c>
      <c r="DY65" s="260">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customProperties>
    <customPr name="Description" r:id="rId2"/>
  </customProperties>
  <drawing r:id="rId3"/>
  <tableParts count="1">
    <tablePart r:id="rId4"/>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oz.LabelDepreciateλ</v>
      </c>
      <c r="B1" s="287"/>
      <c r="C1" s="287"/>
      <c r="D1" s="287"/>
      <c r="E1" s="287"/>
      <c r="F1" s="287"/>
      <c r="G1" s="287"/>
      <c r="H1" s="287"/>
      <c r="I1" s="287"/>
      <c r="J1" s="287"/>
      <c r="K1" s="287"/>
      <c r="L1" s="287"/>
      <c r="M1" s="287"/>
      <c r="N1" s="287"/>
      <c r="O1" s="287"/>
      <c r="P1" s="287"/>
      <c r="Q1" s="287"/>
    </row>
    <row r="2" spans="1:20" x14ac:dyDescent="0.25">
      <c r="A2" s="288" t="s">
        <v>216</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oz.LabelDepreciateλ()</f>
        <v>FUNCTION:</v>
      </c>
      <c r="B4" t="str">
        <v>LabelDepreciateλ( AssetNames)</v>
      </c>
      <c r="M4" s="321"/>
      <c r="N4" s="321"/>
      <c r="O4" s="321"/>
      <c r="P4" s="321"/>
      <c r="Q4" s="321"/>
      <c r="R4" s="321"/>
      <c r="S4" s="321"/>
      <c r="T4" s="321"/>
    </row>
    <row r="5" spans="1:20" x14ac:dyDescent="0.25">
      <c r="A5" t="str">
        <v>DESCRIPTION:</v>
      </c>
      <c r="B5" t="str">
        <v>Create row labels for the depreciation schedule array produced by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AssetNames</v>
      </c>
      <c r="B9" t="str">
        <v>(Required) The names or descriptions of each asset in the depreciation schedule produced by Depreciateλ</v>
      </c>
      <c r="K9" s="233"/>
      <c r="L9" s="233"/>
      <c r="M9" s="321"/>
      <c r="N9" s="321"/>
      <c r="O9" s="321"/>
      <c r="P9" s="321"/>
      <c r="Q9" s="321"/>
      <c r="R9" s="321"/>
      <c r="S9" s="321"/>
      <c r="T9" s="321"/>
    </row>
    <row r="10" spans="1:20" x14ac:dyDescent="0.25">
      <c r="A10" t="str">
        <v>EXAMPLES:</v>
      </c>
      <c r="B10" t="str">
        <v/>
      </c>
      <c r="K10" s="233"/>
      <c r="L10" s="233"/>
      <c r="M10" s="321"/>
      <c r="N10" s="321"/>
      <c r="O10" s="321"/>
      <c r="P10" s="321"/>
      <c r="Q10" s="321"/>
      <c r="R10" s="321"/>
      <c r="S10" s="321"/>
      <c r="T10" s="321"/>
    </row>
    <row r="11" spans="1:20" x14ac:dyDescent="0.25">
      <c r="A11" t="str">
        <v>Result</v>
      </c>
      <c r="B11" t="str">
        <v>Formula (oz is assumed to be the module's name)</v>
      </c>
      <c r="K11" s="233"/>
      <c r="L11" s="233"/>
      <c r="M11" s="321"/>
      <c r="N11" s="321"/>
      <c r="O11" s="321"/>
      <c r="P11" s="321"/>
      <c r="Q11" s="321"/>
      <c r="R11" s="321"/>
      <c r="S11" s="321"/>
      <c r="T11" s="321"/>
    </row>
    <row r="12" spans="1:20" x14ac:dyDescent="0.25">
      <c r="A12" t="str">
        <v/>
      </c>
      <c r="B12" t="str">
        <v>=oz.LabelDepreciateλ(tblAssets[Asset Name])</v>
      </c>
      <c r="K12" s="233"/>
      <c r="L12" s="233"/>
      <c r="M12" s="321"/>
      <c r="N12" s="321"/>
      <c r="O12" s="321"/>
      <c r="P12" s="321"/>
      <c r="Q12" s="321"/>
      <c r="R12" s="321"/>
      <c r="S12" s="321"/>
      <c r="T12" s="321"/>
    </row>
    <row r="13" spans="1:20" x14ac:dyDescent="0.25">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62" t="str" cm="1">
        <f t="array" ref="J26:J45">oz.LabelDepreciateλ(tblAssets11[Asset])</f>
        <v>Cutter CAPEX</v>
      </c>
      <c r="K26" cm="1">
        <f t="array" ref="K26:K45">oz.SumDepreciateλ(_xlfn.ANCHORARRAY(L26))</f>
        <v>0</v>
      </c>
      <c r="L26" s="192"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customProperties>
    <customPr name="Description" r:id="rId2"/>
  </customProperties>
  <drawing r:id="rId3"/>
  <tableParts count="1">
    <tablePart r:id="rId4"/>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oz.SumDepreciateλ</v>
      </c>
      <c r="B1" s="287"/>
      <c r="C1" s="287"/>
      <c r="D1" s="287"/>
      <c r="E1" s="287"/>
      <c r="F1" s="287"/>
      <c r="G1" s="287"/>
      <c r="H1" s="287"/>
      <c r="I1" s="287"/>
      <c r="J1" s="287"/>
      <c r="K1" s="287"/>
      <c r="L1" s="287"/>
      <c r="M1" s="287"/>
      <c r="N1" s="287"/>
      <c r="O1" s="287"/>
      <c r="P1" s="287"/>
      <c r="Q1" s="287"/>
    </row>
    <row r="2" spans="1:20" x14ac:dyDescent="0.25">
      <c r="A2" s="288" t="s">
        <v>367</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oz.SumDepreciateλ()</f>
        <v>FUNCTION:</v>
      </c>
      <c r="B4" t="str">
        <v>SumDepreciateλ(DepreciationSchedule)</v>
      </c>
      <c r="M4" s="321"/>
      <c r="N4" s="321"/>
      <c r="O4" s="321"/>
      <c r="P4" s="321"/>
      <c r="Q4" s="321"/>
      <c r="R4" s="321"/>
      <c r="S4" s="321"/>
      <c r="T4" s="321"/>
    </row>
    <row r="5" spans="1:20" x14ac:dyDescent="0.25">
      <c r="A5" t="str">
        <v>DESCRIPTION:</v>
      </c>
      <c r="B5" t="str">
        <v>Create row totals for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DepreciationSchedule</v>
      </c>
      <c r="B9" t="str">
        <v>(Required) An array produced by Depreciateλ</v>
      </c>
      <c r="K9" s="233"/>
      <c r="L9" s="233"/>
      <c r="M9" s="321"/>
      <c r="N9" s="321"/>
      <c r="O9" s="321"/>
      <c r="P9" s="321"/>
      <c r="Q9" s="321"/>
      <c r="R9" s="321"/>
      <c r="S9" s="321"/>
      <c r="T9" s="321"/>
    </row>
    <row r="10" spans="1:20" x14ac:dyDescent="0.25">
      <c r="A10" t="str">
        <v/>
      </c>
      <c r="B10" t="str">
        <v/>
      </c>
      <c r="K10" s="233"/>
      <c r="L10" s="233"/>
      <c r="M10" s="321"/>
      <c r="N10" s="321"/>
      <c r="O10" s="321"/>
      <c r="P10" s="321"/>
      <c r="Q10" s="321"/>
      <c r="R10" s="321"/>
      <c r="S10" s="321"/>
      <c r="T10" s="321"/>
    </row>
    <row r="11" spans="1:20" x14ac:dyDescent="0.25">
      <c r="A11" t="str">
        <v>EXAMPLES:</v>
      </c>
      <c r="B11" t="str">
        <v/>
      </c>
      <c r="K11" s="233"/>
      <c r="L11" s="233"/>
      <c r="M11" s="321"/>
      <c r="N11" s="321"/>
      <c r="O11" s="321"/>
      <c r="P11" s="321"/>
      <c r="Q11" s="321"/>
      <c r="R11" s="321"/>
      <c r="S11" s="321"/>
      <c r="T11" s="321"/>
    </row>
    <row r="12" spans="1:20" x14ac:dyDescent="0.25">
      <c r="A12" t="str">
        <v>Result</v>
      </c>
      <c r="B12" t="str">
        <v>Formula (oz is assumed to be the module's name)</v>
      </c>
      <c r="K12" s="233"/>
      <c r="L12" s="233"/>
      <c r="M12" s="321"/>
      <c r="N12" s="321"/>
      <c r="O12" s="321"/>
      <c r="P12" s="321"/>
      <c r="Q12" s="321"/>
      <c r="R12" s="321"/>
      <c r="S12" s="321"/>
      <c r="T12" s="321"/>
    </row>
    <row r="13" spans="1:20" x14ac:dyDescent="0.25">
      <c r="A13" t="str">
        <v/>
      </c>
      <c r="B13" t="str">
        <v>=oz.SumDepreciateλ(DepreciationSchedule)</v>
      </c>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92" t="str" cm="1">
        <f t="array" ref="J26:J45">oz.LabelDepreciateλ(tblAssets1112[Asset])</f>
        <v>Cutter CAPEX</v>
      </c>
      <c r="K26" s="162" cm="1">
        <f t="array" ref="K26:K45">oz.SumDepreciateλ(_xlfn.ANCHORARRAY(L26))</f>
        <v>0</v>
      </c>
      <c r="L26" s="192"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customProperties>
    <customPr name="Description" r:id="rId2"/>
  </customProperties>
  <drawing r:id="rId3"/>
  <tableParts count="1">
    <tablePart r:id="rId4"/>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oz.SumContains</v>
      </c>
      <c r="B1" s="287"/>
      <c r="C1" s="287"/>
      <c r="D1" s="287"/>
      <c r="E1" s="287"/>
      <c r="F1" s="287"/>
      <c r="G1" s="287"/>
      <c r="H1" s="287"/>
      <c r="I1" s="287"/>
      <c r="J1" s="287"/>
      <c r="K1" s="287"/>
      <c r="L1" s="287"/>
      <c r="M1" s="287"/>
      <c r="N1" s="287"/>
      <c r="O1" s="287"/>
      <c r="P1" s="287"/>
      <c r="Q1" s="287"/>
    </row>
    <row r="2" spans="1:20" x14ac:dyDescent="0.25">
      <c r="A2" s="288" t="s">
        <v>368</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7">oz.SumContainsλ()</f>
        <v>FUNCTION:</v>
      </c>
      <c r="B4" t="str">
        <v>SumContainsλ(ValuesToFilter, ValueLabels, FilterByText, [IgnoreCase?])</v>
      </c>
      <c r="M4" s="321"/>
      <c r="N4" s="321"/>
      <c r="O4" s="321"/>
      <c r="P4" s="321"/>
      <c r="Q4" s="321"/>
      <c r="R4" s="321"/>
      <c r="S4" s="321"/>
      <c r="T4" s="321"/>
    </row>
    <row r="5" spans="1:20" x14ac:dyDescent="0.25">
      <c r="A5" t="str">
        <v>DESCRIPTION:</v>
      </c>
      <c r="B5" t="str">
        <v>Creates a row of column totals for each row in an array where</v>
      </c>
      <c r="M5" s="321"/>
      <c r="N5" s="321"/>
      <c r="O5" s="321"/>
      <c r="P5" s="321"/>
      <c r="Q5" s="321"/>
      <c r="R5" s="321"/>
      <c r="S5" s="321"/>
      <c r="T5" s="321"/>
    </row>
    <row r="6" spans="1:20" x14ac:dyDescent="0.25">
      <c r="A6" t="str">
        <v/>
      </c>
      <c r="B6" t="str">
        <v>its labels contain a unique letter, word, or phrase.</v>
      </c>
      <c r="M6" s="321"/>
      <c r="N6" s="321"/>
      <c r="O6" s="321"/>
      <c r="P6" s="321"/>
      <c r="Q6" s="321"/>
      <c r="R6" s="321"/>
      <c r="S6" s="321"/>
      <c r="T6" s="321"/>
    </row>
    <row r="7" spans="1:20" x14ac:dyDescent="0.25">
      <c r="A7" t="str">
        <v>SEE ALSO:</v>
      </c>
      <c r="B7" t="str">
        <v>Excel 365 now has GROUPBY and PIVOTBY for formula-driven aggregation.</v>
      </c>
      <c r="K7" s="233"/>
      <c r="L7" s="233"/>
      <c r="M7" s="321"/>
      <c r="N7" s="321"/>
      <c r="O7" s="321"/>
      <c r="P7" s="321"/>
      <c r="Q7" s="321"/>
      <c r="R7" s="321"/>
      <c r="S7" s="321"/>
      <c r="T7" s="321"/>
    </row>
    <row r="8" spans="1:20" x14ac:dyDescent="0.25">
      <c r="A8" t="str">
        <v>WEBPAGE:</v>
      </c>
      <c r="B8" t="str">
        <v>https://github.com/ryanduguid/Ozzit</v>
      </c>
      <c r="K8" s="233"/>
      <c r="L8" s="233"/>
      <c r="M8" s="321"/>
      <c r="N8" s="321"/>
      <c r="O8" s="321"/>
      <c r="P8" s="321"/>
      <c r="Q8" s="321"/>
      <c r="R8" s="321"/>
      <c r="S8" s="321"/>
      <c r="T8" s="321"/>
    </row>
    <row r="9" spans="1:20" x14ac:dyDescent="0.25">
      <c r="A9" t="str">
        <v>VERSION:</v>
      </c>
      <c r="B9" t="str">
        <v>20 Aug 2026</v>
      </c>
      <c r="K9" s="233"/>
      <c r="L9" s="233"/>
      <c r="M9" s="321"/>
      <c r="N9" s="321"/>
      <c r="O9" s="321"/>
      <c r="P9" s="321"/>
      <c r="Q9" s="321"/>
      <c r="R9" s="321"/>
      <c r="S9" s="321"/>
      <c r="T9" s="321"/>
    </row>
    <row r="10" spans="1:20" x14ac:dyDescent="0.25">
      <c r="A10" t="str">
        <v>PARAMETERS:</v>
      </c>
      <c r="B10" t="str">
        <v/>
      </c>
      <c r="K10" s="233"/>
      <c r="L10" s="233"/>
      <c r="M10" s="321"/>
      <c r="N10" s="321"/>
      <c r="O10" s="321"/>
      <c r="P10" s="321"/>
      <c r="Q10" s="321"/>
      <c r="R10" s="321"/>
      <c r="S10" s="321"/>
      <c r="T10" s="321"/>
    </row>
    <row r="11" spans="1:20" x14ac:dyDescent="0.25">
      <c r="A11" t="str">
        <v>ValuesToFilter</v>
      </c>
      <c r="B11" t="str">
        <v>(Required) An array of values to be filtered</v>
      </c>
      <c r="K11" s="233"/>
      <c r="L11" s="233"/>
      <c r="M11" s="321"/>
      <c r="N11" s="321"/>
      <c r="O11" s="321"/>
      <c r="P11" s="321"/>
      <c r="Q11" s="321"/>
      <c r="R11" s="321"/>
      <c r="S11" s="321"/>
      <c r="T11" s="321"/>
    </row>
    <row r="12" spans="1:20" x14ac:dyDescent="0.25">
      <c r="A12" t="str">
        <v>ValueLabels</v>
      </c>
      <c r="B12" t="str">
        <v>(Required) An array containing the values' labels</v>
      </c>
      <c r="K12" s="233"/>
      <c r="L12" s="233"/>
      <c r="M12" s="321"/>
      <c r="N12" s="321"/>
      <c r="O12" s="321"/>
      <c r="P12" s="321"/>
      <c r="Q12" s="321"/>
      <c r="R12" s="321"/>
      <c r="S12" s="321"/>
      <c r="T12" s="321"/>
    </row>
    <row r="13" spans="1:20" x14ac:dyDescent="0.25">
      <c r="A13" t="str">
        <v>FilterByText</v>
      </c>
      <c r="B13" t="str">
        <v>(Required) A unique letter, word or phrase to find contained in ValueLabels</v>
      </c>
      <c r="K13" s="233"/>
      <c r="L13" s="233"/>
      <c r="M13" s="321"/>
      <c r="N13" s="321"/>
      <c r="O13" s="321"/>
      <c r="P13" s="321"/>
      <c r="Q13" s="321"/>
      <c r="R13" s="321"/>
      <c r="S13" s="321"/>
      <c r="T13" s="321"/>
    </row>
    <row r="14" spans="1:20" x14ac:dyDescent="0.25">
      <c r="A14" t="str">
        <v>IgnoreCase?</v>
      </c>
      <c r="B14" t="str">
        <v>(Optional) A flag to determine if Text's case is important. Default is TRUE</v>
      </c>
      <c r="K14" s="233"/>
      <c r="L14" s="233"/>
      <c r="M14" s="234"/>
      <c r="N14" s="234"/>
      <c r="O14" s="234"/>
      <c r="P14" s="234"/>
      <c r="Q14" s="234"/>
      <c r="R14" s="234"/>
      <c r="S14" s="234"/>
      <c r="T14" s="234"/>
    </row>
    <row r="15" spans="1:20" x14ac:dyDescent="0.25">
      <c r="A15" t="str">
        <v>EXAMPLES:</v>
      </c>
      <c r="B15" t="str">
        <v/>
      </c>
      <c r="K15" s="233"/>
      <c r="L15" s="233"/>
      <c r="M15" s="234"/>
      <c r="N15" s="234"/>
      <c r="O15" s="234"/>
      <c r="P15" s="234"/>
      <c r="Q15" s="234"/>
      <c r="R15" s="234"/>
      <c r="S15" s="234"/>
      <c r="T15" s="234"/>
    </row>
    <row r="16" spans="1:20" x14ac:dyDescent="0.25">
      <c r="A16" t="str">
        <v>Result</v>
      </c>
      <c r="B16" t="str">
        <v>Formula (oz is assumed to be the module's name)</v>
      </c>
      <c r="K16" s="233"/>
      <c r="L16" s="233"/>
      <c r="M16" s="234"/>
      <c r="N16" s="234"/>
      <c r="O16" s="234"/>
      <c r="P16" s="234"/>
      <c r="Q16" s="234"/>
      <c r="R16" s="234"/>
      <c r="S16" s="234"/>
      <c r="T16" s="234"/>
    </row>
    <row r="17" spans="1:23" x14ac:dyDescent="0.25">
      <c r="A17" t="str">
        <v/>
      </c>
      <c r="B17" t="str">
        <v>=oz.SumContainsλ( Array, Labels, "CAPEX" )</v>
      </c>
    </row>
    <row r="18" spans="1:23" ht="21" x14ac:dyDescent="0.35">
      <c r="A18" s="305" t="s">
        <v>272</v>
      </c>
      <c r="B18" s="305"/>
      <c r="C18" s="305"/>
      <c r="J18" s="2" t="s">
        <v>289</v>
      </c>
    </row>
    <row r="20" spans="1:23" x14ac:dyDescent="0.25">
      <c r="A20" s="161" t="s">
        <v>273</v>
      </c>
      <c r="B20" s="161" t="s">
        <v>138</v>
      </c>
      <c r="C20" s="161" t="s">
        <v>139</v>
      </c>
      <c r="J20" s="190" t="s">
        <v>131</v>
      </c>
      <c r="K20" s="190" t="s">
        <v>276</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236</v>
      </c>
      <c r="B21" s="141">
        <v>46569</v>
      </c>
      <c r="C21" t="s">
        <v>145</v>
      </c>
      <c r="J21" t="s">
        <v>342</v>
      </c>
      <c r="L21" s="162"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141</v>
      </c>
      <c r="B22">
        <v>12</v>
      </c>
      <c r="C22" t="s">
        <v>146</v>
      </c>
      <c r="J22" t="s">
        <v>343</v>
      </c>
      <c r="L22" s="162"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142</v>
      </c>
      <c r="B23" t="s">
        <v>24</v>
      </c>
      <c r="J23" t="s">
        <v>344</v>
      </c>
      <c r="L23" s="162"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345</v>
      </c>
      <c r="L24" s="162"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346</v>
      </c>
      <c r="L25" s="162"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298" t="s">
        <v>295</v>
      </c>
      <c r="B26" s="299"/>
      <c r="C26" s="299"/>
      <c r="D26" s="299"/>
      <c r="E26" s="299"/>
      <c r="F26" s="299"/>
      <c r="G26" s="299"/>
      <c r="H26" s="318"/>
    </row>
    <row r="27" spans="1:23" x14ac:dyDescent="0.25">
      <c r="A27" s="314"/>
      <c r="B27" s="315"/>
      <c r="C27" s="315"/>
      <c r="D27" s="315"/>
      <c r="E27" s="315"/>
      <c r="F27" s="315"/>
      <c r="G27" s="315"/>
      <c r="H27" s="315"/>
    </row>
    <row r="28" spans="1:23"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303</v>
      </c>
      <c r="B29" s="195">
        <v>25000</v>
      </c>
      <c r="C29" s="120">
        <v>46204</v>
      </c>
      <c r="D29" s="195">
        <v>8</v>
      </c>
      <c r="E29" s="195">
        <v>1000</v>
      </c>
      <c r="F29" s="120"/>
      <c r="G29" s="195">
        <v>500</v>
      </c>
      <c r="H29" s="120" t="s">
        <v>300</v>
      </c>
      <c r="J29" s="192" t="str" cm="1">
        <f t="array" ref="J29:J48">oz.LabelDepreciateλ(tblAssets111214[Asset])</f>
        <v>Cutter CAPEX</v>
      </c>
      <c r="K29" s="192" cm="1">
        <f t="array" ref="K29:K48">oz.SumDepreciateλ(_xlfn.ANCHORARRAY(L29))</f>
        <v>0</v>
      </c>
      <c r="L29" s="192"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46661</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50546</v>
      </c>
      <c r="C31" s="196">
        <v>47484</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customProperties>
    <customPr name="Description" r:id="rId2"/>
  </customProperties>
  <drawing r:id="rId3"/>
  <tableParts count="1">
    <tablePart r:id="rId4"/>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287" t="str">
        <f ca="1">_xlfn.TEXTAFTER(CELL("filename",A1),"]")</f>
        <v>oz.IntOnIntλ</v>
      </c>
      <c r="B1" s="287"/>
      <c r="C1" s="287"/>
      <c r="D1" s="287"/>
      <c r="E1" s="287"/>
      <c r="F1" s="287"/>
      <c r="G1" s="287"/>
      <c r="H1" s="287"/>
      <c r="I1" s="287"/>
      <c r="J1" s="287"/>
      <c r="K1" s="287"/>
      <c r="L1" s="287"/>
      <c r="M1" s="287"/>
      <c r="N1" s="287"/>
      <c r="O1" s="287"/>
      <c r="P1" s="287"/>
    </row>
    <row r="2" spans="1:17" x14ac:dyDescent="0.25">
      <c r="A2" s="288" t="s">
        <v>209</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305" t="s">
        <v>272</v>
      </c>
      <c r="B17" s="305"/>
      <c r="C17" s="305"/>
    </row>
    <row r="18" spans="1:21" x14ac:dyDescent="0.25">
      <c r="I18" s="191" t="s">
        <v>279</v>
      </c>
      <c r="J18" s="165" cm="1">
        <f t="array" ref="J18:U18">oz.Timelineλ($B$20, $B$21, $B$22, FALSE)</f>
        <v>46568</v>
      </c>
      <c r="K18" s="165">
        <v>46934</v>
      </c>
      <c r="L18" s="165">
        <v>47299</v>
      </c>
      <c r="M18" s="165">
        <v>47664</v>
      </c>
      <c r="N18" s="165">
        <v>48029</v>
      </c>
      <c r="O18" s="165">
        <v>48395</v>
      </c>
      <c r="P18" s="165">
        <v>48760</v>
      </c>
      <c r="Q18" s="165">
        <v>49125</v>
      </c>
      <c r="R18" s="165">
        <v>49490</v>
      </c>
      <c r="S18" s="165">
        <v>49856</v>
      </c>
      <c r="T18" s="165">
        <v>50221</v>
      </c>
      <c r="U18" s="165">
        <v>50586</v>
      </c>
    </row>
    <row r="19" spans="1:21" x14ac:dyDescent="0.25">
      <c r="A19" s="161" t="s">
        <v>273</v>
      </c>
      <c r="B19" s="161" t="s">
        <v>138</v>
      </c>
      <c r="C19" s="161" t="s">
        <v>139</v>
      </c>
      <c r="F19" s="199" t="s">
        <v>258</v>
      </c>
      <c r="G19" s="200" t="s">
        <v>138</v>
      </c>
      <c r="H19" s="199" t="s">
        <v>139</v>
      </c>
      <c r="I19" s="190" t="s">
        <v>276</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236</v>
      </c>
      <c r="B20" s="141">
        <v>46204</v>
      </c>
      <c r="C20" t="s">
        <v>145</v>
      </c>
      <c r="F20" s="2" t="s">
        <v>310</v>
      </c>
    </row>
    <row r="21" spans="1:21" x14ac:dyDescent="0.25">
      <c r="A21" t="s">
        <v>141</v>
      </c>
      <c r="B21">
        <v>12</v>
      </c>
      <c r="C21" t="s">
        <v>146</v>
      </c>
      <c r="F21" s="121" t="s">
        <v>236</v>
      </c>
      <c r="G21" s="141">
        <f>_xlfn.XLOOKUP(F20, tblPhases[Description], tblPhases[Start])</f>
        <v>46204</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50546</v>
      </c>
      <c r="H23" t="s">
        <v>161</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322"/>
      <c r="B24" s="322"/>
      <c r="C24" s="322"/>
      <c r="D24" s="322"/>
      <c r="F24" s="121" t="s">
        <v>313</v>
      </c>
      <c r="J24" s="162" cm="1">
        <f t="array" ref="J24:U24">oz.IntOnIntλ(_xlfn.ANCHORARRAY(J23),G22)</f>
        <v>3804.5376344086035</v>
      </c>
      <c r="K24">
        <v>0</v>
      </c>
      <c r="L24">
        <v>0</v>
      </c>
      <c r="M24">
        <v>0</v>
      </c>
      <c r="N24">
        <v>0</v>
      </c>
      <c r="O24">
        <v>0</v>
      </c>
      <c r="P24">
        <v>0</v>
      </c>
      <c r="Q24">
        <v>0</v>
      </c>
      <c r="R24">
        <v>0</v>
      </c>
      <c r="S24">
        <v>0</v>
      </c>
      <c r="T24">
        <v>0</v>
      </c>
      <c r="U24">
        <v>0</v>
      </c>
    </row>
    <row r="25" spans="1:21" ht="21" x14ac:dyDescent="0.35">
      <c r="A25" s="302" t="s">
        <v>315</v>
      </c>
      <c r="B25" s="306"/>
      <c r="C25" s="306"/>
      <c r="D25" s="306"/>
      <c r="F25" s="2" t="s">
        <v>314</v>
      </c>
      <c r="J25" s="167" cm="1">
        <f t="array" ref="J25:U25">_xlfn.ANCHORARRAY(J23)+_xlfn.ANCHORARRAY(J24)</f>
        <v>54350.537634408603</v>
      </c>
      <c r="K25" s="167">
        <v>0</v>
      </c>
      <c r="L25" s="167">
        <v>0</v>
      </c>
      <c r="M25" s="167">
        <v>0</v>
      </c>
      <c r="N25" s="167">
        <v>0</v>
      </c>
      <c r="O25" s="167">
        <v>0</v>
      </c>
      <c r="P25" s="167">
        <v>0</v>
      </c>
      <c r="Q25" s="167">
        <v>0</v>
      </c>
      <c r="R25" s="167">
        <v>0</v>
      </c>
      <c r="S25" s="167">
        <v>0</v>
      </c>
      <c r="T25" s="167">
        <v>0</v>
      </c>
      <c r="U25" s="167">
        <v>0</v>
      </c>
    </row>
    <row r="26" spans="1:21" x14ac:dyDescent="0.25">
      <c r="A26" s="304"/>
      <c r="B26" s="303"/>
      <c r="C26" s="303"/>
      <c r="D26" s="303"/>
    </row>
    <row r="27" spans="1:21" x14ac:dyDescent="0.25">
      <c r="A27" s="172" t="s">
        <v>131</v>
      </c>
      <c r="B27" s="173" t="s">
        <v>285</v>
      </c>
      <c r="C27" s="173" t="s">
        <v>236</v>
      </c>
      <c r="D27" s="173" t="s">
        <v>286</v>
      </c>
      <c r="F27" s="2" t="s">
        <v>311</v>
      </c>
    </row>
    <row r="28" spans="1:21" x14ac:dyDescent="0.25">
      <c r="A28" s="177" t="s">
        <v>310</v>
      </c>
      <c r="B28" s="178">
        <v>50546</v>
      </c>
      <c r="C28" s="181">
        <v>46204</v>
      </c>
      <c r="D28" s="179">
        <v>7.0000000000000007E-2</v>
      </c>
      <c r="F28" s="121" t="s">
        <v>236</v>
      </c>
      <c r="G28" s="141">
        <f>_xlfn.XLOOKUP(F27,tblPhases[Description],tblPhases[Start])</f>
        <v>46569</v>
      </c>
      <c r="H28" t="s">
        <v>66</v>
      </c>
    </row>
    <row r="29" spans="1:21" x14ac:dyDescent="0.25">
      <c r="A29" s="177" t="s">
        <v>311</v>
      </c>
      <c r="B29" s="178">
        <v>500000</v>
      </c>
      <c r="C29" s="181">
        <v>46569</v>
      </c>
      <c r="D29" s="179">
        <v>6.5000000000000002E-2</v>
      </c>
      <c r="F29" s="121" t="s">
        <v>286</v>
      </c>
      <c r="G29" s="198">
        <f>_xlfn.XLOOKUP(F27,tblPhases[Description],tblPhases[APR])</f>
        <v>6.5000000000000002E-2</v>
      </c>
      <c r="H29" t="s">
        <v>257</v>
      </c>
    </row>
    <row r="30" spans="1:21" x14ac:dyDescent="0.25">
      <c r="A30" s="177" t="s">
        <v>312</v>
      </c>
      <c r="B30" s="178">
        <v>450000</v>
      </c>
      <c r="C30" s="181">
        <v>46935</v>
      </c>
      <c r="D30" s="179">
        <v>0.08</v>
      </c>
      <c r="F30" s="121" t="s">
        <v>285</v>
      </c>
      <c r="G30">
        <f>_xlfn.XLOOKUP(F27,tblPhases[Description],tblPhases[Principal])</f>
        <v>500000</v>
      </c>
      <c r="H30" t="s">
        <v>161</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oz.IntOnIntλ(_xlfn.ANCHORARRAY(J30),G29)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46935</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oz.IntOnIntλ(_xlfn.ANCHORARRAY(J37),G36)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customProperties>
    <customPr name="Description" r:id="rId2"/>
  </customProperties>
  <drawing r:id="rId3"/>
  <tableParts count="1">
    <tablePart r:id="rId4"/>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287" t="str">
        <f ca="1">_xlfn.TEXTAFTER(CELL("filename",A1),"]")</f>
        <v>oz.IRRλ</v>
      </c>
      <c r="B1" s="287"/>
      <c r="C1" s="287"/>
      <c r="D1" s="287"/>
      <c r="E1" s="287"/>
      <c r="F1" s="287"/>
      <c r="G1" s="287"/>
      <c r="H1" s="287"/>
      <c r="I1" s="287"/>
      <c r="J1" s="287"/>
    </row>
    <row r="2" spans="1:18" x14ac:dyDescent="0.25">
      <c r="A2" s="288" t="s">
        <v>210</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row>
    <row r="4" spans="1:18" x14ac:dyDescent="0.25">
      <c r="A4" s="162"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305" t="s">
        <v>272</v>
      </c>
      <c r="B23" s="305"/>
      <c r="C23" s="305"/>
    </row>
    <row r="25" spans="1:17" x14ac:dyDescent="0.25">
      <c r="A25" s="161" t="s">
        <v>273</v>
      </c>
      <c r="B25" s="161" t="s">
        <v>138</v>
      </c>
      <c r="C25" s="161" t="s">
        <v>139</v>
      </c>
      <c r="E25" s="190" t="s">
        <v>316</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236</v>
      </c>
      <c r="B26" s="141">
        <v>46204</v>
      </c>
      <c r="C26" t="s">
        <v>145</v>
      </c>
      <c r="E26" s="201"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customProperties>
    <customPr name="Description" r:id="rId2"/>
  </customProperties>
  <drawing r:id="rId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oz.Reversalλ</v>
      </c>
      <c r="B1" s="287"/>
      <c r="C1" s="287"/>
      <c r="D1" s="287"/>
      <c r="E1" s="287"/>
      <c r="F1" s="287"/>
      <c r="G1" s="287"/>
      <c r="H1" s="287"/>
      <c r="I1" s="287"/>
      <c r="J1" s="287"/>
      <c r="K1" s="287"/>
      <c r="L1" s="287"/>
      <c r="M1" s="287"/>
      <c r="N1" s="287"/>
      <c r="O1" s="287"/>
      <c r="P1" s="287"/>
    </row>
    <row r="2" spans="1:18" x14ac:dyDescent="0.25">
      <c r="A2" s="288" t="s">
        <v>424</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-100,-110,-130</v>
      </c>
      <c r="B13" t="str">
        <v>=oz.Reversalλ( , {100,110,130})</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2298</v>
      </c>
      <c r="H20" s="192"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141</v>
      </c>
      <c r="B21" s="232">
        <v>12</v>
      </c>
      <c r="C21" t="s">
        <v>146</v>
      </c>
      <c r="F21" s="2" t="s">
        <v>425</v>
      </c>
      <c r="G21" cm="1">
        <f t="array" ref="G21">oz.SumRowsλ(_xlfn.ANCHORARRAY(H21))</f>
        <v>-2035</v>
      </c>
      <c r="H21" s="162"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oz.Movementλ</v>
      </c>
      <c r="B1" s="287"/>
      <c r="C1" s="287"/>
      <c r="D1" s="287"/>
      <c r="E1" s="287"/>
      <c r="F1" s="287"/>
      <c r="G1" s="287"/>
      <c r="H1" s="287"/>
      <c r="I1" s="287"/>
      <c r="J1" s="287"/>
      <c r="K1" s="287"/>
      <c r="L1" s="287"/>
      <c r="M1" s="287"/>
      <c r="N1" s="287"/>
      <c r="O1" s="287"/>
      <c r="P1" s="287"/>
    </row>
    <row r="2" spans="1:16" x14ac:dyDescent="0.25">
      <c r="A2" s="288" t="s">
        <v>211</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 4)</v>
      </c>
    </row>
    <row r="15" spans="1:16" ht="21" x14ac:dyDescent="0.35">
      <c r="A15" s="305" t="s">
        <v>272</v>
      </c>
      <c r="B15" s="305"/>
      <c r="C15" s="305"/>
    </row>
    <row r="17" spans="1:18" x14ac:dyDescent="0.25">
      <c r="A17" s="161" t="s">
        <v>273</v>
      </c>
      <c r="B17" s="161" t="s">
        <v>138</v>
      </c>
      <c r="C17" s="161" t="s">
        <v>139</v>
      </c>
      <c r="E17" s="161" t="s">
        <v>131</v>
      </c>
      <c r="F17" s="155" t="s">
        <v>276</v>
      </c>
      <c r="G17" s="156"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236</v>
      </c>
      <c r="B18" s="141">
        <v>46204</v>
      </c>
      <c r="C18" t="s">
        <v>145</v>
      </c>
      <c r="E18" t="s">
        <v>63</v>
      </c>
      <c r="F18" cm="1">
        <f t="array" ref="F18">oz.SumRowsλ(_xlfn.ANCHORARRAY(G18))</f>
        <v>4</v>
      </c>
      <c r="G18" s="192"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141</v>
      </c>
      <c r="B19">
        <v>12</v>
      </c>
      <c r="C19" t="s">
        <v>146</v>
      </c>
      <c r="E19" s="2" t="s">
        <v>348</v>
      </c>
      <c r="G19" s="162" cm="1">
        <f t="array" ref="G19:R19">oz.Movementλ(F18,_xlfn.ANCHORARRAY(  G18))</f>
        <v>0</v>
      </c>
      <c r="H19">
        <v>-9</v>
      </c>
      <c r="I19">
        <v>2</v>
      </c>
      <c r="J19">
        <v>2</v>
      </c>
      <c r="K19">
        <v>2</v>
      </c>
      <c r="L19">
        <v>2</v>
      </c>
      <c r="M19">
        <v>2</v>
      </c>
      <c r="N19">
        <v>-9</v>
      </c>
      <c r="O19">
        <v>2</v>
      </c>
      <c r="P19">
        <v>2</v>
      </c>
      <c r="Q19">
        <v>2</v>
      </c>
      <c r="R19">
        <v>2</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customProperties>
    <customPr name="Description" r:id="rId2"/>
  </customProperties>
  <drawing r:id="rId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oz.RollingSumλ</v>
      </c>
      <c r="B1" s="287"/>
      <c r="C1" s="287"/>
      <c r="D1" s="287"/>
      <c r="E1" s="287"/>
      <c r="F1" s="287"/>
      <c r="G1" s="287"/>
      <c r="H1" s="287"/>
      <c r="I1" s="287"/>
      <c r="J1" s="287"/>
      <c r="K1" s="287"/>
      <c r="L1" s="287"/>
      <c r="M1" s="287"/>
      <c r="N1" s="287"/>
      <c r="O1" s="287"/>
      <c r="P1" s="287"/>
    </row>
    <row r="2" spans="1:18" x14ac:dyDescent="0.25">
      <c r="A2" s="288" t="s">
        <v>369</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5.98</v>
      </c>
      <c r="H20" s="192"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141</v>
      </c>
      <c r="B21" s="232">
        <v>12</v>
      </c>
      <c r="C21" t="s">
        <v>146</v>
      </c>
      <c r="F21" s="2" t="s">
        <v>347</v>
      </c>
      <c r="H21" s="162"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selection sqref="A1:Q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287" t="str">
        <f ca="1">_xlfn.TEXTAFTER(CELL("filename",A1),"]")</f>
        <v>oz.SumPeriodsλ</v>
      </c>
      <c r="B1" s="287"/>
      <c r="C1" s="287"/>
      <c r="D1" s="287"/>
      <c r="E1" s="287"/>
      <c r="F1" s="287"/>
      <c r="G1" s="287"/>
      <c r="H1" s="287"/>
      <c r="I1" s="287"/>
      <c r="J1" s="287"/>
      <c r="K1" s="287"/>
      <c r="L1" s="287"/>
      <c r="M1" s="287"/>
      <c r="N1" s="287"/>
      <c r="O1" s="287"/>
      <c r="P1" s="287"/>
      <c r="Q1" s="287"/>
    </row>
    <row r="2" spans="1:17" x14ac:dyDescent="0.25">
      <c r="A2" s="288" t="s">
        <v>214</v>
      </c>
      <c r="B2" s="289"/>
      <c r="C2" s="289"/>
      <c r="D2" s="289"/>
      <c r="E2" s="289"/>
      <c r="F2" s="289"/>
      <c r="G2" s="289"/>
      <c r="H2" s="289"/>
      <c r="I2" s="289"/>
      <c r="J2" s="289"/>
      <c r="K2" s="289"/>
      <c r="L2" s="289"/>
      <c r="M2" s="289"/>
      <c r="N2" s="289"/>
      <c r="O2" s="290"/>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23" t="s">
        <v>221</v>
      </c>
      <c r="B21" s="323"/>
      <c r="C21" s="323"/>
      <c r="D21" s="323"/>
      <c r="E21" s="323"/>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oz.Timelineλ("1/7/2026", 365, "D")</f>
        <v>46204</v>
      </c>
      <c r="J22" s="156">
        <v>46205</v>
      </c>
      <c r="K22" s="156">
        <v>46206</v>
      </c>
      <c r="L22" s="156">
        <v>46207</v>
      </c>
      <c r="M22" s="156">
        <v>46208</v>
      </c>
      <c r="N22" s="156">
        <v>46209</v>
      </c>
      <c r="O22" s="156">
        <v>46210</v>
      </c>
      <c r="P22" s="156">
        <v>46211</v>
      </c>
      <c r="Q22" s="156">
        <v>46212</v>
      </c>
      <c r="R22" s="156">
        <v>46213</v>
      </c>
      <c r="S22" s="156">
        <v>46214</v>
      </c>
      <c r="T22" s="156">
        <v>46215</v>
      </c>
      <c r="U22" s="156">
        <v>46216</v>
      </c>
      <c r="V22" s="156">
        <v>46217</v>
      </c>
      <c r="W22" s="156">
        <v>46218</v>
      </c>
      <c r="X22" s="156">
        <v>46219</v>
      </c>
      <c r="Y22" s="156">
        <v>46220</v>
      </c>
      <c r="Z22" s="156">
        <v>46221</v>
      </c>
      <c r="AA22" s="156">
        <v>46222</v>
      </c>
      <c r="AB22" s="156">
        <v>46223</v>
      </c>
      <c r="AC22" s="156">
        <v>46224</v>
      </c>
      <c r="AD22" s="156">
        <v>46225</v>
      </c>
      <c r="AE22" s="156">
        <v>46226</v>
      </c>
      <c r="AF22" s="156">
        <v>46227</v>
      </c>
      <c r="AG22" s="156">
        <v>46228</v>
      </c>
      <c r="AH22" s="156">
        <v>46229</v>
      </c>
      <c r="AI22" s="156">
        <v>46230</v>
      </c>
      <c r="AJ22" s="156">
        <v>46231</v>
      </c>
      <c r="AK22" s="156">
        <v>46232</v>
      </c>
      <c r="AL22" s="156">
        <v>46233</v>
      </c>
      <c r="AM22" s="156">
        <v>46234</v>
      </c>
      <c r="AN22" s="156">
        <v>46235</v>
      </c>
      <c r="AO22" s="156">
        <v>46236</v>
      </c>
      <c r="AP22" s="156">
        <v>46237</v>
      </c>
      <c r="AQ22" s="156">
        <v>46238</v>
      </c>
      <c r="AR22" s="156">
        <v>46239</v>
      </c>
      <c r="AS22" s="156">
        <v>46240</v>
      </c>
      <c r="AT22" s="156">
        <v>46241</v>
      </c>
      <c r="AU22" s="156">
        <v>46242</v>
      </c>
      <c r="AV22" s="156">
        <v>46243</v>
      </c>
      <c r="AW22" s="156">
        <v>46244</v>
      </c>
      <c r="AX22" s="156">
        <v>46245</v>
      </c>
      <c r="AY22" s="156">
        <v>46246</v>
      </c>
      <c r="AZ22" s="156">
        <v>46247</v>
      </c>
      <c r="BA22" s="156">
        <v>46248</v>
      </c>
      <c r="BB22" s="156">
        <v>46249</v>
      </c>
      <c r="BC22" s="156">
        <v>46250</v>
      </c>
      <c r="BD22" s="156">
        <v>46251</v>
      </c>
      <c r="BE22" s="156">
        <v>46252</v>
      </c>
      <c r="BF22" s="156">
        <v>46253</v>
      </c>
      <c r="BG22" s="156">
        <v>46254</v>
      </c>
      <c r="BH22" s="156">
        <v>46255</v>
      </c>
      <c r="BI22" s="156">
        <v>46256</v>
      </c>
      <c r="BJ22" s="156">
        <v>46257</v>
      </c>
      <c r="BK22" s="156">
        <v>46258</v>
      </c>
      <c r="BL22" s="156">
        <v>46259</v>
      </c>
      <c r="BM22" s="156">
        <v>46260</v>
      </c>
      <c r="BN22" s="156">
        <v>46261</v>
      </c>
      <c r="BO22" s="156">
        <v>46262</v>
      </c>
      <c r="BP22" s="156">
        <v>46263</v>
      </c>
      <c r="BQ22" s="156">
        <v>46264</v>
      </c>
      <c r="BR22" s="156">
        <v>46265</v>
      </c>
      <c r="BS22" s="156">
        <v>46266</v>
      </c>
      <c r="BT22" s="156">
        <v>46267</v>
      </c>
      <c r="BU22" s="156">
        <v>46268</v>
      </c>
      <c r="BV22" s="156">
        <v>46269</v>
      </c>
      <c r="BW22" s="156">
        <v>46270</v>
      </c>
      <c r="BX22" s="156">
        <v>46271</v>
      </c>
      <c r="BY22" s="156">
        <v>46272</v>
      </c>
      <c r="BZ22" s="156">
        <v>46273</v>
      </c>
      <c r="CA22" s="156">
        <v>46274</v>
      </c>
      <c r="CB22" s="156">
        <v>46275</v>
      </c>
      <c r="CC22" s="156">
        <v>46276</v>
      </c>
      <c r="CD22" s="156">
        <v>46277</v>
      </c>
      <c r="CE22" s="156">
        <v>46278</v>
      </c>
      <c r="CF22" s="156">
        <v>46279</v>
      </c>
      <c r="CG22" s="156">
        <v>46280</v>
      </c>
      <c r="CH22" s="156">
        <v>46281</v>
      </c>
      <c r="CI22" s="156">
        <v>46282</v>
      </c>
      <c r="CJ22" s="156">
        <v>46283</v>
      </c>
      <c r="CK22" s="156">
        <v>46284</v>
      </c>
      <c r="CL22" s="156">
        <v>46285</v>
      </c>
      <c r="CM22" s="156">
        <v>46286</v>
      </c>
      <c r="CN22" s="156">
        <v>46287</v>
      </c>
      <c r="CO22" s="156">
        <v>46288</v>
      </c>
      <c r="CP22" s="156">
        <v>46289</v>
      </c>
      <c r="CQ22" s="156">
        <v>46290</v>
      </c>
      <c r="CR22" s="156">
        <v>46291</v>
      </c>
      <c r="CS22" s="156">
        <v>46292</v>
      </c>
      <c r="CT22" s="156">
        <v>46293</v>
      </c>
      <c r="CU22" s="156">
        <v>46294</v>
      </c>
      <c r="CV22" s="156">
        <v>46295</v>
      </c>
      <c r="CW22" s="156">
        <v>46296</v>
      </c>
      <c r="CX22" s="156">
        <v>46297</v>
      </c>
      <c r="CY22" s="156">
        <v>46298</v>
      </c>
      <c r="CZ22" s="156">
        <v>46299</v>
      </c>
      <c r="DA22" s="156">
        <v>46300</v>
      </c>
      <c r="DB22" s="156">
        <v>46301</v>
      </c>
      <c r="DC22" s="156">
        <v>46302</v>
      </c>
      <c r="DD22" s="156">
        <v>46303</v>
      </c>
      <c r="DE22" s="156">
        <v>46304</v>
      </c>
      <c r="DF22" s="156">
        <v>46305</v>
      </c>
      <c r="DG22" s="156">
        <v>46306</v>
      </c>
      <c r="DH22" s="156">
        <v>46307</v>
      </c>
      <c r="DI22" s="156">
        <v>46308</v>
      </c>
      <c r="DJ22" s="156">
        <v>46309</v>
      </c>
      <c r="DK22" s="156">
        <v>46310</v>
      </c>
      <c r="DL22" s="156">
        <v>46311</v>
      </c>
      <c r="DM22" s="156">
        <v>46312</v>
      </c>
      <c r="DN22" s="156">
        <v>46313</v>
      </c>
      <c r="DO22" s="156">
        <v>46314</v>
      </c>
      <c r="DP22" s="156">
        <v>46315</v>
      </c>
      <c r="DQ22" s="156">
        <v>46316</v>
      </c>
      <c r="DR22" s="156">
        <v>46317</v>
      </c>
      <c r="DS22" s="156">
        <v>46318</v>
      </c>
      <c r="DT22" s="156">
        <v>46319</v>
      </c>
      <c r="DU22" s="156">
        <v>46320</v>
      </c>
      <c r="DV22" s="156">
        <v>46321</v>
      </c>
      <c r="DW22" s="156">
        <v>46322</v>
      </c>
      <c r="DX22" s="156">
        <v>46323</v>
      </c>
      <c r="DY22" s="156">
        <v>46324</v>
      </c>
      <c r="DZ22" s="156">
        <v>46325</v>
      </c>
      <c r="EA22" s="156">
        <v>46326</v>
      </c>
      <c r="EB22" s="156">
        <v>46327</v>
      </c>
      <c r="EC22" s="156">
        <v>46328</v>
      </c>
      <c r="ED22" s="156">
        <v>46329</v>
      </c>
      <c r="EE22" s="156">
        <v>46330</v>
      </c>
      <c r="EF22" s="156">
        <v>46331</v>
      </c>
      <c r="EG22" s="156">
        <v>46332</v>
      </c>
      <c r="EH22" s="156">
        <v>46333</v>
      </c>
      <c r="EI22" s="156">
        <v>46334</v>
      </c>
      <c r="EJ22" s="156">
        <v>46335</v>
      </c>
      <c r="EK22" s="156">
        <v>46336</v>
      </c>
      <c r="EL22" s="156">
        <v>46337</v>
      </c>
      <c r="EM22" s="156">
        <v>46338</v>
      </c>
      <c r="EN22" s="156">
        <v>46339</v>
      </c>
      <c r="EO22" s="156">
        <v>46340</v>
      </c>
      <c r="EP22" s="156">
        <v>46341</v>
      </c>
      <c r="EQ22" s="156">
        <v>46342</v>
      </c>
      <c r="ER22" s="156">
        <v>46343</v>
      </c>
      <c r="ES22" s="156">
        <v>46344</v>
      </c>
      <c r="ET22" s="156">
        <v>46345</v>
      </c>
      <c r="EU22" s="156">
        <v>46346</v>
      </c>
      <c r="EV22" s="156">
        <v>46347</v>
      </c>
      <c r="EW22" s="156">
        <v>46348</v>
      </c>
      <c r="EX22" s="156">
        <v>46349</v>
      </c>
      <c r="EY22" s="156">
        <v>46350</v>
      </c>
      <c r="EZ22" s="156">
        <v>46351</v>
      </c>
      <c r="FA22" s="156">
        <v>46352</v>
      </c>
      <c r="FB22" s="156">
        <v>46353</v>
      </c>
      <c r="FC22" s="156">
        <v>46354</v>
      </c>
      <c r="FD22" s="156">
        <v>46355</v>
      </c>
      <c r="FE22" s="156">
        <v>46356</v>
      </c>
      <c r="FF22" s="156">
        <v>46357</v>
      </c>
      <c r="FG22" s="156">
        <v>46358</v>
      </c>
      <c r="FH22" s="156">
        <v>46359</v>
      </c>
      <c r="FI22" s="156">
        <v>46360</v>
      </c>
      <c r="FJ22" s="156">
        <v>46361</v>
      </c>
      <c r="FK22" s="156">
        <v>46362</v>
      </c>
      <c r="FL22" s="156">
        <v>46363</v>
      </c>
      <c r="FM22" s="156">
        <v>46364</v>
      </c>
      <c r="FN22" s="156">
        <v>46365</v>
      </c>
      <c r="FO22" s="156">
        <v>46366</v>
      </c>
      <c r="FP22" s="156">
        <v>46367</v>
      </c>
      <c r="FQ22" s="156">
        <v>46368</v>
      </c>
      <c r="FR22" s="156">
        <v>46369</v>
      </c>
      <c r="FS22" s="156">
        <v>46370</v>
      </c>
      <c r="FT22" s="156">
        <v>46371</v>
      </c>
      <c r="FU22" s="156">
        <v>46372</v>
      </c>
      <c r="FV22" s="156">
        <v>46373</v>
      </c>
      <c r="FW22" s="156">
        <v>46374</v>
      </c>
      <c r="FX22" s="156">
        <v>46375</v>
      </c>
      <c r="FY22" s="156">
        <v>46376</v>
      </c>
      <c r="FZ22" s="156">
        <v>46377</v>
      </c>
      <c r="GA22" s="156">
        <v>46378</v>
      </c>
      <c r="GB22" s="156">
        <v>46379</v>
      </c>
      <c r="GC22" s="156">
        <v>46380</v>
      </c>
      <c r="GD22" s="156">
        <v>46381</v>
      </c>
      <c r="GE22" s="156">
        <v>46382</v>
      </c>
      <c r="GF22" s="156">
        <v>46383</v>
      </c>
      <c r="GG22" s="156">
        <v>46384</v>
      </c>
      <c r="GH22" s="156">
        <v>46385</v>
      </c>
      <c r="GI22" s="156">
        <v>46386</v>
      </c>
      <c r="GJ22" s="156">
        <v>46387</v>
      </c>
      <c r="GK22" s="156">
        <v>46388</v>
      </c>
      <c r="GL22" s="156">
        <v>46389</v>
      </c>
      <c r="GM22" s="156">
        <v>46390</v>
      </c>
      <c r="GN22" s="156">
        <v>46391</v>
      </c>
      <c r="GO22" s="156">
        <v>46392</v>
      </c>
      <c r="GP22" s="156">
        <v>46393</v>
      </c>
      <c r="GQ22" s="156">
        <v>46394</v>
      </c>
      <c r="GR22" s="156">
        <v>46395</v>
      </c>
      <c r="GS22" s="156">
        <v>46396</v>
      </c>
      <c r="GT22" s="156">
        <v>46397</v>
      </c>
      <c r="GU22" s="156">
        <v>46398</v>
      </c>
      <c r="GV22" s="156">
        <v>46399</v>
      </c>
      <c r="GW22" s="156">
        <v>46400</v>
      </c>
      <c r="GX22" s="156">
        <v>46401</v>
      </c>
      <c r="GY22" s="156">
        <v>46402</v>
      </c>
      <c r="GZ22" s="156">
        <v>46403</v>
      </c>
      <c r="HA22" s="156">
        <v>46404</v>
      </c>
      <c r="HB22" s="156">
        <v>46405</v>
      </c>
      <c r="HC22" s="156">
        <v>46406</v>
      </c>
      <c r="HD22" s="156">
        <v>46407</v>
      </c>
      <c r="HE22" s="156">
        <v>46408</v>
      </c>
      <c r="HF22" s="156">
        <v>46409</v>
      </c>
      <c r="HG22" s="156">
        <v>46410</v>
      </c>
      <c r="HH22" s="156">
        <v>46411</v>
      </c>
      <c r="HI22" s="156">
        <v>46412</v>
      </c>
      <c r="HJ22" s="156">
        <v>46413</v>
      </c>
      <c r="HK22" s="156">
        <v>46414</v>
      </c>
      <c r="HL22" s="156">
        <v>46415</v>
      </c>
      <c r="HM22" s="156">
        <v>46416</v>
      </c>
      <c r="HN22" s="156">
        <v>46417</v>
      </c>
      <c r="HO22" s="156">
        <v>46418</v>
      </c>
      <c r="HP22" s="156">
        <v>46419</v>
      </c>
      <c r="HQ22" s="156">
        <v>46420</v>
      </c>
      <c r="HR22" s="156">
        <v>46421</v>
      </c>
      <c r="HS22" s="156">
        <v>46422</v>
      </c>
      <c r="HT22" s="156">
        <v>46423</v>
      </c>
      <c r="HU22" s="156">
        <v>46424</v>
      </c>
      <c r="HV22" s="156">
        <v>46425</v>
      </c>
      <c r="HW22" s="156">
        <v>46426</v>
      </c>
      <c r="HX22" s="156">
        <v>46427</v>
      </c>
      <c r="HY22" s="156">
        <v>46428</v>
      </c>
      <c r="HZ22" s="156">
        <v>46429</v>
      </c>
      <c r="IA22" s="156">
        <v>46430</v>
      </c>
      <c r="IB22" s="156">
        <v>46431</v>
      </c>
      <c r="IC22" s="156">
        <v>46432</v>
      </c>
      <c r="ID22" s="156">
        <v>46433</v>
      </c>
      <c r="IE22" s="156">
        <v>46434</v>
      </c>
      <c r="IF22" s="156">
        <v>46435</v>
      </c>
      <c r="IG22" s="156">
        <v>46436</v>
      </c>
      <c r="IH22" s="156">
        <v>46437</v>
      </c>
      <c r="II22" s="156">
        <v>46438</v>
      </c>
      <c r="IJ22" s="156">
        <v>46439</v>
      </c>
      <c r="IK22" s="156">
        <v>46440</v>
      </c>
      <c r="IL22" s="156">
        <v>46441</v>
      </c>
      <c r="IM22" s="156">
        <v>46442</v>
      </c>
      <c r="IN22" s="156">
        <v>46443</v>
      </c>
      <c r="IO22" s="156">
        <v>46444</v>
      </c>
      <c r="IP22" s="156">
        <v>46445</v>
      </c>
      <c r="IQ22" s="156">
        <v>46446</v>
      </c>
      <c r="IR22" s="156">
        <v>46447</v>
      </c>
      <c r="IS22" s="156">
        <v>46448</v>
      </c>
      <c r="IT22" s="156">
        <v>46449</v>
      </c>
      <c r="IU22" s="156">
        <v>46450</v>
      </c>
      <c r="IV22" s="156">
        <v>46451</v>
      </c>
      <c r="IW22" s="156">
        <v>46452</v>
      </c>
      <c r="IX22" s="156">
        <v>46453</v>
      </c>
      <c r="IY22" s="156">
        <v>46454</v>
      </c>
      <c r="IZ22" s="156">
        <v>46455</v>
      </c>
      <c r="JA22" s="156">
        <v>46456</v>
      </c>
      <c r="JB22" s="156">
        <v>46457</v>
      </c>
      <c r="JC22" s="156">
        <v>46458</v>
      </c>
      <c r="JD22" s="156">
        <v>46459</v>
      </c>
      <c r="JE22" s="156">
        <v>46460</v>
      </c>
      <c r="JF22" s="156">
        <v>46461</v>
      </c>
      <c r="JG22" s="156">
        <v>46462</v>
      </c>
      <c r="JH22" s="156">
        <v>46463</v>
      </c>
      <c r="JI22" s="156">
        <v>46464</v>
      </c>
      <c r="JJ22" s="156">
        <v>46465</v>
      </c>
      <c r="JK22" s="156">
        <v>46466</v>
      </c>
      <c r="JL22" s="156">
        <v>46467</v>
      </c>
      <c r="JM22" s="156">
        <v>46468</v>
      </c>
      <c r="JN22" s="156">
        <v>46469</v>
      </c>
      <c r="JO22" s="156">
        <v>46470</v>
      </c>
      <c r="JP22" s="156">
        <v>46471</v>
      </c>
      <c r="JQ22" s="156">
        <v>46472</v>
      </c>
      <c r="JR22" s="156">
        <v>46473</v>
      </c>
      <c r="JS22" s="156">
        <v>46474</v>
      </c>
      <c r="JT22" s="156">
        <v>46475</v>
      </c>
      <c r="JU22" s="156">
        <v>46476</v>
      </c>
      <c r="JV22" s="156">
        <v>46477</v>
      </c>
      <c r="JW22" s="156">
        <v>46478</v>
      </c>
      <c r="JX22" s="156">
        <v>46479</v>
      </c>
      <c r="JY22" s="156">
        <v>46480</v>
      </c>
      <c r="JZ22" s="156">
        <v>46481</v>
      </c>
      <c r="KA22" s="156">
        <v>46482</v>
      </c>
      <c r="KB22" s="156">
        <v>46483</v>
      </c>
      <c r="KC22" s="156">
        <v>46484</v>
      </c>
      <c r="KD22" s="156">
        <v>46485</v>
      </c>
      <c r="KE22" s="156">
        <v>46486</v>
      </c>
      <c r="KF22" s="156">
        <v>46487</v>
      </c>
      <c r="KG22" s="156">
        <v>46488</v>
      </c>
      <c r="KH22" s="156">
        <v>46489</v>
      </c>
      <c r="KI22" s="156">
        <v>46490</v>
      </c>
      <c r="KJ22" s="156">
        <v>46491</v>
      </c>
      <c r="KK22" s="156">
        <v>46492</v>
      </c>
      <c r="KL22" s="156">
        <v>46493</v>
      </c>
      <c r="KM22" s="156">
        <v>46494</v>
      </c>
      <c r="KN22" s="156">
        <v>46495</v>
      </c>
      <c r="KO22" s="156">
        <v>46496</v>
      </c>
      <c r="KP22" s="156">
        <v>46497</v>
      </c>
      <c r="KQ22" s="156">
        <v>46498</v>
      </c>
      <c r="KR22" s="156">
        <v>46499</v>
      </c>
      <c r="KS22" s="156">
        <v>46500</v>
      </c>
      <c r="KT22" s="156">
        <v>46501</v>
      </c>
      <c r="KU22" s="156">
        <v>46502</v>
      </c>
      <c r="KV22" s="156">
        <v>46503</v>
      </c>
      <c r="KW22" s="156">
        <v>46504</v>
      </c>
      <c r="KX22" s="156">
        <v>46505</v>
      </c>
      <c r="KY22" s="156">
        <v>46506</v>
      </c>
      <c r="KZ22" s="156">
        <v>46507</v>
      </c>
      <c r="LA22" s="156">
        <v>46508</v>
      </c>
      <c r="LB22" s="156">
        <v>46509</v>
      </c>
      <c r="LC22" s="156">
        <v>46510</v>
      </c>
      <c r="LD22" s="156">
        <v>46511</v>
      </c>
      <c r="LE22" s="156">
        <v>46512</v>
      </c>
      <c r="LF22" s="156">
        <v>46513</v>
      </c>
      <c r="LG22" s="156">
        <v>46514</v>
      </c>
      <c r="LH22" s="156">
        <v>46515</v>
      </c>
      <c r="LI22" s="156">
        <v>46516</v>
      </c>
      <c r="LJ22" s="156">
        <v>46517</v>
      </c>
      <c r="LK22" s="156">
        <v>46518</v>
      </c>
      <c r="LL22" s="156">
        <v>46519</v>
      </c>
      <c r="LM22" s="156">
        <v>46520</v>
      </c>
      <c r="LN22" s="156">
        <v>46521</v>
      </c>
      <c r="LO22" s="156">
        <v>46522</v>
      </c>
      <c r="LP22" s="156">
        <v>46523</v>
      </c>
      <c r="LQ22" s="156">
        <v>46524</v>
      </c>
      <c r="LR22" s="156">
        <v>46525</v>
      </c>
      <c r="LS22" s="156">
        <v>46526</v>
      </c>
      <c r="LT22" s="156">
        <v>46527</v>
      </c>
      <c r="LU22" s="156">
        <v>46528</v>
      </c>
      <c r="LV22" s="156">
        <v>46529</v>
      </c>
      <c r="LW22" s="156">
        <v>46530</v>
      </c>
      <c r="LX22" s="156">
        <v>46531</v>
      </c>
      <c r="LY22" s="156">
        <v>46532</v>
      </c>
      <c r="LZ22" s="156">
        <v>46533</v>
      </c>
      <c r="MA22" s="156">
        <v>46534</v>
      </c>
      <c r="MB22" s="156">
        <v>46535</v>
      </c>
      <c r="MC22" s="156">
        <v>46536</v>
      </c>
      <c r="MD22" s="156">
        <v>46537</v>
      </c>
      <c r="ME22" s="156">
        <v>46538</v>
      </c>
      <c r="MF22" s="156">
        <v>46539</v>
      </c>
      <c r="MG22" s="156">
        <v>46540</v>
      </c>
      <c r="MH22" s="156">
        <v>46541</v>
      </c>
      <c r="MI22" s="156">
        <v>46542</v>
      </c>
      <c r="MJ22" s="156">
        <v>46543</v>
      </c>
      <c r="MK22" s="156">
        <v>46544</v>
      </c>
      <c r="ML22" s="156">
        <v>46545</v>
      </c>
      <c r="MM22" s="156">
        <v>46546</v>
      </c>
      <c r="MN22" s="156">
        <v>46547</v>
      </c>
      <c r="MO22" s="156">
        <v>46548</v>
      </c>
      <c r="MP22" s="156">
        <v>46549</v>
      </c>
      <c r="MQ22" s="156">
        <v>46550</v>
      </c>
      <c r="MR22" s="156">
        <v>46551</v>
      </c>
      <c r="MS22" s="156">
        <v>46552</v>
      </c>
      <c r="MT22" s="156">
        <v>46553</v>
      </c>
      <c r="MU22" s="156">
        <v>46554</v>
      </c>
      <c r="MV22" s="156">
        <v>46555</v>
      </c>
      <c r="MW22" s="156">
        <v>46556</v>
      </c>
      <c r="MX22" s="156">
        <v>46557</v>
      </c>
      <c r="MY22" s="156">
        <v>46558</v>
      </c>
      <c r="MZ22" s="156">
        <v>46559</v>
      </c>
      <c r="NA22" s="156">
        <v>46560</v>
      </c>
      <c r="NB22" s="156">
        <v>46561</v>
      </c>
      <c r="NC22" s="156">
        <v>46562</v>
      </c>
      <c r="ND22" s="156">
        <v>46563</v>
      </c>
      <c r="NE22" s="156">
        <v>46564</v>
      </c>
      <c r="NF22" s="156">
        <v>46565</v>
      </c>
      <c r="NG22" s="156">
        <v>46566</v>
      </c>
      <c r="NH22" s="156">
        <v>46567</v>
      </c>
      <c r="NI22" s="156">
        <v>46568</v>
      </c>
    </row>
    <row r="23" spans="1:373" x14ac:dyDescent="0.25">
      <c r="A23" t="s">
        <v>227</v>
      </c>
      <c r="B23" s="207">
        <v>6000</v>
      </c>
      <c r="C23" s="208" t="s">
        <v>225</v>
      </c>
      <c r="D23" s="209">
        <v>46204</v>
      </c>
      <c r="E23" s="209"/>
      <c r="G23" t="s">
        <v>227</v>
      </c>
      <c r="H23" cm="1">
        <f t="array" ref="H23:H28">oz.SumRowsλ(_xlfn.ANCHORARRAY(I23))</f>
        <v>162000</v>
      </c>
      <c r="I23" s="192"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46208</v>
      </c>
      <c r="E24" s="209">
        <v>48760</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46204</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46213</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46206</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46204</v>
      </c>
      <c r="E28" s="209"/>
      <c r="G28" t="s">
        <v>235</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149" t="s">
        <v>320</v>
      </c>
      <c r="H32" s="155" t="s">
        <v>247</v>
      </c>
      <c r="I32" s="156" cm="1">
        <f t="array" ref="I32:T32">oz.Timelineλ("1/7/2026", 12, "M")</f>
        <v>46204</v>
      </c>
      <c r="J32" s="156">
        <v>46235</v>
      </c>
      <c r="K32" s="156">
        <v>46266</v>
      </c>
      <c r="L32" s="156">
        <v>46296</v>
      </c>
      <c r="M32" s="156">
        <v>46327</v>
      </c>
      <c r="N32" s="156">
        <v>46357</v>
      </c>
      <c r="O32" s="156">
        <v>46388</v>
      </c>
      <c r="P32" s="156">
        <v>46419</v>
      </c>
      <c r="Q32" s="156">
        <v>46447</v>
      </c>
      <c r="R32" s="156">
        <v>46478</v>
      </c>
      <c r="S32" s="156">
        <v>46508</v>
      </c>
      <c r="T32" s="156">
        <v>46539</v>
      </c>
    </row>
    <row r="33" spans="7:20" x14ac:dyDescent="0.25">
      <c r="G33" t="s">
        <v>227</v>
      </c>
      <c r="H33" cm="1">
        <f t="array" ref="H33:H38">oz.SumRowsλ(_xlfn.ANCHORARRAY(I33))</f>
        <v>162000</v>
      </c>
      <c r="I33" s="162"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-375</v>
      </c>
      <c r="M37">
        <v>-300</v>
      </c>
      <c r="N37">
        <v>-300</v>
      </c>
      <c r="O37">
        <v>-375</v>
      </c>
      <c r="P37">
        <v>-300</v>
      </c>
      <c r="Q37">
        <v>-300</v>
      </c>
      <c r="R37">
        <v>-375</v>
      </c>
      <c r="S37">
        <v>-300</v>
      </c>
      <c r="T37">
        <v>-300</v>
      </c>
    </row>
    <row r="38" spans="7:20" x14ac:dyDescent="0.25">
      <c r="G38" t="s">
        <v>235</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customProperties>
    <customPr name="Description" r:id="rId2"/>
  </customProperties>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selection sqref="A1:P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287" t="str">
        <f ca="1">_xlfn.TEXTAFTER(CELL("filename",A1),"]")</f>
        <v>oz.TimelineOffsetλ</v>
      </c>
      <c r="B1" s="287"/>
      <c r="C1" s="287"/>
      <c r="D1" s="287"/>
      <c r="E1" s="287"/>
      <c r="F1" s="287"/>
      <c r="G1" s="287"/>
      <c r="H1" s="287"/>
      <c r="I1" s="287"/>
      <c r="J1" s="287"/>
      <c r="K1" s="287"/>
      <c r="L1" s="287"/>
      <c r="M1" s="287"/>
      <c r="N1" s="287"/>
      <c r="O1" s="287"/>
      <c r="P1" s="287"/>
    </row>
    <row r="2" spans="1:18" x14ac:dyDescent="0.25">
      <c r="A2" s="288" t="s">
        <v>217</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230" t="s">
        <v>149</v>
      </c>
    </row>
    <row r="18" spans="1:367" x14ac:dyDescent="0.25">
      <c r="A18" s="161" t="s">
        <v>322</v>
      </c>
      <c r="B18" s="155" t="s">
        <v>323</v>
      </c>
      <c r="C18" s="156" cm="1">
        <f t="array" ref="C18:NC18">oz.Timelineλ("1/7/2026", 365, "M")</f>
        <v>46204</v>
      </c>
      <c r="D18" s="156">
        <v>46235</v>
      </c>
      <c r="E18" s="156">
        <v>46266</v>
      </c>
      <c r="F18" s="156">
        <v>46296</v>
      </c>
      <c r="G18" s="156">
        <v>46327</v>
      </c>
      <c r="H18" s="156">
        <v>46357</v>
      </c>
      <c r="I18" s="156">
        <v>46388</v>
      </c>
      <c r="J18" s="156">
        <v>46419</v>
      </c>
      <c r="K18" s="156">
        <v>46447</v>
      </c>
      <c r="L18" s="156">
        <v>46478</v>
      </c>
      <c r="M18" s="156">
        <v>46508</v>
      </c>
      <c r="N18" s="156">
        <v>46539</v>
      </c>
      <c r="O18" s="156">
        <v>46569</v>
      </c>
      <c r="P18" s="156">
        <v>46600</v>
      </c>
      <c r="Q18" s="156">
        <v>46631</v>
      </c>
      <c r="R18" s="156">
        <v>46661</v>
      </c>
      <c r="S18" s="156">
        <v>46692</v>
      </c>
      <c r="T18" s="156">
        <v>46722</v>
      </c>
      <c r="U18" s="156">
        <v>46753</v>
      </c>
      <c r="V18" s="156">
        <v>46784</v>
      </c>
      <c r="W18" s="156">
        <v>46813</v>
      </c>
      <c r="X18" s="156">
        <v>46844</v>
      </c>
      <c r="Y18" s="156">
        <v>46874</v>
      </c>
      <c r="Z18" s="156">
        <v>46905</v>
      </c>
      <c r="AA18" s="156">
        <v>46935</v>
      </c>
      <c r="AB18" s="156">
        <v>46966</v>
      </c>
      <c r="AC18" s="156">
        <v>46997</v>
      </c>
      <c r="AD18" s="156">
        <v>47027</v>
      </c>
      <c r="AE18" s="156">
        <v>47058</v>
      </c>
      <c r="AF18" s="156">
        <v>47088</v>
      </c>
      <c r="AG18" s="156">
        <v>47119</v>
      </c>
      <c r="AH18" s="156">
        <v>47150</v>
      </c>
      <c r="AI18" s="156">
        <v>47178</v>
      </c>
      <c r="AJ18" s="156">
        <v>47209</v>
      </c>
      <c r="AK18" s="156">
        <v>47239</v>
      </c>
      <c r="AL18" s="156">
        <v>47270</v>
      </c>
      <c r="AM18" s="156">
        <v>47300</v>
      </c>
      <c r="AN18" s="156">
        <v>47331</v>
      </c>
      <c r="AO18" s="156">
        <v>47362</v>
      </c>
      <c r="AP18" s="156">
        <v>47392</v>
      </c>
      <c r="AQ18" s="156">
        <v>47423</v>
      </c>
      <c r="AR18" s="156">
        <v>47453</v>
      </c>
      <c r="AS18" s="156">
        <v>47484</v>
      </c>
      <c r="AT18" s="156">
        <v>47515</v>
      </c>
      <c r="AU18" s="156">
        <v>47543</v>
      </c>
      <c r="AV18" s="156">
        <v>47574</v>
      </c>
      <c r="AW18" s="156">
        <v>47604</v>
      </c>
      <c r="AX18" s="156">
        <v>47635</v>
      </c>
      <c r="AY18" s="156">
        <v>47665</v>
      </c>
      <c r="AZ18" s="156">
        <v>47696</v>
      </c>
      <c r="BA18" s="156">
        <v>47727</v>
      </c>
      <c r="BB18" s="156">
        <v>47757</v>
      </c>
      <c r="BC18" s="156">
        <v>47788</v>
      </c>
      <c r="BD18" s="156">
        <v>47818</v>
      </c>
      <c r="BE18" s="156">
        <v>47849</v>
      </c>
      <c r="BF18" s="156">
        <v>47880</v>
      </c>
      <c r="BG18" s="156">
        <v>47908</v>
      </c>
      <c r="BH18" s="156">
        <v>47939</v>
      </c>
      <c r="BI18" s="156">
        <v>47969</v>
      </c>
      <c r="BJ18" s="156">
        <v>48000</v>
      </c>
      <c r="BK18" s="156">
        <v>48030</v>
      </c>
      <c r="BL18" s="156">
        <v>48061</v>
      </c>
      <c r="BM18" s="156">
        <v>48092</v>
      </c>
      <c r="BN18" s="156">
        <v>48122</v>
      </c>
      <c r="BO18" s="156">
        <v>48153</v>
      </c>
      <c r="BP18" s="156">
        <v>48183</v>
      </c>
      <c r="BQ18" s="156">
        <v>48214</v>
      </c>
      <c r="BR18" s="156">
        <v>48245</v>
      </c>
      <c r="BS18" s="156">
        <v>48274</v>
      </c>
      <c r="BT18" s="156">
        <v>48305</v>
      </c>
      <c r="BU18" s="156">
        <v>48335</v>
      </c>
      <c r="BV18" s="156">
        <v>48366</v>
      </c>
      <c r="BW18" s="156">
        <v>48396</v>
      </c>
      <c r="BX18" s="156">
        <v>48427</v>
      </c>
      <c r="BY18" s="156">
        <v>48458</v>
      </c>
      <c r="BZ18" s="156">
        <v>48488</v>
      </c>
      <c r="CA18" s="156">
        <v>48519</v>
      </c>
      <c r="CB18" s="156">
        <v>48549</v>
      </c>
      <c r="CC18" s="156">
        <v>48580</v>
      </c>
      <c r="CD18" s="156">
        <v>48611</v>
      </c>
      <c r="CE18" s="156">
        <v>48639</v>
      </c>
      <c r="CF18" s="156">
        <v>48670</v>
      </c>
      <c r="CG18" s="156">
        <v>48700</v>
      </c>
      <c r="CH18" s="156">
        <v>48731</v>
      </c>
      <c r="CI18" s="156">
        <v>48761</v>
      </c>
      <c r="CJ18" s="156">
        <v>48792</v>
      </c>
      <c r="CK18" s="156">
        <v>48823</v>
      </c>
      <c r="CL18" s="156">
        <v>48853</v>
      </c>
      <c r="CM18" s="156">
        <v>48884</v>
      </c>
      <c r="CN18" s="156">
        <v>48914</v>
      </c>
      <c r="CO18" s="156">
        <v>48945</v>
      </c>
      <c r="CP18" s="156">
        <v>48976</v>
      </c>
      <c r="CQ18" s="156">
        <v>49004</v>
      </c>
      <c r="CR18" s="156">
        <v>49035</v>
      </c>
      <c r="CS18" s="156">
        <v>49065</v>
      </c>
      <c r="CT18" s="156">
        <v>49096</v>
      </c>
      <c r="CU18" s="156">
        <v>49126</v>
      </c>
      <c r="CV18" s="156">
        <v>49157</v>
      </c>
      <c r="CW18" s="156">
        <v>49188</v>
      </c>
      <c r="CX18" s="156">
        <v>49218</v>
      </c>
      <c r="CY18" s="156">
        <v>49249</v>
      </c>
      <c r="CZ18" s="156">
        <v>49279</v>
      </c>
      <c r="DA18" s="156">
        <v>49310</v>
      </c>
      <c r="DB18" s="156">
        <v>49341</v>
      </c>
      <c r="DC18" s="156">
        <v>49369</v>
      </c>
      <c r="DD18" s="156">
        <v>49400</v>
      </c>
      <c r="DE18" s="156">
        <v>49430</v>
      </c>
      <c r="DF18" s="156">
        <v>49461</v>
      </c>
      <c r="DG18" s="156">
        <v>49491</v>
      </c>
      <c r="DH18" s="156">
        <v>49522</v>
      </c>
      <c r="DI18" s="156">
        <v>49553</v>
      </c>
      <c r="DJ18" s="156">
        <v>49583</v>
      </c>
      <c r="DK18" s="156">
        <v>49614</v>
      </c>
      <c r="DL18" s="156">
        <v>49644</v>
      </c>
      <c r="DM18" s="156">
        <v>49675</v>
      </c>
      <c r="DN18" s="156">
        <v>49706</v>
      </c>
      <c r="DO18" s="156">
        <v>49735</v>
      </c>
      <c r="DP18" s="156">
        <v>49766</v>
      </c>
      <c r="DQ18" s="156">
        <v>49796</v>
      </c>
      <c r="DR18" s="156">
        <v>49827</v>
      </c>
      <c r="DS18" s="156">
        <v>49857</v>
      </c>
      <c r="DT18" s="156">
        <v>49888</v>
      </c>
      <c r="DU18" s="156">
        <v>49919</v>
      </c>
      <c r="DV18" s="156">
        <v>49949</v>
      </c>
      <c r="DW18" s="156">
        <v>49980</v>
      </c>
      <c r="DX18" s="156">
        <v>50010</v>
      </c>
      <c r="DY18" s="156">
        <v>50041</v>
      </c>
      <c r="DZ18" s="156">
        <v>50072</v>
      </c>
      <c r="EA18" s="156">
        <v>50100</v>
      </c>
      <c r="EB18" s="156">
        <v>50131</v>
      </c>
      <c r="EC18" s="156">
        <v>50161</v>
      </c>
      <c r="ED18" s="156">
        <v>50192</v>
      </c>
      <c r="EE18" s="156">
        <v>50222</v>
      </c>
      <c r="EF18" s="156">
        <v>50253</v>
      </c>
      <c r="EG18" s="156">
        <v>50284</v>
      </c>
      <c r="EH18" s="156">
        <v>50314</v>
      </c>
      <c r="EI18" s="156">
        <v>50345</v>
      </c>
      <c r="EJ18" s="156">
        <v>50375</v>
      </c>
      <c r="EK18" s="156">
        <v>50406</v>
      </c>
      <c r="EL18" s="156">
        <v>50437</v>
      </c>
      <c r="EM18" s="156">
        <v>50465</v>
      </c>
      <c r="EN18" s="156">
        <v>50496</v>
      </c>
      <c r="EO18" s="156">
        <v>50526</v>
      </c>
      <c r="EP18" s="156">
        <v>50557</v>
      </c>
      <c r="EQ18" s="156">
        <v>50587</v>
      </c>
      <c r="ER18" s="156">
        <v>50618</v>
      </c>
      <c r="ES18" s="156">
        <v>50649</v>
      </c>
      <c r="ET18" s="156">
        <v>50679</v>
      </c>
      <c r="EU18" s="156">
        <v>50710</v>
      </c>
      <c r="EV18" s="156">
        <v>50740</v>
      </c>
      <c r="EW18" s="156">
        <v>50771</v>
      </c>
      <c r="EX18" s="156">
        <v>50802</v>
      </c>
      <c r="EY18" s="156">
        <v>50830</v>
      </c>
      <c r="EZ18" s="156">
        <v>50861</v>
      </c>
      <c r="FA18" s="156">
        <v>50891</v>
      </c>
      <c r="FB18" s="156">
        <v>50922</v>
      </c>
      <c r="FC18" s="156">
        <v>50952</v>
      </c>
      <c r="FD18" s="156">
        <v>50983</v>
      </c>
      <c r="FE18" s="156">
        <v>51014</v>
      </c>
      <c r="FF18" s="156">
        <v>51044</v>
      </c>
      <c r="FG18" s="156">
        <v>51075</v>
      </c>
      <c r="FH18" s="156">
        <v>51105</v>
      </c>
      <c r="FI18" s="156">
        <v>51136</v>
      </c>
      <c r="FJ18" s="156">
        <v>51167</v>
      </c>
      <c r="FK18" s="156">
        <v>51196</v>
      </c>
      <c r="FL18" s="156">
        <v>51227</v>
      </c>
      <c r="FM18" s="156">
        <v>51257</v>
      </c>
      <c r="FN18" s="156">
        <v>51288</v>
      </c>
      <c r="FO18" s="156">
        <v>51318</v>
      </c>
      <c r="FP18" s="156">
        <v>51349</v>
      </c>
      <c r="FQ18" s="156">
        <v>51380</v>
      </c>
      <c r="FR18" s="156">
        <v>51410</v>
      </c>
      <c r="FS18" s="156">
        <v>51441</v>
      </c>
      <c r="FT18" s="156">
        <v>51471</v>
      </c>
      <c r="FU18" s="156">
        <v>51502</v>
      </c>
      <c r="FV18" s="156">
        <v>51533</v>
      </c>
      <c r="FW18" s="156">
        <v>51561</v>
      </c>
      <c r="FX18" s="156">
        <v>51592</v>
      </c>
      <c r="FY18" s="156">
        <v>51622</v>
      </c>
      <c r="FZ18" s="156">
        <v>51653</v>
      </c>
      <c r="GA18" s="156">
        <v>51683</v>
      </c>
      <c r="GB18" s="156">
        <v>51714</v>
      </c>
      <c r="GC18" s="156">
        <v>51745</v>
      </c>
      <c r="GD18" s="156">
        <v>51775</v>
      </c>
      <c r="GE18" s="156">
        <v>51806</v>
      </c>
      <c r="GF18" s="156">
        <v>51836</v>
      </c>
      <c r="GG18" s="156">
        <v>51867</v>
      </c>
      <c r="GH18" s="156">
        <v>51898</v>
      </c>
      <c r="GI18" s="156">
        <v>51926</v>
      </c>
      <c r="GJ18" s="156">
        <v>51957</v>
      </c>
      <c r="GK18" s="156">
        <v>51987</v>
      </c>
      <c r="GL18" s="156">
        <v>52018</v>
      </c>
      <c r="GM18" s="156">
        <v>52048</v>
      </c>
      <c r="GN18" s="156">
        <v>52079</v>
      </c>
      <c r="GO18" s="156">
        <v>52110</v>
      </c>
      <c r="GP18" s="156">
        <v>52140</v>
      </c>
      <c r="GQ18" s="156">
        <v>52171</v>
      </c>
      <c r="GR18" s="156">
        <v>52201</v>
      </c>
      <c r="GS18" s="156">
        <v>52232</v>
      </c>
      <c r="GT18" s="156">
        <v>52263</v>
      </c>
      <c r="GU18" s="156">
        <v>52291</v>
      </c>
      <c r="GV18" s="156">
        <v>52322</v>
      </c>
      <c r="GW18" s="156">
        <v>52352</v>
      </c>
      <c r="GX18" s="156">
        <v>52383</v>
      </c>
      <c r="GY18" s="156">
        <v>52413</v>
      </c>
      <c r="GZ18" s="156">
        <v>52444</v>
      </c>
      <c r="HA18" s="156">
        <v>52475</v>
      </c>
      <c r="HB18" s="156">
        <v>52505</v>
      </c>
      <c r="HC18" s="156">
        <v>52536</v>
      </c>
      <c r="HD18" s="156">
        <v>52566</v>
      </c>
      <c r="HE18" s="156">
        <v>52597</v>
      </c>
      <c r="HF18" s="156">
        <v>52628</v>
      </c>
      <c r="HG18" s="156">
        <v>52657</v>
      </c>
      <c r="HH18" s="156">
        <v>52688</v>
      </c>
      <c r="HI18" s="156">
        <v>52718</v>
      </c>
      <c r="HJ18" s="156">
        <v>52749</v>
      </c>
      <c r="HK18" s="156">
        <v>52779</v>
      </c>
      <c r="HL18" s="156">
        <v>52810</v>
      </c>
      <c r="HM18" s="156">
        <v>52841</v>
      </c>
      <c r="HN18" s="156">
        <v>52871</v>
      </c>
      <c r="HO18" s="156">
        <v>52902</v>
      </c>
      <c r="HP18" s="156">
        <v>52932</v>
      </c>
      <c r="HQ18" s="156">
        <v>52963</v>
      </c>
      <c r="HR18" s="156">
        <v>52994</v>
      </c>
      <c r="HS18" s="156">
        <v>53022</v>
      </c>
      <c r="HT18" s="156">
        <v>53053</v>
      </c>
      <c r="HU18" s="156">
        <v>53083</v>
      </c>
      <c r="HV18" s="156">
        <v>53114</v>
      </c>
      <c r="HW18" s="156">
        <v>53144</v>
      </c>
      <c r="HX18" s="156">
        <v>53175</v>
      </c>
      <c r="HY18" s="156">
        <v>53206</v>
      </c>
      <c r="HZ18" s="156">
        <v>53236</v>
      </c>
      <c r="IA18" s="156">
        <v>53267</v>
      </c>
      <c r="IB18" s="156">
        <v>53297</v>
      </c>
      <c r="IC18" s="156">
        <v>53328</v>
      </c>
      <c r="ID18" s="156">
        <v>53359</v>
      </c>
      <c r="IE18" s="156">
        <v>53387</v>
      </c>
      <c r="IF18" s="156">
        <v>53418</v>
      </c>
      <c r="IG18" s="156">
        <v>53448</v>
      </c>
      <c r="IH18" s="156">
        <v>53479</v>
      </c>
      <c r="II18" s="156">
        <v>53509</v>
      </c>
      <c r="IJ18" s="156">
        <v>53540</v>
      </c>
      <c r="IK18" s="156">
        <v>53571</v>
      </c>
      <c r="IL18" s="156">
        <v>53601</v>
      </c>
      <c r="IM18" s="156">
        <v>53632</v>
      </c>
      <c r="IN18" s="156">
        <v>53662</v>
      </c>
      <c r="IO18" s="156">
        <v>53693</v>
      </c>
      <c r="IP18" s="156">
        <v>53724</v>
      </c>
      <c r="IQ18" s="156">
        <v>53752</v>
      </c>
      <c r="IR18" s="156">
        <v>53783</v>
      </c>
      <c r="IS18" s="156">
        <v>53813</v>
      </c>
      <c r="IT18" s="156">
        <v>53844</v>
      </c>
      <c r="IU18" s="156">
        <v>53874</v>
      </c>
      <c r="IV18" s="156">
        <v>53905</v>
      </c>
      <c r="IW18" s="156">
        <v>53936</v>
      </c>
      <c r="IX18" s="156">
        <v>53966</v>
      </c>
      <c r="IY18" s="156">
        <v>53997</v>
      </c>
      <c r="IZ18" s="156">
        <v>54027</v>
      </c>
      <c r="JA18" s="156">
        <v>54058</v>
      </c>
      <c r="JB18" s="156">
        <v>54089</v>
      </c>
      <c r="JC18" s="156">
        <v>54118</v>
      </c>
      <c r="JD18" s="156">
        <v>54149</v>
      </c>
      <c r="JE18" s="156">
        <v>54179</v>
      </c>
      <c r="JF18" s="156">
        <v>54210</v>
      </c>
      <c r="JG18" s="156">
        <v>54240</v>
      </c>
      <c r="JH18" s="156">
        <v>54271</v>
      </c>
      <c r="JI18" s="156">
        <v>54302</v>
      </c>
      <c r="JJ18" s="156">
        <v>54332</v>
      </c>
      <c r="JK18" s="156">
        <v>54363</v>
      </c>
      <c r="JL18" s="156">
        <v>54393</v>
      </c>
      <c r="JM18" s="156">
        <v>54424</v>
      </c>
      <c r="JN18" s="156">
        <v>54455</v>
      </c>
      <c r="JO18" s="156">
        <v>54483</v>
      </c>
      <c r="JP18" s="156">
        <v>54514</v>
      </c>
      <c r="JQ18" s="156">
        <v>54544</v>
      </c>
      <c r="JR18" s="156">
        <v>54575</v>
      </c>
      <c r="JS18" s="156">
        <v>54605</v>
      </c>
      <c r="JT18" s="156">
        <v>54636</v>
      </c>
      <c r="JU18" s="156">
        <v>54667</v>
      </c>
      <c r="JV18" s="156">
        <v>54697</v>
      </c>
      <c r="JW18" s="156">
        <v>54728</v>
      </c>
      <c r="JX18" s="156">
        <v>54758</v>
      </c>
      <c r="JY18" s="156">
        <v>54789</v>
      </c>
      <c r="JZ18" s="156">
        <v>54820</v>
      </c>
      <c r="KA18" s="156">
        <v>54848</v>
      </c>
      <c r="KB18" s="156">
        <v>54879</v>
      </c>
      <c r="KC18" s="156">
        <v>54909</v>
      </c>
      <c r="KD18" s="156">
        <v>54940</v>
      </c>
      <c r="KE18" s="156">
        <v>54970</v>
      </c>
      <c r="KF18" s="156">
        <v>55001</v>
      </c>
      <c r="KG18" s="156">
        <v>55032</v>
      </c>
      <c r="KH18" s="156">
        <v>55062</v>
      </c>
      <c r="KI18" s="156">
        <v>55093</v>
      </c>
      <c r="KJ18" s="156">
        <v>55123</v>
      </c>
      <c r="KK18" s="156">
        <v>55154</v>
      </c>
      <c r="KL18" s="156">
        <v>55185</v>
      </c>
      <c r="KM18" s="156">
        <v>55213</v>
      </c>
      <c r="KN18" s="156">
        <v>55244</v>
      </c>
      <c r="KO18" s="156">
        <v>55274</v>
      </c>
      <c r="KP18" s="156">
        <v>55305</v>
      </c>
      <c r="KQ18" s="156">
        <v>55335</v>
      </c>
      <c r="KR18" s="156">
        <v>55366</v>
      </c>
      <c r="KS18" s="156">
        <v>55397</v>
      </c>
      <c r="KT18" s="156">
        <v>55427</v>
      </c>
      <c r="KU18" s="156">
        <v>55458</v>
      </c>
      <c r="KV18" s="156">
        <v>55488</v>
      </c>
      <c r="KW18" s="156">
        <v>55519</v>
      </c>
      <c r="KX18" s="156">
        <v>55550</v>
      </c>
      <c r="KY18" s="156">
        <v>55579</v>
      </c>
      <c r="KZ18" s="156">
        <v>55610</v>
      </c>
      <c r="LA18" s="156">
        <v>55640</v>
      </c>
      <c r="LB18" s="156">
        <v>55671</v>
      </c>
      <c r="LC18" s="156">
        <v>55701</v>
      </c>
      <c r="LD18" s="156">
        <v>55732</v>
      </c>
      <c r="LE18" s="156">
        <v>55763</v>
      </c>
      <c r="LF18" s="156">
        <v>55793</v>
      </c>
      <c r="LG18" s="156">
        <v>55824</v>
      </c>
      <c r="LH18" s="156">
        <v>55854</v>
      </c>
      <c r="LI18" s="156">
        <v>55885</v>
      </c>
      <c r="LJ18" s="156">
        <v>55916</v>
      </c>
      <c r="LK18" s="156">
        <v>55944</v>
      </c>
      <c r="LL18" s="156">
        <v>55975</v>
      </c>
      <c r="LM18" s="156">
        <v>56005</v>
      </c>
      <c r="LN18" s="156">
        <v>56036</v>
      </c>
      <c r="LO18" s="156">
        <v>56066</v>
      </c>
      <c r="LP18" s="156">
        <v>56097</v>
      </c>
      <c r="LQ18" s="156">
        <v>56128</v>
      </c>
      <c r="LR18" s="156">
        <v>56158</v>
      </c>
      <c r="LS18" s="156">
        <v>56189</v>
      </c>
      <c r="LT18" s="156">
        <v>56219</v>
      </c>
      <c r="LU18" s="156">
        <v>56250</v>
      </c>
      <c r="LV18" s="156">
        <v>56281</v>
      </c>
      <c r="LW18" s="156">
        <v>56309</v>
      </c>
      <c r="LX18" s="156">
        <v>56340</v>
      </c>
      <c r="LY18" s="156">
        <v>56370</v>
      </c>
      <c r="LZ18" s="156">
        <v>56401</v>
      </c>
      <c r="MA18" s="156">
        <v>56431</v>
      </c>
      <c r="MB18" s="156">
        <v>56462</v>
      </c>
      <c r="MC18" s="156">
        <v>56493</v>
      </c>
      <c r="MD18" s="156">
        <v>56523</v>
      </c>
      <c r="ME18" s="156">
        <v>56554</v>
      </c>
      <c r="MF18" s="156">
        <v>56584</v>
      </c>
      <c r="MG18" s="156">
        <v>56615</v>
      </c>
      <c r="MH18" s="156">
        <v>56646</v>
      </c>
      <c r="MI18" s="156">
        <v>56674</v>
      </c>
      <c r="MJ18" s="156">
        <v>56705</v>
      </c>
      <c r="MK18" s="156">
        <v>56735</v>
      </c>
      <c r="ML18" s="156">
        <v>56766</v>
      </c>
      <c r="MM18" s="156">
        <v>56796</v>
      </c>
      <c r="MN18" s="156">
        <v>56827</v>
      </c>
      <c r="MO18" s="156">
        <v>56858</v>
      </c>
      <c r="MP18" s="156">
        <v>56888</v>
      </c>
      <c r="MQ18" s="156">
        <v>56919</v>
      </c>
      <c r="MR18" s="156">
        <v>56949</v>
      </c>
      <c r="MS18" s="156">
        <v>56980</v>
      </c>
      <c r="MT18" s="156">
        <v>57011</v>
      </c>
      <c r="MU18" s="156">
        <v>57040</v>
      </c>
      <c r="MV18" s="156">
        <v>57071</v>
      </c>
      <c r="MW18" s="156">
        <v>57101</v>
      </c>
      <c r="MX18" s="156">
        <v>57132</v>
      </c>
      <c r="MY18" s="156">
        <v>57162</v>
      </c>
      <c r="MZ18" s="156">
        <v>57193</v>
      </c>
      <c r="NA18" s="156">
        <v>57224</v>
      </c>
      <c r="NB18" s="156">
        <v>57254</v>
      </c>
      <c r="NC18" s="156">
        <v>57285</v>
      </c>
    </row>
    <row r="19" spans="1:367" x14ac:dyDescent="0.25">
      <c r="A19" s="141">
        <v>46204</v>
      </c>
      <c r="B19" s="162"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141">
        <v>46251</v>
      </c>
      <c r="B20" s="162"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141">
        <v>46300</v>
      </c>
      <c r="B21" s="162"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141">
        <v>46348</v>
      </c>
      <c r="B22" s="162"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141">
        <v>46395</v>
      </c>
      <c r="B23" s="162"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141">
        <v>46442</v>
      </c>
      <c r="B24" s="162"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141">
        <v>46487</v>
      </c>
      <c r="B25" s="162"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customProperties>
    <customPr name="Description" r:id="rId2"/>
  </customProperties>
  <drawing r:id="rId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287" t="str">
        <f ca="1">_xlfn.TEXTAFTER(CELL("filename",A1),"]")</f>
        <v>oz.TimelinePositionλ</v>
      </c>
      <c r="B1" s="287"/>
      <c r="C1" s="287"/>
      <c r="D1" s="287"/>
      <c r="E1" s="287"/>
      <c r="F1" s="287"/>
      <c r="G1" s="287"/>
      <c r="H1" s="287"/>
      <c r="I1" s="287"/>
      <c r="J1" s="287"/>
      <c r="K1" s="287"/>
      <c r="L1" s="287"/>
      <c r="M1" s="287"/>
      <c r="N1" s="287"/>
      <c r="O1" s="287"/>
      <c r="P1" s="287"/>
    </row>
    <row r="2" spans="1:17" x14ac:dyDescent="0.25">
      <c r="A2" s="288" t="s">
        <v>218</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305" t="s">
        <v>317</v>
      </c>
      <c r="B20" s="305"/>
      <c r="C20" s="305"/>
      <c r="G20" s="291" t="s">
        <v>325</v>
      </c>
      <c r="H20" s="310"/>
      <c r="I20" s="310"/>
      <c r="J20" s="310"/>
      <c r="K20" s="310"/>
      <c r="L20" s="310"/>
      <c r="M20" s="310"/>
      <c r="N20" s="310"/>
      <c r="O20" s="310"/>
      <c r="P20" s="310"/>
      <c r="Q20" s="310"/>
      <c r="R20" s="310"/>
      <c r="S20" s="310"/>
      <c r="T20" s="310"/>
      <c r="U20" s="310"/>
      <c r="V20" s="310"/>
      <c r="W20" s="292"/>
    </row>
    <row r="22" spans="1:23" x14ac:dyDescent="0.25">
      <c r="A22" s="161" t="s">
        <v>131</v>
      </c>
      <c r="B22" s="160" t="s">
        <v>285</v>
      </c>
      <c r="C22" s="160" t="s">
        <v>286</v>
      </c>
      <c r="D22" s="160" t="s">
        <v>287</v>
      </c>
      <c r="E22" s="160" t="s">
        <v>288</v>
      </c>
      <c r="F22" s="174"/>
      <c r="G22" s="228" t="s">
        <v>66</v>
      </c>
      <c r="H22" s="115" t="s">
        <v>289</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189" t="s">
        <v>290</v>
      </c>
      <c r="B23" s="178">
        <v>51642</v>
      </c>
      <c r="C23" s="179">
        <v>7.0000000000000007E-2</v>
      </c>
      <c r="D23" s="180">
        <v>10</v>
      </c>
      <c r="E23" s="231">
        <v>46204</v>
      </c>
      <c r="G23" s="182" t="str" cm="1">
        <f t="array" ref="G23:G28">oz.LabelAmortiseλ(A23)</f>
        <v>Renovation Debt Issuance</v>
      </c>
      <c r="H23" s="202" cm="1">
        <f t="array" ref="H23:H28">oz.SumAmortiseλ(_xlfn.ANCHORARRAY(I23))</f>
        <v>0</v>
      </c>
      <c r="I23" s="202" cm="1">
        <f t="array" ref="I23:R28">oz.Amortiseλ( B23,C23,D23,E23,_xlfn.ANCHORARRAY( I22))</f>
        <v>51642</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51642</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1671.3019720882637</v>
      </c>
      <c r="I25" s="186">
        <v>1671.3019720882637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-53313.30197208828</v>
      </c>
      <c r="I26" s="186">
        <v>-53313.30197208828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-1.4551915228366852E-11</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51642.000000000015</v>
      </c>
      <c r="I28" s="186">
        <v>51642.000000000015</v>
      </c>
      <c r="J28" s="186">
        <v>0</v>
      </c>
      <c r="K28" s="186">
        <v>0</v>
      </c>
      <c r="L28" s="186">
        <v>0</v>
      </c>
      <c r="M28" s="186">
        <v>0</v>
      </c>
      <c r="N28" s="186">
        <v>0</v>
      </c>
      <c r="O28" s="186">
        <v>0</v>
      </c>
      <c r="P28" s="186">
        <v>0</v>
      </c>
      <c r="Q28" s="186">
        <v>0</v>
      </c>
      <c r="R28" s="186">
        <v>0</v>
      </c>
      <c r="S28" s="186"/>
      <c r="T28" s="186"/>
      <c r="U28" s="186"/>
      <c r="V28" s="186"/>
      <c r="W28" s="186"/>
    </row>
    <row r="30" spans="1:23" ht="21" x14ac:dyDescent="0.35">
      <c r="G30" s="291" t="s">
        <v>324</v>
      </c>
      <c r="H30" s="310"/>
      <c r="I30" s="310"/>
      <c r="J30" s="310"/>
      <c r="K30" s="310"/>
      <c r="L30" s="310"/>
      <c r="M30" s="310"/>
      <c r="N30" s="310"/>
      <c r="O30" s="310"/>
      <c r="P30" s="310"/>
      <c r="Q30" s="310"/>
      <c r="R30" s="310"/>
      <c r="S30" s="310"/>
      <c r="T30" s="310"/>
      <c r="U30" s="310"/>
      <c r="V30" s="310"/>
      <c r="W30" s="292"/>
    </row>
    <row r="32" spans="1:23" x14ac:dyDescent="0.25">
      <c r="G32" s="228" t="s">
        <v>66</v>
      </c>
      <c r="H32" s="115" t="s">
        <v>289</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182" t="str" cm="1">
        <f t="array" ref="G33:G38">oz.LabelAmortiseλ(A23)</f>
        <v>Renovation Debt Issuance</v>
      </c>
      <c r="H33" s="202" cm="1">
        <f t="array" ref="H33:H38">oz.SumAmortiseλ(_xlfn.ANCHORARRAY(I33))</f>
        <v>0</v>
      </c>
      <c r="I33" s="162"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customProperties>
    <customPr name="Description" r:id="rId2"/>
  </customProperties>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N26"/>
  <sheetViews>
    <sheetView showGridLines="0" workbookViewId="0">
      <selection sqref="A1:E1"/>
    </sheetView>
  </sheetViews>
  <sheetFormatPr defaultRowHeight="15" x14ac:dyDescent="0.25"/>
  <cols>
    <col min="1" max="1" width="22" bestFit="1" customWidth="1"/>
    <col min="2" max="2" width="99.75" bestFit="1" customWidth="1"/>
  </cols>
  <sheetData>
    <row r="1" spans="1:14" ht="46.5" x14ac:dyDescent="0.7">
      <c r="A1" s="287" t="str">
        <f ca="1">_xlfn.TEXTAFTER(CELL("filename",A1),"]")</f>
        <v>oz.AboutEssentialsλ</v>
      </c>
      <c r="B1" s="287"/>
      <c r="C1" s="287"/>
      <c r="D1" s="287"/>
      <c r="E1" s="287"/>
      <c r="F1" s="112"/>
      <c r="G1" s="112"/>
      <c r="H1" s="112"/>
      <c r="I1" s="112"/>
      <c r="J1" s="112"/>
      <c r="K1" s="112"/>
      <c r="L1" s="112"/>
      <c r="M1" s="112"/>
      <c r="N1" s="112"/>
    </row>
    <row r="2" spans="1:14" x14ac:dyDescent="0.25">
      <c r="A2" s="288" t="s">
        <v>379</v>
      </c>
      <c r="B2" s="289"/>
      <c r="C2" s="289"/>
      <c r="D2" s="289"/>
      <c r="E2" s="289"/>
      <c r="F2" s="289"/>
      <c r="G2" s="289"/>
      <c r="H2" s="289"/>
      <c r="I2" s="290"/>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str" cm="1">
        <f t="array" ref="A5:B26">oz.AboutEssentialsλ</f>
        <v>About:</v>
      </c>
      <c r="B5" t="str">
        <v>Basic functions for working with dynamic arrays. Suggested module name: oz</v>
      </c>
    </row>
    <row r="6" spans="1:14" x14ac:dyDescent="0.25">
      <c r="A6" t="str">
        <v>Version:</v>
      </c>
      <c r="B6" t="str">
        <v>20 Aug 2026</v>
      </c>
    </row>
    <row r="7" spans="1:14" x14ac:dyDescent="0.25">
      <c r="A7" t="str">
        <v>Repository:</v>
      </c>
      <c r="B7" t="str">
        <v>https://github.com/ryanduguid/Ozzit</v>
      </c>
    </row>
    <row r="8" spans="1:14" x14ac:dyDescent="0.25">
      <c r="A8" t="str">
        <v/>
      </c>
      <c r="B8" t="str">
        <v/>
      </c>
      <c r="D8" s="10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customProperties>
    <customPr name="Description" r:id="rId2"/>
  </customProperties>
  <drawing r:id="rId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287" t="str">
        <f ca="1">_xlfn.TEXTAFTER(CELL("filename",A1),"]")</f>
        <v>oz.CountCλ</v>
      </c>
      <c r="B1" s="287"/>
      <c r="C1" s="287"/>
      <c r="D1" s="287"/>
      <c r="E1" s="287"/>
      <c r="F1" s="287"/>
      <c r="G1" s="287"/>
      <c r="H1" s="287"/>
      <c r="I1" s="287"/>
      <c r="J1" s="287"/>
      <c r="K1" s="287"/>
    </row>
    <row r="2" spans="1:17" x14ac:dyDescent="0.25">
      <c r="A2" s="288" t="s">
        <v>413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190" t="s">
        <v>390</v>
      </c>
      <c r="C16" s="190" t="s">
        <v>389</v>
      </c>
      <c r="D16" s="1" t="s">
        <v>391</v>
      </c>
      <c r="E16" s="250" t="s">
        <v>397</v>
      </c>
      <c r="F16" s="1"/>
      <c r="G16" s="1"/>
      <c r="H16" s="1"/>
      <c r="I16" s="1"/>
      <c r="J16" s="1"/>
      <c r="K16" s="1"/>
      <c r="L16" s="1"/>
      <c r="M16" s="1"/>
      <c r="N16" s="1"/>
      <c r="O16" s="1"/>
    </row>
    <row r="17" spans="2:5" x14ac:dyDescent="0.25">
      <c r="B17" s="121" t="s">
        <v>392</v>
      </c>
      <c r="C17" s="174" t="s">
        <v>393</v>
      </c>
      <c r="D17" s="162" cm="1">
        <f t="array" ref="D17">oz.CountCλ(B17,C17)</f>
        <v>5</v>
      </c>
      <c r="E17" t="s">
        <v>398</v>
      </c>
    </row>
    <row r="18" spans="2:5" x14ac:dyDescent="0.25">
      <c r="B18" s="121" t="s">
        <v>392</v>
      </c>
      <c r="C18" s="174" t="s">
        <v>144</v>
      </c>
      <c r="D18" s="162" cm="1">
        <f t="array" ref="D18">oz.CountCλ(B18,C18)</f>
        <v>1</v>
      </c>
      <c r="E18" t="s">
        <v>399</v>
      </c>
    </row>
    <row r="19" spans="2:5" x14ac:dyDescent="0.25">
      <c r="B19" s="121" t="s">
        <v>392</v>
      </c>
      <c r="C19" s="174" t="s">
        <v>394</v>
      </c>
      <c r="D19" s="162" cm="1">
        <f t="array" ref="D19">oz.CountCλ(B19,C19)</f>
        <v>2</v>
      </c>
    </row>
    <row r="20" spans="2:5" x14ac:dyDescent="0.25">
      <c r="B20" s="121" t="s">
        <v>392</v>
      </c>
      <c r="C20" s="174" t="s">
        <v>395</v>
      </c>
      <c r="D20" s="162" cm="1">
        <f t="array" ref="D20">oz.CountCλ(B20,C20)</f>
        <v>3</v>
      </c>
    </row>
    <row r="21" spans="2:5" x14ac:dyDescent="0.25">
      <c r="B21" s="121" t="s">
        <v>392</v>
      </c>
      <c r="C21" s="174" t="s">
        <v>396</v>
      </c>
      <c r="D21" s="162" cm="1">
        <f t="array" ref="D21">oz.CountCλ(B21,C21)</f>
        <v>3</v>
      </c>
      <c r="E21" t="s">
        <v>400</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6"/>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287" t="str">
        <f ca="1">_xlfn.TEXTAFTER(CELL("filename",A1),"]")</f>
        <v>oz.SumRowsλ</v>
      </c>
      <c r="B1" s="287"/>
      <c r="C1" s="287"/>
      <c r="D1" s="287"/>
      <c r="E1" s="287"/>
      <c r="F1" s="287"/>
      <c r="G1" s="287"/>
      <c r="H1" s="287"/>
      <c r="I1" s="287"/>
      <c r="J1" s="287"/>
      <c r="K1" s="287"/>
    </row>
    <row r="2" spans="1:17" x14ac:dyDescent="0.25">
      <c r="A2" s="288" t="s">
        <v>213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305" t="s">
        <v>272</v>
      </c>
      <c r="B17" s="305"/>
      <c r="C17" s="305"/>
    </row>
    <row r="19" spans="1:18" x14ac:dyDescent="0.25">
      <c r="A19" s="161" t="s">
        <v>273</v>
      </c>
      <c r="B19" s="161" t="s">
        <v>138</v>
      </c>
      <c r="C19" s="161" t="s">
        <v>139</v>
      </c>
      <c r="E19" s="190" t="s">
        <v>131</v>
      </c>
      <c r="F19" s="190" t="s">
        <v>276</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236</v>
      </c>
      <c r="B20" s="141">
        <v>46204</v>
      </c>
      <c r="C20" t="s">
        <v>145</v>
      </c>
      <c r="E20" s="121" t="str" cm="1">
        <f t="array" ref="E20:E24">tblCT[Customer]</f>
        <v>ACME</v>
      </c>
      <c r="F20" s="236" cm="1">
        <f t="array" ref="F20:F24">oz.SumRowsλ(_xlfn.ANCHORARRAY(G20))</f>
        <v>13098</v>
      </c>
      <c r="G20" s="235"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141</v>
      </c>
      <c r="B21">
        <v>12</v>
      </c>
      <c r="C21" t="s">
        <v>146</v>
      </c>
      <c r="E21" s="121" t="str">
        <v>Wool*Art</v>
      </c>
      <c r="F21" s="174">
        <v>13182</v>
      </c>
      <c r="G21" s="174">
        <v>1027</v>
      </c>
      <c r="H21">
        <v>1040</v>
      </c>
      <c r="I21">
        <v>1053</v>
      </c>
      <c r="J21">
        <v>1066</v>
      </c>
      <c r="K21">
        <v>1079</v>
      </c>
      <c r="L21">
        <v>1092</v>
      </c>
      <c r="M21">
        <v>1105</v>
      </c>
      <c r="N21">
        <v>1118</v>
      </c>
      <c r="O21">
        <v>1131</v>
      </c>
      <c r="P21">
        <v>1144</v>
      </c>
      <c r="Q21">
        <v>1157</v>
      </c>
      <c r="R21">
        <v>1170</v>
      </c>
    </row>
    <row r="22" spans="1:18" x14ac:dyDescent="0.25">
      <c r="A22" t="s">
        <v>142</v>
      </c>
      <c r="B22" t="s">
        <v>24</v>
      </c>
      <c r="E22" s="121" t="str">
        <v>Town Hall</v>
      </c>
      <c r="F22" s="174">
        <v>13266</v>
      </c>
      <c r="G22" s="174">
        <v>1034</v>
      </c>
      <c r="H22">
        <v>1047</v>
      </c>
      <c r="I22">
        <v>1060</v>
      </c>
      <c r="J22">
        <v>1073</v>
      </c>
      <c r="K22">
        <v>1086</v>
      </c>
      <c r="L22">
        <v>1099</v>
      </c>
      <c r="M22">
        <v>1112</v>
      </c>
      <c r="N22">
        <v>1125</v>
      </c>
      <c r="O22">
        <v>1138</v>
      </c>
      <c r="P22">
        <v>1151</v>
      </c>
      <c r="Q22">
        <v>1164</v>
      </c>
      <c r="R22">
        <v>1177</v>
      </c>
    </row>
    <row r="23" spans="1:18" x14ac:dyDescent="0.25">
      <c r="E23" s="121" t="str">
        <v>Jacqie Penee</v>
      </c>
      <c r="F23" s="174">
        <v>13350</v>
      </c>
      <c r="G23">
        <v>1041</v>
      </c>
      <c r="H23">
        <v>1054</v>
      </c>
      <c r="I23">
        <v>1067</v>
      </c>
      <c r="J23">
        <v>1080</v>
      </c>
      <c r="K23">
        <v>1093</v>
      </c>
      <c r="L23">
        <v>1106</v>
      </c>
      <c r="M23">
        <v>1119</v>
      </c>
      <c r="N23">
        <v>1132</v>
      </c>
      <c r="O23">
        <v>1145</v>
      </c>
      <c r="P23">
        <v>1158</v>
      </c>
      <c r="Q23">
        <v>1171</v>
      </c>
      <c r="R23">
        <v>1184</v>
      </c>
    </row>
    <row r="24" spans="1:18" x14ac:dyDescent="0.25">
      <c r="E24" s="121" t="str">
        <v>Amazonia</v>
      </c>
      <c r="F24" s="174">
        <v>13434</v>
      </c>
      <c r="G24">
        <v>1048</v>
      </c>
      <c r="H24">
        <v>1061</v>
      </c>
      <c r="I24">
        <v>1074</v>
      </c>
      <c r="J24">
        <v>1087</v>
      </c>
      <c r="K24">
        <v>1100</v>
      </c>
      <c r="L24">
        <v>1113</v>
      </c>
      <c r="M24">
        <v>1126</v>
      </c>
      <c r="N24">
        <v>1139</v>
      </c>
      <c r="O24">
        <v>1152</v>
      </c>
      <c r="P24">
        <v>1165</v>
      </c>
      <c r="Q24">
        <v>1178</v>
      </c>
      <c r="R24">
        <v>1191</v>
      </c>
    </row>
    <row r="25" spans="1:18" ht="15.75" thickBot="1" x14ac:dyDescent="0.3">
      <c r="E25" s="203" t="s">
        <v>63</v>
      </c>
      <c r="F25" s="171">
        <f>SUM(_xlfn.ANCHORARRAY(G25))</f>
        <v>66330</v>
      </c>
      <c r="G25" s="171" cm="1">
        <f t="array" ref="G25:R25">oz.SumColsλ(_xlfn.ANCHORARRAY(G20))</f>
        <v>5170</v>
      </c>
      <c r="H25" s="171">
        <v>5235</v>
      </c>
      <c r="I25" s="171">
        <v>5300</v>
      </c>
      <c r="J25" s="171">
        <v>5365</v>
      </c>
      <c r="K25" s="171">
        <v>5430</v>
      </c>
      <c r="L25" s="171">
        <v>5495</v>
      </c>
      <c r="M25" s="171">
        <v>5560</v>
      </c>
      <c r="N25" s="171">
        <v>5625</v>
      </c>
      <c r="O25" s="171">
        <v>5690</v>
      </c>
      <c r="P25" s="171">
        <v>5755</v>
      </c>
      <c r="Q25" s="171">
        <v>5820</v>
      </c>
      <c r="R25" s="171">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oz.SumColsλ</v>
      </c>
      <c r="B1" s="287"/>
      <c r="C1" s="287"/>
      <c r="D1" s="287"/>
      <c r="E1" s="287"/>
      <c r="F1" s="287"/>
      <c r="G1" s="287"/>
      <c r="H1" s="287"/>
      <c r="I1" s="287"/>
      <c r="J1" s="287"/>
      <c r="K1" s="287"/>
      <c r="L1" s="287"/>
      <c r="M1" s="287"/>
      <c r="N1" s="287"/>
      <c r="O1" s="287"/>
      <c r="P1" s="287"/>
    </row>
    <row r="2" spans="1:19" x14ac:dyDescent="0.25">
      <c r="A2" s="288" t="s">
        <v>384</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13098</v>
      </c>
      <c r="H17" s="192"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141</v>
      </c>
      <c r="B18">
        <v>12</v>
      </c>
      <c r="C18" t="s">
        <v>146</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142</v>
      </c>
      <c r="B19" t="s">
        <v>144</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167" t="s">
        <v>283</v>
      </c>
      <c r="G22" s="167">
        <f>SUM(_xlfn.ANCHORARRAY(H22))</f>
        <v>66330</v>
      </c>
      <c r="H22" s="204" cm="1">
        <f t="array" ref="H22:S22">oz.SumColsλ(_xlfn.ANCHORARRAY(H17))</f>
        <v>5170</v>
      </c>
      <c r="I22" s="167">
        <v>5235</v>
      </c>
      <c r="J22" s="167">
        <v>5300</v>
      </c>
      <c r="K22" s="167">
        <v>5365</v>
      </c>
      <c r="L22" s="167">
        <v>5430</v>
      </c>
      <c r="M22" s="167">
        <v>5495</v>
      </c>
      <c r="N22" s="167">
        <v>5560</v>
      </c>
      <c r="O22" s="167">
        <v>5625</v>
      </c>
      <c r="P22" s="167">
        <v>5690</v>
      </c>
      <c r="Q22" s="167">
        <v>5755</v>
      </c>
      <c r="R22" s="167">
        <v>5820</v>
      </c>
      <c r="S22" s="167">
        <v>5885</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oz.AvgRowsλ</v>
      </c>
      <c r="B1" s="287"/>
      <c r="C1" s="287"/>
      <c r="D1" s="287"/>
      <c r="E1" s="287"/>
      <c r="F1" s="287"/>
      <c r="G1" s="287"/>
      <c r="H1" s="287"/>
      <c r="I1" s="287"/>
      <c r="J1" s="287"/>
      <c r="K1" s="287"/>
    </row>
    <row r="2" spans="1:18" x14ac:dyDescent="0.25">
      <c r="A2" s="288" t="s">
        <v>383</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oz.AvgRowsλ(_xlfn.ANCHORARRAY(G17))</f>
        <v>1091.5</v>
      </c>
      <c r="G17" s="235"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141</v>
      </c>
      <c r="B18">
        <v>12</v>
      </c>
      <c r="C18" t="s">
        <v>146</v>
      </c>
      <c r="E18" s="121" t="str">
        <v>Wool*Art</v>
      </c>
      <c r="F18" s="174">
        <v>1098.5</v>
      </c>
      <c r="G18" s="174">
        <v>1027</v>
      </c>
      <c r="H18">
        <v>1040</v>
      </c>
      <c r="I18">
        <v>1053</v>
      </c>
      <c r="J18">
        <v>1066</v>
      </c>
      <c r="K18">
        <v>1079</v>
      </c>
      <c r="L18">
        <v>1092</v>
      </c>
      <c r="M18">
        <v>1105</v>
      </c>
      <c r="N18">
        <v>1118</v>
      </c>
      <c r="O18">
        <v>1131</v>
      </c>
      <c r="P18">
        <v>1144</v>
      </c>
      <c r="Q18">
        <v>1157</v>
      </c>
      <c r="R18">
        <v>1170</v>
      </c>
    </row>
    <row r="19" spans="1:18" x14ac:dyDescent="0.25">
      <c r="A19" t="s">
        <v>142</v>
      </c>
      <c r="B19" t="s">
        <v>24</v>
      </c>
      <c r="E19" s="121" t="str">
        <v>Town Hall</v>
      </c>
      <c r="F19" s="174">
        <v>1105.5</v>
      </c>
      <c r="G19" s="174">
        <v>1034</v>
      </c>
      <c r="H19">
        <v>1047</v>
      </c>
      <c r="I19">
        <v>1060</v>
      </c>
      <c r="J19">
        <v>1073</v>
      </c>
      <c r="K19">
        <v>1086</v>
      </c>
      <c r="L19">
        <v>1099</v>
      </c>
      <c r="M19">
        <v>1112</v>
      </c>
      <c r="N19">
        <v>1125</v>
      </c>
      <c r="O19">
        <v>1138</v>
      </c>
      <c r="P19">
        <v>1151</v>
      </c>
      <c r="Q19">
        <v>1164</v>
      </c>
      <c r="R19">
        <v>1177</v>
      </c>
    </row>
    <row r="20" spans="1:18" x14ac:dyDescent="0.25">
      <c r="E20" s="121" t="str">
        <v>Jacqie Penee</v>
      </c>
      <c r="F20" s="174">
        <v>1112.5</v>
      </c>
      <c r="G20">
        <v>1041</v>
      </c>
      <c r="H20">
        <v>1054</v>
      </c>
      <c r="I20">
        <v>1067</v>
      </c>
      <c r="J20">
        <v>1080</v>
      </c>
      <c r="K20">
        <v>1093</v>
      </c>
      <c r="L20">
        <v>1106</v>
      </c>
      <c r="M20">
        <v>1119</v>
      </c>
      <c r="N20">
        <v>1132</v>
      </c>
      <c r="O20">
        <v>1145</v>
      </c>
      <c r="P20">
        <v>1158</v>
      </c>
      <c r="Q20">
        <v>1171</v>
      </c>
      <c r="R20">
        <v>1184</v>
      </c>
    </row>
    <row r="21" spans="1:18" x14ac:dyDescent="0.25">
      <c r="E21" s="121" t="str">
        <v>Amazonia</v>
      </c>
      <c r="F21" s="174">
        <v>1119.5</v>
      </c>
      <c r="G21">
        <v>1048</v>
      </c>
      <c r="H21">
        <v>1061</v>
      </c>
      <c r="I21">
        <v>1074</v>
      </c>
      <c r="J21">
        <v>1087</v>
      </c>
      <c r="K21">
        <v>1100</v>
      </c>
      <c r="L21">
        <v>1113</v>
      </c>
      <c r="M21">
        <v>1126</v>
      </c>
      <c r="N21">
        <v>1139</v>
      </c>
      <c r="O21">
        <v>1152</v>
      </c>
      <c r="P21">
        <v>1165</v>
      </c>
      <c r="Q21">
        <v>1178</v>
      </c>
      <c r="R21">
        <v>1191</v>
      </c>
    </row>
    <row r="22" spans="1:18" ht="15.75" thickBot="1" x14ac:dyDescent="0.3">
      <c r="E22" s="203" t="s">
        <v>63</v>
      </c>
      <c r="F22" s="171">
        <f>SUM(_xlfn.ANCHORARRAY(G22))</f>
        <v>66330</v>
      </c>
      <c r="G22" s="171" cm="1">
        <f t="array" ref="G22:R22">oz.SumColsλ(_xlfn.ANCHORARRAY(G17))</f>
        <v>5170</v>
      </c>
      <c r="H22" s="171">
        <v>5235</v>
      </c>
      <c r="I22" s="171">
        <v>5300</v>
      </c>
      <c r="J22" s="171">
        <v>5365</v>
      </c>
      <c r="K22" s="171">
        <v>5430</v>
      </c>
      <c r="L22" s="171">
        <v>5495</v>
      </c>
      <c r="M22" s="171">
        <v>5560</v>
      </c>
      <c r="N22" s="171">
        <v>5625</v>
      </c>
      <c r="O22" s="171">
        <v>5690</v>
      </c>
      <c r="P22" s="171">
        <v>5755</v>
      </c>
      <c r="Q22" s="171">
        <v>5820</v>
      </c>
      <c r="R22" s="171">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oz.AvgColsλ</v>
      </c>
      <c r="B1" s="287"/>
      <c r="C1" s="287"/>
      <c r="D1" s="287"/>
      <c r="E1" s="287"/>
      <c r="F1" s="287"/>
      <c r="G1" s="287"/>
      <c r="H1" s="287"/>
      <c r="I1" s="287"/>
      <c r="J1" s="287"/>
      <c r="K1" s="287"/>
      <c r="L1" s="287"/>
      <c r="M1" s="287"/>
      <c r="N1" s="287"/>
      <c r="O1" s="287"/>
      <c r="P1" s="287"/>
    </row>
    <row r="2" spans="1:19" x14ac:dyDescent="0.25">
      <c r="A2" s="288" t="s">
        <v>382</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2466</v>
      </c>
      <c r="H22" s="204" cm="1">
        <f t="array" ref="H22:S22">oz.AvgColsλ(_xlfn.ANCHORARRAY(H17))</f>
        <v>134</v>
      </c>
      <c r="I22" s="167">
        <v>147</v>
      </c>
      <c r="J22" s="167">
        <v>160</v>
      </c>
      <c r="K22" s="167">
        <v>173</v>
      </c>
      <c r="L22" s="167">
        <v>186</v>
      </c>
      <c r="M22" s="167">
        <v>199</v>
      </c>
      <c r="N22" s="167">
        <v>212</v>
      </c>
      <c r="O22" s="167">
        <v>225</v>
      </c>
      <c r="P22" s="167">
        <v>238</v>
      </c>
      <c r="Q22" s="167">
        <v>251</v>
      </c>
      <c r="R22" s="167">
        <v>264</v>
      </c>
      <c r="S22" s="167">
        <v>277</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oz.MinRowsλ</v>
      </c>
      <c r="B1" s="287"/>
      <c r="C1" s="287"/>
      <c r="D1" s="287"/>
      <c r="E1" s="287"/>
      <c r="F1" s="287"/>
      <c r="G1" s="287"/>
      <c r="H1" s="287"/>
      <c r="I1" s="287"/>
      <c r="J1" s="287"/>
      <c r="K1" s="287"/>
    </row>
    <row r="2" spans="1:18" x14ac:dyDescent="0.25">
      <c r="A2" s="288" t="s">
        <v>385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oz.MinRowsλ(_xlfn.ANCHORARRAY(G17))</f>
        <v>120</v>
      </c>
      <c r="G17" s="235"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127</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134</v>
      </c>
      <c r="G19" s="174">
        <v>134</v>
      </c>
      <c r="H19">
        <v>147</v>
      </c>
      <c r="I19">
        <v>160</v>
      </c>
      <c r="J19">
        <v>173</v>
      </c>
      <c r="K19">
        <v>186</v>
      </c>
      <c r="L19">
        <v>199</v>
      </c>
      <c r="M19">
        <v>212</v>
      </c>
      <c r="N19">
        <v>225</v>
      </c>
      <c r="O19">
        <v>238</v>
      </c>
      <c r="P19">
        <v>251</v>
      </c>
      <c r="Q19">
        <v>264</v>
      </c>
      <c r="R19">
        <v>277</v>
      </c>
    </row>
    <row r="20" spans="1:18" x14ac:dyDescent="0.25">
      <c r="E20" s="121" t="str">
        <v>Jacqie Penee</v>
      </c>
      <c r="F20" s="174">
        <v>141</v>
      </c>
      <c r="G20">
        <v>141</v>
      </c>
      <c r="H20">
        <v>154</v>
      </c>
      <c r="I20">
        <v>167</v>
      </c>
      <c r="J20">
        <v>180</v>
      </c>
      <c r="K20">
        <v>193</v>
      </c>
      <c r="L20">
        <v>206</v>
      </c>
      <c r="M20">
        <v>219</v>
      </c>
      <c r="N20">
        <v>232</v>
      </c>
      <c r="O20">
        <v>245</v>
      </c>
      <c r="P20">
        <v>258</v>
      </c>
      <c r="Q20">
        <v>271</v>
      </c>
      <c r="R20">
        <v>284</v>
      </c>
    </row>
    <row r="21" spans="1:18" x14ac:dyDescent="0.25">
      <c r="E21" s="121" t="str">
        <v>Amazonia</v>
      </c>
      <c r="F21" s="174">
        <v>148</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oz.MinColsλ</v>
      </c>
      <c r="B1" s="287"/>
      <c r="C1" s="287"/>
      <c r="D1" s="287"/>
      <c r="E1" s="287"/>
      <c r="F1" s="287"/>
      <c r="G1" s="287"/>
      <c r="H1" s="287"/>
      <c r="I1" s="287"/>
      <c r="J1" s="287"/>
      <c r="K1" s="287"/>
      <c r="L1" s="287"/>
      <c r="M1" s="287"/>
      <c r="N1" s="287"/>
      <c r="O1" s="287"/>
      <c r="P1" s="287"/>
    </row>
    <row r="2" spans="1:19" x14ac:dyDescent="0.25">
      <c r="A2" s="288" t="s">
        <v>381</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2298</v>
      </c>
      <c r="H22" s="204" cm="1">
        <f t="array" ref="H22:S22">oz.MinColsλ(_xlfn.ANCHORARRAY(H17))</f>
        <v>120</v>
      </c>
      <c r="I22" s="167">
        <v>133</v>
      </c>
      <c r="J22" s="167">
        <v>146</v>
      </c>
      <c r="K22" s="167">
        <v>159</v>
      </c>
      <c r="L22" s="167">
        <v>172</v>
      </c>
      <c r="M22" s="167">
        <v>185</v>
      </c>
      <c r="N22" s="167">
        <v>198</v>
      </c>
      <c r="O22" s="167">
        <v>211</v>
      </c>
      <c r="P22" s="167">
        <v>224</v>
      </c>
      <c r="Q22" s="167">
        <v>237</v>
      </c>
      <c r="R22" s="167">
        <v>250</v>
      </c>
      <c r="S22" s="167">
        <v>263</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oz.MaxRowsλ</v>
      </c>
      <c r="B1" s="287"/>
      <c r="C1" s="287"/>
      <c r="D1" s="287"/>
      <c r="E1" s="287"/>
      <c r="F1" s="287"/>
      <c r="G1" s="287"/>
      <c r="H1" s="287"/>
      <c r="I1" s="287"/>
      <c r="J1" s="287"/>
      <c r="K1" s="287"/>
    </row>
    <row r="2" spans="1:18" x14ac:dyDescent="0.25">
      <c r="A2" s="288" t="s">
        <v>386</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oz.MaxRowsλ(_xlfn.ANCHORARRAY(G17))</f>
        <v>263</v>
      </c>
      <c r="G17" s="235"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270</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277</v>
      </c>
      <c r="G19" s="174">
        <v>134</v>
      </c>
      <c r="H19">
        <v>147</v>
      </c>
      <c r="I19">
        <v>160</v>
      </c>
      <c r="J19">
        <v>173</v>
      </c>
      <c r="K19">
        <v>186</v>
      </c>
      <c r="L19">
        <v>199</v>
      </c>
      <c r="M19">
        <v>212</v>
      </c>
      <c r="N19">
        <v>225</v>
      </c>
      <c r="O19">
        <v>238</v>
      </c>
      <c r="P19">
        <v>251</v>
      </c>
      <c r="Q19">
        <v>264</v>
      </c>
      <c r="R19">
        <v>277</v>
      </c>
    </row>
    <row r="20" spans="1:18" x14ac:dyDescent="0.25">
      <c r="E20" s="121" t="str">
        <v>Jacqie Penee</v>
      </c>
      <c r="F20" s="174">
        <v>284</v>
      </c>
      <c r="G20">
        <v>141</v>
      </c>
      <c r="H20">
        <v>154</v>
      </c>
      <c r="I20">
        <v>167</v>
      </c>
      <c r="J20">
        <v>180</v>
      </c>
      <c r="K20">
        <v>193</v>
      </c>
      <c r="L20">
        <v>206</v>
      </c>
      <c r="M20">
        <v>219</v>
      </c>
      <c r="N20">
        <v>232</v>
      </c>
      <c r="O20">
        <v>245</v>
      </c>
      <c r="P20">
        <v>258</v>
      </c>
      <c r="Q20">
        <v>271</v>
      </c>
      <c r="R20">
        <v>284</v>
      </c>
    </row>
    <row r="21" spans="1:18" x14ac:dyDescent="0.25">
      <c r="E21" s="121" t="str">
        <v>Amazonia</v>
      </c>
      <c r="F21" s="174">
        <v>291</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oz.MaxColsλ</v>
      </c>
      <c r="B1" s="287"/>
      <c r="C1" s="287"/>
      <c r="D1" s="287"/>
      <c r="E1" s="287"/>
      <c r="F1" s="287"/>
      <c r="G1" s="287"/>
      <c r="H1" s="287"/>
      <c r="I1" s="287"/>
      <c r="J1" s="287"/>
      <c r="K1" s="287"/>
      <c r="L1" s="287"/>
      <c r="M1" s="287"/>
      <c r="N1" s="287"/>
      <c r="O1" s="287"/>
      <c r="P1" s="287"/>
    </row>
    <row r="2" spans="1:19" x14ac:dyDescent="0.25">
      <c r="A2" s="288" t="s">
        <v>387</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2634</v>
      </c>
      <c r="H22" s="204" cm="1">
        <f t="array" ref="H22:S22">oz.MaxColsλ(_xlfn.ANCHORARRAY(H17))</f>
        <v>148</v>
      </c>
      <c r="I22" s="167">
        <v>161</v>
      </c>
      <c r="J22" s="167">
        <v>174</v>
      </c>
      <c r="K22" s="167">
        <v>187</v>
      </c>
      <c r="L22" s="167">
        <v>200</v>
      </c>
      <c r="M22" s="167">
        <v>213</v>
      </c>
      <c r="N22" s="167">
        <v>226</v>
      </c>
      <c r="O22" s="167">
        <v>239</v>
      </c>
      <c r="P22" s="167">
        <v>252</v>
      </c>
      <c r="Q22" s="167">
        <v>265</v>
      </c>
      <c r="R22" s="167">
        <v>278</v>
      </c>
      <c r="S22" s="167">
        <v>291</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oz.CountRowsλ</v>
      </c>
      <c r="B1" s="287"/>
      <c r="C1" s="287"/>
      <c r="D1" s="287"/>
      <c r="E1" s="287"/>
      <c r="F1" s="287"/>
      <c r="G1" s="287"/>
      <c r="H1" s="287"/>
      <c r="I1" s="287"/>
      <c r="J1" s="287"/>
      <c r="K1" s="287"/>
    </row>
    <row r="2" spans="1:18" x14ac:dyDescent="0.25">
      <c r="A2" s="288" t="s">
        <v>410</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17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oz.CountColsλ</v>
      </c>
      <c r="B1" s="287"/>
      <c r="C1" s="287"/>
      <c r="D1" s="287"/>
      <c r="E1" s="287"/>
      <c r="F1" s="287"/>
      <c r="G1" s="287"/>
      <c r="H1" s="287"/>
      <c r="I1" s="287"/>
      <c r="J1" s="287"/>
      <c r="K1" s="287"/>
    </row>
    <row r="2" spans="1:18" x14ac:dyDescent="0.25">
      <c r="A2" s="288" t="s">
        <v>409</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25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oz.CountARowsλ</v>
      </c>
      <c r="B1" s="287"/>
      <c r="C1" s="287"/>
      <c r="D1" s="287"/>
      <c r="E1" s="287"/>
      <c r="F1" s="287"/>
      <c r="G1" s="287"/>
      <c r="H1" s="287"/>
      <c r="I1" s="287"/>
      <c r="J1" s="287"/>
      <c r="K1" s="287"/>
    </row>
    <row r="2" spans="1:18" x14ac:dyDescent="0.25">
      <c r="A2" s="288" t="s">
        <v>554</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17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oz.CountAColsλ</v>
      </c>
      <c r="B1" s="287"/>
      <c r="C1" s="287"/>
      <c r="D1" s="287"/>
      <c r="E1" s="287"/>
      <c r="F1" s="287"/>
      <c r="G1" s="287"/>
      <c r="H1" s="287"/>
      <c r="I1" s="287"/>
      <c r="J1" s="287"/>
      <c r="K1" s="287"/>
    </row>
    <row r="2" spans="1:18" x14ac:dyDescent="0.25">
      <c r="A2" s="288" t="s">
        <v>555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25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287" t="str">
        <f ca="1">_xlfn.TEXTAFTER(CELL("filename",A1),"]")</f>
        <v>oz.IsBetweenEλ</v>
      </c>
      <c r="B1" s="287"/>
      <c r="C1" s="287"/>
      <c r="D1" s="287"/>
      <c r="E1" s="287"/>
      <c r="F1" s="287"/>
      <c r="G1" s="287"/>
      <c r="H1" s="287"/>
      <c r="I1" s="287"/>
      <c r="J1" s="287"/>
      <c r="K1" s="287"/>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s="121" t="str" cm="1">
        <f t="array" ref="E21:E25">tblCT[Customer]</f>
        <v>ACME</v>
      </c>
      <c r="F21" s="174" cm="1">
        <f t="array" ref="F21:F25">oz.SumRowsλ(_xlfn.ANCHORARRAY(G21))</f>
        <v>1</v>
      </c>
      <c r="G21" s="162"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141</v>
      </c>
      <c r="B22">
        <v>12</v>
      </c>
      <c r="C22" t="s">
        <v>146</v>
      </c>
      <c r="E22" s="121" t="str">
        <v>Wool*Art</v>
      </c>
      <c r="F22" s="174">
        <v>1</v>
      </c>
      <c r="G22" s="174">
        <v>0</v>
      </c>
      <c r="H22">
        <v>1</v>
      </c>
      <c r="I22">
        <v>0</v>
      </c>
      <c r="J22">
        <v>0</v>
      </c>
      <c r="K22">
        <v>0</v>
      </c>
      <c r="L22">
        <v>0</v>
      </c>
      <c r="M22">
        <v>0</v>
      </c>
      <c r="N22">
        <v>0</v>
      </c>
      <c r="O22">
        <v>0</v>
      </c>
      <c r="P22">
        <v>0</v>
      </c>
      <c r="Q22">
        <v>0</v>
      </c>
      <c r="R22">
        <v>0</v>
      </c>
    </row>
    <row r="23" spans="1:18" x14ac:dyDescent="0.25">
      <c r="A23" t="s">
        <v>142</v>
      </c>
      <c r="B23" t="s">
        <v>24</v>
      </c>
      <c r="E23" s="121" t="str">
        <v>Town Hall</v>
      </c>
      <c r="F23" s="174">
        <v>1</v>
      </c>
      <c r="G23" s="174">
        <v>0</v>
      </c>
      <c r="H23">
        <v>0</v>
      </c>
      <c r="I23">
        <v>1</v>
      </c>
      <c r="J23">
        <v>0</v>
      </c>
      <c r="K23">
        <v>0</v>
      </c>
      <c r="L23">
        <v>0</v>
      </c>
      <c r="M23">
        <v>0</v>
      </c>
      <c r="N23">
        <v>0</v>
      </c>
      <c r="O23">
        <v>0</v>
      </c>
      <c r="P23">
        <v>0</v>
      </c>
      <c r="Q23">
        <v>0</v>
      </c>
      <c r="R23">
        <v>0</v>
      </c>
    </row>
    <row r="24" spans="1:18" x14ac:dyDescent="0.25">
      <c r="E24" s="121" t="str">
        <v>Jacqie Penee</v>
      </c>
      <c r="F24" s="174">
        <v>1</v>
      </c>
      <c r="G24">
        <v>0</v>
      </c>
      <c r="H24">
        <v>0</v>
      </c>
      <c r="I24">
        <v>0</v>
      </c>
      <c r="J24">
        <v>1</v>
      </c>
      <c r="K24">
        <v>0</v>
      </c>
      <c r="L24">
        <v>0</v>
      </c>
      <c r="M24">
        <v>0</v>
      </c>
      <c r="N24">
        <v>0</v>
      </c>
      <c r="O24">
        <v>0</v>
      </c>
      <c r="P24">
        <v>0</v>
      </c>
      <c r="Q24">
        <v>0</v>
      </c>
      <c r="R24">
        <v>0</v>
      </c>
    </row>
    <row r="25" spans="1:18" x14ac:dyDescent="0.25">
      <c r="E25" s="121" t="str">
        <v>Amazonia</v>
      </c>
      <c r="F25" s="174">
        <v>1</v>
      </c>
      <c r="G25">
        <v>0</v>
      </c>
      <c r="H25">
        <v>0</v>
      </c>
      <c r="I25">
        <v>0</v>
      </c>
      <c r="J25">
        <v>0</v>
      </c>
      <c r="K25">
        <v>1</v>
      </c>
      <c r="L25">
        <v>0</v>
      </c>
      <c r="M25">
        <v>0</v>
      </c>
      <c r="N25">
        <v>0</v>
      </c>
      <c r="O25">
        <v>0</v>
      </c>
      <c r="P25">
        <v>0</v>
      </c>
      <c r="Q25">
        <v>0</v>
      </c>
      <c r="R25">
        <v>0</v>
      </c>
    </row>
    <row r="26" spans="1:18" ht="21.75" thickBot="1" x14ac:dyDescent="0.4">
      <c r="A26" s="311" t="s">
        <v>415</v>
      </c>
      <c r="B26" s="312"/>
      <c r="E26" s="203" t="s">
        <v>63</v>
      </c>
      <c r="F26" s="171">
        <f>SUM(_xlfn.ANCHORARRAY(G26))</f>
        <v>5</v>
      </c>
      <c r="G26" s="253" cm="1">
        <f t="array" ref="G26:R26">oz.SumColsλ(_xlfn.ANCHORARRAY(G21))</f>
        <v>0</v>
      </c>
      <c r="H26" s="171">
        <v>2</v>
      </c>
      <c r="I26" s="171">
        <v>1</v>
      </c>
      <c r="J26" s="171">
        <v>1</v>
      </c>
      <c r="K26" s="171">
        <v>1</v>
      </c>
      <c r="L26" s="171">
        <v>0</v>
      </c>
      <c r="M26" s="171">
        <v>0</v>
      </c>
      <c r="N26" s="171">
        <v>0</v>
      </c>
      <c r="O26" s="171">
        <v>0</v>
      </c>
      <c r="P26" s="171">
        <v>0</v>
      </c>
      <c r="Q26" s="171">
        <v>0</v>
      </c>
      <c r="R26" s="171">
        <v>0</v>
      </c>
    </row>
    <row r="27" spans="1:18" ht="15.75" thickTop="1" x14ac:dyDescent="0.25"/>
    <row r="28" spans="1:18" x14ac:dyDescent="0.25">
      <c r="A28" t="s">
        <v>264</v>
      </c>
      <c r="B28" t="s">
        <v>415</v>
      </c>
    </row>
    <row r="29" spans="1:18" x14ac:dyDescent="0.25">
      <c r="A29" s="121" t="str">
        <f>E21</f>
        <v>ACME</v>
      </c>
      <c r="B29" s="141" cm="1">
        <f t="array" ref="B29">$B$21 + 365 * (ROW() - ROW(tblOnBoarding[#Headers]))</f>
        <v>46569</v>
      </c>
    </row>
    <row r="30" spans="1:18" x14ac:dyDescent="0.25">
      <c r="A30" s="121" t="str">
        <f t="shared" ref="A30:A33" si="0">E22</f>
        <v>Wool*Art</v>
      </c>
      <c r="B30" s="141" cm="1">
        <f t="array" ref="B30">$B$21 + 365 * (ROW() - ROW(tblOnBoarding[#Headers]))</f>
        <v>46934</v>
      </c>
    </row>
    <row r="31" spans="1:18" x14ac:dyDescent="0.25">
      <c r="A31" s="121" t="str">
        <f t="shared" si="0"/>
        <v>Town Hall</v>
      </c>
      <c r="B31" s="141" cm="1">
        <f t="array" ref="B31">$B$21 + 365 * (ROW() - ROW(tblOnBoarding[#Headers]))</f>
        <v>47299</v>
      </c>
    </row>
    <row r="32" spans="1:18" x14ac:dyDescent="0.25">
      <c r="A32" s="121" t="str">
        <f t="shared" si="0"/>
        <v>Jacqie Penee</v>
      </c>
      <c r="B32" s="141" cm="1">
        <f t="array" ref="B32">$B$21 + 365 * (ROW() - ROW(tblOnBoarding[#Headers]))</f>
        <v>47664</v>
      </c>
    </row>
    <row r="33" spans="1:2" x14ac:dyDescent="0.25">
      <c r="A33" s="121" t="str">
        <f t="shared" si="0"/>
        <v>Amazonia</v>
      </c>
      <c r="B33" s="141"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2"/>
  <tableParts count="1">
    <tablePart r:id="rId3"/>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287" t="str">
        <f ca="1">_xlfn.TEXTAFTER(CELL("filename",A1),"]")</f>
        <v>oz.RangeToDAEλ</v>
      </c>
      <c r="B1" s="287"/>
      <c r="C1" s="287"/>
      <c r="D1" s="287"/>
      <c r="E1" s="287"/>
      <c r="F1" s="287"/>
      <c r="G1" s="287"/>
      <c r="H1" s="287"/>
      <c r="I1" s="287"/>
      <c r="J1" s="287"/>
      <c r="K1" s="287"/>
    </row>
    <row r="2" spans="1:18" x14ac:dyDescent="0.25">
      <c r="A2" s="288" t="s">
        <v>422</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155" t="s">
        <v>416</v>
      </c>
      <c r="G14" s="156"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417</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418</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t="s">
        <v>417</v>
      </c>
      <c r="F21" s="174" cm="1">
        <f t="array" ref="F21">oz.SumRowsλ(_xlfn.ANCHORARRAY(G21))</f>
        <v>0.2525</v>
      </c>
      <c r="G21" s="256" cm="1">
        <f t="array" ref="G21:R21">oz.RangeToDAEλ(G15,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418</v>
      </c>
      <c r="F22" s="174"/>
      <c r="G22" s="256" cm="1">
        <f t="array" ref="G22:R22">oz.RangeToDAEλ(G16,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287" t="str">
        <f ca="1">_xlfn.TEXTAFTER(CELL("filename",A1),"]")</f>
        <v>oz.FinancialRatios</v>
      </c>
      <c r="B1" s="287"/>
      <c r="C1" s="287"/>
      <c r="D1" s="287"/>
      <c r="E1" s="287"/>
      <c r="F1" s="287"/>
      <c r="G1" s="287"/>
      <c r="H1" s="287"/>
      <c r="I1" s="287"/>
      <c r="J1" s="287"/>
      <c r="K1" s="287"/>
    </row>
    <row r="2" spans="1:11" x14ac:dyDescent="0.25">
      <c r="A2" s="288" t="s">
        <v>556</v>
      </c>
    </row>
    <row r="10" spans="1:11" x14ac:dyDescent="0.25">
      <c r="D10" t="s">
        <v>449</v>
      </c>
      <c r="E10" t="s">
        <v>131</v>
      </c>
    </row>
    <row r="11" spans="1:11" x14ac:dyDescent="0.25">
      <c r="D11" t="s">
        <v>450</v>
      </c>
      <c r="E11" t="s">
        <v>451</v>
      </c>
    </row>
    <row r="12" spans="1:11" x14ac:dyDescent="0.25">
      <c r="D12" t="s">
        <v>402</v>
      </c>
      <c r="E12" t="s">
        <v>402</v>
      </c>
    </row>
    <row r="13" spans="1:11" x14ac:dyDescent="0.25">
      <c r="B13" s="2" t="s">
        <v>439</v>
      </c>
      <c r="D13" t="s">
        <v>439</v>
      </c>
      <c r="E13" t="s">
        <v>402</v>
      </c>
    </row>
    <row r="14" spans="1:11" x14ac:dyDescent="0.25">
      <c r="A14" s="268" cm="1">
        <f t="array" ref="A14">oz.CurrentRatioλ( 134.836, 125.481)</f>
        <v>1.0745531195957956</v>
      </c>
      <c r="B14" t="str">
        <f t="shared" ref="B14:B20" si="0">_xlfn.FORMULATEXT(A14)</f>
        <v>=oz.CurrentRatioλ( 134.836, 125.481)</v>
      </c>
      <c r="D14" t="s">
        <v>452</v>
      </c>
      <c r="E14" t="s">
        <v>453</v>
      </c>
    </row>
    <row r="15" spans="1:11" x14ac:dyDescent="0.25">
      <c r="A15" s="268" cm="1">
        <f t="array" ref="A15">oz.QuickRatioλ(165000,137500)</f>
        <v>1.2</v>
      </c>
      <c r="B15" t="str">
        <f t="shared" si="0"/>
        <v>=oz.QuickRatioλ(165000,137500)</v>
      </c>
      <c r="D15" t="s">
        <v>454</v>
      </c>
      <c r="E15" t="s">
        <v>455</v>
      </c>
    </row>
    <row r="16" spans="1:11" x14ac:dyDescent="0.25">
      <c r="A16" s="268" cm="1">
        <f t="array" ref="A16">oz.CashRatioλ( 63900000, 123500000)</f>
        <v>0.51740890688259111</v>
      </c>
      <c r="B16" t="str">
        <f t="shared" si="0"/>
        <v>=oz.CashRatioλ( 63900000, 123500000)</v>
      </c>
      <c r="D16" t="s">
        <v>456</v>
      </c>
      <c r="E16" t="s">
        <v>457</v>
      </c>
    </row>
    <row r="17" spans="1:5" x14ac:dyDescent="0.25">
      <c r="A17" s="268" cm="1">
        <f t="array" ref="A17">oz.OperatingCashFlowRatioλ( 27.8, 77.5)</f>
        <v>0.35870967741935483</v>
      </c>
      <c r="B17" t="str">
        <f t="shared" si="0"/>
        <v>=oz.OperatingCashFlowRatioλ( 27.8, 77.5)</v>
      </c>
      <c r="D17" t="s">
        <v>456</v>
      </c>
      <c r="E17" t="s">
        <v>458</v>
      </c>
    </row>
    <row r="18" spans="1:5" x14ac:dyDescent="0.25">
      <c r="A18" s="268" cm="1">
        <f t="array" ref="A18">oz.ReceivablesTurnoverRatioλ( 800000, 68000 )</f>
        <v>11.764705882352942</v>
      </c>
      <c r="B18" t="str">
        <f t="shared" si="0"/>
        <v>=oz.ReceivablesTurnoverRatioλ( 800000, 68000 )</v>
      </c>
      <c r="D18" t="s">
        <v>459</v>
      </c>
      <c r="E18" t="s">
        <v>460</v>
      </c>
    </row>
    <row r="19" spans="1:5" x14ac:dyDescent="0.25">
      <c r="A19" s="268" cm="1">
        <f t="array" ref="A19">oz.InventoryTurnoverRatioλ( 429, 50.7)</f>
        <v>8.4615384615384617</v>
      </c>
      <c r="B19" t="str">
        <f t="shared" si="0"/>
        <v>=oz.InventoryTurnoverRatioλ( 429, 50.7)</v>
      </c>
      <c r="D19" t="s">
        <v>461</v>
      </c>
      <c r="E19" t="s">
        <v>462</v>
      </c>
    </row>
    <row r="20" spans="1:5" x14ac:dyDescent="0.25">
      <c r="A20" s="268" cm="1">
        <f t="array" ref="A20">oz.WorkingCapitalTurnoverRatioλ( 12, 2)</f>
        <v>6</v>
      </c>
      <c r="B20" t="str">
        <f t="shared" si="0"/>
        <v>=oz.WorkingCapitalTurnoverRatioλ( 12, 2)</v>
      </c>
      <c r="D20" t="s">
        <v>463</v>
      </c>
      <c r="E20" t="s">
        <v>464</v>
      </c>
    </row>
    <row r="21" spans="1:5" x14ac:dyDescent="0.25">
      <c r="A21" s="268"/>
      <c r="D21" t="s">
        <v>402</v>
      </c>
      <c r="E21" t="s">
        <v>402</v>
      </c>
    </row>
    <row r="22" spans="1:5" x14ac:dyDescent="0.25">
      <c r="A22" s="268"/>
      <c r="B22" s="2" t="s">
        <v>440</v>
      </c>
      <c r="D22" t="s">
        <v>440</v>
      </c>
      <c r="E22" t="s">
        <v>402</v>
      </c>
    </row>
    <row r="23" spans="1:5" x14ac:dyDescent="0.25">
      <c r="A23" s="268" cm="1">
        <f t="array" ref="A23">oz.DebtRatioλ(30000000, 100000000)</f>
        <v>0.3</v>
      </c>
      <c r="B23" t="str">
        <f>_xlfn.FORMULATEXT(A23)</f>
        <v>=oz.DebtRatioλ(30000000, 100000000)</v>
      </c>
      <c r="D23" t="s">
        <v>465</v>
      </c>
      <c r="E23" t="s">
        <v>466</v>
      </c>
    </row>
    <row r="24" spans="1:5" x14ac:dyDescent="0.25">
      <c r="A24" s="268" cm="1">
        <f t="array" ref="A24">oz.DSCRλ(2150000, 350000)</f>
        <v>6.1428571428571432</v>
      </c>
      <c r="B24" t="str">
        <f>_xlfn.FORMULATEXT(A24)</f>
        <v>=oz.DSCRλ(2150000, 350000)</v>
      </c>
      <c r="D24" t="s">
        <v>467</v>
      </c>
      <c r="E24" t="s">
        <v>468</v>
      </c>
    </row>
    <row r="25" spans="1:5" x14ac:dyDescent="0.25">
      <c r="A25" s="268" cm="1">
        <f t="array" ref="A25">oz.DebtToCapitalRatioλ( 80000000, 223000000 )</f>
        <v>0.264026402640264</v>
      </c>
      <c r="B25" t="str">
        <f>_xlfn.FORMULATEXT(A25)</f>
        <v>=oz.DebtToCapitalRatioλ( 80000000, 223000000 )</v>
      </c>
      <c r="D25" t="s">
        <v>469</v>
      </c>
      <c r="E25" t="s">
        <v>470</v>
      </c>
    </row>
    <row r="26" spans="1:5" x14ac:dyDescent="0.25">
      <c r="A26" s="198" cm="1">
        <f t="array" ref="A26">oz.EquityMultiplierλ(366.6, 83.2 )</f>
        <v>4.40625</v>
      </c>
      <c r="B26" t="str">
        <f>_xlfn.FORMULATEXT(A26)</f>
        <v>=oz.EquityMultiplierλ(366.6, 83.2 )</v>
      </c>
      <c r="D26" t="s">
        <v>471</v>
      </c>
      <c r="E26" t="s">
        <v>472</v>
      </c>
    </row>
    <row r="27" spans="1:5" x14ac:dyDescent="0.25">
      <c r="D27" t="s">
        <v>402</v>
      </c>
      <c r="E27" t="s">
        <v>402</v>
      </c>
    </row>
    <row r="28" spans="1:5" x14ac:dyDescent="0.25">
      <c r="B28" s="2" t="s">
        <v>441</v>
      </c>
      <c r="D28" t="s">
        <v>441</v>
      </c>
      <c r="E28" t="s">
        <v>402</v>
      </c>
    </row>
    <row r="29" spans="1:5" x14ac:dyDescent="0.25">
      <c r="A29" s="268" cm="1">
        <f t="array" ref="A29">oz.DebtToEquityRatioλ(279, 74 )</f>
        <v>3.7702702702702702</v>
      </c>
      <c r="B29" t="str">
        <f>_xlfn.FORMULATEXT(A29)</f>
        <v>=oz.DebtToEquityRatioλ(279, 74 )</v>
      </c>
      <c r="D29" t="s">
        <v>473</v>
      </c>
      <c r="E29" t="s">
        <v>474</v>
      </c>
    </row>
    <row r="30" spans="1:5" x14ac:dyDescent="0.25">
      <c r="A30" s="268" cm="1">
        <f t="array" ref="A30">oz.DebtToAssetRatioλ(31.845, 63.852 )</f>
        <v>0.4987314414583725</v>
      </c>
      <c r="B30" t="str">
        <f t="shared" ref="B30:B32" si="1">_xlfn.FORMULATEXT(A30)</f>
        <v>=oz.DebtToAssetRatioλ(31.845, 63.852 )</v>
      </c>
      <c r="D30" t="s">
        <v>475</v>
      </c>
      <c r="E30" t="s">
        <v>476</v>
      </c>
    </row>
    <row r="31" spans="1:5" x14ac:dyDescent="0.25">
      <c r="A31" s="268" cm="1">
        <f t="array" ref="A31">oz.InterestCoverageRatioλ( 625, 90 )</f>
        <v>6.9444444444444446</v>
      </c>
      <c r="B31" t="str">
        <f t="shared" si="1"/>
        <v>=oz.InterestCoverageRatioλ( 625, 90 )</v>
      </c>
      <c r="D31" t="s">
        <v>477</v>
      </c>
      <c r="E31" t="s">
        <v>478</v>
      </c>
    </row>
    <row r="32" spans="1:5" x14ac:dyDescent="0.25">
      <c r="A32" s="268" cm="1">
        <f t="array" ref="A32">oz.EquityRatioλ( 20, 60, 10 )</f>
        <v>0.4</v>
      </c>
      <c r="B32" t="str">
        <f t="shared" si="1"/>
        <v>=oz.EquityRatioλ( 20, 60, 10 )</v>
      </c>
      <c r="D32" t="s">
        <v>479</v>
      </c>
      <c r="E32" t="s">
        <v>480</v>
      </c>
    </row>
    <row r="33" spans="1:5" x14ac:dyDescent="0.25">
      <c r="A33" s="268"/>
      <c r="D33" t="s">
        <v>402</v>
      </c>
      <c r="E33" t="s">
        <v>402</v>
      </c>
    </row>
    <row r="34" spans="1:5" x14ac:dyDescent="0.25">
      <c r="A34" s="268"/>
      <c r="B34" s="2" t="s">
        <v>442</v>
      </c>
      <c r="D34" t="s">
        <v>442</v>
      </c>
      <c r="E34" t="s">
        <v>402</v>
      </c>
    </row>
    <row r="35" spans="1:5" x14ac:dyDescent="0.25">
      <c r="A35" s="268" cm="1">
        <f t="array" ref="A35">oz.AssetTurnoverRatioλ( 171760, 538715 )</f>
        <v>0.31883277799949883</v>
      </c>
      <c r="B35" t="str">
        <f t="shared" ref="B35:B37" si="2">_xlfn.FORMULATEXT(A35)</f>
        <v>=oz.AssetTurnoverRatioλ( 171760, 538715 )</v>
      </c>
      <c r="D35" t="s">
        <v>481</v>
      </c>
      <c r="E35" t="s">
        <v>482</v>
      </c>
    </row>
    <row r="36" spans="1:5" x14ac:dyDescent="0.25">
      <c r="A36" s="268" cm="1">
        <f t="array" ref="A36">oz.DSIλ(54.9, 490 )</f>
        <v>40.894897959183673</v>
      </c>
      <c r="B36" t="str">
        <f t="shared" si="2"/>
        <v>=oz.DSIλ(54.9, 490 )</v>
      </c>
      <c r="D36" t="s">
        <v>483</v>
      </c>
      <c r="E36" t="s">
        <v>484</v>
      </c>
    </row>
    <row r="37" spans="1:5" x14ac:dyDescent="0.25">
      <c r="A37" s="268" cm="1">
        <f t="array" ref="A37">oz.OperatingRatioλ( 14.37, 48.48, 90.75 )</f>
        <v>0.69256198347107434</v>
      </c>
      <c r="B37" t="str">
        <f t="shared" si="2"/>
        <v>=oz.OperatingRatioλ( 14.37, 48.48, 90.75 )</v>
      </c>
      <c r="D37" t="s">
        <v>485</v>
      </c>
      <c r="E37" t="s">
        <v>486</v>
      </c>
    </row>
    <row r="38" spans="1:5" x14ac:dyDescent="0.25">
      <c r="A38" s="268"/>
      <c r="D38" t="s">
        <v>402</v>
      </c>
      <c r="E38" t="s">
        <v>402</v>
      </c>
    </row>
    <row r="39" spans="1:5" x14ac:dyDescent="0.25">
      <c r="A39" s="268"/>
      <c r="B39" s="2" t="s">
        <v>443</v>
      </c>
      <c r="D39" t="s">
        <v>443</v>
      </c>
      <c r="E39" t="s">
        <v>402</v>
      </c>
    </row>
    <row r="40" spans="1:5" x14ac:dyDescent="0.25">
      <c r="A40" s="268" cm="1">
        <f t="array" ref="A40">oz.GrossMarginλ( 62984, 102007 )</f>
        <v>0.61744782220827987</v>
      </c>
      <c r="B40" t="str">
        <f t="shared" ref="B40:B46" si="3">_xlfn.FORMULATEXT(A40)</f>
        <v>=oz.GrossMarginλ( 62984, 102007 )</v>
      </c>
      <c r="D40" t="s">
        <v>487</v>
      </c>
      <c r="E40" t="s">
        <v>488</v>
      </c>
    </row>
    <row r="41" spans="1:5" x14ac:dyDescent="0.25">
      <c r="A41" s="268" cm="1">
        <f t="array" ref="A41">oz.EBITDAMarginλ( 15, 125 )</f>
        <v>0.12</v>
      </c>
      <c r="B41" t="str">
        <f t="shared" si="3"/>
        <v>=oz.EBITDAMarginλ( 15, 125 )</v>
      </c>
      <c r="D41" t="s">
        <v>489</v>
      </c>
      <c r="E41" t="s">
        <v>490</v>
      </c>
    </row>
    <row r="42" spans="1:5" x14ac:dyDescent="0.25">
      <c r="A42" s="198" cm="1">
        <f t="array" ref="A42">oz.OperatingMarginλ( 0.8, 2 )</f>
        <v>0.4</v>
      </c>
      <c r="B42" t="str">
        <f t="shared" si="3"/>
        <v>=oz.OperatingMarginλ( 0.8, 2 )</v>
      </c>
      <c r="D42" t="s">
        <v>491</v>
      </c>
      <c r="E42" t="s">
        <v>492</v>
      </c>
    </row>
    <row r="43" spans="1:5" x14ac:dyDescent="0.25">
      <c r="A43" s="198" cm="1">
        <f t="array" ref="A43">oz.PretaxMarginλ( 40, 500 )</f>
        <v>0.08</v>
      </c>
      <c r="B43" t="str">
        <f t="shared" si="3"/>
        <v>=oz.PretaxMarginλ( 40, 500 )</v>
      </c>
      <c r="D43" t="s">
        <v>493</v>
      </c>
      <c r="E43" t="s">
        <v>494</v>
      </c>
    </row>
    <row r="44" spans="1:5" x14ac:dyDescent="0.25">
      <c r="A44" s="198" cm="1">
        <f t="array" ref="A44">oz.NetProfitMarginλ( 56, 100 )</f>
        <v>0.56000000000000005</v>
      </c>
      <c r="B44" t="str">
        <f t="shared" si="3"/>
        <v>=oz.NetProfitMarginλ( 56, 100 )</v>
      </c>
      <c r="D44" t="s">
        <v>495</v>
      </c>
      <c r="E44" t="s">
        <v>496</v>
      </c>
    </row>
    <row r="45" spans="1:5" x14ac:dyDescent="0.25">
      <c r="A45" s="198" cm="1">
        <f t="array" ref="A45">oz.CashFlowMarginλ( 2.695, 5.3 )</f>
        <v>0.50849056603773579</v>
      </c>
      <c r="B45" t="str">
        <f t="shared" si="3"/>
        <v>=oz.CashFlowMarginλ( 2.695, 5.3 )</v>
      </c>
      <c r="D45" t="s">
        <v>497</v>
      </c>
      <c r="E45" t="s">
        <v>498</v>
      </c>
    </row>
    <row r="46" spans="1:5" x14ac:dyDescent="0.25">
      <c r="A46" s="198" cm="1">
        <f t="array" ref="A46">oz.ROAλ(1200, 15000 )</f>
        <v>0.08</v>
      </c>
      <c r="B46" t="str">
        <f t="shared" si="3"/>
        <v>=oz.ROAλ(1200, 15000 )</v>
      </c>
      <c r="D46" t="s">
        <v>499</v>
      </c>
      <c r="E46" t="s">
        <v>500</v>
      </c>
    </row>
    <row r="47" spans="1:5" x14ac:dyDescent="0.25">
      <c r="A47" s="198" cm="1">
        <f t="array" ref="A47">oz.ROEλ( 59.972, AVERAGE(251.635, 256.144) )</f>
        <v>0.23621299817440264</v>
      </c>
      <c r="B47" t="str">
        <f>_xlfn.FORMULATEXT(A47)</f>
        <v>=oz.ROEλ( 59.972, AVERAGE(251.635, 256.144) )</v>
      </c>
      <c r="D47" t="s">
        <v>501</v>
      </c>
      <c r="E47" t="s">
        <v>502</v>
      </c>
    </row>
    <row r="48" spans="1:5" x14ac:dyDescent="0.25">
      <c r="A48" s="198" cm="1">
        <f t="array" ref="A48">oz.ROIλ( 2875, 10000 )</f>
        <v>0.28749999999999998</v>
      </c>
      <c r="B48" t="str">
        <f>_xlfn.FORMULATEXT(A48)</f>
        <v>=oz.ROIλ( 2875, 10000 )</v>
      </c>
      <c r="D48" t="s">
        <v>503</v>
      </c>
      <c r="E48" t="s">
        <v>504</v>
      </c>
    </row>
    <row r="49" spans="1:5" x14ac:dyDescent="0.25">
      <c r="A49" s="198" cm="1">
        <f t="array" ref="A49">oz.ROICλ( 3245, 25729 )</f>
        <v>0.12612227447627192</v>
      </c>
      <c r="B49" t="str">
        <f>_xlfn.FORMULATEXT(A49)</f>
        <v>=oz.ROICλ( 3245, 25729 )</v>
      </c>
      <c r="D49" t="s">
        <v>505</v>
      </c>
      <c r="E49" t="s">
        <v>506</v>
      </c>
    </row>
    <row r="50" spans="1:5" x14ac:dyDescent="0.25">
      <c r="A50" s="198"/>
      <c r="D50" t="s">
        <v>402</v>
      </c>
      <c r="E50" t="s">
        <v>402</v>
      </c>
    </row>
    <row r="51" spans="1:5" x14ac:dyDescent="0.25">
      <c r="B51" s="2" t="s">
        <v>444</v>
      </c>
      <c r="D51" t="s">
        <v>444</v>
      </c>
      <c r="E51" t="s">
        <v>402</v>
      </c>
    </row>
    <row r="52" spans="1:5" x14ac:dyDescent="0.25">
      <c r="A52" s="268" cm="1">
        <f t="array" ref="A52">oz.PriceEarningsRatioλ( 242.62, 16.85)</f>
        <v>14.39881305637982</v>
      </c>
      <c r="B52" t="str">
        <f>_xlfn.FORMULATEXT(A52)</f>
        <v>=oz.PriceEarningsRatioλ( 242.62, 16.85)</v>
      </c>
      <c r="D52" t="s">
        <v>507</v>
      </c>
      <c r="E52" t="s">
        <v>508</v>
      </c>
    </row>
    <row r="53" spans="1:5" x14ac:dyDescent="0.25">
      <c r="A53" s="268" cm="1">
        <f t="array" ref="A53">oz.PriceToBookRatioλ( 5, 2.5 )</f>
        <v>2</v>
      </c>
      <c r="B53" t="str">
        <f>_xlfn.FORMULATEXT(A53)</f>
        <v>=oz.PriceToBookRatioλ( 5, 2.5 )</v>
      </c>
      <c r="D53" t="s">
        <v>509</v>
      </c>
      <c r="E53" t="s">
        <v>510</v>
      </c>
    </row>
    <row r="54" spans="1:5" x14ac:dyDescent="0.25">
      <c r="A54" s="268" cm="1">
        <f t="array" ref="A54">oz.PriceToSalesRatioλ( 455, 100 )</f>
        <v>4.55</v>
      </c>
      <c r="B54" t="str">
        <f>_xlfn.FORMULATEXT(A54)</f>
        <v>=oz.PriceToSalesRatioλ( 455, 100 )</v>
      </c>
      <c r="D54" t="s">
        <v>511</v>
      </c>
      <c r="E54" t="s">
        <v>512</v>
      </c>
    </row>
    <row r="55" spans="1:5" x14ac:dyDescent="0.25">
      <c r="A55" s="268" cm="1">
        <f t="array" ref="A55">oz.PriceToCashRatioλ( 200, 100 )</f>
        <v>2</v>
      </c>
      <c r="B55" t="str">
        <f>_xlfn.FORMULATEXT(A55)</f>
        <v>=oz.PriceToCashRatioλ( 200, 100 )</v>
      </c>
      <c r="D55" t="s">
        <v>513</v>
      </c>
      <c r="E55" t="s">
        <v>514</v>
      </c>
    </row>
    <row r="56" spans="1:5" x14ac:dyDescent="0.25">
      <c r="A56" s="267" cm="1">
        <f t="array" ref="A56">oz.BVPSλ(20, 5, AVERAGE( 2.9, 3.1) )</f>
        <v>5</v>
      </c>
      <c r="B56" t="str">
        <f t="shared" ref="B56:B58" si="4">_xlfn.FORMULATEXT(A56)</f>
        <v>=oz.BVPSλ(20, 5, AVERAGE( 2.9, 3.1) )</v>
      </c>
      <c r="D56" t="s">
        <v>515</v>
      </c>
      <c r="E56" t="s">
        <v>516</v>
      </c>
    </row>
    <row r="57" spans="1:5" x14ac:dyDescent="0.25">
      <c r="A57" s="268" cm="1">
        <f t="array" ref="A57">oz.CAPERatioλ( 100, 10  )</f>
        <v>10</v>
      </c>
      <c r="B57" t="str">
        <f t="shared" si="4"/>
        <v>=oz.CAPERatioλ( 100, 10  )</v>
      </c>
      <c r="D57" t="s">
        <v>517</v>
      </c>
      <c r="E57" t="s">
        <v>518</v>
      </c>
    </row>
    <row r="58" spans="1:5" x14ac:dyDescent="0.25">
      <c r="A58" s="268" cm="1">
        <f t="array" ref="A58">oz.DPRλ( 5, 20 )</f>
        <v>0.25</v>
      </c>
      <c r="B58" t="str">
        <f t="shared" si="4"/>
        <v>=oz.DPRλ( 5, 20 )</v>
      </c>
      <c r="D58" t="s">
        <v>519</v>
      </c>
      <c r="E58" t="s">
        <v>520</v>
      </c>
    </row>
    <row r="59" spans="1:5" x14ac:dyDescent="0.25">
      <c r="A59" s="268" cm="1">
        <f t="array" ref="A59">oz.DividendYieldRatioλ( 1.2, 45 )</f>
        <v>2.6666666666666665E-2</v>
      </c>
      <c r="B59" t="str">
        <f>_xlfn.FORMULATEXT(A59)</f>
        <v>=oz.DividendYieldRatioλ( 1.2, 45 )</v>
      </c>
      <c r="D59" t="s">
        <v>521</v>
      </c>
      <c r="E59" t="s">
        <v>522</v>
      </c>
    </row>
    <row r="60" spans="1:5" x14ac:dyDescent="0.25">
      <c r="A60" s="268" cm="1">
        <f t="array" ref="A60">oz.EPSλ( 7.6, 0, 3.98 )</f>
        <v>1.9095477386934672</v>
      </c>
      <c r="B60" t="str">
        <f t="shared" ref="B60:B61" si="5">_xlfn.FORMULATEXT(A60)</f>
        <v>=oz.EPSλ( 7.6, 0, 3.98 )</v>
      </c>
      <c r="D60" t="s">
        <v>523</v>
      </c>
      <c r="E60" t="s">
        <v>524</v>
      </c>
    </row>
    <row r="61" spans="1:5" x14ac:dyDescent="0.25">
      <c r="A61" s="268" cm="1">
        <f t="array" ref="A61">oz.RetentionRatioλ( 41.981, 22.112)</f>
        <v>1.898561866859624</v>
      </c>
      <c r="B61" t="str">
        <f t="shared" si="5"/>
        <v>=oz.RetentionRatioλ( 41.981, 22.112)</v>
      </c>
      <c r="D61" t="s">
        <v>525</v>
      </c>
      <c r="E61" t="s">
        <v>526</v>
      </c>
    </row>
    <row r="62" spans="1:5" x14ac:dyDescent="0.25">
      <c r="A62" s="198"/>
      <c r="D62" t="s">
        <v>402</v>
      </c>
      <c r="E62" t="s">
        <v>402</v>
      </c>
    </row>
    <row r="63" spans="1:5" x14ac:dyDescent="0.25">
      <c r="D63" t="s">
        <v>527</v>
      </c>
      <c r="E63" t="s">
        <v>528</v>
      </c>
    </row>
    <row r="64" spans="1:5" x14ac:dyDescent="0.25">
      <c r="D64" t="s">
        <v>402</v>
      </c>
      <c r="E64" t="s">
        <v>402</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vAHoAtgBcACIAIAAmAFwAbgAgACAAIAAgACAAIAAgACAAXAAiAFYAZQByAHMAaQBvAG4AOgAgACAAIAAgACAAIAAgACAAIAAgACAAIAAgACAAIACSITIAMAAgAEEAdQBn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kiE9AG8AegAuAE8AdgBlAHIATABhAHAARABhAHkAcwC7AygAMAA4ACwAIAAxADQALAAgADEAMAAsACAAMQA3ACkAtgBcACIAIAAmACAAXABuACAAIAAgACAAIAAgACAAIAAgACAAIAAgACAAIAAgACAAIAAgACAAIAAgACAAIAAgAFwAIgA4ACAAIAAgACAAIAAgACAAIAAgACAAIAAgACAAIACSIT0AbwB6AC4ATwB2AGUAcgBMAGEAcABEAGEAeQBzALsDKAAxADAALAAgADIAMAAsACAAMQAxACwAIAAxADgAKQC2AFwAIgAgACYAIABcAG4AIAAgACAAIAAgACAAIAAgACAAIAAgACAAIAAgACAAIAAgACAAIAAgACAAIAAgACAAXAAiADIAIAAgACAAIAAgACAAIAAgACAAIAAgACAAIAAgAJIhPQBvAHoALgBPAHYAZQByAEwAYQBwAEQAYQB5AHMAuwMoAFwAIgBcACIAMQA3AC8ANwAvADIAMAAyADYAXAAiAFwAIgAsACAAXAAiAFwAIgAyADUALwA3AC8AMgAwADIANgBcACIAXAAiACwAIABcACIAXAAiADcALwA3AC8AMgAwADIANgBcACIAXAAiACwAIABcACIAXAAiADEAOAAvADcALwAyADAAMgA2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wADIANgAtAEEAdQBnAC0AMgA2ACAAIAAgACAAkiE9AG8AegAuAFAAZQByAGkAbwBkAEwAYQBiAGUAbAC7AygARABBAFQARQBWAEEATABVAEUAKABcACIAXAAiADIANgAvADgALwAyADAAMgA2AFwAIgBcACIAKQAsACAAXAAiAFwAIgBEAFwAIgBcACIAKQC2AFwAIgAgACYAXABuACAAIAAgACAAIAAgACAAIAAgACAAIAAgACAAIAAgACAAIAAgACAAIAAgACAAIAAgAFwAIgAyADAAMgA2AC0AQQB1AGcAIAAgACAAIAAgACAAIACSIT0AbwB6AC4AUABlAHIAaQBvAGQATABhAGIAZQBsALsDKABEAEEAVABFAFYAQQBMAFUARQAoAFwAIgBcACIAMgA2AC8AOAAvADIAMAAyADYAXAAiAFwAIgApACwAIABcACIAXAAiAE0AXAAiAFwAIgApALYAXAAiACAAJgAgAFwAbgAgACAAIAAgACAAIAAgACAAIAAgACAAIAAgACAAIAAgACAAIAAgACAAIAAgACAAIABcACIAMgAwADIANgA6AFEAMwAgACAAIAAgACAAIAAgAJIhPQBvAHoALgBQAGUAcgBpAG8AZABMAGEAYgBlAGwAuwMoAEQAQQBUAEUAVgBBAEwAVQBFACgAXAAiAFwAIgAyADYALwA4AC8AMgAwADIANgBcACIAXAAiACkALAAgAFwAIgBcACIAUQBcACIAXAAiACkAtgBcACIAIAAmACAAXABuACAAIAAgACAAIAAgACAAIAAgACAAIAAgACAAIAAgACAAIAAgACAAIAAgACAAIAAgAFwAIgAyADAAMgA2ACAAIAAgACAAIAAgACAAIAAgACAAIACSIT0AbwB6AC4AUABlAHIAaQBvAGQATABhAGIAZQBsALsDKABEAEEAVABFAFYAQQBMAFUARQAoAFwAIgBcACIAMgA2AC8AOAAvADIAMAAyADY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AAIAAgACAAXAAiAEkAXAAiACwAIABZAEUAQQBSACgAQwB2AHQARABhAHQAZ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sAFwAbgAgACAAIAAgACAAIAAgACAAIAAgACAAIAAgACAAIAAgACAAIAAgACAAIAAgACAAIAAgACAAIAAgACAAIAAgACAAUwBpAGcAbgAsACAAIAAgACAAIAAgACAAUwBJAEcATgAoAEQAYQB0AGUAVAB3AG8AIAAtACAARABhAHQAZQBPAG4AZ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wAYQB0AGUAcwB0ACAALQAgAEUAYQByAGwAaQBlAHMAdAAsAFwAbgAgACAAIAAgACAAIAAgACAAIAAgACAAIAAgACAAIAAgACAAIAAgACAAIAAgACAAIAAgACAAIAAgACAAIAAgACAAIAAgACAAIAAgACAAIAAgACAAIAAgACAAIAAgACAAIABcACIAVwBcACIALAAgAFcAUABZACAAKgAgACgAWQBFAEEAUgAoAEwAYQB0AGUAcwB0ACkAIAAtACAAWQBFAEEAUgAoAEUAYQByAGwAaQBlAHMAdAApACkAXABuACAAIAAgACAAIAAgACAAIAAgACAAIAAgACAAIAAgACAAIAAgACAAIAAgACAAIAAgACAAIAAgACAAIAAgACAAIAAgACAAIAAgACAAIAAgACAAIAAgACAAIAAgACAAIAAgACAAIAAgACAAIAArACAAUQBVAE8AVABJAEUATgBUACgATABhAHQAZQBzAHQAIAAgACAALQAgAEQAQQBUAEUAKABZAEUAQQBSACgATABhAHQAZQBzAHQAKQAsACAAIAAgADEALAAgADAAKQAgAC0AIAAxACwAIABEAFAAVwApAFwAbgAgACAAIAAgACAAIAAgACAAIAAgACAAIAAgACAAIAAgACAAIAAgACAAIAAgACAAIAAgACAAIAAgACAAIAAgACAAIAAgACAAIAAgACAAIAAgACAAIAAgACAAIAAgACAAIAAgACAAIAAgACAALQAgAFEAVQBPAFQASQBFAE4AVAAoAEUAYQByAGwAaQBlAHMAdAAgAC0AIABEAEEAVABFACgAWQBFAEEAUgAoAEUAYQByAGwAaQBlAHMAdAApACwAIAAxACwAIAAwACkAIAAtACAAMQAsACAARABQAFcAKQAsAFwAbgAgACAAIAAgACAAIAAgACAAIAAgACAAIAAgACAAIAAgACAAIAAgACAAIAAgACAAIAAgACAAIAAgACAAIAAgACAAIAAgACAAIAAgACAAIAAgACAAIAAgACAAIAAgACAAIABcACIATQBcACIALAAgAE0AUABZACAAKgAgACgAWQBFAEEAUgAoAEwAYQB0AGUAcwB0ACkAIAAtACAAWQBFAEEAUgAoAEUAYQByAGwAaQBlAHMAdAApACkAXABuACAAIAAgACAAIAAgACAAIAAgACAAIAAgACAAIAAgACAAIAAgACAAIAAgACAAIAAgACAAIAAgACAAIAAgACAAIAAgACAAIAAgACAAIAAgACAAIAAgACAAIAAgACAAIAAgACAAIAAgACAAIAArACAATQBPAE4AVABIACgATABhAHQAZQBzAHQAKQAgAC0AIABNAE8ATgBUAEgAKABFAGEAcgBsAGkAZQBzAHQAKQAsAFwAbgAgACAAIAAgACAAIAAgACAAIAAgACAAIAAgACAAIAAgACAAIAAgACAAIAAgACAAIAAgACAAIAAgACAAIAAgACAAIAAgACAAIAAgACAAIAAgACAAIAAgACAAIAAgACAAIABcACIAUQBcACIALAAgAFEAUABZACAAKgAgACgAWQBFAEEAUgAoAEwAYQB0AGUAcwB0ACkAIAAtACAAWQBFAEEAUgAoAEUAYQByAGwAaQBlAHMAdAApACkAXABuACAAIAAgACAAIAAgACAAIAAgACAAIAAgACAAIAAgACAAIAAgACAAIAAgACAAIAAgACAAIAAgACAAIAAgACAAIAAgACAAIAAgACAAIAAgACAAIAAgACAAIAAgACAAIAAgACAAIAAgACAAIAArACAAUQBVAE8AVABJAEUATgBUACgATQBPAE4AVABIACgATABhAHQAZQBzAHQAKQAgACAAIAAtACAAMQAsACAATQBQAFEAKQBcAG4AIAAgACAAIAAgACAAIAAgACAAIAAgACAAIAAgACAAIAAgACAAIAAgACAAIAAgACAAIAAgACAAIAAgACAAIAAgACAAIAAgACAAIAAgACAAIAAgACAAIAAgACAAIAAgACAAIAAgACAAIAAgAC0AIABRAFUATwBUAEkARQBOAFQAKABNAE8ATgBUAEgAKABFAGEAcgBsAGkAZQBzAHQAKQAgAC0AIAAxACwAIABNAFAAUQApACwAXABuACAAIAAgACAAIAAgACAAIAAgACAAIAAgACAAIAAgACAAIAAgACAAIAAgACAAIAAgACAAIAAgACAAIAAgACAAIAAgACAAIAAgACAAIAAgACAAIAAgACAAIAAgACAAIAAgAFwAIgBZAFwAIgAsACAAWQBFAEEAUgAoAEwAYQB0AGUAcwB0ACkAIAAtACAAWQBFAEEAUgAoAEUAYQByAGwAaQBlAHMAdA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fACwAMQAwACwAMgAwACwAMwAwACwAMwAwACAAIACSIT0AbwB6AC4AUwBjAGgAZQBkAHUAbABlAFIAYQB0AGUAcwC7AygAVABpAG0AZQBsAGkAbgBlALsDKABcACIAXAAiADEALwA3AC8AMgAwADIANgBcACIAXAAiACwANQAsAFwAIgBcACIAVwBcACIAXAAiACkALAB7ADQANgAyADAAOAA7ACAANAA2ADIAMQA2ADsAIAA0ADYAMgAyADI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FvAHoALgBTAGMAaABlAGQAdQBsAGUAUgBhAHQAZQBzAEIAeQBJAHQAZQBtAHMAuwMoACAAVABpAG0AZQBsAGkAbgBlALsDKAAgAFwAIgBcACIAMQAvADcALwAyADAAMgA2AFwAIgBcACIAKQAsACAAVQBOAEkAUQBVAEUAKAAgAHQAYgBsAFIAYQB0AGUAcwAoAFUAbgBpAHQAKQApACwAtgBcACIAIAAmAFwAbgAgACAAIAAgACAAIAAgACAAIAAgACAAIAAgACAAIAAgACAAIAAgACAAIAAgACAAIAAgACAAIAAgACAAIAAgACAAIAAgACAAIAAgACAAIABcACIAkiF0AGIAbABSAGEAdABlAHMAWwBVAG4AaQB0AF0ALAAgAHQAYgBsAFIAYQB0AGUAcwBbAFIAZQBuAHQAXQAsACAAdABiAGwAUgBhAHQAZQBzAFsARQBmAGYAZQBjAHQAaQB2AGU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RABvAE4AbwB0AFUAcwBlACwAIAAgACAAIAAgACAAIABJAEYAKAAgAEkAUwBPAE0ASQBUAFQARQBEACgAIABEAG8ATgBvAHQAVQBzAGUAKQAsACAAMQAsACAARABvAE4AbwB0AFUAcwBl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RABvAE4AbwB0AFUAcwBlACkALABcAG4AIAAgACAAIAAgACAAIAAgAEkAdABlAG0ARABhAHQAZQBzACwAIAAgACAAIAAgACAARgBJAEwAVABFAFIAKAAgAEMAdgB0AEUAZgBmAEQAYQB0AGUAcwAsACAASQB0AGUAbQBMAGkAcwB0ACAAPQAgAEkAdABlAG0AKQAsACAAXABuACAAIAAgACAAIAAgACAAIABJAHQAZQBtAFIAYQB0AGUAcwAsACAAIAAgACAAIAAgAEYASQBMAFQARQBSACgAIABSAGEAdABlAEwAaQBzAHQALAAgAEkAdABlAG0ATABpAHMAdAAgAD0AIABJAHQAZQBtACkALAAgAFwAbgAgACAAIAAgACAAIAAgACAATgBlAHcAUgBvAHcALAAgACAAIAAgACAAIAAgACAAIABYAEwATwBPAEsAVQBQACgAIABDAHYAdABQAHIAZABFAG4AZABzACwAIABJAHQAZQBtAEQAYQB0AGUAcwAsACAASQB0AGUAbQBSAGEAdABlAHMALAAgADAALAAgAC0AMQApACwAXABuACAAIAAgACAAIAAgACAAIABSAGUAcwB1AGwAdAAsACAAIAAgACAAIAAgACAAIAAgAEkARgAoACAARABvAE4AbwB0AFUAcwBl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UgBhAHQAZQBzAEIAeQBJAHQAZQBtAHMAuwMoACAAQwB2AHQAUAByAGQARQBuAGQAcwAsACAASQB0AGUAbQBGAGkAbAB0AGUAcgAsACAASQB0AGUAbQBMAGkAcwB0ACwAIABDAHYAdABFAGYAZgBEAGEAdABlAHMALAAgAFIAYQB0AGUATABpAHMAdAAsACAARABvAE4AbwB0AFUAcwBl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wB6AHoAaQB0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jAG8AbAB1AG0AbgAgAG8AcgAgAHIAbwB3ACAAbwBmACAAcABlAHIAaQBvAGQAIABzAHQAYQByAHQAIABkAGEAdABlAHMAIAAoAHQAaQBtAGUAbABpAG4AZQApAC4AtgBcACIAIAAmACAAXABuACAAIAAgACAAIAAgACAAIAAgACAAIAAgACAAIAAgACAAIAAgACAAIAAgACAAIAAgAFwAIgBQAGUAcgBpAG8AZABFAG4AZABzACAAIAAgACAAIACSISgAUgBlAHEAdQBpAHIAZQBkACkAIABBACAAYwBvAGwAdQBtAG4AIABvAHIAIAByAG8AdwAgAG8AZgAgAHAAZQByAGkAbwBkACAAZQBuAGQAcw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QQAgAGMAbwBsAHUAbQBuACAAbwByACAAcgBvAHcAIABvAGYAIAB3AGgAZQBuACAAYQAgAHYAYQBsAHUAZQAgAGkAcwAgAHMAYwBoAGUAZAB1AGwAZQBk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uwMoAFQAaQBtAGUAbABpAG4AZQC7AygAXAAiAFwAIgAxAC8ANwAvADIAMAAyADYAXAAiAFwAIgApACwAIABUAGkAbQBlAGwAaQBuAGUAuwMoAFwAIgBcACIAMQAvADcALwAyADAAMgA2AFwAIgBcACIALAAsACwARgBBAEwAUwBFACkALAAgAHsAMQA7ADMAfQAsACAAewBcACIAXAAiADEALwA3AC8AMgAwADIANgBcACIAXAAiADsAIABcACIAXAAiADEANQAvADgALwAyADAAMgA2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bwB6AC4AUwBjAGgAZQBkAHUAbABlAFYAYQBsAHUAZQBzAEIAeQBJAHQAZQBtAHMAuwMoACAAVABpAG0AZQBsAGkAbgBlALsDKAAgAFwAIgBcACIAMQAvADcALwAyADAAMgA2AFwAIgBcACIAKQAsACAAIABUAGkAbQBlAGwAaQBuAGUAuwMoACAAXAAiAFwAIgAxAC8ANwAvADIAMAAyADY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EMAdgB0AFAAcgBkAFMAdABhAHIAdABzACkAIAAqACAAKABJAHQAZQBtAEQAYQB0AGUAcwAgADwAPQAgAEMAdgB0AFAAcg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MASQBUAEUAOgAgACAAIAAgACAAIAAgAJIhaAB0AHQAcABzADoALwAvAGcAaQB0AGgAdQBiAC4AYwBvAG0ALwByAHkAYQBuAGQAdQBnAHUAaQBkAC8ATwB6AHoAaQB0ALYAXAAiACAAJgAgAFwAbgAgACAAIAAgACAAIAAgACAAIAAgACAAIAAgACAAIAAgACAAIAAgACAAIAAgACAAIAAgACAAIAAgAFwAIgBQAEEAUgBBAE0ARQBUAEUAUgBTADoAIAAgACAAIAAgACAAIAAgAJIhtgBcACIAIAAmACAAXABuACAAIAAgACAAIAAgACAAIAAgACAAIAAgACAAIAAgACAAIAAgACAAIAAgACAAIAAgACAAIAAgACAAXAAiAFMAdABhAHIAdABEAGEAdABlACAAIAAgACAAIAAgAJIhKABSAGUAcQB1AGkAcgBlAGQAKQAgAEYAaQByAHMAdAAgAHAAZQByAGkAbwBkACcAcwAgAHMAdABhAHIAdAAgAGQAYQB0AGUALgAgAE0AYQB5ACAAYgBlACAAZQBuAHQAZQByAGUAZAAgAGEAcwAgAHQAZQB4AHQALgC2AFwAIgAgACYAXABuACAAIAAgACAAIAAgACAAIAAgACAAIAAgACAAIAAgACAAIAAgACAAIAAgACAAIAAgACAAIAAgACAAXAAiAFAAZQByAGkAbwBkAHMAIAAgACAAIAAgACAAIAAgAJIhKABPAHAAdABpAG8AbgBhAGwAKQAgAFQAaABlACAAbgB1AG0AYgBlAHIAIABvAGYAIABwAGUAcgBpAG8AZAAgAGkAbgAgAHQAaABlACAAdABpAG0AZQBsAGkAbgBlAC4AIABEAGUAZgBhAHUAbAB0AHMAIAB0AG8AIAAxADIALgC2AFwAIgAgACYAXABuACAAIAAgACAAIAAgACAAIAAgACAAIAAgACAAIAAgACAAIAAgACAAIAAgACAAIAAgACAAIAAgACAAXAAiAEkAbgB0AGUAcgB2AGEAbAAgACAAIAAgACAAIAAgAJIhKABPAHAAdABpAG8AbgBhAGwAKQAgAFAAZQByAGkAbwBkACAAaQBuAHQAZQByAHYAYQBsADoAIABEACwAIABXACwAIABNACwAIABRACAAbwByACAAWQAgACgARABhAHkALAAgAFcAZQBlAGsALAAgAE0AbwBuAHQAaAAgADwAZABlAGYAYQB1AGwAdAA+ACwAIABRAHUAYQByAHQAZQByACwAIABvAHIAIABZAGUAYQByACkAtgBcACIAIAAmAFwAbgAgACAAIAAgACAAIAAgACAAIAAgACAAIAAgACAAIAAgACAAIAAgACAAIAAgACAAIAAgACAAIAAgAFwAIgBQAGUAcgBpAG8AZABTAHQAYQByAHQAcwA/ACAAIACSISgATwBwAHQAaQBvAG4AYQBsACkAIABUAFIAVQBFAD0ARABpAHMAcABsAGEAeQAgAHAAZQByAGkAbwBkACAAcwB0AGEAcgB0ACAAZABhAHQAZQBzACAAPABkAGUAZgBhAHUAbAB0AD4ALgAgAEYAQQBMAFMARQA9AFAAZQByAGkAbwBkACAAZQBuAGQAIABkAGEAdABlAHM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MgAgAG0AbwAsACAAcwB0AGEAcgB0AHMAIAAgAJIhPQBvAHoALgBUAGkAbQBlAGwAaQBuAGUAuwMoAFQATwBEAEEAWQAoACkAKQC2AFwAIgAgACYAXABuACAAIAAgACAAIAAgACAAIAAgACAAIAAgACAAIAAgACAAIAAgACAAIAAgACAAIAAgACAAIAAgACAAXAAiADEAMgAgAHEAdAByACwAIABlAG4AZABzACAAIAAgAJIhPQBvAHoALgBUAGkAbQBlAGwAaQBuAGUAuwMoAFQATwBEAEEAWQAoACkALAAgACwAIABcACIAXAAiAFEAXAAiAFwAIgAsACAARgBBAEwAUwBF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AgACAAIAAgAFwAbgAgACAAIAAgAC8ALwAgACAATgBhAG0AZQBkACAAQwBvAG4AcwB0AGEAbgB0AHMAXABuACAAIAAgACAAIAAgACAAIABNAFAAWQAsACAAMQAyACwAIAAgACAAIAAgACAAIAAgAC8ALwBNAG8AbgB0AGgAcwAgAFAAZQByACAAWQBlAGEAcgBcAG4AIAAgACAAIAAgACAAIAAgAE0AUABRACwAIAAzACwAIAAgACAAIAAgACAAIAAgACAALwAvAE0AbwBuAHQAaABzACAAUABlAHIAIABRAHUAYQByAHQAZQByAFwAbgAgACAAIAAgACAAIAAgACAARABQAFcALAAgADcALAAgACAAIAAgACAAIAAgACAAIAAvAC8ARABhAHkAcwAgAFAAZQByACAAVwBlAGUAawBcAG4AIAAgACAAIAAvAC8AIAAgAEMAaABlAGMAawAgAGkAbgBwAHUAdABzACAALQAgAE8AbQBpAHQAdABlAGQAIAByAGUAcQB1AGkAcgBlAGQAIABhAHIAZwB1AG0AZQBuAHQAcwBcAG4AIAAgACAAIAAgACAAIAAgAEgAZQBsAHAAPwAsACAAIAAgACAAIAAgACAAIAAgACAASQBTAE8ATQBJAFQAVABFAEQAKAAgAFMAdABhAHIAdABEAGEAdABlACkALAAg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LAAgACAAIAAgACAAIAAgAEkARgAoACAASQBTAE8ATQBJAFQAVABFAEQAKAAgAFMAdABhAHIAdABEAGEAdABlACkALAAgAFwAbgAgACAAIAAgACAAIAAgACAAIAAgACAAIAAgACAAIAAgACAAIAAgACAAIAAgACAAIAAgACAAIAAgAEYAQQBMAFMARQAsAFwAbgAgACAAIAAgACAAIAAgACAAIAAgACAAIAAgACAAIAAgACAAIAAgACAAIAAgACAAIAAgACAAIAAgAEkARgAoACAASQBTAE4AVQBNAEIARQBSACgAIABTAHQAYQByAHQARABhAHQAZQApACwAIABTAHQAYQByAHQARABhAHQAZQAsACAARABBAFQARQBWAEEATABVAEUAKAAgAFMAdABhAHIAdABEAGEAdABlACkAKQBcAG4AIAAgACAAIAAgACAAIAAgACAAIAAgACAAIAAgACAAIAAgACAAIAAgACAAIAAgACAAKQAsAFwAbgAgACAAIAAgACAAIAAgACAAUABlAHIAaQBvAGQAcwAsACAAIAAgACAAIAAgACAAIABJAEYAKAAgAEkAUwBPAE0ASQBUAFQARQBEACgAIABQAGUAcgBpAG8AZABzACkALAAgADEAMgAsACAAUABlAHIAaQBvAGQAcwApACwAXABuACAAIAAgACAAIAAgACAAIABJAG4AdABlAHIAdgBhAGwALAAgACAAIAAgACAAIAAgAEkARgAoACAASQBTAE8ATQBJAFQAVABFAEQAKAAgAEkAbgB0AGUAcgB2AGEAbAApACwAIABcACIATQBcACIALAAgAEkAbgB0AGUAcgB2AGEAbAApACwAXABuACAAIAAgACAAIAAgACAAIABQAGUAcgBpAG8AZABTAHQAYQByAHQAcwA/ACwAIAAgAEkARgAoACAASQBTAEwATwBHAEkAQwBBAEwAKAAgAFAAZQByAGkAbwBkAFMAdABhAHIAdABzAD8AKQAsACAAUABlAHIAaQBvAGQAUwB0AGEAcgB0AHMAPwAsACAAVABSAFUARQApACwAXABuACAAIAAgACAALwAvACAAIABQAHIAbwBjAGUAZAB1AHIAZQBcAG4AIAAgACAAIAAgACAAIAAgAEUAbgBkAEQAYQB0AGUAcwAsACAAIAAgACAAIAAgACAATgAoAE4ATwBUACgAUABlAHIAaQBvAGQAUwB0AGEAcgB0AHMAPwApACkALABcAG4AIAAgACAAIAAgACAAIAAgAFIAZQBzAHUAbAB0ACwAIAAgACAAIAAgACAAIAAgACAAUwBXAEkAVABDAEgAKABcAG4AIAAgACAAIAAgACAAIAAgACAAIAAgACAAIAAgACAAIAAgACAAIAAgACAAIAAgACAAIAAgACAAIABJAG4AdABlAHIAdgBhAGwALABcAG4AIAAgACAAIAAgACAAIAAgACAAIAAgACAAIAAgACAAIAAgACAAIAAgACAAIAAgACAAIAAgACAAIABcACIAWQBcACIALAAgAEUARABBAFQARQAoAEMAdgB0AFMAdABhAHIAdAAsACAAUwBFAFEAVQBFAE4AQwBFACgAMQAsACAAUABlAHIAaQBvAGQAcwAsACAARQBuAGQARABhAHQAZQBzACAAKgAgAE0AUABZACwAIABNAFAAWQApACkAIAAtACAARQBuAGQARABhAHQAZQBzACwAXABuACAAIAAgACAAIAAgACAAIAAgACAAIAAgACAAIAAgACAAIAAgACAAIAAgACAAIAAgACAAIAAgACAAXAAiAFEAXAAiACwAIABFAEQAQQBUAEUAKABDAHYAdABTAHQAYQByAHQALAAgAFMARQBRAFUARQBOAEMARQAoADEALAAgAFAAZQByAGkAbwBkAHMALAAgAEUAbgBkAEQAYQB0AGUAcwAgACoAIABNAFAAUQAsACAATQBQAFEAKQApACAALQAgAEUAbgBkAEQAYQB0AGUAcwAsAFwAbgAgACAAIAAgACAAIAAgACAAIAAgACAAIAAgACAAIAAgACAAIAAgACAAIAAgACAAIAAgACAAIAAgAFwAIgBNAFwAIgAsACAARQBEAEEAVABFACgAQwB2AHQAUwB0AGEAcgB0ACwAIABTAEUAUQBVAEUATgBDAEUAKAAxACwAIABQAGUAcgBpAG8AZABzACwAIABFAG4AZABEAGEAdABlAHMALAAgADEAKQApACAALQAgAEUAbgBkAEQAYQB0AGUAcwAsAFwAbgAgACAAIAAgACAAIAAgACAAIAAgACAAIAAgACAAIAAgACAAIAAgACAAIAAgACAAIAAgACAAIAAgAFwAIgBXAFwAIgAsACAAUwBFAFEAVQBFAE4AQwBFACgAMQAsACAAUABlAHIAaQBvAGQAcwAsACAAQwB2AHQAUwB0AGEAcgB0ACAAKwAgAEkARgAoAFAAZQByAGkAbwBkAFMAdABhAHIAdABzAD8ALAAgADAALAAgAEQAUABXACAALQAgADEAKQAsACAARABQAFcAKQAsAFwAbgAgACAAIAAgACAAIAAgACAAIAAgACAAIAAgACAAIAAgACAAIAAgACAAIAAgACAAIAAgACAAIAAgAFwAIgBEAFwAIgAsACAAUwBFAFEAVQBFAE4AQwBFACgAMQAsACAAUABlAHIAaQBvAGQAcwAsACAAQwB2AHQAUwB0AGEAcgB0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FwAbgBGAGkAbgBhAG4AYwBpAGEAbABZAGUAYQByALsDIAA9ACAATABBAE0AQgBEAEEAKABcAG4ALwAvACAAIABQAGEAcgBhAG0AZQB0AGUAcgAgAEQAZQBjAGwAYQByAGEAdABpAG8AbgBcAG4AIAAgACAAIABbAEQAYQB0AGUAcwBdACwAXABuACAAIAAgACAAWwBTAHQAYQByAHQATQBvAG4AdABo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gBpAG4AYQBuAGMAaQBhAGwAWQBlAGEAcgC7AygARABhAHQAZQBzACwAIABbAFMAdABhAHIAdABNAG8AbgB0AGgAXQApALYAXAAiACAAJgBcAG4AIAAgACAAIAAgACAAIAAgACAAIAAgACAAIAAgACAAIAAgACAAIAAgACAAIAAgACAAIAAgACAAIABcACIARABFAFMAQwBSAEkAUABUAEkATwBOADoAIAAgACAAkiFMAGEAYgBlAGwAcwAgAGQAYQB0AGUAcwAgAHcAaQB0AGgAIAB0AGgAZQBpAHIAIABBAHUAcwB0AHIAYQBsAGkAYQBuACAAZgBpAG4AYQBuAGMAaQBhAGwAIAB5AGUAYQByACwAIAB3AGgAaQBjAGgAIABzAHQAYQByAHQAcwAgAG8AbgAgADEAIABKAHUAbAB5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GMAbwBsAHUAbQBu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GMAbwBsAHUAbQ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RQC7A1wAbgAgACAAIAAgAEQARQBTAEMAUgBJAFAAVABJAE8ATgA6ACoALwAvACoAKgBEAGUAdABlAHIAbQBpAG4AZQAgAGkAZgAgAGEAIAB2AGEAbAB1AGUAIABpAHMAIABiAGUAdAB3AGUAZQBuACAAYQAgAGwAbwB3AGUAcgAgAGEAbgBkACAAdQBwAHAAZQByACAAbABpAG0AaQB0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dwBoAGUAdABoAGUAcgAgAGEAIAB2AGEAbAB1AGUAIABpAHMAIABvAG4AZQAgAG8AZgAgAGEAIABsAGkAcwB0ACAAbwBmACAAaQB0AGUAbQBzACoALwBcAG4ASQBzAEkAbgBMAGkAcwB0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FALsDXABuACAAIAAgACAARABFAFMAQwBSAEkAUABUAEkATwBOADoAKgAvAC8AKgAqAEMAbwBuAHYAZQByAHQAIABhACAAcgBhAG4AZwBlACAAcgBlAGYAZQByAGUAbgBjAGUAIAB0AG8AIABhACAAZAB5AG4AYQBtAGkAYwAgAGEAcgByAGEAeQAgAHIAZQBmAGUAcgBlAG4AYwBl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PAHoAegBpAHQ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XABuAEEAYgBvAHUAdABGAGkAbgBhAG4AYwBpAGEAbAC7AyAAPQAgAFQAUgBJAE0AKABUAEUAWABUAFMAUABMAEkAVAAoAFwAbgAgACAAIAAgAFwAIgBBAEIATwBVAFQAOgAgACAAIAAgACAAIAAgACAAIAAgACAAIAAgAJIhTwB6AHoAaQB0ACcAcwAgAEYAaQBuAGEAbgBjAGkAYQBsACAATQBvAGQAZQBsAHMAIABtAG8AZAB1AGwAZQAuACAAUwB1AGcAZwBlAHMAdABlAGQAIABtAG8AZAB1AGwAZQAgAG4AYQBtAGUAOgAgAG8AegC2AFwAIgAgACYAXABuACAAIAAgACAAXAAiAFYARQBSAFMASQBPAE4AOgAgACAAIAAgACAAIAAgACAAIAAgACAAkiEyADAAIABBAHUAZwAgADIAMAAyADYAtgBcACIAIAAmAFwAbgAgACAAIAAgAFwAIgBSAEUAUABPAFMASQBUAE8AUgBZADoAIAAgACAAIAAgACAAIAAgACAAIACSIWgAdAB0AHAAcwA6AC8ALwBnAGkAdABoAHUAYgAuAGMAbwBtAC8AcgB5AGEAbgBkAHUAZwB1AGkAZAAvAE8AegB6AGkAdAAgALYAXAAiACAAJgBcAG4AIAAgACAAIABcACIAVwBFAEIAUwBJAFQARQA6ACAAIAAgACAAIAAgACAAIAAgACAAIACSIWgAdAB0AHAAcwA6AC8ALwBnAGkAdABoAHUAYgAuAGMAbwBtAC8AcgB5AGEAbgBkAHUAZwB1AGkAZAAvAE8AegB6AGkAdAAgALYAXAAiACAAJgBcAG4AIAAgACAAIABcACIAkiG2AFwAIgAgACYAXABuACAAIAAgACAAXAAiAEYAVQBOAEMAVABJAE8ATgAgACAAIAAgACAAIAAgACAAIAAgACAAkiFEAEUAUwBDAFIASQBQAFQASQBPAE4AtgBcACIAIAAmACAAXABuACAAIAAgACAAXAAiAEEAYgBvAHUAdABGAGkAbgBhAG4AYwBpAGEAb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YQB4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pAG4AuwMgACAAIAAgACAAIAAgACAAkiFGAGkAbgBkAHMAIAB0AGgAZQAgAG0AaQBu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TAHUAbQC7AyAAIAAgACAAIAAgACAAIACSIUMAcgBlAGEAdABlAHMAIAB0AG8AdABhAGwAcwAgAGYAbwByACAAcAByAGUAYwBlAGQAaQBuAGcAIAB2AGEAbAB1AGUAcwAgAG8AZgAgAGEAIABzAGUAdAAgAHMAaQB6AGUAIABtAG8AdgBpAG4AZwAgAGYAcgBvAG0AIABiAGUAZwBpAG4AbgBpAG4AZwAgAHQAbwAgAGUAbgBkACAAbwB2AGUAcgAgAGEAIAByAG8AdwAgAG8AZgAgAHYAYQBsAHUAZQBzAC4AtgBcACIAIAAmAFwAbgAgACAAIAAgAFwAIgBTAHUAbQBDAG8AbgB0AGEAaQBuAHMAuwMgACAAIAAgACAAIAAgAJIhQwByAGUAYQB0AGUAcwAgAGEAIAByAG8AdwAgAG8AZgAgAHQAbwB0AGEAbABzACAAZgBvAHIAIABlAGEAYwBoACAAcgBvAHcAIABpAG4AIABhAG4AIABhAHIAcgBhAHkAIAB3AGgAZQByAGUAIABpAHQAcwAgAGwAYQBiAGUAbABzACAAYwBvAG4AdABhAGkAbgAgAGEAIAB1AG4AaQBxAHUAZQAgAGwAZQB0AHQAZQByACwAIAB3AG8AcgBkACwAIABvAHIAIABwAGgAcgBhAHMAZQAuALYAXAAiACAAJgAgAFwAbgAgACAAIAAgAFwAIgBTAHUAbQBQAGUAcgBpAG8AZABzALsDIAAgACAAIAAgACAAIAAgAJIhRwByAG8AdQBwAHMAIABhAG4AZAAgAHQAbwB0AGEAbABzACAAYQBsAGwAIABjAG8AbAB1AG0AbgBzACAAaQBuACAAYQAgAFYAYQBsAHUAZQBzACAAYQByAHIAYQB5ACAAYgB5ACAAcABlAHIAaQBvAGQAIAByAGUAcwB1AGwAdABpAG4AZwAgAGkAbgAgAG8AbgBlACAAYwBvAGwAdQBtAG4AIABmAG8AcgAgAGUAYQBjAGgAIABwAGUAcgBpAG8AZAAuALYAXAAiACAAJgAgAFwAbgAgACAAIAAgAFwAIgCSIbYAXAAiACAAJgBcAG4AIAAgACAAIABcACIAQQBNAE8AUgBUAEkAUwBBAFQASQBPAE4AIABTAFUASQBUAEUAkiG2AFwAIgAgACYAIABcAG4AIAAgACAAIABcACIAQQBtAG8AcgB0AGkAcwBlALsDIAAgACAAIAAgACAAIAAgACAAIACSIUMAcgBlAGEAdABlAHMAIABhACAAYwBvAHIAawBzAGMAcgBlAHcAIABhAG0AbwByAHQAaQBzAGEAdABpAG8AbgAgAHMAYwBoAGUAZAB1AGwAZQAuALYAXAAiACAAJgAgAFwAbgAgACAAIAAgAFwAIgBMAGEAYgBlAGwAQQBtAG8AcgB0AGkAcwBlALsDIAAgACAAIAAgAJIhQwByAGUAYQB0AGUAIAByAG8AdwAgAGwAYQBiAGUAbABzACAAZgBvAHIAIABBAG0AbwByAHQAaQBzAGUAuwMgAHIAZQBzAHUAbAB0ALYAXAAiACAAJgAgAFwAbgAgACAAIAAgAFwAIgBTAHUAbQBBAG0AbwByAHQAaQBzAGUAuwMgACAAIAAgACAAIAAgAJIhQwByAGUAYQB0AGUAIAByAG8AdwAgAHQAbwB0AGEAbABzACAAZgBvAHIAIABwAGEAeQBtAGUAbgB0AHMALAAgAGkAbgB0AGUAcgBlAHMAdAAsACAAYQBuAGQAIABwAHIAaQBuAGMAaQBwAGEAbAAgAHAAbwByAHQAaQBvAG4AIABpAG4AIABBAG0AbwByAHQAaQBzAGUAuwMgAHIAZQBzAHUAbAB0AHMAtgBcACIAIAAmACAAXABuACAAIAAgACAAXAAiAJIhtgBcACIAIAAmAFwAbgAgACAAIAAgAFwAIgBEAEUAUABSAEUAQwBJAEEAVABJAE8ATgAgAFMAVQBJAFQARQCSIbYAXAAiACAAJgAgAFwAbgAgACAAIAAgAFwAIgBEAGUAcAByAGUAYwBpAGEAdABlALsDIAAgACAAIAAgACAAIAAgAJIhQwByAGUAYQB0AGUAIABhACAAYgBsAG8AYwBrACAAbwBmACAAQwBBAFAARQBYACwAIABPAHAAZQBuAGkAbgBnACAAQgBhAGwAYQBuAGMAZQAsACAARABlAHAAcgBlAGMAaQBhAHQAaQBvAG4AIABWAGEAbAB1AGUAcwAsACAAYQBuAGQAIABCAG8AbwBrACAAVgBhAGwAdQBlACAAZgBvAHIAIABlAGEAYwBoACAAYQBzAHMAZQB0ALYAXAAiACAAJgAgAFwAbgAgACAAIAAgAFwAIgBMAGEAYgBlAGwARABlAHAAcgBlAGMAaQBhAHQAZQC7AyAAIAAgAJIhQwByAGUAYQB0AGUAIAByAG8AdwAgAGwAYQBiAGUAbABzACAAZgBvAHIAIABEAGUAcAByAGUAYwBpAGEAdABlALsDIAByAGUAcwB1AGwAdAC2AFwAIgAgACYAIABcAG4AIAAgACAAIABcACIAUwB1AG0ARABlAHAAcgBlAGMAaQBhAHQAZQC7AyAAIAAgACAAIACSIUMAcgBlAGEAdABlACAAcgBvAHcAIAB0AG8AdABhAGwAcwAgAGYAbwByACAAQwBBAFAARQBYACwAIABEAGUAcAByAGUAYwBpAGEAdABpAG8AbgAsACAAQgBvAG8AawAgAFYAYQBsAHUAZQAsACAAUwBhAGwAdgBhAGcAZQAgAFYAYQBsAHUAZQAsACAAYQBuAGQAIABEAGkAcwBwAG8AcwBhAGwAIABjAG8AcwB0AHMAIABpAG4AIABEAGUAcAByAGUAYwBpAGEAdABlALsDIAByAGUAcwB1AGwAdABzALYAXAAiACAAJgAgAFwAbgAgACAAIAAgAFwAIgBBAGwAbABvAGMAYQB0AGUAuwMgACAAIAAgACAAIAAgACAAIAAgAJIhRABpAHYAaQBkAGUAIABvAG4AZQAgAG8AcgAgAG0AbwByAGUAIABhAG0AbwB1AG4AdABzACAAZQBxAHUAYQBsAGwAeQAgAGEAYwByAG8AcwBzACAAcwBtAGEAbABsAGUAcgAgAHAAZQByAGkAbwBkAHMAtgBcACIAIAAmACAAXABuACAAIAAgACAAXAAiAFMATABOALsDIAAgACAAIAAgACAAIAAgACAAIAAgACAAIAAgACAAkiFTAHQAcgBhAGkAZwBoAHQAIABMAGkAbgBlACAAZABlAHAAcgBlAGMAaQBhAHQAaQBvAG4AIABtAGUAdABoAG8AZAAgAGYAbwByACAAbwBuAGUAIABhAHMAcwBlAHQAIABvAHIAIABhAHMAcwBlAHQAIABjAGwAYQBzAHMALgC2AFwAIgAgACYAIABcAG4AIAAgACAAIABcACIAUwBZAEQAuwMgACAAIAAgACAAIAAgACAAIAAgACAAIAAgACAAIACSIVMAdQBtAC0AbwBmAC0AeQBlAGEAcgBzACcAIABkAGkAZwBpAHQAcwAgAGQAZQBwAHIAZQBjAGkAYQB0AGkAbwBuACAAbQBlAHQAaABvAGQAIABmAG8AcgAgAG8AbgBlACAAYQBzAHMAZQB0ACAAbwByACAAYQBzAHMAZQB0ACAAYwBsAGEAcwBzAC4AtgBcACIAIAAmACAAXABuACAAIAAgACAAXAAiAEQAQgC7AyAAIAAgACAAIAAgACAAIAAgACAAIAAgACAAIAAgACAAkiFGAGkAeABlAGQAIABkAGUAYwBsAGkAbgBpAG4AZwAgAGIAYQBsAGEAbgBjAGUAIABkAGUAcAByAGUAYwBpAGEAdABpAG8AbgAgAG0AZQB0AGgAbwBkACAAZgBvAHIAIABvAG4AZQAgAGEAcwBzAGUAdAAgAG8AcgAgAGEAcwBzAGUAdAAgAGMAbABhAHMAcwAuALYAXAAiACAAJgAgAFwAbgAgACAAIAAgAFwAIgBEAEQAQgC7AyAAIAAgACAAIAAgACAAIAAgACAAIAAgACAAIAAgAJIhRABvAHUAYgBsAGUALQBkAGUAYwBsAGkAbgBpAG4AZwAgAGIAYQBsAGEAbgBjAGUAIABkAGUAcAByAGUAYwBpAGEAdABpAG8AbgAgAG0AZQB0AGgAbwBkACAAZgBvAHIAIABvAG4AZQAgAGEAcwBzAGUAdAAgAG8AcgAgAGEAcwBzAGUAdAAgAGMAbABhAHMAcwAuALYAXAAiACAAJgAgAFwAbgAgACAAIAAgAFwAIgBWAEQAQgC7AyAAIAAgACAAIAAgACAAIAAgACAAIAAgACAAIAAgAJIhVgBhAHIAaQBhAGIAbABlACAAZABlAGMAbABpAG4AaQBuAGcAIABiAGEAbABhAG4AYwBlACAAZABlAHAAcgBlAGMAaQBhAHQAaQBvAG4AIABtAGUAdABoAG8AZAAgAGYAbwByACAAbwBuAGUAIABhAHMAcwBlAHQAIABvAHIAIABhAHMAcwBlAHQAIABjAGwAYQBzAHMALgC2AFwAIgAgACYAIABcAG4AIAAgACAAIAAgACAAIAAgACAAIAAgACAAIAAgACAAIAAgACAAIAAgACAAIAAgACAAIAAgACAAIAAgACAAIAAgACAAIAAgACAAIAAgACAAIAAgACAAIABcACIARABpAG0AaQBuAGkAcwBoAGkAbgBnAFYAYQBsAHUAZQC7Ay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IABcAG4AIAAgACAAIAAgACAAIAAgACAAIAAgACAAIAAgACAAIAAgACAAIAAgACAAIAAgACAAIAAgACAAIAAgACAAIAAgACAAIAAgACAAIAAgACAAIAAgACAAIABcACIAUAByAGkAbQBlAEMAbwBzAHQAuwMgACAAIAAgACAAIAAgACAAIACSIV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LYAXAAiACAAJgAgAFwAbgAgACAAIAAgACAAIAAgACAAIAAgACAAIAAgACAAIAAgACAAIAAgACAAIAAgACAAIAAgACAAIAAgACAAIAAgACAAIAAgACAAIAAgACAAIAAgACAAIAAgAFwAIgCSIbYAXAAiACAAJgAgAFwAbgAgACAAIAAgACAAIAAgACAAIAAgACAAIAAgACAAIAAgACAAIAAgACAAIAAgACAAIAAgACAAIAAgACAAIAAgACAAIAAgACAAIAAgACAAIAAgACAAIAAgAFwAIgBBAFUAUwBUAFIAQQBMAEkAQQBOACAAVABBAFgAIAAgACAAIAAgAJIhtgBcACIAIAAmACAAXABuACAAIAAgACAAIAAgACAAIAAgACAAIAAgACAAIAAgACAAIAAgACAAIAAgACAAIAAgACAAIAAgACAAIAAgACAAIAAgACAAIAAgACAAIAAgACAAIAAgACAAXAAiAEcAUwBUAEEAZABkALsDIAAgACAAIAAgACAAIAAgACAAIAAgACAAkiFBAGQAZABzACAARwBTAFQAIAB0AG8AIABvAG4AZQAgAG8AcgAgAG0AbwByAGUAIABHAFMAVAAtAGUAeABjAGwAdQBzAGkAdgBlACAAYQBtAG8AdQBuAHQAcwAuALYAXAAiACAAJgAgAFwAbgAgACAAIAAgACAAIAAgACAAIAAgACAAIAAgACAAIAAgACAAIAAgACAAIAAgACAAIAAgACAAIAAgACAAIAAgACAAIAAgACAAIAAgACAAIAAgACAAIAAgAFwAIgBHAFMAVABFAHgAdAByAGEAYwB0ALsDIAAgACAAIAAgACAAIAAgAJIhUgBlAHQAdQByAG4AcwAgAHQAaABlACAARwBTAFQAIABjAG8AbgB0AGEAaQBuAGUAZAAgAGkAbgAgAG8AbgBlACAAbwByACAAbQBvAHIAZQAgAEcAUwBUAC0AaQBuAGMAbAB1AHMAaQB2AGUAIABhAG0AbwB1AG4AdABzAC4AtgBcACIAIAAmACAAXABuACAAIAAgACAAIAAgACAAIAAgACAAIAAgACAAIAAgACAAIAAgACAAIAAgACAAIAAgACAAIAAgACAAIAAgACAAIAAgACAAIAAgACAAIAAgACAAIAAgACAAXABuACAAIAAgACAAXAAiAJIhtgBcACIAIAAmAFwAbgAgACAAIAAgAFwAIgBTAFUAQgBSAE8AVQBUAEkATgBFAFMAIAAgACAAIAAgACAAIAAgAJIhRgB1AG4AYwB0AGkAbwBuAHMAIAB1AHMAZQBkACAAYgB5ACAAbwB0AGgAZQByACAAZgB1AG4AYwB0AGkAbwBuAHMAIABvAHIAIABnAGUAbgBlAHIAYQBsACAAcAB1AHIAcABvAHMAZQAgAGYAdQBuAGMAdABpAG8AbgBzAC4AtgBcACIAIAAmACAAXABuACAAIAAgACAAXAAiAEYAaQBsAHQAZQByAEMAbwBuAHQAYQBpAG4AcwC7AyAAIAAgACAAkiFGAGkAbAB0AGUAcgAgAGEAbgAgAGEAcgByAGEAeQAgAGIAeQAgAGEAbgBvAHQAaABlAHIAIABhAHIAcgBhAHkAIAB0AGgAYQB0ACAAYwBvAG4AdABhAGkAbgBzACAAcwBwAGUAYwBpAGYAaQBjACAAdABlAHgAdAC2AFwAIgAgACYAIABcAG4AIAAgACAAIABcACIAUgBhAG4AZwBlAFQAbwBEAEEAuwMgACAAIAAgACAAIAAgACAAIACSIUMAcgBlAGEAdABlACAAYQAgAGQAeQBuAGEAbQBpAGMAIABhAHIAcgBhAHkAIABmAHIAbwBtACAAYQAgAHMAdABhAHQAaQBjACAAcgBhAG4AZwBlALYAXAAiACAAJgAgAFwAbgAgACAAIAAgAFwAIgBUAGkAbQBlAGwAaQBuAGUATwBmAGYAcwBlAHQAuwMgACAAIAAgAJIhRABlAHQAZQByAG0AaQBuAGUAcwAgAGgAbwB3ACAAbQBhAG4AeQAgAGMAbwBsAHUAbQBuAHMAIABhACAAZABhAHQAZQAgAGkAcwAgAG8AZgBmAHMAZQB0ACAAZgByAG8AbQAgAGEAIAB0AGkAbQBlAGwAaQBuAGUAJwBzACAAZgBpAHIAcwB0ACAAZABhAHQAZQC2AFwAIgAgACYAIABcAG4AIAAgACAAIABcACIAVABpAG0AZQBsAGkAbgBlAFAAbwBzAGkAdABpAG8AbgC7AyAAIACSIVAAbABhAGMAZQBzACAAYQBuACAAYQByAHIAYQB5ACAAbwByACAAdgBhAGwAdQBlACAAYQBwAHAAcgBvAHAAcgBpAGEAdABlAGwAeQAgAHcAaQB0AGgAaQBuACAAYQAgAG0AbwBkAGUAbAAnAHMAIAB0AGkAbQBlAGwAaQBuAGUALgC2AFwAIgAgACYAIAAgAFwAbgAgACAAIAAgAFwAIgBQAGUAcgBpAG8AZABTAHQAYQByAHQAuwMgACAAIAAgACAAIAAgAJIhRABlAHQAZQByAG0AaQBuAGUAIAB3AGgAZQBuACAAYQAgAHAAZQByAGkAbwBkACAAYwBvAG4AdABhAGkAbgBpAG4AZwAgAGEAIABkAGEAdABlACAAbwBmACAAaQBuAHQAZQByAGUAcwB0ACAAcwB0AGEAcgB0AHMALgC2AFwAIgAgACYAIABcAG4AIAAgACAAIABcACIAUABlAHIAaQBvAGQARABpAGYAZgC7AyAAIAAgACAAIAAgACAAIACSIUQAZQB0AGUAcgBtAGkAbgBlACAAdABoAGUAIABuAHUAbQBiAGUAcgAgAG8AZgAgAHAAZQByAGkAbwBkAHMAIABiAGUAdAB3AGUAZQBuACAAdAB3AG8AIABkAGEAdABlAHMALgBcACIALABcAG4AIAAgACAAIABcACIAkiFcACIALABcACIAtgBcACIAXABuACAAIAAgACAAKQBcAG4AKQA7AFwAbgBcAG4AXABuAFwAbgBcAG4ALwAqACAAIABGAFUATgBDAFQASQBPAE4AIABOAEEATQBFADoAIAAgAEMAbwByAGsAcwBjAHIAZQB3ALsDXABuACAAIAAgACAARABFAFMAQwBSAEkAUABUAEkATwBOADoAKgAvAC8AKgAqAEMAcgBlAGEAdABlACAAYQAgAGMAbwByAGsAcwBjAHIAZQB3ACAAcwBlAGMAdABpAG8AbgAgAHQAaABhAHQAIABzAHUAbQBzACAAdABoAGUAIABvAHAAZQBuAGkAbgBnACAAYgBhAGwAYQBuAGMAZQAgAGEAbgBkACAAdQBwACAAdABvACAANAAgAGkAbgBkAGUAcABlAG4AZABlAG4AdAAgAGYAbABvAHcAcwAuACoALwBcAG4AQwBvAHIAawBzAGMAcgBlAHcAuwM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IAGUAbABwAFwAbgAgACAAIAAgACAAIAAgACAASABlAGwAcAAsACAAIAAgACAAIAAgACAAVABSAEkATQAoAFQARQBYAFQAUwBQAEwASQBUACgAIABcAG4AIAAgACAAIAAgACAAIAAgACAAIAAgACAAIAAgACAAIAAgACAAIAAgACAAIAAgACAAXAAiAEYAVQBOAEMAVABJAE8ATgA6ACAAIAAgACAAIAAgAJIhQwBvAHIAawBzAGMAcgBlAHcAuwMoACAATwBwAGUAbgBpAG4AZwAsACAARgBsAG8AdwAxACwAIABbAEYAbABvAHcAMgBdACwAIABbAEYAbABvAHcAMwBdACwAIABbAEYAbABvAHcANABdACkAtgBcACIAIAAmAFwAbgAgACAAIAAgACAAIAAgACAAIAAgACAAIAAgACAAIAAgACAAIAAgACAAIAAgACAAIABcACIARABFAFMAQwBSAEkAUABUAEkATwBOADoAIAAgACAAkiFDAHIAZQBhAHQAZQAgAGEAIABjAG8AcgBrAHMAYwByAGUAdwAgAHMAZQBjAHQAaQBvAG4AIAB0AGgAYQB0ACAAcwB1AG0AcwAgAHQAaABlACAAbwBwAGUAbgBpAG4AZwAgAGIAYQBsAGEAbgBjAGUAIABhAG4AZAAgAHUAcAAgAHQAbwAgADQAIABpAG4AZABlAHAAZQBuAGQAZQBuAHQAIABmAGwAbwB3AHMAtgBcACIAIAAmACAAXABuACAAIAAgACAAIAAgACAAIAAgACAAIAAgACAAIAAgACAAIAAgACAAIAAgACAAIAAgAFwAIgBXAEUAQgBQAEEARwBFADoAIAAgACAAIAAgACAAIACSITwAQwBvAG0AaQBuAGcAIABTAG8AbwBuAD4AtgBcACIAIAAmACA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wB6ACAAaQBzACAAYQBzAHMAdQBtAGUAZAAgAHQAbwAgAGIAZQAgAHQAaABlACAAbQBvAGQAdQBsAGUAJwBzACAAbgBhAG0AZQC2AFwAIgAgACYAIABcAG4AIAAgACAAIAAgACAAIAAgACAAIAAgACAAIAAgACAAIAAgACAAIAAgACAAIAAgACAAXAAiAEYAbwByAG0AdQBsAGEAOgAgACAAIAAgACAAIAAgAJIhPQBvAHo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gAw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MASQBU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QAHIAaQBuAGMAaQBwAGEAbAAgACAAIAAgACAAkiEoAFIAZQBxAHUAaQByAGUAZAApACAAUAByAGkAbgBjAGkAcABhAGwAIABhAG0AbwB1AG4AdAC2AFwAIgAgACYAIABcAG4AIAAgACAAIAAgACAAIAAgACAAIAAgACAAIAAgACAAIAAgACAAIAAgACAAIAAgACAAIAAgACAAIABcACIAUgBhAHQAZQAgACAAIAAgACAAIAAgACAAIAAgAJIhKABSAGUAcQB1AGkAcgBlAGQAKQAgAEkAbgB0AGUAcgBlAHMAdAAgAHAAZQByAGMAZQBuAHQAYQBnAGUAIAByAGEAdABlAC4AIABGAG8AcgAgAHkAZQBhAHIAcwAsACAAQQBQAFIALgAgAEYAbwByACAAbQBvAG4AdABoAHMALAAgAEEAUABSAC8AMQAy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UAMgAuADYAMwAgACAAIAAgACAAIAAgACAAIAAgAJIhPQBvAHoALgBJAG4AdABPAG4ASQBuAHQAuwMoACAAMQAwADAAMAAsACAANQA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FIAYQB0AGUAKQBcAG4AIAAgACAAIAAgACAAIAAgACAAIAAgACAAIAAgACAAIAAgACAAIAAgACAAIAAgACAAKQAsAFwAbgAgACAAIAAgAC8ALwAgACAAUAByAG8AYwBlAGQAdQByAGUAXABuACAAIAAgACAAIAAgACAAIABSAGUAcwB1AGwAdAAsACAAIAAgACAAIAAgACAAIAAgAFAAcgBpAG4AYwBpAHAAYQBsACAALwAoADEALQBSAGEAdABlACkAIAAtACAAUAByAGkAbgBjAGkAcABhAGw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FIAUgC7A1wAdABcAG4AIAAgACAAIABEAEUAUwBDAFIASQBQAFQASQBPAE4AOgAqAC8AIAAvACoAKgBDAGEAbABjAHUAbABhAHQAZQBzACAASQBSAFIALAAgAGMAbwByAHIAZQBjAHQAaQBuAGcAIABmAG8AcgAgAHcAaABlAG4AIAB0AGgAZQAgAGYAaQByAHMAdAAgAGkAbgB2AGUAcwB0AG0AZQBuAHQAIABpAHMAIABuAG8AdAAgAGkAbgAgAHQAaABlACAAZgBpAHIAcwB0ACAAcABlAHIAaQBvAGQAIAAqAC8AXABuAEkAUgBSALsDIAA9ACAATABBAE0AQgBEAEEAKABcAG4AIAAgACAAIABbAFYAYQBsAHUAZQBzAF0ALABcAG4AIAAgACAAIABbAEQAYQB0AGUAcw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SAFIAuwMoACAAVgBhAGwAdQBlAHMALAAgAEQAYQB0AGUAcwApALYAXAAiACAAJgAgAFwAbgAgACAAIAAgACAAIAAgACAAIAAgACAAIAAgACAAIAAgACAAIAAgACAAIAAgACAAIAAgACAAIAAgAFwAIgBEAEUAUwBDAFIASQBQAFQASQBPAE4AOgAgACAAIACSIUMAYQBsAGMAdQBsAGEAdABlAHMAIABJAFIAUgAsACAAYwBvAHIAcgBlAGMAdABpAG4AZwAgAGYAbwByACAAdwBoAGUAbgAgAHQAaABlACAAZgBpAHIAcwB0ACAAaQBuAHYAZQBzAHQAbQBlAG4AdAAgAGkAcwAgAG4AbwB0ACAAaQBuACAAdABoAGUAIABmAGkAcgBzAHQAIABwAGUAcgBpAG8AZAC2AFwAIgAgACYAIABcAG4AIAAgACAAIA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GkAbgB2AGUAcwB0AG0AZQBuAHQAcwAgACgAbgBlAGcAYQB0AGkAdgBlACkAIABhAG4AZAAgAGQAaQBzAHQAcgBpAGIAdQB0AGkAbwBuAHMAIAAoAHAAbwBzAGkAdABpAHYAZQApALYAXAAiACAAJgAgAFwAbgAgACAAIAAgACAAIAAgACAAIAAgACAAIAAgACAAIAAgACAAIAAgACAAIAAgACAAIAAgACAAIAAgACAAIAAgACAAIAAgACAAIAAgACAAIAAgACAAIAAgAFwAIgCSIVQAaABlACAAZgBpAHIAcwB0ACAAZQBuAHQAcgB5ACwAIAB3AGgAZQB0AGgAZQByACAAMAAgAG8AcgAgAGEAbgAgAGEAbQBvAHUAbgB0ACwAIABtAHUAcwB0ACAAYgBlACAAZgBvAHIAIAB0AGgAZQAgAGYAaQByAHMAdAAgAHAAZQByAGkAbwBkACAAaQBuACAAdABoAGUAIAB0AGkAbQBlAGwAaQBuAGUAtgBcACIAIAAmACAAXABuACAAIAAgACAAIAAgACAAIAAgACAAIAAgACAAIAAgACAAIAAgACAAIAAgACAAIAAgACAAIAAgACAAIAAgACAAIAAgACAAIAAgACAAIAAgACAAIAAgACAAXAAiAJIhYQBuAGQAIABzAHUAYgBzAGUAcQB1AGUAbgB0ACAAZQBuAHQAcgBpAGUAcwAgAG0AdQBzAHQAIABjAG8AcgByAGUAcwBwAG8AbgBkACAAdABvACAAcABlAHIAaQBvAGQAcwAgAGkAbgAgAHQAaABlACAAdABpAG0AZQBsAGkAbgBlADsAIABoAG8AdwBlAHYAZQByACwAtgBcACIAIAAmACAAXABuACAAIAAgACAAIAAgACAAIAAgACAAIAAgACAAIAAgACAAIAAgACAAIAAgACAAIAAgACAAIAAgACAAIAAgACAAIAAgACAAIAAgACAAIAAgACAAIAAgACAAXAAiAJIhdABoAGUAIAB0AGkAbQBlAGwAaQBuAGUAIABtAGEAeQAgAGUAeAB0AGUAbgBkACAAYgBlAHkAbwBuAGQAIAB0AGgAZQAgAGUAbgBkACAAbwBmACAAdgBhAGwAdQBlAHMALgC2AFwAIgAgACYAIABcAG4AIAAgACAAIAAgACAAIAAgACAAIAAgACAAIAAgACAAIAAgACAAIAAgACAAIAAgACAAIAAgACAAIABcACIARABhAHQAZQBzACAAIAAgACAAIAAgACAAIAAgACAAkiEoAFIAZQBxAHUAaQByAGUAZAApACAAQQAgAHQAaQBtAGUAbABpAG4AZQAgAGYAbwByACAAdwBoAGUAbgAgAGUAYQBjAGgAIABpAG4AdgBlAHMAdABtAGUAbgB0ACAAaQBzACAAbQBhAGQAZQC2AFwAIgAgACYAIA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RABhAHQAZQBzACAAIAAgACAAIAAgACAAIAAgACAAkiE9AEUARABBAFQARQAoAFwAIgBcACIAMQAvADcALwAyADAAMgA2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UAJQAgACAAIAAgACAAIAAgACAAIAAgACAAIACSIT0AbwB6AC4ASQBSAFIAuwMoACAAVgBhAGwAdQBlAHMALAAgAEQAYQB0AGUAcw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BcAG4AIAAgACAAIAAgACAAIAAgACAAIAAgACAAIAAgACAAIAAgACAAIAAgACAAIAAgACAAKQAsAFwAbgAgACAAIAAgAC8ALwAgACAAUwBlAHQAIABEAGUAZgBhAHUAbAB0AHMAXABuACAAIAAgACAAIAAgACAAIABWAGEAbAB1AGUAcwAsACAAIAAgACAAIAAgACAAIAAgAEUAWABQAEEATgBEACgAVgBBAEwAVQBFAFMALAAgADEALAAgAEMATwBVAE4AVABBACgARABhAHQAZQBzACkALAAgADAAKQAsAFwAbgAgACAAIAAgAC8ALwAgACAAUAByAG8AYwBlAGQAdQByAGUAXABuACAAIAAgACAAIAAgACAAIABGAGkAbAB0AGUAcgBCAHkALAAgACAAIAAgACAAIAAgAFYAYQBsAHUAZQBzACAAPAA+ACAAMAAsAFwAbgAgACAAIAAgACAAIAAgACAARgBpAGwAdABlAHIAZQBkAFYAYQBsAHUAZQBzACwAIABGAEkATABUAEUAUgAoACAAVgBhAGwAdQBlAHMALAAgAEYAaQBsAHQAZQByAEIAeQApACwAIABcAG4AIAAgACAAIAAgACAAIAAgAEYAaQBsAHQAZQByAGUAZABEAGEAdABlAHMALAAgACAARgBJAEwAVABFAFIAKAAgAEQAYQB0AGUAcwAsACAARgBpAGwAdABlAHIAQgB5ACkALAAgAFwAbgAgACAAIAAgACAAIAAgACAAUgBlAHMAdQBsAHQALAAgACAAIAAgACAAIAAgACAAIABYAEkAUgBSACgAIABGAGkAbAB0AGUAcgBlAGQAVgBhAGwAdQBlAHMALAAgAEYAaQBsAHQAZQByAGUAZABEAGEAdABlAHMAKQAsACAAXABuACAAIAAgACAALwAvACAAIABSAGUAdAB1AHIAbgAgAFIAZQBzAHUAbAB0AFwAbgAgACAAIAAgACAAIAAgACAAQwBIAE8ATwBTAEUAKABIAGUAbABwAD8AIAArACAAMQAsACAAUgBlAHMAdQBsAHQALAAgAEgAZQBsAHAAKQBcAG4AIAAgACAAIAApACAAXABuACkAOwBcAG4AXABuAFwAbgBcAG4ALwAqACAAIABGAFUATgBDAFQASQBPAE4AIABOAEEATQBFADoAIAAgAE0AbwB2AGUAbQBlAG4AdAC7A1wAbgAgACAAIAAgAEQARQBTAEMAUgBJAFAAVABJAE8ATgA6ACoALwAvACoAKgBDAHIAZQBhAHQAZQAgAGEAIAByAG8AdwAgAG8AZgAgAGQAaQBmAGYAZQByAGUAbgBjAGUAcwAgAGYAcgBvAG0AIABjAG8AbAB1AG0AbgAgAHQAbwAgAGMAbwBsAHUAbQBuACoALwBcAG4ATQBvAHYAZQBtAGUAbgB0ALsDIAA9ACAATABBAE0AQgBEAEEAKABcAG4ALwAvACAAIABQAGEAcgBhAG0AZQB0AGUAcgAgAEQAZQBjAGwAYQByAGEAdABpAG8AbgBzAFwAbgAgACAAIAAgAFsAQgBlAGcAaQBuAG4AaQBuAGcAVgBhAGwAdQBlAHMAXQAsAFwAbgAgACAAIAAgAFsAVgBhAGwAdQBlAHMAXQAsACAAIAAgACAAXABuAC8ALwAgACAASABlAGwAcABcAG4AIAAgACAAIABMAEUAVAAoAEgAZQBsAHAALAAgACAAIAAgACAAIAAgAFQAUgBJAE0AKABUAEUAWABUAFMAUABMAEkAVAAoACAAXABuACAAIAAgACAAIAAgACAAIAAgACAAIAAgACAAIAAgACAAIAAgACAAIAAgACAAIAAgACAAIAAgACAAXAAiAEYAVQBOAEMAVABJAE8ATgA6ACAAIAAgACAAIAAgAJIhTQBvAHYAZQBtAGUAbgB0ALsDKAAgAFsAQgBlAGcAaQBuAG4AaQBuAGcAVgBhAGwAdQBlAHMAXQAsACAAVgBhAGwAdQBlAHMAKQC2AFwAIgAgACYAXABuACAAIAAgACAAIAAgACAAIAAgACAAIAAgACAAIAAgACAAIAAgACAAIAAgACAAIAAgACAAIAAgACAAXAAiAEQARQBTAEMAUgBJAFAAVABJAE8ATgA6ACAAIAAgAJIhQwByAGUAYQB0AGUAIABhACAAcgBvAHcAIABvAGYAIABkAGkAZgBmAGUAcgBlAG4AYwBlAHMAIABmAHIAbwBtACAAYwBvAGwAdQBtAG4AIAB0AG8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IAZQBnAGkAbgBuAGkAbgBnAFYAYQBsAHUAZQBzAJIhKABPAHAAdABpAG8AbgBhAGwAKQAgAEQAZQBmAGEAdQBsAHQAcwAgAHQAbwAgADAAtgBcACIAIAAmACAAXABuACAAIAAgACAAIAAgACAAIAAgACAAIAAgACAAIAAgACAAIAAgACAAIAAgACAAIAAgACAAIAAgACAAXAAiAFYAYQBsAHUAZQBzACAAIAAgACAAIAAgACAAIAAgAJIhKABSAGUAcQB1AGkAcgBlAGQAKQAgAEEAIAByAG8Adw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wADAALAAxADAALAAyADAALAAtADMAMAAgACAAkiE9AG8AegAuAE0AbwB2AGUAbQBlAG4AdAC7AygALAB7ADEAMAAwACwAMQAxADAALAAxADMAMAAsADEAMAAwAH0ALAAgADQ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G8AbAB1AG0AbgBzACgAIABWAGEAbAB1AGUAcwApACwAXABuACAAIAAgACAAIAAgACAAIABTAGUAcQAsACAAIAAgACAAIAAgACAAIAAgACAAIAAgAFMARQBRAFUARQBOAEMARQAoACwAIABDAG8AbABzACkALABcAG4AIAAgACAAIAAgACAAIAAgAFIAZQBzAHUAbAB0ACwAIAAgACAAIAAgACAAIAAgACAAUgBFAEQAVQBDAEUAKAAwACwAIABTAEUAUQBVAEUATgBDAEUAKAAgAFIAbwB3AHMAKQAsACAAXABuACAAIAAgACAAIAAgACAAIAAgACAAIAAgACAAIAAgACAAIAAgACAAIAAgACAAIAAgACAAIAAgACAATABBAE0AQgBEAEEAKAAgAEEAYwBjACwAIABSACwAIABcAG4AIAAgACAAIAAgACAAIAAgACAAIAAgACAAIAAgACAAIAAgACAAIAAgACAAIAAgACAAIAAgACAAIAAgACAAIAAgAEwARQBUACgAXABuACAAIAAgACAAIAAgACAAIAAgACAAIAAgACAAIAAgACAAIAAgACAAIAAgACAAIAAgACAAIAAgACAAIAAgACAAIAAgACAAIAAgAEIAZQBnAGkAbgAsACAAIAAgACAAIAAgAEkAZgAoACAAUgBPAFcAUwAoAEIAZQBnAGkAbgBuAGkAbgBnAFYAYQBsAHUAZQBzACkAIAA9ACAAMQAsACAAQgBlAGcAaQBuAG4AaQBuAGcAVgBhAGwAdQBlAHMALAAgAEkATgBEAEUAWAAoACAAQgBlAGcAaQBuAG4AaQBuAGcAVgBhAGwAdQBlAHMALAAgAFIAKQApACwAXABuACAAIAAgACAAIAAgACAAIAAgACAAIAAgACAAIAAgACAAIAAgACAAIAAgACAAIAAgACAAIAAgACAAIAAgACAAIAAgACAAIAAgAFIAbwB3ACwAIAAgACAAIAAgACAAIAAgAEMASABPAE8AUwBFAFIATwBXAFMAKAAgAFYAYQBsAHUAZQBzACwAIABSACkALAAgAFwAbgAgACAAIAAgACAAIAAgACAAIAAgACAAIAAgACAAIAAgACAAIAAgACAAIAAgACAAIAAgACAAIAAgACAAIAAgACAAIAAgACAAIABOAGUAdwBSAG8AdwAsACAAIAAgACAAIABTAEMAQQBOACgAIABCAGUAZwBpAG4ALAAgAFMAZQBxACwAIABcAG4AIAAgACAAIAAgACAAIAAgACAAIAAgACAAIAAgACAAIAAgACAAIAAgACAAIAAgACAAIAAgACAAIAAgACAAIAAgACAAIAAgACAAIAAgACAAIAAgACAAIAAgACAAIAAgACAAIAAgACAAIABMAEEATQBCAEQAQQAoACAAQQAsACAAQwAsAFwAbgAgACAAIAAgACAAIAAgACAAIAAgACAAIAAgACAAIAAgACAAIAAgACAAIAAgACAAIAAgACAAIAAgACAAIAAgACAAIAAgACAAIAAgACAAIAAgACAAIAAgACAAIAAgACAAIAAgACAAIAAgACAAIAAgACAASQBOAEQARQBYACgAIABSAG8AdwAsACAAQwAgACkAIAAtACAASQBGACgAIABDACAAPQAgADEALAAgAEEALAAgAEkATgBEAEUAWAAoACAAUgBvAHcALAAgAEMAIAAtACAAMQAp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AsAFwAbgAgACAAIAAgACAAIAAgACAAIAAgACAAIAAgACAAIAAgACAAIAAgACAAIAAgACAAIAAgACAAIAAgACAAIAAgACAAIAAgACAAIABSAGUAcwB1AGwAdAAsACAAIAAgACAAIABJAEYAKAAgAFIAIAA9ACAAMQAsACAATgBlAHcAUgBvAHcALAAgAFYAUwBUAEEAQwBLACgAQQBjAGMALAAgAE4AZQB3AFIAbwB3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ZQB2AGUAcgBzAGEAbAC7A1wAbgAgACAAIAAgAEQARQBTAEMAUgBJAFAAVABJAE8ATgA6ACoALwAvACoAKgBDAHIAZQBhAHQAZQAgAGEAIAByAG8AdwAgAHQAaABhAHQAIAByAGUAdgBlAHIAcwBlAHMAIABpAG4AcAB1AHQAIAB2AGEAbAB1AGUAcwAgAGkAbgAgAHQAaABlACAAbgBlAHgAdAAgAHAAZQByAGkAbwBkAC4AKgAvAFwAbgBSAGUAdgBlAHIAcwBhAGwAuwMgAD0AIABMAEEATQBCAEQAQQAoAFwAbgAvAC8AIAAgAFAAYQByAGEAbQBlAHQAZQByACAARABlAGMAbABhAHIAYQB0AGkAbwBuAHMAXABuACAAIAAgACAAWwBPAHAAZQBuAGkAbgBnAFYAYQBsAHUAZQBdACwAXABuACAAIAAgACAAWwBSAG8AdwBUAG8AUgBlAHYAZQByAHMAZQBdACwAIAAgACAAIABcAG4ALwAvACAAIABIAGUAbABwAFwAbgAgACAAIAAgAEwARQBUACgASABlAGwAcAAsACAAIAAgACAAIAAgACAAVABSAEkATQAoAFQARQBYAFQAUwBQAEwASQBUACgAIABcAG4AIAAgACAAIAAgACAAIAAgACAAIAAgACAAIAAgACAAIAAgACAAIAAgACAAIAAgACAAIAAgACAAIABcACIARgBVAE4AQwBUAEkATwBOADoAIAAgACAAIAAgACAAkiFSAGUAdgBlAHIAcwBhAGwAuwMoACAAWwBPAHAAZQBuAGkAbgBnAFYAYQBsAHUAZQBdACwAIABSAG8AdwBUAG8AUgBlAHYAZQByAHMAZQApALYAXAAiACAAJgBcAG4AIAAgACAAIAAgACAAIAAgACAAIAAgACAAIAAgACAAIAAgACAAIAAgACAAIAAgACAAIAAgACAAIABcACIARABFAFMAQwBSAEkAUABUAEkATwBOADoAIAAgACAAkiFDAHIAZQBhAHQAZQAgAGEAIAByAG8AdwAgAHQAaABhAHQAIAByAGUAdgBlAHIAcwBlAHMAIABpAG4AcAB1AHQAIAB2AGEAbAB1AGUAcwAgAGkAbgAgAHQAaABlACAAbgBlAHgAdAAgAHAAZQByAGkAbwBk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PAHAAZQBuAGkAbgBnAFYAYQBsAHUAZQAgACAAIACSISgATwBwAHQAaQBvAG4AYQBsACkAIABEAGUAZgBhAHUAbAB0AHMAIAB0AG8AIAAwALYAXAAiACAAJgAgAFwAbgAgACAAIAAgACAAIAAgACAAIAAgACAAIAAgACAAIAAgACAAIAAgACAAIAAgACAAIAAgACAAIAAgAFwAIgBSAG8AdwBUAG8AUgBlAHYAZQByAHMAZQAgACAAIACSISgAUgBlAHEAdQBpAHIAZQBkACkAIABBACAAcgBvAHcAIABvAGYAIAB2AGEAbAB1AGUAcwAgAHQAbwAgAHIAZQB2AGUAcgBzAGUAIAB0AGgAZQAgAGYAbwBsAGwAbwB3AGkAbgBnACAAcABlAHIAaQBvAGQAcw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tADEAMAAwACwALQAxADEAMAAsAC0AMQAzADAAIACSIT0AbwB6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vAHQAYQBsAHMAIAAgACAAIAAgACAAIAAgACAAkiEoAFIAZQBxAHUAaQByAGUAZAApACAAQQAgAHIAbwB3ACAAbwByACAAYwBvAGwAdQBtAG4AIABvAGYAIAB0AG8AdABhAGwAcwAgAGYAcgBvAG0AIAB3AGgAaQBjAGgAIAB0AG8AIAByAHUAbgAgAGMAdQBtAHUAbABhAHQAaQB2AGUAIAB0AG8AdABhAGwAcwC2AFwAIgAgACYAIABcAG4AIAAgACAAIAAgACAAIAAgACAAIAAgACAAIAAgACAAIAAgACAAIAAgACAAIAAgACAAIAAgACAAIABcACIATwBwAGUAbgBpAG4AZwBCAGEAbABhAG4AYwBlACAAkiEoAE8AcAB0AGkAbwBuAGEAbAApACAAQQAgAHMAdABhAHIAdABpAG4AZwAgAGIAYQBsAGEAbgBjAGUALgAgAFQAaABpAHMAIABkAGUAZgBhAHUAbAB0AHMAIAB0AG8AIAAw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LAAzACwANgAgACAAIAAgACAAIAAgACAAIAAgAJIhPQBvAHoALgBDAHUAbQB1AGwAYQB0AGkAdgBlALsDKABTAGUAcQB1AGUAbgBjAGUAKAAsADMAK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QAbwB0AGEAbABzACkALABcAG4AIAAgACAAIAAvAC8AIAAgAFAAcgBvAGMAZQBkAHUAcgBlAFwAbgAgACAAIAAgACAAIAAgACAAUgBlAHMAdQBsAHQALAAgACAAIAAgACAAIAAgACAAIABTAEMAQQBOACgAIABPAHAAZQBuAGkAbgBnAEIAYQBsAGEAbgBjAGUALAAgAFQAbwB0AGEAbABzACwAIABMAEEATQBCAEQAQQAoAFAAcgBlAHYAaQBvAHUAcwBBAG0AbwB1AG4AdAAsACAAQwB1AHIAcgBlAG4AdABBAG0AbwB1AG4AdAAsACAAUAByAGUAdgBpAG8AdQBzAEEAbQBvAHUAbgB0ACAAKwAgAEMAdQByAHIAZQBuAHQAQQBtAG8AdQBuAHQ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vAGwAbABpAG4AZwBBAHYAZwC7A1wAbgAgACAAIAAgAEQARQBTAEMAUgBJAFAAVABJAE8ATgA6ACoALwAvACoAKgBDAHIAZQBhAHQAZQBzACAAQQB2AGUAcgBhAGcAZQBzACAAZgBvAHIAIABwAHIAZQBjAGUAZABpAG4AZwAgAHYAYQBsAHUAZQBzACAAbwBmACAAYQAgAHMAZQB0ACAAcwBpAHoAZQAgAG0AbwB2AGkAbgBnACAAZgByAG8AbQAgAGIAZQBnAGkAbgBuAGkAbgBnACAAdABvACAAZQBuAGQAIABvAHYAZQByACAAYQAgAHIAbwB3ACAAbwBmACAAdgBhAGwAdQBlAHMALgAqAC8AXABuAFIAbwBsAGwAaQBuAGcAQQB2AGc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QQB2AGcAuwMoACAAVgBhAGwAdQBlAHMALAAgAFMAaQB6AGUAKQC2AFwAIgAgACYAXABuACAAIAAgACAAIAAgACAAIAAgACAAIAAgACAAIAAgACAAIAAgACAAIAAgACAAIAAgACAAIAAgACAAXAAiAEQARQBTAEMAUgBJAFAAVABJAE8ATgA6ACAAIAAgAJIhQwByAGUAYQB0AGUAcwAgAGEAdgBlAHIAYQBnAGU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EAdgBlAHIAYQBnAGUAZAAuALYAXAAiACAAJgAgAFwAbgAgACAAIAAgACAAIAAgACAAIAAgACAAIAAgACAAIAAgACAAIAAgACAAIAAgACAAIAAgACAAIAAgAFwAIgBTAGkAegBlACAAIAAgACAAIAAgACAAIAAgACAAIACSISgAUgBlAHEAdQBpAHIAZQBkACkAIABUAGgAZQAgAG4AdQBtAGIAZQByACAAbwBmACAAdgBhAGwAdQBlAHMAIAB0AG8AIABhAHYAZQByAGEAZwBl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LAAxAC4ANQAsADIALAAzACwANAAgACAAIAAgAJIhPQBvAHoALgBSAG8AbABsAGkAbgBnAEEAdgBn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EAVgBFAFIAQQBHAEU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EAeAC7A1wAbgAgACAAIAAgAEQARQBTAEMAUgBJAFAAVABJAE8ATgA6ACoALwAvACoAKgBDAHIAZQBhAHQAZQBzACAAdABoAGUAIABtAGEAeABpAG0AdQBtACAAZgBvAHIAIABwAHIAZQBjAGUAZABpAG4AZwAgAHYAYQBsAHUAZQBzACAAbwBmACAAYQAgAHMAZQB0ACAAcwBpAHoAZQAgAG0AbwB2AGkAbgBnACAAZgByAG8AbQAgAGIAZQBnAGkAbgBuAGkAbgBnACAAdABvACAAZQBuAGQAIABvAHYAZQByACAAYQAgAHIAbwB3ACAAbwBmACAAdgBhAGwAdQBlAHMALgAqAC8AXABuAFIAbwBsAGwAaQBuAGcATQBhAHg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hAHgAuwMoACAAVgBhAGwAdQBlAHMALAAgAFMAaQB6AGUAKQC2AFwAIgAgACYAXABuACAAIAAgACAAIAAgACAAIAAgACAAIAAgACAAIAAgACAAIAAgACAAIAAgACAAIAAgACAAIAAgACAAXAAiAEQARQBTAEMAUgBJAFAAVABJAE8ATgA6ACAAIAAgAJIh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EAeA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sADUALAA1ACwANgAsADYALAA3ACAAIAAgACAAkiE9AG8Ae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BAFg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kAbgBu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CwAMwAsADMALAAzACwAMgAsADIAIAAgACAAIACSIT0AbwB6AC4AUgBvAGwAbABpAG4AZwBNAGkAbg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kATg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wAOQAsADEAMgAgACAAIAAgACAAkiE9AG8Ae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TABVAE0ATgBT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TAFUAT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IAAgACAAIAAgACAAIAAgACAAIAAgACAAIAAgACAAkiE9AG8Ae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gBFAFIAUwBJAE8ATgA6ACAAIAAgACAAIAAgACAAkiEyADAAIABBAHUAZwAgADIAMAAyADY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AAzACwAIAAwADcAIAAgACAAIAAgACAAIAAgACAAkiE9AG8Ae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FwAbgAgACAAIAAgACAAIAAgACAAUAByAGQATgB1AG0ALAAgACAAIAAgACAAIAAgACAAIABNAEEAVABDAEgAKABEAGEAdABlAHMALAAgAFAAZQByAGkAbwBkAFMAdABhAHIAdABzACwAIAAxACkALABcAG4AIAAgACAAIAAgACAAIAAgAFIAZQBzAHUAbAB0ACwAIAAgACAAIAAgACAAIAAgACAATQBBAEsARQBBAFIAUgBBAFkAKABcAG4AIAAgACAAIAAgACAAIAAgACAAIAAgACAAIAAgACAAIAAgACAAIAAgACAAIAAgACAAIAAgACAAIABSAE8AVwBTACgAVgBhAGwAdQBlAHMAKQAsAFwAbgAgACAAIAAgACAAIAAgACAAIAAgACAAIAAgACAAIAAgACAAIAAgACAAIAAgACAAIAAgACAAIAAgAEMATwBMAFUATQBOAFMAKABQAGUAcgBpAG8AZABTAHQAYQByAHQAcwApACwAXABuACAAIAAgACAAIAAgACAAIAAgACAAIAAgACAAIAAgACAAIAAgACAAIAAgACAAIAAgACAAIAAgACAATABBAE0AQgBEAEEAKABcAG4AIAAgACAAIAAgACAAIAAgACAAIAAgACAAIAAgACAAIAAgACAAIAAgACAAIAAgACAAIAAgACAAIAAgACAAIAAgAFIAbwB3ACwAIABcAG4AIAAgACAAIAAgACAAIAAgACAAIAAgACAAIAAgACAAIAAgACAAIAAgACAAIAAgACAAIAAgACAAIAAgACAAIAAgAEMAbwBsACwAIABcAG4AIAAgACAAIAAgACAAIAAgACAAIAAgACAAIAAgACAAIAAgACAAIAAgACAAIAAgACAAIAAgACAAIAAgACAAIAAgAFMAVQBNACgASQBOAEQARQBYACgAVgBhAGwAdQBlAHMALAAgAFIAbwB3ACwAIAApACAAKgAgACgAQwBvAGwAIAA9ACAAUAByAGQATgB1AG0AKQApAFwAbgAgACAAIAAgACAAIAAgACAAIAAgACAAIAAgACAAIAAgACAAIAAgACAAIAAgACAAIAAgACAAIAAgACAAIAAgACAAKQBcAG4AIAAgACAAIAAgACAAIAAgACAAIAAgACAAIAAgACAAIAAgACAAIAAgACAAIAAgACAAKQAsACAAIAAgACAAIAAgACAAIAAgACAAIAAg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UABhAHkAbQBlAG4AdABzACAAYQByAGUAIABhAHMAcwB1AG0AZQBkACAAbQBvAG4AdABoAGwAeQAuACAATwBuACAAcABlAHIAaQBvAGQAcwAgAHMAaABvAHIAdABlAHIAIAB0AGgAYQBuACAAYQAgAG0AbwBuAHQAaAAgAHQAaABlACAAZgBpAGcAdQByAGUAcwAgAGYAbwByACAAZQBhAGMAaAAgAG0AbwBuAHQAaAAgAGwAYQBuAGQAIABpAG4AIAB0AGgAZQAgAHAAZQByAGkAbwBkACAAaABvAGwAZABpAG4AZwAgAGkAdABzACAAcwB0AGEAcgB0ACwAIAB0AGgAZQAgAHIAZQBzAHQAIABuAGkAbAAuALYAXAAiACAAJgBcAG4AIAAgACAAIAAgACAAIAAgACAAIAAgACAAIAAgACAAIAAgACAAIAAgACAAIAAgACAAIAAgACAAIAAgACAAIAAgACAAIAAgACAAIAAgACAAXAAiAJIhVQBzAGUAIABMAGEAYgBlAGw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QQBtAG8AcgB0AGkAcwBlALsDKAAxADAAMAAwADAALAAgADUAJQAsACAANAAgACoAIAAxADIALAAgAFwAIgBcACIAMgAwADIANgAtADAANw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EAHAAUAAsACAAIAAgACAAIAAgACAAIAAgACAAIAAgACAAIAAgACAAUwBlAGMAbwBuAGQAUABlAHIAaQBvAGQAIAAtACAARgBpAHIAcwB0AFAAZQByAGkAbwBkACwAIAAgACAAIAAgACAAIAAgACAAIAAgACAAIAAgACAAIAAgAC8ALwBEAGEAeQBzACAAUABlAHIAIABQAGUAcgBpAG8AZABcAG4AIAAgACAAIAAgACAAIAAgAEwAYQBzAHQARwBhAHAALAAgACAAIAAgACAAIAAgACAAIAAgACAAIABNAEEAWAAoACAAVABpAG0AZQBsAGkAbgBlACkAIAAtACAASQBOAEQARQBYACgAIABUAGkAbQBlAGwAaQBuAGUALAAgAEMATwBVAE4AVABBACgAIABUAGkAbQBlAGwAaQBuAGUAKQAgAC0AIAAxACkALABcAG4AIAAgACAAIAAgACAAIAAgAFMAdQBiAE0AbwBuAHQAaABsAHkAPwAsACAAIAAgACAAIAAgACAAIABEAHAAUAAgADwAIAAyADgALAAgACAAIAAgACAAIAAgACAAIAAgACAAIAAgACAAIAAgACAAIAAgACAAIAAgACAAIAAgACAAIAAgACAAIAAgACAAIAAgACAALwAvAE4AbwAgAG0AbwBuAHQAaAAgAGkAcwAgAHMAaABvAHIAdABlAHIAXABuACAAIAAgACAAIAAgACAAIABNAHAAUAAsACAAIAAgACAAIAAgACAAIAAgACAAIAAgACAAIAAgACAATQBBAFgAKAAgAEAAUgBPAFUATgBEACgAIABEAHAAUAAgAC8AIABBAEQAcABNACwAIAAwACkALAAgADEAKQAsACAAIAAgACAAIAAgACAAIAAgACAAIAAgAC8ALwBNAG8AbgB0AGgAcwAgAFAAZQByACAAUABlAHIAaQBvAGQALAAgAG4AZQB2AGUAcgAgAG4AbwB1AGcAaAB0AFwAbgBcAG4AIAAgACAAIAAvAC8AIAAgAFIAZQBjAHUAcgBzAGkAdgBlACAAZgB1AG4AYwB0AGkAbwBuACAAKABmAG4AKQAgAGQAZQBmAGkAbgBpAHQAaQBvAG4AXABuACAAIAAgACAAIAAgACAAIABSAGUAYwB1AHIAcwBpAG8AbgAsACAAXABuACAAIAAgACAAIAAgACAAIAAgACAAIAAgAEwAQQBNAEIARABBACgAIABmAG4ALAAgAFAAcgBpAG4AYwBpAHAAYQBsAHMALAAgAEEAUABSAHMALAAgAFQAZQByAG0AcwAsACAAUwB0AGEAcgB0AEQAYQB0AGUAcwAsACAAVABpAG0AZQBsAGkAbgBlACwAIABBAHMAcwBlAHQALABcAG4AIAAgACAAIAAgACAAIAAgACAAIAAgACAAIAAgACAAIABMAEUAVAAoAFwAbgAgACAAIAAgACAAIAAgACAAIAAgACAAIAAgACAAIAAgAC8ALwAgACAAQwByAGUAYQB0AGUAIABpAG4AZABpAHYAaQBkAHUAYQBsACAAVgBhAGwAdQBlAHMAIABmAHIAbwBtACAAYQByAHIAYQB5AFwAbgAgACAAIAAgACAAIAAgACAAIAAgACAAIAAgACAAIAAgACAAIAAgACAAUAByAGkAbgBjAGkAcABhAGwALAAgACAAIAAgACAAIAAgACAAIAAgAEkATgBEAEUAWAAoACAAUAByAGkAbgBjAGkAcABhAGwAcwAsACAAQQBzAHMAZQB0ACkALAAgAFwAbgAgACAAIAAgACAAIAAgACAAIAAgACAAIAAgACAAIAAgACAAIAAgACAAQQBQAFIALAAgACAAIAAgACAAIAAgACAAIAAgACAAIAAgACAAIAAgAEkATgBEAEUAWAAoACAAQQBQAFIAcwAsACAAQQBzAHMAZQB0ACkALAAgAFwAbgAgACAAIAAgACAAIAAgACAAIAAgACAAIAAgACAAIAAgACAAIAAgACAAVABlAHIAbQAsACAAIAAgACAAIAAgACAAIAAgACAAIAAgACAAIAAgAEkATgBEAEUAWAAoACAAVABlAHIAbQBzACwAIABBAHMAcwBlAHQAKQAsACAAIABcAG4AIAAgACAAIAAgACAAIAAgACAAIAAgACAAIAAgACAAIAAgACAAIAAgAFMAdABhAHIAdABEAGEAdABlACwAIAAgACAAIAAgACAAIAAgACAAIABJAE4ARABFAFgAKAAgAFMAdABhAHIAdABEAGEAdABlAHMALAAgAEEAcwBzAGUAdAApACwAIABcAG4AXABuACAAIAAgACAAIAAgACAAIAAgACAAIAAgACAAIAAgACAALwAvACAAIABBAGQAagB1AHMAdAAgAGkAbgBwAHUAdABzACAAdABvACAAbQBhAHQAYwBoACAAdABpAG0AZQBsAGkAbgBlAFwAbgAgACAAIAAgACAAIAAgACAAIAAgACAAIAAgACAAIAAgACAAIAAgACAAUABlAHIAaQBvAGQAcwAsACAAIAAgACAAIAAgACAAIAAgACAAIAAgAFIATwBVAE4ARABVAFAAKABUAGUAcgBtACAALwAgAE0AcABQACwAIAAwACkALABcAG4AIAAgACAAIAAgACAAIAAgACAAIAAgACAAIAAgACAAIAAgACAAIAAgAFIAbwB3AHMALAAgACAAIAAgACAAIAAgACAAIAAgACAAIAAgACAAIAAxACwAXABuACAAIAAgACAAIAAgACAAIAAgACAAIAAgACAAIAAgACAAIAAgACAAIABDAG8AbABzACwAIAAgACAAIAAgACAAIAAgACAAIAAgACAAIAAgACAAUABlAHIAaQBvAGQAcwAsAFwAbgBcAG4AIAAgACAAIAAgACAAIAAgACAAIAAgACAAIAAgACAAIAAvAC8AIAAgAEMAYQBsAGMAdQBsAGEAdABlACAAZgBvAHIAIABlAGEAYwBoACAAbQBvAG4AdABoAFwAbgAgACAAIAAgACAAIAAgACAAIAAgACAAIAAgACAAIAAgACAAIAAgACAAUgBhAHQAZQAsACAAIAAgACAAIAAgACAAIAAgACAAIAAgACAAIAAgAEEAUABSACAALwAgAE0AcABZACwAXABuACAAIAAgACAAIAAgACAAIAAgACAAIAAgACAAIAAgACAAIAAgACAAIABNAG8AbgB0AGgAbAB5AFAAYQB5AG0AZQBuAHQALAAgACAAIAAgACAAUABNAFQAKAAgAFIAYQB0AGUALAAgAFQAZQByAG0ALAAgAFAAcgBpAG4AYwBpAHAAYQBsACkALAAgACAAIAAgAFwAbgAgACAAIAAgACAAIAAgACAAIAAgACAAIAAgACAAIAAgACAAIAAgACAATQBvAG4AdABoAGwAeQBQAHIAaQBuAGMAaQBwAGEAbAAsACAAIAAgAC0ARgBWACgAUgBhAHQAZQAsACAAUwBFAFEAVQBFAE4AQwBFACgAIAAxACwAIABUAGUAcgBtACwAIAAwACkALAAgAE0AbwBuAHQAaABsAHkAUABhAHkAbQBlAG4AdAAsACAAUAByAGkAbgBjAGkAcABhAGwAKQAsAFwAbgAgACAAIAAgACAAIAAgACAAIAAgACAAIAAgACAAIAAgACAAIAAgACAATQBvAG4AdABoAGwAeQBJAG4AdABlAHIAZQBzAHQALAAgACAAIAAgAE0AbwBuAHQAaABsAHkAUAByAGkAbgBjAGkAcABhAGwAIAAqACAAUgBhAHQAZQAsAFwAbgBcAG4AIAAgACAAIAAgACAAIAAgACAAIAAgACAAIAAgACAAIAAvAC8AIAAgAEMAbwBuAHYAZQByAHQAIAB0AG8AIABUAGkAbQBlAGwAaQBuAGUAIABQAGUAcgBpAG8AZABzAFwAbgAgACAAIAAgACAAIAAgACAAIAAgACAAIAAgACAAIAAgACAAIAAgACAARABlAGIAdABJAHMAcwB1AGUAQQByAHIAYQB5ACwAIAAgACAAIAAgAEUAWABQAEEATgBEACgAUAByAGkAbgBjAGkAcABhAGwALAAgADEALAAgAFAAZQByAGkAbwBkAHMALAAgADAAKQAsAFwAbgAgACAAIAAgACAAIAAgACAAIAAgACAAIAAgACAAIAAgACAAIAAgACAAUAByAGkAbgBjAGkAcABhAGwAQQByAHIAYQB5ACwAIAAgACAAIAAgAEkARgAoACAATQBwAFAAIAA9ACAAMQAsACAAXABuACAAIAAgACAAIAAgACAAIAAgACAAIAAgACAAIAAgACAAIAAgACAAIAAgACAAIAAgACAAIAAgACAAIAAgACAAIAAgACAAIAAgACAAIAAgACAAIAAgACAAIABNAG8AbgB0AGgAbAB5AFAAcgBpAG4AYwBpAHAAYQBs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BMAEUAVAAoAEkAZAB4ACwAIAAoAEMAIAAtACAAMQApACAAKgAgAE0AcABQACAAKwAgADEALAAgAFwAbgAgACAAIAAgACAAIAAgACAAIAAgACAAIAAgACAAIAAgACAAIAAgACAAIAAgACAAIAAgACAAIAAgACAAIAAgACAAIAAgACAAIAAgACAAIAAgACAAIAAgACAAIAAgACAAIAAgACAAIAAgACAAIAAgACAASQBOAEQARQBYACgAIABNAG8AbgB0AGgAbAB5AFAAcgBpAG4AYwBpAHAAYQBsACwAIABJAGQAe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SQBuAHQAZQByAGUAcwB0AEEAcgByAGEAeQAsACAAIAAgACAAIAAgAEkARgAoACAATQBwAFAAIAA9ACAAMQAsACAAXABuACAAIAAgACAAIAAgACAAIAAgACAAIAAgACAAIAAgACAAIAAgACAAIAAgACAAIAAgACAAIAAgACAAIAAgACAAIAAgACAAIAAgACAAIAAgACAAIAAgACAAIABNAG8AbgB0AGgAbAB5AEkAbgB0AGUAcgBlAHMAdAAsAFwAbgAgACAAIAAgACAAIAAgACAAIAAgACAAIAAgACAAIAAgACAAIAAgACAAIAAgACAAIAAgACAAIAAgACAAIAAgACAAIAAgACAAIAAgACAAIAAgACAAIAAgACAATABFAFQAKAAgAFwAbgAgACAAIAAgACAAIAAgACAAIAAgACAAIAAgACAAIAAgACAAIAAgACAAIAAgACAAIAAgACAAIAAgACAAIAAgACAAIAAgACAAIAAgACAAIAAgACAAIAAgACAAIAAgACAAIABNAG8ASQBuAHQALAAgACAARQBYAFAAQQBOAEQAKAAgAE0AbwBuAHQAaABsAHkASQBuAHQAZQByAGUAcwB0ACwAIAAxACwAIABSAE8AVQBOAEQAVQBQACgAIABUAGUAcgBtAC8AIABNAHAAcAAsACAAMAApACAAKgAgAE0AcABwACwAIAAwACkALAAgAFwAbgAgACAAIAAg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CAAIAAgACAAUwBVAE0AKAAgAEMASABPAE8AUwBFAEMATwBMAFMAKABNAG8ASQBuAHQALAAgAFMARQBRAFUARQBOAEMARQAoADEALAAgAE0AcABQACwAIABJAGQAeAApACkAKQ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FAAYQB5AG0AZQBuAHQAQQByAHIAYQB5ACwAIAAgACAAIAAgACAAIABMAEUAVAAoAE0AbwBQAG0AdAAsACAAIABFAFgAUABBAE4ARAAoACAAUwBFAFEAVQBFAE4AQwBFACgAMQAsACAAVABlAHIAbQAsACAATQBvAG4AdABoAGwAeQBQAGEAeQBtAGUAbgB0ACwAIAAwACkALAAgADEALAAgAFIATwBVAE4ARABVAFAAKAAgAFQAZQByAG0ALwAgAE0AcABwACwAIAAwACkAIAAqACAATQBwAHAALAAgADAAKQ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UwBVAE0AKAAgAEMASABPAE8AUwBFAEMATwBMAFMAKABNAG8AUABtAHQALAAgAFMARQBRAFUARQBOAEMARQAoADEALAAgAE0AcABQACwAIABJAGQAeAAp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BcAG4AIAAgACAAIAAgACAAIAAgACAAIAAgACAAIAAgACAAIAAgACAAIAAgACAAIAAgACAAIAAgACAAIAAgACAAIAAgACAAIAAgACAAIAAgACAAIAApACwAIABcAG4AIAAgACAAIAAgACAAIAAgACAAIAAgACAAIAAgACAAIAAgACAAIAAgAEMAbABvAHMAaQBuAGcAQQByAHIAYQB5ACwAIAAgACAAIAAgACAAIABQAHIAaQBuAGMAaQBwAGEAbABBAHIAcgBhAHkAIAArACAASQBuAHQAZQByAGUAcwB0AEEAcgByAGEAeQAgACsAIABQAGEAeQBtAGUAbgB0AEEAcgByAGEAeQAsAFwAbgAgACAAIAAgACAAIAAgACAAIAAgACAAIAAgACAAIAAgACAAIAAgACAAUABvAHIAdABpAG8AbgBBAHIAcgBhAHkALAAgACAAIAAgACAAIAAgAC0AUABhAHkAbQBlAG4AdABBAHIAcgBhAHkAIAAtACAASQBuAHQAZQByAGUAcwB0AEEAcgByAGEAeQAsACAAIAAgACAAXABuACAAIAAgACAAIAAgACAAIAAgACAAIAAgACAAIAAgACAAIAAgACAAIABBAG0AbwByAHQAaQBzAGEAdABpAG8AbgBTAGMAaABlAGQALAAgACAAVgBTAFQAQQBDAEsAKABcAG4AIAAgACAAIAAgACAAIAAgACAAIAAgACAAIAAgACAAIAAgACAAIAAgACAAIAAgACAAIAAgACAAIAAgACAAIAAgACAAIAAgACAAIAAgACAAIAAgACAAIAAgAEQAZQBiAHQASQBzAHMAdQBlAEEAcgByAGEAeQAsACAAXABuACAAIAAgACAAIAAgACAAIAAgACAAIAAgACAAIAAgACAAIAAgACAAIAAgACAAIAAgACAAIAAgACAAIAAgACAAIAAgACAAIAAgACAAIAAgACAAIAAgACAAIABQAHIAaQBuAGMAaQBwAGEAbABBAHIAcgBhAHkALAAgAFwAbgAgACAAIAAgACAAIAAgACAAIAAgACAAIAAgACAAIAAgACAAIAAgACAAIAAgACAAIAAgACAAIAAgACAAIAAgACAAIAAgACAAIAAgACAAIAAgACAAIAAgACAASQBuAHQAZQByAGUAcwB0AEEAcgByAGEAeQAsACAAXABuACAAIAAgACAAIAAgACAAIAAgACAAIAAgACAAIAAgACAAIAAgACAAIAAgACAAIAAgACAAIAAgACAAIAAgACAAIAAgACAAIAAgACAAIAAgACAAIAAgACAAIABQAGEAeQBtAGUAbgB0AEEAcgByAGEAeQAsACAAXABuACAAIAAgACAAIAAgACAAIAAgACAAIAAgACAAIAAgACAAIAAgACAAIAAgACAAIAAgACAAIAAgACAAIAAgACAAIAAgACAAIAAgACAAIAAgACAAIAAgACAAIABDAGwAbwBzAGkAbgBnAEEAcgByAGEAeQAsACAAXABuACAAIAAgACAAIAAgACAAIAAgACAAIAAgACAAIAAgACAAIAAgACAAIAAgACAAIAAgACAAIAAgACAAIAAgACAAIAAgACAAIAAgACAAIAAgACAAIAAgACAAIABQAG8AcgB0AGkAbwBuAEEAcgByAGEAeQApACwAXABuACAAIAAgACAAIAAgACAAIAAgACAAIAAgACAAIAAgACAALwAvACAAIABQAG8AcwBpAHQAaQBvAG4AIABpAG4AIAB0AGkAbQBlAGwAaQBuAGUAXABuACAAIAAgACAAIAAgACAAIAAgACAAIAAgACAAIAAgACAAIAAgACAAIABPAGYAZgBzAGUAdAAsACAAIAAgACAAIAAgACAAIAAgACAAIAAgACAAVABpAG0AZQBsAGkAbgBlAE8AZgBmAHMAZQB0ALsDKABTAHQAYQByAHQARABhAHQAZQAsACAAVABpAG0AZQBsAGkAbgBlACkALABcAG4AIAAgACAAIAAgACAAIAAgACAAIAAgACAAIAAgACAAIAAvAC8AIAAgAEEAIABzAHUAYgAtAG0AbwBuAHQAaABsAHkAIABwAGUAcgBpAG8AZAAgAGkAcwAgAGEAIABmAGkAeABlAGQAIABuAHUAbQBiAGUAcgAgAG8AZgAgAGQAYQB5AHMALAAgAHMAbwAgAGUAYQBjAGgAIABtAG8AbgB0AGgAIABsAGEAbgBkAHMAIABpAG4AXABuACAAIAAgACAAIAAgACAAIAAgACAAIAAgACAAIAAgACAALwAvACAAIAB0AGgAZQAgAG8AbgBlACAAcABlAHIAaQBvAGQAIAB0AGgAYQB0ACAAYwBvAG4AdABhAGkAbgBzACAAaQB0AHMAIABzAHQAYQByAHQAIABhAG4AZAAgAHQAaABlACAAcABlAHIAaQBvAGQAcwAgAGIAZQB0AHcAZQBlAG4AIABhAHIAZQAgAG4AaQBsAC4AXABuACAAIAAgACAAIAAgACAAIAAgACAAIAAgACAAIAAgACAALwAvACAAIABSAG8AdwBzACAAMgAgAGEAbgBkACAANQAgAGEAcgBlACAAYgBhAGwAYQBuAGMAZQBzACAAcgBhAHQAaABlAHIAIAB0AGgAYQBuACAAZgBsAG8AdwBzADsAIABhACAAYgBhAGwAYQBuAGMAZQAgAGkAcwAgAGMAYQByAHIAaQBlAGQAIABpAG4AdABvAFwAbgAgACAAIAAgACAAIAAgACAAIAAgACAAIAAgACAAIAAgAC8ALwAgACAAdABoAGUAIABwAGUAcgBpAG8AZAAgAGkAdAAgAGkAcwAgAGQAYQB0AGUAZAAgAGkAbgAgAGEAbgBkACAAbgBvAHcAaABlAHIAZQAgAGUAbABzAGUALAAgAHcAaABpAGMAaAAgAGkAcwAgAHQAaABlACAAcwBhAG0AZQAgAHQAcgBlAGEAdABtAGUAbgB0AFwAbgAgACAAIAAgACAAIAAgACAAIAAgACAAIAAgACAAIAAgAC8ALwAgACAARABlAHAAcgBlAGMAaQBhAHQAZQC7AyAAZwBpAHYAZQBzACAAaQB0AHMAIABvAHcAbgAgAG8AcABlAG4AaQBuAGcAIABiAGEAbABhAG4AYwBlACAAcgBvAHcALgBcAG4AIAAgACAAIAAgACAAIAAgACAAIAAgACAAIAAgACAAIAAgACAAIAAgAE0AbwBuAHQAaABTAHQAYQByAHQAcwAsACAAIAAgACAAIAAgACAAIABFAEQAQQBUAEUAKAAgAFMAdABhAHIAdABEAGEAdABlACwAIABTAEUAUQBVAEUATgBDAEUAKAAgACwAIABQAGUAcgBpAG8AZABzACwAIAAwACkAKQAsAFwAbgAgACAAIAAgACAAIAAgACAAIAAgACAAIAAgACAAIAAgACAAIAAgACAAQgB5AEQAYQB0AGUALAAgACAAIAAgACAAIAAgACAAIAAgACAAIAAgAE0AQQBLAEUAQQBSAFIAQQBZACgAIABSAE8AVwBTACgAIABBAG0AbwByAHQAaQBzAGEAdABpAG8AbgBTAGMAaABlAGQAKQAsACAAQwBPAFUATgBUAEEAKAAgAFQAaQBtAGUAbABpAG4AZQApACwAXABuACAAIAAgACAAIAAgACAAIAAgACAAIAAgACAAIAAgACAAIAAgACAAIAAgACAAIAAgACAAIAAgACAAIAAgACAAIAAgACAAIAAgACAAIAAgACAAIAAgACAAIABMAEEATQBCAEQAQQAoACAAUgAsACAAQwAsAFwAbgAgACAAIAAgACAAIAAgACAAIAAgACAAIAAgACAAIAAgACAAIAAgACAAIAAgACAAIAAgACAAIAAgACAAIAAgACAAIAAgACAAIAAgACAAIAAgACAAIAAgACAAIAAgACAAIABMAEUAVAAoACAAUABlAHIAaQBvAGQATwBwAGUAbgBzACwAIAAgACAASQBOAEQARQBYACgAIABUAGkAbQBlAGwAaQBuAGUALAAgAEMAKQAsAFwAbgAgACAAIAAgACAAIAAgACAAIAAgACAAIAAgACAAIAAgACAAIAAgACAAIAAgACAAIAAgACAAIAAgACAAIAAgACAAIAAgACAAIAAgACAAIAAgACAAIAAgACAAIAAgACAAIAAvAC8AIAAgAEEAIABwAGUAcgBpAG8AZAAgAGUAbgBkAHMAIAB3AGgAZQByAGUAIAB0AGgAZQAgAG4AZQB4AHQAIABvAG4AZQAgAG8AcABlAG4AcwAuACAATwBuAGwAeQAgAHQAaABlACAAbABhAHMAdABcAG4AIAAgACAAIAAgACAAIAAgACAAIAAgACAAIAAgACAAIAAgACAAIAAgACAAIAAgACAAIAAgACAAIAAgACAAIAAgACAAIAAgACAAIAAgACAAIAAgACAAIAAgACAAIAAgACAALwAvACAAIABoAGEAcwAgAG4AbwAgAHMAdQBjAGMAZQBzAHMAbwByACAAdABvACAAYQBzAGsALAAgAHMAbwAgAGkAdAAgAHIAdQBuAHMAIABvAG4AIABhAHMAIABmAGEAcgAgAGEAcwAgAHQAaABlAFwAbgAgACAAIAAgACAAIAAgACAAIAAgACAAIAAgACAAIAAgACAAIAAgACAAIAAgACAAIAAgACAAIAAgACAAIAAgACAAIAAgACAAIAAgACAAIAAgACAAIAAgACAAIAAgACAAIAAvAC8AIAAgAHAAZQByAGkAbwBkACAAYgBlAGYAbwByAGUAIABpAHQAIABkAGkAZAAuAFwAbgAgACAAIAAgACAAIAAgACAAIAAgACAAIAAgACAAIAAgACAAIAAgACAAIAAgACAAIAAgACAAIAAgACAAIAAgACAAIAAgACAAIAAgACAAIAAgACAAIAAgACAAIAAgACAAIAAgACAAIAAgACAAUABlAHIAaQBvAGQAUwBoAHUAdAAsACAAIAAgACAASQBGACgAIABDACAAPQAgAEMATwBVAE4AVABBACgAIABUAGkAbQBlAGwAaQBuAGUAKQAsAFwAbgAgACAAIAAgACAAIAAgACAAIAAgACAAIAAgACAAIAAgACAAIAAgACAAIAAgACAAIAAgACAAIAAgACAAIAAgACAAIAAgACAAIAAgACAAIAAgACAAIAAgACAAIAAgACAAIAAgACAAIAAgACAAIAAgACAAIAAgACAAIAAgACAAIAAgACAAIAAgACAAIAAgACAAIABQAGUAcgBpAG8AZABPAHAAZQBuAHMAIAArACAATABhAHMAdABHAGEAcAAsAFwAbgAgACAAIAAgACAAIAAgACAAIAAgACAAIAAgACAAIAAgACAAIAAgACAAIAAgACAAIAAgACAAIAAgACAAIAAgACAAIAAgACAAIAAgACAAIAAgACAAIAAgACAAIAAgACAAIAAgACAAIAAgACAAIAAgACAAIAAgACAAIAAgACAAIAAgACAAIAAgACAAIAAgACAAIABJAE4ARABFAFgAKAAgAFQAaQBtAGUAbABpAG4AZQAsACAAQwAgACsAIAAxACkAKQAsAFwAbgAgACAAIAAgACAAIAAgACAAIAAgACAAIAAgACAAIAAgACAAIAAgACAAIAAgACAAIAAgACAAIAAgACAAIAAgACAAIAAgACAAIAAgACAAIAAgACAAIAAgACAAIAAgACAAIAAgACAAIAAgAFMAVQBNACgAIABDAEgATwBPAFMARQBSAE8AVwBTACgAIABBAG0AbwByAHQAaQBzAGEAdABpAG8AbgBTAGMAaABlAGQALAAgAFIAKQBcAG4AIAAgACAAIAAgACAAIAAgACAAIAAgACAAIAAgACAAIAAgACAAIAAgACAAIAAgACAAIAAgACAAIAAgACAAIAAgACAAIAAgACAAIAAgACAAIAAgACAAIAAgACAAIAAgACAAIAAgACAAIAAgACAAIAAgACAAKgAgACgAIABNAG8AbgB0AGgAUwB0AGEAcgB0AHMAIAA+AD0AIABQAGUAcgBpAG8AZABPAHAAZQBuAHMAKQBcAG4AIAAgACAAIAAgACAAIAAgACAAIAAgACAAIAAgACAAIAAgACAAIAAgACAAIAAgACAAIAAgACAAIAAgACAAIAAgACAAIAAgACAAIAAgACAAIAAgACAAIAAgACAAIAAgACAAIAAgACAAIAAgACAAIAAgACAAKgAgACgAIABNAG8AbgB0AGgAUwB0AGEAcgB0AHMAIAA8ACAAUABlAHIAaQBvAGQAUwBoAHUAdAApACkAKQApACkALABcAG4AIAAgACAAIAAgACAAIAAgACAAIAAgACAAIAAgACAAIAAgACAAIAAgAE4AZQB3AEIAbABvAGMAawAsACAAIAAgACAAIAAgACAAIAAgACAAIABJAEYAKAAgAFMAdQBiAE0AbwBuAHQAaABsAHkAPwAsAFwAbgAgACAAIAAgACAAIAAgACAAIAAgACAAIAAgACAAIAAgACAAIAAgACAAIAAgACAAIAAgACAAIAAgACAAIAAgACAAIAAgACAAIAAgACAAIAAgACAAIAAgACAAQgB5AEQAYQB0AGUALABcAG4AIAAgACAAIAAgACAAIAAgACAAIAAgACAAIAAgACAAIAAgACAAIAAgACAAIAAgACAAIAAgACAAIAAgACAAIAAgACAAIAAgACAAIAAgACAAIAAgACAAIAAgAFQAaQBtAGUAbABpAG4AZQBQAG8AcwBpAHQAaQBvAG4AuwMoAEEAbQBvAHIAdABpAHMAYQB0AGkAbwBuAFMAYwBoAGUAZAAsACAAVABpAG0AZQBsAGkAbgBlACwAIABPAGYAZgBzAGUAdAAp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EwAYQBiAGUAbABBAG0AbwByAHQAaQBzAGUAuwMgAD0AIABMAEEATQBCAEQAQQAoAFwAbgAvAC8AIAAgAFAAYQByAGEAbQBlAHQAZQByACAARABlAGMAbABhAHIAYQB0AGkAbwBuAHMAXABuACAAIAAgACAAWwBMAG8AYQBuAE4AYQBtAGUAcwBdACwAIAAgAFwAbgAgACAAIAAgAFsATABvAGEAbgBBAG0AbwB1AG4AdABzAF0ALAAgACAAXABuACAAIAAgACAAWwBMAG8AYQBuAEEAUABSAHMAXQAsACAAIABcAG4AIAAgACAAIABbAEwAbwBhAG4AVABlAHIAbQBzAF0AL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EAbQBvAHIAdABpAHMAZQC7AygATABvAGEAbgBOAGEAbQBlAHMALAAgAFsATABvAGEAbgBBAG0AbwB1AG4AdABzAF0ALAAgAFsATABvAGEAbgBBAFAAUgBzAF0ALAAgAFsATABvAGEAbgBUAGUAcgBtAHMAXQApALYAXAAiACAAJgBcAG4AIAAgACAAIAAgACAAIAAgACAAIAAgACAAIAAgACAAIAAgACAAIAAgACAAIAAgACAAIAAgACAAIABcACIARABFAFMAQwBSAEkAUABUAEkATwBOADoAIAAgACAAkiFDAHIAZQBhAHQAZQAgAHIAbwB3ACAAbABhAGIAZQBsAHMAIABmAG8AcgAgAHQAaABlACAAYQBtAG8AcgB0AGkAcwBhAHQAaQBvAG4AIABzAGMAaABlAGQAdQBsAGUAIABhAHIAcgBhAHkAIABwAHIAbwBkAHUAYwBlAGQAIABiAHkAIABBAG0AbwByAHQAaQBz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TABvAGEAbgBOAGEAbQBlAHMAIAAgACAAIAAgAJIhKABSAGUAcQB1AGkAcgBlAGQAKQAgAE4AYQBtAGUAcwAgAG8AcgAgAGQAZQBzAGMAcgBpAHAAdABpAG8AbgBzACAAbwBmACAAZQBhAGMAaAAgAGwAbwBhAG4AIABpAG4AIAB0AGgAZQAgAGEAbQBvAHIAdABpAHMAYQB0AGkAbwBuACAAcwBjAGgAZQBkAHUAbABlACAAcAByAG8AZAB1AGMAZQBkACAAYgB5ACAAQQBtAG8AcgB0AGkAcwBlALsDtgBcACIAIAAmACAAIAAgACAAIAAgACAAIAAgACAAIAAgACAAIAAgACAAIAAgAFwAbgAgACAAIAAgACAAIAAgACAAIAAgACAAIAAgACAAIAAgACAAIAAgACAAIAAgACAAIAAgACAAIAAgAFwAIgBMAG8AYQBuAEEAbQBvAHUAbgB0AHMAIAAgACAAkiEoAE8AcAB0AGkAbwBuAGEAbAApACAAQQBtAG8AdQBuAHQAIABiAG8AcgByAG8AdwBlAGQAtgBcACIAIAAmACAAIAAgACAAIAAgACAAIAAgACAAIAAgACAAIAAgACAAIAAgAFwAbgAgACAAIAAgACAAIAAgACAAIAAgACAAIAAgACAAIAAgACAAIAAgACAAIAAgACAAIAAgACAAIAAgAFwAIgBMAG8AYQBuAEEAUABSAHMAIAAgACAAIAAgACAAkiEoAE8AcAB0AGkAbwBuAGEAbAApACAAQQBuAG4AdQBhAGwAIABQAGUAcgBjAGUAbgB0AGEAZwBlACAASQBuAHQAZQByAGUAcwB0ACAAUgBhAHQAZQC2AFwAIgAgACYAIAAgACAAIAAgACAAIAAgACAAIAAgACAAIAAgACAAIAAgACAAXABuACAAIAAgACAAIAAgACAAIAAgACAAIAAgACAAIAAgACAAIAAgACAAIAAgACAAIAAgACAAIAAgACAAXAAiAEwAbwBhAG4AVABlAHIAbQBzACAAIAAgACAAIACSISgATwBwAHQAaQBvAG4AYQBsACkAIABOAHUAbQBiAGUAcgAgAG8AZgAgAG0AbwBuAHQAaABzACAAdABvACAAcgBlAHAAYQB5ALYAXAAiACAAJg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wAYQBiAGUAbABBAG0AbwByAHQAaQBzAGUAuwMoAHQAYgBsAEwAbwBhAG4AcwBbAEwAbwBhAG4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HIAZQBxAHUAaQByAGUAZAAgAGkAbgBwAHUAdABzACAALQAgAE8AbQBpAHQAdABlAGQAIAByAGUAcQB1AGkAcgBlAGQAIABhAHIAZwB1AG0AZQBuAHQAcwBcAG4AIAAgACAAIAAgACAAIAAgAEgAZQBsAHAAPwAsACAAIAAgACAAIAAgACAAIAAgACAASQBTAE8ATQBJAFQAVABFAEQAKAAgAEwAbwBhAG4ATgBhAG0AZQBzACkALABcAG4AIAAgACAAIAAvAC8AIAAgAEMAaABlAGMAawAgAG8AcAB0AGkAbwBuAGEAbAAgAGkAbgBwAHUAdABzAFwAbgAgACAAIAAgACAAIAAgACAATwBwAHQAaQBvAG4AYQBsAHMALAAgACAAIAAgACAAIABOAE8AVAAoACAATwBSACgAIABcAG4AIAAgACAAIAAgACAAIAAgACAAIAAgACAAIAAgACAAIAAgACAAIAAgACAAIAAgACAAIAAgACAAIABJAFMATwBNAEkAVABUAEUARAAoACAATABvAGEAbgBBAG0AbwB1AG4AdABzACkALAAgAFwAbgAgACAAIAAgACAAIAAgACAAIAAgACAAIAAgACAAIAAgACAAIAAgACAAIAAgACAAIAAgACAAIAAgAEkAUwBPAE0ASQBUAFQARQBEACgAIABMAG8AYQBuAEEAUABSAHMAKQAsACAAXABuACAAIAAgACAAIAAgACAAIAAgACAAIAAgACAAIAAgACAAIAAgACAAIAAgACAAIAAgACAAIAAgACAASQBTAE8ATQBJAFQAVABFAEQAKAAgAEwAbwBhAG4AVABlAHIAbQBzACkAXABuACAAIAAgACAAIAAgACAAIAAgACAAIAAgACAAIAAgACAAIAAgACAAIAAgACAAIAAgACkAKQAsAFwAbgAgACAAIAAgAC8ALwAgACAAUAByAG8AYwBlAGQAdQByAGUAXABuACAAIAAgACAAIAAgACAAIABSAGUAcwB1AGwAdAAsACAAIAAgACAAIAAgACAAIAAgAFIARQBEAFUAQwBFACgAIABcACIAXAAiACwAIABTAEUAUQBVAEUATgBDAEUAKAAgACAAUgBPAFcAUwAoACAATABvAGEAbgBOAGEAbQBlAHMAKQAgACoAIAA3ACAALQAgADEAKQAsACAAXABuACAAIAAgACAAIAAgACAAIAAgACAAIAAgACAAIAAgACAAIAAgACAAIAAgACAAIAAgACAAIAAgACAATABBAE0AQgBEAEEAKABBAGMAYwAsACAAUgBvAHc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RABlAHMAYwByAGkAcAB0AGkAbwBuACwAIAAgACAAIABTAFcASQBUAEMASAAoACAATABpAG4AZQAsAFwAbgAgACAAIAAgACAAIAAgACAAIAAgACAAIAAgACAAIAAgACAAIAAgACAAIAAgACAAIAAgACAAIAAgACAAIAAgACAAIAAgACAAIAAgACAAIAAgACAAIAAgACAAIAAgACAAIAAgACAAIAAgACAAIAAgACAAMQAsACAAIABIAFMAVABBAEMASwAoAEwAbwBhAG4ATgBhAG0AZQAgACYAIABcACIAIABEAGUAYgB0ACAASQBzAHMAdQBhAG4AYwBlAFwAIgAsACAATABvAGEAbgBBAG0AbwB1AG4AdAAsACAAXAAiAFwAIgApACwAXABuACAAIAAgACAAIAAgACAAIAAgACAAIAAgACAAIAAgACAAIAAgACAAIAAgACAAIAAgACAAIAAgACAAIAAgACAAIAAgACAAIAAgACAAIAAgACAAIAAgACAAIAAgACAAIAAgACAAIAAgACAAIAAgACAAIAAyACwAIAAgAEgAUwBUAEEAQwBLACgATABvAGEAbgBOAGEAbQBlACAAJgAgAFwAIgAgAEQAZQBiAHQAIABCAGEAbABhAG4AYwBlAFwAIgAsACAAXAAiAFwAIgAsAFwAIgBcACIAKQAsAFwAbgAgACAAIAAgACAAIAAgACAAIAAgACAAIAAgACAAIAAgACAAIAAgACAAIAAgACAAIAAgACAAIAAgACAAIAAgACAAIAAgACAAIAAgACAAIAAgACAAIAAgACAAIAAgACAAIAAgACAAIAAgACAAIAAgACAAMwAsACAAIABIAFMAVABBAEMASwAoAEwAbwBhAG4ATgBhAG0AZQAgACYAIABcACIAIABJAG4AdABlAHIAZQBzAHQAXAAiACwAIABUAGUAeAB0ACgATABvAGEAbgBBAFAAUgAsACAAXAAiADAALgAwADAAJQBcACIAKQAsACAAXAAiAEEAUABSAFwAIgApACwAXABuACAAIAAgACAAIAAgACAAIAAgACAAIAAgACAAIAAgACAAIAAgACAAIAAgACAAIAAgACAAIAAgACAAIAAgACAAIAAgACAAIAAgACAAIAAgACAAIAAgACAAIAAgACAAIAAgACAAIAAgACAAIAAgACAAIAA0ACwAIAAgAEgAUwBUAEEAQwBLACgATABvAGEAbgBOAGEAbQBlACAAJgAgAFwAIgAgAEQAZQBiAHQAIABTAGUAcgB2AGkAYwBlAHMAXAAiACwAIABMAG8AYQBuAFQAZQByAG0ALAAgAFwAIgBNAG8AbgB0AGgAcwBcACIAKQAsAFwAbgAgACAAIAAgACAAIAAgACAAIAAgACAAIAAgACAAIAAgACAAIAAgACAAIAAgACAAIAAgACAAIAAgACAAIAAgACAAIAAgACAAIAAgACAAIAAgACAAIAAgACAAIAAgACAAIAAgACAAIAAgACAAIAAgACAANQAsACAAIABIAFMAVABBAEMASwAoAEwAbwBhAG4ATgBhAG0AZQAgACYAIABcACIAIABDAGwAbwBzAGkAbgBnACAAQgBhAGwAYQBuAGMAZQBcACIALABcACIAXAAiACwAXAAiAFwAIgApACwAXABuACAAIAAgACAAIAAgACAAIAAgACAAIAAgACAAIAAgACAAIAAgACAAIAAgACAAIAAgACAAIAAgACAAIAAgACAAIAAgACAAIAAgACAAIAAgACAAIAAgACAAIAAgACAAIAAgACAAIAAgACAAIAAgACAAIAA2ACwAIAAgAEgAUwBUAEEAQwBLACgATABvAGEAbgBOAGEAbQBlACAAJgAgAFwAIgAgAEQAZQBiAHQAIABSAGUAcABhAHkAbQBlAG4AdABcACIALAAgAFwAIgBcACIALAAgAFwAIgBcACIAKQAsAFwAbgAgACAAIAAgACAAIAAgACAAIAAgACAAIAAgACAAIAAgACAAIAAgACAAIAAgACAAIAAgACAAIAAgACAAIAAgACAAIAAgACAAIAAgACAAIAAgACAAIAAgACAAIAAgACAAIAAgACAAIAAgACAAIAAgACAANwAsACAAIABIAFMAVABBAEMASwAoAFwAIgBcACIALABcACIAXAAiACwAXAAiAFwAIgApAFwAbgAgACAAIAAgACAAIAAgACAAIAAgACAAIAAgACAAIAAgACAAIAAgACAAIAAgACAAIAAgACAAIAAgACAAIAAgACAAIAAgACAAIAAgACAAIAAgACAAIAAgACAAIAAgACAAIAAgACAAIAAgACkALABcAG4AIAAgACAAIAAgACAAIAAgACAAIAAgACAAIAAgACAAIAAgACAAIAAgACAAIAAgACAAIAAgACAAIAAgACAAIAAgACAAIAAgACAAVgBhAGwAdQBlAHMALAAgACAAIAAgACAAIAAgACAAIABJAEYAKAAgAE8AcAB0AGkAbwBuAGEAbABzACwAIABEAGUAcwBjAHIAaQBwAHQAaQBvAG4ALAAgAFQAQQBLAEUAKAAgAEQAZQBzAGMAcgBpAHAAdABpAG8AbgAsACAALAAgADEAKQApACwAXABuACAAIAAgACAAIAAgACAAIAAgACAAIAAgACAAIAAgACAAIAAgACAAIAAgACAAIAAgACAAIAAgACAAIAAgACAAIAAgACAAIAAgAFIAZQBzAHUAbAB0ACwAIAAgACAAIAAgACAAIAAgACAASQBGACgAIABSAG8AdwAgAD0AIAAxACwAIABWAGEAbAB1AGUAcwAsACAAVgBTAFQAQQBDAEsAKABBAGMAYwAsACAAVgBhAGwAdQBlAHM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FMAdQBtAEEAbQBvAHIAdABpAHMAZQC7A1wAbgAgACAAIAAgAEQARQBTAEMAUgBJAFAAVABJAE8ATgA6ACoALwAvACoAKgBDAHIAZQBhAHQAZQAgAHIAbwB3ACAAdABvAHQAYQBsAHMAIABmAG8AcgAgAEEAbQBvAHIAdABpAHMAZQC7Ay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wB6AHoAaQB0ACAAtgBcACIAIAAmACAAXABuACAAIAAgACAAIAAgACAAIAAgACAAIAAgACAAIAAgACAAIAAgACAAIAAgACAAIAAgACAAIAAgACAAXAAiAFYARQBSAFMASQBPAE4AOgAgACAAIAAgACAAIAAgAJIhMgAw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AuALYAXAAiACAAJgAgAFwAbgAgACAAIAAgACAAIAAgACAAIAAgACAAIAAgACAAIAAgACAAIAAgACAAIAAgACAAIAAgACAAIAAgAFwAIgAgACAAIAAgACAAIAAgACAAIAAgACAAIAAgACAAIACSIU0AbwByAGUAIAB0AGgAYQBuACAAMAAgAGEAbgBkACAAbgBvACAAbQBvAHIAZQAgAHQAaABhAG4AIAAxADAAMAAuACAAQQAgAGQAYQB0AGUAIABoAGUAcgBlACAAaQBzACAAbgBvAHQAIABhACAAbABpAGYAZQA6ALYAXAAiACAAJgAgAFwAbgAgACAAIAAgACAAIAAgACAAIAAgACAAIAAgACAAIAAgACAAIAAgACAAIAAgACAAIAAgACAAIAAgAFwAIgAgACAAIAAgACAAIAAgACAAIAAgACAAIAAgACAAIACSIXQAaABlACAAYQByAGcAdQBtAGUAbgB0AHMAIAByAGUAYQBkACAASQBuAGkAdABpAGEAbABWAGEAbAB1AGUAcwAsACAASQBuAFMAZQByAHYAaQBjAGUARABhAHQAZQBzACwAIABMAGkAZgBlAEkAbgBZAGUAYQByAHMALAAgAFQAaQBtAGUAbABpAG4AZQAuALYAXAAiACAAJgAgAFwAbgAgACAAIAAgACAAIAAgACAAIAAgACAAIAAgACAAIAAgACAAIAAgACAAIAAgACAAIAAgACAAIAAgAFwAIgBUAGkAbQBlAGwAaQBuAGUAIAAgACAAIAAgACAAIACSISgAUgBlAHEAdQBpAHIAZQBkACkAIABUAGgAZQAgAG0AbwBkAGUAbAAnAHMAIAB0AGkAbQBlAGwAaQBuAGUAIABvAHIAIABhACAAcgBvAHcAIABvAGYAIABwAGUAcgBpAG8AZAAgAHMAdABhAHIAdAAgAGQAYQB0AGUAcwAuACAAtgBcACIAIAAmACAAXABuACAAIAAgACAAIAAgACAAIAAgACAAIAAgACAAIAAgACAAIAAgACAAIAAgACAAIAAgACAAIAAgACAAXAAiACAAIAAgACAAIAAgACAAIAAgACAAIAAgACAAIAAgAJIhVABpAG0AZQBsAGkAbgBlACAAYwBhAG4AIABiAGUAIABhAG4AeQAgAGkAbgB0AGUAcgB2AGEAbAA6ACAAZABhAHkAcwAsACAAdwBlAGUAawBzACwAIABtAG8AbgB0AGgAcwAsACAAcQB1AGEAcgB0AGUAcgBzACAAbwByACAAe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DAGgAZQBjAGsAIABpAG4AcAB1AHQAcwAgAC0AIABhACAAbABpAGYAZQAgAGkAbgAgAHkAZQBhAHIAcwAgAG0AdQBzAHQAIABiAGUAIABhACAAbABpAGYAZQAsACAAbgBvAHQAIABhACAAZABhAHQAZQBcAG4AIAAgACAAIAAgACAAIAAgAEwAaQBmAGUARwBpAHYAZQBuACwAIAAgACAAIAAgACAASQBGACgAIABJAFMATwBNAEkAVABUAEUARAAoACAATABpAGYAZQBJAG4AWQBlAGEAcgBzACkALAAgADEALAAgAEwAaQBmAGUASQBuAFkAZQBhAHIAcwApACwAXABuACAAIAAgACAAIAAgACAAIABMAGkAZgBlAE4AdQBtAHMALAAgACAAIAAgACAAIAAgAEkARgBFAFIAUgBPAFIAKAAgAFYAQQBMAFUARQAoACAATABpAGYAZQBHAGkAdgBlAG4AKQAsACAALQAxACkALABcAG4AIAAgACAAIAAgACAAIAAgAEIAYQBkAEwAaQBmAGUAPwAsACAAIAAgACAAIAAgACAATwBSACgAIABNAEkATgAoACAATABpAGYAZQBOAHUAbQBzACkAIAA8AD0AIAAwACwAIABNAEEAWAAoACAATABpAGYAZQBOAHUAbQBzACkAIAA+ACAAMQAwADAAKQAsAFwAbgAgACAAIAAgACAAIAAgACAATABpAGYAZQBNAGUAcwBzAGEAZwBlACwAIAAgACAAIABcACIATABpAGYAZQBJAG4AWQBlAGEAcgBzACAAbQB1AHMAdAAgAGIAZQAgAGEAIABuAHUAbQBiAGUAcgAgAG8AZgAgAHkAZQBhAHIAcwAgAGcAcgBlAGEAdABlAHIAIAB0AGgAYQBuACAAMAAgAGEAbgBkACAAbgBvACAAbQBvAHIAZQAgAHQAaABhAG4AIAAxADAAMAAuACAAXAAiAFwAbgAgACAAIAAgACAAIAAgACAAIAAgACAAIAAgACAAIAAgACAAIAAgACAAIAAgACAAIAAmACAAXAAiAEMAaABlAGMAawAgAHQAaABlACAAYQByAGcAdQBtAGUAbgB0ACAAbwByAGQAZQByADoAIABJAG4AaQB0AGkAYQBsAFYAYQBsAHUAZQBzACwAIABJAG4AUwBlAHIAdgBpAGMAZQBEAGEAdABlAHMALAAgAEwAaQBmAGUASQBuAFkAZQBhAHIAcwAsACAAVABpAG0AZQBsAGkAbgBlAC4AXAAiACw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RABwAFAALAAgACAAIAAgACAAIAAgACAAIAAgACAAIABTAGUAYwBvAG4AZABQAGUAcgBpAG8AZAAgAC0AIABGAGkAcgBzAHQAUABlAHIAaQBvAGQALAAgACAAIAAgACAAIAAgACAAIAAgACAAIAAgACAAIAAgACAAIAAgACAAIAAgAC8ALwBEAGEAeQBzACAAUABlAHIAIABQAGUAcgBpAG8AZABcAG4AIAAgACAAIAAgACAAIAAgAFMAdQBiAE0AbwBuAHQAaABsAHkAPwAsACAAIAAgACAARABwAFAAIAA8ACAAMgA4ACwAIAAgACAAIAAgACAAIAAgACAAIAAgACAAIAAgACAAIAAgACAAIAAgACAAIAAgACAAIAAgACAAIAAgACAAIAAgACAAIAAgACAAIAAgACAAIAAvAC8ATgBvACAAbQBvAG4AdABoACAAaQBzACAAcwBoAG8AcgB0AGUAcgBcAG4AIAAgACAAIAAgACAAIAAgAE0AcABQACwAIAAgACAAIAAgACAAIAAgACAAIAAgACAATQBBAFgAKAAgAEAAUgBPAFUATgBEACgAIABEAHAAUAAgAC8AIAAzADAALgA1ACwAIAAwACkALAAgADEAKQAsACAAIAAgACAAIAAgACAAIAAgACAAIAAgACAAIAAgACAAIAAvAC8ATQBvAG4AdABoAHMAIABQAGUAcgAgAFAAZQByAGkAbwBkACwAIABuAGUAdgBlAHIAIABuAG8AdQBnAGgAdABcAG4AIAAgACAAIAAvAC8AIAAgAFQAaABlACAAbABhAHMAdAAgAHAAZQByAGkAbwBkACAAaABhAHMAIABuAG8AIABzAHUAYwBjAGUAcwBzAG8AcgAgAHQAbwAgAHQAYQBrAGUAIABpAHQAcwAgAGUAbgBkACAAZABhAHQAZQAgAGYAcgBvAG0ALAAgAHMAbwAgAGkAdAAgAGUAbgBkAHMAIABvAG4AZQAgAHAAZQByAGkAbwBkAFwAbgAgACAAIAAgAC8ALwAgACAAbwBuACAAZgByAG8AbQAgAGkAdABzACAAbwB3AG4AIABzAHQAYQByAHQAOgAgAGEAIAB3AGgAbwBsAGUAIABuAHUAbQBiAGUAcgAgAG8AZgAgAG0AbwBuAHQAaABzACAAdwBoAGUAcgBlACAAdABoAGUAIAB0AGkAbQBlAGwAaQBuAGUAIABpAHMAIABtAG8AbgB0AGgAbAB5ACAAbwByAFwAbgAgACAAIAAgAC8ALwAgACAAbABvAG4AZwBlAHIALAAgAHQAaABlACAAcwBhAG0AZQAgAG4AdQBtAGIAZQByACAAbwBmACAAZABhAHkAcwAgAGEAcwAgAGUAdgBlAHIAeQAgAG8AdABoAGUAcgAgAHAAZQByAGkAbwBkACAAdwBoAGUAcgBlACAAaQB0ACAAaQBzACAAcwBoAG8AcgB0AGUAcgAuAFwAbgAgACAAIAAgACAAIAAgACAATABhAHMAdABHAGEAcAAsACAAIAAgACAAIAAgACAAIABNAEEAWAAoACAAVABpAG0AZQBsAGkAbgBlACkAIAAtACAASQBOAEQARQBYACgAIABUAGkAbQBlAGwAaQBuAGUALAAgAFQAaQBtAGUAbABpAG4AZQBDAG8AbABzACAALQAgADEAKQAsAFwAbgAgACAAIAAgACAAIAAgACAATABhAHMAdABFAG4AZAAsACAAIAAgACAAIAAgACAAIABJAEYAKAAgAFMAdQBiAE0AbwBuAHQAaABsAHkAPwAsACAATQBBAFgAKAAgAFQAaQBtAGUAbABpAG4AZQApACAAKwAgAEwAYQBzAHQARwBhAHAALAAgAEUARABBAFQARQAoACAATQBBAFgAKAAgAFQAaQBtAGUAbABpAG4AZQApACwAIABNAHAAUAApACkAIAAtACAAMQAs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TABhAHMAdABFAG4AZ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JAEYAKAAgAEIAYQBkAEwAaQBmAGUAPwAsACAAMQAsACAAQABJAE4ARABFAFgAKAAgAEwAaQBmAGUASQBuAFkAZQBhAHIAcwAsACAAQQBzAHMAZQB0ACk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LAAgAEgAZQBsAHAALAAgAG8AcgAgAHQAaABlACAAbQBlAHMAcwBhAGcAZQBcAG4AIAAgACAAIAAgACAAIAAgAFIAZQB0AHUAcgBuACwAIAAgACAAIAAgACAAIAAgACAASQBGACgAIABIAGUAbABwAD8ALAAgADIALAAgAEkARgAoACAAQgBhAGQATABpAGYAZQA/ACwAIAAzACwAIAAxACkAKQAsAFwAbgAgACAAIAAgACAAIAAgACAAQwBIAE8ATwBTAEUAKAAgAFIAZQB0AHUAcgBuACwAIABSAGUAcwB1AGwAdAAsACAASABlAGwAcAAsACAATABpAGYAZQBNAGUAcwBzAGEAZwBl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oAGU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wAYQBiAGUAbABEAGUAcAByAGUAYwBpAGEAdABlALsDKAB0AGIAbABBAHMAcwBlAHQAcwBbAEEAcwBzAGUAdA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zAHMAZQB0AE4AYQBtAGUAcwApACwAXABuACAAIAAgACAALwAvACAAIABQAHIAbwBjAGUAZAB1AHIAZQBcAG4AIAAgACAAIAAgACAAIAAgAFIAZQBzAHUAbAB0ACwAIAAgACAAIAAgACAAIAAgACAATQBBAEsARQBBAFIAUgBBAFkAKAAgAFIATwBXAFMAKABBAHMAcwBlAHQATgBhAG0AZQBzACkAIAAqACAANwAgAC0AIAAxACwAIAAxACwAIABcAG4AIAAgACAAIAAgACAAIAAgACAAIAAgACAAIAAgACAAIAAgACAAIAAgACAAIAAgACAAIAAgACAAIABMAEEATQBCAEQAQQAoAFIALAAgAEMALAAgAFwAbgAgACAAIAAgACAAIAAgACAAIAAgACAAIAAgACAAIAAgACAAIAAgACAAIAAgACAAIAAgACAAIAAgACAAIAAgACAATABFAFQAKABBAHMAcwBlAHQATgBhAG0AZQAsACAAIAAgAEkATgBEAEUAWAAoACAAQQBzAHMAZQB0AE4AYQBtAGUAcwAsACAAUQBVAE8AVABJAEUATgBUACgAUgAtADEALAAgADcAKQAgACsAIAAxACkALAAgAFwAbgAgACAAIAAgACAAIAAgACAAIAAgACAAIAAgACAAIAAgACAAIAAgACAAIAAgACAAIAAgACAAIAAgACAAIAAgACAAIAAgACAAIABTAFcASQBUAEMASAAoACAATQBPAEQAKABSAC0AMQAsACAANwApACAAKwAgADEALABcAG4AIAAgACAAIAAgACAAIAAgACAAIAAgACAAIAAgACAAIAAgACAAIAAgACAAIAAgACAAIAAgACAAIAAgACAAIAAgACAAIAAgACAAIAAgACAAIAAxACwAIAAgAEEAcwBzAGUAdABOAGEAbQBlACAAJgAgAFwAIgAgAEMAQQBQAEUAWABcACIALABcAG4AIAAgACAAIAAgACAAIAAgACAAIAAgACAAIAAgACAAIAAgACAAIAAgACAAIAAgACAAIAAgACAAIAAgACAAIAAgACAAIAAgACAAIAAgACAAIAAyACwAIAAgAEEAcwBzAGUAdABOAGEAbQBlACAAJgAgAFwAIgAgAE8AcABlAG4AaQBuAGcAIABWAGEAbAB1AGUAXAAiACwAXABuACAAIAAgACAAIAAgACAAIAAgACAAIAAgACAAIAAgACAAIAAgACAAIAAgACAAIAAgACAAIAAgACAAIAAgACAAIAAgACAAIAAgACAAIAAgACAAMwAsACAAIABBAHMAcwBlAHQATgBhAG0AZQAgACYAIABcACIAIABEAGUAcAByAGUAYwBpAGEAdABpAG8AbgBcACIALABcAG4AIAAgACAAIAAgACAAIAAgACAAIAAgACAAIAAgACAAIAAgACAAIAAgACAAIAAgACAAIAAgACAAIAAgACAAIAAgACAAIAAgACAAIAAgACAAIAA0ACwAIAAgAEEAcwBzAGUAdABOAGEAbQBlACAAJgAgAFwAIgAgAEIAbwBvAGsAIABWAGEAbAB1AGUAXAAiACwAXABuACAAIAAgACAAIAAgACAAIAAgACAAIAAgACAAIAAgACAAIAAgACAAIAAgACAAIAAgACAAIAAgACAAIAAgACAAIAAgACAAIAAgACAAIAAgACAANQAsACAAIABBAHMAcwBlAHQATgBhAG0AZQAgACYAIABcACIAIABSAGUAdgBlAG4AdQBlACAAZgByAG8AbQAgAFMAYQBsAGUAXAAiACwAXABuACAAIAAgACAAIAAgACAAIAAgACAAIAAgACAAIAAgACAAIAAgACAAIAAgACAAIAAgACAAIAAgACAAIAAgACAAIAAgACAAIAAgACAAIAAgACAANgAsACAAIABBAHMAcwBlAHQATgBhAG0AZQAgACYAIABcACIAIABEAGkAcwBwAG8AcwBhAGwAIABDAG8AcwB0AHMAXAAiACwAXABuACAAIAAgACAAIAAgACAAIAAgACAAIAAgACAAIAAgACAAIAAgACAAIAAgACAAIAAgACAAIAAgACAAIAAgACAAIAAgACAAIAAgACAAIAAgACAANwAsACAAIABcACIAXAAi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EAGUAcAByAGUAYwBpAGEAdABlALsDXABuACAAIAAgACAARABFAFMAQwBSAEkAUABUAEkATwBOADoAKgAvAC8AKgAqAEMAcgBlAGEAdABlACAAcgBvAHcAIAB0AG8AdABhAGwAcwAgAGYAbwByACAARABlAHAAcgBlAGMAaQBhAHQAZQC7Ay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XABuACAAIAAgACAAIAAgACAAIAAgACAAIAAgACAAIAAgACAAIAAgACAAIAAgACAAIAAgACAAIAAgACAAXAAiAJIh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8AbQBpAHQAdABlAGQAQQByAGcAcwAsACAAIAAgACAAVgBTAFQAQQBDAEsAKABJAFMATwBNAEkAVABUAEUARAAoACAARABlAHAAcgBlAGMAaQBhAHQAaQBvAG4AUwBjAGgAZQBkAHUAbABlACkAKQAsAFwAbgAgACAAIAAgACAAIAAgACAASABlAGwAcAA/ACwAIAAgACAAIAAgACAAIAAgACAAIABBAE4ARAAoACAATwBtAGkAdAB0AGUAZABBAHIAZwBz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UgBlAHQAdQByAG4ALAAgACAAIAAgACAAIAAgACAAIABJAEYAKAAgAEgAZQBsAHAAPwAsACAAMgAsACAAMQApACwAXABuACAAIAAgACAAIAAgACAAIABDAEgATwBPAFMARQAoAFIAZQB0AHUAcgBu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TQBBAEsARQBBAFIAUgBBAFkAKAAgADEALAAgAEYAcgBvAG0AQwBvAHUAbgB0ACAAKgAgAFQAbwBDAG8AdQBuAHQALABcAG4AIAAgACAAIAAgACAAIAAgACAAIAAgACAAIAAgACAAIAAgACAAIAAgACAAIAAgACAAIAAgACAAIABMAEEATQBCAEQAQQAoACAAUgAsACAAQwAsAFwAbgAgACAAIAAgACAAIAAgACAAIAAgACAAIAAgACAAIAAgACAAIAAgACAAIAAgACAAIAAgACAAIAAgACAAIAAgACAATABFAFQAKABcAG4AIAAgACAAIAAgACAAIAAgACAAIAAgACAAIAAgACAAIAAgACAAIAAgACAAIAAgACAAIAAgACAAIAAgACAAIAAgAC8ALwAgACAAQwBvAGwAdQBtAG4AIABDACAAaABvAGwAZABzACAAcABhAHIAdAAgAEMAIABvAGYAIABhAG0AbwB1AG4AdAAgAFEAVQBPAFQASQBFAE4AVAAoACAAQwAgAC0AIAAxACwAIABUAG8AQwBvAHUAbgB0ACkAIAArACAAMQBcAG4AIAAgACAAIAAgACAAIAAgACAAIAAgACAAIAAgACAAIAAgACAAIAAgACAAIAAgACAAIAAgACAAIAAgACAAIAAgACAAIAAgACAARgByAG8AbQBBAG0AbwB1AG4AdAAsACAAIAAgACAAIABJAE4ARABFAFgAKAAgAEEAbQBvAHUAbgB0AHMALAAgAFEAVQBPAFQASQBFAE4AVAAoACAAQwAgAC0AIAAxACwAIABUAG8AQwBvAHUAbgB0ACkAIAArACAAMQApACw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8ALwAgACAAVABoAGUAIABsAGEAcwB0ACAAcABhAHIAdAAgAG8AZgAgAGUAYQBjAGgAIABhAG0AbwB1AG4AdAAgAGMAYQByAHIAaQBlAHMAIAB0AGgAZQAgAHIAbwB1AG4AZABpAG4AZwAgAGQAaQBmAGYAZQByAGUAbgBjAGUAXABuACAAIAAgACAAIAAgACAAIAAgACAAIAAgACAAIAAgACAAIAAgACAAIAAgACAAIAAgACAAIAAgACAAIAAgACAAIAAgACAAIAAgAEwAYQBzAHQAPwAsACAAIAAgACAAIAAgACAAIAAgACAATQBPAEQAKAAgAEMAIAAtACAAMQAsACAAVABvAEMAbwB1AG4AdAApACAAKwAgADEAIAA9ACAAVABvAEMAbwB1AG4AdAAsAFwAbgAgACAAIAAgACAAIAAgACAAIAAgACAAIAAgACAAIAAgACAAIAAgACAAIAAgACAAIAAgACAAIAAgACAAIAAgACAAIAAgACAAIABJAEYAKAAgAEEATgBEACgAIABMAGEAcwB0AD8ALAAgAFQAbwBDAG8AdQBuAHQAIAA+ACAAMQApACwAXABuACAAIAAgACAAIAAgACAAIAAgACAAIAAgACAAIAAgACAAIAAgACAAIAAgACAAIAAgACAAIAAgACAAIAAgACAAIAAgACAAIAAgACAAIAAgACAARgByAG8AbQBBAG0AbwB1AG4AdAAgAC0AIABTAFUATQAoACAARQBYAFAAQQBOAEQAKAAgAFQAbwBBAG0AbwB1AG4AdAAsACAAMQAsACAATQBBAFgAKAAgAFQAbwBDAG8AdQBuAHQAIAAtACAAMQAsACAAMQApACwAIABUAG8AQQBtAG8AdQBuAHQAKQApACwAXABuACAAIAAgACAAIAAgACAAIAAgACAAIAAgACAAIAAgACAAIAAgACAAIAAgACAAIAAgACAAIAAgACAAIAAgACAAIAAgACAAIAAgACAAIAAgACAAVABvAEEAbQBvAHUAbgB0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IAAgACAAIAAgACAAIAAgACAAIAAgACAAIAAgAJIhPQBvAHo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gACAAIAAgAFAAZQByAGkAbwBkAHMALAAgACAAIAAgACAAIAAgACAAIAAgACAAIABJAE4AVAAoACAATQBvAG4AdABoAHMAIAAvACAATQBwAFAAKQAsAFwAbgAgACAAIAAgACAAIAAgACAAUABhAHIAdABpAGEAbABQAGUAcgBpAG8AZAAsACAAIAAgACAAIAAgAE4AKAAgAE0ATwBEACgAIABNAG8AbgB0AGgAcwAsACAATQBwAFA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CgAIABJAG4AdABlAHIAdgBhAGwAIAA9ACAAXAAiAFcAXAAiACwAIABcAG4AIAAgACAAIAAgACAAIAAgACAAIAAgACAAIAAgACAAIAAgACAAIAAgACAAIAAgACAAIAAgACAAIAAgACAAIAAgAEkATgBUACgAKABFAG4AZABEAGEAdABlACAALQAgAFMAdABhAHIAdABEAGEAdABlACAAKwAgADEAKQAgAC8AIAA3ACkALABcAG4AIAAgACAAIAAgACAAIAAgACAAIAAgACAAIAAgACAAIAAgACAAIAAgACA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TABO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QA4ADAALAAxADgAMAAsADEAOAAwACwAMQA4ADAALAAxADg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RABlAHAAbgAsACAAIAAgACAAIAAgACAAIAAgACAAIABTAEwATgAoAEMAbwBzAHQALAAgAFMAYQBsAHYAYQBnAGUALAAgAEwAaQBmAGUAKQAsAFwAbgAgACAAIAAgACAAIAAgACAAUgBlAHMAdQBsAHQALAAgACAAIAAgACAAIAAgACAAIABFAFgAUABBAE4ARAAoAEQAZQBwAG4ALAAgADEALAAgAEwAaQBmAGUALAAgAEQAZQBwAG4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TAFkARAC7A1wAbgAgACAAIAAgAEQARQBTAEMAUgBJAFAAVABJAE8ATgA6ACoALwAvACoAKgBTAHUAbQAtAG8AZgAtAHkAZQBhAHIAcwAnACAAZABpAGcAaQB0AHMAIABkAGUAcAByAGUAYwBpAGEAdABpAG8AbgAgAG0AZQB0AGgAbwBkACAAZgBvAHIAIABvAG4AZQAgAGEAcwBzAGUAdAAgAG8AcgAgAGEAcwBzAGUAdAAgAGMAbABhAHMAcwAuACoALwBcAG4AUwBZAEQ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FkARAC7AygAQwBvAHMAdAAsACAAUwBhAGwAdgBhAGcAZQAsACAATABpAGYAZQApALYAXAAiACAAJgBcAG4AIAAgACAAIAAgACAAIAAgACAAIAAgACAAIAAgACAAIAAgACAAIAAgACAAIAAgACAAIAAgACAAIABcACIARABFAFMAQwBSAEkAUABUAEkATwBOADoAIAAgACAAkiFTAHUAbQAtAG8AZgAtAHkAZQBhAHIAcwAnACAAZABpAGcAaQB0AHM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ZAEQ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sADIANAAwACwAMQA4ADAALAAxADIAMAAs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UgBlAHMAdQBsAHQALAAgACAAIAAgACAAIAAgACAAUwBZAEQAKABDAG8AcwB0ACwAIABTAGEAbAB2AGEAZwBlACwAIABMAGkAZgBlACwAIABTAEUAUQBVAEUATgBDAEUAKAAgACwAIABMAGkAZg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CALsDXABuACAAIAAgACAARABFAFMAQwBSAEkAUABUAEkATwBOADoAKgAvAC8AKgAqAEYAaQB4AGUAZAAgAGQAZQBjAGwAaQBuAGkAbgBnACAAYgBhAGwAYQBuAGMAZQAgAGQAZQBwAHIAZQBjAGkAYQB0AGkAbwBuACAAbQBlAHQAaABvAGQAIABmAG8AcgAgAG8AbgBlACAAYQBzAHMAZQB0ACAAbwByACAAYQBzAHMAZQB0ACAAYwBsAGEAcwBzAC4AKgAvAFwAbgBEAEIAuwMgAD0AIABMAEEATQBCAEQAQQAoAFwAbgAvAC8AIAAgAFAAYQByAGEAbQBlAHQAZQByACAARABlAGMAbABhAHIAYQB0AGkAbwBuAFwAbgAgACAAIAAgAFsAQwBvAHMAdABdACwAXABuACAAIAAgACAAWwBTAGEAbAB2AGEAZwBlAF0ALAAgAFwAbgAgACAAIAAgAFsATABpAGYAZQBdACwAIABcAG4AIAAgACAAIABbAE0AbwBuAHQAaABz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TQBvAG4AdABoAHMAXQApALYAXAAiACAAJgBcAG4AIAAgACAAIAAgACAAIAAgACAAIAAgACAAIAAgACAAIAAgACAAIAAgACAAIAAgACAAIAAgACAAIABcACIARABFAFMAQwBSAEkAUABUAEkATwBOADoAIAAgACAAkiFGAGkAeABlAGQAIABkAGUAYwBsAGkAbgBpAG4AZwAgAGIAYQBsAGEAbgBjAGUAIABkAGUAcAByAGUAYwBpAGEAdABpAG8AbgAgAG0AZQB0AGgAbwBkACAAZgBvAHIAIABvAG4AZQAgAGEAcwBzAGUAdAAgAG8AcgAgAGEAcwBzAGUAdAAgAGMAbABhAHMAcw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NAG8AbgB0AGgAcwAgACAAIAAgACAAIAAgACAAIACSISgATwBwAHQAaQBvAG4AYQBsACkAIABOAHUAbQBiAGUAcgAgAG8AZgAgAG0AbwBuAHQAaABzACAAaQBuACAAdABoAGUAIABmAGkAcgBzAHQAIAB5AGUAYQByACAAdABvACAAZABlAHAAcgBlAGMAaQBhAHQAZQ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2ADkALgAwADAALAAyADMAMgAuADgANAAsADEANAA2AC4AOQAyACwAOQAyAC4ANwAxACwANQA4AC4ANQ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TQBvAG4AdABoAHMALAAgACAAIAAgACAAIAAgACAAIABJAEYAKAAgAEkAUwBPAE0ASQBUAFQARQBEACgAIABNAG8AbgB0AGgAcwApACwAIAAxADIALAAgAE0AbwBuAHQAaABzACkALABcAG4AIAAgACAAIAAvAC8AIAAgAFAAcgBvAGMAZQBkAHUAcgBlAFwAbgAgACAAIAAgACAAIAAgACAARABlAHAAbgAsACAAIAAgACAAIAAgACAAIAAgACAAIABEAEIAKAAgAEMAbwBzAHQALAAgAFMAYQBsAHYAYQBnAGUALAAgAEwAaQBmAGUALAAgAFMARQBRAFUARQBOAEMARQAoACAALAAgAEwAaQBmAGUAIAAtACAAMQAgACkALAAgAE0AbwBuAHQAaABz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QAQgC7A1wAbgAgACAAIAAgAEQARQBTAEMAUgBJAFAAVABJAE8ATgA6ACoALwAvACoAKgBEAG8AdQBiAGwAZQAtAGQAZQBjAGwAaQBuAGkAbgBnACAAYgBhAGwAYQBuAGMAZQAgAGQAZQBwAHIAZQBjAGkAYQB0AGkAbwBuACAAbQBlAHQAaABvAGQAIABmAG8AcgAgAG8AbgBlACAAYQBzAHMAZQB0ACAAbwByACAAYQBzAHMAZQB0ACAAYwBsAGEAcwBzAC4AKgAvAFwAbgBE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RABCALsDKABDAG8AcwB0ACwAIABTAGEAbAB2AGEAZwBlACwAIABMAGkAZgBlACwAIABbAEYAYQBjAHQAbwByAF0AKQC2AFwAIgAgACYAXABuACAAIAAgACAAIAAgACAAIAAgACAAIAAgACAAIAAgACAAIAAgACAAIAAgACAAIAAgACAAIAAgACAAXAAiAEQARQBTAEMAUgBJAFAAVABJAE8ATgA6ACAAIAAgAJIhRABvAHUAYgBsAGUALQ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FwAbgAgACAAIAAgACAAIAAgACAARABlAHAAbgAsACAAIAAgACAAIAAgACAAIAAgACAAIABEAEQAQgAoACAAQwBvAHMAdAAsACAAUwBhAGwAdgBhAGcAZQAsACAATABpAGYAZQAsACAAUwBFAFEAVQBFAE4AQwBFACgAIAAsACAATABpAGYAZQAgAC0AMQApACwAIABGAGEAYwB0AG8Acg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4AbwBfAFMAdwBpAHQAYwBoACAAIAAgACAAIAAgAJIhKABPAHAAdABpAG8AbgBhAGwAIABEAGUAZgBhAHUAbAB0AD0ARgBBAEwAUwBFACkAIABTAHcAaQB0AGMAaAAgAHQAbwAgAHMAdAByAGEAaQBnAGgAdAAtAGwAaQBuAGUAIABkAGUAcAByAGUAYwBpAGEAdABpAG8AbgAgAHcAaABlAG4AtgBcACIAIAAmACAAXABuACAAIAAgACAAIAAgACAAIAAgACAAIAAgACAAIAAgACAAIAAgACAAIAAgACAAIAAgACAAIAAgACAAIAAgACAAIAAgACAAIAAgACAAIAAgACAAIAAgACAAXAAiAJIhIABkAGUAcAByAGUAYwBpAGEAdABpAG8AbgAgAGkAcwAgAGcAcgBlAGEAdABlAHIAIAB0AGgAYQBuACAAdABoAGUAIABkAGUAYwBsAGkAbgBpAG4AZwAgAGIAYQBsAGEAbgBjAGUAIABjAGEAbABjAHUAbABhAHQAaQBvAG4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YARABCALsDKAAxADAAMAAwACwAIAAxADAAMAAsACAANQAsACAAMQAuADUALAAgAFQAUgBVAE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4AMAAwACwAMgAxADAALgAwADAALAAxADQANwAuADAAMAAsADEAMAAyAC4AOQAwACwANwAyAC4AMA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IAAgACAAIABOAG8AXwBTAHcAaQB0AGMAaAAsACAAIAAgACAAIAAgAEkARgAoACAASQBTAE8ATQBJAFQAVABFAEQAKAAgAE4AbwBfAFMAdwBpAHQAYwBoACkALAAgAEYAQQBMAFMARQAsACAATgBvAF8AUwB3AGkAdABjAGgAKQAsAFwAbgAgACAAIAAgAC8ALwAgACAAUAByAG8AYwBlAGQAdQByAGUAXABuACAAIAAgACAAIAAgACAAIABSAGUAcwB1AGwAdAAsACAAIAAgACAAIAAgACAAIAAgAFYARABCACgAIABDAG8AcwB0ACwAIABTAGEAbAB2AGEAZwBlACwAIABMAGkAZgBlACwAIABTAEUAUQBVAEUATgBDAEUAKAAgACwAIABMAGkAZgBlACwAIAAwACkALAAgAFMARQBRAFUARQBOAEMARQAoACAALAAgAEwAaQBmAGUAKQAsACAARgBhAGMAdABvAHIALAAgAE4AbwBfAFMAdwBpAHQAYwBoACkAL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EAbQBvAHIAdABpAHMAZQC7A0QAVgBcAG4AIAAgACAAIABEAEUAUwBDAFIASQBQAFQASQBPAE4AOgAqAC8ALwAqACoAUAByAG8AdgBpAGQAZQBzACAAZQB4AHQAZQBuAGQAZQBkACAAZABhAHQAYQAgAHYAYQBsAGkAZABhAHQAaQBvAG4AIABvAGYAIABhAHIAZwB1AG0AZQBuAHQAcwAgAGYAbwByACAAQQBtAG8AcgB0AGkAcwBlALsDKAApACoALwBcAG4AQQBtAG8AcgB0AGkAcwBlALsDRABWACAAPQAgAEwAQQBNAEIARABBACgAXABuAC8ALwAgACAAUABhAHIAYQBtAGUAdABlAHIAIABEAGUAYwBsAGEAcgBhAHQAaQBvAG4AcwBcAG4AIAAgACAAIABbAFAAcgBpAG4AYwBpAHAAYQBsAF0ALABcAG4AIAAgACAAIABbAEEAUABSAF0ALABcAG4AIAAgACAAIABbAFQAZQByAG0AXQAsACAAXABuACAAIAAgACAAWwBTAHQAYQByAHQARABhAHQAZQBdACwAXABuACAAIAAgACAAWwBUAGkAbQBlAGwAaQBuAGU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QAHIAaQBuAGMAaQBwAGEAbAApACkALABcAG4AIAAgACAAIAAgACAAIAAgACAAIAAgACAAIAAgACAAIAAgACAAIAAgACAAIAAgACAAIAAgACAAIABPAFIAKAAgAEkAUwBFAFIAUgBPAFIAKAAgAEEAUABSACkAKQAsAFwAbgAgACAAIAAgACAAIAAgACAAIAAgACAAIAAgACAAIAAgACAAIAAgACAAIAAgACAAIAAgACAAIAAgAE8AUgAoACAASQBTAEUAUgBSAE8AUgAoACAAVABlAHIAbQApACkALABcAG4AIAAgACAAIAAgACAAIAAgACAAIAAgACAAIAAgACAAIAAgACAAIAAgACAAIAAgACAAIAAgACAAIABPAFIAKAAgAEkAUwBFAFIAUgBPAFIAKAAgAFMAdABhAHIAdABEAGEAdABlACkAKQAsAFwAbgAgACAAIAAgACAAIAAgACAAIAAgACAAIAAgACAAIAAgACAAIAAgACAAIAAgACAAIAAgACAAIAAgAE8AUgAoACAASQBTAEUAUgBSAE8AUgAoACAAVABpAG0AZQBsAGkAbgBl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UAByAGkAbgBjAGkAcABhAGwAKQAsACAASQBTAEUAUgBSAE8AUgAoACAAUAByAGkAbgBjAGkAcABhAGwAKQApACwAIABcAG4AIAAgACAAIAAgACAAIAAgACAAIAAgACAAIAAgACAAIAAgACAAIAAgACAAIAAgACAAIAAgACAAIABGAEEATABTAEUALAAgAFwAbgAgACAAIAAgACAAIAAgACAAIAAgACAAIAAgACAAIAAgACAAIAAgACAAIAAgACAAIAAgACAAIAAgAE8AUgAoACAASQBGAEUAUgBSAE8AUgAoACAAVgBBAEwAVQBFACgAUAByAGkAbgBjAGkAcABhAGwAKQAgADwAIAAxACwAIABUAFIAVQBFACkAKQApACwAXABuACAAIAAgACAAIAAgACAAIABEAFYAQQByAGcAMgAsACAAIAAgACAAIAAgACAAIAAgAEkARgAoACAATwBSACgAIABJAFMATwBNAEkAVABUAEUARAAoACAAQQBQAFIAKQAsACAASQBTAEUAUgBSAE8AUgAoACAAQQBQAFIAKQApACwAIABcAG4AIAAgACAAIAAgACAAIAAgACAAIAAgACAAIAAgACAAIAAgACAAIAAgACAAIAAgACAAIAAgACAAIABGAEEATABTAEUALAAgAFwAbgAgACAAIAAgACAAIAAgACAAIAAgACAAIAAgACAAIAAgACAAIAAgACAAIAAgACAAIAAgACAAIAAgAE8AUgAoACAASQBGAEUAUgBSAE8AUgAoACAAVgBBAEwAVQBFACgAQQBQAFIAKQAgADwAPQAgADAALAAgAFQAUgBVAEUAKQApACkALABcAG4AIAAgACAAIAAgACAAIAAgAEQAVgBBAHIAZwAzACwAIAAgACAAIAAgACAAIAAgACAASQBGACgAIABPAFIAKAAgAEkAUwBPAE0ASQBUAFQARQBEACgAIABUAGUAcgBtACkALAAgAEkAUwBFAFIAUgBPAFIAKAAgAFQAZQByAG0AKQApACwAIABcAG4AIAAgACAAIAAgACAAIAAgACAAIAAgACAAIAAgACAAIAAgACAAIAAgACAAIAAgACAAIAAgACAAIABGAEEATABTAEUALAAgAFwAbgAgACAAIAAgACAAIAAgACAAIAAgACAAIAAgACAAIAAgACAAIAAgACAAIAAgACAAIAAgACAAIAAgAE8AUgAoACAASQBGAEUAUgBSAE8AUgAoACAAVgBBAEwAVQBFACgAVABlAHIAbQApACAAPAAgADEALAAgAFQAUgBVAEUAKQApACkALABcAG4AIAAgACAAIAAgACAAIAAgAEQAVgBBAHIAZwA0ACwAIAAgACAAIAAgACAAIAAgACAASQBGACgAIABPAFIAKAAgAEkAUwBPAE0ASQBUAFQARQBEACgAIABTAHQAYQByAHQARABhAHQAZQApACwAIABJAFMARQBSAFIATwBSACgAIABTAHQAYQByAHQARABhAHQAZQApACkALAAgAFwAbgAgACAAIAAgACAAIAAgACAAIAAgACAAIAAgACAAIAAgACAAIAAgACAAIAAgACAAIAAgACAAIAAgAEYAQQBMAFMARQAsACAAXABuACAAIAAgACAAIAAgACAAIAAgACAAIAAgACAAIAAgACAAIAAgACAAIAAgACAAIAAgACAAIAAgACAATwBSACgAIABJAEYARQBSAFIATwBSACgAIABWAEEATABVAEUAKABTAHQAYQByAHQARABhAHQAZQApACAAPAAgAE0ASQBOACgAIABUAGkAbQBlAGwAaQBuAGUAKQAsACAAVABSAFUARQApACkAKQAsAFwAbgAgACAAIAAgACAAIAAgACAARABWAEEAcgBnADUALAAgACAAIAAgACAAIAAgACAAIABJAEYAKAAgAE8AUgAoACAASQBTAE8ATQBJAFQAVABFAEQAKAAgAFQAaQBtAGUAbABpAG4AZQ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VABpAG0AZQBsAGkAbgBlACkAIAA8ACAAMQAsACAAVABSAFUARQApACkAKQAsAFwAbgAgACAAIAAgACAAIAAgACAARABWAEEAcgBnADYALAAgACAAIAAgACAAIAAgACAAIABJAEYAKAAgAE8AUgAoACAASQBTAE8ATQBJAFQAVABFAEQAKAAgAFQAaQBtAGUAbABpAG4AZQApACwAIABJAFMARQBSAFIATwBSACgAIABUAGkAbQBlAGwAaQBuAGUAKQAsACAARABWAEEAcgBnADUAKQAsACAAXABuACAAIAAgACAAIAAgACAAIAAgACAAIAAgACAAIAAgACAAIAAgACAAIAAgACAAIAAgACAAIAAgACAARgBBAEwAUwBFACwAIABcAG4AIAAgACAAIAAgACAAIAAgACAAIAAgACAAIAAgACAAIAAgACAAIAAgACAAIAAgACAAIAAgACAAIABDAE8AVQBOAFQAQQAoAFQAaQBtAGUAbABpAG4AZQApACAAPAAgADIAKQAsAFwAbgAgACAAIAAgACAAIAAgACAARABWAEEAcgBnADcALAAgACAAIAAgACAAIAAgACAAIABJAEYAKAAgAE8AUgAoACAASQBTAE8ATQBJAFQAVABFAEQAKAAgAFQAaQBtAGUAbABpAG4AZQApACwAIABJAFMARQBSAFIATwBSACgAIABUAGkAbQBlAGwAaQBuAGUAKQAsACAARABWAEEAcgBnADUALAAgAEQAVgBBAHIAZwA2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MAMAAgACkALABcAG4AIAAgACAAIAAgACAAIAAgAEQAVgBFAHIAcgBvAHIAcwAsACAAIAAgACAAIAAgACAAVgBTAFQAQQBDAEsAKAAgAEQAVgBBAHIAZwAxACwAIABEAFYAQQByAGcAMgAsACAARABWAEEAcgBnADMALAAgAEQAVgBBAHIAZwA0ACwAIABEAFYAQQByAGcANQAsACAARABWAEEAcgBnADYALAAgAEQAVgBBAHIAZwA3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BcACIAQQBtAG8AdQBuAHQAIABjAG8AbgB0AGEAaQBuAHMAIABlAHIAcgBvAHIAcwAgAGkAbgAgAGMAZQBsAGwAcwAuACAAUgBlAHMAbwBsAHYAZQAgAGUAcgByAG8AcgBzACAAZgBpAHIAcwB0AC4AXAAiADsAXABuACAAIAAgACAAIAAgACAAIAAgACAAIAAgACAAIAAgACAAIAAgACAAIAAgACAAIAAgAFwAIgBBAFAAUgAgAGMAbwBuAHQAYQBpAG4AcwAgAGUAcgByAG8AcgBzACAAaQBuACAAYwBlAGwAbABzAC4AIABSAGUAcwBvAGwAdgBlACAAZQByAHIAbwByAHMAIABmAGkAcgBzAHQALgBcACIAOwBcAG4AIAAgACAAIAAgACAAIAAgACAAIAAgACAAIAAgACAAIAAgACAAIAAgACAAIAAgACAAXAAiAFQAZQByAG0AIABjAG8AbgB0AGEAaQBuAHMAIABlAHIAcgBvAHIAcwAgAGkAbgAgAGMAZQBsAGwAcwAuACAAUgBlAHMAbwBsAHYAZQAgAGUAcgByAG8AcgBzACAAZgBpAHIAcwB0AC4AXAAiADsAXABuACAAIAAgACAAIAAgACAAIAAgACAAIAAgACAAIAAgACAAIAAgACAAIAAgACAAIAAgAFwAIgBTAHQAYQByAHQARABhAHQAZQAgAGMAbwBuAHQAYQBpAG4AcwAgAGUAcgByAG8AcgBzACAAaQBuACAAYwBlAGwAbABzAC4AIABSAGUAcwBvAGwAdgBlACAAZQByAHIAbwByAHMAIABmAGkAcgBzAHQALgBcACIAOwBcAG4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BcACIAQQBtAG8AdQBuAHQAIABtAHUAcwB0ACAAYgBlACAAZwByAGUAYQB0AGUAcgAgAHQAaABhAG4AIAAwAFwAIgA7AFwAbgAgACAAIAAgACAAIAAgACAAIAAgACAAIAAgACAAIAAgACAAIAAgACAAIAAgACAAIABcACIAQQBQAFIAIABtAHUAcwB0ACAAYgBlACAAYQAgAHAAZQByAGMAZQBuAHQAYQBnAGUAIABnAHIAZQBhAHQAZQByACAAdABoAGEAbgAgADAAXAAiADsAXABuACAAIAAgACAAIAAgACAAIAAgACAAIAAgACAAIAAgACAAIAAgACAAIAAgACAAIAAgAFwAIgBUAGUAcgBtACAAbQB1AHMAdAAgAGIAZQAgAHQAaABlACAAbgB1AG0AYgBlAHIAIABvAGYAIAB0AGkAbQBlAGwAaQBuAGUAIABwAGUAcgBpAG8AZABzACAAdQBuAHQAaQBsACAAdABoAGUAIABkAGUAYgB0ACAAaQBzACAAcwBhAHQAaQBzAGYAaQBlAGQALgBcACIAOwBcAG4AIAAgACAAIAAgACAAIAAgACAAIAAgACAAIAAgACAAIAAgACAAIAAgACAAIAAgACAAXAAiAFMAdABhAHIAdABEAGEAdABlACAAbQB1AHMAdAAgAGIAZQAgAGEAIAB2AGEAbABpAGQAIABkAGEAdABlAC4AXAAiADsAXABuACAAIAAgACAAIAAgACAAIAAgACAAIAAgACAAIAAgACAAIAAgACAAIAAgACAAIAAgAFwAIgBUAGkAbQBlAGwAaQBuAGUAIABtAHUAcwB0ACAAYQAgAHIAbwB3ACAAbwBmACAAcABlAHIAaQBvAGQAIABzAHQAYQByAHQAIABkAGEAdABlAHMAIAB3AGkAdABoACAAZQB2AGUAcgB5ACAAcABlAHIAaQBvAGQAIABzAHAAYQBuAG4AaQBuAGcAIABhACAAbQBvAG4AdABoACwAIABxAHUAYQByAHQAZQByACAAbwByACAAeQBlAGEAcgAuAFwAIgA7AFwAbgAgACAAIAAgACAAIAAgACAAIAAgACAAIAAgACAAIAAgACAAIAAgACAAIAAgACAAIABcACIAVABpAG0AZQBsAGkAbgBlACAAbQB1AHMAdAAgAGEAIAByAG8AdwAgAG8AZgAgAHAAZQByAGkAbwBkACAAcwB0AGEAcgB0ACAAZABhAHQAZQBzACAAdwBpAHQAaAAgAG0AbwByAGUAIAB0AGgAYQBuACAAMQAgAGUAbgB0AHIAeQAuAFwAIgA7AFwAbgAgACAAIAAgACAAIAAgACAAIAAgACAAIAAgACAAIAAgACAAIAAgACAAIAAgACAAIABcACIAVABpAG0AZQBsAGkAbgBlACAAbQB1AHMAdAAgAGEAIAByAG8AdwAgAG8AZgAgAHAAZQByAGkAbwBkACAAcwB0AGEAcgB0ACAAZABhAHQAZQBzACAAcwBwAGEAbgBuAGkAbgBnACAAbgBvACAAbABlAHMAcwAgAHQAaABhAG4AIABhACAAbQBvAG4AdABo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DAG8AcgBrAHMAYwByAGUAdwC7A0QAVgBcAG4AIAAgACAAIABEAEUAUwBDAFIASQBQAFQASQBPAE4AOgAqAC8ALwAqACoAUAByAG8AdgBpAGQAZQBzACAAZQB4AHQAZQBuAGQAZQBkACAAZABhAHQAYQAgAHYAYQBsAGkAZABhAHQAaQBvAG4AIABvAGYAIABhAHIAZwB1AG0AZQBuAHQAcwAgAGYAbwByACAARABlAHAAcgBlAGMAaQBhAHQAZQC7Ay4AKgAvAFwAbgBDAG8AcgBrAHMAYwByAGUAdwC7A0QAVgA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CAAIAAgACAAWwBEAGkAYQBnAG4AbwBzAHQAaQBjAHM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TwBwAGUAbgBpAG4AZwApACkALABcAG4AIAAgACAAIAAgACAAIAAgACAAIAAgACAAIAAgACAAIAAgACAAIAAgACAAIAAgACAAIAAgACAAIABPAFIAKAAgAEkAUwBFAFIAUgBPAFIAKAAgAEYAbABvAHcAMQApACkALABcAG4AIAAgACAAIAAgACAAIAAgACAAIAAgACAAIAAgACAAIAAgACAAIAAgACAAIAAgACAAIAAgACAAIABPAFIAKAAgAEkAUwBFAFIAUgBPAFIAKAAgAEYAbABvAHcAMgApACkALABcAG4AIAAgACAAIAAgACAAIAAgACAAIAAgACAAIAAgACAAIAAgACAAIAAgACAAIAAgACAAIAAgACAAIABPAFIAKAAgAEkAUwBFAFIAUgBPAFIAKAAgAEYAbABvAHcAMwApACkALABcAG4AIAAgACAAIAAgACAAIAAgACAAIAAgACAAIAAgACAAIAAgACAAIAAgACAAIAAgACAAIAAgACAAIABPAFIAKAAgAEkAUwBFAFIAUgBPAFIAKAAgAEYAbABvAHcANA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E8AcABlAG4AaQBuAGcAKQAsACAASQBTAEUAUgBSAE8AUgAoACAATwBwAGUAbgBpAG4AZwApACkALAAgAFwAbgAgACAAIAAgACAAIAAgACAAIAAgACAAIAAgACAAIAAgACAAIAAgACAAIAAgACAAIAAgACAAIAAgAEYAQQBMAFMARQAsACAAXABuACAAIAAgACAAIAAgACAAIAAgACAAIAAgACAAIAAgACAAIAAgACAAIAAgACAAIAAgACAAIAAgACAATgBPAFQAKAAgAEkAUwBOAFUATQBCAEUAUgAoACAATwBwAGUAbgBpAG4AZwAgACkAKQApACwAXABuACAAIAAgACAAIAAgACAAIABEAFYAQQByAGcAMgAsACAAIAAgACAAIAAgACAAIAAgAEkARgAoACAATwBSACgAIABJAFMATwBNAEkAVABUAEUARAAoACAARgBsAG8AdwAxACkALAAgAEkAUwBFAFIAUgBPAFIAKAAgAEYAbABvAHcAMQApACkALAAgAFwAbgAgACAAIAAgACAAIAAgACAAIAAgACAAIAAgACAAIAAgACAAIAAgACAAIAAgACAAIAAgACAAIAAgAEYAQQBMAFMARQAsACAAXABuACAAIAAgACAAIAAgACAAIAAgACAAIAAgACAAIAAgACAAIAAgACAAIAAgACAAIAAgACAAIAAgACAATgBPAFQAKAAgAEEATgBEACgASQBTAE4AVQBNAEIARQBSACgAIABGAGwAbwB3ADEAIAApACkAKQApACwAXABuACAAIAAgACAAIAAgACAAIABEAFYAQQByAGcAMwAsACAAIAAgACAAIAAgACAAIAAgAEkARgAoACAATwBSACgAIABJAFMATwBNAEkAVABUAEUARAAoACAARgBsAG8AdwAyACkALAAgAEkAUwBFAFIAUgBPAFIAKAAgAEYAbABvAHcAMgApACkALAAgAFwAbgAgACAAIAAgACAAIAAgACAAIAAgACAAIAAgACAAIAAgACAAIAAgACAAIAAgACAAIAAgACAAIAAgAEYAQQBMAFMARQAsACAAXABuACAAIAAgACAAIAAgACAAIAAgACAAIAAgACAAIAAgACAAIAAgACAAIAAgACAAIAAgACAAIAAgACAATgBPAFQAKAAgAEEATgBEACgASQBTAE4AVQBNAEIARQBSACgAIABGAGwAbwB3ADIAIAApACkAKQApACwAXABuACAAIAAgACAAIAAgACAAIABEAFYAQQByAGcANAAsACAAIAAgACAAIAAgACAAIAAgAEkARgAoACAATwBSACgAIABJAFMATwBNAEkAVABUAEUARAAoACAARgBsAG8AdwAzACkALAAgAEkAUwBFAFIAUgBPAFIAKAAgAEYAbABvAHcAMwApACkALAAgAFwAbgAgACAAIAAgACAAIAAgACAAIAAgACAAIAAgACAAIAAgACAAIAAgACAAIAAgACAAIAAgACAAIAAgAEYAQQBMAFMARQAsACAAXABuACAAIAAgACAAIAAgACAAIAAgACAAIAAgACAAIAAgACAAIAAgACAAIAAgACAAIAAgACAAIAAgACAATgBPAFQAKAAgAEEATgBEACgASQBTAE4AVQBNAEIARQBSACgAIABGAGwAbwB3ADMAIAApACkAKQApACwAXABuACAAIAAgACAAIAAgACAAIABEAFYAQQByAGcANQAsACAAIAAgACAAIAAgACAAIAAgAEkARgAoACAATwBSACgAIABJAFMATwBNAEkAVABUAEUARAAoACAARgBsAG8AdwA0ACkALAAgAEkAUwBFAFIAUgBPAFIAKAAgAEYAbABvAHcANAApACkALAAgAFwAbgAgACAAIAAgACAAIAAgACAAIAAgACAAIAAgACAAIAAgACAAIAAgACAAIAAgACAAIAAgACAAIAAgAEYAQQBMAFMARQAsACAAXABuACAAIAAgACAAIAAgACAAIAAgACAAIAAgACAAIAAgACAAIAAgACAAIAAgACAAIAAgACAAIAAgACAATgBPAFQAKAAgAEEATgBEACgASQBTAE4AVQBNAEIARQBSACgAIABGAGwAbwB3ADQAIAApACkAKQApACwAXABuACAAIAAgACAAIAAgACAAIABEAFYARQByAHIAbwByAHMALAAgACAAIAAgACAAIAAgAFYAUwBUAEEAQwBLACgAIABEAFYAQQByAGcAMQAsACAARABWAEEAcgBnADIALAAgAEQAVgBBAHIAZwAzACwAIABEAFYAQQByAGcANAAsACAARABWAEEAcgBnADU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QAaQBhAGcAbgBvAHMAdABpAGMAcwAgACoAIABFAHIAcgBvAHIAcwBJAG4AQQByAGcAcwAsACAARABpAGEAZwBuAG8AcwB0AGkAYwBzACAAKgAgAEQAVgBFAHIAcgBvAHIAcwApACwAIABcAG4AIAAgACAAIAAgACAAIAAgAEUAcgByAE0AcwBnAHMALAAgACAAIAAgACAAIAAgACAAewBcACIATwBwAGUAbgBpAG4AZwAgAGMAbwBuAHQAYQBpAG4AcwAgAGUAcgByAG8AcgBzACAAaQBuACAAYwBlAGwAbABzAC4AIABSAGUAcwBvAGwAdgBlACAAZQByAHIAbwByAHMAIABmAGkAcgBzAHQALgBcACIAOwBcAG4AIAAgACAAIAAgACAAIAAgACAAIAAgACAAIAAgACAAIAAgACAAIAAgACAAIAAgACAAIABcACIARgBsAG8AdwAxACAAYwBvAG4AdABhAGkAbgBzACAAZQByAHIAbwByAHMAIABpAG4AIABjAGUAbABsAHMALgAgAFIAZQBzAG8AbAB2AGUAIABlAHIAcgBvAHIAcwAgAGYAaQByAHMAdAAuAFwAIgA7AFwAbgAgACAAIAAgACAAIAAgACAAIAAgACAAIAAgACAAIAAgACAAIAAgACAAIAAgACAAIAAgAFwAIgBGAGwAbwB3ADIAIABjAG8AbgB0AGEAaQBuAHMAIABlAHIAcgBvAHIAcwAgAGkAbgAgAGMAZQBsAGwAcwAuACAAUgBlAHMAbwBsAHYAZQAgAGUAcgByAG8AcgBzACAAZgBpAHIAcwB0AC4AXAAiADsAXABuACAAIAAgACAAIAAgACAAIAAgACAAIAAgACAAIAAgACAAIAAgACAAIAAgACAAIAAgACAAXAAiAEYAbABvAHcAMwAgAGMAbwBuAHQAYQBpAG4AcwAgAGUAcgByAG8AcgBzACAAaQBuACAAYwBlAGwAbABzAC4AIABSAGUAcwBvAGwAdgBlACAAZQByAHIAbwByAHMAIABmAGkAcgBzAHQALgBcACIAOwBcAG4AIAAgACAAIAAgACAAIAAgACAAIAAgACAAIAAgACAAIAAgACAAIAAgACAAIAAgACAAIABcACIARgBsAG8AdwA0ACAAYwBvAG4AdABhAGkAbgBzACAAZQByAHIAbwByAHMAIABpAG4AIABjAGUAbABsAHMALgAgAFIAZQBzAG8AbAB2AGUAIABlAHIAcgBvAHIAcwAgAGYAaQByAHMAdAAuAFwAIgA7AFwAbgAgACAAIAAgACAAIAAgACAAIAAgACAAIAAgACAAIAAgACAAIAAgACAAIAAgACAAIAAgAFwAbgAgACAAIAAgACAAIAAgACAAIAAgACAAIAAgACAAIAAgACAAIAAgACAAIAAgACAAIAAgAFwAIgBTAGUAdAAgAE8AcABlAG4AaQBuAGcAIABtAHUAcwB0ACAAdABvACAAYwBvAG4AdABhAGkAbgAgAG8AbgBsAHkAIABuAHUAbQBlAHIAaQBjACAAdgBhAGwAdQBlAHMALgBcACIAOwBcAG4AIAAgACAAIAAgACAAIAAgACAAIAAgACAAIAAgACAAIAAgACAAIAAgACAAIAAgACAAIABcACIAUwBlAHQAIABGAGwAbwB3ADEAIAB0AG8AIABjAG8AbgB0AGEAaQBuACAAbwBuAGwAeQAgAG4AdQBtAGUAcgBpAGMAIAB2AGEAbAB1AGUAcwAuAFwAIgA7AFwAbgAgACAAIAAgACAAIAAgACAAIAAgACAAIAAgACAAIAAgACAAIAAgACAAIAAgACAAIAAgAFwAIgBTAGUAdAAgAEYAbABvAHcAMgAgAHQAbwAgAGMAbwBuAHQAYQBpAG4AIABvAG4AbAB5ACAAbgB1AG0AZQByAGkAYwAgAHYAYQBsAHUAZQBzAC4AXAAiADsAXABuACAAIAAgACAAIAAgACAAIAAgACAAIAAgACAAIAAgACAAIAAgACAAIAAgACAAIAAgACAAXAAiAFMAZQB0ACAARgBsAG8AdwAzACAAdABvACAAYwBvAG4AdABhAGkAbgAgAG8AbgBsAHkAIABuAHUAbQBlAHIAaQBjACAAdgBhAGwAdQBlAHMALgBcACIAOwBcAG4AIAAgACAAIAAgACAAIAAgACAAIAAgACAAIAAgACAAIAAgACAAIAAgACAAIAAgACAAIABcACIAUwBlAHQAIABGAGwAbwB3ADQAIAB0AG8AIABjAG8AbgB0AGEAaQBuACAAbwBuAGwAeQAgAG4AdQBtAGUAcgBpAGMAIAB2AGEAbAB1AGUAcw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QAZQBwAHIAZQBjAGkAYQB0AGUAuwNEAFYAXABuACAAIAAgACAARABFAFMAQwBSAEkAUABUAEkATwBOADoAKgAvAC8AKgAqAFAAcgBvAHYAaQBkAGUAcwAgAGUAeAB0AGUAbgBkAGUAZAAgAGQAYQB0AGEAIAB2AGEAbABpAGQAYQB0AGkAbwBuACAAbwBmACAAYQByAGcAdQBtAGUAbgB0AHMAIABmAG8AcgAgAEQAZQBwAHIAZQBjAGkAYQB0AGUAuwM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VABpAG0AZQBsAGkAbgBlAE8AZgBmAHMAZQB0ALsDIAA9ACAATABBAE0AQgBEAEEAKABcAG4ALwAvACAAIABQAGEAcgBhAG0AZQB0AGUAcgAgAEQAZQBjAGwAYQByAGEAdABpAG8AbgBzAFwAbgAgACAAIAAgAFsARABhAHQAZQBdACwAIAAgACAAIABcAG4AIAAgACAAIABbAFQAaQBtAGUAbABpAG4AZQBdACw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E8AZgBmAHMAZQB0ALsDKABEAGEAdABlACwAIABUAGkAbQBlAGwAaQBuAGUAKQC2AFwAIgAgACYAXABuACAAIAAgACAAIAAgACAAIAAgACAAIAAgACAAIAAgACAAIAAgACAAIAAgACAAIAAgACAAIAAgACAAXAAiAEQARQBTAEMAUgBJAFAAVABJAE8ATgA6ACAAIAAgAJIhRABlAHQAZQByAG0AaQBuAGUAcwAgAGkAbgAgAHcAaABpAGMAaAAgAHAAZQByAGkAbwBkACwAIAByAGUAbABhAHQAaQB2AGUAIAB0AG8AIAB0AGgAZQAgAHQAaQBtAGUAbABpAG4AZQAnAHMAIABzAHQAYQByAHQAIABhAG4AZAAgAGkAbgB0AGUAcgB2AGEAbAAsALYAXAAiACAAJgBcAG4AIAAgACAAIAAgACAAIAAgACAAIAAgACAAIAAgACAAIAAgACAAIAAgACAAIAAgACAAIAAgACAAIAAgACAAIAAgACAAIAAgACAAIAAgACAAIAAgACAAIABcACIAkiFhACAAZABhAHQAZQAgAGYAYQBsAGwAcwAgAHcAaQB0AGgAaQBuAC4A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QAYQB0AGUAIAAgACAAIAAgACAAIAAgACAAIAAgAJIhKABSAGUAcQB1AGkAcgBlAGQAKQAgAEEAIABzAHQAYQByAHQAaQBuAGcAIABkAGEAdABlALYAXAAiACAAJgAgAFwAbgAgACAAIAAgACAAIAAgACAAIAAgACAAIAAgACAAIAAgACAAIAAgACAAIAAgACAAIAAgACAAIAAgAFwAIgBUAGkAbQBlAGwAaQBuAGUAIAAgACAAIAAgACAAIACSISgAUgBlAHEAdQBpAHIAZQBkACkAIABBACAAbQBvAGQAZQBsACcAcwAgAHQAaQBtAGUAbABpAG4AZQAgACgAUgBvAHcAIABvAGYAIABwAGUAcgBpAG8AZAAgAHMAdABhAHIAdAAgAGQAYQB0AGUAcwAp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AAIAAgACAAIAAgACAAIAAgACAAIAAgACAAIACSIT0AbwB6AC4AVABpAG0AZQBsAGkAbgBlAE8AZgBmAHMAZQB0ALsDKABcACIAXAAiADEANQAvADgALwAyADAAMgA2AFwAIgBcACIALAAgAEUARABBAFQARQAoAFwAIgBcACIAMQAvADcALwAyADAAMgA2AFwAIgBcACIALAAgAFMARQBRAFUARQBOAEMARQAoACAALAAgADEAMgAsACAAMAApACkAKQC2AFwAIgAgACYAXABuACAAIAAgACAAIAAgACAAIAAgACAAIAAgACAAIAAgACAAIAAgACAAIAAgACAAIAAgACAAIAAgACAAXAAiAC0AMQAxACAAIAAgACAAIAAgACAAIAAgACAAIAAgAJIhPQBvAHoALgBUAGkAbQBlAGwAaQBuAGUATwBmAGYAcwBlAHQAuwMoAFwAIgBcACIAMQA1AC8AOAAvADIAMAAyADUAXAAiAFwAIgAsACAARQBEAEEAVABFACgAXAAiAFwAIgAxAC8ANwAvADIAMAAyADYAXAAiAFwAIgAsACAAUwBFAFEAVQBFAE4AQwBFACgAIAAsACAAMQAyACwAIAAwACkAK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FwAbgAgACAAIAAgACAAIAAgACAAUABlAHIAaQBvAGQAMQAsACAAIAAgACAAIAAgACAAIABJAE4ARABFAFgAKAAgAFQAaQBtAGUAbABpAG4AZQAsACAAMQApACwAXABuACAAIAAgACAAIAAgACAAIABQAGUAcgBpAG8AZAAyACwAIAAgACAAIAAgACAAIAAgAEkATgBEAEUAWAAoACAAVABpAG0AZQBsAGkAbgBlACwAIAAyACkALAAgAFwAbgAgACAAIAAgACAAIAAgACAARABwAFAALAAgACAAIAAgACAAIAAgACAAIAAgACAAIABQAGUAcgBpAG8AZAAyACAALQAgAFAAZQByAGkAbwBkADEALAAgACAAIAAgACAAIAAgACAAIAAgACAAIAAgACAAIAAgACAAIAAgACAALwAvAEQAYQB5AHMAIABQAGUAcgAgAFAAZQByAGkAbwBkAFwAbgAgACAAIAAgACAAIAAgACAATQBwAFAALAAgACAAIAAgACAAIAAgACAAIAAgACAAIABNAEEAWAAoACAAUgBPAFUATgBEACgAIABEAHAAUAAvADMAMAAuADUALAAgADAAKQAsACAAMQApACwAIAAgACAAIAAgACAAIAAgACAALwAvAE0AbwBuAHQAaABzACAAUABlAHIAIABQAGUAcgBpAG8AZAAsACAAbgBlAHYAZQByACAAegBlAHIAbwBcAG4AIAAgACAAIAAgACAAIAAgAFMAdQBiAE0AbwBuAHQAaABsAHkAPwAsACAAIAAgACAAUgBPAFUATgBEACgAIABEAHAAUAAvADMAMAAuADUALAAgADAAKQAgAD0AIAAwACw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EIAeQBNAG8AbgB0AGgALAAgACAAIAAgACAAIAAgACAATQBBAFQAQwBIACgAIABEAGEAdABlACwAIABTAGUAYQByAGMAaABUAGkAbQBlAGwAaQBuAGUALAAgADEAKQAgAC0AIABJAEYAKAAgAEQAaQByAGUAYwB0AGkAbwBuACAAPQAgADEALAAgADEALAAgAFAAZQByAGkAbwBkAEQAaQBmAGYAIAArACAAMgApACwAXABuACAAIAAgACAALwAvACAAIABBACAAcwB1AGIALQBtAG8AbgB0AGgAbAB5ACAAdABpAG0AZQBsAGkAbgBlACAAaQBzACAAYQAgAGYAaQB4AGUAZAAgAG4AdQBtAGIAZQByACAAbwBmACAAZABhAHkAcwAgAHAAZQByACAAcABlAHIAaQBvAGQALAAgAHMAbwAgAHQAaABlACAAbwBmAGYAcwBlAHQAIABpAHMAIAB0AGgAZQBcAG4AIAAgACAAIAAvAC8AIAAgAHcAaABvAGwAZQAgAG4AdQBtAGIAZQByACAAbwBmACAAcABlAHIAaQBvAGQAcwAgAGIAZQB0AHcAZQBlAG4AIAB0AGgAZQAgAHQAaQBtAGUAbABpAG4AZQAgAHMAdABhAHIAdAAgAGEAbgBkACAAdABoAGUAIABkAGEAdABlACwAIABmAGwAbwBvAHIAZQBkACwAIAB3AGgAaQBjAGgAXABuACAAIAAgACAALwAvACAAIABwAHUAdABzACAAYQAgAGQAYQB0AGUAIABiAGUAZgBvAHIAZQAgAHQAaABlACAAdABpAG0AZQBsAGkAbgBlACAAaQBuACAAdABoAGUAIABwAGUAcgBpAG8AZAAgAHQAaABhAHQAIABlAG4AZABzACAAdwBoAGUAcgBlACAAdABoAGUAIAB0AGkAbQBlAGwAaQBuAGUAIABiAGUAZwBpAG4AcwAuAFwAbgAgACAAIAAgACAAIAAgACAAUgBlAHMAdQBsAHQALAAgACAAIAAgACAAIAAgACAAIABJAEYAKAAgAFMAdQBiAE0AbwBuAHQAaABsAHkAPwAsACAASQBOAFQAKAAgACgARABhAHQAZQAgAC0AIABQAGUAcgBpAG8AZAAxACkAIAAvACAARABwAFAAKQAsACAAQgB5AE0AbwBuAHQAa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U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QAaQBtAGUAbABpAG4AZQBQAG8AcwBpAHQAaQBvAG4AuwMoAFMARQBRAFUARQBOAEMARQAoADMALAAzACkALAAgAEUARABBAFQARQAoAFwAIgBcACIAMQAvADcALwAyADAAMgA2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IAAgACAAIABSAGUAcwB1AGwAdAAsACAAIAAgACAAIAAgACAAIAAgAEkARgAoACAAQwBPAEwAVQBNAE4AUwAoAFQASQBNAEUATABJAE4ARQApACAAPgAgADEALAAgAFwAbgAgACAAIAAgACAAIAAgACAAIAAgACAAIAAgACAAIAAgACAAIAAgACAAIAAgACAAIAAvAC8AIAAgAEgAbwByAGkAegBvAG4AdABhAGwAIABUAGkAbQBlAGwAaQBuAGUAXABuACAAIAAgACAAIAAgACAAIAAgACAAIAAgACAAIAAgACAAIAAgACAAIAAgACAAIAAgACAAIAAgACAATQBBAEsARQBBAFIAUgBBAFkAKAAgAFIAbwB3AHMALAAgAEMATwBMAFUATQBOAFMAKAAgAFQAaQBtAGUAbABpAG4AZQApACwAXABuACAAIAAgACAAIAAgACAAIAAgACAAIAAgACAAIAAgACAAIAAgACAAIAAgACAAIAAgACAAIAAgACAAIAAgACAAIABMAEEATQBCAEQAQQAoAFIALAAgAEMALABcAG4AIAAgACAAIAAgACAAIAAgACAAIAAgACAAIAAgACAAIAAgACAAIAAgACAAIAAgACAAIAAgACAAIAAgACAAIAAgACAAIAAgACAASQBGACgAIAAoACgAQwAgAC0AIABPAGYAZgBzAGUAdAApACAAPgA9ACAAMQApACAAKgAgACgAKAAgAEMAIAAtACAATwBmAGYAcwBlAHQAKQAgADwAPQAgAEMAbwBsAHMAKQAgAD0AIAAxACwAXABuACAAIAAgACAAIAAgACAAIAAgACAAIAAgACAAIAAgACAAIAAgACAAIAAgACAAIAAgACAAIAAgACAAIAAgACAAIAAgACAAIAAgACAAIAAgACAASQBOAEQARQBYACgAIABBAHIAcgBhAHkALAAgAFIALAAgAEMAIAAtACAATwBmAGYAcwBlAHQ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AsAFwAbgAgACAAIAAgACAAIAAgACAAIAAgACAAIAAgACAAIAAgACAAIAAgACAAIAAgACAAIAAvAC8AIAAgAFYAZQByAHQAaQBjAGEAbAAgAFQAaQBtAGUAbABpAG4AZQBcAG4AIAAgACAAIAAgACAAIAAgACAAIAAgACAAIAAgACAAIAAgACAAIAAgACAAIAAgACAAIAAgACAAIABNAEEASwBFAEEAUgBSAEEAWQAoACAAUgBPAFcAUwAoACAAVABpAG0AZQBsAGkAbgBlACkALAAgAEMAbwBsAHMALABcAG4AIAAgACAAIAAgACAAIAAgACAAIAAgACAAIAAgACAAIAAgACAAIAAgACAAIAAgACAAIAAgACAAIAAgACAAIAAgAEwAQQBNAEIARABBACgAUgAsACAAQwAsAFwAbgAgACAAIAAgACAAIAAgACAAIAAgACAAIAAgACAAIAAgACAAIAAgACAAIAAgACAAIAAgACAAIAAgACAAIAAgACAAIAAgACAAIABJAEYAKAAgACgAKABSACAALQAgAE8AZgBmAHMAZQB0ACkAIAA+AD0AIAAxACkAIAAqACAAKAAoACAAUgAgAC0AIABPAGYAZgBzAGUAdAApACAAPAA9ACAAUgBvAHcAcwApACAAPQAgADEALABcAG4AIAAgACAAIAAgACAAIAAgACAAIAAgACAAIAAgACAAIAAgACAAIAAgACAAIAAgACAAIAAgACAAIAAgACAAIAAgACAAIAAgACAAIAAgACAAIABJAE4ARABFAFgAKAAgAEEAcgByAGEAeQAsACAAUgAgAC0AIABPAGYAZgBzAGUAdAAsACAAQw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GAGkAbAB0AGUAcgBDAG8AbgB0AGEAaQBuAHMAuwNcAG4AIAAgACAAIABEAEUAUwBDAFIASQBQAFQASQBPAE4AOgAqAC8ALwAqACoARgBpAGwAdABlAHIAIABhAG4AIABhAHIAcgBhAHkAIABiAHkAIABhAG4AbwB0AGgAZQByACAAYQByAHIAYQB5ACAAdABoAGEAdAAgAGMAbwBuAHQAYQBpAG4AcwAgAHMAcABlAGMAaQBmAGkAYwAgAHQAZQB4AHQAKgAvAFwAbgBGAGkAbAB0AGUAcgBDAG8AbgB0AGEAaQBuAHMAuwMgAD0AIABMAEEATQBCAEQAQQAoAFwAbgAvAC8AIAAgAFAAYQByAGEAbQBlAHQAZQByACAARABlAGMAbABhAHIAYQB0AGkAbwBuAHMAXABuACAAIAAgACAAWwBBAHIAcgBhAHkAVABvAEYAaQBsAHQAZQByAF0ALABcAG4AIAAgACAAIABbAEYAaQBsAHQAZQByAEIAeQBBAHIAcgBhAHkAXQAsAFwAbgAgACAAIAAgAFsARgBpAGwAdABlAHIAQgB5AFQAZQB4AHQAXQAsAFwAbgAgACAAIAAgAFsASQBnAG4AbwByAGUAQwBhAHMAZQA/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gBpAGwAdABlAHIAQwBvAG4AdABhAGkAbgBzALsDKAAgAEEAcgByAGEAeQBUAG8ARgBpAGwAdABlAHIALAAgAEYAaQBsAHQAZQByAEIAeQBBAHIAcgBhAHkALAAgAEYAaQBsAHQAZQByAEIAeQ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cACIAXAAiAEMAYQB0AFwAIgBcACIAIAAgACAAIAAgACAAIAAgAJIhPQBvAHo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SAGEAbgBnAGUAVABvAEQAQQC7AygAIABBADEALAAgACwAIAAxADI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DAGUAbABsACkALABcAG4AIAAgACAAIAAvAC8AIAAgAFMAZQB0ACAARABlAGYAYQB1AGwAdABzAFwAbgAgACAAIAAgACAAIAAgACAAUgBvAHcAcwAsACAAIAAgACAAIAAgACAAIAAgACAAIABJAEYAKABJAFMATwBNAEkAVABUAEUARAAoAFIAbwB3AHMAKQAsACAAMQAsACAASQBGACgAUgBvAHcAcwAgAD0AIAAwACwAIAAxACwAIABSAG8AdwBzACkAKQAsAFwAbgAgACAAIAAgACAAIAAgACAAQwBvAGwAdQBtAG4AcwAsACAAIAAgACAAIAAgACAAIABJAEYAKABJAFMATwBNAEkAVABUAEUARAAoAEMAbwBsAHUAbQBuAHMAKQAsACAAMQAsACAASQBGACgAQwBvAGwAdQBtAG4AcwAgAD0AIAAwACwAIAAxACwAIABDAG8AbAB1AG0AbgBzACkAKQAsAFwAbgAgACAAIAAgAC8ALwAgACAAUAByAG8AYwBlAGQAdQByAGUAXABuACAAIAAgACAAIAAgACAAIABSAGUAcwB1AGwAdAAsACAAIAAgACAAIAAgACAAIAAgAE8ARgBGAFMARQBUACgAQwBlAGwAbAAsACAAMAAsACAAMAAsACAAUgBvAHcAcwAsACAAQwBvAGwAdQBtAG4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ABlAHIAaQBvAGQAUwB0AGEAcgB0ALsDXABuACAAIAAgACAARABFAFMAQwBSAEkAUABUAEkATwBOADoAKgAvAC8AKgAqAEQAZQB0AGUAcgBtAGkAbgBlACAAdwBoAGUAbgAgAHQAaABlACAAcABlAHIAaQBvAGQAIABjAG8AbgB0AGEAaQBuAGkAbgBnACAAYQAgAGQAYQB0AGUAIABvAGYAIABpAG4AdABlAHIAZQBzAHQAIABzAHQAYQByAHQAcwAqAC8AXABuAFAAZQByAGkAbwBkAFMAdABhAHIAdAC7AyAAPQAgAEwAQQBNAEIARABBACgAXABuAC8ALwAgACAAUABhAHIAYQBtAGUAdABlAHIAIABEAGUAYwBsAGEAcgBhAHQAaQBvAG4AXABuACAAIAAgACAAWwBBAG4AeQBQAGUAcgBpAG8AZABTAHQAYQByAHQAXQAsAFwAbgAgACAAIAAgAFsATQBvAG4AdABoAHMAUABlAHIAUABlAHIAaQBvAGQAXQAsACAAXABuACAAIAAgACAAWwBEAGEAdABlAE8AZgBJAG4AdABlAHIAZQBzAHQ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UwB0AGEAcgB0ALsDKABBAG4AeQBQAGUAcgBpAG8AZABTAHQAYQByAHQALAAgAE0AbwBuAHQAaABzAFAAZQByAFAAZQByAGkAbwBkACwAIABEAGEAdABlAE8AZgBJAG4AdABlAHIAZQBzAHQAKQC2AFwAIgAgACYAXABuACAAIAAgACAAIAAgACAAIAAgACAAIAAgACAAIAAgACAAIAAgACAAIAAgACAAIAAgACAAIAAgACAAXAAiAEQARQBTAEMAUgBJAFAAVABJAE8ATgA6ACAAIAAgAJIhRABlAHQAZQByAG0AaQBuAGUAIAB3AGgAZQBuACAAdABoAGUAIABwAGUAcgBpAG8AZAAgAGMAbwBuAHQAYQBpAG4AaQBuAGcAIABhACAAZABhAHQAZQAgAG8AZgAgAGkAbgB0AGUAcgBlAHMAdAAgAHMAdABhAHIAdA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yADAAMgA2AC0AMQAwAC0AMAAxACAAIAAgACAAIACSIT0AbwB6AC4AUABlAHIAaQBvAGQAUwB0AGEAcgB0ALsDKABcACIAXAAiADIAMAAyADYALQAwADcALQAwADEAXAAiAFwAIgAsACAAMwAsACAAXAAiAFwAIgAyADAAMgA2AC0AMQAw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EMAaABlAGMAawAgAGkAbgBwAHUAdABzACAALQAgAEkAZgAgAGEAIABkAGEAdABlACAAaQBzACAAaQBuACAAdABlAHgAdAAsACAAYwBvAG4AdgBlAHIAdAAgAHQAbwAgAHYAYQBsAHUAZQBcAG4AIAAgACAAIAAgACAAIAAgAEMAdgB0AFMAdABhAHIAdAAsACAAIAAgACAAIAAgACAAIAAgACAAIABJAEYAKAAgAEkAUwBUAEUAWABUACgAIABBAG4AeQBQAGUAcgBpAG8AZABTAHQAYQByAHQAKQAsACAARABBAFQARQBWAEEATABVAEUAKAAgAEEAbgB5AFAAZQByAGkAbwBkAFMAdABhAHIAdAApACwAIABBAG4AeQBQAGUAcgBpAG8AZABTAHQAYQByAHQAKQAsAFwAbgAgACAAIAAgACAAIAAgACAAQwB2AHQARABhAHQAZQAsACAAIAAgACAAIAAgACAAIAAgACAAIAAgAEkARgAoACAASQBTAFQARQBYAFQAKAAgAEQAYQB0AGUATwBmAEkAbgB0AGUAcgBlAHMAdAApACwAIABEAEEAVABFAFYAQQBMAFUARQAoACAARABhAHQAZQBPAGYASQBuAHQAZQByAGUAcwB0ACkALAAgAEQAYQB0AGUATwBmAEkAbgB0AGUAcgBlAHMAdAApACwAXABuACAAIAAgACAALwAvACAAIABQAHIAbwBjAGUAZAB1AHIAZQBcAG4AIAAgACAAIAAvAC8AIAAgAEMAbwB1AG4AdAAgAHQAaABlACAAdwBoAG8AbABlACAAcABlAHIAaQBvAGQAcwAgAGYAcgBvAG0AIAB0AGgAZQAgAGEAbgBjAGgAbwByACAAdABvACAAdABoAGUAIABkAGEAdABlACAAbwBmACAAaQBuAHQAZQByAGUAcwB0ACAAYQBuAGQAIABzAHQAZQBwACAAdABoAGUAXABuACAAIAAgACAALwAvACAAIABhAG4AYwBoAG8AcgAgAG8AbgAgAGIAeQAgAHQAaABhAHQAIABtAGEAbgB5AC4AXABuACAAIAAgACAAIAAgACAAIABNAG8AbgB0AGgARABpAGYAZgAsACAAIAAgACAAIAAgACAAIAAgACAAKABZAEUAQQBSACgAIABDAHYAdABEAGEAdABlACkAIAAtACAAWQBFAEEAUgAoACAAQwB2AHQAUwB0AGEAcgB0ACkAKQAgACoAIABNAHAAWQAgACsAIABNAE8ATgBUAEgAKAAgAEMAdgB0AEQAYQB0AGUAKQAgAC0AIABNAE8ATgBUAEgAKAAgAEMAdgB0AFMAdABhAHIAdAApACwAXABuACAAIAAgACAAIAAgACAAIABXAGgAbwBsAGUAUABlAHIAaQBvAGQAcwAsACAAIAAgACAAIAAgACAAUQBVAE8AVABJAEUATgBUACgAIABNAG8AbgB0AGgARABpAGYAZgAsACAATQBwAFAAKQAsAFwAbgAgACAAIAAgACAAIAAgACAAQwBhAG4AZABpAGQAYQB0AGUALAAgACAAIAAgACAAIAAgACAAIAAgAEUARABBAFQARQAoACAAQwB2AHQAUwB0AGEAcgB0ACwAIABXAGgAbwBsAGUAUABlAHIAaQBvAGQAcwAgACoAIABNAHAAUAApACwAXABuACAAIAAgACAALwAvACAAIABRAFUATwBUAEkARQBOAFQAIAB0AHIAdQBuAGMAYQB0AGUAcwAgAHQAbwB3AGEAcgBkAHMAIAB6AGUAcgBvACwAIABhAG4AZAAgAHQAaABlACAAZABhAHkAIABvAGYAIAB0AGgAZQAgAG0AbwBuAHQAaAAgAGMAYQBuACAAbABlAGEAdgBlACAAdABoAGUAIABjAGEAbgBkAGkAZABhAHQAZQBcAG4AIAAgACAAIAAvAC8AIAAgAHAAYQBzAHQAIAB0AGgAZQAgAGQAYQB0AGUAIABvAGYAIABpAG4AdABlAHIAZQBzAHQALAAgAHMAbwAgAHMAdABlAHAAIABiAGEAYwBrACAAYQAgAHAAZQByAGkAbwBkACAAdwBoAGUAcgBlACAAaQB0ACAAZABvAGUAcwAuACAATwBuAGUAIABzAHQAZQBwACAAaQBzACAAYQBsAHcAYQB5AHMAXABuACAAIAAgACAALwAvACAAIABlAG4AbwB1AGcAaAA6ACAAYQAgAHQAcgB1AG4AYwBhAHQAZQBkACAAcQB1AG8AdABpAGUAbgB0ACAAaQBzACAAbgBlAHYAZQByACAAbQBvAHIAZQAgAHQAaABhAG4AIABvAG4AZQAgAHAAZQByAGkAbwBkACAAbwB1AHQALgBcAG4AIAAgACAAIAAgACAAIAAgAFIAZQBzAHUAbAB0ACwAIAAgACAAIAAgACAAIAAgACAAIAAgACAAIABJAEYAKAAgAEMAYQBuAGQAaQBkAGEAdABlACAAPgAgAEMAdgB0AEQAYQB0AGUALAAgAEUARABBAFQARQAoACAAQwB2AHQAUwB0AGEAcgB0ACwAIAAoAFcAaABvAGwAZQBQAGUAcgBpAG8AZABzACAALQAgADEAKQAgACoAIABNAHAAUAApACwAIABDAGEAbgBkAGkAZABhAHQ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SAGEAdwAgACsAIAAoAFAAZQByAGkAbwBkAHMAIAA9ACAAQwBvAHUAbgB0ACkAIAAqACAAKABDAG8AcwB0ACAALQAgAFMAVQBNACgAUgBhAHc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MARQBRAFUARQBOAEMARQAoACwAIABDAG8AdQBuAHQAKQAgAD0AIABDAG8AdQBuAHQALAAgAEMAbwBzAHQAIAAtACAAQQBuAG4AdQBhAGwAIAAqACAAKABDAG8AdQBuAHQAIAAtACAAMQApACwAIABBAG4AbgB1AGEAb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cAUwBUAEUAeAB0AHIAYQBjAHQAuwMoADEAMQAwACkAtgBcACIAIAAmAFwAbgAgACAAIAAgACAAIAAgACAAIAAgACAAIAAgACAAIAAgACAAIAAgACAAIAAgACAAIAAgACAAIAAgAFwAIgCSIVIAZQBzAHUAbAB0ALYAXAAiACAAJgBcAG4AIAAgACAAIAAgACAAIAAgACAAIAAgACAAIAAgACAAIAAgACAAIAAgACAAIAAgACAAIAAgACAAIABcACIAkiE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BHAFMAVABSAGEAdABlACAALwAgACgAMQAgACsAIABHAFMAVABSAGEAdABl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FIAYQB0AGkAbwBzACIALAAiAHQAZQB4AHQAIgA6ACIALwAqACAAIABNAG8AZAB1AGwAZQAgAEMAbwBuAHQAYQBpAG4AcwAgAGEAIABsAGkAYgByAGEAcgB5ACAAbwBmACAARgBpAG4AYQBuAGMAaQBhAGwAIABSAGEAdABpAG8AcwAgACoALwBcAG4AXABuAC8AKgAgACAARgBVAE4AQwBUAEkATwBOACAATgBBAE0ARQA6ACAAIABBAGIAbwB1AHQAUgBhAHQAaQBvAHMAuwNcAG4AIAAgACAAIABEAEUAUwBDAFIASQBQAFQASQBPAE4AOgAqAC8ALwAqACoARABpAHMAcABsAGEAeQBzACAAdABoAGkAcwAgAG0AbwBkAHUAbABlACcAcwAgAHIAZQBwAG8AcwBpAHQAbwByAHkAIABVAFIATAAgAGEAbgBkACAAZgB1AG4AYwB0AGkAbwBuACAAbABpAHMAdAAqAC8AXABuAEEAYgBvAHUAdABSAGEAdABpAG8AcwC7AyAAPQAgAFQAUgBJAE0AKABcAG4AIAAgACAAIABUAEUAWABUAFMAUABMAEkAVAAoAFwAbgAgACAAIAAgACAAIAAgACAAXAAiAEEAYgBvAHUAdAA6ACAAIAAgACAAIAAgACAAIAAgACAAIAAgACAAIAAgACAAIAAgACAAIAAgAJIhQQAgAGwAaQBiAHIAYQByAHkAIABvAGYAIABGAGkAbgBhAG4AYwBpAGEAbAAgAFIAYQB0AGkAbwBzALYAXAAiACAAJgBcAG4AIAAgACAAIAAgACAAIAAgAFwAIgBWAGUAcgBzAGkAbwBuADoAIAAgACAAIAAgACAAIAAgACAAIAAgACAAIAAgACAAIAAgACAAIACSITIAMAAgAEEAdQBnACAAMgAwADIANgC2AFwAIgAgACYAXABuACAAIAAgACAAIAAgACAAIABcACIAUgBlAHAAbwBzAGkAdABvAHIAeQA6ACAAIAAgACAAIAAgACAAIAAgACAAIAAgACAAIAAgACAAIAAgAJIhaAB0AHQAcABzADoALwAvAGcAaQB0AGgAdQBiAC4AYwBvAG0ALwByAHkAYQBuAGQAdQBnAHUAaQBkAC8ATwB6AHoAaQB0ACAAtgBcACIAIAAmAFwAbgAgACAAIAAgACAAIAAgACAAXAAiAE4AbwB0AGUAcwA6ACAAIAAgACAAIAAgACAAIAAgACAAIAAgACAAIAAgACAAIAAgACAAIAAgAJIhUwBvAHUAcgBjAGUAcwAgAGkAbgBjAGwAdQBkAGUAIABJAG4AdgBlAHMAdABvAHAAZQBkAGkAYQAuAGMAbwBtACwAIABDAG8AcgBwAG8AcgBhAHQAZQAgAEYAaQBuAGEAbgBjAGUAIABhAG4AZAAgAFcAYQBsAGwAUwB0AHIAZQBlAHQAUAByAGUAcAAuAGMAbwBtAC4AtgBcACIAIAAmAFwAbgAgACAAIAAgACAAIAAgACAAIAAgACAAIAAgACAAIAAgACAAIAAgACAAIAAgACAAIAAgACAAIAAgACAAIAAgACAAIAAgACAAXAAiAJIhQwBvAHAAeQByAGkAZwBoAHQAIABhAHAAcABsAGkAZQBzACAAdABvACAATABBAE0AQgBEAEEAIABjAG8AZABpAG4AZwC2AFwAIgAgACYAXABuACAAIAAgACAAIAAgACAAIABcACIAkiG2AFwAIgAgACYAIABcAG4AIAAgACAAIAAgACAAIAAgAFwAIgBGAHUAbgBjAHQAaQBvAG4AIAAgACAAIAAgACAAIAAgACAAIAAgACAAIAAgACAAIAAgACAAIACSIUQAZQBzAGMAcgBpAHAAdABpAG8AbgC2AFwAIgAgACYAIABcAG4AIAAgACAAIAAgACAAIAAgAFwAIgBBAGIAbwB1AHQAUgBhAHQAaQBvAHMAuwMgACAAIAAgACAAIAAgACAAIAAgACAAIAAgACAAIAAgACAAIAAgACAAIACSIVAAcgBvAGQAdQBjAGUAcwAgAHQAaABpAHMAIAB0AGEAYgBsAGUAtgBcACIAIAAmAFwAbgAgACAAIAAgACAAIAAgACAAXAAiAJIhtgBcACIAIAAmACAAXABuACAAIAAgACAAIAAgACAAIABcACIATABpAHEAdQBpAGQAaQB0AHkAIABSAGEAdABpAG8AcwCSIbYAXAAiACAAJgBcAG4AIAAgACAAIAAgACAAIAAgAFwAIgBDAHUAcgByAGUAbgB0AFIAYQB0AGkAbwC7AyAAIAAgACAAIAAgACAAIAAgACAAIAAgACAAIACSIU0AZQBhAHMAdQByAGUAcwAgAGEAYgBpAGwAaQB0AHkAIAB0AG8AIABwAGEAeQAgAHMAaABvAHIAdAAtAHQAZQByAG0AIABvAGIAbABpAGcAYQB0AGkAbwBuAHMAtgBcACIAIAAmAFwAbgAgACAAIAAgACAAIAAgACAAXAAiAFEAdQBpAGMAawBSAGEAdABpAG8AuwMgACAAIAAgACAAIAAgACAAIAAgACAAIAAgACAAIAAgAJIhTQBlAGEAcwB1AHIAZQBzACAAYQBiAGkAbABpAHQAeQAgAHQAbwAgAG0AZQBlAHQAIABzAGgAbwByAHQALQB0AGUAcgBtACAAbwBiAGwAaQBnAGEAdABpAG8AbgBzALYAXAAiACAAJgBcAG4AIAAgACAAIAAgACAAIAAgAFwAIgBDAGEAcwBoAFIAYQB0AGkAbwC7AyAAIAAgACAAIAAgACAAIAAgACAAIAAgACAAIAAgACAAIACSIUUAdgBhAGwAdQBhAHQAZQBzACAAYQBiAGkAbABpAHQAeQAgAHQAbwAgAHIAZQBwAGEAeQAgAHMAaABvAHIAdAAtAHQAZQByAG0AIABkAGUAYgB0ACAAdwAvAGMAYQBzAGgAIABvAHIAIABuAGUAYQByAC0AYwBhAHMAaAAgAHIAZQBzAG8AdQByAGMAZQBzALYAXAAiACAAJgBcAG4AIAAgACAAIAAgACAAIAAgAFwAIgBPAHAAZQByAGEAdABpAG4AZwBDAGEAcwBoAEYAbABvAHcAUgBhAHQAaQBvALsDIAAgACAAIACSIU0AZQBhAHMAdQByAGUAcwAgAGgAbwB3ACAAcgBlAGEAZABpAGwAeQAgAGMAdQByAHIAZQBuAHQAIABsAGkAYQBiAGkAbABpAHQAaQBlAHMAIABhAHIAZQAgAGMAbwB2AGUAcgBlAGQAIABiAHkAIABjAGEAcwBoACAAZgBsAG8AdwBzACAAZwBlAG4AZQByAGEAdABlAGQAIABmAHIAbwBtACAAbwBwAGUAcgBhAHQAaQBvAG4AcwAuACAAtgBcACIAIAAmAFwAbgAgACAAIAAgACAAIAAgACAAXAAiAFIAZQBjAGUAaQB2AGEAYgBsAGUAcwBUAHUAcgBuAG8AdgBlAHIAUgBhAHQAaQBvALsDIAAgAJIhSQBuAGQAaQBjAGEAdABlAHMAIABlAGYAZgBlAGMAdABpAHYAZQBuAGUAcwBzACAAaQBuACAAYwBvAGwAbABlAGMAdABpAG4AZwAgAG8AdQB0AHMAdABhAG4AZABpAG4AZwAgAGIAYQBsAGEAbgBjAGUAcwAgAGYAcgBvAG0AIABjAGwAaQBlAG4AdABzACAAYQBuAGQAIABtAGEAbgBhAGcAaQBuAGcAIABsAGkAbgBlACAAbwBmACAAYwByAGUAZABpAHQAIABwAHIAbwBjAGUAcwBzALYAXAAiACAAJgBcAG4AIAAgACAAIAAgACAAIAAgAFwAIgBJAG4AdgBlAG4AdABvAHIAeQBUAHUAcgBuAG8AdgBlAHIAUgBhAHQAaQBvALsDIAAgACAAIACSIVMAaABvAHcAcwAgAGgAbwB3ACAAbQBhAG4AeQAgAHQAaQBtAGUAcwAgAGEAIABjAG8AbQBwAGEAbgB5ACAAdAB1AHIAbgBlAGQAIABvAHYAZQByACAAaQB0AHMAIABpAG4AdgBlAG4AdABvAHIAeQAgAHIAZQBsAGEAdABpAHYAZQAgACAAdABvACAAaQB0AHMAIABjAG8AcwB0ACAAbwBmACAAZwBvAG8AZABzACAAcwBvAGwAZAC2AFwAIgAgACYAXABuACAAIAAgACAAIAAgACAAIABcACIAVwBvAHIAawBpAG4AZwBDAGEAcABpAHQAYQBsAFQAdQByAG4AbwB2AGUAcgBSAGEAdABpAG8AuwOSIVcAbwByAGsAaQBuAGcAIABDAGEAcABpAHQAYQBsACAAVAB1AHIAbgBvAHYAZQByACAAUgBhAHQAaQBvACAAbQBlAGEAcwB1AHIAZQBzACAAaABvAHcAIABlAGYAZgBpAGMAaQBlAG4AdABsAHkAIABhACAAYwBvAG0AcABhAG4AeQAgAGkAcwAgAHUAcwBpAG4AZwAgAGkAdABzACAAdwBvAHIAawBpAG4AZwAgAGMAYQBwAGkAdABhAGwAIAB0AG8AIABzAHUAcABwAG8AcgB0ACAAcwBhAGwAZQBzACAAYQBuAGQAIABnAHIAbwB3AHQAaAC2AFwAIgAgACYAXABuACAAIAAgACAAIAAgACAAIABcACIAkiG2AFwAIgAgACYAIABcAG4AIAAgACAAIAAgACAAIAAgAFwAIgBMAGUAdgBlAHIAYQBnAGUAIABSAGEAdABpAG8AcwCSIbYAXAAiACAAJgBcAG4AIAAgACAAIAAgACAAIAAgAFwAIgBEAGUAYgB0AFIAYQB0AGkAbwC7AyAAIAAgACAAIAAgACAAIAAgACAAIAAgACAAIAAgACAAIACSIU0AZQBhAHMAdQByAGUAcwAgAHQAaABlACAAZQB4AHQAZQBuAHQAIABvAGYAIABhACAAYwBvAG0AcABhAG4AeQAnAHMAIABsAGUAdgBlAHIAYQBnAGUAtgBcACIAIAAmAFwAbgAgACAAIAAgACAAIAAgACAAXAAiAEQAUwBDAFIAuwMgACAAIAAgACAAIAAgACAAIAAgACAAIAAgACAAIAAgACAAIAAgACAAIAAgAJIhRABlAGIAdAAgAHMAZQByAHYAaQBjAGUAIABjAG8AdgBlAHIAYQBnAGUAIABSAGEAdABpAG8AIABtAGUAYQBzAHUAcgBlAHMAIABhACAAZgBpAHIAbQAZIHMAIABhAHYAYQBpAGwAYQBiAGwAZQAgAGMAYQBzAGgAIABmAGwAbwB3ACAAdABvACAAcABhAHkAIABpAHQAcwAgAGMAdQByAHIAZQBuAHQAIABkAGUAYgB0ACAAbwBiAGwAaQBnAGEAdABpAG8AbgBzALYAXAAiACAAJgBcAG4AIAAgACAAIAAgACAAIAAgAFwAIgBEAGUAYgB0AFQAbwBDAGEAcABpAHQAYQBsAFIAYQB0AGkAbwC7AyAAIAAgACAAIAAgACAAIACSIUcAaQB2AGUAcwAgAGEAbgBhAGwAeQBzAHQAcwAgAGEAbgBkACAAaQBuAHYAZQBzAHQAbwByAHMAIABhACAAYgBlAHQAdABlAHIAIABpAGQAZQBhACAAbwBmACAAYQAgAGMAbwBtAHAAYQBuAHkAJwBzACAAZgBpAG4AYQBuAGMAaQBhAGwAIABzAHQAcgB1AGMAdAB1AHIAZQAgAGEAbgBkACAAdwBoAGUAdABoAGUAcgAgAG8AcgAgAG4AbwB0ACAAdABoAGUAIABjAG8AbQBwAGEAbgB5ACAAaQBzACAAYQAgAHMAdQBpAHQAYQBiAGwAZQAgAGkAbgB2AGUAcwB0AG0AZQBuAHQAtgBcACIAIAAmAFwAbgAgACAAIAAgACAAIAAgACAAXAAiAEUAcQB1AGkAdAB5AE0AdQBsAHQAaQBwAGwAaQBlAHIAuwMgACAAIAAgACAAIAAgACAAIAAgAJIhTQBlAGEAcwB1AHIAZQBzACAAdABoAGUAIABwAG8AcgB0AGkAbwBuACAAbwBmACAAYQAgAGMAbwBtAHAAYQBuAHkAGSBzACAAYQBzAHMAZQB0AHMAIABmAGkAbgBhAG4AYwBlAGQAIABiAHkAIABzAGgAYQByAGUAaABvAGwAZABlAHIAcwAnAGUAcQB1AGkAdAB5ACAAcgBhAHQAaABlAHIAIAB0AGgAYQBuACAAYgB5ACAAZABlAGIAdAC2AFwAIgAgACYAXABuACAAIAAgACAAIAAgACAAIABcACIAkiG2AFwAIgAgACYAIABcAG4AIAAgACAAIAAgACAAIAAgAFwAIgBTAG8AbAB2AGUAbgBjAHkAIABSAGEAdABpAG8AcwCSIbYAXAAiACAAJgBcAG4AIAAgACAAIAAgACAAIAAgAFwAIgBEAGUAYgB0AFQAbwBFAHEAdQBpAHQAeQBSAGEAdABpAG8AuwMgACAAIAAgACAAIAAgACAAIACSIU0AZQBhAHMAdQByAGUAcwAgAHQAaABlACAAZABlAGcAcgBlAGUAIAB0AG8AIAB3AGgAaQBjAGgAIABhACAAYwBvAG0AcABhAG4AeQAgAGkAcwAgAGYAaQBuAGEAbgBjAGkAbgBnACAAbwBwAGUAcgBhAHQAaQBvAG4AcwAgAHcAaQB0AGgAIABkAGUAYgB0ACAAcgBhAHQAaABlAHIAIAB0AGgAYQBuACAAaQB0AHMAIABvAHcAbgAgAHIAZQBzAG8AdQByAGMAZQBzAC4AtgBcACIAIAAmAFwAbgAgACAAIAAgACAAIAAgACAAXAAiAEQAZQBiAHQAVABvAEEAcwBzAGUAdABSAGEAdABpAG8AuwMgACAAIAAgACAAIAAgACAAIAAgAJIhQQBuAGEAbAB5AHMAdABzACAAYwBhAG4AIABjAG8AbQBwAGEAcgBlACAAbwBuAGUAIABjAG8AbQBwAGEAbgB5ACcAcwAgAGwAZQB2AGUAcgBhAGcAZQAgAHcAaQB0AGgAIAB0AGgAYQB0ACAAbwBmACAAbwB0AGgAZQByACAAYwBvAG0AcABhAG4AaQBlAHMAIABpAG4AIAB0AGgAZQAgAHMAYQBtAGUAIABpAG4AZAB1AHMAdAByAHkALgC2AFwAIgAgACYAXABuACAAIAAgACAAIAAgACAAIABcACIASQBuAHQAZQByAGUAcwB0AEMAbwB2AGUAcgBhAGcAZQBSAGEAdABpAG8AuwMgACAAIAAgACAAkiFEAGUAdABlAHIAbQBpAG4AZQBzACAAaABvAHcAIABlAGEAcwBpAGwAeQAgAGEAIABjAG8AbQBwAGEAbgB5ACAAYwBhAG4AIABwAGEAeQAgAGkAbgB0AGUAcgBlAHMAdAAgAG8AbgAgAGkAdABzACAAbwB1AHQAcwB0AGEAbgBkAGkAbgBnACAAZABlAGIAdAC2AFwAIgAgACYAXABuACAAIAAgACAAIAAgACAAIABcACIARQBxAHUAaQB0AHkAUgBhAHQAaQBvALsDIAAgACAAIAAgACAAIAAgACAAIAAgACAAIAAgACAAkiFNAGUAYQBzAHUAcgBlAHMAIAB0AGgAZQAgAGwAbwBuAGcALQB0AGUAcgBtACAAcwBvAGwAdgBlAG4AYwB5ACAAbwBmACAAYQAgAGMAbwBtAHAAYQBuAHkAIABiAHkAIABjAG8AbQBwAGEAcgBpAG4AZwAgAGkAdABzACAAcwBoAGEAcgBlAGgAbwBsAGQAZQByAHMAGSAgAGUAcQB1AGkAdAB5ACAAdABvACAAaQB0AHMAIAB0AG8AdABhAGwAIABhAHMAcwBlAHQAcwC2AFwAIgAgACYAXABuACAAIAAgACAAIAAgACAAIABcACIAkiG2AFwAIgAgACYAIABcAG4AIAAgACAAIAAgACAAIAAgAFwAIgBFAGYAZgBpAGMAaQBlAG4AYwB5ACAAUgBhAHQAaQBvAHMAkiG2AFwAIgAgACYAXABuACAAIAAgACAAIAAgACAAIABcACIAQQBzAHMAZQB0AFQAdQByAG4AbwB2AGUAcgBSAGEAdABpAG8AuwMgACAAIAAgACA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FwAIgBEAFMASQBSAGEAdABpAG8AuwMgACAAIAAgACAAIAAgACAAIAAgACAAIAAgACAAIAAgACAAIACSIUQAYQB5AHMAIABTAGEAbABlAHMAIABpAG4AIABJAG4AdgBlAG4AdABvAHIAeQAgAFIAYQB0AGkAbwAgACgAYQBrAGEAIABBAHYAZQByAGEAZwBlACAAYQBnAGUAIABvAGYAIABpAG4AdgBlAG4AdABvAHIAeQAgAGkAbgBkAGkAYwBhAHQAZQBzACAAdABoAGUAIABhAHYAZQByAGEAZwBlACAAdABpAG0AZQAgAGkAbgAgAGQAYQB5AHMAIAB0AGgAYQB0ACAAYQAgAGMAbwBtAHAAYQBuAHkAIAB0AGEAawBlAHMAIAB0AG8AIAB0AHUAcgBuACAAaQB0AHMAIABpAG4AdgBlAG4AdABvAHIAeQC2AFwAIgAgACYAXABuACAAIAAgACAAIAAgACAAIABcACIATwBwAGUAcgBhAHQAaQBuAGcAUgBhAHQAaQBvALsDIAAgACAAIAAgACAAIAAgACAAIAAgACAAkiFTAGgAbwB3AHMAIABoAG8AdwAgAGUAZgBmAGkAYwBpAGUAbgB0ACAAbQBhAG4AYQBnAGUAbQBlAG4AdAAgAGkAcwAgAGEAdAAgAGsAZQBlAHAAaQBuAGcAIABjAG8AcwB0AHMAIABsAG8AdwAgAHcAaABpAGwAZQAgAGcAZQBuAGUAcgBhAHQAaQBuAGcAIAByAGUAdgBlAG4AdQBlALYAXAAiACAAJgBcAG4AIAAgACAAIAAgACAAIAAgAFwAIgCSIbYAXAAiACAAJgAgAFwAbgAgACAAIAAgACAAIAAgACAAXAAiAFAAcgBvAGYAaQB0AGEAYgBpAGwAaQB0AHkAIABNAGEAcgBnAGkAbgBzACAAJgAgAFIAYQB0AGkAbwBzAJIhtgBcACIAIAAmAFwAbgAgACAAIAAgACAAIAAgACAAXAAiAEcAcgBvAHMAcwBNAGEAcgBnAGkAbgC7AyAAIAAgACAAIAAgACAAIAAgACAAIAAgACAAIAAgAJIhUwBoAG8AdwBzACAAaABvAHcAIABtAHUAYwBoACAAcAByAG8AZgBpAHQAIABhACAAYwBvAG0AcABhAG4AeQAgAG0AYQBrAGUAcwAgAGEAZgB0AGUAcgAgAHAAYQB5AGkAbgBnACAAbwBmAGYAIABpAHQAcwAgAEMAbwBzAHQAIABvAGYAIABHAG8AbwBkAHMAIABTAG8AbABkALYAXAAiACAAJgBcAG4AIAAgACAAIAAgACAAIAAgAFwAIgBFAEIASQBUAEQAQQBNAGEAcgBnAGkAbgC7AyAAIAAgACAAIAAgACAAIAAgACAAIAAgACAAIACSIU0AZQBhAHMAdQByAGUAcwAgAGEAIABjAG8AbQBwAGEAbgB5ACcAcwAgAG8AcABlAHIAYQB0AGkAbgBnACAAcAByAG8AZgBpAHQAIABhAHMAIABhACAAcABlAHIAYwBlAG4AdABhAGcAZQAgAG8AZgAgAGkAdABzACAAcgBlAHYAZQBuAHUAZQC2AFwAIgAgACYAXABuACAAIAAgACAAIAAgACAAIABcACIATwBwAGUAcgBhAHQAaQBuAGcATQBhAHIAZwBpAG4AuwMgACAAIAAgACAAIAAgACAAIAAgACAAkiFNAGUAYQBzAHUAcgBlAHMAIABoAG8AdwAgAG0AdQBjAGgAIABwAHIAbwBmAGkAdAAgAGEAIABjAG8AbQBwAGEAbgB5ACAAbQBhAGsAZQBzACAAbwBuACAAYQAgAGQAbwBsAGwAYQByACAAbwBmACAAcwBhAGwAZQBzACAAYQBmAHQAZQByACAAcABhAHkAaQBuAGcAIABmAG8AcgAgAHYAYQByAGkAYQBiAGwAZQAgAGMAbwBzAHQAcwAgAG8AZgAgAHAAcgBvAGQAdQBjAHQAaQBvAG4ALAAgAHMAdQBjAGgAIABhAHMAIAB3AGEAZwBlAHMAIABhAG4AZAAgAHIAYQB3ACAAbQBhAHQAZQByAGkAYQBsAHMALAAgAGIAdQB0ACAAYgBlAGYAbwByAGUAIABwAGEAeQBpAG4AZwAgAGkAbgB0AGUAcgBlAHMAdAAgAG8AcgAgAHQAYQB4ALYAXAAiACAAJgBcAG4AIAAgACAAIAAgACAAIAAgAFwAIgBQAHIAZQB0AGEAeABNAGEAcgBnAGkAbgC7AyAAIAAgACAAIAAgACAAIAAgACAAIAAgACAAIACSIU0AZQBhAHMAdQByAGUAcwAgAHQAaABlACAAbwBwAGUAcgBhAHQAaQBuAGcAIABlAGYAZgBpAGMAaQBlAG4AYwB5ACAAbwBmACAAYQAgAGMAbwBtAHAAYQBuAHkAIAC2AFwAIgAgACYAXABuACAAIAAgACAAIAAgACAAIABcACIATgBlAHQAUAByAG8AZgBpAHQATQBhAHIAZwBpAG4AuwMgACAAIAAgACAAIAAgACAAIAAgACAAkiFNAGUAYQBzAHUAcgBlAHMAIABoAG8AdwAgAG0AdQBjAGgAIABuAGUAdAAgAGkAbgBjAG8AbQBlACAAbwByACAAcAByAG8AZgBpAHQAIABhACAAYwBvAG0AcABhAG4AeQAgAGcAZQBuAGUAcgBhAHQAZQBzACAAYQBzACAAYQAgAHAAZQByAGMAZQBuAHQAYQBnAGUAIABvAGYAIABpAHQAcwAgAHIAZQB2AGUAbgB1AGUALgC2AFwAIgAgACYAXABuACAAIAAgACAAIAAgACAAIABcACIAQwBhAHMAaABGAGwAbwB3AE0AYQByAGcAaQBuALsDIAAgACAAIAAgACAAIAAgACAAIAAgACAAkiFDAGEAcwBoACAARgBsAG8AdwAgAE0AYQByAGcAaQBuACAAaQBzACAAYQAgAHQAcgB1AHMAdABlAGQAIABtAGUAdAByAGkAYwAgAG8AZgAgAGEAIABjAG8AbQBwAGEAbgB5ABkgcwAgAHAAcgBvAGYAaQB0AGEAYgBpAGwAaQB0AHkAIABhAG4AZAAgAGUAZgBmAGkAYwBpAGUAbgBjAHkAIABhAG4AZAAgAGkAdABzACAAZQBhAHIAbgBpAG4AZwBzACAAcQB1AGEAbABpAHQAeQC2AFwAIgAgACYAXABuACAAIAAgACAAIAAgACAAIABcACIAUgBPAEEAuwMgACAAIAAgACAAIAAgACAAIAAgACAAIAAgACAAIAAgACAAIAAgACAAIAAgACAAkiEqAFIAZQB0AHUAcgBuACAAbwBuACAAQQBzAHMAZQB0AHMAIABJAG4AZABpAGMAYQB0AGUAcwAgAGgAbwB3ACAAcAByAG8AZgBpAHQAYQBiAGwAZQAgAGEAIABjAG8AbQBwAGEAbgB5ACAAaQBzACAAaQBuACAAcgBlAGwAYQB0AGkAbwBuACAAdABvACAAaQB0AHMAIAB0AG8AdABhAGwAIABhAHMAcwBlAHQAcwC2AFwAIgAgACYAXABuACAAIAAgACAAIAAgACAAIABcACIAUgBPAEUAuwMgACAAIAAgACAAIAAgACAAIAAgACAAIAAgACAAIAAgACAAIAAgACAAIAAgACAAkiEqAFIAZQB0AHUAcgBuACAAbwBuACAAZQBxAHUAaQB0AHkAIABpAHMAIABhACAAbQBlAGEAcwB1AHIAZQAgAG8AZgAgAGYAaQBuAGEAbgBjAGkAYQBsACAAcABlAHIAZgBvAHIAbQBhAG4AYwBlACAAtgBcACIAIAAmAFwAbgAgACAAIAAgACAAIAAgACAAXAAiAFIATwBJALsDIAAgACAAIAAgACAAIAAgACAAIAAgACAAIAAgACAAIAAgACAAIAAgACAAIAAgAJIhUgBlAHQAdQByAG4AIABvAG4AIABJAG4AdgBlAHMAdABtAGUAbgB0ACAAcgBhAHQAaQBvACAAIABtAGUAYQBzAHUAcgBlAHMAIAB0AGgAZQAgAHAAcgBvAGYAaQB0AGEAYgBpAGwAaQB0AHkAIABvAGYAIABhAG4AIABpAG4AdgBlAHMAdABtAGUAbgB0ACAAYgB5ACAAYwBvAG0AcABhAHIAaQBuAGcAIAB0AGgAZQAgAGcAYQBpAG4AIABvAHIAIABsAG8AcwBzACAAdABvACAAaQB0AHMAIABjAG8AcwB0ALYAXAAiACAAJgBcAG4AIAAgACAAIAAgACAAIAAgAFwAIgBSAE8ASQBDALsDIAAgACAAIAAgACAAIAAgACAAIAAgACAAIAAgACAAIAAgACAAIAAgACAAIACSIVIAZQB0AHUAcgBuACAAbwBuACAASQBuAHYAZQBzAHQAZQBkACAAYwBhAHAAaQB0AGEAbAAgACAAYQBzAHMAZQBzAHMAZQBzACAAYQAgAGMAbwBtAHAAYQBuAHkAGSBzACAAZQBmAGYAaQBjAGkAZQBuAGMAeQAgAGkAbgAgAGEAbABsAG8AYwBhAHQAaQBuAGcAIABjAGEAcABpAHQAYQBsACAAdABvACAAcAByAG8AZgBpAHQAYQBiAGwAZQAgAGkAbgB2AGUAcwB0AG0AZQBuAHQAcwC2AFwAIgAgACYAXABuACAAIAAgACAAIAAgACAAIABcACIAkiG2AFwAIgAgACYAIABcAG4AIAAgACAAIAAgACAAIAAgAFwAIgBNAGEAcgBrAGUAdAAgAFYAYQBsAHUAZQAgAFIAYQB0AGkAbwBzAJIhtgBcACIAIAAmAFwAbgAgACAAIAAgACAAIAAgACAAXAAiAFAAcgBpAGMAZQBFAGEAcgBuAGkAbgBnAHMAUgBhAHQAaQBvALsDIAAgACAAIAAgACAAIAAgAJIhKgBQAHIAaQBjAGUALQBlAGEAcgBuAGkAbgBnAHMAIABSAGEAdABpAG8AIABtAGUAYQBzAHUAcgBlAHMAIABhACAAYwBvAG0AcABhAG4AeQAnAHMAIABzAGgAYQByAGUAIABwAHIAaQBjAGUAIAByAGUAbABhAHQAaQB2AGUAIAB0AG8AIABpAHQAcwAgAGUAYQByAG4AaQBuAGcAcwAgAHAAZQByACAAcwBoAGEAcgBlALYAXAAiACAAJgBcAG4AIAAgACAAIAAgACAAIAAgAFwAIgBQAHIAaQBjAGUAVABvAEIAbwBvAGsAUgBhAHQAaQBvALsDIAAgACAAIAAgACAAIAAgACAAIACSIU0AYQBuAHkAIABpAG4AdgBlAHMAdABvAHIAcwAgAHUAcwBlACAAdABoAGUAIABwAHIAaQBjAGUALQB0AG8ALQBiAG8AbwBrACAAcgBhAHQAaQBvACAAKABQAC8AQgAgAHIAYQB0AGkAbwApACAAdABvACAAYwBvAG0AcABhAHIAZQAgAGEAIABmAGkAcgBtACcAcwAgAG0AYQByAGsAZQB0ACAAYwBhAHAAaQB0AGEAbABpAHMAYQB0AGkAbwBuACAAdABvACAAaQB0AHMAIABiAG8AbwBrACAAdgBhAGwAdQBlACAAYQBuAGQAIABsAG8AYwBhAHQAZQAgAHUAbgBkAGUAcgB2AGEAbAB1AGUAZAAgAGMAbwBtAHAAYQBuAGkAZQBzAC4AtgBcACIAIAAmAFwAbgAgACAAIAAgACAAIAAgACAAXAAiAFAAcgBpAGMAZQBUAG8AUwBhAGwAZQBzAFIAYQB0AGkAbwC7AyAAIAAgACAAIAAgACAAIAAgAJIhUAByAGkAYwBlACAAdABvACAAUwBhAGwAZQBzACAAKABQAC8AUwApACAAUgBhAHQAaQBvACAAaQBzACAAYQBuACAAaQBuAGQAaQBjAGEAdABvAHIAIABvAGYAIAB0AGgAZQAgAHYAYQBsAHUAZQAgAHQAaABhAHQAIABmAGkAbgBhAG4AYwBpAGEAbAAgAG0AYQByAGsAZQB0AHMAIABoAGEAdgBlACAAcABsAGEAYwBlAGQAIABvAG4AIABlAGEAYwBoACAAZABvAGwAbABhAHIAIABvAGYAIABhACAAYwBvAG0AcABhAG4AeQAnAHMAIABzAGEAbABlAHMAIABvAHIAIAByAGUAdgBlAG4AdQBlAHMAtgBcACIAIAAmAFwAbgAgACAAIAAgACAAIAAgACAAXAAiAFAAcgBpAGMAZQBUAG8AQwBhAHMAaABSAGEAdABpAG8AuwMgACAAIAAgACAAIAAgACAAIAAgAJIhUAByAGkAYwBlACAAdABvACAAQwBhAHMAaAAgACgAUAAvAEMARgApACAAUgBhAHQAaQBvACAAaQBzACAAYQAgAHMAdABvAGMAawAgAHYAYQBsAHUAYQB0AGkAbwBuACAAaQBuAGQAaQBjAGEAdABvAHIAIABvAHIAIABtAHUAbAB0AGkAcABsAGUAIAB0AGgAYQB0ACAAbQBlAGEAcwB1AHIAZQBzACAAdABoAGUAIAB2AGEAbAB1AGUAIABvAGYAIABhACAAcwB0AG8AYwBrABkgcwAgAHAAcgBpAGMAZQAgAHIAZQBsAGEAdABpAHYAZQAgAHQAbwAgAGkAdABzACAAbwBwAGUAcgBhAHQAaQBuAGcAIABjAGEAcwBoACAAZgBsAG8AdwAgAHAAZQByACAAcwBoAGEAcgBlALYAXAAiACAAJgBcAG4AIAAgACAAIAAgACAAIAAgAFwAIgBCAFYAUABTALsDIAAgACAAIAAgACAAIAAgACAAIAAgACAAIAAgACAAIAAgACAAIAAgACAAIACSIUIAbwBvAGsAIAB2AGEAbAB1AGUAIABwAGUAcgAgAHMAaABhAHIAZQAgAHIAYQB0AGkAbwAgAGkAcwAgAGEAbgAgAGkAbgBkAGkAYwBhAHQAbwByACAAbwBmACAAdABoAGUAIAB2AGEAbAB1AGUAIABvAGYAIABhACAAYwBvAG0AcABhAG4AeQAZIHMAIABzAHQAbwBjAGsAtgBcACIAIAAmAFwAbgAgACAAIAAgACAAIAAgACAAXAAiAEMAQQBQAEUAUgBhAHQAaQBvALsDIAAgACAAIAAgACAAIAAgACAAIAAgACAAIAAgACAAIAAgAJIhTQBlAGEAcwB1AHIAZQAgAHQAaABhAHQAIAB1AHMAZQBzACAAcgBlAGEAbAAgAGUAYQByAG4AaQBuAGcAcwAgAHAAZQByACAAcwBoAGEAcgBlACAAKABFAFAAUwApACAAbwB2AGUAcgAgAGEAIAAxADAALQB5AGUAYQByACAAcABlAHIAaQBvAGQAIAB0AG8AIABzAG0AbwBvAHQAaAAgAG8AdQB0ACAAZgBsAHUAYwB0AHUAYQB0AGkAbwBuAHMAIABpAG4AIABjAG8AcgBwAG8AcgBhAHQAZQAgAHAAcgBvAGYAaQB0AHMAIAB0AGgAYQB0ACAAbwBjAGMAdQByACAAbwB2AGUAcgAgAGQAaQBmAGYAZQByAGUAbgB0ACAAcABlAHIAaQBvAGQAcwAgAG8AZgAgAGEAIABiAHUAcwBpAG4AZQBzAHMAIABjAHkAYwBsAGUAIAAoAGEAawBhACAAUwBoAGkAbABsAGUAcgAgAFAARQAgAFIAYQB0AGkAbwApALYAXAAiACAAJgBcAG4AIAAgACAAIAAgACAAIAAgAFwAIgBEAGkAdgBpAGQAZQBuAGQAUABhAHkAbwB1AHQAUgBhAHQAaQBvALsDIAAgACAAIAAgACAAIACSIUQAaQB2AGkAZABlAG4AZAAgAFAAYQB5AG8AdQB0ACAAUgBhAHQAaQBvACAAaQBzACAAdABoAGUAIABwAGUAcgBjAGUAbgB0AGEAZwBlACAAbwBmACAAZQBhAHIAbgBpAG4AZwBzACAAcABhAGkAZAAgAHQAbwAgAHMAaABhAHIAZQBoAG8AbABkAGUAcgBzACAAdgBpAGEAIABkAGkAdgBpAGQAZQBuAGQAcwC2AFwAIgAgACYAXABuACAAIAAgACAAIAAgACAAIABcACIARABpAHYAaQBkAGUAbgBkAFkAaQBlAGwAZABSAGEAdABpAG8AuwMgACAAIAAgACAAIAAgACAAkiFEAGkAdgBpAGQAZQBuAGQAIAB5AGkAZQBsAGQAIAByAGEAdABpAG8AIABzAGgAbwB3AHMAIABoAG8AdwAgAG0AdQBjAGgAIABhACAAYwBvAG0AcABhAG4AeQAgAHAAYQB5AHMAIABvAHUAdAAgAGkAbgAgAGQAaQB2AGkAZABlAG4AZABzALYAXAAiACAAJgBcAG4AIAAgACAAIAAgACAAIAAgAFwAIgBFAFAAUwC7AyAAIAAgACAAIAAgACAAIAAgACAAIAAgACAAIAAgACAAIAAgACAAIAAgACAAIACSIUUAYQByAG4AaQBuAGcAcwAgAHAAZQByACAAcwBoAGEAcgBlACAAbQBlAGEAcwB1AHIAZQBzACAAcAByAG8AZgBpAHQAYQBiAGkAbABpAHQAeQAgAGkAbgBkAGkAYwBhAHQAaQBuAGcAIABoAG8AdwAgAG0AdQBjAGgAIABwAHIAbwBmAGkAdAAgAGUAYQBjAGgAIABvAHUAdABzAHQAYQBuAGQAaQBuAGcAIABzAGgAYQByAGUAIABvAGYAIABjAG8AbQBtAG8AbgAgAHMAdABvAGMAawAgAGgAYQBzACAAZQBhAHIAbgBlAGQAIAC2AFwAIgAgACYAXABuACAAIAAgACAAIAAgACAAIABcACIAUgBlAHQAZQBuAHQAaQBvAG4AUgBhAHQAaQBvALsDIAAgACAAIAAgACAAIAAgACAAIAAgACAAkiFSAGUAdABlAG4AdABpAG8AbgAgAFIAYQB0AGkAbwAgAGkAcwAgAHQAaABlACAAcAByAG8AcABvAHIAdABpAG8AbgAgAG8AZgAgAGUAYQByAG4AaQBuAGcAcwAgAGsAZQBwAHQAIABiAGEAYwBrACAAaQBuACAAdABoAGUAIABiAHUAcwBpAG4AZQBzAHMAIABhAHMAIAByAGUAdABhAGkAbgBlAGQAIABlAGEAcgBuAGkAbgBnAHMAtgBcACIAIAAmAFwAbgAgACAAIAAgACAAIAAgACAAXAAiAJIhtgBcACIAIAAmACAAXABuACAAIAAgACAAIAAgACAAIABcACIAKgAgACAAIAAgACAAIAAgACAAIAAgACAAIAAgACAAIAAgACAAIAAgACAAIAAgACAAIAAgACAAkiFUAGgAZQBzAGUAIABhAHIAZQAgAGMAbwBuAHMAaQBkAGUAcgBlAGQAIAAnAEsAZQB5ACAAUgBhAHQAaQBvAHMAJwC2AFwAIgAgACYAXABuACAAIAAgACAAIAAgACAAIABcACIAkiFcACIALAAgAFwAIgCSIVwAIgAsACAAXAAiALYAXAAiAFwAbgAgACAAIAAgACkAXABuACkAOwBcAG4AXABuAFwAbgBcAG4ALwAqACAAIABGAFUATgBDAFQASQBPAE4AIABOAEEATQBFADoAIAAgAEMAdQByAHIAZQBuAHQAUgBhAHQAaQBvALsDXABuACAAIAAgACAARABFAFMAQwBSAEkAUABUAEkATwBOADoAKgAvAC8AKgAqAE0AZQBhAHMAdQByAGUAcwAgAGEAIABjAG8AbQBwAGEAbgB5ABkgcwAgAGEAYgBpAGwAaQB0AHkAIAB0AG8AIABwAGEAeQAgAHMAaABvAHIAdAAtAHQAZQByAG0AIABvAGIAbABpAGcAYQB0AGkAbwBuAHMAIAAoAEMAdQByAHIAZQBuAHQAIABBAHMAcwBlAHQAcwAvAEwAaQBhAGIAaQBsAGkAdABpAGUAcwApACoALwBcAG4AQwB1AHIAcgBlAG4AdABSAGEAdABpAG8AuwMgAD0AIABMAEEATQBCAEQAQQAoAFwAbgAvAC8AIAAgAFAAYQByAGEAbQBlAHQAZQByACAARABlAGMAbABhAHIAYQB0AGkAbwBuAHMAXABuACAAIAAgACAAIAAgACAAIABbAEEAcwBzAGUAdABz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aQ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BAHMAcwBlAHQAcwAgACAAIAAgACAAIAAgACAAIACSISgAUgBlAHEAdQBpAHIAZQBkACkAIABDAHUAcgByAGUAbgB0ACAAQQBzAHMAZQB0AHMALgAgAEkAbgBjAGwAdQBjAGUAcwA6ACAAtgBcACIAIAAmACAAXABuACAAIAAgACAAIAAgACAAIAAgACAAIAAgACAAIAAgACAAIAAgACAAIAAgACAAIAAgACAAIAAgACAAIAAgACAAIAAgACAAIAAgACAAIAAgAFwAIgCSIUMAYQBzAGgAIAC2AFwAIgAgACYAIABcAG4AIAAgACAAIAAgACAAIAAgACAAIAAgACAAIAAgACAAIAAgACAAIAAgACAAIAAgACAAIAAgACAAIAAgACAAIAAgACAAIAAgACAAIAAgACAAXAAiAJIhQQBjAGMAbwB1AG4AdABzACAAcgBlAGMAZQBpAHYAYQBiAGwAZQAgALYAXAAiACAAJgAgAFwAbgAgACAAIAAgACAAIAAgACAAIAAgACAAIAAgACAAIAAgACAAIAAgACAAIAAgACAAIAAgACAAIAAgACAAIAAgACAAIAAgACAAIAAgACAAIABcACIAkiFJAG4AdgBlAG4AdABvAHIAeQAgALYAXAAiACAAJgAgAFwAbgAgACAAIAAgACAAIAAgACAAIAAgACAAIAAgACAAIAAgACAAIAAgACAAIAAgACAAIAAgACAAIAAgACAAIAAgACAAIAAgACAAIAAgACAAIABcACIAkiFWAGUAbgBkAG8AcgAgAG0AcABtAC0AdAByAGEAZABlACAAcgBlAGMAZQBvAHYAYQBiAGw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UAByAG8AcABlAHIAdAB5ACwAIABQAGwAYQBuAHQAIABhAG4AZAAgAGUAcQB1AGkAcABtAGUAbgB0ACAAKABQAFAARQAp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C4AMAA3ADUAIAAgACAAIAAgACAAIAAgACAAIACSIT0AbwB6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FEAdQBpAGMAawBBAHMAcwBlAHQAcwAsACAATABpAGEAYgBpAGwAaQB0AGkAZQBzACkAtgBcACIAIAAmACAAXABuACAAIAAgACAAIAAgACAAIAAgACAAIAAgACAAIAAgACAAIAAgACAAIAAgACAAIAAgAFwAIgBEAEUAUwBDAFIASQBQAFQASQBPAE4AOgAgACAAIACSIU0AZQBhAHMAdQByAGUAcwAgAGEAYgBpAGwAaQB0AHkAIAB0AG8AIABtAGUAZQB0ACAAcwBoAG8AcgB0AC0AdABlAHIAbQAgAG8AYgBsAGkAZwBhAHQAaQBvAG4AcwC2AFwAIgAgACYAIABcAG4AIAAgACAAIAAgACAAIAAgACAAIAAgACAAIAAgACAAIAAgACAAIAAgACAAIAAgACAAIAAgACAAIAAgACAAIAAgACAAIAAgACAAIAAgACAAXAAiAJIhKABRAHUAaQBjAGsAIABBAHMAcwBlAHQAcwAv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HEALwBxAHUAaQBjAGs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EAdQBpAGMAawBBAHMAcwBlAHQAcwAgACAAkiEoAFIAZQBxAHUAaQByAGUAZAApACAAUQB1AGkAYwBrACAAQQBzAHMAZQB0AHMALgAgAEkAbgBjAGwAdQBkAGUAcwA6ACAAtgBcACIAIAAmACAAXABuACAAIAAgACAAIAAgACAAIAAgACAAIAAgACAAIAAgACAAIAAgACAAIAAgACAAIAAgACAAIAAgACAAIAAgACAAIAAgACAAIAAgACAAIAAgAFwAIgCSISIgIABDAGEAcwBoACAAJgAgAEMAYQBzAGgAIABlAHEAdQBpAHYAYQBsAGUAbgB0AHMAIAC2AFwAIgAgACYAIABcAG4AIAAgACAAIAAgACAAIAAgACAAIAAgACAAIAAgACAAIAAgACAAIAAgACAAIAAgACAAIAAgACAAIAAgACAAIAAgACAAIAAgACAAIAAgACAAXAAiAJIhIiAgAE0AYQByAGsAZQB0AGEAYgBsAGUAIABzAGUAYwB1AHIAaQB0AGkAZQBzACAAtgBcACIAIAAmACAAXABuACAAIAAgACAAIAAgACAAIAAgACAAIAAgACAAIAAgACAAIAAgACAAIAAgACAAIAAgACAAIAAgACAAIAAgACAAIAAgACAAIAAgACAAIAAgAFwAIgCSISIgIABBAGMAYwBvAHUAbgB0AHMAIAByAGUAYwBlAGkAdgBhAGIAbABlACAAtgBcACIAIAAmACAAXABuACAAIAAgACAAIAAgACAAIAAgACAAIAAgACAAIAAgACAAIAAgACAAIAAgACAAIAAgACAAIAAgACAAIAAgACAAIAAgACAAIAAgACAAIAAgAFwAIgCSIUEAbAB0AGUAcgBhAG4AdABpAHYAZQBsAHkAIABpAHQAIABpAG4AYwBsAHUAZABlAHMAOgAgALYAXAAiACAAJgAgAFwAbgAgACAAIAAgACAAIAAgACAAIAAgACAAIAAgACAAIAAgACAAIAAgACAAIAAgACAAIAAgACAAIAAgACAAIAAgACAAIAAgACAAIAAgACAAIABcACIAkiEiICAAQwB1AHIAcgBlAG4AdAAgAGEAcwBzAGUAdABzACAAtgBcACIAIAAmACAAXABuACAAIAAgACAAIAAgACAAIAAgACAAIAAgACAAIAAgACAAIAAgACAAIAAgACAAIAAgACAAIAAgACAAIAAgACAAIAAgACAAIAAgACAAIAAgAFwAIgCSISIgIABMAGUAcwBzACAAaQBuAHYAZQBuAHQAbwByAHkAIAC2AFwAIgAgACYAIABcAG4AIAAgACAAIAAgACAAIAAgACAAIAAgACAAIAAgACAAIAAgACAAIAAgACAAIAAgACAAIAAgACAAIAAgACAAIAAgACAAIAAgACAAIAAgACAAXAAiAJIhIiAgAEwAZQBzAHMAIABwAHIAZQBwAGEAaQBkACAAZQB4AHAAZQBuAHMAZQBz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uADIAIAAgACAAIAAgACAAIAAgACAAIAAgACAAkiE9AG8Ae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UAMQA3ADQAMAA5ACAAIAAgACAAIAAgACAAIACSIT0AbwB6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EAIABjAG8AbQBwAGEAbgB5ABkgcwAgAGEAYgBpAGwAaQB0AHkAIAB0AG8AIABwAGEAeQAgAHMAaABvAHIAdAAtAHQAZQByAG0AIABvAGIAbABpAGcAYQB0AGkAbwBuAHM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DAGEAcwBoAEYAbABvAHcAUgBhAHQAaQBvALsDKAAgAE8AcABlAHIAYQB0AGkAbgBnAEMAYQBzAGgARgBsAG8AdwAsACAATABpAGEAYgBpAGwAaQB0AGk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aQ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kAZQBzACAAIAAgACAAIAAgACAAIAAgAJIhKABSAGUAcQB1AGkAcgBlAGQAKQAgAEMAdQByAHIAZQBuAHQAIABMAGkAYQBiAGkAbABpAHQAaQ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AAuADMANQA4ADcAMQAgACAAIAAgACAAIAAgACAAIAAgACAAIACSIT0AbwB6AC4ATwBwAGUAcgBhAHQAaQBuAGcAQwBhAHMAaABGAGwAbwB3AFIAYQB0AGkAbwC7AygAIAAyADcALgA4ACwAIAA3ADcALg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MAYQBzAGgARgBsAG8Ad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PAHAAZQByAGEAdABpAG4AZwBDAGEAcwBoAEYAbABvAHc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EALgA3ADYANAA3ADEAIAAgACAAIAAgACAAIACSIT0AbwB6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gALgA0ADYAMQA1ADMAOAAgACAAIAAgACAAIAAgACAAIAAgACAAkiE9AG8AegAuAEkAbgB2AGUAbgB0AG8AcgB5AFQAdQByAG4AbwB2AGUAcgBSAGEAdABpAG8AuwMoACAANAAyADkALAAgADUAMAAuADc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vAHMAdABPAGYARwBvAG8AZABzAFMAbwBsAGQAKQAsAFwAbgAgACAAIAAgACAAIAAgACAAIAAgACAAIAAgACAAIAAgACAAIAAgACAAIAAgACAAIAAgACAAIAAgAEkAUwBPAE0ASQBUAFQARQBEACgAIABBAHYAZQByAGEAZwBlAEkAbgB2AGUAbgB0AG8AcgB5ACkAXABuACAAIAAgACAAIAAgACAAIAAgACAAIAAgACAAIAAgACAAIAAgACAAIAAgACAAIAAgACkALABcAG4AIAAgACAAIAAvAC8AIAAgAFAAcgBvAGMAZQBkAHUAcgBlAFwAbgAgACAAIAAgACAAIAAgACAAUgBlAHMAdQBsAHQALAAgACAAIAAgACAAIAAgACAAIABDAG8AcwB0AE8AZgBHAG8AbwBkAHMAUwBvAGwAZAAvAEEAdgBlAHIAYQBnAGUASQBuAHYAZQBuAHQAbwBy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cAbwByAGsAaQBuAGcAQwBhAHAAaQB0AGEAbABUAHUAcgBuAG8AdgBlAHIAUgBhAHQAaQBvALsDXABuACAAIAAgACAARABFAFMAQwBSAEkAUABUAEkATwBOADoAKgAvAC8AKgAqAFcAbwByAGsAaQBuAGcAIABDAGEAcABpAHQAYQBsACAAVAB1AHIAbgBvAHYAZQByACAAUgBhAHQAaQBvACAAbQBlAGEAcwB1AHIAZQBzACAAaABvAHcAIABlAGYAZgBpAGMAaQBlAG4AdABsAHkAIABhACAAYwBvAG0AcABhAG4AeQAgAGkAcwAgAHUAcwBpAG4AZwAgAGkAdABzACAAdwBvAHIAawBpAG4AZwAgAFwAbgBjAGEAcABpAHQAYQBsACAAdABvACAAcwB1AHAAcABvAHIAdAAgAHMAYQBsAGUAcwAgAGEAbgBkACAAZwByAG8AdwB0AGgAIAAoAE4AZQB0ACAAQQBuAG4AdQBhAGwAIABTAGEAbABlAHMALwBBAHYAZQByAGEAZwBlACAAVwBvAHIAawBpAG4AZwAgAEMAYQBwAGkAdABhAGwAKQAuACAAKgAvAFwAbgBXAG8AcgBrAGkAbgBnAEMAYQBwAGkAdABhAGwAVAB1AHIAbgBvAHYAZQByAFIAYQB0AGkAbwC7AyAAPQAgAEwAQQBNAEIARABBACgAXABuAC8ALwAgACAAUABhAHIAYQBtAGUAdABlAHIAIABEAGUAYwBsAGEAUgBhAHQAaQBvAG4AcwBcAG4AIAAgACAAIAAgACAAIAAgAFsATgBlAHQAQQBuAG4AdQBhAGwAUwBhAGwAZQBzAF0ALAAgACAAXABuACAAIAAgACAAIAAgACAAIABbAFcAbwByAGsAaQBuAGcAQwBhAHAAaQB0AGEAbABdACwAIAAgACAAIABcAG4ALwAvACAAIABIAGUAbABwAFwAbgAgACAAIAAgAEwARQBUACgASABlAGwAcAAsACAAIAAgAFQAUgBJAE0AKABUAEUAWABUAFMAUABMAEkAVAAoACAAXABuACAAIAAgACAAIAAgACAAIAAgACAAIAAgACAAIAAgACAAIAAgACAAIAAgACAAIAAgAFwAIgBGAFUATgBDAFQASQBPAE4AOgAgACAAIAAgACAAIAAgACAAIACSIVcAbwByAGsAaQBuAGcAQwBhAHAAaQB0AGEAbABUAHUAcgBuAG8AdgBlAHIAUgBhAHQAaQBvALsDKAAgAE4AZQB0AEEAbgBuAHUAYQBsAFMAYQBsAGUAcwAsACAAVwBvAHIAawBpAG4AZwBDAGEAcABpAHQAYQBsACkAtgBcACIAIAAmACAAXABuACAAIAAgACAAIAAgACAAIAAgACAAIAAgACAAIAAgACAAIAAgACAAIAAgACAAIAAgAFwAIgBEAEUAUwBDAFIASQBQAFQASQBPAE4AOgAgACAAIAAgACAAIACSIVcAbwByAGsAaQBuAGcAIABDAGEAcABpAHQAYQBsACAAVAB1AHIAbgBvAHYAZQByACAAUgBhAHQAaQBvACAAbQBlAGEAcwB1AHIAZQBzACAAaABvAHcAIABlAGYAZgBpAGMAaQBlAG4AdABsAHkAIABhACAAYwBvAG0AcABhAG4AeQAgALYAXAAiACAAJgBcAG4AIAAgACAAIAAgACAAIAAgACAAIAAgACAAIAAgACAAIAAgACAAIAAgACAAIAAgACAAIAAgACAAIAAgACAAIAAgACAAIAAgACAAIAAgACAAIAAgACAAXAAiAJIhaQBzACAAdQBzAGkAbgBnACAAaQB0AHMAIAB3AG8AcgBrAGkAbgBnACAAYwBhAHAAaQB0AGEAbAAgAHQAbwAgAHMAdQBwAHAAbwByAHQAIABzAGEAbABlAHMAIABhAG4AZAAgAGcAcgBvAHcAdABoACAAtgBcACIAIAAmAFwAbgAgACAAIAAgACAAIAAgACAAIAAgACAAIAAgACAAIAAgACAAIAAgACAAIAAgACAAIAAgACAAIAAgACAAIAAgACAAIAAgACAAIAAgACAAIAAgACAAIABcACIAkiEoAE4AZQB0ACAAQQBuAG4AdQBhAGwAIABTAGEAbABlAHMALwBBAHYAZQByAGEAZwBlACAAVwBvAHIAawBpAG4AZwAgAEMAYQBwAGkAdABhAGwAKQAuACAAtgBcACIAIAAmAFwAbgAgACAAIAAgACAAIAAgACAAIAAgACAAIAAgACAAIAAgACAAIAAgACAAIAAgACAAIABcACIAVwBFAEIAUABBAEcARQA6ACAAIAAgACAAIAAgACAAIAAgACAAkiFoAHQAdABwAHMAOgAvAC8AdwB3AHcALgBpAG4AdgBlAHMAdABvAHAAZQBkAGkAYQAuAGMAbwBtAC8AdABlAHIAbQBzAC8AdwAvAHcAbwByAGsAaQBuAGcAYwBhAHAAaQB0AGEAbAB0AHUAcgBuAG8AdgBlAHIALgBhAHMAcAAgALYAXAAiACAAJgBcAG4AIAAgACAAIAAgACAAIAAgACAAIAAgACAAIAAgACAAIAAgACAAIAAgACAAIAAgACAAXAAiAFYARQBSAFMASQBPAE4AOgAgACAAIAAgACAAIAAgACAAIAAgAJIhMgAwACAAQQB1AGcAIAAyADAAMgA2ALYAXAAiACAAJgBcAG4AIAAgACAAIAAgACAAIAAgACAAIAAgACAAIAAgACAAIAAgACAAIAAgACAAIAAgACAAXAAiAFAAQQBSAEEATQBFAFQARQBSAFMAOgCSIbYAXAAiACAAJgAgAFwAbgAgACAAIAAgACAAIAAgACAAIAAgACAAIAAgACAAIAAgACAAIAAgACAAIAAgACAAIABcACIATgBlAHQAQQBuAG4AdQBhAGwAUwBhAGwAZQBzACAAIAAgACAAkiEoAFIAZQBxAHUAaQByAGUAZAApACAATgBlAHQAIABBAG4AbgB1AGEAbAAgAFMAYQBsAGUAcwAgAGMAYQBuACAAaQBuAGMAbAB1AGQAZQA6ALYAXAAiACAAJgBcAG4AIAAgACAAIAAgACAAIAAgACAAIAAgACAAIAAgACAAIAAgACAAIAAgACAAIAAgACAAIAAgACAAIAAgACAAIAAgACAAIAAgACAAIAAgACAAIAAgACAAXAAiAJIhRwByAG8AcwBzACAAcwBhAGwAZQBzALYAXAAiACAAJgBcAG4AIAAgACAAIAAgACAAIAAgACAAIAAgACAAIAAgACAAIAAgACAAIAAgACAAIAAgACAAIAAgACAAIAAgACAAIAAgACAAIAAgACAAIAAgACAAIAAgACAAXAAiAJIhTABlAHMAcwAgAHIAZQB0AHUAcgBuAHMAtgBcACIAIAAmAFwAbgAgACAAIAAgACAAIAAgACAAIAAgACAAIAAgACAAIAAgACAAIAAgACAAIAAgACAAIAAgACAAIAAgACAAIAAgACAAIAAgACAAIAAgACAAIAAgACAAIABcACIAkiFMAGUAcwBzACAAYQBsAGwAbwB3AGEAbgBjAGUAcwC2AFwAIgAgACYAXABuACAAIAAgACAAIAAgACAAIAAgACAAIAAgACAAIAAgACAAIAAgACAAIAAgACAAIAAgACAAIAAgACAAIAAgACAAIAAgACAAIAAgACAAIAAgACAAIAAgAFwAIgCSIUwAZQBzAHMAIABkAGkAcwBjAG8AdQBuAHQAcwC2AFwAIgAgACYAIABcAG4AIAAgACAAIAAgACAAIAAgACAAIAAgACAAIAAgACAAIAAgACAAIAAgACAAIAAgACAAXAAiAFcAbwByAGsAaQBuAGcAQwBhAHAAaQB0AGEAbAAgACAAIAAgAJIhKABSAGUAcQB1AGkAcgBlAGQAKQAgAEEAdgBlAHIAYQBnAGUAIABvAGYAIABwAGUAcgBpAG8AZAAgAG8AcABlAG4AIABhAG4AZAAgAGMAbABvAHMAZQAgAGMAdQByAHIAZQBuAHQAIABhAHMAcwB0AHMAIABsAGUAcwBzACAAYwB1AHIAcgBlAG4AIABsAGkAYQBiAGkAbABpAHQAaQBlAHMALgC2AFwAIgAgACYAIABcAG4AIAAgACAAIAAgACAAIAAgACAAIAAgACAAIAAgACAAIAAgACAAIAAgACAAIAAgACAAXAAiAEUAWABBAE0AUABMAEUAUwA6ACAAIAAgACAAIAAgACAAIAAgAJIhRgBvAHIAbQB1AGwAYQAgACgAbwB6ACAAaQBzACAAYQBzAHMAdQBtAGUAZAAgAHQAbwAgAGIAZQAgAHQAaABlACAAbQBvAGQAdQBsAGUAJwBzACAAbgBhAG0AZQApALYAXAAiACAAJgBcAG4AIAAgACAAIAAgACAAIAAgACAAIAAgACAAIAAgACAAIAAgACAAIAAgACAAIAAgACAAXAAiADYALgAwACAAIAAgACAAIAAgACAAIAAgACAAIAAgACAAIAAgAJIhPQBvAHo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MAIAAgACAAIAAgACAAIAAgACAAIAAgACAAIACSIT0AbwB6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EAGUAYgB0AF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E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MQA0ADIAOAA1ADcAIAAgACAAIAAgACAAIAAgACAAIAAgAJIhPQBvAHo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YALgA0ACUAIAAgACAAIAAgACAAIAAgACAAIAAgACAAIAAgAJIhPQBvAHo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VABvAHQAYQBs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AAwADYAMgA1ACAAIAAgACAAIAAgACAAIAAgACAAIAAgAJIhPQBvAHo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wAuADcANwAgACAAIAAgACAAIAAgACAAIAAgACAAIAAgACAAIACSIT0AbwB6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As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sAGUAdgBlAHIAYQBnAGUAIAB3AGkAdABoACAAdABoAGEAdAAgAG8AZgAgAG8AdABoAGUAcgAgAFwAbgBjAG8AbQBwAGEAbgBpAGUAcwAgAGkAbgAgAHQAaABlACAAcwBhAG0AZQAgAGkAbgBkAHUAcwB0AHIAeQAuACAAKABUAG8AdABhAGwAIABEAGUAYgB0AC8AVABvAHQAYQBsACAAQQBzAHMAZQB0AHMAKQAg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uADQAOQA4ADcAMwAgACAAIAAgACAAIAAgACAAIAAgACAAIAAgAJIhPQBvAHo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Gc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LgA5ADQANAA0ADQANAAgACAAIAAgACAAIAAgACAAIAAgACAAkiE9AG8Ae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RQBxAHUAaQB0AHk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EkAbgB0AGEAbgBnAGkAYgBsAGUAQQBzAHMAZQB0AHMAIAAgACAAkiEoAFIAZQBxAHUAaQByAGUAZAApACAARABlAGQAdQBjAHQAZQBkACAAZgByAG8AbQAgAHQAbwB0AGEAbAAgAGEAcwBzAGUAdABzACAAYgBlAGYAbwByAGUAIAB0AGgAZQAgAGMAbwBtAHAAYQByAGkAcwBvAG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lACAAIAAgACAAIAAgACAAIAAgACAAIAAgACAAIAAgACAAkiE9AG8Ae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MwAyAHgAIAAgACAAIAAgACAAIAAgACAAIAAgAJIhPQBvAHo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CAAQwBvAHMAdAAgAG8AZgAgAEcAbwBvAGQAcwAgAFMAbwBsAGQAKQAg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IABDAG8AcwB0ACAAbwBmACAARwBvAG8AZABzACAAUwBvAGwAZA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4AOAA5ADQAOQAgAGQAYQB5AHMAIAAgACAAIAAgACAAIACSIT0AbwB6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dwBoAGkAYwBoACAAY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IAAgACAAIAAgACAAIAAgACAAIAAgACAAIAAgACAAIAAgACAAIABcACIAkiFDAG8AcwB0ACAAbwBmACAARwBvAG8AZABzACAAUwBvAGwAZAAgACgAQwBPAEcAUwAp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OQAlACAAIAAgACAAIAAgACAAIAAgACAAIAAgACAAIAAgACAAkiE9AG8Ae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gAxAC4ANwA0ADQAOAAlACAAIAAgACAAIAAgACAAkiE9AG8Ae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gAlACAAIAAgACAAIAAgACAAIAAgACAAIAAgAJIhPQBvAHo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gAHcAaABpAGMAaAAgAGkAcwAgAHIAZQB2AGUAbgB1AGUAIAAtACAAQwBPAEcAUwC2AFwAIgAgACYAIA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UAIAAgACAAIAAgACAAIAAgACAAIAAgACAAIAAgACAAIACSIT0AbwB6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OAAlACAAIAAgACAAIAAgACAAIAAgACAAIAAgACAAkiE9AG8Ae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1ADYAJQAgACAAIAAgACAAIAAgACAAIAAgACAAIACSIT0AbwB6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MAYQBzAGgARgBsAG8AdwBGAHIAbwBtAE8AcABlAHIAYQB0AGkAbgBnAEEAYwB0AGkAdgBpAHQAaQBlAHM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QAwAC4AOAAlACAAIAAgACAAIAAgACAAIAAgACAAkiE9AG8Ae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gAJQAgACAAIAAgACAAIAAgACAAIAAgACAAIAAgAJIhPQBvAHo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FMAaABhAHIAZQBoAG8AbABkAGUAcgBzACAARQBxAHUAaQB0AHkAKQAqAC8AXABuAFIATwBFALsDIAA9ACAATABBAE0AQgBEAEEAKABcAG4ALwAvACAAIABQAGEAcgBhAG0AZQB0AGUAcgAgAEQAZQBjAGwAYQByAGEAdABpAG8AbgBzAFwAbgAgACAAIAAgACAAIAAgACAAWwBOAGUAdABJAG4AYwBvAG0AZQ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UgBPAEUAuwMoACAATgBlAHQASQBuAGMAbwBtAGUALAAgAFMAaABhAHIAZQBoAG8AbABkAGUAcgBzAEUAcQB1AGkAdAB5ACkAtgBcACIAIAAmACA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IA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CA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UwBoAGEAcgBlAGgAbwBsAGQAZQByAHMARQBxAHUAaQB0AHkAIACSISgAUgBlAHEAdQBpAHIAZQBkACkAIABBAHYAZQByAGEAZwBlACAAUwBoAGEAcgBlAGgAbwBsAGQAZQByAHMAJwAgAEUAcQB1AGkAdAB5ACAAZgByAG8AbQAgAHAAZQByAGkAbwBkACAAbwBwAGUAbgAgAGEAbgBkACAAYwBsAG8AcwBl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MwAuADYAMgAxADMAJQAgACAAIAAgACAAIAAgACAAIAAgACAAkiE9AG8AegAuAFIATwBFALsDKAAgADUAOQAuADkANwAyACwAIABBAFYARQBSAEEARwBFACgAMgA1ADEALgA2ADMANQAsACAAMgA1ADYALgAxADQANA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TgBlAHQASQBuAGMAbwBtAGU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vAHoAIABpAHMAIABhAHMAcwB1AG0AZQBkACAAdABvACAAYgBlACAAdABoAGUAIABtAG8AZAB1AGwAZQAnAHMAIABuAGEAbQBlACkAtgBcACIAIAAmAFwAbgAgACAAIAAgACAAIAAgACAAIAAgACAAIAAgACAAIAAgACAAIAAgACAAIAAgACAAIABcACIAMgA4AC4ANwA1ACUAIAAgACAAIAAgACAAIAAgACAAIAAgACAAIAAgACAAIAAgAJIhPQBvAHo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LgA2ADEAMgAyACUAIAAgACAAIAAgACAAIACSIT0AbwB6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0AC4AMwA5ADgAOAAxACAAIAAgACAAIAAgACAAIAAgACAAIACSIT0AbwB6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QgBvAG8AawAgAFYAYQBsAHUAZQAgAFAAZQByACAAcwBoAGEAcgBl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C4AMAAgACAAIAAgACAAIAAgACAAIAAgACAAIAAgACAAIAAgAJIhPQBvAHo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uADUANQAgACAAIAAgACAAIAAgACAAIAAgACAAIAAgACAAIACSIT0AbwB6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FIAYQB0AGkAbwC7A1wAbgAgACAAIAAgAEQARQBTAEMAUgBJAFAAVABJAE8ATgA6ACoALwAvACoAKgBQAHIAaQBjAGUAIAB0AG8AIABDAGEAcwBoACAAKABQAC8AQwBGACkAIABSAGEAdABpAG8AIABpAHMAIABhACAAcwB0AG8AYwBrACAAdgBhAGwAdQBhAHQAaQBvAG4AIABpAG4AZABpAGMAYQB0AG8AcgAgAG8AcgAgAG0AdQBsAHQAaQBwAGwAZQAgAHQAaABhAHQAIABtAGUAYQBzAHUAcgBlAHMAIABcAG4AdABoAGUAIAB2AGEAbAB1AGUAIABvAGYAIABhACAAcwB0AG8AYwBrABkgcwAgAHAAcgBpAGMAZQAgAHIAZQBsAGEAdABpAHYAZQAgAHQAbwAgAGkAdABzACAAbwBwAGUAcgBhAHQAaQBuAGcAIABjAGEAcwBoACAAZgBsAG8AdwAgAHAAZQByACAAcwBoAGEAcgBlACAAXABuACgATQBhAHIAawBlAHQAIABQAHIAaQBjAGUAIABQAGUAcgAgAFMAaABhAHIAZQAvAE8AcABlAHIAYQB0AGkAbgBnACAAQwBhAHMAaAAgAEYAbABvAHcAIABQAGUAcgAgAFMAaABhAHIAZQApAC4AIAAqAC8AXABuAFAAcgBpAGMAZQBUAG8AQwBhAHMAaABSAGEAdABpAG8AuwMgAD0AIABMAEEATQBCAEQAQQAoAFwAbgAvAC8AIAAgAFAAYQByAGEAbQBlAHQAZQByACAARABlAGMAbABhAHIAYQB0AGkAbwBuAHMAXABuACAAIAAgACAAIAAgACAAIABbAE0AYQByAGsAZQB0AFAAcgBpAGMAZQBQAGUAcgBTAGgAYQByAGUAXQAsACAAIABcAG4AIAAgACAAIAAgACAAIAAgAFsATwBwAGUAcgBhAHQAaQBuAGcAQwBhAHMAaABGAGwAbwB3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DAGEAcwBoAFIAYQB0AGkAbwC7AygAIABNAGEAcgBrAGUAdABQAHIAaQBjAGUAUABlAHIAUwBoAGEAcgBlACwAIABPAHAAZQByAGEAdABpAG4AZwBDAGEAcwBoAEYAbABvAHcAUABlAHIAUwBoAGEAcgBlACkAtgBcACIAIAAmACAAXABuACAAIAAgACAAIAAgACAAIAAgACAAIAAgACAAIAAgACAAIAAgACAAIAAgACAAIAAgAFwAIgBEAEUAUwBDAFIASQBQAFQASQBPAE4AOgAgACAAIAAgACAAIAAgAJIhUAByAGkAYwBlACAAdABvACAAQwBhAHMAaAAgACgAUAAvAEMARgApACAAUgBhAHQAaQBvACAAIABpAHMAIABhACAAcwB0AG8AYwBrACAAdgBhAGwAdQBhAHQAaQBvAG4AIABpAG4AZABpAGMAYQB0AG8AcgAgAG8AcgAgAG0AdQBsAHQAaQBwAGwAZQAgAHQAaABhAHQAIAC2AFwAIgAgACYAIABcAG4AIAAgACAAIAAgACAAIAAgACAAIAAgACAAIAAgACAAIAAgACAAIAAgACAAIAAgACAAIAAgACAAIAAgACAAIAAgACAAIAAgACAAIAAgACAAIAAgACAAIABcACIAkiFtAGUAYQBzAHUAcgBlAHMAIAB0AGgAZQAgAHYAYQBsAHUAZQAgAG8AZgAgAGEAIABzAHQAbwBjAGsAGSBzACAAcAByAGkAYwBlACAAcgBlAGwAYQB0AGkAdgBlACAAdABvACAAaQB0AHMAIABvAHAAZQByAGEAdABpAG4AZwAgAGMAYQBzAGgAIABmAGwAbwB3ACAAtgBcACIAIAAmACAAXABuACAAIAAgACAAIAAgACAAIAAgACAAIAAgACAAIAAgACAAIAAgACAAIAAgACAAIAAgACAAIAAgACAAIAAgACAAIAAgACAAIAAgACAAIAAgACAAIAAgACAAXAAiAJIhcABlAHIAIABzAGgAYQByAGUAIAAoAE0AYQByAGsAZQB0ACAAUAByAGkAYwBlACAAUABlAHIAIABTAGgAYQByAGUALwBPAHAAZQByAGEAdABpAG4AZwAgAEMAYQBzAGgAIABGAGwAbwB3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YwBhAHMAaAAtAGYAbABvAHc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TwBwAGUAcgBhAHQAaQBuAGcAQwBhAHMAaABGAGwAbwB3AFAAZQByAFMAaABhAHIAZQCSISgAUgBlAHEAdQBpAHIAZQBkACkAIABPAHAAZQByAGEAdABpAG4AZwAgAEMAYQBzAGgAIABGAGwAbwB3ACAAZgBvAHIAIABwAHIAaQBvAHIAIAAxADIAIABtAG8AbgB0AGgAcwAvAFMAaABhAHIAZQBzACAAbwB1AHQAcwB0AGEAbgBkAGkAbgBn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IAAgACAAIAAgACAAIAAgACAAIAAgACAAIAAgACAAIAAgACAAkiE9AG8AegAuAFAAcgBpAGMAZQBUAG8AQwBhAHMAaABSAGEAdABpAG8AuwMoACAAMgAwADA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TwBwAGUAcgBhAHQAaQBuAGcAQwBhAHMAaABGAGwAbwB3AFAAZQByAFMAaABhAHIAZQApAFwAbgAgACAAIAAgACAAIAAgACAAIAAgACAAIAAgACAAIAAgACAAIAAgACAAIAAgACAAIAApACwAXABuACAAIAAgACAALwAvACAAIABQAHIAbwBjAGUAZAB1AHIAZQBcAG4AIAAgACAAIAAgACAAIAAgAFIAZQBzAHUAbAB0ACwAIAAgACAAIAAgACAAIAAgACAATQBhAHIAawBlAHQAUAByAGkAYwBlAFAAZQByAFMAaABhAHIAZQAvAE8AcABlAHIAYQB0AGkAbgBnAEMAYQBzAGgARgBsAG8Ad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CAFYAUABTALsDXABuACAAIAAgACAARABFAFMAQwBSAEkAUABUAEkATwBOADoAKgAvAC8AKgAqAEIAbwBvAGsAIAB2AGEAbAB1AGUAIABwAGUAcgAgAHMAaABhAHIAZQAgAHIAYQB0AGkAbwAgAGkAcwAgAGEAbgAgAGkAbgBkAGkAYwBhAHQAbwByACAAbwBmACAAdABoAGUAIAB2AGEAbAB1AGUAIABvAGYAIABhACAAYwBvAG0AcABhAG4AeQAZIHMAIABzAHQAbwBjAGsAIABcAG4AKABTAGgAYQByAGUAaABvAGwAZABlAHIAcwAnACAARQBxAHUAaQB0AHkAIAAtACAAUAByAGUAZgBlAHIAcgBlAGQAIABTAHQAbwBjAGsAKQAvAEEAdgBlAHIAYQBnAGUAIABTAGgAYQByAGUAcwAgAE8AdQB0AHMAdABhAG4AZABpAG4AZwApACAAKgAvAFwAbgBCAFYAUABTALsDIAA9ACAATABBAE0AQgBEAEEAKABcAG4ALwAvACAAIABQAGEAcgBhAG0AZQB0AGUAcgAgAEQAZQBjAGwAYQByAGEAdABpAG8AbgBzAFwAbgAgACAAIAAgACAAIAAgACAAWwBTAGgAYQByAGUAaABvAGwAZABlAHIAcwBFAHEAdQBpAHQAeQBdACwAIABcAG4AIAAgACAAIAAgACAAIAAgAFsAUAByAGUAZgBlAHIAcgBlAGQAUwB0AG8AYwBrAF0AIAAsAFwAbgAgACAAIAAgACAAIAAgACAAWwBBAHYAZQByAGEAZwBl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QgBWAFAAUwC7AygAIABTAGgAYQByAGUAaABvAGwAZABlAHIAcwBFAHEAdQBpAHQAeQAsACAAUAByAGUAZgBlAHIAcgBlAGQAUwB0AG8AYwBrACwAIABBAHYAZQByAGEAZwBlAFMAaABhAHIAZQBzAE8AdQB0AHMAdABhAG4AZABpAG4AZwAgACkAtgBcACIAIAAmACAAXABuACAAIAAgACAAIAAgACAAIAAgACAAIAAgACAAIAAgACAAIAAgACAAIAAgACAAIAAgAFwAIgBEAEUAUwBDAFIASQBQAFQASQBPAE4AOgAgACAAIAAgACAAIAAgAJIhQgBvAG8AawAgAHYAYQBsAHUAZQAgAHAAZQByACAAcwBoAGEAcgBlACAAcgBhAHQAaQBvACAAaQBzACAAYQBuACAAaQBuAGQAaQBjAGEAdABvAHIAIABvAGYAIAB0AGgAZQAgAHYAYQBsAHUAZQAgAG8AZgAgAGEAIABjAG8AbQBwAGEAbgB5ABkgcwAgAHMAdABvAGMAawC2AFwAIgAgACYAIABcAG4AIAAgACAAIAAgACAAIAAgACAAIAAgACAAIAAgACAAIAAgACAAIAAgACAAIAAgACAAIAAgACAAIAAgACAAIAAgACAAIAAgACAAIAAgACAAIAAgACAAIABcACIAkiEoAFMAaABhAHIAZQBoAG8AbABkAGUAcgBzACcAIABFAHEAdQBpAHQAeQAgAC0AIABQAHIAZQBmAGUAcgByAGUAZAAgAFMAdABvAGMAawApAC8AQQB2AGUAcgBhAGcAZQAgAFMAaABhAHIAZQBzACAATwB1AHQAcwB0AGEAbgBkAGkAbgBnACkAtgBcACIAIAAmACAAXABuACAAIAAgACAAIAAgACAAIAAgACAAIAAgACAAIAAgACAAIAAgACAAIAAgACAAIAAgAFwAIgBXAEUAQgBQAEEARwBFADoAIAAgACAAIAAgACAAIAAgACAAIAAgAJIhaAB0AHQAcABzADoALwAvAGMAbwByAHAAbwByAGEAdABlAGYAaQBuAGEAbgBjAGUAaQBuAHMAdABpAHQAdQB0AGUALgBjAG8AbQAvAHIAZQBzAG8AdQByAGMAZQBzAC8AdgBhAGwAdQBhAHQAaQBvAG4ALwBiAG8AbwBrAC0AdgBhAGwAdQBlAC0AcABlAHIALQBzAGgAYQByAGUALQBiAHYAcABzAC8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QAHIAZQBmAGUAcgByAGUAZABTAHQAbwBjAGsAIAAgACAAIAAgAJIhKABSAGUAcQB1AGkAcgBlAGQAKQAgAFAAcgBlAGYAZQByAHIAZQBkACAAUwB0AG8AYwBrACAAKABzAGUAYwB1AHIAaQB0AGkAZQBzACAAdABoAGEAdAAgAHIAZQBwAHIAZQBzAGUAbgB0ACAAbwB3AG4AZQByAHMAaABpAHAAIABpAG4AIABhACAAYwBvAHIAcABvAHIAYQB0AGkAbwBuACkALgC2AFwAIgAgACYAIABcAG4AIAAgACAAIAAgACAAIAAgACAAIAAgACAAIAAgACAAIAAgACAAIAAgACAAIAAgACAAXAAiAEEAdgBlAHIAYQBnAGUAUwBoAGEAcgBlAHMATwB1AHQAcwB0AGEAbgBkAGkAbgBnAJIhKABSAGUAcQB1AGkAcgBlAGQAKQAgAEEAdgBlAHIAYQBnAGUAIABTAGgAYQByAGUAcwAgAE8AdQB0ACAAUwB0AGEAbgBkAGkAbgBn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CAAIAAgACAAkiE9AG8Ae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AAgACAAIAAgACAAIAAgACAAIAAgACAAIAAgAJIhPQBvAHoALgBDAEEAUABFAFIAYQB0AGkAbwC7AygAIAAxADAAMAAuADAALAAgADEAMAAuADAAI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UAGUAbgBZAGUAYQByAEEAdgBlAHIAYQBnAGUARQBhAHIAbgBpAG4AZwBzAEkAbgBmAGwAYQB0AGkAbwBuAEEAZABqAHUAcwB0AGUAZAApAFwAbgAgACAAIAAgACAAIAAgACAAIAAgACAAIAAgACAAIAAgACAAIAAgACAAIAAgACAAIAApACwAXABuACAAIAAgACAALwAvACAAIABQAHIAbwBjAGUAZAB1AHIAZQBcAG4AIAAgACAAIAAgACAAIAAgAFIAZQBzAHUAbAB0ACwAIAAgACAAIAAgACAAIAAgACAAUwBoAGEAcgBlAFAAcgBpAGMAZQAvAFQAZQBuAFkAZQBhAHIAQQB2AGUAcgBhAGcAZQBFAGEAcgBuAGkAbgBnAHMASQBuAGYAbABhAHQAaQBvAG4AQQBkAGoAdQBzAHQAZQBk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AAUgC7A1wAbgAgACAAIAAgAEQARQBTAEMAUgBJAFAAVABJAE8ATgA6ACoALwAvACoAKgBEAGkAdgBpAGQAZQBuAGQAIABQAGEAeQBvAHUAdAAgAFIAYQB0AGkAbwAgAGkAcwAgAHQAaABlACAAcABlAHIAYwBlAG4AdABhAGcAZQAgAG8AZgAgAGUAYQByAG4AaQBuAGcAcwAgAHAAYQBpAGQAIAB0AG8AIABzAGgAYQByAGUAaABvAGwAZABlAHIAcwAgAHYAaQBhACAAZABpAHYAaQBkAGUAbgBkAHMAXABuACAAIAAgACAAKABEAGkAdgBpAGQAZQBuAGQAcwBQAGEAaQBkAC8ATgBlAHQASQBuAGMAbwBtAGUAKQAgACoALwBcAG4ARABQAFIAuwMgAD0AIABMAEEATQBCAEQAQQAoAFwAbgAvAC8AIAAgAFAAYQByAGEAbQBlAHQAZQByACAARABlAGMAbABhAHIAYQB0AGkAbwBuAHMAXABuACAAIAAgACAAIAAgACAAIABbAEQAaQB2AGkAZABlAG4AZABzAFAAYQBpAGQ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kiFEAFAAUgC7AygAIABEAGkAdgBpAGQAZQBuAGQAcwBQAGEAaQBkACwAIABOAGUAdABJAG4AYwBvAG0AZQAgACkAtgBcACIAIAAmACAAXABuACAAIAAgACAAIAAgACAAIAAgACAAIAAgACAAIAAgACAAIAAgACAAIAAgACAAIAAgAFwAIgBEAEUAUwBDAFIASQBQAFQASQBPAE4AOgAgACAAIACSIUQAaQB2AGkAZABlAG4AZAAgAFAAYQB5AG8AdQB0ACAAUgBhAHQAaQBvACAAaQBzACAAdABoAGUAIABwAGUAcgBjAGUAbgB0AGEAZwBlACAAbwBmACAAZQBhAHIAbgBpAG4AZwBzACAAcABhAGkAZAAgAHQAbwAgAHMAaABhAHIAZQBoAG8AbABkAGUAcgBzACAAdgBpAGEAIABkAGkAdgBpAGQAZQBuAGQAcwC2AFwAIgAgACYAIABcAG4AIAAgACAAIAAgACAAIAAgACAAIAAgACAAIAAgACAAIAAgACAAIAAgACAAIAAgACAAIAAgACAAIAAgACAAIAAgACAAIAAgACAAIAAgACAAXAAiAJIhKABEAGkAdgBpAGQAZQBuAGQAcwBQAGEAaQBkAC8ATgBlAHQASQBuAGMAbwBtAGUAKQC2AFwAIgAgACYAIABcAG4AIAAgACAAIAAgACAAIAAgACAAIAAgACAAIAAgACAAIAAgACAAIAAgACAAIAAgACAAXAAiAFcARQBCAFAAQQBHAEUAOgAgACAAIAAgACAAIAAgAJIhaAB0AHQAcABzADoALwAvAHcAdwB3AC4AaQBuAHYAZQBzAHQAbwBwAGUAZABpAGEALgBjAG8AbQAvAHQAZQByAG0AcwAvAGQALwBkAGkAdgBpAGQAZQBuAGQAcABhAHkAbwB1AHQ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QAaQB2AGkAZABlAG4AZABzAFAAYQBpAGQAIAAgAJIhKABSAGUAcQB1AGkAcgBlAGQAKQAgAEQAaQB2AGkAZABlAG4AZABzACAAcABhAGkAZAAgALYAXAAiACAAJgAgAFwAbgAgACAAIAAgACAAIAAgACAAIAAgACAAIAAgACAAIAAgACAAIAAgACAAIAAgACAAIABcACIATgBlAHQASQBuAGMAbwBtAGUAIAAgACAAIAAgACAAkiEoAFIAZQBxAHUAaQByAGUAZAApACAATgBlAHQAIABJAG4AYwBvAG0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IANQAlACAAIAAgACAAIAAgACAAIAAgACAAIAAgAJIhPQBvAHoALgBEAFAAUgC7AygAIAA1AC4AMAAsACAAMg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aQB2AGkAZABlAG4AZABzAFAAYQBpAGQ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RABpAHYAaQBkAGUAbgBkAHMAUABhAGkAZAAvAE4AZQB0AEkAbgBjAG8Ab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kAdgBpAGQAZQBuAGQAWQBpAGUAbABkAFIAYQB0AGkAbwC7A1wAbgAgACAAIAAgAEQARQBTAEMAUgBJAFAAVABJAE8ATgA6ACoALwAvACoAKgBEAGkAdgBpAGQAZQBuAGQAIAB5AGkAZQBsAGQAIAByAGEAdABpAG8AIABzAGgAbwB3AHMAIABoAG8AdwAgAG0AdQBjAGgAIABhACAAYwBvAG0AcABhAG4AeQAgAHAAYQB5AHMAIABvAHUAdAAgAGkAbgAgAGQAaQB2AGkAZABlAG4AZABzACAAXABuAGUAYQBjAGgAIAB5AGUAYQByACAAcgBlAGwAYQB0AGkAdgBlACAAdABvACAAaQB0AHMAIABzAHQAbwBjAGsAIABwAHIAaQBjAGUAIAAoAEEAbgBuAHUAYQBsACAARABpAHYAaQBkAGUAbgBkAHMAIABQAGUAIAByAFMAaABhAHIAZQAvAFMAaABhAHIAZQAgAFAAcgBpAGMAZQApACAAKgAvAFwAbgBEAGkAdgBpAGQAZQBuAGQAWQBpAGUAbABkAFIAYQB0AGkAbwC7AyAAPQAgAEwAQQBNAEIARABBACgAXABuAC8ALwAgACAAUABhAHIAYQBtAGUAdABlAHIAIABEAGUAYwBsAGEAcgBhAHQAaQBvAG4AcwBcAG4AIAAgACAAIAAgACAAIAAgAFsAQQBuAG4AdQBhAGwARABpAHYAaQBkAGUAbgBkAHMAUABlAHIAUwBoAGEAcgBlAF0ALAAgACAAXABuACAAIAAgACAAIAAgACAAIABbAFMAaABhAHIAZQBQAHIAaQBjAGUAXQAsACAAIAAgACAAXABuAC8ALwAgACAASABlAGwAcABcAG4AIAAgACAAIABMAEUAVAAoAEgAZQBsAHAALAAgACAAIABUAFIASQBNACgAVABFAFgAVABTAFAATABJAFQAKAAgAFwAbgAgACAAIAAgACAAIAAgACAAIAAgACAAIAAgACAAIAAgACAAIAAgACAAIAAgACAAIABcACIARgBVAE4AQwBUAEkATwBOADoAIAAgACAAIAAgACAAkiFEAGkAdgBpAGQAZQBuAGQAWQBpAGUAbABkAFIAYQB0AGkAbwC7AygAIABBAG4AbgB1AGEAbABEAGkAdgBpAGQAZQBuAGQAcwBQAGUAcgBTAGgAYQByAGUALAAgAFMAaABhAHIAZQBQAHIAaQBjAGUAKQC2AFwAIgAgACYAIABcAG4AIAAgACAAIAAgACAAIAAgACAAIAAgACAAIAAgACAAIAAgACAAIAAgACAAIAAgACAAXAAiAEQARQBTAEMAUgBJAFAAVABJAE8ATgA6ACAAIAAgAJIhRABpAHYAaQBkAGUAbgBkACAAeQBpAGUAbABkACAAcgBhAHQAaQBvACAAcwBoAG8AdwBzACAAaABvAHcAIABtAHUAYwBoACAAYQAgAGMAbwBtAHAAYQBuAHkAIABwAGEAeQBzACAAbwB1AHQAIABpAG4AIABkAGkAdgBpAGQAZQBuAGQAcwAgALYAXAAiACAAJgAgAFwAbgAgACAAIAAgACAAIAAgACAAIAAgACAAIAAgACAAIAAgACAAIAAgACAAIAAgACAAIAAgACAAIAAgACAAIAAgACAAIAAgACAAIAAgACAAIABcACIAkiFlAGEAYwBoACAAeQBlAGEAcgAgAHIAZQBsAGEAdABpAHYAZQAgAHQAbwAgAGkAdABzACAAcwB0AG8AYwBrACAAcAByAGkAYwBlACAAKABBAG4AbgB1AGEAbAAgAEQAaQB2AGkAZABlAG4AZABzACAAUABlACAAcgBTAGgAYQByAGUALwBTAGgAYQByAGUAIABQAHIAaQBjAGUAKQC2AFwAIgAgACYAIABcAG4AIAAgACAAIAAgACAAIAAgACAAIAAgACAAIAAgACAAIAAgACAAIAAgACAAIAAgACAAXAAiAFcARQBCAFAAQQBHAEUAOgAgACAAIAAgACAAIAAgAJIhaAB0AHQAcABzADoALwAvAHcAdwB3AC4AaQBuAHYAZQBzAHQAbwBwAGUAZABpAGEALgBjAG8AbQAvAHQAZQByAG0AcwAvAGQALwBkAGkAdgBpAGQAZQBuAGQAeQBpAGUAbABk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EAbgBuAHUAYQBsAEQAaQB2AGkAZABlAG4AZABzAFAAZQByAFMAaABhAHIAZQCSISgAUgBlAHEAdQBpAHIAZQBkACkAIABBAG4AbgB1AGEAbAAgAEQAaQB2AGkAZABlAG4AZABzACAAUABlAHIAIABTAGgAYQByAGUAIAC2AFwAIgAgACYAIABcAG4AIAAgACAAIAAgACAAIAAgACAAIAAgACAAIAAgACAAIAAgACAAIAAgACAAIAAgACAAXAAiAFMAaABhAHIAZQBQAHIAaQBjAGUAIAAgACAAIAAgAJIhKABSAGUAcQB1AGkAcgBlAGQAKQAgAE0AYQByAGsAZQB0ACAAdgBhAGwAdQBlACAAcABlAHIAIABzAGgAYQByAGU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IALgA2ADYANgA3ACUAIAAgACAAIAAgACAAIAAgAJIhPQBvAHo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FAG4AZAAgAG8AZgAgAFAAZQByAGkAbwBkAHMAIABDAG8AbQBtAG8AbgAgAFMAaABhAHIAZQBzACAAbwB1AHQAcwB0AGEAbgBkAGkAbgBnACAAbwByACAAtgBcACIAIAAmACAAXABuACAAIAAgACAAIAAgACAAIAAgACAAIAAgACAAIAAgACAAIAAgACAAIAAgACAAIAAgACAAIAAgACAAIAAgACAAIAAgACAAIAAgACAAIAAgACAAIAAgACAAXAAiAJIhVwBlAGkAZwBoAHQAZQBkACAAYQB2AGUAcgBhAGcAZQAgAG4AdQBtAGIAZQByACAAbwBmACAAcwBoAGEAcgBlAHMAIABvAHUAdABzAHQAYQBuAGQAaQBuAGc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EALgA5ADAAOQA1ADQAOAAgACAAIAAgACAAIAAgACAAIAAgACAAkiE9AG8AegAuAEUAUABTALsDKAAgADcALgA2ACwAIAAwACwAIAAzAC4AOQA4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QAHIAZQBmAGUAcgByAGUAZABEAGkAdgBpAGQAZQBuAGQAcwApACwAXABuACAAIAAgACAAIAAgACAAIAAgACAAIAAgACAAIAAgACAAIAAgACAAIAAgACAAIAAgACAAIAAgACAASQBTAE8ATQBJAFQAVABFAEQAKAAgAEUAbgBkAE8AZgBQAGUAcgBpAG8AZABDAG8AbQBtAG8AbgBTAGgAYQByAGUAcwBPAHUAdABzAHQAYQBuAGQAaQBuAGcAKQBcAG4AIAAgACAAIAAgACAAIAAgACAAIAAgACAAIAAgACAAIAAgACAAIAAgACAAIAAgACAAKQAsAFwAbgAgACAAIAAgAC8ALwAgACAAUAByAG8AYwBlAGQAdQByAGUAXABuACAAIAAgACAAIAAgACAAIABSAGUAcwB1AGwAdAAsACAAIAAgACAAIAAgACAAIAAgACgATgBlAHQASQBuAGMAbwBtAGUALQBQAHIAZQBmAGUAcgByAGUAZABEAGkAdgBpAGQAZQBuAGQAcwApAC8ARQBuAGQATwBmAFAAZQByAGkAbwBkAEMAbwBtAG0AbwBu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lAHQAZQBuAHQAaQBvAG4AUgBhAHQAaQBvALsDXABuACAAIAAgACAARABFAFMAQwBSAEkAUABUAEkATwBOADoAKgAvAC8AKgAqAFIAZQB0AGUAbgB0AGkAbwBuACAAUgBhAHQAaQBvACAAaQBzACAAdABoAGUAIABwAHIAbwBwAG8AcgB0AGkAbwBuACAAbwBmACAAZQBhAHIAbgBpAG4AZwBzACAAawBlAHAAdAAgAGIAYQBjAGsAIABpAG4AIAB0AGgAZQAgAFwAbgBiAHUAcwBpAG4AZQBzAHMAIABhAHMAIAByAGUAdABhAGkAbgBlAGQAIABlAGEAcgBuAGkAbgBnAHMAIAAoAFIAZQB0AGEAaQBuAGUAZAAgAEUAYQByAG4AaQBuAGcAcwAvAE4AZQB0ACAASQBuAGMAbwBtAGUAKQAuACAAKgAvAFwAbgBSAGUAdABlAG4AdABpAG8AbgBSAGEAdABpAG8AuwMgAD0AIABMAEEATQBCAEQAQQAoAFwAbgAvAC8AIAAgAFAAYQByAGEAbQBlAHQAZQByACAARABlAGMAbABhAHIAYQB0AGkAbwBuAHMAXABuACAAIAAgACAAIAAgACAAIABbAFIAZQB0AGEAaQBuAGUAZABFAGEAcgBuAGkAbgBnAHM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IAAgACAAIACSIVIAZQB0AGUAbgB0AGkAbwBuAFIAYQB0AGkAbwC7AygAIABSAGUAdABhAGkAbgBlAGQARQBhAHIAbgBpAG4AZwBzACwAIABOAGUAdABJAG4AYwBvAG0AZQAgACkAtgBcACIAIAAmACAAXABuACAAIAAgACAAIAAgACAAIAAgACAAIAAgACAAIAAgACAAIAAgACAAIAAgACAAIAAgAFwAIgBEAEUAUwBDAFIASQBQAFQASQBPAE4AOgAgACAAIAAgACAAIAAgAJIhUgBlAHQAZQBuAHQAaQBvAG4AIABSAGEAdABpAG8AIABpAHMAIAB0AGgAZQAgAHAAcgBvAHAAbwByAHQAaQBvAG4AIABvAGYAIABlAGEAcgBuAGkAbgBnAHMAIABrAGUAcAB0ACAAYgBhAGMAawAgAGkAbgAgAHQAaABlACAAtgBcACIAIAAmACAAXABuACAAIAAgACAAIAAgACAAIAAgACAAIAAgACAAIAAgACAAIAAgACAAIAAgACAAIAAgACAAIAAgACAAIAAgACAAIAAgACAAIAAgACAAIAAgACAAIAAgACAAXAAiAJIhYgB1AHMAaQBuAGUAcwBzACAAYQBzACAAcgBlAHQAYQBpAG4AZQBkACAAZQBhAHIAbgBpAG4AZwBzACAAKABSAGUAdABhAGkAbgBlAGQAIABFAGEAcgBuAGkAbgBnAHMALwBOAGUAdAAgAEkAbgBjAG8AbQBlACkALgC2AFwAIgAgACYAIABcAG4AIAAgACAAIAAgACAAIAAgACAAIAAgACAAIAAgACAAIAAgACAAIAAgACAAIAAgACAAXAAiAFcARQBCAFAAQQBHAEUAOgAgACAAIAAgACAAIAAgACAAIAAgACAAkiFoAHQAdABwAHMAOgAvAC8AdwB3AHcALgBpAG4AdgBlAHMAdABvAHAAZQBkAGkAYQAuAGMAbwBtAC8AdABlAHIAbQBzAC8AcgAvAHIAZQB0AGUAbgB0AGkAbwBu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IAZQB0AGEAaQBuAGUAZABFAGEAcgBuAGkAbgBnAHMAIAAgACAAkiEoAFIAZQBxAHUAaQByAGUAZAApACAAUgBlAHQAYQBpAG4AZQBkACAARQBhAHIAbgBpAG4AZwBzACAAKABOAGUAdAAgAEkAbgBjAG8AbQBlACAALQAgAHAAYQBpAGQAIABkAGkAdgBpAGQAZQBuAGQAcwApAL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xADgAOQAuADkAJQAgACAAIAAgACAAIAAgACAAIAAgACAAIAAgAJIhPQBvAHoALgBSAGUAdABlAG4AdABpAG8AbgBSAGEAdABpAG8AuwMoACAANAAxAC4AOQA4ADEALAAgADIAMgAuADEAMQAy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IAZQB0AGEAaQBuAGUAZABFAGEAcgBuAGkAbgBnAHM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UgBlAHQAYQBpAG4AZQBkAEUAYQByAG4AaQBuAGcAcwAvAE4AZQB0AEkAbgBjAG8AbQBlACwAXABuACAAIAAgACAALwAvACAAIABSAGUAdAB1AHIAbgAgAFIAZQBzAHUAbAB0AFwAbgAgACAAIAAgACAAIAAgACAAQwBIAE8ATwBTAEUAKABIAGUAbABwAD8AIAArACAAMQAsACAAUgBlAHMAdQBsAHQALAAgAEgAZQBsAHAAKQAgACAAIAAgACAAIAAgACAAXABuACAAIAAgACAAKQBcAG4AKQA7ACIAfQAsAHsAIgBwAGEAdABoACIAOgAiAC8AcAByAG8AagBlAGMAdABzAC8AVQB0AGkAbABpAHQAaQBlAHMAIgAsACIAdABlAHgAdAAiADoAIgAvACoAIAAgAEYAVQBOAEMAVABJAE8ATgAgAE4AQQBNAEUAOgAgACAAQQBiAG8AdQB0AFUAdABpAGwAaQB0AGkAZQBzALsDXABuACAAIAAgACAARABFAFMAQwBSAEkAUABUAEkATwBOADoAKgAvAC8AKgAqAEQAaQBzAHAAbABhAHkAcwAgAHQAaABpAHMAIABtAG8AZAB1AGwAZQAnAHMAIAByAGUAcABvAHMAaQB0AG8AcgB5ACAAVQBSAEwAIABhAG4AZAAgAGYAdQBuAGMAdABpAG8AbgAgAGwAaQBzAHQAKgAvAFwAbgBcAG4AQQBiAG8AdQB0AFUAdABpAGwAaQB0AGkAZQ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wB6ALYAXAAiACAAJgBcAG4AIAAgACAAIABcACIAVgBlAHIAcwBpAG8AbgA6ACAAIAAgACAAIAAgACAAIAAgACAAIAAgACAAIAAgACAAIAAgACAAkiEyADAAIABBAHUAZwAgADIAMAAyADYAtgBcACIAIAAmAFwAbgAgACAAIAAgAFwAIgBSAGUAcABvAHMAaQB0AG8AcgB5ADoAIAAgACAAIAAgACAAIAAgACAAIAAgACAAIAAgACAAIAAgACAAkiFoAHQAdABwAHMAOgAvAC8AZwBpAHQAaAB1AGIALgBjAG8AbQAvAHIAeQBhAG4AZAB1AGcAdQBpAGQALwBPAHoAegBpAHQAIAC2AFwAIgAgACYAXABuACAAIAAgACAAXAAiAJIhtgBcACIAIAAmAFwAbgAgACAAIAAgAFwAIgBGAHUAbgBjAHQAaQBvAG4AIAAgACAAIAAgACAAIAAgACAAIAAgACAAIAAgACAAIAAgACAAIACSIUQAZQBzAGMAcgBpAHAAdABpAG8AbgC2AFwAIgAgACYAIABcAG4AIAAgACAAIABcACIAQQBiAG8AdQB0AFUAdABpAGwAaQB0AGkAZQBzALsDIAAgACAAIAAgACAAIAAgACAAIAAgACAAIAAgACAAIAAgACAAIAAgACAAkiFQAHIAbwBkAHUAYwBlAHMAIAB0AGgAaQBzACAAdABhAGIAbABlALYAXAAiACAAJgAgAFwAbgAgACAAIAAgAFwAIgBDAG8AdQBuAHQAQwBVALsDIAAgACAAIAAgACAAIAAgACAAIAAgACAAIAAgACAAIAAgACAAIAAgAJIhQwBvAHUAbgB0ACAAaABvAHcAIABtAGEAbgB5ACAAbwBmACAAbwBuAGUAIABvAHIAIABtAG8AcgBlACAAYwBoAGEAcgBhAGMAdABlAHIAcwAgAGEAcgBlACAAaQBuACAAYQAgAHQAZQB4AHQAIABzAHQAcgBpAG4AZwC2AFwAIgAgACYAXABuACAAIAAgACAAXAAiAFMAdQBtAEMAbwBsAHMAVQC7AyAAIAAgACAAIAAgACAAIAAgACAAIAAgACAAIAAgACAAIAAgACAAkiFHAGUAdAAgAHQAaABlACAAdABvAHQAYQBsACAAbwBmACAAZQBhAGMAaAAgAGMAbwBsAHUAbQBuALYAXAAiACAAJgAgAFwAbgAgACAAIAAgAFwAIgBTAHUAbQBSAG8AdwBzAFUAuwMgACAAIAAgACAAIAAgACAAIAAgACAAIAAgACAAIAAgACAAIAAgAJIhRwBlAHQAIAB0AGgAZQAgAHQAbwB0AGEAbAAgAG8AZgAgAGUAYQBjAGgAIAByAG8AdwC2AFwAIgAgACYAIABcAG4AIAAgACAAIABcACIAQQB2AGcAQwBvAGwAcwBVALsDIAAgACAAIAAgACAAIAAgACAAIAAgACAAIAAgACAAIAAgACAAIACSIUcAZQB0ACAAdABoAGUAIABhAHYAZQByAGEAZwBlACAAbwBmACAAZQBhAGMAaAAgAGMAbwBsAHUAbQBuALYAXAAiACAAJgAgAFwAbgAgACAAIAAgAFwAIgBBAHYAZwBSAG8AdwBzAFUAuwMgACAAIAAgACAAIAAgACAAIAAgACAAIAAgACAAIAAgACAAIAAgAJIhRwBlAHQAIAB0AGgAZQAgAGEAdgBlAHIAYQBnAGUAIABvAGYAIABlAGEAYwBoACAAcgBvAHcAtgBcACIAIAAmACAAXABuACAAIAAgACAAXAAiAE0AaQBuAEMAbwBsAHMAVQC7AyAAIAAgACAAIAAgACAAIAAgACAAIAAgACAAIAAgACAAIAAgACAAkiFHAGUAdAAgAHQAaABlACAAbQBpAG4AaQBtAHUAbQAgAG8AZgAgAGUAYQBjAGgAIABjAG8AbAB1AG0AbgC2AFwAIgAgACYAIABcAG4AIAAgACAAIABcACIATQBpAG4AUgBvAHcAcwBVALsDIAAgACAAIAAgACAAIAAgACAAIAAgACAAIAAgACAAIAAgACAAIACSIUcAZQB0ACAAdABoAGUAIABtAGkAbgBpAG0AdQBtACAAbwBmACAAZQBhAGMAaAAgAHIAbwB3ALYAXAAiACAAJgAgAFwAbgAgACAAIAAgAFwAIgBNAGEAeABDAG8AbABzAFUAuwMgACAAIAAgACAAIAAgACAAIAAgACAAIAAgACAAIAAgACAAIAAgAJIhRwBlAHQAIAB0AGgAZQAgAG0AYQB4AGkAbQB1AG0AIABvAGYAIABlAGEAYwBoACAAYwBvAGwAdQBtAG4AtgBcACIAIAAmACAAXABuACAAIAAgACAAXAAiAE0AYQB4AFIAbwB3AHMAVQC7AyAAIAAgACAAIAAgACAAIAAgACAAIAAgACAAIAAgACAAIAAgACAAkiFHAGUAdAAgAHQAaABlACAAbQBhAHgAaQBtAHUAbQAgAG8AZgAgAGUAYQBjAGgAIAByAG8AdwC2AFwAIgAgACYAIABcAG4AIAAgACAAIABcACIAQwBvAHUAbgB0AEMAbwBsAHMAVQC7AyAAIAAgACAAIAAgACAAIAAgACAAIAAgACAAIAAgACAAIACSIUcAZQB0ACAAdABoAGUAIABjAG8AdQBuAHQAIABvAGYAIABuAHUAbQBiAGUAcgBzACAAaQBuACAAZQBhAGMAaAAgAGMAbwBsAHUAbQBuALYAXAAiACAAJgAgAFwAbgAgACAAIAAgAFwAIgBDAG8AdQBuAHQAUgBvAHcAcwBVALsDIAAgACAAIAAgACAAIAAgACAAIAAgACAAIAAgACAAIAAgAJIhRwBlAHQAIAB0AGgAZQAgAGMAbwB1AG4AdAAgAG8AZgAgAG4AdQBtAGIAZQByAHMAIABpAG4AIABlAGEAYwBoACAAcgBvAHcAtgBcACIAIAAmACAAXABuACAAIAAgACAAXAAiAEMAbwB1AG4AdABBAEMAbwBsAHMAVQC7AyAAIAAgACAAIAAgACAAIAAgACAAIAAgACAAIAAgACAAkiFHAGUAdAAgAHQAaABlACAAYwBvAHUAbgB0ACAAbwBmACAAZQB2AGUAcgB5AHQAaABpAG4AZwAgAG8AZgAgAGUAYQBjAGgAIABjAG8AbAB1AG0AbgC2AFwAIgAgACYAIABcAG4AIAAgACAAIABcACIAQwBvAHUAbgB0AEEAUgBvAHcAcwBVALsDIAAgACAAIAAgACAAIAAgACAAIAAgACAAIAAgACAAIACSIUcAZQB0ACAAdABoAGUAIABjAG8AdQBuAHQAIABvAGYAIABlAHYAZQByAHkAdABoAGkAbgBnACAAbwBmACAAZQBhAGMAaAAgAHIAbwB3ALYAXAAiACAAJgAgAFwAbgAgACAAIAAgAFwAIgBJAHMAQgBlAHQAdwBlAGUAbgBVALsDIAAgACAAIAAgACAAIAAgACAAIAAgACAAIAAgACAAIAAgAJIhRABlAHQAZQByAG0AaQBuAGUAIABpAGYAIABhACAAdgBhAGwAdQBlACAAaQBzACAAYgBlAHQAdwBlAGUAbgAgAGEAIABsAG8AdwBlAHIAIABhAG4AZAAgAHUAcABwAGUAcgAgAGwAaQBtAGkAdAAuALYAXAAiACAAJgAgAFwAbgAgACAAIAAgAFwAIgBJAHMASQBuAEwAaQBzAHQAVQC7AyAAIAAgACAAIAAgACAAIAAgACAAIAAgACAAIAAgACAAIAAgAJIhRABlAHQAZQByAG0AaQBuAGUAIABpAGYAIABhACAAdgBhAGwAdQBlACAAaQBzACAAbwBuAGUAIABvAGYAIABhACAAbABpAHMAdAAgAG8AZgAgAGkAdABlAG0AcwAuALYAXAAiACAAJgBcAG4AIAAgACAAIABcACIAUgBhAG4AZwBlAFQAbwBEAEEAV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BVALsDXABuACAAIAAgACAARABFAFMAQwBSAEkAUABUAEkATwBOADoAKgAvAC8AKgAqAEMAbwB1AG4AdAAgAG8AYwBjAHUAcgByAGUAbgBjAGUAcwAgAG8AZgAgAGMAaABhAHIAYQBjAHQAZQByACgAcwApACAAaQBuACAAYQAgAHMAdAByAGkAbgBnACoALwBcAG4AQwBvAHUAbgB0AEMAVQ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FU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FU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BVALsDXABuACAAIAAgACAARABFAFMAQwBSAEkAUABUAEkATwBOADoAKgAvAC8AKgAqAEcAZQB0ACAAdABoAGUAIAB0AG8AdABhAGwAIABmAG8AcgAgAGUAYQBjAGgAIAByAG8AdwAqAC8AXABuAFMAdQBt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BV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FUAuwNcAG4AIAAgACAAIABEAEUAUwBDAFIASQBQAFQASQBPAE4AOgAqAC8ALwAqACoARwBlAHQAIAB0AGgAZQAgAHQAbwB0AGEAbAAgAGYAbwByACAAZQBhAGMAaAAgAEMAbwBsAHUAbQBuACoALwBcAG4AUwB1AG0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FU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VQC7A1wAbgAgACAAIAAgAEQARQBTAEMAUgBJAFAAVABJAE8ATgA6ACoALwAvACoAKgBHAGUAdAAgAHQAaABlACAAYQB2AGUAcgBhAGcAZQAgAGYAbwByACAAZQBhAGMAaAAgAHIAbwB3ACoALwBcAG4AQQB2AGc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FU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VQC7A1wAbgAgACAAIAAgAEQARQBTAEMAUgBJAFAAVABJAE8ATgA6ACoALwAvACoAKgBHAGUAdAAgAHQAaABlACAAYQB2AGUAcgBhAGcAZQAgAGYAbwByACAAZQBhAGMAaAAgAEMAbwBsAHUAbQBuACoALwBcAG4AQQB2AGc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FU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BVALsDXABuACAAIAAgACAARABFAFMAQwBSAEkAUABUAEkATwBOADoAKgAvAC8AKgAqAEcAZQB0ACAAdABoAGUAIABtAGkAbgBpAG0AdQBtACAAZgBvAHIAIABlAGEAYwBoACAAcgBvAHcAKgAvAFwAbgBNAGkAbg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VQ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FUAuwNcAG4AIAAgACAAIABEAEUAUwBDAFIASQBQAFQASQBPAE4AOgAqAC8ALwAqACoARwBlAHQAIAB0AGgAZQAgAG0AaQBuAGkAbQB1AG0AIABmAG8AcgAgAGUAYQBjAGgAIABDAG8AbAB1AG0AbgAqAC8AXABuAE0AaQBu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BV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BVALsDXABuACAAIAAgACAARABFAFMAQwBSAEkAUABUAEkATwBOADoAKgAvAC8AKgAqAEcAZQB0ACAAdABoAGUAIABtAGEAeABpAG0AdQBtACAAZgBvAHIAIABlAGEAYwBoACAAcgBvAHcAKgAvAFwAbgBNAGEAe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VQ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FUAuwNcAG4AIAAgACAAIABEAEUAUwBDAFIASQBQAFQASQBPAE4AOgAqAC8ALwAqACoARwBlAHQAIAB0AGgAZQAgAG0AYQB4AGkAbQB1AG0AIABmAG8AcgAgAGUAYQBjAGgAIABDAG8AbAB1AG0AbgAqAC8AXABuAE0AYQB4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BV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BVALsDXABuACAAIAAgACAARABFAFMAQwBSAEkAUABUAEkATwBOADoAKgAvAC8AKgAqAEMAbwB1AG4AdAAgAGUAdgBlAHIAeQB0AGgAaQBuAGcAIABpAG4AIABlAGEAYwBoACAAcgBvAHcAKgAvAFwAbgBDAG8AdQBuAHQAQ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VQ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BVALsDXABuACAAIAAgACAARABFAFMAQwBSAEkAUABUAEkATwBOADoAKgAvAC8AKgAqAEMAbwB1AG4AdAAgAGUAdgBlAHIAeQB0AGgAaQBuAGcAIABpAG4AIABlAGEAYwBoACAAYwBvAGwAdQBtAG4AKgAvAFwAbgBDAG8AdQBuAHQAQ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VQ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BVALsDXABuACAAIAAgACAARABFAFMAQwBSAEkAUABUAEkATwBOADoAKgAvAC8AKgAqAEMAbwB1AG4AdAAgAG4AdQBtAGIAZQByAHMAIABpAG4AIABlAGEAYwBoACAAcgBvAHcAKgAvAFwAbgBDAG8AdQBuAHQ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BV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VQC7A1wAbgAgACAAIAAgAEQARQBTAEMAUgBJAFAAVABJAE8ATgA6ACoALwAvACoAKgBDAG8AdQBuAHQAIABuAHUAbQBiAGUAcgBzACAAaQBuACAAZQBhAGMAaAAgAGMAbwBsAHUAbQBuACoALwBcAG4AQwBvAHUAbgB0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VQ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VQC7A1wAbgAgACAAIAAgAEQARQBTAEMAUgBJAFAAVABJAE8ATgA6ACoALwAvACoAKgBEAGUAdABlAHIAbQBpAG4AZQAgAGkAZgAgAGEAIAB2AGEAbAB1AGUAIABpAHMAIABiAGUAdAB3AGUAZQBuACAAYQAgAGwAbwB3AGUAcgAgAGEAbgBkACAAdQBwAHAAZQByACAAbABpAG0AaQB0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3AGgAZQB0AGgAZQByACAAYQAgAHYAYQBsAHUAZQAgAGkAcwAgAG8AbgBlACAAbwBmACAAYQAgAGwAaQBzAHQAIABvAGYAIABpAHQAZQBtAHMAKgAvAFwAbgBJAHMASQBuAEwAaQBzAHQAVQ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BV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FUAuwMoADEALAAgAHsAMgAsADMALAA0AH0AKQC2AFwAIgAgACYAIABcAG4AIAAgACAAIAAgACAAIAAgACAAIAAgACAAIAAgACAAIAAgACAAIAAgACAAIAAgACAAIAAgACAAIABcACIAVABSAFUARQAgACAAIAAgACAAIAAgACAAIAAgACAAkiE9AEkAcwBJAG4ATABpAHMAdABV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VQC7A1wAbgAgACAAIAAgAEQARQBTAEMAUgBJAFAAVABJAE8ATgA6ACoALwAvACoAKgBDAG8AbgB2AGUAcgB0ACAAYQAgAHIAYQBuAGcAZQAgAHIAZQBmAGUAcgBlAG4AYwBlACAAdABvACAAYQAgAGQAeQBuAGEAbQBpAGMAIABhAHIAcgBhAHkAIAByAGUAZgBlAHIAZQBuAGMAZQAqAC8AXABuAFIAYQBuAGcAZQBUAG8ARABBAF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V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wB6AHoAaQB0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V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wB6AC4AQQBiAG8AdQB0AEQAYQB0AGUAcwC7AyIALAAiAG8AegAuAEMAbwB1AG4AdABEAE8AVwC7AyIALAAiAG8AegAuAEkAcwBCAGUAdAB3AGUAZQBuALsDIgAsACIAbwB6AC4ASQBzAE8AYwBjAHUAcgByAGUAbgBjAGUARABhAHQAZQC7AyIALAAiAG8AegAuAE8AdgBlAHIATABhAHAARABhAHkAcwC7AyIALAAiAG8AegAuAFAAZQByAGkAbwBkAEwAYQBiAGUAbAC7AyIALAAiAG8AegAuAFAAZQByAGkAbwBkAHMAuwMiACwAIgBvAHoALgBTAGMAaABlAGQAdQBsAGUAUgBhAHQAZQBzALsDIgAsACIAbwB6AC4AUwBjAGgAZQBkAHUAbABlAFIAYQB0AGUAcwBCAHkASQB0AGUAbQBzALsDIgAsACIAbwB6AC4AUwBjAGgAZQBkAHUAbABlAFYAYQBsAHUAZQBzALsDIgAsACIAbwB6AC4AUwBjAGgAZQBkAHUAbABlAFYAYQBsAHUAZQBzAEIAeQBJAHQAZQBtAHMAuwMiACwAIgBvAHoALgBUAGkAbQBlAGwAaQBuAGUAuwMiACwAIgBvAHoALgBBAGIAbwB1AHQARQBzAHMAZQBuAHQAaQBhAGwAcwC7AyIALAAiAG8AegAuAEMAbwB1AG4AdABDALsDIgAsACIAbwB6AC4AUwB1AG0AUgBvAHcAcwC7AyIALAAiAG8AegAuAFMAdQBtAEMAbwBsAHMAuwMiACwAIgBvAHoALgBBAHYAZwBSAG8AdwBzALsDIgAsACIAbwB6AC4AQQB2AGcAQwBvAGwAcwC7AyIALAAiAG8AegAuAE0AaQBuAFIAbwB3AHMAuwMiACwAIgBvAHoALgBNAGkAbgBDAG8AbABzALsDIgAsACIAbwB6AC4ATQBhAHgAUgBvAHcAcwC7AyIALAAiAG8AegAuAE0AYQB4AEMAbwBsAHMAuwMiACwAIgBvAHoALgBDAG8AdQBuAHQAQQBSAG8AdwBzALsDIgAsACIAbwB6AC4AQwBvAHUAbgB0AEEAQwBvAGwAcwC7AyIALAAiAG8AegAuAEMAbwB1AG4AdABSAG8AdwBzALsDIgAsACIAbwB6AC4AQwBvAHUAbgB0AEMAbwBsAHMAuwMiACwAIgBvAHoALgBJAHMAQgBlAHQAdwBlAGUAbgBFALsDIgAsACIAbwB6AC4ASQBzAEkAbgBMAGkAcwB0ALsDIgAsACIAbwB6AC4AUgBhAG4AZwBlAFQAbwBEAEEARQC7AyIALAAiAG8AegAuAEEAYgBvAHUAdABGAGkAbgBhAG4AYwBpAGEAbAC7AyIALAAiAG8AegAuAEMAbwByAGsAcwBjAHIAZQB3ALsDIgAsACIAbwB6AC4AQwBvAHIAawBTAGMAcgBlAHcAUgBlAHYAZQByAHMAYQBsALsDIgAsACIAbwB6AC4ASQBuAHQATwBuAEkAbgB0ALsDIgAsACIAbwB6AC4ASQBSAFIAuwMiACwAIgBvAHoALgBNAG8AdgBlAG0AZQBuAHQAuwMiACwAIgBvAHoALgBSAGUAdgBlAHIAcwBhAGwAuwMiACwAIgBvAHoALgBDAHUAbQB1AGwAYQB0AGkAdgBlALsDIgAsACIAbwB6AC4AUgBvAGwAbABpAG4AZwBBAHYAZwC7AyIALAAiAG8AegAuAFIAbwBsAGwAaQBuAGcATQBhAHgAuwMiACwAIgBvAHoALgBSAG8AbABsAGkAbgBnAE0AaQBuALsDIgAsACIAbwB6AC4AUgBvAGwAbABpAG4AZwBTAHUAbQC7AyIALAAiAG8AegAuAFMAdQBtAEMAbwBuAHQAYQBpAG4AcwC7AyIALAAiAG8AegAuAFMAdQBtAFAAZQByAGkAbwBkAHMAuwMiACwAIgBvAHoALgBBAG0AbwByAHQAaQBzAGUAuwMiACwAIgBvAHoALgBMAGEAYgBlAGwAQQBtAG8AcgB0AGkAcwBlALsDIgAsACIAbwB6AC4AUwB1AG0AQQBtAG8AcgB0AGkAcwBlALsDIgAsACIAbwB6AC4ARABlAHAAcgBlAGMAaQBhAHQAZQC7AyIALAAiAG8AegAuAEwAYQBiAGUAbABEAGUAcAByAGUAYwBpAGEAdABlALsDIgAsACIAbwB6AC4AQQBsAGwAbwBjAGEAdABlALsDIgAsACIAbwB6AC4AUABlAHIAaQBvAGQARABpAGYAZgC7AyIALAAiAG8AegAuAFMATABOALsDIgAsACIAbwB6AC4AUwBZAEQAuwMiACwAIgBvAHoALgBEAEIAuwMiACwAIgBvAHoALgBEAEQAQgC7AyIALAAiAG8AegAuAFYARABCALsDIgAsACIAbwB6AC4AQQBtAG8AcgB0AGkAcwBlALsDRABWACIALAAiAG8AegAuAEMAbwByAGsAcwBjAHIAZQB3ALsDRABWACIALAAiAG8AegAuAEQAZQBwAHIAZQBjAGkAYQB0AGUAuwNEAFYAIgAsACIAbwB6AC4AVABpAG0AZQBsAGkAbgBlAE8AZgBmAHMAZQB0ALsDIgAsACIAbwB6AC4AVABpAG0AZQBsAGkAbgBlAFAAbwBzAGkAdABpAG8AbgC7AyIALAAiAG8AegAuAEYAaQBsAHQAZQByAEMAbwBuAHQAYQBpAG4AcwC7AyIALAAiAG8AegAuAFIAYQBuAGcAZQBUAG8ARABBALsDIgAsACIAbwB6AC4AUABlAHIAaQBvAGQAUwB0AGEAcgB0ALsDIgAsACIAbwB6AC4AQQBiAG8AdQB0AFIAYQB0AGkAbwBzALsDIgAsACIAbwB6AC4AQwB1AHIAcgBlAG4AdABSAGEAdABpAG8AuwMiACwAIgBvAHoALgBRAHUAaQBjAGsAUgBhAHQAaQBvALsDIgAsACIAbwB6AC4AQwBhAHMAaABSAGEAdABpAG8AuwMiACwAIgBvAHoALgBPAHAAZQByAGEAdABpAG4AZwBDAGEAcwBoAEYAbABvAHcAUgBhAHQAaQBvALsDIgAsACIAbwB6AC4AUgBlAGMAZQBpAHYAYQBiAGwAZQBzAFQAdQByAG4AbwB2AGUAcgBSAGEAdABpAG8AuwMiACwAIgBvAHoALgBJAG4AdgBlAG4AdABvAHIAeQBUAHUAcgBuAG8AdgBlAHIAUgBhAHQAaQBvALsDIgAsACIAbwB6AC4AVwBvAHIAawBpAG4AZwBDAGEAcABpAHQAYQBsAFQAdQByAG4AbwB2AGUAcgBSAGEAdABpAG8AuwMiACwAIgBvAHoALgBEAGUAYgB0AFIAYQB0AGkAbwC7AyIALAAiAG8AegAuAEQAUwBDAFIAuwMiACwAIgBvAHoALgBEAGUAYgB0AFQAbwBDAGEAcABpAHQAYQBsAFIAYQB0AGkAbwC7AyIALAAiAG8AegAuAEUAcQB1AGkAdAB5AE0AdQBsAHQAaQBwAGwAaQBlAHIAuwMiACwAIgBvAHoALgBEAGUAYgB0AFQAbwBFAHEAdQBpAHQAeQBSAGEAdABpAG8AuwMiACwAIgBvAHoALgBEAGUAYgB0AFQAbwBBAHMAcwBlAHQAUgBhAHQAaQBvALsDIgAsACIAbwB6AC4ASQBuAHQAZQByAGUAcwB0AEMAbwB2AGUAcgBhAGcAZQBSAGEAdABpAG8AuwMiACwAIgBvAHoALgBFAHEAdQBpAHQAeQBSAGEAdABpAG8AuwMiACwAIgBvAHoALgBBAHMAcwBlAHQAVAB1AHIAbgBvAHYAZQByAFIAYQB0AGkAbwC7AyIALAAiAG8AegAuAEQAUwBJALsDIgAsACIAbwB6AC4ATwBwAGUAcgBhAHQAaQBuAGcAUgBhAHQAaQBvALsDIgAsACIAbwB6AC4ARwByAG8AcwBzAE0AYQByAGcAaQBuALsDIgAsACIAbwB6AC4ARQBCAEkAVABEAEEATQBhAHIAZwBpAG4AuwMiACwAIgBvAHoALgBPAHAAZQByAGEAdABpAG4AZwBNAGEAcgBnAGkAbgC7AyIALAAiAG8AegAuAFAAcgBlAHQAYQB4AE0AYQByAGcAaQBuALsDIgAsACIAbwB6AC4ATgBlAHQAUAByAG8AZgBpAHQATQBhAHIAZwBpAG4AuwMiACwAIgBvAHoALgBDAGEAcwBoAEYAbABvAHcATQBhAHIAZwBpAG4AuwMiACwAIgBvAHoALgBSAE8AQQC7AyIALAAiAG8AegAuAFIATwBFALsDIgAsACIAbwB6AC4AUgBPAEkAuwMiACwAIgBvAHoALgBSAE8ASQBDALsDIgAsACIAbwB6AC4AUAByAGkAYwBlAEUAYQByAG4AaQBuAGcAcwBSAGEAdABpAG8AuwMiACwAIgBvAHoALgBQAHIAaQBjAGUAVABvAEIAbwBvAGsAUgBhAHQAaQBvALsDIgAsACIAbwB6AC4AUAByAGkAYwBlAFQAbwBTAGEAbABlAHMAUgBhAHQAaQBvALsDIgAsACIAbwB6AC4AUAByAGkAYwBlAFQAbwBDAGEAcwBoAFIAYQB0AGkAbwC7AyIALAAiAG8AegAuAEIAVgBQAFMAuwMiACwAIgBvAHoALgBDAEEAUABFAFIAYQB0AGkAbwC7AyIALAAiAG8AegAuAEQAUABSALsDIgAsACIAbwB6AC4ARABpAHYAaQBkAGUAbgBkAFkAaQBlAGwAZABSAGEAdABpAG8AuwMiACwAIgBvAHoALgBFAFAAUwC7AyIALAAiAG8AegAuAFIAZQB0AGUAbgB0AGkAbwBuAFIAYQB0AGkAbwC7AyIALAAiAG8AegAuAEEAYgBvAHUAdABVAHQAaQBsAGkAdABpAGUAcwC7AyIALAAiAG8AegAuAEMAbwB1AG4AdABDAFUAuwMiACwAIgBvAHoALgBTAHUAbQBSAG8AdwBzAFUAuwMiACwAIgBvAHoALgBTAHUAbQBDAG8AbABzAFUAuwMiACwAIgBvAHoALgBBAHYAZwBSAG8AdwBzAFUAuwMiACwAIgBvAHoALgBBAHYAZwBDAG8AbABzAFUAuwMiACwAIgBvAHoALgBNAGkAbgBSAG8AdwBzAFUAuwMiACwAIgBvAHoALgBNAGkAbgBDAG8AbABzAFUAuwMiACwAIgBvAHoALgBNAGEAeABSAG8AdwBzAFUAuwMiACwAIgBvAHoALgBNAGEAeABDAG8AbABzAFUAuwMiACwAIgBvAHoALgBDAG8AdQBuAHQAQQBSAG8AdwBzAFUAuwMiACwAIgBvAHoALgBDAG8AdQBuAHQAQQBDAG8AbABzAFUAuwMiACwAIgBvAHoALgBDAG8AdQBuAHQAUgBvAHcAcwBVALsDIgAsACIAbwB6AC4AQwBvAHUAbgB0AEMAbwBsAHMAVQC7AyIALAAiAG8AegAuAEkAcwBCAGUAdAB3AGUAZQBuAFUAuwMiACwAIgBvAHoALgBJAHMASQBuAEwAaQBzAHQAVQC7AyIALAAiAG8AegAuAFIAYQBuAGcAZQBUAG8ARABBAFUAuwMiACwAIgBvAHoALgBTAHUAbQBEAGUAcAByAGUAYwBpAGEAdABlALsDIgAsACIAbwB6AC4ARABpAG0AaQBuAGkAcwBoAGkAbgBnAFYAYQBsAHUAZQC7AyIALAAiAG8AegAuAFAAcgBpAG0AZQBDAG8AcwB0ALsDIgAsACIAbwB6AC4ARwBTAFQAQQBkAGQAuwMiACwAIgBvAHoALgBHAFMAVABFAHgAdAByAGEAYwB0ALsDIgAsACIAbwB6AC4ARgBpAG4AYQBuAGMAaQBhAGwAWQBlAGEAc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50</vt:i4>
      </vt:variant>
      <vt:variant>
        <vt:lpstr>Named Ranges</vt:lpstr>
      </vt:variant>
      <vt:variant>
        <vt:i4>6</vt:i4>
      </vt:variant>
    </vt:vector>
  </HeadingPairs>
  <TitlesOfParts>
    <vt:vector size="56" baseType="lpstr">
      <vt:lpstr>Cover</vt:lpstr>
      <vt:lpstr>TOC</vt:lpstr>
      <vt:lpstr>Data Validation</vt:lpstr>
      <vt:lpstr>Australian tax</vt:lpstr>
      <vt:lpstr>FMTs</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Ozzit project</cp:lastModifiedBy>
  <dcterms:created xsi:type="dcterms:W3CDTF">2023-08-10T15:46:16Z</dcterms:created>
  <dcterms:modified xsi:type="dcterms:W3CDTF">2026-08-19T21:32:52Z</dcterms:modified>
</cp:coreProperties>
</file>