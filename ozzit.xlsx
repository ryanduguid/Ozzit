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0.xml" ContentType="application/vnd.openxmlformats-officedocument.spreadsheetml.tab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tables/table11.xml" ContentType="application/vnd.openxmlformats-officedocument.spreadsheetml.table+xml"/>
  <Override PartName="/xl/drawings/drawing19.xml" ContentType="application/vnd.openxmlformats-officedocument.drawing+xml"/>
  <Override PartName="/xl/tables/table12.xml" ContentType="application/vnd.openxmlformats-officedocument.spreadsheetml.table+xml"/>
  <Override PartName="/xl/drawings/drawing20.xml" ContentType="application/vnd.openxmlformats-officedocument.drawing+xml"/>
  <Override PartName="/xl/tables/table13.xml" ContentType="application/vnd.openxmlformats-officedocument.spreadsheetml.table+xml"/>
  <Override PartName="/xl/drawings/drawing21.xml" ContentType="application/vnd.openxmlformats-officedocument.drawing+xml"/>
  <Override PartName="/xl/tables/table14.xml" ContentType="application/vnd.openxmlformats-officedocument.spreadsheetml.table+xml"/>
  <Override PartName="/xl/drawings/drawing22.xml" ContentType="application/vnd.openxmlformats-officedocument.drawing+xml"/>
  <Override PartName="/xl/tables/table15.xml" ContentType="application/vnd.openxmlformats-officedocument.spreadsheetml.table+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tables/table16.xml" ContentType="application/vnd.openxmlformats-officedocument.spreadsheetml.table+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workbookPr codeName="ThisWorkbook"/>
  <bookViews>
    <workbookView xWindow="0" yWindow="0" windowWidth="28800" windowHeight="16000" xr2:uid="{9D40AE0A-C643-4032-94D1-3D65DF585AF3}"/>
  </bookViews>
  <sheets>
    <sheet name="Cover" sheetId="103" r:id="rId1"/>
    <sheet name="TOC" sheetId="19" r:id="rId2"/>
    <sheet name="Data Validation" sheetId="129" r:id="rId3"/>
    <sheet name="Australian tax" sheetId="132" r:id="rId4"/>
    <sheet name="oz.CountDOWλ" sheetId="41" r:id="rId5"/>
    <sheet name="oz.IsBetweenλ" sheetId="43" r:id="rId6"/>
    <sheet name="oz.IsOccurrenceDateλ" sheetId="44" r:id="rId7"/>
    <sheet name="oz.OverLapDaysλ" sheetId="45" r:id="rId8"/>
    <sheet name="oz.Periodsλ" sheetId="46" r:id="rId9"/>
    <sheet name="oz.PeriodLabelλ" sheetId="47" r:id="rId10"/>
    <sheet name="oz.ScheduleRatesλ" sheetId="48" r:id="rId11"/>
    <sheet name="oz.ScheduleRatesByItemsλ" sheetId="49" r:id="rId12"/>
    <sheet name="oz.ScheduleValuesλ" sheetId="50" r:id="rId13"/>
    <sheet name="oz.ScheduleValuesByItemsλ" sheetId="51" r:id="rId14"/>
    <sheet name="oz.Timelineλ" sheetId="52" r:id="rId15"/>
    <sheet name="oz.Amortiseλ" sheetId="76" r:id="rId16"/>
    <sheet name="oz.LabelAmortiseλ" sheetId="90" r:id="rId17"/>
    <sheet name="oz.SumAmortiseλ" sheetId="83" r:id="rId18"/>
    <sheet name="oz.Corkscrewλ" sheetId="77" r:id="rId19"/>
    <sheet name="oz.Cumulativeλ" sheetId="99" r:id="rId20"/>
    <sheet name="oz.Depreciateλ" sheetId="78" r:id="rId21"/>
    <sheet name="oz.LabelDepreciateλ" sheetId="106" r:id="rId22"/>
    <sheet name="oz.SumDepreciateλ" sheetId="107" r:id="rId23"/>
    <sheet name="oz.SumContainsλ" sheetId="108" r:id="rId24"/>
    <sheet name="oz.IntOnIntλ" sheetId="80" r:id="rId25"/>
    <sheet name="oz.IRRλ" sheetId="81" r:id="rId26"/>
    <sheet name="oz.Reversalλ" sheetId="128" r:id="rId27"/>
    <sheet name="oz.Movementλ" sheetId="82" r:id="rId28"/>
    <sheet name="oz.RollingSumλ" sheetId="105" r:id="rId29"/>
    <sheet name="oz.SumPeriodsλ" sheetId="89" r:id="rId30"/>
    <sheet name="oz.TimelineOffsetλ" sheetId="96" r:id="rId31"/>
    <sheet name="oz.TimelinePositionλ" sheetId="97" r:id="rId32"/>
    <sheet name="oz.AboutEssentialsλ" sheetId="110" r:id="rId33"/>
    <sheet name="oz.CountCλ" sheetId="118" r:id="rId34"/>
    <sheet name="oz.SumRowsλ" sheetId="87" r:id="rId35"/>
    <sheet name="oz.SumColsλ" sheetId="88" r:id="rId36"/>
    <sheet name="oz.AvgRowsλ" sheetId="111" r:id="rId37"/>
    <sheet name="oz.AvgColsλ" sheetId="112" r:id="rId38"/>
    <sheet name="oz.MinRowsλ" sheetId="113" r:id="rId39"/>
    <sheet name="oz.MinColsλ" sheetId="114" r:id="rId40"/>
    <sheet name="oz.MaxRowsλ" sheetId="115" r:id="rId41"/>
    <sheet name="oz.MaxColsλ" sheetId="116" r:id="rId42"/>
    <sheet name="oz.CountRowsλ" sheetId="119" r:id="rId43"/>
    <sheet name="oz.CountColsλ" sheetId="120" r:id="rId44"/>
    <sheet name="oz.CountARowsλ" sheetId="122" r:id="rId45"/>
    <sheet name="oz.CountAColsλ" sheetId="123" r:id="rId46"/>
    <sheet name="oz.IsBetweenEλ" sheetId="125" r:id="rId47"/>
    <sheet name="oz.RangeToDAEλ" sheetId="126" r:id="rId48"/>
    <sheet name="oz.FinancialRatios" sheetId="131" r:id="rId49"/>
  </sheets>
  <definedNames>
    <definedName name="oz.AboutDatesλ" comment="Displays this module's repository URL and function list">TRIM( _xlfn.TEXTSPLIT( "About:                 →Ozzit compliant LAMBDAs dealing with dates. Suggested module name: oz¶" &amp; "Version:               →6 Sep 2026¶" &amp; "Repository:              →https://github.com/ryanduguid/Ozzit ¶" &amp; "→¶" &amp; "Function               →Description¶" &amp; "AboutDatesλ                 →Produces this table¶" &amp; "CountDOWλ              →Count instances of a specific day of the week between two dates¶" &amp; "IsBetweenλ             →Determine if a value is between a lower and upper limit¶" &amp; "IsOccurrenceDateλ      →Determine if a date passed is when a potentially repeating event happens¶" &amp; "OverLapDaysλ           →Return how many days overlap two period ranges.¶" &amp; "Periodsλ               →Determine the number of periods from Starts to Ends inclusive¶" &amp; "PeriodLabelλ           →Creates a label for a date based on period interval¶" &amp; "ScheduleRatesλ         →Schedule rates that persist until replaced in a timeline.¶" &amp; "ScheduleRatesByItemsλ  →Schedule rates that persist until replaced in a timeline for each item in a list.¶" &amp; "RateAtDateλ            →Return the rate in effect on each date from a checked table of effective dates¶" &amp; "ScheduleValuesλ        →Schedules values in a timeline. ¶" &amp; "ScheduleValuesByItemsλ →Schedules values in a timeline for each item in a list.¶" &amp; "Timelineλ              →Creates a horizontal list of start or end dates for a timeline¶" &amp; "DateDifλ               →Whole years, months or days between two dates, and the remainders¶" &amp; "FinancialMonthλ        →Numbers each date's month within its financial year, from 1 to 12¶" &amp; "FinancialQuarterλ      →Numbers each date's quarter within its financial year, from 1 to 4¶" &amp; "FinancialYearλ         →Labels dates with their Australian financial year, starting 1 July¶" &amp; "→", "→", "¶" ) )</definedName>
    <definedName name="oz.AboutEssentialsλ" comment="Displays this module's repository URL and function list">TRIM(_xlfn.TEXTSPLIT( "About:                     →Basic functions for working with dynamic arrays. Suggested module name: oz¶" &amp; "Version:                   →20 Aug 2026¶" &amp; "Repository:                  →https://github.com/ryanduguid/Ozzit ¶" &amp; "→¶" &amp; "Function                   →Description¶" &amp; "AboutEssentialsλ                     →Produces this table¶" &amp; "CountCλ                    →Count how many of one or more characters are in a text string¶" &amp; "SumColsλ                   →Get the total of each column¶" &amp; "SumRowsλ                   →Get the total of each row¶" &amp; "AvgColsλ                   →Get the average of each column¶" &amp; "AvgRowsλ                   →Get the average of each row¶" &amp; "MinColsλ                   →Get the minimum of each column¶" &amp; "MinRowsλ                   →Get the minimum of each row¶" &amp; "MaxColsλ                   →Get the maximum of each column¶" &amp; "MaxRowsλ                   →Get the maximum of each row¶" &amp; "CountColsλ                 →Get the count of numbers in each column¶" &amp; "CountRowsλ                 →Get the count of numbers in each row¶" &amp; "CountAColsλ                →Get the count of everything of each column¶" &amp; "CountARowsλ                →Get the count of everything of each row¶" &amp; "IsBetweenEλ                 →Determine if a value is between a lower and upper limit.¶" &amp; "IsInListλ                  →Determine if a value is one of a list of items.¶" &amp; "RangeToDAEλ                 →Convert a range reference to a dynamic array reference", "→","¶" ) )</definedName>
    <definedName name="oz.AboutFinancialλ" comment="Displays this module's repository URL and function list">TRIM(_xlfn.TEXTSPLIT( "ABOUT:             →Ozzit's Financial Models module. Suggested module name: oz¶" &amp; "VERSION:           →6 Sep 2026¶" &amp; "REPOSITORY:          →https://github.com/ryanduguid/Ozzit ¶" &amp; "WEBSITE:           →https://github.com/ryanduguid/Ozzit ¶" &amp; "→¶" &amp; "FUNCTION           →DESCRIPTION¶" &amp; "AboutFinancialλ             →Produces this table¶" &amp; "Corkscrewλ         →Creates a simple corkscrew where the closing balance is the sum of independent flows plus opening balance¶" &amp; "CorkScrewReversalλ →Create a corkscrew where the opening balance is reversed in the next period based on a timing row¶" &amp; "Cumulativeλ        →Creates a row or column of cumulative totals from a total row or column¶" &amp; "IntOnIntλ          →Calculate Interest on Interest. Use to determine amount needed to cover debt plus interest on debt¶" &amp; "IRRλ               →Calculates IRR, correcting for when the first investment is not in the first period¶" &amp; "Movementλ          →Create a row of differences from column to column¶" &amp; "Reversalλ          →Create a row that reverses input values in the next period.¶" &amp; "RollingAvgλ        →Creates averages for preceding values of a set size moving from beginning to end over a row of values.¶" &amp; "RollingMaxλ        →Finds the maximum value the n preceding values in a set moving from beginning to end over a row of values.¶" &amp; "RollingMinλ        →Finds the minimum value the n preceding values in a set moving from beginning to end over a row of values.¶" &amp; "RollingSumλ        →Creates totals for preceding values of a set size moving from beginning to end over a row of values.¶" &amp; "SumContainsλ       →Creates a row of totals for each row in an array where its labels contain a unique letter, word, or phrase.¶" &amp; "SumPeriodsλ        →Groups and totals all columns in a Values array by period resulting in one column for each period.¶" &amp; "→¶" &amp; "AMORTISATION SUITE→¶" &amp; "Amortiseλ          →Creates a corkscrew amortisation schedule.¶" &amp; "LabelAmortiseλ     →Create row labels for Amortiseλ result¶" &amp; "SumAmortiseλ       →Create row totals for payments, interest, and principal portion in Amortiseλ results¶" &amp; "→¶" &amp; "DEPRECIATION SUITE→¶" &amp; "Depreciateλ        →Create a block of CAPEX, Opening Balance, Depreciation Values, and Book Value for each asset¶" &amp; "LabelDepreciateλ   →Create row labels for Depreciateλ result¶" &amp; "SumDepreciateλ     →Create row totals for CAPEX, Depreciation, Salvage Value, and Disposal costs in Depreciateλ results¶" &amp; "Allocateλ          →Divide one or more amounts equally across smaller periods¶" &amp; "SLNλ               →Straight Line depreciation method for one asset or asset class.¶" &amp; "SYDλ               →Sum-of-years' digits depreciation method for one asset or asset class.¶" &amp; "DBλ                →Fixed declining balance depreciation method for one asset or asset class.¶" &amp; "DDBλ               →Double-declining balance depreciation method for one asset or asset class.¶" &amp; "VDBλ               →Variable declining balance depreciation method for one asset or asset class.¶" &amp; "DiminishingValueλ  →Diminishing-balance depreciation schedule at 200% of the straight-line rate, writing the residual off in the final period. A modelling schedule, not a tax calculation.¶" &amp; "PrimeCostλ         →Straight-line depreciation schedule for one asset or asset class, in whole years. A modelling schedule, not a tax calculation.¶" &amp; "→¶" &amp; "AUSTRALIAN TAX     →¶" &amp; "GSTAddλ            →Adds GST to one or more GST-exclusive amounts.¶" &amp; "GSTExtractλ        →Returns the GST contained in one or more GST-inclusive amounts.¶" &amp; "LEASES (AASB 16)   →¶" &amp; "LeaseLiabilityλ    →Present value of the lease payments that are not paid at the commencement date¶" &amp; "LeaseScheduleλ     →Unwinds a lease liability into opening, payment, interest and closing rows¶" &amp; "LeaseRemeasureλ    →Remeasures a lease liability for revised payments and adjusts the right-of-use asset¶" &amp; "ROUScheduleλ       →Depreciates a right-of-use asset in a straight line over the lease term¶" &amp; "→¶" &amp; "RATES              →¶" &amp; "PeriodRateλ        →Converts an effective annual rate to the equivalent rate per period¶" &amp; "AnnualRateλ        →Converts a rate per period to the effective annual rate¶" &amp; "DayCountRateλ      →Interest rate for each timeline period under a day count convention¶" &amp; "→¶" &amp; "REPORTING          →¶" &amp; "Varianceλ          →Actual less budget, positive when favourable for income and expenses¶" &amp; "VariancePctλ       →Variance as a fraction of the budget's size, keeping its sign¶" &amp; "YearToDateλ        →Totals each row from the start of the financial year to an as-at date¶" &amp; "→¶" &amp; "SUBROUTINES        →Functions used by other functions or general purpose functions.¶" &amp; "FilterContainsλ    →Filter an array by another array that contains specific text¶" &amp; "RangeToDAλ         →Create a dynamic array from a static range¶" &amp; "TimelineOffsetλ    →Determines how many columns a date is offset from a timeline's first date¶" &amp; "TimelinePositionλ  →Places an array or value appropriately within a model's timeline.¶" &amp; "PeriodStartλ       →Determine when a period containing a date of interest starts.¶" &amp; "PeriodDiffλ        →Determine the number of periods between two dates.", "→","¶" ) )</definedName>
    <definedName name="oz.AboutRatiosλ" comment="Displays this module's repository URL and function list">TRIM( _xlfn.TEXTSPLIT( "About:                     →A library of Financial Ratios¶" &amp; "Version:                   →20 Aug 2026¶" &amp; "Repository:                  →https://github.com/ryanduguid/Ozzit ¶" &amp; "Notes:                     →Sources include Investopedia.com, Corporate Finance and WallStreetPrep.com.¶" &amp; "→Copyright applies to LAMBDA coding¶" &amp; "→¶" &amp; "Function                   →Description¶" &amp; "AboutRatiosλ                     →Produces this table¶" &amp; "→¶" &amp; "Liquidity Ratios→¶" &amp; "CurrentRatioλ              →Measures ability to pay short-term obligations¶" &amp; "QuickRatioλ                →Measures ability to meet short-term obligations¶" &amp; "CashRatioλ                 →Evaluates ability to repay short-term debt w/cash or near-cash resources¶" &amp; "OperatingCashFlowRatioλ    →Measures how readily current liabilities are covered by cash flows generated from operations. ¶" &amp; "ReceivablesTurnoverRatioλ  →Indicates effectiveness in collecting outstanding balances from clients and managing line of credit process¶" &amp; "InventoryTurnoverRatioλ    →Shows how many times a company turned over its inventory relative  to its cost of goods sold¶" &amp; "WorkingCapitalTurnoverRatioλ→Working Capital Turnover Ratio measures how efficiently a company is using its working capital to support sales and growth¶" &amp; "→¶" &amp; "Leverage Ratios→¶" &amp; "DebtRatioλ                 →Measures the extent of a company's leverage¶" &amp; "DSCRλ                      →Debt service coverage Ratio measures a firm’s available cash flow to pay its current debt obligations¶" &amp; "DebtToCapitalRatioλ        →Gives analysts and investors a better idea of a company's financial structure and whether or not the company is a suitable investment¶" &amp; "EquityMultiplierλ          →Measures the portion of a company’s assets financed by shareholders'equity rather than by debt¶" &amp; "→¶" &amp; "Solvency Ratios→¶" &amp; "DebtToEquityRatioλ         →Measures the degree to which a company is financing operations with debt rather than its own resources.¶" &amp; "DebtToAssetRatioλ          →Analysts can compare one company's leverage with that of other companies in the same industry.¶" &amp; "InterestCoverageRatioλ     →Determines how easily a company can pay interest on its outstanding debt¶" &amp; "EquityRatioλ               →Measures the long-term solvency of a company by comparing its shareholders’ equity to its total assets¶" &amp; "→¶" &amp; "Efficiency Ratios→¶" &amp; "AssetTurnoverRatioλ        →Measures the value of a company's sales or revenues relative to the value of its assets.¶" &amp; "DSIλ                       →Days Sales in Inventory Ratio (aka Average age of inventory indicates the average time in days that a company takes to turn its inventory¶" &amp; "OperatingRatioλ            →Shows how efficient management is at keeping costs low while generating revenue¶" &amp; "ReceivableDaysλ            →Receivable days (DSO): receivables as days of sales¶" &amp; "PayableDaysλ               →Payable days (DPO): payables as days of purchases¶" &amp; "WIPDaysλ                   →Work in progress days: WIP as days of related revenue or cost¶" &amp; "CashConversionCycleλ       →Cash conversion cycle: inventory, WIP and receivable days less payable days¶" &amp; "→¶" &amp; "Profitability Margins &amp; Ratios→¶" &amp; "GrossMarginλ               →Shows how much profit a company makes after paying off its Cost of Goods Sold¶" &amp; "EBITDAMarginλ              →Measures a company's operating profit as a percentage of its revenue¶" &amp; "OperatingMarginλ           →Measures how much profit a company makes on a dollar of sales after paying for variable costs of production, such as wages and raw materials, but before paying interest or tax¶" &amp; "PretaxMarginλ              →Measures the operating efficiency of a company ¶" &amp; "NetProfitMarginλ           →Measures how much net income or profit a company generates as a percentage of its revenue.¶" &amp; "CashFlowMarginλ            →Cash Flow Margin is a trusted metric of a company’s profitability and efficiency and its earnings quality¶" &amp; "ROAλ                       →*Return on Assets Indicates how profitable a company is in relation to its total assets¶" &amp; "ROEλ                       →*Return on equity is a measure of financial performance ¶" &amp; "ROIλ                       →Return on Investment ratio  measures the profitability of an investment by comparing the gain or loss to its cost¶" &amp; "ROICλ                      →Return on Invested capital  assesses a company’s efficiency in allocating capital to profitable investments¶" &amp; "→¶" &amp; "Market Value Ratios→¶" &amp; "PriceEarningsRatioλ        →*Price-earnings Ratio measures a company's share price relative to its earnings per share¶" &amp; "PriceToBookRatioλ          →Many investors use the price-to-book ratio (P/B ratio) to compare a firm's market capitalisation to its book value and locate undervalued companies.¶" &amp; "PriceToSalesRatioλ         →Price to Sales (P/S) Ratio is an indicator of the value that financial markets have placed on each dollar of a company's sales or revenues¶" &amp; "PriceToCashRatioλ          →Price to Cash (P/CF) Ratio is a stock valuation indicator or multiple that measures the value of a stock’s price relative to its operating cash flow per share¶" &amp; "BVPSλ                      →Book value per share ratio is an indicator of the value of a company’s stock¶" &amp; "CAPERatioλ                 →Measure that uses real earnings per share (EPS) over a 10-year period to smooth out fluctuations in corporate profits that occur over different periods of a business cycle (aka Shiller PE Ratio)¶" &amp; "DPRλ                       →Dividend Payout Ratio is the percentage of earnings paid to shareholders via dividends¶" &amp; "DividendYieldRatioλ        →Dividend yield ratio shows how much a company pays out in dividends¶" &amp; "EPSλ                       →Earnings per share measures profitability indicating how much profit each outstanding share of common stock has earned ¶" &amp; "RetentionRatioλ            →Retention Ratio is the proportion of earnings kept back in the business as retained earnings¶" &amp; "→¶" &amp; "ATO Small Business Benchmark Ratios→¶" &amp; "ATOTurnoverλ               →Turnover excluding GST as the ATO benchmarks measure it¶" &amp; "ATOBenchmarkRatioλ         →An amount over turnover, as for ATO rent or motor vehicle expenses to turnover¶" &amp; "ATOTotalExpensesRatioλ     →ATO total expenses to turnover, less payments to associated persons¶" &amp; "ATOCostOfSalesRatioλ       →ATO cost of sales to turnover, excluding labour¶" &amp; "ATOLabourRatioλ            →ATO labour to turnover: wages and contractors less payments to associated persons¶" &amp; "→¶" &amp; "*                          →These are considered 'Key Ratios'¶" &amp; "→", "→", "¶" ) )</definedName>
    <definedName name="oz.AboutUtilitiesλ" comment="Displays this module's repository URL and function list">TRIM(_xlfn.TEXTSPLIT("About:                     →Basic functions for working with dynamic arrays. Suggested module name: oz¶" &amp; "Version:                   →20 Aug 2026¶" &amp; "Repository:                  →https://github.com/ryanduguid/Ozzit ¶" &amp; "→¶" &amp; "Function                   →Description¶" &amp; "AboutUtilitiesλ                     →Produces this table¶" &amp; "CountCUλ                    →Count how many of one or more characters are in a text string¶" &amp; "SumColsUλ                   →Get the total of each column¶" &amp; "SumRowsUλ                   →Get the total of each row¶" &amp; "AvgColsUλ                   →Get the average of each column¶" &amp; "AvgRowsUλ                   →Get the average of each row¶" &amp; "MinColsUλ                   →Get the minimum of each column¶" &amp; "MinRowsUλ                   →Get the minimum of each row¶" &amp; "MaxColsUλ                   →Get the maximum of each column¶" &amp; "MaxRowsUλ                   →Get the maximum of each row¶" &amp; "CountColsUλ                 →Get the count of numbers in each column¶" &amp; "CountRowsUλ                 →Get the count of numbers in each row¶" &amp; "CountAColsUλ                →Get the count of everything of each column¶" &amp; "CountARowsUλ                →Get the count of everything of each row¶" &amp; "IsBetweenUλ                 →Determine if a value is between a lower and upper limit.¶" &amp; "IsInListUλ                  →Determine if a value is one of a list of items.¶" &amp; "RangeToDAUλ                 →Convert a range reference to a dynamic array reference", "→", "¶"))</definedName>
    <definedName name="oz.Allocateλ" comment="→Divide one or more amounts equally across smaller periods">_xlfn.LAMBDA(_xlop.Amounts,_xlop.FromInterval,_xlop.ToInterval, _xlfn.LET(_xlpm.Help, TRIM(_xlfn.TEXTSPLIT("FUNCTION:      →Allocateλ(Amounts, [FromInterval], [ToInterval])¶" &amp; "DESCRIPTION:   →Divide one or more amounts equally across smaller periods¶" &amp; "WEBPAGE:       →https://github.com/ryanduguid/Ozzit¶" &amp; "VERSION:       →20 Aug 2026¶" &amp; "PARAMETERS:    →¶" &amp; "Amounts        →(Required) One amount or a row of amounts to allocate.¶" &amp; "FromInterval   →(Optional Default=Y) The larger interval in Q=Quarters or Y=Years¶" &amp; "ToInterval     →(Optional Default=M) The smaller interval in W=Weeks, M=Months, or Q=Quarters¶" &amp; "NOTE!          →¶" &amp; "→When a From Period's amount does not divide evenly to the 1/100 for all To Periods',¶" &amp; "→the last To Period contains the necessary adjustment.¶" &amp; "EXAMPLES:      →¶" &amp; "→Formula (oz is assumed to be the module's name)¶" &amp; "→=oz.Allocateλ({999.99, 2000}, ""Y"", ""Q"")¶" &amp; "→Result¶" &amp; "→250,250,250,249.99,500,500,500,500", "→", "¶")), _xlpm.Help?, _xlfn.ISOMITTED(_xlpm.Amounts), _xlpm.FromInterval, IF(_xlfn.ISOMITTED(_xlpm.FromInterval), "Y", _xlpm.FromInterval), _xlpm.ToInterval, IF(_xlfn.ISOMITTED(_xlpm.ToInterval), "M", _xlpm.ToInterval), _xlpm.From, _xlfn.SWITCH(_xlpm.FromInterval, "Y", 1, "Q", 4), _xlpm.To, _xlfn.SWITCH(_xlpm.ToInterval, "Q", 4, "M", 12, "W", 52), _xlpm.FromCount, COUNT(_xlpm.Amounts), _xlpm.ToCount, _xlpm.To / _xlpm.From, _xlpm.Result, _xlfn.MAKEARRAY(1, _xlpm.FromCount * _xlpm.ToCount, _xlfn.LAMBDA(_xlpm.R,_xlpm.C, _xlfn.LET(_xlpm.FromAmount, INDEX(_xlpm.Amounts, QUOTIENT(_xlpm.C - 1, _xlpm.ToCount) + 1), _xlpm.ToAmount, ROUND(_xlpm.FromAmount * _xlpm.From / _xlpm.To, 2), _xlpm.Last?, MOD(_xlpm.C - 1, _xlpm.ToCount) + 1 = _xlpm.ToCount, IF(AND(_xlpm.Last?, _xlpm.ToCount &gt; 1), _xlpm.FromAmount - SUM(_xlfn.EXPAND(_xlpm.ToAmount, 1, MAX(_xlpm.ToCount - 1, 1), _xlpm.ToAmount)), _xlpm.ToAmount)))), CHOOSE(_xlpm.Help? + 1, _xlpm.Result, _xlpm.Help)))</definedName>
    <definedName name="oz.AmortiseBλ" comment="Creates an amortisation schedule for a debt/loan across a model's periods">_xlfn.LAMBDA(_xlop.Principal,_xlop.APR,_xlop.Term,_xlop.ModelPeriods,_xlop.StartPeriod,_xlop.MonthsPerPeriod, _xlfn.LET(_xlpm.Help, TRIM(_xlfn.TEXTSPLIT( "FUNCTION:      →AmortiseBλ(Principal, APR, Term, ModelPeriods, [StartPeriod], [MonthsPerPeriod])¶" &amp; "DESCRIPTION:   →Creates an amortisation schedule for a debt/loan across a model's periods.¶" &amp; "ROW CONTENTS:  →Opening Balance¶" &amp; "               →Interest Portion¶" &amp; "               →Repayment¶" &amp; "               →Closing Balance¶" &amp; "               →Principal Portion¶" &amp; "WEBPAGE:       →https://github.com/ryanduguid/Ozzit¶" &amp; "VERSION:       →20 Aug 2026¶" &amp; "PARAMETERS:    →¶" &amp; "Principal      →(Required) Principal opening balance.¶" &amp; "APR            →(Required) Annual percentage rate.¶" &amp; "Term           →(Required) Number of periods to pay off the debt.¶" &amp; "ModelPeriods   →(Required) Number of model periods.¶" &amp; "StartPeriod    →(Optional) Period when the debt is issued. Defaults to 1.¶" &amp; "MonthsPerPeriod→(Optional) Number of months in each period. Defaults to 1.¶" &amp; "EXAMPLES:      →¶" &amp; "Result         →Formula (oz is assumed to be the module's name)¶" &amp; "5 rows, 60 cols→=oz.AmortiseBλ(10000, 3%, 48, 60)", "→", "¶" ) ), _xlpm.Help?, OR( _xlfn.ISOMITTED( _xlpm.Principal), _xlfn.ISOMITTED( _xlpm.APR), _xlfn.ISOMITTED( _xlpm.Term), _xlfn.ISOMITTED( _xlpm.ModelPeriods) ), _xlpm.ErrMsgs, {"Principal must be a single number providing the opening debt amount.";"APR must be a single number providing annual percentage rate for interest.";"Term must be a positive whole number of periods to pay off the debt";"Model Periods must be a positive whole number of periods in this model."}, _xlpm.Errors, _xlfn.VSTACK( NOT( ISNUMBER( _xlpm.Principal)), NOT( ISNUMBER( _xlpm.APR)), NOT( AND( ISNUMBER( _xlpm.Term), _xlpm.Term &gt; 0, _xlpm.Term = INT( _xlpm.Term))), NOT( AND( ISNUMBER( _xlpm.ModelPeriods), _xlpm.ModelPeriods &gt; 0, _xlpm.ModelPeriods = INT( _xlpm.ModelPeriods))) ), _xlpm.Messages, _xlfn._xlws.FILTER( _xlpm.ErrMsgs, _xlpm.Errors, ""), _xlpm.StartPeriod, IF( ISNUMBER( _xlpm.StartPeriod), _xlpm.StartPeriod, 1), _xlpm.MonthsPerPeriod, IF( ISNUMBER( _xlpm.MonthsPerPeriod), _xlpm.MonthsPerPeriod, 1), _xlpm.Rate, _xlpm.APR / 12 * _xlpm.MonthsPerPeriod, _xlpm.Periods, _xlfn.SEQUENCE( 1, _xlpm.ModelPeriods), _xlpm.Closings, _xlfn.SCAN( _xlpm.Principal, _xlpm.Periods, _xlfn.LAMBDA(_xlpm.Carried,_xlpm.Period, _xlfn.LET(_xlpm.Remaining, IF( _xlpm.Period &lt; _xlpm.StartPeriod, 0, MAX( _xlpm.Term - _xlpm.Period + _xlpm.StartPeriod, 0)), _xlpm.Opening, IF( _xlpm.Remaining = 0, 0, _xlpm.Carried), _xlpm.Interest, _xlpm.Opening * _xlpm.Rate, _xlpm.Payment, IF( _xlpm.Remaining = 0, 0, MIN( -PMT( _xlpm.Rate, _xlpm.Remaining, _xlpm.Opening), _xlpm.Opening + _xlpm.Interest)), IF( _xlpm.Period &lt; _xlpm.StartPeriod, _xlpm.Carried, _xlpm.Opening + _xlpm.Interest - _xlpm.Payment) ) ) ), _xlpm.Carried, IF( _xlpm.ModelPeriods = 1, _xlpm.Principal, _xlfn.HSTACK( _xlpm.Principal, _xlfn.DROP( _xlpm.Closings, , -1))), _xlpm.Remaining, IF( _xlpm.Periods &lt; _xlpm.StartPeriod, 0, IF( _xlpm.Term - _xlpm.Periods + _xlpm.StartPeriod &gt; 0, _xlpm.Term - _xlpm.Periods + _xlpm.StartPeriod, 0)), _xlpm.Opening, IF( _xlpm.Remaining = 0, 0, _xlpm.Carried), _xlpm.Interest, _xlpm.Opening * _xlpm.Rate, _xlpm.Level, IF( _xlpm.Remaining = 0, 0, -PMT( _xlpm.Rate, _xlpm.Remaining, _xlpm.Opening)), _xlpm.Payment, IF( _xlpm.Level &lt; _xlpm.Opening + _xlpm.Interest, _xlpm.Level, _xlpm.Opening + _xlpm.Interest), _xlpm.Closing, _xlpm.Opening + _xlpm.Interest - _xlpm.Payment, _xlpm.Portion, _xlpm.Payment - _xlpm.Interest, _xlpm.Result, _xlfn.VSTACK( _xlpm.Opening, _xlpm.Interest, _xlpm.Payment, _xlpm.Closing, _xlpm.Portion), _xlpm.Return, IF( _xlpm.Help?, 2, IF( OR( _xlpm.Errors), 3, 1)), CHOOSE( _xlpm.Return, _xlpm.Result, _xlpm.Help, _xlpm.Messages) ) )</definedName>
    <definedName name="oz.Amortiseλ" comment="Creates a corkscrew amortisation schedule">_xlfn.LAMBDA(_xlop.Principals,_xlop.APRs,_xlop.Terms,_xlop.StartDates,_xlop.Timeline,_xlop.FinalPeriodEnd, _xlfn.LET( _xlpm.Help, TRIM(_xlfn.TEXTSPLIT( "FUNCTION:      →Amortiseλ( Principals, APRs, Terms, StartDates, [Timeline], [FinalPeriodEnd])¶" &amp; "DESCRIPTION:   →Creates an amortisation schedule array for one or more loans.¶" &amp; "→Payments are assumed monthly. Each month lands in the period holding its start. Flows add up; balances show the first opening and last closing. Periods without a loan month are nil.¶" &amp; "→Use LabelAmortiseλ() to apply labels to this function's results:¶" &amp; "→Use SumAmortiseλ() to apply totals to this function's results:¶" &amp; "WEBPAGE:       →https://github.com/ryanduguid/Ozzit¶" &amp; "VERSION:       →20 Aug 2026¶" &amp; "PARAMETERS:→¶" &amp; "Principals     →(Required) Loan/debt amounts.¶" &amp; "APRs           →(Required) Annual Percentage Rates for interest.¶" &amp; "Terms          →(Required) Number of months for loans/debts.¶" &amp; "StartDates     →(Required) Dates debts are issued.¶" &amp; "Timeline       →(Optional) A row of period start dates. If omitted, a monthly timeline is added¶" &amp; "FinalPeriodEnd →(Optional) The day after the last period ends. Needs Timeline, and only moves money where its periods are shorter than a month. Otherwise, the last period follows the preceding interval, using calendar months for monthly or longer intervals.¶" &amp; "EXAMPLES:→¶" &amp; "Result         →Formula (oz is assumed to be the module's name)¶" &amp; "→=oz.Amortiseλ(10000, 5%, 4 * 12, ""2026-07-01"")", "→", "¶" ) ), _xlpm.MpY, 12, _xlpm.ADpM, 30.42, _xlpm.Help?, OR( _xlfn.ISOMITTED( _xlpm.Principals), _xlfn.ISOMITTED( _xlpm.APRs), _xlfn.ISOMITTED( _xlpm.Terms), _xlfn.ISOMITTED( _xlpm.StartDates) ), _xlpm.CvtStarts, IF( ISNUMBER( _xlpm.StartDates), _xlpm.StartDates, DATEVALUE( _xlpm.StartDates)), _xlpm.TimelineGiven?, NOT( _xlfn.ISOMITTED( _xlpm.Timeline)), _xlpm.Timeline, IF( _xlfn.ISOMITTED( _xlpm.Timeline), _xlfn.LET(_xlpm.LastMonths, EDATE( _xlpm.CvtStarts, _xlpm.Terms - 1), _xlpm.MinDate, MIN( _xlpm.CvtStarts), _xlpm.LastMonth, MAX( _xlpm.LastMonths), _xlpm.MaxTerm, ( YEAR( _xlpm.LastMonth) - YEAR( _xlpm.MinDate)) * _xlpm.MpY + MONTH( _xlpm.LastMonth) - MONTH( _xlpm.MinDate) + 1, EDATE( _xlpm.MinDate, _xlfn.SEQUENCE( 1, _xlpm.MaxTerm, 0))), _xlpm.Timeline ), _xlpm.FirstPeriod, INDEX( _xlpm.Timeline, 1), _xlpm.Single?, COUNTA( _xlpm.Timeline) &lt; 2, _xlpm.SecondPeriod, IF( _xlpm.Single?, EDATE( _xlpm.FirstPeriod, 1), INDEX( _xlpm.Timeline, 2)), _xlpm.BadTimeline?, IF( _xlpm.Single?, FALSE, _xlfn.LET( _xlpm.Dates, _xlfn.TOROW( _xlpm.Timeline), MIN( _xlfn.DROP( _xlpm.Dates, , 1) - _xlfn.DROP( _xlpm.Dates, , -1)) &lt; 1)), _xlpm.TimelineMessage, "Timeline must be period start dates where each date is at least a day " &amp; "after the one before it. A repeated or out-of-order date puts one period's " &amp; "money in another period.", _xlpm.DpP, _xlpm.SecondPeriod - _xlpm.FirstPeriod, _xlpm.FinalEnd?, NOT( _xlfn.ISOMITTED( _xlpm.FinalPeriodEnd)), _xlpm.FinalEndDate, IF( _xlpm.FinalEnd?, MAX( _xlpm.FinalPeriodEnd), 0), _xlpm.BadFinalEnd?, IF( _xlpm.FinalEnd?, OR( NOT( _xlpm.TimelineGiven?), COUNT( _xlpm.FinalPeriodEnd) &lt;&gt; 1, _xlpm.FinalEndDate &lt;= MAX( _xlpm.Timeline)), FALSE), _xlpm.FinalEndMessage, "FinalPeriodEnd needs a Timeline, and must be one date after the last " &amp; "date in it. It is the day after the final period ends.", _xlpm.SubMonthly?, _xlpm.DpP &lt; 28, _xlpm.LastDate, MAX( _xlpm.Timeline), _xlpm.PriorDate, IF( _xlpm.Single?, _xlpm.FirstPeriod, INDEX( _xlpm.Timeline, COUNTA( _xlpm.Timeline) - 1)), _xlpm.LastGap, IF( _xlpm.Single?, _xlpm.DpP, _xlpm.LastDate - _xlpm.PriorDate), _xlpm.LastMonths, MAX( ROUND( _xlpm.LastGap / _xlpm.ADpM, 0), 1), _xlpm.CalendarEnd, IF( _xlpm.Single?, EDATE( _xlpm.LastDate, 1), IF( EDATE( _xlpm.PriorDate, _xlpm.LastMonths) = _xlpm.LastDate, EDATE( _xlpm.PriorDate, 2 * _xlpm.LastMonths), IF( DAY( _xlpm.LastDate + 1) = 1, EOMONTH( _xlpm.LastDate, _xlpm.LastMonths), EDATE( _xlpm.LastDate, _xlpm.LastMonths)))), _xlpm.InferredEnd, IF( OR( _xlpm.SubMonthly?, _xlpm.LastGap &lt; 28), _xlpm.LastDate + _xlpm.LastGap, _xlpm.CalendarEnd), _xlpm.BucketEnd, IF( AND( _xlpm.FinalEnd?, _xlpm.SubMonthly?), _xlpm.FinalEndDate, _xlpm.InferredEnd), _xlpm.Schedule, _xlfn.LAMBDA(_xlpm.Asset, _xlfn.LET( _xlpm.Principal, _xlfn.SINGLE(INDEX( _xlpm.Principals, _xlpm.Asset)), _xlpm.APR, _xlfn.SINGLE(INDEX( _xlpm.APRs, _xlpm.Asset)), _xlpm.Term, _xlfn.SINGLE(INDEX( _xlpm.Terms, _xlpm.Asset)), _xlpm.StartDate, _xlfn.SINGLE(INDEX( _xlpm.CvtStarts, _xlpm.Asset)), _xlpm.Rate, _xlpm.APR / _xlpm.MpY, _xlpm.MonthlyPayment, PMT( _xlpm.Rate, _xlpm.Term, _xlpm.Principal), _xlpm.MonthlyPrincipal, -FV(_xlpm.Rate, _xlfn.SEQUENCE( 1, _xlpm.Term, 0), _xlpm.MonthlyPayment, _xlpm.Principal), _xlpm.MonthlyInterest, _xlpm.MonthlyPrincipal * _xlpm.Rate, _xlpm.DebtIssueArray, _xlfn.EXPAND( _xlpm.Principal, 1, _xlpm.Term, 0), _xlpm.PrincipalArray, _xlpm.MonthlyPrincipal, _xlpm.InterestArray, _xlpm.MonthlyInterest, _xlpm.PaymentArray, _xlfn.SEQUENCE( 1, _xlpm.Term, _xlpm.MonthlyPayment, 0), _xlpm.ClosingArray, _xlpm.PrincipalArray + _xlpm.InterestArray + _xlpm.PaymentArray, _xlpm.PortionArray, -_xlpm.PaymentArray - _xlpm.InterestArray, _xlpm.AmortisationSched, _xlfn.VSTACK( _xlpm.DebtIssueArray, _xlpm.PrincipalArray, _xlpm.InterestArray, _xlpm.PaymentArray, _xlpm.ClosingArray, _xlpm.PortionArray), _xlpm.MonthStarts, EDATE( _xlpm.StartDate, _xlfn.SEQUENCE( , _xlpm.Term, 0)), _xlpm.Buckets, IFERROR( MATCH( _xlpm.MonthStarts, _xlfn.TOROW( _xlpm.Timeline), 1), 0) * ( _xlpm.MonthStarts &lt; _xlpm.BucketEnd), _xlpm.InPeriod, ( _xlfn.TOCOL( _xlpm.Buckets) = _xlfn.SEQUENCE( 1, COUNTA( _xlpm.Timeline))) * 1, _xlpm.Earlier, IF( _xlpm.Term = 1, 0, _xlfn.HSTACK( 0, _xlfn.DROP( _xlpm.Buckets, , -1))), _xlpm.Later, IF( _xlpm.Term = 1, 0, _xlfn.HSTACK( _xlfn.DROP( _xlpm.Buckets, , 1), 0)), _xlpm.FirstInPeriod, ( _xlpm.Buckets &lt;&gt; _xlpm.Earlier) * ( _xlpm.Buckets &gt; 0), _xlpm.LastInPeriod, ( _xlpm.Buckets &lt;&gt; _xlpm.Later) * ( _xlpm.Buckets &gt; 0), _xlpm.Flows, MMULT( _xlpm.AmortisationSched, _xlpm.InPeriod), _xlpm.ByDate, _xlfn.VSTACK( _xlfn.TAKE( _xlpm.Flows, 1), MMULT( _xlfn.CHOOSEROWS( _xlpm.AmortisationSched, 2) * _xlpm.FirstInPeriod, _xlpm.InPeriod), _xlfn.CHOOSEROWS( _xlpm.Flows, 3, 4), MMULT( _xlfn.CHOOSEROWS( _xlpm.AmortisationSched, 5) * _xlpm.LastInPeriod, _xlpm.InPeriod), _xlfn.TAKE( _xlpm.Flows, -1)), _xlpm.ByDate ) ), _xlpm.Result, _xlfn.REDUCE( 0, _xlfn.SEQUENCE( ROWS( _xlpm.Principals)), _xlfn.LAMBDA(_xlpm.Acc,_xlpm.Asset, _xlfn.LET(_xlpm.NewBlock, _xlpm.Schedule( _xlpm.Asset), IF( _xlpm.Asset = 1, _xlpm.NewBlock, _xlfn.VSTACK( _xlpm.Acc, _xlfn.EXPAND({" "}, 1, COUNTA(_xlpm.Timeline), " "), _xlpm.NewBlock)) ) ) ), _xlpm.Return, IF( _xlpm.Help?, 2, IF( _xlpm.BadTimeline?, 3, IF( _xlpm.BadFinalEnd?, 4, 1))), CHOOSE( _xlpm.Return, _xlpm.Result, _xlpm.Help, _xlpm.TimelineMessage, _xlpm.FinalEndMessage) ) )</definedName>
    <definedName name="oz.AmortiseλDV" comment="Provides extended data validation of arguments for Amortiseλ()">_xlfn.LAMBDA(_xlop.Principal,_xlop.APR,_xlop.Term,_xlop.StartDate,_xlop.Timeline,_xlop.FinalPeriodEnd, _xlfn.LET( _xlpm.ErrorsInArgs, _xlfn.VSTACK( OR( ISERROR( _xlpm.Principal)), OR( ISERROR( _xlpm.APR)), OR( ISERROR( _xlpm.Term)), OR( ISERROR( _xlpm.StartDate)), OR( ISERROR( _xlpm.Timeline)), IF( _xlfn.ISOMITTED( _xlpm.FinalPeriodEnd), FALSE, OR( ISERROR( _xlpm.FinalPeriodEnd))) ), _xlpm.DVArg1, IF( OR( _xlfn.ISOMITTED( _xlpm.Principal), ISERROR( _xlpm.Principal)), FALSE, OR( IFERROR( VALUE(_xlpm.Principal) &lt; 1, TRUE))), _xlpm.DVArg2, IF( OR( _xlfn.ISOMITTED( _xlpm.APR), ISERROR( _xlpm.APR)), FALSE, OR( IFERROR( VALUE(_xlpm.APR) &lt; 0, TRUE))), _xlpm.DVArg3, IF( OR( _xlfn.ISOMITTED( _xlpm.Term), ISERROR( _xlpm.Term)), FALSE, OR( IFERROR( VALUE(_xlpm.Term) &lt; 1, TRUE))), _xlpm.DVArg4, IF( OR( _xlfn.ISOMITTED( _xlpm.StartDate), ISERROR( _xlpm.StartDate)), FALSE, OR( IFERROR( VALUE(_xlpm.StartDate) &lt; MIN( _xlpm.Timeline), TRUE))), _xlpm.DVArg5, IF( OR( _xlfn.ISOMITTED( _xlpm.Timeline), ISERROR( _xlpm.Timeline)), FALSE, OR( IFERROR( VALUE(_xlpm.Timeline) &lt; 1, TRUE))), _xlpm.DVArg6, IF( OR( _xlfn.ISOMITTED( _xlpm.Timeline), ISERROR( _xlpm.Timeline), _xlpm.DVArg5), FALSE, COUNTA(_xlpm.Timeline) &lt; 2), _xlpm.DVArg7, IF( OR( _xlfn.ISOMITTED( _xlpm.Timeline), ISERROR( _xlpm.Timeline), _xlpm.DVArg5, _xlpm.DVArg6), FALSE, _xlfn.LET( _xlpm.Dates, _xlfn.TOROW( _xlpm.Timeline), MIN( _xlfn.DROP( _xlpm.Dates, , 1) - _xlfn.DROP( _xlpm.Dates, , -1)) &lt; 1)), _xlpm.DVArg8, IF( OR( _xlfn.ISOMITTED( _xlpm.FinalPeriodEnd), ISERROR( _xlpm.FinalPeriodEnd)), FALSE, OR( _xlfn.ISOMITTED( _xlpm.Timeline), COUNT( _xlpm.FinalPeriodEnd) &lt;&gt; 1, IF( OR( ISERROR( _xlpm.Timeline), _xlpm.DVArg5), FALSE, MAX( _xlpm.FinalPeriodEnd) &lt;= MAX( _xlpm.Timeline)))), _xlpm.DVErrors, _xlfn.VSTACK( _xlpm.DVArg1, _xlpm.DVArg2, _xlpm.DVArg3, _xlpm.DVArg4, _xlpm.DVArg5, _xlpm.DVArg6, _xlpm.DVArg7, _xlpm.DVArg8), _xlpm.AnyErrors?, OR(_xlpm.ErrorsInArgs, _xlpm.DVErrors), _xlpm.Errors2Show, _xlfn.VSTACK( _xlpm.ErrorsInArgs, _xlpm.DVErrors), _xlpm.ErrMsgs, {"Amount contains errors in cells. Resolve errors first.";"APR contains errors in cells. Resolve errors first.";"Term contains errors in cells. Resolve errors first.";"StartDate contains errors in cells. Resolve errors first.";"Timeline contains errors in cells. Resolve errors first.";"FinalPeriodEnd contains errors in cells. Resolve errors first.";"Amount must be greater than 0";"APR must be a percentage of 0 or more";"Term must be the number of timeline periods until the debt is satisfied.";"StartDate must be a valid date.";"Timeline must a row of period start dates.";"Timeline must a row of period start dates with more than 1 entry.";"Timeline must a row of period start dates that advance by at least a day.";"FinalPeriodEnd needs a Timeline, and must be one date after the last date in it."}, _xlpm.Messages, _xlfn._xlws.FILTER(_xlpm.ErrMsgs, _xlpm.Errors2Show, ""), _xlpm.Return, IF( OR( _xlpm.Errors2Show), 2, IF( _xlpm.AnyErrors?, 3, 1)), CHOOSE(_xlpm.Return, TRUE, _xlpm.Messages, #VALUE!) ) )</definedName>
    <definedName name="oz.AnnualRateλ" comment="Converts a rate per period to the effective annual rate, the inverse of PeriodRateλ">_xlfn.LAMBDA(_xlop.PeriodRate,_xlop.PeriodsPerYear, _xlfn.LET( _xlpm.Help, TRIM(_xlfn.TEXTSPLIT( "FUNCTION:      →AnnualRateλ(PeriodRate, [PeriodsPerYear])¶" &amp; "DESCRIPTION:   →Converts a rate per period to the effective annual rate.¶NOTES!         →(1 + PeriodRate) ^ PeriodsPerYear - 1, the inverse of PeriodRateλ().¶               →Use it to state a rate per period, such as a lease rate solved per¶               →month, as the annual figure a reader expects.¶" &amp; "WEBPAGE:       →https://github.com/ryanduguid/Ozzit¶" &amp; "VERSION:       →6 Sep 2026¶" &amp; "PARAMETERS:    →¶" &amp; "PeriodRate     →(Required) Rate per period, or a row or column of them.¶" &amp; "PeriodsPerYear →(Optional: Default = 12) Periods in a year: 12 for months, 4 for quarters, 1 for years.¶" &amp; "EXAMPLES:      →¶" &amp; "→Formula (oz is assumed to be the module's name)¶" &amp; "→=oz.AnnualRateλ(0.01)¶" &amp; "→Result¶" &amp; "→0.126825", "→", "¶" )), _xlpm.Help?, _xlfn.ISOMITTED(_xlpm.PeriodRate), _xlpm.Periods, IF(_xlfn.ISOMITTED(_xlpm.PeriodsPerYear), 12, IF(ISNUMBER(_xlpm.PeriodsPerYear), _xlpm.PeriodsPerYear, 12)), _xlpm.Result, (1 + _xlpm.PeriodRate) ^ _xlpm.Periods - 1, CHOOSE( _xlpm.Help? + 1, _xlpm.Result, _xlpm.Help) ) )</definedName>
    <definedName name="oz.AssetTurnoverRatioλ" comment="Measures the value of a company's sales or revenues relative to the value of its assets._x000a_(Net Sales/Total Assets)">_xlfn.LAMBDA(_xlop.NetSales,_xlop.TotalAssets, _xlfn.LET(_xlpm.Help, TRIM(_xlfn.TEXTSPLIT("FUNCTION:      →AssetTurnoverRatioλ( NetSales, TotalAssets)¶" &amp; "DESCRIPTION:   →Measures the value of a company's sales or revenues relative to the value of its assets.¶" &amp; "→(Net Sales/Total Assets)¶" &amp; "WEBPAGE:       →https://www.investopedia.com/terms/a/assetturnover.asp ¶" &amp; "VERSION:       →20 Aug 2026¶" &amp; "PARAMETERS:→¶" &amp; "NetSales       →(Required) revenue or net sales. ¶" &amp; "TotalAssets    →(Required) Average of Assets and period start and end.¶" &amp; "EXAMPLES:      →Formula (oz is assumed to be the module's name)¶" &amp; ".32x           →=oz.AssetTurnoverRatioλ( 171760, 538715 )", "→", "¶")), _xlpm.Help?, OR(_xlfn.ISOMITTED(_xlpm.NetSales), _xlfn.ISOMITTED(_xlpm.TotalAssets)), _xlpm.Result, _xlpm.NetSales / _xlpm.TotalAssets, CHOOSE(_xlpm.Help? + 1, _xlpm.Result, _xlpm.Help)))</definedName>
    <definedName name="oz.ATOBenchmarkRatioλ" comment="ATO tax return benchmark ratio: an amount divided by turnover, as for rent or motor vehicle expenses to turnover">_xlfn.LAMBDA(_xlop.Amount,_xlop.Turnover, _xlfn.LET( _xlpm.Help, TRIM(_xlfn.TEXTSPLIT( "FUNCTION:      →ATOBenchmarkRatioλ(Amount, Turnover)¶" &amp; "DESCRIPTION:   →ATO tax return benchmark ratio: Amount / Turnover.¶NOTES!         →The ATO's basic formula for a tax return benchmark ratio, and the whole¶               →of its rent expenses to turnover and motor vehicle expenses to turnover¶               →ratios: pass the rent or motor vehicle expenses amount from the return.¶               →Returns a fraction; format it as a percentage, as the ATO's figure is the¶               →same quotient multiplied by 100. Take Turnover from ATOTurnoverλ(). Use¶               →ATOTotalExpensesRatioλ(), ATOCostOfSalesRatioλ() and ATOLabourRatioλ()¶               →for the 3 ratios whose amounts the ATO adjusts. Turnover of 0 returns¶               →#DIV/0!. Arithmetic only. ATO benchmark ratio calculations checked¶               →19 October 2026.¶" &amp; "WEBPAGE:       →https://www.ato.gov.au/businesses-and-organisations/income-deductions-and-concessions/small-business-benchmarks/small-business-benchmarks-methodology-and-ratio-calculations/how-we-calculate-benchmark-ratios¶" &amp; "VERSION:       →19 Oct 2026¶" &amp; "PARAMETERS:    →¶" &amp; "Amount         →(Required) The expense amount, excluding GST.¶" &amp; "Turnover       →(Required) Turnover excluding GST, for example from ATOTurnoverλ().¶" &amp; "EXAMPLES:      →¶" &amp; "→Formula (oz is assumed to be the module's name)¶" &amp; "→=oz.ATOBenchmarkRatioλ(24000, 480000)¶" &amp; "→Result¶" &amp; "→5%", "→", "¶" )), _xlpm.Help?, OR(_xlfn.ISOMITTED(_xlpm.Amount), _xlfn.ISOMITTED(_xlpm.Turnover)), _xlpm.Result, _xlpm.Amount / _xlpm.Turnover, CHOOSE( _xlpm.Help? + 1, _xlpm.Result, _xlpm.Help) ) )</definedName>
    <definedName name="oz.ATOCostOfSalesRatioλ" comment="ATO cost of sales to turnover, excluding salary and wages included in cost of sales">_xlfn.LAMBDA(_xlop.CostOfSales,_xlop.Turnover,_xlop.IncludedWages, _xlfn.LET( _xlpm.Help, TRIM(_xlfn.TEXTSPLIT( "FUNCTION:      →ATOCostOfSalesRatioλ(CostOfSales, Turnover, [IncludedWages])¶" &amp; "DESCRIPTION:   →ATO cost of sales to turnover benchmark ratio, excluding labour.¶NOTES!         →(CostOfSales - IncludedWages) / Turnover. The ATO's cost of sales excludes¶               →salary and wages: where the return's total salary and wages code is C,¶               →meaning they are included in cost of sales, it deducts the total salary¶               →and wages expenses. Pass that total as IncludedWages only when the code is¶               →C, and leave it out otherwise. GrossMarginλ() is a different measure:¶               →it keeps wages in cost of sales. Returns a fraction, as¶               →ATOBenchmarkRatioλ() does. An omitted or blank IncludedWages counts as 0.¶               →Turnover of 0 returns #DIV/0!. Arithmetic only. ATO benchmark ratio¶               →calculations checked 19 October 2026.¶" &amp; "WEBPAGE:       →https://www.ato.gov.au/businesses-and-organisations/income-deductions-and-concessions/small-business-benchmarks/small-business-benchmarks-methodology-and-ratio-calculations/how-we-calculate-benchmark-ratios¶" &amp; "VERSION:       →19 Oct 2026¶" &amp; "PARAMETERS:    →¶" &amp; "CostOfSales    →(Required) Cost of sales from the return, excluding GST.¶" &amp; "Turnover       →(Required) Turnover excluding GST, for example from ATOTurnoverλ().¶" &amp; "IncludedWages  →(Optional: Default = 0) Total salary and wages expenses, only when the return's code is C.¶" &amp; "EXAMPLES:      →¶" &amp; "→Formula (oz is assumed to be the module's name)¶" &amp; "→=oz.ATOCostOfSalesRatioλ(260000, 480000, 60000)¶" &amp; "→Result¶" &amp; "→0.4167", "→", "¶" )), _xlpm.Help?, OR(_xlfn.ISOMITTED(_xlpm.CostOfSales), _xlfn.ISOMITTED(_xlpm.Turnover)), _xlpm.Wages, IF(_xlfn.ISOMITTED(_xlpm.IncludedWages), 0, IF(_xlpm.IncludedWages = "", 0, IF(ISNUMBER(_xlpm.IncludedWages), _xlpm.IncludedWages, #VALUE!))), _xlpm.Result, (_xlpm.CostOfSales - _xlpm.Wages) / _xlpm.Turnover, CHOOSE( _xlpm.Help? + 1, _xlpm.Result, _xlpm.Help) ) )</definedName>
    <definedName name="oz.ATOLabourRatioλ" comment="ATO labour to turnover: salary and wages plus contractors less payments to associated persons, over turnover">_xlfn.LAMBDA(_xlop.SalaryWages,_xlop.Contractors,_xlop.Turnover,_xlop.AssociatePayments,_xlop.W1, _xlfn.LET( _xlpm.Help, TRIM(_xlfn.TEXTSPLIT( "FUNCTION:      →ATOLabourRatioλ(SalaryWages, Contractors, Turnover, [AssociatePayments], [W1])¶" &amp; "DESCRIPTION:   →ATO labour to turnover benchmark ratio.¶NOTES!         →(Wages + Contractors - AssociatePayments) / Turnover, where Wages is¶               →SalaryWages, or W1 when W1 is greater. The ATO adds total salary and¶               →wages expenses to contractor, subcontractor and commission expenses and¶               →deducts payments to associated persons. Where the activity statements'¶               →label W1 (total salary, wages and other payments) for the year exceeds¶               →the return's salary and wages, it uses W1. Returns a fraction, as¶               →ATOBenchmarkRatioλ() does. An omitted or blank AssociatePayments or W1¶               →counts as 0. Turnover of 0 returns #DIV/0!. Arithmetic only. ATO benchmark¶               →ratio calculations checked 19 October 2026.¶" &amp; "WEBPAGE:       →https://www.ato.gov.au/businesses-and-organisations/income-deductions-and-concessions/small-business-benchmarks/small-business-benchmarks-methodology-and-ratio-calculations/how-we-calculate-benchmark-ratios¶" &amp; "VERSION:       →19 Oct 2026¶" &amp; "PARAMETERS:    →¶" &amp; "SalaryWages    →(Required) Total salary and wages expenses from the return.¶" &amp; "Contractors    →(Required) Contractor, subcontractor and commission expenses.¶" &amp; "Turnover       →(Required) Turnover excluding GST, for example from ATOTurnoverλ().¶" &amp; "AssociatePayments→(Optional: Default = 0) Payments to associated persons.¶" &amp; "W1             →(Optional: Default = 0) The year's total at activity statement label W1.¶" &amp; "EXAMPLES:      →¶" &amp; "→Formula (oz is assumed to be the module's name)¶" &amp; "→=oz.ATOLabourRatioλ(90000, 20000, 480000, 10000, 95000)¶" &amp; "→Result¶" &amp; "→0.21875", "→", "¶" )), _xlpm.Help?, OR(_xlfn.ISOMITTED(_xlpm.SalaryWages), _xlfn.ISOMITTED(_xlpm.Contractors), _xlfn.ISOMITTED(_xlpm.Turnover)), _xlpm.Associates, IF(_xlfn.ISOMITTED(_xlpm.AssociatePayments), 0, IF(_xlpm.AssociatePayments = "", 0, IF(ISNUMBER(_xlpm.AssociatePayments), _xlpm.AssociatePayments, #VALUE!))), _xlpm.Activity, IF(_xlfn.ISOMITTED(_xlpm.W1), 0, IF(_xlpm.W1 = "", 0, IF(ISNUMBER(_xlpm.W1), _xlpm.W1, #VALUE!))), _xlpm.Wages, IF(_xlpm.Activity &gt; _xlpm.SalaryWages, _xlpm.Activity, _xlpm.SalaryWages), _xlpm.Result, (_xlpm.Wages + _xlpm.Contractors - _xlpm.Associates) / _xlpm.Turnover, CHOOSE( _xlpm.Help? + 1, _xlpm.Result, _xlpm.Help) ) )</definedName>
    <definedName name="oz.ATOTotalExpensesRatioλ" comment="ATO total expenses to turnover: total expenses less payments to associated persons, over turnover">_xlfn.LAMBDA(_xlop.TotalExpenses,_xlop.Turnover,_xlop.AssociatePayments, _xlfn.LET( _xlpm.Help, TRIM(_xlfn.TEXTSPLIT( "FUNCTION:      →ATOTotalExpensesRatioλ(TotalExpenses, Turnover, [AssociatePayments])¶" &amp; "DESCRIPTION:   →ATO total expenses to turnover benchmark ratio.¶NOTES!         →(TotalExpenses - AssociatePayments) / Turnover. The ATO deducts payments¶               →to associated persons from total expenses before dividing. Where total¶               →expenses is blank or incomplete, it adds up the expense items it lists¶               →for the return type: pass that total as TotalExpenses. OperatingRatioλ()¶               →gives the same quotient only when its expenses already exclude those¶               →payments and its net sales equal this Turnover. Returns a fraction, as¶               →ATOBenchmarkRatioλ() does. An omitted or blank AssociatePayments counts¶               →as 0. Turnover of 0 returns #DIV/0!. Arithmetic only. ATO benchmark ratio¶               →calculations checked 19 October 2026.¶" &amp; "WEBPAGE:       →https://www.ato.gov.au/businesses-and-organisations/income-deductions-and-concessions/small-business-benchmarks/small-business-benchmarks-methodology-and-ratio-calculations/how-we-calculate-benchmark-ratios¶" &amp; "VERSION:       →19 Oct 2026¶" &amp; "PARAMETERS:    →¶" &amp; "TotalExpenses  →(Required) Total expenses from the return, excluding GST.¶" &amp; "Turnover       →(Required) Turnover excluding GST, for example from ATOTurnoverλ().¶" &amp; "AssociatePayments→(Optional: Default = 0) Payments to associated persons.¶" &amp; "EXAMPLES:      →¶" &amp; "→Formula (oz is assumed to be the module's name)¶" &amp; "→=oz.ATOTotalExpensesRatioλ(410000, 480000, 30000)¶" &amp; "→Result¶" &amp; "→0.7917", "→", "¶" )), _xlpm.Help?, OR(_xlfn.ISOMITTED(_xlpm.TotalExpenses), _xlfn.ISOMITTED(_xlpm.Turnover)), _xlpm.Associates, IF(_xlfn.ISOMITTED(_xlpm.AssociatePayments), 0, IF(_xlpm.AssociatePayments = "", 0, IF(ISNUMBER(_xlpm.AssociatePayments), _xlpm.AssociatePayments, #VALUE!))), _xlpm.Result, (_xlpm.TotalExpenses - _xlpm.Associates) / _xlpm.Turnover, CHOOSE( _xlpm.Help? + 1, _xlpm.Result, _xlpm.Help) ) )</definedName>
    <definedName name="oz.ATOTurnoverλ" comment="Turnover as the ATO small business benchmarks measure it: other sales unless under half of total business income">_xlfn.LAMBDA(_xlop.OtherSales,_xlop.TotalBusinessIncome, _xlfn.LET( _xlpm.Help, TRIM(_xlfn.TEXTSPLIT( "FUNCTION:      →ATOTurnoverλ(OtherSales, TotalBusinessIncome)¶" &amp; "DESCRIPTION:   →Turnover excluding GST, the denominator of every ATO tax return benchmark ratio.¶NOTES!         →Returns OtherSales, unless it is zero, blank or less than half of¶               →TotalBusinessIncome, when it returns TotalBusinessIncome instead. That is¶               →the ATO's rule. OtherSales is the other sales of goods and services¶               →amount on the return. Where total business income is blank or¶               →incomplete, the ATO adds up the business income items it lists for the¶               →return type: pass that total as TotalBusinessIncome. Pass both amounts¶               →excluding GST. Text in either argument returns #VALUE!. Arithmetic only:¶               →the reviewer decides what belongs in each amount. ATO benchmark ratio¶               →calculations checked 19 October 2026.¶" &amp; "WEBPAGE:       →https://www.ato.gov.au/businesses-and-organisations/income-deductions-and-concessions/small-business-benchmarks/small-business-benchmarks-methodology-and-ratio-calculations/how-we-calculate-benchmark-ratios¶" &amp; "VERSION:       →19 Oct 2026¶" &amp; "PARAMETERS:    →¶" &amp; "OtherSales     →(Required) Other sales of goods and services, excluding GST.¶" &amp; "TotalBusinessIncome→(Required) Total business income, excluding GST.¶" &amp; "EXAMPLES:      →¶" &amp; "→Formula (oz is assumed to be the module's name)¶" &amp; "→=oz.ATOTurnoverλ(480000, 500000)¶" &amp; "→Result¶" &amp; "→480000¶" &amp; "→=oz.ATOTurnoverλ(200000, 500000)¶" &amp; "→Result¶" &amp; "→500000", "→", "¶" )), _xlpm.Help?, OR(_xlfn.ISOMITTED(_xlpm.OtherSales), _xlfn.ISOMITTED(_xlpm.TotalBusinessIncome)), _xlpm.Sales, IF(_xlpm.OtherSales = "", 0, IF(ISNUMBER(_xlpm.OtherSales), _xlpm.OtherSales, #VALUE!)), _xlpm.Income, IF(ISNUMBER(_xlpm.TotalBusinessIncome), _xlpm.TotalBusinessIncome, #VALUE!), _xlpm.Result, IF((_xlpm.Sales = 0) + (_xlpm.Sales &lt; _xlpm.Income / 2), _xlpm.Income, _xlpm.Sales), CHOOSE( _xlpm.Help? + 1, _xlpm.Result, _xlpm.Help) ) )</definedName>
    <definedName name="oz.AvgColsUλ" comment="Get the average for each Column">_xlfn.LAMBDA(_xlop.Array, _xlfn.LET(_xlpm.Help, TRIM(_xlfn.TEXTSPLIT("FUNCTION:      →AvgColsUλ( Array)¶" &amp; "DESCRIPTION:   →Get the average for each Column¶" &amp; "WEBPAGE:       →https://github.com/ryanduguid/Ozzit¶" &amp; "VERSION:       →20 Aug 2026¶" &amp; "PARAMETERS:    →¶" &amp; "Array          →(Required) A two dimensional array/range containing values to be averaged by column.¶" &amp; "EXAMPLES:      →Formula (oz is assumed to be the module's name)¶" &amp; "→=oz.AvgColsUλ( SEQUENCE(5,5))", "→", "¶")), _xlpm.Help?, _xlfn.ISOMITTED(_xlpm.Array), _xlpm.Result, _xlfn.BYCOL(_xlpm.Array, _xlfn.LAMBDA(_xlpm.Col, AVERAGE(_xlpm.Col))), CHOOSE(_xlpm.Help? + 1, _xlpm.Result, _xlpm.Help)))</definedName>
    <definedName name="oz.AvgColsλ" comment="Get the average for each Column">_xlfn.LAMBDA(_xlop.Array, _xlfn.LET(_xlpm.Help, TRIM(_xlfn.TEXTSPLIT("FUNCTION:      →AvgColsλ( Array)¶" &amp; "DESCRIPTION:   →Get the average for each Column¶" &amp; "WEBPAGE:       →https://github.com/ryanduguid/Ozzit¶" &amp; "VERSION:       →20 Aug 2026¶" &amp; "PARAMETERS:    →¶" &amp; "Array          →(Required) A two dimensional array/range containing values to be averaged by column.¶" &amp; "EXAMPLES:      →Formula (oz is assumed to be the module's name)¶" &amp; "→=oz.AvgColsλ( SEQUENCE(5,5))", "→", "¶")), _xlpm.Help?, _xlfn.ISOMITTED(_xlpm.Array), _xlpm.Result, _xlfn.BYCOL(_xlpm.Array, _xlfn.LAMBDA(_xlpm.Col, AVERAGE(_xlpm.Col))), CHOOSE(_xlpm.Help? + 1, _xlpm.Result, _xlpm.Help)))</definedName>
    <definedName name="oz.AvgRowsUλ" comment="Get the average for each row">_xlfn.LAMBDA(_xlop.Array, _xlfn.LET(_xlpm.Help, TRIM(_xlfn.TEXTSPLIT("FUNCTION:      →AvgRowsUλ( Array)¶" &amp; "DESCRIPTION:   →Get the average of each row¶" &amp; "WEBPAGE:       →https://github.com/ryanduguid/Ozzit¶" &amp; "VERSION:       →20 Aug 2026¶" &amp; "PARAMETERS:    →¶" &amp; "Array          →(Required) A two dimensional array/range containing values to be averaged by row.¶" &amp; "EXAMPLES:      →Formula (oz is assumed to be the module's name)¶" &amp; "→=oz.AvgRowsUλ( SEQUENCE(5,5))", "→", "¶")), _xlpm.Help?, _xlfn.ISOMITTED(_xlpm.Array), _xlpm.Result, _xlfn.BYROW(_xlpm.Array, _xlfn.LAMBDA(_xlpm.Row, AVERAGE(_xlpm.Row))), CHOOSE(_xlpm.Help? + 1, _xlpm.Result, _xlpm.Help)))</definedName>
    <definedName name="oz.AvgRowsλ" comment="Get the average for each row">_xlfn.LAMBDA(_xlop.Array, _xlfn.LET(_xlpm.Help, TRIM(_xlfn.TEXTSPLIT("FUNCTION:      →AvgRowsλ( Array)¶" &amp; "DESCRIPTION:   →Get the average of each row¶" &amp; "WEBPAGE:       →https://github.com/ryanduguid/Ozzit¶" &amp; "VERSION:       →20 Aug 2026¶" &amp; "PARAMETERS:    →¶" &amp; "Array          →(Required) A two dimensional array/range containing values to be averaged by row.¶" &amp; "EXAMPLES:      →Formula (oz is assumed to be the module's name)¶" &amp; "→=oz.AvgRowsλ( SEQUENCE(5,5))", "→", "¶")), _xlpm.Help?, _xlfn.ISOMITTED(_xlpm.Array), _xlpm.Result, _xlfn.BYROW(_xlpm.Array, _xlfn.LAMBDA(_xlpm.Row, AVERAGE(_xlpm.Row))), CHOOSE(_xlpm.Help? + 1, _xlpm.Result, _xlpm.Help)))</definedName>
    <definedName name="oz.BVPSλ" comment="Book value per share ratio is an indicator of the value of a company’s stock _x000a_(Shareholders' Equity - Preferred Stock)/Average Shares Outstanding)">_xlfn.LAMBDA(_xlop.ShareholdersEquity,_xlop.PreferredStock,_xlop.AverageSharesOutstanding, _xlfn.LET(_xlpm.Help, TRIM(_xlfn.TEXTSPLIT( "FUNCTION:          →BVPSλ( ShareholdersEquity, PreferredStock, AverageSharesOutstanding )¶" &amp; "DESCRIPTION:       →Book value per share ratio is an indicator of the value of a company’s stock¶" &amp; "→(Shareholders' Equity - Preferred Stock)/Average Shares Outstanding)¶" &amp; "WEBPAGE:           →https://corporatefinanceinstitute.com/resources/valuation/book-value-per-share-bvps/ ¶" &amp; "VERSION:           →20 Aug 2026¶" &amp; "PARAMETERS:→¶" &amp; "ShareholdersEquity →(Required) Shareholders' Equity (total assets - total liabilities), intangibles kept ¶" &amp; "PreferredStock     →(Required) Preferred Stock (securities that represent ownership in a corporation).¶" &amp; "AverageSharesOutstanding→(Required) Average Shares Out Standing ¶" &amp; "EXAMPLES:          →Formula (oz is assumed to be the module's name)¶" &amp; "5                  →=oz.BVPSλ(20.0, 5.0, AVERAGE( 2.9, 3.1) )", "→", "¶" ) ), _xlpm.Help?, OR( _xlfn.ISOMITTED( _xlpm.ShareholdersEquity), _xlfn.ISOMITTED( _xlpm.PreferredStock), _xlfn.ISOMITTED( _xlpm.AverageSharesOutstanding) ), _xlpm.Result, (_xlpm.ShareholdersEquity - _xlpm.PreferredStock)/_xlpm.AverageSharesOutstanding, CHOOSE(_xlpm.Help? + 1, _xlpm.Result, _xlpm.Help) ) )</definedName>
    <definedName name="oz.CAPERatioλ" comment="CAPE Ratio is a valuation measure that uses real earnings per share (EPS) over a 10-year period_x000a_to smooth out fluctuations in corporate profits that occur over different periods of a business_x000a_cycle (aka Shiller PE Ratio) (Share Price/Ten Year Average Earn">_xlfn.LAMBDA(_xlop.SharePrice,_xlop.TenYearAverageEarningsInflationAdjusted, _xlfn.LET(_xlpm.Help, TRIM(_xlfn.TEXTSPLIT("FUNCTION:      →CAPERatioλ( SharePrice, TenYearAverageEarningsInflationAdjusted )¶" &amp; "DESCRIPTION:   →CAPE Ratio is a valuation measure that uses real earnings per share (EPS) over a 10-year period ¶" &amp; "→to smooth out fluctuations in corporate profits that occur over different periods of a business ¶" &amp; "→cycle (aka Shiller PE Ratio) (Share Price/Ten Year Average Earnings Inflation Adjusted)¶" &amp; "WEBPAGE:       →https://www.investopedia.com/terms/c/cape-ratio.asp ¶" &amp; "VERSION:       →20 Aug 2026¶" &amp; "PARAMETERS:→¶" &amp; "SharePrice     →(Required) Current stock price ¶" &amp; "TenYearAverageEarningsInflationAdjusted→(Required) Average earnings per share for 10 years adjusted for inflation ¶" &amp; "EXAMPLES:      →Formula (oz is assumed to be the module's name)¶" &amp; "10             →=oz.CAPERatioλ( 100.0, 10.0  )", "→", "¶")), _xlpm.Help?, OR(_xlfn.ISOMITTED(_xlpm.SharePrice), _xlfn.ISOMITTED(_xlpm.TenYearAverageEarningsInflationAdjusted)), _xlpm.Result, _xlpm.SharePrice / _xlpm.TenYearAverageEarningsInflationAdjusted, CHOOSE(_xlpm.Help? + 1, _xlpm.Result, _xlpm.Help)))</definedName>
    <definedName name="oz.CashConversionCycleλ" comment="Cash conversion cycle in days: inventory days + WIP days + receivable days - payable days">_xlfn.LAMBDA(_xlop.InventoryDays,_xlop.ReceivableDays,_xlop.PayableDays,_xlop.WIPDays, _xlfn.LET( _xlpm.Help, TRIM(_xlfn.TEXTSPLIT( "FUNCTION:      →CashConversionCycleλ(InventoryDays, ReceivableDays, PayableDays, [WIPDays])¶" &amp; "DESCRIPTION:   →Cash conversion cycle: the days between paying suppliers and collecting from customers.¶NOTES!         →InventoryDays + WIPDays + ReceivableDays - PayableDays. Pass day counts,¶               →for example from DSIλ(), ReceivableDaysλ(), PayableDaysλ() and WIPDaysλ(),¶               →with every component on the same period basis. DSIλ() multiplies by 365¶               →and expects a full year's cost of goods sold, so for a shorter window¶               →annualise that window's cost of goods sold before passing it. A negative¶               →result means suppliers are paid after customers pay. An omitted or blank¶               →WIPDays counts as 0. Pass WIPDays only where WIP is not already in the¶               →inventory behind InventoryDays, or it is counted twice.¶" &amp; "WEBPAGE:       →https://github.com/ryanduguid/Ozzit/blob/main/docs/ratio-definitions.md¶" &amp; "VERSION:       →29 Sep 2026¶" &amp; "PARAMETERS:    →¶" &amp; "InventoryDays  →(Required) Inventory days, for example from DSIλ().¶" &amp; "ReceivableDays →(Required) Receivable days, for example from ReceivableDaysλ().¶" &amp; "PayableDays    →(Required) Payable days, for example from PayableDaysλ().¶" &amp; "WIPDays        →(Optional: Default = 0) Work in progress days, for example from WIPDaysλ().¶" &amp; "EXAMPLES:      →¶" &amp; "→Formula (oz is assumed to be the module's name)¶" &amp; "→=oz.CashConversionCycleλ(40.8949, 38.0208, 29.9487)¶" &amp; "→Result¶" &amp; "→48.967", "→", "¶" )), _xlpm.Help?, OR(_xlfn.ISOMITTED(_xlpm.InventoryDays), _xlfn.ISOMITTED(_xlpm.ReceivableDays), _xlfn.ISOMITTED(_xlpm.PayableDays)), _xlpm.WIPPart, IF(_xlfn.ISOMITTED(_xlpm.WIPDays), 0, IF(_xlpm.WIPDays = "", 0, _xlpm.WIPDays)), _xlpm.Result, _xlpm.InventoryDays + _xlpm.WIPPart + _xlpm.ReceivableDays - _xlpm.PayableDays, CHOOSE( _xlpm.Help? + 1, _xlpm.Result, _xlpm.Help) ) )</definedName>
    <definedName name="oz.CashFlowMarginλ" comment="Cash Flow Margin is a trusted metric of a company’s profitability and efficiency _x000a_and its earnings quality (Cash Flow From Operating Activities/Revenue).">_xlfn.LAMBDA(_xlop.CashFlowFromOperatingActivities,_xlop.Revenue, _xlfn.LET(_xlpm.Help, TRIM(_xlfn.TEXTSPLIT("FUNCTION:      →CashFlowMarginλ( CashFlowFromOperatingActivities, Revenue)¶" &amp; "DESCRIPTION:   →Cash Flow Margin is a trusted metric of a company’s profitability ¶" &amp; "→and efficiency and its earnings quality ¶" &amp; "→(Cash Flow From Operating Activities/Revenue).¶" &amp; "WEBPAGE:       →https://www.investopedia.com/terms/o/operating-cash-flow-margin.asp ¶" &amp; "VERSION:       →20 Aug 2026¶" &amp; "PARAMETERS:→¶" &amp; "CashFlowFromOperatingActivities→(Required) Cash Flow From Operating Activities includes:¶" &amp; "→Net Income¶" &amp; "→Non-cash Expenses (Depreciation and Amortisation)¶" &amp; "→Change in Working Capital¶" &amp; "Revenue        →(Required) Revenue¶" &amp; "EXAMPLES:      →Formula (oz is assumed to be the module's name)¶" &amp; "50.8%          →=oz.CashFlowMarginλ( 2.695, 5.3 )", "→", "¶")), _xlpm.Help?, OR(_xlfn.ISOMITTED(_xlpm.CashFlowFromOperatingActivities), _xlfn.ISOMITTED(_xlpm.Revenue)), _xlpm.Result, _xlpm.CashFlowFromOperatingActivities / _xlpm.Revenue, CHOOSE(_xlpm.Help? + 1, _xlpm.Result, _xlpm.Help)))</definedName>
    <definedName name="oz.CashRatioλ" comment="Evaluates ability to repay short-term debt w/cash or near-cash resources _x000a_    (Cash and Cash Equivalents / Current Liabilities)">_xlfn.LAMBDA(_xlop.Cash,_xlop.Liabilities, _xlfn.LET(_xlpm.Help, TRIM(_xlfn.TEXTSPLIT( "FUNCTION:      →CashRatioλ( Cash, Liabilities)¶" &amp; "DESCRIPTION:   →Evaluates ability to repay short-term debt w/cash or near-cash resources¶" &amp; "→(Cash and Cash Equivalents / Current Liabilities)¶" &amp; "WEBPAGE:       →https://www.investopedia.com/terms/c/cash-ratio.asp ¶" &amp; "VERSION:       →20 Aug 2026¶" &amp; "PARAMETERS:→¶" &amp; "Cash           →(Required) Cash and Cash Equivalents¶" &amp; "Liabilities     →(Required) Current Liabilities. Includes: ¶" &amp; "→Accounts payable ¶" &amp; "→Wages ¶" &amp; "→Taxes payable ¶" &amp; "→Short-term debts ¶" &amp; "→Current portion of long-term debt ¶" &amp; "EXAMPLES:      →Formula (oz is assumed to be the module's name)¶" &amp; ".517409        →=oz.CashRatioλ( 63900000, 123500000)", "→", "¶" ) ), _xlpm.Help?, OR( _xlfn.ISOMITTED( _xlpm.Cash), _xlfn.ISOMITTED( _xlpm.Liabilities ) ), _xlpm.Result, _xlpm.Cash/_xlpm.Liabilities, CHOOSE(_xlpm.Help? + 1, _xlpm.Result, _xlpm.Help) ) )</definedName>
    <definedName name="oz.CorkScrewReversalλ" comment="Create a corkscrew where the opening balance is reversed in the next period based on a timing parameter.">_xlfn.LAMBDA(_xlop.Opening,_xlop.ReversalFlags,_xlop.Flow1,_xlop.Flow2,_xlop.Flow3,_xlop.Flow4, _xlfn.LET(_xlpm.Help, TRIM(_xlfn.TEXTSPLIT( "FUNCTION:      →CorkScrewReversalλ( Opening, ReversalFlags, Flow1, [Flow2], [Flow3], [Flow4])¶" &amp; "DESCRIPTION:   →Create a corkscrew where the opening balance is reversed in the next period based on a timing parameter¶" &amp; "WEBPAGE:       →https://github.com/ryanduguid/Ozzit¶" &amp; "VERSION:       →20 Aug 2026¶" &amp; "PARAMETERS:→¶" &amp; "Opening        →(Required) First periods opening balance.¶" &amp; "ReversalFlags  →(Required) A row of ones and blanks (or zeros) indicating when to reverse period totals.¶"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 "¶")), _xlpm.Help?, OR( _xlfn.ISOMITTED( _xlpm.Opening), _xlfn.ISOMITTED( _xlpm.ReversalFlags), _xlfn.ISOMITTED( _xlpm.Flow1)), _xlpm.Cols, COLUMNS(_xlpm.Flow1), _xlpm.Rows, IF(_xlfn.ISOMITTED(_xlpm.Flow2), 1, IF(_xlfn.ISOMITTED(_xlpm.Flow3), 2, IF(_xlfn.ISOMITTED(_xlpm.Flow4), 3, 4) ) ), _xlpm.PeriodArray, _xlfn.SWITCH(_xlpm.Rows, 1, _xlpm.Flow1, 2, _xlfn.VSTACK(_xlpm.Flow1, _xlpm.Flow2), 3, _xlfn.VSTACK(_xlpm.Flow1, _xlpm.Flow2, _xlpm.Flow3), 4, _xlfn.VSTACK(_xlpm.Flow1, _xlpm.Flow2, _xlpm.Flow3, _xlpm.Flow4) ), _xlpm.PeriodTotal, _xlfn.BYCOL(_xlpm.PeriodArray, _xlfn.LAMBDA(_xlpm.Col, SUM(_xlpm.Col))), _xlpm.Flags, INDEX( _xlpm.ReversalFlags, 1, _xlfn.SEQUENCE( , _xlpm.Cols)), _xlpm.Closings, _xlfn.SCAN( _xlpm.Opening, _xlfn.SEQUENCE( , _xlpm.Cols), _xlfn.LAMBDA(_xlpm.Acc,_xlpm.Col, _xlpm.Acc * ( 1 - INDEX( _xlpm.Flags, 1, _xlpm.Col)) + INDEX( _xlpm.PeriodTotal, 1, _xlpm.Col) ) ), _xlpm.Openings, IF( _xlpm.Cols = 1, _xlpm.Opening, _xlfn.HSTACK( _xlpm.Opening, _xlfn.DROP( _xlpm.Closings, , -1))), _xlpm.Reversals, -_xlpm.Flags * _xlpm.Openings, _xlpm.Result, _xlfn.VSTACK( _xlpm.Openings, _xlpm.Reversals, _xlpm.PeriodArray, _xlpm.Closings), CHOOSE(_xlpm.Help? + 1, _xlpm.Result, _xlpm.Help) ) )</definedName>
    <definedName name="oz.Corkscrewλ" comment="Create a corkscrew section that sums the opening balance and up to 4 independent flows.">_xlfn.LAMBDA(_xlop.Opening,_xlop.Flow1,_xlop.Flow2,_xlop.Flow3,_xlop.Flow4, _xlfn.LET(_xlpm.Help, TRIM(_xlfn.TEXTSPLIT("FUNCTION:      →Corkscrewλ( Opening, Flow1, [Flow2], [Flow3], [Flow4])¶" &amp; "DESCRIPTION:   →Create a corkscrew section that sums the opening balance and up to 4 independent flows¶" &amp; "WEBPAGE:       →https://github.com/ryanduguid/Ozzit¶" &amp; "VERSION:       →20 Aug 2026¶" &amp; "PARAMETERS:→¶" &amp; "Opening        →(Required) First periods opening balance.¶" &amp; "Flow1          →(Required) First row (or array of rows) of numbers to include in period totals.¶" &amp; "Flow2          →(Optional) Second row (or array of rows) of numbers to include in period totals.¶" &amp; "Flow3          →(Optional) Third row (or array of rows) of numbers to include in period totals.¶" &amp; "Flow4          →(Optional) Fourth row (or array of rows) of numbers to include in period totals.¶" &amp; "NOTE!          →All flows are added. To subtract a flow make it negative.¶" &amp; "→¶" &amp; "EXAMPLES:      →NOTE! oz is assumed to be the module's name¶" &amp; "Formula:       →=oz.Corkscrewλ(0, Sequence(1,5))¶" &amp; "Result:        →00, 01, 03, 06, 10¶" &amp; "→01, 02, 03, 04, 05¶" &amp; "→01, 03, 06, 10, 15", "→", "¶")), _xlpm.Help?, OR(_xlfn.ISOMITTED(_xlpm.Opening), _xlfn.ISOMITTED(_xlpm.Flow1)), _xlpm.Cols, COLUMNS(_xlpm.Flow1), _xlpm.Rows, IF(_xlfn.ISOMITTED(_xlpm.Flow2), 1, IF(_xlfn.ISOMITTED(_xlpm.Flow3), 2, IF(_xlfn.ISOMITTED(_xlpm.Flow4), 3, 4))), _xlpm.PeriodArray, _xlfn.SWITCH(_xlpm.Rows, 1, _xlpm.Flow1, 2, _xlfn.VSTACK(_xlpm.Flow1, _xlpm.Flow2), 3, _xlfn.VSTACK(_xlpm.Flow1, _xlpm.Flow2, _xlpm.Flow3), 4, _xlfn.VSTACK(_xlpm.Flow1, _xlpm.Flow2, _xlpm.Flow3, _xlpm.Flow4)), _xlpm.PeriodTotal, _xlfn.BYCOL(_xlpm.PeriodArray, _xlfn.LAMBDA(_xlpm.Col, SUM(_xlpm.Col))), _xlpm.ClosingTotal, _xlfn.SCAN(_xlpm.Opening, _xlpm.PeriodTotal, _xlfn.LAMBDA(_xlpm.Opn,_xlpm.PrdTot, _xlpm.Opn + _xlpm.PrdTot)), _xlpm.OpeningTotal, _xlfn.MAP(_xlfn.SEQUENCE(, _xlpm.Cols), _xlfn.LAMBDA(_xlpm.Col, IF(_xlpm.Col = 1, _xlpm.Opening, INDEX(_xlpm.ClosingTotal, _xlpm.Col - 1)))), _xlpm.Result, _xlfn.VSTACK(_xlpm.OpeningTotal, _xlpm.PeriodArray, _xlpm.ClosingTotal), CHOOSE(_xlpm.Help? + 1, _xlpm.Result, _xlpm.Help)))</definedName>
    <definedName name="oz.CorkscrewλDV" comment="Provides extended data validation of arguments for Corkscrewλ.">_xlfn.LAMBDA(_xlop.Opening,_xlop.Flow1,_xlop.Flow2,_xlop.Flow3,_xlop.Flow4, _xlfn.LET(_xlpm.ErrorsInArgs, _xlfn.VSTACK(OR(ISERROR(_xlpm.Opening)), OR(ISERROR(_xlpm.Flow1)), OR(ISERROR(_xlpm.Flow2)), OR(ISERROR(_xlpm.Flow3)), OR(ISERROR(_xlpm.Flow4))), _xlpm.DVArg1, IF(OR(_xlfn.ISOMITTED(_xlpm.Opening), ISERROR(_xlpm.Opening)), FALSE, NOT(ISNUMBER(_xlpm.Opening))), _xlpm.DVArg2, IF(OR(_xlfn.ISOMITTED(_xlpm.Flow1), ISERROR(_xlpm.Flow1)), FALSE, NOT(AND(ISNUMBER(_xlpm.Flow1)))), _xlpm.DVArg3, IF(OR(_xlfn.ISOMITTED(_xlpm.Flow2), ISERROR(_xlpm.Flow2)), FALSE, NOT(AND(ISNUMBER(_xlpm.Flow2)))), _xlpm.DVArg4, IF(OR(_xlfn.ISOMITTED(_xlpm.Flow3), ISERROR(_xlpm.Flow3)), FALSE, NOT(AND(ISNUMBER(_xlpm.Flow3)))), _xlpm.DVArg5, IF(OR(_xlfn.ISOMITTED(_xlpm.Flow4), ISERROR(_xlpm.Flow4)), FALSE, NOT(AND(ISNUMBER(_xlpm.Flow4)))), _xlpm.DVErrors, _xlfn.VSTACK(_xlpm.DVArg1, _xlpm.DVArg2, _xlpm.DVArg3, _xlpm.DVArg4, _xlpm.DVArg5), _xlpm.AnyErrors?, OR(_xlpm.ErrorsInArgs, _xlpm.DVErrors), _xlpm.Errors2Show, _xlfn.VSTACK(_xlpm.ErrorsInArgs, _xlpm.DVErrors), _xlpm.ErrMsgs, {"Opening contains errors in cells. Resolve errors first.";"Flow1 contains errors in cells. Resolve errors first.";"Flow2 contains errors in cells. Resolve errors first.";"Flow3 contains errors in cells. Resolve errors first.";"Flow4 contains errors in cells. Resolve errors first.";"Set Opening must to contain only numeric values.";"Set Flow1 to contain only numeric values.";"Set Flow2 to contain only numeric values.";"Set Flow3 to contain only numeric values.";"Set Flow4 to contain only numeric values."}, _xlpm.Messages, _xlfn._xlws.FILTER(_xlpm.ErrMsgs, _xlpm.Errors2Show, ""), _xlpm.Return, IF(OR(_xlpm.Errors2Show), 2, IF(_xlpm.AnyErrors?, 3, 1)), CHOOSE(_xlpm.Return, TRUE, _xlpm.Messages, #VALUE!)))</definedName>
    <definedName name="oz.CountAColsUλ" comment="Count everything in each column">_xlfn.LAMBDA(_xlop.Array, _xlfn.LET(_xlpm.Help, TRIM(_xlfn.TEXTSPLIT("FUNCTION:      →CountAColsUλ( Array )¶" &amp; "DESCRIPTION:   →Count everything in each column¶" &amp; "WEBPAGE:       →https://github.com/ryanduguid/Ozzit¶" &amp; "VERSION:       →20 Aug 2026¶" &amp; "PARAMETERS:    →¶" &amp; "Array          →(Required) A two dimensional array/range containing values to be counted.¶" &amp; "EXAMPLES:      →Formula (oz is assumed to be the module's name)¶" &amp; "→=oz.CountAColsUλ( CHOOSE( RANDARRAY( 5, 5, 1, 5),""A"", ""B"", """", 1, 2))", "→", "¶")), _xlpm.Help?, _xlfn.ISOMITTED(_xlpm.Array), _xlpm.Result, _xlfn.BYCOL(_xlpm.Array, _xlfn.LAMBDA(_xlpm.Col, COUNTA(_xlpm.Col))), CHOOSE(_xlpm.Help? + 1, _xlpm.Result, _xlpm.Help)))</definedName>
    <definedName name="oz.CountAColsλ" comment="Count everything in each column">_xlfn.LAMBDA(_xlop.Array, _xlfn.LET(_xlpm.Help, TRIM(_xlfn.TEXTSPLIT("FUNCTION:      →CountAColsλ( Array )¶" &amp; "DESCRIPTION:   →Count everything in each column¶" &amp; "WEBPAGE:       →https://github.com/ryanduguid/Ozzit¶" &amp; "VERSION:       →20 Aug 2026¶" &amp; "PARAMETERS:    →¶" &amp; "Array          →(Required) A two dimensional array/range containing values to be counted.¶" &amp; "EXAMPLES:      →Formula (oz is assumed to be the module's name)¶" &amp; "→=oz.CountAColsλ( CHOOSE( RANDARRAY( 5, 5, 1, 5),""A"", ""B"", """", 1, 2))", "→", "¶")), _xlpm.Help?, _xlfn.ISOMITTED(_xlpm.Array), _xlpm.Result, _xlfn.BYCOL(_xlpm.Array, _xlfn.LAMBDA(_xlpm.Col, COUNTA(_xlpm.Col))), CHOOSE(_xlpm.Help? + 1, _xlpm.Result, _xlpm.Help)))</definedName>
    <definedName name="oz.CountARowsUλ" comment="Count everything in each row">_xlfn.LAMBDA(_xlop.Array, _xlfn.LET(_xlpm.Help, TRIM(_xlfn.TEXTSPLIT("FUNCTION:      →CountARowsUλ( Array)¶" &amp; "DESCRIPTION:   →Count everything in each row¶" &amp; "WEBPAGE:       →https://github.com/ryanduguid/Ozzit¶" &amp; "VERSION:       →20 Aug 2026¶" &amp; "PARAMETERS:    →¶" &amp; "Array          →(Required) A two dimensional array/range containing values to be counted.¶" &amp; "EXAMPLES:      →Formula (oz is assumed to be the module's name)¶" &amp; "→=oz.CountARowsUλ( CHOOSE( RANDARRAY( 5, 5, 1, 5),""A"", ""B"", """", 1, 2))", "→", "¶")), _xlpm.Help?, _xlfn.ISOMITTED(_xlpm.Array), _xlpm.Result, _xlfn.BYROW(_xlpm.Array, _xlfn.LAMBDA(_xlpm.Row, COUNTA(_xlpm.Row))), CHOOSE(_xlpm.Help? + 1, _xlpm.Result, _xlpm.Help)))</definedName>
    <definedName name="oz.CountARowsλ" comment="Count everything in each row">_xlfn.LAMBDA(_xlop.Array, _xlfn.LET(_xlpm.Help, TRIM(_xlfn.TEXTSPLIT("FUNCTION:      →CountARowsλ( Array)¶" &amp; "DESCRIPTION:   →Count everything in each row¶" &amp; "WEBPAGE:       →https://github.com/ryanduguid/Ozzit¶" &amp; "VERSION:       →20 Aug 2026¶" &amp; "PARAMETERS:    →¶" &amp; "Array          →(Required) A two dimensional array/range containing values to be counted.¶" &amp; "EXAMPLES:      →Formula (oz is assumed to be the module's name)¶" &amp; "→=oz.CountARowsλ( CHOOSE( RANDARRAY( 5, 5, 1, 5),""A"", ""B"", """", 1, 2))", "→", "¶")), _xlpm.Help?, _xlfn.ISOMITTED(_xlpm.Array), _xlpm.Result, _xlfn.BYROW(_xlpm.Array, _xlfn.LAMBDA(_xlpm.Row, COUNTA(_xlpm.Row))), CHOOSE(_xlpm.Help? + 1, _xlpm.Result, _xlpm.Help)))</definedName>
    <definedName name="oz.CountColsUλ" comment="Count numbers in each column">_xlfn.LAMBDA(_xlop.Array, _xlfn.LET(_xlpm.Help, TRIM(_xlfn.TEXTSPLIT("FUNCTION:      →CountColsUλ( Array)¶" &amp; "DESCRIPTION:   →Count numbers in each column¶" &amp; "WEBPAGE:       →https://github.com/ryanduguid/Ozzit¶" &amp; "VERSION:       →20 Aug 2026¶" &amp; "PARAMETERS:    →¶" &amp; "Array          →(Required) A two dimensional array/range containing numbers to be counted.¶" &amp; "EXAMPLES:      →Formula (oz is assumed to be the module's name)¶" &amp; "→=oz.CountColsUλ( CHOOSE( RANDARRAY( 5, 5, 1, 5),""A"", ""B"", """", 1, 2))", "→", "¶")), _xlpm.Help?, _xlfn.ISOMITTED(_xlpm.Array), _xlpm.Result, _xlfn.BYCOL(_xlpm.Array, _xlfn.LAMBDA(_xlpm.Col, COUNT(_xlpm.Col))), CHOOSE(_xlpm.Help? + 1, _xlpm.Result, _xlpm.Help)))</definedName>
    <definedName name="oz.CountColsλ" comment="Count numbers in each column">_xlfn.LAMBDA(_xlop.Array, _xlfn.LET(_xlpm.Help, TRIM(_xlfn.TEXTSPLIT("FUNCTION:      →CountColsλ( Array)¶" &amp; "DESCRIPTION:   →Count numbers in each column¶" &amp; "WEBPAGE:       →https://github.com/ryanduguid/Ozzit¶" &amp; "VERSION:       →20 Aug 2026¶" &amp; "PARAMETERS:    →¶" &amp; "Array          →(Required) A two dimensional array/range containing numbers to be counted.¶" &amp; "EXAMPLES:      →Formula (oz is assumed to be the module's name)¶" &amp; "→=oz.CountColsλ( CHOOSE( RANDARRAY( 5, 5, 1, 5),""A"", ""B"", """", 1, 2))", "→", "¶")), _xlpm.Help?, _xlfn.ISOMITTED(_xlpm.Array), _xlpm.Result, _xlfn.BYCOL(_xlpm.Array, _xlfn.LAMBDA(_xlpm.Col, COUNT(_xlpm.Col))), CHOOSE(_xlpm.Help? + 1, _xlpm.Result, _xlpm.Help)))</definedName>
    <definedName name="oz.CountCUλ" comment="Count occurrences of character(s) in a string">_xlfn.LAMBDA(_xlop.Text,_xlop.Characters, _xlfn.LET(_xlpm.Help, TRIM(_xlfn.TEXTSPLIT( "FUNCTION:      →CountCUλ( Text, Characters)¶" &amp; "DESCRIPTION:   →Count how many of one or more characters are in a string.¶" &amp; "WEBPAGE:       →https://github.com/ryanduguid/Ozzit¶" &amp; "VERSION:       →20 Aug 2026¶" &amp; "PARAMETERS:    →¶" &amp; "Text           →(Required) The string to interrogate. Empty text returns 0¶" &amp; "Characters     →(Required) A single character, or CSV of characters to find in Text¶" &amp; "→NOTE! Case sensitive. A single character is taken as itself, so a comma works¶" &amp; "EXAMPLES:      →Formula (oz is assumed to be the module's name)¶" &amp; "→=oz.CountCUλ( ""Mary had a little lamb"", ""a,b"")", "→", "¶" ) ), _xlpm.Help?, OR( _xlfn.ISOMITTED( _xlpm.Text), _xlfn.ISOMITTED( _xlpm.Characters) ), _xlpm.Characters, IF( LEN( _xlpm.Characters) = 1, _xlpm.Characters, _xlfn.TEXTSPLIT( _xlpm.Characters, "," )), _xlpm.Result, IF( LEN( _xlpm.Text) = 0, 0, LEN( _xlpm.Text) - SUM( LEN( _xlfn.TEXTSPLIT( _xlpm.Text, _xlpm.Characters)))), CHOOSE(_xlpm.Help? + 1, _xlpm.Result, _xlpm.Help) ) )</definedName>
    <definedName name="oz.CountCλ" comment="Count occurrences of character(s) in a string">_xlfn.LAMBDA(_xlop.Text,_xlop.Characters, _xlfn.LET(_xlpm.Help, TRIM(_xlfn.TEXTSPLIT( "FUNCTION:      →CountCλ( Text, Characters)¶" &amp; "DESCRIPTION:   →Count how many of one or more characters are in a string.¶" &amp; "WEBPAGE:       →https://github.com/ryanduguid/Ozzit¶" &amp; "VERSION:       →20 Aug 2026¶" &amp; "PARAMETERS:    →¶" &amp; "Text           →(Required) The string to interrogate. Empty text returns 0¶" &amp; "Characters     →(Required) A single character, or CSV of characters to find in Text¶" &amp; "→NOTE! Case sensitive. A single character is taken as itself, so a comma works¶" &amp; "EXAMPLES:      →Formula (oz is assumed to be the module's name)¶" &amp; "→=oz.CountCλ( ""Mary had a little lamb"", ""a,b"")", "→", "¶" ) ), _xlpm.Help?, OR( _xlfn.ISOMITTED( _xlpm.Text), _xlfn.ISOMITTED( _xlpm.Characters) ), _xlpm.Characters, IF( LEN( _xlpm.Characters) = 1, _xlpm.Characters, _xlfn.TEXTSPLIT( _xlpm.Characters, "," )), _xlpm.Result, IF( LEN( _xlpm.Text) = 0, 0, LEN( _xlpm.Text) - SUM( LEN( _xlfn.TEXTSPLIT( _xlpm.Text, _xlpm.Characters)))), CHOOSE(_xlpm.Help? + 1, _xlpm.Result, _xlpm.Help) ) )</definedName>
    <definedName name="oz.CountDOWλ" comment="Count instances of a specific day of the week between two dates.">_xlfn.LAMBDA(_xlop.Starts,_xlop.Ends,_xlop.DayOfWeek, _xlfn.LET(_xlpm.Help, TRIM(_xlfn.TEXTSPLIT("FUNCTION:      →CountDOWλ(Starts, Ends, DayOfWeek)¶" &amp; "DESCRIPTION:   →Count instances of a specific day of the week between two dates.¶" &amp; "WEBSITE:       →https://github.com/ryanduguid/Ozzit¶" &amp; "PARAMETERS:    →¶" &amp; "Starts         →(Required) One of more start dates (text or numeric) in a row or column¶" &amp; "Ends           →(Required) End dates (text or numeric) for each start date¶" &amp; "DayOfWeek      →(Required) 1=Sunday, 7=Saturday.¶" &amp; "EXAMPLES:      →¶" &amp; "Result         →Formula (oz is assumed to be the module's name)¶" &amp; "3              →=oz.CountDOWλ(""23/7/2026"", ""11/8/2026"",  1)", "→", "¶")), _xlpm.Help?, OR(_xlfn.ISOMITTED(_xlpm.Starts), _xlfn.ISOMITTED(_xlpm.Ends), _xlfn.ISOMITTED(_xlpm.DayOfWeek)), _xlpm.CvtStarts, IF(_xlfn.ISOMITTED(_xlpm.Starts), FALSE, IF(ISNUMBER(_xlpm.Starts), _xlpm.Starts, DATEVALUE(_xlpm.Starts))), _xlpm.CvtEnds, IF(_xlfn.ISOMITTED(_xlpm.Ends), FALSE, IF(ISNUMBER(_xlpm.Ends), _xlpm.Ends, DATEVALUE(_xlpm.Ends))), _xlpm.Result, INT(((_xlpm.CvtEnds - _xlpm.CvtStarts) + WEEKDAY(_xlpm.CvtStarts - _xlpm.DayOfWeek)) / 7), CHOOSE(_xlpm.Help? + 1, _xlpm.Result, _xlpm.Help)))</definedName>
    <definedName name="oz.CountRowsUλ" comment="Count numbers in each row">_xlfn.LAMBDA(_xlop.Array, _xlfn.LET(_xlpm.Help, TRIM(_xlfn.TEXTSPLIT("FUNCTION:      →CountRowsUλ( Array)¶" &amp; "DESCRIPTION:   →Count numbers in each row¶" &amp; "WEBPAGE:       →https://github.com/ryanduguid/Ozzit¶" &amp; "VERSION:       →20 Aug 2026¶" &amp; "PARAMETERS:    →¶" &amp; "Array          →(Required) A two dimensional array/range containing numbers to be counted.¶" &amp; "EXAMPLES:      →Formula (oz is assumed to be the module's name)¶" &amp; "→=oz.CountRowsUλ( CHOOSE( RANDARRAY( 5, 5, 1, 5),""A"", ""B"", """", 1, 2))", "→", "¶")), _xlpm.Help?, _xlfn.ISOMITTED(_xlpm.Array), _xlpm.Result, _xlfn.BYROW(_xlpm.Array, _xlfn.LAMBDA(_xlpm.Row, COUNT(_xlpm.Row))), CHOOSE(_xlpm.Help? + 1, _xlpm.Result, _xlpm.Help)))</definedName>
    <definedName name="oz.CountRowsλ" comment="Count numbers in each row">_xlfn.LAMBDA(_xlop.Array, _xlfn.LET(_xlpm.Help, TRIM(_xlfn.TEXTSPLIT("FUNCTION:      →CountRowsλ( Array)¶" &amp; "DESCRIPTION:   →Count numbers in each row¶" &amp; "WEBPAGE:       →https://github.com/ryanduguid/Ozzit¶" &amp; "VERSION:       →20 Aug 2026¶" &amp; "PARAMETERS:    →¶" &amp; "Array          →(Required) A two dimensional array/range containing numbers to be counted.¶" &amp; "EXAMPLES:      →Formula (oz is assumed to be the module's name)¶" &amp; "→=oz.CountRowsλ( CHOOSE( RANDARRAY( 5, 5, 1, 5),""A"", ""B"", """", 1, 2))", "→", "¶")), _xlpm.Help?, _xlfn.ISOMITTED(_xlpm.Array), _xlpm.Result, _xlfn.BYROW(_xlpm.Array, _xlfn.LAMBDA(_xlpm.Row, COUNT(_xlpm.Row))), CHOOSE(_xlpm.Help? + 1, _xlpm.Result, _xlpm.Help)))</definedName>
    <definedName name="oz.Cumulativeλ" comment="Creates a row or column of cumulative totals from a total row or column">_xlfn.LAMBDA(_xlop.Totals,_xlop.OpeningBalance, _xlfn.LET(_xlpm.Help, TRIM(_xlfn.TEXTSPLIT("FUNCTION:      →Cumulativeλ( Totals, [OpeningBalance])¶" &amp; "DESCRIPTION:   →Creates a row or column of cumulative totals from a total row or column¶" &amp; "WEBPAGE:       →https://github.com/ryanduguid/Ozzit¶" &amp; "VERSION:       →20 Aug 2026¶" &amp; "PARAMETERS:    →¶" &amp; "Totals         →(Required) A row or column of totals from which to run cumulative totals¶" &amp; "OpeningBalance →(Optional) A starting balance. This defaults to 0¶" &amp; "EXAMPLES:      →¶" &amp; "Result         →Formula (oz is assumed to be the module's name)¶" &amp; "1,3,6          →=oz.Cumulativeλ(Sequence(,3))", "→", "¶")), _xlpm.Help?, _xlfn.ISOMITTED(_xlpm.Totals), _xlpm.Result, _xlfn.SCAN(_xlpm.OpeningBalance, _xlpm.Totals, _xlfn.LAMBDA(_xlpm.PreviousAmount,_xlpm.CurrentAmount, _xlpm.PreviousAmount + _xlpm.CurrentAmount)), CHOOSE(_xlpm.Help? + 1, _xlpm.Result, _xlpm.Help)))</definedName>
    <definedName name="oz.CurrentRatioλ" comment="Measures a company’s ability to pay short-term obligations (Current Assets/Liabilities)">_xlfn.LAMBDA(_xlop.Assets,_xlop.Liabilities, _xlfn.LET(_xlpm.Help, TRIM(_xlfn.TEXTSPLIT( "FUNCTION:      →CurrentRatioλ( Assets, Liabilities)¶" &amp; "DESCRIPTION:   →Measures a company’s ability to pay short-term obligations  ¶" &amp; "→(Current Assets/Liabilities)¶" &amp; "WEBPAGE:       →https://www.investopedia.com/terms/c/currentratio.asp ¶" &amp; "VERSION:       →20 Aug 2026¶" &amp; "PARAMETERS:→¶" &amp; "Assets         →(Required) Current Assets. Includes: ¶" &amp; "→Cash ¶" &amp; "→Accounts receivable ¶" &amp; "→Inventory ¶" &amp; "→Vendor non-trade receivables ¶" &amp; "→Assets expected to be liquidated in the current year ¶" &amp; "→Marketable securities ¶" &amp; "→PPE only when it meets current-asset classification criteria ¶" &amp; "Liabilities     →(Required) Current Liabilities. Includes: ¶" &amp; "→Accounts payable ¶" &amp; "→Wages ¶" &amp; "→Taxes payable ¶" &amp; "→Short-term debts ¶" &amp; "→Current portion of long-term debt ¶" &amp; "EXAMPLES:      →Formula (oz is assumed to be the module's name)¶" &amp; "1.075          →=oz.CurrentRatioλ( 134.836, 125.481)", "→", "¶" ) ), _xlpm.Help?, OR( _xlfn.ISOMITTED( _xlpm.Assets), _xlfn.ISOMITTED( _xlpm.Liabilities ) ), _xlpm.Result, _xlpm.Assets/_xlpm.Liabilities, CHOOSE(_xlpm.Help? + 1, _xlpm.Result, _xlpm.Help) ) )</definedName>
    <definedName name="oz.DateDifλ" comment="Whole years, months or days between two dates, and the remainders DATEDIF gets wrong">_xlfn.LAMBDA(_xlop.StartDate,_xlop.EndDate,_xlop.Unit, _xlfn.LET( _xlpm.Help, TRIM(_xlfn.TEXTSPLIT( "FUNCTION:      →DateDifλ(StartDate, EndDate, [Unit])¶" &amp; "DESCRIPTION:   →Whole years, months or days between two dates, and the remainders.¶NOTES!         →Excel documents DATEDIF as a legacy compatibility function and warns¶               →its MD unit can return a negative or wrong day count. This counts a¶               →month as complete when EDATE() of the start date has arrived, so a¶               →month after 31 January is the last day of February, and takes every¶               →remainder from there. A reversed range or an unknown unit returns #NUM!.¶" &amp; "WEBPAGE:       →https://github.com/ryanduguid/Ozzit¶" &amp; "VERSION:       →6 Sep 2026¶" &amp; "PARAMETERS:    →¶" &amp; "StartDate      →(Required) The earlier date, numeric or text.¶" &amp; "EndDate        →(Required) The later date, numeric or text.¶" &amp; "Unit           →(Optional: Default = D) Y whole years, M whole months, D days, YM months left after the whole years, YD days left after the whole years, MD days left after the whole months.¶" &amp; "EXAMPLES:      →¶" &amp; "→Formula (oz is assumed to be the module's name)¶" &amp; "→=oz.DateDifλ(DATE(2026,1,31), DATE(2026,3,1), ""MD"")¶" &amp; "→Result¶" &amp; "→1", "→", "¶" )), _xlpm.Help?, OR(_xlfn.ISOMITTED(_xlpm.StartDate), _xlfn.ISOMITTED(_xlpm.EndDate)), _xlpm.Start, IF(ISNUMBER(_xlpm.StartDate), _xlpm.StartDate, DATEVALUE(_xlpm.StartDate)), _xlpm.Finish, IF(ISNUMBER(_xlpm.EndDate), _xlpm.EndDate, DATEVALUE(_xlpm.EndDate)), _xlpm.Code, IF(_xlfn.ISOMITTED(_xlpm.Unit), "D", IF(_xlpm.Unit = "", "D", UPPER(_xlpm.Unit))), _xlpm.RawMonths, 12 * (YEAR(_xlpm.Finish) - YEAR(_xlpm.Start)) + MONTH(_xlpm.Finish) - MONTH(_xlpm.Start), _xlpm.Months, _xlpm.RawMonths - (EDATE(_xlpm.Start, _xlpm.RawMonths) &gt; _xlpm.Finish), _xlpm.Years, INT(_xlpm.Months / 12), _xlpm.Result, IF(_xlpm.Finish &lt; _xlpm.Start, #NUM!, _xlfn.SWITCH(_xlpm.Code, "Y", _xlpm.Years, "M", _xlpm.Months, "D", _xlpm.Finish - _xlpm.Start, "YM", _xlpm.Months - 12 * _xlpm.Years, "YD", _xlpm.Finish - EDATE(_xlpm.Start, 12 * _xlpm.Years), "MD", _xlpm.Finish - EDATE(_xlpm.Start, _xlpm.Months), #NUM!)), CHOOSE( _xlpm.Help? + 1, _xlpm.Result, _xlpm.Help) ) )</definedName>
    <definedName name="oz.DayCountRateλ" comment="Interest rate for each period of a timeline under a day count convention: 30/360, Actual/360, Actual/365 or Actual/Actual">_xlfn.LAMBDA(_xlop.Timeline,_xlop.APR,_xlop.Convention,_xlop.EndDates, _xlfn.LET( _xlpm.Help, TRIM(_xlfn.TEXTSPLIT( "FUNCTION:      →DayCountRateλ(Timeline, APR, [Convention], [EndDates])¶" &amp; "DESCRIPTION:   →Interest rate for each period of a timeline under a day count convention.¶NOTES!         →Returns a row with one rate per timeline period, whichever way the¶               →timeline runs: APR multiplied by the days in the period and divided by¶               →the days in the year, as the convention counts them. Pass the result to¶               →DebtSculptVariableλ() or DebtSculptVariableLRVλ() as PeriodRates in place¶               →of a flat twelfth of the APR. With start dates each period runs from its¶               →date to the day before the next, and the last period takes its length¶               →from the one before it; with end dates each runs from the day after the¶               →previous date to its own, and the first period is the one inferred. A¶               →gap of 28 days or more is read as whole calendar months, a shorter one¶               →as days. 30/360 counts every month as 30 days on the European rule.¶               →Under Actual/Actual each calendar year uses its own length as the¶               →denominator (the ISDA rule), including periods spanning several years.¶" &amp; "WEBPAGE:       →https://github.com/ryanduguid/Ozzit¶" &amp; "VERSION:       →10 Sep 2026¶" &amp; "PARAMETERS:    →¶" &amp; "Timeline       →(Required) A row or column of period dates, at least two, evenly spaced.¶" &amp; "APR            →(Required) Annual percentage rate, one value or one per period.¶" &amp; "Convention     →(Optional: Default = 3) 1 = 30/360, 2 = Actual/360, 3 = Actual/365, 4 = Actual/Actual. Any other number is #VALUE!.¶" &amp; "EndDates       →(Optional: Default = FALSE) TRUE, or a number other than 0, when the timeline shows period end dates rather than start dates.¶" &amp; "EXAMPLES:      →¶" &amp; "→Formula (oz is assumed to be the module's name)¶" &amp; "→=oz.DayCountRateλ(EDATE(DATE(2026,7,1), {0,1,2}), 0.073)¶" &amp; "→Result¶" &amp; "→0.0062, 0.0062, 0.0060", "→", "¶" )), _xlpm.Help?, OR(_xlfn.ISOMITTED(_xlpm.Timeline), _xlfn.ISOMITTED(_xlpm.APR)), _xlpm.Method, IF(OR(_xlfn.ISOMITTED(_xlpm.Convention), NOT(ISNUMBER(_xlpm.Convention))), 3, _xlpm.Convention), _xlpm.EndFlag, IF(ISLOGICAL(_xlpm.EndDates), _xlpm.EndDates, IF(ISNUMBER(_xlpm.EndDates), _xlpm.EndDates &lt;&gt; 0, FALSE)), _xlpm.Row, IF(ROWS(_xlpm.Timeline) = 1, _xlpm.Timeline, TRANSPOSE(_xlpm.Timeline)), _xlpm.Dates, IF(ISNUMBER(_xlpm.Row), _xlpm.Row, DATEVALUE(_xlpm.Row)), _xlpm.Rate, IF(ROWS(_xlpm.APR) = 1, _xlpm.APR, TRANSPOSE(_xlpm.APR)), _xlpm.Count, COLUMNS(_xlpm.Dates), _xlpm.FirstGap, INDEX(_xlpm.Dates, 1, 2) - INDEX(_xlpm.Dates, 1, 1), _xlpm.LastGap, INDEX(_xlpm.Dates, 1, _xlpm.Count) - INDEX(_xlpm.Dates, 1, _xlpm.Count - 1), _xlpm.FirstDate, INDEX(_xlpm.Dates, 1, 1), _xlpm.FirstMonths, ROUND(_xlpm.FirstGap / 30.5, 0), _xlpm.FirstStart, IF(_xlpm.FirstGap &lt; 28, _xlpm.FirstDate - _xlpm.FirstGap, IF(DAY(_xlpm.FirstDate + 1) = 1, EOMONTH(_xlpm.FirstDate, -_xlpm.FirstMonths), EDATE(_xlpm.FirstDate, -_xlpm.FirstMonths))) + 1, _xlpm.LastDate, INDEX(_xlpm.Dates, 1, _xlpm.Count), _xlpm.LastMonths, ROUND(_xlpm.LastGap / 30.5, 0), _xlpm.LastEnd, IF(_xlpm.LastGap &lt; 28, _xlpm.LastDate + _xlpm.LastGap, IF(DAY(_xlpm.LastDate + 1) = 1, EOMONTH(_xlpm.LastDate, _xlpm.LastMonths), EDATE(_xlpm.LastDate, _xlpm.LastMonths))) - 1, _xlpm.Starts, IF(_xlpm.EndFlag, _xlfn.HSTACK(_xlpm.FirstStart, _xlfn.DROP(_xlpm.Dates, , -1) + 1), _xlpm.Dates), _xlpm.Ends, IF(_xlpm.EndFlag, _xlpm.Dates, _xlfn.HSTACK(_xlfn.DROP(_xlpm.Dates, , 1) - 1, _xlpm.LastEnd)), _xlpm.Next, _xlpm.Ends + 1, _xlpm.Days, IF(_xlpm.Method = 1, 360 * (YEAR(_xlpm.Next) - YEAR(_xlpm.Starts)) + 30 * (MONTH(_xlpm.Next) - MONTH(_xlpm.Starts)) + IF(DAY(_xlpm.Next) &gt; 30, 30, DAY(_xlpm.Next)) - IF(DAY(_xlpm.Starts) &gt; 30, 30, DAY(_xlpm.Starts)), _xlpm.Next - _xlpm.Starts), _xlpm.YearOne, YEAR(_xlpm.Starts), _xlpm.Boundary, DATE(_xlpm.YearOne + 1, 1, 1), _xlpm.Split, IF(_xlpm.Next &lt; _xlpm.Boundary, _xlpm.Next, _xlpm.Boundary), _xlpm.DaysOne, IF(DAY(DATE(_xlpm.YearOne, 2, 29)) = 29, 366, 365), _xlpm.YearLast, YEAR(_xlpm.Next), _xlpm.LastYearStart, DATE(_xlpm.YearLast, 1, 1), _xlpm.DaysLast, DATE(_xlpm.YearLast + 1, 1, 1) - _xlpm.LastYearStart, _xlpm.Fraction, _xlfn.SWITCH(_xlpm.Method, 1, _xlpm.Days / 360, 2, _xlpm.Days / 360, 4, (_xlpm.Split - _xlpm.Starts) / _xlpm.DaysOne + IF(_xlpm.YearLast &gt; _xlpm.YearOne, _xlpm.YearLast - _xlpm.YearOne - 1 + (_xlpm.Next - _xlpm.LastYearStart) / _xlpm.DaysLast, 0), _xlpm.Days / 365), _xlpm.Rates, _xlpm.Rate * _xlpm.Fraction, _xlpm.Result, IF(OR(_xlpm.Count &lt; 2, NOT(OR(_xlpm.Method = {1,2,3,4}))), #VALUE!, _xlpm.Rates), CHOOSE( _xlpm.Help? + 1, _xlpm.Result, _xlpm.Help) ) )</definedName>
    <definedName name="oz.DBλ" comment="Fixed declining balance depreciation method for one asset or asset class.">_xlfn.LAMBDA(_xlop.Cost,_xlop.Salvage,_xlop.Life,_xlop.Months, _xlfn.LET( _xlpm.Help, TRIM(_xlfn.TEXTSPLIT( "FUNCTION:      →DBλ(Cost, Salvage, Life, [Months])¶" &amp; "DESCRIPTION:   →Fixed declining balance depreciation method for one asset or asset class¶" &amp; "WEBPAGE:       →https://github.com/ryanduguid/Ozzit¶" &amp; "VERSION:       →20 Aug 2026¶" &amp; "NOTES:         →For a positive whole-number Life, returns Life schedule values.¶" &amp; "               →The first Life-1 values use Excel's DB calculation.¶" &amp; "               →The final value makes total depreciation equal Cost minus Salvage.¶" &amp; "               →Months applies to the first of those earlier values; no extra final period is added.¶" &amp; "               →A one-year life returns Cost minus Salvage, regardless of Months.¶" &amp; "PARAMETERS:    →¶" &amp; "Cost           →(Required) Asset's initial cost.¶" &amp; "Salvage        →(Required) Asset's value at the end of its life. May be 0.¶" &amp; "Life           →(Required) Asset's useful life in years.¶" &amp; "Months         →(Optional) Number of months in the first year to depreciate.¶" &amp; "EXAMPLES:      →¶" &amp; "→Formula (oz is assumed to be the module's name)¶" &amp; "→=oz.DBλ(1000, 100, 5)¶" &amp; "→Result¶" &amp; "→369.00,232.84,146.92,92.71,58.53", "→", "¶" ) ), _xlpm.Help?, OR( _xlfn.ISOMITTED( _xlpm.Cost), _xlfn.ISOMITTED( _xlpm.Salvage), _xlfn.ISOMITTED( _xlpm.Life) ), _xlpm.Months, IF( _xlfn.ISOMITTED( _xlpm.Months), 12, _xlpm.Months), _xlpm.Depn, DB( _xlpm.Cost, _xlpm.Salvage, _xlpm.Life, _xlfn.SEQUENCE( , MAX( _xlpm.Life - 1, 1)), _xlpm.Months), _xlpm.Result, IF( _xlpm.Life &lt; 2, _xlpm.Cost - _xlpm.Salvage, _xlfn.HSTACK( _xlpm.Depn, _xlpm.Cost - SUM( _xlpm.Depn) - _xlpm.Salvage)), CHOOSE( _xlpm.Help? + 1, _xlpm.Result, _xlpm.Help) ) )</definedName>
    <definedName name="oz.DDBλ" comment="Double-declining balance depreciation method for one asset or asset class.">_xlfn.LAMBDA(_xlop.Cost,_xlop.Salvage,_xlop.Life,_xlop.Factor, _xlfn.LET( _xlpm.Help, TRIM(_xlfn.TEXTSPLIT( "FUNCTION:      →DDBλ(Cost, Salvage, Life, [Factor])¶" &amp; "DESCRIPTION:   →Double-declining balance depreciation method for one asset or asset class.¶" &amp; "WEBPAGE:       →https://github.com/ryanduguid/Ozzit¶" &amp; "VERSION:       →20 Aug 2026¶" &amp; "NOTES:         →For a positive whole-number Life, returns Life schedule values.¶" &amp; "               →The first Life-1 values use Excel's DDB calculation.¶" &amp; "               →The final value makes total depreciation equal Cost minus Salvage.¶" &amp; "               →A one-year life returns Cost minus Salvage, regardless of Factor.¶" &amp; "PARAMETERS:    →¶" &amp; "Cost           →(Required) Asset's initial cost.¶" &amp; "Salvage        →(Required) Asset's value at the end of its life. May be 0.¶" &amp; "Life           →(Required) Asset's useful life in years.¶" &amp; "Factor         →(Optional Default=2) Rate at which the balance declines.¶" &amp; "EXAMPLES:      →¶" &amp; "→Formula (oz is assumed to be the module's name)¶" &amp; "→=oz.DDBλ(1000, 100, 5)¶" &amp; "→Result¶" &amp; "→400.00,240.00,144.00,86.40,29.60", "→", "¶" ) ), _xlpm.Help?, OR( _xlfn.ISOMITTED( _xlpm.Cost), _xlfn.ISOMITTED( _xlpm.Salvage), _xlfn.ISOMITTED( _xlpm.Life) ), _xlpm.Factor, IF( _xlfn.ISOMITTED( _xlpm.Factor), 2, _xlpm.Factor), _xlpm.Depn, DDB( _xlpm.Cost, _xlpm.Salvage, _xlpm.Life, _xlfn.SEQUENCE( , MAX( _xlpm.Life - 1, 1)), _xlpm.Factor), _xlpm.Result, IF( _xlpm.Life &lt; 2, _xlpm.Cost - _xlpm.Salvage, _xlfn.HSTACK( _xlpm.Depn, _xlpm.Cost - SUM( _xlpm.Depn) - _xlpm.Salvage)), CHOOSE( _xlpm.Help? + 1, _xlpm.Result, _xlpm.Help) ) )</definedName>
    <definedName name="oz.DebtRatioλ" comment="Measures the extent of a company’s gearing">_xlfn.LAMBDA(_xlop.TotalDebt,_xlop.TotalAssets, _xlfn.LET(_xlpm.Help, TRIM(_xlfn.TEXTSPLIT( "FUNCTION:      →DebtRatioλ( TotalDebt, TotalAssets)¶" &amp; "DESCRIPTION:   →Measures the extent of a company’s leverage (TotalDebt/TotalAssets)¶" &amp; "WEBPAGE:       →https://www.investopedia.com/terms/d/debtratio.asp# ¶" &amp; "VERSION:       →20 Aug 2026¶" &amp; "PARAMETERS:→¶" &amp; "TotalDebt      →(Required) Total Debt ¶" &amp; "TotalAssets    →(Required) Total Assets ¶" &amp; "SEE ALSO:      →DebtToAssetRatioλ computes the same ratio under its longer name.¶" &amp; "EXAMPLES:      →Formula (oz is assumed to be the module's name)¶" &amp; ".3             →=oz.DebtRatioλ(30.0, 100.0)", "→", "¶" ) ), _xlpm.Help?, OR( _xlfn.ISOMITTED( _xlpm.TotalDebt), _xlfn.ISOMITTED( _xlpm.TotalAssets) ), _xlpm.Result, _xlpm.TotalDebt/_xlpm.TotalAssets, CHOOSE(_xlpm.Help? + 1, _xlpm.Result, _xlpm.Help) ) )</definedName>
    <definedName name="oz.DebtSculptFixedλ" comment="Creates a debt sculpting schedule where APR and DSCR are fixed for all periods">_xlfn.LAMBDA(_xlop.OpeningBalance,_xlop.Debt,_xlop.CFADS,_xlop.DSCR,_xlop.APR,_xlop.MonthsPerPeriod, _xlfn.LET(_xlpm.Help, TRIM(_xlfn.TEXTSPLIT( "FUNCTION:          →DebtSculptFixedλ([OpeningBalance], Debt, CFADS, DSCR, APR, [MonthsPerPeriod])¶" &amp; "DESCRIPTION:       →Creates a Debt Sculpting schedule where APR and DSCR are fixed for all periods¶" &amp; "SUGGESTED ROW IDS: →Debt opening balance¶" &amp; "                   →Interest on Principal Balance¶" &amp; "                   →Debt service (interest and principal)¶" &amp; "                   →Debt closing balance¶" &amp; "WEBPAGE:           →https://github.com/ryanduguid/Ozzit¶" &amp; "VERSION:           →10 Sep 2026¶" &amp; "PARAMETERS:        →¶" &amp; "OpeningBalance     →(Optional) Model's debt on opening. Defaults to 0¶" &amp; "Debt               →(Required) One row of new debt, at least two periods. Every period input must have this same width¶" &amp; "CFADS              →(Required) A row of Cash Flow Available for Debt Service in each period¶" &amp; "DSCR               →(Required) Debt Service Coverage Ratio, one number for all periods¶" &amp; "APR                →(Required) Interest's Annual Percentage Rate, one number for all periods¶" &amp; "MonthsPerPeriod    →(Optional) Defaults to one month per period.¶" &amp; "EXAMPLES:          →¶" &amp; "Result             →Formula (oz is assumed to be the module's name)¶" &amp; "4 rows, 3 cols     →=oz.DebtSculptFixedλ(, {1000,0,0}, {300,300,300}, 1.2, 6%, 12)", "→", "¶" ) ), _xlpm.Help?, OR( _xlfn.ISOMITTED( _xlpm.Debt), _xlfn.ISOMITTED( _xlpm.CFADS), _xlfn.ISOMITTED( _xlpm.DSCR), _xlfn.ISOMITTED( _xlpm.APR) ), _xlpm.ErrMsgs, {"Debt must be one row of new debt with at least two periods";"CFADS must be one row with the same number of periods as Debt";"DSCR must be a single positive number holding debt service coverage ratio for all periods";"APR must be a single number holding interest's annual percentage rate for all periods"}, _xlpm.Errors, _xlfn.VSTACK( OR( ROWS( _xlpm.Debt) &lt;&gt; 1, COLUMNS( _xlpm.Debt) &lt;= 1), OR( ROWS( _xlpm.CFADS) &lt;&gt; 1, COLUMNS( _xlpm.CFADS) &lt;&gt; COLUMNS( _xlpm.Debt)), NOT( AND( ISNUMBER( _xlpm.DSCR), ROWS( _xlpm.DSCR) = 1, COLUMNS( _xlpm.DSCR) = 1, _xlpm.DSCR &gt; 0)), NOT( AND( ISNUMBER( _xlpm.APR), ROWS( _xlpm.APR) = 1, COLUMNS( _xlpm.APR) = 1)) ), _xlpm.Messages, _xlfn._xlws.FILTER( _xlpm.ErrMsgs, _xlpm.Errors, ""), _xlpm.OpeningBalance, IF( ISNUMBER( _xlpm.OpeningBalance), _xlpm.OpeningBalance, 0), _xlpm.MonthsPerPeriod, IF( ISNUMBER( _xlpm.MonthsPerPeriod), _xlpm.MonthsPerPeriod, 1), _xlpm.Rate, _xlpm.APR / 12 * _xlpm.MonthsPerPeriod, _xlpm.Periods, _xlfn.SEQUENCE( 1, COLUMNS( _xlpm.Debt)), _xlpm.NewDebt, INDEX( _xlpm.Debt, 1, _xlpm.Periods), _xlpm.Cash, INDEX( _xlpm.CFADS, 1, _xlpm.Periods), _xlpm.Closings, _xlfn.SCAN( _xlpm.OpeningBalance, _xlpm.Periods, _xlfn.LAMBDA(_xlpm.Carried,_xlpm.Period, _xlfn.LET(_xlpm.Opening, _xlpm.Carried + INDEX( _xlpm.NewDebt, 1, _xlpm.Period), _xlpm.Interest, _xlpm.Opening * _xlpm.Rate, _xlpm.Payment, MAX( 0, MIN( INDEX( _xlpm.Cash, 1, _xlpm.Period) / _xlpm.DSCR, _xlpm.Opening + _xlpm.Interest)), _xlpm.Opening + _xlpm.Interest - _xlpm.Payment ) ) ), _xlpm.Carried, IF( COLUMNS( _xlpm.Debt) = 1, _xlpm.OpeningBalance, _xlfn.HSTACK( _xlpm.OpeningBalance, _xlfn.DROP( _xlpm.Closings, , -1))), _xlpm.Opening, _xlpm.Carried + _xlpm.NewDebt, _xlpm.Interest, _xlpm.Opening * _xlpm.Rate, _xlpm.Service, IF( _xlpm.Cash / _xlpm.DSCR &lt; 0, 0, _xlpm.Cash / _xlpm.DSCR), _xlpm.Payment, IF( _xlpm.Opening + _xlpm.Interest &lt; 0, 0, IF( _xlpm.Service &lt; _xlpm.Opening + _xlpm.Interest, _xlpm.Service, _xlpm.Opening + _xlpm.Interest)), _xlpm.Closing, _xlpm.Opening + _xlpm.Interest - _xlpm.Payment, _xlpm.Result, _xlfn.VSTACK( _xlpm.Opening, _xlpm.Interest, -_xlpm.Payment, _xlpm.Closing), _xlpm.Return, IF( _xlpm.Help?, 2, IF( OR( _xlpm.Errors), 3, 1)), CHOOSE( _xlpm.Return, _xlpm.Result, _xlpm.Help, _xlpm.Messages) ) )</definedName>
    <definedName name="oz.DebtSculptVariableLRVλ" comment="Creates a debt sculpting schedule where APR and DSCR are set for each period, with interest charged on the average balance">_xlfn.LAMBDA(_xlop.OpeningBalance,_xlop.Debt,_xlop.CFADS,_xlop.DSCR,_xlop.APR,_xlop.MonthsPerPeriod,_xlop.PeriodRates, _xlfn.LET(_xlpm.Help, TRIM(_xlfn.TEXTSPLIT( "FUNCTION:          →DebtSculptVariableLRVλ([OpeningBalance], Debt, CFADS, DSCR, APR, [MonthsPerPeriod], [PeriodRates])¶" &amp; "DESCRIPTION:       →Creates a Debt Sculpting schedule where APR and DSCR are set for each period.¶" &amp; "                   →Interest is charged on the average balance over the period, the method¶" &amp; "                   →presented by Lance Rubin, and the principal repaid is what the cash¶" &amp; "                   →available for debt service leaves after that interest.¶" &amp; "SUGGESTED ROW IDS: →Debt opening balance¶" &amp; "                   →Interest on Principal Balance¶" &amp; "                   →Principal repayments¶" &amp; "                   →Debt closing balance¶" &amp; "WEBPAGE:           →https://github.com/ryanduguid/Ozzit¶" &amp; "VERSION:           →10 Sep 2026¶" &amp; "PARAMETERS:        →¶" &amp; "OpeningBalance     →(Optional) Model's debt on opening. Defaults to 0¶" &amp; "Debt               →(Required) One row of new debt, at least two periods. Every period input must have this same width¶" &amp; "CFADS              →(Required) A row of numeric Cash Flow Available for Debt Service in each period. Blank cells, text and logical values are rejected. Negative values supply no cash for debt service; existing debt still capitalises unpaid interest¶" &amp; "DSCR               →(Required) A row of Debt Service Coverage Ratios, one per period¶" &amp; "APR                →(Required unless PeriodRates is given) A row of Interest's Annual Percentage Rates, one per period. Each period charges APR / 12 * MonthsPerPeriod¶" &amp; "MonthsPerPeriod    →(Optional) Defaults to one month per period. Ignored when PeriodRates is given¶" &amp; "PeriodRates        →(Optional) A row of interest rates per period, one per period, such as DayCountRateλ() returns for a day count convention. When given, interest uses these rates and APR and MonthsPerPeriod are ignored. A blank cell or range counts as not given¶" &amp; "EXAMPLES:          →¶" &amp; "Result             →Formula (oz is assumed to be the module's name)¶" &amp; "4 rows, 3 cols     →=oz.DebtSculptVariableLRVλ(, {1000,0,0}, {300,300,300}, {1.2,1.2,1.2}, {0.06,0.06,0.06}, 12)", "→", "¶" ) ), _xlpm.UseRates, AND( NOT( _xlfn.ISOMITTED( _xlpm.PeriodRates)), COUNT( _xlpm.PeriodRates) &gt; 0), _xlpm.Help?, OR( _xlfn.ISOMITTED( _xlpm.Debt), _xlfn.ISOMITTED( _xlpm.CFADS), _xlfn.ISOMITTED( _xlpm.DSCR), AND( _xlfn.ISOMITTED( _xlpm.APR), NOT( _xlpm.UseRates)) ), _xlpm.ErrMsgs, {"Debt must be one row of new debt with at least two periods";"CFADS must be one row of numbers with the same number of periods as Debt";"DSCR must be one row of positive numbers with the same number of periods as Debt";"APR or PeriodRates must be one row with the same number of periods as Debt"}, _xlpm.Errors, _xlfn.VSTACK( OR( ROWS( _xlpm.Debt) &lt;&gt; 1, COLUMNS( _xlpm.Debt) &lt;= 1), OR( ROWS( _xlpm.CFADS) &lt;&gt; 1, COLUMNS( _xlpm.CFADS) &lt;&gt; COLUMNS( _xlpm.Debt), NOT( AND( ISNUMBER( _xlpm.CFADS)))), OR( ROWS( _xlpm.DSCR) &lt;&gt; 1, COLUMNS( _xlpm.DSCR) &lt;&gt; COLUMNS( _xlpm.Debt), NOT( AND( ISNUMBER( _xlpm.DSCR))), OR( _xlpm.DSCR &lt;= 0)), IF( _xlpm.UseRates, OR( ROWS( _xlpm.PeriodRates) &lt;&gt; 1, COLUMNS( _xlpm.PeriodRates) &lt;&gt; COLUMNS( _xlpm.Debt)), OR( ROWS( _xlpm.APR) &lt;&gt; 1, COLUMNS( _xlpm.APR) &lt;&gt; COLUMNS( _xlpm.Debt))) ), _xlpm.Messages, _xlfn._xlws.FILTER( _xlpm.ErrMsgs, _xlpm.Errors, ""), _xlpm.OpeningBalance, IF( ISNUMBER( _xlpm.OpeningBalance), _xlpm.OpeningBalance, 0), _xlpm.MonthsPerPeriod, IF( ISNUMBER( _xlpm.MonthsPerPeriod), _xlpm.MonthsPerPeriod, 1), _xlpm.Periods, _xlfn.SEQUENCE( 1, COLUMNS( _xlpm.Debt)), _xlpm.Rates, IF( _xlpm.UseRates, INDEX( _xlpm.PeriodRates, 1, _xlpm.Periods), INDEX( _xlpm.APR, 1, _xlpm.Periods) / 12 * _xlpm.MonthsPerPeriod ), _xlpm.NewDebt, INDEX( _xlpm.Debt, 1, _xlpm.Periods), _xlpm.RawCash, INDEX( _xlpm.CFADS, 1, _xlpm.Periods), _xlpm.Cash, IF( _xlpm.RawCash &lt; 0, 0, _xlpm.RawCash), _xlpm.Cover, INDEX( _xlpm.DSCR, 1, _xlpm.Periods), _xlpm.Closings, _xlfn.SCAN( _xlpm.OpeningBalance, _xlpm.Periods, _xlfn.LAMBDA(_xlpm.Carried,_xlpm.Period, _xlfn.LET(_xlpm.Opening, _xlpm.Carried + INDEX( _xlpm.NewDebt, 1, _xlpm.Period), _xlpm.Interest, oz.InterestLRVλ( INDEX( _xlpm.Cash, 1, _xlpm.Period), INDEX( _xlpm.Cover, 1, _xlpm.Period), _xlpm.Opening, INDEX( _xlpm.Rates, 1, _xlpm.Period)), _xlpm.Payment, MIN( INDEX( _xlpm.Cash, 1, _xlpm.Period) / INDEX( _xlpm.Cover, 1, _xlpm.Period) - _xlpm.Interest, _xlpm.Opening), _xlpm.Opening - _xlpm.Payment ) ) ), _xlpm.Carried, IF( COLUMNS( _xlpm.Debt) = 1, _xlpm.OpeningBalance, _xlfn.HSTACK( _xlpm.OpeningBalance, _xlfn.DROP( _xlpm.Closings, , -1))), _xlpm.Opening, _xlpm.Carried + _xlpm.NewDebt, _xlpm.Interest, _xlfn.MAP( _xlpm.Periods, _xlfn.LAMBDA(_xlpm.Period, oz.InterestLRVλ( INDEX( _xlpm.Cash, 1, _xlpm.Period), INDEX( _xlpm.Cover, 1, _xlpm.Period), INDEX( _xlpm.Opening, 1, _xlpm.Period), INDEX( _xlpm.Rates, 1, _xlpm.Period)) ) ), _xlpm.Available, _xlpm.Cash / _xlpm.Cover - _xlpm.Interest, _xlpm.Payment, IF( _xlpm.Available &lt; _xlpm.Opening, _xlpm.Available, _xlpm.Opening), _xlpm.Closing, _xlpm.Opening - _xlpm.Payment, _xlpm.Result, _xlfn.VSTACK( _xlpm.Opening, _xlpm.Interest, -_xlpm.Payment, _xlpm.Closing), _xlpm.Return, IF( _xlpm.Help?, 2, IF( OR( _xlpm.Errors), 3, 1)), CHOOSE( _xlpm.Return, _xlpm.Result, _xlpm.Help, _xlpm.Messages) ) )</definedName>
    <definedName name="oz.DebtSculptVariableλ" comment="Creates a debt sculpting schedule where APR and DSCR are set for each period">_xlfn.LAMBDA(_xlop.OpeningBalance,_xlop.Debt,_xlop.CFADS,_xlop.DSCR,_xlop.APR,_xlop.MonthsPerPeriod,_xlop.PeriodRates, _xlfn.LET(_xlpm.Help, TRIM(_xlfn.TEXTSPLIT( "FUNCTION:          →DebtSculptVariableλ([OpeningBalance], Debt, CFADS, DSCR, APR, [MonthsPerPeriod], [PeriodRates])¶" &amp; "DESCRIPTION:       →Creates a Debt Sculpting schedule where APR and DSCR are set for each period¶" &amp; "SUGGESTED ROW IDS: →Debt opening balance¶" &amp; "                   →Interest on Principal Balance¶" &amp; "                   →Debt service (interest and principal)¶" &amp; "                   →Debt closing balance¶" &amp; "WEBPAGE:           →https://github.com/ryanduguid/Ozzit¶" &amp; "VERSION:           →10 Sep 2026¶" &amp; "PARAMETERS:        →¶" &amp; "OpeningBalance     →(Optional) Model's debt on opening. Defaults to 0¶" &amp; "Debt               →(Required) One row of new debt, at least two periods. Every period input must have this same width¶" &amp; "CFADS              →(Required) A row of Cash Flow Available for Debt Service in each period¶" &amp; "DSCR               →(Required) A row of Debt Service Coverage Ratios, one per period¶" &amp; "APR                →(Required unless PeriodRates is given) A row of Interest's Annual Percentage Rates, one per period. Each period charges APR / 12 * MonthsPerPeriod¶" &amp; "MonthsPerPeriod    →(Optional) Defaults to one month per period. Ignored when PeriodRates is given¶" &amp; "PeriodRates        →(Optional) A row of interest rates per period, one per period, such as DayCountRateλ() returns for a day count convention. When given, interest uses these rates and APR and MonthsPerPeriod are ignored. A blank cell or range counts as not given¶" &amp; "EXAMPLES:          →¶" &amp; "Result             →Formula (oz is assumed to be the module's name)¶" &amp; "4 rows, 3 cols     →=oz.DebtSculptVariableλ(, {1000,0,0}, {300,300,300}, {1.2,1.2,1.2}, {0.06,0.06,0.06}, 12)", "→", "¶" ) ), _xlpm.UseRates, AND( NOT( _xlfn.ISOMITTED( _xlpm.PeriodRates)), COUNT( _xlpm.PeriodRates) &gt; 0), _xlpm.Help?, OR( _xlfn.ISOMITTED( _xlpm.Debt), _xlfn.ISOMITTED( _xlpm.CFADS), _xlfn.ISOMITTED( _xlpm.DSCR), AND( _xlfn.ISOMITTED( _xlpm.APR), NOT( _xlpm.UseRates)) ), _xlpm.ErrMsgs, {"Debt must be one row of new debt with at least two periods";"CFADS must be one row with the same number of periods as Debt";"DSCR must be one row of positive numbers with the same number of periods as Debt";"APR or PeriodRates must be one row with the same number of periods as Debt"}, _xlpm.Errors, _xlfn.VSTACK( OR( ROWS( _xlpm.Debt) &lt;&gt; 1, COLUMNS( _xlpm.Debt) &lt;= 1), OR( ROWS( _xlpm.CFADS) &lt;&gt; 1, COLUMNS( _xlpm.CFADS) &lt;&gt; COLUMNS( _xlpm.Debt)), OR( ROWS( _xlpm.DSCR) &lt;&gt; 1, COLUMNS( _xlpm.DSCR) &lt;&gt; COLUMNS( _xlpm.Debt), NOT( AND( ISNUMBER( _xlpm.DSCR))), OR( _xlpm.DSCR &lt;= 0)), IF( _xlpm.UseRates, OR( ROWS( _xlpm.PeriodRates) &lt;&gt; 1, COLUMNS( _xlpm.PeriodRates) &lt;&gt; COLUMNS( _xlpm.Debt)), OR( ROWS( _xlpm.APR) &lt;&gt; 1, COLUMNS( _xlpm.APR) &lt;&gt; COLUMNS( _xlpm.Debt))) ), _xlpm.Messages, _xlfn._xlws.FILTER( _xlpm.ErrMsgs, _xlpm.Errors, ""), _xlpm.OpeningBalance, IF( ISNUMBER( _xlpm.OpeningBalance), _xlpm.OpeningBalance, 0), _xlpm.MonthsPerPeriod, IF( ISNUMBER( _xlpm.MonthsPerPeriod), _xlpm.MonthsPerPeriod, 1), _xlpm.Periods, _xlfn.SEQUENCE( 1, COLUMNS( _xlpm.Debt)), _xlpm.Rates, IF( _xlpm.UseRates, INDEX( _xlpm.PeriodRates, 1, _xlpm.Periods), INDEX( _xlpm.APR, 1, _xlpm.Periods) / 12 * _xlpm.MonthsPerPeriod ), _xlpm.NewDebt, INDEX( _xlpm.Debt, 1, _xlpm.Periods), _xlpm.Cash, INDEX( _xlpm.CFADS, 1, _xlpm.Periods), _xlpm.Cover, INDEX( _xlpm.DSCR, 1, _xlpm.Periods), _xlpm.Closings, _xlfn.SCAN( _xlpm.OpeningBalance, _xlpm.Periods, _xlfn.LAMBDA(_xlpm.Carried,_xlpm.Period, _xlfn.LET(_xlpm.Opening, _xlpm.Carried + INDEX( _xlpm.NewDebt, 1, _xlpm.Period), _xlpm.Interest, _xlpm.Opening * INDEX( _xlpm.Rates, 1, _xlpm.Period), _xlpm.Payment, MAX( 0, MIN( INDEX( _xlpm.Cash, 1, _xlpm.Period) / INDEX( _xlpm.Cover, 1, _xlpm.Period), _xlpm.Opening + _xlpm.Interest)), _xlpm.Opening + _xlpm.Interest - _xlpm.Payment ) ) ), _xlpm.Carried, IF( COLUMNS( _xlpm.Debt) = 1, _xlpm.OpeningBalance, _xlfn.HSTACK( _xlpm.OpeningBalance, _xlfn.DROP( _xlpm.Closings, , -1))), _xlpm.Opening, _xlpm.Carried + _xlpm.NewDebt, _xlpm.Interest, _xlpm.Opening * _xlpm.Rates, _xlpm.Service, IF( _xlpm.Cash / _xlpm.Cover &lt; 0, 0, _xlpm.Cash / _xlpm.Cover), _xlpm.Payment, IF( _xlpm.Opening + _xlpm.Interest &lt; 0, 0, IF( _xlpm.Service &lt; _xlpm.Opening + _xlpm.Interest, _xlpm.Service, _xlpm.Opening + _xlpm.Interest)), _xlpm.Closing, _xlpm.Opening + _xlpm.Interest - _xlpm.Payment, _xlpm.Result, _xlfn.VSTACK( _xlpm.Opening, _xlpm.Interest, -_xlpm.Payment, _xlpm.Closing), _xlpm.Return, IF( _xlpm.Help?, 2, IF( OR( _xlpm.Errors), 3, 1)), CHOOSE( _xlpm.Return, _xlpm.Result, _xlpm.Help, _xlpm.Messages) ) )</definedName>
    <definedName name="oz.DebtToAssetRatioλ" comment="Analysts can compare one company's gearing with that of other _x000a_companies in the same industry. (Total Debt/Total Assets)">_xlfn.LAMBDA(_xlop.TotalDebt,_xlop.TotalAssets, _xlfn.LET(_xlpm.Help, TRIM(_xlfn.TEXTSPLIT( "FUNCTION:          →DebtToAssetRatioλ( TotalDebt, TotalAssets)¶" &amp; "DESCRIPTION:       →Analysts can compare one company's leverage with that of other y¶" &amp; "→companies in the same industry (Total Debt/Total Assets)¶" &amp; "WEBPAGE:           →https://www.investopedia.com/terms/t/totaldebttototalassets.asp ¶" &amp; "VERSION:           →20 Aug 2026¶" &amp; "PARAMETERS:        →¶" &amp; "TotalDebt          →(Required) Total debt includes shortterm and longterm debt¶" &amp; "TotalAssets        →(Required) Total Assets ¶" &amp; "SEE ALSO:          →DebtRatioλ computes the same ratio under its shorter name.¶" &amp; "EXAMPLES:          →Formula (oz is assumed to be the module's name)¶" &amp; ".49873             →=oz.DebtToAssetRatioλ(31.845, 63.852 )", "→", "¶" ) ), _xlpm.Help?, OR( _xlfn.ISOMITTED( _xlpm.TotalDebt), _xlfn.ISOMITTED( _xlpm.TotalAssets) ), _xlpm.Result, _xlpm.TotalDebt /_xlpm.TotalAssets, CHOOSE(_xlpm.Help? + 1, _xlpm.Result, _xlpm.Help) ) )</definedName>
    <definedName name="oz.DebtToCapitalRatioλ" comment="Gives analysts and investors a better idea of a company's financial structure_x000a_and whether or not the company is a suitable investment (Debt/(Debt + Shareholders' equity)">_xlfn.LAMBDA(_xlop.Debt,_xlop.ShareholdersEquity, _xlfn.LET(_xlpm.Help, TRIM(_xlfn.TEXTSPLIT("FUNCTION:          →DebtToCapitalRatioλ( Debt, ShareholdersEquity)¶" &amp; "DESCRIPTION:       →Gives analysts and investors a better idea of a company's financial structure¶" &amp; "→and whether or not the company is a suitable investment.¶" &amp; "→(Debt/(Debt + Shareholders' equity)¶" &amp; "WEBPAGE:           →https://www.investopedia.com/terms/d/debt-to-capitalratio.asp ¶" &amp; "VERSION:           →20 Aug 2026¶" &amp; "PARAMETERS:→¶" &amp; "Debt               →(Required) Total Debt which can include: ¶" &amp; "→Notes payable¶" &amp; "→Bonds payable¶" &amp; "→Long-term liabilities¶" &amp; "ShareholdersEquity →(Required) Shareholders' Equity (total assets - total liabilities) ¶" &amp; "EXAMPLES:          →Formula (oz is assumed to be the module's name)¶" &amp; "26.4%              →=oz.DebtToCapitalRatioλ( 80.0, 223.0 )", "→", "¶")), _xlpm.Help?, OR(_xlfn.ISOMITTED(_xlpm.Debt), _xlfn.ISOMITTED(_xlpm.ShareholdersEquity)), _xlpm.Result, _xlpm.Debt / (_xlpm.Debt + _xlpm.ShareholdersEquity), CHOOSE(_xlpm.Help? + 1, _xlpm.Result, _xlpm.Help)))</definedName>
    <definedName name="oz.DebtToEquityRatioλ" comment="Measures the degree to which a company is financing operations_x000a_with debt rather than its own resources. (Total Liabilities/Shareholders' Equity)">_xlfn.LAMBDA(_xlop.TotalLiabilities,_xlop.ShareholdersEquity, _xlfn.LET(_xlpm.Help, TRIM(_xlfn.TEXTSPLIT( "FUNCTION:          →DebtToEquityRatioλ( TotalLiabilities, ShareholdersEquity)¶" &amp; "DESCRIPTION:       →Measures the degree to which a company is financing operations¶" &amp; "→with debt rather than its own resources. (Total Liabilities/Shareholders' Equity)¶" &amp; "WEBPAGE:           →https://www.investopedia.com/terms/d/debtequityratio.asp ¶" &amp; "VERSION:           →20 Aug 2026¶" &amp; "PARAMETERS:        →¶" &amp; "TotalLiabilities   →(Required) Total Liabilities¶" &amp; "ShareholdersEquity →(Required) Shareholders' Equity (total assets - total liabilities) ¶" &amp; "EXAMPLES:          →Formula (oz is assumed to be the module's name)¶" &amp; "3.77               →=oz.DebtToEquityRatioλ(279.0, 74.0 )", "→", "¶" ) ), _xlpm.Help?, OR( _xlfn.ISOMITTED( _xlpm.TotalLiabilities), _xlfn.ISOMITTED( _xlpm.ShareholdersEquity) ), _xlpm.Result, _xlpm.TotalLiabilities/_xlpm.ShareholdersEquity, CHOOSE(_xlpm.Help? + 1, _xlpm.Result, _xlpm.Help) ) )</definedName>
    <definedName name="oz.Depreciateλ" comment="Create a block of CAPEX, Opening Balance, Depreciation Values, and Book Value for each asset">_xlfn.LAMBDA(_xlop.InitialValues,_xlop.InServiceDates,_xlop.LifeInYears,_xlop.Timeline,_xlop.SalvageValues,_xlop.DisposalDates,_xlop.DisposalCosts,_xlop.Methods,_xlop.Factors,_xlfn.LET(_xlpm.Help,TRIM(_xlfn.TEXTSPLIT("FUNCTION:      →Depreciateλ(InitialValues, InServiceDates, LifeInYears, Timeline, ¶"&amp;"               →[SalvageValues], [DisposalDates], [DisposalCosts], [Methods], [Factors])¶"&amp;"DESCRIPTION:   →Creates an array of CAPEX, depreciation, and book values for a model's timeline¶"&amp;"WEBPAGE:       →https://github.com/ryanduguid/Ozzit ¶"&amp;"VERSION:       →20 Aug 2026¶"&amp;"NOTES:         →The methods used here differ from Excel's functions in several ways. Please see webpage for details.¶"&amp;"PARAMETERS:    →¶"&amp;"InitialValues  →(Required) The purchase values of each asset to depreciate¶"&amp;"InServiceDates →(Required) The dates from which to start depreciating each asset¶"&amp;"LifeInYears    →(Required) The whole number of years over which to depreciate each asset.¶"&amp;"               →More than 0 and no more than 100. A date here is not a life:¶"&amp;"               →the arguments read InitialValues, InServiceDates, LifeInYears, Timeline.¶"&amp;"Timeline       →(Required) The model's timeline or a row of period start dates. ¶"&amp;"               →Timeline can be any interval: days, weeks, months, quarters or years¶"&amp;"SalvageValues  →(Optional: Default = 0) The book values of each asset after fully depreciated.¶"&amp;"DisposalDates  →(Optional: Default = End of life) The dates on which the assets are removed from the books.¶"&amp;"→A disposal before the end of life writes the remaining book value off in that month.¶"&amp;"DisposalCosts  →(Optional: Default = 0) The costs of removing each asset from the books, charged in the disposal period.¶"&amp;"Methods        →(Optional: Default = SLN) The desired depreciation method. Must be one of these method codes: ¶"&amp;"→SLN=Straight Line Depreciation¶"&amp;"→SYD=Sum of Year's Digits¶"&amp;"→DB =Declining Balance¶"&amp;"→DDB=Double Declining Balance¶"&amp;"→VDB=Variable Declining Balance¶"&amp;"→DV =Diminishing balance at 200% of straight line. Salvage value ignored¶"&amp;"→PC =Straight line, whole years. Salvage value ignored¶"&amp;"Factors        →(Optional: Default = 2) Only applicable to DDB and VDB methods.","→","¶")),_xlpm.Help?,OR(_xlfn.ISOMITTED(_xlpm.InitialValues),_xlfn.ISOMITTED(_xlpm.LifeInYears),_xlfn.ISOMITTED(_xlpm.InServiceDates),_xlfn.ISOMITTED(_xlpm.Timeline)),_xlpm.MethodArray,{"SLN","SYD","DB","DDB","VDB","DV","PC"},_xlpm.Mpy,12,_xlpm.LifeGiven,IF(_xlfn.ISOMITTED(_xlpm.LifeInYears),1,_xlpm.LifeInYears),_xlpm.LifeNums,IFERROR(VALUE(_xlpm.LifeGiven),-1),_xlpm.BadLife?,OR(MIN(_xlpm.LifeNums)&lt;=0,MAX(_xlpm.LifeNums)&gt;100,SUMPRODUCT(--(MOD(_xlpm.LifeNums,1)&lt;&gt;0))&gt;0),_xlpm.LifeMessage,"LifeInYears must be a whole number of years greater than 0 and no more than 100. "&amp;"Check the argument order: InitialValues, InServiceDates, LifeInYears, Timeline.",_xlpm.SalvageValues,IF(_xlfn.ISOMITTED(_xlpm.SalvageValues),_xlfn.MAP(_xlpm.InitialValues,_xlfn.LAMBDA(_xlpm.Ele,0)),_xlfn.MAP(_xlpm.SalvageValues,_xlfn.LAMBDA(_xlpm.v,IFERROR(VALUE(_xlpm.v),0)))),_xlpm.CvtSrvDates,IF(NOT(_xlfn.ISOMITTED(_xlpm.InServiceDates)),IF(ISNUMBER(_xlpm.InServiceDates),_xlpm.InServiceDates,DATEVALUE(_xlpm.InServiceDates))),_xlpm.DisposalDates,IF(_xlfn.ISOMITTED(_xlpm.DisposalDates),EDATE(+_xlpm.CvtSrvDates,_xlpm.LifeInYears*12),_xlfn.MAKEARRAY(ROWS(_xlpm.DisposalDates),1,_xlfn.LAMBDA(_xlpm.R,_xlpm.C,IF(INDEX(_xlpm.DisposalDates,_xlpm.R)="",EDATE(INDEX(_xlpm.CvtSrvDates,_xlpm.R),INDEX(_xlpm.LifeInYears,_xlpm.R)*12),INDEX(_xlpm.DisposalDates,_xlpm.R))))),_xlpm.DisposalCosts,IF(_xlfn.ISOMITTED(_xlpm.DisposalCosts),_xlfn.MAP(_xlpm.InitialValues,_xlfn.LAMBDA(_xlpm.Ele,0)),_xlpm.DisposalCosts),_xlpm.Methods,IF(_xlfn.ISOMITTED(_xlpm.Methods),_xlfn.MAP(_xlpm.InitialValues,_xlfn.LAMBDA(_xlpm.Ele,"SLN")),_xlfn.MAP(_xlpm.Methods,_xlfn.LAMBDA(_xlpm.v,IF(TRIM(_xlpm.v)="","SLN",_xlpm.v)))),_xlpm.Factors,IF(_xlfn.ISOMITTED(_xlpm.Factors),_xlfn.MAP(_xlpm.InitialValues,_xlfn.LAMBDA(_xlpm.Ele,2)),_xlfn.MAP(_xlpm.Factors,_xlfn.LAMBDA(_xlpm.v,IF(TRIM(_xlpm.v)="",2,_xlpm.v)))),_xlpm.TimelineCols,COLUMNS(_xlpm.Timeline),_xlpm.FirstPeriod,INDEX(_xlpm.Timeline,1),_xlpm.SecondPeriod,INDEX(_xlpm.Timeline,2),_xlpm.DpP,_xlpm.SecondPeriod-_xlpm.FirstPeriod,_xlpm.SubMonthly?,_xlpm.DpP&lt;28,_xlpm.MpP,MAX(_xlfn.SINGLE(ROUND(_xlpm.DpP/30.5,0)),1),_xlpm.LastGap,MAX(_xlpm.Timeline)-INDEX(_xlpm.Timeline,_xlpm.TimelineCols-1),_xlpm.LastDate,MAX(_xlpm.Timeline),_xlpm.LastEnd,IF(_xlpm.SubMonthly?,_xlpm.LastDate+_xlpm.LastGap,IF(DAY(_xlpm.LastDate+1)=1,EOMONTH(_xlpm.LastDate,_xlpm.MpP),EDATE(_xlpm.LastDate,_xlpm.MpP)))-1,_xlpm.EndDates,_xlfn.HSTACK(_xlfn.MAP(_xlfn.SEQUENCE(,_xlpm.TimelineCols-1),_xlfn.LAMBDA(_xlpm.n,INDEX(_xlpm.Timeline,_xlpm.n+1)-1)),_xlpm.LastEnd),_xlpm.Result,_xlfn.REDUCE(0,_xlfn.SEQUENCE(ROWS(_xlpm.InitialValues)),_xlfn.LAMBDA(_xlpm.Block,_xlpm.Asset,_xlfn.LET(_xlpm.Method,_xlfn.SINGLE(INDEX(_xlpm.Methods,_xlpm.Asset)),_xlpm.Years,IF(_xlpm.BadLife?,1,_xlfn.SINGLE(INDEX(_xlpm.LifeInYears,_xlpm.Asset))),_xlpm.InitialValue,_xlfn.SINGLE(INDEX(_xlpm.InitialValues,_xlpm.Asset)),_xlpm.SalvageValue,IF(OR(_xlpm.Method="DV",_xlpm.Method="PC"),0,_xlfn.SINGLE(INDEX(_xlpm.SalvageValues,_xlpm.Asset))),_xlpm.InServiceDate,_xlfn.SINGLE(INDEX(_xlpm.CvtSrvDates,_xlpm.Asset)),_xlpm.DisposalDate,_xlfn.SINGLE(INDEX(_xlpm.DisposalDates,_xlpm.Asset)),_xlpm.DisposalCost,_xlfn.SINGLE(INDEX(_xlpm.DisposalCosts,_xlpm.Asset)),_xlpm.Factor,_xlfn.SINGLE(INDEX(_xlpm.Factors,_xlpm.Asset)),_xlpm.LifeInMonths,oz.PeriodDiffλ(_xlpm.InServiceDate,_xlpm.DisposalDate,"M"),_xlpm.Depreciate,CHOOSE(MATCH(_xlfn.SINGLE(_xlpm.Method),_xlpm.MethodArray,0),oz.SLNλ(_xlpm.InitialValue,_xlpm.SalvageValue,_xlpm.Years),oz.SYDλ(_xlpm.InitialValue,_xlpm.SalvageValue,_xlpm.Years),oz.DBλ(_xlpm.InitialValue,_xlpm.SalvageValue,_xlpm.Years),oz.DDBλ(_xlpm.InitialValue,_xlpm.SalvageValue,_xlpm.Years,_xlpm.Factor),oz.VDBλ(_xlpm.InitialValue,_xlpm.SalvageValue,_xlpm.Years,_xlpm.Factor),oz.DiminishingValueλ(_xlpm.InitialValue,_xlpm.Years),oz.PrimeCostλ(_xlpm.InitialValue,_xlpm.Years),),_xlpm.Monthly,oz.Allocateλ(_xlpm.Depreciate,"Y","M"),_xlpm.Months,_xlpm.LifeInMonths-1,_xlpm.Allocate,IF(_xlpm.Months&lt;1,_xlpm.InitialValue,IF(_xlpm.Months&gt;=COLUMNS(_xlpm.Monthly),_xlfn.HSTACK(_xlfn.EXPAND(_xlpm.Monthly,1,_xlpm.Months,0),_xlpm.SalvageValue),_xlfn.HSTACK(_xlfn.TAKE(_xlpm.Monthly,,_xlpm.Months),_xlpm.InitialValue-SUM(_xlfn.TAKE(_xlpm.Monthly,,_xlpm.Months))))),_xlpm.Opening,_xlfn.DROP(_xlfn.HSTACK(_xlpm.InitialValue,_xlfn.SCAN(_xlpm.InitialValue,_xlpm.Allocate,_xlfn.LAMBDA(_xlpm.Acc,_xlpm.Val,_xlpm.Acc-_xlpm.Val))),0,-1),_xlpm.AssetTimeline,EDATE(_xlpm.InServiceDate,_xlfn.SEQUENCE(,_xlpm.LifeInMonths,0)),_xlpm.Buckets,IFERROR(MATCH(_xlpm.AssetTimeline,_xlpm.Timeline,1),0)*(_xlpm.AssetTimeline&lt;=_xlpm.LastEnd),_xlpm.InPeriod,(_xlfn.TOCOL(_xlpm.Buckets)=_xlfn.SEQUENCE(1,_xlpm.TimelineCols))*1,_xlpm.Depreciation,MMULT(_xlpm.Allocate,_xlpm.InPeriod),_xlpm.CAPEX,_xlpm.InitialValue*(_xlpm.Timeline&lt;=_xlpm.InServiceDate)*(_xlpm.EndDates&gt;=_xlpm.InServiceDate),_xlpm.Earlier,IF(_xlpm.LifeInMonths=1,0,_xlfn.HSTACK(0,_xlfn.DROP(_xlpm.Buckets,,-1))),_xlpm.FirstInPeriod,(_xlpm.Buckets&lt;&gt;_xlpm.Earlier)*(_xlpm.Buckets&gt;0),_xlpm.OpeningAmount,MMULT(_xlpm.Opening*_xlpm.FirstInPeriod,_xlpm.InPeriod),_xlpm.BookValue,_xlpm.OpeningAmount-_xlpm.Depreciation,_xlpm.SalesRevenue,_xlpm.SalvageValue*(_xlpm.Timeline&lt;=_xlpm.DisposalDate)*(_xlpm.EndDates&gt;=_xlpm.DisposalDate),_xlpm.DisposalExp,_xlpm.DisposalCost*(_xlpm.Timeline&lt;=_xlpm.DisposalDate)*(_xlpm.EndDates&gt;=_xlpm.DisposalDate),_xlpm.NewBlock,_xlfn.VSTACK(_xlpm.CAPEX,_xlpm.OpeningAmount,_xlpm.Depreciation,_xlpm.BookValue,_xlpm.SalesRevenue,_xlpm.DisposalExp),_xlpm.Result,IF(_xlpm.Asset=1,_xlpm.NewBlock,_xlfn.VSTACK(_xlpm.Block,_xlfn.EXPAND("",1,_xlpm.TimelineCols,""),_xlpm.NewBlock)),_xlpm.Result))),_xlpm.Return,IF(_xlpm.Help?,2,IF(_xlpm.BadLife?,3,1)),CHOOSE(_xlpm.Return,_xlpm.Result,_xlpm.Help,_xlpm.LifeMessage)))</definedName>
    <definedName name="oz.DepreciateλDV" comment="Provides extended data validation of arguments for Depreciateλ">_xlfn.LAMBDA(_xlop.InitialValues,_xlop.InServiceDates,_xlop.LifeInYears,_xlop.Timeline,_xlop.SalvageValues,_xlop.DisposalDates,_xlop.DisposalCosts,_xlop.Methods,_xlop.Factors, _xlfn.LET( _xlpm.ErrorsInArgs, _xlfn.VSTACK( OR( ISERROR( _xlpm.InitialValues)), OR( ISERROR( _xlpm.InServiceDates)), OR( ISERROR( _xlpm.LifeInYears)), OR( ISERROR( _xlpm.Timeline)), OR( ISERROR( _xlpm.SalvageValues)), OR( ISERROR( _xlpm.DisposalDates)), OR( ISERROR( _xlpm.DisposalCosts)), OR( ISERROR( _xlpm.Methods)), OR( ISERROR( _xlpm.Factors)) ), _xlpm.DVArg1, IF( OR( ISERROR(_xlpm.InitialValues)), FALSE, OR( IFERROR( VALUE(_xlpm.InitialValues) &lt; 1, TRUE))), _xlpm.DVArg2, IF( OR( ISERROR( _xlpm.InServiceDates), ISERROR( _xlpm.Timeline)), FALSE, OR( IFERROR( VALUE(_xlpm.InServiceDates) &lt; MIN( _xlpm.Timeline), TRUE))), _xlpm.DVArg3, IF( OR( ISERROR( _xlpm.LifeInYears)), FALSE, _xlfn.LET( _xlpm.Lives, IFERROR( VALUE( _xlpm.LifeInYears), -1), OR( MIN( _xlpm.Lives) &lt;= 0, MAX( _xlpm.Lives) &gt; 100, SUMPRODUCT( --( MOD( _xlpm.Lives, 1) &lt;&gt; 0)) &gt; 0))), _xlpm.DVArg4, IF( OR( ISERROR( _xlpm.Timeline)), FALSE, COUNTA( _xlpm.Timeline) &lt; 2), _xlpm.DVArg4b, IF( OR( OR(_xlpm.ErrorsInArgs), _xlpm.DVArg4), FALSE, _xlfn.LET( _xlpm.Dates, _xlfn.TOROW( _xlpm.Timeline), MIN( _xlfn.DROP( _xlpm.Dates, , 1) - _xlfn.DROP( _xlpm.Dates, , -1)) &lt; 1)), _xlpm.DVArg5, IF( OR( _xlfn.ISOMITTED( _xlpm.SalvageValues), OR(ISERROR(_xlpm.SalvageValues))), FALSE, OR( IFERROR( VALUE(_xlpm.SalvageValues) &lt; 0, TRUE))), _xlpm.DVArg6, IF( OR( _xlfn.ISOMITTED( _xlpm.DisposalDates), OR(_xlpm.ErrorsInArgs)), FALSE, OR( _xlpm.DisposalDates &lt; _xlpm.InServiceDates)), _xlpm.DVArg7, IF( OR( _xlfn.ISOMITTED( _xlpm.DisposalCosts), OR(ISERROR(_xlpm.DisposalCosts))), FALSE, OR( IFERROR( VALUE(_xlpm.DisposalCosts) &lt; 0, TRUE))), _xlpm.DVArg8, IF( OR( _xlfn.ISOMITTED( _xlpm.Methods), ISERROR( _xlpm.Methods)), FALSE, OR(ISNA( _xlfn.XMATCH( _xlpm.Methods, {"SLN","SYD","DB","DDB","VDB","DV","PC"}, 0)))), _xlpm.DVArg9, IF( OR( _xlfn.ISOMITTED( _xlpm.Factors), ISERROR( _xlpm.Factors)), FALSE, OR(IFERROR( VALUE( _xlpm.Factors) &lt;= 0, TRUE ))), _xlpm.DVErrors, _xlfn.VSTACK( _xlpm.DVArg1, _xlpm.DVArg2, _xlpm.DVArg3, _xlpm.DVArg4, _xlpm.DVArg4b, _xlpm.DVArg5, _xlpm.DVArg6, _xlpm.DVArg7, _xlpm.DVArg8, _xlpm.DVArg9 ), _xlpm.AnyErrors?, OR(_xlpm.ErrorsInArgs, _xlpm.DVErrors), _xlpm.Errors2Show, _xlfn.VSTACK( _xlpm.ErrorsInArgs, _xlpm.DVErrors), _xlpm.ErrMsgs, {"InitialValues contains errors in cells. Resolve errors first.";"InServiceDates contains errors in cells. Resolve errors first.";"LifeInYears contains errors in cells. Resolve errors first.";"Timeline contains errors in cells. Resolve errors first.";"SalvageValues contains errors in cells. Resolve errors first.";"DisposalDates contains errors in cells. Resolve errors first.";"DisposalCosts contains errors in cells. Resolve errors first.";"Methods contains errors in cells. Resolve errors first.";"Factors contains errors in cells. Resolve errors first.";"InitialValues must be an amount greater than 0";"InServiceDates must be valid dates";"LifeInYears must be a whole number of years greater than 0 and no more than 100";"Timeline must be a row of period start dates with more than 1 entry.";"Each period in the timeline must advance by at least a day.";"SalvageValues must be an amount not less than 0 or omitted";"DisposalDates must be a date greater than InServiceDates or omitted";"DisposalCosts must be an amount not less than 0 or omitted";"Methods must be omitted or one of: SLN, SYD, DB, DDB, VDB, DV, or PC.";"Factors must be a value greater than 0"}, _xlpm.Messages, _xlfn._xlws.FILTER(_xlpm.ErrMsgs, _xlpm.Errors2Show, ""), _xlpm.Return, IF( OR( _xlpm.Errors2Show), 2, IF( _xlpm.AnyErrors?, 3, 1)), CHOOSE(_xlpm.Return, TRUE, _xlpm.Messages, #VALUE!) ) )</definedName>
    <definedName name="oz.DiminishingValueλ" comment="Diminishing-balance depreciation schedule at 200% of the straight-line rate, writing the residual off in the final period. A modelling schedule, not a tax calculation.">_xlfn.LAMBDA(_xlop.Cost,_xlop.Life, _xlfn.LET( _xlpm.Help, TRIM(_xlfn.TEXTSPLIT( "FUNCTION:      →DiminishingValueλ(Cost, Life)¶" &amp; "DESCRIPTION:   →Diminishing-balance depreciation schedule at 200% of the straight-line rate, writing the residual off in the final period. A modelling schedule, not a tax calculation.¶" &amp; "WEBPAGE:       →https://github.com/ryanduguid/Ozzit¶" &amp; "VERSION:       →20 Aug 2026¶" &amp; "PARAMETERS:    →¶" &amp; "Cost           →(Required) Asset's cost.¶" &amp; "Life           →(Required) Asset's effective life in years.¶" &amp; "EXAMPLES:      →¶" &amp; "→Formula (oz is assumed to be the module's name)¶" &amp; "→=oz.DiminishingValueλ(1000, 5)¶" &amp; "→Result¶" &amp; "→400.00,240.00,144.00,86.40,129.60", "→", "¶" )), _xlpm.Help?, OR(_xlfn.ISOMITTED(_xlpm.Cost), _xlfn.ISOMITTED(_xlpm.Life)), _xlpm.Valid?, AND(ISNUMBER(_xlpm.Life), _xlpm.Life &gt; 0), _xlpm.Rate, MIN(2/_xlpm.Life, 1), _xlpm.Count, MAX(1, ROUNDUP(_xlpm.Life, 0)), _xlpm.Periods, _xlfn.SEQUENCE(, _xlpm.Count), _xlpm.Raw, _xlpm.Cost * _xlpm.Rate * IF(_xlpm.Periods = 1, 1, (1-_xlpm.Rate)^(_xlpm.Periods-1)), _xlpm.Result, IF(_xlpm.Valid?, _xlpm.Raw + (_xlpm.Periods = _xlpm.Count) * (_xlpm.Cost - SUM(_xlpm.Raw)), "DiminishingValueλ needs a Life greater than 0"), CHOOSE( _xlpm.Help? + 1, _xlpm.Result, _xlpm.Help) ) )</definedName>
    <definedName name="oz.DividendYieldRatioλ" comment="Dividend yield ratio shows how much a company pays out in dividends _x000a_each year relative to its stock price (Annual Dividends Pe rShare/Share Price)">_xlfn.LAMBDA(_xlop.AnnualDividendsPerShare,_xlop.SharePrice, _xlfn.LET(_xlpm.Help, TRIM(_xlfn.TEXTSPLIT("FUNCTION:      →DividendYieldRatioλ( AnnualDividendsPerShare, SharePrice)¶" &amp; "DESCRIPTION:   →Dividend yield ratio shows how much a company pays out in dividends ¶" &amp; "→each year relative to its stock price (Annual Dividends Pe rShare/Share Price)¶" &amp; "WEBPAGE:       →https://www.investopedia.com/terms/d/dividendyield.asp ¶" &amp; "VERSION:       →20 Aug 2026¶" &amp; "PARAMETERS:→¶" &amp; "AnnualDividendsPerShare→(Required) Annual Dividends Per Share ¶" &amp; "SharePrice     →(Required) Market value per share ¶" &amp; "EXAMPLES:      →Formula (oz is assumed to be the module's name)¶" &amp; "2.6667%        →=oz.DividendYieldRatioλ( 1.2, 45 )", "→", "¶")), _xlpm.Help?, OR(_xlfn.ISOMITTED(_xlpm.AnnualDividendsPerShare), _xlfn.ISOMITTED(_xlpm.SharePrice)), _xlpm.Result, _xlpm.AnnualDividendsPerShare / _xlpm.SharePrice, CHOOSE(_xlpm.Help? + 1, _xlpm.Result, _xlpm.Help)))</definedName>
    <definedName name="oz.DPRλ" comment="Dividend Payout Ratio is the percentage of earnings paid to shareholders via dividends_x000a_    (DividendsPaid/NetIncome)">_xlfn.LAMBDA(_xlop.DividendsPaid,_xlop.NetIncome, _xlfn.LET(_xlpm.Help, TRIM(_xlfn.TEXTSPLIT("FUNCTION:      →DPRλ( DividendsPaid, NetIncome )¶" &amp; "DESCRIPTION:   →Dividend Payout Ratio is the percentage of earnings paid to shareholders via dividends¶" &amp; "→(DividendsPaid/NetIncome)¶" &amp; "WEBPAGE:       →https://www.investopedia.com/terms/d/dividendpayoutratio.asp ¶" &amp; "VERSION:       →20 Aug 2026¶" &amp; "PARAMETERS:→¶" &amp; "DividendsPaid  →(Required) Dividends paid ¶" &amp; "NetIncome      →(Required) Net Income¶" &amp; "EXAMPLES:      →Formula (oz is assumed to be the module's name)¶" &amp; "25%            →=oz.DPRλ( 5.0, 20.0 )", "→", "¶")), _xlpm.Help?, OR(_xlfn.ISOMITTED(_xlpm.DividendsPaid), _xlfn.ISOMITTED(_xlpm.NetIncome)), _xlpm.Result, _xlpm.DividendsPaid / _xlpm.NetIncome, CHOOSE(_xlpm.Help? + 1, _xlpm.Result, _xlpm.Help)))</definedName>
    <definedName name="oz.DSCRλ" comment="Debt service coverage Ratio measures a firm’s available cash flow to pay its _x000a_current debt obligations(Net Operating Income/Total Debt Service)">_xlfn.LAMBDA(_xlop.NetOperatingIncome,_xlop.TotalDebtService, _xlfn.LET(_xlpm.Help, TRIM(_xlfn.TEXTSPLIT( "FUNCTION:          →DSCRλ( NetOperatingIncome, TotalDebtService)¶" &amp; "DESCRIPTION:       →Measures a firm’s available cash flow to pay its current debt obligations¶" &amp; "→(Net Operating Income/Total Debt Service)¶" &amp; "WEBPAGE:           →https://www.investopedia.com/terms/d/dscr.asp ¶" &amp; "VERSION:           →20 Aug 2026¶" &amp; "PARAMETERS:→¶" &amp; "NetOperatingIncome →(Required) Income measure defined by the applicable covenant¶" &amp; "TotalDebtService   →(Required) Principal, interest and other payments defined by that covenant¶" &amp; "→Use the same period. Tax-adjust interest only if the covenant requires it¶" &amp; "EXAMPLES:          →Formula (oz is assumed to be the module's name)¶" &amp; "6.142857           →=oz.DSCRλ(2150.0, 350.0)", "→", "¶" ) ), _xlpm.Help?, OR( _xlfn.ISOMITTED( _xlpm.NetOperatingIncome), _xlfn.ISOMITTED( _xlpm.TotalDebtService) ), _xlpm.Result, _xlpm.NetOperatingIncome/_xlpm.TotalDebtService, CHOOSE(_xlpm.Help? + 1, _xlpm.Result, _xlpm.Help) ) )</definedName>
    <definedName name="oz.DSIλ" comment="Days Sales in Inventory Ratio (aka Average age of inventory _x000a_indicates the average time in days that a company takes to turn its inventory _x000a_(Average Inventory/Annual Cost of Goods Sold x 365)">_xlfn.LAMBDA(_xlop.AverageInventory,_xlop.CostOfGoodsSold, _xlfn.LET(_xlpm.Help, TRIM(_xlfn.TEXTSPLIT( "FUNCTION:          →DSIλ( AverageInventory, CostOfGoodsSold)¶" &amp; "DESCRIPTION:       →Days Sales in Inventory Ratio (aka Average age of inventory)¶" &amp; "→indicates the average time in days that a company takes to turn its inventory¶" &amp; "→(Average Inventory/Annual Cost of Goods Sold x 365 days)¶" &amp; "WEBPAGE:           →https://www.investopedia.com/terms/d/days-sales-inventory-dsi.asp ¶" &amp; "VERSION:           →20 Aug 2026¶" &amp; "PARAMETERS:→¶" &amp; "AverageInventory→  (Required) Average of period open and close Inventory¶" &amp; "CostOfGoodsSold→   (Required) Cost of Goods Sold (COGS) for a full year ¶" &amp; "EXAMPLES:          →Formula (oz is assumed to be the module's name)¶" &amp; "40.8949 days       →=oz.DSIλ(54.9, 490 )", "→", "¶" ) ), _xlpm.Help?, OR( _xlfn.ISOMITTED( _xlpm.AverageInventory), _xlfn.ISOMITTED( _xlpm.CostOfGoodsSold) ), _xlpm.DpY, 365, _xlpm.Result, _xlpm.AverageInventory/_xlpm.CostOfGoodsSold * _xlpm.DpY, CHOOSE(_xlpm.Help? + 1, _xlpm.Result, _xlpm.Help) ) )</definedName>
    <definedName name="oz.EBITDAMarginλ" comment="Measures a company's operating profit as a percentage of its revenue (EBITDA/Total Revenue).">_xlfn.LAMBDA(_xlop.EBITDA,_xlop.TotalRevenue, _xlfn.LET(_xlpm.Help, TRIM(_xlfn.TEXTSPLIT("FUNCTION:      →EBITDAMarginλ( EBITDA, TotalRevenue)¶" &amp; "DESCRIPTION:   →Measures a company's operating profit as a percentage of its revenue.¶" &amp; "→(EBITDA/Total Revenue)¶" &amp; "WEBPAGE:       →https://www.investopedia.com/terms/e/ebitda-margin.asp ¶" &amp; "VERSION:       →20 Aug 2026¶" &amp; "PARAMETERS:→¶" &amp; "EBITDA         →(Required) Earnings Before Interest, tax, depreciation, and amortisation¶" &amp; "TotalRevenue   →(Required) Total Revenue¶" &amp; "EXAMPLES:      →Formula (oz is assumed to be the module's name)¶" &amp; "12%            →=oz.EBITDAMarginλ( 15.0, 125.0 )", "→", "¶")), _xlpm.Help?, OR(_xlfn.ISOMITTED(_xlpm.EBITDA), _xlfn.ISOMITTED(_xlpm.TotalRevenue)), _xlpm.Result, _xlpm.EBITDA / _xlpm.TotalRevenue, CHOOSE(_xlpm.Help? + 1, _xlpm.Result, _xlpm.Help)))</definedName>
    <definedName name="oz.EPSλ" comment="Earnings per share measures profitability indicating how much profit each _x000a_outstanding share of common stock has earned _x000a_    (Net Income - Preferred Dividends)/End Of Period Common Shares Outstanding)">_xlfn.LAMBDA(_xlop.NetIncome,_xlop.PreferredDividends,_xlop.EndOfPeriodCommonSharesOutstanding, _xlfn.LET(_xlpm.Help, TRIM(_xlfn.TEXTSPLIT( "FUNCTION:          →EPSλ( NetIncome, PreferredDividends, EndOfPeriodCommonSharesOutstanding)¶" &amp; "DESCRIPTION:       →Earnings per share measures profitability indicating how much profit each ¶" &amp; "→outstanding share of common stock has earned ¶" &amp; "→(Net Income - Preferred Dividends)/End Of Period Common Shares Outstanding)¶" &amp; "WEBPAGE:           →https://www.investopedia.com/terms/e/eps.asp ¶" &amp; "VERSION:           →20 Aug 2026¶" &amp; "PARAMETERS:→¶" &amp; "NetIncome          →(Required) Net Income ¶" &amp; "PreferredDividends →(Required) Dividends paid on prefered stock¶" &amp; "EndOfPeriodCommonSharesOutstanding→(Required) Weighted-average ordinary shares for basic EPS¶" &amp; "→Use closing shares only when they equal that weighted average¶" &amp; "EXAMPLES:          →Formula (oz is assumed to be the module's name)¶" &amp; "1.909548           →=oz.EPSλ( 7.6, 0, 3.98 )", "→", "¶" ) ), _xlpm.Help?, OR( _xlfn.ISOMITTED( _xlpm.NetIncome), _xlfn.ISOMITTED( _xlpm.PreferredDividends), _xlfn.ISOMITTED( _xlpm.EndOfPeriodCommonSharesOutstanding) ), _xlpm.Result, (_xlpm.NetIncome-_xlpm.PreferredDividends)/_xlpm.EndOfPeriodCommonSharesOutstanding, CHOOSE(_xlpm.Help? + 1, _xlpm.Result, _xlpm.Help) ) )</definedName>
    <definedName name="oz.EquityMultiplierλ" comment="Measures the portion of a company’s assets financed by shareholders'_x000a_equity rather than by debt (TotalAssets/TotalShareholdersEquity)">_xlfn.LAMBDA(_xlop.TotalAssets,_xlop.TotalShareholdersEquity, _xlfn.LET(_xlpm.Help, TRIM(_xlfn.TEXTSPLIT("FUNCTION:          →EquityMultiplierλ( TotalAssets, TotalShareholdersEquity)¶" &amp; "DESCRIPTION:       →Measures the portion of a company’s assets financed by shareholders' ¶" &amp; "→equity rather than by debt (TotalAssets/TotalShareholdersEquity)¶" &amp; "WEBPAGE:           →https://www.investopedia.com/terms/e/equitymultiplier.asp ¶" &amp; "VERSION:           →20 Aug 2026¶" &amp; "PARAMETERS:        →¶" &amp; "TotalAssets        →(Required) Both current and long-term assets¶" &amp; "TotalShareholdersEquity →(Required) Shareholders' Equity (total assets - total liabilities) ¶" &amp; "EXAMPLES:          →Formula (oz is assumed to be the module's name)¶" &amp; "4.40625            →=oz.EquityMultiplierλ(366.6, 83.2 )", "→", "¶")), _xlpm.Help?, OR(_xlfn.ISOMITTED(_xlpm.TotalAssets), _xlfn.ISOMITTED(_xlpm.TotalShareholdersEquity)), _xlpm.Result, _xlpm.TotalAssets / _xlpm.TotalShareholdersEquity, CHOOSE(_xlpm.Help? + 1, _xlpm.Result, _xlpm.Help)))</definedName>
    <definedName name="oz.EquityRatioλ" comment="Measures the long-term solvency of a company by comparing its shareholders’ equity to its _x000a_total assets (Shareholder's Equity/(Total Assets - Intangible Assets)).">_xlfn.LAMBDA(_xlop.ShareholdersEquity,_xlop.TotalAssets,_xlop.IntangibleAssets, _xlfn.LET(_xlpm.Help, TRIM(_xlfn.TEXTSPLIT("FUNCTION:          →EquityRatioλ( ShareholdersEquity, TotalAssets, IntangibleAssets)¶" &amp; "DESCRIPTION:       →Measures the long-term solvency of a company by comparing its shareholders’ ¶" &amp; "→equity to its total assets (Shareholder's Equity/(Total Assets - Intangible Assets))¶" &amp; "WEBPAGE:           →https://www.wallstreetprep.com/knowledge/equity-ratio/ ¶" &amp; "VERSION:           →20 Aug 2026¶" &amp; "PARAMETERS:        →¶" &amp; "ShareholdersEquity →(Required) Shareholders' Equity (total assets - total liabilities) ¶" &amp; "TotalAssets        →(Required) Both current and long-term assets¶" &amp; "IntangibleAssets   →(Required) Deducted from total assets before the comparison¶" &amp; "EXAMPLES:          →Formula (oz is assumed to be the module's name)¶" &amp; "40%                →=oz.EquityRatioλ( 20.0, 60.0, 10.0 )", "→", "¶")), _xlpm.Help?, OR(_xlfn.ISOMITTED(_xlpm.ShareholdersEquity), _xlfn.ISOMITTED(_xlpm.TotalAssets), _xlfn.ISOMITTED(_xlpm.IntangibleAssets)), _xlpm.Result, _xlpm.ShareholdersEquity / (_xlpm.TotalAssets - _xlpm.IntangibleAssets), CHOOSE(_xlpm.Help? + 1, _xlpm.Result, _xlpm.Help)))</definedName>
    <definedName name="oz.FilterContainsλ" comment="Filter an array by another array that contains specific text">_xlfn.LAMBDA(_xlop.ArrayToFilter,_xlop.FilterByArray,_xlop.FilterByText,_xlop.IgnoreCase?, _xlfn.LET(_xlpm.Help, TRIM(_xlfn.TEXTSPLIT("FUNCTION:      →FilterContainsλ( ArrayToFilter, FilterByArray, FilterByText, [IgnoreCase?] )¶" &amp; "DESCRIPTION:   →Filter an array by another array that contains specific text.¶" &amp; "SEE ALSO:      →Excel 365 now has REGEXTEST and REGEXEXTRACT for pattern matching.¶" &amp; "WEBPAGE:       →https://github.com/ryanduguid/Ozzit¶" &amp; "VERSION:       →20 Aug 2026¶" &amp; "PARAMETERS:    →¶" &amp; "ArrayToFilter  →(Required) An array to be filtered¶" &amp; "FilterByArray  →(Required) An array containing text to use as a filter¶" &amp; "FilterByText   →(Required) A text string to find in FilterByArray¶" &amp; "IgnoreCase?    →(Optional) A flag to determine if Text's case is important. Default is TRUE¶" &amp; "EXAMPLES:      →¶" &amp; "Result         →Formula (oz is assumed to be the module's name)¶" &amp; """Cat""        →=oz.FilterContainsλ( {""Joe"", ""Sally"", ""Cat""}, {""H1"", ""H2"", ""A1""}, ""A"" )", "→", "¶")), _xlpm.Help?, OR(_xlfn.ISOMITTED(_xlpm.ArrayToFilter), _xlfn.ISOMITTED(_xlpm.FilterByArray), _xlfn.ISOMITTED(_xlpm.FilterByText)), _xlpm.IgnoreCase?, IF(ISLOGICAL(_xlpm.IgnoreCase?), _xlpm.IgnoreCase?, TRUE), _xlpm.Matches, IF(_xlpm.IgnoreCase?, SEARCH(_xlpm.FilterByText, _xlpm.FilterByArray), FIND(_xlpm.FilterByText, _xlpm.FilterByArray)), _xlpm.Result, _xlfn._xlws.FILTER(_xlpm.ArrayToFilter, ISNUMBER(_xlpm.Matches)), CHOOSE(_xlpm.Help? + 1, _xlpm.Result, _xlpm.Help)))</definedName>
    <definedName name="oz.FinancialMonthλ" comment="Numbers each date's month within its financial year, so July is month 1 when the year starts on 1 July">_xlfn.LAMBDA( _xlop.Dates, _xlop.StartMonth, _xlfn.LET( _xlpm.Help, TRIM(_xlfn.TEXTSPLIT( "FUNCTION:      →FinancialMonthλ(Dates, [StartMonth])¶" &amp; "DESCRIPTION:   →Numbers each date's month within its financial year, from 1 to 12.¶" &amp; "NOTES!         →With the default 1 July start, July is month 1 and June is month 12.¶               →Dates may be one date or a range, and the result takes their shape.¶               →FinancialYearλ() labels the year and FinancialQuarterλ() the quarter.¶" &amp; "WEBPAGE:       →https://github.com/ryanduguid/Ozzit¶" &amp; "VERSION:       →20 Oct 2026¶" &amp; "PARAMETERS:    →¶" &amp; "Dates          →(Required) One or more dates, numeric or text. A blank cell returns a blank.¶" &amp; "StartMonth     →(Optional: Default = 7) Month the financial year starts, a whole number from 1 to 12. Blank cells and empty text use 7.¶" &amp; "EXAMPLES:      →¶" &amp; "→Formula (oz is assumed to be the module's name)¶" &amp; "→=oz.FinancialMonthλ(DATE(2026,8,15))¶" &amp; "→Result¶" &amp; "→2", "→", "¶" )), _xlpm.Help?, _xlfn.ISOMITTED(_xlpm.Dates), _xlpm.FYStart, IF(_xlfn.ISOMITTED(_xlpm.StartMonth), 7, IF(_xlpm.StartMonth = "", 7, _xlpm.StartMonth)), _xlpm.ValidStart?, AND(IFERROR(OR(_xlpm.FYStart = _xlfn.SEQUENCE(12)), FALSE)), _xlpm.StartMessage, "FinancialMonthλ needs StartMonth to be a whole number from 1 to 12.", _xlpm.CvtDates, IF( _xlfn.ISOMITTED( _xlpm.Dates), FALSE, IF( ISNUMBER( _xlpm.Dates), _xlpm.Dates, IF( _xlpm.Dates = "", 0, DATEVALUE( _xlpm.Dates))) ), _xlpm.Result, IF(_xlpm.CvtDates = 0, "", MOD(MONTH(_xlpm.CvtDates) - _xlpm.FYStart, 12) + 1), _xlpm.Return, IF(_xlpm.Help?, 2, IF(_xlpm.ValidStart?, 1, 3)), CHOOSE( _xlpm.Return, _xlpm.Result, _xlpm.Help, _xlpm.StartMessage) ) )</definedName>
    <definedName name="oz.FinancialQuarterλ" comment="Numbers each date's quarter within its financial year, so July to September is quarter 1 when the year starts on 1 July">_xlfn.LAMBDA( _xlop.Dates, _xlop.StartMonth, _xlfn.LET( _xlpm.Help, TRIM(_xlfn.TEXTSPLIT( "FUNCTION:      →FinancialQuarterλ(Dates, [StartMonth])¶" &amp; "DESCRIPTION:   →Numbers each date's quarter within its financial year, from 1 to 4.¶" &amp; "NOTES!         →Each quarter is 3 months counted from StartMonth. With the default 1 July¶               →start, July to September is quarter 1 and April to June is quarter 4.¶               →Dates may be one date or a range, and the result takes their shape.¶" &amp; "WEBPAGE:       →https://github.com/ryanduguid/Ozzit¶" &amp; "VERSION:       →20 Oct 2026¶" &amp; "PARAMETERS:    →¶" &amp; "Dates          →(Required) One or more dates, numeric or text. A blank cell returns a blank.¶" &amp; "StartMonth     →(Optional: Default = 7) Month the financial year starts, a whole number from 1 to 12. Blank cells and empty text use 7.¶" &amp; "EXAMPLES:      →¶" &amp; "→Formula (oz is assumed to be the module's name)¶" &amp; "→=oz.FinancialQuarterλ(DATE(2026,11,15))¶" &amp; "→Result¶" &amp; "→2", "→", "¶" )), _xlpm.Help?, _xlfn.ISOMITTED(_xlpm.Dates), _xlpm.FYStart, IF(_xlfn.ISOMITTED(_xlpm.StartMonth), 7, IF(_xlpm.StartMonth = "", 7, _xlpm.StartMonth)), _xlpm.ValidStart?, AND(IFERROR(OR(_xlpm.FYStart = _xlfn.SEQUENCE(12)), FALSE)), _xlpm.StartMessage, "FinancialQuarterλ needs StartMonth to be a whole number from 1 to 12.", _xlpm.CvtDates, IF( _xlfn.ISOMITTED( _xlpm.Dates), FALSE, IF( ISNUMBER( _xlpm.Dates), _xlpm.Dates, IF( _xlpm.Dates = "", 0, DATEVALUE( _xlpm.Dates))) ), _xlpm.Result, IF(_xlpm.CvtDates = 0, "", INT(MOD(MONTH(_xlpm.CvtDates) - _xlpm.FYStart, 12) / 3) + 1), _xlpm.Return, IF(_xlpm.Help?, 2, IF(_xlpm.ValidStart?, 1, 3)), CHOOSE( _xlpm.Return, _xlpm.Result, _xlpm.Help, _xlpm.StartMessage) ) )</definedName>
    <definedName name="oz.FinancialYearλ" comment="Labels dates with their Australian financial year, which starts on 1 July">_xlfn.LAMBDA(_xlop.Dates,_xlop.StartMonth, _xlfn.LET( _xlpm.Help, TRIM(_xlfn.TEXTSPLIT( "FUNCTION:      →FinancialYearλ(Dates, [StartMonth])¶" &amp; "DESCRIPTION:   →Labels dates with their Australian financial year, which starts on 1 July.¶" &amp; "WEBPAGE:       →https://github.com/ryanduguid/Ozzit¶" &amp; "VERSION:       →20 Aug 2026¶" &amp; "PARAMETERS:    →¶" &amp; "Dates          →(Required) One or more dates, numeric or text. A blank cell returns a blank.¶" &amp; "StartMonth     →(Optional: Default = 7) Month the financial year starts. Blank cells and empty text use 7.¶" &amp; "EXAMPLES:      →¶" &amp; "→Formula (oz is assumed to be the module's name)¶" &amp; "→=oz.FinancialYearλ(DATE(2026,8,15))¶" &amp; "→Result¶" &amp; "→FY2027", "→", "¶" )), _xlpm.Help?, _xlfn.ISOMITTED(_xlpm.Dates), _xlpm.FYStart, IF(_xlfn.ISOMITTED(_xlpm.StartMonth), 7, IF(_xlpm.StartMonth = "", 7, _xlpm.StartMonth)), _xlpm.CvtDates, IF( _xlfn.ISOMITTED( _xlpm.Dates), FALSE, IF( ISNUMBER( _xlpm.Dates), _xlpm.Dates, IF( _xlpm.Dates = "", 0, DATEVALUE( _xlpm.Dates))) ), _xlpm.Result, IF(_xlpm.CvtDates = 0, "", "FY" &amp; TEXT(YEAR(_xlpm.CvtDates) + (_xlpm.FYStart&gt;1) * (MONTH(_xlpm.CvtDates) &gt;= _xlpm.FYStart), "0000")), CHOOSE( _xlpm.Help? + 1, _xlpm.Result, _xlpm.Help) ) )</definedName>
    <definedName name="oz.GrossMarginλ" comment="Shows how much profit a company makes after paying off its Cost of Goods Sold">_xlfn.LAMBDA(_xlop.GrossProfit,_xlop.NetSales, _xlfn.LET(_xlpm.Help, TRIM(_xlfn.TEXTSPLIT("FUNCTION:      →GrossMarginλ( GrossProfit, NetSales)¶" &amp; "DESCRIPTION:   →Shows how much profit a company makes after paying off its Cost of Goods Sold (COGS).¶" &amp; "→(Gross Profit/Net Sales)¶" &amp; "WEBPAGE:       →https://corporatefinanceinstitute.com/resources/accounting/gross-margin-ratio/ ¶" &amp; "VERSION:       →20 Aug 2026¶" &amp; "PARAMETERS:→¶" &amp; "GrossProfit    →(Required) Gross Profit¶" &amp; "NetSales       →(Required) Net Sales or Revenue¶" &amp; "EXAMPLES:      →Formula (oz is assumed to be the module's name)¶" &amp; "61.7448%       →=oz.GrossMarginλ( 62.984, 102.007 )", "→", "¶")), _xlpm.Help?, OR(_xlfn.ISOMITTED(_xlpm.GrossProfit), _xlfn.ISOMITTED(_xlpm.NetSales)), _xlpm.Result, _xlpm.GrossProfit / _xlpm.NetSales, CHOOSE(_xlpm.Help? + 1, _xlpm.Result, _xlpm.Help)))</definedName>
    <definedName name="oz.GSTAddλ" comment="Adds GST to one or more GST-exclusive amounts.">_xlfn.LAMBDA(_xlop.Amounts,_xlop.Rate, _xlfn.LET( _xlpm.Help, TRIM(_xlfn.TEXTSPLIT( "FUNCTION:      →GSTAddλ(Amounts, [Rate])¶" &amp; "DESCRIPTION:   →Adds GST to one or more GST-exclusive amounts.¶NOTES!         →The 10% default and one-eleventh extraction reflect the basic rule¶               →for a taxable supply in A New Tax System (Goods and Services Tax)¶               →Act 1999 ss 9-70 and 9-75 (source checked 20 August 2026).¶               →Recheck the current Act. These helpers apply arithmetic only: they¶               →do not decide whether a supply is taxable, GST-free, input taxed,¶               →outside the GST system, or subject to a special rule.¶" &amp; "WEBPAGE:       →https://github.com/ryanduguid/Ozzit¶" &amp; "VERSION:       →20 Aug 2026¶" &amp; "PARAMETERS:    →¶" &amp; "Amounts        →(Required) One or more GST-exclusive amounts.¶" &amp; "Rate           →(Optional: Default = 0.1) GST rate as a fraction.¶" &amp; "EXAMPLES:      →¶" &amp; "→Formula (oz is assumed to be the module's name)¶" &amp; "→=oz.GSTAddλ(100)¶" &amp; "→Result¶" &amp; "→110", "→", "¶" )), _xlpm.Help?, _xlfn.ISOMITTED(_xlpm.Amounts), _xlpm.GSTRate, IF(_xlfn.ISOMITTED(_xlpm.Rate), 0.1, IF(TRIM(_xlpm.Rate &amp; "")="", 0.1, _xlpm.Rate)), _xlpm.Result, IF(TRIM(_xlpm.Amounts &amp; "")="", "", _xlpm.Amounts * (1 + _xlpm.GSTRate)), CHOOSE( _xlpm.Help? + 1, _xlpm.Result, _xlpm.Help) ) )</definedName>
    <definedName name="oz.GSTExtractλ" comment="Returns the GST contained in one or more GST-inclusive amounts.">_xlfn.LAMBDA(_xlop.Amounts,_xlop.Rate, _xlfn.LET( _xlpm.Help, TRIM(_xlfn.TEXTSPLIT( "FUNCTION:      →GSTExtractλ(Amounts, [Rate])¶" &amp; "DESCRIPTION:   →Returns the GST contained in one or more GST-inclusive amounts.¶NOTES!         →The 10% default and one-eleventh extraction reflect the basic rule¶               →for a taxable supply in A New Tax System (Goods and Services Tax)¶               →Act 1999 ss 9-70 and 9-75 (source checked 20 August 2026).¶               →Recheck the current Act. These helpers apply arithmetic only: they¶               →do not decide whether a supply is taxable, GST-free, input taxed,¶               →outside the GST system, or subject to a special rule.¶" &amp; "WEBPAGE:       →https://github.com/ryanduguid/Ozzit¶" &amp; "VERSION:       →20 Aug 2026¶" &amp; "PARAMETERS:    →¶" &amp; "Amounts        →(Required) One or more GST-inclusive amounts.¶" &amp; "Rate           →(Optional: Default = 0.1) GST rate as a fraction.¶" &amp; "EXAMPLES:      →¶" &amp; "→Formula (oz is assumed to be the module's name)¶" &amp; "→=oz.GSTExtractλ(110)¶" &amp; "→Result¶" &amp; "→10", "→", "¶" )), _xlpm.Help?, _xlfn.ISOMITTED(_xlpm.Amounts), _xlpm.GSTRate, IF(_xlfn.ISOMITTED(_xlpm.Rate), 0.1, IF(TRIM(_xlpm.Rate &amp; "")="", 0.1, _xlpm.Rate)), _xlpm.Result, IF(TRIM(_xlpm.Amounts &amp; "")="", "", _xlpm.Amounts * _xlpm.GSTRate / (1 + _xlpm.GSTRate)), CHOOSE( _xlpm.Help? + 1, _xlpm.Result, _xlpm.Help) ) )</definedName>
    <definedName name="oz.InterestCoverageRatioλ" comment="Determines how easily a company can pay interest on its outstanding debt_x000a_(Operating Income/Interest Expenses)">_xlfn.LAMBDA(_xlop.OperatingIncome,_xlop.InterestExpenses, _xlfn.LET(_xlpm.Help, TRIM(_xlfn.TEXTSPLIT("FUNCTION:          →InterestCoverageRatioλ( OperatingIncome, InterestExpenses)¶" &amp; "DESCRIPTION:       →Determines how easily a company can pay interest on its outstanding debt¶" &amp; "→(Operating Income/Interest Expenses)¶" &amp; "WEBPAGE:           →https://www.investopedia.com/terms/i/interestcoverageratio.asp ¶" &amp; "VERSION:           →20 Aug 2026¶" &amp; "PARAMETERS:        →¶" &amp; "OperatingIncome    →(Required) Operating Income (EBIT) ¶" &amp; "InterestExpenses   →(Required) Interest Expense ¶" &amp; "EXAMPLES:          →Formula (oz is assumed to be the module's name)¶" &amp; "6.944444           →=oz.InterestCoverageRatioλ( 625.0, 90.0 )", "→", "¶")), _xlpm.Help?, OR(_xlfn.ISOMITTED(_xlpm.OperatingIncome), _xlfn.ISOMITTED(_xlpm.InterestExpenses)), _xlpm.Result, _xlpm.OperatingIncome / _xlpm.InterestExpenses, CHOOSE(_xlpm.Help? + 1, _xlpm.Result, _xlpm.Help)))</definedName>
    <definedName name="oz.InterestLRVλ" comment="Calculates debt sculpting interest on the average balance over the period, the method presented by Lance Rubin">_xlfn.LAMBDA(_xlop.CFADS,_xlop.DSCR,_xlop.Principal,_xlop.InterestRate, _xlfn.LET(_xlpm.Help, TRIM(_xlfn.TEXTSPLIT( "FUNCTION:      →InterestLRVλ(CFADS, DSCR, Principal, InterestRate)¶" &amp; "DESCRIPTION:   →Calculates debt sculpting interest using the method presented by Lance Rubin.¶" &amp; "→Interest is charged on the average balance over the period, with the¶" &amp; "→principal repaid capped at the principal outstanding. The average balance¶" &amp; "→depends on the interest and the interest on the average balance, which¶" &amp; "→is solved in closed form rather than by iteration.¶" &amp; "WEBPAGE:       →https://github.com/ryanduguid/Ozzit¶" &amp; "VERSION:       →20 Aug 2026¶" &amp; "PARAMETERS:    →¶" &amp; "CFADS          →(Required) Cash Flow Available for Debt Service for this period¶" &amp; "DSCR           →(Required) Debt Service Coverage Ratio for this period¶" &amp; "Principal      →(Required) Principal balance for this period¶" &amp; "InterestRate   →(Required) Interest rate for this period (eg. APR/Days in this year * Days in this period)¶" &amp; "EXAMPLES:      →¶" &amp; "Result         →Formula (oz is assumed to be the module's name)¶" &amp; "222.90         →=oz.InterestLRVλ( 6666.37, 3.50, 90000, 3%/12)", "→", "¶" ) ), _xlpm.Help?, OR( _xlfn.ISOMITTED( _xlpm.CFADS), _xlfn.ISOMITTED( _xlpm.DSCR), _xlfn.ISOMITTED( _xlpm.Principal), _xlfn.ISOMITTED( _xlpm.InterestRate) ), _xlpm.ErrMsgs, {"CFADS must be a single number holding cash available for debt service for this period";"DSCR must be a single positive number holding debt service coverage ratio for this period";"Principal must be a single number holding this period's opening debt balance";"InterestRate must be a single number holding this period's interest rate (APR/Days in this year * Days in this period)"}, _xlpm.Errors, _xlfn.VSTACK( NOT( AND( ISNUMBER( _xlpm.CFADS), COLUMNS( _xlpm.CFADS) = 1)), NOT( AND( ISNUMBER( _xlpm.DSCR), COLUMNS( _xlpm.DSCR) = 1, _xlpm.DSCR &gt; 0)), NOT( AND( ISNUMBER( _xlpm.Principal), COLUMNS( _xlpm.Principal) = 1)), NOT( AND( ISNUMBER( _xlpm.InterestRate), COLUMNS( _xlpm.InterestRate) = 1)) ), _xlpm.Messages, _xlfn._xlws.FILTER( _xlpm.ErrMsgs, _xlpm.Errors, ""), _xlpm.DebtService, _xlpm.CFADS / _xlpm.DSCR, _xlpm.Capped?, _xlpm.DebtService &gt;= _xlpm.Principal * ( 1 + _xlpm.InterestRate / 2), _xlpm.Interest, IF( _xlpm.Capped?, _xlpm.Principal * _xlpm.InterestRate / 2, _xlpm.InterestRate * ( 2 * _xlpm.Principal - _xlpm.DebtService) / ( 2 - _xlpm.InterestRate) ), _xlpm.Result, MAX( _xlpm.Interest, 0), _xlpm.Return, IF( _xlpm.Help?, 2, IF( OR( _xlpm.Errors), 3, 1)), CHOOSE( _xlpm.Return, _xlpm.Result, _xlpm.Help, _xlpm.Messages) ) )</definedName>
    <definedName name="oz.IntOnIntλ" comment="Calculate Interest on Interest. Use to determine amount needed to cover debt plus interest on debt">_xlfn.LAMBDA(_xlop.Principal,_xlop.Rate, _xlfn.LET(_xlpm.Help, TRIM(_xlfn.TEXTSPLIT("FUNCTION:      →IntOnIntλ( Principal, Rate)¶" &amp; "DESCRIPTION:   →Calculate Interest on Interest (Interest only). Use to determine amount ¶" &amp; "→needed to cover borrowed interest¶" &amp; "WEBSITE:       →https://github.com/ryanduguid/Ozzit¶" &amp; "VERSION:       →20 Aug 2026¶" &amp; "PARAMETERS:    →¶" &amp; "Principal     →(Required) Principal amount¶" &amp; "Rate          →(Required) Interest percentage rate. For years, APR. For months, APR/12¶" &amp; "EXAMPLES:      →¶" &amp; "Result         →Formula (oz is assumed to be the module's name)¶" &amp; "52.63          →=oz.IntOnIntλ( 1000, 5%)", "→", "¶")), _xlpm.Help?, OR(_xlfn.ISOMITTED(_xlpm.Principal), _xlfn.ISOMITTED(_xlpm.Rate)), _xlpm.Result, _xlpm.Principal / (1 - _xlpm.Rate) - _xlpm.Principal, CHOOSE(_xlpm.Help? + 1, _xlpm.Result, _xlpm.Help)))</definedName>
    <definedName name="oz.InventoryTurnoverRatioλ" comment="Shows how many times a company turned over its inventory relative _x000a_    to its cost of goods sold (COGS) (COGS/Average Inventory)">_xlfn.LAMBDA(_xlop.CostOfGoodsSold,_xlop.AverageInventory, _xlfn.LET(_xlpm.Help, TRIM(_xlfn.TEXTSPLIT("FUNCTION:          →InventoryTurnoverRatioλ( CostOfGoodsSold, AverageInventory)¶" &amp; "DESCRIPTION:       →Shows how many times a company turned over its inventory relative ¶" &amp; "→to its cost of goods sold (COGS) (COGS/Average Inventory)¶" &amp; "WEBPAGE:           →https://www.investopedia.com/terms/i/inventoryturnover.asp ¶" &amp; "VERSION:           →20 Aug 2026¶" &amp; "PARAMETERS:→¶" &amp; "CostOfGoodsSold    →(Required) Cost of Goods Sold (COGS) which can include:¶" &amp; "→Office supply costs¶" &amp; "→Rent and utility expenses¶" &amp; "→Repair and maintenance costs¶" &amp; "→Salary and wage expenses¶" &amp; "AverageInventory   →(Required) Average of period open and close inventory ¶" &amp; "EXAMPLES:          →Formula (oz is assumed to be the module's name)¶" &amp; "8.461538           →=oz.InventoryTurnoverRatioλ( 429, 50.7)", "→", "¶")), _xlpm.Help?, OR(_xlfn.ISOMITTED(_xlpm.CostOfGoodsSold), _xlfn.ISOMITTED(_xlpm.AverageInventory)), _xlpm.Result, _xlpm.CostOfGoodsSold / _xlpm.AverageInventory, CHOOSE(_xlpm.Help? + 1, _xlpm.Result, _xlpm.Help)))</definedName>
    <definedName name="oz.IRRλ" comment="Calculates IRR, correcting for when the first investment is not in the first period">_xlfn.LAMBDA(_xlop.Values,_xlop.Dates, _xlfn.LET(_xlpm.Help, TRIM(_xlfn.TEXTSPLIT("FUNCTION:      →IRRλ( Values, Dates)¶" &amp; "DESCRIPTION:   →Calculates IRR, correcting for when the first investment is not in the first period¶" &amp; "WEBSITE:       →https://github.com/ryanduguid/Ozzit¶" &amp; "VERSION:       →20 Aug 2026¶" &amp; "PARAMETERS:    →¶" &amp; "Values         →(Required) A row of investments (negative) and distributions (positive)¶" &amp; "→The first entry, whether 0 or an amount, must be for the first period in the timeline¶" &amp; "→and subsequent entries must correspond to periods in the timeline; however,¶" &amp; "→the timeline may extend beyond the end of values.¶" &amp; "Dates          →(Required) A timeline for when each investment is made¶" &amp; "→¶" &amp; "EXAMPLES:      →¶" &amp; "Result         →Formula (oz is assumed to be the module's name)¶" &amp; "Dates          →=EDATE(""1/7/2026"", SEQUENCE(,24, 0))¶" &amp; "Values         →={0,0,-150,0,-100,10,20,30,40,50,60,70}¶" &amp; "→¶" &amp; "Result         →Formula¶" &amp; "25%            →=oz.IRRλ( Values, Dates)", "→", "¶")), _xlpm.Help?, OR(_xlfn.ISOMITTED(_xlpm.Values), _xlfn.ISOMITTED(_xlpm.Dates)), _xlpm.Values, _xlfn.EXPAND(_xlpm.Values, 1, COUNTA(_xlpm.Dates), 0), _xlpm.FilterBy, _xlpm.Values &lt;&gt; 0, _xlpm.FilteredValues, _xlfn._xlws.FILTER(_xlpm.Values, _xlpm.FilterBy), _xlpm.FilteredDates, _xlfn._xlws.FILTER(_xlpm.Dates, _xlpm.FilterBy), _xlpm.Result, XIRR(_xlpm.FilteredValues, _xlpm.FilteredDates), CHOOSE(_xlpm.Help? + 1, _xlpm.Result, _xlpm.Help)))</definedName>
    <definedName name="oz.IsBetweenEλ" comment="Determine if a value is between a lower and upper limit">_xlfn.LAMBDA(_xlop.Value,_xlop.Low,_xlop.Hi,_xlop.Inclusive, _xlfn.LET(_xlpm.Help, TRIM(_xlfn.TEXTSPLIT("FUNCTION:      →IsBetweenEλ( Value, Low, Hi, [Inclusive])¶" &amp; "DESCRIPTION:   →Determine if a value is between a lower and upper limit.¶" &amp; "PARAMETERS:    →¶" &amp; "Value          →(Required) A value or array of values to compare.¶" &amp; "Low            →(Required) The lower limit that the value must be greater than¶" &amp; "Hi             →(Required) The higher limit that the value must be less than¶" &amp; "Inclusive      →(Optional) If set to TRUE (default) the value can be equal to Low and/or Hi¶" &amp; "→¶" &amp; "EXAMPLES:      →¶" &amp; "Result         →Formula¶" &amp; "FALSE          →=IsBetweenEλ(1, 2, 4)¶" &amp; "TRUE           →=IsBetweenEλ(2, 2, 4)¶" &amp; "FALSE          →=IsBetweenEλ(2, 2, 4, FALSE)", "→", "¶")), _xlpm.Inclusive, IF(ISLOGICAL(_xlpm.Inclusive), _xlpm.Inclusive, TRUE), _xlpm.Help?, OR(_xlfn.ISOMITTED(_xlpm.Value), _xlfn.ISOMITTED(_xlpm.Low), _xlfn.ISOMITTED(_xlpm.Hi)), _xlpm.Result, IF(_xlpm.Inclusive, (_xlpm.Value &gt;= _xlpm.Low) * (_xlpm.Value &lt;= _xlpm.Hi) = 1, (_xlpm.Value &gt; _xlpm.Low) * (_xlpm.Value &lt; _xlpm.Hi) = 1), CHOOSE(_xlpm.Help? + 1, _xlpm.Result, _xlpm.Help)))</definedName>
    <definedName name="oz.IsBetweenUλ" comment="Determine if a value is between a lower and upper limit">_xlfn.LAMBDA(_xlop.Value,_xlop.Low,_xlop.Hi,_xlop.Inclusive, _xlfn.LET(_xlpm.Help, TRIM(_xlfn.TEXTSPLIT("FUNCTION:      →IsBetweenUλ( Value, Low, Hi, [Inclusive])¶" &amp; "DESCRIPTION:   →Determine if a value is between a lower and upper limit.¶" &amp; "PARAMETERS:    →¶" &amp; "Value          →(Required) A value or array of values to compare.¶" &amp; "Low            →(Required) The lower limit that the value must be greater than¶" &amp; "Hi             →(Required) The higher limit that the value must be less than¶" &amp; "Inclusive      →(Optional) If set to TRUE (default) the value can be equal to Low and/or Hi¶" &amp; "→¶" &amp; "EXAMPLES:      →¶" &amp; "Result         →Formula¶" &amp; "FALSE          →=IsBetweenUλ(1, 2, 4)¶" &amp; "TRUE           →=IsBetweenUλ(2, 2, 4)¶" &amp; "FALSE          →=IsBetweenUλ(2, 2, 4, FALSE)", "→", "¶")), _xlpm.Inclusive, IF(ISLOGICAL(_xlpm.Inclusive), _xlpm.Inclusive, TRUE), _xlpm.Help?, OR(_xlfn.ISOMITTED(_xlpm.Value), _xlfn.ISOMITTED(_xlpm.Low), _xlfn.ISOMITTED(_xlpm.Hi)), _xlpm.Result, IF(_xlpm.Inclusive, (_xlpm.Value &gt;= _xlpm.Low) * (_xlpm.Value &lt;= _xlpm.Hi) = 1, (_xlpm.Value &gt; _xlpm.Low) * (_xlpm.Value &lt; _xlpm.Hi) = 1), CHOOSE(_xlpm.Help? + 1, _xlpm.Result, _xlpm.Help)))</definedName>
    <definedName name="oz.IsBetweenλ" comment="Determine if a value is between a lower and upper limit">_xlfn.LAMBDA(_xlop.Values,_xlop.Low,_xlop.High,_xlop.Inclusive, _xlfn.LET(_xlpm.Help, TRIM(_xlfn.TEXTSPLIT("FUNCTION:      →IsBetweenλ(Values, Low, High, [Inclusive])¶" &amp; "DESCRIPTION:   →Determine if a value is between a lower and upper limit.¶" &amp; "WEBSITE:       →https://github.com/ryanduguid/Ozzit ¶" &amp; "PARAMETERS:    →¶" &amp; "Values         →(Required) one or more values to compare.¶" &amp; "Low            →(Required) The lower limit that the value(s) must be greater than¶" &amp; "High           →(Required) The higher limit that the value(s) must be less than¶" &amp; "Inclusive      →(Optional) TRUE: Value(s) can be equal to Low and/or High (default)¶" &amp; "EXAMPLES:      →¶" &amp; "Result         →Formula (oz is assumed to be the module's name)¶" &amp; "FALSE          →=oz.IsBetweenλ(1, 2, 4)¶" &amp; "TRUE           →=oz.IsBetweenλ(Today(), Today(), Today()+1)¶" &amp; "FALSE          →=oz.IsBetweenλ(""B"", ""B"", ""D"", FALSE)", "→", "¶")), _xlpm.Inclusive, IF(ISLOGICAL(_xlpm.Inclusive), _xlpm.Inclusive, TRUE), _xlpm.Help?, OR(_xlfn.ISOMITTED(_xlpm.Values), _xlfn.ISOMITTED(_xlpm.Low), _xlfn.ISOMITTED(_xlpm.High)), _xlpm.Result, IF(_xlpm.Inclusive, (_xlpm.Values &gt;= _xlpm.Low) * (_xlpm.Values &lt;= _xlpm.High) = 1, (_xlpm.Values &gt; _xlpm.Low) * (_xlpm.Values &lt; _xlpm.High) = 1), CHOOSE(_xlpm.Help? + 1, _xlpm.Result, _xlpm.Help)))</definedName>
    <definedName name="oz.IsInListUλ" comment="Determine whether a value is one of a list of items">_xlfn.LAMBDA(_xlop.Value,_xlop.List, _xlfn.LET(_xlpm.Help, TRIM(_xlfn.TEXTSPLIT( "FUNCTION:      →IsInListUλ( Value, List)¶" &amp; "DESCRIPTION:   →Determine if a value is one of a list of items.¶" &amp; "PARAMETERS:    →¶" &amp; "Value          →(Required) A value or array of values to compare.¶" &amp; "List           →(Required) A list of values to check: a row, a column or a grid.¶" &amp; "NOTE!          →The comparison is exact and case-insensitive; * and ? are ordinary characters.¶" &amp; "→¶" &amp; "EXAMPLES:      →¶" &amp; "Result         →Formula¶" &amp; "FALSE          →=IsInListUλ(1, {2,3,4})¶" &amp; "TRUE           →=IsInListUλ(1, {1,3,5})¶" &amp; "→", "→", "¶" ) ), _xlpm.Help?, OR( _xlfn.ISOMITTED( _xlpm.Value), _xlfn.ISOMITTED( _xlpm.List) ), _xlpm.Result, ISNUMBER( _xlfn.XMATCH( _xlpm.Value, _xlfn.TOCOL( _xlpm.List), 0)), CHOOSE(_xlpm.Help? + 1, _xlpm.Result, _xlpm.Help) ) )</definedName>
    <definedName name="oz.IsInListλ" comment="Determine whether a value is one of a list of items">_xlfn.LAMBDA(_xlop.Value,_xlop.List, _xlfn.LET(_xlpm.Help, TRIM(_xlfn.TEXTSPLIT( "FUNCTION:      →IsInListλ( Value, List)¶" &amp; "DESCRIPTION:   →Determine if a value is one of a list of items.¶" &amp; "PARAMETERS:    →¶" &amp; "Value          →(Required) A value or array of values to compare.¶" &amp; "List           →(Required) A list of values to check: a row, a column or a grid.¶" &amp; "NOTE!          →The comparison is exact and case-insensitive; * and ? are ordinary characters.¶" &amp; "→¶" &amp; "EXAMPLES:      →¶" &amp; "Result         →Formula¶" &amp; "FALSE          →=IsInListλ(1, {2,3,4})¶" &amp; "TRUE           →=IsInListλ(1, {1,3,5})¶" &amp; "→", "→", "¶" ) ), _xlpm.Help?, OR( _xlfn.ISOMITTED( _xlpm.Value), _xlfn.ISOMITTED( _xlpm.List) ), _xlpm.Result, ISNUMBER( _xlfn.XMATCH( _xlpm.Value, _xlfn.TOCOL( _xlpm.List), 0)), CHOOSE(_xlpm.Help? + 1, _xlpm.Result, _xlpm.Help) ) )</definedName>
    <definedName name="oz.IsOccurrenceDateλ" comment="Returns TRUE if Date passed is when something happens. This was developed for budgeting where we have expenses that start, and sometimes repeat at regular intervals.">_xlfn.LAMBDA(_xlop.Dates,_xlop.FirstOccurrence,_xlop.LastOccurrence,_xlop.Repeats, _xlfn.LET( _xlpm.Help, TRIM(_xlfn.TEXTSPLIT( "FUNCTION:      →IsOccurrenceDateλ(Dates, FirstOccurrence, [LastOccurrence], [Repeats])¶" &amp; "DESCRIPTION:   →Returns TRUE if a Date is when something happens.¶" &amp; "               →This was developed for budgeting where we have expenses that start,¶" &amp; "               →and sometimes repeat at regular intervals.¶" &amp; "WEBSITE:       →https://github.com/ryanduguid/Ozzit¶" &amp; "PARAMETERS:    →¶" &amp; "Dates          →(Required) Date to test. Normally this is horizontal timeline by day¶" &amp; "FirstOccurrence →(Required) When something that may repeat, happens for the first time.¶" &amp; "LastOccurrence  →(Optional) When something that may repeat, happens for the last time.¶" &amp; "→If omitted, it is assumed repeating items repeat forever.¶" &amp; "Repeats        →(Optional) A code that conveys how often this thing repeats. Repeat codes are¶" &amp; "→O=One time/never repeats (default)¶" &amp; "→A=Annually¶" &amp; "→S=Semi-Annually¶" &amp; "→Q=Quarterly¶" &amp; "→M=Monthly¶" &amp; "→B=BiWeekly¶" &amp; "→W=Weekly¶" &amp; "→X=Every Workday (Monday to Friday)¶" &amp; "→D=Daily¶" &amp; "NOTE!          →A monthly, quarterly, semi-annual or annual item that starts on the 29th, 30th or 31st¶" &amp; "→falls on the last day of any shorter month.¶" &amp; "EXAMPLES:      →¶" &amp; "Result         →Formula (oz is assumed to be the module's name)¶" &amp; "72             →=SUM(N(oz.IsOccurrenceDateλ(SEQUENCE(,90,""1/7/2026""), ""1/7/2026"", ""10/9/2026"", ""D"")))¶" &amp; "01             →=SUM(N(oz.IsOccurrenceDateλ(SEQUENCE(,90,""1/7/2026""), ""1/7/2026"", ""10/9/2026"", ""O"")))¶" &amp; "11             →=SUM(N(oz.IsOccurrenceDateλ(SEQUENCE(,90,""1/7/2026""), ""1/7/2026"", ""10/9/2026"", ""W"")))", "→", "¶" ) ), _xlpm.SemiAnnually, 6, _xlpm.Quarterly, 3, _xlpm.Biweekly, 14, _xlpm.Weekly, 7, _xlpm.Mon2Sun, 2, _xlpm.Friday, 5, _xlpm.Help?, OR( _xlfn.ISOMITTED( _xlpm.Dates), _xlfn.ISOMITTED( _xlpm.FirstOccurrence) ), _xlpm.CvtDates, IF( _xlfn.ISOMITTED( _xlpm.Dates), FALSE, IF( ISNUMBER( _xlpm.Dates), _xlpm.Dates, DATEVALUE( _xlpm.Dates)) ), _xlpm.CvtFirsts, IF( _xlfn.ISOMITTED( _xlpm.FirstOccurrence), FALSE, IF( ISNUMBER( _xlpm.FirstOccurrence), _xlpm.FirstOccurrence, DATEVALUE( _xlpm.FirstOccurrence)) ), _xlpm.CvtLasts, IF( _xlfn.ISOMITTED( _xlpm.LastOccurrence), FALSE, IF( TRIM( _xlpm.LastOccurrence) = "", "", IF( ISNUMBER( _xlpm.LastOccurrence), _xlpm.LastOccurrence, DATEVALUE( _xlpm.LastOccurrence))) ), _xlpm.Repeats, IF( _xlfn.ISOMITTED( _xlpm.Repeats), "O", IF( TRIM( _xlpm.Repeats) = "", "O", LEFT( _xlpm.Repeats, 1))), _xlpm.MonthEnds, DAY( EOMONTH( _xlpm.CvtDates, 0)), _xlpm.SameDay, DAY( _xlpm.CvtDates) = IF( DAY( _xlpm.CvtFirsts) &gt; _xlpm.MonthEnds, _xlpm.MonthEnds, DAY( _xlpm.CvtFirsts)), _xlpm.SameMonth, MONTH( _xlpm.CvtDates) = MONTH( _xlpm.CvtFirsts), _xlpm.Test, ( _xlpm.CvtFirsts &lt;= _xlpm.CvtDates) * IF(TRIM( _xlpm.CvtLasts) = "", 1, _xlpm.CvtDates &lt;= _xlpm.CvtLasts) * _xlfn.SWITCH( _xlpm.Repeats, "O", _xlpm.CvtDates = _xlpm.CvtFirsts, "A", _xlpm.SameDay * _xlpm.SameMonth, "S", _xlpm.SameDay * (MOD( MONTH( _xlpm.CvtDates), _xlpm.SemiAnnually) = MOD( MONTH( _xlpm.CvtFirsts), _xlpm.SemiAnnually)), "Q", _xlpm.SameDay * (MOD( MONTH( _xlpm.CvtDates), _xlpm.Quarterly) = MOD( MONTH( _xlpm.CvtFirsts), _xlpm.Quarterly)), "M", _xlpm.SameDay, "B", MOD( _xlpm.CvtDates, _xlpm.Biweekly) = MOD( _xlpm.CvtFirsts, _xlpm.Biweekly), "W", MOD( _xlpm.CvtDates, _xlpm.Weekly) = MOD( _xlpm.CvtFirsts, _xlpm.Weekly), "X", WEEKDAY( _xlpm.CvtDates, _xlpm.Mon2Sun) &lt;= _xlpm.Friday, "D", TRUE, 0 ), _xlpm.Result, _xlpm.Test = 1, CHOOSE( _xlpm.Help? + 1, _xlpm.Result, _xlpm.Help) ) )</definedName>
    <definedName name="oz.LabelAmortiseλ" comment="Create labels for Amortiseλ">_xlfn.LAMBDA(_xlop.LoanNames,_xlop.LoanAmounts,_xlop.LoanAPRs,_xlop.LoanTerms, _xlfn.LET( _xlpm.Help, TRIM(_xlfn.TEXTSPLIT( "FUNCTION:      →LabelAmortiseλ(LoanNames, [LoanAmounts], [LoanAPRs], [LoanTerms])¶" &amp; "DESCRIPTION:   →Create row labels for the amortisation schedule array produced by Amortiseλ¶" &amp; "WEBPAGE:       →https://github.com/ryanduguid/Ozzit¶" &amp; "VERSION:       →20 Aug 2026¶" &amp; "PARAMETERS:    →¶" &amp; "LoanNames     →(Required) Names or descriptions of each loan in the amortisation schedule produced by Amortiseλ¶" &amp; "LoanAmounts   →(Optional) Amount borrowed¶" &amp; "LoanAPRs      →(Optional) Annual Percentage Interest Rate¶" &amp; "LoanTerms     →(Optional) Number of months to repay¶" &amp; "EXAMPLES:      →¶" &amp; "Result         →Formula (oz is assumed to be the module's name)¶" &amp; "→=oz.LabelAmortiseλ(tblLoans[Loan Name])", "→", "¶" ) ), _xlpm.Help?, _xlfn.ISOMITTED( _xlpm.LoanNames), _xlpm.Optionals, NOT( OR( _xlfn.ISOMITTED( _xlpm.LoanAmounts), _xlfn.ISOMITTED( _xlpm.LoanAPRs), _xlfn.ISOMITTED( _xlpm.LoanTerms) )), _xlpm.Result, _xlfn.MAKEARRAY( ROWS( _xlpm.LoanNames) * 7 - 1, IF( _xlpm.Optionals, 3, 1), _xlfn.LAMBDA(_xlpm.Row,_xlpm.Col, _xlfn.LET(_xlpm.Idx, QUOTIENT( _xlpm.Row - 1, 7) + 1, _xlpm.Line, MOD( _xlpm.Row - 1, 7) + 1, _xlpm.LoanName, INDEX( _xlpm.LoanNames, _xlpm.Idx), _xlpm.LoanAmount, IF(_xlfn.ISOMITTED( _xlpm.LoanAmounts), 0, INDEX( _xlpm.LoanAmounts, _xlpm.Idx)), _xlpm.LoanAPR, IF(_xlfn.ISOMITTED( _xlpm.LoanAPRs), 0, INDEX( _xlpm.LoanAPRs, _xlpm.Idx)), _xlpm.LoanTerm, IF(_xlfn.ISOMITTED( _xlpm.LoanTerms), 0, INDEX( _xlpm.LoanTerms, _xlpm.Idx)), _xlfn.SWITCH( _xlpm.Col, 1, _xlfn.SWITCH( _xlpm.Line, 1, _xlpm.LoanName &amp; " Debt Issuance", 2, _xlpm.LoanName &amp; " Debt Balance", 3, _xlpm.LoanName &amp; " Interest", 4, _xlpm.LoanName &amp; " Debt Services", 5, _xlpm.LoanName &amp; " Closing Balance", 6, _xlpm.LoanName &amp; " Debt Repayment", ""), 2, _xlfn.SWITCH( _xlpm.Line, 1, _xlpm.LoanAmount, 3, TEXT( _xlpm.LoanAPR, "0.00%"), 4, _xlpm.LoanTerm, ""), 3, _xlfn.SWITCH( _xlpm.Line, 3, "APR", 4, "Months", "") ) ) ) ), CHOOSE(_xlpm.Help? + 1, _xlpm.Result, _xlpm.Help) ) )</definedName>
    <definedName name="oz.LabelDepreciateλ" comment="Create labels for Depreciateλ">_xlfn.LAMBDA(_xlop.AssetNames, _xlfn.LET(_xlpm.Help, TRIM(_xlfn.TEXTSPLIT("FUNCTION:      →LabelDepreciateλ( AssetNames)¶" &amp; "DESCRIPTION:   →Create row labels for the depreciation schedule array produced by Depreciateλ¶" &amp; "WEBPAGE:       →https://github.com/ryanduguid/Ozzit¶" &amp; "VERSION:       →20 Aug 2026¶" &amp; "PARAMETERS:    →¶" &amp; "AssetNames     →(Required) The names or descriptions of each asset in the depreciation schedule produced by Depreciateλ¶" &amp; "EXAMPLES:      →¶" &amp; "Result         →Formula (oz is assumed to be the module's name)¶" &amp; "→=oz.LabelDepreciateλ(tblAssets[Asset Name])", "→", "¶")), _xlpm.Help?, _xlfn.ISOMITTED(_xlpm.AssetNames), _xlpm.Result, _xlfn.MAKEARRAY(ROWS(_xlpm.AssetNames) * 7 - 1, 1, _xlfn.LAMBDA(_xlpm.R,_xlpm.C, _xlfn.LET(_xlpm.AssetName, INDEX(_xlpm.AssetNames, QUOTIENT(_xlpm.R - 1, 7) + 1), _xlfn.SWITCH(MOD(_xlpm.R - 1, 7) + 1, 1, _xlpm.AssetName &amp; " CAPEX", 2, _xlpm.AssetName &amp; " Opening Value", 3, _xlpm.AssetName &amp; " Depreciation", 4, _xlpm.AssetName &amp; " Book Value", 5, _xlpm.AssetName &amp; " Revenue from Sale", 6, _xlpm.AssetName &amp; " Disposal Costs", 7, "")))), CHOOSE(_xlpm.Help? + 1, _xlpm.Result, _xlpm.Help)))</definedName>
    <definedName name="oz.LeaseLiabilityλ" comment="Present value of the lease payments that are not paid at the commencement date">_xlfn.LAMBDA(_xlop.Payments,_xlop.Rate,_xlop.InAdvance, _xlfn.LET( _xlpm.Help, TRIM(_xlfn.TEXTSPLIT( "FUNCTION:      →LeaseLiabilityλ(Payments, Rate, [InAdvance])¶" &amp; "DESCRIPTION:   →Present value of the lease payments that are not paid at the commencement date.¶NOTES!         →AASB 16 paragraph 26 measures the lease liability at the present value¶               →of the lease payments not paid at the commencement date, discounted at¶               →the interest rate implicit in the lease where that rate can be readily¶               →determined and at the lessee's incremental borrowing rate where it¶               →cannot. When InAdvance is TRUE, the first supplied payment is paid at¶               →the measurement date and excluded from the liability. Add a payment¶               →made at or before commencement to the right-of-use asset cost instead.¶               →Rate is per period. Convert an effective annual rate with¶               →PeriodRateλ(AnnualRate, PeriodsPerYear). Divide a nominal annual rate¶               →by PeriodsPerYear only when its compounding periods match the payments.¶               →Include an amount expected to be payable under a¶               →residual value guarantee, or the exercise price of a purchase option,¶               →in the final period where paragraph 27 brings it into the lease¶               →payments. IRRλ() over the same cash flows gives an implicit rate per year;¶               →convert it to the rate per period, (1 + annual) ^ (1 / 12) - 1 for months,¶               →before passing it here.¶               →Arithmetic only: this does not determine the lease term, decide what is¶               →a lease payment, or decide whether the arrangement contains a lease.¶               →AASB 16 compilation checked 24 August 2026.¶" &amp; "WEBPAGE:       →https://github.com/ryanduguid/Ozzit¶" &amp; "VERSION:       →24 Aug 2026¶" &amp; "PARAMETERS:    →¶" &amp; "Payments       →(Required) One row or one column of lease payments, one per period, entered positive. Include the measurement-date payment first when InAdvance is TRUE.¶" &amp; "Rate           →(Required) Discount rate per period, not per year.¶" &amp; "InAdvance      →(Optional: Default = FALSE) TRUE when the first supplied payment is paid at the measurement date.¶" &amp; "EXAMPLES:      →¶" &amp; "→Formula (oz is assumed to be the module's name)¶" &amp; "→=oz.LeaseLiabilityλ({100,100,100}, 0.05)¶" &amp; "→Result¶" &amp; "→272.32", "→", "¶" )), _xlpm.Help?, OR(_xlfn.ISOMITTED(_xlpm.Payments), _xlfn.ISOMITTED(_xlpm.Rate)), _xlpm.Advance?, IF(OR(_xlfn.ISOMITTED(_xlpm.InAdvance), TRIM(_xlpm.InAdvance &amp; "")=""), FALSE, _xlpm.InAdvance), _xlpm.Flat, IF(ROWS(_xlpm.Payments) = 1, _xlpm.Payments, TRANSPOSE(_xlpm.Payments)), _xlpm.Count, COLUMNS(_xlpm.Flat), _xlpm.LiabilityPayments, IF(AND(_xlpm.Advance?, _xlpm.Count &gt; 1), _xlfn.DROP(_xlpm.Flat, , 1), IF(_xlpm.Advance?, 0, _xlpm.Flat)), _xlpm.Exponents, _xlfn.SEQUENCE(1, COLUMNS(_xlpm.LiabilityPayments)), _xlpm.Result, SUM(_xlpm.LiabilityPayments / (1 + _xlpm.Rate) ^ _xlpm.Exponents), CHOOSE( _xlpm.Help? + 1, _xlpm.Result, _xlpm.Help) ) )</definedName>
    <definedName name="oz.LeaseRemeasureλ" comment="Remeasures an AASB 16 lease liability for revised payments and adjusts the right-of-use asset">_xlfn.LAMBDA(_xlop.RevisedPayments,_xlop.Rate,_xlop.CarryingLiability,_xlop.CarryingROU,_xlop.InAdvance, _xlfn.LET( _xlpm.Help, TRIM(_xlfn.TEXTSPLIT( "FUNCTION:      →LeaseRemeasureλ(RevisedPayments, Rate, CarryingLiability, CarryingROU, [InAdvance])¶" &amp; "DESCRIPTION:   →Remeasures a lease liability for revised payments and adjusts the asset.¶NOTES!         →Returns four rows: revised lease liability, adjustment, revised¶               →right-of-use asset, amount recognised in profit or loss. AASB 16¶               →paragraph 42(b) remeasures the liability where future payments change¶               →because an index or a rate used to determine them has changed, and¶               →only when the cash flows change. Paragraph 43 keeps the discount rate¶               →unchanged for that revision, and uses a revised rate only where the¶               →change arises from a floating interest rate, so pass the original rate¶               →unless it is the rate itself that moved. When InAdvance is TRUE, the¶               →first revised payment is paid at the remeasurement date and excluded¶               →from the revised liability. Paragraph 39 takes the remeasurement to the¶               →right-of-use asset, and where that asset is reduced to nil any further¶               →reduction goes to profit or loss: row four carries that remainder,¶               →negative, because it is a credit. Arithmetic only.¶               →AASB 16 compilation checked 24 August 2026.¶" &amp; "WEBPAGE:       →https://github.com/ryanduguid/Ozzit¶" &amp; "VERSION:       →24 Aug 2026¶" &amp; "PARAMETERS:    →¶" &amp; "RevisedPayments→(Required) Revised lease payments for the remaining term, one per period, positive. Include a payment made at the remeasurement date first when InAdvance is TRUE.¶" &amp; "Rate           →(Required) Discount rate per period. Unchanged, unless a floating rate moved.¶" &amp; "CarryingLiability→(Required) Lease liability before remeasurement and before any payment due that day. Do not deduct the first revised payment.¶" &amp; "CarryingROU    →(Required) Right-of-use asset carried immediately before the remeasurement.¶" &amp; "InAdvance      →(Optional: Default = FALSE) TRUE when the first revised payment is paid at the remeasurement date.¶" &amp; "EXAMPLES:      →¶" &amp; "→Formula (oz is assumed to be the module's name)¶" &amp; "→=oz.LeaseRemeasureλ({110,110}, 0.05, 185.94, 181.55)¶" &amp; "→Result¶" &amp; "→204.54¶" &amp; "→ 18.60¶" &amp; "→200.15¶" &amp; "→  0.00", "→", "¶" )), _xlpm.Help?, OR(_xlfn.ISOMITTED(_xlpm.RevisedPayments), _xlfn.ISOMITTED(_xlpm.Rate), _xlfn.ISOMITTED(_xlpm.CarryingLiability), _xlfn.ISOMITTED(_xlpm.CarryingROU)), _xlpm.Advance?, IF(OR(_xlfn.ISOMITTED(_xlpm.InAdvance), TRIM(_xlpm.InAdvance &amp; "")=""), FALSE, _xlpm.InAdvance), _xlpm.Revised, oz.LeaseLiabilityλ(_xlpm.RevisedPayments, _xlpm.Rate, _xlpm.Advance?), _xlpm.PaidNow, IF(_xlpm.Advance?, INDEX(_xlpm.RevisedPayments, 1, 1), 0), _xlpm.Adjustment, _xlpm.Revised + _xlpm.PaidNow - _xlpm.CarryingLiability, _xlpm.RawAsset, _xlpm.CarryingROU + _xlpm.Adjustment, _xlpm.Result, _xlfn.VSTACK(_xlpm.Revised, _xlpm.Adjustment, MAX(_xlpm.RawAsset, 0), MIN(_xlpm.RawAsset, 0)), CHOOSE( _xlpm.Help? + 1, _xlpm.Result, _xlpm.Help) ) )</definedName>
    <definedName name="oz.LeaseScheduleλ" comment="Unwinds an AASB 16 lease liability: opening, payment, interest and closing for each period">_xlfn.LAMBDA(_xlop.Payments,_xlop.Rate,_xlop.InAdvance, _xlfn.LET( _xlpm.Help, TRIM(_xlfn.TEXTSPLIT( "FUNCTION:      →LeaseScheduleλ(Payments, Rate, [InAdvance])¶" &amp; "DESCRIPTION:   →Unwinds an AASB 16 lease liability over its term.¶NOTES!         →Returns four rows: opening liability, payment, interest, closing¶               →liability. When InAdvance is TRUE, the first supplied payment is paid¶               →at the measurement date and is excluded from both the opening liability¶               →and the payment row. Each remaining payment follows one period of¶               →interest, so closing is opening plus interest less payment and the last¶               →closing balance is nil. The result has one fewer column for payments in¶               →advance; a sole measurement-date payment returns one zero column. The¶               →opening balance is LeaseLiabilityλ() on the same arguments. Pair this¶               →with ROUScheduleλ() for the asset that sits opposite it: the two¶               →together give the front-loaded expense profile AASB 16 produces.¶               →Arithmetic only, on the payments and rate you supply.¶" &amp; "WEBPAGE:       →https://github.com/ryanduguid/Ozzit¶" &amp; "VERSION:       →24 Aug 2026¶" &amp; "PARAMETERS:    →¶" &amp; "Payments       →(Required) One row or one column of lease payments, one per period, entered positive. Include the measurement-date payment first when InAdvance is TRUE.¶" &amp; "Rate           →(Required) Discount rate per period, not per year.¶" &amp; "InAdvance      →(Optional: Default = FALSE) TRUE when the first supplied payment is paid at the measurement date.¶" &amp; "EXAMPLES:      →¶" &amp; "→Formula (oz is assumed to be the module's name)¶" &amp; "→=oz.LeaseScheduleλ({100,100,100}, 0.05)¶" &amp; "→Result¶" &amp; "→272.32, 185.94,  95.24¶" &amp; "→100.00, 100.00, 100.00¶" &amp; "→ 13.62,   9.30,   4.76¶" &amp; "→185.94,  95.24,   0.00", "→", "¶" )), _xlpm.Help?, OR(_xlfn.ISOMITTED(_xlpm.Payments), _xlfn.ISOMITTED(_xlpm.Rate)), _xlpm.Advance?, IF(OR(_xlfn.ISOMITTED(_xlpm.InAdvance), TRIM(_xlpm.InAdvance &amp; "")=""), FALSE, _xlpm.InAdvance), _xlpm.Flat, IF(ROWS(_xlpm.Payments) = 1, _xlpm.Payments, TRANSPOSE(_xlpm.Payments)), _xlpm.InputCount, COLUMNS(_xlpm.Flat), _xlpm.LiabilityPayments, IF(AND(_xlpm.Advance?, _xlpm.InputCount &gt; 1), _xlfn.DROP(_xlpm.Flat, , 1), IF(_xlpm.Advance?, 0, _xlpm.Flat)), _xlpm.Count, COLUMNS(_xlpm.LiabilityPayments), _xlpm.Opening1, oz.LeaseLiabilityλ(_xlpm.Flat, _xlpm.Rate, _xlpm.Advance?), _xlpm.Closings, _xlfn.SCAN(_xlpm.Opening1, _xlpm.LiabilityPayments, _xlfn.LAMBDA(_xlpm.Balance,_xlpm.Payment, _xlpm.Balance * (1 + _xlpm.Rate) - _xlpm.Payment)), _xlpm.Openings, IF(_xlpm.Count = 1, _xlpm.Opening1, _xlfn.HSTACK(_xlpm.Opening1, _xlfn.DROP(_xlpm.Closings, , -1))), _xlpm.Interest, _xlpm.Openings * _xlpm.Rate, _xlpm.Result, _xlfn.VSTACK(_xlpm.Openings, _xlpm.LiabilityPayments, _xlpm.Interest, _xlpm.Closings), CHOOSE( _xlpm.Help? + 1, _xlpm.Result, _xlpm.Help) ) )</definedName>
    <definedName name="oz.MaxColsUλ" comment="Get the maximum for each Column">_xlfn.LAMBDA(_xlop.Array, _xlfn.LET(_xlpm.Help, TRIM(_xlfn.TEXTSPLIT("FUNCTION:      →MaxColsUλ( Array)¶" &amp; "DESCRIPTION:   →Get the maximum for each Column¶" &amp; "WEBPAGE:       →https://github.com/ryanduguid/Ozzit¶" &amp; "VERSION:       →20 Aug 2026¶" &amp; "PARAMETERS:    →¶" &amp; "Array          →(Required) A two dimensional array/range containing values to find the maximum by column.¶" &amp; "EXAMPLES:      →Formula (oz is assumed to be the module's name)¶" &amp; "→=oz.MaxColsUλ( SEQUENCE(5,5))", "→", "¶")), _xlpm.Help?, _xlfn.ISOMITTED(_xlpm.Array), _xlpm.Result, _xlfn.BYCOL(_xlpm.Array, _xlfn.LAMBDA(_xlpm.Col, MAX(_xlpm.Col))), CHOOSE(_xlpm.Help? + 1, _xlpm.Result, _xlpm.Help)))</definedName>
    <definedName name="oz.MaxColsλ" comment="Get the maximum for each Column">_xlfn.LAMBDA(_xlop.Array, _xlfn.LET(_xlpm.Help, TRIM(_xlfn.TEXTSPLIT("FUNCTION:      →MaxColsλ( Array)¶" &amp; "DESCRIPTION:   →Get the maximum for each Column¶" &amp; "WEBPAGE:       →https://github.com/ryanduguid/Ozzit¶" &amp; "VERSION:       →20 Aug 2026¶" &amp; "PARAMETERS:    →¶" &amp; "Array          →(Required) A two dimensional array/range containing values to find the maximum by column.¶" &amp; "EXAMPLES:      →Formula (oz is assumed to be the module's name)¶" &amp; "→=oz.MaxColsλ( SEQUENCE(5,5))", "→", "¶")), _xlpm.Help?, _xlfn.ISOMITTED(_xlpm.Array), _xlpm.Result, _xlfn.BYCOL(_xlpm.Array, _xlfn.LAMBDA(_xlpm.Col, MAX(_xlpm.Col))), CHOOSE(_xlpm.Help? + 1, _xlpm.Result, _xlpm.Help)))</definedName>
    <definedName name="oz.MaxRowsUλ" comment="Get the maximum for each row">_xlfn.LAMBDA(_xlop.Array, _xlfn.LET(_xlpm.Help, TRIM(_xlfn.TEXTSPLIT("FUNCTION:      →MaxRowsUλ( Array)¶" &amp; "DESCRIPTION:   →Get the maximum of each row¶" &amp; "WEBPAGE:       →https://github.com/ryanduguid/Ozzit¶" &amp; "VERSION:       →20 Aug 2026¶" &amp; "PARAMETERS:    →¶" &amp; "Array          →(Required) A two dimensional array/range containing values to find the maximum by row.¶" &amp; "EXAMPLES:      →Formula (oz is assumed to be the module's name)¶" &amp; "→=oz.MaxRowsUλ( SEQUENCE(5,5))", "→", "¶")), _xlpm.Help?, _xlfn.ISOMITTED(_xlpm.Array), _xlpm.Result, _xlfn.BYROW(_xlpm.Array, _xlfn.LAMBDA(_xlpm.Row, MAX(_xlpm.Row))), CHOOSE(_xlpm.Help? + 1, _xlpm.Result, _xlpm.Help)))</definedName>
    <definedName name="oz.MaxRowsλ" comment="Get the maximum for each row">_xlfn.LAMBDA(_xlop.Array, _xlfn.LET(_xlpm.Help, TRIM(_xlfn.TEXTSPLIT("FUNCTION:      →MaxRowsλ( Array)¶" &amp; "DESCRIPTION:   →Get the maximum of each row¶" &amp; "WEBPAGE:       →https://github.com/ryanduguid/Ozzit¶" &amp; "VERSION:       →20 Aug 2026¶" &amp; "PARAMETERS:    →¶" &amp; "Array          →(Required) A two dimensional array/range containing values to find the maximum by row.¶" &amp; "EXAMPLES:      →Formula (oz is assumed to be the module's name)¶" &amp; "→=oz.MaxRowsλ( SEQUENCE(5,5))", "→", "¶")), _xlpm.Help?, _xlfn.ISOMITTED(_xlpm.Array), _xlpm.Result, _xlfn.BYROW(_xlpm.Array, _xlfn.LAMBDA(_xlpm.Row, MAX(_xlpm.Row))), CHOOSE(_xlpm.Help? + 1, _xlpm.Result, _xlpm.Help)))</definedName>
    <definedName name="oz.MinColsUλ" comment="Get the minimum for each Column">_xlfn.LAMBDA(_xlop.Array, _xlfn.LET(_xlpm.Help, TRIM(_xlfn.TEXTSPLIT( "FUNCTION:      →MinColsUλ( Array)¶" &amp; "DESCRIPTION:   →Get the minimum for each Column¶" &amp; "WEBPAGE:       →https://github.com/ryanduguid/Ozzit¶" &amp; "VERSION:       →20 Aug 2026¶" &amp; "PARAMETERS:    →¶" &amp; "Array          →(Required) A two dimensional array/range containing values to find the minimum by column.¶" &amp; "EXAMPLES:      →Formula (oz is assumed to be the module's name)¶" &amp; "→=oz.MinColsUλ( SEQUENCE(5,5))", "→", "¶" ) ), _xlpm.Help?, _xlfn.ISOMITTED( _xlpm.Array), _xlpm.Result, _xlfn.BYCOL( _xlpm.Array, _xlfn.LAMBDA(_xlpm.Col, MIN(_xlpm.Col))), CHOOSE(_xlpm.Help? + 1, _xlpm.Result, _xlpm.Help) ) )</definedName>
    <definedName name="oz.MinColsλ" comment="Get the minimum for each Column">_xlfn.LAMBDA(_xlop.Array, _xlfn.LET(_xlpm.Help, TRIM(_xlfn.TEXTSPLIT( "FUNCTION:      →MinColsλ( Array)¶" &amp; "DESCRIPTION:   →Get the minimum for each Column¶" &amp; "WEBPAGE:       →https://github.com/ryanduguid/Ozzit¶" &amp; "VERSION:       →20 Aug 2026¶" &amp; "PARAMETERS:    →¶" &amp; "Array          →(Required) A two dimensional array/range containing values to find the minimum by column.¶" &amp; "EXAMPLES:      →Formula (oz is assumed to be the module's name)¶" &amp; "→=oz.MinColsλ( SEQUENCE(5,5))", "→", "¶" ) ), _xlpm.Help?, _xlfn.ISOMITTED( _xlpm.Array), _xlpm.Result, _xlfn.BYCOL( _xlpm.Array, _xlfn.LAMBDA(_xlpm.Col, MIN(_xlpm.Col))), CHOOSE(_xlpm.Help? + 1, _xlpm.Result, _xlpm.Help) ) )</definedName>
    <definedName name="oz.MinRowsUλ" comment="Get the minimum for each row">_xlfn.LAMBDA(_xlop.Array, _xlfn.LET(_xlpm.Help, TRIM(_xlfn.TEXTSPLIT("FUNCTION:      →MinRowsUλ( Array)¶" &amp; "DESCRIPTION:   →Get the minimum of each row¶" &amp; "WEBPAGE:       →https://github.com/ryanduguid/Ozzit¶" &amp; "VERSION:       →20 Aug 2026¶" &amp; "PARAMETERS:    →¶" &amp; "Array          →(Required) A two dimensional array/range containing values to find the minimum by row.¶" &amp; "EXAMPLES:      →Formula (oz is assumed to be the module's name)¶" &amp; "→=oz.MinRowsUλ( SEQUENCE(5,5))", "→", "¶")), _xlpm.Help?, _xlfn.ISOMITTED(_xlpm.Array), _xlpm.Result, _xlfn.BYROW(_xlpm.Array, _xlfn.LAMBDA(_xlpm.Row, MIN(_xlpm.Row))), CHOOSE(_xlpm.Help? + 1, _xlpm.Result, _xlpm.Help)))</definedName>
    <definedName name="oz.MinRowsλ" comment="Get the minimum for each row">_xlfn.LAMBDA(_xlop.Array, _xlfn.LET(_xlpm.Help, TRIM(_xlfn.TEXTSPLIT("FUNCTION:      →MinRowsλ( Array)¶" &amp; "DESCRIPTION:   →Get the minimum of each row¶" &amp; "WEBPAGE:       →https://github.com/ryanduguid/Ozzit¶" &amp; "VERSION:       →20 Aug 2026¶" &amp; "PARAMETERS:    →¶" &amp; "Array          →(Required) A two dimensional array/range containing values to find the minimum by row.¶" &amp; "EXAMPLES:      →Formula (oz is assumed to be the module's name)¶" &amp; "→=oz.MinRowsλ( SEQUENCE(5,5))", "→", "¶")), _xlpm.Help?, _xlfn.ISOMITTED(_xlpm.Array), _xlpm.Result, _xlfn.BYROW(_xlpm.Array, _xlfn.LAMBDA(_xlpm.Row, MIN(_xlpm.Row))), CHOOSE(_xlpm.Help? + 1, _xlpm.Result, _xlpm.Help)))</definedName>
    <definedName name="oz.Movementλ" comment="Create a row of differences from column to column">_xlfn.LAMBDA(_xlop.BeginningValues,_xlop.Values, _xlfn.LET(_xlpm.Help, TRIM(_xlfn.TEXTSPLIT( "FUNCTION:      →Movementλ( [BeginningValues], Values)¶" &amp; "DESCRIPTION:   →Create a row of differences from column to column¶" &amp; "WEBPAGE:       →https://github.com/ryanduguid/Ozzit¶" &amp; "VERSION:       →20 Aug 2026¶" &amp; "PARAMETERS:    →¶" &amp; "BeginningValues→(Optional) Defaults to 0. One value, or one per row of Values¶" &amp; "Values         →(Required) A row (or rows) of values to compare column to column¶" &amp; "EXAMPLES:      →¶" &amp; "Result         →Formula (oz is assumed to be the module's name)¶" &amp; "100,10,20,-30  →=oz.Movementλ(,{100,110,130,100})", "→", "¶" ) ), _xlpm.Help?, _xlfn.ISOMITTED( _xlpm.Values), _xlpm.BeginningValues, IF(_xlfn.ISOMITTED(_xlpm.BeginningValues), 0, IF(TRIM(_xlpm.BeginningValues &amp; "")="", 0, _xlpm.BeginningValues)), _xlpm.Rows, ROWS( _xlpm.Values), _xlpm.Cols, COLUMNS( _xlpm.Values), _xlpm.Begins, _xlfn.SEQUENCE( _xlpm.Rows, 1, 0, 0) + _xlpm.BeginningValues, _xlpm.Previous, IF( _xlpm.Cols = 1, _xlpm.Begins, _xlfn.HSTACK( _xlpm.Begins, _xlfn.DROP( _xlpm.Values, , -1))), _xlpm.Result, _xlpm.Values - _xlpm.Previous, CHOOSE(_xlpm.Help? + 1, _xlpm.Result, _xlpm.Help) ) )</definedName>
    <definedName name="oz.NetProfitMarginλ" comment="Measures how much net income or profit a company generates as a percentage of its revenue. _x000a_(Net Income/Revenue).">_xlfn.LAMBDA(_xlop.NetIncome,_xlop.Revenue, _xlfn.LET(_xlpm.Help, TRIM(_xlfn.TEXTSPLIT("FUNCTION:      →NetProfitMarginλ( NetIncome, Revenue)¶" &amp; "DESCRIPTION:   →Measures how much net income or profit a company generates as a ¶" &amp; "→percentage of its revenue. (Net Income/Revenue)¶" &amp; "WEBPAGE:       →https://www.investopedia.com/terms/n/net_margin.asp ¶" &amp; "VERSION:       →20 Aug 2026¶" &amp; "PARAMETERS:→¶" &amp; "NetIncome      →(Required) Net Income includes:¶" &amp; "→Revenue¶" &amp; "→Less COGS¶" &amp; "→Less Operating and other expenses¶" &amp; "→Less Interest¶" &amp; "→Less Taxes¶" &amp; "Revenue        →(Required) Revenue¶" &amp; "EXAMPLES:      →Formula (oz is assumed to be the module's name)¶" &amp; "56%            →=oz.NetProfitMarginλ( 56.0, 100.0 )", "→", "¶")), _xlpm.Help?, OR(_xlfn.ISOMITTED(_xlpm.NetIncome), _xlfn.ISOMITTED(_xlpm.Revenue)), _xlpm.Result, _xlpm.NetIncome / _xlpm.Revenue, CHOOSE(_xlpm.Help? + 1, _xlpm.Result, _xlpm.Help)))</definedName>
    <definedName name="oz.OperatingCashFlowRatioλ" comment="Measures how readily current liabilities are covered by cash flows generated from operations">_xlfn.LAMBDA(_xlop.OperatingCashFlow,_xlop.Liabilities, _xlfn.LET(_xlpm.Help, TRIM(_xlfn.TEXTSPLIT("FUNCTION:          →OperatingCashFlowRatioλ( OperatingCashFlow, Liabilities)¶" &amp; "DESCRIPTION:       →Measures how readily current liabilities are covered by cash flows generated from operations.¶" &amp; "→(OperatingCashFlow/Liabilities)¶" &amp; "WEBPAGE:           →https://www.investopedia.com/terms/o/ocfratio.asp ¶" &amp; "VERSION:           →20 Aug 2026¶" &amp; "PARAMETERS:        →¶" &amp; "OperatingCashFlow  →(Required) Operating cash flow. ¶" &amp; "→Indirect method includes: ¶" &amp; "→• Net Income ¶" &amp; "→• Plus depreciation and amortisation ¶" &amp; "→• Less increase in net working capital ¶" &amp; "→Direct method includes: ¶" &amp; "→• Cash revenue ¶" &amp; "→• Less Operating expenses paid in cash¶" &amp; "Liabilities         →(Required) Current Liabilities. Includes: ¶" &amp; "→Accounts payable ¶" &amp; "→Wages ¶" &amp; "→Taxes payable ¶" &amp; "→Short-term debts ¶" &amp; "→Current portion of long-term debt ¶" &amp; "EXAMPLES:          →Formula (oz is assumed to be the module's name)¶" &amp; "0.35871            →=oz.OperatingCashFlowRatioλ( 27.8, 77.5)", "→", "¶")), _xlpm.Help?, OR(_xlfn.ISOMITTED(_xlpm.OperatingCashFlow), _xlfn.ISOMITTED(_xlpm.Liabilities)), _xlpm.Result, _xlpm.OperatingCashFlow / _xlpm.Liabilities, CHOOSE(_xlpm.Help? + 1, _xlpm.Result, _xlpm.Help)))</definedName>
    <definedName name="oz.OperatingMarginλ" comment="Measures how much profit a company makes on a dollar of sales after paying for variable costs _x000a_of production, such as wages and raw materials, but before paying interest or tax (Operating Earnings/Revenue).">_xlfn.LAMBDA(_xlop.OperatingEarnings,_xlop.Revenue, _xlfn.LET(_xlpm.Help, TRIM(_xlfn.TEXTSPLIT( "FUNCTION:          →OperatingMarginλ( OperatingEarnings, Revenue)¶" &amp; "DESCRIPTION:       →Measures how much profit a company makes on a dollar of sales after paying¶" &amp; "→for variable costs of production, such as wages and raw materials, but ¶" &amp; "→before paying interest or tax (Operating Earnings/Revenue).¶" &amp; "WEBPAGE:           →https://www.investopedia.com/terms/o/operatingmargin.asp ¶" &amp; "VERSION:           →20 Aug 2026¶" &amp; "PARAMETERS:→¶" &amp; "OperatingEarnings  →(Required) Earnings Before Interest and tax (EBIT), which is revenue¶" &amp; "→less COGS and less the other operating expenses¶" &amp; "Revenue            →(Required) Revenue¶" &amp; "EXAMPLES:          →Formula (oz is assumed to be the module's name)¶" &amp; "40%                →=oz.OperatingMarginλ( .8, 2.0 )", "→", "¶" ) ), _xlpm.Help?, OR( _xlfn.ISOMITTED( _xlpm.OperatingEarnings), _xlfn.ISOMITTED( _xlpm.Revenue) ), _xlpm.Result, _xlpm.OperatingEarnings/_xlpm.Revenue, CHOOSE(_xlpm.Help? + 1, _xlpm.Result, _xlpm.Help) ) )</definedName>
    <definedName name="oz.OperatingRatioλ" comment="Shows how efficient management is at keeping costs low while generating revenue _x000a_(Operating Expenses + Cost Of Goods Sold)/Net Sales)">_xlfn.LAMBDA(_xlop.OperatingExpenses,_xlop.CostOfGoodsSold,_xlop.NetSales, _xlfn.LET(_xlpm.Help, TRIM(_xlfn.TEXTSPLIT( "FUNCTION:          →OperatingRatioλ( OperatingExpenses, CostOfGoodsSold, NetSales)¶" &amp; "DESCRIPTION:       →Shows how efficient management is at keeping costs low ¶" &amp; "→while generating revenue¶" &amp; "→(Operating Expenses + Cost Of Goods Sold)/Net Sales)¶" &amp; "WEBPAGE:           →https://www.investopedia.com/terms/o/operatingratio.asp ¶" &amp; "VERSION:           →20 Aug 2026¶" &amp; "PARAMETERS:→¶" &amp; "OperatingExpenses  →(Required) Operating Expenses excluding COGS, which is¶" &amp; "→supplied separately and added by the formula. Can include:¶" &amp; "→Accounting and legal fees¶" &amp; "→Bank charges¶" &amp; "→Sales and marketing costs¶" &amp; "→Non-capitalised research¶" &amp; "→development (R&amp;D) expenses¶" &amp; "CostOfGoodsSold    →(Required) Cost of Goods Sold (COGS) which can include:¶" &amp; "→Office supply costs¶" &amp; "→Rent and utility expenses¶" &amp; "→Repair and maintenance costs¶" &amp; "→Salary and wage expenses¶" &amp; "NetSales           →(Required) Net Sales or Revenue.¶" &amp; "EXAMPLES:          →Formula (oz is assumed to be the module's name)¶" &amp; "69%                →=oz.OperatingRatioλ( 14.37, 48.48, 90.75 )", "→", "¶" ) ), _xlpm.Help?, OR( _xlfn.ISOMITTED( _xlpm.OperatingExpenses), _xlfn.ISOMITTED( _xlpm.CostOfGoodsSold), _xlfn.ISOMITTED( _xlpm.NetSales) ), _xlpm.Result, (_xlpm.OperatingExpenses+_xlpm.CostOfGoodsSold)/_xlpm.NetSales, CHOOSE(_xlpm.Help? + 1, _xlpm.Result, _xlpm.Help) ) )</definedName>
    <definedName name="oz.OverLapDaysλ" comment="Return how many days overlap two period ranges.">_xlfn.LAMBDA(_xlop.Period1Start,_xlop.Period1End,_xlop.Period2Start,_xlop.Period2End, _xlfn.LET( _xlpm.Help, TRIM(_xlfn.TEXTSPLIT( "FUNCTION:      →OverLapDaysλ(Period1Start, Period1End, Period2Start, Period2End)¶" &amp; "DESCRIPTION:   →Count days shared between two sets of periods.¶" &amp; "WEBSITE:       →https://github.com/ryanduguid/Ozzit¶" &amp; "PARAMETERS:    →¶" &amp; "Period1Start   →(Required) First period's start date.¶" &amp; "Period1End     →(Required) First period's end date.¶" &amp; "Period2Start   →(Required) Second period's start date.¶" &amp; "Period2End     →(Required) Second period's end date.¶" &amp; "EXAMPLES:      →¶" &amp; "Result         →Formula (oz is assumed to be the module's name)¶" &amp; "5              →=oz.OverLapDaysλ(08, 14, 10, 17)¶" &amp; "8              →=oz.OverLapDaysλ(10, 20, 11, 18)¶" &amp; "2              →=oz.OverLapDaysλ(""17/7/2026"", ""25/7/2026"", ""7/7/2026"", ""18/7/2026"")", "→", "¶" ) ), _xlpm.Help?, OR( _xlfn.ISOMITTED( _xlpm.Period1Start), _xlfn.ISOMITTED( _xlpm.Period1End), _xlfn.ISOMITTED( _xlpm.Period2Start), _xlfn.ISOMITTED( _xlpm.Period2End) ), _xlpm.CvtP1Start, IF( _xlfn.ISOMITTED( _xlpm.Period1Start), FALSE, IF( ISNUMBER( _xlpm.Period1Start), _xlpm.Period1Start, DATEVALUE( _xlpm.Period1Start)) ), _xlpm.CvtP1End, IF( _xlfn.ISOMITTED( _xlpm.Period1End), FALSE, IF( ISNUMBER( _xlpm.Period1End), _xlpm.Period1End, DATEVALUE( _xlpm.Period1End)) ), _xlpm.CvtP2Start, IF( _xlfn.ISOMITTED( _xlpm.Period2Start), FALSE, IF( ISNUMBER( _xlpm.Period2Start), _xlpm.Period2Start, DATEVALUE( _xlpm.Period2Start)) ), _xlpm.CvtP2End, IF( _xlfn.ISOMITTED( _xlpm.Period2End), FALSE, IF( ISNUMBER( _xlpm.Period2End), _xlpm.Period2End, DATEVALUE( _xlpm.Period2End)) ), _xlpm.MinOfEnd, IF(_xlpm.CvtP2End &lt;= _xlpm.CvtP1End, _xlpm.CvtP2End, _xlpm.CvtP1End), _xlpm.MaxOfStart, IF(_xlpm.CvtP2Start &gt;= _xlpm.CvtP1Start, _xlpm.CvtP2Start, _xlpm.CvtP1Start), _xlpm.Days, _xlpm.MinOfEnd - _xlpm.MaxOfStart + 1, _xlpm.Result, IF(_xlpm.Days &gt; 0, _xlpm.Days, 0), CHOOSE( _xlpm.Help? + 1, _xlpm.Result, _xlpm.Help) ) )</definedName>
    <definedName name="oz.PayableDaysλ" comment="Payable days, or days payable outstanding (DPO): Payables / Purchases x Days">_xlfn.LAMBDA(_xlop.Payables,_xlop.Purchases,_xlop.Days, _xlfn.LET( _xlpm.Help, TRIM(_xlfn.TEXTSPLIT( "FUNCTION:      →PayableDaysλ(Payables, Purchases, [Days])¶" &amp; "DESCRIPTION:   →Payable days, or days payable outstanding (DPO): the days of purchases not yet paid.¶NOTES!         →Payables / Purchases * Days. Days is the number of days the Purchases¶               →figure covers, as for ReceivableDaysλ(). Credit purchases are the matching¶               →flow; cost of sales is the common substitute where purchases are not¶               →reported. Pass closing payables, or the average of opening and closing. Put¶               →the balance and the purchases on the same basis: where one includes GST and¶               →the other does not, adjust the inputs first, because this function makes¶               →no GST adjustment. Purchases of 0 returns #DIV/0!, and Days of 0 or less¶               →returns #NUM!.¶" &amp; "WEBPAGE:       →https://github.com/ryanduguid/Ozzit/blob/main/docs/ratio-definitions.md¶" &amp; "VERSION:       →29 Sep 2026¶" &amp; "PARAMETERS:    →¶" &amp; "Payables       →(Required) Trade payables: the closing balance, or the average of opening and closing.¶" &amp; "Purchases      →(Required) Credit purchases, or cost of sales, over the same Days.¶" &amp; "Days           →(Optional: Default = 365) Days the Purchases figure covers.¶" &amp; "EXAMPLES:      →¶" &amp; "→Formula (oz is assumed to be the module's name)¶" &amp; "→=oz.PayableDaysλ(64000, 780000)¶" &amp; "→Result¶" &amp; "→29.9487", "→", "¶" )), _xlpm.Help?, OR(_xlfn.ISOMITTED(_xlpm.Payables), _xlfn.ISOMITTED(_xlpm.Purchases)), _xlpm.Period, IF(_xlfn.ISOMITTED(_xlpm.Days), 365, IF(_xlpm.Days = "", 365, IF(ISNUMBER(_xlpm.Days), _xlpm.Days, #VALUE!))), _xlpm.Result, IF(_xlpm.Period &lt;= 0, #NUM!, _xlpm.Payables / _xlpm.Purchases * _xlpm.Period), CHOOSE( _xlpm.Help? + 1, _xlpm.Result, _xlpm.Help) ) )</definedName>
    <definedName name="oz.PeriodDiffλ" comment="Determine the number of periods between two dates.">_xlfn.LAMBDA(_xlop.StartDate,_xlop.EndDate,_xlop.Interval, _xlfn.LET( _xlpm.Help, TRIM(_xlfn.TEXTSPLIT( "FUNCTION:      →PeriodDiffλ(StartDate, EndDate, Interval)¶" &amp; "DESCRIPTION:   →Determine the number of periods between two dates.¶" &amp; "NOTES!         →This improves on, and corrects problems w/Excel's deprecated DATEDIF() function.¶" &amp; "WEBPAGE:       →https://github.com/ryanduguid/Ozzit¶" &amp; "VERSION:       →20 Aug 2026¶" &amp; "PARAMETERS:    →¶" &amp; "StartDate      →(Required) Start Date.¶" &amp; "EndDate        →(Required) End Date¶" &amp; "Interval       →(Required) W=Week, M=Month, Q=Quarter, Y=Year.¶" &amp; "EXAMPLES:      →¶" &amp; "Result         →Formula (oz is assumed to be the module's name)¶" &amp; "2              →=oz.PeriodDiffλ(""2026-01-01"", ""2026-04-15"", ""Q"")", "→", "¶" ) ), _xlpm.Help?, OR( _xlfn.ISOMITTED( _xlpm.StartDate), _xlfn.ISOMITTED( _xlpm.EndDate), _xlfn.ISOMITTED( _xlpm.Interval) ), _xlpm.MpP, _xlfn.SWITCH( _xlpm.Interval, "M", 1, "Q", 3, "Y", 12, 0), _xlpm.Months, DATEDIF( _xlpm.StartDate, _xlpm.EndDate, "M") + 1, _xlpm.Divisor, IF( _xlpm.MpP = 0, 1, _xlpm.MpP), _xlpm.Periods, INT( _xlpm.Months / _xlpm.Divisor), _xlpm.PartialPeriod, N( MOD( _xlpm.Months, _xlpm.Divisor) &gt; 0), _xlpm.EOMCorrection, N( AND( _xlpm.EndDate = EOMONTH( _xlpm.EndDate, 0), DAY( _xlpm.StartDate) &gt; DAY( _xlpm.EndDate))), _xlpm.Result, _xlfn.IFS( _xlpm.Interval = "W", INT((_xlpm.EndDate - _xlpm.StartDate + 1) / 7), _xlpm.MpP = 0, NA(), TRUE, _xlpm.Periods + OR(_xlpm.PartialPeriod, _xlpm.EOMCorrection)), CHOOSE( _xlpm.Help? + 1, _xlpm.Result, _xlpm.Help) ) )</definedName>
    <definedName name="oz.PeriodLabelλ" comment="Creates a label for a date based on period interval">_xlfn.LAMBDA(_xlop.Date,_xlop.Interval, _xlfn.LET( _xlpm.Help, TRIM(_xlfn.TEXTSPLIT( "FUNCTION:      →PeriodLabelλ(Date, [Interval])¶" &amp; "DESCRIPTION:   →Creates a label for a date based on period interval¶" &amp; "WEBPAGE:       →https://github.com/ryanduguid/Ozzit¶" &amp; "PARAMETERS:    →¶" &amp; "Date           →(Required) A single date or array of date(s) where the first date is the first date of a calendar year.¶" &amp; "Interval       →(Optional) Must be one of: ¶" &amp; "→D=Daily¶" &amp; "→W=Weekly¶" &amp; "→I=Weekly (using ISO week number)¶" &amp; "→M=Monthly¶" &amp; "→Q=Quarterly¶" &amp; "→S=Semi-Annually¶" &amp; "→A or Y=Annually¶" &amp; "EXAMPLES:      →¶" &amp; "Result         →Formula (oz is assumed to be the module's name)¶" &amp; "2026-Aug-26    →=oz.PeriodLabelλ(DATEVALUE(""26/8/2026""), ""D"")¶" &amp; "2026-Aug       →=oz.PeriodLabelλ(DATEVALUE(""26/8/2026""), ""M"")¶" &amp; "2026:Q3       →=oz.PeriodLabelλ(DATEVALUE(""26/8/2026""), ""Q"")¶" &amp; "2026           →=oz.PeriodLabelλ(DATEVALUE(""26/8/2026""), ""Y"")", "→", "¶" ) ), _xlpm.Help?, _xlfn.ISOMITTED( _xlpm.Date), _xlpm.CvtDate, IF( _xlfn.ISOMITTED( _xlpm.Date), FALSE, IF( ISNUMBER( _xlpm.Date), _xlpm.Date, DATEVALUE( _xlpm.Date)) ), _xlpm.Interval, IF( _xlfn.ISOMITTED( _xlpm.Interval), "M", _xlpm.Interval), _xlpm.Result, _xlfn.SWITCH(_xlpm.Interval, "D", TEXT(_xlpm.CvtDate, "yyyy-mmm-dd"), "W", YEAR(_xlpm.CvtDate) &amp; ":W" &amp; TEXT(QUOTIENT(_xlpm.CvtDate - DATE(YEAR(_xlpm.CvtDate), 1, 0) - 1, 7) + 1, "00"), "I", YEAR(_xlpm.CvtDate + 4 - WEEKDAY(_xlpm.CvtDate, 2)) &amp; ":W" &amp; TEXT(_xlfn.ISOWEEKNUM(_xlpm.CvtDate), "00"), "M", TEXT(_xlpm.CvtDate, "YYYY-MMM"), "Q", YEAR(_xlpm.CvtDate) &amp; ":Q" &amp; QUOTIENT(MONTH(_xlpm.CvtDate) - 1, 3) + 1, "S", YEAR(_xlpm.CvtDate) &amp; ":S" &amp; QUOTIENT(MONTH(_xlpm.CvtDate) - 1, 6) + 1, "A", TEXT(_xlpm.CvtDate, "YYYY"), "Y", TEXT(_xlpm.CvtDate, "YYYY"), #VALUE! ), CHOOSE( _xlpm.Help? + 1, _xlpm.Result, _xlpm.Help) ) )</definedName>
    <definedName name="oz.PeriodRateλ" comment="Converts an effective annual rate to the equivalent rate per period, the rate the lease functions take">_xlfn.LAMBDA(_xlop.AnnualRate,_xlop.PeriodsPerYear, _xlfn.LET( _xlpm.Help, TRIM(_xlfn.TEXTSPLIT( "FUNCTION:      →PeriodRateλ(AnnualRate, [PeriodsPerYear])¶" &amp; "DESCRIPTION:   →Converts an effective annual rate to the equivalent rate per period.¶NOTES!         →(1 + AnnualRate) ^ (1 / PeriodsPerYear) - 1, so compounding the result¶               →PeriodsPerYear times gives the annual rate back. This is the rate per¶               →period that LeaseLiabilityλ(), LeaseScheduleλ() and LeaseRemeasureλ()¶               →take. It is for an effective annual rate. A nominal annual percentage¶               →rate that compounds monthly is already APR / 12 per month, so do not¶               →pass it here; EFFECT() turns one into the effective rate this takes.¶               →AnnualRateλ() is the inverse.¶" &amp; "WEBPAGE:       →https://github.com/ryanduguid/Ozzit¶" &amp; "VERSION:       →6 Sep 2026¶" &amp; "PARAMETERS:    →¶" &amp; "AnnualRate     →(Required) Effective annual rate, or a row or column of them.¶" &amp; "PeriodsPerYear →(Optional: Default = 12) Periods in a year: 12 for months, 4 for quarters, 1 for years.¶" &amp; "EXAMPLES:      →¶" &amp; "→Formula (oz is assumed to be the module's name)¶" &amp; "→=oz.PeriodRateλ(0.05)¶" &amp; "→Result¶" &amp; "→0.004074", "→", "¶" )), _xlpm.Help?, _xlfn.ISOMITTED(_xlpm.AnnualRate), _xlpm.Periods, IF(_xlfn.ISOMITTED(_xlpm.PeriodsPerYear), 12, IF(ISNUMBER(_xlpm.PeriodsPerYear), _xlpm.PeriodsPerYear, 12)), _xlpm.Result, (1 + _xlpm.AnnualRate) ^ (1 / _xlpm.Periods) - 1, CHOOSE( _xlpm.Help? + 1, _xlpm.Result, _xlpm.Help) ) )</definedName>
    <definedName name="oz.PeriodStartλ" comment="Determine when the period containing a date of interest starts">_xlfn.LAMBDA(_xlop.AnyPeriodStart,_xlop.MonthsPerPeriod,_xlop.DateOfInterest, _xlfn.LET(_xlpm.Help, TRIM(_xlfn.TEXTSPLIT("FUNCTION:      →PeriodStartλ(AnyPeriodStart, MonthsPerPeriod, DateOfInterest)¶" &amp; "DESCRIPTION:   →Determine when the period containing a date of interest starts.¶" &amp; "WEBPAGE:       →https://github.com/ryanduguid/Ozzit¶" &amp; "VERSION:       →20 Aug 2026¶" &amp; "PARAMETERS:    →¶" &amp; "AnyPeriodStart →(Required) Any start date within a timeline.¶" &amp; "MonthsPerPeriod→(Required) Number of months in each period¶" &amp; "DateOfInterest →(Required) A date for which we want to know the start of the period containing it.¶" &amp; "EXAMPLES:      →¶" &amp; "Result         →Formula (oz is assumed to be the module's name)¶" &amp; "2026-10-01     →=oz.PeriodStartλ(""2026-07-01"", 3, ""2026-10-15"")", "→", "¶")), _xlpm.Help?, OR(_xlfn.ISOMITTED(_xlpm.AnyPeriodStart), _xlfn.ISOMITTED(_xlpm.MonthsPerPeriod), _xlfn.ISOMITTED(_xlpm.DateOfInterest)), _xlpm.MpY, 12, _xlpm.MpP, _xlpm.MonthsPerPeriod, _xlpm.CvtStart, IF(ISTEXT(_xlpm.AnyPeriodStart), DATEVALUE(_xlpm.AnyPeriodStart), _xlpm.AnyPeriodStart), _xlpm.CvtDate, IF(ISTEXT(_xlpm.DateOfInterest), DATEVALUE(_xlpm.DateOfInterest), _xlpm.DateOfInterest), _xlpm.MonthDiff, (YEAR(_xlpm.CvtDate) - YEAR(_xlpm.CvtStart)) * _xlpm.MpY + MONTH(_xlpm.CvtDate) - MONTH(_xlpm.CvtStart), _xlpm.WholePeriods, QUOTIENT(_xlpm.MonthDiff, _xlpm.MpP), _xlpm.Candidate, EDATE(_xlpm.CvtStart, _xlpm.WholePeriods * _xlpm.MpP), _xlpm.Result, IF(_xlpm.Candidate &gt; _xlpm.CvtDate, EDATE(_xlpm.CvtStart, (_xlpm.WholePeriods - 1) * _xlpm.MpP), _xlpm.Candidate), CHOOSE(_xlpm.Help? + 1, _xlpm.Result, _xlpm.Help)))</definedName>
    <definedName name="oz.Periodsλ" comment="Determine the number of periods from Starts to Date2 in Days, Weeks, Months, Quarters, or Years.">_xlfn.LAMBDA(_xlop.Starts,_xlop.Ends,_xlop.Intervals, _xlfn.LET( _xlpm.Help, TRIM(_xlfn.TEXTSPLIT( "FUNCTION:      →Periodsλ(Starts, Ends, [Intervals])¶" &amp; "DESCRIPTION:   →Determine the number of periods from Starts to Ends inclusive.¶" &amp; "→Differences to Excel's DATEDIF are:¶" &amp; "→* Interval includes Weeks &amp; Quarters¶" &amp; "→* Counts the period starts crossed, so a part period at the end counts¶" &amp; "→* Returns negative values if Starts is after Ends¶" &amp; "WEBPAGE:       →https://github.com/ryanduguid/Ozzit¶" &amp; "PARAMETERS:    →¶" &amp; "Starts         →(Required) First date (normally older). A single date or an array of dates.¶" &amp; "Ends           →(Required) Second date (normally newer). A single date or an array the same shape as Starts.¶" &amp; "→A single Starts or Ends is applied to every date in the other.¶" &amp; "Intervals      →(Optional) Days, Weeks, Months (default), Quarters, or Years (D, W, M, Q, Y).¶" &amp; "→One code, or an array of codes the same shape as the dates.¶" &amp; "EXAMPLES:      →¶" &amp; "Result         →Formula (oz is assumed to be the module's name)¶" &amp; "2              →=oz.Periodsλ(""31/7/2026"", ""15/9/2026"")¶" &amp; "-2             →=oz.Periodsλ(""15/9/2026"", ""31/7/2026"")¶" &amp; "-12            →=oz.Periodsλ(""15/7/2027"", ""16/7/2026"")¶" &amp; "-52            →=oz.Periodsλ(""15/7/2027"", ""16/7/2026"", ""W"")", "→", "¶" ) ), _xlpm.Help?, OR( _xlfn.ISOMITTED( _xlpm.Starts), _xlfn.ISOMITTED( _xlpm.Ends) ), _xlpm.CvtStarts, IF( _xlfn.ISOMITTED( _xlpm.Starts), FALSE, IF( ISNUMBER( _xlpm.Starts), _xlpm.Starts, DATEVALUE( _xlpm.Starts)) ), _xlpm.CvtEnds, IF( _xlfn.ISOMITTED( _xlpm.Ends), FALSE, IF( ISNUMBER( _xlpm.Ends), _xlpm.Ends, DATEVALUE( _xlpm.Ends)) ), _xlpm.Intervals, IF( _xlfn.ISOMITTED( _xlpm.Intervals), "M", _xlpm.Intervals), _xlpm.MPY, 12, _xlpm.MPQ, 3, _xlpm.DPW, 7, _xlpm.WPY, 53, _xlpm.QPY, 4, _xlpm.Earliest, IF( _xlpm.CvtStarts &lt;= _xlpm.CvtEnds, _xlpm.CvtStarts, _xlpm.CvtEnds), _xlpm.Latest, IF( _xlpm.CvtStarts &lt;= _xlpm.CvtEnds, _xlpm.CvtEnds, _xlpm.CvtStarts), _xlpm.Sign, SIGN( _xlpm.CvtEnds - _xlpm.CvtStarts), _xlpm.Years, YEAR( _xlpm.Latest) - YEAR( _xlpm.Earliest), _xlpm.Periods, ( _xlpm.Intervals = "D") * ( _xlpm.Latest - _xlpm.Earliest) + ( _xlpm.Intervals = "W") * ( _xlpm.WPY * _xlpm.Years + QUOTIENT( _xlpm.Latest - DATE( YEAR( _xlpm.Latest), 1, 0) - 1, _xlpm.DPW) - QUOTIENT( _xlpm.Earliest - DATE( YEAR( _xlpm.Earliest), 1, 0) - 1, _xlpm.DPW)) + ( _xlpm.Intervals = "M") * ( _xlpm.MPY * _xlpm.Years + MONTH( _xlpm.Latest) - MONTH( _xlpm.Earliest)) + ( _xlpm.Intervals = "Q") * ( _xlpm.QPY * _xlpm.Years + QUOTIENT( MONTH( _xlpm.Latest) - 1, _xlpm.MPQ) - QUOTIENT( MONTH( _xlpm.Earliest) - 1, _xlpm.MPQ)) + ( _xlpm.Intervals = "Y") * _xlpm.Years, _xlpm.Known, IF( ISNUMBER( _xlfn.XMATCH( _xlpm.Intervals, {"D","W","M","Q","Y"}, 0)), 1, #N/A), _xlpm.Result, _xlpm.Sign * _xlpm.Periods * _xlpm.Known, CHOOSE( _xlpm.Help? + 1, _xlpm.Result, _xlpm.Help) ) )</definedName>
    <definedName name="oz.PretaxMarginλ" comment="Measures the operating efficiency of a company (Pretax Earnings/Revenue).">_xlfn.LAMBDA(_xlop.PretaxEarnings,_xlop.Revenue, _xlfn.LET(_xlpm.Help, TRIM(_xlfn.TEXTSPLIT("FUNCTION:      →PretaxMarginλ( PretaxEarnings, Revenue)¶" &amp; "DESCRIPTION:   →Measures the operating efficiency of a company (Pretax Earnings/Revenue).¶" &amp; "WEBPAGE:       →https://www.investopedia.com/terms/p/pretax-margin.asp ¶" &amp; "VERSION:       →20 Aug 2026¶" &amp; "PARAMETERS:→¶" &amp; "PretaxEarnings →(Required) Earnings before tax (EBT)¶" &amp; "Revenue        →(Required) Revenue¶" &amp; "EXAMPLES:      →Formula (oz is assumed to be the module's name)¶" &amp; "8%             →=oz.PretaxMarginλ( 40.0, 500.0 )", "→", "¶")), _xlpm.Help?, OR(_xlfn.ISOMITTED(_xlpm.PretaxEarnings), _xlfn.ISOMITTED(_xlpm.Revenue)), _xlpm.Result, _xlpm.PretaxEarnings / _xlpm.Revenue, CHOOSE(_xlpm.Help? + 1, _xlpm.Result, _xlpm.Help)))</definedName>
    <definedName name="oz.PriceEarningsRatioλ" comment="Price-earnings Ratio measures a company's share price relative to _x000a_its earnings per share (Share Price/Earnings Per Share).">_xlfn.LAMBDA(_xlop.SharePrice,_xlop.EarningsPerShare, _xlfn.LET(_xlpm.Help, TRIM(_xlfn.TEXTSPLIT("FUNCTION:          →PriceEarningsRatioλ( SharePrice, EarningsPerShare)¶" &amp; "DESCRIPTION:       →Price-earnings Ratio measures a company's share price relative to ¶" &amp; "→its earnings per share (Share Price/Earnings Per Share).¶" &amp; "WEBPAGE:           →https://www.investopedia.com/terms/p/price-earningsratio.asp ¶" &amp; "VERSION:           →20 Aug 2026¶" &amp; "PARAMETERS:→¶" &amp; "SharePrice         →(Required) Share Price (Market Value Per Share) ¶" &amp; "EarningsPerShare   →(Required) Earnings Per Share¶" &amp; "EXAMPLES:          →Formula (oz is assumed to be the module's name)¶" &amp; "14.39881           →=oz.PriceEarningsRatioλ( 242.62, 16.85)", "→", "¶")), _xlpm.Help?, OR(_xlfn.ISOMITTED(_xlpm.SharePrice), _xlfn.ISOMITTED(_xlpm.EarningsPerShare)), _xlpm.Result, _xlpm.SharePrice / _xlpm.EarningsPerShare, CHOOSE(_xlpm.Help? + 1, _xlpm.Result, _xlpm.Help)))</definedName>
    <definedName name="oz.PriceToBookRatioλ" comment="Many investors use the price-to-book ratio (P/B ratio) to compare a firm's market _x000a_capitalisation to its book value and locate undervalued companies.">_xlfn.LAMBDA(_xlop.MarketPricePerShare,_xlop.BookValuePerShare, _xlfn.LET(_xlpm.Help, TRIM(_xlfn.TEXTSPLIT( "FUNCTION:          →PriceToBookRatioλ( MarketPricePerShare, BookValuePerShare)¶" &amp; "DESCRIPTION:       →Many investors use the price-to-book ratio (P/B ratio) to compare a ¶" &amp; "→firm's market capitalisation to its book value and locate undervalued companies.¶" &amp; "→(Market Price Per Share/Book Value Per Share)¶" &amp; "WEBPAGE:           →https://www.investopedia.com/terms/p/price-to-bookratio.asp ¶" &amp; "VERSION:           →20 Aug 2026¶" &amp; "PARAMETERS:→¶" &amp; "MarketPricePerShare→(Required) Market Price Per Share (Current market price of the share)¶" &amp; "BookValuePerShare  →(Required) Tangible book value per share (oz.BVPSλ keeps intangibles) ¶" &amp; "→(Total assets - intangible assets - total liabilities) ÷ number of outstanding shares ¶" &amp; "EXAMPLES:          →Formula (oz is assumed to be the module's name)¶" &amp; "2.0                →=oz.PriceToBookRatioλ( 5, 2.50 )", "→", "¶" ) ), _xlpm.Help?, OR( _xlfn.ISOMITTED( _xlpm.MarketPricePerShare), _xlfn.ISOMITTED( _xlpm.BookValuePerShare) ), _xlpm.Result, _xlpm.MarketPricePerShare/_xlpm.BookValuePerShare, CHOOSE(_xlpm.Help? + 1, _xlpm.Result, _xlpm.Help) ) )</definedName>
    <definedName name="oz.PriceToCashRatioλ" comment="Price to Cash (P/CF) Ratio is a stock valuation indicator or multiple that measures _x000a_the value of a stock’s price relative to its operating cash flow per share _x000a_(Market Price Per Share/Operating Cash Flow Per Share).">_xlfn.LAMBDA(_xlop.MarketPricePerShare,_xlop.OperatingCashFlowPerShare, _xlfn.LET(_xlpm.Help, TRIM(_xlfn.TEXTSPLIT("FUNCTION:          →PriceToCashRatioλ( MarketPricePerShare, OperatingCashFlowPerShare)¶" &amp; "DESCRIPTION:       →Price to Cash (P/CF) Ratio  is a stock valuation indicator or multiple that ¶" &amp; "→measures the value of a stock’s price relative to its operating cash flow ¶" &amp; "→per share (Market Price Per Share/Operating Cash Flow Per Share).¶" &amp; "WEBPAGE:           →https://www.investopedia.com/terms/p/price-to-cash-flowratio.asp ¶" &amp; "VERSION:           →20 Aug 2026¶" &amp; "PARAMETERS:→¶" &amp; "MarketPricePerShare→(Required) Market Price Per Share (Current market price of the share)¶" &amp; "OperatingCashFlowPerShare→(Required) Operating Cash Flow for prior 12 months/Shares outstanding ¶" &amp; "EXAMPLES:          →Formula (oz is assumed to be the module's name)¶" &amp; "2                  →=oz.PriceToCashRatioλ( 200.0, 100.0 )", "→", "¶")), _xlpm.Help?, OR(_xlfn.ISOMITTED(_xlpm.MarketPricePerShare), _xlfn.ISOMITTED(_xlpm.OperatingCashFlowPerShare)), _xlpm.Result, _xlpm.MarketPricePerShare / _xlpm.OperatingCashFlowPerShare, CHOOSE(_xlpm.Help? + 1, _xlpm.Result, _xlpm.Help)))</definedName>
    <definedName name="oz.PriceToSalesRatioλ" comment="Price to Sales (P/S) Ratio is an indicator of the value that financial markets have _x000a_placed on each dollar of a company's sales or revenues (Market Price Per Share/Sales Per Share).">_xlfn.LAMBDA(_xlop.MarketPricePerShare,_xlop.SalesPerShare, _xlfn.LET(_xlpm.Help, TRIM(_xlfn.TEXTSPLIT("FUNCTION:          →PriceToSalesRatioλ( MarketPricePerShare, SalesPerShare)¶" &amp; "DESCRIPTION:       →Price to Sales (P/S) Ratio is an indicator of the value that financial markets have¶" &amp; "→placed on each dollar of a company's sales or revenues (Market Price Per Share/Sales Per Share).¶" &amp; "WEBPAGE:           →https://www.investopedia.com/terms/p/price-to-salesratio.asp ¶" &amp; "VERSION:           →20 Aug 2026¶" &amp; "PARAMETERS:→¶" &amp; "MarketPricePerShare→(Required) Market Price Per Share (Current market price of the share)¶" &amp; "SalesPerShare      →(Required) Annual Sales Per Share (Revenue prior 12 months) ¶" &amp; "EXAMPLES:          →Formula (oz is assumed to be the module's name)¶" &amp; "4.55               →=oz.PriceToSalesRatioλ( 455.0, 100.0 )", "→", "¶")), _xlpm.Help?, OR(_xlfn.ISOMITTED(_xlpm.MarketPricePerShare), _xlfn.ISOMITTED(_xlpm.SalesPerShare)), _xlpm.Result, _xlpm.MarketPricePerShare / _xlpm.SalesPerShare, CHOOSE(_xlpm.Help? + 1, _xlpm.Result, _xlpm.Help)))</definedName>
    <definedName name="oz.PrimeCostλ" comment="Straight-line depreciation schedule for one asset or asset class, in whole years. A modelling schedule, not a tax calculation.">_xlfn.LAMBDA(_xlop.Cost,_xlop.Life, _xlfn.LET( _xlpm.Help, TRIM(_xlfn.TEXTSPLIT( "FUNCTION:      →PrimeCostλ(Cost, Life)¶" &amp; "DESCRIPTION:   →Straight-line depreciation schedule for one asset or asset class, in whole years. A modelling schedule, not a tax calculation.¶" &amp; "WEBPAGE:       →https://github.com/ryanduguid/Ozzit¶" &amp; "VERSION:       →20 Aug 2026¶" &amp; "PARAMETERS:    →¶" &amp; "Cost           →(Required) Asset's cost.¶" &amp; "Life           →(Required) Asset's effective life in years.¶" &amp; "EXAMPLES:      →¶" &amp; "→Formula (oz is assumed to be the module's name)¶" &amp; "→=oz.PrimeCostλ(1000, 5)¶" &amp; "→Result¶" &amp; "→200.00,200.00,200.00,200.00,200.00", "→", "¶" )), _xlpm.Help?, OR(_xlfn.ISOMITTED(_xlpm.Cost), _xlfn.ISOMITTED(_xlpm.Life)), _xlpm.Valid?, AND(ISNUMBER(_xlpm.Life), _xlpm.Life &gt; 0), _xlpm.Annual, _xlpm.Cost/_xlpm.Life, _xlpm.Count, MAX(1, ROUNDUP(_xlpm.Life, 0)), _xlpm.Result, IF(_xlpm.Valid?, IF(_xlfn.SEQUENCE(, _xlpm.Count) = _xlpm.Count, _xlpm.Cost - _xlpm.Annual * (_xlpm.Count - 1), _xlpm.Annual), "PrimeCostλ needs a Life greater than 0"), CHOOSE( _xlpm.Help? + 1, _xlpm.Result, _xlpm.Help) ) )</definedName>
    <definedName name="oz.QuickRatioλ" comment="Measures ability to meet short-term obligations (Quick Assets/Current Liabilities)">_xlfn.LAMBDA(_xlop.QuickAssets,_xlop.Liabilities, _xlfn.LET(_xlpm.Help, TRIM(_xlfn.TEXTSPLIT("FUNCTION:      →QuickRatioλ( QuickAssets, Liabilities)¶" &amp; "DESCRIPTION:   →Measures ability to meet short-term obligations¶" &amp; "→(Quick Assets/Current Liabilities)¶" &amp; "WEBPAGE:       →https://www.investopedia.com/terms/q/quickratio.asp ¶" &amp; "VERSION:       →20 Aug 2026¶" &amp; "PARAMETERS:→¶" &amp; "QuickAssets  →(Required) Quick Assets. Includes: ¶" &amp; "→• Cash &amp; Cash equivalents ¶" &amp; "→• Marketable securities ¶" &amp; "→• Accounts receivable ¶" &amp; "→Alterantively it includes: ¶" &amp; "→• Current assets ¶" &amp; "→• Less inventory ¶" &amp; "→• Less prepaid expenses ¶" &amp; "Liabilities     →(Required) Current Liabilities. Includes: ¶" &amp; "→Accounts payable ¶" &amp; "→Wages ¶" &amp; "→Taxes payable ¶" &amp; "→Short-term debts ¶" &amp; "→Current portion of long-term debt ¶" &amp; "EXAMPLES:      →Formula (oz is assumed to be the module's name)¶" &amp; "1.2            →=oz.QuickRatioλ( 165000, 137500)", "→", "¶")), _xlpm.Help?, OR(_xlfn.ISOMITTED(_xlpm.QuickAssets), _xlfn.ISOMITTED(_xlpm.Liabilities)), _xlpm.Result, _xlpm.QuickAssets / _xlpm.Liabilities, CHOOSE(_xlpm.Help? + 1, _xlpm.Result, _xlpm.Help)))</definedName>
    <definedName name="oz.RangeToDAEλ" comment="Convert a range reference to a dynamic array reference">_xlfn.LAMBDA(_xlop.Range,_xlop.Rows,_xlop.Columns, _xlfn.LET(_xlpm.Help, TRIM(_xlfn.TEXTSPLIT("FUNCTION:          →RangeToDAEλ(Range, [Rows], [Columns])¶" &amp; "DESCRIPTION:       →Convert a range reference to a dynamic array reference.¶" &amp; "SEE ALSO:      →Excel 365 now has TRIMRANGE and trim references (.:.) for this.¶" &amp; "WEBSITE:           →https://github.com/ryanduguid/Ozzit¶" &amp; "PARAMETERS:        →¶" &amp; "Range              →(Required) A reference to the range to be converted.¶" &amp; "Rows               →(Optional) Number of rows for the dynamic array. Defaults to 1.¶" &amp; "Columns            →(Optional) Number of columns for the dynamic array. Defaults to 1.¶" &amp; "→¶" &amp; "EXAMPLES:          →=RangeToDAEλ(A1, , ModelPeriodCount)", "→", "¶")), _xlpm.Help?, _xlfn.ISOMITTED(_xlpm.Range), _xlpm.Rows, IF(ISNUMBER(_xlpm.Rows), _xlpm.Rows, 1), _xlpm.Columns, IF(ISNUMBER(_xlpm.Columns), _xlpm.Columns, 1), _xlpm.Result, OFFSET(_xlpm.Range, 0, 0, _xlpm.Rows, _xlpm.Columns), CHOOSE(_xlpm.Help? + 1, _xlpm.Result, _xlpm.Help)))</definedName>
    <definedName name="oz.RangeToDAUλ" comment="Convert a range reference to a dynamic array reference">_xlfn.LAMBDA(_xlop.Range,_xlop.Rows,_xlop.Columns, _xlfn.LET(_xlpm.Help, TRIM(_xlfn.TEXTSPLIT("FUNCTION:          →RangeToDAUλ(Range, [Rows], [Columns])¶" &amp; "DESCRIPTION:       →Convert a range reference to a dynamic array reference.¶" &amp; "SEE ALSO:      →Excel 365 now has TRIMRANGE and trim references (.:.) for this.¶" &amp; "WEBSITE:           →https://github.com/ryanduguid/Ozzit¶" &amp; "PARAMETERS:        →¶" &amp; "Range              →(Required) A reference to the range to be converted.¶" &amp; "Rows               →(Optional) Number of rows for the dynamic array. Defaults to 1.¶" &amp; "Columns            →(Optional) Number of columns for the dynamic array. Defaults to 1.¶" &amp; "→¶" &amp; "EXAMPLES:          →=RangeToDAUλ(A1, , ModelPeriodCount)", "→", "¶")), _xlpm.Help?, _xlfn.ISOMITTED(_xlpm.Range), _xlpm.Rows, IF(ISNUMBER(_xlpm.Rows), _xlpm.Rows, 1), _xlpm.Columns, IF(ISNUMBER(_xlpm.Columns), _xlpm.Columns, 1), _xlpm.Result, OFFSET(_xlpm.Range, 0, 0, _xlpm.Rows, _xlpm.Columns), CHOOSE(_xlpm.Help? + 1, _xlpm.Result, _xlpm.Help)))</definedName>
    <definedName name="oz.RangeToDAλ" comment="Create a dynamic array from a static range">_xlfn.LAMBDA(_xlop.Cell,_xlop.Rows,_xlop.Columns, _xlfn.LET(_xlpm.Help, TRIM(_xlfn.TEXTSPLIT("FUNCTION:      →RangeToDAλ( Cell, [Rows], [Columns])¶" &amp; "DESCRIPTION:   →Create a dynamic array from a static range¶" &amp; "SEE ALSO:      →Excel 365 now has TRIMRANGE and trim references (.:.) for this.¶" &amp; "WEBPAGE:       →https://github.com/ryanduguid/Ozzit¶" &amp; "VERSION:       →20 Aug 2026¶" &amp; "PARAMETERS:    →¶" &amp; "Cell           →(Required) The upper left cell of a range to convert¶" &amp; "Rows           →(Optional) The number of rows for dynamic array. Defaults to 1.¶" &amp; "Columns        →(Optional) The number of columns for dynamic array. Defaults to 1.¶" &amp; "EXAMPLES:      →¶" &amp; "Result         →Formula (oz is assumed to be the module's name)¶" &amp; "               →=oz.RangeToDAλ( A1, , 12)", "→", "¶")), _xlpm.Help?, _xlfn.ISOMITTED(_xlpm.Cell), _xlpm.Rows, IF(_xlfn.ISOMITTED(_xlpm.Rows), 1, IF(_xlpm.Rows = 0, 1, _xlpm.Rows)), _xlpm.Columns, IF(_xlfn.ISOMITTED(_xlpm.Columns), 1, IF(_xlpm.Columns = 0, 1, _xlpm.Columns)), _xlpm.Result, OFFSET(_xlpm.Cell, 0, 0, _xlpm.Rows, _xlpm.Columns), CHOOSE(_xlpm.Help? + 1, _xlpm.Result, _xlpm.Help)))</definedName>
    <definedName name="oz.RateAtDateλ" comment="Returns the rate in effect on each date from a table of effective dates and rates, refusing gaps, unsorted or repeated dates">_xlfn.LAMBDA(_xlop.EffectiveDates,_xlop.Rates,_xlop.Dates, _xlfn.LET( _xlpm.Help, TRIM(_xlfn.TEXTSPLIT( "FUNCTION:      →RateAtDateλ(EffectiveDates, Rates, Dates)¶" &amp; "DESCRIPTION:   →Returns the rate in effect on each date from your table of effective dates and rates.¶NOTES!         →Each rate applies from its effective date until the next one. Dates may¶               →be one date or a row or column of them, and the result takes their shape.¶               →A date before the first effective date has no rate in effect and returns¶               →#N/A. The table must be complete and in order, so instead of a result it¶               →returns a message when EffectiveDates and Rates differ in length or hold¶               →a blank or text entry, when the dates are not in ascending order, or when¶               →a date repeats. A text or blank date in Dates returns #VALUE!. The¶               →library ships no rate table: supply your own, with its source and the¶               →date you checked it. ScheduleRatesλ() lays rates across a timeline¶               →without these checks.¶" &amp; "WEBPAGE:       →https://github.com/ryanduguid/Ozzit¶" &amp; "VERSION:       →19 Oct 2026¶" &amp; "PARAMETERS:    →¶" &amp; "EffectiveDates →(Required) A row or column of dates from which each rate applies, in ascending order.¶" &amp; "Rates          →(Required) The rate that applies from each effective date, the same length as EffectiveDates.¶" &amp; "Dates          →(Required) The date, or a row or column of dates, to look up.¶" &amp; "EXAMPLES:      →¶" &amp; "→Formula (oz is assumed to be the module's name)¶" &amp; "→=oz.RateAtDateλ(DATE(2026, {1;7;10}, 1), {0.04;0.045;0.05}, DATE(2026, 8, 15))¶" &amp; "→Result¶" &amp; "→0.045", "→", "¶" )), _xlpm.Help?, OR(_xlfn.ISOMITTED(_xlpm.EffectiveDates), _xlfn.ISOMITTED(_xlpm.Rates), _xlfn.ISOMITTED(_xlpm.Dates)), _xlpm.Starts, _xlfn.TOCOL(_xlpm.EffectiveDates), _xlpm.Values, _xlfn.TOCOL(_xlpm.Rates), _xlpm.Count, ROWS(_xlpm.Starts), _xlpm.Complete?, AND(_xlpm.Count = ROWS(_xlpm.Values), ISNUMBER(_xlpm.EffectiveDates), ISNUMBER(_xlpm.Rates)), _xlpm.Steps, IF(_xlpm.Count = 1, 1, _xlfn.DROP(_xlpm.Starts, 1) - _xlfn.DROP(_xlpm.Starts, -1)), _xlpm.Unsorted?, OR(_xlpm.Steps &lt; 0), _xlpm.Repeated?, OR(_xlpm.Steps = 0), _xlpm.GapMessage, "RateAtDateλ needs EffectiveDates and Rates of the same length with a number " &amp; "in every entry. A blank or text entry leaves a gap in the table.", _xlpm.SortMessage, "RateAtDateλ needs EffectiveDates in ascending order. Sort the table by " &amp; "effective date.", _xlpm.RepeatMessage, "RateAtDateλ found an effective date that repeats. Keep one rate for each " &amp; "date.", _xlpm.Result, IF(ISNUMBER(_xlpm.Dates), _xlfn.XLOOKUP(_xlpm.Dates, _xlpm.Starts, _xlpm.Values, NA(), -1, 2), #VALUE!), _xlpm.Return, IF(_xlpm.Help?, 2, IF(NOT(_xlpm.Complete?), 3, IF(_xlpm.Unsorted?, 4, IF(_xlpm.Repeated?, 5, 1)))), CHOOSE( _xlpm.Return, _xlpm.Result, _xlpm.Help, _xlpm.GapMessage, _xlpm.SortMessage, _xlpm.RepeatMessage) ) )</definedName>
    <definedName name="oz.ReceivableDaysλ" comment="Receivable days, or days sales outstanding (DSO): Receivables / Sales x Days">_xlfn.LAMBDA(_xlop.Receivables,_xlop.Sales,_xlop.Days, _xlfn.LET( _xlpm.Help, TRIM(_xlfn.TEXTSPLIT( "FUNCTION:      →ReceivableDaysλ(Receivables, Sales, [Days])¶" &amp; "DESCRIPTION:   →Receivable days, or days sales outstanding (DSO): the days of sales not yet collected.¶NOTES!         →Receivables / Sales * Days. Days is the number of days the Sales figure¶               →covers: 365 with a year's sales, 90 with the last three months' sales for¶               →a rolling figure, or a month's days with that month's sales. Pass closing¶               →receivables, or the average of opening and closing for an average-balance¶               →figure. Put the balance and the sales on the same basis: where one includes¶               →GST and the other does not, adjust the inputs first, because this function¶               →makes no GST adjustment. Sales of 0 returns #DIV/0!, and Days of 0 or less¶               →returns #NUM!.¶" &amp; "WEBPAGE:       →https://github.com/ryanduguid/Ozzit/blob/main/docs/ratio-definitions.md¶" &amp; "VERSION:       →29 Sep 2026¶" &amp; "PARAMETERS:    →¶" &amp; "Receivables    →(Required) Trade receivables: the closing balance, or the average of opening and closing.¶" &amp; "Sales          →(Required) Credit sales over the same Days.¶" &amp; "Days           →(Optional: Default = 365) Days the Sales figure covers.¶" &amp; "EXAMPLES:      →¶" &amp; "→Formula (oz is assumed to be the module's name)¶" &amp; "→=oz.ReceivableDaysλ(125000, 1200000)¶" &amp; "→Result¶" &amp; "→38.0208¶" &amp; "→=oz.ReceivableDaysλ(125000, 330000, 90)¶" &amp; "→Result¶" &amp; "→34.0909", "→", "¶" )), _xlpm.Help?, OR(_xlfn.ISOMITTED(_xlpm.Receivables), _xlfn.ISOMITTED(_xlpm.Sales)), _xlpm.Period, IF(_xlfn.ISOMITTED(_xlpm.Days), 365, IF(_xlpm.Days = "", 365, IF(ISNUMBER(_xlpm.Days), _xlpm.Days, #VALUE!))), _xlpm.Result, IF(_xlpm.Period &lt;= 0, #NUM!, _xlpm.Receivables / _xlpm.Sales * _xlpm.Period), CHOOSE( _xlpm.Help? + 1, _xlpm.Result, _xlpm.Help) ) )</definedName>
    <definedName name="oz.ReceivablesTurnoverRatioλ" comment="Indicates effectiveness in collecting outstanding balances from clients and _x000a_managing line of credit process (Net Credit Sales/Average Accounts Receivable)">_xlfn.LAMBDA(_xlop.NetCreditSales,_xlop.AverageAccountsReceivable, _xlfn.LET(_xlpm.Help, TRIM(_xlfn.TEXTSPLIT("FUNCTION:      →ReceivablesTurnoverRatioλ( NetCreditSales, AverageAccountsReceivable)¶" &amp; "DESCRIPTION:   →Indicates effectiveness in collecting outstanding balances from clients and ¶" &amp; "→managing line of credit process (Net Credit Sales/Average Accounts Receivable)¶" &amp; "WEBPAGE:       →https://www.investopedia.com/terms/r/receivableturnoverratio.asp ¶" &amp; "VERSION:       →20 Aug 2026¶" &amp; "PARAMETERS:→¶" &amp; "NetCreditSales →(Required) Net Credit Sales. Amount of revenue earned by a company paid via credit¶" &amp; "AverageAccountsReceivable→(Required) Average Accounts Receivable. Average of period opening and closing balance¶" &amp; "EXAMPLES:      →Formula (oz is assumed to be the module's name)¶" &amp; "11.76471       →=oz.ReceivablesTurnoverRatioλ( 800000, 68000 )", "→", "¶")), _xlpm.Help?, OR(_xlfn.ISOMITTED(_xlpm.NetCreditSales), _xlfn.ISOMITTED(_xlpm.AverageAccountsReceivable)), _xlpm.Result, _xlpm.NetCreditSales / _xlpm.AverageAccountsReceivable, CHOOSE(_xlpm.Help? + 1, _xlpm.Result, _xlpm.Help)))</definedName>
    <definedName name="oz.RetentionRatioλ" comment="Retention Ratio is the proportion of earnings kept back in the _x000a_business as retained earnings (Retained Earnings/Net Income).">_xlfn.LAMBDA(_xlop.RetainedEarnings,_xlop.NetIncome, _xlfn.LET(_xlpm.Help, TRIM(_xlfn.TEXTSPLIT( "FUNCTION:          →RetentionRatioλ( RetainedEarnings, NetIncome )¶" &amp; "DESCRIPTION:       →Retention Ratio is the proportion of earnings kept back in the ¶" &amp; "→business as retained earnings (Retained Earnings/Net Income).¶" &amp; "WEBPAGE:           →https://www.investopedia.com/terms/r/retentionratio.asp ¶" &amp; "VERSION:           →20 Aug 2026¶" &amp; "PARAMETERS:→¶" &amp; "RetainedEarnings   →(Required) Retained Earnings (Net Income - paid dividends)¶" &amp; "NetIncome          →(Required) Net Income¶" &amp; "EXAMPLES:          →Formula (oz is assumed to be the module's name)¶" &amp; "47.3%              →=oz.RetentionRatioλ( 19.869, 41.981)", "→", "¶" ) ), _xlpm.Help?, OR( _xlfn.ISOMITTED( _xlpm.RetainedEarnings), _xlfn.ISOMITTED( _xlpm.NetIncome) ), _xlpm.Result, _xlpm.RetainedEarnings/_xlpm.NetIncome, CHOOSE(_xlpm.Help? + 1, _xlpm.Result, _xlpm.Help) ) )</definedName>
    <definedName name="oz.Reversalλ" comment="Create a row that reverses input values in the next period.">_xlfn.LAMBDA(_xlop.OpeningValue,_xlop.RowToReverse, _xlfn.LET(_xlpm.Help, TRIM(_xlfn.TEXTSPLIT("FUNCTION:      →Reversalλ( [OpeningValue], RowToReverse)¶" &amp; "DESCRIPTION:   →Create a row that reverses input values in the next period.¶" &amp; "WEBPAGE:       →https://github.com/ryanduguid/Ozzit¶" &amp; "VERSION:       →20 Aug 2026¶" &amp; "PARAMETERS:    →¶" &amp; "OpeningValue   →(Optional) Defaults to 0¶" &amp; "RowToReverse   →(Required) A row of values to reverse the following periods¶" &amp; "EXAMPLES:      →¶" &amp; "Result         →Formula (oz is assumed to be the module's name)¶" &amp; "0,-100,-110    →=oz.Reversalλ( , {100,110,130})", "→", "¶")), _xlpm.Help?, _xlfn.ISOMITTED(_xlpm.RowToReverse), _xlpm.BeginningValue, IF(_xlfn.ISOMITTED(_xlpm.OpeningValue), 0, _xlpm.OpeningValue), _xlpm.Counter, _xlfn.SEQUENCE(, COLUMNS(_xlpm.RowToReverse)), _xlpm.Result, _xlfn.MAP(_xlpm.Counter, _xlfn.LAMBDA(_xlpm.Col, IF(_xlpm.Col = 1, -_xlpm.OpeningValue, -_xlfn.CHOOSECOLS(_xlpm.RowToReverse, _xlpm.Col - 1)))), CHOOSE(_xlpm.Help? + 1, _xlpm.Result, _xlpm.Help)))</definedName>
    <definedName name="oz.ROAλ" comment="Return on assets (ROA) ratio indicates how profitable a company is _x000a_in relation to its total assets ( Net Income / Total Assets)">_xlfn.LAMBDA(_xlop.NetIncome,_xlop.TotalAssets, _xlfn.LET(_xlpm.Help, TRIM(_xlfn.TEXTSPLIT("FUNCTION:      →ROAλ( NetIncome, TotalAssets)¶" &amp; "DESCRIPTION:   →Return on assets ratio indicates how profitable a company is ¶" &amp; "→in relation to its total assets ( Net Income / Total Assets)¶" &amp; "WEBPAGE:       →https://www.investopedia.com/terms/r/returnonassets.asp ¶" &amp; "VERSION:       →20 Aug 2026¶" &amp; "PARAMETERS:→¶" &amp; "NetIncome      →(Required) Net Income¶" &amp; "TotalAssets    →(Required) Total Assets¶" &amp; "EXAMPLES:      →Formula (oz is assumed to be the module's name)¶" &amp; "8%             →=oz.ROAλ(1200, 15000 )", "→", "¶")), _xlpm.Help?, OR(_xlfn.ISOMITTED(_xlpm.NetIncome), _xlfn.ISOMITTED(_xlpm.TotalAssets)), _xlpm.Result, _xlpm.NetIncome / _xlpm.TotalAssets, CHOOSE(_xlpm.Help? + 1, _xlpm.Result, _xlpm.Help)))</definedName>
    <definedName name="oz.ROEλ" comment="Return on equity (ROE) ratio is a measure of financial performance (Net Income/Average Shareholders' Equity)">_xlfn.LAMBDA(_xlop.NetIncome,_xlop.ShareholdersEquity,_xlop.OpeningEquity, _xlfn.LET(_xlpm.Help, TRIM(_xlfn.TEXTSPLIT( "FUNCTION:          →ROEλ( NetIncome, ShareholdersEquity, [OpeningEquity])¶" &amp; "DESCRIPTION:       →Return on equity ratio is considered a gauge of a corporation's ¶" &amp; "→profitability and how efficient it is in generating profits¶" &amp; "→(Net Income/ Average Shareholders' Equity)¶" &amp; "WEBPAGE:           →https://www.investopedia.com/terms/r/returnonequity.asp ¶" &amp; "VERSION:           →6 Sep 2026¶" &amp; "PARAMETERS:→¶" &amp; "NetIncome          →(Required) Net Income¶" &amp; "ShareholdersEquity →(Required) Shareholders' Equity at the period close. Give the average of open and close here when OpeningEquity is left out ¶" &amp; "OpeningEquity      →(Optional) Shareholders' Equity at the period open. When given, the ratio divides by the average of OpeningEquity and ShareholdersEquity ¶" &amp; "EXAMPLES:          →Formula (oz is assumed to be the module's name)¶" &amp; "23.6213%           →=oz.ROEλ( 59.972, 256.144, 251.635 )¶" &amp; "23.6213%           →=oz.ROEλ( 59.972, AVERAGE(251.635, 256.144) )", "→", "¶" ) ), _xlpm.Help?, OR( _xlfn.ISOMITTED( _xlpm.NetIncome), _xlfn.ISOMITTED( _xlpm.ShareholdersEquity) ), _xlpm.Opening, IF( _xlfn.ISOMITTED( _xlpm.OpeningEquity), _xlpm.ShareholdersEquity, IF( ISNUMBER( _xlpm.OpeningEquity), _xlpm.OpeningEquity, _xlpm.ShareholdersEquity) ), _xlpm.Result, _xlpm.NetIncome / ((_xlpm.ShareholdersEquity + _xlpm.Opening) / 2), CHOOSE(_xlpm.Help? + 1, _xlpm.Result, _xlpm.Help) ) )</definedName>
    <definedName name="oz.ROICλ" comment="Return on Invested capital  assesses a company’s efficiency in allocating _x000a_capital to profitable investments (Net Operating Profit After Tax/Invested Capital)">_xlfn.LAMBDA(_xlop.NetOperatingProfitAfterTax,_xlop.InvestedCapital, _xlfn.LET(_xlpm.Help, TRIM(_xlfn.TEXTSPLIT("FUNCTION:      →ROICλ( NetOperatingProfitAfterTax, InvestedCapital)¶" &amp; "DESCRIPTION:   →Return on Invested capital  assesses a company’s efficiency in allocating ¶" &amp; "→capital to profitable investments (Net Operating Profit After Tax/Invested Capital)¶" &amp; "WEBPAGE:       →https://www.investopedia.com/terms/r/returnoninvestmentcapital.asp ¶" &amp; "VERSION:       →20 Aug 2026¶" &amp; "PARAMETERS:→¶" &amp; "NetOperatingProfitAfterTax→(Required) Net Operating profit after Tax [ operating profit x (1 - effective tax rate) ].¶" &amp; "InvestedCapital→(Required) Invested Capital (Debt + Equity).¶" &amp; "EXAMPLES:      →Formula (oz is assumed to be the module's name)¶" &amp; "12.6122%       →=oz.ROICλ( 3245, 25729 )", "→", "¶")), _xlpm.Help?, OR(_xlfn.ISOMITTED(_xlpm.NetOperatingProfitAfterTax), _xlfn.ISOMITTED(_xlpm.InvestedCapital)), _xlpm.Result, _xlpm.NetOperatingProfitAfterTax / _xlpm.InvestedCapital, CHOOSE(_xlpm.Help? + 1, _xlpm.Result, _xlpm.Help)))</definedName>
    <definedName name="oz.ROIλ" comment="Return on Investment (ROI) ratio  measures the profitability of an investment by comparing _x000a_the gain or loss to its cost (Net Return on Investment/Cost of Investment).">_xlfn.LAMBDA(_xlop.NetReturnonInvestment,_xlop.CostofInvestment, _xlfn.LET(_xlpm.Help, TRIM(_xlfn.TEXTSPLIT("FUNCTION:              →ROIλ( NetReturnonInvestment, CostofInvestment)¶" &amp; "DESCRIPTION:           →Return on Investment (ROI) ratio  measures the profitability of¶" &amp; "→an investment by comparing the gain or loss to its cost. ¶" &amp; "→(Net Return on Investment/Cost of Investment)¶" &amp; "WEBPAGE:               →https://www.investopedia.com/terms/r/returnoninvestment.asp ¶" &amp; "VERSION:               →20 Aug 2026¶" &amp; "PARAMETERS:→¶" &amp; "NetReturnonInvestment  →(Required) Net Return on Investment is the ¶" &amp; "→final value of investment - initial value of investment¶" &amp; "CostofInvestment       →(Required) Cost of Investment ¶" &amp; "EXAMPLES:              →Formula (oz is assumed to be the module's name)¶" &amp; "28.75%                 →=oz.ROIλ( 2875, 10000 )", "→", "¶")), _xlpm.Help?, OR(_xlfn.ISOMITTED(_xlpm.NetReturnonInvestment), _xlfn.ISOMITTED(_xlpm.CostofInvestment)), _xlpm.Result, _xlpm.NetReturnonInvestment / _xlpm.CostofInvestment, CHOOSE(_xlpm.Help? + 1, _xlpm.Result, _xlpm.Help)))</definedName>
    <definedName name="oz.RollingAvgλ" comment="Creates Averages for preceding values of a set size moving from beginning to end over a row of values.">_xlfn.LAMBDA(_xlop.Values,_xlop.Size, _xlfn.LET(_xlpm.Help, TRIM(_xlfn.TEXTSPLIT( "FUNCTION:      →RollingAvgλ( Values, Size)¶" &amp; "DESCRIPTION:   →Creates averages for preceding values of a set size moving¶" &amp; "→from beginning to end over a row of values¶" &amp; "WEBPAGE:       →https://github.com/ryanduguid/Ozzit¶" &amp; "VERSION:       →20 Aug 2026¶" &amp; "PARAMETERS:    →¶" &amp; "Values         →(Required) A row of values to be averaged.¶" &amp; "Size           →(Required) The number of values to average that ¶" &amp; "→include and precede the current value¶" &amp; "EXAMPLES:      →¶" &amp; "Result         →Formula (oz is assumed to be the module's name)¶" &amp; "1,1.5,2,3,4    →=oz.RollingAvgλ(SEQUENCE(, 5), 3)", "→", "¶" ) ), _xlpm.Help?, OR( _xlfn.ISOMITTED( _xlpm.Values), _xlfn.ISOMITTED( _xlpm.Size)), _xlpm.Counter, _xlfn.SEQUENCE(, COLUMNS( _xlpm.Values)), _xlpm.Result, _xlfn.MAP( _xlpm.Counter, _xlfn.LAMBDA(_xlpm.Val, AVERAGE( _xlfn.CHOOSECOLS( _xlpm.Values, _xlfn.SEQUENCE( 1, MIN( _xlpm.Val, _xlpm.Size), MAX( 1, _xlpm.Val - _xlpm.Size + 1)))) ) ), CHOOSE(_xlpm.Help? + 1, _xlpm.Result, _xlpm.Help) ) )</definedName>
    <definedName name="oz.RollingMaxλ" comment="Creates the maximum for preceding values of a set size moving from beginning to end over a row of values.">_xlfn.LAMBDA(_xlop.Values,_xlop.Size, _xlfn.LET(_xlpm.Help, TRIM(_xlfn.TEXTSPLIT( "FUNCTION:      →RollingMaxλ( Values, Size)¶" &amp; "DESCRIPTION:   →Creates the maximum for preceding values of a set size moving¶" &amp; "→from beginning to end over a row of values¶" &amp; "WEBPAGE:       →https://github.com/ryanduguid/Ozzit¶" &amp; "VERSION:       →20 Aug 2026¶" &amp; "PARAMETERS:    →¶" &amp; "Values         →(Required) A row of values to be maxed.¶" &amp; "Size           →(Required) The number of values to find the maximum of that ¶" &amp; "→include and precede the current value¶" &amp; "EXAMPLES:      →¶" &amp; "Result         →Formula (oz is assumed to be the module's name)¶" &amp; "5,5,5,6,6,7    →=oz.RollingMaxλ({5,3,4,6,3,7}, 3)", "→", "¶" ) ), _xlpm.Help?, OR( _xlfn.ISOMITTED( _xlpm.Values), _xlfn.ISOMITTED( _xlpm.Size)), _xlpm.Counter, _xlfn.SEQUENCE(, COLUMNS( _xlpm.Values)), _xlpm.Result, _xlfn.MAP( _xlpm.Counter, _xlfn.LAMBDA(_xlpm.Val, MAX( _xlfn.CHOOSECOLS( _xlpm.Values, _xlfn.SEQUENCE( 1, MIN( _xlpm.Val, _xlpm.Size), MAX( 1, _xlpm.Val - _xlpm.Size + 1)))) ) ), CHOOSE(_xlpm.Help? + 1, _xlpm.Result, _xlpm.Help) ) )</definedName>
    <definedName name="oz.RollingMinλ" comment="Creates the Minimum for preceding values of a set size moving from beginning to end over a row of values.">_xlfn.LAMBDA(_xlop.Values,_xlop.Size, _xlfn.LET(_xlpm.Help, TRIM(_xlfn.TEXTSPLIT( "FUNCTION:      →RollingMinλ( Values, Size)¶" &amp; "DESCRIPTION:   →Creates the minimum for preceding values of a set size moving¶" &amp; "→from beginning to end over a row of values¶" &amp; "WEBPAGE:       →https://github.com/ryanduguid/Ozzit¶" &amp; "VERSION:       →20 Aug 2026¶" &amp; "PARAMETERS:    →¶" &amp; "Values         →(Required) A row of values to take the minimum of.¶" &amp; "Size           →(Required) The number of values to find the minimum of that ¶" &amp; "→include and precede the current value¶" &amp; "EXAMPLES:      →¶" &amp; "Result         →Formula (oz is assumed to be the module's name)¶" &amp; "5,3,3,3,2,2    →=oz.RollingMinλ({5,3,4,6,2,7}, 3)", "→", "¶" ) ), _xlpm.Help?, OR( _xlfn.ISOMITTED( _xlpm.Values), _xlfn.ISOMITTED( _xlpm.Size)), _xlpm.Counter, _xlfn.SEQUENCE(, COLUMNS( _xlpm.Values)), _xlpm.Result, _xlfn.MAP( _xlpm.Counter, _xlfn.LAMBDA(_xlpm.Val, MIN( _xlfn.CHOOSECOLS( _xlpm.Values, _xlfn.SEQUENCE( 1, MIN( _xlpm.Val, _xlpm.Size), MAX( 1, _xlpm.Val - _xlpm.Size + 1)))) ) ), CHOOSE(_xlpm.Help? + 1, _xlpm.Result, _xlpm.Help) ) )</definedName>
    <definedName name="oz.RollingSumλ" comment="Creates totals for preceding values of a set size moving from beginning to end over a row of values.">_xlfn.LAMBDA(_xlop.Values,_xlop.Size, _xlfn.LET(_xlpm.Help, TRIM(_xlfn.TEXTSPLIT( "FUNCTION:      →RollingSumλ( Values, Size)¶" &amp; "DESCRIPTION:   →Creates totals for preceding values of a set size moving¶" &amp; "→from beginning to end over a row of values¶" &amp; "WEBPAGE:       →https://github.com/ryanduguid/Ozzit¶" &amp; "VERSION:       →20 Aug 2026¶" &amp; "PARAMETERS:    →¶" &amp; "Values         →(Required) A row of values to be totalled.¶" &amp; "Size           →(Required) The number of values to total that ¶" &amp; "→include and precede the current value¶" &amp; "EXAMPLES:      →¶" &amp; "Result         →Formula (oz is assumed to be the module's name)¶" &amp; "1,3,6,9,12     →=oz.RollingSumλ(SEQUENCE(, 5), 3)", "→", "¶" ) ), _xlpm.Help?, OR( _xlfn.ISOMITTED( _xlpm.Values), _xlfn.ISOMITTED( _xlpm.Size)), _xlpm.Counter, _xlfn.SEQUENCE(, COLUMNS( _xlpm.Values)), _xlpm.Result, _xlfn.MAP( _xlpm.Counter, _xlfn.LAMBDA(_xlpm.Val, SUM( _xlfn.CHOOSECOLS( _xlpm.Values, _xlfn.SEQUENCE( 1, MIN( _xlpm.Val, _xlpm.Size), MAX( 1, _xlpm.Val - _xlpm.Size + 1)))) ) ), CHOOSE(_xlpm.Help? + 1, _xlpm.Result, _xlpm.Help) ) )</definedName>
    <definedName name="oz.ROUScheduleλ" comment="Straight-line right-of-use asset schedule: opening, depreciation and closing for each period">_xlfn.LAMBDA(_xlop.Cost,_xlop.Periods, _xlfn.LET( _xlpm.Help, TRIM(_xlfn.TEXTSPLIT( "FUNCTION:      →ROUScheduleλ(Cost, Periods)¶" &amp; "DESCRIPTION:   →Depreciates a right-of-use asset in a straight line over the lease term.¶NOTES!         →Returns three rows: opening carrying amount, depreciation, closing¶               →carrying amount. AASB 16 paragraph 24 measures the asset at cost,¶               →comprising the initial lease liability, lease payments made at or¶               →before the commencement date less incentives received, initial direct¶               →costs, and an estimate of dismantling and restoration costs. Add those¶               →up yourself and pass the total as Cost. Depreciate over the lease term¶               →where ownership does not transfer, and over the useful life where it¶               →does. Cost and Periods are single values, not arrays. Arithmetic only.¶               →AASB 16 compilation checked 24 August 2026.¶" &amp; "WEBPAGE:       →https://github.com/ryanduguid/Ozzit¶" &amp; "VERSION:       →24 Aug 2026¶" &amp; "PARAMETERS:    →¶" &amp; "Cost           →(Required) Initial carrying amount of the right-of-use asset.¶" &amp; "Periods        →(Required) Number of periods to depreciate over, at least 1.¶" &amp; "EXAMPLES:      →¶" &amp; "→Formula (oz is assumed to be the module's name)¶" &amp; "→=oz.ROUScheduleλ(300, 3)¶" &amp; "→Result¶" &amp; "→300, 200, 100¶" &amp; "→100, 100, 100¶" &amp; "→200, 100,   0", "→", "¶" )), _xlpm.Help?, OR(_xlfn.ISOMITTED(_xlpm.Cost), _xlfn.ISOMITTED(_xlpm.Periods)), _xlpm.Valid?, AND(ISNUMBER(_xlpm.Cost), ISNUMBER(_xlpm.Periods), _xlpm.Periods &gt;= 1), _xlpm.Count, IF(_xlpm.Valid?, INT(_xlpm.Periods), 1), _xlpm.Charge, IF(_xlpm.Valid?, _xlpm.Cost / _xlpm.Count, 0), _xlpm.Index, _xlfn.SEQUENCE(1, _xlpm.Count), _xlpm.Result, IF(_xlpm.Valid?, _xlfn.VSTACK( _xlpm.Cost - _xlpm.Charge * (_xlpm.Index - 1), _xlfn.SEQUENCE(1, _xlpm.Count, _xlpm.Charge, 0), _xlpm.Cost - _xlpm.Charge * _xlpm.Index), "ROUScheduleλ needs a numeric Cost and Periods of at least 1"), CHOOSE( _xlpm.Help? + 1, _xlpm.Result, _xlpm.Help) ) )</definedName>
    <definedName name="oz.ScheduleRatesByItemsλ" comment="Schedule rates that persist until replaced in a timeline for each item in a list.">_xlfn.LAMBDA(_xlop.PeriodEnds,_xlop.ItemFilter,_xlop.ItemList,_xlop.EffectiveList,_xlop.RateList, _xlfn.LET( _xlpm.Help, TRIM(_xlfn.TEXTSPLIT( "FUNCTION:      →ScheduleRatesByItemsλ(PeriodEnds, ItemFilter, ItemList, EffectiveList, RateList)¶" &amp; "DESCRIPTION:   →Schedules each item's rates by period until another rate takes effect.¶" &amp; "NOTE!          →If 2 rates are scheduled within the same period for the same item, .¶" &amp; "→only the last rate will be selected.¶" &amp; "WEBPAGE:       →https://github.com/ryanduguid/Ozzit¶" &amp; "PARAMETERS:    →¶" &amp; "PeriodEnds     →(Required) A row of period end dates (timeline).¶" &amp; "ItemFilter     →(Required) A column of 1 or more items to filter a rate schedule by. ¶" &amp; "               →A 'rate schedule' is a table/list where each row contains a unique item/effective date pair with a rate.¶" &amp; "→An item with no rate in the schedule scores nought in every period.¶" &amp; "ItemList       →(Required) Items in a rate schedule.¶" &amp; "EffectiveList  →(Required) Effective dates in the rate schedule.¶" &amp; "RateList       →(Required) Rates in a rate schedule for each item/effective date pair.¶" &amp; "EXAMPLES:      →¶" &amp; "Result         →Formula (oz is assumed to be the module's name)¶" &amp; "→=oz.ScheduleRatesByItemsλ( oz.Timelineλ( ""1/7/2026""), UNIQUE( tblRates[Unit]),¶" &amp; "→tblRates[Unit], tblRates[Effective], tblRates[Rent])", "→", "¶" ) ), _xlpm.Help?, OR( _xlfn.ISOMITTED( _xlpm.PeriodEnds), _xlfn.ISOMITTED( _xlpm.ItemFilter), _xlfn.ISOMITTED( _xlpm.ItemList), _xlfn.ISOMITTED( _xlpm.EffectiveList), _xlfn.ISOMITTED( _xlpm.RateList) ), _xlpm.CvtPrdEnds, IF( _xlfn.ISOMITTED( _xlpm.PeriodEnds), FALSE, IF( ISNUMBER( _xlpm.PeriodEnds), _xlpm.PeriodEnds, DATEVALUE( _xlpm.PeriodEnds)) ), _xlpm.CvtEffDates, IF( _xlfn.ISOMITTED( _xlpm.EffectiveList), FALSE, IF( ISNUMBER( _xlpm.EffectiveList), _xlpm.EffectiveList, DATEVALUE( _xlpm.EffectiveList)) ), _xlpm.Items, _xlfn.TOCOL( _xlpm.ItemFilter), _xlpm.Result, _xlfn.DROP( _xlfn.REDUCE( 0, _xlfn.SEQUENCE( ROWS( _xlpm.Items)), _xlfn.LAMBDA(_xlpm.Acc,_xlpm.Row, _xlfn.LET(_xlpm.Item, INDEX( _xlpm.Items, _xlpm.Row), _xlpm.ItemDates, _xlfn._xlws.FILTER( _xlpm.CvtEffDates, _xlpm.ItemList = _xlpm.Item, -1), _xlpm.ItemRates, _xlfn._xlws.FILTER( _xlpm.RateList, _xlpm.ItemList = _xlpm.Item, 0), _xlfn.VSTACK( _xlpm.Acc, _xlfn.XLOOKUP( _xlpm.CvtPrdEnds, _xlpm.ItemDates, _xlpm.ItemRates, 0, -1, -1)) ) ) ), 1 ), CHOOSE( _xlpm.Help? + 1, _xlpm.Result, _xlpm.Help) ) )</definedName>
    <definedName name="oz.ScheduleRatesλ" comment="Schedule rates that persist until replaced in a timeline.">_xlfn.LAMBDA(_xlop.PeriodEnds,_xlop.RateStarts,_xlop.Rates, _xlfn.LET( _xlpm.Help, TRIM(_xlfn.TEXTSPLIT( "FUNCTION:      →ScheduleRatesλ(PeriodEnds, RateStarts, Rates)¶" &amp; "DESCRIPTION:   →Schedules rates that persist until replaced in a timeline from a schedule in a table.¶" &amp; "NOTE!          →If 2 rates are scheduled within the same period, only the last rate will be selected.¶" &amp; "WEBPAGE:       →https://github.com/ryanduguid/Ozzit¶" &amp; "PARAMETERS:    →¶" &amp; "PeriodEnds     →(Required) A row of period end dates (timeline).¶" &amp; "RateStarts     →(Required) A column or row of rate effective dates in any order.¶" &amp; "Rates          →(Required) A column or row of rates associated with RateStarts.¶" &amp; "EXAMPLES:      →¶" &amp; "Result         →Formula (oz is assumed to be the module's name)¶" &amp; "_,10,20,30,30  →=oz.ScheduleRatesλ(Timelineλ(""1/7/2026"",5,""W""),{46208; 46216; 46222}, {10; 20; 30})", "→", "¶" ) ), _xlpm.s, 1, _xlpm.Help?, OR( _xlfn.ISOMITTED( _xlpm.PeriodEnds), _xlfn.ISOMITTED( _xlpm.RateStarts), _xlfn.ISOMITTED( _xlpm.Rates) ), _xlpm.CvtEnds, IF( _xlfn.ISOMITTED( _xlpm.PeriodEnds), FALSE, IF( ISNUMBER( _xlpm.PeriodEnds), _xlpm.PeriodEnds, DATEVALUE( _xlpm.PeriodEnds)) ), _xlpm.CvtStarts, IF( _xlfn.ISOMITTED( _xlpm.RateStarts), FALSE, IF( ISNUMBER( _xlpm.RateStarts), _xlpm.RateStarts, DATEVALUE( _xlpm.RateStarts)) ), _xlpm.Result, _xlfn.XLOOKUP(_xlpm.CvtEnds, _xlpm.CvtStarts, _xlpm.Rates, "", -1, -1), CHOOSE( _xlpm.Help? + 1, _xlpm.Result, _xlpm.Help) ) )</definedName>
    <definedName name="oz.ScheduleValuesByItemsλ" comment="Schedule and sum values in a timeline for each item.">_xlfn.LAMBDA(_xlop.PeriodStarts,_xlop.PeriodEnds,_xlop.ItemFilter,_xlop.ItemList,_xlop.EffectiveList,_xlop.ValueList, _xlfn.LET( _xlpm.Help, TRIM(_xlfn.TEXTSPLIT( "FUNCTION:      →ScheduleValuesByItemsλ(PeriodStarts, PeriodEnds, ItemFilter, ItemList, EffectiveList, ValueList)¶" &amp; "DESCRIPTION:   →Schedule and sum values in a timeline for each item.¶" &amp; "WEBPAGE:       →https://github.com/ryanduguid/Ozzit¶" &amp; "PARAMETERS:    →¶" &amp; "PeriodStarts   →(Required) A row of period start dates (timeline).¶" &amp; "PeriodEnds     →(Required) A row of period end dates (timeline).¶" &amp; "ItemFilter     →(Required) A column of 1 or more items to filter a value schedule by. ¶" &amp; "               →A 'value schedule' is a table/list where each row contains a unique item/effective date pair with a value.¶" &amp; "ItemList       →(Required) Items in a value schedule.¶" &amp; "EffectiveList  →(Required) Effective dates in the value schedule.¶" &amp; "ValueList      →(Required) Values in a value schedule for each item/effective date pair.¶" &amp; "→An item with no rows in the schedule totals nought in every period.¶" &amp; "EXAMPLES:      →¶" &amp; "Result         →Formula (oz is assumed to be the module's name)¶" &amp; "→=oz.ScheduleValuesByItemsλ( oz.Timelineλ( ""1/7/2026""),  oz.Timelineλ( ""1/7/2026"",,,FALSE), ¶" &amp; "→UNIQUE( tblExp[Items]), tblExp[Items], tblExp[Dates], tblExp[Amount])", "→", "¶" ) ), _xlpm.Help?, OR( _xlfn.ISOMITTED( _xlpm.PeriodStarts), _xlfn.ISOMITTED( _xlpm.PeriodEnds), _xlfn.ISOMITTED( _xlpm.ItemFilter), _xlfn.ISOMITTED( _xlpm.ItemList), _xlfn.ISOMITTED( _xlpm.EffectiveList), _xlfn.ISOMITTED( _xlpm.ValueList) ), _xlpm.CvtPrdStarts, IF( _xlfn.ISOMITTED( _xlpm.PeriodStarts), FALSE, IF( ISNUMBER( _xlpm.PeriodStarts), _xlpm.PeriodStarts, DATEVALUE( _xlpm.PeriodStarts)) ), _xlpm.CvtPrdEnds, IF( _xlfn.ISOMITTED( _xlpm.PeriodEnds), FALSE, IF( ISNUMBER( _xlpm.PeriodEnds), _xlpm.PeriodEnds, DATEVALUE( _xlpm.PeriodEnds)) ), _xlpm.CvtEffDates, IF( _xlfn.ISOMITTED( _xlpm.EffectiveList), FALSE, IF( ISNUMBER( _xlpm.EffectiveList), _xlpm.EffectiveList, DATEVALUE( _xlpm.EffectiveList)) ), _xlpm.Items, _xlfn.TOCOL( _xlpm.ItemFilter), _xlpm.Belongs, ( _xlpm.Items = _xlfn.TOROW( _xlpm.ItemList)) * ( _xlpm.Items &lt;&gt; ""), _xlpm.Falls, ( _xlfn.TOCOL( _xlpm.CvtEffDates) &gt;= _xlpm.CvtPrdStarts) * ( _xlfn.TOCOL( _xlpm.CvtEffDates) &lt;= _xlpm.CvtPrdEnds) * _xlfn.TOCOL( _xlpm.ValueList), _xlpm.Result, MMULT( _xlpm.Belongs, _xlpm.Falls), CHOOSE( _xlpm.Help? + 1, _xlpm.Result, _xlpm.Help) ) )</definedName>
    <definedName name="oz.ScheduleValuesλ" comment="Schedules values in a timeline from a schedule in a table.">_xlfn.LAMBDA(_xlop.PeriodStarts,_xlop.PeriodEnds,_xlop.Values,_xlop.EffectiveDates, _xlfn.LET( _xlpm.Help, TRIM(_xlfn.TEXTSPLIT( "FUNCTION:      →ScheduleValuesλ(PeriodStarts, PeriodEnds, Values, EffectiveDates)¶" &amp; "DESCRIPTION:   →Place values from a table into a timeline's appropriate period.¶" &amp; "WEBSITE:       →https://github.com/ryanduguid/Ozzit ¶" &amp; "PARAMETERS:    →¶" &amp; "PeriodStarts   →(Required) A row of period start dates (timeline).¶" &amp; "PeriodEnds     →(Required) A row of period end dates (timeline).¶" &amp; "Values         →(Required) A column or row of values to be scheduled.¶" &amp; "EffectiveDates →(Required) When each value is scheduled, in the same orientation as Values.¶" &amp; "EXAMPLES:→¶" &amp; "Result         →Formula (oz is assumed to be the module's name)¶" &amp; "→=oz.ScheduleValuesλ(Timelineλ(""1/7/2026""), Timelineλ(""1/7/2026"",,,FALSE), {1;3}, {""1/7/2026""; ""15/8/2026""})", "→", "¶" ) ), _xlpm.Help?, OR( _xlfn.ISOMITTED( _xlpm.PeriodStarts), _xlfn.ISOMITTED( _xlpm.PeriodEnds), _xlfn.ISOMITTED( _xlpm.Values), _xlfn.ISOMITTED( _xlpm.EffectiveDates) ), _xlpm.CvtPrdStarts, IF( _xlfn.ISOMITTED( _xlpm.PeriodStarts), FALSE, IF( ISNUMBER( _xlpm.PeriodStarts), _xlpm.PeriodStarts, DATEVALUE( _xlpm.PeriodStarts)) ), _xlpm.CvtPrdEnds, IF( _xlfn.ISOMITTED( _xlpm.PeriodEnds), FALSE, IF( ISNUMBER( _xlpm.PeriodEnds), _xlpm.PeriodEnds, DATEVALUE( _xlpm.PeriodEnds)) ), _xlpm.CvtEffDates, IF( _xlfn.ISOMITTED( _xlpm.EffectiveDates), FALSE, IF( ISNUMBER( _xlpm.EffectiveDates), _xlpm.EffectiveDates, DATEVALUE( _xlpm.EffectiveDates)) ), _xlpm.Result, _xlfn.BYCOL( _xlfn.SEQUENCE(, COLUMNS(_xlpm.CvtPrdStarts)), _xlfn.LAMBDA(_xlpm.Period, _xlfn.LET(_xlpm.StartDate, INDEX(_xlpm.CvtPrdStarts, _xlpm.Period), _xlpm.EndDate, INDEX(_xlpm.CvtPrdEnds, _xlpm.Period), SUM(_xlpm.Values * (_xlpm.CvtEffDates &gt;= _xlpm.StartDate) * (_xlpm.CvtEffDates &lt;= _xlpm.EndDate)) ) ) ), CHOOSE( _xlpm.Help? + 1, _xlpm.Result, _xlpm.Help) ) )</definedName>
    <definedName name="oz.SLNλ" comment="Straight Line depreciation method for one asset or asset class.">_xlfn.LAMBDA(_xlop.Cost,_xlop.Salvage,_xlop.Life, _xlfn.LET( _xlpm.Help, TRIM(_xlfn.TEXTSPLIT( "FUNCTION:      →SLNλ(Cost, Salvage, Life)¶" &amp; "DESCRIPTION:   →Straight Line Depreciation Method for one asset or asset class.¶" &amp; "WEBPAGE:       →https://github.com/ryanduguid/Ozzit¶" &amp; "VERSION:       →20 Aug 2026¶" &amp; "PARAMETERS:    →¶" &amp; "Cost           →(Required) Asset's initial cost.¶" &amp; "Salvage        →(Required) Asset's value and end of life¶" &amp; "Life           →(Required) Asset's useful life in years.¶" &amp; "EXAMPLES:      →¶" &amp; "→Formula (oz is assumed to be the module's name)¶" &amp; "→=oz.SLNλ(1000, 100, 5)¶" &amp; "→Result¶" &amp; "→180,180,180,180,180", "→", "¶" ) ), _xlpm.Help?, OR( _xlfn.ISOMITTED( _xlpm.Cost), _xlfn.ISOMITTED( _xlpm.Salvage), _xlfn.ISOMITTED( _xlpm.Life) ), _xlpm.Depn, SLN( _xlpm.Cost, _xlpm.Salvage, _xlpm.Life), _xlpm.Whole, INT( _xlpm.Life), _xlpm.Result, IF( _xlpm.Whole = _xlpm.Life, _xlfn.EXPAND( _xlpm.Depn, 1, _xlpm.Life, _xlpm.Depn), IF( _xlpm.Whole = 0, _xlpm.Cost - _xlpm.Salvage, _xlfn.HSTACK( _xlfn.EXPAND( _xlpm.Depn, 1, _xlpm.Whole, _xlpm.Depn), _xlpm.Cost - _xlpm.Salvage - _xlpm.Depn * _xlpm.Whole))), CHOOSE( _xlpm.Help? + 1, _xlpm.Result, _xlpm.Help) ) )</definedName>
    <definedName name="oz.SumAmortiseλ" comment="Create row totals for Amortiseλ">_xlfn.LAMBDA(_xlop.AmortisationSchedule, _xlfn.LET(_xlpm.Help, TRIM(_xlfn.TEXTSPLIT("FUNCTION:      →SumAmortiseλ(AmortisationSchedule)¶" &amp; "DESCRIPTION:   →Create row totals for Amortiseλ¶" &amp; "WEBPAGE:       →https://github.com/ryanduguid/Ozzit¶" &amp; "VERSION:       →20 Aug 2026¶" &amp; "PARAMETERS:    →¶" &amp; "AmortisationSchedule→(Required) An array produced by Amortiseλ¶" &amp; "EXAMPLES:→¶" &amp; "Result         →Formula (oz is assumed to be the module's name)¶" &amp; "→=oz.SumAmortiseλ(AmortisationSchedule)", "→", "¶")), _xlpm.Help?, _xlfn.ISOMITTED(_xlpm.AmortisationSchedule), _xlpm.Result, _xlfn.MAKEARRAY(ROWS(_xlpm.AmortisationSchedule), 1, _xlfn.LAMBDA(_xlpm.R,_xlpm.C, _xlfn.SWITCH(MOD(_xlpm.R, 7), 3, SUM(_xlfn.CHOOSEROWS(_xlpm.AmortisationSchedule, _xlpm.R)), 4, SUM(_xlfn.CHOOSEROWS(_xlpm.AmortisationSchedule, _xlpm.R)), 6, SUM(_xlfn.CHOOSEROWS(_xlpm.AmortisationSchedule, _xlpm.R)), 0))), CHOOSE(_xlpm.Help? + 1, _xlpm.Result, _xlpm.Help)))</definedName>
    <definedName name="oz.SumColsUλ" comment="Get the total for each Column">_xlfn.LAMBDA(_xlop.Array, _xlfn.LET(_xlpm.Help, TRIM(_xlfn.TEXTSPLIT("FUNCTION:      →SumColsUλ( Array)¶" &amp; "DESCRIPTION:   →Get the total of each column¶" &amp; "WEBPAGE:       →https://github.com/ryanduguid/Ozzit¶" &amp; "VERSION:       →20 Aug 2026¶" &amp; "PARAMETERS:    →¶" &amp; "Array          →(Required) A two dimensional array/range containing values to be totalled by column.¶" &amp; "EXAMPLES:      →Formula (oz is assumed to be the module's name)¶" &amp; "→=oz.SumColsUλ( SEQUENCE(5,5))", "→", "¶")), _xlpm.Help?, _xlfn.ISOMITTED(_xlpm.Array), _xlpm.Result, _xlfn.BYCOL(_xlpm.Array, _xlfn.LAMBDA(_xlpm.Col, SUM(_xlpm.Col))), CHOOSE(_xlpm.Help? + 1, _xlpm.Result, _xlpm.Help)))</definedName>
    <definedName name="oz.SumColsλ" comment="Get the total for each Column">_xlfn.LAMBDA(_xlop.Array, _xlfn.LET(_xlpm.Help, TRIM(_xlfn.TEXTSPLIT("FUNCTION:      →SumColsλ( Array)¶" &amp; "DESCRIPTION:   →Get the total of each column¶" &amp; "WEBPAGE:       →https://github.com/ryanduguid/Ozzit¶" &amp; "VERSION:       →20 Aug 2026¶" &amp; "PARAMETERS:    →¶" &amp; "Array          →(Required) A two dimensional array/range containing values to be totalled by column.¶" &amp; "EXAMPLES:      →Formula (oz is assumed to be the module's name)¶" &amp; "→=oz.SumColsλ( SEQUENCE(5,5))", "→", "¶")), _xlpm.Help?, _xlfn.ISOMITTED(_xlpm.Array), _xlpm.Result, _xlfn.BYCOL(_xlpm.Array, _xlfn.LAMBDA(_xlpm.Col, SUM(_xlpm.Col))), CHOOSE(_xlpm.Help? + 1, _xlpm.Result, _xlpm.Help)))</definedName>
    <definedName name="oz.SumContainsλ" comment="→Creates a row of totals for each row in an array where _x000a_its labels contain a letter, word, or phrase">_xlfn.LAMBDA(_xlop.ValuesToFilter,_xlop.ValueLabels,_xlop.FilterByText,_xlop.IgnoreCase?, _xlfn.LET(_xlpm.Help, TRIM(_xlfn.TEXTSPLIT("FUNCTION:      →SumContainsλ(ValuesToFilter, ValueLabels, FilterByText, [IgnoreCase?])¶" &amp; "DESCRIPTION:   →Creates a row of column totals for each row in an array where¶" &amp; "→its labels contain a unique letter, word, or phrase.¶" &amp; "SEE ALSO:      →Excel 365 now has GROUPBY and PIVOTBY for formula-driven aggregation.¶" &amp; "WEBPAGE:       →https://github.com/ryanduguid/Ozzit¶" &amp; "VERSION:       →20 Aug 2026¶" &amp; "PARAMETERS:    →¶" &amp; "ValuesToFilter →(Required) An array of values to be filtered¶" &amp; "ValueLabels    →(Required) An array containing the values' labels¶" &amp; "FilterByText   →(Required) A unique letter, word or phrase to find contained in ValueLabels¶" &amp; "IgnoreCase?    →(Optional) A flag to determine if Text's case is important. Default is TRUE¶" &amp; "EXAMPLES:      →¶" &amp; "Result         →Formula (oz is assumed to be the module's name)¶" &amp; "               →=oz.SumContainsλ( Array, Labels, ""CAPEX"" )", "→", "¶")), _xlpm.Help?, OR(_xlfn.ISOMITTED(_xlpm.ValuesToFilter), _xlfn.ISOMITTED(_xlpm.ValueLabels), _xlfn.ISOMITTED(_xlpm.FilterByText)), _xlpm.IgnoreCase?, IF(ISLOGICAL(_xlpm.IgnoreCase?), _xlpm.IgnoreCase?, TRUE), _xlpm.Labels, _xlfn.CHOOSECOLS(_xlpm.ValueLabels, 1), _xlpm.Matches, IF(_xlpm.IgnoreCase?, SEARCH(_xlpm.FilterByText, _xlpm.Labels), FIND(_xlpm.FilterByText, _xlpm.Labels)), _xlpm.FilteredRows, _xlfn._xlws.FILTER(_xlpm.ValuesToFilter, ISNUMBER(_xlpm.Matches)), _xlpm.Result, _xlfn.BYCOL(_xlpm.FilteredRows, _xlfn.LAMBDA(_xlpm.Col, SUM(_xlpm.Col))), CHOOSE(_xlpm.Help? + 1, _xlpm.Result, _xlpm.Help)))</definedName>
    <definedName name="oz.SumDepreciateλ" comment="Create row totals for Depreciateλ">_xlfn.LAMBDA(_xlop.DepreciationSchedule, _xlfn.LET(_xlpm.Help, TRIM(_xlfn.TEXTSPLIT("FUNCTION:      →SumDepreciateλ(DepreciationSchedule)¶" &amp; "DESCRIPTION:   →Create row totals for Depreciateλ¶" &amp; "WEBPAGE:       →https://github.com/ryanduguid/Ozzit¶" &amp; "VERSION:       →20 Aug 2026¶" &amp; "PARAMETERS:    →¶" &amp; "DepreciationSchedule→(Required) An array produced by Depreciateλ¶" &amp; "→¶" &amp; "EXAMPLES:      →¶" &amp; "Result         →Formula (oz is assumed to be the module's name)¶" &amp; "→=oz.SumDepreciateλ(DepreciationSchedule)", "→", "¶")), _xlpm.OmittedArgs, _xlfn.VSTACK(_xlfn.ISOMITTED(_xlpm.DepreciationSchedule)), _xlpm.Help?, AND(_xlpm.OmittedArgs), _xlpm.Result, _xlfn.MAKEARRAY(ROWS(_xlpm.DepreciationSchedule), 1, _xlfn.LAMBDA(_xlpm.R,_xlpm.C, _xlfn.SWITCH(MOD(_xlpm.R, 7), 1, SUM(_xlfn.CHOOSEROWS(_xlpm.DepreciationSchedule, _xlpm.R)), 3, SUM(_xlfn.CHOOSEROWS(_xlpm.DepreciationSchedule, _xlpm.R)), 5, SUM(_xlfn.CHOOSEROWS(_xlpm.DepreciationSchedule, _xlpm.R)), 6, SUM(_xlfn.CHOOSEROWS(_xlpm.DepreciationSchedule, _xlpm.R)), 0))), _xlpm.Return, IF(_xlpm.Help?, 2, 1), CHOOSE(_xlpm.Return, _xlpm.Result, _xlpm.Help)))</definedName>
    <definedName name="oz.SumPeriodsλ" comment="Groups and totals all columns in a Values array by period resulting in one column for each period">_xlfn.LAMBDA(_xlop.Values,_xlop.Dates,_xlop.PeriodStarts, _xlfn.LET(_xlpm.Help, TRIM(_xlfn.TEXTSPLIT( "FUNCTION:      →SumPeriodsλ( Values, Dates, PeriodStarts)¶" &amp; "DESCRIPTION:   →Summarises values where each value column is for one day ¶" &amp; "→into one column for each period. ¶" &amp; "SEE ALSO:      →Excel 365 now has GROUPBY and PIVOTBY for formula-driven aggregation.¶" &amp; "VERSION:       →20 Aug 2026¶" &amp; "WEBPAGE:       →https://github.com/ryanduguid/Ozzit¶" &amp; "PARAMETERS:→¶" &amp; "Values         →(Required) A two dimensional array/range containing values to be summed where" &amp; "each column is for a specific day¶" &amp; "Dates          →(Required) A row of dates providing the date for each Values column¶" &amp; "PeriodStarts   →(Required) A row of period start dates¶" &amp; "EXAMPLES:      →¶" &amp; "Result         →Formula (oz is assumed to be the module's name)¶" &amp; "03, 07         →=oz.SumPeriodsλ({1,2,3,4;4,3,2,1;10,20,30,40}, {1,2,3,4}, {1,3})¶" &amp; "07, 03         →¶" &amp; "30, 70         →", "→", "¶" ) ), _xlpm.Help?, OR( _xlfn.ISOMITTED( _xlpm.Values), _xlfn.ISOMITTED( _xlpm.Dates), _xlfn.ISOMITTED( _xlpm.PeriodStarts)), _xlpm.PrdNum, IFERROR( MATCH( _xlpm.Dates, _xlpm.PeriodStarts, 1), 0), _xlpm.InPeriod, ( _xlfn.TOCOL( _xlpm.PrdNum) = _xlfn.SEQUENCE( 1, COLUMNS( _xlpm.PeriodStarts))) * 1, _xlpm.Result, MMULT( _xlpm.Values * 1, _xlpm.InPeriod), CHOOSE(_xlpm.Help? + 1, _xlpm.Result, _xlpm.Help) ) )</definedName>
    <definedName name="oz.SumRowsUλ" comment="Get the total for each row">_xlfn.LAMBDA(_xlop.Array, _xlfn.LET(_xlpm.Help, TRIM(_xlfn.TEXTSPLIT("FUNCTION:      →SumRowsUλ( Array)¶" &amp; "DESCRIPTION:   →Get the total of each row¶" &amp; "WEBPAGE:       →https://github.com/ryanduguid/Ozzit¶" &amp; "VERSION:       →20 Aug 2026¶" &amp; "PARAMETERS:    →¶" &amp; "Array          →(Required) A two dimensional array/range containing values to be totalled by row.¶" &amp; "EXAMPLES:      →Formula (oz is assumed to be the module's name)¶" &amp; "→=oz.SumRowsUλ( SEQUENCE(5,5))", "→", "¶")), _xlpm.Help?, _xlfn.ISOMITTED(_xlpm.Array), _xlpm.Result, _xlfn.BYROW(_xlpm.Array, _xlfn.LAMBDA(_xlpm.Row, SUM(_xlpm.Row))), CHOOSE(_xlpm.Help? + 1, _xlpm.Result, _xlpm.Help)))</definedName>
    <definedName name="oz.SumRowsλ" comment="Get the total for each row">_xlfn.LAMBDA(_xlop.Array, _xlfn.LET(_xlpm.Help, TRIM(_xlfn.TEXTSPLIT("FUNCTION:      →SumRowsλ( Array)¶" &amp; "DESCRIPTION:   →Get the total of each row¶" &amp; "WEBPAGE:       →https://github.com/ryanduguid/Ozzit¶" &amp; "VERSION:       →20 Aug 2026¶" &amp; "PARAMETERS:    →¶" &amp; "Array          →(Required) A two dimensional array/range containing values to be totalled by row.¶" &amp; "EXAMPLES:      →Formula (oz is assumed to be the module's name)¶" &amp; "→=oz.SumRowsλ( SEQUENCE(5,5))", "→", "¶")), _xlpm.Help?, _xlfn.ISOMITTED(_xlpm.Array), _xlpm.Result, _xlfn.BYROW(_xlpm.Array, _xlfn.LAMBDA(_xlpm.Row, SUM(_xlpm.Row))), CHOOSE(_xlpm.Help? + 1, _xlpm.Result, _xlpm.Help)))</definedName>
    <definedName name="oz.SYDλ" comment="Sum-of-years' digits depreciation method for one asset or asset class.">_xlfn.LAMBDA(_xlop.Cost,_xlop.Salvage,_xlop.Life, _xlfn.LET(_xlpm.Help, TRIM(_xlfn.TEXTSPLIT("FUNCTION:      →SYDλ(Cost, Salvage, Life)¶" &amp; "DESCRIPTION:   →Sum-of-years' digits depreciation method for one asset or asset class.¶" &amp; "WEBPAGE:       →https://github.com/ryanduguid/Ozzit¶" &amp; "VERSION:       →20 Aug 2026¶" &amp; "PARAMETERS:    →¶" &amp; "Cost           →(Required) Asset's initial cost.¶" &amp; "Salvage        →(Required) Asset's value and end of life¶" &amp; "Life           →(Required) Asset's useful life in years.¶" &amp; "EXAMPLES:      →¶" &amp; "→Formula (oz is assumed to be the module's name)¶" &amp; "→=oz.SYDλ(1000, 100, 5)¶" &amp; "→Result¶" &amp; "→300,240,180,120,60", "→", "¶")), _xlpm.Help?, OR(_xlfn.ISOMITTED(_xlpm.Cost), _xlfn.ISOMITTED(_xlpm.Salvage), _xlfn.ISOMITTED(_xlpm.Life)), _xlpm.Result, SYD(_xlpm.Cost, _xlpm.Salvage, _xlpm.Life, _xlfn.SEQUENCE(, _xlpm.Life)), CHOOSE(_xlpm.Help? + 1, _xlpm.Result, _xlpm.Help)))</definedName>
    <definedName name="oz.TimelineOffsetλ" comment="Determines how many periods one array is offset from the timeline">_xlfn.LAMBDA(_xlop.Date,_xlop.Timeline, _xlfn.LET( _xlpm.Help, TRIM(_xlfn.TEXTSPLIT( "FUNCTION:      →TimelineOffsetλ(Date, Timeline)¶" &amp; "DESCRIPTION:   →Determines in which period, relative to the timeline's start and interval,¶" &amp; "→a date falls within.¶" &amp; "WEBPAGE:       →https://github.com/ryanduguid/Ozzit¶" &amp; "VERSION:       →20 Aug 2026¶" &amp; "PARAMETERS:    →¶" &amp; "Date           →(Required) A starting date¶" &amp; "Timeline       →(Required) A model's timeline (Row of period start dates)¶" &amp; "EXAMPLES:      →¶" &amp; "Result         →Formula (oz is assumed to be the module's name)¶" &amp; "1              →=oz.TimelineOffsetλ(""15/8/2026"", EDATE(""1/7/2026"", SEQUENCE( , 12, 0)))¶" &amp; "-11            →=oz.TimelineOffsetλ(""15/8/2025"", EDATE(""1/7/2026"", SEQUENCE( , 12, 0)))", "→", "¶" ) ), _xlpm.Help?, OR( _xlfn.ISOMITTED( _xlpm.Date), _xlfn.ISOMITTED( _xlpm.Timeline) ), _xlpm.Date, _xlfn.SINGLE(IF( ISTEXT( _xlpm.Date), DATEVALUE( _xlpm.Date), _xlpm.Date)), _xlpm.Period1, INDEX( _xlpm.Timeline, 1), _xlpm.Period2, IF( COUNTA( _xlpm.Timeline) &lt; 2, EDATE( _xlpm.Period1, 1), INDEX( _xlpm.Timeline, 2)), _xlpm.DpP, _xlpm.Period2 - _xlpm.Period1, _xlpm.MpP, MAX( ROUND( _xlpm.DpP/30.5, 0), 1), _xlpm.SubMonthly?, ROUND( _xlpm.DpP/30.5, 0) = 0, _xlpm.Direction, IF(_xlpm.Date &lt; _xlpm.Period1, -1, 1), _xlpm.MonthDiff, _xlfn.SINGLE(DATEDIF( MIN( _xlpm.Period1, _xlpm.Date), MAX( _xlpm.Period1, _xlpm.Date), "M")), _xlpm.PeriodDiff, QUOTIENT( _xlpm.MonthDiff, _xlpm.MpP), _xlpm.PeriodSeq, _xlfn.SEQUENCE( 1, _xlpm.PeriodDiff + 2, IF( _xlpm.Direction = 1, 0, -( _xlpm.PeriodDiff + 1))), _xlpm.SearchTimeline, EDATE( _xlpm.Period1, _xlpm.PeriodSeq * _xlpm.MpP), _xlpm.ByMonth, MATCH( _xlpm.Date, _xlpm.SearchTimeline, 1) - IF( _xlpm.Direction = 1, 1, _xlpm.PeriodDiff + 2), _xlpm.Result, IF( _xlpm.SubMonthly?, INT( (_xlpm.Date - _xlpm.Period1) / _xlpm.DpP), _xlpm.ByMonth), CHOOSE( _xlpm.Help? + 1, _xlpm.Result, _xlpm.Help) ) )</definedName>
    <definedName name="oz.TimelinePositionλ" comment="Crops an array based on a model's timeline">_xlfn.LAMBDA(_xlop.Array,_xlop.Timeline,_xlop.Offset, _xlfn.LET( _xlpm.Help, TRIM(_xlfn.TEXTSPLIT( "FUNCTION:      →TimelinePositionλ(Array, Timeline, Offset)¶" &amp; "DESCRIPTION:   →Position an array relative to the model's timeline¶" &amp; "WEBPAGE:       →https://github.com/ryanduguid/Ozzit¶" &amp; "VERSION:       →20 Aug 2026¶" &amp; "PARAMETERS:    →¶" &amp; "Array          →(Required) The array to be positioned relative to a model's timeline¶" &amp; "Timeline       →(Required) A model's timeline¶" &amp; "Offset         →(Required) The number of rows or columns to start placing the array within the timeline¶" &amp; "NOTES!         →¶" &amp; "→Timelines can be vertical or horizontal. Whichever way the timeline goes, the array must match.¶" &amp; "EXAMPLES:      →¶" &amp; "Result         →Formula (oz is assumed to be the module's name)¶" &amp; "→=oz.TimelinePositionλ(SEQUENCE(3,3), EDATE(""1/7/2026"", SEQUENCE( , 12, 0)), 12)", "→", "¶" ) ), _xlpm.Help?, OR( _xlfn.ISOMITTED( _xlpm.Array), _xlfn.ISOMITTED( _xlpm.Timeline), _xlfn.ISOMITTED( _xlpm.Offset) ), _xlpm.Offset, _xlfn.SINGLE(_xlpm.Offset), _xlpm.Rows, ROWS(_xlpm.Array), _xlpm.Cols, COLUMNS(_xlpm.Array), _xlpm.Result, IF( OR( COLUMNS( _xlpm.Timeline) &gt; 1, ROWS( _xlpm.Timeline) = 1), _xlfn.MAKEARRAY( _xlpm.Rows, COLUMNS( _xlpm.Timeline), _xlfn.LAMBDA(_xlpm.R,_xlpm.C, IF( ((_xlpm.C - _xlpm.Offset) &gt;= 1) * (( _xlpm.C - _xlpm.Offset) &lt;= _xlpm.Cols) = 1, INDEX( _xlpm.Array, _xlpm.R, _xlpm.C - _xlpm.Offset), 0) ) ), _xlfn.MAKEARRAY( ROWS( _xlpm.Timeline), _xlpm.Cols, _xlfn.LAMBDA(_xlpm.R,_xlpm.C, IF( ((_xlpm.R - _xlpm.Offset) &gt;= 1) * (( _xlpm.R - _xlpm.Offset) &lt;= _xlpm.Rows) = 1, INDEX( _xlpm.Array, _xlpm.R - _xlpm.Offset, _xlpm.C), 0) ) ) ), CHOOSE(_xlpm.Help? + 1, _xlpm.Result, _xlpm.Help) ) )</definedName>
    <definedName name="oz.Timelineλ" comment="Create a horizontal list of period dates">_xlfn.LAMBDA(_xlop.StartDate,_xlop.Periods,_xlop.Interval,_xlop.PeriodStarts?, _xlfn.LET(_xlpm.Help, TRIM(_xlfn.TEXTSPLIT("FUNCTION:      →Timelineλ(StartDate, Periods, Interval, PeriodStarts?)¶" &amp; "DESCRIPTION:   →Creates a horizontal list of period dates.¶" &amp; "WEBSITE:       →https://github.com/ryanduguid/Ozzit¶" &amp; "PARAMETERS:        →¶" &amp; "StartDate      →(Required) First period's start date. May be entered as text.¶" &amp; "Periods        →(Optional) The number of period in the timeline. Defaults to 12.¶" &amp; "Interval       →(Optional) Period interval: D, W, M, Q or Y (Day, Week, Month &lt;default&gt;, Quarter, or Year)¶" &amp; "PeriodStarts?  →(Optional) TRUE=Display period start dates &lt;default&gt;. FALSE=Period end dates¶" &amp; "EXAMPLES:      →¶" &amp; "Result         →Formula (oz is assumed to be the module's name)¶" &amp; "12 mo, starts  →=oz.Timelineλ(TODAY())¶" &amp; "12 qtr, ends   →=oz.Timelineλ(TODAY(), , ""Q"", FALSE)", "→", "¶")), _xlpm.MPY, 12, _xlpm.MPQ, 3, _xlpm.DPW, 7, _xlpm.Help?, _xlfn.ISOMITTED(_xlpm.StartDate), _xlpm.CvtStart, IF(_xlfn.ISOMITTED(_xlpm.StartDate), FALSE, IF(ISNUMBER(_xlpm.StartDate), _xlpm.StartDate, DATEVALUE(_xlpm.StartDate))), _xlpm.Periods, IF(_xlfn.ISOMITTED(_xlpm.Periods), 12, _xlpm.Periods), _xlpm.Interval, IF(_xlfn.ISOMITTED(_xlpm.Interval), "M", _xlpm.Interval), _xlpm.PeriodStarts?, IF(ISLOGICAL(_xlpm.PeriodStarts?), _xlpm.PeriodStarts?, TRUE), _xlpm.EndDates, N(NOT(_xlpm.PeriodStarts?)), _xlpm.Result, _xlfn.SWITCH(_xlpm.Interval, "Y", EDATE(_xlpm.CvtStart, _xlfn.SEQUENCE(1, _xlpm.Periods, _xlpm.EndDates * _xlpm.MPY, _xlpm.MPY)) - _xlpm.EndDates, "Q", EDATE(_xlpm.CvtStart, _xlfn.SEQUENCE(1, _xlpm.Periods, _xlpm.EndDates * _xlpm.MPQ, _xlpm.MPQ)) - _xlpm.EndDates, "M", EDATE(_xlpm.CvtStart, _xlfn.SEQUENCE(1, _xlpm.Periods, _xlpm.EndDates, 1)) - _xlpm.EndDates, "W", _xlfn.SEQUENCE(1, _xlpm.Periods, _xlpm.CvtStart + IF(_xlpm.PeriodStarts?, 0, _xlpm.DPW - 1), _xlpm.DPW), "D", _xlfn.SEQUENCE(1, _xlpm.Periods, _xlpm.CvtStart, 1), #VALUE!), CHOOSE(_xlpm.Help? + 1, _xlpm.Result, _xlpm.Help)))</definedName>
    <definedName name="oz.VariancePctλ" comment="Variance as a fraction of the budget's size, so its sign always matches the variance even when the budget is negative">_xlfn.LAMBDA( _xlop.Actual, _xlop.Budget, _xlop.Type, _xlfn.LET( _xlpm.Help, TRIM(_xlfn.TEXTSPLIT( "FUNCTION:      →VariancePctλ(Actual, Budget, [Type])¶" &amp; "DESCRIPTION:   →The variance from Varianceλ() as a fraction of the budget's size.¶" &amp; "NOTES!         →Dividing by the budget's absolute value keeps the sign of the variance, so a¶               →favourable variance stays positive when the budget is negative, as a work in¶               →progress movement or a loss can be. A zero budget returns #DIV/0!. Type 1¶               →marks income and -1 an expense, as in Varianceλ().¶" &amp; "WEBPAGE:       →https://github.com/ryanduguid/Ozzit¶" &amp; "VERSION:       →20 Oct 2026¶" &amp; "PARAMETERS:    →¶" &amp; "Actual         →(Required) One or more actual amounts.¶" &amp; "Budget         →(Required) The budget or comparison amounts, the same shape as Actual.¶" &amp; "Type           →(Optional: Default = 1) 1 for income or -1 for an expense, one value or one for each line.¶" &amp; "EXAMPLES:      →¶" &amp; "→Formula (oz is assumed to be the module's name)¶" &amp; "→=oz.VariancePctλ(-30, -20)¶" &amp; "→Result¶" &amp; "→-50%", "→", "¶" )), _xlpm.Help?, OR(_xlfn.ISOMITTED(_xlpm.Actual), _xlfn.ISOMITTED(_xlpm.Budget)), _xlpm.Sign, IF(_xlfn.ISOMITTED(_xlpm.Type), 1, IF(AND(ROWS(_xlpm.Type) = 1, COLUMNS(_xlpm.Type) = 1), IF(_xlpm.Type = "", 1, _xlpm.Type), _xlpm.Type)), _xlpm.ValidType?, AND(IFERROR(ISNUMBER(_xlpm.Sign) * (ABS(_xlpm.Sign) = 1) = 1, FALSE)), _xlpm.TypeMessage, "VariancePctλ needs Type to be 1 for income or -1 for an expense in every entry.", _xlpm.Result, (_xlpm.Actual - _xlpm.Budget) * _xlpm.Sign / ABS(_xlpm.Budget), _xlpm.Return, IF(_xlpm.Help?, 2, IF(_xlpm.ValidType?, 1, 3)), CHOOSE( _xlpm.Return, _xlpm.Result, _xlpm.Help, _xlpm.TypeMessage) ) )</definedName>
    <definedName name="oz.Varianceλ" comment="Actual less budget, signed so a favourable variance is positive for income and expense lines alike">_xlfn.LAMBDA( _xlop.Actual, _xlop.Budget, _xlop.Type, _xlfn.LET( _xlpm.Help, TRIM(_xlfn.TEXTSPLIT( "FUNCTION:      →Varianceλ(Actual, Budget, [Type])¶" &amp; "DESCRIPTION:   →Actual less budget, signed so a favourable variance is positive for income and expense lines alike.¶" &amp; "NOTES!         →Type 1 marks income, where an actual above budget is favourable; -1 marks an¶               →expense, where an actual below budget is favourable. Give one Type for all lines¶               →or a column of them, one for each line. Budget may also be a prior period. A blank¶               →Actual or Budget cell counts as 0. VariancePctλ() gives the percentage.¶" &amp; "WEBPAGE:       →https://github.com/ryanduguid/Ozzit¶" &amp; "VERSION:       →20 Oct 2026¶" &amp; "PARAMETERS:    →¶" &amp; "Actual         →(Required) One or more actual amounts.¶" &amp; "Budget         →(Required) The budget or comparison amounts, the same shape as Actual.¶" &amp; "Type           →(Optional: Default = 1) 1 for income or -1 for an expense, one value or one for each line.¶" &amp; "EXAMPLES:      →¶" &amp; "→Formula (oz is assumed to be the module's name)¶" &amp; "→=oz.Varianceλ({120;90}, {100;100}, {1;-1})¶" &amp; "→Result¶" &amp; "→20, 10", "→", "¶" )), _xlpm.Help?, OR(_xlfn.ISOMITTED(_xlpm.Actual), _xlfn.ISOMITTED(_xlpm.Budget)), _xlpm.Sign, IF(_xlfn.ISOMITTED(_xlpm.Type), 1, IF(AND(ROWS(_xlpm.Type) = 1, COLUMNS(_xlpm.Type) = 1), IF(_xlpm.Type = "", 1, _xlpm.Type), _xlpm.Type)), _xlpm.ValidType?, AND(IFERROR(ISNUMBER(_xlpm.Sign) * (ABS(_xlpm.Sign) = 1) = 1, FALSE)), _xlpm.TypeMessage, "Varianceλ needs Type to be 1 for income or -1 for an expense in every entry.", _xlpm.Result, (_xlpm.Actual - _xlpm.Budget) * _xlpm.Sign, _xlpm.Return, IF(_xlpm.Help?, 2, IF(_xlpm.ValidType?, 1, 3)), CHOOSE( _xlpm.Return, _xlpm.Result, _xlpm.Help, _xlpm.TypeMessage) ) )</definedName>
    <definedName name="oz.VDBλ" comment="Variable declining balance depreciation method for one asset or asset class.">_xlfn.LAMBDA(_xlop.Cost,_xlop.Salvage,_xlop.Life,_xlop.Factor,_xlop.No_Switch, _xlfn.LET( _xlpm.Help, TRIM(_xlfn.TEXTSPLIT( "FUNCTION:      →VDBλ(Cost, Salvage, Life, [Factor], [No_Switch])¶" &amp; "DESCRIPTION:   →Variable declining balance depreciation method for one asset or asset class.¶" &amp; "WEBPAGE:       →https://github.com/ryanduguid/Ozzit¶" &amp; "VERSION:       →20 Aug 2026¶" &amp; "PARAMETERS:    →¶" &amp; "Cost           →(Required) Asset's initial cost.¶" &amp; "Salvage        →(Required) Asset's value at the end of its life. May be 0.¶" &amp; "Life           →(Required) Asset's useful life in years.¶" &amp; "Factor         →(Optional Default=2) Rate at which the balance declines.¶" &amp; "No_Switch      →(Optional Default=FALSE) Switch to straight-line depreciation when¶" &amp; "→ depreciation is greater than the declining balance calculation.¶" &amp; "EXAMPLES:      →¶" &amp; "→Formula (oz is assumed to be the module's name)¶" &amp; "→=oz.VDBλ(1000, 100, 5, 1.5, TRUE)¶" &amp; "→Result¶" &amp; "→300.00,210.00,147.00,102.90,72.03", "→", "¶" ) ), _xlpm.Help?, OR( _xlfn.ISOMITTED( _xlpm.Cost), _xlfn.ISOMITTED( _xlpm.Salvage), _xlfn.ISOMITTED( _xlpm.Life) ), _xlpm.Factor, IF( _xlfn.ISOMITTED( _xlpm.Factor), 2, _xlpm.Factor), _xlpm.No_Switch, IF( _xlfn.ISOMITTED( _xlpm.No_Switch), FALSE, _xlpm.No_Switch), _xlpm.Result, VDB( _xlpm.Cost, _xlpm.Salvage, _xlpm.Life, _xlfn.SEQUENCE( , _xlpm.Life, 0), _xlfn.SEQUENCE( , _xlpm.Life), _xlpm.Factor, _xlpm.No_Switch), CHOOSE( _xlpm.Help? + 1, _xlpm.Result, _xlpm.Help) ) )</definedName>
    <definedName name="oz.WIPDaysλ" comment="Work in progress days: WIP / RelatedFlow x Days, with both on one valuation basis">_xlfn.LAMBDA(_xlop.WIP,_xlop.RelatedFlow,_xlop.Days, _xlfn.LET( _xlpm.Help, TRIM(_xlfn.TEXTSPLIT( "FUNCTION:      →WIPDaysλ(WIP, RelatedFlow, [Days])¶" &amp; "DESCRIPTION:   →Work in progress days: the days of work done but not yet billed or completed.¶NOTES!         →WIP / RelatedFlow * Days. WIP and RelatedFlow must use the same valuation¶               →basis: fee revenue with WIP at charge-out value, as a professional services¶               →firm records it, or cost of sales with WIP at cost. Days is the number of¶               →days the RelatedFlow figure covers. WIP days plus ReceivableDaysλ() gives¶               →the lock-up days a services firm tracks. RelatedFlow of 0 returns #DIV/0!,¶               →and Days of 0 or less returns #NUM!.¶" &amp; "WEBPAGE:       →https://github.com/ryanduguid/Ozzit/blob/main/docs/ratio-definitions.md¶" &amp; "VERSION:       →29 Sep 2026¶" &amp; "PARAMETERS:    →¶" &amp; "WIP            →(Required) Work in progress: the closing balance, or the average of opening and closing.¶" &amp; "RelatedFlow    →(Required) Fee revenue or cost of sales over the same Days, on the valuation basis of WIP.¶" &amp; "Days           →(Optional: Default = 365) Days the RelatedFlow figure covers.¶" &amp; "EXAMPLES:      →¶" &amp; "→Formula (oz is assumed to be the module's name)¶" &amp; "→=oz.WIPDaysλ(42000, 510000)¶" &amp; "→Result¶" &amp; "→30.0588", "→", "¶" )), _xlpm.Help?, OR(_xlfn.ISOMITTED(_xlpm.WIP), _xlfn.ISOMITTED(_xlpm.RelatedFlow)), _xlpm.Period, IF(_xlfn.ISOMITTED(_xlpm.Days), 365, IF(_xlpm.Days = "", 365, IF(ISNUMBER(_xlpm.Days), _xlpm.Days, #VALUE!))), _xlpm.Result, IF(_xlpm.Period &lt;= 0, #NUM!, _xlpm.WIP / _xlpm.RelatedFlow * _xlpm.Period), CHOOSE( _xlpm.Help? + 1, _xlpm.Result, _xlpm.Help) ) )</definedName>
    <definedName name="oz.WorkingCapitalTurnoverRatioλ" comment="Working Capital Turnover Ratio measures how efficiently a company is using its working _x000a_capital to support sales and growth (Net Annual Sales/Average Working Capital).">_xlfn.LAMBDA(_xlop.NetAnnualSales,_xlop.WorkingCapital, _xlfn.LET(_xlpm.Help, TRIM(_xlfn.TEXTSPLIT("FUNCTION:         →WorkingCapitalTurnoverRatioλ( NetAnnualSales, WorkingCapital)¶" &amp; "DESCRIPTION:      →Working Capital Turnover Ratio measures how efficiently a company ¶" &amp; "→is using its working capital to support sales and growth ¶" &amp; "→(Net Annual Sales/Average Working Capital). ¶" &amp; "WEBPAGE:          →https://www.investopedia.com/terms/w/workingcapitalturnover.asp ¶" &amp; "VERSION:          →20 Aug 2026¶" &amp; "PARAMETERS:→¶" &amp; "NetAnnualSales    →(Required) Net Annual Sales can include:¶" &amp; "→Gross sales¶" &amp; "→Less returns¶" &amp; "→Less allowances¶" &amp; "→Less discounts¶" &amp; "WorkingCapital    →(Required) Average of period open and close current assts less curren liabilities.¶" &amp; "EXAMPLES:         →Formula (oz is assumed to be the module's name)¶" &amp; "6.0               →=oz.WorkingCapitalTurnoverRatioλ( 12.0, 2.0)", "→", "¶")), _xlpm.Help?, OR(_xlfn.ISOMITTED(_xlpm.NetAnnualSales), _xlfn.ISOMITTED(_xlpm.WorkingCapital)), _xlpm.Result, _xlpm.NetAnnualSales / _xlpm.WorkingCapital, CHOOSE(_xlpm.Help? + 1, _xlpm.Result, _xlpm.Help)))</definedName>
    <definedName name="oz.YearToDateλ" comment="Totals each row of values from the start of the financial year to an as-at date">_xlfn.LAMBDA( _xlop.Values, _xlop.Dates, _xlop.AsAt, _xlop.StartMonth, _xlfn.LET( _xlpm.Help, TRIM(_xlfn.TEXTSPLIT( "FUNCTION:      →YearToDateλ(Values, Dates, AsAt, [StartMonth])¶" &amp; "DESCRIPTION:   →Totals each row of Values from the start of AsAt's financial year to AsAt.¶" &amp; "NOTES!         →A column counts when its date is on or after the first day of the financial¶               →year that contains AsAt, and on or before AsAt. Date each column by the first¶               →day of its period, or by its last day and an AsAt at a period end. Values must¶               →be numbers or blank cells; text, including the empty text a formula can return,¶               →gives #VALUE!. The result is one total for each row of Values.¶" &amp; "WEBPAGE:       →https://github.com/ryanduguid/Ozzit¶" &amp; "VERSION:       →20 Oct 2026¶" &amp; "PARAMETERS:    →¶" &amp; "Values         →(Required) A row or block of amounts, one column for each date in Dates.¶" &amp; "Dates          →(Required) A row of dates, one for each column of Values.¶" &amp; "AsAt           →(Required) The one date the total runs to, inclusive.¶" &amp; "StartMonth     →(Optional: Default = 7) Month the financial year starts, a whole number from 1 to 12. Blank cells and empty text use 7.¶" &amp; "EXAMPLES:      →¶" &amp; "→Formula (oz is assumed to be the module's name)¶" &amp; "→=oz.YearToDateλ({10,20,30,40;1,2,3,4}, DATE(2026,{5,6,7,8},1), DATE(2026,8,31))¶" &amp; "→Result¶" &amp; "→70, 7", "→", "¶" )), _xlpm.Help?, OR(_xlfn.ISOMITTED(_xlpm.Values), _xlfn.ISOMITTED(_xlpm.Dates), _xlfn.ISOMITTED(_xlpm.AsAt)), _xlpm.FYStart, IF(_xlfn.ISOMITTED(_xlpm.StartMonth), 7, IF(_xlpm.StartMonth = "", 7, _xlpm.StartMonth)), _xlpm.ValidStart?, AND(IFERROR(OR(_xlpm.FYStart = _xlfn.SEQUENCE(12)), FALSE)), _xlpm.Shaped?, AND(ROWS(_xlpm.Dates) = 1, COLUMNS(_xlpm.Dates) = COLUMNS(_xlpm.Values), ISNUMBER(_xlpm.Dates)), _xlpm.OneDate?, AND(ROWS(_xlpm.AsAt) = 1, COLUMNS(_xlpm.AsAt) = 1, ISNUMBER(_xlpm.AsAt)), _xlpm.StartMessage, "YearToDateλ needs StartMonth to be a whole number from 1 to 12.", _xlpm.ShapeMessage, "YearToDateλ needs Dates to be one row with a date for each column of Values.", _xlpm.AsAtMessage, "YearToDateλ needs AsAt to be one date.", _xlpm.YearStart, DATE(YEAR(_xlpm.AsAt) - (MONTH(_xlpm.AsAt) &lt; _xlpm.FYStart), _xlpm.FYStart, 1), _xlpm.InYear, (_xlpm.Dates &gt;= _xlpm.YearStart) * (_xlpm.Dates &lt;= _xlpm.AsAt), _xlpm.Result, MMULT(_xlpm.Values * 1, TRANSPOSE(_xlpm.InYear)), _xlpm.Return, IF(_xlpm.Help?, 2, IF(NOT(_xlpm.ValidStart?), 3, IF(NOT(_xlpm.Shaped?), 4, IF(NOT(_xlpm.OneDate?), 5, 1)))), CHOOSE( _xlpm.Return, _xlpm.Result, _xlpm.Help, _xlpm.StartMessage, _xlpm.ShapeMessage, _xlpm.AsAtMessage) ) )</definedName>
    <definedName name="_xlnm.Print_Area" localSheetId="15">oz.Amortiseλ!$A$1:$V$44</definedName>
    <definedName name="_xlnm.Print_Area" localSheetId="20">oz.Depreciateλ!$A$1:$V$65</definedName>
    <definedName name="_xlnm.Print_Area" localSheetId="6">oz.IsOccurrenceDateλ!$A$1:$V$39</definedName>
    <definedName name="_xlnm.Print_Area" localSheetId="17">oz.SumAmortiseλ!$A$1:$V$43</definedName>
    <definedName name="_xlnm.Print_Area" localSheetId="29">oz.SumPeriodsλ!$A$1:$V$38</definedName>
    <definedName name="_xlnm.Print_Area" localSheetId="30">oz.TimelineOffsetλ!$A$1:$V$25</definedName>
    <definedName name="Slicer_Typ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83" l="1" a="1"/>
  <c r="I23" i="90" a="1"/>
  <c r="I24" i="76" a="1"/>
  <c r="I32" i="97" a="1"/>
  <c r="C18" i="96" a="1"/>
  <c r="I32" i="89" a="1"/>
  <c r="I22" i="89" a="1"/>
  <c r="I23" i="89" s="1" a="1"/>
  <c r="I41" i="50"/>
  <c r="C25" i="47" a="1"/>
  <c r="C26" i="47" s="1" a="1"/>
  <c r="H22" i="45" a="1"/>
  <c r="H21" i="45" a="1"/>
  <c r="H33" i="44" a="1"/>
  <c r="H34" i="44" s="1" a="1"/>
  <c r="B61" i="131"/>
  <c r="A61" i="131" a="1"/>
  <c r="B60" i="131"/>
  <c r="A60" i="131" a="1"/>
  <c r="B59" i="131"/>
  <c r="A59" i="131" a="1"/>
  <c r="B58" i="131"/>
  <c r="A58" i="131" a="1"/>
  <c r="B57" i="131"/>
  <c r="A57" i="131" a="1"/>
  <c r="B56" i="131"/>
  <c r="A56" i="131" a="1"/>
  <c r="B55" i="131"/>
  <c r="A55" i="131" a="1"/>
  <c r="B54" i="131"/>
  <c r="A54" i="131" a="1"/>
  <c r="B53" i="131"/>
  <c r="A53" i="131" a="1"/>
  <c r="B52" i="131"/>
  <c r="A52" i="131" a="1"/>
  <c r="B49" i="131"/>
  <c r="A49" i="131" a="1"/>
  <c r="B48" i="131"/>
  <c r="A48" i="131" a="1"/>
  <c r="B47" i="131"/>
  <c r="A47" i="131" a="1"/>
  <c r="B46" i="131"/>
  <c r="A46" i="131" a="1"/>
  <c r="B45" i="131"/>
  <c r="A45" i="131" a="1"/>
  <c r="B44" i="131"/>
  <c r="A44" i="131" a="1"/>
  <c r="B43" i="131"/>
  <c r="A43" i="131" a="1"/>
  <c r="B42" i="131"/>
  <c r="A42" i="131" a="1"/>
  <c r="B41" i="131"/>
  <c r="A41" i="131" a="1"/>
  <c r="B40" i="131"/>
  <c r="A40" i="131" a="1"/>
  <c r="B37" i="131"/>
  <c r="A37" i="131" a="1"/>
  <c r="B36" i="131"/>
  <c r="A36" i="131" a="1"/>
  <c r="B35" i="131"/>
  <c r="A35" i="131" a="1"/>
  <c r="B32" i="131"/>
  <c r="A32" i="131" a="1"/>
  <c r="B31" i="131"/>
  <c r="A31" i="131" a="1"/>
  <c r="B30" i="131"/>
  <c r="A30" i="131" a="1"/>
  <c r="B29" i="131"/>
  <c r="A29" i="131" a="1"/>
  <c r="B26" i="131"/>
  <c r="A26" i="131" a="1"/>
  <c r="B25" i="131"/>
  <c r="A25" i="131" a="1"/>
  <c r="B24" i="131"/>
  <c r="A24" i="131" a="1"/>
  <c r="B23" i="131"/>
  <c r="A23" i="131" a="1"/>
  <c r="B20" i="131"/>
  <c r="A20" i="131" a="1"/>
  <c r="B19" i="131"/>
  <c r="A19" i="131" a="1"/>
  <c r="B18" i="131"/>
  <c r="A18" i="131" a="1"/>
  <c r="B17" i="131"/>
  <c r="A17" i="131" a="1"/>
  <c r="B16" i="131"/>
  <c r="A16" i="131" a="1"/>
  <c r="B15" i="131"/>
  <c r="A15" i="131" a="1"/>
  <c r="B14" i="131"/>
  <c r="A14" i="131" a="1"/>
  <c r="A1" i="131"/>
  <c r="G20" i="126" a="1"/>
  <c r="G22" i="126" s="1" a="1"/>
  <c r="G19" i="126" a="1"/>
  <c r="G14" i="126" a="1"/>
  <c r="G21" i="126" s="1" a="1"/>
  <c r="F21" i="126" s="1" a="1"/>
  <c r="A4" i="126" a="1"/>
  <c r="A1" i="126"/>
  <c r="B33" i="125" a="1"/>
  <c r="B32" i="125" a="1"/>
  <c r="B31" i="125" a="1"/>
  <c r="B30" i="125" a="1"/>
  <c r="B29" i="125" a="1"/>
  <c r="E21" i="125" a="1"/>
  <c r="G20" i="125" a="1"/>
  <c r="G19" i="125" a="1"/>
  <c r="A4" i="125" a="1"/>
  <c r="A1" i="125"/>
  <c r="G22" i="123" a="1"/>
  <c r="F22" i="123" s="1"/>
  <c r="F17" i="123" a="1"/>
  <c r="E17" i="123" a="1"/>
  <c r="G16" i="123" a="1"/>
  <c r="A4" i="123" a="1"/>
  <c r="A1" i="123"/>
  <c r="G22" i="122" a="1"/>
  <c r="F22" i="122" s="1"/>
  <c r="F17" i="122" a="1"/>
  <c r="E17" i="122" a="1"/>
  <c r="G16" i="122" a="1"/>
  <c r="A4" i="122" a="1"/>
  <c r="A1" i="122"/>
  <c r="E17" i="120" a="1"/>
  <c r="G16" i="120" a="1"/>
  <c r="A4" i="120" a="1"/>
  <c r="A1" i="120"/>
  <c r="E17" i="119" a="1"/>
  <c r="G16" i="119" a="1"/>
  <c r="A4" i="119" a="1"/>
  <c r="A1" i="119"/>
  <c r="F17" i="116" a="1"/>
  <c r="H16" i="116" a="1"/>
  <c r="A4" i="116" a="1"/>
  <c r="A1" i="116"/>
  <c r="E17" i="115" a="1"/>
  <c r="G16" i="115" a="1"/>
  <c r="A4" i="115" a="1"/>
  <c r="A1" i="115"/>
  <c r="F17" i="114" a="1"/>
  <c r="H16" i="114" a="1"/>
  <c r="A4" i="114" a="1"/>
  <c r="A1" i="114"/>
  <c r="E17" i="113" a="1"/>
  <c r="G16" i="113" a="1"/>
  <c r="A4" i="113" a="1"/>
  <c r="A1" i="113"/>
  <c r="F17" i="112" a="1"/>
  <c r="H16" i="112" a="1"/>
  <c r="A4" i="112" a="1"/>
  <c r="A1" i="112"/>
  <c r="E17" i="111" a="1"/>
  <c r="G16" i="111" a="1"/>
  <c r="A4" i="111" a="1"/>
  <c r="A1" i="111"/>
  <c r="F17" i="88" a="1"/>
  <c r="H16" i="88" a="1"/>
  <c r="A4" i="88" a="1"/>
  <c r="A1" i="88"/>
  <c r="E20" i="87" a="1"/>
  <c r="G19" i="87" a="1"/>
  <c r="A4" i="87" a="1"/>
  <c r="A1" i="87"/>
  <c r="D21" i="118" a="1"/>
  <c r="D20" i="118" a="1"/>
  <c r="D19" i="118" a="1"/>
  <c r="D18" i="118" a="1"/>
  <c r="D17" i="118" a="1"/>
  <c r="A4" i="118" a="1"/>
  <c r="A1" i="118"/>
  <c r="A5" i="110" a="1"/>
  <c r="A1" i="110"/>
  <c r="G33" i="97" a="1"/>
  <c r="G23" i="97" a="1"/>
  <c r="I22" i="97" a="1"/>
  <c r="I23" i="97" s="1" a="1"/>
  <c r="A4" i="97" a="1"/>
  <c r="A1" i="97"/>
  <c r="A4" i="96" a="1"/>
  <c r="A1" i="96"/>
  <c r="A4" i="89" a="1"/>
  <c r="A1" i="89"/>
  <c r="H19" i="105" a="1"/>
  <c r="H20" i="105" s="1" a="1"/>
  <c r="A4" i="105" a="1"/>
  <c r="A1" i="105"/>
  <c r="G17" i="82" a="1"/>
  <c r="G18" i="82" s="1" a="1"/>
  <c r="A4" i="82" a="1"/>
  <c r="A1" i="82"/>
  <c r="H19" i="128" a="1"/>
  <c r="H20" i="128" s="1" a="1"/>
  <c r="A4" i="128" a="1"/>
  <c r="A1" i="128"/>
  <c r="F26" i="81" a="1"/>
  <c r="F25" i="81" a="1"/>
  <c r="A4" i="81" a="1"/>
  <c r="A1" i="81"/>
  <c r="G37" i="80"/>
  <c r="G36" i="80"/>
  <c r="G35" i="80"/>
  <c r="G30" i="80"/>
  <c r="G29" i="80"/>
  <c r="G28" i="80"/>
  <c r="G23" i="80"/>
  <c r="G22" i="80"/>
  <c r="G21" i="80"/>
  <c r="J19" i="80" a="1"/>
  <c r="J18" i="80" a="1"/>
  <c r="A4" i="80" a="1"/>
  <c r="A1" i="80"/>
  <c r="J29" i="108" a="1"/>
  <c r="L28" i="108" a="1"/>
  <c r="L29" i="108" s="1" a="1"/>
  <c r="L20" i="108" a="1"/>
  <c r="A4" i="108" a="1"/>
  <c r="A1" i="108"/>
  <c r="J26" i="107" a="1"/>
  <c r="L25" i="107" a="1"/>
  <c r="L26" i="107" s="1" a="1"/>
  <c r="L17" i="107" a="1"/>
  <c r="A4" i="107" a="1"/>
  <c r="A1" i="107"/>
  <c r="J26" i="106" a="1"/>
  <c r="L25" i="106" a="1"/>
  <c r="L26" i="106" s="1" a="1"/>
  <c r="L17" i="106" a="1"/>
  <c r="A4" i="106" a="1"/>
  <c r="A1" i="106"/>
  <c r="F48" i="78"/>
  <c r="F47" i="78"/>
  <c r="J46" i="78" a="1"/>
  <c r="F46" i="78"/>
  <c r="L45" i="78" a="1"/>
  <c r="L44" i="78" a="1"/>
  <c r="L37" i="78" a="1"/>
  <c r="A4" i="78" a="1"/>
  <c r="A1" i="78"/>
  <c r="G18" i="99" a="1"/>
  <c r="G17" i="99" a="1"/>
  <c r="A4" i="99" a="1"/>
  <c r="A1" i="99"/>
  <c r="G24" i="77" a="1"/>
  <c r="G23" i="77" a="1"/>
  <c r="A4" i="77" a="1"/>
  <c r="A1" i="77"/>
  <c r="G24" i="83" a="1"/>
  <c r="A23" i="83" a="1"/>
  <c r="A4" i="83" a="1"/>
  <c r="A1" i="83"/>
  <c r="G24" i="90" a="1"/>
  <c r="A23" i="90" a="1"/>
  <c r="A4" i="90" a="1"/>
  <c r="A1" i="90"/>
  <c r="G25" i="76" a="1"/>
  <c r="A4" i="76" a="1"/>
  <c r="A1" i="76"/>
  <c r="E19" i="52" a="1"/>
  <c r="A4" i="52" a="1"/>
  <c r="A1" i="52"/>
  <c r="K33" i="51" a="1"/>
  <c r="K25" i="51" a="1"/>
  <c r="M23" i="51" a="1"/>
  <c r="M22" i="51" a="1"/>
  <c r="A4" i="51" a="1"/>
  <c r="A1" i="51"/>
  <c r="H40" i="50"/>
  <c r="E40" i="50" a="1"/>
  <c r="H39" i="50"/>
  <c r="E39" i="50" a="1"/>
  <c r="H38" i="50"/>
  <c r="E38" i="50" a="1"/>
  <c r="H37" i="50"/>
  <c r="E37" i="50" a="1"/>
  <c r="H36" i="50"/>
  <c r="E36" i="50" a="1"/>
  <c r="H35" i="50"/>
  <c r="E35" i="50" a="1"/>
  <c r="H34" i="50"/>
  <c r="E34" i="50" a="1"/>
  <c r="H33" i="50"/>
  <c r="E33" i="50" a="1"/>
  <c r="H32" i="50"/>
  <c r="E32" i="50" a="1"/>
  <c r="A32" i="50" a="1"/>
  <c r="H31" i="50"/>
  <c r="E31" i="50" a="1"/>
  <c r="A31" i="50" a="1"/>
  <c r="H30" i="50"/>
  <c r="E30" i="50" a="1"/>
  <c r="A30" i="50" a="1"/>
  <c r="H29" i="50"/>
  <c r="E29" i="50" a="1"/>
  <c r="A29" i="50" a="1"/>
  <c r="H28" i="50"/>
  <c r="E28" i="50" a="1"/>
  <c r="A28" i="50" a="1"/>
  <c r="H27" i="50"/>
  <c r="E27" i="50" a="1"/>
  <c r="H26" i="50"/>
  <c r="E26" i="50" a="1"/>
  <c r="H25" i="50"/>
  <c r="E25" i="50" a="1"/>
  <c r="H24" i="50"/>
  <c r="E24" i="50" a="1"/>
  <c r="H23" i="50"/>
  <c r="E23" i="50" a="1"/>
  <c r="H22" i="50"/>
  <c r="E22" i="50" a="1"/>
  <c r="H21" i="50"/>
  <c r="E21" i="50" a="1"/>
  <c r="H20" i="50"/>
  <c r="E20" i="50" a="1"/>
  <c r="M19" i="50" a="1"/>
  <c r="M18" i="50" a="1"/>
  <c r="A4" i="50" a="1"/>
  <c r="A1" i="50"/>
  <c r="J32" i="49"/>
  <c r="H25" i="49" a="1"/>
  <c r="I24" i="49" a="1"/>
  <c r="A4" i="49" a="1"/>
  <c r="A1" i="49"/>
  <c r="C46" i="48"/>
  <c r="C45" i="48"/>
  <c r="C44" i="48"/>
  <c r="C43" i="48"/>
  <c r="F19" i="48" a="1"/>
  <c r="F18" i="48" a="1"/>
  <c r="A4" i="48" a="1"/>
  <c r="A1" i="48"/>
  <c r="A4" i="47" a="1"/>
  <c r="A1" i="47"/>
  <c r="D25" i="46" a="1"/>
  <c r="A4" i="46" a="1"/>
  <c r="A1" i="46"/>
  <c r="A25" i="45" a="1"/>
  <c r="A24" i="45" a="1"/>
  <c r="A23" i="45" a="1"/>
  <c r="A4" i="45" a="1"/>
  <c r="A1" i="45"/>
  <c r="A4" i="44" a="1"/>
  <c r="A1" i="44"/>
  <c r="F23" i="43" a="1"/>
  <c r="F22" i="43" a="1"/>
  <c r="A4" i="43" a="1"/>
  <c r="A1" i="43"/>
  <c r="B24" i="41"/>
  <c r="F19" i="41" a="1"/>
  <c r="F18" i="41" a="1"/>
  <c r="A4" i="41" a="1"/>
  <c r="A1" i="41"/>
  <c r="B23" i="132" a="1"/>
  <c r="B19" i="132" a="1"/>
  <c r="B16" i="132" a="1"/>
  <c r="B9" i="132" a="1"/>
  <c r="B11" i="132" s="1"/>
  <c r="B8" i="132" a="1"/>
  <c r="B10" i="132" s="1"/>
  <c r="A1" i="132"/>
  <c r="A1" i="129"/>
  <c r="F20" i="41" l="1" a="1"/>
  <c r="I24" i="83" a="1"/>
  <c r="I24" i="90" a="1"/>
  <c r="I25" i="76" a="1"/>
  <c r="E26" i="81" a="1"/>
  <c r="G17" i="119" a="1"/>
  <c r="G17" i="113" a="1"/>
  <c r="I25" i="49" a="1"/>
  <c r="A32" i="51" a="1"/>
  <c r="G17" i="120" a="1"/>
  <c r="H17" i="116" a="1"/>
  <c r="G17" i="115" a="1"/>
  <c r="H17" i="114" a="1"/>
  <c r="H17" i="112" a="1"/>
  <c r="G17" i="111" a="1"/>
  <c r="H17" i="88" a="1"/>
  <c r="G20" i="87" a="1"/>
  <c r="L46" i="78" a="1"/>
  <c r="H23" i="45" a="1"/>
  <c r="G23" i="45" s="1" a="1"/>
  <c r="M33" i="51" a="1"/>
  <c r="M25" i="51" a="1"/>
  <c r="E24" i="51" a="1"/>
  <c r="A31" i="125"/>
  <c r="A30" i="125"/>
  <c r="A33" i="125"/>
  <c r="A32" i="125"/>
  <c r="A29" i="125"/>
  <c r="H23" i="97" a="1"/>
  <c r="I33" i="97" a="1"/>
  <c r="H33" i="97" s="1" a="1"/>
  <c r="B21" i="96" a="1"/>
  <c r="C21" i="96" s="1" a="1"/>
  <c r="B20" i="96" a="1"/>
  <c r="C20" i="96" s="1" a="1"/>
  <c r="B19" i="96" a="1"/>
  <c r="C19" i="96" s="1" a="1"/>
  <c r="B23" i="96" a="1"/>
  <c r="C23" i="96" s="1" a="1"/>
  <c r="B24" i="96" a="1"/>
  <c r="C24" i="96" s="1" a="1"/>
  <c r="B25" i="96" a="1"/>
  <c r="C25" i="96" s="1" a="1"/>
  <c r="B22" i="96" a="1"/>
  <c r="C22" i="96" s="1" a="1"/>
  <c r="I33" i="89" a="1"/>
  <c r="H33" i="89" s="1" a="1"/>
  <c r="H23" i="89" a="1"/>
  <c r="G20" i="105" a="1"/>
  <c r="H21" i="105" a="1"/>
  <c r="F18" i="82" a="1"/>
  <c r="G19" i="82" s="1" a="1"/>
  <c r="G20" i="128" a="1"/>
  <c r="H21" i="128" a="1"/>
  <c r="G21" i="128" s="1" a="1"/>
  <c r="J37" i="80" a="1"/>
  <c r="J30" i="80" a="1"/>
  <c r="J23" i="80" a="1"/>
  <c r="L21" i="108" a="1"/>
  <c r="L22" i="108" a="1"/>
  <c r="L23" i="108" a="1"/>
  <c r="L24" i="108" a="1"/>
  <c r="L25" i="108" a="1"/>
  <c r="K29" i="108" a="1"/>
  <c r="L18" i="107" a="1"/>
  <c r="L19" i="107" a="1"/>
  <c r="L20" i="107" a="1"/>
  <c r="L21" i="107" a="1"/>
  <c r="L22" i="107" a="1"/>
  <c r="K26" i="107" a="1"/>
  <c r="K26" i="106" a="1"/>
  <c r="L22" i="106" a="1"/>
  <c r="L21" i="106" a="1"/>
  <c r="L20" i="106" a="1"/>
  <c r="L19" i="106" a="1"/>
  <c r="L18" i="106" a="1"/>
  <c r="G20" i="99" a="1"/>
  <c r="F20" i="99" s="1"/>
  <c r="G19" i="99" a="1"/>
  <c r="G26" i="77" a="1"/>
  <c r="F26" i="77" s="1"/>
  <c r="G25" i="77" a="1"/>
  <c r="M21" i="50" a="1"/>
  <c r="L21" i="50" s="1"/>
  <c r="M20" i="50" a="1"/>
  <c r="F42" i="48" a="1"/>
  <c r="F35" i="48" a="1"/>
  <c r="F29" i="48" a="1"/>
  <c r="H32" i="44" a="1"/>
  <c r="H31" i="44" s="1" a="1"/>
  <c r="G34" i="44" a="1"/>
  <c r="F31" i="43" a="1"/>
  <c r="F29" i="43" a="1"/>
  <c r="G21" i="125" l="1" a="1"/>
  <c r="H24" i="83" a="1"/>
  <c r="H24" i="90" a="1"/>
  <c r="H25" i="76" a="1"/>
  <c r="F48" i="48" a="1"/>
  <c r="G22" i="119" a="1"/>
  <c r="F22" i="119" s="1"/>
  <c r="F17" i="119" a="1"/>
  <c r="G22" i="113" a="1"/>
  <c r="F22" i="113" s="1"/>
  <c r="F17" i="113" a="1"/>
  <c r="G22" i="120" a="1"/>
  <c r="F22" i="120" s="1"/>
  <c r="F17" i="120" a="1"/>
  <c r="H22" i="116" a="1"/>
  <c r="G22" i="116" s="1"/>
  <c r="G17" i="116" a="1"/>
  <c r="G22" i="115" a="1"/>
  <c r="F22" i="115" s="1"/>
  <c r="F17" i="115" a="1"/>
  <c r="H22" i="114" a="1"/>
  <c r="G22" i="114" s="1"/>
  <c r="G17" i="114" a="1"/>
  <c r="H22" i="112" a="1"/>
  <c r="G22" i="112" s="1"/>
  <c r="G17" i="112" a="1"/>
  <c r="G22" i="111" a="1"/>
  <c r="F22" i="111" s="1"/>
  <c r="F17" i="111" a="1"/>
  <c r="H22" i="88" a="1"/>
  <c r="G22" i="88" s="1"/>
  <c r="G17" i="88" a="1"/>
  <c r="G25" i="87" a="1"/>
  <c r="F25" i="87" s="1"/>
  <c r="F20" i="87" a="1"/>
  <c r="L38" i="78" a="1"/>
  <c r="L39" i="78" a="1"/>
  <c r="L40" i="78" a="1"/>
  <c r="L41" i="78" a="1"/>
  <c r="L42" i="78" a="1"/>
  <c r="K46" i="78" a="1"/>
  <c r="M38" i="51" a="1"/>
  <c r="L38" i="51" s="1"/>
  <c r="L33" i="51" a="1"/>
  <c r="M30" i="51" a="1"/>
  <c r="L25" i="51" a="1"/>
  <c r="J38" i="80" a="1"/>
  <c r="J39" i="80" s="1" a="1"/>
  <c r="J31" i="80" a="1"/>
  <c r="J32" i="80" s="1" a="1"/>
  <c r="J24" i="80" a="1"/>
  <c r="J25" i="80" s="1" a="1"/>
  <c r="G21" i="99" a="1"/>
  <c r="G22" i="99" s="1" a="1"/>
  <c r="F19" i="99"/>
  <c r="G27" i="77" a="1"/>
  <c r="G29" i="77" a="1"/>
  <c r="F25" i="77"/>
  <c r="M22" i="50" a="1"/>
  <c r="M27" i="50" a="1"/>
  <c r="L20" i="50"/>
  <c r="G26" i="125" l="1" a="1"/>
  <c r="F26" i="125" s="1"/>
  <c r="F21" i="125" a="1"/>
  <c r="M40" i="51" a="1"/>
  <c r="M42" i="51" s="1" a="1"/>
  <c r="L30" i="51"/>
  <c r="M24" i="50" a="1"/>
  <c r="L22"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<sst xmlns="http://schemas.openxmlformats.org/spreadsheetml/2006/main" count="1307" uniqueCount="433">
  <si>
    <t>Name</t>
  </si>
  <si>
    <t>Type</t>
  </si>
  <si>
    <t>Y</t>
  </si>
  <si>
    <t>Title</t>
  </si>
  <si>
    <t>Subtotal</t>
  </si>
  <si>
    <t>Total</t>
  </si>
  <si>
    <t>Date</t>
  </si>
  <si>
    <t>Description</t>
  </si>
  <si>
    <t>Table of Contents</t>
  </si>
  <si>
    <t>TOC</t>
  </si>
  <si>
    <t>Worksheet</t>
  </si>
  <si>
    <t>This worksheet. Click any A1 cell to return here</t>
  </si>
  <si>
    <t>Click name to go to object</t>
  </si>
  <si>
    <t>Argument</t>
  </si>
  <si>
    <t>Value</t>
  </si>
  <si>
    <t>UOM</t>
  </si>
  <si>
    <t>StartDate</t>
  </si>
  <si>
    <t>Periods</t>
  </si>
  <si>
    <t>Interval</t>
  </si>
  <si>
    <t>PeriodStarts?</t>
  </si>
  <si>
    <t>M</t>
  </si>
  <si>
    <t>date</t>
  </si>
  <si>
    <t>periods</t>
  </si>
  <si>
    <t>boolean</t>
  </si>
  <si>
    <t>D,W,M,Q,Y</t>
  </si>
  <si>
    <t>Timeline</t>
  </si>
  <si>
    <t>Starts</t>
  </si>
  <si>
    <t>Ends</t>
  </si>
  <si>
    <t>Week Day</t>
  </si>
  <si>
    <t>M,Q,Y</t>
  </si>
  <si>
    <t>Closing</t>
  </si>
  <si>
    <t>Payment Dates</t>
  </si>
  <si>
    <t>Rates</t>
  </si>
  <si>
    <t>Rent 1 Starts</t>
  </si>
  <si>
    <t>Rent 2 Starts</t>
  </si>
  <si>
    <t>Rent 1 Amount</t>
  </si>
  <si>
    <t xml:space="preserve">Rent 2 Amount </t>
  </si>
  <si>
    <t>AUD</t>
  </si>
  <si>
    <t>Rate Starts</t>
  </si>
  <si>
    <t>Rate Amount</t>
  </si>
  <si>
    <t>Ready Dates</t>
  </si>
  <si>
    <t>Units Built</t>
  </si>
  <si>
    <t>Total Units</t>
  </si>
  <si>
    <t>Rent Revenue</t>
  </si>
  <si>
    <t>oz.CountDOWλ</t>
  </si>
  <si>
    <t>oz.IsBetweenλ</t>
  </si>
  <si>
    <t>oz.IsOccurrenceDateλ</t>
  </si>
  <si>
    <t>oz.OverLapDaysλ</t>
  </si>
  <si>
    <t>oz.Periodsλ</t>
  </si>
  <si>
    <t>oz.PeriodLabelλ</t>
  </si>
  <si>
    <t>oz.ScheduleRatesλ</t>
  </si>
  <si>
    <t>oz.ScheduleRatesByItemsλ</t>
  </si>
  <si>
    <t>oz.ScheduleValuesλ</t>
  </si>
  <si>
    <t>oz.ScheduleValuesByItemsλ</t>
  </si>
  <si>
    <t>oz.Timelineλ</t>
  </si>
  <si>
    <t>Unit Completion Schedule</t>
  </si>
  <si>
    <t>Rental Rate Schedule</t>
  </si>
  <si>
    <t>Timeline Arguments</t>
  </si>
  <si>
    <t>oz.AboutFinancialλ</t>
  </si>
  <si>
    <t>oz.Amortiseλ</t>
  </si>
  <si>
    <t>oz.Corkscrewλ</t>
  </si>
  <si>
    <t>oz.Depreciateλ</t>
  </si>
  <si>
    <t>oz.IntOnIntλ</t>
  </si>
  <si>
    <t>oz.IRRλ</t>
  </si>
  <si>
    <t>oz.Movementλ</t>
  </si>
  <si>
    <t>oz.SumAmortiseλ</t>
  </si>
  <si>
    <t>oz.SumPeriodsλ</t>
  </si>
  <si>
    <t>oz.LabelAmortiseλ</t>
  </si>
  <si>
    <t>oz.LabelDepreciateλ</t>
  </si>
  <si>
    <t>oz.TimelineOffsetλ</t>
  </si>
  <si>
    <t>oz.TimelinePositionλ</t>
  </si>
  <si>
    <t>Count instances of a specific day of the week between two dates</t>
  </si>
  <si>
    <t>Determine if a value is between a lower and upper limit</t>
  </si>
  <si>
    <t>Determine if a date passed is when a potentially repeating event happens</t>
  </si>
  <si>
    <t>Return how many days overlap two period ranges.</t>
  </si>
  <si>
    <t>Determine the number of periods from Starts to Ends inclusive</t>
  </si>
  <si>
    <t>Creates a label for a date based on period interval</t>
  </si>
  <si>
    <t>Schedule rates that persist until replaced in a timeline.</t>
  </si>
  <si>
    <t>Schedule rates that persist until replaced in a timeline for each item in a list.</t>
  </si>
  <si>
    <t>Schedules values in a timeline.</t>
  </si>
  <si>
    <t>Schedules values in a timeline for each item in a list.</t>
  </si>
  <si>
    <t>Creates a horizontal list of start or end dates for a timeline</t>
  </si>
  <si>
    <t>Creates a corkscrew amortisation schedule.</t>
  </si>
  <si>
    <t>Creates a simple corkscrew where the closing balance is the sum of independent flows plus opening balance</t>
  </si>
  <si>
    <t>Create a block of CAPEX, Opening Balance, Depreciation Values, and Book Value for each asset</t>
  </si>
  <si>
    <t>Calculate Interest on Interest. Use to determine amount needed to cover debt plus interest on debt</t>
  </si>
  <si>
    <t>Calculates IRR, correcting for when the first investment is not in the first period</t>
  </si>
  <si>
    <t>Create a row of differences from column to column</t>
  </si>
  <si>
    <t>Create totals for payments, interest, and principal portion in Amortiseλ results</t>
  </si>
  <si>
    <t>Creates totals for each row in array.</t>
  </si>
  <si>
    <t>Groups and totals all columns in a Values array by period resulting in one column for each period.</t>
  </si>
  <si>
    <t>Create row labels for Amortiseλ result</t>
  </si>
  <si>
    <t>Create row labels for Depreciateλ result</t>
  </si>
  <si>
    <t>Determines how many columns a date is offset from a timeline's first date</t>
  </si>
  <si>
    <t>Places an array or value appropriately within a model's timeline.</t>
  </si>
  <si>
    <t>Sunday</t>
  </si>
  <si>
    <t>Budget Items</t>
  </si>
  <si>
    <t>Holds budgeted item entries</t>
  </si>
  <si>
    <t>Schedule</t>
  </si>
  <si>
    <t>First Date</t>
  </si>
  <si>
    <t>Last Date</t>
  </si>
  <si>
    <t>B</t>
  </si>
  <si>
    <t>X</t>
  </si>
  <si>
    <t>Pay</t>
  </si>
  <si>
    <t>Mortgage</t>
  </si>
  <si>
    <t>Home insurance</t>
  </si>
  <si>
    <t>S</t>
  </si>
  <si>
    <t>W</t>
  </si>
  <si>
    <t>Petrol</t>
  </si>
  <si>
    <t>Q</t>
  </si>
  <si>
    <t>Strata levies</t>
  </si>
  <si>
    <t>Estimated work lunches</t>
  </si>
  <si>
    <t>Start</t>
  </si>
  <si>
    <t>End</t>
  </si>
  <si>
    <t>Daily Rate</t>
  </si>
  <si>
    <t>Dining Room set</t>
  </si>
  <si>
    <t>Living Room Set</t>
  </si>
  <si>
    <t>Rental Description</t>
  </si>
  <si>
    <t>85" 4K OLED TV</t>
  </si>
  <si>
    <t>Rental Contracts</t>
  </si>
  <si>
    <t>Contract #</t>
  </si>
  <si>
    <t>Daily Total</t>
  </si>
  <si>
    <t>Cumulative Total</t>
  </si>
  <si>
    <r>
      <t xml:space="preserve">Totals </t>
    </r>
    <r>
      <rPr>
        <b/>
        <sz val="11"/>
        <color rgb="FF000000"/>
        <rFont val="Aptos"/>
        <family val="2"/>
      </rPr>
      <t>↓  Dates→</t>
    </r>
  </si>
  <si>
    <t>IsOccurrenceDateλ(Dates, FirstOccurrence, [LastOccurrence], [Repeats])</t>
  </si>
  <si>
    <t>Amount</t>
  </si>
  <si>
    <t>Date 1</t>
  </si>
  <si>
    <t>Date 2</t>
  </si>
  <si>
    <t>Labels</t>
  </si>
  <si>
    <t>Intervals</t>
  </si>
  <si>
    <t>Period Ends</t>
  </si>
  <si>
    <t>Item</t>
  </si>
  <si>
    <t>Effective</t>
  </si>
  <si>
    <t>Rate</t>
  </si>
  <si>
    <t>Items</t>
  </si>
  <si>
    <t>Unit 200</t>
  </si>
  <si>
    <t>Unit 100</t>
  </si>
  <si>
    <t>Unit 300</t>
  </si>
  <si>
    <t>Unit 400</t>
  </si>
  <si>
    <t>Unit 500</t>
  </si>
  <si>
    <t>Customer</t>
  </si>
  <si>
    <t>Terms</t>
  </si>
  <si>
    <t>ACME</t>
  </si>
  <si>
    <t>Wool*Art</t>
  </si>
  <si>
    <t>Town Hall</t>
  </si>
  <si>
    <t>Issued</t>
  </si>
  <si>
    <t>Customer Terms</t>
  </si>
  <si>
    <t>ID#</t>
  </si>
  <si>
    <t>Timeline Settings</t>
  </si>
  <si>
    <t>Attribute</t>
  </si>
  <si>
    <t>Exp. Receipt</t>
  </si>
  <si>
    <t>Receivables</t>
  </si>
  <si>
    <t>Totals ↓  Starts→</t>
  </si>
  <si>
    <t>Receipts</t>
  </si>
  <si>
    <t>Customer Orders</t>
  </si>
  <si>
    <t>Ends→</t>
  </si>
  <si>
    <t>Inv.#</t>
  </si>
  <si>
    <t>Outstanding Receivables</t>
  </si>
  <si>
    <t>Open Receivables</t>
  </si>
  <si>
    <t>Sub totals</t>
  </si>
  <si>
    <t>Expected Receipts</t>
  </si>
  <si>
    <t>Principal</t>
  </si>
  <si>
    <t>APR</t>
  </si>
  <si>
    <t>Term</t>
  </si>
  <si>
    <t>Start Date</t>
  </si>
  <si>
    <t>Totals</t>
  </si>
  <si>
    <t>Renovation</t>
  </si>
  <si>
    <t>New sign</t>
  </si>
  <si>
    <t>Parking Lot</t>
  </si>
  <si>
    <t>Opening</t>
  </si>
  <si>
    <t>Closing balance</t>
  </si>
  <si>
    <t>Assets</t>
  </si>
  <si>
    <t>Asset</t>
  </si>
  <si>
    <t>Acquired</t>
  </si>
  <si>
    <t>Salvage</t>
  </si>
  <si>
    <t>Method</t>
  </si>
  <si>
    <t>SLN</t>
  </si>
  <si>
    <t>DDB</t>
  </si>
  <si>
    <t>DV</t>
  </si>
  <si>
    <t>Cutter</t>
  </si>
  <si>
    <t>Press</t>
  </si>
  <si>
    <t>CNC</t>
  </si>
  <si>
    <t>Life</t>
  </si>
  <si>
    <t>Cost</t>
  </si>
  <si>
    <t>oz.Cumulativeλ</t>
  </si>
  <si>
    <t>Creates a row or column of cumulative totals from a total row or column</t>
  </si>
  <si>
    <t>Planning</t>
  </si>
  <si>
    <t>Site Prep</t>
  </si>
  <si>
    <t>Foundation</t>
  </si>
  <si>
    <t>Interest</t>
  </si>
  <si>
    <t>Total Cost</t>
  </si>
  <si>
    <t>Construction Phases</t>
  </si>
  <si>
    <t>IRR↓  Starts→</t>
  </si>
  <si>
    <t>Loans</t>
  </si>
  <si>
    <t>Jacqie Penee</t>
  </si>
  <si>
    <t>Amazonia</t>
  </si>
  <si>
    <t>Budget Item</t>
  </si>
  <si>
    <t>Loan Description</t>
  </si>
  <si>
    <t>Dates</t>
  </si>
  <si>
    <t>Offset</t>
  </si>
  <si>
    <t>Model</t>
  </si>
  <si>
    <t>Loan Schedule</t>
  </si>
  <si>
    <t>Introduction</t>
  </si>
  <si>
    <t>Navigating this Workbook</t>
  </si>
  <si>
    <t>Accessing the Functions</t>
  </si>
  <si>
    <t>Each function worksheet has pale purple shaded cells. These cells contain the function whose name appears in the worksheet's title.</t>
  </si>
  <si>
    <t>Getting to Know the Functions</t>
  </si>
  <si>
    <t>Cover</t>
  </si>
  <si>
    <t>Workbook's Introduction</t>
  </si>
  <si>
    <t>Contains important information for first time users.</t>
  </si>
  <si>
    <t>Cell A1 of every worksheet is hyperlinked to the table of contents. So if we want to get back to the table of contents, we just click the worksheet's title. 
The first column in the table of contents contains a listing of all worksheets and every worksheet name in that column is hyperlinked to its worksheet. Thus, clicking a worksheet's name in the table of contents takes to that worksheet.
So remember, click any worksheet's title to go to the table of contents and click any worksheet name to go to the worksheet from the table of contents</t>
  </si>
  <si>
    <r>
      <t>NOTE!</t>
    </r>
    <r>
      <rPr>
        <sz val="11"/>
        <color rgb="FF000000"/>
        <rFont val="Aptos"/>
        <family val="2"/>
        <scheme val="minor"/>
      </rPr>
      <t xml:space="preserve"> Older version displayed in video</t>
    </r>
  </si>
  <si>
    <t>Dynamic models are the future of financial modelling. They respond to changes in business, competition, economics, supply chains, project deadlines and more. Excel’s dynamic arrays make this practical. But dynamic arrays are not possible in Financial Models without LAMBDA and LAMBDAs are too scary for most modellers. That’s where Ozzit steps in.</t>
  </si>
  <si>
    <t>Ozzit makes it easy for anyone, including Excel novices, to assemble expert level financial models with dynamic arrays in record time with fewer errors!</t>
  </si>
  <si>
    <t>Ozzit functions can be used exactly like native Excel functions because they are made from native Excel functions and nothing else. That means no special skills are required to use Ozzit functions and models assembled from Ozzit functions can be saved as normal .xlsx workbooks.</t>
  </si>
  <si>
    <t xml:space="preserve">With a few exceptions, all Ozzit functions have inline help. Inline help explains the function's syntax, purpose, version, and arguments. To access a function's inline help, find an empty space on a worksheet and enter = and the function's name without any arguments. </t>
  </si>
  <si>
    <t xml:space="preserve">Some Ozzit functions have Data Validation functions associated with them. These functions diagnose problems with arguments we present to their parent Ozzit function. So if a function returns an error or something unexpected, try calling its data validation routine which will attempt to diagnose any problems with the arguments. Data Validation functions are named using the function's name plus DV. As an example, we have a Ozzit function called Depreciateλ(). Depreciateλ's data validation function is DepreciateλDV(&lt;include arguments&gt;). </t>
  </si>
  <si>
    <t>Most worksheets have grey shaded cells which are input cells. These are meant to be played with. Try changing the inputs to see how the Ozzit function reacts.</t>
  </si>
  <si>
    <t xml:space="preserve"> CAPEX</t>
  </si>
  <si>
    <t xml:space="preserve"> Depreciation</t>
  </si>
  <si>
    <t xml:space="preserve"> Book Value</t>
  </si>
  <si>
    <t xml:space="preserve"> Revenue from Sale</t>
  </si>
  <si>
    <t xml:space="preserve"> Disposal Costs</t>
  </si>
  <si>
    <t>Rolling Totals</t>
  </si>
  <si>
    <t>Movement</t>
  </si>
  <si>
    <t>tblTOC</t>
  </si>
  <si>
    <t>Table</t>
  </si>
  <si>
    <t>tblBudget</t>
  </si>
  <si>
    <t>tblRent</t>
  </si>
  <si>
    <t>tblRents</t>
  </si>
  <si>
    <t>tblUnits</t>
  </si>
  <si>
    <t>tblItems</t>
  </si>
  <si>
    <t>tblCT</t>
  </si>
  <si>
    <t>tblCO</t>
  </si>
  <si>
    <t>tblLoans</t>
  </si>
  <si>
    <t>tblAssets</t>
  </si>
  <si>
    <t>tblAssets11</t>
  </si>
  <si>
    <t>oz.SumDepreciateλ</t>
  </si>
  <si>
    <t>tblAssets1112</t>
  </si>
  <si>
    <t>oz.SumContainsλ</t>
  </si>
  <si>
    <t>tblAssets111214</t>
  </si>
  <si>
    <t>tblPhases</t>
  </si>
  <si>
    <t>oz.RollingSumλ</t>
  </si>
  <si>
    <t>Create row totals for CAPEX, Depreciation, Salvage Value, and Disposal costs in Depreciateλ results</t>
  </si>
  <si>
    <t>Creates a row of totals for each row in an array where its labels contain a unique letter, word, or phrase.</t>
  </si>
  <si>
    <t>Creates totals for preceding values of a set size moving from beginning to end over a row of values.</t>
  </si>
  <si>
    <t>oz.SumColsλ</t>
  </si>
  <si>
    <t>oz.SumRowsλ</t>
  </si>
  <si>
    <t>oz.AboutEssentialsλ</t>
  </si>
  <si>
    <t>oz.AvgRowsλ</t>
  </si>
  <si>
    <t>oz.AvgColsλ</t>
  </si>
  <si>
    <t>oz.MinRowsλ</t>
  </si>
  <si>
    <t>oz.MinColsλ</t>
  </si>
  <si>
    <t>oz.MaxRowsλ</t>
  </si>
  <si>
    <t>oz.MaxColsλ</t>
  </si>
  <si>
    <t>About the Ozzit Array Essentials library</t>
  </si>
  <si>
    <t>About the Ozzit Financial library</t>
  </si>
  <si>
    <t>Gets the minimum of each column in an array</t>
  </si>
  <si>
    <t>Gets the average of each column in an array</t>
  </si>
  <si>
    <t>Gets the average of each row in an array</t>
  </si>
  <si>
    <t>Creates totals for each column in array.</t>
  </si>
  <si>
    <t>Gets the minimum of each row in an array</t>
  </si>
  <si>
    <t>Gets the maximum of each row in an array</t>
  </si>
  <si>
    <t>Gets the maximum of each column in an array</t>
  </si>
  <si>
    <t xml:space="preserve">This workbook contains the Ozzit function library, covering dates, array essentials, financial functions, financial ratios, utilities and debt. Every function shares the oz. prefix. The worksheets in this workbook document each function and provides examples; thus, this workbook has many worksheets. The next section explains how to easily navigate between them. </t>
  </si>
  <si>
    <t>Characters</t>
  </si>
  <si>
    <t>Text</t>
  </si>
  <si>
    <t>Result</t>
  </si>
  <si>
    <t>Mary had a little lamb</t>
  </si>
  <si>
    <t>a,m</t>
  </si>
  <si>
    <t>M,m</t>
  </si>
  <si>
    <t>l</t>
  </si>
  <si>
    <t>had</t>
  </si>
  <si>
    <t>Comments</t>
  </si>
  <si>
    <t>Case sensitive! Upper case M is not counted</t>
  </si>
  <si>
    <t>Case sensitive! Lower case M is not counted</t>
  </si>
  <si>
    <t>The word "had" occupies 3 characters in the text</t>
  </si>
  <si>
    <t>A</t>
  </si>
  <si>
    <t/>
  </si>
  <si>
    <t>C</t>
  </si>
  <si>
    <t>oz.CountCλ</t>
  </si>
  <si>
    <t>oz.CountRowsλ</t>
  </si>
  <si>
    <t>oz.CountColsλ</t>
  </si>
  <si>
    <t>oz.CountARowsλ</t>
  </si>
  <si>
    <t>oz.CountAColsλ</t>
  </si>
  <si>
    <t>Count the number of numbers in each column of an array</t>
  </si>
  <si>
    <t>Count the number of numbers in each row of an array</t>
  </si>
  <si>
    <t>Count all non-empty cells in each row of a range. NOTE! Dynamic Arrays always fill each cell.</t>
  </si>
  <si>
    <t>Count all non-empty cells in each column of a range. NOTE! Dynamic Arrays always fill each cell.</t>
  </si>
  <si>
    <t>Count the number of times one or more characters appear in a string</t>
  </si>
  <si>
    <t xml:space="preserve"> Ends→</t>
  </si>
  <si>
    <t>Onboarding</t>
  </si>
  <si>
    <t>Inputs ↓ Periods→</t>
  </si>
  <si>
    <t>Inflation factor</t>
  </si>
  <si>
    <t>Interest Rates</t>
  </si>
  <si>
    <t>oz.IsBetweenEλ</t>
  </si>
  <si>
    <t>tblOnBoarding</t>
  </si>
  <si>
    <t>oz.RangeToDAEλ</t>
  </si>
  <si>
    <t>Convert a static range into a dynamic array</t>
  </si>
  <si>
    <t>Click any name below to jump to its worksheet</t>
  </si>
  <si>
    <t>Create a row that reverses input values in the next period</t>
  </si>
  <si>
    <t>Reversal</t>
  </si>
  <si>
    <t>oz.Reversalλ</t>
  </si>
  <si>
    <t>Create a row that reverses input values in the next period.</t>
  </si>
  <si>
    <t>DB</t>
  </si>
  <si>
    <t>Table used for data validation</t>
  </si>
  <si>
    <t>Straight Line</t>
  </si>
  <si>
    <t>Declining Balance</t>
  </si>
  <si>
    <t>Double Declining Balance</t>
  </si>
  <si>
    <t>SYD</t>
  </si>
  <si>
    <t>Sum of Years</t>
  </si>
  <si>
    <t>VDB</t>
  </si>
  <si>
    <t>Variable Declining</t>
  </si>
  <si>
    <t>Diminishing balance 200%</t>
  </si>
  <si>
    <t>Data Validation Methods</t>
  </si>
  <si>
    <t>Liquidity Ratios</t>
  </si>
  <si>
    <t>Leverage Ratios</t>
  </si>
  <si>
    <t>Solvency Ratios</t>
  </si>
  <si>
    <t>Efficiency Ratios</t>
  </si>
  <si>
    <t>Profitability Margins &amp; Ratios</t>
  </si>
  <si>
    <t>Market Value Ratios</t>
  </si>
  <si>
    <t>Data Validation</t>
  </si>
  <si>
    <t>tblMethods</t>
  </si>
  <si>
    <t>oz.FinancialRatios</t>
  </si>
  <si>
    <t>Three dozen financial Ratios</t>
  </si>
  <si>
    <t>Function</t>
  </si>
  <si>
    <t>AboutRatiosλ</t>
  </si>
  <si>
    <t>Produces this table</t>
  </si>
  <si>
    <t>CurrentRatioλ</t>
  </si>
  <si>
    <t>Measures ability to pay short-term obligations</t>
  </si>
  <si>
    <t>QuickRatioλ</t>
  </si>
  <si>
    <t>Measures ability to meet short-term obligations</t>
  </si>
  <si>
    <t>CashRatioλ</t>
  </si>
  <si>
    <t>Evaluates ability to repay short-term debt w/cash or near-cash resources</t>
  </si>
  <si>
    <t>Measures how readily current liabilities are covered by cash flows generated from operations.</t>
  </si>
  <si>
    <t>ReceivablesTurnoverRatioλ</t>
  </si>
  <si>
    <t>Indicates effectiveness in collecting outstanding balances from clients and managing line of credit process</t>
  </si>
  <si>
    <t>InventoryTurnoverRatioλ</t>
  </si>
  <si>
    <t>Shows how many times a company turned over its inventory relative to its cost of goods sold</t>
  </si>
  <si>
    <t>WorkingCapitalTurnoverRatioλ</t>
  </si>
  <si>
    <t>Working Capital Turnover Ratio measures how efficiently a company is using its working capital to support sales and growth</t>
  </si>
  <si>
    <t>DebtRatioλ</t>
  </si>
  <si>
    <t>Measures the extent of a company's leverage</t>
  </si>
  <si>
    <t>DSCRλ</t>
  </si>
  <si>
    <t>Debt service coverage Ratio measures a firm’s available cash flow to pay its current debt obligations</t>
  </si>
  <si>
    <t>DebtToCapitalRatioλ</t>
  </si>
  <si>
    <t>Gives analysts and investors a better idea of a company's financial structure and whether or not the company is a suitable investment</t>
  </si>
  <si>
    <t>EquityMultiplierλ</t>
  </si>
  <si>
    <t>Measures the portion of a company’s assets financed by shareholders'equity rather than by debt</t>
  </si>
  <si>
    <t>DebtToEquityRatioλ</t>
  </si>
  <si>
    <t>Measures the degree to which a company is financing operations with debt rather than its own resources.</t>
  </si>
  <si>
    <t>DebtToAssetRatioλ</t>
  </si>
  <si>
    <t>Analysts can compare one company's leverage with that of other companies in the same industry.</t>
  </si>
  <si>
    <t>InterestCoverageRatioλ</t>
  </si>
  <si>
    <t>Determines how easily a company can pay interest on its outstanding debt</t>
  </si>
  <si>
    <t>EquityRatioλ</t>
  </si>
  <si>
    <t>Measures the long-term solvency of a company by comparing its shareholders’ equity to its total assets</t>
  </si>
  <si>
    <t>AssetTurnoverRatioλ</t>
  </si>
  <si>
    <t>Measures the value of a company's sales or revenues relative to the value of its assets.</t>
  </si>
  <si>
    <t>DSIλ</t>
  </si>
  <si>
    <t>Days Sales in Inventory Ratio (aka Average age of inventory indicates the average time in days that a company takes to turn its inventory</t>
  </si>
  <si>
    <t>OperatingRatioλ</t>
  </si>
  <si>
    <t>Shows how efficient management is at keeping costs low while generating revenue</t>
  </si>
  <si>
    <t>GrossMarginλ</t>
  </si>
  <si>
    <t>Shows how much profit a company makes after paying off its Cost of Goods Sold</t>
  </si>
  <si>
    <t>EBITDAMarginλ</t>
  </si>
  <si>
    <t>Measures a company's operating profit as a percentage of its revenue</t>
  </si>
  <si>
    <t>OperatingMarginλ</t>
  </si>
  <si>
    <t>Measures how much profit a company makes on a dollar of sales after paying for variable costs of production, such as wages and raw materials, but before paying interest or tax</t>
  </si>
  <si>
    <t>PretaxMarginλ</t>
  </si>
  <si>
    <t>Measures the operating efficiency of a company</t>
  </si>
  <si>
    <t>NetProfitMarginλ</t>
  </si>
  <si>
    <t>Measures how much net income or profit a company generates as a percentage of its revenue.</t>
  </si>
  <si>
    <t>CashFlowMarginλ</t>
  </si>
  <si>
    <t>Cash Flow Margin is a trusted metric of a company’s profitability and efficiency and its earnings quality</t>
  </si>
  <si>
    <t>ROAλ</t>
  </si>
  <si>
    <t>*Return on Assets Indicates how profitable a company is in relation to its total assets</t>
  </si>
  <si>
    <t>ROEλ</t>
  </si>
  <si>
    <t>*Return on equity is a measure of financial performance</t>
  </si>
  <si>
    <t>ROIλ</t>
  </si>
  <si>
    <t>Return on Investment ratio measures the profitability of an investment by comparing the gain or loss to its cost</t>
  </si>
  <si>
    <t>ROICλ</t>
  </si>
  <si>
    <t>Return on Invested capital assesses a company’s efficiency in allocating capital to profitable investments</t>
  </si>
  <si>
    <t>PriceEarningsRatioλ</t>
  </si>
  <si>
    <t>*Price-earnings Ratio measures a company's share price relative to its earnings per share</t>
  </si>
  <si>
    <t>PriceToBookRatioλ</t>
  </si>
  <si>
    <t>Many investors use the price-to-book ratio (P/B ratio) to compare a firm's market capitalisation to its book value and locate undervalued companies.</t>
  </si>
  <si>
    <t>PriceToSalesRatioλ</t>
  </si>
  <si>
    <t>Price to Sales (P/S) Ratio is an indicator of the value that financial markets have placed on each dollar of a company's sales or revenues</t>
  </si>
  <si>
    <t>PriceToCashRatioλ</t>
  </si>
  <si>
    <t>Price to Cash (P/CF) Ratio is a stock valuation indicator or multiple that measures the value of a stock’s price relative to its operating cash flow per share</t>
  </si>
  <si>
    <t>BVPSλ</t>
  </si>
  <si>
    <t>Book value per share ratio is an indicator of the value of a company’s stock</t>
  </si>
  <si>
    <t>CAPERatioλ</t>
  </si>
  <si>
    <t>Measure that uses real earnings per share (EPS) over a 10-year period to smooth out fluctuations in corporate profits that occur over different periods of a business cycle (aka Shiller PE Ratio)</t>
  </si>
  <si>
    <t>DPRλ</t>
  </si>
  <si>
    <t>Dividend Payout Ratio is the percentage of earnings paid to shareholders via dividends</t>
  </si>
  <si>
    <t>DividendYieldRatioλ</t>
  </si>
  <si>
    <t>Dividend yield ratio shows how much a company pays out in dividends</t>
  </si>
  <si>
    <t>EPSλ</t>
  </si>
  <si>
    <t>Earnings per share measures profitability indicating how much profit each outstanding share of common stock has earned</t>
  </si>
  <si>
    <t>RetentionRatioλ</t>
  </si>
  <si>
    <t>Retention Ratio is the proportion of earnings kept back in the business as retained earnings</t>
  </si>
  <si>
    <t>*</t>
  </si>
  <si>
    <t>These are considered 'Key Ratios'</t>
  </si>
  <si>
    <t>This is a library of Ozzit functions for simplifying financial model development, especially models using dynamic arrays, and especially for Excel novices. It needs Excel with LAMBDA and dynamic arrays: Microsoft 365, or Excel 2024 and later. Where Excel 365 has since gained a native equivalent, the function's inline help says so on a SEE ALSO line (checked August 2026).</t>
  </si>
  <si>
    <t>PC</t>
  </si>
  <si>
    <t>Straight line</t>
  </si>
  <si>
    <t>Australian tax</t>
  </si>
  <si>
    <t>depreciation, GST and financial-year helpers</t>
  </si>
  <si>
    <t>The Australian additions to this library. Change the input cells and the results follow.</t>
  </si>
  <si>
    <t>DEPRECIATION</t>
  </si>
  <si>
    <t>Effective life (years)</t>
  </si>
  <si>
    <t>Diminishing balance at 200% of straight line</t>
  </si>
  <si>
    <t>Straight line, whole years</t>
  </si>
  <si>
    <t>Total written off, diminishing balance</t>
  </si>
  <si>
    <t>Total written off, straight line</t>
  </si>
  <si>
    <t>Both totals equal the cost above for any effective life, including part years such as 6 2/3 and lives under 2 years, because the diminishing-balance schedule writes its residual off in the final period.</t>
  </si>
  <si>
    <t>Modelling schedules, not tax calculations: no acquisition date, no income year, no days held, no disposal. Do not use them to prepare a return.</t>
  </si>
  <si>
    <t>GST</t>
  </si>
  <si>
    <t>GST-exclusive amount</t>
  </si>
  <si>
    <t>Plus GST</t>
  </si>
  <si>
    <t>GST-inclusive amount</t>
  </si>
  <si>
    <t>GST included</t>
  </si>
  <si>
    <t>FINANCIAL YEAR</t>
  </si>
  <si>
    <t>Financial year</t>
  </si>
  <si>
    <t>D</t>
  </si>
  <si>
    <t>Ozzit</t>
  </si>
  <si>
    <t>A LAMBDA function library for dynamic-array financial models. Australian conventions; no add-ins, no macros.</t>
  </si>
  <si>
    <t>Version 19 October 2026    -    148 functions    -    Microsoft 365 or Excel 2024 and later</t>
  </si>
  <si>
    <t>Count all non-empty cells in each row of an array</t>
  </si>
  <si>
    <t>Count all non-empty cells in each column of an array</t>
  </si>
  <si>
    <t>Three dozen financial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</si>
</sst>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quot;$&quot;#,##0_);[Red]\(&quot;$&quot;#,##0\)"/>
    <numFmt numFmtId="165" formatCode="&quot;$&quot;#,##0.00_);[Red]\(&quot;$&quot;#,##0.00\)"/>
    <numFmt numFmtId="166" formatCode="#,##0.0%_);[Red]\(#,##0.0%\)"/>
    <numFmt numFmtId="167" formatCode="d\-mmm\-yyyy"/>
    <numFmt numFmtId="168" formatCode="dd/mm/yyyy"/>
    <numFmt numFmtId="169" formatCode="#,###;#,###;\-"/>
    <numFmt numFmtId="170" formatCode="#,###;[Red]\(#,###\);\-"/>
    <numFmt numFmtId="171" formatCode="#,##0.00%_);[Red]\(#,##0.00%\)"/>
    <numFmt numFmtId="172" formatCode="#,##0.00000_);[Red]\(#,##0.00000\)"/>
  </numFmts>
  <fonts count="30" x14ac:knownFonts="1">
    <font>
      <sz val="11"/>
      <color rgb="FF000000"/>
      <name val="Aptos"/>
      <family val="2"/>
      <scheme val="minor"/>
    </font>
    <font>
      <sz val="11"/>
      <color theme="1"/>
      <name val="Aptos"/>
      <family val="2"/>
      <scheme val="minor"/>
    </font>
    <font>
      <b/>
      <sz val="11"/>
      <color rgb="FF000000"/>
      <name val="Aptos"/>
      <family val="2"/>
      <scheme val="minor"/>
    </font>
    <font>
      <b/>
      <sz val="11"/>
      <color rgb="FF000000"/>
      <name val="Aptos"/>
      <family val="2"/>
      <scheme val="minor"/>
    </font>
    <font>
      <sz val="11"/>
      <color rgb="FF000000"/>
      <name val="Aptos"/>
      <family val="2"/>
      <scheme val="minor"/>
    </font>
    <font>
      <sz val="11"/>
      <color rgb="FF66023C"/>
      <name val="Aptos"/>
      <family val="2"/>
      <scheme val="minor"/>
    </font>
    <font>
      <i/>
      <sz val="11"/>
      <color rgb="FF6E6862"/>
      <name val="Aptos"/>
      <family val="2"/>
      <scheme val="minor"/>
    </font>
    <font>
      <b/>
      <sz val="36"/>
      <color rgb="FF66023C"/>
      <name val="Aptos Display"/>
    </font>
    <font>
      <b/>
      <sz val="20"/>
      <color rgb="FF66023C"/>
      <name val="Aptos Display"/>
    </font>
    <font>
      <b/>
      <sz val="16"/>
      <color rgb="FF66023C"/>
      <name val="Aptos Display"/>
    </font>
    <font>
      <u/>
      <sz val="11"/>
      <color theme="10"/>
      <name val="Aptos"/>
      <family val="2"/>
      <scheme val="minor"/>
    </font>
    <font>
      <sz val="10"/>
      <color rgb="FFFFFFF0"/>
      <name val="Aptos"/>
      <family val="2"/>
      <scheme val="minor"/>
    </font>
    <font>
      <b/>
      <sz val="11"/>
      <color rgb="FF66023C"/>
      <name val="Aptos"/>
      <family val="2"/>
      <scheme val="minor"/>
    </font>
    <font>
      <sz val="11"/>
      <color rgb="FF000000"/>
      <name val="Aptos"/>
      <family val="2"/>
      <scheme val="minor"/>
    </font>
    <font>
      <b/>
      <sz val="11"/>
      <color rgb="FF66023C"/>
      <name val="Aptos"/>
      <family val="2"/>
      <scheme val="minor"/>
    </font>
    <font>
      <sz val="12"/>
      <color rgb="FF000000"/>
      <name val="Aptos"/>
      <family val="2"/>
    </font>
    <font>
      <sz val="11"/>
      <color rgb="FF000000"/>
      <name val="Aptos"/>
      <family val="2"/>
    </font>
    <font>
      <sz val="36"/>
      <color rgb="FF000000"/>
      <name val="Aptos"/>
      <family val="2"/>
    </font>
    <font>
      <b/>
      <sz val="12"/>
      <color rgb="FF000000"/>
      <name val="Aptos"/>
      <family val="2"/>
    </font>
    <font>
      <b/>
      <sz val="48"/>
      <color rgb="FF66023C"/>
      <name val="Aptos"/>
      <family val="2"/>
    </font>
    <font>
      <sz val="12"/>
      <color rgb="FF000000"/>
      <name val="Aptos"/>
      <family val="2"/>
    </font>
    <font>
      <sz val="11"/>
      <color rgb="FF000000"/>
      <name val="Aptos"/>
      <family val="2"/>
    </font>
    <font>
      <b/>
      <sz val="11"/>
      <color rgb="FF000000"/>
      <name val="Aptos"/>
      <family val="2"/>
    </font>
    <font>
      <sz val="11"/>
      <name val="Aptos"/>
      <family val="2"/>
      <scheme val="minor"/>
    </font>
    <font>
      <sz val="11"/>
      <color rgb="FF000000"/>
      <name val="Aptos"/>
      <family val="2"/>
      <scheme val="minor"/>
    </font>
    <font>
      <b/>
      <sz val="48"/>
      <color rgb="FF66023C"/>
      <name val="Aptos Display"/>
      <family val="2"/>
    </font>
    <font>
      <sz val="12"/>
      <color rgb="FF6E6862"/>
      <name val="Aptos"/>
      <family val="2"/>
    </font>
    <font>
      <sz val="10"/>
      <color rgb="FF6E6862"/>
      <name val="Aptos"/>
      <family val="2"/>
    </font>
    <font>
      <b/>
      <sz val="22"/>
      <color rgb="FF000000"/>
      <name val="Aptos Display"/>
      <family val="2"/>
    </font>
    <font>
      <b/>
      <sz val="26"/>
      <color rgb="FF66023C"/>
      <name val="Aptos Display"/>
      <family val="2"/>
    </font>
  </fonts>
  <fills count="10">
    <fill>
      <patternFill patternType="none"/>
    </fill>
    <fill>
      <patternFill patternType="gray125"/>
    </fill>
    <fill>
      <patternFill patternType="solid">
        <fgColor rgb="FFE5E4E2"/>
        <bgColor rgb="FF000000"/>
      </patternFill>
    </fill>
    <fill>
      <patternFill patternType="solid">
        <fgColor indexed="9"/>
        <bgColor rgb="FF000000"/>
      </patternFill>
    </fill>
    <fill>
      <patternFill patternType="solid">
        <fgColor rgb="FFE8D9E2"/>
        <bgColor rgb="FF000000"/>
      </patternFill>
    </fill>
    <fill>
      <patternFill patternType="solid">
        <fgColor rgb="FFFFFFF0"/>
      </patternFill>
    </fill>
    <fill>
      <patternFill patternType="solid">
        <fgColor theme="4"/>
        <bgColor rgb="FF000000"/>
      </patternFill>
    </fill>
    <fill>
      <patternFill patternType="solid">
        <fgColor rgb="FFFFFFF0"/>
        <bgColor rgb="FF000000"/>
      </patternFill>
    </fill>
    <fill>
      <patternFill patternType="solid">
        <fgColor rgb="FFF5F5F5"/>
        <bgColor rgb="FF000000"/>
      </patternFill>
    </fill>
    <fill>
      <patternFill patternType="solid">
        <fgColor rgb="FFFFFFF0"/>
        <bgColor rgb="FF000000"/>
      </patternFill>
    </fill>
  </fills>
  <borders count="21">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indexed="64"/>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000000"/>
      </top>
      <bottom/>
      <diagonal/>
    </border>
    <border>
      <left/>
      <right/>
      <top style="thin">
        <color rgb="FFFFFFFF"/>
      </top>
      <bottom style="thin">
        <color rgb="FF000000"/>
      </bottom>
      <diagonal/>
    </border>
    <border>
      <left/>
      <right/>
      <top style="thin">
        <color rgb="FF000000"/>
      </top>
      <bottom style="double">
        <color rgb="FF000000"/>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indexed="64"/>
      </bottom>
      <diagonal/>
    </border>
    <border>
      <left/>
      <right/>
      <top style="thin">
        <color rgb="FFFFFFFF"/>
      </top>
      <bottom/>
      <diagonal/>
    </border>
    <border>
      <left/>
      <right/>
      <top style="thin">
        <color rgb="FFFFFFFF"/>
      </top>
      <bottom style="thin">
        <color rgb="FFFFFFFF"/>
      </bottom>
      <diagonal/>
    </border>
    <border>
      <left style="thin">
        <color rgb="FFFFFFFF"/>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indexed="64"/>
      </top>
      <bottom style="thin">
        <color rgb="FFFFFFFF"/>
      </bottom>
      <diagonal/>
    </border>
    <border>
      <left/>
      <right/>
      <top/>
      <bottom style="thin">
        <color rgb="FFFFFFFF"/>
      </bottom>
      <diagonal/>
    </border>
  </borders>
  <cellStyleXfs count="16">
    <xf numFmtId="170" fontId="0" fillId="3" borderId="0" applyBorder="0" applyAlignment="0"/>
    <xf numFmtId="40" fontId="1" fillId="0" borderId="0" applyFont="0" applyFill="0" applyBorder="0" applyProtection="0">
      <alignment horizontal="right" vertical="top"/>
    </xf>
    <xf numFmtId="165" fontId="1" fillId="0" borderId="0" applyFont="0" applyFill="0" applyBorder="0" applyProtection="0">
      <alignment horizontal="right" vertical="top"/>
    </xf>
    <xf numFmtId="166" fontId="1" fillId="0" borderId="0" applyFont="0" applyFill="0" applyBorder="0" applyProtection="0">
      <alignment horizontal="right" vertical="top"/>
    </xf>
    <xf numFmtId="0" fontId="7" fillId="0" borderId="1" applyNumberFormat="0" applyFill="0" applyAlignment="0" applyProtection="0"/>
    <xf numFmtId="0" fontId="8" fillId="0" borderId="1" applyNumberFormat="0" applyFill="0" applyAlignment="0" applyProtection="0"/>
    <xf numFmtId="0" fontId="9" fillId="0" borderId="1" applyNumberFormat="0" applyFill="0" applyAlignment="0" applyProtection="0"/>
    <xf numFmtId="0" fontId="2" fillId="7" borderId="6" applyNumberFormat="0" applyAlignment="0" applyProtection="0"/>
    <xf numFmtId="0" fontId="5" fillId="4" borderId="1" applyNumberFormat="0" applyAlignment="0" applyProtection="0">
      <protection locked="0"/>
    </xf>
    <xf numFmtId="0" fontId="4" fillId="2" borderId="1" applyNumberFormat="0" applyAlignment="0">
      <protection locked="0"/>
    </xf>
    <xf numFmtId="0" fontId="6" fillId="0" borderId="1" applyNumberFormat="0" applyFill="0" applyAlignment="0" applyProtection="0"/>
    <xf numFmtId="0" fontId="3" fillId="0" borderId="7" applyNumberFormat="0" applyFill="0" applyAlignment="0" applyProtection="0"/>
    <xf numFmtId="0" fontId="4" fillId="5" borderId="0" applyNumberFormat="0" applyBorder="0" applyAlignment="0"/>
    <xf numFmtId="0" fontId="3" fillId="3" borderId="5" applyNumberFormat="0" applyFill="0" applyAlignment="0" applyProtection="0"/>
    <xf numFmtId="167" fontId="4" fillId="3" borderId="0" applyFont="0" applyFill="0" applyBorder="0" applyProtection="0">
      <alignment horizontal="right" vertical="top"/>
    </xf>
    <xf numFmtId="0" fontId="10" fillId="3" borderId="0" applyNumberFormat="0" applyFill="0" applyBorder="0" applyAlignment="0"/>
  </cellStyleXfs>
  <cellXfs count="223">
    <xf numFmtId="170" fontId="0" fillId="3" borderId="0" xfId="0"/>
    <xf numFmtId="167" fontId="2" fillId="7" borderId="6" xfId="7" applyNumberFormat="1" applyAlignment="1">
      <alignment horizontal="right" vertical="top"/>
    </xf>
    <xf numFmtId="170" fontId="3" fillId="3" borderId="0" xfId="0" applyFont="1"/>
    <xf numFmtId="170" fontId="0" fillId="3" borderId="0" xfId="0" quotePrefix="1"/>
    <xf numFmtId="0" fontId="6" fillId="3" borderId="1" xfId="10" applyFill="1"/>
    <xf numFmtId="170" fontId="0" fillId="3" borderId="10" xfId="0" applyBorder="1" applyAlignment="1"/>
    <xf numFmtId="0" fontId="7" fillId="3" borderId="1" xfId="4" applyFill="1"/>
    <xf numFmtId="170" fontId="0" fillId="3" borderId="0" xfId="0" applyAlignment="1">
      <alignment horizontal="right"/>
    </xf>
    <xf numFmtId="0" fontId="2" fillId="7" borderId="6" xfId="7"/>
    <xf numFmtId="0" fontId="2" fillId="7" borderId="6" xfId="7" applyAlignment="1">
      <alignment horizontal="right"/>
    </xf>
    <xf numFmtId="0" fontId="9" fillId="3" borderId="1" xfId="6" applyFill="1" applyAlignment="1">
      <alignment horizontal="left"/>
    </xf>
    <xf numFmtId="0" fontId="4" fillId="2" borderId="1" xfId="9" applyAlignment="1">
      <alignment horizontal="right"/>
      <protection locked="0"/>
    </xf>
    <xf numFmtId="167" fontId="4" fillId="2" borderId="1" xfId="14" applyFill="1" applyBorder="1" applyProtection="1">
      <alignment horizontal="right" vertical="top"/>
      <protection locked="0"/>
    </xf>
    <xf numFmtId="167" fontId="0" fillId="3" borderId="0" xfId="0" applyNumberFormat="1"/>
    <xf numFmtId="170" fontId="0" fillId="3" borderId="0" xfId="0" applyAlignment="1">
      <alignment horizontal="left" indent="1"/>
    </xf>
    <xf numFmtId="0" fontId="4" fillId="2" borderId="1" xfId="14" applyNumberFormat="1" applyFill="1" applyBorder="1" applyProtection="1">
      <alignment horizontal="right" vertical="top"/>
      <protection locked="0"/>
    </xf>
    <xf numFmtId="170" fontId="0" fillId="3" borderId="1" xfId="0" applyBorder="1" applyAlignment="1">
      <alignment horizontal="right"/>
    </xf>
    <xf numFmtId="0" fontId="4" fillId="2" borderId="1" xfId="9">
      <protection locked="0"/>
    </xf>
    <xf numFmtId="170" fontId="3" fillId="3" borderId="0" xfId="0" applyFont="1" applyAlignment="1">
      <alignment horizontal="right"/>
    </xf>
    <xf numFmtId="0" fontId="2" fillId="7" borderId="13" xfId="7" applyBorder="1" applyAlignment="1">
      <alignment horizontal="right"/>
    </xf>
    <xf numFmtId="0" fontId="3" fillId="5" borderId="0" xfId="12" applyFont="1" applyBorder="1" applyAlignment="1">
      <alignment horizontal="right"/>
    </xf>
    <xf numFmtId="167" fontId="3" fillId="5" borderId="0" xfId="14" applyFont="1" applyFill="1" applyBorder="1">
      <alignment horizontal="right" vertical="top"/>
    </xf>
    <xf numFmtId="167" fontId="2" fillId="7" borderId="13" xfId="14" applyFont="1" applyFill="1" applyBorder="1">
      <alignment horizontal="right" vertical="top"/>
    </xf>
    <xf numFmtId="0" fontId="5" fillId="4" borderId="1" xfId="8" applyNumberFormat="1" applyAlignment="1" applyProtection="1">
      <alignment horizontal="right" vertical="top"/>
    </xf>
    <xf numFmtId="0" fontId="5" fillId="4" borderId="1" xfId="8" applyProtection="1"/>
    <xf numFmtId="167" fontId="2" fillId="7" borderId="0" xfId="14" applyFont="1" applyFill="1" applyBorder="1">
      <alignment horizontal="right" vertical="top"/>
    </xf>
    <xf numFmtId="170" fontId="0" fillId="3" borderId="0" xfId="0" applyBorder="1" applyAlignment="1">
      <alignment horizontal="left" indent="1"/>
    </xf>
    <xf numFmtId="170" fontId="3" fillId="3" borderId="0" xfId="0" applyFont="1" applyBorder="1" applyAlignment="1">
      <alignment horizontal="left"/>
    </xf>
    <xf numFmtId="170" fontId="3" fillId="3" borderId="0" xfId="0" applyFont="1" applyBorder="1" applyAlignment="1">
      <alignment horizontal="right"/>
    </xf>
    <xf numFmtId="167" fontId="5" fillId="4" borderId="14" xfId="8" applyNumberFormat="1" applyBorder="1" applyAlignment="1" applyProtection="1">
      <alignment horizontal="right" vertical="top"/>
    </xf>
    <xf numFmtId="40" fontId="0" fillId="3" borderId="0" xfId="1" applyFont="1" applyFill="1" applyBorder="1">
      <alignment horizontal="right" vertical="top"/>
    </xf>
    <xf numFmtId="170" fontId="0" fillId="3" borderId="4" xfId="0" applyBorder="1" applyAlignment="1"/>
    <xf numFmtId="38" fontId="0" fillId="3" borderId="1" xfId="0" applyNumberFormat="1" applyBorder="1" applyAlignment="1">
      <alignment horizontal="right" vertical="top"/>
    </xf>
    <xf numFmtId="168" fontId="0" fillId="3" borderId="1" xfId="0" applyNumberFormat="1" applyBorder="1" applyAlignment="1">
      <alignment horizontal="right" vertical="top"/>
    </xf>
    <xf numFmtId="167" fontId="0" fillId="3" borderId="0" xfId="14" applyFont="1">
      <alignment horizontal="right" vertical="top"/>
    </xf>
    <xf numFmtId="169" fontId="5" fillId="4" borderId="1" xfId="8" applyNumberFormat="1" applyProtection="1"/>
    <xf numFmtId="38" fontId="0" fillId="3" borderId="0" xfId="0" applyNumberFormat="1" applyBorder="1" applyAlignment="1">
      <alignment horizontal="right" vertical="top"/>
    </xf>
    <xf numFmtId="168" fontId="0" fillId="3" borderId="0" xfId="0" applyNumberFormat="1" applyBorder="1" applyAlignment="1">
      <alignment horizontal="right" vertical="top"/>
    </xf>
    <xf numFmtId="169" fontId="2" fillId="7" borderId="6" xfId="7" applyNumberFormat="1" applyAlignment="1"/>
    <xf numFmtId="169" fontId="2" fillId="7" borderId="6" xfId="7" applyNumberFormat="1" applyAlignment="1">
      <alignment horizontal="right" wrapText="1"/>
    </xf>
    <xf numFmtId="169" fontId="2" fillId="7" borderId="6" xfId="7" applyNumberFormat="1" applyAlignment="1">
      <alignment horizontal="center"/>
    </xf>
    <xf numFmtId="40" fontId="0" fillId="3" borderId="0" xfId="1" applyFont="1" applyFill="1">
      <alignment horizontal="right" vertical="top"/>
    </xf>
    <xf numFmtId="169" fontId="2" fillId="7" borderId="6" xfId="7" applyNumberFormat="1"/>
    <xf numFmtId="169" fontId="3" fillId="5" borderId="0" xfId="12" applyNumberFormat="1" applyFont="1"/>
    <xf numFmtId="167" fontId="3" fillId="5" borderId="0" xfId="12" applyNumberFormat="1" applyFont="1" applyAlignment="1">
      <alignment horizontal="right" vertical="top"/>
    </xf>
    <xf numFmtId="0" fontId="6" fillId="3" borderId="15" xfId="10" applyFill="1" applyBorder="1" applyAlignment="1">
      <alignment horizontal="left"/>
    </xf>
    <xf numFmtId="0" fontId="9" fillId="3" borderId="16" xfId="6" applyFill="1" applyBorder="1" applyAlignment="1"/>
    <xf numFmtId="169" fontId="5" fillId="4" borderId="1" xfId="8" applyNumberFormat="1" applyAlignment="1" applyProtection="1">
      <alignment horizontal="right" vertical="top"/>
    </xf>
    <xf numFmtId="169" fontId="2" fillId="7" borderId="13" xfId="7" applyNumberFormat="1" applyBorder="1" applyAlignment="1">
      <alignment horizontal="right"/>
    </xf>
    <xf numFmtId="167" fontId="2" fillId="7" borderId="13" xfId="7" applyNumberFormat="1" applyBorder="1" applyAlignment="1">
      <alignment horizontal="right" vertical="top"/>
    </xf>
    <xf numFmtId="170" fontId="3" fillId="3" borderId="0" xfId="0" applyFont="1" applyBorder="1"/>
    <xf numFmtId="170" fontId="3" fillId="3" borderId="0" xfId="13" applyNumberFormat="1" applyBorder="1" applyAlignment="1">
      <alignment horizontal="right"/>
    </xf>
    <xf numFmtId="170" fontId="3" fillId="3" borderId="0" xfId="13" applyNumberFormat="1" applyBorder="1"/>
    <xf numFmtId="170" fontId="2" fillId="7" borderId="6" xfId="7" applyNumberFormat="1" applyAlignment="1">
      <alignment horizontal="right"/>
    </xf>
    <xf numFmtId="170" fontId="2" fillId="7" borderId="6" xfId="7" applyNumberFormat="1"/>
    <xf numFmtId="170" fontId="5" fillId="4" borderId="1" xfId="8" applyNumberFormat="1" applyProtection="1"/>
    <xf numFmtId="167" fontId="4" fillId="2" borderId="1" xfId="9" applyNumberFormat="1">
      <protection locked="0"/>
    </xf>
    <xf numFmtId="38" fontId="4" fillId="2" borderId="1" xfId="9" applyNumberFormat="1" applyAlignment="1">
      <alignment horizontal="right" vertical="top"/>
      <protection locked="0"/>
    </xf>
    <xf numFmtId="167" fontId="3" fillId="5" borderId="0" xfId="12" applyNumberFormat="1" applyFont="1" applyBorder="1" applyAlignment="1">
      <alignment horizontal="right" vertical="top"/>
    </xf>
    <xf numFmtId="169" fontId="2" fillId="7" borderId="6" xfId="7" applyNumberFormat="1" applyAlignment="1">
      <alignment horizontal="right"/>
    </xf>
    <xf numFmtId="170" fontId="3" fillId="3" borderId="5" xfId="13" applyNumberFormat="1"/>
    <xf numFmtId="0" fontId="0" fillId="3" borderId="0" xfId="0" applyNumberFormat="1"/>
    <xf numFmtId="0" fontId="4" fillId="3" borderId="0" xfId="0" applyNumberFormat="1" applyFont="1" applyAlignment="1">
      <alignment horizontal="right" vertical="top"/>
    </xf>
    <xf numFmtId="167" fontId="3" fillId="5" borderId="0" xfId="12" applyNumberFormat="1" applyFont="1" applyBorder="1" applyAlignment="1">
      <alignment horizontal="right"/>
    </xf>
    <xf numFmtId="170" fontId="3" fillId="3" borderId="7" xfId="11" applyNumberFormat="1" applyFill="1"/>
    <xf numFmtId="170" fontId="0" fillId="3" borderId="8" xfId="0" applyBorder="1"/>
    <xf numFmtId="170" fontId="0" fillId="3" borderId="9" xfId="0" applyBorder="1"/>
    <xf numFmtId="170" fontId="0" fillId="3" borderId="0" xfId="0" applyBorder="1"/>
    <xf numFmtId="0" fontId="2" fillId="7" borderId="0" xfId="7" applyBorder="1" applyAlignment="1">
      <alignment horizontal="left"/>
    </xf>
    <xf numFmtId="0" fontId="2" fillId="7" borderId="0" xfId="7" applyBorder="1"/>
    <xf numFmtId="38" fontId="0" fillId="3" borderId="10" xfId="0" applyNumberFormat="1" applyBorder="1" applyAlignment="1">
      <alignment horizontal="right" vertical="top"/>
    </xf>
    <xf numFmtId="38" fontId="0" fillId="3" borderId="18" xfId="0" applyNumberFormat="1" applyBorder="1" applyAlignment="1">
      <alignment horizontal="right" vertical="top"/>
    </xf>
    <xf numFmtId="10" fontId="0" fillId="3" borderId="18" xfId="0" applyNumberFormat="1" applyBorder="1"/>
    <xf numFmtId="170" fontId="0" fillId="3" borderId="18" xfId="0" applyBorder="1"/>
    <xf numFmtId="167" fontId="0" fillId="3" borderId="18" xfId="0" applyNumberFormat="1" applyBorder="1" applyAlignment="1">
      <alignment horizontal="right" vertical="top"/>
    </xf>
    <xf numFmtId="170" fontId="0" fillId="3" borderId="0" xfId="0" applyAlignment="1">
      <alignment horizontal="left"/>
    </xf>
    <xf numFmtId="40" fontId="0" fillId="3" borderId="0" xfId="1" applyFont="1" applyFill="1" applyAlignment="1">
      <alignment horizontal="left" vertical="top"/>
    </xf>
    <xf numFmtId="165" fontId="0" fillId="3" borderId="0" xfId="0" applyNumberFormat="1" applyAlignment="1">
      <alignment horizontal="left"/>
    </xf>
    <xf numFmtId="170" fontId="3" fillId="3" borderId="1" xfId="0" applyFont="1" applyBorder="1" applyAlignment="1">
      <alignment horizontal="left"/>
    </xf>
    <xf numFmtId="170" fontId="0" fillId="3" borderId="0" xfId="0" applyAlignment="1">
      <alignment horizontal="right" vertical="top"/>
    </xf>
    <xf numFmtId="170" fontId="5" fillId="4" borderId="1" xfId="8" applyNumberFormat="1" applyAlignment="1" applyProtection="1">
      <alignment horizontal="right" vertical="top"/>
    </xf>
    <xf numFmtId="170" fontId="0" fillId="3" borderId="9" xfId="0" applyBorder="1" applyAlignment="1">
      <alignment horizontal="right"/>
    </xf>
    <xf numFmtId="38" fontId="0" fillId="3" borderId="10" xfId="0" applyNumberFormat="1" applyBorder="1" applyAlignment="1">
      <alignment horizontal="left" vertical="top"/>
    </xf>
    <xf numFmtId="169" fontId="2" fillId="7" borderId="13" xfId="7" applyNumberFormat="1" applyBorder="1"/>
    <xf numFmtId="169" fontId="2" fillId="7" borderId="0" xfId="7" applyNumberFormat="1" applyBorder="1" applyAlignment="1">
      <alignment horizontal="right"/>
    </xf>
    <xf numFmtId="170" fontId="0" fillId="3" borderId="1" xfId="0" applyBorder="1"/>
    <xf numFmtId="170" fontId="0" fillId="3" borderId="0" xfId="0" applyAlignment="1">
      <alignment wrapText="1"/>
    </xf>
    <xf numFmtId="170" fontId="0" fillId="3" borderId="0" xfId="0" applyAlignment="1">
      <alignment horizontal="right" wrapText="1"/>
    </xf>
    <xf numFmtId="38" fontId="0" fillId="3" borderId="0" xfId="1" applyNumberFormat="1" applyFont="1" applyFill="1">
      <alignment horizontal="right" vertical="top"/>
    </xf>
    <xf numFmtId="167" fontId="0" fillId="3" borderId="0" xfId="1" applyNumberFormat="1" applyFont="1" applyFill="1">
      <alignment horizontal="right" vertical="top"/>
    </xf>
    <xf numFmtId="38" fontId="0" fillId="3" borderId="0" xfId="1" applyNumberFormat="1" applyFont="1" applyFill="1" applyBorder="1">
      <alignment horizontal="right" vertical="top"/>
    </xf>
    <xf numFmtId="166" fontId="0" fillId="3" borderId="0" xfId="3" applyFont="1" applyFill="1">
      <alignment horizontal="right" vertical="top"/>
    </xf>
    <xf numFmtId="170" fontId="2" fillId="7" borderId="0" xfId="7" applyNumberFormat="1" applyBorder="1"/>
    <xf numFmtId="170" fontId="2" fillId="7" borderId="0" xfId="7" applyNumberFormat="1" applyBorder="1" applyAlignment="1">
      <alignment horizontal="right"/>
    </xf>
    <xf numFmtId="166" fontId="5" fillId="4" borderId="1" xfId="8" applyNumberFormat="1" applyAlignment="1" applyProtection="1">
      <alignment horizontal="right" vertical="top"/>
    </xf>
    <xf numFmtId="170" fontId="0" fillId="3" borderId="1" xfId="0" applyBorder="1" applyAlignment="1">
      <alignment horizontal="right" vertical="top"/>
    </xf>
    <xf numFmtId="170" fontId="3" fillId="3" borderId="0" xfId="11" applyNumberFormat="1" applyFill="1" applyBorder="1"/>
    <xf numFmtId="170" fontId="12" fillId="4" borderId="19" xfId="8" applyNumberFormat="1" applyFont="1" applyBorder="1" applyProtection="1"/>
    <xf numFmtId="0" fontId="3" fillId="3" borderId="5" xfId="13" applyNumberFormat="1"/>
    <xf numFmtId="0" fontId="3" fillId="3" borderId="5" xfId="13" applyNumberFormat="1" applyAlignment="1">
      <alignment horizontal="right" vertical="top"/>
    </xf>
    <xf numFmtId="40" fontId="0" fillId="3" borderId="0" xfId="0" applyNumberFormat="1"/>
    <xf numFmtId="38" fontId="0" fillId="3" borderId="0" xfId="0" applyNumberFormat="1"/>
    <xf numFmtId="168" fontId="0" fillId="3" borderId="0" xfId="0" applyNumberFormat="1"/>
    <xf numFmtId="0" fontId="8" fillId="3" borderId="1" xfId="5" applyNumberFormat="1" applyFill="1"/>
    <xf numFmtId="170" fontId="14" fillId="9" borderId="1" xfId="0" applyFont="1" applyFill="1" applyBorder="1"/>
    <xf numFmtId="170" fontId="14" fillId="9" borderId="1" xfId="0" applyFont="1" applyFill="1" applyBorder="1" applyAlignment="1">
      <alignment horizontal="right"/>
    </xf>
    <xf numFmtId="38" fontId="13" fillId="3" borderId="18" xfId="0" applyNumberFormat="1" applyFont="1" applyBorder="1" applyAlignment="1">
      <alignment horizontal="left" vertical="top"/>
    </xf>
    <xf numFmtId="38" fontId="13" fillId="3" borderId="18" xfId="0" applyNumberFormat="1" applyFont="1" applyBorder="1" applyAlignment="1">
      <alignment horizontal="right" vertical="top"/>
    </xf>
    <xf numFmtId="10" fontId="13" fillId="3" borderId="18" xfId="0" applyNumberFormat="1" applyFont="1" applyBorder="1"/>
    <xf numFmtId="170" fontId="13" fillId="3" borderId="18" xfId="0" applyFont="1" applyBorder="1"/>
    <xf numFmtId="167" fontId="13" fillId="3" borderId="18" xfId="0" applyNumberFormat="1" applyFont="1" applyBorder="1" applyAlignment="1">
      <alignment horizontal="right" vertical="top"/>
    </xf>
    <xf numFmtId="38" fontId="13" fillId="8" borderId="18" xfId="0" applyNumberFormat="1" applyFont="1" applyFill="1" applyBorder="1" applyAlignment="1">
      <alignment horizontal="left" vertical="top"/>
    </xf>
    <xf numFmtId="38" fontId="13" fillId="8" borderId="18" xfId="0" applyNumberFormat="1" applyFont="1" applyFill="1" applyBorder="1" applyAlignment="1">
      <alignment horizontal="right" vertical="top"/>
    </xf>
    <xf numFmtId="10" fontId="13" fillId="8" borderId="18" xfId="0" applyNumberFormat="1" applyFont="1" applyFill="1" applyBorder="1"/>
    <xf numFmtId="170" fontId="13" fillId="8" borderId="18" xfId="0" applyFont="1" applyFill="1" applyBorder="1"/>
    <xf numFmtId="167" fontId="13" fillId="8" borderId="18" xfId="0" applyNumberFormat="1" applyFont="1" applyFill="1" applyBorder="1" applyAlignment="1">
      <alignment horizontal="right" vertical="top"/>
    </xf>
    <xf numFmtId="38" fontId="13" fillId="3" borderId="1" xfId="0" applyNumberFormat="1" applyFont="1" applyBorder="1" applyAlignment="1">
      <alignment horizontal="left" vertical="top"/>
    </xf>
    <xf numFmtId="38" fontId="13" fillId="3" borderId="1" xfId="0" applyNumberFormat="1" applyFont="1" applyBorder="1" applyAlignment="1">
      <alignment horizontal="right" vertical="top"/>
    </xf>
    <xf numFmtId="10" fontId="13" fillId="3" borderId="1" xfId="0" applyNumberFormat="1" applyFont="1" applyBorder="1"/>
    <xf numFmtId="170" fontId="13" fillId="3" borderId="1" xfId="0" applyFont="1" applyBorder="1"/>
    <xf numFmtId="167" fontId="13" fillId="3" borderId="1" xfId="0" applyNumberFormat="1" applyFont="1" applyBorder="1" applyAlignment="1">
      <alignment horizontal="right" vertical="top"/>
    </xf>
    <xf numFmtId="0" fontId="2" fillId="7" borderId="6" xfId="7" applyAlignment="1">
      <alignment horizontal="left"/>
    </xf>
    <xf numFmtId="170" fontId="5" fillId="4" borderId="1" xfId="8" applyNumberFormat="1" applyAlignment="1" applyProtection="1">
      <alignment horizontal="left"/>
    </xf>
    <xf numFmtId="170" fontId="3" fillId="5" borderId="0" xfId="12" applyNumberFormat="1" applyFont="1"/>
    <xf numFmtId="167" fontId="4" fillId="2" borderId="1" xfId="9" applyNumberFormat="1" applyAlignment="1">
      <alignment horizontal="right" vertical="top"/>
      <protection locked="0"/>
    </xf>
    <xf numFmtId="170" fontId="4" fillId="2" borderId="1" xfId="9" applyNumberFormat="1">
      <protection locked="0"/>
    </xf>
    <xf numFmtId="170" fontId="10" fillId="3" borderId="0" xfId="15" applyNumberFormat="1" applyAlignment="1"/>
    <xf numFmtId="170" fontId="10" fillId="3" borderId="0" xfId="15" applyNumberFormat="1" applyAlignment="1">
      <alignment horizontal="center"/>
    </xf>
    <xf numFmtId="170" fontId="0" fillId="3" borderId="4" xfId="0" applyBorder="1"/>
    <xf numFmtId="170" fontId="5" fillId="4" borderId="0" xfId="8" applyNumberFormat="1" applyBorder="1" applyProtection="1"/>
    <xf numFmtId="0" fontId="6" fillId="3" borderId="1" xfId="10" applyFill="1" applyAlignment="1"/>
    <xf numFmtId="0" fontId="6" fillId="3" borderId="0" xfId="10" applyFill="1" applyBorder="1" applyAlignment="1"/>
    <xf numFmtId="170" fontId="15" fillId="3" borderId="0" xfId="0" applyFont="1" applyAlignment="1">
      <alignment horizontal="justify" vertical="center"/>
    </xf>
    <xf numFmtId="170" fontId="18" fillId="3" borderId="0" xfId="0" applyFont="1" applyAlignment="1">
      <alignment horizontal="justify" vertical="center"/>
    </xf>
    <xf numFmtId="170" fontId="16" fillId="3" borderId="0" xfId="0" applyFont="1" applyAlignment="1">
      <alignment horizontal="justify" vertical="center"/>
    </xf>
    <xf numFmtId="170" fontId="20" fillId="3" borderId="0" xfId="0" applyFont="1" applyAlignment="1">
      <alignment horizontal="justify" vertical="center"/>
    </xf>
    <xf numFmtId="167" fontId="2" fillId="7" borderId="6" xfId="7" applyNumberFormat="1" applyAlignment="1">
      <alignment horizontal="left" vertical="top"/>
    </xf>
    <xf numFmtId="170" fontId="3" fillId="4" borderId="7" xfId="11" applyNumberFormat="1" applyFill="1" applyProtection="1"/>
    <xf numFmtId="167" fontId="2" fillId="7" borderId="0" xfId="7" applyNumberFormat="1" applyBorder="1" applyAlignment="1">
      <alignment horizontal="right" vertical="top"/>
    </xf>
    <xf numFmtId="170" fontId="0" fillId="3" borderId="7" xfId="0" applyBorder="1"/>
    <xf numFmtId="171" fontId="4" fillId="2" borderId="1" xfId="9" applyNumberFormat="1" applyAlignment="1">
      <alignment horizontal="right" vertical="top"/>
      <protection locked="0"/>
    </xf>
    <xf numFmtId="171" fontId="0" fillId="3" borderId="0" xfId="3" applyNumberFormat="1" applyFont="1" applyFill="1">
      <alignment horizontal="right" vertical="top"/>
    </xf>
    <xf numFmtId="171" fontId="5" fillId="4" borderId="1" xfId="8" applyNumberFormat="1" applyAlignment="1" applyProtection="1">
      <alignment horizontal="right" vertical="top"/>
    </xf>
    <xf numFmtId="0" fontId="2" fillId="7" borderId="2" xfId="7" applyBorder="1"/>
    <xf numFmtId="170" fontId="23" fillId="0" borderId="1" xfId="8" applyNumberFormat="1" applyFont="1" applyFill="1" applyProtection="1"/>
    <xf numFmtId="170" fontId="24" fillId="3" borderId="0" xfId="0" applyFont="1" applyBorder="1"/>
    <xf numFmtId="170" fontId="24" fillId="8" borderId="0" xfId="0" applyFont="1" applyFill="1" applyBorder="1"/>
    <xf numFmtId="167" fontId="24" fillId="8" borderId="0" xfId="0" applyNumberFormat="1" applyFont="1" applyFill="1" applyBorder="1"/>
    <xf numFmtId="167" fontId="24" fillId="3" borderId="0" xfId="0" applyNumberFormat="1" applyFont="1" applyBorder="1"/>
    <xf numFmtId="38" fontId="24" fillId="3" borderId="0" xfId="1" applyNumberFormat="1" applyFont="1" applyFill="1" applyBorder="1">
      <alignment horizontal="right" vertical="top"/>
    </xf>
    <xf numFmtId="167" fontId="24" fillId="3" borderId="0" xfId="1" applyNumberFormat="1" applyFont="1" applyFill="1" applyBorder="1">
      <alignment horizontal="right" vertical="top"/>
    </xf>
    <xf numFmtId="165" fontId="0" fillId="3" borderId="0" xfId="2" applyFont="1" applyFill="1">
      <alignment horizontal="right" vertical="top"/>
    </xf>
    <xf numFmtId="172" fontId="0" fillId="3" borderId="0" xfId="1" applyNumberFormat="1" applyFont="1" applyFill="1">
      <alignment horizontal="right" vertical="top"/>
    </xf>
    <xf numFmtId="0" fontId="2" fillId="0" borderId="0" xfId="0" applyNumberFormat="1" applyFont="1" applyFill="1"/>
    <xf numFmtId="164" fontId="0" fillId="0" borderId="0" xfId="0" applyNumberFormat="1" applyFill="1"/>
    <xf numFmtId="168" fontId="0" fillId="0" borderId="0" xfId="0" applyNumberFormat="1" applyFill="1"/>
    <xf numFmtId="170" fontId="0" fillId="3" borderId="0" xfId="0" applyAlignment="1">
      <alignment vertical="center"/>
    </xf>
    <xf numFmtId="0" fontId="9" fillId="3" borderId="0" xfId="6" applyFill="1" applyBorder="1" applyAlignment="1">
      <alignment horizontal="left" vertical="center"/>
    </xf>
    <xf numFmtId="170" fontId="11" fillId="6" borderId="8" xfId="0" applyFont="1" applyFill="1" applyBorder="1" applyAlignment="1">
      <alignment vertical="center"/>
    </xf>
    <xf numFmtId="170" fontId="11" fillId="6" borderId="9" xfId="0" applyFont="1" applyFill="1" applyBorder="1" applyAlignment="1">
      <alignment vertical="center"/>
    </xf>
    <xf numFmtId="170" fontId="11" fillId="6" borderId="12" xfId="0" applyFont="1" applyFill="1" applyBorder="1" applyAlignment="1">
      <alignment vertical="center"/>
    </xf>
    <xf numFmtId="170" fontId="3" fillId="3" borderId="10" xfId="0" applyFont="1" applyBorder="1" applyAlignment="1">
      <alignment vertical="center"/>
    </xf>
    <xf numFmtId="170" fontId="0" fillId="3" borderId="10" xfId="0" applyBorder="1" applyAlignment="1">
      <alignment vertical="center"/>
    </xf>
    <xf numFmtId="170" fontId="0" fillId="3" borderId="11" xfId="0" quotePrefix="1" applyBorder="1" applyAlignment="1">
      <alignment vertical="center"/>
    </xf>
    <xf numFmtId="170" fontId="0" fillId="3" borderId="0" xfId="0" applyBorder="1" applyAlignment="1">
      <alignment vertical="center"/>
    </xf>
    <xf numFmtId="170" fontId="0" fillId="3" borderId="10" xfId="0" applyBorder="1" applyAlignment="1">
      <alignment horizontal="left" vertical="center"/>
    </xf>
    <xf numFmtId="170" fontId="16" fillId="3" borderId="0" xfId="0" applyFont="1" applyAlignment="1">
      <alignment vertical="center"/>
    </xf>
    <xf numFmtId="170" fontId="27" fillId="3" borderId="0" xfId="0" applyFont="1" applyAlignment="1">
      <alignment vertical="center"/>
    </xf>
    <xf numFmtId="170" fontId="20" fillId="3" borderId="0" xfId="0" applyFont="1" applyAlignment="1">
      <alignment horizontal="justify" vertical="center" wrapText="1"/>
    </xf>
    <xf numFmtId="170" fontId="21" fillId="3" borderId="0" xfId="0" applyFont="1" applyAlignment="1">
      <alignment vertical="center"/>
    </xf>
    <xf numFmtId="170" fontId="22" fillId="3" borderId="0" xfId="0" applyFont="1" applyAlignment="1">
      <alignment horizontal="justify" vertical="center" wrapText="1"/>
    </xf>
    <xf numFmtId="170" fontId="21" fillId="3" borderId="0" xfId="0" applyFont="1" applyAlignment="1">
      <alignment horizontal="justify" vertical="center" wrapText="1"/>
    </xf>
    <xf numFmtId="170" fontId="28" fillId="3" borderId="0" xfId="0" applyFont="1" applyAlignment="1">
      <alignment horizontal="left" vertical="center"/>
    </xf>
    <xf numFmtId="170" fontId="17" fillId="3" borderId="0" xfId="0" applyFont="1" applyAlignment="1">
      <alignment horizontal="left" vertical="center"/>
    </xf>
    <xf numFmtId="170" fontId="26" fillId="3" borderId="1" xfId="10" applyNumberFormat="1" applyFont="1" applyFill="1" applyAlignment="1">
      <alignment horizontal="left" vertical="center" wrapText="1"/>
    </xf>
    <xf numFmtId="170" fontId="20" fillId="3" borderId="15" xfId="0" applyFont="1" applyBorder="1" applyAlignment="1">
      <alignment horizontal="left" vertical="center" wrapText="1"/>
    </xf>
    <xf numFmtId="0" fontId="25" fillId="3" borderId="1" xfId="4" applyFont="1" applyFill="1" applyAlignment="1">
      <alignment vertical="center"/>
    </xf>
    <xf numFmtId="0" fontId="19" fillId="3" borderId="4" xfId="4" applyFont="1" applyFill="1" applyBorder="1" applyAlignment="1">
      <alignment vertical="center"/>
    </xf>
    <xf numFmtId="0" fontId="6" fillId="3" borderId="1" xfId="10" applyFill="1" applyAlignment="1">
      <alignment horizontal="left" vertical="center"/>
    </xf>
    <xf numFmtId="0" fontId="6" fillId="3" borderId="16" xfId="10" applyFill="1" applyBorder="1" applyAlignment="1">
      <alignment horizontal="left" vertical="center"/>
    </xf>
    <xf numFmtId="0" fontId="6" fillId="3" borderId="4" xfId="10" applyFill="1" applyBorder="1" applyAlignment="1">
      <alignment horizontal="left" vertical="center"/>
    </xf>
    <xf numFmtId="0" fontId="9" fillId="3" borderId="1" xfId="6" applyFill="1" applyAlignment="1">
      <alignment horizontal="left" vertical="center"/>
    </xf>
    <xf numFmtId="0" fontId="6" fillId="3" borderId="20" xfId="10" applyFill="1" applyBorder="1" applyAlignment="1">
      <alignment horizontal="left" vertical="center"/>
    </xf>
    <xf numFmtId="0" fontId="29" fillId="3" borderId="1" xfId="4" applyFont="1" applyFill="1" applyAlignment="1">
      <alignment vertical="center"/>
    </xf>
    <xf numFmtId="0" fontId="7" fillId="3" borderId="0" xfId="4" applyFill="1" applyBorder="1" applyAlignment="1">
      <alignment vertical="center"/>
    </xf>
    <xf numFmtId="0" fontId="7" fillId="3" borderId="1" xfId="4" applyFill="1"/>
    <xf numFmtId="0" fontId="6" fillId="3" borderId="1" xfId="10" applyFill="1" applyAlignment="1"/>
    <xf numFmtId="0" fontId="6" fillId="3" borderId="16" xfId="10" applyFill="1" applyBorder="1" applyAlignment="1"/>
    <xf numFmtId="0" fontId="6" fillId="3" borderId="4" xfId="10" applyFill="1" applyBorder="1" applyAlignment="1"/>
    <xf numFmtId="170" fontId="9" fillId="3" borderId="3" xfId="6" applyNumberFormat="1" applyFill="1" applyBorder="1"/>
    <xf numFmtId="170" fontId="9" fillId="3" borderId="4" xfId="6" applyNumberFormat="1" applyFill="1" applyBorder="1"/>
    <xf numFmtId="0" fontId="6" fillId="3" borderId="0" xfId="10" applyFill="1" applyBorder="1" applyAlignment="1"/>
    <xf numFmtId="0" fontId="9" fillId="3" borderId="1" xfId="6" applyFill="1" applyAlignment="1"/>
    <xf numFmtId="0" fontId="9" fillId="3" borderId="16" xfId="6" applyFill="1" applyBorder="1" applyAlignment="1"/>
    <xf numFmtId="0" fontId="6" fillId="3" borderId="1" xfId="10" applyFill="1" applyAlignment="1">
      <alignment horizontal="left"/>
    </xf>
    <xf numFmtId="0" fontId="6" fillId="3" borderId="16" xfId="10" applyFill="1" applyBorder="1" applyAlignment="1">
      <alignment horizontal="left"/>
    </xf>
    <xf numFmtId="0" fontId="6" fillId="3" borderId="4" xfId="10" applyFill="1" applyBorder="1" applyAlignment="1">
      <alignment horizontal="left"/>
    </xf>
    <xf numFmtId="0" fontId="9" fillId="3" borderId="1" xfId="6" applyFill="1" applyAlignment="1">
      <alignment horizontal="left"/>
    </xf>
    <xf numFmtId="0" fontId="9" fillId="3" borderId="16" xfId="6" applyFill="1" applyBorder="1" applyAlignment="1">
      <alignment horizontal="left"/>
    </xf>
    <xf numFmtId="0" fontId="9" fillId="3" borderId="4" xfId="6" applyFill="1" applyBorder="1" applyAlignment="1">
      <alignment horizontal="left"/>
    </xf>
    <xf numFmtId="170" fontId="9" fillId="3" borderId="1" xfId="6" applyNumberFormat="1" applyFill="1" applyAlignment="1"/>
    <xf numFmtId="170" fontId="0" fillId="3" borderId="0" xfId="0" applyAlignment="1"/>
    <xf numFmtId="170" fontId="6" fillId="3" borderId="1" xfId="10" applyNumberFormat="1" applyFill="1" applyAlignment="1"/>
    <xf numFmtId="170" fontId="9" fillId="3" borderId="1" xfId="6" applyNumberFormat="1" applyFill="1"/>
    <xf numFmtId="170" fontId="9" fillId="3" borderId="0" xfId="6" applyNumberFormat="1" applyFill="1" applyBorder="1" applyAlignment="1"/>
    <xf numFmtId="170" fontId="9" fillId="3" borderId="16" xfId="6" applyNumberFormat="1" applyFill="1" applyBorder="1" applyAlignment="1"/>
    <xf numFmtId="170" fontId="9" fillId="3" borderId="4" xfId="6" applyNumberFormat="1" applyFill="1" applyBorder="1" applyAlignment="1"/>
    <xf numFmtId="170" fontId="0" fillId="3" borderId="15" xfId="0" applyBorder="1" applyAlignment="1"/>
    <xf numFmtId="170" fontId="9" fillId="3" borderId="16" xfId="6" applyNumberFormat="1" applyFill="1" applyBorder="1"/>
    <xf numFmtId="170" fontId="9" fillId="3" borderId="17" xfId="6" applyNumberFormat="1" applyFill="1" applyBorder="1"/>
    <xf numFmtId="170" fontId="9" fillId="3" borderId="0" xfId="6" applyNumberFormat="1" applyFill="1" applyBorder="1"/>
    <xf numFmtId="0" fontId="6" fillId="3" borderId="1" xfId="10" applyFill="1"/>
    <xf numFmtId="0" fontId="10" fillId="3" borderId="0" xfId="15" applyFill="1" applyBorder="1"/>
    <xf numFmtId="170" fontId="6" fillId="5" borderId="1" xfId="10" applyNumberFormat="1" applyFill="1" applyAlignment="1">
      <alignment horizontal="center"/>
    </xf>
    <xf numFmtId="170" fontId="3" fillId="5" borderId="15" xfId="12" applyNumberFormat="1" applyFont="1" applyBorder="1" applyAlignment="1">
      <alignment horizontal="center"/>
    </xf>
    <xf numFmtId="0" fontId="10" fillId="3" borderId="16" xfId="15" applyFill="1" applyBorder="1" applyAlignment="1"/>
    <xf numFmtId="0" fontId="10" fillId="3" borderId="4" xfId="15" applyFill="1" applyBorder="1" applyAlignment="1"/>
    <xf numFmtId="0" fontId="9" fillId="3" borderId="4" xfId="6" applyFill="1" applyBorder="1" applyAlignment="1"/>
    <xf numFmtId="170" fontId="10" fillId="3" borderId="0" xfId="15" applyNumberFormat="1" applyAlignment="1">
      <alignment horizontal="left"/>
    </xf>
    <xf numFmtId="170" fontId="3" fillId="3" borderId="0" xfId="0" applyFont="1" applyAlignment="1">
      <alignment horizontal="center"/>
    </xf>
    <xf numFmtId="170" fontId="10" fillId="3" borderId="0" xfId="15" applyNumberFormat="1" applyAlignment="1">
      <alignment horizontal="center"/>
    </xf>
    <xf numFmtId="170" fontId="0" fillId="3" borderId="0" xfId="0"/>
    <xf numFmtId="0" fontId="6" fillId="3" borderId="1" xfId="10" applyNumberFormat="1" applyFill="1"/>
  </cellXfs>
  <cellStyles count="16">
    <cellStyle name="20% - Accent3" xfId="12" builtinId="38" customBuiltin="1"/>
    <cellStyle name="Comma" xfId="1" builtinId="3" customBuiltin="1"/>
    <cellStyle name="Currency" xfId="2" builtinId="4" customBuiltin="1"/>
    <cellStyle name="Date" xfId="14" xr:uid="{C72C3396-F861-493F-A49C-3DC9BC911B67}"/>
    <cellStyle name="Explanatory Text" xfId="10" builtinId="53" customBuiltin="1"/>
    <cellStyle name="Good" xfId="8" builtinId="26" customBuiltin="1"/>
    <cellStyle name="Heading 1" xfId="5" builtinId="16" customBuiltin="1"/>
    <cellStyle name="Heading 2" xfId="6" builtinId="17" customBuiltin="1"/>
    <cellStyle name="Heading 4" xfId="7" builtinId="19" customBuiltin="1"/>
    <cellStyle name="Hyperlink" xfId="15" builtinId="8" customBuiltin="1"/>
    <cellStyle name="Input" xfId="9" builtinId="20" customBuiltin="1"/>
    <cellStyle name="Normal" xfId="0" builtinId="0" customBuiltin="1"/>
    <cellStyle name="Percent" xfId="3" builtinId="5" customBuiltin="1"/>
    <cellStyle name="Subtotal" xfId="13" xr:uid="{1289E415-E420-43E7-8197-31B5EA30D3F5}"/>
    <cellStyle name="Title" xfId="4" builtinId="15" customBuiltin="1"/>
    <cellStyle name="Total" xfId="11" builtinId="25" customBuiltin="1"/>
  </cellStyles>
  <dxfs count="147">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ont>
        <b/>
        <i val="0"/>
      </font>
      <border>
        <left/>
        <right/>
        <top style="thin">
          <color auto="1"/>
        </top>
        <bottom/>
        <vertical/>
        <horizontal/>
      </border>
    </dxf>
    <dxf>
      <fill>
        <patternFill>
          <fgColor indexed="64"/>
          <bgColor theme="8" tint="0.87997070223090301"/>
        </patternFill>
      </fill>
    </dxf>
    <dxf>
      <fill>
        <patternFill>
          <fgColor indexed="64"/>
          <bgColor theme="8" tint="0.89999084444715716"/>
        </patternFill>
      </fill>
    </dxf>
    <dxf>
      <font>
        <b/>
        <i val="0"/>
        <strike val="0"/>
        <u val="none"/>
        <color rgb="FF000000"/>
        <name val="Aptos"/>
        <scheme val="minor"/>
      </font>
      <numFmt numFmtId="167" formatCode="d\-mmm\-yyyy"/>
      <fill>
        <patternFill patternType="solid">
          <fgColor rgb="FF000000"/>
          <bgColor rgb="FFFFFFF0"/>
        </patternFill>
      </fill>
      <border>
        <left/>
        <right/>
        <top/>
        <bottom style="thin">
          <color rgb="FF000000"/>
        </bottom>
      </border>
    </dxf>
    <dxf>
      <font>
        <b/>
        <i val="0"/>
        <strike val="0"/>
        <u val="none"/>
        <color rgb="FF990024"/>
        <name val="Aptos"/>
        <scheme val="minor"/>
      </font>
      <numFmt numFmtId="167" formatCode="d\-mmm\-yyyy"/>
      <fill>
        <patternFill patternType="solid">
          <fgColor rgb="FF000000"/>
          <bgColor rgb="FFFFFFF0"/>
        </patternFill>
      </fill>
      <border>
        <left/>
        <right/>
        <top/>
        <bottom style="thin">
          <color rgb="FF000000"/>
        </bottom>
      </border>
    </dxf>
    <dxf>
      <font>
        <b/>
        <i val="0"/>
        <strike val="0"/>
        <u val="none"/>
        <color rgb="FF000000"/>
        <name val="Aptos"/>
        <scheme val="minor"/>
      </font>
      <numFmt numFmtId="167" formatCode="d\-mmm\-yyyy"/>
      <fill>
        <patternFill patternType="solid">
          <fgColor rgb="FF000000"/>
          <bgColor rgb="FFFFFFF0"/>
        </patternFill>
      </fill>
      <border>
        <left/>
        <right/>
        <top/>
        <bottom/>
      </border>
    </dxf>
    <dxf>
      <font>
        <b/>
        <i val="0"/>
        <strike val="0"/>
        <u val="none"/>
        <color rgb="FF990024"/>
        <name val="Aptos"/>
        <scheme val="minor"/>
      </font>
      <numFmt numFmtId="167" formatCode="d\-mmm\-yyyy"/>
      <fill>
        <patternFill patternType="solid">
          <fgColor rgb="FF000000"/>
          <bgColor rgb="FFFFFFF0"/>
        </patternFill>
      </fill>
      <border>
        <left/>
        <right/>
        <top/>
        <bottom/>
      </border>
    </dxf>
    <dxf>
      <font>
        <b/>
        <i val="0"/>
        <strike val="0"/>
        <u val="none"/>
        <color rgb="FF000000"/>
        <name val="Aptos"/>
        <scheme val="minor"/>
      </font>
      <numFmt numFmtId="167" formatCode="d\-mmm\-yyyy"/>
      <fill>
        <patternFill patternType="solid">
          <fgColor rgb="FF000000"/>
          <bgColor rgb="FFFFFFF0"/>
        </patternFill>
      </fill>
      <border>
        <left/>
        <right/>
        <top/>
        <bottom style="thin">
          <color rgb="FF000000"/>
        </bottom>
      </border>
    </dxf>
    <dxf>
      <font>
        <b/>
        <i val="0"/>
        <strike val="0"/>
        <u val="none"/>
        <color rgb="FF990024"/>
        <name val="Aptos"/>
        <scheme val="minor"/>
      </font>
      <numFmt numFmtId="167" formatCode="d\-mmm\-yyyy"/>
      <fill>
        <patternFill patternType="solid">
          <fgColor rgb="FF000000"/>
          <bgColor rgb="FFFFFFF0"/>
        </patternFill>
      </fill>
      <border>
        <left/>
        <right/>
        <top/>
        <bottom style="thin">
          <color rgb="FF000000"/>
        </bottom>
      </border>
    </dxf>
    <dxf>
      <font>
        <b/>
        <i val="0"/>
        <strike val="0"/>
        <u val="none"/>
        <color rgb="FF000000"/>
        <name val="Aptos"/>
        <scheme val="minor"/>
      </font>
      <numFmt numFmtId="167" formatCode="d\-mmm\-yyyy"/>
      <fill>
        <patternFill patternType="solid">
          <fgColor rgb="FF000000"/>
          <bgColor rgb="FFFFFFF0"/>
        </patternFill>
      </fill>
      <border>
        <left/>
        <right/>
        <top/>
        <bottom/>
      </border>
    </dxf>
    <dxf>
      <font>
        <b/>
        <i val="0"/>
        <strike val="0"/>
        <u val="none"/>
        <color rgb="FF990024"/>
        <name val="Aptos"/>
        <scheme val="minor"/>
      </font>
      <numFmt numFmtId="167" formatCode="d\-mmm\-yyyy"/>
      <fill>
        <patternFill patternType="solid">
          <fgColor rgb="FF000000"/>
          <bgColor rgb="FFFFFFF0"/>
        </patternFill>
      </fill>
      <border>
        <left/>
        <right/>
        <top/>
        <bottom/>
      </border>
    </dxf>
    <dxf>
      <font>
        <color rgb="FF990024"/>
      </font>
      <fill>
        <patternFill>
          <bgColor rgb="FFF0D9DE"/>
        </patternFill>
      </fill>
    </dxf>
    <dxf>
      <font>
        <b val="0"/>
        <i val="0"/>
        <strike val="0"/>
        <condense val="0"/>
        <extend val="0"/>
        <outline val="0"/>
        <shadow val="0"/>
        <u val="none"/>
        <vertAlign val="baseline"/>
        <sz val="11"/>
        <color rgb="FF000000"/>
        <name val="Aptos"/>
        <family val="2"/>
        <scheme val="minor"/>
      </font>
    </dxf>
    <dxf>
      <alignment horizontal="left" vertical="bottom" textRotation="0" wrapText="0" indent="1" justifyLastLine="0" shrinkToFit="0" readingOrder="0"/>
    </dxf>
    <dxf>
      <numFmt numFmtId="14" formatCode="0.00%"/>
      <border diagonalUp="0" diagonalDown="0">
        <left style="thin">
          <color rgb="FFFFFFFF"/>
        </left>
        <right style="thin">
          <color rgb="FFFFFFFF"/>
        </right>
        <top style="thin">
          <color rgb="FFFFFFFF"/>
        </top>
        <bottom/>
        <vertical/>
        <horizontal/>
      </border>
    </dxf>
    <dxf>
      <numFmt numFmtId="167"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3" formatCode="#,##0_);[Red]\(#,##0\)"/>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numFmt numFmtId="173" formatCode="#,##0_);[Red]\(#,##0\)"/>
      <alignment horizontal="right" vertical="top" textRotation="0" wrapText="0" indent="0" justifyLastLine="0" shrinkToFit="0" readingOrder="0"/>
      <border diagonalUp="0" diagonalDown="0">
        <left/>
        <right style="thin">
          <color rgb="FFFFFFFF"/>
        </right>
        <top style="thin">
          <color rgb="FFFFFFFF"/>
        </top>
        <bottom/>
        <vertical/>
        <horizontal/>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numFmt numFmtId="174" formatCode="d/m/yyyy"/>
    </dxf>
    <dxf>
      <font>
        <color rgb="FF000000"/>
      </font>
      <numFmt numFmtId="173" formatCode="#,##0_);[Red]\(#,##0\)"/>
      <fill>
        <patternFill patternType="solid">
          <fgColor rgb="FF000000"/>
          <bgColor indexed="9"/>
        </patternFill>
      </fill>
    </dxf>
    <dxf>
      <numFmt numFmtId="174" formatCode="d/m/yyyy"/>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color rgb="FF000000"/>
      </font>
      <numFmt numFmtId="174" formatCode="d/m/yyyy"/>
      <fill>
        <patternFill patternType="solid">
          <fgColor rgb="FF000000"/>
          <bgColor indexed="9"/>
        </patternFill>
      </fill>
    </dxf>
    <dxf>
      <font>
        <color rgb="FF000000"/>
      </font>
      <numFmt numFmtId="173" formatCode="#,##0_);[Red]\(#,##0\)"/>
      <fill>
        <patternFill patternType="solid">
          <fgColor rgb="FF000000"/>
          <bgColor indexed="9"/>
        </patternFill>
      </fill>
    </dxf>
    <dxf>
      <alignment vertical="bottom" textRotation="0" wrapText="1" indent="0" justifyLastLine="0" shrinkToFit="0" readingOrder="0"/>
    </dxf>
    <dxf>
      <numFmt numFmtId="174" formatCode="d/m/yyyy"/>
    </dxf>
    <dxf>
      <font>
        <color rgb="FF000000"/>
      </font>
      <numFmt numFmtId="173" formatCode="#,##0_);[Red]\(#,##0\)"/>
      <fill>
        <patternFill patternType="solid">
          <fgColor rgb="FF000000"/>
          <bgColor indexed="9"/>
        </patternFill>
      </fill>
    </dxf>
    <dxf>
      <numFmt numFmtId="174" formatCode="d/m/yyyy"/>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color rgb="FF000000"/>
      </font>
      <numFmt numFmtId="174" formatCode="d/m/yyyy"/>
      <fill>
        <patternFill patternType="solid">
          <fgColor rgb="FF000000"/>
          <bgColor indexed="9"/>
        </patternFill>
      </fill>
    </dxf>
    <dxf>
      <font>
        <color rgb="FF000000"/>
      </font>
      <numFmt numFmtId="173" formatCode="#,##0_);[Red]\(#,##0\)"/>
      <fill>
        <patternFill patternType="solid">
          <fgColor rgb="FF000000"/>
          <bgColor indexed="9"/>
        </patternFill>
      </fill>
    </dxf>
    <dxf>
      <alignment vertical="bottom" textRotation="0" wrapText="1" indent="0" justifyLastLine="0" shrinkToFit="0" readingOrder="0"/>
    </dxf>
    <dxf>
      <numFmt numFmtId="174" formatCode="d/m/yyyy"/>
    </dxf>
    <dxf>
      <font>
        <color rgb="FF000000"/>
      </font>
      <numFmt numFmtId="173" formatCode="#,##0_);[Red]\(#,##0\)"/>
      <fill>
        <patternFill patternType="solid">
          <fgColor rgb="FF000000"/>
          <bgColor indexed="9"/>
        </patternFill>
      </fill>
    </dxf>
    <dxf>
      <numFmt numFmtId="174" formatCode="d/m/yyyy"/>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color rgb="FF000000"/>
      </font>
      <numFmt numFmtId="174" formatCode="d/m/yyyy"/>
      <fill>
        <patternFill patternType="solid">
          <fgColor rgb="FF000000"/>
          <bgColor indexed="9"/>
        </patternFill>
      </fill>
    </dxf>
    <dxf>
      <font>
        <color rgb="FF000000"/>
      </font>
      <numFmt numFmtId="173" formatCode="#,##0_);[Red]\(#,##0\)"/>
      <fill>
        <patternFill patternType="solid">
          <fgColor rgb="FF000000"/>
          <bgColor indexed="9"/>
        </patternFill>
      </fill>
    </dxf>
    <dxf>
      <alignment vertical="bottom" textRotation="0" wrapText="1" indent="0" justifyLastLine="0" shrinkToFit="0" readingOrder="0"/>
    </dxf>
    <dxf>
      <numFmt numFmtId="174" formatCode="d/m/yyyy"/>
    </dxf>
    <dxf>
      <font>
        <color rgb="FF000000"/>
      </font>
      <numFmt numFmtId="173" formatCode="#,##0_);[Red]\(#,##0\)"/>
      <fill>
        <patternFill patternType="solid">
          <fgColor rgb="FF000000"/>
          <bgColor indexed="9"/>
        </patternFill>
      </fill>
    </dxf>
    <dxf>
      <numFmt numFmtId="174" formatCode="d/m/yyyy"/>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b val="0"/>
        <i val="0"/>
        <strike val="0"/>
        <condense val="0"/>
        <extend val="0"/>
        <outline val="0"/>
        <shadow val="0"/>
        <u val="none"/>
        <vertAlign val="baseline"/>
        <sz val="11"/>
        <color rgb="FF000000"/>
        <name val="Aptos"/>
        <family val="2"/>
        <scheme val="minor"/>
      </font>
      <numFmt numFmtId="173" formatCode="#,##0_);[Red]\(#,##0\)"/>
      <fill>
        <patternFill patternType="solid">
          <fgColor rgb="FF000000"/>
          <bgColor indexed="9"/>
        </patternFill>
      </fill>
    </dxf>
    <dxf>
      <font>
        <color rgb="FF000000"/>
      </font>
      <numFmt numFmtId="174" formatCode="d/m/yyyy"/>
      <fill>
        <patternFill patternType="solid">
          <fgColor rgb="FF000000"/>
          <bgColor indexed="9"/>
        </patternFill>
      </fill>
    </dxf>
    <dxf>
      <font>
        <color rgb="FF000000"/>
      </font>
      <numFmt numFmtId="173" formatCode="#,##0_);[Red]\(#,##0\)"/>
      <fill>
        <patternFill patternType="solid">
          <fgColor rgb="FF000000"/>
          <bgColor indexed="9"/>
        </patternFill>
      </fill>
    </dxf>
    <dxf>
      <alignment vertical="bottom" textRotation="0" wrapText="1" indent="0" justifyLastLine="0" shrinkToFit="0" readingOrder="0"/>
    </dxf>
    <dxf>
      <numFmt numFmtId="167" formatCode="d\-mmm\-yyyy"/>
      <alignment horizontal="right" vertical="top" textRotation="0" wrapText="0" indent="0" justifyLastLine="0" shrinkToFit="0" readingOrder="0"/>
      <border diagonalUp="0" diagonalDown="0">
        <left style="thin">
          <color rgb="FFFFFFFF"/>
        </left>
        <right style="thin">
          <color rgb="FFFFFFFF"/>
        </right>
        <top style="thin">
          <color rgb="FFFFFFFF"/>
        </top>
        <bottom/>
        <vertical/>
        <horizontal/>
      </border>
    </dxf>
    <dxf>
      <border diagonalUp="0" diagonalDown="0">
        <left style="thin">
          <color rgb="FFFFFFFF"/>
        </left>
        <right style="thin">
          <color rgb="FFFFFFFF"/>
        </right>
        <top style="thin">
          <color rgb="FFFFFFFF"/>
        </top>
        <bottom/>
        <vertical/>
        <horizontal/>
      </border>
    </dxf>
    <dxf>
      <numFmt numFmtId="14" formatCode="0.00%"/>
      <border diagonalUp="0" diagonalDown="0">
        <left style="thin">
          <color rgb="FFFFFFFF"/>
        </left>
        <right style="thin">
          <color rgb="FFFFFFFF"/>
        </right>
        <top style="thin">
          <color rgb="FFFFFFFF"/>
        </top>
        <bottom/>
        <vertical/>
        <horizontal/>
      </border>
    </dxf>
    <dxf>
      <numFmt numFmtId="173" formatCode="#,##0_);[Red]\(#,##0\)"/>
      <alignment horizontal="right" vertical="top" textRotation="0" wrapText="0" indent="0" justifyLastLine="0" shrinkToFit="0" readingOrder="0"/>
      <border diagonalUp="0" diagonalDown="0" outline="0">
        <left style="thin">
          <color rgb="FFFFFFFF"/>
        </left>
        <right style="thin">
          <color rgb="FFFFFFFF"/>
        </right>
        <top style="thin">
          <color rgb="FFFFFFFF"/>
        </top>
        <bottom/>
      </border>
    </dxf>
    <dxf>
      <numFmt numFmtId="173" formatCode="#,##0_);[Red]\(#,##0\)"/>
      <alignment horizontal="left" vertical="top"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border outline="0">
        <bottom style="thin">
          <color rgb="FFFFFFFF"/>
        </bottom>
      </border>
    </dxf>
    <dxf>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7" formatCode="d\-mmm\-yyyy"/>
    </dxf>
    <dxf>
      <font>
        <b val="0"/>
        <i val="0"/>
        <strike val="0"/>
        <condense val="0"/>
        <extend val="0"/>
        <outline val="0"/>
        <shadow val="0"/>
        <u val="none"/>
        <vertAlign val="baseline"/>
        <sz val="11"/>
        <color rgb="FF000000"/>
        <name val="Aptos"/>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1"/>
        <color rgb="FF000000"/>
        <name val="Aptos"/>
        <family val="2"/>
        <scheme val="minor"/>
      </font>
      <numFmt numFmtId="167" formatCode="d\-mmm\-yyyy"/>
    </dxf>
    <dxf>
      <numFmt numFmtId="0" formatCode="General"/>
    </dxf>
    <dxf>
      <numFmt numFmtId="170" formatCode="#,###;[Red]\(#,###\);\-"/>
    </dxf>
    <dxf>
      <numFmt numFmtId="0" formatCode="General"/>
    </dxf>
    <dxf>
      <numFmt numFmtId="170" formatCode="#,###;[Red]\(#,###\);\-"/>
    </dxf>
    <dxf>
      <numFmt numFmtId="0" formatCode="General"/>
    </dxf>
    <dxf>
      <numFmt numFmtId="167" formatCode="d\-mmm\-yyyy"/>
    </dxf>
    <dxf>
      <alignment horizontal="right" vertical="bottom" textRotation="0" wrapText="0" indent="0" justifyLastLine="0" shrinkToFit="0" readingOrder="0"/>
    </dxf>
    <dxf>
      <numFmt numFmtId="174" formatCode="d/m/yyyy"/>
    </dxf>
    <dxf>
      <alignment horizontal="right" vertical="bottom" textRotation="0" wrapText="0" indent="0" justifyLastLine="0" shrinkToFit="0" readingOrder="0"/>
    </dxf>
    <dxf>
      <font>
        <b val="0"/>
        <i val="0"/>
        <strike val="0"/>
        <condense val="0"/>
        <extend val="0"/>
        <outline val="0"/>
        <shadow val="0"/>
        <u val="none"/>
        <vertAlign val="baseline"/>
        <sz val="11"/>
        <color rgb="FF000000"/>
        <name val="Aptos"/>
        <family val="2"/>
        <scheme val="minor"/>
      </font>
    </dxf>
    <dxf>
      <font>
        <b val="0"/>
        <i val="0"/>
        <strike val="0"/>
        <condense val="0"/>
        <extend val="0"/>
        <outline val="0"/>
        <shadow val="0"/>
        <u val="none"/>
        <vertAlign val="baseline"/>
        <sz val="11"/>
        <color rgb="FF000000"/>
        <name val="Aptos"/>
        <family val="2"/>
        <scheme val="minor"/>
      </font>
    </dxf>
    <dxf>
      <numFmt numFmtId="168" formatCode="dd/mm/yyyy"/>
      <alignment horizontal="right" vertical="top" textRotation="0" wrapText="0" indent="0" justifyLastLine="0" shrinkToFit="0" readingOrder="0"/>
    </dxf>
    <dxf>
      <numFmt numFmtId="168" formatCode="dd/mm/yyyy"/>
      <alignment horizontal="right" vertical="top" textRotation="0" wrapText="0" indent="0" justifyLastLine="0" shrinkToFit="0" readingOrder="0"/>
    </dxf>
    <dxf>
      <numFmt numFmtId="173" formatCode="#,##0_);[Red]\(#,##0\)"/>
      <alignment horizontal="right" vertical="top" textRotation="0" wrapText="0" indent="0" justifyLastLine="0" shrinkToFit="0" readingOrder="0"/>
    </dxf>
    <dxf>
      <alignment horizontal="general" vertical="bottom" textRotation="0" wrapText="0" indent="0" justifyLastLine="0" shrinkToFit="0" readingOrder="0"/>
      <border diagonalUp="0" diagonalDown="0">
        <left/>
        <right style="thin">
          <color rgb="FFFFFFFF"/>
        </right>
        <top style="thin">
          <color rgb="FFFFFFFF"/>
        </top>
        <bottom style="thin">
          <color rgb="FFFFFFFF"/>
        </bottom>
        <vertical/>
        <horizontal/>
      </border>
    </dxf>
    <dxf>
      <border outline="0">
        <left style="thin">
          <color rgb="FFFFFFFF"/>
        </left>
        <top style="thin">
          <color rgb="FFFFFFFF"/>
        </top>
      </border>
    </dxf>
    <dxf>
      <alignment horizontal="right" vertical="top"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border diagonalUp="0" diagonalDown="0" outline="0">
        <left style="thin">
          <color rgb="FFFFFFFF"/>
        </left>
        <right/>
        <top style="thin">
          <color rgb="FFFFFFFF"/>
        </top>
        <bottom/>
      </border>
    </dxf>
    <dxf>
      <alignment vertical="center" textRotation="0" wrapText="0" indent="0" justifyLastLine="0" shrinkToFit="0" readingOrder="0"/>
      <border diagonalUp="0" diagonalDown="0" outline="0">
        <left/>
        <right style="thin">
          <color rgb="FFFFFFFF"/>
        </right>
        <top style="thin">
          <color rgb="FFFFFFFF"/>
        </top>
        <bottom/>
      </border>
    </dxf>
    <dxf>
      <font>
        <b/>
      </font>
      <alignment horizontal="general" vertical="center" textRotation="0" wrapText="0" indent="0" justifyLastLine="0" shrinkToFit="0" readingOrder="0"/>
      <border diagonalUp="0" diagonalDown="0" outline="0">
        <left/>
        <right style="thin">
          <color rgb="FFFFFFFF"/>
        </right>
        <top style="thin">
          <color rgb="FFFFFFFF"/>
        </top>
        <bottom/>
      </border>
    </dxf>
    <dxf>
      <border outline="0">
        <top style="thin">
          <color rgb="FFFFFFFF"/>
        </top>
      </border>
    </dxf>
    <dxf>
      <border outline="0">
        <left style="thin">
          <color rgb="FFFFFFFF"/>
        </left>
        <right style="thin">
          <color rgb="FFFFFFFF"/>
        </right>
        <top style="thin">
          <color rgb="FFFFFFFF"/>
        </top>
        <bottom style="thin">
          <color rgb="FFFFFFFF"/>
        </bottom>
      </border>
    </dxf>
    <dxf>
      <alignment vertical="center" textRotation="0" wrapText="0" indent="0" justifyLastLine="0" shrinkToFit="0" readingOrder="0"/>
    </dxf>
    <dxf>
      <border outline="0">
        <bottom style="thin">
          <color rgb="FFFFFFFF"/>
        </bottom>
      </border>
    </dxf>
    <dxf>
      <font>
        <b val="0"/>
        <i val="0"/>
        <strike val="0"/>
        <condense val="0"/>
        <extend val="0"/>
        <outline val="0"/>
        <shadow val="0"/>
        <u val="none"/>
        <vertAlign val="baseline"/>
        <sz val="10"/>
        <color rgb="FFFFFFF0"/>
        <name val="Aptos"/>
        <scheme val="minor"/>
      </font>
      <fill>
        <patternFill patternType="solid">
          <fgColor rgb="FF000000"/>
          <bgColor theme="4"/>
        </patternFill>
      </fill>
      <alignment horizontal="general" vertical="center" textRotation="0" wrapText="0" indent="0" justifyLastLine="0" shrinkToFit="0" readingOrder="0"/>
      <border diagonalUp="0" diagonalDown="0" outline="0">
        <left style="thin">
          <color rgb="FFFFFFFF"/>
        </left>
        <right style="thin">
          <color rgb="FFFFFFFF"/>
        </right>
        <top/>
        <bottom/>
      </border>
    </dxf>
    <dxf>
      <font>
        <b val="0"/>
        <i val="0"/>
        <strike val="0"/>
        <u val="none"/>
        <sz val="11"/>
        <color rgb="FFFFFFF0"/>
        <name val="Aptos"/>
        <scheme val="minor"/>
      </font>
      <fill>
        <patternFill patternType="solid">
          <fgColor rgb="FF000000"/>
          <bgColor theme="5"/>
        </patternFill>
      </fill>
    </dxf>
    <dxf>
      <font>
        <b/>
        <i val="0"/>
        <strike val="0"/>
        <u val="none"/>
        <sz val="11"/>
        <color rgb="FF000000"/>
        <name val="Aptos"/>
        <scheme val="none"/>
      </font>
      <fill>
        <gradientFill>
          <stop position="0">
            <color rgb="FFFFFFFF"/>
          </stop>
          <stop position="1">
            <color rgb="FFE5E4E2"/>
          </stop>
        </gradientFill>
      </fill>
      <border>
        <left/>
        <right/>
        <top/>
        <bottom/>
        <vertical/>
        <horizontal/>
      </border>
    </dxf>
    <dxf>
      <font>
        <b/>
        <i/>
        <strike val="0"/>
        <u val="none"/>
        <color rgb="FF66023C"/>
        <name val="Aptos"/>
        <scheme val="minor"/>
      </font>
      <fill>
        <patternFill patternType="solid">
          <fgColor rgb="FF000000"/>
          <bgColor indexed="9"/>
        </patternFill>
      </fill>
      <border>
        <left style="thin">
          <color rgb="FFFFFFFF"/>
        </left>
        <right/>
        <top style="thin">
          <color rgb="FF000000"/>
        </top>
        <bottom style="double">
          <color rgb="FF000000"/>
        </bottom>
        <vertical/>
        <horizontal style="thin">
          <color rgb="FF000000"/>
        </horizontal>
      </border>
    </dxf>
    <dxf>
      <font>
        <b/>
        <i/>
        <strike val="0"/>
        <u val="none"/>
        <color rgb="FF66023C"/>
        <name val="Aptos"/>
        <scheme val="minor"/>
      </font>
      <fill>
        <patternFill patternType="solid">
          <fgColor rgb="FF000000"/>
          <bgColor indexed="9"/>
        </patternFill>
      </fill>
      <border>
        <left style="thin">
          <color rgb="FFFFFFFF"/>
        </left>
        <right style="thin">
          <color rgb="FFFFFFFF"/>
        </right>
        <top style="thin">
          <color rgb="FF000000"/>
        </top>
        <bottom/>
        <vertical style="thin">
          <color rgb="FFFFFFFF"/>
        </vertical>
        <horizontal style="thin">
          <color rgb="FF000000"/>
        </horizontal>
      </border>
    </dxf>
    <dxf>
      <font>
        <b/>
        <i val="0"/>
        <strike val="0"/>
        <u val="none"/>
        <color rgb="FF66023C"/>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i val="0"/>
        <strike val="0"/>
        <u val="none"/>
        <color rgb="FF66023C"/>
        <name val="Aptos"/>
        <scheme val="minor"/>
      </font>
      <fill>
        <patternFill patternType="solid">
          <fgColor rgb="FF000000"/>
          <bgColor indexed="9"/>
        </patternFill>
      </fill>
      <border>
        <left style="thin">
          <color rgb="FFFFFFFF"/>
        </left>
        <right style="thin">
          <color rgb="FFFFFFFF"/>
        </right>
        <top/>
        <bottom style="thin">
          <color rgb="FF000000"/>
        </bottom>
        <vertical style="thin">
          <color rgb="FFFFFFFF"/>
        </vertical>
        <horizontal/>
      </border>
    </dxf>
    <dxf>
      <font>
        <b val="0"/>
        <i val="0"/>
        <strike val="0"/>
        <u val="none"/>
        <color rgb="FF000000"/>
        <name val="Aptos"/>
        <scheme val="minor"/>
      </font>
      <fill>
        <patternFill patternType="solid">
          <fgColor rgb="FF000000"/>
          <bgColor rgb="FFFFFFF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F5F5F5"/>
        </patternFill>
      </fill>
      <border>
        <left/>
        <right/>
        <top/>
        <bottom/>
        <vertical/>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color rgb="FF000000"/>
        <name val="Aptos"/>
        <scheme val="minor"/>
      </font>
      <fill>
        <patternFill patternType="solid">
          <fgColor rgb="FF000000"/>
          <bgColor rgb="FFE5E4E2"/>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i/>
        <strike val="0"/>
        <u val="none"/>
        <color rgb="FF66023C"/>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66023C"/>
      </font>
      <fill>
        <patternFill patternType="solid">
          <fgColor rgb="FF000000"/>
          <bgColor rgb="FFFFFFF0"/>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name val="Aptos"/>
        <scheme val="minor"/>
      </font>
      <fill>
        <patternFill patternType="solid">
          <fgColor rgb="FF000000"/>
          <bgColor indexed="9"/>
        </patternFill>
      </fill>
      <border>
        <left/>
        <right/>
        <top/>
        <bottom/>
        <vertical/>
        <horizontal/>
      </border>
    </dxf>
    <dxf>
      <font>
        <b val="0"/>
        <i val="0"/>
        <strike val="0"/>
        <u val="none"/>
        <sz val="11"/>
        <color rgb="FF000000"/>
        <name val="Aptos"/>
        <scheme val="minor"/>
      </font>
      <fill>
        <patternFill patternType="solid">
          <fgColor rgb="FF000000"/>
          <bgColor rgb="FFFFFFF0"/>
        </patternFill>
      </fill>
      <border>
        <left/>
        <right/>
        <top/>
        <bottom/>
        <vertical/>
        <horizontal/>
      </border>
    </dxf>
    <dxf>
      <font>
        <b val="0"/>
        <i val="0"/>
        <strike val="0"/>
        <u val="none"/>
        <sz val="11"/>
        <color rgb="FF000000"/>
        <name val="Aptos"/>
        <scheme val="minor"/>
      </font>
      <fill>
        <patternFill patternType="solid">
          <fgColor rgb="FF000000"/>
          <bgColor indexed="9"/>
        </patternFill>
      </fill>
      <border>
        <left/>
        <right/>
        <top/>
        <bottom/>
        <vertical/>
        <horizontal/>
      </border>
    </dxf>
    <dxf>
      <font>
        <b/>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FFFFF0"/>
        </patternFill>
      </fill>
    </dxf>
    <dxf>
      <font>
        <b/>
        <i val="0"/>
        <strike val="0"/>
        <u val="none"/>
        <color rgb="FF000000"/>
        <name val="Aptos"/>
        <scheme val="minor"/>
      </font>
      <fill>
        <patternFill patternType="solid">
          <fgColor rgb="FF000000"/>
          <bgColor indexed="9"/>
        </patternFill>
      </fill>
    </dxf>
    <dxf>
      <font>
        <b/>
        <i val="0"/>
        <strike val="0"/>
        <u val="none"/>
        <color rgb="FF000000"/>
        <name val="Aptos"/>
        <scheme val="minor"/>
      </font>
      <fill>
        <patternFill patternType="solid">
          <fgColor rgb="FF000000"/>
          <bgColor indexed="9"/>
        </patternFill>
      </fill>
    </dxf>
    <dxf>
      <font>
        <b/>
        <i val="0"/>
        <strike val="0"/>
        <u val="none"/>
        <color rgb="FF000000"/>
        <name val="Aptos"/>
        <scheme val="minor"/>
      </font>
      <fill>
        <patternFill patternType="solid">
          <fgColor rgb="FF000000"/>
          <bgColor indexed="9"/>
        </patternFill>
      </fill>
    </dxf>
    <dxf>
      <font>
        <b/>
        <i val="0"/>
        <strike val="0"/>
        <u val="none"/>
        <color rgb="FF000000"/>
        <name val="Aptos"/>
        <scheme val="minor"/>
      </font>
      <fill>
        <patternFill patternType="solid">
          <fgColor rgb="FF000000"/>
          <bgColor indexed="9"/>
        </patternFill>
      </fill>
    </dxf>
    <dxf>
      <font>
        <b/>
        <i val="0"/>
        <strike val="0"/>
        <u val="none"/>
        <color rgb="FF000000"/>
        <name val="Aptos"/>
        <scheme val="minor"/>
      </font>
      <fill>
        <patternFill patternType="solid">
          <fgColor rgb="FF000000"/>
          <bgColor indexed="9"/>
        </patternFill>
      </fill>
    </dxf>
    <dxf>
      <font>
        <b/>
        <i val="0"/>
        <strike val="0"/>
        <u val="none"/>
        <color rgb="FF000000"/>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theme="0"/>
        </patternFill>
      </fill>
    </dxf>
    <dxf>
      <font>
        <b val="0"/>
        <i val="0"/>
        <strike val="0"/>
        <u val="none"/>
        <color rgb="FF000000"/>
        <name val="Aptos"/>
        <scheme val="minor"/>
      </font>
      <fill>
        <patternFill patternType="solid">
          <fgColor rgb="FF000000"/>
          <bgColor rgb="FFE5E4E2"/>
        </patternFill>
      </fill>
    </dxf>
    <dxf>
      <font>
        <b val="0"/>
        <i val="0"/>
        <strike val="0"/>
        <u val="none"/>
        <color rgb="FF000000"/>
        <name val="Aptos"/>
        <scheme val="minor"/>
      </font>
      <fill>
        <patternFill patternType="solid">
          <fgColor rgb="FF000000"/>
          <bgColor rgb="FFE5E4E2"/>
        </patternFill>
      </fill>
    </dxf>
    <dxf>
      <font>
        <b val="0"/>
        <i val="0"/>
        <strike val="0"/>
        <u val="none"/>
        <color rgb="FF000000"/>
        <name val="Aptos"/>
        <scheme val="minor"/>
      </font>
      <fill>
        <patternFill patternType="solid">
          <fgColor rgb="FF000000"/>
          <bgColor rgb="FFE5E4E2"/>
        </patternFill>
      </fill>
    </dxf>
    <dxf>
      <font>
        <b val="0"/>
        <i val="0"/>
        <strike val="0"/>
        <u val="none"/>
        <color rgb="FF000000"/>
        <name val="Aptos"/>
        <scheme val="minor"/>
      </font>
      <fill>
        <patternFill patternType="solid">
          <fgColor rgb="FF000000"/>
          <bgColor rgb="FFE5E4E2"/>
        </patternFill>
      </fill>
    </dxf>
    <dxf>
      <font>
        <b val="0"/>
        <i val="0"/>
        <strike val="0"/>
        <u val="none"/>
        <color rgb="FF000000"/>
        <name val="Aptos"/>
        <scheme val="minor"/>
      </font>
      <fill>
        <patternFill patternType="solid">
          <fgColor rgb="FF000000"/>
          <bgColor rgb="FFE5E4E2"/>
        </patternFill>
      </fill>
    </dxf>
    <dxf>
      <font>
        <b val="0"/>
        <i val="0"/>
        <strike val="0"/>
        <u val="none"/>
        <color rgb="FF000000"/>
        <name val="Aptos"/>
        <scheme val="minor"/>
      </font>
      <fill>
        <patternFill patternType="solid">
          <fgColor rgb="FF000000"/>
          <bgColor rgb="FFE5E4E2"/>
        </patternFill>
      </fill>
    </dxf>
    <dxf>
      <font>
        <b/>
        <i val="0"/>
        <strike val="0"/>
        <u val="none"/>
        <color rgb="FF000000"/>
        <name val="Aptos"/>
        <scheme val="minor"/>
      </font>
      <fill>
        <patternFill patternType="solid">
          <fgColor rgb="FF000000"/>
          <bgColor indexed="9"/>
        </patternFill>
      </fill>
    </dxf>
    <dxf>
      <font>
        <b val="0"/>
        <i val="0"/>
        <strike val="0"/>
        <u val="none"/>
        <color rgb="FF000000"/>
        <name val="Aptos"/>
        <scheme val="minor"/>
      </font>
      <fill>
        <patternFill patternType="solid">
          <fgColor rgb="FF000000"/>
          <bgColor rgb="FFFFFFF0"/>
        </patternFill>
      </fill>
    </dxf>
    <dxf>
      <font>
        <b val="0"/>
        <i val="0"/>
        <strike val="0"/>
        <u val="none"/>
        <color rgb="FF000000"/>
      </font>
      <fill>
        <patternFill patternType="solid">
          <fgColor rgb="FF000000"/>
          <bgColor indexed="9"/>
        </patternFill>
      </fill>
    </dxf>
    <dxf>
      <font>
        <b val="0"/>
        <i val="0"/>
        <strike val="0"/>
        <u val="none"/>
        <color rgb="FF000000"/>
        <name val="Aptos"/>
        <scheme val="minor"/>
      </font>
      <fill>
        <patternFill patternType="solid">
          <fgColor rgb="FF000000"/>
          <bgColor rgb="FFE5E4E2"/>
        </patternFill>
      </fill>
    </dxf>
    <dxf>
      <font>
        <b val="0"/>
        <i val="0"/>
        <strike val="0"/>
        <u val="none"/>
        <color rgb="FF000000"/>
      </font>
      <fill>
        <patternFill patternType="solid">
          <fgColor rgb="FF000000"/>
          <bgColor theme="0"/>
        </patternFill>
      </fill>
    </dxf>
    <dxf>
      <font>
        <b/>
        <i val="0"/>
        <strike val="0"/>
        <u val="none"/>
        <color rgb="FF000000"/>
        <name val="Aptos"/>
        <scheme val="minor"/>
      </font>
      <fill>
        <patternFill patternType="solid">
          <fgColor rgb="FF000000"/>
          <bgColor indexed="9"/>
        </patternFill>
      </fill>
      <border>
        <left style="thin">
          <color rgb="FF000000"/>
        </left>
        <right/>
        <top/>
        <bottom/>
        <vertical/>
        <horizontal/>
      </border>
    </dxf>
    <dxf>
      <font>
        <b val="0"/>
        <i val="0"/>
        <strike val="0"/>
        <u val="none"/>
        <color rgb="FF000000"/>
        <name val="Aptos"/>
        <scheme val="minor"/>
      </font>
      <fill>
        <patternFill patternType="solid">
          <fgColor rgb="FF000000"/>
          <bgColor rgb="FFE5E4E2"/>
        </patternFill>
      </fill>
    </dxf>
    <dxf>
      <font>
        <b/>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000000"/>
        </top>
        <bottom style="double">
          <color rgb="FF000000"/>
        </bottom>
        <vertical style="thin">
          <color rgb="FFFFFFFF"/>
        </vertical>
        <horizontal style="thin">
          <color rgb="FF000000"/>
        </horizontal>
      </border>
    </dxf>
    <dxf>
      <font>
        <b/>
        <i val="0"/>
        <strike val="0"/>
        <u val="none"/>
        <color rgb="FF000000"/>
        <name val="Aptos"/>
        <scheme val="minor"/>
      </font>
      <fill>
        <patternFill patternType="solid">
          <fgColor rgb="FF000000"/>
          <bgColor indexed="9"/>
        </patternFill>
      </fill>
      <border>
        <left style="thin">
          <color rgb="FFFFFFFF"/>
        </left>
        <right style="thin">
          <color rgb="FFFFFFFF"/>
        </right>
        <top style="thin">
          <color rgb="FFFFFFFF"/>
        </top>
        <bottom style="thin">
          <color rgb="FF000000"/>
        </bottom>
        <vertical style="thin">
          <color rgb="FFFFFFFF"/>
        </vertical>
        <horizontal style="thin">
          <color rgb="FFFFFFFF"/>
        </horizontal>
      </border>
    </dxf>
    <dxf>
      <font>
        <b val="0"/>
        <i val="0"/>
        <strike val="0"/>
        <u val="none"/>
        <color rgb="FF000000"/>
      </font>
      <fill>
        <patternFill patternType="solid">
          <fgColor rgb="FF000000"/>
          <bgColor theme="0"/>
        </patternFill>
      </fill>
    </dxf>
  </dxfs>
  <tableStyles count="4" defaultTableStyle="TableStyleCustom" defaultPivotStyle="PivotStyleCustom">
    <tableStyle name="PivotStyleCustom" table="0" count="25" xr9:uid="{DC4C0914-95F6-489D-B89F-016C77CEF89E}">
      <tableStyleElement type="wholeTable" dxfId="146"/>
      <tableStyleElement type="headerRow" dxfId="145"/>
      <tableStyleElement type="totalRow" dxfId="144"/>
      <tableStyleElement type="firstColumn" dxfId="143"/>
      <tableStyleElement type="lastColumn" dxfId="142"/>
      <tableStyleElement type="firstRowStripe" dxfId="141"/>
      <tableStyleElement type="secondRowStripe" dxfId="140"/>
      <tableStyleElement type="firstColumnStripe" dxfId="139"/>
      <tableStyleElement type="secondColumnStripe" dxfId="138"/>
      <tableStyleElement type="firstHeaderCell" dxfId="137"/>
      <tableStyleElement type="firstSubtotalColumn" dxfId="136"/>
      <tableStyleElement type="secondSubtotalColumn" dxfId="135"/>
      <tableStyleElement type="thirdSubtotalColumn" dxfId="134"/>
      <tableStyleElement type="firstSubtotalRow" dxfId="133"/>
      <tableStyleElement type="secondSubtotalRow" dxfId="132"/>
      <tableStyleElement type="thirdSubtotalRow" dxfId="131"/>
      <tableStyleElement type="blankRow" dxfId="130"/>
      <tableStyleElement type="firstColumnSubheading" dxfId="129"/>
      <tableStyleElement type="secondColumnSubheading" dxfId="128"/>
      <tableStyleElement type="thirdColumnSubheading" dxfId="127"/>
      <tableStyleElement type="firstRowSubheading" dxfId="126"/>
      <tableStyleElement type="secondRowSubheading" dxfId="125"/>
      <tableStyleElement type="thirdRowSubheading" dxfId="124"/>
      <tableStyleElement type="pageFieldLabels" dxfId="123"/>
      <tableStyleElement type="pageFieldValues" dxfId="122"/>
    </tableStyle>
    <tableStyle name="SlicerStyleCustom" pivot="0" table="0" count="10" xr9:uid="{5583AEBA-1008-475D-89EE-D361CCD569FA}">
      <tableStyleElement type="wholeTable" dxfId="121"/>
      <tableStyleElement type="headerRow" dxfId="120"/>
    </tableStyle>
    <tableStyle name="TableStyleCustom" pivot="0" count="13" xr9:uid="{82219DB9-28E2-4769-B17E-6F2684D96709}">
      <tableStyleElement type="wholeTable" dxfId="119"/>
      <tableStyleElement type="headerRow" dxfId="118"/>
      <tableStyleElement type="totalRow" dxfId="117"/>
      <tableStyleElement type="firstColumn" dxfId="116"/>
      <tableStyleElement type="lastColumn" dxfId="115"/>
      <tableStyleElement type="firstRowStripe" dxfId="114"/>
      <tableStyleElement type="secondRowStripe" dxfId="113"/>
      <tableStyleElement type="firstColumnStripe" dxfId="112"/>
      <tableStyleElement type="secondColumnStripe" dxfId="111"/>
      <tableStyleElement type="firstHeaderCell" dxfId="110"/>
      <tableStyleElement type="lastHeaderCell" dxfId="109"/>
      <tableStyleElement type="firstTotalCell" dxfId="108"/>
      <tableStyleElement type="lastTotalCell" dxfId="107"/>
    </tableStyle>
    <tableStyle name="TimelineStyleCustom" pivot="0" table="0" count="9" xr9:uid="{0053D245-5C8F-45C9-BD89-9660704DE07B}">
      <tableStyleElement type="wholeTable" dxfId="106"/>
      <tableStyleElement type="headerRow" dxfId="105"/>
    </tableStyle>
  </tableStyles>
  <colors>
    <mruColors>
      <color rgb="FFFFFFCC"/>
      <color rgb="FFF0D9DE"/>
    </mruColors>
  </colors>
  <extLst>
    <ext xmlns:x14="http://schemas.microsoft.com/office/spreadsheetml/2009/9/main" uri="{46F421CA-312F-682f-3DD2-61675219B42D}">
      <x14:dxfs count="8">
        <dxf>
          <font>
            <b val="0"/>
            <i val="0"/>
            <strike val="0"/>
            <u val="none"/>
            <sz val="11"/>
            <color rgb="FFA6A6A6"/>
            <name val="Aptos"/>
            <scheme val="minor"/>
          </font>
          <fill>
            <patternFill patternType="solid">
              <fgColor rgb="FF000000"/>
              <bgColor indexed="9"/>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A6A6A6"/>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FFFFF0"/>
            <name val="Aptos"/>
            <scheme val="minor"/>
          </font>
          <fill>
            <patternFill patternType="solid">
              <fgColor rgb="FF000000"/>
              <bgColor theme="7"/>
            </patternFill>
          </fill>
          <border>
            <left/>
            <right/>
            <top/>
            <bottom/>
            <vertical/>
            <horizontal/>
          </border>
        </dxf>
        <dxf>
          <font>
            <b val="0"/>
            <i val="0"/>
            <strike val="0"/>
            <u val="none"/>
            <sz val="11"/>
            <color rgb="FF000000"/>
            <name val="Aptos"/>
            <scheme val="minor"/>
          </font>
          <fill>
            <patternFill patternType="solid">
              <fgColor rgb="FF000000"/>
              <bgColor rgb="FFE5E4E2"/>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AAA49F"/>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D9D9D9"/>
            <name val="Aptos"/>
            <scheme val="minor"/>
          </font>
          <fill>
            <patternFill patternType="solid">
              <fgColor rgb="FF000000"/>
              <bgColor theme="0"/>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val="0"/>
            <i val="0"/>
            <strike val="0"/>
            <u val="none"/>
            <sz val="11"/>
            <color rgb="FF000000"/>
            <name val="Aptos"/>
            <scheme val="minor"/>
          </font>
          <fill>
            <patternFill patternType="solid">
              <fgColor rgb="FF000000"/>
              <bgColor rgb="FFE5E4E2"/>
            </patternFill>
          </fill>
          <border>
            <left/>
            <right/>
            <top/>
            <bottom/>
            <vertical/>
            <horizontal/>
          </border>
        </dxf>
      </x14:dxfs>
    </ext>
    <ext xmlns:x14="http://schemas.microsoft.com/office/spreadsheetml/2009/9/main" uri="{EB79DEF2-80B8-43e5-95BD-54CBDDF9020C}">
      <x14:slicerStyles defaultSlicerStyle="SlicerStyleCustom">
        <x14:slicerStyle name="SlicerStyl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rgb="FF000000"/>
              <bgColor theme="9"/>
            </patternFill>
          </fill>
        </dxf>
        <dxf>
          <fill>
            <patternFill patternType="solid">
              <fgColor rgb="FF000000"/>
              <bgColor indexed="9"/>
            </patternFill>
          </fill>
          <border>
            <left style="thin">
              <color rgb="FFFFFFFF"/>
            </left>
            <right/>
            <top style="thin">
              <color rgb="FFFFFFFF"/>
            </top>
            <bottom style="thin">
              <color rgb="FFFFFFFF"/>
            </bottom>
            <vertical/>
            <horizontal style="thin">
              <color rgb="FFFFFFFF"/>
            </horizontal>
          </border>
        </dxf>
        <dxf>
          <fill>
            <patternFill patternType="solid">
              <fgColor rgb="FF000000"/>
              <bgColor theme="7"/>
            </patternFill>
          </fill>
          <border>
            <left style="thin">
              <color rgb="FFFFFFFF"/>
            </left>
            <right/>
            <top style="thin">
              <color rgb="FFFFFFFF"/>
            </top>
            <bottom style="thin">
              <color rgb="FFFFFFFF"/>
            </bottom>
            <vertical/>
            <horizontal style="thin">
              <color rgb="FFFFFFFF"/>
            </horizontal>
          </border>
        </dxf>
        <dxf>
          <font>
            <b/>
            <i val="0"/>
            <strike val="0"/>
            <u val="none"/>
            <sz val="11"/>
            <color rgb="FF000000"/>
            <name val="Aptos"/>
            <scheme val="minor"/>
          </font>
        </dxf>
        <dxf>
          <font>
            <b/>
            <i val="0"/>
            <strike val="0"/>
            <u val="none"/>
            <sz val="11"/>
            <color rgb="FF000000"/>
            <name val="Aptos"/>
            <scheme val="minor"/>
          </font>
        </dxf>
        <dxf>
          <font>
            <b val="0"/>
            <i val="0"/>
            <strike val="0"/>
            <u val="none"/>
            <sz val="11"/>
            <color rgb="FF000000"/>
            <name val="Aptos"/>
            <scheme val="minor"/>
          </font>
        </dxf>
        <dxf>
          <font>
            <b val="0"/>
            <i val="0"/>
            <strike val="0"/>
            <u val="none"/>
            <sz val="11"/>
            <color rgb="FF000000"/>
            <name val="Aptos"/>
            <scheme val="minor"/>
          </font>
        </dxf>
      </x15:dxfs>
    </ext>
    <ext xmlns:x15="http://schemas.microsoft.com/office/spreadsheetml/2010/11/main" uri="{9260A510-F301-46a8-8635-F512D64BE5F5}">
      <x15:timelineStyles defaultTimelineStyle="TimelineStyleCustom">
        <x15:timelineStyle name="TimelineStyle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microsoft.com/office/2007/relationships/slicerCache" Target="slicerCaches/slicerCache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drawing1.xml><?xml version="1.0" encoding="utf-8"?>
<xdr:wsDr xmlns:xdr="http://schemas.openxmlformats.org/drawingml/2006/spreadsheetDrawing" xmlns:a="http://schemas.openxmlformats.org/drawingml/2006/main">
  <xdr:twoCellAnchor editAs="absolute">
    <xdr:from>
      <xdr:col>3</xdr:col>
      <xdr:colOff>0</xdr:colOff>
      <xdr:row>0</xdr:row>
      <xdr:rowOff>0</xdr:rowOff>
    </xdr:from>
    <xdr:to>
      <xdr:col>4</xdr:col>
      <xdr:colOff>0</xdr:colOff>
      <xdr:row>1</xdr:row>
      <xdr:rowOff>76200</xdr:rowOff>
    </xdr:to>
    <mc:AlternateContent xmlns:mc="http://schemas.openxmlformats.org/markup-compatibility/2006" xmlns:sle15="http://schemas.microsoft.com/office/drawing/2012/slicer">
      <mc:Choice Requires="sle15">
        <xdr:graphicFrame macro="">
          <xdr:nvGraphicFramePr>
            <xdr:cNvPr id="2" name="slcType">
              <a:extLst>
                <a:ext uri="{FF2B5EF4-FFF2-40B4-BE49-F238E27FC236}">
                  <a16:creationId xmlns:a16="http://schemas.microsoft.com/office/drawing/2014/main" id="{73304CF3-E9B0-6BED-B016-F6FC47A90747}"/>
                </a:ext>
              </a:extLst>
            </xdr:cNvPr>
            <xdr:cNvGraphicFramePr/>
          </xdr:nvGraphicFramePr>
          <xdr:xfrm>
            <a:off x="0" y="0"/>
            <a:ext cx="0" cy="0"/>
          </xdr:xfrm>
          <a:graphic>
            <a:graphicData uri="http://schemas.microsoft.com/office/drawing/2010/slicer">
              <sle:slicer xmlns:sle="http://schemas.microsoft.com/office/drawing/2010/slicer" name="slcType"/>
            </a:graphicData>
          </a:graphic>
        </xdr:graphicFrame>
      </mc:Choice>
      <mc:Fallback xmlns="">
        <xdr:sp macro="" textlink="">
          <xdr:nvSpPr>
            <xdr:cNvPr id="0" name=""/>
            <xdr:cNvSpPr>
              <a:spLocks noTextEdit="1"/>
            </xdr:cNvSpPr>
          </xdr:nvSpPr>
          <xdr:spPr>
            <a:xfrm>
              <a:off x="4221480" y="0"/>
              <a:ext cx="5196840" cy="1028700"/>
            </a:xfrm>
            <a:prstGeom prst="rect">
              <a:avLst/>
            </a:prstGeom>
            <a:solidFill>
              <a:prstClr val="white"/>
            </a:solidFill>
            <a:ln w="1">
              <a:solidFill>
                <a:schemeClr val="accent3"/>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160020</xdr:colOff>
      <xdr:row>11</xdr:row>
      <xdr:rowOff>114300</xdr:rowOff>
    </xdr:from>
    <xdr:to>
      <xdr:col>13</xdr:col>
      <xdr:colOff>396240</xdr:colOff>
      <xdr:row>15</xdr:row>
      <xdr:rowOff>144780</xdr:rowOff>
    </xdr:to>
    <xdr:sp macro="" textlink="">
      <xdr:nvSpPr>
        <xdr:cNvPr id="2" name="Rectangle: Rounded Corners 1">
          <a:extLst>
            <a:ext uri="{FF2B5EF4-FFF2-40B4-BE49-F238E27FC236}">
              <a16:creationId xmlns:a16="http://schemas.microsoft.com/office/drawing/2014/main" id="{F24ED3E2-4799-35B3-8701-0DC5B3085DCF}"/>
            </a:ext>
          </a:extLst>
        </xdr:cNvPr>
        <xdr:cNvSpPr/>
      </xdr:nvSpPr>
      <xdr:spPr>
        <a:xfrm>
          <a:off x="4084320" y="2522220"/>
          <a:ext cx="5730240" cy="762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One use for</a:t>
          </a:r>
          <a:r>
            <a:rPr lang="en-AU" sz="1200" b="0" baseline="0"/>
            <a:t> this function is calculating overtime expenses or revenue generation when a production, logistics  or retail operation must work Saturdays to meet seasonal demands</a:t>
          </a:r>
          <a:r>
            <a:rPr lang="en-AU" sz="1200" b="1" baseline="0"/>
            <a:t>. </a:t>
          </a:r>
          <a:endParaRPr lang="en-AU"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792480</xdr:colOff>
      <xdr:row>11</xdr:row>
      <xdr:rowOff>68580</xdr:rowOff>
    </xdr:from>
    <xdr:to>
      <xdr:col>13</xdr:col>
      <xdr:colOff>693420</xdr:colOff>
      <xdr:row>20</xdr:row>
      <xdr:rowOff>121920</xdr:rowOff>
    </xdr:to>
    <xdr:sp macro="" textlink="">
      <xdr:nvSpPr>
        <xdr:cNvPr id="2" name="Rectangle: Rounded Corners 1">
          <a:extLst>
            <a:ext uri="{FF2B5EF4-FFF2-40B4-BE49-F238E27FC236}">
              <a16:creationId xmlns:a16="http://schemas.microsoft.com/office/drawing/2014/main" id="{FC31E747-439B-45B4-9BB4-2595CC802440}"/>
            </a:ext>
          </a:extLst>
        </xdr:cNvPr>
        <xdr:cNvSpPr/>
      </xdr:nvSpPr>
      <xdr:spPr>
        <a:xfrm>
          <a:off x="4419600" y="2293620"/>
          <a:ext cx="67284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function feels</a:t>
          </a:r>
          <a:r>
            <a:rPr lang="en-AU" sz="1200" b="0" baseline="0"/>
            <a:t> like the function Microsoft forgot. It is a relatively trivial function but one often needed.</a:t>
          </a:r>
        </a:p>
        <a:p>
          <a:pPr algn="l"/>
          <a:endParaRPr lang="en-AU" sz="1200" b="0" baseline="0"/>
        </a:p>
        <a:p>
          <a:pPr algn="l"/>
          <a:r>
            <a:rPr lang="en-AU" sz="1200" b="1"/>
            <a:t>IsBetween</a:t>
          </a:r>
          <a:r>
            <a:rPr lang="el-GR" sz="1200" b="1"/>
            <a:t>λ</a:t>
          </a:r>
          <a:r>
            <a:rPr lang="en-AU" sz="1200" b="1"/>
            <a:t>() </a:t>
          </a:r>
          <a:r>
            <a:rPr lang="en-AU" sz="1200" b="0"/>
            <a:t>creates an</a:t>
          </a:r>
          <a:r>
            <a:rPr lang="en-AU" sz="1200" b="0" baseline="0"/>
            <a:t> array of TRUE/FALSE which we can convert to flags by wrapping it in the </a:t>
          </a:r>
          <a:r>
            <a:rPr lang="en-AU" sz="1200" b="1" baseline="0"/>
            <a:t>N() </a:t>
          </a:r>
          <a:r>
            <a:rPr lang="en-AU" sz="1200" b="0" baseline="0"/>
            <a:t>function like so:</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a:t>
          </a:r>
          <a:r>
            <a:rPr lang="en-AU" sz="1200" b="1" baseline="0"/>
            <a:t>N(</a:t>
          </a:r>
          <a:r>
            <a:rPr lang="en-AU" sz="1100" b="1">
              <a:solidFill>
                <a:schemeClr val="dk1"/>
              </a:solidFill>
              <a:effectLst/>
              <a:latin typeface="+mn-lt"/>
              <a:ea typeface="+mn-ea"/>
              <a:cs typeface="+mn-cs"/>
            </a:rPr>
            <a:t>IsBetween</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Values, Low, High, Inclusive</a:t>
          </a:r>
          <a:r>
            <a:rPr lang="en-AU" sz="1200" b="1"/>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320040</xdr:colOff>
      <xdr:row>19</xdr:row>
      <xdr:rowOff>15240</xdr:rowOff>
    </xdr:from>
    <xdr:to>
      <xdr:col>17</xdr:col>
      <xdr:colOff>647700</xdr:colOff>
      <xdr:row>30</xdr:row>
      <xdr:rowOff>0</xdr:rowOff>
    </xdr:to>
    <xdr:sp macro="" textlink="">
      <xdr:nvSpPr>
        <xdr:cNvPr id="2" name="Rectangle: Rounded Corners 1">
          <a:extLst>
            <a:ext uri="{FF2B5EF4-FFF2-40B4-BE49-F238E27FC236}">
              <a16:creationId xmlns:a16="http://schemas.microsoft.com/office/drawing/2014/main" id="{B6201D21-6E4F-4428-9F66-A68A61EDA45B}"/>
            </a:ext>
          </a:extLst>
        </xdr:cNvPr>
        <xdr:cNvSpPr/>
      </xdr:nvSpPr>
      <xdr:spPr>
        <a:xfrm>
          <a:off x="7376160" y="3886200"/>
          <a:ext cx="6751320" cy="1996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a:t>
          </a:r>
          <a:r>
            <a:rPr lang="en-AU" sz="1200" b="0" baseline="0"/>
            <a:t> we have budget items that repeat throughout the year at different intervals</a:t>
          </a:r>
          <a:r>
            <a:rPr lang="en-AU" sz="1200" b="1" baseline="0"/>
            <a:t>. </a:t>
          </a:r>
        </a:p>
        <a:p>
          <a:pPr algn="l"/>
          <a:endParaRPr lang="en-AU" sz="1200" b="1" baseline="0"/>
        </a:p>
        <a:p>
          <a:pPr algn="l"/>
          <a:r>
            <a:rPr lang="en-AU" sz="1200" b="1" baseline="0"/>
            <a:t>IsOccurrenceDate</a:t>
          </a:r>
          <a:r>
            <a:rPr lang="el-GR" sz="1200" b="1" baseline="0"/>
            <a:t>λ()</a:t>
          </a:r>
          <a:r>
            <a:rPr lang="en-AU" sz="1200" b="0" baseline="0"/>
            <a:t> creates an array of </a:t>
          </a:r>
          <a:r>
            <a:rPr lang="en-AU" sz="1200" b="1" baseline="0"/>
            <a:t>TRUE/FALSE</a:t>
          </a:r>
          <a:r>
            <a:rPr lang="en-AU" sz="1200" b="0" baseline="0"/>
            <a:t>. If we prefer, we can convert the result to 'flags' by wrapping this function in N() Like so: </a:t>
          </a:r>
        </a:p>
        <a:p>
          <a:pPr algn="l"/>
          <a:br>
            <a:rPr lang="en-AU" sz="1200" b="0" baseline="0"/>
          </a:br>
          <a:r>
            <a:rPr lang="en-AU" sz="1200" b="1" baseline="0"/>
            <a:t>N( </a:t>
          </a:r>
          <a:r>
            <a:rPr lang="en-AU" sz="1100" b="1" i="0" u="none" strike="noStrike">
              <a:solidFill>
                <a:schemeClr val="dk1"/>
              </a:solidFill>
              <a:effectLst/>
              <a:latin typeface="+mn-lt"/>
              <a:ea typeface="+mn-ea"/>
              <a:cs typeface="+mn-cs"/>
            </a:rPr>
            <a:t>IsOccurrenceDate</a:t>
          </a:r>
          <a:r>
            <a:rPr lang="el-GR" sz="1100" b="1" i="0" u="none" strike="noStrike">
              <a:solidFill>
                <a:schemeClr val="dk1"/>
              </a:solidFill>
              <a:effectLst/>
              <a:latin typeface="+mn-lt"/>
              <a:ea typeface="+mn-ea"/>
              <a:cs typeface="+mn-cs"/>
            </a:rPr>
            <a:t>λ(</a:t>
          </a:r>
          <a:r>
            <a:rPr lang="en-AU" sz="1100" b="1" i="0" u="none" strike="noStrike">
              <a:solidFill>
                <a:schemeClr val="dk1"/>
              </a:solidFill>
              <a:effectLst/>
              <a:latin typeface="+mn-lt"/>
              <a:ea typeface="+mn-ea"/>
              <a:cs typeface="+mn-cs"/>
            </a:rPr>
            <a:t>Dates, FirstOccurrence, [LastOccurrence], [Repeats])</a:t>
          </a:r>
          <a:r>
            <a:rPr lang="en-AU" sz="1200" b="1"/>
            <a:t> </a:t>
          </a:r>
          <a:r>
            <a:rPr lang="en-AU" sz="1200" b="1" baseline="0"/>
            <a:t>)</a:t>
          </a:r>
          <a:br>
            <a:rPr lang="en-AU" sz="1200" b="1" baseline="0"/>
          </a:br>
          <a:br>
            <a:rPr lang="en-AU" sz="1200" b="1" baseline="0"/>
          </a:br>
          <a:r>
            <a:rPr lang="en-AU" sz="1200" b="0" baseline="0"/>
            <a:t>In this example we multiply this function's TRUE/FALSE array by the budget amount. This works because Excel converts TRUE/FALSE to 1/0 when a math operator is used (like *).</a:t>
          </a:r>
          <a:endParaRPr lang="en-AU"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541020</xdr:colOff>
      <xdr:row>8</xdr:row>
      <xdr:rowOff>114300</xdr:rowOff>
    </xdr:from>
    <xdr:to>
      <xdr:col>12</xdr:col>
      <xdr:colOff>297180</xdr:colOff>
      <xdr:row>17</xdr:row>
      <xdr:rowOff>45720</xdr:rowOff>
    </xdr:to>
    <xdr:sp macro="" textlink="">
      <xdr:nvSpPr>
        <xdr:cNvPr id="2" name="Rectangle: Rounded Corners 1">
          <a:extLst>
            <a:ext uri="{FF2B5EF4-FFF2-40B4-BE49-F238E27FC236}">
              <a16:creationId xmlns:a16="http://schemas.microsoft.com/office/drawing/2014/main" id="{095EA23D-D077-4219-8F42-2C5DBEF25014}"/>
            </a:ext>
          </a:extLst>
        </xdr:cNvPr>
        <xdr:cNvSpPr/>
      </xdr:nvSpPr>
      <xdr:spPr>
        <a:xfrm>
          <a:off x="5242560" y="1973580"/>
          <a:ext cx="5204460" cy="15773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In this example,</a:t>
          </a:r>
          <a:r>
            <a:rPr lang="en-AU" sz="1200" b="0" baseline="0"/>
            <a:t> our client owns a rental business. Customer contracts can start and end on any day. Rates are by day. Our client bills each month but only for days within the contract for that month. </a:t>
          </a:r>
          <a:br>
            <a:rPr lang="en-AU" sz="1200" b="0" baseline="0"/>
          </a:b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100" b="1" i="0">
              <a:solidFill>
                <a:schemeClr val="dk1"/>
              </a:solidFill>
              <a:effectLst/>
              <a:latin typeface="+mn-lt"/>
              <a:ea typeface="+mn-ea"/>
              <a:cs typeface="+mn-cs"/>
            </a:rPr>
            <a:t>OverLapDays</a:t>
          </a:r>
          <a:r>
            <a:rPr lang="el-GR" sz="1100" b="1" i="0">
              <a:solidFill>
                <a:schemeClr val="dk1"/>
              </a:solidFill>
              <a:effectLst/>
              <a:latin typeface="+mn-lt"/>
              <a:ea typeface="+mn-ea"/>
              <a:cs typeface="+mn-cs"/>
            </a:rPr>
            <a:t>λ()</a:t>
          </a:r>
          <a:r>
            <a:rPr lang="el-GR" sz="1100" b="1">
              <a:solidFill>
                <a:schemeClr val="dk1"/>
              </a:solidFill>
              <a:effectLst/>
              <a:latin typeface="+mn-lt"/>
              <a:ea typeface="+mn-ea"/>
              <a:cs typeface="+mn-cs"/>
            </a:rPr>
            <a:t> </a:t>
          </a:r>
          <a:r>
            <a:rPr lang="en-AU" sz="1100">
              <a:solidFill>
                <a:schemeClr val="dk1"/>
              </a:solidFill>
              <a:effectLst/>
              <a:latin typeface="+mn-lt"/>
              <a:ea typeface="+mn-ea"/>
              <a:cs typeface="+mn-cs"/>
            </a:rPr>
            <a:t>creates an array of the count of overlapping days. In this example we multiply this function's array by the </a:t>
          </a:r>
          <a:r>
            <a:rPr lang="en-AU" sz="1100" b="1">
              <a:solidFill>
                <a:schemeClr val="dk1"/>
              </a:solidFill>
              <a:effectLst/>
              <a:latin typeface="+mn-lt"/>
              <a:ea typeface="+mn-ea"/>
              <a:cs typeface="+mn-cs"/>
            </a:rPr>
            <a:t>Daily</a:t>
          </a:r>
          <a:r>
            <a:rPr lang="en-AU" sz="1100" b="1" baseline="0">
              <a:solidFill>
                <a:schemeClr val="dk1"/>
              </a:solidFill>
              <a:effectLst/>
              <a:latin typeface="+mn-lt"/>
              <a:ea typeface="+mn-ea"/>
              <a:cs typeface="+mn-cs"/>
            </a:rPr>
            <a:t> Rate</a:t>
          </a:r>
          <a:r>
            <a:rPr lang="en-AU" sz="1100" baseline="0">
              <a:solidFill>
                <a:schemeClr val="dk1"/>
              </a:solidFill>
              <a:effectLst/>
              <a:latin typeface="+mn-lt"/>
              <a:ea typeface="+mn-ea"/>
              <a:cs typeface="+mn-cs"/>
            </a:rPr>
            <a:t> to project contract revenues for each month.</a:t>
          </a:r>
          <a:endParaRPr lang="en-AU"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a:effectLst/>
          </a:endParaRPr>
        </a:p>
        <a:p>
          <a:pPr algn="l"/>
          <a:br>
            <a:rPr lang="en-AU" sz="1200" b="0" baseline="0"/>
          </a:br>
          <a:r>
            <a:rPr lang="en-AU" sz="1200" b="0" baseline="0"/>
            <a:t>This projects contract revenue for each month, billing only for days rented.</a:t>
          </a:r>
          <a:r>
            <a:rPr lang="en-AU" sz="1100" b="0" i="0" u="none" strike="noStrike">
              <a:solidFill>
                <a:schemeClr val="dk1"/>
              </a:solidFill>
              <a:effectLst/>
              <a:latin typeface="+mn-lt"/>
              <a:ea typeface="+mn-ea"/>
              <a:cs typeface="+mn-cs"/>
            </a:rPr>
            <a:t>=</a:t>
          </a:r>
          <a:endParaRPr lang="en-AU" sz="12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556260</xdr:colOff>
      <xdr:row>16</xdr:row>
      <xdr:rowOff>0</xdr:rowOff>
    </xdr:from>
    <xdr:to>
      <xdr:col>14</xdr:col>
      <xdr:colOff>274320</xdr:colOff>
      <xdr:row>20</xdr:row>
      <xdr:rowOff>121920</xdr:rowOff>
    </xdr:to>
    <xdr:sp macro="" textlink="">
      <xdr:nvSpPr>
        <xdr:cNvPr id="2" name="Rectangle: Rounded Corners 1">
          <a:extLst>
            <a:ext uri="{FF2B5EF4-FFF2-40B4-BE49-F238E27FC236}">
              <a16:creationId xmlns:a16="http://schemas.microsoft.com/office/drawing/2014/main" id="{C2AB1896-B0C0-4A1B-BBB1-B4315E233059}"/>
            </a:ext>
          </a:extLst>
        </xdr:cNvPr>
        <xdr:cNvSpPr/>
      </xdr:nvSpPr>
      <xdr:spPr>
        <a:xfrm>
          <a:off x="3931920" y="3322320"/>
          <a:ext cx="5204460" cy="8534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a:t>
          </a:r>
          <a:r>
            <a:rPr lang="en-AU" sz="1200" b="0" baseline="0"/>
            <a:t> is a better version of Excel's secret function DATEDIF()</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a:t>This example uses randomly</a:t>
          </a:r>
          <a:r>
            <a:rPr lang="en-AU" sz="1200" b="0" baseline="0"/>
            <a:t> generated dates and intervals.</a:t>
          </a:r>
          <a:endParaRPr lang="en-AU" sz="12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335280</xdr:colOff>
      <xdr:row>17</xdr:row>
      <xdr:rowOff>83820</xdr:rowOff>
    </xdr:from>
    <xdr:to>
      <xdr:col>12</xdr:col>
      <xdr:colOff>167640</xdr:colOff>
      <xdr:row>22</xdr:row>
      <xdr:rowOff>99060</xdr:rowOff>
    </xdr:to>
    <xdr:sp macro="" textlink="">
      <xdr:nvSpPr>
        <xdr:cNvPr id="2" name="Rectangle: Rounded Corners 1">
          <a:extLst>
            <a:ext uri="{FF2B5EF4-FFF2-40B4-BE49-F238E27FC236}">
              <a16:creationId xmlns:a16="http://schemas.microsoft.com/office/drawing/2014/main" id="{3E9CEE54-DA0A-4FC6-A201-EAE0380C7E6A}"/>
            </a:ext>
          </a:extLst>
        </xdr:cNvPr>
        <xdr:cNvSpPr/>
      </xdr:nvSpPr>
      <xdr:spPr>
        <a:xfrm>
          <a:off x="4091940" y="3589020"/>
          <a:ext cx="520446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200" b="0"/>
            <a:t>Sometimes it is convenient</a:t>
          </a:r>
          <a:r>
            <a:rPr lang="en-AU" sz="1200" b="0" baseline="0"/>
            <a:t> to convert dates to text based labels for sorting or reporting.</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t>This example shows how various dates can be represented with this function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457200</xdr:colOff>
      <xdr:row>7</xdr:row>
      <xdr:rowOff>175260</xdr:rowOff>
    </xdr:from>
    <xdr:to>
      <xdr:col>14</xdr:col>
      <xdr:colOff>487680</xdr:colOff>
      <xdr:row>16</xdr:row>
      <xdr:rowOff>99060</xdr:rowOff>
    </xdr:to>
    <xdr:sp macro="" textlink="">
      <xdr:nvSpPr>
        <xdr:cNvPr id="2" name="Rectangle: Rounded Corners 1">
          <a:extLst>
            <a:ext uri="{FF2B5EF4-FFF2-40B4-BE49-F238E27FC236}">
              <a16:creationId xmlns:a16="http://schemas.microsoft.com/office/drawing/2014/main" id="{03713B4D-FCA4-4096-BE90-5AF866FCAD68}"/>
            </a:ext>
          </a:extLst>
        </xdr:cNvPr>
        <xdr:cNvSpPr/>
      </xdr:nvSpPr>
      <xdr:spPr>
        <a:xfrm>
          <a:off x="6042660" y="1851660"/>
          <a:ext cx="5951220" cy="1569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in a timeline. We specify the timeline and when rates start with associate rate amounts. The rate amount continues in the timeline until another rate replaces it.</a:t>
          </a:r>
        </a:p>
        <a:p>
          <a:pPr algn="l"/>
          <a:endParaRPr lang="en-AU" sz="1200" b="0" baseline="0"/>
        </a:p>
        <a:p>
          <a:pPr algn="l"/>
          <a:r>
            <a:rPr lang="en-AU" sz="1200" b="0" baseline="0"/>
            <a:t>In the 'Rentals'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Ozzit function is used to calculate rates and number of units over time which we can then multiply to determine the potential revenue generation.</a:t>
          </a:r>
        </a:p>
      </xdr:txBody>
    </xdr:sp>
    <xdr:clientData/>
  </xdr:twoCellAnchor>
  <xdr:twoCellAnchor>
    <xdr:from>
      <xdr:col>4</xdr:col>
      <xdr:colOff>579120</xdr:colOff>
      <xdr:row>30</xdr:row>
      <xdr:rowOff>137160</xdr:rowOff>
    </xdr:from>
    <xdr:to>
      <xdr:col>15</xdr:col>
      <xdr:colOff>99060</xdr:colOff>
      <xdr:row>33</xdr:row>
      <xdr:rowOff>144780</xdr:rowOff>
    </xdr:to>
    <xdr:sp macro="" textlink="">
      <xdr:nvSpPr>
        <xdr:cNvPr id="3" name="Rectangle: Rounded Corners 2">
          <a:extLst>
            <a:ext uri="{FF2B5EF4-FFF2-40B4-BE49-F238E27FC236}">
              <a16:creationId xmlns:a16="http://schemas.microsoft.com/office/drawing/2014/main" id="{5C0C4548-8562-44EE-A246-655152F306BB}"/>
            </a:ext>
          </a:extLst>
        </xdr:cNvPr>
        <xdr:cNvSpPr/>
      </xdr:nvSpPr>
      <xdr:spPr>
        <a:xfrm>
          <a:off x="3863340" y="6187440"/>
          <a:ext cx="8587740" cy="640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section we have </a:t>
          </a:r>
          <a:r>
            <a:rPr lang="en-AU" sz="1200" b="0" u="sng" baseline="0"/>
            <a:t>Rental Rates Schedule</a:t>
          </a:r>
          <a:r>
            <a:rPr lang="en-AU" sz="1200" b="0" baseline="0"/>
            <a:t> and a </a:t>
          </a:r>
          <a:r>
            <a:rPr lang="en-AU" sz="1200" b="0" i="0" u="sng" baseline="0"/>
            <a:t>Unit Completion Schedule</a:t>
          </a:r>
          <a:r>
            <a:rPr lang="en-AU" sz="1200" b="0" i="0" u="none" baseline="0"/>
            <a:t>.</a:t>
          </a:r>
          <a:r>
            <a:rPr lang="en-AU" sz="1200" b="0" u="none" baseline="0"/>
            <a:t> </a:t>
          </a:r>
          <a:r>
            <a:rPr lang="en-AU" sz="1200" b="0" baseline="0"/>
            <a:t>This same Ozzit function is used to calculate rates and number of units over time which we can then multiply to determine the potential revenue generation.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693420</xdr:colOff>
      <xdr:row>17</xdr:row>
      <xdr:rowOff>137160</xdr:rowOff>
    </xdr:from>
    <xdr:to>
      <xdr:col>15</xdr:col>
      <xdr:colOff>723900</xdr:colOff>
      <xdr:row>21</xdr:row>
      <xdr:rowOff>7620</xdr:rowOff>
    </xdr:to>
    <xdr:sp macro="" textlink="">
      <xdr:nvSpPr>
        <xdr:cNvPr id="2" name="Rectangle: Rounded Corners 1">
          <a:extLst>
            <a:ext uri="{FF2B5EF4-FFF2-40B4-BE49-F238E27FC236}">
              <a16:creationId xmlns:a16="http://schemas.microsoft.com/office/drawing/2014/main" id="{FD1A1611-EA43-4323-B3AE-7A7FE5DC45EB}"/>
            </a:ext>
          </a:extLst>
        </xdr:cNvPr>
        <xdr:cNvSpPr/>
      </xdr:nvSpPr>
      <xdr:spPr>
        <a:xfrm>
          <a:off x="6118860" y="3642360"/>
          <a:ext cx="5951220" cy="6019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schedules</a:t>
          </a:r>
          <a:r>
            <a:rPr lang="en-AU" sz="1200" b="0" baseline="0"/>
            <a:t> rates for several different items, each with their own rate amounts and rate schedules.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1043940</xdr:colOff>
      <xdr:row>8</xdr:row>
      <xdr:rowOff>152400</xdr:rowOff>
    </xdr:from>
    <xdr:to>
      <xdr:col>19</xdr:col>
      <xdr:colOff>129540</xdr:colOff>
      <xdr:row>15</xdr:row>
      <xdr:rowOff>22860</xdr:rowOff>
    </xdr:to>
    <xdr:sp macro="" textlink="">
      <xdr:nvSpPr>
        <xdr:cNvPr id="2" name="Rectangle: Rounded Corners 1">
          <a:extLst>
            <a:ext uri="{FF2B5EF4-FFF2-40B4-BE49-F238E27FC236}">
              <a16:creationId xmlns:a16="http://schemas.microsoft.com/office/drawing/2014/main" id="{EC4909FD-5864-4632-9A5C-193A269B7843}"/>
            </a:ext>
          </a:extLst>
        </xdr:cNvPr>
        <xdr:cNvSpPr/>
      </xdr:nvSpPr>
      <xdr:spPr>
        <a:xfrm>
          <a:off x="7368540" y="2011680"/>
          <a:ext cx="7360920" cy="1150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In this example our</a:t>
          </a:r>
          <a:r>
            <a:rPr lang="en-AU" sz="1200" b="0" baseline="0"/>
            <a:t> demand planning solution has predicted customer </a:t>
          </a:r>
          <a:r>
            <a:rPr lang="en-AU" sz="1200" b="1" baseline="0"/>
            <a:t>orders</a:t>
          </a:r>
          <a:r>
            <a:rPr lang="en-AU" sz="1200" b="0" baseline="0"/>
            <a:t>. We schedule those in the </a:t>
          </a:r>
          <a:r>
            <a:rPr lang="en-AU" sz="1200" b="1" baseline="0"/>
            <a:t>Receivables</a:t>
          </a:r>
          <a:r>
            <a:rPr lang="en-AU" sz="1200" b="0" baseline="0"/>
            <a:t> row. In the </a:t>
          </a:r>
          <a:r>
            <a:rPr lang="en-AU" sz="1200" b="1" baseline="0"/>
            <a:t>Customer Orders </a:t>
          </a:r>
          <a:r>
            <a:rPr lang="en-AU" sz="1200" b="0" baseline="0"/>
            <a:t>table we calculate when the customers will make payment based on each customer's </a:t>
          </a:r>
          <a:r>
            <a:rPr lang="en-AU" sz="1200" b="1" baseline="0"/>
            <a:t>terms</a:t>
          </a:r>
          <a:r>
            <a:rPr lang="en-AU" sz="1200" b="0" baseline="0"/>
            <a:t> (net # days). We then schedule those in the </a:t>
          </a:r>
          <a:r>
            <a:rPr lang="en-AU" sz="1200" b="1" baseline="0"/>
            <a:t>Receipts</a:t>
          </a:r>
          <a:r>
            <a:rPr lang="en-AU" sz="1200" b="0" baseline="0"/>
            <a:t> row. We subtract the </a:t>
          </a:r>
          <a:r>
            <a:rPr lang="en-AU" sz="1200" b="1" baseline="0"/>
            <a:t>Reciepts</a:t>
          </a:r>
          <a:r>
            <a:rPr lang="en-AU" sz="1200" b="0" baseline="0"/>
            <a:t> row from the </a:t>
          </a:r>
          <a:r>
            <a:rPr lang="en-AU" sz="1200" b="1" baseline="0"/>
            <a:t>Receivable</a:t>
          </a:r>
          <a:r>
            <a:rPr lang="en-AU" sz="1200" b="0" baseline="0"/>
            <a:t> row to calculate </a:t>
          </a:r>
          <a:r>
            <a:rPr lang="en-AU" sz="1200" b="1" baseline="0"/>
            <a:t>Open Receivables</a:t>
          </a:r>
          <a:r>
            <a:rPr lang="en-AU" sz="1200" b="0" baseline="0"/>
            <a:t> by period. We then calculate a cumulative total to determine </a:t>
          </a:r>
          <a:r>
            <a:rPr lang="en-AU" sz="1200" b="1" baseline="0"/>
            <a:t>Oustanding Receivables</a:t>
          </a:r>
          <a:r>
            <a:rPr lang="en-AU" sz="1200" b="0" baseline="0"/>
            <a:t>.</a:t>
          </a:r>
        </a:p>
        <a:p>
          <a:pPr algn="l"/>
          <a:endParaRPr lang="en-AU" sz="1200" b="0" baseline="0"/>
        </a:p>
        <a:p>
          <a:pPr algn="l"/>
          <a:endParaRPr lang="en-AU" sz="1200" b="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15240</xdr:colOff>
      <xdr:row>17</xdr:row>
      <xdr:rowOff>99060</xdr:rowOff>
    </xdr:from>
    <xdr:to>
      <xdr:col>20</xdr:col>
      <xdr:colOff>327660</xdr:colOff>
      <xdr:row>20</xdr:row>
      <xdr:rowOff>0</xdr:rowOff>
    </xdr:to>
    <xdr:sp macro="" textlink="">
      <xdr:nvSpPr>
        <xdr:cNvPr id="2" name="Rectangle: Rounded Corners 1">
          <a:extLst>
            <a:ext uri="{FF2B5EF4-FFF2-40B4-BE49-F238E27FC236}">
              <a16:creationId xmlns:a16="http://schemas.microsoft.com/office/drawing/2014/main" id="{7414E842-DA5D-4231-A4B2-BAFAE79A73B3}"/>
            </a:ext>
          </a:extLst>
        </xdr:cNvPr>
        <xdr:cNvSpPr/>
      </xdr:nvSpPr>
      <xdr:spPr>
        <a:xfrm>
          <a:off x="7048500" y="3421380"/>
          <a:ext cx="7627620" cy="4495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This is</a:t>
          </a:r>
          <a:r>
            <a:rPr lang="en-AU" sz="1200" b="0" baseline="0"/>
            <a:t> the same as oz.ScheduleValues</a:t>
          </a:r>
          <a:r>
            <a:rPr lang="el-GR" sz="1200" b="0" baseline="0"/>
            <a:t>λ</a:t>
          </a:r>
          <a:r>
            <a:rPr lang="en-AU" sz="1200" b="0" baseline="0"/>
            <a:t>() example with the exception that each customer is on its own line.</a:t>
          </a:r>
        </a:p>
        <a:p>
          <a:pPr algn="l"/>
          <a:endParaRPr lang="en-AU" sz="1200" b="0" baseline="0"/>
        </a:p>
        <a:p>
          <a:pPr algn="l"/>
          <a:endParaRPr lang="en-AU" sz="1200" b="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13</xdr:row>
      <xdr:rowOff>0</xdr:rowOff>
    </xdr:from>
    <xdr:to>
      <xdr:col>16</xdr:col>
      <xdr:colOff>45720</xdr:colOff>
      <xdr:row>17</xdr:row>
      <xdr:rowOff>53340</xdr:rowOff>
    </xdr:to>
    <xdr:sp macro="" textlink="">
      <xdr:nvSpPr>
        <xdr:cNvPr id="2" name="Rectangle: Rounded Corners 1">
          <a:extLst>
            <a:ext uri="{FF2B5EF4-FFF2-40B4-BE49-F238E27FC236}">
              <a16:creationId xmlns:a16="http://schemas.microsoft.com/office/drawing/2014/main" id="{A42F58C1-8F64-49D4-9AF3-C1E451BD1E6D}"/>
            </a:ext>
          </a:extLst>
        </xdr:cNvPr>
        <xdr:cNvSpPr/>
      </xdr:nvSpPr>
      <xdr:spPr>
        <a:xfrm>
          <a:off x="4564380" y="277368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The timeline is core to many models. This Ozzit function makes adding timelines simple. It can produce period start dates or end dates. It can accomodate any number of periods and periods can be Days, Weeks, Months, Quarters, or Years.</a:t>
          </a:r>
        </a:p>
        <a:p>
          <a:pPr algn="l"/>
          <a:endParaRPr lang="en-AU" sz="1200" b="0" baseline="0"/>
        </a:p>
        <a:p>
          <a:pPr algn="l"/>
          <a:endParaRPr lang="en-AU" sz="1200" b="0" baseline="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129540</xdr:colOff>
      <xdr:row>16</xdr:row>
      <xdr:rowOff>15240</xdr:rowOff>
    </xdr:from>
    <xdr:to>
      <xdr:col>14</xdr:col>
      <xdr:colOff>320040</xdr:colOff>
      <xdr:row>21</xdr:row>
      <xdr:rowOff>68580</xdr:rowOff>
    </xdr:to>
    <xdr:sp macro="" textlink="">
      <xdr:nvSpPr>
        <xdr:cNvPr id="2" name="Rectangle: Rounded Corners 1">
          <a:extLst>
            <a:ext uri="{FF2B5EF4-FFF2-40B4-BE49-F238E27FC236}">
              <a16:creationId xmlns:a16="http://schemas.microsoft.com/office/drawing/2014/main" id="{CA4995E5-0AD8-4CC7-B90D-940EC311CE18}"/>
            </a:ext>
          </a:extLst>
        </xdr:cNvPr>
        <xdr:cNvSpPr/>
      </xdr:nvSpPr>
      <xdr:spPr>
        <a:xfrm>
          <a:off x="3878580" y="3337560"/>
          <a:ext cx="7246620" cy="7848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small business loans scheduled. The first one starts partway through our model's first period. The last one extends beyond our model's timeline. </a:t>
          </a:r>
          <a:r>
            <a:rPr lang="en-AU" sz="1200" b="1" baseline="0"/>
            <a:t>Amortise</a:t>
          </a:r>
          <a:r>
            <a:rPr lang="el-GR" sz="1200" b="1" baseline="0"/>
            <a:t>λ</a:t>
          </a:r>
          <a:r>
            <a:rPr lang="en-AU" sz="1200" b="1" baseline="0"/>
            <a:t>() </a:t>
          </a:r>
          <a:r>
            <a:rPr lang="en-AU" sz="1200" b="0" baseline="0"/>
            <a:t>calculates the entire life of each loan and displays only those calculations that fit within the model's timeline.</a:t>
          </a:r>
        </a:p>
        <a:p>
          <a:pPr algn="l"/>
          <a:endParaRPr lang="en-AU" sz="1200" b="0" baseline="0"/>
        </a:p>
        <a:p>
          <a:pPr algn="l"/>
          <a:endParaRPr lang="en-AU" sz="1200" b="0" baseline="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18</xdr:row>
      <xdr:rowOff>99060</xdr:rowOff>
    </xdr:from>
    <xdr:to>
      <xdr:col>16</xdr:col>
      <xdr:colOff>335280</xdr:colOff>
      <xdr:row>20</xdr:row>
      <xdr:rowOff>38100</xdr:rowOff>
    </xdr:to>
    <xdr:sp macro="" textlink="">
      <xdr:nvSpPr>
        <xdr:cNvPr id="2" name="Rectangle: Rounded Corners 1">
          <a:extLst>
            <a:ext uri="{FF2B5EF4-FFF2-40B4-BE49-F238E27FC236}">
              <a16:creationId xmlns:a16="http://schemas.microsoft.com/office/drawing/2014/main" id="{2807B5FE-B821-49F1-8DFC-AAF1D6682A9D}"/>
            </a:ext>
          </a:extLst>
        </xdr:cNvPr>
        <xdr:cNvSpPr/>
      </xdr:nvSpPr>
      <xdr:spPr>
        <a:xfrm>
          <a:off x="3550920" y="3787140"/>
          <a:ext cx="81457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LabelAmortise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special purpose function for adding descriptions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38100</xdr:colOff>
      <xdr:row>18</xdr:row>
      <xdr:rowOff>30480</xdr:rowOff>
    </xdr:from>
    <xdr:to>
      <xdr:col>17</xdr:col>
      <xdr:colOff>137160</xdr:colOff>
      <xdr:row>20</xdr:row>
      <xdr:rowOff>121920</xdr:rowOff>
    </xdr:to>
    <xdr:sp macro="" textlink="">
      <xdr:nvSpPr>
        <xdr:cNvPr id="2" name="Rectangle: Rounded Corners 1">
          <a:extLst>
            <a:ext uri="{FF2B5EF4-FFF2-40B4-BE49-F238E27FC236}">
              <a16:creationId xmlns:a16="http://schemas.microsoft.com/office/drawing/2014/main" id="{0EFF9EF9-8437-4F16-8539-FD2FD4CACCF5}"/>
            </a:ext>
          </a:extLst>
        </xdr:cNvPr>
        <xdr:cNvSpPr/>
      </xdr:nvSpPr>
      <xdr:spPr>
        <a:xfrm>
          <a:off x="4053840" y="3535680"/>
          <a:ext cx="8602980" cy="4572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specific use function for adding appropriate row totals to </a:t>
          </a:r>
          <a:r>
            <a:rPr lang="en-AU" sz="1100" b="1" baseline="0">
              <a:solidFill>
                <a:schemeClr val="dk1"/>
              </a:solidFill>
              <a:effectLst/>
              <a:latin typeface="+mn-lt"/>
              <a:ea typeface="+mn-ea"/>
              <a:cs typeface="+mn-cs"/>
            </a:rPr>
            <a:t>Amortise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results.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693420</xdr:colOff>
      <xdr:row>10</xdr:row>
      <xdr:rowOff>160020</xdr:rowOff>
    </xdr:from>
    <xdr:to>
      <xdr:col>17</xdr:col>
      <xdr:colOff>228600</xdr:colOff>
      <xdr:row>21</xdr:row>
      <xdr:rowOff>99060</xdr:rowOff>
    </xdr:to>
    <xdr:sp macro="" textlink="">
      <xdr:nvSpPr>
        <xdr:cNvPr id="2" name="Rectangle: Rounded Corners 1">
          <a:extLst>
            <a:ext uri="{FF2B5EF4-FFF2-40B4-BE49-F238E27FC236}">
              <a16:creationId xmlns:a16="http://schemas.microsoft.com/office/drawing/2014/main" id="{78F044BB-CCC4-4F36-8803-1D5DB194A0DC}"/>
            </a:ext>
          </a:extLst>
        </xdr:cNvPr>
        <xdr:cNvSpPr/>
      </xdr:nvSpPr>
      <xdr:spPr>
        <a:xfrm>
          <a:off x="5334000" y="2385060"/>
          <a:ext cx="8145780" cy="19507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Simple corkscrews are a visual way to calculate cumulative balances from 'upward flows' and 'downward flows'. They are called corkscrews because when we trace how ending balances become beginning balances (see arrows below), we see a helical pattern which esembles a wine bottle corkscrew.</a:t>
          </a:r>
        </a:p>
        <a:p>
          <a:pPr algn="l"/>
          <a:endParaRPr lang="en-AU" sz="1200" b="0" baseline="0"/>
        </a:p>
        <a:p>
          <a:pPr algn="l"/>
          <a:r>
            <a:rPr lang="en-AU" sz="1200" b="0" baseline="0"/>
            <a:t>A common corkscrew is shown below. It calculates receivable balances where invoices add to receivables (upward flow), and cash receipts subtract from receivables (downward flow).</a:t>
          </a:r>
        </a:p>
        <a:p>
          <a:pPr algn="l"/>
          <a:endParaRPr lang="en-AU" sz="1200" b="0" baseline="0"/>
        </a:p>
        <a:p>
          <a:pPr algn="l"/>
          <a:r>
            <a:rPr lang="en-AU" sz="1200" b="1" baseline="0"/>
            <a:t>Corkscrew</a:t>
          </a:r>
          <a:r>
            <a:rPr lang="el-GR" sz="1200" b="1" baseline="0"/>
            <a:t>λ</a:t>
          </a:r>
          <a:r>
            <a:rPr lang="en-AU" sz="1200" b="1" baseline="0"/>
            <a:t>()</a:t>
          </a:r>
          <a:r>
            <a:rPr lang="en-AU" sz="1200" b="0" baseline="0"/>
            <a:t> is designed solely for simple corkscrews. It can accomodate upto 4 flows. Downward flows must be assigned negative values.</a:t>
          </a:r>
        </a:p>
        <a:p>
          <a:pPr algn="l"/>
          <a:endParaRPr lang="en-AU" sz="1200" b="0" baseline="0"/>
        </a:p>
        <a:p>
          <a:pPr algn="l"/>
          <a:endParaRPr lang="en-AU" sz="1200" b="0" baseline="0"/>
        </a:p>
      </xdr:txBody>
    </xdr:sp>
    <xdr:clientData/>
  </xdr:twoCellAnchor>
  <xdr:twoCellAnchor>
    <xdr:from>
      <xdr:col>6</xdr:col>
      <xdr:colOff>739140</xdr:colOff>
      <xdr:row>28</xdr:row>
      <xdr:rowOff>114300</xdr:rowOff>
    </xdr:from>
    <xdr:to>
      <xdr:col>7</xdr:col>
      <xdr:colOff>373380</xdr:colOff>
      <xdr:row>31</xdr:row>
      <xdr:rowOff>99060</xdr:rowOff>
    </xdr:to>
    <xdr:cxnSp macro="">
      <xdr:nvCxnSpPr>
        <xdr:cNvPr id="4" name="Straight Arrow Connector 3">
          <a:extLst>
            <a:ext uri="{FF2B5EF4-FFF2-40B4-BE49-F238E27FC236}">
              <a16:creationId xmlns:a16="http://schemas.microsoft.com/office/drawing/2014/main" id="{E2E6F775-2DE1-549D-644D-027A01564FF6}"/>
            </a:ext>
          </a:extLst>
        </xdr:cNvPr>
        <xdr:cNvCxnSpPr/>
      </xdr:nvCxnSpPr>
      <xdr:spPr>
        <a:xfrm flipV="1">
          <a:off x="5379720" y="5715000"/>
          <a:ext cx="396240"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754380</xdr:colOff>
      <xdr:row>28</xdr:row>
      <xdr:rowOff>114300</xdr:rowOff>
    </xdr:from>
    <xdr:to>
      <xdr:col>8</xdr:col>
      <xdr:colOff>396240</xdr:colOff>
      <xdr:row>31</xdr:row>
      <xdr:rowOff>121920</xdr:rowOff>
    </xdr:to>
    <xdr:cxnSp macro="">
      <xdr:nvCxnSpPr>
        <xdr:cNvPr id="5" name="Straight Arrow Connector 4">
          <a:extLst>
            <a:ext uri="{FF2B5EF4-FFF2-40B4-BE49-F238E27FC236}">
              <a16:creationId xmlns:a16="http://schemas.microsoft.com/office/drawing/2014/main" id="{FE81D944-F060-4C73-992A-98B6C5325D4C}"/>
            </a:ext>
          </a:extLst>
        </xdr:cNvPr>
        <xdr:cNvCxnSpPr/>
      </xdr:nvCxnSpPr>
      <xdr:spPr>
        <a:xfrm flipV="1">
          <a:off x="6156960" y="571500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754380</xdr:colOff>
      <xdr:row>28</xdr:row>
      <xdr:rowOff>106680</xdr:rowOff>
    </xdr:from>
    <xdr:to>
      <xdr:col>9</xdr:col>
      <xdr:colOff>365760</xdr:colOff>
      <xdr:row>31</xdr:row>
      <xdr:rowOff>114300</xdr:rowOff>
    </xdr:to>
    <xdr:cxnSp macro="">
      <xdr:nvCxnSpPr>
        <xdr:cNvPr id="9" name="Straight Arrow Connector 8">
          <a:extLst>
            <a:ext uri="{FF2B5EF4-FFF2-40B4-BE49-F238E27FC236}">
              <a16:creationId xmlns:a16="http://schemas.microsoft.com/office/drawing/2014/main" id="{5C5C63D1-0143-4F91-B091-EA157F4D77FE}"/>
            </a:ext>
          </a:extLst>
        </xdr:cNvPr>
        <xdr:cNvCxnSpPr/>
      </xdr:nvCxnSpPr>
      <xdr:spPr>
        <a:xfrm flipV="1">
          <a:off x="693420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769620</xdr:colOff>
      <xdr:row>28</xdr:row>
      <xdr:rowOff>106680</xdr:rowOff>
    </xdr:from>
    <xdr:to>
      <xdr:col>10</xdr:col>
      <xdr:colOff>411480</xdr:colOff>
      <xdr:row>31</xdr:row>
      <xdr:rowOff>114300</xdr:rowOff>
    </xdr:to>
    <xdr:cxnSp macro="">
      <xdr:nvCxnSpPr>
        <xdr:cNvPr id="10" name="Straight Arrow Connector 9">
          <a:extLst>
            <a:ext uri="{FF2B5EF4-FFF2-40B4-BE49-F238E27FC236}">
              <a16:creationId xmlns:a16="http://schemas.microsoft.com/office/drawing/2014/main" id="{1AC83322-5DAB-9200-7031-FDE897A14C9D}"/>
            </a:ext>
          </a:extLst>
        </xdr:cNvPr>
        <xdr:cNvCxnSpPr/>
      </xdr:nvCxnSpPr>
      <xdr:spPr>
        <a:xfrm flipV="1">
          <a:off x="77571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28</xdr:row>
      <xdr:rowOff>106680</xdr:rowOff>
    </xdr:from>
    <xdr:to>
      <xdr:col>11</xdr:col>
      <xdr:colOff>419100</xdr:colOff>
      <xdr:row>31</xdr:row>
      <xdr:rowOff>114300</xdr:rowOff>
    </xdr:to>
    <xdr:cxnSp macro="">
      <xdr:nvCxnSpPr>
        <xdr:cNvPr id="11" name="Straight Arrow Connector 10">
          <a:extLst>
            <a:ext uri="{FF2B5EF4-FFF2-40B4-BE49-F238E27FC236}">
              <a16:creationId xmlns:a16="http://schemas.microsoft.com/office/drawing/2014/main" id="{BA5C189E-29C9-E4BE-0181-DDC7BA89880C}"/>
            </a:ext>
          </a:extLst>
        </xdr:cNvPr>
        <xdr:cNvCxnSpPr/>
      </xdr:nvCxnSpPr>
      <xdr:spPr>
        <a:xfrm flipV="1">
          <a:off x="859536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731520</xdr:colOff>
      <xdr:row>28</xdr:row>
      <xdr:rowOff>106680</xdr:rowOff>
    </xdr:from>
    <xdr:to>
      <xdr:col>12</xdr:col>
      <xdr:colOff>381000</xdr:colOff>
      <xdr:row>31</xdr:row>
      <xdr:rowOff>114300</xdr:rowOff>
    </xdr:to>
    <xdr:cxnSp macro="">
      <xdr:nvCxnSpPr>
        <xdr:cNvPr id="12" name="Straight Arrow Connector 11">
          <a:extLst>
            <a:ext uri="{FF2B5EF4-FFF2-40B4-BE49-F238E27FC236}">
              <a16:creationId xmlns:a16="http://schemas.microsoft.com/office/drawing/2014/main" id="{0A550045-DDE0-C0D5-2B2D-56C702930BFB}"/>
            </a:ext>
          </a:extLst>
        </xdr:cNvPr>
        <xdr:cNvCxnSpPr/>
      </xdr:nvCxnSpPr>
      <xdr:spPr>
        <a:xfrm flipV="1">
          <a:off x="9326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28</xdr:row>
      <xdr:rowOff>106680</xdr:rowOff>
    </xdr:from>
    <xdr:to>
      <xdr:col>13</xdr:col>
      <xdr:colOff>419100</xdr:colOff>
      <xdr:row>31</xdr:row>
      <xdr:rowOff>114300</xdr:rowOff>
    </xdr:to>
    <xdr:cxnSp macro="">
      <xdr:nvCxnSpPr>
        <xdr:cNvPr id="13" name="Straight Arrow Connector 12">
          <a:extLst>
            <a:ext uri="{FF2B5EF4-FFF2-40B4-BE49-F238E27FC236}">
              <a16:creationId xmlns:a16="http://schemas.microsoft.com/office/drawing/2014/main" id="{B9AB5FD3-4F54-ED18-56B8-8E62DE50665B}"/>
            </a:ext>
          </a:extLst>
        </xdr:cNvPr>
        <xdr:cNvCxnSpPr/>
      </xdr:nvCxnSpPr>
      <xdr:spPr>
        <a:xfrm flipV="1">
          <a:off x="1008888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784860</xdr:colOff>
      <xdr:row>28</xdr:row>
      <xdr:rowOff>106680</xdr:rowOff>
    </xdr:from>
    <xdr:to>
      <xdr:col>14</xdr:col>
      <xdr:colOff>403860</xdr:colOff>
      <xdr:row>31</xdr:row>
      <xdr:rowOff>114300</xdr:rowOff>
    </xdr:to>
    <xdr:cxnSp macro="">
      <xdr:nvCxnSpPr>
        <xdr:cNvPr id="14" name="Straight Arrow Connector 13">
          <a:extLst>
            <a:ext uri="{FF2B5EF4-FFF2-40B4-BE49-F238E27FC236}">
              <a16:creationId xmlns:a16="http://schemas.microsoft.com/office/drawing/2014/main" id="{F6D76BCA-D309-800B-5668-CC349FE5131D}"/>
            </a:ext>
          </a:extLst>
        </xdr:cNvPr>
        <xdr:cNvCxnSpPr/>
      </xdr:nvCxnSpPr>
      <xdr:spPr>
        <a:xfrm flipV="1">
          <a:off x="10873740" y="5707380"/>
          <a:ext cx="41910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45720</xdr:colOff>
      <xdr:row>10</xdr:row>
      <xdr:rowOff>30480</xdr:rowOff>
    </xdr:from>
    <xdr:to>
      <xdr:col>15</xdr:col>
      <xdr:colOff>548640</xdr:colOff>
      <xdr:row>15</xdr:row>
      <xdr:rowOff>167640</xdr:rowOff>
    </xdr:to>
    <xdr:sp macro="" textlink="">
      <xdr:nvSpPr>
        <xdr:cNvPr id="2" name="Rectangle: Rounded Corners 1">
          <a:extLst>
            <a:ext uri="{FF2B5EF4-FFF2-40B4-BE49-F238E27FC236}">
              <a16:creationId xmlns:a16="http://schemas.microsoft.com/office/drawing/2014/main" id="{CD0E6289-AA74-41AB-AFE3-87890DA60515}"/>
            </a:ext>
          </a:extLst>
        </xdr:cNvPr>
        <xdr:cNvSpPr/>
      </xdr:nvSpPr>
      <xdr:spPr>
        <a:xfrm>
          <a:off x="3992880" y="1706880"/>
          <a:ext cx="8602980" cy="10515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an alternative to corkscrews. The closing balance in a corkscrew can be calculated by suming the column above the closing balance. This is visually natural. This alternative is calculated by adding the prior period's closing balance to the current period's subtotal. This is mathematically simpler but not as visually natural as totalling numbers in a column.</a:t>
          </a:r>
          <a:br>
            <a:rPr lang="en-AU" sz="1100" b="0" baseline="0">
              <a:solidFill>
                <a:schemeClr val="dk1"/>
              </a:solidFill>
              <a:effectLst/>
              <a:latin typeface="+mn-lt"/>
              <a:ea typeface="+mn-ea"/>
              <a:cs typeface="+mn-cs"/>
            </a:rPr>
          </a:br>
          <a:endParaRPr lang="en-AU" sz="11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Cumulative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requires something missing from corkscrew calculations: </a:t>
          </a:r>
          <a:r>
            <a:rPr lang="en-AU" sz="1100" b="1" baseline="0">
              <a:solidFill>
                <a:schemeClr val="dk1"/>
              </a:solidFill>
              <a:effectLst/>
              <a:latin typeface="+mn-lt"/>
              <a:ea typeface="+mn-ea"/>
              <a:cs typeface="+mn-cs"/>
            </a:rPr>
            <a:t>period subtotals</a:t>
          </a:r>
          <a:r>
            <a:rPr lang="en-AU" sz="1100" b="0" baseline="0">
              <a:solidFill>
                <a:schemeClr val="dk1"/>
              </a:solidFill>
              <a:effectLst/>
              <a:latin typeface="+mn-lt"/>
              <a:ea typeface="+mn-ea"/>
              <a:cs typeface="+mn-cs"/>
            </a:rPr>
            <a:t>. </a:t>
          </a:r>
          <a:r>
            <a:rPr lang="en-AU" sz="1100" b="1" baseline="0">
              <a:solidFill>
                <a:schemeClr val="dk1"/>
              </a:solidFill>
              <a:effectLst/>
              <a:latin typeface="+mn-lt"/>
              <a:ea typeface="+mn-ea"/>
              <a:cs typeface="+mn-cs"/>
            </a:rPr>
            <a:t>Period </a:t>
          </a:r>
          <a:r>
            <a:rPr lang="en-AU" sz="1100" b="0" baseline="0">
              <a:solidFill>
                <a:schemeClr val="dk1"/>
              </a:solidFill>
              <a:effectLst/>
              <a:latin typeface="+mn-lt"/>
              <a:ea typeface="+mn-ea"/>
              <a:cs typeface="+mn-cs"/>
            </a:rPr>
            <a:t>are sometimes desireable. See: </a:t>
          </a: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endParaRPr lang="en-AU" sz="1200" b="1" baseline="0"/>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45720</xdr:colOff>
      <xdr:row>51</xdr:row>
      <xdr:rowOff>30480</xdr:rowOff>
    </xdr:from>
    <xdr:to>
      <xdr:col>6</xdr:col>
      <xdr:colOff>411480</xdr:colOff>
      <xdr:row>65</xdr:row>
      <xdr:rowOff>68580</xdr:rowOff>
    </xdr:to>
    <xdr:sp macro="" textlink="">
      <xdr:nvSpPr>
        <xdr:cNvPr id="2" name="Rectangle: Rounded Corners 1">
          <a:extLst>
            <a:ext uri="{FF2B5EF4-FFF2-40B4-BE49-F238E27FC236}">
              <a16:creationId xmlns:a16="http://schemas.microsoft.com/office/drawing/2014/main" id="{27283608-5DEE-4FED-8F57-CFC6074CA4CB}"/>
            </a:ext>
          </a:extLst>
        </xdr:cNvPr>
        <xdr:cNvSpPr/>
      </xdr:nvSpPr>
      <xdr:spPr>
        <a:xfrm>
          <a:off x="45720" y="9921240"/>
          <a:ext cx="5036820" cy="25984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 this example we have several assets we need to depreciate. Each asset uses a different method. The first one predates our model's timeline. The last one extends beyond our model's timeline. </a:t>
          </a:r>
          <a:r>
            <a:rPr lang="en-AU" sz="1200" b="1" baseline="0"/>
            <a:t>Depreciate</a:t>
          </a:r>
          <a:r>
            <a:rPr lang="el-GR" sz="1200" b="1" baseline="0"/>
            <a:t>λ</a:t>
          </a:r>
          <a:r>
            <a:rPr lang="en-AU" sz="1200" b="1" baseline="0"/>
            <a:t>() </a:t>
          </a:r>
          <a:r>
            <a:rPr lang="en-AU" sz="1200" b="0" baseline="0"/>
            <a:t>calculates the entire life of each asset and displays only those calculations that fit within the model's timeline.</a:t>
          </a:r>
          <a:br>
            <a:rPr lang="en-AU" sz="1200" b="0" baseline="0"/>
          </a:br>
          <a:endParaRPr lang="en-AU" sz="1200" b="0" baseline="0"/>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set to not leave money on the table. In the final period it writes the remaining book value down to the salvage value. Excel's DB() and DDB() functions stop short of that, understating the deduction in the last period.</a:t>
          </a:r>
        </a:p>
        <a:p>
          <a:pPr algn="l"/>
          <a:endParaRPr lang="en-AU" sz="1100" b="0" baseline="0">
            <a:solidFill>
              <a:schemeClr val="dk1"/>
            </a:solidFill>
            <a:effectLst/>
            <a:latin typeface="+mn-lt"/>
            <a:ea typeface="+mn-ea"/>
            <a:cs typeface="+mn-cs"/>
          </a:endParaRPr>
        </a:p>
        <a:p>
          <a:pPr algn="l"/>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also compensates for Excel's DB() failure to calculate depreciation when no salvage value is claimed. </a:t>
          </a:r>
          <a:br>
            <a:rPr lang="en-AU" sz="1200" b="0" baseline="0"/>
          </a:br>
          <a:endParaRPr lang="en-AU" sz="1200" b="0" baseline="0"/>
        </a:p>
        <a:p>
          <a:pPr algn="l"/>
          <a:endParaRPr lang="en-AU" sz="1200" b="0" baseline="0"/>
        </a:p>
        <a:p>
          <a:pPr algn="l"/>
          <a:endParaRPr lang="en-AU" sz="1200" b="0" baseline="0"/>
        </a:p>
      </xdr:txBody>
    </xdr:sp>
    <xdr:clientData/>
  </xdr:twoCellAnchor>
  <xdr:twoCellAnchor>
    <xdr:from>
      <xdr:col>9</xdr:col>
      <xdr:colOff>914400</xdr:colOff>
      <xdr:row>32</xdr:row>
      <xdr:rowOff>106680</xdr:rowOff>
    </xdr:from>
    <xdr:to>
      <xdr:col>21</xdr:col>
      <xdr:colOff>7620</xdr:colOff>
      <xdr:row>35</xdr:row>
      <xdr:rowOff>38100</xdr:rowOff>
    </xdr:to>
    <xdr:sp macro="" textlink="">
      <xdr:nvSpPr>
        <xdr:cNvPr id="3" name="Rectangle: Rounded Corners 2">
          <a:extLst>
            <a:ext uri="{FF2B5EF4-FFF2-40B4-BE49-F238E27FC236}">
              <a16:creationId xmlns:a16="http://schemas.microsoft.com/office/drawing/2014/main" id="{8A865D83-3460-361A-5595-86A07F6A6353}"/>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Ozzit functions can spill an undetermined number of rows, it is best to place totals at top so they never have to be relocated.</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AB25C5FC-34EE-4F59-A326-FE448A119B1F}"/>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LableDepreciate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combines asset names with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row descriptions.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984B6AC3-71B7-4393-BB9A-CF6F5C75580D}"/>
            </a:ext>
          </a:extLst>
        </xdr:cNvPr>
        <xdr:cNvSpPr/>
      </xdr:nvSpPr>
      <xdr:spPr>
        <a:xfrm>
          <a:off x="6233160" y="56235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Ozzit functions can spill an undetermined number of rows, it is best to place totals at top so they never have to be relocated.</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868680</xdr:colOff>
      <xdr:row>22</xdr:row>
      <xdr:rowOff>53340</xdr:rowOff>
    </xdr:from>
    <xdr:to>
      <xdr:col>22</xdr:col>
      <xdr:colOff>685800</xdr:colOff>
      <xdr:row>23</xdr:row>
      <xdr:rowOff>144780</xdr:rowOff>
    </xdr:to>
    <xdr:sp macro="" textlink="">
      <xdr:nvSpPr>
        <xdr:cNvPr id="2" name="Rectangle: Rounded Corners 1">
          <a:extLst>
            <a:ext uri="{FF2B5EF4-FFF2-40B4-BE49-F238E27FC236}">
              <a16:creationId xmlns:a16="http://schemas.microsoft.com/office/drawing/2014/main" id="{6DDE1CA5-24A9-4CC5-A5B3-D61513D3C019}"/>
            </a:ext>
          </a:extLst>
        </xdr:cNvPr>
        <xdr:cNvSpPr/>
      </xdr:nvSpPr>
      <xdr:spPr>
        <a:xfrm>
          <a:off x="6187440" y="455676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creates row totals appropriate for </a:t>
          </a:r>
          <a:r>
            <a:rPr lang="en-AU" sz="1100" b="1" baseline="0">
              <a:solidFill>
                <a:schemeClr val="dk1"/>
              </a:solidFill>
              <a:effectLst/>
              <a:latin typeface="+mn-lt"/>
              <a:ea typeface="+mn-ea"/>
              <a:cs typeface="+mn-cs"/>
            </a:rPr>
            <a:t>depreciate</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's results.</a:t>
          </a:r>
          <a:endParaRPr lang="en-AU" sz="1200" b="0" baseline="0"/>
        </a:p>
      </xdr:txBody>
    </xdr:sp>
    <xdr:clientData/>
  </xdr:twoCellAnchor>
  <xdr:twoCellAnchor>
    <xdr:from>
      <xdr:col>9</xdr:col>
      <xdr:colOff>914400</xdr:colOff>
      <xdr:row>13</xdr:row>
      <xdr:rowOff>106680</xdr:rowOff>
    </xdr:from>
    <xdr:to>
      <xdr:col>23</xdr:col>
      <xdr:colOff>7620</xdr:colOff>
      <xdr:row>15</xdr:row>
      <xdr:rowOff>38100</xdr:rowOff>
    </xdr:to>
    <xdr:sp macro="" textlink="">
      <xdr:nvSpPr>
        <xdr:cNvPr id="3" name="Rectangle: Rounded Corners 2">
          <a:extLst>
            <a:ext uri="{FF2B5EF4-FFF2-40B4-BE49-F238E27FC236}">
              <a16:creationId xmlns:a16="http://schemas.microsoft.com/office/drawing/2014/main" id="{BA510176-2AF6-46E8-AAE8-5301991CD0FF}"/>
            </a:ext>
          </a:extLst>
        </xdr:cNvPr>
        <xdr:cNvSpPr/>
      </xdr:nvSpPr>
      <xdr:spPr>
        <a:xfrm>
          <a:off x="6233160" y="2880360"/>
          <a:ext cx="10294620" cy="3810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When Ozzit functions can spill an undetermined number of rows, it is best to place totals at top so they never have to be relocated.</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868680</xdr:colOff>
      <xdr:row>17</xdr:row>
      <xdr:rowOff>45720</xdr:rowOff>
    </xdr:from>
    <xdr:to>
      <xdr:col>22</xdr:col>
      <xdr:colOff>685800</xdr:colOff>
      <xdr:row>18</xdr:row>
      <xdr:rowOff>137160</xdr:rowOff>
    </xdr:to>
    <xdr:sp macro="" textlink="">
      <xdr:nvSpPr>
        <xdr:cNvPr id="2" name="Rectangle: Rounded Corners 1">
          <a:extLst>
            <a:ext uri="{FF2B5EF4-FFF2-40B4-BE49-F238E27FC236}">
              <a16:creationId xmlns:a16="http://schemas.microsoft.com/office/drawing/2014/main" id="{1BBBDC1E-544B-466A-A4B0-9642F85454DD}"/>
            </a:ext>
          </a:extLst>
        </xdr:cNvPr>
        <xdr:cNvSpPr/>
      </xdr:nvSpPr>
      <xdr:spPr>
        <a:xfrm>
          <a:off x="6187440" y="3550920"/>
          <a:ext cx="103022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baseline="0">
              <a:solidFill>
                <a:schemeClr val="dk1"/>
              </a:solidFill>
              <a:effectLst/>
              <a:latin typeface="+mn-lt"/>
              <a:ea typeface="+mn-ea"/>
              <a:cs typeface="+mn-cs"/>
            </a:rPr>
            <a:t>SumContains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totals those row values where the row labels contain a unique letter, word or phrase.</a:t>
          </a:r>
          <a:endParaRPr lang="en-AU" sz="1200" b="0" baseline="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693420</xdr:colOff>
      <xdr:row>9</xdr:row>
      <xdr:rowOff>106680</xdr:rowOff>
    </xdr:from>
    <xdr:to>
      <xdr:col>18</xdr:col>
      <xdr:colOff>449580</xdr:colOff>
      <xdr:row>15</xdr:row>
      <xdr:rowOff>137160</xdr:rowOff>
    </xdr:to>
    <xdr:sp macro="" textlink="">
      <xdr:nvSpPr>
        <xdr:cNvPr id="10" name="Rectangle: Rounded Corners 9">
          <a:extLst>
            <a:ext uri="{FF2B5EF4-FFF2-40B4-BE49-F238E27FC236}">
              <a16:creationId xmlns:a16="http://schemas.microsoft.com/office/drawing/2014/main" id="{1857AB08-89F3-481A-9015-B32E89E9305E}"/>
            </a:ext>
          </a:extLst>
        </xdr:cNvPr>
        <xdr:cNvSpPr/>
      </xdr:nvSpPr>
      <xdr:spPr>
        <a:xfrm>
          <a:off x="5532120" y="2148840"/>
          <a:ext cx="8404860" cy="11277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Interest during construction presents a special problem because we need to borrow enough to cover construction costs AND the interest on it, and the interest on that, and so on. </a:t>
          </a:r>
        </a:p>
        <a:p>
          <a:pPr algn="l"/>
          <a:endParaRPr lang="en-AU" sz="1200" b="0" baseline="0"/>
        </a:p>
        <a:p>
          <a:pPr algn="l"/>
          <a:r>
            <a:rPr lang="en-AU" sz="1200" b="1" baseline="0"/>
            <a:t>IntOnInt</a:t>
          </a:r>
          <a:r>
            <a:rPr lang="el-GR" sz="1200" b="1" baseline="0"/>
            <a:t>λ(</a:t>
          </a:r>
          <a:r>
            <a:rPr lang="en-AU" sz="1200" b="1" baseline="0"/>
            <a:t>) </a:t>
          </a:r>
          <a:r>
            <a:rPr lang="en-AU" sz="1200" b="0" baseline="0"/>
            <a:t>is not a complicated formula but one that is not well known. Wrapping it into a function with a name that conveys interest on interest can help prevent us from going down 'rabbit holes' that can consume a lot of time.</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182880</xdr:colOff>
      <xdr:row>15</xdr:row>
      <xdr:rowOff>106680</xdr:rowOff>
    </xdr:from>
    <xdr:to>
      <xdr:col>16</xdr:col>
      <xdr:colOff>609600</xdr:colOff>
      <xdr:row>22</xdr:row>
      <xdr:rowOff>160020</xdr:rowOff>
    </xdr:to>
    <xdr:sp macro="" textlink="">
      <xdr:nvSpPr>
        <xdr:cNvPr id="2" name="Rectangle: Rounded Corners 1">
          <a:extLst>
            <a:ext uri="{FF2B5EF4-FFF2-40B4-BE49-F238E27FC236}">
              <a16:creationId xmlns:a16="http://schemas.microsoft.com/office/drawing/2014/main" id="{B6077D12-8311-4ED3-874C-0602BC799888}"/>
            </a:ext>
          </a:extLst>
        </xdr:cNvPr>
        <xdr:cNvSpPr/>
      </xdr:nvSpPr>
      <xdr:spPr>
        <a:xfrm>
          <a:off x="4084320" y="3246120"/>
          <a:ext cx="8054340" cy="13335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baseline="0"/>
            <a:t>This improves Excels XIRR() </a:t>
          </a:r>
          <a:r>
            <a:rPr lang="en-AU" sz="1100" b="0" baseline="0">
              <a:solidFill>
                <a:schemeClr val="dk1"/>
              </a:solidFill>
              <a:effectLst/>
              <a:latin typeface="+mn-lt"/>
              <a:ea typeface="+mn-ea"/>
              <a:cs typeface="+mn-cs"/>
            </a:rPr>
            <a:t>(internal rate of return)  </a:t>
          </a:r>
          <a:r>
            <a:rPr lang="en-AU" sz="1200" b="0" baseline="0"/>
            <a:t>function.</a:t>
          </a:r>
        </a:p>
        <a:p>
          <a:pPr algn="l"/>
          <a:br>
            <a:rPr lang="en-AU" sz="1200" b="0" baseline="0"/>
          </a:br>
          <a:r>
            <a:rPr lang="en-AU" sz="1200" b="0" baseline="0"/>
            <a:t>Microsoft replaced Excel's </a:t>
          </a:r>
          <a:r>
            <a:rPr lang="en-AU" sz="1200" b="1" baseline="0"/>
            <a:t>IRR()</a:t>
          </a:r>
          <a:r>
            <a:rPr lang="en-AU" sz="1200" b="0" baseline="0"/>
            <a:t> function with </a:t>
          </a:r>
          <a:r>
            <a:rPr lang="en-AU" sz="1200" b="1" baseline="0"/>
            <a:t>XIRR(). XIRR()</a:t>
          </a:r>
          <a:r>
            <a:rPr lang="en-AU" sz="1200" b="0" baseline="0"/>
            <a:t> is an improvement over </a:t>
          </a:r>
          <a:r>
            <a:rPr lang="en-AU" sz="1200" b="1" baseline="0"/>
            <a:t>IRR() </a:t>
          </a:r>
          <a:r>
            <a:rPr lang="en-AU" sz="1200" b="0" baseline="0"/>
            <a:t>but suffers from inconclusive results under certain circumstances and a requirement that it must start on a non-zero cell that makes it very difficult to use for many financial models. Ozzit's </a:t>
          </a:r>
          <a:r>
            <a:rPr lang="en-AU" sz="1200" b="1" baseline="0"/>
            <a:t>IRR</a:t>
          </a:r>
          <a:r>
            <a:rPr lang="el-GR" sz="1200" b="1" baseline="0"/>
            <a:t>λ(</a:t>
          </a:r>
          <a:r>
            <a:rPr lang="en-AU" sz="1200" b="1" baseline="0"/>
            <a:t>) </a:t>
          </a:r>
          <a:r>
            <a:rPr lang="en-AU" sz="1200" b="0" baseline="0"/>
            <a:t>solves one of those issues by selection only non-zero cash flows and their ssociated dates.</a:t>
          </a:r>
          <a:br>
            <a:rPr lang="en-AU" sz="1200" b="0" baseline="0"/>
          </a:br>
          <a:endParaRPr lang="en-AU" sz="1200" b="0" baseline="0"/>
        </a:p>
        <a:p>
          <a:pPr algn="l"/>
          <a:endParaRPr lang="en-AU" sz="1200" b="0" baseline="0"/>
        </a:p>
        <a:p>
          <a:pPr algn="l"/>
          <a:endParaRPr lang="en-AU" sz="1200" b="0" baseline="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2F599FB7-D9D1-4E89-8D72-7125026C3E46}"/>
            </a:ext>
          </a:extLst>
        </xdr:cNvPr>
        <xdr:cNvSpPr/>
      </xdr:nvSpPr>
      <xdr:spPr>
        <a:xfrm>
          <a:off x="3878580" y="329946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6</xdr:col>
      <xdr:colOff>175260</xdr:colOff>
      <xdr:row>14</xdr:row>
      <xdr:rowOff>83820</xdr:rowOff>
    </xdr:from>
    <xdr:to>
      <xdr:col>17</xdr:col>
      <xdr:colOff>167640</xdr:colOff>
      <xdr:row>15</xdr:row>
      <xdr:rowOff>114300</xdr:rowOff>
    </xdr:to>
    <xdr:sp macro="" textlink="">
      <xdr:nvSpPr>
        <xdr:cNvPr id="10" name="Rectangle: Rounded Corners 9">
          <a:extLst>
            <a:ext uri="{FF2B5EF4-FFF2-40B4-BE49-F238E27FC236}">
              <a16:creationId xmlns:a16="http://schemas.microsoft.com/office/drawing/2014/main" id="{D072C2F6-2217-418D-AF1B-D6E1848F3F8D}"/>
            </a:ext>
          </a:extLst>
        </xdr:cNvPr>
        <xdr:cNvSpPr/>
      </xdr:nvSpPr>
      <xdr:spPr>
        <a:xfrm>
          <a:off x="5181600" y="3040380"/>
          <a:ext cx="8602980" cy="2971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Movement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calculates the change between values. </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5</xdr:col>
      <xdr:colOff>769620</xdr:colOff>
      <xdr:row>15</xdr:row>
      <xdr:rowOff>160020</xdr:rowOff>
    </xdr:from>
    <xdr:to>
      <xdr:col>18</xdr:col>
      <xdr:colOff>678180</xdr:colOff>
      <xdr:row>17</xdr:row>
      <xdr:rowOff>68580</xdr:rowOff>
    </xdr:to>
    <xdr:sp macro="" textlink="">
      <xdr:nvSpPr>
        <xdr:cNvPr id="2" name="Rectangle: Rounded Corners 1">
          <a:extLst>
            <a:ext uri="{FF2B5EF4-FFF2-40B4-BE49-F238E27FC236}">
              <a16:creationId xmlns:a16="http://schemas.microsoft.com/office/drawing/2014/main" id="{02553369-14E3-4196-8A5B-2589B4491A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RollingSum</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t>
          </a:r>
          <a:r>
            <a:rPr lang="en-AU" sz="1100" b="0">
              <a:solidFill>
                <a:schemeClr val="dk1"/>
              </a:solidFill>
              <a:effectLst/>
              <a:latin typeface="+mn-lt"/>
              <a:ea typeface="+mn-ea"/>
              <a:cs typeface="+mn-cs"/>
            </a:rPr>
            <a:t>Creates totals for preceding values of a set size moving from beginning to end over a row of values.</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 </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16</xdr:row>
      <xdr:rowOff>137160</xdr:rowOff>
    </xdr:from>
    <xdr:to>
      <xdr:col>15</xdr:col>
      <xdr:colOff>701040</xdr:colOff>
      <xdr:row>19</xdr:row>
      <xdr:rowOff>297180</xdr:rowOff>
    </xdr:to>
    <xdr:sp macro="" textlink="">
      <xdr:nvSpPr>
        <xdr:cNvPr id="2" name="Rectangle: Rounded Corners 1">
          <a:extLst>
            <a:ext uri="{FF2B5EF4-FFF2-40B4-BE49-F238E27FC236}">
              <a16:creationId xmlns:a16="http://schemas.microsoft.com/office/drawing/2014/main" id="{5D0A5F76-BA3C-4C0D-ACA7-03917C30009A}"/>
            </a:ext>
          </a:extLst>
        </xdr:cNvPr>
        <xdr:cNvSpPr/>
      </xdr:nvSpPr>
      <xdr:spPr>
        <a:xfrm>
          <a:off x="4907280" y="3459480"/>
          <a:ext cx="8145780" cy="7086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totalling by reporting periods things that were schedule by day. In this example, on the left we have scheduled amounts from a list that specifies the amount, when it starts, how often it repeats. To the right of that list is a Ozzit function that schedules those amounts by day. Below that is </a:t>
          </a:r>
          <a:r>
            <a:rPr lang="en-AU" sz="1100" b="1" baseline="0">
              <a:solidFill>
                <a:schemeClr val="dk1"/>
              </a:solidFill>
              <a:effectLst/>
              <a:latin typeface="+mn-lt"/>
              <a:ea typeface="+mn-ea"/>
              <a:cs typeface="+mn-cs"/>
            </a:rPr>
            <a:t>SumPeriods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that totals those amounts by reporting period.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190500</xdr:colOff>
      <xdr:row>13</xdr:row>
      <xdr:rowOff>30480</xdr:rowOff>
    </xdr:from>
    <xdr:to>
      <xdr:col>18</xdr:col>
      <xdr:colOff>525780</xdr:colOff>
      <xdr:row>16</xdr:row>
      <xdr:rowOff>114300</xdr:rowOff>
    </xdr:to>
    <xdr:sp macro="" textlink="">
      <xdr:nvSpPr>
        <xdr:cNvPr id="2" name="Rectangle: Rounded Corners 1">
          <a:extLst>
            <a:ext uri="{FF2B5EF4-FFF2-40B4-BE49-F238E27FC236}">
              <a16:creationId xmlns:a16="http://schemas.microsoft.com/office/drawing/2014/main" id="{6B5977F8-6DE9-45FE-BA44-B4FBF036BE49}"/>
            </a:ext>
          </a:extLst>
        </xdr:cNvPr>
        <xdr:cNvSpPr/>
      </xdr:nvSpPr>
      <xdr:spPr>
        <a:xfrm>
          <a:off x="5196840" y="2804160"/>
          <a:ext cx="8145780" cy="6324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TimelineOffset</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determining a timeline's column under which a date belongs. It is used by other Ozzit functions as a subroutine.</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91440</xdr:colOff>
      <xdr:row>13</xdr:row>
      <xdr:rowOff>0</xdr:rowOff>
    </xdr:from>
    <xdr:to>
      <xdr:col>17</xdr:col>
      <xdr:colOff>289560</xdr:colOff>
      <xdr:row>19</xdr:row>
      <xdr:rowOff>198120</xdr:rowOff>
    </xdr:to>
    <xdr:sp macro="" textlink="">
      <xdr:nvSpPr>
        <xdr:cNvPr id="2" name="Rectangle: Rounded Corners 1">
          <a:extLst>
            <a:ext uri="{FF2B5EF4-FFF2-40B4-BE49-F238E27FC236}">
              <a16:creationId xmlns:a16="http://schemas.microsoft.com/office/drawing/2014/main" id="{34EFE12C-3D90-4EC5-975E-1FBB20F526DF}"/>
            </a:ext>
          </a:extLst>
        </xdr:cNvPr>
        <xdr:cNvSpPr/>
      </xdr:nvSpPr>
      <xdr:spPr>
        <a:xfrm>
          <a:off x="6278880" y="2773680"/>
          <a:ext cx="6438900" cy="12954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places an array within the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In this example, we have a loan schedule. That loan starts in 2022.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0" baseline="0">
              <a:solidFill>
                <a:schemeClr val="dk1"/>
              </a:solidFill>
              <a:effectLst/>
              <a:latin typeface="+mn-lt"/>
              <a:ea typeface="+mn-ea"/>
              <a:cs typeface="+mn-cs"/>
            </a:rPr>
            <a:t>Below the loan schedule is our model with its timeline. Our model starts in 2026.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takes the loan schedule and properly places it under our model's timeline. </a:t>
          </a:r>
        </a:p>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allows us to model things like amortisation and depreciation of existing loans and assets naturally and let </a:t>
          </a:r>
          <a:r>
            <a:rPr lang="en-AU" sz="1100" b="1" baseline="0">
              <a:solidFill>
                <a:schemeClr val="dk1"/>
              </a:solidFill>
              <a:effectLst/>
              <a:latin typeface="+mn-lt"/>
              <a:ea typeface="+mn-ea"/>
              <a:cs typeface="+mn-cs"/>
            </a:rPr>
            <a:t>TimelinePosition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position and crop the calculations to fit our model.</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6377940</xdr:colOff>
      <xdr:row>3</xdr:row>
      <xdr:rowOff>60960</xdr:rowOff>
    </xdr:from>
    <xdr:to>
      <xdr:col>9</xdr:col>
      <xdr:colOff>358140</xdr:colOff>
      <xdr:row>12</xdr:row>
      <xdr:rowOff>114300</xdr:rowOff>
    </xdr:to>
    <xdr:sp macro="" textlink="">
      <xdr:nvSpPr>
        <xdr:cNvPr id="2" name="Rectangle: Rounded Corners 1">
          <a:extLst>
            <a:ext uri="{FF2B5EF4-FFF2-40B4-BE49-F238E27FC236}">
              <a16:creationId xmlns:a16="http://schemas.microsoft.com/office/drawing/2014/main" id="{AED5565D-295E-47BC-A90E-1355983D1AFC}"/>
            </a:ext>
          </a:extLst>
        </xdr:cNvPr>
        <xdr:cNvSpPr/>
      </xdr:nvSpPr>
      <xdr:spPr>
        <a:xfrm>
          <a:off x="7886700" y="1005840"/>
          <a:ext cx="5090160" cy="169926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200" b="0"/>
            <a:t>Every Ozzit library has an </a:t>
          </a:r>
          <a:r>
            <a:rPr lang="en-AU" sz="1200" b="1"/>
            <a:t>About</a:t>
          </a:r>
          <a:r>
            <a:rPr lang="el-GR" sz="1200" b="1"/>
            <a:t>λ</a:t>
          </a:r>
          <a:r>
            <a:rPr lang="en-AU" sz="1200" b="1"/>
            <a:t>()</a:t>
          </a:r>
          <a:r>
            <a:rPr lang="en-AU" sz="1200" b="0"/>
            <a:t> function. It lists all the functions in the library. To bring up this list, type this formula into any open space</a:t>
          </a:r>
          <a:r>
            <a:rPr lang="en-AU" sz="1200" b="0" baseline="0"/>
            <a:t> on your worksheet and hit ENTER: </a:t>
          </a:r>
          <a:r>
            <a:rPr lang="en-AU" sz="1200" b="1" baseline="0"/>
            <a:t>=oz.</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a:t>
          </a:r>
        </a:p>
        <a:p>
          <a:pPr algn="l"/>
          <a:endParaRPr lang="en-AU" sz="1100" b="1">
            <a:solidFill>
              <a:schemeClr val="dk1"/>
            </a:solidFill>
            <a:effectLst/>
            <a:latin typeface="+mn-lt"/>
            <a:ea typeface="+mn-ea"/>
            <a:cs typeface="+mn-cs"/>
          </a:endParaRPr>
        </a:p>
        <a:p>
          <a:pPr algn="l"/>
          <a:r>
            <a:rPr lang="en-AU" sz="1100" b="1">
              <a:solidFill>
                <a:schemeClr val="dk1"/>
              </a:solidFill>
              <a:effectLst/>
              <a:latin typeface="+mn-lt"/>
              <a:ea typeface="+mn-ea"/>
              <a:cs typeface="+mn-cs"/>
            </a:rPr>
            <a:t>NOTE!</a:t>
          </a:r>
          <a:r>
            <a:rPr lang="en-AU" sz="1100" b="0">
              <a:solidFill>
                <a:schemeClr val="dk1"/>
              </a:solidFill>
              <a:effectLst/>
              <a:latin typeface="+mn-lt"/>
              <a:ea typeface="+mn-ea"/>
              <a:cs typeface="+mn-cs"/>
            </a:rPr>
            <a:t> The</a:t>
          </a:r>
          <a:r>
            <a:rPr lang="en-AU" sz="1100" b="0" baseline="0">
              <a:solidFill>
                <a:schemeClr val="dk1"/>
              </a:solidFill>
              <a:effectLst/>
              <a:latin typeface="+mn-lt"/>
              <a:ea typeface="+mn-ea"/>
              <a:cs typeface="+mn-cs"/>
            </a:rPr>
            <a:t> prefix oz is what Excel refers to as a module name. These are optional. Their purpose is to ensure that we never duplicate function names between libraries. As noted at top, every Ozzit library has an </a:t>
          </a:r>
          <a:r>
            <a:rPr lang="en-AU" sz="1100" b="1">
              <a:solidFill>
                <a:schemeClr val="dk1"/>
              </a:solidFill>
              <a:effectLst/>
              <a:latin typeface="+mn-lt"/>
              <a:ea typeface="+mn-ea"/>
              <a:cs typeface="+mn-cs"/>
            </a:rPr>
            <a:t>About</a:t>
          </a:r>
          <a:r>
            <a:rPr lang="el-GR" sz="1100" b="1">
              <a:solidFill>
                <a:schemeClr val="dk1"/>
              </a:solidFill>
              <a:effectLst/>
              <a:latin typeface="+mn-lt"/>
              <a:ea typeface="+mn-ea"/>
              <a:cs typeface="+mn-cs"/>
            </a:rPr>
            <a:t>λ</a:t>
          </a:r>
          <a:r>
            <a:rPr lang="en-AU" sz="1100" b="1">
              <a:solidFill>
                <a:schemeClr val="dk1"/>
              </a:solidFill>
              <a:effectLst/>
              <a:latin typeface="+mn-lt"/>
              <a:ea typeface="+mn-ea"/>
              <a:cs typeface="+mn-cs"/>
            </a:rPr>
            <a:t>() </a:t>
          </a:r>
          <a:r>
            <a:rPr lang="en-AU" sz="1100" b="0" baseline="0">
              <a:solidFill>
                <a:schemeClr val="dk1"/>
              </a:solidFill>
              <a:effectLst/>
              <a:latin typeface="+mn-lt"/>
              <a:ea typeface="+mn-ea"/>
              <a:cs typeface="+mn-cs"/>
            </a:rPr>
            <a:t>function so the only way to get </a:t>
          </a:r>
          <a:r>
            <a:rPr lang="en-AU" sz="1100" b="0" i="1" u="sng" baseline="0">
              <a:solidFill>
                <a:schemeClr val="dk1"/>
              </a:solidFill>
              <a:effectLst/>
              <a:latin typeface="+mn-lt"/>
              <a:ea typeface="+mn-ea"/>
              <a:cs typeface="+mn-cs"/>
            </a:rPr>
            <a:t>this</a:t>
          </a:r>
          <a:r>
            <a:rPr lang="en-AU" sz="1100" b="0" baseline="0">
              <a:solidFill>
                <a:schemeClr val="dk1"/>
              </a:solidFill>
              <a:effectLst/>
              <a:latin typeface="+mn-lt"/>
              <a:ea typeface="+mn-ea"/>
              <a:cs typeface="+mn-cs"/>
            </a:rPr>
            <a:t> About's information is to add the prefix oz to it.</a:t>
          </a:r>
        </a:p>
        <a:p>
          <a:pPr algn="l"/>
          <a:endParaRPr lang="en-AU" sz="1200" b="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xdr:col>
      <xdr:colOff>53340</xdr:colOff>
      <xdr:row>15</xdr:row>
      <xdr:rowOff>144780</xdr:rowOff>
    </xdr:from>
    <xdr:to>
      <xdr:col>14</xdr:col>
      <xdr:colOff>525780</xdr:colOff>
      <xdr:row>17</xdr:row>
      <xdr:rowOff>0</xdr:rowOff>
    </xdr:to>
    <xdr:sp macro="" textlink="">
      <xdr:nvSpPr>
        <xdr:cNvPr id="2" name="Rectangle: Rounded Corners 1">
          <a:extLst>
            <a:ext uri="{FF2B5EF4-FFF2-40B4-BE49-F238E27FC236}">
              <a16:creationId xmlns:a16="http://schemas.microsoft.com/office/drawing/2014/main" id="{E64FDF27-F2E6-4E1C-9685-0FF81C7C7DAA}"/>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rows in an array. </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B4DA2023-3A7A-49BC-B9C8-5EC48366E427}"/>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adding totals to all columns in an array. </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3D7F6DEF-3F97-4988-AE9A-300FE7427C4B}"/>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AvgRows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each row in an array. </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6F4F7CAD-C8A5-4DE8-8872-23268B98FF86}"/>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SumCols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averaging columns in an array. </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717A5BF0-E9DA-492E-B220-6FE78DB47ED8}"/>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row in an array. </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02A25243-02FE-4C8A-AFF3-2E2F5F498933}"/>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MinCols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minimum from each column in an array. </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4</xdr:col>
      <xdr:colOff>53340</xdr:colOff>
      <xdr:row>13</xdr:row>
      <xdr:rowOff>0</xdr:rowOff>
    </xdr:from>
    <xdr:to>
      <xdr:col>14</xdr:col>
      <xdr:colOff>525780</xdr:colOff>
      <xdr:row>14</xdr:row>
      <xdr:rowOff>0</xdr:rowOff>
    </xdr:to>
    <xdr:sp macro="" textlink="">
      <xdr:nvSpPr>
        <xdr:cNvPr id="2" name="Rectangle: Rounded Corners 1">
          <a:extLst>
            <a:ext uri="{FF2B5EF4-FFF2-40B4-BE49-F238E27FC236}">
              <a16:creationId xmlns:a16="http://schemas.microsoft.com/office/drawing/2014/main" id="{17E337DE-EB4E-4065-B431-421CD28E985C}"/>
            </a:ext>
          </a:extLst>
        </xdr:cNvPr>
        <xdr:cNvSpPr/>
      </xdr:nvSpPr>
      <xdr:spPr>
        <a:xfrm>
          <a:off x="2491740" y="3284220"/>
          <a:ext cx="8602980" cy="3048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row in an array.</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5</xdr:col>
      <xdr:colOff>769620</xdr:colOff>
      <xdr:row>12</xdr:row>
      <xdr:rowOff>160020</xdr:rowOff>
    </xdr:from>
    <xdr:to>
      <xdr:col>18</xdr:col>
      <xdr:colOff>678180</xdr:colOff>
      <xdr:row>14</xdr:row>
      <xdr:rowOff>68580</xdr:rowOff>
    </xdr:to>
    <xdr:sp macro="" textlink="">
      <xdr:nvSpPr>
        <xdr:cNvPr id="2" name="Rectangle: Rounded Corners 1">
          <a:extLst>
            <a:ext uri="{FF2B5EF4-FFF2-40B4-BE49-F238E27FC236}">
              <a16:creationId xmlns:a16="http://schemas.microsoft.com/office/drawing/2014/main" id="{87D9D8C2-DF30-4989-973F-56D01A113AC8}"/>
            </a:ext>
          </a:extLst>
        </xdr:cNvPr>
        <xdr:cNvSpPr/>
      </xdr:nvSpPr>
      <xdr:spPr>
        <a:xfrm>
          <a:off x="3878580" y="2750820"/>
          <a:ext cx="9616440" cy="3581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MaxCols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a general purpose function for getting maximum from each column in an array.</a:t>
          </a: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15240</xdr:colOff>
      <xdr:row>11</xdr:row>
      <xdr:rowOff>137160</xdr:rowOff>
    </xdr:from>
    <xdr:to>
      <xdr:col>18</xdr:col>
      <xdr:colOff>0</xdr:colOff>
      <xdr:row>14</xdr:row>
      <xdr:rowOff>91440</xdr:rowOff>
    </xdr:to>
    <xdr:sp macro="" textlink="">
      <xdr:nvSpPr>
        <xdr:cNvPr id="2" name="Rectangle: Rounded Corners 1">
          <a:extLst>
            <a:ext uri="{FF2B5EF4-FFF2-40B4-BE49-F238E27FC236}">
              <a16:creationId xmlns:a16="http://schemas.microsoft.com/office/drawing/2014/main" id="{E2A676B0-F0D7-457D-B503-814492DA2F43}"/>
            </a:ext>
          </a:extLst>
        </xdr:cNvPr>
        <xdr:cNvSpPr/>
      </xdr:nvSpPr>
      <xdr:spPr>
        <a:xfrm>
          <a:off x="3970020" y="2545080"/>
          <a:ext cx="937260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CountARows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4</xdr:col>
      <xdr:colOff>1478280</xdr:colOff>
      <xdr:row>11</xdr:row>
      <xdr:rowOff>137160</xdr:rowOff>
    </xdr:from>
    <xdr:to>
      <xdr:col>18</xdr:col>
      <xdr:colOff>190500</xdr:colOff>
      <xdr:row>14</xdr:row>
      <xdr:rowOff>91440</xdr:rowOff>
    </xdr:to>
    <xdr:sp macro="" textlink="">
      <xdr:nvSpPr>
        <xdr:cNvPr id="2" name="Rectangle: Rounded Corners 1">
          <a:extLst>
            <a:ext uri="{FF2B5EF4-FFF2-40B4-BE49-F238E27FC236}">
              <a16:creationId xmlns:a16="http://schemas.microsoft.com/office/drawing/2014/main" id="{022D8651-AA5E-4897-B5DC-B6A81FCBDE7E}"/>
            </a:ext>
          </a:extLst>
        </xdr:cNvPr>
        <xdr:cNvSpPr/>
      </xdr:nvSpPr>
      <xdr:spPr>
        <a:xfrm>
          <a:off x="3916680" y="2545080"/>
          <a:ext cx="9616440" cy="5867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CountACols</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provided to be comprehensive, but makes little sense when applied to dynamic arrays because every element in a dynamic array will have something in it, even if it is just "". So you will notice the argument provided in the example below (not in the about) are not an array reference but a range reference.</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5</xdr:col>
      <xdr:colOff>0</xdr:colOff>
      <xdr:row>12</xdr:row>
      <xdr:rowOff>144780</xdr:rowOff>
    </xdr:from>
    <xdr:to>
      <xdr:col>16</xdr:col>
      <xdr:colOff>701040</xdr:colOff>
      <xdr:row>17</xdr:row>
      <xdr:rowOff>0</xdr:rowOff>
    </xdr:to>
    <xdr:sp macro="" textlink="">
      <xdr:nvSpPr>
        <xdr:cNvPr id="2" name="Rectangle: Rounded Corners 1">
          <a:extLst>
            <a:ext uri="{FF2B5EF4-FFF2-40B4-BE49-F238E27FC236}">
              <a16:creationId xmlns:a16="http://schemas.microsoft.com/office/drawing/2014/main" id="{D652044C-6D1A-423D-AAF7-861CEB3FD011}"/>
            </a:ext>
          </a:extLst>
        </xdr:cNvPr>
        <xdr:cNvSpPr/>
      </xdr:nvSpPr>
      <xdr:spPr>
        <a:xfrm>
          <a:off x="4130040" y="2735580"/>
          <a:ext cx="9616440" cy="76962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IsBetween</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is the function Microsoft forgot, probably because they feel it is too trivial for its own function. Whaterver their reason is, I have always wanted this function. With LAMBDA, I can finally create it. In this example we want to put in our timeline when each customer is scheduled to onboard.</a:t>
          </a:r>
          <a:br>
            <a:rPr lang="en-AU" sz="1100" b="0" baseline="0">
              <a:solidFill>
                <a:schemeClr val="dk1"/>
              </a:solidFill>
              <a:effectLst/>
              <a:latin typeface="+mn-lt"/>
              <a:ea typeface="+mn-ea"/>
              <a:cs typeface="+mn-cs"/>
            </a:rPr>
          </a:br>
          <a:r>
            <a:rPr lang="en-AU" sz="1100" b="1" baseline="0">
              <a:solidFill>
                <a:schemeClr val="dk1"/>
              </a:solidFill>
              <a:effectLst/>
              <a:latin typeface="+mn-lt"/>
              <a:ea typeface="+mn-ea"/>
              <a:cs typeface="+mn-cs"/>
            </a:rPr>
            <a:t>NOTE!</a:t>
          </a:r>
          <a:r>
            <a:rPr lang="en-AU" sz="1100" b="0" baseline="0">
              <a:solidFill>
                <a:schemeClr val="dk1"/>
              </a:solidFill>
              <a:effectLst/>
              <a:latin typeface="+mn-lt"/>
              <a:ea typeface="+mn-ea"/>
              <a:cs typeface="+mn-cs"/>
            </a:rPr>
            <a:t> This function returns TRUE or FALSE. To convert TRUE/FALSE to 1/0 wrap this function in the N() function or preceed it wtih double minus signs (</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sz="1100" b="0" baseline="0">
            <a:solidFill>
              <a:schemeClr val="dk1"/>
            </a:solidFill>
            <a:effectLst/>
            <a:latin typeface="+mn-lt"/>
            <a:ea typeface="+mn-ea"/>
            <a:cs typeface="+mn-cs"/>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5</xdr:col>
      <xdr:colOff>1173480</xdr:colOff>
      <xdr:row>5</xdr:row>
      <xdr:rowOff>68580</xdr:rowOff>
    </xdr:from>
    <xdr:to>
      <xdr:col>17</xdr:col>
      <xdr:colOff>571500</xdr:colOff>
      <xdr:row>10</xdr:row>
      <xdr:rowOff>83820</xdr:rowOff>
    </xdr:to>
    <xdr:sp macro="" textlink="">
      <xdr:nvSpPr>
        <xdr:cNvPr id="2" name="Rectangle: Rounded Corners 1">
          <a:extLst>
            <a:ext uri="{FF2B5EF4-FFF2-40B4-BE49-F238E27FC236}">
              <a16:creationId xmlns:a16="http://schemas.microsoft.com/office/drawing/2014/main" id="{AEFD1C77-A194-491B-95E6-4748AB4460CA}"/>
            </a:ext>
          </a:extLst>
        </xdr:cNvPr>
        <xdr:cNvSpPr/>
      </xdr:nvSpPr>
      <xdr:spPr>
        <a:xfrm>
          <a:off x="5303520" y="1379220"/>
          <a:ext cx="9212580" cy="92964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a:t>
          </a:r>
          <a:r>
            <a:rPr lang="en-AU" sz="1100" b="0" baseline="0">
              <a:solidFill>
                <a:schemeClr val="dk1"/>
              </a:solidFill>
              <a:effectLst/>
              <a:latin typeface="+mn-lt"/>
              <a:ea typeface="+mn-ea"/>
              <a:cs typeface="+mn-cs"/>
            </a:rPr>
            <a:t> provides a bridge between user input simplicity and dynamic array flexibility. Users find entering assumptions into crosstab formats, where values are entered under a timeline running across the top, simpler than entering them into a table. Tables and dynamic arrays are a natural fit. They both expand as needed. Traditional crosstab inputs do not expand and that can make them incompatible with dynamic array models. </a:t>
          </a:r>
          <a:r>
            <a:rPr lang="en-AU" sz="1100" b="1" baseline="0">
              <a:solidFill>
                <a:schemeClr val="dk1"/>
              </a:solidFill>
              <a:effectLst/>
              <a:latin typeface="+mn-lt"/>
              <a:ea typeface="+mn-ea"/>
              <a:cs typeface="+mn-cs"/>
            </a:rPr>
            <a:t>RangeToDA</a:t>
          </a:r>
          <a:r>
            <a:rPr lang="el-GR" sz="1100" b="1" baseline="0">
              <a:solidFill>
                <a:schemeClr val="dk1"/>
              </a:solidFill>
              <a:effectLst/>
              <a:latin typeface="+mn-lt"/>
              <a:ea typeface="+mn-ea"/>
              <a:cs typeface="+mn-cs"/>
            </a:rPr>
            <a:t>λ</a:t>
          </a:r>
          <a:r>
            <a:rPr lang="en-AU" sz="1100" b="1" baseline="0">
              <a:solidFill>
                <a:schemeClr val="dk1"/>
              </a:solidFill>
              <a:effectLst/>
              <a:latin typeface="+mn-lt"/>
              <a:ea typeface="+mn-ea"/>
              <a:cs typeface="+mn-cs"/>
            </a:rPr>
            <a:t> </a:t>
          </a:r>
          <a:r>
            <a:rPr lang="en-AU" sz="1100" b="0" baseline="0">
              <a:solidFill>
                <a:schemeClr val="dk1"/>
              </a:solidFill>
              <a:effectLst/>
              <a:latin typeface="+mn-lt"/>
              <a:ea typeface="+mn-ea"/>
              <a:cs typeface="+mn-cs"/>
            </a:rPr>
            <a:t>makes crosstab inputs appear to dynamic arrays as dynamic ranges so we can more easily incorporate what users prefer into our dynamic array models.</a:t>
          </a:r>
        </a:p>
      </xdr:txBody>
    </xdr:sp>
    <xdr:clientData/>
  </xdr:twoCellAnchor>
  <xdr:twoCellAnchor>
    <xdr:from>
      <xdr:col>5</xdr:col>
      <xdr:colOff>1173480</xdr:colOff>
      <xdr:row>11</xdr:row>
      <xdr:rowOff>30480</xdr:rowOff>
    </xdr:from>
    <xdr:to>
      <xdr:col>15</xdr:col>
      <xdr:colOff>0</xdr:colOff>
      <xdr:row>12</xdr:row>
      <xdr:rowOff>106680</xdr:rowOff>
    </xdr:to>
    <xdr:sp macro="" textlink="">
      <xdr:nvSpPr>
        <xdr:cNvPr id="3" name="Rectangle: Rounded Corners 2">
          <a:extLst>
            <a:ext uri="{FF2B5EF4-FFF2-40B4-BE49-F238E27FC236}">
              <a16:creationId xmlns:a16="http://schemas.microsoft.com/office/drawing/2014/main" id="{6A783B74-6BAE-470B-80E5-CB4F74E25A22}"/>
            </a:ext>
          </a:extLst>
        </xdr:cNvPr>
        <xdr:cNvSpPr/>
      </xdr:nvSpPr>
      <xdr:spPr>
        <a:xfrm>
          <a:off x="5303520" y="2438400"/>
          <a:ext cx="7071360" cy="25908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AU" sz="1100" b="1" baseline="0">
              <a:solidFill>
                <a:schemeClr val="dk1"/>
              </a:solidFill>
              <a:effectLst/>
              <a:latin typeface="+mn-lt"/>
              <a:ea typeface="+mn-ea"/>
              <a:cs typeface="+mn-cs"/>
            </a:rPr>
            <a:t>User Inputs</a:t>
          </a:r>
          <a:endParaRPr lang="en-AU" sz="1100" b="0" baseline="0">
            <a:solidFill>
              <a:schemeClr val="dk1"/>
            </a:solidFill>
            <a:effectLst/>
            <a:latin typeface="+mn-lt"/>
            <a:ea typeface="+mn-ea"/>
            <a:cs typeface="+mn-cs"/>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6F291F0-E4B2-4114-B331-7FC3979BB1C1}" sourceName="Type">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Type" xr10:uid="{46CF364F-22D8-4ACC-91A5-8BC4CCF29820}" cache="Slicer_Type" caption="Type"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010CAF-EA49-4148-9923-ED706EEE57BF}" name="tblTOC" displayName="tblTOC" ref="A4:D70" totalsRowShown="0" headerRowDxfId="104" dataDxfId="102" headerRowBorderDxfId="103" tableBorderDxfId="101" totalsRowBorderDxfId="100" dataCellStyle="Normal">
  <autoFilter ref="A4:D70" xr:uid="{D9010CAF-EA49-4148-9923-ED706EEE57BF}"/>
  <sortState xmlns:xlrd2="http://schemas.microsoft.com/office/spreadsheetml/2017/richdata2" ref="A5:D69">
    <sortCondition ref="C4:C69"/>
  </sortState>
  <tableColumns count="4">
    <tableColumn id="1" xr3:uid="{EBD83C8E-16F7-42ED-BF72-760B337830C9}" name="Name" dataDxfId="99" dataCellStyle="Normal"/>
    <tableColumn id="2" xr3:uid="{76839C3B-3EC2-40F2-81C2-6D135E40FBA6}" name="Type" dataDxfId="98" dataCellStyle="Normal"/>
    <tableColumn id="3" xr3:uid="{5B6D5F10-72F2-4715-ACCD-BF95E741A80D}" name="Title" dataDxfId="97" dataCellStyle="Normal"/>
    <tableColumn id="4" xr3:uid="{D2D85F75-2F37-4E40-93BA-D87F4C2D6609}" name="Description" dataDxfId="96" dataCellStyle="Normal"/>
  </tableColumns>
  <tableStyleInfo name="TableStyleCustom" showFirstColumn="0" showLastColumn="0" showRowStripes="1" showColumnStripes="0"/>
  <extLst>
    <ext xmlns:x14="http://schemas.microsoft.com/office/spreadsheetml/2009/9/main" uri="{504A1905-F514-4f6f-8877-14C23A59335A}">
      <x14:table altText="Click name to go to objec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CA5339D-829F-442B-A3B4-A99DD1DFF6EC}" name="tblMethods" displayName="tblMethods" ref="A6:B13" totalsRowShown="0">
  <sortState xmlns:xlrd2="http://schemas.microsoft.com/office/spreadsheetml/2017/richdata2" ref="A7:B12">
    <sortCondition ref="A7:A12"/>
  </sortState>
  <tableColumns count="2">
    <tableColumn id="1" xr3:uid="{62CBA4DE-EDE9-4CD6-B932-C60CE3D4026D}" name="Method"/>
    <tableColumn id="2" xr3:uid="{F767DBD0-020C-4900-AAD1-9A5B0EB35836}" name="Description"/>
  </tableColumns>
  <tableStyleInfo name="TableStyleCustom"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1A8A7B-0079-42F3-996A-FF6B75EB2BDA}" name="tblBudget" displayName="tblBudget" comment="Holds budgeted item entries" ref="A33:E39" totalsRowShown="0" dataDxfId="95" tableBorderDxfId="94" headerRowCellStyle="Heading 4" dataCellStyle="Normal">
  <tableColumns count="5">
    <tableColumn id="1" xr3:uid="{7D34D60D-18E7-4641-B4A2-59AC83E6C68D}" name="Description" dataDxfId="93" dataCellStyle="Normal"/>
    <tableColumn id="5" xr3:uid="{5C4B1DF4-321D-45B4-94FD-F21E11BE8170}" name="Amount" dataCellStyle="Comma"/>
    <tableColumn id="6" xr3:uid="{D529C6B1-F81D-439C-BB56-0322F320B0A3}" name="Schedule" dataDxfId="92" dataCellStyle="Normal"/>
    <tableColumn id="7" xr3:uid="{301F598C-47A5-4F95-BD52-84840182A552}" name="First Date" dataDxfId="91" dataCellStyle="Normal"/>
    <tableColumn id="8" xr3:uid="{46ACF518-C1D3-42C5-85CE-768B1CFF9CA6}" name="Last Date" dataDxfId="90" dataCellStyle="Normal"/>
  </tableColumns>
  <tableStyleInfo name="TableStyleCustom" showFirstColumn="0" showLastColumn="0" showRowStripes="1" showColumnStripes="0"/>
  <extLst>
    <ext xmlns:x14="http://schemas.microsoft.com/office/spreadsheetml/2009/9/main" uri="{504A1905-F514-4f6f-8877-14C23A59335A}">
      <x14:table altText="Budget Items" altTextSummary="Holds budgeted item entri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B943D8-5754-4F57-A0D0-EE750C05C5D0}" name="tblRent" displayName="tblRent" ref="A22:E25" totalsRowShown="0">
  <tableColumns count="5">
    <tableColumn id="1" xr3:uid="{2F6DE8DA-ADB9-44FD-9EE0-8837D5AB8D2E}" name="Contract #">
      <calculatedColumnFormula array="1">ROW()-ROW(tblRent[#Headers])</calculatedColumnFormula>
    </tableColumn>
    <tableColumn id="2" xr3:uid="{C485375B-AF94-4DC7-B238-2DD85FC68DE4}" name="Rental Description"/>
    <tableColumn id="3" xr3:uid="{402BA14C-343C-4D24-8842-96146D858036}" name="Start" dataDxfId="89" dataCellStyle="Date"/>
    <tableColumn id="4" xr3:uid="{E7A1112B-1A2E-4C4B-99BB-62655380D290}" name="End" dataDxfId="88" dataCellStyle="Date"/>
    <tableColumn id="5" xr3:uid="{42F7804A-5D16-474C-94A0-A45D3CAE7AA9}" name="Daily Rate" dataCellStyle="Comma"/>
  </tableColumns>
  <tableStyleInfo name="TableStyleCustom" showFirstColumn="0" showLastColumn="0" showRowStripes="1" showColumnStripes="0"/>
  <extLst>
    <ext xmlns:x14="http://schemas.microsoft.com/office/spreadsheetml/2009/9/main" uri="{504A1905-F514-4f6f-8877-14C23A59335A}">
      <x14:table altText="Rental Contract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6F13E-1CE0-4026-889E-97178F8E3261}" name="tblRents" displayName="tblRents" ref="A35:B38" totalsRowShown="0" headerRowDxfId="87">
  <tableColumns count="2">
    <tableColumn id="1" xr3:uid="{09682A99-D267-492D-80D6-A3113C779826}" name="Rate Starts" dataDxfId="86"/>
    <tableColumn id="2" xr3:uid="{7CFFECE5-2820-453F-AEF8-9DFCBE7D380E}" name="Rate Amount"/>
  </tableColumns>
  <tableStyleInfo name="TableStyleCustom" showFirstColumn="0" showLastColumn="0" showRowStripes="1" showColumnStripes="0"/>
  <extLst>
    <ext xmlns:x14="http://schemas.microsoft.com/office/spreadsheetml/2009/9/main" uri="{504A1905-F514-4f6f-8877-14C23A59335A}">
      <x14:table altText="Rental Rate Schedu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6A4252-06E6-404C-ADC2-D39F05E83C71}" name="tblUnits" displayName="tblUnits" ref="A42:C46" totalsRowShown="0" headerRowDxfId="85">
  <tableColumns count="3">
    <tableColumn id="1" xr3:uid="{17B87686-ED92-4DC4-80AC-A6CDA1DF8506}" name="Ready Dates"/>
    <tableColumn id="2" xr3:uid="{A18E6660-B40D-4CC0-855C-47175F5C55C0}" name="Units Built"/>
    <tableColumn id="3" xr3:uid="{1C17B84C-9EDA-4590-AB83-B879C842736C}" name="Total Units">
      <calculatedColumnFormula>SUMIFS(tblUnits[Units Built],tblUnits[Ready Dates],"&lt;=" &amp; tblUnits[[#This Row],[Ready Dates]])</calculatedColumnFormula>
    </tableColumn>
  </tableColumns>
  <tableStyleInfo name="TableStyleCustom" showFirstColumn="0" showLastColumn="0" showRowStripes="1" showColumnStripes="0"/>
  <extLst>
    <ext xmlns:x14="http://schemas.microsoft.com/office/spreadsheetml/2009/9/main" uri="{504A1905-F514-4f6f-8877-14C23A59335A}">
      <x14:table altText="Unit Completion Schedu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BB8A65-4024-47EA-B63A-1FA9CD4937C5}" name="tblItems" displayName="tblItems" ref="D24:F38" totalsRowShown="0">
  <sortState xmlns:xlrd2="http://schemas.microsoft.com/office/spreadsheetml/2017/richdata2" ref="D25:F38">
    <sortCondition ref="E25:E38"/>
  </sortState>
  <tableColumns count="3">
    <tableColumn id="1" xr3:uid="{38DCAB83-D80B-49CD-A79B-47A11C835139}" name="Item"/>
    <tableColumn id="2" xr3:uid="{CAD21FE0-C30F-43FD-A558-9F820F7890CA}" name="Effective" dataDxfId="84"/>
    <tableColumn id="3" xr3:uid="{D061B372-ECBB-4AC7-8F3E-8257CEB4F6E5}" name="Rate" dataDxfId="83"/>
  </tableColumns>
  <tableStyleInfo name="TableStyleCustom" showFirstColumn="0" showLastColumn="0" showRowStripes="1" showColumnStripes="0"/>
  <extLst>
    <ext xmlns:x14="http://schemas.microsoft.com/office/spreadsheetml/2009/9/main" uri="{504A1905-F514-4f6f-8877-14C23A59335A}">
      <x14:table altText="tblItem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B9D4F5-EBF2-4BAF-9C6A-074757728DE8}" name="tblCT" displayName="tblCT" ref="A27:C32" totalsRowShown="0">
  <tableColumns count="3">
    <tableColumn id="4" xr3:uid="{E5F4E076-D01B-45B1-81D0-9D5EDB5F4178}" name="ID#" dataDxfId="82">
      <calculatedColumnFormula array="1">ROW()-ROW(tblCT[#Headers])</calculatedColumnFormula>
    </tableColumn>
    <tableColumn id="1" xr3:uid="{C46B0B40-C7E0-4CC9-AB6B-0905EFB66F3D}" name="Customer"/>
    <tableColumn id="2" xr3:uid="{44A57629-5523-4BB3-81C3-89E3574A9BDB}" name="Terms"/>
  </tableColumns>
  <tableStyleInfo name="TableStyleCustom" showFirstColumn="0" showLastColumn="0" showRowStripes="1" showColumnStripes="0"/>
  <extLst>
    <ext xmlns:x14="http://schemas.microsoft.com/office/spreadsheetml/2009/9/main" uri="{504A1905-F514-4f6f-8877-14C23A59335A}">
      <x14:table altText="Customer Term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A3C07A-915B-45A6-905B-C8F335996D27}" name="tblCO" displayName="tblCO" ref="E19:I41" totalsRowCount="1">
  <tableColumns count="5">
    <tableColumn id="1" xr3:uid="{6EB7AFAA-2198-470A-B318-F3346918A93F}" name="Inv.#" totalsRowLabel="Total" totalsRowDxfId="81"/>
    <tableColumn id="2" xr3:uid="{79DA44A7-4A21-4C6E-8C8C-41674C03FEEB}" name="Customer" dataDxfId="80" totalsRowDxfId="79"/>
    <tableColumn id="3" xr3:uid="{92AC1C45-CF57-4BBD-949C-2EC5D3E6AF7B}" name="Issued" dataDxfId="78" totalsRowDxfId="77" dataCellStyle="Date"/>
    <tableColumn id="5" xr3:uid="{F2FDDABA-5386-4E67-A17D-FC6B0B4768BB}" name="Exp. Receipt" dataDxfId="76" totalsRowDxfId="75" dataCellStyle="Date"/>
    <tableColumn id="4" xr3:uid="{77D47682-711B-4EAD-926C-19776F680459}" name="Amount" totalsRowFunction="sum"/>
  </tableColumns>
  <tableStyleInfo name="TableStyleCustom" showFirstColumn="0" showLastColumn="0" showRowStripes="1" showColumnStripes="0"/>
  <extLst>
    <ext xmlns:x14="http://schemas.microsoft.com/office/spreadsheetml/2009/9/main" uri="{504A1905-F514-4f6f-8877-14C23A59335A}">
      <x14:table altText="Customer Order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4D3E8A0-0A6E-4EAB-B699-E6BE4B428F10}" name="tblLoans" displayName="tblLoans" ref="A24:E27" totalsRowShown="0" headerRowDxfId="74" headerRowBorderDxfId="73" tableBorderDxfId="72" totalsRowBorderDxfId="71" headerRowCellStyle="Normal" dataCellStyle="Normal">
  <tableColumns count="5">
    <tableColumn id="1" xr3:uid="{236BCEDB-033C-46F4-BF25-E806968D8A02}" name="Description" dataDxfId="70" dataCellStyle="Normal"/>
    <tableColumn id="2" xr3:uid="{40576D21-ABA4-4C25-B77C-72FD088677A9}" name="Principal" dataDxfId="69" dataCellStyle="Normal"/>
    <tableColumn id="3" xr3:uid="{678DCD7B-F069-4C89-B96A-30AA357080CE}" name="APR" dataDxfId="68" dataCellStyle="Normal"/>
    <tableColumn id="4" xr3:uid="{89E167E2-FF0C-4117-901F-D0F22A874926}" name="Term" dataDxfId="67" dataCellStyle="Normal"/>
    <tableColumn id="5" xr3:uid="{E4765A92-1277-4CC3-93E2-6617C16EF57C}" name="Start Date" dataDxfId="66" dataCellStyle="Normal"/>
  </tableColumns>
  <tableStyleInfo name="TableStyleCustom" showFirstColumn="0" showLastColumn="0" showRowStripes="1" showColumnStripes="0"/>
  <extLst>
    <ext xmlns:x14="http://schemas.microsoft.com/office/spreadsheetml/2009/9/main" uri="{504A1905-F514-4f6f-8877-14C23A59335A}">
      <x14:table altText="Loan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12866A6-B195-4B0E-936D-139258D96E3C}" name="tblAssets" displayName="tblAssets" ref="A45:H48" totalsRowShown="0" headerRowDxfId="65">
  <tableColumns count="8">
    <tableColumn id="1" xr3:uid="{3DC97C56-E689-4B29-BA74-58FE6B1433D8}" name="Asset"/>
    <tableColumn id="3" xr3:uid="{FBDD88E0-BC00-46AC-AD3F-228997525D6E}" name="Amount" dataDxfId="64" dataCellStyle="Comma"/>
    <tableColumn id="2" xr3:uid="{3BF79E07-B001-4F2A-9C33-0C2BDE81F76F}" name="Acquired" dataDxfId="63" dataCellStyle="Comma"/>
    <tableColumn id="4" xr3:uid="{6B638B7E-4C96-47FF-B6FE-5D44AC0861F7}" name="Life" dataDxfId="62" dataCellStyle="Comma"/>
    <tableColumn id="5" xr3:uid="{003DACA5-A355-4CCA-9114-D7FB750E9408}" name="Salvage" dataDxfId="61" dataCellStyle="Comma"/>
    <tableColumn id="7" xr3:uid="{467FA274-2BA1-40BC-AB1A-165CD8AA8666}" name="Date" dataDxfId="60">
      <calculatedColumnFormula>EDATE(tblAssets[[#This Row],[Acquired]],(tblAssets[[#This Row],[Life]]+1)*12)</calculatedColumnFormula>
    </tableColumn>
    <tableColumn id="6" xr3:uid="{D4055390-AE58-49EE-803D-0D8626A6C534}" name="Cost" dataDxfId="59" dataCellStyle="Comma"/>
    <tableColumn id="8" xr3:uid="{7A0DD268-0AE6-40AC-B65C-AA3B074320EE}" name="Method" dataDxfId="58"/>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B96161-3410-45CC-8339-734A878377C4}" name="tblAssets11" displayName="tblAssets11" ref="A25:H28" totalsRowShown="0" headerRowDxfId="57">
  <tableColumns count="8">
    <tableColumn id="1" xr3:uid="{803FA25E-C2E6-41D7-B7E6-98BB0DAA635D}" name="Asset"/>
    <tableColumn id="3" xr3:uid="{D88F1E0F-B130-4CC9-8B20-60852E179DB2}" name="Amount" dataDxfId="56" dataCellStyle="Comma"/>
    <tableColumn id="2" xr3:uid="{40912A85-9538-4DAD-ADE0-A041034D91E7}" name="Acquired" dataDxfId="55" dataCellStyle="Comma"/>
    <tableColumn id="4" xr3:uid="{3FE24404-251A-4D60-B2F9-E26B72B2B60F}" name="Life" dataDxfId="54" dataCellStyle="Comma"/>
    <tableColumn id="5" xr3:uid="{5C252732-1710-4532-8BD1-4049FE86E4C1}" name="Salvage" dataDxfId="53" dataCellStyle="Comma"/>
    <tableColumn id="7" xr3:uid="{09322415-8546-4084-9207-C958715F1CB0}" name="Date" dataDxfId="52"/>
    <tableColumn id="6" xr3:uid="{08248333-F3EE-48B7-B36D-1E455B39A01F}" name="Cost" dataDxfId="51" dataCellStyle="Comma"/>
    <tableColumn id="8" xr3:uid="{5D691FE8-396E-44A0-A7B6-5786D5A0FE4A}" name="Method" dataDxfId="50"/>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F62312-5459-4FAE-B566-552AA92886A1}" name="tblAssets1112" displayName="tblAssets1112" ref="A25:H28" totalsRowShown="0" headerRowDxfId="49">
  <tableColumns count="8">
    <tableColumn id="1" xr3:uid="{12B857A1-D058-4766-951D-EC2B90600210}" name="Asset"/>
    <tableColumn id="3" xr3:uid="{70BB7CB3-603F-4A66-8B5B-13F9D0DF2D01}" name="Amount" dataDxfId="48" dataCellStyle="Comma"/>
    <tableColumn id="2" xr3:uid="{EDA3D2E2-2DFB-4D36-9B47-79C63A0448C5}" name="Acquired" dataDxfId="47" dataCellStyle="Comma"/>
    <tableColumn id="4" xr3:uid="{701A7B0E-AB6A-4ABB-A806-A93F8F31AA22}" name="Life" dataDxfId="46" dataCellStyle="Comma"/>
    <tableColumn id="5" xr3:uid="{8C5850B1-9E17-4AF2-B6CF-2DA73CB8878E}" name="Salvage" dataDxfId="45" dataCellStyle="Comma"/>
    <tableColumn id="7" xr3:uid="{94DF0EB5-9EF6-44F0-AC75-6AAD171BF5A6}" name="Date" dataDxfId="44"/>
    <tableColumn id="6" xr3:uid="{DCA26E9B-04F9-44E5-A8BF-3EE4E3BD261A}" name="Cost" dataDxfId="43" dataCellStyle="Comma"/>
    <tableColumn id="8" xr3:uid="{AC920514-4DFE-46FA-8D72-57FB8DA6D25A}" name="Method" dataDxfId="42"/>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8326FD-279C-4B66-84CE-369EC41B5198}" name="tblAssets111214" displayName="tblAssets111214" ref="A28:H31" totalsRowShown="0" headerRowDxfId="41">
  <tableColumns count="8">
    <tableColumn id="1" xr3:uid="{D59EB568-3AE9-4C0E-BABE-841567F1A1D8}" name="Asset"/>
    <tableColumn id="3" xr3:uid="{F1DCDFDA-DD48-4587-B8B1-FB34DD46AD28}" name="Amount" dataDxfId="40" dataCellStyle="Comma"/>
    <tableColumn id="2" xr3:uid="{BDEFE750-304D-4148-B134-1AFA3BB15D5E}" name="Acquired" dataDxfId="39" dataCellStyle="Comma"/>
    <tableColumn id="4" xr3:uid="{DD2DAEB8-F5C0-4FBE-9EC1-3EB432A664CC}" name="Life" dataDxfId="38" dataCellStyle="Comma"/>
    <tableColumn id="5" xr3:uid="{107096B8-9D6F-4081-B7E1-4B5A2397BE6E}" name="Salvage" dataDxfId="37" dataCellStyle="Comma"/>
    <tableColumn id="7" xr3:uid="{7EAA20AC-0A9B-4A95-BCDC-4ABBE7EA0D2E}" name="Date" dataDxfId="36"/>
    <tableColumn id="6" xr3:uid="{712E69C9-89C1-41CE-91C9-E474B80891D2}" name="Cost" dataDxfId="35" dataCellStyle="Comma"/>
    <tableColumn id="8" xr3:uid="{CACAE2E3-537D-42AB-B331-7563F2E1F1F5}" name="Method" dataDxfId="34"/>
  </tableColumns>
  <tableStyleInfo name="TableStyleCustom" showFirstColumn="0" showLastColumn="0" showRowStripes="1" showColumnStripes="0"/>
  <extLst>
    <ext xmlns:x14="http://schemas.microsoft.com/office/spreadsheetml/2009/9/main" uri="{504A1905-F514-4f6f-8877-14C23A59335A}">
      <x14:table altText="Assets"/>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053332E-68A0-4C04-8F30-D019A3ADED7F}" name="tblPhases" displayName="tblPhases" ref="A27:D30" totalsRowShown="0" headerRowDxfId="33" headerRowBorderDxfId="32" tableBorderDxfId="31" totalsRowBorderDxfId="30" headerRowCellStyle="Normal" dataCellStyle="Normal">
  <tableColumns count="4">
    <tableColumn id="1" xr3:uid="{D63FC0D0-1595-4B0D-AE60-B4A5C5F1DBB3}" name="Description" dataDxfId="29" dataCellStyle="Normal"/>
    <tableColumn id="2" xr3:uid="{A91EDCB9-E40C-4499-8392-2F7F915A86B0}" name="Principal" dataDxfId="28" dataCellStyle="Normal"/>
    <tableColumn id="5" xr3:uid="{4C5C779D-4467-4BBC-A168-07337D91F84B}" name="Start" dataDxfId="27" dataCellStyle="Normal"/>
    <tableColumn id="3" xr3:uid="{1C6DB1C7-B2DD-414B-8D0B-2C56459DFB05}" name="APR" dataDxfId="26" dataCellStyle="Normal"/>
  </tableColumns>
  <tableStyleInfo name="TableStyleCustom" showFirstColumn="0" showLastColumn="0" showRowStripes="1" showColumnStripes="0"/>
  <extLst>
    <ext xmlns:x14="http://schemas.microsoft.com/office/spreadsheetml/2009/9/main" uri="{504A1905-F514-4f6f-8877-14C23A59335A}">
      <x14:table altText="Construction Phases"/>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5577CB6-2A91-4ED3-9893-BF74CFD6EFD2}" name="tblOnBoarding" displayName="tblOnBoarding" ref="A28:B33" totalsRowShown="0">
  <autoFilter ref="A28:B33" xr:uid="{B5577CB6-2A91-4ED3-9893-BF74CFD6EFD2}"/>
  <tableColumns count="2">
    <tableColumn id="1" xr3:uid="{2F0AC71C-963E-48C6-8407-B984E9F112DA}" name="Customer" dataDxfId="25">
      <calculatedColumnFormula>E21</calculatedColumnFormula>
    </tableColumn>
    <tableColumn id="2" xr3:uid="{5BCB3455-E19C-449D-8ABD-C6DF5E7DDEB9}" name="Onboarding" dataDxfId="24" dataCellStyle="Date">
      <calculatedColumnFormula array="1">$B$21 + 365 * (ROW() - ROW(tblOnBoarding[#Headers]))</calculatedColumnFormula>
    </tableColumn>
  </tableColumns>
  <tableStyleInfo name="TableStyleCustom" showFirstColumn="0" showLastColumn="0" showRowStripes="1" showColumnStripes="0"/>
</table>
</file>

<file path=xl/theme/theme1.xml><?xml version="1.0" encoding="utf-8"?>
<a:theme xmlns:a="http://schemas.openxmlformats.org/drawingml/2006/main" name="Office Theme">
  <a:themeElements>
    <a:clrScheme name="ozzit TnC">
      <a:dk1>
        <a:sysClr val="windowText" lastClr="000000"/>
      </a:dk1>
      <a:lt1>
        <a:sysClr val="window" lastClr="FFFFFF"/>
      </a:lt1>
      <a:dk2>
        <a:srgbClr val="000000"/>
      </a:dk2>
      <a:lt2>
        <a:srgbClr val="FFFFF0"/>
      </a:lt2>
      <a:accent1>
        <a:srgbClr val="66023C"/>
      </a:accent1>
      <a:accent2>
        <a:srgbClr val="990024"/>
      </a:accent2>
      <a:accent3>
        <a:srgbClr val="E5E4E2"/>
      </a:accent3>
      <a:accent4>
        <a:srgbClr val="6E6862"/>
      </a:accent4>
      <a:accent5>
        <a:srgbClr val="B1AFAD"/>
      </a:accent5>
      <a:accent6>
        <a:srgbClr val="DCDAD7"/>
      </a:accent6>
      <a:hlink>
        <a:srgbClr val="66023C"/>
      </a:hlink>
      <a:folHlink>
        <a:srgbClr val="990024"/>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064"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7C8FEF-A7C0-4F0F-9C7E-38A6C7E37EC8}">
  <we:reference id="wa200003696" version="1.2.0.0" store="en-US" storeType="OMEX"/>
  <we:alternateReferences>
    <we:reference id="wa200003696" version="1.2.0.0" store="" storeType="OMEX"/>
  </we:alternateReferences>
  <we:properties>
    <we:property name="projectV0_1-56c6e055-265e-4713-816e-a646dbb708de" value="{&quot;kind&quot;:&quot;AFEJSONBlobNode&quot;,&quot;id&quot;:&quot;{FA35AA99-8721-4639-BBB5-DFADCDD4963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4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24B3A-E686-45AE-AF3B-64484224626C}">
  <sheetPr codeName="Sheet2">
    <tabColor rgb="FFE5E4E2"/>
    <pageSetUpPr fitToPage="1"/>
  </sheetPr>
  <dimension ref="A1:B25"/>
  <sheetViews>
    <sheetView showGridLines="0" tabSelected="1" zoomScaleNormal="100" workbookViewId="0">
      <selection sqref="A1:B1"/>
    </sheetView>
  </sheetViews>
  <sheetFormatPr defaultColWidth="8.875" defaultRowHeight="15" x14ac:dyDescent="0.25"/>
  <cols>
    <col min="1" max="1" width="10.625" style="166" customWidth="1"/>
    <col min="2" max="2" width="111.625" style="171" customWidth="1"/>
    <col min="3" max="16384" width="8.875" style="166"/>
  </cols>
  <sheetData>
    <row r="1" spans="1:2" ht="63.75" x14ac:dyDescent="0.25">
      <c r="A1" s="176" t="s">
        <v>427</v>
      </c>
      <c r="B1" s="177"/>
    </row>
    <row r="2" spans="1:2" ht="15.75" x14ac:dyDescent="0.25">
      <c r="A2" s="174" t="s">
        <v>428</v>
      </c>
      <c r="B2" s="175"/>
    </row>
    <row r="3" spans="1:2" ht="20.100000000000001" customHeight="1" x14ac:dyDescent="0.25">
      <c r="A3" s="167" t="s">
        <v>429</v>
      </c>
      <c r="B3" s="168"/>
    </row>
    <row r="4" spans="1:2" ht="47.25" x14ac:dyDescent="0.25">
      <c r="A4" s="169"/>
      <c r="B4" s="168" t="s">
        <v>212</v>
      </c>
    </row>
    <row r="5" spans="1:2" ht="31.5" x14ac:dyDescent="0.25">
      <c r="A5" s="135"/>
      <c r="B5" s="168" t="s">
        <v>213</v>
      </c>
    </row>
    <row r="6" spans="1:2" ht="15.75" x14ac:dyDescent="0.25">
      <c r="A6" s="132"/>
      <c r="B6" s="170"/>
    </row>
    <row r="7" spans="1:2" ht="32.1" customHeight="1" x14ac:dyDescent="0.25">
      <c r="A7" s="172" t="s">
        <v>202</v>
      </c>
      <c r="B7" s="173"/>
    </row>
    <row r="8" spans="1:2" ht="47.25" x14ac:dyDescent="0.25">
      <c r="B8" s="168" t="s">
        <v>405</v>
      </c>
    </row>
    <row r="9" spans="1:2" ht="15.75" x14ac:dyDescent="0.25">
      <c r="B9" s="168"/>
    </row>
    <row r="10" spans="1:2" ht="47.25" x14ac:dyDescent="0.25">
      <c r="B10" s="168" t="s">
        <v>214</v>
      </c>
    </row>
    <row r="11" spans="1:2" ht="15.75" x14ac:dyDescent="0.25">
      <c r="B11" s="168"/>
    </row>
    <row r="12" spans="1:2" ht="47.25" x14ac:dyDescent="0.25">
      <c r="B12" s="168" t="s">
        <v>264</v>
      </c>
    </row>
    <row r="13" spans="1:2" ht="15.75" x14ac:dyDescent="0.25">
      <c r="A13" s="132"/>
      <c r="B13" s="170"/>
    </row>
    <row r="14" spans="1:2" ht="32.1" customHeight="1" x14ac:dyDescent="0.25">
      <c r="A14" s="172" t="s">
        <v>203</v>
      </c>
      <c r="B14" s="173"/>
    </row>
    <row r="15" spans="1:2" ht="126" x14ac:dyDescent="0.25">
      <c r="B15" s="168" t="s">
        <v>210</v>
      </c>
    </row>
    <row r="17" spans="1:2" ht="32.1" customHeight="1" x14ac:dyDescent="0.25">
      <c r="A17" s="172" t="s">
        <v>206</v>
      </c>
      <c r="B17" s="173"/>
    </row>
    <row r="18" spans="1:2" ht="47.25" x14ac:dyDescent="0.25">
      <c r="B18" s="168" t="s">
        <v>215</v>
      </c>
    </row>
    <row r="19" spans="1:2" ht="15.75" x14ac:dyDescent="0.25">
      <c r="B19" s="168"/>
    </row>
    <row r="20" spans="1:2" ht="78.75" x14ac:dyDescent="0.25">
      <c r="A20" s="133"/>
      <c r="B20" s="168" t="s">
        <v>216</v>
      </c>
    </row>
    <row r="21" spans="1:2" ht="15.75" x14ac:dyDescent="0.25">
      <c r="A21" s="132"/>
      <c r="B21" s="170"/>
    </row>
    <row r="22" spans="1:2" ht="32.1" customHeight="1" x14ac:dyDescent="0.25">
      <c r="A22" s="172" t="s">
        <v>204</v>
      </c>
      <c r="B22" s="173"/>
    </row>
    <row r="23" spans="1:2" ht="31.5" x14ac:dyDescent="0.25">
      <c r="B23" s="168" t="s">
        <v>205</v>
      </c>
    </row>
    <row r="24" spans="1:2" ht="15.75" x14ac:dyDescent="0.25">
      <c r="B24" s="168"/>
    </row>
    <row r="25" spans="1:2" ht="31.5" x14ac:dyDescent="0.25">
      <c r="A25" s="134"/>
      <c r="B25" s="168" t="s">
        <v>217</v>
      </c>
    </row>
  </sheetData>
  <mergeCells count="6">
    <mergeCell ref="A22:B22"/>
    <mergeCell ref="A2:B2"/>
    <mergeCell ref="A7:B7"/>
    <mergeCell ref="A1:B1"/>
    <mergeCell ref="A14:B14"/>
    <mergeCell ref="A17:B17"/>
  </mergeCells>
  <hyperlinks>
    <hyperlink ref="A1" location="'TOC'!$A$1" display="'TOC'!$A$1" xr:uid="{548439FC-8440-4ED8-8C6A-E47C1C0F11EB}"/>
  </hyperlinks>
  <pageMargins left="0.7" right="0.7" top="0.75" bottom="0.75" header="0.3" footer="0.3"/>
  <pageSetup paperSize="9" scale="68" fitToHeight="0"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29D5C-4F97-4A3F-805E-2D2AF1894BCB}">
  <sheetPr codeName="Sheet8">
    <tabColor rgb="FFE5E4E2"/>
    <pageSetUpPr fitToPage="1"/>
  </sheetPr>
  <dimension ref="A1:F70"/>
  <sheetViews>
    <sheetView showGridLines="0" workbookViewId="0">
      <pane xSplit="2" ySplit="4" topLeftCell="C5" activePane="bottomRight" state="frozen"/>
      <selection pane="topRight" activeCell="C1" sqref="C1"/>
      <selection pane="bottomLeft" activeCell="A5" sqref="A5"/>
      <selection pane="bottomRight" activeCell="F16" sqref="F16"/>
    </sheetView>
  </sheetViews>
  <sheetFormatPr defaultRowHeight="15" x14ac:dyDescent="0.25"/>
  <cols>
    <col min="1" max="1" width="31.5" style="156" bestFit="1" customWidth="1"/>
    <col min="2" max="2" width="9.875" style="156" bestFit="1" customWidth="1"/>
    <col min="3" max="3" width="30.5" style="156" bestFit="1" customWidth="1"/>
    <col min="4" max="4" width="90.25" style="156" bestFit="1" customWidth="1"/>
    <col min="5" max="16384" width="9" style="156"/>
  </cols>
  <sheetData>
    <row r="1" spans="1:6" ht="46.5" x14ac:dyDescent="0.25">
      <c r="A1" s="183" t="s">
        <v>8</v>
      </c>
      <c r="B1" s="184"/>
      <c r="C1" s="184"/>
      <c r="D1" s="184"/>
      <c r="E1" s="184"/>
      <c r="F1" s="184"/>
    </row>
    <row r="2" spans="1:6" ht="21" x14ac:dyDescent="0.25">
      <c r="A2" s="181" t="s">
        <v>12</v>
      </c>
      <c r="B2" s="182"/>
      <c r="C2" s="182"/>
      <c r="D2" s="182"/>
      <c r="E2" s="157"/>
      <c r="F2" s="157"/>
    </row>
    <row r="3" spans="1:6" x14ac:dyDescent="0.25">
      <c r="A3" s="178" t="s">
        <v>299</v>
      </c>
      <c r="B3" s="179"/>
      <c r="C3" s="179"/>
      <c r="D3" s="180"/>
    </row>
    <row r="4" spans="1:6" x14ac:dyDescent="0.25">
      <c r="A4" s="158" t="s">
        <v>0</v>
      </c>
      <c r="B4" s="159" t="s">
        <v>1</v>
      </c>
      <c r="C4" s="160" t="s">
        <v>3</v>
      </c>
      <c r="D4" s="159" t="s">
        <v>7</v>
      </c>
    </row>
    <row r="5" spans="1:6" x14ac:dyDescent="0.25">
      <c r="A5" s="161" t="s">
        <v>207</v>
      </c>
      <c r="B5" s="162" t="s">
        <v>10</v>
      </c>
      <c r="C5" s="163" t="s">
        <v>208</v>
      </c>
      <c r="D5" s="164" t="s">
        <v>209</v>
      </c>
    </row>
    <row r="6" spans="1:6" x14ac:dyDescent="0.25">
      <c r="A6" s="161" t="s">
        <v>9</v>
      </c>
      <c r="B6" s="162" t="s">
        <v>10</v>
      </c>
      <c r="C6" s="163" t="s">
        <v>8</v>
      </c>
      <c r="D6" s="164" t="s">
        <v>11</v>
      </c>
    </row>
    <row r="7" spans="1:6" x14ac:dyDescent="0.25">
      <c r="A7" s="165" t="s">
        <v>225</v>
      </c>
      <c r="B7" s="162" t="s">
        <v>226</v>
      </c>
      <c r="C7" s="163" t="s">
        <v>12</v>
      </c>
      <c r="D7" s="164" t="s">
        <v>299</v>
      </c>
    </row>
    <row r="8" spans="1:6" x14ac:dyDescent="0.25">
      <c r="A8" s="161" t="s">
        <v>321</v>
      </c>
      <c r="B8" s="162" t="s">
        <v>10</v>
      </c>
      <c r="C8" s="163" t="s">
        <v>321</v>
      </c>
      <c r="D8" s="164"/>
    </row>
    <row r="9" spans="1:6" x14ac:dyDescent="0.25">
      <c r="A9" s="165" t="s">
        <v>322</v>
      </c>
      <c r="B9" s="162" t="s">
        <v>226</v>
      </c>
      <c r="C9" s="163" t="s">
        <v>314</v>
      </c>
      <c r="D9" s="164"/>
    </row>
    <row r="10" spans="1:6" x14ac:dyDescent="0.25">
      <c r="A10" s="161" t="s">
        <v>44</v>
      </c>
      <c r="B10" s="162" t="s">
        <v>10</v>
      </c>
      <c r="C10" s="163" t="s">
        <v>44</v>
      </c>
      <c r="D10" s="164" t="s">
        <v>71</v>
      </c>
    </row>
    <row r="11" spans="1:6" x14ac:dyDescent="0.25">
      <c r="A11" s="161" t="s">
        <v>45</v>
      </c>
      <c r="B11" s="162" t="s">
        <v>10</v>
      </c>
      <c r="C11" s="163" t="s">
        <v>45</v>
      </c>
      <c r="D11" s="164" t="s">
        <v>72</v>
      </c>
    </row>
    <row r="12" spans="1:6" x14ac:dyDescent="0.25">
      <c r="A12" s="161" t="s">
        <v>46</v>
      </c>
      <c r="B12" s="162" t="s">
        <v>10</v>
      </c>
      <c r="C12" s="163" t="s">
        <v>46</v>
      </c>
      <c r="D12" s="164" t="s">
        <v>73</v>
      </c>
    </row>
    <row r="13" spans="1:6" x14ac:dyDescent="0.25">
      <c r="A13" s="165" t="s">
        <v>227</v>
      </c>
      <c r="B13" s="162" t="s">
        <v>226</v>
      </c>
      <c r="C13" s="163" t="s">
        <v>96</v>
      </c>
      <c r="D13" s="164" t="s">
        <v>97</v>
      </c>
    </row>
    <row r="14" spans="1:6" x14ac:dyDescent="0.25">
      <c r="A14" s="161" t="s">
        <v>47</v>
      </c>
      <c r="B14" s="162" t="s">
        <v>10</v>
      </c>
      <c r="C14" s="163" t="s">
        <v>47</v>
      </c>
      <c r="D14" s="164" t="s">
        <v>74</v>
      </c>
    </row>
    <row r="15" spans="1:6" x14ac:dyDescent="0.25">
      <c r="A15" s="165" t="s">
        <v>228</v>
      </c>
      <c r="B15" s="162" t="s">
        <v>226</v>
      </c>
      <c r="C15" s="163" t="s">
        <v>119</v>
      </c>
      <c r="D15" s="164"/>
    </row>
    <row r="16" spans="1:6" x14ac:dyDescent="0.25">
      <c r="A16" s="161" t="s">
        <v>48</v>
      </c>
      <c r="B16" s="162" t="s">
        <v>10</v>
      </c>
      <c r="C16" s="163" t="s">
        <v>48</v>
      </c>
      <c r="D16" s="164" t="s">
        <v>75</v>
      </c>
    </row>
    <row r="17" spans="1:4" x14ac:dyDescent="0.25">
      <c r="A17" s="161" t="s">
        <v>49</v>
      </c>
      <c r="B17" s="162" t="s">
        <v>10</v>
      </c>
      <c r="C17" s="163" t="s">
        <v>49</v>
      </c>
      <c r="D17" s="164" t="s">
        <v>76</v>
      </c>
    </row>
    <row r="18" spans="1:4" x14ac:dyDescent="0.25">
      <c r="A18" s="161" t="s">
        <v>50</v>
      </c>
      <c r="B18" s="162" t="s">
        <v>10</v>
      </c>
      <c r="C18" s="163" t="s">
        <v>50</v>
      </c>
      <c r="D18" s="164" t="s">
        <v>77</v>
      </c>
    </row>
    <row r="19" spans="1:4" x14ac:dyDescent="0.25">
      <c r="A19" s="165" t="s">
        <v>229</v>
      </c>
      <c r="B19" s="162" t="s">
        <v>226</v>
      </c>
      <c r="C19" s="163" t="s">
        <v>56</v>
      </c>
      <c r="D19" s="164"/>
    </row>
    <row r="20" spans="1:4" x14ac:dyDescent="0.25">
      <c r="A20" s="165" t="s">
        <v>230</v>
      </c>
      <c r="B20" s="162" t="s">
        <v>226</v>
      </c>
      <c r="C20" s="163" t="s">
        <v>55</v>
      </c>
      <c r="D20" s="164"/>
    </row>
    <row r="21" spans="1:4" x14ac:dyDescent="0.25">
      <c r="A21" s="161" t="s">
        <v>51</v>
      </c>
      <c r="B21" s="162" t="s">
        <v>10</v>
      </c>
      <c r="C21" s="163" t="s">
        <v>51</v>
      </c>
      <c r="D21" s="164" t="s">
        <v>78</v>
      </c>
    </row>
    <row r="22" spans="1:4" x14ac:dyDescent="0.25">
      <c r="A22" s="165" t="s">
        <v>231</v>
      </c>
      <c r="B22" s="162" t="s">
        <v>226</v>
      </c>
      <c r="C22" s="163" t="s">
        <v>231</v>
      </c>
      <c r="D22" s="164"/>
    </row>
    <row r="23" spans="1:4" x14ac:dyDescent="0.25">
      <c r="A23" s="161" t="s">
        <v>52</v>
      </c>
      <c r="B23" s="162" t="s">
        <v>10</v>
      </c>
      <c r="C23" s="163" t="s">
        <v>52</v>
      </c>
      <c r="D23" s="164" t="s">
        <v>79</v>
      </c>
    </row>
    <row r="24" spans="1:4" x14ac:dyDescent="0.25">
      <c r="A24" s="165" t="s">
        <v>233</v>
      </c>
      <c r="B24" s="162" t="s">
        <v>226</v>
      </c>
      <c r="C24" s="163" t="s">
        <v>154</v>
      </c>
      <c r="D24" s="164"/>
    </row>
    <row r="25" spans="1:4" x14ac:dyDescent="0.25">
      <c r="A25" s="165" t="s">
        <v>232</v>
      </c>
      <c r="B25" s="162" t="s">
        <v>226</v>
      </c>
      <c r="C25" s="163" t="s">
        <v>146</v>
      </c>
      <c r="D25" s="164"/>
    </row>
    <row r="26" spans="1:4" x14ac:dyDescent="0.25">
      <c r="A26" s="161" t="s">
        <v>53</v>
      </c>
      <c r="B26" s="162" t="s">
        <v>10</v>
      </c>
      <c r="C26" s="163" t="s">
        <v>53</v>
      </c>
      <c r="D26" s="164" t="s">
        <v>80</v>
      </c>
    </row>
    <row r="27" spans="1:4" x14ac:dyDescent="0.25">
      <c r="A27" s="161" t="s">
        <v>54</v>
      </c>
      <c r="B27" s="162" t="s">
        <v>10</v>
      </c>
      <c r="C27" s="163" t="s">
        <v>54</v>
      </c>
      <c r="D27" s="164" t="s">
        <v>81</v>
      </c>
    </row>
    <row r="28" spans="1:4" x14ac:dyDescent="0.25">
      <c r="A28" s="161" t="s">
        <v>58</v>
      </c>
      <c r="B28" s="162" t="s">
        <v>325</v>
      </c>
      <c r="C28" s="163" t="s">
        <v>58</v>
      </c>
      <c r="D28" s="164" t="s">
        <v>256</v>
      </c>
    </row>
    <row r="29" spans="1:4" x14ac:dyDescent="0.25">
      <c r="A29" s="161" t="s">
        <v>59</v>
      </c>
      <c r="B29" s="162" t="s">
        <v>10</v>
      </c>
      <c r="C29" s="163" t="s">
        <v>59</v>
      </c>
      <c r="D29" s="164" t="s">
        <v>82</v>
      </c>
    </row>
    <row r="30" spans="1:4" x14ac:dyDescent="0.25">
      <c r="A30" s="165" t="s">
        <v>234</v>
      </c>
      <c r="B30" s="162" t="s">
        <v>226</v>
      </c>
      <c r="C30" s="163" t="s">
        <v>193</v>
      </c>
      <c r="D30" s="164"/>
    </row>
    <row r="31" spans="1:4" x14ac:dyDescent="0.25">
      <c r="A31" s="161" t="s">
        <v>67</v>
      </c>
      <c r="B31" s="162" t="s">
        <v>10</v>
      </c>
      <c r="C31" s="163" t="s">
        <v>67</v>
      </c>
      <c r="D31" s="164" t="s">
        <v>91</v>
      </c>
    </row>
    <row r="32" spans="1:4" x14ac:dyDescent="0.25">
      <c r="A32" s="161" t="s">
        <v>65</v>
      </c>
      <c r="B32" s="162" t="s">
        <v>10</v>
      </c>
      <c r="C32" s="163" t="s">
        <v>65</v>
      </c>
      <c r="D32" s="164" t="s">
        <v>88</v>
      </c>
    </row>
    <row r="33" spans="1:4" x14ac:dyDescent="0.25">
      <c r="A33" s="161" t="s">
        <v>60</v>
      </c>
      <c r="B33" s="162" t="s">
        <v>10</v>
      </c>
      <c r="C33" s="163" t="s">
        <v>60</v>
      </c>
      <c r="D33" s="164" t="s">
        <v>83</v>
      </c>
    </row>
    <row r="34" spans="1:4" x14ac:dyDescent="0.25">
      <c r="A34" s="161" t="s">
        <v>184</v>
      </c>
      <c r="B34" s="162" t="s">
        <v>10</v>
      </c>
      <c r="C34" s="163" t="s">
        <v>184</v>
      </c>
      <c r="D34" s="164" t="s">
        <v>185</v>
      </c>
    </row>
    <row r="35" spans="1:4" x14ac:dyDescent="0.25">
      <c r="A35" s="161" t="s">
        <v>61</v>
      </c>
      <c r="B35" s="162" t="s">
        <v>10</v>
      </c>
      <c r="C35" s="163" t="s">
        <v>61</v>
      </c>
      <c r="D35" s="164" t="s">
        <v>84</v>
      </c>
    </row>
    <row r="36" spans="1:4" x14ac:dyDescent="0.25">
      <c r="A36" s="165" t="s">
        <v>235</v>
      </c>
      <c r="B36" s="162" t="s">
        <v>226</v>
      </c>
      <c r="C36" s="163" t="s">
        <v>171</v>
      </c>
      <c r="D36" s="164"/>
    </row>
    <row r="37" spans="1:4" x14ac:dyDescent="0.25">
      <c r="A37" s="161" t="s">
        <v>68</v>
      </c>
      <c r="B37" s="162" t="s">
        <v>10</v>
      </c>
      <c r="C37" s="163" t="s">
        <v>68</v>
      </c>
      <c r="D37" s="164" t="s">
        <v>92</v>
      </c>
    </row>
    <row r="38" spans="1:4" x14ac:dyDescent="0.25">
      <c r="A38" s="165" t="s">
        <v>236</v>
      </c>
      <c r="B38" s="162" t="s">
        <v>226</v>
      </c>
      <c r="C38" s="163" t="s">
        <v>171</v>
      </c>
      <c r="D38" s="164"/>
    </row>
    <row r="39" spans="1:4" x14ac:dyDescent="0.25">
      <c r="A39" s="161" t="s">
        <v>237</v>
      </c>
      <c r="B39" s="162" t="s">
        <v>10</v>
      </c>
      <c r="C39" s="163" t="s">
        <v>237</v>
      </c>
      <c r="D39" s="164" t="s">
        <v>243</v>
      </c>
    </row>
    <row r="40" spans="1:4" x14ac:dyDescent="0.25">
      <c r="A40" s="165" t="s">
        <v>238</v>
      </c>
      <c r="B40" s="162" t="s">
        <v>226</v>
      </c>
      <c r="C40" s="163" t="s">
        <v>171</v>
      </c>
      <c r="D40" s="164"/>
    </row>
    <row r="41" spans="1:4" x14ac:dyDescent="0.25">
      <c r="A41" s="161" t="s">
        <v>239</v>
      </c>
      <c r="B41" s="162" t="s">
        <v>10</v>
      </c>
      <c r="C41" s="163" t="s">
        <v>239</v>
      </c>
      <c r="D41" s="164" t="s">
        <v>244</v>
      </c>
    </row>
    <row r="42" spans="1:4" x14ac:dyDescent="0.25">
      <c r="A42" s="165" t="s">
        <v>240</v>
      </c>
      <c r="B42" s="162" t="s">
        <v>226</v>
      </c>
      <c r="C42" s="163" t="s">
        <v>171</v>
      </c>
      <c r="D42" s="164"/>
    </row>
    <row r="43" spans="1:4" x14ac:dyDescent="0.25">
      <c r="A43" s="161" t="s">
        <v>62</v>
      </c>
      <c r="B43" s="162" t="s">
        <v>10</v>
      </c>
      <c r="C43" s="163" t="s">
        <v>62</v>
      </c>
      <c r="D43" s="164" t="s">
        <v>85</v>
      </c>
    </row>
    <row r="44" spans="1:4" x14ac:dyDescent="0.25">
      <c r="A44" s="165" t="s">
        <v>241</v>
      </c>
      <c r="B44" s="162" t="s">
        <v>226</v>
      </c>
      <c r="C44" s="163" t="s">
        <v>191</v>
      </c>
      <c r="D44" s="164"/>
    </row>
    <row r="45" spans="1:4" x14ac:dyDescent="0.25">
      <c r="A45" s="161" t="s">
        <v>63</v>
      </c>
      <c r="B45" s="162" t="s">
        <v>10</v>
      </c>
      <c r="C45" s="163" t="s">
        <v>63</v>
      </c>
      <c r="D45" s="164" t="s">
        <v>86</v>
      </c>
    </row>
    <row r="46" spans="1:4" x14ac:dyDescent="0.25">
      <c r="A46" s="161" t="s">
        <v>302</v>
      </c>
      <c r="B46" s="162" t="s">
        <v>10</v>
      </c>
      <c r="C46" s="163" t="s">
        <v>302</v>
      </c>
      <c r="D46" s="164" t="s">
        <v>303</v>
      </c>
    </row>
    <row r="47" spans="1:4" x14ac:dyDescent="0.25">
      <c r="A47" s="161" t="s">
        <v>64</v>
      </c>
      <c r="B47" s="162" t="s">
        <v>10</v>
      </c>
      <c r="C47" s="163" t="s">
        <v>64</v>
      </c>
      <c r="D47" s="164" t="s">
        <v>87</v>
      </c>
    </row>
    <row r="48" spans="1:4" x14ac:dyDescent="0.25">
      <c r="A48" s="161" t="s">
        <v>242</v>
      </c>
      <c r="B48" s="162" t="s">
        <v>10</v>
      </c>
      <c r="C48" s="163" t="s">
        <v>242</v>
      </c>
      <c r="D48" s="164" t="s">
        <v>245</v>
      </c>
    </row>
    <row r="49" spans="1:4" x14ac:dyDescent="0.25">
      <c r="A49" s="161" t="s">
        <v>66</v>
      </c>
      <c r="B49" s="162" t="s">
        <v>10</v>
      </c>
      <c r="C49" s="163" t="s">
        <v>66</v>
      </c>
      <c r="D49" s="164" t="s">
        <v>90</v>
      </c>
    </row>
    <row r="50" spans="1:4" x14ac:dyDescent="0.25">
      <c r="A50" s="161" t="s">
        <v>69</v>
      </c>
      <c r="B50" s="162" t="s">
        <v>10</v>
      </c>
      <c r="C50" s="163" t="s">
        <v>69</v>
      </c>
      <c r="D50" s="164" t="s">
        <v>93</v>
      </c>
    </row>
    <row r="51" spans="1:4" x14ac:dyDescent="0.25">
      <c r="A51" s="161" t="s">
        <v>70</v>
      </c>
      <c r="B51" s="162" t="s">
        <v>10</v>
      </c>
      <c r="C51" s="163" t="s">
        <v>70</v>
      </c>
      <c r="D51" s="164" t="s">
        <v>94</v>
      </c>
    </row>
    <row r="52" spans="1:4" x14ac:dyDescent="0.25">
      <c r="A52" s="161" t="s">
        <v>248</v>
      </c>
      <c r="B52" s="162" t="s">
        <v>10</v>
      </c>
      <c r="C52" s="163" t="s">
        <v>248</v>
      </c>
      <c r="D52" s="164" t="s">
        <v>255</v>
      </c>
    </row>
    <row r="53" spans="1:4" x14ac:dyDescent="0.25">
      <c r="A53" s="161" t="s">
        <v>280</v>
      </c>
      <c r="B53" s="162" t="s">
        <v>10</v>
      </c>
      <c r="C53" s="163" t="s">
        <v>280</v>
      </c>
      <c r="D53" s="164" t="s">
        <v>289</v>
      </c>
    </row>
    <row r="54" spans="1:4" x14ac:dyDescent="0.25">
      <c r="A54" s="161" t="s">
        <v>247</v>
      </c>
      <c r="B54" s="162" t="s">
        <v>10</v>
      </c>
      <c r="C54" s="163" t="s">
        <v>247</v>
      </c>
      <c r="D54" s="164" t="s">
        <v>89</v>
      </c>
    </row>
    <row r="55" spans="1:4" x14ac:dyDescent="0.25">
      <c r="A55" s="161" t="s">
        <v>246</v>
      </c>
      <c r="B55" s="162" t="s">
        <v>10</v>
      </c>
      <c r="C55" s="163" t="s">
        <v>246</v>
      </c>
      <c r="D55" s="164" t="s">
        <v>260</v>
      </c>
    </row>
    <row r="56" spans="1:4" x14ac:dyDescent="0.25">
      <c r="A56" s="161" t="s">
        <v>249</v>
      </c>
      <c r="B56" s="162" t="s">
        <v>10</v>
      </c>
      <c r="C56" s="163" t="s">
        <v>249</v>
      </c>
      <c r="D56" s="164" t="s">
        <v>259</v>
      </c>
    </row>
    <row r="57" spans="1:4" x14ac:dyDescent="0.25">
      <c r="A57" s="161" t="s">
        <v>250</v>
      </c>
      <c r="B57" s="162" t="s">
        <v>10</v>
      </c>
      <c r="C57" s="163" t="s">
        <v>250</v>
      </c>
      <c r="D57" s="164" t="s">
        <v>258</v>
      </c>
    </row>
    <row r="58" spans="1:4" x14ac:dyDescent="0.25">
      <c r="A58" s="161" t="s">
        <v>251</v>
      </c>
      <c r="B58" s="162" t="s">
        <v>10</v>
      </c>
      <c r="C58" s="163" t="s">
        <v>251</v>
      </c>
      <c r="D58" s="164" t="s">
        <v>261</v>
      </c>
    </row>
    <row r="59" spans="1:4" x14ac:dyDescent="0.25">
      <c r="A59" s="161" t="s">
        <v>252</v>
      </c>
      <c r="B59" s="162" t="s">
        <v>10</v>
      </c>
      <c r="C59" s="163" t="s">
        <v>252</v>
      </c>
      <c r="D59" s="164" t="s">
        <v>257</v>
      </c>
    </row>
    <row r="60" spans="1:4" x14ac:dyDescent="0.25">
      <c r="A60" s="161" t="s">
        <v>253</v>
      </c>
      <c r="B60" s="162" t="s">
        <v>10</v>
      </c>
      <c r="C60" s="163" t="s">
        <v>253</v>
      </c>
      <c r="D60" s="164" t="s">
        <v>262</v>
      </c>
    </row>
    <row r="61" spans="1:4" x14ac:dyDescent="0.25">
      <c r="A61" s="161" t="s">
        <v>254</v>
      </c>
      <c r="B61" s="162" t="s">
        <v>10</v>
      </c>
      <c r="C61" s="163" t="s">
        <v>254</v>
      </c>
      <c r="D61" s="164" t="s">
        <v>263</v>
      </c>
    </row>
    <row r="62" spans="1:4" x14ac:dyDescent="0.25">
      <c r="A62" s="161" t="s">
        <v>281</v>
      </c>
      <c r="B62" s="162" t="s">
        <v>10</v>
      </c>
      <c r="C62" s="163" t="s">
        <v>281</v>
      </c>
      <c r="D62" s="164" t="s">
        <v>286</v>
      </c>
    </row>
    <row r="63" spans="1:4" x14ac:dyDescent="0.25">
      <c r="A63" s="161" t="s">
        <v>282</v>
      </c>
      <c r="B63" s="162" t="s">
        <v>10</v>
      </c>
      <c r="C63" s="163" t="s">
        <v>282</v>
      </c>
      <c r="D63" s="164" t="s">
        <v>285</v>
      </c>
    </row>
    <row r="64" spans="1:4" x14ac:dyDescent="0.25">
      <c r="A64" s="161" t="s">
        <v>283</v>
      </c>
      <c r="B64" s="162" t="s">
        <v>10</v>
      </c>
      <c r="C64" s="163" t="s">
        <v>283</v>
      </c>
      <c r="D64" s="164" t="s">
        <v>287</v>
      </c>
    </row>
    <row r="65" spans="1:4" x14ac:dyDescent="0.25">
      <c r="A65" s="161" t="s">
        <v>284</v>
      </c>
      <c r="B65" s="162" t="s">
        <v>10</v>
      </c>
      <c r="C65" s="163" t="s">
        <v>284</v>
      </c>
      <c r="D65" s="164" t="s">
        <v>288</v>
      </c>
    </row>
    <row r="66" spans="1:4" x14ac:dyDescent="0.25">
      <c r="A66" s="161" t="s">
        <v>295</v>
      </c>
      <c r="B66" s="162" t="s">
        <v>10</v>
      </c>
      <c r="C66" s="163" t="s">
        <v>295</v>
      </c>
      <c r="D66" s="164" t="s">
        <v>72</v>
      </c>
    </row>
    <row r="67" spans="1:4" x14ac:dyDescent="0.25">
      <c r="A67" s="165" t="s">
        <v>296</v>
      </c>
      <c r="B67" s="162" t="s">
        <v>226</v>
      </c>
      <c r="C67" s="163" t="s">
        <v>291</v>
      </c>
      <c r="D67" s="164"/>
    </row>
    <row r="68" spans="1:4" x14ac:dyDescent="0.25">
      <c r="A68" s="161" t="s">
        <v>297</v>
      </c>
      <c r="B68" s="162" t="s">
        <v>10</v>
      </c>
      <c r="C68" s="163" t="s">
        <v>297</v>
      </c>
      <c r="D68" s="164" t="s">
        <v>298</v>
      </c>
    </row>
    <row r="69" spans="1:4" x14ac:dyDescent="0.25">
      <c r="A69" s="161" t="s">
        <v>323</v>
      </c>
      <c r="B69" s="162" t="s">
        <v>10</v>
      </c>
      <c r="C69" s="163" t="s">
        <v>323</v>
      </c>
      <c r="D69" s="164" t="s">
        <v>324</v>
      </c>
    </row>
    <row r="70" spans="1:4" x14ac:dyDescent="0.25">
      <c r="A70" s="161" t="s">
        <v>408</v>
      </c>
      <c r="B70" s="162" t="s">
        <v>10</v>
      </c>
      <c r="C70" s="163" t="s">
        <v>408</v>
      </c>
      <c r="D70" s="164" t="s">
        <v>409</v>
      </c>
    </row>
  </sheetData>
  <mergeCells count="3">
    <mergeCell ref="A3:D3"/>
    <mergeCell ref="A2:D2"/>
    <mergeCell ref="A1:F1"/>
  </mergeCells>
  <conditionalFormatting sqref="C5:C69">
    <cfRule type="expression" dxfId="23" priority="1">
      <formula>LEN(C5)&gt;32</formula>
    </cfRule>
  </conditionalFormatting>
  <hyperlinks>
    <hyperlink ref="A70" location="'Australian tax'!$A$1" display="'Australian tax'!$A$1" xr:uid="{00000000-0004-0000-0100-000000000000}"/>
    <hyperlink ref="A1" location="'TOC'!$A$1" display="'TOC'!$A$1" xr:uid="{CB5F1399-2A88-4005-88E8-169A52F28849}"/>
    <hyperlink ref="A5" location="'Cover'!$A$1" display="'Cover'!$A$1" xr:uid="{CCBE2287-95A7-4351-81E6-5613A76B1A2E}"/>
    <hyperlink ref="A6" location="'TOC'!$A$1" display="'TOC'!$A$1" xr:uid="{FFC27991-BA2A-4C0B-8A61-C8DBDF1BF056}"/>
    <hyperlink ref="A7" location="'TOC'!$A$5:$D$7" display="'TOC'!$A$5:$D$7" xr:uid="{583FDF70-D024-4965-BA89-B2AD3E4FAC2E}"/>
    <hyperlink ref="A8" location="'Data Validation'!$A$1" display="'Data Validation'!$A$1" xr:uid="{15EF870A-8B50-4D0B-A183-22161E113A89}"/>
    <hyperlink ref="A9" location="'Data Validation'!$A$7:$B$12" display="'Data Validation'!$A$7:$B$12" xr:uid="{431EE21B-D000-483D-A7A5-ADB3C1DA5815}"/>
    <hyperlink ref="A10" location="'oz.CountDOWλ'!$A$1" display="'oz.CountDOWλ'!$A$1" xr:uid="{1EA85702-180F-4ED3-9514-1F34ABF31551}"/>
    <hyperlink ref="A11" location="'oz.IsBetweenλ'!$A$1" display="'oz.IsBetweenλ'!$A$1" xr:uid="{01A8DB1F-6500-48B8-ACA4-4D3783ACEDE2}"/>
    <hyperlink ref="A12" location="'oz.IsOccurrenceDateλ'!$A$1" display="'oz.IsOccurrenceDateλ'!$A$1" xr:uid="{84D84714-DCFA-4845-A904-4F7B33551932}"/>
    <hyperlink ref="A13" location="'oz.IsOccurrenceDateλ'!$A$34:$E$39" display="'oz.IsOccurrenceDateλ'!$A$34:$E$39" xr:uid="{3EE4710A-0A7D-4C6F-918F-948CB5FCB8CD}"/>
    <hyperlink ref="A14" location="'oz.OverLapDaysλ'!$A$1" display="'oz.OverLapDaysλ'!$A$1" xr:uid="{7B1DDDFE-DD14-49AD-B2D8-A10647832658}"/>
    <hyperlink ref="A15" location="'oz.OverLapDaysλ'!$A$23:$E$25" display="'oz.OverLapDaysλ'!$A$23:$E$25" xr:uid="{E1B731FE-6AE0-440A-9EA1-F0A74F1CF7F3}"/>
    <hyperlink ref="A16" location="'oz.Periodsλ'!$A$1" display="'oz.Periodsλ'!$A$1" xr:uid="{32E4CC23-A361-410B-8E03-EEC7C736F98C}"/>
    <hyperlink ref="A17" location="'oz.PeriodLabelλ'!$A$1" display="'oz.PeriodLabelλ'!$A$1" xr:uid="{A0D0F49B-6801-485A-BF70-D68CC79CD300}"/>
    <hyperlink ref="A18" location="'oz.ScheduleRatesλ'!$A$1" display="'oz.ScheduleRatesλ'!$A$1" xr:uid="{2901AE44-2664-485E-9CAE-28E43B25F0D1}"/>
    <hyperlink ref="A19" location="'oz.ScheduleRatesλ'!$A$36:$B$38" display="'oz.ScheduleRatesλ'!$A$36:$B$38" xr:uid="{9A36584A-9198-4FBF-8E9F-13960F21E62E}"/>
    <hyperlink ref="A20" location="'oz.ScheduleRatesλ'!$A$43:$C$46" display="'oz.ScheduleRatesλ'!$A$43:$C$46" xr:uid="{56FFBDDD-F76C-45ED-A67B-72B79DF7267E}"/>
    <hyperlink ref="A21" location="'oz.ScheduleRatesByItemsλ'!$A$1" display="'oz.ScheduleRatesByItemsλ'!$A$1" xr:uid="{8047904B-5AA7-4787-BA13-A73F5AC51BF6}"/>
    <hyperlink ref="A22" location="'oz.ScheduleRatesByItemsλ'!$D$25:$F$38" display="'oz.ScheduleRatesByItemsλ'!$D$25:$F$38" xr:uid="{3F7F55CD-4BF8-4D14-95DA-FAC04EB82B4A}"/>
    <hyperlink ref="A23" location="'oz.ScheduleValuesλ'!$A$1" display="'oz.ScheduleValuesλ'!$A$1" xr:uid="{EF7BB3C1-2F04-4CD6-9AA6-36AE344C2C5E}"/>
    <hyperlink ref="A25" location="'oz.ScheduleValuesλ'!$A$28:$C$32" display="'oz.ScheduleValuesλ'!$A$28:$C$32" xr:uid="{ED4A702A-5F0C-4C04-8E18-A1161CB1134B}"/>
    <hyperlink ref="A24" location="'oz.ScheduleValuesλ'!$E$20:$I$40" display="'oz.ScheduleValuesλ'!$E$20:$I$40" xr:uid="{FEE54B8C-7E14-4B0A-8B98-4B5A068BE255}"/>
    <hyperlink ref="A26" location="'oz.ScheduleValuesByItemsλ'!$A$1" display="'oz.ScheduleValuesByItemsλ'!$A$1" xr:uid="{C6993DBA-9182-4B59-B338-48D3D4B17DEE}"/>
    <hyperlink ref="A27" location="'oz.Timelineλ'!$A$1" display="'oz.Timelineλ'!$A$1" xr:uid="{A90D165F-C4AF-48D6-8D1D-F204F59625E9}"/>
    <hyperlink ref="A29" location="'oz.Amortiseλ'!$A$1" display="'oz.Amortiseλ'!$A$1" xr:uid="{BEA5B5B6-036F-423C-84EE-FC79FBEEEE69}"/>
    <hyperlink ref="A30" location="'oz.Amortiseλ'!$A$24:$E$26" display="'oz.Amortiseλ'!$A$24:$E$26" xr:uid="{1C636846-E572-463F-A44E-E91B33B0B14C}"/>
    <hyperlink ref="A31" location="'oz.LabelAmortiseλ'!$A$1" display="'oz.LabelAmortiseλ'!$A$1" xr:uid="{8B0E8BCB-C9D1-424F-95A9-EE73BAC3A2F7}"/>
    <hyperlink ref="A32" location="'oz.SumAmortiseλ'!$A$1" display="'oz.SumAmortiseλ'!$A$1" xr:uid="{D66697D1-12A9-407A-95C2-074D70520786}"/>
    <hyperlink ref="A33" location="'oz.Corkscrewλ'!$A$1" display="'oz.Corkscrewλ'!$A$1" xr:uid="{A7FC4DA8-89D6-47EA-A93C-D1A467CD3D18}"/>
    <hyperlink ref="A34" location="'oz.Cumulativeλ'!$A$1" display="'oz.Cumulativeλ'!$A$1" xr:uid="{5C07D413-045B-49AA-84AC-27A446010415}"/>
    <hyperlink ref="A35" location="'oz.Depreciateλ'!$A$1" display="'oz.Depreciateλ'!$A$1" xr:uid="{3010CCB3-7E12-441D-A389-196F03229010}"/>
    <hyperlink ref="A36" location="'oz.Depreciateλ'!$A$46:$H$48" display="'oz.Depreciateλ'!$A$46:$H$48" xr:uid="{1FA20571-FCAD-436A-AD66-6C86FC5A8825}"/>
    <hyperlink ref="A37" location="'oz.LabelDepreciateλ'!$A$1" display="'oz.LabelDepreciateλ'!$A$1" xr:uid="{4A06AA8A-28D9-4C80-9D9E-145EE1ABF538}"/>
    <hyperlink ref="A38" location="'oz.LabelDepreciateλ'!$A$26:$H$28" display="'oz.LabelDepreciateλ'!$A$26:$H$28" xr:uid="{7F51224E-A4FF-41E5-88BA-270AB69788A4}"/>
    <hyperlink ref="A39" location="'oz.SumDepreciateλ'!$A$1" display="'oz.SumDepreciateλ'!$A$1" xr:uid="{C83B5A30-FFC4-4E26-877E-0853E204A7AA}"/>
    <hyperlink ref="A40" location="'oz.SumDepreciateλ'!$A$26:$H$28" display="'oz.SumDepreciateλ'!$A$26:$H$28" xr:uid="{7535EEA8-D1DF-43DB-B564-8FE77209CFD9}"/>
    <hyperlink ref="A41" location="'oz.SumContainsλ'!$A$1" display="'oz.SumContainsλ'!$A$1" xr:uid="{5C8DAB05-8B34-4E16-BE14-BDB67049DC49}"/>
    <hyperlink ref="A42" location="'oz.SumContainsλ'!$A$29:$H$31" display="'oz.SumContainsλ'!$A$29:$H$31" xr:uid="{5D2F3E3F-6E09-48C9-B3C5-548B9CD76174}"/>
    <hyperlink ref="A43" location="'oz.IntOnIntλ'!$A$1" display="'oz.IntOnIntλ'!$A$1" xr:uid="{B5893D36-1849-443B-959D-9B7F1979F92D}"/>
    <hyperlink ref="A44" location="'oz.IntOnIntλ'!$A$28:$D$30" display="'oz.IntOnIntλ'!$A$28:$D$30" xr:uid="{6522888E-9D48-42FA-9B05-39A0CE8CA7DD}"/>
    <hyperlink ref="A45" location="'oz.IRRλ'!$A$1" display="'oz.IRRλ'!$A$1" xr:uid="{4DDD7FA6-DD83-476D-86DC-8F8C7D7B7C92}"/>
    <hyperlink ref="A46" location="'oz.Reversalλ'!$A$1" display="'oz.Reversalλ'!$A$1" xr:uid="{2BC91B08-8F0F-4354-B282-C26A51FDD4F0}"/>
    <hyperlink ref="A47" location="'oz.Movementλ'!$A$1" display="'oz.Movementλ'!$A$1" xr:uid="{84329063-D877-478D-9F9F-E346682DDB5B}"/>
    <hyperlink ref="A48" location="'oz.RollingSumλ'!$A$1" display="'oz.RollingSumλ'!$A$1" xr:uid="{D90BE02E-28EC-4AAB-AFE3-D7DF30270F5D}"/>
    <hyperlink ref="A49" location="'oz.SumPeriodsλ'!$A$1" display="'oz.SumPeriodsλ'!$A$1" xr:uid="{F8F315D9-BD34-4E1F-963D-CBE096B01AA1}"/>
    <hyperlink ref="A50" location="'oz.TimelineOffsetλ'!$A$1" display="'oz.TimelineOffsetλ'!$A$1" xr:uid="{78BD3347-2168-4112-9AC6-FD7758F6870E}"/>
    <hyperlink ref="A51" location="'oz.TimelinePositionλ'!$A$1" display="'oz.TimelinePositionλ'!$A$1" xr:uid="{D54C8264-B700-438A-92DC-0E1238CC7EF6}"/>
    <hyperlink ref="A52" location="'oz.AboutEssentialsλ'!$A$1" display="'oz.AboutEssentialsλ'!$A$1" xr:uid="{6AFB1077-9092-42FE-9EE3-9F60E6135748}"/>
    <hyperlink ref="A53" location="'oz.CountCλ'!$A$1" display="'oz.CountCλ'!$A$1" xr:uid="{425D1256-FB57-4E2D-9BE1-8E116617FAB0}"/>
    <hyperlink ref="A54" location="'oz.SumRowsλ'!$A$1" display="'oz.SumRowsλ'!$A$1" xr:uid="{9FE8402C-3B5E-44C2-924B-3B7A0AB24753}"/>
    <hyperlink ref="A55" location="'oz.SumColsλ'!$A$1" display="'oz.SumColsλ'!$A$1" xr:uid="{20824F45-B21C-4965-B6E9-9E5026AAF433}"/>
    <hyperlink ref="A56" location="'oz.AvgRowsλ'!$A$1" display="'oz.AvgRowsλ'!$A$1" xr:uid="{90263ED3-F51E-4C7B-9F9C-E16A4A3AA6B3}"/>
    <hyperlink ref="A57" location="'oz.AvgColsλ'!$A$1" display="'oz.AvgColsλ'!$A$1" xr:uid="{28FD9445-0707-4DA8-9318-B31561D7FF42}"/>
    <hyperlink ref="A58" location="'oz.MinRowsλ'!$A$1" display="'oz.MinRowsλ'!$A$1" xr:uid="{AE128D80-3DAD-4F2F-922F-32422BCC1374}"/>
    <hyperlink ref="A59" location="'oz.MinColsλ'!$A$1" display="'oz.MinColsλ'!$A$1" xr:uid="{BEA45A63-4F73-4E9F-966C-499A14E56E4C}"/>
    <hyperlink ref="A60" location="'oz.MaxRowsλ'!$A$1" display="'oz.MaxRowsλ'!$A$1" xr:uid="{A4591831-CBDC-4EAA-AF05-E72122CA1E45}"/>
    <hyperlink ref="A61" location="'oz.MaxColsλ'!$A$1" display="'oz.MaxColsλ'!$A$1" xr:uid="{EE9AD777-5C2F-47F1-9BC8-D481F550D593}"/>
    <hyperlink ref="A62" location="'oz.CountRowsλ'!$A$1" display="'oz.CountRowsλ'!$A$1" xr:uid="{85B0DB09-7E41-43E6-8AC1-401AC777C4E6}"/>
    <hyperlink ref="A63" location="'oz.CountColsλ'!$A$1" display="'oz.CountColsλ'!$A$1" xr:uid="{CD482693-E456-496A-A91A-7BA431261244}"/>
    <hyperlink ref="A64" location="'oz.CountARowsλ'!$A$1" display="'oz.CountARowsλ'!$A$1" xr:uid="{C4E0AD1D-05FC-450C-96BA-56434B0A7764}"/>
    <hyperlink ref="A65" location="'oz.CountAColsλ'!$A$1" display="'oz.CountAColsλ'!$A$1" xr:uid="{BF1CE99C-507A-421E-B5C9-DEFE2C01F553}"/>
    <hyperlink ref="A66" location="'oz.IsBetweenEλ'!$A$1" display="'oz.IsBetweenEλ'!$A$1" xr:uid="{88489402-EA40-4F69-806D-DA2A57AF77B1}"/>
    <hyperlink ref="A67" location="'oz.IsBetweenEλ'!$A$29:$B$33" display="'oz.IsBetweenEλ'!$A$29:$B$33" xr:uid="{DCC2715B-CFF8-43EA-B9F0-C1629F554799}"/>
    <hyperlink ref="A68" location="'oz.RangeToDAEλ'!$A$1" display="'oz.RangeToDAEλ'!$A$1" xr:uid="{4A8420CE-883D-4955-AA6C-068C9DA7572B}"/>
    <hyperlink ref="A69" location="'oz.FinancialRatios'!$A$1" display="'oz.FinancialRatios'!$A$1" xr:uid="{27006F34-ED4F-4D31-9273-4C75AEB7D26C}"/>
  </hyperlinks>
  <pageMargins left="0.7" right="0.7" top="0.75" bottom="0.75" header="0.3" footer="0.3"/>
  <pageSetup paperSize="9" scale="46" fitToHeight="0" orientation="portrait" horizontalDpi="360" verticalDpi="36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FF15E-09E8-43C7-92D8-96DC89B4FA57}">
  <sheetPr>
    <tabColor rgb="FFE5E4E2"/>
    <pageSetUpPr fitToPage="1"/>
  </sheetPr>
  <dimension ref="A1:M13"/>
  <sheetViews>
    <sheetView showGridLines="0" workbookViewId="0">
      <selection sqref="A1:H1"/>
    </sheetView>
  </sheetViews>
  <sheetFormatPr defaultRowHeight="15" x14ac:dyDescent="0.25"/>
  <cols>
    <col min="1" max="1" width="6.625" customWidth="1"/>
    <col min="2" max="2" width="21.75" bestFit="1" customWidth="1"/>
  </cols>
  <sheetData>
    <row r="1" spans="1:13" ht="46.5" x14ac:dyDescent="0.7">
      <c r="A1" s="185" t="str">
        <f ca="1">_xlfn.TEXTAFTER(CELL("filename",A1),"]")</f>
        <v>Data Validation</v>
      </c>
      <c r="B1" s="185"/>
      <c r="C1" s="185"/>
      <c r="D1" s="185"/>
      <c r="E1" s="185"/>
      <c r="F1" s="185"/>
      <c r="G1" s="185"/>
      <c r="H1" s="185"/>
      <c r="I1" s="6"/>
      <c r="J1" s="6"/>
      <c r="K1" s="6"/>
      <c r="L1" s="6"/>
      <c r="M1" s="6"/>
    </row>
    <row r="2" spans="1:13" x14ac:dyDescent="0.25">
      <c r="A2" s="186" t="s">
        <v>305</v>
      </c>
      <c r="B2" s="187"/>
      <c r="C2" s="187"/>
      <c r="D2" s="187"/>
      <c r="E2" s="187"/>
      <c r="F2" s="187"/>
      <c r="G2" s="187"/>
      <c r="H2" s="187"/>
      <c r="I2" s="187"/>
      <c r="J2" s="187"/>
      <c r="K2" s="187"/>
      <c r="L2" s="187"/>
      <c r="M2" s="188"/>
    </row>
    <row r="4" spans="1:13" ht="21" x14ac:dyDescent="0.35">
      <c r="A4" s="189" t="s">
        <v>314</v>
      </c>
      <c r="B4" s="190"/>
    </row>
    <row r="6" spans="1:13" x14ac:dyDescent="0.25">
      <c r="A6" t="s">
        <v>175</v>
      </c>
      <c r="B6" t="s">
        <v>7</v>
      </c>
    </row>
    <row r="7" spans="1:13" x14ac:dyDescent="0.25">
      <c r="A7" t="s">
        <v>304</v>
      </c>
      <c r="B7" t="s">
        <v>307</v>
      </c>
    </row>
    <row r="8" spans="1:13" x14ac:dyDescent="0.25">
      <c r="A8" t="s">
        <v>177</v>
      </c>
      <c r="B8" t="s">
        <v>308</v>
      </c>
    </row>
    <row r="9" spans="1:13" x14ac:dyDescent="0.25">
      <c r="A9" t="s">
        <v>178</v>
      </c>
      <c r="B9" t="s">
        <v>313</v>
      </c>
    </row>
    <row r="10" spans="1:13" x14ac:dyDescent="0.25">
      <c r="A10" t="s">
        <v>176</v>
      </c>
      <c r="B10" t="s">
        <v>306</v>
      </c>
    </row>
    <row r="11" spans="1:13" x14ac:dyDescent="0.25">
      <c r="A11" t="s">
        <v>309</v>
      </c>
      <c r="B11" t="s">
        <v>310</v>
      </c>
    </row>
    <row r="12" spans="1:13" x14ac:dyDescent="0.25">
      <c r="A12" t="s">
        <v>311</v>
      </c>
      <c r="B12" t="s">
        <v>312</v>
      </c>
    </row>
    <row r="13" spans="1:13" x14ac:dyDescent="0.25">
      <c r="A13" t="s">
        <v>406</v>
      </c>
      <c r="B13" t="s">
        <v>407</v>
      </c>
    </row>
  </sheetData>
  <mergeCells count="3">
    <mergeCell ref="A1:H1"/>
    <mergeCell ref="A2:M2"/>
    <mergeCell ref="A4:B4"/>
  </mergeCells>
  <hyperlinks>
    <hyperlink ref="A1" location="'TOC'!$A$1" display="'TOC'!$A$1" xr:uid="{6197EC9A-87E6-48A7-A1CE-37F9C8C0EC40}"/>
  </hyperlinks>
  <pageMargins left="0.7" right="0.7" top="0.75" bottom="0.75" header="0.3" footer="0.3"/>
  <pageSetup paperSize="9" scale="98" fitToHeight="0" orientation="landscape"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6023C"/>
    <pageSetUpPr fitToPage="1"/>
  </sheetPr>
  <dimension ref="A1:F26"/>
  <sheetViews>
    <sheetView showGridLines="0" workbookViewId="0"/>
  </sheetViews>
  <sheetFormatPr defaultRowHeight="15" x14ac:dyDescent="0.25"/>
  <cols>
    <col min="1" max="1" width="34" customWidth="1"/>
    <col min="2" max="6" width="16" customWidth="1"/>
  </cols>
  <sheetData>
    <row r="1" spans="1:6" ht="46.5" x14ac:dyDescent="0.7">
      <c r="A1" s="6" t="str">
        <f ca="1">_xlfn.TEXTAFTER(CELL("filename",A1),"]")</f>
        <v>Australian tax</v>
      </c>
    </row>
    <row r="2" spans="1:6" x14ac:dyDescent="0.25">
      <c r="A2" t="s">
        <v>410</v>
      </c>
    </row>
    <row r="4" spans="1:6" x14ac:dyDescent="0.25">
      <c r="A4" s="153" t="s">
        <v>411</v>
      </c>
    </row>
    <row r="5" spans="1:6" x14ac:dyDescent="0.25">
      <c r="A5" s="153" t="s">
        <v>183</v>
      </c>
      <c r="B5" s="153" t="s">
        <v>412</v>
      </c>
    </row>
    <row r="6" spans="1:6" x14ac:dyDescent="0.25">
      <c r="A6" s="154">
        <v>50000</v>
      </c>
      <c r="B6">
        <v>5</v>
      </c>
    </row>
    <row r="8" spans="1:6" x14ac:dyDescent="0.25">
      <c r="A8" t="s">
        <v>413</v>
      </c>
      <c r="B8" s="154" cm="1">
        <f t="array" ref="B8:F8">oz.DiminishingValueλ($A$6,$B$6)</f>
        <v>20000</v>
      </c>
      <c r="C8">
        <v>12000</v>
      </c>
      <c r="D8">
        <v>7200</v>
      </c>
      <c r="E8">
        <v>4320</v>
      </c>
      <c r="F8">
        <v>6480</v>
      </c>
    </row>
    <row r="9" spans="1:6" x14ac:dyDescent="0.25">
      <c r="A9" t="s">
        <v>414</v>
      </c>
      <c r="B9" s="154" cm="1">
        <f t="array" ref="B9:F9">oz.PrimeCostλ($A$6,$B$6)</f>
        <v>10000</v>
      </c>
      <c r="C9">
        <v>10000</v>
      </c>
      <c r="D9">
        <v>10000</v>
      </c>
      <c r="E9">
        <v>10000</v>
      </c>
      <c r="F9">
        <v>10000</v>
      </c>
    </row>
    <row r="10" spans="1:6" x14ac:dyDescent="0.25">
      <c r="A10" t="s">
        <v>415</v>
      </c>
      <c r="B10" s="154">
        <f>SUM(_xlfn.ANCHORARRAY(B8))</f>
        <v>50000</v>
      </c>
    </row>
    <row r="11" spans="1:6" x14ac:dyDescent="0.25">
      <c r="A11" t="s">
        <v>416</v>
      </c>
      <c r="B11" s="154">
        <f>SUM(_xlfn.ANCHORARRAY(B9))</f>
        <v>50000</v>
      </c>
    </row>
    <row r="12" spans="1:6" x14ac:dyDescent="0.25">
      <c r="A12" t="s">
        <v>417</v>
      </c>
    </row>
    <row r="13" spans="1:6" x14ac:dyDescent="0.25">
      <c r="A13" t="s">
        <v>418</v>
      </c>
    </row>
    <row r="14" spans="1:6" x14ac:dyDescent="0.25">
      <c r="A14" s="153" t="s">
        <v>419</v>
      </c>
    </row>
    <row r="15" spans="1:6" x14ac:dyDescent="0.25">
      <c r="A15" s="153" t="s">
        <v>420</v>
      </c>
      <c r="B15" s="153" t="s">
        <v>421</v>
      </c>
    </row>
    <row r="16" spans="1:6" x14ac:dyDescent="0.25">
      <c r="A16" s="154">
        <v>1000</v>
      </c>
      <c r="B16" s="154" cm="1">
        <f t="array" ref="B16">oz.GSTAddλ(A16)</f>
        <v>1100</v>
      </c>
    </row>
    <row r="18" spans="1:2" x14ac:dyDescent="0.25">
      <c r="A18" s="153" t="s">
        <v>422</v>
      </c>
      <c r="B18" s="153" t="s">
        <v>423</v>
      </c>
    </row>
    <row r="19" spans="1:2" x14ac:dyDescent="0.25">
      <c r="A19" s="154">
        <v>1100</v>
      </c>
      <c r="B19" s="154" cm="1">
        <f t="array" ref="B19">oz.GSTExtractλ(A19)</f>
        <v>99.999999999999986</v>
      </c>
    </row>
    <row r="21" spans="1:2" x14ac:dyDescent="0.25">
      <c r="A21" s="153" t="s">
        <v>424</v>
      </c>
    </row>
    <row r="22" spans="1:2" x14ac:dyDescent="0.25">
      <c r="A22" s="153" t="s">
        <v>6</v>
      </c>
      <c r="B22" s="153" t="s">
        <v>425</v>
      </c>
    </row>
    <row r="23" spans="1:2" x14ac:dyDescent="0.25">
      <c r="A23" s="155">
        <v>46203</v>
      </c>
      <c r="B23" t="str" cm="1">
        <f t="array" ref="B23:B26">oz.FinancialYearλ(A23:A26)</f>
        <v>FY2026</v>
      </c>
    </row>
    <row r="24" spans="1:2" x14ac:dyDescent="0.25">
      <c r="A24" s="155">
        <v>46204</v>
      </c>
      <c r="B24" t="str">
        <v>FY2027</v>
      </c>
    </row>
    <row r="25" spans="1:2" x14ac:dyDescent="0.25">
      <c r="A25" s="155">
        <v>46249</v>
      </c>
      <c r="B25" t="str">
        <v>FY2027</v>
      </c>
    </row>
    <row r="26" spans="1:2" x14ac:dyDescent="0.25">
      <c r="A26" s="155">
        <v>46387</v>
      </c>
      <c r="B26" t="str">
        <v>FY2027</v>
      </c>
    </row>
  </sheetData>
  <hyperlinks>
    <hyperlink ref="A1" location="'TOC'!$A$1" display="'TOC'!$A$1" xr:uid="{00000000-0004-0000-0300-000000000000}"/>
  </hyperlinks>
  <pageMargins left="0.7" right="0.7" top="0.75" bottom="0.75" header="0.3" footer="0.3"/>
  <pageSetup paperSize="9" scale="52"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27DB-A044-4E3C-92AE-B0DDB991CE4C}">
  <sheetPr codeName="Sheet6">
    <tabColor rgb="FF000000"/>
    <pageSetUpPr fitToPage="1"/>
  </sheetPr>
  <dimension ref="A1:Q24"/>
  <sheetViews>
    <sheetView showGridLines="0" workbookViewId="0">
      <selection sqref="A1:M1"/>
    </sheetView>
  </sheetViews>
  <sheetFormatPr defaultRowHeight="15" x14ac:dyDescent="0.25"/>
  <cols>
    <col min="1" max="1" width="12.75" bestFit="1" customWidth="1"/>
    <col min="2" max="2" width="11.75" customWidth="1"/>
    <col min="3" max="3" width="6.75" bestFit="1" customWidth="1"/>
    <col min="5" max="5" width="5.75" bestFit="1" customWidth="1"/>
    <col min="6" max="29" width="11.375" bestFit="1" customWidth="1"/>
  </cols>
  <sheetData>
    <row r="1" spans="1:17" ht="46.5" x14ac:dyDescent="0.7">
      <c r="A1" s="185" t="str">
        <f ca="1">_xlfn.TEXTAFTER(CELL("filename",A1),"]")</f>
        <v>oz.CountDOWλ</v>
      </c>
      <c r="B1" s="185"/>
      <c r="C1" s="185"/>
      <c r="D1" s="185"/>
      <c r="E1" s="185"/>
      <c r="F1" s="185"/>
      <c r="G1" s="185"/>
      <c r="H1" s="185"/>
      <c r="I1" s="185"/>
      <c r="J1" s="185"/>
      <c r="K1" s="185"/>
      <c r="L1" s="185"/>
      <c r="M1" s="185"/>
      <c r="N1" s="6"/>
    </row>
    <row r="2" spans="1:17" x14ac:dyDescent="0.25">
      <c r="A2" s="186" t="s">
        <v>71</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c r="L3" s="4"/>
      <c r="M3" s="4"/>
      <c r="N3" s="4"/>
    </row>
    <row r="4" spans="1:17" x14ac:dyDescent="0.25">
      <c r="A4" s="24" t="str" cm="1">
        <f t="array" ref="A4:B13">oz.CountDOWλ()</f>
        <v>FUNCTION:</v>
      </c>
      <c r="B4" t="str">
        <v>CountDOWλ(Starts, Ends, DayOfWeek)</v>
      </c>
    </row>
    <row r="5" spans="1:17" x14ac:dyDescent="0.25">
      <c r="A5" t="str">
        <v>DESCRIPTION:</v>
      </c>
      <c r="B5" t="str">
        <v>Count instances of a specific day of the week between two dates.</v>
      </c>
    </row>
    <row r="6" spans="1:17" x14ac:dyDescent="0.25">
      <c r="A6" t="str">
        <v>WEBSITE:</v>
      </c>
      <c r="B6" t="str">
        <v>https://github.com/ryanduguid/Ozzit</v>
      </c>
    </row>
    <row r="7" spans="1:17" x14ac:dyDescent="0.25">
      <c r="A7" t="str">
        <v>PARAMETERS:</v>
      </c>
      <c r="B7" t="str">
        <v/>
      </c>
    </row>
    <row r="8" spans="1:17" x14ac:dyDescent="0.25">
      <c r="A8" t="str">
        <v>Starts</v>
      </c>
      <c r="B8" t="str">
        <v>(Required) One of more start dates (text or numeric) in a row or column</v>
      </c>
    </row>
    <row r="9" spans="1:17" x14ac:dyDescent="0.25">
      <c r="A9" t="str">
        <v>Ends</v>
      </c>
      <c r="B9" t="str">
        <v>(Required) End dates (text or numeric) for each start date</v>
      </c>
    </row>
    <row r="10" spans="1:17" x14ac:dyDescent="0.25">
      <c r="A10" t="str">
        <v>DayOfWeek</v>
      </c>
      <c r="B10" t="str">
        <v>(Required) 1=Sunday, 7=Saturday.</v>
      </c>
    </row>
    <row r="11" spans="1:17" x14ac:dyDescent="0.25">
      <c r="A11" t="str">
        <v>EXAMPLES:</v>
      </c>
      <c r="B11" t="str">
        <v/>
      </c>
    </row>
    <row r="12" spans="1:17" x14ac:dyDescent="0.25">
      <c r="A12" t="str">
        <v>Result</v>
      </c>
      <c r="B12" t="str">
        <v>Formula (oz is assumed to be the module's name)</v>
      </c>
    </row>
    <row r="13" spans="1:17" x14ac:dyDescent="0.25">
      <c r="A13" t="str">
        <v>3</v>
      </c>
      <c r="B13" t="str">
        <v>=oz.CountDOWλ("23/7/2026", "11/8/2026", 1)</v>
      </c>
    </row>
    <row r="18" spans="1:17" x14ac:dyDescent="0.25">
      <c r="E18" s="20" t="s">
        <v>26</v>
      </c>
      <c r="F18" s="21" cm="1">
        <f t="array" ref="F18:Q18">oz.Timelineλ($B$21,$B$22,$B$23)</f>
        <v>46204</v>
      </c>
      <c r="G18" s="21">
        <v>46569</v>
      </c>
      <c r="H18" s="21">
        <v>46935</v>
      </c>
      <c r="I18" s="21">
        <v>47300</v>
      </c>
      <c r="J18" s="21">
        <v>47665</v>
      </c>
      <c r="K18" s="21">
        <v>48030</v>
      </c>
      <c r="L18" s="21">
        <v>48396</v>
      </c>
      <c r="M18" s="21">
        <v>48761</v>
      </c>
      <c r="N18" s="21">
        <v>49126</v>
      </c>
      <c r="O18" s="21">
        <v>49491</v>
      </c>
      <c r="P18" s="21">
        <v>49857</v>
      </c>
      <c r="Q18" s="21">
        <v>50222</v>
      </c>
    </row>
    <row r="19" spans="1:17" x14ac:dyDescent="0.25">
      <c r="A19" s="8" t="s">
        <v>13</v>
      </c>
      <c r="B19" s="9" t="s">
        <v>14</v>
      </c>
      <c r="C19" s="8" t="s">
        <v>15</v>
      </c>
      <c r="E19" s="19" t="s">
        <v>27</v>
      </c>
      <c r="F19" s="22" cm="1">
        <f t="array" ref="F19:Q19">oz.Timelineλ($B$21,$B$22,$B$23,FALSE)</f>
        <v>46568</v>
      </c>
      <c r="G19" s="22">
        <v>46934</v>
      </c>
      <c r="H19" s="22">
        <v>47299</v>
      </c>
      <c r="I19" s="22">
        <v>47664</v>
      </c>
      <c r="J19" s="22">
        <v>48029</v>
      </c>
      <c r="K19" s="22">
        <v>48395</v>
      </c>
      <c r="L19" s="22">
        <v>48760</v>
      </c>
      <c r="M19" s="22">
        <v>49125</v>
      </c>
      <c r="N19" s="22">
        <v>49490</v>
      </c>
      <c r="O19" s="22">
        <v>49856</v>
      </c>
      <c r="P19" s="22">
        <v>50221</v>
      </c>
      <c r="Q19" s="22">
        <v>50586</v>
      </c>
    </row>
    <row r="20" spans="1:17" x14ac:dyDescent="0.25">
      <c r="A20" s="2" t="s">
        <v>25</v>
      </c>
      <c r="F20" s="23" cm="1">
        <f t="array" ref="F20:Q20">oz.CountDOWλ(_xlfn.ANCHORARRAY( F18),_xlfn.ANCHORARRAY( F19), $B$24)</f>
        <v>52</v>
      </c>
      <c r="G20">
        <v>52</v>
      </c>
      <c r="H20">
        <v>52</v>
      </c>
      <c r="I20">
        <v>53</v>
      </c>
      <c r="J20">
        <v>52</v>
      </c>
      <c r="K20">
        <v>52</v>
      </c>
      <c r="L20">
        <v>52</v>
      </c>
      <c r="M20">
        <v>52</v>
      </c>
      <c r="N20">
        <v>52</v>
      </c>
      <c r="O20">
        <v>53</v>
      </c>
      <c r="P20">
        <v>52</v>
      </c>
      <c r="Q20">
        <v>52</v>
      </c>
    </row>
    <row r="21" spans="1:17" x14ac:dyDescent="0.25">
      <c r="A21" s="14" t="s">
        <v>26</v>
      </c>
      <c r="B21" s="12">
        <v>46204</v>
      </c>
      <c r="C21" t="s">
        <v>21</v>
      </c>
    </row>
    <row r="22" spans="1:17" x14ac:dyDescent="0.25">
      <c r="A22" s="14" t="s">
        <v>17</v>
      </c>
      <c r="B22" s="15">
        <v>12</v>
      </c>
      <c r="C22" t="s">
        <v>21</v>
      </c>
    </row>
    <row r="23" spans="1:17" x14ac:dyDescent="0.25">
      <c r="A23" s="14" t="s">
        <v>18</v>
      </c>
      <c r="B23" s="11" t="s">
        <v>2</v>
      </c>
      <c r="C23" t="s">
        <v>29</v>
      </c>
    </row>
    <row r="24" spans="1:17" x14ac:dyDescent="0.25">
      <c r="A24" s="2" t="s">
        <v>28</v>
      </c>
      <c r="B24" s="16">
        <f>MATCH(C24,{"Sunday","Monday","Tuesday","Wednesday","Thursday","Friday","Saturday"},0)</f>
        <v>1</v>
      </c>
      <c r="C24" s="17" t="s">
        <v>95</v>
      </c>
    </row>
  </sheetData>
  <mergeCells count="2">
    <mergeCell ref="A1:M1"/>
    <mergeCell ref="A2:Q2"/>
  </mergeCells>
  <conditionalFormatting sqref="F18:NA18">
    <cfRule type="cellIs" dxfId="22" priority="1" stopIfTrue="1" operator="lessThan">
      <formula>0</formula>
    </cfRule>
    <cfRule type="notContainsBlanks" dxfId="21" priority="2" stopIfTrue="1">
      <formula>LEN(TRIM(F18))&gt;0</formula>
    </cfRule>
  </conditionalFormatting>
  <conditionalFormatting sqref="F19:NA19">
    <cfRule type="cellIs" dxfId="20" priority="3" stopIfTrue="1" operator="lessThan">
      <formula>0</formula>
    </cfRule>
    <cfRule type="notContainsBlanks" dxfId="19" priority="4" stopIfTrue="1">
      <formula>LEN(TRIM(F19))&gt;0</formula>
    </cfRule>
  </conditionalFormatting>
  <dataValidations count="2">
    <dataValidation type="list" allowBlank="1" showInputMessage="1" showErrorMessage="1" sqref="C24" xr:uid="{9A51AD48-68F6-4B03-88B0-1D31202975CC}">
      <formula1>"Sunday,Monday,Tuesday,Wednesday,Thursday,Friday,Saturday"</formula1>
    </dataValidation>
    <dataValidation type="list" allowBlank="1" showInputMessage="1" showErrorMessage="1" sqref="B23" xr:uid="{58B3ECC8-973C-449D-B45F-731043B0F9D7}">
      <formula1>"M,Q,Y"</formula1>
    </dataValidation>
  </dataValidations>
  <hyperlinks>
    <hyperlink ref="A1" location="'TOC'!$A$1" display="'TOC'!$A$1" xr:uid="{338CA192-682F-48D1-890B-DEDF583C25B1}"/>
  </hyperlinks>
  <pageMargins left="0.7" right="0.7" top="0.75" bottom="0.75" header="0.3" footer="0.3"/>
  <pageSetup paperSize="9" scale="69" fitToHeight="0"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E1DD-EDE0-4712-AB77-8E9D8B4EDF17}">
  <sheetPr codeName="Sheet10">
    <tabColor rgb="FF000000"/>
    <pageSetUpPr fitToPage="1"/>
  </sheetPr>
  <dimension ref="A1:Q34"/>
  <sheetViews>
    <sheetView showGridLines="0" workbookViewId="0">
      <selection sqref="A1:M1"/>
    </sheetView>
  </sheetViews>
  <sheetFormatPr defaultRowHeight="15" x14ac:dyDescent="0.25"/>
  <cols>
    <col min="1" max="1" width="13.75" bestFit="1" customWidth="1"/>
    <col min="2" max="2" width="12.375" customWidth="1"/>
    <col min="3" max="3" width="5.875" bestFit="1" customWidth="1"/>
    <col min="5" max="5" width="5.75" bestFit="1" customWidth="1"/>
    <col min="6" max="7" width="11.375" bestFit="1" customWidth="1"/>
    <col min="8" max="8" width="11.75" bestFit="1" customWidth="1"/>
    <col min="9" max="9" width="11.25" customWidth="1"/>
    <col min="10" max="10" width="12.125" bestFit="1" customWidth="1"/>
    <col min="11" max="29" width="11.375" bestFit="1" customWidth="1"/>
  </cols>
  <sheetData>
    <row r="1" spans="1:17" ht="46.5" x14ac:dyDescent="0.7">
      <c r="A1" s="185" t="str">
        <f ca="1">_xlfn.TEXTAFTER(CELL("filename",A1),"]")</f>
        <v>oz.IsBetweenλ</v>
      </c>
      <c r="B1" s="185"/>
      <c r="C1" s="185"/>
      <c r="D1" s="185"/>
      <c r="E1" s="185"/>
      <c r="F1" s="185"/>
      <c r="G1" s="185"/>
      <c r="H1" s="185"/>
      <c r="I1" s="185"/>
      <c r="J1" s="185"/>
      <c r="K1" s="185"/>
      <c r="L1" s="185"/>
      <c r="M1" s="185"/>
      <c r="N1" s="6"/>
    </row>
    <row r="2" spans="1:17" x14ac:dyDescent="0.25">
      <c r="A2" s="186" t="s">
        <v>72</v>
      </c>
      <c r="B2" s="191"/>
      <c r="C2" s="191"/>
      <c r="D2" s="191"/>
      <c r="E2" s="191"/>
      <c r="F2" s="191"/>
      <c r="G2" s="191"/>
      <c r="H2" s="191"/>
      <c r="I2" s="191"/>
      <c r="J2" s="191"/>
      <c r="K2" s="191"/>
      <c r="L2" s="191"/>
      <c r="M2" s="191"/>
      <c r="N2" s="191"/>
      <c r="O2" s="191"/>
      <c r="P2" s="191"/>
      <c r="Q2" s="191"/>
    </row>
    <row r="3" spans="1:17" x14ac:dyDescent="0.25">
      <c r="A3" s="130"/>
      <c r="B3" s="131"/>
      <c r="C3" s="131"/>
      <c r="D3" s="131"/>
      <c r="E3" s="131"/>
      <c r="F3" s="131"/>
      <c r="G3" s="131"/>
      <c r="H3" s="131"/>
      <c r="I3" s="131"/>
      <c r="J3" s="131"/>
      <c r="K3" s="131"/>
      <c r="L3" s="131"/>
      <c r="M3" s="131"/>
      <c r="N3" s="131"/>
      <c r="O3" s="131"/>
      <c r="P3" s="131"/>
      <c r="Q3" s="131"/>
    </row>
    <row r="4" spans="1:17" x14ac:dyDescent="0.25">
      <c r="A4" s="55" t="str" cm="1">
        <f t="array" ref="A4:B16">oz.IsBetweenλ()</f>
        <v>FUNCTION:</v>
      </c>
      <c r="B4" t="str">
        <v>IsBetweenλ(Values, Low, High, [Inclusive])</v>
      </c>
    </row>
    <row r="5" spans="1:17" x14ac:dyDescent="0.25">
      <c r="A5" t="str">
        <v>DESCRIPTION:</v>
      </c>
      <c r="B5" t="str">
        <v>Determine if a value is between a lower and upper limit.</v>
      </c>
    </row>
    <row r="6" spans="1:17" x14ac:dyDescent="0.25">
      <c r="A6" t="str">
        <v>WEBSITE:</v>
      </c>
      <c r="B6" t="str">
        <v>https://github.com/ryanduguid/Ozzit</v>
      </c>
    </row>
    <row r="7" spans="1:17" x14ac:dyDescent="0.25">
      <c r="A7" t="str">
        <v>PARAMETERS:</v>
      </c>
      <c r="B7" t="str">
        <v/>
      </c>
    </row>
    <row r="8" spans="1:17" x14ac:dyDescent="0.25">
      <c r="A8" t="str">
        <v>Values</v>
      </c>
      <c r="B8" t="str">
        <v>(Required) one or more values to compare.</v>
      </c>
    </row>
    <row r="9" spans="1:17" x14ac:dyDescent="0.25">
      <c r="A9" t="str">
        <v>Low</v>
      </c>
      <c r="B9" t="str">
        <v>(Required) The lower limit that the value(s) must be greater than</v>
      </c>
    </row>
    <row r="10" spans="1:17" x14ac:dyDescent="0.25">
      <c r="A10" t="str">
        <v>High</v>
      </c>
      <c r="B10" t="str">
        <v>(Required) The higher limit that the value(s) must be less than</v>
      </c>
    </row>
    <row r="11" spans="1:17" x14ac:dyDescent="0.25">
      <c r="A11" t="str">
        <v>Inclusive</v>
      </c>
      <c r="B11" t="str">
        <v>(Optional) TRUE: Value(s) can be equal to Low and/or High (default)</v>
      </c>
    </row>
    <row r="12" spans="1:17" x14ac:dyDescent="0.25">
      <c r="A12" t="str">
        <v>EXAMPLES:</v>
      </c>
      <c r="B12" t="str">
        <v/>
      </c>
    </row>
    <row r="13" spans="1:17" x14ac:dyDescent="0.25">
      <c r="A13" t="str">
        <v>Result</v>
      </c>
      <c r="B13" t="str">
        <v>Formula (oz is assumed to be the module's name)</v>
      </c>
    </row>
    <row r="14" spans="1:17" x14ac:dyDescent="0.25">
      <c r="A14" t="str">
        <v>FALSE</v>
      </c>
      <c r="B14" t="str">
        <v>=oz.IsBetweenλ(1, 2, 4)</v>
      </c>
    </row>
    <row r="15" spans="1:17" x14ac:dyDescent="0.25">
      <c r="A15" t="str">
        <v>TRUE</v>
      </c>
      <c r="B15" t="str">
        <v>=oz.IsBetweenλ(Today(), Today(), Today()+1)</v>
      </c>
    </row>
    <row r="16" spans="1:17" x14ac:dyDescent="0.25">
      <c r="A16" t="str">
        <v>FALSE</v>
      </c>
      <c r="B16" t="str">
        <v>=oz.IsBetweenλ("B", "B", "D", FALSE)</v>
      </c>
    </row>
    <row r="22" spans="1:17" x14ac:dyDescent="0.25">
      <c r="E22" s="20" t="s">
        <v>26</v>
      </c>
      <c r="F22" s="25" cm="1">
        <f t="array" ref="F22:Q22">oz.Timelineλ($B$25,$B$26,$B$27)</f>
        <v>46204</v>
      </c>
      <c r="G22" s="21">
        <v>46235</v>
      </c>
      <c r="H22" s="21">
        <v>46266</v>
      </c>
      <c r="I22" s="21">
        <v>46296</v>
      </c>
      <c r="J22" s="21">
        <v>46327</v>
      </c>
      <c r="K22" s="21">
        <v>46357</v>
      </c>
      <c r="L22" s="21">
        <v>46388</v>
      </c>
      <c r="M22" s="21">
        <v>46419</v>
      </c>
      <c r="N22" s="21">
        <v>46447</v>
      </c>
      <c r="O22" s="21">
        <v>46478</v>
      </c>
      <c r="P22" s="21">
        <v>46508</v>
      </c>
      <c r="Q22" s="21">
        <v>46539</v>
      </c>
    </row>
    <row r="23" spans="1:17" x14ac:dyDescent="0.25">
      <c r="A23" s="8" t="s">
        <v>13</v>
      </c>
      <c r="B23" s="9" t="s">
        <v>14</v>
      </c>
      <c r="C23" s="8" t="s">
        <v>15</v>
      </c>
      <c r="E23" s="19" t="s">
        <v>27</v>
      </c>
      <c r="F23" s="22" cm="1">
        <f t="array" ref="F23:Q23">oz.Timelineλ($B$25,$B$26,$B$27,FALSE)</f>
        <v>46234</v>
      </c>
      <c r="G23" s="22">
        <v>46265</v>
      </c>
      <c r="H23" s="22">
        <v>46295</v>
      </c>
      <c r="I23" s="22">
        <v>46326</v>
      </c>
      <c r="J23" s="22">
        <v>46356</v>
      </c>
      <c r="K23" s="22">
        <v>46387</v>
      </c>
      <c r="L23" s="22">
        <v>46418</v>
      </c>
      <c r="M23" s="22">
        <v>46446</v>
      </c>
      <c r="N23" s="22">
        <v>46477</v>
      </c>
      <c r="O23" s="22">
        <v>46507</v>
      </c>
      <c r="P23" s="22">
        <v>46538</v>
      </c>
      <c r="Q23" s="22">
        <v>46568</v>
      </c>
    </row>
    <row r="24" spans="1:17" x14ac:dyDescent="0.25">
      <c r="A24" s="2" t="s">
        <v>25</v>
      </c>
    </row>
    <row r="25" spans="1:17" x14ac:dyDescent="0.25">
      <c r="A25" s="14" t="s">
        <v>26</v>
      </c>
      <c r="B25" s="12">
        <v>46204</v>
      </c>
      <c r="C25" t="s">
        <v>21</v>
      </c>
    </row>
    <row r="26" spans="1:17" x14ac:dyDescent="0.25">
      <c r="A26" s="14" t="s">
        <v>17</v>
      </c>
      <c r="B26" s="15">
        <v>12</v>
      </c>
      <c r="C26" t="s">
        <v>21</v>
      </c>
    </row>
    <row r="27" spans="1:17" x14ac:dyDescent="0.25">
      <c r="A27" s="14" t="s">
        <v>18</v>
      </c>
      <c r="B27" s="11" t="s">
        <v>20</v>
      </c>
      <c r="C27" t="s">
        <v>29</v>
      </c>
    </row>
    <row r="28" spans="1:17" x14ac:dyDescent="0.25">
      <c r="A28" s="14"/>
      <c r="B28" s="16"/>
    </row>
    <row r="29" spans="1:17" x14ac:dyDescent="0.25">
      <c r="A29" s="2" t="s">
        <v>30</v>
      </c>
      <c r="B29" s="12">
        <v>46249</v>
      </c>
      <c r="C29" t="s">
        <v>21</v>
      </c>
      <c r="F29" s="80" cm="1">
        <f t="array" ref="F29:Q29">N( oz.IsBetweenλ(B29,_xlfn.ANCHORARRAY( $F$22),_xlfn.ANCHORARRAY( $F$23)))</f>
        <v>0</v>
      </c>
      <c r="G29">
        <v>1</v>
      </c>
      <c r="H29">
        <v>0</v>
      </c>
      <c r="I29">
        <v>0</v>
      </c>
      <c r="J29">
        <v>0</v>
      </c>
      <c r="K29">
        <v>0</v>
      </c>
      <c r="L29">
        <v>0</v>
      </c>
      <c r="M29">
        <v>0</v>
      </c>
      <c r="N29">
        <v>0</v>
      </c>
      <c r="O29">
        <v>0</v>
      </c>
      <c r="P29">
        <v>0</v>
      </c>
      <c r="Q29">
        <v>0</v>
      </c>
    </row>
    <row r="31" spans="1:17" x14ac:dyDescent="0.25">
      <c r="A31" s="27" t="s">
        <v>31</v>
      </c>
      <c r="B31" s="12">
        <v>46213</v>
      </c>
      <c r="C31" t="s">
        <v>21</v>
      </c>
      <c r="F31" s="47" cm="1">
        <f t="array" ref="F31:Q34">N( oz.IsBetweenλ(B31:B34,_xlfn.ANCHORARRAY( $F$22),_xlfn.ANCHORARRAY( $F$23)))</f>
        <v>1</v>
      </c>
      <c r="G31">
        <v>0</v>
      </c>
      <c r="H31">
        <v>0</v>
      </c>
      <c r="I31">
        <v>0</v>
      </c>
      <c r="J31">
        <v>0</v>
      </c>
      <c r="K31">
        <v>0</v>
      </c>
      <c r="L31">
        <v>0</v>
      </c>
      <c r="M31">
        <v>0</v>
      </c>
      <c r="N31">
        <v>0</v>
      </c>
      <c r="O31">
        <v>0</v>
      </c>
      <c r="P31">
        <v>0</v>
      </c>
      <c r="Q31">
        <v>0</v>
      </c>
    </row>
    <row r="32" spans="1:17" x14ac:dyDescent="0.25">
      <c r="B32" s="12">
        <v>46275</v>
      </c>
      <c r="C32" t="s">
        <v>21</v>
      </c>
      <c r="F32">
        <v>0</v>
      </c>
      <c r="G32">
        <v>0</v>
      </c>
      <c r="H32">
        <v>1</v>
      </c>
      <c r="I32">
        <v>0</v>
      </c>
      <c r="J32">
        <v>0</v>
      </c>
      <c r="K32">
        <v>0</v>
      </c>
      <c r="L32">
        <v>0</v>
      </c>
      <c r="M32">
        <v>0</v>
      </c>
      <c r="N32">
        <v>0</v>
      </c>
      <c r="O32">
        <v>0</v>
      </c>
      <c r="P32">
        <v>0</v>
      </c>
      <c r="Q32">
        <v>0</v>
      </c>
    </row>
    <row r="33" spans="2:17" x14ac:dyDescent="0.25">
      <c r="B33" s="12">
        <v>46361</v>
      </c>
      <c r="C33" t="s">
        <v>21</v>
      </c>
      <c r="F33">
        <v>0</v>
      </c>
      <c r="G33">
        <v>0</v>
      </c>
      <c r="H33">
        <v>0</v>
      </c>
      <c r="I33">
        <v>0</v>
      </c>
      <c r="J33">
        <v>0</v>
      </c>
      <c r="K33">
        <v>1</v>
      </c>
      <c r="L33">
        <v>0</v>
      </c>
      <c r="M33">
        <v>0</v>
      </c>
      <c r="N33">
        <v>0</v>
      </c>
      <c r="O33">
        <v>0</v>
      </c>
      <c r="P33">
        <v>0</v>
      </c>
      <c r="Q33">
        <v>0</v>
      </c>
    </row>
    <row r="34" spans="2:17" x14ac:dyDescent="0.25">
      <c r="B34" s="12">
        <v>46453</v>
      </c>
      <c r="C34" t="s">
        <v>21</v>
      </c>
      <c r="F34">
        <v>0</v>
      </c>
      <c r="G34">
        <v>0</v>
      </c>
      <c r="H34">
        <v>0</v>
      </c>
      <c r="I34">
        <v>0</v>
      </c>
      <c r="J34">
        <v>0</v>
      </c>
      <c r="K34">
        <v>0</v>
      </c>
      <c r="L34">
        <v>0</v>
      </c>
      <c r="M34">
        <v>0</v>
      </c>
      <c r="N34">
        <v>1</v>
      </c>
      <c r="O34">
        <v>0</v>
      </c>
      <c r="P34">
        <v>0</v>
      </c>
      <c r="Q34">
        <v>0</v>
      </c>
    </row>
  </sheetData>
  <mergeCells count="2">
    <mergeCell ref="A1:M1"/>
    <mergeCell ref="A2:Q2"/>
  </mergeCells>
  <conditionalFormatting sqref="F22:NA22">
    <cfRule type="cellIs" dxfId="18" priority="1" stopIfTrue="1" operator="lessThan">
      <formula>0</formula>
    </cfRule>
    <cfRule type="notContainsBlanks" dxfId="17" priority="2" stopIfTrue="1">
      <formula>LEN(TRIM(F22))&gt;0</formula>
    </cfRule>
  </conditionalFormatting>
  <conditionalFormatting sqref="F23:NA23">
    <cfRule type="cellIs" dxfId="16" priority="3" stopIfTrue="1" operator="lessThan">
      <formula>0</formula>
    </cfRule>
    <cfRule type="notContainsBlanks" dxfId="15" priority="4" stopIfTrue="1">
      <formula>LEN(TRIM(F23))&gt;0</formula>
    </cfRule>
  </conditionalFormatting>
  <dataValidations count="1">
    <dataValidation type="list" allowBlank="1" showInputMessage="1" showErrorMessage="1" sqref="B27:B28" xr:uid="{6F8ECDB6-E7C4-4C8D-AD4C-E241DA0E1F43}">
      <formula1>"M,Q,Y"</formula1>
    </dataValidation>
  </dataValidations>
  <hyperlinks>
    <hyperlink ref="A1" location="'TOC'!$A$1" display="'TOC'!$A$1" xr:uid="{F51E7FBF-BB5E-4BA6-A7E3-C6981710AA0D}"/>
  </hyperlinks>
  <pageMargins left="0.7" right="0.7" top="0.75" bottom="0.75" header="0.3" footer="0.3"/>
  <pageSetup paperSize="9" scale="68" fitToHeight="0" orientation="landscape" horizontalDpi="360" verticalDpi="36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35C0-6C46-48A5-8826-26DC32EBF31E}">
  <sheetPr codeName="Sheet11">
    <tabColor rgb="FF000000"/>
    <pageSetUpPr fitToPage="1"/>
  </sheetPr>
  <dimension ref="A1:NH39"/>
  <sheetViews>
    <sheetView showGridLines="0" workbookViewId="0">
      <pane xSplit="7" topLeftCell="H1" activePane="topRight" state="frozen"/>
      <selection sqref="A1:P1"/>
      <selection pane="topRight" activeCell="H1" sqref="H1"/>
    </sheetView>
  </sheetViews>
  <sheetFormatPr defaultRowHeight="15" x14ac:dyDescent="0.25"/>
  <cols>
    <col min="1" max="1" width="22.25" bestFit="1" customWidth="1"/>
    <col min="2" max="2" width="11.125" customWidth="1"/>
    <col min="3" max="3" width="11.75" customWidth="1"/>
    <col min="4" max="5" width="10.625" bestFit="1" customWidth="1"/>
    <col min="6" max="6" width="10.625" customWidth="1"/>
    <col min="7" max="7" width="15.25" bestFit="1" customWidth="1"/>
    <col min="8" max="11" width="10.75" bestFit="1" customWidth="1"/>
    <col min="12" max="16" width="10.125" bestFit="1" customWidth="1"/>
    <col min="17" max="38" width="11.125" bestFit="1" customWidth="1"/>
    <col min="39" max="47" width="10.25" bestFit="1" customWidth="1"/>
    <col min="48" max="67" width="11.25" bestFit="1" customWidth="1"/>
    <col min="68" max="76" width="10.75" bestFit="1" customWidth="1"/>
    <col min="77" max="98" width="11.75" bestFit="1" customWidth="1"/>
    <col min="99" max="107" width="10.25" bestFit="1" customWidth="1"/>
    <col min="108" max="128" width="11.25" bestFit="1" customWidth="1"/>
    <col min="129" max="137" width="11.125" bestFit="1" customWidth="1"/>
    <col min="138" max="159" width="12.125" bestFit="1" customWidth="1"/>
    <col min="160" max="168" width="10.25" bestFit="1" customWidth="1"/>
    <col min="169" max="189" width="11.25" bestFit="1" customWidth="1"/>
    <col min="190" max="198" width="9.625" bestFit="1" customWidth="1"/>
    <col min="199" max="220" width="10.625" bestFit="1" customWidth="1"/>
    <col min="221" max="229" width="10.75" bestFit="1" customWidth="1"/>
    <col min="230" max="251" width="11.75" bestFit="1" customWidth="1"/>
    <col min="252" max="260" width="10.375" bestFit="1" customWidth="1"/>
    <col min="261" max="281" width="11.375" bestFit="1" customWidth="1"/>
    <col min="282" max="290" width="10.25" bestFit="1" customWidth="1"/>
    <col min="291" max="312" width="11.25" bestFit="1" customWidth="1"/>
    <col min="313" max="321" width="10.75" bestFit="1" customWidth="1"/>
    <col min="322" max="342" width="11.75" bestFit="1" customWidth="1"/>
    <col min="343" max="351" width="10.375" bestFit="1" customWidth="1"/>
    <col min="352" max="372" width="11.375" bestFit="1" customWidth="1"/>
  </cols>
  <sheetData>
    <row r="1" spans="1:16" ht="46.5" x14ac:dyDescent="0.7">
      <c r="A1" s="185" t="str">
        <f ca="1">_xlfn.TEXTAFTER(CELL("filename",A1),"]")</f>
        <v>oz.IsOccurrenceDateλ</v>
      </c>
      <c r="B1" s="185"/>
      <c r="C1" s="185"/>
      <c r="D1" s="185"/>
      <c r="E1" s="185"/>
      <c r="F1" s="185"/>
      <c r="G1" s="185"/>
      <c r="H1" s="185"/>
      <c r="I1" s="185"/>
      <c r="J1" s="185"/>
      <c r="K1" s="185"/>
      <c r="L1" s="185"/>
      <c r="M1" s="185"/>
      <c r="N1" s="185"/>
      <c r="O1" s="185"/>
      <c r="P1" s="185"/>
    </row>
    <row r="2" spans="1:16" x14ac:dyDescent="0.25">
      <c r="A2" s="186" t="s">
        <v>73</v>
      </c>
      <c r="B2" s="187"/>
      <c r="C2" s="187"/>
      <c r="D2" s="187"/>
      <c r="E2" s="187"/>
      <c r="F2" s="187"/>
      <c r="G2" s="187"/>
      <c r="H2" s="187"/>
      <c r="I2" s="187"/>
      <c r="J2" s="187"/>
      <c r="K2" s="187"/>
      <c r="L2" s="187"/>
      <c r="M2" s="187"/>
      <c r="N2" s="187"/>
      <c r="O2" s="187"/>
      <c r="P2" s="188"/>
    </row>
    <row r="4" spans="1:16" x14ac:dyDescent="0.25">
      <c r="A4" s="24" t="str" cm="1">
        <f t="array" ref="A4:B30">oz.IsOccurrenceDateλ()</f>
        <v>FUNCTION:</v>
      </c>
      <c r="B4" t="str">
        <v>IsOccurrenceDateλ(Dates, FirstOccurrence, [LastOccurrence], [Repeats])</v>
      </c>
      <c r="K4" t="s">
        <v>124</v>
      </c>
    </row>
    <row r="5" spans="1:16" x14ac:dyDescent="0.25">
      <c r="A5" t="str">
        <v>DESCRIPTION:</v>
      </c>
      <c r="B5" t="str">
        <v>Returns TRUE if a Date is when something happens.</v>
      </c>
    </row>
    <row r="6" spans="1:16" x14ac:dyDescent="0.25">
      <c r="A6" t="str">
        <v/>
      </c>
      <c r="B6" t="str">
        <v>This was developed for budgeting where we have expenses that start,</v>
      </c>
    </row>
    <row r="7" spans="1:16" x14ac:dyDescent="0.25">
      <c r="A7" t="str">
        <v/>
      </c>
      <c r="B7" t="str">
        <v>and sometimes repeat at regular intervals.</v>
      </c>
    </row>
    <row r="8" spans="1:16" x14ac:dyDescent="0.25">
      <c r="A8" t="str">
        <v>WEBSITE:</v>
      </c>
      <c r="B8" t="str">
        <v>https://github.com/ryanduguid/Ozzit</v>
      </c>
    </row>
    <row r="9" spans="1:16" x14ac:dyDescent="0.25">
      <c r="A9" t="str">
        <v>PARAMETERS:</v>
      </c>
      <c r="B9" t="str">
        <v/>
      </c>
    </row>
    <row r="10" spans="1:16" x14ac:dyDescent="0.25">
      <c r="A10" t="str">
        <v>Dates</v>
      </c>
      <c r="B10" t="str">
        <v>(Required) Date to test. Normally this is horizontal timeline by day</v>
      </c>
    </row>
    <row r="11" spans="1:16" x14ac:dyDescent="0.25">
      <c r="A11" t="str">
        <v>FirstOccurrence</v>
      </c>
      <c r="B11" t="str">
        <v>(Required) When something that may repeat, happens for the first time.</v>
      </c>
    </row>
    <row r="12" spans="1:16" x14ac:dyDescent="0.25">
      <c r="A12" t="str">
        <v>LastOccurrence</v>
      </c>
      <c r="B12" t="str">
        <v>(Optional) When something that may repeat, happens for the last time.</v>
      </c>
    </row>
    <row r="13" spans="1:16" x14ac:dyDescent="0.25">
      <c r="A13" t="str">
        <v/>
      </c>
      <c r="B13" t="str">
        <v>If omitted, it is assumed repeating items repeat forever.</v>
      </c>
    </row>
    <row r="14" spans="1:16" x14ac:dyDescent="0.25">
      <c r="A14" t="str">
        <v>Repeats</v>
      </c>
      <c r="B14" t="str">
        <v>(Optional) A code that conveys how often this thing repeats. Repeat codes are</v>
      </c>
    </row>
    <row r="15" spans="1:16" x14ac:dyDescent="0.25">
      <c r="A15" t="str">
        <v/>
      </c>
      <c r="B15" t="str">
        <v>O=One time/never repeats (default)</v>
      </c>
    </row>
    <row r="16" spans="1:16" x14ac:dyDescent="0.25">
      <c r="A16" t="str">
        <v/>
      </c>
      <c r="B16" t="str">
        <v>A=Annually</v>
      </c>
    </row>
    <row r="17" spans="1:372" x14ac:dyDescent="0.25">
      <c r="A17" t="str">
        <v/>
      </c>
      <c r="B17" t="str">
        <v>S=Semi-Annually</v>
      </c>
    </row>
    <row r="18" spans="1:372" x14ac:dyDescent="0.25">
      <c r="A18" t="str">
        <v/>
      </c>
      <c r="B18" t="str">
        <v>Q=Quarterly</v>
      </c>
    </row>
    <row r="19" spans="1:372" x14ac:dyDescent="0.25">
      <c r="A19" t="str">
        <v/>
      </c>
      <c r="B19" t="str">
        <v>M=Monthly</v>
      </c>
    </row>
    <row r="20" spans="1:372" x14ac:dyDescent="0.25">
      <c r="A20" t="str">
        <v/>
      </c>
      <c r="B20" t="str">
        <v>B=BiWeekly</v>
      </c>
    </row>
    <row r="21" spans="1:372" x14ac:dyDescent="0.25">
      <c r="A21" t="str">
        <v/>
      </c>
      <c r="B21" t="str">
        <v>W=Weekly</v>
      </c>
    </row>
    <row r="22" spans="1:372" x14ac:dyDescent="0.25">
      <c r="A22" t="str">
        <v/>
      </c>
      <c r="B22" t="str">
        <v>X=Every Workday (Monday to Friday)</v>
      </c>
    </row>
    <row r="23" spans="1:372" x14ac:dyDescent="0.25">
      <c r="A23" t="str">
        <v/>
      </c>
      <c r="B23" t="str">
        <v>D=Daily</v>
      </c>
    </row>
    <row r="24" spans="1:372" x14ac:dyDescent="0.25">
      <c r="A24" t="str">
        <v>NOTE!</v>
      </c>
      <c r="B24" t="str">
        <v>A monthly, quarterly, semi-annual or annual item that starts on the 29th, 30th or 31st</v>
      </c>
    </row>
    <row r="25" spans="1:372" x14ac:dyDescent="0.25">
      <c r="A25" t="str">
        <v/>
      </c>
      <c r="B25" t="str">
        <v>falls on the last day of any shorter month.</v>
      </c>
    </row>
    <row r="26" spans="1:372" x14ac:dyDescent="0.25">
      <c r="A26" t="str">
        <v>EXAMPLES:</v>
      </c>
      <c r="B26" t="str">
        <v/>
      </c>
    </row>
    <row r="27" spans="1:372" x14ac:dyDescent="0.25">
      <c r="A27" t="str">
        <v>Result</v>
      </c>
      <c r="B27" t="str">
        <v>Formula (oz is assumed to be the module's name)</v>
      </c>
    </row>
    <row r="28" spans="1:372" x14ac:dyDescent="0.25">
      <c r="A28" t="str">
        <v>72</v>
      </c>
      <c r="B28" t="str">
        <v>=SUM(N(oz.IsOccurrenceDateλ(SEQUENCE(,90,"1/7/2026"), "1/7/2026", "10/9/2026", "D")))</v>
      </c>
    </row>
    <row r="29" spans="1:372" x14ac:dyDescent="0.25">
      <c r="A29" t="str">
        <v>01</v>
      </c>
      <c r="B29" t="str">
        <v>=SUM(N(oz.IsOccurrenceDateλ(SEQUENCE(,90,"1/7/2026"), "1/7/2026", "10/9/2026", "O")))</v>
      </c>
    </row>
    <row r="30" spans="1:372" x14ac:dyDescent="0.25">
      <c r="A30" t="str">
        <v>11</v>
      </c>
      <c r="B30" t="str">
        <v>=SUM(N(oz.IsOccurrenceDateλ(SEQUENCE(,90,"1/7/2026"), "1/7/2026", "10/9/2026", "W")))</v>
      </c>
    </row>
    <row r="31" spans="1:372" ht="21" x14ac:dyDescent="0.35">
      <c r="A31" s="192" t="s">
        <v>96</v>
      </c>
      <c r="B31" s="193"/>
      <c r="C31" s="193"/>
      <c r="D31" s="193"/>
      <c r="E31" s="193"/>
      <c r="F31" s="46"/>
      <c r="G31" s="28" t="s">
        <v>122</v>
      </c>
      <c r="H31" s="50" cm="1">
        <f t="array" ref="H31:NH31">oz.Cumulativeλ(_xlfn.ANCHORARRAY(H32))</f>
        <v>3981</v>
      </c>
      <c r="I31" s="50">
        <v>3962</v>
      </c>
      <c r="J31" s="50">
        <v>3868</v>
      </c>
      <c r="K31" s="50">
        <v>3868</v>
      </c>
      <c r="L31" s="50">
        <v>-632</v>
      </c>
      <c r="M31" s="50">
        <v>-651</v>
      </c>
      <c r="N31" s="50">
        <v>-670</v>
      </c>
      <c r="O31" s="50">
        <v>-689</v>
      </c>
      <c r="P31" s="50">
        <v>-708</v>
      </c>
      <c r="Q31" s="50">
        <v>-1302</v>
      </c>
      <c r="R31" s="50">
        <v>-1302</v>
      </c>
      <c r="S31" s="50">
        <v>-1302</v>
      </c>
      <c r="T31" s="50">
        <v>-1321</v>
      </c>
      <c r="U31" s="50">
        <v>-1340</v>
      </c>
      <c r="V31" s="50">
        <v>4641</v>
      </c>
      <c r="W31" s="50">
        <v>4622</v>
      </c>
      <c r="X31" s="50">
        <v>4528</v>
      </c>
      <c r="Y31" s="50">
        <v>4528</v>
      </c>
      <c r="Z31" s="50">
        <v>4528</v>
      </c>
      <c r="AA31" s="50">
        <v>4509</v>
      </c>
      <c r="AB31" s="50">
        <v>4490</v>
      </c>
      <c r="AC31" s="50">
        <v>4471</v>
      </c>
      <c r="AD31" s="50">
        <v>4452</v>
      </c>
      <c r="AE31" s="50">
        <v>4358</v>
      </c>
      <c r="AF31" s="50">
        <v>4358</v>
      </c>
      <c r="AG31" s="50">
        <v>4358</v>
      </c>
      <c r="AH31" s="50">
        <v>4339</v>
      </c>
      <c r="AI31" s="50">
        <v>4320</v>
      </c>
      <c r="AJ31" s="50">
        <v>10301</v>
      </c>
      <c r="AK31" s="50">
        <v>10282</v>
      </c>
      <c r="AL31" s="50">
        <v>10188</v>
      </c>
      <c r="AM31" s="50">
        <v>10188</v>
      </c>
      <c r="AN31" s="50">
        <v>10188</v>
      </c>
      <c r="AO31" s="50">
        <v>10169</v>
      </c>
      <c r="AP31" s="50">
        <v>10150</v>
      </c>
      <c r="AQ31" s="50">
        <v>5631</v>
      </c>
      <c r="AR31" s="50">
        <v>5612</v>
      </c>
      <c r="AS31" s="50">
        <v>5518</v>
      </c>
      <c r="AT31" s="50">
        <v>5518</v>
      </c>
      <c r="AU31" s="50">
        <v>5518</v>
      </c>
      <c r="AV31" s="50">
        <v>5499</v>
      </c>
      <c r="AW31" s="50">
        <v>5480</v>
      </c>
      <c r="AX31" s="50">
        <v>11461</v>
      </c>
      <c r="AY31" s="50">
        <v>11442</v>
      </c>
      <c r="AZ31" s="50">
        <v>11348</v>
      </c>
      <c r="BA31" s="50">
        <v>11348</v>
      </c>
      <c r="BB31" s="50">
        <v>11348</v>
      </c>
      <c r="BC31" s="50">
        <v>11329</v>
      </c>
      <c r="BD31" s="50">
        <v>11310</v>
      </c>
      <c r="BE31" s="50">
        <v>11291</v>
      </c>
      <c r="BF31" s="50">
        <v>11272</v>
      </c>
      <c r="BG31" s="50">
        <v>11178</v>
      </c>
      <c r="BH31" s="50">
        <v>11178</v>
      </c>
      <c r="BI31" s="50">
        <v>11178</v>
      </c>
      <c r="BJ31" s="50">
        <v>11159</v>
      </c>
      <c r="BK31" s="50">
        <v>11140</v>
      </c>
      <c r="BL31" s="50">
        <v>17121</v>
      </c>
      <c r="BM31" s="50">
        <v>17102</v>
      </c>
      <c r="BN31" s="50">
        <v>17008</v>
      </c>
      <c r="BO31" s="50">
        <v>17008</v>
      </c>
      <c r="BP31" s="50">
        <v>17008</v>
      </c>
      <c r="BQ31" s="50">
        <v>16989</v>
      </c>
      <c r="BR31" s="50">
        <v>16970</v>
      </c>
      <c r="BS31" s="50">
        <v>16951</v>
      </c>
      <c r="BT31" s="50">
        <v>16932</v>
      </c>
      <c r="BU31" s="50">
        <v>16838</v>
      </c>
      <c r="BV31" s="50">
        <v>12338</v>
      </c>
      <c r="BW31" s="50">
        <v>12338</v>
      </c>
      <c r="BX31" s="50">
        <v>12319</v>
      </c>
      <c r="BY31" s="50">
        <v>12300</v>
      </c>
      <c r="BZ31" s="50">
        <v>18281</v>
      </c>
      <c r="CA31" s="50">
        <v>18262</v>
      </c>
      <c r="CB31" s="50">
        <v>18168</v>
      </c>
      <c r="CC31" s="50">
        <v>18168</v>
      </c>
      <c r="CD31" s="50">
        <v>18168</v>
      </c>
      <c r="CE31" s="50">
        <v>18149</v>
      </c>
      <c r="CF31" s="50">
        <v>18130</v>
      </c>
      <c r="CG31" s="50">
        <v>18111</v>
      </c>
      <c r="CH31" s="50">
        <v>18092</v>
      </c>
      <c r="CI31" s="50">
        <v>17998</v>
      </c>
      <c r="CJ31" s="50">
        <v>17998</v>
      </c>
      <c r="CK31" s="50">
        <v>17998</v>
      </c>
      <c r="CL31" s="50">
        <v>17979</v>
      </c>
      <c r="CM31" s="50">
        <v>17960</v>
      </c>
      <c r="CN31" s="50">
        <v>23941</v>
      </c>
      <c r="CO31" s="50">
        <v>23922</v>
      </c>
      <c r="CP31" s="50">
        <v>23828</v>
      </c>
      <c r="CQ31" s="50">
        <v>23828</v>
      </c>
      <c r="CR31" s="50">
        <v>23828</v>
      </c>
      <c r="CS31" s="50">
        <v>23809</v>
      </c>
      <c r="CT31" s="50">
        <v>23790</v>
      </c>
      <c r="CU31" s="50">
        <v>23771</v>
      </c>
      <c r="CV31" s="50">
        <v>23752</v>
      </c>
      <c r="CW31" s="50">
        <v>23658</v>
      </c>
      <c r="CX31" s="50">
        <v>23658</v>
      </c>
      <c r="CY31" s="50">
        <v>23658</v>
      </c>
      <c r="CZ31" s="50">
        <v>19139</v>
      </c>
      <c r="DA31" s="50">
        <v>19120</v>
      </c>
      <c r="DB31" s="50">
        <v>25101</v>
      </c>
      <c r="DC31" s="50">
        <v>25082</v>
      </c>
      <c r="DD31" s="50">
        <v>24988</v>
      </c>
      <c r="DE31" s="50">
        <v>24488</v>
      </c>
      <c r="DF31" s="50">
        <v>24488</v>
      </c>
      <c r="DG31" s="50">
        <v>24469</v>
      </c>
      <c r="DH31" s="50">
        <v>24450</v>
      </c>
      <c r="DI31" s="50">
        <v>24431</v>
      </c>
      <c r="DJ31" s="50">
        <v>24412</v>
      </c>
      <c r="DK31" s="50">
        <v>24318</v>
      </c>
      <c r="DL31" s="50">
        <v>24318</v>
      </c>
      <c r="DM31" s="50">
        <v>24318</v>
      </c>
      <c r="DN31" s="50">
        <v>24299</v>
      </c>
      <c r="DO31" s="50">
        <v>24280</v>
      </c>
      <c r="DP31" s="50">
        <v>30261</v>
      </c>
      <c r="DQ31" s="50">
        <v>30242</v>
      </c>
      <c r="DR31" s="50">
        <v>30148</v>
      </c>
      <c r="DS31" s="50">
        <v>30148</v>
      </c>
      <c r="DT31" s="50">
        <v>30148</v>
      </c>
      <c r="DU31" s="50">
        <v>30129</v>
      </c>
      <c r="DV31" s="50">
        <v>30110</v>
      </c>
      <c r="DW31" s="50">
        <v>30091</v>
      </c>
      <c r="DX31" s="50">
        <v>30072</v>
      </c>
      <c r="DY31" s="50">
        <v>29978</v>
      </c>
      <c r="DZ31" s="50">
        <v>29978</v>
      </c>
      <c r="EA31" s="50">
        <v>29978</v>
      </c>
      <c r="EB31" s="50">
        <v>29959</v>
      </c>
      <c r="EC31" s="50">
        <v>29940</v>
      </c>
      <c r="ED31" s="50">
        <v>35921</v>
      </c>
      <c r="EE31" s="50">
        <v>31402</v>
      </c>
      <c r="EF31" s="50">
        <v>31308</v>
      </c>
      <c r="EG31" s="50">
        <v>31308</v>
      </c>
      <c r="EH31" s="50">
        <v>31308</v>
      </c>
      <c r="EI31" s="50">
        <v>31289</v>
      </c>
      <c r="EJ31" s="50">
        <v>31270</v>
      </c>
      <c r="EK31" s="50">
        <v>31251</v>
      </c>
      <c r="EL31" s="50">
        <v>31232</v>
      </c>
      <c r="EM31" s="50">
        <v>31138</v>
      </c>
      <c r="EN31" s="50">
        <v>31138</v>
      </c>
      <c r="EO31" s="50">
        <v>31138</v>
      </c>
      <c r="EP31" s="50">
        <v>31119</v>
      </c>
      <c r="EQ31" s="50">
        <v>31100</v>
      </c>
      <c r="ER31" s="50">
        <v>37081</v>
      </c>
      <c r="ES31" s="50">
        <v>37062</v>
      </c>
      <c r="ET31" s="50">
        <v>36968</v>
      </c>
      <c r="EU31" s="50">
        <v>36968</v>
      </c>
      <c r="EV31" s="50">
        <v>36968</v>
      </c>
      <c r="EW31" s="50">
        <v>36949</v>
      </c>
      <c r="EX31" s="50">
        <v>36930</v>
      </c>
      <c r="EY31" s="50">
        <v>36911</v>
      </c>
      <c r="EZ31" s="50">
        <v>36892</v>
      </c>
      <c r="FA31" s="50">
        <v>36798</v>
      </c>
      <c r="FB31" s="50">
        <v>36798</v>
      </c>
      <c r="FC31" s="50">
        <v>36798</v>
      </c>
      <c r="FD31" s="50">
        <v>36779</v>
      </c>
      <c r="FE31" s="50">
        <v>36760</v>
      </c>
      <c r="FF31" s="50">
        <v>42741</v>
      </c>
      <c r="FG31" s="50">
        <v>42722</v>
      </c>
      <c r="FH31" s="50">
        <v>42628</v>
      </c>
      <c r="FI31" s="50">
        <v>38128</v>
      </c>
      <c r="FJ31" s="50">
        <v>38128</v>
      </c>
      <c r="FK31" s="50">
        <v>38109</v>
      </c>
      <c r="FL31" s="50">
        <v>38090</v>
      </c>
      <c r="FM31" s="50">
        <v>38071</v>
      </c>
      <c r="FN31" s="50">
        <v>38052</v>
      </c>
      <c r="FO31" s="50">
        <v>37958</v>
      </c>
      <c r="FP31" s="50">
        <v>37958</v>
      </c>
      <c r="FQ31" s="50">
        <v>37958</v>
      </c>
      <c r="FR31" s="50">
        <v>37939</v>
      </c>
      <c r="FS31" s="50">
        <v>37920</v>
      </c>
      <c r="FT31" s="50">
        <v>43901</v>
      </c>
      <c r="FU31" s="50">
        <v>43882</v>
      </c>
      <c r="FV31" s="50">
        <v>43788</v>
      </c>
      <c r="FW31" s="50">
        <v>43788</v>
      </c>
      <c r="FX31" s="50">
        <v>43788</v>
      </c>
      <c r="FY31" s="50">
        <v>43769</v>
      </c>
      <c r="FZ31" s="50">
        <v>43750</v>
      </c>
      <c r="GA31" s="50">
        <v>43731</v>
      </c>
      <c r="GB31" s="50">
        <v>43712</v>
      </c>
      <c r="GC31" s="50">
        <v>43618</v>
      </c>
      <c r="GD31" s="50">
        <v>43618</v>
      </c>
      <c r="GE31" s="50">
        <v>43618</v>
      </c>
      <c r="GF31" s="50">
        <v>43599</v>
      </c>
      <c r="GG31" s="50">
        <v>43580</v>
      </c>
      <c r="GH31" s="50">
        <v>49561</v>
      </c>
      <c r="GI31" s="50">
        <v>49542</v>
      </c>
      <c r="GJ31" s="50">
        <v>47448</v>
      </c>
      <c r="GK31" s="50">
        <v>47448</v>
      </c>
      <c r="GL31" s="50">
        <v>47448</v>
      </c>
      <c r="GM31" s="50">
        <v>47429</v>
      </c>
      <c r="GN31" s="50">
        <v>42910</v>
      </c>
      <c r="GO31" s="50">
        <v>42891</v>
      </c>
      <c r="GP31" s="50">
        <v>42872</v>
      </c>
      <c r="GQ31" s="50">
        <v>42778</v>
      </c>
      <c r="GR31" s="50">
        <v>42778</v>
      </c>
      <c r="GS31" s="50">
        <v>42278</v>
      </c>
      <c r="GT31" s="50">
        <v>42259</v>
      </c>
      <c r="GU31" s="50">
        <v>42240</v>
      </c>
      <c r="GV31" s="50">
        <v>48221</v>
      </c>
      <c r="GW31" s="50">
        <v>48202</v>
      </c>
      <c r="GX31" s="50">
        <v>48108</v>
      </c>
      <c r="GY31" s="50">
        <v>48108</v>
      </c>
      <c r="GZ31" s="50">
        <v>48108</v>
      </c>
      <c r="HA31" s="50">
        <v>48089</v>
      </c>
      <c r="HB31" s="50">
        <v>48070</v>
      </c>
      <c r="HC31" s="50">
        <v>48051</v>
      </c>
      <c r="HD31" s="50">
        <v>48032</v>
      </c>
      <c r="HE31" s="50">
        <v>47938</v>
      </c>
      <c r="HF31" s="50">
        <v>47938</v>
      </c>
      <c r="HG31" s="50">
        <v>47938</v>
      </c>
      <c r="HH31" s="50">
        <v>47919</v>
      </c>
      <c r="HI31" s="50">
        <v>47900</v>
      </c>
      <c r="HJ31" s="50">
        <v>53881</v>
      </c>
      <c r="HK31" s="50">
        <v>53862</v>
      </c>
      <c r="HL31" s="50">
        <v>53768</v>
      </c>
      <c r="HM31" s="50">
        <v>53768</v>
      </c>
      <c r="HN31" s="50">
        <v>53768</v>
      </c>
      <c r="HO31" s="50">
        <v>53749</v>
      </c>
      <c r="HP31" s="50">
        <v>53730</v>
      </c>
      <c r="HQ31" s="50">
        <v>53711</v>
      </c>
      <c r="HR31" s="50">
        <v>53692</v>
      </c>
      <c r="HS31" s="50">
        <v>49098</v>
      </c>
      <c r="HT31" s="50">
        <v>49098</v>
      </c>
      <c r="HU31" s="50">
        <v>49098</v>
      </c>
      <c r="HV31" s="50">
        <v>49079</v>
      </c>
      <c r="HW31" s="50">
        <v>49060</v>
      </c>
      <c r="HX31" s="50">
        <v>55041</v>
      </c>
      <c r="HY31" s="50">
        <v>55022</v>
      </c>
      <c r="HZ31" s="50">
        <v>54928</v>
      </c>
      <c r="IA31" s="50">
        <v>54928</v>
      </c>
      <c r="IB31" s="50">
        <v>54928</v>
      </c>
      <c r="IC31" s="50">
        <v>54909</v>
      </c>
      <c r="ID31" s="50">
        <v>54890</v>
      </c>
      <c r="IE31" s="50">
        <v>54871</v>
      </c>
      <c r="IF31" s="50">
        <v>54852</v>
      </c>
      <c r="IG31" s="50">
        <v>54758</v>
      </c>
      <c r="IH31" s="50">
        <v>54758</v>
      </c>
      <c r="II31" s="50">
        <v>54758</v>
      </c>
      <c r="IJ31" s="50">
        <v>54739</v>
      </c>
      <c r="IK31" s="50">
        <v>54720</v>
      </c>
      <c r="IL31" s="50">
        <v>60701</v>
      </c>
      <c r="IM31" s="50">
        <v>60682</v>
      </c>
      <c r="IN31" s="50">
        <v>60588</v>
      </c>
      <c r="IO31" s="50">
        <v>60588</v>
      </c>
      <c r="IP31" s="50">
        <v>60588</v>
      </c>
      <c r="IQ31" s="50">
        <v>60569</v>
      </c>
      <c r="IR31" s="50">
        <v>60550</v>
      </c>
      <c r="IS31" s="50">
        <v>60531</v>
      </c>
      <c r="IT31" s="50">
        <v>60512</v>
      </c>
      <c r="IU31" s="50">
        <v>55918</v>
      </c>
      <c r="IV31" s="50">
        <v>55918</v>
      </c>
      <c r="IW31" s="50">
        <v>55918</v>
      </c>
      <c r="IX31" s="50">
        <v>55899</v>
      </c>
      <c r="IY31" s="50">
        <v>55880</v>
      </c>
      <c r="IZ31" s="50">
        <v>61861</v>
      </c>
      <c r="JA31" s="50">
        <v>61842</v>
      </c>
      <c r="JB31" s="50">
        <v>61748</v>
      </c>
      <c r="JC31" s="50">
        <v>61748</v>
      </c>
      <c r="JD31" s="50">
        <v>61748</v>
      </c>
      <c r="JE31" s="50">
        <v>61729</v>
      </c>
      <c r="JF31" s="50">
        <v>61710</v>
      </c>
      <c r="JG31" s="50">
        <v>61691</v>
      </c>
      <c r="JH31" s="50">
        <v>61672</v>
      </c>
      <c r="JI31" s="50">
        <v>61578</v>
      </c>
      <c r="JJ31" s="50">
        <v>61578</v>
      </c>
      <c r="JK31" s="50">
        <v>61578</v>
      </c>
      <c r="JL31" s="50">
        <v>61559</v>
      </c>
      <c r="JM31" s="50">
        <v>61540</v>
      </c>
      <c r="JN31" s="50">
        <v>67521</v>
      </c>
      <c r="JO31" s="50">
        <v>67502</v>
      </c>
      <c r="JP31" s="50">
        <v>67408</v>
      </c>
      <c r="JQ31" s="50">
        <v>67408</v>
      </c>
      <c r="JR31" s="50">
        <v>67408</v>
      </c>
      <c r="JS31" s="50">
        <v>67389</v>
      </c>
      <c r="JT31" s="50">
        <v>67370</v>
      </c>
      <c r="JU31" s="50">
        <v>67351</v>
      </c>
      <c r="JV31" s="50">
        <v>67332</v>
      </c>
      <c r="JW31" s="50">
        <v>67238</v>
      </c>
      <c r="JX31" s="50">
        <v>67238</v>
      </c>
      <c r="JY31" s="50">
        <v>67238</v>
      </c>
      <c r="JZ31" s="50">
        <v>62719</v>
      </c>
      <c r="KA31" s="50">
        <v>62700</v>
      </c>
      <c r="KB31" s="50">
        <v>68681</v>
      </c>
      <c r="KC31" s="50">
        <v>68662</v>
      </c>
      <c r="KD31" s="50">
        <v>68568</v>
      </c>
      <c r="KE31" s="50">
        <v>68068</v>
      </c>
      <c r="KF31" s="50">
        <v>68068</v>
      </c>
      <c r="KG31" s="50">
        <v>68049</v>
      </c>
      <c r="KH31" s="50">
        <v>68030</v>
      </c>
      <c r="KI31" s="50">
        <v>68011</v>
      </c>
      <c r="KJ31" s="50">
        <v>67992</v>
      </c>
      <c r="KK31" s="50">
        <v>67898</v>
      </c>
      <c r="KL31" s="50">
        <v>67898</v>
      </c>
      <c r="KM31" s="50">
        <v>67898</v>
      </c>
      <c r="KN31" s="50">
        <v>67879</v>
      </c>
      <c r="KO31" s="50">
        <v>67860</v>
      </c>
      <c r="KP31" s="50">
        <v>73841</v>
      </c>
      <c r="KQ31" s="50">
        <v>73822</v>
      </c>
      <c r="KR31" s="50">
        <v>73728</v>
      </c>
      <c r="KS31" s="50">
        <v>73728</v>
      </c>
      <c r="KT31" s="50">
        <v>73728</v>
      </c>
      <c r="KU31" s="50">
        <v>73709</v>
      </c>
      <c r="KV31" s="50">
        <v>73690</v>
      </c>
      <c r="KW31" s="50">
        <v>73671</v>
      </c>
      <c r="KX31" s="50">
        <v>73652</v>
      </c>
      <c r="KY31" s="50">
        <v>73558</v>
      </c>
      <c r="KZ31" s="50">
        <v>73558</v>
      </c>
      <c r="LA31" s="50">
        <v>73558</v>
      </c>
      <c r="LB31" s="50">
        <v>73539</v>
      </c>
      <c r="LC31" s="50">
        <v>73520</v>
      </c>
      <c r="LD31" s="50">
        <v>75001</v>
      </c>
      <c r="LE31" s="50">
        <v>74982</v>
      </c>
      <c r="LF31" s="50">
        <v>74888</v>
      </c>
      <c r="LG31" s="50">
        <v>74888</v>
      </c>
      <c r="LH31" s="50">
        <v>74888</v>
      </c>
      <c r="LI31" s="50">
        <v>74869</v>
      </c>
      <c r="LJ31" s="50">
        <v>74850</v>
      </c>
      <c r="LK31" s="50">
        <v>74831</v>
      </c>
      <c r="LL31" s="50">
        <v>74812</v>
      </c>
      <c r="LM31" s="50">
        <v>74718</v>
      </c>
      <c r="LN31" s="50">
        <v>74718</v>
      </c>
      <c r="LO31" s="50">
        <v>74718</v>
      </c>
      <c r="LP31" s="50">
        <v>74699</v>
      </c>
      <c r="LQ31" s="50">
        <v>74680</v>
      </c>
      <c r="LR31" s="50">
        <v>80661</v>
      </c>
      <c r="LS31" s="50">
        <v>80642</v>
      </c>
      <c r="LT31" s="50">
        <v>80548</v>
      </c>
      <c r="LU31" s="50">
        <v>80548</v>
      </c>
      <c r="LV31" s="50">
        <v>80548</v>
      </c>
      <c r="LW31" s="50">
        <v>80529</v>
      </c>
      <c r="LX31" s="50">
        <v>80510</v>
      </c>
      <c r="LY31" s="50">
        <v>80491</v>
      </c>
      <c r="LZ31" s="50">
        <v>80472</v>
      </c>
      <c r="MA31" s="50">
        <v>80378</v>
      </c>
      <c r="MB31" s="50">
        <v>80378</v>
      </c>
      <c r="MC31" s="50">
        <v>80378</v>
      </c>
      <c r="MD31" s="50">
        <v>80359</v>
      </c>
      <c r="ME31" s="50">
        <v>80340</v>
      </c>
      <c r="MF31" s="50">
        <v>86321</v>
      </c>
      <c r="MG31" s="50">
        <v>86302</v>
      </c>
      <c r="MH31" s="50">
        <v>86208</v>
      </c>
      <c r="MI31" s="50">
        <v>81708</v>
      </c>
      <c r="MJ31" s="50">
        <v>81708</v>
      </c>
      <c r="MK31" s="50">
        <v>81689</v>
      </c>
      <c r="ML31" s="50">
        <v>81670</v>
      </c>
      <c r="MM31" s="50">
        <v>81651</v>
      </c>
      <c r="MN31" s="50">
        <v>81632</v>
      </c>
      <c r="MO31" s="50">
        <v>81538</v>
      </c>
      <c r="MP31" s="50">
        <v>81538</v>
      </c>
      <c r="MQ31" s="50">
        <v>81538</v>
      </c>
      <c r="MR31" s="50">
        <v>81519</v>
      </c>
      <c r="MS31" s="50">
        <v>81500</v>
      </c>
      <c r="MT31" s="50">
        <v>87481</v>
      </c>
      <c r="MU31" s="50">
        <v>87462</v>
      </c>
      <c r="MV31" s="50">
        <v>87368</v>
      </c>
      <c r="MW31" s="50">
        <v>87368</v>
      </c>
      <c r="MX31" s="50">
        <v>87368</v>
      </c>
      <c r="MY31" s="50">
        <v>87349</v>
      </c>
      <c r="MZ31" s="50">
        <v>87330</v>
      </c>
      <c r="NA31" s="50">
        <v>87311</v>
      </c>
      <c r="NB31" s="50">
        <v>87292</v>
      </c>
      <c r="NC31" s="50">
        <v>87198</v>
      </c>
      <c r="ND31" s="50">
        <v>87198</v>
      </c>
      <c r="NE31" s="50">
        <v>87198</v>
      </c>
      <c r="NF31" s="50">
        <v>87179</v>
      </c>
      <c r="NG31" s="50">
        <v>87160</v>
      </c>
      <c r="NH31" s="50">
        <v>93141</v>
      </c>
    </row>
    <row r="32" spans="1:372" x14ac:dyDescent="0.25">
      <c r="A32" s="194" t="s">
        <v>97</v>
      </c>
      <c r="B32" s="195"/>
      <c r="C32" s="195"/>
      <c r="D32" s="195"/>
      <c r="E32" s="195"/>
      <c r="F32" s="45"/>
      <c r="G32" s="51" t="s">
        <v>121</v>
      </c>
      <c r="H32" s="52" cm="1">
        <f t="array" ref="H32:NH32">oz.SumColsλ(_xlfn.ANCHORARRAY($H$34))</f>
        <v>3981</v>
      </c>
      <c r="I32" s="52">
        <v>-19</v>
      </c>
      <c r="J32" s="52">
        <v>-94</v>
      </c>
      <c r="K32" s="52">
        <v>0</v>
      </c>
      <c r="L32" s="52">
        <v>-4500</v>
      </c>
      <c r="M32" s="52">
        <v>-19</v>
      </c>
      <c r="N32" s="52">
        <v>-19</v>
      </c>
      <c r="O32" s="52">
        <v>-19</v>
      </c>
      <c r="P32" s="52">
        <v>-19</v>
      </c>
      <c r="Q32" s="52">
        <v>-594</v>
      </c>
      <c r="R32" s="52">
        <v>0</v>
      </c>
      <c r="S32" s="52">
        <v>0</v>
      </c>
      <c r="T32" s="52">
        <v>-19</v>
      </c>
      <c r="U32" s="52">
        <v>-19</v>
      </c>
      <c r="V32" s="52">
        <v>5981</v>
      </c>
      <c r="W32" s="52">
        <v>-19</v>
      </c>
      <c r="X32" s="52">
        <v>-94</v>
      </c>
      <c r="Y32" s="52">
        <v>0</v>
      </c>
      <c r="Z32" s="52">
        <v>0</v>
      </c>
      <c r="AA32" s="52">
        <v>-19</v>
      </c>
      <c r="AB32" s="52">
        <v>-19</v>
      </c>
      <c r="AC32" s="52">
        <v>-19</v>
      </c>
      <c r="AD32" s="52">
        <v>-19</v>
      </c>
      <c r="AE32" s="52">
        <v>-94</v>
      </c>
      <c r="AF32" s="52">
        <v>0</v>
      </c>
      <c r="AG32" s="52">
        <v>0</v>
      </c>
      <c r="AH32" s="52">
        <v>-19</v>
      </c>
      <c r="AI32" s="52">
        <v>-19</v>
      </c>
      <c r="AJ32" s="52">
        <v>5981</v>
      </c>
      <c r="AK32" s="52">
        <v>-19</v>
      </c>
      <c r="AL32" s="52">
        <v>-94</v>
      </c>
      <c r="AM32" s="52">
        <v>0</v>
      </c>
      <c r="AN32" s="52">
        <v>0</v>
      </c>
      <c r="AO32" s="52">
        <v>-19</v>
      </c>
      <c r="AP32" s="52">
        <v>-19</v>
      </c>
      <c r="AQ32" s="52">
        <v>-4519</v>
      </c>
      <c r="AR32" s="52">
        <v>-19</v>
      </c>
      <c r="AS32" s="52">
        <v>-94</v>
      </c>
      <c r="AT32" s="52">
        <v>0</v>
      </c>
      <c r="AU32" s="52">
        <v>0</v>
      </c>
      <c r="AV32" s="52">
        <v>-19</v>
      </c>
      <c r="AW32" s="52">
        <v>-19</v>
      </c>
      <c r="AX32" s="52">
        <v>5981</v>
      </c>
      <c r="AY32" s="52">
        <v>-19</v>
      </c>
      <c r="AZ32" s="52">
        <v>-94</v>
      </c>
      <c r="BA32" s="52">
        <v>0</v>
      </c>
      <c r="BB32" s="52">
        <v>0</v>
      </c>
      <c r="BC32" s="52">
        <v>-19</v>
      </c>
      <c r="BD32" s="52">
        <v>-19</v>
      </c>
      <c r="BE32" s="52">
        <v>-19</v>
      </c>
      <c r="BF32" s="52">
        <v>-19</v>
      </c>
      <c r="BG32" s="52">
        <v>-94</v>
      </c>
      <c r="BH32" s="52">
        <v>0</v>
      </c>
      <c r="BI32" s="52">
        <v>0</v>
      </c>
      <c r="BJ32" s="52">
        <v>-19</v>
      </c>
      <c r="BK32" s="52">
        <v>-19</v>
      </c>
      <c r="BL32" s="52">
        <v>5981</v>
      </c>
      <c r="BM32" s="52">
        <v>-19</v>
      </c>
      <c r="BN32" s="52">
        <v>-94</v>
      </c>
      <c r="BO32" s="52">
        <v>0</v>
      </c>
      <c r="BP32" s="52">
        <v>0</v>
      </c>
      <c r="BQ32" s="52">
        <v>-19</v>
      </c>
      <c r="BR32" s="52">
        <v>-19</v>
      </c>
      <c r="BS32" s="52">
        <v>-19</v>
      </c>
      <c r="BT32" s="52">
        <v>-19</v>
      </c>
      <c r="BU32" s="52">
        <v>-94</v>
      </c>
      <c r="BV32" s="52">
        <v>-4500</v>
      </c>
      <c r="BW32" s="52">
        <v>0</v>
      </c>
      <c r="BX32" s="52">
        <v>-19</v>
      </c>
      <c r="BY32" s="52">
        <v>-19</v>
      </c>
      <c r="BZ32" s="52">
        <v>5981</v>
      </c>
      <c r="CA32" s="52">
        <v>-19</v>
      </c>
      <c r="CB32" s="52">
        <v>-94</v>
      </c>
      <c r="CC32" s="52">
        <v>0</v>
      </c>
      <c r="CD32" s="52">
        <v>0</v>
      </c>
      <c r="CE32" s="52">
        <v>-19</v>
      </c>
      <c r="CF32" s="52">
        <v>-19</v>
      </c>
      <c r="CG32" s="52">
        <v>-19</v>
      </c>
      <c r="CH32" s="52">
        <v>-19</v>
      </c>
      <c r="CI32" s="52">
        <v>-94</v>
      </c>
      <c r="CJ32" s="52">
        <v>0</v>
      </c>
      <c r="CK32" s="52">
        <v>0</v>
      </c>
      <c r="CL32" s="52">
        <v>-19</v>
      </c>
      <c r="CM32" s="52">
        <v>-19</v>
      </c>
      <c r="CN32" s="52">
        <v>5981</v>
      </c>
      <c r="CO32" s="52">
        <v>-19</v>
      </c>
      <c r="CP32" s="52">
        <v>-94</v>
      </c>
      <c r="CQ32" s="52">
        <v>0</v>
      </c>
      <c r="CR32" s="52">
        <v>0</v>
      </c>
      <c r="CS32" s="52">
        <v>-19</v>
      </c>
      <c r="CT32" s="52">
        <v>-19</v>
      </c>
      <c r="CU32" s="52">
        <v>-19</v>
      </c>
      <c r="CV32" s="52">
        <v>-19</v>
      </c>
      <c r="CW32" s="52">
        <v>-94</v>
      </c>
      <c r="CX32" s="52">
        <v>0</v>
      </c>
      <c r="CY32" s="52">
        <v>0</v>
      </c>
      <c r="CZ32" s="52">
        <v>-4519</v>
      </c>
      <c r="DA32" s="52">
        <v>-19</v>
      </c>
      <c r="DB32" s="52">
        <v>5981</v>
      </c>
      <c r="DC32" s="52">
        <v>-19</v>
      </c>
      <c r="DD32" s="52">
        <v>-94</v>
      </c>
      <c r="DE32" s="52">
        <v>-500</v>
      </c>
      <c r="DF32" s="52">
        <v>0</v>
      </c>
      <c r="DG32" s="52">
        <v>-19</v>
      </c>
      <c r="DH32" s="52">
        <v>-19</v>
      </c>
      <c r="DI32" s="52">
        <v>-19</v>
      </c>
      <c r="DJ32" s="52">
        <v>-19</v>
      </c>
      <c r="DK32" s="52">
        <v>-94</v>
      </c>
      <c r="DL32" s="52">
        <v>0</v>
      </c>
      <c r="DM32" s="52">
        <v>0</v>
      </c>
      <c r="DN32" s="52">
        <v>-19</v>
      </c>
      <c r="DO32" s="52">
        <v>-19</v>
      </c>
      <c r="DP32" s="52">
        <v>5981</v>
      </c>
      <c r="DQ32" s="52">
        <v>-19</v>
      </c>
      <c r="DR32" s="52">
        <v>-94</v>
      </c>
      <c r="DS32" s="52">
        <v>0</v>
      </c>
      <c r="DT32" s="52">
        <v>0</v>
      </c>
      <c r="DU32" s="52">
        <v>-19</v>
      </c>
      <c r="DV32" s="52">
        <v>-19</v>
      </c>
      <c r="DW32" s="52">
        <v>-19</v>
      </c>
      <c r="DX32" s="52">
        <v>-19</v>
      </c>
      <c r="DY32" s="52">
        <v>-94</v>
      </c>
      <c r="DZ32" s="52">
        <v>0</v>
      </c>
      <c r="EA32" s="52">
        <v>0</v>
      </c>
      <c r="EB32" s="52">
        <v>-19</v>
      </c>
      <c r="EC32" s="52">
        <v>-19</v>
      </c>
      <c r="ED32" s="52">
        <v>5981</v>
      </c>
      <c r="EE32" s="52">
        <v>-4519</v>
      </c>
      <c r="EF32" s="52">
        <v>-94</v>
      </c>
      <c r="EG32" s="52">
        <v>0</v>
      </c>
      <c r="EH32" s="52">
        <v>0</v>
      </c>
      <c r="EI32" s="52">
        <v>-19</v>
      </c>
      <c r="EJ32" s="52">
        <v>-19</v>
      </c>
      <c r="EK32" s="52">
        <v>-19</v>
      </c>
      <c r="EL32" s="52">
        <v>-19</v>
      </c>
      <c r="EM32" s="52">
        <v>-94</v>
      </c>
      <c r="EN32" s="52">
        <v>0</v>
      </c>
      <c r="EO32" s="52">
        <v>0</v>
      </c>
      <c r="EP32" s="52">
        <v>-19</v>
      </c>
      <c r="EQ32" s="52">
        <v>-19</v>
      </c>
      <c r="ER32" s="52">
        <v>5981</v>
      </c>
      <c r="ES32" s="52">
        <v>-19</v>
      </c>
      <c r="ET32" s="52">
        <v>-94</v>
      </c>
      <c r="EU32" s="52">
        <v>0</v>
      </c>
      <c r="EV32" s="52">
        <v>0</v>
      </c>
      <c r="EW32" s="52">
        <v>-19</v>
      </c>
      <c r="EX32" s="52">
        <v>-19</v>
      </c>
      <c r="EY32" s="52">
        <v>-19</v>
      </c>
      <c r="EZ32" s="52">
        <v>-19</v>
      </c>
      <c r="FA32" s="52">
        <v>-94</v>
      </c>
      <c r="FB32" s="52">
        <v>0</v>
      </c>
      <c r="FC32" s="52">
        <v>0</v>
      </c>
      <c r="FD32" s="52">
        <v>-19</v>
      </c>
      <c r="FE32" s="52">
        <v>-19</v>
      </c>
      <c r="FF32" s="52">
        <v>5981</v>
      </c>
      <c r="FG32" s="52">
        <v>-19</v>
      </c>
      <c r="FH32" s="52">
        <v>-94</v>
      </c>
      <c r="FI32" s="52">
        <v>-4500</v>
      </c>
      <c r="FJ32" s="52">
        <v>0</v>
      </c>
      <c r="FK32" s="52">
        <v>-19</v>
      </c>
      <c r="FL32" s="52">
        <v>-19</v>
      </c>
      <c r="FM32" s="52">
        <v>-19</v>
      </c>
      <c r="FN32" s="52">
        <v>-19</v>
      </c>
      <c r="FO32" s="52">
        <v>-94</v>
      </c>
      <c r="FP32" s="52">
        <v>0</v>
      </c>
      <c r="FQ32" s="52">
        <v>0</v>
      </c>
      <c r="FR32" s="52">
        <v>-19</v>
      </c>
      <c r="FS32" s="52">
        <v>-19</v>
      </c>
      <c r="FT32" s="52">
        <v>5981</v>
      </c>
      <c r="FU32" s="52">
        <v>-19</v>
      </c>
      <c r="FV32" s="52">
        <v>-94</v>
      </c>
      <c r="FW32" s="52">
        <v>0</v>
      </c>
      <c r="FX32" s="52">
        <v>0</v>
      </c>
      <c r="FY32" s="52">
        <v>-19</v>
      </c>
      <c r="FZ32" s="52">
        <v>-19</v>
      </c>
      <c r="GA32" s="52">
        <v>-19</v>
      </c>
      <c r="GB32" s="52">
        <v>-19</v>
      </c>
      <c r="GC32" s="52">
        <v>-94</v>
      </c>
      <c r="GD32" s="52">
        <v>0</v>
      </c>
      <c r="GE32" s="52">
        <v>0</v>
      </c>
      <c r="GF32" s="52">
        <v>-19</v>
      </c>
      <c r="GG32" s="52">
        <v>-19</v>
      </c>
      <c r="GH32" s="52">
        <v>5981</v>
      </c>
      <c r="GI32" s="52">
        <v>-19</v>
      </c>
      <c r="GJ32" s="52">
        <v>-2094</v>
      </c>
      <c r="GK32" s="52">
        <v>0</v>
      </c>
      <c r="GL32" s="52">
        <v>0</v>
      </c>
      <c r="GM32" s="52">
        <v>-19</v>
      </c>
      <c r="GN32" s="52">
        <v>-4519</v>
      </c>
      <c r="GO32" s="52">
        <v>-19</v>
      </c>
      <c r="GP32" s="52">
        <v>-19</v>
      </c>
      <c r="GQ32" s="52">
        <v>-94</v>
      </c>
      <c r="GR32" s="52">
        <v>0</v>
      </c>
      <c r="GS32" s="52">
        <v>-500</v>
      </c>
      <c r="GT32" s="52">
        <v>-19</v>
      </c>
      <c r="GU32" s="52">
        <v>-19</v>
      </c>
      <c r="GV32" s="52">
        <v>5981</v>
      </c>
      <c r="GW32" s="52">
        <v>-19</v>
      </c>
      <c r="GX32" s="52">
        <v>-94</v>
      </c>
      <c r="GY32" s="52">
        <v>0</v>
      </c>
      <c r="GZ32" s="52">
        <v>0</v>
      </c>
      <c r="HA32" s="52">
        <v>-19</v>
      </c>
      <c r="HB32" s="52">
        <v>-19</v>
      </c>
      <c r="HC32" s="52">
        <v>-19</v>
      </c>
      <c r="HD32" s="52">
        <v>-19</v>
      </c>
      <c r="HE32" s="52">
        <v>-94</v>
      </c>
      <c r="HF32" s="52">
        <v>0</v>
      </c>
      <c r="HG32" s="52">
        <v>0</v>
      </c>
      <c r="HH32" s="52">
        <v>-19</v>
      </c>
      <c r="HI32" s="52">
        <v>-19</v>
      </c>
      <c r="HJ32" s="52">
        <v>5981</v>
      </c>
      <c r="HK32" s="52">
        <v>-19</v>
      </c>
      <c r="HL32" s="52">
        <v>-94</v>
      </c>
      <c r="HM32" s="52">
        <v>0</v>
      </c>
      <c r="HN32" s="52">
        <v>0</v>
      </c>
      <c r="HO32" s="52">
        <v>-19</v>
      </c>
      <c r="HP32" s="52">
        <v>-19</v>
      </c>
      <c r="HQ32" s="52">
        <v>-19</v>
      </c>
      <c r="HR32" s="52">
        <v>-19</v>
      </c>
      <c r="HS32" s="52">
        <v>-4594</v>
      </c>
      <c r="HT32" s="52">
        <v>0</v>
      </c>
      <c r="HU32" s="52">
        <v>0</v>
      </c>
      <c r="HV32" s="52">
        <v>-19</v>
      </c>
      <c r="HW32" s="52">
        <v>-19</v>
      </c>
      <c r="HX32" s="52">
        <v>5981</v>
      </c>
      <c r="HY32" s="52">
        <v>-19</v>
      </c>
      <c r="HZ32" s="52">
        <v>-94</v>
      </c>
      <c r="IA32" s="52">
        <v>0</v>
      </c>
      <c r="IB32" s="52">
        <v>0</v>
      </c>
      <c r="IC32" s="52">
        <v>-19</v>
      </c>
      <c r="ID32" s="52">
        <v>-19</v>
      </c>
      <c r="IE32" s="52">
        <v>-19</v>
      </c>
      <c r="IF32" s="52">
        <v>-19</v>
      </c>
      <c r="IG32" s="52">
        <v>-94</v>
      </c>
      <c r="IH32" s="52">
        <v>0</v>
      </c>
      <c r="II32" s="52">
        <v>0</v>
      </c>
      <c r="IJ32" s="52">
        <v>-19</v>
      </c>
      <c r="IK32" s="52">
        <v>-19</v>
      </c>
      <c r="IL32" s="52">
        <v>5981</v>
      </c>
      <c r="IM32" s="52">
        <v>-19</v>
      </c>
      <c r="IN32" s="52">
        <v>-94</v>
      </c>
      <c r="IO32" s="52">
        <v>0</v>
      </c>
      <c r="IP32" s="52">
        <v>0</v>
      </c>
      <c r="IQ32" s="52">
        <v>-19</v>
      </c>
      <c r="IR32" s="52">
        <v>-19</v>
      </c>
      <c r="IS32" s="52">
        <v>-19</v>
      </c>
      <c r="IT32" s="52">
        <v>-19</v>
      </c>
      <c r="IU32" s="52">
        <v>-4594</v>
      </c>
      <c r="IV32" s="52">
        <v>0</v>
      </c>
      <c r="IW32" s="52">
        <v>0</v>
      </c>
      <c r="IX32" s="52">
        <v>-19</v>
      </c>
      <c r="IY32" s="52">
        <v>-19</v>
      </c>
      <c r="IZ32" s="52">
        <v>5981</v>
      </c>
      <c r="JA32" s="52">
        <v>-19</v>
      </c>
      <c r="JB32" s="52">
        <v>-94</v>
      </c>
      <c r="JC32" s="52">
        <v>0</v>
      </c>
      <c r="JD32" s="52">
        <v>0</v>
      </c>
      <c r="JE32" s="52">
        <v>-19</v>
      </c>
      <c r="JF32" s="52">
        <v>-19</v>
      </c>
      <c r="JG32" s="52">
        <v>-19</v>
      </c>
      <c r="JH32" s="52">
        <v>-19</v>
      </c>
      <c r="JI32" s="52">
        <v>-94</v>
      </c>
      <c r="JJ32" s="52">
        <v>0</v>
      </c>
      <c r="JK32" s="52">
        <v>0</v>
      </c>
      <c r="JL32" s="52">
        <v>-19</v>
      </c>
      <c r="JM32" s="52">
        <v>-19</v>
      </c>
      <c r="JN32" s="52">
        <v>5981</v>
      </c>
      <c r="JO32" s="52">
        <v>-19</v>
      </c>
      <c r="JP32" s="52">
        <v>-94</v>
      </c>
      <c r="JQ32" s="52">
        <v>0</v>
      </c>
      <c r="JR32" s="52">
        <v>0</v>
      </c>
      <c r="JS32" s="52">
        <v>-19</v>
      </c>
      <c r="JT32" s="52">
        <v>-19</v>
      </c>
      <c r="JU32" s="52">
        <v>-19</v>
      </c>
      <c r="JV32" s="52">
        <v>-19</v>
      </c>
      <c r="JW32" s="52">
        <v>-94</v>
      </c>
      <c r="JX32" s="52">
        <v>0</v>
      </c>
      <c r="JY32" s="52">
        <v>0</v>
      </c>
      <c r="JZ32" s="52">
        <v>-4519</v>
      </c>
      <c r="KA32" s="52">
        <v>-19</v>
      </c>
      <c r="KB32" s="52">
        <v>5981</v>
      </c>
      <c r="KC32" s="52">
        <v>-19</v>
      </c>
      <c r="KD32" s="52">
        <v>-94</v>
      </c>
      <c r="KE32" s="52">
        <v>-500</v>
      </c>
      <c r="KF32" s="52">
        <v>0</v>
      </c>
      <c r="KG32" s="52">
        <v>-19</v>
      </c>
      <c r="KH32" s="52">
        <v>-19</v>
      </c>
      <c r="KI32" s="52">
        <v>-19</v>
      </c>
      <c r="KJ32" s="52">
        <v>-19</v>
      </c>
      <c r="KK32" s="52">
        <v>-94</v>
      </c>
      <c r="KL32" s="52">
        <v>0</v>
      </c>
      <c r="KM32" s="52">
        <v>0</v>
      </c>
      <c r="KN32" s="52">
        <v>-19</v>
      </c>
      <c r="KO32" s="52">
        <v>-19</v>
      </c>
      <c r="KP32" s="52">
        <v>5981</v>
      </c>
      <c r="KQ32" s="52">
        <v>-19</v>
      </c>
      <c r="KR32" s="52">
        <v>-94</v>
      </c>
      <c r="KS32" s="52">
        <v>0</v>
      </c>
      <c r="KT32" s="52">
        <v>0</v>
      </c>
      <c r="KU32" s="52">
        <v>-19</v>
      </c>
      <c r="KV32" s="52">
        <v>-19</v>
      </c>
      <c r="KW32" s="52">
        <v>-19</v>
      </c>
      <c r="KX32" s="52">
        <v>-19</v>
      </c>
      <c r="KY32" s="52">
        <v>-94</v>
      </c>
      <c r="KZ32" s="52">
        <v>0</v>
      </c>
      <c r="LA32" s="52">
        <v>0</v>
      </c>
      <c r="LB32" s="52">
        <v>-19</v>
      </c>
      <c r="LC32" s="52">
        <v>-19</v>
      </c>
      <c r="LD32" s="52">
        <v>1481</v>
      </c>
      <c r="LE32" s="52">
        <v>-19</v>
      </c>
      <c r="LF32" s="52">
        <v>-94</v>
      </c>
      <c r="LG32" s="52">
        <v>0</v>
      </c>
      <c r="LH32" s="52">
        <v>0</v>
      </c>
      <c r="LI32" s="52">
        <v>-19</v>
      </c>
      <c r="LJ32" s="52">
        <v>-19</v>
      </c>
      <c r="LK32" s="52">
        <v>-19</v>
      </c>
      <c r="LL32" s="52">
        <v>-19</v>
      </c>
      <c r="LM32" s="52">
        <v>-94</v>
      </c>
      <c r="LN32" s="52">
        <v>0</v>
      </c>
      <c r="LO32" s="52">
        <v>0</v>
      </c>
      <c r="LP32" s="52">
        <v>-19</v>
      </c>
      <c r="LQ32" s="52">
        <v>-19</v>
      </c>
      <c r="LR32" s="52">
        <v>5981</v>
      </c>
      <c r="LS32" s="52">
        <v>-19</v>
      </c>
      <c r="LT32" s="52">
        <v>-94</v>
      </c>
      <c r="LU32" s="52">
        <v>0</v>
      </c>
      <c r="LV32" s="52">
        <v>0</v>
      </c>
      <c r="LW32" s="52">
        <v>-19</v>
      </c>
      <c r="LX32" s="52">
        <v>-19</v>
      </c>
      <c r="LY32" s="52">
        <v>-19</v>
      </c>
      <c r="LZ32" s="52">
        <v>-19</v>
      </c>
      <c r="MA32" s="52">
        <v>-94</v>
      </c>
      <c r="MB32" s="52">
        <v>0</v>
      </c>
      <c r="MC32" s="52">
        <v>0</v>
      </c>
      <c r="MD32" s="52">
        <v>-19</v>
      </c>
      <c r="ME32" s="52">
        <v>-19</v>
      </c>
      <c r="MF32" s="52">
        <v>5981</v>
      </c>
      <c r="MG32" s="52">
        <v>-19</v>
      </c>
      <c r="MH32" s="52">
        <v>-94</v>
      </c>
      <c r="MI32" s="52">
        <v>-4500</v>
      </c>
      <c r="MJ32" s="52">
        <v>0</v>
      </c>
      <c r="MK32" s="52">
        <v>-19</v>
      </c>
      <c r="ML32" s="52">
        <v>-19</v>
      </c>
      <c r="MM32" s="52">
        <v>-19</v>
      </c>
      <c r="MN32" s="52">
        <v>-19</v>
      </c>
      <c r="MO32" s="52">
        <v>-94</v>
      </c>
      <c r="MP32" s="52">
        <v>0</v>
      </c>
      <c r="MQ32" s="52">
        <v>0</v>
      </c>
      <c r="MR32" s="52">
        <v>-19</v>
      </c>
      <c r="MS32" s="52">
        <v>-19</v>
      </c>
      <c r="MT32" s="52">
        <v>5981</v>
      </c>
      <c r="MU32" s="52">
        <v>-19</v>
      </c>
      <c r="MV32" s="52">
        <v>-94</v>
      </c>
      <c r="MW32" s="52">
        <v>0</v>
      </c>
      <c r="MX32" s="52">
        <v>0</v>
      </c>
      <c r="MY32" s="52">
        <v>-19</v>
      </c>
      <c r="MZ32" s="52">
        <v>-19</v>
      </c>
      <c r="NA32" s="52">
        <v>-19</v>
      </c>
      <c r="NB32" s="52">
        <v>-19</v>
      </c>
      <c r="NC32" s="52">
        <v>-94</v>
      </c>
      <c r="ND32" s="52">
        <v>0</v>
      </c>
      <c r="NE32" s="52">
        <v>0</v>
      </c>
      <c r="NF32" s="52">
        <v>-19</v>
      </c>
      <c r="NG32" s="52">
        <v>-19</v>
      </c>
      <c r="NH32" s="52">
        <v>5981</v>
      </c>
    </row>
    <row r="33" spans="1:372" x14ac:dyDescent="0.25">
      <c r="A33" s="38" t="s">
        <v>7</v>
      </c>
      <c r="B33" s="39" t="s">
        <v>125</v>
      </c>
      <c r="C33" s="39" t="s">
        <v>98</v>
      </c>
      <c r="D33" s="40" t="s">
        <v>99</v>
      </c>
      <c r="E33" s="38" t="s">
        <v>100</v>
      </c>
      <c r="G33" s="48" t="s">
        <v>123</v>
      </c>
      <c r="H33" s="49" cm="1">
        <f t="array" ref="H33:NH33">oz.Timelineλ("1/7/2026", 365, "D")</f>
        <v>46204</v>
      </c>
      <c r="I33" s="49">
        <v>46205</v>
      </c>
      <c r="J33" s="49">
        <v>46206</v>
      </c>
      <c r="K33" s="49">
        <v>46207</v>
      </c>
      <c r="L33" s="49">
        <v>46208</v>
      </c>
      <c r="M33" s="49">
        <v>46209</v>
      </c>
      <c r="N33" s="49">
        <v>46210</v>
      </c>
      <c r="O33" s="49">
        <v>46211</v>
      </c>
      <c r="P33" s="49">
        <v>46212</v>
      </c>
      <c r="Q33" s="49">
        <v>46213</v>
      </c>
      <c r="R33" s="49">
        <v>46214</v>
      </c>
      <c r="S33" s="49">
        <v>46215</v>
      </c>
      <c r="T33" s="49">
        <v>46216</v>
      </c>
      <c r="U33" s="49">
        <v>46217</v>
      </c>
      <c r="V33" s="49">
        <v>46218</v>
      </c>
      <c r="W33" s="49">
        <v>46219</v>
      </c>
      <c r="X33" s="49">
        <v>46220</v>
      </c>
      <c r="Y33" s="49">
        <v>46221</v>
      </c>
      <c r="Z33" s="49">
        <v>46222</v>
      </c>
      <c r="AA33" s="49">
        <v>46223</v>
      </c>
      <c r="AB33" s="49">
        <v>46224</v>
      </c>
      <c r="AC33" s="49">
        <v>46225</v>
      </c>
      <c r="AD33" s="49">
        <v>46226</v>
      </c>
      <c r="AE33" s="49">
        <v>46227</v>
      </c>
      <c r="AF33" s="49">
        <v>46228</v>
      </c>
      <c r="AG33" s="49">
        <v>46229</v>
      </c>
      <c r="AH33" s="49">
        <v>46230</v>
      </c>
      <c r="AI33" s="49">
        <v>46231</v>
      </c>
      <c r="AJ33" s="49">
        <v>46232</v>
      </c>
      <c r="AK33" s="49">
        <v>46233</v>
      </c>
      <c r="AL33" s="49">
        <v>46234</v>
      </c>
      <c r="AM33" s="49">
        <v>46235</v>
      </c>
      <c r="AN33" s="49">
        <v>46236</v>
      </c>
      <c r="AO33" s="49">
        <v>46237</v>
      </c>
      <c r="AP33" s="49">
        <v>46238</v>
      </c>
      <c r="AQ33" s="49">
        <v>46239</v>
      </c>
      <c r="AR33" s="49">
        <v>46240</v>
      </c>
      <c r="AS33" s="49">
        <v>46241</v>
      </c>
      <c r="AT33" s="49">
        <v>46242</v>
      </c>
      <c r="AU33" s="49">
        <v>46243</v>
      </c>
      <c r="AV33" s="49">
        <v>46244</v>
      </c>
      <c r="AW33" s="49">
        <v>46245</v>
      </c>
      <c r="AX33" s="49">
        <v>46246</v>
      </c>
      <c r="AY33" s="49">
        <v>46247</v>
      </c>
      <c r="AZ33" s="49">
        <v>46248</v>
      </c>
      <c r="BA33" s="49">
        <v>46249</v>
      </c>
      <c r="BB33" s="49">
        <v>46250</v>
      </c>
      <c r="BC33" s="49">
        <v>46251</v>
      </c>
      <c r="BD33" s="49">
        <v>46252</v>
      </c>
      <c r="BE33" s="49">
        <v>46253</v>
      </c>
      <c r="BF33" s="49">
        <v>46254</v>
      </c>
      <c r="BG33" s="49">
        <v>46255</v>
      </c>
      <c r="BH33" s="49">
        <v>46256</v>
      </c>
      <c r="BI33" s="49">
        <v>46257</v>
      </c>
      <c r="BJ33" s="49">
        <v>46258</v>
      </c>
      <c r="BK33" s="49">
        <v>46259</v>
      </c>
      <c r="BL33" s="49">
        <v>46260</v>
      </c>
      <c r="BM33" s="49">
        <v>46261</v>
      </c>
      <c r="BN33" s="49">
        <v>46262</v>
      </c>
      <c r="BO33" s="49">
        <v>46263</v>
      </c>
      <c r="BP33" s="49">
        <v>46264</v>
      </c>
      <c r="BQ33" s="49">
        <v>46265</v>
      </c>
      <c r="BR33" s="49">
        <v>46266</v>
      </c>
      <c r="BS33" s="49">
        <v>46267</v>
      </c>
      <c r="BT33" s="49">
        <v>46268</v>
      </c>
      <c r="BU33" s="49">
        <v>46269</v>
      </c>
      <c r="BV33" s="49">
        <v>46270</v>
      </c>
      <c r="BW33" s="49">
        <v>46271</v>
      </c>
      <c r="BX33" s="49">
        <v>46272</v>
      </c>
      <c r="BY33" s="49">
        <v>46273</v>
      </c>
      <c r="BZ33" s="49">
        <v>46274</v>
      </c>
      <c r="CA33" s="49">
        <v>46275</v>
      </c>
      <c r="CB33" s="49">
        <v>46276</v>
      </c>
      <c r="CC33" s="49">
        <v>46277</v>
      </c>
      <c r="CD33" s="49">
        <v>46278</v>
      </c>
      <c r="CE33" s="49">
        <v>46279</v>
      </c>
      <c r="CF33" s="49">
        <v>46280</v>
      </c>
      <c r="CG33" s="49">
        <v>46281</v>
      </c>
      <c r="CH33" s="49">
        <v>46282</v>
      </c>
      <c r="CI33" s="49">
        <v>46283</v>
      </c>
      <c r="CJ33" s="49">
        <v>46284</v>
      </c>
      <c r="CK33" s="49">
        <v>46285</v>
      </c>
      <c r="CL33" s="49">
        <v>46286</v>
      </c>
      <c r="CM33" s="49">
        <v>46287</v>
      </c>
      <c r="CN33" s="49">
        <v>46288</v>
      </c>
      <c r="CO33" s="49">
        <v>46289</v>
      </c>
      <c r="CP33" s="49">
        <v>46290</v>
      </c>
      <c r="CQ33" s="49">
        <v>46291</v>
      </c>
      <c r="CR33" s="49">
        <v>46292</v>
      </c>
      <c r="CS33" s="49">
        <v>46293</v>
      </c>
      <c r="CT33" s="49">
        <v>46294</v>
      </c>
      <c r="CU33" s="49">
        <v>46295</v>
      </c>
      <c r="CV33" s="49">
        <v>46296</v>
      </c>
      <c r="CW33" s="49">
        <v>46297</v>
      </c>
      <c r="CX33" s="49">
        <v>46298</v>
      </c>
      <c r="CY33" s="49">
        <v>46299</v>
      </c>
      <c r="CZ33" s="49">
        <v>46300</v>
      </c>
      <c r="DA33" s="49">
        <v>46301</v>
      </c>
      <c r="DB33" s="49">
        <v>46302</v>
      </c>
      <c r="DC33" s="49">
        <v>46303</v>
      </c>
      <c r="DD33" s="49">
        <v>46304</v>
      </c>
      <c r="DE33" s="49">
        <v>46305</v>
      </c>
      <c r="DF33" s="49">
        <v>46306</v>
      </c>
      <c r="DG33" s="49">
        <v>46307</v>
      </c>
      <c r="DH33" s="49">
        <v>46308</v>
      </c>
      <c r="DI33" s="49">
        <v>46309</v>
      </c>
      <c r="DJ33" s="49">
        <v>46310</v>
      </c>
      <c r="DK33" s="49">
        <v>46311</v>
      </c>
      <c r="DL33" s="49">
        <v>46312</v>
      </c>
      <c r="DM33" s="49">
        <v>46313</v>
      </c>
      <c r="DN33" s="49">
        <v>46314</v>
      </c>
      <c r="DO33" s="49">
        <v>46315</v>
      </c>
      <c r="DP33" s="49">
        <v>46316</v>
      </c>
      <c r="DQ33" s="49">
        <v>46317</v>
      </c>
      <c r="DR33" s="49">
        <v>46318</v>
      </c>
      <c r="DS33" s="49">
        <v>46319</v>
      </c>
      <c r="DT33" s="49">
        <v>46320</v>
      </c>
      <c r="DU33" s="49">
        <v>46321</v>
      </c>
      <c r="DV33" s="49">
        <v>46322</v>
      </c>
      <c r="DW33" s="49">
        <v>46323</v>
      </c>
      <c r="DX33" s="49">
        <v>46324</v>
      </c>
      <c r="DY33" s="49">
        <v>46325</v>
      </c>
      <c r="DZ33" s="49">
        <v>46326</v>
      </c>
      <c r="EA33" s="49">
        <v>46327</v>
      </c>
      <c r="EB33" s="49">
        <v>46328</v>
      </c>
      <c r="EC33" s="49">
        <v>46329</v>
      </c>
      <c r="ED33" s="49">
        <v>46330</v>
      </c>
      <c r="EE33" s="49">
        <v>46331</v>
      </c>
      <c r="EF33" s="49">
        <v>46332</v>
      </c>
      <c r="EG33" s="49">
        <v>46333</v>
      </c>
      <c r="EH33" s="49">
        <v>46334</v>
      </c>
      <c r="EI33" s="49">
        <v>46335</v>
      </c>
      <c r="EJ33" s="49">
        <v>46336</v>
      </c>
      <c r="EK33" s="49">
        <v>46337</v>
      </c>
      <c r="EL33" s="49">
        <v>46338</v>
      </c>
      <c r="EM33" s="49">
        <v>46339</v>
      </c>
      <c r="EN33" s="49">
        <v>46340</v>
      </c>
      <c r="EO33" s="49">
        <v>46341</v>
      </c>
      <c r="EP33" s="49">
        <v>46342</v>
      </c>
      <c r="EQ33" s="49">
        <v>46343</v>
      </c>
      <c r="ER33" s="49">
        <v>46344</v>
      </c>
      <c r="ES33" s="49">
        <v>46345</v>
      </c>
      <c r="ET33" s="49">
        <v>46346</v>
      </c>
      <c r="EU33" s="49">
        <v>46347</v>
      </c>
      <c r="EV33" s="49">
        <v>46348</v>
      </c>
      <c r="EW33" s="49">
        <v>46349</v>
      </c>
      <c r="EX33" s="49">
        <v>46350</v>
      </c>
      <c r="EY33" s="49">
        <v>46351</v>
      </c>
      <c r="EZ33" s="49">
        <v>46352</v>
      </c>
      <c r="FA33" s="49">
        <v>46353</v>
      </c>
      <c r="FB33" s="49">
        <v>46354</v>
      </c>
      <c r="FC33" s="49">
        <v>46355</v>
      </c>
      <c r="FD33" s="49">
        <v>46356</v>
      </c>
      <c r="FE33" s="49">
        <v>46357</v>
      </c>
      <c r="FF33" s="49">
        <v>46358</v>
      </c>
      <c r="FG33" s="49">
        <v>46359</v>
      </c>
      <c r="FH33" s="49">
        <v>46360</v>
      </c>
      <c r="FI33" s="49">
        <v>46361</v>
      </c>
      <c r="FJ33" s="49">
        <v>46362</v>
      </c>
      <c r="FK33" s="49">
        <v>46363</v>
      </c>
      <c r="FL33" s="49">
        <v>46364</v>
      </c>
      <c r="FM33" s="49">
        <v>46365</v>
      </c>
      <c r="FN33" s="49">
        <v>46366</v>
      </c>
      <c r="FO33" s="49">
        <v>46367</v>
      </c>
      <c r="FP33" s="49">
        <v>46368</v>
      </c>
      <c r="FQ33" s="49">
        <v>46369</v>
      </c>
      <c r="FR33" s="49">
        <v>46370</v>
      </c>
      <c r="FS33" s="49">
        <v>46371</v>
      </c>
      <c r="FT33" s="49">
        <v>46372</v>
      </c>
      <c r="FU33" s="49">
        <v>46373</v>
      </c>
      <c r="FV33" s="49">
        <v>46374</v>
      </c>
      <c r="FW33" s="49">
        <v>46375</v>
      </c>
      <c r="FX33" s="49">
        <v>46376</v>
      </c>
      <c r="FY33" s="49">
        <v>46377</v>
      </c>
      <c r="FZ33" s="49">
        <v>46378</v>
      </c>
      <c r="GA33" s="49">
        <v>46379</v>
      </c>
      <c r="GB33" s="49">
        <v>46380</v>
      </c>
      <c r="GC33" s="49">
        <v>46381</v>
      </c>
      <c r="GD33" s="49">
        <v>46382</v>
      </c>
      <c r="GE33" s="49">
        <v>46383</v>
      </c>
      <c r="GF33" s="49">
        <v>46384</v>
      </c>
      <c r="GG33" s="49">
        <v>46385</v>
      </c>
      <c r="GH33" s="49">
        <v>46386</v>
      </c>
      <c r="GI33" s="49">
        <v>46387</v>
      </c>
      <c r="GJ33" s="49">
        <v>46388</v>
      </c>
      <c r="GK33" s="49">
        <v>46389</v>
      </c>
      <c r="GL33" s="49">
        <v>46390</v>
      </c>
      <c r="GM33" s="49">
        <v>46391</v>
      </c>
      <c r="GN33" s="49">
        <v>46392</v>
      </c>
      <c r="GO33" s="49">
        <v>46393</v>
      </c>
      <c r="GP33" s="49">
        <v>46394</v>
      </c>
      <c r="GQ33" s="49">
        <v>46395</v>
      </c>
      <c r="GR33" s="49">
        <v>46396</v>
      </c>
      <c r="GS33" s="49">
        <v>46397</v>
      </c>
      <c r="GT33" s="49">
        <v>46398</v>
      </c>
      <c r="GU33" s="49">
        <v>46399</v>
      </c>
      <c r="GV33" s="49">
        <v>46400</v>
      </c>
      <c r="GW33" s="49">
        <v>46401</v>
      </c>
      <c r="GX33" s="49">
        <v>46402</v>
      </c>
      <c r="GY33" s="49">
        <v>46403</v>
      </c>
      <c r="GZ33" s="49">
        <v>46404</v>
      </c>
      <c r="HA33" s="49">
        <v>46405</v>
      </c>
      <c r="HB33" s="49">
        <v>46406</v>
      </c>
      <c r="HC33" s="49">
        <v>46407</v>
      </c>
      <c r="HD33" s="49">
        <v>46408</v>
      </c>
      <c r="HE33" s="49">
        <v>46409</v>
      </c>
      <c r="HF33" s="49">
        <v>46410</v>
      </c>
      <c r="HG33" s="49">
        <v>46411</v>
      </c>
      <c r="HH33" s="49">
        <v>46412</v>
      </c>
      <c r="HI33" s="49">
        <v>46413</v>
      </c>
      <c r="HJ33" s="49">
        <v>46414</v>
      </c>
      <c r="HK33" s="49">
        <v>46415</v>
      </c>
      <c r="HL33" s="49">
        <v>46416</v>
      </c>
      <c r="HM33" s="49">
        <v>46417</v>
      </c>
      <c r="HN33" s="49">
        <v>46418</v>
      </c>
      <c r="HO33" s="49">
        <v>46419</v>
      </c>
      <c r="HP33" s="49">
        <v>46420</v>
      </c>
      <c r="HQ33" s="49">
        <v>46421</v>
      </c>
      <c r="HR33" s="49">
        <v>46422</v>
      </c>
      <c r="HS33" s="49">
        <v>46423</v>
      </c>
      <c r="HT33" s="49">
        <v>46424</v>
      </c>
      <c r="HU33" s="49">
        <v>46425</v>
      </c>
      <c r="HV33" s="49">
        <v>46426</v>
      </c>
      <c r="HW33" s="49">
        <v>46427</v>
      </c>
      <c r="HX33" s="49">
        <v>46428</v>
      </c>
      <c r="HY33" s="49">
        <v>46429</v>
      </c>
      <c r="HZ33" s="49">
        <v>46430</v>
      </c>
      <c r="IA33" s="49">
        <v>46431</v>
      </c>
      <c r="IB33" s="49">
        <v>46432</v>
      </c>
      <c r="IC33" s="49">
        <v>46433</v>
      </c>
      <c r="ID33" s="49">
        <v>46434</v>
      </c>
      <c r="IE33" s="49">
        <v>46435</v>
      </c>
      <c r="IF33" s="49">
        <v>46436</v>
      </c>
      <c r="IG33" s="49">
        <v>46437</v>
      </c>
      <c r="IH33" s="49">
        <v>46438</v>
      </c>
      <c r="II33" s="49">
        <v>46439</v>
      </c>
      <c r="IJ33" s="49">
        <v>46440</v>
      </c>
      <c r="IK33" s="49">
        <v>46441</v>
      </c>
      <c r="IL33" s="49">
        <v>46442</v>
      </c>
      <c r="IM33" s="49">
        <v>46443</v>
      </c>
      <c r="IN33" s="49">
        <v>46444</v>
      </c>
      <c r="IO33" s="49">
        <v>46445</v>
      </c>
      <c r="IP33" s="49">
        <v>46446</v>
      </c>
      <c r="IQ33" s="49">
        <v>46447</v>
      </c>
      <c r="IR33" s="49">
        <v>46448</v>
      </c>
      <c r="IS33" s="49">
        <v>46449</v>
      </c>
      <c r="IT33" s="49">
        <v>46450</v>
      </c>
      <c r="IU33" s="49">
        <v>46451</v>
      </c>
      <c r="IV33" s="49">
        <v>46452</v>
      </c>
      <c r="IW33" s="49">
        <v>46453</v>
      </c>
      <c r="IX33" s="49">
        <v>46454</v>
      </c>
      <c r="IY33" s="49">
        <v>46455</v>
      </c>
      <c r="IZ33" s="49">
        <v>46456</v>
      </c>
      <c r="JA33" s="49">
        <v>46457</v>
      </c>
      <c r="JB33" s="49">
        <v>46458</v>
      </c>
      <c r="JC33" s="49">
        <v>46459</v>
      </c>
      <c r="JD33" s="49">
        <v>46460</v>
      </c>
      <c r="JE33" s="49">
        <v>46461</v>
      </c>
      <c r="JF33" s="49">
        <v>46462</v>
      </c>
      <c r="JG33" s="49">
        <v>46463</v>
      </c>
      <c r="JH33" s="49">
        <v>46464</v>
      </c>
      <c r="JI33" s="49">
        <v>46465</v>
      </c>
      <c r="JJ33" s="49">
        <v>46466</v>
      </c>
      <c r="JK33" s="49">
        <v>46467</v>
      </c>
      <c r="JL33" s="49">
        <v>46468</v>
      </c>
      <c r="JM33" s="49">
        <v>46469</v>
      </c>
      <c r="JN33" s="49">
        <v>46470</v>
      </c>
      <c r="JO33" s="49">
        <v>46471</v>
      </c>
      <c r="JP33" s="49">
        <v>46472</v>
      </c>
      <c r="JQ33" s="49">
        <v>46473</v>
      </c>
      <c r="JR33" s="49">
        <v>46474</v>
      </c>
      <c r="JS33" s="49">
        <v>46475</v>
      </c>
      <c r="JT33" s="49">
        <v>46476</v>
      </c>
      <c r="JU33" s="49">
        <v>46477</v>
      </c>
      <c r="JV33" s="49">
        <v>46478</v>
      </c>
      <c r="JW33" s="49">
        <v>46479</v>
      </c>
      <c r="JX33" s="49">
        <v>46480</v>
      </c>
      <c r="JY33" s="49">
        <v>46481</v>
      </c>
      <c r="JZ33" s="49">
        <v>46482</v>
      </c>
      <c r="KA33" s="49">
        <v>46483</v>
      </c>
      <c r="KB33" s="49">
        <v>46484</v>
      </c>
      <c r="KC33" s="49">
        <v>46485</v>
      </c>
      <c r="KD33" s="49">
        <v>46486</v>
      </c>
      <c r="KE33" s="49">
        <v>46487</v>
      </c>
      <c r="KF33" s="49">
        <v>46488</v>
      </c>
      <c r="KG33" s="49">
        <v>46489</v>
      </c>
      <c r="KH33" s="49">
        <v>46490</v>
      </c>
      <c r="KI33" s="49">
        <v>46491</v>
      </c>
      <c r="KJ33" s="49">
        <v>46492</v>
      </c>
      <c r="KK33" s="49">
        <v>46493</v>
      </c>
      <c r="KL33" s="49">
        <v>46494</v>
      </c>
      <c r="KM33" s="49">
        <v>46495</v>
      </c>
      <c r="KN33" s="49">
        <v>46496</v>
      </c>
      <c r="KO33" s="49">
        <v>46497</v>
      </c>
      <c r="KP33" s="49">
        <v>46498</v>
      </c>
      <c r="KQ33" s="49">
        <v>46499</v>
      </c>
      <c r="KR33" s="49">
        <v>46500</v>
      </c>
      <c r="KS33" s="49">
        <v>46501</v>
      </c>
      <c r="KT33" s="49">
        <v>46502</v>
      </c>
      <c r="KU33" s="49">
        <v>46503</v>
      </c>
      <c r="KV33" s="49">
        <v>46504</v>
      </c>
      <c r="KW33" s="49">
        <v>46505</v>
      </c>
      <c r="KX33" s="49">
        <v>46506</v>
      </c>
      <c r="KY33" s="49">
        <v>46507</v>
      </c>
      <c r="KZ33" s="49">
        <v>46508</v>
      </c>
      <c r="LA33" s="49">
        <v>46509</v>
      </c>
      <c r="LB33" s="49">
        <v>46510</v>
      </c>
      <c r="LC33" s="49">
        <v>46511</v>
      </c>
      <c r="LD33" s="49">
        <v>46512</v>
      </c>
      <c r="LE33" s="49">
        <v>46513</v>
      </c>
      <c r="LF33" s="49">
        <v>46514</v>
      </c>
      <c r="LG33" s="49">
        <v>46515</v>
      </c>
      <c r="LH33" s="49">
        <v>46516</v>
      </c>
      <c r="LI33" s="49">
        <v>46517</v>
      </c>
      <c r="LJ33" s="49">
        <v>46518</v>
      </c>
      <c r="LK33" s="49">
        <v>46519</v>
      </c>
      <c r="LL33" s="49">
        <v>46520</v>
      </c>
      <c r="LM33" s="49">
        <v>46521</v>
      </c>
      <c r="LN33" s="49">
        <v>46522</v>
      </c>
      <c r="LO33" s="49">
        <v>46523</v>
      </c>
      <c r="LP33" s="49">
        <v>46524</v>
      </c>
      <c r="LQ33" s="49">
        <v>46525</v>
      </c>
      <c r="LR33" s="49">
        <v>46526</v>
      </c>
      <c r="LS33" s="49">
        <v>46527</v>
      </c>
      <c r="LT33" s="49">
        <v>46528</v>
      </c>
      <c r="LU33" s="49">
        <v>46529</v>
      </c>
      <c r="LV33" s="49">
        <v>46530</v>
      </c>
      <c r="LW33" s="49">
        <v>46531</v>
      </c>
      <c r="LX33" s="49">
        <v>46532</v>
      </c>
      <c r="LY33" s="49">
        <v>46533</v>
      </c>
      <c r="LZ33" s="49">
        <v>46534</v>
      </c>
      <c r="MA33" s="49">
        <v>46535</v>
      </c>
      <c r="MB33" s="49">
        <v>46536</v>
      </c>
      <c r="MC33" s="49">
        <v>46537</v>
      </c>
      <c r="MD33" s="49">
        <v>46538</v>
      </c>
      <c r="ME33" s="49">
        <v>46539</v>
      </c>
      <c r="MF33" s="49">
        <v>46540</v>
      </c>
      <c r="MG33" s="49">
        <v>46541</v>
      </c>
      <c r="MH33" s="49">
        <v>46542</v>
      </c>
      <c r="MI33" s="49">
        <v>46543</v>
      </c>
      <c r="MJ33" s="49">
        <v>46544</v>
      </c>
      <c r="MK33" s="49">
        <v>46545</v>
      </c>
      <c r="ML33" s="49">
        <v>46546</v>
      </c>
      <c r="MM33" s="49">
        <v>46547</v>
      </c>
      <c r="MN33" s="49">
        <v>46548</v>
      </c>
      <c r="MO33" s="49">
        <v>46549</v>
      </c>
      <c r="MP33" s="49">
        <v>46550</v>
      </c>
      <c r="MQ33" s="49">
        <v>46551</v>
      </c>
      <c r="MR33" s="49">
        <v>46552</v>
      </c>
      <c r="MS33" s="49">
        <v>46553</v>
      </c>
      <c r="MT33" s="49">
        <v>46554</v>
      </c>
      <c r="MU33" s="49">
        <v>46555</v>
      </c>
      <c r="MV33" s="49">
        <v>46556</v>
      </c>
      <c r="MW33" s="49">
        <v>46557</v>
      </c>
      <c r="MX33" s="49">
        <v>46558</v>
      </c>
      <c r="MY33" s="49">
        <v>46559</v>
      </c>
      <c r="MZ33" s="49">
        <v>46560</v>
      </c>
      <c r="NA33" s="49">
        <v>46561</v>
      </c>
      <c r="NB33" s="49">
        <v>46562</v>
      </c>
      <c r="NC33" s="49">
        <v>46563</v>
      </c>
      <c r="ND33" s="49">
        <v>46564</v>
      </c>
      <c r="NE33" s="49">
        <v>46565</v>
      </c>
      <c r="NF33" s="49">
        <v>46566</v>
      </c>
      <c r="NG33" s="49">
        <v>46567</v>
      </c>
      <c r="NH33" s="49">
        <v>46568</v>
      </c>
    </row>
    <row r="34" spans="1:372" x14ac:dyDescent="0.25">
      <c r="A34" s="31" t="s">
        <v>103</v>
      </c>
      <c r="B34" s="30">
        <v>6000</v>
      </c>
      <c r="C34" s="32" t="s">
        <v>101</v>
      </c>
      <c r="D34" s="33">
        <v>46204</v>
      </c>
      <c r="E34" s="33"/>
      <c r="G34" cm="1">
        <f t="array" ref="G34:G39">oz.SumRowsλ(_xlfn.ANCHORARRAY(H34))</f>
        <v>162000</v>
      </c>
      <c r="H34" s="35" cm="1">
        <f t="array" ref="H34:NH39">oz.IsOccurrenceDateλ(_xlfn.ANCHORARRAY( H33), tblBudget[First Date], tblBudget[Last Date], tblBudget[Schedule]) * tblBudget[Amount]</f>
        <v>6000</v>
      </c>
      <c r="I34">
        <v>0</v>
      </c>
      <c r="J34">
        <v>0</v>
      </c>
      <c r="K34">
        <v>0</v>
      </c>
      <c r="L34">
        <v>0</v>
      </c>
      <c r="M34">
        <v>0</v>
      </c>
      <c r="N34">
        <v>0</v>
      </c>
      <c r="O34">
        <v>0</v>
      </c>
      <c r="P34">
        <v>0</v>
      </c>
      <c r="Q34">
        <v>0</v>
      </c>
      <c r="R34">
        <v>0</v>
      </c>
      <c r="S34">
        <v>0</v>
      </c>
      <c r="T34">
        <v>0</v>
      </c>
      <c r="U34">
        <v>0</v>
      </c>
      <c r="V34">
        <v>6000</v>
      </c>
      <c r="W34">
        <v>0</v>
      </c>
      <c r="X34">
        <v>0</v>
      </c>
      <c r="Y34">
        <v>0</v>
      </c>
      <c r="Z34">
        <v>0</v>
      </c>
      <c r="AA34">
        <v>0</v>
      </c>
      <c r="AB34">
        <v>0</v>
      </c>
      <c r="AC34">
        <v>0</v>
      </c>
      <c r="AD34">
        <v>0</v>
      </c>
      <c r="AE34">
        <v>0</v>
      </c>
      <c r="AF34">
        <v>0</v>
      </c>
      <c r="AG34">
        <v>0</v>
      </c>
      <c r="AH34">
        <v>0</v>
      </c>
      <c r="AI34">
        <v>0</v>
      </c>
      <c r="AJ34">
        <v>6000</v>
      </c>
      <c r="AK34">
        <v>0</v>
      </c>
      <c r="AL34">
        <v>0</v>
      </c>
      <c r="AM34">
        <v>0</v>
      </c>
      <c r="AN34">
        <v>0</v>
      </c>
      <c r="AO34">
        <v>0</v>
      </c>
      <c r="AP34">
        <v>0</v>
      </c>
      <c r="AQ34">
        <v>0</v>
      </c>
      <c r="AR34">
        <v>0</v>
      </c>
      <c r="AS34">
        <v>0</v>
      </c>
      <c r="AT34">
        <v>0</v>
      </c>
      <c r="AU34">
        <v>0</v>
      </c>
      <c r="AV34">
        <v>0</v>
      </c>
      <c r="AW34">
        <v>0</v>
      </c>
      <c r="AX34">
        <v>6000</v>
      </c>
      <c r="AY34">
        <v>0</v>
      </c>
      <c r="AZ34">
        <v>0</v>
      </c>
      <c r="BA34">
        <v>0</v>
      </c>
      <c r="BB34">
        <v>0</v>
      </c>
      <c r="BC34">
        <v>0</v>
      </c>
      <c r="BD34">
        <v>0</v>
      </c>
      <c r="BE34">
        <v>0</v>
      </c>
      <c r="BF34">
        <v>0</v>
      </c>
      <c r="BG34">
        <v>0</v>
      </c>
      <c r="BH34">
        <v>0</v>
      </c>
      <c r="BI34">
        <v>0</v>
      </c>
      <c r="BJ34">
        <v>0</v>
      </c>
      <c r="BK34">
        <v>0</v>
      </c>
      <c r="BL34">
        <v>6000</v>
      </c>
      <c r="BM34">
        <v>0</v>
      </c>
      <c r="BN34">
        <v>0</v>
      </c>
      <c r="BO34">
        <v>0</v>
      </c>
      <c r="BP34">
        <v>0</v>
      </c>
      <c r="BQ34">
        <v>0</v>
      </c>
      <c r="BR34">
        <v>0</v>
      </c>
      <c r="BS34">
        <v>0</v>
      </c>
      <c r="BT34">
        <v>0</v>
      </c>
      <c r="BU34">
        <v>0</v>
      </c>
      <c r="BV34">
        <v>0</v>
      </c>
      <c r="BW34">
        <v>0</v>
      </c>
      <c r="BX34">
        <v>0</v>
      </c>
      <c r="BY34">
        <v>0</v>
      </c>
      <c r="BZ34">
        <v>6000</v>
      </c>
      <c r="CA34">
        <v>0</v>
      </c>
      <c r="CB34">
        <v>0</v>
      </c>
      <c r="CC34">
        <v>0</v>
      </c>
      <c r="CD34">
        <v>0</v>
      </c>
      <c r="CE34">
        <v>0</v>
      </c>
      <c r="CF34">
        <v>0</v>
      </c>
      <c r="CG34">
        <v>0</v>
      </c>
      <c r="CH34">
        <v>0</v>
      </c>
      <c r="CI34">
        <v>0</v>
      </c>
      <c r="CJ34">
        <v>0</v>
      </c>
      <c r="CK34">
        <v>0</v>
      </c>
      <c r="CL34">
        <v>0</v>
      </c>
      <c r="CM34">
        <v>0</v>
      </c>
      <c r="CN34">
        <v>6000</v>
      </c>
      <c r="CO34">
        <v>0</v>
      </c>
      <c r="CP34">
        <v>0</v>
      </c>
      <c r="CQ34">
        <v>0</v>
      </c>
      <c r="CR34">
        <v>0</v>
      </c>
      <c r="CS34">
        <v>0</v>
      </c>
      <c r="CT34">
        <v>0</v>
      </c>
      <c r="CU34">
        <v>0</v>
      </c>
      <c r="CV34">
        <v>0</v>
      </c>
      <c r="CW34">
        <v>0</v>
      </c>
      <c r="CX34">
        <v>0</v>
      </c>
      <c r="CY34">
        <v>0</v>
      </c>
      <c r="CZ34">
        <v>0</v>
      </c>
      <c r="DA34">
        <v>0</v>
      </c>
      <c r="DB34">
        <v>6000</v>
      </c>
      <c r="DC34">
        <v>0</v>
      </c>
      <c r="DD34">
        <v>0</v>
      </c>
      <c r="DE34">
        <v>0</v>
      </c>
      <c r="DF34">
        <v>0</v>
      </c>
      <c r="DG34">
        <v>0</v>
      </c>
      <c r="DH34">
        <v>0</v>
      </c>
      <c r="DI34">
        <v>0</v>
      </c>
      <c r="DJ34">
        <v>0</v>
      </c>
      <c r="DK34">
        <v>0</v>
      </c>
      <c r="DL34">
        <v>0</v>
      </c>
      <c r="DM34">
        <v>0</v>
      </c>
      <c r="DN34">
        <v>0</v>
      </c>
      <c r="DO34">
        <v>0</v>
      </c>
      <c r="DP34">
        <v>6000</v>
      </c>
      <c r="DQ34">
        <v>0</v>
      </c>
      <c r="DR34">
        <v>0</v>
      </c>
      <c r="DS34">
        <v>0</v>
      </c>
      <c r="DT34">
        <v>0</v>
      </c>
      <c r="DU34">
        <v>0</v>
      </c>
      <c r="DV34">
        <v>0</v>
      </c>
      <c r="DW34">
        <v>0</v>
      </c>
      <c r="DX34">
        <v>0</v>
      </c>
      <c r="DY34">
        <v>0</v>
      </c>
      <c r="DZ34">
        <v>0</v>
      </c>
      <c r="EA34">
        <v>0</v>
      </c>
      <c r="EB34">
        <v>0</v>
      </c>
      <c r="EC34">
        <v>0</v>
      </c>
      <c r="ED34">
        <v>6000</v>
      </c>
      <c r="EE34">
        <v>0</v>
      </c>
      <c r="EF34">
        <v>0</v>
      </c>
      <c r="EG34">
        <v>0</v>
      </c>
      <c r="EH34">
        <v>0</v>
      </c>
      <c r="EI34">
        <v>0</v>
      </c>
      <c r="EJ34">
        <v>0</v>
      </c>
      <c r="EK34">
        <v>0</v>
      </c>
      <c r="EL34">
        <v>0</v>
      </c>
      <c r="EM34">
        <v>0</v>
      </c>
      <c r="EN34">
        <v>0</v>
      </c>
      <c r="EO34">
        <v>0</v>
      </c>
      <c r="EP34">
        <v>0</v>
      </c>
      <c r="EQ34">
        <v>0</v>
      </c>
      <c r="ER34">
        <v>6000</v>
      </c>
      <c r="ES34">
        <v>0</v>
      </c>
      <c r="ET34">
        <v>0</v>
      </c>
      <c r="EU34">
        <v>0</v>
      </c>
      <c r="EV34">
        <v>0</v>
      </c>
      <c r="EW34">
        <v>0</v>
      </c>
      <c r="EX34">
        <v>0</v>
      </c>
      <c r="EY34">
        <v>0</v>
      </c>
      <c r="EZ34">
        <v>0</v>
      </c>
      <c r="FA34">
        <v>0</v>
      </c>
      <c r="FB34">
        <v>0</v>
      </c>
      <c r="FC34">
        <v>0</v>
      </c>
      <c r="FD34">
        <v>0</v>
      </c>
      <c r="FE34">
        <v>0</v>
      </c>
      <c r="FF34">
        <v>6000</v>
      </c>
      <c r="FG34">
        <v>0</v>
      </c>
      <c r="FH34">
        <v>0</v>
      </c>
      <c r="FI34">
        <v>0</v>
      </c>
      <c r="FJ34">
        <v>0</v>
      </c>
      <c r="FK34">
        <v>0</v>
      </c>
      <c r="FL34">
        <v>0</v>
      </c>
      <c r="FM34">
        <v>0</v>
      </c>
      <c r="FN34">
        <v>0</v>
      </c>
      <c r="FO34">
        <v>0</v>
      </c>
      <c r="FP34">
        <v>0</v>
      </c>
      <c r="FQ34">
        <v>0</v>
      </c>
      <c r="FR34">
        <v>0</v>
      </c>
      <c r="FS34">
        <v>0</v>
      </c>
      <c r="FT34">
        <v>6000</v>
      </c>
      <c r="FU34">
        <v>0</v>
      </c>
      <c r="FV34">
        <v>0</v>
      </c>
      <c r="FW34">
        <v>0</v>
      </c>
      <c r="FX34">
        <v>0</v>
      </c>
      <c r="FY34">
        <v>0</v>
      </c>
      <c r="FZ34">
        <v>0</v>
      </c>
      <c r="GA34">
        <v>0</v>
      </c>
      <c r="GB34">
        <v>0</v>
      </c>
      <c r="GC34">
        <v>0</v>
      </c>
      <c r="GD34">
        <v>0</v>
      </c>
      <c r="GE34">
        <v>0</v>
      </c>
      <c r="GF34">
        <v>0</v>
      </c>
      <c r="GG34">
        <v>0</v>
      </c>
      <c r="GH34">
        <v>6000</v>
      </c>
      <c r="GI34">
        <v>0</v>
      </c>
      <c r="GJ34">
        <v>0</v>
      </c>
      <c r="GK34">
        <v>0</v>
      </c>
      <c r="GL34">
        <v>0</v>
      </c>
      <c r="GM34">
        <v>0</v>
      </c>
      <c r="GN34">
        <v>0</v>
      </c>
      <c r="GO34">
        <v>0</v>
      </c>
      <c r="GP34">
        <v>0</v>
      </c>
      <c r="GQ34">
        <v>0</v>
      </c>
      <c r="GR34">
        <v>0</v>
      </c>
      <c r="GS34">
        <v>0</v>
      </c>
      <c r="GT34">
        <v>0</v>
      </c>
      <c r="GU34">
        <v>0</v>
      </c>
      <c r="GV34">
        <v>6000</v>
      </c>
      <c r="GW34">
        <v>0</v>
      </c>
      <c r="GX34">
        <v>0</v>
      </c>
      <c r="GY34">
        <v>0</v>
      </c>
      <c r="GZ34">
        <v>0</v>
      </c>
      <c r="HA34">
        <v>0</v>
      </c>
      <c r="HB34">
        <v>0</v>
      </c>
      <c r="HC34">
        <v>0</v>
      </c>
      <c r="HD34">
        <v>0</v>
      </c>
      <c r="HE34">
        <v>0</v>
      </c>
      <c r="HF34">
        <v>0</v>
      </c>
      <c r="HG34">
        <v>0</v>
      </c>
      <c r="HH34">
        <v>0</v>
      </c>
      <c r="HI34">
        <v>0</v>
      </c>
      <c r="HJ34">
        <v>6000</v>
      </c>
      <c r="HK34">
        <v>0</v>
      </c>
      <c r="HL34">
        <v>0</v>
      </c>
      <c r="HM34">
        <v>0</v>
      </c>
      <c r="HN34">
        <v>0</v>
      </c>
      <c r="HO34">
        <v>0</v>
      </c>
      <c r="HP34">
        <v>0</v>
      </c>
      <c r="HQ34">
        <v>0</v>
      </c>
      <c r="HR34">
        <v>0</v>
      </c>
      <c r="HS34">
        <v>0</v>
      </c>
      <c r="HT34">
        <v>0</v>
      </c>
      <c r="HU34">
        <v>0</v>
      </c>
      <c r="HV34">
        <v>0</v>
      </c>
      <c r="HW34">
        <v>0</v>
      </c>
      <c r="HX34">
        <v>6000</v>
      </c>
      <c r="HY34">
        <v>0</v>
      </c>
      <c r="HZ34">
        <v>0</v>
      </c>
      <c r="IA34">
        <v>0</v>
      </c>
      <c r="IB34">
        <v>0</v>
      </c>
      <c r="IC34">
        <v>0</v>
      </c>
      <c r="ID34">
        <v>0</v>
      </c>
      <c r="IE34">
        <v>0</v>
      </c>
      <c r="IF34">
        <v>0</v>
      </c>
      <c r="IG34">
        <v>0</v>
      </c>
      <c r="IH34">
        <v>0</v>
      </c>
      <c r="II34">
        <v>0</v>
      </c>
      <c r="IJ34">
        <v>0</v>
      </c>
      <c r="IK34">
        <v>0</v>
      </c>
      <c r="IL34">
        <v>6000</v>
      </c>
      <c r="IM34">
        <v>0</v>
      </c>
      <c r="IN34">
        <v>0</v>
      </c>
      <c r="IO34">
        <v>0</v>
      </c>
      <c r="IP34">
        <v>0</v>
      </c>
      <c r="IQ34">
        <v>0</v>
      </c>
      <c r="IR34">
        <v>0</v>
      </c>
      <c r="IS34">
        <v>0</v>
      </c>
      <c r="IT34">
        <v>0</v>
      </c>
      <c r="IU34">
        <v>0</v>
      </c>
      <c r="IV34">
        <v>0</v>
      </c>
      <c r="IW34">
        <v>0</v>
      </c>
      <c r="IX34">
        <v>0</v>
      </c>
      <c r="IY34">
        <v>0</v>
      </c>
      <c r="IZ34">
        <v>6000</v>
      </c>
      <c r="JA34">
        <v>0</v>
      </c>
      <c r="JB34">
        <v>0</v>
      </c>
      <c r="JC34">
        <v>0</v>
      </c>
      <c r="JD34">
        <v>0</v>
      </c>
      <c r="JE34">
        <v>0</v>
      </c>
      <c r="JF34">
        <v>0</v>
      </c>
      <c r="JG34">
        <v>0</v>
      </c>
      <c r="JH34">
        <v>0</v>
      </c>
      <c r="JI34">
        <v>0</v>
      </c>
      <c r="JJ34">
        <v>0</v>
      </c>
      <c r="JK34">
        <v>0</v>
      </c>
      <c r="JL34">
        <v>0</v>
      </c>
      <c r="JM34">
        <v>0</v>
      </c>
      <c r="JN34">
        <v>6000</v>
      </c>
      <c r="JO34">
        <v>0</v>
      </c>
      <c r="JP34">
        <v>0</v>
      </c>
      <c r="JQ34">
        <v>0</v>
      </c>
      <c r="JR34">
        <v>0</v>
      </c>
      <c r="JS34">
        <v>0</v>
      </c>
      <c r="JT34">
        <v>0</v>
      </c>
      <c r="JU34">
        <v>0</v>
      </c>
      <c r="JV34">
        <v>0</v>
      </c>
      <c r="JW34">
        <v>0</v>
      </c>
      <c r="JX34">
        <v>0</v>
      </c>
      <c r="JY34">
        <v>0</v>
      </c>
      <c r="JZ34">
        <v>0</v>
      </c>
      <c r="KA34">
        <v>0</v>
      </c>
      <c r="KB34">
        <v>6000</v>
      </c>
      <c r="KC34">
        <v>0</v>
      </c>
      <c r="KD34">
        <v>0</v>
      </c>
      <c r="KE34">
        <v>0</v>
      </c>
      <c r="KF34">
        <v>0</v>
      </c>
      <c r="KG34">
        <v>0</v>
      </c>
      <c r="KH34">
        <v>0</v>
      </c>
      <c r="KI34">
        <v>0</v>
      </c>
      <c r="KJ34">
        <v>0</v>
      </c>
      <c r="KK34">
        <v>0</v>
      </c>
      <c r="KL34">
        <v>0</v>
      </c>
      <c r="KM34">
        <v>0</v>
      </c>
      <c r="KN34">
        <v>0</v>
      </c>
      <c r="KO34">
        <v>0</v>
      </c>
      <c r="KP34">
        <v>6000</v>
      </c>
      <c r="KQ34">
        <v>0</v>
      </c>
      <c r="KR34">
        <v>0</v>
      </c>
      <c r="KS34">
        <v>0</v>
      </c>
      <c r="KT34">
        <v>0</v>
      </c>
      <c r="KU34">
        <v>0</v>
      </c>
      <c r="KV34">
        <v>0</v>
      </c>
      <c r="KW34">
        <v>0</v>
      </c>
      <c r="KX34">
        <v>0</v>
      </c>
      <c r="KY34">
        <v>0</v>
      </c>
      <c r="KZ34">
        <v>0</v>
      </c>
      <c r="LA34">
        <v>0</v>
      </c>
      <c r="LB34">
        <v>0</v>
      </c>
      <c r="LC34">
        <v>0</v>
      </c>
      <c r="LD34">
        <v>6000</v>
      </c>
      <c r="LE34">
        <v>0</v>
      </c>
      <c r="LF34">
        <v>0</v>
      </c>
      <c r="LG34">
        <v>0</v>
      </c>
      <c r="LH34">
        <v>0</v>
      </c>
      <c r="LI34">
        <v>0</v>
      </c>
      <c r="LJ34">
        <v>0</v>
      </c>
      <c r="LK34">
        <v>0</v>
      </c>
      <c r="LL34">
        <v>0</v>
      </c>
      <c r="LM34">
        <v>0</v>
      </c>
      <c r="LN34">
        <v>0</v>
      </c>
      <c r="LO34">
        <v>0</v>
      </c>
      <c r="LP34">
        <v>0</v>
      </c>
      <c r="LQ34">
        <v>0</v>
      </c>
      <c r="LR34">
        <v>6000</v>
      </c>
      <c r="LS34">
        <v>0</v>
      </c>
      <c r="LT34">
        <v>0</v>
      </c>
      <c r="LU34">
        <v>0</v>
      </c>
      <c r="LV34">
        <v>0</v>
      </c>
      <c r="LW34">
        <v>0</v>
      </c>
      <c r="LX34">
        <v>0</v>
      </c>
      <c r="LY34">
        <v>0</v>
      </c>
      <c r="LZ34">
        <v>0</v>
      </c>
      <c r="MA34">
        <v>0</v>
      </c>
      <c r="MB34">
        <v>0</v>
      </c>
      <c r="MC34">
        <v>0</v>
      </c>
      <c r="MD34">
        <v>0</v>
      </c>
      <c r="ME34">
        <v>0</v>
      </c>
      <c r="MF34">
        <v>6000</v>
      </c>
      <c r="MG34">
        <v>0</v>
      </c>
      <c r="MH34">
        <v>0</v>
      </c>
      <c r="MI34">
        <v>0</v>
      </c>
      <c r="MJ34">
        <v>0</v>
      </c>
      <c r="MK34">
        <v>0</v>
      </c>
      <c r="ML34">
        <v>0</v>
      </c>
      <c r="MM34">
        <v>0</v>
      </c>
      <c r="MN34">
        <v>0</v>
      </c>
      <c r="MO34">
        <v>0</v>
      </c>
      <c r="MP34">
        <v>0</v>
      </c>
      <c r="MQ34">
        <v>0</v>
      </c>
      <c r="MR34">
        <v>0</v>
      </c>
      <c r="MS34">
        <v>0</v>
      </c>
      <c r="MT34">
        <v>6000</v>
      </c>
      <c r="MU34">
        <v>0</v>
      </c>
      <c r="MV34">
        <v>0</v>
      </c>
      <c r="MW34">
        <v>0</v>
      </c>
      <c r="MX34">
        <v>0</v>
      </c>
      <c r="MY34">
        <v>0</v>
      </c>
      <c r="MZ34">
        <v>0</v>
      </c>
      <c r="NA34">
        <v>0</v>
      </c>
      <c r="NB34">
        <v>0</v>
      </c>
      <c r="NC34">
        <v>0</v>
      </c>
      <c r="ND34">
        <v>0</v>
      </c>
      <c r="NE34">
        <v>0</v>
      </c>
      <c r="NF34">
        <v>0</v>
      </c>
      <c r="NG34">
        <v>0</v>
      </c>
      <c r="NH34">
        <v>6000</v>
      </c>
    </row>
    <row r="35" spans="1:372" x14ac:dyDescent="0.25">
      <c r="A35" s="31" t="s">
        <v>104</v>
      </c>
      <c r="B35" s="30">
        <v>-4500</v>
      </c>
      <c r="C35" s="32" t="s">
        <v>20</v>
      </c>
      <c r="D35" s="33">
        <v>46208</v>
      </c>
      <c r="E35" s="33">
        <v>48760</v>
      </c>
      <c r="G35">
        <v>-54000</v>
      </c>
      <c r="H35">
        <v>0</v>
      </c>
      <c r="I35">
        <v>0</v>
      </c>
      <c r="J35">
        <v>0</v>
      </c>
      <c r="K35">
        <v>0</v>
      </c>
      <c r="L35">
        <v>-4500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-4500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-4500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-4500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-4500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-4500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-4500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-4500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-4500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-4500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-4500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-4500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row>
    <row r="36" spans="1:372" x14ac:dyDescent="0.25">
      <c r="A36" s="31" t="s">
        <v>105</v>
      </c>
      <c r="B36" s="30">
        <v>-2000</v>
      </c>
      <c r="C36" s="32" t="s">
        <v>106</v>
      </c>
      <c r="D36" s="33">
        <v>46204</v>
      </c>
      <c r="E36" s="33"/>
      <c r="G36">
        <v>-4000</v>
      </c>
      <c r="H36">
        <v>-2000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-2000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row>
    <row r="37" spans="1:372" x14ac:dyDescent="0.25">
      <c r="A37" s="31" t="s">
        <v>110</v>
      </c>
      <c r="B37" s="30">
        <v>-500</v>
      </c>
      <c r="C37" s="32" t="s">
        <v>109</v>
      </c>
      <c r="D37" s="33">
        <v>46213</v>
      </c>
      <c r="E37" s="33"/>
      <c r="G37">
        <v>-2000</v>
      </c>
      <c r="H37">
        <v>0</v>
      </c>
      <c r="I37">
        <v>0</v>
      </c>
      <c r="J37">
        <v>0</v>
      </c>
      <c r="K37">
        <v>0</v>
      </c>
      <c r="L37">
        <v>0</v>
      </c>
      <c r="M37">
        <v>0</v>
      </c>
      <c r="N37">
        <v>0</v>
      </c>
      <c r="O37">
        <v>0</v>
      </c>
      <c r="P37">
        <v>0</v>
      </c>
      <c r="Q37">
        <v>-500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-500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-500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-500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row>
    <row r="38" spans="1:372" x14ac:dyDescent="0.25">
      <c r="A38" s="31" t="s">
        <v>108</v>
      </c>
      <c r="B38" s="30">
        <v>-75</v>
      </c>
      <c r="C38" s="32" t="s">
        <v>107</v>
      </c>
      <c r="D38" s="33">
        <v>46206</v>
      </c>
      <c r="E38" s="33"/>
      <c r="G38">
        <v>-3900</v>
      </c>
      <c r="H38">
        <v>0</v>
      </c>
      <c r="I38">
        <v>0</v>
      </c>
      <c r="J38">
        <v>-75</v>
      </c>
      <c r="K38">
        <v>0</v>
      </c>
      <c r="L38">
        <v>0</v>
      </c>
      <c r="M38">
        <v>0</v>
      </c>
      <c r="N38">
        <v>0</v>
      </c>
      <c r="O38">
        <v>0</v>
      </c>
      <c r="P38">
        <v>0</v>
      </c>
      <c r="Q38">
        <v>-75</v>
      </c>
      <c r="R38">
        <v>0</v>
      </c>
      <c r="S38">
        <v>0</v>
      </c>
      <c r="T38">
        <v>0</v>
      </c>
      <c r="U38">
        <v>0</v>
      </c>
      <c r="V38">
        <v>0</v>
      </c>
      <c r="W38">
        <v>0</v>
      </c>
      <c r="X38">
        <v>-75</v>
      </c>
      <c r="Y38">
        <v>0</v>
      </c>
      <c r="Z38">
        <v>0</v>
      </c>
      <c r="AA38">
        <v>0</v>
      </c>
      <c r="AB38">
        <v>0</v>
      </c>
      <c r="AC38">
        <v>0</v>
      </c>
      <c r="AD38">
        <v>0</v>
      </c>
      <c r="AE38">
        <v>-75</v>
      </c>
      <c r="AF38">
        <v>0</v>
      </c>
      <c r="AG38">
        <v>0</v>
      </c>
      <c r="AH38">
        <v>0</v>
      </c>
      <c r="AI38">
        <v>0</v>
      </c>
      <c r="AJ38">
        <v>0</v>
      </c>
      <c r="AK38">
        <v>0</v>
      </c>
      <c r="AL38">
        <v>-75</v>
      </c>
      <c r="AM38">
        <v>0</v>
      </c>
      <c r="AN38">
        <v>0</v>
      </c>
      <c r="AO38">
        <v>0</v>
      </c>
      <c r="AP38">
        <v>0</v>
      </c>
      <c r="AQ38">
        <v>0</v>
      </c>
      <c r="AR38">
        <v>0</v>
      </c>
      <c r="AS38">
        <v>-75</v>
      </c>
      <c r="AT38">
        <v>0</v>
      </c>
      <c r="AU38">
        <v>0</v>
      </c>
      <c r="AV38">
        <v>0</v>
      </c>
      <c r="AW38">
        <v>0</v>
      </c>
      <c r="AX38">
        <v>0</v>
      </c>
      <c r="AY38">
        <v>0</v>
      </c>
      <c r="AZ38">
        <v>-75</v>
      </c>
      <c r="BA38">
        <v>0</v>
      </c>
      <c r="BB38">
        <v>0</v>
      </c>
      <c r="BC38">
        <v>0</v>
      </c>
      <c r="BD38">
        <v>0</v>
      </c>
      <c r="BE38">
        <v>0</v>
      </c>
      <c r="BF38">
        <v>0</v>
      </c>
      <c r="BG38">
        <v>-75</v>
      </c>
      <c r="BH38">
        <v>0</v>
      </c>
      <c r="BI38">
        <v>0</v>
      </c>
      <c r="BJ38">
        <v>0</v>
      </c>
      <c r="BK38">
        <v>0</v>
      </c>
      <c r="BL38">
        <v>0</v>
      </c>
      <c r="BM38">
        <v>0</v>
      </c>
      <c r="BN38">
        <v>-75</v>
      </c>
      <c r="BO38">
        <v>0</v>
      </c>
      <c r="BP38">
        <v>0</v>
      </c>
      <c r="BQ38">
        <v>0</v>
      </c>
      <c r="BR38">
        <v>0</v>
      </c>
      <c r="BS38">
        <v>0</v>
      </c>
      <c r="BT38">
        <v>0</v>
      </c>
      <c r="BU38">
        <v>-75</v>
      </c>
      <c r="BV38">
        <v>0</v>
      </c>
      <c r="BW38">
        <v>0</v>
      </c>
      <c r="BX38">
        <v>0</v>
      </c>
      <c r="BY38">
        <v>0</v>
      </c>
      <c r="BZ38">
        <v>0</v>
      </c>
      <c r="CA38">
        <v>0</v>
      </c>
      <c r="CB38">
        <v>-75</v>
      </c>
      <c r="CC38">
        <v>0</v>
      </c>
      <c r="CD38">
        <v>0</v>
      </c>
      <c r="CE38">
        <v>0</v>
      </c>
      <c r="CF38">
        <v>0</v>
      </c>
      <c r="CG38">
        <v>0</v>
      </c>
      <c r="CH38">
        <v>0</v>
      </c>
      <c r="CI38">
        <v>-75</v>
      </c>
      <c r="CJ38">
        <v>0</v>
      </c>
      <c r="CK38">
        <v>0</v>
      </c>
      <c r="CL38">
        <v>0</v>
      </c>
      <c r="CM38">
        <v>0</v>
      </c>
      <c r="CN38">
        <v>0</v>
      </c>
      <c r="CO38">
        <v>0</v>
      </c>
      <c r="CP38">
        <v>-75</v>
      </c>
      <c r="CQ38">
        <v>0</v>
      </c>
      <c r="CR38">
        <v>0</v>
      </c>
      <c r="CS38">
        <v>0</v>
      </c>
      <c r="CT38">
        <v>0</v>
      </c>
      <c r="CU38">
        <v>0</v>
      </c>
      <c r="CV38">
        <v>0</v>
      </c>
      <c r="CW38">
        <v>-75</v>
      </c>
      <c r="CX38">
        <v>0</v>
      </c>
      <c r="CY38">
        <v>0</v>
      </c>
      <c r="CZ38">
        <v>0</v>
      </c>
      <c r="DA38">
        <v>0</v>
      </c>
      <c r="DB38">
        <v>0</v>
      </c>
      <c r="DC38">
        <v>0</v>
      </c>
      <c r="DD38">
        <v>-75</v>
      </c>
      <c r="DE38">
        <v>0</v>
      </c>
      <c r="DF38">
        <v>0</v>
      </c>
      <c r="DG38">
        <v>0</v>
      </c>
      <c r="DH38">
        <v>0</v>
      </c>
      <c r="DI38">
        <v>0</v>
      </c>
      <c r="DJ38">
        <v>0</v>
      </c>
      <c r="DK38">
        <v>-75</v>
      </c>
      <c r="DL38">
        <v>0</v>
      </c>
      <c r="DM38">
        <v>0</v>
      </c>
      <c r="DN38">
        <v>0</v>
      </c>
      <c r="DO38">
        <v>0</v>
      </c>
      <c r="DP38">
        <v>0</v>
      </c>
      <c r="DQ38">
        <v>0</v>
      </c>
      <c r="DR38">
        <v>-75</v>
      </c>
      <c r="DS38">
        <v>0</v>
      </c>
      <c r="DT38">
        <v>0</v>
      </c>
      <c r="DU38">
        <v>0</v>
      </c>
      <c r="DV38">
        <v>0</v>
      </c>
      <c r="DW38">
        <v>0</v>
      </c>
      <c r="DX38">
        <v>0</v>
      </c>
      <c r="DY38">
        <v>-75</v>
      </c>
      <c r="DZ38">
        <v>0</v>
      </c>
      <c r="EA38">
        <v>0</v>
      </c>
      <c r="EB38">
        <v>0</v>
      </c>
      <c r="EC38">
        <v>0</v>
      </c>
      <c r="ED38">
        <v>0</v>
      </c>
      <c r="EE38">
        <v>0</v>
      </c>
      <c r="EF38">
        <v>-75</v>
      </c>
      <c r="EG38">
        <v>0</v>
      </c>
      <c r="EH38">
        <v>0</v>
      </c>
      <c r="EI38">
        <v>0</v>
      </c>
      <c r="EJ38">
        <v>0</v>
      </c>
      <c r="EK38">
        <v>0</v>
      </c>
      <c r="EL38">
        <v>0</v>
      </c>
      <c r="EM38">
        <v>-75</v>
      </c>
      <c r="EN38">
        <v>0</v>
      </c>
      <c r="EO38">
        <v>0</v>
      </c>
      <c r="EP38">
        <v>0</v>
      </c>
      <c r="EQ38">
        <v>0</v>
      </c>
      <c r="ER38">
        <v>0</v>
      </c>
      <c r="ES38">
        <v>0</v>
      </c>
      <c r="ET38">
        <v>-75</v>
      </c>
      <c r="EU38">
        <v>0</v>
      </c>
      <c r="EV38">
        <v>0</v>
      </c>
      <c r="EW38">
        <v>0</v>
      </c>
      <c r="EX38">
        <v>0</v>
      </c>
      <c r="EY38">
        <v>0</v>
      </c>
      <c r="EZ38">
        <v>0</v>
      </c>
      <c r="FA38">
        <v>-75</v>
      </c>
      <c r="FB38">
        <v>0</v>
      </c>
      <c r="FC38">
        <v>0</v>
      </c>
      <c r="FD38">
        <v>0</v>
      </c>
      <c r="FE38">
        <v>0</v>
      </c>
      <c r="FF38">
        <v>0</v>
      </c>
      <c r="FG38">
        <v>0</v>
      </c>
      <c r="FH38">
        <v>-75</v>
      </c>
      <c r="FI38">
        <v>0</v>
      </c>
      <c r="FJ38">
        <v>0</v>
      </c>
      <c r="FK38">
        <v>0</v>
      </c>
      <c r="FL38">
        <v>0</v>
      </c>
      <c r="FM38">
        <v>0</v>
      </c>
      <c r="FN38">
        <v>0</v>
      </c>
      <c r="FO38">
        <v>-75</v>
      </c>
      <c r="FP38">
        <v>0</v>
      </c>
      <c r="FQ38">
        <v>0</v>
      </c>
      <c r="FR38">
        <v>0</v>
      </c>
      <c r="FS38">
        <v>0</v>
      </c>
      <c r="FT38">
        <v>0</v>
      </c>
      <c r="FU38">
        <v>0</v>
      </c>
      <c r="FV38">
        <v>-75</v>
      </c>
      <c r="FW38">
        <v>0</v>
      </c>
      <c r="FX38">
        <v>0</v>
      </c>
      <c r="FY38">
        <v>0</v>
      </c>
      <c r="FZ38">
        <v>0</v>
      </c>
      <c r="GA38">
        <v>0</v>
      </c>
      <c r="GB38">
        <v>0</v>
      </c>
      <c r="GC38">
        <v>-75</v>
      </c>
      <c r="GD38">
        <v>0</v>
      </c>
      <c r="GE38">
        <v>0</v>
      </c>
      <c r="GF38">
        <v>0</v>
      </c>
      <c r="GG38">
        <v>0</v>
      </c>
      <c r="GH38">
        <v>0</v>
      </c>
      <c r="GI38">
        <v>0</v>
      </c>
      <c r="GJ38">
        <v>-75</v>
      </c>
      <c r="GK38">
        <v>0</v>
      </c>
      <c r="GL38">
        <v>0</v>
      </c>
      <c r="GM38">
        <v>0</v>
      </c>
      <c r="GN38">
        <v>0</v>
      </c>
      <c r="GO38">
        <v>0</v>
      </c>
      <c r="GP38">
        <v>0</v>
      </c>
      <c r="GQ38">
        <v>-75</v>
      </c>
      <c r="GR38">
        <v>0</v>
      </c>
      <c r="GS38">
        <v>0</v>
      </c>
      <c r="GT38">
        <v>0</v>
      </c>
      <c r="GU38">
        <v>0</v>
      </c>
      <c r="GV38">
        <v>0</v>
      </c>
      <c r="GW38">
        <v>0</v>
      </c>
      <c r="GX38">
        <v>-75</v>
      </c>
      <c r="GY38">
        <v>0</v>
      </c>
      <c r="GZ38">
        <v>0</v>
      </c>
      <c r="HA38">
        <v>0</v>
      </c>
      <c r="HB38">
        <v>0</v>
      </c>
      <c r="HC38">
        <v>0</v>
      </c>
      <c r="HD38">
        <v>0</v>
      </c>
      <c r="HE38">
        <v>-75</v>
      </c>
      <c r="HF38">
        <v>0</v>
      </c>
      <c r="HG38">
        <v>0</v>
      </c>
      <c r="HH38">
        <v>0</v>
      </c>
      <c r="HI38">
        <v>0</v>
      </c>
      <c r="HJ38">
        <v>0</v>
      </c>
      <c r="HK38">
        <v>0</v>
      </c>
      <c r="HL38">
        <v>-75</v>
      </c>
      <c r="HM38">
        <v>0</v>
      </c>
      <c r="HN38">
        <v>0</v>
      </c>
      <c r="HO38">
        <v>0</v>
      </c>
      <c r="HP38">
        <v>0</v>
      </c>
      <c r="HQ38">
        <v>0</v>
      </c>
      <c r="HR38">
        <v>0</v>
      </c>
      <c r="HS38">
        <v>-75</v>
      </c>
      <c r="HT38">
        <v>0</v>
      </c>
      <c r="HU38">
        <v>0</v>
      </c>
      <c r="HV38">
        <v>0</v>
      </c>
      <c r="HW38">
        <v>0</v>
      </c>
      <c r="HX38">
        <v>0</v>
      </c>
      <c r="HY38">
        <v>0</v>
      </c>
      <c r="HZ38">
        <v>-75</v>
      </c>
      <c r="IA38">
        <v>0</v>
      </c>
      <c r="IB38">
        <v>0</v>
      </c>
      <c r="IC38">
        <v>0</v>
      </c>
      <c r="ID38">
        <v>0</v>
      </c>
      <c r="IE38">
        <v>0</v>
      </c>
      <c r="IF38">
        <v>0</v>
      </c>
      <c r="IG38">
        <v>-75</v>
      </c>
      <c r="IH38">
        <v>0</v>
      </c>
      <c r="II38">
        <v>0</v>
      </c>
      <c r="IJ38">
        <v>0</v>
      </c>
      <c r="IK38">
        <v>0</v>
      </c>
      <c r="IL38">
        <v>0</v>
      </c>
      <c r="IM38">
        <v>0</v>
      </c>
      <c r="IN38">
        <v>-75</v>
      </c>
      <c r="IO38">
        <v>0</v>
      </c>
      <c r="IP38">
        <v>0</v>
      </c>
      <c r="IQ38">
        <v>0</v>
      </c>
      <c r="IR38">
        <v>0</v>
      </c>
      <c r="IS38">
        <v>0</v>
      </c>
      <c r="IT38">
        <v>0</v>
      </c>
      <c r="IU38">
        <v>-75</v>
      </c>
      <c r="IV38">
        <v>0</v>
      </c>
      <c r="IW38">
        <v>0</v>
      </c>
      <c r="IX38">
        <v>0</v>
      </c>
      <c r="IY38">
        <v>0</v>
      </c>
      <c r="IZ38">
        <v>0</v>
      </c>
      <c r="JA38">
        <v>0</v>
      </c>
      <c r="JB38">
        <v>-75</v>
      </c>
      <c r="JC38">
        <v>0</v>
      </c>
      <c r="JD38">
        <v>0</v>
      </c>
      <c r="JE38">
        <v>0</v>
      </c>
      <c r="JF38">
        <v>0</v>
      </c>
      <c r="JG38">
        <v>0</v>
      </c>
      <c r="JH38">
        <v>0</v>
      </c>
      <c r="JI38">
        <v>-75</v>
      </c>
      <c r="JJ38">
        <v>0</v>
      </c>
      <c r="JK38">
        <v>0</v>
      </c>
      <c r="JL38">
        <v>0</v>
      </c>
      <c r="JM38">
        <v>0</v>
      </c>
      <c r="JN38">
        <v>0</v>
      </c>
      <c r="JO38">
        <v>0</v>
      </c>
      <c r="JP38">
        <v>-75</v>
      </c>
      <c r="JQ38">
        <v>0</v>
      </c>
      <c r="JR38">
        <v>0</v>
      </c>
      <c r="JS38">
        <v>0</v>
      </c>
      <c r="JT38">
        <v>0</v>
      </c>
      <c r="JU38">
        <v>0</v>
      </c>
      <c r="JV38">
        <v>0</v>
      </c>
      <c r="JW38">
        <v>-75</v>
      </c>
      <c r="JX38">
        <v>0</v>
      </c>
      <c r="JY38">
        <v>0</v>
      </c>
      <c r="JZ38">
        <v>0</v>
      </c>
      <c r="KA38">
        <v>0</v>
      </c>
      <c r="KB38">
        <v>0</v>
      </c>
      <c r="KC38">
        <v>0</v>
      </c>
      <c r="KD38">
        <v>-75</v>
      </c>
      <c r="KE38">
        <v>0</v>
      </c>
      <c r="KF38">
        <v>0</v>
      </c>
      <c r="KG38">
        <v>0</v>
      </c>
      <c r="KH38">
        <v>0</v>
      </c>
      <c r="KI38">
        <v>0</v>
      </c>
      <c r="KJ38">
        <v>0</v>
      </c>
      <c r="KK38">
        <v>-75</v>
      </c>
      <c r="KL38">
        <v>0</v>
      </c>
      <c r="KM38">
        <v>0</v>
      </c>
      <c r="KN38">
        <v>0</v>
      </c>
      <c r="KO38">
        <v>0</v>
      </c>
      <c r="KP38">
        <v>0</v>
      </c>
      <c r="KQ38">
        <v>0</v>
      </c>
      <c r="KR38">
        <v>-75</v>
      </c>
      <c r="KS38">
        <v>0</v>
      </c>
      <c r="KT38">
        <v>0</v>
      </c>
      <c r="KU38">
        <v>0</v>
      </c>
      <c r="KV38">
        <v>0</v>
      </c>
      <c r="KW38">
        <v>0</v>
      </c>
      <c r="KX38">
        <v>0</v>
      </c>
      <c r="KY38">
        <v>-75</v>
      </c>
      <c r="KZ38">
        <v>0</v>
      </c>
      <c r="LA38">
        <v>0</v>
      </c>
      <c r="LB38">
        <v>0</v>
      </c>
      <c r="LC38">
        <v>0</v>
      </c>
      <c r="LD38">
        <v>0</v>
      </c>
      <c r="LE38">
        <v>0</v>
      </c>
      <c r="LF38">
        <v>-75</v>
      </c>
      <c r="LG38">
        <v>0</v>
      </c>
      <c r="LH38">
        <v>0</v>
      </c>
      <c r="LI38">
        <v>0</v>
      </c>
      <c r="LJ38">
        <v>0</v>
      </c>
      <c r="LK38">
        <v>0</v>
      </c>
      <c r="LL38">
        <v>0</v>
      </c>
      <c r="LM38">
        <v>-75</v>
      </c>
      <c r="LN38">
        <v>0</v>
      </c>
      <c r="LO38">
        <v>0</v>
      </c>
      <c r="LP38">
        <v>0</v>
      </c>
      <c r="LQ38">
        <v>0</v>
      </c>
      <c r="LR38">
        <v>0</v>
      </c>
      <c r="LS38">
        <v>0</v>
      </c>
      <c r="LT38">
        <v>-75</v>
      </c>
      <c r="LU38">
        <v>0</v>
      </c>
      <c r="LV38">
        <v>0</v>
      </c>
      <c r="LW38">
        <v>0</v>
      </c>
      <c r="LX38">
        <v>0</v>
      </c>
      <c r="LY38">
        <v>0</v>
      </c>
      <c r="LZ38">
        <v>0</v>
      </c>
      <c r="MA38">
        <v>-75</v>
      </c>
      <c r="MB38">
        <v>0</v>
      </c>
      <c r="MC38">
        <v>0</v>
      </c>
      <c r="MD38">
        <v>0</v>
      </c>
      <c r="ME38">
        <v>0</v>
      </c>
      <c r="MF38">
        <v>0</v>
      </c>
      <c r="MG38">
        <v>0</v>
      </c>
      <c r="MH38">
        <v>-75</v>
      </c>
      <c r="MI38">
        <v>0</v>
      </c>
      <c r="MJ38">
        <v>0</v>
      </c>
      <c r="MK38">
        <v>0</v>
      </c>
      <c r="ML38">
        <v>0</v>
      </c>
      <c r="MM38">
        <v>0</v>
      </c>
      <c r="MN38">
        <v>0</v>
      </c>
      <c r="MO38">
        <v>-75</v>
      </c>
      <c r="MP38">
        <v>0</v>
      </c>
      <c r="MQ38">
        <v>0</v>
      </c>
      <c r="MR38">
        <v>0</v>
      </c>
      <c r="MS38">
        <v>0</v>
      </c>
      <c r="MT38">
        <v>0</v>
      </c>
      <c r="MU38">
        <v>0</v>
      </c>
      <c r="MV38">
        <v>-75</v>
      </c>
      <c r="MW38">
        <v>0</v>
      </c>
      <c r="MX38">
        <v>0</v>
      </c>
      <c r="MY38">
        <v>0</v>
      </c>
      <c r="MZ38">
        <v>0</v>
      </c>
      <c r="NA38">
        <v>0</v>
      </c>
      <c r="NB38">
        <v>0</v>
      </c>
      <c r="NC38">
        <v>-75</v>
      </c>
      <c r="ND38">
        <v>0</v>
      </c>
      <c r="NE38">
        <v>0</v>
      </c>
      <c r="NF38">
        <v>0</v>
      </c>
      <c r="NG38">
        <v>0</v>
      </c>
      <c r="NH38">
        <v>0</v>
      </c>
    </row>
    <row r="39" spans="1:372" x14ac:dyDescent="0.25">
      <c r="A39" s="5" t="s">
        <v>111</v>
      </c>
      <c r="B39" s="30">
        <v>-19</v>
      </c>
      <c r="C39" s="36" t="s">
        <v>102</v>
      </c>
      <c r="D39" s="37">
        <v>46204</v>
      </c>
      <c r="E39" s="37"/>
      <c r="G39">
        <v>-4959</v>
      </c>
      <c r="H39">
        <v>-19</v>
      </c>
      <c r="I39">
        <v>-19</v>
      </c>
      <c r="J39">
        <v>-19</v>
      </c>
      <c r="K39">
        <v>0</v>
      </c>
      <c r="L39">
        <v>0</v>
      </c>
      <c r="M39">
        <v>-19</v>
      </c>
      <c r="N39">
        <v>-19</v>
      </c>
      <c r="O39">
        <v>-19</v>
      </c>
      <c r="P39">
        <v>-19</v>
      </c>
      <c r="Q39">
        <v>-19</v>
      </c>
      <c r="R39">
        <v>0</v>
      </c>
      <c r="S39">
        <v>0</v>
      </c>
      <c r="T39">
        <v>-19</v>
      </c>
      <c r="U39">
        <v>-19</v>
      </c>
      <c r="V39">
        <v>-19</v>
      </c>
      <c r="W39">
        <v>-19</v>
      </c>
      <c r="X39">
        <v>-19</v>
      </c>
      <c r="Y39">
        <v>0</v>
      </c>
      <c r="Z39">
        <v>0</v>
      </c>
      <c r="AA39">
        <v>-19</v>
      </c>
      <c r="AB39">
        <v>-19</v>
      </c>
      <c r="AC39">
        <v>-19</v>
      </c>
      <c r="AD39">
        <v>-19</v>
      </c>
      <c r="AE39">
        <v>-19</v>
      </c>
      <c r="AF39">
        <v>0</v>
      </c>
      <c r="AG39">
        <v>0</v>
      </c>
      <c r="AH39">
        <v>-19</v>
      </c>
      <c r="AI39">
        <v>-19</v>
      </c>
      <c r="AJ39">
        <v>-19</v>
      </c>
      <c r="AK39">
        <v>-19</v>
      </c>
      <c r="AL39">
        <v>-19</v>
      </c>
      <c r="AM39">
        <v>0</v>
      </c>
      <c r="AN39">
        <v>0</v>
      </c>
      <c r="AO39">
        <v>-19</v>
      </c>
      <c r="AP39">
        <v>-19</v>
      </c>
      <c r="AQ39">
        <v>-19</v>
      </c>
      <c r="AR39">
        <v>-19</v>
      </c>
      <c r="AS39">
        <v>-19</v>
      </c>
      <c r="AT39">
        <v>0</v>
      </c>
      <c r="AU39">
        <v>0</v>
      </c>
      <c r="AV39">
        <v>-19</v>
      </c>
      <c r="AW39">
        <v>-19</v>
      </c>
      <c r="AX39">
        <v>-19</v>
      </c>
      <c r="AY39">
        <v>-19</v>
      </c>
      <c r="AZ39">
        <v>-19</v>
      </c>
      <c r="BA39">
        <v>0</v>
      </c>
      <c r="BB39">
        <v>0</v>
      </c>
      <c r="BC39">
        <v>-19</v>
      </c>
      <c r="BD39">
        <v>-19</v>
      </c>
      <c r="BE39">
        <v>-19</v>
      </c>
      <c r="BF39">
        <v>-19</v>
      </c>
      <c r="BG39">
        <v>-19</v>
      </c>
      <c r="BH39">
        <v>0</v>
      </c>
      <c r="BI39">
        <v>0</v>
      </c>
      <c r="BJ39">
        <v>-19</v>
      </c>
      <c r="BK39">
        <v>-19</v>
      </c>
      <c r="BL39">
        <v>-19</v>
      </c>
      <c r="BM39">
        <v>-19</v>
      </c>
      <c r="BN39">
        <v>-19</v>
      </c>
      <c r="BO39">
        <v>0</v>
      </c>
      <c r="BP39">
        <v>0</v>
      </c>
      <c r="BQ39">
        <v>-19</v>
      </c>
      <c r="BR39">
        <v>-19</v>
      </c>
      <c r="BS39">
        <v>-19</v>
      </c>
      <c r="BT39">
        <v>-19</v>
      </c>
      <c r="BU39">
        <v>-19</v>
      </c>
      <c r="BV39">
        <v>0</v>
      </c>
      <c r="BW39">
        <v>0</v>
      </c>
      <c r="BX39">
        <v>-19</v>
      </c>
      <c r="BY39">
        <v>-19</v>
      </c>
      <c r="BZ39">
        <v>-19</v>
      </c>
      <c r="CA39">
        <v>-19</v>
      </c>
      <c r="CB39">
        <v>-19</v>
      </c>
      <c r="CC39">
        <v>0</v>
      </c>
      <c r="CD39">
        <v>0</v>
      </c>
      <c r="CE39">
        <v>-19</v>
      </c>
      <c r="CF39">
        <v>-19</v>
      </c>
      <c r="CG39">
        <v>-19</v>
      </c>
      <c r="CH39">
        <v>-19</v>
      </c>
      <c r="CI39">
        <v>-19</v>
      </c>
      <c r="CJ39">
        <v>0</v>
      </c>
      <c r="CK39">
        <v>0</v>
      </c>
      <c r="CL39">
        <v>-19</v>
      </c>
      <c r="CM39">
        <v>-19</v>
      </c>
      <c r="CN39">
        <v>-19</v>
      </c>
      <c r="CO39">
        <v>-19</v>
      </c>
      <c r="CP39">
        <v>-19</v>
      </c>
      <c r="CQ39">
        <v>0</v>
      </c>
      <c r="CR39">
        <v>0</v>
      </c>
      <c r="CS39">
        <v>-19</v>
      </c>
      <c r="CT39">
        <v>-19</v>
      </c>
      <c r="CU39">
        <v>-19</v>
      </c>
      <c r="CV39">
        <v>-19</v>
      </c>
      <c r="CW39">
        <v>-19</v>
      </c>
      <c r="CX39">
        <v>0</v>
      </c>
      <c r="CY39">
        <v>0</v>
      </c>
      <c r="CZ39">
        <v>-19</v>
      </c>
      <c r="DA39">
        <v>-19</v>
      </c>
      <c r="DB39">
        <v>-19</v>
      </c>
      <c r="DC39">
        <v>-19</v>
      </c>
      <c r="DD39">
        <v>-19</v>
      </c>
      <c r="DE39">
        <v>0</v>
      </c>
      <c r="DF39">
        <v>0</v>
      </c>
      <c r="DG39">
        <v>-19</v>
      </c>
      <c r="DH39">
        <v>-19</v>
      </c>
      <c r="DI39">
        <v>-19</v>
      </c>
      <c r="DJ39">
        <v>-19</v>
      </c>
      <c r="DK39">
        <v>-19</v>
      </c>
      <c r="DL39">
        <v>0</v>
      </c>
      <c r="DM39">
        <v>0</v>
      </c>
      <c r="DN39">
        <v>-19</v>
      </c>
      <c r="DO39">
        <v>-19</v>
      </c>
      <c r="DP39">
        <v>-19</v>
      </c>
      <c r="DQ39">
        <v>-19</v>
      </c>
      <c r="DR39">
        <v>-19</v>
      </c>
      <c r="DS39">
        <v>0</v>
      </c>
      <c r="DT39">
        <v>0</v>
      </c>
      <c r="DU39">
        <v>-19</v>
      </c>
      <c r="DV39">
        <v>-19</v>
      </c>
      <c r="DW39">
        <v>-19</v>
      </c>
      <c r="DX39">
        <v>-19</v>
      </c>
      <c r="DY39">
        <v>-19</v>
      </c>
      <c r="DZ39">
        <v>0</v>
      </c>
      <c r="EA39">
        <v>0</v>
      </c>
      <c r="EB39">
        <v>-19</v>
      </c>
      <c r="EC39">
        <v>-19</v>
      </c>
      <c r="ED39">
        <v>-19</v>
      </c>
      <c r="EE39">
        <v>-19</v>
      </c>
      <c r="EF39">
        <v>-19</v>
      </c>
      <c r="EG39">
        <v>0</v>
      </c>
      <c r="EH39">
        <v>0</v>
      </c>
      <c r="EI39">
        <v>-19</v>
      </c>
      <c r="EJ39">
        <v>-19</v>
      </c>
      <c r="EK39">
        <v>-19</v>
      </c>
      <c r="EL39">
        <v>-19</v>
      </c>
      <c r="EM39">
        <v>-19</v>
      </c>
      <c r="EN39">
        <v>0</v>
      </c>
      <c r="EO39">
        <v>0</v>
      </c>
      <c r="EP39">
        <v>-19</v>
      </c>
      <c r="EQ39">
        <v>-19</v>
      </c>
      <c r="ER39">
        <v>-19</v>
      </c>
      <c r="ES39">
        <v>-19</v>
      </c>
      <c r="ET39">
        <v>-19</v>
      </c>
      <c r="EU39">
        <v>0</v>
      </c>
      <c r="EV39">
        <v>0</v>
      </c>
      <c r="EW39">
        <v>-19</v>
      </c>
      <c r="EX39">
        <v>-19</v>
      </c>
      <c r="EY39">
        <v>-19</v>
      </c>
      <c r="EZ39">
        <v>-19</v>
      </c>
      <c r="FA39">
        <v>-19</v>
      </c>
      <c r="FB39">
        <v>0</v>
      </c>
      <c r="FC39">
        <v>0</v>
      </c>
      <c r="FD39">
        <v>-19</v>
      </c>
      <c r="FE39">
        <v>-19</v>
      </c>
      <c r="FF39">
        <v>-19</v>
      </c>
      <c r="FG39">
        <v>-19</v>
      </c>
      <c r="FH39">
        <v>-19</v>
      </c>
      <c r="FI39">
        <v>0</v>
      </c>
      <c r="FJ39">
        <v>0</v>
      </c>
      <c r="FK39">
        <v>-19</v>
      </c>
      <c r="FL39">
        <v>-19</v>
      </c>
      <c r="FM39">
        <v>-19</v>
      </c>
      <c r="FN39">
        <v>-19</v>
      </c>
      <c r="FO39">
        <v>-19</v>
      </c>
      <c r="FP39">
        <v>0</v>
      </c>
      <c r="FQ39">
        <v>0</v>
      </c>
      <c r="FR39">
        <v>-19</v>
      </c>
      <c r="FS39">
        <v>-19</v>
      </c>
      <c r="FT39">
        <v>-19</v>
      </c>
      <c r="FU39">
        <v>-19</v>
      </c>
      <c r="FV39">
        <v>-19</v>
      </c>
      <c r="FW39">
        <v>0</v>
      </c>
      <c r="FX39">
        <v>0</v>
      </c>
      <c r="FY39">
        <v>-19</v>
      </c>
      <c r="FZ39">
        <v>-19</v>
      </c>
      <c r="GA39">
        <v>-19</v>
      </c>
      <c r="GB39">
        <v>-19</v>
      </c>
      <c r="GC39">
        <v>-19</v>
      </c>
      <c r="GD39">
        <v>0</v>
      </c>
      <c r="GE39">
        <v>0</v>
      </c>
      <c r="GF39">
        <v>-19</v>
      </c>
      <c r="GG39">
        <v>-19</v>
      </c>
      <c r="GH39">
        <v>-19</v>
      </c>
      <c r="GI39">
        <v>-19</v>
      </c>
      <c r="GJ39">
        <v>-19</v>
      </c>
      <c r="GK39">
        <v>0</v>
      </c>
      <c r="GL39">
        <v>0</v>
      </c>
      <c r="GM39">
        <v>-19</v>
      </c>
      <c r="GN39">
        <v>-19</v>
      </c>
      <c r="GO39">
        <v>-19</v>
      </c>
      <c r="GP39">
        <v>-19</v>
      </c>
      <c r="GQ39">
        <v>-19</v>
      </c>
      <c r="GR39">
        <v>0</v>
      </c>
      <c r="GS39">
        <v>0</v>
      </c>
      <c r="GT39">
        <v>-19</v>
      </c>
      <c r="GU39">
        <v>-19</v>
      </c>
      <c r="GV39">
        <v>-19</v>
      </c>
      <c r="GW39">
        <v>-19</v>
      </c>
      <c r="GX39">
        <v>-19</v>
      </c>
      <c r="GY39">
        <v>0</v>
      </c>
      <c r="GZ39">
        <v>0</v>
      </c>
      <c r="HA39">
        <v>-19</v>
      </c>
      <c r="HB39">
        <v>-19</v>
      </c>
      <c r="HC39">
        <v>-19</v>
      </c>
      <c r="HD39">
        <v>-19</v>
      </c>
      <c r="HE39">
        <v>-19</v>
      </c>
      <c r="HF39">
        <v>0</v>
      </c>
      <c r="HG39">
        <v>0</v>
      </c>
      <c r="HH39">
        <v>-19</v>
      </c>
      <c r="HI39">
        <v>-19</v>
      </c>
      <c r="HJ39">
        <v>-19</v>
      </c>
      <c r="HK39">
        <v>-19</v>
      </c>
      <c r="HL39">
        <v>-19</v>
      </c>
      <c r="HM39">
        <v>0</v>
      </c>
      <c r="HN39">
        <v>0</v>
      </c>
      <c r="HO39">
        <v>-19</v>
      </c>
      <c r="HP39">
        <v>-19</v>
      </c>
      <c r="HQ39">
        <v>-19</v>
      </c>
      <c r="HR39">
        <v>-19</v>
      </c>
      <c r="HS39">
        <v>-19</v>
      </c>
      <c r="HT39">
        <v>0</v>
      </c>
      <c r="HU39">
        <v>0</v>
      </c>
      <c r="HV39">
        <v>-19</v>
      </c>
      <c r="HW39">
        <v>-19</v>
      </c>
      <c r="HX39">
        <v>-19</v>
      </c>
      <c r="HY39">
        <v>-19</v>
      </c>
      <c r="HZ39">
        <v>-19</v>
      </c>
      <c r="IA39">
        <v>0</v>
      </c>
      <c r="IB39">
        <v>0</v>
      </c>
      <c r="IC39">
        <v>-19</v>
      </c>
      <c r="ID39">
        <v>-19</v>
      </c>
      <c r="IE39">
        <v>-19</v>
      </c>
      <c r="IF39">
        <v>-19</v>
      </c>
      <c r="IG39">
        <v>-19</v>
      </c>
      <c r="IH39">
        <v>0</v>
      </c>
      <c r="II39">
        <v>0</v>
      </c>
      <c r="IJ39">
        <v>-19</v>
      </c>
      <c r="IK39">
        <v>-19</v>
      </c>
      <c r="IL39">
        <v>-19</v>
      </c>
      <c r="IM39">
        <v>-19</v>
      </c>
      <c r="IN39">
        <v>-19</v>
      </c>
      <c r="IO39">
        <v>0</v>
      </c>
      <c r="IP39">
        <v>0</v>
      </c>
      <c r="IQ39">
        <v>-19</v>
      </c>
      <c r="IR39">
        <v>-19</v>
      </c>
      <c r="IS39">
        <v>-19</v>
      </c>
      <c r="IT39">
        <v>-19</v>
      </c>
      <c r="IU39">
        <v>-19</v>
      </c>
      <c r="IV39">
        <v>0</v>
      </c>
      <c r="IW39">
        <v>0</v>
      </c>
      <c r="IX39">
        <v>-19</v>
      </c>
      <c r="IY39">
        <v>-19</v>
      </c>
      <c r="IZ39">
        <v>-19</v>
      </c>
      <c r="JA39">
        <v>-19</v>
      </c>
      <c r="JB39">
        <v>-19</v>
      </c>
      <c r="JC39">
        <v>0</v>
      </c>
      <c r="JD39">
        <v>0</v>
      </c>
      <c r="JE39">
        <v>-19</v>
      </c>
      <c r="JF39">
        <v>-19</v>
      </c>
      <c r="JG39">
        <v>-19</v>
      </c>
      <c r="JH39">
        <v>-19</v>
      </c>
      <c r="JI39">
        <v>-19</v>
      </c>
      <c r="JJ39">
        <v>0</v>
      </c>
      <c r="JK39">
        <v>0</v>
      </c>
      <c r="JL39">
        <v>-19</v>
      </c>
      <c r="JM39">
        <v>-19</v>
      </c>
      <c r="JN39">
        <v>-19</v>
      </c>
      <c r="JO39">
        <v>-19</v>
      </c>
      <c r="JP39">
        <v>-19</v>
      </c>
      <c r="JQ39">
        <v>0</v>
      </c>
      <c r="JR39">
        <v>0</v>
      </c>
      <c r="JS39">
        <v>-19</v>
      </c>
      <c r="JT39">
        <v>-19</v>
      </c>
      <c r="JU39">
        <v>-19</v>
      </c>
      <c r="JV39">
        <v>-19</v>
      </c>
      <c r="JW39">
        <v>-19</v>
      </c>
      <c r="JX39">
        <v>0</v>
      </c>
      <c r="JY39">
        <v>0</v>
      </c>
      <c r="JZ39">
        <v>-19</v>
      </c>
      <c r="KA39">
        <v>-19</v>
      </c>
      <c r="KB39">
        <v>-19</v>
      </c>
      <c r="KC39">
        <v>-19</v>
      </c>
      <c r="KD39">
        <v>-19</v>
      </c>
      <c r="KE39">
        <v>0</v>
      </c>
      <c r="KF39">
        <v>0</v>
      </c>
      <c r="KG39">
        <v>-19</v>
      </c>
      <c r="KH39">
        <v>-19</v>
      </c>
      <c r="KI39">
        <v>-19</v>
      </c>
      <c r="KJ39">
        <v>-19</v>
      </c>
      <c r="KK39">
        <v>-19</v>
      </c>
      <c r="KL39">
        <v>0</v>
      </c>
      <c r="KM39">
        <v>0</v>
      </c>
      <c r="KN39">
        <v>-19</v>
      </c>
      <c r="KO39">
        <v>-19</v>
      </c>
      <c r="KP39">
        <v>-19</v>
      </c>
      <c r="KQ39">
        <v>-19</v>
      </c>
      <c r="KR39">
        <v>-19</v>
      </c>
      <c r="KS39">
        <v>0</v>
      </c>
      <c r="KT39">
        <v>0</v>
      </c>
      <c r="KU39">
        <v>-19</v>
      </c>
      <c r="KV39">
        <v>-19</v>
      </c>
      <c r="KW39">
        <v>-19</v>
      </c>
      <c r="KX39">
        <v>-19</v>
      </c>
      <c r="KY39">
        <v>-19</v>
      </c>
      <c r="KZ39">
        <v>0</v>
      </c>
      <c r="LA39">
        <v>0</v>
      </c>
      <c r="LB39">
        <v>-19</v>
      </c>
      <c r="LC39">
        <v>-19</v>
      </c>
      <c r="LD39">
        <v>-19</v>
      </c>
      <c r="LE39">
        <v>-19</v>
      </c>
      <c r="LF39">
        <v>-19</v>
      </c>
      <c r="LG39">
        <v>0</v>
      </c>
      <c r="LH39">
        <v>0</v>
      </c>
      <c r="LI39">
        <v>-19</v>
      </c>
      <c r="LJ39">
        <v>-19</v>
      </c>
      <c r="LK39">
        <v>-19</v>
      </c>
      <c r="LL39">
        <v>-19</v>
      </c>
      <c r="LM39">
        <v>-19</v>
      </c>
      <c r="LN39">
        <v>0</v>
      </c>
      <c r="LO39">
        <v>0</v>
      </c>
      <c r="LP39">
        <v>-19</v>
      </c>
      <c r="LQ39">
        <v>-19</v>
      </c>
      <c r="LR39">
        <v>-19</v>
      </c>
      <c r="LS39">
        <v>-19</v>
      </c>
      <c r="LT39">
        <v>-19</v>
      </c>
      <c r="LU39">
        <v>0</v>
      </c>
      <c r="LV39">
        <v>0</v>
      </c>
      <c r="LW39">
        <v>-19</v>
      </c>
      <c r="LX39">
        <v>-19</v>
      </c>
      <c r="LY39">
        <v>-19</v>
      </c>
      <c r="LZ39">
        <v>-19</v>
      </c>
      <c r="MA39">
        <v>-19</v>
      </c>
      <c r="MB39">
        <v>0</v>
      </c>
      <c r="MC39">
        <v>0</v>
      </c>
      <c r="MD39">
        <v>-19</v>
      </c>
      <c r="ME39">
        <v>-19</v>
      </c>
      <c r="MF39">
        <v>-19</v>
      </c>
      <c r="MG39">
        <v>-19</v>
      </c>
      <c r="MH39">
        <v>-19</v>
      </c>
      <c r="MI39">
        <v>0</v>
      </c>
      <c r="MJ39">
        <v>0</v>
      </c>
      <c r="MK39">
        <v>-19</v>
      </c>
      <c r="ML39">
        <v>-19</v>
      </c>
      <c r="MM39">
        <v>-19</v>
      </c>
      <c r="MN39">
        <v>-19</v>
      </c>
      <c r="MO39">
        <v>-19</v>
      </c>
      <c r="MP39">
        <v>0</v>
      </c>
      <c r="MQ39">
        <v>0</v>
      </c>
      <c r="MR39">
        <v>-19</v>
      </c>
      <c r="MS39">
        <v>-19</v>
      </c>
      <c r="MT39">
        <v>-19</v>
      </c>
      <c r="MU39">
        <v>-19</v>
      </c>
      <c r="MV39">
        <v>-19</v>
      </c>
      <c r="MW39">
        <v>0</v>
      </c>
      <c r="MX39">
        <v>0</v>
      </c>
      <c r="MY39">
        <v>-19</v>
      </c>
      <c r="MZ39">
        <v>-19</v>
      </c>
      <c r="NA39">
        <v>-19</v>
      </c>
      <c r="NB39">
        <v>-19</v>
      </c>
      <c r="NC39">
        <v>-19</v>
      </c>
      <c r="ND39">
        <v>0</v>
      </c>
      <c r="NE39">
        <v>0</v>
      </c>
      <c r="NF39">
        <v>-19</v>
      </c>
      <c r="NG39">
        <v>-19</v>
      </c>
      <c r="NH39">
        <v>-19</v>
      </c>
    </row>
  </sheetData>
  <mergeCells count="4">
    <mergeCell ref="A1:P1"/>
    <mergeCell ref="A2:P2"/>
    <mergeCell ref="A31:E31"/>
    <mergeCell ref="A32:E32"/>
  </mergeCells>
  <hyperlinks>
    <hyperlink ref="A1" location="'TOC'!$A$1" display="'TOC'!$A$1" xr:uid="{EFBF30BF-5B04-4745-A1A3-822A69517131}"/>
  </hyperlinks>
  <pageMargins left="0.7" right="0.7" top="0.75" bottom="0.75" header="0.3" footer="0.3"/>
  <pageSetup paperSize="9" scale="49" fitToHeight="0" orientation="landscape" horizontalDpi="0" verticalDpi="0"/>
  <ignoredErrors>
    <ignoredError sqref="B34" calculatedColumn="1"/>
  </ignoredErrors>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B4AAC-B93F-4992-9FA6-E7BEE77877E4}">
  <sheetPr codeName="Sheet12">
    <tabColor rgb="FF000000"/>
    <pageSetUpPr fitToPage="1"/>
  </sheetPr>
  <dimension ref="A1:S25"/>
  <sheetViews>
    <sheetView showGridLines="0" workbookViewId="0">
      <selection sqref="A1:O1"/>
    </sheetView>
  </sheetViews>
  <sheetFormatPr defaultRowHeight="15" x14ac:dyDescent="0.25"/>
  <cols>
    <col min="1" max="1" width="12.75" bestFit="1" customWidth="1"/>
    <col min="2" max="2" width="24" customWidth="1"/>
    <col min="3" max="3" width="11.25" bestFit="1" customWidth="1"/>
    <col min="4" max="4" width="11.75" bestFit="1" customWidth="1"/>
    <col min="7" max="7" width="15.625" bestFit="1" customWidth="1"/>
    <col min="8" max="19" width="12.25" customWidth="1"/>
  </cols>
  <sheetData>
    <row r="1" spans="1:15" ht="46.5" x14ac:dyDescent="0.7">
      <c r="A1" s="185" t="str">
        <f ca="1">_xlfn.TEXTAFTER(CELL("filename",A1),"]")</f>
        <v>oz.OverLapDaysλ</v>
      </c>
      <c r="B1" s="185"/>
      <c r="C1" s="185"/>
      <c r="D1" s="185"/>
      <c r="E1" s="185"/>
      <c r="F1" s="185"/>
      <c r="G1" s="185"/>
      <c r="H1" s="185"/>
      <c r="I1" s="185"/>
      <c r="J1" s="185"/>
      <c r="K1" s="185"/>
      <c r="L1" s="185"/>
      <c r="M1" s="185"/>
      <c r="N1" s="185"/>
      <c r="O1" s="185"/>
    </row>
    <row r="2" spans="1:15" x14ac:dyDescent="0.25">
      <c r="A2" s="186" t="s">
        <v>74</v>
      </c>
      <c r="B2" s="187"/>
      <c r="C2" s="187"/>
      <c r="D2" s="187"/>
      <c r="E2" s="187"/>
      <c r="F2" s="187"/>
      <c r="G2" s="187"/>
      <c r="H2" s="187"/>
      <c r="I2" s="187"/>
      <c r="J2" s="187"/>
      <c r="K2" s="187"/>
      <c r="L2" s="187"/>
      <c r="M2" s="187"/>
      <c r="N2" s="188"/>
      <c r="O2" s="4"/>
    </row>
    <row r="4" spans="1:15" x14ac:dyDescent="0.25">
      <c r="A4" s="35" t="str" cm="1">
        <f t="array" ref="A4:B16">oz.OverLapDaysλ()</f>
        <v>FUNCTION:</v>
      </c>
      <c r="B4" t="str">
        <v>OverLapDaysλ(Period1Start, Period1End, Period2Start, Period2End)</v>
      </c>
    </row>
    <row r="5" spans="1:15" x14ac:dyDescent="0.25">
      <c r="A5" t="str">
        <v>DESCRIPTION:</v>
      </c>
      <c r="B5" t="str">
        <v>Count days shared between two sets of periods.</v>
      </c>
    </row>
    <row r="6" spans="1:15" x14ac:dyDescent="0.25">
      <c r="A6" t="str">
        <v>WEBSITE:</v>
      </c>
      <c r="B6" t="str">
        <v>https://github.com/ryanduguid/Ozzit</v>
      </c>
    </row>
    <row r="7" spans="1:15" x14ac:dyDescent="0.25">
      <c r="A7" t="str">
        <v>PARAMETERS:</v>
      </c>
      <c r="B7" t="str">
        <v/>
      </c>
    </row>
    <row r="8" spans="1:15" x14ac:dyDescent="0.25">
      <c r="A8" t="str">
        <v>Period1Start</v>
      </c>
      <c r="B8" t="str">
        <v>(Required) First period's start date.</v>
      </c>
    </row>
    <row r="9" spans="1:15" x14ac:dyDescent="0.25">
      <c r="A9" t="str">
        <v>Period1End</v>
      </c>
      <c r="B9" t="str">
        <v>(Required) First period's end date.</v>
      </c>
    </row>
    <row r="10" spans="1:15" x14ac:dyDescent="0.25">
      <c r="A10" t="str">
        <v>Period2Start</v>
      </c>
      <c r="B10" t="str">
        <v>(Required) Second period's start date.</v>
      </c>
    </row>
    <row r="11" spans="1:15" x14ac:dyDescent="0.25">
      <c r="A11" t="str">
        <v>Period2End</v>
      </c>
      <c r="B11" t="str">
        <v>(Required) Second period's end date.</v>
      </c>
    </row>
    <row r="12" spans="1:15" x14ac:dyDescent="0.25">
      <c r="A12" t="str">
        <v>EXAMPLES:</v>
      </c>
      <c r="B12" t="str">
        <v/>
      </c>
    </row>
    <row r="13" spans="1:15" x14ac:dyDescent="0.25">
      <c r="A13" t="str">
        <v>Result</v>
      </c>
      <c r="B13" t="str">
        <v>Formula (oz is assumed to be the module's name)</v>
      </c>
    </row>
    <row r="14" spans="1:15" x14ac:dyDescent="0.25">
      <c r="A14" t="str">
        <v>5</v>
      </c>
      <c r="B14" t="str">
        <v>=oz.OverLapDaysλ(08, 14, 10, 17)</v>
      </c>
    </row>
    <row r="15" spans="1:15" x14ac:dyDescent="0.25">
      <c r="A15" t="str">
        <v>8</v>
      </c>
      <c r="B15" t="str">
        <v>=oz.OverLapDaysλ(10, 20, 11, 18)</v>
      </c>
    </row>
    <row r="16" spans="1:15" x14ac:dyDescent="0.25">
      <c r="A16" t="str">
        <v>2</v>
      </c>
      <c r="B16" t="str">
        <v>=oz.OverLapDaysλ("17/7/2026", "25/7/2026", "7/7/2026", "18/7/2026")</v>
      </c>
    </row>
    <row r="20" spans="1:19" ht="21" x14ac:dyDescent="0.35">
      <c r="A20" s="192" t="s">
        <v>119</v>
      </c>
      <c r="B20" s="193"/>
      <c r="C20" s="193"/>
      <c r="D20" s="193"/>
      <c r="E20" s="193"/>
    </row>
    <row r="21" spans="1:19" x14ac:dyDescent="0.25">
      <c r="A21" s="194"/>
      <c r="B21" s="195"/>
      <c r="C21" s="195"/>
      <c r="D21" s="195"/>
      <c r="E21" s="195"/>
      <c r="G21" s="43" t="s">
        <v>27</v>
      </c>
      <c r="H21" s="44" cm="1">
        <f t="array" ref="H21:S21">oz.Timelineλ("1/7/2026", ,,FALSE)</f>
        <v>46234</v>
      </c>
      <c r="I21" s="44">
        <v>46265</v>
      </c>
      <c r="J21" s="44">
        <v>46295</v>
      </c>
      <c r="K21" s="44">
        <v>46326</v>
      </c>
      <c r="L21" s="44">
        <v>46356</v>
      </c>
      <c r="M21" s="44">
        <v>46387</v>
      </c>
      <c r="N21" s="44">
        <v>46418</v>
      </c>
      <c r="O21" s="44">
        <v>46446</v>
      </c>
      <c r="P21" s="44">
        <v>46477</v>
      </c>
      <c r="Q21" s="44">
        <v>46507</v>
      </c>
      <c r="R21" s="44">
        <v>46538</v>
      </c>
      <c r="S21" s="44">
        <v>46568</v>
      </c>
    </row>
    <row r="22" spans="1:19" x14ac:dyDescent="0.25">
      <c r="A22" s="7" t="s">
        <v>120</v>
      </c>
      <c r="B22" t="s">
        <v>117</v>
      </c>
      <c r="C22" s="7" t="s">
        <v>112</v>
      </c>
      <c r="D22" s="7" t="s">
        <v>113</v>
      </c>
      <c r="E22" s="7" t="s">
        <v>114</v>
      </c>
      <c r="G22" s="42" t="s">
        <v>152</v>
      </c>
      <c r="H22" s="1" cm="1">
        <f t="array" ref="H22:S22">oz.Timelineλ("1/7/2026")</f>
        <v>46204</v>
      </c>
      <c r="I22" s="1">
        <v>46235</v>
      </c>
      <c r="J22" s="1">
        <v>46266</v>
      </c>
      <c r="K22" s="1">
        <v>46296</v>
      </c>
      <c r="L22" s="1">
        <v>46327</v>
      </c>
      <c r="M22" s="1">
        <v>46357</v>
      </c>
      <c r="N22" s="1">
        <v>46388</v>
      </c>
      <c r="O22" s="1">
        <v>46419</v>
      </c>
      <c r="P22" s="1">
        <v>46447</v>
      </c>
      <c r="Q22" s="1">
        <v>46478</v>
      </c>
      <c r="R22" s="1">
        <v>46508</v>
      </c>
      <c r="S22" s="1">
        <v>46539</v>
      </c>
    </row>
    <row r="23" spans="1:19" x14ac:dyDescent="0.25">
      <c r="A23" cm="1">
        <f t="array" ref="A23">ROW()-ROW(tblRent[#Headers])</f>
        <v>1</v>
      </c>
      <c r="B23" t="s">
        <v>116</v>
      </c>
      <c r="C23" s="34">
        <v>46249</v>
      </c>
      <c r="D23" s="34">
        <v>46453</v>
      </c>
      <c r="E23" s="41">
        <v>12</v>
      </c>
      <c r="G23" cm="1">
        <f t="array" ref="G23:G25">oz.SumRowsλ(_xlfn.ANCHORARRAY(H23))</f>
        <v>2460</v>
      </c>
      <c r="H23" s="35" cm="1">
        <f t="array" ref="H23:S25">oz.OverLapDaysλ(_xlfn.ANCHORARRAY(H22),_xlfn.ANCHORARRAY(H21),tblRent[Start],tblRent[End]) * tblRent[Daily Rate]</f>
        <v>0</v>
      </c>
      <c r="I23">
        <v>204</v>
      </c>
      <c r="J23">
        <v>360</v>
      </c>
      <c r="K23">
        <v>372</v>
      </c>
      <c r="L23">
        <v>360</v>
      </c>
      <c r="M23">
        <v>372</v>
      </c>
      <c r="N23">
        <v>372</v>
      </c>
      <c r="O23">
        <v>336</v>
      </c>
      <c r="P23">
        <v>84</v>
      </c>
      <c r="Q23">
        <v>0</v>
      </c>
      <c r="R23">
        <v>0</v>
      </c>
      <c r="S23">
        <v>0</v>
      </c>
    </row>
    <row r="24" spans="1:19" x14ac:dyDescent="0.25">
      <c r="A24" cm="1">
        <f t="array" ref="A24">ROW()-ROW(tblRent[#Headers])</f>
        <v>2</v>
      </c>
      <c r="B24" t="s">
        <v>115</v>
      </c>
      <c r="C24" s="34">
        <v>46218</v>
      </c>
      <c r="D24" s="34">
        <v>46286</v>
      </c>
      <c r="E24" s="41">
        <v>10</v>
      </c>
      <c r="G24">
        <v>690</v>
      </c>
      <c r="H24">
        <v>170</v>
      </c>
      <c r="I24">
        <v>310</v>
      </c>
      <c r="J24">
        <v>210</v>
      </c>
      <c r="K24">
        <v>0</v>
      </c>
      <c r="L24">
        <v>0</v>
      </c>
      <c r="M24">
        <v>0</v>
      </c>
      <c r="N24">
        <v>0</v>
      </c>
      <c r="O24">
        <v>0</v>
      </c>
      <c r="P24">
        <v>0</v>
      </c>
      <c r="Q24">
        <v>0</v>
      </c>
      <c r="R24">
        <v>0</v>
      </c>
      <c r="S24">
        <v>0</v>
      </c>
    </row>
    <row r="25" spans="1:19" x14ac:dyDescent="0.25">
      <c r="A25" cm="1">
        <f t="array" ref="A25">ROW()-ROW(tblRent[#Headers])</f>
        <v>3</v>
      </c>
      <c r="B25" t="s">
        <v>118</v>
      </c>
      <c r="C25" s="34">
        <v>46204</v>
      </c>
      <c r="D25" s="34">
        <v>46234</v>
      </c>
      <c r="E25" s="41">
        <v>4.5</v>
      </c>
      <c r="G25">
        <v>139.5</v>
      </c>
      <c r="H25">
        <v>139.5</v>
      </c>
      <c r="I25">
        <v>0</v>
      </c>
      <c r="J25">
        <v>0</v>
      </c>
      <c r="K25">
        <v>0</v>
      </c>
      <c r="L25">
        <v>0</v>
      </c>
      <c r="M25">
        <v>0</v>
      </c>
      <c r="N25">
        <v>0</v>
      </c>
      <c r="O25">
        <v>0</v>
      </c>
      <c r="P25">
        <v>0</v>
      </c>
      <c r="Q25">
        <v>0</v>
      </c>
      <c r="R25">
        <v>0</v>
      </c>
      <c r="S25">
        <v>0</v>
      </c>
    </row>
  </sheetData>
  <mergeCells count="4">
    <mergeCell ref="A1:O1"/>
    <mergeCell ref="A20:E20"/>
    <mergeCell ref="A21:E21"/>
    <mergeCell ref="A2:N2"/>
  </mergeCells>
  <hyperlinks>
    <hyperlink ref="A1" location="'TOC'!$A$1" display="'TOC'!$A$1" xr:uid="{854710B1-251D-4EAE-A9BD-09D9EE7173D9}"/>
  </hyperlinks>
  <pageMargins left="0.7" right="0.7" top="0.75" bottom="0.75" header="0.3" footer="0.3"/>
  <pageSetup paperSize="9" scale="52" fitToHeight="0" orientation="landscape" horizontalDpi="0" verticalDpi="0"/>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D972-75C4-4131-B4FA-F0B645CD6C7D}">
  <sheetPr codeName="Sheet13">
    <tabColor rgb="FF000000"/>
    <pageSetUpPr fitToPage="1"/>
  </sheetPr>
  <dimension ref="A1:T29"/>
  <sheetViews>
    <sheetView showGridLines="0" workbookViewId="0">
      <selection sqref="A1:P1"/>
    </sheetView>
  </sheetViews>
  <sheetFormatPr defaultRowHeight="15" x14ac:dyDescent="0.25"/>
  <cols>
    <col min="1" max="1" width="12.75" bestFit="1" customWidth="1"/>
    <col min="2" max="2" width="13.25" customWidth="1"/>
    <col min="3" max="3" width="7.25" bestFit="1" customWidth="1"/>
    <col min="4" max="4" width="7" bestFit="1" customWidth="1"/>
  </cols>
  <sheetData>
    <row r="1" spans="1:20" ht="46.5" x14ac:dyDescent="0.7">
      <c r="A1" s="185" t="str">
        <f ca="1">_xlfn.TEXTAFTER(CELL("filename",A1),"]")</f>
        <v>oz.Periodsλ</v>
      </c>
      <c r="B1" s="185"/>
      <c r="C1" s="185"/>
      <c r="D1" s="185"/>
      <c r="E1" s="185"/>
      <c r="F1" s="185"/>
      <c r="G1" s="185"/>
      <c r="H1" s="185"/>
      <c r="I1" s="185"/>
      <c r="J1" s="185"/>
      <c r="K1" s="185"/>
      <c r="L1" s="185"/>
      <c r="M1" s="185"/>
      <c r="N1" s="185"/>
      <c r="O1" s="185"/>
      <c r="P1" s="185"/>
    </row>
    <row r="2" spans="1:20" x14ac:dyDescent="0.25">
      <c r="A2" s="186" t="s">
        <v>75</v>
      </c>
      <c r="B2" s="191"/>
      <c r="C2" s="191"/>
      <c r="D2" s="191"/>
      <c r="E2" s="191"/>
      <c r="F2" s="191"/>
      <c r="G2" s="191"/>
      <c r="H2" s="191"/>
      <c r="I2" s="191"/>
      <c r="J2" s="191"/>
      <c r="K2" s="191"/>
      <c r="L2" s="191"/>
      <c r="M2" s="191"/>
      <c r="N2" s="191"/>
      <c r="O2" s="191"/>
      <c r="P2" s="191"/>
      <c r="Q2" s="191"/>
      <c r="R2" s="191"/>
      <c r="S2" s="191"/>
      <c r="T2" s="191"/>
    </row>
    <row r="4" spans="1:20" x14ac:dyDescent="0.25">
      <c r="A4" s="55" t="str" cm="1">
        <f t="array" ref="A4:B22">oz.Periodsλ()</f>
        <v>FUNCTION:</v>
      </c>
      <c r="B4" t="str">
        <v>Periodsλ(Starts, Ends, [Intervals])</v>
      </c>
    </row>
    <row r="5" spans="1:20" x14ac:dyDescent="0.25">
      <c r="A5" t="str">
        <v>DESCRIPTION:</v>
      </c>
      <c r="B5" t="str">
        <v>Determine the number of periods from Starts to Ends inclusive.</v>
      </c>
    </row>
    <row r="6" spans="1:20" x14ac:dyDescent="0.25">
      <c r="A6" t="str">
        <v/>
      </c>
      <c r="B6" t="str">
        <v>Differences to Excel's DATEDIF are:</v>
      </c>
    </row>
    <row r="7" spans="1:20" x14ac:dyDescent="0.25">
      <c r="A7" t="str">
        <v/>
      </c>
      <c r="B7" t="str">
        <v>* Interval includes Weeks &amp; Quarters</v>
      </c>
    </row>
    <row r="8" spans="1:20" x14ac:dyDescent="0.25">
      <c r="A8" t="str">
        <v/>
      </c>
      <c r="B8" t="str">
        <v>* Counts the period starts crossed, so a part period at the end counts</v>
      </c>
    </row>
    <row r="9" spans="1:20" x14ac:dyDescent="0.25">
      <c r="A9" t="str">
        <v/>
      </c>
      <c r="B9" t="str">
        <v>* Returns negative values if Starts is after Ends</v>
      </c>
    </row>
    <row r="10" spans="1:20" x14ac:dyDescent="0.25">
      <c r="A10" t="str">
        <v>WEBPAGE:</v>
      </c>
      <c r="B10" t="str">
        <v>https://github.com/ryanduguid/Ozzit</v>
      </c>
    </row>
    <row r="11" spans="1:20" x14ac:dyDescent="0.25">
      <c r="A11" t="str">
        <v>PARAMETERS:</v>
      </c>
      <c r="B11" t="str">
        <v/>
      </c>
    </row>
    <row r="12" spans="1:20" x14ac:dyDescent="0.25">
      <c r="A12" t="str">
        <v>Starts</v>
      </c>
      <c r="B12" t="str">
        <v>(Required) First date (normally older). A single date or an array of dates.</v>
      </c>
    </row>
    <row r="13" spans="1:20" x14ac:dyDescent="0.25">
      <c r="A13" t="str">
        <v>Ends</v>
      </c>
      <c r="B13" t="str">
        <v>(Required) Second date (normally newer). A single date or an array the same shape as Starts.</v>
      </c>
    </row>
    <row r="14" spans="1:20" x14ac:dyDescent="0.25">
      <c r="A14" t="str">
        <v/>
      </c>
      <c r="B14" t="str">
        <v>A single Starts or Ends is applied to every date in the other.</v>
      </c>
    </row>
    <row r="15" spans="1:20" x14ac:dyDescent="0.25">
      <c r="A15" t="str">
        <v>Intervals</v>
      </c>
      <c r="B15" t="str">
        <v>(Optional) Days, Weeks, Months (default), Quarters, or Years (D, W, M, Q, Y).</v>
      </c>
    </row>
    <row r="16" spans="1:20" x14ac:dyDescent="0.25">
      <c r="A16" t="str">
        <v/>
      </c>
      <c r="B16" t="str">
        <v>One code, or an array of codes the same shape as the dates.</v>
      </c>
    </row>
    <row r="17" spans="1:4" x14ac:dyDescent="0.25">
      <c r="A17" t="str">
        <v>EXAMPLES:</v>
      </c>
      <c r="B17" t="str">
        <v/>
      </c>
    </row>
    <row r="18" spans="1:4" x14ac:dyDescent="0.25">
      <c r="A18" t="str">
        <v>Result</v>
      </c>
      <c r="B18" t="str">
        <v>Formula (oz is assumed to be the module's name)</v>
      </c>
    </row>
    <row r="19" spans="1:4" x14ac:dyDescent="0.25">
      <c r="A19" t="str">
        <v>2</v>
      </c>
      <c r="B19" t="str">
        <v>=oz.Periodsλ("31/7/2026", "15/9/2026")</v>
      </c>
    </row>
    <row r="20" spans="1:4" x14ac:dyDescent="0.25">
      <c r="A20" t="str">
        <v>-2</v>
      </c>
      <c r="B20" t="str">
        <v>=oz.Periodsλ("15/9/2026", "31/7/2026")</v>
      </c>
    </row>
    <row r="21" spans="1:4" x14ac:dyDescent="0.25">
      <c r="A21" t="str">
        <v>-12</v>
      </c>
      <c r="B21" t="str">
        <v>=oz.Periodsλ("15/7/2027", "16/7/2026")</v>
      </c>
    </row>
    <row r="22" spans="1:4" x14ac:dyDescent="0.25">
      <c r="A22" t="str">
        <v>-52</v>
      </c>
      <c r="B22" t="str">
        <v>=oz.Periodsλ("15/7/2027", "16/7/2026", "W")</v>
      </c>
    </row>
    <row r="24" spans="1:4" x14ac:dyDescent="0.25">
      <c r="A24" s="53" t="s">
        <v>126</v>
      </c>
      <c r="B24" s="53" t="s">
        <v>127</v>
      </c>
      <c r="C24" s="54" t="s">
        <v>18</v>
      </c>
      <c r="D24" s="54" t="s">
        <v>17</v>
      </c>
    </row>
    <row r="25" spans="1:4" x14ac:dyDescent="0.25">
      <c r="A25" s="34">
        <v>46262</v>
      </c>
      <c r="B25" s="34">
        <v>46537</v>
      </c>
      <c r="C25" t="s">
        <v>20</v>
      </c>
      <c r="D25" s="55" cm="1">
        <f t="array" ref="D25:D29">oz.Periodsλ(A25:A29,B25:B29,C25:C29)</f>
        <v>9</v>
      </c>
    </row>
    <row r="26" spans="1:4" x14ac:dyDescent="0.25">
      <c r="A26" s="34">
        <v>46386</v>
      </c>
      <c r="B26" s="34">
        <v>46784</v>
      </c>
      <c r="C26" t="s">
        <v>109</v>
      </c>
      <c r="D26">
        <v>5</v>
      </c>
    </row>
    <row r="27" spans="1:4" x14ac:dyDescent="0.25">
      <c r="A27" s="34">
        <v>46204</v>
      </c>
      <c r="B27" s="34">
        <v>47300</v>
      </c>
      <c r="C27" t="s">
        <v>2</v>
      </c>
      <c r="D27">
        <v>3</v>
      </c>
    </row>
    <row r="28" spans="1:4" x14ac:dyDescent="0.25">
      <c r="A28" s="34">
        <v>46325</v>
      </c>
      <c r="B28" s="34">
        <v>46692</v>
      </c>
      <c r="C28" t="s">
        <v>107</v>
      </c>
      <c r="D28">
        <v>53</v>
      </c>
    </row>
    <row r="29" spans="1:4" x14ac:dyDescent="0.25">
      <c r="A29" s="34">
        <v>46446</v>
      </c>
      <c r="B29" s="34">
        <v>46812</v>
      </c>
      <c r="C29" t="s">
        <v>426</v>
      </c>
      <c r="D29">
        <v>366</v>
      </c>
    </row>
  </sheetData>
  <mergeCells count="2">
    <mergeCell ref="A1:P1"/>
    <mergeCell ref="A2:T2"/>
  </mergeCells>
  <conditionalFormatting sqref="A25:D29">
    <cfRule type="expression" dxfId="14" priority="1">
      <formula>MOD(ROW(),2)=0</formula>
    </cfRule>
  </conditionalFormatting>
  <hyperlinks>
    <hyperlink ref="A1" location="'TOC'!$A$1" display="'TOC'!$A$1" xr:uid="{FF541985-AB12-499A-963A-3723AD1F7A4A}"/>
  </hyperlinks>
  <pageMargins left="0.7" right="0.7" top="0.75" bottom="0.75" header="0.3" footer="0.3"/>
  <pageSetup paperSize="9" scale="68" fitToHeight="0" orientation="landscape"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DBDE-AFB6-4BFF-967B-BA352B4CFE4B}">
  <sheetPr codeName="Sheet14">
    <tabColor rgb="FF000000"/>
    <pageSetUpPr fitToPage="1"/>
  </sheetPr>
  <dimension ref="A1:P26"/>
  <sheetViews>
    <sheetView showGridLines="0" workbookViewId="0">
      <selection sqref="A1:P1"/>
    </sheetView>
  </sheetViews>
  <sheetFormatPr defaultRowHeight="15" x14ac:dyDescent="0.25"/>
  <cols>
    <col min="1" max="1" width="12.75" bestFit="1" customWidth="1"/>
    <col min="3" max="4" width="11" bestFit="1" customWidth="1"/>
    <col min="5" max="7" width="11.125" bestFit="1" customWidth="1"/>
    <col min="8" max="8" width="11" bestFit="1" customWidth="1"/>
    <col min="9" max="11" width="11.25" bestFit="1" customWidth="1"/>
    <col min="12" max="12" width="11.125" bestFit="1" customWidth="1"/>
    <col min="13" max="14" width="11.75" bestFit="1" customWidth="1"/>
    <col min="15" max="19" width="12.25" customWidth="1"/>
  </cols>
  <sheetData>
    <row r="1" spans="1:16" ht="46.5" x14ac:dyDescent="0.7">
      <c r="A1" s="185" t="str">
        <f ca="1">_xlfn.TEXTAFTER(CELL("filename",A1),"]")</f>
        <v>oz.PeriodLabelλ</v>
      </c>
      <c r="B1" s="185"/>
      <c r="C1" s="185"/>
      <c r="D1" s="185"/>
      <c r="E1" s="185"/>
      <c r="F1" s="185"/>
      <c r="G1" s="185"/>
      <c r="H1" s="185"/>
      <c r="I1" s="185"/>
      <c r="J1" s="185"/>
      <c r="K1" s="185"/>
      <c r="L1" s="185"/>
      <c r="M1" s="185"/>
      <c r="N1" s="185"/>
      <c r="O1" s="185"/>
      <c r="P1" s="185"/>
    </row>
    <row r="2" spans="1:16" x14ac:dyDescent="0.25">
      <c r="A2" s="186" t="s">
        <v>76</v>
      </c>
      <c r="B2" s="187"/>
      <c r="C2" s="187"/>
      <c r="D2" s="187"/>
      <c r="E2" s="187"/>
      <c r="F2" s="187"/>
      <c r="G2" s="187"/>
      <c r="H2" s="187"/>
      <c r="I2" s="187"/>
      <c r="J2" s="187"/>
      <c r="K2" s="187"/>
      <c r="L2" s="187"/>
      <c r="M2" s="187"/>
      <c r="N2" s="187"/>
      <c r="O2" s="187"/>
      <c r="P2" s="188"/>
    </row>
    <row r="4" spans="1:16" x14ac:dyDescent="0.25">
      <c r="A4" s="55" t="str" cm="1">
        <f t="array" ref="A4:B22">oz.PeriodLabelλ()</f>
        <v>FUNCTION:</v>
      </c>
      <c r="B4" t="str">
        <v>PeriodLabelλ(Date, [Interval])</v>
      </c>
    </row>
    <row r="5" spans="1:16" x14ac:dyDescent="0.25">
      <c r="A5" t="str">
        <v>DESCRIPTION:</v>
      </c>
      <c r="B5" t="str">
        <v>Creates a label for a date based on period interval</v>
      </c>
    </row>
    <row r="6" spans="1:16" x14ac:dyDescent="0.25">
      <c r="A6" t="str">
        <v>WEBPAGE:</v>
      </c>
      <c r="B6" t="str">
        <v>https://github.com/ryanduguid/Ozzit</v>
      </c>
    </row>
    <row r="7" spans="1:16" x14ac:dyDescent="0.25">
      <c r="A7" t="str">
        <v>PARAMETERS:</v>
      </c>
      <c r="B7" t="str">
        <v/>
      </c>
    </row>
    <row r="8" spans="1:16" x14ac:dyDescent="0.25">
      <c r="A8" t="str">
        <v>Date</v>
      </c>
      <c r="B8" t="str">
        <v>(Required) A single date or array of date(s) where the first date is the first date of a calendar year.</v>
      </c>
    </row>
    <row r="9" spans="1:16" x14ac:dyDescent="0.25">
      <c r="A9" t="str">
        <v>Interval</v>
      </c>
      <c r="B9" t="str">
        <v>(Optional) Must be one of:</v>
      </c>
    </row>
    <row r="10" spans="1:16" x14ac:dyDescent="0.25">
      <c r="A10" t="str">
        <v/>
      </c>
      <c r="B10" t="str">
        <v>D=Daily</v>
      </c>
    </row>
    <row r="11" spans="1:16" x14ac:dyDescent="0.25">
      <c r="A11" t="str">
        <v/>
      </c>
      <c r="B11" t="str">
        <v>W=Weekly</v>
      </c>
    </row>
    <row r="12" spans="1:16" x14ac:dyDescent="0.25">
      <c r="A12" t="str">
        <v/>
      </c>
      <c r="B12" t="str">
        <v>I=Weekly (using ISO week number)</v>
      </c>
    </row>
    <row r="13" spans="1:16" x14ac:dyDescent="0.25">
      <c r="A13" t="str">
        <v/>
      </c>
      <c r="B13" t="str">
        <v>M=Monthly</v>
      </c>
    </row>
    <row r="14" spans="1:16" x14ac:dyDescent="0.25">
      <c r="A14" t="str">
        <v/>
      </c>
      <c r="B14" t="str">
        <v>Q=Quarterly</v>
      </c>
    </row>
    <row r="15" spans="1:16" x14ac:dyDescent="0.25">
      <c r="A15" t="str">
        <v/>
      </c>
      <c r="B15" t="str">
        <v>S=Semi-Annually</v>
      </c>
    </row>
    <row r="16" spans="1:16" x14ac:dyDescent="0.25">
      <c r="A16" t="str">
        <v/>
      </c>
      <c r="B16" t="str">
        <v>A or Y=Annually</v>
      </c>
    </row>
    <row r="17" spans="1:14" x14ac:dyDescent="0.25">
      <c r="A17" t="str">
        <v>EXAMPLES:</v>
      </c>
      <c r="B17" t="str">
        <v/>
      </c>
    </row>
    <row r="18" spans="1:14" x14ac:dyDescent="0.25">
      <c r="A18" t="str">
        <v>Result</v>
      </c>
      <c r="B18" t="str">
        <v>Formula (oz is assumed to be the module's name)</v>
      </c>
    </row>
    <row r="19" spans="1:14" x14ac:dyDescent="0.25">
      <c r="A19" t="str">
        <v>2026-Aug-26</v>
      </c>
      <c r="B19" t="str">
        <v>=oz.PeriodLabelλ(DATEVALUE("26/8/2026"), "D")</v>
      </c>
    </row>
    <row r="20" spans="1:14" x14ac:dyDescent="0.25">
      <c r="A20" t="str">
        <v>2026-Aug</v>
      </c>
      <c r="B20" t="str">
        <v>=oz.PeriodLabelλ(DATEVALUE("26/8/2026"), "M")</v>
      </c>
    </row>
    <row r="21" spans="1:14" x14ac:dyDescent="0.25">
      <c r="A21" t="str">
        <v>2026:Q3</v>
      </c>
      <c r="B21" t="str">
        <v>=oz.PeriodLabelλ(DATEVALUE("26/8/2026"), "Q")</v>
      </c>
    </row>
    <row r="22" spans="1:14" x14ac:dyDescent="0.25">
      <c r="A22" t="str">
        <v>2026</v>
      </c>
      <c r="B22" t="str">
        <v>=oz.PeriodLabelλ(DATEVALUE("26/8/2026"), "Y")</v>
      </c>
    </row>
    <row r="25" spans="1:14" x14ac:dyDescent="0.25">
      <c r="A25" t="s">
        <v>25</v>
      </c>
      <c r="B25" t="s">
        <v>129</v>
      </c>
      <c r="C25" s="1" cm="1">
        <f t="array" ref="C25:N25">oz.Timelineλ("1/7/2026", 12, _xlfn.SWITCH(B26, "I", "W", "S", "Q", B26))</f>
        <v>46204</v>
      </c>
      <c r="D25" s="1">
        <v>46569</v>
      </c>
      <c r="E25" s="1">
        <v>46935</v>
      </c>
      <c r="F25" s="1">
        <v>47300</v>
      </c>
      <c r="G25" s="1">
        <v>47665</v>
      </c>
      <c r="H25" s="1">
        <v>48030</v>
      </c>
      <c r="I25" s="1">
        <v>48396</v>
      </c>
      <c r="J25" s="1">
        <v>48761</v>
      </c>
      <c r="K25" s="1">
        <v>49126</v>
      </c>
      <c r="L25" s="1">
        <v>49491</v>
      </c>
      <c r="M25" s="1">
        <v>49857</v>
      </c>
      <c r="N25" s="1">
        <v>50222</v>
      </c>
    </row>
    <row r="26" spans="1:14" x14ac:dyDescent="0.25">
      <c r="A26" t="s">
        <v>128</v>
      </c>
      <c r="B26" s="125" t="s">
        <v>2</v>
      </c>
      <c r="C26" s="55" t="str" cm="1">
        <f t="array" ref="C26:N26">oz.PeriodLabelλ(_xlfn.ANCHORARRAY(C25),B26)</f>
        <v>2026</v>
      </c>
      <c r="D26" t="str">
        <v>2027</v>
      </c>
      <c r="E26" t="str">
        <v>2028</v>
      </c>
      <c r="F26" t="str">
        <v>2029</v>
      </c>
      <c r="G26" t="str">
        <v>2030</v>
      </c>
      <c r="H26" t="str">
        <v>2031</v>
      </c>
      <c r="I26" t="str">
        <v>2032</v>
      </c>
      <c r="J26" t="str">
        <v>2033</v>
      </c>
      <c r="K26" t="str">
        <v>2034</v>
      </c>
      <c r="L26" t="str">
        <v>2035</v>
      </c>
      <c r="M26" t="str">
        <v>2036</v>
      </c>
      <c r="N26" t="str">
        <v>2037</v>
      </c>
    </row>
  </sheetData>
  <mergeCells count="2">
    <mergeCell ref="A1:P1"/>
    <mergeCell ref="A2:P2"/>
  </mergeCells>
  <dataValidations count="1">
    <dataValidation type="list" allowBlank="1" showInputMessage="1" showErrorMessage="1" sqref="B26" xr:uid="{18A55FE3-E8C5-43CC-A8D2-2BB1CE755784}">
      <formula1>"D,W,I,M,Q,S,Y"</formula1>
    </dataValidation>
  </dataValidations>
  <hyperlinks>
    <hyperlink ref="A1" location="'TOC'!$A$1" display="'TOC'!$A$1" xr:uid="{CEACC5E1-D644-438B-92B3-FB4A111CDDC8}"/>
  </hyperlinks>
  <pageMargins left="0.7" right="0.7" top="0.75" bottom="0.75" header="0.3" footer="0.3"/>
  <pageSetup paperSize="9" scale="69" fitToHeight="0" orientation="landscape"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DC5B-2BCD-4E2E-8CF4-88D199BAF318}">
  <sheetPr codeName="Sheet15">
    <tabColor rgb="FF000000"/>
    <pageSetUpPr fitToPage="1"/>
  </sheetPr>
  <dimension ref="A1:Q48"/>
  <sheetViews>
    <sheetView showGridLines="0" workbookViewId="0">
      <selection sqref="A1:M1"/>
    </sheetView>
  </sheetViews>
  <sheetFormatPr defaultRowHeight="15" x14ac:dyDescent="0.25"/>
  <cols>
    <col min="1" max="1" width="15" bestFit="1" customWidth="1"/>
    <col min="2" max="2" width="14" customWidth="1"/>
    <col min="3" max="3" width="10" bestFit="1" customWidth="1"/>
    <col min="6" max="17" width="12.25" customWidth="1"/>
  </cols>
  <sheetData>
    <row r="1" spans="1:15" ht="46.5" x14ac:dyDescent="0.7">
      <c r="A1" s="185" t="str">
        <f ca="1">_xlfn.TEXTAFTER(CELL("filename",A1),"]")</f>
        <v>oz.ScheduleRatesλ</v>
      </c>
      <c r="B1" s="185"/>
      <c r="C1" s="185"/>
      <c r="D1" s="185"/>
      <c r="E1" s="185"/>
      <c r="F1" s="185"/>
      <c r="G1" s="185"/>
      <c r="H1" s="185"/>
      <c r="I1" s="185"/>
      <c r="J1" s="185"/>
      <c r="K1" s="185"/>
      <c r="L1" s="185"/>
      <c r="M1" s="185"/>
      <c r="N1" s="6"/>
    </row>
    <row r="2" spans="1:15" x14ac:dyDescent="0.25">
      <c r="A2" s="186" t="s">
        <v>77</v>
      </c>
      <c r="B2" s="191"/>
      <c r="C2" s="191"/>
      <c r="D2" s="191"/>
      <c r="E2" s="191"/>
      <c r="F2" s="191"/>
      <c r="G2" s="191"/>
      <c r="H2" s="191"/>
      <c r="I2" s="191"/>
      <c r="J2" s="191"/>
      <c r="K2" s="191"/>
      <c r="L2" s="191"/>
      <c r="M2" s="191"/>
      <c r="N2" s="191"/>
      <c r="O2" s="191"/>
    </row>
    <row r="4" spans="1:15" x14ac:dyDescent="0.25">
      <c r="A4" s="24" t="str" cm="1">
        <f t="array" ref="A4:B14">oz.ScheduleRatesλ()</f>
        <v>FUNCTION:</v>
      </c>
      <c r="B4" t="str">
        <v>ScheduleRatesλ(PeriodEnds, RateStarts, Rates)</v>
      </c>
    </row>
    <row r="5" spans="1:15" x14ac:dyDescent="0.25">
      <c r="A5" t="str">
        <v>DESCRIPTION:</v>
      </c>
      <c r="B5" t="str">
        <v>Schedules rates that persist until replaced in a timeline from a schedule in a table.</v>
      </c>
    </row>
    <row r="6" spans="1:15" x14ac:dyDescent="0.25">
      <c r="A6" t="str">
        <v>NOTE!</v>
      </c>
      <c r="B6" t="str">
        <v>If 2 rates are scheduled within the same period, only the last rate will be selected.</v>
      </c>
    </row>
    <row r="7" spans="1:15" x14ac:dyDescent="0.25">
      <c r="A7" t="str">
        <v>WEBPAGE:</v>
      </c>
      <c r="B7" t="str">
        <v>https://github.com/ryanduguid/Ozzit</v>
      </c>
    </row>
    <row r="8" spans="1:15" x14ac:dyDescent="0.25">
      <c r="A8" t="str">
        <v>PARAMETERS:</v>
      </c>
      <c r="B8" t="str">
        <v/>
      </c>
    </row>
    <row r="9" spans="1:15" x14ac:dyDescent="0.25">
      <c r="A9" t="str">
        <v>PeriodEnds</v>
      </c>
      <c r="B9" t="str">
        <v>(Required) A row of period end dates (timeline).</v>
      </c>
    </row>
    <row r="10" spans="1:15" x14ac:dyDescent="0.25">
      <c r="A10" t="str">
        <v>RateStarts</v>
      </c>
      <c r="B10" t="str">
        <v>(Required) A column or row of rate effective dates in any order.</v>
      </c>
    </row>
    <row r="11" spans="1:15" x14ac:dyDescent="0.25">
      <c r="A11" t="str">
        <v>Rates</v>
      </c>
      <c r="B11" t="str">
        <v>(Required) A column or row of rates associated with RateStarts.</v>
      </c>
    </row>
    <row r="12" spans="1:15" x14ac:dyDescent="0.25">
      <c r="A12" t="str">
        <v>EXAMPLES:</v>
      </c>
      <c r="B12" t="str">
        <v/>
      </c>
    </row>
    <row r="13" spans="1:15" x14ac:dyDescent="0.25">
      <c r="A13" t="str">
        <v>Result</v>
      </c>
      <c r="B13" t="str">
        <v>Formula (oz is assumed to be the module's name)</v>
      </c>
    </row>
    <row r="14" spans="1:15" x14ac:dyDescent="0.25">
      <c r="A14" t="str">
        <v>_,10,20,30,30</v>
      </c>
      <c r="B14" t="str">
        <v>=oz.ScheduleRatesλ(Timelineλ("1/7/2026",5,"W"),{46208; 46216; 46222}, {10; 20; 30})</v>
      </c>
    </row>
    <row r="18" spans="1:17" x14ac:dyDescent="0.25">
      <c r="E18" s="20" t="s">
        <v>26</v>
      </c>
      <c r="F18" s="25" cm="1">
        <f t="array" ref="F18:Q18">oz.Timelineλ($B$21,$B$22,$B$23)</f>
        <v>46204</v>
      </c>
      <c r="G18" s="25">
        <v>46235</v>
      </c>
      <c r="H18" s="25">
        <v>46266</v>
      </c>
      <c r="I18" s="25">
        <v>46296</v>
      </c>
      <c r="J18" s="25">
        <v>46327</v>
      </c>
      <c r="K18" s="25">
        <v>46357</v>
      </c>
      <c r="L18" s="25">
        <v>46388</v>
      </c>
      <c r="M18" s="25">
        <v>46419</v>
      </c>
      <c r="N18" s="25">
        <v>46447</v>
      </c>
      <c r="O18" s="25">
        <v>46478</v>
      </c>
      <c r="P18" s="25">
        <v>46508</v>
      </c>
      <c r="Q18" s="25">
        <v>46539</v>
      </c>
    </row>
    <row r="19" spans="1:17" x14ac:dyDescent="0.25">
      <c r="A19" s="8" t="s">
        <v>13</v>
      </c>
      <c r="B19" s="9" t="s">
        <v>14</v>
      </c>
      <c r="C19" s="8" t="s">
        <v>15</v>
      </c>
      <c r="E19" s="19" t="s">
        <v>27</v>
      </c>
      <c r="F19" s="1" cm="1">
        <f t="array" ref="F19:Q19">oz.Timelineλ($B$21,$B$22,$B$23, FALSE)</f>
        <v>46234</v>
      </c>
      <c r="G19" s="1">
        <v>46265</v>
      </c>
      <c r="H19" s="1">
        <v>46295</v>
      </c>
      <c r="I19" s="1">
        <v>46326</v>
      </c>
      <c r="J19" s="1">
        <v>46356</v>
      </c>
      <c r="K19" s="1">
        <v>46387</v>
      </c>
      <c r="L19" s="1">
        <v>46418</v>
      </c>
      <c r="M19" s="1">
        <v>46446</v>
      </c>
      <c r="N19" s="1">
        <v>46477</v>
      </c>
      <c r="O19" s="1">
        <v>46507</v>
      </c>
      <c r="P19" s="1">
        <v>46538</v>
      </c>
      <c r="Q19" s="1">
        <v>46568</v>
      </c>
    </row>
    <row r="20" spans="1:17" ht="21" x14ac:dyDescent="0.35">
      <c r="A20" s="197" t="s">
        <v>57</v>
      </c>
      <c r="B20" s="197"/>
      <c r="C20" s="197"/>
    </row>
    <row r="21" spans="1:17" x14ac:dyDescent="0.25">
      <c r="A21" s="14" t="s">
        <v>26</v>
      </c>
      <c r="B21" s="12">
        <v>46204</v>
      </c>
      <c r="C21" t="s">
        <v>21</v>
      </c>
    </row>
    <row r="22" spans="1:17" x14ac:dyDescent="0.25">
      <c r="A22" s="14" t="s">
        <v>17</v>
      </c>
      <c r="B22" s="15">
        <v>12</v>
      </c>
      <c r="C22" t="s">
        <v>21</v>
      </c>
    </row>
    <row r="23" spans="1:17" x14ac:dyDescent="0.25">
      <c r="A23" s="14" t="s">
        <v>18</v>
      </c>
      <c r="B23" s="11" t="s">
        <v>20</v>
      </c>
      <c r="C23" t="s">
        <v>29</v>
      </c>
    </row>
    <row r="25" spans="1:17" ht="21" x14ac:dyDescent="0.35">
      <c r="A25" s="197" t="s">
        <v>32</v>
      </c>
      <c r="B25" s="197"/>
      <c r="C25" s="197"/>
    </row>
    <row r="26" spans="1:17" x14ac:dyDescent="0.25">
      <c r="A26" s="26" t="s">
        <v>33</v>
      </c>
      <c r="B26" s="12">
        <v>46204</v>
      </c>
      <c r="C26" t="s">
        <v>21</v>
      </c>
    </row>
    <row r="27" spans="1:17" x14ac:dyDescent="0.25">
      <c r="A27" s="26" t="s">
        <v>34</v>
      </c>
      <c r="B27" s="12">
        <v>46357</v>
      </c>
      <c r="C27" t="s">
        <v>21</v>
      </c>
    </row>
    <row r="28" spans="1:17" x14ac:dyDescent="0.25">
      <c r="A28" s="26" t="s">
        <v>35</v>
      </c>
      <c r="B28" s="17">
        <v>5</v>
      </c>
      <c r="C28" t="s">
        <v>37</v>
      </c>
    </row>
    <row r="29" spans="1:17" x14ac:dyDescent="0.25">
      <c r="A29" s="26" t="s">
        <v>36</v>
      </c>
      <c r="B29" s="17">
        <v>10</v>
      </c>
      <c r="C29" t="s">
        <v>37</v>
      </c>
      <c r="F29" s="24" cm="1">
        <f t="array" ref="F29:Q29">oz.ScheduleRatesλ(_xlfn.ANCHORARRAY($F$19),$B$26:$B$27,$B$28:$B$29)</f>
        <v>5</v>
      </c>
      <c r="G29">
        <v>5</v>
      </c>
      <c r="H29">
        <v>5</v>
      </c>
      <c r="I29">
        <v>5</v>
      </c>
      <c r="J29">
        <v>5</v>
      </c>
      <c r="K29">
        <v>10</v>
      </c>
      <c r="L29">
        <v>10</v>
      </c>
      <c r="M29">
        <v>10</v>
      </c>
      <c r="N29">
        <v>10</v>
      </c>
      <c r="O29">
        <v>10</v>
      </c>
      <c r="P29">
        <v>10</v>
      </c>
      <c r="Q29">
        <v>10</v>
      </c>
    </row>
    <row r="33" spans="1:17" ht="21" x14ac:dyDescent="0.35">
      <c r="A33" s="197" t="s">
        <v>56</v>
      </c>
      <c r="B33" s="199"/>
      <c r="C33" s="10"/>
    </row>
    <row r="34" spans="1:17" x14ac:dyDescent="0.25">
      <c r="A34" s="194"/>
      <c r="B34" s="196"/>
    </row>
    <row r="35" spans="1:17" x14ac:dyDescent="0.25">
      <c r="A35" s="28" t="s">
        <v>38</v>
      </c>
      <c r="B35" s="18" t="s">
        <v>39</v>
      </c>
      <c r="F35" s="24" cm="1">
        <f t="array" ref="F35:Q35">oz.ScheduleRatesλ(_xlfn.ANCHORARRAY(F19),tblRents[Rate Starts],tblRents[Rate Amount])</f>
        <v>100</v>
      </c>
      <c r="G35">
        <v>100</v>
      </c>
      <c r="H35">
        <v>125</v>
      </c>
      <c r="I35">
        <v>125</v>
      </c>
      <c r="J35">
        <v>125</v>
      </c>
      <c r="K35">
        <v>150</v>
      </c>
      <c r="L35">
        <v>150</v>
      </c>
      <c r="M35">
        <v>150</v>
      </c>
      <c r="N35">
        <v>150</v>
      </c>
      <c r="O35">
        <v>150</v>
      </c>
      <c r="P35">
        <v>150</v>
      </c>
      <c r="Q35">
        <v>150</v>
      </c>
    </row>
    <row r="36" spans="1:17" x14ac:dyDescent="0.25">
      <c r="A36" s="13">
        <v>46204</v>
      </c>
      <c r="B36">
        <v>100</v>
      </c>
    </row>
    <row r="37" spans="1:17" x14ac:dyDescent="0.25">
      <c r="A37" s="13">
        <v>46280</v>
      </c>
      <c r="B37">
        <v>125</v>
      </c>
    </row>
    <row r="38" spans="1:17" x14ac:dyDescent="0.25">
      <c r="A38" s="13">
        <v>46371</v>
      </c>
      <c r="B38">
        <v>150</v>
      </c>
    </row>
    <row r="40" spans="1:17" ht="21" x14ac:dyDescent="0.35">
      <c r="A40" s="197" t="s">
        <v>55</v>
      </c>
      <c r="B40" s="198"/>
      <c r="C40" s="199"/>
    </row>
    <row r="41" spans="1:17" x14ac:dyDescent="0.25">
      <c r="A41" s="194"/>
      <c r="B41" s="195"/>
      <c r="C41" s="196"/>
    </row>
    <row r="42" spans="1:17" x14ac:dyDescent="0.25">
      <c r="A42" s="7" t="s">
        <v>40</v>
      </c>
      <c r="B42" s="7" t="s">
        <v>41</v>
      </c>
      <c r="C42" s="7" t="s">
        <v>42</v>
      </c>
      <c r="F42" s="24" cm="1">
        <f t="array" ref="F42:Q42">oz.ScheduleRatesλ(_xlfn.ANCHORARRAY(F19),tblUnits[Ready Dates],tblUnits[Total Units])</f>
        <v>10</v>
      </c>
      <c r="G42">
        <v>20</v>
      </c>
      <c r="H42">
        <v>20</v>
      </c>
      <c r="I42">
        <v>25</v>
      </c>
      <c r="J42">
        <v>40</v>
      </c>
      <c r="K42">
        <v>40</v>
      </c>
      <c r="L42">
        <v>40</v>
      </c>
      <c r="M42">
        <v>40</v>
      </c>
      <c r="N42">
        <v>40</v>
      </c>
      <c r="O42">
        <v>40</v>
      </c>
      <c r="P42">
        <v>40</v>
      </c>
      <c r="Q42">
        <v>40</v>
      </c>
    </row>
    <row r="43" spans="1:17" x14ac:dyDescent="0.25">
      <c r="A43" s="13">
        <v>46204</v>
      </c>
      <c r="B43">
        <v>10</v>
      </c>
      <c r="C43">
        <f>SUMIFS(tblUnits[Units Built],tblUnits[Ready Dates],"&lt;=" &amp; tblUnits[[#This Row],[Ready Dates]])</f>
        <v>10</v>
      </c>
    </row>
    <row r="44" spans="1:17" x14ac:dyDescent="0.25">
      <c r="A44" s="13">
        <v>46235</v>
      </c>
      <c r="B44">
        <v>10</v>
      </c>
      <c r="C44">
        <f>SUMIFS(tblUnits[Units Built],tblUnits[Ready Dates],"&lt;=" &amp; tblUnits[[#This Row],[Ready Dates]])</f>
        <v>20</v>
      </c>
    </row>
    <row r="45" spans="1:17" x14ac:dyDescent="0.25">
      <c r="A45" s="13">
        <v>46296</v>
      </c>
      <c r="B45">
        <v>5</v>
      </c>
      <c r="C45">
        <f>SUMIFS(tblUnits[Units Built],tblUnits[Ready Dates],"&lt;=" &amp; tblUnits[[#This Row],[Ready Dates]])</f>
        <v>25</v>
      </c>
    </row>
    <row r="46" spans="1:17" x14ac:dyDescent="0.25">
      <c r="A46" s="13">
        <v>46327</v>
      </c>
      <c r="B46">
        <v>15</v>
      </c>
      <c r="C46">
        <f>SUMIFS(tblUnits[Units Built],tblUnits[Ready Dates],"&lt;=" &amp; tblUnits[[#This Row],[Ready Dates]])</f>
        <v>40</v>
      </c>
    </row>
    <row r="48" spans="1:17" x14ac:dyDescent="0.25">
      <c r="A48" s="2" t="s">
        <v>43</v>
      </c>
      <c r="F48" cm="1">
        <f t="array" ref="F48:Q48">_xlfn.ANCHORARRAY(F42)*_xlfn.ANCHORARRAY(F35)</f>
        <v>1000</v>
      </c>
      <c r="G48">
        <v>2000</v>
      </c>
      <c r="H48">
        <v>2500</v>
      </c>
      <c r="I48">
        <v>3125</v>
      </c>
      <c r="J48">
        <v>5000</v>
      </c>
      <c r="K48">
        <v>6000</v>
      </c>
      <c r="L48">
        <v>6000</v>
      </c>
      <c r="M48">
        <v>6000</v>
      </c>
      <c r="N48">
        <v>6000</v>
      </c>
      <c r="O48">
        <v>6000</v>
      </c>
      <c r="P48">
        <v>6000</v>
      </c>
      <c r="Q48">
        <v>6000</v>
      </c>
    </row>
  </sheetData>
  <mergeCells count="8">
    <mergeCell ref="A41:C41"/>
    <mergeCell ref="A40:C40"/>
    <mergeCell ref="A25:C25"/>
    <mergeCell ref="A20:C20"/>
    <mergeCell ref="A1:M1"/>
    <mergeCell ref="A34:B34"/>
    <mergeCell ref="A33:B33"/>
    <mergeCell ref="A2:O2"/>
  </mergeCells>
  <dataValidations disablePrompts="1" count="1">
    <dataValidation type="list" allowBlank="1" showInputMessage="1" showErrorMessage="1" sqref="B23" xr:uid="{672B3F80-1A45-446D-8779-8DF7A2FB36D8}">
      <formula1>"M,Q,Y"</formula1>
    </dataValidation>
  </dataValidations>
  <hyperlinks>
    <hyperlink ref="A1" location="'TOC'!$A$1" display="'TOC'!$A$1" xr:uid="{65A05DB4-6192-495B-9957-06B33056669F}"/>
  </hyperlinks>
  <pageMargins left="0.7" right="0.7" top="0.75" bottom="0.75" header="0.3" footer="0.3"/>
  <pageSetup paperSize="9" scale="61" fitToHeight="0" orientation="landscape" horizontalDpi="0" verticalDpi="0"/>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E6D54-E14E-4966-8F52-B7900E227797}">
  <sheetPr codeName="Sheet16">
    <tabColor rgb="FF000000"/>
    <pageSetUpPr fitToPage="1"/>
  </sheetPr>
  <dimension ref="A1:T38"/>
  <sheetViews>
    <sheetView showGridLines="0" workbookViewId="0">
      <selection sqref="A1:P1"/>
    </sheetView>
  </sheetViews>
  <sheetFormatPr defaultRowHeight="15" x14ac:dyDescent="0.25"/>
  <cols>
    <col min="1" max="1" width="12.75" bestFit="1" customWidth="1"/>
    <col min="2" max="2" width="10.625" bestFit="1" customWidth="1"/>
    <col min="5" max="5" width="11.25" bestFit="1" customWidth="1"/>
    <col min="9" max="20" width="12.25" customWidth="1"/>
  </cols>
  <sheetData>
    <row r="1" spans="1:16" ht="46.5" x14ac:dyDescent="0.7">
      <c r="A1" s="185" t="str">
        <f ca="1">_xlfn.TEXTAFTER(CELL("filename",A1),"]")</f>
        <v>oz.ScheduleRatesByItemsλ</v>
      </c>
      <c r="B1" s="185"/>
      <c r="C1" s="185"/>
      <c r="D1" s="185"/>
      <c r="E1" s="185"/>
      <c r="F1" s="185"/>
      <c r="G1" s="185"/>
      <c r="H1" s="185"/>
      <c r="I1" s="185"/>
      <c r="J1" s="185"/>
      <c r="K1" s="185"/>
      <c r="L1" s="185"/>
      <c r="M1" s="185"/>
      <c r="N1" s="185"/>
      <c r="O1" s="185"/>
      <c r="P1" s="185"/>
    </row>
    <row r="2" spans="1:16" x14ac:dyDescent="0.25">
      <c r="A2" s="186" t="s">
        <v>78</v>
      </c>
      <c r="B2" s="187"/>
      <c r="C2" s="187"/>
      <c r="D2" s="187"/>
      <c r="E2" s="187"/>
      <c r="F2" s="187"/>
      <c r="G2" s="187"/>
      <c r="H2" s="187"/>
      <c r="I2" s="187"/>
      <c r="J2" s="187"/>
      <c r="K2" s="187"/>
      <c r="L2" s="187"/>
      <c r="M2" s="187"/>
      <c r="N2" s="187"/>
      <c r="O2" s="187"/>
      <c r="P2" s="188"/>
    </row>
    <row r="4" spans="1:16" x14ac:dyDescent="0.25">
      <c r="A4" s="55" t="str" cm="1">
        <f t="array" ref="A4:B20">oz.ScheduleRatesByItemsλ()</f>
        <v>FUNCTION:</v>
      </c>
      <c r="B4" t="str">
        <v>ScheduleRatesByItemsλ(PeriodEnds, ItemFilter, ItemList, EffectiveList, RateList)</v>
      </c>
    </row>
    <row r="5" spans="1:16" x14ac:dyDescent="0.25">
      <c r="A5" t="str">
        <v>DESCRIPTION:</v>
      </c>
      <c r="B5" t="str">
        <v>Schedules each item's rates by period until another rate takes effect.</v>
      </c>
    </row>
    <row r="6" spans="1:16" x14ac:dyDescent="0.25">
      <c r="A6" t="str">
        <v>NOTE!</v>
      </c>
      <c r="B6" t="str">
        <v>If 2 rates are scheduled within the same period for the same item, .</v>
      </c>
    </row>
    <row r="7" spans="1:16" x14ac:dyDescent="0.25">
      <c r="A7" t="str">
        <v/>
      </c>
      <c r="B7" t="str">
        <v>only the last rate will be selected.</v>
      </c>
    </row>
    <row r="8" spans="1:16" x14ac:dyDescent="0.25">
      <c r="A8" t="str">
        <v>WEBPAGE:</v>
      </c>
      <c r="B8" t="str">
        <v>https://github.com/ryanduguid/Ozzit</v>
      </c>
    </row>
    <row r="9" spans="1:16" x14ac:dyDescent="0.25">
      <c r="A9" t="str">
        <v>PARAMETERS:</v>
      </c>
      <c r="B9" t="str">
        <v/>
      </c>
    </row>
    <row r="10" spans="1:16" x14ac:dyDescent="0.25">
      <c r="A10" t="str">
        <v>PeriodEnds</v>
      </c>
      <c r="B10" t="str">
        <v>(Required) A row of period end dates (timeline).</v>
      </c>
    </row>
    <row r="11" spans="1:16" x14ac:dyDescent="0.25">
      <c r="A11" t="str">
        <v>ItemFilter</v>
      </c>
      <c r="B11" t="str">
        <v>(Required) A column of 1 or more items to filter a rate schedule by.</v>
      </c>
    </row>
    <row r="12" spans="1:16" x14ac:dyDescent="0.25">
      <c r="A12" t="str">
        <v/>
      </c>
      <c r="B12" t="str">
        <v>A 'rate schedule' is a table/list where each row contains a unique item/effective date pair with a rate.</v>
      </c>
    </row>
    <row r="13" spans="1:16" x14ac:dyDescent="0.25">
      <c r="A13" t="str">
        <v/>
      </c>
      <c r="B13" t="str">
        <v>An item with no rate in the schedule scores nought in every period.</v>
      </c>
    </row>
    <row r="14" spans="1:16" x14ac:dyDescent="0.25">
      <c r="A14" t="str">
        <v>ItemList</v>
      </c>
      <c r="B14" t="str">
        <v>(Required) Items in a rate schedule.</v>
      </c>
    </row>
    <row r="15" spans="1:16" x14ac:dyDescent="0.25">
      <c r="A15" t="str">
        <v>EffectiveList</v>
      </c>
      <c r="B15" t="str">
        <v>(Required) Effective dates in the rate schedule.</v>
      </c>
    </row>
    <row r="16" spans="1:16" x14ac:dyDescent="0.25">
      <c r="A16" t="str">
        <v>RateList</v>
      </c>
      <c r="B16" t="str">
        <v>(Required) Rates in a rate schedule for each item/effective date pair.</v>
      </c>
    </row>
    <row r="17" spans="1:20" x14ac:dyDescent="0.25">
      <c r="A17" t="str">
        <v>EXAMPLES:</v>
      </c>
      <c r="B17" t="str">
        <v/>
      </c>
    </row>
    <row r="18" spans="1:20" x14ac:dyDescent="0.25">
      <c r="A18" t="str">
        <v>Result</v>
      </c>
      <c r="B18" t="str">
        <v>Formula (oz is assumed to be the module's name)</v>
      </c>
    </row>
    <row r="19" spans="1:20" x14ac:dyDescent="0.25">
      <c r="A19" t="str">
        <v/>
      </c>
      <c r="B19" t="str">
        <v>=oz.ScheduleRatesByItemsλ( oz.Timelineλ( "1/7/2026"), UNIQUE( tblRates[Unit]),</v>
      </c>
    </row>
    <row r="20" spans="1:20" x14ac:dyDescent="0.25">
      <c r="A20" t="str">
        <v/>
      </c>
      <c r="B20" t="str">
        <v>tblRates[Unit], tblRates[Effective], tblRates[Rent])</v>
      </c>
    </row>
    <row r="22" spans="1:20" ht="21" x14ac:dyDescent="0.35">
      <c r="D22" s="200" t="s">
        <v>231</v>
      </c>
      <c r="E22" s="201"/>
      <c r="F22" s="201"/>
    </row>
    <row r="23" spans="1:20" x14ac:dyDescent="0.25">
      <c r="D23" s="202"/>
      <c r="E23" s="201"/>
      <c r="F23" s="201"/>
      <c r="I23" s="18" t="s">
        <v>130</v>
      </c>
    </row>
    <row r="24" spans="1:20" x14ac:dyDescent="0.25">
      <c r="A24" s="8" t="s">
        <v>0</v>
      </c>
      <c r="B24" s="8" t="s">
        <v>14</v>
      </c>
      <c r="D24" t="s">
        <v>131</v>
      </c>
      <c r="E24" s="7" t="s">
        <v>132</v>
      </c>
      <c r="F24" s="7" t="s">
        <v>133</v>
      </c>
      <c r="H24" s="8" t="s">
        <v>134</v>
      </c>
      <c r="I24" s="1" cm="1">
        <f t="array" ref="I24:T24">oz.Timelineλ(B25, B27, B26, FALSE)</f>
        <v>46234</v>
      </c>
      <c r="J24" s="1">
        <v>46265</v>
      </c>
      <c r="K24" s="1">
        <v>46295</v>
      </c>
      <c r="L24" s="1">
        <v>46326</v>
      </c>
      <c r="M24" s="1">
        <v>46356</v>
      </c>
      <c r="N24" s="1">
        <v>46387</v>
      </c>
      <c r="O24" s="1">
        <v>46418</v>
      </c>
      <c r="P24" s="1">
        <v>46446</v>
      </c>
      <c r="Q24" s="1">
        <v>46477</v>
      </c>
      <c r="R24" s="1">
        <v>46507</v>
      </c>
      <c r="S24" s="1">
        <v>46538</v>
      </c>
      <c r="T24" s="1">
        <v>46568</v>
      </c>
    </row>
    <row r="25" spans="1:20" x14ac:dyDescent="0.25">
      <c r="A25" t="s">
        <v>112</v>
      </c>
      <c r="B25" s="56">
        <v>46204</v>
      </c>
      <c r="D25" t="s">
        <v>135</v>
      </c>
      <c r="E25" s="34">
        <v>46227</v>
      </c>
      <c r="F25">
        <v>291</v>
      </c>
      <c r="H25" t="str" cm="1">
        <f t="array" ref="H25:H29">_xlfn._xlws.SORT(_xlfn.UNIQUE(tblItems[Item]))</f>
        <v>Unit 100</v>
      </c>
      <c r="I25" s="55" cm="1">
        <f t="array" ref="I25:T29">oz.ScheduleRatesByItemsλ(_xlfn.ANCHORARRAY(I24),_xlfn.ANCHORARRAY( H25), tblItems[Item],tblItems[Effective],tblItems[Rate])</f>
        <v>0</v>
      </c>
      <c r="J25">
        <v>0</v>
      </c>
      <c r="K25">
        <v>0</v>
      </c>
      <c r="L25">
        <v>291</v>
      </c>
      <c r="M25">
        <v>291</v>
      </c>
      <c r="N25">
        <v>291</v>
      </c>
      <c r="O25">
        <v>291</v>
      </c>
      <c r="P25">
        <v>291</v>
      </c>
      <c r="Q25">
        <v>291</v>
      </c>
      <c r="R25">
        <v>325</v>
      </c>
      <c r="S25">
        <v>325</v>
      </c>
      <c r="T25">
        <v>325</v>
      </c>
    </row>
    <row r="26" spans="1:20" x14ac:dyDescent="0.25">
      <c r="A26" t="s">
        <v>18</v>
      </c>
      <c r="B26" s="17" t="s">
        <v>20</v>
      </c>
      <c r="D26" t="s">
        <v>137</v>
      </c>
      <c r="E26" s="34">
        <v>46231</v>
      </c>
      <c r="F26">
        <v>515</v>
      </c>
      <c r="H26" t="str">
        <v>Unit 200</v>
      </c>
      <c r="I26">
        <v>291</v>
      </c>
      <c r="J26">
        <v>291</v>
      </c>
      <c r="K26">
        <v>291</v>
      </c>
      <c r="L26">
        <v>291</v>
      </c>
      <c r="M26">
        <v>291</v>
      </c>
      <c r="N26">
        <v>291</v>
      </c>
      <c r="O26">
        <v>291</v>
      </c>
      <c r="P26">
        <v>295</v>
      </c>
      <c r="Q26">
        <v>295</v>
      </c>
      <c r="R26">
        <v>295</v>
      </c>
      <c r="S26">
        <v>295</v>
      </c>
      <c r="T26">
        <v>295</v>
      </c>
    </row>
    <row r="27" spans="1:20" x14ac:dyDescent="0.25">
      <c r="A27" t="s">
        <v>17</v>
      </c>
      <c r="B27" s="57">
        <v>12</v>
      </c>
      <c r="D27" t="s">
        <v>139</v>
      </c>
      <c r="E27" s="34">
        <v>46235</v>
      </c>
      <c r="F27">
        <v>100</v>
      </c>
      <c r="H27" t="str">
        <v>Unit 300</v>
      </c>
      <c r="I27">
        <v>515</v>
      </c>
      <c r="J27">
        <v>515</v>
      </c>
      <c r="K27">
        <v>515</v>
      </c>
      <c r="L27">
        <v>515</v>
      </c>
      <c r="M27">
        <v>515</v>
      </c>
      <c r="N27">
        <v>520</v>
      </c>
      <c r="O27">
        <v>520</v>
      </c>
      <c r="P27">
        <v>520</v>
      </c>
      <c r="Q27">
        <v>520</v>
      </c>
      <c r="R27">
        <v>535</v>
      </c>
      <c r="S27">
        <v>535</v>
      </c>
      <c r="T27">
        <v>535</v>
      </c>
    </row>
    <row r="28" spans="1:20" x14ac:dyDescent="0.25">
      <c r="D28" t="s">
        <v>136</v>
      </c>
      <c r="E28" s="34">
        <v>46298</v>
      </c>
      <c r="F28">
        <v>291</v>
      </c>
      <c r="H28" t="str">
        <v>Unit 400</v>
      </c>
      <c r="I28">
        <v>0</v>
      </c>
      <c r="J28">
        <v>0</v>
      </c>
      <c r="K28">
        <v>0</v>
      </c>
      <c r="L28">
        <v>0</v>
      </c>
      <c r="M28">
        <v>0</v>
      </c>
      <c r="N28">
        <v>0</v>
      </c>
      <c r="O28">
        <v>0</v>
      </c>
      <c r="P28">
        <v>250</v>
      </c>
      <c r="Q28">
        <v>275</v>
      </c>
      <c r="R28">
        <v>300</v>
      </c>
      <c r="S28">
        <v>300</v>
      </c>
      <c r="T28">
        <v>300</v>
      </c>
    </row>
    <row r="29" spans="1:20" x14ac:dyDescent="0.25">
      <c r="D29" t="s">
        <v>137</v>
      </c>
      <c r="E29" s="34">
        <v>46357</v>
      </c>
      <c r="F29">
        <v>520</v>
      </c>
      <c r="H29" t="str">
        <v>Unit 500</v>
      </c>
      <c r="I29">
        <v>0</v>
      </c>
      <c r="J29">
        <v>100</v>
      </c>
      <c r="K29">
        <v>100</v>
      </c>
      <c r="L29">
        <v>100</v>
      </c>
      <c r="M29">
        <v>100</v>
      </c>
      <c r="N29">
        <v>125</v>
      </c>
      <c r="O29">
        <v>125</v>
      </c>
      <c r="P29">
        <v>125</v>
      </c>
      <c r="Q29">
        <v>125</v>
      </c>
      <c r="R29">
        <v>125</v>
      </c>
      <c r="S29">
        <v>150</v>
      </c>
      <c r="T29">
        <v>150</v>
      </c>
    </row>
    <row r="30" spans="1:20" x14ac:dyDescent="0.25">
      <c r="D30" t="s">
        <v>139</v>
      </c>
      <c r="E30" s="34">
        <v>46357</v>
      </c>
      <c r="F30">
        <v>125</v>
      </c>
    </row>
    <row r="31" spans="1:20" x14ac:dyDescent="0.25">
      <c r="D31" t="s">
        <v>135</v>
      </c>
      <c r="E31" s="34">
        <v>46424</v>
      </c>
      <c r="F31">
        <v>295</v>
      </c>
    </row>
    <row r="32" spans="1:20" x14ac:dyDescent="0.25">
      <c r="D32" t="s">
        <v>138</v>
      </c>
      <c r="E32" s="34">
        <v>46429</v>
      </c>
      <c r="F32">
        <v>250</v>
      </c>
      <c r="J32">
        <f>SIGN(0)</f>
        <v>0</v>
      </c>
    </row>
    <row r="33" spans="4:6" x14ac:dyDescent="0.25">
      <c r="D33" t="s">
        <v>138</v>
      </c>
      <c r="E33" s="34">
        <v>46457</v>
      </c>
      <c r="F33">
        <v>275</v>
      </c>
    </row>
    <row r="34" spans="4:6" x14ac:dyDescent="0.25">
      <c r="D34" t="s">
        <v>136</v>
      </c>
      <c r="E34" s="34">
        <v>46482</v>
      </c>
      <c r="F34">
        <v>325</v>
      </c>
    </row>
    <row r="35" spans="4:6" x14ac:dyDescent="0.25">
      <c r="D35" t="s">
        <v>137</v>
      </c>
      <c r="E35" s="34">
        <v>46500</v>
      </c>
      <c r="F35">
        <v>535</v>
      </c>
    </row>
    <row r="36" spans="4:6" x14ac:dyDescent="0.25">
      <c r="D36" t="s">
        <v>138</v>
      </c>
      <c r="E36" s="34">
        <v>46502</v>
      </c>
      <c r="F36">
        <v>300</v>
      </c>
    </row>
    <row r="37" spans="4:6" x14ac:dyDescent="0.25">
      <c r="D37" t="s">
        <v>139</v>
      </c>
      <c r="E37" s="34">
        <v>46512</v>
      </c>
      <c r="F37">
        <v>150</v>
      </c>
    </row>
    <row r="38" spans="4:6" x14ac:dyDescent="0.25">
      <c r="D38" t="s">
        <v>135</v>
      </c>
      <c r="E38" s="34">
        <v>46663</v>
      </c>
      <c r="F38">
        <v>300</v>
      </c>
    </row>
  </sheetData>
  <mergeCells count="4">
    <mergeCell ref="A1:P1"/>
    <mergeCell ref="A2:P2"/>
    <mergeCell ref="D22:F22"/>
    <mergeCell ref="D23:F23"/>
  </mergeCells>
  <conditionalFormatting sqref="I25:T29">
    <cfRule type="expression" dxfId="13" priority="1">
      <formula>MOD(ROW(),2)=0</formula>
    </cfRule>
  </conditionalFormatting>
  <dataValidations disablePrompts="1" count="1">
    <dataValidation type="list" allowBlank="1" showInputMessage="1" showErrorMessage="1" sqref="B26" xr:uid="{A277C7ED-A3B7-4A7E-AD95-DD6D7481455A}">
      <formula1>"Y,Q,M,W,D"</formula1>
    </dataValidation>
  </dataValidations>
  <hyperlinks>
    <hyperlink ref="A1" location="'TOC'!$A$1" display="'TOC'!$A$1" xr:uid="{BF56E448-6C37-493D-BF91-703838BA4A25}"/>
  </hyperlinks>
  <pageMargins left="0.7" right="0.7" top="0.75" bottom="0.75" header="0.3" footer="0.3"/>
  <pageSetup paperSize="9" scale="55" fitToHeight="0" orientation="landscape" horizontalDpi="0" verticalDpi="0"/>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5E22-2C79-4747-AEE1-64688BA99DA0}">
  <sheetPr codeName="Sheet17">
    <tabColor rgb="FF000000"/>
    <pageSetUpPr fitToPage="1"/>
  </sheetPr>
  <dimension ref="A1:X41"/>
  <sheetViews>
    <sheetView showGridLines="0" workbookViewId="0">
      <selection sqref="A1:T1"/>
    </sheetView>
  </sheetViews>
  <sheetFormatPr defaultRowHeight="15" x14ac:dyDescent="0.25"/>
  <cols>
    <col min="1" max="1" width="12.875" bestFit="1" customWidth="1"/>
    <col min="2" max="2" width="10" bestFit="1" customWidth="1"/>
    <col min="5" max="5" width="5.25" bestFit="1" customWidth="1"/>
    <col min="6" max="6" width="6.25" bestFit="1" customWidth="1"/>
    <col min="7" max="8" width="11.875" bestFit="1" customWidth="1"/>
    <col min="9" max="9" width="7.875" bestFit="1" customWidth="1"/>
    <col min="10" max="10" width="7.25" customWidth="1"/>
    <col min="11" max="11" width="21.875" bestFit="1" customWidth="1"/>
    <col min="12" max="12" width="15.625" bestFit="1" customWidth="1"/>
    <col min="13" max="24" width="12.375" customWidth="1"/>
    <col min="25" max="26" width="12.25" customWidth="1"/>
  </cols>
  <sheetData>
    <row r="1" spans="1:20" ht="46.5" x14ac:dyDescent="0.7">
      <c r="A1" s="185" t="str">
        <f ca="1">_xlfn.TEXTAFTER(CELL("filename",A1),"]")</f>
        <v>oz.ScheduleValuesλ</v>
      </c>
      <c r="B1" s="185"/>
      <c r="C1" s="185"/>
      <c r="D1" s="185"/>
      <c r="E1" s="185"/>
      <c r="F1" s="185"/>
      <c r="G1" s="185"/>
      <c r="H1" s="185"/>
      <c r="I1" s="185"/>
      <c r="J1" s="185"/>
      <c r="K1" s="185"/>
      <c r="L1" s="185"/>
      <c r="M1" s="185"/>
      <c r="N1" s="185"/>
      <c r="O1" s="185"/>
      <c r="P1" s="185"/>
      <c r="Q1" s="185"/>
      <c r="R1" s="185"/>
      <c r="S1" s="185"/>
      <c r="T1" s="185"/>
    </row>
    <row r="2" spans="1:20" x14ac:dyDescent="0.25">
      <c r="A2" s="186" t="s">
        <v>79</v>
      </c>
      <c r="B2" s="187"/>
      <c r="C2" s="187"/>
      <c r="D2" s="187"/>
      <c r="E2" s="187"/>
      <c r="F2" s="187"/>
      <c r="G2" s="187"/>
      <c r="H2" s="187"/>
      <c r="I2" s="187"/>
      <c r="J2" s="187"/>
      <c r="K2" s="187"/>
      <c r="L2" s="187"/>
      <c r="M2" s="187"/>
      <c r="N2" s="187"/>
      <c r="O2" s="187"/>
      <c r="P2" s="188"/>
      <c r="Q2" s="4"/>
      <c r="R2" s="4"/>
      <c r="S2" s="4"/>
      <c r="T2" s="4"/>
    </row>
    <row r="4" spans="1:20" x14ac:dyDescent="0.25">
      <c r="A4" s="55" t="str" cm="1">
        <f t="array" ref="A4:B14">oz.ScheduleValuesλ()</f>
        <v>FUNCTION:</v>
      </c>
      <c r="B4" t="str">
        <v>ScheduleValuesλ(PeriodStarts, PeriodEnds, Values, EffectiveDates)</v>
      </c>
    </row>
    <row r="5" spans="1:20" x14ac:dyDescent="0.25">
      <c r="A5" t="str">
        <v>DESCRIPTION:</v>
      </c>
      <c r="B5" t="str">
        <v>Place values from a table into a timeline's appropriate period.</v>
      </c>
    </row>
    <row r="6" spans="1:20" x14ac:dyDescent="0.25">
      <c r="A6" t="str">
        <v>WEBSITE:</v>
      </c>
      <c r="B6" t="str">
        <v>https://github.com/ryanduguid/Ozzit</v>
      </c>
    </row>
    <row r="7" spans="1:20" x14ac:dyDescent="0.25">
      <c r="A7" t="str">
        <v>PARAMETERS:</v>
      </c>
      <c r="B7" t="str">
        <v/>
      </c>
    </row>
    <row r="8" spans="1:20" x14ac:dyDescent="0.25">
      <c r="A8" t="str">
        <v>PeriodStarts</v>
      </c>
      <c r="B8" t="str">
        <v>(Required) A row of period start dates (timeline).</v>
      </c>
    </row>
    <row r="9" spans="1:20" x14ac:dyDescent="0.25">
      <c r="A9" t="str">
        <v>PeriodEnds</v>
      </c>
      <c r="B9" t="str">
        <v>(Required) A row of period end dates (timeline).</v>
      </c>
    </row>
    <row r="10" spans="1:20" x14ac:dyDescent="0.25">
      <c r="A10" t="str">
        <v>Values</v>
      </c>
      <c r="B10" t="str">
        <v>(Required) A column or row of values to be scheduled.</v>
      </c>
    </row>
    <row r="11" spans="1:20" x14ac:dyDescent="0.25">
      <c r="A11" t="str">
        <v>EffectiveDates</v>
      </c>
      <c r="B11" t="str">
        <v>(Required) When each value is scheduled, in the same orientation as Values.</v>
      </c>
    </row>
    <row r="12" spans="1:20" x14ac:dyDescent="0.25">
      <c r="A12" t="str">
        <v>EXAMPLES:</v>
      </c>
      <c r="B12" t="str">
        <v/>
      </c>
    </row>
    <row r="13" spans="1:20" x14ac:dyDescent="0.25">
      <c r="A13" t="str">
        <v>Result</v>
      </c>
      <c r="B13" t="str">
        <v>Formula (oz is assumed to be the module's name)</v>
      </c>
    </row>
    <row r="14" spans="1:20" x14ac:dyDescent="0.25">
      <c r="A14" t="str">
        <v/>
      </c>
      <c r="B14" t="str">
        <v>=oz.ScheduleValuesλ(Timelineλ("1/7/2026"), Timelineλ("1/7/2026",,,FALSE), {1;3}, {"1/7/2026"; "15/8/2026"})</v>
      </c>
    </row>
    <row r="17" spans="1:24" ht="21" x14ac:dyDescent="0.35">
      <c r="A17" s="203" t="s">
        <v>148</v>
      </c>
      <c r="B17" s="203"/>
      <c r="C17" s="203"/>
      <c r="E17" s="200" t="s">
        <v>154</v>
      </c>
      <c r="F17" s="205"/>
      <c r="G17" s="205"/>
      <c r="H17" s="205"/>
      <c r="I17" s="206"/>
    </row>
    <row r="18" spans="1:24" x14ac:dyDescent="0.25">
      <c r="E18" s="202"/>
      <c r="F18" s="207"/>
      <c r="G18" s="207"/>
      <c r="H18" s="207"/>
      <c r="I18" s="207"/>
      <c r="L18" s="59" t="s">
        <v>155</v>
      </c>
      <c r="M18" s="58" cm="1">
        <f t="array" ref="M18:X18">oz.Timelineλ(B20,B21,B22, FALSE)</f>
        <v>46234</v>
      </c>
      <c r="N18" s="58">
        <v>46265</v>
      </c>
      <c r="O18" s="58">
        <v>46295</v>
      </c>
      <c r="P18" s="58">
        <v>46326</v>
      </c>
      <c r="Q18" s="58">
        <v>46356</v>
      </c>
      <c r="R18" s="58">
        <v>46387</v>
      </c>
      <c r="S18" s="58">
        <v>46418</v>
      </c>
      <c r="T18" s="58">
        <v>46446</v>
      </c>
      <c r="U18" s="58">
        <v>46477</v>
      </c>
      <c r="V18" s="58">
        <v>46507</v>
      </c>
      <c r="W18" s="58">
        <v>46538</v>
      </c>
      <c r="X18" s="58">
        <v>46568</v>
      </c>
    </row>
    <row r="19" spans="1:24" x14ac:dyDescent="0.25">
      <c r="A19" s="54" t="s">
        <v>149</v>
      </c>
      <c r="B19" s="54" t="s">
        <v>14</v>
      </c>
      <c r="C19" s="54" t="s">
        <v>15</v>
      </c>
      <c r="E19" s="7" t="s">
        <v>156</v>
      </c>
      <c r="F19" t="s">
        <v>140</v>
      </c>
      <c r="G19" t="s">
        <v>145</v>
      </c>
      <c r="H19" t="s">
        <v>150</v>
      </c>
      <c r="I19" t="s">
        <v>125</v>
      </c>
      <c r="L19" s="42" t="s">
        <v>152</v>
      </c>
      <c r="M19" s="49" cm="1">
        <f t="array" ref="M19:X19">oz.Timelineλ(B20,B21,B22)</f>
        <v>46204</v>
      </c>
      <c r="N19" s="1">
        <v>46235</v>
      </c>
      <c r="O19" s="1">
        <v>46266</v>
      </c>
      <c r="P19" s="1">
        <v>46296</v>
      </c>
      <c r="Q19" s="1">
        <v>46327</v>
      </c>
      <c r="R19" s="1">
        <v>46357</v>
      </c>
      <c r="S19" s="1">
        <v>46388</v>
      </c>
      <c r="T19" s="1">
        <v>46419</v>
      </c>
      <c r="U19" s="1">
        <v>46447</v>
      </c>
      <c r="V19" s="1">
        <v>46478</v>
      </c>
      <c r="W19" s="1">
        <v>46508</v>
      </c>
      <c r="X19" s="1">
        <v>46539</v>
      </c>
    </row>
    <row r="20" spans="1:24" x14ac:dyDescent="0.25">
      <c r="A20" t="s">
        <v>112</v>
      </c>
      <c r="B20" s="34">
        <v>46204</v>
      </c>
      <c r="C20" t="s">
        <v>21</v>
      </c>
      <c r="E20" cm="1">
        <f t="array" ref="E20">100 + ROW() - ROW(tblCO[#Headers])</f>
        <v>101</v>
      </c>
      <c r="F20" t="s">
        <v>142</v>
      </c>
      <c r="G20" s="34">
        <v>46207</v>
      </c>
      <c r="H20" s="34">
        <f>tblCO[[#This Row],[Issued]]+_xlfn.XLOOKUP(tblCO[[#This Row],[Customer]],tblCT[Customer], tblCT[Terms])</f>
        <v>46237</v>
      </c>
      <c r="I20">
        <v>1000</v>
      </c>
      <c r="K20" s="2" t="s">
        <v>151</v>
      </c>
      <c r="L20">
        <f>SUM(_xlfn.ANCHORARRAY(M20))</f>
        <v>62370</v>
      </c>
      <c r="M20" s="55" cm="1">
        <f t="array" ref="M20:X20">oz.ScheduleValuesλ(_xlfn.ANCHORARRAY( $M$19),_xlfn.ANCHORARRAY( $M$18), tblCO[Amount], tblCO[Issued])</f>
        <v>5182</v>
      </c>
      <c r="N20">
        <v>8334</v>
      </c>
      <c r="O20">
        <v>14850</v>
      </c>
      <c r="P20">
        <v>15426</v>
      </c>
      <c r="Q20">
        <v>18578</v>
      </c>
      <c r="R20">
        <v>0</v>
      </c>
      <c r="S20">
        <v>0</v>
      </c>
      <c r="T20">
        <v>0</v>
      </c>
      <c r="U20">
        <v>0</v>
      </c>
      <c r="V20">
        <v>0</v>
      </c>
      <c r="W20">
        <v>0</v>
      </c>
      <c r="X20">
        <v>0</v>
      </c>
    </row>
    <row r="21" spans="1:24" x14ac:dyDescent="0.25">
      <c r="A21" t="s">
        <v>17</v>
      </c>
      <c r="B21">
        <v>12</v>
      </c>
      <c r="C21" t="s">
        <v>22</v>
      </c>
      <c r="E21" cm="1">
        <f t="array" ref="E21">100 + ROW() - ROW(tblCO[#Headers])</f>
        <v>102</v>
      </c>
      <c r="F21" t="s">
        <v>143</v>
      </c>
      <c r="G21" s="34">
        <v>46214</v>
      </c>
      <c r="H21" s="34">
        <f>tblCO[[#This Row],[Issued]]+_xlfn.XLOOKUP(tblCO[[#This Row],[Customer]],tblCT[Customer], tblCT[Terms])</f>
        <v>46334</v>
      </c>
      <c r="I21">
        <v>1197</v>
      </c>
      <c r="K21" s="2" t="s">
        <v>153</v>
      </c>
      <c r="L21">
        <f>SUM(_xlfn.ANCHORARRAY(M21))</f>
        <v>62370</v>
      </c>
      <c r="M21" s="55" cm="1">
        <f t="array" ref="M21:X21">oz.ScheduleValuesλ(_xlfn.ANCHORARRAY( $M$19),_xlfn.ANCHORARRAY( $M$18), tblCO[Amount], tblCO[Exp. Receipt])</f>
        <v>0</v>
      </c>
      <c r="N21">
        <v>2788</v>
      </c>
      <c r="O21">
        <v>7743</v>
      </c>
      <c r="P21">
        <v>11683</v>
      </c>
      <c r="Q21">
        <v>8516</v>
      </c>
      <c r="R21">
        <v>19775</v>
      </c>
      <c r="S21">
        <v>7713</v>
      </c>
      <c r="T21">
        <v>4152</v>
      </c>
      <c r="U21">
        <v>0</v>
      </c>
      <c r="V21">
        <v>0</v>
      </c>
      <c r="W21">
        <v>0</v>
      </c>
      <c r="X21">
        <v>0</v>
      </c>
    </row>
    <row r="22" spans="1:24" x14ac:dyDescent="0.25">
      <c r="A22" t="s">
        <v>18</v>
      </c>
      <c r="B22" t="s">
        <v>20</v>
      </c>
      <c r="E22" cm="1">
        <f t="array" ref="E22">100 + ROW() - ROW(tblCO[#Headers])</f>
        <v>103</v>
      </c>
      <c r="F22" t="s">
        <v>144</v>
      </c>
      <c r="G22" s="34">
        <v>46221</v>
      </c>
      <c r="H22" s="34">
        <f>tblCO[[#This Row],[Issued]]+_xlfn.XLOOKUP(tblCO[[#This Row],[Customer]],tblCT[Customer], tblCT[Terms])</f>
        <v>46266</v>
      </c>
      <c r="I22">
        <v>1394</v>
      </c>
      <c r="K22" s="2" t="s">
        <v>158</v>
      </c>
      <c r="L22">
        <f>SUM(_xlfn.ANCHORARRAY(M22))</f>
        <v>0</v>
      </c>
      <c r="M22" s="60" cm="1">
        <f t="array" ref="M22:X22">_xlfn.ANCHORARRAY(M20)-_xlfn.ANCHORARRAY(M21)</f>
        <v>5182</v>
      </c>
      <c r="N22" s="60">
        <v>5546</v>
      </c>
      <c r="O22" s="60">
        <v>7107</v>
      </c>
      <c r="P22" s="60">
        <v>3743</v>
      </c>
      <c r="Q22" s="60">
        <v>10062</v>
      </c>
      <c r="R22" s="60">
        <v>-19775</v>
      </c>
      <c r="S22" s="60">
        <v>-7713</v>
      </c>
      <c r="T22" s="60">
        <v>-4152</v>
      </c>
      <c r="U22" s="60">
        <v>0</v>
      </c>
      <c r="V22" s="60">
        <v>0</v>
      </c>
      <c r="W22" s="60">
        <v>0</v>
      </c>
      <c r="X22" s="60">
        <v>0</v>
      </c>
    </row>
    <row r="23" spans="1:24" x14ac:dyDescent="0.25">
      <c r="E23" cm="1">
        <f t="array" ref="E23">100 + ROW() - ROW(tblCO[#Headers])</f>
        <v>104</v>
      </c>
      <c r="F23" t="s">
        <v>194</v>
      </c>
      <c r="G23" s="34">
        <v>46228</v>
      </c>
      <c r="H23" s="34">
        <f>tblCO[[#This Row],[Issued]]+_xlfn.XLOOKUP(tblCO[[#This Row],[Customer]],tblCT[Customer], tblCT[Terms])</f>
        <v>46288</v>
      </c>
      <c r="I23">
        <v>1591</v>
      </c>
      <c r="K23" s="2"/>
    </row>
    <row r="24" spans="1:24" x14ac:dyDescent="0.25">
      <c r="E24" cm="1">
        <f t="array" ref="E24">100 + ROW() - ROW(tblCO[#Headers])</f>
        <v>105</v>
      </c>
      <c r="F24" t="s">
        <v>195</v>
      </c>
      <c r="G24" s="34">
        <v>46235</v>
      </c>
      <c r="H24" s="34">
        <f>tblCO[[#This Row],[Issued]]+_xlfn.XLOOKUP(tblCO[[#This Row],[Customer]],tblCT[Customer], tblCT[Terms])</f>
        <v>46250</v>
      </c>
      <c r="I24">
        <v>1788</v>
      </c>
      <c r="K24" s="2" t="s">
        <v>157</v>
      </c>
      <c r="M24" cm="1">
        <f t="array" ref="M24:X24">oz.Cumulativeλ(_xlfn.ANCHORARRAY(M22))</f>
        <v>5182</v>
      </c>
      <c r="N24">
        <v>10728</v>
      </c>
      <c r="O24">
        <v>17835</v>
      </c>
      <c r="P24">
        <v>21578</v>
      </c>
      <c r="Q24">
        <v>31640</v>
      </c>
      <c r="R24">
        <v>11865</v>
      </c>
      <c r="S24">
        <v>4152</v>
      </c>
      <c r="T24">
        <v>0</v>
      </c>
      <c r="U24">
        <v>0</v>
      </c>
      <c r="V24">
        <v>0</v>
      </c>
      <c r="W24">
        <v>0</v>
      </c>
      <c r="X24">
        <v>0</v>
      </c>
    </row>
    <row r="25" spans="1:24" ht="21" x14ac:dyDescent="0.35">
      <c r="A25" s="200" t="s">
        <v>146</v>
      </c>
      <c r="B25" s="204"/>
      <c r="C25" s="204"/>
      <c r="E25" cm="1">
        <f t="array" ref="E25">100 + ROW() - ROW(tblCO[#Headers])</f>
        <v>106</v>
      </c>
      <c r="F25" t="s">
        <v>142</v>
      </c>
      <c r="G25" s="34">
        <v>46242</v>
      </c>
      <c r="H25" s="34">
        <f>tblCO[[#This Row],[Issued]]+_xlfn.XLOOKUP(tblCO[[#This Row],[Customer]],tblCT[Customer], tblCT[Terms])</f>
        <v>46272</v>
      </c>
      <c r="I25">
        <v>1985</v>
      </c>
    </row>
    <row r="26" spans="1:24" x14ac:dyDescent="0.25">
      <c r="A26" s="202"/>
      <c r="B26" s="201"/>
      <c r="C26" s="201"/>
      <c r="E26" cm="1">
        <f t="array" ref="E26">100 + ROW() - ROW(tblCO[#Headers])</f>
        <v>107</v>
      </c>
      <c r="F26" t="s">
        <v>143</v>
      </c>
      <c r="G26" s="34">
        <v>46249</v>
      </c>
      <c r="H26" s="34">
        <f>tblCO[[#This Row],[Issued]]+_xlfn.XLOOKUP(tblCO[[#This Row],[Customer]],tblCT[Customer], tblCT[Terms])</f>
        <v>46369</v>
      </c>
      <c r="I26">
        <v>2182</v>
      </c>
    </row>
    <row r="27" spans="1:24" x14ac:dyDescent="0.25">
      <c r="A27" s="7" t="s">
        <v>147</v>
      </c>
      <c r="B27" t="s">
        <v>140</v>
      </c>
      <c r="C27" s="7" t="s">
        <v>141</v>
      </c>
      <c r="E27" cm="1">
        <f t="array" ref="E27">100 + ROW() - ROW(tblCO[#Headers])</f>
        <v>108</v>
      </c>
      <c r="F27" t="s">
        <v>144</v>
      </c>
      <c r="G27" s="34">
        <v>46256</v>
      </c>
      <c r="H27" s="34">
        <f>tblCO[[#This Row],[Issued]]+_xlfn.XLOOKUP(tblCO[[#This Row],[Customer]],tblCT[Customer], tblCT[Terms])</f>
        <v>46301</v>
      </c>
      <c r="I27">
        <v>2379</v>
      </c>
      <c r="M27" cm="1">
        <f t="array" ref="M27:X30">oz.Corkscrewλ(0,-_xlfn.ANCHORARRAY(M20),_xlfn.ANCHORARRAY(M21))</f>
        <v>0</v>
      </c>
      <c r="N27">
        <v>-5182</v>
      </c>
      <c r="O27">
        <v>-10728</v>
      </c>
      <c r="P27">
        <v>-17835</v>
      </c>
      <c r="Q27">
        <v>-21578</v>
      </c>
      <c r="R27">
        <v>-31640</v>
      </c>
      <c r="S27">
        <v>-11865</v>
      </c>
      <c r="T27">
        <v>-4152</v>
      </c>
      <c r="U27">
        <v>0</v>
      </c>
      <c r="V27">
        <v>0</v>
      </c>
      <c r="W27">
        <v>0</v>
      </c>
      <c r="X27">
        <v>0</v>
      </c>
    </row>
    <row r="28" spans="1:24" x14ac:dyDescent="0.25">
      <c r="A28" cm="1">
        <f t="array" ref="A28">ROW()-ROW(tblCT[#Headers])</f>
        <v>1</v>
      </c>
      <c r="B28" t="s">
        <v>142</v>
      </c>
      <c r="C28">
        <v>30</v>
      </c>
      <c r="E28" cm="1">
        <f t="array" ref="E28">100 + ROW() - ROW(tblCO[#Headers])</f>
        <v>109</v>
      </c>
      <c r="F28" t="s">
        <v>194</v>
      </c>
      <c r="G28" s="34">
        <v>46266</v>
      </c>
      <c r="H28" s="34">
        <f>tblCO[[#This Row],[Issued]]+_xlfn.XLOOKUP(tblCO[[#This Row],[Customer]],tblCT[Customer], tblCT[Terms])</f>
        <v>46326</v>
      </c>
      <c r="I28">
        <v>2576</v>
      </c>
      <c r="M28">
        <v>-5182</v>
      </c>
      <c r="N28">
        <v>-8334</v>
      </c>
      <c r="O28">
        <v>-14850</v>
      </c>
      <c r="P28">
        <v>-15426</v>
      </c>
      <c r="Q28">
        <v>-18578</v>
      </c>
      <c r="R28">
        <v>0</v>
      </c>
      <c r="S28">
        <v>0</v>
      </c>
      <c r="T28">
        <v>0</v>
      </c>
      <c r="U28">
        <v>0</v>
      </c>
      <c r="V28">
        <v>0</v>
      </c>
      <c r="W28">
        <v>0</v>
      </c>
      <c r="X28">
        <v>0</v>
      </c>
    </row>
    <row r="29" spans="1:24" x14ac:dyDescent="0.25">
      <c r="A29" cm="1">
        <f t="array" ref="A29">ROW()-ROW(tblCT[#Headers])</f>
        <v>2</v>
      </c>
      <c r="B29" t="s">
        <v>143</v>
      </c>
      <c r="C29">
        <v>120</v>
      </c>
      <c r="E29" cm="1">
        <f t="array" ref="E29">100 + ROW() - ROW(tblCO[#Headers])</f>
        <v>110</v>
      </c>
      <c r="F29" t="s">
        <v>195</v>
      </c>
      <c r="G29" s="34">
        <v>46273</v>
      </c>
      <c r="H29" s="34">
        <f>tblCO[[#This Row],[Issued]]+_xlfn.XLOOKUP(tblCO[[#This Row],[Customer]],tblCT[Customer], tblCT[Terms])</f>
        <v>46288</v>
      </c>
      <c r="I29">
        <v>2773</v>
      </c>
      <c r="M29">
        <v>0</v>
      </c>
      <c r="N29">
        <v>2788</v>
      </c>
      <c r="O29">
        <v>7743</v>
      </c>
      <c r="P29">
        <v>11683</v>
      </c>
      <c r="Q29">
        <v>8516</v>
      </c>
      <c r="R29">
        <v>19775</v>
      </c>
      <c r="S29">
        <v>7713</v>
      </c>
      <c r="T29">
        <v>4152</v>
      </c>
      <c r="U29">
        <v>0</v>
      </c>
      <c r="V29">
        <v>0</v>
      </c>
      <c r="W29">
        <v>0</v>
      </c>
      <c r="X29">
        <v>0</v>
      </c>
    </row>
    <row r="30" spans="1:24" x14ac:dyDescent="0.25">
      <c r="A30" cm="1">
        <f t="array" ref="A30">ROW()-ROW(tblCT[#Headers])</f>
        <v>3</v>
      </c>
      <c r="B30" t="s">
        <v>144</v>
      </c>
      <c r="C30">
        <v>45</v>
      </c>
      <c r="E30" cm="1">
        <f t="array" ref="E30">100 + ROW() - ROW(tblCO[#Headers])</f>
        <v>111</v>
      </c>
      <c r="F30" t="s">
        <v>142</v>
      </c>
      <c r="G30" s="34">
        <v>46280</v>
      </c>
      <c r="H30" s="34">
        <f>tblCO[[#This Row],[Issued]]+_xlfn.XLOOKUP(tblCO[[#This Row],[Customer]],tblCT[Customer], tblCT[Terms])</f>
        <v>46310</v>
      </c>
      <c r="I30">
        <v>2970</v>
      </c>
      <c r="M30">
        <v>-5182</v>
      </c>
      <c r="N30">
        <v>-10728</v>
      </c>
      <c r="O30">
        <v>-17835</v>
      </c>
      <c r="P30">
        <v>-21578</v>
      </c>
      <c r="Q30">
        <v>-31640</v>
      </c>
      <c r="R30">
        <v>-11865</v>
      </c>
      <c r="S30">
        <v>-4152</v>
      </c>
      <c r="T30">
        <v>0</v>
      </c>
      <c r="U30">
        <v>0</v>
      </c>
      <c r="V30">
        <v>0</v>
      </c>
      <c r="W30">
        <v>0</v>
      </c>
      <c r="X30">
        <v>0</v>
      </c>
    </row>
    <row r="31" spans="1:24" x14ac:dyDescent="0.25">
      <c r="A31" cm="1">
        <f t="array" ref="A31">ROW()-ROW(tblCT[#Headers])</f>
        <v>4</v>
      </c>
      <c r="B31" t="s">
        <v>194</v>
      </c>
      <c r="C31">
        <v>60</v>
      </c>
      <c r="E31" cm="1">
        <f t="array" ref="E31">100 + ROW() - ROW(tblCO[#Headers])</f>
        <v>112</v>
      </c>
      <c r="F31" t="s">
        <v>143</v>
      </c>
      <c r="G31" s="34">
        <v>46287</v>
      </c>
      <c r="H31" s="34">
        <f>tblCO[[#This Row],[Issued]]+_xlfn.XLOOKUP(tblCO[[#This Row],[Customer]],tblCT[Customer], tblCT[Terms])</f>
        <v>46407</v>
      </c>
      <c r="I31">
        <v>3167</v>
      </c>
    </row>
    <row r="32" spans="1:24" x14ac:dyDescent="0.25">
      <c r="A32" cm="1">
        <f t="array" ref="A32">ROW()-ROW(tblCT[#Headers])</f>
        <v>5</v>
      </c>
      <c r="B32" t="s">
        <v>195</v>
      </c>
      <c r="C32">
        <v>15</v>
      </c>
      <c r="E32" cm="1">
        <f t="array" ref="E32">100 + ROW() - ROW(tblCO[#Headers])</f>
        <v>113</v>
      </c>
      <c r="F32" t="s">
        <v>144</v>
      </c>
      <c r="G32" s="34">
        <v>46294</v>
      </c>
      <c r="H32" s="34">
        <f>tblCO[[#This Row],[Issued]]+_xlfn.XLOOKUP(tblCO[[#This Row],[Customer]],tblCT[Customer], tblCT[Terms])</f>
        <v>46339</v>
      </c>
      <c r="I32">
        <v>3364</v>
      </c>
    </row>
    <row r="33" spans="5:9" x14ac:dyDescent="0.25">
      <c r="E33" cm="1">
        <f t="array" ref="E33">100 + ROW() - ROW(tblCO[#Headers])</f>
        <v>114</v>
      </c>
      <c r="F33" t="s">
        <v>194</v>
      </c>
      <c r="G33" s="34">
        <v>46300</v>
      </c>
      <c r="H33" s="34">
        <f>tblCO[[#This Row],[Issued]]+_xlfn.XLOOKUP(tblCO[[#This Row],[Customer]],tblCT[Customer], tblCT[Terms])</f>
        <v>46360</v>
      </c>
      <c r="I33">
        <v>3561</v>
      </c>
    </row>
    <row r="34" spans="5:9" x14ac:dyDescent="0.25">
      <c r="E34" cm="1">
        <f t="array" ref="E34">100 + ROW() - ROW(tblCO[#Headers])</f>
        <v>115</v>
      </c>
      <c r="F34" t="s">
        <v>195</v>
      </c>
      <c r="G34" s="34">
        <v>46307</v>
      </c>
      <c r="H34" s="34">
        <f>tblCO[[#This Row],[Issued]]+_xlfn.XLOOKUP(tblCO[[#This Row],[Customer]],tblCT[Customer], tblCT[Terms])</f>
        <v>46322</v>
      </c>
      <c r="I34">
        <v>3758</v>
      </c>
    </row>
    <row r="35" spans="5:9" x14ac:dyDescent="0.25">
      <c r="E35" cm="1">
        <f t="array" ref="E35">100 + ROW() - ROW(tblCO[#Headers])</f>
        <v>116</v>
      </c>
      <c r="F35" t="s">
        <v>142</v>
      </c>
      <c r="G35" s="34">
        <v>46314</v>
      </c>
      <c r="H35" s="34">
        <f>tblCO[[#This Row],[Issued]]+_xlfn.XLOOKUP(tblCO[[#This Row],[Customer]],tblCT[Customer], tblCT[Terms])</f>
        <v>46344</v>
      </c>
      <c r="I35">
        <v>3955</v>
      </c>
    </row>
    <row r="36" spans="5:9" x14ac:dyDescent="0.25">
      <c r="E36" cm="1">
        <f t="array" ref="E36">100 + ROW() - ROW(tblCO[#Headers])</f>
        <v>117</v>
      </c>
      <c r="F36" t="s">
        <v>143</v>
      </c>
      <c r="G36" s="34">
        <v>46321</v>
      </c>
      <c r="H36" s="34">
        <f>tblCO[[#This Row],[Issued]]+_xlfn.XLOOKUP(tblCO[[#This Row],[Customer]],tblCT[Customer], tblCT[Terms])</f>
        <v>46441</v>
      </c>
      <c r="I36">
        <v>4152</v>
      </c>
    </row>
    <row r="37" spans="5:9" x14ac:dyDescent="0.25">
      <c r="E37" cm="1">
        <f t="array" ref="E37">100 + ROW() - ROW(tblCO[#Headers])</f>
        <v>118</v>
      </c>
      <c r="F37" t="s">
        <v>144</v>
      </c>
      <c r="G37" s="34">
        <v>46329</v>
      </c>
      <c r="H37" s="34">
        <f>tblCO[[#This Row],[Issued]]+_xlfn.XLOOKUP(tblCO[[#This Row],[Customer]],tblCT[Customer], tblCT[Terms])</f>
        <v>46374</v>
      </c>
      <c r="I37">
        <v>4349</v>
      </c>
    </row>
    <row r="38" spans="5:9" x14ac:dyDescent="0.25">
      <c r="E38" cm="1">
        <f t="array" ref="E38">100 + ROW() - ROW(tblCO[#Headers])</f>
        <v>119</v>
      </c>
      <c r="F38" t="s">
        <v>194</v>
      </c>
      <c r="G38" s="34">
        <v>46336</v>
      </c>
      <c r="H38" s="34">
        <f>tblCO[[#This Row],[Issued]]+_xlfn.XLOOKUP(tblCO[[#This Row],[Customer]],tblCT[Customer], tblCT[Terms])</f>
        <v>46396</v>
      </c>
      <c r="I38">
        <v>4546</v>
      </c>
    </row>
    <row r="39" spans="5:9" x14ac:dyDescent="0.25">
      <c r="E39" cm="1">
        <f t="array" ref="E39">100 + ROW() - ROW(tblCO[#Headers])</f>
        <v>120</v>
      </c>
      <c r="F39" t="s">
        <v>195</v>
      </c>
      <c r="G39" s="34">
        <v>46343</v>
      </c>
      <c r="H39" s="34">
        <f>tblCO[[#This Row],[Issued]]+_xlfn.XLOOKUP(tblCO[[#This Row],[Customer]],tblCT[Customer], tblCT[Terms])</f>
        <v>46358</v>
      </c>
      <c r="I39">
        <v>4743</v>
      </c>
    </row>
    <row r="40" spans="5:9" x14ac:dyDescent="0.25">
      <c r="E40" cm="1">
        <f t="array" ref="E40">100 + ROW() - ROW(tblCO[#Headers])</f>
        <v>121</v>
      </c>
      <c r="F40" t="s">
        <v>142</v>
      </c>
      <c r="G40" s="34">
        <v>46350</v>
      </c>
      <c r="H40" s="34">
        <f>tblCO[[#This Row],[Issued]]+_xlfn.XLOOKUP(tblCO[[#This Row],[Customer]],tblCT[Customer], tblCT[Terms])</f>
        <v>46380</v>
      </c>
      <c r="I40">
        <v>4940</v>
      </c>
    </row>
    <row r="41" spans="5:9" x14ac:dyDescent="0.25">
      <c r="E41" s="61" t="s">
        <v>5</v>
      </c>
      <c r="F41" s="61"/>
      <c r="G41" s="62"/>
      <c r="H41" s="62"/>
      <c r="I41">
        <f>SUBTOTAL(109,I20:I40)</f>
        <v>62370</v>
      </c>
    </row>
  </sheetData>
  <mergeCells count="7">
    <mergeCell ref="A26:C26"/>
    <mergeCell ref="A1:T1"/>
    <mergeCell ref="A17:C17"/>
    <mergeCell ref="A25:C25"/>
    <mergeCell ref="E17:I17"/>
    <mergeCell ref="A2:P2"/>
    <mergeCell ref="E18:I18"/>
  </mergeCells>
  <hyperlinks>
    <hyperlink ref="A1" location="'TOC'!$A$1" display="'TOC'!$A$1" xr:uid="{4ACD713B-C6C5-4CF8-85F2-F336C5C359E6}"/>
  </hyperlinks>
  <pageMargins left="0.7" right="0.7" top="0.75" bottom="0.75" header="0.3" footer="0.3"/>
  <pageSetup paperSize="9" scale="45" fitToHeight="0" orientation="landscape" horizontalDpi="0" verticalDpi="0"/>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D198-4E85-47C9-A307-EEEC783195C2}">
  <sheetPr codeName="Sheet18">
    <tabColor rgb="FF000000"/>
    <pageSetUpPr fitToPage="1"/>
  </sheetPr>
  <dimension ref="A1:X46"/>
  <sheetViews>
    <sheetView showGridLines="0" workbookViewId="0">
      <selection sqref="A1:Q1"/>
    </sheetView>
  </sheetViews>
  <sheetFormatPr defaultRowHeight="15" x14ac:dyDescent="0.25"/>
  <cols>
    <col min="1" max="1" width="12.75" bestFit="1" customWidth="1"/>
    <col min="2" max="2" width="12.125" customWidth="1"/>
    <col min="5" max="5" width="6" bestFit="1" customWidth="1"/>
    <col min="6" max="6" width="11.375" bestFit="1" customWidth="1"/>
    <col min="7" max="8" width="11.875" bestFit="1" customWidth="1"/>
    <col min="9" max="9" width="7.875" bestFit="1" customWidth="1"/>
    <col min="12" max="12" width="15.625" bestFit="1" customWidth="1"/>
    <col min="13" max="13" width="11.125" bestFit="1" customWidth="1"/>
    <col min="14" max="14" width="11.25" bestFit="1" customWidth="1"/>
    <col min="15" max="15" width="11.75" bestFit="1" customWidth="1"/>
    <col min="16" max="16" width="11.25" bestFit="1" customWidth="1"/>
    <col min="17" max="17" width="12.125" bestFit="1" customWidth="1"/>
    <col min="18" max="18" width="11.25" bestFit="1" customWidth="1"/>
    <col min="19" max="19" width="10.62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7" ht="46.5" x14ac:dyDescent="0.7">
      <c r="A1" s="185" t="str">
        <f ca="1">_xlfn.TEXTAFTER(CELL("filename",A1),"]")</f>
        <v>oz.ScheduleValuesByItemsλ</v>
      </c>
      <c r="B1" s="185"/>
      <c r="C1" s="185"/>
      <c r="D1" s="185"/>
      <c r="E1" s="185"/>
      <c r="F1" s="185"/>
      <c r="G1" s="185"/>
      <c r="H1" s="185"/>
      <c r="I1" s="185"/>
      <c r="J1" s="185"/>
      <c r="K1" s="185"/>
      <c r="L1" s="185"/>
      <c r="M1" s="185"/>
      <c r="N1" s="185"/>
      <c r="O1" s="185"/>
      <c r="P1" s="185"/>
      <c r="Q1" s="185"/>
    </row>
    <row r="2" spans="1:17" x14ac:dyDescent="0.25">
      <c r="A2" s="186" t="s">
        <v>80</v>
      </c>
      <c r="B2" s="187"/>
      <c r="C2" s="187"/>
      <c r="D2" s="187"/>
      <c r="E2" s="187"/>
      <c r="F2" s="187"/>
      <c r="G2" s="187"/>
      <c r="H2" s="187"/>
      <c r="I2" s="187"/>
      <c r="J2" s="187"/>
      <c r="K2" s="187"/>
      <c r="L2" s="187"/>
      <c r="M2" s="187"/>
      <c r="N2" s="187"/>
      <c r="O2" s="187"/>
      <c r="P2" s="187"/>
      <c r="Q2" s="188"/>
    </row>
    <row r="3" spans="1:17" x14ac:dyDescent="0.25">
      <c r="A3" s="130"/>
      <c r="B3" s="131"/>
      <c r="C3" s="131"/>
      <c r="D3" s="131"/>
      <c r="E3" s="131"/>
      <c r="F3" s="131"/>
      <c r="G3" s="131"/>
      <c r="H3" s="131"/>
      <c r="I3" s="131"/>
      <c r="J3" s="131"/>
      <c r="K3" s="131"/>
      <c r="L3" s="131"/>
      <c r="M3" s="131"/>
      <c r="N3" s="131"/>
      <c r="O3" s="131"/>
      <c r="P3" s="131"/>
      <c r="Q3" s="131"/>
    </row>
    <row r="4" spans="1:17" x14ac:dyDescent="0.25">
      <c r="A4" s="55" t="str" cm="1">
        <f t="array" ref="A4:B19">oz.ScheduleValuesByItemsλ()</f>
        <v>FUNCTION:</v>
      </c>
      <c r="B4" t="str">
        <v>ScheduleValuesByItemsλ(PeriodStarts, PeriodEnds, ItemFilter, ItemList, EffectiveList, ValueList)</v>
      </c>
    </row>
    <row r="5" spans="1:17" x14ac:dyDescent="0.25">
      <c r="A5" t="str">
        <v>DESCRIPTION:</v>
      </c>
      <c r="B5" t="str">
        <v>Schedule and sum values in a timeline for each item.</v>
      </c>
    </row>
    <row r="6" spans="1:17" x14ac:dyDescent="0.25">
      <c r="A6" t="str">
        <v>WEBPAGE:</v>
      </c>
      <c r="B6" t="str">
        <v>https://github.com/ryanduguid/Ozzit</v>
      </c>
    </row>
    <row r="7" spans="1:17" x14ac:dyDescent="0.25">
      <c r="A7" t="str">
        <v>PARAMETERS:</v>
      </c>
      <c r="B7" t="str">
        <v/>
      </c>
    </row>
    <row r="8" spans="1:17" x14ac:dyDescent="0.25">
      <c r="A8" t="str">
        <v>PeriodStarts</v>
      </c>
      <c r="B8" t="str">
        <v>(Required) A row of period start dates (timeline).</v>
      </c>
    </row>
    <row r="9" spans="1:17" x14ac:dyDescent="0.25">
      <c r="A9" t="str">
        <v>PeriodEnds</v>
      </c>
      <c r="B9" t="str">
        <v>(Required) A row of period end dates (timeline).</v>
      </c>
    </row>
    <row r="10" spans="1:17" x14ac:dyDescent="0.25">
      <c r="A10" t="str">
        <v>ItemFilter</v>
      </c>
      <c r="B10" t="str">
        <v>(Required) A column of 1 or more items to filter a value schedule by.</v>
      </c>
    </row>
    <row r="11" spans="1:17" x14ac:dyDescent="0.25">
      <c r="A11" t="str">
        <v/>
      </c>
      <c r="B11" t="str">
        <v>A 'value schedule' is a table/list where each row contains a unique item/effective date pair with a value.</v>
      </c>
    </row>
    <row r="12" spans="1:17" x14ac:dyDescent="0.25">
      <c r="A12" t="str">
        <v>ItemList</v>
      </c>
      <c r="B12" t="str">
        <v>(Required) Items in a value schedule.</v>
      </c>
    </row>
    <row r="13" spans="1:17" x14ac:dyDescent="0.25">
      <c r="A13" t="str">
        <v>EffectiveList</v>
      </c>
      <c r="B13" t="str">
        <v>(Required) Effective dates in the value schedule.</v>
      </c>
    </row>
    <row r="14" spans="1:17" x14ac:dyDescent="0.25">
      <c r="A14" t="str">
        <v>ValueList</v>
      </c>
      <c r="B14" t="str">
        <v>(Required) Values in a value schedule for each item/effective date pair.</v>
      </c>
    </row>
    <row r="15" spans="1:17" x14ac:dyDescent="0.25">
      <c r="A15" t="str">
        <v/>
      </c>
      <c r="B15" t="str">
        <v>An item with no rows in the schedule totals nought in every period.</v>
      </c>
    </row>
    <row r="16" spans="1:17" x14ac:dyDescent="0.25">
      <c r="A16" t="str">
        <v>EXAMPLES:</v>
      </c>
      <c r="B16" t="str">
        <v/>
      </c>
    </row>
    <row r="17" spans="1:24" x14ac:dyDescent="0.25">
      <c r="A17" t="str">
        <v>Result</v>
      </c>
      <c r="B17" t="str">
        <v>Formula (oz is assumed to be the module's name)</v>
      </c>
    </row>
    <row r="18" spans="1:24" x14ac:dyDescent="0.25">
      <c r="A18" t="str">
        <v/>
      </c>
      <c r="B18" t="str">
        <v>=oz.ScheduleValuesByItemsλ( oz.Timelineλ( "1/7/2026"), oz.Timelineλ( "1/7/2026",,,FALSE),</v>
      </c>
    </row>
    <row r="19" spans="1:24" x14ac:dyDescent="0.25">
      <c r="A19" t="str">
        <v/>
      </c>
      <c r="B19" t="str">
        <v>UNIQUE( tblExp[Items]), tblExp[Items], tblExp[Dates], tblExp[Amount])</v>
      </c>
    </row>
    <row r="22" spans="1:24" ht="21" x14ac:dyDescent="0.35">
      <c r="A22" s="203" t="s">
        <v>148</v>
      </c>
      <c r="B22" s="203"/>
      <c r="C22" s="203"/>
      <c r="E22" s="189" t="s">
        <v>154</v>
      </c>
      <c r="F22" s="208"/>
      <c r="G22" s="208"/>
      <c r="H22" s="208"/>
      <c r="I22" s="190"/>
      <c r="L22" s="59" t="s">
        <v>155</v>
      </c>
      <c r="M22" s="63" cm="1">
        <f t="array" ref="M22:X22">oz.Timelineλ($B$25, $B$26, $B$27, FALSE)</f>
        <v>46234</v>
      </c>
      <c r="N22" s="63">
        <v>46265</v>
      </c>
      <c r="O22" s="63">
        <v>46295</v>
      </c>
      <c r="P22" s="63">
        <v>46326</v>
      </c>
      <c r="Q22" s="63">
        <v>46356</v>
      </c>
      <c r="R22" s="63">
        <v>46387</v>
      </c>
      <c r="S22" s="63">
        <v>46418</v>
      </c>
      <c r="T22" s="63">
        <v>46446</v>
      </c>
      <c r="U22" s="63">
        <v>46477</v>
      </c>
      <c r="V22" s="63">
        <v>46507</v>
      </c>
      <c r="W22" s="63">
        <v>46538</v>
      </c>
      <c r="X22" s="63">
        <v>46568</v>
      </c>
    </row>
    <row r="23" spans="1:24" x14ac:dyDescent="0.25">
      <c r="K23" s="54" t="s">
        <v>140</v>
      </c>
      <c r="L23" s="42" t="s">
        <v>152</v>
      </c>
      <c r="M23" s="49" cm="1">
        <f t="array" ref="M23:X23">oz.Timelineλ($B$25, $B$26, $B$27)</f>
        <v>46204</v>
      </c>
      <c r="N23" s="1">
        <v>46235</v>
      </c>
      <c r="O23" s="1">
        <v>46266</v>
      </c>
      <c r="P23" s="1">
        <v>46296</v>
      </c>
      <c r="Q23" s="1">
        <v>46327</v>
      </c>
      <c r="R23" s="1">
        <v>46357</v>
      </c>
      <c r="S23" s="1">
        <v>46388</v>
      </c>
      <c r="T23" s="1">
        <v>46419</v>
      </c>
      <c r="U23" s="1">
        <v>46447</v>
      </c>
      <c r="V23" s="1">
        <v>46478</v>
      </c>
      <c r="W23" s="1">
        <v>46508</v>
      </c>
      <c r="X23" s="1">
        <v>46539</v>
      </c>
    </row>
    <row r="24" spans="1:24" x14ac:dyDescent="0.25">
      <c r="A24" s="54" t="s">
        <v>149</v>
      </c>
      <c r="B24" s="54" t="s">
        <v>14</v>
      </c>
      <c r="C24" s="54" t="s">
        <v>15</v>
      </c>
      <c r="E24" s="53" t="str" cm="1">
        <f t="array" ref="E24:I46">tblCO[#All]</f>
        <v>Inv.#</v>
      </c>
      <c r="F24" s="53" t="str">
        <v>Customer</v>
      </c>
      <c r="G24" s="53" t="str">
        <v>Issued</v>
      </c>
      <c r="H24" s="53" t="str">
        <v>Exp. Receipt</v>
      </c>
      <c r="I24" s="53" t="str">
        <v>Amount</v>
      </c>
      <c r="L24" s="18" t="s">
        <v>151</v>
      </c>
    </row>
    <row r="25" spans="1:24" x14ac:dyDescent="0.25">
      <c r="A25" t="s">
        <v>112</v>
      </c>
      <c r="B25" s="34">
        <v>46204</v>
      </c>
      <c r="C25" t="s">
        <v>21</v>
      </c>
      <c r="E25">
        <v>101</v>
      </c>
      <c r="F25" t="str">
        <v>ACME</v>
      </c>
      <c r="G25" s="34">
        <v>46207</v>
      </c>
      <c r="H25" s="34">
        <v>46237</v>
      </c>
      <c r="I25">
        <v>1000</v>
      </c>
      <c r="K25" t="str" cm="1">
        <f t="array" ref="K25:K29">tblCT[Customer]</f>
        <v>ACME</v>
      </c>
      <c r="L25" cm="1">
        <f t="array" ref="L25:L29">oz.SumRowsλ(_xlfn.ANCHORARRAY(M25))</f>
        <v>14850</v>
      </c>
      <c r="M25" s="55" cm="1">
        <f t="array" ref="M25:X29">oz.ScheduleValuesByItemsλ(_xlfn.ANCHORARRAY( $M$23),_xlfn.ANCHORARRAY( $M$22),_xlfn.ANCHORARRAY( K25), tblCO[Customer], tblCO[Issued],tblCO[Amount])</f>
        <v>1000</v>
      </c>
      <c r="N25">
        <v>1985</v>
      </c>
      <c r="O25">
        <v>2970</v>
      </c>
      <c r="P25">
        <v>3955</v>
      </c>
      <c r="Q25">
        <v>4940</v>
      </c>
      <c r="R25">
        <v>0</v>
      </c>
      <c r="S25">
        <v>0</v>
      </c>
      <c r="T25">
        <v>0</v>
      </c>
      <c r="U25">
        <v>0</v>
      </c>
      <c r="V25">
        <v>0</v>
      </c>
      <c r="W25">
        <v>0</v>
      </c>
      <c r="X25">
        <v>0</v>
      </c>
    </row>
    <row r="26" spans="1:24" x14ac:dyDescent="0.25">
      <c r="A26" t="s">
        <v>17</v>
      </c>
      <c r="B26">
        <v>12</v>
      </c>
      <c r="C26" t="s">
        <v>22</v>
      </c>
      <c r="E26">
        <v>102</v>
      </c>
      <c r="F26" t="str">
        <v>Wool*Art</v>
      </c>
      <c r="G26" s="34">
        <v>46214</v>
      </c>
      <c r="H26" s="34">
        <v>46334</v>
      </c>
      <c r="I26">
        <v>1197</v>
      </c>
      <c r="K26" t="str">
        <v>Wool*Art</v>
      </c>
      <c r="L26">
        <v>10698</v>
      </c>
      <c r="M26">
        <v>1197</v>
      </c>
      <c r="N26">
        <v>2182</v>
      </c>
      <c r="O26">
        <v>3167</v>
      </c>
      <c r="P26">
        <v>4152</v>
      </c>
      <c r="Q26">
        <v>0</v>
      </c>
      <c r="R26">
        <v>0</v>
      </c>
      <c r="S26">
        <v>0</v>
      </c>
      <c r="T26">
        <v>0</v>
      </c>
      <c r="U26">
        <v>0</v>
      </c>
      <c r="V26">
        <v>0</v>
      </c>
      <c r="W26">
        <v>0</v>
      </c>
      <c r="X26">
        <v>0</v>
      </c>
    </row>
    <row r="27" spans="1:24" x14ac:dyDescent="0.25">
      <c r="A27" t="s">
        <v>18</v>
      </c>
      <c r="B27" t="s">
        <v>20</v>
      </c>
      <c r="E27">
        <v>103</v>
      </c>
      <c r="F27" t="str">
        <v>Town Hall</v>
      </c>
      <c r="G27" s="34">
        <v>46221</v>
      </c>
      <c r="H27" s="34">
        <v>46266</v>
      </c>
      <c r="I27">
        <v>1394</v>
      </c>
      <c r="K27" t="str">
        <v>Town Hall</v>
      </c>
      <c r="L27">
        <v>11486</v>
      </c>
      <c r="M27">
        <v>1394</v>
      </c>
      <c r="N27">
        <v>2379</v>
      </c>
      <c r="O27">
        <v>3364</v>
      </c>
      <c r="P27">
        <v>0</v>
      </c>
      <c r="Q27">
        <v>4349</v>
      </c>
      <c r="R27">
        <v>0</v>
      </c>
      <c r="S27">
        <v>0</v>
      </c>
      <c r="T27">
        <v>0</v>
      </c>
      <c r="U27">
        <v>0</v>
      </c>
      <c r="V27">
        <v>0</v>
      </c>
      <c r="W27">
        <v>0</v>
      </c>
      <c r="X27">
        <v>0</v>
      </c>
    </row>
    <row r="28" spans="1:24" x14ac:dyDescent="0.25">
      <c r="E28">
        <v>104</v>
      </c>
      <c r="F28" t="str">
        <v>Jacqie Penee</v>
      </c>
      <c r="G28" s="34">
        <v>46228</v>
      </c>
      <c r="H28" s="34">
        <v>46288</v>
      </c>
      <c r="I28">
        <v>1591</v>
      </c>
      <c r="K28" t="str">
        <v>Jacqie Penee</v>
      </c>
      <c r="L28">
        <v>12274</v>
      </c>
      <c r="M28">
        <v>1591</v>
      </c>
      <c r="N28">
        <v>0</v>
      </c>
      <c r="O28">
        <v>2576</v>
      </c>
      <c r="P28">
        <v>3561</v>
      </c>
      <c r="Q28">
        <v>4546</v>
      </c>
      <c r="R28">
        <v>0</v>
      </c>
      <c r="S28">
        <v>0</v>
      </c>
      <c r="T28">
        <v>0</v>
      </c>
      <c r="U28">
        <v>0</v>
      </c>
      <c r="V28">
        <v>0</v>
      </c>
      <c r="W28">
        <v>0</v>
      </c>
      <c r="X28">
        <v>0</v>
      </c>
    </row>
    <row r="29" spans="1:24" x14ac:dyDescent="0.25">
      <c r="E29">
        <v>105</v>
      </c>
      <c r="F29" t="str">
        <v>Amazonia</v>
      </c>
      <c r="G29" s="34">
        <v>46235</v>
      </c>
      <c r="H29" s="34">
        <v>46250</v>
      </c>
      <c r="I29">
        <v>1788</v>
      </c>
      <c r="K29" t="str">
        <v>Amazonia</v>
      </c>
      <c r="L29">
        <v>13062</v>
      </c>
      <c r="M29">
        <v>0</v>
      </c>
      <c r="N29">
        <v>1788</v>
      </c>
      <c r="O29">
        <v>2773</v>
      </c>
      <c r="P29">
        <v>3758</v>
      </c>
      <c r="Q29">
        <v>4743</v>
      </c>
      <c r="R29">
        <v>0</v>
      </c>
      <c r="S29">
        <v>0</v>
      </c>
      <c r="T29">
        <v>0</v>
      </c>
      <c r="U29">
        <v>0</v>
      </c>
      <c r="V29">
        <v>0</v>
      </c>
      <c r="W29">
        <v>0</v>
      </c>
      <c r="X29">
        <v>0</v>
      </c>
    </row>
    <row r="30" spans="1:24" ht="21" x14ac:dyDescent="0.35">
      <c r="A30" s="209" t="s">
        <v>146</v>
      </c>
      <c r="B30" s="210"/>
      <c r="C30" s="210"/>
      <c r="E30">
        <v>106</v>
      </c>
      <c r="F30" t="str">
        <v>ACME</v>
      </c>
      <c r="G30" s="34">
        <v>46242</v>
      </c>
      <c r="H30" s="34">
        <v>46272</v>
      </c>
      <c r="I30">
        <v>1985</v>
      </c>
      <c r="K30" s="60" t="s">
        <v>159</v>
      </c>
      <c r="L30" s="60">
        <f>SUM(_xlfn.ANCHORARRAY(M30))</f>
        <v>62370</v>
      </c>
      <c r="M30" s="60" cm="1">
        <f t="array" ref="M30:X30">oz.SumColsλ(_xlfn.ANCHORARRAY(M25))</f>
        <v>5182</v>
      </c>
      <c r="N30" s="60">
        <v>8334</v>
      </c>
      <c r="O30" s="60">
        <v>14850</v>
      </c>
      <c r="P30" s="60">
        <v>15426</v>
      </c>
      <c r="Q30" s="60">
        <v>18578</v>
      </c>
      <c r="R30" s="60">
        <v>0</v>
      </c>
      <c r="S30" s="60">
        <v>0</v>
      </c>
      <c r="T30" s="60">
        <v>0</v>
      </c>
      <c r="U30" s="60">
        <v>0</v>
      </c>
      <c r="V30" s="60">
        <v>0</v>
      </c>
      <c r="W30" s="60">
        <v>0</v>
      </c>
      <c r="X30" s="60">
        <v>0</v>
      </c>
    </row>
    <row r="31" spans="1:24" x14ac:dyDescent="0.25">
      <c r="E31">
        <v>107</v>
      </c>
      <c r="F31" t="str">
        <v>Wool*Art</v>
      </c>
      <c r="G31" s="34">
        <v>46249</v>
      </c>
      <c r="H31" s="34">
        <v>46369</v>
      </c>
      <c r="I31">
        <v>2182</v>
      </c>
    </row>
    <row r="32" spans="1:24" x14ac:dyDescent="0.25">
      <c r="A32" s="53" t="str" cm="1">
        <f t="array" ref="A32:C37">tblCT[#All]</f>
        <v>ID#</v>
      </c>
      <c r="B32" s="54" t="str">
        <v>Customer</v>
      </c>
      <c r="C32" s="53" t="str">
        <v>Terms</v>
      </c>
      <c r="E32">
        <v>108</v>
      </c>
      <c r="F32" t="str">
        <v>Town Hall</v>
      </c>
      <c r="G32" s="34">
        <v>46256</v>
      </c>
      <c r="H32" s="34">
        <v>46301</v>
      </c>
      <c r="I32">
        <v>2379</v>
      </c>
      <c r="L32" s="18" t="s">
        <v>160</v>
      </c>
    </row>
    <row r="33" spans="1:24" x14ac:dyDescent="0.25">
      <c r="A33">
        <v>1</v>
      </c>
      <c r="B33" t="str">
        <v>ACME</v>
      </c>
      <c r="C33">
        <v>30</v>
      </c>
      <c r="E33">
        <v>109</v>
      </c>
      <c r="F33" t="str">
        <v>Jacqie Penee</v>
      </c>
      <c r="G33" s="34">
        <v>46266</v>
      </c>
      <c r="H33" s="34">
        <v>46326</v>
      </c>
      <c r="I33">
        <v>2576</v>
      </c>
      <c r="K33" t="str" cm="1">
        <f t="array" ref="K33:K37">tblCT[Customer]</f>
        <v>ACME</v>
      </c>
      <c r="L33" cm="1">
        <f t="array" ref="L33:L37">oz.SumRowsλ(_xlfn.ANCHORARRAY(M33))</f>
        <v>14850</v>
      </c>
      <c r="M33" s="55" cm="1">
        <f t="array" ref="M33:X37">oz.ScheduleValuesByItemsλ(_xlfn.ANCHORARRAY( $M$23),_xlfn.ANCHORARRAY( $M$22),_xlfn.ANCHORARRAY( K33), tblCO[Customer], tblCO[Exp. Receipt],tblCO[Amount])</f>
        <v>0</v>
      </c>
      <c r="N33">
        <v>1000</v>
      </c>
      <c r="O33">
        <v>1985</v>
      </c>
      <c r="P33">
        <v>2970</v>
      </c>
      <c r="Q33">
        <v>3955</v>
      </c>
      <c r="R33">
        <v>4940</v>
      </c>
      <c r="S33">
        <v>0</v>
      </c>
      <c r="T33">
        <v>0</v>
      </c>
      <c r="U33">
        <v>0</v>
      </c>
      <c r="V33">
        <v>0</v>
      </c>
      <c r="W33">
        <v>0</v>
      </c>
      <c r="X33">
        <v>0</v>
      </c>
    </row>
    <row r="34" spans="1:24" x14ac:dyDescent="0.25">
      <c r="A34">
        <v>2</v>
      </c>
      <c r="B34" t="str">
        <v>Wool*Art</v>
      </c>
      <c r="C34">
        <v>120</v>
      </c>
      <c r="E34">
        <v>110</v>
      </c>
      <c r="F34" t="str">
        <v>Amazonia</v>
      </c>
      <c r="G34" s="34">
        <v>46273</v>
      </c>
      <c r="H34" s="34">
        <v>46288</v>
      </c>
      <c r="I34">
        <v>2773</v>
      </c>
      <c r="K34" t="str">
        <v>Wool*Art</v>
      </c>
      <c r="L34">
        <v>10698</v>
      </c>
      <c r="M34">
        <v>0</v>
      </c>
      <c r="N34">
        <v>0</v>
      </c>
      <c r="O34">
        <v>0</v>
      </c>
      <c r="P34">
        <v>0</v>
      </c>
      <c r="Q34">
        <v>1197</v>
      </c>
      <c r="R34">
        <v>2182</v>
      </c>
      <c r="S34">
        <v>3167</v>
      </c>
      <c r="T34">
        <v>4152</v>
      </c>
      <c r="U34">
        <v>0</v>
      </c>
      <c r="V34">
        <v>0</v>
      </c>
      <c r="W34">
        <v>0</v>
      </c>
      <c r="X34">
        <v>0</v>
      </c>
    </row>
    <row r="35" spans="1:24" x14ac:dyDescent="0.25">
      <c r="A35">
        <v>3</v>
      </c>
      <c r="B35" t="str">
        <v>Town Hall</v>
      </c>
      <c r="C35">
        <v>45</v>
      </c>
      <c r="E35">
        <v>111</v>
      </c>
      <c r="F35" t="str">
        <v>ACME</v>
      </c>
      <c r="G35" s="34">
        <v>46280</v>
      </c>
      <c r="H35" s="34">
        <v>46310</v>
      </c>
      <c r="I35">
        <v>2970</v>
      </c>
      <c r="K35" t="str">
        <v>Town Hall</v>
      </c>
      <c r="L35">
        <v>11486</v>
      </c>
      <c r="M35">
        <v>0</v>
      </c>
      <c r="N35">
        <v>0</v>
      </c>
      <c r="O35">
        <v>1394</v>
      </c>
      <c r="P35">
        <v>2379</v>
      </c>
      <c r="Q35">
        <v>3364</v>
      </c>
      <c r="R35">
        <v>4349</v>
      </c>
      <c r="S35">
        <v>0</v>
      </c>
      <c r="T35">
        <v>0</v>
      </c>
      <c r="U35">
        <v>0</v>
      </c>
      <c r="V35">
        <v>0</v>
      </c>
      <c r="W35">
        <v>0</v>
      </c>
      <c r="X35">
        <v>0</v>
      </c>
    </row>
    <row r="36" spans="1:24" x14ac:dyDescent="0.25">
      <c r="A36">
        <v>4</v>
      </c>
      <c r="B36" t="str">
        <v>Jacqie Penee</v>
      </c>
      <c r="C36">
        <v>60</v>
      </c>
      <c r="E36">
        <v>112</v>
      </c>
      <c r="F36" t="str">
        <v>Wool*Art</v>
      </c>
      <c r="G36" s="34">
        <v>46287</v>
      </c>
      <c r="H36" s="34">
        <v>46407</v>
      </c>
      <c r="I36">
        <v>3167</v>
      </c>
      <c r="K36" t="str">
        <v>Jacqie Penee</v>
      </c>
      <c r="L36">
        <v>12274</v>
      </c>
      <c r="M36">
        <v>0</v>
      </c>
      <c r="N36">
        <v>0</v>
      </c>
      <c r="O36">
        <v>1591</v>
      </c>
      <c r="P36">
        <v>2576</v>
      </c>
      <c r="Q36">
        <v>0</v>
      </c>
      <c r="R36">
        <v>3561</v>
      </c>
      <c r="S36">
        <v>4546</v>
      </c>
      <c r="T36">
        <v>0</v>
      </c>
      <c r="U36">
        <v>0</v>
      </c>
      <c r="V36">
        <v>0</v>
      </c>
      <c r="W36">
        <v>0</v>
      </c>
      <c r="X36">
        <v>0</v>
      </c>
    </row>
    <row r="37" spans="1:24" x14ac:dyDescent="0.25">
      <c r="A37">
        <v>5</v>
      </c>
      <c r="B37" t="str">
        <v>Amazonia</v>
      </c>
      <c r="C37">
        <v>15</v>
      </c>
      <c r="E37">
        <v>113</v>
      </c>
      <c r="F37" t="str">
        <v>Town Hall</v>
      </c>
      <c r="G37" s="34">
        <v>46294</v>
      </c>
      <c r="H37" s="34">
        <v>46339</v>
      </c>
      <c r="I37">
        <v>3364</v>
      </c>
      <c r="K37" t="str">
        <v>Amazonia</v>
      </c>
      <c r="L37">
        <v>13062</v>
      </c>
      <c r="M37">
        <v>0</v>
      </c>
      <c r="N37">
        <v>1788</v>
      </c>
      <c r="O37">
        <v>2773</v>
      </c>
      <c r="P37">
        <v>3758</v>
      </c>
      <c r="Q37">
        <v>0</v>
      </c>
      <c r="R37">
        <v>4743</v>
      </c>
      <c r="S37">
        <v>0</v>
      </c>
      <c r="T37">
        <v>0</v>
      </c>
      <c r="U37">
        <v>0</v>
      </c>
      <c r="V37">
        <v>0</v>
      </c>
      <c r="W37">
        <v>0</v>
      </c>
      <c r="X37">
        <v>0</v>
      </c>
    </row>
    <row r="38" spans="1:24" x14ac:dyDescent="0.25">
      <c r="E38">
        <v>114</v>
      </c>
      <c r="F38" t="str">
        <v>Jacqie Penee</v>
      </c>
      <c r="G38" s="34">
        <v>46300</v>
      </c>
      <c r="H38" s="34">
        <v>46360</v>
      </c>
      <c r="I38">
        <v>3561</v>
      </c>
      <c r="K38" s="60" t="s">
        <v>159</v>
      </c>
      <c r="L38" s="60">
        <f>SUM(_xlfn.ANCHORARRAY(M38))</f>
        <v>62370</v>
      </c>
      <c r="M38" s="60" cm="1">
        <f t="array" ref="M38:X38">oz.SumColsλ(_xlfn.ANCHORARRAY(M33))</f>
        <v>0</v>
      </c>
      <c r="N38" s="60">
        <v>2788</v>
      </c>
      <c r="O38" s="60">
        <v>7743</v>
      </c>
      <c r="P38" s="60">
        <v>11683</v>
      </c>
      <c r="Q38" s="60">
        <v>8516</v>
      </c>
      <c r="R38" s="60">
        <v>19775</v>
      </c>
      <c r="S38" s="60">
        <v>7713</v>
      </c>
      <c r="T38" s="60">
        <v>4152</v>
      </c>
      <c r="U38" s="60">
        <v>0</v>
      </c>
      <c r="V38" s="60">
        <v>0</v>
      </c>
      <c r="W38" s="60">
        <v>0</v>
      </c>
      <c r="X38" s="60">
        <v>0</v>
      </c>
    </row>
    <row r="39" spans="1:24" x14ac:dyDescent="0.25">
      <c r="E39">
        <v>115</v>
      </c>
      <c r="F39" t="str">
        <v>Amazonia</v>
      </c>
      <c r="G39" s="34">
        <v>46307</v>
      </c>
      <c r="H39" s="34">
        <v>46322</v>
      </c>
      <c r="I39">
        <v>3758</v>
      </c>
    </row>
    <row r="40" spans="1:24" ht="15.75" thickBot="1" x14ac:dyDescent="0.3">
      <c r="E40">
        <v>116</v>
      </c>
      <c r="F40" t="str">
        <v>ACME</v>
      </c>
      <c r="G40" s="34">
        <v>46314</v>
      </c>
      <c r="H40" s="34">
        <v>46344</v>
      </c>
      <c r="I40">
        <v>3955</v>
      </c>
      <c r="L40" s="18" t="s">
        <v>158</v>
      </c>
      <c r="M40" s="64" cm="1">
        <f t="array" ref="M40:X40">_xlfn.ANCHORARRAY(M30)-_xlfn.ANCHORARRAY(M38)</f>
        <v>5182</v>
      </c>
      <c r="N40" s="64">
        <v>5546</v>
      </c>
      <c r="O40" s="64">
        <v>7107</v>
      </c>
      <c r="P40" s="64">
        <v>3743</v>
      </c>
      <c r="Q40" s="64">
        <v>10062</v>
      </c>
      <c r="R40" s="64">
        <v>-19775</v>
      </c>
      <c r="S40" s="64">
        <v>-7713</v>
      </c>
      <c r="T40" s="64">
        <v>-4152</v>
      </c>
      <c r="U40" s="64">
        <v>0</v>
      </c>
      <c r="V40" s="64">
        <v>0</v>
      </c>
      <c r="W40" s="64">
        <v>0</v>
      </c>
      <c r="X40" s="64">
        <v>0</v>
      </c>
    </row>
    <row r="41" spans="1:24" ht="15.75" thickTop="1" x14ac:dyDescent="0.25">
      <c r="E41">
        <v>117</v>
      </c>
      <c r="F41" t="str">
        <v>Wool*Art</v>
      </c>
      <c r="G41" s="34">
        <v>46321</v>
      </c>
      <c r="H41" s="34">
        <v>46441</v>
      </c>
      <c r="I41">
        <v>4152</v>
      </c>
    </row>
    <row r="42" spans="1:24" x14ac:dyDescent="0.25">
      <c r="E42">
        <v>118</v>
      </c>
      <c r="F42" t="str">
        <v>Town Hall</v>
      </c>
      <c r="G42" s="34">
        <v>46329</v>
      </c>
      <c r="H42" s="34">
        <v>46374</v>
      </c>
      <c r="I42">
        <v>4349</v>
      </c>
      <c r="L42" s="18" t="s">
        <v>157</v>
      </c>
      <c r="M42" cm="1">
        <f t="array" ref="M42:X42">oz.Cumulativeλ(_xlfn.ANCHORARRAY(M40))</f>
        <v>5182</v>
      </c>
      <c r="N42">
        <v>10728</v>
      </c>
      <c r="O42">
        <v>17835</v>
      </c>
      <c r="P42">
        <v>21578</v>
      </c>
      <c r="Q42">
        <v>31640</v>
      </c>
      <c r="R42">
        <v>11865</v>
      </c>
      <c r="S42">
        <v>4152</v>
      </c>
      <c r="T42">
        <v>0</v>
      </c>
      <c r="U42">
        <v>0</v>
      </c>
      <c r="V42">
        <v>0</v>
      </c>
      <c r="W42">
        <v>0</v>
      </c>
      <c r="X42">
        <v>0</v>
      </c>
    </row>
    <row r="43" spans="1:24" x14ac:dyDescent="0.25">
      <c r="E43">
        <v>119</v>
      </c>
      <c r="F43" t="str">
        <v>Jacqie Penee</v>
      </c>
      <c r="G43" s="34">
        <v>46336</v>
      </c>
      <c r="H43" s="34">
        <v>46396</v>
      </c>
      <c r="I43">
        <v>4546</v>
      </c>
    </row>
    <row r="44" spans="1:24" x14ac:dyDescent="0.25">
      <c r="E44">
        <v>120</v>
      </c>
      <c r="F44" t="str">
        <v>Amazonia</v>
      </c>
      <c r="G44" s="34">
        <v>46343</v>
      </c>
      <c r="H44" s="34">
        <v>46358</v>
      </c>
      <c r="I44">
        <v>4743</v>
      </c>
    </row>
    <row r="45" spans="1:24" x14ac:dyDescent="0.25">
      <c r="E45">
        <v>121</v>
      </c>
      <c r="F45" t="str">
        <v>ACME</v>
      </c>
      <c r="G45" s="34">
        <v>46350</v>
      </c>
      <c r="H45" s="34">
        <v>46380</v>
      </c>
      <c r="I45">
        <v>4940</v>
      </c>
    </row>
    <row r="46" spans="1:24" x14ac:dyDescent="0.25">
      <c r="E46" s="98" t="str">
        <v>Total</v>
      </c>
      <c r="F46" s="98">
        <v>0</v>
      </c>
      <c r="G46" s="99">
        <v>0</v>
      </c>
      <c r="H46" s="99">
        <v>0</v>
      </c>
      <c r="I46" s="60">
        <v>62370</v>
      </c>
    </row>
  </sheetData>
  <mergeCells count="5">
    <mergeCell ref="A1:Q1"/>
    <mergeCell ref="A2:Q2"/>
    <mergeCell ref="A22:C22"/>
    <mergeCell ref="E22:I22"/>
    <mergeCell ref="A30:C30"/>
  </mergeCells>
  <hyperlinks>
    <hyperlink ref="A1" location="'TOC'!$A$1" display="'TOC'!$A$1" xr:uid="{F1ECF7FE-D7C9-4F13-A6B4-9447F7ED2912}"/>
  </hyperlinks>
  <pageMargins left="0.7" right="0.7" top="0.75" bottom="0.75" header="0.3" footer="0.3"/>
  <pageSetup paperSize="9" scale="47" fitToHeight="0" orientation="landscape"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DA5A-CB26-4D88-9F82-1564438F9906}">
  <sheetPr codeName="Sheet19">
    <tabColor rgb="FF000000"/>
    <pageSetUpPr fitToPage="1"/>
  </sheetPr>
  <dimension ref="A1:Q23"/>
  <sheetViews>
    <sheetView showGridLines="0" workbookViewId="0">
      <selection sqref="A1:N1"/>
    </sheetView>
  </sheetViews>
  <sheetFormatPr defaultRowHeight="15" x14ac:dyDescent="0.25"/>
  <cols>
    <col min="1" max="1" width="15.75" customWidth="1"/>
    <col min="2" max="2" width="11.375" customWidth="1"/>
    <col min="3" max="3" width="10" bestFit="1" customWidth="1"/>
    <col min="5" max="5" width="10.125" bestFit="1" customWidth="1"/>
    <col min="6" max="6" width="10.375" bestFit="1" customWidth="1"/>
    <col min="7" max="7" width="10.875" bestFit="1" customWidth="1"/>
    <col min="8" max="8" width="10.375" bestFit="1" customWidth="1"/>
    <col min="9" max="9" width="11.125" bestFit="1" customWidth="1"/>
    <col min="10" max="10" width="10.25" bestFit="1" customWidth="1"/>
    <col min="11" max="11" width="9.625" bestFit="1" customWidth="1"/>
    <col min="12" max="12" width="10.75" bestFit="1" customWidth="1"/>
    <col min="13" max="13" width="10.375" bestFit="1" customWidth="1"/>
    <col min="14" max="14" width="10.25" bestFit="1" customWidth="1"/>
    <col min="15" max="15" width="10.75" bestFit="1" customWidth="1"/>
    <col min="16" max="16" width="10.625" bestFit="1" customWidth="1"/>
  </cols>
  <sheetData>
    <row r="1" spans="1:17" ht="46.5" x14ac:dyDescent="0.7">
      <c r="A1" s="185" t="str">
        <f ca="1">_xlfn.TEXTAFTER(CELL("filename",A1),"]")</f>
        <v>oz.Timelineλ</v>
      </c>
      <c r="B1" s="185"/>
      <c r="C1" s="185"/>
      <c r="D1" s="185"/>
      <c r="E1" s="185"/>
      <c r="F1" s="185"/>
      <c r="G1" s="185"/>
      <c r="H1" s="185"/>
      <c r="I1" s="185"/>
      <c r="J1" s="185"/>
      <c r="K1" s="185"/>
      <c r="L1" s="185"/>
      <c r="M1" s="185"/>
      <c r="N1" s="185"/>
    </row>
    <row r="2" spans="1:17" x14ac:dyDescent="0.25">
      <c r="A2" s="186" t="s">
        <v>81</v>
      </c>
      <c r="B2" s="191"/>
      <c r="C2" s="191"/>
      <c r="D2" s="191"/>
      <c r="E2" s="191"/>
      <c r="F2" s="191"/>
      <c r="G2" s="191"/>
      <c r="H2" s="191"/>
      <c r="I2" s="191"/>
      <c r="J2" s="191"/>
      <c r="K2" s="191"/>
      <c r="L2" s="191"/>
      <c r="M2" s="191"/>
      <c r="N2" s="191"/>
      <c r="O2" s="191"/>
      <c r="P2" s="191"/>
      <c r="Q2" s="191"/>
    </row>
    <row r="3" spans="1:17" x14ac:dyDescent="0.25">
      <c r="A3" s="211"/>
      <c r="B3" s="211"/>
      <c r="C3" s="211"/>
      <c r="D3" s="211"/>
      <c r="E3" s="211"/>
      <c r="F3" s="211"/>
      <c r="G3" s="211"/>
      <c r="H3" s="211"/>
      <c r="I3" s="211"/>
      <c r="J3" s="211"/>
      <c r="K3" s="211"/>
      <c r="L3" s="211"/>
      <c r="M3" s="211"/>
      <c r="N3" s="211"/>
    </row>
    <row r="4" spans="1:17" x14ac:dyDescent="0.25">
      <c r="A4" s="24" t="str" cm="1">
        <f t="array" ref="A4:B15">oz.Timelineλ()</f>
        <v>FUNCTION:</v>
      </c>
      <c r="B4" t="str">
        <v>Timelineλ(StartDate, Periods, Interval, PeriodStarts?)</v>
      </c>
    </row>
    <row r="5" spans="1:17" x14ac:dyDescent="0.25">
      <c r="A5" t="str">
        <v>DESCRIPTION:</v>
      </c>
      <c r="B5" t="str">
        <v>Creates a horizontal list of period dates.</v>
      </c>
    </row>
    <row r="6" spans="1:17" x14ac:dyDescent="0.25">
      <c r="A6" t="str">
        <v>WEBSITE:</v>
      </c>
      <c r="B6" t="str">
        <v>https://github.com/ryanduguid/Ozzit</v>
      </c>
    </row>
    <row r="7" spans="1:17" x14ac:dyDescent="0.25">
      <c r="A7" t="str">
        <v>PARAMETERS:</v>
      </c>
      <c r="B7" t="str">
        <v/>
      </c>
    </row>
    <row r="8" spans="1:17" x14ac:dyDescent="0.25">
      <c r="A8" t="str">
        <v>StartDate</v>
      </c>
      <c r="B8" t="str">
        <v>(Required) First period's start date. May be entered as text.</v>
      </c>
    </row>
    <row r="9" spans="1:17" x14ac:dyDescent="0.25">
      <c r="A9" t="str">
        <v>Periods</v>
      </c>
      <c r="B9" t="str">
        <v>(Optional) The number of period in the timeline. Defaults to 12.</v>
      </c>
    </row>
    <row r="10" spans="1:17" x14ac:dyDescent="0.25">
      <c r="A10" t="str">
        <v>Interval</v>
      </c>
      <c r="B10" t="str">
        <v>(Optional) Period interval: D, W, M, Q or Y (Day, Week, Month &lt;default&gt;, Quarter, or Year)</v>
      </c>
    </row>
    <row r="11" spans="1:17" x14ac:dyDescent="0.25">
      <c r="A11" t="str">
        <v>PeriodStarts?</v>
      </c>
      <c r="B11" t="str">
        <v>(Optional) TRUE=Display period start dates &lt;default&gt;. FALSE=Period end dates</v>
      </c>
    </row>
    <row r="12" spans="1:17" x14ac:dyDescent="0.25">
      <c r="A12" t="str">
        <v>EXAMPLES:</v>
      </c>
      <c r="B12" t="str">
        <v/>
      </c>
    </row>
    <row r="13" spans="1:17" x14ac:dyDescent="0.25">
      <c r="A13" t="str">
        <v>Result</v>
      </c>
      <c r="B13" t="str">
        <v>Formula (oz is assumed to be the module's name)</v>
      </c>
    </row>
    <row r="14" spans="1:17" x14ac:dyDescent="0.25">
      <c r="A14" t="str">
        <v>12 mo, starts</v>
      </c>
      <c r="B14" t="str">
        <v>=oz.Timelineλ(TODAY())</v>
      </c>
    </row>
    <row r="15" spans="1:17" x14ac:dyDescent="0.25">
      <c r="A15" t="str">
        <v>12 qtr, ends</v>
      </c>
      <c r="B15" t="str">
        <v>=oz.Timelineλ(TODAY(), , "Q", FALSE)</v>
      </c>
    </row>
    <row r="18" spans="1:16" x14ac:dyDescent="0.25">
      <c r="E18" s="2" t="s">
        <v>25</v>
      </c>
    </row>
    <row r="19" spans="1:16" x14ac:dyDescent="0.25">
      <c r="A19" s="8" t="s">
        <v>13</v>
      </c>
      <c r="B19" s="9" t="s">
        <v>14</v>
      </c>
      <c r="C19" s="8" t="s">
        <v>15</v>
      </c>
      <c r="E19" s="29" cm="1">
        <f t="array" ref="E19:P19">oz.Timelineλ(B20,B21,B22,B23)</f>
        <v>46204</v>
      </c>
      <c r="F19" s="1">
        <v>46235</v>
      </c>
      <c r="G19" s="1">
        <v>46266</v>
      </c>
      <c r="H19" s="1">
        <v>46296</v>
      </c>
      <c r="I19" s="1">
        <v>46327</v>
      </c>
      <c r="J19" s="1">
        <v>46357</v>
      </c>
      <c r="K19" s="1">
        <v>46388</v>
      </c>
      <c r="L19" s="1">
        <v>46419</v>
      </c>
      <c r="M19" s="1">
        <v>46447</v>
      </c>
      <c r="N19" s="1">
        <v>46478</v>
      </c>
      <c r="O19" s="1">
        <v>46508</v>
      </c>
      <c r="P19" s="1">
        <v>46539</v>
      </c>
    </row>
    <row r="20" spans="1:16" x14ac:dyDescent="0.25">
      <c r="A20" t="s">
        <v>16</v>
      </c>
      <c r="B20" s="12">
        <v>46204</v>
      </c>
      <c r="C20" t="s">
        <v>21</v>
      </c>
    </row>
    <row r="21" spans="1:16" x14ac:dyDescent="0.25">
      <c r="A21" t="s">
        <v>17</v>
      </c>
      <c r="B21" s="11">
        <v>12</v>
      </c>
      <c r="C21" t="s">
        <v>22</v>
      </c>
    </row>
    <row r="22" spans="1:16" x14ac:dyDescent="0.25">
      <c r="A22" t="s">
        <v>18</v>
      </c>
      <c r="B22" s="11" t="s">
        <v>20</v>
      </c>
      <c r="C22" t="s">
        <v>24</v>
      </c>
    </row>
    <row r="23" spans="1:16" x14ac:dyDescent="0.25">
      <c r="A23" t="s">
        <v>19</v>
      </c>
      <c r="B23" s="11" t="b">
        <v>1</v>
      </c>
      <c r="C23" t="s">
        <v>23</v>
      </c>
    </row>
  </sheetData>
  <mergeCells count="3">
    <mergeCell ref="A1:N1"/>
    <mergeCell ref="A3:N3"/>
    <mergeCell ref="A2:Q2"/>
  </mergeCells>
  <hyperlinks>
    <hyperlink ref="A1" location="'TOC'!$A$1" display="'TOC'!$A$1" xr:uid="{2D092779-C8F2-49E7-B8C7-FCC62978CC96}"/>
  </hyperlinks>
  <pageMargins left="0.7" right="0.7" top="0.75" bottom="0.75" header="0.3" footer="0.3"/>
  <pageSetup paperSize="9" scale="69" fitToHeight="0" orientation="landscape"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89E9-D5D9-4186-A555-66D9C6FA95CB}">
  <sheetPr codeName="Sheet38">
    <tabColor rgb="FF66023C"/>
    <pageSetUpPr fitToPage="1"/>
  </sheetPr>
  <dimension ref="A1:W44"/>
  <sheetViews>
    <sheetView showGridLines="0" workbookViewId="0">
      <pane xSplit="8" topLeftCell="I1" activePane="topRight" state="frozen"/>
      <selection sqref="A1:P1"/>
      <selection pane="topRight" activeCell="I1" sqref="I1"/>
    </sheetView>
  </sheetViews>
  <sheetFormatPr defaultRowHeight="15" x14ac:dyDescent="0.25"/>
  <cols>
    <col min="1" max="1" width="12.75" bestFit="1" customWidth="1"/>
    <col min="3" max="3" width="6" bestFit="1" customWidth="1"/>
    <col min="4" max="4" width="5.25" bestFit="1" customWidth="1"/>
    <col min="5" max="5" width="10" bestFit="1" customWidth="1"/>
    <col min="7" max="7" width="24.375" bestFit="1" customWidth="1"/>
    <col min="8" max="8" width="8.625" bestFit="1" customWidth="1"/>
    <col min="9" max="9" width="10.125" bestFit="1" customWidth="1"/>
    <col min="10" max="22" width="11.375" bestFit="1" customWidth="1"/>
  </cols>
  <sheetData>
    <row r="1" spans="1:17" ht="46.5" x14ac:dyDescent="0.7">
      <c r="A1" s="185" t="str">
        <f ca="1">_xlfn.TEXTAFTER(CELL("filename",A1),"]")</f>
        <v>oz.Amortiseλ</v>
      </c>
      <c r="B1" s="185"/>
      <c r="C1" s="185"/>
      <c r="D1" s="185"/>
      <c r="E1" s="185"/>
      <c r="F1" s="185"/>
      <c r="G1" s="185"/>
      <c r="H1" s="185"/>
      <c r="I1" s="185"/>
      <c r="J1" s="185"/>
      <c r="K1" s="185"/>
      <c r="L1" s="185"/>
      <c r="M1" s="185"/>
      <c r="N1" s="185"/>
      <c r="O1" s="185"/>
      <c r="P1" s="185"/>
    </row>
    <row r="2" spans="1:17" x14ac:dyDescent="0.25">
      <c r="A2" s="186" t="s">
        <v>82</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212"/>
      <c r="L3" s="212"/>
      <c r="M3" s="212"/>
      <c r="N3" s="212"/>
      <c r="O3" s="212"/>
      <c r="P3" s="212"/>
    </row>
    <row r="4" spans="1:17" x14ac:dyDescent="0.25">
      <c r="A4" s="24" t="str" cm="1">
        <f t="array" ref="A4:B20">oz.Amortiseλ()</f>
        <v>FUNCTION:</v>
      </c>
      <c r="B4" t="str">
        <v>Amortiseλ( Principals, APRs, Terms, StartDates, [Timeline], [FinalPeriodEnd])</v>
      </c>
      <c r="K4" s="212"/>
      <c r="L4" s="212"/>
      <c r="M4" s="212"/>
      <c r="N4" s="212"/>
      <c r="O4" s="212"/>
      <c r="P4" s="212"/>
    </row>
    <row r="5" spans="1:17" x14ac:dyDescent="0.25">
      <c r="A5" t="str">
        <v>DESCRIPTION:</v>
      </c>
      <c r="B5" t="str">
        <v>Creates an amortisation schedule array for one or more loans.</v>
      </c>
      <c r="K5" s="212"/>
      <c r="L5" s="212"/>
      <c r="M5" s="212"/>
      <c r="N5" s="212"/>
      <c r="O5" s="212"/>
      <c r="P5" s="212"/>
    </row>
    <row r="6" spans="1:17" x14ac:dyDescent="0.25">
      <c r="A6" t="str">
        <v/>
      </c>
      <c r="B6" t="str">
        <v>Payments are assumed monthly. Each month lands in the period holding its start. Flows add up; balances show the first opening and last closing. Periods without a loan month are nil.</v>
      </c>
      <c r="K6" s="212"/>
      <c r="L6" s="212"/>
      <c r="M6" s="212"/>
      <c r="N6" s="212"/>
      <c r="O6" s="212"/>
      <c r="P6" s="212"/>
    </row>
    <row r="7" spans="1:17" x14ac:dyDescent="0.25">
      <c r="A7" t="str">
        <v/>
      </c>
      <c r="B7" t="str">
        <v>Use LabelAmortiseλ() to apply labels to this function's results:</v>
      </c>
      <c r="K7" s="212"/>
      <c r="L7" s="212"/>
      <c r="M7" s="212"/>
      <c r="N7" s="212"/>
      <c r="O7" s="212"/>
      <c r="P7" s="212"/>
    </row>
    <row r="8" spans="1:17" x14ac:dyDescent="0.25">
      <c r="A8" t="str">
        <v/>
      </c>
      <c r="B8" t="str">
        <v>Use SumAmortiseλ() to apply totals to this function's results:</v>
      </c>
      <c r="K8" s="212"/>
      <c r="L8" s="212"/>
      <c r="M8" s="212"/>
      <c r="N8" s="212"/>
      <c r="O8" s="212"/>
      <c r="P8" s="212"/>
    </row>
    <row r="9" spans="1:17" x14ac:dyDescent="0.25">
      <c r="A9" t="str">
        <v>WEBPAGE:</v>
      </c>
      <c r="B9" t="str">
        <v>https://github.com/ryanduguid/Ozzit</v>
      </c>
      <c r="K9" s="212"/>
      <c r="L9" s="212"/>
      <c r="M9" s="212"/>
      <c r="N9" s="212"/>
      <c r="O9" s="212"/>
      <c r="P9" s="212"/>
    </row>
    <row r="10" spans="1:17" x14ac:dyDescent="0.25">
      <c r="A10" t="str">
        <v>VERSION:</v>
      </c>
      <c r="B10" t="str">
        <v>20 Aug 2026</v>
      </c>
      <c r="K10" s="212"/>
      <c r="L10" s="212"/>
      <c r="M10" s="212"/>
      <c r="N10" s="212"/>
      <c r="O10" s="212"/>
      <c r="P10" s="212"/>
    </row>
    <row r="11" spans="1:17" x14ac:dyDescent="0.25">
      <c r="A11" t="str">
        <v>PARAMETERS:</v>
      </c>
      <c r="B11" t="str">
        <v/>
      </c>
      <c r="K11" s="212"/>
      <c r="L11" s="212"/>
      <c r="M11" s="212"/>
      <c r="N11" s="212"/>
      <c r="O11" s="212"/>
      <c r="P11" s="212"/>
    </row>
    <row r="12" spans="1:17" x14ac:dyDescent="0.25">
      <c r="A12" t="str">
        <v>Principals</v>
      </c>
      <c r="B12" t="str">
        <v>(Required) Loan/debt amounts.</v>
      </c>
      <c r="K12" s="212"/>
      <c r="L12" s="212"/>
      <c r="M12" s="212"/>
      <c r="N12" s="212"/>
      <c r="O12" s="212"/>
      <c r="P12" s="212"/>
    </row>
    <row r="13" spans="1:17" x14ac:dyDescent="0.25">
      <c r="A13" t="str">
        <v>APRs</v>
      </c>
      <c r="B13" t="str">
        <v>(Required) Annual Percentage Rates for interest.</v>
      </c>
      <c r="K13" s="212"/>
      <c r="L13" s="212"/>
      <c r="M13" s="212"/>
      <c r="N13" s="212"/>
      <c r="O13" s="212"/>
      <c r="P13" s="212"/>
    </row>
    <row r="14" spans="1:17" x14ac:dyDescent="0.25">
      <c r="A14" t="str">
        <v>Terms</v>
      </c>
      <c r="B14" t="str">
        <v>(Required) Number of months for loans/debts.</v>
      </c>
      <c r="K14" s="212"/>
      <c r="L14" s="212"/>
      <c r="M14" s="212"/>
      <c r="N14" s="212"/>
      <c r="O14" s="212"/>
      <c r="P14" s="212"/>
    </row>
    <row r="15" spans="1:17" x14ac:dyDescent="0.25">
      <c r="A15" t="str">
        <v>StartDates</v>
      </c>
      <c r="B15" t="str">
        <v>(Required) Dates debts are issued.</v>
      </c>
      <c r="K15" s="212"/>
      <c r="L15" s="212"/>
      <c r="M15" s="212"/>
      <c r="N15" s="212"/>
      <c r="O15" s="212"/>
      <c r="P15" s="212"/>
    </row>
    <row r="16" spans="1:17" x14ac:dyDescent="0.25">
      <c r="A16" t="str">
        <v>Timeline</v>
      </c>
      <c r="B16" t="str">
        <v>(Optional) A row of period start dates. If omitted, a monthly timeline is added</v>
      </c>
    </row>
    <row r="17" spans="1:23" x14ac:dyDescent="0.25">
      <c r="A17" t="str">
        <v>FinalPeriodEnd</v>
      </c>
      <c r="B17" t="str">
        <v>(Optional) The day after the last period ends. Needs Timeline, and only moves money where its periods are shorter than a month. Otherwise, the last period follows the preceding interval, using calendar months for monthly or longer intervals.</v>
      </c>
    </row>
    <row r="18" spans="1:23" x14ac:dyDescent="0.25">
      <c r="A18" t="str">
        <v>EXAMPLES:</v>
      </c>
      <c r="B18" t="str">
        <v/>
      </c>
    </row>
    <row r="19" spans="1:23" x14ac:dyDescent="0.25">
      <c r="A19" t="str">
        <v>Result</v>
      </c>
      <c r="B19" t="str">
        <v>Formula (oz is assumed to be the module's name)</v>
      </c>
    </row>
    <row r="20" spans="1:23" x14ac:dyDescent="0.25">
      <c r="A20" t="str">
        <v/>
      </c>
      <c r="B20" t="str">
        <v>=oz.Amortiseλ(10000, 5%, 4 * 12, "2026-07-01")</v>
      </c>
    </row>
    <row r="22" spans="1:23" ht="21" x14ac:dyDescent="0.35">
      <c r="A22" s="200" t="s">
        <v>193</v>
      </c>
      <c r="B22" s="204"/>
      <c r="C22" s="204"/>
      <c r="D22" s="204"/>
      <c r="E22" s="204"/>
    </row>
    <row r="23" spans="1:23" x14ac:dyDescent="0.25">
      <c r="A23" s="202"/>
      <c r="B23" s="201"/>
      <c r="C23" s="201"/>
      <c r="D23" s="201"/>
      <c r="E23" s="201"/>
      <c r="G23" s="78" t="s">
        <v>18</v>
      </c>
      <c r="H23" s="17" t="s">
        <v>2</v>
      </c>
    </row>
    <row r="24" spans="1:23" x14ac:dyDescent="0.25">
      <c r="A24" s="65" t="s">
        <v>7</v>
      </c>
      <c r="B24" s="81" t="s">
        <v>161</v>
      </c>
      <c r="C24" s="81" t="s">
        <v>162</v>
      </c>
      <c r="D24" s="81" t="s">
        <v>163</v>
      </c>
      <c r="E24" s="81" t="s">
        <v>164</v>
      </c>
      <c r="F24" s="67"/>
      <c r="G24" s="121" t="s">
        <v>197</v>
      </c>
      <c r="H24" s="143" t="s">
        <v>165</v>
      </c>
      <c r="I24" s="1" cm="1">
        <f t="array" ref="I24:W24">oz.Timelineλ("1/7/2026", 15 * _xlfn.SWITCH(H23, "M", 12, "Q", 4, "Y", 1), H23)</f>
        <v>46204</v>
      </c>
      <c r="J24" s="1">
        <v>46569</v>
      </c>
      <c r="K24" s="1">
        <v>46935</v>
      </c>
      <c r="L24" s="1">
        <v>47300</v>
      </c>
      <c r="M24" s="1">
        <v>47665</v>
      </c>
      <c r="N24" s="1">
        <v>48030</v>
      </c>
      <c r="O24" s="1">
        <v>48396</v>
      </c>
      <c r="P24" s="1">
        <v>48761</v>
      </c>
      <c r="Q24" s="1">
        <v>49126</v>
      </c>
      <c r="R24" s="1">
        <v>49491</v>
      </c>
      <c r="S24" s="1">
        <v>49857</v>
      </c>
      <c r="T24" s="1">
        <v>50222</v>
      </c>
      <c r="U24" s="1">
        <v>50587</v>
      </c>
      <c r="V24" s="1">
        <v>50952</v>
      </c>
      <c r="W24" s="1">
        <v>51318</v>
      </c>
    </row>
    <row r="25" spans="1:23" x14ac:dyDescent="0.25">
      <c r="A25" s="82" t="s">
        <v>166</v>
      </c>
      <c r="B25" s="71">
        <v>51216</v>
      </c>
      <c r="C25" s="72">
        <v>7.0000000000000007E-2</v>
      </c>
      <c r="D25" s="73">
        <v>10</v>
      </c>
      <c r="E25" s="74">
        <v>46266</v>
      </c>
      <c r="G25" s="75" t="str" cm="1">
        <f t="array" ref="G25:G44">oz.LabelAmortiseλ(tblLoans[Description])</f>
        <v>Renovation Debt Issuance</v>
      </c>
      <c r="H25" s="79" cm="1">
        <f t="array" ref="H25:H44">oz.SumAmortiseλ(_xlfn.ANCHORARRAY(I25))</f>
        <v>0</v>
      </c>
      <c r="I25" s="80" cm="1">
        <f t="array" ref="I25:W44">oz.Amortiseλ(tblLoans[Principal],tblLoans[APR],tblLoans[Term],tblLoans[Start Date],_xlfn.ANCHORARRAY( I24))</f>
        <v>51216</v>
      </c>
      <c r="J25" s="79">
        <v>0</v>
      </c>
      <c r="K25" s="79">
        <v>0</v>
      </c>
      <c r="L25" s="79">
        <v>0</v>
      </c>
      <c r="M25" s="79">
        <v>0</v>
      </c>
      <c r="N25" s="79">
        <v>0</v>
      </c>
      <c r="O25" s="79">
        <v>0</v>
      </c>
      <c r="P25" s="79">
        <v>0</v>
      </c>
      <c r="Q25" s="79">
        <v>0</v>
      </c>
      <c r="R25" s="79">
        <v>0</v>
      </c>
      <c r="S25" s="79">
        <v>0</v>
      </c>
      <c r="T25" s="79">
        <v>0</v>
      </c>
      <c r="U25" s="79">
        <v>0</v>
      </c>
      <c r="V25" s="79">
        <v>0</v>
      </c>
      <c r="W25" s="41">
        <v>0</v>
      </c>
    </row>
    <row r="26" spans="1:23" x14ac:dyDescent="0.25">
      <c r="A26" s="82" t="s">
        <v>167</v>
      </c>
      <c r="B26" s="71">
        <v>46218</v>
      </c>
      <c r="C26" s="72">
        <v>6.5000000000000002E-2</v>
      </c>
      <c r="D26" s="73">
        <v>10</v>
      </c>
      <c r="E26" s="74">
        <v>46204</v>
      </c>
      <c r="G26" s="75" t="str">
        <v>Renovation Debt Balance</v>
      </c>
      <c r="H26" s="79">
        <v>0</v>
      </c>
      <c r="I26" s="79">
        <v>51216</v>
      </c>
      <c r="J26" s="79">
        <v>0</v>
      </c>
      <c r="K26" s="79">
        <v>0</v>
      </c>
      <c r="L26" s="79">
        <v>0</v>
      </c>
      <c r="M26" s="79">
        <v>0</v>
      </c>
      <c r="N26" s="79">
        <v>0</v>
      </c>
      <c r="O26" s="79">
        <v>0</v>
      </c>
      <c r="P26" s="79">
        <v>0</v>
      </c>
      <c r="Q26" s="79">
        <v>0</v>
      </c>
      <c r="R26" s="79">
        <v>0</v>
      </c>
      <c r="S26" s="79">
        <v>0</v>
      </c>
      <c r="T26" s="79">
        <v>0</v>
      </c>
      <c r="U26" s="79">
        <v>0</v>
      </c>
      <c r="V26" s="79">
        <v>0</v>
      </c>
      <c r="W26" s="41">
        <v>0</v>
      </c>
    </row>
    <row r="27" spans="1:23" x14ac:dyDescent="0.25">
      <c r="A27" s="82" t="s">
        <v>168</v>
      </c>
      <c r="B27" s="71">
        <v>500000</v>
      </c>
      <c r="C27" s="72">
        <v>0.08</v>
      </c>
      <c r="D27" s="73">
        <v>30</v>
      </c>
      <c r="E27" s="74">
        <v>46569</v>
      </c>
      <c r="G27" s="75" t="str">
        <v>Renovation Interest</v>
      </c>
      <c r="H27" s="79">
        <v>1657.5152357087741</v>
      </c>
      <c r="I27" s="79">
        <v>1657.5152357087741</v>
      </c>
      <c r="J27" s="79">
        <v>0</v>
      </c>
      <c r="K27" s="79">
        <v>0</v>
      </c>
      <c r="L27" s="79">
        <v>0</v>
      </c>
      <c r="M27" s="79">
        <v>0</v>
      </c>
      <c r="N27" s="79">
        <v>0</v>
      </c>
      <c r="O27" s="79">
        <v>0</v>
      </c>
      <c r="P27" s="79">
        <v>0</v>
      </c>
      <c r="Q27" s="79">
        <v>0</v>
      </c>
      <c r="R27" s="79">
        <v>0</v>
      </c>
      <c r="S27" s="79">
        <v>0</v>
      </c>
      <c r="T27" s="79">
        <v>0</v>
      </c>
      <c r="U27" s="79">
        <v>0</v>
      </c>
      <c r="V27" s="79">
        <v>0</v>
      </c>
      <c r="W27" s="41">
        <v>0</v>
      </c>
    </row>
    <row r="28" spans="1:23" x14ac:dyDescent="0.25">
      <c r="G28" s="75" t="str">
        <v>Renovation Debt Services</v>
      </c>
      <c r="H28" s="79">
        <v>-52873.515235708772</v>
      </c>
      <c r="I28" s="79">
        <v>-52873.515235708772</v>
      </c>
      <c r="J28" s="79">
        <v>0</v>
      </c>
      <c r="K28" s="79">
        <v>0</v>
      </c>
      <c r="L28" s="79">
        <v>0</v>
      </c>
      <c r="M28" s="79">
        <v>0</v>
      </c>
      <c r="N28" s="79">
        <v>0</v>
      </c>
      <c r="O28" s="79">
        <v>0</v>
      </c>
      <c r="P28" s="79">
        <v>0</v>
      </c>
      <c r="Q28" s="79">
        <v>0</v>
      </c>
      <c r="R28" s="79">
        <v>0</v>
      </c>
      <c r="S28" s="79">
        <v>0</v>
      </c>
      <c r="T28" s="79">
        <v>0</v>
      </c>
      <c r="U28" s="79">
        <v>0</v>
      </c>
      <c r="V28" s="79">
        <v>0</v>
      </c>
      <c r="W28" s="41">
        <v>0</v>
      </c>
    </row>
    <row r="29" spans="1:23" x14ac:dyDescent="0.25">
      <c r="G29" s="75" t="str">
        <v>Renovation Closing Balance</v>
      </c>
      <c r="H29" s="79">
        <v>0</v>
      </c>
      <c r="I29" s="79">
        <v>-2.2737367544323206E-10</v>
      </c>
      <c r="J29" s="79">
        <v>0</v>
      </c>
      <c r="K29" s="79">
        <v>0</v>
      </c>
      <c r="L29" s="79">
        <v>0</v>
      </c>
      <c r="M29" s="79">
        <v>0</v>
      </c>
      <c r="N29" s="79">
        <v>0</v>
      </c>
      <c r="O29" s="79">
        <v>0</v>
      </c>
      <c r="P29" s="79">
        <v>0</v>
      </c>
      <c r="Q29" s="79">
        <v>0</v>
      </c>
      <c r="R29" s="79">
        <v>0</v>
      </c>
      <c r="S29" s="79">
        <v>0</v>
      </c>
      <c r="T29" s="79">
        <v>0</v>
      </c>
      <c r="U29" s="79">
        <v>0</v>
      </c>
      <c r="V29" s="79">
        <v>0</v>
      </c>
      <c r="W29" s="41">
        <v>0</v>
      </c>
    </row>
    <row r="30" spans="1:23" x14ac:dyDescent="0.25">
      <c r="G30" s="75" t="str">
        <v>Renovation Debt Repayment</v>
      </c>
      <c r="H30" s="79">
        <v>51216</v>
      </c>
      <c r="I30" s="79">
        <v>51216</v>
      </c>
      <c r="J30" s="79">
        <v>0</v>
      </c>
      <c r="K30" s="79">
        <v>0</v>
      </c>
      <c r="L30" s="79">
        <v>0</v>
      </c>
      <c r="M30" s="79">
        <v>0</v>
      </c>
      <c r="N30" s="79">
        <v>0</v>
      </c>
      <c r="O30" s="79">
        <v>0</v>
      </c>
      <c r="P30" s="79">
        <v>0</v>
      </c>
      <c r="Q30" s="79">
        <v>0</v>
      </c>
      <c r="R30" s="79">
        <v>0</v>
      </c>
      <c r="S30" s="79">
        <v>0</v>
      </c>
      <c r="T30" s="79">
        <v>0</v>
      </c>
      <c r="U30" s="79">
        <v>0</v>
      </c>
      <c r="V30" s="79">
        <v>0</v>
      </c>
      <c r="W30" s="41">
        <v>0</v>
      </c>
    </row>
    <row r="31" spans="1:23" x14ac:dyDescent="0.25">
      <c r="G31" s="75" t="str">
        <v/>
      </c>
      <c r="H31" s="79">
        <v>0</v>
      </c>
      <c r="I31" s="79" t="str">
        <v xml:space="preserve"> </v>
      </c>
      <c r="J31" s="79" t="str">
        <v xml:space="preserve"> </v>
      </c>
      <c r="K31" s="79" t="str">
        <v xml:space="preserve"> </v>
      </c>
      <c r="L31" s="79" t="str">
        <v xml:space="preserve"> </v>
      </c>
      <c r="M31" s="79" t="str">
        <v xml:space="preserve"> </v>
      </c>
      <c r="N31" s="79" t="str">
        <v xml:space="preserve"> </v>
      </c>
      <c r="O31" s="79" t="str">
        <v xml:space="preserve"> </v>
      </c>
      <c r="P31" s="79" t="str">
        <v xml:space="preserve"> </v>
      </c>
      <c r="Q31" s="79" t="str">
        <v xml:space="preserve"> </v>
      </c>
      <c r="R31" s="79" t="str">
        <v xml:space="preserve"> </v>
      </c>
      <c r="S31" s="79" t="str">
        <v xml:space="preserve"> </v>
      </c>
      <c r="T31" s="79" t="str">
        <v xml:space="preserve"> </v>
      </c>
      <c r="U31" s="79" t="str">
        <v xml:space="preserve"> </v>
      </c>
      <c r="V31" s="79" t="str">
        <v xml:space="preserve"> </v>
      </c>
      <c r="W31" s="41" t="str">
        <v xml:space="preserve"> </v>
      </c>
    </row>
    <row r="32" spans="1:23" x14ac:dyDescent="0.25">
      <c r="G32" s="75" t="str">
        <v>New sign Debt Issuance</v>
      </c>
      <c r="H32" s="79">
        <v>0</v>
      </c>
      <c r="I32" s="79">
        <v>46218</v>
      </c>
      <c r="J32" s="79">
        <v>0</v>
      </c>
      <c r="K32" s="79">
        <v>0</v>
      </c>
      <c r="L32" s="79">
        <v>0</v>
      </c>
      <c r="M32" s="79">
        <v>0</v>
      </c>
      <c r="N32" s="79">
        <v>0</v>
      </c>
      <c r="O32" s="79">
        <v>0</v>
      </c>
      <c r="P32" s="79">
        <v>0</v>
      </c>
      <c r="Q32" s="79">
        <v>0</v>
      </c>
      <c r="R32" s="79">
        <v>0</v>
      </c>
      <c r="S32" s="79">
        <v>0</v>
      </c>
      <c r="T32" s="79">
        <v>0</v>
      </c>
      <c r="U32" s="79">
        <v>0</v>
      </c>
      <c r="V32" s="79">
        <v>0</v>
      </c>
      <c r="W32" s="41">
        <v>0</v>
      </c>
    </row>
    <row r="33" spans="7:23" x14ac:dyDescent="0.25">
      <c r="G33" s="75" t="str">
        <v>New sign Debt Balance</v>
      </c>
      <c r="H33" s="79">
        <v>0</v>
      </c>
      <c r="I33" s="79">
        <v>46218</v>
      </c>
      <c r="J33" s="79">
        <v>0</v>
      </c>
      <c r="K33" s="79">
        <v>0</v>
      </c>
      <c r="L33" s="79">
        <v>0</v>
      </c>
      <c r="M33" s="79">
        <v>0</v>
      </c>
      <c r="N33" s="79">
        <v>0</v>
      </c>
      <c r="O33" s="79">
        <v>0</v>
      </c>
      <c r="P33" s="79">
        <v>0</v>
      </c>
      <c r="Q33" s="79">
        <v>0</v>
      </c>
      <c r="R33" s="79">
        <v>0</v>
      </c>
      <c r="S33" s="79">
        <v>0</v>
      </c>
      <c r="T33" s="79">
        <v>0</v>
      </c>
      <c r="U33" s="79">
        <v>0</v>
      </c>
      <c r="V33" s="79">
        <v>0</v>
      </c>
      <c r="W33" s="41">
        <v>0</v>
      </c>
    </row>
    <row r="34" spans="7:23" x14ac:dyDescent="0.25">
      <c r="G34" s="75" t="str">
        <v>New sign Interest</v>
      </c>
      <c r="H34" s="79">
        <v>1388.0679156179572</v>
      </c>
      <c r="I34" s="79">
        <v>1388.0679156179572</v>
      </c>
      <c r="J34" s="79">
        <v>0</v>
      </c>
      <c r="K34" s="79">
        <v>0</v>
      </c>
      <c r="L34" s="79">
        <v>0</v>
      </c>
      <c r="M34" s="79">
        <v>0</v>
      </c>
      <c r="N34" s="79">
        <v>0</v>
      </c>
      <c r="O34" s="79">
        <v>0</v>
      </c>
      <c r="P34" s="79">
        <v>0</v>
      </c>
      <c r="Q34" s="79">
        <v>0</v>
      </c>
      <c r="R34" s="79">
        <v>0</v>
      </c>
      <c r="S34" s="79">
        <v>0</v>
      </c>
      <c r="T34" s="79">
        <v>0</v>
      </c>
      <c r="U34" s="79">
        <v>0</v>
      </c>
      <c r="V34" s="79">
        <v>0</v>
      </c>
      <c r="W34" s="41">
        <v>0</v>
      </c>
    </row>
    <row r="35" spans="7:23" x14ac:dyDescent="0.25">
      <c r="G35" s="75" t="str">
        <v>New sign Debt Services</v>
      </c>
      <c r="H35" s="79">
        <v>-47606.067915617947</v>
      </c>
      <c r="I35" s="79">
        <v>-47606.067915617947</v>
      </c>
      <c r="J35" s="79">
        <v>0</v>
      </c>
      <c r="K35" s="79">
        <v>0</v>
      </c>
      <c r="L35" s="79">
        <v>0</v>
      </c>
      <c r="M35" s="79">
        <v>0</v>
      </c>
      <c r="N35" s="79">
        <v>0</v>
      </c>
      <c r="O35" s="79">
        <v>0</v>
      </c>
      <c r="P35" s="79">
        <v>0</v>
      </c>
      <c r="Q35" s="79">
        <v>0</v>
      </c>
      <c r="R35" s="79">
        <v>0</v>
      </c>
      <c r="S35" s="79">
        <v>0</v>
      </c>
      <c r="T35" s="79">
        <v>0</v>
      </c>
      <c r="U35" s="79">
        <v>0</v>
      </c>
      <c r="V35" s="79">
        <v>0</v>
      </c>
      <c r="W35" s="41">
        <v>0</v>
      </c>
    </row>
    <row r="36" spans="7:23" x14ac:dyDescent="0.25">
      <c r="G36" s="76" t="str">
        <v>New sign Closing Balance</v>
      </c>
      <c r="H36" s="79">
        <v>0</v>
      </c>
      <c r="I36" s="79">
        <v>3.9472070056945086E-10</v>
      </c>
      <c r="J36" s="79">
        <v>0</v>
      </c>
      <c r="K36" s="79">
        <v>0</v>
      </c>
      <c r="L36" s="79">
        <v>0</v>
      </c>
      <c r="M36" s="79">
        <v>0</v>
      </c>
      <c r="N36" s="79">
        <v>0</v>
      </c>
      <c r="O36" s="79">
        <v>0</v>
      </c>
      <c r="P36" s="79">
        <v>0</v>
      </c>
      <c r="Q36" s="79">
        <v>0</v>
      </c>
      <c r="R36" s="79">
        <v>0</v>
      </c>
      <c r="S36" s="79">
        <v>0</v>
      </c>
      <c r="T36" s="79">
        <v>0</v>
      </c>
      <c r="U36" s="79">
        <v>0</v>
      </c>
      <c r="V36" s="79">
        <v>0</v>
      </c>
      <c r="W36">
        <v>0</v>
      </c>
    </row>
    <row r="37" spans="7:23" x14ac:dyDescent="0.25">
      <c r="G37" s="76" t="str">
        <v>New sign Debt Repayment</v>
      </c>
      <c r="H37" s="79">
        <v>46217.999999999993</v>
      </c>
      <c r="I37" s="79">
        <v>46217.999999999993</v>
      </c>
      <c r="J37" s="79">
        <v>0</v>
      </c>
      <c r="K37" s="79">
        <v>0</v>
      </c>
      <c r="L37" s="79">
        <v>0</v>
      </c>
      <c r="M37" s="79">
        <v>0</v>
      </c>
      <c r="N37" s="79">
        <v>0</v>
      </c>
      <c r="O37" s="79">
        <v>0</v>
      </c>
      <c r="P37" s="79">
        <v>0</v>
      </c>
      <c r="Q37" s="79">
        <v>0</v>
      </c>
      <c r="R37" s="79">
        <v>0</v>
      </c>
      <c r="S37" s="79">
        <v>0</v>
      </c>
      <c r="T37" s="79">
        <v>0</v>
      </c>
      <c r="U37" s="79">
        <v>0</v>
      </c>
      <c r="V37" s="79">
        <v>0</v>
      </c>
      <c r="W37">
        <v>0</v>
      </c>
    </row>
    <row r="38" spans="7:23" x14ac:dyDescent="0.25">
      <c r="G38" s="76" t="str">
        <v/>
      </c>
      <c r="H38" s="79">
        <v>0</v>
      </c>
      <c r="I38" s="79" t="str">
        <v xml:space="preserve"> </v>
      </c>
      <c r="J38" s="79" t="str">
        <v xml:space="preserve"> </v>
      </c>
      <c r="K38" s="79" t="str">
        <v xml:space="preserve"> </v>
      </c>
      <c r="L38" s="79" t="str">
        <v xml:space="preserve"> </v>
      </c>
      <c r="M38" s="79" t="str">
        <v xml:space="preserve"> </v>
      </c>
      <c r="N38" s="79" t="str">
        <v xml:space="preserve"> </v>
      </c>
      <c r="O38" s="79" t="str">
        <v xml:space="preserve"> </v>
      </c>
      <c r="P38" s="79" t="str">
        <v xml:space="preserve"> </v>
      </c>
      <c r="Q38" s="79" t="str">
        <v xml:space="preserve"> </v>
      </c>
      <c r="R38" s="79" t="str">
        <v xml:space="preserve"> </v>
      </c>
      <c r="S38" s="79" t="str">
        <v xml:space="preserve"> </v>
      </c>
      <c r="T38" s="79" t="str">
        <v xml:space="preserve"> </v>
      </c>
      <c r="U38" s="79" t="str">
        <v xml:space="preserve"> </v>
      </c>
      <c r="V38" s="79" t="str">
        <v xml:space="preserve"> </v>
      </c>
      <c r="W38" t="str">
        <v xml:space="preserve"> </v>
      </c>
    </row>
    <row r="39" spans="7:23" x14ac:dyDescent="0.25">
      <c r="G39" s="76" t="str">
        <v>Parking Lot Debt Issuance</v>
      </c>
      <c r="H39" s="79">
        <v>0</v>
      </c>
      <c r="I39" s="79">
        <v>0</v>
      </c>
      <c r="J39" s="79">
        <v>500000</v>
      </c>
      <c r="K39" s="79">
        <v>0</v>
      </c>
      <c r="L39" s="79">
        <v>0</v>
      </c>
      <c r="M39" s="79">
        <v>0</v>
      </c>
      <c r="N39" s="79">
        <v>0</v>
      </c>
      <c r="O39" s="79">
        <v>0</v>
      </c>
      <c r="P39" s="79">
        <v>0</v>
      </c>
      <c r="Q39" s="79">
        <v>0</v>
      </c>
      <c r="R39" s="79">
        <v>0</v>
      </c>
      <c r="S39" s="79">
        <v>0</v>
      </c>
      <c r="T39" s="79">
        <v>0</v>
      </c>
      <c r="U39" s="79">
        <v>0</v>
      </c>
      <c r="V39" s="79">
        <v>0</v>
      </c>
      <c r="W39">
        <v>0</v>
      </c>
    </row>
    <row r="40" spans="7:23" x14ac:dyDescent="0.25">
      <c r="G40" s="75" t="str">
        <v>Parking Lot Debt Balance</v>
      </c>
      <c r="H40" s="79">
        <v>0</v>
      </c>
      <c r="I40" s="79">
        <v>0</v>
      </c>
      <c r="J40" s="79">
        <v>500000</v>
      </c>
      <c r="K40" s="79">
        <v>311871.30198002694</v>
      </c>
      <c r="L40" s="79">
        <v>108128.01480805682</v>
      </c>
      <c r="M40" s="79">
        <v>0</v>
      </c>
      <c r="N40" s="79">
        <v>0</v>
      </c>
      <c r="O40" s="79">
        <v>0</v>
      </c>
      <c r="P40" s="79">
        <v>0</v>
      </c>
      <c r="Q40" s="79">
        <v>0</v>
      </c>
      <c r="R40" s="79">
        <v>0</v>
      </c>
      <c r="S40" s="79">
        <v>0</v>
      </c>
      <c r="T40" s="79">
        <v>0</v>
      </c>
      <c r="U40" s="79">
        <v>0</v>
      </c>
      <c r="V40" s="79">
        <v>0</v>
      </c>
      <c r="W40">
        <v>0</v>
      </c>
    </row>
    <row r="41" spans="7:23" x14ac:dyDescent="0.25">
      <c r="G41" s="75" t="str">
        <v>Parking Lot Interest</v>
      </c>
      <c r="H41" s="79">
        <v>53324.857595300615</v>
      </c>
      <c r="I41" s="79">
        <v>0</v>
      </c>
      <c r="J41" s="79">
        <v>33201.245018145353</v>
      </c>
      <c r="K41" s="79">
        <v>17586.655866148452</v>
      </c>
      <c r="L41" s="79">
        <v>2536.9567110068115</v>
      </c>
      <c r="M41" s="79">
        <v>0</v>
      </c>
      <c r="N41" s="79">
        <v>0</v>
      </c>
      <c r="O41" s="79">
        <v>0</v>
      </c>
      <c r="P41" s="79">
        <v>0</v>
      </c>
      <c r="Q41" s="79">
        <v>0</v>
      </c>
      <c r="R41" s="79">
        <v>0</v>
      </c>
      <c r="S41" s="79">
        <v>0</v>
      </c>
      <c r="T41" s="79">
        <v>0</v>
      </c>
      <c r="U41" s="79">
        <v>0</v>
      </c>
      <c r="V41" s="79">
        <v>0</v>
      </c>
      <c r="W41">
        <v>0</v>
      </c>
    </row>
    <row r="42" spans="7:23" x14ac:dyDescent="0.25">
      <c r="G42" s="75" t="str">
        <v>Parking Lot Debt Services</v>
      </c>
      <c r="H42">
        <v>-553324.8575953003</v>
      </c>
      <c r="I42">
        <v>0</v>
      </c>
      <c r="J42">
        <v>-221329.94303812014</v>
      </c>
      <c r="K42">
        <v>-221329.94303812014</v>
      </c>
      <c r="L42">
        <v>-110664.97151906005</v>
      </c>
      <c r="M42">
        <v>0</v>
      </c>
      <c r="N42">
        <v>0</v>
      </c>
      <c r="O42">
        <v>0</v>
      </c>
      <c r="P42">
        <v>0</v>
      </c>
      <c r="Q42">
        <v>0</v>
      </c>
      <c r="R42">
        <v>0</v>
      </c>
      <c r="S42">
        <v>0</v>
      </c>
      <c r="T42">
        <v>0</v>
      </c>
      <c r="U42">
        <v>0</v>
      </c>
      <c r="V42">
        <v>0</v>
      </c>
      <c r="W42">
        <v>0</v>
      </c>
    </row>
    <row r="43" spans="7:23" x14ac:dyDescent="0.25">
      <c r="G43" s="77" t="str">
        <v>Parking Lot Closing Balance</v>
      </c>
      <c r="H43">
        <v>0</v>
      </c>
      <c r="I43">
        <v>0</v>
      </c>
      <c r="J43">
        <v>311871.30198002665</v>
      </c>
      <c r="K43">
        <v>108128.01480805676</v>
      </c>
      <c r="L43">
        <v>4.1327439248561859E-9</v>
      </c>
      <c r="M43">
        <v>0</v>
      </c>
      <c r="N43">
        <v>0</v>
      </c>
      <c r="O43">
        <v>0</v>
      </c>
      <c r="P43">
        <v>0</v>
      </c>
      <c r="Q43">
        <v>0</v>
      </c>
      <c r="R43">
        <v>0</v>
      </c>
      <c r="S43">
        <v>0</v>
      </c>
      <c r="T43">
        <v>0</v>
      </c>
      <c r="U43">
        <v>0</v>
      </c>
      <c r="V43">
        <v>0</v>
      </c>
      <c r="W43">
        <v>0</v>
      </c>
    </row>
    <row r="44" spans="7:23" x14ac:dyDescent="0.25">
      <c r="G44" t="str">
        <v>Parking Lot Debt Repayment</v>
      </c>
      <c r="H44">
        <v>499999.99999999959</v>
      </c>
      <c r="I44">
        <v>0</v>
      </c>
      <c r="J44">
        <v>188128.69801997472</v>
      </c>
      <c r="K44">
        <v>203743.28717197163</v>
      </c>
      <c r="L44">
        <v>108128.01480805322</v>
      </c>
      <c r="M44">
        <v>0</v>
      </c>
      <c r="N44">
        <v>0</v>
      </c>
      <c r="O44">
        <v>0</v>
      </c>
      <c r="P44">
        <v>0</v>
      </c>
      <c r="Q44">
        <v>0</v>
      </c>
      <c r="R44">
        <v>0</v>
      </c>
      <c r="S44">
        <v>0</v>
      </c>
      <c r="T44">
        <v>0</v>
      </c>
      <c r="U44">
        <v>0</v>
      </c>
      <c r="V44">
        <v>0</v>
      </c>
      <c r="W44">
        <v>0</v>
      </c>
    </row>
  </sheetData>
  <mergeCells count="5">
    <mergeCell ref="A23:E23"/>
    <mergeCell ref="A1:P1"/>
    <mergeCell ref="A22:E22"/>
    <mergeCell ref="K3:P15"/>
    <mergeCell ref="A2:Q2"/>
  </mergeCells>
  <conditionalFormatting sqref="G29:H29">
    <cfRule type="expression" dxfId="12" priority="1">
      <formula>FIND("Closing",$G29)</formula>
    </cfRule>
  </conditionalFormatting>
  <conditionalFormatting sqref="G25:P28 H25:V41 Q25:CM43 G30:P43">
    <cfRule type="expression" dxfId="11" priority="3">
      <formula>FIND("Closing",$G25)</formula>
    </cfRule>
  </conditionalFormatting>
  <dataValidations count="1">
    <dataValidation type="list" allowBlank="1" showInputMessage="1" showErrorMessage="1" sqref="H23" xr:uid="{8577CEB7-501C-42B9-9C92-DBF922B117BF}">
      <formula1>"M,Q,Y"</formula1>
    </dataValidation>
  </dataValidations>
  <hyperlinks>
    <hyperlink ref="A1" location="'TOC'!$A$1" display="'TOC'!$A$1" xr:uid="{EC8FC494-5368-45AE-B343-A5837D21B3D3}"/>
  </hyperlinks>
  <pageMargins left="0.7" right="0.7" top="0.75" bottom="0.75" header="0.3" footer="0.3"/>
  <pageSetup paperSize="9" scale="51" fitToHeight="0" orientation="landscape" horizontalDpi="0" verticalDpi="0"/>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42B2-7BF6-4F51-A8BD-7CE016DB858C}">
  <sheetPr codeName="Sheet52">
    <tabColor rgb="FF66023C"/>
    <pageSetUpPr fitToPage="1"/>
  </sheetPr>
  <dimension ref="A1:W43"/>
  <sheetViews>
    <sheetView showGridLines="0" workbookViewId="0">
      <selection sqref="A1:P1"/>
    </sheetView>
  </sheetViews>
  <sheetFormatPr defaultRowHeight="15" x14ac:dyDescent="0.25"/>
  <cols>
    <col min="1" max="1" width="12.75" bestFit="1" customWidth="1"/>
    <col min="3" max="3" width="6" bestFit="1" customWidth="1"/>
    <col min="4" max="4" width="5.25" bestFit="1" customWidth="1"/>
    <col min="5" max="5" width="10" bestFit="1" customWidth="1"/>
    <col min="7" max="7" width="24.375" bestFit="1" customWidth="1"/>
    <col min="8" max="8" width="8.625" bestFit="1" customWidth="1"/>
    <col min="9" max="23" width="10.125" bestFit="1" customWidth="1"/>
    <col min="24" max="25" width="8.625" customWidth="1"/>
  </cols>
  <sheetData>
    <row r="1" spans="1:18" ht="46.5" x14ac:dyDescent="0.7">
      <c r="A1" s="185" t="str">
        <f ca="1">_xlfn.TEXTAFTER(CELL("filename",A1),"]")</f>
        <v>oz.LabelAmortiseλ</v>
      </c>
      <c r="B1" s="185"/>
      <c r="C1" s="185"/>
      <c r="D1" s="185"/>
      <c r="E1" s="185"/>
      <c r="F1" s="185"/>
      <c r="G1" s="185"/>
      <c r="H1" s="185"/>
      <c r="I1" s="185"/>
      <c r="J1" s="185"/>
      <c r="K1" s="185"/>
      <c r="L1" s="185"/>
      <c r="M1" s="185"/>
      <c r="N1" s="185"/>
      <c r="O1" s="185"/>
      <c r="P1" s="185"/>
    </row>
    <row r="2" spans="1:18" x14ac:dyDescent="0.25">
      <c r="A2" s="186" t="s">
        <v>91</v>
      </c>
      <c r="B2" s="191"/>
      <c r="C2" s="191"/>
      <c r="D2" s="191"/>
      <c r="E2" s="191"/>
      <c r="F2" s="191"/>
      <c r="G2" s="191"/>
      <c r="H2" s="191"/>
      <c r="I2" s="191"/>
      <c r="J2" s="191"/>
      <c r="K2" s="191"/>
      <c r="L2" s="191"/>
      <c r="M2" s="191"/>
      <c r="N2" s="191"/>
      <c r="O2" s="191"/>
      <c r="P2" s="191"/>
      <c r="Q2" s="191"/>
      <c r="R2" s="191"/>
    </row>
    <row r="3" spans="1:18" x14ac:dyDescent="0.25">
      <c r="A3" s="4"/>
      <c r="B3" s="4"/>
      <c r="C3" s="4"/>
      <c r="D3" s="4"/>
      <c r="E3" s="4"/>
      <c r="F3" s="4"/>
      <c r="G3" s="4"/>
      <c r="H3" s="4"/>
      <c r="I3" s="4"/>
      <c r="J3" s="4"/>
      <c r="K3" s="4"/>
      <c r="L3" s="4"/>
      <c r="M3" s="4"/>
      <c r="N3" s="4"/>
      <c r="O3" s="4"/>
      <c r="P3" s="4"/>
    </row>
    <row r="4" spans="1:18" x14ac:dyDescent="0.25">
      <c r="A4" s="55" t="str" cm="1">
        <f t="array" ref="A4:B15">oz.LabelAmortiseλ()</f>
        <v>FUNCTION:</v>
      </c>
      <c r="B4" t="str">
        <v>LabelAmortiseλ(LoanNames, [LoanAmounts], [LoanAPRs], [LoanTerms])</v>
      </c>
    </row>
    <row r="5" spans="1:18" x14ac:dyDescent="0.25">
      <c r="A5" t="str">
        <v>DESCRIPTION:</v>
      </c>
      <c r="B5" t="str">
        <v>Create row labels for the amortisation schedule array produced by Amortiseλ</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LoanNames</v>
      </c>
      <c r="B9" t="str">
        <v>(Required) Names or descriptions of each loan in the amortisation schedule produced by Amortiseλ</v>
      </c>
    </row>
    <row r="10" spans="1:18" x14ac:dyDescent="0.25">
      <c r="A10" t="str">
        <v>LoanAmounts</v>
      </c>
      <c r="B10" t="str">
        <v>(Optional) Amount borrowed</v>
      </c>
    </row>
    <row r="11" spans="1:18" x14ac:dyDescent="0.25">
      <c r="A11" t="str">
        <v>LoanAPRs</v>
      </c>
      <c r="B11" t="str">
        <v>(Optional) Annual Percentage Interest Rate</v>
      </c>
    </row>
    <row r="12" spans="1:18" x14ac:dyDescent="0.25">
      <c r="A12" t="str">
        <v>LoanTerms</v>
      </c>
      <c r="B12" t="str">
        <v>(Optional) Number of months to repay</v>
      </c>
    </row>
    <row r="13" spans="1:18" x14ac:dyDescent="0.25">
      <c r="A13" t="str">
        <v>EXAMPLES:</v>
      </c>
      <c r="B13" t="str">
        <v/>
      </c>
    </row>
    <row r="14" spans="1:18" x14ac:dyDescent="0.25">
      <c r="A14" t="str">
        <v>Result</v>
      </c>
      <c r="B14" t="str">
        <v>Formula (oz is assumed to be the module's name)</v>
      </c>
    </row>
    <row r="15" spans="1:18" x14ac:dyDescent="0.25">
      <c r="A15" t="str">
        <v/>
      </c>
      <c r="B15" t="str">
        <v>=oz.LabelAmortiseλ(tblLoans[Loan Name])</v>
      </c>
    </row>
    <row r="21" spans="1:23" ht="21" x14ac:dyDescent="0.35">
      <c r="A21" s="209" t="s">
        <v>193</v>
      </c>
      <c r="B21" s="210"/>
      <c r="C21" s="210"/>
      <c r="D21" s="210"/>
      <c r="E21" s="210"/>
    </row>
    <row r="22" spans="1:23" x14ac:dyDescent="0.25">
      <c r="G22" s="78" t="s">
        <v>18</v>
      </c>
      <c r="H22" s="17" t="s">
        <v>2</v>
      </c>
    </row>
    <row r="23" spans="1:23" x14ac:dyDescent="0.25">
      <c r="A23" s="104" t="str" cm="1">
        <f t="array" ref="A23:E26">tblLoans[#All]</f>
        <v>Description</v>
      </c>
      <c r="B23" s="105" t="str">
        <v>Principal</v>
      </c>
      <c r="C23" s="105" t="str">
        <v>APR</v>
      </c>
      <c r="D23" s="105" t="str">
        <v>Term</v>
      </c>
      <c r="E23" s="105" t="str">
        <v>Start Date</v>
      </c>
      <c r="G23" s="121" t="s">
        <v>197</v>
      </c>
      <c r="H23" s="8" t="s">
        <v>165</v>
      </c>
      <c r="I23" s="1" cm="1">
        <f t="array" ref="I23:W23">oz.Timelineλ("1/7/2026", 15 * _xlfn.SWITCH(H22, "M", 12, "Q", 4, "Y", 1), H22)</f>
        <v>46204</v>
      </c>
      <c r="J23" s="1">
        <v>46569</v>
      </c>
      <c r="K23" s="1">
        <v>46935</v>
      </c>
      <c r="L23" s="1">
        <v>47300</v>
      </c>
      <c r="M23" s="1">
        <v>47665</v>
      </c>
      <c r="N23" s="1">
        <v>48030</v>
      </c>
      <c r="O23" s="1">
        <v>48396</v>
      </c>
      <c r="P23" s="1">
        <v>48761</v>
      </c>
      <c r="Q23" s="1">
        <v>49126</v>
      </c>
      <c r="R23" s="1">
        <v>49491</v>
      </c>
      <c r="S23" s="1">
        <v>49857</v>
      </c>
      <c r="T23" s="1">
        <v>50222</v>
      </c>
      <c r="U23" s="1">
        <v>50587</v>
      </c>
      <c r="V23" s="1">
        <v>50952</v>
      </c>
      <c r="W23" s="1">
        <v>51318</v>
      </c>
    </row>
    <row r="24" spans="1:23" x14ac:dyDescent="0.25">
      <c r="A24" s="106" t="str">
        <v>Renovation</v>
      </c>
      <c r="B24" s="107">
        <v>51216</v>
      </c>
      <c r="C24" s="108">
        <v>7.0000000000000007E-2</v>
      </c>
      <c r="D24" s="109">
        <v>10</v>
      </c>
      <c r="E24" s="110">
        <v>46266</v>
      </c>
      <c r="G24" s="122" t="str" cm="1">
        <f t="array" ref="G24:G43">oz.LabelAmortiseλ(tblLoans[Description])</f>
        <v>Renovation Debt Issuance</v>
      </c>
      <c r="H24" s="95" cm="1">
        <f t="array" ref="H24:H43">oz.SumAmortiseλ(_xlfn.ANCHORARRAY(I24))</f>
        <v>0</v>
      </c>
      <c r="I24" s="95" cm="1">
        <f t="array" ref="I24:W43">oz.Amortiseλ(tblLoans[Principal],tblLoans[APR],tblLoans[Term],tblLoans[Start Date],_xlfn.ANCHORARRAY( I23))</f>
        <v>51216</v>
      </c>
      <c r="J24" s="79">
        <v>0</v>
      </c>
      <c r="K24" s="79">
        <v>0</v>
      </c>
      <c r="L24" s="79">
        <v>0</v>
      </c>
      <c r="M24" s="79">
        <v>0</v>
      </c>
      <c r="N24" s="79">
        <v>0</v>
      </c>
      <c r="O24" s="79">
        <v>0</v>
      </c>
      <c r="P24" s="79">
        <v>0</v>
      </c>
      <c r="Q24" s="79">
        <v>0</v>
      </c>
      <c r="R24" s="79">
        <v>0</v>
      </c>
      <c r="S24" s="79">
        <v>0</v>
      </c>
      <c r="T24" s="79">
        <v>0</v>
      </c>
      <c r="U24" s="79">
        <v>0</v>
      </c>
      <c r="V24" s="79">
        <v>0</v>
      </c>
      <c r="W24" s="79">
        <v>0</v>
      </c>
    </row>
    <row r="25" spans="1:23" x14ac:dyDescent="0.25">
      <c r="A25" s="111" t="str">
        <v>New sign</v>
      </c>
      <c r="B25" s="112">
        <v>46218</v>
      </c>
      <c r="C25" s="113">
        <v>6.5000000000000002E-2</v>
      </c>
      <c r="D25" s="114">
        <v>10</v>
      </c>
      <c r="E25" s="115">
        <v>46204</v>
      </c>
      <c r="G25" s="75" t="str">
        <v>Renovation Debt Balance</v>
      </c>
      <c r="H25" s="79">
        <v>0</v>
      </c>
      <c r="I25" s="79">
        <v>51216</v>
      </c>
      <c r="J25" s="79">
        <v>0</v>
      </c>
      <c r="K25" s="79">
        <v>0</v>
      </c>
      <c r="L25" s="79">
        <v>0</v>
      </c>
      <c r="M25" s="79">
        <v>0</v>
      </c>
      <c r="N25" s="79">
        <v>0</v>
      </c>
      <c r="O25" s="79">
        <v>0</v>
      </c>
      <c r="P25" s="79">
        <v>0</v>
      </c>
      <c r="Q25" s="79">
        <v>0</v>
      </c>
      <c r="R25" s="79">
        <v>0</v>
      </c>
      <c r="S25" s="79">
        <v>0</v>
      </c>
      <c r="T25" s="79">
        <v>0</v>
      </c>
      <c r="U25" s="79">
        <v>0</v>
      </c>
      <c r="V25" s="79">
        <v>0</v>
      </c>
      <c r="W25" s="79">
        <v>0</v>
      </c>
    </row>
    <row r="26" spans="1:23" x14ac:dyDescent="0.25">
      <c r="A26" s="116" t="str">
        <v>Parking Lot</v>
      </c>
      <c r="B26" s="117">
        <v>500000</v>
      </c>
      <c r="C26" s="118">
        <v>0.08</v>
      </c>
      <c r="D26" s="119">
        <v>30</v>
      </c>
      <c r="E26" s="120">
        <v>46569</v>
      </c>
      <c r="G26" s="75" t="str">
        <v>Renovation Interest</v>
      </c>
      <c r="H26" s="79">
        <v>1657.5152357087741</v>
      </c>
      <c r="I26" s="79">
        <v>1657.5152357087741</v>
      </c>
      <c r="J26" s="79">
        <v>0</v>
      </c>
      <c r="K26" s="79">
        <v>0</v>
      </c>
      <c r="L26" s="79">
        <v>0</v>
      </c>
      <c r="M26" s="79">
        <v>0</v>
      </c>
      <c r="N26" s="79">
        <v>0</v>
      </c>
      <c r="O26" s="79">
        <v>0</v>
      </c>
      <c r="P26" s="79">
        <v>0</v>
      </c>
      <c r="Q26" s="79">
        <v>0</v>
      </c>
      <c r="R26" s="79">
        <v>0</v>
      </c>
      <c r="S26" s="79">
        <v>0</v>
      </c>
      <c r="T26" s="79">
        <v>0</v>
      </c>
      <c r="U26" s="79">
        <v>0</v>
      </c>
      <c r="V26" s="79">
        <v>0</v>
      </c>
      <c r="W26" s="79">
        <v>0</v>
      </c>
    </row>
    <row r="27" spans="1:23" x14ac:dyDescent="0.25">
      <c r="G27" s="75" t="str">
        <v>Renovation Debt Services</v>
      </c>
      <c r="H27" s="79">
        <v>-52873.515235708772</v>
      </c>
      <c r="I27" s="79">
        <v>-52873.515235708772</v>
      </c>
      <c r="J27" s="79">
        <v>0</v>
      </c>
      <c r="K27" s="79">
        <v>0</v>
      </c>
      <c r="L27" s="79">
        <v>0</v>
      </c>
      <c r="M27" s="79">
        <v>0</v>
      </c>
      <c r="N27" s="79">
        <v>0</v>
      </c>
      <c r="O27" s="79">
        <v>0</v>
      </c>
      <c r="P27" s="79">
        <v>0</v>
      </c>
      <c r="Q27" s="79">
        <v>0</v>
      </c>
      <c r="R27" s="79">
        <v>0</v>
      </c>
      <c r="S27" s="79">
        <v>0</v>
      </c>
      <c r="T27" s="79">
        <v>0</v>
      </c>
      <c r="U27" s="79">
        <v>0</v>
      </c>
      <c r="V27" s="79">
        <v>0</v>
      </c>
      <c r="W27" s="79">
        <v>0</v>
      </c>
    </row>
    <row r="28" spans="1:23" x14ac:dyDescent="0.25">
      <c r="G28" s="75" t="str">
        <v>Renovation Closing Balance</v>
      </c>
      <c r="H28" s="79">
        <v>0</v>
      </c>
      <c r="I28" s="79">
        <v>-2.2737367544323206E-10</v>
      </c>
      <c r="J28" s="79">
        <v>0</v>
      </c>
      <c r="K28" s="79">
        <v>0</v>
      </c>
      <c r="L28" s="79">
        <v>0</v>
      </c>
      <c r="M28" s="79">
        <v>0</v>
      </c>
      <c r="N28" s="79">
        <v>0</v>
      </c>
      <c r="O28" s="79">
        <v>0</v>
      </c>
      <c r="P28" s="79">
        <v>0</v>
      </c>
      <c r="Q28" s="79">
        <v>0</v>
      </c>
      <c r="R28" s="79">
        <v>0</v>
      </c>
      <c r="S28" s="79">
        <v>0</v>
      </c>
      <c r="T28" s="79">
        <v>0</v>
      </c>
      <c r="U28" s="79">
        <v>0</v>
      </c>
      <c r="V28" s="79">
        <v>0</v>
      </c>
      <c r="W28" s="79">
        <v>0</v>
      </c>
    </row>
    <row r="29" spans="1:23" x14ac:dyDescent="0.25">
      <c r="G29" s="75" t="str">
        <v>Renovation Debt Repayment</v>
      </c>
      <c r="H29" s="79">
        <v>51216</v>
      </c>
      <c r="I29" s="79">
        <v>51216</v>
      </c>
      <c r="J29" s="79">
        <v>0</v>
      </c>
      <c r="K29" s="79">
        <v>0</v>
      </c>
      <c r="L29" s="79">
        <v>0</v>
      </c>
      <c r="M29" s="79">
        <v>0</v>
      </c>
      <c r="N29" s="79">
        <v>0</v>
      </c>
      <c r="O29" s="79">
        <v>0</v>
      </c>
      <c r="P29" s="79">
        <v>0</v>
      </c>
      <c r="Q29" s="79">
        <v>0</v>
      </c>
      <c r="R29" s="79">
        <v>0</v>
      </c>
      <c r="S29" s="79">
        <v>0</v>
      </c>
      <c r="T29" s="79">
        <v>0</v>
      </c>
      <c r="U29" s="79">
        <v>0</v>
      </c>
      <c r="V29" s="79">
        <v>0</v>
      </c>
      <c r="W29" s="79">
        <v>0</v>
      </c>
    </row>
    <row r="30" spans="1:23" x14ac:dyDescent="0.25">
      <c r="G30" s="75" t="str">
        <v/>
      </c>
      <c r="H30" s="79">
        <v>0</v>
      </c>
      <c r="I30" s="79" t="str">
        <v xml:space="preserve"> </v>
      </c>
      <c r="J30" s="79" t="str">
        <v xml:space="preserve"> </v>
      </c>
      <c r="K30" s="79" t="str">
        <v xml:space="preserve"> </v>
      </c>
      <c r="L30" s="79" t="str">
        <v xml:space="preserve"> </v>
      </c>
      <c r="M30" s="79" t="str">
        <v xml:space="preserve"> </v>
      </c>
      <c r="N30" s="79" t="str">
        <v xml:space="preserve"> </v>
      </c>
      <c r="O30" s="79" t="str">
        <v xml:space="preserve"> </v>
      </c>
      <c r="P30" s="79" t="str">
        <v xml:space="preserve"> </v>
      </c>
      <c r="Q30" s="79" t="str">
        <v xml:space="preserve"> </v>
      </c>
      <c r="R30" s="79" t="str">
        <v xml:space="preserve"> </v>
      </c>
      <c r="S30" s="79" t="str">
        <v xml:space="preserve"> </v>
      </c>
      <c r="T30" s="79" t="str">
        <v xml:space="preserve"> </v>
      </c>
      <c r="U30" s="79" t="str">
        <v xml:space="preserve"> </v>
      </c>
      <c r="V30" s="79" t="str">
        <v xml:space="preserve"> </v>
      </c>
      <c r="W30" s="79" t="str">
        <v xml:space="preserve"> </v>
      </c>
    </row>
    <row r="31" spans="1:23" x14ac:dyDescent="0.25">
      <c r="G31" s="75" t="str">
        <v>New sign Debt Issuance</v>
      </c>
      <c r="H31" s="79">
        <v>0</v>
      </c>
      <c r="I31" s="79">
        <v>46218</v>
      </c>
      <c r="J31" s="79">
        <v>0</v>
      </c>
      <c r="K31" s="79">
        <v>0</v>
      </c>
      <c r="L31" s="79">
        <v>0</v>
      </c>
      <c r="M31" s="79">
        <v>0</v>
      </c>
      <c r="N31" s="79">
        <v>0</v>
      </c>
      <c r="O31" s="79">
        <v>0</v>
      </c>
      <c r="P31" s="79">
        <v>0</v>
      </c>
      <c r="Q31" s="79">
        <v>0</v>
      </c>
      <c r="R31" s="79">
        <v>0</v>
      </c>
      <c r="S31" s="79">
        <v>0</v>
      </c>
      <c r="T31" s="79">
        <v>0</v>
      </c>
      <c r="U31" s="79">
        <v>0</v>
      </c>
      <c r="V31" s="79">
        <v>0</v>
      </c>
      <c r="W31" s="79">
        <v>0</v>
      </c>
    </row>
    <row r="32" spans="1:23" x14ac:dyDescent="0.25">
      <c r="G32" s="75" t="str">
        <v>New sign Debt Balance</v>
      </c>
      <c r="H32" s="79">
        <v>0</v>
      </c>
      <c r="I32" s="79">
        <v>46218</v>
      </c>
      <c r="J32" s="79">
        <v>0</v>
      </c>
      <c r="K32" s="79">
        <v>0</v>
      </c>
      <c r="L32" s="79">
        <v>0</v>
      </c>
      <c r="M32" s="79">
        <v>0</v>
      </c>
      <c r="N32" s="79">
        <v>0</v>
      </c>
      <c r="O32" s="79">
        <v>0</v>
      </c>
      <c r="P32" s="79">
        <v>0</v>
      </c>
      <c r="Q32" s="79">
        <v>0</v>
      </c>
      <c r="R32" s="79">
        <v>0</v>
      </c>
      <c r="S32" s="79">
        <v>0</v>
      </c>
      <c r="T32" s="79">
        <v>0</v>
      </c>
      <c r="U32" s="79">
        <v>0</v>
      </c>
      <c r="V32" s="79">
        <v>0</v>
      </c>
      <c r="W32" s="79">
        <v>0</v>
      </c>
    </row>
    <row r="33" spans="7:23" x14ac:dyDescent="0.25">
      <c r="G33" s="75" t="str">
        <v>New sign Interest</v>
      </c>
      <c r="H33" s="79">
        <v>1388.0679156179572</v>
      </c>
      <c r="I33" s="79">
        <v>1388.0679156179572</v>
      </c>
      <c r="J33" s="79">
        <v>0</v>
      </c>
      <c r="K33" s="79">
        <v>0</v>
      </c>
      <c r="L33" s="79">
        <v>0</v>
      </c>
      <c r="M33" s="79">
        <v>0</v>
      </c>
      <c r="N33" s="79">
        <v>0</v>
      </c>
      <c r="O33" s="79">
        <v>0</v>
      </c>
      <c r="P33" s="79">
        <v>0</v>
      </c>
      <c r="Q33" s="79">
        <v>0</v>
      </c>
      <c r="R33" s="79">
        <v>0</v>
      </c>
      <c r="S33" s="79">
        <v>0</v>
      </c>
      <c r="T33" s="79">
        <v>0</v>
      </c>
      <c r="U33" s="79">
        <v>0</v>
      </c>
      <c r="V33" s="79">
        <v>0</v>
      </c>
      <c r="W33" s="79">
        <v>0</v>
      </c>
    </row>
    <row r="34" spans="7:23" x14ac:dyDescent="0.25">
      <c r="G34" s="75" t="str">
        <v>New sign Debt Services</v>
      </c>
      <c r="H34" s="79">
        <v>-47606.067915617947</v>
      </c>
      <c r="I34" s="79">
        <v>-47606.067915617947</v>
      </c>
      <c r="J34" s="79">
        <v>0</v>
      </c>
      <c r="K34" s="79">
        <v>0</v>
      </c>
      <c r="L34" s="79">
        <v>0</v>
      </c>
      <c r="M34" s="79">
        <v>0</v>
      </c>
      <c r="N34" s="79">
        <v>0</v>
      </c>
      <c r="O34" s="79">
        <v>0</v>
      </c>
      <c r="P34" s="79">
        <v>0</v>
      </c>
      <c r="Q34" s="79">
        <v>0</v>
      </c>
      <c r="R34" s="79">
        <v>0</v>
      </c>
      <c r="S34" s="79">
        <v>0</v>
      </c>
      <c r="T34" s="79">
        <v>0</v>
      </c>
      <c r="U34" s="79">
        <v>0</v>
      </c>
      <c r="V34" s="79">
        <v>0</v>
      </c>
      <c r="W34" s="79">
        <v>0</v>
      </c>
    </row>
    <row r="35" spans="7:23" x14ac:dyDescent="0.25">
      <c r="G35" s="76" t="str">
        <v>New sign Closing Balance</v>
      </c>
      <c r="H35" s="79">
        <v>0</v>
      </c>
      <c r="I35" s="79">
        <v>3.9472070056945086E-10</v>
      </c>
      <c r="J35" s="79">
        <v>0</v>
      </c>
      <c r="K35" s="79">
        <v>0</v>
      </c>
      <c r="L35" s="79">
        <v>0</v>
      </c>
      <c r="M35" s="79">
        <v>0</v>
      </c>
      <c r="N35" s="79">
        <v>0</v>
      </c>
      <c r="O35" s="79">
        <v>0</v>
      </c>
      <c r="P35" s="79">
        <v>0</v>
      </c>
      <c r="Q35" s="79">
        <v>0</v>
      </c>
      <c r="R35" s="79">
        <v>0</v>
      </c>
      <c r="S35" s="79">
        <v>0</v>
      </c>
      <c r="T35" s="79">
        <v>0</v>
      </c>
      <c r="U35" s="79">
        <v>0</v>
      </c>
      <c r="V35" s="79">
        <v>0</v>
      </c>
      <c r="W35" s="79">
        <v>0</v>
      </c>
    </row>
    <row r="36" spans="7:23" x14ac:dyDescent="0.25">
      <c r="G36" s="76" t="str">
        <v>New sign Debt Repayment</v>
      </c>
      <c r="H36" s="79">
        <v>46217.999999999993</v>
      </c>
      <c r="I36" s="79">
        <v>46217.999999999993</v>
      </c>
      <c r="J36" s="79">
        <v>0</v>
      </c>
      <c r="K36" s="79">
        <v>0</v>
      </c>
      <c r="L36" s="79">
        <v>0</v>
      </c>
      <c r="M36" s="79">
        <v>0</v>
      </c>
      <c r="N36" s="79">
        <v>0</v>
      </c>
      <c r="O36" s="79">
        <v>0</v>
      </c>
      <c r="P36" s="79">
        <v>0</v>
      </c>
      <c r="Q36" s="79">
        <v>0</v>
      </c>
      <c r="R36" s="79">
        <v>0</v>
      </c>
      <c r="S36" s="79">
        <v>0</v>
      </c>
      <c r="T36" s="79">
        <v>0</v>
      </c>
      <c r="U36" s="79">
        <v>0</v>
      </c>
      <c r="V36" s="79">
        <v>0</v>
      </c>
      <c r="W36" s="79">
        <v>0</v>
      </c>
    </row>
    <row r="37" spans="7:23" x14ac:dyDescent="0.25">
      <c r="G37" s="76" t="str">
        <v/>
      </c>
      <c r="H37" s="79">
        <v>0</v>
      </c>
      <c r="I37" s="79" t="str">
        <v xml:space="preserve"> </v>
      </c>
      <c r="J37" s="79" t="str">
        <v xml:space="preserve"> </v>
      </c>
      <c r="K37" s="79" t="str">
        <v xml:space="preserve"> </v>
      </c>
      <c r="L37" s="79" t="str">
        <v xml:space="preserve"> </v>
      </c>
      <c r="M37" s="79" t="str">
        <v xml:space="preserve"> </v>
      </c>
      <c r="N37" s="79" t="str">
        <v xml:space="preserve"> </v>
      </c>
      <c r="O37" s="79" t="str">
        <v xml:space="preserve"> </v>
      </c>
      <c r="P37" s="79" t="str">
        <v xml:space="preserve"> </v>
      </c>
      <c r="Q37" s="79" t="str">
        <v xml:space="preserve"> </v>
      </c>
      <c r="R37" s="79" t="str">
        <v xml:space="preserve"> </v>
      </c>
      <c r="S37" s="79" t="str">
        <v xml:space="preserve"> </v>
      </c>
      <c r="T37" s="79" t="str">
        <v xml:space="preserve"> </v>
      </c>
      <c r="U37" s="79" t="str">
        <v xml:space="preserve"> </v>
      </c>
      <c r="V37" s="79" t="str">
        <v xml:space="preserve"> </v>
      </c>
      <c r="W37" s="79" t="str">
        <v xml:space="preserve"> </v>
      </c>
    </row>
    <row r="38" spans="7:23" x14ac:dyDescent="0.25">
      <c r="G38" s="76" t="str">
        <v>Parking Lot Debt Issuance</v>
      </c>
      <c r="H38" s="79">
        <v>0</v>
      </c>
      <c r="I38" s="79">
        <v>0</v>
      </c>
      <c r="J38" s="79">
        <v>500000</v>
      </c>
      <c r="K38" s="79">
        <v>0</v>
      </c>
      <c r="L38" s="79">
        <v>0</v>
      </c>
      <c r="M38" s="79">
        <v>0</v>
      </c>
      <c r="N38" s="79">
        <v>0</v>
      </c>
      <c r="O38" s="79">
        <v>0</v>
      </c>
      <c r="P38" s="79">
        <v>0</v>
      </c>
      <c r="Q38" s="79">
        <v>0</v>
      </c>
      <c r="R38" s="79">
        <v>0</v>
      </c>
      <c r="S38" s="79">
        <v>0</v>
      </c>
      <c r="T38" s="79">
        <v>0</v>
      </c>
      <c r="U38" s="79">
        <v>0</v>
      </c>
      <c r="V38" s="79">
        <v>0</v>
      </c>
      <c r="W38" s="79">
        <v>0</v>
      </c>
    </row>
    <row r="39" spans="7:23" x14ac:dyDescent="0.25">
      <c r="G39" s="75" t="str">
        <v>Parking Lot Debt Balance</v>
      </c>
      <c r="H39" s="79">
        <v>0</v>
      </c>
      <c r="I39" s="79">
        <v>0</v>
      </c>
      <c r="J39" s="79">
        <v>500000</v>
      </c>
      <c r="K39" s="79">
        <v>311871.30198002694</v>
      </c>
      <c r="L39" s="79">
        <v>108128.01480805682</v>
      </c>
      <c r="M39" s="79">
        <v>0</v>
      </c>
      <c r="N39" s="79">
        <v>0</v>
      </c>
      <c r="O39" s="79">
        <v>0</v>
      </c>
      <c r="P39" s="79">
        <v>0</v>
      </c>
      <c r="Q39" s="79">
        <v>0</v>
      </c>
      <c r="R39" s="79">
        <v>0</v>
      </c>
      <c r="S39" s="79">
        <v>0</v>
      </c>
      <c r="T39" s="79">
        <v>0</v>
      </c>
      <c r="U39" s="79">
        <v>0</v>
      </c>
      <c r="V39" s="79">
        <v>0</v>
      </c>
      <c r="W39" s="79">
        <v>0</v>
      </c>
    </row>
    <row r="40" spans="7:23" x14ac:dyDescent="0.25">
      <c r="G40" s="75" t="str">
        <v>Parking Lot Interest</v>
      </c>
      <c r="H40" s="79">
        <v>53324.857595300615</v>
      </c>
      <c r="I40" s="79">
        <v>0</v>
      </c>
      <c r="J40" s="79">
        <v>33201.245018145353</v>
      </c>
      <c r="K40" s="79">
        <v>17586.655866148452</v>
      </c>
      <c r="L40" s="79">
        <v>2536.9567110068115</v>
      </c>
      <c r="M40" s="79">
        <v>0</v>
      </c>
      <c r="N40" s="79">
        <v>0</v>
      </c>
      <c r="O40" s="79">
        <v>0</v>
      </c>
      <c r="P40" s="79">
        <v>0</v>
      </c>
      <c r="Q40" s="79">
        <v>0</v>
      </c>
      <c r="R40" s="79">
        <v>0</v>
      </c>
      <c r="S40" s="79">
        <v>0</v>
      </c>
      <c r="T40" s="79">
        <v>0</v>
      </c>
      <c r="U40" s="79">
        <v>0</v>
      </c>
      <c r="V40" s="79">
        <v>0</v>
      </c>
      <c r="W40" s="79">
        <v>0</v>
      </c>
    </row>
    <row r="41" spans="7:23" x14ac:dyDescent="0.25">
      <c r="G41"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23" x14ac:dyDescent="0.25">
      <c r="G42" t="str">
        <v>Parking Lot Closing Balance</v>
      </c>
      <c r="H42">
        <v>0</v>
      </c>
      <c r="I42">
        <v>0</v>
      </c>
      <c r="J42">
        <v>311871.30198002665</v>
      </c>
      <c r="K42">
        <v>108128.01480805676</v>
      </c>
      <c r="L42">
        <v>4.1327439248561859E-9</v>
      </c>
      <c r="M42">
        <v>0</v>
      </c>
      <c r="N42">
        <v>0</v>
      </c>
      <c r="O42">
        <v>0</v>
      </c>
      <c r="P42">
        <v>0</v>
      </c>
      <c r="Q42">
        <v>0</v>
      </c>
      <c r="R42">
        <v>0</v>
      </c>
      <c r="S42">
        <v>0</v>
      </c>
      <c r="T42">
        <v>0</v>
      </c>
      <c r="U42">
        <v>0</v>
      </c>
      <c r="V42">
        <v>0</v>
      </c>
      <c r="W42">
        <v>0</v>
      </c>
    </row>
    <row r="43" spans="7:23" x14ac:dyDescent="0.25">
      <c r="G43" t="str">
        <v>Parking Lot Debt Repayment</v>
      </c>
      <c r="H43">
        <v>499999.99999999959</v>
      </c>
      <c r="I43">
        <v>0</v>
      </c>
      <c r="J43">
        <v>188128.69801997472</v>
      </c>
      <c r="K43">
        <v>203743.28717197163</v>
      </c>
      <c r="L43">
        <v>108128.01480805322</v>
      </c>
      <c r="M43">
        <v>0</v>
      </c>
      <c r="N43">
        <v>0</v>
      </c>
      <c r="O43">
        <v>0</v>
      </c>
      <c r="P43">
        <v>0</v>
      </c>
      <c r="Q43">
        <v>0</v>
      </c>
      <c r="R43">
        <v>0</v>
      </c>
      <c r="S43">
        <v>0</v>
      </c>
      <c r="T43">
        <v>0</v>
      </c>
      <c r="U43">
        <v>0</v>
      </c>
      <c r="V43">
        <v>0</v>
      </c>
      <c r="W43">
        <v>0</v>
      </c>
    </row>
  </sheetData>
  <mergeCells count="3">
    <mergeCell ref="A1:P1"/>
    <mergeCell ref="A21:E21"/>
    <mergeCell ref="A2:R2"/>
  </mergeCells>
  <conditionalFormatting sqref="G28:H28">
    <cfRule type="expression" dxfId="10" priority="1">
      <formula>FIND("Closing",$G28)</formula>
    </cfRule>
  </conditionalFormatting>
  <conditionalFormatting sqref="G24:W27 H28:W40">
    <cfRule type="expression" dxfId="9" priority="2">
      <formula>FIND("Closing",$G24)</formula>
    </cfRule>
  </conditionalFormatting>
  <conditionalFormatting sqref="G29:W40">
    <cfRule type="expression" dxfId="8" priority="3">
      <formula>FIND("Closing",$G29)</formula>
    </cfRule>
  </conditionalFormatting>
  <dataValidations count="1">
    <dataValidation type="list" allowBlank="1" showInputMessage="1" showErrorMessage="1" sqref="H22" xr:uid="{B0FC1650-2EA6-4462-B22C-B0B0F554F984}">
      <formula1>"M,Q,Y"</formula1>
    </dataValidation>
  </dataValidations>
  <hyperlinks>
    <hyperlink ref="A1" location="'TOC'!$A$1" display="'TOC'!$A$1" xr:uid="{4173BA59-5C8A-428C-8C45-84346C492A23}"/>
  </hyperlinks>
  <pageMargins left="0.7" right="0.7" top="0.75" bottom="0.75" header="0.3" footer="0.3"/>
  <pageSetup paperSize="9" scale="53" fitToHeight="0" orientation="landscape" horizontalDpi="0" verticalDpi="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42F6C-81BD-46B5-A989-9F21B7196CCA}">
  <sheetPr codeName="Sheet45">
    <tabColor rgb="FF66023C"/>
    <pageSetUpPr fitToPage="1"/>
  </sheetPr>
  <dimension ref="A1:W43"/>
  <sheetViews>
    <sheetView showGridLines="0" workbookViewId="0">
      <pane xSplit="8" topLeftCell="I1" activePane="topRight" state="frozen"/>
      <selection sqref="A1:P1"/>
      <selection pane="topRight" activeCell="I1" sqref="I1"/>
    </sheetView>
  </sheetViews>
  <sheetFormatPr defaultRowHeight="15" x14ac:dyDescent="0.25"/>
  <cols>
    <col min="1" max="1" width="19.375" bestFit="1" customWidth="1"/>
    <col min="3" max="3" width="6" bestFit="1" customWidth="1"/>
    <col min="4" max="4" width="5.25" bestFit="1" customWidth="1"/>
    <col min="5" max="5" width="10" bestFit="1" customWidth="1"/>
    <col min="7" max="7" width="24.375" bestFit="1" customWidth="1"/>
    <col min="8" max="8" width="8.625" bestFit="1" customWidth="1"/>
    <col min="9" max="23" width="10.125" bestFit="1" customWidth="1"/>
  </cols>
  <sheetData>
    <row r="1" spans="1:17" ht="46.5" x14ac:dyDescent="0.7">
      <c r="A1" s="185" t="str">
        <f ca="1">_xlfn.TEXTAFTER(CELL("filename",A1),"]")</f>
        <v>oz.SumAmortiseλ</v>
      </c>
      <c r="B1" s="185"/>
      <c r="C1" s="185"/>
      <c r="D1" s="185"/>
      <c r="E1" s="185"/>
      <c r="F1" s="185"/>
      <c r="G1" s="185"/>
      <c r="H1" s="185"/>
      <c r="I1" s="185"/>
      <c r="J1" s="185"/>
      <c r="K1" s="185"/>
      <c r="L1" s="185"/>
      <c r="M1" s="185"/>
      <c r="N1" s="185"/>
      <c r="O1" s="185"/>
      <c r="P1" s="185"/>
    </row>
    <row r="2" spans="1:17" x14ac:dyDescent="0.25">
      <c r="A2" s="186" t="s">
        <v>88</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c r="L3" s="4"/>
      <c r="M3" s="4"/>
      <c r="N3" s="4"/>
      <c r="O3" s="4"/>
      <c r="P3" s="4"/>
    </row>
    <row r="4" spans="1:17" x14ac:dyDescent="0.25">
      <c r="A4" s="55" t="str" cm="1">
        <f t="array" ref="A4:B12">oz.SumAmortiseλ()</f>
        <v>FUNCTION:</v>
      </c>
      <c r="B4" t="str">
        <v>SumAmortiseλ(AmortisationSchedule)</v>
      </c>
    </row>
    <row r="5" spans="1:17" x14ac:dyDescent="0.25">
      <c r="A5" t="str">
        <v>DESCRIPTION:</v>
      </c>
      <c r="B5" t="str">
        <v>Create row totals for Amortiseλ</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AmortisationSchedule</v>
      </c>
      <c r="B9" t="str">
        <v>(Required) An array produced by Amortiseλ</v>
      </c>
    </row>
    <row r="10" spans="1:17" x14ac:dyDescent="0.25">
      <c r="A10" t="str">
        <v>EXAMPLES:</v>
      </c>
      <c r="B10" t="str">
        <v/>
      </c>
    </row>
    <row r="11" spans="1:17" x14ac:dyDescent="0.25">
      <c r="A11" t="str">
        <v>Result</v>
      </c>
      <c r="B11" t="str">
        <v>Formula (oz is assumed to be the module's name)</v>
      </c>
    </row>
    <row r="12" spans="1:17" x14ac:dyDescent="0.25">
      <c r="A12" t="str">
        <v/>
      </c>
      <c r="B12" t="str">
        <v>=oz.SumAmortiseλ(AmortisationSchedule)</v>
      </c>
    </row>
    <row r="21" spans="1:23" ht="21" x14ac:dyDescent="0.35">
      <c r="A21" s="203" t="s">
        <v>193</v>
      </c>
      <c r="B21" s="203"/>
      <c r="C21" s="203"/>
    </row>
    <row r="22" spans="1:23" x14ac:dyDescent="0.25">
      <c r="G22" s="78" t="s">
        <v>18</v>
      </c>
      <c r="H22" s="17" t="s">
        <v>2</v>
      </c>
    </row>
    <row r="23" spans="1:23" x14ac:dyDescent="0.25">
      <c r="A23" s="54" t="str" cm="1">
        <f t="array" ref="A23:E26">tblLoans[#All]</f>
        <v>Description</v>
      </c>
      <c r="B23" s="53" t="str">
        <v>Principal</v>
      </c>
      <c r="C23" s="53" t="str">
        <v>APR</v>
      </c>
      <c r="D23" s="53" t="str">
        <v>Term</v>
      </c>
      <c r="E23" s="53" t="str">
        <v>Start Date</v>
      </c>
      <c r="F23" s="67"/>
      <c r="G23" s="68" t="s">
        <v>6</v>
      </c>
      <c r="H23" s="69" t="s">
        <v>165</v>
      </c>
      <c r="I23" s="1" cm="1">
        <f t="array" ref="I23:W23">oz.Timelineλ("1/7/2026", 15 * _xlfn.SWITCH(H22, "M", 12, "Q", 4, "Y", 1), H22)</f>
        <v>46204</v>
      </c>
      <c r="J23" s="1">
        <v>46569</v>
      </c>
      <c r="K23" s="1">
        <v>46935</v>
      </c>
      <c r="L23" s="1">
        <v>47300</v>
      </c>
      <c r="M23" s="1">
        <v>47665</v>
      </c>
      <c r="N23" s="1">
        <v>48030</v>
      </c>
      <c r="O23" s="1">
        <v>48396</v>
      </c>
      <c r="P23" s="1">
        <v>48761</v>
      </c>
      <c r="Q23" s="1">
        <v>49126</v>
      </c>
      <c r="R23" s="1">
        <v>49491</v>
      </c>
      <c r="S23" s="1">
        <v>49857</v>
      </c>
      <c r="T23" s="1">
        <v>50222</v>
      </c>
      <c r="U23" s="1">
        <v>50587</v>
      </c>
      <c r="V23" s="1">
        <v>50952</v>
      </c>
      <c r="W23" s="1">
        <v>51318</v>
      </c>
    </row>
    <row r="24" spans="1:23" x14ac:dyDescent="0.25">
      <c r="A24" s="82" t="str">
        <v>Renovation</v>
      </c>
      <c r="B24" s="71">
        <v>51216</v>
      </c>
      <c r="C24" s="72">
        <v>7.0000000000000007E-2</v>
      </c>
      <c r="D24" s="73">
        <v>10</v>
      </c>
      <c r="E24" s="74">
        <v>46266</v>
      </c>
      <c r="G24" s="75" t="str" cm="1">
        <f t="array" ref="G24:G43">oz.LabelAmortiseλ(tblLoans[Description])</f>
        <v>Renovation Debt Issuance</v>
      </c>
      <c r="H24" s="80" cm="1">
        <f t="array" ref="H24:H43">oz.SumAmortiseλ(_xlfn.ANCHORARRAY(I24))</f>
        <v>0</v>
      </c>
      <c r="I24" s="95" cm="1">
        <f t="array" ref="I24:W43">oz.Amortiseλ(tblLoans[Principal],tblLoans[APR],tblLoans[Term],tblLoans[Start Date],_xlfn.ANCHORARRAY( I23))</f>
        <v>51216</v>
      </c>
      <c r="J24" s="79">
        <v>0</v>
      </c>
      <c r="K24" s="79">
        <v>0</v>
      </c>
      <c r="L24" s="79">
        <v>0</v>
      </c>
      <c r="M24" s="79">
        <v>0</v>
      </c>
      <c r="N24" s="79">
        <v>0</v>
      </c>
      <c r="O24" s="79">
        <v>0</v>
      </c>
      <c r="P24" s="79">
        <v>0</v>
      </c>
      <c r="Q24" s="79">
        <v>0</v>
      </c>
      <c r="R24" s="79">
        <v>0</v>
      </c>
      <c r="S24" s="79">
        <v>0</v>
      </c>
      <c r="T24" s="79">
        <v>0</v>
      </c>
      <c r="U24" s="79">
        <v>0</v>
      </c>
      <c r="V24" s="79">
        <v>0</v>
      </c>
      <c r="W24" s="79">
        <v>0</v>
      </c>
    </row>
    <row r="25" spans="1:23" x14ac:dyDescent="0.25">
      <c r="A25" s="82" t="str">
        <v>New sign</v>
      </c>
      <c r="B25" s="71">
        <v>46218</v>
      </c>
      <c r="C25" s="72">
        <v>6.5000000000000002E-2</v>
      </c>
      <c r="D25" s="73">
        <v>10</v>
      </c>
      <c r="E25" s="74">
        <v>46204</v>
      </c>
      <c r="G25" s="75" t="str">
        <v>Renovation Debt Balance</v>
      </c>
      <c r="H25" s="79">
        <v>0</v>
      </c>
      <c r="I25" s="79">
        <v>51216</v>
      </c>
      <c r="J25" s="79">
        <v>0</v>
      </c>
      <c r="K25" s="79">
        <v>0</v>
      </c>
      <c r="L25" s="79">
        <v>0</v>
      </c>
      <c r="M25" s="79">
        <v>0</v>
      </c>
      <c r="N25" s="79">
        <v>0</v>
      </c>
      <c r="O25" s="79">
        <v>0</v>
      </c>
      <c r="P25" s="79">
        <v>0</v>
      </c>
      <c r="Q25" s="79">
        <v>0</v>
      </c>
      <c r="R25" s="79">
        <v>0</v>
      </c>
      <c r="S25" s="79">
        <v>0</v>
      </c>
      <c r="T25" s="79">
        <v>0</v>
      </c>
      <c r="U25" s="79">
        <v>0</v>
      </c>
      <c r="V25" s="79">
        <v>0</v>
      </c>
      <c r="W25" s="79">
        <v>0</v>
      </c>
    </row>
    <row r="26" spans="1:23" x14ac:dyDescent="0.25">
      <c r="A26" s="82" t="str">
        <v>Parking Lot</v>
      </c>
      <c r="B26" s="71">
        <v>500000</v>
      </c>
      <c r="C26" s="72">
        <v>0.08</v>
      </c>
      <c r="D26" s="73">
        <v>30</v>
      </c>
      <c r="E26" s="74">
        <v>46569</v>
      </c>
      <c r="G26" s="75" t="str">
        <v>Renovation Interest</v>
      </c>
      <c r="H26" s="79">
        <v>1657.5152357087741</v>
      </c>
      <c r="I26" s="79">
        <v>1657.5152357087741</v>
      </c>
      <c r="J26" s="79">
        <v>0</v>
      </c>
      <c r="K26" s="79">
        <v>0</v>
      </c>
      <c r="L26" s="79">
        <v>0</v>
      </c>
      <c r="M26" s="79">
        <v>0</v>
      </c>
      <c r="N26" s="79">
        <v>0</v>
      </c>
      <c r="O26" s="79">
        <v>0</v>
      </c>
      <c r="P26" s="79">
        <v>0</v>
      </c>
      <c r="Q26" s="79">
        <v>0</v>
      </c>
      <c r="R26" s="79">
        <v>0</v>
      </c>
      <c r="S26" s="79">
        <v>0</v>
      </c>
      <c r="T26" s="79">
        <v>0</v>
      </c>
      <c r="U26" s="79">
        <v>0</v>
      </c>
      <c r="V26" s="79">
        <v>0</v>
      </c>
      <c r="W26" s="79">
        <v>0</v>
      </c>
    </row>
    <row r="27" spans="1:23" x14ac:dyDescent="0.25">
      <c r="G27" s="75" t="str">
        <v>Renovation Debt Services</v>
      </c>
      <c r="H27" s="79">
        <v>-52873.515235708772</v>
      </c>
      <c r="I27" s="79">
        <v>-52873.515235708772</v>
      </c>
      <c r="J27" s="79">
        <v>0</v>
      </c>
      <c r="K27" s="79">
        <v>0</v>
      </c>
      <c r="L27" s="79">
        <v>0</v>
      </c>
      <c r="M27" s="79">
        <v>0</v>
      </c>
      <c r="N27" s="79">
        <v>0</v>
      </c>
      <c r="O27" s="79">
        <v>0</v>
      </c>
      <c r="P27" s="79">
        <v>0</v>
      </c>
      <c r="Q27" s="79">
        <v>0</v>
      </c>
      <c r="R27" s="79">
        <v>0</v>
      </c>
      <c r="S27" s="79">
        <v>0</v>
      </c>
      <c r="T27" s="79">
        <v>0</v>
      </c>
      <c r="U27" s="79">
        <v>0</v>
      </c>
      <c r="V27" s="79">
        <v>0</v>
      </c>
      <c r="W27" s="79">
        <v>0</v>
      </c>
    </row>
    <row r="28" spans="1:23" x14ac:dyDescent="0.25">
      <c r="G28" s="75" t="str">
        <v>Renovation Closing Balance</v>
      </c>
      <c r="H28" s="79">
        <v>0</v>
      </c>
      <c r="I28" s="79">
        <v>-2.2737367544323206E-10</v>
      </c>
      <c r="J28" s="79">
        <v>0</v>
      </c>
      <c r="K28" s="79">
        <v>0</v>
      </c>
      <c r="L28" s="79">
        <v>0</v>
      </c>
      <c r="M28" s="79">
        <v>0</v>
      </c>
      <c r="N28" s="79">
        <v>0</v>
      </c>
      <c r="O28" s="79">
        <v>0</v>
      </c>
      <c r="P28" s="79">
        <v>0</v>
      </c>
      <c r="Q28" s="79">
        <v>0</v>
      </c>
      <c r="R28" s="79">
        <v>0</v>
      </c>
      <c r="S28" s="79">
        <v>0</v>
      </c>
      <c r="T28" s="79">
        <v>0</v>
      </c>
      <c r="U28" s="79">
        <v>0</v>
      </c>
      <c r="V28" s="79">
        <v>0</v>
      </c>
      <c r="W28" s="79">
        <v>0</v>
      </c>
    </row>
    <row r="29" spans="1:23" x14ac:dyDescent="0.25">
      <c r="G29" s="75" t="str">
        <v>Renovation Debt Repayment</v>
      </c>
      <c r="H29" s="79">
        <v>51216</v>
      </c>
      <c r="I29" s="79">
        <v>51216</v>
      </c>
      <c r="J29" s="79">
        <v>0</v>
      </c>
      <c r="K29" s="79">
        <v>0</v>
      </c>
      <c r="L29" s="79">
        <v>0</v>
      </c>
      <c r="M29" s="79">
        <v>0</v>
      </c>
      <c r="N29" s="79">
        <v>0</v>
      </c>
      <c r="O29" s="79">
        <v>0</v>
      </c>
      <c r="P29" s="79">
        <v>0</v>
      </c>
      <c r="Q29" s="79">
        <v>0</v>
      </c>
      <c r="R29" s="79">
        <v>0</v>
      </c>
      <c r="S29" s="79">
        <v>0</v>
      </c>
      <c r="T29" s="79">
        <v>0</v>
      </c>
      <c r="U29" s="79">
        <v>0</v>
      </c>
      <c r="V29" s="79">
        <v>0</v>
      </c>
      <c r="W29" s="79">
        <v>0</v>
      </c>
    </row>
    <row r="30" spans="1:23" x14ac:dyDescent="0.25">
      <c r="G30" s="75" t="str">
        <v/>
      </c>
      <c r="H30" s="79">
        <v>0</v>
      </c>
      <c r="I30" s="79" t="str">
        <v xml:space="preserve"> </v>
      </c>
      <c r="J30" s="79" t="str">
        <v xml:space="preserve"> </v>
      </c>
      <c r="K30" s="79" t="str">
        <v xml:space="preserve"> </v>
      </c>
      <c r="L30" s="79" t="str">
        <v xml:space="preserve"> </v>
      </c>
      <c r="M30" s="79" t="str">
        <v xml:space="preserve"> </v>
      </c>
      <c r="N30" s="79" t="str">
        <v xml:space="preserve"> </v>
      </c>
      <c r="O30" s="79" t="str">
        <v xml:space="preserve"> </v>
      </c>
      <c r="P30" s="79" t="str">
        <v xml:space="preserve"> </v>
      </c>
      <c r="Q30" s="79" t="str">
        <v xml:space="preserve"> </v>
      </c>
      <c r="R30" s="79" t="str">
        <v xml:space="preserve"> </v>
      </c>
      <c r="S30" s="79" t="str">
        <v xml:space="preserve"> </v>
      </c>
      <c r="T30" s="79" t="str">
        <v xml:space="preserve"> </v>
      </c>
      <c r="U30" s="79" t="str">
        <v xml:space="preserve"> </v>
      </c>
      <c r="V30" s="79" t="str">
        <v xml:space="preserve"> </v>
      </c>
      <c r="W30" s="79" t="str">
        <v xml:space="preserve"> </v>
      </c>
    </row>
    <row r="31" spans="1:23" x14ac:dyDescent="0.25">
      <c r="G31" s="75" t="str">
        <v>New sign Debt Issuance</v>
      </c>
      <c r="H31" s="79">
        <v>0</v>
      </c>
      <c r="I31" s="79">
        <v>46218</v>
      </c>
      <c r="J31" s="79">
        <v>0</v>
      </c>
      <c r="K31" s="79">
        <v>0</v>
      </c>
      <c r="L31" s="79">
        <v>0</v>
      </c>
      <c r="M31" s="79">
        <v>0</v>
      </c>
      <c r="N31" s="79">
        <v>0</v>
      </c>
      <c r="O31" s="79">
        <v>0</v>
      </c>
      <c r="P31" s="79">
        <v>0</v>
      </c>
      <c r="Q31" s="79">
        <v>0</v>
      </c>
      <c r="R31" s="79">
        <v>0</v>
      </c>
      <c r="S31" s="79">
        <v>0</v>
      </c>
      <c r="T31" s="79">
        <v>0</v>
      </c>
      <c r="U31" s="79">
        <v>0</v>
      </c>
      <c r="V31" s="79">
        <v>0</v>
      </c>
      <c r="W31" s="79">
        <v>0</v>
      </c>
    </row>
    <row r="32" spans="1:23" x14ac:dyDescent="0.25">
      <c r="G32" s="75" t="str">
        <v>New sign Debt Balance</v>
      </c>
      <c r="H32" s="79">
        <v>0</v>
      </c>
      <c r="I32" s="79">
        <v>46218</v>
      </c>
      <c r="J32" s="79">
        <v>0</v>
      </c>
      <c r="K32" s="79">
        <v>0</v>
      </c>
      <c r="L32" s="79">
        <v>0</v>
      </c>
      <c r="M32" s="79">
        <v>0</v>
      </c>
      <c r="N32" s="79">
        <v>0</v>
      </c>
      <c r="O32" s="79">
        <v>0</v>
      </c>
      <c r="P32" s="79">
        <v>0</v>
      </c>
      <c r="Q32" s="79">
        <v>0</v>
      </c>
      <c r="R32" s="79">
        <v>0</v>
      </c>
      <c r="S32" s="79">
        <v>0</v>
      </c>
      <c r="T32" s="79">
        <v>0</v>
      </c>
      <c r="U32" s="79">
        <v>0</v>
      </c>
      <c r="V32" s="79">
        <v>0</v>
      </c>
      <c r="W32" s="79">
        <v>0</v>
      </c>
    </row>
    <row r="33" spans="7:23" x14ac:dyDescent="0.25">
      <c r="G33" s="75" t="str">
        <v>New sign Interest</v>
      </c>
      <c r="H33" s="79">
        <v>1388.0679156179572</v>
      </c>
      <c r="I33" s="79">
        <v>1388.0679156179572</v>
      </c>
      <c r="J33" s="79">
        <v>0</v>
      </c>
      <c r="K33" s="79">
        <v>0</v>
      </c>
      <c r="L33" s="79">
        <v>0</v>
      </c>
      <c r="M33" s="79">
        <v>0</v>
      </c>
      <c r="N33" s="79">
        <v>0</v>
      </c>
      <c r="O33" s="79">
        <v>0</v>
      </c>
      <c r="P33" s="79">
        <v>0</v>
      </c>
      <c r="Q33" s="79">
        <v>0</v>
      </c>
      <c r="R33" s="79">
        <v>0</v>
      </c>
      <c r="S33" s="79">
        <v>0</v>
      </c>
      <c r="T33" s="79">
        <v>0</v>
      </c>
      <c r="U33" s="79">
        <v>0</v>
      </c>
      <c r="V33" s="79">
        <v>0</v>
      </c>
      <c r="W33" s="79">
        <v>0</v>
      </c>
    </row>
    <row r="34" spans="7:23" x14ac:dyDescent="0.25">
      <c r="G34" s="75" t="str">
        <v>New sign Debt Services</v>
      </c>
      <c r="H34" s="79">
        <v>-47606.067915617947</v>
      </c>
      <c r="I34" s="79">
        <v>-47606.067915617947</v>
      </c>
      <c r="J34" s="79">
        <v>0</v>
      </c>
      <c r="K34" s="79">
        <v>0</v>
      </c>
      <c r="L34" s="79">
        <v>0</v>
      </c>
      <c r="M34" s="79">
        <v>0</v>
      </c>
      <c r="N34" s="79">
        <v>0</v>
      </c>
      <c r="O34" s="79">
        <v>0</v>
      </c>
      <c r="P34" s="79">
        <v>0</v>
      </c>
      <c r="Q34" s="79">
        <v>0</v>
      </c>
      <c r="R34" s="79">
        <v>0</v>
      </c>
      <c r="S34" s="79">
        <v>0</v>
      </c>
      <c r="T34" s="79">
        <v>0</v>
      </c>
      <c r="U34" s="79">
        <v>0</v>
      </c>
      <c r="V34" s="79">
        <v>0</v>
      </c>
      <c r="W34" s="79">
        <v>0</v>
      </c>
    </row>
    <row r="35" spans="7:23" x14ac:dyDescent="0.25">
      <c r="G35" s="76" t="str">
        <v>New sign Closing Balance</v>
      </c>
      <c r="H35" s="79">
        <v>0</v>
      </c>
      <c r="I35" s="79">
        <v>3.9472070056945086E-10</v>
      </c>
      <c r="J35" s="79">
        <v>0</v>
      </c>
      <c r="K35" s="79">
        <v>0</v>
      </c>
      <c r="L35" s="79">
        <v>0</v>
      </c>
      <c r="M35" s="79">
        <v>0</v>
      </c>
      <c r="N35" s="79">
        <v>0</v>
      </c>
      <c r="O35" s="79">
        <v>0</v>
      </c>
      <c r="P35" s="79">
        <v>0</v>
      </c>
      <c r="Q35" s="79">
        <v>0</v>
      </c>
      <c r="R35" s="79">
        <v>0</v>
      </c>
      <c r="S35" s="79">
        <v>0</v>
      </c>
      <c r="T35" s="79">
        <v>0</v>
      </c>
      <c r="U35" s="79">
        <v>0</v>
      </c>
      <c r="V35" s="79">
        <v>0</v>
      </c>
      <c r="W35" s="79">
        <v>0</v>
      </c>
    </row>
    <row r="36" spans="7:23" x14ac:dyDescent="0.25">
      <c r="G36" s="76" t="str">
        <v>New sign Debt Repayment</v>
      </c>
      <c r="H36" s="79">
        <v>46217.999999999993</v>
      </c>
      <c r="I36" s="79">
        <v>46217.999999999993</v>
      </c>
      <c r="J36" s="79">
        <v>0</v>
      </c>
      <c r="K36" s="79">
        <v>0</v>
      </c>
      <c r="L36" s="79">
        <v>0</v>
      </c>
      <c r="M36" s="79">
        <v>0</v>
      </c>
      <c r="N36" s="79">
        <v>0</v>
      </c>
      <c r="O36" s="79">
        <v>0</v>
      </c>
      <c r="P36" s="79">
        <v>0</v>
      </c>
      <c r="Q36" s="79">
        <v>0</v>
      </c>
      <c r="R36" s="79">
        <v>0</v>
      </c>
      <c r="S36" s="79">
        <v>0</v>
      </c>
      <c r="T36" s="79">
        <v>0</v>
      </c>
      <c r="U36" s="79">
        <v>0</v>
      </c>
      <c r="V36" s="79">
        <v>0</v>
      </c>
      <c r="W36" s="79">
        <v>0</v>
      </c>
    </row>
    <row r="37" spans="7:23" x14ac:dyDescent="0.25">
      <c r="G37" s="76" t="str">
        <v/>
      </c>
      <c r="H37" s="79">
        <v>0</v>
      </c>
      <c r="I37" s="79" t="str">
        <v xml:space="preserve"> </v>
      </c>
      <c r="J37" s="79" t="str">
        <v xml:space="preserve"> </v>
      </c>
      <c r="K37" s="79" t="str">
        <v xml:space="preserve"> </v>
      </c>
      <c r="L37" s="79" t="str">
        <v xml:space="preserve"> </v>
      </c>
      <c r="M37" s="79" t="str">
        <v xml:space="preserve"> </v>
      </c>
      <c r="N37" s="79" t="str">
        <v xml:space="preserve"> </v>
      </c>
      <c r="O37" s="79" t="str">
        <v xml:space="preserve"> </v>
      </c>
      <c r="P37" s="79" t="str">
        <v xml:space="preserve"> </v>
      </c>
      <c r="Q37" s="79" t="str">
        <v xml:space="preserve"> </v>
      </c>
      <c r="R37" s="79" t="str">
        <v xml:space="preserve"> </v>
      </c>
      <c r="S37" s="79" t="str">
        <v xml:space="preserve"> </v>
      </c>
      <c r="T37" s="79" t="str">
        <v xml:space="preserve"> </v>
      </c>
      <c r="U37" s="79" t="str">
        <v xml:space="preserve"> </v>
      </c>
      <c r="V37" s="79" t="str">
        <v xml:space="preserve"> </v>
      </c>
      <c r="W37" s="79" t="str">
        <v xml:space="preserve"> </v>
      </c>
    </row>
    <row r="38" spans="7:23" x14ac:dyDescent="0.25">
      <c r="G38" s="76" t="str">
        <v>Parking Lot Debt Issuance</v>
      </c>
      <c r="H38" s="79">
        <v>0</v>
      </c>
      <c r="I38" s="79">
        <v>0</v>
      </c>
      <c r="J38" s="79">
        <v>500000</v>
      </c>
      <c r="K38" s="79">
        <v>0</v>
      </c>
      <c r="L38" s="79">
        <v>0</v>
      </c>
      <c r="M38" s="79">
        <v>0</v>
      </c>
      <c r="N38" s="79">
        <v>0</v>
      </c>
      <c r="O38" s="79">
        <v>0</v>
      </c>
      <c r="P38" s="79">
        <v>0</v>
      </c>
      <c r="Q38" s="79">
        <v>0</v>
      </c>
      <c r="R38" s="79">
        <v>0</v>
      </c>
      <c r="S38" s="79">
        <v>0</v>
      </c>
      <c r="T38" s="79">
        <v>0</v>
      </c>
      <c r="U38" s="79">
        <v>0</v>
      </c>
      <c r="V38" s="79">
        <v>0</v>
      </c>
      <c r="W38" s="79">
        <v>0</v>
      </c>
    </row>
    <row r="39" spans="7:23" x14ac:dyDescent="0.25">
      <c r="G39" s="75" t="str">
        <v>Parking Lot Debt Balance</v>
      </c>
      <c r="H39" s="79">
        <v>0</v>
      </c>
      <c r="I39" s="79">
        <v>0</v>
      </c>
      <c r="J39" s="79">
        <v>500000</v>
      </c>
      <c r="K39" s="79">
        <v>311871.30198002694</v>
      </c>
      <c r="L39" s="79">
        <v>108128.01480805682</v>
      </c>
      <c r="M39" s="79">
        <v>0</v>
      </c>
      <c r="N39" s="79">
        <v>0</v>
      </c>
      <c r="O39" s="79">
        <v>0</v>
      </c>
      <c r="P39" s="79">
        <v>0</v>
      </c>
      <c r="Q39" s="79">
        <v>0</v>
      </c>
      <c r="R39" s="79">
        <v>0</v>
      </c>
      <c r="S39" s="79">
        <v>0</v>
      </c>
      <c r="T39" s="79">
        <v>0</v>
      </c>
      <c r="U39" s="79">
        <v>0</v>
      </c>
      <c r="V39" s="79">
        <v>0</v>
      </c>
      <c r="W39" s="79">
        <v>0</v>
      </c>
    </row>
    <row r="40" spans="7:23" x14ac:dyDescent="0.25">
      <c r="G40" s="75" t="str">
        <v>Parking Lot Interest</v>
      </c>
      <c r="H40" s="79">
        <v>53324.857595300615</v>
      </c>
      <c r="I40" s="79">
        <v>0</v>
      </c>
      <c r="J40" s="79">
        <v>33201.245018145353</v>
      </c>
      <c r="K40" s="79">
        <v>17586.655866148452</v>
      </c>
      <c r="L40" s="79">
        <v>2536.9567110068115</v>
      </c>
      <c r="M40" s="79">
        <v>0</v>
      </c>
      <c r="N40" s="79">
        <v>0</v>
      </c>
      <c r="O40" s="79">
        <v>0</v>
      </c>
      <c r="P40" s="79">
        <v>0</v>
      </c>
      <c r="Q40" s="79">
        <v>0</v>
      </c>
      <c r="R40" s="79">
        <v>0</v>
      </c>
      <c r="S40" s="79">
        <v>0</v>
      </c>
      <c r="T40" s="79">
        <v>0</v>
      </c>
      <c r="U40" s="79">
        <v>0</v>
      </c>
      <c r="V40" s="79">
        <v>0</v>
      </c>
      <c r="W40" s="79">
        <v>0</v>
      </c>
    </row>
    <row r="41" spans="7:23" x14ac:dyDescent="0.25">
      <c r="G41" s="75" t="str">
        <v>Parking Lot Debt Services</v>
      </c>
      <c r="H41">
        <v>-553324.8575953003</v>
      </c>
      <c r="I41">
        <v>0</v>
      </c>
      <c r="J41">
        <v>-221329.94303812014</v>
      </c>
      <c r="K41">
        <v>-221329.94303812014</v>
      </c>
      <c r="L41">
        <v>-110664.97151906005</v>
      </c>
      <c r="M41">
        <v>0</v>
      </c>
      <c r="N41">
        <v>0</v>
      </c>
      <c r="O41">
        <v>0</v>
      </c>
      <c r="P41">
        <v>0</v>
      </c>
      <c r="Q41">
        <v>0</v>
      </c>
      <c r="R41">
        <v>0</v>
      </c>
      <c r="S41">
        <v>0</v>
      </c>
      <c r="T41">
        <v>0</v>
      </c>
      <c r="U41">
        <v>0</v>
      </c>
      <c r="V41">
        <v>0</v>
      </c>
      <c r="W41">
        <v>0</v>
      </c>
    </row>
    <row r="42" spans="7:23" x14ac:dyDescent="0.25">
      <c r="G42" t="str">
        <v>Parking Lot Closing Balance</v>
      </c>
      <c r="H42">
        <v>0</v>
      </c>
      <c r="I42">
        <v>0</v>
      </c>
      <c r="J42">
        <v>311871.30198002665</v>
      </c>
      <c r="K42">
        <v>108128.01480805676</v>
      </c>
      <c r="L42">
        <v>4.1327439248561859E-9</v>
      </c>
      <c r="M42">
        <v>0</v>
      </c>
      <c r="N42">
        <v>0</v>
      </c>
      <c r="O42">
        <v>0</v>
      </c>
      <c r="P42">
        <v>0</v>
      </c>
      <c r="Q42">
        <v>0</v>
      </c>
      <c r="R42">
        <v>0</v>
      </c>
      <c r="S42">
        <v>0</v>
      </c>
      <c r="T42">
        <v>0</v>
      </c>
      <c r="U42">
        <v>0</v>
      </c>
      <c r="V42">
        <v>0</v>
      </c>
      <c r="W42">
        <v>0</v>
      </c>
    </row>
    <row r="43" spans="7:23" x14ac:dyDescent="0.25">
      <c r="G43" t="str">
        <v>Parking Lot Debt Repayment</v>
      </c>
      <c r="H43">
        <v>499999.99999999959</v>
      </c>
      <c r="I43">
        <v>0</v>
      </c>
      <c r="J43">
        <v>188128.69801997472</v>
      </c>
      <c r="K43">
        <v>203743.28717197163</v>
      </c>
      <c r="L43">
        <v>108128.01480805322</v>
      </c>
      <c r="M43">
        <v>0</v>
      </c>
      <c r="N43">
        <v>0</v>
      </c>
      <c r="O43">
        <v>0</v>
      </c>
      <c r="P43">
        <v>0</v>
      </c>
      <c r="Q43">
        <v>0</v>
      </c>
      <c r="R43">
        <v>0</v>
      </c>
      <c r="S43">
        <v>0</v>
      </c>
      <c r="T43">
        <v>0</v>
      </c>
      <c r="U43">
        <v>0</v>
      </c>
      <c r="V43">
        <v>0</v>
      </c>
      <c r="W43">
        <v>0</v>
      </c>
    </row>
  </sheetData>
  <mergeCells count="3">
    <mergeCell ref="A1:P1"/>
    <mergeCell ref="A21:C21"/>
    <mergeCell ref="A2:Q2"/>
  </mergeCells>
  <conditionalFormatting sqref="A24:E26">
    <cfRule type="expression" dxfId="7" priority="1">
      <formula>MOD(ROW(),2)=0</formula>
    </cfRule>
  </conditionalFormatting>
  <conditionalFormatting sqref="G24:CN27 G28 I28:CN28 I29:W40">
    <cfRule type="expression" dxfId="6" priority="3">
      <formula>FIND("Closing",$G24)</formula>
    </cfRule>
  </conditionalFormatting>
  <conditionalFormatting sqref="G29:CN41">
    <cfRule type="expression" dxfId="5" priority="4">
      <formula>FIND("Closing",$G29)</formula>
    </cfRule>
  </conditionalFormatting>
  <conditionalFormatting sqref="H28:H40">
    <cfRule type="expression" dxfId="4" priority="2">
      <formula>FIND("Closing",$G28)</formula>
    </cfRule>
  </conditionalFormatting>
  <dataValidations count="1">
    <dataValidation type="list" allowBlank="1" showInputMessage="1" showErrorMessage="1" sqref="H22" xr:uid="{B3742D96-3E50-4DB2-ADC8-24145F10D5A8}">
      <formula1>"M,Q,Y"</formula1>
    </dataValidation>
  </dataValidations>
  <hyperlinks>
    <hyperlink ref="A1" location="'TOC'!$A$1" display="'TOC'!$A$1" xr:uid="{6EF4E97F-A7BD-4EC2-B0D8-B72777480AA4}"/>
  </hyperlinks>
  <pageMargins left="0.7" right="0.7" top="0.75" bottom="0.75" header="0.3" footer="0.3"/>
  <pageSetup paperSize="9" scale="53" fitToHeight="0" orientation="landscape"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8D9F-2924-4D58-B0F3-EB7F3BC65118}">
  <sheetPr codeName="Sheet39">
    <tabColor rgb="FF66023C"/>
    <pageSetUpPr fitToPage="1"/>
  </sheetPr>
  <dimension ref="A1:S32"/>
  <sheetViews>
    <sheetView showGridLines="0" workbookViewId="0">
      <selection sqref="A1:S1"/>
    </sheetView>
  </sheetViews>
  <sheetFormatPr defaultRowHeight="15" x14ac:dyDescent="0.25"/>
  <cols>
    <col min="1" max="1" width="12.75" bestFit="1" customWidth="1"/>
    <col min="2" max="2" width="12.75" customWidth="1"/>
    <col min="3" max="3" width="7" bestFit="1" customWidth="1"/>
    <col min="5" max="5" width="10.75" bestFit="1" customWidth="1"/>
    <col min="6" max="6" width="15.625" bestFit="1" customWidth="1"/>
    <col min="7" max="7" width="11.125" bestFit="1" customWidth="1"/>
    <col min="8" max="8" width="11.25" bestFit="1" customWidth="1"/>
    <col min="9" max="9" width="11.75" bestFit="1" customWidth="1"/>
    <col min="10" max="10" width="11.25" bestFit="1" customWidth="1"/>
    <col min="11" max="11" width="12.125" bestFit="1" customWidth="1"/>
    <col min="12" max="12" width="11.25" bestFit="1" customWidth="1"/>
    <col min="13" max="13" width="10.625" bestFit="1" customWidth="1"/>
    <col min="14" max="14" width="11.75" bestFit="1" customWidth="1"/>
    <col min="15" max="15" width="11.375" bestFit="1" customWidth="1"/>
    <col min="16" max="16" width="11.25" bestFit="1" customWidth="1"/>
    <col min="17" max="17" width="11.75" bestFit="1" customWidth="1"/>
    <col min="18" max="18" width="11.375" bestFit="1" customWidth="1"/>
    <col min="19" max="19" width="10.62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185" t="str">
        <f ca="1">_xlfn.TEXTAFTER(CELL("filename",A1),"]")</f>
        <v>oz.Corkscrewλ</v>
      </c>
      <c r="B1" s="185"/>
      <c r="C1" s="185"/>
      <c r="D1" s="185"/>
      <c r="E1" s="185"/>
      <c r="F1" s="185"/>
      <c r="G1" s="185"/>
      <c r="H1" s="185"/>
      <c r="I1" s="185"/>
      <c r="J1" s="185"/>
      <c r="K1" s="185"/>
      <c r="L1" s="185"/>
      <c r="M1" s="185"/>
      <c r="N1" s="185"/>
      <c r="O1" s="185"/>
      <c r="P1" s="185"/>
      <c r="Q1" s="185"/>
      <c r="R1" s="185"/>
      <c r="S1" s="185"/>
    </row>
    <row r="2" spans="1:19" x14ac:dyDescent="0.25">
      <c r="A2" s="186" t="s">
        <v>83</v>
      </c>
      <c r="B2" s="187"/>
      <c r="C2" s="187"/>
      <c r="D2" s="187"/>
      <c r="E2" s="187"/>
      <c r="F2" s="187"/>
      <c r="G2" s="187"/>
      <c r="H2" s="187"/>
      <c r="I2" s="187"/>
      <c r="J2" s="187"/>
      <c r="K2" s="187"/>
      <c r="L2" s="187"/>
      <c r="M2" s="187"/>
      <c r="N2" s="187"/>
      <c r="O2" s="187"/>
      <c r="P2" s="188"/>
      <c r="Q2" s="4"/>
      <c r="R2" s="4"/>
      <c r="S2" s="4"/>
    </row>
    <row r="3" spans="1:19" x14ac:dyDescent="0.25">
      <c r="A3" s="4"/>
      <c r="B3" s="4"/>
      <c r="C3" s="4"/>
      <c r="D3" s="4"/>
      <c r="E3" s="4"/>
      <c r="F3" s="4"/>
      <c r="G3" s="4"/>
      <c r="H3" s="4"/>
      <c r="I3" s="4"/>
      <c r="J3" s="4"/>
      <c r="K3" s="4"/>
      <c r="L3" s="4"/>
      <c r="M3" s="4"/>
      <c r="N3" s="4"/>
      <c r="O3" s="4"/>
      <c r="P3" s="4"/>
      <c r="Q3" s="4"/>
      <c r="R3" s="4"/>
      <c r="S3" s="4"/>
    </row>
    <row r="4" spans="1:19" x14ac:dyDescent="0.25">
      <c r="A4" s="55" t="str" cm="1">
        <f t="array" ref="A4:B20">oz.Corkscrewλ()</f>
        <v>FUNCTION:</v>
      </c>
      <c r="B4" t="str">
        <v>Corkscrewλ( Opening, Flow1, [Flow2], [Flow3], [Flow4])</v>
      </c>
    </row>
    <row r="5" spans="1:19" x14ac:dyDescent="0.25">
      <c r="A5" t="str">
        <v>DESCRIPTION:</v>
      </c>
      <c r="B5" t="str">
        <v>Create a corkscrew section that sums the opening balance and up to 4 independent flows</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Opening</v>
      </c>
      <c r="B9" t="str">
        <v>(Required) First periods opening balance.</v>
      </c>
    </row>
    <row r="10" spans="1:19" x14ac:dyDescent="0.25">
      <c r="A10" t="str">
        <v>Flow1</v>
      </c>
      <c r="B10" t="str">
        <v>(Required) First row (or array of rows) of numbers to include in period totals.</v>
      </c>
    </row>
    <row r="11" spans="1:19" x14ac:dyDescent="0.25">
      <c r="A11" t="str">
        <v>Flow2</v>
      </c>
      <c r="B11" t="str">
        <v>(Optional) Second row (or array of rows) of numbers to include in period totals.</v>
      </c>
    </row>
    <row r="12" spans="1:19" x14ac:dyDescent="0.25">
      <c r="A12" t="str">
        <v>Flow3</v>
      </c>
      <c r="B12" t="str">
        <v>(Optional) Third row (or array of rows) of numbers to include in period totals.</v>
      </c>
    </row>
    <row r="13" spans="1:19" x14ac:dyDescent="0.25">
      <c r="A13" t="str">
        <v>Flow4</v>
      </c>
      <c r="B13" t="str">
        <v>(Optional) Fourth row (or array of rows) of numbers to include in period totals.</v>
      </c>
    </row>
    <row r="14" spans="1:19" x14ac:dyDescent="0.25">
      <c r="A14" t="str">
        <v>NOTE!</v>
      </c>
      <c r="B14" t="str">
        <v>All flows are added. To subtract a flow make it negative.</v>
      </c>
    </row>
    <row r="15" spans="1:19" x14ac:dyDescent="0.25">
      <c r="A15" t="str">
        <v/>
      </c>
      <c r="B15" t="str">
        <v/>
      </c>
    </row>
    <row r="16" spans="1:19" x14ac:dyDescent="0.25">
      <c r="A16" t="str">
        <v>EXAMPLES:</v>
      </c>
      <c r="B16" t="str">
        <v>NOTE! oz is assumed to be the module's name</v>
      </c>
    </row>
    <row r="17" spans="1:18" x14ac:dyDescent="0.25">
      <c r="A17" t="str">
        <v>Formula:</v>
      </c>
      <c r="B17" t="str">
        <v>=oz.Corkscrewλ(0, Sequence(1,5))</v>
      </c>
    </row>
    <row r="18" spans="1:18" x14ac:dyDescent="0.25">
      <c r="A18" t="str">
        <v>Result:</v>
      </c>
      <c r="B18" t="str">
        <v>00, 01, 03, 06, 10</v>
      </c>
    </row>
    <row r="19" spans="1:18" x14ac:dyDescent="0.25">
      <c r="A19" t="str">
        <v/>
      </c>
      <c r="B19" t="str">
        <v>01, 02, 03, 04, 05</v>
      </c>
    </row>
    <row r="20" spans="1:18" x14ac:dyDescent="0.25">
      <c r="A20" t="str">
        <v/>
      </c>
      <c r="B20" t="str">
        <v>01, 03, 06, 10, 15</v>
      </c>
    </row>
    <row r="22" spans="1:18" ht="21" x14ac:dyDescent="0.35">
      <c r="A22" s="203" t="s">
        <v>148</v>
      </c>
      <c r="B22" s="203"/>
      <c r="C22" s="203"/>
    </row>
    <row r="23" spans="1:18" x14ac:dyDescent="0.25">
      <c r="F23" s="84" t="s">
        <v>155</v>
      </c>
      <c r="G23" s="58" cm="1">
        <f t="array" ref="G23:R23">oz.Timelineλ($B$25, $B$26, $B$27, FALSE)</f>
        <v>46234</v>
      </c>
      <c r="H23" s="58">
        <v>46265</v>
      </c>
      <c r="I23" s="58">
        <v>46295</v>
      </c>
      <c r="J23" s="58">
        <v>46326</v>
      </c>
      <c r="K23" s="58">
        <v>46356</v>
      </c>
      <c r="L23" s="58">
        <v>46387</v>
      </c>
      <c r="M23" s="58">
        <v>46418</v>
      </c>
      <c r="N23" s="58">
        <v>46446</v>
      </c>
      <c r="O23" s="58">
        <v>46477</v>
      </c>
      <c r="P23" s="58">
        <v>46507</v>
      </c>
      <c r="Q23" s="58">
        <v>46538</v>
      </c>
      <c r="R23" s="58">
        <v>46568</v>
      </c>
    </row>
    <row r="24" spans="1:18" x14ac:dyDescent="0.25">
      <c r="A24" s="54" t="s">
        <v>149</v>
      </c>
      <c r="B24" s="54" t="s">
        <v>14</v>
      </c>
      <c r="C24" s="54" t="s">
        <v>15</v>
      </c>
      <c r="F24" s="83" t="s">
        <v>152</v>
      </c>
      <c r="G24" s="1" cm="1">
        <f t="array" ref="G24:R24">oz.Timelineλ($B$25, $B$26, $B$27)</f>
        <v>46204</v>
      </c>
      <c r="H24" s="1">
        <v>46235</v>
      </c>
      <c r="I24" s="1">
        <v>46266</v>
      </c>
      <c r="J24" s="1">
        <v>46296</v>
      </c>
      <c r="K24" s="1">
        <v>46327</v>
      </c>
      <c r="L24" s="1">
        <v>46357</v>
      </c>
      <c r="M24" s="1">
        <v>46388</v>
      </c>
      <c r="N24" s="1">
        <v>46419</v>
      </c>
      <c r="O24" s="1">
        <v>46447</v>
      </c>
      <c r="P24" s="1">
        <v>46478</v>
      </c>
      <c r="Q24" s="1">
        <v>46508</v>
      </c>
      <c r="R24" s="1">
        <v>46539</v>
      </c>
    </row>
    <row r="25" spans="1:18" x14ac:dyDescent="0.25">
      <c r="A25" t="s">
        <v>112</v>
      </c>
      <c r="B25" s="34">
        <v>46204</v>
      </c>
      <c r="C25" t="s">
        <v>21</v>
      </c>
      <c r="E25" s="2" t="s">
        <v>151</v>
      </c>
      <c r="F25">
        <f>SUM(_xlfn.ANCHORARRAY(G25))</f>
        <v>62370</v>
      </c>
      <c r="G25" s="85" cm="1">
        <f t="array" ref="G25:R25">oz.ScheduleValuesλ(_xlfn.ANCHORARRAY( $G$24),_xlfn.ANCHORARRAY( $G$23), tblCO[Amount], tblCO[Issued])</f>
        <v>5182</v>
      </c>
      <c r="H25">
        <v>8334</v>
      </c>
      <c r="I25">
        <v>14850</v>
      </c>
      <c r="J25">
        <v>15426</v>
      </c>
      <c r="K25">
        <v>18578</v>
      </c>
      <c r="L25">
        <v>0</v>
      </c>
      <c r="M25">
        <v>0</v>
      </c>
      <c r="N25">
        <v>0</v>
      </c>
      <c r="O25">
        <v>0</v>
      </c>
      <c r="P25">
        <v>0</v>
      </c>
      <c r="Q25">
        <v>0</v>
      </c>
      <c r="R25">
        <v>0</v>
      </c>
    </row>
    <row r="26" spans="1:18" x14ac:dyDescent="0.25">
      <c r="A26" t="s">
        <v>17</v>
      </c>
      <c r="B26">
        <v>12</v>
      </c>
      <c r="C26" t="s">
        <v>22</v>
      </c>
      <c r="E26" s="2" t="s">
        <v>153</v>
      </c>
      <c r="F26">
        <f>SUM(_xlfn.ANCHORARRAY(G26))</f>
        <v>62370</v>
      </c>
      <c r="G26" s="85" cm="1">
        <f t="array" ref="G26:R26">oz.ScheduleValuesλ(_xlfn.ANCHORARRAY( $G$24),_xlfn.ANCHORARRAY( $G$23), tblCO[Amount], tblCO[Exp. Receipt])</f>
        <v>0</v>
      </c>
      <c r="H26">
        <v>2788</v>
      </c>
      <c r="I26">
        <v>7743</v>
      </c>
      <c r="J26">
        <v>11683</v>
      </c>
      <c r="K26">
        <v>8516</v>
      </c>
      <c r="L26">
        <v>19775</v>
      </c>
      <c r="M26">
        <v>7713</v>
      </c>
      <c r="N26">
        <v>4152</v>
      </c>
      <c r="O26">
        <v>0</v>
      </c>
      <c r="P26">
        <v>0</v>
      </c>
      <c r="Q26">
        <v>0</v>
      </c>
      <c r="R26">
        <v>0</v>
      </c>
    </row>
    <row r="27" spans="1:18" x14ac:dyDescent="0.25">
      <c r="A27" t="s">
        <v>18</v>
      </c>
      <c r="B27" t="s">
        <v>20</v>
      </c>
      <c r="G27" cm="1">
        <f t="array" ref="G27:R27">oz.SumColsλ(_xlfn.ANCHORARRAY(G25)-_xlfn.ANCHORARRAY(G26))</f>
        <v>5182</v>
      </c>
      <c r="H27">
        <v>5546</v>
      </c>
      <c r="I27">
        <v>7107</v>
      </c>
      <c r="J27">
        <v>3743</v>
      </c>
      <c r="K27">
        <v>10062</v>
      </c>
      <c r="L27">
        <v>-19775</v>
      </c>
      <c r="M27">
        <v>-7713</v>
      </c>
      <c r="N27">
        <v>-4152</v>
      </c>
      <c r="O27">
        <v>0</v>
      </c>
      <c r="P27">
        <v>0</v>
      </c>
      <c r="Q27">
        <v>0</v>
      </c>
      <c r="R27">
        <v>0</v>
      </c>
    </row>
    <row r="29" spans="1:18" x14ac:dyDescent="0.25">
      <c r="E29" t="s">
        <v>169</v>
      </c>
      <c r="G29" s="55" cm="1">
        <f t="array" ref="G29:R32">oz.Corkscrewλ(0,_xlfn.ANCHORARRAY(G25),-_xlfn.ANCHORARRAY(G26))</f>
        <v>0</v>
      </c>
      <c r="H29">
        <v>5182</v>
      </c>
      <c r="I29">
        <v>10728</v>
      </c>
      <c r="J29">
        <v>17835</v>
      </c>
      <c r="K29">
        <v>21578</v>
      </c>
      <c r="L29">
        <v>31640</v>
      </c>
      <c r="M29">
        <v>11865</v>
      </c>
      <c r="N29">
        <v>4152</v>
      </c>
      <c r="O29">
        <v>0</v>
      </c>
      <c r="P29">
        <v>0</v>
      </c>
      <c r="Q29">
        <v>0</v>
      </c>
      <c r="R29">
        <v>0</v>
      </c>
    </row>
    <row r="30" spans="1:18" x14ac:dyDescent="0.25">
      <c r="E30" t="s">
        <v>151</v>
      </c>
      <c r="G30">
        <v>5182</v>
      </c>
      <c r="H30">
        <v>8334</v>
      </c>
      <c r="I30">
        <v>14850</v>
      </c>
      <c r="J30">
        <v>15426</v>
      </c>
      <c r="K30">
        <v>18578</v>
      </c>
      <c r="L30">
        <v>0</v>
      </c>
      <c r="M30">
        <v>0</v>
      </c>
      <c r="N30">
        <v>0</v>
      </c>
      <c r="O30">
        <v>0</v>
      </c>
      <c r="P30">
        <v>0</v>
      </c>
      <c r="Q30">
        <v>0</v>
      </c>
      <c r="R30">
        <v>0</v>
      </c>
    </row>
    <row r="31" spans="1:18" x14ac:dyDescent="0.25">
      <c r="E31" t="s">
        <v>153</v>
      </c>
      <c r="G31">
        <v>0</v>
      </c>
      <c r="H31">
        <v>-2788</v>
      </c>
      <c r="I31">
        <v>-7743</v>
      </c>
      <c r="J31">
        <v>-11683</v>
      </c>
      <c r="K31">
        <v>-8516</v>
      </c>
      <c r="L31">
        <v>-19775</v>
      </c>
      <c r="M31">
        <v>-7713</v>
      </c>
      <c r="N31">
        <v>-4152</v>
      </c>
      <c r="O31">
        <v>0</v>
      </c>
      <c r="P31">
        <v>0</v>
      </c>
      <c r="Q31">
        <v>0</v>
      </c>
      <c r="R31">
        <v>0</v>
      </c>
    </row>
    <row r="32" spans="1:18" x14ac:dyDescent="0.25">
      <c r="E32" t="s">
        <v>30</v>
      </c>
      <c r="G32">
        <v>5182</v>
      </c>
      <c r="H32">
        <v>10728</v>
      </c>
      <c r="I32">
        <v>17835</v>
      </c>
      <c r="J32">
        <v>21578</v>
      </c>
      <c r="K32">
        <v>31640</v>
      </c>
      <c r="L32">
        <v>11865</v>
      </c>
      <c r="M32">
        <v>4152</v>
      </c>
      <c r="N32">
        <v>0</v>
      </c>
      <c r="O32">
        <v>0</v>
      </c>
      <c r="P32">
        <v>0</v>
      </c>
      <c r="Q32">
        <v>0</v>
      </c>
      <c r="R32">
        <v>0</v>
      </c>
    </row>
  </sheetData>
  <mergeCells count="3">
    <mergeCell ref="A1:S1"/>
    <mergeCell ref="A22:C22"/>
    <mergeCell ref="A2:P2"/>
  </mergeCells>
  <hyperlinks>
    <hyperlink ref="A1" location="'TOC'!$A$1" display="'TOC'!$A$1" xr:uid="{0BFA959E-2266-424E-95C4-C32FAC957F5B}"/>
  </hyperlinks>
  <pageMargins left="0.7" right="0.7" top="0.75" bottom="0.75" header="0.3" footer="0.3"/>
  <pageSetup paperSize="9" scale="58" fitToHeight="0" orientation="landscape" horizontalDpi="0" verticalDpi="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DB4E-4ED3-4615-85FC-CF577D3AF629}">
  <sheetPr codeName="Sheet55">
    <tabColor rgb="FF66023C"/>
    <pageSetUpPr fitToPage="1"/>
  </sheetPr>
  <dimension ref="A1:R22"/>
  <sheetViews>
    <sheetView showGridLines="0" workbookViewId="0">
      <selection sqref="A1:P1"/>
    </sheetView>
  </sheetViews>
  <sheetFormatPr defaultRowHeight="15" x14ac:dyDescent="0.25"/>
  <cols>
    <col min="1" max="1" width="14.75" customWidth="1"/>
    <col min="2" max="2" width="11.375" customWidth="1"/>
    <col min="5" max="5" width="14.125" bestFit="1" customWidth="1"/>
    <col min="6" max="6" width="15.625" bestFit="1" customWidth="1"/>
    <col min="7" max="7" width="11.125" bestFit="1" customWidth="1"/>
    <col min="8" max="8" width="11.25" bestFit="1" customWidth="1"/>
    <col min="9" max="9" width="11.75" bestFit="1" customWidth="1"/>
    <col min="10" max="10" width="11.25" bestFit="1" customWidth="1"/>
    <col min="11" max="11" width="12.125" bestFit="1" customWidth="1"/>
    <col min="12" max="12" width="11.25" bestFit="1" customWidth="1"/>
    <col min="13" max="13" width="10.625" bestFit="1" customWidth="1"/>
    <col min="14" max="14" width="11.75" bestFit="1" customWidth="1"/>
    <col min="15" max="15" width="11.375" bestFit="1" customWidth="1"/>
    <col min="16" max="16" width="11.25" bestFit="1" customWidth="1"/>
    <col min="17" max="17" width="11.75" bestFit="1" customWidth="1"/>
    <col min="18" max="18" width="11.375" bestFit="1" customWidth="1"/>
  </cols>
  <sheetData>
    <row r="1" spans="1:16" ht="46.5" x14ac:dyDescent="0.7">
      <c r="A1" s="185" t="str">
        <f ca="1">_xlfn.TEXTAFTER(CELL("filename",A1),"]")</f>
        <v>oz.Cumulativeλ</v>
      </c>
      <c r="B1" s="185"/>
      <c r="C1" s="185"/>
      <c r="D1" s="185"/>
      <c r="E1" s="185"/>
      <c r="F1" s="185"/>
      <c r="G1" s="185"/>
      <c r="H1" s="185"/>
      <c r="I1" s="185"/>
      <c r="J1" s="185"/>
      <c r="K1" s="185"/>
      <c r="L1" s="185"/>
      <c r="M1" s="185"/>
      <c r="N1" s="185"/>
      <c r="O1" s="185"/>
      <c r="P1" s="185"/>
    </row>
    <row r="2" spans="1:16" x14ac:dyDescent="0.25">
      <c r="A2" s="186" t="s">
        <v>185</v>
      </c>
      <c r="B2" s="187"/>
      <c r="C2" s="187"/>
      <c r="D2" s="187"/>
      <c r="E2" s="187"/>
      <c r="F2" s="187"/>
      <c r="G2" s="187"/>
      <c r="H2" s="187"/>
      <c r="I2" s="187"/>
      <c r="J2" s="187"/>
      <c r="K2" s="187"/>
      <c r="L2" s="187"/>
      <c r="M2" s="187"/>
      <c r="N2" s="187"/>
      <c r="O2" s="187"/>
      <c r="P2" s="188"/>
    </row>
    <row r="3" spans="1:16" x14ac:dyDescent="0.25">
      <c r="A3" s="4"/>
      <c r="B3" s="4"/>
      <c r="C3" s="4"/>
      <c r="D3" s="4"/>
      <c r="E3" s="4"/>
      <c r="F3" s="4"/>
      <c r="G3" s="4"/>
      <c r="H3" s="4"/>
      <c r="I3" s="4"/>
      <c r="J3" s="4"/>
      <c r="K3" s="4"/>
      <c r="L3" s="4"/>
      <c r="M3" s="4"/>
      <c r="N3" s="4"/>
      <c r="O3" s="4"/>
      <c r="P3" s="4"/>
    </row>
    <row r="4" spans="1:16" x14ac:dyDescent="0.25">
      <c r="A4" s="55" t="str" cm="1">
        <f t="array" ref="A4:B13">oz.Cumulativeλ()</f>
        <v>FUNCTION:</v>
      </c>
      <c r="B4" t="str">
        <v>Cumulativeλ( Totals, [OpeningBalance])</v>
      </c>
    </row>
    <row r="5" spans="1:16" x14ac:dyDescent="0.25">
      <c r="A5" t="str">
        <v>DESCRIPTION:</v>
      </c>
      <c r="B5" t="str">
        <v>Creates a row or column of cumulative totals from a total row or column</v>
      </c>
    </row>
    <row r="6" spans="1:16" x14ac:dyDescent="0.25">
      <c r="A6" t="str">
        <v>WEBPAGE:</v>
      </c>
      <c r="B6" t="str">
        <v>https://github.com/ryanduguid/Ozzit</v>
      </c>
    </row>
    <row r="7" spans="1:16" x14ac:dyDescent="0.25">
      <c r="A7" t="str">
        <v>VERSION:</v>
      </c>
      <c r="B7" t="str">
        <v>20 Aug 2026</v>
      </c>
    </row>
    <row r="8" spans="1:16" x14ac:dyDescent="0.25">
      <c r="A8" t="str">
        <v>PARAMETERS:</v>
      </c>
      <c r="B8" t="str">
        <v/>
      </c>
    </row>
    <row r="9" spans="1:16" x14ac:dyDescent="0.25">
      <c r="A9" t="str">
        <v>Totals</v>
      </c>
      <c r="B9" t="str">
        <v>(Required) A row or column of totals from which to run cumulative totals</v>
      </c>
    </row>
    <row r="10" spans="1:16" x14ac:dyDescent="0.25">
      <c r="A10" t="str">
        <v>OpeningBalance</v>
      </c>
      <c r="B10" t="str">
        <v>(Optional) A starting balance. This defaults to 0</v>
      </c>
    </row>
    <row r="11" spans="1:16" x14ac:dyDescent="0.25">
      <c r="A11" t="str">
        <v>EXAMPLES:</v>
      </c>
      <c r="B11" t="str">
        <v/>
      </c>
    </row>
    <row r="12" spans="1:16" x14ac:dyDescent="0.25">
      <c r="A12" t="str">
        <v>Result</v>
      </c>
      <c r="B12" t="str">
        <v>Formula (oz is assumed to be the module's name)</v>
      </c>
    </row>
    <row r="13" spans="1:16" x14ac:dyDescent="0.25">
      <c r="A13" t="str">
        <v>1,3,6</v>
      </c>
      <c r="B13" t="str">
        <v>=oz.Cumulativeλ(Sequence(,3))</v>
      </c>
    </row>
    <row r="16" spans="1:16" ht="21" x14ac:dyDescent="0.35">
      <c r="A16" s="203" t="s">
        <v>148</v>
      </c>
      <c r="B16" s="203"/>
      <c r="C16" s="203"/>
    </row>
    <row r="17" spans="1:18" x14ac:dyDescent="0.25">
      <c r="F17" s="84" t="s">
        <v>155</v>
      </c>
      <c r="G17" s="58" cm="1">
        <f t="array" ref="G17:R17">oz.Timelineλ($B$19, $B$20, $B$21, FALSE)</f>
        <v>46234</v>
      </c>
      <c r="H17" s="58">
        <v>46265</v>
      </c>
      <c r="I17" s="58">
        <v>46295</v>
      </c>
      <c r="J17" s="58">
        <v>46326</v>
      </c>
      <c r="K17" s="58">
        <v>46356</v>
      </c>
      <c r="L17" s="58">
        <v>46387</v>
      </c>
      <c r="M17" s="58">
        <v>46418</v>
      </c>
      <c r="N17" s="58">
        <v>46446</v>
      </c>
      <c r="O17" s="58">
        <v>46477</v>
      </c>
      <c r="P17" s="58">
        <v>46507</v>
      </c>
      <c r="Q17" s="58">
        <v>46538</v>
      </c>
      <c r="R17" s="58">
        <v>46568</v>
      </c>
    </row>
    <row r="18" spans="1:18" x14ac:dyDescent="0.25">
      <c r="A18" s="54" t="s">
        <v>149</v>
      </c>
      <c r="B18" s="54" t="s">
        <v>14</v>
      </c>
      <c r="C18" s="54" t="s">
        <v>15</v>
      </c>
      <c r="F18" s="83" t="s">
        <v>152</v>
      </c>
      <c r="G18" s="1" cm="1">
        <f t="array" ref="G18:R18">oz.Timelineλ($B$19, $B$20, $B$21)</f>
        <v>46204</v>
      </c>
      <c r="H18" s="1">
        <v>46235</v>
      </c>
      <c r="I18" s="1">
        <v>46266</v>
      </c>
      <c r="J18" s="1">
        <v>46296</v>
      </c>
      <c r="K18" s="1">
        <v>46327</v>
      </c>
      <c r="L18" s="1">
        <v>46357</v>
      </c>
      <c r="M18" s="1">
        <v>46388</v>
      </c>
      <c r="N18" s="1">
        <v>46419</v>
      </c>
      <c r="O18" s="1">
        <v>46447</v>
      </c>
      <c r="P18" s="1">
        <v>46478</v>
      </c>
      <c r="Q18" s="1">
        <v>46508</v>
      </c>
      <c r="R18" s="1">
        <v>46539</v>
      </c>
    </row>
    <row r="19" spans="1:18" x14ac:dyDescent="0.25">
      <c r="A19" t="s">
        <v>112</v>
      </c>
      <c r="B19" s="34">
        <v>46204</v>
      </c>
      <c r="C19" t="s">
        <v>21</v>
      </c>
      <c r="E19" s="2" t="s">
        <v>151</v>
      </c>
      <c r="F19">
        <f>SUM(_xlfn.ANCHORARRAY(G19))</f>
        <v>62370</v>
      </c>
      <c r="G19" s="85" cm="1">
        <f t="array" ref="G19:R19">oz.ScheduleValuesλ(_xlfn.ANCHORARRAY( $G$18),_xlfn.ANCHORARRAY( $G$17), tblCO[Amount], tblCO[Issued])</f>
        <v>5182</v>
      </c>
      <c r="H19">
        <v>8334</v>
      </c>
      <c r="I19">
        <v>14850</v>
      </c>
      <c r="J19">
        <v>15426</v>
      </c>
      <c r="K19">
        <v>18578</v>
      </c>
      <c r="L19">
        <v>0</v>
      </c>
      <c r="M19">
        <v>0</v>
      </c>
      <c r="N19">
        <v>0</v>
      </c>
      <c r="O19">
        <v>0</v>
      </c>
      <c r="P19">
        <v>0</v>
      </c>
      <c r="Q19">
        <v>0</v>
      </c>
      <c r="R19">
        <v>0</v>
      </c>
    </row>
    <row r="20" spans="1:18" x14ac:dyDescent="0.25">
      <c r="A20" t="s">
        <v>17</v>
      </c>
      <c r="B20">
        <v>12</v>
      </c>
      <c r="C20" t="s">
        <v>22</v>
      </c>
      <c r="E20" s="2" t="s">
        <v>153</v>
      </c>
      <c r="F20">
        <f>SUM(_xlfn.ANCHORARRAY(G20))</f>
        <v>62370</v>
      </c>
      <c r="G20" s="85" cm="1">
        <f t="array" ref="G20:R20">oz.ScheduleValuesλ(_xlfn.ANCHORARRAY( $G$18),_xlfn.ANCHORARRAY( $G$17), tblCO[Amount], tblCO[Exp. Receipt])</f>
        <v>0</v>
      </c>
      <c r="H20">
        <v>2788</v>
      </c>
      <c r="I20">
        <v>7743</v>
      </c>
      <c r="J20">
        <v>11683</v>
      </c>
      <c r="K20">
        <v>8516</v>
      </c>
      <c r="L20">
        <v>19775</v>
      </c>
      <c r="M20">
        <v>7713</v>
      </c>
      <c r="N20">
        <v>4152</v>
      </c>
      <c r="O20">
        <v>0</v>
      </c>
      <c r="P20">
        <v>0</v>
      </c>
      <c r="Q20">
        <v>0</v>
      </c>
      <c r="R20">
        <v>0</v>
      </c>
    </row>
    <row r="21" spans="1:18" x14ac:dyDescent="0.25">
      <c r="A21" t="s">
        <v>18</v>
      </c>
      <c r="B21" t="s">
        <v>20</v>
      </c>
      <c r="E21" s="2" t="s">
        <v>4</v>
      </c>
      <c r="G21" s="60" cm="1">
        <f t="array" ref="G21:R21">_xlfn.ANCHORARRAY(G19)-_xlfn.ANCHORARRAY(G20)</f>
        <v>5182</v>
      </c>
      <c r="H21" s="60">
        <v>5546</v>
      </c>
      <c r="I21" s="60">
        <v>7107</v>
      </c>
      <c r="J21" s="60">
        <v>3743</v>
      </c>
      <c r="K21" s="60">
        <v>10062</v>
      </c>
      <c r="L21" s="60">
        <v>-19775</v>
      </c>
      <c r="M21" s="60">
        <v>-7713</v>
      </c>
      <c r="N21" s="60">
        <v>-4152</v>
      </c>
      <c r="O21" s="60">
        <v>0</v>
      </c>
      <c r="P21" s="60">
        <v>0</v>
      </c>
      <c r="Q21" s="60">
        <v>0</v>
      </c>
      <c r="R21" s="60">
        <v>0</v>
      </c>
    </row>
    <row r="22" spans="1:18" x14ac:dyDescent="0.25">
      <c r="E22" s="2" t="s">
        <v>170</v>
      </c>
      <c r="G22" s="55" cm="1">
        <f t="array" ref="G22:R22">oz.Cumulativeλ(_xlfn.ANCHORARRAY(G21))</f>
        <v>5182</v>
      </c>
      <c r="H22">
        <v>10728</v>
      </c>
      <c r="I22">
        <v>17835</v>
      </c>
      <c r="J22">
        <v>21578</v>
      </c>
      <c r="K22">
        <v>31640</v>
      </c>
      <c r="L22">
        <v>11865</v>
      </c>
      <c r="M22">
        <v>4152</v>
      </c>
      <c r="N22">
        <v>0</v>
      </c>
      <c r="O22">
        <v>0</v>
      </c>
      <c r="P22">
        <v>0</v>
      </c>
      <c r="Q22">
        <v>0</v>
      </c>
      <c r="R22">
        <v>0</v>
      </c>
    </row>
  </sheetData>
  <mergeCells count="3">
    <mergeCell ref="A1:P1"/>
    <mergeCell ref="A2:P2"/>
    <mergeCell ref="A16:C16"/>
  </mergeCells>
  <hyperlinks>
    <hyperlink ref="A1" location="'TOC'!$A$1" display="'TOC'!$A$1" xr:uid="{ED1E097E-1DBF-4AE4-B677-F605D3EB54C0}"/>
  </hyperlinks>
  <pageMargins left="0.7" right="0.7" top="0.75" bottom="0.75" header="0.3" footer="0.3"/>
  <pageSetup paperSize="9" scale="59" fitToHeight="0" orientation="landscape" horizontalDpi="0" verticalDpi="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0B5D-41D0-4F79-B41B-185D5968CA38}">
  <sheetPr codeName="Sheet40">
    <tabColor rgb="FF66023C"/>
    <pageSetUpPr fitToPage="1"/>
  </sheetPr>
  <dimension ref="A1:EA65"/>
  <sheetViews>
    <sheetView showGridLines="0" workbookViewId="0">
      <pane xSplit="11" topLeftCell="L1" activePane="topRight" state="frozen"/>
      <selection sqref="A1:Q1"/>
      <selection pane="topRight" activeCell="L1" sqref="L1"/>
    </sheetView>
  </sheetViews>
  <sheetFormatPr defaultColWidth="11" defaultRowHeight="15" x14ac:dyDescent="0.25"/>
  <cols>
    <col min="1" max="1" width="13.125" bestFit="1" customWidth="1"/>
    <col min="10" max="10" width="22.125" bestFit="1" customWidth="1"/>
    <col min="11" max="11" width="15.625" bestFit="1" customWidth="1"/>
  </cols>
  <sheetData>
    <row r="1" spans="1:18" ht="46.5" x14ac:dyDescent="0.7">
      <c r="A1" s="185" t="str">
        <f ca="1">_xlfn.TEXTAFTER(CELL("filename",A1),"]")</f>
        <v>oz.Depreciateλ</v>
      </c>
      <c r="B1" s="185"/>
      <c r="C1" s="185"/>
      <c r="D1" s="185"/>
      <c r="E1" s="185"/>
      <c r="F1" s="185"/>
      <c r="G1" s="185"/>
      <c r="H1" s="185"/>
      <c r="I1" s="185"/>
      <c r="J1" s="185"/>
      <c r="K1" s="185"/>
      <c r="L1" s="185"/>
      <c r="M1" s="185"/>
      <c r="N1" s="185"/>
      <c r="O1" s="185"/>
      <c r="P1" s="185"/>
      <c r="Q1" s="185"/>
    </row>
    <row r="2" spans="1:18" x14ac:dyDescent="0.25">
      <c r="A2" s="186" t="s">
        <v>84</v>
      </c>
      <c r="B2" s="215"/>
      <c r="C2" s="215"/>
      <c r="D2" s="215"/>
      <c r="E2" s="215"/>
      <c r="F2" s="215"/>
      <c r="G2" s="215"/>
      <c r="H2" s="215"/>
      <c r="I2" s="215"/>
      <c r="J2" s="215"/>
      <c r="K2" s="215"/>
      <c r="L2" s="215"/>
      <c r="M2" s="215"/>
      <c r="N2" s="215"/>
      <c r="O2" s="215"/>
      <c r="P2" s="215"/>
      <c r="Q2" s="216"/>
    </row>
    <row r="3" spans="1:18" x14ac:dyDescent="0.25">
      <c r="A3" s="4"/>
      <c r="B3" s="4"/>
      <c r="C3" s="4"/>
      <c r="D3" s="4"/>
      <c r="E3" s="4"/>
      <c r="F3" s="4"/>
      <c r="G3" s="4"/>
      <c r="H3" s="4"/>
      <c r="I3" s="4"/>
      <c r="J3" s="4"/>
      <c r="K3" s="218"/>
      <c r="L3" s="218"/>
      <c r="M3" s="218"/>
      <c r="N3" s="218"/>
      <c r="O3" s="218"/>
      <c r="P3" s="218"/>
      <c r="Q3" s="218"/>
      <c r="R3" s="218"/>
    </row>
    <row r="4" spans="1:18" x14ac:dyDescent="0.25">
      <c r="A4" s="55" t="str" cm="1">
        <f t="array" ref="A4:B30">oz.Depreciateλ()</f>
        <v>FUNCTION:</v>
      </c>
      <c r="B4" t="str">
        <v>Depreciateλ(InitialValues, InServiceDates, LifeInYears, Timeline,</v>
      </c>
      <c r="K4" s="218"/>
      <c r="L4" s="218"/>
      <c r="M4" s="218"/>
      <c r="N4" s="218"/>
      <c r="O4" s="218"/>
      <c r="P4" s="218"/>
      <c r="Q4" s="218"/>
      <c r="R4" s="218"/>
    </row>
    <row r="5" spans="1:18" x14ac:dyDescent="0.25">
      <c r="A5" t="str">
        <v/>
      </c>
      <c r="B5" t="str">
        <v>[SalvageValues], [DisposalDates], [DisposalCosts], [Methods], [Factors])</v>
      </c>
      <c r="K5" s="218"/>
      <c r="L5" s="218"/>
      <c r="M5" s="218"/>
      <c r="N5" s="218"/>
      <c r="O5" s="218"/>
      <c r="P5" s="218"/>
      <c r="Q5" s="218"/>
      <c r="R5" s="218"/>
    </row>
    <row r="6" spans="1:18" x14ac:dyDescent="0.25">
      <c r="A6" t="str">
        <v>DESCRIPTION:</v>
      </c>
      <c r="B6" t="str">
        <v>Creates an array of CAPEX, depreciation, and book values for a model's timeline</v>
      </c>
      <c r="K6" s="218"/>
      <c r="L6" s="218"/>
      <c r="M6" s="218"/>
      <c r="N6" s="218"/>
      <c r="O6" s="218"/>
      <c r="P6" s="218"/>
      <c r="Q6" s="218"/>
      <c r="R6" s="218"/>
    </row>
    <row r="7" spans="1:18" x14ac:dyDescent="0.25">
      <c r="A7" t="str">
        <v>WEBPAGE:</v>
      </c>
      <c r="B7" t="str">
        <v>https://github.com/ryanduguid/Ozzit</v>
      </c>
      <c r="K7" s="218"/>
      <c r="L7" s="218"/>
      <c r="M7" s="218"/>
      <c r="N7" s="218"/>
      <c r="O7" s="218"/>
      <c r="P7" s="218"/>
      <c r="Q7" s="218"/>
      <c r="R7" s="218"/>
    </row>
    <row r="8" spans="1:18" x14ac:dyDescent="0.25">
      <c r="A8" t="str">
        <v>VERSION:</v>
      </c>
      <c r="B8" t="str">
        <v>20 Aug 2026</v>
      </c>
      <c r="K8" s="218"/>
      <c r="L8" s="218"/>
      <c r="M8" s="218"/>
      <c r="N8" s="218"/>
      <c r="O8" s="218"/>
      <c r="P8" s="218"/>
      <c r="Q8" s="218"/>
      <c r="R8" s="218"/>
    </row>
    <row r="9" spans="1:18" x14ac:dyDescent="0.25">
      <c r="A9" t="str">
        <v>NOTES:</v>
      </c>
      <c r="B9" t="str">
        <v>The methods used here differ from Excel's functions in several ways. Please see webpage for details.</v>
      </c>
      <c r="K9" s="218"/>
      <c r="L9" s="218"/>
      <c r="M9" s="218"/>
      <c r="N9" s="218"/>
      <c r="O9" s="218"/>
      <c r="P9" s="218"/>
      <c r="Q9" s="218"/>
      <c r="R9" s="218"/>
    </row>
    <row r="10" spans="1:18" x14ac:dyDescent="0.25">
      <c r="A10" t="str">
        <v>PARAMETERS:</v>
      </c>
      <c r="B10" t="str">
        <v/>
      </c>
      <c r="K10" s="218"/>
      <c r="L10" s="218"/>
      <c r="M10" s="218"/>
      <c r="N10" s="218"/>
      <c r="O10" s="218"/>
      <c r="P10" s="218"/>
      <c r="Q10" s="218"/>
      <c r="R10" s="218"/>
    </row>
    <row r="11" spans="1:18" x14ac:dyDescent="0.25">
      <c r="A11" t="str">
        <v>InitialValues</v>
      </c>
      <c r="B11" t="str">
        <v>(Required) The purchase values of each asset to depreciate</v>
      </c>
      <c r="K11" s="218"/>
      <c r="L11" s="218"/>
      <c r="M11" s="218"/>
      <c r="N11" s="218"/>
      <c r="O11" s="218"/>
      <c r="P11" s="218"/>
      <c r="Q11" s="218"/>
      <c r="R11" s="218"/>
    </row>
    <row r="12" spans="1:18" x14ac:dyDescent="0.25">
      <c r="A12" t="str">
        <v>InServiceDates</v>
      </c>
      <c r="B12" t="str">
        <v>(Required) The dates from which to start depreciating each asset</v>
      </c>
      <c r="K12" s="218"/>
      <c r="L12" s="218"/>
      <c r="M12" s="218"/>
      <c r="N12" s="218"/>
      <c r="O12" s="218"/>
      <c r="P12" s="218"/>
      <c r="Q12" s="218"/>
      <c r="R12" s="218"/>
    </row>
    <row r="13" spans="1:18" x14ac:dyDescent="0.25">
      <c r="A13" t="str">
        <v>LifeInYears</v>
      </c>
      <c r="B13" t="str">
        <v>(Required) The whole number of years over which to depreciate each asset.</v>
      </c>
      <c r="K13" s="218"/>
      <c r="L13" s="218"/>
      <c r="M13" s="218"/>
      <c r="N13" s="218"/>
      <c r="O13" s="218"/>
      <c r="P13" s="218"/>
      <c r="Q13" s="218"/>
      <c r="R13" s="218"/>
    </row>
    <row r="14" spans="1:18" x14ac:dyDescent="0.25">
      <c r="A14" t="str">
        <v/>
      </c>
      <c r="B14" t="str">
        <v>More than 0 and no more than 100. A date here is not a life:</v>
      </c>
      <c r="K14" s="218"/>
      <c r="L14" s="218"/>
      <c r="M14" s="218"/>
      <c r="N14" s="218"/>
      <c r="O14" s="218"/>
      <c r="P14" s="218"/>
      <c r="Q14" s="218"/>
      <c r="R14" s="218"/>
    </row>
    <row r="15" spans="1:18" x14ac:dyDescent="0.25">
      <c r="A15" t="str">
        <v/>
      </c>
      <c r="B15" t="str">
        <v>the arguments read InitialValues, InServiceDates, LifeInYears, Timeline.</v>
      </c>
      <c r="K15" s="218"/>
      <c r="L15" s="218"/>
      <c r="M15" s="218"/>
      <c r="N15" s="218"/>
      <c r="O15" s="218"/>
      <c r="P15" s="218"/>
      <c r="Q15" s="218"/>
      <c r="R15" s="218"/>
    </row>
    <row r="16" spans="1:18" x14ac:dyDescent="0.25">
      <c r="A16" t="str">
        <v>Timeline</v>
      </c>
      <c r="B16" t="str">
        <v>(Required) The model's timeline or a row of period start dates.</v>
      </c>
      <c r="K16" s="218"/>
      <c r="L16" s="218"/>
      <c r="M16" s="218"/>
      <c r="N16" s="218"/>
      <c r="O16" s="218"/>
      <c r="P16" s="218"/>
      <c r="Q16" s="218"/>
      <c r="R16" s="218"/>
    </row>
    <row r="17" spans="1:18" x14ac:dyDescent="0.25">
      <c r="A17" t="str">
        <v/>
      </c>
      <c r="B17" t="str">
        <v>Timeline can be any interval: days, weeks, months, quarters or years</v>
      </c>
      <c r="K17" s="218"/>
      <c r="L17" s="218"/>
      <c r="M17" s="218"/>
      <c r="N17" s="218"/>
      <c r="O17" s="218"/>
      <c r="P17" s="218"/>
      <c r="Q17" s="218"/>
      <c r="R17" s="218"/>
    </row>
    <row r="18" spans="1:18" x14ac:dyDescent="0.25">
      <c r="A18" t="str">
        <v>SalvageValues</v>
      </c>
      <c r="B18" t="str">
        <v>(Optional: Default = 0) The book values of each asset after fully depreciated.</v>
      </c>
      <c r="K18" s="218"/>
      <c r="L18" s="218"/>
      <c r="M18" s="218"/>
      <c r="N18" s="218"/>
      <c r="O18" s="218"/>
      <c r="P18" s="218"/>
      <c r="Q18" s="218"/>
      <c r="R18" s="218"/>
    </row>
    <row r="19" spans="1:18" x14ac:dyDescent="0.25">
      <c r="A19" t="str">
        <v>DisposalDates</v>
      </c>
      <c r="B19" t="str">
        <v>(Optional: Default = End of life) The dates on which the assets are removed from the books.</v>
      </c>
      <c r="K19" s="218"/>
      <c r="L19" s="218"/>
      <c r="M19" s="218"/>
      <c r="N19" s="218"/>
      <c r="O19" s="218"/>
      <c r="P19" s="218"/>
      <c r="Q19" s="218"/>
      <c r="R19" s="218"/>
    </row>
    <row r="20" spans="1:18" x14ac:dyDescent="0.25">
      <c r="A20" t="str">
        <v/>
      </c>
      <c r="B20" t="str">
        <v>A disposal before the end of life writes the remaining book value off in that month.</v>
      </c>
      <c r="K20" s="218"/>
      <c r="L20" s="218"/>
      <c r="M20" s="218"/>
      <c r="N20" s="218"/>
      <c r="O20" s="218"/>
      <c r="P20" s="218"/>
      <c r="Q20" s="218"/>
      <c r="R20" s="218"/>
    </row>
    <row r="21" spans="1:18" x14ac:dyDescent="0.25">
      <c r="A21" t="str">
        <v>DisposalCosts</v>
      </c>
      <c r="B21" t="str">
        <v>(Optional: Default = 0) The costs of removing each asset from the books, charged in the disposal period.</v>
      </c>
      <c r="K21" s="218"/>
      <c r="L21" s="218"/>
      <c r="M21" s="218"/>
      <c r="N21" s="218"/>
      <c r="O21" s="218"/>
      <c r="P21" s="218"/>
      <c r="Q21" s="218"/>
      <c r="R21" s="218"/>
    </row>
    <row r="22" spans="1:18" x14ac:dyDescent="0.25">
      <c r="A22" t="str">
        <v>Methods</v>
      </c>
      <c r="B22" t="str">
        <v>(Optional: Default = SLN) The desired depreciation method. Must be one of these method codes:</v>
      </c>
      <c r="K22" s="218"/>
      <c r="L22" s="218"/>
      <c r="M22" s="218"/>
      <c r="N22" s="218"/>
      <c r="O22" s="218"/>
      <c r="P22" s="218"/>
      <c r="Q22" s="218"/>
      <c r="R22" s="218"/>
    </row>
    <row r="23" spans="1:18" x14ac:dyDescent="0.25">
      <c r="A23" t="str">
        <v/>
      </c>
      <c r="B23" t="str">
        <v>SLN=Straight Line Depreciation</v>
      </c>
      <c r="K23" s="219" t="s">
        <v>211</v>
      </c>
      <c r="L23" s="219"/>
      <c r="M23" s="219"/>
      <c r="N23" s="219"/>
      <c r="O23" s="219"/>
      <c r="P23" s="219"/>
      <c r="Q23" s="219"/>
      <c r="R23" s="219"/>
    </row>
    <row r="24" spans="1:18" x14ac:dyDescent="0.25">
      <c r="A24" t="str">
        <v/>
      </c>
      <c r="B24" t="str">
        <v>SYD=Sum of Year's Digits</v>
      </c>
    </row>
    <row r="25" spans="1:18" x14ac:dyDescent="0.25">
      <c r="A25" t="str">
        <v/>
      </c>
      <c r="B25" t="str">
        <v>DB =Declining Balance</v>
      </c>
    </row>
    <row r="26" spans="1:18" x14ac:dyDescent="0.25">
      <c r="A26" t="str">
        <v/>
      </c>
      <c r="B26" t="str">
        <v>DDB=Double Declining Balance</v>
      </c>
    </row>
    <row r="27" spans="1:18" x14ac:dyDescent="0.25">
      <c r="A27" t="str">
        <v/>
      </c>
      <c r="B27" t="str">
        <v>VDB=Variable Declining Balance</v>
      </c>
    </row>
    <row r="28" spans="1:18" x14ac:dyDescent="0.25">
      <c r="A28" t="str">
        <v/>
      </c>
      <c r="B28" t="str">
        <v>DV =Diminishing balance at 200% of straight line. Salvage value ignored</v>
      </c>
    </row>
    <row r="29" spans="1:18" x14ac:dyDescent="0.25">
      <c r="A29" t="str">
        <v/>
      </c>
      <c r="B29" t="str">
        <v>PC =Straight line, whole years. Salvage value ignored</v>
      </c>
    </row>
    <row r="30" spans="1:18" x14ac:dyDescent="0.25">
      <c r="A30" t="str">
        <v>Factors</v>
      </c>
      <c r="B30" t="str">
        <v>(Optional: Default = 2) Only applicable to DDB and VDB methods.</v>
      </c>
    </row>
    <row r="35" spans="1:131" ht="21" x14ac:dyDescent="0.35">
      <c r="A35" s="203" t="s">
        <v>148</v>
      </c>
      <c r="B35" s="203"/>
      <c r="C35" s="203"/>
      <c r="J35" s="2" t="s">
        <v>165</v>
      </c>
    </row>
    <row r="37" spans="1:131" x14ac:dyDescent="0.25">
      <c r="A37" s="54" t="s">
        <v>149</v>
      </c>
      <c r="B37" s="54" t="s">
        <v>14</v>
      </c>
      <c r="C37" s="54" t="s">
        <v>15</v>
      </c>
      <c r="J37" s="83" t="s">
        <v>7</v>
      </c>
      <c r="K37" s="83" t="s">
        <v>152</v>
      </c>
      <c r="L37" s="1" cm="1">
        <f t="array" ref="L37:EA37">oz.Timelineλ($B$38, $B$39, $B$40)</f>
        <v>46204</v>
      </c>
      <c r="M37" s="1">
        <v>46569</v>
      </c>
      <c r="N37" s="1">
        <v>46935</v>
      </c>
      <c r="O37" s="1">
        <v>47300</v>
      </c>
      <c r="P37" s="1">
        <v>47665</v>
      </c>
      <c r="Q37" s="1">
        <v>48030</v>
      </c>
      <c r="R37" s="1">
        <v>48396</v>
      </c>
      <c r="S37" s="1">
        <v>48761</v>
      </c>
      <c r="T37" s="1">
        <v>49126</v>
      </c>
      <c r="U37" s="1">
        <v>49491</v>
      </c>
      <c r="V37" s="1">
        <v>49857</v>
      </c>
      <c r="W37" s="1">
        <v>50222</v>
      </c>
      <c r="X37" s="1">
        <v>50587</v>
      </c>
      <c r="Y37" s="1">
        <v>50952</v>
      </c>
      <c r="Z37" s="1">
        <v>51318</v>
      </c>
      <c r="AA37" s="1">
        <v>51683</v>
      </c>
      <c r="AB37" s="1">
        <v>52048</v>
      </c>
      <c r="AC37" s="1">
        <v>52413</v>
      </c>
      <c r="AD37" s="1">
        <v>52779</v>
      </c>
      <c r="AE37" s="1">
        <v>53144</v>
      </c>
      <c r="AF37" s="1">
        <v>53509</v>
      </c>
      <c r="AG37" s="1">
        <v>53874</v>
      </c>
      <c r="AH37" s="1">
        <v>54240</v>
      </c>
      <c r="AI37" s="1">
        <v>54605</v>
      </c>
      <c r="AJ37" s="1">
        <v>54970</v>
      </c>
      <c r="AK37" s="1">
        <v>55335</v>
      </c>
      <c r="AL37" s="1">
        <v>55701</v>
      </c>
      <c r="AM37" s="1">
        <v>56066</v>
      </c>
      <c r="AN37" s="1">
        <v>56431</v>
      </c>
      <c r="AO37" s="1">
        <v>56796</v>
      </c>
      <c r="AP37" s="1">
        <v>57162</v>
      </c>
      <c r="AQ37" s="1">
        <v>57527</v>
      </c>
      <c r="AR37" s="1">
        <v>57892</v>
      </c>
      <c r="AS37" s="1">
        <v>58257</v>
      </c>
      <c r="AT37" s="1">
        <v>58623</v>
      </c>
      <c r="AU37" s="1">
        <v>58988</v>
      </c>
      <c r="AV37" s="1">
        <v>59353</v>
      </c>
      <c r="AW37" s="1">
        <v>59718</v>
      </c>
      <c r="AX37" s="1">
        <v>60084</v>
      </c>
      <c r="AY37" s="1">
        <v>60449</v>
      </c>
      <c r="AZ37" s="1">
        <v>60814</v>
      </c>
      <c r="BA37" s="1">
        <v>61179</v>
      </c>
      <c r="BB37" s="1">
        <v>61545</v>
      </c>
      <c r="BC37" s="1">
        <v>61910</v>
      </c>
      <c r="BD37" s="1">
        <v>62275</v>
      </c>
      <c r="BE37" s="1">
        <v>62640</v>
      </c>
      <c r="BF37" s="1">
        <v>63006</v>
      </c>
      <c r="BG37" s="1">
        <v>63371</v>
      </c>
      <c r="BH37" s="1">
        <v>63736</v>
      </c>
      <c r="BI37" s="1">
        <v>64101</v>
      </c>
      <c r="BJ37" s="1">
        <v>64467</v>
      </c>
      <c r="BK37" s="1">
        <v>64832</v>
      </c>
      <c r="BL37" s="1">
        <v>65197</v>
      </c>
      <c r="BM37" s="1">
        <v>65562</v>
      </c>
      <c r="BN37" s="1">
        <v>65928</v>
      </c>
      <c r="BO37" s="1">
        <v>66293</v>
      </c>
      <c r="BP37" s="1">
        <v>66658</v>
      </c>
      <c r="BQ37" s="1">
        <v>67023</v>
      </c>
      <c r="BR37" s="1">
        <v>67389</v>
      </c>
      <c r="BS37" s="1">
        <v>67754</v>
      </c>
      <c r="BT37" s="1">
        <v>68119</v>
      </c>
      <c r="BU37" s="1">
        <v>68484</v>
      </c>
      <c r="BV37" s="1">
        <v>68850</v>
      </c>
      <c r="BW37" s="1">
        <v>69215</v>
      </c>
      <c r="BX37" s="1">
        <v>69580</v>
      </c>
      <c r="BY37" s="1">
        <v>69945</v>
      </c>
      <c r="BZ37" s="1">
        <v>70311</v>
      </c>
      <c r="CA37" s="1">
        <v>70676</v>
      </c>
      <c r="CB37" s="1">
        <v>71041</v>
      </c>
      <c r="CC37" s="1">
        <v>71406</v>
      </c>
      <c r="CD37" s="1">
        <v>71772</v>
      </c>
      <c r="CE37" s="1">
        <v>72137</v>
      </c>
      <c r="CF37" s="1">
        <v>72502</v>
      </c>
      <c r="CG37" s="1">
        <v>72867</v>
      </c>
      <c r="CH37" s="1">
        <v>73232</v>
      </c>
      <c r="CI37" s="1">
        <v>73597</v>
      </c>
      <c r="CJ37" s="1">
        <v>73962</v>
      </c>
      <c r="CK37" s="1">
        <v>74327</v>
      </c>
      <c r="CL37" s="1">
        <v>74693</v>
      </c>
      <c r="CM37" s="1">
        <v>75058</v>
      </c>
      <c r="CN37" s="1">
        <v>75423</v>
      </c>
      <c r="CO37" s="1">
        <v>75788</v>
      </c>
      <c r="CP37" s="1">
        <v>76154</v>
      </c>
      <c r="CQ37" s="1">
        <v>76519</v>
      </c>
      <c r="CR37" s="1">
        <v>76884</v>
      </c>
      <c r="CS37" s="1">
        <v>77249</v>
      </c>
      <c r="CT37" s="1">
        <v>77615</v>
      </c>
      <c r="CU37" s="1">
        <v>77980</v>
      </c>
      <c r="CV37" s="1">
        <v>78345</v>
      </c>
      <c r="CW37" s="1">
        <v>78710</v>
      </c>
      <c r="CX37" s="1">
        <v>79076</v>
      </c>
      <c r="CY37" s="1">
        <v>79441</v>
      </c>
      <c r="CZ37" s="1">
        <v>79806</v>
      </c>
      <c r="DA37" s="1">
        <v>80171</v>
      </c>
      <c r="DB37" s="1">
        <v>80537</v>
      </c>
      <c r="DC37" s="1">
        <v>80902</v>
      </c>
      <c r="DD37" s="1">
        <v>81267</v>
      </c>
      <c r="DE37" s="1">
        <v>81632</v>
      </c>
      <c r="DF37" s="1">
        <v>81998</v>
      </c>
      <c r="DG37" s="1">
        <v>82363</v>
      </c>
      <c r="DH37" s="1">
        <v>82728</v>
      </c>
      <c r="DI37" s="1">
        <v>83093</v>
      </c>
      <c r="DJ37" s="1">
        <v>83459</v>
      </c>
      <c r="DK37" s="1">
        <v>83824</v>
      </c>
      <c r="DL37" s="1">
        <v>84189</v>
      </c>
      <c r="DM37" s="1">
        <v>84554</v>
      </c>
      <c r="DN37" s="1">
        <v>84920</v>
      </c>
      <c r="DO37" s="1">
        <v>85285</v>
      </c>
      <c r="DP37" s="1">
        <v>85650</v>
      </c>
      <c r="DQ37" s="1">
        <v>86015</v>
      </c>
      <c r="DR37" s="1">
        <v>86381</v>
      </c>
      <c r="DS37" s="1">
        <v>86746</v>
      </c>
      <c r="DT37" s="1">
        <v>87111</v>
      </c>
      <c r="DU37" s="1">
        <v>87476</v>
      </c>
      <c r="DV37" s="1">
        <v>87842</v>
      </c>
      <c r="DW37" s="1">
        <v>88207</v>
      </c>
      <c r="DX37" s="1">
        <v>88572</v>
      </c>
      <c r="DY37" s="1">
        <v>88937</v>
      </c>
      <c r="DZ37">
        <v>89303</v>
      </c>
      <c r="EA37">
        <v>89668</v>
      </c>
    </row>
    <row r="38" spans="1:131" x14ac:dyDescent="0.25">
      <c r="A38" t="s">
        <v>112</v>
      </c>
      <c r="B38" s="34">
        <v>46204</v>
      </c>
      <c r="C38" t="s">
        <v>21</v>
      </c>
      <c r="J38" t="s">
        <v>218</v>
      </c>
      <c r="L38" cm="1">
        <f t="array" ref="L38:EA38">oz.SumContainsλ(_xlfn.ANCHORARRAY($L$46),_xlfn.ANCHORARRAY($J$46),J38)</f>
        <v>85181</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row>
    <row r="39" spans="1:131" x14ac:dyDescent="0.25">
      <c r="A39" t="s">
        <v>17</v>
      </c>
      <c r="B39">
        <v>120</v>
      </c>
      <c r="C39" t="s">
        <v>22</v>
      </c>
      <c r="J39" t="s">
        <v>219</v>
      </c>
      <c r="L39" cm="1">
        <f t="array" ref="L39:EA39">oz.SumContainsλ(_xlfn.ANCHORARRAY($L$46),_xlfn.ANCHORARRAY($J$46),J39)</f>
        <v>12247.26</v>
      </c>
      <c r="M39">
        <v>11034.03</v>
      </c>
      <c r="N39">
        <v>9037.9610000000011</v>
      </c>
      <c r="O39">
        <v>7456.1199000000006</v>
      </c>
      <c r="P39">
        <v>6195.2141600000014</v>
      </c>
      <c r="Q39">
        <v>5331.466931500001</v>
      </c>
      <c r="R39">
        <v>4868.1098112666677</v>
      </c>
      <c r="S39">
        <v>4489.9754030566673</v>
      </c>
      <c r="T39">
        <v>2653.6336356676679</v>
      </c>
      <c r="U39">
        <v>3659.6390758509015</v>
      </c>
      <c r="V39">
        <v>1960.2605602658068</v>
      </c>
      <c r="W39">
        <v>2074.7329522392301</v>
      </c>
      <c r="X39">
        <v>1417.2596570153071</v>
      </c>
      <c r="Y39">
        <v>1275.5336913137764</v>
      </c>
      <c r="Z39">
        <v>1147.9803221823988</v>
      </c>
      <c r="AA39">
        <v>1033.1822899641588</v>
      </c>
      <c r="AB39">
        <v>929.86406096774317</v>
      </c>
      <c r="AC39">
        <v>836.87765487096885</v>
      </c>
      <c r="AD39">
        <v>753.1898893838719</v>
      </c>
      <c r="AE39">
        <v>6778.7090044548222</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row>
    <row r="40" spans="1:131" x14ac:dyDescent="0.25">
      <c r="A40" t="s">
        <v>18</v>
      </c>
      <c r="B40" t="s">
        <v>2</v>
      </c>
      <c r="J40" t="s">
        <v>220</v>
      </c>
      <c r="L40" cm="1">
        <f t="array" ref="L40:EA40">oz.SumContainsλ(_xlfn.ANCHORARRAY($L$46),_xlfn.ANCHORARRAY($J$46),J40)</f>
        <v>72933.739999999991</v>
      </c>
      <c r="M40">
        <v>61899.709999999977</v>
      </c>
      <c r="N40">
        <v>52861.748999999967</v>
      </c>
      <c r="O40">
        <v>45405.629099999955</v>
      </c>
      <c r="P40">
        <v>39210.414939999973</v>
      </c>
      <c r="Q40">
        <v>33878.948008499967</v>
      </c>
      <c r="R40">
        <v>29010.83819723329</v>
      </c>
      <c r="S40">
        <v>24520.862794176603</v>
      </c>
      <c r="T40">
        <v>21867.229158508955</v>
      </c>
      <c r="U40">
        <v>18207.590082658069</v>
      </c>
      <c r="V40">
        <v>16247.329522392292</v>
      </c>
      <c r="W40">
        <v>14172.596570153055</v>
      </c>
      <c r="X40">
        <v>12755.336913137755</v>
      </c>
      <c r="Y40">
        <v>11479.803221823975</v>
      </c>
      <c r="Z40">
        <v>10331.822899641566</v>
      </c>
      <c r="AA40">
        <v>9298.6406096774044</v>
      </c>
      <c r="AB40">
        <v>8368.7765487096585</v>
      </c>
      <c r="AC40">
        <v>7531.8988938386919</v>
      </c>
      <c r="AD40">
        <v>6778.7090044548222</v>
      </c>
      <c r="AE40">
        <v>-5.4569682106375694E-12</v>
      </c>
      <c r="AF40">
        <v>-5.1159076974727213E-12</v>
      </c>
      <c r="AG40">
        <v>-5.1159076974727213E-12</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row>
    <row r="41" spans="1:131" x14ac:dyDescent="0.25">
      <c r="J41" t="s">
        <v>221</v>
      </c>
      <c r="L41" cm="1">
        <f t="array" ref="L41:EA41">oz.SumContainsλ(_xlfn.ANCHORARRAY($L$46),_xlfn.ANCHORARRAY($J$46),J41)</f>
        <v>0</v>
      </c>
      <c r="M41">
        <v>0</v>
      </c>
      <c r="N41">
        <v>0</v>
      </c>
      <c r="O41">
        <v>0</v>
      </c>
      <c r="P41">
        <v>0</v>
      </c>
      <c r="Q41">
        <v>0</v>
      </c>
      <c r="R41">
        <v>0</v>
      </c>
      <c r="S41">
        <v>0</v>
      </c>
      <c r="T41">
        <v>0</v>
      </c>
      <c r="U41">
        <v>1000</v>
      </c>
      <c r="V41">
        <v>0</v>
      </c>
      <c r="W41">
        <v>500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row>
    <row r="42" spans="1:131" x14ac:dyDescent="0.25">
      <c r="J42" t="s">
        <v>222</v>
      </c>
      <c r="L42" cm="1">
        <f t="array" ref="L42:EA42">oz.SumContainsλ(_xlfn.ANCHORARRAY($L$46),_xlfn.ANCHORARRAY($J$46),J42)</f>
        <v>0</v>
      </c>
      <c r="M42">
        <v>0</v>
      </c>
      <c r="N42">
        <v>0</v>
      </c>
      <c r="O42">
        <v>0</v>
      </c>
      <c r="P42">
        <v>0</v>
      </c>
      <c r="Q42">
        <v>0</v>
      </c>
      <c r="R42">
        <v>0</v>
      </c>
      <c r="S42">
        <v>0</v>
      </c>
      <c r="T42">
        <v>0</v>
      </c>
      <c r="U42">
        <v>500</v>
      </c>
      <c r="V42">
        <v>0</v>
      </c>
      <c r="W42">
        <v>100</v>
      </c>
      <c r="X42">
        <v>0</v>
      </c>
      <c r="Y42">
        <v>0</v>
      </c>
      <c r="Z42">
        <v>0</v>
      </c>
      <c r="AA42">
        <v>0</v>
      </c>
      <c r="AB42">
        <v>0</v>
      </c>
      <c r="AC42">
        <v>0</v>
      </c>
      <c r="AD42">
        <v>0</v>
      </c>
      <c r="AE42">
        <v>0</v>
      </c>
      <c r="AF42">
        <v>0</v>
      </c>
      <c r="AG42">
        <v>250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row>
    <row r="43" spans="1:131" ht="21" x14ac:dyDescent="0.35">
      <c r="A43" s="192" t="s">
        <v>171</v>
      </c>
      <c r="B43" s="193"/>
      <c r="C43" s="193"/>
      <c r="D43" s="193"/>
      <c r="E43" s="193"/>
      <c r="F43" s="193"/>
      <c r="G43" s="193"/>
      <c r="H43" s="217"/>
    </row>
    <row r="44" spans="1:131" x14ac:dyDescent="0.25">
      <c r="A44" s="213"/>
      <c r="B44" s="214"/>
      <c r="C44" s="214"/>
      <c r="D44" s="214"/>
      <c r="E44" s="214"/>
      <c r="F44" s="214"/>
      <c r="G44" s="214"/>
      <c r="H44" s="214"/>
      <c r="L44" cm="1">
        <f t="array" ref="L44:AQ44">_xlfn.SEQUENCE(, 32)</f>
        <v>1</v>
      </c>
      <c r="M44">
        <v>2</v>
      </c>
      <c r="N44">
        <v>3</v>
      </c>
      <c r="O44">
        <v>4</v>
      </c>
      <c r="P44">
        <v>5</v>
      </c>
      <c r="Q44">
        <v>6</v>
      </c>
      <c r="R44">
        <v>7</v>
      </c>
      <c r="S44">
        <v>8</v>
      </c>
      <c r="T44">
        <v>9</v>
      </c>
      <c r="U44">
        <v>10</v>
      </c>
      <c r="V44">
        <v>11</v>
      </c>
      <c r="W44">
        <v>12</v>
      </c>
      <c r="X44">
        <v>13</v>
      </c>
      <c r="Y44">
        <v>14</v>
      </c>
      <c r="Z44">
        <v>15</v>
      </c>
      <c r="AA44">
        <v>16</v>
      </c>
      <c r="AB44">
        <v>17</v>
      </c>
      <c r="AC44">
        <v>18</v>
      </c>
      <c r="AD44">
        <v>19</v>
      </c>
      <c r="AE44">
        <v>20</v>
      </c>
      <c r="AF44">
        <v>21</v>
      </c>
      <c r="AG44">
        <v>22</v>
      </c>
      <c r="AH44">
        <v>23</v>
      </c>
      <c r="AI44">
        <v>24</v>
      </c>
      <c r="AJ44">
        <v>25</v>
      </c>
      <c r="AK44">
        <v>26</v>
      </c>
      <c r="AL44">
        <v>27</v>
      </c>
      <c r="AM44">
        <v>28</v>
      </c>
      <c r="AN44">
        <v>29</v>
      </c>
      <c r="AO44">
        <v>30</v>
      </c>
      <c r="AP44">
        <v>31</v>
      </c>
      <c r="AQ44">
        <v>32</v>
      </c>
    </row>
    <row r="45" spans="1:131" x14ac:dyDescent="0.25">
      <c r="A45" s="86" t="s">
        <v>172</v>
      </c>
      <c r="B45" s="87" t="s">
        <v>125</v>
      </c>
      <c r="C45" s="87" t="s">
        <v>173</v>
      </c>
      <c r="D45" s="87" t="s">
        <v>182</v>
      </c>
      <c r="E45" s="87" t="s">
        <v>174</v>
      </c>
      <c r="F45" s="87" t="s">
        <v>6</v>
      </c>
      <c r="G45" s="87" t="s">
        <v>183</v>
      </c>
      <c r="H45" s="86" t="s">
        <v>175</v>
      </c>
      <c r="J45" s="83" t="s">
        <v>7</v>
      </c>
      <c r="K45" s="83" t="s">
        <v>152</v>
      </c>
      <c r="L45" s="1" cm="1">
        <f t="array" ref="L45:EA45">oz.Timelineλ($B$38, $B$39, $B$40)</f>
        <v>46204</v>
      </c>
      <c r="M45" s="1">
        <v>46569</v>
      </c>
      <c r="N45" s="1">
        <v>46935</v>
      </c>
      <c r="O45" s="1">
        <v>47300</v>
      </c>
      <c r="P45" s="1">
        <v>47665</v>
      </c>
      <c r="Q45" s="1">
        <v>48030</v>
      </c>
      <c r="R45" s="1">
        <v>48396</v>
      </c>
      <c r="S45" s="1">
        <v>48761</v>
      </c>
      <c r="T45" s="1">
        <v>49126</v>
      </c>
      <c r="U45" s="1">
        <v>49491</v>
      </c>
      <c r="V45" s="1">
        <v>49857</v>
      </c>
      <c r="W45" s="1">
        <v>50222</v>
      </c>
      <c r="X45" s="1">
        <v>50587</v>
      </c>
      <c r="Y45" s="1">
        <v>50952</v>
      </c>
      <c r="Z45" s="1">
        <v>51318</v>
      </c>
      <c r="AA45" s="1">
        <v>51683</v>
      </c>
      <c r="AB45" s="1">
        <v>52048</v>
      </c>
      <c r="AC45" s="1">
        <v>52413</v>
      </c>
      <c r="AD45" s="1">
        <v>52779</v>
      </c>
      <c r="AE45" s="1">
        <v>53144</v>
      </c>
      <c r="AF45" s="1">
        <v>53509</v>
      </c>
      <c r="AG45" s="1">
        <v>53874</v>
      </c>
      <c r="AH45" s="1">
        <v>54240</v>
      </c>
      <c r="AI45" s="1">
        <v>54605</v>
      </c>
      <c r="AJ45" s="1">
        <v>54970</v>
      </c>
      <c r="AK45" s="1">
        <v>55335</v>
      </c>
      <c r="AL45" s="1">
        <v>55701</v>
      </c>
      <c r="AM45" s="1">
        <v>56066</v>
      </c>
      <c r="AN45" s="1">
        <v>56431</v>
      </c>
      <c r="AO45" s="1">
        <v>56796</v>
      </c>
      <c r="AP45" s="1">
        <v>57162</v>
      </c>
      <c r="AQ45" s="1">
        <v>57527</v>
      </c>
      <c r="AR45" s="1">
        <v>57892</v>
      </c>
      <c r="AS45" s="1">
        <v>58257</v>
      </c>
      <c r="AT45" s="1">
        <v>58623</v>
      </c>
      <c r="AU45" s="1">
        <v>58988</v>
      </c>
      <c r="AV45" s="1">
        <v>59353</v>
      </c>
      <c r="AW45" s="1">
        <v>59718</v>
      </c>
      <c r="AX45" s="1">
        <v>60084</v>
      </c>
      <c r="AY45" s="1">
        <v>60449</v>
      </c>
      <c r="AZ45" s="1">
        <v>60814</v>
      </c>
      <c r="BA45" s="1">
        <v>61179</v>
      </c>
      <c r="BB45" s="1">
        <v>61545</v>
      </c>
      <c r="BC45" s="1">
        <v>61910</v>
      </c>
      <c r="BD45" s="1">
        <v>62275</v>
      </c>
      <c r="BE45" s="1">
        <v>62640</v>
      </c>
      <c r="BF45" s="1">
        <v>63006</v>
      </c>
      <c r="BG45" s="1">
        <v>63371</v>
      </c>
      <c r="BH45" s="1">
        <v>63736</v>
      </c>
      <c r="BI45" s="1">
        <v>64101</v>
      </c>
      <c r="BJ45" s="1">
        <v>64467</v>
      </c>
      <c r="BK45" s="1">
        <v>64832</v>
      </c>
      <c r="BL45" s="1">
        <v>65197</v>
      </c>
      <c r="BM45" s="1">
        <v>65562</v>
      </c>
      <c r="BN45" s="1">
        <v>65928</v>
      </c>
      <c r="BO45" s="1">
        <v>66293</v>
      </c>
      <c r="BP45" s="1">
        <v>66658</v>
      </c>
      <c r="BQ45" s="1">
        <v>67023</v>
      </c>
      <c r="BR45" s="1">
        <v>67389</v>
      </c>
      <c r="BS45" s="1">
        <v>67754</v>
      </c>
      <c r="BT45" s="1">
        <v>68119</v>
      </c>
      <c r="BU45" s="1">
        <v>68484</v>
      </c>
      <c r="BV45" s="1">
        <v>68850</v>
      </c>
      <c r="BW45" s="1">
        <v>69215</v>
      </c>
      <c r="BX45" s="1">
        <v>69580</v>
      </c>
      <c r="BY45" s="1">
        <v>69945</v>
      </c>
      <c r="BZ45" s="1">
        <v>70311</v>
      </c>
      <c r="CA45" s="1">
        <v>70676</v>
      </c>
      <c r="CB45" s="1">
        <v>71041</v>
      </c>
      <c r="CC45" s="1">
        <v>71406</v>
      </c>
      <c r="CD45" s="1">
        <v>71772</v>
      </c>
      <c r="CE45" s="1">
        <v>72137</v>
      </c>
      <c r="CF45" s="1">
        <v>72502</v>
      </c>
      <c r="CG45" s="1">
        <v>72867</v>
      </c>
      <c r="CH45" s="1">
        <v>73232</v>
      </c>
      <c r="CI45" s="1">
        <v>73597</v>
      </c>
      <c r="CJ45" s="1">
        <v>73962</v>
      </c>
      <c r="CK45" s="1">
        <v>74327</v>
      </c>
      <c r="CL45" s="1">
        <v>74693</v>
      </c>
      <c r="CM45" s="1">
        <v>75058</v>
      </c>
      <c r="CN45" s="1">
        <v>75423</v>
      </c>
      <c r="CO45" s="1">
        <v>75788</v>
      </c>
      <c r="CP45" s="1">
        <v>76154</v>
      </c>
      <c r="CQ45" s="1">
        <v>76519</v>
      </c>
      <c r="CR45" s="1">
        <v>76884</v>
      </c>
      <c r="CS45" s="1">
        <v>77249</v>
      </c>
      <c r="CT45" s="1">
        <v>77615</v>
      </c>
      <c r="CU45" s="1">
        <v>77980</v>
      </c>
      <c r="CV45" s="1">
        <v>78345</v>
      </c>
      <c r="CW45" s="1">
        <v>78710</v>
      </c>
      <c r="CX45" s="1">
        <v>79076</v>
      </c>
      <c r="CY45" s="1">
        <v>79441</v>
      </c>
      <c r="CZ45" s="1">
        <v>79806</v>
      </c>
      <c r="DA45" s="1">
        <v>80171</v>
      </c>
      <c r="DB45" s="1">
        <v>80537</v>
      </c>
      <c r="DC45" s="1">
        <v>80902</v>
      </c>
      <c r="DD45" s="1">
        <v>81267</v>
      </c>
      <c r="DE45" s="1">
        <v>81632</v>
      </c>
      <c r="DF45" s="1">
        <v>81998</v>
      </c>
      <c r="DG45" s="1">
        <v>82363</v>
      </c>
      <c r="DH45" s="1">
        <v>82728</v>
      </c>
      <c r="DI45" s="1">
        <v>83093</v>
      </c>
      <c r="DJ45" s="1">
        <v>83459</v>
      </c>
      <c r="DK45" s="1">
        <v>83824</v>
      </c>
      <c r="DL45" s="1">
        <v>84189</v>
      </c>
      <c r="DM45" s="1">
        <v>84554</v>
      </c>
      <c r="DN45" s="1">
        <v>84920</v>
      </c>
      <c r="DO45" s="1">
        <v>85285</v>
      </c>
      <c r="DP45" s="1">
        <v>85650</v>
      </c>
      <c r="DQ45" s="1">
        <v>86015</v>
      </c>
      <c r="DR45" s="1">
        <v>86381</v>
      </c>
      <c r="DS45" s="1">
        <v>86746</v>
      </c>
      <c r="DT45" s="1">
        <v>87111</v>
      </c>
      <c r="DU45" s="1">
        <v>87476</v>
      </c>
      <c r="DV45" s="1">
        <v>87842</v>
      </c>
      <c r="DW45" s="1">
        <v>88207</v>
      </c>
      <c r="DX45" s="1">
        <v>88572</v>
      </c>
      <c r="DY45" s="1">
        <v>88937</v>
      </c>
      <c r="DZ45">
        <v>89303</v>
      </c>
      <c r="EA45">
        <v>89668</v>
      </c>
    </row>
    <row r="46" spans="1:131" x14ac:dyDescent="0.25">
      <c r="A46" t="s">
        <v>179</v>
      </c>
      <c r="B46" s="88">
        <v>25000</v>
      </c>
      <c r="C46" s="13">
        <v>46235</v>
      </c>
      <c r="D46" s="88">
        <v>8</v>
      </c>
      <c r="E46" s="88">
        <v>1000</v>
      </c>
      <c r="F46" s="13">
        <f>EDATE(tblAssets[[#This Row],[Acquired]],(tblAssets[[#This Row],[Life]]+1)*12)</f>
        <v>49522</v>
      </c>
      <c r="G46" s="88">
        <v>500</v>
      </c>
      <c r="H46" s="13" t="s">
        <v>311</v>
      </c>
      <c r="J46" t="str" cm="1">
        <f t="array" ref="J46:J65">oz.LabelDepreciateλ(tblAssets[Asset])</f>
        <v>Cutter CAPEX</v>
      </c>
      <c r="K46" cm="1">
        <f t="array" ref="K46:K65">oz.SumDepreciateλ(_xlfn.ANCHORARRAY(L46))</f>
        <v>25000</v>
      </c>
      <c r="L46" s="55" cm="1">
        <f t="array" ref="L46:EA65">oz.Depreciateλ(tblAssets[Amount],tblAssets[Acquired],tblAssets[Life],_xlfn.ANCHORARRAY(L45),tblAssets[Salvage],tblAssets[Date],tblAssets[Cost],tblAssets[Method])</f>
        <v>25000</v>
      </c>
      <c r="M46" s="144">
        <v>0</v>
      </c>
      <c r="N46" s="144">
        <v>0</v>
      </c>
      <c r="O46" s="144">
        <v>0</v>
      </c>
      <c r="P46" s="144">
        <v>0</v>
      </c>
      <c r="Q46" s="144">
        <v>0</v>
      </c>
      <c r="R46" s="144">
        <v>0</v>
      </c>
      <c r="S46" s="144">
        <v>0</v>
      </c>
      <c r="T46" s="144">
        <v>0</v>
      </c>
      <c r="U46" s="144">
        <v>0</v>
      </c>
      <c r="V46" s="144">
        <v>0</v>
      </c>
      <c r="W46" s="144">
        <v>0</v>
      </c>
      <c r="X46" s="144">
        <v>0</v>
      </c>
      <c r="Y46" s="144">
        <v>0</v>
      </c>
      <c r="Z46" s="144">
        <v>0</v>
      </c>
      <c r="AA46" s="144">
        <v>0</v>
      </c>
      <c r="AB46" s="144">
        <v>0</v>
      </c>
      <c r="AC46" s="144">
        <v>0</v>
      </c>
      <c r="AD46" s="144">
        <v>0</v>
      </c>
      <c r="AE46" s="144">
        <v>0</v>
      </c>
      <c r="AF46" s="144">
        <v>0</v>
      </c>
      <c r="AG46" s="144">
        <v>0</v>
      </c>
      <c r="AH46" s="144">
        <v>0</v>
      </c>
      <c r="AI46" s="144">
        <v>0</v>
      </c>
      <c r="AJ46" s="144">
        <v>0</v>
      </c>
      <c r="AK46" s="144">
        <v>0</v>
      </c>
      <c r="AL46" s="144">
        <v>0</v>
      </c>
      <c r="AM46" s="144">
        <v>0</v>
      </c>
      <c r="AN46" s="144">
        <v>0</v>
      </c>
      <c r="AO46" s="144">
        <v>0</v>
      </c>
      <c r="AP46" s="144">
        <v>0</v>
      </c>
      <c r="AQ46" s="144">
        <v>0</v>
      </c>
      <c r="AR46" s="144">
        <v>0</v>
      </c>
      <c r="AS46" s="144">
        <v>0</v>
      </c>
      <c r="AT46" s="144">
        <v>0</v>
      </c>
      <c r="AU46" s="144">
        <v>0</v>
      </c>
      <c r="AV46" s="144">
        <v>0</v>
      </c>
      <c r="AW46" s="144">
        <v>0</v>
      </c>
      <c r="AX46" s="144">
        <v>0</v>
      </c>
      <c r="AY46" s="144">
        <v>0</v>
      </c>
      <c r="AZ46" s="144">
        <v>0</v>
      </c>
      <c r="BA46" s="144">
        <v>0</v>
      </c>
      <c r="BB46" s="144">
        <v>0</v>
      </c>
      <c r="BC46" s="144">
        <v>0</v>
      </c>
      <c r="BD46" s="144">
        <v>0</v>
      </c>
      <c r="BE46" s="144">
        <v>0</v>
      </c>
      <c r="BF46" s="144">
        <v>0</v>
      </c>
      <c r="BG46" s="144">
        <v>0</v>
      </c>
      <c r="BH46" s="144">
        <v>0</v>
      </c>
      <c r="BI46" s="144">
        <v>0</v>
      </c>
      <c r="BJ46" s="144">
        <v>0</v>
      </c>
      <c r="BK46" s="144">
        <v>0</v>
      </c>
      <c r="BL46" s="144">
        <v>0</v>
      </c>
      <c r="BM46" s="144">
        <v>0</v>
      </c>
      <c r="BN46" s="144">
        <v>0</v>
      </c>
      <c r="BO46" s="144">
        <v>0</v>
      </c>
      <c r="BP46" s="144">
        <v>0</v>
      </c>
      <c r="BQ46" s="144">
        <v>0</v>
      </c>
      <c r="BR46" s="144">
        <v>0</v>
      </c>
      <c r="BS46" s="144">
        <v>0</v>
      </c>
      <c r="BT46" s="144">
        <v>0</v>
      </c>
      <c r="BU46" s="144">
        <v>0</v>
      </c>
      <c r="BV46" s="144">
        <v>0</v>
      </c>
      <c r="BW46" s="144">
        <v>0</v>
      </c>
      <c r="BX46" s="144">
        <v>0</v>
      </c>
      <c r="BY46" s="144">
        <v>0</v>
      </c>
      <c r="BZ46" s="144">
        <v>0</v>
      </c>
      <c r="CA46" s="144">
        <v>0</v>
      </c>
      <c r="CB46" s="144">
        <v>0</v>
      </c>
      <c r="CC46" s="144">
        <v>0</v>
      </c>
      <c r="CD46" s="144">
        <v>0</v>
      </c>
      <c r="CE46" s="144">
        <v>0</v>
      </c>
      <c r="CF46" s="144">
        <v>0</v>
      </c>
      <c r="CG46" s="144">
        <v>0</v>
      </c>
      <c r="CH46" s="144">
        <v>0</v>
      </c>
      <c r="CI46" s="144">
        <v>0</v>
      </c>
      <c r="CJ46" s="144">
        <v>0</v>
      </c>
      <c r="CK46" s="144">
        <v>0</v>
      </c>
      <c r="CL46" s="144">
        <v>0</v>
      </c>
      <c r="CM46" s="144">
        <v>0</v>
      </c>
      <c r="CN46" s="144">
        <v>0</v>
      </c>
      <c r="CO46" s="144">
        <v>0</v>
      </c>
      <c r="CP46" s="144">
        <v>0</v>
      </c>
      <c r="CQ46" s="144">
        <v>0</v>
      </c>
      <c r="CR46" s="144">
        <v>0</v>
      </c>
      <c r="CS46" s="144">
        <v>0</v>
      </c>
      <c r="CT46" s="144">
        <v>0</v>
      </c>
      <c r="CU46" s="144">
        <v>0</v>
      </c>
      <c r="CV46" s="144">
        <v>0</v>
      </c>
      <c r="CW46" s="144">
        <v>0</v>
      </c>
      <c r="CX46" s="144">
        <v>0</v>
      </c>
      <c r="CY46" s="144">
        <v>0</v>
      </c>
      <c r="CZ46" s="144">
        <v>0</v>
      </c>
      <c r="DA46" s="144">
        <v>0</v>
      </c>
      <c r="DB46" s="144">
        <v>0</v>
      </c>
      <c r="DC46" s="144">
        <v>0</v>
      </c>
      <c r="DD46" s="144">
        <v>0</v>
      </c>
      <c r="DE46" s="144">
        <v>0</v>
      </c>
      <c r="DF46" s="144">
        <v>0</v>
      </c>
      <c r="DG46" s="144">
        <v>0</v>
      </c>
      <c r="DH46" s="144">
        <v>0</v>
      </c>
      <c r="DI46" s="144">
        <v>0</v>
      </c>
      <c r="DJ46" s="144">
        <v>0</v>
      </c>
      <c r="DK46" s="144">
        <v>0</v>
      </c>
      <c r="DL46" s="144">
        <v>0</v>
      </c>
      <c r="DM46" s="144">
        <v>0</v>
      </c>
      <c r="DN46" s="144">
        <v>0</v>
      </c>
      <c r="DO46" s="144">
        <v>0</v>
      </c>
      <c r="DP46" s="144">
        <v>0</v>
      </c>
      <c r="DQ46" s="144">
        <v>0</v>
      </c>
      <c r="DR46" s="144">
        <v>0</v>
      </c>
      <c r="DS46" s="144">
        <v>0</v>
      </c>
      <c r="DT46" s="144">
        <v>0</v>
      </c>
      <c r="DU46" s="144">
        <v>0</v>
      </c>
      <c r="DV46" s="144">
        <v>0</v>
      </c>
      <c r="DW46" s="144">
        <v>0</v>
      </c>
      <c r="DX46" s="144">
        <v>0</v>
      </c>
      <c r="DY46" s="144">
        <v>0</v>
      </c>
      <c r="DZ46">
        <v>0</v>
      </c>
      <c r="EA46">
        <v>0</v>
      </c>
    </row>
    <row r="47" spans="1:131" x14ac:dyDescent="0.25">
      <c r="A47" s="146" t="s">
        <v>180</v>
      </c>
      <c r="B47" s="149">
        <v>10000</v>
      </c>
      <c r="C47" s="150">
        <v>46296</v>
      </c>
      <c r="D47" s="90">
        <v>10</v>
      </c>
      <c r="E47" s="90">
        <v>500</v>
      </c>
      <c r="F47" s="147">
        <f>EDATE(tblAssets[[#This Row],[Acquired]],(tblAssets[[#This Row],[Life]]+1)*12)</f>
        <v>50314</v>
      </c>
      <c r="G47" s="149">
        <v>100</v>
      </c>
      <c r="H47" s="147" t="s">
        <v>177</v>
      </c>
      <c r="J47" t="str">
        <v>Cutter Opening Value</v>
      </c>
      <c r="K47">
        <v>0</v>
      </c>
      <c r="L47" s="144">
        <v>25000</v>
      </c>
      <c r="M47" s="144">
        <v>19270.869999999981</v>
      </c>
      <c r="N47" s="144">
        <v>14453.06999999998</v>
      </c>
      <c r="O47" s="144">
        <v>10839.829999999987</v>
      </c>
      <c r="P47" s="144">
        <v>8129.8449999999939</v>
      </c>
      <c r="Q47" s="144">
        <v>6097.466249999994</v>
      </c>
      <c r="R47" s="144">
        <v>4425.3971874999888</v>
      </c>
      <c r="S47" s="144">
        <v>2781.1914583333219</v>
      </c>
      <c r="T47" s="144">
        <v>1136.9857291666553</v>
      </c>
      <c r="U47" s="144">
        <v>999.99999999998863</v>
      </c>
      <c r="V47" s="144">
        <v>0</v>
      </c>
      <c r="W47" s="144">
        <v>0</v>
      </c>
      <c r="X47" s="144">
        <v>0</v>
      </c>
      <c r="Y47" s="144">
        <v>0</v>
      </c>
      <c r="Z47" s="144">
        <v>0</v>
      </c>
      <c r="AA47" s="144">
        <v>0</v>
      </c>
      <c r="AB47" s="144">
        <v>0</v>
      </c>
      <c r="AC47" s="144">
        <v>0</v>
      </c>
      <c r="AD47" s="144">
        <v>0</v>
      </c>
      <c r="AE47" s="144">
        <v>0</v>
      </c>
      <c r="AF47" s="144">
        <v>0</v>
      </c>
      <c r="AG47" s="144">
        <v>0</v>
      </c>
      <c r="AH47" s="144">
        <v>0</v>
      </c>
      <c r="AI47" s="144">
        <v>0</v>
      </c>
      <c r="AJ47" s="144">
        <v>0</v>
      </c>
      <c r="AK47" s="144">
        <v>0</v>
      </c>
      <c r="AL47" s="144">
        <v>0</v>
      </c>
      <c r="AM47" s="144">
        <v>0</v>
      </c>
      <c r="AN47" s="144">
        <v>0</v>
      </c>
      <c r="AO47" s="144">
        <v>0</v>
      </c>
      <c r="AP47" s="144">
        <v>0</v>
      </c>
      <c r="AQ47" s="144">
        <v>0</v>
      </c>
      <c r="AR47" s="144">
        <v>0</v>
      </c>
      <c r="AS47" s="144">
        <v>0</v>
      </c>
      <c r="AT47" s="144">
        <v>0</v>
      </c>
      <c r="AU47" s="144">
        <v>0</v>
      </c>
      <c r="AV47" s="144">
        <v>0</v>
      </c>
      <c r="AW47" s="144">
        <v>0</v>
      </c>
      <c r="AX47" s="144">
        <v>0</v>
      </c>
      <c r="AY47" s="144">
        <v>0</v>
      </c>
      <c r="AZ47" s="144">
        <v>0</v>
      </c>
      <c r="BA47" s="144">
        <v>0</v>
      </c>
      <c r="BB47" s="144">
        <v>0</v>
      </c>
      <c r="BC47" s="144">
        <v>0</v>
      </c>
      <c r="BD47" s="144">
        <v>0</v>
      </c>
      <c r="BE47" s="144">
        <v>0</v>
      </c>
      <c r="BF47" s="144">
        <v>0</v>
      </c>
      <c r="BG47" s="144">
        <v>0</v>
      </c>
      <c r="BH47" s="144">
        <v>0</v>
      </c>
      <c r="BI47" s="144">
        <v>0</v>
      </c>
      <c r="BJ47" s="144">
        <v>0</v>
      </c>
      <c r="BK47" s="144">
        <v>0</v>
      </c>
      <c r="BL47" s="144">
        <v>0</v>
      </c>
      <c r="BM47" s="144">
        <v>0</v>
      </c>
      <c r="BN47" s="144">
        <v>0</v>
      </c>
      <c r="BO47" s="144">
        <v>0</v>
      </c>
      <c r="BP47" s="144">
        <v>0</v>
      </c>
      <c r="BQ47" s="144">
        <v>0</v>
      </c>
      <c r="BR47" s="144">
        <v>0</v>
      </c>
      <c r="BS47" s="144">
        <v>0</v>
      </c>
      <c r="BT47" s="144">
        <v>0</v>
      </c>
      <c r="BU47" s="144">
        <v>0</v>
      </c>
      <c r="BV47" s="144">
        <v>0</v>
      </c>
      <c r="BW47" s="144">
        <v>0</v>
      </c>
      <c r="BX47" s="144">
        <v>0</v>
      </c>
      <c r="BY47" s="144">
        <v>0</v>
      </c>
      <c r="BZ47" s="144">
        <v>0</v>
      </c>
      <c r="CA47" s="144">
        <v>0</v>
      </c>
      <c r="CB47" s="144">
        <v>0</v>
      </c>
      <c r="CC47" s="144">
        <v>0</v>
      </c>
      <c r="CD47" s="144">
        <v>0</v>
      </c>
      <c r="CE47" s="144">
        <v>0</v>
      </c>
      <c r="CF47" s="144">
        <v>0</v>
      </c>
      <c r="CG47" s="144">
        <v>0</v>
      </c>
      <c r="CH47" s="144">
        <v>0</v>
      </c>
      <c r="CI47" s="144">
        <v>0</v>
      </c>
      <c r="CJ47" s="144">
        <v>0</v>
      </c>
      <c r="CK47" s="144">
        <v>0</v>
      </c>
      <c r="CL47" s="144">
        <v>0</v>
      </c>
      <c r="CM47" s="144">
        <v>0</v>
      </c>
      <c r="CN47" s="144">
        <v>0</v>
      </c>
      <c r="CO47" s="144">
        <v>0</v>
      </c>
      <c r="CP47" s="144">
        <v>0</v>
      </c>
      <c r="CQ47" s="144">
        <v>0</v>
      </c>
      <c r="CR47" s="144">
        <v>0</v>
      </c>
      <c r="CS47" s="144">
        <v>0</v>
      </c>
      <c r="CT47" s="144">
        <v>0</v>
      </c>
      <c r="CU47" s="144">
        <v>0</v>
      </c>
      <c r="CV47" s="144">
        <v>0</v>
      </c>
      <c r="CW47" s="144">
        <v>0</v>
      </c>
      <c r="CX47" s="144">
        <v>0</v>
      </c>
      <c r="CY47" s="144">
        <v>0</v>
      </c>
      <c r="CZ47" s="144">
        <v>0</v>
      </c>
      <c r="DA47" s="144">
        <v>0</v>
      </c>
      <c r="DB47" s="144">
        <v>0</v>
      </c>
      <c r="DC47" s="144">
        <v>0</v>
      </c>
      <c r="DD47" s="144">
        <v>0</v>
      </c>
      <c r="DE47" s="144">
        <v>0</v>
      </c>
      <c r="DF47" s="144">
        <v>0</v>
      </c>
      <c r="DG47" s="144">
        <v>0</v>
      </c>
      <c r="DH47" s="144">
        <v>0</v>
      </c>
      <c r="DI47" s="144">
        <v>0</v>
      </c>
      <c r="DJ47" s="144">
        <v>0</v>
      </c>
      <c r="DK47" s="144">
        <v>0</v>
      </c>
      <c r="DL47" s="144">
        <v>0</v>
      </c>
      <c r="DM47" s="144">
        <v>0</v>
      </c>
      <c r="DN47" s="144">
        <v>0</v>
      </c>
      <c r="DO47" s="144">
        <v>0</v>
      </c>
      <c r="DP47" s="144">
        <v>0</v>
      </c>
      <c r="DQ47" s="144">
        <v>0</v>
      </c>
      <c r="DR47" s="144">
        <v>0</v>
      </c>
      <c r="DS47" s="144">
        <v>0</v>
      </c>
      <c r="DT47" s="144">
        <v>0</v>
      </c>
      <c r="DU47" s="144">
        <v>0</v>
      </c>
      <c r="DV47" s="144">
        <v>0</v>
      </c>
      <c r="DW47" s="144">
        <v>0</v>
      </c>
      <c r="DX47" s="144">
        <v>0</v>
      </c>
      <c r="DY47" s="144">
        <v>0</v>
      </c>
      <c r="DZ47">
        <v>0</v>
      </c>
      <c r="EA47">
        <v>0</v>
      </c>
    </row>
    <row r="48" spans="1:131" x14ac:dyDescent="0.25">
      <c r="A48" s="145" t="s">
        <v>181</v>
      </c>
      <c r="B48" s="149">
        <v>50181</v>
      </c>
      <c r="C48" s="150">
        <v>46204</v>
      </c>
      <c r="D48" s="90">
        <v>20</v>
      </c>
      <c r="E48" s="90"/>
      <c r="F48" s="148">
        <f>EDATE(tblAssets[[#This Row],[Acquired]],(tblAssets[[#This Row],[Life]]+1)*12)</f>
        <v>53874</v>
      </c>
      <c r="G48" s="149">
        <v>250</v>
      </c>
      <c r="H48" s="148" t="s">
        <v>178</v>
      </c>
      <c r="J48" t="str">
        <v>Cutter Depreciation</v>
      </c>
      <c r="K48">
        <v>25000.000000000004</v>
      </c>
      <c r="L48" s="144">
        <v>5729.13</v>
      </c>
      <c r="M48" s="144">
        <v>4817.8</v>
      </c>
      <c r="N48" s="144">
        <v>3613.2400000000007</v>
      </c>
      <c r="O48" s="144">
        <v>2709.9849999999992</v>
      </c>
      <c r="P48" s="144">
        <v>2032.3787499999999</v>
      </c>
      <c r="Q48" s="144">
        <v>1672.0690625</v>
      </c>
      <c r="R48" s="144">
        <v>1644.2057291666665</v>
      </c>
      <c r="S48" s="144">
        <v>1644.2057291666665</v>
      </c>
      <c r="T48" s="144">
        <v>136.98572916666672</v>
      </c>
      <c r="U48" s="144">
        <v>1000</v>
      </c>
      <c r="V48" s="144">
        <v>0</v>
      </c>
      <c r="W48" s="144">
        <v>0</v>
      </c>
      <c r="X48" s="144">
        <v>0</v>
      </c>
      <c r="Y48" s="144">
        <v>0</v>
      </c>
      <c r="Z48" s="144">
        <v>0</v>
      </c>
      <c r="AA48" s="144">
        <v>0</v>
      </c>
      <c r="AB48" s="144">
        <v>0</v>
      </c>
      <c r="AC48" s="144">
        <v>0</v>
      </c>
      <c r="AD48" s="144">
        <v>0</v>
      </c>
      <c r="AE48" s="144">
        <v>0</v>
      </c>
      <c r="AF48" s="144">
        <v>0</v>
      </c>
      <c r="AG48" s="144">
        <v>0</v>
      </c>
      <c r="AH48" s="144">
        <v>0</v>
      </c>
      <c r="AI48" s="144">
        <v>0</v>
      </c>
      <c r="AJ48" s="144">
        <v>0</v>
      </c>
      <c r="AK48" s="144">
        <v>0</v>
      </c>
      <c r="AL48" s="144">
        <v>0</v>
      </c>
      <c r="AM48" s="144">
        <v>0</v>
      </c>
      <c r="AN48" s="144">
        <v>0</v>
      </c>
      <c r="AO48" s="144">
        <v>0</v>
      </c>
      <c r="AP48" s="144">
        <v>0</v>
      </c>
      <c r="AQ48" s="144">
        <v>0</v>
      </c>
      <c r="AR48" s="144">
        <v>0</v>
      </c>
      <c r="AS48" s="144">
        <v>0</v>
      </c>
      <c r="AT48" s="144">
        <v>0</v>
      </c>
      <c r="AU48" s="144">
        <v>0</v>
      </c>
      <c r="AV48" s="144">
        <v>0</v>
      </c>
      <c r="AW48" s="144">
        <v>0</v>
      </c>
      <c r="AX48" s="144">
        <v>0</v>
      </c>
      <c r="AY48" s="144">
        <v>0</v>
      </c>
      <c r="AZ48" s="144">
        <v>0</v>
      </c>
      <c r="BA48" s="144">
        <v>0</v>
      </c>
      <c r="BB48" s="144">
        <v>0</v>
      </c>
      <c r="BC48" s="144">
        <v>0</v>
      </c>
      <c r="BD48" s="144">
        <v>0</v>
      </c>
      <c r="BE48" s="144">
        <v>0</v>
      </c>
      <c r="BF48" s="144">
        <v>0</v>
      </c>
      <c r="BG48" s="144">
        <v>0</v>
      </c>
      <c r="BH48" s="144">
        <v>0</v>
      </c>
      <c r="BI48" s="144">
        <v>0</v>
      </c>
      <c r="BJ48" s="144">
        <v>0</v>
      </c>
      <c r="BK48" s="144">
        <v>0</v>
      </c>
      <c r="BL48" s="144">
        <v>0</v>
      </c>
      <c r="BM48" s="144">
        <v>0</v>
      </c>
      <c r="BN48" s="144">
        <v>0</v>
      </c>
      <c r="BO48" s="144">
        <v>0</v>
      </c>
      <c r="BP48" s="144">
        <v>0</v>
      </c>
      <c r="BQ48" s="144">
        <v>0</v>
      </c>
      <c r="BR48" s="144">
        <v>0</v>
      </c>
      <c r="BS48" s="144">
        <v>0</v>
      </c>
      <c r="BT48" s="144">
        <v>0</v>
      </c>
      <c r="BU48" s="144">
        <v>0</v>
      </c>
      <c r="BV48" s="144">
        <v>0</v>
      </c>
      <c r="BW48" s="144">
        <v>0</v>
      </c>
      <c r="BX48" s="144">
        <v>0</v>
      </c>
      <c r="BY48" s="144">
        <v>0</v>
      </c>
      <c r="BZ48" s="144">
        <v>0</v>
      </c>
      <c r="CA48" s="144">
        <v>0</v>
      </c>
      <c r="CB48" s="144">
        <v>0</v>
      </c>
      <c r="CC48" s="144">
        <v>0</v>
      </c>
      <c r="CD48" s="144">
        <v>0</v>
      </c>
      <c r="CE48" s="144">
        <v>0</v>
      </c>
      <c r="CF48" s="144">
        <v>0</v>
      </c>
      <c r="CG48" s="144">
        <v>0</v>
      </c>
      <c r="CH48" s="144">
        <v>0</v>
      </c>
      <c r="CI48" s="144">
        <v>0</v>
      </c>
      <c r="CJ48" s="144">
        <v>0</v>
      </c>
      <c r="CK48" s="144">
        <v>0</v>
      </c>
      <c r="CL48" s="144">
        <v>0</v>
      </c>
      <c r="CM48" s="144">
        <v>0</v>
      </c>
      <c r="CN48" s="144">
        <v>0</v>
      </c>
      <c r="CO48" s="144">
        <v>0</v>
      </c>
      <c r="CP48" s="144">
        <v>0</v>
      </c>
      <c r="CQ48" s="144">
        <v>0</v>
      </c>
      <c r="CR48" s="144">
        <v>0</v>
      </c>
      <c r="CS48" s="144">
        <v>0</v>
      </c>
      <c r="CT48" s="144">
        <v>0</v>
      </c>
      <c r="CU48" s="144">
        <v>0</v>
      </c>
      <c r="CV48" s="144">
        <v>0</v>
      </c>
      <c r="CW48" s="144">
        <v>0</v>
      </c>
      <c r="CX48" s="144">
        <v>0</v>
      </c>
      <c r="CY48" s="144">
        <v>0</v>
      </c>
      <c r="CZ48" s="144">
        <v>0</v>
      </c>
      <c r="DA48" s="144">
        <v>0</v>
      </c>
      <c r="DB48" s="144">
        <v>0</v>
      </c>
      <c r="DC48" s="144">
        <v>0</v>
      </c>
      <c r="DD48" s="144">
        <v>0</v>
      </c>
      <c r="DE48" s="144">
        <v>0</v>
      </c>
      <c r="DF48" s="144">
        <v>0</v>
      </c>
      <c r="DG48" s="144">
        <v>0</v>
      </c>
      <c r="DH48" s="144">
        <v>0</v>
      </c>
      <c r="DI48" s="144">
        <v>0</v>
      </c>
      <c r="DJ48" s="144">
        <v>0</v>
      </c>
      <c r="DK48" s="144">
        <v>0</v>
      </c>
      <c r="DL48" s="144">
        <v>0</v>
      </c>
      <c r="DM48" s="144">
        <v>0</v>
      </c>
      <c r="DN48" s="144">
        <v>0</v>
      </c>
      <c r="DO48" s="144">
        <v>0</v>
      </c>
      <c r="DP48" s="144">
        <v>0</v>
      </c>
      <c r="DQ48" s="144">
        <v>0</v>
      </c>
      <c r="DR48" s="144">
        <v>0</v>
      </c>
      <c r="DS48" s="144">
        <v>0</v>
      </c>
      <c r="DT48" s="144">
        <v>0</v>
      </c>
      <c r="DU48" s="144">
        <v>0</v>
      </c>
      <c r="DV48" s="144">
        <v>0</v>
      </c>
      <c r="DW48" s="144">
        <v>0</v>
      </c>
      <c r="DX48" s="144">
        <v>0</v>
      </c>
      <c r="DY48" s="144">
        <v>0</v>
      </c>
      <c r="DZ48">
        <v>0</v>
      </c>
      <c r="EA48">
        <v>0</v>
      </c>
    </row>
    <row r="49" spans="10:131" x14ac:dyDescent="0.25">
      <c r="J49" t="str">
        <v>Cutter Book Value</v>
      </c>
      <c r="K49">
        <v>0</v>
      </c>
      <c r="L49" s="144">
        <v>19270.87</v>
      </c>
      <c r="M49" s="144">
        <v>14453.069999999982</v>
      </c>
      <c r="N49" s="144">
        <v>10839.82999999998</v>
      </c>
      <c r="O49" s="144">
        <v>8129.8449999999884</v>
      </c>
      <c r="P49" s="144">
        <v>6097.466249999994</v>
      </c>
      <c r="Q49" s="144">
        <v>4425.3971874999943</v>
      </c>
      <c r="R49" s="144">
        <v>2781.1914583333223</v>
      </c>
      <c r="S49" s="144">
        <v>1136.9857291666553</v>
      </c>
      <c r="T49" s="144">
        <v>999.99999999998863</v>
      </c>
      <c r="U49" s="144">
        <v>-1.1368683772161603E-11</v>
      </c>
      <c r="V49" s="144">
        <v>0</v>
      </c>
      <c r="W49" s="144">
        <v>0</v>
      </c>
      <c r="X49" s="144">
        <v>0</v>
      </c>
      <c r="Y49" s="144">
        <v>0</v>
      </c>
      <c r="Z49" s="144">
        <v>0</v>
      </c>
      <c r="AA49" s="144">
        <v>0</v>
      </c>
      <c r="AB49" s="144">
        <v>0</v>
      </c>
      <c r="AC49" s="144">
        <v>0</v>
      </c>
      <c r="AD49" s="144">
        <v>0</v>
      </c>
      <c r="AE49" s="144">
        <v>0</v>
      </c>
      <c r="AF49" s="144">
        <v>0</v>
      </c>
      <c r="AG49" s="144">
        <v>0</v>
      </c>
      <c r="AH49" s="144">
        <v>0</v>
      </c>
      <c r="AI49" s="144">
        <v>0</v>
      </c>
      <c r="AJ49" s="144">
        <v>0</v>
      </c>
      <c r="AK49" s="144">
        <v>0</v>
      </c>
      <c r="AL49" s="144">
        <v>0</v>
      </c>
      <c r="AM49" s="144">
        <v>0</v>
      </c>
      <c r="AN49" s="144">
        <v>0</v>
      </c>
      <c r="AO49" s="144">
        <v>0</v>
      </c>
      <c r="AP49" s="144">
        <v>0</v>
      </c>
      <c r="AQ49" s="144">
        <v>0</v>
      </c>
      <c r="AR49" s="144">
        <v>0</v>
      </c>
      <c r="AS49" s="144">
        <v>0</v>
      </c>
      <c r="AT49" s="144">
        <v>0</v>
      </c>
      <c r="AU49" s="144">
        <v>0</v>
      </c>
      <c r="AV49" s="144">
        <v>0</v>
      </c>
      <c r="AW49" s="144">
        <v>0</v>
      </c>
      <c r="AX49" s="144">
        <v>0</v>
      </c>
      <c r="AY49" s="144">
        <v>0</v>
      </c>
      <c r="AZ49" s="144">
        <v>0</v>
      </c>
      <c r="BA49" s="144">
        <v>0</v>
      </c>
      <c r="BB49" s="144">
        <v>0</v>
      </c>
      <c r="BC49" s="144">
        <v>0</v>
      </c>
      <c r="BD49" s="144">
        <v>0</v>
      </c>
      <c r="BE49" s="144">
        <v>0</v>
      </c>
      <c r="BF49" s="144">
        <v>0</v>
      </c>
      <c r="BG49" s="144">
        <v>0</v>
      </c>
      <c r="BH49" s="144">
        <v>0</v>
      </c>
      <c r="BI49" s="144">
        <v>0</v>
      </c>
      <c r="BJ49" s="144">
        <v>0</v>
      </c>
      <c r="BK49" s="144">
        <v>0</v>
      </c>
      <c r="BL49" s="144">
        <v>0</v>
      </c>
      <c r="BM49" s="144">
        <v>0</v>
      </c>
      <c r="BN49" s="144">
        <v>0</v>
      </c>
      <c r="BO49" s="144">
        <v>0</v>
      </c>
      <c r="BP49" s="144">
        <v>0</v>
      </c>
      <c r="BQ49" s="144">
        <v>0</v>
      </c>
      <c r="BR49" s="144">
        <v>0</v>
      </c>
      <c r="BS49" s="144">
        <v>0</v>
      </c>
      <c r="BT49" s="144">
        <v>0</v>
      </c>
      <c r="BU49" s="144">
        <v>0</v>
      </c>
      <c r="BV49" s="144">
        <v>0</v>
      </c>
      <c r="BW49" s="144">
        <v>0</v>
      </c>
      <c r="BX49" s="144">
        <v>0</v>
      </c>
      <c r="BY49" s="144">
        <v>0</v>
      </c>
      <c r="BZ49" s="144">
        <v>0</v>
      </c>
      <c r="CA49" s="144">
        <v>0</v>
      </c>
      <c r="CB49" s="144">
        <v>0</v>
      </c>
      <c r="CC49" s="144">
        <v>0</v>
      </c>
      <c r="CD49" s="144">
        <v>0</v>
      </c>
      <c r="CE49" s="144">
        <v>0</v>
      </c>
      <c r="CF49" s="144">
        <v>0</v>
      </c>
      <c r="CG49" s="144">
        <v>0</v>
      </c>
      <c r="CH49" s="144">
        <v>0</v>
      </c>
      <c r="CI49" s="144">
        <v>0</v>
      </c>
      <c r="CJ49" s="144">
        <v>0</v>
      </c>
      <c r="CK49" s="144">
        <v>0</v>
      </c>
      <c r="CL49" s="144">
        <v>0</v>
      </c>
      <c r="CM49" s="144">
        <v>0</v>
      </c>
      <c r="CN49" s="144">
        <v>0</v>
      </c>
      <c r="CO49" s="144">
        <v>0</v>
      </c>
      <c r="CP49" s="144">
        <v>0</v>
      </c>
      <c r="CQ49" s="144">
        <v>0</v>
      </c>
      <c r="CR49" s="144">
        <v>0</v>
      </c>
      <c r="CS49" s="144">
        <v>0</v>
      </c>
      <c r="CT49" s="144">
        <v>0</v>
      </c>
      <c r="CU49" s="144">
        <v>0</v>
      </c>
      <c r="CV49" s="144">
        <v>0</v>
      </c>
      <c r="CW49" s="144">
        <v>0</v>
      </c>
      <c r="CX49" s="144">
        <v>0</v>
      </c>
      <c r="CY49" s="144">
        <v>0</v>
      </c>
      <c r="CZ49" s="144">
        <v>0</v>
      </c>
      <c r="DA49" s="144">
        <v>0</v>
      </c>
      <c r="DB49" s="144">
        <v>0</v>
      </c>
      <c r="DC49" s="144">
        <v>0</v>
      </c>
      <c r="DD49" s="144">
        <v>0</v>
      </c>
      <c r="DE49" s="144">
        <v>0</v>
      </c>
      <c r="DF49" s="144">
        <v>0</v>
      </c>
      <c r="DG49" s="144">
        <v>0</v>
      </c>
      <c r="DH49" s="144">
        <v>0</v>
      </c>
      <c r="DI49" s="144">
        <v>0</v>
      </c>
      <c r="DJ49" s="144">
        <v>0</v>
      </c>
      <c r="DK49" s="144">
        <v>0</v>
      </c>
      <c r="DL49" s="144">
        <v>0</v>
      </c>
      <c r="DM49" s="144">
        <v>0</v>
      </c>
      <c r="DN49" s="144">
        <v>0</v>
      </c>
      <c r="DO49" s="144">
        <v>0</v>
      </c>
      <c r="DP49" s="144">
        <v>0</v>
      </c>
      <c r="DQ49" s="144">
        <v>0</v>
      </c>
      <c r="DR49" s="144">
        <v>0</v>
      </c>
      <c r="DS49" s="144">
        <v>0</v>
      </c>
      <c r="DT49" s="144">
        <v>0</v>
      </c>
      <c r="DU49" s="144">
        <v>0</v>
      </c>
      <c r="DV49" s="144">
        <v>0</v>
      </c>
      <c r="DW49" s="144">
        <v>0</v>
      </c>
      <c r="DX49" s="144">
        <v>0</v>
      </c>
      <c r="DY49" s="144">
        <v>0</v>
      </c>
      <c r="DZ49">
        <v>0</v>
      </c>
      <c r="EA49">
        <v>0</v>
      </c>
    </row>
    <row r="50" spans="10:131" x14ac:dyDescent="0.25">
      <c r="J50" t="str">
        <v>Cutter Revenue from Sale</v>
      </c>
      <c r="K50">
        <v>1000</v>
      </c>
      <c r="L50" s="144">
        <v>0</v>
      </c>
      <c r="M50" s="144">
        <v>0</v>
      </c>
      <c r="N50" s="144">
        <v>0</v>
      </c>
      <c r="O50" s="144">
        <v>0</v>
      </c>
      <c r="P50" s="144">
        <v>0</v>
      </c>
      <c r="Q50" s="144">
        <v>0</v>
      </c>
      <c r="R50" s="144">
        <v>0</v>
      </c>
      <c r="S50" s="144">
        <v>0</v>
      </c>
      <c r="T50" s="144">
        <v>0</v>
      </c>
      <c r="U50" s="144">
        <v>1000</v>
      </c>
      <c r="V50" s="144">
        <v>0</v>
      </c>
      <c r="W50" s="144">
        <v>0</v>
      </c>
      <c r="X50" s="144">
        <v>0</v>
      </c>
      <c r="Y50" s="144">
        <v>0</v>
      </c>
      <c r="Z50" s="144">
        <v>0</v>
      </c>
      <c r="AA50" s="144">
        <v>0</v>
      </c>
      <c r="AB50" s="144">
        <v>0</v>
      </c>
      <c r="AC50" s="144">
        <v>0</v>
      </c>
      <c r="AD50" s="144">
        <v>0</v>
      </c>
      <c r="AE50" s="144">
        <v>0</v>
      </c>
      <c r="AF50" s="144">
        <v>0</v>
      </c>
      <c r="AG50" s="144">
        <v>0</v>
      </c>
      <c r="AH50" s="144">
        <v>0</v>
      </c>
      <c r="AI50" s="144">
        <v>0</v>
      </c>
      <c r="AJ50" s="144">
        <v>0</v>
      </c>
      <c r="AK50" s="144">
        <v>0</v>
      </c>
      <c r="AL50" s="144">
        <v>0</v>
      </c>
      <c r="AM50" s="144">
        <v>0</v>
      </c>
      <c r="AN50" s="144">
        <v>0</v>
      </c>
      <c r="AO50" s="144">
        <v>0</v>
      </c>
      <c r="AP50" s="144">
        <v>0</v>
      </c>
      <c r="AQ50" s="144">
        <v>0</v>
      </c>
      <c r="AR50" s="144">
        <v>0</v>
      </c>
      <c r="AS50" s="144">
        <v>0</v>
      </c>
      <c r="AT50" s="144">
        <v>0</v>
      </c>
      <c r="AU50" s="144">
        <v>0</v>
      </c>
      <c r="AV50" s="144">
        <v>0</v>
      </c>
      <c r="AW50" s="144">
        <v>0</v>
      </c>
      <c r="AX50" s="144">
        <v>0</v>
      </c>
      <c r="AY50" s="144">
        <v>0</v>
      </c>
      <c r="AZ50" s="144">
        <v>0</v>
      </c>
      <c r="BA50" s="144">
        <v>0</v>
      </c>
      <c r="BB50" s="144">
        <v>0</v>
      </c>
      <c r="BC50" s="144">
        <v>0</v>
      </c>
      <c r="BD50" s="144">
        <v>0</v>
      </c>
      <c r="BE50" s="144">
        <v>0</v>
      </c>
      <c r="BF50" s="144">
        <v>0</v>
      </c>
      <c r="BG50" s="144">
        <v>0</v>
      </c>
      <c r="BH50" s="144">
        <v>0</v>
      </c>
      <c r="BI50" s="144">
        <v>0</v>
      </c>
      <c r="BJ50" s="144">
        <v>0</v>
      </c>
      <c r="BK50" s="144">
        <v>0</v>
      </c>
      <c r="BL50" s="144">
        <v>0</v>
      </c>
      <c r="BM50" s="144">
        <v>0</v>
      </c>
      <c r="BN50" s="144">
        <v>0</v>
      </c>
      <c r="BO50" s="144">
        <v>0</v>
      </c>
      <c r="BP50" s="144">
        <v>0</v>
      </c>
      <c r="BQ50" s="144">
        <v>0</v>
      </c>
      <c r="BR50" s="144">
        <v>0</v>
      </c>
      <c r="BS50" s="144">
        <v>0</v>
      </c>
      <c r="BT50" s="144">
        <v>0</v>
      </c>
      <c r="BU50" s="144">
        <v>0</v>
      </c>
      <c r="BV50" s="144">
        <v>0</v>
      </c>
      <c r="BW50" s="144">
        <v>0</v>
      </c>
      <c r="BX50" s="144">
        <v>0</v>
      </c>
      <c r="BY50" s="144">
        <v>0</v>
      </c>
      <c r="BZ50" s="144">
        <v>0</v>
      </c>
      <c r="CA50" s="144">
        <v>0</v>
      </c>
      <c r="CB50" s="144">
        <v>0</v>
      </c>
      <c r="CC50" s="144">
        <v>0</v>
      </c>
      <c r="CD50" s="144">
        <v>0</v>
      </c>
      <c r="CE50" s="144">
        <v>0</v>
      </c>
      <c r="CF50" s="144">
        <v>0</v>
      </c>
      <c r="CG50" s="144">
        <v>0</v>
      </c>
      <c r="CH50" s="144">
        <v>0</v>
      </c>
      <c r="CI50" s="144">
        <v>0</v>
      </c>
      <c r="CJ50" s="144">
        <v>0</v>
      </c>
      <c r="CK50" s="144">
        <v>0</v>
      </c>
      <c r="CL50" s="144">
        <v>0</v>
      </c>
      <c r="CM50" s="144">
        <v>0</v>
      </c>
      <c r="CN50" s="144">
        <v>0</v>
      </c>
      <c r="CO50" s="144">
        <v>0</v>
      </c>
      <c r="CP50" s="144">
        <v>0</v>
      </c>
      <c r="CQ50" s="144">
        <v>0</v>
      </c>
      <c r="CR50" s="144">
        <v>0</v>
      </c>
      <c r="CS50" s="144">
        <v>0</v>
      </c>
      <c r="CT50" s="144">
        <v>0</v>
      </c>
      <c r="CU50" s="144">
        <v>0</v>
      </c>
      <c r="CV50" s="144">
        <v>0</v>
      </c>
      <c r="CW50" s="144">
        <v>0</v>
      </c>
      <c r="CX50" s="144">
        <v>0</v>
      </c>
      <c r="CY50" s="144">
        <v>0</v>
      </c>
      <c r="CZ50" s="144">
        <v>0</v>
      </c>
      <c r="DA50" s="144">
        <v>0</v>
      </c>
      <c r="DB50" s="144">
        <v>0</v>
      </c>
      <c r="DC50" s="144">
        <v>0</v>
      </c>
      <c r="DD50" s="144">
        <v>0</v>
      </c>
      <c r="DE50" s="144">
        <v>0</v>
      </c>
      <c r="DF50" s="144">
        <v>0</v>
      </c>
      <c r="DG50" s="144">
        <v>0</v>
      </c>
      <c r="DH50" s="144">
        <v>0</v>
      </c>
      <c r="DI50" s="144">
        <v>0</v>
      </c>
      <c r="DJ50" s="144">
        <v>0</v>
      </c>
      <c r="DK50" s="144">
        <v>0</v>
      </c>
      <c r="DL50" s="144">
        <v>0</v>
      </c>
      <c r="DM50" s="144">
        <v>0</v>
      </c>
      <c r="DN50" s="144">
        <v>0</v>
      </c>
      <c r="DO50" s="144">
        <v>0</v>
      </c>
      <c r="DP50" s="144">
        <v>0</v>
      </c>
      <c r="DQ50" s="144">
        <v>0</v>
      </c>
      <c r="DR50" s="144">
        <v>0</v>
      </c>
      <c r="DS50" s="144">
        <v>0</v>
      </c>
      <c r="DT50" s="144">
        <v>0</v>
      </c>
      <c r="DU50" s="144">
        <v>0</v>
      </c>
      <c r="DV50" s="144">
        <v>0</v>
      </c>
      <c r="DW50" s="144">
        <v>0</v>
      </c>
      <c r="DX50" s="144">
        <v>0</v>
      </c>
      <c r="DY50" s="144">
        <v>0</v>
      </c>
      <c r="DZ50">
        <v>0</v>
      </c>
      <c r="EA50">
        <v>0</v>
      </c>
    </row>
    <row r="51" spans="10:131" x14ac:dyDescent="0.25">
      <c r="J51" t="str">
        <v>Cutter Disposal Costs</v>
      </c>
      <c r="K51">
        <v>500</v>
      </c>
      <c r="L51" s="144">
        <v>0</v>
      </c>
      <c r="M51" s="144">
        <v>0</v>
      </c>
      <c r="N51" s="144">
        <v>0</v>
      </c>
      <c r="O51" s="144">
        <v>0</v>
      </c>
      <c r="P51" s="144">
        <v>0</v>
      </c>
      <c r="Q51" s="144">
        <v>0</v>
      </c>
      <c r="R51" s="144">
        <v>0</v>
      </c>
      <c r="S51" s="144">
        <v>0</v>
      </c>
      <c r="T51" s="144">
        <v>0</v>
      </c>
      <c r="U51" s="144">
        <v>500</v>
      </c>
      <c r="V51" s="144">
        <v>0</v>
      </c>
      <c r="W51" s="144">
        <v>0</v>
      </c>
      <c r="X51" s="144">
        <v>0</v>
      </c>
      <c r="Y51" s="144">
        <v>0</v>
      </c>
      <c r="Z51" s="144">
        <v>0</v>
      </c>
      <c r="AA51" s="144">
        <v>0</v>
      </c>
      <c r="AB51" s="144">
        <v>0</v>
      </c>
      <c r="AC51" s="144">
        <v>0</v>
      </c>
      <c r="AD51" s="144">
        <v>0</v>
      </c>
      <c r="AE51" s="144">
        <v>0</v>
      </c>
      <c r="AF51" s="144">
        <v>0</v>
      </c>
      <c r="AG51" s="144">
        <v>0</v>
      </c>
      <c r="AH51" s="144">
        <v>0</v>
      </c>
      <c r="AI51" s="144">
        <v>0</v>
      </c>
      <c r="AJ51" s="144">
        <v>0</v>
      </c>
      <c r="AK51" s="144">
        <v>0</v>
      </c>
      <c r="AL51" s="144">
        <v>0</v>
      </c>
      <c r="AM51" s="144">
        <v>0</v>
      </c>
      <c r="AN51" s="144">
        <v>0</v>
      </c>
      <c r="AO51" s="144">
        <v>0</v>
      </c>
      <c r="AP51" s="144">
        <v>0</v>
      </c>
      <c r="AQ51" s="144">
        <v>0</v>
      </c>
      <c r="AR51" s="144">
        <v>0</v>
      </c>
      <c r="AS51" s="144">
        <v>0</v>
      </c>
      <c r="AT51" s="144">
        <v>0</v>
      </c>
      <c r="AU51" s="144">
        <v>0</v>
      </c>
      <c r="AV51" s="144">
        <v>0</v>
      </c>
      <c r="AW51" s="144">
        <v>0</v>
      </c>
      <c r="AX51" s="144">
        <v>0</v>
      </c>
      <c r="AY51" s="144">
        <v>0</v>
      </c>
      <c r="AZ51" s="144">
        <v>0</v>
      </c>
      <c r="BA51" s="144">
        <v>0</v>
      </c>
      <c r="BB51" s="144">
        <v>0</v>
      </c>
      <c r="BC51" s="144">
        <v>0</v>
      </c>
      <c r="BD51" s="144">
        <v>0</v>
      </c>
      <c r="BE51" s="144">
        <v>0</v>
      </c>
      <c r="BF51" s="144">
        <v>0</v>
      </c>
      <c r="BG51" s="144">
        <v>0</v>
      </c>
      <c r="BH51" s="144">
        <v>0</v>
      </c>
      <c r="BI51" s="144">
        <v>0</v>
      </c>
      <c r="BJ51" s="144">
        <v>0</v>
      </c>
      <c r="BK51" s="144">
        <v>0</v>
      </c>
      <c r="BL51" s="144">
        <v>0</v>
      </c>
      <c r="BM51" s="144">
        <v>0</v>
      </c>
      <c r="BN51" s="144">
        <v>0</v>
      </c>
      <c r="BO51" s="144">
        <v>0</v>
      </c>
      <c r="BP51" s="144">
        <v>0</v>
      </c>
      <c r="BQ51" s="144">
        <v>0</v>
      </c>
      <c r="BR51" s="144">
        <v>0</v>
      </c>
      <c r="BS51" s="144">
        <v>0</v>
      </c>
      <c r="BT51" s="144">
        <v>0</v>
      </c>
      <c r="BU51" s="144">
        <v>0</v>
      </c>
      <c r="BV51" s="144">
        <v>0</v>
      </c>
      <c r="BW51" s="144">
        <v>0</v>
      </c>
      <c r="BX51" s="144">
        <v>0</v>
      </c>
      <c r="BY51" s="144">
        <v>0</v>
      </c>
      <c r="BZ51" s="144">
        <v>0</v>
      </c>
      <c r="CA51" s="144">
        <v>0</v>
      </c>
      <c r="CB51" s="144">
        <v>0</v>
      </c>
      <c r="CC51" s="144">
        <v>0</v>
      </c>
      <c r="CD51" s="144">
        <v>0</v>
      </c>
      <c r="CE51" s="144">
        <v>0</v>
      </c>
      <c r="CF51" s="144">
        <v>0</v>
      </c>
      <c r="CG51" s="144">
        <v>0</v>
      </c>
      <c r="CH51" s="144">
        <v>0</v>
      </c>
      <c r="CI51" s="144">
        <v>0</v>
      </c>
      <c r="CJ51" s="144">
        <v>0</v>
      </c>
      <c r="CK51" s="144">
        <v>0</v>
      </c>
      <c r="CL51" s="144">
        <v>0</v>
      </c>
      <c r="CM51" s="144">
        <v>0</v>
      </c>
      <c r="CN51" s="144">
        <v>0</v>
      </c>
      <c r="CO51" s="144">
        <v>0</v>
      </c>
      <c r="CP51" s="144">
        <v>0</v>
      </c>
      <c r="CQ51" s="144">
        <v>0</v>
      </c>
      <c r="CR51" s="144">
        <v>0</v>
      </c>
      <c r="CS51" s="144">
        <v>0</v>
      </c>
      <c r="CT51" s="144">
        <v>0</v>
      </c>
      <c r="CU51" s="144">
        <v>0</v>
      </c>
      <c r="CV51" s="144">
        <v>0</v>
      </c>
      <c r="CW51" s="144">
        <v>0</v>
      </c>
      <c r="CX51" s="144">
        <v>0</v>
      </c>
      <c r="CY51" s="144">
        <v>0</v>
      </c>
      <c r="CZ51" s="144">
        <v>0</v>
      </c>
      <c r="DA51" s="144">
        <v>0</v>
      </c>
      <c r="DB51" s="144">
        <v>0</v>
      </c>
      <c r="DC51" s="144">
        <v>0</v>
      </c>
      <c r="DD51" s="144">
        <v>0</v>
      </c>
      <c r="DE51" s="144">
        <v>0</v>
      </c>
      <c r="DF51" s="144">
        <v>0</v>
      </c>
      <c r="DG51" s="144">
        <v>0</v>
      </c>
      <c r="DH51" s="144">
        <v>0</v>
      </c>
      <c r="DI51" s="144">
        <v>0</v>
      </c>
      <c r="DJ51" s="144">
        <v>0</v>
      </c>
      <c r="DK51" s="144">
        <v>0</v>
      </c>
      <c r="DL51" s="144">
        <v>0</v>
      </c>
      <c r="DM51" s="144">
        <v>0</v>
      </c>
      <c r="DN51" s="144">
        <v>0</v>
      </c>
      <c r="DO51" s="144">
        <v>0</v>
      </c>
      <c r="DP51" s="144">
        <v>0</v>
      </c>
      <c r="DQ51" s="144">
        <v>0</v>
      </c>
      <c r="DR51" s="144">
        <v>0</v>
      </c>
      <c r="DS51" s="144">
        <v>0</v>
      </c>
      <c r="DT51" s="144">
        <v>0</v>
      </c>
      <c r="DU51" s="144">
        <v>0</v>
      </c>
      <c r="DV51" s="144">
        <v>0</v>
      </c>
      <c r="DW51" s="144">
        <v>0</v>
      </c>
      <c r="DX51" s="144">
        <v>0</v>
      </c>
      <c r="DY51" s="144">
        <v>0</v>
      </c>
      <c r="DZ51">
        <v>0</v>
      </c>
      <c r="EA51">
        <v>0</v>
      </c>
    </row>
    <row r="52" spans="10:131" x14ac:dyDescent="0.25">
      <c r="J52" t="str">
        <v/>
      </c>
      <c r="K52">
        <v>0</v>
      </c>
      <c r="L52" s="144" t="str">
        <v/>
      </c>
      <c r="M52" s="144" t="str">
        <v/>
      </c>
      <c r="N52" s="144" t="str">
        <v/>
      </c>
      <c r="O52" s="144" t="str">
        <v/>
      </c>
      <c r="P52" s="144" t="str">
        <v/>
      </c>
      <c r="Q52" s="144" t="str">
        <v/>
      </c>
      <c r="R52" s="144" t="str">
        <v/>
      </c>
      <c r="S52" s="144" t="str">
        <v/>
      </c>
      <c r="T52" s="144" t="str">
        <v/>
      </c>
      <c r="U52" s="144" t="str">
        <v/>
      </c>
      <c r="V52" s="144" t="str">
        <v/>
      </c>
      <c r="W52" s="144" t="str">
        <v/>
      </c>
      <c r="X52" s="144" t="str">
        <v/>
      </c>
      <c r="Y52" s="144" t="str">
        <v/>
      </c>
      <c r="Z52" s="144" t="str">
        <v/>
      </c>
      <c r="AA52" s="144" t="str">
        <v/>
      </c>
      <c r="AB52" s="144" t="str">
        <v/>
      </c>
      <c r="AC52" s="144" t="str">
        <v/>
      </c>
      <c r="AD52" s="144" t="str">
        <v/>
      </c>
      <c r="AE52" s="144" t="str">
        <v/>
      </c>
      <c r="AF52" s="144" t="str">
        <v/>
      </c>
      <c r="AG52" s="144" t="str">
        <v/>
      </c>
      <c r="AH52" s="144" t="str">
        <v/>
      </c>
      <c r="AI52" s="144" t="str">
        <v/>
      </c>
      <c r="AJ52" s="144" t="str">
        <v/>
      </c>
      <c r="AK52" s="144" t="str">
        <v/>
      </c>
      <c r="AL52" s="144" t="str">
        <v/>
      </c>
      <c r="AM52" s="144" t="str">
        <v/>
      </c>
      <c r="AN52" s="144" t="str">
        <v/>
      </c>
      <c r="AO52" s="144" t="str">
        <v/>
      </c>
      <c r="AP52" s="144" t="str">
        <v/>
      </c>
      <c r="AQ52" s="144" t="str">
        <v/>
      </c>
      <c r="AR52" s="144" t="str">
        <v/>
      </c>
      <c r="AS52" s="144" t="str">
        <v/>
      </c>
      <c r="AT52" s="144" t="str">
        <v/>
      </c>
      <c r="AU52" s="144" t="str">
        <v/>
      </c>
      <c r="AV52" s="144" t="str">
        <v/>
      </c>
      <c r="AW52" s="144" t="str">
        <v/>
      </c>
      <c r="AX52" s="144" t="str">
        <v/>
      </c>
      <c r="AY52" s="144" t="str">
        <v/>
      </c>
      <c r="AZ52" s="144" t="str">
        <v/>
      </c>
      <c r="BA52" s="144" t="str">
        <v/>
      </c>
      <c r="BB52" s="144" t="str">
        <v/>
      </c>
      <c r="BC52" s="144" t="str">
        <v/>
      </c>
      <c r="BD52" s="144" t="str">
        <v/>
      </c>
      <c r="BE52" s="144" t="str">
        <v/>
      </c>
      <c r="BF52" s="144" t="str">
        <v/>
      </c>
      <c r="BG52" s="144" t="str">
        <v/>
      </c>
      <c r="BH52" s="144" t="str">
        <v/>
      </c>
      <c r="BI52" s="144" t="str">
        <v/>
      </c>
      <c r="BJ52" s="144" t="str">
        <v/>
      </c>
      <c r="BK52" s="144" t="str">
        <v/>
      </c>
      <c r="BL52" s="144" t="str">
        <v/>
      </c>
      <c r="BM52" s="144" t="str">
        <v/>
      </c>
      <c r="BN52" s="144" t="str">
        <v/>
      </c>
      <c r="BO52" s="144" t="str">
        <v/>
      </c>
      <c r="BP52" s="144" t="str">
        <v/>
      </c>
      <c r="BQ52" s="144" t="str">
        <v/>
      </c>
      <c r="BR52" s="144" t="str">
        <v/>
      </c>
      <c r="BS52" s="144" t="str">
        <v/>
      </c>
      <c r="BT52" s="144" t="str">
        <v/>
      </c>
      <c r="BU52" s="144" t="str">
        <v/>
      </c>
      <c r="BV52" s="144" t="str">
        <v/>
      </c>
      <c r="BW52" s="144" t="str">
        <v/>
      </c>
      <c r="BX52" s="144" t="str">
        <v/>
      </c>
      <c r="BY52" s="144" t="str">
        <v/>
      </c>
      <c r="BZ52" s="144" t="str">
        <v/>
      </c>
      <c r="CA52" s="144" t="str">
        <v/>
      </c>
      <c r="CB52" s="144" t="str">
        <v/>
      </c>
      <c r="CC52" s="144" t="str">
        <v/>
      </c>
      <c r="CD52" s="144" t="str">
        <v/>
      </c>
      <c r="CE52" s="144" t="str">
        <v/>
      </c>
      <c r="CF52" s="144" t="str">
        <v/>
      </c>
      <c r="CG52" s="144" t="str">
        <v/>
      </c>
      <c r="CH52" s="144" t="str">
        <v/>
      </c>
      <c r="CI52" s="144" t="str">
        <v/>
      </c>
      <c r="CJ52" s="144" t="str">
        <v/>
      </c>
      <c r="CK52" s="144" t="str">
        <v/>
      </c>
      <c r="CL52" s="144" t="str">
        <v/>
      </c>
      <c r="CM52" s="144" t="str">
        <v/>
      </c>
      <c r="CN52" s="144" t="str">
        <v/>
      </c>
      <c r="CO52" s="144" t="str">
        <v/>
      </c>
      <c r="CP52" s="144" t="str">
        <v/>
      </c>
      <c r="CQ52" s="144" t="str">
        <v/>
      </c>
      <c r="CR52" s="144" t="str">
        <v/>
      </c>
      <c r="CS52" s="144" t="str">
        <v/>
      </c>
      <c r="CT52" s="144" t="str">
        <v/>
      </c>
      <c r="CU52" s="144" t="str">
        <v/>
      </c>
      <c r="CV52" s="144" t="str">
        <v/>
      </c>
      <c r="CW52" s="144" t="str">
        <v/>
      </c>
      <c r="CX52" s="144" t="str">
        <v/>
      </c>
      <c r="CY52" s="144" t="str">
        <v/>
      </c>
      <c r="CZ52" s="144" t="str">
        <v/>
      </c>
      <c r="DA52" s="144" t="str">
        <v/>
      </c>
      <c r="DB52" s="144" t="str">
        <v/>
      </c>
      <c r="DC52" s="144" t="str">
        <v/>
      </c>
      <c r="DD52" s="144" t="str">
        <v/>
      </c>
      <c r="DE52" s="144" t="str">
        <v/>
      </c>
      <c r="DF52" s="144" t="str">
        <v/>
      </c>
      <c r="DG52" s="144" t="str">
        <v/>
      </c>
      <c r="DH52" s="144" t="str">
        <v/>
      </c>
      <c r="DI52" s="144" t="str">
        <v/>
      </c>
      <c r="DJ52" s="144" t="str">
        <v/>
      </c>
      <c r="DK52" s="144" t="str">
        <v/>
      </c>
      <c r="DL52" s="144" t="str">
        <v/>
      </c>
      <c r="DM52" s="144" t="str">
        <v/>
      </c>
      <c r="DN52" s="144" t="str">
        <v/>
      </c>
      <c r="DO52" s="144" t="str">
        <v/>
      </c>
      <c r="DP52" s="144" t="str">
        <v/>
      </c>
      <c r="DQ52" s="144" t="str">
        <v/>
      </c>
      <c r="DR52" s="144" t="str">
        <v/>
      </c>
      <c r="DS52" s="144" t="str">
        <v/>
      </c>
      <c r="DT52" s="144" t="str">
        <v/>
      </c>
      <c r="DU52" s="144" t="str">
        <v/>
      </c>
      <c r="DV52" s="144" t="str">
        <v/>
      </c>
      <c r="DW52" s="144" t="str">
        <v/>
      </c>
      <c r="DX52" s="144" t="str">
        <v/>
      </c>
      <c r="DY52" s="144" t="str">
        <v/>
      </c>
      <c r="DZ52" t="str">
        <v/>
      </c>
      <c r="EA52" t="str">
        <v/>
      </c>
    </row>
    <row r="53" spans="10:131" x14ac:dyDescent="0.25">
      <c r="J53" t="str">
        <v>Press CAPEX</v>
      </c>
      <c r="K53">
        <v>10000</v>
      </c>
      <c r="L53" s="144">
        <v>10000</v>
      </c>
      <c r="M53" s="144">
        <v>0</v>
      </c>
      <c r="N53" s="144">
        <v>0</v>
      </c>
      <c r="O53" s="144">
        <v>0</v>
      </c>
      <c r="P53" s="144">
        <v>0</v>
      </c>
      <c r="Q53" s="144">
        <v>0</v>
      </c>
      <c r="R53" s="144">
        <v>0</v>
      </c>
      <c r="S53" s="144">
        <v>0</v>
      </c>
      <c r="T53" s="144">
        <v>0</v>
      </c>
      <c r="U53" s="144">
        <v>0</v>
      </c>
      <c r="V53" s="144">
        <v>0</v>
      </c>
      <c r="W53" s="144">
        <v>0</v>
      </c>
      <c r="X53" s="144">
        <v>0</v>
      </c>
      <c r="Y53" s="144">
        <v>0</v>
      </c>
      <c r="Z53" s="144">
        <v>0</v>
      </c>
      <c r="AA53" s="144">
        <v>0</v>
      </c>
      <c r="AB53" s="144">
        <v>0</v>
      </c>
      <c r="AC53" s="144">
        <v>0</v>
      </c>
      <c r="AD53" s="144">
        <v>0</v>
      </c>
      <c r="AE53" s="144">
        <v>0</v>
      </c>
      <c r="AF53" s="144">
        <v>0</v>
      </c>
      <c r="AG53" s="144">
        <v>0</v>
      </c>
      <c r="AH53" s="144">
        <v>0</v>
      </c>
      <c r="AI53" s="144">
        <v>0</v>
      </c>
      <c r="AJ53" s="144">
        <v>0</v>
      </c>
      <c r="AK53" s="144">
        <v>0</v>
      </c>
      <c r="AL53" s="144">
        <v>0</v>
      </c>
      <c r="AM53" s="144">
        <v>0</v>
      </c>
      <c r="AN53" s="144">
        <v>0</v>
      </c>
      <c r="AO53" s="144">
        <v>0</v>
      </c>
      <c r="AP53" s="144">
        <v>0</v>
      </c>
      <c r="AQ53" s="144">
        <v>0</v>
      </c>
      <c r="AR53" s="144">
        <v>0</v>
      </c>
      <c r="AS53" s="144">
        <v>0</v>
      </c>
      <c r="AT53" s="144">
        <v>0</v>
      </c>
      <c r="AU53" s="144">
        <v>0</v>
      </c>
      <c r="AV53" s="144">
        <v>0</v>
      </c>
      <c r="AW53" s="144">
        <v>0</v>
      </c>
      <c r="AX53" s="144">
        <v>0</v>
      </c>
      <c r="AY53" s="144">
        <v>0</v>
      </c>
      <c r="AZ53" s="144">
        <v>0</v>
      </c>
      <c r="BA53" s="144">
        <v>0</v>
      </c>
      <c r="BB53" s="144">
        <v>0</v>
      </c>
      <c r="BC53" s="144">
        <v>0</v>
      </c>
      <c r="BD53" s="144">
        <v>0</v>
      </c>
      <c r="BE53" s="144">
        <v>0</v>
      </c>
      <c r="BF53" s="144">
        <v>0</v>
      </c>
      <c r="BG53" s="144">
        <v>0</v>
      </c>
      <c r="BH53" s="144">
        <v>0</v>
      </c>
      <c r="BI53" s="144">
        <v>0</v>
      </c>
      <c r="BJ53" s="144">
        <v>0</v>
      </c>
      <c r="BK53" s="144">
        <v>0</v>
      </c>
      <c r="BL53" s="144">
        <v>0</v>
      </c>
      <c r="BM53" s="144">
        <v>0</v>
      </c>
      <c r="BN53" s="144">
        <v>0</v>
      </c>
      <c r="BO53" s="144">
        <v>0</v>
      </c>
      <c r="BP53" s="144">
        <v>0</v>
      </c>
      <c r="BQ53" s="144">
        <v>0</v>
      </c>
      <c r="BR53" s="144">
        <v>0</v>
      </c>
      <c r="BS53" s="144">
        <v>0</v>
      </c>
      <c r="BT53" s="144">
        <v>0</v>
      </c>
      <c r="BU53" s="144">
        <v>0</v>
      </c>
      <c r="BV53" s="144">
        <v>0</v>
      </c>
      <c r="BW53" s="144">
        <v>0</v>
      </c>
      <c r="BX53" s="144">
        <v>0</v>
      </c>
      <c r="BY53" s="144">
        <v>0</v>
      </c>
      <c r="BZ53" s="144">
        <v>0</v>
      </c>
      <c r="CA53" s="144">
        <v>0</v>
      </c>
      <c r="CB53" s="144">
        <v>0</v>
      </c>
      <c r="CC53" s="144">
        <v>0</v>
      </c>
      <c r="CD53" s="144">
        <v>0</v>
      </c>
      <c r="CE53" s="144">
        <v>0</v>
      </c>
      <c r="CF53" s="144">
        <v>0</v>
      </c>
      <c r="CG53" s="144">
        <v>0</v>
      </c>
      <c r="CH53" s="144">
        <v>0</v>
      </c>
      <c r="CI53" s="144">
        <v>0</v>
      </c>
      <c r="CJ53" s="144">
        <v>0</v>
      </c>
      <c r="CK53" s="144">
        <v>0</v>
      </c>
      <c r="CL53" s="144">
        <v>0</v>
      </c>
      <c r="CM53" s="144">
        <v>0</v>
      </c>
      <c r="CN53" s="144">
        <v>0</v>
      </c>
      <c r="CO53" s="144">
        <v>0</v>
      </c>
      <c r="CP53" s="144">
        <v>0</v>
      </c>
      <c r="CQ53" s="144">
        <v>0</v>
      </c>
      <c r="CR53" s="144">
        <v>0</v>
      </c>
      <c r="CS53" s="144">
        <v>0</v>
      </c>
      <c r="CT53" s="144">
        <v>0</v>
      </c>
      <c r="CU53" s="144">
        <v>0</v>
      </c>
      <c r="CV53" s="144">
        <v>0</v>
      </c>
      <c r="CW53" s="144">
        <v>0</v>
      </c>
      <c r="CX53" s="144">
        <v>0</v>
      </c>
      <c r="CY53" s="144">
        <v>0</v>
      </c>
      <c r="CZ53" s="144">
        <v>0</v>
      </c>
      <c r="DA53" s="144">
        <v>0</v>
      </c>
      <c r="DB53" s="144">
        <v>0</v>
      </c>
      <c r="DC53" s="144">
        <v>0</v>
      </c>
      <c r="DD53" s="144">
        <v>0</v>
      </c>
      <c r="DE53" s="144">
        <v>0</v>
      </c>
      <c r="DF53" s="144">
        <v>0</v>
      </c>
      <c r="DG53" s="144">
        <v>0</v>
      </c>
      <c r="DH53" s="144">
        <v>0</v>
      </c>
      <c r="DI53" s="144">
        <v>0</v>
      </c>
      <c r="DJ53" s="144">
        <v>0</v>
      </c>
      <c r="DK53" s="144">
        <v>0</v>
      </c>
      <c r="DL53" s="144">
        <v>0</v>
      </c>
      <c r="DM53" s="144">
        <v>0</v>
      </c>
      <c r="DN53" s="144">
        <v>0</v>
      </c>
      <c r="DO53" s="144">
        <v>0</v>
      </c>
      <c r="DP53" s="144">
        <v>0</v>
      </c>
      <c r="DQ53" s="144">
        <v>0</v>
      </c>
      <c r="DR53" s="144">
        <v>0</v>
      </c>
      <c r="DS53" s="144">
        <v>0</v>
      </c>
      <c r="DT53" s="144">
        <v>0</v>
      </c>
      <c r="DU53" s="144">
        <v>0</v>
      </c>
      <c r="DV53" s="144">
        <v>0</v>
      </c>
      <c r="DW53" s="144">
        <v>0</v>
      </c>
      <c r="DX53" s="144">
        <v>0</v>
      </c>
      <c r="DY53" s="144">
        <v>0</v>
      </c>
      <c r="DZ53">
        <v>0</v>
      </c>
      <c r="EA53">
        <v>0</v>
      </c>
    </row>
    <row r="54" spans="10:131" x14ac:dyDescent="0.25">
      <c r="J54" t="str">
        <v>Press Opening Value</v>
      </c>
      <c r="K54">
        <v>0</v>
      </c>
      <c r="L54" s="144">
        <v>10000</v>
      </c>
      <c r="M54" s="144">
        <v>8499.9699999999993</v>
      </c>
      <c r="N54" s="144">
        <v>6800.03</v>
      </c>
      <c r="O54" s="144">
        <v>5439.9699999999993</v>
      </c>
      <c r="P54" s="144">
        <v>4352.03</v>
      </c>
      <c r="Q54" s="144">
        <v>3481.57</v>
      </c>
      <c r="R54" s="144">
        <v>2785.3099999999986</v>
      </c>
      <c r="S54" s="144">
        <v>2228.2299999999973</v>
      </c>
      <c r="T54" s="144">
        <v>1782.6019999999967</v>
      </c>
      <c r="U54" s="144">
        <v>1426.0815999999959</v>
      </c>
      <c r="V54" s="144">
        <v>710.55727999999499</v>
      </c>
      <c r="W54" s="144">
        <v>499.99999999999886</v>
      </c>
      <c r="X54" s="144">
        <v>0</v>
      </c>
      <c r="Y54" s="144">
        <v>0</v>
      </c>
      <c r="Z54" s="144">
        <v>0</v>
      </c>
      <c r="AA54" s="144">
        <v>0</v>
      </c>
      <c r="AB54" s="144">
        <v>0</v>
      </c>
      <c r="AC54" s="144">
        <v>0</v>
      </c>
      <c r="AD54" s="144">
        <v>0</v>
      </c>
      <c r="AE54" s="144">
        <v>0</v>
      </c>
      <c r="AF54" s="144">
        <v>0</v>
      </c>
      <c r="AG54" s="144">
        <v>0</v>
      </c>
      <c r="AH54" s="144">
        <v>0</v>
      </c>
      <c r="AI54" s="144">
        <v>0</v>
      </c>
      <c r="AJ54" s="144">
        <v>0</v>
      </c>
      <c r="AK54" s="144">
        <v>0</v>
      </c>
      <c r="AL54" s="144">
        <v>0</v>
      </c>
      <c r="AM54" s="144">
        <v>0</v>
      </c>
      <c r="AN54" s="144">
        <v>0</v>
      </c>
      <c r="AO54" s="144">
        <v>0</v>
      </c>
      <c r="AP54" s="144">
        <v>0</v>
      </c>
      <c r="AQ54" s="144">
        <v>0</v>
      </c>
      <c r="AR54" s="144">
        <v>0</v>
      </c>
      <c r="AS54" s="144">
        <v>0</v>
      </c>
      <c r="AT54" s="144">
        <v>0</v>
      </c>
      <c r="AU54" s="144">
        <v>0</v>
      </c>
      <c r="AV54" s="144">
        <v>0</v>
      </c>
      <c r="AW54" s="144">
        <v>0</v>
      </c>
      <c r="AX54" s="144">
        <v>0</v>
      </c>
      <c r="AY54" s="144">
        <v>0</v>
      </c>
      <c r="AZ54" s="144">
        <v>0</v>
      </c>
      <c r="BA54" s="144">
        <v>0</v>
      </c>
      <c r="BB54" s="144">
        <v>0</v>
      </c>
      <c r="BC54" s="144">
        <v>0</v>
      </c>
      <c r="BD54" s="144">
        <v>0</v>
      </c>
      <c r="BE54" s="144">
        <v>0</v>
      </c>
      <c r="BF54" s="144">
        <v>0</v>
      </c>
      <c r="BG54" s="144">
        <v>0</v>
      </c>
      <c r="BH54" s="144">
        <v>0</v>
      </c>
      <c r="BI54" s="144">
        <v>0</v>
      </c>
      <c r="BJ54" s="144">
        <v>0</v>
      </c>
      <c r="BK54" s="144">
        <v>0</v>
      </c>
      <c r="BL54" s="144">
        <v>0</v>
      </c>
      <c r="BM54" s="144">
        <v>0</v>
      </c>
      <c r="BN54" s="144">
        <v>0</v>
      </c>
      <c r="BO54" s="144">
        <v>0</v>
      </c>
      <c r="BP54" s="144">
        <v>0</v>
      </c>
      <c r="BQ54" s="144">
        <v>0</v>
      </c>
      <c r="BR54" s="144">
        <v>0</v>
      </c>
      <c r="BS54" s="144">
        <v>0</v>
      </c>
      <c r="BT54" s="144">
        <v>0</v>
      </c>
      <c r="BU54" s="144">
        <v>0</v>
      </c>
      <c r="BV54" s="144">
        <v>0</v>
      </c>
      <c r="BW54" s="144">
        <v>0</v>
      </c>
      <c r="BX54" s="144">
        <v>0</v>
      </c>
      <c r="BY54" s="144">
        <v>0</v>
      </c>
      <c r="BZ54" s="144">
        <v>0</v>
      </c>
      <c r="CA54" s="144">
        <v>0</v>
      </c>
      <c r="CB54" s="144">
        <v>0</v>
      </c>
      <c r="CC54" s="144">
        <v>0</v>
      </c>
      <c r="CD54" s="144">
        <v>0</v>
      </c>
      <c r="CE54" s="144">
        <v>0</v>
      </c>
      <c r="CF54" s="144">
        <v>0</v>
      </c>
      <c r="CG54" s="144">
        <v>0</v>
      </c>
      <c r="CH54" s="144">
        <v>0</v>
      </c>
      <c r="CI54" s="144">
        <v>0</v>
      </c>
      <c r="CJ54" s="144">
        <v>0</v>
      </c>
      <c r="CK54" s="144">
        <v>0</v>
      </c>
      <c r="CL54" s="144">
        <v>0</v>
      </c>
      <c r="CM54" s="144">
        <v>0</v>
      </c>
      <c r="CN54" s="144">
        <v>0</v>
      </c>
      <c r="CO54" s="144">
        <v>0</v>
      </c>
      <c r="CP54" s="144">
        <v>0</v>
      </c>
      <c r="CQ54" s="144">
        <v>0</v>
      </c>
      <c r="CR54" s="144">
        <v>0</v>
      </c>
      <c r="CS54" s="144">
        <v>0</v>
      </c>
      <c r="CT54" s="144">
        <v>0</v>
      </c>
      <c r="CU54" s="144">
        <v>0</v>
      </c>
      <c r="CV54" s="144">
        <v>0</v>
      </c>
      <c r="CW54" s="144">
        <v>0</v>
      </c>
      <c r="CX54" s="144">
        <v>0</v>
      </c>
      <c r="CY54" s="144">
        <v>0</v>
      </c>
      <c r="CZ54" s="144">
        <v>0</v>
      </c>
      <c r="DA54" s="144">
        <v>0</v>
      </c>
      <c r="DB54" s="144">
        <v>0</v>
      </c>
      <c r="DC54" s="144">
        <v>0</v>
      </c>
      <c r="DD54" s="144">
        <v>0</v>
      </c>
      <c r="DE54" s="144">
        <v>0</v>
      </c>
      <c r="DF54" s="144">
        <v>0</v>
      </c>
      <c r="DG54" s="144">
        <v>0</v>
      </c>
      <c r="DH54" s="144">
        <v>0</v>
      </c>
      <c r="DI54" s="144">
        <v>0</v>
      </c>
      <c r="DJ54" s="144">
        <v>0</v>
      </c>
      <c r="DK54" s="144">
        <v>0</v>
      </c>
      <c r="DL54" s="144">
        <v>0</v>
      </c>
      <c r="DM54" s="144">
        <v>0</v>
      </c>
      <c r="DN54" s="144">
        <v>0</v>
      </c>
      <c r="DO54" s="144">
        <v>0</v>
      </c>
      <c r="DP54" s="144">
        <v>0</v>
      </c>
      <c r="DQ54" s="144">
        <v>0</v>
      </c>
      <c r="DR54" s="144">
        <v>0</v>
      </c>
      <c r="DS54" s="144">
        <v>0</v>
      </c>
      <c r="DT54" s="144">
        <v>0</v>
      </c>
      <c r="DU54" s="144">
        <v>0</v>
      </c>
      <c r="DV54" s="144">
        <v>0</v>
      </c>
      <c r="DW54" s="144">
        <v>0</v>
      </c>
      <c r="DX54" s="144">
        <v>0</v>
      </c>
      <c r="DY54" s="144">
        <v>0</v>
      </c>
      <c r="DZ54">
        <v>0</v>
      </c>
      <c r="EA54">
        <v>0</v>
      </c>
    </row>
    <row r="55" spans="10:131" x14ac:dyDescent="0.25">
      <c r="J55" t="str">
        <v>Press Depreciation</v>
      </c>
      <c r="K55">
        <v>9999.9999999999982</v>
      </c>
      <c r="L55" s="144">
        <v>1500.03</v>
      </c>
      <c r="M55" s="144">
        <v>1699.9399999999996</v>
      </c>
      <c r="N55" s="144">
        <v>1360.0600000000002</v>
      </c>
      <c r="O55" s="144">
        <v>1087.9400000000005</v>
      </c>
      <c r="P55" s="144">
        <v>870.45999999999992</v>
      </c>
      <c r="Q55" s="144">
        <v>696.26000000000056</v>
      </c>
      <c r="R55" s="144">
        <v>557.08000000000038</v>
      </c>
      <c r="S55" s="144">
        <v>445.62800000000027</v>
      </c>
      <c r="T55" s="144">
        <v>356.52040000000034</v>
      </c>
      <c r="U55" s="144">
        <v>715.52432000000044</v>
      </c>
      <c r="V55" s="144">
        <v>210.55727999999601</v>
      </c>
      <c r="W55" s="144">
        <v>500</v>
      </c>
      <c r="X55" s="144">
        <v>0</v>
      </c>
      <c r="Y55" s="144">
        <v>0</v>
      </c>
      <c r="Z55" s="144">
        <v>0</v>
      </c>
      <c r="AA55" s="144">
        <v>0</v>
      </c>
      <c r="AB55" s="144">
        <v>0</v>
      </c>
      <c r="AC55" s="144">
        <v>0</v>
      </c>
      <c r="AD55" s="144">
        <v>0</v>
      </c>
      <c r="AE55" s="144">
        <v>0</v>
      </c>
      <c r="AF55" s="144">
        <v>0</v>
      </c>
      <c r="AG55" s="144">
        <v>0</v>
      </c>
      <c r="AH55" s="144">
        <v>0</v>
      </c>
      <c r="AI55" s="144">
        <v>0</v>
      </c>
      <c r="AJ55" s="144">
        <v>0</v>
      </c>
      <c r="AK55" s="144">
        <v>0</v>
      </c>
      <c r="AL55" s="144">
        <v>0</v>
      </c>
      <c r="AM55" s="144">
        <v>0</v>
      </c>
      <c r="AN55" s="144">
        <v>0</v>
      </c>
      <c r="AO55" s="144">
        <v>0</v>
      </c>
      <c r="AP55" s="144">
        <v>0</v>
      </c>
      <c r="AQ55" s="144">
        <v>0</v>
      </c>
      <c r="AR55" s="144">
        <v>0</v>
      </c>
      <c r="AS55" s="144">
        <v>0</v>
      </c>
      <c r="AT55" s="144">
        <v>0</v>
      </c>
      <c r="AU55" s="144">
        <v>0</v>
      </c>
      <c r="AV55" s="144">
        <v>0</v>
      </c>
      <c r="AW55" s="144">
        <v>0</v>
      </c>
      <c r="AX55" s="144">
        <v>0</v>
      </c>
      <c r="AY55" s="144">
        <v>0</v>
      </c>
      <c r="AZ55" s="144">
        <v>0</v>
      </c>
      <c r="BA55" s="144">
        <v>0</v>
      </c>
      <c r="BB55" s="144">
        <v>0</v>
      </c>
      <c r="BC55" s="144">
        <v>0</v>
      </c>
      <c r="BD55" s="144">
        <v>0</v>
      </c>
      <c r="BE55" s="144">
        <v>0</v>
      </c>
      <c r="BF55" s="144">
        <v>0</v>
      </c>
      <c r="BG55" s="144">
        <v>0</v>
      </c>
      <c r="BH55" s="144">
        <v>0</v>
      </c>
      <c r="BI55" s="144">
        <v>0</v>
      </c>
      <c r="BJ55" s="144">
        <v>0</v>
      </c>
      <c r="BK55" s="144">
        <v>0</v>
      </c>
      <c r="BL55" s="144">
        <v>0</v>
      </c>
      <c r="BM55" s="144">
        <v>0</v>
      </c>
      <c r="BN55" s="144">
        <v>0</v>
      </c>
      <c r="BO55" s="144">
        <v>0</v>
      </c>
      <c r="BP55" s="144">
        <v>0</v>
      </c>
      <c r="BQ55" s="144">
        <v>0</v>
      </c>
      <c r="BR55" s="144">
        <v>0</v>
      </c>
      <c r="BS55" s="144">
        <v>0</v>
      </c>
      <c r="BT55" s="144">
        <v>0</v>
      </c>
      <c r="BU55" s="144">
        <v>0</v>
      </c>
      <c r="BV55" s="144">
        <v>0</v>
      </c>
      <c r="BW55" s="144">
        <v>0</v>
      </c>
      <c r="BX55" s="144">
        <v>0</v>
      </c>
      <c r="BY55" s="144">
        <v>0</v>
      </c>
      <c r="BZ55" s="144">
        <v>0</v>
      </c>
      <c r="CA55" s="144">
        <v>0</v>
      </c>
      <c r="CB55" s="144">
        <v>0</v>
      </c>
      <c r="CC55" s="144">
        <v>0</v>
      </c>
      <c r="CD55" s="144">
        <v>0</v>
      </c>
      <c r="CE55" s="144">
        <v>0</v>
      </c>
      <c r="CF55" s="144">
        <v>0</v>
      </c>
      <c r="CG55" s="144">
        <v>0</v>
      </c>
      <c r="CH55" s="144">
        <v>0</v>
      </c>
      <c r="CI55" s="144">
        <v>0</v>
      </c>
      <c r="CJ55" s="144">
        <v>0</v>
      </c>
      <c r="CK55" s="144">
        <v>0</v>
      </c>
      <c r="CL55" s="144">
        <v>0</v>
      </c>
      <c r="CM55" s="144">
        <v>0</v>
      </c>
      <c r="CN55" s="144">
        <v>0</v>
      </c>
      <c r="CO55" s="144">
        <v>0</v>
      </c>
      <c r="CP55" s="144">
        <v>0</v>
      </c>
      <c r="CQ55" s="144">
        <v>0</v>
      </c>
      <c r="CR55" s="144">
        <v>0</v>
      </c>
      <c r="CS55" s="144">
        <v>0</v>
      </c>
      <c r="CT55" s="144">
        <v>0</v>
      </c>
      <c r="CU55" s="144">
        <v>0</v>
      </c>
      <c r="CV55" s="144">
        <v>0</v>
      </c>
      <c r="CW55" s="144">
        <v>0</v>
      </c>
      <c r="CX55" s="144">
        <v>0</v>
      </c>
      <c r="CY55" s="144">
        <v>0</v>
      </c>
      <c r="CZ55" s="144">
        <v>0</v>
      </c>
      <c r="DA55" s="144">
        <v>0</v>
      </c>
      <c r="DB55" s="144">
        <v>0</v>
      </c>
      <c r="DC55" s="144">
        <v>0</v>
      </c>
      <c r="DD55" s="144">
        <v>0</v>
      </c>
      <c r="DE55" s="144">
        <v>0</v>
      </c>
      <c r="DF55" s="144">
        <v>0</v>
      </c>
      <c r="DG55" s="144">
        <v>0</v>
      </c>
      <c r="DH55" s="144">
        <v>0</v>
      </c>
      <c r="DI55" s="144">
        <v>0</v>
      </c>
      <c r="DJ55" s="144">
        <v>0</v>
      </c>
      <c r="DK55" s="144">
        <v>0</v>
      </c>
      <c r="DL55" s="144">
        <v>0</v>
      </c>
      <c r="DM55" s="144">
        <v>0</v>
      </c>
      <c r="DN55" s="144">
        <v>0</v>
      </c>
      <c r="DO55" s="144">
        <v>0</v>
      </c>
      <c r="DP55" s="144">
        <v>0</v>
      </c>
      <c r="DQ55" s="144">
        <v>0</v>
      </c>
      <c r="DR55" s="144">
        <v>0</v>
      </c>
      <c r="DS55" s="144">
        <v>0</v>
      </c>
      <c r="DT55" s="144">
        <v>0</v>
      </c>
      <c r="DU55" s="144">
        <v>0</v>
      </c>
      <c r="DV55" s="144">
        <v>0</v>
      </c>
      <c r="DW55" s="144">
        <v>0</v>
      </c>
      <c r="DX55" s="144">
        <v>0</v>
      </c>
      <c r="DY55" s="144">
        <v>0</v>
      </c>
      <c r="DZ55">
        <v>0</v>
      </c>
      <c r="EA55">
        <v>0</v>
      </c>
    </row>
    <row r="56" spans="10:131" x14ac:dyDescent="0.25">
      <c r="J56" t="str">
        <v>Press Book Value</v>
      </c>
      <c r="K56">
        <v>0</v>
      </c>
      <c r="L56" s="144">
        <v>8499.9699999999993</v>
      </c>
      <c r="M56" s="144">
        <v>6800.03</v>
      </c>
      <c r="N56" s="144">
        <v>5439.9699999999993</v>
      </c>
      <c r="O56" s="144">
        <v>4352.0299999999988</v>
      </c>
      <c r="P56" s="144">
        <v>3481.5699999999997</v>
      </c>
      <c r="Q56" s="144">
        <v>2785.3099999999995</v>
      </c>
      <c r="R56" s="144">
        <v>2228.2299999999982</v>
      </c>
      <c r="S56" s="144">
        <v>1782.6019999999971</v>
      </c>
      <c r="T56" s="144">
        <v>1426.0815999999963</v>
      </c>
      <c r="U56" s="144">
        <v>710.55727999999544</v>
      </c>
      <c r="V56" s="144">
        <v>499.99999999999898</v>
      </c>
      <c r="W56" s="144">
        <v>-1.1368683772161603E-12</v>
      </c>
      <c r="X56" s="144">
        <v>0</v>
      </c>
      <c r="Y56" s="144">
        <v>0</v>
      </c>
      <c r="Z56" s="144">
        <v>0</v>
      </c>
      <c r="AA56" s="144">
        <v>0</v>
      </c>
      <c r="AB56" s="144">
        <v>0</v>
      </c>
      <c r="AC56" s="144">
        <v>0</v>
      </c>
      <c r="AD56" s="144">
        <v>0</v>
      </c>
      <c r="AE56" s="144">
        <v>0</v>
      </c>
      <c r="AF56" s="144">
        <v>0</v>
      </c>
      <c r="AG56" s="144">
        <v>0</v>
      </c>
      <c r="AH56" s="144">
        <v>0</v>
      </c>
      <c r="AI56" s="144">
        <v>0</v>
      </c>
      <c r="AJ56" s="144">
        <v>0</v>
      </c>
      <c r="AK56" s="144">
        <v>0</v>
      </c>
      <c r="AL56" s="144">
        <v>0</v>
      </c>
      <c r="AM56" s="144">
        <v>0</v>
      </c>
      <c r="AN56" s="144">
        <v>0</v>
      </c>
      <c r="AO56" s="144">
        <v>0</v>
      </c>
      <c r="AP56" s="144">
        <v>0</v>
      </c>
      <c r="AQ56" s="144">
        <v>0</v>
      </c>
      <c r="AR56" s="144">
        <v>0</v>
      </c>
      <c r="AS56" s="144">
        <v>0</v>
      </c>
      <c r="AT56" s="144">
        <v>0</v>
      </c>
      <c r="AU56" s="144">
        <v>0</v>
      </c>
      <c r="AV56" s="144">
        <v>0</v>
      </c>
      <c r="AW56" s="144">
        <v>0</v>
      </c>
      <c r="AX56" s="144">
        <v>0</v>
      </c>
      <c r="AY56" s="144">
        <v>0</v>
      </c>
      <c r="AZ56" s="144">
        <v>0</v>
      </c>
      <c r="BA56" s="144">
        <v>0</v>
      </c>
      <c r="BB56" s="144">
        <v>0</v>
      </c>
      <c r="BC56" s="144">
        <v>0</v>
      </c>
      <c r="BD56" s="144">
        <v>0</v>
      </c>
      <c r="BE56" s="144">
        <v>0</v>
      </c>
      <c r="BF56" s="144">
        <v>0</v>
      </c>
      <c r="BG56" s="144">
        <v>0</v>
      </c>
      <c r="BH56" s="144">
        <v>0</v>
      </c>
      <c r="BI56" s="144">
        <v>0</v>
      </c>
      <c r="BJ56" s="144">
        <v>0</v>
      </c>
      <c r="BK56" s="144">
        <v>0</v>
      </c>
      <c r="BL56" s="144">
        <v>0</v>
      </c>
      <c r="BM56" s="144">
        <v>0</v>
      </c>
      <c r="BN56" s="144">
        <v>0</v>
      </c>
      <c r="BO56" s="144">
        <v>0</v>
      </c>
      <c r="BP56" s="144">
        <v>0</v>
      </c>
      <c r="BQ56" s="144">
        <v>0</v>
      </c>
      <c r="BR56" s="144">
        <v>0</v>
      </c>
      <c r="BS56" s="144">
        <v>0</v>
      </c>
      <c r="BT56" s="144">
        <v>0</v>
      </c>
      <c r="BU56" s="144">
        <v>0</v>
      </c>
      <c r="BV56" s="144">
        <v>0</v>
      </c>
      <c r="BW56" s="144">
        <v>0</v>
      </c>
      <c r="BX56" s="144">
        <v>0</v>
      </c>
      <c r="BY56" s="144">
        <v>0</v>
      </c>
      <c r="BZ56" s="144">
        <v>0</v>
      </c>
      <c r="CA56" s="144">
        <v>0</v>
      </c>
      <c r="CB56" s="144">
        <v>0</v>
      </c>
      <c r="CC56" s="144">
        <v>0</v>
      </c>
      <c r="CD56" s="144">
        <v>0</v>
      </c>
      <c r="CE56" s="144">
        <v>0</v>
      </c>
      <c r="CF56" s="144">
        <v>0</v>
      </c>
      <c r="CG56" s="144">
        <v>0</v>
      </c>
      <c r="CH56" s="144">
        <v>0</v>
      </c>
      <c r="CI56" s="144">
        <v>0</v>
      </c>
      <c r="CJ56" s="144">
        <v>0</v>
      </c>
      <c r="CK56" s="144">
        <v>0</v>
      </c>
      <c r="CL56" s="144">
        <v>0</v>
      </c>
      <c r="CM56" s="144">
        <v>0</v>
      </c>
      <c r="CN56" s="144">
        <v>0</v>
      </c>
      <c r="CO56" s="144">
        <v>0</v>
      </c>
      <c r="CP56" s="144">
        <v>0</v>
      </c>
      <c r="CQ56" s="144">
        <v>0</v>
      </c>
      <c r="CR56" s="144">
        <v>0</v>
      </c>
      <c r="CS56" s="144">
        <v>0</v>
      </c>
      <c r="CT56" s="144">
        <v>0</v>
      </c>
      <c r="CU56" s="144">
        <v>0</v>
      </c>
      <c r="CV56" s="144">
        <v>0</v>
      </c>
      <c r="CW56" s="144">
        <v>0</v>
      </c>
      <c r="CX56" s="144">
        <v>0</v>
      </c>
      <c r="CY56" s="144">
        <v>0</v>
      </c>
      <c r="CZ56" s="144">
        <v>0</v>
      </c>
      <c r="DA56" s="144">
        <v>0</v>
      </c>
      <c r="DB56" s="144">
        <v>0</v>
      </c>
      <c r="DC56" s="144">
        <v>0</v>
      </c>
      <c r="DD56" s="144">
        <v>0</v>
      </c>
      <c r="DE56" s="144">
        <v>0</v>
      </c>
      <c r="DF56" s="144">
        <v>0</v>
      </c>
      <c r="DG56" s="144">
        <v>0</v>
      </c>
      <c r="DH56" s="144">
        <v>0</v>
      </c>
      <c r="DI56" s="144">
        <v>0</v>
      </c>
      <c r="DJ56" s="144">
        <v>0</v>
      </c>
      <c r="DK56" s="144">
        <v>0</v>
      </c>
      <c r="DL56" s="144">
        <v>0</v>
      </c>
      <c r="DM56" s="144">
        <v>0</v>
      </c>
      <c r="DN56" s="144">
        <v>0</v>
      </c>
      <c r="DO56" s="144">
        <v>0</v>
      </c>
      <c r="DP56" s="144">
        <v>0</v>
      </c>
      <c r="DQ56" s="144">
        <v>0</v>
      </c>
      <c r="DR56" s="144">
        <v>0</v>
      </c>
      <c r="DS56" s="144">
        <v>0</v>
      </c>
      <c r="DT56" s="144">
        <v>0</v>
      </c>
      <c r="DU56" s="144">
        <v>0</v>
      </c>
      <c r="DV56" s="144">
        <v>0</v>
      </c>
      <c r="DW56" s="144">
        <v>0</v>
      </c>
      <c r="DX56" s="144">
        <v>0</v>
      </c>
      <c r="DY56" s="144">
        <v>0</v>
      </c>
      <c r="DZ56">
        <v>0</v>
      </c>
      <c r="EA56">
        <v>0</v>
      </c>
    </row>
    <row r="57" spans="10:131" x14ac:dyDescent="0.25">
      <c r="J57" t="str">
        <v>Press Revenue from Sale</v>
      </c>
      <c r="K57">
        <v>500</v>
      </c>
      <c r="L57" s="144">
        <v>0</v>
      </c>
      <c r="M57" s="144">
        <v>0</v>
      </c>
      <c r="N57" s="144">
        <v>0</v>
      </c>
      <c r="O57" s="144">
        <v>0</v>
      </c>
      <c r="P57" s="144">
        <v>0</v>
      </c>
      <c r="Q57" s="144">
        <v>0</v>
      </c>
      <c r="R57" s="144">
        <v>0</v>
      </c>
      <c r="S57" s="144">
        <v>0</v>
      </c>
      <c r="T57" s="144">
        <v>0</v>
      </c>
      <c r="U57" s="144">
        <v>0</v>
      </c>
      <c r="V57" s="144">
        <v>0</v>
      </c>
      <c r="W57" s="144">
        <v>500</v>
      </c>
      <c r="X57" s="144">
        <v>0</v>
      </c>
      <c r="Y57" s="144">
        <v>0</v>
      </c>
      <c r="Z57" s="144">
        <v>0</v>
      </c>
      <c r="AA57" s="144">
        <v>0</v>
      </c>
      <c r="AB57" s="144">
        <v>0</v>
      </c>
      <c r="AC57" s="144">
        <v>0</v>
      </c>
      <c r="AD57" s="144">
        <v>0</v>
      </c>
      <c r="AE57" s="144">
        <v>0</v>
      </c>
      <c r="AF57" s="144">
        <v>0</v>
      </c>
      <c r="AG57" s="144">
        <v>0</v>
      </c>
      <c r="AH57" s="144">
        <v>0</v>
      </c>
      <c r="AI57" s="144">
        <v>0</v>
      </c>
      <c r="AJ57" s="144">
        <v>0</v>
      </c>
      <c r="AK57" s="144">
        <v>0</v>
      </c>
      <c r="AL57" s="144">
        <v>0</v>
      </c>
      <c r="AM57" s="144">
        <v>0</v>
      </c>
      <c r="AN57" s="144">
        <v>0</v>
      </c>
      <c r="AO57" s="144">
        <v>0</v>
      </c>
      <c r="AP57" s="144">
        <v>0</v>
      </c>
      <c r="AQ57" s="144">
        <v>0</v>
      </c>
      <c r="AR57" s="144">
        <v>0</v>
      </c>
      <c r="AS57" s="144">
        <v>0</v>
      </c>
      <c r="AT57" s="144">
        <v>0</v>
      </c>
      <c r="AU57" s="144">
        <v>0</v>
      </c>
      <c r="AV57" s="144">
        <v>0</v>
      </c>
      <c r="AW57" s="144">
        <v>0</v>
      </c>
      <c r="AX57" s="144">
        <v>0</v>
      </c>
      <c r="AY57" s="144">
        <v>0</v>
      </c>
      <c r="AZ57" s="144">
        <v>0</v>
      </c>
      <c r="BA57" s="144">
        <v>0</v>
      </c>
      <c r="BB57" s="144">
        <v>0</v>
      </c>
      <c r="BC57" s="144">
        <v>0</v>
      </c>
      <c r="BD57" s="144">
        <v>0</v>
      </c>
      <c r="BE57" s="144">
        <v>0</v>
      </c>
      <c r="BF57" s="144">
        <v>0</v>
      </c>
      <c r="BG57" s="144">
        <v>0</v>
      </c>
      <c r="BH57" s="144">
        <v>0</v>
      </c>
      <c r="BI57" s="144">
        <v>0</v>
      </c>
      <c r="BJ57" s="144">
        <v>0</v>
      </c>
      <c r="BK57" s="144">
        <v>0</v>
      </c>
      <c r="BL57" s="144">
        <v>0</v>
      </c>
      <c r="BM57" s="144">
        <v>0</v>
      </c>
      <c r="BN57" s="144">
        <v>0</v>
      </c>
      <c r="BO57" s="144">
        <v>0</v>
      </c>
      <c r="BP57" s="144">
        <v>0</v>
      </c>
      <c r="BQ57" s="144">
        <v>0</v>
      </c>
      <c r="BR57" s="144">
        <v>0</v>
      </c>
      <c r="BS57" s="144">
        <v>0</v>
      </c>
      <c r="BT57" s="144">
        <v>0</v>
      </c>
      <c r="BU57" s="144">
        <v>0</v>
      </c>
      <c r="BV57" s="144">
        <v>0</v>
      </c>
      <c r="BW57" s="144">
        <v>0</v>
      </c>
      <c r="BX57" s="144">
        <v>0</v>
      </c>
      <c r="BY57" s="144">
        <v>0</v>
      </c>
      <c r="BZ57" s="144">
        <v>0</v>
      </c>
      <c r="CA57" s="144">
        <v>0</v>
      </c>
      <c r="CB57" s="144">
        <v>0</v>
      </c>
      <c r="CC57" s="144">
        <v>0</v>
      </c>
      <c r="CD57" s="144">
        <v>0</v>
      </c>
      <c r="CE57" s="144">
        <v>0</v>
      </c>
      <c r="CF57" s="144">
        <v>0</v>
      </c>
      <c r="CG57" s="144">
        <v>0</v>
      </c>
      <c r="CH57" s="144">
        <v>0</v>
      </c>
      <c r="CI57" s="144">
        <v>0</v>
      </c>
      <c r="CJ57" s="144">
        <v>0</v>
      </c>
      <c r="CK57" s="144">
        <v>0</v>
      </c>
      <c r="CL57" s="144">
        <v>0</v>
      </c>
      <c r="CM57" s="144">
        <v>0</v>
      </c>
      <c r="CN57" s="144">
        <v>0</v>
      </c>
      <c r="CO57" s="144">
        <v>0</v>
      </c>
      <c r="CP57" s="144">
        <v>0</v>
      </c>
      <c r="CQ57" s="144">
        <v>0</v>
      </c>
      <c r="CR57" s="144">
        <v>0</v>
      </c>
      <c r="CS57" s="144">
        <v>0</v>
      </c>
      <c r="CT57" s="144">
        <v>0</v>
      </c>
      <c r="CU57" s="144">
        <v>0</v>
      </c>
      <c r="CV57" s="144">
        <v>0</v>
      </c>
      <c r="CW57" s="144">
        <v>0</v>
      </c>
      <c r="CX57" s="144">
        <v>0</v>
      </c>
      <c r="CY57" s="144">
        <v>0</v>
      </c>
      <c r="CZ57" s="144">
        <v>0</v>
      </c>
      <c r="DA57" s="144">
        <v>0</v>
      </c>
      <c r="DB57" s="144">
        <v>0</v>
      </c>
      <c r="DC57" s="144">
        <v>0</v>
      </c>
      <c r="DD57" s="144">
        <v>0</v>
      </c>
      <c r="DE57" s="144">
        <v>0</v>
      </c>
      <c r="DF57" s="144">
        <v>0</v>
      </c>
      <c r="DG57" s="144">
        <v>0</v>
      </c>
      <c r="DH57" s="144">
        <v>0</v>
      </c>
      <c r="DI57" s="144">
        <v>0</v>
      </c>
      <c r="DJ57" s="144">
        <v>0</v>
      </c>
      <c r="DK57" s="144">
        <v>0</v>
      </c>
      <c r="DL57" s="144">
        <v>0</v>
      </c>
      <c r="DM57" s="144">
        <v>0</v>
      </c>
      <c r="DN57" s="144">
        <v>0</v>
      </c>
      <c r="DO57" s="144">
        <v>0</v>
      </c>
      <c r="DP57" s="144">
        <v>0</v>
      </c>
      <c r="DQ57" s="144">
        <v>0</v>
      </c>
      <c r="DR57" s="144">
        <v>0</v>
      </c>
      <c r="DS57" s="144">
        <v>0</v>
      </c>
      <c r="DT57" s="144">
        <v>0</v>
      </c>
      <c r="DU57" s="144">
        <v>0</v>
      </c>
      <c r="DV57" s="144">
        <v>0</v>
      </c>
      <c r="DW57" s="144">
        <v>0</v>
      </c>
      <c r="DX57" s="144">
        <v>0</v>
      </c>
      <c r="DY57" s="144">
        <v>0</v>
      </c>
      <c r="DZ57">
        <v>0</v>
      </c>
      <c r="EA57">
        <v>0</v>
      </c>
    </row>
    <row r="58" spans="10:131" x14ac:dyDescent="0.25">
      <c r="J58" t="str">
        <v>Press Disposal Costs</v>
      </c>
      <c r="K58">
        <v>100</v>
      </c>
      <c r="L58" s="144">
        <v>0</v>
      </c>
      <c r="M58" s="144">
        <v>0</v>
      </c>
      <c r="N58" s="144">
        <v>0</v>
      </c>
      <c r="O58" s="144">
        <v>0</v>
      </c>
      <c r="P58" s="144">
        <v>0</v>
      </c>
      <c r="Q58" s="144">
        <v>0</v>
      </c>
      <c r="R58" s="144">
        <v>0</v>
      </c>
      <c r="S58" s="144">
        <v>0</v>
      </c>
      <c r="T58" s="144">
        <v>0</v>
      </c>
      <c r="U58" s="144">
        <v>0</v>
      </c>
      <c r="V58" s="144">
        <v>0</v>
      </c>
      <c r="W58" s="144">
        <v>100</v>
      </c>
      <c r="X58" s="144">
        <v>0</v>
      </c>
      <c r="Y58" s="144">
        <v>0</v>
      </c>
      <c r="Z58" s="144">
        <v>0</v>
      </c>
      <c r="AA58" s="144">
        <v>0</v>
      </c>
      <c r="AB58" s="144">
        <v>0</v>
      </c>
      <c r="AC58" s="144">
        <v>0</v>
      </c>
      <c r="AD58" s="144">
        <v>0</v>
      </c>
      <c r="AE58" s="144">
        <v>0</v>
      </c>
      <c r="AF58" s="144">
        <v>0</v>
      </c>
      <c r="AG58" s="144">
        <v>0</v>
      </c>
      <c r="AH58" s="144">
        <v>0</v>
      </c>
      <c r="AI58" s="144">
        <v>0</v>
      </c>
      <c r="AJ58" s="144">
        <v>0</v>
      </c>
      <c r="AK58" s="144">
        <v>0</v>
      </c>
      <c r="AL58" s="144">
        <v>0</v>
      </c>
      <c r="AM58" s="144">
        <v>0</v>
      </c>
      <c r="AN58" s="144">
        <v>0</v>
      </c>
      <c r="AO58" s="144">
        <v>0</v>
      </c>
      <c r="AP58" s="144">
        <v>0</v>
      </c>
      <c r="AQ58" s="144">
        <v>0</v>
      </c>
      <c r="AR58" s="144">
        <v>0</v>
      </c>
      <c r="AS58" s="144">
        <v>0</v>
      </c>
      <c r="AT58" s="144">
        <v>0</v>
      </c>
      <c r="AU58" s="144">
        <v>0</v>
      </c>
      <c r="AV58" s="144">
        <v>0</v>
      </c>
      <c r="AW58" s="144">
        <v>0</v>
      </c>
      <c r="AX58" s="144">
        <v>0</v>
      </c>
      <c r="AY58" s="144">
        <v>0</v>
      </c>
      <c r="AZ58" s="144">
        <v>0</v>
      </c>
      <c r="BA58" s="144">
        <v>0</v>
      </c>
      <c r="BB58" s="144">
        <v>0</v>
      </c>
      <c r="BC58" s="144">
        <v>0</v>
      </c>
      <c r="BD58" s="144">
        <v>0</v>
      </c>
      <c r="BE58" s="144">
        <v>0</v>
      </c>
      <c r="BF58" s="144">
        <v>0</v>
      </c>
      <c r="BG58" s="144">
        <v>0</v>
      </c>
      <c r="BH58" s="144">
        <v>0</v>
      </c>
      <c r="BI58" s="144">
        <v>0</v>
      </c>
      <c r="BJ58" s="144">
        <v>0</v>
      </c>
      <c r="BK58" s="144">
        <v>0</v>
      </c>
      <c r="BL58" s="144">
        <v>0</v>
      </c>
      <c r="BM58" s="144">
        <v>0</v>
      </c>
      <c r="BN58" s="144">
        <v>0</v>
      </c>
      <c r="BO58" s="144">
        <v>0</v>
      </c>
      <c r="BP58" s="144">
        <v>0</v>
      </c>
      <c r="BQ58" s="144">
        <v>0</v>
      </c>
      <c r="BR58" s="144">
        <v>0</v>
      </c>
      <c r="BS58" s="144">
        <v>0</v>
      </c>
      <c r="BT58" s="144">
        <v>0</v>
      </c>
      <c r="BU58" s="144">
        <v>0</v>
      </c>
      <c r="BV58" s="144">
        <v>0</v>
      </c>
      <c r="BW58" s="144">
        <v>0</v>
      </c>
      <c r="BX58" s="144">
        <v>0</v>
      </c>
      <c r="BY58" s="144">
        <v>0</v>
      </c>
      <c r="BZ58" s="144">
        <v>0</v>
      </c>
      <c r="CA58" s="144">
        <v>0</v>
      </c>
      <c r="CB58" s="144">
        <v>0</v>
      </c>
      <c r="CC58" s="144">
        <v>0</v>
      </c>
      <c r="CD58" s="144">
        <v>0</v>
      </c>
      <c r="CE58" s="144">
        <v>0</v>
      </c>
      <c r="CF58" s="144">
        <v>0</v>
      </c>
      <c r="CG58" s="144">
        <v>0</v>
      </c>
      <c r="CH58" s="144">
        <v>0</v>
      </c>
      <c r="CI58" s="144">
        <v>0</v>
      </c>
      <c r="CJ58" s="144">
        <v>0</v>
      </c>
      <c r="CK58" s="144">
        <v>0</v>
      </c>
      <c r="CL58" s="144">
        <v>0</v>
      </c>
      <c r="CM58" s="144">
        <v>0</v>
      </c>
      <c r="CN58" s="144">
        <v>0</v>
      </c>
      <c r="CO58" s="144">
        <v>0</v>
      </c>
      <c r="CP58" s="144">
        <v>0</v>
      </c>
      <c r="CQ58" s="144">
        <v>0</v>
      </c>
      <c r="CR58" s="144">
        <v>0</v>
      </c>
      <c r="CS58" s="144">
        <v>0</v>
      </c>
      <c r="CT58" s="144">
        <v>0</v>
      </c>
      <c r="CU58" s="144">
        <v>0</v>
      </c>
      <c r="CV58" s="144">
        <v>0</v>
      </c>
      <c r="CW58" s="144">
        <v>0</v>
      </c>
      <c r="CX58" s="144">
        <v>0</v>
      </c>
      <c r="CY58" s="144">
        <v>0</v>
      </c>
      <c r="CZ58" s="144">
        <v>0</v>
      </c>
      <c r="DA58" s="144">
        <v>0</v>
      </c>
      <c r="DB58" s="144">
        <v>0</v>
      </c>
      <c r="DC58" s="144">
        <v>0</v>
      </c>
      <c r="DD58" s="144">
        <v>0</v>
      </c>
      <c r="DE58" s="144">
        <v>0</v>
      </c>
      <c r="DF58" s="144">
        <v>0</v>
      </c>
      <c r="DG58" s="144">
        <v>0</v>
      </c>
      <c r="DH58" s="144">
        <v>0</v>
      </c>
      <c r="DI58" s="144">
        <v>0</v>
      </c>
      <c r="DJ58" s="144">
        <v>0</v>
      </c>
      <c r="DK58" s="144">
        <v>0</v>
      </c>
      <c r="DL58" s="144">
        <v>0</v>
      </c>
      <c r="DM58" s="144">
        <v>0</v>
      </c>
      <c r="DN58" s="144">
        <v>0</v>
      </c>
      <c r="DO58" s="144">
        <v>0</v>
      </c>
      <c r="DP58" s="144">
        <v>0</v>
      </c>
      <c r="DQ58" s="144">
        <v>0</v>
      </c>
      <c r="DR58" s="144">
        <v>0</v>
      </c>
      <c r="DS58" s="144">
        <v>0</v>
      </c>
      <c r="DT58" s="144">
        <v>0</v>
      </c>
      <c r="DU58" s="144">
        <v>0</v>
      </c>
      <c r="DV58" s="144">
        <v>0</v>
      </c>
      <c r="DW58" s="144">
        <v>0</v>
      </c>
      <c r="DX58" s="144">
        <v>0</v>
      </c>
      <c r="DY58" s="144">
        <v>0</v>
      </c>
      <c r="DZ58">
        <v>0</v>
      </c>
      <c r="EA58">
        <v>0</v>
      </c>
    </row>
    <row r="59" spans="10:131" x14ac:dyDescent="0.25">
      <c r="J59" t="str">
        <v/>
      </c>
      <c r="K59">
        <v>0</v>
      </c>
      <c r="L59" s="144" t="str">
        <v/>
      </c>
      <c r="M59" s="144" t="str">
        <v/>
      </c>
      <c r="N59" s="144" t="str">
        <v/>
      </c>
      <c r="O59" s="144" t="str">
        <v/>
      </c>
      <c r="P59" s="144" t="str">
        <v/>
      </c>
      <c r="Q59" s="144" t="str">
        <v/>
      </c>
      <c r="R59" s="144" t="str">
        <v/>
      </c>
      <c r="S59" s="144" t="str">
        <v/>
      </c>
      <c r="T59" s="144" t="str">
        <v/>
      </c>
      <c r="U59" s="144" t="str">
        <v/>
      </c>
      <c r="V59" s="144" t="str">
        <v/>
      </c>
      <c r="W59" s="144" t="str">
        <v/>
      </c>
      <c r="X59" s="144" t="str">
        <v/>
      </c>
      <c r="Y59" s="144" t="str">
        <v/>
      </c>
      <c r="Z59" s="144" t="str">
        <v/>
      </c>
      <c r="AA59" s="144" t="str">
        <v/>
      </c>
      <c r="AB59" s="144" t="str">
        <v/>
      </c>
      <c r="AC59" s="144" t="str">
        <v/>
      </c>
      <c r="AD59" s="144" t="str">
        <v/>
      </c>
      <c r="AE59" s="144" t="str">
        <v/>
      </c>
      <c r="AF59" s="144" t="str">
        <v/>
      </c>
      <c r="AG59" s="144" t="str">
        <v/>
      </c>
      <c r="AH59" s="144" t="str">
        <v/>
      </c>
      <c r="AI59" s="144" t="str">
        <v/>
      </c>
      <c r="AJ59" s="144" t="str">
        <v/>
      </c>
      <c r="AK59" s="144" t="str">
        <v/>
      </c>
      <c r="AL59" s="144" t="str">
        <v/>
      </c>
      <c r="AM59" s="144" t="str">
        <v/>
      </c>
      <c r="AN59" s="144" t="str">
        <v/>
      </c>
      <c r="AO59" s="144" t="str">
        <v/>
      </c>
      <c r="AP59" s="144" t="str">
        <v/>
      </c>
      <c r="AQ59" s="144" t="str">
        <v/>
      </c>
      <c r="AR59" s="144" t="str">
        <v/>
      </c>
      <c r="AS59" s="144" t="str">
        <v/>
      </c>
      <c r="AT59" s="144" t="str">
        <v/>
      </c>
      <c r="AU59" s="144" t="str">
        <v/>
      </c>
      <c r="AV59" s="144" t="str">
        <v/>
      </c>
      <c r="AW59" s="144" t="str">
        <v/>
      </c>
      <c r="AX59" s="144" t="str">
        <v/>
      </c>
      <c r="AY59" s="144" t="str">
        <v/>
      </c>
      <c r="AZ59" s="144" t="str">
        <v/>
      </c>
      <c r="BA59" s="144" t="str">
        <v/>
      </c>
      <c r="BB59" s="144" t="str">
        <v/>
      </c>
      <c r="BC59" s="144" t="str">
        <v/>
      </c>
      <c r="BD59" s="144" t="str">
        <v/>
      </c>
      <c r="BE59" s="144" t="str">
        <v/>
      </c>
      <c r="BF59" s="144" t="str">
        <v/>
      </c>
      <c r="BG59" s="144" t="str">
        <v/>
      </c>
      <c r="BH59" s="144" t="str">
        <v/>
      </c>
      <c r="BI59" s="144" t="str">
        <v/>
      </c>
      <c r="BJ59" s="144" t="str">
        <v/>
      </c>
      <c r="BK59" s="144" t="str">
        <v/>
      </c>
      <c r="BL59" s="144" t="str">
        <v/>
      </c>
      <c r="BM59" s="144" t="str">
        <v/>
      </c>
      <c r="BN59" s="144" t="str">
        <v/>
      </c>
      <c r="BO59" s="144" t="str">
        <v/>
      </c>
      <c r="BP59" s="144" t="str">
        <v/>
      </c>
      <c r="BQ59" s="144" t="str">
        <v/>
      </c>
      <c r="BR59" s="144" t="str">
        <v/>
      </c>
      <c r="BS59" s="144" t="str">
        <v/>
      </c>
      <c r="BT59" s="144" t="str">
        <v/>
      </c>
      <c r="BU59" s="144" t="str">
        <v/>
      </c>
      <c r="BV59" s="144" t="str">
        <v/>
      </c>
      <c r="BW59" s="144" t="str">
        <v/>
      </c>
      <c r="BX59" s="144" t="str">
        <v/>
      </c>
      <c r="BY59" s="144" t="str">
        <v/>
      </c>
      <c r="BZ59" s="144" t="str">
        <v/>
      </c>
      <c r="CA59" s="144" t="str">
        <v/>
      </c>
      <c r="CB59" s="144" t="str">
        <v/>
      </c>
      <c r="CC59" s="144" t="str">
        <v/>
      </c>
      <c r="CD59" s="144" t="str">
        <v/>
      </c>
      <c r="CE59" s="144" t="str">
        <v/>
      </c>
      <c r="CF59" s="144" t="str">
        <v/>
      </c>
      <c r="CG59" s="144" t="str">
        <v/>
      </c>
      <c r="CH59" s="144" t="str">
        <v/>
      </c>
      <c r="CI59" s="144" t="str">
        <v/>
      </c>
      <c r="CJ59" s="144" t="str">
        <v/>
      </c>
      <c r="CK59" s="144" t="str">
        <v/>
      </c>
      <c r="CL59" s="144" t="str">
        <v/>
      </c>
      <c r="CM59" s="144" t="str">
        <v/>
      </c>
      <c r="CN59" s="144" t="str">
        <v/>
      </c>
      <c r="CO59" s="144" t="str">
        <v/>
      </c>
      <c r="CP59" s="144" t="str">
        <v/>
      </c>
      <c r="CQ59" s="144" t="str">
        <v/>
      </c>
      <c r="CR59" s="144" t="str">
        <v/>
      </c>
      <c r="CS59" s="144" t="str">
        <v/>
      </c>
      <c r="CT59" s="144" t="str">
        <v/>
      </c>
      <c r="CU59" s="144" t="str">
        <v/>
      </c>
      <c r="CV59" s="144" t="str">
        <v/>
      </c>
      <c r="CW59" s="144" t="str">
        <v/>
      </c>
      <c r="CX59" s="144" t="str">
        <v/>
      </c>
      <c r="CY59" s="144" t="str">
        <v/>
      </c>
      <c r="CZ59" s="144" t="str">
        <v/>
      </c>
      <c r="DA59" s="144" t="str">
        <v/>
      </c>
      <c r="DB59" s="144" t="str">
        <v/>
      </c>
      <c r="DC59" s="144" t="str">
        <v/>
      </c>
      <c r="DD59" s="144" t="str">
        <v/>
      </c>
      <c r="DE59" s="144" t="str">
        <v/>
      </c>
      <c r="DF59" s="144" t="str">
        <v/>
      </c>
      <c r="DG59" s="144" t="str">
        <v/>
      </c>
      <c r="DH59" s="144" t="str">
        <v/>
      </c>
      <c r="DI59" s="144" t="str">
        <v/>
      </c>
      <c r="DJ59" s="144" t="str">
        <v/>
      </c>
      <c r="DK59" s="144" t="str">
        <v/>
      </c>
      <c r="DL59" s="144" t="str">
        <v/>
      </c>
      <c r="DM59" s="144" t="str">
        <v/>
      </c>
      <c r="DN59" s="144" t="str">
        <v/>
      </c>
      <c r="DO59" s="144" t="str">
        <v/>
      </c>
      <c r="DP59" s="144" t="str">
        <v/>
      </c>
      <c r="DQ59" s="144" t="str">
        <v/>
      </c>
      <c r="DR59" s="144" t="str">
        <v/>
      </c>
      <c r="DS59" s="144" t="str">
        <v/>
      </c>
      <c r="DT59" s="144" t="str">
        <v/>
      </c>
      <c r="DU59" s="144" t="str">
        <v/>
      </c>
      <c r="DV59" s="144" t="str">
        <v/>
      </c>
      <c r="DW59" s="144" t="str">
        <v/>
      </c>
      <c r="DX59" s="144" t="str">
        <v/>
      </c>
      <c r="DY59" s="144" t="str">
        <v/>
      </c>
      <c r="DZ59" t="str">
        <v/>
      </c>
      <c r="EA59" t="str">
        <v/>
      </c>
    </row>
    <row r="60" spans="10:131" x14ac:dyDescent="0.25">
      <c r="J60" t="str">
        <v>CNC CAPEX</v>
      </c>
      <c r="K60">
        <v>50181</v>
      </c>
      <c r="L60" s="144">
        <v>50181</v>
      </c>
      <c r="M60" s="144">
        <v>0</v>
      </c>
      <c r="N60" s="144">
        <v>0</v>
      </c>
      <c r="O60" s="144">
        <v>0</v>
      </c>
      <c r="P60" s="144">
        <v>0</v>
      </c>
      <c r="Q60" s="144">
        <v>0</v>
      </c>
      <c r="R60" s="144">
        <v>0</v>
      </c>
      <c r="S60" s="144">
        <v>0</v>
      </c>
      <c r="T60" s="144">
        <v>0</v>
      </c>
      <c r="U60" s="144">
        <v>0</v>
      </c>
      <c r="V60" s="144">
        <v>0</v>
      </c>
      <c r="W60" s="144">
        <v>0</v>
      </c>
      <c r="X60" s="144">
        <v>0</v>
      </c>
      <c r="Y60" s="144">
        <v>0</v>
      </c>
      <c r="Z60" s="144">
        <v>0</v>
      </c>
      <c r="AA60" s="144">
        <v>0</v>
      </c>
      <c r="AB60" s="144">
        <v>0</v>
      </c>
      <c r="AC60" s="144">
        <v>0</v>
      </c>
      <c r="AD60" s="144">
        <v>0</v>
      </c>
      <c r="AE60" s="144">
        <v>0</v>
      </c>
      <c r="AF60" s="144">
        <v>0</v>
      </c>
      <c r="AG60" s="144">
        <v>0</v>
      </c>
      <c r="AH60" s="144">
        <v>0</v>
      </c>
      <c r="AI60" s="144">
        <v>0</v>
      </c>
      <c r="AJ60" s="144">
        <v>0</v>
      </c>
      <c r="AK60" s="144">
        <v>0</v>
      </c>
      <c r="AL60" s="144">
        <v>0</v>
      </c>
      <c r="AM60" s="144">
        <v>0</v>
      </c>
      <c r="AN60" s="144">
        <v>0</v>
      </c>
      <c r="AO60" s="144">
        <v>0</v>
      </c>
      <c r="AP60" s="144">
        <v>0</v>
      </c>
      <c r="AQ60" s="144">
        <v>0</v>
      </c>
      <c r="AR60" s="144">
        <v>0</v>
      </c>
      <c r="AS60" s="144">
        <v>0</v>
      </c>
      <c r="AT60" s="144">
        <v>0</v>
      </c>
      <c r="AU60" s="144">
        <v>0</v>
      </c>
      <c r="AV60" s="144">
        <v>0</v>
      </c>
      <c r="AW60" s="144">
        <v>0</v>
      </c>
      <c r="AX60" s="144">
        <v>0</v>
      </c>
      <c r="AY60" s="144">
        <v>0</v>
      </c>
      <c r="AZ60" s="144">
        <v>0</v>
      </c>
      <c r="BA60" s="144">
        <v>0</v>
      </c>
      <c r="BB60" s="144">
        <v>0</v>
      </c>
      <c r="BC60" s="144">
        <v>0</v>
      </c>
      <c r="BD60" s="144">
        <v>0</v>
      </c>
      <c r="BE60" s="144">
        <v>0</v>
      </c>
      <c r="BF60" s="144">
        <v>0</v>
      </c>
      <c r="BG60" s="144">
        <v>0</v>
      </c>
      <c r="BH60" s="144">
        <v>0</v>
      </c>
      <c r="BI60" s="144">
        <v>0</v>
      </c>
      <c r="BJ60" s="144">
        <v>0</v>
      </c>
      <c r="BK60" s="144">
        <v>0</v>
      </c>
      <c r="BL60" s="144">
        <v>0</v>
      </c>
      <c r="BM60" s="144">
        <v>0</v>
      </c>
      <c r="BN60" s="144">
        <v>0</v>
      </c>
      <c r="BO60" s="144">
        <v>0</v>
      </c>
      <c r="BP60" s="144">
        <v>0</v>
      </c>
      <c r="BQ60" s="144">
        <v>0</v>
      </c>
      <c r="BR60" s="144">
        <v>0</v>
      </c>
      <c r="BS60" s="144">
        <v>0</v>
      </c>
      <c r="BT60" s="144">
        <v>0</v>
      </c>
      <c r="BU60" s="144">
        <v>0</v>
      </c>
      <c r="BV60" s="144">
        <v>0</v>
      </c>
      <c r="BW60" s="144">
        <v>0</v>
      </c>
      <c r="BX60" s="144">
        <v>0</v>
      </c>
      <c r="BY60" s="144">
        <v>0</v>
      </c>
      <c r="BZ60" s="144">
        <v>0</v>
      </c>
      <c r="CA60" s="144">
        <v>0</v>
      </c>
      <c r="CB60" s="144">
        <v>0</v>
      </c>
      <c r="CC60" s="144">
        <v>0</v>
      </c>
      <c r="CD60" s="144">
        <v>0</v>
      </c>
      <c r="CE60" s="144">
        <v>0</v>
      </c>
      <c r="CF60" s="144">
        <v>0</v>
      </c>
      <c r="CG60" s="144">
        <v>0</v>
      </c>
      <c r="CH60" s="144">
        <v>0</v>
      </c>
      <c r="CI60" s="144">
        <v>0</v>
      </c>
      <c r="CJ60" s="144">
        <v>0</v>
      </c>
      <c r="CK60" s="144">
        <v>0</v>
      </c>
      <c r="CL60" s="144">
        <v>0</v>
      </c>
      <c r="CM60" s="144">
        <v>0</v>
      </c>
      <c r="CN60" s="144">
        <v>0</v>
      </c>
      <c r="CO60" s="144">
        <v>0</v>
      </c>
      <c r="CP60" s="144">
        <v>0</v>
      </c>
      <c r="CQ60" s="144">
        <v>0</v>
      </c>
      <c r="CR60" s="144">
        <v>0</v>
      </c>
      <c r="CS60" s="144">
        <v>0</v>
      </c>
      <c r="CT60" s="144">
        <v>0</v>
      </c>
      <c r="CU60" s="144">
        <v>0</v>
      </c>
      <c r="CV60" s="144">
        <v>0</v>
      </c>
      <c r="CW60" s="144">
        <v>0</v>
      </c>
      <c r="CX60" s="144">
        <v>0</v>
      </c>
      <c r="CY60" s="144">
        <v>0</v>
      </c>
      <c r="CZ60" s="144">
        <v>0</v>
      </c>
      <c r="DA60" s="144">
        <v>0</v>
      </c>
      <c r="DB60" s="144">
        <v>0</v>
      </c>
      <c r="DC60" s="144">
        <v>0</v>
      </c>
      <c r="DD60" s="144">
        <v>0</v>
      </c>
      <c r="DE60" s="144">
        <v>0</v>
      </c>
      <c r="DF60" s="144">
        <v>0</v>
      </c>
      <c r="DG60" s="144">
        <v>0</v>
      </c>
      <c r="DH60" s="144">
        <v>0</v>
      </c>
      <c r="DI60" s="144">
        <v>0</v>
      </c>
      <c r="DJ60" s="144">
        <v>0</v>
      </c>
      <c r="DK60" s="144">
        <v>0</v>
      </c>
      <c r="DL60" s="144">
        <v>0</v>
      </c>
      <c r="DM60" s="144">
        <v>0</v>
      </c>
      <c r="DN60" s="144">
        <v>0</v>
      </c>
      <c r="DO60" s="144">
        <v>0</v>
      </c>
      <c r="DP60" s="144">
        <v>0</v>
      </c>
      <c r="DQ60" s="144">
        <v>0</v>
      </c>
      <c r="DR60" s="144">
        <v>0</v>
      </c>
      <c r="DS60" s="144">
        <v>0</v>
      </c>
      <c r="DT60" s="144">
        <v>0</v>
      </c>
      <c r="DU60" s="144">
        <v>0</v>
      </c>
      <c r="DV60" s="144">
        <v>0</v>
      </c>
      <c r="DW60" s="144">
        <v>0</v>
      </c>
      <c r="DX60" s="144">
        <v>0</v>
      </c>
      <c r="DY60" s="144">
        <v>0</v>
      </c>
      <c r="DZ60">
        <v>0</v>
      </c>
      <c r="EA60">
        <v>0</v>
      </c>
    </row>
    <row r="61" spans="10:131" x14ac:dyDescent="0.25">
      <c r="J61" t="str">
        <v>CNC Opening Value</v>
      </c>
      <c r="K61">
        <v>0</v>
      </c>
      <c r="L61" s="144">
        <v>50181</v>
      </c>
      <c r="M61" s="144">
        <v>45162.899999999994</v>
      </c>
      <c r="N61" s="144">
        <v>40646.609999999986</v>
      </c>
      <c r="O61" s="144">
        <v>36581.948999999971</v>
      </c>
      <c r="P61" s="144">
        <v>32923.754099999984</v>
      </c>
      <c r="Q61" s="144">
        <v>29631.378689999976</v>
      </c>
      <c r="R61" s="144">
        <v>26668.24082099997</v>
      </c>
      <c r="S61" s="144">
        <v>24001.416738899952</v>
      </c>
      <c r="T61" s="144">
        <v>21601.27506500997</v>
      </c>
      <c r="U61" s="144">
        <v>19441.147558508987</v>
      </c>
      <c r="V61" s="144">
        <v>17497.032802658105</v>
      </c>
      <c r="W61" s="144">
        <v>15747.329522392287</v>
      </c>
      <c r="X61" s="144">
        <v>14172.596570153062</v>
      </c>
      <c r="Y61" s="144">
        <v>12755.336913137751</v>
      </c>
      <c r="Z61" s="144">
        <v>11479.803221823964</v>
      </c>
      <c r="AA61" s="144">
        <v>10331.822899641564</v>
      </c>
      <c r="AB61" s="144">
        <v>9298.6406096774008</v>
      </c>
      <c r="AC61" s="144">
        <v>8368.7765487096603</v>
      </c>
      <c r="AD61" s="144">
        <v>7531.8988938386938</v>
      </c>
      <c r="AE61" s="144">
        <v>6778.7090044548167</v>
      </c>
      <c r="AF61" s="144">
        <v>-5.1159076974727213E-12</v>
      </c>
      <c r="AG61" s="144">
        <v>-5.1159076974727213E-12</v>
      </c>
      <c r="AH61" s="144">
        <v>0</v>
      </c>
      <c r="AI61" s="144">
        <v>0</v>
      </c>
      <c r="AJ61" s="144">
        <v>0</v>
      </c>
      <c r="AK61" s="144">
        <v>0</v>
      </c>
      <c r="AL61" s="144">
        <v>0</v>
      </c>
      <c r="AM61" s="144">
        <v>0</v>
      </c>
      <c r="AN61" s="144">
        <v>0</v>
      </c>
      <c r="AO61" s="144">
        <v>0</v>
      </c>
      <c r="AP61" s="144">
        <v>0</v>
      </c>
      <c r="AQ61" s="144">
        <v>0</v>
      </c>
      <c r="AR61" s="144">
        <v>0</v>
      </c>
      <c r="AS61" s="144">
        <v>0</v>
      </c>
      <c r="AT61" s="144">
        <v>0</v>
      </c>
      <c r="AU61" s="144">
        <v>0</v>
      </c>
      <c r="AV61" s="144">
        <v>0</v>
      </c>
      <c r="AW61" s="144">
        <v>0</v>
      </c>
      <c r="AX61" s="144">
        <v>0</v>
      </c>
      <c r="AY61" s="144">
        <v>0</v>
      </c>
      <c r="AZ61" s="144">
        <v>0</v>
      </c>
      <c r="BA61" s="144">
        <v>0</v>
      </c>
      <c r="BB61" s="144">
        <v>0</v>
      </c>
      <c r="BC61" s="144">
        <v>0</v>
      </c>
      <c r="BD61" s="144">
        <v>0</v>
      </c>
      <c r="BE61" s="144">
        <v>0</v>
      </c>
      <c r="BF61" s="144">
        <v>0</v>
      </c>
      <c r="BG61" s="144">
        <v>0</v>
      </c>
      <c r="BH61" s="144">
        <v>0</v>
      </c>
      <c r="BI61" s="144">
        <v>0</v>
      </c>
      <c r="BJ61" s="144">
        <v>0</v>
      </c>
      <c r="BK61" s="144">
        <v>0</v>
      </c>
      <c r="BL61" s="144">
        <v>0</v>
      </c>
      <c r="BM61" s="144">
        <v>0</v>
      </c>
      <c r="BN61" s="144">
        <v>0</v>
      </c>
      <c r="BO61" s="144">
        <v>0</v>
      </c>
      <c r="BP61" s="144">
        <v>0</v>
      </c>
      <c r="BQ61" s="144">
        <v>0</v>
      </c>
      <c r="BR61" s="144">
        <v>0</v>
      </c>
      <c r="BS61" s="144">
        <v>0</v>
      </c>
      <c r="BT61" s="144">
        <v>0</v>
      </c>
      <c r="BU61" s="144">
        <v>0</v>
      </c>
      <c r="BV61" s="144">
        <v>0</v>
      </c>
      <c r="BW61" s="144">
        <v>0</v>
      </c>
      <c r="BX61" s="144">
        <v>0</v>
      </c>
      <c r="BY61" s="144">
        <v>0</v>
      </c>
      <c r="BZ61" s="144">
        <v>0</v>
      </c>
      <c r="CA61" s="144">
        <v>0</v>
      </c>
      <c r="CB61" s="144">
        <v>0</v>
      </c>
      <c r="CC61" s="144">
        <v>0</v>
      </c>
      <c r="CD61" s="144">
        <v>0</v>
      </c>
      <c r="CE61" s="144">
        <v>0</v>
      </c>
      <c r="CF61" s="144">
        <v>0</v>
      </c>
      <c r="CG61" s="144">
        <v>0</v>
      </c>
      <c r="CH61" s="144">
        <v>0</v>
      </c>
      <c r="CI61" s="144">
        <v>0</v>
      </c>
      <c r="CJ61" s="144">
        <v>0</v>
      </c>
      <c r="CK61" s="144">
        <v>0</v>
      </c>
      <c r="CL61" s="144">
        <v>0</v>
      </c>
      <c r="CM61" s="144">
        <v>0</v>
      </c>
      <c r="CN61" s="144">
        <v>0</v>
      </c>
      <c r="CO61" s="144">
        <v>0</v>
      </c>
      <c r="CP61" s="144">
        <v>0</v>
      </c>
      <c r="CQ61" s="144">
        <v>0</v>
      </c>
      <c r="CR61" s="144">
        <v>0</v>
      </c>
      <c r="CS61" s="144">
        <v>0</v>
      </c>
      <c r="CT61" s="144">
        <v>0</v>
      </c>
      <c r="CU61" s="144">
        <v>0</v>
      </c>
      <c r="CV61" s="144">
        <v>0</v>
      </c>
      <c r="CW61" s="144">
        <v>0</v>
      </c>
      <c r="CX61" s="144">
        <v>0</v>
      </c>
      <c r="CY61" s="144">
        <v>0</v>
      </c>
      <c r="CZ61" s="144">
        <v>0</v>
      </c>
      <c r="DA61" s="144">
        <v>0</v>
      </c>
      <c r="DB61" s="144">
        <v>0</v>
      </c>
      <c r="DC61" s="144">
        <v>0</v>
      </c>
      <c r="DD61" s="144">
        <v>0</v>
      </c>
      <c r="DE61" s="144">
        <v>0</v>
      </c>
      <c r="DF61" s="144">
        <v>0</v>
      </c>
      <c r="DG61" s="144">
        <v>0</v>
      </c>
      <c r="DH61" s="144">
        <v>0</v>
      </c>
      <c r="DI61" s="144">
        <v>0</v>
      </c>
      <c r="DJ61" s="144">
        <v>0</v>
      </c>
      <c r="DK61" s="144">
        <v>0</v>
      </c>
      <c r="DL61" s="144">
        <v>0</v>
      </c>
      <c r="DM61" s="144">
        <v>0</v>
      </c>
      <c r="DN61" s="144">
        <v>0</v>
      </c>
      <c r="DO61" s="144">
        <v>0</v>
      </c>
      <c r="DP61" s="144">
        <v>0</v>
      </c>
      <c r="DQ61" s="144">
        <v>0</v>
      </c>
      <c r="DR61" s="144">
        <v>0</v>
      </c>
      <c r="DS61" s="144">
        <v>0</v>
      </c>
      <c r="DT61" s="144">
        <v>0</v>
      </c>
      <c r="DU61" s="144">
        <v>0</v>
      </c>
      <c r="DV61" s="144">
        <v>0</v>
      </c>
      <c r="DW61" s="144">
        <v>0</v>
      </c>
      <c r="DX61" s="144">
        <v>0</v>
      </c>
      <c r="DY61" s="144">
        <v>0</v>
      </c>
      <c r="DZ61">
        <v>0</v>
      </c>
      <c r="EA61">
        <v>0</v>
      </c>
    </row>
    <row r="62" spans="10:131" x14ac:dyDescent="0.25">
      <c r="J62" t="str">
        <v>CNC Depreciation</v>
      </c>
      <c r="K62">
        <v>50181</v>
      </c>
      <c r="L62" s="144">
        <v>5018.1000000000004</v>
      </c>
      <c r="M62" s="144">
        <v>4516.2900000000009</v>
      </c>
      <c r="N62" s="144">
        <v>4064.6610000000005</v>
      </c>
      <c r="O62" s="144">
        <v>3658.1949000000009</v>
      </c>
      <c r="P62" s="144">
        <v>3292.375410000001</v>
      </c>
      <c r="Q62" s="144">
        <v>2963.137869000001</v>
      </c>
      <c r="R62" s="144">
        <v>2666.8240821000009</v>
      </c>
      <c r="S62" s="144">
        <v>2400.1416738900007</v>
      </c>
      <c r="T62" s="144">
        <v>2160.1275065010009</v>
      </c>
      <c r="U62" s="144">
        <v>1944.1147558509008</v>
      </c>
      <c r="V62" s="144">
        <v>1749.7032802658109</v>
      </c>
      <c r="W62" s="144">
        <v>1574.7329522392299</v>
      </c>
      <c r="X62" s="144">
        <v>1417.2596570153071</v>
      </c>
      <c r="Y62" s="144">
        <v>1275.5336913137764</v>
      </c>
      <c r="Z62" s="144">
        <v>1147.9803221823988</v>
      </c>
      <c r="AA62" s="144">
        <v>1033.1822899641588</v>
      </c>
      <c r="AB62" s="144">
        <v>929.86406096774317</v>
      </c>
      <c r="AC62" s="144">
        <v>836.87765487096885</v>
      </c>
      <c r="AD62" s="144">
        <v>753.1898893838719</v>
      </c>
      <c r="AE62" s="144">
        <v>6778.7090044548222</v>
      </c>
      <c r="AF62" s="144">
        <v>0</v>
      </c>
      <c r="AG62" s="144">
        <v>0</v>
      </c>
      <c r="AH62" s="144">
        <v>0</v>
      </c>
      <c r="AI62" s="144">
        <v>0</v>
      </c>
      <c r="AJ62" s="144">
        <v>0</v>
      </c>
      <c r="AK62" s="144">
        <v>0</v>
      </c>
      <c r="AL62" s="144">
        <v>0</v>
      </c>
      <c r="AM62" s="144">
        <v>0</v>
      </c>
      <c r="AN62" s="144">
        <v>0</v>
      </c>
      <c r="AO62" s="144">
        <v>0</v>
      </c>
      <c r="AP62" s="144">
        <v>0</v>
      </c>
      <c r="AQ62" s="144">
        <v>0</v>
      </c>
      <c r="AR62" s="144">
        <v>0</v>
      </c>
      <c r="AS62" s="144">
        <v>0</v>
      </c>
      <c r="AT62" s="144">
        <v>0</v>
      </c>
      <c r="AU62" s="144">
        <v>0</v>
      </c>
      <c r="AV62" s="144">
        <v>0</v>
      </c>
      <c r="AW62" s="144">
        <v>0</v>
      </c>
      <c r="AX62" s="144">
        <v>0</v>
      </c>
      <c r="AY62" s="144">
        <v>0</v>
      </c>
      <c r="AZ62" s="144">
        <v>0</v>
      </c>
      <c r="BA62" s="144">
        <v>0</v>
      </c>
      <c r="BB62" s="144">
        <v>0</v>
      </c>
      <c r="BC62" s="144">
        <v>0</v>
      </c>
      <c r="BD62" s="144">
        <v>0</v>
      </c>
      <c r="BE62" s="144">
        <v>0</v>
      </c>
      <c r="BF62" s="144">
        <v>0</v>
      </c>
      <c r="BG62" s="144">
        <v>0</v>
      </c>
      <c r="BH62" s="144">
        <v>0</v>
      </c>
      <c r="BI62" s="144">
        <v>0</v>
      </c>
      <c r="BJ62" s="144">
        <v>0</v>
      </c>
      <c r="BK62" s="144">
        <v>0</v>
      </c>
      <c r="BL62" s="144">
        <v>0</v>
      </c>
      <c r="BM62" s="144">
        <v>0</v>
      </c>
      <c r="BN62" s="144">
        <v>0</v>
      </c>
      <c r="BO62" s="144">
        <v>0</v>
      </c>
      <c r="BP62" s="144">
        <v>0</v>
      </c>
      <c r="BQ62" s="144">
        <v>0</v>
      </c>
      <c r="BR62" s="144">
        <v>0</v>
      </c>
      <c r="BS62" s="144">
        <v>0</v>
      </c>
      <c r="BT62" s="144">
        <v>0</v>
      </c>
      <c r="BU62" s="144">
        <v>0</v>
      </c>
      <c r="BV62" s="144">
        <v>0</v>
      </c>
      <c r="BW62" s="144">
        <v>0</v>
      </c>
      <c r="BX62" s="144">
        <v>0</v>
      </c>
      <c r="BY62" s="144">
        <v>0</v>
      </c>
      <c r="BZ62" s="144">
        <v>0</v>
      </c>
      <c r="CA62" s="144">
        <v>0</v>
      </c>
      <c r="CB62" s="144">
        <v>0</v>
      </c>
      <c r="CC62" s="144">
        <v>0</v>
      </c>
      <c r="CD62" s="144">
        <v>0</v>
      </c>
      <c r="CE62" s="144">
        <v>0</v>
      </c>
      <c r="CF62" s="144">
        <v>0</v>
      </c>
      <c r="CG62" s="144">
        <v>0</v>
      </c>
      <c r="CH62" s="144">
        <v>0</v>
      </c>
      <c r="CI62" s="144">
        <v>0</v>
      </c>
      <c r="CJ62" s="144">
        <v>0</v>
      </c>
      <c r="CK62" s="144">
        <v>0</v>
      </c>
      <c r="CL62" s="144">
        <v>0</v>
      </c>
      <c r="CM62" s="144">
        <v>0</v>
      </c>
      <c r="CN62" s="144">
        <v>0</v>
      </c>
      <c r="CO62" s="144">
        <v>0</v>
      </c>
      <c r="CP62" s="144">
        <v>0</v>
      </c>
      <c r="CQ62" s="144">
        <v>0</v>
      </c>
      <c r="CR62" s="144">
        <v>0</v>
      </c>
      <c r="CS62" s="144">
        <v>0</v>
      </c>
      <c r="CT62" s="144">
        <v>0</v>
      </c>
      <c r="CU62" s="144">
        <v>0</v>
      </c>
      <c r="CV62" s="144">
        <v>0</v>
      </c>
      <c r="CW62" s="144">
        <v>0</v>
      </c>
      <c r="CX62" s="144">
        <v>0</v>
      </c>
      <c r="CY62" s="144">
        <v>0</v>
      </c>
      <c r="CZ62" s="144">
        <v>0</v>
      </c>
      <c r="DA62" s="144">
        <v>0</v>
      </c>
      <c r="DB62" s="144">
        <v>0</v>
      </c>
      <c r="DC62" s="144">
        <v>0</v>
      </c>
      <c r="DD62" s="144">
        <v>0</v>
      </c>
      <c r="DE62" s="144">
        <v>0</v>
      </c>
      <c r="DF62" s="144">
        <v>0</v>
      </c>
      <c r="DG62" s="144">
        <v>0</v>
      </c>
      <c r="DH62" s="144">
        <v>0</v>
      </c>
      <c r="DI62" s="144">
        <v>0</v>
      </c>
      <c r="DJ62" s="144">
        <v>0</v>
      </c>
      <c r="DK62" s="144">
        <v>0</v>
      </c>
      <c r="DL62" s="144">
        <v>0</v>
      </c>
      <c r="DM62" s="144">
        <v>0</v>
      </c>
      <c r="DN62" s="144">
        <v>0</v>
      </c>
      <c r="DO62" s="144">
        <v>0</v>
      </c>
      <c r="DP62" s="144">
        <v>0</v>
      </c>
      <c r="DQ62" s="144">
        <v>0</v>
      </c>
      <c r="DR62" s="144">
        <v>0</v>
      </c>
      <c r="DS62" s="144">
        <v>0</v>
      </c>
      <c r="DT62" s="144">
        <v>0</v>
      </c>
      <c r="DU62" s="144">
        <v>0</v>
      </c>
      <c r="DV62" s="144">
        <v>0</v>
      </c>
      <c r="DW62" s="144">
        <v>0</v>
      </c>
      <c r="DX62" s="144">
        <v>0</v>
      </c>
      <c r="DY62" s="144">
        <v>0</v>
      </c>
      <c r="DZ62">
        <v>0</v>
      </c>
      <c r="EA62">
        <v>0</v>
      </c>
    </row>
    <row r="63" spans="10:131" x14ac:dyDescent="0.25">
      <c r="J63" t="str">
        <v>CNC Book Value</v>
      </c>
      <c r="K63">
        <v>0</v>
      </c>
      <c r="L63" s="144">
        <v>45162.9</v>
      </c>
      <c r="M63" s="144">
        <v>40646.609999999993</v>
      </c>
      <c r="N63" s="144">
        <v>36581.948999999986</v>
      </c>
      <c r="O63" s="144">
        <v>32923.754099999969</v>
      </c>
      <c r="P63" s="144">
        <v>29631.378689999983</v>
      </c>
      <c r="Q63" s="144">
        <v>26668.240820999974</v>
      </c>
      <c r="R63" s="144">
        <v>24001.41673889997</v>
      </c>
      <c r="S63" s="144">
        <v>21601.275065009952</v>
      </c>
      <c r="T63" s="144">
        <v>19441.147558508968</v>
      </c>
      <c r="U63" s="144">
        <v>17497.032802658086</v>
      </c>
      <c r="V63" s="144">
        <v>15747.329522392294</v>
      </c>
      <c r="W63" s="144">
        <v>14172.596570153057</v>
      </c>
      <c r="X63" s="144">
        <v>12755.336913137755</v>
      </c>
      <c r="Y63" s="144">
        <v>11479.803221823975</v>
      </c>
      <c r="Z63" s="144">
        <v>10331.822899641566</v>
      </c>
      <c r="AA63" s="144">
        <v>9298.6406096774044</v>
      </c>
      <c r="AB63" s="144">
        <v>8368.7765487096585</v>
      </c>
      <c r="AC63" s="144">
        <v>7531.8988938386919</v>
      </c>
      <c r="AD63" s="144">
        <v>6778.7090044548222</v>
      </c>
      <c r="AE63" s="144">
        <v>-5.4569682106375694E-12</v>
      </c>
      <c r="AF63" s="144">
        <v>-5.1159076974727213E-12</v>
      </c>
      <c r="AG63" s="144">
        <v>-5.1159076974727213E-12</v>
      </c>
      <c r="AH63" s="144">
        <v>0</v>
      </c>
      <c r="AI63" s="144">
        <v>0</v>
      </c>
      <c r="AJ63" s="144">
        <v>0</v>
      </c>
      <c r="AK63" s="144">
        <v>0</v>
      </c>
      <c r="AL63" s="144">
        <v>0</v>
      </c>
      <c r="AM63" s="144">
        <v>0</v>
      </c>
      <c r="AN63" s="144">
        <v>0</v>
      </c>
      <c r="AO63" s="144">
        <v>0</v>
      </c>
      <c r="AP63" s="144">
        <v>0</v>
      </c>
      <c r="AQ63" s="144">
        <v>0</v>
      </c>
      <c r="AR63" s="144">
        <v>0</v>
      </c>
      <c r="AS63" s="144">
        <v>0</v>
      </c>
      <c r="AT63" s="144">
        <v>0</v>
      </c>
      <c r="AU63" s="144">
        <v>0</v>
      </c>
      <c r="AV63" s="144">
        <v>0</v>
      </c>
      <c r="AW63" s="144">
        <v>0</v>
      </c>
      <c r="AX63" s="144">
        <v>0</v>
      </c>
      <c r="AY63" s="144">
        <v>0</v>
      </c>
      <c r="AZ63" s="144">
        <v>0</v>
      </c>
      <c r="BA63" s="144">
        <v>0</v>
      </c>
      <c r="BB63" s="144">
        <v>0</v>
      </c>
      <c r="BC63" s="144">
        <v>0</v>
      </c>
      <c r="BD63" s="144">
        <v>0</v>
      </c>
      <c r="BE63" s="144">
        <v>0</v>
      </c>
      <c r="BF63" s="144">
        <v>0</v>
      </c>
      <c r="BG63" s="144">
        <v>0</v>
      </c>
      <c r="BH63" s="144">
        <v>0</v>
      </c>
      <c r="BI63" s="144">
        <v>0</v>
      </c>
      <c r="BJ63" s="144">
        <v>0</v>
      </c>
      <c r="BK63" s="144">
        <v>0</v>
      </c>
      <c r="BL63" s="144">
        <v>0</v>
      </c>
      <c r="BM63" s="144">
        <v>0</v>
      </c>
      <c r="BN63" s="144">
        <v>0</v>
      </c>
      <c r="BO63" s="144">
        <v>0</v>
      </c>
      <c r="BP63" s="144">
        <v>0</v>
      </c>
      <c r="BQ63" s="144">
        <v>0</v>
      </c>
      <c r="BR63" s="144">
        <v>0</v>
      </c>
      <c r="BS63" s="144">
        <v>0</v>
      </c>
      <c r="BT63" s="144">
        <v>0</v>
      </c>
      <c r="BU63" s="144">
        <v>0</v>
      </c>
      <c r="BV63" s="144">
        <v>0</v>
      </c>
      <c r="BW63" s="144">
        <v>0</v>
      </c>
      <c r="BX63" s="144">
        <v>0</v>
      </c>
      <c r="BY63" s="144">
        <v>0</v>
      </c>
      <c r="BZ63" s="144">
        <v>0</v>
      </c>
      <c r="CA63" s="144">
        <v>0</v>
      </c>
      <c r="CB63" s="144">
        <v>0</v>
      </c>
      <c r="CC63" s="144">
        <v>0</v>
      </c>
      <c r="CD63" s="144">
        <v>0</v>
      </c>
      <c r="CE63" s="144">
        <v>0</v>
      </c>
      <c r="CF63" s="144">
        <v>0</v>
      </c>
      <c r="CG63" s="144">
        <v>0</v>
      </c>
      <c r="CH63" s="144">
        <v>0</v>
      </c>
      <c r="CI63" s="144">
        <v>0</v>
      </c>
      <c r="CJ63" s="144">
        <v>0</v>
      </c>
      <c r="CK63" s="144">
        <v>0</v>
      </c>
      <c r="CL63" s="144">
        <v>0</v>
      </c>
      <c r="CM63" s="144">
        <v>0</v>
      </c>
      <c r="CN63" s="144">
        <v>0</v>
      </c>
      <c r="CO63" s="144">
        <v>0</v>
      </c>
      <c r="CP63" s="144">
        <v>0</v>
      </c>
      <c r="CQ63" s="144">
        <v>0</v>
      </c>
      <c r="CR63" s="144">
        <v>0</v>
      </c>
      <c r="CS63" s="144">
        <v>0</v>
      </c>
      <c r="CT63" s="144">
        <v>0</v>
      </c>
      <c r="CU63" s="144">
        <v>0</v>
      </c>
      <c r="CV63" s="144">
        <v>0</v>
      </c>
      <c r="CW63" s="144">
        <v>0</v>
      </c>
      <c r="CX63" s="144">
        <v>0</v>
      </c>
      <c r="CY63" s="144">
        <v>0</v>
      </c>
      <c r="CZ63" s="144">
        <v>0</v>
      </c>
      <c r="DA63" s="144">
        <v>0</v>
      </c>
      <c r="DB63" s="144">
        <v>0</v>
      </c>
      <c r="DC63" s="144">
        <v>0</v>
      </c>
      <c r="DD63" s="144">
        <v>0</v>
      </c>
      <c r="DE63" s="144">
        <v>0</v>
      </c>
      <c r="DF63" s="144">
        <v>0</v>
      </c>
      <c r="DG63" s="144">
        <v>0</v>
      </c>
      <c r="DH63" s="144">
        <v>0</v>
      </c>
      <c r="DI63" s="144">
        <v>0</v>
      </c>
      <c r="DJ63" s="144">
        <v>0</v>
      </c>
      <c r="DK63" s="144">
        <v>0</v>
      </c>
      <c r="DL63" s="144">
        <v>0</v>
      </c>
      <c r="DM63" s="144">
        <v>0</v>
      </c>
      <c r="DN63" s="144">
        <v>0</v>
      </c>
      <c r="DO63" s="144">
        <v>0</v>
      </c>
      <c r="DP63" s="144">
        <v>0</v>
      </c>
      <c r="DQ63" s="144">
        <v>0</v>
      </c>
      <c r="DR63" s="144">
        <v>0</v>
      </c>
      <c r="DS63" s="144">
        <v>0</v>
      </c>
      <c r="DT63" s="144">
        <v>0</v>
      </c>
      <c r="DU63" s="144">
        <v>0</v>
      </c>
      <c r="DV63" s="144">
        <v>0</v>
      </c>
      <c r="DW63" s="144">
        <v>0</v>
      </c>
      <c r="DX63" s="144">
        <v>0</v>
      </c>
      <c r="DY63" s="144">
        <v>0</v>
      </c>
      <c r="DZ63">
        <v>0</v>
      </c>
      <c r="EA63">
        <v>0</v>
      </c>
    </row>
    <row r="64" spans="10:131" x14ac:dyDescent="0.25">
      <c r="J64" t="str">
        <v>CNC Revenue from Sale</v>
      </c>
      <c r="K64">
        <v>0</v>
      </c>
      <c r="L64" s="144">
        <v>0</v>
      </c>
      <c r="M64" s="144">
        <v>0</v>
      </c>
      <c r="N64" s="144">
        <v>0</v>
      </c>
      <c r="O64" s="144">
        <v>0</v>
      </c>
      <c r="P64" s="144">
        <v>0</v>
      </c>
      <c r="Q64" s="144">
        <v>0</v>
      </c>
      <c r="R64" s="144">
        <v>0</v>
      </c>
      <c r="S64" s="144">
        <v>0</v>
      </c>
      <c r="T64" s="144">
        <v>0</v>
      </c>
      <c r="U64" s="144">
        <v>0</v>
      </c>
      <c r="V64" s="144">
        <v>0</v>
      </c>
      <c r="W64" s="144">
        <v>0</v>
      </c>
      <c r="X64" s="144">
        <v>0</v>
      </c>
      <c r="Y64" s="144">
        <v>0</v>
      </c>
      <c r="Z64" s="144">
        <v>0</v>
      </c>
      <c r="AA64" s="144">
        <v>0</v>
      </c>
      <c r="AB64" s="144">
        <v>0</v>
      </c>
      <c r="AC64" s="144">
        <v>0</v>
      </c>
      <c r="AD64" s="144">
        <v>0</v>
      </c>
      <c r="AE64" s="144">
        <v>0</v>
      </c>
      <c r="AF64" s="144">
        <v>0</v>
      </c>
      <c r="AG64" s="144">
        <v>0</v>
      </c>
      <c r="AH64" s="144">
        <v>0</v>
      </c>
      <c r="AI64" s="144">
        <v>0</v>
      </c>
      <c r="AJ64" s="144">
        <v>0</v>
      </c>
      <c r="AK64" s="144">
        <v>0</v>
      </c>
      <c r="AL64" s="144">
        <v>0</v>
      </c>
      <c r="AM64" s="144">
        <v>0</v>
      </c>
      <c r="AN64" s="144">
        <v>0</v>
      </c>
      <c r="AO64" s="144">
        <v>0</v>
      </c>
      <c r="AP64" s="144">
        <v>0</v>
      </c>
      <c r="AQ64" s="144">
        <v>0</v>
      </c>
      <c r="AR64" s="144">
        <v>0</v>
      </c>
      <c r="AS64" s="144">
        <v>0</v>
      </c>
      <c r="AT64" s="144">
        <v>0</v>
      </c>
      <c r="AU64" s="144">
        <v>0</v>
      </c>
      <c r="AV64" s="144">
        <v>0</v>
      </c>
      <c r="AW64" s="144">
        <v>0</v>
      </c>
      <c r="AX64" s="144">
        <v>0</v>
      </c>
      <c r="AY64" s="144">
        <v>0</v>
      </c>
      <c r="AZ64" s="144">
        <v>0</v>
      </c>
      <c r="BA64" s="144">
        <v>0</v>
      </c>
      <c r="BB64" s="144">
        <v>0</v>
      </c>
      <c r="BC64" s="144">
        <v>0</v>
      </c>
      <c r="BD64" s="144">
        <v>0</v>
      </c>
      <c r="BE64" s="144">
        <v>0</v>
      </c>
      <c r="BF64" s="144">
        <v>0</v>
      </c>
      <c r="BG64" s="144">
        <v>0</v>
      </c>
      <c r="BH64" s="144">
        <v>0</v>
      </c>
      <c r="BI64" s="144">
        <v>0</v>
      </c>
      <c r="BJ64" s="144">
        <v>0</v>
      </c>
      <c r="BK64" s="144">
        <v>0</v>
      </c>
      <c r="BL64" s="144">
        <v>0</v>
      </c>
      <c r="BM64" s="144">
        <v>0</v>
      </c>
      <c r="BN64" s="144">
        <v>0</v>
      </c>
      <c r="BO64" s="144">
        <v>0</v>
      </c>
      <c r="BP64" s="144">
        <v>0</v>
      </c>
      <c r="BQ64" s="144">
        <v>0</v>
      </c>
      <c r="BR64" s="144">
        <v>0</v>
      </c>
      <c r="BS64" s="144">
        <v>0</v>
      </c>
      <c r="BT64" s="144">
        <v>0</v>
      </c>
      <c r="BU64" s="144">
        <v>0</v>
      </c>
      <c r="BV64" s="144">
        <v>0</v>
      </c>
      <c r="BW64" s="144">
        <v>0</v>
      </c>
      <c r="BX64" s="144">
        <v>0</v>
      </c>
      <c r="BY64" s="144">
        <v>0</v>
      </c>
      <c r="BZ64" s="144">
        <v>0</v>
      </c>
      <c r="CA64" s="144">
        <v>0</v>
      </c>
      <c r="CB64" s="144">
        <v>0</v>
      </c>
      <c r="CC64" s="144">
        <v>0</v>
      </c>
      <c r="CD64" s="144">
        <v>0</v>
      </c>
      <c r="CE64" s="144">
        <v>0</v>
      </c>
      <c r="CF64" s="144">
        <v>0</v>
      </c>
      <c r="CG64" s="144">
        <v>0</v>
      </c>
      <c r="CH64" s="144">
        <v>0</v>
      </c>
      <c r="CI64" s="144">
        <v>0</v>
      </c>
      <c r="CJ64" s="144">
        <v>0</v>
      </c>
      <c r="CK64" s="144">
        <v>0</v>
      </c>
      <c r="CL64" s="144">
        <v>0</v>
      </c>
      <c r="CM64" s="144">
        <v>0</v>
      </c>
      <c r="CN64" s="144">
        <v>0</v>
      </c>
      <c r="CO64" s="144">
        <v>0</v>
      </c>
      <c r="CP64" s="144">
        <v>0</v>
      </c>
      <c r="CQ64" s="144">
        <v>0</v>
      </c>
      <c r="CR64" s="144">
        <v>0</v>
      </c>
      <c r="CS64" s="144">
        <v>0</v>
      </c>
      <c r="CT64" s="144">
        <v>0</v>
      </c>
      <c r="CU64" s="144">
        <v>0</v>
      </c>
      <c r="CV64" s="144">
        <v>0</v>
      </c>
      <c r="CW64" s="144">
        <v>0</v>
      </c>
      <c r="CX64" s="144">
        <v>0</v>
      </c>
      <c r="CY64" s="144">
        <v>0</v>
      </c>
      <c r="CZ64" s="144">
        <v>0</v>
      </c>
      <c r="DA64" s="144">
        <v>0</v>
      </c>
      <c r="DB64" s="144">
        <v>0</v>
      </c>
      <c r="DC64" s="144">
        <v>0</v>
      </c>
      <c r="DD64" s="144">
        <v>0</v>
      </c>
      <c r="DE64" s="144">
        <v>0</v>
      </c>
      <c r="DF64" s="144">
        <v>0</v>
      </c>
      <c r="DG64" s="144">
        <v>0</v>
      </c>
      <c r="DH64" s="144">
        <v>0</v>
      </c>
      <c r="DI64" s="144">
        <v>0</v>
      </c>
      <c r="DJ64" s="144">
        <v>0</v>
      </c>
      <c r="DK64" s="144">
        <v>0</v>
      </c>
      <c r="DL64" s="144">
        <v>0</v>
      </c>
      <c r="DM64" s="144">
        <v>0</v>
      </c>
      <c r="DN64" s="144">
        <v>0</v>
      </c>
      <c r="DO64" s="144">
        <v>0</v>
      </c>
      <c r="DP64" s="144">
        <v>0</v>
      </c>
      <c r="DQ64" s="144">
        <v>0</v>
      </c>
      <c r="DR64" s="144">
        <v>0</v>
      </c>
      <c r="DS64" s="144">
        <v>0</v>
      </c>
      <c r="DT64" s="144">
        <v>0</v>
      </c>
      <c r="DU64" s="144">
        <v>0</v>
      </c>
      <c r="DV64" s="144">
        <v>0</v>
      </c>
      <c r="DW64" s="144">
        <v>0</v>
      </c>
      <c r="DX64" s="144">
        <v>0</v>
      </c>
      <c r="DY64" s="144">
        <v>0</v>
      </c>
      <c r="DZ64">
        <v>0</v>
      </c>
      <c r="EA64">
        <v>0</v>
      </c>
    </row>
    <row r="65" spans="10:131" x14ac:dyDescent="0.25">
      <c r="J65" t="str">
        <v>CNC Disposal Costs</v>
      </c>
      <c r="K65">
        <v>250</v>
      </c>
      <c r="L65" s="144">
        <v>0</v>
      </c>
      <c r="M65" s="144">
        <v>0</v>
      </c>
      <c r="N65" s="144">
        <v>0</v>
      </c>
      <c r="O65" s="144">
        <v>0</v>
      </c>
      <c r="P65" s="144">
        <v>0</v>
      </c>
      <c r="Q65" s="144">
        <v>0</v>
      </c>
      <c r="R65" s="144">
        <v>0</v>
      </c>
      <c r="S65" s="144">
        <v>0</v>
      </c>
      <c r="T65" s="144">
        <v>0</v>
      </c>
      <c r="U65" s="144">
        <v>0</v>
      </c>
      <c r="V65" s="144">
        <v>0</v>
      </c>
      <c r="W65" s="144">
        <v>0</v>
      </c>
      <c r="X65" s="144">
        <v>0</v>
      </c>
      <c r="Y65" s="144">
        <v>0</v>
      </c>
      <c r="Z65" s="144">
        <v>0</v>
      </c>
      <c r="AA65" s="144">
        <v>0</v>
      </c>
      <c r="AB65" s="144">
        <v>0</v>
      </c>
      <c r="AC65" s="144">
        <v>0</v>
      </c>
      <c r="AD65" s="144">
        <v>0</v>
      </c>
      <c r="AE65" s="144">
        <v>0</v>
      </c>
      <c r="AF65" s="144">
        <v>0</v>
      </c>
      <c r="AG65" s="144">
        <v>250</v>
      </c>
      <c r="AH65" s="144">
        <v>0</v>
      </c>
      <c r="AI65" s="144">
        <v>0</v>
      </c>
      <c r="AJ65" s="144">
        <v>0</v>
      </c>
      <c r="AK65" s="144">
        <v>0</v>
      </c>
      <c r="AL65" s="144">
        <v>0</v>
      </c>
      <c r="AM65" s="144">
        <v>0</v>
      </c>
      <c r="AN65" s="144">
        <v>0</v>
      </c>
      <c r="AO65" s="144">
        <v>0</v>
      </c>
      <c r="AP65" s="144">
        <v>0</v>
      </c>
      <c r="AQ65" s="144">
        <v>0</v>
      </c>
      <c r="AR65" s="144">
        <v>0</v>
      </c>
      <c r="AS65" s="144">
        <v>0</v>
      </c>
      <c r="AT65" s="144">
        <v>0</v>
      </c>
      <c r="AU65" s="144">
        <v>0</v>
      </c>
      <c r="AV65" s="144">
        <v>0</v>
      </c>
      <c r="AW65" s="144">
        <v>0</v>
      </c>
      <c r="AX65" s="144">
        <v>0</v>
      </c>
      <c r="AY65" s="144">
        <v>0</v>
      </c>
      <c r="AZ65" s="144">
        <v>0</v>
      </c>
      <c r="BA65" s="144">
        <v>0</v>
      </c>
      <c r="BB65" s="144">
        <v>0</v>
      </c>
      <c r="BC65" s="144">
        <v>0</v>
      </c>
      <c r="BD65" s="144">
        <v>0</v>
      </c>
      <c r="BE65" s="144">
        <v>0</v>
      </c>
      <c r="BF65" s="144">
        <v>0</v>
      </c>
      <c r="BG65" s="144">
        <v>0</v>
      </c>
      <c r="BH65" s="144">
        <v>0</v>
      </c>
      <c r="BI65" s="144">
        <v>0</v>
      </c>
      <c r="BJ65" s="144">
        <v>0</v>
      </c>
      <c r="BK65" s="144">
        <v>0</v>
      </c>
      <c r="BL65" s="144">
        <v>0</v>
      </c>
      <c r="BM65" s="144">
        <v>0</v>
      </c>
      <c r="BN65" s="144">
        <v>0</v>
      </c>
      <c r="BO65" s="144">
        <v>0</v>
      </c>
      <c r="BP65" s="144">
        <v>0</v>
      </c>
      <c r="BQ65" s="144">
        <v>0</v>
      </c>
      <c r="BR65" s="144">
        <v>0</v>
      </c>
      <c r="BS65" s="144">
        <v>0</v>
      </c>
      <c r="BT65" s="144">
        <v>0</v>
      </c>
      <c r="BU65" s="144">
        <v>0</v>
      </c>
      <c r="BV65" s="144">
        <v>0</v>
      </c>
      <c r="BW65" s="144">
        <v>0</v>
      </c>
      <c r="BX65" s="144">
        <v>0</v>
      </c>
      <c r="BY65" s="144">
        <v>0</v>
      </c>
      <c r="BZ65" s="144">
        <v>0</v>
      </c>
      <c r="CA65" s="144">
        <v>0</v>
      </c>
      <c r="CB65" s="144">
        <v>0</v>
      </c>
      <c r="CC65" s="144">
        <v>0</v>
      </c>
      <c r="CD65" s="144">
        <v>0</v>
      </c>
      <c r="CE65" s="144">
        <v>0</v>
      </c>
      <c r="CF65" s="144">
        <v>0</v>
      </c>
      <c r="CG65" s="144">
        <v>0</v>
      </c>
      <c r="CH65" s="144">
        <v>0</v>
      </c>
      <c r="CI65" s="144">
        <v>0</v>
      </c>
      <c r="CJ65" s="144">
        <v>0</v>
      </c>
      <c r="CK65" s="144">
        <v>0</v>
      </c>
      <c r="CL65" s="144">
        <v>0</v>
      </c>
      <c r="CM65" s="144">
        <v>0</v>
      </c>
      <c r="CN65" s="144">
        <v>0</v>
      </c>
      <c r="CO65" s="144">
        <v>0</v>
      </c>
      <c r="CP65" s="144">
        <v>0</v>
      </c>
      <c r="CQ65" s="144">
        <v>0</v>
      </c>
      <c r="CR65" s="144">
        <v>0</v>
      </c>
      <c r="CS65" s="144">
        <v>0</v>
      </c>
      <c r="CT65" s="144">
        <v>0</v>
      </c>
      <c r="CU65" s="144">
        <v>0</v>
      </c>
      <c r="CV65" s="144">
        <v>0</v>
      </c>
      <c r="CW65" s="144">
        <v>0</v>
      </c>
      <c r="CX65" s="144">
        <v>0</v>
      </c>
      <c r="CY65" s="144">
        <v>0</v>
      </c>
      <c r="CZ65" s="144">
        <v>0</v>
      </c>
      <c r="DA65" s="144">
        <v>0</v>
      </c>
      <c r="DB65" s="144">
        <v>0</v>
      </c>
      <c r="DC65" s="144">
        <v>0</v>
      </c>
      <c r="DD65" s="144">
        <v>0</v>
      </c>
      <c r="DE65" s="144">
        <v>0</v>
      </c>
      <c r="DF65" s="144">
        <v>0</v>
      </c>
      <c r="DG65" s="144">
        <v>0</v>
      </c>
      <c r="DH65" s="144">
        <v>0</v>
      </c>
      <c r="DI65" s="144">
        <v>0</v>
      </c>
      <c r="DJ65" s="144">
        <v>0</v>
      </c>
      <c r="DK65" s="144">
        <v>0</v>
      </c>
      <c r="DL65" s="144">
        <v>0</v>
      </c>
      <c r="DM65" s="144">
        <v>0</v>
      </c>
      <c r="DN65" s="144">
        <v>0</v>
      </c>
      <c r="DO65" s="144">
        <v>0</v>
      </c>
      <c r="DP65" s="144">
        <v>0</v>
      </c>
      <c r="DQ65" s="144">
        <v>0</v>
      </c>
      <c r="DR65" s="144">
        <v>0</v>
      </c>
      <c r="DS65" s="144">
        <v>0</v>
      </c>
      <c r="DT65" s="144">
        <v>0</v>
      </c>
      <c r="DU65" s="144">
        <v>0</v>
      </c>
      <c r="DV65" s="144">
        <v>0</v>
      </c>
      <c r="DW65" s="144">
        <v>0</v>
      </c>
      <c r="DX65" s="144">
        <v>0</v>
      </c>
      <c r="DY65" s="144">
        <v>0</v>
      </c>
      <c r="DZ65">
        <v>0</v>
      </c>
      <c r="EA65">
        <v>0</v>
      </c>
    </row>
  </sheetData>
  <mergeCells count="7">
    <mergeCell ref="A44:H44"/>
    <mergeCell ref="A1:Q1"/>
    <mergeCell ref="A2:Q2"/>
    <mergeCell ref="A43:H43"/>
    <mergeCell ref="A35:C35"/>
    <mergeCell ref="K3:R22"/>
    <mergeCell ref="K23:R23"/>
  </mergeCells>
  <dataValidations disablePrompts="1" count="1">
    <dataValidation type="list" allowBlank="1" showInputMessage="1" showErrorMessage="1" sqref="H46:H48" xr:uid="{DDD4F6C4-8475-41E1-94C7-3F324406B3DB}">
      <formula1>INDIRECT("tblMethods[Method]")</formula1>
    </dataValidation>
  </dataValidations>
  <hyperlinks>
    <hyperlink ref="A1" location="'TOC'!$A$1" display="'TOC'!$A$1" xr:uid="{1C85F681-A4E0-478C-8D16-1DA091FAED57}"/>
  </hyperlinks>
  <pageMargins left="0.7" right="0.7" top="0.75" bottom="0.75" header="0.3" footer="0.3"/>
  <pageSetup paperSize="9" scale="48" fitToHeight="0" orientation="landscape" horizontalDpi="0" verticalDpi="0"/>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6969-3555-404E-B004-E19803674A70}">
  <sheetPr codeName="Sheet3">
    <tabColor rgb="FF66023C"/>
    <pageSetUpPr fitToPage="1"/>
  </sheetPr>
  <dimension ref="A1:W45"/>
  <sheetViews>
    <sheetView showGridLines="0" workbookViewId="0">
      <selection sqref="A1:Q1"/>
    </sheetView>
  </sheetViews>
  <sheetFormatPr defaultRowHeight="15" x14ac:dyDescent="0.25"/>
  <cols>
    <col min="1" max="1" width="13.125" bestFit="1" customWidth="1"/>
    <col min="2" max="2" width="10.375" customWidth="1"/>
    <col min="6" max="6" width="4.875" bestFit="1" customWidth="1"/>
    <col min="7" max="7" width="4.75" bestFit="1" customWidth="1"/>
    <col min="10" max="10" width="22.125" bestFit="1" customWidth="1"/>
    <col min="11" max="11" width="15.75" customWidth="1"/>
    <col min="12" max="12" width="10.125" bestFit="1" customWidth="1"/>
    <col min="13" max="13" width="10.25" bestFit="1" customWidth="1"/>
    <col min="14" max="14" width="10.75" bestFit="1" customWidth="1"/>
    <col min="15" max="15" width="10.25" bestFit="1" customWidth="1"/>
    <col min="16" max="16" width="11.125" bestFit="1" customWidth="1"/>
    <col min="17" max="17" width="10.25" bestFit="1" customWidth="1"/>
    <col min="18" max="18" width="10.125" bestFit="1" customWidth="1"/>
    <col min="19" max="19" width="10.75" bestFit="1" customWidth="1"/>
    <col min="20" max="20" width="10.375" bestFit="1" customWidth="1"/>
    <col min="21" max="21" width="10.25" bestFit="1" customWidth="1"/>
    <col min="22" max="22" width="10.75" bestFit="1" customWidth="1"/>
    <col min="23" max="23" width="10.375" bestFit="1" customWidth="1"/>
  </cols>
  <sheetData>
    <row r="1" spans="1:20" ht="46.5" x14ac:dyDescent="0.7">
      <c r="A1" s="185" t="str">
        <f ca="1">_xlfn.TEXTAFTER(CELL("filename",A1),"]")</f>
        <v>oz.LabelDepreciateλ</v>
      </c>
      <c r="B1" s="185"/>
      <c r="C1" s="185"/>
      <c r="D1" s="185"/>
      <c r="E1" s="185"/>
      <c r="F1" s="185"/>
      <c r="G1" s="185"/>
      <c r="H1" s="185"/>
      <c r="I1" s="185"/>
      <c r="J1" s="185"/>
      <c r="K1" s="185"/>
      <c r="L1" s="185"/>
      <c r="M1" s="185"/>
      <c r="N1" s="185"/>
      <c r="O1" s="185"/>
      <c r="P1" s="185"/>
      <c r="Q1" s="185"/>
    </row>
    <row r="2" spans="1:20" x14ac:dyDescent="0.25">
      <c r="A2" s="186" t="s">
        <v>92</v>
      </c>
      <c r="B2" s="215"/>
      <c r="C2" s="215"/>
      <c r="D2" s="215"/>
      <c r="E2" s="215"/>
      <c r="F2" s="215"/>
      <c r="G2" s="215"/>
      <c r="H2" s="215"/>
      <c r="I2" s="215"/>
      <c r="J2" s="215"/>
      <c r="K2" s="215"/>
      <c r="L2" s="215"/>
      <c r="M2" s="215"/>
      <c r="N2" s="215"/>
      <c r="O2" s="215"/>
      <c r="P2" s="215"/>
      <c r="Q2" s="216"/>
    </row>
    <row r="3" spans="1:20" x14ac:dyDescent="0.25">
      <c r="A3" s="4"/>
      <c r="B3" s="4"/>
      <c r="C3" s="4"/>
      <c r="D3" s="4"/>
      <c r="E3" s="4"/>
      <c r="F3" s="4"/>
      <c r="G3" s="4"/>
      <c r="H3" s="4"/>
      <c r="I3" s="4"/>
      <c r="J3" s="4"/>
      <c r="K3" s="4"/>
      <c r="L3" s="4"/>
      <c r="M3" s="4"/>
      <c r="N3" s="4"/>
      <c r="O3" s="4"/>
      <c r="P3" s="4"/>
      <c r="Q3" s="4"/>
    </row>
    <row r="4" spans="1:20" x14ac:dyDescent="0.25">
      <c r="A4" s="55" t="str" cm="1">
        <f t="array" ref="A4:B12">oz.LabelDepreciateλ()</f>
        <v>FUNCTION:</v>
      </c>
      <c r="B4" t="str">
        <v>LabelDepreciateλ( AssetNames)</v>
      </c>
      <c r="M4" s="220"/>
      <c r="N4" s="220"/>
      <c r="O4" s="220"/>
      <c r="P4" s="220"/>
      <c r="Q4" s="220"/>
      <c r="R4" s="220"/>
      <c r="S4" s="220"/>
      <c r="T4" s="220"/>
    </row>
    <row r="5" spans="1:20" x14ac:dyDescent="0.25">
      <c r="A5" t="str">
        <v>DESCRIPTION:</v>
      </c>
      <c r="B5" t="str">
        <v>Create row labels for the depreciation schedule array produced by Depreciateλ</v>
      </c>
      <c r="M5" s="220"/>
      <c r="N5" s="220"/>
      <c r="O5" s="220"/>
      <c r="P5" s="220"/>
      <c r="Q5" s="220"/>
      <c r="R5" s="220"/>
      <c r="S5" s="220"/>
      <c r="T5" s="220"/>
    </row>
    <row r="6" spans="1:20" x14ac:dyDescent="0.25">
      <c r="A6" t="str">
        <v>WEBPAGE:</v>
      </c>
      <c r="B6" t="str">
        <v>https://github.com/ryanduguid/Ozzit</v>
      </c>
      <c r="M6" s="220"/>
      <c r="N6" s="220"/>
      <c r="O6" s="220"/>
      <c r="P6" s="220"/>
      <c r="Q6" s="220"/>
      <c r="R6" s="220"/>
      <c r="S6" s="220"/>
      <c r="T6" s="220"/>
    </row>
    <row r="7" spans="1:20" x14ac:dyDescent="0.25">
      <c r="A7" t="str">
        <v>VERSION:</v>
      </c>
      <c r="B7" t="str">
        <v>20 Aug 2026</v>
      </c>
      <c r="K7" s="126"/>
      <c r="L7" s="126"/>
      <c r="M7" s="220"/>
      <c r="N7" s="220"/>
      <c r="O7" s="220"/>
      <c r="P7" s="220"/>
      <c r="Q7" s="220"/>
      <c r="R7" s="220"/>
      <c r="S7" s="220"/>
      <c r="T7" s="220"/>
    </row>
    <row r="8" spans="1:20" x14ac:dyDescent="0.25">
      <c r="A8" t="str">
        <v>PARAMETERS:</v>
      </c>
      <c r="B8" t="str">
        <v/>
      </c>
      <c r="K8" s="126"/>
      <c r="L8" s="126"/>
      <c r="M8" s="220"/>
      <c r="N8" s="220"/>
      <c r="O8" s="220"/>
      <c r="P8" s="220"/>
      <c r="Q8" s="220"/>
      <c r="R8" s="220"/>
      <c r="S8" s="220"/>
      <c r="T8" s="220"/>
    </row>
    <row r="9" spans="1:20" x14ac:dyDescent="0.25">
      <c r="A9" t="str">
        <v>AssetNames</v>
      </c>
      <c r="B9" t="str">
        <v>(Required) The names or descriptions of each asset in the depreciation schedule produced by Depreciateλ</v>
      </c>
      <c r="K9" s="126"/>
      <c r="L9" s="126"/>
      <c r="M9" s="220"/>
      <c r="N9" s="220"/>
      <c r="O9" s="220"/>
      <c r="P9" s="220"/>
      <c r="Q9" s="220"/>
      <c r="R9" s="220"/>
      <c r="S9" s="220"/>
      <c r="T9" s="220"/>
    </row>
    <row r="10" spans="1:20" x14ac:dyDescent="0.25">
      <c r="A10" t="str">
        <v>EXAMPLES:</v>
      </c>
      <c r="B10" t="str">
        <v/>
      </c>
      <c r="K10" s="126"/>
      <c r="L10" s="126"/>
      <c r="M10" s="220"/>
      <c r="N10" s="220"/>
      <c r="O10" s="220"/>
      <c r="P10" s="220"/>
      <c r="Q10" s="220"/>
      <c r="R10" s="220"/>
      <c r="S10" s="220"/>
      <c r="T10" s="220"/>
    </row>
    <row r="11" spans="1:20" x14ac:dyDescent="0.25">
      <c r="A11" t="str">
        <v>Result</v>
      </c>
      <c r="B11" t="str">
        <v>Formula (oz is assumed to be the module's name)</v>
      </c>
      <c r="K11" s="126"/>
      <c r="L11" s="126"/>
      <c r="M11" s="220"/>
      <c r="N11" s="220"/>
      <c r="O11" s="220"/>
      <c r="P11" s="220"/>
      <c r="Q11" s="220"/>
      <c r="R11" s="220"/>
      <c r="S11" s="220"/>
      <c r="T11" s="220"/>
    </row>
    <row r="12" spans="1:20" x14ac:dyDescent="0.25">
      <c r="A12" t="str">
        <v/>
      </c>
      <c r="B12" t="str">
        <v>=oz.LabelDepreciateλ(tblAssets[Asset Name])</v>
      </c>
      <c r="K12" s="126"/>
      <c r="L12" s="126"/>
      <c r="M12" s="220"/>
      <c r="N12" s="220"/>
      <c r="O12" s="220"/>
      <c r="P12" s="220"/>
      <c r="Q12" s="220"/>
      <c r="R12" s="220"/>
      <c r="S12" s="220"/>
      <c r="T12" s="220"/>
    </row>
    <row r="13" spans="1:20" x14ac:dyDescent="0.25">
      <c r="K13" s="126"/>
      <c r="L13" s="126"/>
      <c r="M13" s="220"/>
      <c r="N13" s="220"/>
      <c r="O13" s="220"/>
      <c r="P13" s="220"/>
      <c r="Q13" s="220"/>
      <c r="R13" s="220"/>
      <c r="S13" s="220"/>
      <c r="T13" s="220"/>
    </row>
    <row r="15" spans="1:20" ht="21" x14ac:dyDescent="0.35">
      <c r="A15" s="203" t="s">
        <v>148</v>
      </c>
      <c r="B15" s="203"/>
      <c r="C15" s="203"/>
      <c r="J15" s="2" t="s">
        <v>165</v>
      </c>
    </row>
    <row r="17" spans="1:23" x14ac:dyDescent="0.25">
      <c r="A17" s="54" t="s">
        <v>149</v>
      </c>
      <c r="B17" s="54" t="s">
        <v>14</v>
      </c>
      <c r="C17" s="54" t="s">
        <v>15</v>
      </c>
      <c r="J17" s="83" t="s">
        <v>7</v>
      </c>
      <c r="K17" s="83" t="s">
        <v>152</v>
      </c>
      <c r="L17" s="1" cm="1">
        <f t="array" ref="L17:W17">oz.Timelineλ($B$18, $B$19, $B$20)</f>
        <v>46569</v>
      </c>
      <c r="M17" s="1">
        <v>46935</v>
      </c>
      <c r="N17" s="1">
        <v>47300</v>
      </c>
      <c r="O17" s="1">
        <v>47665</v>
      </c>
      <c r="P17" s="1">
        <v>48030</v>
      </c>
      <c r="Q17" s="1">
        <v>48396</v>
      </c>
      <c r="R17" s="1">
        <v>48761</v>
      </c>
      <c r="S17" s="1">
        <v>49126</v>
      </c>
      <c r="T17" s="1">
        <v>49491</v>
      </c>
      <c r="U17" s="1">
        <v>49857</v>
      </c>
      <c r="V17" s="1">
        <v>50222</v>
      </c>
      <c r="W17" s="1">
        <v>50587</v>
      </c>
    </row>
    <row r="18" spans="1:23" x14ac:dyDescent="0.25">
      <c r="A18" t="s">
        <v>112</v>
      </c>
      <c r="B18" s="34">
        <v>46569</v>
      </c>
      <c r="C18" t="s">
        <v>21</v>
      </c>
      <c r="J18" t="s">
        <v>218</v>
      </c>
      <c r="L18" cm="1">
        <f t="array" ref="L18:W18">oz.SumContainsλ(_xlfn.ANCHORARRAY($L$26),_xlfn.ANCHORARRAY($J$26),J18)</f>
        <v>10000</v>
      </c>
      <c r="M18">
        <v>0</v>
      </c>
      <c r="N18">
        <v>50546</v>
      </c>
      <c r="O18">
        <v>0</v>
      </c>
      <c r="P18">
        <v>0</v>
      </c>
      <c r="Q18">
        <v>0</v>
      </c>
      <c r="R18">
        <v>0</v>
      </c>
      <c r="S18">
        <v>0</v>
      </c>
      <c r="T18">
        <v>0</v>
      </c>
      <c r="U18">
        <v>0</v>
      </c>
      <c r="V18">
        <v>0</v>
      </c>
      <c r="W18">
        <v>0</v>
      </c>
    </row>
    <row r="19" spans="1:23" x14ac:dyDescent="0.25">
      <c r="A19" t="s">
        <v>17</v>
      </c>
      <c r="B19">
        <v>12</v>
      </c>
      <c r="C19" t="s">
        <v>22</v>
      </c>
      <c r="J19" t="s">
        <v>219</v>
      </c>
      <c r="L19" cm="1">
        <f t="array" ref="L19:W19">oz.SumContainsλ(_xlfn.ANCHORARRAY($L$26),_xlfn.ANCHORARRAY($J$26),J19)</f>
        <v>4500.03</v>
      </c>
      <c r="M19">
        <v>4699.9399999999996</v>
      </c>
      <c r="N19">
        <v>6887.380000000001</v>
      </c>
      <c r="O19">
        <v>8889.82</v>
      </c>
      <c r="P19">
        <v>8192.1400000000012</v>
      </c>
      <c r="Q19">
        <v>7585.7660000000014</v>
      </c>
      <c r="R19">
        <v>7057.6234000000013</v>
      </c>
      <c r="S19">
        <v>4596.1110599999993</v>
      </c>
      <c r="T19">
        <v>3191.9911540000012</v>
      </c>
      <c r="U19">
        <v>3267.4659986000015</v>
      </c>
      <c r="V19">
        <v>3007.2567907399966</v>
      </c>
      <c r="W19">
        <v>2067.0595596660019</v>
      </c>
    </row>
    <row r="20" spans="1:23" x14ac:dyDescent="0.25">
      <c r="A20" t="s">
        <v>18</v>
      </c>
      <c r="B20" t="s">
        <v>2</v>
      </c>
      <c r="J20" t="s">
        <v>220</v>
      </c>
      <c r="L20" cm="1">
        <f t="array" ref="L20:W20">oz.SumContainsλ(_xlfn.ANCHORARRAY($L$26),_xlfn.ANCHORARRAY($J$26),J20)</f>
        <v>27499.97</v>
      </c>
      <c r="M20">
        <v>22800.03</v>
      </c>
      <c r="N20">
        <v>66458.649999999994</v>
      </c>
      <c r="O20">
        <v>57568.829999999994</v>
      </c>
      <c r="P20">
        <v>49376.689999999995</v>
      </c>
      <c r="Q20">
        <v>41790.923999999985</v>
      </c>
      <c r="R20">
        <v>34733.300599999973</v>
      </c>
      <c r="S20">
        <v>30137.189539999978</v>
      </c>
      <c r="T20">
        <v>26945.198385999964</v>
      </c>
      <c r="U20">
        <v>23677.732387399963</v>
      </c>
      <c r="V20">
        <v>20670.47559665997</v>
      </c>
      <c r="W20">
        <v>18603.416036993964</v>
      </c>
    </row>
    <row r="21" spans="1:23" x14ac:dyDescent="0.25">
      <c r="J21" t="s">
        <v>221</v>
      </c>
      <c r="L21" cm="1">
        <f t="array" ref="L21:W21">oz.SumContainsλ(_xlfn.ANCHORARRAY($L$26),_xlfn.ANCHORARRAY($J$26),J21)</f>
        <v>0</v>
      </c>
      <c r="M21">
        <v>0</v>
      </c>
      <c r="N21">
        <v>0</v>
      </c>
      <c r="O21">
        <v>0</v>
      </c>
      <c r="P21">
        <v>0</v>
      </c>
      <c r="Q21">
        <v>0</v>
      </c>
      <c r="R21">
        <v>0</v>
      </c>
      <c r="S21">
        <v>1000</v>
      </c>
      <c r="T21">
        <v>0</v>
      </c>
      <c r="U21">
        <v>0</v>
      </c>
      <c r="V21">
        <v>500</v>
      </c>
      <c r="W21">
        <v>0</v>
      </c>
    </row>
    <row r="22" spans="1:23" x14ac:dyDescent="0.25">
      <c r="J22" t="s">
        <v>222</v>
      </c>
      <c r="L22" cm="1">
        <f t="array" ref="L22:W22">oz.SumContainsλ(_xlfn.ANCHORARRAY($L$26),_xlfn.ANCHORARRAY($J$26),J22)</f>
        <v>0</v>
      </c>
      <c r="M22">
        <v>0</v>
      </c>
      <c r="N22">
        <v>0</v>
      </c>
      <c r="O22">
        <v>0</v>
      </c>
      <c r="P22">
        <v>0</v>
      </c>
      <c r="Q22">
        <v>0</v>
      </c>
      <c r="R22">
        <v>0</v>
      </c>
      <c r="S22">
        <v>500</v>
      </c>
      <c r="T22">
        <v>0</v>
      </c>
      <c r="U22">
        <v>0</v>
      </c>
      <c r="V22">
        <v>100</v>
      </c>
      <c r="W22">
        <v>0</v>
      </c>
    </row>
    <row r="23" spans="1:23" ht="21" x14ac:dyDescent="0.35">
      <c r="A23" s="192" t="s">
        <v>171</v>
      </c>
      <c r="B23" s="193"/>
      <c r="C23" s="193"/>
      <c r="D23" s="193"/>
      <c r="E23" s="193"/>
      <c r="F23" s="193"/>
      <c r="G23" s="193"/>
      <c r="H23" s="217"/>
    </row>
    <row r="24" spans="1:23" x14ac:dyDescent="0.25">
      <c r="A24" s="213"/>
      <c r="B24" s="214"/>
      <c r="C24" s="214"/>
      <c r="D24" s="214"/>
      <c r="E24" s="214"/>
      <c r="F24" s="214"/>
      <c r="G24" s="214"/>
      <c r="H24" s="214"/>
    </row>
    <row r="25" spans="1:23" x14ac:dyDescent="0.25">
      <c r="A25" s="86" t="s">
        <v>172</v>
      </c>
      <c r="B25" s="87" t="s">
        <v>125</v>
      </c>
      <c r="C25" s="87" t="s">
        <v>173</v>
      </c>
      <c r="D25" s="87" t="s">
        <v>182</v>
      </c>
      <c r="E25" s="87" t="s">
        <v>174</v>
      </c>
      <c r="F25" s="87" t="s">
        <v>6</v>
      </c>
      <c r="G25" s="87" t="s">
        <v>183</v>
      </c>
      <c r="H25" s="86" t="s">
        <v>175</v>
      </c>
      <c r="J25" s="83" t="s">
        <v>7</v>
      </c>
      <c r="K25" s="83" t="s">
        <v>152</v>
      </c>
      <c r="L25" s="1" cm="1">
        <f t="array" ref="L25:W25">oz.Timelineλ($B$18, $B$19, $B$20)</f>
        <v>46569</v>
      </c>
      <c r="M25" s="1">
        <v>46935</v>
      </c>
      <c r="N25" s="1">
        <v>47300</v>
      </c>
      <c r="O25" s="1">
        <v>47665</v>
      </c>
      <c r="P25" s="1">
        <v>48030</v>
      </c>
      <c r="Q25" s="1">
        <v>48396</v>
      </c>
      <c r="R25" s="1">
        <v>48761</v>
      </c>
      <c r="S25" s="1">
        <v>49126</v>
      </c>
      <c r="T25" s="1">
        <v>49491</v>
      </c>
      <c r="U25" s="1">
        <v>49857</v>
      </c>
      <c r="V25" s="1">
        <v>50222</v>
      </c>
      <c r="W25" s="1">
        <v>50587</v>
      </c>
    </row>
    <row r="26" spans="1:23" x14ac:dyDescent="0.25">
      <c r="A26" t="s">
        <v>179</v>
      </c>
      <c r="B26" s="88">
        <v>25000</v>
      </c>
      <c r="C26" s="13">
        <v>46204</v>
      </c>
      <c r="D26" s="88">
        <v>8</v>
      </c>
      <c r="E26" s="88">
        <v>1000</v>
      </c>
      <c r="F26" s="13"/>
      <c r="G26" s="88">
        <v>500</v>
      </c>
      <c r="H26" s="13" t="s">
        <v>176</v>
      </c>
      <c r="J26" s="55" t="str" cm="1">
        <f t="array" ref="J26:J45">oz.LabelDepreciateλ(tblAssets11[Asset])</f>
        <v>Cutter CAPEX</v>
      </c>
      <c r="K26" cm="1">
        <f t="array" ref="K26:K45">oz.SumDepreciateλ(_xlfn.ANCHORARRAY(L26))</f>
        <v>0</v>
      </c>
      <c r="L26" s="85" cm="1">
        <f t="array" ref="L26:W45">oz.Depreciateλ(tblAssets11[Amount],tblAssets11[Acquired],tblAssets11[Life],_xlfn.ANCHORARRAY(L25),tblAssets11[Salvage],tblAssets11[Date],tblAssets11[Cost],tblAssets11[Method])</f>
        <v>0</v>
      </c>
      <c r="M26">
        <v>0</v>
      </c>
      <c r="N26">
        <v>0</v>
      </c>
      <c r="O26">
        <v>0</v>
      </c>
      <c r="P26">
        <v>0</v>
      </c>
      <c r="Q26">
        <v>0</v>
      </c>
      <c r="R26">
        <v>0</v>
      </c>
      <c r="S26">
        <v>0</v>
      </c>
      <c r="T26">
        <v>0</v>
      </c>
      <c r="U26">
        <v>0</v>
      </c>
      <c r="V26">
        <v>0</v>
      </c>
      <c r="W26">
        <v>0</v>
      </c>
    </row>
    <row r="27" spans="1:23" x14ac:dyDescent="0.25">
      <c r="A27" t="s">
        <v>180</v>
      </c>
      <c r="B27" s="88">
        <v>10000</v>
      </c>
      <c r="C27" s="13">
        <v>46661</v>
      </c>
      <c r="D27" s="88">
        <v>10</v>
      </c>
      <c r="E27" s="88">
        <v>500</v>
      </c>
      <c r="F27" s="13"/>
      <c r="G27" s="88">
        <v>100</v>
      </c>
      <c r="H27" s="13" t="s">
        <v>177</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181</v>
      </c>
      <c r="B28" s="88">
        <v>50546</v>
      </c>
      <c r="C28" s="89">
        <v>47484</v>
      </c>
      <c r="D28" s="90">
        <v>20</v>
      </c>
      <c r="E28" s="88">
        <v>1000</v>
      </c>
      <c r="F28" s="13"/>
      <c r="G28" s="88">
        <v>250</v>
      </c>
      <c r="H28" s="13" t="s">
        <v>178</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50546</v>
      </c>
      <c r="L40">
        <v>0</v>
      </c>
      <c r="M40">
        <v>0</v>
      </c>
      <c r="N40">
        <v>50546</v>
      </c>
      <c r="O40">
        <v>0</v>
      </c>
      <c r="P40">
        <v>0</v>
      </c>
      <c r="Q40">
        <v>0</v>
      </c>
      <c r="R40">
        <v>0</v>
      </c>
      <c r="S40">
        <v>0</v>
      </c>
      <c r="T40">
        <v>0</v>
      </c>
      <c r="U40">
        <v>0</v>
      </c>
      <c r="V40">
        <v>0</v>
      </c>
      <c r="W40">
        <v>0</v>
      </c>
    </row>
    <row r="41" spans="10:23" x14ac:dyDescent="0.25">
      <c r="J41" t="str">
        <v>CNC Opening Value</v>
      </c>
      <c r="K41">
        <v>0</v>
      </c>
      <c r="L41">
        <v>0</v>
      </c>
      <c r="M41">
        <v>0</v>
      </c>
      <c r="N41">
        <v>50546</v>
      </c>
      <c r="O41">
        <v>48018.679999999993</v>
      </c>
      <c r="P41">
        <v>43216.799999999996</v>
      </c>
      <c r="Q41">
        <v>38895.119999999988</v>
      </c>
      <c r="R41">
        <v>35005.61399999998</v>
      </c>
      <c r="S41">
        <v>31505.070599999977</v>
      </c>
      <c r="T41">
        <v>28354.587539999968</v>
      </c>
      <c r="U41">
        <v>25519.11678599997</v>
      </c>
      <c r="V41">
        <v>22967.175107399969</v>
      </c>
      <c r="W41">
        <v>20670.475596659966</v>
      </c>
    </row>
    <row r="42" spans="10:23" x14ac:dyDescent="0.25">
      <c r="J42" t="str">
        <v>CNC Depreciation</v>
      </c>
      <c r="K42">
        <v>31942.583963006007</v>
      </c>
      <c r="L42">
        <v>0</v>
      </c>
      <c r="M42">
        <v>0</v>
      </c>
      <c r="N42">
        <v>2527.3200000000006</v>
      </c>
      <c r="O42">
        <v>4801.8799999999992</v>
      </c>
      <c r="P42">
        <v>4321.6800000000012</v>
      </c>
      <c r="Q42">
        <v>3889.5060000000012</v>
      </c>
      <c r="R42">
        <v>3500.5434000000009</v>
      </c>
      <c r="S42">
        <v>3150.4830599999996</v>
      </c>
      <c r="T42">
        <v>2835.4707540000009</v>
      </c>
      <c r="U42">
        <v>2551.9416786000011</v>
      </c>
      <c r="V42">
        <v>2296.6995107400007</v>
      </c>
      <c r="W42">
        <v>2067.0595596660019</v>
      </c>
    </row>
    <row r="43" spans="10:23" x14ac:dyDescent="0.25">
      <c r="J43" t="str">
        <v>CNC Book Value</v>
      </c>
      <c r="K43">
        <v>0</v>
      </c>
      <c r="L43">
        <v>0</v>
      </c>
      <c r="M43">
        <v>0</v>
      </c>
      <c r="N43">
        <v>48018.68</v>
      </c>
      <c r="O43">
        <v>43216.799999999996</v>
      </c>
      <c r="P43">
        <v>38895.119999999995</v>
      </c>
      <c r="Q43">
        <v>35005.613999999987</v>
      </c>
      <c r="R43">
        <v>31505.070599999977</v>
      </c>
      <c r="S43">
        <v>28354.587539999979</v>
      </c>
      <c r="T43">
        <v>25519.116785999966</v>
      </c>
      <c r="U43">
        <v>22967.175107399969</v>
      </c>
      <c r="V43">
        <v>20670.47559665997</v>
      </c>
      <c r="W43">
        <v>18603.416036993964</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11DA3A2C-0238-4F2E-B8CF-B4DFFD7A1648}">
      <formula1>INDIRECT("tblMethods[Method]")</formula1>
    </dataValidation>
  </dataValidations>
  <hyperlinks>
    <hyperlink ref="A1" location="'TOC'!$A$1" display="'TOC'!$A$1" xr:uid="{245CC529-629A-4123-83B6-D05B7B0F32A1}"/>
  </hyperlinks>
  <pageMargins left="0.7" right="0.7" top="0.75" bottom="0.75" header="0.3" footer="0.3"/>
  <pageSetup paperSize="9" scale="50" fitToHeight="0" orientation="landscape" horizontalDpi="0" verticalDpi="0"/>
  <drawing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B94E-6A29-4CB9-A810-E65D43789BC2}">
  <sheetPr codeName="Sheet4">
    <tabColor rgb="FF66023C"/>
    <pageSetUpPr fitToPage="1"/>
  </sheetPr>
  <dimension ref="A1:W45"/>
  <sheetViews>
    <sheetView showGridLines="0" workbookViewId="0">
      <selection sqref="A1:Q1"/>
    </sheetView>
  </sheetViews>
  <sheetFormatPr defaultRowHeight="15" x14ac:dyDescent="0.25"/>
  <cols>
    <col min="1" max="1" width="13.125" bestFit="1" customWidth="1"/>
    <col min="2" max="2" width="10.375" customWidth="1"/>
    <col min="6" max="6" width="4.875" bestFit="1" customWidth="1"/>
    <col min="7" max="7" width="4.75" bestFit="1" customWidth="1"/>
    <col min="10" max="10" width="22.125" bestFit="1" customWidth="1"/>
    <col min="11" max="11" width="15.75" customWidth="1"/>
    <col min="12" max="12" width="10.125" bestFit="1" customWidth="1"/>
    <col min="13" max="13" width="10.25" bestFit="1" customWidth="1"/>
    <col min="14" max="14" width="10.75" bestFit="1" customWidth="1"/>
    <col min="15" max="15" width="10.25" bestFit="1" customWidth="1"/>
    <col min="16" max="16" width="11.125" bestFit="1" customWidth="1"/>
    <col min="17" max="17" width="10.25" bestFit="1" customWidth="1"/>
    <col min="18" max="18" width="10.125" bestFit="1" customWidth="1"/>
    <col min="19" max="19" width="10.75" bestFit="1" customWidth="1"/>
    <col min="20" max="20" width="10.375" bestFit="1" customWidth="1"/>
    <col min="21" max="21" width="10.25" bestFit="1" customWidth="1"/>
    <col min="22" max="22" width="10.75" bestFit="1" customWidth="1"/>
    <col min="23" max="23" width="10.375" bestFit="1" customWidth="1"/>
  </cols>
  <sheetData>
    <row r="1" spans="1:20" ht="46.5" x14ac:dyDescent="0.7">
      <c r="A1" s="185" t="str">
        <f ca="1">_xlfn.TEXTAFTER(CELL("filename",A1),"]")</f>
        <v>oz.SumDepreciateλ</v>
      </c>
      <c r="B1" s="185"/>
      <c r="C1" s="185"/>
      <c r="D1" s="185"/>
      <c r="E1" s="185"/>
      <c r="F1" s="185"/>
      <c r="G1" s="185"/>
      <c r="H1" s="185"/>
      <c r="I1" s="185"/>
      <c r="J1" s="185"/>
      <c r="K1" s="185"/>
      <c r="L1" s="185"/>
      <c r="M1" s="185"/>
      <c r="N1" s="185"/>
      <c r="O1" s="185"/>
      <c r="P1" s="185"/>
      <c r="Q1" s="185"/>
    </row>
    <row r="2" spans="1:20" x14ac:dyDescent="0.25">
      <c r="A2" s="186" t="s">
        <v>243</v>
      </c>
      <c r="B2" s="215"/>
      <c r="C2" s="215"/>
      <c r="D2" s="215"/>
      <c r="E2" s="215"/>
      <c r="F2" s="215"/>
      <c r="G2" s="215"/>
      <c r="H2" s="215"/>
      <c r="I2" s="215"/>
      <c r="J2" s="215"/>
      <c r="K2" s="215"/>
      <c r="L2" s="215"/>
      <c r="M2" s="215"/>
      <c r="N2" s="215"/>
      <c r="O2" s="215"/>
      <c r="P2" s="215"/>
      <c r="Q2" s="216"/>
    </row>
    <row r="3" spans="1:20" x14ac:dyDescent="0.25">
      <c r="A3" s="4"/>
      <c r="B3" s="4"/>
      <c r="C3" s="4"/>
      <c r="D3" s="4"/>
      <c r="E3" s="4"/>
      <c r="F3" s="4"/>
      <c r="G3" s="4"/>
      <c r="H3" s="4"/>
      <c r="I3" s="4"/>
      <c r="J3" s="4"/>
      <c r="K3" s="4"/>
      <c r="L3" s="4"/>
      <c r="M3" s="4"/>
      <c r="N3" s="4"/>
      <c r="O3" s="4"/>
      <c r="P3" s="4"/>
      <c r="Q3" s="4"/>
    </row>
    <row r="4" spans="1:20" x14ac:dyDescent="0.25">
      <c r="A4" s="55" t="str" cm="1">
        <f t="array" ref="A4:B13">oz.SumDepreciateλ()</f>
        <v>FUNCTION:</v>
      </c>
      <c r="B4" t="str">
        <v>SumDepreciateλ(DepreciationSchedule)</v>
      </c>
      <c r="M4" s="220"/>
      <c r="N4" s="220"/>
      <c r="O4" s="220"/>
      <c r="P4" s="220"/>
      <c r="Q4" s="220"/>
      <c r="R4" s="220"/>
      <c r="S4" s="220"/>
      <c r="T4" s="220"/>
    </row>
    <row r="5" spans="1:20" x14ac:dyDescent="0.25">
      <c r="A5" t="str">
        <v>DESCRIPTION:</v>
      </c>
      <c r="B5" t="str">
        <v>Create row totals for Depreciateλ</v>
      </c>
      <c r="M5" s="220"/>
      <c r="N5" s="220"/>
      <c r="O5" s="220"/>
      <c r="P5" s="220"/>
      <c r="Q5" s="220"/>
      <c r="R5" s="220"/>
      <c r="S5" s="220"/>
      <c r="T5" s="220"/>
    </row>
    <row r="6" spans="1:20" x14ac:dyDescent="0.25">
      <c r="A6" t="str">
        <v>WEBPAGE:</v>
      </c>
      <c r="B6" t="str">
        <v>https://github.com/ryanduguid/Ozzit</v>
      </c>
      <c r="M6" s="220"/>
      <c r="N6" s="220"/>
      <c r="O6" s="220"/>
      <c r="P6" s="220"/>
      <c r="Q6" s="220"/>
      <c r="R6" s="220"/>
      <c r="S6" s="220"/>
      <c r="T6" s="220"/>
    </row>
    <row r="7" spans="1:20" x14ac:dyDescent="0.25">
      <c r="A7" t="str">
        <v>VERSION:</v>
      </c>
      <c r="B7" t="str">
        <v>20 Aug 2026</v>
      </c>
      <c r="K7" s="126"/>
      <c r="L7" s="126"/>
      <c r="M7" s="220"/>
      <c r="N7" s="220"/>
      <c r="O7" s="220"/>
      <c r="P7" s="220"/>
      <c r="Q7" s="220"/>
      <c r="R7" s="220"/>
      <c r="S7" s="220"/>
      <c r="T7" s="220"/>
    </row>
    <row r="8" spans="1:20" x14ac:dyDescent="0.25">
      <c r="A8" t="str">
        <v>PARAMETERS:</v>
      </c>
      <c r="B8" t="str">
        <v/>
      </c>
      <c r="K8" s="126"/>
      <c r="L8" s="126"/>
      <c r="M8" s="220"/>
      <c r="N8" s="220"/>
      <c r="O8" s="220"/>
      <c r="P8" s="220"/>
      <c r="Q8" s="220"/>
      <c r="R8" s="220"/>
      <c r="S8" s="220"/>
      <c r="T8" s="220"/>
    </row>
    <row r="9" spans="1:20" x14ac:dyDescent="0.25">
      <c r="A9" t="str">
        <v>DepreciationSchedule</v>
      </c>
      <c r="B9" t="str">
        <v>(Required) An array produced by Depreciateλ</v>
      </c>
      <c r="K9" s="126"/>
      <c r="L9" s="126"/>
      <c r="M9" s="220"/>
      <c r="N9" s="220"/>
      <c r="O9" s="220"/>
      <c r="P9" s="220"/>
      <c r="Q9" s="220"/>
      <c r="R9" s="220"/>
      <c r="S9" s="220"/>
      <c r="T9" s="220"/>
    </row>
    <row r="10" spans="1:20" x14ac:dyDescent="0.25">
      <c r="A10" t="str">
        <v/>
      </c>
      <c r="B10" t="str">
        <v/>
      </c>
      <c r="K10" s="126"/>
      <c r="L10" s="126"/>
      <c r="M10" s="220"/>
      <c r="N10" s="220"/>
      <c r="O10" s="220"/>
      <c r="P10" s="220"/>
      <c r="Q10" s="220"/>
      <c r="R10" s="220"/>
      <c r="S10" s="220"/>
      <c r="T10" s="220"/>
    </row>
    <row r="11" spans="1:20" x14ac:dyDescent="0.25">
      <c r="A11" t="str">
        <v>EXAMPLES:</v>
      </c>
      <c r="B11" t="str">
        <v/>
      </c>
      <c r="K11" s="126"/>
      <c r="L11" s="126"/>
      <c r="M11" s="220"/>
      <c r="N11" s="220"/>
      <c r="O11" s="220"/>
      <c r="P11" s="220"/>
      <c r="Q11" s="220"/>
      <c r="R11" s="220"/>
      <c r="S11" s="220"/>
      <c r="T11" s="220"/>
    </row>
    <row r="12" spans="1:20" x14ac:dyDescent="0.25">
      <c r="A12" t="str">
        <v>Result</v>
      </c>
      <c r="B12" t="str">
        <v>Formula (oz is assumed to be the module's name)</v>
      </c>
      <c r="K12" s="126"/>
      <c r="L12" s="126"/>
      <c r="M12" s="220"/>
      <c r="N12" s="220"/>
      <c r="O12" s="220"/>
      <c r="P12" s="220"/>
      <c r="Q12" s="220"/>
      <c r="R12" s="220"/>
      <c r="S12" s="220"/>
      <c r="T12" s="220"/>
    </row>
    <row r="13" spans="1:20" x14ac:dyDescent="0.25">
      <c r="A13" t="str">
        <v/>
      </c>
      <c r="B13" t="str">
        <v>=oz.SumDepreciateλ(DepreciationSchedule)</v>
      </c>
      <c r="K13" s="126"/>
      <c r="L13" s="126"/>
      <c r="M13" s="220"/>
      <c r="N13" s="220"/>
      <c r="O13" s="220"/>
      <c r="P13" s="220"/>
      <c r="Q13" s="220"/>
      <c r="R13" s="220"/>
      <c r="S13" s="220"/>
      <c r="T13" s="220"/>
    </row>
    <row r="15" spans="1:20" ht="21" x14ac:dyDescent="0.35">
      <c r="A15" s="203" t="s">
        <v>148</v>
      </c>
      <c r="B15" s="203"/>
      <c r="C15" s="203"/>
      <c r="J15" s="2" t="s">
        <v>165</v>
      </c>
    </row>
    <row r="17" spans="1:23" x14ac:dyDescent="0.25">
      <c r="A17" s="54" t="s">
        <v>149</v>
      </c>
      <c r="B17" s="54" t="s">
        <v>14</v>
      </c>
      <c r="C17" s="54" t="s">
        <v>15</v>
      </c>
      <c r="J17" s="83" t="s">
        <v>7</v>
      </c>
      <c r="K17" s="83" t="s">
        <v>152</v>
      </c>
      <c r="L17" s="1" cm="1">
        <f t="array" ref="L17:W17">oz.Timelineλ($B$18, $B$19, $B$20)</f>
        <v>46569</v>
      </c>
      <c r="M17" s="1">
        <v>46935</v>
      </c>
      <c r="N17" s="1">
        <v>47300</v>
      </c>
      <c r="O17" s="1">
        <v>47665</v>
      </c>
      <c r="P17" s="1">
        <v>48030</v>
      </c>
      <c r="Q17" s="1">
        <v>48396</v>
      </c>
      <c r="R17" s="1">
        <v>48761</v>
      </c>
      <c r="S17" s="1">
        <v>49126</v>
      </c>
      <c r="T17" s="1">
        <v>49491</v>
      </c>
      <c r="U17" s="1">
        <v>49857</v>
      </c>
      <c r="V17" s="1">
        <v>50222</v>
      </c>
      <c r="W17" s="1">
        <v>50587</v>
      </c>
    </row>
    <row r="18" spans="1:23" x14ac:dyDescent="0.25">
      <c r="A18" t="s">
        <v>112</v>
      </c>
      <c r="B18" s="34">
        <v>46569</v>
      </c>
      <c r="C18" t="s">
        <v>21</v>
      </c>
      <c r="J18" t="s">
        <v>218</v>
      </c>
      <c r="L18" cm="1">
        <f t="array" ref="L18:W18">oz.SumContainsλ(_xlfn.ANCHORARRAY($L$26),_xlfn.ANCHORARRAY($J$26),J18)</f>
        <v>10000</v>
      </c>
      <c r="M18">
        <v>0</v>
      </c>
      <c r="N18">
        <v>50546</v>
      </c>
      <c r="O18">
        <v>0</v>
      </c>
      <c r="P18">
        <v>0</v>
      </c>
      <c r="Q18">
        <v>0</v>
      </c>
      <c r="R18">
        <v>0</v>
      </c>
      <c r="S18">
        <v>0</v>
      </c>
      <c r="T18">
        <v>0</v>
      </c>
      <c r="U18">
        <v>0</v>
      </c>
      <c r="V18">
        <v>0</v>
      </c>
      <c r="W18">
        <v>0</v>
      </c>
    </row>
    <row r="19" spans="1:23" x14ac:dyDescent="0.25">
      <c r="A19" t="s">
        <v>17</v>
      </c>
      <c r="B19">
        <v>12</v>
      </c>
      <c r="C19" t="s">
        <v>22</v>
      </c>
      <c r="J19" t="s">
        <v>219</v>
      </c>
      <c r="L19" cm="1">
        <f t="array" ref="L19:W19">oz.SumContainsλ(_xlfn.ANCHORARRAY($L$26),_xlfn.ANCHORARRAY($J$26),J19)</f>
        <v>4500.03</v>
      </c>
      <c r="M19">
        <v>4699.9399999999996</v>
      </c>
      <c r="N19">
        <v>6887.380000000001</v>
      </c>
      <c r="O19">
        <v>8889.82</v>
      </c>
      <c r="P19">
        <v>8192.1400000000012</v>
      </c>
      <c r="Q19">
        <v>7585.7660000000014</v>
      </c>
      <c r="R19">
        <v>7057.6234000000013</v>
      </c>
      <c r="S19">
        <v>4596.1110599999993</v>
      </c>
      <c r="T19">
        <v>3191.9911540000012</v>
      </c>
      <c r="U19">
        <v>3267.4659986000015</v>
      </c>
      <c r="V19">
        <v>3007.2567907399966</v>
      </c>
      <c r="W19">
        <v>2067.0595596660019</v>
      </c>
    </row>
    <row r="20" spans="1:23" x14ac:dyDescent="0.25">
      <c r="A20" t="s">
        <v>18</v>
      </c>
      <c r="B20" t="s">
        <v>2</v>
      </c>
      <c r="J20" t="s">
        <v>220</v>
      </c>
      <c r="L20" cm="1">
        <f t="array" ref="L20:W20">oz.SumContainsλ(_xlfn.ANCHORARRAY($L$26),_xlfn.ANCHORARRAY($J$26),J20)</f>
        <v>27499.97</v>
      </c>
      <c r="M20">
        <v>22800.03</v>
      </c>
      <c r="N20">
        <v>66458.649999999994</v>
      </c>
      <c r="O20">
        <v>57568.829999999994</v>
      </c>
      <c r="P20">
        <v>49376.689999999995</v>
      </c>
      <c r="Q20">
        <v>41790.923999999985</v>
      </c>
      <c r="R20">
        <v>34733.300599999973</v>
      </c>
      <c r="S20">
        <v>30137.189539999978</v>
      </c>
      <c r="T20">
        <v>26945.198385999964</v>
      </c>
      <c r="U20">
        <v>23677.732387399963</v>
      </c>
      <c r="V20">
        <v>20670.47559665997</v>
      </c>
      <c r="W20">
        <v>18603.416036993964</v>
      </c>
    </row>
    <row r="21" spans="1:23" x14ac:dyDescent="0.25">
      <c r="J21" t="s">
        <v>221</v>
      </c>
      <c r="L21" cm="1">
        <f t="array" ref="L21:W21">oz.SumContainsλ(_xlfn.ANCHORARRAY($L$26),_xlfn.ANCHORARRAY($J$26),J21)</f>
        <v>0</v>
      </c>
      <c r="M21">
        <v>0</v>
      </c>
      <c r="N21">
        <v>0</v>
      </c>
      <c r="O21">
        <v>0</v>
      </c>
      <c r="P21">
        <v>0</v>
      </c>
      <c r="Q21">
        <v>0</v>
      </c>
      <c r="R21">
        <v>0</v>
      </c>
      <c r="S21">
        <v>1000</v>
      </c>
      <c r="T21">
        <v>0</v>
      </c>
      <c r="U21">
        <v>0</v>
      </c>
      <c r="V21">
        <v>500</v>
      </c>
      <c r="W21">
        <v>0</v>
      </c>
    </row>
    <row r="22" spans="1:23" x14ac:dyDescent="0.25">
      <c r="J22" t="s">
        <v>222</v>
      </c>
      <c r="L22" cm="1">
        <f t="array" ref="L22:W22">oz.SumContainsλ(_xlfn.ANCHORARRAY($L$26),_xlfn.ANCHORARRAY($J$26),J22)</f>
        <v>0</v>
      </c>
      <c r="M22">
        <v>0</v>
      </c>
      <c r="N22">
        <v>0</v>
      </c>
      <c r="O22">
        <v>0</v>
      </c>
      <c r="P22">
        <v>0</v>
      </c>
      <c r="Q22">
        <v>0</v>
      </c>
      <c r="R22">
        <v>0</v>
      </c>
      <c r="S22">
        <v>500</v>
      </c>
      <c r="T22">
        <v>0</v>
      </c>
      <c r="U22">
        <v>0</v>
      </c>
      <c r="V22">
        <v>100</v>
      </c>
      <c r="W22">
        <v>0</v>
      </c>
    </row>
    <row r="23" spans="1:23" ht="21" x14ac:dyDescent="0.35">
      <c r="A23" s="192" t="s">
        <v>171</v>
      </c>
      <c r="B23" s="193"/>
      <c r="C23" s="193"/>
      <c r="D23" s="193"/>
      <c r="E23" s="193"/>
      <c r="F23" s="193"/>
      <c r="G23" s="193"/>
      <c r="H23" s="217"/>
    </row>
    <row r="24" spans="1:23" x14ac:dyDescent="0.25">
      <c r="A24" s="213"/>
      <c r="B24" s="214"/>
      <c r="C24" s="214"/>
      <c r="D24" s="214"/>
      <c r="E24" s="214"/>
      <c r="F24" s="214"/>
      <c r="G24" s="214"/>
      <c r="H24" s="214"/>
    </row>
    <row r="25" spans="1:23" x14ac:dyDescent="0.25">
      <c r="A25" s="86" t="s">
        <v>172</v>
      </c>
      <c r="B25" s="87" t="s">
        <v>125</v>
      </c>
      <c r="C25" s="87" t="s">
        <v>173</v>
      </c>
      <c r="D25" s="87" t="s">
        <v>182</v>
      </c>
      <c r="E25" s="87" t="s">
        <v>174</v>
      </c>
      <c r="F25" s="87" t="s">
        <v>6</v>
      </c>
      <c r="G25" s="87" t="s">
        <v>183</v>
      </c>
      <c r="H25" s="86" t="s">
        <v>175</v>
      </c>
      <c r="J25" s="83" t="s">
        <v>7</v>
      </c>
      <c r="K25" s="83" t="s">
        <v>152</v>
      </c>
      <c r="L25" s="1" cm="1">
        <f t="array" ref="L25:W25">oz.Timelineλ($B$18, $B$19, $B$20)</f>
        <v>46569</v>
      </c>
      <c r="M25" s="1">
        <v>46935</v>
      </c>
      <c r="N25" s="1">
        <v>47300</v>
      </c>
      <c r="O25" s="1">
        <v>47665</v>
      </c>
      <c r="P25" s="1">
        <v>48030</v>
      </c>
      <c r="Q25" s="1">
        <v>48396</v>
      </c>
      <c r="R25" s="1">
        <v>48761</v>
      </c>
      <c r="S25" s="1">
        <v>49126</v>
      </c>
      <c r="T25" s="1">
        <v>49491</v>
      </c>
      <c r="U25" s="1">
        <v>49857</v>
      </c>
      <c r="V25" s="1">
        <v>50222</v>
      </c>
      <c r="W25" s="1">
        <v>50587</v>
      </c>
    </row>
    <row r="26" spans="1:23" x14ac:dyDescent="0.25">
      <c r="A26" t="s">
        <v>179</v>
      </c>
      <c r="B26" s="88">
        <v>25000</v>
      </c>
      <c r="C26" s="13">
        <v>46204</v>
      </c>
      <c r="D26" s="88">
        <v>8</v>
      </c>
      <c r="E26" s="88">
        <v>1000</v>
      </c>
      <c r="F26" s="13"/>
      <c r="G26" s="88">
        <v>500</v>
      </c>
      <c r="H26" s="13" t="s">
        <v>176</v>
      </c>
      <c r="J26" s="85" t="str" cm="1">
        <f t="array" ref="J26:J45">oz.LabelDepreciateλ(tblAssets1112[Asset])</f>
        <v>Cutter CAPEX</v>
      </c>
      <c r="K26" s="55" cm="1">
        <f t="array" ref="K26:K45">oz.SumDepreciateλ(_xlfn.ANCHORARRAY(L26))</f>
        <v>0</v>
      </c>
      <c r="L26" s="85" cm="1">
        <f t="array" ref="L26:W45">oz.Depreciateλ(tblAssets1112[Amount],tblAssets1112[Acquired],tblAssets1112[Life],_xlfn.ANCHORARRAY(L25),tblAssets1112[Salvage],tblAssets1112[Date],tblAssets1112[Cost],tblAssets1112[Method])</f>
        <v>0</v>
      </c>
      <c r="M26">
        <v>0</v>
      </c>
      <c r="N26">
        <v>0</v>
      </c>
      <c r="O26">
        <v>0</v>
      </c>
      <c r="P26">
        <v>0</v>
      </c>
      <c r="Q26">
        <v>0</v>
      </c>
      <c r="R26">
        <v>0</v>
      </c>
      <c r="S26">
        <v>0</v>
      </c>
      <c r="T26">
        <v>0</v>
      </c>
      <c r="U26">
        <v>0</v>
      </c>
      <c r="V26">
        <v>0</v>
      </c>
      <c r="W26">
        <v>0</v>
      </c>
    </row>
    <row r="27" spans="1:23" x14ac:dyDescent="0.25">
      <c r="A27" t="s">
        <v>180</v>
      </c>
      <c r="B27" s="88">
        <v>10000</v>
      </c>
      <c r="C27" s="13">
        <v>46661</v>
      </c>
      <c r="D27" s="88">
        <v>10</v>
      </c>
      <c r="E27" s="88">
        <v>500</v>
      </c>
      <c r="F27" s="13"/>
      <c r="G27" s="88">
        <v>100</v>
      </c>
      <c r="H27" s="13" t="s">
        <v>177</v>
      </c>
      <c r="J27" t="str">
        <v>Cutter Opening Value</v>
      </c>
      <c r="K27">
        <v>0</v>
      </c>
      <c r="L27">
        <v>22000</v>
      </c>
      <c r="M27">
        <v>19000</v>
      </c>
      <c r="N27">
        <v>16000</v>
      </c>
      <c r="O27">
        <v>13000</v>
      </c>
      <c r="P27">
        <v>10000</v>
      </c>
      <c r="Q27">
        <v>7000</v>
      </c>
      <c r="R27">
        <v>4000</v>
      </c>
      <c r="S27">
        <v>1000</v>
      </c>
      <c r="T27">
        <v>0</v>
      </c>
      <c r="U27">
        <v>0</v>
      </c>
      <c r="V27">
        <v>0</v>
      </c>
      <c r="W27">
        <v>0</v>
      </c>
    </row>
    <row r="28" spans="1:23" x14ac:dyDescent="0.25">
      <c r="A28" t="s">
        <v>181</v>
      </c>
      <c r="B28" s="88">
        <v>50546</v>
      </c>
      <c r="C28" s="89">
        <v>47484</v>
      </c>
      <c r="D28" s="90">
        <v>20</v>
      </c>
      <c r="E28" s="88">
        <v>1000</v>
      </c>
      <c r="F28" s="13"/>
      <c r="G28" s="88">
        <v>250</v>
      </c>
      <c r="H28" s="13" t="s">
        <v>178</v>
      </c>
      <c r="J28" t="str">
        <v>Cutter Depreciation</v>
      </c>
      <c r="K28">
        <v>22000</v>
      </c>
      <c r="L28">
        <v>3000</v>
      </c>
      <c r="M28">
        <v>3000</v>
      </c>
      <c r="N28">
        <v>3000</v>
      </c>
      <c r="O28">
        <v>3000</v>
      </c>
      <c r="P28">
        <v>3000</v>
      </c>
      <c r="Q28">
        <v>3000</v>
      </c>
      <c r="R28">
        <v>3000</v>
      </c>
      <c r="S28">
        <v>1000</v>
      </c>
      <c r="T28">
        <v>0</v>
      </c>
      <c r="U28">
        <v>0</v>
      </c>
      <c r="V28">
        <v>0</v>
      </c>
      <c r="W28">
        <v>0</v>
      </c>
    </row>
    <row r="29" spans="1:23" x14ac:dyDescent="0.25">
      <c r="J29" t="str">
        <v>Cutter Book Value</v>
      </c>
      <c r="K29">
        <v>0</v>
      </c>
      <c r="L29">
        <v>19000</v>
      </c>
      <c r="M29">
        <v>16000</v>
      </c>
      <c r="N29">
        <v>13000</v>
      </c>
      <c r="O29">
        <v>10000</v>
      </c>
      <c r="P29">
        <v>7000</v>
      </c>
      <c r="Q29">
        <v>4000</v>
      </c>
      <c r="R29">
        <v>1000</v>
      </c>
      <c r="S29">
        <v>0</v>
      </c>
      <c r="T29">
        <v>0</v>
      </c>
      <c r="U29">
        <v>0</v>
      </c>
      <c r="V29">
        <v>0</v>
      </c>
      <c r="W29">
        <v>0</v>
      </c>
    </row>
    <row r="30" spans="1:23" x14ac:dyDescent="0.25">
      <c r="J30" t="str">
        <v>Cutter Revenue from Sale</v>
      </c>
      <c r="K30">
        <v>1000</v>
      </c>
      <c r="L30">
        <v>0</v>
      </c>
      <c r="M30">
        <v>0</v>
      </c>
      <c r="N30">
        <v>0</v>
      </c>
      <c r="O30">
        <v>0</v>
      </c>
      <c r="P30">
        <v>0</v>
      </c>
      <c r="Q30">
        <v>0</v>
      </c>
      <c r="R30">
        <v>0</v>
      </c>
      <c r="S30">
        <v>1000</v>
      </c>
      <c r="T30">
        <v>0</v>
      </c>
      <c r="U30">
        <v>0</v>
      </c>
      <c r="V30">
        <v>0</v>
      </c>
      <c r="W30">
        <v>0</v>
      </c>
    </row>
    <row r="31" spans="1:23" x14ac:dyDescent="0.25">
      <c r="J31" t="str">
        <v>Cutter Disposal Costs</v>
      </c>
      <c r="K31">
        <v>500</v>
      </c>
      <c r="L31">
        <v>0</v>
      </c>
      <c r="M31">
        <v>0</v>
      </c>
      <c r="N31">
        <v>0</v>
      </c>
      <c r="O31">
        <v>0</v>
      </c>
      <c r="P31">
        <v>0</v>
      </c>
      <c r="Q31">
        <v>0</v>
      </c>
      <c r="R31">
        <v>0</v>
      </c>
      <c r="S31">
        <v>500</v>
      </c>
      <c r="T31">
        <v>0</v>
      </c>
      <c r="U31">
        <v>0</v>
      </c>
      <c r="V31">
        <v>0</v>
      </c>
      <c r="W31">
        <v>0</v>
      </c>
    </row>
    <row r="32" spans="1:23" x14ac:dyDescent="0.25">
      <c r="J32" t="str">
        <v/>
      </c>
      <c r="K32">
        <v>0</v>
      </c>
      <c r="L32" t="str">
        <v/>
      </c>
      <c r="M32" t="str">
        <v/>
      </c>
      <c r="N32" t="str">
        <v/>
      </c>
      <c r="O32" t="str">
        <v/>
      </c>
      <c r="P32" t="str">
        <v/>
      </c>
      <c r="Q32" t="str">
        <v/>
      </c>
      <c r="R32" t="str">
        <v/>
      </c>
      <c r="S32" t="str">
        <v/>
      </c>
      <c r="T32" t="str">
        <v/>
      </c>
      <c r="U32" t="str">
        <v/>
      </c>
      <c r="V32" t="str">
        <v/>
      </c>
      <c r="W32" t="str">
        <v/>
      </c>
    </row>
    <row r="33" spans="10:23" x14ac:dyDescent="0.25">
      <c r="J33" t="str">
        <v>Press CAPEX</v>
      </c>
      <c r="K33">
        <v>10000</v>
      </c>
      <c r="L33">
        <v>10000</v>
      </c>
      <c r="M33">
        <v>0</v>
      </c>
      <c r="N33">
        <v>0</v>
      </c>
      <c r="O33">
        <v>0</v>
      </c>
      <c r="P33">
        <v>0</v>
      </c>
      <c r="Q33">
        <v>0</v>
      </c>
      <c r="R33">
        <v>0</v>
      </c>
      <c r="S33">
        <v>0</v>
      </c>
      <c r="T33">
        <v>0</v>
      </c>
      <c r="U33">
        <v>0</v>
      </c>
      <c r="V33">
        <v>0</v>
      </c>
      <c r="W33">
        <v>0</v>
      </c>
    </row>
    <row r="34" spans="10:23" x14ac:dyDescent="0.25">
      <c r="J34" t="str">
        <v>Press Opening Value</v>
      </c>
      <c r="K34">
        <v>0</v>
      </c>
      <c r="L34">
        <v>10000</v>
      </c>
      <c r="M34">
        <v>8499.9699999999993</v>
      </c>
      <c r="N34">
        <v>6800.03</v>
      </c>
      <c r="O34">
        <v>5439.9699999999993</v>
      </c>
      <c r="P34">
        <v>4352.03</v>
      </c>
      <c r="Q34">
        <v>3481.57</v>
      </c>
      <c r="R34">
        <v>2785.3099999999986</v>
      </c>
      <c r="S34">
        <v>2228.2299999999973</v>
      </c>
      <c r="T34">
        <v>1782.6019999999967</v>
      </c>
      <c r="U34">
        <v>1426.0815999999959</v>
      </c>
      <c r="V34">
        <v>710.55727999999499</v>
      </c>
      <c r="W34">
        <v>0</v>
      </c>
    </row>
    <row r="35" spans="10:23" x14ac:dyDescent="0.25">
      <c r="J35" t="str">
        <v>Press Depreciation</v>
      </c>
      <c r="K35">
        <v>9999.9999999999982</v>
      </c>
      <c r="L35">
        <v>1500.03</v>
      </c>
      <c r="M35">
        <v>1699.9399999999996</v>
      </c>
      <c r="N35">
        <v>1360.0600000000002</v>
      </c>
      <c r="O35">
        <v>1087.9400000000005</v>
      </c>
      <c r="P35">
        <v>870.45999999999992</v>
      </c>
      <c r="Q35">
        <v>696.26000000000056</v>
      </c>
      <c r="R35">
        <v>557.08000000000038</v>
      </c>
      <c r="S35">
        <v>445.62800000000027</v>
      </c>
      <c r="T35">
        <v>356.52040000000034</v>
      </c>
      <c r="U35">
        <v>715.52432000000044</v>
      </c>
      <c r="V35">
        <v>710.55727999999601</v>
      </c>
      <c r="W35">
        <v>0</v>
      </c>
    </row>
    <row r="36" spans="10:23" x14ac:dyDescent="0.25">
      <c r="J36" t="str">
        <v>Press Book Value</v>
      </c>
      <c r="K36">
        <v>0</v>
      </c>
      <c r="L36">
        <v>8499.9699999999993</v>
      </c>
      <c r="M36">
        <v>6800.03</v>
      </c>
      <c r="N36">
        <v>5439.9699999999993</v>
      </c>
      <c r="O36">
        <v>4352.0299999999988</v>
      </c>
      <c r="P36">
        <v>3481.5699999999997</v>
      </c>
      <c r="Q36">
        <v>2785.3099999999995</v>
      </c>
      <c r="R36">
        <v>2228.2299999999982</v>
      </c>
      <c r="S36">
        <v>1782.6019999999971</v>
      </c>
      <c r="T36">
        <v>1426.0815999999963</v>
      </c>
      <c r="U36">
        <v>710.55727999999544</v>
      </c>
      <c r="V36">
        <v>-1.0231815394945443E-12</v>
      </c>
      <c r="W36">
        <v>0</v>
      </c>
    </row>
    <row r="37" spans="10:23" x14ac:dyDescent="0.25">
      <c r="J37" t="str">
        <v>Press Revenue from Sale</v>
      </c>
      <c r="K37">
        <v>500</v>
      </c>
      <c r="L37">
        <v>0</v>
      </c>
      <c r="M37">
        <v>0</v>
      </c>
      <c r="N37">
        <v>0</v>
      </c>
      <c r="O37">
        <v>0</v>
      </c>
      <c r="P37">
        <v>0</v>
      </c>
      <c r="Q37">
        <v>0</v>
      </c>
      <c r="R37">
        <v>0</v>
      </c>
      <c r="S37">
        <v>0</v>
      </c>
      <c r="T37">
        <v>0</v>
      </c>
      <c r="U37">
        <v>0</v>
      </c>
      <c r="V37">
        <v>500</v>
      </c>
      <c r="W37">
        <v>0</v>
      </c>
    </row>
    <row r="38" spans="10:23" x14ac:dyDescent="0.25">
      <c r="J38" t="str">
        <v>Press Disposal Costs</v>
      </c>
      <c r="K38">
        <v>100</v>
      </c>
      <c r="L38">
        <v>0</v>
      </c>
      <c r="M38">
        <v>0</v>
      </c>
      <c r="N38">
        <v>0</v>
      </c>
      <c r="O38">
        <v>0</v>
      </c>
      <c r="P38">
        <v>0</v>
      </c>
      <c r="Q38">
        <v>0</v>
      </c>
      <c r="R38">
        <v>0</v>
      </c>
      <c r="S38">
        <v>0</v>
      </c>
      <c r="T38">
        <v>0</v>
      </c>
      <c r="U38">
        <v>0</v>
      </c>
      <c r="V38">
        <v>100</v>
      </c>
      <c r="W38">
        <v>0</v>
      </c>
    </row>
    <row r="39" spans="10:23" x14ac:dyDescent="0.25">
      <c r="J39" t="str">
        <v/>
      </c>
      <c r="K39">
        <v>0</v>
      </c>
      <c r="L39" t="str">
        <v/>
      </c>
      <c r="M39" t="str">
        <v/>
      </c>
      <c r="N39" t="str">
        <v/>
      </c>
      <c r="O39" t="str">
        <v/>
      </c>
      <c r="P39" t="str">
        <v/>
      </c>
      <c r="Q39" t="str">
        <v/>
      </c>
      <c r="R39" t="str">
        <v/>
      </c>
      <c r="S39" t="str">
        <v/>
      </c>
      <c r="T39" t="str">
        <v/>
      </c>
      <c r="U39" t="str">
        <v/>
      </c>
      <c r="V39" t="str">
        <v/>
      </c>
      <c r="W39" t="str">
        <v/>
      </c>
    </row>
    <row r="40" spans="10:23" x14ac:dyDescent="0.25">
      <c r="J40" t="str">
        <v>CNC CAPEX</v>
      </c>
      <c r="K40">
        <v>50546</v>
      </c>
      <c r="L40">
        <v>0</v>
      </c>
      <c r="M40">
        <v>0</v>
      </c>
      <c r="N40">
        <v>50546</v>
      </c>
      <c r="O40">
        <v>0</v>
      </c>
      <c r="P40">
        <v>0</v>
      </c>
      <c r="Q40">
        <v>0</v>
      </c>
      <c r="R40">
        <v>0</v>
      </c>
      <c r="S40">
        <v>0</v>
      </c>
      <c r="T40">
        <v>0</v>
      </c>
      <c r="U40">
        <v>0</v>
      </c>
      <c r="V40">
        <v>0</v>
      </c>
      <c r="W40">
        <v>0</v>
      </c>
    </row>
    <row r="41" spans="10:23" x14ac:dyDescent="0.25">
      <c r="J41" t="str">
        <v>CNC Opening Value</v>
      </c>
      <c r="K41">
        <v>0</v>
      </c>
      <c r="L41">
        <v>0</v>
      </c>
      <c r="M41">
        <v>0</v>
      </c>
      <c r="N41">
        <v>50546</v>
      </c>
      <c r="O41">
        <v>48018.679999999993</v>
      </c>
      <c r="P41">
        <v>43216.799999999996</v>
      </c>
      <c r="Q41">
        <v>38895.119999999988</v>
      </c>
      <c r="R41">
        <v>35005.61399999998</v>
      </c>
      <c r="S41">
        <v>31505.070599999977</v>
      </c>
      <c r="T41">
        <v>28354.587539999968</v>
      </c>
      <c r="U41">
        <v>25519.11678599997</v>
      </c>
      <c r="V41">
        <v>22967.175107399969</v>
      </c>
      <c r="W41">
        <v>20670.475596659966</v>
      </c>
    </row>
    <row r="42" spans="10:23" x14ac:dyDescent="0.25">
      <c r="J42" t="str">
        <v>CNC Depreciation</v>
      </c>
      <c r="K42">
        <v>31942.583963006007</v>
      </c>
      <c r="L42">
        <v>0</v>
      </c>
      <c r="M42">
        <v>0</v>
      </c>
      <c r="N42">
        <v>2527.3200000000006</v>
      </c>
      <c r="O42">
        <v>4801.8799999999992</v>
      </c>
      <c r="P42">
        <v>4321.6800000000012</v>
      </c>
      <c r="Q42">
        <v>3889.5060000000012</v>
      </c>
      <c r="R42">
        <v>3500.5434000000009</v>
      </c>
      <c r="S42">
        <v>3150.4830599999996</v>
      </c>
      <c r="T42">
        <v>2835.4707540000009</v>
      </c>
      <c r="U42">
        <v>2551.9416786000011</v>
      </c>
      <c r="V42">
        <v>2296.6995107400007</v>
      </c>
      <c r="W42">
        <v>2067.0595596660019</v>
      </c>
    </row>
    <row r="43" spans="10:23" x14ac:dyDescent="0.25">
      <c r="J43" t="str">
        <v>CNC Book Value</v>
      </c>
      <c r="K43">
        <v>0</v>
      </c>
      <c r="L43">
        <v>0</v>
      </c>
      <c r="M43">
        <v>0</v>
      </c>
      <c r="N43">
        <v>48018.68</v>
      </c>
      <c r="O43">
        <v>43216.799999999996</v>
      </c>
      <c r="P43">
        <v>38895.119999999995</v>
      </c>
      <c r="Q43">
        <v>35005.613999999987</v>
      </c>
      <c r="R43">
        <v>31505.070599999977</v>
      </c>
      <c r="S43">
        <v>28354.587539999979</v>
      </c>
      <c r="T43">
        <v>25519.116785999966</v>
      </c>
      <c r="U43">
        <v>22967.175107399969</v>
      </c>
      <c r="V43">
        <v>20670.47559665997</v>
      </c>
      <c r="W43">
        <v>18603.416036993964</v>
      </c>
    </row>
    <row r="44" spans="10:23" x14ac:dyDescent="0.25">
      <c r="J44" t="str">
        <v>CNC Revenue from Sale</v>
      </c>
      <c r="K44">
        <v>0</v>
      </c>
      <c r="L44">
        <v>0</v>
      </c>
      <c r="M44">
        <v>0</v>
      </c>
      <c r="N44">
        <v>0</v>
      </c>
      <c r="O44">
        <v>0</v>
      </c>
      <c r="P44">
        <v>0</v>
      </c>
      <c r="Q44">
        <v>0</v>
      </c>
      <c r="R44">
        <v>0</v>
      </c>
      <c r="S44">
        <v>0</v>
      </c>
      <c r="T44">
        <v>0</v>
      </c>
      <c r="U44">
        <v>0</v>
      </c>
      <c r="V44">
        <v>0</v>
      </c>
      <c r="W44">
        <v>0</v>
      </c>
    </row>
    <row r="45" spans="10:23" x14ac:dyDescent="0.25">
      <c r="J45" t="str">
        <v>CNC Disposal Costs</v>
      </c>
      <c r="K45">
        <v>0</v>
      </c>
      <c r="L45">
        <v>0</v>
      </c>
      <c r="M45">
        <v>0</v>
      </c>
      <c r="N45">
        <v>0</v>
      </c>
      <c r="O45">
        <v>0</v>
      </c>
      <c r="P45">
        <v>0</v>
      </c>
      <c r="Q45">
        <v>0</v>
      </c>
      <c r="R45">
        <v>0</v>
      </c>
      <c r="S45">
        <v>0</v>
      </c>
      <c r="T45">
        <v>0</v>
      </c>
      <c r="U45">
        <v>0</v>
      </c>
      <c r="V45">
        <v>0</v>
      </c>
      <c r="W45">
        <v>0</v>
      </c>
    </row>
  </sheetData>
  <mergeCells count="6">
    <mergeCell ref="A24:H24"/>
    <mergeCell ref="A1:Q1"/>
    <mergeCell ref="A2:Q2"/>
    <mergeCell ref="M4:T13"/>
    <mergeCell ref="A15:C15"/>
    <mergeCell ref="A23:H23"/>
  </mergeCells>
  <dataValidations count="1">
    <dataValidation type="list" allowBlank="1" showInputMessage="1" showErrorMessage="1" sqref="H26:H28" xr:uid="{BBDBD067-B497-4D05-9110-261439925A9F}">
      <formula1>INDIRECT("tblMethods[Method]")</formula1>
    </dataValidation>
  </dataValidations>
  <hyperlinks>
    <hyperlink ref="A1" location="'TOC'!$A$1" display="'TOC'!$A$1" xr:uid="{DE3890ED-E3E7-420A-8855-FB211DEC53A8}"/>
  </hyperlinks>
  <pageMargins left="0.7" right="0.7" top="0.75" bottom="0.75" header="0.3" footer="0.3"/>
  <pageSetup paperSize="9" scale="50" fitToHeight="0" orientation="landscape" horizontalDpi="0" verticalDpi="0"/>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B974-EEDB-4140-97A9-CE7B41386885}">
  <sheetPr codeName="Sheet5">
    <tabColor rgb="FF66023C"/>
    <pageSetUpPr fitToPage="1"/>
  </sheetPr>
  <dimension ref="A1:W48"/>
  <sheetViews>
    <sheetView showGridLines="0" workbookViewId="0">
      <selection sqref="A1:Q1"/>
    </sheetView>
  </sheetViews>
  <sheetFormatPr defaultRowHeight="15" x14ac:dyDescent="0.25"/>
  <cols>
    <col min="1" max="1" width="13.125" bestFit="1" customWidth="1"/>
    <col min="2" max="2" width="10.375" customWidth="1"/>
    <col min="6" max="6" width="4.875" bestFit="1" customWidth="1"/>
    <col min="7" max="7" width="4.75" bestFit="1" customWidth="1"/>
    <col min="10" max="10" width="22.125" bestFit="1" customWidth="1"/>
    <col min="11" max="11" width="15.75" customWidth="1"/>
    <col min="12" max="12" width="10.125" bestFit="1" customWidth="1"/>
    <col min="13" max="13" width="10.25" bestFit="1" customWidth="1"/>
    <col min="14" max="14" width="10.75" bestFit="1" customWidth="1"/>
    <col min="15" max="15" width="10.25" bestFit="1" customWidth="1"/>
    <col min="16" max="16" width="11.125" bestFit="1" customWidth="1"/>
    <col min="17" max="17" width="10.25" bestFit="1" customWidth="1"/>
    <col min="18" max="18" width="10.125" bestFit="1" customWidth="1"/>
    <col min="19" max="19" width="10.75" bestFit="1" customWidth="1"/>
    <col min="20" max="20" width="10.375" bestFit="1" customWidth="1"/>
    <col min="21" max="21" width="10.25" bestFit="1" customWidth="1"/>
    <col min="22" max="22" width="10.75" bestFit="1" customWidth="1"/>
    <col min="23" max="23" width="10.375" bestFit="1" customWidth="1"/>
  </cols>
  <sheetData>
    <row r="1" spans="1:20" ht="46.5" x14ac:dyDescent="0.7">
      <c r="A1" s="185" t="str">
        <f ca="1">_xlfn.TEXTAFTER(CELL("filename",A1),"]")</f>
        <v>oz.SumContainsλ</v>
      </c>
      <c r="B1" s="185"/>
      <c r="C1" s="185"/>
      <c r="D1" s="185"/>
      <c r="E1" s="185"/>
      <c r="F1" s="185"/>
      <c r="G1" s="185"/>
      <c r="H1" s="185"/>
      <c r="I1" s="185"/>
      <c r="J1" s="185"/>
      <c r="K1" s="185"/>
      <c r="L1" s="185"/>
      <c r="M1" s="185"/>
      <c r="N1" s="185"/>
      <c r="O1" s="185"/>
      <c r="P1" s="185"/>
      <c r="Q1" s="185"/>
    </row>
    <row r="2" spans="1:20" x14ac:dyDescent="0.25">
      <c r="A2" s="186" t="s">
        <v>244</v>
      </c>
      <c r="B2" s="215"/>
      <c r="C2" s="215"/>
      <c r="D2" s="215"/>
      <c r="E2" s="215"/>
      <c r="F2" s="215"/>
      <c r="G2" s="215"/>
      <c r="H2" s="215"/>
      <c r="I2" s="215"/>
      <c r="J2" s="215"/>
      <c r="K2" s="215"/>
      <c r="L2" s="215"/>
      <c r="M2" s="215"/>
      <c r="N2" s="215"/>
      <c r="O2" s="215"/>
      <c r="P2" s="215"/>
      <c r="Q2" s="216"/>
    </row>
    <row r="3" spans="1:20" x14ac:dyDescent="0.25">
      <c r="A3" s="4"/>
      <c r="B3" s="4"/>
      <c r="C3" s="4"/>
      <c r="D3" s="4"/>
      <c r="E3" s="4"/>
      <c r="F3" s="4"/>
      <c r="G3" s="4"/>
      <c r="H3" s="4"/>
      <c r="I3" s="4"/>
      <c r="J3" s="4"/>
      <c r="K3" s="4"/>
      <c r="L3" s="4"/>
      <c r="M3" s="4"/>
      <c r="N3" s="4"/>
      <c r="O3" s="4"/>
      <c r="P3" s="4"/>
      <c r="Q3" s="4"/>
    </row>
    <row r="4" spans="1:20" x14ac:dyDescent="0.25">
      <c r="A4" s="55" t="str" cm="1">
        <f t="array" ref="A4:B17">oz.SumContainsλ()</f>
        <v>FUNCTION:</v>
      </c>
      <c r="B4" t="str">
        <v>SumContainsλ(ValuesToFilter, ValueLabels, FilterByText, [IgnoreCase?])</v>
      </c>
      <c r="M4" s="220"/>
      <c r="N4" s="220"/>
      <c r="O4" s="220"/>
      <c r="P4" s="220"/>
      <c r="Q4" s="220"/>
      <c r="R4" s="220"/>
      <c r="S4" s="220"/>
      <c r="T4" s="220"/>
    </row>
    <row r="5" spans="1:20" x14ac:dyDescent="0.25">
      <c r="A5" t="str">
        <v>DESCRIPTION:</v>
      </c>
      <c r="B5" t="str">
        <v>Creates a row of column totals for each row in an array where</v>
      </c>
      <c r="M5" s="220"/>
      <c r="N5" s="220"/>
      <c r="O5" s="220"/>
      <c r="P5" s="220"/>
      <c r="Q5" s="220"/>
      <c r="R5" s="220"/>
      <c r="S5" s="220"/>
      <c r="T5" s="220"/>
    </row>
    <row r="6" spans="1:20" x14ac:dyDescent="0.25">
      <c r="A6" t="str">
        <v/>
      </c>
      <c r="B6" t="str">
        <v>its labels contain a unique letter, word, or phrase.</v>
      </c>
      <c r="M6" s="220"/>
      <c r="N6" s="220"/>
      <c r="O6" s="220"/>
      <c r="P6" s="220"/>
      <c r="Q6" s="220"/>
      <c r="R6" s="220"/>
      <c r="S6" s="220"/>
      <c r="T6" s="220"/>
    </row>
    <row r="7" spans="1:20" x14ac:dyDescent="0.25">
      <c r="A7" t="str">
        <v>SEE ALSO:</v>
      </c>
      <c r="B7" t="str">
        <v>Excel 365 now has GROUPBY and PIVOTBY for formula-driven aggregation.</v>
      </c>
      <c r="K7" s="126"/>
      <c r="L7" s="126"/>
      <c r="M7" s="220"/>
      <c r="N7" s="220"/>
      <c r="O7" s="220"/>
      <c r="P7" s="220"/>
      <c r="Q7" s="220"/>
      <c r="R7" s="220"/>
      <c r="S7" s="220"/>
      <c r="T7" s="220"/>
    </row>
    <row r="8" spans="1:20" x14ac:dyDescent="0.25">
      <c r="A8" t="str">
        <v>WEBPAGE:</v>
      </c>
      <c r="B8" t="str">
        <v>https://github.com/ryanduguid/Ozzit</v>
      </c>
      <c r="K8" s="126"/>
      <c r="L8" s="126"/>
      <c r="M8" s="220"/>
      <c r="N8" s="220"/>
      <c r="O8" s="220"/>
      <c r="P8" s="220"/>
      <c r="Q8" s="220"/>
      <c r="R8" s="220"/>
      <c r="S8" s="220"/>
      <c r="T8" s="220"/>
    </row>
    <row r="9" spans="1:20" x14ac:dyDescent="0.25">
      <c r="A9" t="str">
        <v>VERSION:</v>
      </c>
      <c r="B9" t="str">
        <v>20 Aug 2026</v>
      </c>
      <c r="K9" s="126"/>
      <c r="L9" s="126"/>
      <c r="M9" s="220"/>
      <c r="N9" s="220"/>
      <c r="O9" s="220"/>
      <c r="P9" s="220"/>
      <c r="Q9" s="220"/>
      <c r="R9" s="220"/>
      <c r="S9" s="220"/>
      <c r="T9" s="220"/>
    </row>
    <row r="10" spans="1:20" x14ac:dyDescent="0.25">
      <c r="A10" t="str">
        <v>PARAMETERS:</v>
      </c>
      <c r="B10" t="str">
        <v/>
      </c>
      <c r="K10" s="126"/>
      <c r="L10" s="126"/>
      <c r="M10" s="220"/>
      <c r="N10" s="220"/>
      <c r="O10" s="220"/>
      <c r="P10" s="220"/>
      <c r="Q10" s="220"/>
      <c r="R10" s="220"/>
      <c r="S10" s="220"/>
      <c r="T10" s="220"/>
    </row>
    <row r="11" spans="1:20" x14ac:dyDescent="0.25">
      <c r="A11" t="str">
        <v>ValuesToFilter</v>
      </c>
      <c r="B11" t="str">
        <v>(Required) An array of values to be filtered</v>
      </c>
      <c r="K11" s="126"/>
      <c r="L11" s="126"/>
      <c r="M11" s="220"/>
      <c r="N11" s="220"/>
      <c r="O11" s="220"/>
      <c r="P11" s="220"/>
      <c r="Q11" s="220"/>
      <c r="R11" s="220"/>
      <c r="S11" s="220"/>
      <c r="T11" s="220"/>
    </row>
    <row r="12" spans="1:20" x14ac:dyDescent="0.25">
      <c r="A12" t="str">
        <v>ValueLabels</v>
      </c>
      <c r="B12" t="str">
        <v>(Required) An array containing the values' labels</v>
      </c>
      <c r="K12" s="126"/>
      <c r="L12" s="126"/>
      <c r="M12" s="220"/>
      <c r="N12" s="220"/>
      <c r="O12" s="220"/>
      <c r="P12" s="220"/>
      <c r="Q12" s="220"/>
      <c r="R12" s="220"/>
      <c r="S12" s="220"/>
      <c r="T12" s="220"/>
    </row>
    <row r="13" spans="1:20" x14ac:dyDescent="0.25">
      <c r="A13" t="str">
        <v>FilterByText</v>
      </c>
      <c r="B13" t="str">
        <v>(Required) A unique letter, word or phrase to find contained in ValueLabels</v>
      </c>
      <c r="K13" s="126"/>
      <c r="L13" s="126"/>
      <c r="M13" s="220"/>
      <c r="N13" s="220"/>
      <c r="O13" s="220"/>
      <c r="P13" s="220"/>
      <c r="Q13" s="220"/>
      <c r="R13" s="220"/>
      <c r="S13" s="220"/>
      <c r="T13" s="220"/>
    </row>
    <row r="14" spans="1:20" x14ac:dyDescent="0.25">
      <c r="A14" t="str">
        <v>IgnoreCase?</v>
      </c>
      <c r="B14" t="str">
        <v>(Optional) A flag to determine if Text's case is important. Default is TRUE</v>
      </c>
      <c r="K14" s="126"/>
      <c r="L14" s="126"/>
      <c r="M14" s="127"/>
      <c r="N14" s="127"/>
      <c r="O14" s="127"/>
      <c r="P14" s="127"/>
      <c r="Q14" s="127"/>
      <c r="R14" s="127"/>
      <c r="S14" s="127"/>
      <c r="T14" s="127"/>
    </row>
    <row r="15" spans="1:20" x14ac:dyDescent="0.25">
      <c r="A15" t="str">
        <v>EXAMPLES:</v>
      </c>
      <c r="B15" t="str">
        <v/>
      </c>
      <c r="K15" s="126"/>
      <c r="L15" s="126"/>
      <c r="M15" s="127"/>
      <c r="N15" s="127"/>
      <c r="O15" s="127"/>
      <c r="P15" s="127"/>
      <c r="Q15" s="127"/>
      <c r="R15" s="127"/>
      <c r="S15" s="127"/>
      <c r="T15" s="127"/>
    </row>
    <row r="16" spans="1:20" x14ac:dyDescent="0.25">
      <c r="A16" t="str">
        <v>Result</v>
      </c>
      <c r="B16" t="str">
        <v>Formula (oz is assumed to be the module's name)</v>
      </c>
      <c r="K16" s="126"/>
      <c r="L16" s="126"/>
      <c r="M16" s="127"/>
      <c r="N16" s="127"/>
      <c r="O16" s="127"/>
      <c r="P16" s="127"/>
      <c r="Q16" s="127"/>
      <c r="R16" s="127"/>
      <c r="S16" s="127"/>
      <c r="T16" s="127"/>
    </row>
    <row r="17" spans="1:23" x14ac:dyDescent="0.25">
      <c r="A17" t="str">
        <v/>
      </c>
      <c r="B17" t="str">
        <v>=oz.SumContainsλ( Array, Labels, "CAPEX" )</v>
      </c>
    </row>
    <row r="18" spans="1:23" ht="21" x14ac:dyDescent="0.35">
      <c r="A18" s="203" t="s">
        <v>148</v>
      </c>
      <c r="B18" s="203"/>
      <c r="C18" s="203"/>
      <c r="J18" s="2" t="s">
        <v>165</v>
      </c>
    </row>
    <row r="20" spans="1:23" x14ac:dyDescent="0.25">
      <c r="A20" s="54" t="s">
        <v>149</v>
      </c>
      <c r="B20" s="54" t="s">
        <v>14</v>
      </c>
      <c r="C20" s="54" t="s">
        <v>15</v>
      </c>
      <c r="J20" s="83" t="s">
        <v>7</v>
      </c>
      <c r="K20" s="83" t="s">
        <v>152</v>
      </c>
      <c r="L20" s="1" cm="1">
        <f t="array" ref="L20:W20">oz.Timelineλ($B$21, $B$22, $B$23)</f>
        <v>46569</v>
      </c>
      <c r="M20" s="1">
        <v>46935</v>
      </c>
      <c r="N20" s="1">
        <v>47300</v>
      </c>
      <c r="O20" s="1">
        <v>47665</v>
      </c>
      <c r="P20" s="1">
        <v>48030</v>
      </c>
      <c r="Q20" s="1">
        <v>48396</v>
      </c>
      <c r="R20" s="1">
        <v>48761</v>
      </c>
      <c r="S20" s="1">
        <v>49126</v>
      </c>
      <c r="T20" s="1">
        <v>49491</v>
      </c>
      <c r="U20" s="1">
        <v>49857</v>
      </c>
      <c r="V20" s="1">
        <v>50222</v>
      </c>
      <c r="W20" s="1">
        <v>50587</v>
      </c>
    </row>
    <row r="21" spans="1:23" x14ac:dyDescent="0.25">
      <c r="A21" t="s">
        <v>112</v>
      </c>
      <c r="B21" s="34">
        <v>46569</v>
      </c>
      <c r="C21" t="s">
        <v>21</v>
      </c>
      <c r="J21" t="s">
        <v>218</v>
      </c>
      <c r="L21" s="55" cm="1">
        <f t="array" ref="L21:W21">oz.SumContainsλ(_xlfn.ANCHORARRAY($L$29),_xlfn.ANCHORARRAY($J$29),J21)</f>
        <v>10000</v>
      </c>
      <c r="M21">
        <v>0</v>
      </c>
      <c r="N21">
        <v>50546</v>
      </c>
      <c r="O21">
        <v>0</v>
      </c>
      <c r="P21">
        <v>0</v>
      </c>
      <c r="Q21">
        <v>0</v>
      </c>
      <c r="R21">
        <v>0</v>
      </c>
      <c r="S21">
        <v>0</v>
      </c>
      <c r="T21">
        <v>0</v>
      </c>
      <c r="U21">
        <v>0</v>
      </c>
      <c r="V21">
        <v>0</v>
      </c>
      <c r="W21">
        <v>0</v>
      </c>
    </row>
    <row r="22" spans="1:23" x14ac:dyDescent="0.25">
      <c r="A22" t="s">
        <v>17</v>
      </c>
      <c r="B22">
        <v>12</v>
      </c>
      <c r="C22" t="s">
        <v>22</v>
      </c>
      <c r="J22" t="s">
        <v>219</v>
      </c>
      <c r="L22" s="55" cm="1">
        <f t="array" ref="L22:W22">oz.SumContainsλ(_xlfn.ANCHORARRAY($L$29),_xlfn.ANCHORARRAY($J$29),J22)</f>
        <v>4500.03</v>
      </c>
      <c r="M22">
        <v>4699.9399999999996</v>
      </c>
      <c r="N22">
        <v>6887.380000000001</v>
      </c>
      <c r="O22">
        <v>8889.82</v>
      </c>
      <c r="P22">
        <v>8192.1400000000012</v>
      </c>
      <c r="Q22">
        <v>7585.7660000000014</v>
      </c>
      <c r="R22">
        <v>7057.6234000000013</v>
      </c>
      <c r="S22">
        <v>4596.1110599999993</v>
      </c>
      <c r="T22">
        <v>3191.9911540000012</v>
      </c>
      <c r="U22">
        <v>3267.4659986000015</v>
      </c>
      <c r="V22">
        <v>3007.2567907399966</v>
      </c>
      <c r="W22">
        <v>2067.0595596660019</v>
      </c>
    </row>
    <row r="23" spans="1:23" x14ac:dyDescent="0.25">
      <c r="A23" t="s">
        <v>18</v>
      </c>
      <c r="B23" t="s">
        <v>2</v>
      </c>
      <c r="J23" t="s">
        <v>220</v>
      </c>
      <c r="L23" s="55" cm="1">
        <f t="array" ref="L23:W23">oz.SumContainsλ(_xlfn.ANCHORARRAY($L$29),_xlfn.ANCHORARRAY($J$29),J23)</f>
        <v>27499.97</v>
      </c>
      <c r="M23">
        <v>22800.03</v>
      </c>
      <c r="N23">
        <v>66458.649999999994</v>
      </c>
      <c r="O23">
        <v>57568.829999999994</v>
      </c>
      <c r="P23">
        <v>49376.689999999995</v>
      </c>
      <c r="Q23">
        <v>41790.923999999985</v>
      </c>
      <c r="R23">
        <v>34733.300599999973</v>
      </c>
      <c r="S23">
        <v>30137.189539999978</v>
      </c>
      <c r="T23">
        <v>26945.198385999964</v>
      </c>
      <c r="U23">
        <v>23677.732387399963</v>
      </c>
      <c r="V23">
        <v>20670.47559665997</v>
      </c>
      <c r="W23">
        <v>18603.416036993964</v>
      </c>
    </row>
    <row r="24" spans="1:23" x14ac:dyDescent="0.25">
      <c r="J24" t="s">
        <v>221</v>
      </c>
      <c r="L24" s="55" cm="1">
        <f t="array" ref="L24:W24">oz.SumContainsλ(_xlfn.ANCHORARRAY($L$29),_xlfn.ANCHORARRAY($J$29),J24)</f>
        <v>0</v>
      </c>
      <c r="M24">
        <v>0</v>
      </c>
      <c r="N24">
        <v>0</v>
      </c>
      <c r="O24">
        <v>0</v>
      </c>
      <c r="P24">
        <v>0</v>
      </c>
      <c r="Q24">
        <v>0</v>
      </c>
      <c r="R24">
        <v>0</v>
      </c>
      <c r="S24">
        <v>1000</v>
      </c>
      <c r="T24">
        <v>0</v>
      </c>
      <c r="U24">
        <v>0</v>
      </c>
      <c r="V24">
        <v>500</v>
      </c>
      <c r="W24">
        <v>0</v>
      </c>
    </row>
    <row r="25" spans="1:23" x14ac:dyDescent="0.25">
      <c r="J25" t="s">
        <v>222</v>
      </c>
      <c r="L25" s="55" cm="1">
        <f t="array" ref="L25:W25">oz.SumContainsλ(_xlfn.ANCHORARRAY($L$29),_xlfn.ANCHORARRAY($J$29),J25)</f>
        <v>0</v>
      </c>
      <c r="M25">
        <v>0</v>
      </c>
      <c r="N25">
        <v>0</v>
      </c>
      <c r="O25">
        <v>0</v>
      </c>
      <c r="P25">
        <v>0</v>
      </c>
      <c r="Q25">
        <v>0</v>
      </c>
      <c r="R25">
        <v>0</v>
      </c>
      <c r="S25">
        <v>500</v>
      </c>
      <c r="T25">
        <v>0</v>
      </c>
      <c r="U25">
        <v>0</v>
      </c>
      <c r="V25">
        <v>100</v>
      </c>
      <c r="W25">
        <v>0</v>
      </c>
    </row>
    <row r="26" spans="1:23" ht="21" x14ac:dyDescent="0.35">
      <c r="A26" s="192" t="s">
        <v>171</v>
      </c>
      <c r="B26" s="193"/>
      <c r="C26" s="193"/>
      <c r="D26" s="193"/>
      <c r="E26" s="193"/>
      <c r="F26" s="193"/>
      <c r="G26" s="193"/>
      <c r="H26" s="217"/>
    </row>
    <row r="27" spans="1:23" x14ac:dyDescent="0.25">
      <c r="A27" s="213"/>
      <c r="B27" s="214"/>
      <c r="C27" s="214"/>
      <c r="D27" s="214"/>
      <c r="E27" s="214"/>
      <c r="F27" s="214"/>
      <c r="G27" s="214"/>
      <c r="H27" s="214"/>
    </row>
    <row r="28" spans="1:23" x14ac:dyDescent="0.25">
      <c r="A28" s="86" t="s">
        <v>172</v>
      </c>
      <c r="B28" s="87" t="s">
        <v>125</v>
      </c>
      <c r="C28" s="87" t="s">
        <v>173</v>
      </c>
      <c r="D28" s="87" t="s">
        <v>182</v>
      </c>
      <c r="E28" s="87" t="s">
        <v>174</v>
      </c>
      <c r="F28" s="87" t="s">
        <v>6</v>
      </c>
      <c r="G28" s="87" t="s">
        <v>183</v>
      </c>
      <c r="H28" s="86" t="s">
        <v>175</v>
      </c>
      <c r="J28" s="83" t="s">
        <v>7</v>
      </c>
      <c r="K28" s="83" t="s">
        <v>152</v>
      </c>
      <c r="L28" s="1" cm="1">
        <f t="array" ref="L28:W28">oz.Timelineλ($B$21, $B$22, $B$23)</f>
        <v>46569</v>
      </c>
      <c r="M28" s="1">
        <v>46935</v>
      </c>
      <c r="N28" s="1">
        <v>47300</v>
      </c>
      <c r="O28" s="1">
        <v>47665</v>
      </c>
      <c r="P28" s="1">
        <v>48030</v>
      </c>
      <c r="Q28" s="1">
        <v>48396</v>
      </c>
      <c r="R28" s="1">
        <v>48761</v>
      </c>
      <c r="S28" s="1">
        <v>49126</v>
      </c>
      <c r="T28" s="1">
        <v>49491</v>
      </c>
      <c r="U28" s="1">
        <v>49857</v>
      </c>
      <c r="V28" s="1">
        <v>50222</v>
      </c>
      <c r="W28" s="1">
        <v>50587</v>
      </c>
    </row>
    <row r="29" spans="1:23" x14ac:dyDescent="0.25">
      <c r="A29" t="s">
        <v>179</v>
      </c>
      <c r="B29" s="88">
        <v>25000</v>
      </c>
      <c r="C29" s="13">
        <v>46204</v>
      </c>
      <c r="D29" s="88">
        <v>8</v>
      </c>
      <c r="E29" s="88">
        <v>1000</v>
      </c>
      <c r="F29" s="13"/>
      <c r="G29" s="88">
        <v>500</v>
      </c>
      <c r="H29" s="13" t="s">
        <v>176</v>
      </c>
      <c r="J29" s="85" t="str" cm="1">
        <f t="array" ref="J29:J48">oz.LabelDepreciateλ(tblAssets111214[Asset])</f>
        <v>Cutter CAPEX</v>
      </c>
      <c r="K29" s="85" cm="1">
        <f t="array" ref="K29:K48">oz.SumDepreciateλ(_xlfn.ANCHORARRAY(L29))</f>
        <v>0</v>
      </c>
      <c r="L29" s="85" cm="1">
        <f t="array" ref="L29:W48">oz.Depreciateλ(tblAssets111214[Amount],tblAssets111214[Acquired],tblAssets111214[Life],_xlfn.ANCHORARRAY(L28),tblAssets111214[Salvage],tblAssets111214[Date],tblAssets111214[Cost],tblAssets111214[Method])</f>
        <v>0</v>
      </c>
      <c r="M29">
        <v>0</v>
      </c>
      <c r="N29">
        <v>0</v>
      </c>
      <c r="O29">
        <v>0</v>
      </c>
      <c r="P29">
        <v>0</v>
      </c>
      <c r="Q29">
        <v>0</v>
      </c>
      <c r="R29">
        <v>0</v>
      </c>
      <c r="S29">
        <v>0</v>
      </c>
      <c r="T29">
        <v>0</v>
      </c>
      <c r="U29">
        <v>0</v>
      </c>
      <c r="V29">
        <v>0</v>
      </c>
      <c r="W29">
        <v>0</v>
      </c>
    </row>
    <row r="30" spans="1:23" x14ac:dyDescent="0.25">
      <c r="A30" t="s">
        <v>180</v>
      </c>
      <c r="B30" s="88">
        <v>10000</v>
      </c>
      <c r="C30" s="13">
        <v>46661</v>
      </c>
      <c r="D30" s="88">
        <v>10</v>
      </c>
      <c r="E30" s="88">
        <v>500</v>
      </c>
      <c r="F30" s="13"/>
      <c r="G30" s="88">
        <v>100</v>
      </c>
      <c r="H30" s="13" t="s">
        <v>177</v>
      </c>
      <c r="J30" t="str">
        <v>Cutter Opening Value</v>
      </c>
      <c r="K30">
        <v>0</v>
      </c>
      <c r="L30">
        <v>22000</v>
      </c>
      <c r="M30">
        <v>19000</v>
      </c>
      <c r="N30">
        <v>16000</v>
      </c>
      <c r="O30">
        <v>13000</v>
      </c>
      <c r="P30">
        <v>10000</v>
      </c>
      <c r="Q30">
        <v>7000</v>
      </c>
      <c r="R30">
        <v>4000</v>
      </c>
      <c r="S30">
        <v>1000</v>
      </c>
      <c r="T30">
        <v>0</v>
      </c>
      <c r="U30">
        <v>0</v>
      </c>
      <c r="V30">
        <v>0</v>
      </c>
      <c r="W30">
        <v>0</v>
      </c>
    </row>
    <row r="31" spans="1:23" x14ac:dyDescent="0.25">
      <c r="A31" t="s">
        <v>181</v>
      </c>
      <c r="B31" s="88">
        <v>50546</v>
      </c>
      <c r="C31" s="89">
        <v>47484</v>
      </c>
      <c r="D31" s="90">
        <v>20</v>
      </c>
      <c r="E31" s="88">
        <v>1000</v>
      </c>
      <c r="F31" s="13"/>
      <c r="G31" s="88">
        <v>250</v>
      </c>
      <c r="H31" s="13" t="s">
        <v>178</v>
      </c>
      <c r="J31" t="str">
        <v>Cutter Depreciation</v>
      </c>
      <c r="K31">
        <v>22000</v>
      </c>
      <c r="L31">
        <v>3000</v>
      </c>
      <c r="M31">
        <v>3000</v>
      </c>
      <c r="N31">
        <v>3000</v>
      </c>
      <c r="O31">
        <v>3000</v>
      </c>
      <c r="P31">
        <v>3000</v>
      </c>
      <c r="Q31">
        <v>3000</v>
      </c>
      <c r="R31">
        <v>3000</v>
      </c>
      <c r="S31">
        <v>1000</v>
      </c>
      <c r="T31">
        <v>0</v>
      </c>
      <c r="U31">
        <v>0</v>
      </c>
      <c r="V31">
        <v>0</v>
      </c>
      <c r="W31">
        <v>0</v>
      </c>
    </row>
    <row r="32" spans="1:23" x14ac:dyDescent="0.25">
      <c r="J32" t="str">
        <v>Cutter Book Value</v>
      </c>
      <c r="K32">
        <v>0</v>
      </c>
      <c r="L32">
        <v>19000</v>
      </c>
      <c r="M32">
        <v>16000</v>
      </c>
      <c r="N32">
        <v>13000</v>
      </c>
      <c r="O32">
        <v>10000</v>
      </c>
      <c r="P32">
        <v>7000</v>
      </c>
      <c r="Q32">
        <v>4000</v>
      </c>
      <c r="R32">
        <v>1000</v>
      </c>
      <c r="S32">
        <v>0</v>
      </c>
      <c r="T32">
        <v>0</v>
      </c>
      <c r="U32">
        <v>0</v>
      </c>
      <c r="V32">
        <v>0</v>
      </c>
      <c r="W32">
        <v>0</v>
      </c>
    </row>
    <row r="33" spans="10:23" x14ac:dyDescent="0.25">
      <c r="J33" t="str">
        <v>Cutter Revenue from Sale</v>
      </c>
      <c r="K33">
        <v>1000</v>
      </c>
      <c r="L33">
        <v>0</v>
      </c>
      <c r="M33">
        <v>0</v>
      </c>
      <c r="N33">
        <v>0</v>
      </c>
      <c r="O33">
        <v>0</v>
      </c>
      <c r="P33">
        <v>0</v>
      </c>
      <c r="Q33">
        <v>0</v>
      </c>
      <c r="R33">
        <v>0</v>
      </c>
      <c r="S33">
        <v>1000</v>
      </c>
      <c r="T33">
        <v>0</v>
      </c>
      <c r="U33">
        <v>0</v>
      </c>
      <c r="V33">
        <v>0</v>
      </c>
      <c r="W33">
        <v>0</v>
      </c>
    </row>
    <row r="34" spans="10:23" x14ac:dyDescent="0.25">
      <c r="J34" t="str">
        <v>Cutter Disposal Costs</v>
      </c>
      <c r="K34">
        <v>500</v>
      </c>
      <c r="L34">
        <v>0</v>
      </c>
      <c r="M34">
        <v>0</v>
      </c>
      <c r="N34">
        <v>0</v>
      </c>
      <c r="O34">
        <v>0</v>
      </c>
      <c r="P34">
        <v>0</v>
      </c>
      <c r="Q34">
        <v>0</v>
      </c>
      <c r="R34">
        <v>0</v>
      </c>
      <c r="S34">
        <v>500</v>
      </c>
      <c r="T34">
        <v>0</v>
      </c>
      <c r="U34">
        <v>0</v>
      </c>
      <c r="V34">
        <v>0</v>
      </c>
      <c r="W34">
        <v>0</v>
      </c>
    </row>
    <row r="35" spans="10:23" x14ac:dyDescent="0.25">
      <c r="J35" t="str">
        <v/>
      </c>
      <c r="K35">
        <v>0</v>
      </c>
      <c r="L35" t="str">
        <v/>
      </c>
      <c r="M35" t="str">
        <v/>
      </c>
      <c r="N35" t="str">
        <v/>
      </c>
      <c r="O35" t="str">
        <v/>
      </c>
      <c r="P35" t="str">
        <v/>
      </c>
      <c r="Q35" t="str">
        <v/>
      </c>
      <c r="R35" t="str">
        <v/>
      </c>
      <c r="S35" t="str">
        <v/>
      </c>
      <c r="T35" t="str">
        <v/>
      </c>
      <c r="U35" t="str">
        <v/>
      </c>
      <c r="V35" t="str">
        <v/>
      </c>
      <c r="W35" t="str">
        <v/>
      </c>
    </row>
    <row r="36" spans="10:23" x14ac:dyDescent="0.25">
      <c r="J36" t="str">
        <v>Press CAPEX</v>
      </c>
      <c r="K36">
        <v>10000</v>
      </c>
      <c r="L36">
        <v>10000</v>
      </c>
      <c r="M36">
        <v>0</v>
      </c>
      <c r="N36">
        <v>0</v>
      </c>
      <c r="O36">
        <v>0</v>
      </c>
      <c r="P36">
        <v>0</v>
      </c>
      <c r="Q36">
        <v>0</v>
      </c>
      <c r="R36">
        <v>0</v>
      </c>
      <c r="S36">
        <v>0</v>
      </c>
      <c r="T36">
        <v>0</v>
      </c>
      <c r="U36">
        <v>0</v>
      </c>
      <c r="V36">
        <v>0</v>
      </c>
      <c r="W36">
        <v>0</v>
      </c>
    </row>
    <row r="37" spans="10:23" x14ac:dyDescent="0.25">
      <c r="J37" t="str">
        <v>Press Opening Value</v>
      </c>
      <c r="K37">
        <v>0</v>
      </c>
      <c r="L37">
        <v>10000</v>
      </c>
      <c r="M37">
        <v>8499.9699999999993</v>
      </c>
      <c r="N37">
        <v>6800.03</v>
      </c>
      <c r="O37">
        <v>5439.9699999999993</v>
      </c>
      <c r="P37">
        <v>4352.03</v>
      </c>
      <c r="Q37">
        <v>3481.57</v>
      </c>
      <c r="R37">
        <v>2785.3099999999986</v>
      </c>
      <c r="S37">
        <v>2228.2299999999973</v>
      </c>
      <c r="T37">
        <v>1782.6019999999967</v>
      </c>
      <c r="U37">
        <v>1426.0815999999959</v>
      </c>
      <c r="V37">
        <v>710.55727999999499</v>
      </c>
      <c r="W37">
        <v>0</v>
      </c>
    </row>
    <row r="38" spans="10:23" x14ac:dyDescent="0.25">
      <c r="J38" t="str">
        <v>Press Depreciation</v>
      </c>
      <c r="K38">
        <v>9999.9999999999982</v>
      </c>
      <c r="L38">
        <v>1500.03</v>
      </c>
      <c r="M38">
        <v>1699.9399999999996</v>
      </c>
      <c r="N38">
        <v>1360.0600000000002</v>
      </c>
      <c r="O38">
        <v>1087.9400000000005</v>
      </c>
      <c r="P38">
        <v>870.45999999999992</v>
      </c>
      <c r="Q38">
        <v>696.26000000000056</v>
      </c>
      <c r="R38">
        <v>557.08000000000038</v>
      </c>
      <c r="S38">
        <v>445.62800000000027</v>
      </c>
      <c r="T38">
        <v>356.52040000000034</v>
      </c>
      <c r="U38">
        <v>715.52432000000044</v>
      </c>
      <c r="V38">
        <v>710.55727999999601</v>
      </c>
      <c r="W38">
        <v>0</v>
      </c>
    </row>
    <row r="39" spans="10:23" x14ac:dyDescent="0.25">
      <c r="J39" t="str">
        <v>Press Book Value</v>
      </c>
      <c r="K39">
        <v>0</v>
      </c>
      <c r="L39">
        <v>8499.9699999999993</v>
      </c>
      <c r="M39">
        <v>6800.03</v>
      </c>
      <c r="N39">
        <v>5439.9699999999993</v>
      </c>
      <c r="O39">
        <v>4352.0299999999988</v>
      </c>
      <c r="P39">
        <v>3481.5699999999997</v>
      </c>
      <c r="Q39">
        <v>2785.3099999999995</v>
      </c>
      <c r="R39">
        <v>2228.2299999999982</v>
      </c>
      <c r="S39">
        <v>1782.6019999999971</v>
      </c>
      <c r="T39">
        <v>1426.0815999999963</v>
      </c>
      <c r="U39">
        <v>710.55727999999544</v>
      </c>
      <c r="V39">
        <v>-1.0231815394945443E-12</v>
      </c>
      <c r="W39">
        <v>0</v>
      </c>
    </row>
    <row r="40" spans="10:23" x14ac:dyDescent="0.25">
      <c r="J40" t="str">
        <v>Press Revenue from Sale</v>
      </c>
      <c r="K40">
        <v>500</v>
      </c>
      <c r="L40">
        <v>0</v>
      </c>
      <c r="M40">
        <v>0</v>
      </c>
      <c r="N40">
        <v>0</v>
      </c>
      <c r="O40">
        <v>0</v>
      </c>
      <c r="P40">
        <v>0</v>
      </c>
      <c r="Q40">
        <v>0</v>
      </c>
      <c r="R40">
        <v>0</v>
      </c>
      <c r="S40">
        <v>0</v>
      </c>
      <c r="T40">
        <v>0</v>
      </c>
      <c r="U40">
        <v>0</v>
      </c>
      <c r="V40">
        <v>500</v>
      </c>
      <c r="W40">
        <v>0</v>
      </c>
    </row>
    <row r="41" spans="10:23" x14ac:dyDescent="0.25">
      <c r="J41" t="str">
        <v>Press Disposal Costs</v>
      </c>
      <c r="K41">
        <v>100</v>
      </c>
      <c r="L41">
        <v>0</v>
      </c>
      <c r="M41">
        <v>0</v>
      </c>
      <c r="N41">
        <v>0</v>
      </c>
      <c r="O41">
        <v>0</v>
      </c>
      <c r="P41">
        <v>0</v>
      </c>
      <c r="Q41">
        <v>0</v>
      </c>
      <c r="R41">
        <v>0</v>
      </c>
      <c r="S41">
        <v>0</v>
      </c>
      <c r="T41">
        <v>0</v>
      </c>
      <c r="U41">
        <v>0</v>
      </c>
      <c r="V41">
        <v>100</v>
      </c>
      <c r="W41">
        <v>0</v>
      </c>
    </row>
    <row r="42" spans="10:23" x14ac:dyDescent="0.25">
      <c r="J42" t="str">
        <v/>
      </c>
      <c r="K42">
        <v>0</v>
      </c>
      <c r="L42" t="str">
        <v/>
      </c>
      <c r="M42" t="str">
        <v/>
      </c>
      <c r="N42" t="str">
        <v/>
      </c>
      <c r="O42" t="str">
        <v/>
      </c>
      <c r="P42" t="str">
        <v/>
      </c>
      <c r="Q42" t="str">
        <v/>
      </c>
      <c r="R42" t="str">
        <v/>
      </c>
      <c r="S42" t="str">
        <v/>
      </c>
      <c r="T42" t="str">
        <v/>
      </c>
      <c r="U42" t="str">
        <v/>
      </c>
      <c r="V42" t="str">
        <v/>
      </c>
      <c r="W42" t="str">
        <v/>
      </c>
    </row>
    <row r="43" spans="10:23" x14ac:dyDescent="0.25">
      <c r="J43" t="str">
        <v>CNC CAPEX</v>
      </c>
      <c r="K43">
        <v>50546</v>
      </c>
      <c r="L43">
        <v>0</v>
      </c>
      <c r="M43">
        <v>0</v>
      </c>
      <c r="N43">
        <v>50546</v>
      </c>
      <c r="O43">
        <v>0</v>
      </c>
      <c r="P43">
        <v>0</v>
      </c>
      <c r="Q43">
        <v>0</v>
      </c>
      <c r="R43">
        <v>0</v>
      </c>
      <c r="S43">
        <v>0</v>
      </c>
      <c r="T43">
        <v>0</v>
      </c>
      <c r="U43">
        <v>0</v>
      </c>
      <c r="V43">
        <v>0</v>
      </c>
      <c r="W43">
        <v>0</v>
      </c>
    </row>
    <row r="44" spans="10:23" x14ac:dyDescent="0.25">
      <c r="J44" t="str">
        <v>CNC Opening Value</v>
      </c>
      <c r="K44">
        <v>0</v>
      </c>
      <c r="L44">
        <v>0</v>
      </c>
      <c r="M44">
        <v>0</v>
      </c>
      <c r="N44">
        <v>50546</v>
      </c>
      <c r="O44">
        <v>48018.679999999993</v>
      </c>
      <c r="P44">
        <v>43216.799999999996</v>
      </c>
      <c r="Q44">
        <v>38895.119999999988</v>
      </c>
      <c r="R44">
        <v>35005.61399999998</v>
      </c>
      <c r="S44">
        <v>31505.070599999977</v>
      </c>
      <c r="T44">
        <v>28354.587539999968</v>
      </c>
      <c r="U44">
        <v>25519.11678599997</v>
      </c>
      <c r="V44">
        <v>22967.175107399969</v>
      </c>
      <c r="W44">
        <v>20670.475596659966</v>
      </c>
    </row>
    <row r="45" spans="10:23" x14ac:dyDescent="0.25">
      <c r="J45" t="str">
        <v>CNC Depreciation</v>
      </c>
      <c r="K45">
        <v>31942.583963006007</v>
      </c>
      <c r="L45">
        <v>0</v>
      </c>
      <c r="M45">
        <v>0</v>
      </c>
      <c r="N45">
        <v>2527.3200000000006</v>
      </c>
      <c r="O45">
        <v>4801.8799999999992</v>
      </c>
      <c r="P45">
        <v>4321.6800000000012</v>
      </c>
      <c r="Q45">
        <v>3889.5060000000012</v>
      </c>
      <c r="R45">
        <v>3500.5434000000009</v>
      </c>
      <c r="S45">
        <v>3150.4830599999996</v>
      </c>
      <c r="T45">
        <v>2835.4707540000009</v>
      </c>
      <c r="U45">
        <v>2551.9416786000011</v>
      </c>
      <c r="V45">
        <v>2296.6995107400007</v>
      </c>
      <c r="W45">
        <v>2067.0595596660019</v>
      </c>
    </row>
    <row r="46" spans="10:23" x14ac:dyDescent="0.25">
      <c r="J46" t="str">
        <v>CNC Book Value</v>
      </c>
      <c r="K46">
        <v>0</v>
      </c>
      <c r="L46">
        <v>0</v>
      </c>
      <c r="M46">
        <v>0</v>
      </c>
      <c r="N46">
        <v>48018.68</v>
      </c>
      <c r="O46">
        <v>43216.799999999996</v>
      </c>
      <c r="P46">
        <v>38895.119999999995</v>
      </c>
      <c r="Q46">
        <v>35005.613999999987</v>
      </c>
      <c r="R46">
        <v>31505.070599999977</v>
      </c>
      <c r="S46">
        <v>28354.587539999979</v>
      </c>
      <c r="T46">
        <v>25519.116785999966</v>
      </c>
      <c r="U46">
        <v>22967.175107399969</v>
      </c>
      <c r="V46">
        <v>20670.47559665997</v>
      </c>
      <c r="W46">
        <v>18603.416036993964</v>
      </c>
    </row>
    <row r="47" spans="10:23" x14ac:dyDescent="0.25">
      <c r="J47" t="str">
        <v>CNC Revenue from Sale</v>
      </c>
      <c r="K47">
        <v>0</v>
      </c>
      <c r="L47">
        <v>0</v>
      </c>
      <c r="M47">
        <v>0</v>
      </c>
      <c r="N47">
        <v>0</v>
      </c>
      <c r="O47">
        <v>0</v>
      </c>
      <c r="P47">
        <v>0</v>
      </c>
      <c r="Q47">
        <v>0</v>
      </c>
      <c r="R47">
        <v>0</v>
      </c>
      <c r="S47">
        <v>0</v>
      </c>
      <c r="T47">
        <v>0</v>
      </c>
      <c r="U47">
        <v>0</v>
      </c>
      <c r="V47">
        <v>0</v>
      </c>
      <c r="W47">
        <v>0</v>
      </c>
    </row>
    <row r="48" spans="10:23" x14ac:dyDescent="0.25">
      <c r="J48" t="str">
        <v>CNC Disposal Costs</v>
      </c>
      <c r="K48">
        <v>0</v>
      </c>
      <c r="L48">
        <v>0</v>
      </c>
      <c r="M48">
        <v>0</v>
      </c>
      <c r="N48">
        <v>0</v>
      </c>
      <c r="O48">
        <v>0</v>
      </c>
      <c r="P48">
        <v>0</v>
      </c>
      <c r="Q48">
        <v>0</v>
      </c>
      <c r="R48">
        <v>0</v>
      </c>
      <c r="S48">
        <v>0</v>
      </c>
      <c r="T48">
        <v>0</v>
      </c>
      <c r="U48">
        <v>0</v>
      </c>
      <c r="V48">
        <v>0</v>
      </c>
      <c r="W48">
        <v>0</v>
      </c>
    </row>
  </sheetData>
  <mergeCells count="6">
    <mergeCell ref="A27:H27"/>
    <mergeCell ref="A1:Q1"/>
    <mergeCell ref="A2:Q2"/>
    <mergeCell ref="M4:T13"/>
    <mergeCell ref="A18:C18"/>
    <mergeCell ref="A26:H26"/>
  </mergeCells>
  <dataValidations count="1">
    <dataValidation type="list" allowBlank="1" showInputMessage="1" showErrorMessage="1" sqref="H29:H31" xr:uid="{D5A42FC3-AEDA-4CE2-A154-219CC32BC3A8}">
      <formula1>INDIRECT("tblMethods[Method]")</formula1>
    </dataValidation>
  </dataValidations>
  <hyperlinks>
    <hyperlink ref="A1" location="'TOC'!$A$1" display="'TOC'!$A$1" xr:uid="{1B64CA4C-342A-436E-A33A-B21B7CC34AD7}"/>
  </hyperlinks>
  <pageMargins left="0.7" right="0.7" top="0.75" bottom="0.75" header="0.3" footer="0.3"/>
  <pageSetup paperSize="9" scale="52" fitToHeight="0" orientation="landscape" horizontalDpi="0" verticalDpi="0"/>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3B3E-037A-4791-BB65-9394CF90C975}">
  <sheetPr codeName="Sheet42">
    <tabColor rgb="FF66023C"/>
    <pageSetUpPr fitToPage="1"/>
  </sheetPr>
  <dimension ref="A1:U39"/>
  <sheetViews>
    <sheetView showGridLines="0" workbookViewId="0">
      <selection sqref="A1:P1"/>
    </sheetView>
  </sheetViews>
  <sheetFormatPr defaultRowHeight="15" x14ac:dyDescent="0.25"/>
  <cols>
    <col min="1" max="1" width="12.75" bestFit="1" customWidth="1"/>
    <col min="2" max="2" width="11.25" customWidth="1"/>
    <col min="3" max="3" width="10" bestFit="1" customWidth="1"/>
    <col min="7" max="7" width="10" bestFit="1" customWidth="1"/>
    <col min="8" max="8" width="11.25" bestFit="1" customWidth="1"/>
    <col min="9" max="9" width="11.75" bestFit="1" customWidth="1"/>
    <col min="10" max="21" width="11.375" bestFit="1" customWidth="1"/>
  </cols>
  <sheetData>
    <row r="1" spans="1:17" ht="46.5" x14ac:dyDescent="0.7">
      <c r="A1" s="185" t="str">
        <f ca="1">_xlfn.TEXTAFTER(CELL("filename",A1),"]")</f>
        <v>oz.IntOnIntλ</v>
      </c>
      <c r="B1" s="185"/>
      <c r="C1" s="185"/>
      <c r="D1" s="185"/>
      <c r="E1" s="185"/>
      <c r="F1" s="185"/>
      <c r="G1" s="185"/>
      <c r="H1" s="185"/>
      <c r="I1" s="185"/>
      <c r="J1" s="185"/>
      <c r="K1" s="185"/>
      <c r="L1" s="185"/>
      <c r="M1" s="185"/>
      <c r="N1" s="185"/>
      <c r="O1" s="185"/>
      <c r="P1" s="185"/>
    </row>
    <row r="2" spans="1:17" x14ac:dyDescent="0.25">
      <c r="A2" s="186" t="s">
        <v>85</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c r="L3" s="4"/>
      <c r="M3" s="4"/>
      <c r="N3" s="4"/>
      <c r="O3" s="4"/>
      <c r="P3" s="4"/>
    </row>
    <row r="4" spans="1:17" x14ac:dyDescent="0.25">
      <c r="A4" s="55" t="str" cm="1">
        <f t="array" ref="A4:B14">oz.IntOnIntλ()</f>
        <v>FUNCTION:</v>
      </c>
      <c r="B4" t="str">
        <v>IntOnIntλ( Principal, Rate)</v>
      </c>
    </row>
    <row r="5" spans="1:17" x14ac:dyDescent="0.25">
      <c r="A5" t="str">
        <v>DESCRIPTION:</v>
      </c>
      <c r="B5" t="str">
        <v>Calculate Interest on Interest (Interest only). Use to determine amount</v>
      </c>
    </row>
    <row r="6" spans="1:17" x14ac:dyDescent="0.25">
      <c r="A6" t="str">
        <v/>
      </c>
      <c r="B6" t="str">
        <v>needed to cover borrowed interest</v>
      </c>
    </row>
    <row r="7" spans="1:17" x14ac:dyDescent="0.25">
      <c r="A7" t="str">
        <v>WEBSITE:</v>
      </c>
      <c r="B7" t="str">
        <v>https://github.com/ryanduguid/Ozzit</v>
      </c>
    </row>
    <row r="8" spans="1:17" x14ac:dyDescent="0.25">
      <c r="A8" t="str">
        <v>VERSION:</v>
      </c>
      <c r="B8" t="str">
        <v>20 Aug 2026</v>
      </c>
    </row>
    <row r="9" spans="1:17" x14ac:dyDescent="0.25">
      <c r="A9" t="str">
        <v>PARAMETERS:</v>
      </c>
      <c r="B9" t="str">
        <v/>
      </c>
    </row>
    <row r="10" spans="1:17" x14ac:dyDescent="0.25">
      <c r="A10" t="str">
        <v>Principal</v>
      </c>
      <c r="B10" t="str">
        <v>(Required) Principal amount</v>
      </c>
    </row>
    <row r="11" spans="1:17" x14ac:dyDescent="0.25">
      <c r="A11" t="str">
        <v>Rate</v>
      </c>
      <c r="B11" t="str">
        <v>(Required) Interest percentage rate. For years, APR. For months, APR/12</v>
      </c>
    </row>
    <row r="12" spans="1:17" x14ac:dyDescent="0.25">
      <c r="A12" t="str">
        <v>EXAMPLES:</v>
      </c>
      <c r="B12" t="str">
        <v/>
      </c>
    </row>
    <row r="13" spans="1:17" x14ac:dyDescent="0.25">
      <c r="A13" t="str">
        <v>Result</v>
      </c>
      <c r="B13" t="str">
        <v>Formula (oz is assumed to be the module's name)</v>
      </c>
    </row>
    <row r="14" spans="1:17" x14ac:dyDescent="0.25">
      <c r="A14" t="str">
        <v>52.63</v>
      </c>
      <c r="B14" t="str">
        <v>=oz.IntOnIntλ( 1000, 5%)</v>
      </c>
    </row>
    <row r="17" spans="1:21" ht="21" x14ac:dyDescent="0.35">
      <c r="A17" s="203" t="s">
        <v>148</v>
      </c>
      <c r="B17" s="203"/>
      <c r="C17" s="203"/>
    </row>
    <row r="18" spans="1:21" x14ac:dyDescent="0.25">
      <c r="I18" s="84" t="s">
        <v>155</v>
      </c>
      <c r="J18" s="58" cm="1">
        <f t="array" ref="J18:U18">oz.Timelineλ($B$20, $B$21, $B$22, FALSE)</f>
        <v>46568</v>
      </c>
      <c r="K18" s="58">
        <v>46934</v>
      </c>
      <c r="L18" s="58">
        <v>47299</v>
      </c>
      <c r="M18" s="58">
        <v>47664</v>
      </c>
      <c r="N18" s="58">
        <v>48029</v>
      </c>
      <c r="O18" s="58">
        <v>48395</v>
      </c>
      <c r="P18" s="58">
        <v>48760</v>
      </c>
      <c r="Q18" s="58">
        <v>49125</v>
      </c>
      <c r="R18" s="58">
        <v>49490</v>
      </c>
      <c r="S18" s="58">
        <v>49856</v>
      </c>
      <c r="T18" s="58">
        <v>50221</v>
      </c>
      <c r="U18" s="58">
        <v>50586</v>
      </c>
    </row>
    <row r="19" spans="1:21" x14ac:dyDescent="0.25">
      <c r="A19" s="54" t="s">
        <v>149</v>
      </c>
      <c r="B19" s="54" t="s">
        <v>14</v>
      </c>
      <c r="C19" s="54" t="s">
        <v>15</v>
      </c>
      <c r="F19" s="92" t="s">
        <v>134</v>
      </c>
      <c r="G19" s="93" t="s">
        <v>14</v>
      </c>
      <c r="H19" s="92" t="s">
        <v>15</v>
      </c>
      <c r="I19" s="83" t="s">
        <v>152</v>
      </c>
      <c r="J19" s="1" cm="1">
        <f t="array" ref="J19:U19">oz.Timelineλ($B$20, $B$21, $B$22)</f>
        <v>46204</v>
      </c>
      <c r="K19" s="1">
        <v>46569</v>
      </c>
      <c r="L19" s="1">
        <v>46935</v>
      </c>
      <c r="M19" s="1">
        <v>47300</v>
      </c>
      <c r="N19" s="1">
        <v>47665</v>
      </c>
      <c r="O19" s="1">
        <v>48030</v>
      </c>
      <c r="P19" s="1">
        <v>48396</v>
      </c>
      <c r="Q19" s="1">
        <v>48761</v>
      </c>
      <c r="R19" s="1">
        <v>49126</v>
      </c>
      <c r="S19" s="1">
        <v>49491</v>
      </c>
      <c r="T19" s="1">
        <v>49857</v>
      </c>
      <c r="U19" s="1">
        <v>50222</v>
      </c>
    </row>
    <row r="20" spans="1:21" x14ac:dyDescent="0.25">
      <c r="A20" t="s">
        <v>112</v>
      </c>
      <c r="B20" s="34">
        <v>46204</v>
      </c>
      <c r="C20" t="s">
        <v>21</v>
      </c>
      <c r="F20" s="2" t="s">
        <v>186</v>
      </c>
    </row>
    <row r="21" spans="1:21" x14ac:dyDescent="0.25">
      <c r="A21" t="s">
        <v>17</v>
      </c>
      <c r="B21">
        <v>12</v>
      </c>
      <c r="C21" t="s">
        <v>22</v>
      </c>
      <c r="F21" s="14" t="s">
        <v>112</v>
      </c>
      <c r="G21" s="34">
        <f>_xlfn.XLOOKUP(F20, tblPhases[Description], tblPhases[Start])</f>
        <v>46204</v>
      </c>
      <c r="H21" t="s">
        <v>6</v>
      </c>
    </row>
    <row r="22" spans="1:21" x14ac:dyDescent="0.25">
      <c r="A22" t="s">
        <v>18</v>
      </c>
      <c r="B22" t="s">
        <v>2</v>
      </c>
      <c r="F22" s="14" t="s">
        <v>162</v>
      </c>
      <c r="G22" s="91">
        <f>_xlfn.XLOOKUP(F20, tblPhases[Description], tblPhases[APR])</f>
        <v>7.0000000000000007E-2</v>
      </c>
      <c r="H22" t="s">
        <v>133</v>
      </c>
    </row>
    <row r="23" spans="1:21" x14ac:dyDescent="0.25">
      <c r="F23" s="14" t="s">
        <v>161</v>
      </c>
      <c r="G23">
        <f>_xlfn.XLOOKUP(F20,tblPhases[Description],tblPhases[Principal])</f>
        <v>50546</v>
      </c>
      <c r="H23" t="s">
        <v>37</v>
      </c>
      <c r="J23" cm="1">
        <f t="array" ref="J23:U23">oz.IsBetweenλ(G21,_xlfn.ANCHORARRAY( $J$19),_xlfn.ANCHORARRAY( $J$18), TRUE) * G23</f>
        <v>50546</v>
      </c>
      <c r="K23">
        <v>0</v>
      </c>
      <c r="L23">
        <v>0</v>
      </c>
      <c r="M23">
        <v>0</v>
      </c>
      <c r="N23">
        <v>0</v>
      </c>
      <c r="O23">
        <v>0</v>
      </c>
      <c r="P23">
        <v>0</v>
      </c>
      <c r="Q23">
        <v>0</v>
      </c>
      <c r="R23">
        <v>0</v>
      </c>
      <c r="S23">
        <v>0</v>
      </c>
      <c r="T23">
        <v>0</v>
      </c>
      <c r="U23">
        <v>0</v>
      </c>
    </row>
    <row r="24" spans="1:21" x14ac:dyDescent="0.25">
      <c r="A24" s="221"/>
      <c r="B24" s="221"/>
      <c r="C24" s="221"/>
      <c r="D24" s="221"/>
      <c r="F24" s="14" t="s">
        <v>189</v>
      </c>
      <c r="J24" s="55" cm="1">
        <f t="array" ref="J24:U24">oz.IntOnIntλ(_xlfn.ANCHORARRAY(J23),G22)</f>
        <v>3804.5376344086035</v>
      </c>
      <c r="K24">
        <v>0</v>
      </c>
      <c r="L24">
        <v>0</v>
      </c>
      <c r="M24">
        <v>0</v>
      </c>
      <c r="N24">
        <v>0</v>
      </c>
      <c r="O24">
        <v>0</v>
      </c>
      <c r="P24">
        <v>0</v>
      </c>
      <c r="Q24">
        <v>0</v>
      </c>
      <c r="R24">
        <v>0</v>
      </c>
      <c r="S24">
        <v>0</v>
      </c>
      <c r="T24">
        <v>0</v>
      </c>
      <c r="U24">
        <v>0</v>
      </c>
    </row>
    <row r="25" spans="1:21" ht="21" x14ac:dyDescent="0.35">
      <c r="A25" s="200" t="s">
        <v>191</v>
      </c>
      <c r="B25" s="204"/>
      <c r="C25" s="204"/>
      <c r="D25" s="204"/>
      <c r="F25" s="2" t="s">
        <v>190</v>
      </c>
      <c r="J25" s="60" cm="1">
        <f t="array" ref="J25:U25">_xlfn.ANCHORARRAY(J23)+_xlfn.ANCHORARRAY(J24)</f>
        <v>54350.537634408603</v>
      </c>
      <c r="K25" s="60">
        <v>0</v>
      </c>
      <c r="L25" s="60">
        <v>0</v>
      </c>
      <c r="M25" s="60">
        <v>0</v>
      </c>
      <c r="N25" s="60">
        <v>0</v>
      </c>
      <c r="O25" s="60">
        <v>0</v>
      </c>
      <c r="P25" s="60">
        <v>0</v>
      </c>
      <c r="Q25" s="60">
        <v>0</v>
      </c>
      <c r="R25" s="60">
        <v>0</v>
      </c>
      <c r="S25" s="60">
        <v>0</v>
      </c>
      <c r="T25" s="60">
        <v>0</v>
      </c>
      <c r="U25" s="60">
        <v>0</v>
      </c>
    </row>
    <row r="26" spans="1:21" x14ac:dyDescent="0.25">
      <c r="A26" s="202"/>
      <c r="B26" s="201"/>
      <c r="C26" s="201"/>
      <c r="D26" s="201"/>
    </row>
    <row r="27" spans="1:21" x14ac:dyDescent="0.25">
      <c r="A27" s="65" t="s">
        <v>7</v>
      </c>
      <c r="B27" s="66" t="s">
        <v>161</v>
      </c>
      <c r="C27" s="66" t="s">
        <v>112</v>
      </c>
      <c r="D27" s="66" t="s">
        <v>162</v>
      </c>
      <c r="F27" s="2" t="s">
        <v>187</v>
      </c>
    </row>
    <row r="28" spans="1:21" x14ac:dyDescent="0.25">
      <c r="A28" s="70" t="s">
        <v>186</v>
      </c>
      <c r="B28" s="71">
        <v>50546</v>
      </c>
      <c r="C28" s="74">
        <v>46204</v>
      </c>
      <c r="D28" s="72">
        <v>7.0000000000000007E-2</v>
      </c>
      <c r="F28" s="14" t="s">
        <v>112</v>
      </c>
      <c r="G28" s="34">
        <f>_xlfn.XLOOKUP(F27,tblPhases[Description],tblPhases[Start])</f>
        <v>46569</v>
      </c>
      <c r="H28" t="s">
        <v>6</v>
      </c>
    </row>
    <row r="29" spans="1:21" x14ac:dyDescent="0.25">
      <c r="A29" s="70" t="s">
        <v>187</v>
      </c>
      <c r="B29" s="71">
        <v>500000</v>
      </c>
      <c r="C29" s="74">
        <v>46569</v>
      </c>
      <c r="D29" s="72">
        <v>6.5000000000000002E-2</v>
      </c>
      <c r="F29" s="14" t="s">
        <v>162</v>
      </c>
      <c r="G29" s="91">
        <f>_xlfn.XLOOKUP(F27,tblPhases[Description],tblPhases[APR])</f>
        <v>6.5000000000000002E-2</v>
      </c>
      <c r="H29" t="s">
        <v>133</v>
      </c>
    </row>
    <row r="30" spans="1:21" x14ac:dyDescent="0.25">
      <c r="A30" s="70" t="s">
        <v>188</v>
      </c>
      <c r="B30" s="71">
        <v>450000</v>
      </c>
      <c r="C30" s="74">
        <v>46935</v>
      </c>
      <c r="D30" s="72">
        <v>0.08</v>
      </c>
      <c r="F30" s="14" t="s">
        <v>161</v>
      </c>
      <c r="G30">
        <f>_xlfn.XLOOKUP(F27,tblPhases[Description],tblPhases[Principal])</f>
        <v>500000</v>
      </c>
      <c r="H30" t="s">
        <v>37</v>
      </c>
      <c r="J30" cm="1">
        <f t="array" ref="J30:U30">oz.IsBetweenλ(G28,_xlfn.ANCHORARRAY( $J$19),_xlfn.ANCHORARRAY( $J$18), TRUE) * G30</f>
        <v>0</v>
      </c>
      <c r="K30">
        <v>500000</v>
      </c>
      <c r="L30">
        <v>0</v>
      </c>
      <c r="M30">
        <v>0</v>
      </c>
      <c r="N30">
        <v>0</v>
      </c>
      <c r="O30">
        <v>0</v>
      </c>
      <c r="P30">
        <v>0</v>
      </c>
      <c r="Q30">
        <v>0</v>
      </c>
      <c r="R30">
        <v>0</v>
      </c>
      <c r="S30">
        <v>0</v>
      </c>
      <c r="T30">
        <v>0</v>
      </c>
      <c r="U30">
        <v>0</v>
      </c>
    </row>
    <row r="31" spans="1:21" x14ac:dyDescent="0.25">
      <c r="F31" s="14" t="s">
        <v>189</v>
      </c>
      <c r="J31" s="55" cm="1">
        <f t="array" ref="J31:U31">oz.IntOnIntλ(_xlfn.ANCHORARRAY(J30),G29)</f>
        <v>0</v>
      </c>
      <c r="K31">
        <v>34759.358288770076</v>
      </c>
      <c r="L31">
        <v>0</v>
      </c>
      <c r="M31">
        <v>0</v>
      </c>
      <c r="N31">
        <v>0</v>
      </c>
      <c r="O31">
        <v>0</v>
      </c>
      <c r="P31">
        <v>0</v>
      </c>
      <c r="Q31">
        <v>0</v>
      </c>
      <c r="R31">
        <v>0</v>
      </c>
      <c r="S31">
        <v>0</v>
      </c>
      <c r="T31">
        <v>0</v>
      </c>
      <c r="U31">
        <v>0</v>
      </c>
    </row>
    <row r="32" spans="1:21" x14ac:dyDescent="0.25">
      <c r="F32" s="2" t="s">
        <v>190</v>
      </c>
      <c r="J32" s="60" cm="1">
        <f t="array" ref="J32:U32">_xlfn.ANCHORARRAY(J30)+_xlfn.ANCHORARRAY(J31)</f>
        <v>0</v>
      </c>
      <c r="K32" s="60">
        <v>534759.35828877008</v>
      </c>
      <c r="L32" s="60">
        <v>0</v>
      </c>
      <c r="M32" s="60">
        <v>0</v>
      </c>
      <c r="N32" s="60">
        <v>0</v>
      </c>
      <c r="O32" s="60">
        <v>0</v>
      </c>
      <c r="P32" s="60">
        <v>0</v>
      </c>
      <c r="Q32" s="60">
        <v>0</v>
      </c>
      <c r="R32" s="60">
        <v>0</v>
      </c>
      <c r="S32" s="60">
        <v>0</v>
      </c>
      <c r="T32" s="60">
        <v>0</v>
      </c>
      <c r="U32" s="60">
        <v>0</v>
      </c>
    </row>
    <row r="34" spans="6:21" x14ac:dyDescent="0.25">
      <c r="F34" s="2" t="s">
        <v>188</v>
      </c>
    </row>
    <row r="35" spans="6:21" x14ac:dyDescent="0.25">
      <c r="F35" s="14" t="s">
        <v>112</v>
      </c>
      <c r="G35" s="34">
        <f>_xlfn.XLOOKUP(F34,tblPhases[Description],tblPhases[Start])</f>
        <v>46935</v>
      </c>
      <c r="H35" t="s">
        <v>6</v>
      </c>
    </row>
    <row r="36" spans="6:21" x14ac:dyDescent="0.25">
      <c r="F36" s="14" t="s">
        <v>162</v>
      </c>
      <c r="G36" s="91">
        <f>_xlfn.XLOOKUP(F34,tblPhases[Description],tblPhases[APR])</f>
        <v>0.08</v>
      </c>
      <c r="H36" t="s">
        <v>133</v>
      </c>
    </row>
    <row r="37" spans="6:21" x14ac:dyDescent="0.25">
      <c r="F37" s="14" t="s">
        <v>161</v>
      </c>
      <c r="G37">
        <f>_xlfn.XLOOKUP(F34,tblPhases[Description],tblPhases[Principal])</f>
        <v>450000</v>
      </c>
      <c r="H37" t="s">
        <v>37</v>
      </c>
      <c r="J37" cm="1">
        <f t="array" ref="J37:U37">oz.IsBetweenλ(G35,_xlfn.ANCHORARRAY( $J$19),_xlfn.ANCHORARRAY( $J$18), TRUE) * G37</f>
        <v>0</v>
      </c>
      <c r="K37">
        <v>0</v>
      </c>
      <c r="L37">
        <v>450000</v>
      </c>
      <c r="M37">
        <v>0</v>
      </c>
      <c r="N37">
        <v>0</v>
      </c>
      <c r="O37">
        <v>0</v>
      </c>
      <c r="P37">
        <v>0</v>
      </c>
      <c r="Q37">
        <v>0</v>
      </c>
      <c r="R37">
        <v>0</v>
      </c>
      <c r="S37">
        <v>0</v>
      </c>
      <c r="T37">
        <v>0</v>
      </c>
      <c r="U37">
        <v>0</v>
      </c>
    </row>
    <row r="38" spans="6:21" x14ac:dyDescent="0.25">
      <c r="F38" s="14" t="s">
        <v>189</v>
      </c>
      <c r="J38" s="55" cm="1">
        <f t="array" ref="J38:U38">oz.IntOnIntλ(_xlfn.ANCHORARRAY(J37),G36)</f>
        <v>0</v>
      </c>
      <c r="K38">
        <v>0</v>
      </c>
      <c r="L38">
        <v>39130.434782608703</v>
      </c>
      <c r="M38">
        <v>0</v>
      </c>
      <c r="N38">
        <v>0</v>
      </c>
      <c r="O38">
        <v>0</v>
      </c>
      <c r="P38">
        <v>0</v>
      </c>
      <c r="Q38">
        <v>0</v>
      </c>
      <c r="R38">
        <v>0</v>
      </c>
      <c r="S38">
        <v>0</v>
      </c>
      <c r="T38">
        <v>0</v>
      </c>
      <c r="U38">
        <v>0</v>
      </c>
    </row>
    <row r="39" spans="6:21" x14ac:dyDescent="0.25">
      <c r="F39" s="2" t="s">
        <v>190</v>
      </c>
      <c r="J39" s="60" cm="1">
        <f t="array" ref="J39:U39">_xlfn.ANCHORARRAY(J37)+_xlfn.ANCHORARRAY(J38)</f>
        <v>0</v>
      </c>
      <c r="K39" s="60">
        <v>0</v>
      </c>
      <c r="L39" s="60">
        <v>489130.4347826087</v>
      </c>
      <c r="M39" s="60">
        <v>0</v>
      </c>
      <c r="N39" s="60">
        <v>0</v>
      </c>
      <c r="O39" s="60">
        <v>0</v>
      </c>
      <c r="P39" s="60">
        <v>0</v>
      </c>
      <c r="Q39" s="60">
        <v>0</v>
      </c>
      <c r="R39" s="60">
        <v>0</v>
      </c>
      <c r="S39" s="60">
        <v>0</v>
      </c>
      <c r="T39" s="60">
        <v>0</v>
      </c>
      <c r="U39" s="60">
        <v>0</v>
      </c>
    </row>
  </sheetData>
  <mergeCells count="6">
    <mergeCell ref="A26:D26"/>
    <mergeCell ref="A1:P1"/>
    <mergeCell ref="A17:C17"/>
    <mergeCell ref="A24:D24"/>
    <mergeCell ref="A2:Q2"/>
    <mergeCell ref="A25:D25"/>
  </mergeCells>
  <hyperlinks>
    <hyperlink ref="A1" location="'TOC'!$A$1" display="'TOC'!$A$1" xr:uid="{8EF6B6D1-B110-459C-AA72-C307CD7EF888}"/>
  </hyperlinks>
  <pageMargins left="0.7" right="0.7" top="0.75" bottom="0.75" header="0.3" footer="0.3"/>
  <pageSetup paperSize="9" scale="54" fitToHeight="0" orientation="landscape" horizontalDpi="0" verticalDpi="0"/>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395F-B67C-4D9C-AA8C-4AD24905CEED}">
  <sheetPr codeName="Sheet43">
    <tabColor rgb="FF66023C"/>
    <pageSetUpPr fitToPage="1"/>
  </sheetPr>
  <dimension ref="A1:R28"/>
  <sheetViews>
    <sheetView showGridLines="0" workbookViewId="0">
      <selection sqref="A1:J1"/>
    </sheetView>
  </sheetViews>
  <sheetFormatPr defaultRowHeight="15" x14ac:dyDescent="0.25"/>
  <cols>
    <col min="1" max="1" width="12.75" bestFit="1" customWidth="1"/>
    <col min="2" max="2" width="10.875" customWidth="1"/>
    <col min="5" max="5" width="15.625" bestFit="1" customWidth="1"/>
    <col min="6" max="17" width="10.125" bestFit="1" customWidth="1"/>
  </cols>
  <sheetData>
    <row r="1" spans="1:18" ht="46.5" x14ac:dyDescent="0.7">
      <c r="A1" s="185" t="str">
        <f ca="1">_xlfn.TEXTAFTER(CELL("filename",A1),"]")</f>
        <v>oz.IRRλ</v>
      </c>
      <c r="B1" s="185"/>
      <c r="C1" s="185"/>
      <c r="D1" s="185"/>
      <c r="E1" s="185"/>
      <c r="F1" s="185"/>
      <c r="G1" s="185"/>
      <c r="H1" s="185"/>
      <c r="I1" s="185"/>
      <c r="J1" s="185"/>
    </row>
    <row r="2" spans="1:18" x14ac:dyDescent="0.25">
      <c r="A2" s="186" t="s">
        <v>86</v>
      </c>
      <c r="B2" s="191"/>
      <c r="C2" s="191"/>
      <c r="D2" s="191"/>
      <c r="E2" s="191"/>
      <c r="F2" s="191"/>
      <c r="G2" s="191"/>
      <c r="H2" s="191"/>
      <c r="I2" s="191"/>
      <c r="J2" s="191"/>
      <c r="K2" s="191"/>
      <c r="L2" s="191"/>
      <c r="M2" s="191"/>
      <c r="N2" s="191"/>
      <c r="O2" s="191"/>
      <c r="P2" s="191"/>
      <c r="Q2" s="191"/>
      <c r="R2" s="191"/>
    </row>
    <row r="3" spans="1:18" x14ac:dyDescent="0.25">
      <c r="A3" s="4"/>
      <c r="B3" s="4"/>
      <c r="C3" s="4"/>
      <c r="D3" s="4"/>
      <c r="E3" s="4"/>
      <c r="F3" s="4"/>
      <c r="G3" s="4"/>
      <c r="H3" s="4"/>
      <c r="I3" s="4"/>
      <c r="J3" s="4"/>
    </row>
    <row r="4" spans="1:18" x14ac:dyDescent="0.25">
      <c r="A4" s="55" t="str" cm="1">
        <f t="array" ref="A4:B21">oz.IRRλ()</f>
        <v>FUNCTION:</v>
      </c>
      <c r="B4" t="str">
        <v>IRRλ( Values, Dates)</v>
      </c>
    </row>
    <row r="5" spans="1:18" x14ac:dyDescent="0.25">
      <c r="A5" t="str">
        <v>DESCRIPTION:</v>
      </c>
      <c r="B5" t="str">
        <v>Calculates IRR, correcting for when the first investment is not in the first period</v>
      </c>
    </row>
    <row r="6" spans="1:18" x14ac:dyDescent="0.25">
      <c r="A6" t="str">
        <v>WEBSITE:</v>
      </c>
      <c r="B6" t="str">
        <v>https://github.com/ryanduguid/Ozzit</v>
      </c>
    </row>
    <row r="7" spans="1:18" x14ac:dyDescent="0.25">
      <c r="A7" t="str">
        <v>VERSION:</v>
      </c>
      <c r="B7" t="str">
        <v>20 Aug 2026</v>
      </c>
    </row>
    <row r="8" spans="1:18" x14ac:dyDescent="0.25">
      <c r="A8" t="str">
        <v>PARAMETERS:</v>
      </c>
      <c r="B8" t="str">
        <v/>
      </c>
    </row>
    <row r="9" spans="1:18" x14ac:dyDescent="0.25">
      <c r="A9" t="str">
        <v>Values</v>
      </c>
      <c r="B9" t="str">
        <v>(Required) A row of investments (negative) and distributions (positive)</v>
      </c>
    </row>
    <row r="10" spans="1:18" x14ac:dyDescent="0.25">
      <c r="A10" t="str">
        <v/>
      </c>
      <c r="B10" t="str">
        <v>The first entry, whether 0 or an amount, must be for the first period in the timeline</v>
      </c>
    </row>
    <row r="11" spans="1:18" x14ac:dyDescent="0.25">
      <c r="A11" t="str">
        <v/>
      </c>
      <c r="B11" t="str">
        <v>and subsequent entries must correspond to periods in the timeline; however,</v>
      </c>
    </row>
    <row r="12" spans="1:18" x14ac:dyDescent="0.25">
      <c r="A12" t="str">
        <v/>
      </c>
      <c r="B12" t="str">
        <v>the timeline may extend beyond the end of values.</v>
      </c>
    </row>
    <row r="13" spans="1:18" x14ac:dyDescent="0.25">
      <c r="A13" t="str">
        <v>Dates</v>
      </c>
      <c r="B13" t="str">
        <v>(Required) A timeline for when each investment is made</v>
      </c>
    </row>
    <row r="14" spans="1:18" x14ac:dyDescent="0.25">
      <c r="A14" t="str">
        <v/>
      </c>
      <c r="B14" t="str">
        <v/>
      </c>
    </row>
    <row r="15" spans="1:18" x14ac:dyDescent="0.25">
      <c r="A15" t="str">
        <v>EXAMPLES:</v>
      </c>
      <c r="B15" t="str">
        <v/>
      </c>
    </row>
    <row r="16" spans="1:18" x14ac:dyDescent="0.25">
      <c r="A16" t="str">
        <v>Result</v>
      </c>
      <c r="B16" t="str">
        <v>Formula (oz is assumed to be the module's name)</v>
      </c>
    </row>
    <row r="17" spans="1:17" x14ac:dyDescent="0.25">
      <c r="A17" t="str">
        <v>Dates</v>
      </c>
      <c r="B17" t="str">
        <v>=EDATE("1/7/2026", SEQUENCE(,24, 0))</v>
      </c>
    </row>
    <row r="18" spans="1:17" x14ac:dyDescent="0.25">
      <c r="A18" t="str">
        <v>Values</v>
      </c>
      <c r="B18" t="str">
        <v>={0,0,-150,0,-100,10,20,30,40,50,60,70}</v>
      </c>
    </row>
    <row r="19" spans="1:17" x14ac:dyDescent="0.25">
      <c r="A19" t="str">
        <v/>
      </c>
      <c r="B19" t="str">
        <v/>
      </c>
    </row>
    <row r="20" spans="1:17" x14ac:dyDescent="0.25">
      <c r="A20" t="str">
        <v>Result</v>
      </c>
      <c r="B20" t="str">
        <v>Formula</v>
      </c>
    </row>
    <row r="21" spans="1:17" x14ac:dyDescent="0.25">
      <c r="A21" t="str">
        <v>25%</v>
      </c>
      <c r="B21" t="str">
        <v>=oz.IRRλ( Values, Dates)</v>
      </c>
    </row>
    <row r="23" spans="1:17" ht="21" x14ac:dyDescent="0.35">
      <c r="A23" s="203" t="s">
        <v>148</v>
      </c>
      <c r="B23" s="203"/>
      <c r="C23" s="203"/>
    </row>
    <row r="25" spans="1:17" x14ac:dyDescent="0.25">
      <c r="A25" s="54" t="s">
        <v>149</v>
      </c>
      <c r="B25" s="54" t="s">
        <v>14</v>
      </c>
      <c r="C25" s="54" t="s">
        <v>15</v>
      </c>
      <c r="E25" s="83" t="s">
        <v>192</v>
      </c>
      <c r="F25" s="1" cm="1">
        <f t="array" ref="F25:Q25">oz.Timelineλ($B$26, $B$27, $B$28)</f>
        <v>46204</v>
      </c>
      <c r="G25" s="1">
        <v>46569</v>
      </c>
      <c r="H25" s="1">
        <v>46935</v>
      </c>
      <c r="I25" s="1">
        <v>47300</v>
      </c>
      <c r="J25" s="1">
        <v>47665</v>
      </c>
      <c r="K25" s="1">
        <v>48030</v>
      </c>
      <c r="L25" s="1">
        <v>48396</v>
      </c>
      <c r="M25" s="1">
        <v>48761</v>
      </c>
      <c r="N25" s="1">
        <v>49126</v>
      </c>
      <c r="O25" s="1">
        <v>49491</v>
      </c>
      <c r="P25" s="1">
        <v>49857</v>
      </c>
      <c r="Q25" s="1">
        <v>50222</v>
      </c>
    </row>
    <row r="26" spans="1:17" x14ac:dyDescent="0.25">
      <c r="A26" t="s">
        <v>112</v>
      </c>
      <c r="B26" s="34">
        <v>46204</v>
      </c>
      <c r="C26" t="s">
        <v>21</v>
      </c>
      <c r="E26" s="94" cm="1">
        <f t="array" ref="E26">oz.IRRλ(_xlfn.ANCHORARRAY(F26),_xlfn.ANCHORARRAY( F25))</f>
        <v>0.23169315457344056</v>
      </c>
      <c r="F26" cm="1">
        <f t="array" ref="F26:Q26">_xlfn.LET(_xlpm.Pad,2,
     _xlpm.Returns, _xlfn.MAKEARRAY(1, 11-_xlpm.Pad, _xlfn.LAMBDA(_xlpm.R,_xlpm.C, 1000 + _xlpm.C * 100)),
     _xlfn.HSTACK(_xlfn.SEQUENCE(,_xlpm.Pad,0,0),-5000, _xlpm.Returns))</f>
        <v>0</v>
      </c>
      <c r="G26">
        <v>0</v>
      </c>
      <c r="H26">
        <v>-5000</v>
      </c>
      <c r="I26">
        <v>1100</v>
      </c>
      <c r="J26">
        <v>1200</v>
      </c>
      <c r="K26">
        <v>1300</v>
      </c>
      <c r="L26">
        <v>1400</v>
      </c>
      <c r="M26">
        <v>1500</v>
      </c>
      <c r="N26">
        <v>1600</v>
      </c>
      <c r="O26">
        <v>1700</v>
      </c>
      <c r="P26">
        <v>1800</v>
      </c>
      <c r="Q26">
        <v>1900</v>
      </c>
    </row>
    <row r="27" spans="1:17" x14ac:dyDescent="0.25">
      <c r="A27" t="s">
        <v>17</v>
      </c>
      <c r="B27">
        <v>12</v>
      </c>
      <c r="C27" t="s">
        <v>22</v>
      </c>
    </row>
    <row r="28" spans="1:17" x14ac:dyDescent="0.25">
      <c r="A28" t="s">
        <v>18</v>
      </c>
      <c r="B28" t="s">
        <v>2</v>
      </c>
    </row>
  </sheetData>
  <mergeCells count="3">
    <mergeCell ref="A1:J1"/>
    <mergeCell ref="A23:C23"/>
    <mergeCell ref="A2:R2"/>
  </mergeCells>
  <hyperlinks>
    <hyperlink ref="A1" location="'TOC'!$A$1" display="'TOC'!$A$1" xr:uid="{0DEF40C9-B061-4D8B-9DEE-A6673FD6E617}"/>
  </hyperlinks>
  <pageMargins left="0.7" right="0.7" top="0.75" bottom="0.75" header="0.3" footer="0.3"/>
  <pageSetup paperSize="9" scale="67" fitToHeight="0" orientation="landscape" horizontalDpi="0" verticalDpi="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81DA-D73C-4566-86E1-CEDD328B505E}">
  <sheetPr>
    <tabColor rgb="FF66023C"/>
    <pageSetUpPr fitToPage="1"/>
  </sheetPr>
  <dimension ref="A1:S2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8" ht="46.5" x14ac:dyDescent="0.7">
      <c r="A1" s="185" t="str">
        <f ca="1">_xlfn.TEXTAFTER(CELL("filename",A1),"]")</f>
        <v>oz.Reversalλ</v>
      </c>
      <c r="B1" s="185"/>
      <c r="C1" s="185"/>
      <c r="D1" s="185"/>
      <c r="E1" s="185"/>
      <c r="F1" s="185"/>
      <c r="G1" s="185"/>
      <c r="H1" s="185"/>
      <c r="I1" s="185"/>
      <c r="J1" s="185"/>
      <c r="K1" s="185"/>
      <c r="L1" s="185"/>
      <c r="M1" s="185"/>
      <c r="N1" s="185"/>
      <c r="O1" s="185"/>
      <c r="P1" s="185"/>
    </row>
    <row r="2" spans="1:18" x14ac:dyDescent="0.25">
      <c r="A2" s="186" t="s">
        <v>300</v>
      </c>
      <c r="B2" s="191"/>
      <c r="C2" s="191"/>
      <c r="D2" s="191"/>
      <c r="E2" s="191"/>
      <c r="F2" s="191"/>
      <c r="G2" s="191"/>
      <c r="H2" s="191"/>
      <c r="I2" s="191"/>
      <c r="J2" s="191"/>
      <c r="K2" s="191"/>
      <c r="L2" s="191"/>
      <c r="M2" s="191"/>
      <c r="N2" s="191"/>
      <c r="O2" s="191"/>
      <c r="P2" s="191"/>
      <c r="Q2" s="191"/>
      <c r="R2" s="191"/>
    </row>
    <row r="3" spans="1:18" x14ac:dyDescent="0.25">
      <c r="A3" s="4"/>
      <c r="B3" s="4"/>
      <c r="C3" s="4"/>
      <c r="D3" s="4"/>
      <c r="E3" s="4"/>
      <c r="F3" s="4"/>
      <c r="G3" s="4"/>
      <c r="H3" s="4"/>
      <c r="I3" s="4"/>
      <c r="J3" s="4"/>
      <c r="K3" s="4"/>
      <c r="L3" s="4"/>
      <c r="M3" s="4"/>
      <c r="N3" s="4"/>
      <c r="O3" s="4"/>
      <c r="P3" s="4"/>
    </row>
    <row r="4" spans="1:18" x14ac:dyDescent="0.25">
      <c r="A4" s="55" t="str" cm="1">
        <f t="array" ref="A4:B13">oz.Reversalλ()</f>
        <v>FUNCTION:</v>
      </c>
      <c r="B4" t="str">
        <v>Reversalλ( [OpeningValue], RowToReverse)</v>
      </c>
    </row>
    <row r="5" spans="1:18" x14ac:dyDescent="0.25">
      <c r="A5" t="str">
        <v>DESCRIPTION:</v>
      </c>
      <c r="B5" t="str">
        <v>Create a row that reverses input values in the next period.</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OpeningValue</v>
      </c>
      <c r="B9" t="str">
        <v>(Optional) Defaults to 0</v>
      </c>
    </row>
    <row r="10" spans="1:18" x14ac:dyDescent="0.25">
      <c r="A10" t="str">
        <v>RowToReverse</v>
      </c>
      <c r="B10" t="str">
        <v>(Required) A row of values to reverse the following periods</v>
      </c>
    </row>
    <row r="11" spans="1:18" x14ac:dyDescent="0.25">
      <c r="A11" t="str">
        <v>EXAMPLES:</v>
      </c>
      <c r="B11" t="str">
        <v/>
      </c>
    </row>
    <row r="12" spans="1:18" x14ac:dyDescent="0.25">
      <c r="A12" t="str">
        <v>Result</v>
      </c>
      <c r="B12" t="str">
        <v>Formula (oz is assumed to be the module's name)</v>
      </c>
    </row>
    <row r="13" spans="1:18" x14ac:dyDescent="0.25">
      <c r="A13" t="str">
        <v>0,-100,-110</v>
      </c>
      <c r="B13" t="str">
        <v>=oz.Reversalλ( , {100,110,130})</v>
      </c>
    </row>
    <row r="17" spans="1:19" ht="21" x14ac:dyDescent="0.35">
      <c r="A17" s="203" t="s">
        <v>148</v>
      </c>
      <c r="B17" s="203"/>
      <c r="C17" s="203"/>
    </row>
    <row r="19" spans="1:19" x14ac:dyDescent="0.25">
      <c r="A19" s="54" t="s">
        <v>149</v>
      </c>
      <c r="B19" s="54" t="s">
        <v>14</v>
      </c>
      <c r="C19" s="54" t="s">
        <v>15</v>
      </c>
      <c r="F19" s="54" t="s">
        <v>7</v>
      </c>
      <c r="G19" s="48" t="s">
        <v>152</v>
      </c>
      <c r="H19" s="49" cm="1">
        <f t="array" ref="H19:S19">oz.Timelineλ($B$20, $B$21, $B$22)</f>
        <v>46204</v>
      </c>
      <c r="I19" s="1">
        <v>46235</v>
      </c>
      <c r="J19" s="1">
        <v>46266</v>
      </c>
      <c r="K19" s="1">
        <v>46296</v>
      </c>
      <c r="L19" s="1">
        <v>46327</v>
      </c>
      <c r="M19" s="1">
        <v>46357</v>
      </c>
      <c r="N19" s="1">
        <v>46388</v>
      </c>
      <c r="O19" s="1">
        <v>46419</v>
      </c>
      <c r="P19" s="1">
        <v>46447</v>
      </c>
      <c r="Q19" s="1">
        <v>46478</v>
      </c>
      <c r="R19" s="1">
        <v>46508</v>
      </c>
      <c r="S19" s="1">
        <v>46539</v>
      </c>
    </row>
    <row r="20" spans="1:19" x14ac:dyDescent="0.25">
      <c r="A20" t="s">
        <v>112</v>
      </c>
      <c r="B20" s="124">
        <v>46204</v>
      </c>
      <c r="C20" t="s">
        <v>21</v>
      </c>
      <c r="F20" t="s">
        <v>5</v>
      </c>
      <c r="G20" cm="1">
        <f t="array" ref="G20">oz.SumRowsλ(_xlfn.ANCHORARRAY(H20))</f>
        <v>2298</v>
      </c>
      <c r="H20" s="85" cm="1">
        <f t="array" ref="H20:S20">_xlfn.MAKEARRAY(COUNTA(_xlfn.ANCHORARRAY(F20)), COUNTA(_xlfn.ANCHORARRAY(H19)), _xlfn.LAMBDA(_xlpm.r,_xlpm.c, 100 + MOD(_xlpm.r * 7 + _xlpm.c * 13, 1000 - 100 + 1)))</f>
        <v>120</v>
      </c>
      <c r="I20">
        <v>133</v>
      </c>
      <c r="J20">
        <v>146</v>
      </c>
      <c r="K20">
        <v>159</v>
      </c>
      <c r="L20">
        <v>172</v>
      </c>
      <c r="M20">
        <v>185</v>
      </c>
      <c r="N20">
        <v>198</v>
      </c>
      <c r="O20">
        <v>211</v>
      </c>
      <c r="P20">
        <v>224</v>
      </c>
      <c r="Q20">
        <v>237</v>
      </c>
      <c r="R20">
        <v>250</v>
      </c>
      <c r="S20">
        <v>263</v>
      </c>
    </row>
    <row r="21" spans="1:19" x14ac:dyDescent="0.25">
      <c r="A21" t="s">
        <v>17</v>
      </c>
      <c r="B21" s="125">
        <v>12</v>
      </c>
      <c r="C21" t="s">
        <v>22</v>
      </c>
      <c r="F21" s="2" t="s">
        <v>301</v>
      </c>
      <c r="G21" cm="1">
        <f t="array" ref="G21">oz.SumRowsλ(_xlfn.ANCHORARRAY(H21))</f>
        <v>-2035</v>
      </c>
      <c r="H21" s="55" cm="1">
        <f t="array" ref="H21:S21">oz.Reversalλ( ,_xlfn.ANCHORARRAY( H20))</f>
        <v>0</v>
      </c>
      <c r="I21">
        <v>-120</v>
      </c>
      <c r="J21">
        <v>-133</v>
      </c>
      <c r="K21">
        <v>-146</v>
      </c>
      <c r="L21">
        <v>-159</v>
      </c>
      <c r="M21">
        <v>-172</v>
      </c>
      <c r="N21">
        <v>-185</v>
      </c>
      <c r="O21">
        <v>-198</v>
      </c>
      <c r="P21">
        <v>-211</v>
      </c>
      <c r="Q21">
        <v>-224</v>
      </c>
      <c r="R21">
        <v>-237</v>
      </c>
      <c r="S21">
        <v>-250</v>
      </c>
    </row>
    <row r="22" spans="1:19" x14ac:dyDescent="0.25">
      <c r="A22" t="s">
        <v>18</v>
      </c>
      <c r="B22" s="125" t="s">
        <v>20</v>
      </c>
    </row>
  </sheetData>
  <mergeCells count="3">
    <mergeCell ref="A1:P1"/>
    <mergeCell ref="A2:R2"/>
    <mergeCell ref="A17:C17"/>
  </mergeCells>
  <hyperlinks>
    <hyperlink ref="A1" location="'TOC'!$A$1" display="'TOC'!$A$1" xr:uid="{3E86717D-F46F-4A77-9743-81160AA2972C}"/>
  </hyperlinks>
  <pageMargins left="0.7" right="0.7" top="0.75" bottom="0.75" header="0.3" footer="0.3"/>
  <pageSetup paperSize="9" scale="63" fitToHeight="0" orientation="landscape" horizontalDpi="0" verticalDpi="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2FD7-DEA4-4FB6-A838-FC7B20C095CD}">
  <sheetPr codeName="Sheet44">
    <tabColor rgb="FF66023C"/>
    <pageSetUpPr fitToPage="1"/>
  </sheetPr>
  <dimension ref="A1:R20"/>
  <sheetViews>
    <sheetView showGridLines="0" workbookViewId="0">
      <selection sqref="A1:P1"/>
    </sheetView>
  </sheetViews>
  <sheetFormatPr defaultRowHeight="15" x14ac:dyDescent="0.25"/>
  <cols>
    <col min="1" max="1" width="13.875" customWidth="1"/>
    <col min="2" max="2" width="11.75" customWidth="1"/>
    <col min="5" max="5" width="14.125" bestFit="1" customWidth="1"/>
    <col min="6" max="6" width="15.625" bestFit="1" customWidth="1"/>
    <col min="7" max="7" width="11.125" bestFit="1" customWidth="1"/>
    <col min="8" max="8" width="11.25" bestFit="1" customWidth="1"/>
    <col min="9" max="9" width="11.75" bestFit="1" customWidth="1"/>
    <col min="10" max="10" width="11.25" bestFit="1" customWidth="1"/>
    <col min="11" max="11" width="12.125" bestFit="1" customWidth="1"/>
    <col min="12" max="12" width="11.25" bestFit="1" customWidth="1"/>
    <col min="13" max="13" width="10.625" bestFit="1" customWidth="1"/>
    <col min="14" max="14" width="11.75" bestFit="1" customWidth="1"/>
    <col min="15" max="15" width="11.375" bestFit="1" customWidth="1"/>
    <col min="16" max="16" width="11.25" bestFit="1" customWidth="1"/>
    <col min="17" max="17" width="11.75" bestFit="1" customWidth="1"/>
    <col min="18" max="18" width="11.375" bestFit="1" customWidth="1"/>
  </cols>
  <sheetData>
    <row r="1" spans="1:16" ht="46.5" x14ac:dyDescent="0.7">
      <c r="A1" s="185" t="str">
        <f ca="1">_xlfn.TEXTAFTER(CELL("filename",A1),"]")</f>
        <v>oz.Movementλ</v>
      </c>
      <c r="B1" s="185"/>
      <c r="C1" s="185"/>
      <c r="D1" s="185"/>
      <c r="E1" s="185"/>
      <c r="F1" s="185"/>
      <c r="G1" s="185"/>
      <c r="H1" s="185"/>
      <c r="I1" s="185"/>
      <c r="J1" s="185"/>
      <c r="K1" s="185"/>
      <c r="L1" s="185"/>
      <c r="M1" s="185"/>
      <c r="N1" s="185"/>
      <c r="O1" s="185"/>
      <c r="P1" s="185"/>
    </row>
    <row r="2" spans="1:16" x14ac:dyDescent="0.25">
      <c r="A2" s="186" t="s">
        <v>87</v>
      </c>
      <c r="B2" s="187"/>
      <c r="C2" s="187"/>
      <c r="D2" s="187"/>
      <c r="E2" s="187"/>
      <c r="F2" s="187"/>
      <c r="G2" s="187"/>
      <c r="H2" s="187"/>
      <c r="I2" s="187"/>
      <c r="J2" s="187"/>
      <c r="K2" s="187"/>
      <c r="L2" s="187"/>
      <c r="M2" s="187"/>
      <c r="N2" s="187"/>
      <c r="O2" s="187"/>
      <c r="P2" s="188"/>
    </row>
    <row r="3" spans="1:16" x14ac:dyDescent="0.25">
      <c r="A3" s="4"/>
      <c r="B3" s="4"/>
      <c r="C3" s="4"/>
      <c r="D3" s="4"/>
      <c r="E3" s="4"/>
      <c r="F3" s="4"/>
      <c r="G3" s="4"/>
      <c r="H3" s="4"/>
      <c r="I3" s="4"/>
      <c r="J3" s="4"/>
      <c r="K3" s="4"/>
      <c r="L3" s="4"/>
      <c r="M3" s="4"/>
      <c r="N3" s="4"/>
      <c r="O3" s="4"/>
      <c r="P3" s="4"/>
    </row>
    <row r="4" spans="1:16" x14ac:dyDescent="0.25">
      <c r="A4" s="55" t="str" cm="1">
        <f t="array" ref="A4:B13">oz.Movementλ()</f>
        <v>FUNCTION:</v>
      </c>
      <c r="B4" t="str">
        <v>Movementλ( [BeginningValues], Values)</v>
      </c>
    </row>
    <row r="5" spans="1:16" x14ac:dyDescent="0.25">
      <c r="A5" t="str">
        <v>DESCRIPTION:</v>
      </c>
      <c r="B5" t="str">
        <v>Create a row of differences from column to column</v>
      </c>
    </row>
    <row r="6" spans="1:16" x14ac:dyDescent="0.25">
      <c r="A6" t="str">
        <v>WEBPAGE:</v>
      </c>
      <c r="B6" t="str">
        <v>https://github.com/ryanduguid/Ozzit</v>
      </c>
      <c r="G6" s="2"/>
    </row>
    <row r="7" spans="1:16" x14ac:dyDescent="0.25">
      <c r="A7" t="str">
        <v>VERSION:</v>
      </c>
      <c r="B7" t="str">
        <v>20 Aug 2026</v>
      </c>
    </row>
    <row r="8" spans="1:16" x14ac:dyDescent="0.25">
      <c r="A8" t="str">
        <v>PARAMETERS:</v>
      </c>
      <c r="B8" t="str">
        <v/>
      </c>
    </row>
    <row r="9" spans="1:16" x14ac:dyDescent="0.25">
      <c r="A9" t="str">
        <v>BeginningValues</v>
      </c>
      <c r="B9" t="str">
        <v>(Optional) Defaults to 0. One value, or one per row of Values</v>
      </c>
    </row>
    <row r="10" spans="1:16" x14ac:dyDescent="0.25">
      <c r="A10" t="str">
        <v>Values</v>
      </c>
      <c r="B10" t="str">
        <v>(Required) A row (or rows) of values to compare column to column</v>
      </c>
    </row>
    <row r="11" spans="1:16" x14ac:dyDescent="0.25">
      <c r="A11" t="str">
        <v>EXAMPLES:</v>
      </c>
      <c r="B11" t="str">
        <v/>
      </c>
    </row>
    <row r="12" spans="1:16" x14ac:dyDescent="0.25">
      <c r="A12" t="str">
        <v>Result</v>
      </c>
      <c r="B12" t="str">
        <v>Formula (oz is assumed to be the module's name)</v>
      </c>
    </row>
    <row r="13" spans="1:16" x14ac:dyDescent="0.25">
      <c r="A13" t="str">
        <v>100,10,20,-30</v>
      </c>
      <c r="B13" t="str">
        <v>=oz.Movementλ(,{100,110,130,100})</v>
      </c>
    </row>
    <row r="15" spans="1:16" ht="21" x14ac:dyDescent="0.35">
      <c r="A15" s="203" t="s">
        <v>148</v>
      </c>
      <c r="B15" s="203"/>
      <c r="C15" s="203"/>
    </row>
    <row r="17" spans="1:18" x14ac:dyDescent="0.25">
      <c r="A17" s="54" t="s">
        <v>149</v>
      </c>
      <c r="B17" s="54" t="s">
        <v>14</v>
      </c>
      <c r="C17" s="54" t="s">
        <v>15</v>
      </c>
      <c r="E17" s="54" t="s">
        <v>7</v>
      </c>
      <c r="F17" s="48" t="s">
        <v>152</v>
      </c>
      <c r="G17" s="49" cm="1">
        <f t="array" ref="G17:R17">oz.Timelineλ($B$18, $B$19, $B$20)</f>
        <v>46204</v>
      </c>
      <c r="H17" s="1">
        <v>46235</v>
      </c>
      <c r="I17" s="1">
        <v>46266</v>
      </c>
      <c r="J17" s="1">
        <v>46296</v>
      </c>
      <c r="K17" s="1">
        <v>46327</v>
      </c>
      <c r="L17" s="1">
        <v>46357</v>
      </c>
      <c r="M17" s="1">
        <v>46388</v>
      </c>
      <c r="N17" s="1">
        <v>46419</v>
      </c>
      <c r="O17" s="1">
        <v>46447</v>
      </c>
      <c r="P17" s="1">
        <v>46478</v>
      </c>
      <c r="Q17" s="1">
        <v>46508</v>
      </c>
      <c r="R17" s="1">
        <v>46539</v>
      </c>
    </row>
    <row r="18" spans="1:18" x14ac:dyDescent="0.25">
      <c r="A18" t="s">
        <v>112</v>
      </c>
      <c r="B18" s="34">
        <v>46204</v>
      </c>
      <c r="C18" t="s">
        <v>21</v>
      </c>
      <c r="E18" t="s">
        <v>5</v>
      </c>
      <c r="F18" cm="1">
        <f t="array" ref="F18">oz.SumRowsλ(_xlfn.ANCHORARRAY(G18))</f>
        <v>4</v>
      </c>
      <c r="G18" s="85" cm="1">
        <f t="array" ref="G18:R18">_xlfn.MAKEARRAY(COUNTA(_xlfn.ANCHORARRAY(E18)), COUNTA(_xlfn.ANCHORARRAY(G17)), _xlfn.LAMBDA(_xlpm.r,_xlpm.c, -5 + MOD(_xlpm.r * 7 + _xlpm.c * 13, 5 - -5 + 1)))</f>
        <v>4</v>
      </c>
      <c r="H18">
        <v>-5</v>
      </c>
      <c r="I18">
        <v>-3</v>
      </c>
      <c r="J18">
        <v>-1</v>
      </c>
      <c r="K18">
        <v>1</v>
      </c>
      <c r="L18">
        <v>3</v>
      </c>
      <c r="M18">
        <v>5</v>
      </c>
      <c r="N18">
        <v>-4</v>
      </c>
      <c r="O18">
        <v>-2</v>
      </c>
      <c r="P18">
        <v>0</v>
      </c>
      <c r="Q18">
        <v>2</v>
      </c>
      <c r="R18">
        <v>4</v>
      </c>
    </row>
    <row r="19" spans="1:18" x14ac:dyDescent="0.25">
      <c r="A19" t="s">
        <v>17</v>
      </c>
      <c r="B19">
        <v>12</v>
      </c>
      <c r="C19" t="s">
        <v>22</v>
      </c>
      <c r="E19" s="2" t="s">
        <v>224</v>
      </c>
      <c r="G19" s="55" cm="1">
        <f t="array" ref="G19:R19">oz.Movementλ(F18,_xlfn.ANCHORARRAY(  G18))</f>
        <v>0</v>
      </c>
      <c r="H19">
        <v>-9</v>
      </c>
      <c r="I19">
        <v>2</v>
      </c>
      <c r="J19">
        <v>2</v>
      </c>
      <c r="K19">
        <v>2</v>
      </c>
      <c r="L19">
        <v>2</v>
      </c>
      <c r="M19">
        <v>2</v>
      </c>
      <c r="N19">
        <v>-9</v>
      </c>
      <c r="O19">
        <v>2</v>
      </c>
      <c r="P19">
        <v>2</v>
      </c>
      <c r="Q19">
        <v>2</v>
      </c>
      <c r="R19">
        <v>2</v>
      </c>
    </row>
    <row r="20" spans="1:18" x14ac:dyDescent="0.25">
      <c r="A20" t="s">
        <v>18</v>
      </c>
      <c r="B20" t="s">
        <v>20</v>
      </c>
    </row>
  </sheetData>
  <mergeCells count="3">
    <mergeCell ref="A1:P1"/>
    <mergeCell ref="A2:P2"/>
    <mergeCell ref="A15:C15"/>
  </mergeCells>
  <hyperlinks>
    <hyperlink ref="A1" location="'TOC'!$A$1" display="'TOC'!$A$1" xr:uid="{9DA15BC7-65D2-4D2A-9856-1FC945A34D23}"/>
  </hyperlinks>
  <pageMargins left="0.7" right="0.7" top="0.75" bottom="0.75" header="0.3" footer="0.3"/>
  <pageSetup paperSize="9" scale="59" fitToHeight="0" orientation="landscape" horizontalDpi="0" verticalDpi="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CB39-6BF2-4401-A134-A92EE2197068}">
  <sheetPr codeName="Sheet7">
    <tabColor rgb="FF66023C"/>
    <pageSetUpPr fitToPage="1"/>
  </sheetPr>
  <dimension ref="A1:S2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8" ht="46.5" x14ac:dyDescent="0.7">
      <c r="A1" s="185" t="str">
        <f ca="1">_xlfn.TEXTAFTER(CELL("filename",A1),"]")</f>
        <v>oz.RollingSumλ</v>
      </c>
      <c r="B1" s="185"/>
      <c r="C1" s="185"/>
      <c r="D1" s="185"/>
      <c r="E1" s="185"/>
      <c r="F1" s="185"/>
      <c r="G1" s="185"/>
      <c r="H1" s="185"/>
      <c r="I1" s="185"/>
      <c r="J1" s="185"/>
      <c r="K1" s="185"/>
      <c r="L1" s="185"/>
      <c r="M1" s="185"/>
      <c r="N1" s="185"/>
      <c r="O1" s="185"/>
      <c r="P1" s="185"/>
    </row>
    <row r="2" spans="1:18" x14ac:dyDescent="0.25">
      <c r="A2" s="186" t="s">
        <v>245</v>
      </c>
      <c r="B2" s="191"/>
      <c r="C2" s="191"/>
      <c r="D2" s="191"/>
      <c r="E2" s="191"/>
      <c r="F2" s="191"/>
      <c r="G2" s="191"/>
      <c r="H2" s="191"/>
      <c r="I2" s="191"/>
      <c r="J2" s="191"/>
      <c r="K2" s="191"/>
      <c r="L2" s="191"/>
      <c r="M2" s="191"/>
      <c r="N2" s="191"/>
      <c r="O2" s="191"/>
      <c r="P2" s="191"/>
      <c r="Q2" s="191"/>
      <c r="R2" s="191"/>
    </row>
    <row r="3" spans="1:18" x14ac:dyDescent="0.25">
      <c r="A3" s="4"/>
      <c r="B3" s="4"/>
      <c r="C3" s="4"/>
      <c r="D3" s="4"/>
      <c r="E3" s="4"/>
      <c r="F3" s="4"/>
      <c r="G3" s="4"/>
      <c r="H3" s="4"/>
      <c r="I3" s="4"/>
      <c r="J3" s="4"/>
      <c r="K3" s="4"/>
      <c r="L3" s="4"/>
      <c r="M3" s="4"/>
      <c r="N3" s="4"/>
      <c r="O3" s="4"/>
      <c r="P3" s="4"/>
    </row>
    <row r="4" spans="1:18" x14ac:dyDescent="0.25">
      <c r="A4" s="55" t="str" cm="1">
        <f t="array" ref="A4:B15">oz.RollingSumλ()</f>
        <v>FUNCTION:</v>
      </c>
      <c r="B4" t="str">
        <v>RollingSumλ( Values, Size)</v>
      </c>
    </row>
    <row r="5" spans="1:18" x14ac:dyDescent="0.25">
      <c r="A5" t="str">
        <v>DESCRIPTION:</v>
      </c>
      <c r="B5" t="str">
        <v>Creates totals for preceding values of a set size moving</v>
      </c>
    </row>
    <row r="6" spans="1:18" x14ac:dyDescent="0.25">
      <c r="A6" t="str">
        <v/>
      </c>
      <c r="B6" t="str">
        <v>from beginning to end over a row of values</v>
      </c>
    </row>
    <row r="7" spans="1:18" x14ac:dyDescent="0.25">
      <c r="A7" t="str">
        <v>WEBPAGE:</v>
      </c>
      <c r="B7" t="str">
        <v>https://github.com/ryanduguid/Ozzit</v>
      </c>
    </row>
    <row r="8" spans="1:18" x14ac:dyDescent="0.25">
      <c r="A8" t="str">
        <v>VERSION:</v>
      </c>
      <c r="B8" t="str">
        <v>20 Aug 2026</v>
      </c>
    </row>
    <row r="9" spans="1:18" x14ac:dyDescent="0.25">
      <c r="A9" t="str">
        <v>PARAMETERS:</v>
      </c>
      <c r="B9" t="str">
        <v/>
      </c>
    </row>
    <row r="10" spans="1:18" x14ac:dyDescent="0.25">
      <c r="A10" t="str">
        <v>Values</v>
      </c>
      <c r="B10" t="str">
        <v>(Required) A row of values to be totalled.</v>
      </c>
    </row>
    <row r="11" spans="1:18" x14ac:dyDescent="0.25">
      <c r="A11" t="str">
        <v>Size</v>
      </c>
      <c r="B11" t="str">
        <v>(Required) The number of values to total that</v>
      </c>
    </row>
    <row r="12" spans="1:18" x14ac:dyDescent="0.25">
      <c r="A12" t="str">
        <v/>
      </c>
      <c r="B12" t="str">
        <v>include and precede the current value</v>
      </c>
    </row>
    <row r="13" spans="1:18" x14ac:dyDescent="0.25">
      <c r="A13" t="str">
        <v>EXAMPLES:</v>
      </c>
      <c r="B13" t="str">
        <v/>
      </c>
    </row>
    <row r="14" spans="1:18" x14ac:dyDescent="0.25">
      <c r="A14" t="str">
        <v>Result</v>
      </c>
      <c r="B14" t="str">
        <v>Formula (oz is assumed to be the module's name)</v>
      </c>
    </row>
    <row r="15" spans="1:18" x14ac:dyDescent="0.25">
      <c r="A15" t="str">
        <v>1,3,6,9,12</v>
      </c>
      <c r="B15" t="str">
        <v>=oz.RollingSumλ(SEQUENCE(, 5), 3)</v>
      </c>
    </row>
    <row r="17" spans="1:19" ht="21" x14ac:dyDescent="0.35">
      <c r="A17" s="203" t="s">
        <v>148</v>
      </c>
      <c r="B17" s="203"/>
      <c r="C17" s="203"/>
    </row>
    <row r="19" spans="1:19" x14ac:dyDescent="0.25">
      <c r="A19" s="54" t="s">
        <v>149</v>
      </c>
      <c r="B19" s="54" t="s">
        <v>14</v>
      </c>
      <c r="C19" s="54" t="s">
        <v>15</v>
      </c>
      <c r="F19" s="54" t="s">
        <v>7</v>
      </c>
      <c r="G19" s="48" t="s">
        <v>152</v>
      </c>
      <c r="H19" s="49" cm="1">
        <f t="array" ref="H19:S19">oz.Timelineλ($B$20, $B$21, $B$22)</f>
        <v>46204</v>
      </c>
      <c r="I19" s="1">
        <v>46235</v>
      </c>
      <c r="J19" s="1">
        <v>46266</v>
      </c>
      <c r="K19" s="1">
        <v>46296</v>
      </c>
      <c r="L19" s="1">
        <v>46327</v>
      </c>
      <c r="M19" s="1">
        <v>46357</v>
      </c>
      <c r="N19" s="1">
        <v>46388</v>
      </c>
      <c r="O19" s="1">
        <v>46419</v>
      </c>
      <c r="P19" s="1">
        <v>46447</v>
      </c>
      <c r="Q19" s="1">
        <v>46478</v>
      </c>
      <c r="R19" s="1">
        <v>46508</v>
      </c>
      <c r="S19" s="1">
        <v>46539</v>
      </c>
    </row>
    <row r="20" spans="1:19" x14ac:dyDescent="0.25">
      <c r="A20" t="s">
        <v>112</v>
      </c>
      <c r="B20" s="124">
        <v>46204</v>
      </c>
      <c r="C20" t="s">
        <v>21</v>
      </c>
      <c r="F20" t="s">
        <v>5</v>
      </c>
      <c r="G20" cm="1">
        <f t="array" ref="G20">oz.SumRowsλ(_xlfn.ANCHORARRAY(H20))</f>
        <v>5.98</v>
      </c>
      <c r="H20" s="85" cm="1">
        <f t="array" ref="H20:S20">_xlfn.MAKEARRAY(COUNTA(_xlfn.ANCHORARRAY(F20)), COUNTA(_xlfn.ANCHORARRAY(H19)), _xlfn.LAMBDA(_xlpm.r,_xlpm.c, MOD(_xlpm.r * 7 + _xlpm.c * 13, 100) / 100))</f>
        <v>0.2</v>
      </c>
      <c r="I20">
        <v>0.33</v>
      </c>
      <c r="J20">
        <v>0.46</v>
      </c>
      <c r="K20">
        <v>0.59</v>
      </c>
      <c r="L20">
        <v>0.72</v>
      </c>
      <c r="M20">
        <v>0.85</v>
      </c>
      <c r="N20">
        <v>0.98</v>
      </c>
      <c r="O20">
        <v>0.11</v>
      </c>
      <c r="P20">
        <v>0.24</v>
      </c>
      <c r="Q20">
        <v>0.37</v>
      </c>
      <c r="R20">
        <v>0.5</v>
      </c>
      <c r="S20">
        <v>0.63</v>
      </c>
    </row>
    <row r="21" spans="1:19" x14ac:dyDescent="0.25">
      <c r="A21" t="s">
        <v>17</v>
      </c>
      <c r="B21" s="125">
        <v>12</v>
      </c>
      <c r="C21" t="s">
        <v>22</v>
      </c>
      <c r="F21" s="2" t="s">
        <v>223</v>
      </c>
      <c r="H21" s="55" cm="1">
        <f t="array" ref="H21:S21">oz.RollingSumλ(_xlfn.ANCHORARRAY(H20), 4)</f>
        <v>0.2</v>
      </c>
      <c r="I21">
        <v>0.53</v>
      </c>
      <c r="J21">
        <v>0.99</v>
      </c>
      <c r="K21">
        <v>1.58</v>
      </c>
      <c r="L21">
        <v>2.0999999999999996</v>
      </c>
      <c r="M21">
        <v>2.62</v>
      </c>
      <c r="N21">
        <v>3.14</v>
      </c>
      <c r="O21">
        <v>2.6599999999999997</v>
      </c>
      <c r="P21">
        <v>2.1800000000000002</v>
      </c>
      <c r="Q21">
        <v>1.7000000000000002</v>
      </c>
      <c r="R21">
        <v>1.22</v>
      </c>
      <c r="S21">
        <v>1.7399999999999998</v>
      </c>
    </row>
    <row r="22" spans="1:19" x14ac:dyDescent="0.25">
      <c r="A22" t="s">
        <v>18</v>
      </c>
      <c r="B22" s="125" t="s">
        <v>20</v>
      </c>
    </row>
  </sheetData>
  <mergeCells count="3">
    <mergeCell ref="A1:P1"/>
    <mergeCell ref="A17:C17"/>
    <mergeCell ref="A2:R2"/>
  </mergeCells>
  <hyperlinks>
    <hyperlink ref="A1" location="'TOC'!$A$1" display="'TOC'!$A$1" xr:uid="{CF6B0A29-711C-4B98-A743-3C84160907B3}"/>
  </hyperlinks>
  <pageMargins left="0.7" right="0.7" top="0.75" bottom="0.75" header="0.3" footer="0.3"/>
  <pageSetup paperSize="9" scale="63" fitToHeight="0" orientation="landscape" horizontalDpi="0" verticalDpi="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C373-F348-4270-B3AF-76ECDB4A4703}">
  <sheetPr codeName="Sheet51">
    <tabColor rgb="FF66023C"/>
    <pageSetUpPr fitToPage="1"/>
  </sheetPr>
  <dimension ref="A1:NI38"/>
  <sheetViews>
    <sheetView showGridLines="0" workbookViewId="0">
      <pane xSplit="8" topLeftCell="I1" activePane="topRight" state="frozen"/>
      <selection sqref="A1:Q1"/>
      <selection pane="topRight" activeCell="I1" sqref="I1"/>
    </sheetView>
  </sheetViews>
  <sheetFormatPr defaultRowHeight="15" x14ac:dyDescent="0.25"/>
  <cols>
    <col min="1" max="1" width="24" bestFit="1" customWidth="1"/>
    <col min="3" max="3" width="8.75" bestFit="1" customWidth="1"/>
    <col min="4" max="5" width="10.625" bestFit="1" customWidth="1"/>
    <col min="7" max="7" width="21.125" bestFit="1" customWidth="1"/>
    <col min="8" max="8" width="14.375" bestFit="1" customWidth="1"/>
    <col min="9" max="9" width="10.125" bestFit="1" customWidth="1"/>
    <col min="10" max="10" width="10.25" bestFit="1" customWidth="1"/>
    <col min="11" max="11" width="10.75" bestFit="1" customWidth="1"/>
    <col min="12" max="12" width="10.25" bestFit="1" customWidth="1"/>
    <col min="13" max="13" width="11.125" bestFit="1" customWidth="1"/>
    <col min="14" max="14" width="10.25" bestFit="1" customWidth="1"/>
    <col min="15" max="15" width="10.125" bestFit="1" customWidth="1"/>
    <col min="16" max="16" width="10.75" bestFit="1" customWidth="1"/>
    <col min="17" max="17" width="10.375" bestFit="1" customWidth="1"/>
    <col min="18" max="39" width="11.125" bestFit="1" customWidth="1"/>
    <col min="40" max="48" width="10.25" bestFit="1" customWidth="1"/>
    <col min="49" max="68" width="11.25" bestFit="1" customWidth="1"/>
    <col min="69" max="77" width="10.75" bestFit="1" customWidth="1"/>
    <col min="78" max="99" width="11.75" bestFit="1" customWidth="1"/>
    <col min="100" max="108" width="10.25" bestFit="1" customWidth="1"/>
    <col min="109" max="129" width="11.25" bestFit="1" customWidth="1"/>
    <col min="130" max="138" width="11.125" bestFit="1" customWidth="1"/>
    <col min="139" max="160" width="12.125" bestFit="1" customWidth="1"/>
    <col min="161" max="169" width="10.25" bestFit="1" customWidth="1"/>
    <col min="170" max="190" width="11.25" bestFit="1" customWidth="1"/>
    <col min="191" max="199" width="9.625" bestFit="1" customWidth="1"/>
    <col min="200" max="221" width="10.625" bestFit="1" customWidth="1"/>
    <col min="222" max="230" width="10.75" bestFit="1" customWidth="1"/>
    <col min="231" max="252" width="11.75" bestFit="1" customWidth="1"/>
    <col min="253" max="261" width="10.375" bestFit="1" customWidth="1"/>
    <col min="262" max="282" width="11.375" bestFit="1" customWidth="1"/>
    <col min="283" max="291" width="10.25" bestFit="1" customWidth="1"/>
    <col min="292" max="313" width="11.25" bestFit="1" customWidth="1"/>
    <col min="314" max="322" width="10.75" bestFit="1" customWidth="1"/>
    <col min="323" max="343" width="11.75" bestFit="1" customWidth="1"/>
    <col min="344" max="352" width="10.375" bestFit="1" customWidth="1"/>
    <col min="353" max="373" width="11.375" bestFit="1" customWidth="1"/>
  </cols>
  <sheetData>
    <row r="1" spans="1:17" ht="46.5" x14ac:dyDescent="0.7">
      <c r="A1" s="185" t="str">
        <f ca="1">_xlfn.TEXTAFTER(CELL("filename",A1),"]")</f>
        <v>oz.SumPeriodsλ</v>
      </c>
      <c r="B1" s="185"/>
      <c r="C1" s="185"/>
      <c r="D1" s="185"/>
      <c r="E1" s="185"/>
      <c r="F1" s="185"/>
      <c r="G1" s="185"/>
      <c r="H1" s="185"/>
      <c r="I1" s="185"/>
      <c r="J1" s="185"/>
      <c r="K1" s="185"/>
      <c r="L1" s="185"/>
      <c r="M1" s="185"/>
      <c r="N1" s="185"/>
      <c r="O1" s="185"/>
      <c r="P1" s="185"/>
      <c r="Q1" s="185"/>
    </row>
    <row r="2" spans="1:17" x14ac:dyDescent="0.25">
      <c r="A2" s="186" t="s">
        <v>90</v>
      </c>
      <c r="B2" s="187"/>
      <c r="C2" s="187"/>
      <c r="D2" s="187"/>
      <c r="E2" s="187"/>
      <c r="F2" s="187"/>
      <c r="G2" s="187"/>
      <c r="H2" s="187"/>
      <c r="I2" s="187"/>
      <c r="J2" s="187"/>
      <c r="K2" s="187"/>
      <c r="L2" s="187"/>
      <c r="M2" s="187"/>
      <c r="N2" s="187"/>
      <c r="O2" s="188"/>
      <c r="P2" s="4"/>
      <c r="Q2" s="4"/>
    </row>
    <row r="3" spans="1:17" x14ac:dyDescent="0.25">
      <c r="A3" s="4"/>
      <c r="B3" s="4"/>
      <c r="C3" s="4"/>
      <c r="D3" s="4"/>
      <c r="E3" s="4"/>
      <c r="F3" s="4"/>
      <c r="G3" s="4"/>
      <c r="H3" s="4"/>
      <c r="I3" s="4"/>
      <c r="J3" s="4"/>
      <c r="K3" s="4"/>
      <c r="L3" s="4"/>
      <c r="M3" s="4"/>
      <c r="N3" s="4"/>
      <c r="O3" s="4"/>
      <c r="P3" s="4"/>
      <c r="Q3" s="4"/>
    </row>
    <row r="4" spans="1:17" x14ac:dyDescent="0.25">
      <c r="A4" s="55" t="str" cm="1">
        <f t="array" ref="A4:B18">oz.SumPeriodsλ()</f>
        <v>FUNCTION:</v>
      </c>
      <c r="B4" t="str">
        <v>SumPeriodsλ( Values, Dates, PeriodStarts)</v>
      </c>
    </row>
    <row r="5" spans="1:17" x14ac:dyDescent="0.25">
      <c r="A5" t="str">
        <v>DESCRIPTION:</v>
      </c>
      <c r="B5" t="str">
        <v>Summarises values where each value column is for one day</v>
      </c>
    </row>
    <row r="6" spans="1:17" x14ac:dyDescent="0.25">
      <c r="A6" t="str">
        <v/>
      </c>
      <c r="B6" t="str">
        <v>into one column for each period.</v>
      </c>
    </row>
    <row r="7" spans="1:17" x14ac:dyDescent="0.25">
      <c r="A7" t="str">
        <v>SEE ALSO:</v>
      </c>
      <c r="B7" t="str">
        <v>Excel 365 now has GROUPBY and PIVOTBY for formula-driven aggregation.</v>
      </c>
    </row>
    <row r="8" spans="1:17" x14ac:dyDescent="0.25">
      <c r="A8" t="str">
        <v>VERSION:</v>
      </c>
      <c r="B8" t="str">
        <v>20 Aug 2026</v>
      </c>
    </row>
    <row r="9" spans="1:17" x14ac:dyDescent="0.25">
      <c r="A9" t="str">
        <v>WEBPAGE:</v>
      </c>
      <c r="B9" t="str">
        <v>https://github.com/ryanduguid/Ozzit</v>
      </c>
    </row>
    <row r="10" spans="1:17" x14ac:dyDescent="0.25">
      <c r="A10" t="str">
        <v>PARAMETERS:</v>
      </c>
      <c r="B10" t="str">
        <v/>
      </c>
    </row>
    <row r="11" spans="1:17" x14ac:dyDescent="0.25">
      <c r="A11" t="str">
        <v>Values</v>
      </c>
      <c r="B11" t="str">
        <v>(Required) A two dimensional array/range containing values to be summed whereeach column is for a specific day</v>
      </c>
    </row>
    <row r="12" spans="1:17" x14ac:dyDescent="0.25">
      <c r="A12" t="str">
        <v>Dates</v>
      </c>
      <c r="B12" t="str">
        <v>(Required) A row of dates providing the date for each Values column</v>
      </c>
    </row>
    <row r="13" spans="1:17" x14ac:dyDescent="0.25">
      <c r="A13" t="str">
        <v>PeriodStarts</v>
      </c>
      <c r="B13" t="str">
        <v>(Required) A row of period start dates</v>
      </c>
    </row>
    <row r="14" spans="1:17" x14ac:dyDescent="0.25">
      <c r="A14" t="str">
        <v>EXAMPLES:</v>
      </c>
      <c r="B14" t="str">
        <v/>
      </c>
    </row>
    <row r="15" spans="1:17" x14ac:dyDescent="0.25">
      <c r="A15" t="str">
        <v>Result</v>
      </c>
      <c r="B15" t="str">
        <v>Formula (oz is assumed to be the module's name)</v>
      </c>
    </row>
    <row r="16" spans="1:17" x14ac:dyDescent="0.25">
      <c r="A16" t="str">
        <v>03, 07</v>
      </c>
      <c r="B16" t="str">
        <v>=oz.SumPeriodsλ({1,2,3,4;4,3,2,1;10,20,30,40}, {1,2,3,4}, {1,3})</v>
      </c>
    </row>
    <row r="17" spans="1:373" x14ac:dyDescent="0.25">
      <c r="A17" t="str">
        <v>07, 03</v>
      </c>
      <c r="B17" t="str">
        <v/>
      </c>
    </row>
    <row r="18" spans="1:373" x14ac:dyDescent="0.25">
      <c r="A18" t="str">
        <v>30, 70</v>
      </c>
      <c r="B18" t="str">
        <v/>
      </c>
    </row>
    <row r="20" spans="1:373" ht="26.25" x14ac:dyDescent="0.4">
      <c r="A20" s="103" t="s">
        <v>96</v>
      </c>
      <c r="B20" s="103"/>
      <c r="C20" s="103"/>
      <c r="D20" s="103"/>
      <c r="E20" s="103"/>
      <c r="H20" s="28"/>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c r="EZ20" s="50"/>
      <c r="FA20" s="50"/>
      <c r="FB20" s="50"/>
      <c r="FC20" s="50"/>
      <c r="FD20" s="50"/>
      <c r="FE20" s="50"/>
      <c r="FF20" s="50"/>
      <c r="FG20" s="50"/>
      <c r="FH20" s="50"/>
      <c r="FI20" s="50"/>
      <c r="FJ20" s="50"/>
      <c r="FK20" s="50"/>
      <c r="FL20" s="50"/>
      <c r="FM20" s="50"/>
      <c r="FN20" s="50"/>
      <c r="FO20" s="50"/>
      <c r="FP20" s="50"/>
      <c r="FQ20" s="50"/>
      <c r="FR20" s="50"/>
      <c r="FS20" s="50"/>
      <c r="FT20" s="50"/>
      <c r="FU20" s="50"/>
      <c r="FV20" s="50"/>
      <c r="FW20" s="50"/>
      <c r="FX20" s="50"/>
      <c r="FY20" s="50"/>
      <c r="FZ20" s="50"/>
      <c r="GA20" s="50"/>
      <c r="GB20" s="50"/>
      <c r="GC20" s="50"/>
      <c r="GD20" s="50"/>
      <c r="GE20" s="50"/>
      <c r="GF20" s="50"/>
      <c r="GG20" s="50"/>
      <c r="GH20" s="50"/>
      <c r="GI20" s="50"/>
      <c r="GJ20" s="50"/>
      <c r="GK20" s="50"/>
      <c r="GL20" s="50"/>
      <c r="GM20" s="50"/>
      <c r="GN20" s="50"/>
      <c r="GO20" s="50"/>
      <c r="GP20" s="50"/>
      <c r="GQ20" s="50"/>
      <c r="GR20" s="50"/>
      <c r="GS20" s="50"/>
      <c r="GT20" s="50"/>
      <c r="GU20" s="50"/>
      <c r="GV20" s="50"/>
      <c r="GW20" s="50"/>
      <c r="GX20" s="50"/>
      <c r="GY20" s="50"/>
      <c r="GZ20" s="50"/>
      <c r="HA20" s="50"/>
      <c r="HB20" s="50"/>
      <c r="HC20" s="50"/>
      <c r="HD20" s="50"/>
      <c r="HE20" s="50"/>
      <c r="HF20" s="50"/>
      <c r="HG20" s="50"/>
      <c r="HH20" s="50"/>
      <c r="HI20" s="50"/>
      <c r="HJ20" s="50"/>
      <c r="HK20" s="50"/>
      <c r="HL20" s="50"/>
      <c r="HM20" s="50"/>
      <c r="HN20" s="50"/>
      <c r="HO20" s="50"/>
      <c r="HP20" s="50"/>
      <c r="HQ20" s="50"/>
      <c r="HR20" s="50"/>
      <c r="HS20" s="50"/>
      <c r="HT20" s="50"/>
      <c r="HU20" s="50"/>
      <c r="HV20" s="50"/>
      <c r="HW20" s="50"/>
      <c r="HX20" s="50"/>
      <c r="HY20" s="50"/>
      <c r="HZ20" s="50"/>
      <c r="IA20" s="50"/>
      <c r="IB20" s="50"/>
      <c r="IC20" s="50"/>
      <c r="ID20" s="50"/>
      <c r="IE20" s="50"/>
      <c r="IF20" s="50"/>
      <c r="IG20" s="50"/>
      <c r="IH20" s="50"/>
      <c r="II20" s="50"/>
      <c r="IJ20" s="50"/>
      <c r="IK20" s="50"/>
      <c r="IL20" s="50"/>
      <c r="IM20" s="50"/>
      <c r="IN20" s="50"/>
      <c r="IO20" s="50"/>
      <c r="IP20" s="50"/>
      <c r="IQ20" s="50"/>
      <c r="IR20" s="50"/>
      <c r="IS20" s="50"/>
      <c r="IT20" s="50"/>
      <c r="IU20" s="50"/>
      <c r="IV20" s="50"/>
      <c r="IW20" s="50"/>
      <c r="IX20" s="50"/>
      <c r="IY20" s="50"/>
      <c r="IZ20" s="50"/>
      <c r="JA20" s="50"/>
      <c r="JB20" s="50"/>
      <c r="JC20" s="50"/>
      <c r="JD20" s="50"/>
      <c r="JE20" s="50"/>
      <c r="JF20" s="50"/>
      <c r="JG20" s="50"/>
      <c r="JH20" s="50"/>
      <c r="JI20" s="50"/>
      <c r="JJ20" s="50"/>
      <c r="JK20" s="50"/>
      <c r="JL20" s="50"/>
      <c r="JM20" s="50"/>
      <c r="JN20" s="50"/>
      <c r="JO20" s="50"/>
      <c r="JP20" s="50"/>
      <c r="JQ20" s="50"/>
      <c r="JR20" s="50"/>
      <c r="JS20" s="50"/>
      <c r="JT20" s="50"/>
      <c r="JU20" s="50"/>
      <c r="JV20" s="50"/>
      <c r="JW20" s="50"/>
      <c r="JX20" s="50"/>
      <c r="JY20" s="50"/>
      <c r="JZ20" s="50"/>
      <c r="KA20" s="50"/>
      <c r="KB20" s="50"/>
      <c r="KC20" s="50"/>
      <c r="KD20" s="50"/>
      <c r="KE20" s="50"/>
      <c r="KF20" s="50"/>
      <c r="KG20" s="50"/>
      <c r="KH20" s="50"/>
      <c r="KI20" s="50"/>
      <c r="KJ20" s="50"/>
      <c r="KK20" s="50"/>
      <c r="KL20" s="50"/>
      <c r="KM20" s="50"/>
      <c r="KN20" s="50"/>
      <c r="KO20" s="50"/>
      <c r="KP20" s="50"/>
      <c r="KQ20" s="50"/>
      <c r="KR20" s="50"/>
      <c r="KS20" s="50"/>
      <c r="KT20" s="50"/>
      <c r="KU20" s="50"/>
      <c r="KV20" s="50"/>
      <c r="KW20" s="50"/>
      <c r="KX20" s="50"/>
      <c r="KY20" s="50"/>
      <c r="KZ20" s="50"/>
      <c r="LA20" s="50"/>
      <c r="LB20" s="50"/>
      <c r="LC20" s="50"/>
      <c r="LD20" s="50"/>
      <c r="LE20" s="50"/>
      <c r="LF20" s="50"/>
      <c r="LG20" s="50"/>
      <c r="LH20" s="50"/>
      <c r="LI20" s="50"/>
      <c r="LJ20" s="50"/>
      <c r="LK20" s="50"/>
      <c r="LL20" s="50"/>
      <c r="LM20" s="50"/>
      <c r="LN20" s="50"/>
      <c r="LO20" s="50"/>
      <c r="LP20" s="50"/>
      <c r="LQ20" s="50"/>
      <c r="LR20" s="50"/>
      <c r="LS20" s="50"/>
      <c r="LT20" s="50"/>
      <c r="LU20" s="50"/>
      <c r="LV20" s="50"/>
      <c r="LW20" s="50"/>
      <c r="LX20" s="50"/>
      <c r="LY20" s="50"/>
      <c r="LZ20" s="50"/>
      <c r="MA20" s="50"/>
      <c r="MB20" s="50"/>
      <c r="MC20" s="50"/>
      <c r="MD20" s="50"/>
      <c r="ME20" s="50"/>
      <c r="MF20" s="50"/>
      <c r="MG20" s="50"/>
      <c r="MH20" s="50"/>
      <c r="MI20" s="50"/>
      <c r="MJ20" s="50"/>
      <c r="MK20" s="50"/>
      <c r="ML20" s="50"/>
      <c r="MM20" s="50"/>
      <c r="MN20" s="50"/>
      <c r="MO20" s="50"/>
      <c r="MP20" s="50"/>
      <c r="MQ20" s="50"/>
      <c r="MR20" s="50"/>
      <c r="MS20" s="50"/>
      <c r="MT20" s="50"/>
      <c r="MU20" s="50"/>
      <c r="MV20" s="50"/>
      <c r="MW20" s="50"/>
      <c r="MX20" s="50"/>
      <c r="MY20" s="50"/>
      <c r="MZ20" s="50"/>
      <c r="NA20" s="50"/>
      <c r="NB20" s="50"/>
      <c r="NC20" s="50"/>
      <c r="ND20" s="50"/>
      <c r="NE20" s="50"/>
      <c r="NF20" s="50"/>
      <c r="NG20" s="50"/>
      <c r="NH20" s="50"/>
      <c r="NI20" s="50"/>
    </row>
    <row r="21" spans="1:373" x14ac:dyDescent="0.25">
      <c r="A21" s="222" t="s">
        <v>97</v>
      </c>
      <c r="B21" s="222"/>
      <c r="C21" s="222"/>
      <c r="D21" s="222"/>
      <c r="E21" s="222"/>
      <c r="H21" s="51"/>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2"/>
      <c r="IR21" s="52"/>
      <c r="IS21" s="52"/>
      <c r="IT21" s="52"/>
      <c r="IU21" s="52"/>
      <c r="IV21" s="52"/>
      <c r="IW21" s="52"/>
      <c r="IX21" s="52"/>
      <c r="IY21" s="52"/>
      <c r="IZ21" s="52"/>
      <c r="JA21" s="52"/>
      <c r="JB21" s="52"/>
      <c r="JC21" s="52"/>
      <c r="JD21" s="52"/>
      <c r="JE21" s="52"/>
      <c r="JF21" s="52"/>
      <c r="JG21" s="52"/>
      <c r="JH21" s="52"/>
      <c r="JI21" s="52"/>
      <c r="JJ21" s="52"/>
      <c r="JK21" s="52"/>
      <c r="JL21" s="52"/>
      <c r="JM21" s="52"/>
      <c r="JN21" s="52"/>
      <c r="JO21" s="52"/>
      <c r="JP21" s="52"/>
      <c r="JQ21" s="52"/>
      <c r="JR21" s="52"/>
      <c r="JS21" s="52"/>
      <c r="JT21" s="52"/>
      <c r="JU21" s="52"/>
      <c r="JV21" s="52"/>
      <c r="JW21" s="52"/>
      <c r="JX21" s="52"/>
      <c r="JY21" s="52"/>
      <c r="JZ21" s="52"/>
      <c r="KA21" s="52"/>
      <c r="KB21" s="52"/>
      <c r="KC21" s="52"/>
      <c r="KD21" s="52"/>
      <c r="KE21" s="52"/>
      <c r="KF21" s="52"/>
      <c r="KG21" s="52"/>
      <c r="KH21" s="52"/>
      <c r="KI21" s="52"/>
      <c r="KJ21" s="52"/>
      <c r="KK21" s="52"/>
      <c r="KL21" s="52"/>
      <c r="KM21" s="52"/>
      <c r="KN21" s="52"/>
      <c r="KO21" s="52"/>
      <c r="KP21" s="52"/>
      <c r="KQ21" s="52"/>
      <c r="KR21" s="52"/>
      <c r="KS21" s="52"/>
      <c r="KT21" s="52"/>
      <c r="KU21" s="52"/>
      <c r="KV21" s="52"/>
      <c r="KW21" s="52"/>
      <c r="KX21" s="52"/>
      <c r="KY21" s="52"/>
      <c r="KZ21" s="52"/>
      <c r="LA21" s="52"/>
      <c r="LB21" s="52"/>
      <c r="LC21" s="52"/>
      <c r="LD21" s="52"/>
      <c r="LE21" s="52"/>
      <c r="LF21" s="52"/>
      <c r="LG21" s="52"/>
      <c r="LH21" s="52"/>
      <c r="LI21" s="52"/>
      <c r="LJ21" s="52"/>
      <c r="LK21" s="52"/>
      <c r="LL21" s="52"/>
      <c r="LM21" s="52"/>
      <c r="LN21" s="52"/>
      <c r="LO21" s="52"/>
      <c r="LP21" s="52"/>
      <c r="LQ21" s="52"/>
      <c r="LR21" s="52"/>
      <c r="LS21" s="52"/>
      <c r="LT21" s="52"/>
      <c r="LU21" s="52"/>
      <c r="LV21" s="52"/>
      <c r="LW21" s="52"/>
      <c r="LX21" s="52"/>
      <c r="LY21" s="52"/>
      <c r="LZ21" s="52"/>
      <c r="MA21" s="52"/>
      <c r="MB21" s="52"/>
      <c r="MC21" s="52"/>
      <c r="MD21" s="52"/>
      <c r="ME21" s="52"/>
      <c r="MF21" s="52"/>
      <c r="MG21" s="52"/>
      <c r="MH21" s="52"/>
      <c r="MI21" s="52"/>
      <c r="MJ21" s="52"/>
      <c r="MK21" s="52"/>
      <c r="ML21" s="52"/>
      <c r="MM21" s="52"/>
      <c r="MN21" s="52"/>
      <c r="MO21" s="52"/>
      <c r="MP21" s="52"/>
      <c r="MQ21" s="52"/>
      <c r="MR21" s="52"/>
      <c r="MS21" s="52"/>
      <c r="MT21" s="52"/>
      <c r="MU21" s="52"/>
      <c r="MV21" s="52"/>
      <c r="MW21" s="52"/>
      <c r="MX21" s="52"/>
      <c r="MY21" s="52"/>
      <c r="MZ21" s="52"/>
      <c r="NA21" s="52"/>
      <c r="NB21" s="52"/>
      <c r="NC21" s="52"/>
      <c r="ND21" s="52"/>
      <c r="NE21" s="52"/>
      <c r="NF21" s="52"/>
      <c r="NG21" s="52"/>
      <c r="NH21" s="52"/>
      <c r="NI21" s="52"/>
    </row>
    <row r="22" spans="1:373" x14ac:dyDescent="0.25">
      <c r="A22" s="42" t="s">
        <v>7</v>
      </c>
      <c r="B22" s="42" t="s">
        <v>125</v>
      </c>
      <c r="C22" s="42" t="s">
        <v>98</v>
      </c>
      <c r="D22" s="42" t="s">
        <v>99</v>
      </c>
      <c r="E22" s="42" t="s">
        <v>100</v>
      </c>
      <c r="G22" s="42" t="s">
        <v>196</v>
      </c>
      <c r="H22" s="48" t="s">
        <v>123</v>
      </c>
      <c r="I22" s="49" cm="1">
        <f t="array" ref="I22:NI22">oz.Timelineλ("1/7/2026", 365, "D")</f>
        <v>46204</v>
      </c>
      <c r="J22" s="49">
        <v>46205</v>
      </c>
      <c r="K22" s="49">
        <v>46206</v>
      </c>
      <c r="L22" s="49">
        <v>46207</v>
      </c>
      <c r="M22" s="49">
        <v>46208</v>
      </c>
      <c r="N22" s="49">
        <v>46209</v>
      </c>
      <c r="O22" s="49">
        <v>46210</v>
      </c>
      <c r="P22" s="49">
        <v>46211</v>
      </c>
      <c r="Q22" s="49">
        <v>46212</v>
      </c>
      <c r="R22" s="49">
        <v>46213</v>
      </c>
      <c r="S22" s="49">
        <v>46214</v>
      </c>
      <c r="T22" s="49">
        <v>46215</v>
      </c>
      <c r="U22" s="49">
        <v>46216</v>
      </c>
      <c r="V22" s="49">
        <v>46217</v>
      </c>
      <c r="W22" s="49">
        <v>46218</v>
      </c>
      <c r="X22" s="49">
        <v>46219</v>
      </c>
      <c r="Y22" s="49">
        <v>46220</v>
      </c>
      <c r="Z22" s="49">
        <v>46221</v>
      </c>
      <c r="AA22" s="49">
        <v>46222</v>
      </c>
      <c r="AB22" s="49">
        <v>46223</v>
      </c>
      <c r="AC22" s="49">
        <v>46224</v>
      </c>
      <c r="AD22" s="49">
        <v>46225</v>
      </c>
      <c r="AE22" s="49">
        <v>46226</v>
      </c>
      <c r="AF22" s="49">
        <v>46227</v>
      </c>
      <c r="AG22" s="49">
        <v>46228</v>
      </c>
      <c r="AH22" s="49">
        <v>46229</v>
      </c>
      <c r="AI22" s="49">
        <v>46230</v>
      </c>
      <c r="AJ22" s="49">
        <v>46231</v>
      </c>
      <c r="AK22" s="49">
        <v>46232</v>
      </c>
      <c r="AL22" s="49">
        <v>46233</v>
      </c>
      <c r="AM22" s="49">
        <v>46234</v>
      </c>
      <c r="AN22" s="49">
        <v>46235</v>
      </c>
      <c r="AO22" s="49">
        <v>46236</v>
      </c>
      <c r="AP22" s="49">
        <v>46237</v>
      </c>
      <c r="AQ22" s="49">
        <v>46238</v>
      </c>
      <c r="AR22" s="49">
        <v>46239</v>
      </c>
      <c r="AS22" s="49">
        <v>46240</v>
      </c>
      <c r="AT22" s="49">
        <v>46241</v>
      </c>
      <c r="AU22" s="49">
        <v>46242</v>
      </c>
      <c r="AV22" s="49">
        <v>46243</v>
      </c>
      <c r="AW22" s="49">
        <v>46244</v>
      </c>
      <c r="AX22" s="49">
        <v>46245</v>
      </c>
      <c r="AY22" s="49">
        <v>46246</v>
      </c>
      <c r="AZ22" s="49">
        <v>46247</v>
      </c>
      <c r="BA22" s="49">
        <v>46248</v>
      </c>
      <c r="BB22" s="49">
        <v>46249</v>
      </c>
      <c r="BC22" s="49">
        <v>46250</v>
      </c>
      <c r="BD22" s="49">
        <v>46251</v>
      </c>
      <c r="BE22" s="49">
        <v>46252</v>
      </c>
      <c r="BF22" s="49">
        <v>46253</v>
      </c>
      <c r="BG22" s="49">
        <v>46254</v>
      </c>
      <c r="BH22" s="49">
        <v>46255</v>
      </c>
      <c r="BI22" s="49">
        <v>46256</v>
      </c>
      <c r="BJ22" s="49">
        <v>46257</v>
      </c>
      <c r="BK22" s="49">
        <v>46258</v>
      </c>
      <c r="BL22" s="49">
        <v>46259</v>
      </c>
      <c r="BM22" s="49">
        <v>46260</v>
      </c>
      <c r="BN22" s="49">
        <v>46261</v>
      </c>
      <c r="BO22" s="49">
        <v>46262</v>
      </c>
      <c r="BP22" s="49">
        <v>46263</v>
      </c>
      <c r="BQ22" s="49">
        <v>46264</v>
      </c>
      <c r="BR22" s="49">
        <v>46265</v>
      </c>
      <c r="BS22" s="49">
        <v>46266</v>
      </c>
      <c r="BT22" s="49">
        <v>46267</v>
      </c>
      <c r="BU22" s="49">
        <v>46268</v>
      </c>
      <c r="BV22" s="49">
        <v>46269</v>
      </c>
      <c r="BW22" s="49">
        <v>46270</v>
      </c>
      <c r="BX22" s="49">
        <v>46271</v>
      </c>
      <c r="BY22" s="49">
        <v>46272</v>
      </c>
      <c r="BZ22" s="49">
        <v>46273</v>
      </c>
      <c r="CA22" s="49">
        <v>46274</v>
      </c>
      <c r="CB22" s="49">
        <v>46275</v>
      </c>
      <c r="CC22" s="49">
        <v>46276</v>
      </c>
      <c r="CD22" s="49">
        <v>46277</v>
      </c>
      <c r="CE22" s="49">
        <v>46278</v>
      </c>
      <c r="CF22" s="49">
        <v>46279</v>
      </c>
      <c r="CG22" s="49">
        <v>46280</v>
      </c>
      <c r="CH22" s="49">
        <v>46281</v>
      </c>
      <c r="CI22" s="49">
        <v>46282</v>
      </c>
      <c r="CJ22" s="49">
        <v>46283</v>
      </c>
      <c r="CK22" s="49">
        <v>46284</v>
      </c>
      <c r="CL22" s="49">
        <v>46285</v>
      </c>
      <c r="CM22" s="49">
        <v>46286</v>
      </c>
      <c r="CN22" s="49">
        <v>46287</v>
      </c>
      <c r="CO22" s="49">
        <v>46288</v>
      </c>
      <c r="CP22" s="49">
        <v>46289</v>
      </c>
      <c r="CQ22" s="49">
        <v>46290</v>
      </c>
      <c r="CR22" s="49">
        <v>46291</v>
      </c>
      <c r="CS22" s="49">
        <v>46292</v>
      </c>
      <c r="CT22" s="49">
        <v>46293</v>
      </c>
      <c r="CU22" s="49">
        <v>46294</v>
      </c>
      <c r="CV22" s="49">
        <v>46295</v>
      </c>
      <c r="CW22" s="49">
        <v>46296</v>
      </c>
      <c r="CX22" s="49">
        <v>46297</v>
      </c>
      <c r="CY22" s="49">
        <v>46298</v>
      </c>
      <c r="CZ22" s="49">
        <v>46299</v>
      </c>
      <c r="DA22" s="49">
        <v>46300</v>
      </c>
      <c r="DB22" s="49">
        <v>46301</v>
      </c>
      <c r="DC22" s="49">
        <v>46302</v>
      </c>
      <c r="DD22" s="49">
        <v>46303</v>
      </c>
      <c r="DE22" s="49">
        <v>46304</v>
      </c>
      <c r="DF22" s="49">
        <v>46305</v>
      </c>
      <c r="DG22" s="49">
        <v>46306</v>
      </c>
      <c r="DH22" s="49">
        <v>46307</v>
      </c>
      <c r="DI22" s="49">
        <v>46308</v>
      </c>
      <c r="DJ22" s="49">
        <v>46309</v>
      </c>
      <c r="DK22" s="49">
        <v>46310</v>
      </c>
      <c r="DL22" s="49">
        <v>46311</v>
      </c>
      <c r="DM22" s="49">
        <v>46312</v>
      </c>
      <c r="DN22" s="49">
        <v>46313</v>
      </c>
      <c r="DO22" s="49">
        <v>46314</v>
      </c>
      <c r="DP22" s="49">
        <v>46315</v>
      </c>
      <c r="DQ22" s="49">
        <v>46316</v>
      </c>
      <c r="DR22" s="49">
        <v>46317</v>
      </c>
      <c r="DS22" s="49">
        <v>46318</v>
      </c>
      <c r="DT22" s="49">
        <v>46319</v>
      </c>
      <c r="DU22" s="49">
        <v>46320</v>
      </c>
      <c r="DV22" s="49">
        <v>46321</v>
      </c>
      <c r="DW22" s="49">
        <v>46322</v>
      </c>
      <c r="DX22" s="49">
        <v>46323</v>
      </c>
      <c r="DY22" s="49">
        <v>46324</v>
      </c>
      <c r="DZ22" s="49">
        <v>46325</v>
      </c>
      <c r="EA22" s="49">
        <v>46326</v>
      </c>
      <c r="EB22" s="49">
        <v>46327</v>
      </c>
      <c r="EC22" s="49">
        <v>46328</v>
      </c>
      <c r="ED22" s="49">
        <v>46329</v>
      </c>
      <c r="EE22" s="49">
        <v>46330</v>
      </c>
      <c r="EF22" s="49">
        <v>46331</v>
      </c>
      <c r="EG22" s="49">
        <v>46332</v>
      </c>
      <c r="EH22" s="49">
        <v>46333</v>
      </c>
      <c r="EI22" s="49">
        <v>46334</v>
      </c>
      <c r="EJ22" s="49">
        <v>46335</v>
      </c>
      <c r="EK22" s="49">
        <v>46336</v>
      </c>
      <c r="EL22" s="49">
        <v>46337</v>
      </c>
      <c r="EM22" s="49">
        <v>46338</v>
      </c>
      <c r="EN22" s="49">
        <v>46339</v>
      </c>
      <c r="EO22" s="49">
        <v>46340</v>
      </c>
      <c r="EP22" s="49">
        <v>46341</v>
      </c>
      <c r="EQ22" s="49">
        <v>46342</v>
      </c>
      <c r="ER22" s="49">
        <v>46343</v>
      </c>
      <c r="ES22" s="49">
        <v>46344</v>
      </c>
      <c r="ET22" s="49">
        <v>46345</v>
      </c>
      <c r="EU22" s="49">
        <v>46346</v>
      </c>
      <c r="EV22" s="49">
        <v>46347</v>
      </c>
      <c r="EW22" s="49">
        <v>46348</v>
      </c>
      <c r="EX22" s="49">
        <v>46349</v>
      </c>
      <c r="EY22" s="49">
        <v>46350</v>
      </c>
      <c r="EZ22" s="49">
        <v>46351</v>
      </c>
      <c r="FA22" s="49">
        <v>46352</v>
      </c>
      <c r="FB22" s="49">
        <v>46353</v>
      </c>
      <c r="FC22" s="49">
        <v>46354</v>
      </c>
      <c r="FD22" s="49">
        <v>46355</v>
      </c>
      <c r="FE22" s="49">
        <v>46356</v>
      </c>
      <c r="FF22" s="49">
        <v>46357</v>
      </c>
      <c r="FG22" s="49">
        <v>46358</v>
      </c>
      <c r="FH22" s="49">
        <v>46359</v>
      </c>
      <c r="FI22" s="49">
        <v>46360</v>
      </c>
      <c r="FJ22" s="49">
        <v>46361</v>
      </c>
      <c r="FK22" s="49">
        <v>46362</v>
      </c>
      <c r="FL22" s="49">
        <v>46363</v>
      </c>
      <c r="FM22" s="49">
        <v>46364</v>
      </c>
      <c r="FN22" s="49">
        <v>46365</v>
      </c>
      <c r="FO22" s="49">
        <v>46366</v>
      </c>
      <c r="FP22" s="49">
        <v>46367</v>
      </c>
      <c r="FQ22" s="49">
        <v>46368</v>
      </c>
      <c r="FR22" s="49">
        <v>46369</v>
      </c>
      <c r="FS22" s="49">
        <v>46370</v>
      </c>
      <c r="FT22" s="49">
        <v>46371</v>
      </c>
      <c r="FU22" s="49">
        <v>46372</v>
      </c>
      <c r="FV22" s="49">
        <v>46373</v>
      </c>
      <c r="FW22" s="49">
        <v>46374</v>
      </c>
      <c r="FX22" s="49">
        <v>46375</v>
      </c>
      <c r="FY22" s="49">
        <v>46376</v>
      </c>
      <c r="FZ22" s="49">
        <v>46377</v>
      </c>
      <c r="GA22" s="49">
        <v>46378</v>
      </c>
      <c r="GB22" s="49">
        <v>46379</v>
      </c>
      <c r="GC22" s="49">
        <v>46380</v>
      </c>
      <c r="GD22" s="49">
        <v>46381</v>
      </c>
      <c r="GE22" s="49">
        <v>46382</v>
      </c>
      <c r="GF22" s="49">
        <v>46383</v>
      </c>
      <c r="GG22" s="49">
        <v>46384</v>
      </c>
      <c r="GH22" s="49">
        <v>46385</v>
      </c>
      <c r="GI22" s="49">
        <v>46386</v>
      </c>
      <c r="GJ22" s="49">
        <v>46387</v>
      </c>
      <c r="GK22" s="49">
        <v>46388</v>
      </c>
      <c r="GL22" s="49">
        <v>46389</v>
      </c>
      <c r="GM22" s="49">
        <v>46390</v>
      </c>
      <c r="GN22" s="49">
        <v>46391</v>
      </c>
      <c r="GO22" s="49">
        <v>46392</v>
      </c>
      <c r="GP22" s="49">
        <v>46393</v>
      </c>
      <c r="GQ22" s="49">
        <v>46394</v>
      </c>
      <c r="GR22" s="49">
        <v>46395</v>
      </c>
      <c r="GS22" s="49">
        <v>46396</v>
      </c>
      <c r="GT22" s="49">
        <v>46397</v>
      </c>
      <c r="GU22" s="49">
        <v>46398</v>
      </c>
      <c r="GV22" s="49">
        <v>46399</v>
      </c>
      <c r="GW22" s="49">
        <v>46400</v>
      </c>
      <c r="GX22" s="49">
        <v>46401</v>
      </c>
      <c r="GY22" s="49">
        <v>46402</v>
      </c>
      <c r="GZ22" s="49">
        <v>46403</v>
      </c>
      <c r="HA22" s="49">
        <v>46404</v>
      </c>
      <c r="HB22" s="49">
        <v>46405</v>
      </c>
      <c r="HC22" s="49">
        <v>46406</v>
      </c>
      <c r="HD22" s="49">
        <v>46407</v>
      </c>
      <c r="HE22" s="49">
        <v>46408</v>
      </c>
      <c r="HF22" s="49">
        <v>46409</v>
      </c>
      <c r="HG22" s="49">
        <v>46410</v>
      </c>
      <c r="HH22" s="49">
        <v>46411</v>
      </c>
      <c r="HI22" s="49">
        <v>46412</v>
      </c>
      <c r="HJ22" s="49">
        <v>46413</v>
      </c>
      <c r="HK22" s="49">
        <v>46414</v>
      </c>
      <c r="HL22" s="49">
        <v>46415</v>
      </c>
      <c r="HM22" s="49">
        <v>46416</v>
      </c>
      <c r="HN22" s="49">
        <v>46417</v>
      </c>
      <c r="HO22" s="49">
        <v>46418</v>
      </c>
      <c r="HP22" s="49">
        <v>46419</v>
      </c>
      <c r="HQ22" s="49">
        <v>46420</v>
      </c>
      <c r="HR22" s="49">
        <v>46421</v>
      </c>
      <c r="HS22" s="49">
        <v>46422</v>
      </c>
      <c r="HT22" s="49">
        <v>46423</v>
      </c>
      <c r="HU22" s="49">
        <v>46424</v>
      </c>
      <c r="HV22" s="49">
        <v>46425</v>
      </c>
      <c r="HW22" s="49">
        <v>46426</v>
      </c>
      <c r="HX22" s="49">
        <v>46427</v>
      </c>
      <c r="HY22" s="49">
        <v>46428</v>
      </c>
      <c r="HZ22" s="49">
        <v>46429</v>
      </c>
      <c r="IA22" s="49">
        <v>46430</v>
      </c>
      <c r="IB22" s="49">
        <v>46431</v>
      </c>
      <c r="IC22" s="49">
        <v>46432</v>
      </c>
      <c r="ID22" s="49">
        <v>46433</v>
      </c>
      <c r="IE22" s="49">
        <v>46434</v>
      </c>
      <c r="IF22" s="49">
        <v>46435</v>
      </c>
      <c r="IG22" s="49">
        <v>46436</v>
      </c>
      <c r="IH22" s="49">
        <v>46437</v>
      </c>
      <c r="II22" s="49">
        <v>46438</v>
      </c>
      <c r="IJ22" s="49">
        <v>46439</v>
      </c>
      <c r="IK22" s="49">
        <v>46440</v>
      </c>
      <c r="IL22" s="49">
        <v>46441</v>
      </c>
      <c r="IM22" s="49">
        <v>46442</v>
      </c>
      <c r="IN22" s="49">
        <v>46443</v>
      </c>
      <c r="IO22" s="49">
        <v>46444</v>
      </c>
      <c r="IP22" s="49">
        <v>46445</v>
      </c>
      <c r="IQ22" s="49">
        <v>46446</v>
      </c>
      <c r="IR22" s="49">
        <v>46447</v>
      </c>
      <c r="IS22" s="49">
        <v>46448</v>
      </c>
      <c r="IT22" s="49">
        <v>46449</v>
      </c>
      <c r="IU22" s="49">
        <v>46450</v>
      </c>
      <c r="IV22" s="49">
        <v>46451</v>
      </c>
      <c r="IW22" s="49">
        <v>46452</v>
      </c>
      <c r="IX22" s="49">
        <v>46453</v>
      </c>
      <c r="IY22" s="49">
        <v>46454</v>
      </c>
      <c r="IZ22" s="49">
        <v>46455</v>
      </c>
      <c r="JA22" s="49">
        <v>46456</v>
      </c>
      <c r="JB22" s="49">
        <v>46457</v>
      </c>
      <c r="JC22" s="49">
        <v>46458</v>
      </c>
      <c r="JD22" s="49">
        <v>46459</v>
      </c>
      <c r="JE22" s="49">
        <v>46460</v>
      </c>
      <c r="JF22" s="49">
        <v>46461</v>
      </c>
      <c r="JG22" s="49">
        <v>46462</v>
      </c>
      <c r="JH22" s="49">
        <v>46463</v>
      </c>
      <c r="JI22" s="49">
        <v>46464</v>
      </c>
      <c r="JJ22" s="49">
        <v>46465</v>
      </c>
      <c r="JK22" s="49">
        <v>46466</v>
      </c>
      <c r="JL22" s="49">
        <v>46467</v>
      </c>
      <c r="JM22" s="49">
        <v>46468</v>
      </c>
      <c r="JN22" s="49">
        <v>46469</v>
      </c>
      <c r="JO22" s="49">
        <v>46470</v>
      </c>
      <c r="JP22" s="49">
        <v>46471</v>
      </c>
      <c r="JQ22" s="49">
        <v>46472</v>
      </c>
      <c r="JR22" s="49">
        <v>46473</v>
      </c>
      <c r="JS22" s="49">
        <v>46474</v>
      </c>
      <c r="JT22" s="49">
        <v>46475</v>
      </c>
      <c r="JU22" s="49">
        <v>46476</v>
      </c>
      <c r="JV22" s="49">
        <v>46477</v>
      </c>
      <c r="JW22" s="49">
        <v>46478</v>
      </c>
      <c r="JX22" s="49">
        <v>46479</v>
      </c>
      <c r="JY22" s="49">
        <v>46480</v>
      </c>
      <c r="JZ22" s="49">
        <v>46481</v>
      </c>
      <c r="KA22" s="49">
        <v>46482</v>
      </c>
      <c r="KB22" s="49">
        <v>46483</v>
      </c>
      <c r="KC22" s="49">
        <v>46484</v>
      </c>
      <c r="KD22" s="49">
        <v>46485</v>
      </c>
      <c r="KE22" s="49">
        <v>46486</v>
      </c>
      <c r="KF22" s="49">
        <v>46487</v>
      </c>
      <c r="KG22" s="49">
        <v>46488</v>
      </c>
      <c r="KH22" s="49">
        <v>46489</v>
      </c>
      <c r="KI22" s="49">
        <v>46490</v>
      </c>
      <c r="KJ22" s="49">
        <v>46491</v>
      </c>
      <c r="KK22" s="49">
        <v>46492</v>
      </c>
      <c r="KL22" s="49">
        <v>46493</v>
      </c>
      <c r="KM22" s="49">
        <v>46494</v>
      </c>
      <c r="KN22" s="49">
        <v>46495</v>
      </c>
      <c r="KO22" s="49">
        <v>46496</v>
      </c>
      <c r="KP22" s="49">
        <v>46497</v>
      </c>
      <c r="KQ22" s="49">
        <v>46498</v>
      </c>
      <c r="KR22" s="49">
        <v>46499</v>
      </c>
      <c r="KS22" s="49">
        <v>46500</v>
      </c>
      <c r="KT22" s="49">
        <v>46501</v>
      </c>
      <c r="KU22" s="49">
        <v>46502</v>
      </c>
      <c r="KV22" s="49">
        <v>46503</v>
      </c>
      <c r="KW22" s="49">
        <v>46504</v>
      </c>
      <c r="KX22" s="49">
        <v>46505</v>
      </c>
      <c r="KY22" s="49">
        <v>46506</v>
      </c>
      <c r="KZ22" s="49">
        <v>46507</v>
      </c>
      <c r="LA22" s="49">
        <v>46508</v>
      </c>
      <c r="LB22" s="49">
        <v>46509</v>
      </c>
      <c r="LC22" s="49">
        <v>46510</v>
      </c>
      <c r="LD22" s="49">
        <v>46511</v>
      </c>
      <c r="LE22" s="49">
        <v>46512</v>
      </c>
      <c r="LF22" s="49">
        <v>46513</v>
      </c>
      <c r="LG22" s="49">
        <v>46514</v>
      </c>
      <c r="LH22" s="49">
        <v>46515</v>
      </c>
      <c r="LI22" s="49">
        <v>46516</v>
      </c>
      <c r="LJ22" s="49">
        <v>46517</v>
      </c>
      <c r="LK22" s="49">
        <v>46518</v>
      </c>
      <c r="LL22" s="49">
        <v>46519</v>
      </c>
      <c r="LM22" s="49">
        <v>46520</v>
      </c>
      <c r="LN22" s="49">
        <v>46521</v>
      </c>
      <c r="LO22" s="49">
        <v>46522</v>
      </c>
      <c r="LP22" s="49">
        <v>46523</v>
      </c>
      <c r="LQ22" s="49">
        <v>46524</v>
      </c>
      <c r="LR22" s="49">
        <v>46525</v>
      </c>
      <c r="LS22" s="49">
        <v>46526</v>
      </c>
      <c r="LT22" s="49">
        <v>46527</v>
      </c>
      <c r="LU22" s="49">
        <v>46528</v>
      </c>
      <c r="LV22" s="49">
        <v>46529</v>
      </c>
      <c r="LW22" s="49">
        <v>46530</v>
      </c>
      <c r="LX22" s="49">
        <v>46531</v>
      </c>
      <c r="LY22" s="49">
        <v>46532</v>
      </c>
      <c r="LZ22" s="49">
        <v>46533</v>
      </c>
      <c r="MA22" s="49">
        <v>46534</v>
      </c>
      <c r="MB22" s="49">
        <v>46535</v>
      </c>
      <c r="MC22" s="49">
        <v>46536</v>
      </c>
      <c r="MD22" s="49">
        <v>46537</v>
      </c>
      <c r="ME22" s="49">
        <v>46538</v>
      </c>
      <c r="MF22" s="49">
        <v>46539</v>
      </c>
      <c r="MG22" s="49">
        <v>46540</v>
      </c>
      <c r="MH22" s="49">
        <v>46541</v>
      </c>
      <c r="MI22" s="49">
        <v>46542</v>
      </c>
      <c r="MJ22" s="49">
        <v>46543</v>
      </c>
      <c r="MK22" s="49">
        <v>46544</v>
      </c>
      <c r="ML22" s="49">
        <v>46545</v>
      </c>
      <c r="MM22" s="49">
        <v>46546</v>
      </c>
      <c r="MN22" s="49">
        <v>46547</v>
      </c>
      <c r="MO22" s="49">
        <v>46548</v>
      </c>
      <c r="MP22" s="49">
        <v>46549</v>
      </c>
      <c r="MQ22" s="49">
        <v>46550</v>
      </c>
      <c r="MR22" s="49">
        <v>46551</v>
      </c>
      <c r="MS22" s="49">
        <v>46552</v>
      </c>
      <c r="MT22" s="49">
        <v>46553</v>
      </c>
      <c r="MU22" s="49">
        <v>46554</v>
      </c>
      <c r="MV22" s="49">
        <v>46555</v>
      </c>
      <c r="MW22" s="49">
        <v>46556</v>
      </c>
      <c r="MX22" s="49">
        <v>46557</v>
      </c>
      <c r="MY22" s="49">
        <v>46558</v>
      </c>
      <c r="MZ22" s="49">
        <v>46559</v>
      </c>
      <c r="NA22" s="49">
        <v>46560</v>
      </c>
      <c r="NB22" s="49">
        <v>46561</v>
      </c>
      <c r="NC22" s="49">
        <v>46562</v>
      </c>
      <c r="ND22" s="49">
        <v>46563</v>
      </c>
      <c r="NE22" s="49">
        <v>46564</v>
      </c>
      <c r="NF22" s="49">
        <v>46565</v>
      </c>
      <c r="NG22" s="49">
        <v>46566</v>
      </c>
      <c r="NH22" s="49">
        <v>46567</v>
      </c>
      <c r="NI22" s="49">
        <v>46568</v>
      </c>
    </row>
    <row r="23" spans="1:373" x14ac:dyDescent="0.25">
      <c r="A23" t="s">
        <v>103</v>
      </c>
      <c r="B23" s="100">
        <v>6000</v>
      </c>
      <c r="C23" s="101" t="s">
        <v>101</v>
      </c>
      <c r="D23" s="102">
        <v>46204</v>
      </c>
      <c r="E23" s="102"/>
      <c r="G23" t="s">
        <v>103</v>
      </c>
      <c r="H23" cm="1">
        <f t="array" ref="H23:H28">oz.SumRowsλ(_xlfn.ANCHORARRAY(I23))</f>
        <v>162000</v>
      </c>
      <c r="I23" s="85" cm="1">
        <f t="array" ref="I23:NI28">oz.IsOccurrenceDateλ(_xlfn.ANCHORARRAY( I22), tblBudget[First Date], tblBudget[Last Date], tblBudget[Schedule]) * tblBudget[Amount]</f>
        <v>6000</v>
      </c>
      <c r="J23">
        <v>0</v>
      </c>
      <c r="K23">
        <v>0</v>
      </c>
      <c r="L23">
        <v>0</v>
      </c>
      <c r="M23">
        <v>0</v>
      </c>
      <c r="N23">
        <v>0</v>
      </c>
      <c r="O23">
        <v>0</v>
      </c>
      <c r="P23">
        <v>0</v>
      </c>
      <c r="Q23">
        <v>0</v>
      </c>
      <c r="R23">
        <v>0</v>
      </c>
      <c r="S23">
        <v>0</v>
      </c>
      <c r="T23">
        <v>0</v>
      </c>
      <c r="U23">
        <v>0</v>
      </c>
      <c r="V23">
        <v>0</v>
      </c>
      <c r="W23">
        <v>6000</v>
      </c>
      <c r="X23">
        <v>0</v>
      </c>
      <c r="Y23">
        <v>0</v>
      </c>
      <c r="Z23">
        <v>0</v>
      </c>
      <c r="AA23">
        <v>0</v>
      </c>
      <c r="AB23">
        <v>0</v>
      </c>
      <c r="AC23">
        <v>0</v>
      </c>
      <c r="AD23">
        <v>0</v>
      </c>
      <c r="AE23">
        <v>0</v>
      </c>
      <c r="AF23">
        <v>0</v>
      </c>
      <c r="AG23">
        <v>0</v>
      </c>
      <c r="AH23">
        <v>0</v>
      </c>
      <c r="AI23">
        <v>0</v>
      </c>
      <c r="AJ23">
        <v>0</v>
      </c>
      <c r="AK23">
        <v>6000</v>
      </c>
      <c r="AL23">
        <v>0</v>
      </c>
      <c r="AM23">
        <v>0</v>
      </c>
      <c r="AN23">
        <v>0</v>
      </c>
      <c r="AO23">
        <v>0</v>
      </c>
      <c r="AP23">
        <v>0</v>
      </c>
      <c r="AQ23">
        <v>0</v>
      </c>
      <c r="AR23">
        <v>0</v>
      </c>
      <c r="AS23">
        <v>0</v>
      </c>
      <c r="AT23">
        <v>0</v>
      </c>
      <c r="AU23">
        <v>0</v>
      </c>
      <c r="AV23">
        <v>0</v>
      </c>
      <c r="AW23">
        <v>0</v>
      </c>
      <c r="AX23">
        <v>0</v>
      </c>
      <c r="AY23">
        <v>6000</v>
      </c>
      <c r="AZ23">
        <v>0</v>
      </c>
      <c r="BA23">
        <v>0</v>
      </c>
      <c r="BB23">
        <v>0</v>
      </c>
      <c r="BC23">
        <v>0</v>
      </c>
      <c r="BD23">
        <v>0</v>
      </c>
      <c r="BE23">
        <v>0</v>
      </c>
      <c r="BF23">
        <v>0</v>
      </c>
      <c r="BG23">
        <v>0</v>
      </c>
      <c r="BH23">
        <v>0</v>
      </c>
      <c r="BI23">
        <v>0</v>
      </c>
      <c r="BJ23">
        <v>0</v>
      </c>
      <c r="BK23">
        <v>0</v>
      </c>
      <c r="BL23">
        <v>0</v>
      </c>
      <c r="BM23">
        <v>6000</v>
      </c>
      <c r="BN23">
        <v>0</v>
      </c>
      <c r="BO23">
        <v>0</v>
      </c>
      <c r="BP23">
        <v>0</v>
      </c>
      <c r="BQ23">
        <v>0</v>
      </c>
      <c r="BR23">
        <v>0</v>
      </c>
      <c r="BS23">
        <v>0</v>
      </c>
      <c r="BT23">
        <v>0</v>
      </c>
      <c r="BU23">
        <v>0</v>
      </c>
      <c r="BV23">
        <v>0</v>
      </c>
      <c r="BW23">
        <v>0</v>
      </c>
      <c r="BX23">
        <v>0</v>
      </c>
      <c r="BY23">
        <v>0</v>
      </c>
      <c r="BZ23">
        <v>0</v>
      </c>
      <c r="CA23">
        <v>6000</v>
      </c>
      <c r="CB23">
        <v>0</v>
      </c>
      <c r="CC23">
        <v>0</v>
      </c>
      <c r="CD23">
        <v>0</v>
      </c>
      <c r="CE23">
        <v>0</v>
      </c>
      <c r="CF23">
        <v>0</v>
      </c>
      <c r="CG23">
        <v>0</v>
      </c>
      <c r="CH23">
        <v>0</v>
      </c>
      <c r="CI23">
        <v>0</v>
      </c>
      <c r="CJ23">
        <v>0</v>
      </c>
      <c r="CK23">
        <v>0</v>
      </c>
      <c r="CL23">
        <v>0</v>
      </c>
      <c r="CM23">
        <v>0</v>
      </c>
      <c r="CN23">
        <v>0</v>
      </c>
      <c r="CO23">
        <v>6000</v>
      </c>
      <c r="CP23">
        <v>0</v>
      </c>
      <c r="CQ23">
        <v>0</v>
      </c>
      <c r="CR23">
        <v>0</v>
      </c>
      <c r="CS23">
        <v>0</v>
      </c>
      <c r="CT23">
        <v>0</v>
      </c>
      <c r="CU23">
        <v>0</v>
      </c>
      <c r="CV23">
        <v>0</v>
      </c>
      <c r="CW23">
        <v>0</v>
      </c>
      <c r="CX23">
        <v>0</v>
      </c>
      <c r="CY23">
        <v>0</v>
      </c>
      <c r="CZ23">
        <v>0</v>
      </c>
      <c r="DA23">
        <v>0</v>
      </c>
      <c r="DB23">
        <v>0</v>
      </c>
      <c r="DC23">
        <v>6000</v>
      </c>
      <c r="DD23">
        <v>0</v>
      </c>
      <c r="DE23">
        <v>0</v>
      </c>
      <c r="DF23">
        <v>0</v>
      </c>
      <c r="DG23">
        <v>0</v>
      </c>
      <c r="DH23">
        <v>0</v>
      </c>
      <c r="DI23">
        <v>0</v>
      </c>
      <c r="DJ23">
        <v>0</v>
      </c>
      <c r="DK23">
        <v>0</v>
      </c>
      <c r="DL23">
        <v>0</v>
      </c>
      <c r="DM23">
        <v>0</v>
      </c>
      <c r="DN23">
        <v>0</v>
      </c>
      <c r="DO23">
        <v>0</v>
      </c>
      <c r="DP23">
        <v>0</v>
      </c>
      <c r="DQ23">
        <v>6000</v>
      </c>
      <c r="DR23">
        <v>0</v>
      </c>
      <c r="DS23">
        <v>0</v>
      </c>
      <c r="DT23">
        <v>0</v>
      </c>
      <c r="DU23">
        <v>0</v>
      </c>
      <c r="DV23">
        <v>0</v>
      </c>
      <c r="DW23">
        <v>0</v>
      </c>
      <c r="DX23">
        <v>0</v>
      </c>
      <c r="DY23">
        <v>0</v>
      </c>
      <c r="DZ23">
        <v>0</v>
      </c>
      <c r="EA23">
        <v>0</v>
      </c>
      <c r="EB23">
        <v>0</v>
      </c>
      <c r="EC23">
        <v>0</v>
      </c>
      <c r="ED23">
        <v>0</v>
      </c>
      <c r="EE23">
        <v>6000</v>
      </c>
      <c r="EF23">
        <v>0</v>
      </c>
      <c r="EG23">
        <v>0</v>
      </c>
      <c r="EH23">
        <v>0</v>
      </c>
      <c r="EI23">
        <v>0</v>
      </c>
      <c r="EJ23">
        <v>0</v>
      </c>
      <c r="EK23">
        <v>0</v>
      </c>
      <c r="EL23">
        <v>0</v>
      </c>
      <c r="EM23">
        <v>0</v>
      </c>
      <c r="EN23">
        <v>0</v>
      </c>
      <c r="EO23">
        <v>0</v>
      </c>
      <c r="EP23">
        <v>0</v>
      </c>
      <c r="EQ23">
        <v>0</v>
      </c>
      <c r="ER23">
        <v>0</v>
      </c>
      <c r="ES23">
        <v>6000</v>
      </c>
      <c r="ET23">
        <v>0</v>
      </c>
      <c r="EU23">
        <v>0</v>
      </c>
      <c r="EV23">
        <v>0</v>
      </c>
      <c r="EW23">
        <v>0</v>
      </c>
      <c r="EX23">
        <v>0</v>
      </c>
      <c r="EY23">
        <v>0</v>
      </c>
      <c r="EZ23">
        <v>0</v>
      </c>
      <c r="FA23">
        <v>0</v>
      </c>
      <c r="FB23">
        <v>0</v>
      </c>
      <c r="FC23">
        <v>0</v>
      </c>
      <c r="FD23">
        <v>0</v>
      </c>
      <c r="FE23">
        <v>0</v>
      </c>
      <c r="FF23">
        <v>0</v>
      </c>
      <c r="FG23">
        <v>6000</v>
      </c>
      <c r="FH23">
        <v>0</v>
      </c>
      <c r="FI23">
        <v>0</v>
      </c>
      <c r="FJ23">
        <v>0</v>
      </c>
      <c r="FK23">
        <v>0</v>
      </c>
      <c r="FL23">
        <v>0</v>
      </c>
      <c r="FM23">
        <v>0</v>
      </c>
      <c r="FN23">
        <v>0</v>
      </c>
      <c r="FO23">
        <v>0</v>
      </c>
      <c r="FP23">
        <v>0</v>
      </c>
      <c r="FQ23">
        <v>0</v>
      </c>
      <c r="FR23">
        <v>0</v>
      </c>
      <c r="FS23">
        <v>0</v>
      </c>
      <c r="FT23">
        <v>0</v>
      </c>
      <c r="FU23">
        <v>6000</v>
      </c>
      <c r="FV23">
        <v>0</v>
      </c>
      <c r="FW23">
        <v>0</v>
      </c>
      <c r="FX23">
        <v>0</v>
      </c>
      <c r="FY23">
        <v>0</v>
      </c>
      <c r="FZ23">
        <v>0</v>
      </c>
      <c r="GA23">
        <v>0</v>
      </c>
      <c r="GB23">
        <v>0</v>
      </c>
      <c r="GC23">
        <v>0</v>
      </c>
      <c r="GD23">
        <v>0</v>
      </c>
      <c r="GE23">
        <v>0</v>
      </c>
      <c r="GF23">
        <v>0</v>
      </c>
      <c r="GG23">
        <v>0</v>
      </c>
      <c r="GH23">
        <v>0</v>
      </c>
      <c r="GI23">
        <v>6000</v>
      </c>
      <c r="GJ23">
        <v>0</v>
      </c>
      <c r="GK23">
        <v>0</v>
      </c>
      <c r="GL23">
        <v>0</v>
      </c>
      <c r="GM23">
        <v>0</v>
      </c>
      <c r="GN23">
        <v>0</v>
      </c>
      <c r="GO23">
        <v>0</v>
      </c>
      <c r="GP23">
        <v>0</v>
      </c>
      <c r="GQ23">
        <v>0</v>
      </c>
      <c r="GR23">
        <v>0</v>
      </c>
      <c r="GS23">
        <v>0</v>
      </c>
      <c r="GT23">
        <v>0</v>
      </c>
      <c r="GU23">
        <v>0</v>
      </c>
      <c r="GV23">
        <v>0</v>
      </c>
      <c r="GW23">
        <v>6000</v>
      </c>
      <c r="GX23">
        <v>0</v>
      </c>
      <c r="GY23">
        <v>0</v>
      </c>
      <c r="GZ23">
        <v>0</v>
      </c>
      <c r="HA23">
        <v>0</v>
      </c>
      <c r="HB23">
        <v>0</v>
      </c>
      <c r="HC23">
        <v>0</v>
      </c>
      <c r="HD23">
        <v>0</v>
      </c>
      <c r="HE23">
        <v>0</v>
      </c>
      <c r="HF23">
        <v>0</v>
      </c>
      <c r="HG23">
        <v>0</v>
      </c>
      <c r="HH23">
        <v>0</v>
      </c>
      <c r="HI23">
        <v>0</v>
      </c>
      <c r="HJ23">
        <v>0</v>
      </c>
      <c r="HK23">
        <v>6000</v>
      </c>
      <c r="HL23">
        <v>0</v>
      </c>
      <c r="HM23">
        <v>0</v>
      </c>
      <c r="HN23">
        <v>0</v>
      </c>
      <c r="HO23">
        <v>0</v>
      </c>
      <c r="HP23">
        <v>0</v>
      </c>
      <c r="HQ23">
        <v>0</v>
      </c>
      <c r="HR23">
        <v>0</v>
      </c>
      <c r="HS23">
        <v>0</v>
      </c>
      <c r="HT23">
        <v>0</v>
      </c>
      <c r="HU23">
        <v>0</v>
      </c>
      <c r="HV23">
        <v>0</v>
      </c>
      <c r="HW23">
        <v>0</v>
      </c>
      <c r="HX23">
        <v>0</v>
      </c>
      <c r="HY23">
        <v>6000</v>
      </c>
      <c r="HZ23">
        <v>0</v>
      </c>
      <c r="IA23">
        <v>0</v>
      </c>
      <c r="IB23">
        <v>0</v>
      </c>
      <c r="IC23">
        <v>0</v>
      </c>
      <c r="ID23">
        <v>0</v>
      </c>
      <c r="IE23">
        <v>0</v>
      </c>
      <c r="IF23">
        <v>0</v>
      </c>
      <c r="IG23">
        <v>0</v>
      </c>
      <c r="IH23">
        <v>0</v>
      </c>
      <c r="II23">
        <v>0</v>
      </c>
      <c r="IJ23">
        <v>0</v>
      </c>
      <c r="IK23">
        <v>0</v>
      </c>
      <c r="IL23">
        <v>0</v>
      </c>
      <c r="IM23">
        <v>6000</v>
      </c>
      <c r="IN23">
        <v>0</v>
      </c>
      <c r="IO23">
        <v>0</v>
      </c>
      <c r="IP23">
        <v>0</v>
      </c>
      <c r="IQ23">
        <v>0</v>
      </c>
      <c r="IR23">
        <v>0</v>
      </c>
      <c r="IS23">
        <v>0</v>
      </c>
      <c r="IT23">
        <v>0</v>
      </c>
      <c r="IU23">
        <v>0</v>
      </c>
      <c r="IV23">
        <v>0</v>
      </c>
      <c r="IW23">
        <v>0</v>
      </c>
      <c r="IX23">
        <v>0</v>
      </c>
      <c r="IY23">
        <v>0</v>
      </c>
      <c r="IZ23">
        <v>0</v>
      </c>
      <c r="JA23">
        <v>6000</v>
      </c>
      <c r="JB23">
        <v>0</v>
      </c>
      <c r="JC23">
        <v>0</v>
      </c>
      <c r="JD23">
        <v>0</v>
      </c>
      <c r="JE23">
        <v>0</v>
      </c>
      <c r="JF23">
        <v>0</v>
      </c>
      <c r="JG23">
        <v>0</v>
      </c>
      <c r="JH23">
        <v>0</v>
      </c>
      <c r="JI23">
        <v>0</v>
      </c>
      <c r="JJ23">
        <v>0</v>
      </c>
      <c r="JK23">
        <v>0</v>
      </c>
      <c r="JL23">
        <v>0</v>
      </c>
      <c r="JM23">
        <v>0</v>
      </c>
      <c r="JN23">
        <v>0</v>
      </c>
      <c r="JO23">
        <v>6000</v>
      </c>
      <c r="JP23">
        <v>0</v>
      </c>
      <c r="JQ23">
        <v>0</v>
      </c>
      <c r="JR23">
        <v>0</v>
      </c>
      <c r="JS23">
        <v>0</v>
      </c>
      <c r="JT23">
        <v>0</v>
      </c>
      <c r="JU23">
        <v>0</v>
      </c>
      <c r="JV23">
        <v>0</v>
      </c>
      <c r="JW23">
        <v>0</v>
      </c>
      <c r="JX23">
        <v>0</v>
      </c>
      <c r="JY23">
        <v>0</v>
      </c>
      <c r="JZ23">
        <v>0</v>
      </c>
      <c r="KA23">
        <v>0</v>
      </c>
      <c r="KB23">
        <v>0</v>
      </c>
      <c r="KC23">
        <v>6000</v>
      </c>
      <c r="KD23">
        <v>0</v>
      </c>
      <c r="KE23">
        <v>0</v>
      </c>
      <c r="KF23">
        <v>0</v>
      </c>
      <c r="KG23">
        <v>0</v>
      </c>
      <c r="KH23">
        <v>0</v>
      </c>
      <c r="KI23">
        <v>0</v>
      </c>
      <c r="KJ23">
        <v>0</v>
      </c>
      <c r="KK23">
        <v>0</v>
      </c>
      <c r="KL23">
        <v>0</v>
      </c>
      <c r="KM23">
        <v>0</v>
      </c>
      <c r="KN23">
        <v>0</v>
      </c>
      <c r="KO23">
        <v>0</v>
      </c>
      <c r="KP23">
        <v>0</v>
      </c>
      <c r="KQ23">
        <v>6000</v>
      </c>
      <c r="KR23">
        <v>0</v>
      </c>
      <c r="KS23">
        <v>0</v>
      </c>
      <c r="KT23">
        <v>0</v>
      </c>
      <c r="KU23">
        <v>0</v>
      </c>
      <c r="KV23">
        <v>0</v>
      </c>
      <c r="KW23">
        <v>0</v>
      </c>
      <c r="KX23">
        <v>0</v>
      </c>
      <c r="KY23">
        <v>0</v>
      </c>
      <c r="KZ23">
        <v>0</v>
      </c>
      <c r="LA23">
        <v>0</v>
      </c>
      <c r="LB23">
        <v>0</v>
      </c>
      <c r="LC23">
        <v>0</v>
      </c>
      <c r="LD23">
        <v>0</v>
      </c>
      <c r="LE23">
        <v>6000</v>
      </c>
      <c r="LF23">
        <v>0</v>
      </c>
      <c r="LG23">
        <v>0</v>
      </c>
      <c r="LH23">
        <v>0</v>
      </c>
      <c r="LI23">
        <v>0</v>
      </c>
      <c r="LJ23">
        <v>0</v>
      </c>
      <c r="LK23">
        <v>0</v>
      </c>
      <c r="LL23">
        <v>0</v>
      </c>
      <c r="LM23">
        <v>0</v>
      </c>
      <c r="LN23">
        <v>0</v>
      </c>
      <c r="LO23">
        <v>0</v>
      </c>
      <c r="LP23">
        <v>0</v>
      </c>
      <c r="LQ23">
        <v>0</v>
      </c>
      <c r="LR23">
        <v>0</v>
      </c>
      <c r="LS23">
        <v>6000</v>
      </c>
      <c r="LT23">
        <v>0</v>
      </c>
      <c r="LU23">
        <v>0</v>
      </c>
      <c r="LV23">
        <v>0</v>
      </c>
      <c r="LW23">
        <v>0</v>
      </c>
      <c r="LX23">
        <v>0</v>
      </c>
      <c r="LY23">
        <v>0</v>
      </c>
      <c r="LZ23">
        <v>0</v>
      </c>
      <c r="MA23">
        <v>0</v>
      </c>
      <c r="MB23">
        <v>0</v>
      </c>
      <c r="MC23">
        <v>0</v>
      </c>
      <c r="MD23">
        <v>0</v>
      </c>
      <c r="ME23">
        <v>0</v>
      </c>
      <c r="MF23">
        <v>0</v>
      </c>
      <c r="MG23">
        <v>6000</v>
      </c>
      <c r="MH23">
        <v>0</v>
      </c>
      <c r="MI23">
        <v>0</v>
      </c>
      <c r="MJ23">
        <v>0</v>
      </c>
      <c r="MK23">
        <v>0</v>
      </c>
      <c r="ML23">
        <v>0</v>
      </c>
      <c r="MM23">
        <v>0</v>
      </c>
      <c r="MN23">
        <v>0</v>
      </c>
      <c r="MO23">
        <v>0</v>
      </c>
      <c r="MP23">
        <v>0</v>
      </c>
      <c r="MQ23">
        <v>0</v>
      </c>
      <c r="MR23">
        <v>0</v>
      </c>
      <c r="MS23">
        <v>0</v>
      </c>
      <c r="MT23">
        <v>0</v>
      </c>
      <c r="MU23">
        <v>6000</v>
      </c>
      <c r="MV23">
        <v>0</v>
      </c>
      <c r="MW23">
        <v>0</v>
      </c>
      <c r="MX23">
        <v>0</v>
      </c>
      <c r="MY23">
        <v>0</v>
      </c>
      <c r="MZ23">
        <v>0</v>
      </c>
      <c r="NA23">
        <v>0</v>
      </c>
      <c r="NB23">
        <v>0</v>
      </c>
      <c r="NC23">
        <v>0</v>
      </c>
      <c r="ND23">
        <v>0</v>
      </c>
      <c r="NE23">
        <v>0</v>
      </c>
      <c r="NF23">
        <v>0</v>
      </c>
      <c r="NG23">
        <v>0</v>
      </c>
      <c r="NH23">
        <v>0</v>
      </c>
      <c r="NI23">
        <v>6000</v>
      </c>
    </row>
    <row r="24" spans="1:373" x14ac:dyDescent="0.25">
      <c r="A24" t="s">
        <v>104</v>
      </c>
      <c r="B24" s="100">
        <v>-4500</v>
      </c>
      <c r="C24" s="101" t="s">
        <v>20</v>
      </c>
      <c r="D24" s="102">
        <v>46208</v>
      </c>
      <c r="E24" s="102">
        <v>48760</v>
      </c>
      <c r="G24" t="s">
        <v>104</v>
      </c>
      <c r="H24">
        <v>-54000</v>
      </c>
      <c r="I24">
        <v>0</v>
      </c>
      <c r="J24">
        <v>0</v>
      </c>
      <c r="K24">
        <v>0</v>
      </c>
      <c r="L24">
        <v>0</v>
      </c>
      <c r="M24">
        <v>-4500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-4500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-4500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-4500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-4500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-4500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-4500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-4500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-4500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-4500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-4500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-4500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row>
    <row r="25" spans="1:373" x14ac:dyDescent="0.25">
      <c r="A25" t="s">
        <v>105</v>
      </c>
      <c r="B25" s="100">
        <v>-2000</v>
      </c>
      <c r="C25" s="101" t="s">
        <v>106</v>
      </c>
      <c r="D25" s="102">
        <v>46204</v>
      </c>
      <c r="E25" s="102"/>
      <c r="G25" t="s">
        <v>105</v>
      </c>
      <c r="H25">
        <v>-4000</v>
      </c>
      <c r="I25">
        <v>-2000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-2000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row>
    <row r="26" spans="1:373" x14ac:dyDescent="0.25">
      <c r="A26" t="s">
        <v>110</v>
      </c>
      <c r="B26" s="100">
        <v>-500</v>
      </c>
      <c r="C26" s="101" t="s">
        <v>109</v>
      </c>
      <c r="D26" s="102">
        <v>46213</v>
      </c>
      <c r="E26" s="102"/>
      <c r="G26" t="s">
        <v>110</v>
      </c>
      <c r="H26">
        <v>-2000</v>
      </c>
      <c r="I26">
        <v>0</v>
      </c>
      <c r="J26">
        <v>0</v>
      </c>
      <c r="K26">
        <v>0</v>
      </c>
      <c r="L26">
        <v>0</v>
      </c>
      <c r="M26">
        <v>0</v>
      </c>
      <c r="N26">
        <v>0</v>
      </c>
      <c r="O26">
        <v>0</v>
      </c>
      <c r="P26">
        <v>0</v>
      </c>
      <c r="Q26">
        <v>0</v>
      </c>
      <c r="R26">
        <v>-500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-500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-500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-500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row>
    <row r="27" spans="1:373" x14ac:dyDescent="0.25">
      <c r="A27" t="s">
        <v>108</v>
      </c>
      <c r="B27" s="100">
        <v>-75</v>
      </c>
      <c r="C27" s="101" t="s">
        <v>107</v>
      </c>
      <c r="D27" s="102">
        <v>46206</v>
      </c>
      <c r="E27" s="102"/>
      <c r="G27" t="s">
        <v>108</v>
      </c>
      <c r="H27">
        <v>-3900</v>
      </c>
      <c r="I27">
        <v>0</v>
      </c>
      <c r="J27">
        <v>0</v>
      </c>
      <c r="K27">
        <v>-75</v>
      </c>
      <c r="L27">
        <v>0</v>
      </c>
      <c r="M27">
        <v>0</v>
      </c>
      <c r="N27">
        <v>0</v>
      </c>
      <c r="O27">
        <v>0</v>
      </c>
      <c r="P27">
        <v>0</v>
      </c>
      <c r="Q27">
        <v>0</v>
      </c>
      <c r="R27">
        <v>-75</v>
      </c>
      <c r="S27">
        <v>0</v>
      </c>
      <c r="T27">
        <v>0</v>
      </c>
      <c r="U27">
        <v>0</v>
      </c>
      <c r="V27">
        <v>0</v>
      </c>
      <c r="W27">
        <v>0</v>
      </c>
      <c r="X27">
        <v>0</v>
      </c>
      <c r="Y27">
        <v>-75</v>
      </c>
      <c r="Z27">
        <v>0</v>
      </c>
      <c r="AA27">
        <v>0</v>
      </c>
      <c r="AB27">
        <v>0</v>
      </c>
      <c r="AC27">
        <v>0</v>
      </c>
      <c r="AD27">
        <v>0</v>
      </c>
      <c r="AE27">
        <v>0</v>
      </c>
      <c r="AF27">
        <v>-75</v>
      </c>
      <c r="AG27">
        <v>0</v>
      </c>
      <c r="AH27">
        <v>0</v>
      </c>
      <c r="AI27">
        <v>0</v>
      </c>
      <c r="AJ27">
        <v>0</v>
      </c>
      <c r="AK27">
        <v>0</v>
      </c>
      <c r="AL27">
        <v>0</v>
      </c>
      <c r="AM27">
        <v>-75</v>
      </c>
      <c r="AN27">
        <v>0</v>
      </c>
      <c r="AO27">
        <v>0</v>
      </c>
      <c r="AP27">
        <v>0</v>
      </c>
      <c r="AQ27">
        <v>0</v>
      </c>
      <c r="AR27">
        <v>0</v>
      </c>
      <c r="AS27">
        <v>0</v>
      </c>
      <c r="AT27">
        <v>-75</v>
      </c>
      <c r="AU27">
        <v>0</v>
      </c>
      <c r="AV27">
        <v>0</v>
      </c>
      <c r="AW27">
        <v>0</v>
      </c>
      <c r="AX27">
        <v>0</v>
      </c>
      <c r="AY27">
        <v>0</v>
      </c>
      <c r="AZ27">
        <v>0</v>
      </c>
      <c r="BA27">
        <v>-75</v>
      </c>
      <c r="BB27">
        <v>0</v>
      </c>
      <c r="BC27">
        <v>0</v>
      </c>
      <c r="BD27">
        <v>0</v>
      </c>
      <c r="BE27">
        <v>0</v>
      </c>
      <c r="BF27">
        <v>0</v>
      </c>
      <c r="BG27">
        <v>0</v>
      </c>
      <c r="BH27">
        <v>-75</v>
      </c>
      <c r="BI27">
        <v>0</v>
      </c>
      <c r="BJ27">
        <v>0</v>
      </c>
      <c r="BK27">
        <v>0</v>
      </c>
      <c r="BL27">
        <v>0</v>
      </c>
      <c r="BM27">
        <v>0</v>
      </c>
      <c r="BN27">
        <v>0</v>
      </c>
      <c r="BO27">
        <v>-75</v>
      </c>
      <c r="BP27">
        <v>0</v>
      </c>
      <c r="BQ27">
        <v>0</v>
      </c>
      <c r="BR27">
        <v>0</v>
      </c>
      <c r="BS27">
        <v>0</v>
      </c>
      <c r="BT27">
        <v>0</v>
      </c>
      <c r="BU27">
        <v>0</v>
      </c>
      <c r="BV27">
        <v>-75</v>
      </c>
      <c r="BW27">
        <v>0</v>
      </c>
      <c r="BX27">
        <v>0</v>
      </c>
      <c r="BY27">
        <v>0</v>
      </c>
      <c r="BZ27">
        <v>0</v>
      </c>
      <c r="CA27">
        <v>0</v>
      </c>
      <c r="CB27">
        <v>0</v>
      </c>
      <c r="CC27">
        <v>-75</v>
      </c>
      <c r="CD27">
        <v>0</v>
      </c>
      <c r="CE27">
        <v>0</v>
      </c>
      <c r="CF27">
        <v>0</v>
      </c>
      <c r="CG27">
        <v>0</v>
      </c>
      <c r="CH27">
        <v>0</v>
      </c>
      <c r="CI27">
        <v>0</v>
      </c>
      <c r="CJ27">
        <v>-75</v>
      </c>
      <c r="CK27">
        <v>0</v>
      </c>
      <c r="CL27">
        <v>0</v>
      </c>
      <c r="CM27">
        <v>0</v>
      </c>
      <c r="CN27">
        <v>0</v>
      </c>
      <c r="CO27">
        <v>0</v>
      </c>
      <c r="CP27">
        <v>0</v>
      </c>
      <c r="CQ27">
        <v>-75</v>
      </c>
      <c r="CR27">
        <v>0</v>
      </c>
      <c r="CS27">
        <v>0</v>
      </c>
      <c r="CT27">
        <v>0</v>
      </c>
      <c r="CU27">
        <v>0</v>
      </c>
      <c r="CV27">
        <v>0</v>
      </c>
      <c r="CW27">
        <v>0</v>
      </c>
      <c r="CX27">
        <v>-75</v>
      </c>
      <c r="CY27">
        <v>0</v>
      </c>
      <c r="CZ27">
        <v>0</v>
      </c>
      <c r="DA27">
        <v>0</v>
      </c>
      <c r="DB27">
        <v>0</v>
      </c>
      <c r="DC27">
        <v>0</v>
      </c>
      <c r="DD27">
        <v>0</v>
      </c>
      <c r="DE27">
        <v>-75</v>
      </c>
      <c r="DF27">
        <v>0</v>
      </c>
      <c r="DG27">
        <v>0</v>
      </c>
      <c r="DH27">
        <v>0</v>
      </c>
      <c r="DI27">
        <v>0</v>
      </c>
      <c r="DJ27">
        <v>0</v>
      </c>
      <c r="DK27">
        <v>0</v>
      </c>
      <c r="DL27">
        <v>-75</v>
      </c>
      <c r="DM27">
        <v>0</v>
      </c>
      <c r="DN27">
        <v>0</v>
      </c>
      <c r="DO27">
        <v>0</v>
      </c>
      <c r="DP27">
        <v>0</v>
      </c>
      <c r="DQ27">
        <v>0</v>
      </c>
      <c r="DR27">
        <v>0</v>
      </c>
      <c r="DS27">
        <v>-75</v>
      </c>
      <c r="DT27">
        <v>0</v>
      </c>
      <c r="DU27">
        <v>0</v>
      </c>
      <c r="DV27">
        <v>0</v>
      </c>
      <c r="DW27">
        <v>0</v>
      </c>
      <c r="DX27">
        <v>0</v>
      </c>
      <c r="DY27">
        <v>0</v>
      </c>
      <c r="DZ27">
        <v>-75</v>
      </c>
      <c r="EA27">
        <v>0</v>
      </c>
      <c r="EB27">
        <v>0</v>
      </c>
      <c r="EC27">
        <v>0</v>
      </c>
      <c r="ED27">
        <v>0</v>
      </c>
      <c r="EE27">
        <v>0</v>
      </c>
      <c r="EF27">
        <v>0</v>
      </c>
      <c r="EG27">
        <v>-75</v>
      </c>
      <c r="EH27">
        <v>0</v>
      </c>
      <c r="EI27">
        <v>0</v>
      </c>
      <c r="EJ27">
        <v>0</v>
      </c>
      <c r="EK27">
        <v>0</v>
      </c>
      <c r="EL27">
        <v>0</v>
      </c>
      <c r="EM27">
        <v>0</v>
      </c>
      <c r="EN27">
        <v>-75</v>
      </c>
      <c r="EO27">
        <v>0</v>
      </c>
      <c r="EP27">
        <v>0</v>
      </c>
      <c r="EQ27">
        <v>0</v>
      </c>
      <c r="ER27">
        <v>0</v>
      </c>
      <c r="ES27">
        <v>0</v>
      </c>
      <c r="ET27">
        <v>0</v>
      </c>
      <c r="EU27">
        <v>-75</v>
      </c>
      <c r="EV27">
        <v>0</v>
      </c>
      <c r="EW27">
        <v>0</v>
      </c>
      <c r="EX27">
        <v>0</v>
      </c>
      <c r="EY27">
        <v>0</v>
      </c>
      <c r="EZ27">
        <v>0</v>
      </c>
      <c r="FA27">
        <v>0</v>
      </c>
      <c r="FB27">
        <v>-75</v>
      </c>
      <c r="FC27">
        <v>0</v>
      </c>
      <c r="FD27">
        <v>0</v>
      </c>
      <c r="FE27">
        <v>0</v>
      </c>
      <c r="FF27">
        <v>0</v>
      </c>
      <c r="FG27">
        <v>0</v>
      </c>
      <c r="FH27">
        <v>0</v>
      </c>
      <c r="FI27">
        <v>-75</v>
      </c>
      <c r="FJ27">
        <v>0</v>
      </c>
      <c r="FK27">
        <v>0</v>
      </c>
      <c r="FL27">
        <v>0</v>
      </c>
      <c r="FM27">
        <v>0</v>
      </c>
      <c r="FN27">
        <v>0</v>
      </c>
      <c r="FO27">
        <v>0</v>
      </c>
      <c r="FP27">
        <v>-75</v>
      </c>
      <c r="FQ27">
        <v>0</v>
      </c>
      <c r="FR27">
        <v>0</v>
      </c>
      <c r="FS27">
        <v>0</v>
      </c>
      <c r="FT27">
        <v>0</v>
      </c>
      <c r="FU27">
        <v>0</v>
      </c>
      <c r="FV27">
        <v>0</v>
      </c>
      <c r="FW27">
        <v>-75</v>
      </c>
      <c r="FX27">
        <v>0</v>
      </c>
      <c r="FY27">
        <v>0</v>
      </c>
      <c r="FZ27">
        <v>0</v>
      </c>
      <c r="GA27">
        <v>0</v>
      </c>
      <c r="GB27">
        <v>0</v>
      </c>
      <c r="GC27">
        <v>0</v>
      </c>
      <c r="GD27">
        <v>-75</v>
      </c>
      <c r="GE27">
        <v>0</v>
      </c>
      <c r="GF27">
        <v>0</v>
      </c>
      <c r="GG27">
        <v>0</v>
      </c>
      <c r="GH27">
        <v>0</v>
      </c>
      <c r="GI27">
        <v>0</v>
      </c>
      <c r="GJ27">
        <v>0</v>
      </c>
      <c r="GK27">
        <v>-75</v>
      </c>
      <c r="GL27">
        <v>0</v>
      </c>
      <c r="GM27">
        <v>0</v>
      </c>
      <c r="GN27">
        <v>0</v>
      </c>
      <c r="GO27">
        <v>0</v>
      </c>
      <c r="GP27">
        <v>0</v>
      </c>
      <c r="GQ27">
        <v>0</v>
      </c>
      <c r="GR27">
        <v>-75</v>
      </c>
      <c r="GS27">
        <v>0</v>
      </c>
      <c r="GT27">
        <v>0</v>
      </c>
      <c r="GU27">
        <v>0</v>
      </c>
      <c r="GV27">
        <v>0</v>
      </c>
      <c r="GW27">
        <v>0</v>
      </c>
      <c r="GX27">
        <v>0</v>
      </c>
      <c r="GY27">
        <v>-75</v>
      </c>
      <c r="GZ27">
        <v>0</v>
      </c>
      <c r="HA27">
        <v>0</v>
      </c>
      <c r="HB27">
        <v>0</v>
      </c>
      <c r="HC27">
        <v>0</v>
      </c>
      <c r="HD27">
        <v>0</v>
      </c>
      <c r="HE27">
        <v>0</v>
      </c>
      <c r="HF27">
        <v>-75</v>
      </c>
      <c r="HG27">
        <v>0</v>
      </c>
      <c r="HH27">
        <v>0</v>
      </c>
      <c r="HI27">
        <v>0</v>
      </c>
      <c r="HJ27">
        <v>0</v>
      </c>
      <c r="HK27">
        <v>0</v>
      </c>
      <c r="HL27">
        <v>0</v>
      </c>
      <c r="HM27">
        <v>-75</v>
      </c>
      <c r="HN27">
        <v>0</v>
      </c>
      <c r="HO27">
        <v>0</v>
      </c>
      <c r="HP27">
        <v>0</v>
      </c>
      <c r="HQ27">
        <v>0</v>
      </c>
      <c r="HR27">
        <v>0</v>
      </c>
      <c r="HS27">
        <v>0</v>
      </c>
      <c r="HT27">
        <v>-75</v>
      </c>
      <c r="HU27">
        <v>0</v>
      </c>
      <c r="HV27">
        <v>0</v>
      </c>
      <c r="HW27">
        <v>0</v>
      </c>
      <c r="HX27">
        <v>0</v>
      </c>
      <c r="HY27">
        <v>0</v>
      </c>
      <c r="HZ27">
        <v>0</v>
      </c>
      <c r="IA27">
        <v>-75</v>
      </c>
      <c r="IB27">
        <v>0</v>
      </c>
      <c r="IC27">
        <v>0</v>
      </c>
      <c r="ID27">
        <v>0</v>
      </c>
      <c r="IE27">
        <v>0</v>
      </c>
      <c r="IF27">
        <v>0</v>
      </c>
      <c r="IG27">
        <v>0</v>
      </c>
      <c r="IH27">
        <v>-75</v>
      </c>
      <c r="II27">
        <v>0</v>
      </c>
      <c r="IJ27">
        <v>0</v>
      </c>
      <c r="IK27">
        <v>0</v>
      </c>
      <c r="IL27">
        <v>0</v>
      </c>
      <c r="IM27">
        <v>0</v>
      </c>
      <c r="IN27">
        <v>0</v>
      </c>
      <c r="IO27">
        <v>-75</v>
      </c>
      <c r="IP27">
        <v>0</v>
      </c>
      <c r="IQ27">
        <v>0</v>
      </c>
      <c r="IR27">
        <v>0</v>
      </c>
      <c r="IS27">
        <v>0</v>
      </c>
      <c r="IT27">
        <v>0</v>
      </c>
      <c r="IU27">
        <v>0</v>
      </c>
      <c r="IV27">
        <v>-75</v>
      </c>
      <c r="IW27">
        <v>0</v>
      </c>
      <c r="IX27">
        <v>0</v>
      </c>
      <c r="IY27">
        <v>0</v>
      </c>
      <c r="IZ27">
        <v>0</v>
      </c>
      <c r="JA27">
        <v>0</v>
      </c>
      <c r="JB27">
        <v>0</v>
      </c>
      <c r="JC27">
        <v>-75</v>
      </c>
      <c r="JD27">
        <v>0</v>
      </c>
      <c r="JE27">
        <v>0</v>
      </c>
      <c r="JF27">
        <v>0</v>
      </c>
      <c r="JG27">
        <v>0</v>
      </c>
      <c r="JH27">
        <v>0</v>
      </c>
      <c r="JI27">
        <v>0</v>
      </c>
      <c r="JJ27">
        <v>-75</v>
      </c>
      <c r="JK27">
        <v>0</v>
      </c>
      <c r="JL27">
        <v>0</v>
      </c>
      <c r="JM27">
        <v>0</v>
      </c>
      <c r="JN27">
        <v>0</v>
      </c>
      <c r="JO27">
        <v>0</v>
      </c>
      <c r="JP27">
        <v>0</v>
      </c>
      <c r="JQ27">
        <v>-75</v>
      </c>
      <c r="JR27">
        <v>0</v>
      </c>
      <c r="JS27">
        <v>0</v>
      </c>
      <c r="JT27">
        <v>0</v>
      </c>
      <c r="JU27">
        <v>0</v>
      </c>
      <c r="JV27">
        <v>0</v>
      </c>
      <c r="JW27">
        <v>0</v>
      </c>
      <c r="JX27">
        <v>-75</v>
      </c>
      <c r="JY27">
        <v>0</v>
      </c>
      <c r="JZ27">
        <v>0</v>
      </c>
      <c r="KA27">
        <v>0</v>
      </c>
      <c r="KB27">
        <v>0</v>
      </c>
      <c r="KC27">
        <v>0</v>
      </c>
      <c r="KD27">
        <v>0</v>
      </c>
      <c r="KE27">
        <v>-75</v>
      </c>
      <c r="KF27">
        <v>0</v>
      </c>
      <c r="KG27">
        <v>0</v>
      </c>
      <c r="KH27">
        <v>0</v>
      </c>
      <c r="KI27">
        <v>0</v>
      </c>
      <c r="KJ27">
        <v>0</v>
      </c>
      <c r="KK27">
        <v>0</v>
      </c>
      <c r="KL27">
        <v>-75</v>
      </c>
      <c r="KM27">
        <v>0</v>
      </c>
      <c r="KN27">
        <v>0</v>
      </c>
      <c r="KO27">
        <v>0</v>
      </c>
      <c r="KP27">
        <v>0</v>
      </c>
      <c r="KQ27">
        <v>0</v>
      </c>
      <c r="KR27">
        <v>0</v>
      </c>
      <c r="KS27">
        <v>-75</v>
      </c>
      <c r="KT27">
        <v>0</v>
      </c>
      <c r="KU27">
        <v>0</v>
      </c>
      <c r="KV27">
        <v>0</v>
      </c>
      <c r="KW27">
        <v>0</v>
      </c>
      <c r="KX27">
        <v>0</v>
      </c>
      <c r="KY27">
        <v>0</v>
      </c>
      <c r="KZ27">
        <v>-75</v>
      </c>
      <c r="LA27">
        <v>0</v>
      </c>
      <c r="LB27">
        <v>0</v>
      </c>
      <c r="LC27">
        <v>0</v>
      </c>
      <c r="LD27">
        <v>0</v>
      </c>
      <c r="LE27">
        <v>0</v>
      </c>
      <c r="LF27">
        <v>0</v>
      </c>
      <c r="LG27">
        <v>-75</v>
      </c>
      <c r="LH27">
        <v>0</v>
      </c>
      <c r="LI27">
        <v>0</v>
      </c>
      <c r="LJ27">
        <v>0</v>
      </c>
      <c r="LK27">
        <v>0</v>
      </c>
      <c r="LL27">
        <v>0</v>
      </c>
      <c r="LM27">
        <v>0</v>
      </c>
      <c r="LN27">
        <v>-75</v>
      </c>
      <c r="LO27">
        <v>0</v>
      </c>
      <c r="LP27">
        <v>0</v>
      </c>
      <c r="LQ27">
        <v>0</v>
      </c>
      <c r="LR27">
        <v>0</v>
      </c>
      <c r="LS27">
        <v>0</v>
      </c>
      <c r="LT27">
        <v>0</v>
      </c>
      <c r="LU27">
        <v>-75</v>
      </c>
      <c r="LV27">
        <v>0</v>
      </c>
      <c r="LW27">
        <v>0</v>
      </c>
      <c r="LX27">
        <v>0</v>
      </c>
      <c r="LY27">
        <v>0</v>
      </c>
      <c r="LZ27">
        <v>0</v>
      </c>
      <c r="MA27">
        <v>0</v>
      </c>
      <c r="MB27">
        <v>-75</v>
      </c>
      <c r="MC27">
        <v>0</v>
      </c>
      <c r="MD27">
        <v>0</v>
      </c>
      <c r="ME27">
        <v>0</v>
      </c>
      <c r="MF27">
        <v>0</v>
      </c>
      <c r="MG27">
        <v>0</v>
      </c>
      <c r="MH27">
        <v>0</v>
      </c>
      <c r="MI27">
        <v>-75</v>
      </c>
      <c r="MJ27">
        <v>0</v>
      </c>
      <c r="MK27">
        <v>0</v>
      </c>
      <c r="ML27">
        <v>0</v>
      </c>
      <c r="MM27">
        <v>0</v>
      </c>
      <c r="MN27">
        <v>0</v>
      </c>
      <c r="MO27">
        <v>0</v>
      </c>
      <c r="MP27">
        <v>-75</v>
      </c>
      <c r="MQ27">
        <v>0</v>
      </c>
      <c r="MR27">
        <v>0</v>
      </c>
      <c r="MS27">
        <v>0</v>
      </c>
      <c r="MT27">
        <v>0</v>
      </c>
      <c r="MU27">
        <v>0</v>
      </c>
      <c r="MV27">
        <v>0</v>
      </c>
      <c r="MW27">
        <v>-75</v>
      </c>
      <c r="MX27">
        <v>0</v>
      </c>
      <c r="MY27">
        <v>0</v>
      </c>
      <c r="MZ27">
        <v>0</v>
      </c>
      <c r="NA27">
        <v>0</v>
      </c>
      <c r="NB27">
        <v>0</v>
      </c>
      <c r="NC27">
        <v>0</v>
      </c>
      <c r="ND27">
        <v>-75</v>
      </c>
      <c r="NE27">
        <v>0</v>
      </c>
      <c r="NF27">
        <v>0</v>
      </c>
      <c r="NG27">
        <v>0</v>
      </c>
      <c r="NH27">
        <v>0</v>
      </c>
      <c r="NI27">
        <v>0</v>
      </c>
    </row>
    <row r="28" spans="1:373" x14ac:dyDescent="0.25">
      <c r="A28" t="s">
        <v>111</v>
      </c>
      <c r="B28" s="100">
        <v>-19</v>
      </c>
      <c r="C28" s="101" t="s">
        <v>102</v>
      </c>
      <c r="D28" s="102">
        <v>46204</v>
      </c>
      <c r="E28" s="102"/>
      <c r="G28" t="s">
        <v>111</v>
      </c>
      <c r="H28">
        <v>-4959</v>
      </c>
      <c r="I28">
        <v>-19</v>
      </c>
      <c r="J28">
        <v>-19</v>
      </c>
      <c r="K28">
        <v>-19</v>
      </c>
      <c r="L28">
        <v>0</v>
      </c>
      <c r="M28">
        <v>0</v>
      </c>
      <c r="N28">
        <v>-19</v>
      </c>
      <c r="O28">
        <v>-19</v>
      </c>
      <c r="P28">
        <v>-19</v>
      </c>
      <c r="Q28">
        <v>-19</v>
      </c>
      <c r="R28">
        <v>-19</v>
      </c>
      <c r="S28">
        <v>0</v>
      </c>
      <c r="T28">
        <v>0</v>
      </c>
      <c r="U28">
        <v>-19</v>
      </c>
      <c r="V28">
        <v>-19</v>
      </c>
      <c r="W28">
        <v>-19</v>
      </c>
      <c r="X28">
        <v>-19</v>
      </c>
      <c r="Y28">
        <v>-19</v>
      </c>
      <c r="Z28">
        <v>0</v>
      </c>
      <c r="AA28">
        <v>0</v>
      </c>
      <c r="AB28">
        <v>-19</v>
      </c>
      <c r="AC28">
        <v>-19</v>
      </c>
      <c r="AD28">
        <v>-19</v>
      </c>
      <c r="AE28">
        <v>-19</v>
      </c>
      <c r="AF28">
        <v>-19</v>
      </c>
      <c r="AG28">
        <v>0</v>
      </c>
      <c r="AH28">
        <v>0</v>
      </c>
      <c r="AI28">
        <v>-19</v>
      </c>
      <c r="AJ28">
        <v>-19</v>
      </c>
      <c r="AK28">
        <v>-19</v>
      </c>
      <c r="AL28">
        <v>-19</v>
      </c>
      <c r="AM28">
        <v>-19</v>
      </c>
      <c r="AN28">
        <v>0</v>
      </c>
      <c r="AO28">
        <v>0</v>
      </c>
      <c r="AP28">
        <v>-19</v>
      </c>
      <c r="AQ28">
        <v>-19</v>
      </c>
      <c r="AR28">
        <v>-19</v>
      </c>
      <c r="AS28">
        <v>-19</v>
      </c>
      <c r="AT28">
        <v>-19</v>
      </c>
      <c r="AU28">
        <v>0</v>
      </c>
      <c r="AV28">
        <v>0</v>
      </c>
      <c r="AW28">
        <v>-19</v>
      </c>
      <c r="AX28">
        <v>-19</v>
      </c>
      <c r="AY28">
        <v>-19</v>
      </c>
      <c r="AZ28">
        <v>-19</v>
      </c>
      <c r="BA28">
        <v>-19</v>
      </c>
      <c r="BB28">
        <v>0</v>
      </c>
      <c r="BC28">
        <v>0</v>
      </c>
      <c r="BD28">
        <v>-19</v>
      </c>
      <c r="BE28">
        <v>-19</v>
      </c>
      <c r="BF28">
        <v>-19</v>
      </c>
      <c r="BG28">
        <v>-19</v>
      </c>
      <c r="BH28">
        <v>-19</v>
      </c>
      <c r="BI28">
        <v>0</v>
      </c>
      <c r="BJ28">
        <v>0</v>
      </c>
      <c r="BK28">
        <v>-19</v>
      </c>
      <c r="BL28">
        <v>-19</v>
      </c>
      <c r="BM28">
        <v>-19</v>
      </c>
      <c r="BN28">
        <v>-19</v>
      </c>
      <c r="BO28">
        <v>-19</v>
      </c>
      <c r="BP28">
        <v>0</v>
      </c>
      <c r="BQ28">
        <v>0</v>
      </c>
      <c r="BR28">
        <v>-19</v>
      </c>
      <c r="BS28">
        <v>-19</v>
      </c>
      <c r="BT28">
        <v>-19</v>
      </c>
      <c r="BU28">
        <v>-19</v>
      </c>
      <c r="BV28">
        <v>-19</v>
      </c>
      <c r="BW28">
        <v>0</v>
      </c>
      <c r="BX28">
        <v>0</v>
      </c>
      <c r="BY28">
        <v>-19</v>
      </c>
      <c r="BZ28">
        <v>-19</v>
      </c>
      <c r="CA28">
        <v>-19</v>
      </c>
      <c r="CB28">
        <v>-19</v>
      </c>
      <c r="CC28">
        <v>-19</v>
      </c>
      <c r="CD28">
        <v>0</v>
      </c>
      <c r="CE28">
        <v>0</v>
      </c>
      <c r="CF28">
        <v>-19</v>
      </c>
      <c r="CG28">
        <v>-19</v>
      </c>
      <c r="CH28">
        <v>-19</v>
      </c>
      <c r="CI28">
        <v>-19</v>
      </c>
      <c r="CJ28">
        <v>-19</v>
      </c>
      <c r="CK28">
        <v>0</v>
      </c>
      <c r="CL28">
        <v>0</v>
      </c>
      <c r="CM28">
        <v>-19</v>
      </c>
      <c r="CN28">
        <v>-19</v>
      </c>
      <c r="CO28">
        <v>-19</v>
      </c>
      <c r="CP28">
        <v>-19</v>
      </c>
      <c r="CQ28">
        <v>-19</v>
      </c>
      <c r="CR28">
        <v>0</v>
      </c>
      <c r="CS28">
        <v>0</v>
      </c>
      <c r="CT28">
        <v>-19</v>
      </c>
      <c r="CU28">
        <v>-19</v>
      </c>
      <c r="CV28">
        <v>-19</v>
      </c>
      <c r="CW28">
        <v>-19</v>
      </c>
      <c r="CX28">
        <v>-19</v>
      </c>
      <c r="CY28">
        <v>0</v>
      </c>
      <c r="CZ28">
        <v>0</v>
      </c>
      <c r="DA28">
        <v>-19</v>
      </c>
      <c r="DB28">
        <v>-19</v>
      </c>
      <c r="DC28">
        <v>-19</v>
      </c>
      <c r="DD28">
        <v>-19</v>
      </c>
      <c r="DE28">
        <v>-19</v>
      </c>
      <c r="DF28">
        <v>0</v>
      </c>
      <c r="DG28">
        <v>0</v>
      </c>
      <c r="DH28">
        <v>-19</v>
      </c>
      <c r="DI28">
        <v>-19</v>
      </c>
      <c r="DJ28">
        <v>-19</v>
      </c>
      <c r="DK28">
        <v>-19</v>
      </c>
      <c r="DL28">
        <v>-19</v>
      </c>
      <c r="DM28">
        <v>0</v>
      </c>
      <c r="DN28">
        <v>0</v>
      </c>
      <c r="DO28">
        <v>-19</v>
      </c>
      <c r="DP28">
        <v>-19</v>
      </c>
      <c r="DQ28">
        <v>-19</v>
      </c>
      <c r="DR28">
        <v>-19</v>
      </c>
      <c r="DS28">
        <v>-19</v>
      </c>
      <c r="DT28">
        <v>0</v>
      </c>
      <c r="DU28">
        <v>0</v>
      </c>
      <c r="DV28">
        <v>-19</v>
      </c>
      <c r="DW28">
        <v>-19</v>
      </c>
      <c r="DX28">
        <v>-19</v>
      </c>
      <c r="DY28">
        <v>-19</v>
      </c>
      <c r="DZ28">
        <v>-19</v>
      </c>
      <c r="EA28">
        <v>0</v>
      </c>
      <c r="EB28">
        <v>0</v>
      </c>
      <c r="EC28">
        <v>-19</v>
      </c>
      <c r="ED28">
        <v>-19</v>
      </c>
      <c r="EE28">
        <v>-19</v>
      </c>
      <c r="EF28">
        <v>-19</v>
      </c>
      <c r="EG28">
        <v>-19</v>
      </c>
      <c r="EH28">
        <v>0</v>
      </c>
      <c r="EI28">
        <v>0</v>
      </c>
      <c r="EJ28">
        <v>-19</v>
      </c>
      <c r="EK28">
        <v>-19</v>
      </c>
      <c r="EL28">
        <v>-19</v>
      </c>
      <c r="EM28">
        <v>-19</v>
      </c>
      <c r="EN28">
        <v>-19</v>
      </c>
      <c r="EO28">
        <v>0</v>
      </c>
      <c r="EP28">
        <v>0</v>
      </c>
      <c r="EQ28">
        <v>-19</v>
      </c>
      <c r="ER28">
        <v>-19</v>
      </c>
      <c r="ES28">
        <v>-19</v>
      </c>
      <c r="ET28">
        <v>-19</v>
      </c>
      <c r="EU28">
        <v>-19</v>
      </c>
      <c r="EV28">
        <v>0</v>
      </c>
      <c r="EW28">
        <v>0</v>
      </c>
      <c r="EX28">
        <v>-19</v>
      </c>
      <c r="EY28">
        <v>-19</v>
      </c>
      <c r="EZ28">
        <v>-19</v>
      </c>
      <c r="FA28">
        <v>-19</v>
      </c>
      <c r="FB28">
        <v>-19</v>
      </c>
      <c r="FC28">
        <v>0</v>
      </c>
      <c r="FD28">
        <v>0</v>
      </c>
      <c r="FE28">
        <v>-19</v>
      </c>
      <c r="FF28">
        <v>-19</v>
      </c>
      <c r="FG28">
        <v>-19</v>
      </c>
      <c r="FH28">
        <v>-19</v>
      </c>
      <c r="FI28">
        <v>-19</v>
      </c>
      <c r="FJ28">
        <v>0</v>
      </c>
      <c r="FK28">
        <v>0</v>
      </c>
      <c r="FL28">
        <v>-19</v>
      </c>
      <c r="FM28">
        <v>-19</v>
      </c>
      <c r="FN28">
        <v>-19</v>
      </c>
      <c r="FO28">
        <v>-19</v>
      </c>
      <c r="FP28">
        <v>-19</v>
      </c>
      <c r="FQ28">
        <v>0</v>
      </c>
      <c r="FR28">
        <v>0</v>
      </c>
      <c r="FS28">
        <v>-19</v>
      </c>
      <c r="FT28">
        <v>-19</v>
      </c>
      <c r="FU28">
        <v>-19</v>
      </c>
      <c r="FV28">
        <v>-19</v>
      </c>
      <c r="FW28">
        <v>-19</v>
      </c>
      <c r="FX28">
        <v>0</v>
      </c>
      <c r="FY28">
        <v>0</v>
      </c>
      <c r="FZ28">
        <v>-19</v>
      </c>
      <c r="GA28">
        <v>-19</v>
      </c>
      <c r="GB28">
        <v>-19</v>
      </c>
      <c r="GC28">
        <v>-19</v>
      </c>
      <c r="GD28">
        <v>-19</v>
      </c>
      <c r="GE28">
        <v>0</v>
      </c>
      <c r="GF28">
        <v>0</v>
      </c>
      <c r="GG28">
        <v>-19</v>
      </c>
      <c r="GH28">
        <v>-19</v>
      </c>
      <c r="GI28">
        <v>-19</v>
      </c>
      <c r="GJ28">
        <v>-19</v>
      </c>
      <c r="GK28">
        <v>-19</v>
      </c>
      <c r="GL28">
        <v>0</v>
      </c>
      <c r="GM28">
        <v>0</v>
      </c>
      <c r="GN28">
        <v>-19</v>
      </c>
      <c r="GO28">
        <v>-19</v>
      </c>
      <c r="GP28">
        <v>-19</v>
      </c>
      <c r="GQ28">
        <v>-19</v>
      </c>
      <c r="GR28">
        <v>-19</v>
      </c>
      <c r="GS28">
        <v>0</v>
      </c>
      <c r="GT28">
        <v>0</v>
      </c>
      <c r="GU28">
        <v>-19</v>
      </c>
      <c r="GV28">
        <v>-19</v>
      </c>
      <c r="GW28">
        <v>-19</v>
      </c>
      <c r="GX28">
        <v>-19</v>
      </c>
      <c r="GY28">
        <v>-19</v>
      </c>
      <c r="GZ28">
        <v>0</v>
      </c>
      <c r="HA28">
        <v>0</v>
      </c>
      <c r="HB28">
        <v>-19</v>
      </c>
      <c r="HC28">
        <v>-19</v>
      </c>
      <c r="HD28">
        <v>-19</v>
      </c>
      <c r="HE28">
        <v>-19</v>
      </c>
      <c r="HF28">
        <v>-19</v>
      </c>
      <c r="HG28">
        <v>0</v>
      </c>
      <c r="HH28">
        <v>0</v>
      </c>
      <c r="HI28">
        <v>-19</v>
      </c>
      <c r="HJ28">
        <v>-19</v>
      </c>
      <c r="HK28">
        <v>-19</v>
      </c>
      <c r="HL28">
        <v>-19</v>
      </c>
      <c r="HM28">
        <v>-19</v>
      </c>
      <c r="HN28">
        <v>0</v>
      </c>
      <c r="HO28">
        <v>0</v>
      </c>
      <c r="HP28">
        <v>-19</v>
      </c>
      <c r="HQ28">
        <v>-19</v>
      </c>
      <c r="HR28">
        <v>-19</v>
      </c>
      <c r="HS28">
        <v>-19</v>
      </c>
      <c r="HT28">
        <v>-19</v>
      </c>
      <c r="HU28">
        <v>0</v>
      </c>
      <c r="HV28">
        <v>0</v>
      </c>
      <c r="HW28">
        <v>-19</v>
      </c>
      <c r="HX28">
        <v>-19</v>
      </c>
      <c r="HY28">
        <v>-19</v>
      </c>
      <c r="HZ28">
        <v>-19</v>
      </c>
      <c r="IA28">
        <v>-19</v>
      </c>
      <c r="IB28">
        <v>0</v>
      </c>
      <c r="IC28">
        <v>0</v>
      </c>
      <c r="ID28">
        <v>-19</v>
      </c>
      <c r="IE28">
        <v>-19</v>
      </c>
      <c r="IF28">
        <v>-19</v>
      </c>
      <c r="IG28">
        <v>-19</v>
      </c>
      <c r="IH28">
        <v>-19</v>
      </c>
      <c r="II28">
        <v>0</v>
      </c>
      <c r="IJ28">
        <v>0</v>
      </c>
      <c r="IK28">
        <v>-19</v>
      </c>
      <c r="IL28">
        <v>-19</v>
      </c>
      <c r="IM28">
        <v>-19</v>
      </c>
      <c r="IN28">
        <v>-19</v>
      </c>
      <c r="IO28">
        <v>-19</v>
      </c>
      <c r="IP28">
        <v>0</v>
      </c>
      <c r="IQ28">
        <v>0</v>
      </c>
      <c r="IR28">
        <v>-19</v>
      </c>
      <c r="IS28">
        <v>-19</v>
      </c>
      <c r="IT28">
        <v>-19</v>
      </c>
      <c r="IU28">
        <v>-19</v>
      </c>
      <c r="IV28">
        <v>-19</v>
      </c>
      <c r="IW28">
        <v>0</v>
      </c>
      <c r="IX28">
        <v>0</v>
      </c>
      <c r="IY28">
        <v>-19</v>
      </c>
      <c r="IZ28">
        <v>-19</v>
      </c>
      <c r="JA28">
        <v>-19</v>
      </c>
      <c r="JB28">
        <v>-19</v>
      </c>
      <c r="JC28">
        <v>-19</v>
      </c>
      <c r="JD28">
        <v>0</v>
      </c>
      <c r="JE28">
        <v>0</v>
      </c>
      <c r="JF28">
        <v>-19</v>
      </c>
      <c r="JG28">
        <v>-19</v>
      </c>
      <c r="JH28">
        <v>-19</v>
      </c>
      <c r="JI28">
        <v>-19</v>
      </c>
      <c r="JJ28">
        <v>-19</v>
      </c>
      <c r="JK28">
        <v>0</v>
      </c>
      <c r="JL28">
        <v>0</v>
      </c>
      <c r="JM28">
        <v>-19</v>
      </c>
      <c r="JN28">
        <v>-19</v>
      </c>
      <c r="JO28">
        <v>-19</v>
      </c>
      <c r="JP28">
        <v>-19</v>
      </c>
      <c r="JQ28">
        <v>-19</v>
      </c>
      <c r="JR28">
        <v>0</v>
      </c>
      <c r="JS28">
        <v>0</v>
      </c>
      <c r="JT28">
        <v>-19</v>
      </c>
      <c r="JU28">
        <v>-19</v>
      </c>
      <c r="JV28">
        <v>-19</v>
      </c>
      <c r="JW28">
        <v>-19</v>
      </c>
      <c r="JX28">
        <v>-19</v>
      </c>
      <c r="JY28">
        <v>0</v>
      </c>
      <c r="JZ28">
        <v>0</v>
      </c>
      <c r="KA28">
        <v>-19</v>
      </c>
      <c r="KB28">
        <v>-19</v>
      </c>
      <c r="KC28">
        <v>-19</v>
      </c>
      <c r="KD28">
        <v>-19</v>
      </c>
      <c r="KE28">
        <v>-19</v>
      </c>
      <c r="KF28">
        <v>0</v>
      </c>
      <c r="KG28">
        <v>0</v>
      </c>
      <c r="KH28">
        <v>-19</v>
      </c>
      <c r="KI28">
        <v>-19</v>
      </c>
      <c r="KJ28">
        <v>-19</v>
      </c>
      <c r="KK28">
        <v>-19</v>
      </c>
      <c r="KL28">
        <v>-19</v>
      </c>
      <c r="KM28">
        <v>0</v>
      </c>
      <c r="KN28">
        <v>0</v>
      </c>
      <c r="KO28">
        <v>-19</v>
      </c>
      <c r="KP28">
        <v>-19</v>
      </c>
      <c r="KQ28">
        <v>-19</v>
      </c>
      <c r="KR28">
        <v>-19</v>
      </c>
      <c r="KS28">
        <v>-19</v>
      </c>
      <c r="KT28">
        <v>0</v>
      </c>
      <c r="KU28">
        <v>0</v>
      </c>
      <c r="KV28">
        <v>-19</v>
      </c>
      <c r="KW28">
        <v>-19</v>
      </c>
      <c r="KX28">
        <v>-19</v>
      </c>
      <c r="KY28">
        <v>-19</v>
      </c>
      <c r="KZ28">
        <v>-19</v>
      </c>
      <c r="LA28">
        <v>0</v>
      </c>
      <c r="LB28">
        <v>0</v>
      </c>
      <c r="LC28">
        <v>-19</v>
      </c>
      <c r="LD28">
        <v>-19</v>
      </c>
      <c r="LE28">
        <v>-19</v>
      </c>
      <c r="LF28">
        <v>-19</v>
      </c>
      <c r="LG28">
        <v>-19</v>
      </c>
      <c r="LH28">
        <v>0</v>
      </c>
      <c r="LI28">
        <v>0</v>
      </c>
      <c r="LJ28">
        <v>-19</v>
      </c>
      <c r="LK28">
        <v>-19</v>
      </c>
      <c r="LL28">
        <v>-19</v>
      </c>
      <c r="LM28">
        <v>-19</v>
      </c>
      <c r="LN28">
        <v>-19</v>
      </c>
      <c r="LO28">
        <v>0</v>
      </c>
      <c r="LP28">
        <v>0</v>
      </c>
      <c r="LQ28">
        <v>-19</v>
      </c>
      <c r="LR28">
        <v>-19</v>
      </c>
      <c r="LS28">
        <v>-19</v>
      </c>
      <c r="LT28">
        <v>-19</v>
      </c>
      <c r="LU28">
        <v>-19</v>
      </c>
      <c r="LV28">
        <v>0</v>
      </c>
      <c r="LW28">
        <v>0</v>
      </c>
      <c r="LX28">
        <v>-19</v>
      </c>
      <c r="LY28">
        <v>-19</v>
      </c>
      <c r="LZ28">
        <v>-19</v>
      </c>
      <c r="MA28">
        <v>-19</v>
      </c>
      <c r="MB28">
        <v>-19</v>
      </c>
      <c r="MC28">
        <v>0</v>
      </c>
      <c r="MD28">
        <v>0</v>
      </c>
      <c r="ME28">
        <v>-19</v>
      </c>
      <c r="MF28">
        <v>-19</v>
      </c>
      <c r="MG28">
        <v>-19</v>
      </c>
      <c r="MH28">
        <v>-19</v>
      </c>
      <c r="MI28">
        <v>-19</v>
      </c>
      <c r="MJ28">
        <v>0</v>
      </c>
      <c r="MK28">
        <v>0</v>
      </c>
      <c r="ML28">
        <v>-19</v>
      </c>
      <c r="MM28">
        <v>-19</v>
      </c>
      <c r="MN28">
        <v>-19</v>
      </c>
      <c r="MO28">
        <v>-19</v>
      </c>
      <c r="MP28">
        <v>-19</v>
      </c>
      <c r="MQ28">
        <v>0</v>
      </c>
      <c r="MR28">
        <v>0</v>
      </c>
      <c r="MS28">
        <v>-19</v>
      </c>
      <c r="MT28">
        <v>-19</v>
      </c>
      <c r="MU28">
        <v>-19</v>
      </c>
      <c r="MV28">
        <v>-19</v>
      </c>
      <c r="MW28">
        <v>-19</v>
      </c>
      <c r="MX28">
        <v>0</v>
      </c>
      <c r="MY28">
        <v>0</v>
      </c>
      <c r="MZ28">
        <v>-19</v>
      </c>
      <c r="NA28">
        <v>-19</v>
      </c>
      <c r="NB28">
        <v>-19</v>
      </c>
      <c r="NC28">
        <v>-19</v>
      </c>
      <c r="ND28">
        <v>-19</v>
      </c>
      <c r="NE28">
        <v>0</v>
      </c>
      <c r="NF28">
        <v>0</v>
      </c>
      <c r="NG28">
        <v>-19</v>
      </c>
      <c r="NH28">
        <v>-19</v>
      </c>
      <c r="NI28">
        <v>-19</v>
      </c>
    </row>
    <row r="32" spans="1:373" x14ac:dyDescent="0.25">
      <c r="G32" s="42" t="s">
        <v>196</v>
      </c>
      <c r="H32" s="48" t="s">
        <v>123</v>
      </c>
      <c r="I32" s="49" cm="1">
        <f t="array" ref="I32:T32">oz.Timelineλ("1/7/2026", 12, "M")</f>
        <v>46204</v>
      </c>
      <c r="J32" s="49">
        <v>46235</v>
      </c>
      <c r="K32" s="49">
        <v>46266</v>
      </c>
      <c r="L32" s="49">
        <v>46296</v>
      </c>
      <c r="M32" s="49">
        <v>46327</v>
      </c>
      <c r="N32" s="49">
        <v>46357</v>
      </c>
      <c r="O32" s="49">
        <v>46388</v>
      </c>
      <c r="P32" s="49">
        <v>46419</v>
      </c>
      <c r="Q32" s="49">
        <v>46447</v>
      </c>
      <c r="R32" s="49">
        <v>46478</v>
      </c>
      <c r="S32" s="49">
        <v>46508</v>
      </c>
      <c r="T32" s="49">
        <v>46539</v>
      </c>
    </row>
    <row r="33" spans="7:20" x14ac:dyDescent="0.25">
      <c r="G33" t="s">
        <v>103</v>
      </c>
      <c r="H33" cm="1">
        <f t="array" ref="H33:H38">oz.SumRowsλ(_xlfn.ANCHORARRAY(I33))</f>
        <v>162000</v>
      </c>
      <c r="I33" s="55" cm="1">
        <f t="array" ref="I33:T38">oz.SumPeriodsλ(_xlfn.ANCHORARRAY(I23),_xlfn.ANCHORARRAY(I22),_xlfn.ANCHORARRAY( I32))</f>
        <v>18000</v>
      </c>
      <c r="J33">
        <v>12000</v>
      </c>
      <c r="K33">
        <v>12000</v>
      </c>
      <c r="L33">
        <v>12000</v>
      </c>
      <c r="M33">
        <v>12000</v>
      </c>
      <c r="N33">
        <v>18000</v>
      </c>
      <c r="O33">
        <v>12000</v>
      </c>
      <c r="P33">
        <v>12000</v>
      </c>
      <c r="Q33">
        <v>12000</v>
      </c>
      <c r="R33">
        <v>12000</v>
      </c>
      <c r="S33">
        <v>12000</v>
      </c>
      <c r="T33">
        <v>18000</v>
      </c>
    </row>
    <row r="34" spans="7:20" x14ac:dyDescent="0.25">
      <c r="G34" t="s">
        <v>104</v>
      </c>
      <c r="H34">
        <v>-54000</v>
      </c>
      <c r="I34">
        <v>-4500</v>
      </c>
      <c r="J34">
        <v>-4500</v>
      </c>
      <c r="K34">
        <v>-4500</v>
      </c>
      <c r="L34">
        <v>-4500</v>
      </c>
      <c r="M34">
        <v>-4500</v>
      </c>
      <c r="N34">
        <v>-4500</v>
      </c>
      <c r="O34">
        <v>-4500</v>
      </c>
      <c r="P34">
        <v>-4500</v>
      </c>
      <c r="Q34">
        <v>-4500</v>
      </c>
      <c r="R34">
        <v>-4500</v>
      </c>
      <c r="S34">
        <v>-4500</v>
      </c>
      <c r="T34">
        <v>-4500</v>
      </c>
    </row>
    <row r="35" spans="7:20" x14ac:dyDescent="0.25">
      <c r="G35" t="s">
        <v>105</v>
      </c>
      <c r="H35">
        <v>-4000</v>
      </c>
      <c r="I35">
        <v>-2000</v>
      </c>
      <c r="J35">
        <v>0</v>
      </c>
      <c r="K35">
        <v>0</v>
      </c>
      <c r="L35">
        <v>0</v>
      </c>
      <c r="M35">
        <v>0</v>
      </c>
      <c r="N35">
        <v>0</v>
      </c>
      <c r="O35">
        <v>-2000</v>
      </c>
      <c r="P35">
        <v>0</v>
      </c>
      <c r="Q35">
        <v>0</v>
      </c>
      <c r="R35">
        <v>0</v>
      </c>
      <c r="S35">
        <v>0</v>
      </c>
      <c r="T35">
        <v>0</v>
      </c>
    </row>
    <row r="36" spans="7:20" x14ac:dyDescent="0.25">
      <c r="G36" t="s">
        <v>110</v>
      </c>
      <c r="H36">
        <v>-2000</v>
      </c>
      <c r="I36">
        <v>-500</v>
      </c>
      <c r="J36">
        <v>0</v>
      </c>
      <c r="K36">
        <v>0</v>
      </c>
      <c r="L36">
        <v>-500</v>
      </c>
      <c r="M36">
        <v>0</v>
      </c>
      <c r="N36">
        <v>0</v>
      </c>
      <c r="O36">
        <v>-500</v>
      </c>
      <c r="P36">
        <v>0</v>
      </c>
      <c r="Q36">
        <v>0</v>
      </c>
      <c r="R36">
        <v>-500</v>
      </c>
      <c r="S36">
        <v>0</v>
      </c>
      <c r="T36">
        <v>0</v>
      </c>
    </row>
    <row r="37" spans="7:20" x14ac:dyDescent="0.25">
      <c r="G37" t="s">
        <v>108</v>
      </c>
      <c r="H37">
        <v>-3900</v>
      </c>
      <c r="I37">
        <v>-375</v>
      </c>
      <c r="J37">
        <v>-300</v>
      </c>
      <c r="K37">
        <v>-300</v>
      </c>
      <c r="L37">
        <v>-375</v>
      </c>
      <c r="M37">
        <v>-300</v>
      </c>
      <c r="N37">
        <v>-300</v>
      </c>
      <c r="O37">
        <v>-375</v>
      </c>
      <c r="P37">
        <v>-300</v>
      </c>
      <c r="Q37">
        <v>-300</v>
      </c>
      <c r="R37">
        <v>-375</v>
      </c>
      <c r="S37">
        <v>-300</v>
      </c>
      <c r="T37">
        <v>-300</v>
      </c>
    </row>
    <row r="38" spans="7:20" x14ac:dyDescent="0.25">
      <c r="G38" t="s">
        <v>111</v>
      </c>
      <c r="H38">
        <v>-4959</v>
      </c>
      <c r="I38">
        <v>-437</v>
      </c>
      <c r="J38">
        <v>-399</v>
      </c>
      <c r="K38">
        <v>-418</v>
      </c>
      <c r="L38">
        <v>-418</v>
      </c>
      <c r="M38">
        <v>-399</v>
      </c>
      <c r="N38">
        <v>-437</v>
      </c>
      <c r="O38">
        <v>-399</v>
      </c>
      <c r="P38">
        <v>-380</v>
      </c>
      <c r="Q38">
        <v>-437</v>
      </c>
      <c r="R38">
        <v>-418</v>
      </c>
      <c r="S38">
        <v>-399</v>
      </c>
      <c r="T38">
        <v>-418</v>
      </c>
    </row>
  </sheetData>
  <mergeCells count="3">
    <mergeCell ref="A1:Q1"/>
    <mergeCell ref="A21:E21"/>
    <mergeCell ref="A2:O2"/>
  </mergeCells>
  <hyperlinks>
    <hyperlink ref="A1" location="'TOC'!$A$1" display="'TOC'!$A$1" xr:uid="{B9933F6E-8B86-46EB-9647-C53B5EC99776}"/>
  </hyperlinks>
  <pageMargins left="0.7" right="0.7" top="0.75" bottom="0.75" header="0.3" footer="0.3"/>
  <pageSetup paperSize="9" scale="48" fitToHeight="0" orientation="landscape" horizontalDpi="0" verticalDpi="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69834-D98E-4C78-ACB6-F486EBFA6B03}">
  <sheetPr codeName="Sheet58">
    <tabColor rgb="FF66023C"/>
    <pageSetUpPr fitToPage="1"/>
  </sheetPr>
  <dimension ref="A1:NC25"/>
  <sheetViews>
    <sheetView showGridLines="0" workbookViewId="0">
      <pane xSplit="2" topLeftCell="C1" activePane="topRight" state="frozen"/>
      <selection sqref="A1:P1"/>
      <selection pane="topRight" activeCell="C1" sqref="C1"/>
    </sheetView>
  </sheetViews>
  <sheetFormatPr defaultRowHeight="15" x14ac:dyDescent="0.25"/>
  <cols>
    <col min="1" max="1" width="12.75" bestFit="1" customWidth="1"/>
    <col min="2" max="2" width="7.75" customWidth="1"/>
    <col min="3" max="3" width="10.125" bestFit="1" customWidth="1"/>
    <col min="4" max="4" width="10.25" bestFit="1" customWidth="1"/>
    <col min="5" max="5" width="10.75" bestFit="1" customWidth="1"/>
    <col min="6" max="6" width="10.25" bestFit="1" customWidth="1"/>
    <col min="7" max="7" width="11.125" bestFit="1" customWidth="1"/>
    <col min="8" max="8" width="10.25" bestFit="1" customWidth="1"/>
    <col min="9" max="9" width="9.625" bestFit="1" customWidth="1"/>
    <col min="10" max="10" width="10.75" bestFit="1" customWidth="1"/>
    <col min="11" max="11" width="10.375" bestFit="1" customWidth="1"/>
    <col min="12" max="12" width="10.25" bestFit="1" customWidth="1"/>
    <col min="13" max="13" width="10.75" bestFit="1" customWidth="1"/>
    <col min="14" max="14" width="10.375" bestFit="1" customWidth="1"/>
    <col min="15" max="15" width="10.125" bestFit="1" customWidth="1"/>
    <col min="16" max="16" width="10.25" bestFit="1" customWidth="1"/>
    <col min="17" max="17" width="10.75" bestFit="1" customWidth="1"/>
    <col min="18" max="18" width="10.25" bestFit="1" customWidth="1"/>
    <col min="19" max="19" width="11.125" bestFit="1" customWidth="1"/>
    <col min="20" max="20" width="10.25" bestFit="1" customWidth="1"/>
    <col min="21" max="21" width="9.625" bestFit="1" customWidth="1"/>
    <col min="22" max="22" width="10.75" bestFit="1" customWidth="1"/>
    <col min="23" max="23" width="10.375" bestFit="1" customWidth="1"/>
    <col min="24" max="24" width="10.25" bestFit="1" customWidth="1"/>
    <col min="25" max="25" width="10.75" bestFit="1" customWidth="1"/>
    <col min="26" max="26" width="10.375" bestFit="1" customWidth="1"/>
    <col min="27" max="27" width="10.125" bestFit="1" customWidth="1"/>
    <col min="28" max="28" width="10.25" bestFit="1" customWidth="1"/>
    <col min="29" max="29" width="10.75" bestFit="1" customWidth="1"/>
    <col min="30" max="30" width="10.25" bestFit="1" customWidth="1"/>
    <col min="31" max="31" width="11.125" bestFit="1" customWidth="1"/>
    <col min="32" max="32" width="10.25" bestFit="1" customWidth="1"/>
    <col min="33" max="33" width="9.625" bestFit="1" customWidth="1"/>
    <col min="34" max="34" width="10.75" bestFit="1" customWidth="1"/>
    <col min="35" max="35" width="10.375" bestFit="1" customWidth="1"/>
    <col min="36" max="36" width="10.25" bestFit="1" customWidth="1"/>
    <col min="37" max="37" width="10.75" bestFit="1" customWidth="1"/>
    <col min="38" max="38" width="10.375" bestFit="1" customWidth="1"/>
    <col min="39" max="39" width="10.125" bestFit="1" customWidth="1"/>
    <col min="40" max="40" width="10.25" bestFit="1" customWidth="1"/>
    <col min="41" max="41" width="10.75" bestFit="1" customWidth="1"/>
    <col min="42" max="42" width="10.25" bestFit="1" customWidth="1"/>
    <col min="43" max="43" width="11.125" bestFit="1" customWidth="1"/>
    <col min="44" max="44" width="10.25" bestFit="1" customWidth="1"/>
    <col min="45" max="45" width="9.625" bestFit="1" customWidth="1"/>
    <col min="46" max="46" width="10.75" bestFit="1" customWidth="1"/>
    <col min="47" max="47" width="10.375" bestFit="1" customWidth="1"/>
    <col min="48" max="48" width="10.25" bestFit="1" customWidth="1"/>
    <col min="49" max="49" width="10.75" bestFit="1" customWidth="1"/>
    <col min="50" max="50" width="10.375" bestFit="1" customWidth="1"/>
    <col min="51" max="51" width="10.125" bestFit="1" customWidth="1"/>
    <col min="52" max="52" width="10.25" bestFit="1" customWidth="1"/>
    <col min="53" max="53" width="10.75" bestFit="1" customWidth="1"/>
    <col min="54" max="54" width="10.25" bestFit="1" customWidth="1"/>
    <col min="55" max="55" width="11.125" bestFit="1" customWidth="1"/>
    <col min="56" max="56" width="10.25" bestFit="1" customWidth="1"/>
    <col min="57" max="57" width="9.625" bestFit="1" customWidth="1"/>
    <col min="58" max="58" width="10.75" bestFit="1" customWidth="1"/>
    <col min="59" max="59" width="10.375" bestFit="1" customWidth="1"/>
    <col min="60" max="60" width="10.25" bestFit="1" customWidth="1"/>
    <col min="61" max="61" width="10.75" bestFit="1" customWidth="1"/>
    <col min="62" max="62" width="10.375" bestFit="1" customWidth="1"/>
    <col min="63" max="63" width="10.125" bestFit="1" customWidth="1"/>
    <col min="64" max="64" width="10.25" bestFit="1" customWidth="1"/>
    <col min="65" max="65" width="10.75" bestFit="1" customWidth="1"/>
    <col min="66" max="66" width="10.25" bestFit="1" customWidth="1"/>
    <col min="67" max="67" width="11.125" bestFit="1" customWidth="1"/>
    <col min="68" max="68" width="10.25" bestFit="1" customWidth="1"/>
    <col min="69" max="69" width="9.625" bestFit="1" customWidth="1"/>
    <col min="70" max="70" width="10.75" bestFit="1" customWidth="1"/>
    <col min="71" max="71" width="10.375" bestFit="1" customWidth="1"/>
    <col min="72" max="72" width="10.25" bestFit="1" customWidth="1"/>
    <col min="73" max="73" width="10.75" bestFit="1" customWidth="1"/>
    <col min="74" max="74" width="10.375" bestFit="1" customWidth="1"/>
    <col min="75" max="75" width="10.125" bestFit="1" customWidth="1"/>
    <col min="76" max="76" width="10.25" bestFit="1" customWidth="1"/>
    <col min="77" max="77" width="10.75" bestFit="1" customWidth="1"/>
    <col min="78" max="78" width="10.25" bestFit="1" customWidth="1"/>
    <col min="79" max="79" width="11.125" bestFit="1" customWidth="1"/>
    <col min="80" max="80" width="10.25" bestFit="1" customWidth="1"/>
    <col min="81" max="81" width="9.625" bestFit="1" customWidth="1"/>
    <col min="82" max="82" width="10.75" bestFit="1" customWidth="1"/>
    <col min="83" max="83" width="10.375" bestFit="1" customWidth="1"/>
    <col min="84" max="84" width="10.25" bestFit="1" customWidth="1"/>
    <col min="85" max="85" width="10.75" bestFit="1" customWidth="1"/>
    <col min="86" max="86" width="10.375" bestFit="1" customWidth="1"/>
    <col min="87" max="87" width="10.125" bestFit="1" customWidth="1"/>
    <col min="88" max="88" width="10.25" bestFit="1" customWidth="1"/>
    <col min="89" max="89" width="10.75" bestFit="1" customWidth="1"/>
    <col min="90" max="90" width="10.25" bestFit="1" customWidth="1"/>
    <col min="91" max="91" width="11.125" bestFit="1" customWidth="1"/>
    <col min="92" max="92" width="10.25" bestFit="1" customWidth="1"/>
    <col min="93" max="93" width="9.625" bestFit="1" customWidth="1"/>
    <col min="94" max="94" width="10.75" bestFit="1" customWidth="1"/>
    <col min="95" max="95" width="10.375" bestFit="1" customWidth="1"/>
    <col min="96" max="96" width="10.25" bestFit="1" customWidth="1"/>
    <col min="97" max="97" width="10.75" bestFit="1" customWidth="1"/>
    <col min="98" max="98" width="10.375" bestFit="1" customWidth="1"/>
    <col min="99" max="99" width="10.125" bestFit="1" customWidth="1"/>
    <col min="100" max="100" width="10.25" bestFit="1" customWidth="1"/>
    <col min="101" max="101" width="10.75" bestFit="1" customWidth="1"/>
    <col min="102" max="102" width="10.25" bestFit="1" customWidth="1"/>
    <col min="103" max="103" width="11.125" bestFit="1" customWidth="1"/>
    <col min="104" max="104" width="10.25" bestFit="1" customWidth="1"/>
    <col min="105" max="105" width="9.625" bestFit="1" customWidth="1"/>
    <col min="106" max="106" width="10.75" bestFit="1" customWidth="1"/>
    <col min="107" max="107" width="10.375" bestFit="1" customWidth="1"/>
    <col min="108" max="108" width="10.25" bestFit="1" customWidth="1"/>
    <col min="109" max="109" width="10.75" bestFit="1" customWidth="1"/>
    <col min="110" max="110" width="10.375" bestFit="1" customWidth="1"/>
    <col min="111" max="111" width="10.125" bestFit="1" customWidth="1"/>
    <col min="112" max="112" width="10.25" bestFit="1" customWidth="1"/>
    <col min="113" max="113" width="10.75" bestFit="1" customWidth="1"/>
    <col min="114" max="114" width="10.25" bestFit="1" customWidth="1"/>
    <col min="115" max="115" width="11.125" bestFit="1" customWidth="1"/>
    <col min="116" max="116" width="10.25" bestFit="1" customWidth="1"/>
    <col min="117" max="117" width="9.625" bestFit="1" customWidth="1"/>
    <col min="118" max="118" width="10.75" bestFit="1" customWidth="1"/>
    <col min="119" max="119" width="10.375" bestFit="1" customWidth="1"/>
    <col min="120" max="120" width="10.25" bestFit="1" customWidth="1"/>
    <col min="121" max="121" width="10.75" bestFit="1" customWidth="1"/>
    <col min="122" max="122" width="10.375" bestFit="1" customWidth="1"/>
    <col min="123" max="123" width="10.125" bestFit="1" customWidth="1"/>
    <col min="124" max="124" width="10.25" bestFit="1" customWidth="1"/>
    <col min="125" max="125" width="10.75" bestFit="1" customWidth="1"/>
    <col min="126" max="126" width="10.25" bestFit="1" customWidth="1"/>
    <col min="127" max="127" width="11.125" bestFit="1" customWidth="1"/>
    <col min="128" max="128" width="10.25" bestFit="1" customWidth="1"/>
    <col min="129" max="129" width="9.625" bestFit="1" customWidth="1"/>
    <col min="130" max="130" width="10.75" bestFit="1" customWidth="1"/>
    <col min="131" max="131" width="10.375" bestFit="1" customWidth="1"/>
    <col min="132" max="132" width="10.25" bestFit="1" customWidth="1"/>
    <col min="133" max="133" width="10.75" bestFit="1" customWidth="1"/>
    <col min="134" max="134" width="10.375" bestFit="1" customWidth="1"/>
    <col min="135" max="135" width="10.125" bestFit="1" customWidth="1"/>
    <col min="136" max="136" width="10.25" bestFit="1" customWidth="1"/>
    <col min="137" max="137" width="10.75" bestFit="1" customWidth="1"/>
    <col min="138" max="138" width="10.25" bestFit="1" customWidth="1"/>
    <col min="139" max="139" width="11.125" bestFit="1" customWidth="1"/>
    <col min="140" max="140" width="10.25" bestFit="1" customWidth="1"/>
    <col min="141" max="141" width="9.625" bestFit="1" customWidth="1"/>
    <col min="142" max="142" width="10.75" bestFit="1" customWidth="1"/>
    <col min="143" max="143" width="10.375" bestFit="1" customWidth="1"/>
    <col min="144" max="144" width="10.25" bestFit="1" customWidth="1"/>
    <col min="145" max="145" width="10.75" bestFit="1" customWidth="1"/>
    <col min="146" max="146" width="10.375" bestFit="1" customWidth="1"/>
    <col min="147" max="147" width="10.125" bestFit="1" customWidth="1"/>
    <col min="148" max="148" width="10.25" bestFit="1" customWidth="1"/>
    <col min="149" max="149" width="10.75" bestFit="1" customWidth="1"/>
    <col min="150" max="150" width="10.25" bestFit="1" customWidth="1"/>
    <col min="151" max="151" width="11.125" bestFit="1" customWidth="1"/>
    <col min="152" max="152" width="10.25" bestFit="1" customWidth="1"/>
    <col min="153" max="153" width="9.625" bestFit="1" customWidth="1"/>
    <col min="154" max="154" width="10.75" bestFit="1" customWidth="1"/>
    <col min="155" max="155" width="10.375" bestFit="1" customWidth="1"/>
    <col min="156" max="156" width="10.25" bestFit="1" customWidth="1"/>
    <col min="157" max="157" width="10.75" bestFit="1" customWidth="1"/>
    <col min="158" max="158" width="10.375" bestFit="1" customWidth="1"/>
    <col min="159" max="159" width="10.125" bestFit="1" customWidth="1"/>
    <col min="160" max="160" width="10.25" bestFit="1" customWidth="1"/>
    <col min="161" max="161" width="10.75" bestFit="1" customWidth="1"/>
    <col min="162" max="162" width="10.25" bestFit="1" customWidth="1"/>
    <col min="163" max="163" width="11.125" bestFit="1" customWidth="1"/>
    <col min="164" max="164" width="10.25" bestFit="1" customWidth="1"/>
    <col min="165" max="165" width="9.625" bestFit="1" customWidth="1"/>
    <col min="166" max="166" width="10.75" bestFit="1" customWidth="1"/>
    <col min="167" max="167" width="10.375" bestFit="1" customWidth="1"/>
    <col min="168" max="168" width="10.25" bestFit="1" customWidth="1"/>
    <col min="169" max="169" width="10.75" bestFit="1" customWidth="1"/>
    <col min="170" max="170" width="10.375" bestFit="1" customWidth="1"/>
    <col min="171" max="171" width="10.125" bestFit="1" customWidth="1"/>
    <col min="172" max="172" width="10.25" bestFit="1" customWidth="1"/>
    <col min="173" max="173" width="10.75" bestFit="1" customWidth="1"/>
    <col min="174" max="174" width="10.25" bestFit="1" customWidth="1"/>
    <col min="175" max="175" width="11.125" bestFit="1" customWidth="1"/>
    <col min="176" max="176" width="10.25" bestFit="1" customWidth="1"/>
    <col min="177" max="177" width="9.625" bestFit="1" customWidth="1"/>
    <col min="178" max="178" width="10.75" bestFit="1" customWidth="1"/>
    <col min="179" max="179" width="10.375" bestFit="1" customWidth="1"/>
    <col min="180" max="180" width="10.25" bestFit="1" customWidth="1"/>
    <col min="181" max="181" width="10.75" bestFit="1" customWidth="1"/>
    <col min="182" max="182" width="10.375" bestFit="1" customWidth="1"/>
    <col min="183" max="183" width="10.125" bestFit="1" customWidth="1"/>
    <col min="184" max="184" width="10.25" bestFit="1" customWidth="1"/>
    <col min="185" max="185" width="10.75" bestFit="1" customWidth="1"/>
    <col min="186" max="186" width="10.25" bestFit="1" customWidth="1"/>
    <col min="187" max="187" width="11.125" bestFit="1" customWidth="1"/>
    <col min="188" max="188" width="10.25" bestFit="1" customWidth="1"/>
    <col min="189" max="189" width="9.625" bestFit="1" customWidth="1"/>
    <col min="190" max="190" width="10.75" bestFit="1" customWidth="1"/>
    <col min="191" max="191" width="10.375" bestFit="1" customWidth="1"/>
    <col min="192" max="192" width="10.25" bestFit="1" customWidth="1"/>
    <col min="193" max="193" width="10.75" bestFit="1" customWidth="1"/>
    <col min="194" max="194" width="10.375" bestFit="1" customWidth="1"/>
    <col min="195" max="195" width="10.125" bestFit="1" customWidth="1"/>
    <col min="196" max="196" width="10.25" bestFit="1" customWidth="1"/>
    <col min="197" max="197" width="10.75" bestFit="1" customWidth="1"/>
    <col min="198" max="198" width="10.25" bestFit="1" customWidth="1"/>
    <col min="199" max="199" width="11.125" bestFit="1" customWidth="1"/>
    <col min="200" max="200" width="10.25" bestFit="1" customWidth="1"/>
    <col min="201" max="201" width="9.625" bestFit="1" customWidth="1"/>
    <col min="202" max="202" width="10.75" bestFit="1" customWidth="1"/>
    <col min="203" max="203" width="10.375" bestFit="1" customWidth="1"/>
    <col min="204" max="204" width="10.25" bestFit="1" customWidth="1"/>
    <col min="205" max="205" width="10.75" bestFit="1" customWidth="1"/>
    <col min="206" max="206" width="10.375" bestFit="1" customWidth="1"/>
    <col min="207" max="207" width="10.125" bestFit="1" customWidth="1"/>
    <col min="208" max="208" width="10.25" bestFit="1" customWidth="1"/>
    <col min="209" max="209" width="10.75" bestFit="1" customWidth="1"/>
    <col min="210" max="210" width="10.25" bestFit="1" customWidth="1"/>
    <col min="211" max="211" width="11.125" bestFit="1" customWidth="1"/>
    <col min="212" max="212" width="10.25" bestFit="1" customWidth="1"/>
    <col min="213" max="213" width="9.625" bestFit="1" customWidth="1"/>
    <col min="214" max="214" width="10.75" bestFit="1" customWidth="1"/>
    <col min="215" max="215" width="10.375" bestFit="1" customWidth="1"/>
    <col min="216" max="216" width="10.25" bestFit="1" customWidth="1"/>
    <col min="217" max="217" width="10.75" bestFit="1" customWidth="1"/>
    <col min="218" max="218" width="10.375" bestFit="1" customWidth="1"/>
    <col min="219" max="219" width="10.125" bestFit="1" customWidth="1"/>
    <col min="220" max="220" width="10.25" bestFit="1" customWidth="1"/>
    <col min="221" max="221" width="10.75" bestFit="1" customWidth="1"/>
    <col min="222" max="222" width="10.25" bestFit="1" customWidth="1"/>
    <col min="223" max="223" width="11.125" bestFit="1" customWidth="1"/>
    <col min="224" max="224" width="10.25" bestFit="1" customWidth="1"/>
    <col min="225" max="225" width="9.625" bestFit="1" customWidth="1"/>
    <col min="226" max="226" width="10.75" bestFit="1" customWidth="1"/>
    <col min="227" max="227" width="10.375" bestFit="1" customWidth="1"/>
    <col min="228" max="228" width="10.25" bestFit="1" customWidth="1"/>
    <col min="229" max="229" width="10.75" bestFit="1" customWidth="1"/>
    <col min="230" max="230" width="10.375" bestFit="1" customWidth="1"/>
    <col min="231" max="231" width="10.125" bestFit="1" customWidth="1"/>
    <col min="232" max="232" width="10.25" bestFit="1" customWidth="1"/>
    <col min="233" max="233" width="10.75" bestFit="1" customWidth="1"/>
    <col min="234" max="234" width="10.25" bestFit="1" customWidth="1"/>
    <col min="235" max="235" width="11.125" bestFit="1" customWidth="1"/>
    <col min="236" max="236" width="10.25" bestFit="1" customWidth="1"/>
    <col min="237" max="237" width="9.625" bestFit="1" customWidth="1"/>
    <col min="238" max="238" width="10.75" bestFit="1" customWidth="1"/>
    <col min="239" max="239" width="10.375" bestFit="1" customWidth="1"/>
    <col min="240" max="240" width="10.25" bestFit="1" customWidth="1"/>
    <col min="241" max="241" width="10.75" bestFit="1" customWidth="1"/>
    <col min="242" max="242" width="10.375" bestFit="1" customWidth="1"/>
    <col min="243" max="243" width="10.125" bestFit="1" customWidth="1"/>
    <col min="244" max="244" width="10.25" bestFit="1" customWidth="1"/>
    <col min="245" max="245" width="10.75" bestFit="1" customWidth="1"/>
    <col min="246" max="246" width="10.25" bestFit="1" customWidth="1"/>
    <col min="247" max="247" width="11.125" bestFit="1" customWidth="1"/>
    <col min="248" max="248" width="10.25" bestFit="1" customWidth="1"/>
    <col min="249" max="249" width="9.625" bestFit="1" customWidth="1"/>
    <col min="250" max="250" width="10.75" bestFit="1" customWidth="1"/>
    <col min="251" max="251" width="10.375" bestFit="1" customWidth="1"/>
    <col min="252" max="252" width="10.25" bestFit="1" customWidth="1"/>
    <col min="253" max="253" width="10.75" bestFit="1" customWidth="1"/>
    <col min="254" max="254" width="10.375" bestFit="1" customWidth="1"/>
    <col min="255" max="255" width="10.125" bestFit="1" customWidth="1"/>
    <col min="256" max="256" width="10.25" bestFit="1" customWidth="1"/>
    <col min="257" max="257" width="10.75" bestFit="1" customWidth="1"/>
    <col min="258" max="258" width="10.25" bestFit="1" customWidth="1"/>
    <col min="259" max="259" width="11.125" bestFit="1" customWidth="1"/>
    <col min="260" max="260" width="10.25" bestFit="1" customWidth="1"/>
    <col min="261" max="261" width="9.625" bestFit="1" customWidth="1"/>
    <col min="262" max="262" width="10.75" bestFit="1" customWidth="1"/>
    <col min="263" max="263" width="10.375" bestFit="1" customWidth="1"/>
    <col min="264" max="264" width="10.25" bestFit="1" customWidth="1"/>
    <col min="265" max="265" width="10.75" bestFit="1" customWidth="1"/>
    <col min="266" max="266" width="10.375" bestFit="1" customWidth="1"/>
    <col min="267" max="267" width="10.125" bestFit="1" customWidth="1"/>
    <col min="268" max="268" width="10.25" bestFit="1" customWidth="1"/>
    <col min="269" max="269" width="10.75" bestFit="1" customWidth="1"/>
    <col min="270" max="270" width="10.25" bestFit="1" customWidth="1"/>
    <col min="271" max="271" width="11.125" bestFit="1" customWidth="1"/>
    <col min="272" max="272" width="10.25" bestFit="1" customWidth="1"/>
    <col min="273" max="273" width="9.625" bestFit="1" customWidth="1"/>
    <col min="274" max="274" width="10.75" bestFit="1" customWidth="1"/>
    <col min="275" max="275" width="10.375" bestFit="1" customWidth="1"/>
    <col min="276" max="276" width="10.25" bestFit="1" customWidth="1"/>
    <col min="277" max="277" width="10.75" bestFit="1" customWidth="1"/>
    <col min="278" max="278" width="10.375" bestFit="1" customWidth="1"/>
    <col min="279" max="279" width="10.125" bestFit="1" customWidth="1"/>
    <col min="280" max="280" width="10.25" bestFit="1" customWidth="1"/>
    <col min="281" max="281" width="10.75" bestFit="1" customWidth="1"/>
    <col min="282" max="282" width="10.25" bestFit="1" customWidth="1"/>
    <col min="283" max="283" width="11.125" bestFit="1" customWidth="1"/>
    <col min="284" max="284" width="10.25" bestFit="1" customWidth="1"/>
    <col min="285" max="285" width="9.625" bestFit="1" customWidth="1"/>
    <col min="286" max="286" width="10.75" bestFit="1" customWidth="1"/>
    <col min="287" max="287" width="10.375" bestFit="1" customWidth="1"/>
    <col min="288" max="288" width="10.25" bestFit="1" customWidth="1"/>
    <col min="289" max="289" width="10.75" bestFit="1" customWidth="1"/>
    <col min="290" max="290" width="10.375" bestFit="1" customWidth="1"/>
    <col min="291" max="291" width="10.125" bestFit="1" customWidth="1"/>
    <col min="292" max="292" width="10.25" bestFit="1" customWidth="1"/>
    <col min="293" max="293" width="10.75" bestFit="1" customWidth="1"/>
    <col min="294" max="294" width="10.25" bestFit="1" customWidth="1"/>
    <col min="295" max="295" width="11.125" bestFit="1" customWidth="1"/>
    <col min="296" max="296" width="10.25" bestFit="1" customWidth="1"/>
    <col min="297" max="297" width="9.625" bestFit="1" customWidth="1"/>
    <col min="298" max="298" width="10.75" bestFit="1" customWidth="1"/>
    <col min="299" max="299" width="10.375" bestFit="1" customWidth="1"/>
    <col min="300" max="300" width="10.25" bestFit="1" customWidth="1"/>
    <col min="301" max="301" width="10.75" bestFit="1" customWidth="1"/>
    <col min="302" max="302" width="10.375" bestFit="1" customWidth="1"/>
    <col min="303" max="303" width="10.125" bestFit="1" customWidth="1"/>
    <col min="304" max="304" width="10.25" bestFit="1" customWidth="1"/>
    <col min="305" max="305" width="10.75" bestFit="1" customWidth="1"/>
    <col min="306" max="306" width="10.25" bestFit="1" customWidth="1"/>
    <col min="307" max="307" width="11.125" bestFit="1" customWidth="1"/>
    <col min="308" max="308" width="10.25" bestFit="1" customWidth="1"/>
    <col min="309" max="309" width="9.625" bestFit="1" customWidth="1"/>
    <col min="310" max="310" width="10.75" bestFit="1" customWidth="1"/>
    <col min="311" max="311" width="10.375" bestFit="1" customWidth="1"/>
    <col min="312" max="312" width="10.25" bestFit="1" customWidth="1"/>
    <col min="313" max="313" width="10.75" bestFit="1" customWidth="1"/>
    <col min="314" max="314" width="10.375" bestFit="1" customWidth="1"/>
    <col min="315" max="315" width="10.125" bestFit="1" customWidth="1"/>
    <col min="316" max="316" width="10.25" bestFit="1" customWidth="1"/>
    <col min="317" max="317" width="10.75" bestFit="1" customWidth="1"/>
    <col min="318" max="318" width="10.25" bestFit="1" customWidth="1"/>
    <col min="319" max="319" width="11.125" bestFit="1" customWidth="1"/>
    <col min="320" max="320" width="10.25" bestFit="1" customWidth="1"/>
    <col min="321" max="321" width="9.625" bestFit="1" customWidth="1"/>
    <col min="322" max="322" width="10.75" bestFit="1" customWidth="1"/>
    <col min="323" max="323" width="10.375" bestFit="1" customWidth="1"/>
    <col min="324" max="324" width="10.25" bestFit="1" customWidth="1"/>
    <col min="325" max="325" width="10.75" bestFit="1" customWidth="1"/>
    <col min="326" max="326" width="10.375" bestFit="1" customWidth="1"/>
    <col min="327" max="327" width="10.125" bestFit="1" customWidth="1"/>
    <col min="328" max="328" width="10.25" bestFit="1" customWidth="1"/>
    <col min="329" max="329" width="10.75" bestFit="1" customWidth="1"/>
    <col min="330" max="330" width="10.25" bestFit="1" customWidth="1"/>
    <col min="331" max="331" width="11.125" bestFit="1" customWidth="1"/>
    <col min="332" max="332" width="10.25" bestFit="1" customWidth="1"/>
    <col min="333" max="333" width="9.625" bestFit="1" customWidth="1"/>
    <col min="334" max="334" width="10.75" bestFit="1" customWidth="1"/>
    <col min="335" max="335" width="10.375" bestFit="1" customWidth="1"/>
    <col min="336" max="336" width="10.25" bestFit="1" customWidth="1"/>
    <col min="337" max="337" width="10.75" bestFit="1" customWidth="1"/>
    <col min="338" max="338" width="10.375" bestFit="1" customWidth="1"/>
    <col min="339" max="339" width="10.125" bestFit="1" customWidth="1"/>
    <col min="340" max="340" width="10.25" bestFit="1" customWidth="1"/>
    <col min="341" max="341" width="10.75" bestFit="1" customWidth="1"/>
    <col min="342" max="342" width="10.25" bestFit="1" customWidth="1"/>
    <col min="343" max="343" width="11.125" bestFit="1" customWidth="1"/>
    <col min="344" max="344" width="10.25" bestFit="1" customWidth="1"/>
    <col min="345" max="345" width="9.625" bestFit="1" customWidth="1"/>
    <col min="346" max="346" width="10.75" bestFit="1" customWidth="1"/>
    <col min="347" max="347" width="10.375" bestFit="1" customWidth="1"/>
    <col min="348" max="348" width="10.25" bestFit="1" customWidth="1"/>
    <col min="349" max="349" width="10.75" bestFit="1" customWidth="1"/>
    <col min="350" max="350" width="10.375" bestFit="1" customWidth="1"/>
    <col min="351" max="351" width="10.125" bestFit="1" customWidth="1"/>
    <col min="352" max="352" width="10.25" bestFit="1" customWidth="1"/>
    <col min="353" max="353" width="10.75" bestFit="1" customWidth="1"/>
    <col min="354" max="354" width="10.25" bestFit="1" customWidth="1"/>
    <col min="355" max="355" width="11.125" bestFit="1" customWidth="1"/>
    <col min="356" max="356" width="10.25" bestFit="1" customWidth="1"/>
    <col min="357" max="357" width="9.625" bestFit="1" customWidth="1"/>
    <col min="358" max="358" width="10.75" bestFit="1" customWidth="1"/>
    <col min="359" max="359" width="10.375" bestFit="1" customWidth="1"/>
    <col min="360" max="360" width="10.25" bestFit="1" customWidth="1"/>
    <col min="361" max="361" width="10.75" bestFit="1" customWidth="1"/>
    <col min="362" max="362" width="10.375" bestFit="1" customWidth="1"/>
    <col min="363" max="363" width="10.125" bestFit="1" customWidth="1"/>
    <col min="364" max="364" width="10.25" bestFit="1" customWidth="1"/>
    <col min="365" max="365" width="10.75" bestFit="1" customWidth="1"/>
    <col min="366" max="366" width="10.25" bestFit="1" customWidth="1"/>
    <col min="367" max="367" width="11.125" bestFit="1" customWidth="1"/>
    <col min="368" max="368" width="10.75" bestFit="1" customWidth="1"/>
    <col min="369" max="369" width="10.375" bestFit="1" customWidth="1"/>
    <col min="370" max="370" width="10.125" bestFit="1" customWidth="1"/>
    <col min="371" max="371" width="10.25" bestFit="1" customWidth="1"/>
    <col min="372" max="372" width="10.75" bestFit="1" customWidth="1"/>
    <col min="373" max="373" width="10.25" bestFit="1" customWidth="1"/>
    <col min="374" max="374" width="11.125" bestFit="1" customWidth="1"/>
  </cols>
  <sheetData>
    <row r="1" spans="1:18" ht="46.5" x14ac:dyDescent="0.7">
      <c r="A1" s="185" t="str">
        <f ca="1">_xlfn.TEXTAFTER(CELL("filename",A1),"]")</f>
        <v>oz.TimelineOffsetλ</v>
      </c>
      <c r="B1" s="185"/>
      <c r="C1" s="185"/>
      <c r="D1" s="185"/>
      <c r="E1" s="185"/>
      <c r="F1" s="185"/>
      <c r="G1" s="185"/>
      <c r="H1" s="185"/>
      <c r="I1" s="185"/>
      <c r="J1" s="185"/>
      <c r="K1" s="185"/>
      <c r="L1" s="185"/>
      <c r="M1" s="185"/>
      <c r="N1" s="185"/>
      <c r="O1" s="185"/>
      <c r="P1" s="185"/>
    </row>
    <row r="2" spans="1:18" x14ac:dyDescent="0.25">
      <c r="A2" s="186" t="s">
        <v>93</v>
      </c>
      <c r="B2" s="191"/>
      <c r="C2" s="191"/>
      <c r="D2" s="191"/>
      <c r="E2" s="191"/>
      <c r="F2" s="191"/>
      <c r="G2" s="191"/>
      <c r="H2" s="191"/>
      <c r="I2" s="191"/>
      <c r="J2" s="191"/>
      <c r="K2" s="191"/>
      <c r="L2" s="191"/>
      <c r="M2" s="191"/>
      <c r="N2" s="191"/>
      <c r="O2" s="191"/>
      <c r="P2" s="191"/>
      <c r="Q2" s="191"/>
      <c r="R2" s="191"/>
    </row>
    <row r="3" spans="1:18" x14ac:dyDescent="0.25">
      <c r="A3" s="4"/>
      <c r="B3" s="4"/>
      <c r="C3" s="4"/>
      <c r="D3" s="4"/>
      <c r="E3" s="4"/>
      <c r="F3" s="4"/>
      <c r="G3" s="4"/>
      <c r="H3" s="4"/>
      <c r="I3" s="4"/>
      <c r="J3" s="4"/>
      <c r="K3" s="4"/>
      <c r="L3" s="4"/>
      <c r="M3" s="4"/>
      <c r="N3" s="4"/>
      <c r="O3" s="4"/>
      <c r="P3" s="4"/>
    </row>
    <row r="4" spans="1:18" x14ac:dyDescent="0.25">
      <c r="A4" s="55" t="str" cm="1">
        <f t="array" ref="A4:B15">oz.TimelineOffsetλ()</f>
        <v>FUNCTION:</v>
      </c>
      <c r="B4" t="str">
        <v>TimelineOffsetλ(Date, Timeline)</v>
      </c>
    </row>
    <row r="5" spans="1:18" x14ac:dyDescent="0.25">
      <c r="A5" t="str">
        <v>DESCRIPTION:</v>
      </c>
      <c r="B5" t="str">
        <v>Determines in which period, relative to the timeline's start and interval,</v>
      </c>
    </row>
    <row r="6" spans="1:18" x14ac:dyDescent="0.25">
      <c r="A6" s="86" t="str">
        <v/>
      </c>
      <c r="B6" t="str">
        <v>a date falls within.</v>
      </c>
    </row>
    <row r="7" spans="1:18" x14ac:dyDescent="0.25">
      <c r="A7" t="str">
        <v>WEBPAGE:</v>
      </c>
      <c r="B7" t="str">
        <v>https://github.com/ryanduguid/Ozzit</v>
      </c>
    </row>
    <row r="8" spans="1:18" x14ac:dyDescent="0.25">
      <c r="A8" t="str">
        <v>VERSION:</v>
      </c>
      <c r="B8" t="str">
        <v>20 Aug 2026</v>
      </c>
    </row>
    <row r="9" spans="1:18" x14ac:dyDescent="0.25">
      <c r="A9" t="str">
        <v>PARAMETERS:</v>
      </c>
      <c r="B9" t="str">
        <v/>
      </c>
    </row>
    <row r="10" spans="1:18" x14ac:dyDescent="0.25">
      <c r="A10" t="str">
        <v>Date</v>
      </c>
      <c r="B10" t="str">
        <v>(Required) A starting date</v>
      </c>
    </row>
    <row r="11" spans="1:18" x14ac:dyDescent="0.25">
      <c r="A11" t="str">
        <v>Timeline</v>
      </c>
      <c r="B11" t="str">
        <v>(Required) A model's timeline (Row of period start dates)</v>
      </c>
    </row>
    <row r="12" spans="1:18" x14ac:dyDescent="0.25">
      <c r="A12" t="str">
        <v>EXAMPLES:</v>
      </c>
      <c r="B12" t="str">
        <v/>
      </c>
    </row>
    <row r="13" spans="1:18" x14ac:dyDescent="0.25">
      <c r="A13" t="str">
        <v>Result</v>
      </c>
      <c r="B13" t="str">
        <v>Formula (oz is assumed to be the module's name)</v>
      </c>
    </row>
    <row r="14" spans="1:18" x14ac:dyDescent="0.25">
      <c r="A14" t="str">
        <v>1</v>
      </c>
      <c r="B14" t="str">
        <v>=oz.TimelineOffsetλ("15/8/2026", EDATE("1/7/2026", SEQUENCE( , 12, 0)))</v>
      </c>
    </row>
    <row r="15" spans="1:18" x14ac:dyDescent="0.25">
      <c r="A15" t="str">
        <v>-11</v>
      </c>
      <c r="B15" t="str">
        <v>=oz.TimelineOffsetλ("15/8/2025", EDATE("1/7/2026", SEQUENCE( , 12, 0)))</v>
      </c>
    </row>
    <row r="17" spans="1:367" x14ac:dyDescent="0.25">
      <c r="C17" s="123" t="s">
        <v>25</v>
      </c>
    </row>
    <row r="18" spans="1:367" x14ac:dyDescent="0.25">
      <c r="A18" s="54" t="s">
        <v>198</v>
      </c>
      <c r="B18" s="48" t="s">
        <v>199</v>
      </c>
      <c r="C18" s="49" cm="1">
        <f t="array" ref="C18:NC18">oz.Timelineλ("1/7/2026", 365, "M")</f>
        <v>46204</v>
      </c>
      <c r="D18" s="49">
        <v>46235</v>
      </c>
      <c r="E18" s="49">
        <v>46266</v>
      </c>
      <c r="F18" s="49">
        <v>46296</v>
      </c>
      <c r="G18" s="49">
        <v>46327</v>
      </c>
      <c r="H18" s="49">
        <v>46357</v>
      </c>
      <c r="I18" s="49">
        <v>46388</v>
      </c>
      <c r="J18" s="49">
        <v>46419</v>
      </c>
      <c r="K18" s="49">
        <v>46447</v>
      </c>
      <c r="L18" s="49">
        <v>46478</v>
      </c>
      <c r="M18" s="49">
        <v>46508</v>
      </c>
      <c r="N18" s="49">
        <v>46539</v>
      </c>
      <c r="O18" s="49">
        <v>46569</v>
      </c>
      <c r="P18" s="49">
        <v>46600</v>
      </c>
      <c r="Q18" s="49">
        <v>46631</v>
      </c>
      <c r="R18" s="49">
        <v>46661</v>
      </c>
      <c r="S18" s="49">
        <v>46692</v>
      </c>
      <c r="T18" s="49">
        <v>46722</v>
      </c>
      <c r="U18" s="49">
        <v>46753</v>
      </c>
      <c r="V18" s="49">
        <v>46784</v>
      </c>
      <c r="W18" s="49">
        <v>46813</v>
      </c>
      <c r="X18" s="49">
        <v>46844</v>
      </c>
      <c r="Y18" s="49">
        <v>46874</v>
      </c>
      <c r="Z18" s="49">
        <v>46905</v>
      </c>
      <c r="AA18" s="49">
        <v>46935</v>
      </c>
      <c r="AB18" s="49">
        <v>46966</v>
      </c>
      <c r="AC18" s="49">
        <v>46997</v>
      </c>
      <c r="AD18" s="49">
        <v>47027</v>
      </c>
      <c r="AE18" s="49">
        <v>47058</v>
      </c>
      <c r="AF18" s="49">
        <v>47088</v>
      </c>
      <c r="AG18" s="49">
        <v>47119</v>
      </c>
      <c r="AH18" s="49">
        <v>47150</v>
      </c>
      <c r="AI18" s="49">
        <v>47178</v>
      </c>
      <c r="AJ18" s="49">
        <v>47209</v>
      </c>
      <c r="AK18" s="49">
        <v>47239</v>
      </c>
      <c r="AL18" s="49">
        <v>47270</v>
      </c>
      <c r="AM18" s="49">
        <v>47300</v>
      </c>
      <c r="AN18" s="49">
        <v>47331</v>
      </c>
      <c r="AO18" s="49">
        <v>47362</v>
      </c>
      <c r="AP18" s="49">
        <v>47392</v>
      </c>
      <c r="AQ18" s="49">
        <v>47423</v>
      </c>
      <c r="AR18" s="49">
        <v>47453</v>
      </c>
      <c r="AS18" s="49">
        <v>47484</v>
      </c>
      <c r="AT18" s="49">
        <v>47515</v>
      </c>
      <c r="AU18" s="49">
        <v>47543</v>
      </c>
      <c r="AV18" s="49">
        <v>47574</v>
      </c>
      <c r="AW18" s="49">
        <v>47604</v>
      </c>
      <c r="AX18" s="49">
        <v>47635</v>
      </c>
      <c r="AY18" s="49">
        <v>47665</v>
      </c>
      <c r="AZ18" s="49">
        <v>47696</v>
      </c>
      <c r="BA18" s="49">
        <v>47727</v>
      </c>
      <c r="BB18" s="49">
        <v>47757</v>
      </c>
      <c r="BC18" s="49">
        <v>47788</v>
      </c>
      <c r="BD18" s="49">
        <v>47818</v>
      </c>
      <c r="BE18" s="49">
        <v>47849</v>
      </c>
      <c r="BF18" s="49">
        <v>47880</v>
      </c>
      <c r="BG18" s="49">
        <v>47908</v>
      </c>
      <c r="BH18" s="49">
        <v>47939</v>
      </c>
      <c r="BI18" s="49">
        <v>47969</v>
      </c>
      <c r="BJ18" s="49">
        <v>48000</v>
      </c>
      <c r="BK18" s="49">
        <v>48030</v>
      </c>
      <c r="BL18" s="49">
        <v>48061</v>
      </c>
      <c r="BM18" s="49">
        <v>48092</v>
      </c>
      <c r="BN18" s="49">
        <v>48122</v>
      </c>
      <c r="BO18" s="49">
        <v>48153</v>
      </c>
      <c r="BP18" s="49">
        <v>48183</v>
      </c>
      <c r="BQ18" s="49">
        <v>48214</v>
      </c>
      <c r="BR18" s="49">
        <v>48245</v>
      </c>
      <c r="BS18" s="49">
        <v>48274</v>
      </c>
      <c r="BT18" s="49">
        <v>48305</v>
      </c>
      <c r="BU18" s="49">
        <v>48335</v>
      </c>
      <c r="BV18" s="49">
        <v>48366</v>
      </c>
      <c r="BW18" s="49">
        <v>48396</v>
      </c>
      <c r="BX18" s="49">
        <v>48427</v>
      </c>
      <c r="BY18" s="49">
        <v>48458</v>
      </c>
      <c r="BZ18" s="49">
        <v>48488</v>
      </c>
      <c r="CA18" s="49">
        <v>48519</v>
      </c>
      <c r="CB18" s="49">
        <v>48549</v>
      </c>
      <c r="CC18" s="49">
        <v>48580</v>
      </c>
      <c r="CD18" s="49">
        <v>48611</v>
      </c>
      <c r="CE18" s="49">
        <v>48639</v>
      </c>
      <c r="CF18" s="49">
        <v>48670</v>
      </c>
      <c r="CG18" s="49">
        <v>48700</v>
      </c>
      <c r="CH18" s="49">
        <v>48731</v>
      </c>
      <c r="CI18" s="49">
        <v>48761</v>
      </c>
      <c r="CJ18" s="49">
        <v>48792</v>
      </c>
      <c r="CK18" s="49">
        <v>48823</v>
      </c>
      <c r="CL18" s="49">
        <v>48853</v>
      </c>
      <c r="CM18" s="49">
        <v>48884</v>
      </c>
      <c r="CN18" s="49">
        <v>48914</v>
      </c>
      <c r="CO18" s="49">
        <v>48945</v>
      </c>
      <c r="CP18" s="49">
        <v>48976</v>
      </c>
      <c r="CQ18" s="49">
        <v>49004</v>
      </c>
      <c r="CR18" s="49">
        <v>49035</v>
      </c>
      <c r="CS18" s="49">
        <v>49065</v>
      </c>
      <c r="CT18" s="49">
        <v>49096</v>
      </c>
      <c r="CU18" s="49">
        <v>49126</v>
      </c>
      <c r="CV18" s="49">
        <v>49157</v>
      </c>
      <c r="CW18" s="49">
        <v>49188</v>
      </c>
      <c r="CX18" s="49">
        <v>49218</v>
      </c>
      <c r="CY18" s="49">
        <v>49249</v>
      </c>
      <c r="CZ18" s="49">
        <v>49279</v>
      </c>
      <c r="DA18" s="49">
        <v>49310</v>
      </c>
      <c r="DB18" s="49">
        <v>49341</v>
      </c>
      <c r="DC18" s="49">
        <v>49369</v>
      </c>
      <c r="DD18" s="49">
        <v>49400</v>
      </c>
      <c r="DE18" s="49">
        <v>49430</v>
      </c>
      <c r="DF18" s="49">
        <v>49461</v>
      </c>
      <c r="DG18" s="49">
        <v>49491</v>
      </c>
      <c r="DH18" s="49">
        <v>49522</v>
      </c>
      <c r="DI18" s="49">
        <v>49553</v>
      </c>
      <c r="DJ18" s="49">
        <v>49583</v>
      </c>
      <c r="DK18" s="49">
        <v>49614</v>
      </c>
      <c r="DL18" s="49">
        <v>49644</v>
      </c>
      <c r="DM18" s="49">
        <v>49675</v>
      </c>
      <c r="DN18" s="49">
        <v>49706</v>
      </c>
      <c r="DO18" s="49">
        <v>49735</v>
      </c>
      <c r="DP18" s="49">
        <v>49766</v>
      </c>
      <c r="DQ18" s="49">
        <v>49796</v>
      </c>
      <c r="DR18" s="49">
        <v>49827</v>
      </c>
      <c r="DS18" s="49">
        <v>49857</v>
      </c>
      <c r="DT18" s="49">
        <v>49888</v>
      </c>
      <c r="DU18" s="49">
        <v>49919</v>
      </c>
      <c r="DV18" s="49">
        <v>49949</v>
      </c>
      <c r="DW18" s="49">
        <v>49980</v>
      </c>
      <c r="DX18" s="49">
        <v>50010</v>
      </c>
      <c r="DY18" s="49">
        <v>50041</v>
      </c>
      <c r="DZ18" s="49">
        <v>50072</v>
      </c>
      <c r="EA18" s="49">
        <v>50100</v>
      </c>
      <c r="EB18" s="49">
        <v>50131</v>
      </c>
      <c r="EC18" s="49">
        <v>50161</v>
      </c>
      <c r="ED18" s="49">
        <v>50192</v>
      </c>
      <c r="EE18" s="49">
        <v>50222</v>
      </c>
      <c r="EF18" s="49">
        <v>50253</v>
      </c>
      <c r="EG18" s="49">
        <v>50284</v>
      </c>
      <c r="EH18" s="49">
        <v>50314</v>
      </c>
      <c r="EI18" s="49">
        <v>50345</v>
      </c>
      <c r="EJ18" s="49">
        <v>50375</v>
      </c>
      <c r="EK18" s="49">
        <v>50406</v>
      </c>
      <c r="EL18" s="49">
        <v>50437</v>
      </c>
      <c r="EM18" s="49">
        <v>50465</v>
      </c>
      <c r="EN18" s="49">
        <v>50496</v>
      </c>
      <c r="EO18" s="49">
        <v>50526</v>
      </c>
      <c r="EP18" s="49">
        <v>50557</v>
      </c>
      <c r="EQ18" s="49">
        <v>50587</v>
      </c>
      <c r="ER18" s="49">
        <v>50618</v>
      </c>
      <c r="ES18" s="49">
        <v>50649</v>
      </c>
      <c r="ET18" s="49">
        <v>50679</v>
      </c>
      <c r="EU18" s="49">
        <v>50710</v>
      </c>
      <c r="EV18" s="49">
        <v>50740</v>
      </c>
      <c r="EW18" s="49">
        <v>50771</v>
      </c>
      <c r="EX18" s="49">
        <v>50802</v>
      </c>
      <c r="EY18" s="49">
        <v>50830</v>
      </c>
      <c r="EZ18" s="49">
        <v>50861</v>
      </c>
      <c r="FA18" s="49">
        <v>50891</v>
      </c>
      <c r="FB18" s="49">
        <v>50922</v>
      </c>
      <c r="FC18" s="49">
        <v>50952</v>
      </c>
      <c r="FD18" s="49">
        <v>50983</v>
      </c>
      <c r="FE18" s="49">
        <v>51014</v>
      </c>
      <c r="FF18" s="49">
        <v>51044</v>
      </c>
      <c r="FG18" s="49">
        <v>51075</v>
      </c>
      <c r="FH18" s="49">
        <v>51105</v>
      </c>
      <c r="FI18" s="49">
        <v>51136</v>
      </c>
      <c r="FJ18" s="49">
        <v>51167</v>
      </c>
      <c r="FK18" s="49">
        <v>51196</v>
      </c>
      <c r="FL18" s="49">
        <v>51227</v>
      </c>
      <c r="FM18" s="49">
        <v>51257</v>
      </c>
      <c r="FN18" s="49">
        <v>51288</v>
      </c>
      <c r="FO18" s="49">
        <v>51318</v>
      </c>
      <c r="FP18" s="49">
        <v>51349</v>
      </c>
      <c r="FQ18" s="49">
        <v>51380</v>
      </c>
      <c r="FR18" s="49">
        <v>51410</v>
      </c>
      <c r="FS18" s="49">
        <v>51441</v>
      </c>
      <c r="FT18" s="49">
        <v>51471</v>
      </c>
      <c r="FU18" s="49">
        <v>51502</v>
      </c>
      <c r="FV18" s="49">
        <v>51533</v>
      </c>
      <c r="FW18" s="49">
        <v>51561</v>
      </c>
      <c r="FX18" s="49">
        <v>51592</v>
      </c>
      <c r="FY18" s="49">
        <v>51622</v>
      </c>
      <c r="FZ18" s="49">
        <v>51653</v>
      </c>
      <c r="GA18" s="49">
        <v>51683</v>
      </c>
      <c r="GB18" s="49">
        <v>51714</v>
      </c>
      <c r="GC18" s="49">
        <v>51745</v>
      </c>
      <c r="GD18" s="49">
        <v>51775</v>
      </c>
      <c r="GE18" s="49">
        <v>51806</v>
      </c>
      <c r="GF18" s="49">
        <v>51836</v>
      </c>
      <c r="GG18" s="49">
        <v>51867</v>
      </c>
      <c r="GH18" s="49">
        <v>51898</v>
      </c>
      <c r="GI18" s="49">
        <v>51926</v>
      </c>
      <c r="GJ18" s="49">
        <v>51957</v>
      </c>
      <c r="GK18" s="49">
        <v>51987</v>
      </c>
      <c r="GL18" s="49">
        <v>52018</v>
      </c>
      <c r="GM18" s="49">
        <v>52048</v>
      </c>
      <c r="GN18" s="49">
        <v>52079</v>
      </c>
      <c r="GO18" s="49">
        <v>52110</v>
      </c>
      <c r="GP18" s="49">
        <v>52140</v>
      </c>
      <c r="GQ18" s="49">
        <v>52171</v>
      </c>
      <c r="GR18" s="49">
        <v>52201</v>
      </c>
      <c r="GS18" s="49">
        <v>52232</v>
      </c>
      <c r="GT18" s="49">
        <v>52263</v>
      </c>
      <c r="GU18" s="49">
        <v>52291</v>
      </c>
      <c r="GV18" s="49">
        <v>52322</v>
      </c>
      <c r="GW18" s="49">
        <v>52352</v>
      </c>
      <c r="GX18" s="49">
        <v>52383</v>
      </c>
      <c r="GY18" s="49">
        <v>52413</v>
      </c>
      <c r="GZ18" s="49">
        <v>52444</v>
      </c>
      <c r="HA18" s="49">
        <v>52475</v>
      </c>
      <c r="HB18" s="49">
        <v>52505</v>
      </c>
      <c r="HC18" s="49">
        <v>52536</v>
      </c>
      <c r="HD18" s="49">
        <v>52566</v>
      </c>
      <c r="HE18" s="49">
        <v>52597</v>
      </c>
      <c r="HF18" s="49">
        <v>52628</v>
      </c>
      <c r="HG18" s="49">
        <v>52657</v>
      </c>
      <c r="HH18" s="49">
        <v>52688</v>
      </c>
      <c r="HI18" s="49">
        <v>52718</v>
      </c>
      <c r="HJ18" s="49">
        <v>52749</v>
      </c>
      <c r="HK18" s="49">
        <v>52779</v>
      </c>
      <c r="HL18" s="49">
        <v>52810</v>
      </c>
      <c r="HM18" s="49">
        <v>52841</v>
      </c>
      <c r="HN18" s="49">
        <v>52871</v>
      </c>
      <c r="HO18" s="49">
        <v>52902</v>
      </c>
      <c r="HP18" s="49">
        <v>52932</v>
      </c>
      <c r="HQ18" s="49">
        <v>52963</v>
      </c>
      <c r="HR18" s="49">
        <v>52994</v>
      </c>
      <c r="HS18" s="49">
        <v>53022</v>
      </c>
      <c r="HT18" s="49">
        <v>53053</v>
      </c>
      <c r="HU18" s="49">
        <v>53083</v>
      </c>
      <c r="HV18" s="49">
        <v>53114</v>
      </c>
      <c r="HW18" s="49">
        <v>53144</v>
      </c>
      <c r="HX18" s="49">
        <v>53175</v>
      </c>
      <c r="HY18" s="49">
        <v>53206</v>
      </c>
      <c r="HZ18" s="49">
        <v>53236</v>
      </c>
      <c r="IA18" s="49">
        <v>53267</v>
      </c>
      <c r="IB18" s="49">
        <v>53297</v>
      </c>
      <c r="IC18" s="49">
        <v>53328</v>
      </c>
      <c r="ID18" s="49">
        <v>53359</v>
      </c>
      <c r="IE18" s="49">
        <v>53387</v>
      </c>
      <c r="IF18" s="49">
        <v>53418</v>
      </c>
      <c r="IG18" s="49">
        <v>53448</v>
      </c>
      <c r="IH18" s="49">
        <v>53479</v>
      </c>
      <c r="II18" s="49">
        <v>53509</v>
      </c>
      <c r="IJ18" s="49">
        <v>53540</v>
      </c>
      <c r="IK18" s="49">
        <v>53571</v>
      </c>
      <c r="IL18" s="49">
        <v>53601</v>
      </c>
      <c r="IM18" s="49">
        <v>53632</v>
      </c>
      <c r="IN18" s="49">
        <v>53662</v>
      </c>
      <c r="IO18" s="49">
        <v>53693</v>
      </c>
      <c r="IP18" s="49">
        <v>53724</v>
      </c>
      <c r="IQ18" s="49">
        <v>53752</v>
      </c>
      <c r="IR18" s="49">
        <v>53783</v>
      </c>
      <c r="IS18" s="49">
        <v>53813</v>
      </c>
      <c r="IT18" s="49">
        <v>53844</v>
      </c>
      <c r="IU18" s="49">
        <v>53874</v>
      </c>
      <c r="IV18" s="49">
        <v>53905</v>
      </c>
      <c r="IW18" s="49">
        <v>53936</v>
      </c>
      <c r="IX18" s="49">
        <v>53966</v>
      </c>
      <c r="IY18" s="49">
        <v>53997</v>
      </c>
      <c r="IZ18" s="49">
        <v>54027</v>
      </c>
      <c r="JA18" s="49">
        <v>54058</v>
      </c>
      <c r="JB18" s="49">
        <v>54089</v>
      </c>
      <c r="JC18" s="49">
        <v>54118</v>
      </c>
      <c r="JD18" s="49">
        <v>54149</v>
      </c>
      <c r="JE18" s="49">
        <v>54179</v>
      </c>
      <c r="JF18" s="49">
        <v>54210</v>
      </c>
      <c r="JG18" s="49">
        <v>54240</v>
      </c>
      <c r="JH18" s="49">
        <v>54271</v>
      </c>
      <c r="JI18" s="49">
        <v>54302</v>
      </c>
      <c r="JJ18" s="49">
        <v>54332</v>
      </c>
      <c r="JK18" s="49">
        <v>54363</v>
      </c>
      <c r="JL18" s="49">
        <v>54393</v>
      </c>
      <c r="JM18" s="49">
        <v>54424</v>
      </c>
      <c r="JN18" s="49">
        <v>54455</v>
      </c>
      <c r="JO18" s="49">
        <v>54483</v>
      </c>
      <c r="JP18" s="49">
        <v>54514</v>
      </c>
      <c r="JQ18" s="49">
        <v>54544</v>
      </c>
      <c r="JR18" s="49">
        <v>54575</v>
      </c>
      <c r="JS18" s="49">
        <v>54605</v>
      </c>
      <c r="JT18" s="49">
        <v>54636</v>
      </c>
      <c r="JU18" s="49">
        <v>54667</v>
      </c>
      <c r="JV18" s="49">
        <v>54697</v>
      </c>
      <c r="JW18" s="49">
        <v>54728</v>
      </c>
      <c r="JX18" s="49">
        <v>54758</v>
      </c>
      <c r="JY18" s="49">
        <v>54789</v>
      </c>
      <c r="JZ18" s="49">
        <v>54820</v>
      </c>
      <c r="KA18" s="49">
        <v>54848</v>
      </c>
      <c r="KB18" s="49">
        <v>54879</v>
      </c>
      <c r="KC18" s="49">
        <v>54909</v>
      </c>
      <c r="KD18" s="49">
        <v>54940</v>
      </c>
      <c r="KE18" s="49">
        <v>54970</v>
      </c>
      <c r="KF18" s="49">
        <v>55001</v>
      </c>
      <c r="KG18" s="49">
        <v>55032</v>
      </c>
      <c r="KH18" s="49">
        <v>55062</v>
      </c>
      <c r="KI18" s="49">
        <v>55093</v>
      </c>
      <c r="KJ18" s="49">
        <v>55123</v>
      </c>
      <c r="KK18" s="49">
        <v>55154</v>
      </c>
      <c r="KL18" s="49">
        <v>55185</v>
      </c>
      <c r="KM18" s="49">
        <v>55213</v>
      </c>
      <c r="KN18" s="49">
        <v>55244</v>
      </c>
      <c r="KO18" s="49">
        <v>55274</v>
      </c>
      <c r="KP18" s="49">
        <v>55305</v>
      </c>
      <c r="KQ18" s="49">
        <v>55335</v>
      </c>
      <c r="KR18" s="49">
        <v>55366</v>
      </c>
      <c r="KS18" s="49">
        <v>55397</v>
      </c>
      <c r="KT18" s="49">
        <v>55427</v>
      </c>
      <c r="KU18" s="49">
        <v>55458</v>
      </c>
      <c r="KV18" s="49">
        <v>55488</v>
      </c>
      <c r="KW18" s="49">
        <v>55519</v>
      </c>
      <c r="KX18" s="49">
        <v>55550</v>
      </c>
      <c r="KY18" s="49">
        <v>55579</v>
      </c>
      <c r="KZ18" s="49">
        <v>55610</v>
      </c>
      <c r="LA18" s="49">
        <v>55640</v>
      </c>
      <c r="LB18" s="49">
        <v>55671</v>
      </c>
      <c r="LC18" s="49">
        <v>55701</v>
      </c>
      <c r="LD18" s="49">
        <v>55732</v>
      </c>
      <c r="LE18" s="49">
        <v>55763</v>
      </c>
      <c r="LF18" s="49">
        <v>55793</v>
      </c>
      <c r="LG18" s="49">
        <v>55824</v>
      </c>
      <c r="LH18" s="49">
        <v>55854</v>
      </c>
      <c r="LI18" s="49">
        <v>55885</v>
      </c>
      <c r="LJ18" s="49">
        <v>55916</v>
      </c>
      <c r="LK18" s="49">
        <v>55944</v>
      </c>
      <c r="LL18" s="49">
        <v>55975</v>
      </c>
      <c r="LM18" s="49">
        <v>56005</v>
      </c>
      <c r="LN18" s="49">
        <v>56036</v>
      </c>
      <c r="LO18" s="49">
        <v>56066</v>
      </c>
      <c r="LP18" s="49">
        <v>56097</v>
      </c>
      <c r="LQ18" s="49">
        <v>56128</v>
      </c>
      <c r="LR18" s="49">
        <v>56158</v>
      </c>
      <c r="LS18" s="49">
        <v>56189</v>
      </c>
      <c r="LT18" s="49">
        <v>56219</v>
      </c>
      <c r="LU18" s="49">
        <v>56250</v>
      </c>
      <c r="LV18" s="49">
        <v>56281</v>
      </c>
      <c r="LW18" s="49">
        <v>56309</v>
      </c>
      <c r="LX18" s="49">
        <v>56340</v>
      </c>
      <c r="LY18" s="49">
        <v>56370</v>
      </c>
      <c r="LZ18" s="49">
        <v>56401</v>
      </c>
      <c r="MA18" s="49">
        <v>56431</v>
      </c>
      <c r="MB18" s="49">
        <v>56462</v>
      </c>
      <c r="MC18" s="49">
        <v>56493</v>
      </c>
      <c r="MD18" s="49">
        <v>56523</v>
      </c>
      <c r="ME18" s="49">
        <v>56554</v>
      </c>
      <c r="MF18" s="49">
        <v>56584</v>
      </c>
      <c r="MG18" s="49">
        <v>56615</v>
      </c>
      <c r="MH18" s="49">
        <v>56646</v>
      </c>
      <c r="MI18" s="49">
        <v>56674</v>
      </c>
      <c r="MJ18" s="49">
        <v>56705</v>
      </c>
      <c r="MK18" s="49">
        <v>56735</v>
      </c>
      <c r="ML18" s="49">
        <v>56766</v>
      </c>
      <c r="MM18" s="49">
        <v>56796</v>
      </c>
      <c r="MN18" s="49">
        <v>56827</v>
      </c>
      <c r="MO18" s="49">
        <v>56858</v>
      </c>
      <c r="MP18" s="49">
        <v>56888</v>
      </c>
      <c r="MQ18" s="49">
        <v>56919</v>
      </c>
      <c r="MR18" s="49">
        <v>56949</v>
      </c>
      <c r="MS18" s="49">
        <v>56980</v>
      </c>
      <c r="MT18" s="49">
        <v>57011</v>
      </c>
      <c r="MU18" s="49">
        <v>57040</v>
      </c>
      <c r="MV18" s="49">
        <v>57071</v>
      </c>
      <c r="MW18" s="49">
        <v>57101</v>
      </c>
      <c r="MX18" s="49">
        <v>57132</v>
      </c>
      <c r="MY18" s="49">
        <v>57162</v>
      </c>
      <c r="MZ18" s="49">
        <v>57193</v>
      </c>
      <c r="NA18" s="49">
        <v>57224</v>
      </c>
      <c r="NB18" s="49">
        <v>57254</v>
      </c>
      <c r="NC18" s="49">
        <v>57285</v>
      </c>
    </row>
    <row r="19" spans="1:367" x14ac:dyDescent="0.25">
      <c r="A19" s="34">
        <v>46204</v>
      </c>
      <c r="B19" s="55" cm="1">
        <f t="array" ref="B19">oz.TimelineOffsetλ(A19,_xlfn.ANCHORARRAY( $C$18))</f>
        <v>0</v>
      </c>
      <c r="C19" cm="1">
        <f t="array" ref="C19:NC19">N(_xlfn.ANCHORARRAY($C$18)=INDEX(_xlfn.ANCHORARRAY($C$18),B19+1))</f>
        <v>1</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row>
    <row r="20" spans="1:367" x14ac:dyDescent="0.25">
      <c r="A20" s="34">
        <v>46251</v>
      </c>
      <c r="B20" s="55" cm="1">
        <f t="array" ref="B20">oz.TimelineOffsetλ(A20,_xlfn.ANCHORARRAY( $C$18))</f>
        <v>1</v>
      </c>
      <c r="C20" cm="1">
        <f t="array" ref="C20:NC20">N(_xlfn.ANCHORARRAY($C$18)=INDEX(_xlfn.ANCHORARRAY($C$18),B20+1))</f>
        <v>0</v>
      </c>
      <c r="D20">
        <v>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row>
    <row r="21" spans="1:367" x14ac:dyDescent="0.25">
      <c r="A21" s="34">
        <v>46300</v>
      </c>
      <c r="B21" s="55" cm="1">
        <f t="array" ref="B21">oz.TimelineOffsetλ(A21,_xlfn.ANCHORARRAY( $C$18))</f>
        <v>3</v>
      </c>
      <c r="C21" cm="1">
        <f t="array" ref="C21:NC21">N(_xlfn.ANCHORARRAY($C$18)=INDEX(_xlfn.ANCHORARRAY($C$18),B21+1))</f>
        <v>0</v>
      </c>
      <c r="D21">
        <v>0</v>
      </c>
      <c r="E21">
        <v>0</v>
      </c>
      <c r="F21">
        <v>1</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row>
    <row r="22" spans="1:367" x14ac:dyDescent="0.25">
      <c r="A22" s="34">
        <v>46348</v>
      </c>
      <c r="B22" s="55" cm="1">
        <f t="array" ref="B22">oz.TimelineOffsetλ(A22,_xlfn.ANCHORARRAY( $C$18))</f>
        <v>4</v>
      </c>
      <c r="C22" cm="1">
        <f t="array" ref="C22:NC22">N(_xlfn.ANCHORARRAY($C$18)=INDEX(_xlfn.ANCHORARRAY($C$18),B22+1))</f>
        <v>0</v>
      </c>
      <c r="D22">
        <v>0</v>
      </c>
      <c r="E22">
        <v>0</v>
      </c>
      <c r="F22">
        <v>0</v>
      </c>
      <c r="G22">
        <v>1</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row>
    <row r="23" spans="1:367" x14ac:dyDescent="0.25">
      <c r="A23" s="34">
        <v>46395</v>
      </c>
      <c r="B23" s="55" cm="1">
        <f t="array" ref="B23">oz.TimelineOffsetλ(A23,_xlfn.ANCHORARRAY( $C$18))</f>
        <v>6</v>
      </c>
      <c r="C23" cm="1">
        <f t="array" ref="C23:NC23">N(_xlfn.ANCHORARRAY($C$18)=INDEX(_xlfn.ANCHORARRAY($C$18),B23+1))</f>
        <v>0</v>
      </c>
      <c r="D23">
        <v>0</v>
      </c>
      <c r="E23">
        <v>0</v>
      </c>
      <c r="F23">
        <v>0</v>
      </c>
      <c r="G23">
        <v>0</v>
      </c>
      <c r="H23">
        <v>0</v>
      </c>
      <c r="I23">
        <v>1</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row>
    <row r="24" spans="1:367" x14ac:dyDescent="0.25">
      <c r="A24" s="34">
        <v>46442</v>
      </c>
      <c r="B24" s="55" cm="1">
        <f t="array" ref="B24">oz.TimelineOffsetλ(A24,_xlfn.ANCHORARRAY( $C$18))</f>
        <v>7</v>
      </c>
      <c r="C24" cm="1">
        <f t="array" ref="C24:NC24">N(_xlfn.ANCHORARRAY($C$18)=INDEX(_xlfn.ANCHORARRAY($C$18),B24+1))</f>
        <v>0</v>
      </c>
      <c r="D24">
        <v>0</v>
      </c>
      <c r="E24">
        <v>0</v>
      </c>
      <c r="F24">
        <v>0</v>
      </c>
      <c r="G24">
        <v>0</v>
      </c>
      <c r="H24">
        <v>0</v>
      </c>
      <c r="I24">
        <v>0</v>
      </c>
      <c r="J24">
        <v>1</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row>
    <row r="25" spans="1:367" x14ac:dyDescent="0.25">
      <c r="A25" s="34">
        <v>46487</v>
      </c>
      <c r="B25" s="55" cm="1">
        <f t="array" ref="B25">oz.TimelineOffsetλ(A25,_xlfn.ANCHORARRAY( $C$18))</f>
        <v>9</v>
      </c>
      <c r="C25" cm="1">
        <f t="array" ref="C25:NC25">N(_xlfn.ANCHORARRAY($C$18)=INDEX(_xlfn.ANCHORARRAY($C$18),B25+1))</f>
        <v>0</v>
      </c>
      <c r="D25">
        <v>0</v>
      </c>
      <c r="E25">
        <v>0</v>
      </c>
      <c r="F25">
        <v>0</v>
      </c>
      <c r="G25">
        <v>0</v>
      </c>
      <c r="H25">
        <v>0</v>
      </c>
      <c r="I25">
        <v>0</v>
      </c>
      <c r="J25">
        <v>0</v>
      </c>
      <c r="K25">
        <v>0</v>
      </c>
      <c r="L25">
        <v>1</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row>
  </sheetData>
  <mergeCells count="2">
    <mergeCell ref="A1:P1"/>
    <mergeCell ref="A2:R2"/>
  </mergeCells>
  <hyperlinks>
    <hyperlink ref="A1" location="'TOC'!$A$1" display="'TOC'!$A$1" xr:uid="{C09E2D57-B276-4982-9619-1542857F4CDF}"/>
  </hyperlinks>
  <pageMargins left="0.7" right="0.7" top="0.75" bottom="0.75" header="0.3" footer="0.3"/>
  <pageSetup paperSize="9" scale="55" fitToHeight="0" orientation="landscape" horizontalDpi="0" verticalDpi="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C2B1-DD7E-4008-AE91-E1CA1E6D1C24}">
  <sheetPr codeName="Sheet59">
    <tabColor rgb="FF66023C"/>
    <pageSetUpPr fitToPage="1"/>
  </sheetPr>
  <dimension ref="A1:W38"/>
  <sheetViews>
    <sheetView showGridLines="0" workbookViewId="0">
      <selection sqref="A1:P1"/>
    </sheetView>
  </sheetViews>
  <sheetFormatPr defaultRowHeight="15" x14ac:dyDescent="0.25"/>
  <cols>
    <col min="1" max="1" width="12.75" bestFit="1" customWidth="1"/>
    <col min="5" max="5" width="10" bestFit="1" customWidth="1"/>
    <col min="7" max="7" width="24.375" bestFit="1" customWidth="1"/>
    <col min="8" max="8" width="7.625" bestFit="1" customWidth="1"/>
    <col min="9" max="38" width="10.125" bestFit="1" customWidth="1"/>
  </cols>
  <sheetData>
    <row r="1" spans="1:17" ht="46.5" x14ac:dyDescent="0.7">
      <c r="A1" s="185" t="str">
        <f ca="1">_xlfn.TEXTAFTER(CELL("filename",A1),"]")</f>
        <v>oz.TimelinePositionλ</v>
      </c>
      <c r="B1" s="185"/>
      <c r="C1" s="185"/>
      <c r="D1" s="185"/>
      <c r="E1" s="185"/>
      <c r="F1" s="185"/>
      <c r="G1" s="185"/>
      <c r="H1" s="185"/>
      <c r="I1" s="185"/>
      <c r="J1" s="185"/>
      <c r="K1" s="185"/>
      <c r="L1" s="185"/>
      <c r="M1" s="185"/>
      <c r="N1" s="185"/>
      <c r="O1" s="185"/>
      <c r="P1" s="185"/>
    </row>
    <row r="2" spans="1:17" x14ac:dyDescent="0.25">
      <c r="A2" s="186" t="s">
        <v>94</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c r="L3" s="4"/>
      <c r="M3" s="4"/>
      <c r="N3" s="4"/>
      <c r="O3" s="4"/>
      <c r="P3" s="4"/>
    </row>
    <row r="4" spans="1:17" x14ac:dyDescent="0.25">
      <c r="A4" s="55" t="str" cm="1">
        <f t="array" ref="A4:B16">oz.TimelinePositionλ()</f>
        <v>FUNCTION:</v>
      </c>
      <c r="B4" t="str">
        <v>TimelinePositionλ(Array, Timeline, Offset)</v>
      </c>
    </row>
    <row r="5" spans="1:17" x14ac:dyDescent="0.25">
      <c r="A5" t="str">
        <v>DESCRIPTION:</v>
      </c>
      <c r="B5" t="str">
        <v>Position an array relative to the model's timeline</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Array</v>
      </c>
      <c r="B9" t="str">
        <v>(Required) The array to be positioned relative to a model's timeline</v>
      </c>
    </row>
    <row r="10" spans="1:17" x14ac:dyDescent="0.25">
      <c r="A10" t="str">
        <v>Timeline</v>
      </c>
      <c r="B10" t="str">
        <v>(Required) A model's timeline</v>
      </c>
    </row>
    <row r="11" spans="1:17" x14ac:dyDescent="0.25">
      <c r="A11" t="str">
        <v>Offset</v>
      </c>
      <c r="B11" t="str">
        <v>(Required) The number of rows or columns to start placing the array within the timeline</v>
      </c>
    </row>
    <row r="12" spans="1:17" x14ac:dyDescent="0.25">
      <c r="A12" t="str">
        <v>NOTES!</v>
      </c>
      <c r="B12" t="str">
        <v/>
      </c>
    </row>
    <row r="13" spans="1:17" x14ac:dyDescent="0.25">
      <c r="A13" t="str">
        <v/>
      </c>
      <c r="B13" t="str">
        <v>Timelines can be vertical or horizontal. Whichever way the timeline goes, the array must match.</v>
      </c>
    </row>
    <row r="14" spans="1:17" x14ac:dyDescent="0.25">
      <c r="A14" t="str">
        <v>EXAMPLES:</v>
      </c>
      <c r="B14" t="str">
        <v/>
      </c>
    </row>
    <row r="15" spans="1:17" x14ac:dyDescent="0.25">
      <c r="A15" t="str">
        <v>Result</v>
      </c>
      <c r="B15" t="str">
        <v>Formula (oz is assumed to be the module's name)</v>
      </c>
    </row>
    <row r="16" spans="1:17" x14ac:dyDescent="0.25">
      <c r="A16" t="str">
        <v/>
      </c>
      <c r="B16" t="str">
        <v>=oz.TimelinePositionλ(SEQUENCE(3,3), EDATE("1/7/2026", SEQUENCE( , 12, 0)), 12)</v>
      </c>
    </row>
    <row r="20" spans="1:23" ht="21" x14ac:dyDescent="0.35">
      <c r="A20" s="203" t="s">
        <v>193</v>
      </c>
      <c r="B20" s="203"/>
      <c r="C20" s="203"/>
      <c r="G20" s="189" t="s">
        <v>201</v>
      </c>
      <c r="H20" s="208"/>
      <c r="I20" s="208"/>
      <c r="J20" s="208"/>
      <c r="K20" s="208"/>
      <c r="L20" s="208"/>
      <c r="M20" s="208"/>
      <c r="N20" s="208"/>
      <c r="O20" s="208"/>
      <c r="P20" s="208"/>
      <c r="Q20" s="208"/>
      <c r="R20" s="208"/>
      <c r="S20" s="208"/>
      <c r="T20" s="208"/>
      <c r="U20" s="208"/>
      <c r="V20" s="208"/>
      <c r="W20" s="190"/>
    </row>
    <row r="22" spans="1:23" x14ac:dyDescent="0.25">
      <c r="A22" s="54" t="s">
        <v>7</v>
      </c>
      <c r="B22" s="53" t="s">
        <v>161</v>
      </c>
      <c r="C22" s="53" t="s">
        <v>162</v>
      </c>
      <c r="D22" s="53" t="s">
        <v>163</v>
      </c>
      <c r="E22" s="53" t="s">
        <v>164</v>
      </c>
      <c r="F22" s="67"/>
      <c r="G22" s="121" t="s">
        <v>6</v>
      </c>
      <c r="H22" s="8" t="s">
        <v>165</v>
      </c>
      <c r="I22" s="1" cm="1">
        <f t="array" ref="I22:R22">oz.Timelineλ( E23, D23, "Y")</f>
        <v>46204</v>
      </c>
      <c r="J22" s="1">
        <v>46569</v>
      </c>
      <c r="K22" s="1">
        <v>46935</v>
      </c>
      <c r="L22" s="1">
        <v>47300</v>
      </c>
      <c r="M22" s="1">
        <v>47665</v>
      </c>
      <c r="N22" s="1">
        <v>48030</v>
      </c>
      <c r="O22" s="1">
        <v>48396</v>
      </c>
      <c r="P22" s="1">
        <v>48761</v>
      </c>
      <c r="Q22" s="1">
        <v>49126</v>
      </c>
      <c r="R22" s="1">
        <v>49491</v>
      </c>
      <c r="S22" s="1"/>
      <c r="T22" s="1"/>
      <c r="U22" s="1"/>
      <c r="V22" s="1"/>
      <c r="W22" s="1"/>
    </row>
    <row r="23" spans="1:23" x14ac:dyDescent="0.25">
      <c r="A23" s="82" t="s">
        <v>166</v>
      </c>
      <c r="B23" s="71">
        <v>51642</v>
      </c>
      <c r="C23" s="72">
        <v>7.0000000000000007E-2</v>
      </c>
      <c r="D23" s="73">
        <v>10</v>
      </c>
      <c r="E23" s="124">
        <v>46204</v>
      </c>
      <c r="G23" s="75" t="str" cm="1">
        <f t="array" ref="G23:G28">oz.LabelAmortiseλ(A23)</f>
        <v>Renovation Debt Issuance</v>
      </c>
      <c r="H23" s="95" cm="1">
        <f t="array" ref="H23:H28">oz.SumAmortiseλ(_xlfn.ANCHORARRAY(I23))</f>
        <v>0</v>
      </c>
      <c r="I23" s="95" cm="1">
        <f t="array" ref="I23:R28">oz.Amortiseλ( B23,C23,D23,E23,_xlfn.ANCHORARRAY( I22))</f>
        <v>51642</v>
      </c>
      <c r="J23" s="79">
        <v>0</v>
      </c>
      <c r="K23" s="79">
        <v>0</v>
      </c>
      <c r="L23" s="79">
        <v>0</v>
      </c>
      <c r="M23" s="79">
        <v>0</v>
      </c>
      <c r="N23" s="79">
        <v>0</v>
      </c>
      <c r="O23" s="79">
        <v>0</v>
      </c>
      <c r="P23" s="79">
        <v>0</v>
      </c>
      <c r="Q23" s="79">
        <v>0</v>
      </c>
      <c r="R23" s="79">
        <v>0</v>
      </c>
      <c r="S23" s="79"/>
      <c r="T23" s="79"/>
      <c r="U23" s="79"/>
      <c r="V23" s="79"/>
      <c r="W23" s="79"/>
    </row>
    <row r="24" spans="1:23" x14ac:dyDescent="0.25">
      <c r="G24" s="75" t="str">
        <v>Renovation Debt Balance</v>
      </c>
      <c r="H24" s="79">
        <v>0</v>
      </c>
      <c r="I24" s="79">
        <v>51642</v>
      </c>
      <c r="J24" s="79">
        <v>0</v>
      </c>
      <c r="K24" s="79">
        <v>0</v>
      </c>
      <c r="L24" s="79">
        <v>0</v>
      </c>
      <c r="M24" s="79">
        <v>0</v>
      </c>
      <c r="N24" s="79">
        <v>0</v>
      </c>
      <c r="O24" s="79">
        <v>0</v>
      </c>
      <c r="P24" s="79">
        <v>0</v>
      </c>
      <c r="Q24" s="79">
        <v>0</v>
      </c>
      <c r="R24" s="79">
        <v>0</v>
      </c>
      <c r="S24" s="79"/>
      <c r="T24" s="79"/>
      <c r="U24" s="79"/>
      <c r="V24" s="79"/>
      <c r="W24" s="79"/>
    </row>
    <row r="25" spans="1:23" x14ac:dyDescent="0.25">
      <c r="G25" s="75" t="str">
        <v>Renovation Interest</v>
      </c>
      <c r="H25" s="79">
        <v>1671.3019720882637</v>
      </c>
      <c r="I25" s="79">
        <v>1671.3019720882637</v>
      </c>
      <c r="J25" s="79">
        <v>0</v>
      </c>
      <c r="K25" s="79">
        <v>0</v>
      </c>
      <c r="L25" s="79">
        <v>0</v>
      </c>
      <c r="M25" s="79">
        <v>0</v>
      </c>
      <c r="N25" s="79">
        <v>0</v>
      </c>
      <c r="O25" s="79">
        <v>0</v>
      </c>
      <c r="P25" s="79">
        <v>0</v>
      </c>
      <c r="Q25" s="79">
        <v>0</v>
      </c>
      <c r="R25" s="79">
        <v>0</v>
      </c>
      <c r="S25" s="79"/>
      <c r="T25" s="79"/>
      <c r="U25" s="79"/>
      <c r="V25" s="79"/>
      <c r="W25" s="79"/>
    </row>
    <row r="26" spans="1:23" x14ac:dyDescent="0.25">
      <c r="G26" s="75" t="str">
        <v>Renovation Debt Services</v>
      </c>
      <c r="H26" s="79">
        <v>-53313.30197208828</v>
      </c>
      <c r="I26" s="79">
        <v>-53313.30197208828</v>
      </c>
      <c r="J26" s="79">
        <v>0</v>
      </c>
      <c r="K26" s="79">
        <v>0</v>
      </c>
      <c r="L26" s="79">
        <v>0</v>
      </c>
      <c r="M26" s="79">
        <v>0</v>
      </c>
      <c r="N26" s="79">
        <v>0</v>
      </c>
      <c r="O26" s="79">
        <v>0</v>
      </c>
      <c r="P26" s="79">
        <v>0</v>
      </c>
      <c r="Q26" s="79">
        <v>0</v>
      </c>
      <c r="R26" s="79">
        <v>0</v>
      </c>
      <c r="S26" s="79"/>
      <c r="T26" s="79"/>
      <c r="U26" s="79"/>
      <c r="V26" s="79"/>
      <c r="W26" s="79"/>
    </row>
    <row r="27" spans="1:23" x14ac:dyDescent="0.25">
      <c r="G27" s="75" t="str">
        <v>Renovation Closing Balance</v>
      </c>
      <c r="H27" s="79">
        <v>0</v>
      </c>
      <c r="I27" s="79">
        <v>-2.3737811716273427E-10</v>
      </c>
      <c r="J27" s="79">
        <v>0</v>
      </c>
      <c r="K27" s="79">
        <v>0</v>
      </c>
      <c r="L27" s="79">
        <v>0</v>
      </c>
      <c r="M27" s="79">
        <v>0</v>
      </c>
      <c r="N27" s="79">
        <v>0</v>
      </c>
      <c r="O27" s="79">
        <v>0</v>
      </c>
      <c r="P27" s="79">
        <v>0</v>
      </c>
      <c r="Q27" s="79">
        <v>0</v>
      </c>
      <c r="R27" s="79">
        <v>0</v>
      </c>
      <c r="S27" s="79"/>
      <c r="T27" s="79"/>
      <c r="U27" s="79"/>
      <c r="V27" s="79"/>
      <c r="W27" s="79"/>
    </row>
    <row r="28" spans="1:23" x14ac:dyDescent="0.25">
      <c r="G28" s="75" t="str">
        <v>Renovation Debt Repayment</v>
      </c>
      <c r="H28" s="79">
        <v>51642.000000000015</v>
      </c>
      <c r="I28" s="79">
        <v>51642.000000000015</v>
      </c>
      <c r="J28" s="79">
        <v>0</v>
      </c>
      <c r="K28" s="79">
        <v>0</v>
      </c>
      <c r="L28" s="79">
        <v>0</v>
      </c>
      <c r="M28" s="79">
        <v>0</v>
      </c>
      <c r="N28" s="79">
        <v>0</v>
      </c>
      <c r="O28" s="79">
        <v>0</v>
      </c>
      <c r="P28" s="79">
        <v>0</v>
      </c>
      <c r="Q28" s="79">
        <v>0</v>
      </c>
      <c r="R28" s="79">
        <v>0</v>
      </c>
      <c r="S28" s="79"/>
      <c r="T28" s="79"/>
      <c r="U28" s="79"/>
      <c r="V28" s="79"/>
      <c r="W28" s="79"/>
    </row>
    <row r="30" spans="1:23" ht="21" x14ac:dyDescent="0.35">
      <c r="G30" s="189" t="s">
        <v>200</v>
      </c>
      <c r="H30" s="208"/>
      <c r="I30" s="208"/>
      <c r="J30" s="208"/>
      <c r="K30" s="208"/>
      <c r="L30" s="208"/>
      <c r="M30" s="208"/>
      <c r="N30" s="208"/>
      <c r="O30" s="208"/>
      <c r="P30" s="208"/>
      <c r="Q30" s="208"/>
      <c r="R30" s="208"/>
      <c r="S30" s="208"/>
      <c r="T30" s="208"/>
      <c r="U30" s="208"/>
      <c r="V30" s="208"/>
      <c r="W30" s="190"/>
    </row>
    <row r="32" spans="1:23" x14ac:dyDescent="0.25">
      <c r="G32" s="121" t="s">
        <v>6</v>
      </c>
      <c r="H32" s="8" t="s">
        <v>165</v>
      </c>
      <c r="I32" s="1" cm="1">
        <f t="array" ref="I32:T32">oz.Timelineλ("1/7/2026", 12, "Y")</f>
        <v>46204</v>
      </c>
      <c r="J32" s="1">
        <v>46569</v>
      </c>
      <c r="K32" s="1">
        <v>46935</v>
      </c>
      <c r="L32" s="1">
        <v>47300</v>
      </c>
      <c r="M32" s="1">
        <v>47665</v>
      </c>
      <c r="N32" s="1">
        <v>48030</v>
      </c>
      <c r="O32" s="1">
        <v>48396</v>
      </c>
      <c r="P32" s="1">
        <v>48761</v>
      </c>
      <c r="Q32" s="1">
        <v>49126</v>
      </c>
      <c r="R32" s="1">
        <v>49491</v>
      </c>
      <c r="S32" s="1">
        <v>49857</v>
      </c>
      <c r="T32" s="1">
        <v>50222</v>
      </c>
      <c r="U32" s="1"/>
      <c r="V32" s="1"/>
      <c r="W32" s="1"/>
    </row>
    <row r="33" spans="7:20" x14ac:dyDescent="0.25">
      <c r="G33" s="75" t="str" cm="1">
        <f t="array" ref="G33:G38">oz.LabelAmortiseλ(A23)</f>
        <v>Renovation Debt Issuance</v>
      </c>
      <c r="H33" s="95" cm="1">
        <f t="array" ref="H33:H38">oz.SumAmortiseλ(_xlfn.ANCHORARRAY(I33))</f>
        <v>0</v>
      </c>
      <c r="I33" s="55" cm="1">
        <f t="array" ref="I33:T38">oz.TimelinePositionλ(_xlfn.ANCHORARRAY(I23),_xlfn.ANCHORARRAY(I32), oz.TimelineOffsetλ(E23,_xlfn.ANCHORARRAY($I$32)))</f>
        <v>51642</v>
      </c>
      <c r="J33">
        <v>0</v>
      </c>
      <c r="K33">
        <v>0</v>
      </c>
      <c r="L33">
        <v>0</v>
      </c>
      <c r="M33">
        <v>0</v>
      </c>
      <c r="N33">
        <v>0</v>
      </c>
      <c r="O33">
        <v>0</v>
      </c>
      <c r="P33">
        <v>0</v>
      </c>
      <c r="Q33">
        <v>0</v>
      </c>
      <c r="R33">
        <v>0</v>
      </c>
      <c r="S33">
        <v>0</v>
      </c>
      <c r="T33">
        <v>0</v>
      </c>
    </row>
    <row r="34" spans="7:20" x14ac:dyDescent="0.25">
      <c r="G34" t="str">
        <v>Renovation Debt Balance</v>
      </c>
      <c r="H34">
        <v>0</v>
      </c>
      <c r="I34">
        <v>51642</v>
      </c>
      <c r="J34">
        <v>0</v>
      </c>
      <c r="K34">
        <v>0</v>
      </c>
      <c r="L34">
        <v>0</v>
      </c>
      <c r="M34">
        <v>0</v>
      </c>
      <c r="N34">
        <v>0</v>
      </c>
      <c r="O34">
        <v>0</v>
      </c>
      <c r="P34">
        <v>0</v>
      </c>
      <c r="Q34">
        <v>0</v>
      </c>
      <c r="R34">
        <v>0</v>
      </c>
      <c r="S34">
        <v>0</v>
      </c>
      <c r="T34">
        <v>0</v>
      </c>
    </row>
    <row r="35" spans="7:20" x14ac:dyDescent="0.25">
      <c r="G35" t="str">
        <v>Renovation Interest</v>
      </c>
      <c r="H35">
        <v>1671.3019720882637</v>
      </c>
      <c r="I35">
        <v>1671.3019720882637</v>
      </c>
      <c r="J35">
        <v>0</v>
      </c>
      <c r="K35">
        <v>0</v>
      </c>
      <c r="L35">
        <v>0</v>
      </c>
      <c r="M35">
        <v>0</v>
      </c>
      <c r="N35">
        <v>0</v>
      </c>
      <c r="O35">
        <v>0</v>
      </c>
      <c r="P35">
        <v>0</v>
      </c>
      <c r="Q35">
        <v>0</v>
      </c>
      <c r="R35">
        <v>0</v>
      </c>
      <c r="S35">
        <v>0</v>
      </c>
      <c r="T35">
        <v>0</v>
      </c>
    </row>
    <row r="36" spans="7:20" x14ac:dyDescent="0.25">
      <c r="G36" t="str">
        <v>Renovation Debt Services</v>
      </c>
      <c r="H36">
        <v>-53313.30197208828</v>
      </c>
      <c r="I36">
        <v>-53313.30197208828</v>
      </c>
      <c r="J36">
        <v>0</v>
      </c>
      <c r="K36">
        <v>0</v>
      </c>
      <c r="L36">
        <v>0</v>
      </c>
      <c r="M36">
        <v>0</v>
      </c>
      <c r="N36">
        <v>0</v>
      </c>
      <c r="O36">
        <v>0</v>
      </c>
      <c r="P36">
        <v>0</v>
      </c>
      <c r="Q36">
        <v>0</v>
      </c>
      <c r="R36">
        <v>0</v>
      </c>
      <c r="S36">
        <v>0</v>
      </c>
      <c r="T36">
        <v>0</v>
      </c>
    </row>
    <row r="37" spans="7:20" x14ac:dyDescent="0.25">
      <c r="G37" t="str">
        <v>Renovation Closing Balance</v>
      </c>
      <c r="H37">
        <v>0</v>
      </c>
      <c r="I37">
        <v>-2.3737811716273427E-10</v>
      </c>
      <c r="J37">
        <v>0</v>
      </c>
      <c r="K37">
        <v>0</v>
      </c>
      <c r="L37">
        <v>0</v>
      </c>
      <c r="M37">
        <v>0</v>
      </c>
      <c r="N37">
        <v>0</v>
      </c>
      <c r="O37">
        <v>0</v>
      </c>
      <c r="P37">
        <v>0</v>
      </c>
      <c r="Q37">
        <v>0</v>
      </c>
      <c r="R37">
        <v>0</v>
      </c>
      <c r="S37">
        <v>0</v>
      </c>
      <c r="T37">
        <v>0</v>
      </c>
    </row>
    <row r="38" spans="7:20" x14ac:dyDescent="0.25">
      <c r="G38" t="str">
        <v>Renovation Debt Repayment</v>
      </c>
      <c r="H38">
        <v>51642.000000000015</v>
      </c>
      <c r="I38">
        <v>51642.000000000015</v>
      </c>
      <c r="J38">
        <v>0</v>
      </c>
      <c r="K38">
        <v>0</v>
      </c>
      <c r="L38">
        <v>0</v>
      </c>
      <c r="M38">
        <v>0</v>
      </c>
      <c r="N38">
        <v>0</v>
      </c>
      <c r="O38">
        <v>0</v>
      </c>
      <c r="P38">
        <v>0</v>
      </c>
      <c r="Q38">
        <v>0</v>
      </c>
      <c r="R38">
        <v>0</v>
      </c>
      <c r="S38">
        <v>0</v>
      </c>
      <c r="T38">
        <v>0</v>
      </c>
    </row>
  </sheetData>
  <mergeCells count="5">
    <mergeCell ref="A1:P1"/>
    <mergeCell ref="A20:C20"/>
    <mergeCell ref="G30:W30"/>
    <mergeCell ref="G20:W20"/>
    <mergeCell ref="A2:Q2"/>
  </mergeCells>
  <conditionalFormatting sqref="A23:E23">
    <cfRule type="expression" dxfId="3" priority="7">
      <formula>MOD(ROW(),2)=0</formula>
    </cfRule>
  </conditionalFormatting>
  <conditionalFormatting sqref="G33:H33">
    <cfRule type="expression" dxfId="2" priority="1">
      <formula>FIND("Closing",$G33)</formula>
    </cfRule>
  </conditionalFormatting>
  <conditionalFormatting sqref="G23:W28">
    <cfRule type="expression" dxfId="1" priority="9">
      <formula>FIND("Closing",$G23)</formula>
    </cfRule>
  </conditionalFormatting>
  <conditionalFormatting sqref="H27:H28">
    <cfRule type="expression" dxfId="0" priority="8">
      <formula>FIND("Closing",$G27)</formula>
    </cfRule>
  </conditionalFormatting>
  <hyperlinks>
    <hyperlink ref="A1" location="'TOC'!$A$1" display="'TOC'!$A$1" xr:uid="{CE0E8EAD-2FC0-48CC-876C-811AE9A43B38}"/>
  </hyperlinks>
  <pageMargins left="0.7" right="0.7" top="0.75" bottom="0.75" header="0.3" footer="0.3"/>
  <pageSetup paperSize="9" scale="51" fitToHeight="0" orientation="landscape" horizontalDpi="0" verticalDpi="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B3A3-3CC3-4FD6-91B5-BD1607A8E8D3}">
  <sheetPr codeName="Sheet21">
    <tabColor rgb="FF990024"/>
    <pageSetUpPr fitToPage="1"/>
  </sheetPr>
  <dimension ref="A1:I26"/>
  <sheetViews>
    <sheetView showGridLines="0" workbookViewId="0">
      <selection sqref="A1:E1"/>
    </sheetView>
  </sheetViews>
  <sheetFormatPr defaultRowHeight="15" x14ac:dyDescent="0.25"/>
  <cols>
    <col min="1" max="1" width="22" bestFit="1" customWidth="1"/>
    <col min="2" max="2" width="99.75" bestFit="1" customWidth="1"/>
  </cols>
  <sheetData>
    <row r="1" spans="1:9" ht="46.5" x14ac:dyDescent="0.7">
      <c r="A1" s="185" t="str">
        <f ca="1">_xlfn.TEXTAFTER(CELL("filename",A1),"]")</f>
        <v>oz.AboutEssentialsλ</v>
      </c>
      <c r="B1" s="185"/>
      <c r="C1" s="185"/>
      <c r="D1" s="185"/>
      <c r="E1" s="185"/>
      <c r="F1" s="6"/>
      <c r="G1" s="6"/>
      <c r="H1" s="6"/>
      <c r="I1" s="6"/>
    </row>
    <row r="2" spans="1:9" x14ac:dyDescent="0.25">
      <c r="A2" s="186" t="s">
        <v>255</v>
      </c>
      <c r="B2" s="187"/>
      <c r="C2" s="187"/>
      <c r="D2" s="187"/>
      <c r="E2" s="187"/>
      <c r="F2" s="187"/>
      <c r="G2" s="187"/>
      <c r="H2" s="187"/>
      <c r="I2" s="188"/>
    </row>
    <row r="3" spans="1:9" x14ac:dyDescent="0.25">
      <c r="A3" s="4"/>
      <c r="B3" s="4"/>
      <c r="C3" s="4"/>
      <c r="D3" s="4"/>
      <c r="E3" s="4"/>
      <c r="F3" s="4"/>
      <c r="G3" s="4"/>
      <c r="H3" s="4"/>
      <c r="I3" s="4"/>
    </row>
    <row r="5" spans="1:9" x14ac:dyDescent="0.25">
      <c r="A5" s="24" t="str" cm="1">
        <f t="array" ref="A5:B26">oz.AboutEssentialsλ</f>
        <v>About:</v>
      </c>
      <c r="B5" t="str">
        <v>Basic functions for working with dynamic arrays. Suggested module name: oz</v>
      </c>
    </row>
    <row r="6" spans="1:9" x14ac:dyDescent="0.25">
      <c r="A6" t="str">
        <v>Version:</v>
      </c>
      <c r="B6" t="str">
        <v>20 Aug 2026</v>
      </c>
    </row>
    <row r="7" spans="1:9" x14ac:dyDescent="0.25">
      <c r="A7" t="str">
        <v>Repository:</v>
      </c>
      <c r="B7" t="str">
        <v>https://github.com/ryanduguid/Ozzit</v>
      </c>
    </row>
    <row r="8" spans="1:9" x14ac:dyDescent="0.25">
      <c r="A8" t="str">
        <v/>
      </c>
      <c r="B8" t="str">
        <v/>
      </c>
      <c r="D8" s="3"/>
    </row>
    <row r="9" spans="1:9" x14ac:dyDescent="0.25">
      <c r="A9" t="str">
        <v>Function</v>
      </c>
      <c r="B9" t="str">
        <v>Description</v>
      </c>
    </row>
    <row r="10" spans="1:9" x14ac:dyDescent="0.25">
      <c r="A10" t="str">
        <v>AboutEssentialsλ</v>
      </c>
      <c r="B10" t="str">
        <v>Produces this table</v>
      </c>
    </row>
    <row r="11" spans="1:9" x14ac:dyDescent="0.25">
      <c r="A11" t="str">
        <v>CountCλ</v>
      </c>
      <c r="B11" t="str">
        <v>Count how many of one or more characters are in a text string</v>
      </c>
    </row>
    <row r="12" spans="1:9" x14ac:dyDescent="0.25">
      <c r="A12" t="str">
        <v>SumColsλ</v>
      </c>
      <c r="B12" t="str">
        <v>Get the total of each column</v>
      </c>
    </row>
    <row r="13" spans="1:9" x14ac:dyDescent="0.25">
      <c r="A13" t="str">
        <v>SumRowsλ</v>
      </c>
      <c r="B13" t="str">
        <v>Get the total of each row</v>
      </c>
    </row>
    <row r="14" spans="1:9" x14ac:dyDescent="0.25">
      <c r="A14" t="str">
        <v>AvgColsλ</v>
      </c>
      <c r="B14" t="str">
        <v>Get the average of each column</v>
      </c>
    </row>
    <row r="15" spans="1:9" x14ac:dyDescent="0.25">
      <c r="A15" t="str">
        <v>AvgRowsλ</v>
      </c>
      <c r="B15" t="str">
        <v>Get the average of each row</v>
      </c>
    </row>
    <row r="16" spans="1:9" x14ac:dyDescent="0.25">
      <c r="A16" t="str">
        <v>MinColsλ</v>
      </c>
      <c r="B16" t="str">
        <v>Get the minimum of each column</v>
      </c>
    </row>
    <row r="17" spans="1:2" x14ac:dyDescent="0.25">
      <c r="A17" t="str">
        <v>MinRowsλ</v>
      </c>
      <c r="B17" t="str">
        <v>Get the minimum of each row</v>
      </c>
    </row>
    <row r="18" spans="1:2" x14ac:dyDescent="0.25">
      <c r="A18" t="str">
        <v>MaxColsλ</v>
      </c>
      <c r="B18" t="str">
        <v>Get the maximum of each column</v>
      </c>
    </row>
    <row r="19" spans="1:2" x14ac:dyDescent="0.25">
      <c r="A19" t="str">
        <v>MaxRowsλ</v>
      </c>
      <c r="B19" t="str">
        <v>Get the maximum of each row</v>
      </c>
    </row>
    <row r="20" spans="1:2" x14ac:dyDescent="0.25">
      <c r="A20" t="str">
        <v>CountColsλ</v>
      </c>
      <c r="B20" t="str">
        <v>Get the count of numbers in each column</v>
      </c>
    </row>
    <row r="21" spans="1:2" x14ac:dyDescent="0.25">
      <c r="A21" t="str">
        <v>CountRowsλ</v>
      </c>
      <c r="B21" t="str">
        <v>Get the count of numbers in each row</v>
      </c>
    </row>
    <row r="22" spans="1:2" x14ac:dyDescent="0.25">
      <c r="A22" t="str">
        <v>CountAColsλ</v>
      </c>
      <c r="B22" t="str">
        <v>Get the count of everything of each column</v>
      </c>
    </row>
    <row r="23" spans="1:2" x14ac:dyDescent="0.25">
      <c r="A23" t="str">
        <v>CountARowsλ</v>
      </c>
      <c r="B23" t="str">
        <v>Get the count of everything of each row</v>
      </c>
    </row>
    <row r="24" spans="1:2" x14ac:dyDescent="0.25">
      <c r="A24" t="str">
        <v>IsBetweenEλ</v>
      </c>
      <c r="B24" t="str">
        <v>Determine if a value is between a lower and upper limit.</v>
      </c>
    </row>
    <row r="25" spans="1:2" x14ac:dyDescent="0.25">
      <c r="A25" t="str">
        <v>IsInListλ</v>
      </c>
      <c r="B25" t="str">
        <v>Determine if a value is one of a list of items.</v>
      </c>
    </row>
    <row r="26" spans="1:2" x14ac:dyDescent="0.25">
      <c r="A26" t="str">
        <v>RangeToDAEλ</v>
      </c>
      <c r="B26" t="str">
        <v>Convert a range reference to a dynamic array reference</v>
      </c>
    </row>
  </sheetData>
  <mergeCells count="2">
    <mergeCell ref="A1:E1"/>
    <mergeCell ref="A2:I2"/>
  </mergeCells>
  <hyperlinks>
    <hyperlink ref="A1" location="'TOC'!$A$1" display="'TOC'!$A$1" xr:uid="{B6AE302E-D617-484D-8915-B28641065E9C}"/>
  </hyperlinks>
  <pageMargins left="0.7" right="0.7" top="0.75" bottom="0.75" header="0.3" footer="0.3"/>
  <pageSetup paperSize="9" scale="54" fitToHeight="0" orientation="landscape" horizontalDpi="0" verticalDpi="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3D5D-5080-400A-ADA8-02E89DF86758}">
  <sheetPr codeName="Sheet22">
    <tabColor rgb="FF990024"/>
    <pageSetUpPr fitToPage="1"/>
  </sheetPr>
  <dimension ref="A1:Q21"/>
  <sheetViews>
    <sheetView showGridLines="0" workbookViewId="0">
      <selection sqref="A1:K1"/>
    </sheetView>
  </sheetViews>
  <sheetFormatPr defaultRowHeight="15" x14ac:dyDescent="0.25"/>
  <cols>
    <col min="1" max="1" width="12.75" bestFit="1" customWidth="1"/>
    <col min="2" max="2" width="23.875" customWidth="1"/>
    <col min="3" max="3" width="9.875" bestFit="1" customWidth="1"/>
    <col min="4" max="4" width="6.125" bestFit="1" customWidth="1"/>
    <col min="5" max="5" width="22.125" bestFit="1" customWidth="1"/>
    <col min="6" max="6" width="15.625" bestFit="1" customWidth="1"/>
    <col min="7" max="18" width="10.125" bestFit="1" customWidth="1"/>
  </cols>
  <sheetData>
    <row r="1" spans="1:17" ht="46.5" x14ac:dyDescent="0.7">
      <c r="A1" s="185" t="str">
        <f ca="1">_xlfn.TEXTAFTER(CELL("filename",A1),"]")</f>
        <v>oz.CountCλ</v>
      </c>
      <c r="B1" s="185"/>
      <c r="C1" s="185"/>
      <c r="D1" s="185"/>
      <c r="E1" s="185"/>
      <c r="F1" s="185"/>
      <c r="G1" s="185"/>
      <c r="H1" s="185"/>
      <c r="I1" s="185"/>
      <c r="J1" s="185"/>
      <c r="K1" s="185"/>
    </row>
    <row r="2" spans="1:17" x14ac:dyDescent="0.25">
      <c r="A2" s="186" t="s">
        <v>289</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row>
    <row r="4" spans="1:17" x14ac:dyDescent="0.25">
      <c r="A4" s="55" t="str" cm="1">
        <f t="array" ref="A4:B13">oz.CountCλ()</f>
        <v>FUNCTION:</v>
      </c>
      <c r="B4" t="str">
        <v>CountCλ( Text, Characters)</v>
      </c>
    </row>
    <row r="5" spans="1:17" x14ac:dyDescent="0.25">
      <c r="A5" t="str">
        <v>DESCRIPTION:</v>
      </c>
      <c r="B5" t="str">
        <v>Count how many of one or more characters are in a string.</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Text</v>
      </c>
      <c r="B9" t="str">
        <v>(Required) The string to interrogate. Empty text returns 0</v>
      </c>
    </row>
    <row r="10" spans="1:17" x14ac:dyDescent="0.25">
      <c r="A10" t="str">
        <v>Characters</v>
      </c>
      <c r="B10" t="str">
        <v>(Required) A single character, or CSV of characters to find in Text</v>
      </c>
    </row>
    <row r="11" spans="1:17" x14ac:dyDescent="0.25">
      <c r="A11" t="str">
        <v/>
      </c>
      <c r="B11" t="str">
        <v>NOTE! Case sensitive. A single character is taken as itself, so a comma works</v>
      </c>
    </row>
    <row r="12" spans="1:17" x14ac:dyDescent="0.25">
      <c r="A12" t="str">
        <v>EXAMPLES:</v>
      </c>
      <c r="B12" t="str">
        <v>Formula (oz is assumed to be the module's name)</v>
      </c>
    </row>
    <row r="13" spans="1:17" x14ac:dyDescent="0.25">
      <c r="A13" t="str">
        <v/>
      </c>
      <c r="B13" t="str">
        <v>=oz.CountCλ( "Mary had a little lamb", "a,b")</v>
      </c>
    </row>
    <row r="16" spans="1:17" x14ac:dyDescent="0.25">
      <c r="B16" s="83" t="s">
        <v>266</v>
      </c>
      <c r="C16" s="83" t="s">
        <v>265</v>
      </c>
      <c r="D16" s="1" t="s">
        <v>267</v>
      </c>
      <c r="E16" s="136" t="s">
        <v>273</v>
      </c>
      <c r="F16" s="1"/>
      <c r="G16" s="1"/>
      <c r="H16" s="1"/>
      <c r="I16" s="1"/>
      <c r="J16" s="1"/>
      <c r="K16" s="1"/>
      <c r="L16" s="1"/>
      <c r="M16" s="1"/>
      <c r="N16" s="1"/>
      <c r="O16" s="1"/>
    </row>
    <row r="17" spans="2:5" x14ac:dyDescent="0.25">
      <c r="B17" s="14" t="s">
        <v>268</v>
      </c>
      <c r="C17" s="67" t="s">
        <v>269</v>
      </c>
      <c r="D17" s="55" cm="1">
        <f t="array" ref="D17">oz.CountCλ(B17,C17)</f>
        <v>5</v>
      </c>
      <c r="E17" t="s">
        <v>274</v>
      </c>
    </row>
    <row r="18" spans="2:5" x14ac:dyDescent="0.25">
      <c r="B18" s="14" t="s">
        <v>268</v>
      </c>
      <c r="C18" s="67" t="s">
        <v>20</v>
      </c>
      <c r="D18" s="55" cm="1">
        <f t="array" ref="D18">oz.CountCλ(B18,C18)</f>
        <v>1</v>
      </c>
      <c r="E18" t="s">
        <v>275</v>
      </c>
    </row>
    <row r="19" spans="2:5" x14ac:dyDescent="0.25">
      <c r="B19" s="14" t="s">
        <v>268</v>
      </c>
      <c r="C19" s="67" t="s">
        <v>270</v>
      </c>
      <c r="D19" s="55" cm="1">
        <f t="array" ref="D19">oz.CountCλ(B19,C19)</f>
        <v>2</v>
      </c>
    </row>
    <row r="20" spans="2:5" x14ac:dyDescent="0.25">
      <c r="B20" s="14" t="s">
        <v>268</v>
      </c>
      <c r="C20" s="67" t="s">
        <v>271</v>
      </c>
      <c r="D20" s="55" cm="1">
        <f t="array" ref="D20">oz.CountCλ(B20,C20)</f>
        <v>3</v>
      </c>
    </row>
    <row r="21" spans="2:5" x14ac:dyDescent="0.25">
      <c r="B21" s="14" t="s">
        <v>268</v>
      </c>
      <c r="C21" s="67" t="s">
        <v>272</v>
      </c>
      <c r="D21" s="55" cm="1">
        <f t="array" ref="D21">oz.CountCλ(B21,C21)</f>
        <v>3</v>
      </c>
      <c r="E21" t="s">
        <v>276</v>
      </c>
    </row>
  </sheetData>
  <mergeCells count="2">
    <mergeCell ref="A1:K1"/>
    <mergeCell ref="A2:Q2"/>
  </mergeCells>
  <hyperlinks>
    <hyperlink ref="A1" location="'TOC'!$A$1" display="'TOC'!$A$1" xr:uid="{A745DC2E-F8AB-4E84-B9E0-B68127444689}"/>
  </hyperlinks>
  <pageMargins left="0.7" right="0.7" top="0.75" bottom="0.75" header="0.3" footer="0.3"/>
  <pageSetup paperSize="9" scale="62" fitToHeight="0" orientation="landscape"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37BA-5C36-4C12-8821-56EB1BFBD90B}">
  <sheetPr codeName="Sheet49">
    <tabColor rgb="FF990024"/>
    <pageSetUpPr fitToPage="1"/>
  </sheetPr>
  <dimension ref="A1:R25"/>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7" ht="46.5" x14ac:dyDescent="0.7">
      <c r="A1" s="185" t="str">
        <f ca="1">_xlfn.TEXTAFTER(CELL("filename",A1),"]")</f>
        <v>oz.SumRowsλ</v>
      </c>
      <c r="B1" s="185"/>
      <c r="C1" s="185"/>
      <c r="D1" s="185"/>
      <c r="E1" s="185"/>
      <c r="F1" s="185"/>
      <c r="G1" s="185"/>
      <c r="H1" s="185"/>
      <c r="I1" s="185"/>
      <c r="J1" s="185"/>
      <c r="K1" s="185"/>
    </row>
    <row r="2" spans="1:17" x14ac:dyDescent="0.25">
      <c r="A2" s="186" t="s">
        <v>89</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row>
    <row r="4" spans="1:17" x14ac:dyDescent="0.25">
      <c r="A4" s="55" t="str" cm="1">
        <f t="array" ref="A4:B11">oz.SumRowsλ()</f>
        <v>FUNCTION:</v>
      </c>
      <c r="B4" t="str">
        <v>SumRowsλ( Array)</v>
      </c>
    </row>
    <row r="5" spans="1:17" x14ac:dyDescent="0.25">
      <c r="A5" t="str">
        <v>DESCRIPTION:</v>
      </c>
      <c r="B5" t="str">
        <v>Get the total of each row</v>
      </c>
    </row>
    <row r="6" spans="1:17" x14ac:dyDescent="0.25">
      <c r="A6" t="str">
        <v>WEBPAGE:</v>
      </c>
      <c r="B6" t="str">
        <v>https://github.com/ryanduguid/Ozzit</v>
      </c>
    </row>
    <row r="7" spans="1:17" x14ac:dyDescent="0.25">
      <c r="A7" t="str">
        <v>VERSION:</v>
      </c>
      <c r="B7" t="str">
        <v>20 Aug 2026</v>
      </c>
    </row>
    <row r="8" spans="1:17" x14ac:dyDescent="0.25">
      <c r="A8" t="str">
        <v>PARAMETERS:</v>
      </c>
      <c r="B8" t="str">
        <v/>
      </c>
    </row>
    <row r="9" spans="1:17" x14ac:dyDescent="0.25">
      <c r="A9" t="str">
        <v>Array</v>
      </c>
      <c r="B9" t="str">
        <v>(Required) A two dimensional array/range containing values to be totalled by row.</v>
      </c>
    </row>
    <row r="10" spans="1:17" x14ac:dyDescent="0.25">
      <c r="A10" t="str">
        <v>EXAMPLES:</v>
      </c>
      <c r="B10" t="str">
        <v>Formula (oz is assumed to be the module's name)</v>
      </c>
    </row>
    <row r="11" spans="1:17" x14ac:dyDescent="0.25">
      <c r="A11" t="str">
        <v/>
      </c>
      <c r="B11" t="str">
        <v>=oz.SumRowsλ( SEQUENCE(5,5))</v>
      </c>
    </row>
    <row r="17" spans="1:18" ht="21" x14ac:dyDescent="0.35">
      <c r="A17" s="203" t="s">
        <v>148</v>
      </c>
      <c r="B17" s="203"/>
      <c r="C17" s="203"/>
    </row>
    <row r="19" spans="1:18" x14ac:dyDescent="0.25">
      <c r="A19" s="54" t="s">
        <v>149</v>
      </c>
      <c r="B19" s="54" t="s">
        <v>14</v>
      </c>
      <c r="C19" s="54" t="s">
        <v>15</v>
      </c>
      <c r="E19" s="83" t="s">
        <v>7</v>
      </c>
      <c r="F19" s="83" t="s">
        <v>152</v>
      </c>
      <c r="G19" s="1" cm="1">
        <f t="array" ref="G19:R19">oz.Timelineλ($B$20,$B$21,$B$22)</f>
        <v>46204</v>
      </c>
      <c r="H19" s="1">
        <v>46569</v>
      </c>
      <c r="I19" s="1">
        <v>46935</v>
      </c>
      <c r="J19" s="1">
        <v>47300</v>
      </c>
      <c r="K19" s="1">
        <v>47665</v>
      </c>
      <c r="L19" s="1">
        <v>48030</v>
      </c>
      <c r="M19" s="1">
        <v>48396</v>
      </c>
      <c r="N19" s="1">
        <v>48761</v>
      </c>
      <c r="O19" s="1">
        <v>49126</v>
      </c>
      <c r="P19" s="1">
        <v>49491</v>
      </c>
      <c r="Q19" s="1">
        <v>49857</v>
      </c>
      <c r="R19" s="1">
        <v>50222</v>
      </c>
    </row>
    <row r="20" spans="1:18" x14ac:dyDescent="0.25">
      <c r="A20" t="s">
        <v>112</v>
      </c>
      <c r="B20" s="34">
        <v>46204</v>
      </c>
      <c r="C20" t="s">
        <v>21</v>
      </c>
      <c r="E20" s="14" t="str" cm="1">
        <f t="array" ref="E20:E24">tblCT[Customer]</f>
        <v>ACME</v>
      </c>
      <c r="F20" s="129" cm="1">
        <f t="array" ref="F20:F24">oz.SumRowsλ(_xlfn.ANCHORARRAY(G20))</f>
        <v>13098</v>
      </c>
      <c r="G20" s="128" cm="1">
        <f t="array" ref="G20:R24">_xlfn.MAKEARRAY(COUNTA(_xlfn.ANCHORARRAY( E20)), COUNTA(_xlfn.ANCHORARRAY( G19)), _xlfn.LAMBDA(_xlpm.r,_xlpm.c, 1000 + MOD(_xlpm.r * 7 + _xlpm.c * 13, 10000 - 1000 + 1)))</f>
        <v>1020</v>
      </c>
      <c r="H20">
        <v>1033</v>
      </c>
      <c r="I20">
        <v>1046</v>
      </c>
      <c r="J20">
        <v>1059</v>
      </c>
      <c r="K20">
        <v>1072</v>
      </c>
      <c r="L20">
        <v>1085</v>
      </c>
      <c r="M20">
        <v>1098</v>
      </c>
      <c r="N20">
        <v>1111</v>
      </c>
      <c r="O20">
        <v>1124</v>
      </c>
      <c r="P20">
        <v>1137</v>
      </c>
      <c r="Q20">
        <v>1150</v>
      </c>
      <c r="R20">
        <v>1163</v>
      </c>
    </row>
    <row r="21" spans="1:18" x14ac:dyDescent="0.25">
      <c r="A21" t="s">
        <v>17</v>
      </c>
      <c r="B21">
        <v>12</v>
      </c>
      <c r="C21" t="s">
        <v>22</v>
      </c>
      <c r="E21" s="14" t="str">
        <v>Wool*Art</v>
      </c>
      <c r="F21" s="67">
        <v>13182</v>
      </c>
      <c r="G21" s="67">
        <v>1027</v>
      </c>
      <c r="H21">
        <v>1040</v>
      </c>
      <c r="I21">
        <v>1053</v>
      </c>
      <c r="J21">
        <v>1066</v>
      </c>
      <c r="K21">
        <v>1079</v>
      </c>
      <c r="L21">
        <v>1092</v>
      </c>
      <c r="M21">
        <v>1105</v>
      </c>
      <c r="N21">
        <v>1118</v>
      </c>
      <c r="O21">
        <v>1131</v>
      </c>
      <c r="P21">
        <v>1144</v>
      </c>
      <c r="Q21">
        <v>1157</v>
      </c>
      <c r="R21">
        <v>1170</v>
      </c>
    </row>
    <row r="22" spans="1:18" x14ac:dyDescent="0.25">
      <c r="A22" t="s">
        <v>18</v>
      </c>
      <c r="B22" t="s">
        <v>2</v>
      </c>
      <c r="E22" s="14" t="str">
        <v>Town Hall</v>
      </c>
      <c r="F22" s="67">
        <v>13266</v>
      </c>
      <c r="G22" s="67">
        <v>1034</v>
      </c>
      <c r="H22">
        <v>1047</v>
      </c>
      <c r="I22">
        <v>1060</v>
      </c>
      <c r="J22">
        <v>1073</v>
      </c>
      <c r="K22">
        <v>1086</v>
      </c>
      <c r="L22">
        <v>1099</v>
      </c>
      <c r="M22">
        <v>1112</v>
      </c>
      <c r="N22">
        <v>1125</v>
      </c>
      <c r="O22">
        <v>1138</v>
      </c>
      <c r="P22">
        <v>1151</v>
      </c>
      <c r="Q22">
        <v>1164</v>
      </c>
      <c r="R22">
        <v>1177</v>
      </c>
    </row>
    <row r="23" spans="1:18" x14ac:dyDescent="0.25">
      <c r="E23" s="14" t="str">
        <v>Jacqie Penee</v>
      </c>
      <c r="F23" s="67">
        <v>13350</v>
      </c>
      <c r="G23">
        <v>1041</v>
      </c>
      <c r="H23">
        <v>1054</v>
      </c>
      <c r="I23">
        <v>1067</v>
      </c>
      <c r="J23">
        <v>1080</v>
      </c>
      <c r="K23">
        <v>1093</v>
      </c>
      <c r="L23">
        <v>1106</v>
      </c>
      <c r="M23">
        <v>1119</v>
      </c>
      <c r="N23">
        <v>1132</v>
      </c>
      <c r="O23">
        <v>1145</v>
      </c>
      <c r="P23">
        <v>1158</v>
      </c>
      <c r="Q23">
        <v>1171</v>
      </c>
      <c r="R23">
        <v>1184</v>
      </c>
    </row>
    <row r="24" spans="1:18" x14ac:dyDescent="0.25">
      <c r="E24" s="14" t="str">
        <v>Amazonia</v>
      </c>
      <c r="F24" s="67">
        <v>13434</v>
      </c>
      <c r="G24">
        <v>1048</v>
      </c>
      <c r="H24">
        <v>1061</v>
      </c>
      <c r="I24">
        <v>1074</v>
      </c>
      <c r="J24">
        <v>1087</v>
      </c>
      <c r="K24">
        <v>1100</v>
      </c>
      <c r="L24">
        <v>1113</v>
      </c>
      <c r="M24">
        <v>1126</v>
      </c>
      <c r="N24">
        <v>1139</v>
      </c>
      <c r="O24">
        <v>1152</v>
      </c>
      <c r="P24">
        <v>1165</v>
      </c>
      <c r="Q24">
        <v>1178</v>
      </c>
      <c r="R24">
        <v>1191</v>
      </c>
    </row>
    <row r="25" spans="1:18" ht="15.75" thickBot="1" x14ac:dyDescent="0.3">
      <c r="E25" s="96" t="s">
        <v>5</v>
      </c>
      <c r="F25" s="64">
        <f>SUM(_xlfn.ANCHORARRAY(G25))</f>
        <v>66330</v>
      </c>
      <c r="G25" s="64" cm="1">
        <f t="array" ref="G25:R25">oz.SumColsλ(_xlfn.ANCHORARRAY(G20))</f>
        <v>5170</v>
      </c>
      <c r="H25" s="64">
        <v>5235</v>
      </c>
      <c r="I25" s="64">
        <v>5300</v>
      </c>
      <c r="J25" s="64">
        <v>5365</v>
      </c>
      <c r="K25" s="64">
        <v>5430</v>
      </c>
      <c r="L25" s="64">
        <v>5495</v>
      </c>
      <c r="M25" s="64">
        <v>5560</v>
      </c>
      <c r="N25" s="64">
        <v>5625</v>
      </c>
      <c r="O25" s="64">
        <v>5690</v>
      </c>
      <c r="P25" s="64">
        <v>5755</v>
      </c>
      <c r="Q25" s="64">
        <v>5820</v>
      </c>
      <c r="R25" s="64">
        <v>5885</v>
      </c>
    </row>
  </sheetData>
  <mergeCells count="3">
    <mergeCell ref="A1:K1"/>
    <mergeCell ref="A17:C17"/>
    <mergeCell ref="A2:Q2"/>
  </mergeCells>
  <hyperlinks>
    <hyperlink ref="A1" location="'TOC'!$A$1" display="'TOC'!$A$1" xr:uid="{4AB2A53D-4913-401C-9816-B1BB1FB12942}"/>
  </hyperlinks>
  <pageMargins left="0.7" right="0.7" top="0.75" bottom="0.75" header="0.3" footer="0.3"/>
  <pageSetup paperSize="9" scale="64" fitToHeight="0" orientation="landscape" horizontalDpi="0" verticalDpi="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C8ED-CB6E-49D4-9B48-1967C20B45F3}">
  <sheetPr codeName="Sheet50">
    <tabColor rgb="FF990024"/>
    <pageSetUpPr fitToPage="1"/>
  </sheetPr>
  <dimension ref="A1:S2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185" t="str">
        <f ca="1">_xlfn.TEXTAFTER(CELL("filename",A1),"]")</f>
        <v>oz.SumColsλ</v>
      </c>
      <c r="B1" s="185"/>
      <c r="C1" s="185"/>
      <c r="D1" s="185"/>
      <c r="E1" s="185"/>
      <c r="F1" s="185"/>
      <c r="G1" s="185"/>
      <c r="H1" s="185"/>
      <c r="I1" s="185"/>
      <c r="J1" s="185"/>
      <c r="K1" s="185"/>
      <c r="L1" s="185"/>
      <c r="M1" s="185"/>
      <c r="N1" s="185"/>
      <c r="O1" s="185"/>
      <c r="P1" s="185"/>
    </row>
    <row r="2" spans="1:19" x14ac:dyDescent="0.25">
      <c r="A2" s="186" t="s">
        <v>260</v>
      </c>
      <c r="B2" s="191"/>
      <c r="C2" s="191"/>
      <c r="D2" s="191"/>
      <c r="E2" s="191"/>
      <c r="F2" s="191"/>
      <c r="G2" s="191"/>
      <c r="H2" s="191"/>
      <c r="I2" s="191"/>
      <c r="J2" s="191"/>
      <c r="K2" s="191"/>
      <c r="L2" s="191"/>
      <c r="M2" s="191"/>
      <c r="N2" s="191"/>
      <c r="O2" s="191"/>
      <c r="P2" s="191"/>
      <c r="Q2" s="191"/>
      <c r="R2" s="191"/>
    </row>
    <row r="3" spans="1:19" x14ac:dyDescent="0.25">
      <c r="A3" s="4"/>
      <c r="B3" s="4"/>
      <c r="C3" s="4"/>
      <c r="D3" s="4"/>
      <c r="E3" s="4"/>
      <c r="F3" s="4"/>
      <c r="G3" s="4"/>
      <c r="H3" s="4"/>
      <c r="I3" s="4"/>
      <c r="J3" s="4"/>
      <c r="K3" s="4"/>
      <c r="L3" s="4"/>
      <c r="M3" s="4"/>
      <c r="N3" s="4"/>
      <c r="O3" s="4"/>
      <c r="P3" s="4"/>
    </row>
    <row r="4" spans="1:19" x14ac:dyDescent="0.25">
      <c r="A4" s="55" t="str" cm="1">
        <f t="array" ref="A4:B11">oz.SumColsλ()</f>
        <v>FUNCTION:</v>
      </c>
      <c r="B4" t="str">
        <v>SumColsλ( Array)</v>
      </c>
    </row>
    <row r="5" spans="1:19" x14ac:dyDescent="0.25">
      <c r="A5" t="str">
        <v>DESCRIPTION:</v>
      </c>
      <c r="B5" t="str">
        <v>Get the total of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be totalled by column.</v>
      </c>
    </row>
    <row r="10" spans="1:19" x14ac:dyDescent="0.25">
      <c r="A10" t="str">
        <v>EXAMPLES:</v>
      </c>
      <c r="B10" t="str">
        <v>Formula (oz is assumed to be the module's name)</v>
      </c>
    </row>
    <row r="11" spans="1:19" x14ac:dyDescent="0.25">
      <c r="A11" t="str">
        <v/>
      </c>
      <c r="B11" t="str">
        <v>=oz.SumColsλ( SEQUENCE(5,5))</v>
      </c>
    </row>
    <row r="14" spans="1:19" ht="21" x14ac:dyDescent="0.35">
      <c r="A14" s="203" t="s">
        <v>148</v>
      </c>
      <c r="B14" s="203"/>
      <c r="C14" s="203"/>
    </row>
    <row r="16" spans="1:19" x14ac:dyDescent="0.25">
      <c r="A16" s="54" t="s">
        <v>149</v>
      </c>
      <c r="B16" s="54" t="s">
        <v>14</v>
      </c>
      <c r="C16" s="54" t="s">
        <v>15</v>
      </c>
      <c r="F16" s="54" t="s">
        <v>140</v>
      </c>
      <c r="G16" s="48" t="s">
        <v>152</v>
      </c>
      <c r="H16" s="49"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112</v>
      </c>
      <c r="B17" s="34">
        <v>46204</v>
      </c>
      <c r="C17" t="s">
        <v>21</v>
      </c>
      <c r="F17" t="str" cm="1">
        <f t="array" ref="F17:F21">tblCT[Customer]</f>
        <v>ACME</v>
      </c>
      <c r="G17" cm="1">
        <f t="array" ref="G17:G21">oz.SumRowsλ(_xlfn.ANCHORARRAY(H17))</f>
        <v>13098</v>
      </c>
      <c r="H17" s="85" cm="1">
        <f t="array" ref="H17:S21">_xlfn.MAKEARRAY(COUNTA(_xlfn.ANCHORARRAY(F17)), COUNTA(_xlfn.ANCHORARRAY(H16)), _xlfn.LAMBDA(_xlpm.r,_xlpm.c, 1000 + MOD(_xlpm.r * 7 + _xlpm.c * 13, 10000 - 1000 + 1)))</f>
        <v>1020</v>
      </c>
      <c r="I17">
        <v>1033</v>
      </c>
      <c r="J17">
        <v>1046</v>
      </c>
      <c r="K17">
        <v>1059</v>
      </c>
      <c r="L17">
        <v>1072</v>
      </c>
      <c r="M17">
        <v>1085</v>
      </c>
      <c r="N17">
        <v>1098</v>
      </c>
      <c r="O17">
        <v>1111</v>
      </c>
      <c r="P17">
        <v>1124</v>
      </c>
      <c r="Q17">
        <v>1137</v>
      </c>
      <c r="R17">
        <v>1150</v>
      </c>
      <c r="S17">
        <v>1163</v>
      </c>
    </row>
    <row r="18" spans="1:19" x14ac:dyDescent="0.25">
      <c r="A18" t="s">
        <v>17</v>
      </c>
      <c r="B18">
        <v>12</v>
      </c>
      <c r="C18" t="s">
        <v>22</v>
      </c>
      <c r="F18" t="str">
        <v>Wool*Art</v>
      </c>
      <c r="G18">
        <v>13182</v>
      </c>
      <c r="H18">
        <v>1027</v>
      </c>
      <c r="I18">
        <v>1040</v>
      </c>
      <c r="J18">
        <v>1053</v>
      </c>
      <c r="K18">
        <v>1066</v>
      </c>
      <c r="L18">
        <v>1079</v>
      </c>
      <c r="M18">
        <v>1092</v>
      </c>
      <c r="N18">
        <v>1105</v>
      </c>
      <c r="O18">
        <v>1118</v>
      </c>
      <c r="P18">
        <v>1131</v>
      </c>
      <c r="Q18">
        <v>1144</v>
      </c>
      <c r="R18">
        <v>1157</v>
      </c>
      <c r="S18">
        <v>1170</v>
      </c>
    </row>
    <row r="19" spans="1:19" x14ac:dyDescent="0.25">
      <c r="A19" t="s">
        <v>18</v>
      </c>
      <c r="B19" t="s">
        <v>20</v>
      </c>
      <c r="F19" t="str">
        <v>Town Hall</v>
      </c>
      <c r="G19">
        <v>13266</v>
      </c>
      <c r="H19">
        <v>1034</v>
      </c>
      <c r="I19">
        <v>1047</v>
      </c>
      <c r="J19">
        <v>1060</v>
      </c>
      <c r="K19">
        <v>1073</v>
      </c>
      <c r="L19">
        <v>1086</v>
      </c>
      <c r="M19">
        <v>1099</v>
      </c>
      <c r="N19">
        <v>1112</v>
      </c>
      <c r="O19">
        <v>1125</v>
      </c>
      <c r="P19">
        <v>1138</v>
      </c>
      <c r="Q19">
        <v>1151</v>
      </c>
      <c r="R19">
        <v>1164</v>
      </c>
      <c r="S19">
        <v>1177</v>
      </c>
    </row>
    <row r="20" spans="1:19" x14ac:dyDescent="0.25">
      <c r="F20" t="str">
        <v>Jacqie Penee</v>
      </c>
      <c r="G20">
        <v>13350</v>
      </c>
      <c r="H20">
        <v>1041</v>
      </c>
      <c r="I20">
        <v>1054</v>
      </c>
      <c r="J20">
        <v>1067</v>
      </c>
      <c r="K20">
        <v>1080</v>
      </c>
      <c r="L20">
        <v>1093</v>
      </c>
      <c r="M20">
        <v>1106</v>
      </c>
      <c r="N20">
        <v>1119</v>
      </c>
      <c r="O20">
        <v>1132</v>
      </c>
      <c r="P20">
        <v>1145</v>
      </c>
      <c r="Q20">
        <v>1158</v>
      </c>
      <c r="R20">
        <v>1171</v>
      </c>
      <c r="S20">
        <v>1184</v>
      </c>
    </row>
    <row r="21" spans="1:19" x14ac:dyDescent="0.25">
      <c r="F21" t="str">
        <v>Amazonia</v>
      </c>
      <c r="G21">
        <v>13434</v>
      </c>
      <c r="H21">
        <v>1048</v>
      </c>
      <c r="I21">
        <v>1061</v>
      </c>
      <c r="J21">
        <v>1074</v>
      </c>
      <c r="K21">
        <v>1087</v>
      </c>
      <c r="L21">
        <v>1100</v>
      </c>
      <c r="M21">
        <v>1113</v>
      </c>
      <c r="N21">
        <v>1126</v>
      </c>
      <c r="O21">
        <v>1139</v>
      </c>
      <c r="P21">
        <v>1152</v>
      </c>
      <c r="Q21">
        <v>1165</v>
      </c>
      <c r="R21">
        <v>1178</v>
      </c>
      <c r="S21">
        <v>1191</v>
      </c>
    </row>
    <row r="22" spans="1:19" x14ac:dyDescent="0.25">
      <c r="F22" s="60" t="s">
        <v>159</v>
      </c>
      <c r="G22" s="60">
        <f>SUM(_xlfn.ANCHORARRAY(H22))</f>
        <v>66330</v>
      </c>
      <c r="H22" s="97" cm="1">
        <f t="array" ref="H22:S22">oz.SumColsλ(_xlfn.ANCHORARRAY(H17))</f>
        <v>5170</v>
      </c>
      <c r="I22" s="60">
        <v>5235</v>
      </c>
      <c r="J22" s="60">
        <v>5300</v>
      </c>
      <c r="K22" s="60">
        <v>5365</v>
      </c>
      <c r="L22" s="60">
        <v>5430</v>
      </c>
      <c r="M22" s="60">
        <v>5495</v>
      </c>
      <c r="N22" s="60">
        <v>5560</v>
      </c>
      <c r="O22" s="60">
        <v>5625</v>
      </c>
      <c r="P22" s="60">
        <v>5690</v>
      </c>
      <c r="Q22" s="60">
        <v>5755</v>
      </c>
      <c r="R22" s="60">
        <v>5820</v>
      </c>
      <c r="S22" s="60">
        <v>5885</v>
      </c>
    </row>
  </sheetData>
  <mergeCells count="3">
    <mergeCell ref="A1:P1"/>
    <mergeCell ref="A14:C14"/>
    <mergeCell ref="A2:R2"/>
  </mergeCells>
  <hyperlinks>
    <hyperlink ref="A1" location="'TOC'!$A$1" display="'TOC'!$A$1" xr:uid="{775083F9-1866-4C3F-B4C6-E07B2BBE8F4B}"/>
  </hyperlinks>
  <pageMargins left="0.7" right="0.7" top="0.75" bottom="0.75" header="0.3" footer="0.3"/>
  <pageSetup paperSize="9" scale="63" fitToHeight="0" orientation="landscape" horizontalDpi="0" verticalDpi="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2445-5A34-4EFA-9DCB-EB7B32DC8D18}">
  <sheetPr codeName="Sheet23">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oz.AvgRowsλ</v>
      </c>
      <c r="B1" s="185"/>
      <c r="C1" s="185"/>
      <c r="D1" s="185"/>
      <c r="E1" s="185"/>
      <c r="F1" s="185"/>
      <c r="G1" s="185"/>
      <c r="H1" s="185"/>
      <c r="I1" s="185"/>
      <c r="J1" s="185"/>
      <c r="K1" s="185"/>
    </row>
    <row r="2" spans="1:18" x14ac:dyDescent="0.25">
      <c r="A2" s="186" t="s">
        <v>259</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oz.AvgRowsλ()</f>
        <v>FUNCTION:</v>
      </c>
      <c r="B4" t="str">
        <v>AvgRowsλ( Array)</v>
      </c>
    </row>
    <row r="5" spans="1:18" x14ac:dyDescent="0.25">
      <c r="A5" t="str">
        <v>DESCRIPTION:</v>
      </c>
      <c r="B5" t="str">
        <v>Get the average of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be averaged by row.</v>
      </c>
    </row>
    <row r="10" spans="1:18" x14ac:dyDescent="0.25">
      <c r="A10" t="str">
        <v>EXAMPLES:</v>
      </c>
      <c r="B10" t="str">
        <v>Formula (oz is assumed to be the module's name)</v>
      </c>
    </row>
    <row r="11" spans="1:18" x14ac:dyDescent="0.25">
      <c r="A11" t="str">
        <v/>
      </c>
      <c r="B11" t="str">
        <v>=oz.AvgRowsλ( SEQUENCE(5,5))</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129" cm="1">
        <f t="array" ref="F17:F21">oz.AvgRowsλ(_xlfn.ANCHORARRAY(G17))</f>
        <v>1091.5</v>
      </c>
      <c r="G17" s="128" cm="1">
        <f t="array" ref="G17:R21">_xlfn.MAKEARRAY(COUNTA(_xlfn.ANCHORARRAY( E17)), COUNTA(_xlfn.ANCHORARRAY( G16)), _xlfn.LAMBDA(_xlpm.r,_xlpm.c, 1000 + MOD(_xlpm.r * 7 + _xlpm.c * 13, 10000 - 1000 + 1)))</f>
        <v>1020</v>
      </c>
      <c r="H17">
        <v>1033</v>
      </c>
      <c r="I17">
        <v>1046</v>
      </c>
      <c r="J17">
        <v>1059</v>
      </c>
      <c r="K17">
        <v>1072</v>
      </c>
      <c r="L17">
        <v>1085</v>
      </c>
      <c r="M17">
        <v>1098</v>
      </c>
      <c r="N17">
        <v>1111</v>
      </c>
      <c r="O17">
        <v>1124</v>
      </c>
      <c r="P17">
        <v>1137</v>
      </c>
      <c r="Q17">
        <v>1150</v>
      </c>
      <c r="R17">
        <v>1163</v>
      </c>
    </row>
    <row r="18" spans="1:18" x14ac:dyDescent="0.25">
      <c r="A18" t="s">
        <v>17</v>
      </c>
      <c r="B18">
        <v>12</v>
      </c>
      <c r="C18" t="s">
        <v>22</v>
      </c>
      <c r="E18" s="14" t="str">
        <v>Wool*Art</v>
      </c>
      <c r="F18" s="67">
        <v>1098.5</v>
      </c>
      <c r="G18" s="67">
        <v>1027</v>
      </c>
      <c r="H18">
        <v>1040</v>
      </c>
      <c r="I18">
        <v>1053</v>
      </c>
      <c r="J18">
        <v>1066</v>
      </c>
      <c r="K18">
        <v>1079</v>
      </c>
      <c r="L18">
        <v>1092</v>
      </c>
      <c r="M18">
        <v>1105</v>
      </c>
      <c r="N18">
        <v>1118</v>
      </c>
      <c r="O18">
        <v>1131</v>
      </c>
      <c r="P18">
        <v>1144</v>
      </c>
      <c r="Q18">
        <v>1157</v>
      </c>
      <c r="R18">
        <v>1170</v>
      </c>
    </row>
    <row r="19" spans="1:18" x14ac:dyDescent="0.25">
      <c r="A19" t="s">
        <v>18</v>
      </c>
      <c r="B19" t="s">
        <v>2</v>
      </c>
      <c r="E19" s="14" t="str">
        <v>Town Hall</v>
      </c>
      <c r="F19" s="67">
        <v>1105.5</v>
      </c>
      <c r="G19" s="67">
        <v>1034</v>
      </c>
      <c r="H19">
        <v>1047</v>
      </c>
      <c r="I19">
        <v>1060</v>
      </c>
      <c r="J19">
        <v>1073</v>
      </c>
      <c r="K19">
        <v>1086</v>
      </c>
      <c r="L19">
        <v>1099</v>
      </c>
      <c r="M19">
        <v>1112</v>
      </c>
      <c r="N19">
        <v>1125</v>
      </c>
      <c r="O19">
        <v>1138</v>
      </c>
      <c r="P19">
        <v>1151</v>
      </c>
      <c r="Q19">
        <v>1164</v>
      </c>
      <c r="R19">
        <v>1177</v>
      </c>
    </row>
    <row r="20" spans="1:18" x14ac:dyDescent="0.25">
      <c r="E20" s="14" t="str">
        <v>Jacqie Penee</v>
      </c>
      <c r="F20" s="67">
        <v>1112.5</v>
      </c>
      <c r="G20">
        <v>1041</v>
      </c>
      <c r="H20">
        <v>1054</v>
      </c>
      <c r="I20">
        <v>1067</v>
      </c>
      <c r="J20">
        <v>1080</v>
      </c>
      <c r="K20">
        <v>1093</v>
      </c>
      <c r="L20">
        <v>1106</v>
      </c>
      <c r="M20">
        <v>1119</v>
      </c>
      <c r="N20">
        <v>1132</v>
      </c>
      <c r="O20">
        <v>1145</v>
      </c>
      <c r="P20">
        <v>1158</v>
      </c>
      <c r="Q20">
        <v>1171</v>
      </c>
      <c r="R20">
        <v>1184</v>
      </c>
    </row>
    <row r="21" spans="1:18" x14ac:dyDescent="0.25">
      <c r="E21" s="14" t="str">
        <v>Amazonia</v>
      </c>
      <c r="F21" s="67">
        <v>1119.5</v>
      </c>
      <c r="G21">
        <v>1048</v>
      </c>
      <c r="H21">
        <v>1061</v>
      </c>
      <c r="I21">
        <v>1074</v>
      </c>
      <c r="J21">
        <v>1087</v>
      </c>
      <c r="K21">
        <v>1100</v>
      </c>
      <c r="L21">
        <v>1113</v>
      </c>
      <c r="M21">
        <v>1126</v>
      </c>
      <c r="N21">
        <v>1139</v>
      </c>
      <c r="O21">
        <v>1152</v>
      </c>
      <c r="P21">
        <v>1165</v>
      </c>
      <c r="Q21">
        <v>1178</v>
      </c>
      <c r="R21">
        <v>1191</v>
      </c>
    </row>
    <row r="22" spans="1:18" ht="15.75" thickBot="1" x14ac:dyDescent="0.3">
      <c r="E22" s="96" t="s">
        <v>5</v>
      </c>
      <c r="F22" s="64">
        <f>SUM(_xlfn.ANCHORARRAY(G22))</f>
        <v>66330</v>
      </c>
      <c r="G22" s="64" cm="1">
        <f t="array" ref="G22:R22">oz.SumColsλ(_xlfn.ANCHORARRAY(G17))</f>
        <v>5170</v>
      </c>
      <c r="H22" s="64">
        <v>5235</v>
      </c>
      <c r="I22" s="64">
        <v>5300</v>
      </c>
      <c r="J22" s="64">
        <v>5365</v>
      </c>
      <c r="K22" s="64">
        <v>5430</v>
      </c>
      <c r="L22" s="64">
        <v>5495</v>
      </c>
      <c r="M22" s="64">
        <v>5560</v>
      </c>
      <c r="N22" s="64">
        <v>5625</v>
      </c>
      <c r="O22" s="64">
        <v>5690</v>
      </c>
      <c r="P22" s="64">
        <v>5755</v>
      </c>
      <c r="Q22" s="64">
        <v>5820</v>
      </c>
      <c r="R22" s="64">
        <v>5885</v>
      </c>
    </row>
  </sheetData>
  <mergeCells count="3">
    <mergeCell ref="A1:K1"/>
    <mergeCell ref="A14:C14"/>
    <mergeCell ref="A2:Q2"/>
  </mergeCells>
  <hyperlinks>
    <hyperlink ref="A1" location="'TOC'!$A$1" display="'TOC'!$A$1" xr:uid="{7EC2FDFB-D606-49BB-B861-1E86349E7EAB}"/>
  </hyperlinks>
  <pageMargins left="0.7" right="0.7" top="0.75" bottom="0.75" header="0.3" footer="0.3"/>
  <pageSetup paperSize="9" scale="64" fitToHeight="0" orientation="landscape" horizontalDpi="0" verticalDpi="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002B7-F1CF-42E8-B241-DD6FF54CB586}">
  <sheetPr codeName="Sheet24">
    <tabColor rgb="FF990024"/>
    <pageSetUpPr fitToPage="1"/>
  </sheetPr>
  <dimension ref="A1:S2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185" t="str">
        <f ca="1">_xlfn.TEXTAFTER(CELL("filename",A1),"]")</f>
        <v>oz.AvgColsλ</v>
      </c>
      <c r="B1" s="185"/>
      <c r="C1" s="185"/>
      <c r="D1" s="185"/>
      <c r="E1" s="185"/>
      <c r="F1" s="185"/>
      <c r="G1" s="185"/>
      <c r="H1" s="185"/>
      <c r="I1" s="185"/>
      <c r="J1" s="185"/>
      <c r="K1" s="185"/>
      <c r="L1" s="185"/>
      <c r="M1" s="185"/>
      <c r="N1" s="185"/>
      <c r="O1" s="185"/>
      <c r="P1" s="185"/>
    </row>
    <row r="2" spans="1:19" x14ac:dyDescent="0.25">
      <c r="A2" s="186" t="s">
        <v>258</v>
      </c>
      <c r="B2" s="191"/>
      <c r="C2" s="191"/>
      <c r="D2" s="191"/>
      <c r="E2" s="191"/>
      <c r="F2" s="191"/>
      <c r="G2" s="191"/>
      <c r="H2" s="191"/>
      <c r="I2" s="191"/>
      <c r="J2" s="191"/>
      <c r="K2" s="191"/>
      <c r="L2" s="191"/>
      <c r="M2" s="191"/>
      <c r="N2" s="191"/>
      <c r="O2" s="191"/>
      <c r="P2" s="191"/>
      <c r="Q2" s="191"/>
      <c r="R2" s="191"/>
    </row>
    <row r="3" spans="1:19" x14ac:dyDescent="0.25">
      <c r="A3" s="4"/>
      <c r="B3" s="4"/>
      <c r="C3" s="4"/>
      <c r="D3" s="4"/>
      <c r="E3" s="4"/>
      <c r="F3" s="4"/>
      <c r="G3" s="4"/>
      <c r="H3" s="4"/>
      <c r="I3" s="4"/>
      <c r="J3" s="4"/>
      <c r="K3" s="4"/>
      <c r="L3" s="4"/>
      <c r="M3" s="4"/>
      <c r="N3" s="4"/>
      <c r="O3" s="4"/>
      <c r="P3" s="4"/>
    </row>
    <row r="4" spans="1:19" x14ac:dyDescent="0.25">
      <c r="A4" s="55" t="str" cm="1">
        <f t="array" ref="A4:B11">oz.AvgColsλ()</f>
        <v>FUNCTION:</v>
      </c>
      <c r="B4" t="str">
        <v>AvgColsλ( Array)</v>
      </c>
    </row>
    <row r="5" spans="1:19" x14ac:dyDescent="0.25">
      <c r="A5" t="str">
        <v>DESCRIPTION:</v>
      </c>
      <c r="B5" t="str">
        <v>Get the average for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be averaged by column.</v>
      </c>
    </row>
    <row r="10" spans="1:19" x14ac:dyDescent="0.25">
      <c r="A10" t="str">
        <v>EXAMPLES:</v>
      </c>
      <c r="B10" t="str">
        <v>Formula (oz is assumed to be the module's name)</v>
      </c>
    </row>
    <row r="11" spans="1:19" x14ac:dyDescent="0.25">
      <c r="A11" t="str">
        <v/>
      </c>
      <c r="B11" t="str">
        <v>=oz.AvgColsλ( SEQUENCE(5,5))</v>
      </c>
    </row>
    <row r="14" spans="1:19" ht="21" x14ac:dyDescent="0.35">
      <c r="A14" s="203" t="s">
        <v>148</v>
      </c>
      <c r="B14" s="203"/>
      <c r="C14" s="203"/>
    </row>
    <row r="16" spans="1:19" x14ac:dyDescent="0.25">
      <c r="A16" s="54" t="s">
        <v>149</v>
      </c>
      <c r="B16" s="54" t="s">
        <v>14</v>
      </c>
      <c r="C16" s="54" t="s">
        <v>15</v>
      </c>
      <c r="F16" s="54" t="s">
        <v>140</v>
      </c>
      <c r="G16" s="48" t="s">
        <v>152</v>
      </c>
      <c r="H16" s="49"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112</v>
      </c>
      <c r="B17" s="34">
        <v>46204</v>
      </c>
      <c r="C17" t="s">
        <v>21</v>
      </c>
      <c r="F17" t="str" cm="1">
        <f t="array" ref="F17:F21">tblCT[Customer]</f>
        <v>ACME</v>
      </c>
      <c r="G17" cm="1">
        <f t="array" ref="G17:G21">oz.SumRowsλ(_xlfn.ANCHORARRAY(H17))</f>
        <v>2298</v>
      </c>
      <c r="H17" s="85" cm="1">
        <f t="array" ref="H17:S21">_xlfn.MAKEARRAY(COUNTA(_xlfn.ANCHORARRAY(F17)), COUNTA(_xlfn.ANCHORARRAY(H16)), _xlfn.LAMBDA(_xlpm.r,_xlpm.c, 100 + MOD(_xlpm.r * 7 + _xlpm.c * 13, 10000 - 100 + 1)))</f>
        <v>120</v>
      </c>
      <c r="I17">
        <v>133</v>
      </c>
      <c r="J17">
        <v>146</v>
      </c>
      <c r="K17">
        <v>159</v>
      </c>
      <c r="L17">
        <v>172</v>
      </c>
      <c r="M17">
        <v>185</v>
      </c>
      <c r="N17">
        <v>198</v>
      </c>
      <c r="O17">
        <v>211</v>
      </c>
      <c r="P17">
        <v>224</v>
      </c>
      <c r="Q17">
        <v>237</v>
      </c>
      <c r="R17">
        <v>250</v>
      </c>
      <c r="S17">
        <v>263</v>
      </c>
    </row>
    <row r="18" spans="1:19" x14ac:dyDescent="0.25">
      <c r="A18" t="s">
        <v>17</v>
      </c>
      <c r="B18">
        <v>12</v>
      </c>
      <c r="C18" t="s">
        <v>22</v>
      </c>
      <c r="F18" t="str">
        <v>Wool*Art</v>
      </c>
      <c r="G18">
        <v>2382</v>
      </c>
      <c r="H18">
        <v>127</v>
      </c>
      <c r="I18">
        <v>140</v>
      </c>
      <c r="J18">
        <v>153</v>
      </c>
      <c r="K18">
        <v>166</v>
      </c>
      <c r="L18">
        <v>179</v>
      </c>
      <c r="M18">
        <v>192</v>
      </c>
      <c r="N18">
        <v>205</v>
      </c>
      <c r="O18">
        <v>218</v>
      </c>
      <c r="P18">
        <v>231</v>
      </c>
      <c r="Q18">
        <v>244</v>
      </c>
      <c r="R18">
        <v>257</v>
      </c>
      <c r="S18">
        <v>270</v>
      </c>
    </row>
    <row r="19" spans="1:19" x14ac:dyDescent="0.25">
      <c r="A19" t="s">
        <v>18</v>
      </c>
      <c r="B19" t="s">
        <v>20</v>
      </c>
      <c r="F19" t="str">
        <v>Town Hall</v>
      </c>
      <c r="G19">
        <v>2466</v>
      </c>
      <c r="H19">
        <v>134</v>
      </c>
      <c r="I19">
        <v>147</v>
      </c>
      <c r="J19">
        <v>160</v>
      </c>
      <c r="K19">
        <v>173</v>
      </c>
      <c r="L19">
        <v>186</v>
      </c>
      <c r="M19">
        <v>199</v>
      </c>
      <c r="N19">
        <v>212</v>
      </c>
      <c r="O19">
        <v>225</v>
      </c>
      <c r="P19">
        <v>238</v>
      </c>
      <c r="Q19">
        <v>251</v>
      </c>
      <c r="R19">
        <v>264</v>
      </c>
      <c r="S19">
        <v>277</v>
      </c>
    </row>
    <row r="20" spans="1:19" x14ac:dyDescent="0.25">
      <c r="F20" t="str">
        <v>Jacqie Penee</v>
      </c>
      <c r="G20">
        <v>2550</v>
      </c>
      <c r="H20">
        <v>141</v>
      </c>
      <c r="I20">
        <v>154</v>
      </c>
      <c r="J20">
        <v>167</v>
      </c>
      <c r="K20">
        <v>180</v>
      </c>
      <c r="L20">
        <v>193</v>
      </c>
      <c r="M20">
        <v>206</v>
      </c>
      <c r="N20">
        <v>219</v>
      </c>
      <c r="O20">
        <v>232</v>
      </c>
      <c r="P20">
        <v>245</v>
      </c>
      <c r="Q20">
        <v>258</v>
      </c>
      <c r="R20">
        <v>271</v>
      </c>
      <c r="S20">
        <v>284</v>
      </c>
    </row>
    <row r="21" spans="1:19" x14ac:dyDescent="0.25">
      <c r="F21" t="str">
        <v>Amazonia</v>
      </c>
      <c r="G21">
        <v>2634</v>
      </c>
      <c r="H21">
        <v>148</v>
      </c>
      <c r="I21">
        <v>161</v>
      </c>
      <c r="J21">
        <v>174</v>
      </c>
      <c r="K21">
        <v>187</v>
      </c>
      <c r="L21">
        <v>200</v>
      </c>
      <c r="M21">
        <v>213</v>
      </c>
      <c r="N21">
        <v>226</v>
      </c>
      <c r="O21">
        <v>239</v>
      </c>
      <c r="P21">
        <v>252</v>
      </c>
      <c r="Q21">
        <v>265</v>
      </c>
      <c r="R21">
        <v>278</v>
      </c>
      <c r="S21">
        <v>291</v>
      </c>
    </row>
    <row r="22" spans="1:19" x14ac:dyDescent="0.25">
      <c r="F22" s="60" t="s">
        <v>159</v>
      </c>
      <c r="G22" s="60">
        <f>SUM(_xlfn.ANCHORARRAY(H22))</f>
        <v>2466</v>
      </c>
      <c r="H22" s="97" cm="1">
        <f t="array" ref="H22:S22">oz.AvgColsλ(_xlfn.ANCHORARRAY(H17))</f>
        <v>134</v>
      </c>
      <c r="I22" s="60">
        <v>147</v>
      </c>
      <c r="J22" s="60">
        <v>160</v>
      </c>
      <c r="K22" s="60">
        <v>173</v>
      </c>
      <c r="L22" s="60">
        <v>186</v>
      </c>
      <c r="M22" s="60">
        <v>199</v>
      </c>
      <c r="N22" s="60">
        <v>212</v>
      </c>
      <c r="O22" s="60">
        <v>225</v>
      </c>
      <c r="P22" s="60">
        <v>238</v>
      </c>
      <c r="Q22" s="60">
        <v>251</v>
      </c>
      <c r="R22" s="60">
        <v>264</v>
      </c>
      <c r="S22" s="60">
        <v>277</v>
      </c>
    </row>
  </sheetData>
  <mergeCells count="3">
    <mergeCell ref="A1:P1"/>
    <mergeCell ref="A14:C14"/>
    <mergeCell ref="A2:R2"/>
  </mergeCells>
  <hyperlinks>
    <hyperlink ref="A1" location="'TOC'!$A$1" display="'TOC'!$A$1" xr:uid="{EB8AA815-4618-410B-9B7C-0CFFCFC28A4A}"/>
  </hyperlinks>
  <pageMargins left="0.7" right="0.7" top="0.75" bottom="0.75" header="0.3" footer="0.3"/>
  <pageSetup paperSize="9" scale="63" fitToHeight="0" orientation="landscape" horizontalDpi="0" verticalDpi="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BDE-65D1-404B-AB31-43D57F2EE4A8}">
  <sheetPr codeName="Sheet25">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oz.MinRowsλ</v>
      </c>
      <c r="B1" s="185"/>
      <c r="C1" s="185"/>
      <c r="D1" s="185"/>
      <c r="E1" s="185"/>
      <c r="F1" s="185"/>
      <c r="G1" s="185"/>
      <c r="H1" s="185"/>
      <c r="I1" s="185"/>
      <c r="J1" s="185"/>
      <c r="K1" s="185"/>
    </row>
    <row r="2" spans="1:18" x14ac:dyDescent="0.25">
      <c r="A2" s="186" t="s">
        <v>261</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oz.MinRowsλ()</f>
        <v>FUNCTION:</v>
      </c>
      <c r="B4" t="str">
        <v>MinRowsλ( Array)</v>
      </c>
    </row>
    <row r="5" spans="1:18" x14ac:dyDescent="0.25">
      <c r="A5" t="str">
        <v>DESCRIPTION:</v>
      </c>
      <c r="B5" t="str">
        <v>Get the minimum of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find the minimum by row.</v>
      </c>
    </row>
    <row r="10" spans="1:18" x14ac:dyDescent="0.25">
      <c r="A10" t="str">
        <v>EXAMPLES:</v>
      </c>
      <c r="B10" t="str">
        <v>Formula (oz is assumed to be the module's name)</v>
      </c>
    </row>
    <row r="11" spans="1:18" x14ac:dyDescent="0.25">
      <c r="A11" t="str">
        <v/>
      </c>
      <c r="B11" t="str">
        <v>=oz.MinRowsλ( SEQUENCE(5,5))</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129" cm="1">
        <f t="array" ref="F17:F21">oz.MinRowsλ(_xlfn.ANCHORARRAY(G17))</f>
        <v>120</v>
      </c>
      <c r="G17" s="128" cm="1">
        <f t="array" ref="G17:R21">_xlfn.MAKEARRAY(COUNTA(_xlfn.ANCHORARRAY(E17)), COUNTA(_xlfn.ANCHORARRAY(G16)), _xlfn.LAMBDA(_xlpm.r,_xlpm.c, 100 + MOD(_xlpm.r * 7 + _xlpm.c * 13, 10000 - 100 + 1)))</f>
        <v>120</v>
      </c>
      <c r="H17">
        <v>133</v>
      </c>
      <c r="I17">
        <v>146</v>
      </c>
      <c r="J17">
        <v>159</v>
      </c>
      <c r="K17">
        <v>172</v>
      </c>
      <c r="L17">
        <v>185</v>
      </c>
      <c r="M17">
        <v>198</v>
      </c>
      <c r="N17">
        <v>211</v>
      </c>
      <c r="O17">
        <v>224</v>
      </c>
      <c r="P17">
        <v>237</v>
      </c>
      <c r="Q17">
        <v>250</v>
      </c>
      <c r="R17">
        <v>263</v>
      </c>
    </row>
    <row r="18" spans="1:18" x14ac:dyDescent="0.25">
      <c r="A18" t="s">
        <v>17</v>
      </c>
      <c r="B18">
        <v>12</v>
      </c>
      <c r="C18" t="s">
        <v>22</v>
      </c>
      <c r="E18" s="14" t="str">
        <v>Wool*Art</v>
      </c>
      <c r="F18" s="67">
        <v>127</v>
      </c>
      <c r="G18" s="67">
        <v>127</v>
      </c>
      <c r="H18">
        <v>140</v>
      </c>
      <c r="I18">
        <v>153</v>
      </c>
      <c r="J18">
        <v>166</v>
      </c>
      <c r="K18">
        <v>179</v>
      </c>
      <c r="L18">
        <v>192</v>
      </c>
      <c r="M18">
        <v>205</v>
      </c>
      <c r="N18">
        <v>218</v>
      </c>
      <c r="O18">
        <v>231</v>
      </c>
      <c r="P18">
        <v>244</v>
      </c>
      <c r="Q18">
        <v>257</v>
      </c>
      <c r="R18">
        <v>270</v>
      </c>
    </row>
    <row r="19" spans="1:18" x14ac:dyDescent="0.25">
      <c r="A19" t="s">
        <v>18</v>
      </c>
      <c r="B19" t="s">
        <v>2</v>
      </c>
      <c r="E19" s="14" t="str">
        <v>Town Hall</v>
      </c>
      <c r="F19" s="67">
        <v>134</v>
      </c>
      <c r="G19" s="67">
        <v>134</v>
      </c>
      <c r="H19">
        <v>147</v>
      </c>
      <c r="I19">
        <v>160</v>
      </c>
      <c r="J19">
        <v>173</v>
      </c>
      <c r="K19">
        <v>186</v>
      </c>
      <c r="L19">
        <v>199</v>
      </c>
      <c r="M19">
        <v>212</v>
      </c>
      <c r="N19">
        <v>225</v>
      </c>
      <c r="O19">
        <v>238</v>
      </c>
      <c r="P19">
        <v>251</v>
      </c>
      <c r="Q19">
        <v>264</v>
      </c>
      <c r="R19">
        <v>277</v>
      </c>
    </row>
    <row r="20" spans="1:18" x14ac:dyDescent="0.25">
      <c r="E20" s="14" t="str">
        <v>Jacqie Penee</v>
      </c>
      <c r="F20" s="67">
        <v>141</v>
      </c>
      <c r="G20">
        <v>141</v>
      </c>
      <c r="H20">
        <v>154</v>
      </c>
      <c r="I20">
        <v>167</v>
      </c>
      <c r="J20">
        <v>180</v>
      </c>
      <c r="K20">
        <v>193</v>
      </c>
      <c r="L20">
        <v>206</v>
      </c>
      <c r="M20">
        <v>219</v>
      </c>
      <c r="N20">
        <v>232</v>
      </c>
      <c r="O20">
        <v>245</v>
      </c>
      <c r="P20">
        <v>258</v>
      </c>
      <c r="Q20">
        <v>271</v>
      </c>
      <c r="R20">
        <v>284</v>
      </c>
    </row>
    <row r="21" spans="1:18" x14ac:dyDescent="0.25">
      <c r="E21" s="14" t="str">
        <v>Amazonia</v>
      </c>
      <c r="F21" s="67">
        <v>148</v>
      </c>
      <c r="G21">
        <v>148</v>
      </c>
      <c r="H21">
        <v>161</v>
      </c>
      <c r="I21">
        <v>174</v>
      </c>
      <c r="J21">
        <v>187</v>
      </c>
      <c r="K21">
        <v>200</v>
      </c>
      <c r="L21">
        <v>213</v>
      </c>
      <c r="M21">
        <v>226</v>
      </c>
      <c r="N21">
        <v>239</v>
      </c>
      <c r="O21">
        <v>252</v>
      </c>
      <c r="P21">
        <v>265</v>
      </c>
      <c r="Q21">
        <v>278</v>
      </c>
      <c r="R21">
        <v>291</v>
      </c>
    </row>
    <row r="22" spans="1:18" ht="15.75" thickBot="1" x14ac:dyDescent="0.3">
      <c r="E22" s="96" t="s">
        <v>5</v>
      </c>
      <c r="F22" s="64">
        <f>SUM(_xlfn.ANCHORARRAY(G22))</f>
        <v>12330</v>
      </c>
      <c r="G22" s="64" cm="1">
        <f t="array" ref="G22:R22">oz.SumColsλ(_xlfn.ANCHORARRAY(G17))</f>
        <v>670</v>
      </c>
      <c r="H22" s="64">
        <v>735</v>
      </c>
      <c r="I22" s="64">
        <v>800</v>
      </c>
      <c r="J22" s="64">
        <v>865</v>
      </c>
      <c r="K22" s="64">
        <v>930</v>
      </c>
      <c r="L22" s="64">
        <v>995</v>
      </c>
      <c r="M22" s="64">
        <v>1060</v>
      </c>
      <c r="N22" s="64">
        <v>1125</v>
      </c>
      <c r="O22" s="64">
        <v>1190</v>
      </c>
      <c r="P22" s="64">
        <v>1255</v>
      </c>
      <c r="Q22" s="64">
        <v>1320</v>
      </c>
      <c r="R22" s="64">
        <v>1385</v>
      </c>
    </row>
  </sheetData>
  <mergeCells count="3">
    <mergeCell ref="A1:K1"/>
    <mergeCell ref="A14:C14"/>
    <mergeCell ref="A2:Q2"/>
  </mergeCells>
  <hyperlinks>
    <hyperlink ref="A1" location="'TOC'!$A$1" display="'TOC'!$A$1" xr:uid="{12995ECD-B50D-4A84-B688-27BBD06F1A74}"/>
  </hyperlinks>
  <pageMargins left="0.7" right="0.7" top="0.75" bottom="0.75" header="0.3" footer="0.3"/>
  <pageSetup paperSize="9" scale="64" fitToHeight="0" orientation="landscape" horizontalDpi="0" verticalDpi="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9667-9C1F-484B-A7DA-708F53747198}">
  <sheetPr codeName="Sheet26">
    <tabColor rgb="FF990024"/>
    <pageSetUpPr fitToPage="1"/>
  </sheetPr>
  <dimension ref="A1:S2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185" t="str">
        <f ca="1">_xlfn.TEXTAFTER(CELL("filename",A1),"]")</f>
        <v>oz.MinColsλ</v>
      </c>
      <c r="B1" s="185"/>
      <c r="C1" s="185"/>
      <c r="D1" s="185"/>
      <c r="E1" s="185"/>
      <c r="F1" s="185"/>
      <c r="G1" s="185"/>
      <c r="H1" s="185"/>
      <c r="I1" s="185"/>
      <c r="J1" s="185"/>
      <c r="K1" s="185"/>
      <c r="L1" s="185"/>
      <c r="M1" s="185"/>
      <c r="N1" s="185"/>
      <c r="O1" s="185"/>
      <c r="P1" s="185"/>
    </row>
    <row r="2" spans="1:19" x14ac:dyDescent="0.25">
      <c r="A2" s="186" t="s">
        <v>257</v>
      </c>
      <c r="B2" s="191"/>
      <c r="C2" s="191"/>
      <c r="D2" s="191"/>
      <c r="E2" s="191"/>
      <c r="F2" s="191"/>
      <c r="G2" s="191"/>
      <c r="H2" s="191"/>
      <c r="I2" s="191"/>
      <c r="J2" s="191"/>
      <c r="K2" s="191"/>
      <c r="L2" s="191"/>
      <c r="M2" s="191"/>
      <c r="N2" s="191"/>
      <c r="O2" s="191"/>
      <c r="P2" s="191"/>
      <c r="Q2" s="191"/>
      <c r="R2" s="191"/>
    </row>
    <row r="3" spans="1:19" x14ac:dyDescent="0.25">
      <c r="A3" s="4"/>
      <c r="B3" s="4"/>
      <c r="C3" s="4"/>
      <c r="D3" s="4"/>
      <c r="E3" s="4"/>
      <c r="F3" s="4"/>
      <c r="G3" s="4"/>
      <c r="H3" s="4"/>
      <c r="I3" s="4"/>
      <c r="J3" s="4"/>
      <c r="K3" s="4"/>
      <c r="L3" s="4"/>
      <c r="M3" s="4"/>
      <c r="N3" s="4"/>
      <c r="O3" s="4"/>
      <c r="P3" s="4"/>
    </row>
    <row r="4" spans="1:19" x14ac:dyDescent="0.25">
      <c r="A4" s="55" t="str" cm="1">
        <f t="array" ref="A4:B11">oz.MinColsλ()</f>
        <v>FUNCTION:</v>
      </c>
      <c r="B4" t="str">
        <v>MinColsλ( Array)</v>
      </c>
    </row>
    <row r="5" spans="1:19" x14ac:dyDescent="0.25">
      <c r="A5" t="str">
        <v>DESCRIPTION:</v>
      </c>
      <c r="B5" t="str">
        <v>Get the minimum for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find the minimum by column.</v>
      </c>
    </row>
    <row r="10" spans="1:19" x14ac:dyDescent="0.25">
      <c r="A10" t="str">
        <v>EXAMPLES:</v>
      </c>
      <c r="B10" t="str">
        <v>Formula (oz is assumed to be the module's name)</v>
      </c>
    </row>
    <row r="11" spans="1:19" x14ac:dyDescent="0.25">
      <c r="A11" t="str">
        <v/>
      </c>
      <c r="B11" t="str">
        <v>=oz.MinColsλ( SEQUENCE(5,5))</v>
      </c>
    </row>
    <row r="14" spans="1:19" ht="21" x14ac:dyDescent="0.35">
      <c r="A14" s="203" t="s">
        <v>148</v>
      </c>
      <c r="B14" s="203"/>
      <c r="C14" s="203"/>
    </row>
    <row r="16" spans="1:19" x14ac:dyDescent="0.25">
      <c r="A16" s="54" t="s">
        <v>149</v>
      </c>
      <c r="B16" s="54" t="s">
        <v>14</v>
      </c>
      <c r="C16" s="54" t="s">
        <v>15</v>
      </c>
      <c r="F16" s="54" t="s">
        <v>140</v>
      </c>
      <c r="G16" s="48" t="s">
        <v>152</v>
      </c>
      <c r="H16" s="49"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112</v>
      </c>
      <c r="B17" s="34">
        <v>46204</v>
      </c>
      <c r="C17" t="s">
        <v>21</v>
      </c>
      <c r="F17" t="str" cm="1">
        <f t="array" ref="F17:F21">tblCT[Customer]</f>
        <v>ACME</v>
      </c>
      <c r="G17" cm="1">
        <f t="array" ref="G17:G21">oz.SumRowsλ(_xlfn.ANCHORARRAY(H17))</f>
        <v>2298</v>
      </c>
      <c r="H17" s="85" cm="1">
        <f t="array" ref="H17:S21">_xlfn.MAKEARRAY(COUNTA(_xlfn.ANCHORARRAY(F17)), COUNTA(_xlfn.ANCHORARRAY(H16)), _xlfn.LAMBDA(_xlpm.r,_xlpm.c, 100 + MOD(_xlpm.r * 7 + _xlpm.c * 13, 10000 - 100 + 1)))</f>
        <v>120</v>
      </c>
      <c r="I17">
        <v>133</v>
      </c>
      <c r="J17">
        <v>146</v>
      </c>
      <c r="K17">
        <v>159</v>
      </c>
      <c r="L17">
        <v>172</v>
      </c>
      <c r="M17">
        <v>185</v>
      </c>
      <c r="N17">
        <v>198</v>
      </c>
      <c r="O17">
        <v>211</v>
      </c>
      <c r="P17">
        <v>224</v>
      </c>
      <c r="Q17">
        <v>237</v>
      </c>
      <c r="R17">
        <v>250</v>
      </c>
      <c r="S17">
        <v>263</v>
      </c>
    </row>
    <row r="18" spans="1:19" x14ac:dyDescent="0.25">
      <c r="A18" t="s">
        <v>17</v>
      </c>
      <c r="B18">
        <v>12</v>
      </c>
      <c r="C18" t="s">
        <v>22</v>
      </c>
      <c r="F18" t="str">
        <v>Wool*Art</v>
      </c>
      <c r="G18">
        <v>2382</v>
      </c>
      <c r="H18">
        <v>127</v>
      </c>
      <c r="I18">
        <v>140</v>
      </c>
      <c r="J18">
        <v>153</v>
      </c>
      <c r="K18">
        <v>166</v>
      </c>
      <c r="L18">
        <v>179</v>
      </c>
      <c r="M18">
        <v>192</v>
      </c>
      <c r="N18">
        <v>205</v>
      </c>
      <c r="O18">
        <v>218</v>
      </c>
      <c r="P18">
        <v>231</v>
      </c>
      <c r="Q18">
        <v>244</v>
      </c>
      <c r="R18">
        <v>257</v>
      </c>
      <c r="S18">
        <v>270</v>
      </c>
    </row>
    <row r="19" spans="1:19" x14ac:dyDescent="0.25">
      <c r="A19" t="s">
        <v>18</v>
      </c>
      <c r="B19" t="s">
        <v>20</v>
      </c>
      <c r="F19" t="str">
        <v>Town Hall</v>
      </c>
      <c r="G19">
        <v>2466</v>
      </c>
      <c r="H19">
        <v>134</v>
      </c>
      <c r="I19">
        <v>147</v>
      </c>
      <c r="J19">
        <v>160</v>
      </c>
      <c r="K19">
        <v>173</v>
      </c>
      <c r="L19">
        <v>186</v>
      </c>
      <c r="M19">
        <v>199</v>
      </c>
      <c r="N19">
        <v>212</v>
      </c>
      <c r="O19">
        <v>225</v>
      </c>
      <c r="P19">
        <v>238</v>
      </c>
      <c r="Q19">
        <v>251</v>
      </c>
      <c r="R19">
        <v>264</v>
      </c>
      <c r="S19">
        <v>277</v>
      </c>
    </row>
    <row r="20" spans="1:19" x14ac:dyDescent="0.25">
      <c r="F20" t="str">
        <v>Jacqie Penee</v>
      </c>
      <c r="G20">
        <v>2550</v>
      </c>
      <c r="H20">
        <v>141</v>
      </c>
      <c r="I20">
        <v>154</v>
      </c>
      <c r="J20">
        <v>167</v>
      </c>
      <c r="K20">
        <v>180</v>
      </c>
      <c r="L20">
        <v>193</v>
      </c>
      <c r="M20">
        <v>206</v>
      </c>
      <c r="N20">
        <v>219</v>
      </c>
      <c r="O20">
        <v>232</v>
      </c>
      <c r="P20">
        <v>245</v>
      </c>
      <c r="Q20">
        <v>258</v>
      </c>
      <c r="R20">
        <v>271</v>
      </c>
      <c r="S20">
        <v>284</v>
      </c>
    </row>
    <row r="21" spans="1:19" x14ac:dyDescent="0.25">
      <c r="F21" t="str">
        <v>Amazonia</v>
      </c>
      <c r="G21">
        <v>2634</v>
      </c>
      <c r="H21">
        <v>148</v>
      </c>
      <c r="I21">
        <v>161</v>
      </c>
      <c r="J21">
        <v>174</v>
      </c>
      <c r="K21">
        <v>187</v>
      </c>
      <c r="L21">
        <v>200</v>
      </c>
      <c r="M21">
        <v>213</v>
      </c>
      <c r="N21">
        <v>226</v>
      </c>
      <c r="O21">
        <v>239</v>
      </c>
      <c r="P21">
        <v>252</v>
      </c>
      <c r="Q21">
        <v>265</v>
      </c>
      <c r="R21">
        <v>278</v>
      </c>
      <c r="S21">
        <v>291</v>
      </c>
    </row>
    <row r="22" spans="1:19" x14ac:dyDescent="0.25">
      <c r="F22" s="60" t="s">
        <v>159</v>
      </c>
      <c r="G22" s="60">
        <f>SUM(_xlfn.ANCHORARRAY(H22))</f>
        <v>2298</v>
      </c>
      <c r="H22" s="97" cm="1">
        <f t="array" ref="H22:S22">oz.MinColsλ(_xlfn.ANCHORARRAY(H17))</f>
        <v>120</v>
      </c>
      <c r="I22" s="60">
        <v>133</v>
      </c>
      <c r="J22" s="60">
        <v>146</v>
      </c>
      <c r="K22" s="60">
        <v>159</v>
      </c>
      <c r="L22" s="60">
        <v>172</v>
      </c>
      <c r="M22" s="60">
        <v>185</v>
      </c>
      <c r="N22" s="60">
        <v>198</v>
      </c>
      <c r="O22" s="60">
        <v>211</v>
      </c>
      <c r="P22" s="60">
        <v>224</v>
      </c>
      <c r="Q22" s="60">
        <v>237</v>
      </c>
      <c r="R22" s="60">
        <v>250</v>
      </c>
      <c r="S22" s="60">
        <v>263</v>
      </c>
    </row>
  </sheetData>
  <mergeCells count="3">
    <mergeCell ref="A1:P1"/>
    <mergeCell ref="A14:C14"/>
    <mergeCell ref="A2:R2"/>
  </mergeCells>
  <hyperlinks>
    <hyperlink ref="A1" location="'TOC'!$A$1" display="'TOC'!$A$1" xr:uid="{9B5EA9D2-BD68-4FA6-A9DC-2476CAA1563C}"/>
  </hyperlinks>
  <pageMargins left="0.7" right="0.7" top="0.75" bottom="0.75" header="0.3" footer="0.3"/>
  <pageSetup paperSize="9" scale="63" fitToHeight="0" orientation="landscape" horizontalDpi="0" verticalDpi="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922D-BBC0-4605-B051-5DE2B762F601}">
  <sheetPr codeName="Sheet27">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oz.MaxRowsλ</v>
      </c>
      <c r="B1" s="185"/>
      <c r="C1" s="185"/>
      <c r="D1" s="185"/>
      <c r="E1" s="185"/>
      <c r="F1" s="185"/>
      <c r="G1" s="185"/>
      <c r="H1" s="185"/>
      <c r="I1" s="185"/>
      <c r="J1" s="185"/>
      <c r="K1" s="185"/>
    </row>
    <row r="2" spans="1:18" x14ac:dyDescent="0.25">
      <c r="A2" s="186" t="s">
        <v>262</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oz.MaxRowsλ()</f>
        <v>FUNCTION:</v>
      </c>
      <c r="B4" t="str">
        <v>MaxRowsλ( Array)</v>
      </c>
    </row>
    <row r="5" spans="1:18" x14ac:dyDescent="0.25">
      <c r="A5" t="str">
        <v>DESCRIPTION:</v>
      </c>
      <c r="B5" t="str">
        <v>Get the maximum of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find the maximum by row.</v>
      </c>
    </row>
    <row r="10" spans="1:18" x14ac:dyDescent="0.25">
      <c r="A10" t="str">
        <v>EXAMPLES:</v>
      </c>
      <c r="B10" t="str">
        <v>Formula (oz is assumed to be the module's name)</v>
      </c>
    </row>
    <row r="11" spans="1:18" x14ac:dyDescent="0.25">
      <c r="A11" t="str">
        <v/>
      </c>
      <c r="B11" t="str">
        <v>=oz.MaxRowsλ( SEQUENCE(5,5))</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129" cm="1">
        <f t="array" ref="F17:F21">oz.MaxRowsλ(_xlfn.ANCHORARRAY(G17))</f>
        <v>263</v>
      </c>
      <c r="G17" s="128" cm="1">
        <f t="array" ref="G17:R21">_xlfn.MAKEARRAY(COUNTA(_xlfn.ANCHORARRAY( E17)), COUNTA(_xlfn.ANCHORARRAY( G16)), _xlfn.LAMBDA(_xlpm.r,_xlpm.c, 100 + MOD(_xlpm.r * 7 + _xlpm.c * 13, 10000 - 100 + 1)))</f>
        <v>120</v>
      </c>
      <c r="H17">
        <v>133</v>
      </c>
      <c r="I17">
        <v>146</v>
      </c>
      <c r="J17">
        <v>159</v>
      </c>
      <c r="K17">
        <v>172</v>
      </c>
      <c r="L17">
        <v>185</v>
      </c>
      <c r="M17">
        <v>198</v>
      </c>
      <c r="N17">
        <v>211</v>
      </c>
      <c r="O17">
        <v>224</v>
      </c>
      <c r="P17">
        <v>237</v>
      </c>
      <c r="Q17">
        <v>250</v>
      </c>
      <c r="R17">
        <v>263</v>
      </c>
    </row>
    <row r="18" spans="1:18" x14ac:dyDescent="0.25">
      <c r="A18" t="s">
        <v>17</v>
      </c>
      <c r="B18">
        <v>12</v>
      </c>
      <c r="C18" t="s">
        <v>22</v>
      </c>
      <c r="E18" s="14" t="str">
        <v>Wool*Art</v>
      </c>
      <c r="F18" s="67">
        <v>270</v>
      </c>
      <c r="G18" s="67">
        <v>127</v>
      </c>
      <c r="H18">
        <v>140</v>
      </c>
      <c r="I18">
        <v>153</v>
      </c>
      <c r="J18">
        <v>166</v>
      </c>
      <c r="K18">
        <v>179</v>
      </c>
      <c r="L18">
        <v>192</v>
      </c>
      <c r="M18">
        <v>205</v>
      </c>
      <c r="N18">
        <v>218</v>
      </c>
      <c r="O18">
        <v>231</v>
      </c>
      <c r="P18">
        <v>244</v>
      </c>
      <c r="Q18">
        <v>257</v>
      </c>
      <c r="R18">
        <v>270</v>
      </c>
    </row>
    <row r="19" spans="1:18" x14ac:dyDescent="0.25">
      <c r="A19" t="s">
        <v>18</v>
      </c>
      <c r="B19" t="s">
        <v>2</v>
      </c>
      <c r="E19" s="14" t="str">
        <v>Town Hall</v>
      </c>
      <c r="F19" s="67">
        <v>277</v>
      </c>
      <c r="G19" s="67">
        <v>134</v>
      </c>
      <c r="H19">
        <v>147</v>
      </c>
      <c r="I19">
        <v>160</v>
      </c>
      <c r="J19">
        <v>173</v>
      </c>
      <c r="K19">
        <v>186</v>
      </c>
      <c r="L19">
        <v>199</v>
      </c>
      <c r="M19">
        <v>212</v>
      </c>
      <c r="N19">
        <v>225</v>
      </c>
      <c r="O19">
        <v>238</v>
      </c>
      <c r="P19">
        <v>251</v>
      </c>
      <c r="Q19">
        <v>264</v>
      </c>
      <c r="R19">
        <v>277</v>
      </c>
    </row>
    <row r="20" spans="1:18" x14ac:dyDescent="0.25">
      <c r="E20" s="14" t="str">
        <v>Jacqie Penee</v>
      </c>
      <c r="F20" s="67">
        <v>284</v>
      </c>
      <c r="G20">
        <v>141</v>
      </c>
      <c r="H20">
        <v>154</v>
      </c>
      <c r="I20">
        <v>167</v>
      </c>
      <c r="J20">
        <v>180</v>
      </c>
      <c r="K20">
        <v>193</v>
      </c>
      <c r="L20">
        <v>206</v>
      </c>
      <c r="M20">
        <v>219</v>
      </c>
      <c r="N20">
        <v>232</v>
      </c>
      <c r="O20">
        <v>245</v>
      </c>
      <c r="P20">
        <v>258</v>
      </c>
      <c r="Q20">
        <v>271</v>
      </c>
      <c r="R20">
        <v>284</v>
      </c>
    </row>
    <row r="21" spans="1:18" x14ac:dyDescent="0.25">
      <c r="E21" s="14" t="str">
        <v>Amazonia</v>
      </c>
      <c r="F21" s="67">
        <v>291</v>
      </c>
      <c r="G21">
        <v>148</v>
      </c>
      <c r="H21">
        <v>161</v>
      </c>
      <c r="I21">
        <v>174</v>
      </c>
      <c r="J21">
        <v>187</v>
      </c>
      <c r="K21">
        <v>200</v>
      </c>
      <c r="L21">
        <v>213</v>
      </c>
      <c r="M21">
        <v>226</v>
      </c>
      <c r="N21">
        <v>239</v>
      </c>
      <c r="O21">
        <v>252</v>
      </c>
      <c r="P21">
        <v>265</v>
      </c>
      <c r="Q21">
        <v>278</v>
      </c>
      <c r="R21">
        <v>291</v>
      </c>
    </row>
    <row r="22" spans="1:18" ht="15.75" thickBot="1" x14ac:dyDescent="0.3">
      <c r="E22" s="96" t="s">
        <v>5</v>
      </c>
      <c r="F22" s="64">
        <f>SUM(_xlfn.ANCHORARRAY(G22))</f>
        <v>12330</v>
      </c>
      <c r="G22" s="64" cm="1">
        <f t="array" ref="G22:R22">oz.SumColsλ(_xlfn.ANCHORARRAY(G17))</f>
        <v>670</v>
      </c>
      <c r="H22" s="64">
        <v>735</v>
      </c>
      <c r="I22" s="64">
        <v>800</v>
      </c>
      <c r="J22" s="64">
        <v>865</v>
      </c>
      <c r="K22" s="64">
        <v>930</v>
      </c>
      <c r="L22" s="64">
        <v>995</v>
      </c>
      <c r="M22" s="64">
        <v>1060</v>
      </c>
      <c r="N22" s="64">
        <v>1125</v>
      </c>
      <c r="O22" s="64">
        <v>1190</v>
      </c>
      <c r="P22" s="64">
        <v>1255</v>
      </c>
      <c r="Q22" s="64">
        <v>1320</v>
      </c>
      <c r="R22" s="64">
        <v>1385</v>
      </c>
    </row>
  </sheetData>
  <mergeCells count="3">
    <mergeCell ref="A1:K1"/>
    <mergeCell ref="A14:C14"/>
    <mergeCell ref="A2:Q2"/>
  </mergeCells>
  <hyperlinks>
    <hyperlink ref="A1" location="'TOC'!$A$1" display="'TOC'!$A$1" xr:uid="{EC6DE38F-774F-4E30-A41A-8DCE612A90DD}"/>
  </hyperlinks>
  <pageMargins left="0.7" right="0.7" top="0.75" bottom="0.75" header="0.3" footer="0.3"/>
  <pageSetup paperSize="9" scale="64" fitToHeight="0" orientation="landscape" horizontalDpi="0" verticalDpi="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9E3D-BDE0-46F9-AA93-7953E759A8AA}">
  <sheetPr codeName="Sheet28">
    <tabColor rgb="FF990024"/>
    <pageSetUpPr fitToPage="1"/>
  </sheetPr>
  <dimension ref="A1:S22"/>
  <sheetViews>
    <sheetView showGridLines="0" workbookViewId="0">
      <selection sqref="A1:P1"/>
    </sheetView>
  </sheetViews>
  <sheetFormatPr defaultRowHeight="15" x14ac:dyDescent="0.25"/>
  <cols>
    <col min="1" max="1" width="12.75" bestFit="1" customWidth="1"/>
    <col min="2" max="2" width="11.625" customWidth="1"/>
    <col min="3" max="3" width="7" bestFit="1" customWidth="1"/>
    <col min="5" max="5" width="5.25" bestFit="1" customWidth="1"/>
    <col min="6" max="6" width="11.375" bestFit="1" customWidth="1"/>
    <col min="7" max="7" width="15.625" bestFit="1" customWidth="1"/>
    <col min="8" max="8" width="10.125" bestFit="1" customWidth="1"/>
    <col min="9" max="9" width="10.25" bestFit="1" customWidth="1"/>
    <col min="10" max="10" width="10.75" bestFit="1" customWidth="1"/>
    <col min="11" max="11" width="10.25" bestFit="1" customWidth="1"/>
    <col min="12" max="12" width="11.125" bestFit="1" customWidth="1"/>
    <col min="13" max="13" width="10.25" bestFit="1" customWidth="1"/>
    <col min="14" max="14" width="9.625" bestFit="1" customWidth="1"/>
    <col min="15" max="15" width="10.75" bestFit="1" customWidth="1"/>
    <col min="16" max="16" width="10.375" bestFit="1" customWidth="1"/>
    <col min="17" max="17" width="10.25" bestFit="1" customWidth="1"/>
    <col min="18" max="18" width="10.75" bestFit="1" customWidth="1"/>
    <col min="19" max="19" width="10.375" bestFit="1" customWidth="1"/>
    <col min="20" max="20" width="11.75" bestFit="1" customWidth="1"/>
    <col min="21" max="21" width="11.375" bestFit="1" customWidth="1"/>
    <col min="22" max="22" width="11.25" bestFit="1" customWidth="1"/>
    <col min="23" max="23" width="11.75" bestFit="1" customWidth="1"/>
    <col min="24" max="24" width="11.375" bestFit="1" customWidth="1"/>
  </cols>
  <sheetData>
    <row r="1" spans="1:19" ht="46.5" x14ac:dyDescent="0.7">
      <c r="A1" s="185" t="str">
        <f ca="1">_xlfn.TEXTAFTER(CELL("filename",A1),"]")</f>
        <v>oz.MaxColsλ</v>
      </c>
      <c r="B1" s="185"/>
      <c r="C1" s="185"/>
      <c r="D1" s="185"/>
      <c r="E1" s="185"/>
      <c r="F1" s="185"/>
      <c r="G1" s="185"/>
      <c r="H1" s="185"/>
      <c r="I1" s="185"/>
      <c r="J1" s="185"/>
      <c r="K1" s="185"/>
      <c r="L1" s="185"/>
      <c r="M1" s="185"/>
      <c r="N1" s="185"/>
      <c r="O1" s="185"/>
      <c r="P1" s="185"/>
    </row>
    <row r="2" spans="1:19" x14ac:dyDescent="0.25">
      <c r="A2" s="186" t="s">
        <v>263</v>
      </c>
      <c r="B2" s="191"/>
      <c r="C2" s="191"/>
      <c r="D2" s="191"/>
      <c r="E2" s="191"/>
      <c r="F2" s="191"/>
      <c r="G2" s="191"/>
      <c r="H2" s="191"/>
      <c r="I2" s="191"/>
      <c r="J2" s="191"/>
      <c r="K2" s="191"/>
      <c r="L2" s="191"/>
      <c r="M2" s="191"/>
      <c r="N2" s="191"/>
      <c r="O2" s="191"/>
      <c r="P2" s="191"/>
      <c r="Q2" s="191"/>
      <c r="R2" s="191"/>
    </row>
    <row r="3" spans="1:19" x14ac:dyDescent="0.25">
      <c r="A3" s="4"/>
      <c r="B3" s="4"/>
      <c r="C3" s="4"/>
      <c r="D3" s="4"/>
      <c r="E3" s="4"/>
      <c r="F3" s="4"/>
      <c r="G3" s="4"/>
      <c r="H3" s="4"/>
      <c r="I3" s="4"/>
      <c r="J3" s="4"/>
      <c r="K3" s="4"/>
      <c r="L3" s="4"/>
      <c r="M3" s="4"/>
      <c r="N3" s="4"/>
      <c r="O3" s="4"/>
      <c r="P3" s="4"/>
    </row>
    <row r="4" spans="1:19" x14ac:dyDescent="0.25">
      <c r="A4" s="55" t="str" cm="1">
        <f t="array" ref="A4:B11">oz.MaxColsλ()</f>
        <v>FUNCTION:</v>
      </c>
      <c r="B4" t="str">
        <v>MaxColsλ( Array)</v>
      </c>
    </row>
    <row r="5" spans="1:19" x14ac:dyDescent="0.25">
      <c r="A5" t="str">
        <v>DESCRIPTION:</v>
      </c>
      <c r="B5" t="str">
        <v>Get the maximum for each Column</v>
      </c>
    </row>
    <row r="6" spans="1:19" x14ac:dyDescent="0.25">
      <c r="A6" t="str">
        <v>WEBPAGE:</v>
      </c>
      <c r="B6" t="str">
        <v>https://github.com/ryanduguid/Ozzit</v>
      </c>
    </row>
    <row r="7" spans="1:19" x14ac:dyDescent="0.25">
      <c r="A7" t="str">
        <v>VERSION:</v>
      </c>
      <c r="B7" t="str">
        <v>20 Aug 2026</v>
      </c>
    </row>
    <row r="8" spans="1:19" x14ac:dyDescent="0.25">
      <c r="A8" t="str">
        <v>PARAMETERS:</v>
      </c>
      <c r="B8" t="str">
        <v/>
      </c>
    </row>
    <row r="9" spans="1:19" x14ac:dyDescent="0.25">
      <c r="A9" t="str">
        <v>Array</v>
      </c>
      <c r="B9" t="str">
        <v>(Required) A two dimensional array/range containing values to find the maximum by column.</v>
      </c>
    </row>
    <row r="10" spans="1:19" x14ac:dyDescent="0.25">
      <c r="A10" t="str">
        <v>EXAMPLES:</v>
      </c>
      <c r="B10" t="str">
        <v>Formula (oz is assumed to be the module's name)</v>
      </c>
    </row>
    <row r="11" spans="1:19" x14ac:dyDescent="0.25">
      <c r="A11" t="str">
        <v/>
      </c>
      <c r="B11" t="str">
        <v>=oz.MaxColsλ( SEQUENCE(5,5))</v>
      </c>
    </row>
    <row r="14" spans="1:19" ht="21" x14ac:dyDescent="0.35">
      <c r="A14" s="203" t="s">
        <v>148</v>
      </c>
      <c r="B14" s="203"/>
      <c r="C14" s="203"/>
    </row>
    <row r="16" spans="1:19" x14ac:dyDescent="0.25">
      <c r="A16" s="54" t="s">
        <v>149</v>
      </c>
      <c r="B16" s="54" t="s">
        <v>14</v>
      </c>
      <c r="C16" s="54" t="s">
        <v>15</v>
      </c>
      <c r="F16" s="54" t="s">
        <v>140</v>
      </c>
      <c r="G16" s="48" t="s">
        <v>152</v>
      </c>
      <c r="H16" s="49" cm="1">
        <f t="array" ref="H16:S16">oz.Timelineλ($B$17, $B$18, $B$19)</f>
        <v>46204</v>
      </c>
      <c r="I16" s="1">
        <v>46235</v>
      </c>
      <c r="J16" s="1">
        <v>46266</v>
      </c>
      <c r="K16" s="1">
        <v>46296</v>
      </c>
      <c r="L16" s="1">
        <v>46327</v>
      </c>
      <c r="M16" s="1">
        <v>46357</v>
      </c>
      <c r="N16" s="1">
        <v>46388</v>
      </c>
      <c r="O16" s="1">
        <v>46419</v>
      </c>
      <c r="P16" s="1">
        <v>46447</v>
      </c>
      <c r="Q16" s="1">
        <v>46478</v>
      </c>
      <c r="R16" s="1">
        <v>46508</v>
      </c>
      <c r="S16" s="1">
        <v>46539</v>
      </c>
    </row>
    <row r="17" spans="1:19" x14ac:dyDescent="0.25">
      <c r="A17" t="s">
        <v>112</v>
      </c>
      <c r="B17" s="34">
        <v>46204</v>
      </c>
      <c r="C17" t="s">
        <v>21</v>
      </c>
      <c r="F17" t="str" cm="1">
        <f t="array" ref="F17:F21">tblCT[Customer]</f>
        <v>ACME</v>
      </c>
      <c r="G17" cm="1">
        <f t="array" ref="G17:G21">oz.SumRowsλ(_xlfn.ANCHORARRAY(H17))</f>
        <v>2298</v>
      </c>
      <c r="H17" s="85" cm="1">
        <f t="array" ref="H17:S21">_xlfn.MAKEARRAY(COUNTA(_xlfn.ANCHORARRAY(F17)), COUNTA(_xlfn.ANCHORARRAY(H16)), _xlfn.LAMBDA(_xlpm.r,_xlpm.c, 100 + MOD(_xlpm.r * 7 + _xlpm.c * 13, 9999 - 100 + 1)))</f>
        <v>120</v>
      </c>
      <c r="I17">
        <v>133</v>
      </c>
      <c r="J17">
        <v>146</v>
      </c>
      <c r="K17">
        <v>159</v>
      </c>
      <c r="L17">
        <v>172</v>
      </c>
      <c r="M17">
        <v>185</v>
      </c>
      <c r="N17">
        <v>198</v>
      </c>
      <c r="O17">
        <v>211</v>
      </c>
      <c r="P17">
        <v>224</v>
      </c>
      <c r="Q17">
        <v>237</v>
      </c>
      <c r="R17">
        <v>250</v>
      </c>
      <c r="S17">
        <v>263</v>
      </c>
    </row>
    <row r="18" spans="1:19" x14ac:dyDescent="0.25">
      <c r="A18" t="s">
        <v>17</v>
      </c>
      <c r="B18">
        <v>12</v>
      </c>
      <c r="C18" t="s">
        <v>22</v>
      </c>
      <c r="F18" t="str">
        <v>Wool*Art</v>
      </c>
      <c r="G18">
        <v>2382</v>
      </c>
      <c r="H18">
        <v>127</v>
      </c>
      <c r="I18">
        <v>140</v>
      </c>
      <c r="J18">
        <v>153</v>
      </c>
      <c r="K18">
        <v>166</v>
      </c>
      <c r="L18">
        <v>179</v>
      </c>
      <c r="M18">
        <v>192</v>
      </c>
      <c r="N18">
        <v>205</v>
      </c>
      <c r="O18">
        <v>218</v>
      </c>
      <c r="P18">
        <v>231</v>
      </c>
      <c r="Q18">
        <v>244</v>
      </c>
      <c r="R18">
        <v>257</v>
      </c>
      <c r="S18">
        <v>270</v>
      </c>
    </row>
    <row r="19" spans="1:19" x14ac:dyDescent="0.25">
      <c r="A19" t="s">
        <v>18</v>
      </c>
      <c r="B19" t="s">
        <v>20</v>
      </c>
      <c r="F19" t="str">
        <v>Town Hall</v>
      </c>
      <c r="G19">
        <v>2466</v>
      </c>
      <c r="H19">
        <v>134</v>
      </c>
      <c r="I19">
        <v>147</v>
      </c>
      <c r="J19">
        <v>160</v>
      </c>
      <c r="K19">
        <v>173</v>
      </c>
      <c r="L19">
        <v>186</v>
      </c>
      <c r="M19">
        <v>199</v>
      </c>
      <c r="N19">
        <v>212</v>
      </c>
      <c r="O19">
        <v>225</v>
      </c>
      <c r="P19">
        <v>238</v>
      </c>
      <c r="Q19">
        <v>251</v>
      </c>
      <c r="R19">
        <v>264</v>
      </c>
      <c r="S19">
        <v>277</v>
      </c>
    </row>
    <row r="20" spans="1:19" x14ac:dyDescent="0.25">
      <c r="F20" t="str">
        <v>Jacqie Penee</v>
      </c>
      <c r="G20">
        <v>2550</v>
      </c>
      <c r="H20">
        <v>141</v>
      </c>
      <c r="I20">
        <v>154</v>
      </c>
      <c r="J20">
        <v>167</v>
      </c>
      <c r="K20">
        <v>180</v>
      </c>
      <c r="L20">
        <v>193</v>
      </c>
      <c r="M20">
        <v>206</v>
      </c>
      <c r="N20">
        <v>219</v>
      </c>
      <c r="O20">
        <v>232</v>
      </c>
      <c r="P20">
        <v>245</v>
      </c>
      <c r="Q20">
        <v>258</v>
      </c>
      <c r="R20">
        <v>271</v>
      </c>
      <c r="S20">
        <v>284</v>
      </c>
    </row>
    <row r="21" spans="1:19" x14ac:dyDescent="0.25">
      <c r="F21" t="str">
        <v>Amazonia</v>
      </c>
      <c r="G21">
        <v>2634</v>
      </c>
      <c r="H21">
        <v>148</v>
      </c>
      <c r="I21">
        <v>161</v>
      </c>
      <c r="J21">
        <v>174</v>
      </c>
      <c r="K21">
        <v>187</v>
      </c>
      <c r="L21">
        <v>200</v>
      </c>
      <c r="M21">
        <v>213</v>
      </c>
      <c r="N21">
        <v>226</v>
      </c>
      <c r="O21">
        <v>239</v>
      </c>
      <c r="P21">
        <v>252</v>
      </c>
      <c r="Q21">
        <v>265</v>
      </c>
      <c r="R21">
        <v>278</v>
      </c>
      <c r="S21">
        <v>291</v>
      </c>
    </row>
    <row r="22" spans="1:19" x14ac:dyDescent="0.25">
      <c r="F22" s="60" t="s">
        <v>159</v>
      </c>
      <c r="G22" s="60">
        <f>SUM(_xlfn.ANCHORARRAY(H22))</f>
        <v>2634</v>
      </c>
      <c r="H22" s="97" cm="1">
        <f t="array" ref="H22:S22">oz.MaxColsλ(_xlfn.ANCHORARRAY(H17))</f>
        <v>148</v>
      </c>
      <c r="I22" s="60">
        <v>161</v>
      </c>
      <c r="J22" s="60">
        <v>174</v>
      </c>
      <c r="K22" s="60">
        <v>187</v>
      </c>
      <c r="L22" s="60">
        <v>200</v>
      </c>
      <c r="M22" s="60">
        <v>213</v>
      </c>
      <c r="N22" s="60">
        <v>226</v>
      </c>
      <c r="O22" s="60">
        <v>239</v>
      </c>
      <c r="P22" s="60">
        <v>252</v>
      </c>
      <c r="Q22" s="60">
        <v>265</v>
      </c>
      <c r="R22" s="60">
        <v>278</v>
      </c>
      <c r="S22" s="60">
        <v>291</v>
      </c>
    </row>
  </sheetData>
  <mergeCells count="3">
    <mergeCell ref="A1:P1"/>
    <mergeCell ref="A14:C14"/>
    <mergeCell ref="A2:R2"/>
  </mergeCells>
  <hyperlinks>
    <hyperlink ref="A1" location="'TOC'!$A$1" display="'TOC'!$A$1" xr:uid="{363009BD-CEEE-4358-9324-B8C1CFF31DDB}"/>
  </hyperlinks>
  <pageMargins left="0.7" right="0.7" top="0.75" bottom="0.75" header="0.3" footer="0.3"/>
  <pageSetup paperSize="9" scale="63" fitToHeight="0" orientation="landscape" horizontalDpi="0" verticalDpi="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47D2-5A1E-480B-9052-7CB2FF1B10E5}">
  <sheetPr codeName="Sheet29">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oz.CountRowsλ</v>
      </c>
      <c r="B1" s="185"/>
      <c r="C1" s="185"/>
      <c r="D1" s="185"/>
      <c r="E1" s="185"/>
      <c r="F1" s="185"/>
      <c r="G1" s="185"/>
      <c r="H1" s="185"/>
      <c r="I1" s="185"/>
      <c r="J1" s="185"/>
      <c r="K1" s="185"/>
    </row>
    <row r="2" spans="1:18" x14ac:dyDescent="0.25">
      <c r="A2" s="186" t="s">
        <v>286</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oz.CountRowsλ()</f>
        <v>FUNCTION:</v>
      </c>
      <c r="B4" t="str">
        <v>CountRowsλ( Array)</v>
      </c>
    </row>
    <row r="5" spans="1:18" x14ac:dyDescent="0.25">
      <c r="A5" t="str">
        <v>DESCRIPTION:</v>
      </c>
      <c r="B5" t="str">
        <v>Count numbers in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(oz is assumed to be the module's name)</v>
      </c>
    </row>
    <row r="11" spans="1:18" x14ac:dyDescent="0.25">
      <c r="A11" t="str">
        <v/>
      </c>
      <c r="B11" t="str">
        <v>=oz.CountRowsλ( CHOOSE( RANDARRAY( 5, 5, 1, 5),"A", "B", "", 1, 2))</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129" cm="1">
        <f t="array" ref="F17:F21">oz.CountRowsλ(_xlfn.ANCHORARRAY(G17))</f>
        <v>6</v>
      </c>
      <c r="G17" s="128" t="str" cm="1">
        <f t="array" ref="G17:R21">CHOOSE(_xlfn.MAKEARRAY(COUNTA(_xlfn.ANCHORARRAY( E17)), COUNTA(_xlfn.ANCHORARRAY( G16)), _xlfn.LAMBDA(_xlpm.r,_xlpm.c, 1 + MOD(_xlpm.r * 7 + _xlpm.c * 13, 10 - 1 + 1))),"A", "B", "C", "", 1, 2, 3, 4, 5, 6)</f>
        <v>A</v>
      </c>
      <c r="H17" t="str">
        <v/>
      </c>
      <c r="I17">
        <v>3</v>
      </c>
      <c r="J17">
        <v>6</v>
      </c>
      <c r="K17" t="str">
        <v>C</v>
      </c>
      <c r="L17">
        <v>2</v>
      </c>
      <c r="M17">
        <v>5</v>
      </c>
      <c r="N17" t="str">
        <v>B</v>
      </c>
      <c r="O17">
        <v>1</v>
      </c>
      <c r="P17">
        <v>4</v>
      </c>
      <c r="Q17" t="str">
        <v>A</v>
      </c>
      <c r="R17" t="str">
        <v/>
      </c>
    </row>
    <row r="18" spans="1:18" x14ac:dyDescent="0.25">
      <c r="A18" t="s">
        <v>17</v>
      </c>
      <c r="B18">
        <v>12</v>
      </c>
      <c r="C18" t="s">
        <v>22</v>
      </c>
      <c r="E18" s="14" t="str">
        <v>Wool*Art</v>
      </c>
      <c r="F18" s="67">
        <v>7</v>
      </c>
      <c r="G18" s="67">
        <v>4</v>
      </c>
      <c r="H18" t="str">
        <v>A</v>
      </c>
      <c r="I18" t="str">
        <v/>
      </c>
      <c r="J18">
        <v>3</v>
      </c>
      <c r="K18">
        <v>6</v>
      </c>
      <c r="L18" t="str">
        <v>C</v>
      </c>
      <c r="M18">
        <v>2</v>
      </c>
      <c r="N18">
        <v>5</v>
      </c>
      <c r="O18" t="str">
        <v>B</v>
      </c>
      <c r="P18">
        <v>1</v>
      </c>
      <c r="Q18">
        <v>4</v>
      </c>
      <c r="R18" t="str">
        <v>A</v>
      </c>
    </row>
    <row r="19" spans="1:18" x14ac:dyDescent="0.25">
      <c r="A19" t="s">
        <v>18</v>
      </c>
      <c r="B19" t="s">
        <v>2</v>
      </c>
      <c r="E19" s="14" t="str">
        <v>Town Hall</v>
      </c>
      <c r="F19" s="67">
        <v>8</v>
      </c>
      <c r="G19" s="67">
        <v>1</v>
      </c>
      <c r="H19">
        <v>4</v>
      </c>
      <c r="I19" t="str">
        <v>A</v>
      </c>
      <c r="J19" t="str">
        <v/>
      </c>
      <c r="K19">
        <v>3</v>
      </c>
      <c r="L19">
        <v>6</v>
      </c>
      <c r="M19" t="str">
        <v>C</v>
      </c>
      <c r="N19">
        <v>2</v>
      </c>
      <c r="O19">
        <v>5</v>
      </c>
      <c r="P19" t="str">
        <v>B</v>
      </c>
      <c r="Q19">
        <v>1</v>
      </c>
      <c r="R19">
        <v>4</v>
      </c>
    </row>
    <row r="20" spans="1:18" x14ac:dyDescent="0.25">
      <c r="E20" s="14" t="str">
        <v>Jacqie Penee</v>
      </c>
      <c r="F20" s="67">
        <v>7</v>
      </c>
      <c r="G20" t="str">
        <v>B</v>
      </c>
      <c r="H20">
        <v>1</v>
      </c>
      <c r="I20">
        <v>4</v>
      </c>
      <c r="J20" t="str">
        <v>A</v>
      </c>
      <c r="K20" t="str">
        <v/>
      </c>
      <c r="L20">
        <v>3</v>
      </c>
      <c r="M20">
        <v>6</v>
      </c>
      <c r="N20" t="str">
        <v>C</v>
      </c>
      <c r="O20">
        <v>2</v>
      </c>
      <c r="P20">
        <v>5</v>
      </c>
      <c r="Q20" t="str">
        <v>B</v>
      </c>
      <c r="R20">
        <v>1</v>
      </c>
    </row>
    <row r="21" spans="1:18" x14ac:dyDescent="0.25">
      <c r="E21" s="14" t="str">
        <v>Amazonia</v>
      </c>
      <c r="F21" s="67">
        <v>7</v>
      </c>
      <c r="G21">
        <v>5</v>
      </c>
      <c r="H21" t="str">
        <v>B</v>
      </c>
      <c r="I21">
        <v>1</v>
      </c>
      <c r="J21">
        <v>4</v>
      </c>
      <c r="K21" t="str">
        <v>A</v>
      </c>
      <c r="L21" t="str">
        <v/>
      </c>
      <c r="M21">
        <v>3</v>
      </c>
      <c r="N21">
        <v>6</v>
      </c>
      <c r="O21" t="str">
        <v>C</v>
      </c>
      <c r="P21">
        <v>2</v>
      </c>
      <c r="Q21">
        <v>5</v>
      </c>
      <c r="R21" t="str">
        <v>B</v>
      </c>
    </row>
    <row r="22" spans="1:18" ht="15.75" thickBot="1" x14ac:dyDescent="0.3">
      <c r="E22" s="96" t="s">
        <v>5</v>
      </c>
      <c r="F22" s="64">
        <f>SUM(_xlfn.ANCHORARRAY(G22))</f>
        <v>35</v>
      </c>
      <c r="G22" s="64" cm="1">
        <f t="array" ref="G22:R22">oz.CountColsλ(_xlfn.ANCHORARRAY(G17))</f>
        <v>3</v>
      </c>
      <c r="H22" s="64">
        <v>2</v>
      </c>
      <c r="I22" s="64">
        <v>3</v>
      </c>
      <c r="J22" s="64">
        <v>3</v>
      </c>
      <c r="K22" s="64">
        <v>2</v>
      </c>
      <c r="L22" s="64">
        <v>3</v>
      </c>
      <c r="M22" s="64">
        <v>4</v>
      </c>
      <c r="N22" s="64">
        <v>3</v>
      </c>
      <c r="O22" s="64">
        <v>3</v>
      </c>
      <c r="P22" s="64">
        <v>4</v>
      </c>
      <c r="Q22" s="64">
        <v>3</v>
      </c>
      <c r="R22" s="64">
        <v>2</v>
      </c>
    </row>
  </sheetData>
  <mergeCells count="3">
    <mergeCell ref="A1:K1"/>
    <mergeCell ref="A2:Q2"/>
    <mergeCell ref="A14:C14"/>
  </mergeCells>
  <hyperlinks>
    <hyperlink ref="A1" location="'TOC'!$A$1" display="'TOC'!$A$1" xr:uid="{B07DD42F-B3A3-4F78-AC3E-5A9C098CBEB9}"/>
  </hyperlinks>
  <pageMargins left="0.7" right="0.7" top="0.75" bottom="0.75" header="0.3" footer="0.3"/>
  <pageSetup paperSize="9" scale="64" fitToHeight="0" orientation="landscape" horizontalDpi="0" verticalDpi="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003-18AF-427F-93E5-1F3B71221EFB}">
  <sheetPr codeName="Sheet30">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oz.CountColsλ</v>
      </c>
      <c r="B1" s="185"/>
      <c r="C1" s="185"/>
      <c r="D1" s="185"/>
      <c r="E1" s="185"/>
      <c r="F1" s="185"/>
      <c r="G1" s="185"/>
      <c r="H1" s="185"/>
      <c r="I1" s="185"/>
      <c r="J1" s="185"/>
      <c r="K1" s="185"/>
    </row>
    <row r="2" spans="1:18" x14ac:dyDescent="0.25">
      <c r="A2" s="186" t="s">
        <v>285</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oz.CountColsλ()</f>
        <v>FUNCTION:</v>
      </c>
      <c r="B4" t="str">
        <v>CountColsλ( Array)</v>
      </c>
    </row>
    <row r="5" spans="1:18" x14ac:dyDescent="0.25">
      <c r="A5" t="str">
        <v>DESCRIPTION:</v>
      </c>
      <c r="B5" t="str">
        <v>Count numbers in each column</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numbers to be counted.</v>
      </c>
    </row>
    <row r="10" spans="1:18" x14ac:dyDescent="0.25">
      <c r="A10" t="str">
        <v>EXAMPLES:</v>
      </c>
      <c r="B10" t="str">
        <v>Formula (oz is assumed to be the module's name)</v>
      </c>
    </row>
    <row r="11" spans="1:18" x14ac:dyDescent="0.25">
      <c r="A11" t="str">
        <v/>
      </c>
      <c r="B11" t="str">
        <v>=oz.CountColsλ( CHOOSE( RANDARRAY( 5, 5, 1, 5),"A", "B", "", 1, 2))</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67" cm="1">
        <f t="array" ref="F17:F21">oz.CountRowsλ(_xlfn.ANCHORARRAY(G17))</f>
        <v>6</v>
      </c>
      <c r="G17" s="128" t="str" cm="1">
        <f t="array" ref="G17:R21">CHOOSE(_xlfn.MAKEARRAY(COUNTA(_xlfn.ANCHORARRAY( E17)), COUNTA(_xlfn.ANCHORARRAY( G16)), _xlfn.LAMBDA(_xlpm.r,_xlpm.c, 1 + MOD(_xlpm.r * 7 + _xlpm.c * 13, 10 - 1 + 1))),"A", "B", "C", "", 1, 2, 3, 4, 5, 6)</f>
        <v>A</v>
      </c>
      <c r="H17" t="str">
        <v/>
      </c>
      <c r="I17">
        <v>3</v>
      </c>
      <c r="J17">
        <v>6</v>
      </c>
      <c r="K17" t="str">
        <v>C</v>
      </c>
      <c r="L17">
        <v>2</v>
      </c>
      <c r="M17">
        <v>5</v>
      </c>
      <c r="N17" t="str">
        <v>B</v>
      </c>
      <c r="O17">
        <v>1</v>
      </c>
      <c r="P17">
        <v>4</v>
      </c>
      <c r="Q17" t="str">
        <v>A</v>
      </c>
      <c r="R17" t="str">
        <v/>
      </c>
    </row>
    <row r="18" spans="1:18" x14ac:dyDescent="0.25">
      <c r="A18" t="s">
        <v>17</v>
      </c>
      <c r="B18">
        <v>12</v>
      </c>
      <c r="C18" t="s">
        <v>22</v>
      </c>
      <c r="E18" s="14" t="str">
        <v>Wool*Art</v>
      </c>
      <c r="F18" s="67">
        <v>7</v>
      </c>
      <c r="G18" s="67">
        <v>4</v>
      </c>
      <c r="H18" t="str">
        <v>A</v>
      </c>
      <c r="I18" t="str">
        <v/>
      </c>
      <c r="J18">
        <v>3</v>
      </c>
      <c r="K18">
        <v>6</v>
      </c>
      <c r="L18" t="str">
        <v>C</v>
      </c>
      <c r="M18">
        <v>2</v>
      </c>
      <c r="N18">
        <v>5</v>
      </c>
      <c r="O18" t="str">
        <v>B</v>
      </c>
      <c r="P18">
        <v>1</v>
      </c>
      <c r="Q18">
        <v>4</v>
      </c>
      <c r="R18" t="str">
        <v>A</v>
      </c>
    </row>
    <row r="19" spans="1:18" x14ac:dyDescent="0.25">
      <c r="A19" t="s">
        <v>18</v>
      </c>
      <c r="B19" t="s">
        <v>2</v>
      </c>
      <c r="E19" s="14" t="str">
        <v>Town Hall</v>
      </c>
      <c r="F19" s="67">
        <v>8</v>
      </c>
      <c r="G19" s="67">
        <v>1</v>
      </c>
      <c r="H19">
        <v>4</v>
      </c>
      <c r="I19" t="str">
        <v>A</v>
      </c>
      <c r="J19" t="str">
        <v/>
      </c>
      <c r="K19">
        <v>3</v>
      </c>
      <c r="L19">
        <v>6</v>
      </c>
      <c r="M19" t="str">
        <v>C</v>
      </c>
      <c r="N19">
        <v>2</v>
      </c>
      <c r="O19">
        <v>5</v>
      </c>
      <c r="P19" t="str">
        <v>B</v>
      </c>
      <c r="Q19">
        <v>1</v>
      </c>
      <c r="R19">
        <v>4</v>
      </c>
    </row>
    <row r="20" spans="1:18" x14ac:dyDescent="0.25">
      <c r="E20" s="14" t="str">
        <v>Jacqie Penee</v>
      </c>
      <c r="F20" s="67">
        <v>7</v>
      </c>
      <c r="G20" t="str">
        <v>B</v>
      </c>
      <c r="H20">
        <v>1</v>
      </c>
      <c r="I20">
        <v>4</v>
      </c>
      <c r="J20" t="str">
        <v>A</v>
      </c>
      <c r="K20" t="str">
        <v/>
      </c>
      <c r="L20">
        <v>3</v>
      </c>
      <c r="M20">
        <v>6</v>
      </c>
      <c r="N20" t="str">
        <v>C</v>
      </c>
      <c r="O20">
        <v>2</v>
      </c>
      <c r="P20">
        <v>5</v>
      </c>
      <c r="Q20" t="str">
        <v>B</v>
      </c>
      <c r="R20">
        <v>1</v>
      </c>
    </row>
    <row r="21" spans="1:18" x14ac:dyDescent="0.25">
      <c r="E21" s="14" t="str">
        <v>Amazonia</v>
      </c>
      <c r="F21" s="67">
        <v>7</v>
      </c>
      <c r="G21">
        <v>5</v>
      </c>
      <c r="H21" t="str">
        <v>B</v>
      </c>
      <c r="I21">
        <v>1</v>
      </c>
      <c r="J21">
        <v>4</v>
      </c>
      <c r="K21" t="str">
        <v>A</v>
      </c>
      <c r="L21" t="str">
        <v/>
      </c>
      <c r="M21">
        <v>3</v>
      </c>
      <c r="N21">
        <v>6</v>
      </c>
      <c r="O21" t="str">
        <v>C</v>
      </c>
      <c r="P21">
        <v>2</v>
      </c>
      <c r="Q21">
        <v>5</v>
      </c>
      <c r="R21" t="str">
        <v>B</v>
      </c>
    </row>
    <row r="22" spans="1:18" ht="15.75" thickBot="1" x14ac:dyDescent="0.3">
      <c r="E22" s="96" t="s">
        <v>5</v>
      </c>
      <c r="F22" s="64">
        <f>SUM(_xlfn.ANCHORARRAY(G22))</f>
        <v>35</v>
      </c>
      <c r="G22" s="137" cm="1">
        <f t="array" ref="G22:R22">oz.CountColsλ(_xlfn.ANCHORARRAY(G17))</f>
        <v>3</v>
      </c>
      <c r="H22" s="64">
        <v>2</v>
      </c>
      <c r="I22" s="64">
        <v>3</v>
      </c>
      <c r="J22" s="64">
        <v>3</v>
      </c>
      <c r="K22" s="64">
        <v>2</v>
      </c>
      <c r="L22" s="64">
        <v>3</v>
      </c>
      <c r="M22" s="64">
        <v>4</v>
      </c>
      <c r="N22" s="64">
        <v>3</v>
      </c>
      <c r="O22" s="64">
        <v>3</v>
      </c>
      <c r="P22" s="64">
        <v>4</v>
      </c>
      <c r="Q22" s="64">
        <v>3</v>
      </c>
      <c r="R22" s="64">
        <v>2</v>
      </c>
    </row>
  </sheetData>
  <mergeCells count="3">
    <mergeCell ref="A1:K1"/>
    <mergeCell ref="A2:Q2"/>
    <mergeCell ref="A14:C14"/>
  </mergeCells>
  <hyperlinks>
    <hyperlink ref="A1" location="'TOC'!$A$1" display="'TOC'!$A$1" xr:uid="{AA1461E5-6747-4F24-BF1F-E74155322384}"/>
  </hyperlinks>
  <pageMargins left="0.7" right="0.7" top="0.75" bottom="0.75" header="0.3" footer="0.3"/>
  <pageSetup paperSize="9" scale="64" fitToHeight="0" orientation="landscape" horizontalDpi="0"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BE55-ED7B-4C77-ACC7-1061BF9109E5}">
  <sheetPr codeName="Sheet31">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oz.CountARowsλ</v>
      </c>
      <c r="B1" s="185"/>
      <c r="C1" s="185"/>
      <c r="D1" s="185"/>
      <c r="E1" s="185"/>
      <c r="F1" s="185"/>
      <c r="G1" s="185"/>
      <c r="H1" s="185"/>
      <c r="I1" s="185"/>
      <c r="J1" s="185"/>
      <c r="K1" s="185"/>
    </row>
    <row r="2" spans="1:18" x14ac:dyDescent="0.25">
      <c r="A2" s="186" t="s">
        <v>430</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oz.CountARowsλ()</f>
        <v>FUNCTION:</v>
      </c>
      <c r="B4" t="str">
        <v>CountARowsλ( Array)</v>
      </c>
    </row>
    <row r="5" spans="1:18" x14ac:dyDescent="0.25">
      <c r="A5" t="str">
        <v>DESCRIPTION:</v>
      </c>
      <c r="B5" t="str">
        <v>Count everything in each row</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(oz is assumed to be the module's name)</v>
      </c>
    </row>
    <row r="11" spans="1:18" x14ac:dyDescent="0.25">
      <c r="A11" t="str">
        <v/>
      </c>
      <c r="B11" t="str">
        <v>=oz.CountARowsλ( CHOOSE( RANDARRAY( 5, 5, 1, 5),"A", "B", "", 1, 2))</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129" cm="1">
        <f t="array" ref="F17:F21">oz.CountARowsλ(G17:R21)</f>
        <v>11</v>
      </c>
      <c r="G17" s="128" t="s">
        <v>277</v>
      </c>
      <c r="H17">
        <v>1</v>
      </c>
      <c r="I17">
        <v>4</v>
      </c>
      <c r="J17">
        <v>5</v>
      </c>
      <c r="K17">
        <v>3</v>
      </c>
      <c r="L17" t="s">
        <v>278</v>
      </c>
      <c r="M17" t="s">
        <v>101</v>
      </c>
      <c r="N17" t="s">
        <v>101</v>
      </c>
      <c r="O17">
        <v>1</v>
      </c>
      <c r="Q17">
        <v>5</v>
      </c>
      <c r="R17" t="s">
        <v>101</v>
      </c>
    </row>
    <row r="18" spans="1:18" x14ac:dyDescent="0.25">
      <c r="A18" t="s">
        <v>17</v>
      </c>
      <c r="B18">
        <v>12</v>
      </c>
      <c r="C18" t="s">
        <v>22</v>
      </c>
      <c r="E18" s="14" t="str">
        <v>Wool*Art</v>
      </c>
      <c r="F18" s="67">
        <v>11</v>
      </c>
      <c r="G18" s="67"/>
      <c r="H18">
        <v>3</v>
      </c>
      <c r="I18">
        <v>4</v>
      </c>
      <c r="J18" t="s">
        <v>279</v>
      </c>
      <c r="K18" t="s">
        <v>279</v>
      </c>
      <c r="L18">
        <v>4</v>
      </c>
      <c r="M18">
        <v>3</v>
      </c>
      <c r="N18" t="s">
        <v>101</v>
      </c>
      <c r="O18">
        <v>3</v>
      </c>
      <c r="P18" t="s">
        <v>277</v>
      </c>
      <c r="Q18">
        <v>2</v>
      </c>
      <c r="R18" t="s">
        <v>277</v>
      </c>
    </row>
    <row r="19" spans="1:18" x14ac:dyDescent="0.25">
      <c r="A19" t="s">
        <v>18</v>
      </c>
      <c r="B19" t="s">
        <v>2</v>
      </c>
      <c r="E19" s="14" t="str">
        <v>Town Hall</v>
      </c>
      <c r="F19" s="67">
        <v>12</v>
      </c>
      <c r="G19" s="67">
        <v>5</v>
      </c>
      <c r="H19" t="s">
        <v>279</v>
      </c>
      <c r="I19" t="s">
        <v>279</v>
      </c>
      <c r="J19">
        <v>4</v>
      </c>
      <c r="K19" t="s">
        <v>279</v>
      </c>
      <c r="L19" t="s">
        <v>279</v>
      </c>
      <c r="M19">
        <v>1</v>
      </c>
      <c r="N19" t="s">
        <v>277</v>
      </c>
      <c r="O19" t="s">
        <v>101</v>
      </c>
      <c r="P19" t="s">
        <v>101</v>
      </c>
      <c r="Q19" t="s">
        <v>101</v>
      </c>
      <c r="R19">
        <v>5</v>
      </c>
    </row>
    <row r="20" spans="1:18" x14ac:dyDescent="0.25">
      <c r="E20" s="14" t="str">
        <v>Jacqie Penee</v>
      </c>
      <c r="F20" s="67">
        <v>12</v>
      </c>
      <c r="G20" t="s">
        <v>101</v>
      </c>
      <c r="H20">
        <v>4</v>
      </c>
      <c r="I20">
        <v>4</v>
      </c>
      <c r="J20" t="s">
        <v>277</v>
      </c>
      <c r="K20">
        <v>3</v>
      </c>
      <c r="L20">
        <v>1</v>
      </c>
      <c r="M20" t="s">
        <v>101</v>
      </c>
      <c r="N20">
        <v>2</v>
      </c>
      <c r="O20">
        <v>3</v>
      </c>
      <c r="P20">
        <v>3</v>
      </c>
      <c r="Q20" t="s">
        <v>279</v>
      </c>
      <c r="R20">
        <v>5</v>
      </c>
    </row>
    <row r="21" spans="1:18" x14ac:dyDescent="0.25">
      <c r="E21" s="14" t="str">
        <v>Amazonia</v>
      </c>
      <c r="F21" s="67">
        <v>9</v>
      </c>
      <c r="H21">
        <v>5</v>
      </c>
      <c r="I21" t="s">
        <v>101</v>
      </c>
      <c r="K21" t="s">
        <v>277</v>
      </c>
      <c r="L21" t="s">
        <v>279</v>
      </c>
      <c r="N21">
        <v>3</v>
      </c>
      <c r="O21">
        <v>3</v>
      </c>
      <c r="P21">
        <v>3</v>
      </c>
      <c r="Q21">
        <v>3</v>
      </c>
      <c r="R21" t="s">
        <v>277</v>
      </c>
    </row>
    <row r="22" spans="1:18" ht="15.75" thickBot="1" x14ac:dyDescent="0.3">
      <c r="E22" s="96" t="s">
        <v>5</v>
      </c>
      <c r="F22" s="64">
        <f>SUM(_xlfn.ANCHORARRAY(G22))</f>
        <v>55</v>
      </c>
      <c r="G22" s="64" cm="1">
        <f t="array" ref="G22:R22">oz.CountAColsλ(G17:R21)</f>
        <v>3</v>
      </c>
      <c r="H22" s="64">
        <v>5</v>
      </c>
      <c r="I22" s="64">
        <v>5</v>
      </c>
      <c r="J22" s="64">
        <v>4</v>
      </c>
      <c r="K22" s="64">
        <v>5</v>
      </c>
      <c r="L22" s="64">
        <v>5</v>
      </c>
      <c r="M22" s="64">
        <v>4</v>
      </c>
      <c r="N22" s="64">
        <v>5</v>
      </c>
      <c r="O22" s="64">
        <v>5</v>
      </c>
      <c r="P22" s="64">
        <v>4</v>
      </c>
      <c r="Q22" s="64">
        <v>5</v>
      </c>
      <c r="R22" s="64">
        <v>5</v>
      </c>
    </row>
  </sheetData>
  <mergeCells count="3">
    <mergeCell ref="A1:K1"/>
    <mergeCell ref="A2:Q2"/>
    <mergeCell ref="A14:C14"/>
  </mergeCells>
  <hyperlinks>
    <hyperlink ref="A1" location="'TOC'!$A$1" display="'TOC'!$A$1" xr:uid="{5E788C95-A844-48ED-9BEC-12FC4957635C}"/>
  </hyperlinks>
  <pageMargins left="0.7" right="0.7" top="0.75" bottom="0.75" header="0.3" footer="0.3"/>
  <pageSetup paperSize="9" scale="61" fitToHeight="0" orientation="landscape" horizontalDpi="0" verticalDpi="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BD7A-87F7-4BA9-9DE6-9F181E9E15F1}">
  <sheetPr codeName="Sheet32">
    <tabColor rgb="FF990024"/>
    <pageSetUpPr fitToPage="1"/>
  </sheetPr>
  <dimension ref="A1:R22"/>
  <sheetViews>
    <sheetView showGridLines="0" workbookViewId="0">
      <selection sqref="A1:K1"/>
    </sheetView>
  </sheetViews>
  <sheetFormatPr defaultRowHeight="15" x14ac:dyDescent="0.25"/>
  <cols>
    <col min="1" max="1" width="12.75" bestFit="1" customWidth="1"/>
    <col min="2" max="2" width="10.25" customWidth="1"/>
    <col min="3" max="3" width="8.625" bestFit="1" customWidth="1"/>
    <col min="4" max="4" width="4" bestFit="1" customWidth="1"/>
    <col min="5" max="5" width="22.125" bestFit="1" customWidth="1"/>
    <col min="6" max="6" width="15.625" bestFit="1" customWidth="1"/>
    <col min="7" max="18" width="10.125" bestFit="1" customWidth="1"/>
  </cols>
  <sheetData>
    <row r="1" spans="1:18" ht="46.5" x14ac:dyDescent="0.7">
      <c r="A1" s="185" t="str">
        <f ca="1">_xlfn.TEXTAFTER(CELL("filename",A1),"]")</f>
        <v>oz.CountAColsλ</v>
      </c>
      <c r="B1" s="185"/>
      <c r="C1" s="185"/>
      <c r="D1" s="185"/>
      <c r="E1" s="185"/>
      <c r="F1" s="185"/>
      <c r="G1" s="185"/>
      <c r="H1" s="185"/>
      <c r="I1" s="185"/>
      <c r="J1" s="185"/>
      <c r="K1" s="185"/>
    </row>
    <row r="2" spans="1:18" x14ac:dyDescent="0.25">
      <c r="A2" s="186" t="s">
        <v>431</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1">oz.CountAColsλ()</f>
        <v>FUNCTION:</v>
      </c>
      <c r="B4" t="str">
        <v>CountAColsλ( Array )</v>
      </c>
    </row>
    <row r="5" spans="1:18" x14ac:dyDescent="0.25">
      <c r="A5" t="str">
        <v>DESCRIPTION:</v>
      </c>
      <c r="B5" t="str">
        <v>Count everything in each column</v>
      </c>
    </row>
    <row r="6" spans="1:18" x14ac:dyDescent="0.25">
      <c r="A6" t="str">
        <v>WEBPAGE:</v>
      </c>
      <c r="B6" t="str">
        <v>https://github.com/ryanduguid/Ozzit</v>
      </c>
    </row>
    <row r="7" spans="1:18" x14ac:dyDescent="0.25">
      <c r="A7" t="str">
        <v>VERSION:</v>
      </c>
      <c r="B7" t="str">
        <v>20 Aug 2026</v>
      </c>
    </row>
    <row r="8" spans="1:18" x14ac:dyDescent="0.25">
      <c r="A8" t="str">
        <v>PARAMETERS:</v>
      </c>
      <c r="B8" t="str">
        <v/>
      </c>
    </row>
    <row r="9" spans="1:18" x14ac:dyDescent="0.25">
      <c r="A9" t="str">
        <v>Array</v>
      </c>
      <c r="B9" t="str">
        <v>(Required) A two dimensional array/range containing values to be counted.</v>
      </c>
    </row>
    <row r="10" spans="1:18" x14ac:dyDescent="0.25">
      <c r="A10" t="str">
        <v>EXAMPLES:</v>
      </c>
      <c r="B10" t="str">
        <v>Formula (oz is assumed to be the module's name)</v>
      </c>
    </row>
    <row r="11" spans="1:18" x14ac:dyDescent="0.25">
      <c r="A11" t="str">
        <v/>
      </c>
      <c r="B11" t="str">
        <v>=oz.CountAColsλ( CHOOSE( RANDARRAY( 5, 5, 1, 5),"A", "B", "", 1, 2))</v>
      </c>
    </row>
    <row r="14" spans="1:18" ht="21" x14ac:dyDescent="0.35">
      <c r="A14" s="203" t="s">
        <v>148</v>
      </c>
      <c r="B14" s="203"/>
      <c r="C14" s="203"/>
    </row>
    <row r="16" spans="1:18" x14ac:dyDescent="0.25">
      <c r="A16" s="54" t="s">
        <v>149</v>
      </c>
      <c r="B16" s="54" t="s">
        <v>14</v>
      </c>
      <c r="C16" s="54" t="s">
        <v>15</v>
      </c>
      <c r="E16" s="83" t="s">
        <v>7</v>
      </c>
      <c r="F16" s="83" t="s">
        <v>152</v>
      </c>
      <c r="G16" s="1" cm="1">
        <f t="array" ref="G16:R16">oz.Timelineλ($B$17,$B$18,$B$19)</f>
        <v>46204</v>
      </c>
      <c r="H16" s="1">
        <v>46569</v>
      </c>
      <c r="I16" s="1">
        <v>46935</v>
      </c>
      <c r="J16" s="1">
        <v>47300</v>
      </c>
      <c r="K16" s="1">
        <v>47665</v>
      </c>
      <c r="L16" s="1">
        <v>48030</v>
      </c>
      <c r="M16" s="1">
        <v>48396</v>
      </c>
      <c r="N16" s="1">
        <v>48761</v>
      </c>
      <c r="O16" s="1">
        <v>49126</v>
      </c>
      <c r="P16" s="1">
        <v>49491</v>
      </c>
      <c r="Q16" s="1">
        <v>49857</v>
      </c>
      <c r="R16" s="1">
        <v>50222</v>
      </c>
    </row>
    <row r="17" spans="1:18" x14ac:dyDescent="0.25">
      <c r="A17" t="s">
        <v>112</v>
      </c>
      <c r="B17" s="34">
        <v>46204</v>
      </c>
      <c r="C17" t="s">
        <v>21</v>
      </c>
      <c r="E17" s="14" t="str" cm="1">
        <f t="array" ref="E17:E21">tblCT[Customer]</f>
        <v>ACME</v>
      </c>
      <c r="F17" s="67" cm="1">
        <f t="array" ref="F17:F21">oz.CountARowsλ(G17:R21)</f>
        <v>11</v>
      </c>
      <c r="G17" s="128" t="s">
        <v>277</v>
      </c>
      <c r="H17">
        <v>1</v>
      </c>
      <c r="I17">
        <v>4</v>
      </c>
      <c r="J17">
        <v>5</v>
      </c>
      <c r="K17">
        <v>3</v>
      </c>
      <c r="L17" t="s">
        <v>278</v>
      </c>
      <c r="M17" t="s">
        <v>101</v>
      </c>
      <c r="N17" t="s">
        <v>101</v>
      </c>
      <c r="O17">
        <v>1</v>
      </c>
      <c r="Q17">
        <v>5</v>
      </c>
      <c r="R17" t="s">
        <v>101</v>
      </c>
    </row>
    <row r="18" spans="1:18" x14ac:dyDescent="0.25">
      <c r="A18" t="s">
        <v>17</v>
      </c>
      <c r="B18">
        <v>12</v>
      </c>
      <c r="C18" t="s">
        <v>22</v>
      </c>
      <c r="E18" s="14" t="str">
        <v>Wool*Art</v>
      </c>
      <c r="F18" s="67">
        <v>11</v>
      </c>
      <c r="G18" s="67"/>
      <c r="H18">
        <v>3</v>
      </c>
      <c r="I18">
        <v>4</v>
      </c>
      <c r="J18" t="s">
        <v>279</v>
      </c>
      <c r="K18" t="s">
        <v>279</v>
      </c>
      <c r="L18">
        <v>4</v>
      </c>
      <c r="M18">
        <v>3</v>
      </c>
      <c r="N18" t="s">
        <v>101</v>
      </c>
      <c r="O18">
        <v>3</v>
      </c>
      <c r="P18" t="s">
        <v>277</v>
      </c>
      <c r="Q18">
        <v>2</v>
      </c>
      <c r="R18" t="s">
        <v>277</v>
      </c>
    </row>
    <row r="19" spans="1:18" x14ac:dyDescent="0.25">
      <c r="A19" t="s">
        <v>18</v>
      </c>
      <c r="B19" t="s">
        <v>2</v>
      </c>
      <c r="E19" s="14" t="str">
        <v>Town Hall</v>
      </c>
      <c r="F19" s="67">
        <v>12</v>
      </c>
      <c r="G19" s="67">
        <v>5</v>
      </c>
      <c r="H19" t="s">
        <v>279</v>
      </c>
      <c r="I19" t="s">
        <v>279</v>
      </c>
      <c r="J19">
        <v>4</v>
      </c>
      <c r="K19" t="s">
        <v>279</v>
      </c>
      <c r="L19" t="s">
        <v>279</v>
      </c>
      <c r="M19">
        <v>1</v>
      </c>
      <c r="N19" t="s">
        <v>277</v>
      </c>
      <c r="O19" t="s">
        <v>101</v>
      </c>
      <c r="P19" t="s">
        <v>101</v>
      </c>
      <c r="Q19" t="s">
        <v>101</v>
      </c>
      <c r="R19">
        <v>5</v>
      </c>
    </row>
    <row r="20" spans="1:18" x14ac:dyDescent="0.25">
      <c r="E20" s="14" t="str">
        <v>Jacqie Penee</v>
      </c>
      <c r="F20" s="67">
        <v>12</v>
      </c>
      <c r="G20" t="s">
        <v>101</v>
      </c>
      <c r="H20">
        <v>4</v>
      </c>
      <c r="I20">
        <v>4</v>
      </c>
      <c r="J20" t="s">
        <v>277</v>
      </c>
      <c r="K20">
        <v>3</v>
      </c>
      <c r="L20">
        <v>1</v>
      </c>
      <c r="M20" t="s">
        <v>101</v>
      </c>
      <c r="N20">
        <v>2</v>
      </c>
      <c r="O20">
        <v>3</v>
      </c>
      <c r="P20">
        <v>3</v>
      </c>
      <c r="Q20" t="s">
        <v>279</v>
      </c>
      <c r="R20">
        <v>5</v>
      </c>
    </row>
    <row r="21" spans="1:18" x14ac:dyDescent="0.25">
      <c r="E21" s="14" t="str">
        <v>Amazonia</v>
      </c>
      <c r="F21" s="67">
        <v>9</v>
      </c>
      <c r="H21">
        <v>5</v>
      </c>
      <c r="I21" t="s">
        <v>101</v>
      </c>
      <c r="K21" t="s">
        <v>277</v>
      </c>
      <c r="L21" t="s">
        <v>279</v>
      </c>
      <c r="N21">
        <v>3</v>
      </c>
      <c r="O21">
        <v>3</v>
      </c>
      <c r="P21">
        <v>3</v>
      </c>
      <c r="Q21">
        <v>3</v>
      </c>
      <c r="R21" t="s">
        <v>277</v>
      </c>
    </row>
    <row r="22" spans="1:18" ht="15.75" thickBot="1" x14ac:dyDescent="0.3">
      <c r="E22" s="96" t="s">
        <v>5</v>
      </c>
      <c r="F22" s="64">
        <f>SUM(_xlfn.ANCHORARRAY(G22))</f>
        <v>55</v>
      </c>
      <c r="G22" s="137" cm="1">
        <f t="array" ref="G22:R22">oz.CountAColsλ(G17:R21)</f>
        <v>3</v>
      </c>
      <c r="H22" s="64">
        <v>5</v>
      </c>
      <c r="I22" s="64">
        <v>5</v>
      </c>
      <c r="J22" s="64">
        <v>4</v>
      </c>
      <c r="K22" s="64">
        <v>5</v>
      </c>
      <c r="L22" s="64">
        <v>5</v>
      </c>
      <c r="M22" s="64">
        <v>4</v>
      </c>
      <c r="N22" s="64">
        <v>5</v>
      </c>
      <c r="O22" s="64">
        <v>5</v>
      </c>
      <c r="P22" s="64">
        <v>4</v>
      </c>
      <c r="Q22" s="64">
        <v>5</v>
      </c>
      <c r="R22" s="64">
        <v>5</v>
      </c>
    </row>
  </sheetData>
  <mergeCells count="3">
    <mergeCell ref="A1:K1"/>
    <mergeCell ref="A2:Q2"/>
    <mergeCell ref="A14:C14"/>
  </mergeCells>
  <hyperlinks>
    <hyperlink ref="A1" location="'TOC'!$A$1" display="'TOC'!$A$1" xr:uid="{178E30B8-F48E-4BD5-91A8-F60DEC29A4D5}"/>
  </hyperlinks>
  <pageMargins left="0.7" right="0.7" top="0.75" bottom="0.75" header="0.3" footer="0.3"/>
  <pageSetup paperSize="9" scale="61" fitToHeight="0" orientation="landscape" horizontalDpi="0" verticalDpi="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EE991-DC4C-486D-949F-9630F6C738A9}">
  <sheetPr>
    <tabColor rgb="FF990024"/>
    <pageSetUpPr fitToPage="1"/>
  </sheetPr>
  <dimension ref="A1:R33"/>
  <sheetViews>
    <sheetView showGridLines="0" workbookViewId="0">
      <selection sqref="A1:K1"/>
    </sheetView>
  </sheetViews>
  <sheetFormatPr defaultRowHeight="15" x14ac:dyDescent="0.25"/>
  <cols>
    <col min="1" max="1" width="12.75" bestFit="1" customWidth="1"/>
    <col min="2" max="2" width="12.875" customWidth="1"/>
    <col min="3" max="3" width="8.625" bestFit="1" customWidth="1"/>
    <col min="4" max="4" width="4" bestFit="1" customWidth="1"/>
    <col min="5" max="5" width="22.125" bestFit="1" customWidth="1"/>
    <col min="6" max="6" width="15.625" bestFit="1" customWidth="1"/>
    <col min="7" max="18" width="11.375" bestFit="1" customWidth="1"/>
  </cols>
  <sheetData>
    <row r="1" spans="1:17" ht="46.5" x14ac:dyDescent="0.7">
      <c r="A1" s="185" t="str">
        <f ca="1">_xlfn.TEXTAFTER(CELL("filename",A1),"]")</f>
        <v>oz.IsBetweenEλ</v>
      </c>
      <c r="B1" s="185"/>
      <c r="C1" s="185"/>
      <c r="D1" s="185"/>
      <c r="E1" s="185"/>
      <c r="F1" s="185"/>
      <c r="G1" s="185"/>
      <c r="H1" s="185"/>
      <c r="I1" s="185"/>
      <c r="J1" s="185"/>
      <c r="K1" s="185"/>
    </row>
    <row r="2" spans="1:17" x14ac:dyDescent="0.25">
      <c r="A2" s="186" t="s">
        <v>72</v>
      </c>
      <c r="B2" s="191"/>
      <c r="C2" s="191"/>
      <c r="D2" s="191"/>
      <c r="E2" s="191"/>
      <c r="F2" s="191"/>
      <c r="G2" s="191"/>
      <c r="H2" s="191"/>
      <c r="I2" s="191"/>
      <c r="J2" s="191"/>
      <c r="K2" s="191"/>
      <c r="L2" s="191"/>
      <c r="M2" s="191"/>
      <c r="N2" s="191"/>
      <c r="O2" s="191"/>
      <c r="P2" s="191"/>
      <c r="Q2" s="191"/>
    </row>
    <row r="3" spans="1:17" x14ac:dyDescent="0.25">
      <c r="A3" s="4"/>
      <c r="B3" s="4"/>
      <c r="C3" s="4"/>
      <c r="D3" s="4"/>
      <c r="E3" s="4"/>
      <c r="F3" s="4"/>
      <c r="G3" s="4"/>
      <c r="H3" s="4"/>
      <c r="I3" s="4"/>
      <c r="J3" s="4"/>
      <c r="K3" s="4"/>
    </row>
    <row r="4" spans="1:17" x14ac:dyDescent="0.25">
      <c r="A4" s="55" t="str" cm="1">
        <f t="array" ref="A4:B16">oz.IsBetweenEλ()</f>
        <v>FUNCTION:</v>
      </c>
      <c r="B4" t="str">
        <v>IsBetweenEλ( Value, Low, Hi, [Inclusive])</v>
      </c>
    </row>
    <row r="5" spans="1:17" x14ac:dyDescent="0.25">
      <c r="A5" t="str">
        <v>DESCRIPTION:</v>
      </c>
      <c r="B5" t="str">
        <v>Determine if a value is between a lower and upper limit.</v>
      </c>
    </row>
    <row r="6" spans="1:17" x14ac:dyDescent="0.25">
      <c r="A6" t="str">
        <v>PARAMETERS:</v>
      </c>
      <c r="B6" t="str">
        <v/>
      </c>
    </row>
    <row r="7" spans="1:17" x14ac:dyDescent="0.25">
      <c r="A7" t="str">
        <v>Value</v>
      </c>
      <c r="B7" t="str">
        <v>(Required) A value or array of values to compare.</v>
      </c>
    </row>
    <row r="8" spans="1:17" x14ac:dyDescent="0.25">
      <c r="A8" t="str">
        <v>Low</v>
      </c>
      <c r="B8" t="str">
        <v>(Required) The lower limit that the value must be greater than</v>
      </c>
    </row>
    <row r="9" spans="1:17" x14ac:dyDescent="0.25">
      <c r="A9" t="str">
        <v>Hi</v>
      </c>
      <c r="B9" t="str">
        <v>(Required) The higher limit that the value must be less than</v>
      </c>
    </row>
    <row r="10" spans="1:17" x14ac:dyDescent="0.25">
      <c r="A10" t="str">
        <v>Inclusive</v>
      </c>
      <c r="B10" t="str">
        <v>(Optional) If set to TRUE (default) the value can be equal to Low and/or Hi</v>
      </c>
    </row>
    <row r="11" spans="1:17" x14ac:dyDescent="0.25">
      <c r="A11" t="str">
        <v/>
      </c>
      <c r="B11" t="str">
        <v/>
      </c>
    </row>
    <row r="12" spans="1:17" x14ac:dyDescent="0.25">
      <c r="A12" t="str">
        <v>EXAMPLES:</v>
      </c>
      <c r="B12" t="str">
        <v/>
      </c>
    </row>
    <row r="13" spans="1:17" x14ac:dyDescent="0.25">
      <c r="A13" t="str">
        <v>Result</v>
      </c>
      <c r="B13" t="str">
        <v>Formula</v>
      </c>
    </row>
    <row r="14" spans="1:17" x14ac:dyDescent="0.25">
      <c r="A14" t="str">
        <v>FALSE</v>
      </c>
      <c r="B14" t="str">
        <v>=IsBetweenEλ(1, 2, 4)</v>
      </c>
    </row>
    <row r="15" spans="1:17" x14ac:dyDescent="0.25">
      <c r="A15" t="str">
        <v>TRUE</v>
      </c>
      <c r="B15" t="str">
        <v>=IsBetweenEλ(2, 2, 4)</v>
      </c>
    </row>
    <row r="16" spans="1:17" x14ac:dyDescent="0.25">
      <c r="A16" t="str">
        <v>FALSE</v>
      </c>
      <c r="B16" t="str">
        <v>=IsBetweenEλ(2, 2, 4, FALSE)</v>
      </c>
    </row>
    <row r="18" spans="1:18" ht="21" x14ac:dyDescent="0.35">
      <c r="A18" s="203" t="s">
        <v>148</v>
      </c>
      <c r="B18" s="203"/>
      <c r="C18" s="203"/>
    </row>
    <row r="19" spans="1:18" x14ac:dyDescent="0.25">
      <c r="F19" s="84" t="s">
        <v>290</v>
      </c>
      <c r="G19" s="138" cm="1">
        <f t="array" ref="G19:R19">oz.Timelineλ($B$21,$B$22,$B$23, FALSE)</f>
        <v>46568</v>
      </c>
      <c r="H19" s="138">
        <v>46934</v>
      </c>
      <c r="I19" s="138">
        <v>47299</v>
      </c>
      <c r="J19" s="138">
        <v>47664</v>
      </c>
      <c r="K19" s="138">
        <v>48029</v>
      </c>
      <c r="L19" s="138">
        <v>48395</v>
      </c>
      <c r="M19" s="138">
        <v>48760</v>
      </c>
      <c r="N19" s="138">
        <v>49125</v>
      </c>
      <c r="O19" s="138">
        <v>49490</v>
      </c>
      <c r="P19" s="138">
        <v>49856</v>
      </c>
      <c r="Q19" s="138">
        <v>50221</v>
      </c>
      <c r="R19" s="138">
        <v>50586</v>
      </c>
    </row>
    <row r="20" spans="1:18" x14ac:dyDescent="0.25">
      <c r="A20" s="54" t="s">
        <v>149</v>
      </c>
      <c r="B20" s="54" t="s">
        <v>14</v>
      </c>
      <c r="C20" s="54" t="s">
        <v>15</v>
      </c>
      <c r="E20" s="83" t="s">
        <v>7</v>
      </c>
      <c r="F20" s="48" t="s">
        <v>152</v>
      </c>
      <c r="G20" s="49" cm="1">
        <f t="array" ref="G20:R20">oz.Timelineλ($B$21,$B$22,$B$23)</f>
        <v>46204</v>
      </c>
      <c r="H20" s="1">
        <v>46569</v>
      </c>
      <c r="I20" s="1">
        <v>46935</v>
      </c>
      <c r="J20" s="1">
        <v>47300</v>
      </c>
      <c r="K20" s="1">
        <v>47665</v>
      </c>
      <c r="L20" s="1">
        <v>48030</v>
      </c>
      <c r="M20" s="1">
        <v>48396</v>
      </c>
      <c r="N20" s="1">
        <v>48761</v>
      </c>
      <c r="O20" s="1">
        <v>49126</v>
      </c>
      <c r="P20" s="1">
        <v>49491</v>
      </c>
      <c r="Q20" s="1">
        <v>49857</v>
      </c>
      <c r="R20" s="1">
        <v>50222</v>
      </c>
    </row>
    <row r="21" spans="1:18" x14ac:dyDescent="0.25">
      <c r="A21" t="s">
        <v>112</v>
      </c>
      <c r="B21" s="34">
        <v>46204</v>
      </c>
      <c r="C21" t="s">
        <v>21</v>
      </c>
      <c r="E21" s="14" t="str" cm="1">
        <f t="array" ref="E21:E25">tblCT[Customer]</f>
        <v>ACME</v>
      </c>
      <c r="F21" s="67" cm="1">
        <f t="array" ref="F21:F25">oz.SumRowsλ(_xlfn.ANCHORARRAY(G21))</f>
        <v>1</v>
      </c>
      <c r="G21" s="55" cm="1">
        <f t="array" ref="G21:R25">N(oz.IsBetweenλ( _xlfn.XLOOKUP(_xlfn.ANCHORARRAY(E21),tblOnBoarding[Customer],tblOnBoarding[Onboarding]),_xlfn.ANCHORARRAY(G20),_xlfn.ANCHORARRAY( G19)))</f>
        <v>0</v>
      </c>
      <c r="H21">
        <v>1</v>
      </c>
      <c r="I21">
        <v>0</v>
      </c>
      <c r="J21">
        <v>0</v>
      </c>
      <c r="K21">
        <v>0</v>
      </c>
      <c r="L21">
        <v>0</v>
      </c>
      <c r="M21">
        <v>0</v>
      </c>
      <c r="N21">
        <v>0</v>
      </c>
      <c r="O21">
        <v>0</v>
      </c>
      <c r="P21">
        <v>0</v>
      </c>
      <c r="Q21">
        <v>0</v>
      </c>
      <c r="R21">
        <v>0</v>
      </c>
    </row>
    <row r="22" spans="1:18" x14ac:dyDescent="0.25">
      <c r="A22" t="s">
        <v>17</v>
      </c>
      <c r="B22">
        <v>12</v>
      </c>
      <c r="C22" t="s">
        <v>22</v>
      </c>
      <c r="E22" s="14" t="str">
        <v>Wool*Art</v>
      </c>
      <c r="F22" s="67">
        <v>1</v>
      </c>
      <c r="G22" s="67">
        <v>0</v>
      </c>
      <c r="H22">
        <v>1</v>
      </c>
      <c r="I22">
        <v>0</v>
      </c>
      <c r="J22">
        <v>0</v>
      </c>
      <c r="K22">
        <v>0</v>
      </c>
      <c r="L22">
        <v>0</v>
      </c>
      <c r="M22">
        <v>0</v>
      </c>
      <c r="N22">
        <v>0</v>
      </c>
      <c r="O22">
        <v>0</v>
      </c>
      <c r="P22">
        <v>0</v>
      </c>
      <c r="Q22">
        <v>0</v>
      </c>
      <c r="R22">
        <v>0</v>
      </c>
    </row>
    <row r="23" spans="1:18" x14ac:dyDescent="0.25">
      <c r="A23" t="s">
        <v>18</v>
      </c>
      <c r="B23" t="s">
        <v>2</v>
      </c>
      <c r="E23" s="14" t="str">
        <v>Town Hall</v>
      </c>
      <c r="F23" s="67">
        <v>1</v>
      </c>
      <c r="G23" s="67">
        <v>0</v>
      </c>
      <c r="H23">
        <v>0</v>
      </c>
      <c r="I23">
        <v>1</v>
      </c>
      <c r="J23">
        <v>0</v>
      </c>
      <c r="K23">
        <v>0</v>
      </c>
      <c r="L23">
        <v>0</v>
      </c>
      <c r="M23">
        <v>0</v>
      </c>
      <c r="N23">
        <v>0</v>
      </c>
      <c r="O23">
        <v>0</v>
      </c>
      <c r="P23">
        <v>0</v>
      </c>
      <c r="Q23">
        <v>0</v>
      </c>
      <c r="R23">
        <v>0</v>
      </c>
    </row>
    <row r="24" spans="1:18" x14ac:dyDescent="0.25">
      <c r="E24" s="14" t="str">
        <v>Jacqie Penee</v>
      </c>
      <c r="F24" s="67">
        <v>1</v>
      </c>
      <c r="G24">
        <v>0</v>
      </c>
      <c r="H24">
        <v>0</v>
      </c>
      <c r="I24">
        <v>0</v>
      </c>
      <c r="J24">
        <v>1</v>
      </c>
      <c r="K24">
        <v>0</v>
      </c>
      <c r="L24">
        <v>0</v>
      </c>
      <c r="M24">
        <v>0</v>
      </c>
      <c r="N24">
        <v>0</v>
      </c>
      <c r="O24">
        <v>0</v>
      </c>
      <c r="P24">
        <v>0</v>
      </c>
      <c r="Q24">
        <v>0</v>
      </c>
      <c r="R24">
        <v>0</v>
      </c>
    </row>
    <row r="25" spans="1:18" x14ac:dyDescent="0.25">
      <c r="E25" s="14" t="str">
        <v>Amazonia</v>
      </c>
      <c r="F25" s="67">
        <v>1</v>
      </c>
      <c r="G25">
        <v>0</v>
      </c>
      <c r="H25">
        <v>0</v>
      </c>
      <c r="I25">
        <v>0</v>
      </c>
      <c r="J25">
        <v>0</v>
      </c>
      <c r="K25">
        <v>1</v>
      </c>
      <c r="L25">
        <v>0</v>
      </c>
      <c r="M25">
        <v>0</v>
      </c>
      <c r="N25">
        <v>0</v>
      </c>
      <c r="O25">
        <v>0</v>
      </c>
      <c r="P25">
        <v>0</v>
      </c>
      <c r="Q25">
        <v>0</v>
      </c>
      <c r="R25">
        <v>0</v>
      </c>
    </row>
    <row r="26" spans="1:18" ht="21.75" thickBot="1" x14ac:dyDescent="0.4">
      <c r="A26" s="209" t="s">
        <v>291</v>
      </c>
      <c r="B26" s="210"/>
      <c r="E26" s="96" t="s">
        <v>5</v>
      </c>
      <c r="F26" s="64">
        <f>SUM(_xlfn.ANCHORARRAY(G26))</f>
        <v>5</v>
      </c>
      <c r="G26" s="139" cm="1">
        <f t="array" ref="G26:R26">oz.SumColsλ(_xlfn.ANCHORARRAY(G21))</f>
        <v>0</v>
      </c>
      <c r="H26" s="64">
        <v>2</v>
      </c>
      <c r="I26" s="64">
        <v>1</v>
      </c>
      <c r="J26" s="64">
        <v>1</v>
      </c>
      <c r="K26" s="64">
        <v>1</v>
      </c>
      <c r="L26" s="64">
        <v>0</v>
      </c>
      <c r="M26" s="64">
        <v>0</v>
      </c>
      <c r="N26" s="64">
        <v>0</v>
      </c>
      <c r="O26" s="64">
        <v>0</v>
      </c>
      <c r="P26" s="64">
        <v>0</v>
      </c>
      <c r="Q26" s="64">
        <v>0</v>
      </c>
      <c r="R26" s="64">
        <v>0</v>
      </c>
    </row>
    <row r="27" spans="1:18" ht="15.75" thickTop="1" x14ac:dyDescent="0.25"/>
    <row r="28" spans="1:18" x14ac:dyDescent="0.25">
      <c r="A28" t="s">
        <v>140</v>
      </c>
      <c r="B28" t="s">
        <v>291</v>
      </c>
    </row>
    <row r="29" spans="1:18" x14ac:dyDescent="0.25">
      <c r="A29" s="14" t="str">
        <f>E21</f>
        <v>ACME</v>
      </c>
      <c r="B29" s="34" cm="1">
        <f t="array" ref="B29">$B$21 + 365 * (ROW() - ROW(tblOnBoarding[#Headers]))</f>
        <v>46569</v>
      </c>
    </row>
    <row r="30" spans="1:18" x14ac:dyDescent="0.25">
      <c r="A30" s="14" t="str">
        <f t="shared" ref="A30:A33" si="0">E22</f>
        <v>Wool*Art</v>
      </c>
      <c r="B30" s="34" cm="1">
        <f t="array" ref="B30">$B$21 + 365 * (ROW() - ROW(tblOnBoarding[#Headers]))</f>
        <v>46934</v>
      </c>
    </row>
    <row r="31" spans="1:18" x14ac:dyDescent="0.25">
      <c r="A31" s="14" t="str">
        <f t="shared" si="0"/>
        <v>Town Hall</v>
      </c>
      <c r="B31" s="34" cm="1">
        <f t="array" ref="B31">$B$21 + 365 * (ROW() - ROW(tblOnBoarding[#Headers]))</f>
        <v>47299</v>
      </c>
    </row>
    <row r="32" spans="1:18" x14ac:dyDescent="0.25">
      <c r="A32" s="14" t="str">
        <f t="shared" si="0"/>
        <v>Jacqie Penee</v>
      </c>
      <c r="B32" s="34" cm="1">
        <f t="array" ref="B32">$B$21 + 365 * (ROW() - ROW(tblOnBoarding[#Headers]))</f>
        <v>47664</v>
      </c>
    </row>
    <row r="33" spans="1:2" x14ac:dyDescent="0.25">
      <c r="A33" s="14" t="str">
        <f t="shared" si="0"/>
        <v>Amazonia</v>
      </c>
      <c r="B33" s="34" cm="1">
        <f t="array" ref="B33">$B$21 + 365 * (ROW() - ROW(tblOnBoarding[#Headers]))</f>
        <v>48029</v>
      </c>
    </row>
  </sheetData>
  <mergeCells count="4">
    <mergeCell ref="A1:K1"/>
    <mergeCell ref="A2:Q2"/>
    <mergeCell ref="A18:C18"/>
    <mergeCell ref="A26:B26"/>
  </mergeCells>
  <hyperlinks>
    <hyperlink ref="A1" location="'TOC'!$A$1" display="'TOC'!$A$1" xr:uid="{DB8EA290-CB0D-48A7-A88E-E0D4BAAA72A3}"/>
  </hyperlinks>
  <pageMargins left="0.7" right="0.7" top="0.75" bottom="0.75" header="0.3" footer="0.3"/>
  <pageSetup paperSize="9" scale="59" fitToHeight="0" orientation="landscape" horizontalDpi="0" verticalDpi="0"/>
  <drawing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54C0-12AC-4252-AACA-11F242440273}">
  <sheetPr>
    <tabColor rgb="FF990024"/>
    <pageSetUpPr fitToPage="1"/>
  </sheetPr>
  <dimension ref="A1:R23"/>
  <sheetViews>
    <sheetView showGridLines="0" workbookViewId="0">
      <selection sqref="A1:K1"/>
    </sheetView>
  </sheetViews>
  <sheetFormatPr defaultRowHeight="15" x14ac:dyDescent="0.25"/>
  <cols>
    <col min="1" max="1" width="12.75" bestFit="1" customWidth="1"/>
    <col min="2" max="2" width="12.875" customWidth="1"/>
    <col min="3" max="3" width="8.625" bestFit="1" customWidth="1"/>
    <col min="4" max="4" width="4" bestFit="1" customWidth="1"/>
    <col min="5" max="5" width="22.125" bestFit="1" customWidth="1"/>
    <col min="6" max="6" width="17.25" bestFit="1" customWidth="1"/>
    <col min="7" max="18" width="11.375" bestFit="1" customWidth="1"/>
  </cols>
  <sheetData>
    <row r="1" spans="1:18" ht="46.5" x14ac:dyDescent="0.7">
      <c r="A1" s="185" t="str">
        <f ca="1">_xlfn.TEXTAFTER(CELL("filename",A1),"]")</f>
        <v>oz.RangeToDAEλ</v>
      </c>
      <c r="B1" s="185"/>
      <c r="C1" s="185"/>
      <c r="D1" s="185"/>
      <c r="E1" s="185"/>
      <c r="F1" s="185"/>
      <c r="G1" s="185"/>
      <c r="H1" s="185"/>
      <c r="I1" s="185"/>
      <c r="J1" s="185"/>
      <c r="K1" s="185"/>
    </row>
    <row r="2" spans="1:18" x14ac:dyDescent="0.25">
      <c r="A2" s="186" t="s">
        <v>298</v>
      </c>
      <c r="B2" s="191"/>
      <c r="C2" s="191"/>
      <c r="D2" s="191"/>
      <c r="E2" s="191"/>
      <c r="F2" s="191"/>
      <c r="G2" s="191"/>
      <c r="H2" s="191"/>
      <c r="I2" s="191"/>
      <c r="J2" s="191"/>
      <c r="K2" s="191"/>
      <c r="L2" s="191"/>
      <c r="M2" s="191"/>
      <c r="N2" s="191"/>
      <c r="O2" s="191"/>
      <c r="P2" s="191"/>
      <c r="Q2" s="191"/>
    </row>
    <row r="3" spans="1:18" x14ac:dyDescent="0.25">
      <c r="A3" s="4"/>
      <c r="B3" s="4"/>
      <c r="C3" s="4"/>
      <c r="D3" s="4"/>
      <c r="E3" s="4"/>
      <c r="F3" s="4"/>
      <c r="G3" s="4"/>
      <c r="H3" s="4"/>
      <c r="I3" s="4"/>
      <c r="J3" s="4"/>
      <c r="K3" s="4"/>
    </row>
    <row r="4" spans="1:18" x14ac:dyDescent="0.25">
      <c r="A4" s="55" t="str" cm="1">
        <f t="array" ref="A4:B13">oz.RangeToDAEλ()</f>
        <v>FUNCTION:</v>
      </c>
      <c r="B4" t="str">
        <f/>
        <v>RangeToDAEλ(Range, [Rows], [Columns])</v>
      </c>
    </row>
    <row r="5" spans="1:18" x14ac:dyDescent="0.25">
      <c r="A5" t="str">
        <f/>
        <v>DESCRIPTION:</v>
      </c>
      <c r="B5" t="str">
        <f/>
        <v>Convert a range reference to a dynamic array reference.</v>
      </c>
    </row>
    <row r="6" spans="1:18" x14ac:dyDescent="0.25">
      <c r="A6" t="str">
        <f/>
        <v>SEE ALSO:</v>
      </c>
      <c r="B6" t="str">
        <f/>
        <v>Excel 365 now has TRIMRANGE and trim references (.:.) for this.</v>
      </c>
    </row>
    <row r="7" spans="1:18" x14ac:dyDescent="0.25">
      <c r="A7" t="str">
        <f/>
        <v>WEBSITE:</v>
      </c>
      <c r="B7" t="str">
        <f/>
        <v>https://github.com/ryanduguid/Ozzit</v>
      </c>
    </row>
    <row r="8" spans="1:18" x14ac:dyDescent="0.25">
      <c r="A8" t="str">
        <f/>
        <v>PARAMETERS:</v>
      </c>
      <c r="B8" t="str">
        <f/>
        <v/>
      </c>
    </row>
    <row r="9" spans="1:18" x14ac:dyDescent="0.25">
      <c r="A9" t="str">
        <f/>
        <v>Range</v>
      </c>
      <c r="B9" t="str">
        <f/>
        <v>(Required) A reference to the range to be converted.</v>
      </c>
    </row>
    <row r="10" spans="1:18" x14ac:dyDescent="0.25">
      <c r="A10" t="str">
        <f/>
        <v>Rows</v>
      </c>
      <c r="B10" t="str">
        <f/>
        <v>(Optional) Number of rows for the dynamic array. Defaults to 1.</v>
      </c>
    </row>
    <row r="11" spans="1:18" x14ac:dyDescent="0.25">
      <c r="A11" t="str">
        <f/>
        <v>Columns</v>
      </c>
      <c r="B11" t="str">
        <f/>
        <v>(Optional) Number of columns for the dynamic array. Defaults to 1.</v>
      </c>
    </row>
    <row r="12" spans="1:18" x14ac:dyDescent="0.25">
      <c r="A12" t="str">
        <f/>
        <v/>
      </c>
      <c r="B12" t="str">
        <f/>
        <v/>
      </c>
    </row>
    <row r="13" spans="1:18" x14ac:dyDescent="0.25">
      <c r="A13" t="str">
        <f/>
        <v>EXAMPLES:</v>
      </c>
      <c r="B13" t="str">
        <f/>
        <v>=RangeToDAEλ(A1, , ModelPeriodCount)</v>
      </c>
    </row>
    <row r="14" spans="1:18" x14ac:dyDescent="0.25">
      <c r="F14" s="48" t="s">
        <v>292</v>
      </c>
      <c r="G14" s="49" cm="1">
        <f t="array" ref="G14:R14">oz.Timelineλ($B$21,$B$22,$B$23)</f>
        <v>46204</v>
      </c>
      <c r="H14" s="1">
        <v>46569</v>
      </c>
      <c r="I14" s="1">
        <v>46935</v>
      </c>
      <c r="J14" s="1">
        <v>47300</v>
      </c>
      <c r="K14" s="1">
        <v>47665</v>
      </c>
      <c r="L14" s="1">
        <v>48030</v>
      </c>
      <c r="M14" s="1">
        <v>48396</v>
      </c>
      <c r="N14" s="1">
        <v>48761</v>
      </c>
      <c r="O14" s="1">
        <v>49126</v>
      </c>
      <c r="P14" s="1">
        <v>49491</v>
      </c>
      <c r="Q14" s="1">
        <v>49857</v>
      </c>
      <c r="R14" s="1">
        <v>50222</v>
      </c>
    </row>
    <row r="15" spans="1:18" x14ac:dyDescent="0.25">
      <c r="F15" t="s">
        <v>293</v>
      </c>
      <c r="G15" s="140">
        <v>3.5000000000000003E-2</v>
      </c>
      <c r="H15" s="140">
        <v>3.2500000000000001E-2</v>
      </c>
      <c r="I15" s="140">
        <v>0.03</v>
      </c>
      <c r="J15" s="140">
        <v>2.75E-2</v>
      </c>
      <c r="K15" s="140">
        <v>2.5000000000000001E-2</v>
      </c>
      <c r="L15" s="140">
        <v>2.5000000000000001E-2</v>
      </c>
      <c r="M15" s="140">
        <v>2.5000000000000001E-2</v>
      </c>
      <c r="N15" s="140">
        <v>2.5000000000000001E-2</v>
      </c>
      <c r="O15" s="140">
        <v>2.75E-2</v>
      </c>
      <c r="P15" s="95"/>
      <c r="Q15" s="95"/>
      <c r="R15" s="95"/>
    </row>
    <row r="16" spans="1:18" x14ac:dyDescent="0.25">
      <c r="F16" t="s">
        <v>294</v>
      </c>
      <c r="G16" s="140">
        <v>0.03</v>
      </c>
      <c r="H16" s="140">
        <v>3.2000000000000001E-2</v>
      </c>
      <c r="I16" s="140">
        <v>3.3000000000000002E-2</v>
      </c>
      <c r="J16" s="140">
        <v>0.04</v>
      </c>
      <c r="K16" s="140">
        <v>0.05</v>
      </c>
      <c r="L16" s="140">
        <v>0.06</v>
      </c>
      <c r="M16" s="140">
        <v>6.5000000000000002E-2</v>
      </c>
      <c r="N16" s="140">
        <v>6.5000000000000002E-2</v>
      </c>
      <c r="O16" s="140">
        <v>7.0000000000000007E-2</v>
      </c>
      <c r="P16" s="95"/>
      <c r="Q16" s="95"/>
      <c r="R16" s="95"/>
    </row>
    <row r="18" spans="1:18" ht="21" x14ac:dyDescent="0.35">
      <c r="A18" s="203" t="s">
        <v>148</v>
      </c>
      <c r="B18" s="203"/>
      <c r="C18" s="203"/>
    </row>
    <row r="19" spans="1:18" x14ac:dyDescent="0.25">
      <c r="F19" s="84" t="s">
        <v>290</v>
      </c>
      <c r="G19" s="138" cm="1">
        <f t="array" ref="G19:R19">oz.Timelineλ($B$21,$B$22,$B$23, FALSE)</f>
        <v>46568</v>
      </c>
      <c r="H19" s="138">
        <v>46934</v>
      </c>
      <c r="I19" s="138">
        <v>47299</v>
      </c>
      <c r="J19" s="138">
        <v>47664</v>
      </c>
      <c r="K19" s="138">
        <v>48029</v>
      </c>
      <c r="L19" s="138">
        <v>48395</v>
      </c>
      <c r="M19" s="138">
        <v>48760</v>
      </c>
      <c r="N19" s="138">
        <v>49125</v>
      </c>
      <c r="O19" s="138">
        <v>49490</v>
      </c>
      <c r="P19" s="138">
        <v>49856</v>
      </c>
      <c r="Q19" s="138">
        <v>50221</v>
      </c>
      <c r="R19" s="138">
        <v>50586</v>
      </c>
    </row>
    <row r="20" spans="1:18" x14ac:dyDescent="0.25">
      <c r="A20" s="54" t="s">
        <v>149</v>
      </c>
      <c r="B20" s="54" t="s">
        <v>14</v>
      </c>
      <c r="C20" s="54" t="s">
        <v>15</v>
      </c>
      <c r="E20" s="83" t="s">
        <v>7</v>
      </c>
      <c r="F20" s="48" t="s">
        <v>152</v>
      </c>
      <c r="G20" s="49" cm="1">
        <f t="array" ref="G20:R20">oz.Timelineλ($B$21,$B$22,$B$23)</f>
        <v>46204</v>
      </c>
      <c r="H20" s="1">
        <v>46569</v>
      </c>
      <c r="I20" s="1">
        <v>46935</v>
      </c>
      <c r="J20" s="1">
        <v>47300</v>
      </c>
      <c r="K20" s="1">
        <v>47665</v>
      </c>
      <c r="L20" s="1">
        <v>48030</v>
      </c>
      <c r="M20" s="1">
        <v>48396</v>
      </c>
      <c r="N20" s="1">
        <v>48761</v>
      </c>
      <c r="O20" s="1">
        <v>49126</v>
      </c>
      <c r="P20" s="1">
        <v>49491</v>
      </c>
      <c r="Q20" s="1">
        <v>49857</v>
      </c>
      <c r="R20" s="1">
        <v>50222</v>
      </c>
    </row>
    <row r="21" spans="1:18" x14ac:dyDescent="0.25">
      <c r="A21" t="s">
        <v>112</v>
      </c>
      <c r="B21" s="34">
        <v>46204</v>
      </c>
      <c r="C21" t="s">
        <v>21</v>
      </c>
      <c r="E21" t="s">
        <v>293</v>
      </c>
      <c r="F21" s="67" cm="1">
        <f t="array" ref="F21">oz.SumRowsλ(_xlfn.ANCHORARRAY(G21))</f>
        <v>0.2525</v>
      </c>
      <c r="G21" s="142" cm="1">
        <f t="array" ref="G21:R21">oz.RangeToDAEλ(G15, ,COLUMNS(_xlfn.ANCHORARRAY($G$14)))</f>
        <v>3.5000000000000003E-2</v>
      </c>
      <c r="H21" s="141">
        <f/>
        <v>3.2500000000000001E-2</v>
      </c>
      <c r="I21" s="141">
        <f/>
        <v>0.03</v>
      </c>
      <c r="J21" s="141">
        <f/>
        <v>2.75E-2</v>
      </c>
      <c r="K21" s="141">
        <f/>
        <v>2.5000000000000001E-2</v>
      </c>
      <c r="L21" s="141">
        <f/>
        <v>2.5000000000000001E-2</v>
      </c>
      <c r="M21" s="141">
        <f/>
        <v>2.5000000000000001E-2</v>
      </c>
      <c r="N21" s="141">
        <f/>
        <v>2.5000000000000001E-2</v>
      </c>
      <c r="O21" s="141">
        <f/>
        <v>2.75E-2</v>
      </c>
      <c r="P21" s="141">
        <f/>
        <v>0</v>
      </c>
      <c r="Q21" s="141">
        <f/>
        <v>0</v>
      </c>
      <c r="R21" s="141">
        <f/>
        <v>0</v>
      </c>
    </row>
    <row r="22" spans="1:18" x14ac:dyDescent="0.25">
      <c r="A22" t="s">
        <v>17</v>
      </c>
      <c r="B22">
        <v>12</v>
      </c>
      <c r="C22" t="s">
        <v>22</v>
      </c>
      <c r="E22" t="s">
        <v>294</v>
      </c>
      <c r="F22" s="67"/>
      <c r="G22" s="142" cm="1">
        <f t="array" ref="G22:R22">oz.RangeToDAEλ(G16, ,COLUMNS(_xlfn.ANCHORARRAY($G$20)))</f>
        <v>0.03</v>
      </c>
      <c r="H22" s="141">
        <f/>
        <v>3.2000000000000001E-2</v>
      </c>
      <c r="I22" s="141">
        <f/>
        <v>3.3000000000000002E-2</v>
      </c>
      <c r="J22" s="141">
        <f/>
        <v>0.04</v>
      </c>
      <c r="K22" s="141">
        <f/>
        <v>0.05</v>
      </c>
      <c r="L22" s="141">
        <f/>
        <v>0.06</v>
      </c>
      <c r="M22" s="141">
        <f/>
        <v>6.5000000000000002E-2</v>
      </c>
      <c r="N22" s="141">
        <f/>
        <v>6.5000000000000002E-2</v>
      </c>
      <c r="O22" s="141">
        <f/>
        <v>7.0000000000000007E-2</v>
      </c>
      <c r="P22" s="141">
        <f/>
        <v>0</v>
      </c>
      <c r="Q22" s="141">
        <f/>
        <v>0</v>
      </c>
      <c r="R22" s="141">
        <f/>
        <v>0</v>
      </c>
    </row>
    <row r="23" spans="1:18" x14ac:dyDescent="0.25">
      <c r="A23" t="s">
        <v>18</v>
      </c>
      <c r="B23" t="s">
        <v>2</v>
      </c>
      <c r="E23" s="14"/>
      <c r="F23" s="67"/>
      <c r="G23" s="67"/>
    </row>
  </sheetData>
  <mergeCells count="3">
    <mergeCell ref="A1:K1"/>
    <mergeCell ref="A2:Q2"/>
    <mergeCell ref="A18:C18"/>
  </mergeCells>
  <hyperlinks>
    <hyperlink ref="A1" location="'TOC'!$A$1" display="'TOC'!$A$1" xr:uid="{6E285F4F-4C2C-4FDC-B933-2496B1C8FAAA}"/>
  </hyperlinks>
  <pageMargins left="0.7" right="0.7" top="0.75" bottom="0.75" header="0.3" footer="0.3"/>
  <pageSetup paperSize="9" scale="58" fitToHeight="0" orientation="landscape" horizontalDpi="0" verticalDpi="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D250-651F-4B19-A7B4-70A0FC1F2AFF}">
  <sheetPr>
    <tabColor rgb="FF66023C"/>
    <pageSetUpPr fitToPage="1"/>
  </sheetPr>
  <dimension ref="A1:K64"/>
  <sheetViews>
    <sheetView showGridLines="0" workbookViewId="0">
      <selection sqref="A1:K1"/>
    </sheetView>
  </sheetViews>
  <sheetFormatPr defaultRowHeight="15" x14ac:dyDescent="0.25"/>
  <cols>
    <col min="1" max="1" width="17.25" bestFit="1" customWidth="1"/>
    <col min="2" max="2" width="43.25" bestFit="1" customWidth="1"/>
    <col min="4" max="4" width="26.375" bestFit="1" customWidth="1"/>
    <col min="5" max="5" width="158.75" bestFit="1" customWidth="1"/>
  </cols>
  <sheetData>
    <row r="1" spans="1:11" ht="46.5" x14ac:dyDescent="0.7">
      <c r="A1" s="185" t="str">
        <f ca="1">_xlfn.TEXTAFTER(CELL("filename",A1),"]")</f>
        <v>oz.FinancialRatios</v>
      </c>
      <c r="B1" s="185"/>
      <c r="C1" s="185"/>
      <c r="D1" s="185"/>
      <c r="E1" s="185"/>
      <c r="F1" s="185"/>
      <c r="G1" s="185"/>
      <c r="H1" s="185"/>
      <c r="I1" s="185"/>
      <c r="J1" s="185"/>
      <c r="K1" s="185"/>
    </row>
    <row r="2" spans="1:11" x14ac:dyDescent="0.25">
      <c r="A2" s="186" t="s">
        <v>432</v>
      </c>
      <c r="B2" s="221"/>
      <c r="C2" s="221"/>
      <c r="D2" s="221"/>
      <c r="E2" s="221"/>
      <c r="F2" s="221"/>
      <c r="G2" s="221"/>
      <c r="H2" s="221"/>
      <c r="I2" s="221"/>
      <c r="J2" s="221"/>
      <c r="K2" s="221"/>
    </row>
    <row r="10" spans="1:11" x14ac:dyDescent="0.25">
      <c r="D10" t="s">
        <v>325</v>
      </c>
      <c r="E10" t="s">
        <v>7</v>
      </c>
    </row>
    <row r="11" spans="1:11" x14ac:dyDescent="0.25">
      <c r="D11" t="s">
        <v>326</v>
      </c>
      <c r="E11" t="s">
        <v>327</v>
      </c>
    </row>
    <row r="12" spans="1:11" x14ac:dyDescent="0.25">
      <c r="D12" t="s">
        <v>278</v>
      </c>
      <c r="E12" t="s">
        <v>278</v>
      </c>
    </row>
    <row r="13" spans="1:11" x14ac:dyDescent="0.25">
      <c r="B13" s="2" t="s">
        <v>315</v>
      </c>
      <c r="D13" t="s">
        <v>315</v>
      </c>
      <c r="E13" t="s">
        <v>278</v>
      </c>
    </row>
    <row r="14" spans="1:11" x14ac:dyDescent="0.25">
      <c r="A14" s="152" cm="1">
        <f t="array" ref="A14">oz.CurrentRatioλ( 134.836, 125.481)</f>
        <v>1.0745531195957956</v>
      </c>
      <c r="B14" t="str">
        <f t="shared" ref="B14:B20" si="0">_xlfn.FORMULATEXT(A14)</f>
        <v>=oz.CurrentRatioλ( 134.836, 125.481)</v>
      </c>
      <c r="D14" t="s">
        <v>328</v>
      </c>
      <c r="E14" t="s">
        <v>329</v>
      </c>
    </row>
    <row r="15" spans="1:11" x14ac:dyDescent="0.25">
      <c r="A15" s="152" cm="1">
        <f t="array" ref="A15">oz.QuickRatioλ(165000,137500)</f>
        <v>1.2</v>
      </c>
      <c r="B15" t="str">
        <f t="shared" si="0"/>
        <v>=oz.QuickRatioλ(165000,137500)</v>
      </c>
      <c r="D15" t="s">
        <v>330</v>
      </c>
      <c r="E15" t="s">
        <v>331</v>
      </c>
    </row>
    <row r="16" spans="1:11" x14ac:dyDescent="0.25">
      <c r="A16" s="152" cm="1">
        <f t="array" ref="A16">oz.CashRatioλ( 63900000, 123500000)</f>
        <v>0.51740890688259111</v>
      </c>
      <c r="B16" t="str">
        <f t="shared" si="0"/>
        <v>=oz.CashRatioλ( 63900000, 123500000)</v>
      </c>
      <c r="D16" t="s">
        <v>332</v>
      </c>
      <c r="E16" t="s">
        <v>333</v>
      </c>
    </row>
    <row r="17" spans="1:5" x14ac:dyDescent="0.25">
      <c r="A17" s="152" cm="1">
        <f t="array" ref="A17">oz.OperatingCashFlowRatioλ( 27.8, 77.5)</f>
        <v>0.35870967741935483</v>
      </c>
      <c r="B17" t="str">
        <f t="shared" si="0"/>
        <v>=oz.OperatingCashFlowRatioλ( 27.8, 77.5)</v>
      </c>
      <c r="D17" t="s">
        <v>332</v>
      </c>
      <c r="E17" t="s">
        <v>334</v>
      </c>
    </row>
    <row r="18" spans="1:5" x14ac:dyDescent="0.25">
      <c r="A18" s="152" cm="1">
        <f t="array" ref="A18">oz.ReceivablesTurnoverRatioλ( 800000, 68000 )</f>
        <v>11.764705882352942</v>
      </c>
      <c r="B18" t="str">
        <f t="shared" si="0"/>
        <v>=oz.ReceivablesTurnoverRatioλ( 800000, 68000 )</v>
      </c>
      <c r="D18" t="s">
        <v>335</v>
      </c>
      <c r="E18" t="s">
        <v>336</v>
      </c>
    </row>
    <row r="19" spans="1:5" x14ac:dyDescent="0.25">
      <c r="A19" s="152" cm="1">
        <f t="array" ref="A19">oz.InventoryTurnoverRatioλ( 429, 50.7)</f>
        <v>8.4615384615384617</v>
      </c>
      <c r="B19" t="str">
        <f t="shared" si="0"/>
        <v>=oz.InventoryTurnoverRatioλ( 429, 50.7)</v>
      </c>
      <c r="D19" t="s">
        <v>337</v>
      </c>
      <c r="E19" t="s">
        <v>338</v>
      </c>
    </row>
    <row r="20" spans="1:5" x14ac:dyDescent="0.25">
      <c r="A20" s="152" cm="1">
        <f t="array" ref="A20">oz.WorkingCapitalTurnoverRatioλ( 12, 2)</f>
        <v>6</v>
      </c>
      <c r="B20" t="str">
        <f t="shared" si="0"/>
        <v>=oz.WorkingCapitalTurnoverRatioλ( 12, 2)</v>
      </c>
      <c r="D20" t="s">
        <v>339</v>
      </c>
      <c r="E20" t="s">
        <v>340</v>
      </c>
    </row>
    <row r="21" spans="1:5" x14ac:dyDescent="0.25">
      <c r="A21" s="152"/>
      <c r="D21" t="s">
        <v>278</v>
      </c>
      <c r="E21" t="s">
        <v>278</v>
      </c>
    </row>
    <row r="22" spans="1:5" x14ac:dyDescent="0.25">
      <c r="A22" s="152"/>
      <c r="B22" s="2" t="s">
        <v>316</v>
      </c>
      <c r="D22" t="s">
        <v>316</v>
      </c>
      <c r="E22" t="s">
        <v>278</v>
      </c>
    </row>
    <row r="23" spans="1:5" x14ac:dyDescent="0.25">
      <c r="A23" s="152" cm="1">
        <f t="array" ref="A23">oz.DebtRatioλ(30000000, 100000000)</f>
        <v>0.3</v>
      </c>
      <c r="B23" t="str">
        <f>_xlfn.FORMULATEXT(A23)</f>
        <v>=oz.DebtRatioλ(30000000, 100000000)</v>
      </c>
      <c r="D23" t="s">
        <v>341</v>
      </c>
      <c r="E23" t="s">
        <v>342</v>
      </c>
    </row>
    <row r="24" spans="1:5" x14ac:dyDescent="0.25">
      <c r="A24" s="152" cm="1">
        <f t="array" ref="A24">oz.DSCRλ(2150000, 350000)</f>
        <v>6.1428571428571432</v>
      </c>
      <c r="B24" t="str">
        <f>_xlfn.FORMULATEXT(A24)</f>
        <v>=oz.DSCRλ(2150000, 350000)</v>
      </c>
      <c r="D24" t="s">
        <v>343</v>
      </c>
      <c r="E24" t="s">
        <v>344</v>
      </c>
    </row>
    <row r="25" spans="1:5" x14ac:dyDescent="0.25">
      <c r="A25" s="152" cm="1">
        <f t="array" ref="A25">oz.DebtToCapitalRatioλ( 80000000, 223000000 )</f>
        <v>0.264026402640264</v>
      </c>
      <c r="B25" t="str">
        <f>_xlfn.FORMULATEXT(A25)</f>
        <v>=oz.DebtToCapitalRatioλ( 80000000, 223000000 )</v>
      </c>
      <c r="D25" t="s">
        <v>345</v>
      </c>
      <c r="E25" t="s">
        <v>346</v>
      </c>
    </row>
    <row r="26" spans="1:5" x14ac:dyDescent="0.25">
      <c r="A26" s="91" cm="1">
        <f t="array" ref="A26">oz.EquityMultiplierλ(366.6, 83.2 )</f>
        <v>4.40625</v>
      </c>
      <c r="B26" t="str">
        <f>_xlfn.FORMULATEXT(A26)</f>
        <v>=oz.EquityMultiplierλ(366.6, 83.2 )</v>
      </c>
      <c r="D26" t="s">
        <v>347</v>
      </c>
      <c r="E26" t="s">
        <v>348</v>
      </c>
    </row>
    <row r="27" spans="1:5" x14ac:dyDescent="0.25">
      <c r="D27" t="s">
        <v>278</v>
      </c>
      <c r="E27" t="s">
        <v>278</v>
      </c>
    </row>
    <row r="28" spans="1:5" x14ac:dyDescent="0.25">
      <c r="B28" s="2" t="s">
        <v>317</v>
      </c>
      <c r="D28" t="s">
        <v>317</v>
      </c>
      <c r="E28" t="s">
        <v>278</v>
      </c>
    </row>
    <row r="29" spans="1:5" x14ac:dyDescent="0.25">
      <c r="A29" s="152" cm="1">
        <f t="array" ref="A29">oz.DebtToEquityRatioλ(279, 74 )</f>
        <v>3.7702702702702702</v>
      </c>
      <c r="B29" t="str">
        <f>_xlfn.FORMULATEXT(A29)</f>
        <v>=oz.DebtToEquityRatioλ(279, 74 )</v>
      </c>
      <c r="D29" t="s">
        <v>349</v>
      </c>
      <c r="E29" t="s">
        <v>350</v>
      </c>
    </row>
    <row r="30" spans="1:5" x14ac:dyDescent="0.25">
      <c r="A30" s="152" cm="1">
        <f t="array" ref="A30">oz.DebtToAssetRatioλ(31.845, 63.852 )</f>
        <v>0.4987314414583725</v>
      </c>
      <c r="B30" t="str">
        <f t="shared" ref="B30:B32" si="1">_xlfn.FORMULATEXT(A30)</f>
        <v>=oz.DebtToAssetRatioλ(31.845, 63.852 )</v>
      </c>
      <c r="D30" t="s">
        <v>351</v>
      </c>
      <c r="E30" t="s">
        <v>352</v>
      </c>
    </row>
    <row r="31" spans="1:5" x14ac:dyDescent="0.25">
      <c r="A31" s="152" cm="1">
        <f t="array" ref="A31">oz.InterestCoverageRatioλ( 625, 90 )</f>
        <v>6.9444444444444446</v>
      </c>
      <c r="B31" t="str">
        <f t="shared" si="1"/>
        <v>=oz.InterestCoverageRatioλ( 625, 90 )</v>
      </c>
      <c r="D31" t="s">
        <v>353</v>
      </c>
      <c r="E31" t="s">
        <v>354</v>
      </c>
    </row>
    <row r="32" spans="1:5" x14ac:dyDescent="0.25">
      <c r="A32" s="152" cm="1">
        <f t="array" ref="A32">oz.EquityRatioλ( 20, 60, 10 )</f>
        <v>0.4</v>
      </c>
      <c r="B32" t="str">
        <f t="shared" si="1"/>
        <v>=oz.EquityRatioλ( 20, 60, 10 )</v>
      </c>
      <c r="D32" t="s">
        <v>355</v>
      </c>
      <c r="E32" t="s">
        <v>356</v>
      </c>
    </row>
    <row r="33" spans="1:5" x14ac:dyDescent="0.25">
      <c r="A33" s="152"/>
      <c r="D33" t="s">
        <v>278</v>
      </c>
      <c r="E33" t="s">
        <v>278</v>
      </c>
    </row>
    <row r="34" spans="1:5" x14ac:dyDescent="0.25">
      <c r="A34" s="152"/>
      <c r="B34" s="2" t="s">
        <v>318</v>
      </c>
      <c r="D34" t="s">
        <v>318</v>
      </c>
      <c r="E34" t="s">
        <v>278</v>
      </c>
    </row>
    <row r="35" spans="1:5" x14ac:dyDescent="0.25">
      <c r="A35" s="152" cm="1">
        <f t="array" ref="A35">oz.AssetTurnoverRatioλ( 171760, 538715 )</f>
        <v>0.31883277799949883</v>
      </c>
      <c r="B35" t="str">
        <f t="shared" ref="B35:B37" si="2">_xlfn.FORMULATEXT(A35)</f>
        <v>=oz.AssetTurnoverRatioλ( 171760, 538715 )</v>
      </c>
      <c r="D35" t="s">
        <v>357</v>
      </c>
      <c r="E35" t="s">
        <v>358</v>
      </c>
    </row>
    <row r="36" spans="1:5" x14ac:dyDescent="0.25">
      <c r="A36" s="152" cm="1">
        <f t="array" ref="A36">oz.DSIλ(54.9, 490 )</f>
        <v>40.894897959183673</v>
      </c>
      <c r="B36" t="str">
        <f t="shared" si="2"/>
        <v>=oz.DSIλ(54.9, 490 )</v>
      </c>
      <c r="D36" t="s">
        <v>359</v>
      </c>
      <c r="E36" t="s">
        <v>360</v>
      </c>
    </row>
    <row r="37" spans="1:5" x14ac:dyDescent="0.25">
      <c r="A37" s="152" cm="1">
        <f t="array" ref="A37">oz.OperatingRatioλ( 14.37, 48.48, 90.75 )</f>
        <v>0.69256198347107434</v>
      </c>
      <c r="B37" t="str">
        <f t="shared" si="2"/>
        <v>=oz.OperatingRatioλ( 14.37, 48.48, 90.75 )</v>
      </c>
      <c r="D37" t="s">
        <v>361</v>
      </c>
      <c r="E37" t="s">
        <v>362</v>
      </c>
    </row>
    <row r="38" spans="1:5" x14ac:dyDescent="0.25">
      <c r="A38" s="152"/>
      <c r="D38" t="s">
        <v>278</v>
      </c>
      <c r="E38" t="s">
        <v>278</v>
      </c>
    </row>
    <row r="39" spans="1:5" x14ac:dyDescent="0.25">
      <c r="A39" s="152"/>
      <c r="B39" s="2" t="s">
        <v>319</v>
      </c>
      <c r="D39" t="s">
        <v>319</v>
      </c>
      <c r="E39" t="s">
        <v>278</v>
      </c>
    </row>
    <row r="40" spans="1:5" x14ac:dyDescent="0.25">
      <c r="A40" s="152" cm="1">
        <f t="array" ref="A40">oz.GrossMarginλ( 62984, 102007 )</f>
        <v>0.61744782220827987</v>
      </c>
      <c r="B40" t="str">
        <f t="shared" ref="B40:B46" si="3">_xlfn.FORMULATEXT(A40)</f>
        <v>=oz.GrossMarginλ( 62984, 102007 )</v>
      </c>
      <c r="D40" t="s">
        <v>363</v>
      </c>
      <c r="E40" t="s">
        <v>364</v>
      </c>
    </row>
    <row r="41" spans="1:5" x14ac:dyDescent="0.25">
      <c r="A41" s="152" cm="1">
        <f t="array" ref="A41">oz.EBITDAMarginλ( 15, 125 )</f>
        <v>0.12</v>
      </c>
      <c r="B41" t="str">
        <f t="shared" si="3"/>
        <v>=oz.EBITDAMarginλ( 15, 125 )</v>
      </c>
      <c r="D41" t="s">
        <v>365</v>
      </c>
      <c r="E41" t="s">
        <v>366</v>
      </c>
    </row>
    <row r="42" spans="1:5" x14ac:dyDescent="0.25">
      <c r="A42" s="91" cm="1">
        <f t="array" ref="A42">oz.OperatingMarginλ( 0.8, 2 )</f>
        <v>0.4</v>
      </c>
      <c r="B42" t="str">
        <f t="shared" si="3"/>
        <v>=oz.OperatingMarginλ( 0.8, 2 )</v>
      </c>
      <c r="D42" t="s">
        <v>367</v>
      </c>
      <c r="E42" t="s">
        <v>368</v>
      </c>
    </row>
    <row r="43" spans="1:5" x14ac:dyDescent="0.25">
      <c r="A43" s="91" cm="1">
        <f t="array" ref="A43">oz.PretaxMarginλ( 40, 500 )</f>
        <v>0.08</v>
      </c>
      <c r="B43" t="str">
        <f t="shared" si="3"/>
        <v>=oz.PretaxMarginλ( 40, 500 )</v>
      </c>
      <c r="D43" t="s">
        <v>369</v>
      </c>
      <c r="E43" t="s">
        <v>370</v>
      </c>
    </row>
    <row r="44" spans="1:5" x14ac:dyDescent="0.25">
      <c r="A44" s="91" cm="1">
        <f t="array" ref="A44">oz.NetProfitMarginλ( 56, 100 )</f>
        <v>0.56000000000000005</v>
      </c>
      <c r="B44" t="str">
        <f t="shared" si="3"/>
        <v>=oz.NetProfitMarginλ( 56, 100 )</v>
      </c>
      <c r="D44" t="s">
        <v>371</v>
      </c>
      <c r="E44" t="s">
        <v>372</v>
      </c>
    </row>
    <row r="45" spans="1:5" x14ac:dyDescent="0.25">
      <c r="A45" s="91" cm="1">
        <f t="array" ref="A45">oz.CashFlowMarginλ( 2.695, 5.3 )</f>
        <v>0.50849056603773579</v>
      </c>
      <c r="B45" t="str">
        <f t="shared" si="3"/>
        <v>=oz.CashFlowMarginλ( 2.695, 5.3 )</v>
      </c>
      <c r="D45" t="s">
        <v>373</v>
      </c>
      <c r="E45" t="s">
        <v>374</v>
      </c>
    </row>
    <row r="46" spans="1:5" x14ac:dyDescent="0.25">
      <c r="A46" s="91" cm="1">
        <f t="array" ref="A46">oz.ROAλ(1200, 15000 )</f>
        <v>0.08</v>
      </c>
      <c r="B46" t="str">
        <f t="shared" si="3"/>
        <v>=oz.ROAλ(1200, 15000 )</v>
      </c>
      <c r="D46" t="s">
        <v>375</v>
      </c>
      <c r="E46" t="s">
        <v>376</v>
      </c>
    </row>
    <row r="47" spans="1:5" x14ac:dyDescent="0.25">
      <c r="A47" s="91" cm="1">
        <f t="array" ref="A47">oz.ROEλ( 59.972, AVERAGE(251.635, 256.144) )</f>
        <v>0.23621299817440264</v>
      </c>
      <c r="B47" t="str">
        <f>_xlfn.FORMULATEXT(A47)</f>
        <v>=oz.ROEλ( 59.972, AVERAGE(251.635, 256.144) )</v>
      </c>
      <c r="D47" t="s">
        <v>377</v>
      </c>
      <c r="E47" t="s">
        <v>378</v>
      </c>
    </row>
    <row r="48" spans="1:5" x14ac:dyDescent="0.25">
      <c r="A48" s="91" cm="1">
        <f t="array" ref="A48">oz.ROIλ( 2875, 10000 )</f>
        <v>0.28749999999999998</v>
      </c>
      <c r="B48" t="str">
        <f>_xlfn.FORMULATEXT(A48)</f>
        <v>=oz.ROIλ( 2875, 10000 )</v>
      </c>
      <c r="D48" t="s">
        <v>379</v>
      </c>
      <c r="E48" t="s">
        <v>380</v>
      </c>
    </row>
    <row r="49" spans="1:5" x14ac:dyDescent="0.25">
      <c r="A49" s="91" cm="1">
        <f t="array" ref="A49">oz.ROICλ( 3245, 25729 )</f>
        <v>0.12612227447627192</v>
      </c>
      <c r="B49" t="str">
        <f>_xlfn.FORMULATEXT(A49)</f>
        <v>=oz.ROICλ( 3245, 25729 )</v>
      </c>
      <c r="D49" t="s">
        <v>381</v>
      </c>
      <c r="E49" t="s">
        <v>382</v>
      </c>
    </row>
    <row r="50" spans="1:5" x14ac:dyDescent="0.25">
      <c r="A50" s="91"/>
      <c r="D50" t="s">
        <v>278</v>
      </c>
      <c r="E50" t="s">
        <v>278</v>
      </c>
    </row>
    <row r="51" spans="1:5" x14ac:dyDescent="0.25">
      <c r="B51" s="2" t="s">
        <v>320</v>
      </c>
      <c r="D51" t="s">
        <v>320</v>
      </c>
      <c r="E51" t="s">
        <v>278</v>
      </c>
    </row>
    <row r="52" spans="1:5" x14ac:dyDescent="0.25">
      <c r="A52" s="152" cm="1">
        <f t="array" ref="A52">oz.PriceEarningsRatioλ( 242.62, 16.85)</f>
        <v>14.39881305637982</v>
      </c>
      <c r="B52" t="str">
        <f>_xlfn.FORMULATEXT(A52)</f>
        <v>=oz.PriceEarningsRatioλ( 242.62, 16.85)</v>
      </c>
      <c r="D52" t="s">
        <v>383</v>
      </c>
      <c r="E52" t="s">
        <v>384</v>
      </c>
    </row>
    <row r="53" spans="1:5" x14ac:dyDescent="0.25">
      <c r="A53" s="152" cm="1">
        <f t="array" ref="A53">oz.PriceToBookRatioλ( 5, 2.5 )</f>
        <v>2</v>
      </c>
      <c r="B53" t="str">
        <f>_xlfn.FORMULATEXT(A53)</f>
        <v>=oz.PriceToBookRatioλ( 5, 2.5 )</v>
      </c>
      <c r="D53" t="s">
        <v>385</v>
      </c>
      <c r="E53" t="s">
        <v>386</v>
      </c>
    </row>
    <row r="54" spans="1:5" x14ac:dyDescent="0.25">
      <c r="A54" s="152" cm="1">
        <f t="array" ref="A54">oz.PriceToSalesRatioλ( 455, 100 )</f>
        <v>4.55</v>
      </c>
      <c r="B54" t="str">
        <f>_xlfn.FORMULATEXT(A54)</f>
        <v>=oz.PriceToSalesRatioλ( 455, 100 )</v>
      </c>
      <c r="D54" t="s">
        <v>387</v>
      </c>
      <c r="E54" t="s">
        <v>388</v>
      </c>
    </row>
    <row r="55" spans="1:5" x14ac:dyDescent="0.25">
      <c r="A55" s="152" cm="1">
        <f t="array" ref="A55">oz.PriceToCashRatioλ( 200, 100 )</f>
        <v>2</v>
      </c>
      <c r="B55" t="str">
        <f>_xlfn.FORMULATEXT(A55)</f>
        <v>=oz.PriceToCashRatioλ( 200, 100 )</v>
      </c>
      <c r="D55" t="s">
        <v>389</v>
      </c>
      <c r="E55" t="s">
        <v>390</v>
      </c>
    </row>
    <row r="56" spans="1:5" x14ac:dyDescent="0.25">
      <c r="A56" s="151" cm="1">
        <f t="array" ref="A56">oz.BVPSλ(20, 5, AVERAGE( 2.9, 3.1) )</f>
        <v>5</v>
      </c>
      <c r="B56" t="str">
        <f t="shared" ref="B56:B58" si="4">_xlfn.FORMULATEXT(A56)</f>
        <v>=oz.BVPSλ(20, 5, AVERAGE( 2.9, 3.1) )</v>
      </c>
      <c r="D56" t="s">
        <v>391</v>
      </c>
      <c r="E56" t="s">
        <v>392</v>
      </c>
    </row>
    <row r="57" spans="1:5" x14ac:dyDescent="0.25">
      <c r="A57" s="152" cm="1">
        <f t="array" ref="A57">oz.CAPERatioλ( 100, 10  )</f>
        <v>10</v>
      </c>
      <c r="B57" t="str">
        <f t="shared" si="4"/>
        <v>=oz.CAPERatioλ( 100, 10  )</v>
      </c>
      <c r="D57" t="s">
        <v>393</v>
      </c>
      <c r="E57" t="s">
        <v>394</v>
      </c>
    </row>
    <row r="58" spans="1:5" x14ac:dyDescent="0.25">
      <c r="A58" s="152" cm="1">
        <f t="array" ref="A58">oz.DPRλ( 5, 20 )</f>
        <v>0.25</v>
      </c>
      <c r="B58" t="str">
        <f t="shared" si="4"/>
        <v>=oz.DPRλ( 5, 20 )</v>
      </c>
      <c r="D58" t="s">
        <v>395</v>
      </c>
      <c r="E58" t="s">
        <v>396</v>
      </c>
    </row>
    <row r="59" spans="1:5" x14ac:dyDescent="0.25">
      <c r="A59" s="152" cm="1">
        <f t="array" ref="A59">oz.DividendYieldRatioλ( 1.2, 45 )</f>
        <v>2.6666666666666665E-2</v>
      </c>
      <c r="B59" t="str">
        <f>_xlfn.FORMULATEXT(A59)</f>
        <v>=oz.DividendYieldRatioλ( 1.2, 45 )</v>
      </c>
      <c r="D59" t="s">
        <v>397</v>
      </c>
      <c r="E59" t="s">
        <v>398</v>
      </c>
    </row>
    <row r="60" spans="1:5" x14ac:dyDescent="0.25">
      <c r="A60" s="152" cm="1">
        <f t="array" ref="A60">oz.EPSλ( 7.6, 0, 3.98 )</f>
        <v>1.9095477386934672</v>
      </c>
      <c r="B60" t="str">
        <f t="shared" ref="B60:B61" si="5">_xlfn.FORMULATEXT(A60)</f>
        <v>=oz.EPSλ( 7.6, 0, 3.98 )</v>
      </c>
      <c r="D60" t="s">
        <v>399</v>
      </c>
      <c r="E60" t="s">
        <v>400</v>
      </c>
    </row>
    <row r="61" spans="1:5" x14ac:dyDescent="0.25">
      <c r="A61" s="152" cm="1">
        <f t="array" ref="A61">oz.RetentionRatioλ( 19.869, 41.981)</f>
        <v>0.47328553393201683</v>
      </c>
      <c r="B61" t="str">
        <f t="shared" si="5"/>
        <v>=oz.RetentionRatioλ( 19.869, 41.981)</v>
      </c>
      <c r="D61" t="s">
        <v>401</v>
      </c>
      <c r="E61" t="s">
        <v>402</v>
      </c>
    </row>
    <row r="62" spans="1:5" x14ac:dyDescent="0.25">
      <c r="A62" s="91"/>
      <c r="D62" t="s">
        <v>278</v>
      </c>
      <c r="E62" t="s">
        <v>278</v>
      </c>
    </row>
    <row r="63" spans="1:5" x14ac:dyDescent="0.25">
      <c r="D63" t="s">
        <v>403</v>
      </c>
      <c r="E63" t="s">
        <v>404</v>
      </c>
    </row>
    <row r="64" spans="1:5" x14ac:dyDescent="0.25">
      <c r="D64" t="s">
        <v>278</v>
      </c>
      <c r="E64" t="s">
        <v>278</v>
      </c>
    </row>
  </sheetData>
  <mergeCells count="2">
    <mergeCell ref="A1:K1"/>
    <mergeCell ref="A2:K2"/>
  </mergeCells>
  <hyperlinks>
    <hyperlink ref="A1" location="'TOC'!$A$1" display="'TOC'!$A$1" xr:uid="{B782A6BB-286B-46B1-81DB-8C4B9AD862BC}"/>
  </hyperlinks>
  <pageMargins left="0.7" right="0.7" top="0.75" bottom="0.75" header="0.3" footer="0.3"/>
  <pageSetup paperSize="9" scale="27"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EAGEAdABlAHMAIgAsACIAdABlAHgAdAAiADoAIgAvACoAIAAgAE0AbwBkAHUAbABlACAAQwBvAG4AdABhAGkAbgBzACAATwB6AHoAaQB0ACAAQwBvAG0AcABsAGkAYQBuAHQAIABMAEEATQBCAEQAQQBzACAAdABoAGEAdAAgAGQAZQBhAGwAIAB3AGkAdABoACAAZABhAHQAZQBzACAAKgAvAFwAbgBcAG4ALwAqACAAIABGAFUATgBDAFQASQBPAE4AIABOAEEATQBFADoAIAAgAEEAYgBvAHUAdABEAGEAdABlAHMAuwNcAG4AIAAgACAAIABEAEUAUwBDAFIASQBQAFQASQBPAE4AOgAqAC8ALwAqACoARABpAHMAcABsAGEAeQBzACAAdABoAGkAcwAgAG0AbwBkAHUAbABlACcAcwAgAHIAZQBwAG8AcwBpAHQAbwByAHkAIABVAFIATAAgAGEAbgBkACAAZgB1AG4AYwB0AGkAbwBuACAAbABpAHMAdAAqAC8AXABuAEEAYgBvAHUAdABEAGEAdABlAHMAuwMgAD0AIABUAFIASQBNACgAXABuACAAIAAgACAAVABFAFgAVABTAFAATABJAFQAKABcAG4AIAAgACAAIAAgACAAIAAgAFwAIgBBAGIAbwB1AHQAOgAgACAAIAAgACAAIAAgACAAIAAgACAAIAAgACAAIAAgACAAkiFPAHoAegBpAHQAIABjAG8AbQBwAGwAaQBhAG4AdAAgAEwAQQBNAEIARABBAHMAIABkAGUAYQBsAGkAbgBnACAAdwBpAHQAaAAgAGQAYQB0AGUAcwAuACAAUwB1AGcAZwBlAHMAdABlAGQAIABtAG8AZAB1AGwAZQAgAG4AYQBtAGUAOgAgAG8AegC2AFwAIgAgACYAXABuACAAIAAgACAAIAAgACAAIABcACIAVgBlAHIAcwBpAG8AbgA6ACAAIAAgACAAIAAgACAAIAAgACAAIAAgACAAIAAgAJIhNgAgAFMAZQBwACAAMgAwADIANgC2AFwAIgAgACYAXABuACAAIAAgACAAIAAgACAAIABcACIAUgBlAHAAbwBzAGkAdABvAHIAeQA6ACAAIAAgACAAIAAgACAAIAAgACAAIAAgACAAIACSIWgAdAB0AHAAcwA6AC8ALwBnAGkAdABoAHUAYgAuAGMAbwBtAC8AcgB5AGEAbgBkAHUAZwB1AGkAZAAvAE8AegB6AGkAdAAgALYAXAAiACAAJgBcAG4AIAAgACAAIAAgACAAIAAgAFwAIgCSIbYAXAAiACAAJgAgAFwAbgAgACAAIAAgACAAIAAgACAAXAAiAEYAdQBuAGMAdABpAG8AbgAgACAAIAAgACAAIAAgACAAIAAgACAAIAAgACAAIACSIUQAZQBzAGMAcgBpAHAAdABpAG8AbgC2AFwAIgAgACYAIABcAG4AIAAgACAAIAAgACAAIAAgAFwAIgBBAGIAbwB1AHQARABhAHQAZQBzALsDIAAgACAAIAAgACAAIAAgACAAIAAgACAAIAAgACAAIAAgAJIhUAByAG8AZAB1AGMAZQBzACAAdABoAGkAcwAgAHQAYQBiAGwAZQC2AFwAIgAgACYAXABuACAAIAAgACAAIAAgACAAIABcACIAQwBvAHUAbgB0AEQATwBXALsDIAAgACAAIAAgACAAIAAgACAAIAAgACAAIAAgAJIhQwBvAHUAbgB0ACAAaQBuAHMAdABhAG4AYwBlAHMAIABvAGYAIABhACAAcwBwAGUAYwBpAGYAaQBjACAAZABhAHkAIABvAGYAIAB0AGgAZQAgAHcAZQBlAGsAIABiAGUAdAB3AGUAZQBuACAAdAB3AG8AIABkAGEAdABlAHMAtgBcACIAIAAmAFwAbgAgACAAIAAgACAAIAAgACAAXAAiAEkAcwBCAGUAdAB3AGUAZQBuALsDIAAgACAAIAAgACAAIAAgACAAIAAgACAAIACSIUQAZQB0AGUAcgBtAGkAbgBlACAAaQBmACAAYQAgAHYAYQBsAHUAZQAgAGkAcwAgAGIAZQB0AHcAZQBlAG4AIABhACAAbABvAHcAZQByACAAYQBuAGQAIAB1AHAAcABlAHIAIABsAGkAbQBpAHQAtgBcACIAIAAmAFwAbgAgACAAIAAgACAAIAAgACAAXAAiAEkAcwBPAGMAYwB1AHIAcgBlAG4AYwBlAEQAYQB0AGUAuwMgACAAIAAgACAAIACSIUQAZQB0AGUAcgBtAGkAbgBlACAAaQBmACAAYQAgAGQAYQB0AGUAIABwAGEAcwBzAGUAZAAgAGkAcwAgAHcAaABlAG4AIABhACAAcABvAHQAZQBuAHQAaQBhAGwAbAB5ACAAcgBlAHAAZQBhAHQAaQBuAGcAIABlAHYAZQBuAHQAIABoAGEAcABwAGUAbgBzALYAXAAiACAAJgBcAG4AIAAgACAAIAAgACAAIAAgAFwAIgBPAHYAZQByAEwAYQBwAEQAYQB5AHMAuwMgACAAIAAgACAAIAAgACAAIAAgACAAkiFSAGUAdAB1AHIAbgAgAGgAbwB3ACAAbQBhAG4AeQAgAGQAYQB5AHMAIABvAHYAZQByAGwAYQBwACAAdAB3AG8AIABwAGUAcgBpAG8AZAAgAHIAYQBuAGcAZQBzAC4AtgBcACIAIAAmAFwAbgAgACAAIAAgACAAIAAgACAAXAAiAFAAZQByAGkAbwBkAHMAuwMgACAAIAAgACAAIAAgACAAIAAgACAAIAAgACAAIACSIUQAZQB0AGUAcgBtAGkAbgBlACAAdABoAGUAIABuAHUAbQBiAGUAcgAgAG8AZgAgAHAAZQByAGkAbwBkAHMAIABmAHIAbwBtACAAUwB0AGEAcgB0AHMAIAB0AG8AIABFAG4AZABzACAAaQBuAGMAbAB1AHMAaQB2AGUAtgBcACIAIAAmAFwAbgAgACAAIAAgACAAIAAgACAAXAAiAFAAZQByAGkAbwBkAEwAYQBiAGUAbAC7AyAAIAAgACAAIAAgACAAIAAgACAAIACSIUMAcgBlAGEAdABlAHMAIABhACAAbABhAGIAZQBsACAAZgBvAHIAIABhACAAZABhAHQAZQAgAGIAYQBzAGUAZAAgAG8AbgAgAHAAZQByAGkAbwBkACAAaQBuAHQAZQByAHYAYQBsALYAXAAiACAAJgBcAG4AIAAgACAAIAAgACAAIAAgAFwAIgBTAGMAaABlAGQAdQBsAGUAUgBhAHQAZQBzALsDIAAgACAAIAAgACAAIAAgACAAkiFTAGMAaABlAGQAdQBsAGUAIAByAGEAdABlAHMAIAB0AGgAYQB0ACAAcABlAHIAcwBpAHMAdAAgAHUAbgB0AGkAbAAgAHIAZQBwAGwAYQBjAGUAZAAgAGkAbgAgAGEAIAB0AGkAbQBlAGwAaQBuAGUALgC2AFwAIgAgACYAXABuACAAIAAgACAAIAAgACAAIABcACIAUwBjAGgAZQBkAHUAbABlAFIAYQB0AGUAcwBCAHkASQB0AGUAbQBzALsDIAAgAJIhUwBjAGgAZQBkAHUAbABlACAAcgBhAHQAZQBzACAAdABoAGEAdAAgAHAAZQByAHMAaQBzAHQAIAB1AG4AdABpAGwAIAByAGUAcABsAGEAYwBlAGQAIABpAG4AIABhACAAdABpAG0AZQBsAGkAbgBlACAAZgBvAHIAIABlAGEAYwBoACAAaQB0AGUAbQAgAGkAbgAgAGEAIABsAGkAcwB0AC4AtgBcACIAIAAmAFwAbgAgACAAIAAgACAAIAAgACAAXAAiAFIAYQB0AGUAQQB0AEQAYQB0AGUAuwMgACAAIAAgACAAIAAgACAAIAAgACAAIACSIVIAZQB0AHUAcgBuACAAdABoAGUAIAByAGEAdABlACAAaQBuACAAZQBmAGYAZQBjAHQAIABvAG4AIABlAGEAYwBoACAAZABhAHQAZQAgAGYAcgBvAG0AIABhACAAYwBoAGUAYwBrAGUAZAAgAHQAYQBiAGwAZQAgAG8AZgAgAGUAZgBmAGUAYwB0AGkAdgBlACAAZABhAHQAZQBzALYAXAAiACAAJgBcAG4AIAAgACAAIAAgACAAIAAgAFwAIgBTAGMAaABlAGQAdQBsAGUAVgBhAGwAdQBlAHMAuwMgACAAIAAgACAAIAAgACAAkiFTAGMAaABlAGQAdQBsAGUAcwAgAHYAYQBsAHUAZQBzACAAaQBuACAAYQAgAHQAaQBtAGUAbABpAG4AZQAuACAAtgBcACIAIAAmAFwAbgAgACAAIAAgACAAIAAgACAAXAAiAFMAYwBoAGUAZAB1AGwAZQBWAGEAbAB1AGUAcwBCAHkASQB0AGUAbQBzALsDIACSIVMAYwBoAGUAZAB1AGwAZQBzACAAdgBhAGwAdQBlAHMAIABpAG4AIABhACAAdABpAG0AZQBsAGkAbgBlACAAZgBvAHIAIABlAGEAYwBoACAAaQB0AGUAbQAgAGkAbgAgAGEAIABsAGkAcwB0AC4AtgBcACIAIAAmAFwAbgAgACAAIAAgACAAIAAgACAAXAAiAFQAaQBtAGUAbABpAG4AZQC7AyAAIAAgACAAIAAgACAAIAAgACAAIAAgACAAIACSIUMAcgBlAGEAdABlAHMAIABhACAAaABvAHIAaQB6AG8AbgB0AGEAbAAgAGwAaQBzAHQAIABvAGYAIABzAHQAYQByAHQAIABvAHIAIABlAG4AZAAgAGQAYQB0AGUAcwAgAGYAbwByACAAYQAgAHQAaQBtAGUAbABpAG4AZQC2AFwAIgAgACYAXABuACAAIAAgACAAIAAgACAAIABcACIARABhAHQAZQBEAGkAZgC7AyAAIAAgACAAIAAgACAAIAAgACAAIAAgACAAIAAgAJIhVwBoAG8AbABlACAAeQBlAGEAcgBzACwAIABtAG8AbgB0AGgAcwAgAG8AcgAgAGQAYQB5AHMAIABiAGUAdAB3AGUAZQBuACAAdAB3AG8AIABkAGEAdABlAHMALAAgAGEAbgBkACAAdABoAGUAIAByAGUAbQBhAGkAbgBkAGUAcgBzALYAXAAiACAAJgBcAG4AIAAgACAAIAAgACAAIAAgAFwAIgBGAGkAbgBhAG4AYwBpAGEAbABNAG8AbgB0AGgAuwMgACAAIAAgACAAIAAgACAAkiFOAHUAbQBiAGUAcgBzACAAZQBhAGMAaAAgAGQAYQB0AGUAJwBzACAAbQBvAG4AdABoACAAdwBpAHQAaABpAG4AIABpAHQAcwAgAGYAaQBuAGEAbgBjAGkAYQBsACAAeQBlAGEAcgAsACAAZgByAG8AbQAgADEAIAB0AG8AIAAxADIAtgBcACIAIAAmAFwAbgAgACAAIAAgACAAIAAgACAAXAAiAEYAaQBuAGEAbgBjAGkAYQBsAFEAdQBhAHIAdABlAHIAuwMgACAAIAAgACAAIACSIU4AdQBtAGIAZQByAHMAIABlAGEAYwBoACAAZABhAHQAZQAnAHMAIABxAHUAYQByAHQAZQByACAAdwBpAHQAaABpAG4AIABpAHQAcwAgAGYAaQBuAGEAbgBjAGkAYQBsACAAeQBlAGEAcgAsACAAZgByAG8AbQAgADEAIAB0AG8AIAA0ALYAXAAiACAAJgAgAFwAbgAgACAAIAAgACAAIAAgACAAXAAiAEYAaQBuAGEAbgBjAGkAYQBsAFkAZQBhAHIAuwMgACAAIAAgACAAIAAgACAAIACSIUwAYQBiAGUAbABzACAAZABhAHQAZQBzACAAdwBpAHQAaAAgAHQAaABlAGkAcgAgAEEAdQBzAHQAcgBhAGwAaQBhAG4AIABmAGkAbgBhAG4AYwBpAGEAbAAgAHkAZQBhAHIALAAgAHMAdABhAHIAdABpAG4AZwAgADEAIABKAHUAbAB5ALYAXAAiACAAJgBcAG4AIAAgACAAIAAgACAAIAAgAFwAIgCSIVwAIgAsACAAIABcAG4AIAAgACAAIAAgACAAIAAgAFwAIgCSIVwAIgAsACAAXAAiALYAXAAiAFwAbgAgACAAIAAgACkAXABuACkAOwBcAG4AXABuAFwAbgBcAG4ALwAqACAAIABGAFUATgBDAFQASQBPAE4AIABOAEEATQBFADoAIAAgAEMAbwB1AG4AdABEAE8AVwC7A1wAbgAgACAAIAAgAEQARQBTAEMAUgBJAFAAVABJAE8ATgA6ACoALwAgACAALwAqACoAQwBvAHUAbgB0ACAAaQBuAHMAdABhAG4AYwBlAHMAIABvAGYAIABhACAAcwBwAGUAYwBpAGYAaQBjACAAZABhAHkAIABvAGYAIAB0AGgAZQAgAHcAZQBlAGsAIABiAGUAdAB3AGUAZQBuACAAdAB3AG8AIABkAGEAdABlAHMALgAqAC8AXABuAEMAbwB1AG4AdABEAE8AVwC7AyAAPQAgAEwAQQBNAEIARABBACgAIAAgACAAXABuAC8ALwAgACAAUABhAHIAYQBtAGUAdABlAHIAIABEAGUAYwBsAGEAcgBhAHQAaQBvAG4AcwBcAG4AIAAgACAAIABbAFMAdABhAHIAdABzAF0ALABcAG4AIAAgACAAIABbAEUAbgBkAHMAXQAsAFwAbgAgACAAIAAgAFsARABhAHkATwBmAFcAZQBlAGsAXQAsACAAIABcAG4ALwAvACAAIABIAGUAbABwAFwAbgAgACAAIAAgAEwARQBUACgASABlAGwAcAAsACAAIAAgACAAIAAgACAAVABSAEkATQAoAFQARQBYAFQAUwBQAEwASQBUACgAIABcAG4AIAAgACAAIAAgACAAIAAgACAAIAAgACAAIAAgACAAIAAgACAAIAAgACAAIAAgACAAXAAiAEYAVQBOAEMAVABJAE8ATgA6ACAAIAAgACAAIAAgAJIhQwBvAHUAbgB0AEQATwBXALsDKABTAHQAYQByAHQAcwAsACAARQBuAGQAcwAsACAARABhAHkATwBmAFcAZQBlAGsAKQC2AFwAIgAgACYAIABcAG4AIAAgACAAIAAgACAAIAAgACAAIAAgACAAIAAgACAAIAAgACAAIAAgACAAIAAgACAAXAAiAEQARQBTAEMAUgBJAFAAVABJAE8ATgA6ACAAIAAgAJIhQwBvAHUAbgB0ACAAaQBuAHMAdABhAG4AYwBlAHMAIABvAGYAIABhACAAcwBwAGUAYwBpAGYAaQBjACAAZABhAHkAIABvAGYAIAB0AGgAZQAgAHcAZQBlAGsAIABiAGUAdAB3AGUAZQBuACAAdAB3AG8AIABkAGEAdABlAHMALgC2AFwAIgAgACYAIABcAG4AIAAgACAAIAAgACAAIAAgACAAIAAgACAAIAAgACAAIAAgACAAIAAgACAAIAAgACAAXAAiAFcARQBCAFMASQBUAEUAOgAgACAAIAAgACAAIAAgAJIhaAB0AHQAcABzADoALwAvAGcAaQB0AGgAdQBiAC4AYwBvAG0ALwByAHkAYQBuAGQAdQBnAHUAaQBkAC8ATwB6AHoAaQB0ALYAXAAiACAAJgBcAG4AIAAgACAAIAAgACAAIAAgACAAIAAgACAAIAAgACAAIAAgACAAIAAgACAAIAAgACAAXAAiAFAAQQBSAEEATQBFAFQARQBSAFMAOgAgACAAIAAgAJIhtgBcACIAIAAmACAAXABuACAAIAAgACAAIAAgACAAIAAgACAAIAAgACAAIAAgACAAIAAgACAAIAAgACAAIAAgAFwAIgBTAHQAYQByAHQAcwAgACAAIAAgACAAIAAgACAAIACSISgAUgBlAHEAdQBpAHIAZQBkACkAIABPAG4AZQAgAG8AZgAgAG0AbwByAGUAIABzAHQAYQByAHQAIABkAGEAdABlAHMAIAAoAHQAZQB4AHQAIABvAHIAIABuAHUAbQBlAHIAaQBjACkAIABpAG4AIABhACAAcgBvAHcAIABvAHIAIABjAG8AbAB1AG0AbgC2AFwAIgAgACYAIABcAG4AIAAgACAAIAAgACAAIAAgACAAIAAgACAAIAAgACAAIAAgACAAIAAgACAAIAAgACAAXAAiAEUAbgBkAHMAIAAgACAAIAAgACAAIAAgACAAIAAgAJIhKABSAGUAcQB1AGkAcgBlAGQAKQAgAEUAbgBkACAAZABhAHQAZQBzACAAKAB0AGUAeAB0ACAAbwByACAAbgB1AG0AZQByAGkAYwApACAAZgBvAHIAIABlAGEAYwBoACAAcwB0AGEAcgB0ACAAZABhAHQAZQC2AFwAIgAgACYAIABcAG4AIAAgACAAIAAgACAAIAAgACAAIAAgACAAIAAgACAAIAAgACAAIAAgACAAIAAgACAAXAAiAEQAYQB5AE8AZgBXAGUAZQBrACAAIAAgACAAIAAgAJIhKABSAGUAcQB1AGkAcgBlAGQAKQAgADEAPQBTAHUAbgBkAGEAeQAsACAANwA9AFMAYQB0AHUAcgBkAGEAeQAuALYAXAAiACAAJgBcAG4AIAAgACAAIAAgACAAIAAgACAAIAAgACAAIAAgACAAIAAgACAAIAAgACAAIAAgACAAXAAiAEUAWABBAE0AUABMAEUAUwA6ACAAIAAgACAAIAAgAJIhtgBcACIAIAAmACA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FwAIgAzACAAIAAgACAAIAAgACAAIAAgACAAIAAgACAAIACSIT0AbwB6AC4AQwBvAHUAbgB0AEQATwBXALsDKABcACIAXAAiADIAMwAvADcALwAyADAAMgA2AFwAIgBcACIALAAgAFwAIgBcACIAMQAxAC8AOAAvADIAMAAyADYAXAAiAFwAIgAsACAAIAAx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MAdABhAHIAdABzACkALAAgAFwAbgAgACAAIAAgACAAIAAgACAAIAAgACAAIAAgACAAIAAgACAAIAAgACAAIAAgACAAIAAgACAAIAAgAEkAUwBPAE0ASQBUAFQARQBEACgAIABFAG4AZABzACkALABcAG4AIAAgACAAIAAgACAAIAAgACAAIAAgACAAIAAgACAAIAAgACAAIAAgACAAIAAgACAAIAAgACAAIABJAFMATwBNAEkAVABUAEUARAAoACAARABhAHkATwBmAFcAZQBlAGs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TAHQAYQByAHQAcwAsACAAIAAgACAAIAAgAEkARgAoACAASQBTAE8ATQBJAFQAVABFAEQAKAAgAFMAdABhAHIAdABzACkALAAgAFwAbgAgACAAIAAgACAAIAAgACAAIAAgACAAIAAgACAAIAAgACAAIAAgACAAIAAgACAAIAAgACAAIAAgAEYAQQBMAFMARQAsAFwAbgAgACAAIAAgACAAIAAgACAAIAAgACAAIAAgACAAIAAgACAAIAAgACAAIAAgACAAIAAgACAAIAAgAEkARgAoACAASQBTAE4AVQBNAEIARQBSACgAIABTAHQAYQByAHQAcwApACwAIABTAHQAYQByAHQAcwAsACAARABBAFQARQBWAEEATABVAEUAKAAgAFMAdABhAHIAdABzACkAKQBcAG4AIAAgACAAIAAgACAAIAAgACAAIAAgACAAIAAgACAAIAAgACAAIAAgACAAIAAgACAAKQAsAFwAbgAgACAAIAAgACAAIAAgACAAQwB2AHQARQBuAGQAcwAsACAAIAAgACAAIAAgACAAIABJAEYAKAAgAEkAUwBPAE0ASQBUAFQARQBEACgAIABFAG4AZABzACkALAAgAFwAbgAgACAAIAAgACAAIAAgACAAIAAgACAAIAAgACAAIAAgACAAIAAgACAAIAAgACAAIAAgACAAIAAgAEYAQQBMAFMARQAsACAAXABuACAAIAAgACAAIAAgACAAIAAgACAAIAAgACAAIAAgACAAIAAgACAAIAAgACAAIAAgACAAIAAgACAASQBGACgAIABJAFMATgBVAE0AQgBFAFIAKAAgAEUAbgBkAHMAKQAsACAARQBuAGQAcwAsACAARABBAFQARQBWAEEATABVAEUAKAAgAEUAbgBkAHMAKQApAFwAbgAgACAAIAAgACAAIAAgACAAIAAgACAAIAAgACAAIAAgACAAIAAgACAAIAAgACAAIAApACwAXABuACAAIAAgACAAIAAgACAALwAvACAAIABQAHIAbwBjAGUAZAB1AHIAZQBcAG4AIAAgACAAIAAgACAAIABSAGUAcwB1AGwAdAAsACAAIAAgACAAIAAgACAAIAAgACAASQBOAFQAKAAgACgAIAAoACAAQwB2AHQARQBuAGQAcwAgAC0AIABDAHYAdABTAHQAYQByAHQAcwApACAAKwAgAFcAZQBlAGsARABhAHkAKAAgAEMAdgB0AFMAdABhAHIAdABzACAALQAgAEQAYQB5AE8AZgBXAGUAZQBrACkAKQAgAC8AIAA3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SQBzAEIAZQB0AHcAZQBlAG4AuwNcAG4AIAAgACAAIABEAEUAUwBDAFIASQBQAFQASQBPAE4AOgAqAC8ALwAqACoARABlAHQAZQByAG0AaQBuAGUAIABpAGYAIABhACAAdgBhAGwAdQBlACAAaQBzACAAYgBlAHQAdwBlAGUAbgAgAGEAIABsAG8AdwBlAHIAIABhAG4AZAAgAHUAcABwAGUAcgAgAGwAaQBtAGkAdAAqAC8AXABuAEkAcwBCAGUAdAB3AGUAZQBuALsDIAA9ACAATABBAE0AQgBEAEEAKABcAG4ALwAvACAAIABQAGEAcgBhAG0AZQB0AGUAcgAgAEQAZQBjAGwAYQByAGEAdABpAG8AbgBzAFwAbgAgACAAIAAgAFsAVgBhAGwAdQBlAHMAXQAsAFwAbgAgACAAIAAgAFsATABvAHcAXQAsAFwAbgAgACAAIAAgAFsASABpAGcAaABdACwAXABuACAAIAAgACAAWwBJAG4AYwBsAHUAcwBpAHYAZQBdACwAXABuAC8ALwAgACAASABlAGwAcABcAG4AIAAgACAAIABMAEUAVAAoAEgAZQBsAHAALAAgACAAIAAgACAAIAAgAFQAUgBJAE0AKABUAEUAWABUAFMAUABMAEkAVAAoACAAXABuACAAIAAgACAAIAAgACAAIAAgACAAIAAgACAAIAAgACAAIAAgACAAIAAgACAAIAAgAFwAIgBGAFUATgBDAFQASQBPAE4AOgAgACAAIAAgACAAIACSIUkAcwBCAGUAdAB3AGUAZQBuALsDKABWAGEAbAB1AGUAcwAsACAATABvAHcALAAgAEgAaQBnAGgALAAgAFsASQBuAGMAbAB1AHMAaQB2AGUAXQApALYAXAAiACAAJgBcAG4AIAAgACAAIAAgACAAIAAgACAAIAAgACAAIAAgACAAIAAgACAAIAAgACAAIAAgACAAXAAiAEQARQBTAEMAUgBJAFAAVABJAE8ATgA6ACAAIAAgAJIhRABlAHQAZQByAG0AaQBuAGUAIABpAGYAIABhACAAdgBhAGwAdQBlACAAaQBzACAAYgBlAHQAdwBlAGUAbgAgAGEAIABsAG8AdwBlAHIAIABhAG4AZAAgAHUAcABwAGUAcgAgAGwAaQBtAGkAdAAuALYAXAAiACAAJgAgAFwAbgAgACAAIAAgACAAIAAgACAAIAAgACAAIAAgACAAIAAgACAAIAAgACAAIAAgACAAIABcACIAVwBFAEIAUwBJAFQARQA6ACAAIAAgACAAIAAgACAAkiFoAHQAdABwAHMAOgAvAC8AZwBpAHQAaAB1AGIALgBjAG8AbQAvAHIAeQBhAG4AZAB1AGcAdQBpAGQALwBPAHoAegBpAHQAIAC2AFwAIgAgACYAXABuACAAIAAgACAAIAAgACAAIAAgACAAIAAgACAAIAAgACAAIAAgACAAIAAgACAAIAAgAFwAIgBQAEEAUgBBAE0ARQBUAEUAUgBTADoAIAAgACAAIACSIbYAXAAiACAAJgAgAFwAbgAgACAAIAAgACAAIAAgACAAIAAgACAAIAAgACAAIAAgACAAIAAgACAAIAAgACAAIABcACIAVgBhAGwAdQBlAHMAIAAgACAAIAAgACAAIAAgACAAkiEoAFIAZQBxAHUAaQByAGUAZAApACAAbwBuAGUAIABvAHIAIABtAG8AcgBlACAAdgBhAGwAdQBlAHMAIAB0AG8AIABjAG8AbQBwAGEAcgBlAC4AtgBcACIAIAAmACAAXABuACAAIAAgACAAIAAgACAAIAAgACAAIAAgACAAIAAgACAAIAAgACAAIAAgACAAIAAgAFwAIgBMAG8AdwAgACAAIAAgACAAIAAgACAAIAAgACAAIACSISgAUgBlAHEAdQBpAHIAZQBkACkAIABUAGgAZQAgAGwAbwB3AGUAcgAgAGwAaQBtAGkAdAAgAHQAaABhAHQAIAB0AGgAZQAgAHYAYQBsAHUAZQAoAHMAKQAgAG0AdQBzAHQAIABiAGUAIABnAHIAZQBhAHQAZQByACAAdABoAGEAbgC2AFwAIgAgACYAXABuACAAIAAgACAAIAAgACAAIAAgACAAIAAgACAAIAAgACAAIAAgACAAIAAgACAAIAAgAFwAIgBIAGkAZwBoACAAIAAgACAAIAAgACAAIAAgACAAIACSISgAUgBlAHEAdQBpAHIAZQBkACkAIABUAGgAZQAgAGgAaQBnAGgAZQByACAAbABpAG0AaQB0ACAAdABoAGEAdAAgAHQAaABlACAAdgBhAGwAdQBlACgAcwApACAAbQB1AHMAdAAgAGIAZQAgAGwAZQBzAHMAIAB0AGgAYQBuALYAXAAiACAAJgBcAG4AIAAgACAAIAAgACAAIAAgACAAIAAgACAAIAAgACAAIAAgACAAIAAgACAAIAAgACAAXAAiAEkAbgBjAGwAdQBzAGkAdgBlACAAIAAgACAAIAAgAJIhKABPAHAAdABpAG8AbgBhAGwAKQAgAFQAUgBVAEUAOgAgAFYAYQBsAHUAZQAoAHMAKQAgAGMAYQBuACAAYgBlACAAZQBxAHUAYQBsACAAdABvACAATABvAHcAIABhAG4AZAAvAG8AcgAgAEgAaQBnAGgAIAAoAGQAZQBmAGEAdQBsAHQAKQC2AFwAIgAgACYAXABuACAAIAAgACAAIAAgACAAIAAgACAAIAAgACAAIAAgACAAIAAgACAAIAAgACAAIAAgAFwAIgBFAFgAQQBNAFAATABFAFMAOgAgACAAIAAgACAAIACSIbYAXAAiACAAJgAg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BcACIARgBBAEwAUwBFACAAIAAgACAAIAAgACAAIAAgACAAkiE9AG8AegAuAEkAcwBCAGUAdAB3AGUAZQBuALsDKAAxACwAIAAyACwAIAA0ACkAtgBcACIAIAAmACAAXABuACAAIAAgACAAIAAgACAAIAAgACAAIAAgACAAIAAgACAAIAAgACAAIAAgACAAIAAgAFwAIgBUAFIAVQBFACAAIAAgACAAIAAgACAAIAAgACAAIACSIT0AbwB6AC4ASQBzAEIAZQB0AHcAZQBlAG4AuwMoAFQAbwBkAGEAeQAoACkALAAgAFQAbwBkAGEAeQAoACkALAAgAFQAbwBkAGEAeQAoACkAKwAxACkAtgBcACIAIAAmACAAXABuACAAIAAgACAAIAAgACAAIAAgACAAIAAgACAAIAAgACAAIAAgACAAIAAgACAAIAAgAFwAIgBGAEEATABTAEUAIAAgACAAIAAgACAAIAAgACAAIACSIT0AbwB6AC4ASQBzAEIAZQB0AHcAZQBlAG4AuwMoAFwAIgBcACIAQgBcACIAXAAiACwAIABcACIAXAAiAEIAXAAiAFwAIgAsACAAXAAiAFwAIgBEAFwAIgBcACIALAAgAEYAQQBMAFMAR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UwBlAHQAIABvAHAAdABpAG8AbgBhAGwAIABhAHIAZwB1AG0AZQBuAHQAcwAgAGQAZQBmAGEAdQBsAHQAcwBcAG4AIAAgACAAIAAgACAAIAAgAEkAbgBjAGwAdQBzAGkAdgBlACwAIAAgACAAIAAgACAASQBGACgAIABJAFMATABPAEcASQBDAEEATAAoACAASQBuAGMAbAB1AHMAaQB2AGUAKQAsACAASQBuAGMAbAB1AHMAaQB2AGUALAAgAFQAUgBVAEUAKQAsAFwAbgAgACAAIAAgAC8ALwAgACAAQwBoAGUAYwBrACAAaQBuAHAAdQB0AHMAIAAtACAATwBtAGkAdAB0AGUAZAAgAHIAZQBxAHUAaQByAGUAZAAgAGEAcgBnAHUAbQBlAG4AdABzACAAXABuACAAIAAgACAAIAAgACAAIABIAGUAbABwAD8ALAAgACAAIAAgACAAIAAgACAAIAAgAE8AUgAoAFwAbgAgACAAIAAgACAAIAAgACAAIAAgACAAIAAgACAAIAAgACAAIAAgACAAIAAgACAAIAAgACAAIAAgAEkAUwBPAE0ASQBUAFQARQBEACgAIABWAGEAbAB1AGUAcwApACwAIABcAG4AIAAgACAAIAAgACAAIAAgACAAIAAgACAAIAAgACAAIAAgACAAIAAgACAAIAAgACAAIAAgACAAIABJAFMATwBNAEkAVABUAEUARAAoACAATABvAHcAKQAsAFwAbgAgACAAIAAgACAAIAAgACAAIAAgACAAIAAgACAAIAAgACAAIAAgACAAIAAgACAAIAAgACAAIAAgAEkAUwBPAE0ASQBUAFQARQBEACgAIABIAGkAZwBoACkAXABuACAAIAAgACAAIAAgACAAIAAgACAAIAAgACAAIAAgACAAIAAgACAAIAAgACAAIAAgACkALAAgACAAIAAgACAAIAAgACAAXABuACAAIAAgACAALwAvACAAIABQAHIAbwBjAGUAZAB1AHIAZQBcAG4AIAAgACAAIAAgACAAIAAgAFIAZQBzAHUAbAB0ACwAIAAgACAAIAAgACAAIAAgACAASQBGACgASQBuAGMAbAB1AHMAaQB2AGUALAAgACgAVgBhAGwAdQBlAHMAIAA+AD0AIABMAG8AdwApACAAKgAgACgAVgBhAGwAdQBlAHMAIAA8AD0AIABIAGkAZwBoACkAIAA9ACAAMQAsACAAKABWAGEAbAB1AGUAcwAgAD4AIABMAG8AdwApACAAKgAgACgAVgBhAGwAdQBlAHMAIAA8ACAASABpAGcAaAApACAAPQAgADE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JAHMATwBjAGMAdQByAHIAZQBuAGMAZQBEAGEAdABlALsDXABuACAAIAAgACAARABFAFMAQwBSAEkAUABUAEkATwBOADoAKgAvAC8AKgAqAFIAZQB0AHUAcgBuAHMAIABUAFIAVQBFACAAaQBmACAARABhAHQAZQAgAHAAYQBzAHMAZQBkACAAaQBzACAAdwBoAGUAbgAgAHMAbwBtAGUAdABoAGkAbgBnACAAaABhAHAAcABlAG4AcwAuACAAVABoAGkAcwAgAHcAYQBzACAAZABlAHYAZQBsAG8AcABlAGQAIABmAG8AcgAgAGIAdQBkAGcAZQB0AGkAbgBnACAAdwBoAGUAcgBlACAAdwBlACAAaABhAHYAZQAgAGUAeABwAGUAbgBzAGUAcwAgAHQAaABhAHQAIABzAHQAYQByAHQALAAgAGEAbgBkACAAcwBvAG0AZQB0AGkAbQBlAHMAIAByAGUAcABlAGEAdAAgAGEAdAAgAHIAZQBnAHUAbABhAHIAIABpAG4AdABlAHIAdgBhAGwAcwAuACoALwBcAG4AXABuAEkAcwBPAGMAYwB1AHIAcgBlAG4AYwBlAEQAYQB0AGUAuwMgAD0AIABMAEEATQBCAEQAQQAoAFwAbgAvAC8AIAAgAFAAYQByAGEAbQBlAHQAZQByACAAZABlAGMAbABhAHIAYQB0AGkAbwBuAHMAXABuACAAIAAgACAAWwBEAGEAdABlAHMAXQAsAFwAbgAgACAAIAAgAFsARgBpAHIAcwB0AE8AYwBjAHUAcgByAGUAbgBjAGUAXQAsAFwAbgAgACAAIAAgAFsATABhAHMAdABPAGMAYwB1AHIAcgBlAG4AYwBlAF0ALABcAG4AIAAgACAAIABbAFIAZQBwAGUAYQB0AHMAXQAsAFwAbgAvAC8AIAAgAEgAZQBsAHAAXABuACAAIAAgACAATABFAFQAKABcAG4AIAAgACAAIAAgACAAIAAgAEgAZQBsAHAALAAgACAAIAAgACAAIAAgAFQAUgBJAE0AKABUAEUAWABUAFMAUABMAEkAVAAoAFwAbgAgACAAIAAgACAAIAAgACAAIAAgACAAIAAgACAAIAAgACAAIAAgACAAIAAgACAAIABcACIARgBVAE4AQwBUAEkATwBOADoAIAAgACAAIAAgACAAkiFJAHMATwBjAGMAdQByAHIAZQBuAGMAZQBEAGEAdABlALsDKABEAGEAdABlAHMALAAgAEYAaQByAHMAdABPAGMAYwB1AHIAcgBlAG4AYwBlACwAIABbAEwAYQBzAHQATwBjAGMAdQByAHIAZQBuAGMAZQBdACwAIABbAFIAZQBwAGUAYQB0AHMAXQApALYAXAAiACAAJgBcAG4AIAAgACAAIAAgACAAIAAgACAAIAAgACAAIAAgACAAIAAgACAAIAAgACAAIAAgACAAXAAiAEQARQBTAEMAUgBJAFAAVABJAE8ATgA6ACAAIAAgAJIhUgBlAHQAdQByAG4AcwAgAFQAUgBVAEUAIABpAGYAIABhACAARABhAHQAZQAgAGkAcwAgAHcAaABlAG4AIABzAG8AbQBlAHQAaABpAG4AZwAgAGgAYQBwAHAAZQBuAHMALgC2AFwAIgAgACYAXABuACAAIAAgACAAIAAgACAAIAAgACAAIAAgACAAIAAgACAAIAAgACAAIAAgACAAIAAgAFwAIgAgACAAIAAgACAAIAAgACAAIAAgACAAIAAgACAAIACSIVQAaABpAHMAIAB3AGEAcwAgAGQAZQB2AGUAbABvAHAAZQBkACAAZgBvAHIAIABiAHUAZABnAGUAdABpAG4AZwAgAHcAaABlAHIAZQAgAHcAZQAgAGgAYQB2AGUAIABlAHgAcABlAG4AcwBlAHMAIAB0AGgAYQB0ACAAcwB0AGEAcgB0ACwAtgBcACIAIAAmAFwAbgAgACAAIAAgACAAIAAgACAAIAAgACAAIAAgACAAIAAgACAAIAAgACAAIAAgACAAIABcACIAIAAgACAAIAAgACAAIAAgACAAIAAgACAAIAAgACAAkiFhAG4AZAAgAHMAbwBtAGUAdABpAG0AZQBzACAAcgBlAHAAZQBhAHQAIABhAHQAIAByAGUAZwB1AGwAYQByACAAaQBuAHQAZQByAHYAYQBsAHMALgC2AFwAIgAgACYAIAAgAFwAbgAgACAAIAAgACAAIAAgACAAIAAgACAAIAAgACAAIAAgACAAIAAgACAAIAAgACAAIABcACIAVwBFAEIAUwBJAFQARQA6ACAAIAAgACAAIAAgACAAkiFoAHQAdABwAHMAOgAvAC8AZwBpAHQAaAB1AGIALgBjAG8AbQAvAHIAeQBhAG4AZAB1AGcAdQBpAGQALwBPAHoAegBpAHQAtgBcACIAIAAmAFwAbgAgACAAIAAgACAAIAAgACAAIAAgACAAIAAgACAAIAAgACAAIAAgACAAIAAgACAAIABcACIAUABBAFIAQQBNAEUAVABFAFIAUwA6ACAAIAAgACAAkiG2AFwAIgAgACYAXABuACAAIAAgACAAIAAgACAAIAAgACAAIAAgACAAIAAgACAAIAAgACAAIAAgACAAIAAgAFwAIgBEAGEAdABlAHMAIAAgACAAIAAgACAAIAAgACAAIACSISgAUgBlAHEAdQBpAHIAZQBkACkAIABEAGEAdABlACAAdABvACAAdABlAHMAdAAuACAATgBvAHIAbQBhAGwAbAB5ACAAdABoAGkAcwAgAGkAcwAgAGgAbwByAGkAegBvAG4AdABhAGwAIAB0AGkAbQBlAGwAaQBuAGUAIABiAHkAIABkAGEAeQC2AFwAIgAgACYAXABuACAAIAAgACAAIAAgACAAIAAgACAAIAAgACAAIAAgACAAIAAgACAAIAAgACAAIAAgAFwAIgBGAGkAcgBzAHQATwBjAGMAdQByAHIAZQBuAGMAZQAgAJIhKABSAGUAcQB1AGkAcgBlAGQAKQAgAFcAaABlAG4AIABzAG8AbQBlAHQAaABpAG4AZwAgAHQAaABhAHQAIABtAGEAeQAgAHIAZQBwAGUAYQB0ACwAIABoAGEAcABwAGUAbgBzACAAZgBvAHIAIAB0AGgAZQAgAGYAaQByAHMAdAAgAHQAaQBtAGUALgC2AFwAIgAgACYAXABuACAAIAAgACAAIAAgACAAIAAgACAAIAAgACAAIAAgACAAIAAgACAAIAAgACAAIAAgAFwAIgBMAGEAcwB0AE8AYwBjAHUAcgByAGUAbgBjAGUAIAAgAJIhKABPAHAAdABpAG8AbgBhAGwAKQAgAFcAaABlAG4AIABzAG8AbQBlAHQAaABpAG4AZwAgAHQAaABhAHQAIABtAGEAeQAgAHIAZQBwAGUAYQB0ACwAIABoAGEAcABwAGUAbgBzACAAZgBvAHIAIAB0AGgAZQAgAGwAYQBzAHQAIAB0AGkAbQBlAC4AtgBcACIAIAAmAFwAbgAgACAAIAAgACAAIAAgACAAIAAgACAAIAAgACAAIAAgACAAIAAgACAAIAAgACAAIAAgACAAIAAgACAAIAAgACAAIAAgACAAIAAgACAAIAAgAFwAIgCSIUkAZgAgAG8AbQBpAHQAdABlAGQALAAgAGkAdAAgAGkAcwAgAGEAcwBzAHUAbQBlAGQAIAByAGUAcABlAGEAdABpAG4AZwAgAGkAdABlAG0AcwAgAHIAZQBwAGUAYQB0ACAAZgBvAHIAZQB2AGUAcgAuALYAXAAiACAAJgBcAG4AIAAgACAAIAAgACAAIAAgACAAIAAgACAAIAAgACAAIAAgACAAIAAgACAAIAAgACAAXAAiAFIAZQBwAGUAYQB0AHMAIAAgACAAIAAgACAAIAAgAJIhKABPAHAAdABpAG8AbgBhAGwAKQAgAEEAIABjAG8AZABlACAAdABoAGEAdAAgAGMAbwBuAHYAZQB5AHMAIABoAG8AdwAgAG8AZgB0AGUAbgAgAHQAaABpAHMAIAB0AGgAaQBuAGcAIAByAGUAcABlAGEAdABzAC4AIABSAGUAcABlAGEAdAAgAGMAbwBkAGUAcwAgAGEAcgBlALYAXAAiACAAJgBcAG4AIAAgACAAIAAgACAAIAAgACAAIAAgACAAIAAgACAAIAAgACAAIAAgACAAIAAgACAAIAAgACAAIAAgACAAIAAgACAAIAAgACAAIAAgACAAIABcACIAkiFPAD0ATwBuAGUAIAB0AGkAbQBlAC8AbgBlAHYAZQByACAAcgBlAHAAZQBhAHQAcwAgACgAZABlAGYAYQB1AGwAdAApALYAXAAiACAAJgAgAFwAbgAgACAAIAAgACAAIAAgACAAIAAgACAAIAAgACAAIAAgACAAIAAgACAAIAAgACAAIAAgACAAIAAgACAAIAAgACAAIAAgACAAIAAgACAAIAAgAFwAIgCSIUEAPQBBAG4AbgB1AGEAbABsAHkAtgBcACIAIAAmACAAXABuACAAIAAgACAAIAAgACAAIAAgACAAIAAgACAAIAAgACAAIAAgACAAIAAgACAAIAAgACAAIAAgACAAIAAgACAAIAAgACAAIAAgACAAIAAgACAAXAAiAJIhUwA9AFMAZQBtAGkALQBBAG4AbgB1AGEAbABsAHkAtgBcACIAIAAmAFwAbgAgACAAIAAgACAAIAAgACAAIAAgACAAIAAgACAAIAAgACAAIAAgACAAIAAgACAAIAAgACAAIAAgACAAIAAgACAAIAAgACAAIAAgACAAIAAgAFwAIgCSIVEAPQBRAHUAYQByAHQAZQByAGwAeQC2AFwAIgAgACYAIABcAG4AIAAgACAAIAAgACAAIAAgACAAIAAgACAAIAAgACAAIAAgACAAIAAgACAAIAAgACAAIAAgACAAIAAgACAAIAAgACAAIAAgACAAIAAgACAAIABcACIAkiFNAD0ATQBvAG4AdABoAGwAeQC2AFwAIgAgACYAIABcAG4AIAAgACAAIAAgACAAIAAgACAAIAAgACAAIAAgACAAIAAgACAAIAAgACAAIAAgACAAIAAgACAAIAAgACAAIAAgACAAIAAgACAAIAAgACAAIABcACIAkiFCAD0AQgBpAFcAZQBlAGsAbAB5ALYAXAAiACAAJgAgAFwAbgAgACAAIAAgACAAIAAgACAAIAAgACAAIAAgACAAIAAgACAAIAAgACAAIAAgACAAIAAgACAAIAAgACAAIAAgACAAIAAgACAAIAAgACAAIAAgAFwAIgCSIVcAPQBXAGUAZQBrAGwAeQC2AFwAIgAgACYAXABuACAAIAAgACAAIAAgACAAIAAgACAAIAAgACAAIAAgACAAIAAgACAAIAAgACAAIAAgACAAIAAgACAAIAAgACAAIAAgACAAIAAgACAAIAAgACAAXAAiAJIhWAA9AEUAdgBlAHIAeQAgAFcAbwByAGsAZABhAHkAIAAoAE0AbwBuAGQAYQB5ACAAdABvACAARgByAGkAZABhAHkAKQC2AFwAIgAgACYAIABcAG4AIAAgACAAIAAgACAAIAAgACAAIAAgACAAIAAgACAAIAAgACAAIAAgACAAIAAgACAAIAAgACAAIAAgACAAIAAgACAAIAAgACAAIAAgACAAIABcACIAkiFEAD0ARABhAGkAbAB5ALYAXAAiACAAJgAgACAAIAAgACAAIAAgACAAIAAgACAAIAAgACAAIAAgACAAIAAgACAAIAAgAFwAbgAgACAAIAAgACAAIAAgACAAIAAgACAAIAAgACAAIAAgACAAIAAgACAAIAAgACAAIABcACIATgBPAFQARQAhACAAIAAgACAAIAAgACAAIAAgACAAkiFBACAAbQBvAG4AdABoAGwAeQAsACAAcQB1AGEAcgB0AGUAcgBsAHkALAAgAHMAZQBtAGkALQBhAG4AbgB1AGEAbAAgAG8AcgAgAGEAbgBuAHUAYQBsACAAaQB0AGUAbQAgAHQAaABhAHQAIABzAHQAYQByAHQAcwAgAG8AbgAgAHQAaABlACAAMgA5AHQAaAAsACAAMwAwAHQAaAAgAG8AcgAgADMAMQBzAHQAtgBcACIAIAAmAFwAbgAgACAAIAAgACAAIAAgACAAIAAgACAAIAAgACAAIAAgACAAIAAgACAAIAAgACAAIAAgACAAIAAgACAAIAAgACAAIAAgACAAIAAgACAAIAAgAFwAIgCSIWYAYQBsAGwAcwAgAG8AbgAgAHQAaABlACAAbABhAHMAdAAgAGQAYQB5ACAAbwBmACAAYQBuAHkAIABzAGgAbwByAHQAZQByACAAbQBvAG4AdABoAC4AtgBcACIAIAAmAFwAbgAgACAAIAAgACAAIAAgACAAIAAgACAAIAAgACAAIAAgACAAIAAgACAAIAAgACAAIABcACIARQBYAEEATQBQAEwARQBTADoAIAAgACAAIAAgACAAkiG2AFwAIgAgACY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FwAIgA3ADIAIAAgACAAIAAgACAAIAAgACAAIAAgACAAIACSIT0AUwBVAE0AKABOACgAbwB6AC4ASQBzAE8AYwBjAHUAcgByAGUAbgBjAGUARABhAHQAZQC7AygAUwBFAFEAVQBFAE4AQwBFACgALAA5ADAALABcACIAXAAiADEALwA3AC8AMgAwADIANgBcACIAXAAiACkALAAgAFwAIgBcACIAMQAvADcALwAyADAAMgA2AFwAIgBcACIALAAgAFwAIgBcACIAMQAwAC8AOQAvADIAMAAyADYAXAAiAFwAIgAsACAAXAAiAFwAIgBEAFwAIgBcACIAKQApACkAtgBcACIAIAAmAFwAbgAgACAAIAAgACAAIAAgACAAIAAgACAAIAAgACAAIAAgACAAIAAgACAAIAAgACAAIABcACIAMAAxACAAIAAgACAAIAAgACAAIAAgACAAIAAgACAAkiE9AFMAVQBNACgATgAoAG8AegAuAEkAcwBPAGMAYwB1AHIAcgBlAG4AYwBlAEQAYQB0AGUAuwMoAFMARQBRAFUARQBOAEMARQAoACwAOQAwACwAXAAiAFwAIgAxAC8ANwAvADIAMAAyADYAXAAiAFwAIgApACwAIABcACIAXAAiADEALwA3AC8AMgAwADIANgBcACIAXAAiACwAIABcACIAXAAiADEAMAAvADkALwAyADAAMgA2AFwAIgBcACIALAAgAFwAIgBcACIATwBcACIAXAAiACkAKQApALYAXAAiACAAJgBcAG4AIAAgACAAIAAgACAAIAAgACAAIAAgACAAIAAgACAAIAAgACAAIAAgACAAIAAgACAAXAAiADEAMQAgACAAIAAgACAAIAAgACAAIAAgACAAIAAgAJIhPQBTAFUATQAoAE4AKABvAHoALgBJAHMATwBjAGMAdQByAHIAZQBuAGMAZQBEAGEAdABlALsDKABTAEUAUQBVAEUATgBDAEUAKAAsADkAMAAsAFwAIgBcACIAMQAvADcALwAyADAAMgA2AFwAIgBcACIAKQAsACAAXAAiAFwAIgAxAC8ANwAvADIAMAAyADYAXAAiAFwAIgAsACAAXAAiAFwAIgAxADAALwA5AC8AMgAwADIANgBcACIAXAAiACwAIABcACIAXAAiAFcAXAAiAFwAIgApACkAKQBcACIALAAgAFwAbgAgACAAIAAgACAAIAAgACAAIAAgACAAIAAgACAAIAAgACAAIAAgACAAIAAgACAAIABcACIAkiFcACIALAAgAFwAIgC2AFwAIgBcAG4AIAAgACAAIAAgACAAIAAgACAAIAAgACAAIAAgACAAIAAgACAAIAAgACAAIAAgACAAKQBcAG4AIAAgACAAIAAgACAAIAAgACAAIAAgACAAIAAgACAAIAAgACAAIAAgACkALABcAG4AIAAgACAAIAAvAC8AIAAgAE4AYQBtAGUAZAAgAGMAbwBuAHMAdABhAG4AdABzAFwAbgAgACAAIAAgACAAIAAgACAAUwBlAG0AaQBBAG4AbgB1AGEAbABsAHkALAAgACAAIAA2ACwAIAAgACAAIAAvAC8ATQBvAG4AdABoAHMAXABuACAAIAAgACAAIAAgACAAIABRAHUAYQByAHQAZQByAGwAeQAsACAAIAAgACAAIAAgADMALAAgACAAIAAgAC8ALwBNAG8AbgB0AGgAcwBcAG4AIAAgACAAIAAgACAAIAAgAEIAaQB3AGUAZQBrAGwAeQAsACAAIAAgACAAIAAgACAAMQA0ACwAIAAgACAALwAvAEQAYQB5AHMAXABuACAAIAAgACAAIAAgACAAIABXAGUAZQBrAGwAeQAsACAAIAAgACAAIAAgACAAIAAgADcALAAgACAAIAAgAC8ALwBEAGEAeQBzAFwAbgAgACAAIAAgACAAIAAgACAATQBvAG4AMgBTAHUAbgAsACAAIAAgACAAIAAgACAAIAAyACwAIAAgACAAIAAvAC8AVwBFAEUASwBEAEEAWQAoACkAIABUAHkAcABlACAAcABhAHIAYQBtAGUAdABlAHIAXABuACAAIAAgACAAIAAgACAAIABGAHIAaQBkAGEAeQAsACAAIAAgACAAIAAgACAAIAAgADUALAAgACAAIAAgAC8ALwBXAEUARQBLAEQAQQBZACgAKQAnAHMAIAB2AGEAbAB1AGUAIABmAG8AcgAgAEYAcgBpAGQAYQB5ACAAdwBoAGUAbgAgAHQAeQBwAGUAPQAgADIAXABuACAAIAAgACAALwAvACAAIABDAGgAZQBjAGsAIABpAG4AcAB1AHQAcwAgAC0AIABPAG0AaQB0AHQAZQBkACAAcgBlAHEAdQBpAHIAZQBkACAAYQByAGcAdQBtAGUAbgB0AHMAXABuACAAIAAgACAAIAAgACAAIABIAGUAbABwAD8ALAAgACAAIAAgACAAIAAgACAAIAAgAE8AUgAoACAASQBTAE8ATQBJAFQAVABFAEQAKAAgAEQAYQB0AGUAcwApACwAIABcAG4AIAAgACAAIAAgACAAIAAgACAAIAAgACAAIAAgACAAIAAgACAAIAAgACAAIAAgACAAIAAgACAAIABJAFMATwBNAEkAVABUAEUARAAoACAARgBpAHIAcwB0AE8AYwBjAHUAcgByAGUAbgBjAGU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EAGEAdABlAHMALAAgACAAIAAgACAAIAAgAEkARgAoACAASQBTAE8ATQBJAFQAVABFAEQAKAAgAEQAYQB0AGUAcwApACwAIABcAG4AIAAgACAAIAAgACAAIAAgACAAIAAgACAAIAAgACAAIAAgACAAIAAgACAAIAAgACAAIAAgACAAIABGAEEATABTAEUALABcAG4AIAAgACAAIAAgACAAIAAgACAAIAAgACAAIAAgACAAIAAgACAAIAAgACAAIAAgACAAIAAgACAAIABJAEYAKAAgAEkAUwBOAFUATQBCAEUAUgAoACAARABhAHQAZQBzACkALAAgAEQAYQB0AGUAcwAsACAARABBAFQARQBWAEEATABVAEUAKAAgAEQAYQB0AGUAcwApACkAXABuACAAIAAgACAAIAAgACAAIAAgACAAIAAgACAAIAAgACAAIAAgACAAIAAgACAAIAAgACkALABcAG4AIAAgACAAIAAgACAAIAAgAEMAdgB0AEYAaQByAHMAdABzACwAIAAgACAAIAAgACAASQBGACgAIABJAFMATwBNAEkAVABUAEUARAAoACAARgBpAHIAcwB0AE8AYwBjAHUAcgByAGUAbgBjAGUAKQAsACAAXABuACAAIAAgACAAIAAgACAAIAAgACAAIAAgACAAIAAgACAAIAAgACAAIAAgACAAIAAgACAAIAAgACAARgBBAEwAUwBFACwAIABcAG4AIAAgACAAIAAgACAAIAAgACAAIAAgACAAIAAgACAAIAAgACAAIAAgACAAIAAgACAAIAAgACAAIABJAEYAKAAgAEkAUwBOAFUATQBCAEUAUgAoACAARgBpAHIAcwB0AE8AYwBjAHUAcgByAGUAbgBjAGUAKQAsACAARgBpAHIAcwB0AE8AYwBjAHUAcgByAGUAbgBjAGUALAAgAEQAQQBUAEUAVgBBAEwAVQBFACgAIABGAGkAcgBzAHQATwBjAGMAdQByAHIAZQBuAGMAZQApACkAXABuACAAIAAgACAAIAAgACAAIAAgACAAIAAgACAAIAAgACAAIAAgACAAIAAgACAAIAAgACkALABcAG4AIAAgACAAIAAvAC8AIAAgAFIAbwB3ACAAYgB5ACAAcgBvAHcALAAgAHMAbwAgAGEAIABiAGwAYQBuAGsAIABvAHIAIABhACAAZABhAHQAZQAgAGkAbgAgAG8AbgBlACAAcgBvAHcAIABvAGYAIABhACAAdABhAGIAbABlACAAYwBvAGwAdQBtAG4AIABkAG8AZQBzACAAbgBvAHQAIABkAGUAYwBpAGQAZQAgAGgAbwB3AFwAbgAgACAAIAAgAC8ALwAgACAAZQB2AGUAcgB5ACAAcgBvAHcAIABpAHMAIAByAGUAYQBkAC4AIABBACAAYgBsAGEAbgBrACAAbABhAHMAdAAgAG8AYwBjAHUAcgByAGUAbgBjAGUAIABiAGUAYwBvAG0AZQBzACAAXAAiAFwAIgAsACAAdwBoAGkAYwBoACAAVABlAHMAdAAgAHIAZQBhAGQAcwAgAGEAcwAgAG4AbwBuAGUALgBcAG4AIAAgACAAIAAgACAAIAAgAEMAdgB0AEwAYQBzAHQAcwAsACAAIAAgACAAIAAgACAASQBGACgAIABJAFMATwBNAEkAVABUAEUARAAoACAATABhAHMAdABPAGMAYwB1AHIAcgBlAG4AYwBlACkALAAgAFwAbgAgACAAIAAgACAAIAAgACAAIAAgACAAIAAgACAAIAAgACAAIAAgACAAIAAgACAAIAAgACAAIAAgAEYAQQBMAFMARQAsACAAXABuACAAIAAgACAAIAAgACAAIAAgACAAIAAgACAAIAAgACAAIAAgACAAIAAgACAAIAAgACAAIAAgACAASQBGACgAIABUAFIASQBNACgAIABMAGEAcwB0AE8AYwBjAHUAcgByAGUAbgBjAGUAKQAgAD0AIABcACIAXAAiACwAIABcAG4AIAAgACAAIAAgACAAIAAgACAAIAAgACAAIAAgACAAIAAgACAAIAAgACAAIAAgACAAIAAgACAAIAAgACAAIAAgAFwAIgBcACIALAAgAFwAbgAgACAAIAAgACAAIAAgACAAIAAgACAAIAAgACAAIAAgACAAIAAgACAAIAAgACAAIAAgACAAIAAgACAAIAAgACAASQBGACgAIABJAFMATgBVAE0AQgBFAFIAKAAgAEwAYQBzAHQATwBjAGMAdQByAHIAZQBuAGMAZQApACwAIABMAGEAcwB0AE8AYwBjAHUAcgByAGUAbgBjAGUALAAgAEQAQQBUAEUAVgBBAEwAVQBFACgAIABMAGEAcwB0AE8AYwBjAHUAcgByAGUAbgBjAGUAKQApACkAXABuACAAIAAgACAAIAAgACAAIAAgACAAIAAgACAAIAAgACAAIAAgACAAIAAgACAAIAAgACkALABcAG4AIAAgACAAIAAgACAAIAAgAFIAZQBwAGUAYQB0AHMALAAgACAAIAAgACAAIAAgACAASQBGACgAIABJAFMATwBNAEkAVABUAEUARAAoACAAUgBlAHAAZQBhAHQAcwApACwAIABcACIATwBcACIALAAgAEkARgAoACAAVABSAEkATQAoACAAUgBlAHAAZQBhAHQAcwApACAAPQAgAFwAIgBcACIALAAgAFwAIgBPAFwAIgAsACAATABFAEYAVAAoACAAUgBlAHAAZQBhAHQAcwAsACAAMQApACkAKQAsAFwAbgAgACAAIAAgAC8ALwAgACAAUAByAG8AYwBlAGQAdQByAGUAXABuACAAIAAgACAALwAvACAAIABBACAAcwB0AGEAcgB0ACAAbwBuACAAdABoAGUAIAAyADkAdABoACwAIAAzADAAdABoACAAbwByACAAMwAxAHMAdAAgAGYAYQBsAGwAcwAgAG8AbgAgAHQAaABlACAAbABhAHMAdAAgAGQAYQB5ACAAbwBmACAAYQBuAHkAIABzAGgAbwByAHQAZQByACAAbQBvAG4AdABoAFwAbgAgACAAIAAgACAAIAAgACAATQBvAG4AdABoAEUAbgBkAHMALAAgACAAIAAgACAAIABEAEEAWQAoACAARQBPAE0ATwBOAFQASAAoACAAQwB2AHQARABhAHQAZQBzACwAIAAwACkAKQAsAFwAbgAgACAAIAAgACAAIAAgACAAUwBhAG0AZQBEAGEAeQAsACAAIAAgACAAIAAgACAAIABEAEEAWQAoACAAQwB2AHQARABhAHQAZQBzACkAIAA9ACAASQBGACgAIABEAEEAWQAoACAAQwB2AHQARgBpAHIAcwB0AHMAKQAgAD4AIABNAG8AbgB0AGgARQBuAGQAcwAsACAATQBvAG4AdABoAEUAbgBkAHMALAAgAEQAQQBZACgAIABDAHYAdABGAGkAcgBzAHQAcwApACkALABcAG4AIAAgACAAIAAgACAAIAAgAFMAYQBtAGUATQBvAG4AdABoACwAIAAgACAAIAAgACAATQBPAE4AVABIACgAIABDAHYAdABEAGEAdABlAHMAKQAgAD0AIABNAE8ATgBUAEgAKAAgAEMAdgB0AEYAaQByAHMAdABzACkALABcAG4AIAAgACAAIAAgACAAIAAgAFQAZQBzAHQALAAgACAAIAAgACAAIAAgACAAIAAgACAAKAAgAEMAdgB0AEYAaQByAHMAdABzACAAPAA9ACAAQwB2AHQARABhAHQAZQBzACkAIAAqACAAXABuACAAIAAgACAAIAAgACAAIAAgACAAIAAgACAAIAAgACAAIAAgACAAIAAgACAAIAAgAEkARgAoAFQAUgBJAE0AKAAgAEMAdgB0AEwAYQBzAHQAcwApACAAPQAgAFwAIgBcACIALAAgADEALAAgAEMAdgB0AEQAYQB0AGUAcwAgADwAPQAgAEMAdgB0AEwAYQBzAHQAcwApACAAKgBcAG4AIAAgACAAIAAgACAAIAAgACAAIAAgACAAIAAgACAAIAAgACAAIAAgACAAIAAgACAAUwBXAEkAVABDAEgAKABcAG4AIAAgACAAIAAgACAAIAAgACAAIAAgACAAIAAgACAAIAAgACAAIAAgACAAIAAgACAAIAAgACAAIABSAGUAcABlAGEAdABzACwAXABuACAAIAAgACAAIAAgACAAIAAgACAAIAAgACAAIAAgACAAIAAgACAAIAAgACAAIAAgACAAIAAgACAAXAAiAE8AXAAiACwAIAAgACAAIABDAHYAdABEAGEAdABlAHMAIAA9ACAAQwB2AHQARgBpAHIAcwB0AHMALABcAG4AIAAgACAAIAAgACAAIAAgACAAIAAgACAAIAAgACAAIAAgACAAIAAgACAAIAAgACAAIAAgACAAIABcACIAQQBcACIALAAgACAAIAAgAFMAYQBtAGUARABhAHkAIAAqACAAUwBhAG0AZQBNAG8AbgB0AGgALABcAG4AIAAgACAAIAAgACAAIAAgACAAIAAgACAAIAAgACAAIAAgACAAIAAgACAAIAAgACAAIAAgACAAIABcACIAUwBcACIALAAgACAAIAAgAFMAYQBtAGUARABhAHkAIAAqACAAXABuACAAIAAgACAAIAAgACAAIAAgACAAIAAgACAAIAAgACAAIAAgACAAIAAgACAAIAAgACAAIAAgACAAIAAgACAAIAAgACAAIAAgACAAIAAgACAAKABNAE8ARAAoACAATQBPAE4AVABIACgAIABDAHYAdABEAGEAdABlAHMAKQAsACAAUwBlAG0AaQBBAG4AbgB1AGEAbABsAHkAKQAgAD0AIABNAE8ARAAoACAATQBPAE4AVABIACgAIABDAHYAdABGAGkAcgBzAHQAcwApACwAIABTAGUAbQBpAEEAbgBuAHUAYQBsAGwAeQApACkALABcAG4AIAAgACAAIAAgACAAIAAgACAAIAAgACAAIAAgACAAIAAgACAAIAAgACAAIAAgACAAIAAgACAAIABcACIAUQBcACIALAAgACAAIAAgAFMAYQBtAGUARABhAHkAIAAqAFwAbgAgACAAIAAgACAAIAAgACAAIAAgACAAIAAgACAAIAAgACAAIAAgACAAIAAgACAAIAAgACAAIAAgACAAIAAgACAAIAAgACAAIAAgACAAIAAgACgATQBPAEQAKAAgAE0ATwBOAFQASAAoACAAQwB2AHQARABhAHQAZQBzACkALAAgAFEAdQBhAHIAdABlAHIAbAB5ACkAIAA9ACAATQBPAEQAKAAgAE0ATwBOAFQASAAoACAAQwB2AHQARgBpAHIAcwB0AHMAKQAsACAAUQB1AGEAcgB0AGUAcgBsAHkAKQApACwAXABuACAAIAAgACAAIAAgACAAIAAgACAAIAAgACAAIAAgACAAIAAgACAAIAAgACAAIAAgACAAIAAgACAAXAAiAE0AXAAiACwAIAAgACAAIABTAGEAbQBlAEQAYQB5ACwAXABuACAAIAAgACAAIAAgACAAIAAgACAAIAAgACAAIAAgACAAIAAgACAAIAAgACAAIAAgACAAIAAgACAAXAAiAEIAXAAiACwAIAAgACAAIABNAE8ARAAoACAAQwB2AHQARABhAHQAZQBzACwAIABCAGkAdwBlAGUAawBsAHkAKQAgAD0AIABNAE8ARAAoACAAQwB2AHQARgBpAHIAcwB0AHMALAAgAEIAaQB3AGUAZQBrAGwAeQApACwAXABuACAAIAAgACAAIAAgACAAIAAgACAAIAAgACAAIAAgACAAIAAgACAAIAAgACAAIAAgACAAIAAgACAAXAAiAFcAXAAiACwAIAAgACAAIABNAE8ARAAoACAAQwB2AHQARABhAHQAZQBzACwAIABXAGUAZQBrAGwAeQApACAAPQAgAE0ATwBEACgAIABDAHYAdABGAGkAcgBzAHQAcwAsACAAVwBlAGUAawBsAHkAKQAsAFwAbgAgACAAIAAgACAAIAAgACAAIAAgACAAIAAgACAAIAAgACAAIAAgACAAIAAgACAAIAAgACAAIAAgAFwAIgBYAFwAIgAsACAAIAAgACAAVwBFAEUASwBEAEEAWQAoACAAQwB2AHQARABhAHQAZQBzACwAIABNAG8AbgAyAFMAdQBuACkAIAA8AD0AIABGAHIAaQBkAGEAeQAsAFwAbgAgACAAIAAgACAAIAAgACAAIAAgACAAIAAgACAAIAAgACAAIAAgACAAIAAgACAAIAAgACAAIAAgAFwAIgBEAFwAIgAsACAAIAAgACAAVABSAFUARQAsAFwAbgAgACAAIAAgACAAIAAgACAAIAAgACAAIAAgACAAIAAgACAAIAAgACAAIAAgACAAIAAgACAAIAAgADAAXABuACAAIAAgACAAIAAgACAAIAAgACAAIAAgACAAIAAgACAAIAAgACAAIAAgACAAIAAgACkALABcAG4AIAAgACAAIAAgACAAIAAgAFIAZQBzAHUAbAB0ACwAIAAgACAAIAAgACAAIAAgACAAVABlAHMAdAAgAD0AIAAxACwAIAAgACAAIAAgACAAIAAgAFwAbgAgACAAIAAgAC8ALwAgACAAUgBlAHQAdQByAG4AIABSAGUAcwB1AGwAdABcAG4AIAAgACAAIAAgACAAIAAgAEMASABPAE8AUwBFACgAIABIAGUAbABwAD8AIAArACAAMQAsACAAUgBlAHMAdQBsAHQALAAgAEgAZQBsAHAAKQBcAG4AIAAgACAAIAApAFwAbgApADsAXABuAFwAbgBcAG4AXABuAFwAbgAvACoAIAAgAEYAVQBOAEMAVABJAE8ATgAgAE4AQQBNAEUAOgAgACAATwB2AGUAcgBMAGEAcABEAGEAeQBzALsDXABuACAAIAAgACAARABFAFMAQwBSAEkAUABUAEkATwBOADoAKgAvAC8AKgAqAFIAZQB0AHUAcgBuACAAaABvAHcAIABtAGEAbgB5ACAAZABhAHkAcwAgAG8AdgBlAHIAbABhAHAAIAB0AHcAbwAgAHAAZQByAGkAbwBkACAAcgBhAG4AZwBlAHMALgAgACoALwBcAG4ATwB2AGUAcgBMAGEAcABEAGEAeQBzALsDIAA9ACAATABBAE0AQgBEAEEAKABcAG4ALwAvACAAIABQAGEAcgBhAG0AZQB0AGUAcgAgAEQAZQBjAGwAYQByAGEAdABpAG8AbgBzAFwAbgAgACAAIAAgAFsAUABlAHIAaQBvAGQAMQBTAHQAYQByAHQAXQAsAFwAbgAgACAAIAAgAFsAUABlAHIAaQBvAGQAMQBFAG4AZABdACwAXABuACAAIAAgACAAWwBQAGUAcgBpAG8AZAAyAFMAdABhAHIAdABdACwAXABuACAAIAAgACAAWwBQAGUAcgBpAG8AZAAyAEUAbgBkAF0ALAAgACAAXABuAC8ALwAgACAASABlAGwAcABcAG4AIAAgACAAIABMAEUAVAAoAFwAbgAgACAAIAAgACAAIAAgACAASABlAGwAcAAsACAAIAAgACAAIAAgACAAVABSAEkATQAoAFQARQBYAFQAUwBQAEwASQBUACgAXABuACAAIAAgACAAIAAgACAAIAAgACAAIAAgACAAIAAgACAAIAAgACAAIAAgACAAIAAgAFwAIgBGAFUATgBDAFQASQBPAE4AOgAgACAAIAAgACAAIACSIU8AdgBlAHIATABhAHAARABhAHkAcwC7AygAUABlAHIAaQBvAGQAMQBTAHQAYQByAHQALAAgAFAAZQByAGkAbwBkADEARQBuAGQALAAgAFAAZQByAGkAbwBkADIAUwB0AGEAcgB0ACwAIABQAGUAcgBpAG8AZAAyAEUAbgBkACkAtgBcACIAIAAmAFwAbgAgACAAIAAgACAAIAAgACAAIAAgACAAIAAgACAAIAAgACAAIAAgACAAIAAgACAAIABcACIARABFAFMAQwBSAEkAUABUAEkATwBOADoAIAAgACAAkiFDAG8AdQBuAHQAIABkAGEAeQBzACAAcwBoAGEAcgBlAGQAIABiAGUAdAB3AGUAZQBuACAAdAB3AG8AIABzAGUAdABzACAAbwBmACAAcABlAHIAaQBvAGQAcwAuALYAXAAiACAAJgAgAFwAbgAgACAAIAAgACAAIAAgACAAIAAgACAAIAAgACAAIAAgACAAIAAgACAAIAAgACAAIABcACIAVwBFAEIAUwBJAFQARQA6ACAAIAAgACAAIAAgACAAkiFoAHQAdABwAHMAOgAvAC8AZwBpAHQAaAB1AGIALgBjAG8AbQAvAHIAeQBhAG4AZAB1AGcAdQBpAGQALwBPAHoAegBpAHQAtgBcACIAIAAmAFwAbgAgACAAIAAgACAAIAAgACAAIAAgACAAIAAgACAAIAAgACAAIAAgACAAIAAgACAAIABcACIAUABBAFIAQQBNAEUAVABFAFIAUwA6ACAAIAAgACAAkiG2AFwAIgAgACYAIABcAG4AIAAgACAAIAAgACAAIAAgACAAIAAgACAAIAAgACAAIAAgACAAIAAgACAAIAAgACAAXAAiAFAAZQByAGkAbwBkADEAUwB0AGEAcgB0ACAAIAAgAJIhKABSAGUAcQB1AGkAcgBlAGQAKQAgAEYAaQByAHMAdAAgAHAAZQByAGkAbwBkACcAcwAgAHMAdABhAHIAdAAgAGQAYQB0AGUALgC2AFwAIgAgACYAIABcAG4AIAAgACAAIAAgACAAIAAgACAAIAAgACAAIAAgACAAIAAgACAAIAAgACAAIAAgACAAXAAiAFAAZQByAGkAbwBkADEARQBuAGQAIAAgACAAIAAgAJIhKABSAGUAcQB1AGkAcgBlAGQAKQAgAEYAaQByAHMAdAAgAHAAZQByAGkAbwBkACcAcwAgAGUAbgBkACAAZABhAHQAZQAuALYAXAAiACAAJgAgAFwAbgAgACAAIAAgACAAIAAgACAAIAAgACAAIAAgACAAIAAgACAAIAAgACAAIAAgACAAIABcACIAUABlAHIAaQBvAGQAMgBTAHQAYQByAHQAIAAgACAAkiEoAFIAZQBxAHUAaQByAGUAZAApACAAUwBlAGMAbwBuAGQAIABwAGUAcgBpAG8AZAAnAHMAIABzAHQAYQByAHQAIABkAGEAdABlAC4AtgBcACIAIAAmACAAXABuACAAIAAgACAAIAAgACAAIAAgACAAIAAgACAAIAAgACAAIAAgACAAIAAgACAAIAAgAFwAIgBQAGUAcgBpAG8AZAAyAEUAbgBkACAAIAAgACAAIACSISgAUgBlAHEAdQBpAHIAZQBkACkAIABTAGUAYwBvAG4AZAAgAHAAZQByAGkAbwBkACcAcwAgAGUAbgBkACAAZABhAHQAZQAu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XAAiADUAIAAgACAAIAAgACAAIAAgACAAIAAgACAAIAAgAJIhPQBvAHoALgBPAHYAZQByAEwAYQBwAEQAYQB5AHMAuwMoADAAOAAsACAAMQA0ACwAIAAxADAALAAgADEANwApALYAXAAiACAAJgAgAFwAbgAgACAAIAAgACAAIAAgACAAIAAgACAAIAAgACAAIAAgACAAIAAgACAAIAAgACAAIABcACIAOAAgACAAIAAgACAAIAAgACAAIAAgACAAIAAgACAAkiE9AG8AegAuAE8AdgBlAHIATABhAHAARABhAHkAcwC7AygAMQAwACwAIAAyADAALAAgADEAMQAsACAAMQA4ACkAtgBcACIAIAAmACAAXABuACAAIAAgACAAIAAgACAAIAAgACAAIAAgACAAIAAgACAAIAAgACAAIAAgACAAIAAgAFwAIgAyACAAIAAgACAAIAAgACAAIAAgACAAIAAgACAAIACSIT0AbwB6AC4ATwB2AGUAcgBMAGEAcABEAGEAeQBzALsDKABcACIAXAAiADEANwAvADcALwAyADAAMgA2AFwAIgBcACIALAAgAFwAIgBcACIAMgA1AC8ANwAvADIAMAAyADYAXAAiAFwAIgAsACAAXAAiAFwAIgA3AC8ANwAvADIAMAAyADYAXAAiAFwAIgAsACAAXAAiAFwAIgAxADgALwA3AC8AMgAwADIANgBcACIAXAAiACkAXAAiACwAI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AAZQByAGkAbwBkADEAUwB0AGEAcgB0ACkALAAgAFwAbgAgACAAIAAgACAAIAAgACAAIAAgACAAIAAgACAAIAAgACAAIAAgACAAIAAgACAAIAAgACAAIAAgAEkAUwBPAE0ASQBUAFQARQBEACgAIABQAGUAcgBpAG8AZAAxAEUAbgBkACkALABcAG4AIAAgACAAIAAgACAAIAAgACAAIAAgACAAIAAgACAAIAAgACAAIAAgACAAIAAgACAAIAAgACAAIABJAFMATwBNAEkAVABUAEUARAAoACAAUABlAHIAaQBvAGQAMgBTAHQAYQByAHQAKQAsACAAXABuACAAIAAgACAAIAAgACAAIAAgACAAIAAgACAAIAAgACAAIAAgACAAIAAgACAAIAAgACAAIAAgACAASQBTAE8ATQBJAFQAVABFAEQAKAAgAFAAZQByAGkAbwBkADIARQBuAGQ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QADEAUwB0AGEAcgB0ACwAIAAgACAAIAAgAEkARgAoACAASQBTAE8ATQBJAFQAVABFAEQAKAAgAFAAZQByAGkAbwBkADEAUwB0AGEAcgB0ACkALAAgAFwAbgAgACAAIAAgACAAIAAgACAAIAAgACAAIAAgACAAIAAgACAAIAAgACAAIAAgACAAIAAgACAAIAAgAEYAQQBMAFMARQAsAFwAbgAgACAAIAAgACAAIAAgACAAIAAgACAAIAAgACAAIAAgACAAIAAgACAAIAAgACAAIAAgACAAIAAgAEkARgAoACAASQBTAE4AVQBNAEIARQBSACgAIABQAGUAcgBpAG8AZAAxAFMAdABhAHIAdAApACwAIABQAGUAcgBpAG8AZAAxAFMAdABhAHIAdAAsACAARABBAFQARQBWAEEATABVAEUAKAAgAFAAZQByAGkAbwBkADEAUwB0AGEAcgB0ACkAKQBcAG4AIAAgACAAIAAgACAAIAAgACAAIAAgACAAIAAgACAAIAAgACAAIAAgACAAIAAgACAAKQAsAFwAbgAgACAAIAAgACAAIAAgACAAQwB2AHQAUAAxAEUAbgBkACwAIAAgACAAIAAgAEkARgAoACAASQBTAE8ATQBJAFQAVABFAEQAKAAgAFAAZQByAGkAbwBkADEARQBuAGQAKQAsACAAXABuACAAIAAgACAAIAAgACAAIAAgACAAIAAgACAAIAAgACAAIAAgACAAIAAgACAAIAAgACAAIAAgACAARgBBAEwAUwBFACwAXABuACAAIAAgACAAIAAgACAAIAAgACAAIAAgACAAIAAgACAAIAAgACAAIAAgACAAIAAgACAAIAAgACAASQBGACgAIABJAFMATgBVAE0AQgBFAFIAKAAgAFAAZQByAGkAbwBkADEARQBuAGQAKQAsACAAUABlAHIAaQBvAGQAMQBFAG4AZAAsACAARABBAFQARQBWAEEATABVAEUAKAAgAFAAZQByAGkAbwBkADEARQBuAGQAKQApAFwAbgAgACAAIAAgACAAIAAgACAAIAAgACAAIAAgACAAIAAgACAAIAAgACAAIAAgACAAIAApACwAXABuACAAIAAgACAAIAAgACAAIABDAHYAdABQADIAUwB0AGEAcgB0ACwAIAAgACAAIAAgAEkARgAoACAASQBTAE8ATQBJAFQAVABFAEQAKAAgAFAAZQByAGkAbwBkADIAUwB0AGEAcgB0ACkALAAgAFwAbgAgACAAIAAgACAAIAAgACAAIAAgACAAIAAgACAAIAAgACAAIAAgACAAIAAgACAAIAAgACAAIAAgAEYAQQBMAFMARQAsAFwAbgAgACAAIAAgACAAIAAgACAAIAAgACAAIAAgACAAIAAgACAAIAAgACAAIAAgACAAIAAgACAAIAAgAEkARgAoACAASQBTAE4AVQBNAEIARQBSACgAIABQAGUAcgBpAG8AZAAyAFMAdABhAHIAdAApACwAIABQAGUAcgBpAG8AZAAyAFMAdABhAHIAdAAsACAARABBAFQARQBWAEEATABVAEUAKAAgAFAAZQByAGkAbwBkADIAUwB0AGEAcgB0ACkAKQBcAG4AIAAgACAAIAAgACAAIAAgACAAIAAgACAAIAAgACAAIAAgACAAIAAgACAAIAAgACAAKQAsAFwAbgAgACAAIAAgACAAIAAgACAAQwB2AHQAUAAyAEUAbgBkACwAIAAgACAAIAAgAEkARgAoACAASQBTAE8ATQBJAFQAVABFAEQAKAAgAFAAZQByAGkAbwBkADIARQBuAGQAKQAsACAAXABuACAAIAAgACAAIAAgACAAIAAgACAAIAAgACAAIAAgACAAIAAgACAAIAAgACAAIAAgACAAIAAgACAARgBBAEwAUwBFACwAXABuACAAIAAgACAAIAAgACAAIAAgACAAIAAgACAAIAAgACAAIAAgACAAIAAgACAAIAAgACAAIAAgACAASQBGACgAIABJAFMATgBVAE0AQgBFAFIAKAAgAFAAZQByAGkAbwBkADIARQBuAGQAKQAsACAAUABlAHIAaQBvAGQAMgBFAG4AZAAsACAARABBAFQARQBWAEEATABVAEUAKAAgAFAAZQByAGkAbwBkADIARQBuAGQAKQApAFwAbgAgACAAIAAgACAAIAAgACAAIAAgACAAIAAgACAAIAAgACAAIAAgACAAIAAgACAAIAApACwAXABuACAAIAAgACAALwAvACAAIABQAHIAbwBjAGUAZAB1AHIAZQBcAG4AIAAgACAAIAAgACAAIAAgAE0AaQBuAE8AZgBFAG4AZAAsACAAIAAgAEkARgAoAEMAdgB0AFAAMgBFAG4AZAAgADwAPQAgAEMAdgB0AFAAMQBFAG4AZAAsACAAQwB2AHQAUAAyAEUAbgBkACwAIABDAHYAdABQADEARQBuAGQAKQAsAFwAbgAgACAAIAAgACAAIAAgACAATQBhAHgATwBmAFMAdABhAHIAdAAsACAASQBGACgAQwB2AHQAUAAyAFMAdABhAHIAdAAgAD4APQAgAEMAdgB0AFAAMQBTAHQAYQByAHQALAAgAEMAdgB0AFAAMgBTAHQAYQByAHQALAAgAEMAdgB0AFAAMQBTAHQAYQByAHQAKQAsAFwAbgAgACAAIAAgACAAIAAgACAARABhAHkAcwAsACAAIAAgACAAIAAgACAATQBpAG4ATwBmAEUAbgBkACAALQAgAE0AYQB4AE8AZgBTAHQAYQByAHQAIAArACAAMQAsAFwAbgAgACAAIAAgACAAIAAgACAAUgBlAHMAdQBsAHQALAAgACAAIAAgACAASQBGACgARABhAHkAcwAgAD4AIAAwACwAIABEAGEAeQBzACwAIAAw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UABlAHIAaQBvAGQATABhAGIAZQBsALsDXABuACAAIAAgACAARABFAFMAQwBSAEkAUABUAEkATwBOADoAKgAvAC8AKgAqAEMAcgBlAGEAdABlAHMAIABhACAAbABhAGIAZQBsACAAZgBvAHIAIABhACAAZABhAHQAZQAgAGIAYQBzAGUAZAAgAG8AbgAgAHAAZQByAGkAbwBkACAAaQBuAHQAZQByAHYAYQBsACoALwBcAG4AUABlAHIAaQBvAGQATABhAGIAZQBsALsDIAA9ACAATABBAE0AQgBEAEEAKABcAG4ALwAvACAAIABQAGEAcgBhAG0AZQB0AGUAcgAgAEQAZQBjAGwAYQByAGEAdABpAG8AbgBzAFwAbgAgACAAIAAgAFsARABhAHQAZQBdACwAXABuACAAIAAgACAAWwBJAG4AdABlAHIAdgBhAGwAXQAsAFwAbgAgACAAIAAgAEwARQBUACgAXABuAC8ALwAgACAASABlAGwAcABcAG4AIAAgACAAIAAgACAAIAAgAEgAZQBsAHAALAAgACAAIAAgACAAIAAgAFQAUgBJAE0AKABUAEUAWABUAFMAUABMAEkAVAAoACAAXABuACAAIAAgACAAIAAgACAAIAAgACAAIAAgACAAIAAgACAAIAAgACAAIAAgACAAIAAgAFwAIgBGAFUATgBDAFQASQBPAE4AOgAgACAAIAAgACAAIACSIVAAZQByAGkAbwBkAEwAYQBiAGUAbAC7AygARABhAHQAZQAsACAAWwBJAG4AdABlAHIAdgBhAGwAXQApALYAXAAiACAAJgBcAG4AIAAgACAAIAAgACAAIAAgACAAIAAgACAAIAAgACAAIAAgACAAIAAgACAAIAAgACAAXAAiAEQARQBTAEMAUgBJAFAAVABJAE8ATgA6ACAAIAAgAJIhQwByAGUAYQB0AGUAcwAgAGEAIABsAGEAYgBlAGwAIABmAG8AcgAgAGEAIABkAGEAdABlACAAYgBhAHMAZQBkACAAbwBuACAAcABlAHIAaQBvAGQAIABpAG4AdABlAHIAdgBhAGwAtgBcACIAIAAmACAAXABu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XAAiAFAAQQBSAEEATQBFAFQARQBSAFMAOgAgACAAIAAgAJIhtgBcACIAIAAmACAAXABuACAAIAAgACAAIAAgACAAIAAgACAAIAAgACAAIAAgACAAIAAgACAAIAAgACAAIAAgAFwAIgBEAGEAdABlACAAIAAgACAAIAAgACAAIAAgACAAIACSISgAUgBlAHEAdQBpAHIAZQBkACkAIABBACAAcwBpAG4AZwBsAGUAIABkAGEAdABlACAAbwByACAAYQByAHIAYQB5ACAAbwBmACAAZABhAHQAZQAoAHMAKQAgAHcAaABlAHIAZQAgAHQAaABlACAAZgBpAHIAcwB0ACAAZABhAHQAZQAgAGkAcwAgAHQAaABlACAAZgBpAHIAcwB0ACAAZABhAHQAZQAgAG8AZgAgAGEAIABjAGEAbABlAG4AZABhAHIAIAB5AGUAYQByAC4AtgBcACIAIAAmACAAXABuACAAIAAgACAAIAAgACAAIAAgACAAIAAgACAAIAAgACAAIAAgACAAIAAgACAAIAAgAFwAIgBJAG4AdABlAHIAdgBhAGwAIAAgACAAIAAgACAAIACSISgATwBwAHQAaQBvAG4AYQBsACkAIABNAHUAcwB0ACAAYgBlACAAbwBuAGUAIABvAGYAOgAgALYAXAAiACAAJgAgAFwAbgAgACAAIAAgACAAIAAgACAAIAAgACAAIAAgACAAIAAgACAAIAAgACAAIAAgACAAIAAgACAAIAAgACAAIAAgACAAIAAgACAAIAAgACAAIABcACIAkiFEAD0ARABhAGkAbAB5ALYAXAAiACAAJgAgAFwAbgAgACAAIAAgACAAIAAgACAAIAAgACAAIAAgACAAIAAgACAAIAAgACAAIAAgACAAIAAgACAAIAAgACAAIAAgACAAIAAgACAAIAAgACAAIABcACIAkiFXAD0AVwBlAGUAawBsAHkAtgBcACIAIAAmACAAXABuACAAIAAgACAAIAAgACAAIAAgACAAIAAgACAAIAAgACAAIAAgACAAIAAgACAAIAAgACAAIAAgACAAIAAgACAAIAAgACAAIAAgACAAIAAgAFwAIgCSIUkAPQBXAGUAZQBrAGwAeQAgACgAdQBzAGkAbgBnACAASQBTAE8AIAB3AGUAZQBrACAAbgB1AG0AYgBlAHIAKQC2AFwAIgAgACYAIABcAG4AIAAgACAAIAAgACAAIAAgACAAIAAgACAAIAAgACAAIAAgACAAIAAgACAAIAAgACAAIAAgACAAIAAgACAAIAAgACAAIAAgACAAIAAgACAAXAAiAJIhTQA9AE0AbwBuAHQAaABsAHkAtgBcACIAIAAmACAAXABuACAAIAAgACAAIAAgACAAIAAgACAAIAAgACAAIAAgACAAIAAgACAAIAAgACAAIAAgACAAIAAgACAAIAAgACAAIAAgACAAIAAgACAAIAAgAFwAIgCSIVEAPQBRAHUAYQByAHQAZQByAGwAeQC2AFwAIgAgACYAIABcAG4AIAAgACAAIAAgACAAIAAgACAAIAAgACAAIAAgACAAIAAgACAAIAAgACAAIAAgACAAIAAgACAAIAAgACAAIAAgACAAIAAgACAAIAAgACAAXAAiAJIhUwA9AFMAZQBtAGkALQBBAG4AbgB1AGEAbABsAHkAtgBcACIAIAAmACAAXABuACAAIAAgACAAIAAgACAAIAAgACAAIAAgACAAIAAgACAAIAAgACAAIAAgACAAIAAgACAAIAAgACAAIAAgACAAIAAgACAAIAAgACAAIAAgAFwAIgCSIUEAIABvAHIAIABZAD0AQQBuAG4AdQBhAGwAbAB5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XAAiADIAMAAyADYALQBBAHUAZwAtADIANgAgACAAIAAgAJIhPQBvAHoALgBQAGUAcgBpAG8AZABMAGEAYgBlAGwAuwMoAEQAQQBUAEUAVgBBAEwAVQBFACgAXAAiAFwAIgAyADYALwA4AC8AMgAwADIANgBcACIAXAAiACkALAAgAFwAIgBcACIARABcACIAXAAiACkAtgBcACIAIAAmAFwAbgAgACAAIAAgACAAIAAgACAAIAAgACAAIAAgACAAIAAgACAAIAAgACAAIAAgACAAIABcACIAMgAwADIANgAtAEEAdQBnACAAIAAgACAAIAAgACAAkiE9AG8AegAuAFAAZQByAGkAbwBkAEwAYQBiAGUAbAC7AygARABBAFQARQBWAEEATABVAEUAKABcACIAXAAiADIANgAvADgALwAyADAAMgA2AFwAIgBcACIAKQAsACAAXAAiAFwAIgBNAFwAIgBcACIAKQC2AFwAIgAgACYAIABcAG4AIAAgACAAIAAgACAAIAAgACAAIAAgACAAIAAgACAAIAAgACAAIAAgACAAIAAgACAAXAAiADIAMAAyADYAOgBRADMAIAAgACAAIAAgACAAIACSIT0AbwB6AC4AUABlAHIAaQBvAGQATABhAGIAZQBsALsDKABEAEEAVABFAFYAQQBMAFUARQAoAFwAIgBcACIAMgA2AC8AOAAvADIAMAAyADYAXAAiAFwAIgApACwAIABcACIAXAAiAFEAXAAiAFwAIgApALYAXAAiACAAJgAgAFwAbgAgACAAIAAgACAAIAAgACAAIAAgACAAIAAgACAAIAAgACAAIAAgACAAIAAgACAAIABcACIAMgAwADIANgAgACAAIAAgACAAIAAgACAAIAAgACAAkiE9AG8AegAuAFAAZQByAGkAbwBkAEwAYQBiAGUAbAC7AygARABBAFQARQBWAEEATABVAEUAKABcACIAXAAiADIANgAvADgALwAyADAAMgA2AFwAIgBcACIAKQAsACAAXAAiAFwAIgBZAFwAIgBcACIAKQBcACIALAAgAFwAbgAgACAAIAAgACAAIAAgACAAIAAgACAAIAAgACAAIAAgACAAIAAgACAAIAAgACAAIABcACIAkiFcACIALAAgAFwAIgC2AFwAIgBcAG4AIAAgACAAIAAgACAAIAAgACAAIAAgACAAIAAgACAAIAAgACAAIAAgACAAIAAgACAAKQBcAG4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QAYQB0AGU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EAGEAdABlACwAIAAgACAAIAAgACAAIAAgAEkARgAoACAASQBTAE8ATQBJAFQAVABFAEQAKAAgAEQAYQB0AGUAKQAsACAAXABuACAAIAAgACAAIAAgACAAIAAgACAAIAAgACAAIAAgACAAIAAgACAAIAAgACAAIAAgACAAIAAgACAARgBBAEwAUwBFACwAXABuACAAIAAgACAAIAAgACAAIAAgACAAIAAgACAAIAAgACAAIAAgACAAIAAgACAAIAAgACAAIAAgACAASQBGACgAIABJAFMATgBVAE0AQgBFAFIAKAAgAEQAYQB0AGUAKQAsACAARABhAHQAZQAsACAARABBAFQARQBWAEEATABVAEUAKAAgAEQAYQB0AGUAKQApAFwAbgAgACAAIAAgACAAIAAgACAAIAAgACAAIAAgACAAIAAgACAAIAAgACAAIAAgACAAIAApACwAXABuACAAIAAgACAAIAAgACAAIABJAG4AdABlAHIAdgBhAGwALAAgACAAIAAgACAAIAAgACAAIABJAEYAKAAgAEkAUwBPAE0ASQBUAFQARQBEACgAIABJAG4AdABlAHIAdgBhAGwAKQAsACAAXAAiAE0AXAAiACwAIABJAG4AdABlAHIAdgBhAGwAKQAsAFwAbgAgACAAIAAgAC8ALwAgACAAUAByAG8AYwBlAGQAdQByAGUAXABuACAAIAAgACAAIAAgACAAIABSAGUAcwB1AGwAdAAsACAAIAAgACAAIABTAFcASQBUAEMASAAoAEkAbgB0AGUAcgB2AGEAbAAsAFwAbgAgACAAIAAgACAAIAAgACAAIAAgACAAIAAgACAAIAAgACAAIAAgACAAIAAgACAAIABcACIARABcACIALAAgAFQARQBYAFQAKABDAHYAdABEAGEAdABlACwAIABcACIAeQB5AHkAeQAtAG0AbQBtAC0AZABkAFwAIgApACwAXABuACAAIAAgACAAIAAgACAAIAAgACAAIAAgACAAIAAgACAAIAAgACAAIAAgACAAIAAgAFwAIgBXAFwAIgAsACAAWQBFAEEAUgAoAEMAdgB0AEQAYQB0AGUAKQAgACYAIABcACIAOgBXAFwAIgAgACYAIABUAEUAWABUACgAUQBVAE8AVABJAEUATgBUACgAQwB2AHQARABhAHQAZQAgAC0AIABEAEEAVABFACgAWQBFAEEAUgAoAEMAdgB0AEQAYQB0AGUAKQAsACAAMQAsACAAMAApACAALQAgADEALAAgADcAKQAgACsAIAAxACwAIABcACIAMAAwAFwAIgApACwAXABuACAAIAAgACAAIAAgACAAIAAgACAAIAAgACAAIAAgACAAIAAgACAAIAAvAC8AIAAgAFQAaABlACAASQBTAE8AIAB5AGUAYQByACAAaQBzACAAdABoAGUAIAB5AGUAYQByACAAbwBmACAAdABoAGUAIAB3AGUAZQBrACcAcwAgAFQAaAB1AHIAcwBkAGEAeQAsACAAbgBvAHQAIAB0AGgAZQAgAGMAYQBsAGUAbgBkAGEAcgAgAHkAZQBhAHIAXABuACAAIAAgACAAIAAgACAAIAAgACAAIAAgACAAIAAgACAAIAAgACAAIAAgACAAIAAgAFwAIgBJAFwAIgAsACAAWQBFAEEAUgAoAEMAdgB0AEQAYQB0AGUAIAArACAANAAgAC0AIABXAEUARQBLAEQAQQBZACgAQwB2AHQARABhAHQAZQAsACAAMgApACkAIAAmACAAXAAiADoAVwBcACIAIAAmACAAVABFAFgAVAAoAEkAUwBPAFcARQBFAEsATgBVAE0AKABDAHYAdABEAGEAdABlACkALAAgAFwAIgAwADAAXAAiACkALABcAG4AIAAgACAAIAAgACAAIAAgACAAIAAgACAAIAAgACAAIAAgACAAIAAgACAAIAAgACAAXAAiAE0AXAAiACwAIABUAEUAWABUACgAQwB2AHQARABhAHQAZQAsACAAXAAiAFkAWQBZAFkALQBNAE0ATQBcACIAKQAsAFwAbgAgACAAIAAgACAAIAAgACAAIAAgACAAIAAgACAAIAAgACAAIAAgACAAIAAgACAAIABcACIAUQBcACIALAAgAFkARQBBAFIAKABDAHYAdABEAGEAdABlACkAIAAmACAAXAAiADoAUQBcACIAIAAmACAAUQBVAE8AVABJAEUATgBUACgATQBPAE4AVABIACgAQwB2AHQARABhAHQAZQApACAALQAgADEALAAgADMAKQAgACsAIAAxACwAXABuACAAIAAgACAAIAAgACAAIAAgACAAIAAgACAAIAAgACAAIAAgACAAIAAgACAAIAAgAFwAIgBTAFwAIgAsACAAWQBFAEEAUgAoAEMAdgB0AEQAYQB0AGUAKQAgACYAIABcACIAOgBTAFwAIgAgACYAIABRAFUATwBUAEkARQBOAFQAKABNAE8ATgBUAEgAKABDAHYAdABEAGEAdABlACkAIAAtACAAMQAsACAANgApACAAKwAgADEALABcAG4AIAAgACAAIAAgACAAIAAgACAAIAAgACAAIAAgACAAIAAgACAAIAAgACAAIAAgACAAXAAiAEEAXAAiACwAIABUAEUAWABUACgAQwB2AHQARABhAHQAZQAsACAAXAAiAFkAWQBZAFkAXAAiACkALABcAG4AIAAgACAAIAAgACAAIAAgACAAIAAgACAAIAAgACAAIAAgACAAIAAgACAAIAAgACAAXAAiAFkAXAAiACwAIABUAEUAWABUACgAQwB2AHQARABhAHQAZQAsACAAXAAiAFkAWQBZAFkAXAAiACkALAAgACAAIAAgACAAIAAgACAAIAAgACAAIAAgACAAIAAgACAAIAAgACAAIAAgACAAIAAgACAAIAAgAFwAbgAgACAAIAAgACAAIAAgACAAIAAgACAAIAAgACAAIAAgACAAIAAgACAAIAAgACAAIAAjAFYAYQBsAHUAZQAhAFwAbgAgACAAIAAgACAAIAAgACAAIAAgACAAIAAgACAAIAAgACAAIAAgACAAKQAsACAAIAAgACAAIAAgACAAIABcAG4AIAAgACAAIAAvAC8AIAAgAFIAZQB0AHUAcgBuACAAUgBlAHMAdQBsAHQAXABuACAAIAAgACAAIAAgACAAIABDAEgATwBPAFMARQAoACAASABlAGwAcAA/ACAAKwAgADEALAAgAFIAZQBzAHUAbAB0ACwAIABIAGUAbABwACkAXABuACAAIAAgACAAKQBcAG4AKQA7AFwAbgBcAG4AXABuAFwAbgAvACoAIAAgAEYAVQBOAEMAVABJAE8ATgAgAE4AQQBNAEUAOgAgACAAUABlAHIAaQBvAGQAcwC7A1wAbgAgACAAIAAgAEQARQBTAEMAUgBJAFAAVABJAE8ATgA6ACoALwAvACoAKgBEAGUAdABlAHIAbQBpAG4AZQAgAHQAaABlACAAbgB1AG0AYgBlAHIAIABvAGYAIABwAGUAcgBpAG8AZABzACAAZgByAG8AbQAgAFMAdABhAHIAdABzACAAdABvACAARABhAHQAZQAyACAAaQBuACAARABhAHkAcwAsACAAVwBlAGUAawBzACwAIABNAG8AbgB0AGgAcwAsACAAUQB1AGEAcgB0AGUAcgBzACwAIABvAHIAIABZAGUAYQByAHMALgAqAC8AXABuAFAAZQByAGkAbwBkAHMAuwMgAD0AIABMAEEATQBCAEQAQQAoAFwAbgAvAC8AIAAgAFAAYQByAGEAbQBlAHQAZQByACAARABlAGMAbABhAHIAYQB0AGkAbwBuAHMAXABuACAAIAAgACAAWwBTAHQAYQByAHQAcwBdACwAXABuACAAIAAgACAAWwBFAG4AZABzAF0ALABcAG4AIAAgACAAIABbAEkAbgB0AGUAcgB2AGEAbABzAF0ALABcAG4AIAAgACAAIABMAEUAVAAoAFwAbgAvAC8AIAAgAEgAZQBsAHAAXABuACAAIAAgACAAIAAgACAAIABIAGUAbABwACwAIAAgACAAIAAgACAAIABUAFIASQBNACgAVABFAFgAVABTAFAATABJAFQAKAAgAFwAbgAgACAAIAAgACAAIAAgACAAIAAgACAAIAAgACAAIAAgACAAIAAgACAAIAAgACAAIABcACIARgBVAE4AQwBUAEkATwBOADoAIAAgACAAIAAgACAAkiFQAGUAcgBpAG8AZABzALsDKABTAHQAYQByAHQAcwAsACAARQBuAGQAcwAsACAAWwBJAG4AdABlAHIAdgBhAGwAcwBdACkAtgBcACIAIAAmAFwAbgAgACAAIAAgACAAIAAgACAAIAAgACAAIAAgACAAIAAgACAAIAAgACAAIAAgACAAIABcACIARABFAFMAQwBSAEkAUABUAEkATwBOADoAIAAgACAAkiFEAGUAdABlAHIAbQBpAG4AZQAgAHQAaABlACAAbgB1AG0AYgBlAHIAIABvAGYAIABwAGUAcgBpAG8AZABzACAAZgByAG8AbQAgAFMAdABhAHIAdABzACAAdABvACAARQBuAGQAcwAgAGkAbgBjAGwAdQBzAGkAdgBlAC4AtgBcACIAIAAmAFwAbgAgACAAIAAgACAAIAAgACAAIAAgACAAIAAgACAAIAAgACAAIAAgACAAIAAgACAAIAAgACAAIAAgACAAIAAgACAAIAAgACAAIAAgACAAIABcACIAkiFEAGkAZgBmAGUAcgBlAG4AYwBlAHMAIAB0AG8AIABFAHgAYwBlAGwAJwBzACAARABBAFQARQBEAEkARgAgAGEAcgBlADoAtgBcACIAIAAmACAAXABuACAAIAAgACAAIAAgACAAIAAgACAAIAAgACAAIAAgACAAIAAgACAAIAAgACAAIAAgACAAIAAgACAAIAAgACAAIAAgACAAIAAgACAAIAAgAFwAIgCSISoAIABJAG4AdABlAHIAdgBhAGwAIABpAG4AYwBsAHUAZABlAHMAIABXAGUAZQBrAHMAIAAmACAAUQB1AGEAcgB0AGUAcgBzALYAXAAiACAAJgAgAFwAbgAgACAAIAAgACAAIAAgACAAIAAgACAAIAAgACAAIAAgACAAIAAgACAAIAAgACAAIAAgACAAIAAgACAAIAAgACAAIAAgACAAIAAgACAAIABcACIAkiEqACAAQwBvAHUAbgB0AHMAIAB0AGgAZQAgAHAAZQByAGkAbwBkACAAcwB0AGEAcgB0AHMAIABjAHIAbwBzAHMAZQBkACwAIABzAG8AIABhACAAcABhAHIAdAAgAHAAZQByAGkAbwBkACAAYQB0ACAAdABoAGUAIABlAG4AZAAgAGMAbwB1AG4AdABzALYAXAAiACAAJgAgAFwAbgAgACAAIAAgACAAIAAgACAAIAAgACAAIAAgACAAIAAgACAAIAAgACAAIAAgACAAIAAgACAAIAAgACAAIAAgACAAIAAgACAAIAAgACAAIABcACIAkiEqACAAUgBlAHQAdQByAG4AcwAgAG4AZQBnAGEAdABpAHYAZQAgAHYAYQBsAHUAZQBzACAAaQBmACAAUwB0AGEAcgB0AHMAIABpAHMAIABhAGYAdABlAHIAIABFAG4AZABzALYAXAAiACAAJgAgAFwAbg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BcACIAUABBAFIAQQBNAEUAVABFAFIAUwA6ACAAIAAgACAAkiG2AFwAIgAgACYAXABuACAAIAAgACAAIAAgACAAIAAgACAAIAAgACAAIAAgACAAIAAgACAAIAAgACAAIAAgAFwAIgBTAHQAYQByAHQAcwAgACAAIAAgACAAIAAgACAAIACSISgAUgBlAHEAdQBpAHIAZQBkACkAIABGAGkAcgBzAHQAIABkAGEAdABlACAAKABuAG8AcgBtAGEAbABsAHkAIABvAGwAZABlAHIAKQAuACAAQQAgAHMAaQBuAGcAbABlACAAZABhAHQAZQAgAG8AcgAgAGEAbgAgAGEAcgByAGEAeQAgAG8AZgAgAGQAYQB0AGUAcwAuALYAXAAiACAAJgBcAG4AIAAgACAAIAAgACAAIAAgACAAIAAgACAAIAAgACAAIAAgACAAIAAgACAAIAAgACAAXAAiAEUAbgBkAHMAIAAgACAAIAAgACAAIAAgACAAIAAgAJIhKABSAGUAcQB1AGkAcgBlAGQAKQAgAFMAZQBjAG8AbgBkACAAZABhAHQAZQAgACgAbgBvAHIAbQBhAGwAbAB5ACAAbgBlAHcAZQByACkALgAgAEEAIABzAGkAbgBnAGwAZQAgAGQAYQB0AGUAIABvAHIAIABhAG4AIABhAHIAcgBhAHkAIAB0AGgAZQAgAHMAYQBtAGUAIABzAGgAYQBwAGUAIABhAHMAIABTAHQAYQByAHQAcwAuALYAXAAiACAAJgBcAG4AIAAgACAAIAAgACAAIAAgACAAIAAgACAAIAAgACAAIAAgACAAIAAgACAAIAAgACAAIAAgACAAIAAgACAAIAAgACAAIAAgACAAIAAgACAAXAAiAJIhQQAgAHMAaQBuAGcAbABlACAAUwB0AGEAcgB0AHMAIABvAHIAIABFAG4AZABzACAAaQBzACAAYQBwAHAAbABpAGUAZAAgAHQAbwAgAGUAdgBlAHIAeQAgAGQAYQB0AGUAIABpAG4AIAB0AGgAZQAgAG8AdABoAGUAcgAuALYAXAAiACAAJgBcAG4AIAAgACAAIAAgACAAIAAgACAAIAAgACAAIAAgACAAIAAgACAAIAAgACAAIAAgACAAXAAiAEkAbgB0AGUAcgB2AGEAbABzACAAIAAgACAAIAAgAJIhKABPAHAAdABpAG8AbgBhAGwAKQAgAEQAYQB5AHMALAAgAFcAZQBlAGsAcwAsACAATQBvAG4AdABoAHMAIAAoAGQAZQBmAGEAdQBsAHQAKQAsACAAUQB1AGEAcgB0AGUAcgBzACwAIABvAHIAIABZAGUAYQByAHMAIAAoAEQALAAgAFcALAAgAE0ALAAgAFEALAAgAFkAKQAuALYAXAAiACAAJgBcAG4AIAAgACAAIAAgACAAIAAgACAAIAAgACAAIAAgACAAIAAgACAAIAAgACAAIAAgACAAIAAgACAAIAAgACAAIAAgACAAIAAgACAAIAAgACAAXAAiAJIhTwBuAGUAIABjAG8AZABlACwAIABvAHIAIABhAG4AIABhAHIAcgBhAHkAIABvAGYAIABjAG8AZABlAHMAIAB0AGgAZQAgAHMAYQBtAGUAIABzAGgAYQBwAGUAIABhAHMAIAB0AGgAZQAgAGQAYQB0AGUAcwAuALYAXAAiACAAJgBcAG4AIAAgACAAIAAgACAAIAAgACAAIAAgACAAIAAgACAAIAAgACAAIAAgACAAIAAgACAAXAAiAEUAWABBAE0AUABMAEUAUwA6ACAAIAAgACAAIAAgAJIhtgBcACIAIAAmACA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FwAIgAyACAAIAAgACAAIAAgACAAIAAgACAAIAAgACAAIACSIT0AbwB6AC4AUABlAHIAaQBvAGQAcwC7AygAXAAiAFwAIgAzADEALwA3AC8AMgAwADIANgBcACIAXAAiACwAIABcACIAXAAiADEANQAvADkALwAyADAAMgA2AFwAIgBcACIAKQC2AFwAIgAgACYAXABuACAAIAAgACAAIAAgACAAIAAgACAAIAAgACAAIAAgACAAIAAgACAAIAAgACAAIAAgAFwAIgAtADIAIAAgACAAIAAgACAAIAAgACAAIAAgACAAIACSIT0AbwB6AC4AUABlAHIAaQBvAGQAcwC7AygAXAAiAFwAIgAxADUALwA5AC8AMgAwADIANgBcACIAXAAiACwAIABcACIAXAAiADMAMQAvADcALwAyADAAMgA2AFwAIgBcACIAKQC2AFwAIgAgACYAXABuACAAIAAgACAAIAAgACAAIAAgACAAIAAgACAAIAAgACAAIAAgACAAIAAgACAAIAAgAFwAIgAtADEAMgAgACAAIAAgACAAIAAgACAAIAAgACAAIACSIT0AbwB6AC4AUABlAHIAaQBvAGQAcwC7AygAXAAiAFwAIgAxADUALwA3AC8AMgAwADIANwBcACIAXAAiACwAIABcACIAXAAiADEANgAvADcALwAyADAAMgA2AFwAIgBcACIAKQC2AFwAIgAgACYAXABuACAAIAAgACAAIAAgACAAIAAgACAAIAAgACAAIAAgACAAIAAgACAAIAAgACAAIAAgAFwAIgAtADUAMgAgACAAIAAgACAAIAAgACAAIAAgACAAIACSIT0AbwB6AC4AUABlAHIAaQBvAGQAcwC7AygAXAAiAFwAIgAxADUALwA3AC8AMgAwADIANwBcACIAXAAiACwAIABcACIAXAAiADEANgAvADcALwAyADAAMgA2AFwAIgBcACIALAAgAFwAIgBcACIAVwBcACIAXAAiACkAXAAiACwAXABuACAAIAAgACAAIAAgACAAIAAgACAAIAAgACAAIAAgACAAIAAgACAAIAAgACAAIAAgAFwAIgCSIVwAIgAsACAAXAAiALYAXAAiAFwAbgAgACAAIAAgACAAIAAgACAAIAAgACAAIAAgACAAIAAgACAAIAAgACAAKQBcAG4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MAdABhAHIAdABzACkALABcAG4AIAAgACAAIAAgACAAIAAgACAAIAAgACAAIAAgACAAIAAgACAAIAAgACAAIAAgACAAIAAgACAAIABJAFMATwBNAEkAVABUAEUARAAoACAARQBuAGQAcwApAFwAbgAgACAAIAAgACAAIAAgACAAIAAgACAAIAAgACAAIAAgACAAIAAgACAAIAAgACAAIAApACwAXABuACAAIAAgACAALwAvACAAIABDAGgAZQBjAGsAIABpAG4AcAB1AHQAcwAgAC0AIABTAGUAdAAgAG8AcAB0AGkAbwBuAGEAbAAgAGEAcgBnAHUAbQBlAG4AdABzACcAIABkAGUAZgBhAHUAbAB0AHMAIABhAG4AZAAgAGEAcABwAGwAeQAgAGMAbwBuAHYAZQBuAGkAZQBuAGMAZQAgAGMAbwBuAHYAZQByAHMAaQBvAG4AcwBcAG4AIAAgACAAIAAgACAAIAAgAEMAdgB0AFMAdABhAHIAdABzACwAIAAgACAAIAAgACAASQBGACgAIABJAFMATwBNAEkAVABUAEUARAAoACAAUwB0AGEAcgB0AHMAKQAsACAAXABuACAAIAAgACAAIAAgACAAIAAgACAAIAAgACAAIAAgACAAIAAgACAAIAAgACAAIAAgACAAIAAgACAARgBBAEwAUwBFACwAXABuACAAIAAgACAAIAAgACAAIAAgACAAIAAgACAAIAAgACAAIAAgACAAIAAgACAAIAAgACAAIAAgACAASQBGACgAIABJAFMATgBVAE0AQgBFAFIAKAAgAFMAdABhAHIAdABzACkALAAgAFMAdABhAHIAdABzACwAIABEAEEAVABFAFYAQQBMAFUARQAoACAAUwB0AGEAcgB0AHMAKQApAFwAbgAgACAAIAAgACAAIAAgACAAIAAgACAAIAAgACAAIAAgACAAIAAgACAAIAAgACAAIAApACwAXABuACAAIAAgACAAIAAgACAAIABDAHYAdABFAG4AZABzACwAIAAgACAAIAAgACAAIABJAEYAKAAgAEkAUwBPAE0ASQBUAFQARQBEACgAIABFAG4AZABzACkALAAgAFwAbgAgACAAIAAgACAAIAAgACAAIAAgACAAIAAgACAAIAAgACAAIAAgACAAIAAgACAAIAAgACAAIAAgAEYAQQBMAFMARQAsAFwAbgAgACAAIAAgACAAIAAgACAAIAAgACAAIAAgACAAIAAgACAAIAAgACAAIAAgACAAIAAgACAAIAAgAEkARgAoACAASQBTAE4AVQBNAEIARQBSACgAIABFAG4AZABzACkALAAgAEUAbgBkAHMALAAgAEQAQQBUAEUAVgBBAEwAVQBFACgAIABFAG4AZABzACkAKQBcAG4AIAAgACAAIAAgACAAIAAgACAAIAAgACAAIAAgACAAIAAgACAAIAAgACAAIAAgACAAKQAsAFwAbgAgACAAIAAgACAAIAAgACAASQBuAHQAZQByAHYAYQBsAHMALAAgACAAIAAgACAAIABJAEYAKAAgAEkAUwBPAE0ASQBUAFQARQBEACgAIABJAG4AdABlAHIAdgBhAGwAcwApACwAIABcACIATQBcACIALAAgAEkAbgB0AGUAcgB2AGEAbABzACkALABcAG4AIAAgACAAIAAvAC8AIAAgAEMAbwBuAHMAdABhAG4AdAAgAEQAZQBjAGwAYQByAGEAdABpAG8AbgBzAFwAbgAgACAAIAAgACAAIAAgACAATQBQAFkALAAgADEAMgAsACAAIAAgACAALwAvAE0AbwBuAHQAaABzACAAUABlAHIAIABZAGUAYQByAFwAbgAgACAAIAAgACAAIAAgACAATQBQAFEALAAgADMALAAgACAAIAAgACAALwAvAE0AbwBuAHQAaABzACAAUABlAHIAIABRAHUAYQByAHQAZQByAFwAbgAgACAAIAAgACAAIAAgACAARABQAFcALAAgADcALAAgACAAIAAgACAALwAvAEQAYQB5AHMAIABQAGUAcgAgAFcAZQBlAGsAXABuACAAIAAgACAAIAAgACAAIABXAFAAWQAsACAANQAzACwAIAAgACAAIAAvAC8AVwBlAGUAawAgAGwAYQBiAGUAbABzACAAUABlAHIAIABZAGUAYQByADoAIAB0AGgAZQAgAGwAYQBzAHQAIABvAG4AZQAgAHIAdQBuAHMAIAAxACAAbwByACAAMgAgAGQAYQB5AHMAXABuACAAIAAgACAAIAAgACAAIABRAFAAWQAsACAANAAsACAAIAAgACAAIAAvAC8AUQB1AGEAcgB0AGUAcgBzACAAUABlAHIAIABZAGUAYQByAFwAbgAgACAAIAAgAC8ALwAgACAAUAByAG8AYwBlAGQAdQByAGUAIAAtACAAZQB2AGUAcgB5ACAAcwB0AGUAcAAgAGwAaQBmAHQAcwAgAG8AdgBlAHIAIABhAHIAcgBhAHkAcwAsACAAcwBvACAAYQAgAHMAaQBuAGcAbABlACAAZABhAHQAZQAgAG8AcgAgAGMAbwBkAGUAIABhAHAAcABsAGkAZQBzACAAdABvACAAYQBsAGwAXABuACAAIAAgACAAIAAgACAAIABFAGEAcgBsAGkAZQBzAHQALAAgACAAIABJAEYAKAAgAEMAdgB0AFMAdABhAHIAdABzACAAPAA9ACAAQwB2AHQARQBuAGQAcwAsACAAQwB2AHQAUwB0AGEAcgB0AHMALAAgAEMAdgB0AEUAbgBkAHMAKQAsAFwAbgAgACAAIAAgACAAIAAgACAATABhAHQAZQBzAHQALAAgACAAIAAgACAASQBGACgAIABDAHYAdABTAHQAYQByAHQAcwAgADwAPQAgAEMAdgB0AEUAbgBkAHMALAAgAEMAdgB0AEUAbgBkAHMALAAgAEMAdgB0AFMAdABhAHIAdABzACkALABcAG4AIAAgACAAIAAgACAAIAAgAFMAaQBnAG4ALAAgACAAIAAgACAAIAAgAFMASQBHAE4AKAAgAEMAdgB0AEUAbgBkAHMAIAAtACAAQwB2AHQAUwB0AGEAcgB0AHMAKQAsAFwAbgAgACAAIAAgACAAIAAgACAAWQBlAGEAcgBzACwAIAAgACAAIAAgACAAWQBFAEEAUgAoACAATABhAHQAZQBzAHQAKQAgAC0AIABZAEUAQQBSACgAIABFAGEAcgBsAGkAZQBzAHQAKQAsAFwAbgAgACAAIAAgACAAIAAgACAAUABlAHIAaQBvAGQAcwAsACAAIAAgACAAKAAgAEkAbgB0AGUAcgB2AGEAbABzACAAPQAgAFwAIgBEAFwAIgApACAAKgAgACgAIABMAGEAdABlAHMAdAAgAC0AIABFAGEAcgBsAGkAZQBzAHQAKQBcAG4AIAAgACAAIAAgACAAIAAgACAAIAAgACAAIAAgACAAIAAgACAAKwAgACgAIABJAG4AdABlAHIAdgBhAGwAcwAgAD0AIABcACIAVwBcACIAKQAgACoAIAAoACAAVwBQAFkAIAAqACAAWQBlAGEAcgBzAFwAbgAgACAAIAAgACAAIAAgACAAIAAgACAAIAAgACAAIAAgACAAIAAgACAAIAAgACAAIAAgACAAIAAgACAAIAAgACAAIAAgACAAIAAgACAAIAAgACAAIAAgACsAIABRAFUATwBUAEkARQBOAFQAKAAgAEwAYQB0AGUAcwB0ACAAIAAgAC0AIABEAEEAVABFACgAIABZAEUAQQBSACgAIABMAGEAdABlAHMAdAApACwAIAAgACAAMQAsACAAMAApACAALQAgADEALAAgAEQAUABXACkAXABuACAAIAAgACAAIAAgACAAIAAgACAAIAAgACAAIAAgACAAIAAgACAAIAAgACAAIAAgACAAIAAgACAAIAAgACAAIAAgACAAIAAgACAAIAAgACAAIAAgACAALQAgAFEAVQBPAFQASQBFAE4AVAAoACAARQBhAHIAbABpAGUAcwB0ACAALQAgAEQAQQBUAEUAKAAgAFkARQBBAFIAKAAgAEUAYQByAGwAaQBlAHMAdAApACwAIAAxACwAIAAwACkAIAAtACAAMQAsACAARABQAFcAKQApAFwAbgAgACAAIAAgACAAIAAgACAAIAAgACAAIAAgACAAIAAgACAAIAArACAAKAAgAEkAbgB0AGUAcgB2AGEAbABzACAAPQAgAFwAIgBNAFwAIgApACAAKgAgACgAIABNAFAAWQAgACoAIABZAGUAYQByAHMAIAArACAATQBPAE4AVABIACgAIABMAGEAdABlAHMAdAApACAALQAgAE0ATwBOAFQASAAoACAARQBhAHIAbABpAGUAcwB0ACkAKQBcAG4AIAAgACAAIAAgACAAIAAgACAAIAAgACAAIAAgACAAIAAgACAAKwAgACgAIABJAG4AdABlAHIAdgBhAGwAcwAgAD0AIABcACIAUQBcACIAKQAgACoAIAAoACAAUQBQAFkAIAAqACAAWQBlAGEAcgBzAFwAbgAgACAAIAAgACAAIAAgACAAIAAgACAAIAAgACAAIAAgACAAIAAgACAAIAAgACAAIAAgACAAIAAgACAAIAAgACAAIAAgACAAIAAgACAAIAAgACAAIAAgACsAIABRAFUATwBUAEkARQBOAFQAKAAgAE0ATwBOAFQASAAoACAATABhAHQAZQBzAHQAKQAgACAAIAAtACAAMQAsACAATQBQAFEAKQBcAG4AIAAgACAAIAAgACAAIAAgACAAIAAgACAAIAAgACAAIAAgACAAIAAgACAAIAAgACAAIAAgACAAIAAgACAAIAAgACAAIAAgACAAIAAgACAAIAAgACAAIAAtACAAUQBVAE8AVABJAEUATgBUACgAIABNAE8ATgBUAEgAKAAgAEUAYQByAGwAaQBlAHMAdAApACAALQAgADEALAAgAE0AUABRACkAKQBcAG4AIAAgACAAIAAgACAAIAAgACAAIAAgACAAIAAgACAAIAAgACAAKwAgACgAIABJAG4AdABlAHIAdgBhAGwAcwAgAD0AIABcACIAWQBcACIAKQAgACoAIABZAGUAYQByAHMALABcAG4AIAAgACAAIAAvAC8AIAAgAEEAbgAgAHUAbgBrAG4AbwB3AG4AIABpAG4AdABlAHIAdgBhAGwAIABjAG8AZABlACAAaQBzACAAYQBuACAAZQByAHIAbwByACwAIABuAG8AdAAgAGEAIABuAG8AdQBnAGgAdABcAG4AIAAgACAAIAAgACAAIAAgAEsAbgBvAHcAbgAsACAAIAAgACAAIAAgAEkARgAoACAASQBTAE4AVQBNAEIARQBSACgAIABYAE0AQQBUAEMASAAoACAASQBuAHQAZQByAHYAYQBsAHMALAAgAHsAXAAiAEQAXAAiACwAXAAiAFcAXAAiACwAXAAiAE0AXAAiACwAXAAiAFEAXAAiACwAXAAiAFkAXAAiAH0ALAAgADAAKQApACwAIAAxACwAIAAjAE4ALwBBACkALABcAG4AIAAgACAAIAAgACAAIAAgAFIAZQBzAHUAbAB0ACwAIAAgACAAIAAgAFMAaQBnAG4AIAAqACAAUABlAHIAaQBvAGQAcwAgACoAIABLAG4AbwB3AG4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UwBjAGgAZQBkAHUAbABlAFIAYQB0AGUAcwC7A1wAbgAgACAAIAAgAEQARQBTAEMAUgBJAFAAVABJAE8ATgA6ACoALwAvACoAKgBTAGMAaABlAGQAdQBsAGUAIAByAGEAdABlAHMAIAB0AGgAYQB0ACAAcABlAHIAcwBpAHMAdAAgAHUAbgB0AGkAbAAgAHIAZQBwAGwAYQBjAGUAZAAgAGkAbgAgAGEAIAB0AGkAbQBlAGwAaQBuAGUALgAgACoALwBcAG4AUwBjAGgAZQBkAHUAbABlAFIAYQB0AGUAcwC7AyAAPQAgAEwAQQBNAEIARABBACgAXABuAC8ALwAgACAAUABhAHIAYQBtAGUAdABlAHIAIABEAGUAYwBsAGEAcgBhAHQAaQBvAG4AcwBcAG4AIAAgACAAIABbAFAAZQByAGkAbwBkAEUAbgBkAHMAXQAsAFwAbgAgACAAIAAgAFsAUgBhAHQAZQBTAHQAYQByAHQAcwBdACwAXABuACAAIAAgACAAWwBSAGEAdABlAHMAXQAsACAAIABcAG4ALwAvACAAIABIAGUAbABwAFwAbgAgACAAIAAgAEwARQBUACgAXABuACAAIAAgACAAIAAgACAAIABIAGUAbABwACwAIAAgACAAIAAgACAAIABUAFIASQBNACgAVABFAFgAVABTAFAATABJAFQAKABcAG4AIAAgACAAIAAgACAAIAAgACAAIAAgACAAIAAgACAAIAAgACAAIAAgACAAIAAgACAAXAAiAEYAVQBOAEMAVABJAE8ATgA6ACAAIAAgACAAIAAgAJIhUwBjAGgAZQBkAHUAbABlAFIAYQB0AGUAcwC7AygAUABlAHIAaQBvAGQARQBuAGQAcwAsACAAUgBhAHQAZQBTAHQAYQByAHQAcwAsACAAUgBhAHQAZQBzACkAtgBcACIAIAAmAFwAbgAgACAAIAAgACAAIAAgACAAIAAgACAAIAAgACAAIAAgACAAIAAgACAAIAAgACAAIABcACIARABFAFMAQwBSAEkAUABUAEkATwBOADoAIAAgACAAkiFTAGMAaABlAGQAdQBsAGUAcwAgAHIAYQB0AGUAcwAgAHQAaABhAHQAIABwAGUAcgBzAGkAcwB0ACAAdQBuAHQAaQBsACAAcgBlAHAAbABhAGMAZQBkACAAaQBuACAAYQAgAHQAaQBtAGUAbABpAG4AZQAgAGYAcgBvAG0AIABhACAAcwBjAGgAZQBkAHUAbABlACAAaQBuACAAYQAgAHQAYQBiAGwAZQAuALYAXAAiACAAJgAgAFwAbgAgACAAIAAgACAAIAAgACAAIAAgACAAIAAgACAAIAAgACAAIAAgACAAIAAgACAAIABcACIATgBPAFQARQAhACAAIAAgACAAIAAgACAAIAAgACAAkiFJAGYAIAAyACAAcgBhAHQAZQBzACAAYQByAGUAIABzAGMAaABlAGQAdQBsAGUAZAAgAHcAaQB0AGgAaQBuACAAdABoAGUAIABzAGEAbQBlACAAcABlAHIAaQBvAGQALAAgAG8AbgBsAHkAIAB0AGgAZQAgAGwAYQBzAHQAIAByAGEAdABlACAAdwBpAGwAbAAgAGIAZQAgAHMAZQBsAGUAYwB0AGUAZAAuALYAXAAiACAAJgAgAFwAbg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FwAIgBQAEEAUgBBAE0ARQBUAEUAUgBTADoAIAAgACAAIACSIbYAXAAiACAAJgAgAFwAbgAgACAAIAAgACAAIAAgACAAIAAgACAAIAAgACAAIAAgACAAIAAgACAAIAAgACAAIABcACIAUABlAHIAaQBvAGQARQBuAGQAcwAgACAAIAAgACAAkiEoAFIAZQBxAHUAaQByAGUAZAApACAAQQAgAHIAbwB3ACAAbwBmACAAcABlAHIAaQBvAGQAIABlAG4AZAAgAGQAYQB0AGUAcwAgACgAdABpAG0AZQBsAGkAbgBlACkALgC2AFwAIgAgACYAIABcAG4AIAAgACAAIAAgACAAIAAgACAAIAAgACAAIAAgACAAIAAgACAAIAAgACAAIAAgACAAXAAiAFIAYQB0AGUAUwB0AGEAcgB0AHMAIAAgACAAIAAgAJIhKABSAGUAcQB1AGkAcgBlAGQAKQAgAEEAIABjAG8AbAB1AG0AbgAgAG8AcgAgAHIAbwB3ACAAbwBmACAAcgBhAHQAZQAgAGUAZgBmAGUAYwB0AGkAdgBlACAAZABhAHQAZQBzACAAaQBuACAAYQBuAHkAIABvAHIAZABlAHIALgC2AFwAIgAgACYAIABcAG4AIAAgACAAIAAgACAAIAAgACAAIAAgACAAIAAgACAAIAAgACAAIAAgACAAIAAgACAAXAAiAFIAYQB0AGUAcwAgACAAIAAgACAAIAAgACAAIAAgAJIhKABSAGUAcQB1AGkAcgBlAGQAKQAgAEEAIABjAG8AbAB1AG0AbgAgAG8AcgAgAHIAbwB3ACAAbwBmACAAcgBhAHQAZQBzACAAYQBzAHMAbwBjAGkAYQB0AGUAZAAgAHcAaQB0AGgAIABSAGEAdABlAFMAdABhAHIAdABzAC4AtgBcACIAIAAmACAAXABuACAAIAAgACAAIAAgACAAIAAgACAAIAAgACAAIAAgACAAIAAgACAAIAAgACAAIAAgAFwAIgBFAFgAQQBNAFAATABFAFMAOgAgACAAIAAgACAAIACSIbYAXAAiACAAJgAg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BcACIAXwAsADEAMAAsADIAMAAsADMAMAAsADMAMAAgACAAkiE9AG8AegAuAFMAYwBoAGUAZAB1AGwAZQBSAGEAdABlAHMAuwMoAFQAaQBtAGUAbABpAG4AZQC7AygAXAAiAFwAIgAxAC8ANwAvADIAMAAyADYAXAAiAFwAIgAsADUALABcACIAXAAiAFcAXAAiAFwAIgApACwAewA0ADYAMgAwADgAOwAgADQANgAyADEANgA7ACAANAA2ADIAMgAyAH0ALAAgAHsAMQAwADsAIAAyADAAOwAgADMAMAB9ACkAXAAiACwAIABcAG4AIAAgACAAIAAgACAAIAAgACAAIAAgACAAIAAgACAAIAAgACAAIAAgACAAIAAgACAAXAAiAJIhXAAiACwAIABcACIAtgBcACIAXABuACAAIAAgACAAIAAgACAAIAAgACAAIAAgACAAIAAgACAAIAAgACAAIAAgACAAIAAgACkAXABuACAAIAAgACAAIAAgACAAIAAgACAAIAAgACAAIAAgACAAIAAgACAAIAApACwAIAAgACAAXABuACAAIAAgACAALwAvACAAIABDAGgAZQBjAGsAIABpAG4AcAB1AHQAcwAgAC0AIABPAG0AaQB0AHQAZQBkACAAcgBlAHEAdQBpAHIAZQBkACAAYQByAGcAdQBtAGUAbgB0AHMAXABuACAAIAAgACAAIAAgACAAIABzACwAIAAgACAAIAAgACAAIAAgACAAIAAgACAAIAAgADEALABcAG4AIAAgACAAIAAgACAAIAAgAEgAZQBsAHAAPwAsACAAIAAgACAAIAAgACAAIAAgACAATwBSACgAIABJAFMATwBNAEkAVABUAEUARAAoACAAUABlAHIAaQBvAGQARQBuAGQAcwApACwAXABuACAAIAAgACAAIAAgACAAIAAgACAAIAAgACAAIAAgACAAIAAgACAAIAAgACAAIAAgACAAIAAgACAASQBTAE8ATQBJAFQAVABFAEQAKAAgAFIAYQB0AGUAUwB0AGEAcgB0AHMAKQAsAFwAbgAgACAAIAAgACAAIAAgACAAIAAgACAAIAAgACAAIAAgACAAIAAgACAAIAAgACAAIAAgACAAIAAgAEkAUwBPAE0ASQBUAFQARQBEACgAIABSAGEAdABlAHM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FAG4AZABzACwAIAAgACAAIAAgACAAIAAgAEkARgAoACAASQBTAE8ATQBJAFQAVABFAEQAKAAgAFAAZQByAGkAbwBkAEUAbgBkAHMAKQAsACAAXABuACAAIAAgACAAIAAgACAAIAAgACAAIAAgACAAIAAgACAAIAAgACAAIAAgACAAIAAgACAAIAAgACAARgBBAEwAUwBFACwAXABuACAAIAAgACAAIAAgACAAIAAgACAAIAAgACAAIAAgACAAIAAgACAAIAAgACAAIAAgACAAIAAgACAASQBGACgAIABJAFMATgBVAE0AQgBFAFIAKAAgAFAAZQByAGkAbwBkAEUAbgBkAHMAKQAsACAAUABlAHIAaQBvAGQARQBuAGQAcwAsACAARABBAFQARQBWAEEATABVAEUAKAAgAFAAZQByAGkAbwBkAEUAbgBkAHMAKQApAFwAbgAgACAAIAAgACAAIAAgACAAIAAgACAAIAAgACAAIAAgACAAIAAgACAAIAAgACAAIAApACwAXABuACAAIAAgACAAIAAgACAAIABDAHYAdABTAHQAYQByAHQAcwAsACAAIAAgACAAIAAgAEkARgAoACAASQBTAE8ATQBJAFQAVABFAEQAKAAgAFIAYQB0AGUAUwB0AGEAcgB0AHMAKQAsACAAXABuACAAIAAgACAAIAAgACAAIAAgACAAIAAgACAAIAAgACAAIAAgACAAIAAgACAAIAAgACAAIAAgACAARgBBAEwAUwBFACwAIABcAG4AIAAgACAAIAAgACAAIAAgACAAIAAgACAAIAAgACAAIAAgACAAIAAgACAAIAAgACAAIAAgACAAIABJAEYAKAAgAEkAUwBOAFUATQBCAEUAUgAoACAAUgBhAHQAZQBTAHQAYQByAHQAcwApACwAIABSAGEAdABlAFMAdABhAHIAdABzACwAIABEAEEAVABFAFYAQQBMAFUARQAoACAAUgBhAHQAZQBTAHQAYQByAHQAcwApACkAXABuACAAIAAgACAAIAAgACAAIAAgACAAIAAgACAAIAAgACAAIAAgACAAIAAgACAAIAAgACkALABcAG4AIAAgACAAIAAvAC8AIAAgAFAAcgBvAGMAZQBkAHUAcgBlAFwAbgAgACAAIAAgACAAIAAgACAAUgBlAHMAdQBsAHQALAAgACAAIAAgACAAIAAgACAAIABYAEwATwBPAEsAVQBQACgAQwB2AHQARQBuAGQAcwAsACAAQwB2AHQAUwB0AGEAcgB0AHMALAAgAFIAYQB0AGUAcwAsACAAXAAiAFwAIgAsACAALQAxACwAIAAtADE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TAGMAaABlAGQAdQBsAGUAUgBhAHQAZQBzAEIAeQBJAHQAZQBtAHMAuwNcAG4AIAAgACAAIABEAEUAUwBDAFIASQBQAFQASQBPAE4AOgAqAC8ALwAqACoAUwBjAGgAZQBkAHUAbABlACAAcgBhAHQAZQBzACAAdABoAGEAdAAgAHAAZQByAHMAaQBzAHQAIAB1AG4AdABpAGwAIAByAGUAcABsAGEAYwBlAGQAIABpAG4AIABhACAAdABpAG0AZQBsAGkAbgBlACAAZgBvAHIAIABlAGEAYwBoACAAaQB0AGUAbQAgAGkAbgAgAGEAIABsAGkAcwB0AC4AIAAqAC8AXABuAFMAYwBoAGUAZAB1AGwAZQBSAGEAdABlAHMAQgB5AEkAdABlAG0AcwC7AyAAPQAgAEwAQQBNAEIARABBACgAXABuAC8ALwAgACAAUABhAHIAYQBtAGUAdABlAHIAIABEAGUAYwBsAGEAcgBhAHQAaQBvAG4AcwBcAG4AIAAgACAAIABbAFAAZQByAGkAbwBkAEUAbgBkAHMAXQAsAFwAbgAgACAAIAAgAFsASQB0AGUAbQBGAGkAbAB0AGUAcgBdACwAXABuACAAIAAgACAAWwBJAHQAZQBtAEwAaQBzAHQAXQAsAFwAbgAgACAAIAAgAFsARQBmAGYAZQBjAHQAaQB2AGUATABpAHMAdABdACwAXABuACAAIAAgACAAWwBSAGEAdABlAEwAaQBzAHQAXQAsAFwAbgAvAC8AIAAgAEgAZQBsAHAAXABuACAAIAAgACAATABFAFQAKABcAG4AIAAgACAAIAAgACAAIAAgAEgAZQBsAHAALAAgACAAIAAgACAAIAAgAFQAUgBJAE0AKABUAEUAWABUAFMAUABMAEkAVAAoAFwAbgAgACAAIAAgACAAIAAgACAAIAAgACAAIAAgACAAIAAgACAAIAAgACAAIAAgACAAIABcACIARgBVAE4AQwBUAEkATwBOADoAIAAgACAAIAAgACAAkiFTAGMAaABlAGQAdQBsAGUAUgBhAHQAZQBzAEIAeQBJAHQAZQBtAHMAuwMoAFAAZQByAGkAbwBkAEUAbgBkAHMALAAgAEkAdABlAG0ARgBpAGwAdABlAHIALAAgAEkAdABlAG0ATABpAHMAdAAsACAARQBmAGYAZQBjAHQAaQB2AGUATABpAHMAdAAsACAAUgBhAHQAZQBMAGkAcwB0ACkAtgBcACIAIAAmAFwAbgAgACAAIAAgACAAIAAgACAAIAAgACAAIAAgACAAIAAgACAAIAAgACAAIAAgACAAIABcACIARABFAFMAQwBSAEkAUABUAEkATwBOADoAIAAgACAAkiFTAGMAaABlAGQAdQBsAGUAcwAgAGUAYQBjAGgAIABpAHQAZQBtACcAcwAgAHIAYQB0AGUAcwAgAGIAeQAgAHAAZQByAGkAbwBkACAAdQBuAHQAaQBsACAAYQBuAG8AdABoAGUAcgAgAHIAYQB0AGUAIAB0AGEAawBlAHMAIABlAGYAZgBlAGMAdAAuALYAXAAiACAAJgAgAFwAbgAgACAAIAAgACAAIAAgACAAIAAgACAAIAAgACAAIAAgACAAIAAgACAAIAAgACAAIABcACIATgBPAFQARQAhACAAIAAgACAAIAAgACAAIAAgACAAkiFJAGYAIAAyACAAcgBhAHQAZQBzACAAYQByAGUAIABzAGMAaABlAGQAdQBsAGUAZAAgAHcAaQB0AGgAaQBuACAAdABoAGUAIABzAGEAbQBlACAAcABlAHIAaQBvAGQAIABmAG8AcgAgAHQAaABlACAAcwBhAG0AZQAgAGkAdABlAG0ALAAgAC4AtgBcACIAIAAmACAAXABuACAAIAAgACAAIAAgACAAIAAgACAAIAAgACAAIAAgACAAIAAgACAAIAAgACAAIAAgACAAIAAgACAAIAAgACAAIAAgACAAIAAgACAAIAAgAFwAIgCSIW8AbgBsAHkAIAB0AGgAZQAgAGwAYQBzAHQAIAByAGEAdABlACAAdwBpAGwAbAAgAGIAZQAgAHMAZQBsAGUAYwB0AGUAZAAuALYAXAAiACAAJgAgAFwAbg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FwAIgBQAEEAUgBBAE0ARQBUAEUAUgBTADoAIAAgACAAIACSIbYAXAAiACAAJgAgAFwAbgAgACAAIAAgACAAIAAgACAAIAAgACAAIAAgACAAIAAgACAAIAAgACAAIAAgACAAIABcACIAUABlAHIAaQBvAGQARQBuAGQAcwAgACAAIAAgACAAkiEoAFIAZQBxAHUAaQByAGUAZAApACAAQQAgAHIAbwB3ACAAbwBmACAAcABlAHIAaQBvAGQAIABlAG4AZAAgAGQAYQB0AGUAcwAgACgAdABpAG0AZQBsAGkAbgBlACkALgC2AFwAIgAgACYAIABcAG4AIAAgACAAIAAgACAAIAAgACAAIAAgACAAIAAgACAAIAAgACAAIAAgACAAIAAgACAAXAAiAEkAdABlAG0ARgBpAGwAdABlAHIAIAAgACAAIAAgAJIhKABSAGUAcQB1AGkAcgBlAGQAKQAgAEEAIABjAG8AbAB1AG0AbgAgAG8AZgAgADEAIABvAHIAIABtAG8AcgBlACAAaQB0AGUAbQBzACAAdABvACAAZgBpAGwAdABlAHIAIABhACAAcgBhAHQAZQAgAHMAYwBoAGUAZAB1AGwAZQAgAGIAeQAuACAAtgBcACIAIAAmAFwAbgAgACAAIAAgACAAIAAgACAAIAAgACAAIAAgACAAIAAgACAAIAAgACAAIAAgACAAIABcACIAIAAgACAAIAAgACAAIAAgACAAIAAgACAAIAAgACAAkiFBACAAJwByAGEAdABlACAAcwBjAGgAZQBkAHUAbABlACcAIABpAHMAIABhACAAdABhAGIAbABlAC8AbABpAHMAdAAgAHcAaABlAHIAZQAgAGUAYQBjAGgAIAByAG8AdwAgAGMAbwBuAHQAYQBpAG4AcwAgAGEAIAB1AG4AaQBxAHUAZQAgAGkAdABlAG0ALwBlAGYAZgBlAGMAdABpAHYAZQAgAGQAYQB0AGUAIABwAGEAaQByACAAdwBpAHQAaAAgAGEAIAByAGEAdABlAC4AtgBcACIAIAAmAFwAbgAgACAAIAAgACAAIAAgACAAIAAgACAAIAAgACAAIAAgACAAIAAgACAAIAAgACAAIAAgACAAIAAgACAAIAAgACAAIAAgACAAIAAgACAAIABcACIAkiFBAG4AIABpAHQAZQBtACAAdwBpAHQAaAAgAG4AbwAgAHIAYQB0AGUAIABpAG4AIAB0AGgAZQAgAHMAYwBoAGUAZAB1AGwAZQAgAHMAYwBvAHIAZQBzACAAbgBvAHUAZwBoAHQAIABpAG4AIABlAHYAZQByAHkAIABwAGUAcgBpAG8AZAAuALYAXAAiACAAJgBcAG4AIAAgACAAIAAgACAAIAAgACAAIAAgACAAIAAgACAAIAAgACAAIAAgACAAIAAgACAAXAAiAEkAdABlAG0ATABpAHMAdAAgACAAIAAgACAAIAAgAJIhKABSAGUAcQB1AGkAcgBlAGQAKQAgAEkAdABlAG0AcwAgAGkAbgAgAGEAIAByAGEAdABlACAAcwBjAGgAZQBkAHUAbABlAC4AtgBcACIAIAAmACAAXABuACAAIAAgACAAIAAgACAAIAAgACAAIAAgACAAIAAgACAAIAAgACAAIAAgACAAIAAgAFwAIgBFAGYAZgBlAGMAdABpAHYAZQBMAGkAcwB0ACAAIACSISgAUgBlAHEAdQBpAHIAZQBkACkAIABFAGYAZgBlAGMAdABpAHYAZQAgAGQAYQB0AGUAcwAgAGkAbgAgAHQAaABlACAAcgBhAHQAZQAgAHMAYwBoAGUAZAB1AGwAZQAuALYAXAAiACAAJgAgAFwAbgAgACAAIAAgACAAIAAgACAAIAAgACAAIAAgACAAIAAgACAAIAAgACAAIAAgACAAIABcACIAUgBhAHQAZQBMAGkAcwB0ACAAIAAgACAAIAAgACAAkiEoAFIAZQBxAHUAaQByAGUAZAApACAAUgBhAHQAZQBzACAAaQBuACAAYQAgAHIAYQB0AGUAIABzAGMAaABlAGQAdQBsAGUAIABmAG8AcgAgAGUAYQBjAGgAIABpAHQAZQBtAC8AZQBmAGYAZQBjAHQAaQB2AGUAIABkAGEAdABlACAAcABhAGkAcgAuALYAXAAiACAAJgAgAFwAbgAgACAAIAAgACAAIAAgACAAIAAgACAAIAAgACAAIAAgACAAIAAgACAAIAAgACAAIABcACIARQBYAEEATQBQAEwARQBTADoAIAAgACAAIAAgACAAkiG2AFwAIgAgACYAIA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AgACAAIAAgACAAIAAgACAAIAAgACAAXAAiAJIhPQBvAHoALgBTAGMAaABlAGQAdQBsAGUAUgBhAHQAZQBzAEIAeQBJAHQAZQBtAHMAuwMoACAAbwB6AC4AVABpAG0AZQBsAGkAbgBlALsDKAAgAFwAIgBcACIAMQAvADcALwAyADAAMgA2AFwAIgBcACIAKQAsACAAVQBOAEkAUQBVAEUAKAAgAHQAYgBsAFIAYQB0AGUAcwBbAFUAbgBpAHQAXQApACwAtgBcACIAIAAmAFwAbgAgACAAIAAgACAAIAAgACAAIAAgACAAIAAgACAAIAAgACAAIAAgACAAIAAgACAAIAAgACAAIAAgACAAIAAgACAAIAAgACAAIAAgACAAIABcACIAkiF0AGIAbABSAGEAdABlAHMAWwBVAG4AaQB0AF0ALAAgAHQAYgBsAFIAYQB0AGUAcwBbAEUAZgBmAGUAYwB0AGkAdgBlAF0ALAAgAHQAYgBsAFIAYQB0AGUAcwBbAFIAZQBuAHQAXQApAFwAIgAsACAAXABuACAAIAAgACAAIAAgACAAIAAgACAAIAAgACAAIAAgACAAIAAgACAAIAAgACAAIAAgAFwAIgCSIVwAIgAsACAAXAAiALYAXAAiAFwAbgAgACAAIAAgACAAIAAgACAAIAAgACAAIAAgACAAIAAgACAAIAAgACAAIAAgACAAIAAgACAAIAAgACkAXABuACAAIAAgACAAIAAgACAAIAAgACAAIAAgACAAIAAgACAAIAAgACAAIAAgACAAIAAgACkALABcAG4AIAAgACAAIAAgACAAIAAgACAAIAAgACAAIAAgACAAIAAgACAAIAAgAFwAbgAgACAAIAAgAC8ALwAgACAAQwBoAGUAYwBrACAAaQBuAHAAdQB0AHMAIAAtACAATwBtAGkAdAB0AGUAZAAgAHIAZQBxAHUAaQByAGUAZAAgAGEAcgBnAHUAbQBlAG4AdABzAFwAbgAgACAAIAAgACAAIAAgACAASABlAGwAcAA/ACwAIAAgACAAIAAgACAAIAAgACAAIABPAFIAKAAgAEkAUwBPAE0ASQBUAFQARQBEACgAIABQAGUAcgBpAG8AZABFAG4AZABzACkALAAgAFwAbgAgACAAIAAgACAAIAAgACAAIAAgACAAIAAgACAAIAAgACAAIAAgACAAIAAgACAAIAAgACAAIAAgAEkAUwBPAE0ASQBUAFQARQBEACgAIABJAHQAZQBtAEYAaQBsAHQAZQByACkALABcAG4AIAAgACAAIAAgACAAIAAgACAAIAAgACAAIAAgACAAIAAgACAAIAAgACAAIAAgACAAIAAgACAAIABJAFMATwBNAEkAVABUAEUARAAoACAASQB0AGUAbQBMAGkAcwB0ACkALAAgAFwAbgAgACAAIAAgACAAIAAgACAAIAAgACAAIAAgACAAIAAgACAAIAAgACAAIAAgACAAIAAgACAAIAAgAEkAUwBPAE0ASQBUAFQARQBEACgAIABFAGYAZgBlAGMAdABpAHYAZQBMAGkAcwB0ACkALABcAG4AIAAgACAAIAAgACAAIAAgACAAIAAgACAAIAAgACAAIAAgACAAIAAgACAAIAAgACAAIAAgACAAIABJAFMATwBNAEkAVABUAEUARAAoACAAUgBhAHQAZQBMAGkAcwB0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2AHQAUAByAGQARQBuAGQAcwAsACAAIAAgACAAIABJAEYAKAAgAEkAUwBPAE0ASQBUAFQARQBEACgAIABQAGUAcgBpAG8AZABFAG4AZABzACkALAAgAFwAbgAgACAAIAAgACAAIAAgACAAIAAgACAAIAAgACAAIAAgACAAIAAgACAAIAAgACAAIAAgACAAIAAgAEYAQQBMAFMARQAsAFwAbgAgACAAIAAgACAAIAAgACAAIAAgACAAIAAgACAAIAAgACAAIAAgACAAIAAgACAAIAAgACAAIAAgAEkARgAoACAASQBTAE4AVQBNAEIARQBSACgAIABQAGUAcgBpAG8AZABFAG4AZABzACkALAAgAFAAZQByAGkAbwBkAEUAbgBkAHMALAAgAEQAQQBUAEUAVgBBAEwAVQBFACgAIABQAGUAcgBpAG8AZABFAG4AZABzACkAKQBcAG4AIAAgACAAIAAgACAAIAAgACAAIAAgACAAIAAgACAAIAAgACAAIAAgACAAIAAgACAAKQAsAFwAbgAgACAAIAAgACAAIAAgACAAQwB2AHQARQBmAGYARABhAHQAZQBzACwAIAAgACAAIABJAEYAKAAgAEkAUwBPAE0ASQBUAFQARQBEACgAIABFAGYAZgBlAGMAdABpAHYAZQBMAGkAcwB0ACkALAAgAFwAbgAgACAAIAAgACAAIAAgACAAIAAgACAAIAAgACAAIAAgACAAIAAgACAAIAAgACAAIAAgACAAIAAgAEYAQQBMAFMARQAsAFwAbgAgACAAIAAgACAAIAAgACAAIAAgACAAIAAgACAAIAAgACAAIAAgACAAIAAgACAAIAAgACAAIAAgAEkARgAoACAASQBTAE4AVQBNAEIARQBSACgAIABFAGYAZgBlAGMAdABpAHYAZQBMAGkAcwB0ACkALAAgAEUAZgBmAGUAYwB0AGkAdgBlAEwAaQBzAHQALAAgAEQAQQBUAEUAVgBBAEwAVQBFACgAIABFAGYAZgBlAGMAdABpAHYAZQBMAGkAcwB0ACkAKQBcAG4AIAAgACAAIAAgACAAIAAgACAAIAAgACAAIAAgACAAIAAgACAAIAAgACAAIAAgACAAKQAsAFwAbgAgACAAIAAgAC8ALwAgACAAUAByAG8AYwBlAGQAdQByAGUAIAAtACAAbwBuAGUAIAByAG8AdwAgAHAAZQByACAAaQB0AGUAbQAsACAAZQBhAGMAaAAgAHQAaABlACAAbABhAHQAZQBzAHQAIAByAGEAdABlACAAaQBuACAAZgBvAHIAYwBlACAAYQB0ACAAZQB2AGUAcgB5ACAAcABlAHIAaQBvAGQAIABlAG4AZAAuAFwAbgAgACAAIAAgAC8ALwAgACAAQQBuACAAaQB0AGUAbQAgAHcAaQB0AGgAIABuAG8AIAByAG8AdwBzACAAaQBuACAAdABoAGUAIABzAGMAaABlAGQAdQBsAGUAIABrAGUAZQBwAHMAIABhACAAcABsAGEAYwBlAGgAbwBsAGQAZQByACAAZABhAHQAZQAgAG4AbwAgAHAAZQByAGkAbwBkACAAYwBhAG4AIAByAGUAYQBjAGgALABcAG4AIAAgACAAIAAvAC8AIAAgAHMAbwAgAGkAdAAgAHMAYwBvAHIAZQBzACAAbgBvAHUAZwBoAHQAIAByAGEAdABoAGUAcgAgAHQAaABhAG4AIAAjAEMAQQBMAEMAIQAuAFwAbgAgACAAIAAgACAAIAAgACAASQB0AGUAbQBzACwAIAAgACAAIAAgACAAIAAgACAAIABUAE8AQwBPAEwAKAAgAEkAdABlAG0ARgBpAGwAdABlAHIAKQAsAFwAbgAgACAAIAAgACAAIAAgACAAUgBlAHMAdQBsAHQALAAgACAAIAAgACAAIAAgACAAIABEAFIATwBQACgAIABcAG4AIAAgACAAIAAgACAAIAAgACAAIAAgACAAIAAgACAAIAAgACAAIAAgACAAIAAgACAAIAAgACAAIABSAEUARABVAEMARQAoACAAMAAsACAAUwBFAFEAVQBFAE4AQwBFACgAIABSAE8AVwBTACgAIABJAHQAZQBtAHMAKQApACwAXABuACAAIAAgACAAIAAgACAAIAAgACAAIAAgACAAIAAgACAAIAAgACAAIAAgACAAIAAgACAAIAAgACAAIAAgACAAIABMAEEATQBCAEQAQQAoACAAQQBjAGMALAAgAFIAbwB3ACwAXABuACAAIAAgACAAIAAgACAAIAAgACAAIAAgACAAIAAgACAAIAAgACAAIAAgACAAIAAgACAAIAAgACAAIAAgACAAIAAgACAAIAAgAEwARQBUACgASQB0AGUAbQAsACAAIAAgACAAIAAgACAASQBOAEQARQBYACgAIABJAHQAZQBtAHMALAAgAFIAbwB3ACkALABcAG4AIAAgACAAIAAgACAAIAAgACAAIAAgACAAIAAgACAAIAAgACAAIAAgACAAIAAgACAAIAAgACAAIAAgACAAIAAgACAAIAAgACAAIAAgACAAIABJAHQAZQBtAEQAYQB0AGUAcwAsACAAIABGAEkATABUAEUAUgAoACAAQwB2AHQARQBmAGYARABhAHQAZQBzACwAIABJAHQAZQBtAEwAaQBzAHQAIAA9ACAASQB0AGUAbQAsACAALQAxACkALAAgAFwAbgAgACAAIAAgACAAIAAgACAAIAAgACAAIAAgACAAIAAgACAAIAAgACAAIAAgACAAIAAgACAAIAAgACAAIAAgACAAIAAgACAAIAAgACAAIAAgAEkAdABlAG0AUgBhAHQAZQBzACwAIAAgAEYASQBMAFQARQBSACgAIABSAGEAdABlAEwAaQBzAHQALAAgAEkAdABlAG0ATABpAHMAdAAgAD0AIABJAHQAZQBtACwAIAAwACkALAAgAFwAbgAgACAAIAAgACAAIAAgACAAIAAgACAAIAAgACAAIAAgACAAIAAgACAAIAAgACAAIAAgACAAIAAgACAAIAAgACAAIAAgACAAIAAgACAAIAAgAFYAUwBUAEEAQwBLACgAIABBAGMAYwAsACAAWABMAE8ATwBLAFUAUAAoACAAQwB2AHQAUAByAGQARQBuAGQAcwAsACAASQB0AGUAbQBEAGEAdABlAHMALAAgAEkAdABlAG0AUgBhAHQAZQBzACwAIAAwACwAIAAtADEALAAgAC0AMQApACkAXABuACAAIAAgACAAIAAgACAAIAAgACAAIAAgACAAIAAgACAAIAAgACAAIAAgACAAIAAgACAAIAAgACAAIAAgACAAIAAgACAAIAAgACkAXABuACAAIAAgACAAIAAgACAAIAAgACAAIAAgACAAIAAgACAAIAAgACAAIAAgACAAIAAgACAAIAAgACAAIAAgACAAIAApAFwAbgAgACAAIAAgACAAIAAgACAAIAAgACAAIAAgACAAIAAgACAAIAAgACAAIAAgACAAIAAgACAAIAAgACkALABcAG4AIAAgACAAIAAgACAAIAAgACAAIAAgACAAIAAgACAAIAAgACAAIAAgACAAIAAgACAAIAAgACAAIAAxAFwAbgAgACAAIAAgACAAIAAgACAAIAAgACAAIAAgACAAIAAgACAAIAAgACAAIAAgACAAIAApACwAXABuACAAIAAgACAALwAvACAAIABSAGUAdAB1AHIAbgAgAFIAZQBzAHUAbAB0AFwAbgAgACAAIAAgACAAIAAgACAAQwBIAE8ATwBTAEUAKAAgAEgAZQBsAHAAPwAgACsAIAAxACwAIABSAGUAcwB1AGwAdAAsACAASABlAGwAcAApAFwAbgAgACAAIAAgACkAXABuACkAOwBcAG4AXABuAFwAbgBcAG4ALwAqACAAIABGAFUATgBDAFQASQBPAE4AIABOAEEATQBFADoAIAAgAFMAYwBoAGUAZAB1AGwAZQBWAGEAbAB1AGUAcwC7A1wAbgAgACAAIAAgAEQARQBTAEMAUgBJAFAAVABJAE8ATgA6ACoALwAvACoAKgBTAGMAaABlAGQAdQBsAGUAcwAgAHYAYQBsAHUAZQBzACAAaQBuACAAYQAgAHQAaQBtAGUAbABpAG4AZQAgAGYAcgBvAG0AIABhACAAcwBjAGgAZQBkAHUAbABlACAAaQBuACAAYQAgAHQAYQBiAGwAZQAuACAAKgAvAFwAbgBTAGMAaABlAGQAdQBsAGUAVgBhAGwAdQBlAHMAuwMgAD0AIABMAEEATQBCAEQAQQAoAFwAbgAvAC8AIAAgAFAAYQByAGEAbQBlAHQAZQByACAARABlAGMAbABhAHIAYQB0AGkAbwBuAHMAXABuACAAIAAgACAAWwBQAGUAcgBpAG8AZABTAHQAYQByAHQAcwBdACwAXABuACAAIAAgACAAWwBQAGUAcgBpAG8AZABFAG4AZABzAF0ALABcAG4AIAAgACAAIABbAFYAYQBsAHUAZQBzAF0ALABcAG4AIAAgACAAIABbAEUAZgBmAGUAYwB0AGkAdgBlAEQAYQB0AGUAcwBdACwAXABuACAAIAAgACAATABFAFQAKABcAG4ALwAvACAAIABIAGUAbABwAFwAbgAgACAAIAAgACAAIAAgACAASABlAGwAcAAsACAAIAAgACAAIAAgACAAVABSAEkATQAoAFQARQBYAFQAUwBQAEwASQBUACgAIABcAG4AIAAgACAAIAAgACAAIAAgACAAIAAgACAAIAAgACAAIAAgACAAIAAgACAAIAAgACAAXAAiAEYAVQBOAEMAVABJAE8ATgA6ACAAIAAgACAAIAAgAJIhUwBjAGgAZQBkAHUAbABlAFYAYQBsAHUAZQBzALsDKABQAGUAcgBpAG8AZABTAHQAYQByAHQAcwAsACAAUABlAHIAaQBvAGQARQBuAGQAcwAsACAAVgBhAGwAdQBlAHMALAAgAEUAZgBmAGUAYwB0AGkAdgBlAEQAYQB0AGUAcwApALYAXAAiACAAJgBcAG4AIAAgACAAIAAgACAAIAAgACAAIAAgACAAIAAgACAAIAAgACAAIAAgACAAIAAgACAAXAAiAEQARQBTAEMAUgBJAFAAVABJAE8ATgA6ACAAIAAgAJIhUABsAGEAYwBlACAAdgBhAGwAdQBlAHMAIABmAHIAbwBtACAAYQAgAHQAYQBiAGwAZQAgAGkAbgB0AG8AIABhACAAdABpAG0AZQBsAGkAbgBlACcAcwAgAGEAcABwAHIAbwBwAHIAaQBhAHQAZQAgAHAAZQByAGkAbwBkAC4AtgBcACIAIAAmACAAXABuACAAIAAgACAAIAAgACAAIAAgACAAIAAgACAAIAAgACAAIAAgACAAIAAgACAAIAAgAFwAIgBXAEUAQgBTAEkAVABFADoAIAAgACAAIAAgACAAIACSIWgAdAB0AHAAcwA6AC8ALwBnAGkAdABoAHUAYgAuAGMAbwBtAC8AcgB5AGEAbgBkAHUAZwB1AGkAZAAvAE8AegB6AGkAdAAgALYAXAAiACAAJgBcAG4AIAAgACAAIAAgACAAIAAgACAAIAAgACAAIAAgACAAIAAgACAAIAAgACAAIAAgACAAXAAiAFAAQQBSAEEATQBFAFQARQBSAFMAOgAgACAAIAAgAJIhtgBcACIAIAAmACAAXABuACAAIAAgACAAIAAgACAAIAAgACAAIAAgACAAIAAgACAAIAAgACAAIAAgACAAIAAgAFwAIgBQAGUAcgBpAG8AZABTAHQAYQByAHQAcwAgACAAIACSISgAUgBlAHEAdQBpAHIAZQBkACkAIABBACAAcgBvAHcAIABvAGYAIABwAGUAcgBpAG8AZAAgAHMAdABhAHIAdAAgAGQAYQB0AGUAcwAgACgAdABpAG0AZQBsAGkAbgBlACkALgC2AFwAIgAgACYAIABcAG4AIAAgACAAIAAgACAAIAAgACAAIAAgACAAIAAgACAAIAAgACAAIAAgACAAIAAgACAAXAAiAFAAZQByAGkAbwBkAEUAbgBkAHMAIAAgACAAIAAgAJIhKABSAGUAcQB1AGkAcgBlAGQAKQAgAEEAIAByAG8AdwAgAG8AZgAgAHAAZQByAGkAbwBkACAAZQBuAGQAIABkAGEAdABlAHMAIAAoAHQAaQBtAGUAbABpAG4AZQApAC4AtgBcACIAIAAmACAAXABuACAAIAAgACAAIAAgACAAIAAgACAAIAAgACAAIAAgACAAIAAgACAAIAAgACAAIAAgAFwAIgBWAGEAbAB1AGUAcwAgACAAIAAgACAAIAAgACAAIACSISgAUgBlAHEAdQBpAHIAZQBkACkAIABBACAAYwBvAGwAdQBtAG4AIABvAHIAIAByAG8AdwAgAG8AZgAgAHYAYQBsAHUAZQBzACAAdABvACAAYgBlACAAcwBjAGgAZQBkAHUAbABlAGQALgC2AFwAIgAgACYAIABcAG4AIAAgACAAIAAgACAAIAAgACAAIAAgACAAIAAgACAAIAAgACAAIAAgACAAIAAgACAAXAAiAEUAZgBmAGUAYwB0AGkAdgBlAEQAYQB0AGUAcwAgAJIhKABSAGUAcQB1AGkAcgBlAGQAKQAgAFcAaABlAG4AIABlAGEAYwBoACAAdgBhAGwAdQBlACAAaQBzACAAcwBjAGgAZQBkAHUAbABlAGQALAAgAGkAbgAgAHQAaABlACAAcwBhAG0AZQAgAG8AcgBpAGUAbgB0AGEAdABpAG8AbgAgAGEAcwAgAFYAYQBsAHUAZQBzAC4AtgBcACIAIAAmACAAIAAgACAAIAAgACAAIAAgACAAIAAgACAAIAAgACAAIAAgACAAXABuACAAIAAgACAAIAAgACAAIAAgACAAIAAgACAAIAAgACAAIAAgACAAIAAgACAAIAAgAFwAIgBFAFgAQQBNAFAATABFAFMAOgCSIbYAXAAiACAAJg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AgACAAIAAgACAAIAAgACAAIAAgACAAXAAiAJIhPQBvAHoALgBTAGMAaABlAGQAdQBsAGUAVgBhAGwAdQBlAHMAuwMoAFQAaQBtAGUAbABpAG4AZQC7AygAXAAiAFwAIgAxAC8ANwAvADIAMAAyADYAXAAiAFwAIgApACwAIABUAGkAbQBlAGwAaQBuAGUAuwMoAFwAIgBcACIAMQAvADcALwAyADAAMgA2AFwAIgBcACIALAAsACwARgBBAEwAUwBFACkALAAgAHsAMQA7ADMAfQAsACAAewBcACIAXAAiADEALwA3AC8AMgAwADIANgBcACIAXAAiADsAIABcACIAXAAiADEANQAvADgALwAyADAAMgA2AFwAIgBcACIAf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GUAcgBpAG8AZABTAHQAYQByAHQAcwApACwAIABcAG4AIAAgACAAIAAgACAAIAAgACAAIAAgACAAIAAgACAAIAAgACAAIAAgACAAIAAgACAAIAAgACAAIABJAFMATwBNAEkAVABUAEUARAAoACAAUABlAHIAaQBvAGQARQBuAGQAcwApACwAXABuACAAIAAgACAAIAAgACAAIAAgACAAIAAgACAAIAAgACAAIAAgACAAIAAgACAAIAAgACAAIAAgACAASQBTAE8ATQBJAFQAVABFAEQAKAAgAFYAYQBsAHUAZQBzACkALAAgAFwAbgAgACAAIAAgACAAIAAgACAAIAAgACAAIAAgACAAIAAgACAAIAAgACAAIAAgACAAIAAgACAAIAAgAEkAUwBPAE0ASQBUAFQARQBEACgAIABFAGYAZgBlAGMAdABpAHYAZQBEAGEAdABlAHMAKQBcAG4AIAAgACAAIAAgACAAIAAgACAAIAAgACAAIAAgACAAIAAgACAAIAAgACAAIAAgACAAKQAsAFwAbgAgACAAIAAgAC8ALwAgACAAQwBoAGUAYwBrACAAaQBuAHAAdQB0AHMAIAAtACAAUwBlAHQAIABvAHAAdABpAG8AbgBhAGwAIABhAHIAZwB1AG0AZQBuAHQAcwAnACAAZABlAGYAYQB1AGwAdABzACAAYQBuAGQAIABhAHAAcABsAHkAIABjAG8AbgB2AGUAbgBpAGUAbgBjAGUAIABjAG8AbgB2AGUAcgBzAGkAbwBuAHMAXABuACAAIAAgACAAIAAgACAAIABDAHYAdABQAHIAZABTAHQAYQByAHQAcwAsACAAIAAgAEkARgAoACAASQBTAE8ATQBJAFQAVABFAEQAKAAgAFAAZQByAGkAbwBkAFMAdABhAHIAdABzACkALAAgAFwAbgAgACAAIAAgACAAIAAgACAAIAAgACAAIAAgACAAIAAgACAAIAAgACAAIAAgACAAIAAgACAAIAAgAEYAQQBMAFMARQAsAFwAbgAgACAAIAAgACAAIAAgACAAIAAgACAAIAAgACAAIAAgACAAIAAgACAAIAAgACAAIAAgACAAIAAgAEkARgAoACAASQBTAE4AVQBNAEIARQBSACgAIABQAGUAcgBpAG8AZABTAHQAYQByAHQAcwApACwAIABQAGUAcgBpAG8AZABTAHQAYQByAHQAcwAsACAARABBAFQARQBWAEEATABVAEUAKAAgAFAAZQByAGkAbwBkAFMAdABhAHIAdABzACkAKQBcAG4AIAAgACAAIAAgACAAIAAgACAAIAAgACAAIAAgACAAIAAgACAAIAAgACAAIAAgACAAKQAsAFwAbgAgACAAIAAgACAAIAAgACAAQwB2AHQAUAByAGQARQBuAGQAcwAsACAAIAAgACAAIABJAEYAKAAgAEkAUwBPAE0ASQBUAFQARQBEACgAIABQAGUAcgBpAG8AZABFAG4AZABzACkALAAgAFwAbgAgACAAIAAgACAAIAAgACAAIAAgACAAIAAgACAAIAAgACAAIAAgACAAIAAgACAAIAAgACAAIAAgAEYAQQBMAFMARQAsAFwAbgAgACAAIAAgACAAIAAgACAAIAAgACAAIAAgACAAIAAgACAAIAAgACAAIAAgACAAIAAgACAAIAAgAEkARgAoACAASQBTAE4AVQBNAEIARQBSACgAIABQAGUAcgBpAG8AZABFAG4AZABzACkALAAgAFAAZQByAGkAbwBkAEUAbgBkAHMALAAgAEQAQQBUAEUAVgBBAEwAVQBFACgAIABQAGUAcgBpAG8AZABFAG4AZABzACkAKQBcAG4AIAAgACAAIAAgACAAIAAgACAAIAAgACAAIAAgACAAIAAgACAAIAAgACAAIAAgACAAKQAsAFwAbgAgACAAIAAgACAAIAAgACAAQwB2AHQARQBmAGYARABhAHQAZQBzACwAIAAgACAAIABJAEYAKAAgAEkAUwBPAE0ASQBUAFQARQBEACgAIABFAGYAZgBlAGMAdABpAHYAZQBEAGEAdABlAHMAKQAsACAAXABuACAAIAAgACAAIAAgACAAIAAgACAAIAAgACAAIAAgACAAIAAgACAAIAAgACAAIAAgACAAIAAgACAARgBBAEwAUwBFACwAXABuACAAIAAgACAAIAAgACAAIAAgACAAIAAgACAAIAAgACAAIAAgACAAIAAgACAAIAAgACAAIAAgACAASQBGACgAIABJAFMATgBVAE0AQgBFAFIAKAAgAEUAZgBmAGUAYwB0AGkAdgBlAEQAYQB0AGUAcwApACwAIABFAGYAZgBlAGMAdABpAHYAZQBEAGEAdABlAHMALAAgAEQAQQBUAEUAVgBBAEwAVQBFACgAIABFAGYAZgBlAGMAdABpAHYAZQBEAGEAdABlAHMAKQApAFwAbgAgACAAIAAgACAAIAAgACAAIAAgACAAIAAgACAAIAAgACAAIAAgACAAIAAgACAAIAApACwAXABuACAAIAAgACAALwAvACAAIABQAHIAbwBjAGUAZAB1AHIAZQBcAG4AIAAgACAAIAAgACAAIAAgAFIAZQBzAHUAbAB0ACwAIAAgACAAIAAgACAAIAAgACAAQgBZAEMATwBMACgAXABuACAAIAAgACAAIAAgACAAIAAgACAAIAAgACAAIAAgACAAIAAgACAAIAAgACAAIAAgACAAIAAgACAAUwBFAFEAVQBFAE4AQwBFACgALAAgAEMATwBMAFUATQBOAFMAKABDAHYAdABQAHIAZABTAHQAYQByAHQAcwApACkALAAgAFwAbgAgACAAIAAgACAAIAAgACAAIAAgACAAIAAgACAAIAAgACAAIAAgACAAIAAgACAAIAAgACAAIAAgAEwAQQBNAEIARABBACgAUABlAHIAaQBvAGQALAAgAFwAbgAgACAAIAAgACAAIAAgACAAIAAgACAAIAAgACAAIAAgACAAIAAgACAAIAAgACAAIAAgACAAIAAgACAAIAAgACAATABFAFQAKABTAHQAYQByAHQARABhAHQAZQAsACAAIABJAE4ARABFAFgAKABDAHYAdABQAHIAZABTAHQAYQByAHQAcwAsACAAUABlAHIAaQBvAGQAKQAsACAAXABuACAAIAAgACAAIAAgACAAIAAgACAAIAAgACAAIAAgACAAIAAgACAAIAAgACAAIAAgACAAIAAgACAAIAAgACAAIAAgACAAIAAgAEUAbgBkAEQAYQB0AGUALAAgACAAIAAgAEkATgBEAEUAWAAoAEMAdgB0AFAAcgBkAEUAbgBkAHMALAAgAFAAZQByAGkAbwBkACkALABcAG4AIAAgACAAIAAgACAAIAAgACAAIAAgACAAIAAgACAAIAAgACAAIAAgACAAIAAgACAAIAAgACAAIAAgACAAIAAgACAAIAAgACAAUwBVAE0AKABWAGEAbAB1AGUAcwAgACoAIAAoAEMAdgB0AEUAZgBmAEQAYQB0AGUAcwAgAD4APQAgAFMAdABhAHIAdABEAGEAdABlACkAIAAqACAAKABDAHYAdABFAGYAZgBEAGEAdABlAHMAIAA8AD0AIABFAG4AZABEAGEAdABlACk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TAGMAaABlAGQAdQBsAGUAVgBhAGwAdQBlAHMAQgB5AEkAdABlAG0AcwC7A1wAbgAgACAAIAAgAEQARQBTAEMAUgBJAFAAVABJAE8ATgA6ACoALwAvACoAKgBTAGMAaABlAGQAdQBsAGUAIABhAG4AZAAgAHMAdQBtACAAdgBhAGwAdQBlAHMAIABpAG4AIABhACAAdABpAG0AZQBsAGkAbgBlACAAZgBvAHIAIABlAGEAYwBoACAAaQB0AGUAbQAuACoALwBcAG4AUwBjAGgAZQBkAHUAbABlAFYAYQBsAHUAZQBzAEIAeQBJAHQAZQBtAHMAuwMgAD0AIABMAEEATQBCAEQAQQAoAFwAbgAvAC8AIAAgAFAAYQByAGEAbQBlAHQAZQByACAARABlAGMAbABhAHIAYQB0AGkAbwBuAHMAXABuACAAIAAgACAAWwBQAGUAcgBpAG8AZABTAHQAYQByAHQAcwBdACwAXABuACAAIAAgACAAWwBQAGUAcgBpAG8AZABFAG4AZABzAF0ALABcAG4AIAAgACAAIABbAEkAdABlAG0ARgBpAGwAdABlAHIAXQAsAFwAbgAgACAAIAAgAFsASQB0AGUAbQBMAGkAcwB0AF0ALABcAG4AIAAgACAAIABbAEUAZgBmAGUAYwB0AGkAdgBlAEwAaQBzAHQAXQAsAFwAbgAgACAAIAAgAFsAVgBhAGwAdQBlAEwAaQBzAHQAXQAsAFwAbgAgACAAIAAgAEwARQBUACgAXABuAC8ALwAgACAASABlAGwAcABcAG4AIAAgACAAIAAgACAAIAAgAEgAZQBsAHAALAAgACAAIAAgACAAIAAgAFQAUgBJAE0AKABUAEUAWABUAFMAUABMAEkAVAAoACAAXABuACAAIAAgACAAIAAgACAAIAAgACAAIAAgACAAIAAgACAAIAAgACAAIAAgACAAIAAgAFwAIgBGAFUATgBDAFQASQBPAE4AOgAgACAAIAAgACAAIACSIVMAYwBoAGUAZAB1AGwAZQBWAGEAbAB1AGUAcwBCAHkASQB0AGUAbQBzALsDKABQAGUAcgBpAG8AZABTAHQAYQByAHQAcwAsACAAUABlAHIAaQBvAGQARQBuAGQAcwAsACAASQB0AGUAbQBGAGkAbAB0AGUAcgAsACAASQB0AGUAbQBMAGkAcwB0ACwAIABFAGYAZgBlAGMAdABpAHYAZQBMAGkAcwB0ACwAIABWAGEAbAB1AGUATABpAHMAdAApALYAXAAiACAAJgBcAG4AIAAgACAAIAAgACAAIAAgACAAIAAgACAAIAAgACAAIAAgACAAIAAgACAAIAAgACAAXAAiAEQARQBTAEMAUgBJAFAAVABJAE8ATgA6ACAAIAAgAJIhUwBjAGgAZQBkAHUAbABlACAAYQBuAGQAIABzAHUAbQAgAHYAYQBsAHUAZQBzACAAaQBuACAAYQAgAHQAaQBtAGUAbABpAG4AZQAgAGYAbwByACAAZQBhAGMAaAAgAGkAdABlAG0ALgC2AFwAIgAgACYAIABcAG4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BcACIAUABBAFIAQQBNAEUAVABFAFIAUwA6ACAAIAAgACAAkiG2AFwAIgAgACYAIABcAG4AIAAgACAAIAAgACAAIAAgACAAIAAgACAAIAAgACAAIAAgACAAIAAgACAAIAAgACAAXAAiAFAAZQByAGkAbwBkAFMAdABhAHIAdABzACAAIAAgAJIhKABSAGUAcQB1AGkAcgBlAGQAKQAgAEEAIAByAG8AdwAgAG8AZgAgAHAAZQByAGkAbwBkACAAcwB0AGEAcgB0ACAAZABhAHQAZQBzACAAKAB0AGkAbQBlAGwAaQBuAGUAKQAuALYAXAAiACAAJgAgAFwAbgAgACAAIAAgACAAIAAgACAAIAAgACAAIAAgACAAIAAgACAAIAAgACAAIAAgACAAIABcACIAUABlAHIAaQBvAGQARQBuAGQAcwAgACAAIAAgACAAkiEoAFIAZQBxAHUAaQByAGUAZAApACAAQQAgAHIAbwB3ACAAbwBmACAAcABlAHIAaQBvAGQAIABlAG4AZAAgAGQAYQB0AGUAcwAgACgAdABpAG0AZQBsAGkAbgBlACkALgC2AFwAIgAgACYAIABcAG4AIAAgACAAIAAgACAAIAAgACAAIAAgACAAIAAgACAAIAAgACAAIAAgACAAIAAgACAAXAAiAEkAdABlAG0ARgBpAGwAdABlAHIAIAAgACAAIAAgAJIhKABSAGUAcQB1AGkAcgBlAGQAKQAgAEEAIABjAG8AbAB1AG0AbgAgAG8AZgAgADEAIABvAHIAIABtAG8AcgBlACAAaQB0AGUAbQBzACAAdABvACAAZgBpAGwAdABlAHIAIABhACAAdgBhAGwAdQBlACAAcwBjAGgAZQBkAHUAbABlACAAYgB5AC4AIAC2AFwAIgAgACYAXABuACAAIAAgACAAIAAgACAAIAAgACAAIAAgACAAIAAgACAAIAAgACAAIAAgACAAIAAgAFwAIgAgACAAIAAgACAAIAAgACAAIAAgACAAIAAgACAAIACSIUEAIAAnAHYAYQBsAHUAZQAgAHMAYwBoAGUAZAB1AGwAZQAnACAAaQBzACAAYQAgAHQAYQBiAGwAZQAvAGwAaQBzAHQAIAB3AGgAZQByAGUAIABlAGEAYwBoACAAcgBvAHcAIABjAG8AbgB0AGEAaQBuAHMAIABhACAAdQBuAGkAcQB1AGUAIABpAHQAZQBtAC8AZQBmAGYAZQBjAHQAaQB2AGUAIABkAGEAdABlACAAcABhAGkAcgAgAHcAaQB0AGgAIABhACAAdgBhAGwAdQBlAC4AtgBcACIAIAAmAFwAbgAgACAAIAAgACAAIAAgACAAIAAgACAAIAAgACAAIAAgACAAIAAgACAAIAAgACAAIABcACIASQB0AGUAbQBMAGkAcwB0ACAAIAAgACAAIAAgACAAkiEoAFIAZQBxAHUAaQByAGUAZAApACAASQB0AGUAbQBzACAAaQBuACAAYQAgAHYAYQBsAHUAZQAgAHMAYwBoAGUAZAB1AGwAZQAuALYAXAAiACAAJgAgAFwAbgAgACAAIAAgACAAIAAgACAAIAAgACAAIAAgACAAIAAgACAAIAAgACAAIAAgACAAIABcACIARQBmAGYAZQBjAHQAaQB2AGUATABpAHMAdAAgACAAkiEoAFIAZQBxAHUAaQByAGUAZAApACAARQBmAGYAZQBjAHQAaQB2AGUAIABkAGEAdABlAHMAIABpAG4AIAB0AGgAZQAgAHYAYQBsAHUAZQAgAHMAYwBoAGUAZAB1AGwAZQAuALYAXAAiACAAJgAgAFwAbgAgACAAIAAgACAAIAAgACAAIAAgACAAIAAgACAAIAAgACAAIAAgACAAIAAgACAAIABcACIAVgBhAGwAdQBlAEwAaQBzAHQAIAAgACAAIAAgACAAkiEoAFIAZQBxAHUAaQByAGUAZAApACAAVgBhAGwAdQBlAHMAIABpAG4AIABhACAAdgBhAGwAdQBlACAAcwBjAGgAZQBkAHUAbABlACAAZgBvAHIAIABlAGEAYwBoACAAaQB0AGUAbQAvAGUAZgBmAGUAYwB0AGkAdgBlACAAZABhAHQAZQAgAHAAYQBpAHIALgC2AFwAIgAgACYAIABcAG4AIAAgACAAIAAgACAAIAAgACAAIAAgACAAIAAgACAAIAAgACAAIAAgACAAIAAgACAAIAAgACAAIAAgACAAIAAgACAAIAAgACAAIAAgACAAXAAiAJIhQQBuACAAaQB0AGUAbQAgAHcAaQB0AGgAIABuAG8AIAByAG8AdwBzACAAaQBuACAAdABoAGUAIABzAGMAaABlAGQAdQBsAGUAIAB0AG8AdABhAGwAcwAgAG4AbwB1AGcAaAB0ACAAaQBuACAAZQB2AGUAcgB5ACAAcABlAHIAaQBvAGQALgC2AFwAIgAgACYAIABcAG4AIAAgACAAIAAgACAAIAAgACAAIAAgACAAIAAgACAAIAAgACAAIAAgACAAIAAgACAAXAAiAEUAWABBAE0AUABMAEUAUwA6ACAAIAAgACAAIAAgAJIhtgBcACIAIAAmACAAXABu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IAAgACAAIAAgACAAIAAgACAAIAAgAFwAIgCSIT0AbwB6AC4AUwBjAGgAZQBkAHUAbABlAFYAYQBsAHUAZQBzAEIAeQBJAHQAZQBtAHMAuwMoACAAbwB6AC4AVABpAG0AZQBsAGkAbgBlALsDKAAgAFwAIgBcACIAMQAvADcALwAyADAAMgA2AFwAIgBcACIAKQAsACAAIABvAHoALgBUAGkAbQBlAGwAaQBuAGUAuwMoACAAXAAiAFwAIgAxAC8ANwAvADIAMAAyADYAXAAiAFwAIgAsACwALABGAEEATABTAEUAKQAsACAAtgBcACIAIAAmACAAXABuACAAIAAgACAAIAAgACAAIAAgACAAIAAgACAAIAAgACAAIAAgACAAIAAgACAAIAAgACAAIAAgACAAIAAgACAAIAAgACAAIAAgACAAIAAgAFwAIgCSIVUATgBJAFEAVQBFACgAIAB0AGIAbABFAHgAcABbAEkAdABlAG0AcwBdACkALAAgAHQAYgBsAEUAeABwAFsASQB0AGUAbQBzAF0ALAAgAHQAYgBsAEUAeABwAFsARABhAHQAZQBzAF0ALAAgAHQAYgBsAEUAeABwAFsAQQBtAG8AdQBuAHQAXQApAFwAIgAsACA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GUAcgBpAG8AZABTAHQAYQByAHQAcwApACwAIABcAG4AIAAgACAAIAAgACAAIAAgACAAIAAgACAAIAAgACAAIAAgACAAIAAgACAAIAAgACAAIAAgACAAIABJAFMATwBNAEkAVABUAEUARAAoACAAUABlAHIAaQBvAGQARQBuAGQAcwApACwAIABcAG4AIAAgACAAIAAgACAAIAAgACAAIAAgACAAIAAgACAAIAAgACAAIAAgACAAIAAgACAAIAAgACAAIABJAFMATwBNAEkAVABUAEUARAAoACAASQB0AGUAbQBGAGkAbAB0AGUAcgApACwAXABuACAAIAAgACAAIAAgACAAIAAgACAAIAAgACAAIAAgACAAIAAgACAAIAAgACAAIAAgACAAIAAgACAASQBTAE8ATQBJAFQAVABFAEQAKAAgAEkAdABlAG0ATABpAHMAdAApACwAIABcAG4AIAAgACAAIAAgACAAIAAgACAAIAAgACAAIAAgACAAIAAgACAAIAAgACAAIAAgACAAIAAgACAAIABJAFMATwBNAEkAVABUAEUARAAoACAARQBmAGYAZQBjAHQAaQB2AGUATABpAHMAdAApACwAXABuACAAIAAgACAAIAAgACAAIAAgACAAIAAgACAAIAAgACAAIAAgACAAIAAgACAAIAAgACAAIAAgACAASQBTAE8ATQBJAFQAVABFAEQAKAAgAFYAYQBsAHUAZQBMAGkAcwB0ACkAXABuACAAIAAgACAAIAAgACAAIAAgACAAIAAgACAAIAAgACAAIAAgACAAIAAgACAAIAAgACkALABcAG4AIAAgACAAIAAvAC8AIAAgAEMAaABlAGMAawAgAGkAbgBwAHUAdABzACAALQAgAFMAZQB0ACAAbwBwAHQAaQBvAG4AYQBsACAAYQByAGcAdQBtAGUAbgB0AHMAJwAgAGQAZQBmAGEAdQBsAHQAcwAgAGEAbgBkACAAYQBwAHAAbAB5ACAAYwBvAG4AdgBlAG4AaQBlAG4AYwBlACAAYwBvAG4AdgBlAHIAcwBpAG8AbgBzAFwAbgAgACAAIAAgACAAIAAgACAAQwB2AHQAUAByAGQAUwB0AGEAcgB0AHMALAAgACAAIABJAEYAKAAgAEkAUwBPAE0ASQBUAFQARQBEACgAIABQAGUAcgBpAG8AZABTAHQAYQByAHQAcwApACwAIABcAG4AIAAgACAAIAAgACAAIAAgACAAIAAgACAAIAAgACAAIAAgACAAIAAgACAAIAAgACAAIAAgACAAIABGAEEATABTAEUALABcAG4AIAAgACAAIAAgACAAIAAgACAAIAAgACAAIAAgACAAIAAgACAAIAAgACAAIAAgACAAIAAgACAAIABJAEYAKAAgAEkAUwBOAFUATQBCAEUAUgAoACAAUABlAHIAaQBvAGQAUwB0AGEAcgB0AHMAKQAsACAAUABlAHIAaQBvAGQAUwB0AGEAcgB0AHMALAAgAEQAQQBUAEUAVgBBAEwAVQBFACgAIABQAGUAcgBpAG8AZABTAHQAYQByAHQAcwApACkAXABuACAAIAAgACAAIAAgACAAIAAgACAAIAAgACAAIAAgACAAIAAgACAAIAAgACAAIAAgACkALABcAG4AIAAgACAAIAAgACAAIAAgAEMAdgB0AFAAcgBkAEUAbgBkAHMALAAgACAAIAAgACAASQBGACgAIABJAFMATwBNAEkAVABUAEUARAAoACAAUABlAHIAaQBvAGQARQBuAGQAcwApACwAIABcAG4AIAAgACAAIAAgACAAIAAgACAAIAAgACAAIAAgACAAIAAgACAAIAAgACAAIAAgACAAIAAgACAAIABGAEEATABTAEUALABcAG4AIAAgACAAIAAgACAAIAAgACAAIAAgACAAIAAgACAAIAAgACAAIAAgACAAIAAgACAAIAAgACAAIABJAEYAKAAgAEkAUwBOAFUATQBCAEUAUgAoACAAUABlAHIAaQBvAGQARQBuAGQAcwApACwAIABQAGUAcgBpAG8AZABFAG4AZABzACwAIABEAEEAVABFAFYAQQBMAFUARQAoACAAUABlAHIAaQBvAGQARQBuAGQAcwApACkAXABuACAAIAAgACAAIAAgACAAIAAgACAAIAAgACAAIAAgACAAIAAgACAAIAAgACAAIAAgACkALABcAG4AIAAgACAAIAAgACAAIAAgAEMAdgB0AEUAZgBmAEQAYQB0AGUAcwAsACAAIAAgACAASQBGACgAIABJAFMATwBNAEkAVABUAEUARAAoACAARQBmAGYAZQBjAHQAaQB2AGUATABpAHMAdAApACwAIABcAG4AIAAgACAAIAAgACAAIAAgACAAIAAgACAAIAAgACAAIAAgACAAIAAgACAAIAAgACAAIAAgACAAIABGAEEATABTAEUALABcAG4AIAAgACAAIAAgACAAIAAgACAAIAAgACAAIAAgACAAIAAgACAAIAAgACAAIAAgACAAIAAgACAAIABJAEYAKAAgAEkAUwBOAFUATQBCAEUAUgAoACAARQBmAGYAZQBjAHQAaQB2AGUATABpAHMAdAApACwAIABFAGYAZgBlAGMAdABpAHYAZQBMAGkAcwB0ACwAIABEAEEAVABFAFYAQQBMAFUARQAoACAARQBmAGYAZQBjAHQAaQB2AGUATABpAHMAdAApACkAXABuACAAIAAgACAAIAAgACAAIAAgACAAIAAgACAAIAAgACAAIAAgACAAIAAgACAAIAAgACkALAAgACAAIABcAG4AIAAgACAAIAAvAC8AIAAgAFAAcgBvAGMAZQBkAHUAcgBlACAALQAgAG8AbgBlACAAbQBhAHQAcgBpAHgAIABwAHIAbwBkAHUAYwB0ADoAIAB3AGgAaQBjAGgAIABzAGMAaABlAGQAdQBsAGUAIAByAG8AdwBzACAAYgBlAGwAbwBuAGcAIAB0AG8AIABlAGEAYwBoACAAaQB0AGUAbQAsACAAdABpAG0AZQBzAFwAbgAgACAAIAAgAC8ALwAgACAAdwBoAGkAYwBoACAAcABlAHIAaQBvAGQAIABlAGEAYwBoACAAcwBjAGgAZQBkAHUAbABlACAAcgBvAHcAIABmAGEAbABsAHMAIABpAG4ALAAgAGMAYQByAHIAeQBpAG4AZwAgAGkAdABzACAAdgBhAGwAdQBlAFwAbgAgACAAIAAgACAAIAAgACAASQB0AGUAbQBzACwAIAAgACAAIAAgACAAIAAgACAAIABUAE8AQwBPAEwAKAAgAEkAdABlAG0ARgBpAGwAdABlAHIAKQAsAFwAbgAgACAAIAAgACAAIAAgACAAQgBlAGwAbwBuAGcAcwAsACAAIAAgACAAIAAgACAAIAAoACAASQB0AGUAbQBzACAAPQAgAFQATwBSAE8AVwAoACAASQB0AGUAbQBMAGkAcwB0ACkAKQAgACoAIAAoACAASQB0AGUAbQBzACAAPAA+ACAAXAAiAFwAIgApACwAXABuACAAIAAgACAAIAAgACAAIABGAGEAbABsAHMALAAgACAAIAAgACAAIAAgACAAIAAgACgAIABUAE8AQwBPAEwAKAAgAEMAdgB0AEUAZgBmAEQAYQB0AGUAcwApACAAPgA9ACAAQwB2AHQAUAByAGQAUwB0AGEAcgB0AHMAKQAgACoAIAAoACAAVABPAEMATwBMACgAIABDAHYAdABFAGYAZgBEAGEAdABlAHMAKQAgADwAPQAgAEMAdgB0AFAAcgBkAEUAbgBkAHMAKQAgACoAIABUAE8AQwBPAEwAKAAgAFYAYQBsAHUAZQBMAGkAcwB0ACkALABcAG4AIAAgACAAIAAgACAAIAAgAFIAZQBzAHUAbAB0ACwAIAAgACAAIAAgACAAIAAgACAATQBNAFUATABUACgAIABCAGUAbABvAG4AZwBzACwAIABGAGEAbABsAHMAKQAsAFwAbgAgACAAIAAgAC8ALwAgACAAUgBlAHQAdQByAG4AIABSAGUAcwB1AGwAdABcAG4AIAAgACAAIAAgACAAIAAgAEMASABPAE8AUwBFACgAIABIAGUAbABwAD8AIAArACAAMQAsACAAUgBlAHMAdQBsAHQALAAgAEgAZQBsAHAAKQBcAG4AIAAgACAAIAApAFwAbgApADsAXABuAFwAbgBcAG4AXABuAC8AKgAgACAARgBVAE4AQwBUAEkATwBOACAATgBBAE0ARQA6ACAAIABUAGkAbQBlAGwAaQBuAGUAuwNcAG4AIAAgACAAIABEAEUAUwBDAFIASQBQAFQASQBPAE4AOgAqAC8ALwAqACoAQwByAGUAYQB0AGUAIABhACAAaABvAHIAaQB6AG8AbgB0AGEAbAAgAGwAaQBzAHQAIABvAGYAIABwAGUAcgBpAG8AZAAgAGQAYQB0AGUAcwAqAC8AXABuAFQAaQBtAGUAbABpAG4AZQC7AyAAPQAgAEwAQQBNAEIARABBACgAXABuAC8ALwAgACAAUABhAHIAYQBtAGUAdABlAHIAIABEAGUAYwBsAGEAcgBhAHQAaQBvAG4AcwBcAG4AIAAgACAAIABbAFMAdABhAHIAdABEAGEAdABlAF0ALABcAG4AIAAgACAAIABbAFAAZQByAGkAbwBkAHMAXQAsAFwAbgAgACAAIAAgAFsASQBuAHQAZQByAHYAYQBsAF0ALABcAG4AIAAgACAAIABbAFAAZQByAGkAbwBkAFMAdABhAHIAdABzAD8AXQAsACAAIAAgACA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VQAaQBtAGUAbABpAG4AZQC7AygAUwB0AGEAcgB0AEQAYQB0AGUALAAgAFAAZQByAGkAbwBkAHMALAAgAEkAbgB0AGUAcgB2AGEAbAAsACAAUABlAHIAaQBvAGQAUwB0AGEAcgB0AHMAPwApALYAXAAiACAAJgBcAG4AIAAgACAAIAAgACAAIAAgACAAIAAgACAAIAAgACAAIAAgACAAIAAgACAAIAAgACAAIAAgACAAIABcACIARABFAFMAQwBSAEkAUABUAEkATwBOADoAIAAgACAAkiFDAHIAZQBhAHQAZQBzACAAYQAgAGgAbwByAGkAegBvAG4AdABhAGwAIABsAGkAcwB0ACAAbwBmACAAcABlAHIAaQBvAGQAIABkAGEAdABlAHMALgC2AFwAIgAgACYAIABcAG4AIAAgACAAIAAgACAAIAAgACAAIAAgACAAIAAgACAAIAAgACAAIAAgACAAIAAgACAAIAAgACAAIABcACIAVwBFAEIAUwBJAFQARQA6ACAAIAAgACAAIAAgACAAkiFoAHQAdABwAHMAOgAvAC8AZwBpAHQAaAB1AGIALgBjAG8AbQAvAHIAeQBhAG4AZAB1AGcAdQBpAGQALwBPAHoAegBpAHQAtgBcACIAIAAmACAAXABuACAAIAAgACAAIAAgACAAIAAgACAAIAAgACAAIAAgACAAIAAgACAAIAAgACAAIAAgACAAIAAgACAAXAAiAFAAQQBSAEEATQBFAFQARQBSAFMAOgAgACAAIAAgACAAIAAgACAAkiG2AFwAIgAgACYAIABcAG4AIAAgACAAIAAgACAAIAAgACAAIAAgACAAIAAgACAAIAAgACAAIAAgACAAIAAgACAAIAAgACAAIABcACIAUwB0AGEAcgB0AEQAYQB0AGUAIAAgACAAIAAgACAAkiEoAFIAZQBxAHUAaQByAGUAZAApACAARgBpAHIAcwB0ACAAcABlAHIAaQBvAGQAJwBzACAAcwB0AGEAcgB0ACAAZABhAHQAZQAuACAATQBhAHkAIABiAGUAIABlAG4AdABlAHIAZQBkACAAYQBzACAAdABlAHgAdAAuALYAXAAiACAAJgBcAG4AIAAgACAAIAAgACAAIAAgACAAIAAgACAAIAAgACAAIAAgACAAIAAgACAAIAAgACAAIAAgACAAIABcACIAUABlAHIAaQBvAGQAcwAgACAAIAAgACAAIAAgACAAkiEoAE8AcAB0AGkAbwBuAGEAbAApACAAVABoAGUAIABuAHUAbQBiAGUAcgAgAG8AZgAgAHAAZQByAGkAbwBkACAAaQBuACAAdABoAGUAIAB0AGkAbQBlAGwAaQBuAGUALgAgAEQAZQBmAGEAdQBsAHQAcwAgAHQAbwAgADEAMgAuALYAXAAiACAAJgBcAG4AIAAgACAAIAAgACAAIAAgACAAIAAgACAAIAAgACAAIAAgACAAIAAgACAAIAAgACAAIAAgACAAIABcACIASQBuAHQAZQByAHYAYQBsACAAIAAgACAAIAAgACAAkiEoAE8AcAB0AGkAbwBuAGEAbAApACAAUABlAHIAaQBvAGQAIABpAG4AdABlAHIAdgBhAGwAOgAgAEQALAAgAFcALAAgAE0ALAAgAFEAIABvAHIAIABZACAAKABEAGEAeQAsACAAVwBlAGUAawAsACAATQBvAG4AdABoACAAPABkAGUAZgBhAHUAbAB0AD4ALAAgAFEAdQBhAHIAdABlAHIALAAgAG8AcgAgAFkAZQBhAHIAKQC2AFwAIgAgACYAXABuACAAIAAgACAAIAAgACAAIAAgACAAIAAgACAAIAAgACAAIAAgACAAIAAgACAAIAAgACAAIAAgACAAXAAiAFAAZQByAGkAbwBkAFMAdABhAHIAdABzAD8AIAAgAJIhKABPAHAAdABpAG8AbgBhAGwAKQAgAFQAUgBVAEUAPQBEAGkAcwBwAGwAYQB5ACAAcABlAHIAaQBvAGQAIABzAHQAYQByAHQAIABkAGEAdABlAHMAIAA8AGQAZQBmAGEAdQBsAHQAPgAuACAARgBBAEwAUwBFAD0AUABlAHIAaQBvAGQAIABlAG4AZAAgAGQAYQB0AGUAcwC2AFwAIgAgACY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QAyACAAbQBvACwAIABzAHQAYQByAHQAcwAgACAAkiE9AG8AegAuAFQAaQBtAGUAbABpAG4AZQC7AygAVABPAEQAQQBZACgAKQApALYAXAAiACAAJgBcAG4AIAAgACAAIAAgACAAIAAgACAAIAAgACAAIAAgACAAIAAgACAAIAAgACAAIAAgACAAIAAgACAAIABcACIAMQAyACAAcQB0AHIALAAgAGUAbgBkAHMAIAAgACAAkiE9AG8AegAuAFQAaQBtAGUAbABpAG4AZQC7AygAVABPAEQAQQBZACgAKQAsACAALAAgAFwAIgBcACIAUQBcACIAXAAiACwAIABGAEEATABTAEU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IAAgACAAIAAgACAAXABuACAAIAAgACAALwAvACAAIABOAGEAbQBlAGQAIABDAG8AbgBzAHQAYQBuAHQAcwBcAG4AIAAgACAAIAAgACAAIAAgAE0AUABZACwAIAAxADIALAAgACAAIAAgACAAIAAgACAALwAvAE0AbwBuAHQAaABzACAAUABlAHIAIABZAGUAYQByAFwAbgAgACAAIAAgACAAIAAgACAATQBQAFEALAAgADMALAAgACAAIAAgACAAIAAgACAAIAAvAC8ATQBvAG4AdABoAHMAIABQAGUAcgAgAFEAdQBhAHIAdABlAHIAXABuACAAIAAgACAAIAAgACAAIABEAFAAVwAsACAANwAsACAAIAAgACAAIAAgACAAIAAgAC8ALwBEAGEAeQBzACAAUABlAHIAIABXAGUAZQBrAFwAbgAgACAAIAAgAC8ALwAgACAAQwBoAGUAYwBrACAAaQBuAHAAdQB0AHMAIAAtACAATwBtAGkAdAB0AGUAZAAgAHIAZQBxAHUAaQByAGUAZAAgAGEAcgBnAHUAbQBlAG4AdABzAFwAbgAgACAAIAAgACAAIAAgACAASABlAGwAcAA/ACwAIAAgACAAIAAgACAAIAAgACAAIABJAFMATwBNAEkAVABUAEUARAAoACAAUwB0AGEAcgB0AEQAYQB0AGUAKQAsACAAXABuACAAIAAgACAALwAvACAAIABDAGgAZQBjAGsAIABpAG4AcAB1AHQAcwAgAC0AIABTAGUAdAAgAG8AcAB0AGkAbwBuAGEAbAAgAGEAcgBnAHUAbQBlAG4AdABzACcAIABkAGUAZgBhAHUAbAB0AHMAIABhAG4AZAAgAGEAcABwAGwAeQAgAGMAbwBuAHYAZQBuAGkAZQBuAGMAZQAgAGMAbwBuAHYAZQByAHMAaQBvAG4AcwBcAG4AIAAgACAAIAAgACAAIAAgAEMAdgB0AFMAdABhAHIAdAAsACAAIAAgACAAIAAgACAASQBGACgAIABJAFMATwBNAEkAVABUAEUARAAoACAAUwB0AGEAcgB0AEQAYQB0AGUAKQAsACAAXABuACAAIAAgACAAIAAgACAAIAAgACAAIAAgACAAIAAgACAAIAAgACAAIAAgACAAIAAgACAAIAAgACAARgBBAEwAUwBFACwAXABuACAAIAAgACAAIAAgACAAIAAgACAAIAAgACAAIAAgACAAIAAgACAAIAAgACAAIAAgACAAIAAgACAASQBGACgAIABJAFMATgBVAE0AQgBFAFIAKAAgAFMAdABhAHIAdABEAGEAdABlACkALAAgAFMAdABhAHIAdABEAGEAdABlACwAIABEAEEAVABFAFYAQQBMAFUARQAoACAAUwB0AGEAcgB0AEQAYQB0AGUAKQApAFwAbgAgACAAIAAgACAAIAAgACAAIAAgACAAIAAgACAAIAAgACAAIAAgACAAIAAgACAAIAApACwAXABuACAAIAAgACAAIAAgACAAIABQAGUAcgBpAG8AZABzACwAIAAgACAAIAAgACAAIAAgAEkARgAoACAASQBTAE8ATQBJAFQAVABFAEQAKAAgAFAAZQByAGkAbwBkAHMAKQAsACAAMQAyACwAIABQAGUAcgBpAG8AZABzACkALABcAG4AIAAgACAAIAAgACAAIAAgAEkAbgB0AGUAcgB2AGEAbAAsACAAIAAgACAAIAAgACAASQBGACgAIABJAFMATwBNAEkAVABUAEUARAAoACAASQBuAHQAZQByAHYAYQBsACkALAAgAFwAIgBNAFwAIgAsACAASQBuAHQAZQByAHYAYQBsACkALABcAG4AIAAgACAAIAAgACAAIAAgAFAAZQByAGkAbwBkAFMAdABhAHIAdABzAD8ALAAgACAASQBGACgAIABJAFMATABPAEcASQBDAEEATAAoACAAUABlAHIAaQBvAGQAUwB0AGEAcgB0AHMAPwApACwAIABQAGUAcgBpAG8AZABTAHQAYQByAHQAcwA/ACwAIABUAFIAVQBFACkALABcAG4AIAAgACAAIAAvAC8AIAAgAFAAcgBvAGMAZQBkAHUAcgBlAFwAbgAgACAAIAAgACAAIAAgACAARQBuAGQARABhAHQAZQBzACwAIAAgACAAIAAgACAAIABOACgATgBPAFQAKABQAGUAcgBpAG8AZABTAHQAYQByAHQAcwA/ACkAKQAsAFwAbgAgACAAIAAgACAAIAAgACAAUgBlAHMAdQBsAHQALAAgACAAIAAgACAAIAAgACAAIABTAFcASQBUAEMASAAoAFwAbgAgACAAIAAgACAAIAAgACAAIAAgACAAIAAgACAAIAAgACAAIAAgACAAIAAgACAAIAAgACAAIAAgAEkAbgB0AGUAcgB2AGEAbAAsAFwAbgAgACAAIAAgACAAIAAgACAAIAAgACAAIAAgACAAIAAgACAAIAAgACAAIAAgACAAIAAgACAAIAAgAFwAIgBZAFwAIgAsACAARQBEAEEAVABFACgAQwB2AHQAUwB0AGEAcgB0ACwAIABTAEUAUQBVAEUATgBDAEUAKAAxACwAIABQAGUAcgBpAG8AZABzACwAIABFAG4AZABEAGEAdABlAHMAIAAqACAATQBQAFkALAAgAE0AUABZACkAKQAgAC0AIABFAG4AZABEAGEAdABlAHMALABcAG4AIAAgACAAIAAgACAAIAAgACAAIAAgACAAIAAgACAAIAAgACAAIAAgACAAIAAgACAAIAAgACAAIABcACIAUQBcACIALAAgAEUARABBAFQARQAoAEMAdgB0AFMAdABhAHIAdAAsACAAUwBFAFEAVQBFAE4AQwBFACgAMQAsACAAUABlAHIAaQBvAGQAcwAsACAARQBuAGQARABhAHQAZQBzACAAKgAgAE0AUABRACwAIABNAFAAUQApACkAIAAtACAARQBuAGQARABhAHQAZQBzACwAXABuACAAIAAgACAAIAAgACAAIAAgACAAIAAgACAAIAAgACAAIAAgACAAIAAgACAAIAAgACAAIAAgACAAXAAiAE0AXAAiACwAIABFAEQAQQBUAEUAKABDAHYAdABTAHQAYQByAHQALAAgAFMARQBRAFUARQBOAEMARQAoADEALAAgAFAAZQByAGkAbwBkAHMALAAgAEUAbgBkAEQAYQB0AGUAcwAsACAAMQApACkAIAAtACAARQBuAGQARABhAHQAZQBzACwAXABuACAAIAAgACAAIAAgACAAIAAgACAAIAAgACAAIAAgACAAIAAgACAAIAAgACAAIAAgACAAIAAgACAAXAAiAFcAXAAiACwAIABTAEUAUQBVAEUATgBDAEUAKAAxACwAIABQAGUAcgBpAG8AZABzACwAIABDAHYAdABTAHQAYQByAHQAIAArACAASQBGACgAUABlAHIAaQBvAGQAUwB0AGEAcgB0AHMAPwAsACAAMAAsACAARABQAFcAIAAtACAAMQApACwAIABEAFAAVwApACwAXABuACAAIAAgACAAIAAgACAAIAAgACAAIAAgACAAIAAgACAAIAAgACAAIAAgACAAIAAgACAAIAAgACAAXAAiAEQAXAAiACwAIABTAEUAUQBVAEUATgBDAEUAKAAxACwAIABQAGUAcgBpAG8AZABzACwAIABDAHYAdABTAHQAYQByAHQALAAgADEAKQAsAFwAbgAgACAAIAAgACAAIAAgACAAIAAgACAAIAAgACAAIAAgACAAIAAgACAAIAAgACAAIAAgACAAIAAgACMAVgBhAGwAdQBlACEAXABuACAAIAAgACAAIAAgACAAIAAgACAAIAAgACAAIAAgACAAIAAgACAAIAAgACAAIAAgACkALABcAG4AIAAgACAAIAAvAC8AIAAgAFIAZQB0AHUAcgBuACAAUgBlAHMAdQBsAHQAXABuACAAIAAgACAAIAAgACAAIABDAEgATwBPAFMARQAoACAASABlAGwAcAA/ACAAKwAgADEALAAgAFIAZQBzAHUAbAB0ACwAIABIAGUAbABwACkAXABuACAAIAAgACAAKQBcAG4AKQA7AFwAbgBcAG4AXABuAFwAbgAvACoAIAAgAEYAVQBOAEMAVABJAE8ATgAgAE4AQQBNAEUAOgAgACAARgBpAG4AYQBuAGMAaQBhAGwAWQBlAGEAcgC7A1wAbgAgACAAIAAgAEQARQBTAEMAUgBJAFAAVABJAE8ATgA6ACoALwAvACoAKgBMAGEAYgBlAGwAcwAgAGQAYQB0AGUAcwAgAHcAaQB0AGgAIAB0AGgAZQBpAHIAIABBAHUAcwB0AHIAYQBsAGkAYQBuACAAZgBpAG4AYQBuAGMAaQBhAGwAIAB5AGUAYQByACwAIAB3AGgAaQBjAGgAIABzAHQAYQByAHQAcwAgAG8AbgAgADEAIABKAHUAbAB5ACoALwBcAG4AXABuAEYAaQBuAGEAbgBjAGkAYQBsAFkAZQBhAHIAuwMgAD0AIABMAEEATQBCAEQAQQAoAFwAbgAvAC8AIAAgAFAAYQByAGEAbQBlAHQAZQByACAARABlAGMAbABhAHIAYQB0AGkAbwBuAFwAbgAgACAAIAAgAFsARABhAHQAZQBzAF0ALABcAG4AIAAgACAAIABbAFMAdABhAHIAdABNAG8AbgB0AGg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GAGkAbgBhAG4AYwBpAGEAbABZAGUAYQByALsDKABEAGEAdABlAHMALAAgAFsAUwB0AGEAcgB0AE0AbwBuAHQAaABdACkAtgBcACIAIAAmAFwAbgAgACAAIAAgACAAIAAgACAAIAAgACAAIAAgACAAIAAgACAAIAAgACAAIAAgACAAIAAgACAAIAAgAFwAIgBEAEUAUwBDAFIASQBQAFQASQBPAE4AOgAgACAAIACSIUwAYQBiAGUAbABzACAAZABhAHQAZQBzACAAdwBpAHQAaAAgAHQAaABlAGkAcgAgAEEAdQBzAHQAcgBhAGwAaQBhAG4AIABmAGkAbgBhAG4AYwBpAGEAbAAgAHkAZQBhAHIALAAgAHcAaABpAGMAaAAgAHMAdABhAHIAdABzACAAbwBuACAAMQAgAEoAdQBsAHk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BcAG4AIAAgACAAIAAgACAAIAAgACAAIAAgACAAIAAgACAAIAAgACAAIAAgACAAIAAgACAAIAAgACAAIABcACIARABhAHQAZQBzACAAIAAgACAAIAAgACAAIAAgACAAkiEoAFIAZQBxAHUAaQByAGUAZAApACAATwBuAGUAIABvAHIAIABtAG8AcgBlACAAZABhAHQAZQBzACwAIABuAHUAbQBlAHIAaQBjACAAbwByACAAdABlAHgAdAAuACAAQQAgAGIAbABhAG4AawAgAGMAZQBsAGwAIAByAGUAdAB1AHIAbgBzACAAYQAgAGIAbABhAG4AawAuALYAXAAiACAAJgBcAG4AIAAgACAAIAAgACAAIAAgACAAIAAgACAAIAAgACAAIAAgACAAIAAgACAAIAAgACAAIAAgACAAIABcACIAUwB0AGEAcgB0AE0AbwBuAHQAaAAgACAAIAAgACAAkiEoAE8AcAB0AGkAbwBuAGEAbAA6ACAARABlAGYAYQB1AGwAdAAgAD0AIAA3ACkAIABNAG8AbgB0AGgAIAB0AGgAZQAgAGYAaQBuAGEAbgBjAGkAYQBsACAAeQBlAGEAcgAgAHMAdABhAHIAdABzAC4AIABCAGwAYQBuAGsAIABjAGUAbABsAHMAIABhAG4AZAAgAGUAbQBwAHQAeQAgAHQAZQB4AHQAIAB1AHMAZQAgADc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GAGkAbgBhAG4AYwBpAGEAbABZAGUAYQByALsDKABEAEEAVABFACgAMgAwADIANgAsADgALAAxADUAKQApALYAXAAiACAAJgBcAG4AIAAgACAAIAAgACAAIAAgACAAIAAgACAAIAAgACAAIAAgACAAIAAgACAAIAAgACAAIAAgACAAIABcACIAkiFSAGUAcwB1AGwAdAC2AFwAIgAgACYAXABuACAAIAAgACAAIAAgACAAIAAgACAAIAAgACAAIAAgACAAIAAgACAAIAAgACAAIAAgACAAIAAgACAAXAAiAJIhRgBZADIAMAAyADc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EQAYQB0AGUAcwApACwAXABuACAAIAAgACAALwAvACAAIABTAGUAdAAgAGQAZQBmAGEAdQBsAHQAcwBcAG4AIAAgACAAIAAgACAAIAAgAEYAWQBTAHQAYQByAHQALAAgACAAIAAgACAAIAAgACAASQBGACgASQBTAE8ATQBJAFQAVABFAEQAKABTAHQAYQByAHQATQBvAG4AdABoACkALAAgADcALAAgAEkARgAoAFMAdABhAHIAdABNAG8AbgB0AGgAIAA9ACAAXAAiAFwAIgAsACAANwAsACAAUwB0AGEAcgB0AE0AbwBuAHQAaAApACkALABcAG4AIAAgACAAIAAvAC8AIAAgAEMAaABlAGMAawAgAGkAbgBwAHUAdABzACAALQAgAGEAcABwAGwAeQAgAGMAbwBuAHYAZQBuAGkAZQBuAGMAZQAgAGMAbwBuAHYAZQByAHMAaQBvAG4AcwAuACAAQQAgAGIAbABhAG4AawAgAGMAZQBsAGwAIABzAHQAYQB5AHMAIABiAGwAYQBuAGsALAAgAGEAIAB0AGUAeAB0ACAAZABhAHQAZQAgAGkAcwAgAHIAZQBhAGQAXABuACAAIAAgACAAIAAgACAAIABDAHYAdABEAGEAdABlAHMALAAgACAAIAAgACAAIAAgAEkARgAoACAASQBTAE8ATQBJAFQAVABFAEQAKAAgAEQAYQB0AGUAcwApACwAXABuACAAIAAgACAAIAAgACAAIAAgACAAIAAgACAAIAAgACAAIAAgACAAIAAgACAAIAAgACAAIAAgACAARgBBAEwAUwBFACwAXABuACAAIAAgACAAIAAgACAAIAAgACAAIAAgACAAIAAgACAAIAAgACAAIAAgACAAIAAgACAAIAAgACAASQBGACgAIABJAFMATgBVAE0AQgBFAFIAKAAgAEQAYQB0AGUAcwApACwAIABEAGEAdABlAHMALAAgAEkARgAoACAARABhAHQAZQBzACAAPQAgAFwAIgBcACIALAAgADAALAAgAEQAQQBUAEUAVgBBAEwAVQBFACgAIABEAGEAdABlAHMAKQApACkAXABuACAAIAAgACAAIAAgACAAIAAgACAAIAAgACAAIAAgACAAIAAgACAAIAAgACAAIAAgACkALABcAG4AIAAgACAAIAAvAC8AIAAgAE0AdQBsAHQAaQBwAGwAeQAgAHIAYQB0AGgAZQByACAAdABoAGEAbgAgAEEATgBEACwAIAB3AGgAaQBjAGgAIAB3AG8AdQBsAGQAIABjAG8AbABsAGEAcABzAGUAIABhACAAcgBhAG4AZwBlACAAbwBmACAAZABhAHQAZQBzACAAdABvACAAbwBuAGUAIABhAG4AcwB3AGUAcgBcAG4AIAAgACAAIAAgACAAIAAgAFIAZQBzAHUAbAB0ACwAIAAgACAAIAAgACAAIAAgACAASQBGACgAQwB2AHQARABhAHQAZQBzACAAPQAgADAALAAgAFwAIgBcACIALAAgAFwAIgBGAFkAXAAiACAAJgAgAFQARQBYAFQAKABZAEUAQQBSACgAQwB2AHQARABhAHQAZQBzACkAIAArACAAKABGAFkAUwB0AGEAcgB0AD4AMQApACAAKgAgACgATQBPAE4AVABIACgAQwB2AHQARABhAHQAZQBzACkAIAA+AD0AIABGAFkAUwB0AGEAcgB0ACkALAAgAFwAIgAwADAAMAAwAFwAIgAp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YAaQBuAGEAbgBjAGkAYQBsAE0AbwBuAHQAaAC7A1wAbgAgACAAIAAgAEQARQBTAEMAUgBJAFAAVABJAE8ATgA6ACoALwAvACoAKgBOAHUAbQBiAGUAcgBzACAAZQBhAGMAaAAgAGQAYQB0AGUAJwBzACAAbQBvAG4AdABoACAAdwBpAHQAaABpAG4AIABpAHQAcwAgAGYAaQBuAGEAbgBjAGkAYQBsACAAeQBlAGEAcgAsACAAcwBvACAASgB1AGwAeQAgAGkAcwAgAG0AbwBuAHQAaAAgADEAIAB3AGgAZQBuACAAdABoAGUAIAB5AGUAYQByACAAcwB0AGEAcgB0AHMAIABvAG4AIAAxACAASgB1AGwAeQAqAC8AXABuAFwAbgBGAGkAbgBhAG4AYwBpAGEAbABNAG8AbgB0AGgAuwMgAD0AIABMAEEATQBCAEQAQQAoAFwAbgAvAC8AIAAgAFAAYQByAGEAbQBlAHQAZQByACAARABlAGMAbABhAHIAYQB0AGkAbwBuAFwAbgAgACAAIAAgAFsARABhAHQAZQBzAF0ALABcAG4AIAAgACAAIABbAFMAdABhAHIAdABNAG8AbgB0AGg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GAGkAbgBhAG4AYwBpAGEAbABNAG8AbgB0AGgAuwMoAEQAYQB0AGUAcwAsACAAWwBTAHQAYQByAHQATQBvAG4AdABoAF0AKQC2AFwAIgAgACYAXABuACAAIAAgACAAIAAgACAAIAAgACAAIAAgACAAIAAgACAAIAAgACAAIAAgACAAIAAgACAAIAAgACAAXAAiAEQARQBTAEMAUgBJAFAAVABJAE8ATgA6ACAAIAAgAJIhTgB1AG0AYgBlAHIAcwAgAGUAYQBjAGgAIABkAGEAdABlACcAcwAgAG0AbwBuAHQAaAAgAHcAaQB0AGgAaQBuACAAaQB0AHMAIABmAGkAbgBhAG4AYwBpAGEAbAAgAHkAZQBhAHIALAAgAGYAcgBvAG0AIAAxACAAdABvACAAMQAyAC4AtgBcACIAIAAmAFwAbgAgACAAIAAgACAAIAAgACAAIAAgACAAIAAgACAAIAAgACAAIAAgACAAIAAgACAAIAAgACAAIAAgAFwAIgBOAE8AVABFAFMAIQAgACAAIAAgACAAIAAgACAAIACSIVcAaQB0AGgAIAB0AGgAZQAgAGQAZQBmAGEAdQBsAHQAIAAxACAASgB1AGwAeQAgAHMAdABhAHIAdAAsACAASgB1AGwAeQAgAGkAcwAgAG0AbwBuAHQAaAAgADEAIABhAG4AZAAgAEoAdQBuAGUAIABpAHMAIABtAG8AbgB0AGgAIAAxADIALgC2ACAAIAAgACAAIAAgACAAIAAgACAAIAAgACAAIAAgAJIhRABhAHQAZQBzACAAbQBhAHkAIABiAGUAIABvAG4AZQAgAGQAYQB0AGUAIABvAHIAIABhACAAcgBhAG4AZwBlACwAIABhAG4AZAAgAHQAaABlACAAcgBlAHMAdQBsAHQAIAB0AGEAawBlAHMAIAB0AGgAZQBpAHIAIABzAGgAYQBwAGUALgC2ACAAIAAgACAAIAAgACAAIAAgACAAIAAgACAAIAAgAJIhRgBpAG4AYQBuAGMAaQBhAGwAWQBlAGEAcgC7AygAKQAgAGwAYQBiAGUAbABzACAAdABoAGUAIAB5AGUAYQByACAAYQBuAGQAIABGAGkAbgBhAG4AYwBpAGEAbABRAHUAYQByAHQAZQByALsDKAApACAAdABoAGUAIABxAHUAYQByAHQAZQByAC4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TwBjAHQAIAAyADAAMgA2ALYAXAAiACAAJgBcAG4AIAAgACAAIAAgACAAIAAgACAAIAAgACAAIAAgACAAIAAgACAAIAAgACAAIAAgACAAIAAgACAAIABcACIAUABBAFIAQQBNAEUAVABFAFIAUwA6ACAAIAAgACAAkiG2AFwAIgAgACYAXABuACAAIAAgACAAIAAgACAAIAAgACAAIAAgACAAIAAgACAAIAAgACAAIAAgACAAIAAgACAAIAAgACAAXAAiAEQAYQB0AGUAcwAgACAAIAAgACAAIAAgACAAIAAgAJIhKABSAGUAcQB1AGkAcgBlAGQAKQAgAE8AbgBlACAAbwByACAAbQBvAHIAZQAgAGQAYQB0AGUAcwAsACAAbgB1AG0AZQByAGkAYwAgAG8AcgAgAHQAZQB4AHQALgAgAEEAIABiAGwAYQBuAGsAIABjAGUAbABsACAAcgBlAHQAdQByAG4AcwAgAGEAIABiAGwAYQBuAGsALgC2AFwAIgAgACYAXABuACAAIAAgACAAIAAgACAAIAAgACAAIAAgACAAIAAgACAAIAAgACAAIAAgACAAIAAgACAAIAAgACAAXAAiAFMAdABhAHIAdABNAG8AbgB0AGgAIAAgACAAIAAgAJIhKABPAHAAdABpAG8AbgBhAGwAOgAgAEQAZQBmAGEAdQBsAHQAIAA9ACAANwApACAATQBvAG4AdABoACAAdABoAGUAIABmAGkAbgBhAG4AYwBpAGEAbAAgAHkAZQBhAHIAIABzAHQAYQByAHQAcwAsACAAYQAgAHcAaABvAGwAZQAgAG4AdQBtAGIAZQByACAAZgByAG8AbQAgADEAIAB0AG8AIAAxADIALgAgAEIAbABhAG4AawAgAGMAZQBsAGwAcwAgAGEAbgBkACAAZQBtAHAAdAB5ACAAdABlAHgAdAAgAHUAcwBlACAAN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YAaQBuAGEAbgBjAGkAYQBsAE0AbwBuAHQAaAC7AygARABBAFQARQAoADIAMAAyADYALAA4ACwAMQA1ACkAKQC2AFwAIgAgACYAXABuACAAIAAgACAAIAAgACAAIAAgACAAIAAgACAAIAAgACAAIAAgACAAIAAgACAAIAAgACAAIAAgACAAXAAiAJIhUgBlAHMAdQBsAHQAtgBcACIAIAAmAFwAbgAgACAAIAAgACAAIAAgACAAIAAgACAAIAAgACAAIAAgACAAIAAgACAAIAAgACAAIAAgACAAIAAgAFwAIgCSITI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EQAYQB0AGUAcwApACwAXABuACAAIAAgACAALwAvACAAIABTAGUAdAAgAGQAZQBmAGEAdQBsAHQAcwBcAG4AIAAgACAAIAAgACAAIAAgAEYAWQBTAHQAYQByAHQALAAgACAAIAAgACAAIAAgACAASQBGACgASQBTAE8ATQBJAFQAVABFAEQAKABTAHQAYQByAHQATQBvAG4AdABoACkALAAgADcALAAgAEkARgAoAFMAdABhAHIAdABNAG8AbgB0AGgAIAA9ACAAXAAiAFwAIgAsACAANwAsACAAUwB0AGEAcgB0AE0AbwBuAHQAaAApACkALABcAG4AIAAgACAAIAAgACAAIAAgAFYAYQBsAGkAZABTAHQAYQByAHQAPwAsACAAIAAgACAAQQBOAEQAKABJAEYARQBSAFIATwBSACgATwBSACgARgBZAFMAdABhAHIAdAAgAD0AIABTAEUAUQBVAEUATgBDAEUAKAAxADIAKQApACwAIABGAEEATABTAEUAKQApACwAXABuACAAIAAgACAAIAAgACAAIABTAHQAYQByAHQATQBlAHMAcwBhAGcAZQAsACAAIAAgAFwAIgBGAGkAbgBhAG4AYwBpAGEAbABNAG8AbgB0AGgAuwMgAG4AZQBlAGQAcwAgAFMAdABhAHIAdABNAG8AbgB0AGgAIAB0AG8AIABiAGUAIABhACAAdwBoAG8AbABlACAAbgB1AG0AYgBlAHIAIABmAHIAbwBtACAAMQAgAHQAbwAgADEAMgAuAFwAIgAsAFwAbgAgACAAIAAgAC8ALwAgACAAQwBoAGUAYwBrACAAaQBuAHAAdQB0AHMAIAAtACAAYQBwAHAAbAB5ACAAYwBvAG4AdgBlAG4AaQBlAG4AYwBlACAAYwBvAG4AdgBlAHIAcwBpAG8AbgBzAC4AIABBACAAYgBsAGEAbgBrACAAYwBlAGwAbAAgAHMAdABhAHkAcwAgAGIAbABhAG4AawAsACAAYQAgAHQAZQB4AHQAIABkAGEAdABlACAAaQBzACAAcgBlAGEAZABcAG4AIAAgACAAIAAgACAAIAAgAEMAdgB0AEQAYQB0AGUAcwAsACAAIAAgACAAIAAgACAASQBGACgAIABJAFMATwBNAEkAVABUAEUARAAoACAARABhAHQAZQBzACkALABcAG4AIAAgACAAIAAgACAAIAAgACAAIAAgACAAIAAgACAAIAAgACAAIAAgACAAIAAgACAAIAAgACAAIABGAEEATABTAEUALABcAG4AIAAgACAAIAAgACAAIAAgACAAIAAgACAAIAAgACAAIAAgACAAIAAgACAAIAAgACAAIAAgACAAIABJAEYAKAAgAEkAUwBOAFUATQBCAEUAUgAoACAARABhAHQAZQBzACkALAAgAEQAYQB0AGUAcwAsACAASQBGACgAIABEAGEAdABlAHMAIAA9ACAAXAAiAFwAIgAsACAAMAAsACAARABBAFQARQBWAEEATABVAEUAKAAgAEQAYQB0AGUAcwApACkAKQBcAG4AIAAgACAAIAAgACAAIAAgACAAIAAgACAAIAAgACAAIAAgACAAIAAgACAAIAAgACAAKQAsAFwAbgAgACAAIAAgACAAIAAgACAAUgBlAHMAdQBsAHQALAAgACAAIAAgACAAIAAgACAAIABJAEYAKABDAHYAdABEAGEAdABlAHMAIAA9ACAAMAAsACAAXAAiAFwAIgAsACAATQBPAEQAKABNAE8ATgBUAEgAKABDAHYAdABEAGEAdABlAHMAKQAgAC0AIABGAFkAUwB0AGEAcgB0ACwAIAAxADIAKQAgACsAIAAxACkALABcAG4AIAAgACAAIAAvAC8AIAAgAFIAZQB0AHUAcgBuACAAUgBlAHMAdQBsAHQALAAgAEgAZQBsAHAAIABvAHIAIAB0AGgAZQAgAG0AZQBzAHMAYQBnAGUAXABuACAAIAAgACAAIAAgACAAIABSAGUAdAB1AHIAbgAsACAAIAAgACAAIAAgACAAIAAgAEkARgAoAEgAZQBsAHAAPwAsACAAMgAsACAASQBGACgAVgBhAGwAaQBkAFMAdABhAHIAdAA/ACwAIAAxACwAIAAzACkAKQAsAFwAbgAgACAAIAAgACAAIAAgACAAQwBIAE8ATwBTAEUAKAAgAFIAZQB0AHUAcgBuACwAIABSAGUAcwB1AGwAdAAsACAASABlAGwAcAAsACAAUwB0AGEAcgB0AE0AZQBzAHMAYQBnAGUAKQBcAG4AIAAgACAAIAApAFwAbgApADsAXABuAFwAbgBcAG4ALwAqACAAIABGAFUATgBDAFQASQBPAE4AIABOAEEATQBFADoAIAAgAEYAaQBuAGEAbgBjAGkAYQBsAFEAdQBhAHIAdABlAHIAuwNcAG4AIAAgACAAIABEAEUAUwBDAFIASQBQAFQASQBPAE4AOgAqAC8ALwAqACoATgB1AG0AYgBlAHIAcwAgAGUAYQBjAGgAIABkAGEAdABlACcAcwAgAHEAdQBhAHIAdABlAHIAIAB3AGkAdABoAGkAbgAgAGkAdABzACAAZgBpAG4AYQBuAGMAaQBhAGwAIAB5AGUAYQByACwAIABzAG8AIABKAHUAbAB5ACAAdABvACAAUwBlAHAAdABlAG0AYgBlAHIAIABpAHMAIABxAHUAYQByAHQAZQByACAAMQAgAHcAaABlAG4AIAB0AGgAZQAgAHkAZQBhAHIAIABzAHQAYQByAHQAcwAgAG8AbgAgADEAIABKAHUAbAB5ACoALwBcAG4AXABuAEYAaQBuAGEAbgBjAGkAYQBsAFEAdQBhAHIAdABlAHIAuwMgAD0AIABMAEEATQBCAEQAQQAoAFwAbgAvAC8AIAAgAFAAYQByAGEAbQBlAHQAZQByACAARABlAGMAbABhAHIAYQB0AGkAbwBuAFwAbgAgACAAIAAgAFsARABhAHQAZQBzAF0ALABcAG4AIAAgACAAIABbAFMAdABhAHIAdABNAG8AbgB0AGg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GAGkAbgBhAG4AYwBpAGEAbABRAHUAYQByAHQAZQByALsDKABEAGEAdABlAHMALAAgAFsAUwB0AGEAcgB0AE0AbwBuAHQAaABdACkAtgBcACIAIAAmAFwAbgAgACAAIAAgACAAIAAgACAAIAAgACAAIAAgACAAIAAgACAAIAAgACAAIAAgACAAIAAgACAAIAAgAFwAIgBEAEUAUwBDAFIASQBQAFQASQBPAE4AOgAgACAAIACSIU4AdQBtAGIAZQByAHMAIABlAGEAYwBoACAAZABhAHQAZQAnAHMAIABxAHUAYQByAHQAZQByACAAdwBpAHQAaABpAG4AIABpAHQAcwAgAGYAaQBuAGEAbgBjAGkAYQBsACAAeQBlAGEAcgAsACAAZgByAG8AbQAgADEAIAB0AG8AIAA0AC4AtgBcACIAIAAmAFwAbgAgACAAIAAgACAAIAAgACAAIAAgACAAIAAgACAAIAAgACAAIAAgACAAIAAgACAAIAAgACAAIAAgAFwAIgBOAE8AVABFAFMAIQAgACAAIAAgACAAIAAgACAAIACSIUUAYQBjAGgAIABxAHUAYQByAHQAZQByACAAaQBzACAAMwAgAG0AbwBuAHQAaABzACAAYwBvAHUAbgB0AGUAZAAgAGYAcgBvAG0AIABTAHQAYQByAHQATQBvAG4AdABoAC4AIABXAGkAdABoACAAdABoAGUAIABkAGUAZgBhAHUAbAB0ACAAMQAgAEoAdQBsAHkAtgAgACAAIAAgACAAIAAgACAAIAAgACAAIAAgACAAIACSIXMAdABhAHIAdAAsACAASgB1AGwAeQAgAHQAbwAgAFMAZQBwAHQAZQBtAGIAZQByACAAaQBzACAAcQB1AGEAcgB0AGUAcgAgADEAIABhAG4AZAAgAEEAcAByAGkAbAAgAHQAbwAgAEoAdQBuAGUAIABpAHMAIABxAHUAYQByAHQAZQByACAANAAuALYAIAAgACAAIAAgACAAIAAgACAAIAAgACAAIAAgACAAkiFEAGEAdABlAHMAIABtAGEAeQAgAGIAZQAgAG8AbgBlACAAZABhAHQAZQAgAG8AcgAgAGEAIAByAGEAbgBnAGUALAAgAGEAbgBkACAAdABoAGUAIAByAGUAcwB1AGwAdAAgAHQAYQBrAGUAcwAgAHQAaABlAGkAcgAgAHMAaABhAHAAZQ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8AYwB0ACAAMgAwADIANgC2AFwAIgAgACYAXABuACAAIAAgACAAIAAgACAAIAAgACAAIAAgACAAIAAgACAAIAAgACAAIAAgACAAIAAgACAAIAAgACAAXAAiAFAAQQBSAEEATQBFAFQARQBSAFMAOgAgACAAIAAgAJIhtgBcACIAIAAmAFwAbgAgACAAIAAgACAAIAAgACAAIAAgACAAIAAgACAAIAAgACAAIAAgACAAIAAgACAAIAAgACAAIAAgAFwAIgBEAGEAdABlAHMAIAAgACAAIAAgACAAIAAgACAAIACSISgAUgBlAHEAdQBpAHIAZQBkACkAIABPAG4AZQAgAG8AcgAgAG0AbwByAGUAIABkAGEAdABlAHMALAAgAG4AdQBtAGUAcgBpAGMAIABvAHIAIAB0AGUAeAB0AC4AIABBACAAYgBsAGEAbgBrACAAYwBlAGwAbAAgAHIAZQB0AHUAcgBuAHMAIABhACAAYgBsAGEAbgBrAC4AtgBcACIAIAAmAFwAbgAgACAAIAAgACAAIAAgACAAIAAgACAAIAAgACAAIAAgACAAIAAgACAAIAAgACAAIAAgACAAIAAgAFwAIgBTAHQAYQByAHQATQBvAG4AdABoACAAIAAgACAAIACSISgATwBwAHQAaQBvAG4AYQBsADoAIABEAGUAZgBhAHUAbAB0ACAAPQAgADcAKQAgAE0AbwBuAHQAaAAgAHQAaABlACAAZgBpAG4AYQBuAGMAaQBhAGwAIAB5AGUAYQByACAAcwB0AGEAcgB0AHMALAAgAGEAIAB3AGgAbwBsAGUAIABuAHUAbQBiAGUAcgAgAGYAcgBvAG0AIAAxACAAdABvACAAMQAyAC4AIABCAGwAYQBuAGsAIABjAGUAbABsAHMAIABhAG4AZAAgAGUAbQBwAHQAeQAgAHQAZQB4AHQAIAB1AHMAZQAgADc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GAGkAbgBhAG4AYwBpAGEAbABRAHUAYQByAHQAZQByALsDKABEAEEAVABFACgAMgAwADIANgAsADEAMQAsADEANQApACkAtgBcACIAIAAmAFwAbgAgACAAIAAgACAAIAAgACAAIAAgACAAIAAgACAAIAAgACAAIAAgACAAIAAgACAAIAAgACAAIAAgAFwAIgCSIVIAZQBzAHUAbAB0ALYAXAAiACAAJgBcAG4AIAAgACAAIAAgACAAIAAgACAAIAAgACAAIAAgACAAIAAgACAAIAAgACAAIAAgACAAIAAgACAAIABcACIAkiEy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BEAGEAdABlAHMAKQAsAFwAbgAgACAAIAAgAC8ALwAgACAAUwBlAHQAIABkAGUAZgBhAHUAbAB0AHMAXABuACAAIAAgACAAIAAgACAAIABGAFkAUwB0AGEAcgB0ACwAIAAgACAAIAAgACAAIAAgAEkARgAoAEkAUwBPAE0ASQBUAFQARQBEACgAUwB0AGEAcgB0AE0AbwBuAHQAaAApACwAIAA3ACwAIABJAEYAKABTAHQAYQByAHQATQBvAG4AdABoACAAPQAgAFwAIgBcACIALAAgADcALAAgAFMAdABhAHIAdABNAG8AbgB0AGgAKQApACwAXABuACAAIAAgACAAIAAgACAAIABWAGEAbABpAGQAUwB0AGEAcgB0AD8ALAAgACAAIAAgAEEATgBEACgASQBGAEUAUgBSAE8AUgAoAE8AUgAoAEYAWQBTAHQAYQByAHQAIAA9ACAAUwBFAFEAVQBFAE4AQwBFACgAMQAyACkAKQAsACAARgBBAEwAUwBFACkAKQAsAFwAbgAgACAAIAAgACAAIAAgACAAUwB0AGEAcgB0AE0AZQBzAHMAYQBnAGUALAAgACAAIABcACIARgBpAG4AYQBuAGMAaQBhAGwAUQB1AGEAcgB0AGUAcgC7AyAAbgBlAGUAZABzACAAUwB0AGEAcgB0AE0AbwBuAHQAaAAgAHQAbwAgAGIAZQAgAGEAIAB3AGgAbwBsAGUAIABuAHUAbQBiAGUAcgAgAGYAcgBvAG0AIAAxACAAdABvACAAMQAyAC4AXAAiACwAXABuACAAIAAgACAALwAvACAAIABDAGgAZQBjAGsAIABpAG4AcAB1AHQAcwAgAC0AIABhAHAAcABsAHkAIABjAG8AbgB2AGUAbgBpAGUAbgBjAGUAIABjAG8AbgB2AGUAcgBzAGkAbwBuAHMALgAgAEEAIABiAGwAYQBuAGsAIABjAGUAbABsACAAcwB0AGEAeQBzACAAYgBsAGEAbgBrACwAIABhACAAdABlAHgAdAAgAGQAYQB0AGUAIABpAHMAIAByAGUAYQBkAFwAbgAgACAAIAAgACAAIAAgACAAQwB2AHQARABhAHQAZQBzACwAIAAgACAAIAAgACAAIABJAEYAKAAgAEkAUwBPAE0ASQBUAFQARQBEACgAIABEAGEAdABlAHMAKQAsAFwAbgAgACAAIAAgACAAIAAgACAAIAAgACAAIAAgACAAIAAgACAAIAAgACAAIAAgACAAIAAgACAAIAAgAEYAQQBMAFMARQAsAFwAbgAgACAAIAAgACAAIAAgACAAIAAgACAAIAAgACAAIAAgACAAIAAgACAAIAAgACAAIAAgACAAIAAgAEkARgAoACAASQBTAE4AVQBNAEIARQBSACgAIABEAGEAdABlAHMAKQAsACAARABhAHQAZQBzACwAIABJAEYAKAAgAEQAYQB0AGUAcwAgAD0AIABcACIAXAAiACwAIAAwACwAIABEAEEAVABFAFYAQQBMAFUARQAoACAARABhAHQAZQBzACkAKQApAFwAbgAgACAAIAAgACAAIAAgACAAIAAgACAAIAAgACAAIAAgACAAIAAgACAAIAAgACAAIAApACwAXABuACAAIAAgACAAIAAgACAAIABSAGUAcwB1AGwAdAAsACAAIAAgACAAIAAgACAAIAAgAEkARgAoAEMAdgB0AEQAYQB0AGUAcwAgAD0AIAAwACwAIABcACIAXAAiACwAIABJAE4AVAAoAE0ATwBEACgATQBPAE4AVABIACgAQwB2AHQARABhAHQAZQBzACkAIAAtACAARgBZAFMAdABhAHIAdAAsACAAMQAyACkAIAAvACAAMwApACAAKwAgADEAKQAsAFwAbgAgACAAIAAgAC8ALwAgACAAUgBlAHQAdQByAG4AIABSAGUAcwB1AGwAdAAsACAASABlAGwAcAAgAG8AcgAgAHQAaABlACAAbQBlAHMAcwBhAGcAZQBcAG4AIAAgACAAIAAgACAAIAAgAFIAZQB0AHUAcgBuACwAIAAgACAAIAAgACAAIAAgACAASQBGACgASABlAGwAcAA/ACwAIAAyACwAIABJAEYAKABWAGEAbABpAGQAUwB0AGEAcgB0AD8ALAAgADEALAAgADMAKQApACwAXABuACAAIAAgACAAIAAgACAAIABDAEgATwBPAFMARQAoACAAUgBlAHQAdQByAG4ALAAgAFIAZQBzAHUAbAB0ACwAIABIAGUAbABwACwAIABTAHQAYQByAHQATQBlAHMAcwBhAGcAZQApAFwAbgAgACAAIAAgACkAXABuACkAOwBcAG4AXABuAFwAbgBcAG4ALwAqACAAIABGAFUATgBDAFQASQBPAE4AIABOAEEATQBFADoAIAAgAFIAYQB0AGUAQQB0AEQAYQB0AGUAuwNcAG4AIAAgACAAIABEAEUAUwBDAFIASQBQAFQASQBPAE4AOgAqAC8ALwAqACoAUgBlAHQAdQByAG4AcwAgAHQAaABlACAAcgBhAHQAZQAgAGkAbgAgAGUAZgBmAGUAYwB0ACAAbwBuACAAZQBhAGMAaAAgAGQAYQB0AGUAIABmAHIAbwBtACAAYQAgAHQAYQBiAGwAZQAgAG8AZgAgAGUAZgBmAGUAYwB0AGkAdgBlACAAZABhAHQAZQBzACAAYQBuAGQAIAByAGEAdABlAHMALAAgAHIAZQBmAHUAcwBpAG4AZwAgAGcAYQBwAHMALAAgAHUAbgBzAG8AcgB0AGUAZAAgAG8AcgAgAHIAZQBwAGUAYQB0AGUAZAAgAGQAYQB0AGUAcwAqAC8AXABuAFwAbgBSAGEAdABlAEEAdABEAGEAdABlALsDIAA9ACAATABBAE0AQgBEAEEAKABcAG4ALwAvACAAIABQAGEAcgBhAG0AZQB0AGUAcgAgAEQAZQBjAGwAYQByAGEAdABpAG8AbgBcAG4AIAAgACAAIABbAEUAZgBmAGUAYwB0AGkAdgBlAEQAYQB0AGUAcwBdACwAXABuACAAIAAgACAAWwBSAGEAdABlAHMAXQAsAFwAbgAgACAAIAAgAFsARABhAHQAZQBz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UgBhAHQAZQBBAHQARABhAHQAZQC7AygARQBmAGYAZQBjAHQAaQB2AGUARABhAHQAZQBzACwAIABSAGEAdABlAHMALAAgAEQAYQB0AGUAcwApALYAXAAiACAAJgBcAG4AIAAgACAAIAAgACAAIAAgACAAIAAgACAAIAAgACAAIAAgACAAIAAgACAAIAAgACAAIAAgACAAIABcACIARABFAFMAQwBSAEkAUABUAEkATwBOADoAIAAgACAAkiFSAGUAdAB1AHIAbgBzACAAdABoAGUAIAByAGEAdABlACAAaQBuACAAZQBmAGYAZQBjAHQAIABvAG4AIABlAGEAYwBoACAAZABhAHQAZQAgAGYAcgBvAG0AIAB5AG8AdQByACAAdABhAGIAbABlACAAbwBmACAAZQBmAGYAZQBjAHQAaQB2AGUAIABkAGEAdABlAHMAIABhAG4AZAAgAHIAYQB0AGUAcwAuALYATgBPAFQARQBTACEAIAAgACAAIAAgACAAIAAgACAAkiFFAGEAYwBoACAAcgBhAHQAZQAgAGEAcABwAGwAaQBlAHMAIABmAHIAbwBtACAAaQB0AHMAIABlAGYAZgBlAGMAdABpAHYAZQAgAGQAYQB0AGUAIAB1AG4AdABpAGwAIAB0AGgAZQAgAG4AZQB4AHQAIABvAG4AZQAuACAARABhAHQAZQBzACAAbQBhAHkAtgAgACAAIAAgACAAIAAgACAAIAAgACAAIAAgACAAIACSIWIAZQAgAG8AbgBlACAAZABhAHQAZQAgAG8AcgAgAGEAIAByAG8AdwAgAG8AcgAgAGMAbwBsAHUAbQBuACAAbwBmACAAdABoAGUAbQAsACAAYQBuAGQAIAB0AGgAZQAgAHIAZQBzAHUAbAB0ACAAdABhAGsAZQBzACAAdABoAGUAaQByACAAcwBoAGEAcABlAC4AtgAgACAAIAAgACAAIAAgACAAIAAgACAAIAAgACAAIACSIUEAIABkAGEAdABlACAAYgBlAGYAbwByAGUAIAB0AGgAZQAgAGYAaQByAHMAdAAgAGUAZgBmAGUAYwB0AGkAdgBlACAAZABhAHQAZQAgAGgAYQBzACAAbgBvACAAcgBhAHQAZQAgAGkAbgAgAGUAZgBmAGUAYwB0ACAAYQBuAGQAIAByAGUAdAB1AHIAbgBzALYAIAAgACAAIAAgACAAIAAgACAAIAAgACAAIAAgACAAkiEjAE4ALwBBAC4AIABUAGgAZQAgAHQAYQBiAGwAZQAgAG0AdQBzAHQAIABiAGUAIABjAG8AbQBwAGwAZQB0AGUAIABhAG4AZAAgAGkAbgAgAG8AcgBkAGUAcgAsACAAcwBvACAAaQBuAHMAdABlAGEAZAAgAG8AZgAgAGEAIAByAGUAcwB1AGwAdAAgAGkAdAC2ACAAIAAgACAAIAAgACAAIAAgACAAIAAgACAAIAAgAJIhcgBlAHQAdQByAG4AcwAgAGEAIABtAGUAcwBzAGEAZwBlACAAdwBoAGUAbgAgAEUAZgBmAGUAYwB0AGkAdgBlAEQAYQB0AGUAcwAgAGEAbgBkACAAUgBhAHQAZQBzACAAZABpAGYAZgBlAHIAIABpAG4AIABsAGUAbgBnAHQAaAAgAG8AcgAgAGgAbwBsAGQAtgAgACAAIAAgACAAIAAgACAAIAAgACAAIAAgACAAIACSIWEAIABiAGwAYQBuAGsAIABvAHIAIAB0AGUAeAB0ACAAZQBuAHQAcgB5ACwAIAB3AGgAZQBuACAAdABoAGUAIABkAGEAdABlAHMAIABhAHIAZQAgAG4AbwB0ACAAaQBuACAAYQBzAGMAZQBuAGQAaQBuAGcAIABvAHIAZABlAHIALAAgAG8AcgAgAHcAaABlAG4AtgAgACAAIAAgACAAIAAgACAAIAAgACAAIAAgACAAIACSIWEAIABkAGEAdABlACAAcgBlAHAAZQBhAHQAcwAuACAAQQAgAHQAZQB4AHQAIABvAHIAIABiAGwAYQBuAGsAIABkAGEAdABlACAAaQBuACAARABhAHQAZQBzACAAcgBlAHQAdQByAG4AcwAgACMAVgBBAEwAVQBFACEALgAgAFQAaABlALYAIAAgACAAIAAgACAAIAAgACAAIAAgACAAIAAgACAAkiFsAGkAYgByAGEAcgB5ACAAcwBoAGkAcABzACAAbgBvACAAcgBhAHQAZQAgAHQAYQBiAGwAZQA6ACAAcwB1AHAAcABsAHkAIAB5AG8AdQByACAAbwB3AG4ALAAgAHcAaQB0AGgAIABpAHQAcwAgAHMAbwB1AHIAYwBlACAAYQBuAGQAIAB0AGgAZQC2ACAAIAAgACAAIAAgACAAIAAgACAAIAAgACAAIAAgAJIhZABhAHQAZQAgAHkAbwB1ACAAYwBoAGUAYwBrAGUAZAAgAGkAdAAuACAAUwBjAGgAZQBkAHUAbABlAFIAYQB0AGUAcwC7AygAKQAgAGwAYQB5AHMAIAByAGEAdABlAHMAIABhAGMAcgBvAHMAcwAgAGEAIAB0AGkAbQBlAGwAaQBuAGUAtgAgACAAIAAgACAAIAAgACAAIAAgACAAIAAgACAAIACSIXcAaQB0AGgAbwB1AHQAIAB0AGgAZQBzAGUAIABjAGgAZQBjAGsAcw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EAOQAgAE8AYwB0ACAAMgAwADIANgC2AFwAIgAgACYAXABuACAAIAAgACAAIAAgACAAIAAgACAAIAAgACAAIAAgACAAIAAgACAAIAAgACAAIAAgACAAIAAgACAAXAAiAFAAQQBSAEEATQBFAFQARQBSAFMAOgAgACAAIAAgAJIhtgBcACIAIAAmAFwAbgAgACAAIAAgACAAIAAgACAAIAAgACAAIAAgACAAIAAgACAAIAAgACAAIAAgACAAIAAgACAAIAAgAFwAIgBFAGYAZgBlAGMAdABpAHYAZQBEAGEAdABlAHMAIACSISgAUgBlAHEAdQBpAHIAZQBkACkAIABBACAAcgBvAHcAIABvAHIAIABjAG8AbAB1AG0AbgAgAG8AZgAgAGQAYQB0AGUAcwAgAGYAcgBvAG0AIAB3AGgAaQBjAGgAIABlAGEAYwBoACAAcgBhAHQAZQAgAGEAcABwAGwAaQBlAHMALAAgAGkAbgAgAGEAcwBjAGUAbgBkAGkAbgBnACAAbwByAGQAZQByAC4AtgBcACIAIAAmAFwAbgAgACAAIAAgACAAIAAgACAAIAAgACAAIAAgACAAIAAgACAAIAAgACAAIAAgACAAIAAgACAAIAAgAFwAIgBSAGEAdABlAHMAIAAgACAAIAAgACAAIAAgACAAIACSISgAUgBlAHEAdQBpAHIAZQBkACkAIABUAGgAZQAgAHIAYQB0AGUAIAB0AGgAYQB0ACAAYQBwAHAAbABpAGUAcwAgAGYAcgBvAG0AIABlAGEAYwBoACAAZQBmAGYAZQBjAHQAaQB2AGUAIABkAGEAdABlACwAIAB0AGgAZQAgAHMAYQBtAGUAIABsAGUAbgBnAHQAaAAgAGEAcwAgAEUAZgBmAGUAYwB0AGkAdgBlAEQAYQB0AGUAcwAuALYAXAAiACAAJgBcAG4AIAAgACAAIAAgACAAIAAgACAAIAAgACAAIAAgACAAIAAgACAAIAAgACAAIAAgACAAIAAgACAAIABcACIARABhAHQAZQBzACAAIAAgACAAIAAgACAAIAAgACAAkiEoAFIAZQBxAHUAaQByAGUAZAApACAAVABoAGUAIABkAGEAdABlACwAIABvAHIAIABhACAAcgBvAHcAIABvAHIAIABjAG8AbAB1AG0AbgAgAG8AZgAgAGQAYQB0AGUAcwAsACAAdABvACAAbABvAG8AawAgAHUAcA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FIAYQB0AGUAQQB0AEQAYQB0AGUAuwMoAEQAQQBUAEUAKAAyADAAMgA2ACwAIAB7ADEAOwA3ADsAMQAwAH0ALAAgADEAKQAsACAAewAwAC4AMAA0ADsAMAAuADAANAA1ADsAMAAuADAANQB9ACwAIABEAEEAVABFACgAMgAwADIANgAsACAAOAAsACAAMQA1ACkAKQC2AFwAIgAgACYAXABuACAAIAAgACAAIAAgACAAIAAgACAAIAAgACAAIAAgACAAIAAgACAAIAAgACAAIAAgACAAIAAgACAAXAAiAJIhUgBlAHMAdQBsAHQAtgBcACIAIAAmAFwAbgAgACAAIAAgACAAIAAgACAAIAAgACAAIAAgACAAIAAgACAAIAAgACAAIAAgACAAIAAgACAAIAAgAFwAIgCSITAALgAwADQANQ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RQBmAGYAZQBjAHQAaQB2AGUARABhAHQAZQBzACkALAAgAEkAUwBPAE0ASQBUAFQARQBEACgAUgBhAHQAZQBzACkALAAgAEkAUwBPAE0ASQBUAFQARQBEACgARABhAHQAZQBzACkAKQAsAFwAbgAgACAAIAAgAC8ALwAgACAAVABoAGUAIAB0AGEAYgBsAGUAIABsAGEAaQBkACAAZABvAHcAbgAgAG8AbgBlACAAYwBvAGwAdQBtAG4ALAAgAHMAbwAgAGEAIAByAG8AdwAgAGEAbgBkACAAYQAgAGMAbwBsAHUAbQBuACAAcgBlAGEAZAAgAHQAaABlACAAcwBhAG0AZQBcAG4AIAAgACAAIAAgACAAIAAgAFMAdABhAHIAdABzACwAIAAgACAAIAAgACAAIAAgACAAVABPAEMATwBMACgARQBmAGYAZQBjAHQAaQB2AGUARABhAHQAZQBzACkALABcAG4AIAAgACAAIAAgACAAIAAgAFYAYQBsAHUAZQBzACwAIAAgACAAIAAgACAAIAAgACAAVABPAEMATwBMACgAUgBhAHQAZQBzACkALABcAG4AIAAgACAAIAAgACAAIAAgAEMAbwB1AG4AdAAsACAAIAAgACAAIAAgACAAIAAgACAAUgBPAFcAUwAoAFMAdABhAHIAdABzACkALABcAG4AIAAgACAAIAAvAC8AIAAgAFIAZQBhAGQAIABvAG4AIAB0AGgAZQAgAGEAcgBnAHUAbQBlAG4AdABzACwAIABuAG8AdAAgAHQAaABlACAAYwBvAGwAdQBtAG4AcwA6ACAAVABPAEMATwBMACAAdAB1AHIAbgBzACAAYQAgAGIAbABhAG4AawAgAGMAZQBsAGwAIABpAG4AdABvACAAMAAsACAAdwBoAGkAYwBoAFwAbgAgACAAIAAgAC8ALwAgACAAdwBvAHUAbABkACAAcABhAHMAcwAgAGEAcwAgAGEAIABkAGEAdABlACAAaQBuACAAMQA5ADAAMAAgAG8AcgAgAGEAIABuAGkAbAAgAHIAYQB0AGUAXABuACAAIAAgACAAIAAgACAAIABDAG8AbQBwAGwAZQB0AGUAPwAsACAAIAAgACAAIAAgAEEATgBEACgAQwBvAHUAbgB0ACAAPQAgAFIATwBXAFMAKABWAGEAbAB1AGUAcwApACwAIABJAFMATgBVAE0AQgBFAFIAKABFAGYAZgBlAGMAdABpAHYAZQBEAGEAdABlAHMAKQAsACAASQBTAE4AVQBNAEIARQBSACgAUgBhAHQAZQBzACkAKQAsAFwAbgAgACAAIAAgACAAIAAgACAAUwB0AGUAcABzACwAIAAgACAAIAAgACAAIAAgACAAIABJAEYAKABDAG8AdQBuAHQAIAA9ACAAMQAsACAAMQAsACAARABSAE8AUAAoAFMAdABhAHIAdABzACwAIAAxACkAIAAtACAARABSAE8AUAAoAFMAdABhAHIAdABzACwAIAAtADEAKQApACwAXABuACAAIAAgACAAIAAgACAAIABVAG4AcwBvAHIAdABlAGQAPwAsACAAIAAgACAAIAAgAE8AUgAoAFMAdABlAHAAcwAgADwAIAAwACkALABcAG4AIAAgACAAIAAgACAAIAAgAFIAZQBwAGUAYQB0AGUAZAA/ACwAIAAgACAAIAAgACAATwBSACgAUwB0AGUAcABzACAAPQAgADAAKQAsAFwAbgAgACAAIAAgACAAIAAgACAARwBhAHAATQBlAHMAcwBhAGcAZQAsACAAIAAgACAAIABcACIAUgBhAHQAZQBBAHQARABhAHQAZQC7AyAAbgBlAGUAZABzACAARQBmAGYAZQBjAHQAaQB2AGUARABhAHQAZQBzACAAYQBuAGQAIABSAGEAdABlAHMAIABvAGYAIAB0AGgAZQAgAHMAYQBtAGUAIABsAGUAbgBnAHQAaAAgAHcAaQB0AGgAIABhACAAbgB1AG0AYgBlAHIAIABcACIAXABuACAAIAAgACAAIAAgACAAIAAgACAAIAAgACAAIAAgACAAIAAgACAAIAAgACAAIAAgACYAIABcACIAaQBuACAAZQB2AGUAcgB5ACAAZQBuAHQAcgB5AC4AIABBACAAYgBsAGEAbgBrACAAbwByACAAdABlAHgAdAAgAGUAbgB0AHIAeQAgAGwAZQBhAHYAZQBzACAAYQAgAGcAYQBwACAAaQBuACAAdABoAGUAIAB0AGEAYgBsAGUALgBcACIALABcAG4AIAAgACAAIAAgACAAIAAgAFMAbwByAHQATQBlAHMAcwBhAGcAZQAsACAAIAAgACAAXAAiAFIAYQB0AGUAQQB0AEQAYQB0AGUAuwMgAG4AZQBlAGQAcwAgAEUAZgBmAGUAYwB0AGkAdgBlAEQAYQB0AGUAcwAgAGkAbgAgAGEAcwBjAGUAbgBkAGkAbgBnACAAbwByAGQAZQByAC4AIABTAG8AcgB0ACAAdABoAGUAIAB0AGEAYgBsAGUAIABiAHkAIABcACIAXABuACAAIAAgACAAIAAgACAAIAAgACAAIAAgACAAIAAgACAAIAAgACAAIAAgACAAIAAgACYAIABcACIAZQBmAGYAZQBjAHQAaQB2AGUAIABkAGEAdABlAC4AXAAiACwAXABuACAAIAAgACAAIAAgACAAIABSAGUAcABlAGEAdABNAGUAcwBzAGEAZwBlACwAIAAgAFwAIgBSAGEAdABlAEEAdABEAGEAdABlALsDIABmAG8AdQBuAGQAIABhAG4AIABlAGYAZgBlAGMAdABpAHYAZQAgAGQAYQB0AGUAIAB0AGgAYQB0ACAAcgBlAHAAZQBhAHQAcwAuACAASwBlAGUAcAAgAG8AbgBlACAAcgBhAHQAZQAgAGYAbwByACAAZQBhAGMAaAAgAFwAIgBcAG4AIAAgACAAIAAgACAAIAAgACAAIAAgACAAIAAgACAAIAAgACAAIAAgACAAIAAgACAAJgAgAFwAIgBkAGEAdABlAC4AXAAiACwAXABuACAAIAAgACAALwAvACAAIABCAGkAbgBhAHIAeQAgAHMAZQBhAHIAYwBoACAAaQBzACAAcwBhAGYAZQAgAG8AbgBjAGUAIAB0AGgAZQAgAG8AcgBkAGUAcgAgAGkAcwAgAHAAcgBvAHYAZQBuAC4AIABOAG8AIABkAGEAdABlACAAYQB0ACAAbwByACAAYgBlAGYAbwByAGUAIAB0AGgAZQAgAGwAbwBvAGsAdQBwAFwAbgAgACAAIAAgAC8ALwAgACAAZABhAHQAZQAgAG0AZQBhAG4AcwAgAG4AbwAgAHIAYQB0AGUAIAB3AGEAcwAgAHkAZQB0ACAAaQBuACAAZQBmAGYAZQBjAHQAOgAgACMATgAvAEEALgBcAG4AIAAgACAAIAAgACAAIAAgAFIAZQBzAHUAbAB0ACwAIAAgACAAIAAgACAAIAAgACAASQBGACgASQBTAE4AVQBNAEIARQBSACgARABhAHQAZQBzACkALAAgAFgATABPAE8ASwBVAFAAKABEAGEAdABlAHMALAAgAFMAdABhAHIAdABzACwAIABWAGEAbAB1AGUAcwAsACAATgBBACgAKQAsACAALQAxACwAIAAyACkALAAgACMAVgBBAEwAVQBFACEAKQAsAFwAbgAgACAAIAAgAC8ALwAgACAAUgBlAHQAdQByAG4AIABSAGUAcwB1AGwAdAAsACAASABlAGwAcAAsACAAbwByACAAdABoAGUAIABtAGUAcwBzAGEAZwBlAFwAbgAgACAAIAAgACAAIAAgACAAUgBlAHQAdQByAG4ALAAgACAAIAAgACAAIAAgACAAIABJAEYAKABIAGUAbABwAD8ALAAgADIALAAgAEkARgAoAE4ATwBUACgAQwBvAG0AcABsAGUAdABlAD8AKQAsACAAMwAsACAASQBGACgAVQBuAHMAbwByAHQAZQBkAD8ALAAgADQALAAgAEkARgAoAFIAZQBwAGUAYQB0AGUAZAA/ACwAIAA1ACwAIAAxACkAKQApACkALABcAG4AIAAgACAAIAAgACAAIAAgAEMASABPAE8AUwBFACgAIABSAGUAdAB1AHIAbgAsACAAUgBlAHMAdQBsAHQALAAgAEgAZQBsAHAALAAgAEcAYQBwAE0AZQBzAHMAYQBnAGUALAAgAFMAbwByAHQATQBlAHMAcwBhAGcAZQAsACAAUgBlAHAAZQBhAHQATQBlAHMAcwBhAGcAZQApAFwAbgAgACAAIAAgACkAXABuACkAOwBcAG4AXABuAFwAbgBcAG4ALwAqACAAIABGAFUATgBDAFQASQBPAE4AIABOAEEATQBFADoAIAAgAEQAYQB0AGUARABpAGYAuwNcAG4AIAAgACAAIABEAEUAUwBDAFIASQBQAFQASQBPAE4AOgAqAC8ALwAqACoAVwBoAG8AbABlACAAeQBlAGEAcgBzACwAIABtAG8AbgB0AGgAcwAgAG8AcgAgAGQAYQB5AHMAIABiAGUAdAB3AGUAZQBuACAAdAB3AG8AIABkAGEAdABlAHMALAAgAGEAbgBkACAAdABoAGUAIAByAGUAbQBhAGkAbgBkAGUAcgBzACAARABBAFQARQBEAEkARgAgAGcAZQB0AHMAIAB3AHIAbwBuAGcAKgAvAFwAbgBcAG4ARABhAHQAZQBEAGkAZgC7AyAAPQAgAEwAQQBNAEIARABBACgAXABuAC8ALwAgACAAUABhAHIAYQBtAGUAdABlAHIAIABEAGUAYwBsAGEAcgBhAHQAaQBvAG4AXABuACAAIAAgACAAWwBTAHQAYQByAHQARABhAHQAZQBdACwAXABuACAAIAAgACAAWwBFAG4AZABEAGEAdABlAF0ALABcAG4AIAAgACAAIABbAFUAbgBpAHQ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EAGEAdABlAEQAaQBmALsDKABTAHQAYQByAHQARABhAHQAZQAsACAARQBuAGQARABhAHQAZQAsACAAWwBVAG4AaQB0AF0AKQC2AFwAIgAgACYAXABuACAAIAAgACAAIAAgACAAIAAgACAAIAAgACAAIAAgACAAIAAgACAAIAAgACAAIAAgACAAIAAgACAAXAAiAEQARQBTAEMAUgBJAFAAVABJAE8ATgA6ACAAIAAgAJIhVwBoAG8AbABlACAAeQBlAGEAcgBzACwAIABtAG8AbgB0AGgAcwAgAG8AcgAgAGQAYQB5AHMAIABiAGUAdAB3AGUAZQBuACAAdAB3AG8AIABkAGEAdABlAHMALAAgAGEAbgBkACAAdABoAGUAIAByAGUAbQBhAGkAbgBkAGUAcgBzAC4AtgBOAE8AVABFAFMAIQAgACAAIAAgACAAIAAgACAAIACSIUUAeABjAGUAbAAgAGQAbwBjAHUAbQBlAG4AdABzACAARABBAFQARQBEAEkARgAgAGEAcwAgAGEAIABsAGUAZwBhAGMAeQAgAGMAbwBtAHAAYQB0AGkAYgBpAGwAaQB0AHkAIABmAHUAbgBjAHQAaQBvAG4AIABhAG4AZAAgAHcAYQByAG4AcwC2ACAAIAAgACAAIAAgACAAIAAgACAAIAAgACAAIAAgAJIhaQB0AHMAIABNAEQAIAB1AG4AaQB0ACAAYwBhAG4AIAByAGUAdAB1AHIAbgAgAGEAIABuAGUAZwBhAHQAaQB2AGUAIABvAHIAIAB3AHIAbwBuAGcAIABkAGEAeQAgAGMAbwB1AG4AdAAuACAAVABoAGkAcwAgAGMAbwB1AG4AdABzACAAYQC2ACAAIAAgACAAIAAgACAAIAAgACAAIAAgACAAIAAgAJIhbQBvAG4AdABoACAAYQBzACAAYwBvAG0AcABsAGUAdABlACAAdwBoAGUAbgAgAEUARABBAFQARQAoACkAIABvAGYAIAB0AGgAZQAgAHMAdABhAHIAdAAgAGQAYQB0AGUAIABoAGEAcwAgAGEAcgByAGkAdgBlAGQALAAgAHMAbwAgAGEAtgAgACAAIAAgACAAIAAgACAAIAAgACAAIAAgACAAIACSIW0AbwBuAHQAaAAgAGEAZgB0AGUAcgAgADMAMQAgAEoAYQBuAHUAYQByAHkAIABpAHMAIAB0AGgAZQAgAGwAYQBzAHQAIABkAGEAeQAgAG8AZgAgAEYAZQBiAHIAdQBhAHIAeQAsACAAYQBuAGQAIAB0AGEAawBlAHMAIABlAHYAZQByAHkAtgAgACAAIAAgACAAIAAgACAAIAAgACAAIAAgACAAIACSIXIAZQBtAGEAaQBuAGQAZQByACAAZgByAG8AbQAgAHQAaABlAHIAZQAuACAAQQAgAHIAZQB2AGUAcgBzAGUAZAAgAHIAYQBuAGcAZQAgAG8AcgAgAGEAbgAgAHUAbgBrAG4AbwB3AG4AIAB1AG4AaQB0ACAAcgBlAHQAdQByAG4AcwAgACMATgBVAE0AIQ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YAIABTAGUAcAAgADIAMAAyADYAtgBcACIAIAAmAFwAbgAgACAAIAAgACAAIAAgACAAIAAgACAAIAAgACAAIAAgACAAIAAgACAAIAAgACAAIAAgACAAIAAgAFwAIgBQAEEAUgBBAE0ARQBUAEUAUgBTADoAIAAgACAAIACSIbYAXAAiACAAJgBcAG4AIAAgACAAIAAgACAAIAAgACAAIAAgACAAIAAgACAAIAAgACAAIAAgACAAIAAgACAAIAAgACAAIABcACIAUwB0AGEAcgB0AEQAYQB0AGUAIAAgACAAIAAgACAAkiEoAFIAZQBxAHUAaQByAGUAZAApACAAVABoAGUAIABlAGEAcgBsAGkAZQByACAAZABhAHQAZQAsACAAbgB1AG0AZQByAGkAYwAgAG8AcgAgAHQAZQB4AHQALgC2AFwAIgAgACYAXABuACAAIAAgACAAIAAgACAAIAAgACAAIAAgACAAIAAgACAAIAAgACAAIAAgACAAIAAgACAAIAAgACAAXAAiAEUAbgBkAEQAYQB0AGUAIAAgACAAIAAgACAAIAAgAJIhKABSAGUAcQB1AGkAcgBlAGQAKQAgAFQAaABlACAAbABhAHQAZQByACAAZABhAHQAZQAsACAAbgB1AG0AZQByAGkAYwAgAG8AcgAgAHQAZQB4AHQALgC2AFwAIgAgACYAXABuACAAIAAgACAAIAAgACAAIAAgACAAIAAgACAAIAAgACAAIAAgACAAIAAgACAAIAAgACAAIAAgACAAXAAiAFUAbgBpAHQAIAAgACAAIAAgACAAIAAgACAAIAAgAJIhKABPAHAAdABpAG8AbgBhAGwAOgAgAEQAZQBmAGEAdQBsAHQAIAA9ACAARAApACAAWQAgAHcAaABvAGwAZQAgAHkAZQBhAHIAcwAsACAATQAgAHcAaABvAGwAZQAgAG0AbwBuAHQAaABzACwAIABEACAAZABhAHkAcwAsACAAWQBNACAAbQBvAG4AdABoAHMAIABsAGUAZgB0ACAAYQBmAHQAZQByACAAdABoAGUAIAB3AGgAbwBsAGUAIAB5AGUAYQByAHMALAAgAFkARAAgAGQAYQB5AHMAIABsAGUAZgB0ACAAYQBmAHQAZQByACAAdABoAGUAIAB3AGgAbwBsAGUAIAB5AGUAYQByAHMALAAgAE0ARAAgAGQAYQB5AHMAIABsAGUAZgB0ACAAYQBmAHQAZQByACAAdABoAGUAIAB3AGgAbwBsAGUAIABtAG8AbgB0AGgAc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QAYQB0AGUARABpAGYAuwMoAEQAQQBUAEUAKAAyADAAMgA2ACwAMQAsADMAMQApACwAIABEAEEAVABFACgAMgAwADIANgAsADMALAAxACkALAAgAFwAIgBcACIATQBEAFwAIgBcACIAKQC2AFwAIgAgACYAXABuACAAIAAgACAAIAAgACAAIAAgACAAIAAgACAAIAAgACAAIAAgACAAIAAgACAAIAAgACAAIAAgACAAXAAiAJIhUgBlAHMAdQBsAHQAtgBcACIAIAAmAFwAbgAgACAAIAAgACAAIAAgACAAIAAgACAAIAAgACAAIAAgACAAIAAgACAAIAAgACAAIAAgACAAIAAgAFwAIgCSITE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FMAdABhAHIAdABEAGEAdABlACkALAAgAEkAUwBPAE0ASQBUAFQARQBEACgARQBuAGQARABhAHQAZQApACkALABcAG4AIAAgACAAIAAvAC8AIAAgAFQAZQB4AHQAIABkAGEAdABlAHMAIABhAHIAZQAgAHIAZQBhAGQAOwAgAGEAIABiAGwAYQBuAGsAIABVAG4AaQB0ACAAYwBlAGwAbAAgAGkAcwAgAG4AbwB0ACAAYQBuACAAbwBtAGkAdAB0AGUAZAAgAGEAcgBnAHUAbQBlAG4AdAAsACAAcwBvACAAdABlAHMAdAAgAGYAbwByACAAYgBvAHQAaABcAG4AIAAgACAAIAAgACAAIAAgAFMAdABhAHIAdAAsACAAIAAgACAAIAAgACAAIAAgACAASQBGACgASQBTAE4AVQBNAEIARQBSACgAUwB0AGEAcgB0AEQAYQB0AGUAKQAsACAAUwB0AGEAcgB0AEQAYQB0AGUALAAgAEQAQQBUAEUAVgBBAEwAVQBFACgAUwB0AGEAcgB0AEQAYQB0AGUAKQApACwAXABuACAAIAAgACAAIAAgACAAIABGAGkAbgBpAHMAaAAsACAAIAAgACAAIAAgACAAIAAgAEkARgAoAEkAUwBOAFUATQBCAEUAUgAoAEUAbgBkAEQAYQB0AGUAKQAsACAARQBuAGQARABhAHQAZQAsACAARABBAFQARQBWAEEATABVAEUAKABFAG4AZABEAGEAdABlACkAKQAsAFwAbgAgACAAIAAgAC8ALwAgACAARQBsAGUAbQBlAG4AdAAtAHcAaQBzAGUALAAgAHMAbwAgAG8AbgBlACAAYgBsAGEAbgBrACAAVQBuAGkAdAAgAGkAbgAgAGEAIABjAG8AbAB1AG0AbgAgAGQAZQBmAGEAdQBsAHQAcwAgAGkAdABzACAAbwB3AG4AIAByAG8AdwAgAGEAbgBkACAAbgBvAHQAIABlAHYAZQByAHkAIAByAG8AdwBcAG4AIAAgACAAIAAgACAAIAAgAEMAbwBkAGUALAAgACAAIAAgACAAIAAgACAAIAAgACAASQBGACgASQBTAE8ATQBJAFQAVABFAEQAKABVAG4AaQB0ACkALAAgAFwAIgBEAFwAIgAsACAASQBGACgAVQBuAGkAdAAgAD0AIABcACIAXAAiACwAIABcACIARABcACIALAAgAFUAUABQAEUAUgAoAFUAbgBpAHQAKQApACkALABcAG4AIAAgACAAIAAvAC8AIAAgAEMAYQBsAGUAbgBkAGEAcgAgAG0AbwBuAHQAaABzACAAYwByAG8AcwBzAGUAZAAsACAAbABlAHMAcwAgAG8AbgBlACAAdwBoAGUAbgAgAHQAaABlACAAbABhAHMAdAAgAGgAYQBzACAAbgBvAHQAIAB5AGUAdAAgAGMAbwBtAHAAbABlAHQAZQBkAFwAbgAgACAAIAAgACAAIAAgACAAUgBhAHcATQBvAG4AdABoAHMALAAgACAAIAAgACAAIAAxADIAIAAqACAAKABZAEUAQQBSACgARgBpAG4AaQBzAGgAKQAgAC0AIABZAEUAQQBSACgAUwB0AGEAcgB0ACkAKQAgACsAIABNAE8ATgBUAEgAKABGAGkAbgBpAHMAaAApACAALQAgAE0ATwBOAFQASAAoAFMAdABhAHIAdAApACwAXABuACAAIAAgACAAIAAgACAAIABNAG8AbgB0AGgAcwAsACAAIAAgACAAIAAgACAAIAAgAFIAYQB3AE0AbwBuAHQAaABzACAALQAgACgARQBEAEEAVABFACgAUwB0AGEAcgB0ACwAIABSAGEAdwBNAG8AbgB0AGgAcwApACAAPgAgAEYAaQBuAGkAcwBoACkALABcAG4AIAAgACAAIAAgACAAIAAgAFkAZQBhAHIAcwAsACAAIAAgACAAIAAgACAAIAAgACAASQBOAFQAKABNAG8AbgB0AGgAcwAgAC8AIAAxADIAKQAsAFwAbgAgACAAIAAgACAAIAAgACAAUgBlAHMAdQBsAHQALAAgACAAIAAgACAAIAAgACAAIABJAEYAKABGAGkAbgBpAHMAaAAgADwAIABTAHQAYQByAHQALABcAG4AIAAgACAAIAAgACAAIAAgACAAIAAgACAAIAAgACAAIAAgACAAIAAgACAAIAAgACAAIAAgACAAIAAjAE4AVQBNACEALABcAG4AIAAgACAAIAAgACAAIAAgACAAIAAgACAAIAAgACAAIAAgACAAIAAgACAAIAAgACAAIAAgACAAIABTAFcASQBUAEMASAAoAEMAbwBkAGUALABcAG4AIAAgACAAIAAgACAAIAAgACAAIAAgACAAIAAgACAAIAAgACAAIAAgACAAIAAgACAAIAAgACAAIAAgACAAIAAgAFwAIgBZAFwAIgAsACAAWQBlAGEAcgBzACwAXABuACAAIAAgACAAIAAgACAAIAAgACAAIAAgACAAIAAgACAAIAAgACAAIAAgACAAIAAgACAAIAAgACAAIAAgACAAIABcACIATQBcACIALAAgAE0AbwBuAHQAaABzACwAXABuACAAIAAgACAAIAAgACAAIAAgACAAIAAgACAAIAAgACAAIAAgACAAIAAgACAAIAAgACAAIAAgACAAIAAgACAAIABcACIARABcACIALAAgAEYAaQBuAGkAcwBoACAALQAgAFMAdABhAHIAdAAsAFwAbgAgACAAIAAgACAAIAAgACAAIAAgACAAIAAgACAAIAAgACAAIAAgACAAIAAgACAAIAAgACAAIAAgACAAIAAgACAAXAAiAFkATQBcACIALAAgAE0AbwBuAHQAaABzACAALQAgADEAMgAgACoAIABZAGUAYQByAHMALABcAG4AIAAgACAAIAAgACAAIAAgACAAIAAgACAAIAAgACAAIAAgACAAIAAgACAAIAAgACAAIAAgACAAIAAgACAAIAAgAFwAIgBZAEQAXAAiACwAIABGAGkAbgBpAHMAaAAgAC0AIABFAEQAQQBUAEUAKABTAHQAYQByAHQALAAgADEAMgAgACoAIABZAGUAYQByAHMAKQAsAFwAbgAgACAAIAAgACAAIAAgACAAIAAgACAAIAAgACAAIAAgACAAIAAgACAAIAAgACAAIAAgACAAIAAgACAAIAAgACAAXAAiAE0ARABcACIALAAgAEYAaQBuAGkAcwBoACAALQAgAEUARABBAFQARQAoAFMAdABhAHIAdAAsACAATQBvAG4AdABoAHMAKQAsAFwAbgAgACAAIAAgACAAIAAgACAAIAAgACAAIAAgACAAIAAgACAAIAAgACAAIAAgACAAIAAgACAAIAAgACAAIAAgACAAIwBOAFUATQAhACkAKQAsAFwAbgAgACAAIAAgAC8ALwAgACAAUgBlAHQAdQByAG4AIABSAGUAcwB1AGwAdAAgAG8AcgAgAEgAZQBsAHAAXABuACAAIAAgACAAIAAgACAAIABDAEgATwBPAFMARQAoACAASABlAGwAcAA/ACAAKwAgADEALAAgAFIAZQBzAHUAbAB0ACwAIABIAGUAbABwACkAXABuACAAIAAgACAAKQBcAG4AKQA7AFwAbgAiAH0ALAB7ACIAcABhAHQAaAAiADoAIgAvAHAAcgBvAGoAZQBjAHQAcwAvAEUAcwBzAGUAbgB0AGkAYQBsAHMAIgAsACIAdABlAHgAdAAiADoAIgAvACoAIAAgAEYAVQBOAEMAVABJAE8ATgAgAE4AQQBNAEUAOgAgACAAQQBiAG8AdQB0AEUAcwBzAGUAbgB0AGkAYQBsAHMAuwNcAG4AIAAgACAAIABEAEUAUwBDAFIASQBQAFQASQBPAE4AOgAqAC8ALwAqACoARABpAHMAcABsAGEAeQBzACAAdABoAGkAcwAgAG0AbwBkAHUAbABlACcAcwAgAHIAZQBwAG8AcwBpAHQAbwByAHkAIABVAFIATAAgAGEAbgBkACAAZgB1AG4AYwB0AGkAbwBuACAAbABpAHMAdAAqAC8AXABuAFwAbgBBAGIAbwB1AHQARQBzAHMAZQBuAHQAaQBhAGwAcwC7AyAAPQAgAFQAUgBJAE0AKABUAEUAWABUAFMAUABMAEkAVAAoAFwAbgAgACAAIAAgAFwAIgBBAGIAbwB1AHQAOgAgACAAIAAgACAAIAAgACAAIAAgACAAIAAgACAAIAAgACAAIAAgACAAIACSIUIAYQBzAGkAYwAgAGYAdQBuAGMAdABpAG8AbgBzACAAZgBvAHIAIAB3AG8AcgBrAGkAbgBnACAAdwBpAHQAaAAgAGQAeQBuAGEAbQBpAGMAIABhAHIAcgBhAHkAcwAuACAAUwB1AGcAZwBlAHMAdABlAGQAIABtAG8AZAB1AGwAZQAgAG4AYQBtAGUAOgAgAG8AegC2AFwAIgAgACYAXABuACAAIAAgACAAXAAiAFYAZQByAHMAaQBvAG4AOgAgACAAIAAgACAAIAAgACAAIAAgACAAIAAgACAAIAAgACAAIAAgAJIhMgAwACAAQQB1AGcAIAAyADAAMgA2ALYAXAAiACAAJgBcAG4AIAAgACAAIABcACIAUgBlAHAAbwBzAGkAdABvAHIAeQA6ACAAIAAgACAAIAAgACAAIAAgACAAIAAgACAAIAAgACAAIAAgAJIhaAB0AHQAcABzADoALwAvAGcAaQB0AGgAdQBiAC4AYwBvAG0ALwByAHkAYQBuAGQAdQBnAHUAaQBkAC8ATwB6AHoAaQB0ACAAtgBcACIAIAAmAFwAbgAgACAAIAAgAFwAIgCSIbYAXAAiACAAJgBcAG4AIAAgACAAIABcACIARgB1AG4AYwB0AGkAbwBuACAAIAAgACAAIAAgACAAIAAgACAAIAAgACAAIAAgACAAIAAgACAAkiFEAGUAcwBjAHIAaQBwAHQAaQBvAG4AtgBcACIAIAAmACAAXABuACAAIAAgACAAXAAiAEEAYgBvAHUAdABFAHMAcwBlAG4AdABpAGEAbABzALsDIAAgACAAIAAgACAAIAAgACAAIAAgACAAIAAgACAAIAAgACAAIAAgACAAkiFQAHIAbwBkAHUAYwBlAHMAIAB0AGgAaQBzACAAdABhAGIAbABlALYAXAAiACAAJgAgAFwAbgAgACAAIAAgAFwAIgBDAG8AdQBuAHQAQwC7AyAAIAAgACAAIAAgACAAIAAgACAAIAAgACAAIAAgACAAIAAgACAAIACSIUMAbwB1AG4AdAAgAGgAbwB3ACAAbQBhAG4AeQAgAG8AZgAgAG8AbgBlACAAbwByACAAbQBvAHIAZQAgAGMAaABhAHIAYQBjAHQAZQByAHMAIABhAHIAZQAgAGkAbgAgAGEAIAB0AGUAeAB0ACAAcwB0AHIAaQBuAGcAtgBcACIAIAAmAFwAbgAgACAAIAAgAFwAIgBTAHUAbQBDAG8AbABzALsDIAAgACAAIAAgACAAIAAgACAAIAAgACAAIAAgACAAIAAgACAAIACSIUcAZQB0ACAAdABoAGUAIAB0AG8AdABhAGwAIABvAGYAIABlAGEAYwBoACAAYwBvAGwAdQBtAG4AtgBcACIAIAAmACAAXABuACAAIAAgACAAXAAiAFMAdQBtAFIAbwB3AHMAuwMgACAAIAAgACAAIAAgACAAIAAgACAAIAAgACAAIAAgACAAIAAgAJIhRwBlAHQAIAB0AGgAZQAgAHQAbwB0AGEAbAAgAG8AZgAgAGUAYQBjAGgAIAByAG8AdwC2AFwAIgAgACYAIABcAG4AIAAgACAAIABcACIAQQB2AGcAQwBvAGwAcwC7AyAAIAAgACAAIAAgACAAIAAgACAAIAAgACAAIAAgACAAIAAgACAAkiFHAGUAdAAgAHQAaABlACAAYQB2AGUAcgBhAGcAZQAgAG8AZgAgAGUAYQBjAGgAIABjAG8AbAB1AG0AbgC2AFwAIgAgACYAIABcAG4AIAAgACAAIABcACIAQQB2AGcAUgBvAHcAcwC7AyAAIAAgACAAIAAgACAAIAAgACAAIAAgACAAIAAgACAAIAAgACAAkiFHAGUAdAAgAHQAaABlACAAYQB2AGUAcgBhAGcAZQAgAG8AZgAgAGUAYQBjAGgAIAByAG8AdwC2AFwAIgAgACYAIABcAG4AIAAgACAAIABcACIATQBpAG4AQwBvAGwAcwC7AyAAIAAgACAAIAAgACAAIAAgACAAIAAgACAAIAAgACAAIAAgACAAkiFHAGUAdAAgAHQAaABlACAAbQBpAG4AaQBtAHUAbQAgAG8AZgAgAGUAYQBjAGgAIABjAG8AbAB1AG0AbgC2AFwAIgAgACYAIABcAG4AIAAgACAAIABcACIATQBpAG4AUgBvAHcAcwC7AyAAIAAgACAAIAAgACAAIAAgACAAIAAgACAAIAAgACAAIAAgACAAkiFHAGUAdAAgAHQAaABlACAAbQBpAG4AaQBtAHUAbQAgAG8AZgAgAGUAYQBjAGgAIAByAG8AdwC2AFwAIgAgACYAIABcAG4AIAAgACAAIABcACIATQBhAHgAQwBvAGwAcwC7AyAAIAAgACAAIAAgACAAIAAgACAAIAAgACAAIAAgACAAIAAgACAAkiFHAGUAdAAgAHQAaABlACAAbQBhAHgAaQBtAHUAbQAgAG8AZgAgAGUAYQBjAGgAIABjAG8AbAB1AG0AbgC2AFwAIgAgACYAIABcAG4AIAAgACAAIABcACIATQBhAHgAUgBvAHcAcwC7AyAAIAAgACAAIAAgACAAIAAgACAAIAAgACAAIAAgACAAIAAgACAAkiFHAGUAdAAgAHQAaABlACAAbQBhAHgAaQBtAHUAbQAgAG8AZgAgAGUAYQBjAGgAIAByAG8AdwC2AFwAIgAgACYAIABcAG4AIAAgACAAIABcACIAQwBvAHUAbgB0AEMAbwBsAHMAuwMgACAAIAAgACAAIAAgACAAIAAgACAAIAAgACAAIAAgACAAkiFHAGUAdAAgAHQAaABlACAAYwBvAHUAbgB0ACAAbwBmACAAbgB1AG0AYgBlAHIAcwAgAGkAbgAgAGUAYQBjAGgAIABjAG8AbAB1AG0AbgC2AFwAIgAgACYAIABcAG4AIAAgACAAIABcACIAQwBvAHUAbgB0AFIAbwB3AHMAuwMgACAAIAAgACAAIAAgACAAIAAgACAAIAAgACAAIAAgACAAkiFHAGUAdAAgAHQAaABlACAAYwBvAHUAbgB0ACAAbwBmACAAbgB1AG0AYgBlAHIAcwAgAGkAbgAgAGUAYQBjAGgAIAByAG8AdwC2AFwAIgAgACYAIABcAG4AIAAgACAAIABcACIAQwBvAHUAbgB0AEEAQwBvAGwAcwC7AyAAIAAgACAAIAAgACAAIAAgACAAIAAgACAAIAAgACAAkiFHAGUAdAAgAHQAaABlACAAYwBvAHUAbgB0ACAAbwBmACAAZQB2AGUAcgB5AHQAaABpAG4AZwAgAG8AZgAgAGUAYQBjAGgAIABjAG8AbAB1AG0AbgC2AFwAIgAgACYAIABcAG4AIAAgACAAIABcACIAQwBvAHUAbgB0AEEAUgBvAHcAcwC7AyAAIAAgACAAIAAgACAAIAAgACAAIAAgACAAIAAgACAAkiFHAGUAdAAgAHQAaABlACAAYwBvAHUAbgB0ACAAbwBmACAAZQB2AGUAcgB5AHQAaABpAG4AZwAgAG8AZgAgAGUAYQBjAGgAIAByAG8AdwC2AFwAIgAgACYAIABcAG4AIAAgACAAIABcACIASQBzAEIAZQB0AHcAZQBlAG4ARQC7AyAAIAAgACAAIAAgACAAIAAgACAAIAAgACAAIAAgACAAIACSIUQAZQB0AGUAcgBtAGkAbgBlACAAaQBmACAAYQAgAHYAYQBsAHUAZQAgAGkAcwAgAGIAZQB0AHcAZQBlAG4AIABhACAAbABvAHcAZQByACAAYQBuAGQAIAB1AHAAcABlAHIAIABsAGkAbQBpAHQALgC2AFwAIgAgACYAIABcAG4AIAAgACAAIABcACIASQBzAEkAbgBMAGkAcwB0ALsDIAAgACAAIAAgACAAIAAgACAAIAAgACAAIAAgACAAIAAgACAAkiFEAGUAdABlAHIAbQBpAG4AZQAgAGkAZgAgAGEAIAB2AGEAbAB1AGUAIABpAHMAIABvAG4AZQAgAG8AZgAgAGEAIABsAGkAcwB0ACAAbwBmACAAaQB0AGUAbQBzAC4AtgBcACIAIAAmAFwAbgAgACAAIAAgAFwAIgBSAGEAbgBnAGUAVABvAEQAQQBFALsDIAAgACAAIAAgACAAIAAgACAAIAAgACAAIAAgACAAIAAgAJIhQwBvAG4AdgBlAHIAdAAgAGEAIAByAGEAbgBnAGUAIAByAGUAZgBlAHIAZQBuAGMAZQAgAHQAbwAgAGEAIABkAHkAbgBhAG0AaQBjACAAYQByAHIAYQB5ACAAcgBlAGYAZQByAGUAbgBjAGUAXAAiACwAXABuACAAIAAgACAAXAAiAJIhXAAiACwAXAAiALYAXAAiAFwAbgAgACAAIAAgACkAXABuACkAOwBcAG4AXABuAFwAbgBcAG4ALwAqACAAIABGAFUATgBDAFQASQBPAE4AIABOAEEATQBFADoAIAAgAEMAbwB1AG4AdABDALsDXABuACAAIAAgACAARABFAFMAQwBSAEkAUABUAEkATwBOADoAKgAvAC8AKgAqAEMAbwB1AG4AdAAgAG8AYwBjAHUAcgByAGUAbgBjAGUAcwAgAG8AZgAgAGMAaABhAHIAYQBjAHQAZQByACgAcwApACAAaQBuACAAYQAgAHMAdAByAGkAbgBnACoALwBcAG4AQwBvAHUAbgB0AEMAuwMgAD0AIABMAEEATQBCAEQAQQAoAFwAbgAvAC8AIAAgAFAAYQByAGEAbQBlAHQAZQByACAARABlAGMAbABhAHIAYQB0AGkAbwBuAHMAXABuACAAIAAgACAAIAAgACAAIABbAFQAZQB4AHQAXQAsAFwAbgAgACAAIAAgACAAIAAgACAAWwBDAGgAYQByAGEAYwB0AGUAcgBzAF0ALABcAG4ALwAvACAAIABIAGUAbABwAFwAbgAgACAAIAAgAEwARQBUACgASABlAGwAcAAsACAAIAAgACAAIAAgACAAVABSAEkATQAoAFQARQBYAFQAUwBQAEwASQBUACgAIABcAG4AIAAgACAAIAAgACAAIAAgACAAIAAgACAAIAAgACAAIAAgACAAIAAgACAAIAAgACAAIAAgACAAIABcACIARgBVAE4AQwBUAEkATwBOADoAIAAgACAAIAAgACAAkiFDAG8AdQBuAHQAQwC7AygAIABUAGUAeAB0ACwAIABDAGgAYQByAGEAYwB0AGUAcgBzACkAtgBcACIAIAAmAFwAbgAgACAAIAAgACAAIAAgACAAIAAgACAAIAAgACAAIAAgACAAIAAgACAAIAAgACAAIAAgACAAIAAgAFwAIgBEAEUAUwBDAFIASQBQAFQASQBPAE4AOgAgACAAIACSIUMAbwB1AG4AdAAgAGgAbwB3ACAAbQBhAG4AeQAgAG8AZgAgAG8AbgBlACAAbwByACAAbQBvAHIAZQAgAGMAaABhAHIAYQBjAHQAZQByAHMAIABhAHIAZQAgAGkAbgAgAGEAIABzAHQAcgBpAG4AZwA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ABlAHgAdAAgACAAIAAgACAAIAAgACAAIAAgACAAkiEoAFIAZQBxAHUAaQByAGUAZAApACAAVABoAGUAIABzAHQAcgBpAG4AZwAgAHQAbwAgAGkAbgB0AGUAcgByAG8AZwBhAHQAZQAuACAARQBtAHAAdAB5ACAAdABlAHgAdAAgAHIAZQB0AHUAcgBuAHMAIAAwALYAXAAiACAAJgAgAFwAbgAgACAAIAAgACAAIAAgACAAIAAgACAAIAAgACAAIAAgACAAIAAgACAAIAAgACAAIAAgACAAIAAgAFwAIgBDAGgAYQByAGEAYwB0AGUAcgBzACAAIAAgACAAIACSISgAUgBlAHEAdQBpAHIAZQBkACkAIABBACAAcwBpAG4AZwBsAGUAIABjAGgAYQByAGEAYwB0AGUAcgAsACAAbwByACAAQwBTAFYAIABvAGYAIABjAGgAYQByAGEAYwB0AGUAcgBzACAAdABvACAAZgBpAG4AZAAgAGkAbgAgAFQAZQB4AHQAtgBcACIAIAAmACAAXABuACAAIAAgACAAIAAgACAAIAAgACAAIAAgACAAIAAgACAAIAAgACAAIAAgACAAIAAgACAAIAAgACAAIAAgACAAIAAgACAAIAAgACAAIAAgACAAIAAgACAAXAAiAJIhTgBPAFQARQAhACAAQwBhAHMAZQAgAHMAZQBuAHMAaQB0AGkAdgBlAC4AIABBACAAcwBpAG4AZwBsAGUAIABjAGgAYQByAGEAYwB0AGUAcgAgAGkAcwAgAHQAYQBrAGUAbgAgAGEAcwAgAGkAdABzAGUAbABmACwAIABzAG8AIABhACAAYwBvAG0AbQBhACAAdwBvAHIAawBz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DAG8AdQBuAHQAQwC7AygAIABcACIAXAAiAE0AYQByAHkAIABoAGEAZAAgAGEAIABsAGkAdAB0AGwAZQAgAGwAYQBtAGIAXAAiAFwAIgAsACAAXAAiAFwAIgBhACwAYgBcACIAXAAiACkAXAAiACwAI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EgAZQBsAHAAPwAsACAAIAAgACAAIAAgACAAIAAgACAAIABPAFIAKAAgAEkAUwBPAE0ASQBUAFQARQBEACgAIABUAGUAeAB0ACkALABcAG4AIAAgACAAIAAgACAAIAAgACAAIAAgACAAIAAgACAAIAAgACAAIAAgACAAIAAgACAAIAAgACAAIABJAFMATwBNAEkAVABUAEUARAAoACAAQwBoAGEAcgBhAGMAdABlAHIAcwApAFwAbgAgACAAIAAgACAAIAAgACAAIAAgACAAIAAgACAAIAAgACAAIAAgACAAIAAgACAAIAApACwAXABuACAAIAAgACAALwAvACAAIABTAGUAdAAgAGQAZQBmAGEAdQBsAHQAcwAuACAATwBuAGUAIABjAGgAYQByAGEAYwB0AGUAcgAgAGkAcwAgAHQAYQBrAGUAbgAgAGEAcwAgAGkAdABzAGUAbABmACwAIABzAG8AIABhACAAYwBvAG0AbQBhACAAYwBhAG4AIABiAGUAIABhAHMAawBlAGQAIABmAG8AcgA7AFwAbgAgACAAIAAgAC8ALwAgACAAMgAgAG8AcgAgAG0AbwByAGUAIABhAHIAZQAgAHIAZQBhAGQAIABhAHMAIAB0AGgAZQAgAGMAbwBtAG0AYQAgAHMAZQBwAGEAcgBhAHQAZQBkACAAbABpAHMAdAAgAHQAaABlACAAaABlAGwAcAAgAGQAZQBzAGMAcgBpAGIAZQBzAC4AXABuACAAIAAgACAAIAAgACAAIABDAGgAYQByAGEAYwB0AGUAcgBzACwAIAAgACAAIAAgAEkARgAoACAATABFAE4AKAAgAEMAaABhAHIAYQBjAHQAZQByAHMAKQAgAD0AIAAxACwAIABDAGgAYQByAGEAYwB0AGUAcgBzACwAIABUAEUAWABUAFMAUABMAEkAVAAoACAAQwBoAGEAcgBhAGMAdABlAHIAcwAsACAAXAAiACwAXAAiACAAKQApACwAXABuACAAIAAgACAALwAvACAAIABQAHIAbwBjAGUAZAB1AHIAZQAuACAARQBtAHAAdAB5ACAAdABlAHgAdAAgAGgAbwBsAGQAcwAgAG4AbwBuAGUAIABvAGYAIAB0AGgAZQBtACwAIABhAG4AZAAgAFQARQBYAFQAUwBQAEwASQBUACAAaABhAHMAIABuAG8AdABoAGkAbgBnACAAdABvACAAcwBwAGwAaQB0AC4AXABuACAAIAAgACAAIAAgACAAIABSAGUAcwB1AGwAdAAsACAAIAAgACAAIAAgACAAIAAgAEkARgAoACAATABFAE4AKAAgAFQAZQB4AHQAKQAgAD0AIAAwACwAIAAwACwAXABuACAAIAAgACAAIAAgACAAIAAgACAAIAAgACAAIAAgACAAIAAgACAAIAAgACAAIAAgACAAIAAgACAATABFAE4AKAAgAFQAZQB4AHQAKQAgAC0AIABTAFUATQAoACAATABFAE4AKAAgAFQARQBYAFQAUwBQAEwASQBUACgAIABUAGUAeAB0ACwAIABDAGgAYQByAGEAYwB0AGUAcgBzACkAKQApACk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TAHUAbQBSAG8AdwBzALsDXABuACAAIAAgACAARABFAFMAQwBSAEkAUABUAEkATwBOADoAKgAvAC8AKgAqAEcAZQB0ACAAdABoAGUAIAB0AG8AdABhAGwAIABmAG8AcgAgAGUAYQBjAGgAIAByAG8AdwAqAC8AXABuAFMAdQBt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FIAbwB3AHMAuwMoACAAQQByAHIAYQB5ACkAtgBcACIAIAAmAFwAbgAgACAAIAAgACAAIAAgACAAIAAgACAAIAAgACAAIAAgACAAIAAgACAAIAAgACAAIAAgACAAIAAgAFwAIgBEAEUAUwBDAFIASQBQAFQASQBPAE4AOgAgACAAIACSIUcAZQB0ACAAdABoAGUAIAB0AG8AdABhAGwAIABvAGY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yAG8Adw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TAHUAbQ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TAFUAT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TAHUAbQBDAG8AbABzALsDXABuACAAIAAgACAARABFAFMAQwBSAEkAUABUAEkATwBOADoAKgAvAC8AKgAqAEcAZQB0ACAAdABoAGUAIAB0AG8AdABhAGwAIABmAG8AcgAgAGUAYQBjAGgAIABDAG8AbAB1AG0AbgAqAC8AXABuAFMAdQBtAEMAbwBs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EMAbwBsAHMAuwMoACAAQQByAHIAYQB5ACkAtgBcACIAIAAmAFwAbgAgACAAIAAgACAAIAAgACAAIAAgACAAIAAgACAAIAAgACAAIAAgACAAIAAgACAAIAAgACAAIAAgAFwAIgBEAEUAUwBDAFIASQBQAFQASQBPAE4AOgAgACAAIACSIUcAZQB0ACAAdABoAGUAIAB0AG8AdABhAGwAIABvAGY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0AG8AdABhAGwAbABlAGQ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TAHUAbQ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TAFUATQ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SAG8AdwBzALsDXABuACAAIAAgACAARABFAFMAQwBSAEkAUABUAEkATwBOADoAKgAvAC8AKgAqAEcAZQB0ACAAdABoAGUAIABhAHYAZQByAGEAZwBlACAAZgBvAHIAIABlAGEAYwBoACAAcgBvAHcAKgAvAFwAbgBBAHYAZw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BAHYAZwBSAG8AdwBzALsDKAAgAEEAcgByAGEAeQApALYAXAAiACAAJgBcAG4AIAAgACAAIAAgACAAIAAgACAAIAAgACAAIAAgACAAIAAgACAAIAAgACAAIAAgACAAIAAgACAAIABcACIARABFAFMAQwBSAEkAUABUAEkATwBOADoAIAAgACAAkiFHAGUAdAAgAHQAaABlACAAYQB2AGUAcgBhAGcAZQ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dgBnAFIAbwB3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EAVgBFAFIAQQBHAEU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QB2AGcAQwBvAGwAcwC7A1wAbgAgACAAIAAgAEQARQBTAEMAUgBJAFAAVABJAE8ATgA6ACoALwAvACoAKgBHAGUAdAAgAHQAaABlACAAYQB2AGUAcgBhAGcAZQAgAGYAbwByACAAZQBhAGMAaAAgAEMAbwBsAHUAbQBuACoALwBcAG4AQQB2AGc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QwBvAGwAcwC7AygAIABBAHIAcgBhAHkAKQC2AFwAIgAgACYAXABuACAAIAAgACAAIAAgACAAIAAgACAAIAAgACAAIAAgACAAIAAgACAAIAAgACAAIAAgACAAIAAgACAAXAAiAEQARQBTAEMAUgBJAFAAVABJAE8ATgA6ACAAIAAgAJIhRwBlAHQAIAB0AGgAZQAgAGEAdgBlAHIAYQBnAGU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GMAbwBsAHUAbQBu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dgBn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EAVgBFAFIAQQBHAEUAK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UgBvAHcAcwC7A1wAbgAgACAAIAAgAEQARQBTAEMAUgBJAFAAVABJAE8ATgA6ACoALwAvACoAKgBHAGUAdAAgAHQAaABlACAAbQBpAG4AaQBtAHUAbQAgAGYAbwByACAAZQBhAGMAaAAgAHIAbwB3ACoALwBcAG4ATQBpAG4AUgBvAHc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UgBvAHcAcwC7AygAIABBAHIAcgBhAHkAKQC2AFwAIgAgACYAXABuACAAIAAgACAAIAAgACAAIAAgACAAIAAgACAAIAAgACAAIAAgACAAIAAgACAAIAAgACAAIAAgACAAXAAiAEQARQBTAEMAUgBJAFAAVABJAE8ATgA6ACAAIAAgAJIhRwBlAHQAIAB0AGgAZQAgAG0AaQBuAGkAbQB1AG0AIABvAGY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mAGkAbgBkACAAdABoAGUAIABtAGkAbgBpAG0AdQBtACAAYgB5ACAAcgBvAHc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TQBpAG4AUgBvAHcAcw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JAE4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QwBvAGwAcwC7A1wAbgAgACAAIAAgAEQARQBTAEMAUgBJAFAAVABJAE8ATgA6ACoALwAvACoAKgBHAGUAdAAgAHQAaABlACAAbQBpAG4AaQBtAHUAbQAgAGYAbwByACAAZQBhAGMAaAAgAEMAbwBsAHUAbQBuACoALwBcAG4ATQBpAG4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TQBpAG4AQwBvAGwAcwC7AygAIABBAHIAcgBhAHkAKQC2AFwAIgAgACYAXABuACAAIAAgACAAIAAgACAAIAAgACAAIAAgACAAIAAgACAAIAAgACAAIAAgACAAIAAgACAAIAAgACAAXAAiAEQARQBTAEMAUgBJAFAAVABJAE8ATgA6ACAAIAAgAJIhRwBlAHQAIAB0AGgAZQAgAG0AaQBuAGkAbQB1AG0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aQBuAGkAbQB1AG0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kAbgBDAG8AbA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NAEkATg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SAG8AdwBzALsDXABuACAAIAAgACAARABFAFMAQwBSAEkAUABUAEkATwBOADoAKgAvAC8AKgAqAEcAZQB0ACAAdABoAGUAIABtAGEAeABpAG0AdQBtACAAZgBvAHIAIABlAGEAYwBoACAAcgBvAHcAKgAvAFwAbgBNAGEAeABSAG8Adw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SAG8AdwBzALsDKAAgAEEAcgByAGEAeQApALYAXAAiACAAJgBcAG4AIAAgACAAIAAgACAAIAAgACAAIAAgACAAIAAgACAAIAAgACAAIAAgACAAIAAgACAAIAAgACAAIABcACIARABFAFMAQwBSAEkAUABUAEkATwBOADoAIAAgACAAkiFHAGUAdAAgAHQAaABlACAAbQBhAHgAaQBtAHUAbQ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YQB4AGkAbQB1AG0AIABiAHkAIAByAG8Adw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EAeABSAG8AdwBz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NAEEAWA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NAGEAeABDAG8AbABzALsDXABuACAAIAAgACAARABFAFMAQwBSAEkAUABUAEkATwBOADoAKgAvAC8AKgAqAEcAZQB0ACAAdABoAGUAIABtAGEAeABpAG0AdQBtACAAZgBvAHIAIABlAGEAYwBoACAAQwBvAGwAdQBtAG4AKgAvAFwAbgBNAGEAeA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DAG8AbABzALsDKAAgAEEAcgByAGEAeQApALYAXAAiACAAJgBcAG4AIAAgACAAIAAgACAAIAAgACAAIAAgACAAIAAgACAAIAAgACAAIAAgACAAIAAgACAAIAAgACAAIABcACIARABFAFMAQwBSAEkAUABUAEkATwBOADoAIAAgACAAkiFHAGUAdAAgAHQAaABlACAAbQBhAHgAaQBtAHUAbQAgAGYAbwByACAAZQBhAGMAaAAgAEMAbwBsAHUAbQB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GMAbwBsAHUAbQBu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0AYQB4AEMAbwBsAHM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QQBY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FIAbwB3AHMAuwNcAG4AIAAgACAAIABEAEUAUwBDAFIASQBQAFQASQBPAE4AOgAqAC8ALwAqACoAQwBvAHUAbgB0ACAAZQB2AGUAcgB5AHQAaABpAG4AZwAgAGkAbgAgAGUAYQBjAGgAIAByAG8AdwAqAC8AXABuAEMAbwB1AG4AdABB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BAFIAbwB3AHMAuwMoACAAQQByAHIAYQB5ACkAtgBcACIAIAAmAFwAbgAgACAAIAAgACAAIAAgACAAIAAgACAAIAAgACAAIAAgACAAIAAgACAAIAAgACAAIAAgACAAIAAgAFwAIgBEAEUAUwBDAFIASQBQAFQASQBPAE4AOgAgACAAIACSIUMAbwB1AG4AdAAgAGUAdgBlAHIAeQB0AGgAaQBuAGcAIABpAG4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BAFIAbwB3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wBPAFUATgBUAEEAKAAg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QQBDAG8AbABzALsDXABuACAAIAAgACAARABFAFMAQwBSAEkAUABUAEkATwBOADoAKgAvAC8AKgAqAEMAbwB1AG4AdAAgAGUAdgBlAHIAeQB0AGgAaQBuAGcAIABpAG4AIABlAGEAYwBoACAAYwBvAGwAdQBtAG4AKgAvAFwAbgBDAG8AdQBuAHQAQQBDAG8AbABz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DAG8AbABzALsDKAAgAEEAcgByAGEAeQAgACkAtgBcACIAIAAmAFwAbgAgACAAIAAgACAAIAAgACAAIAAgACAAIAAgACAAIAAgACAAIAAgACAAIAAgACAAIAAgACAAIAAgAFwAIgBEAEUAUwBDAFIASQBQAFQASQBPAE4AOgAgACAAIACSIUMAbwB1AG4AdAAgAGUAdgBlAHIAeQB0AGgAaQBuAGcAIABpAG4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B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EE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DAG8AdQBuAHQAUgBvAHcAcwC7A1wAbgAgACAAIAAgAEQARQBTAEMAUgBJAFAAVABJAE8ATgA6ACoALwAvACoAKgBDAG8AdQBuAHQAIABuAHUAbQBiAGUAcgBzACAAaQBuACAAZQBhAGMAaAAgAHIAbwB3ACoALwBcAG4AQwBvAHUAbgB0AFIAbwB3AHM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SAG8AdwBzALsDKAAgAEEAcgByAGEAeQApALYAXAAiACAAJgBcAG4AIAAgACAAIAAgACAAIAAgACAAIAAgACAAIAAgACAAIAAgACAAIAAgACAAIAAgACAAIAAgACAAIABcACIARABFAFMAQwBSAEkAUABUAEkATwBOADoAIAAgACAAkiFDAG8AdQBuAHQAIABuAHUAbQBiAGUAcgBzACAAaQBuACAAZQBhAGMAaAAgAHIAbwB3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G4AdQBtAGIAZQBy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SAG8AdwBz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DAG8AbABzALsDXABuACAAIAAgACAARABFAFMAQwBSAEkAUABUAEkATwBOADoAKgAvAC8AKgAqAEMAbwB1AG4AdAAgAG4AdQBtAGIAZQByAHMAIABpAG4AIABlAGEAYwBoACAAYwBvAGwAdQBtAG4AKgAvAFwAbgBDAG8AdQBuAHQAQwBvAGwAcw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EMAbwBsAHMAuwMoACAAQQByAHIAYQB5ACkAtgBcACIAIAAmAFwAbgAgACAAIAAgACAAIAAgACAAIAAgACAAIAAgACAAIAAgACAAIAAgACAAIAAgACAAIAAgACAAIAAgAFwAIgBEAEUAUwBDAFIASQBQAFQASQBPAE4AOgAgACAAIACSIUMAbwB1AG4AdAAgAG4AdQBtAGIAZQByAHMAIABpAG4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bgB1AG0AYgBlAHIAcwAgAHQAbwAgAGIAZQAgAGMAbwB1AG4AdABlAGQ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wBvAHUAbgB0AEMAbwBsAHMAuwMoACAAQwBIAE8ATwBTAEUAKAAgAFIAQQBOAEQAQQBSAFIAQQBZACgAIAA1ACwAIAA1ACwAIAAxACwAIAA1ACkALABcACIAXAAiAEEAXAAiAFwAIgAsACAAXAAiAFwAIgBCAFwAIgBcACIALAAgAFwAIgBcACIAXAAiAFwAIgAsACAAMQAsACAAMg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EMATwBMACgAIABBAHIAcgBhAHkALAAgAEwAQQBNAEIARABBACgAIABDAG8AbAAsACAAQwBPAFUATgBU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IAAgACAAIABJAHMAQgBlAHQAdwBlAGUAbgBFALsDXABuACAAIAAgACAARABFAFMAQwBSAEkAUABUAEkATwBOADoAKgAvAC8AKgAqAEQAZQB0AGUAcgBtAGkAbgBlACAAaQBmACAAYQAgAHYAYQBsAHUAZQAgAGkAcwAgAGIAZQB0AHcAZQBlAG4AIABhACAAbABvAHcAZQByACAAYQBuAGQAIAB1AHAAcABlAHIAIABsAGkAbQBpAHQAKgAvAFwAbgBJAHMAQgBlAHQAdwBlAGUAbgBFALsDIAA9ACAATABBAE0AQgBEAEEAKABcAG4ALwAvACAAIABQAGEAcgBhAG0AZQB0AGUAcgAgAEQAZQBjAGwAYQByAGEAdABpAG8AbgBzAFwAbgAgACAAIAAgAFsAVgBhAGwAdQBlAF0ALABcAG4AIAAgACAAIABbAEwAbwB3AF0ALABcAG4AIAAgACAAIABbAEgAaQBdACwAXABuACAAIAAgACAAWwBJAG4AYwBsAHUAcwBpAHYAZQBdACwAXABuAC8ALwAgACAASABlAGwAcABcAG4AIAAgACAAIABMAEUAVAAoAEgAZQBsAHAALAAgACAAIAAgACAAIAAgACAAIAAgACAAVABSAEkATQAoAFQARQBYAFQAUwBQAEwASQBUACgAIABcAG4AIAAgACAAIAAgACAAIAAgACAAIAAgACAAIAAgACAAIAAgACAAIAAgACAAIAAgACAAIAAgACAAIABcACIARgBVAE4AQwBUAEkATwBOADoAIAAgACAAIAAgACAAkiFJAHMAQgBlAHQAdwBlAGUAbgBFALsDKAAgAFYAYQBsAHUAZQAsACAATABvAHcALAAgAEgAaQAsACAAWwBJAG4AYwBsAHUAcwBpAHYAZQBdACkAtgBcACIAIAAmAFwAbgAgACAAIAAgACAAIAAgACAAIAAgACAAIAAgACAAIAAgACAAIAAgACAAIAAgACAAIAAgACAAIAAgAFwAIgBEAEUAUwBDAFIASQBQAFQASQBPAE4AOgAgACAAIACSIUQAZQB0AGUAcgBtAGkAbgBlACAAaQBmACAAYQAgAHYAYQBsAHUAZQAgAGkAcwAgAGIAZQB0AHcAZQBlAG4AIABhACAAbABvAHcAZQByACAAYQBuAGQAIAB1AHAAcABlAHIAIABsAGkAbQBpAHQALgC2AFwAIgAgACYAIABcAG4AIAAgACAAIAAgACAAIAAgACAAIAAgACAAIAAgACAAIAAgACAAIAAgACAAIAAgACAAIAAgACAAIABcACIAUABBAFIAQQBNAEUAVABFAFIAUwA6ACAAIAAgACAAkiG2AFwAIgAgACYAIABcAG4AIAAgACAAIAAgACAAIAAgACAAIAAgACAAIAAgACAAIAAgACAAIAAgACAAIAAgACAAIAAgACAAIABcACIAVgBhAGwAdQBlACAAIAAgACAAIAAgACAAIAAgACAAkiEoAFIAZQBxAHUAaQByAGUAZAApACAAQQAgAHYAYQBsAHUAZQAgAG8AcgAgAGEAcgByAGEAeQAgAG8AZgAgAHYAYQBsAHUAZQBzACAAdABvACAAYwBvAG0AcABhAHIAZQAuALYAXAAiACAAJgAgAFwAbgAgACAAIAAgACAAIAAgACAAIAAgACAAIAAgACAAIAAgACAAIAAgACAAIAAgACAAIAAgACAAIAAgAFwAIgBMAG8AdwAgACAAIAAgACAAIAAgACAAIAAgACAAIACSISgAUgBlAHEAdQBpAHIAZQBkACkAIABUAGgAZQAgAGwAbwB3AGUAcgAgAGwAaQBtAGkAdAAgAHQAaABhAHQAIAB0AGgAZQAgAHYAYQBsAHUAZQAgAG0AdQBzAHQAIABiAGUAIABnAHIAZQBhAHQAZQByACAAdABoAGEAbgC2AFwAIgAgACYAXABuACAAIAAgACAAIAAgACAAIAAgACAAIAAgACAAIAAgACAAIAAgACAAIAAgACAAIAAgACAAIAAgACAAXAAiAEgAaQAgACAAIAAgACAAIAAgACAAIAAgACAAIAAgAJIhKABSAGUAcQB1AGkAcgBlAGQAKQAgAFQAaABlACAAaABpAGcAaABlAHIAIABsAGkAbQBpAHQAIAB0AGgAYQB0ACAAdABoAGUAIAB2AGEAbAB1AGUAIABtAHUAcwB0ACAAYgBlACAAbABlAHMAcwAgAHQAaABhAG4AtgBcACIAIAAmAFwAbgAgACAAIAAgACAAIAAgACAAIAAgACAAIAAgACAAIAAgACAAIAAgACAAIAAgACAAIAAgACAAIAAgAFwAIgBJAG4AYwBsAHUAcwBpAHYAZQAgACAAIAAgACAAIACSISgATwBwAHQAaQBvAG4AYQBsACkAIABJAGYAIABzAGUAdAAgAHQAbwAgAFQAUgBVAEUAIAAoAGQAZQBmAGEAdQBsAHQAKQAgAHQAaABlACAAdgBhAGwAdQBlACAAYwBhAG4AIABiAGUAIABlAHEAdQBhAGwAIAB0AG8AIABMAG8AdwAgAGEAbgBkAC8AbwByACAASABpALYAXAAiACAAJgBcAG4AIAAgACAAIAAgACAAIAAgACAAIAAgACAAIAAgACAAIAAgACAAIAAgACAAIAAgACAAIAAgACAAIABcACIAkiG2AFwAIgAgACY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C2AFwAIgAgACYAXABuACAAIAAgACAAIAAgACAAIAAgACAAIAAgACAAIAAgACAAIAAgACAAIAAgACAAIAAgACAAIAAgACAAXAAiAEYAQQBMAFMARQAgACAAIAAgACAAIAAgACAAIAAgAJIhPQBJAHMAQgBlAHQAdwBlAGUAbgBFALsDKAAxACwAIAAyACwAIAA0ACkAtgBcACIAIAAmACAAXABuACAAIAAgACAAIAAgACAAIAAgACAAIAAgACAAIAAgACAAIAAgACAAIAAgACAAIAAgACAAIAAgACAAXAAiAFQAUgBVAEUAIAAgACAAIAAgACAAIAAgACAAIAAgAJIhPQBJAHMAQgBlAHQAdwBlAGUAbgBFALsDKAAyACwAIAAyACwAIAA0ACkAtgBcACIAIAAmACAAXABuACAAIAAgACAAIAAgACAAIAAgACAAIAAgACAAIAAgACAAIAAgACAAIAAgACAAIAAgACAAIAAgACAAXAAiAEYAQQBMAFMARQAgACAAIAAgACAAIAAgACAAIAAgAJIhPQBJAHMAQgBlAHQAdwBlAGUAbgBFALsDKAAyACwAIAAyACwAIAA0ACwAIABGAEEATABTAEU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FMAZQB0ACAAbwBwAHQAaQBvAG4AYQBsACAAYQByAGcAdQBtAGUAbgB0AHMAIABkAGUAZgBhAHUAbAB0AHMAXABuACAAIAAgACAAIAAgACAAIABJAG4AYwBsAHUAcwBpAHYAZQAsACAAIAAgACAAIAAgAEkARgAoACAASQBTAEwATwBHAEkAQwBBAEwAKAAgAEkAbgBjAGwAdQBzAGkAdgBlACkALAAgAEkAbgBjAGwAdQBzAGkAdgBlACwAIABUAFIAVQBFACkALABcAG4AIAAgACAAIAAvAC8AIAAgAEMAaABlAGMAawAgAGkAbgBwAHUAdABzACAALQAgAE8AbQBpAHQAdABlAGQAIAByAGUAcQB1AGkAcgBlAGQAIABhAHIAZwB1AG0AZQBuAHQAcwBcAG4AIAAgACAAIAAgACAAIAAgAEgAZQBsAHAAPwAsACAAIAAgACAAIAAgACAAIAAgACAATwBSACgAIABJAFMATwBNAEkAVABUAEUARAAoACAAVgBhAGwAdQBlACkALABcAG4AIAAgACAAIAAgACAAIAAgACAAIAAgACAAIAAgACAAIAAgACAAIAAgACAAIAAgACAAIAAgACAAIABJAFMATwBNAEkAVABUAEUARAAoACAATABvAHcAKQAsAFwAbgAgACAAIAAgACAAIAAgACAAIAAgACAAIAAgACAAIAAgACAAIAAgACAAIAAgACAAIAAgACAAIAAgAEkAUwBPAE0ASQBUAFQARQBEACgAIABIAGkAKQBcAG4AIAAgACAAIAAgACAAIAAgACAAIAAgACAAIAAgACAAIAAgACAAIAAgACAAIAAgACAAKQAsAFwAbgAgACAAIAAgAC8ALwAgACAAUAByAG8AYwBlAGQAdQByAGUAXABuACAAIAAgACAAIAAgACAAIABSAGUAcwB1AGwAdAAsACAAIAAgACAAIAAgACAAIAAgAEkARgAoACAASQBuAGMAbAB1AHMAaQB2AGUALAAgAFwAbgAgACAAIAAgACAAIAAgACAAIAAgACAAIAAgACAAIAAgACAAIAAgACAAIAAgACAAIAAgACAAIAAgACgAVgBhAGwAdQBlACAAPgA9ACAATABvAHcAKQAgACoAIAAoAFYAYQBsAHUAZQAgADwAPQAgAEgAaQApACAAPQAgADEALAAgAFwAbgAgACAAIAAgACAAIAAgACAAIAAgACAAIAAgACAAIAAgACAAIAAgACAAIAAgACAAIAAgACAAIAAgACgAVgBhAGwAdQBlACAAPgAgAEwAbwB3ACkAIAAqACAAKABWAGEAbAB1AGUAIAA8ACAASABpACkAIAA9ACAAMQBcAG4AIAAgACAAIAAgACAAIAAgACAAIAAgACAAIAAgACAAIAAgACAAIAAgACAAIAAgACAAKQAsAFwAbgAgACAAIAAgAC8ALwAgACAAUgBlAHQAdQByAG4AIABSAGUAcwB1AGwAdABcAG4AIAAgACAAIAAgACAAIAAgAEMASABPAE8AUwBFACgASABlAGwAcAA/ACAAKwAgADEALAAgAFIAZQBzAHUAbAB0ACwAIABIAGUAbABwACkAXABuACAAIAAgACAAKQBcAG4AKQA7AFwAbgBcAG4AXABuAFwAbgAvACoAIAAgAEYAVQBOAEMAVABJAE8ATgAgAE4AQQBNAEUAOgAgACAAIAAgACAAIABJAHMASQBuAEwAaQBzAHQAuwNcAG4AIAAgACAAIABEAEUAUwBDAFIASQBQAFQASQBPAE4AOgAqAC8ALwAqACoARABlAHQAZQByAG0AaQBuAGUAIAB3AGgAZQB0AGgAZQByACAAYQAgAHYAYQBsAHUAZQAgAGkAcwAgAG8AbgBlACAAbwBmACAAYQAgAGwAaQBzAHQAIABvAGYAIABpAHQAZQBtAHMAKgAvAFwAbgBJAHMASQBuAEwAaQBzAHQAuwMgAD0AIABMAEEATQBCAEQAQQAoAFwAbgAvAC8AIAAgAFAAYQByAGEAbQBlAHQAZQByACAARABlAGMAbABhAHIAYQB0AGkAbwBuAHMAXABuACAAIAAgACAAWwBWAGEAbAB1AGUAXQAsAFwAbgAgACAAIAAgAFsATABpAHMAdABdACwAXABuAC8ALwAgACAASABlAGwAcABcAG4AIAAgACAAIABMAEUAVAAoAEgAZQBsAHAALAAgACAAIAAgACAAIAAgACAAIAAgACAAVABSAEkATQAoAFQARQBYAFQAUwBQAEwASQBUACgAIABcAG4AIAAgACAAIAAgACAAIAAgACAAIAAgACAAIAAgACAAIAAgACAAIAAgACAAIAAgACAAIAAgACAAIABcACIARgBVAE4AQwBUAEkATwBOADoAIAAgACAAIAAgACAAkiFJAHMASQBuAEwAaQBzAHQAuwMoACAAVgBhAGwAdQBlACwAIABMAGkAcwB0ACkAtgBcACIAIAAmAFwAbgAgACAAIAAgACAAIAAgACAAIAAgACAAIAAgACAAIAAgACAAIAAgACAAIAAgACAAIAAgACAAIAAgAFwAIgBEAEUAUwBDAFIASQBQAFQASQBPAE4AOgAgACAAIACSIUQAZQB0AGUAcgBtAGkAbgBlACAAaQBmACAAYQAgAHYAYQBsAHUAZQAgAGkAcwAgAG8AbgBlACAAbwBmACAAYQAgAGwAaQBzAHQAIABvAGYAIABpAHQAZQBtAHMALgC2AFwAIgAgACYAIABcAG4AIAAgACAAIAAgACAAIAAgACAAIAAgACAAIAAgACAAIAAgACAAIAAgACAAIAAgACAAIAAgACAAIABcACIAUABBAFIAQQBNAEUAVABFAFIAUwA6ACAAIAAgACAAkiG2AFwAIgAgACYAIABcAG4AIAAgACAAIAAgACAAIAAgACAAIAAgACAAIAAgACAAIAAgACAAIAAgACAAIAAgACAAIAAgACAAIABcACIAVgBhAGwAdQBlACAAIAAgACAAIAAgACAAIAAgACAAkiEoAFIAZQBxAHUAaQByAGUAZAApACAAQQAgAHYAYQBsAHUAZQAgAG8AcgAgAGEAcgByAGEAeQAgAG8AZgAgAHYAYQBsAHUAZQBzACAAdABvACAAYwBvAG0AcABhAHIAZQAuALYAXAAiACAAJgAgAFwAbgAgACAAIAAgACAAIAAgACAAIAAgACAAIAAgACAAIAAgACAAIAAgACAAIAAgACAAIAAgACAAIAAgAFwAIgBMAGkAcwB0ACAAIAAgACAAIAAgACAAIAAgACAAIACSISgAUgBlAHEAdQBpAHIAZQBkACkAIABBACAAbABpAHMAdAAgAG8AZgAgAHYAYQBsAHUAZQBzACAAdABvACAAYwBoAGUAYwBrADoAIABhACAAcgBvAHcALAAgAGEAIABjAG8AbAB1AG0AbgAgAG8AcgAgAGEAIABnAHIAaQBkAC4AtgBcACIAIAAmAFwAbgAgACAAIAAgACAAIAAgACAAIAAgACAAIAAgACAAIAAgACAAIAAgACAAIAAgACAAIAAgACAAIAAgAFwAIgBOAE8AVABFACEAIAAgACAAIAAgACAAIAAgACAAIACSIVQAaABlACAAYwBvAG0AcABhAHIAaQBzAG8AbgAgAGkAcwAgAGUAeABhAGMAdAAgAGEAbgBkACAAYwBhAHMAZQAtAGkAbgBzAGUAbgBzAGkAdABpAHYAZQA7ACAAKgAgAGEAbgBkACAAPwAgAGEAcgBlACAAbwByAGQAaQBuAGEAcgB5ACAAYwBoAGEAcgBhAGMAdABlAHIAcwAuALYAXAAiACAAJgBcAG4AIAAgACAAIAAgACAAIAAgACAAIAAgACAAIAAgACAAIAAgACAAIAAgACAAIAAgACAAIAAgACAAIABcACIAkiG2AFwAIgAgACY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C2AFwAIgAgACYAXABuACAAIAAgACAAIAAgACAAIAAgACAAIAAgACAAIAAgACAAIAAgACAAIAAgACAAIAAgACAAIAAgACAAXAAiAEYAQQBMAFMARQAgACAAIAAgACAAIAAgACAAIAAgAJIhPQBJAHMASQBuAEwAaQBzAHQAuwMoADEALAAgAHsAMgAsADMALAA0AH0AKQC2AFwAIgAgACYAIABcAG4AIAAgACAAIAAgACAAIAAgACAAIAAgACAAIAAgACAAIAAgACAAIAAgACAAIAAgACAAIAAgACAAIABcACIAVABSAFUARQAgACAAIAAgACAAIAAgACAAIAAgACAAkiE9AEkAcwBJAG4ATABpAHMAdAC7AygAMQAsACAAewAxACwAMwAsADUAfQApALYAXAAiACAAJgAgAFwAbgAgACAAIAAgACAAIAAgACAAIAAgACAAIAAgACAAIAAgACAAIAAgACAAIAAgACAAIAAgACAAIAAgAFwAIgCSIVwAIgAs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KQAsAFwAbgAgACAAIAAgACAAIAAgACAAIAAgACAAIAAgACAAIAAgACAAIAAgACAAIAAgACAAIAAgACAAIAAgAEkAUwBPAE0ASQBUAFQARQBEACgAIABMAGkAcwB0ACkAXABuACAAIAAgACAAIAAgACAAIAAgACAAIAAgACAAIAAgACAAIAAgACAAIAAgACAAIAAgACkALABcAG4AIAAgACAAIAAvAC8AIAAgAFAAcgBvAGMAZQBkAHUAcgBlAFwAbgAgACAAIAAgAC8ALwAgACAARgBsAGEAdAB0AGUAbgAgAHQAaABlACAAbABpAHMAdAAgAGYAaQByAHMAdAA6ACAATQBBAFQAQwBIACAAbgBlAGUAZABzACAAbwBuAGUAIABkAGkAbQBlAG4AcwBpAG8AbgAgAGEAbgBkACAAdAByAGUAYQB0AHMAIAAqACAAYQBuAGQAIAA/ACAAYQBzACAAdwBpAGwAZABjAGEAcgBkAHMAXABuACAAIAAgACAAIAAgACAAIABSAGUAcwB1AGwAdAAsACAAIAAgACAAIAAgACAAIAAgAEkAUwBOAFUATQBCAEUAUgAoACAAWABNAEEAVABDAEgAKAAgAFYAYQBsAHUAZQAsACAAVABPAEMATwBMACgAIABMAGkAcwB0ACkALAAgADAAKQ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EAbgBnAGUAVABvAEQAQQBFALsDXABuACAAIAAgACAARABFAFMAQwBSAEkAUABUAEkATwBOADoAKgAvAC8AKgAqAEMAbwBuAHYAZQByAHQAIABhACAAcgBhAG4AZwBlACAAcgBlAGYAZQByAGUAbgBjAGUAIAB0AG8AIABhACAAZAB5AG4AYQBtAGkAYwAgAGEAcgByAGEAeQAgAHIAZQBmAGUAcgBlAG4AYwBlACoALwBcAG4AUgBhAG4AZwBlAFQAbwBEAEEARQC7AyAAPQAgAEwAQQBNAEIARABBACgAXABuAC8ALwAgACAAUABhAHIAYQBtAGUAdABlAHIAIABEAGUAYwBsAGEAcgBhAHQAaQBvAG4AcwBcAG4AIAAgACAAIABbAFIAYQBuAGcAZQBdACwAXABuACAAIAAgACAAWwBSAG8AdwBzAF0ALABcAG4AIAAgACAAIABbAEMAbwBsAHUAbQBu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IAAgACAAIACSIVIAYQBuAGcAZQBUAG8ARABBAEUAuwMoAFIAYQBuAGcAZQAsACAAWwBSAG8AdwBzAF0ALAAgAFsAQwBvAGwAdQBtAG4AcwBdACkAtgBcACIAIAAmAFwAbgAgACAAIAAgACAAIAAgACAAIAAgACAAIAAgACAAIAAgACAAIAAgACAAIAAgACAAIAAgACAAIAAgAFwAIgBEAEUAUwBDAFIASQBQAFQASQBPAE4AOgAgACAAIAAgACAAIAAgAJIhQwBvAG4AdgBlAHIAdAAgAGEAIAByAGEAbgBnAGUAIAByAGUAZgBlAHIAZQBuAGMAZQAgAHQAbwAgAGEAIABkAHkAbgBhAG0AaQBjACAAYQByAHIAYQB5ACAAcgBlAGYAZQByAGUAbgBjAGUALgC2AFwAIgAgACYAIABcAG4AIAAgACAAIAAgACAAIAAgACAAIAAgACAAIAAgACAAIAAgACAAIAAgACAAIAAgACAAIAAgACAAIABcACIAUwBFAEUAIABBAEwAUwBPADoAIAAgACAAIAAgACAAkiFFAHgAYwBlAGwAIAAzADYANQAgAG4AbwB3ACAAaABhAHMAIABUAFIASQBNAFIAQQBOAEcARQAgAGEAbgBkACAAdAByAGkAbQAgAHIAZQBmAGUAcgBlAG4AYwBlAHMAIAAoAC4AOgAuACkAIABmAG8AcgAgAHQAaABpAHMALgC2AFwAIgAgACYAXABuACAAIAAgACAAIAAgACAAIAAgACAAIAAgACAAIAAgACAAIAAgACAAIAAgACAAIAAgACAAIAAgACAAXAAiAFcARQBCAFMASQBUAEUAOgAgACAAIAAgACAAIAAgACAAIAAgACAAkiFoAHQAdABwAHMAOgAvAC8AZwBpAHQAaAB1AGIALgBjAG8AbQAvAHIAeQBhAG4AZAB1AGcAdQBpAGQALwBPAHoAegBpAHQAtgBcACIAIAAmAFwAbgAgACAAIAAgACAAIAAgACAAIAAgACAAIAAgACAAIAAgACAAIAAgACAAIAAgACAAIAAgACAAIAAgAFwAIgBQAEEAUgBBAE0ARQBUAEUAUgBTADoAIAAgACAAIAAgACAAIAAgAJIhtgBcACIAIAAmACAAXABuACAAIAAgACAAIAAgACAAIAAgACAAIAAgACAAIAAgACAAIAAgACAAIAAgACAAIAAgACAAIAAgACAAXAAiAFIAYQBuAGcAZQAgACAAIAAgACAAIAAgACAAIAAgACAAIAAgACAAkiEoAFIAZQBxAHUAaQByAGUAZAApACAAQQAgAHIAZQBmAGUAcgBlAG4AYwBlACAAdABvACAAdABoAGUAIAByAGEAbgBnAGUAIAB0AG8AIABiAGUAIABjAG8AbgB2AGUAcgB0AGUAZAAuALYAXAAiACAAJgBcAG4AIAAgACAAIAAgACAAIAAgACAAIAAgACAAIAAgACAAIAAgACAAIAAgACAAIAAgACAAIAAgACAAIABcACIAUgBvAHcAcwAgACAAIAAgACAAIAAgACAAIAAgACAAIAAgACAAIACSISgATwBwAHQAaQBvAG4AYQBsACkAIABOAHUAbQBiAGUAcgAgAG8AZgAgAHIAbwB3AHMAIABmAG8AcgAgAHQAaABlACAAZAB5AG4AYQBtAGkAYwAgAGEAcgByAGEAeQAuACAARABlAGYAYQB1AGwAdABzACAAdABvACAAMQAuALYAXAAiACAAJgBcAG4AIAAgACAAIAAgACAAIAAgACAAIAAgACAAIAAgACAAIAAgACAAIAAgACAAIAAgACAAIAAgACAAIABcACIAQwBvAGwAdQBtAG4AcwAgACAAIAAgACAAIAAgACAAIAAgACAAIACSISgATwBwAHQAaQBvAG4AYQBsACkAIABOAHUAbQBiAGUAcgAgAG8AZgAgAGMAbwBsAHUAbQBuAHMAIABmAG8AcgAgAHQAaABlACAAZAB5AG4AYQBtAGkAYwAgAGEAcgByAGEAeQAuACAARABlAGYAYQB1AGwAdABzACAAdABvACAAMQAuALYAXAAiACAAJgBcAG4AIAAgACAAIAAgACAAIAAgACAAIAAgACAAIAAgACAAIAAgACAAIAAgACAAIAAgACAAIAAgACAAIABcACIAkiG2AFwAIgAgACYAXABuACAAIAAgACAAIAAgACAAIAAgACAAIAAgACAAIAAgACAAIAAgACAAIAAgACAAIAAgACAAIAAgACAAXAAiAEUAWABBAE0AUABMAEUAUwA6ACAAIAAgACAAIAAgACAAIAAgACAAkiE9AFIAYQBuAGcAZQBUAG8ARABBAEUAuwMoAEEAMQAsACAALAAgAE0AbwBkAGUAbABQAGUAcgBpAG8AZABDAG8AdQBuAHQ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IAAgAFwAbgAgACAAIAAgAC8ALwAgACAAQwBoAGUAYwBrACAAaQBuAHAAdQB0AHMAIAAtACAATwBtAGkAdAB0AGUAZAAgAHIAZQBxAHUAaQByAGUAZAAgAGEAcgBnAHUAbQBlAG4AdABzAFwAbgAgACAAIAAgACAAIAAgACAASABlAGwAcAA/ACwAIAAgACAAIAAgACAAIAAgACAAIABJAFMATwBNAEkAVABUAEUARAAoACAAUgBhAG4AZwBlACkALABcAG4AIAAgACAAIAAvAC8AIAAgAEMAaABlAGMAawAgAGkAbgBwAHUAdABzACAALQAgAFMAZQB0ACAAbwBwAHQAaQBvAG4AYQBsACAAYQByAGcAdQBtAGUAbgB0AHMAJwAgAGQAZQBmAGEAdQBsAHQAcwBcAG4AIAAgACAAIAAgACAAIAAgAFIAbwB3AHMALAAgACAAIAAgACAAIAAgACAAIAAgACAASQBGACgAIABJAFMATgBVAE0AQgBFAFIAKAAgAFIAbwB3AHMAKQAsACAAUgBvAHcAcwAsACAAMQApACwAXABuACAAIAAgACAAIAAgACAAIABDAG8AbAB1AG0AbgBzACwAIAAgACAAIAAgACAAIAAgAEkARgAoACAASQBTAE4AVQBNAEIARQBSACgAIABDAG8AbAB1AG0AbgBzACkALAAgAEMAbwBsAHUAbQBuAHMALAAgADEAKQAsAFwAbgAgACAAIAAgAC8ALwAgACAAUAByAG8AYwBlAGQAdQByAGUAXABuACAAIAAgACAAIAAgACAAIABSAGUAcwB1AGwAdAAsACAAIAAgACAAIAAgACAAIAAgAE8ARgBGAFMARQBUACgAIABSAGEAbgBnAGUALAAgADAALAAgADAALAAgAFIAbwB3AHMALAAgAEMAbwBsAHUAbQBuAHMAKQAsACAAXABuACAAIAAgACAALwAvACAAIABSAGUAdAB1AHIAbgAgAFIAZQBzAHUAbAB0ACAAbwByACAAaABlAGwAcABcAG4AIAAgACAAIAAgACAAIAAgAEMASABPAE8AUwBFACgASABlAGwAcAA/ACAAKwAgADEALAAgAFIAZQBzAHUAbAB0ACwAIABIAGUAbABwACkAXABuACAAIAAgACAAKQBcAG4AKQA7AFwAbgAiAH0ALAB7ACIAcABhAHQAaAAiADoAIgAvAHAAcgBvAGoAZQBjAHQAcwAvAEYAaQBuAGEAbgBjAGkAYQBsACIALAAiAHQAZQB4AHQAIgA6ACIALwAqACAAIABGAFUATgBDAFQASQBPAE4AIABOAEEATQBFADoAIAAgAEEAYgBvAHUAdABGAGkAbgBhAG4AYwBpAGEAbAC7A1wAbgAgACAAIAAgAEQARQBTAEMAUgBJAFAAVABJAE8ATgA6ACoALwAvACoAKgBEAGkAcwBwAGwAYQB5AHMAIAB0AGgAaQBzACAAbQBvAGQAdQBsAGUAJwBzACAAcgBlAHAAbwBzAGkAdABvAHIAeQAgAFUAUgBMACAAYQBuAGQAIABmAHUAbgBjAHQAaQBvAG4AIABsAGkAcwB0ACoALwBcAG4AXABuAEEAYgBvAHUAdABGAGkAbgBhAG4AYwBpAGEAbAC7AyAAPQAgAFQAUgBJAE0AKABUAEUAWABUAFMAUABMAEkAVAAoAFwAbgAgACAAIAAgAFwAIgBBAEIATwBVAFQAOgAgACAAIAAgACAAIAAgACAAIAAgACAAIAAgAJIhTwB6AHoAaQB0ACcAcwAgAEYAaQBuAGEAbgBjAGkAYQBsACAATQBvAGQAZQBsAHMAIABtAG8AZAB1AGwAZQAuACAAUwB1AGcAZwBlAHMAdABlAGQAIABtAG8AZAB1AGwAZQAgAG4AYQBtAGUAOgAgAG8AegC2AFwAIgAgACYAXABuACAAIAAgACAAXAAiAFYARQBSAFMASQBPAE4AOgAgACAAIAAgACAAIAAgACAAIAAgACAAkiE2ACAAUwBlAHAAIAAyADAAMgA2ALYAXAAiACAAJgBcAG4AIAAgACAAIABcACIAUgBFAFAATwBTAEkAVABPAFIAWQA6ACAAIAAgACAAIAAgACAAIAAgACAAkiFoAHQAdABwAHMAOgAvAC8AZwBpAHQAaAB1AGIALgBjAG8AbQAvAHIAeQBhAG4AZAB1AGcAdQBpAGQALwBPAHoAegBpAHQAIAC2AFwAIgAgACYAXABuACAAIAAgACAAXAAiAFcARQBCAFMASQBUAEUAOgAgACAAIAAgACAAIAAgACAAIAAgACAAkiFoAHQAdABwAHMAOgAvAC8AZwBpAHQAaAB1AGIALgBjAG8AbQAvAHIAeQBhAG4AZAB1AGcAdQBpAGQALwBPAHoAegBpAHQAIAC2AFwAIgAgACYAXABuACAAIAAgACAAXAAiAJIhtgBcACIAIAAmAFwAbgAgACAAIAAgAFwAIgBGAFUATgBDAFQASQBPAE4AIAAgACAAIAAgACAAIAAgACAAIAAgAJIhRABFAFMAQwBSAEkAUABUAEkATwBOALYAXAAiACAAJgAgAFwAbgAgACAAIAAgAFwAIgBBAGIAbwB1AHQARgBpAG4AYQBuAGMAaQBhAGwAuwMgACAAIAAgACAAIAAgACAAIAAgACAAIAAgAJIhUAByAG8AZAB1AGMAZQBzACAAdABoAGkAcwAgAHQAYQBiAGwAZQC2AFwAIgAgACYAIABcAG4AIAAgACAAIABcACIAQwBvAHIAawBzAGMAcgBlAHcAuwMgACAAIAAgACAAIAAgACAAIACSIUMAcgBlAGEAdABlAHMAIABhACAAcwBpAG0AcABsAGUAIABjAG8AcgBrAHMAYwByAGUAdwAgAHcAaABlAHIAZQAgAHQAaABlACAAYwBsAG8AcwBpAG4AZwAgAGIAYQBsAGEAbgBjAGUAIABpAHMAIAB0AGgAZQAgAHMAdQBtACAAbwBmACAAaQBuAGQAZQBwAGUAbgBkAGUAbgB0ACAAZgBsAG8AdwBzACAAcABsAHUAcwAgAG8AcABlAG4AaQBuAGcAIABiAGEAbABhAG4AYwBlALYAXAAiACAAJgBcAG4AIAAgACAAIABcACIAQwBvAHIAawBTAGMAcgBlAHcAUgBlAHYAZQByAHMAYQBsALsDIACSIUMAcgBlAGEAdABlACAAYQAgAGMAbwByAGsAcwBjAHIAZQB3ACAAdwBoAGUAcgBlACAAdABoAGUAIABvAHAAZQBuAGkAbgBnACAAYgBhAGwAYQBuAGMAZQAgAGkAcwAgAHIAZQB2AGUAcgBzAGUAZAAgAGkAbgAgAHQAaABlACAAbgBlAHgAdAAgAHAAZQByAGkAbwBkACAAYgBhAHMAZQBkACAAbwBuACAAYQAgAHQAaQBtAGkAbgBnACAAcgBvAHcAtgBcACIAIAAmAFwAbgAgACAAIAAgAFwAIgBDAHUAbQB1AGwAYQB0AGkAdgBlALsDIAAgACAAIAAgACAAIAAgAJIhQwByAGUAYQB0AGUAcwAgAGEAIAByAG8AdwAgAG8AcgAgAGMAbwBsAHUAbQBuACAAbwBmACAAYwB1AG0AdQBsAGEAdABpAHYAZQAgAHQAbwB0AGEAbABzACAAZgByAG8AbQAgAGEAIAB0AG8AdABhAGwAIAByAG8AdwAgAG8AcgAgAGMAbwBsAHUAbQBuALYAXAAiACAAJgBcAG4AIAAgACAAIABcACIASQBuAHQATwBuAEkAbgB0ALsDIAAgACAAIAAgACAAIAAgACAAIACSIUMAYQBsAGMAdQBsAGEAdABlACAASQBuAHQAZQByAGUAcwB0ACAAbwBuACAASQBuAHQAZQByAGUAcwB0AC4AIABVAHMAZQAgAHQAbwAgAGQAZQB0AGUAcgBtAGkAbgBlACAAYQBtAG8AdQBuAHQAIABuAGUAZQBkAGUAZAAgAHQAbwAgAGMAbwB2AGUAcgAgAGQAZQBiAHQAIABwAGwAdQBzACAAaQBuAHQAZQByAGUAcwB0ACAAbwBuACAAZABlAGIAdAC2AFwAIgAgACYAIABcAG4AIAAgACAAIABcACIASQBSAFIAuwMgACAAIAAgACAAIAAgACAAIAAgACAAIAAgACAAIACSIUMAYQBsAGMAdQBsAGEAdABlAHMAIABJAFIAUgAsACAAYwBvAHIAcgBlAGMAdABpAG4AZwAgAGYAbwByACAAdwBoAGUAbgAgAHQAaABlACAAZgBpAHIAcwB0ACAAaQBuAHYAZQBzAHQAbQBlAG4AdAAgAGkAcwAgAG4AbwB0ACAAaQBuACAAdABoAGUAIABmAGkAcgBzAHQAIABwAGUAcgBpAG8AZAC2AFwAIgAgACYAIABcAG4AIAAgACAAIABcACIATQBvAHYAZQBtAGUAbgB0ALsDIAAgACAAIAAgACAAIAAgACAAIACSIUMAcgBlAGEAdABlACAAYQAgAHIAbwB3ACAAbwBmACAAZABpAGYAZgBlAHIAZQBuAGMAZQBzACAAZgByAG8AbQAgAGMAbwBsAHUAbQBuACAAdABvACAAYwBvAGwAdQBtAG4AtgBcACIAIAAmACAAXABuACAAIAAgACAAXAAiAFIAZQB2AGUAcgBzAGEAbAC7AyAAIAAgACAAIAAgACAAIAAgACAAkiFDAHIAZQBhAHQAZQAgAGEAIAByAG8AdwAgAHQAaABhAHQAIAByAGUAdgBlAHIAcwBlAHMAIABpAG4AcAB1AHQAIAB2AGEAbAB1AGUAcwAgAGkAbgAgAHQAaABlACAAbgBlAHgAdAAgAHAAZQByAGkAbwBkAC4AtgBcACIAIAAmACAAXABuACAAIAAgACAAXAAiAFIAbwBsAGwAaQBuAGcAQQB2AGcAuwMgACAAIAAgACAAIAAgACAAkiFDAHIAZQBhAHQAZQBzACAAYQB2AGUAcgBhAGcAZQBzACAAZgBvAHIAIABwAHIAZQBjAGUAZABpAG4AZwAgAHYAYQBsAHUAZQBzACAAbwBmACAAYQAgAHMAZQB0ACAAcwBpAHoAZQAgAG0AbwB2AGkAbgBnACAAZgByAG8AbQAgAGIAZQBnAGkAbgBuAGkAbgBnACAAdABvACAAZQBuAGQAIABvAHYAZQByACAAYQAgAHIAbwB3ACAAbwBmACAAdgBhAGwAdQBlAHMALgC2AFwAIgAgACYAXABuACAAIAAgACAAXAAiAFIAbwBsAGwAaQBuAGcATQBhAHgAuwMgACAAIAAgACAAIAAgACAAkiFGAGkAbgBkAHMAIAB0AGgAZQAgAG0AYQB4AGkAbQB1AG0AIAB2AGEAbAB1AGUAIAB0AGgAZQAgAG4AIABwAHIAZQBjAGUAZABpAG4AZwAgAHYAYQBsAHUAZQBzACAAaQBuACAAYQAgAHMAZQB0ACAAbQBvAHYAaQBuAGcAIABmAHIAbwBtACAAYgBlAGcAaQBuAG4AaQBuAGcAIAB0AG8AIABlAG4AZAAgAG8AdgBlAHIAIABhACAAcgBvAHcAIABvAGYAIAB2AGEAbAB1AGUAcwAuALYAXAAiACAAJgBcAG4AIAAgACAAIABcACIAUgBvAGwAbABpAG4AZwBNAGkAbgC7AyAAIAAgACAAIAAgACAAIACSIUYAaQBuAGQAcwAgAHQAaABlACAAbQBpAG4AaQBtAHUAbQAgAHYAYQBsAHUAZQAgAHQAaABlACAAbgAgAHAAcgBlAGMAZQBkAGkAbgBnACAAdgBhAGwAdQBlAHMAIABpAG4AIABhACAAcwBlAHQAIABtAG8AdgBpAG4AZwAgAGYAcgBvAG0AIABiAGUAZwBpAG4AbgBpAG4AZwAgAHQAbwAgAGUAbgBkACAAbwB2AGUAcgAgAGEAIAByAG8AdwAgAG8AZgAgAHYAYQBsAHUAZQBzAC4AtgBcACIAIAAmAFwAbgAgACAAIAAgAFwAIgBSAG8AbABsAGkAbgBnAFMAdQBtALsDIAAgACAAIAAgACAAIAAgAJIhQwByAGUAYQB0AGUAcwAgAHQAbwB0AGEAbABzACAAZgBvAHIAIABwAHIAZQBjAGUAZABpAG4AZwAgAHYAYQBsAHUAZQBzACAAbwBmACAAYQAgAHMAZQB0ACAAcwBpAHoAZQAgAG0AbwB2AGkAbgBnACAAZgByAG8AbQAgAGIAZQBnAGkAbgBuAGkAbgBnACAAdABvACAAZQBuAGQAIABvAHYAZQByACAAYQAgAHIAbwB3ACAAbwBmACAAdgBhAGwAdQBlAHMALgC2AFwAIgAgACYAXABuACAAIAAgACAAXAAiAFMAdQBtAEMAbwBuAHQAYQBpAG4AcwC7AyAAIAAgACAAIAAgACAAkiFDAHIAZQBhAHQAZQBzACAAYQAgAHIAbwB3ACAAbwBmACAAdABvAHQAYQBsAHMAIABmAG8AcgAgAGUAYQBjAGgAIAByAG8AdwAgAGkAbgAgAGEAbgAgAGEAcgByAGEAeQAgAHcAaABlAHIAZQAgAGkAdABzACAAbABhAGIAZQBsAHMAIABjAG8AbgB0AGEAaQBuACAAYQAgAHUAbgBpAHEAdQBlACAAbABlAHQAdABlAHIALAAgAHcAbwByAGQALAAgAG8AcgAgAHAAaAByAGEAcwBlAC4AtgBcACIAIAAmACAAXABuACAAIAAgACAAXAAiAFMAdQBtAFAAZQByAGkAbwBkAHMAuwMgACAAIAAgACAAIAAgACAAkiFHAHIAbwB1AHAAcwAgAGEAbgBkACAAdABvAHQAYQBsAHMAIABhAGwAbAAgAGMAbwBsAHUAbQBuAHMAIABpAG4AIABhACAAVgBhAGwAdQBlAHMAIABhAHIAcgBhAHkAIABiAHkAIABwAGUAcgBpAG8AZAAgAHIAZQBzAHUAbAB0AGkAbgBnACAAaQBuACAAbwBuAGUAIABjAG8AbAB1AG0AbgAgAGYAbwByACAAZQBhAGMAaAAgAHAAZQByAGkAbwBkAC4AtgBcACIAIAAmACAAXABuACAAIAAgACAAXAAiAJIhtgBcACIAIAAmAFwAbgAgACAAIAAgAFwAIgBBAE0ATwBSAFQASQBTAEEAVABJAE8ATgAgAFMAVQBJAFQARQCSIbYAXAAiACAAJgAgAFwAbgAgACAAIAAgAFwAIgBBAG0AbwByAHQAaQBzAGUAuwMgACAAIAAgACAAIAAgACAAIAAgAJIhQwByAGUAYQB0AGUAcwAgAGEAIABjAG8AcgBrAHMAYwByAGUAdwAgAGEAbQBvAHIAdABpAHMAYQB0AGkAbwBuACAAcwBjAGgAZQBkAHUAbABlAC4AtgBcACIAIAAmACAAXABuACAAIAAgACAAXAAiAEwAYQBiAGUAbABBAG0AbwByAHQAaQBzAGUAuwMgACAAIAAgACAAkiFDAHIAZQBhAHQAZQAgAHIAbwB3ACAAbABhAGIAZQBsAHMAIABmAG8AcgAgAEEAbQBvAHIAdABpAHMAZQC7AyAAcgBlAHMAdQBsAHQAtgBcACIAIAAmACAAXABuACAAIAAgACAAXAAiAFMAdQBtAEEAbQBvAHIAdABpAHMAZQC7AyAAIAAgACAAIAAgACAAkiFDAHIAZQBhAHQAZQAgAHIAbwB3ACAAdABvAHQAYQBsAHMAIABmAG8AcgAgAHAAYQB5AG0AZQBuAHQAcwAsACAAaQBuAHQAZQByAGUAcwB0ACwAIABhAG4AZAAgAHAAcgBpAG4AYwBpAHAAYQBsACAAcABvAHIAdABpAG8AbgAgAGkAbgAgAEEAbQBvAHIAdABpAHMAZQC7AyAAcgBlAHMAdQBsAHQAcwC2AFwAIgAgACYAIABcAG4AIAAgACAAIABcACIAkiG2AFwAIgAgACYAXABuACAAIAAgACAAXAAiAEQARQBQAFIARQBDAEkAQQBUAEkATwBOACAAUwBVAEkAVABFAJIhtgBcACIAIAAmACAAXABuACAAIAAgACAAXAAiAEQAZQBwAHIAZQBjAGkAYQB0AGUAuwMgACAAIAAgACAAIAAgACAAkiFDAHIAZQBhAHQAZQAgAGEAIABiAGwAbwBjAGsAIABvAGYAIABDAEEAUABFAFgALAAgAE8AcABlAG4AaQBuAGcAIABCAGEAbABhAG4AYwBlACwAIABEAGUAcAByAGUAYwBpAGEAdABpAG8AbgAgAFYAYQBsAHUAZQBzACwAIABhAG4AZAAgAEIAbwBvAGsAIABWAGEAbAB1AGUAIABmAG8AcgAgAGUAYQBjAGgAIABhAHMAcwBlAHQAtgBcACIAIAAmACAAXABuACAAIAAgACAAXAAiAEwAYQBiAGUAbABEAGUAcAByAGUAYwBpAGEAdABlALsDIAAgACAAkiFDAHIAZQBhAHQAZQAgAHIAbwB3ACAAbABhAGIAZQBsAHMAIABmAG8AcgAgAEQAZQBwAHIAZQBjAGkAYQB0AGUAuwMgAHIAZQBzAHUAbAB0ALYAXAAiACAAJgAgAFwAbgAgACAAIAAgAFwAIgBTAHUAbQBEAGUAcAByAGUAYwBpAGEAdABlALsDIAAgACAAIAAgAJIhQwByAGUAYQB0AGUAIAByAG8AdwAgAHQAbwB0AGEAbABzACAAZgBvAHIAIABDAEEAUABFAFgALAAgAEQAZQBwAHIAZQBjAGkAYQB0AGkAbwBuACwAIABTAGEAbAB2AGEAZwBlACAAVgBhAGwAdQBlACwAIABhAG4AZAAgAEQAaQBzAHAAbwBzAGEAbAAgAGMAbwBzAHQAcwAgAGkAbgAgAEQAZQBwAHIAZQBjAGkAYQB0AGUAuwMgAHIAZQBzAHUAbAB0AHMAtgBcACIAIAAmACAAXABuACAAIAAgACAAXAAiAEEAbABsAG8AYwBhAHQAZQC7AyAAIAAgACAAIAAgACAAIAAgACAAkiFEAGkAdgBpAGQAZQAgAG8AbgBlACAAbwByACAAbQBvAHIAZQAgAGEAbQBvAHUAbgB0AHMAIABlAHEAdQBhAGwAbAB5ACAAYQBjAHIAbwBzAHMAIABzAG0AYQBsAGwAZQByACAAcABlAHIAaQBvAGQAcwC2AFwAIgAgACYAIABcAG4AIAAgACAAIABcACIAUwBMAE4AuwMgACAAIAAgACAAIAAgACAAIAAgACAAIAAgACAAIACSIVMAdAByAGEAaQBnAGgAdAAgAEwAaQBuAGUAIABkAGUAcAByAGUAYwBpAGEAdABpAG8AbgAgAG0AZQB0AGgAbwBkACAAZgBvAHIAIABvAG4AZQAgAGEAcwBzAGUAdAAgAG8AcgAgAGEAcwBzAGUAdAAgAGMAbABhAHMAcwAuALYAXAAiACAAJgAgAFwAbgAgACAAIAAgAFwAIgBTAFkARAC7AyAAIAAgACAAIAAgACAAIAAgACAAIAAgACAAIAAgAJIhUwB1AG0ALQBvAGYALQB5AGUAYQByAHMAJwAgAGQAaQBnAGkAdABzACAAZABlAHAAcgBlAGMAaQBhAHQAaQBvAG4AIABtAGUAdABoAG8AZAAgAGYAbwByACAAbwBuAGUAIABhAHMAcwBlAHQAIABvAHIAIABhAHMAcwBlAHQAIABjAGwAYQBzAHMALgC2AFwAIgAgACYAIABcAG4AIAAgACAAIABcACIARABCALsDIAAgACAAIAAgACAAIAAgACAAIAAgACAAIAAgACAAIACSIUYAaQB4AGUAZAAgAGQAZQBjAGwAaQBuAGkAbgBnACAAYgBhAGwAYQBuAGMAZQAgAGQAZQBwAHIAZQBjAGkAYQB0AGkAbwBuACAAbQBlAHQAaABvAGQAIABmAG8AcgAgAG8AbgBlACAAYQBzAHMAZQB0ACAAbwByACAAYQBzAHMAZQB0ACAAYwBsAGEAcwBzAC4AtgBcACIAIAAmACAAXABuACAAIAAgACAAXAAiAEQARABCALsDIAAgACAAIAAgACAAIAAgACAAIAAgACAAIAAgACAAkiFEAG8AdQBiAGwAZQAtAGQAZQBjAGwAaQBuAGkAbgBnACAAYgBhAGwAYQBuAGMAZQAgAGQAZQBwAHIAZQBjAGkAYQB0AGkAbwBuACAAbQBlAHQAaABvAGQAIABmAG8AcgAgAG8AbgBlACAAYQBzAHMAZQB0ACAAbwByACAAYQBzAHMAZQB0ACAAYwBsAGEAcwBzAC4AtgBcACIAIAAmACAAXABuACAAIAAgACAAXAAiAFYARABCALsDIAAgACAAIAAgACAAIAAgACAAIAAgACAAIAAgACAAkiFWAGEAcgBpAGEAYgBsAGUAIABkAGUAYwBsAGkAbgBpAG4AZwAgAGIAYQBsAGEAbgBjAGUAIABkAGUAcAByAGUAYwBpAGEAdABpAG8AbgAgAG0AZQB0AGgAbwBkACAAZgBvAHIAIABvAG4AZQAgAGEAcwBzAGUAdAAgAG8AcgAgAGEAcwBzAGUAdAAgAGMAbABhAHMAcwAuALYAXAAiACAAJgAgAFwAbgAgACAAIAAgACAAIAAgACAAIAAgACAAIAAgACAAIAAgACAAIAAgACAAIAAgACAAIAAgACAAIAAgACAAIAAgACAAIAAgACAAIAAgACAAIAAgACAAIAAgAFwAIgBEAGkAbQBpAG4AaQBzAGgAaQBuAGcAVgBhAGwAdQBlALsDIAAgAJIhRABpAG0AaQBuAGkAcwBoAGkAbgBnAC0AYgBhAGwAYQBuAGMAZQAgAGQAZQBwAHIAZQBjAGkAYQB0AGkAbwBuACAAcwBjAGgAZQBkAHUAbABlACAAYQB0ACAAMgAwADAAJQAgAG8AZgAgAHQAaABlACAAcwB0AHIAYQBpAGcAaAB0AC0AbABpAG4AZQAgAHIAYQB0AGUALAAgAHcAcgBpAHQAaQBuAGcAIAB0AGgAZQAgAHIAZQBzAGkAZAB1AGEAbAAgAG8AZgBmACAAaQBuACAAdABoAGUAIABmAGkAbgBhAGwAIABwAGUAcgBpAG8AZAAuACAAQQAgAG0AbwBkAGUAbABsAGkAbgBnACAAcwBjAGgAZQBkAHUAbABlACwAIABuAG8AdAAgAGEAIAB0AGEAeAAgAGMAYQBsAGMAdQBsAGEAdABpAG8AbgAuALYAXAAiACAAJgAgAFwAbgAgACAAIAAgACAAIAAgACAAIAAgACAAIAAgACAAIAAgACAAIAAgACAAIAAgACAAIAAgACAAIAAgACAAIAAgACAAIAAgACAAIAAgACAAIAAgACAAIAAgAFwAIgBQAHIAaQBtAGUAQwBvAHMAdAC7AyAAIAAgACAAIAAgACAAIAAgAJIhUwB0AHIAYQBpAGcAaAB0AC0AbABpAG4AZQAgAGQAZQBwAHIAZQBjAGkAYQB0AGkAbwBuACAAcwBjAGgAZQBkAHUAbABlACAAZgBvAHIAIABvAG4AZQAgAGEAcwBzAGUAdAAgAG8AcgAgAGEAcwBzAGUAdAAgAGMAbABhAHMAcwAsACAAaQBuACAAdwBoAG8AbABlACAAeQBlAGEAcgBzAC4AIABBACAAbQBvAGQAZQBsAGwAaQBuAGcAIABzAGMAaABlAGQAdQBsAGUALAAgAG4AbwB0ACAAYQAgAHQAYQB4ACAAYwBhAGwAYwB1AGwAYQB0AGkAbwBuAC4AtgBcACIAIAAmACAAXABuACAAIAAgACAAIAAgACAAIAAgACAAIAAgACAAIAAgACAAIAAgACAAIAAgACAAIAAgACAAIAAgACAAIAAgACAAIAAgACAAIAAgACAAIAAgACAAIAAgACAAXAAiAJIhtgBcACIAIAAmACAAXABuACAAIAAgACAAIAAgACAAIAAgACAAIAAgACAAIAAgACAAIAAgACAAIAAgACAAIAAgACAAIAAgACAAIAAgACAAIAAgACAAIAAgACAAIAAgACAAIAAgACAAXAAiAEEAVQBTAFQAUgBBAEwASQBBAE4AIABUAEEAWAAgACAAIAAgACAAkiG2AFwAIgAgACYAIABcAG4AIAAgACAAIAAgACAAIAAgACAAIAAgACAAIAAgACAAIAAgACAAIAAgACAAIAAgACAAIAAgACAAIAAgACAAIAAgACAAIAAgACAAIAAgACAAIAAgACAAIABcACIARwBTAFQAQQBkAGQAuwMgACAAIAAgACAAIAAgACAAIAAgACAAIACSIUEAZABkAHMAIABHAFMAVAAgAHQAbwAgAG8AbgBlACAAbwByACAAbQBvAHIAZQAgAEcAUwBUAC0AZQB4AGMAbAB1AHMAaQB2AGUAIABhAG0AbwB1AG4AdABzAC4AtgBcACIAIAAmACAAXABuACAAIAAgACAAIAAgACAAIAAgACAAIAAgACAAIAAgACAAIAAgACAAIAAgACAAIAAgACAAIAAgACAAIAAgACAAIAAgACAAIAAgACAAIAAgACAAIAAgACAAXAAiAEcAUwBUAEUAeAB0AHIAYQBjAHQAuwMgACAAIAAgACAAIAAgACAAkiFSAGUAdAB1AHIAbgBzACAAdABoAGUAIABHAFMAVAAgAGMAbwBuAHQAYQBpAG4AZQBkACAAaQBuACAAbwBuAGUAIABvAHIAIABtAG8AcgBlACAARwBTAFQALQBpAG4AYwBsAHUAcwBpAHYAZQAgAGEAbQBvAHUAbgB0AHMALgC2AFwAIgAgACYAXABuACAAIAAgACAAIAAgACAAIAAgACAAIAAgACAAIAAgACAAIAAgACAAIAAgACAAIAAgACAAIAAgACAAIAAgACAAIAAgACAAIAAgACAAIAAgACAAIAAgACAAXAAiAEwARQBBAFMARQBTACAAKABBAEEAUwBCACAAMQA2ACkAIAAgACAAkiG2AFwAIgAgACYAXABuACAAIAAgACAAIAAgACAAIAAgACAAIAAgACAAIAAgACAAIAAgACAAIAAgACAAIAAgACAAIAAgACAAIAAgACAAIAAgACAAIAAgACAAIAAgACAAIAAgACAAXAAiAEwAZQBhAHMAZQBMAGkAYQBiAGkAbABpAHQAeQC7AyAAIAAgACAAkiFQAHIAZQBzAGUAbgB0ACAAdgBhAGwAdQBlACAAbwBmACAAdABoAGUAIABsAGUAYQBzAGUAIABwAGEAeQBtAGUAbgB0AHMAIAB0AGgAYQB0ACAAYQByAGUAIABuAG8AdAAgAHAAYQBpAGQAIABhAHQAIAB0AGgAZQAgAGMAbwBtAG0AZQBuAGMAZQBtAGUAbgB0ACAAZABhAHQAZQC2AFwAIgAgACYAXABuACAAIAAgACAAIAAgACAAIAAgACAAIAAgACAAIAAgACAAIAAgACAAIAAgACAAIAAgACAAIAAgACAAIAAgACAAIAAgACAAIAAgACAAIAAgACAAIAAgACAAXAAiAEwAZQBhAHMAZQBTAGMAaABlAGQAdQBsAGUAuwMgACAAIAAgACAAkiFVAG4AdwBpAG4AZABzACAAYQAgAGwAZQBhAHMAZQAgAGwAaQBhAGIAaQBsAGkAdAB5ACAAaQBuAHQAbwAgAG8AcABlAG4AaQBuAGcALAAgAHAAYQB5AG0AZQBuAHQALAAgAGkAbgB0AGUAcgBlAHMAdAAgAGEAbgBkACAAYwBsAG8AcwBpAG4AZwAgAHIAbwB3AHMAtgBcACIAIAAmAFwAbgAgACAAIAAgACAAIAAgACAAIAAgACAAIAAgACAAIAAgACAAIAAgACAAIAAgACAAIAAgACAAIAAgACAAIAAgACAAIAAgACAAIAAgACAAIAAgACAAIAAgAFwAIgBMAGUAYQBzAGUAUgBlAG0AZQBhAHMAdQByAGUAuwMgACAAIAAgAJIhUgBlAG0AZQBhAHMAdQByAGUAcwAgAGEAIABsAGUAYQBzAGUAIABsAGkAYQBiAGkAbABpAHQAeQAgAGYAbwByACAAcgBlAHYAaQBzAGUAZAAgAHAAYQB5AG0AZQBuAHQAcwAgAGEAbgBkACAAYQBkAGoAdQBzAHQAcwAgAHQAaABlACAAcgBpAGcAaAB0AC0AbwBmAC0AdQBzAGUAIABhAHMAcwBlAHQAtgBcACIAIAAmAFwAbgAgACAAIAAgACAAIAAgACAAIAAgACAAIAAgACAAIAAgACAAIAAgACAAIAAgACAAIAAgACAAIAAgACAAIAAgACAAIAAgACAAIAAgACAAIAAgACAAIAAgAFwAIgBSAE8AVQBTAGMAaABlAGQAdQBsAGUAuwMgACAAIAAgACAAIAAgAJIhRABlAHAAcgBlAGMAaQBhAHQAZQBzACAAYQAgAHIAaQBnAGgAdAAtAG8AZgAtAHUAcwBlACAAYQBzAHMAZQB0ACAAaQBuACAAYQAgAHMAdAByAGEAaQBnAGgAdAAgAGwAaQBuAGUAIABvAHYAZQByACAAdABoAGUAIABsAGUAYQBzAGUAIAB0AGUAcgBtALYAXAAiACAAJgBcAG4AIAAgACAAIAAgACAAIAAgACAAIAAgACAAIAAgACAAIAAgACAAIAAgACAAIAAgACAAIAAgACAAIAAgACAAIAAgACAAIAAgACAAIAAgACAAIAAgACAAIABcACIAkiG2AFwAIgAgACYAXABuACAAIAAgACAAIAAgACAAIAAgACAAIAAgACAAIAAgACAAIAAgACAAIAAgACAAIAAgACAAIAAgACAAIAAgACAAIAAgACAAIAAgACAAIAAgACAAIAAgACAAXAAiAFIAQQBUAEUAUwAgACAAIAAgACAAIAAgACAAIAAgACAAIAAgACAAkiG2AFwAIgAgACYAXABuACAAIAAgACAAIAAgACAAIAAgACAAIAAgACAAIAAgACAAIAAgACAAIAAgACAAIAAgACAAIAAgACAAIAAgACAAIAAgACAAIAAgACAAIAAgACAAIAAgACAAXAAiAFAAZQByAGkAbwBkAFIAYQB0AGUAuwMgACAAIAAgACAAIAAgACAAkiFDAG8AbgB2AGUAcgB0AHMAIABhAG4AIABlAGYAZgBlAGMAdABpAHYAZQAgAGEAbgBuAHUAYQBsACAAcgBhAHQAZQAgAHQAbwAgAHQAaABlACAAZQBxAHUAaQB2AGEAbABlAG4AdAAgAHIAYQB0AGUAIABwAGUAcgAgAHAAZQByAGkAbwBkALYAXAAiACAAJgBcAG4AIAAgACAAIAAgACAAIAAgACAAIAAgACAAIAAgACAAIAAgACAAIAAgACAAIAAgACAAIAAgACAAIAAgACAAIAAgACAAIAAgACAAIAAgACAAIAAgACAAIABcACIAQQBuAG4AdQBhAGwAUgBhAHQAZQC7AyAAIAAgACAAIAAgACAAIACSIUMAbwBuAHYAZQByAHQAcwAgAGEAIAByAGEAdABlACAAcABlAHIAIABwAGUAcgBpAG8AZAAgAHQAbwAgAHQAaABlACAAZQBmAGYAZQBjAHQAaQB2AGUAIABhAG4AbgB1AGEAbAAgAHIAYQB0AGUAtgBcACIAIAAmAFwAbgAgACAAIAAgACAAIAAgACAAIAAgACAAIAAgACAAIAAgACAAIAAgACAAIAAgACAAIAAgACAAIAAgACAAIAAgACAAIAAgACAAIAAgACAAIAAgACAAIAAgAFwAIgBEAGEAeQBDAG8AdQBuAHQAUgBhAHQAZQC7AyAAIAAgACAAIAAgAJIhSQBuAHQAZQByAGUAcwB0ACAAcgBhAHQAZQAgAGYAbwByACAAZQBhAGMAaAAgAHQAaQBtAGUAbABpAG4AZQAgAHAAZQByAGkAbwBkACAAdQBuAGQAZQByACAAYQAgAGQAYQB5ACAAYwBvAHUAbgB0ACAAYwBvAG4AdgBlAG4AdABpAG8AbgC2AFwAIgAgACYAXABuACAAIAAgACAAIAAgACAAIAAgACAAIAAgACAAIAAgACAAIAAgACAAIAAgACAAIAAgACAAIAAgACAAIAAgACAAIAAgACAAIAAgACAAIAAgACAAIAAgACAAXAAiAJIhtgBcACIAIAAmAFwAbgAgACAAIAAgACAAIAAgACAAIAAgACAAIAAgACAAIAAgACAAIAAgACAAIAAgACAAIAAgACAAIAAgACAAIAAgACAAIAAgACAAIAAgACAAIAAgACAAIAAgAFwAIgBSAEUAUABPAFIAVABJAE4ARwAgACAAIAAgACAAIAAgACAAIAAgAJIhtgBcACIAIAAmAFwAbgAgACAAIAAgACAAIAAgACAAIAAgACAAIAAgACAAIAAgACAAIAAgACAAIAAgACAAIAAgACAAIAAgACAAIAAgACAAIAAgACAAIAAgACAAIAAgACAAIAAgAFwAIgBWAGEAcgBpAGEAbgBjAGUAuwMgACAAIAAgACAAIAAgACAAIAAgAJIhQQBjAHQAdQBhAGwAIABsAGUAcwBzACAAYgB1AGQAZwBlAHQALAAgAHAAbwBzAGkAdABpAHYAZQAgAHcAaABlAG4AIABmAGEAdgBvAHUAcgBhAGIAbABlACAAZgBvAHIAIABpAG4AYwBvAG0AZQAgAGEAbgBkACAAZQB4AHAAZQBuAHMAZQBzALYAXAAiACAAJgBcAG4AIAAgACAAIAAgACAAIAAgACAAIAAgACAAIAAgACAAIAAgACAAIAAgACAAIAAgACAAIAAgACAAIAAgACAAIAAgACAAIAAgACAAIAAgACAAIAAgACAAIABcACIAVgBhAHIAaQBhAG4AYwBlAFAAYwB0ALsDIAAgACAAIAAgACAAIACSIVYAYQByAGkAYQBuAGMAZQAgAGEAcwAgAGEAIABmAHIAYQBjAHQAaQBvAG4AIABvAGYAIAB0AGgAZQAgAGIAdQBkAGcAZQB0ACcAcwAgAHMAaQB6AGUALAAgAGsAZQBlAHAAaQBuAGcAIABpAHQAcwAgAHMAaQBnAG4AtgBcACIAIAAmAFwAbgAgACAAIAAgACAAIAAgACAAIAAgACAAIAAgACAAIAAgACAAIAAgACAAIAAgACAAIAAgACAAIAAgACAAIAAgACAAIAAgACAAIAAgACAAIAAgACAAIAAgAFwAIgBZAGUAYQByAFQAbwBEAGEAdABlALsDIAAgACAAIAAgACAAIAAgAJIhVABvAHQAYQBsAHMAIABlAGEAYwBoACAAcgBvAHcAIABmAHIAbwBtACAAdABoAGUAIABzAHQAYQByAHQAIABvAGYAIAB0AGgAZQAgAGYAaQBuAGEAbgBjAGkAYQBsACAAeQBlAGEAcgAgAHQAbwAgAGEAbgAgAGEAcwAtAGEAdAAgAGQAYQB0AGUAtgBcACIAIAAmACAAXABuACAAIAAgACAAIAAgACAAIAAgACAAIAAgACAAIAAgACAAIAAgACAAIAAgACAAIAAgACAAIAAgACAAIAAgACAAIAAgACAAIAAgACAAIAAgACAAIAAgACAAXABuACAAIAAgACAAXAAiAJIhtgBcACIAIAAmAFwAbgAgACAAIAAgAFwAIgBTAFUAQgBSAE8AVQBUAEkATgBFAFMAIAAgACAAIAAgACAAIAAgAJIhRgB1AG4AYwB0AGkAbwBuAHMAIAB1AHMAZQBkACAAYgB5ACAAbwB0AGgAZQByACAAZgB1AG4AYwB0AGkAbwBuAHMAIABvAHIAIABnAGUAbgBlAHIAYQBsACAAcAB1AHIAcABvAHMAZQAgAGYAdQBuAGMAdABpAG8AbgBzAC4AtgBcACIAIAAmACAAXABuACAAIAAgACAAXAAiAEYAaQBsAHQAZQByAEMAbwBuAHQAYQBpAG4AcwC7AyAAIAAgACAAkiFGAGkAbAB0AGUAcgAgAGEAbgAgAGEAcgByAGEAeQAgAGIAeQAgAGEAbgBvAHQAaABlAHIAIABhAHIAcgBhAHkAIAB0AGgAYQB0ACAAYwBvAG4AdABhAGkAbgBzACAAcwBwAGUAYwBpAGYAaQBjACAAdABlAHgAdAC2AFwAIgAgACYAIABcAG4AIAAgACAAIABcACIAUgBhAG4AZwBlAFQAbwBEAEEAuwMgACAAIAAgACAAIAAgACAAIACSIUMAcgBlAGEAdABlACAAYQAgAGQAeQBuAGEAbQBpAGMAIABhAHIAcgBhAHkAIABmAHIAbwBtACAAYQAgAHMAdABhAHQAaQBjACAAcgBhAG4AZwBlALYAXAAiACAAJgAgAFwAbgAgACAAIAAgAFwAIgBUAGkAbQBlAGwAaQBuAGUATwBmAGYAcwBlAHQAuwMgACAAIAAgAJIhRABlAHQAZQByAG0AaQBuAGUAcwAgAGgAbwB3ACAAbQBhAG4AeQAgAGMAbwBsAHUAbQBuAHMAIABhACAAZABhAHQAZQAgAGkAcwAgAG8AZgBmAHMAZQB0ACAAZgByAG8AbQAgAGEAIAB0AGkAbQBlAGwAaQBuAGUAJwBzACAAZgBpAHIAcwB0ACAAZABhAHQAZQC2AFwAIgAgACYAIABcAG4AIAAgACAAIABcACIAVABpAG0AZQBsAGkAbgBlAFAAbwBzAGkAdABpAG8AbgC7AyAAIACSIVAAbABhAGMAZQBzACAAYQBuACAAYQByAHIAYQB5ACAAbwByACAAdgBhAGwAdQBlACAAYQBwAHAAcgBvAHAAcgBpAGEAdABlAGwAeQAgAHcAaQB0AGgAaQBuACAAYQAgAG0AbwBkAGUAbAAnAHMAIAB0AGkAbQBlAGwAaQBuAGUALgC2AFwAIgAgACYAIAAgAFwAbgAgACAAIAAgAFwAIgBQAGUAcgBpAG8AZABTAHQAYQByAHQAuwMgACAAIAAgACAAIAAgAJIhRABlAHQAZQByAG0AaQBuAGUAIAB3AGgAZQBuACAAYQAgAHAAZQByAGkAbwBkACAAYwBvAG4AdABhAGkAbgBpAG4AZwAgAGEAIABkAGEAdABlACAAbwBmACAAaQBuAHQAZQByAGUAcwB0ACAAcwB0AGEAcgB0AHMALgC2AFwAIgAgACYAIABcAG4AIAAgACAAIABcACIAUABlAHIAaQBvAGQARABpAGYAZgC7AyAAIAAgACAAIAAgACAAIACSIUQAZQB0AGUAcgBtAGkAbgBlACAAdABoAGUAIABuAHUAbQBiAGUAcgAgAG8AZgAgAHAAZQByAGkAbwBkAHMAIABiAGUAdAB3AGUAZQBuACAAdAB3AG8AIABkAGEAdABlAHMALgBcACIALABcAG4AIAAgACAAIABcACIAkiFcACIALABcACIAtgBcACIAXABuACAAIAAgACAAKQBcAG4AKQA7AFwAbgBcAG4AXABuAFwAbgBcAG4ALwAqACAAIABGAFUATgBDAFQASQBPAE4AIABOAEEATQBFADoAIAAgAEMAbwByAGsAcwBjAHIAZQB3ALsDXABuACAAIAAgACAARABFAFMAQwBSAEkAUABUAEkATwBOADoAKgAvAC8AKgAqAEMAcgBlAGEAdABlACAAYQAgAGMAbwByAGsAcwBjAHIAZQB3ACAAcwBlAGMAdABpAG8AbgAgAHQAaABhAHQAIABzAHUAbQBzACAAdABoAGUAIABvAHAAZQBuAGkAbgBnACAAYgBhAGwAYQBuAGMAZQAgAGEAbgBkACAAdQBwACAAdABvACAANAAgAGkAbgBkAGUAcABlAG4AZABlAG4AdAAgAGYAbABvAHcAcwAuACoALwBcAG4AQwBvAHIAawBzAGMAcgBlAHcAuwMgAD0AIABMAEEATQBCAEQAQQAoAFwAbgAvAC8AIAAgAFAAYQByAGEAbQBlAHQAZQByACAARABlAGMAbABhAHIAYQB0AGkAbwBuAHMAXABuACAAIAAgACAAWwBPAHAAZQBuAGkAbgBnAF0ALABcAG4AIAAgACAAIABbAEYAbABvAHcAMQBdACwAXABuACAAIAAgACAAWwBGAGwAbwB3ADIAXQAsAFwAbgAgACAAIAAgAFsARgBsAG8AdwAzAF0ALABcAG4AIAAgACAAIABbAEYAbABvAHcANABdACwAXABuAFwAbgAgACAAIAAgAEwARQBUACgAXABuACAAIAAgACAALwAvACAAIABIAGUAbABwAFwAbgAgACAAIAAgACAAIAAgACAASABlAGwAcAAsACAAIAAgACAAIAAgACAAVABSAEkATQAoAFQARQBYAFQAUwBQAEwASQBUACgAIABcAG4AIAAgACAAIAAgACAAIAAgACAAIAAgACAAIAAgACAAIAAgACAAIAAgACAAIAAgACAAXAAiAEYAVQBOAEMAVABJAE8ATgA6ACAAIAAgACAAIAAgAJIhQwBvAHIAawBzAGMAcgBlAHcAuwMoACAATwBwAGUAbgBpAG4AZwAsACAARgBsAG8AdwAxACwAIABbAEYAbABvAHcAMgBdACwAIABbAEYAbABvAHcAMwBdACwAIABbAEYAbABvAHcANABdACkAtgBcACIAIAAmAFwAbgAgACAAIAAgACAAIAAgACAAIAAgACAAIAAgACAAIAAgACAAIAAgACAAIAAgACAAIABcACIARABFAFMAQwBSAEkAUABUAEkATwBOADoAIAAgACAAkiFDAHIAZQBhAHQAZQAgAGEAIABjAG8AcgBrAHMAYwByAGUAdwAgAHMAZQBjAHQAaQBvAG4AIAB0AGgAYQB0ACAAcwB1AG0AcwAgAHQAaABlACAAbwBwAGUAbgBpAG4AZwAgAGIAYQBsAGEAbgBjAGUAIABhAG4AZAAgAHUAcAAgAHQAbwAgADQAIABpAG4AZABlAHAAZQBuAGQAZQBuAHQAIABmAGwAbwB3AHMAtgBcACIAIAAmACAAXABu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TwBwAGUAbgBpAG4AZwAgACAAIAAgACAAIAAgACAAkiEoAFIAZQBxAHUAaQByAGUAZAApACAARgBpAHIAcwB0ACAAcABlAHIAaQBvAGQAcwAgAG8AcABlAG4AaQBuAGcAIABiAGEAbABhAG4AYwBlAC4AtgBcACIAIAAmACAAXABuACAAIAAgACAAIAAgACAAIAAgACAAIAAgACAAIAAgACAAIAAgACAAIAAgACAAIAAgAFwAIgBGAGwAbwB3ADEAIAAgACAAIAAgACAAIAAgACAAIACSISgAUgBlAHEAdQBpAHIAZQBkACkAIABGAGkAcgBzAHQAIAByAG8AdwAgACgAbwByACAAYQByAHIAYQB5ACAAbwBmACAAcgBvAHcAcwApACAAbwBmACAAbgB1AG0AYgBlAHIAcwAgAHQAbwAgAGkAbgBjAGwAdQBkAGUAIABpAG4AIABwAGUAcgBpAG8AZAAgAHQAbwB0AGEAbABzAC4AtgBcACIAIAAmACAAXABuACAAIAAgACAAIAAgACAAIAAgACAAIAAgACAAIAAgACAAIAAgACAAIAAgACAAIAAgAFwAIgBGAGwAbwB3ADIAIAAgACAAIAAgACAAIAAgACAAIACSISgATwBwAHQAaQBvAG4AYQBsACkAIABTAGUAYwBvAG4AZAAgAHIAbwB3ACAAKABvAHIAIABhAHIAcgBhAHkAIABvAGYAIAByAG8AdwBzACkAIABvAGYAIABuAHUAbQBiAGUAcgBzACAAdABvACAAaQBuAGMAbAB1AGQAZQAgAGkAbgAgAHAAZQByAGkAbwBkACAAdABvAHQAYQBsAHMALgC2AFwAIgAgACYAIABcAG4AIAAgACAAIAAgACAAIAAgACAAIAAgACAAIAAgACAAIAAgACAAIAAgACAAIAAgACAAXAAiAEYAbABvAHcAMwAgACAAIAAgACAAIAAgACAAIAAgAJIhKABPAHAAdABpAG8AbgBhAGwAKQAgAFQAaABpAHIAZAAgAHIAbwB3ACAAKABvAHIAIABhAHIAcgBhAHkAIABvAGYAIAByAG8AdwBzACkAIABvAGYAIABuAHUAbQBiAGUAcgBzACAAdABvACAAaQBuAGMAbAB1AGQAZQAgAGkAbgAgAHAAZQByAGkAbwBkACAAdABvAHQAYQBsAHMALgC2AFwAIgAgACYAIABcAG4AIAAgACAAIAAgACAAIAAgACAAIAAgACAAIAAgACAAIAAgACAAIAAgACAAIAAgACAAXAAiAEYAbABvAHcANAAgACAAIAAgACAAIAAgACAAIAAgAJIhKABPAHAAdABpAG8AbgBhAGwAKQAgAEYAbwB1AHIAdABoACAAcgBvAHcAIAAoAG8AcgAgAGEAcgByAGEAeQAgAG8AZgAgAHIAbwB3AHMAKQAgAG8AZgAgAG4AdQBtAGIAZQByAHMAIAB0AG8AIABpAG4AYwBsAHUAZABlACAAaQBuACAAcABlAHIAaQBvAGQAIAB0AG8AdABhAGwAcwAuALYAXAAiACAAJgAgAFwAbgAgACAAIAAgACAAIAAgACAAIAAgACAAIAAgACAAIAAgACAAIAAgACAAIAAgACAAIABcACIATgBPAFQARQAhACAAIAAgACAAIAAgACAAIAAgACAAkiFBAGwAbAAgAGYAbABvAHcAcwAgAGEAcgBlACAAYQBkAGQAZQBkAC4AIABUAG8AIABzAHUAYgB0AHIAYQBjAHQAIABhACAAZgBsAG8AdwAgAG0AYQBrAGUAIABpAHQAIABuAGUAZwBhAHQAaQB2AGUALgC2AFwAIgAgACYAIABcAG4AIAAgACAAIAAgACAAIAAgACAAIAAgACAAIAAgACAAIAAgACAAIAAgACAAIAAgACAAXAAiAJIhtgBcACIAIAAmAFwAbgAgACAAIAAgACAAIAAgACAAIAAgACAAIAAgACAAIAAgACAAIAAgACAAIAAgACAAIABcACIARQBYAEEATQBQAEwARQBTADoAIAAgACAAIAAgACAAkiFOAE8AVABFACEAIABvAHoAIABpAHMAIABhAHMAcwB1AG0AZQBkACAAdABvACAAYgBlACAAdABoAGUAIABtAG8AZAB1AGwAZQAnAHMAIABuAGEAbQBlALYAXAAiACAAJgAgAFwAbgAgACAAIAAgACAAIAAgACAAIAAgACAAIAAgACAAIAAgACAAIAAgACAAIAAgACAAIABcACIARgBvAHIAbQB1AGwAYQA6ACAAIAAgACAAIAAgACAAkiE9AG8AegAuAEMAbwByAGsAcwBjAHIAZQB3ALsDKAAwACwAIABTAGUAcQB1AGUAbgBjAGUAKAAxACwANQApACkAtgBcACIAIAAmAFwAbgAgACAAIAAgACAAIAAgACAAIAAgACAAIAAgACAAIAAgACAAIAAgACAAIAAgACAAIABcACIAUgBlAHMAdQBsAHQAOgAgACAAIAAgACAAIAAgACAAkiEwADAALAAgADAAMQAsACAAMAAzACwAIAAwADYALAAgADEAMAC2AFwAIgAgACYAXABuACAAIAAgACAAIAAgACAAIAAgACAAIAAgACAAIAAgACAAIAAgACAAIAAgACAAIAAgACAAIAAgACAAIAAgACAAIAAgACAAIAAgACAAIAAgAFwAIgCSITAAMQAsACAAMAAyACwAIAAwADMALAAgADAANAAsACAAMAA1ALYAXAAiACAAJgBcAG4AIAAgACAAIAAgACAAIAAgACAAIAAgACAAIAAgACAAIAAgACAAIAAgACAAIAAgACAAIAAgACAAIAAgACAAIAAgACAAIAAgACAAIAAgACAAXAAiAJIhMAAxACwAIAAwADMALAAgADAANgAsACAAMQAwACwAIAAxADUAXAAiACwAI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PAHAAZQBuAGkAbgBnACkALABcAG4AIAAgACAAIAAgACAAIAAgACAAIAAgACAAIAAgACAAIAAgACAAIAAgACAAIAAgACAAIAAgACAAIABJAFMATwBNAEkAVABUAEUARAAoACAARgBsAG8AdwAxACkAXABuACAAIAAgACAAIAAgACAAIAAgACAAIAAgACAAIAAgACAAIAAgACAAIAAgACAAIAAgACkALABcAG4AIAAgACAAIAAvAC8AIAAgAFAAcgBvAGMAZQBzAHMAaQBuAGcAXABuACAAIAAgACAAIAAgACAAIABDAG8AbABzACwAIAAgACAAIAAgACAAIAAgACAAIAAgAEMAbwBsAHUAbQBuAHMAKABGAGwAbwB3ADEAKQAsAFwAbgAgACAAIAAgACAAIAAgACAAUgBvAHcAcwAsACAAIAAgACAAIAAgACAAIAAgACAAIABJAEYAKABJAFMATwBNAEkAVABUAEUARAAoAEYAbABvAHcAMgApACwAIAAxACwAIABcAG4AIAAgACAAIAAgACAAIAAgACAAIAAgACAAIAAgACAAIAAgACAAIAAgACAAIAAgACAAIAAgACAAIABJAEYAKABJAFMATwBNAEkAVABUAEUARAAoAEYAbABvAHcAMwApACwAIAAyACwAIABcAG4AIAAgACAAIAAgACAAIAAgACAAIAAgACAAIAAgACAAIAAgACAAIAAgACAAIAAgACAAIAAgACAAIAAgACAAIAAgAEkARgAoAEkAUwBPAE0ASQBUAFQARQBEACgARgBsAG8AdwA0ACkALAAgADMALAAgADQAKQBcAG4AIAAgACAAIAAgACAAIAAgACAAIAAgACAAIAAgACAAIAAgACAAIAAgACAAIAAgACAAIAAgACAAIAApAFwAbgAgACAAIAAgACAAIAAgACAAIAAgACAAIAAgACAAIAAgACAAIAAgACAAIAAgACAAIAApACwAIAAgACAAIAAgACAAIAAgACAAIAAgACAAIAAgACAAIAAgACAAIAAgACAAIAAgACAAXABuACAAIAAgACAAIAAgACAAIABQAGUAcgBpAG8AZABBAHIAcgBhAHkALAAgACAAIAAgAFMAVwBJAFQAQwBIACgAUgBvAHcAcwAsACAAXABuACAAIAAgACAAIAAgACAAIAAgACAAIAAgACAAIAAgACAAIAAgACAAIAAgACAAIAAgACAAIAAgACAAMQAsACAAIABGAGwAbwB3ADEALAAgAFwAbgAgACAAIAAgACAAIAAgACAAIAAgACAAIAAgACAAIAAgACAAIAAgACAAIAAgACAAIAAgACAAIAAgADIALAAgACAAVgBTAFQAQQBDAEsAKABGAGwAbwB3ADEALAAgAEYAbABvAHcAMgApACwAIABcAG4AIAAgACAAIAAgACAAIAAgACAAIAAgACAAIAAgACAAIAAgACAAIAAgACAAIAAgACAAIAAgACAAIAAzACwAIAAgAFYAUwBUAEEAQwBLACgARgBsAG8AdwAxACwAIABGAGwAbwB3ADIALAAgAEYAbABvAHcAMwApACwAXABuACAAIAAgACAAIAAgACAAIAAgACAAIAAgACAAIAAgACAAIAAgACAAIAAgACAAIAAgACAAIAAgACAANAAsACAAIABWAFMAVABBAEMASwAoAEYAbABvAHcAMQAsACAARgBsAG8AdwAyACwAIABGAGwAbwB3ADMALAAgAEYAbABvAHcANAApAFwAbgAgACAAIAAgACAAIAAgACAAIAAgACAAIAAgACAAIAAgACAAIAAgACAAIAAgACAAIAApACwAIABcAG4AIAAgACAAIAAgACAAIAAgAFAAZQByAGkAbwBkAFQAbwB0AGEAbAAsACAAIAAgACAAQgBZAEMATwBMACgAUABlAHIAaQBvAGQAQQByAHIAYQB5ACwAIABMAEEATQBCAEQAQQAoAEMAbwBsACwAIABTAFUATQAoAEMAbwBsACkAKQApACwAIABcAG4AIAAgACAAIAAgACAAIAAgAEMAbABvAHMAaQBuAGcAVABvAHQAYQBsACwAIAAgACAAUwBDAEEATgAoAE8AcABlAG4AaQBuAGcALAAgAFAAZQByAGkAbwBkAFQAbwB0AGEAbAAsACAATABBAE0AQgBEAEEAKABPAHAAbgAsACAAUAByAGQAVABvAHQALAAgAE8AcABuACAAKwAgAFAAcgBkAFQAbwB0ACkAKQAsACAAXABuACAAIAAgACAAIAAgACAAIABPAHAAZQBuAGkAbgBnAFQAbwB0AGEAbAAsACAAIAAgAE0AQQBQACgAIABTAEUAUQBVAEUATgBDAEUAKAAsACAAQwBvAGwAcwApACwAIABMAEEATQBCAEQAQQAoACAAQwBvAGwALAAgAEkARgAoACAAQwBvAGwAIAA9ACAAMQAsACAATwBwAGUAbgBpAG4AZwAsACAASQBOAEQARQBYACgAIABDAGwAbwBzAGkAbgBnAFQAbwB0AGEAbAAsACAAQwBvAGwAIAAtACAAMQApACkAKQApACwAXABuACAAIAAgACAAIAAgACAAIABSAGUAcwB1AGwAdAAsACAAIAAgACAAIAAgACAAIAAgAFYAUwBUAEEAQwBLACgATwBwAGUAbgBpAG4AZwBUAG8AdABhAGwALAAgAFAAZQByAGkAbwBkAEEAcgByAGEAeQAsACAAQwBsAG8AcwBpAG4AZwBUAG8AdABhAGwAKQAsACAAXABuACAAIAAgACAALwAvACAAIABSAGUAdAB1AHIAbgAgAFIAZQBzAHUAbAB0AFwAbgAgACAAIAAgACAAIAAgACAAQwBIAE8ATwBTAEUAKABIAGUAbABwAD8AIAArACAAMQAsACAAUgBlAHMAdQBsAHQALAAgAEgAZQBsAHAAKQBcAG4AIAAgACAAIAApACAAIABcAG4AKQA7AFwAbgBcAG4AXABuAFwAbgAvACoAIAAgAEYAVQBOAEMAVABJAE8ATgAgAE4AQQBNAEUAOgAgACAAQwBvAHIAawBTAGMAcgBlAHcAUgBlAHYAZQByAHMAYQBsALsDXABuACAAIAAgACAARABFAFMAQwBSAEkAUABUAEkATwBOADoAKgAvAC8AKgAqAEMAcgBlAGEAdABlACAAYQAgAGMAbwByAGsAcwBjAHIAZQB3ACAAdwBoAGUAcgBlACAAdABoAGUAIABvAHAAZQBuAGkAbgBnACAAYgBhAGwAYQBuAGMAZQAgAGkAcwAgAHIAZQB2AGUAcgBzAGUAZAAgAGkAbgAgAHQAaABlACAAbgBlAHgAdAAgAHAAZQByAGkAbwBkACAAYgBhAHMAZQBkACAAbwBuACAAYQAgAHQAaQBtAGkAbgBnACAAcABhAHIAYQBtAGUAdABlAHIALgAqAC8AXABuAEMAbwByAGsAUwBjAHIAZQB3AFIAZQB2AGUAcgBzAGEAbAC7Az0ATABBAE0AQgBEAEEAKABcAG4ALwAvACAAIABQAGEAcgBhAG0AZQB0AGUAcgAgAEQAZQBjAGwAYQByAGEAdABpAG8AbgBzAFwAbgAgACAAIAAgAFsATwBwAGUAbgBpAG4AZwBdACwAXABuACAAIAAgACAAWwBSAGUAdgBlAHIAcwBhAGwARgBsAGEAZwBzAF0ALABcAG4AIAAgACAAIABbAEYAbABvAHcAMQBdACwAXABuACAAIAAgACAAWwBGAGwAbwB3ADIAXQAsAFwAbgAgACAAIAAgAFsARgBsAG8AdwAzAF0ALABcAG4AIAAgACAAIABbAEYAbABvAHcANABdACwAIABcAG4AIAAgACAAIAAvAC8AIAAgAEgAZQBsAHAAXABuACAAIAAgACAATABFAFQAKABIAGUAbABwACwAIAAgACAAIAAgACAAIAAgACAAIAAgAFQAUgBJAE0AKABUAEUAWABUAFMAUABMAEkAVAAoAFwAbgAgACAAIAAgACAAIAAgACAAIAAgACAAIAAgACAAIAAgACAAIAAgACAAIAAgACAAIABcACIARgBVAE4AQwBUAEkATwBOADoAIAAgACAAIAAgACAAkiFDAG8AcgBrAFMAYwByAGUAdwBSAGUAdgBlAHIAcwBhAGwAuwMoACAATwBwAGUAbgBpAG4AZwAsACAAUgBlAHYAZQByAHMAYQBsAEYAbABhAGcAcwAsACAARgBsAG8AdwAxACwAIABbAEYAbABvAHcAMgBdACwAIABbAEYAbABvAHcAMwBdACwAIABbAEYAbABvAHcANABdACkAtgBcACIAIAAmACAAXABuACAAIAAgACAAIAAgACAAIAAgACAAIAAgACAAIAAgACAAIAAgACAAIAAgACAAIAAgAFwAIgBEAEUAUwBDAFIASQBQAFQASQBPAE4AOgAgACAAIACSIUMAcgBlAGEAdABlACAAYQAgAGMAbwByAGsAcwBjAHIAZQB3ACAAdwBoAGUAcgBlACAAdABoAGUAIABvAHAAZQBuAGkAbgBnACAAYgBhAGwAYQBuAGMAZQAgAGkAcwAgAHIAZQB2AGUAcgBzAGUAZAAgAGkAbgAgAHQAaABlACAAbgBlAHgAdAAgAHAAZQByAGkAbwBkACAAYgBhAHMAZQBkACAAbwBuACAAYQAgAHQAaQBtAGkAbgBnACAAcABhAHIAYQBtAGUAdABlAHIAtgBcACIAIAAmACAAXABu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FwAIgBWAEUAUgBTAEkATwBOADoAIAAgACAAIAAgACAAIACSITIAMAAgAEEAdQBnACAAMgAwADIANgC2AFwAIgAgACYAIABcAG4AIAAgACAAIAAgACAAIAAgACAAIAAgACAAIAAgACAAIAAgACAAIAAgACAAIAAgACAAXAAiAFAAQQBSAEEATQBFAFQARQBSAFMAOgCSIbYAXAAiACAAJgAgAFwAbgAgACAAIAAgACAAIAAgACAAIAAgACAAIAAgACAAIAAgACAAIAAgACAAIAAgACAAIABcACIATwBwAGUAbgBpAG4AZwAgACAAIAAgACAAIAAgACAAkiEoAFIAZQBxAHUAaQByAGUAZAApACAARgBpAHIAcwB0ACAAcABlAHIAaQBvAGQAcwAgAG8AcABlAG4AaQBuAGcAIABiAGEAbABhAG4AYwBlAC4AtgBcACIAIAAmACAAXABuACAAIAAgACAAIAAgACAAIAAgACAAIAAgACAAIAAgACAAIAAgACAAIAAgACAAIAAgAFwAIgBSAGUAdgBlAHIAcwBhAGwARgBsAGEAZwBzACAAIACSISgAUgBlAHEAdQBpAHIAZQBkACkAIABBACAAcgBvAHcAIABvAGYAIABvAG4AZQBzACAAYQBuAGQAIABiAGwAYQBuAGsAcwAgACgAbwByACAAegBlAHIAbwBzACkAIABpAG4AZABpAGMAYQB0AGkAbgBnACAAdwBoAGUAbgAgAHQAbwAgAHIAZQB2AGUAcgBzAGUAIABwAGUAcgBpAG8AZAAgAHQAbwB0AGEAbABzAC4AtgBcACIAIAAmACAAXABuACAAIAAgACAAIAAgACAAIAAgACAAIAAgACAAIAAgACAAIAAgACAAIAAgACAAIAAgAFwAIgBGAGwAbwB3ADEAIAAgACAAIAAgACAAIAAgACAAIACSISgAUgBlAHEAdQBpAHIAZQBkACkAIABGAGkAcgBzAHQAIAByAG8AdwAgACgAbwByACAAYQByAHIAYQB5ACAAbwBmACAAcgBvAHcAcwApACAAbwBmACAAbgB1AG0AYgBlAHIAcwAgAHQAbwAgAGkAbgBjAGwAdQBkAGUAIABpAG4AIABwAGUAcgBpAG8AZAAgAHQAbwB0AGEAbABzAC4AtgBcACIAIAAmACAAXABuACAAIAAgACAAIAAgACAAIAAgACAAIAAgACAAIAAgACAAIAAgACAAIAAgACAAIAAgAFwAIgBGAGwAbwB3ADIAIAAgACAAIAAgACAAIAAgACAAIACSISgATwBwAHQAaQBvAG4AYQBsACkAIABTAGUAYwBvAG4AZAAgAHIAbwB3ACAAKABvAHIAIABhAHIAcgBhAHkAIABvAGYAIAByAG8AdwBzACkAIABvAGYAIABuAHUAbQBiAGUAcgBzACAAdABvACAAaQBuAGMAbAB1AGQAZQAgAGkAbgAgAHAAZQByAGkAbwBkACAAdABvAHQAYQBsAHMALgC2AFwAIgAgACYAIABcAG4AIAAgACAAIAAgACAAIAAgACAAIAAgACAAIAAgACAAIAAgACAAIAAgACAAIAAgACAAXAAiAEYAbABvAHcAMwAgACAAIAAgACAAIAAgACAAIAAgAJIhKABPAHAAdABpAG8AbgBhAGwAKQAgAFQAaABpAHIAZAAgAHIAbwB3ACAAKABvAHIAIABhAHIAcgBhAHkAIABvAGYAIAByAG8AdwBzACkAIABvAGYAIABuAHUAbQBiAGUAcgBzACAAdABvACAAaQBuAGMAbAB1AGQAZQAgAGkAbgAgAHAAZQByAGkAbwBkACAAdABvAHQAYQBsAHMALgC2AFwAIgAgACYAIABcAG4AIAAgACAAIAAgACAAIAAgACAAIAAgACAAIAAgACAAIAAgACAAIAAgACAAIAAgACAAXAAiAEYAbABvAHcANAAgACAAIAAgACAAIAAgACAAIAAgAJIhKABPAHAAdABpAG8AbgBhAGwAKQAgAEYAbwB1AHIAdABoACAAcgBvAHcAIAAoAG8AcgAgAGEAcgByAGEAeQAgAG8AZgAgAHIAbwB3AHMAKQAgAG8AZgAgAG4AdQBtAGIAZQByAHMAIAB0AG8AIABpAG4AYwBsAHUAZABlACAAaQBuACAAcABlAHIAaQBvAGQAIAB0AG8AdABhAGwAcwAuALYAXAAiACAAJgAgAFwAbgAgACAAIAAgACAAIAAgACAAIAAgACAAIAAgACAAIAAgACAAIAAgACAAIAAgACAAIABcACIATgBPAFQARQAhACAAIAAgACAAIAAgACAAIAAgACAAkiFBAGwAbAAgAGYAbABvAHcAcwAgAGEAcgBlACAAYQBkAGQAZQBkAC4AIABUAG8AIABzAHUAYgB0AHIAYQBjAHQAIABhACAAZgBsAG8AdwAgAG0AYQBrAGUAIABpAHQAIABuAGUAZwBhAHQAaQB2AGUALgBcACIALAAgAFwAbgAgACAAIAAgACAAIAAgACAAIAAgACAAIAAgACAAIAAgACAAIAAgACAAIAAgACAAIABcACIAkiFcACIALAAgAFwAIgC2AFwAIgApACkALAAgAFwAbgAgACAAIAAgAC8ALwAgACAAQwBoAGUAYwBrACAAaQBuAHAAdQB0AHMAIAAtACAATwBtAGkAdAB0AGUAZAAgAHIAZQBxAHUAaQByAGUAZAAgAGEAcgBnAHUAbQBlAG4AdABzAFwAbgAgACAAIAAgACAAIAAgACAASABlAGwAcAA/ACwAIAAgACAAIAAgACAAIAAgACAAIABPAFIAKAAgAEkAUwBPAE0ASQBUAFQARQBEACgAIABPAHAAZQBuAGkAbgBnACkALAAgAFwAbgAgACAAIAAgACAAIAAgACAAIAAgACAAIAAgACAAIAAgACAAIAAgACAAIAAgACAAIAAgACAAIAAgAEkAUwBPAE0ASQBUAFQARQBEACgAIABSAGUAdgBlAHIAcwBhAGwARgBsAGEAZwBzACkALAAgAFwAbgAgACAAIAAgACAAIAAgACAAIAAgACAAIAAgACAAIAAgACAAIAAgACAAIAAgACAAIAAgACAAIAAgAEkAUwBPAE0ASQBUAFQARQBEACgAIABGAGwAbwB3ADEAKQApACwAIABcAG4AIAAgACAAIAAvAC8AIAAgAFMAZQB0ACAAZABlAGYAYQB1AGwAdABzACAAYQBuAGQAIABjAG8AbgBzAHQAYQBuAHQAcwBcAG4AIAAgACAAIAAgACAAIAAgAEMAbwBsAHMALAAgACAAIAAgACAAIAAgACAAIAAgACAAQwBPAEwAVQBNAE4AUwAoAEYAbABvAHcAMQApACwAIABcAG4AIAAgACAAIAAgACAAIAAgAFIAbwB3AHMALAAgACAAIAAgACAAIAAgACAAIAAgACAASQBGACgASQBTAE8ATQBJAFQAVABFAEQAKABGAGwAbwB3ADIAKQAsACAAMQAsACAAXABuACAAIAAgACAAIAAgACAAIAAgACAAIAAgACAAIAAgACAAIAAgACAAIAAgACAAIAAgACAAIAAgACAASQBGACgASQBTAE8ATQBJAFQAVABFAEQAKABGAGwAbwB3ADMAKQAsACAAMgAsACAAXABuACAAIAAgACAAIAAgACAAIAAgACAAIAAgACAAIAAgACAAIAAgACAAIAAgACAAIAAgACAAIAAgACAAIAAgACAAIABJAEYAKABJAFMATwBNAEkAVABUAEUARAAoAEYAbABvAHcANAApACwAIAAzACwAIAA0ACkAXABuACAAIAAgACAAIAAgACAAIAAgACAAIAAgACAAIAAgACAAIAAgACAAIAAgACAAIAAgACAAIAAgACAAKQBcAG4AIAAgACAAIAAgACAAIAAgACAAIAAgACAAIAAgACAAIAAgACAAIAAgACAAIAAgACAAKQAsACAAXABuACAAIAAgACAALwAvACAAIABQAHIAbwBjAGUAZAB1AHIAZQBcAG4AIAAgACAAIAAgACAAIAAgAFAAZQByAGkAbwBkAEEAcgByAGEAeQAsACAAIAAgACAAUwBXAEkAVABDAEgAKABSAG8AdwBzACwAIABcAG4AIAAgACAAIAAgACAAIAAgACAAIAAgACAAIAAgACAAIAAgACAAIAAgACAAIAAgACAAIAAgACAAIAAxACwAIABGAGwAbwB3ADEALAAgAFwAbgAgACAAIAAgACAAIAAgACAAIAAgACAAIAAgACAAIAAgACAAIAAgACAAIAAgACAAIAAgACAAIAAgADIALAAgAFYAUwBUAEEAQwBLACgARgBsAG8AdwAxACwAIABGAGwAbwB3ADIAKQAsACAAXABuACAAIAAgACAAIAAgACAAIAAgACAAIAAgACAAIAAgACAAIAAgACAAIAAgACAAIAAgACAAIAAgACAAMwAsACAAVgBTAFQAQQBDAEsAKABGAGwAbwB3ADEALAAgAEYAbABvAHcAMgAsACAARgBsAG8AdwAzACkALAAgAFwAbgAgACAAIAAgACAAIAAgACAAIAAgACAAIAAgACAAIAAgACAAIAAgACAAIAAgACAAIAAgACAAIAAgADQALAAgAFYAUwBUAEEAQwBLACgARgBsAG8AdwAxACwAIABGAGwAbwB3ADIALAAgAEYAbABvAHcAMwAsACAARgBsAG8AdwA0ACkAXABuACAAIAAgACAAIAAgACAAIAAgACAAIAAgACAAIAAgACAAIAAgACAAIAAgACAAIAAgACkALAAgAFwAbgAgACAAIAAgACAAIAAgACAAUABlAHIAaQBvAGQAVABvAHQAYQBsACwAIAAgACAAIABCAFkAQwBPAEwAKABQAGUAcgBpAG8AZABBAHIAcgBhAHkALAAgAEwAQQBNAEIARABBACgAQwBvAGwALAAgAFMAVQBNACgAQwBvAGwAKQApACkALAAgAFwAbgAgACAAIAAgAC8ALwAgACAAVABoAGUAIABjAGwAbwBzAGkAbgBnACAAYgBhAGwAYQBuAGMAZQAgAGkAcwAgAHQAaABlACAAbwBuAGwAeQAgAHMAdABhAHQAZQAgAGMAYQByAHIAaQBlAGQAIABmAHIAbwBtACAAbwBuAGUAIABwAGUAcgBpAG8AZAAgAHQAbwAgAHQAaABlACAAbgBlAHgAdAA6ACAAYQAgAHAAZQByAGkAbwBkAFwAbgAgACAAIAAgAC8ALwAgACAAYwBsAG8AcwBlAHMAIABvAG4AIABpAHQAcwAgAG8AcABlAG4AaQBuAGcAIABiAGEAbABhAG4AYwBlACwAIABsAGUAcwBzACAAdABoAGEAdAAgAGIAYQBsAGEAbgBjAGUAIAB3AGgAZQByAGUAIAB0AGgAZQAgAGYAbABhAGcAIAByAGUAdgBlAHIAcwBlAHMAIABpAHQALAAgAHAAbAB1AHMAXABuACAAIAAgACAALwAvACAAIABpAHQAcwAgAGYAbABvAHcAcwAuACAAUwBvAGwAdgBlACAAdABoAGUAIABjAGwAbwBzAGkAbgBnAHMAIABpAG4AIABvAG4AZQAgAHAAYQBzAHMAIABhAG4AZAAgAHIAZQBhAGQAIABlAHYAZQByAHkAIABvAHQAaABlAHIAIAByAG8AdwAgAG8AZgBmACAAdABoAGUAbQAuAFwAbgAgACAAIAAgACAAIAAgACAARgBsAGEAZwBzACwAIAAgACAAIAAgACAAIAAgACAAIABJAE4ARABFAFgAKAAgAFIAZQB2AGUAcgBzAGEAbABGAGwAYQBnAHMALAAgADEALAAgAFMARQBRAFUARQBOAEMARQAoACAALAAgAEMAbwBsAHMAKQApACwAXABuACAAIAAgACAAIAAgACAAIABDAGwAbwBzAGkAbgBnAHMALAAgACAAIAAgACAAIAAgAFMAQwBBAE4AKAAgAE8AcABlAG4AaQBuAGcALAAgAFMARQBRAFUARQBOAEMARQAoACAALAAgAEMAbwBsAHMAKQAsAFwAbgAgACAAIAAgACAAIAAgACAAIAAgACAAIAAgACAAIAAgACAAIAAgACAAIAAgACAAIAAgACAAIAAgAEwAQQBNAEIARABBACgAIABBAGMAYwAsACAAQwBvAGwALABcAG4AIAAgACAAIAAgACAAIAAgACAAIAAgACAAIAAgACAAIAAgACAAIAAgACAAIAAgACAAIAAgACAAIAAgACAAIAAgAEEAYwBjACAAKgAgACgAIAAxACAALQAgAEkATgBEAEUAWAAoACAARgBsAGEAZwBzACwAIAAxACwAIABDAG8AbAApACkAIAArACAASQBOAEQARQBYACgAIABQAGUAcgBpAG8AZABUAG8AdABhAGwALAAgADEALAAgAEMAbwBsACkAXABuACAAIAAgACAAIAAgACAAIAAgACAAIAAgACAAIAAgACAAIAAgACAAIAAgACAAIAAgACAAIAAgACAAKQBcAG4AIAAgACAAIAAgACAAIAAgACAAIAAgACAAIAAgACAAIAAgACAAIAAgACAAIAAgACAAKQAsAFwAbgAgACAAIAAgACAAIAAgACAATwBwAGUAbgBpAG4AZwBzACwAIAAgACAAIAAgACAAIABJAEYAKAAgAEMAbwBsAHMAIAA9ACAAMQAsACAATwBwAGUAbgBpAG4AZwAsACAASABTAFQAQQBDAEsAKAAgAE8AcABlAG4AaQBuAGcALAAgAEQAUgBPAFAAKAAgAEMAbABvAHMAaQBuAGcAcwAsACAALAAgAC0AMQApACkAKQAsAFwAbgAgACAAIAAgACAAIAAgACAAUgBlAHYAZQByAHMAYQBsAHMALAAgACAAIAAgACAAIAAtAEYAbABhAGcAcwAgACoAIABPAHAAZQBuAGkAbgBnAHMALABcAG4AIAAgACAAIAAgACAAIAAgAFIAZQBzAHUAbAB0ACwAIAAgACAAIAAgACAAIAAgACAAVgBTAFQAQQBDAEsAKAAgAE8AcABlAG4AaQBuAGcAcwAsACAAUgBlAHYAZQByAHMAYQBsAHMALAAgAFAAZQByAGkAbwBkAEEAcgByAGEAeQAsACAAQwBsAG8AcwBpAG4AZwBz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JAG4AdABPAG4ASQBuAHQAuwNcAHQAXABuACAAIAAgACAARABFAFMAQwBSAEkAUABUAEkATwBOADoAKgAvACAALwAqACoAQwBhAGwAYwB1AGwAYQB0AGUAIABJAG4AdABlAHIAZQBzAHQAIABvAG4AIABJAG4AdABlAHIAZQBzAHQALgAgAFUAcwBlACAAdABvACAAZABlAHQAZQByAG0AaQBuAGUAIABhAG0AbwB1AG4AdAAgAG4AZQBlAGQAZQBkACAAdABvACAAYwBvAHYAZQByACAAZABlAGIAdAAgAHAAbAB1AHMAIABpAG4AdABlAHIAZQBzAHQAIABvAG4AIABkAGUAYgB0ACoALwBcAG4ALwAqACAAIABOAE8AVABFADoAIAAgACAAIAAgACAAIAAgACAAIAAgAE0AYQB0AGgAIABzAG8AdQByAGMAZQAgAGYAcgBvAG0AIABEAGkAYQByAG0AdQBpAGQAIABFAGEAcgBsAHkAJwBzACAAcABvAHMAdAA6ACAAaAB0AHQAcABzADoALwAvAHcAdwB3AC4AeQBvAHUAdAB1AGIAZQAuAGMAbwBtAC8AdwBhAHQAYwBoAD8AdgA9AGsANQByAEcAXwBNAHYASQBXAFcAcwAmAHQAPQA3ADgANwBzAFwAbgAqAC8AXABuAEkAbgB0AE8AbgBJAG4AdAC7AyAAPQAgAEwAQQBNAEIARABBACgAXABuACAAIAAgACAAWwBQAHIAaQBuAGMAaQBwAGEAbABdACwAXABuACAAIAAgACAAWwBSAGEAdABlAF0ALAAgAFwAbgAvAC8AIAAgAEgAZQBsAHAAXAB0AFwAbgAgACAAIAAgAEwARQBUACgASABlAGwAcAAsACAAIAAgACAAIAAgACAAIAAgACAAIABUAFIASQBNACgAVABFAFgAVABTAFAATABJAFQAKABcAG4AIAAgACAAIAAgACAAIAAgACAAIAAgACAAIAAgACAAIAAgACAAIAAgACAAIAAgACAAIAAgACAAIABcACIARgBVAE4AQwBUAEkATwBOADoAIAAgACAAIAAgACAAkiFJAG4AdABPAG4ASQBuAHQAuwMoACAAUAByAGkAbgBjAGkAcABhAGwALAAgAFIAYQB0AGUAKQC2AFwAIgAgACYAIABcAG4AIAAgACAAIAAgACAAIAAgACAAIAAgACAAIAAgACAAIAAgACAAIAAgACAAIAAgACAAIAAgACAAIABcACIARABFAFMAQwBSAEkAUABUAEkATwBOADoAIAAgACAAkiFDAGEAbABjAHUAbABhAHQAZQAgAEkAbgB0AGUAcgBlAHMAdAAgAG8AbgAgAEkAbgB0AGUAcgBlAHMAdAAgACgASQBuAHQAZQByAGUAcwB0ACAAbwBuAGwAeQApAC4AIABVAHMAZQAgAHQAbwAgAGQAZQB0AGUAcgBtAGkAbgBlACAAYQBtAG8AdQBuAHQAIAC2AFwAIgAgACYAXABuACAAIAAgACAAIAAgACAAIAAgACAAIAAgACAAIAAgACAAIAAgACAAIAAgACAAIAAgACAAIAAgACAAIAAgACAAIAAgACAAIAAgACAAIAAgACAAIAAgACAAXAAiAJIhbgBlAGUAZABlAGQAIAB0AG8AIABjAG8AdgBlAHIAIABiAG8AcgByAG8AdwBlAGQAIABpAG4AdABlAHIAZQBzAHQAtgBcACIAIAAmACAAXABuACAAIAAgACAAIAAgACAAIAAgACAAIAAgACAAIAAgACAAIAAgACAAIAAgACAAIAAgACAAIAAgACAAXAAiAFcARQBCAFMASQBU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QAHIAaQBuAGMAaQBwAGEAbAAgACAAIAAgACAAkiEoAFIAZQBxAHUAaQByAGUAZAApACAAUAByAGkAbgBjAGkAcABhAGwAIABhAG0AbwB1AG4AdAC2AFwAIgAgACYAIABcAG4AIAAgACAAIAAgACAAIAAgACAAIAAgACAAIAAgACAAIAAgACAAIAAgACAAIAAgACAAIAAgACAAIABcACIAUgBhAHQAZQAgACAAIAAgACAAIAAgACAAIAAgAJIhKABSAGUAcQB1AGkAcgBlAGQAKQAgAEkAbgB0AGUAcgBlAHMAdAAgAHAAZQByAGMAZQBuAHQAYQBnAGUAIAByAGEAdABlAC4AIABGAG8AcgAgAHkAZQBhAHIAcwAsACAAQQBQAFIALgAgAEYAbwByACAAbQBvAG4AdABoAHMALAAgAEEAUABSAC8AMQAyALYAXAAiACAAJgAg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DUAMgAuADYAMwAgACAAIAAgACAAIAAgACAAIAAgAJIhPQBvAHoALgBJAG4AdABPAG4ASQBuAHQAuwMoACAAMQAwADAAMAAsACAANQA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HIAaQBuAGMAaQBwAGEAbAApACwAXABuACAAIAAgACAAIAAgACAAIAAgACAAIAAgACAAIAAgACAAIAAgACAAIAAgACAAIAAgACAAIAAgACAASQBTAE8ATQBJAFQAVABFAEQAKAAgAFIAYQB0AGUAKQBcAG4AIAAgACAAIAAgACAAIAAgACAAIAAgACAAIAAgACAAIAAgACAAIAAgACAAIAAgACAAKQAsAFwAbgAgACAAIAAgAC8ALwAgACAAUAByAG8AYwBlAGQAdQByAGUAXABuACAAIAAgACAAIAAgACAAIABSAGUAcwB1AGwAdAAsACAAIAAgACAAIAAgACAAIAAgAFAAcgBpAG4AYwBpAHAAYQBsACAALwAoADEALQBSAGEAdABlACkAIAAtACAAUAByAGkAbgBjAGkAcABhAGw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JAFIAUgC7A1wAdABcAG4AIAAgACAAIABEAEUAUwBDAFIASQBQAFQASQBPAE4AOgAqAC8AIAAvACoAKgBDAGEAbABjAHUAbABhAHQAZQBzACAASQBSAFIALAAgAGMAbwByAHIAZQBjAHQAaQBuAGcAIABmAG8AcgAgAHcAaABlAG4AIAB0AGgAZQAgAGYAaQByAHMAdAAgAGkAbgB2AGUAcwB0AG0AZQBuAHQAIABpAHMAIABuAG8AdAAgAGkAbgAgAHQAaABlACAAZgBpAHIAcwB0ACAAcABlAHIAaQBvAGQAIAAqAC8AXABuAEkAUgBSALsDIAA9ACAATABBAE0AQgBEAEEAKABcAG4AIAAgACAAIABbAFYAYQBsAHUAZQBzAF0ALABcAG4AIAAgACAAIABbAEQAYQB0AGUAcwBdACwAIABcAG4ALwAvACAAIABIAGUAbABwAFwAdABcAG4AIAAgACAAIABMAEUAVAAoAEgAZQBsAHAALAAgACAAIAAgACAAIAAgACAAIAAgACAAVABSAEkATQAoAFQARQBYAFQAUwBQAEwASQBUACgAXABuACAAIAAgACAAIAAgACAAIAAgACAAIAAgACAAIAAgACAAIAAgACAAIAAgACAAIAAgACAAIAAgACAAXAAiAEYAVQBOAEMAVABJAE8ATgA6ACAAIAAgACAAIAAgAJIhSQBSAFIAuwMoACAAVgBhAGwAdQBlAHMALAAgAEQAYQB0AGUAcwApALYAXAAiACAAJgAgAFwAbgAgACAAIAAgACAAIAAgACAAIAAgACAAIAAgACAAIAAgACAAIAAgACAAIAAgACAAIAAgACAAIAAgAFwAIgBEAEUAUwBDAFIASQBQAFQASQBPAE4AOgAgACAAIACSIUMAYQBsAGMAdQBsAGEAdABlAHMAIABJAFIAUgAsACAAYwBvAHIAcgBlAGMAdABpAG4AZwAgAGYAbwByACAAdwBoAGUAbgAgAHQAaABlACAAZgBpAHIAcwB0ACAAaQBuAHYAZQBzAHQAbQBlAG4AdAAgAGkAcwAgAG4AbwB0ACAAaQBuACAAdABoAGUAIABmAGkAcgBzAHQAIABwAGUAcgBpAG8AZAC2AFwAIgAgACYAIABcAG4AIAAgACAAIAAgACAAIAAgACAAIAAgACAAIAAgACAAIAAgACAAIAAgACAAIAAgACAAIAAgACAAIABcACIAVwBFAEIAUwBJAFQ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GkAbgB2AGUAcwB0AG0AZQBuAHQAcwAgACgAbgBlAGcAYQB0AGkAdgBlACkAIABhAG4AZAAgAGQAaQBzAHQAcgBpAGIAdQB0AGkAbwBuAHMAIAAoAHAAbwBzAGkAdABpAHYAZQApALYAXAAiACAAJgAgAFwAbgAgACAAIAAgACAAIAAgACAAIAAgACAAIAAgACAAIAAgACAAIAAgACAAIAAgACAAIAAgACAAIAAgACAAIAAgACAAIAAgACAAIAAgACAAIAAgACAAIAAgAFwAIgCSIVQAaABlACAAZgBpAHIAcwB0ACAAZQBuAHQAcgB5ACwAIAB3AGgAZQB0AGgAZQByACAAMAAgAG8AcgAgAGEAbgAgAGEAbQBvAHUAbgB0ACwAIABtAHUAcwB0ACAAYgBlACAAZgBvAHIAIAB0AGgAZQAgAGYAaQByAHMAdAAgAHAAZQByAGkAbwBkACAAaQBuACAAdABoAGUAIAB0AGkAbQBlAGwAaQBuAGUAtgBcACIAIAAmACAAXABuACAAIAAgACAAIAAgACAAIAAgACAAIAAgACAAIAAgACAAIAAgACAAIAAgACAAIAAgACAAIAAgACAAIAAgACAAIAAgACAAIAAgACAAIAAgACAAIAAgACAAXAAiAJIhYQBuAGQAIABzAHUAYgBzAGUAcQB1AGUAbgB0ACAAZQBuAHQAcgBpAGUAcwAgAG0AdQBzAHQAIABjAG8AcgByAGUAcwBwAG8AbgBkACAAdABvACAAcABlAHIAaQBvAGQAcwAgAGkAbgAgAHQAaABlACAAdABpAG0AZQBsAGkAbgBlADsAIABoAG8AdwBlAHYAZQByACwAtgBcACIAIAAmACAAXABuACAAIAAgACAAIAAgACAAIAAgACAAIAAgACAAIAAgACAAIAAgACAAIAAgACAAIAAgACAAIAAgACAAIAAgACAAIAAgACAAIAAgACAAIAAgACAAIAAgACAAXAAiAJIhdABoAGUAIAB0AGkAbQBlAGwAaQBuAGUAIABtAGEAeQAgAGUAeAB0AGUAbgBkACAAYgBlAHkAbwBuAGQAIAB0AGgAZQAgAGUAbgBkACAAbwBmACAAdgBhAGwAdQBlAHMALgC2AFwAIgAgACYAIABcAG4AIAAgACAAIAAgACAAIAAgACAAIAAgACAAIAAgACAAIAAgACAAIAAgACAAIAAgACAAIAAgACAAIABcACIARABhAHQAZQBzACAAIAAgACAAIAAgACAAIAAgACAAkiEoAFIAZQBxAHUAaQByAGUAZAApACAAQQAgAHQAaQBtAGUAbABpAG4AZQAgAGYAbwByACAAdwBoAGUAbgAgAGUAYQBjAGgAIABpAG4AdgBlAHMAdABtAGUAbgB0ACAAaQBzACAAbQBhAGQAZQC2AFwAIgAgACYAIABcAG4AIAAgACAAIAAgACAAIAAgACAAIAAgACAAIAAgACAAIAAgACAAIAAgACAAIAAgACAAIAAgACAAIABcACIAkiG2AFwAIgAgACY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RABhAHQAZQBzACAAIAAgACAAIAAgACAAIAAgACAAkiE9AEUARABBAFQARQAoAFwAIgBcACIAMQAvADcALwAyADAAMgA2AFwAIgBcACIALAAgAFMARQBRAFUARQBOAEMARQAoACwAMgA0ACwAIAAwACkAKQC2AFwAIgAgACYAXABuACAAIAAgACAAIAAgACAAIAAgACAAIAAgACAAIAAgACAAIAAgACAAIAAgACAAIAAgACAAIAAgACAAXAAiAFYAYQBsAHUAZQBzACAAIAAgACAAIAAgACAAIAAgAJIhPQB7ADAALAAwACwALQAxADUAMAAsADAALAAtADEAMAAwACwAMQAwACwAMgAwACwAMwAwACwANAAwACwANQAwACwANgAwACwANwAwAH0AtgBcACIAIAAmACAAXABuACAAIAAgACAAIAAgACAAIAAgACAAIAAgACAAIAAgACAAIAAgACAAIAAgACAAIAAgACAAIAAgACAAXAAiAJIhtgBcACIAIAAmAFwAbgAgACAAIAAgACAAIAAgACAAIAAgACAAIAAgACAAIAAgACAAIAAgACAAIAAgACAAIAAgACAAIAAgAFwAIgBSAGUAcwB1AGwAdAAgACAAIAAgACAAIAAgACAAIACSIUYAbwByAG0AdQBsAGEAtgBcACIAIAAmAFwAbgAgACAAIAAgACAAIAAgACAAIAAgACAAIAAgACAAIAAgACAAIAAgACAAIAAgACAAIAAgACAAIAAgAFwAIgAyADUAJQAgACAAIAAgACAAIAAgACAAIAAgACAAIACSIT0AbwB6AC4ASQBSAFIAuwMoACAAVgBhAGwAdQBlAHMALAAgAEQAYQB0AGUAcw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EAGEAdABlAHMAKQBcAG4AIAAgACAAIAAgACAAIAAgACAAIAAgACAAIAAgACAAIAAgACAAIAAgACAAIAAgACAAKQAsAFwAbgAgACAAIAAgAC8ALwAgACAAUwBlAHQAIABEAGUAZgBhAHUAbAB0AHMAXABuACAAIAAgACAAIAAgACAAIABWAGEAbAB1AGUAcwAsACAAIAAgACAAIAAgACAAIAAgAEUAWABQAEEATgBEACgAVgBBAEwAVQBFAFMALAAgADEALAAgAEMATwBVAE4AVABBACgARABhAHQAZQBzACkALAAgADAAKQAsAFwAbgAgACAAIAAgAC8ALwAgACAAUAByAG8AYwBlAGQAdQByAGUAXABuACAAIAAgACAAIAAgACAAIABGAGkAbAB0AGUAcgBCAHkALAAgACAAIAAgACAAIAAgAFYAYQBsAHUAZQBzACAAPAA+ACAAMAAsAFwAbgAgACAAIAAgACAAIAAgACAARgBpAGwAdABlAHIAZQBkAFYAYQBsAHUAZQBzACwAIABGAEkATABUAEUAUgAoACAAVgBhAGwAdQBlAHMALAAgAEYAaQBsAHQAZQByAEIAeQApACwAIABcAG4AIAAgACAAIAAgACAAIAAgAEYAaQBsAHQAZQByAGUAZABEAGEAdABlAHMALAAgACAARgBJAEwAVABFAFIAKAAgAEQAYQB0AGUAcwAsACAARgBpAGwAdABlAHIAQgB5ACkALAAgAFwAbgAgACAAIAAgACAAIAAgACAAUgBlAHMAdQBsAHQALAAgACAAIAAgACAAIAAgACAAIABYAEkAUgBSACgAIABGAGkAbAB0AGUAcgBlAGQAVgBhAGwAdQBlAHMALAAgAEYAaQBsAHQAZQByAGUAZABEAGEAdABlAHMAKQAsACAAXABuACAAIAAgACAALwAvACAAIABSAGUAdAB1AHIAbgAgAFIAZQBzAHUAbAB0AFwAbgAgACAAIAAgACAAIAAgACAAQwBIAE8ATwBTAEUAKABIAGUAbABwAD8AIAArACAAMQAsACAAUgBlAHMAdQBsAHQALAAgAEgAZQBsAHAAKQBcAG4AIAAgACAAIAApACAAXABuACkAOwBcAG4AXABuAFwAbgBcAG4ALwAqACAAIABGAFUATgBDAFQASQBPAE4AIABOAEEATQBFADoAIAAgAE0AbwB2AGUAbQBlAG4AdAC7A1wAbgAgACAAIAAgAEQARQBTAEMAUgBJAFAAVABJAE8ATgA6ACoALwAvACoAKgBDAHIAZQBhAHQAZQAgAGEAIAByAG8AdwAgAG8AZgAgAGQAaQBmAGYAZQByAGUAbgBjAGUAcwAgAGYAcgBvAG0AIABjAG8AbAB1AG0AbgAgAHQAbwAgAGMAbwBsAHUAbQBuACoALwBcAG4ATQBvAHYAZQBtAGUAbgB0ALsDIAA9ACAATABBAE0AQgBEAEEAKABcAG4ALwAvACAAIABQAGEAcgBhAG0AZQB0AGUAcgAgAEQAZQBjAGwAYQByAGEAdABpAG8AbgBzAFwAbgAgACAAIAAgAFsAQgBlAGcAaQBuAG4AaQBuAGcAVgBhAGwAdQBlAHMAXQAsAFwAbgAgACAAIAAgAFsAVgBhAGwAdQBlAHMAXQAsACAAIAAgACAAXABuAC8ALwAgACAASABlAGwAcABcAG4AIAAgACAAIABMAEUAVAAoAEgAZQBsAHAALAAgACAAIAAgACAAIAAgAFQAUgBJAE0AKABUAEUAWABUAFMAUABMAEkAVAAoACAAXABuACAAIAAgACAAIAAgACAAIAAgACAAIAAgACAAIAAgACAAIAAgACAAIAAgACAAIAAgACAAIAAgACAAXAAiAEYAVQBOAEMAVABJAE8ATgA6ACAAIAAgACAAIAAgAJIhTQBvAHYAZQBtAGUAbgB0ALsDKAAgAFsAQgBlAGcAaQBuAG4AaQBuAGcAVgBhAGwAdQBlAHMAXQAsACAAVgBhAGwAdQBlAHMAKQC2AFwAIgAgACYAXABuACAAIAAgACAAIAAgACAAIAAgACAAIAAgACAAIAAgACAAIAAgACAAIAAgACAAIAAgACAAIAAgACAAXAAiAEQARQBTAEMAUgBJAFAAVABJAE8ATgA6ACAAIAAgAJIhQwByAGUAYQB0AGUAIABhACAAcgBvAHcAIABvAGYAIABkAGkAZgBmAGUAcgBlAG4AYwBlAHMAIABmAHIAbwBtACAAYwBvAGwAdQBtAG4AIAB0AG8AIABj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IAZQBnAGkAbgBuAGkAbgBnAFYAYQBsAHUAZQBzAJIhKABPAHAAdABpAG8AbgBhAGwAKQAgAEQAZQBmAGEAdQBsAHQAcwAgAHQAbwAgADAALgAgAE8AbgBlACAAdgBhAGwAdQBlACwAIABvAHIAIABvAG4AZQAgAHAAZQByACAAcgBvAHcAIABvAGYAIABWAGEAbAB1AGUAcwC2AFwAIgAgACYAIABcAG4AIAAgACAAIAAgACAAIAAgACAAIAAgACAAIAAgACAAIAAgACAAIAAgACAAIAAgACAAIAAgACAAIABcACIAVgBhAGwAdQBlAHMAIAAgACAAIAAgACAAIAAgACAAkiEoAFIAZQBxAHUAaQByAGUAZAApACAAQQAgAHIAbwB3ACAAKABvAHIAIAByAG8AdwBzACkAIABvAGYAIAB2AGEAbAB1AGUAcwAgAHQAbwAgAGMAbwBtAHAAYQByAGUAIABjAG8AbAB1AG0AbgAgAHQAbwAgAGMAbwBsAHUAbQBuALYAXAAiACAAJgAg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DEAMAAwACwAMQAwACwAMgAwACwALQAzADAAIAAgAJIhPQBvAHoALgBNAG8AdgBlAG0AZQBuAHQAuwMoACwAewAxADAAMAAsADEAMQAwACwAMQAzADAALAAxADAAMAB9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ACwAIAAgACAAIAAgACAAIAAgACAAIABJAFMATwBNAEkAVABUAEUARAAoACAAVgBhAGwAdQBlAHMAKQAsAFwAbgAgACAAIAAgAC8ALwAgACAAUwBlAHQAIABEAGUAZgBhAHUAbAB0AHMAXABuACAAIAAgACAALwAvACAAIABFAGwAZQBtAGUAbgB0AC0AdwBpAHMAZQAsACAAcwBvACAAbwBuAGUAIABiAGwAYQBuAGsAIABvAHAAZQBuAGkAbgBnACAAZABlAGYAYQB1AGwAdABzACAAaQB0AHMAIABvAHcAbgAgAHIAbwB3ACAAYQBuAGQAIABuAG8AdAAgAGUAdgBlAHIAeQAgAHIAbwB3AFwAbgAgACAAIAAgACAAIAAgACAAQgBlAGcAaQBuAG4AaQBuAGcAVgBhAGwAdQBlAHMALAAgAEkARgAoAEkAUwBPAE0ASQBUAFQARQBEACgAQgBlAGcAaQBuAG4AaQBuAGcAVgBhAGwAdQBlAHMAKQAsACAAMAAsAFwAbgAgACAAIAAgACAAIAAgACAAIAAgACAAIAAgACAAIAAgACAAIAAgACAAIAAgACAAIAAgACAAIAAgAEkARgAoAFQAUgBJAE0AKABCAGUAZwBpAG4AbgBpAG4AZwBWAGEAbAB1AGUAcwAgACYAIABcACIAXAAiACkAPQBcACIAXAAiACwAIAAwACwAIABCAGUAZwBpAG4AbgBpAG4AZwBWAGEAbAB1AGUAcwApACkALABcAG4AIAAgACAAIAAvAC8AIAAgAFAAcgBvAGMAZQBkAHUAcgBlAFwAbgAgACAAIAAgACAAIAAgACAAUgBvAHcAcwAsACAAIAAgACAAIAAgACAAIAAgACAAIABSAE8AVwBTACgAIABWAGEAbAB1AGUAcwApACwAXABuACAAIAAgACAAIAAgACAAIABDAG8AbABzACwAIAAgACAAIAAgACAAIAAgACAAIAAgAEMATwBMAFUATQBOAFMAKAAgAFYAYQBsAHUAZQBzACkALABcAG4AIAAgACAAIAAvAC8AIAAgAEUAYQBjAGgAIABjAG8AbAB1AG0AbgAgAGkAcwAgAGMAbwBtAHAAYQByAGUAZAAgAHcAaQB0AGgAIAB0AGgAZQAgAG8AbgBlACAAYgBlAGYAbwByAGUAIABpAHQAOwAgAHQAaABlACAAZgBpAHIAcwB0ACAAdwBpAHQAaAAgAGkAdABzACAAcgBvAHcAJwBzACAAYgBlAGcAaQBuAG4AaQBuAGcAIAB2AGEAbAB1AGUAXABuACAAIAAgACAAIAAgACAAIABCAGUAZwBpAG4AcwAsACAAIAAgACAAIAAgACAAIAAgAFMARQBRAFUARQBOAEMARQAoACAAUgBvAHcAcwAsACAAMQAsACAAMAAsACAAMAApACAAKwAgAEIAZQBnAGkAbgBuAGkAbgBnAFYAYQBsAHUAZQBzACwAXABuACAAIAAgACAAIAAgACAAIABQAHIAZQB2AGkAbwB1AHMALAAgACAAIAAgACAAIAAgAEkARgAoACAAQwBvAGwAcwAgAD0AIAAxACwAIABCAGUAZwBpAG4AcwAsACAASABTAFQAQQBDAEsAKAAgAEIAZQBnAGkAbgBzACwAIABEAFIATwBQACgAIABWAGEAbAB1AGUAcwAsACAALAAgAC0AMQApACkAKQAsAFwAbgAgACAAIAAgACAAIAAgACAAUgBlAHMAdQBsAHQALAAgACAAIAAgACAAIAAgACAAIABWAGEAbAB1AGUAcwAgAC0AIABQAHIAZQB2AGkAbwB1AHM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SAGUAdgBlAHIAcwBhAGwAuwNcAG4AIAAgACAAIABEAEUAUwBDAFIASQBQAFQASQBPAE4AOgAqAC8ALwAqACoAQwByAGUAYQB0AGUAIABhACAAcgBvAHcAIAB0AGgAYQB0ACAAcgBlAHYAZQByAHMAZQBzACAAaQBuAHAAdQB0ACAAdgBhAGwAdQBlAHMAIABpAG4AIAB0AGgAZQAgAG4AZQB4AHQAIABwAGUAcgBpAG8AZAAuACoALwBcAG4AUgBlAHYAZQByAHMAYQBsALsDIAA9ACAATABBAE0AQgBEAEEAKABcAG4ALwAvACAAIABQAGEAcgBhAG0AZQB0AGUAcgAgAEQAZQBjAGwAYQByAGEAdABpAG8AbgBzAFwAbgAgACAAIAAgAFsATwBwAGUAbgBpAG4AZwBWAGEAbAB1AGUAXQAsAFwAbgAgACAAIAAgAFsAUgBvAHcAVABvAFIAZQB2AGUAcgBzAGUAXQAsACAAIAAgACAAXABuAC8ALwAgACAASABlAGwAcABcAG4AIAAgACAAIABMAEUAVAAoAEgAZQBsAHAALAAgACAAIAAgACAAIAAgAFQAUgBJAE0AKABUAEUAWABUAFMAUABMAEkAVAAoACAAXABuACAAIAAgACAAIAAgACAAIAAgACAAIAAgACAAIAAgACAAIAAgACAAIAAgACAAIAAgACAAIAAgACAAXAAiAEYAVQBOAEMAVABJAE8ATgA6ACAAIAAgACAAIAAgAJIhUgBlAHYAZQByAHMAYQBsALsDKAAgAFsATwBwAGUAbgBpAG4AZwBWAGEAbAB1AGUAXQAsACAAUgBvAHcAVABvAFIAZQB2AGUAcgBzAGUAKQC2AFwAIgAgACYAXABuACAAIAAgACAAIAAgACAAIAAgACAAIAAgACAAIAAgACAAIAAgACAAIAAgACAAIAAgACAAIAAgACAAXAAiAEQARQBTAEMAUgBJAFAAVABJAE8ATgA6ACAAIAAgAJIhQwByAGUAYQB0AGUAIABhACAAcgBvAHcAIAB0AGgAYQB0ACAAcgBlAHYAZQByAHMAZQBzACAAaQBuAHAAdQB0ACAAdgBhAGwAdQBlAHMAIABpAG4AIAB0AGgAZQAgAG4AZQB4AHQAIABwAGUAcgBpAG8AZAA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TwBwAGUAbgBpAG4AZwBWAGEAbAB1AGUAIAAgACAAkiEoAE8AcAB0AGkAbwBuAGEAbAApACAARABlAGYAYQB1AGwAdABzACAAdABvACAAMAC2AFwAIgAgACYAIABcAG4AIAAgACAAIAAgACAAIAAgACAAIAAgACAAIAAgACAAIAAgACAAIAAgACAAIAAgACAAIAAgACAAIABcACIAUgBvAHcAVABvAFIAZQB2AGUAcgBzAGUAIAAgACAAkiEoAFIAZQBxAHUAaQByAGUAZAApACAAQQAgAHIAbwB3ACAAbwBmACAAdgBhAGwAdQBlAHMAIAB0AG8AIAByAGUAdgBlAHIAcwBlACAAdABoAGUAIABmAG8AbABsAG8AdwBpAG4AZwAgAHAAZQByAGkAbwBkAHM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AAsAC0AMQAwADAALAAtADEAMQAwACAAIAAgACAAkiE9AG8AegAuAFIAZQB2AGUAcgBzAGEAbAC7AygAIAAsACAAewAxADAAMAAsADEAMQAwACwAMQAzADAAfQApAFwAIgAsAFwAbgAgACAAIAAgACAAIAAgACAAIAAgACAAIAAgACAAIAAgACAAIAAgACAAIAAgACAAIAAgACAAIAAgAFwAIgCSIVwAIgAsACAAXAAiALYAXAAiACAAKQBcAG4AIAAgACAAIAAgACAAIAAgACAAIAAgACAAIAAgACAAIAAgACAAIAAgACkALAAgACAAIAAgACAAIAAgACAAIAAgACAAIABcAG4AIAAgACAAIAAvAC8AIAAgAEMAaABlAGMAawAgAGkAbgBwAHUAdABzACAALQAgAE8AbQBpAHQAdABlAGQAIAByAGUAcQB1AGkAcgBlAGQAIABhAHIAZwB1AG0AZQBuAHQAcwBcAG4AIAAgACAAIAAgACAAIAAgAEgAZQBsAHAAPwAsACAAIAAgACAAIAAgACAAIAAgACAASQBTAE8ATQBJAFQAVABFAEQAKAAgAFIAbwB3AFQAbwBSAGUAdgBlAHIAcwBlACkALABcAG4AIAAgACAAIAAvAC8AIAAgAFMAZQB0ACAARABlAGYAYQB1AGwAdABzAFwAbgAgACAAIAAgACAAIAAgACAAQgBlAGcAaQBuAG4AaQBuAGcAVgBhAGwAdQBlACwAIABJAEYAKAAgAEkAUwBPAE0ASQBUAFQARQBEACgAIABPAHAAZQBuAGkAbgBnAFYAYQBsAHUAZQApACwAIAAwACwAIAAgAE8AcABlAG4AaQBuAGcAVgBhAGwAdQBlACkALABcAG4AIAAgACAAIAAvAC8AIAAgAFAAcgBvAGMAZQBkAHUAcgBlAFwAbgAgACAAIAAgACAAIAAgACAAQwBvAHUAbgB0AGUAcgAsACAAIAAgACAAIAAgACAAIABTAEUAUQBVAEUATgBDAEUAKAAgACwAIABDAE8ATABVAE0ATgBTACgAUgBvAHcAVABvAFIAZQB2AGUAcgBzAGUAKQApACwAXABuACAAIAAgACAAIAAgACAAIABSAGUAcwB1AGwAdAAsACAAIAAgACAAIAAgACAAIAAgAE0AQQBQACgAIABDAG8AdQBuAHQAZQByACwAIABcAG4AIAAgACAAIAAgACAAIAAgACAAIAAgACAAIAAgACAAIAAgACAAIAAgACAAIAAgACAAIAAgACAAIABMAEEATQBCAEQAQQAoAEMAbwBsACwAIAAgAEkARgAoAEMAbwBsACAAPQAgADEALAAgAC0ATwBwAGUAbgBpAG4AZwBWAGEAbAB1AGUALAAgAC0AQwBIAE8ATwBTAEUAQwBPAEwAUwAoACAAUgBvAHcAVABvAFIAZQB2AGUAcgBzAGUALAAgAEMAbwBsAC0AMQApACkAKQBcAG4AIAAgACAAIAAgACAAIAAgACAAIAAgACAAIAAgACAAIAAgACAAIAAgACAAIAAgACAAKQAsAFwAbgAgACAAIAAgAC8ALwAgACAAUgBlAHQAdQByAG4AIABSAGUAcwB1AGwAdABcAG4AIAAgACAAIAAgACAAIAAgAEMASABPAE8AUwBFACgASABlAGwAcAA/ACAAKwAgADEALAAgAFIAZQBzAHUAbAB0ACwAIABIAGUAbABwACkAXABuACAAIAAgACAAKQAgACAAXABuACkAOwBcAG4AXABuAFwAbgAvACoAIAAgAEYAVQBOAEMAVABJAE8ATgAgAE4AQQBNAEUAOgAgACAAQwB1AG0AdQBsAGEAdABpAHYAZQC7A1wAbgAgACAAIAAgAEQARQBTAEMAUgBJAFAAVABJAE8ATgA6ACoALwAvACoAKgBDAHIAZQBhAHQAZQBzACAAYQAgAHIAbwB3ACAAbwByACAAYwBvAGwAdQBtAG4AIABvAGYAIABjAHUAbQB1AGwAYQB0AGkAdgBlACAAdABvAHQAYQBsAHMAIABmAHIAbwBtACAAYQAgAHQAbwB0AGEAbAAgAHIAbwB3ACAAbwByACAAYwBvAGwAdQBtAG4AKgAvAFwAbgBDAHUAbQB1AGwAYQB0AGkAdgBlALsDIAA9ACAATABBAE0AQgBEAEEAKABcAG4ALwAvACAAIABQAGEAcgBhAG0AZQB0AGUAcgAgAEQAZQBjAGwAYQByAGEAdABpAG8AbgBzAFwAbgAgACAAIAAgAFsAVABvAHQAYQBsAHMAXQAsAFwAbgAgACAAIAAgAFsATwBwAGUAbgBpAG4AZwBCAGEAbABhAG4AYwBlAF0ALABcAG4ALwAvACAAIABIAGUAbABwAFwAbgAgACAAIAAgAEwARQBUACgASABlAGwAcAAsACAAIAAgACAAIAAgACAAVABSAEkATQAoAFQARQBYAFQAUwBQAEwASQBUACgAIABcAG4AIAAgACAAIAAgACAAIAAgACAAIAAgACAAIAAgACAAIAAgACAAIAAgACAAIAAgACAAIAAgACAAIABcACIARgBVAE4AQwBUAEkATwBOADoAIAAgACAAIAAgACAAkiFDAHUAbQB1AGwAYQB0AGkAdgBlALsDKAAgAFQAbwB0AGEAbABzACwAIABbAE8AcABlAG4AaQBuAGcAQgBhAGwAYQBuAGMAZQBdACkAtgBcACIAIAAmAFwAbgAgACAAIAAgACAAIAAgACAAIAAgACAAIAAgACAAIAAgACAAIAAgACAAIAAgACAAIAAgACAAIAAgAFwAIgBEAEUAUwBDAFIASQBQAFQASQBPAE4AOgAgACAAIACSIUMAcgBlAGEAdABlAHMAIABhACAAcgBvAHcAIABvAHIAIABjAG8AbAB1AG0AbgAgAG8AZgAgAGMAdQBtAHUAbABhAHQAaQB2AGUAIAB0AG8AdABhAGwAcwAgAGYAcgBvAG0AIABhACAAdABvAHQAYQBsACAAcgBvAHcAIABvAHIAIABj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QAbwB0AGEAbABzACAAIAAgACAAIAAgACAAIAAgAJIhKABSAGUAcQB1AGkAcgBlAGQAKQAgAEEAIAByAG8AdwAgAG8AcgAgAGMAbwBsAHUAbQBuACAAbwBmACAAdABvAHQAYQBsAHMAIABmAHIAbwBtACAAdwBoAGkAYwBoACAAdABvACAAcgB1AG4AIABjAHUAbQB1AGwAYQB0AGkAdgBlACAAdABvAHQAYQBsAHMAtgBcACIAIAAmACAAXABuACAAIAAgACAAIAAgACAAIAAgACAAIAAgACAAIAAgACAAIAAgACAAIAAgACAAIAAgACAAIAAgACAAXAAiAE8AcABlAG4AaQBuAGcAQgBhAGwAYQBuAGMAZQAgAJIhKABPAHAAdABpAG8AbgBhAGwAKQAgAEEAIABzAHQAYQByAHQAaQBuAGcAIABiAGEAbABhAG4AYwBlAC4AIABUAGgAaQBzACAAZABlAGYAYQB1AGwAdABzACAAdABvACAAMA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CwAMwAsADYAIAAgACAAIAAgACAAIAAgACAAIACSIT0AbwB6AC4AQwB1AG0AdQBsAGEAdABpAHYAZQC7AygAUwBlAHEAdQBlAG4AYwBlACgALAAzACkAKQBcACIALABcAG4AIAAgACAAIAAgACAAIAAgACAAIAAgACAAIAAgACAAIAAgACAAIAAgACAAIAAgACAAIAAgACAAIABcACIAkiFcACIALAAgAFwAIgC2AFwAIgAgACkAXABuACAAIAAgACAAIAAgACAAIAAgACAAIAAgACAAIAAgACAAIAAgACAAIAApACwAIAAgACAAIAAgACAAIAAgACAAIAAgACAAXABuACAAIAAgACAALwAvACAAIABDAGgAZQBjAGsAIABpAG4AcAB1AHQAcwAgAC0AIABPAG0AaQB0AHQAZQBkACAAcgBlAHEAdQBpAHIAZQBkACAAYQByAGcAdQBtAGUAbgB0AHMAXABuACAAIAAgACAAIAAgACAAIABIAGUAbABwAD8ALAAgACAAIAAgACAAIAAgACAAIAAgAEkAUwBPAE0ASQBUAFQARQBEACgAIABUAG8AdABhAGwAcwApACwAXABuACAAIAAgACAALwAvACAAIABQAHIAbwBjAGUAZAB1AHIAZQBcAG4AIAAgACAAIAAgACAAIAAgAFIAZQBzAHUAbAB0ACwAIAAgACAAIAAgACAAIAAgACAAUwBDAEEATgAoACAATwBwAGUAbgBpAG4AZwBCAGEAbABhAG4AYwBlACwAIABUAG8AdABhAGwAcwAsACAATABBAE0AQgBEAEEAKABQAHIAZQB2AGkAbwB1AHMAQQBtAG8AdQBuAHQALAAgAEMAdQByAHIAZQBuAHQAQQBtAG8AdQBuAHQALAAgAFAAcgBlAHYAaQBvAHUAcwBBAG0AbwB1AG4AdAAgACsAIABDAHUAcgByAGUAbgB0AEEAbQBvAHUAbgB0ACk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IAbwBsAGwAaQBuAGcAQQB2AGcAuwNcAG4AIAAgACAAIABEAEUAUwBDAFIASQBQAFQASQBPAE4AOgAqAC8ALwAqACoAQwByAGUAYQB0AGUAcwAgAEEAdgBlAHIAYQBnAGUAcwAgAGYAbwByACAAcAByAGUAYwBlAGQAaQBuAGcAIAB2AGEAbAB1AGUAcwAgAG8AZgAgAGEAIABzAGUAdAAgAHMAaQB6AGUAIABtAG8AdgBpAG4AZwAgAGYAcgBvAG0AIABiAGUAZwBpAG4AbgBpAG4AZwAgAHQAbwAgAGUAbgBkACAAbwB2AGUAcgAgAGEAIAByAG8AdwAgAG8AZgAgAHYAYQBsAHUAZQBzAC4AKgAvAFwAbgBSAG8AbABsAGkAbgBnAEEAdgBn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EAdgBnALsDKAAgAFYAYQBsAHUAZQBzACwAIABTAGkAegBlACkAtgBcACIAIAAmAFwAbgAgACAAIAAgACAAIAAgACAAIAAgACAAIAAgACAAIAAgACAAIAAgACAAIAAgACAAIAAgACAAIAAgAFwAIgBEAEUAUwBDAFIASQBQAFQASQBPAE4AOgAgACAAIACSIUMAcgBlAGEAdABlAHMAIABhAHYAZQByAGEAZwBlAHMAIABmAG8AcgAgAHAAcgBlAGMAZQBkAGkAbgBnACAAdgBhAGwAdQBlAHMAIABvAGYAIABhACAAcwBlAHQAIABzAGkAegBlACAAbQBvAHYAaQBuAGcAtgBcACIAIAAmAFwAbgAgACAAIAAgACAAIAAgACAAIAAgACAAIAAgACAAIAAgACAAIAAgACAAIAAgACAAIAAgACAAIAAgACAAIAAgACAAIAAgACAAIAAgACAAIAAgACAAIAAgAFwAIgCSIWYAcgBvAG0AIABiAGUAZwBpAG4AbgBpAG4AZwAgAHQAbwAgAGUAbgBkACAAbwB2AGUAcgAgAGEAIAByAG8AdwAgAG8AZgAgAHYAYQBsAHUAZQBz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hAHYAZQByAGEAZwBlAGQALgC2AFwAIgAgACYAIABcAG4AIAAgACAAIAAgACAAIAAgACAAIAAgACAAIAAgACAAIAAgACAAIAAgACAAIAAgACAAIAAgACAAIABcACIAUwBpAHoAZQAgACAAIAAgACAAIAAgACAAIAAgACAAkiEoAFIAZQBxAHUAaQByAGUAZAApACAAVABoAGUAIABuAHUAbQBiAGUAcgAgAG8AZgAgAHYAYQBsAHUAZQBzACAAdABvACAAYQB2AGUAcgBhAGcAZQAgAHQAaABhAHQAIAC2AFwAIgAgACYAIABcAG4AIAAgACAAIAAgACAAIAAgACAAIAAgACAAIAAgACAAIAAgACAAIAAgACAAIAAgACAAIAAgACAAIAAgACAAIAAgACAAIAAgACAAIAAgACAAIAAgACAAIABcACIAkiFpAG4AYwBsAHUAZABlACAAYQBuAGQAIABwAHIAZQBjAGUAZABl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CwAMQAuADUALAAyACwAMwAsADQAIAAgACAAIACSIT0AbwB6AC4AUgBvAGwAbABpAG4AZwBBAHYAZw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CAAQwBPAEwAVQBNAE4AUwAoACAAVgBhAGwAdQBlAHMAKQApACwAXABuACAAIAAgACAALwAvACAAIABFAGEAYwBoACAAdwBpAG4AZABvAHcAIABpAHMAIAB0AGgAZQAgAGMAdQByAHIAZQBuAHQAIABjAG8AbAB1AG0AbgAgAGEAbgBkACAAdQBwACAAdABvACAAUwBpAHoAZQAgAC0AIAAxACAAYwBvAGwAdQBtAG4AcwAgAGIAZQBmAG8AcgBlACAAaQB0AFwAbgAgACAAIAAgACAAIAAgACAAUgBlAHMAdQBsAHQALAAgACAAIAAgACAAIAAgACAAIABNAEEAUAAoACAAQwBvAHUAbgB0AGUAcgAsACAAXABuACAAIAAgACAAIAAgACAAIAAgACAAIAAgACAAIAAgACAAIAAgACAAIAAgACAAIAAgACAAIAAgACAATABBAE0AQgBEAEEAKAAgAFYAYQBsACwAXABuACAAIAAgACAAIAAgACAAIAAgACAAIAAgACAAIAAgACAAIAAgACAAIAAgACAAIAAgACAAIAAgACAAIAAgACAAIABBAFYARQBSAEEARwBFACgAIABDAEgATwBPAFMARQBDAE8ATABTACgAIABWAGEAbAB1AGUAcwAsACAAUwBFAFEAVQBFAE4AQwBFACgAIAAxACwAIABNAEkATgAoACAAVgBhAGwALAAgAFMAaQB6AGUAKQAsACAATQBBAFgAKAAgADEALAAgAFYAYQBsACAALQAgAFMAaQB6AGUAIAArACAAMQApACkAKQ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TQBhAHgAuwNcAG4AIAAgACAAIABEAEUAUwBDAFIASQBQAFQASQBPAE4AOgAqAC8ALwAqACoAQwByAGUAYQB0AGUAcwAgAHQAaABlACAAbQBhAHgAaQBtAHUAbQAgAGYAbwByACAAcAByAGUAYwBlAGQAaQBuAGcAIAB2AGEAbAB1AGUAcwAgAG8AZgAgAGEAIABzAGUAdAAgAHMAaQB6AGUAIABtAG8AdgBpAG4AZwAgAGYAcgBvAG0AIABiAGUAZwBpAG4AbgBpAG4AZwAgAHQAbwAgAGUAbgBkACAAbwB2AGUAcgAgAGEAIAByAG8AdwAgAG8AZgAgAHYAYQBsAHUAZQBzAC4AKgAvAFwAbgBSAG8AbABsAGkAbgBnAE0AYQB4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0AYQB4ALsDKAAgAFYAYQBsAHUAZQBzACwAIABTAGkAegBlACkAtgBcACIAIAAmAFwAbgAgACAAIAAgACAAIAAgACAAIAAgACAAIAAgACAAIAAgACAAIAAgACAAIAAgACAAIAAgACAAIAAgAFwAIgBEAEUAUwBDAFIASQBQAFQASQBPAE4AOgAgACAAIACSIUMAcgBlAGEAdABlAHMAIAB0AGgAZQAgAG0AYQB4AGkAbQB1AG0AIABmAG8AcgAgAHAAcgBlAGMAZQBkAGkAbgBnACAAdgBhAGwAdQBlAHMAIABvAGYAIABhACAAcwBlAHQAIABzAGkAegBlACAAbQBvAHYAaQBuAGcAtgBcACIAIAAmAFwAbgAgACAAIAAgACAAIAAgACAAIAAgACAAIAAgACAAIAAgACAAIAAgACAAIAAgACAAIAAgACAAIAAgACAAIAAgACAAIAAgACAAIAAgACAAIAAgACAAIAAgAFwAIgCSIWYAcgBvAG0AIABiAGUAZwBpAG4AbgBpAG4AZwAgAHQAbwAgAGUAbgBkACAAbwB2AGUAcgAgAGEAIAByAG8AdwAgAG8AZgAgAHYAYQBsAHUAZQBz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tAGEAeABlAGQALgC2AFwAIgAgACYAIABcAG4AIAAgACAAIAAgACAAIAAgACAAIAAgACAAIAAgACAAIAAgACAAIAAgACAAIAAgACAAIAAgACAAIABcACIAUwBpAHoAZQAgACAAIAAgACAAIAAgACAAIAAgACAAkiEoAFIAZQBxAHUAaQByAGUAZAApACAAVABoAGUAIABuAHUAbQBiAGUAcgAgAG8AZgAgAHYAYQBsAHUAZQBzACAAdABvACAAZgBpAG4AZAAgAHQAaABlACAAbQBhAHgAaQBtAHUAbQAgAG8AZgAgAHQAaABhAHQAIAC2AFwAIgAgACYAIABcAG4AIAAgACAAIAAgACAAIAAgACAAIAAgACAAIAAgACAAIAAgACAAIAAgACAAIAAgACAAIAAgACAAIAAgACAAIAAgACAAIAAgACAAIAAgACAAIAAgACAAIABcACIAkiFpAG4AYwBsAHUAZABlACAAYQBuAGQAIABwAHIAZQBjAGUAZABl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1ACwANQAsADUALAA2ACwANgAsADcAIAAgACAAIACSIT0AbwB6AC4AUgBvAGwAbABpAG4AZwBNAGEAeAC7AygAewA1ACwAMwAsADQALAA2ACwAMwAsADcAf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CAAQwBPAEwAVQBNAE4AUwAoACAAVgBhAGwAdQBlAHMAKQApACwAXABuACAAIAAgACAALwAvACAAIABFAGEAYwBoACAAdwBpAG4AZABvAHcAIABpAHMAIAB0AGgAZQAgAGMAdQByAHIAZQBuAHQAIABjAG8AbAB1AG0AbgAgAGEAbgBkACAAdQBwACAAdABvACAAUwBpAHoAZQAgAC0AIAAxACAAYwBvAGwAdQBtAG4AcwAgAGIAZQBmAG8AcgBlACAAaQB0AFwAbgAgACAAIAAgACAAIAAgACAAUgBlAHMAdQBsAHQALAAgACAAIAAgACAAIAAgACAAIABNAEEAUAAoACAAQwBvAHUAbgB0AGUAcgAsACAAXABuACAAIAAgACAAIAAgACAAIAAgACAAIAAgACAAIAAgACAAIAAgACAAIAAgACAAIAAgACAAIAAgACAATABBAE0AQgBEAEEAKAAgAFYAYQBsACwAXABuACAAIAAgACAAIAAgACAAIAAgACAAIAAgACAAIAAgACAAIAAgACAAIAAgACAAIAAgACAAIAAgACAAIAAgACAAIABNAEEAWAAoACAAQwBIAE8ATwBTAEUAQwBPAEwAUwAoACAAVgBhAGwAdQBlAHMALAAgAFMARQBRAFUARQBOAEMARQAoACAAMQAsACAATQBJAE4AKAAgAFYAYQBsACwAIABTAGkAegBlACkALAAgAE0AQQBYACgAIAAxACwAIABWAGEAbAAgAC0AIABTAGkAegBlACAAKwAgADEAKQApACk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8AbABsAGkAbgBnAE0AaQBuALsDXABuACAAIAAgACAARABFAFMAQwBSAEkAUABUAEkATwBOADoAKgAvAC8AKgAqAEMAcgBlAGEAdABlAHMAIAB0AGgAZQAgAE0AaQBuAGkAbQB1AG0AIABmAG8AcgAgAHAAcgBlAGMAZQBkAGkAbgBnACAAdgBhAGwAdQBlAHMAIABvAGYAIABhACAAcwBlAHQAIABzAGkAegBlACAAbQBvAHYAaQBuAGcAIABmAHIAbwBtACAAYgBlAGcAaQBuAG4AaQBuAGcAIAB0AG8AIABlAG4AZAAgAG8AdgBlAHIAIABhACAAcgBvAHcAIABvAGYAIAB2AGEAbAB1AGUAcwAuACoALwBcAG4AUgBvAGwAbABpAG4AZwBNAGkAbg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JIhUgBvAGwAbABpAG4AZwBNAGkAbgC7AygAIABWAGEAbAB1AGUAcwAsACAAUwBpAHoAZQApALYAXAAiACAAJgBcAG4AIAAgACAAIAAgACAAIAAgACAAIAAgACAAIAAgACAAIAAgACAAIAAgACAAIAAgACAAIAAgACAAIABcACIARABFAFMAQwBSAEkAUABUAEkATwBOADoAIAAgACAAkiFDAHIAZQBhAHQAZQBzACAAdABoAGUAIABtAGkAbgBpAG0AdQBtACAAZgBvAHIAIABwAHIAZQBjAGUAZABpAG4AZwAgAHYAYQBsAHUAZQBzACAAbwBmACAAYQAgAHMAZQB0ACAAcwBpAHoAZQAgAG0AbwB2AGkAbgBnALYAXAAiACAAJgBcAG4AIAAgACAAIAAgACAAIAAgACAAIAAgACAAIAAgACAAIAAgACAAIAAgACAAIAAgACAAIAAgACAAIAAgACAAIAAgACAAIAAgACAAIAAgACAAIAAgACAAIABcACIAkiFmAHIAbwBtACAAYgBlAGcAaQBuAG4AaQBuAGcAIAB0AG8AIABlAG4AZAAgAG8AdgBlAHIAIABhACAAcgBvAHcAIABvAGYAIAB2AGEAbAB1AGUAc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dABhAGsAZQAgAHQAaABlACAAbQBpAG4AaQBtAHUAbQAgAG8AZgAuALYAXAAiACAAJgAgAFwAbgAgACAAIAAgACAAIAAgACAAIAAgACAAIAAgACAAIAAgACAAIAAgACAAIAAgACAAIAAgACAAIAAgAFwAIgBTAGkAegBlACAAIAAgACAAIAAgACAAIAAgACAAIACSISgAUgBlAHEAdQBpAHIAZQBkACkAIABUAGgAZQAgAG4AdQBtAGIAZQByACAAbwBmACAAdgBhAGwAdQBlAHMAIAB0AG8AIABmAGkAbgBkACAAdABoAGUAIABtAGkAbgBpAG0AdQBtACAAbwBmACAAdABoAGEAdAAgALYAXAAiACAAJgAgAFwAbgAgACAAIAAgACAAIAAgACAAIAAgACAAIAAgACAAIAAgACAAIAAgACAAIAAgACAAIAAgACAAIAAgACAAIAAgACAAIAAgACAAIAAgACAAIAAgACAAIAAgAFwAIgCSIWkAbgBjAGwAdQBkAGUAIABhAG4AZAAgAHAAcgBlAGMAZQBkAGU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DUALAAzACwAMwAsADMALAAyACwAMgAgACAAIAAgAJIhPQBvAHoALgBSAG8AbABsAGkAbgBnAE0AaQBuALsDKAB7ADUALAAzACwANAAsADYALAAyACwANwB9ACwAIAAzACkAXAAiACw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TAGkAegBlACkAKQAsAFwAbgAgACAAIAAgAC8ALwAgACAAUAByAG8AYwBlAGQAdQByAGUAXABuACAAIAAgACAAIAAgACAAIABDAG8AdQBuAHQAZQByACwAIAAgACAAIAAgACAAIAAgAFMARQBRAFUARQBOAEMARQAoACwAIABDAE8ATABVAE0ATgBTACgAIABWAGEAbAB1AGUAcwApACkALABcAG4AIAAgACAAIAAvAC8AIAAgAEUAYQBjAGgAIAB3AGkAbgBkAG8AdwAgAGkAcwAgAHQAaABlACAAYwB1AHIAcgBlAG4AdAAgAGMAbwBsAHUAbQBuACAAYQBuAGQAIAB1AHAAIAB0AG8AIABTAGkAegBlACAALQAgADEAIABjAG8AbAB1AG0AbgBzACAAYgBlAGYAbwByAGUAIABpAHQAXABuACAAIAAgACAAIAAgACAAIABSAGUAcwB1AGwAdAAsACAAIAAgACAAIAAgACAAIAAgAE0AQQBQACgAIABDAG8AdQBuAHQAZQByACwAIABcAG4AIAAgACAAIAAgACAAIAAgACAAIAAgACAAIAAgACAAIAAgACAAIAAgACAAIAAgACAAIAAgACAAIABMAEEATQBCAEQAQQAoACAAVgBhAGwALABcAG4AIAAgACAAIAAgACAAIAAgACAAIAAgACAAIAAgACAAIAAgACAAIAAgACAAIAAgACAAIAAgACAAIAAgACAAIAAgAE0ASQBOACgAIABDAEgATwBPAFMARQBDAE8ATABTACgAIABWAGEAbAB1AGUAcwAsACAAUwBFAFEAVQBFAE4AQwBFACgAIAAxACwAIABNAEkATgAoACAAVgBhAGwALAAgAFMAaQB6AGUAKQAsACAATQBBAFgAKAAgADEALAAgAFYAYQBsACAALQAgAFMAaQB6AGUAIAArACAAMQApACkAKQ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IAbwBsAGwAaQBuAGcAUwB1AG0AuwNcAG4AIAAgACAAIABEAEUAUwBDAFIASQBQAFQASQBPAE4AOgAqAC8ALwAqACoAQwByAGUAYQB0AGUAcwAgAHQAbwB0AGEAbABzACAAZgBvAHIAIABwAHIAZQBjAGUAZABpAG4AZwAgAHYAYQBsAHUAZQBzACAAbwBmACAAYQAgAHMAZQB0ACAAcwBpAHoAZQAgAG0AbwB2AGkAbgBnACAAZgByAG8AbQAgAGIAZQBnAGkAbgBuAGkAbgBnACAAdABvACAAZQBuAGQAIABvAHYAZQByACAAYQAgAHIAbwB3ACAAbwBmACAAdgBhAGwAdQBlAHMALgAqAC8AXABuAFIAbwBsAGwAaQBuAGcAUwB1AG0AuwMgAD0AIABMAEEATQBCAEQAQQAoAFwAbgAvAC8AIAAgAFAAYQByAGEAbQBlAHQAZQByACAARABlAGMAbABhAHIAYQB0AGkAbwBuAHMAXABuACAAIAAgACAAWwBWAGEAbAB1AGUAcwBdACwAIABcAG4AIAAgACAAIABbAFMAaQB6AGUAXQAsAFwAbgAvAC8AIAAgAEgAZQBsAHAAXABuACAAIAAgACAATABFAFQAKABIAGUAbABwACwAIAAgACAAIAAgACAAIABUAFIASQBNACgAVABFAFgAVABTAFAATABJAFQAKAAgAFwAbgAgACAAIAAgACAAIAAgACAAIAAgACAAIAAgACAAIAAgACAAIAAgACAAIAAgACAAIAAgACAAIAAgAFwAIgBGAFUATgBDAFQASQBPAE4AOgAgACAAIAAgACAAIACSIVIAbwBsAGwAaQBuAGcAUwB1AG0AuwMoACAAVgBhAGwAdQBlAHMALAAgAFMAaQB6AGUAKQC2AFwAIgAgACYAXABuACAAIAAgACAAIAAgACAAIAAgACAAIAAgACAAIAAgACAAIAAgACAAIAAgACAAIAAgACAAIAAgACAAXAAiAEQARQBTAEMAUgBJAFAAVABJAE8ATgA6ACAAIAAgAJIhQwByAGUAYQB0AGUAcwAgAHQAbwB0AGEAbABzACAAZgBvAHIAIABwAHIAZQBjAGUAZABpAG4AZwAgAHYAYQBsAHUAZQBzACAAbwBmACAAYQAgAHMAZQB0ACAAcwBpAHoAZQAgAG0AbwB2AGkAbgBnALYAXAAiACAAJgBcAG4AIAAgACAAIAAgACAAIAAgACAAIAAgACAAIAAgACAAIAAgACAAIAAgACAAIAAgACAAIAAgACAAIAAgACAAIAAgACAAIAAgACAAIAAgACAAIAAgACAAIABcACIAkiFmAHIAbwBtACAAYgBlAGcAaQBuAG4AaQBuAGcAIAB0AG8AIABlAG4AZAAgAG8AdgBlAHIAIABhACAAcgBvAHcAIABvAGYAIAB2AGEAbAB1AGUAc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YgBlACAAdABvAHQAYQBsAGwAZQBkAC4AtgBcACIAIAAmACAAXABuACAAIAAgACAAIAAgACAAIAAgACAAIAAgACAAIAAgACAAIAAgACAAIAAgACAAIAAgACAAIAAgACAAXAAiAFMAaQB6AGUAIAAgACAAIAAgACAAIAAgACAAIAAgAJIhKABSAGUAcQB1AGkAcgBlAGQAKQAgAFQAaABlACAAbgB1AG0AYgBlAHIAIABvAGYAIAB2AGEAbAB1AGUAcwAgAHQAbwAgAHQAbwB0AGEAbAAgAHQAaABhAHQAIAC2AFwAIgAgACYAIABcAG4AIAAgACAAIAAgACAAIAAgACAAIAAgACAAIAAgACAAIAAgACAAIAAgACAAIAAgACAAIAAgACAAIAAgACAAIAAgACAAIAAgACAAIAAgACAAIAAgACAAIABcACIAkiFpAG4AYwBsAHUAZABlACAAYQBuAGQAIABwAHIAZQBjAGUAZABl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CwAMwAsADYALAA5ACwAMQAyACAAIAAgACAAIACSIT0AbwB6AC4AUgBvAGwAbABpAG4AZwBTAHUAbQ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CAAQwBPAEwAVQBNAE4AUwAoACAAVgBhAGwAdQBlAHMAKQApACwAXABuACAAIAAgACAALwAvACAAIABFAGEAYwBoACAAdwBpAG4AZABvAHcAIABpAHMAIAB0AGgAZQAgAGMAdQByAHIAZQBuAHQAIABjAG8AbAB1AG0AbgAgAGEAbgBkACAAdQBwACAAdABvACAAUwBpAHoAZQAgAC0AIAAxACAAYwBvAGwAdQBtAG4AcwAgAGIAZQBmAG8AcgBlACAAaQB0AFwAbgAgACAAIAAgACAAIAAgACAAUgBlAHMAdQBsAHQALAAgACAAIAAgACAAIAAgACAAIABNAEEAUAAoACAAQwBvAHUAbgB0AGUAcgAsACAAXABuACAAIAAgACAAIAAgACAAIAAgACAAIAAgACAAIAAgACAAIAAgACAAIAAgACAAIAAgACAAIAAgACAATABBAE0AQgBEAEEAKAAgAFYAYQBsACwAXABuACAAIAAgACAAIAAgACAAIAAgACAAIAAgACAAIAAgACAAIAAgACAAIAAgACAAIAAgACAAIAAgACAAIAAgACAAIABTAFUATQAoACAAQwBIAE8ATwBTAEUAQwBPAEwAUwAoACAAVgBhAGwAdQBlAHMALAAgAFMARQBRAFUARQBOAEMARQAoACAAMQAsACAATQBJAE4AKAAgAFYAYQBsACwAIABTAGkAegBlACkALAAgAE0AQQBYACgAIAAxACwAIABWAGEAbAAgAC0AIABTAGkAegBlACAAKwAgADEAKQApACk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TAHUAbQBDAG8AbgB0AGEAaQBuAHMAuwNcAG4AIAAgACAAIABEAEUAUwBDAFIASQBQAFQASQBPAE4AOgAqAC8ALwAqACoAkiFDAHIAZQBhAHQAZQBzACAAYQAgAHIAbwB3ACAAbwBmACAAdABvAHQAYQBsAHMAIABmAG8AcgAgAGUAYQBjAGgAIAByAG8AdwAgAGkAbgAgAGEAbgAgAGEAcgByAGEAeQAgAHcAaABlAHIAZQAgAFwAbgBpAHQAcwAgAGwAYQBiAGUAbABzACAAYwBvAG4AdABhAGkAbgAgAGEAIABsAGUAdAB0AGUAcgAsACAAdwBvAHIAZAAsACAAbwByACAAcABoAHIAYQBzAGUAKgAvAFwAbgBTAHUAbQBDAG8AbgB0AGEAaQBuAHMAuwMgAD0AIABMAEEATQBCAEQAQQAoAFwAbgAvAC8AIAAgAFAAYQByAGEAbQBlAHQAZQByACAARABlAGMAbABhAHIAYQB0AGkAbwBuAHMAXABuACAAIAAgACAAWwBWAGEAbAB1AGUAcwBUAG8ARgBpAGwAdABlAHIAXQAsAFwAbgAgACAAIAAgAFsAVgBhAGwAdQBlAEwAYQBiAGUAbABzAF0ALABcAG4AIAAgACAAIABbAEYAaQBsAHQAZQByAEIAeQBUAGUAeAB0AF0ALABcAG4AIAAgACAAIABbAEkAZwBuAG8AcgBlAEMAYQBzAGUAPwBdACw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QwBvAG4AdABhAGkAbgBzALsDKABWAGEAbAB1AGUAcwBUAG8ARgBpAGwAdABlAHIALAAgAFYAYQBsAHUAZQBMAGEAYgBlAGwAcwAsACAARgBpAGwAdABlAHIAQgB5AFQAZQB4AHQALAAgAFsASQBnAG4AbwByAGUAQwBhAHMAZQA/AF0AKQC2AFwAIgAgACYAXABuACAAIAAgACAAIAAgACAAIAAgACAAIAAgACAAIAAgACAAIAAgACAAIAAgACAAIAAgACAAIAAgACAAXAAiAEQARQBTAEMAUgBJAFAAVABJAE8ATgA6ACAAIAAgAJIhQwByAGUAYQB0AGUAcwAgAGEAIAByAG8AdwAgAG8AZgAgAGMAbwBsAHUAbQBuACAAdABvAHQAYQBsAHMAIABmAG8AcgAgAGUAYQBjAGgAIAByAG8AdwAgAGkAbgAgAGEAbgAgAGEAcgByAGEAeQAgAHcAaABlAHIAZQC2AFwAIgAgACYAIABcAG4AIAAgACAAIAAgACAAIAAgACAAIAAgACAAIAAgACAAIAAgACAAIAAgACAAIAAgACAAIAAgACAAIAAgACAAIAAgACAAIAAgACAAIAAgACAAIAAgACAAIABcACIAkiFpAHQAcwAgAGwAYQBiAGUAbABzACAAYwBvAG4AdABhAGkAbgAgAGEAIAB1AG4AaQBxAHUAZQAgAGwAZQB0AHQAZQByACwAIAB3AG8AcgBkACwAIABvAHIAIABwAGgAcgBhAHMAZQAuALYAXAAiACAAJgAgAFwAbgAgACAAIAAgACAAIAAgACAAIAAgACAAIAAgACAAIAAgACAAIAAgACAAIAAgACAAIAAgACAAIAAgAFwAIgBTAEUARQAgAEEATABTAE8AOgAgACAAIAAgACAAIACSIUUAeABjAGUAbAAgADMANgA1ACAAbgBvAHcAIABoAGEAcwAgAEcAUgBPAFUAUABCAFkAIABhAG4AZAAgAFAASQBWAE8AVABCAFkAIABmAG8AcgAgAGYAbwByAG0AdQBsAGEALQBkAHIAaQB2AGUAbgAgAGEAZwBnAHIAZQBnAGEAdABpAG8Abg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gBhAGwAdQBlAHMAVABvAEYAaQBsAHQAZQByACAAkiEoAFIAZQBxAHUAaQByAGUAZAApACAAQQBuACAAYQByAHIAYQB5ACAAbwBmACAAdgBhAGwAdQBlAHMAIAB0AG8AIABiAGUAIABmAGkAbAB0AGUAcgBlAGQAtgBcACIAIAAmACAAIAAgACAAIAAgACAAIAAgACAAIAAgACAAIAAgACAAIAAgACAAXABuACAAIAAgACAAIAAgACAAIAAgACAAIAAgACAAIAAgACAAIAAgACAAIAAgACAAIAAgACAAIAAgACAAXAAiAFYAYQBsAHUAZQBMAGEAYgBlAGwAcwAgACAAIAAgAJIhKABSAGUAcQB1AGkAcgBlAGQAKQAgAEEAbgAgAGEAcgByAGEAeQAgAGMAbwBuAHQAYQBpAG4AaQBuAGcAIAB0AGgAZQAgAHYAYQBsAHUAZQBzACcAIABsAGEAYgBlAGwAcwC2AFwAIgAgACYAIAAgACAAIAAgACAAIAAgACAAIAAgACAAIAAgACAAIAAgACAAIABcAG4AIAAgACAAIAAgACAAIAAgACAAIAAgACAAIAAgACAAIAAgACAAIAAgACAAIAAgACAAIAAgACAAIABcACIARgBpAGwAdABlAHIAQgB5AFQAZQB4AHQAIAAgACAAkiEoAFIAZQBxAHUAaQByAGUAZAApACAAQQAgAHUAbgBpAHEAdQBlACAAbABlAHQAdABlAHIALAAgAHcAbwByAGQAIABvAHIAIABwAGgAcgBhAHMAZQAgAHQAbwAgAGYAaQBuAGQAIABjAG8AbgB0AGEAaQBuAGUAZAAgAGkAbgAgAFYAYQBsAHUAZQBMAGEAYgBlAGwAcwC2AFwAIgAgACYAIAAgACAAIAAgACAAIAAgACAAIAAgACAAIAAgACAAIAAgACAAIABcAG4AIAAgACAAIAAgACAAIAAgACAAIAAgACAAIAAgACAAIAAgACAAIAAgACAAIAAgACAAIAAgACAAIABcACIASQBnAG4AbwByAGUAQwBhAHMAZQA/ACAAIAAgACAAkiEoAE8AcAB0AGkAbwBuAGEAbAApACAAQQAgAGYAbABhAGcAIAB0AG8AIABkAGUAdABlAHIAbQBpAG4AZQAgAGkAZgAgAFQAZQB4AHQAJwBzACAAYwBhAHMAZQAgAGkAcwAgAGkAbQBwAG8AcgB0AGEAbgB0AC4AIABEAGUAZgBhAHUAbAB0ACAAaQBzACAAVABSAFUARQC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IAAgACAAIAAgACAAIAAgACAAIAAgACAAIAAgACAAkiE9AG8AegAuAFMAdQBtAEMAbwBuAHQAYQBpAG4AcwC7AygAIABBAHIAcgBhAHkALAAgAEwAYQBiAGUAbABzACwAIABcACIAXAAiAEMAQQBQAEUAWABcACIAXAAiACA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FQAbwBGAGkAbAB0AGUAcgApACwAIABcAG4AIAAgACAAIAAgACAAIAAgACAAIAAgACAAIAAgACAAIAAgACAAIAAgACAAIAAgACAAIAAgACAAIABJAFMATwBNAEkAVABUAEUARAAoACAAVgBhAGwAdQBlAEwAYQBiAGUAbABzACkALAAgAFwAbgAgACAAIAAgACAAIAAgACAAIAAgACAAIAAgACAAIAAgACAAIAAgACAAIAAgACAAIAAgACAAIAAgAEkAUwBPAE0ASQBUAFQARQBEACgAIABGAGkAbAB0AGUAcgBCAHkAVABlAHgAdAApACkALABcAG4AIAAgACAAIAAvAC8AIAAgAEMAaABlAGMAawAgAGkAbgBwAHUAdABzACAALQAgAFMAZQB0ACAAZABlAGYAYQB1AGwAdABzAFwAbgAgACAAIAAgACAAIAAgACAASQBnAG4AbwByAGUAQwBhAHMAZQA/ACwAIAAgACAAIABJAEYAKAAgAEkAUwBMAE8ARwBJAEMAQQBMACgAIABJAGcAbgBvAHIAZQBDAGEAcwBlAD8AKQAsACAASQBnAG4AbwByAGUAQwBhAHMAZQA/ACwAIABUAFIAVQBFACkALABcAG4AIAAgACAAIAAgACAAIAAgAEwAYQBiAGUAbABzACwAIAAgACAAIAAgACAAIAAgACAAQwBIAE8ATwBTAEUAQwBPAEwAUwAoAFYAYQBsAHUAZQBMAGEAYgBlAGwAcwAsACAAMQApACwAXABuACAAIAAgACAALwAvACAAIABQAHIAbwBjAGUAZAB1AHIAZQBcAG4AIAAgACAAIAAgACAAIAAgAE0AYQB0AGMAaABlAHMALAAgACAAIAAgACAAIAAgACAASQBGACgAIABJAGcAbgBvAHIAZQBDAGEAcwBlAD8ALAAgAFwAbgAgACAAIAAgACAAIAAgACAAIAAgACAAIAAgACAAIAAgACAAIAAgACAAIAAgACAAIAAgACAAIAAgAFMARQBBAFIAQwBIACgAIABGAGkAbAB0AGUAcgBCAHkAVABlAHgAdAAsACAATABhAGIAZQBsAHMAKQAsAFwAbgAgACAAIAAgACAAIAAgACAAIAAgACAAIAAgACAAIAAgACAAIAAgACAAIAAgACAAIAAgACAAIAAgAEYASQBOAEQAKAAgAEYAaQBsAHQAZQByAEIAeQBUAGUAeAB0ACwAIABMAGEAYgBlAGwAcwApAFwAbgAgACAAIAAgACAAIAAgACAAIAAgACAAIAAgACAAIAAgACAAIAAgACAAIAAgACAAIAApACwAXABuACAAIAAgACAAIAAgACAAIABGAGkAbAB0AGUAcgBlAGQAUgBvAHcAcwAsACAAIAAgAEYASQBMAFQARQBSACgAIABWAGEAbAB1AGUAcwBUAG8ARgBpAGwAdABlAHIALAAgAEkAUwBOAFUATQBCAEUAUgAoACAATQBhAHQAYwBoAGUAcwApACkALABcAG4AIAAgACAAIAAgACAAIAAgAFIAZQBzAHUAbAB0ACwAIAAgACAAIAAgACAAIAAgACAAQgBZAEMATwBMACgARgBpAGwAdABlAHIAZQBkAFIAbwB3AHMALAAgAEwAQQBNAEIARABBACgAIABDAG8AbAAsACAAUwBVAE0AKABDAG8AbAApACkAKQAsAFwAbgAgACAAIAAgAC8ALwAgACAAUgBlAHQAdQByAG4AIABSAGUAcwB1AGwAdAAgAG8AcgAgAGgAZQBsAHAAXABuACAAIAAgACAAIAAgACAAIABDAEgATwBPAFMARQAoAEgAZQBsAHAAPwAgACsAIAAxACwAIABSAGUAcwB1AGwAdAAsACAASABlAGwAcAApAFwAbgAgACAAIAAgACkAIAAgAFwAbgApADsAXABuAFwAbgBcAG4ALwAqACAAIABGAFUATgBDAFQASQBPAE4AIABOAEEATQBFADoAIAAgAFMAdQBtAFAAZQByAGkAbwBkAHMAuwNcAG4AIAAgACAAIABEAEUAUwBDAFIASQBQAFQASQBPAE4AOgAqAC8ALwAqACoARwByAG8AdQBwAHMAIABhAG4AZAAgAHQAbwB0AGEAbABzACAAYQBsAGwAIABjAG8AbAB1AG0AbgBzACAAaQBuACAAYQAgAFYAYQBsAHUAZQBzACAAYQByAHIAYQB5ACAAYgB5ACAAcABlAHIAaQBvAGQAIAByAGUAcwB1AGwAdABpAG4AZwAgAGkAbgAgAG8AbgBlACAAYwBvAGwAdQBtAG4AIABmAG8AcgAgAGUAYQBjAGgAIABwAGUAcgBpAG8AZAAqAC8AXABuAFMAdQBtAFAAZQByAGkAbwBkAHMAuwMgAD0AIABMAEEATQBCAEQAQQAoAFwAbgAvAC8AIAAgAFAAYQByAGEAbQBlAHQAZQByACAARABlAGMAbABhAHIAYQB0AGkAbwBuAHMAXABuACAAIAAgACAAWwBWAGEAbAB1AGUAcwBdACwAXABuACAAIAAgACAAWwBEAGEAdABlAHMAXQAsAFwAbgAgACAAIAAgAFsAUABlAHIAaQBvAGQAUwB0AGEAcgB0AHMAXQAsAFwAbgAgACAAIAAgAFwAbgAvAC8AIAAgAFAAcgBvAGMAZQBkAHUAcgBlAFwAbgAgACAAIAAgAEwARQBUACgASABlAGwAcAAsACAAIAAgACAAIAAgACAAVABSAEkATQAoAFQARQBYAFQAUwBQAEwASQBUACgAIABcAG4AIAAgACAAIAAgACAAIAAgACAAIAAgACAAIAAgACAAIAAgACAAIAAgACAAIAAgACAAIAAgACAAIABcACIARgBVAE4AQwBUAEkATwBOADoAIAAgACAAIAAgACAAkiFTAHUAbQBQAGUAcgBpAG8AZABzALsDKAAgAFYAYQBsAHUAZQBzACwAIABEAGEAdABlAHMALAAgAFAAZQByAGkAbwBkAFMAdABhAHIAdABzACkAtgBcACIAIAAmAFwAbgAgACAAIAAgACAAIAAgACAAIAAgACAAIAAgACAAIAAgACAAIAAgACAAIAAgACAAIAAgACAAIAAgAFwAIgBEAEUAUwBDAFIASQBQAFQASQBPAE4AOgAgACAAIACSIVMAdQBtAG0AYQByAGkAcwBlAHMAIAB2AGEAbAB1AGUAcwAgAHcAaABlAHIAZQAgAGUAYQBjAGgAIAB2AGEAbAB1AGUAIABjAG8AbAB1AG0AbgAgAGkAcwAgAGYAbwByACAAbwBuAGUAIABkAGEAeQAgALYAXAAiACAAJgAgAFwAbgAgACAAIAAgACAAIAAgACAAIAAgACAAIAAgACAAIAAgACAAIAAgACAAIAAgACAAIAAgACAAIAAgACAAIAAgACAAIAAgACAAIAAgACAAIAAgACAAIAAgAFwAIgCSIWkAbgB0AG8AIABvAG4AZQAgAGMAbwBsAHUAbQBuACAAZgBvAHIAIABlAGEAYwBoACAAcABlAHIAaQBvAGQALgAgALYAXAAiACAAJgAgAFwAbgAgACAAIAAgACAAIAAgACAAIAAgACAAIAAgACAAIAAgACAAIAAgACAAIAAgACAAIAAgACAAIAAgAFwAIgBTAEUARQAgAEEATABTAE8AOgAgACAAIAAgACAAIACSIUUAeABjAGUAbAAgADMANgA1ACAAbgBvAHcAIABoAGEAcwAgAEcAUgBPAFUAUABCAFkAIABhAG4AZAAgAFAASQBWAE8AVABCAFkAIABmAG8AcgAgAGYAbwByAG0AdQBsAGEALQBkAHIAaQB2AGUAbgAgAGEAZwBnAHIAZQBnAGEAdABpAG8AbgAuALYAXAAiACAAJgBcAG4AIAAgACAAIAAgACAAIAAgACAAIAAgACAAIAAgACAAIAAgACAAIAAgACAAIAAgACAAIAAgACAAIABcACIAVgBFAFIAUwBJAE8ATgA6ACAAIAAgACAAIAAgACAAkiEyADAAIABBAHUAZwAgADIAMAAyADY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AAQQBSAEEATQBFAFQARQBSAFMAOgCSIbYAXAAiACAAJgAgAFwAbgAgACAAIAAgACAAIAAgACAAIAAgACAAIAAgACAAIAAgACAAIAAgACAAIAAgACAAIAAgACAAIAAgAFwAIgBWAGEAbAB1AGUAcwAgACAAIAAgACAAIAAgACAAIACSISgAUgBlAHEAdQBpAHIAZQBkACkAIABBACAAdAB3AG8AIABkAGkAbQBlAG4AcwBpAG8AbgBhAGwAIABhAHIAcgBhAHkALwByAGEAbgBnAGUAIABjAG8AbgB0AGEAaQBuAGkAbgBnACAAdgBhAGwAdQBlAHMAIAB0AG8AIABiAGUAIABzAHUAbQBtAGUAZAAgAHcAaABlAHIAZQBcACIAIAAmACAAXABuACAAIAAgACAAIAAgACAAIAAgACAAIAAgACAAIAAgACAAIAAgACAAIAAgACAAIAAgACAAIAAgACAAIAAgACAAIAAgACAAIAAgACAAIAAgACAAIAAgACAAIABcACIAZQBhAGMAaAAgAGMAbwBsAHUAbQBuACAAaQBzACAAZgBvAHIAIABhACAAcwBwAGUAYwBpAGYAaQBjACAAZABhAHkAtgBcACIAIAAmACAAXABuACAAIAAgACAAIAAgACAAIAAgACAAIAAgACAAIAAgACAAIAAgACAAIAAgACAAIAAgACAAIAAgACAAXAAiAEQAYQB0AGUAcwAgACAAIAAgACAAIAAgACAAIAAgAJIhKABSAGUAcQB1AGkAcgBlAGQAKQAgAEEAIAByAG8AdwAgAG8AZgAgAGQAYQB0AGUAcwAgAHAAcgBvAHYAaQBkAGkAbgBnACAAdABoAGUAIABkAGEAdABlACAAZgBvAHIAIABlAGEAYwBoACAAVgBhAGwAdQBlAHMAIABjAG8AbAB1AG0AbgC2AFwAIgAgACYAXABuACAAIAAgACAAIAAgACAAIAAgACAAIAAgACAAIAAgACAAIAAgACAAIAAgACAAIAAgACAAIAAgACAAXAAiAFAAZQByAGkAbwBkAFMAdABhAHIAdABzACAAIAAgAJIhKABSAGUAcQB1AGkAcgBlAGQAKQAgAEEAIAByAG8AdwAgAG8AZgAgAHAAZQByAGkAbwBkACAAcwB0AGEAcgB0ACAAZABhAHQAZQBzALYAXAAiACAAJg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AAzACwAIAAwADcAIAAgACAAIAAgACAAIAAgACAAkiE9AG8AegAuAFMAdQBtAFAAZQByAGkAbwBkAHMAuwMoAHsAMQAsADIALAAzACwANAA7ADQALAAzACwAMgAsADEAOwAxADAALAAyADAALAAzADAALAA0ADAAfQAsACAAewAxACwAMgAsADMALAA0AH0ALAAgAHsAMQAsADMAfQApALYAXAAiACAAJgAgAFwAbgAgACAAIAAgACAAIAAgACAAIAAgACAAIAAgACAAIAAgACAAIAAgACAAIAAgACAAIAAgACAAIAAgAFwAIgAwADcALAAgADAAMwAgACAAIAAgACAAIAAgACAAIACSIbYAXAAiACAAJgAgAFwAbgAgACAAIAAgACAAIAAgACAAIAAgACAAIAAgACAAIAAgACAAIAAgACAAIAAgACAAIAAgACAAIAAgAFwAIgAzADAALAAgADcAMAAgACAAIAAgACAAIAAgACAAIACSIVwAIgAsAFwAbgAgACAAIAAgACAAIAAgACAAIAAgACAAIAAgACAAIAAgACAAIAAgACAAIAAgACAAIAAgACAAIAAgAFwAIgCSIVwAIgAsACAAXAAiALYAXAAiACAAKQBcAG4AIAAgACAAIAAgACAAIAAgACAAIAAgACAAIAAgACAAIAAgACAAIAAgACkALAAgACAAIAAgACAAIAAgACAAIAAgACAAIABcAG4AIAAgACAAIAAvAC8AIAAgAEMAaABlAGMAawAgAGkAbgBwAHUAdABzACAALQAgAE8AbQBpAHQAdABlAGQAIAByAGUAcQB1AGkAcgBlAGQAIABhAHIAZwB1AG0AZQBuAHQAcwBcAG4AIAAgACAAIAAgACAAIAAgAEgAZQBsAHAAPwAsACAAIAAgACAAIAAgACAAIAAgACAATwBSACgAIABJAFMATwBNAEkAVABUAEUARAAoACAAVgBhAGwAdQBlAHMAKQAsAFwAbgAgACAAIAAgACAAIAAgACAAIAAgACAAIAAgACAAIAAgACAAIAAgACAAIAAgACAAIAAgACAAIAAgAEkAUwBPAE0ASQBUAFQARQBEACgAIABEAGEAdABlAHMAKQAsAFwAbgAgACAAIAAgACAAIAAgACAAIAAgACAAIAAgACAAIAAgACAAIAAgACAAIAAgACAAIAAgACAAIAAgAEkAUwBPAE0ASQBUAFQARQBEACgAIABQAGUAcgBpAG8AZABTAHQAYQByAHQAcwApACkALABcAG4AIAAgACAAIAAvAC8AIAAgAFAAcgBvAGMAZQBkAHUAcgBlACAALQAgAHQAaABlACAAcABlAHIAaQBvAGQAIABlAGEAYwBoACAAZABhAHQAZQAgAGYAYQBsAGwAcwAgAGkAbgAsACAAdABoAGUAbgAgAG8AbgBlACAAbQBhAHQAcgBpAHgAIABwAHIAbwBkAHUAYwB0AC4AIABBACAAZABhAHQAZQAgAGIAZQBmAG8AcgBlACAAdABoAGUAXABuACAAIAAgACAALwAvACAAIABmAGkAcgBzAHQAIABwAGUAcgBpAG8AZAAgAHMAdABhAHIAdAAgAGIAZQBsAG8AbgBnAHMAIAB0AG8AIABuAG8AIABwAGUAcgBpAG8AZAAgAGEAbgBkACAAaQBzACAAZAByAG8AcABwAGUAZAAgAHIAYQB0AGgAZQByACAAdABoAGEAbgAgAGUAcgByAG8AcgBpAG4AZwAgAHQAaABlACAAcgBvAHcALgBcAG4AIAAgACAAIAAgACAAIAAgAFAAcgBkAE4AdQBtACwAIAAgACAAIAAgACAAIAAgACAASQBGAEUAUgBSAE8AUgAoACAATQBBAFQAQwBIACgAIABEAGEAdABlAHMALAAgAFAAZQByAGkAbwBkAFMAdABhAHIAdABzACwAIAAxACkALAAgADAAKQAsAFwAbgAgACAAIAAgACAAIAAgACAASQBuAFAAZQByAGkAbwBkACwAIAAgACAAIAAgACAAIAAoACAAVABPAEMATwBMACgAIABQAHIAZABOAHUAbQApACAAPQAgAFMARQBRAFUARQBOAEMARQAoACAAMQAsACAAQwBPAEwAVQBNAE4AUwAoACAAUABlAHIAaQBvAGQAUwB0AGEAcgB0AHMAKQApACkAIAAqACAAMQAsAFwAbgAgACAAIAAgACAAIAAgACAAUgBlAHMAdQBsAHQALAAgACAAIAAgACAAIAAgACAAIABNAE0AVQBMAFQAKAAgAFYAYQBsAHUAZQBzACAAKgAgADEALAAgAEkAbgBQAGUAcgBpAG8AZAApACwAXABuACAAIAAgACAALwAvACAAIABSAGUAdAB1AHIAbgAgAFIAZQBzAHUAbAB0AFwAbgAgACAAIAAgACAAIAAgACAAQwBIAE8ATwBTAEUAKABIAGUAbABwAD8AIAArACAAMQAsACAAUgBlAHMAdQBsAHQALAAgAEgAZQBsAHAAKQBcAG4AIAAgACAAIAApAFwAbgApADsAXABuAFwAbgBcAG4AXABuAFwAbgBcAG4ALwAvACAAIABBAG0AbwByAHQAaQBzAGEAdABpAG8AbgAgAFMAdQBpAHQAZQBcAG4AXABuAC8AKgAgACAARgBVAE4AQwBUAEkATwBOACAATgBBAE0ARQA6ACAAIABBAG0AbwByAHQAaQBzAGUAuwNcAG4AIAAgACAAIABEAEUAUwBDAFIASQBQAFQASQBPAE4AOgAqAC8ALwAqACoAQwByAGUAYQB0AGUAcwAgAGEAIABjAG8AcgBrAHMAYwByAGUAdwAgAGEAbQBvAHIAdABpAHMAYQB0AGkAbwBuACAAcwBjAGgAZQBkAHUAbABlACoALwBcAG4AQQBtAG8AcgB0AGkAcwBlALsDIAA9ACAATABBAE0AQgBEAEEAKABcAG4ALwAvACAAIABQAGEAcgBhAG0AZQB0AGUAcgAgAEQAZQBjAGwAYQByAGEAdABpAG8AbgBzAFwAbgAgACAAIAAgAFsAUAByAGkAbgBjAGkAcABhAGwAcwBdACwAIABcAG4AIAAgACAAIABbAEEAUABSAHMAXQAsACAAXABuACAAIAAgACAAWwBUAGUAcgBtAHMAXQAsACAAXABuACAAIAAgACAAWwBTAHQAYQByAHQARABhAHQAZQBzAF0ALABcAG4AIAAgACAAIABbAFQAaQBtAGUAbABpAG4AZQBdACwAXABuACAAIAAgACAAWwBGAGkAbgBhAGwAUABlAHIAaQBvAGQARQBuAGQAXQAsAFwAbgBcAG4AIAAgACAAIABMAEUAVAAoAFwAbgAgACAAIAAgAC8ALwAgACAASABlAGwAcAAgACAAIAAgACAAIAAgACAAXABuACAAIAAgACAAIAAgACAAIABIAGUAbABwACwAIAAgACAAIAAgACAAIABUAFIASQBNACgAVABFAFgAVABTAFAATABJAFQAKAAgAFwAbgAgACAAIAAgACAAIAAgACAAIAAgACAAIAAgACAAIAAgACAAIAAgACAAIAAgACAAIABcACIARgBVAE4AQwBUAEkATwBOADoAIAAgACAAIAAgACAAkiFBAG0AbwByAHQAaQBzAGUAuwMoACAAUAByAGkAbgBjAGkAcABhAGwAcwAsACAAQQBQAFIAcwAsACAAVABlAHIAbQBzACwAIABTAHQAYQByAHQARABhAHQAZQBzACwAIABbAFQAaQBtAGUAbABpAG4AZQBdACwAIABbAEYAaQBuAGEAbABQAGUAcgBpAG8AZABFAG4AZABdACkAtgBcACIAIAAmAFwAbgAgACAAIAAgACAAIAAgACAAIAAgACAAIAAgACAAIAAgACAAIAAgACAAIAAgACAAIABcACIARABFAFMAQwBSAEkAUABUAEkATwBOADoAIAAgACAAkiFDAHIAZQBhAHQAZQBzACAAYQBuACAAYQBtAG8AcgB0AGkAcwBhAHQAaQBvAG4AIABzAGMAaABlAGQAdQBsAGUAIABhAHIAcgBhAHkAIABmAG8AcgAgAG8AbgBlACAAbwByACAAbQBvAHIAZQAgAGwAbwBhAG4AcwAuALYAXAAiACAAJgBcAG4AIAAgACAAIAAgACAAIAAgACAAIAAgACAAIAAgACAAIAAgACAAIAAgACAAIAAgACAAIAAgACAAIAAgACAAIAAgACAAIAAgACAAIAAgACAAXAAiAJIhUABhAHkAbQBlAG4AdABzACAAYQByAGUAIABhAHMAcwB1AG0AZQBkACAAbQBvAG4AdABoAGwAeQAuACAARQBhAGMAaAAgAG0AbwBuAHQAaAAgAGwAYQBuAGQAcwAgAGkAbgAgAHQAaABlACAAcABlAHIAaQBvAGQAIABoAG8AbABkAGkAbgBnACAAaQB0AHMAIABzAHQAYQByAHQALgAgAEYAbABvAHcAcwAgAGEAZABkACAAdQBwADsAIABiAGEAbABhAG4AYwBlAHMAIABzAGgAbwB3ACAAdABoAGUAIABmAGkAcgBzAHQAIABvAHAAZQBuAGkAbgBnACAAYQBuAGQAIABsAGEAcwB0ACAAYwBsAG8AcwBpAG4AZwAuACAAUABlAHIAaQBvAGQAcwAgAHcAaQB0AGgAbwB1AHQAIABhACAAbABvAGEAbgAgAG0AbwBuAHQAaAAgAGEAcgBlACAAbgBpAGwALgC2AFwAIgAgACYAXABuACAAIAAgACAAIAAgACAAIAAgACAAIAAgACAAIAAgACAAIAAgACAAIAAgACAAIAAgACAAIAAgACAAIAAgACAAIAAgACAAIAAgACAAIAAgAFwAIgCSIVUAcwBlACAATABhAGIAZQBsAEEAbQBvAHIAdABpAHMAZQC7AygAKQAgAHQAbwAgAGEAcABwAGwAeQAgAGwAYQBiAGUAbABzACAAdABvACAAdABoAGkAcwAgAGYAdQBuAGMAdABpAG8AbgAnAHMAIAByAGUAcwB1AGwAdABzADoAtgBcACIAIAAmACAAXABuACAAIAAgACAAIAAgACAAIAAgACAAIAAgACAAIAAgACAAIAAgACAAIAAgACAAIAAgACAAIAAgACAAIAAgACAAIAAgACAAIAAgACAAIAAgAFwAIgCSIVUAcwBlACAAUwB1AG0AQQBtAG8AcgB0AGkAcwBlALsDKAApACAAdABvACAAYQBwAHAAbAB5ACAAdABvAHQAYQBsAHMAIAB0AG8AIAB0AGgAaQBzACAAZgB1AG4AYwB0AGkAbwBuACcAcwAgAHIAZQBzAHUAbAB0AHMAOgC2AFwAIgAgACYAIABcAG4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UAByAGkAbgBjAGkAcABhAGwAcwAgACAAIAAgACAAkiEoAFIAZQBxAHUAaQByAGUAZAApACAATABvAGEAbgAvAGQAZQBiAHQAIABhAG0AbwB1AG4AdABzAC4AtgBcACIAIAAmACAAXABuACAAIAAgACAAIAAgACAAIAAgACAAIAAgACAAIAAgACAAIAAgACAAIAAgACAAIAAgAFwAIgBBAFAAUgBzACAAIAAgACAAIAAgACAAIAAgACAAIACSISgAUgBlAHEAdQBpAHIAZQBkACkAIABBAG4AbgB1AGEAbAAgAFAAZQByAGMAZQBuAHQAYQBnAGUAIABSAGEAdABlAHMAIABmAG8AcgAgAGkAbgB0AGUAcgBlAHMAdAAuALYAXAAiACAAJgAgAFwAbgAgACAAIAAgACAAIAAgACAAIAAgACAAIAAgACAAIAAgACAAIAAgACAAIAAgACAAIABcACIAVABlAHIAbQBzACAAIAAgACAAIAAgACAAIAAgACAAkiEoAFIAZQBxAHUAaQByAGUAZAApACAATgB1AG0AYgBlAHIAIABvAGYAIABtAG8AbgB0AGgAcwAgAGYAbwByACAAbABvAGEAbgBzAC8AZABlAGIAdABzAC4AtgBcACIAIAAmACAAXABuACAAIAAgACAAIAAgACAAIAAgACAAIAAgACAAIAAgACAAIAAgACAAIAAgACAAIAAgAFwAIgBTAHQAYQByAHQARABhAHQAZQBzACAAIAAgACAAIACSISgAUgBlAHEAdQBpAHIAZQBkACkAIABEAGEAdABlAHMAIABkAGUAYgB0AHMAIABhAHIAZQAgAGkAcwBzAHUAZQBkAC4AtgBcACIAIAAmACAAXABuACAAIAAgACAAIAAgACAAIAAgACAAIAAgACAAIAAgACAAIAAgACAAIAAgACAAIAAgAFwAIgBUAGkAbQBlAGwAaQBuAGUAIAAgACAAIAAgACAAIACSISgATwBwAHQAaQBvAG4AYQBsACkAIABBACAAcgBvAHcAIABvAGYAIABwAGUAcgBpAG8AZAAgAHMAdABhAHIAdAAgAGQAYQB0AGUAcwAuACAASQBmACAAbwBtAGkAdAB0AGUAZAAsACAAYQAgAG0AbwBuAHQAaABsAHkAIAB0AGkAbQBlAGwAaQBuAGUAIABpAHMAIABhAGQAZABlAGQAtgBcACIAIAAmAFwAbgAgACAAIAAgACAAIAAgACAAIAAgACAAIAAgACAAIAAgACAAIAAgACAAIAAgACAAIABcACIARgBpAG4AYQBsAFAAZQByAGkAbwBkAEUAbgBkACAAkiEoAE8AcAB0AGkAbwBuAGEAbAApACAAVABoAGUAIABkAGEAeQAgAGEAZgB0AGUAcgAgAHQAaABlACAAbABhAHMAdAAgAHAAZQByAGkAbwBkACAAZQBuAGQAcwAuACAATgBlAGUAZABzACAAVABpAG0AZQBsAGkAbgBlACwAIABhAG4AZAAgAG8AbgBsAHkAIABtAG8AdgBlAHMAIABtAG8AbgBlAHkAIAB3AGgAZQByAGUAIABpAHQAcwAgAHAAZQByAGkAbwBkAHMAIABhAHIAZQAgAHMAaABvAHIAdABlAHIAIAB0AGgAYQBuACAAYQAgAG0AbwBuAHQAaAAuACAATwB0AGgAZQByAHcAaQBzAGUALAAgAHQAaABlACAAbABhAHMAdAAgAHAAZQByAGkAbwBkACAAZgBvAGwAbABvAHcAcwAgAHQAaABlACAAcAByAGUAYwBlAGQAaQBuAGcAIABpAG4AdABlAHIAdgBhAGwALAAgAHUAcwBpAG4AZwAgAGMAYQBsAGUAbgBkAGEAcgAgAG0AbwBuAHQAaABzACAAZgBvAHIAIABtAG8AbgB0AGgAbAB5ACAAbwByACAAbABvAG4AZwBlAHIAIABpAG4AdABlAHIAdgBhAGwAcwAuALYAXAAiACAAJgBcAG4AIAAgACAAIAAgACAAIAAgACAAIAAgACAAIAAgACAAIAAgACAAIAAgACAAIAAgACAAXAAiAEUAWABBAE0AUABMAEUAUwA6AJIhtgBcACIAIAAmAFwAbg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BcACIAkiE9AG8AegAuAEEAbQBvAHIAdABpAHMAZQC7AygAMQAwADAAMAAwACwAIAA1ACUALAAgADQAIAAqACAAMQAyACwAIABcACIAXAAiADIAMAAyADYALQAwADcALQAwADEAXAAiAFwAIgApAFwAIgAsACAAXABuACAAIAAgACAAIAAgACAAIAAgACAAIAAgACAAIAAgACAAIAAgACAAIAAgACAAIAAgAFwAIgCSIVwAIgAsACAAXAAiALYAXAAiACAAKQBcAG4AIAAgACAAIAAgACAAIAAgACAAIAAgACAAIAAgACAAIAAgACAAIAAgACkALABcAG4AIAAgACAAIAAvAC8AIAAgAEMAbwBuAHMAdABhAG4AdABzAFwAbgAgACAAIAAgACAAIAAgACAATQBwAFkALAAgACAAIAAgACAAIAAgACAAIAAgACAAIAAgACAAIAAgADEAMgAsACAAIAAgACAAIAAvAC8ATQBvAG4AdABoAHMAIABQAGUAcgAgAFkAZQBhAHIAXABuACAAIAAgACAAIAAgACAAIABBAEQAcABNACwAIAAgACAAIAAgACAAIAAgACAAIAAgACAAIAAgACAAMwAwAC4ANAAyACwAIAAgAC8ALwBBAHYAZQByAGEAZwBlACAARABhAHkAcwAgAFAAZQByACAATQBvAG4AdABoAFwAbgAgACAAIAAgAFwAbgAgACAAIAAgAC8ALwAgACAAQwBoAGUAYwBrACAAaQBuAHAAdQB0AHMAIAAtACAATwBtAGkAdAB0AGUAZAAgAHIAZQBxAHUAaQByAGUAZAAgAGEAcgBnAHUAbQBlAG4AdABzAFwAbgAgACAAIAAgACAAIAAgACAASABlAGwAcAA/ACwAIAAgACAAIAAgACAAIAAgACAAIAAgACAAIAAgAE8AUgAoACAASQBTAE8ATQBJAFQAVABFAEQAKAAgAFAAcgBpAG4AYwBpAHAAYQBsAHMAKQAsAFwAbgAgACAAIAAgACAAIAAgACAAIAAgACAAIAAgACAAIAAgACAAIAAgACAAIAAgACAAIAAgACAAIAAgACAAIAAgACAASQBTAE8ATQBJAFQAVABFAEQAKAAgAEEAUABSAHMAKQAsAFwAbgAgACAAIAAgACAAIAAgACAAIAAgACAAIAAgACAAIAAgACAAIAAgACAAIAAgACAAIAAgACAAIAAgACAAIAAgACAASQBTAE8ATQBJAFQAVABFAEQAKAAgAFQAZQByAG0AcwApACwAXABuACAAIAAgACAAIAAgACAAIAAgACAAIAAgACAAIAAgACAAIAAgACAAIAAgACAAIAAgACAAIAAgACAAIAAgACAAIABJAFMATwBNAEkAVABUAEUARAAoACAAUwB0AGEAcgB0AEQAYQB0AGUAcwApAFwAbgAgACAAIAAgACAAIAAgACAAIAAgACAAIAAgACAAIAAgACAAIAAgACAAIAAgACAAIAAgACAAIAAgACkALABcAG4AIAAgACAAIABcAG4AIAAgACAAIAAvAC8AIAAgAFMAZQB0ACAAZABlAGYAYQB1AGwAdABzACAAYQBuAGQAIABhAHAAcABsAHkAIABjAG8AbgB2AGUAbgBpAGUAbgBjAGUAIABjAG8AbgB2AGUAcgBzAGkAbwBuAHMALgAgAEEAIAB0AGUAeAB0ACAAcwB0AGEAcgB0ACAAZABhAHQAZQAgAGkAcwAgAHIAZQBhAGQAIABhAHMAIABhACAAZABhAHQAZQAsAFwAbgAgACAAIAAgAC8ALwAgACAAYQBuAGQAIAB0AGgAZQAgAGQAZQBmAGEAdQBsAHQAIAB0AGkAbQBlAGwAaQBuAGUAIAByAHUAbgBzACAAZgByAG8AbQAgAHQAaABlACAAZQBhAHIAbABpAGUAcwB0ACAAcwB0AGEAcgB0ACAAdABvACAAdABoAGUAIABsAGEAcwB0ACAAbQBvAG4AdABoACAAbwBmACAAdABoAGUAXABuACAAIAAgACAALwAvACAAIABsAG8AbgBnAGUAcwB0AC0AcgB1AG4AbgBpAG4AZwAgAGwAbwBhAG4ALAAgAHcAaABpAGMAaABlAHYAZQByACAAbABvAGEAbgAgAHQAaABhAHQAIABpAHMALgBcAG4AIAAgACAAIAAgACAAIAAgAEMAdgB0AFMAdABhAHIAdABzACwAIAAgACAAIAAgACAAIAAgACAAIABJAEYAKAAgAEkAUwBOAFUATQBCAEUAUgAoACAAUwB0AGEAcgB0AEQAYQB0AGUAcwApACwAIABTAHQAYQByAHQARABhAHQAZQBzACwAIABEAEEAVABFAFYAQQBMAFUARQAoACAAUwB0AGEAcgB0AEQAYQB0AGUAcwApACkALABcAG4AIAAgACAAIAAvAC8AIAAgAFIAZQBhAGQAIABiAGUAZgBvAHIAZQAgAHQAaABlACAAZABlAGYAYQB1AGwAdAAgAHIAZQBwAGwAYQBjAGUAcwAgAGkAdAAsACAAYgBlAGMAYQB1AHMAZQAgAEYAaQBuAGEAbABQAGUAcgBpAG8AZABFAG4AZAAgAGQAZQBzAGMAcgBpAGIAZQBzACAAYQAgAHMAdQBwAHAAbABpAGUAZABcAG4AIAAgACAAIAAvAC8AIAAgAHQAaQBtAGUAbABpAG4AZQAgAGEAbgBkACAAZABvAGUAcwAgAG4AbwB0ACAAYQBwAHAAbAB5ACAAdABvACAAdABoAGUAIABkAGUAZgBhAHUAbAB0ACAAbQBvAG4AdABoAGwAeQAgAHQAaQBtAGUAbABpAG4AZQAuAFwAbgAgACAAIAAgACAAIAAgACAAVABpAG0AZQBsAGkAbgBlAEcAaQB2AGUAbgA/ACwAIAAgACAAIAAgAE4ATwBUACgAIABJAFMATwBNAEkAVABUAEUARAAoACAAVABpAG0AZQBsAGkAbgBlACkAKQAsAFwAbgAgACAAIAAgACAAIAAgACAAVABpAG0AZQBsAGkAbgBlACwAIAAgACAAIAAgACAAIAAgACAAIAAgAEkARgAoACAASQBTAE8ATQBJAFQAVABFAEQAKAAgAFQAaQBtAGUAbABpAG4AZQApACwAIABcAG4AIAAgACAAIAAgACAAIAAgACAAIAAgACAAIAAgACAAIAAgACAAIAAgACAAIAAgACAAIAAgACAAIAAgACAAIAAgAEwARQBUACgATABhAHMAdABNAG8AbgB0AGgAcwAsACAARQBEAEEAVABFACgAIABDAHYAdABTAHQAYQByAHQAcwAsACAAVABlAHIAbQBzACAALQAgADEAKQAsAFwAbgAgACAAIAAgACAAIAAgACAAIAAgACAAIAAgACAAIAAgACAAIAAgACAAIAAgACAAIAAgACAAIAAgACAAIAAgACAAIAAgACAAIABNAGkAbgBEAGEAdABlACwAIAAgACAAIABNAEkATgAoACAAQwB2AHQAUwB0AGEAcgB0AHMAKQAsAFwAbgAgACAAIAAgACAAIAAgACAAIAAgACAAIAAgACAAIAAgACAAIAAgACAAIAAgACAAIAAgACAAIAAgACAAIAAgACAAIAAgACAAIABMAGEAcwB0AE0AbwBuAHQAaAAsACAAIABNAEEAWAAoACAATABhAHMAdABNAG8AbgB0AGgAcwApACwAXABuACAAIAAgACAAIAAgACAAIAAgACAAIAAgACAAIAAgACAAIAAgACAAIAAgACAAIAAgACAAIAAgACAAIAAgACAAIAAvAC8AIAAgAEMAbwB1AG4AdAAgAGMAYQBsAGUAbgBkAGEAcgAgAG0AbwBuAHQAaABzACwAIABuAG8AdAAgAEQAQQBUAEUARABJAEYAIABcACIATQBcACIAOgAgAGEAIABtAG8AbgB0AGgALQBlAG4AZAAgAHMAdABhAHIAdABcAG4AIAAgACAAIAAgACAAIAAgACAAIAAgACAAIAAgACAAIAAgACAAIAAgACAAIAAgACAAIAAgACAAIAAgACAAIAAgAC8ALwAgACAAbABhAG4AZABzACAAaQB0AHMAIABsAGEAcwB0ACAARQBEAEEAVABFACAAaQBuACAAYQAgAHMAaABvAHIAdABlAHIAIABtAG8AbgB0AGgAIABhAG4AZAAgAEQAQQBUAEUARABJAEYAIABkAHIAbwBwAHMAIABpAHQALgBcAG4AIAAgACAAIAAgACAAIAAgACAAIAAgACAAIAAgACAAIAAgACAAIAAgACAAIAAgACAAIAAgACAAIAAgACAAIAAgACAAIAAgACAATQBhAHgAVABlAHIAbQAsACAAIAAgACAAKAAgAFkARQBBAFIAKAAgAEwAYQBzAHQATQBvAG4AdABoACkAIAAtACAAWQBFAEEAUgAoACAATQBpAG4ARABhAHQAZQApACkAIAAqACAATQBwAFkAXABuACAAIAAgACAAIAAgACAAIAAgACAAIAAgACAAIAAgACAAIAAgACAAIAAgACAAIAAgACAAIAAgACAAIAAgACAAIAAgACAAIAAgACAAIAAgACAAIAAgACAAIAAgACAAIAAgACsAIABNAE8ATgBUAEgAKAAgAEwAYQBzAHQATQBvAG4AdABoACkAIAAtACAATQBPAE4AVABIACgAIABNAGkAbgBEAGEAdABlACkAIAArACAAMQAsAFwAbgAgACAAIAAgACAAIAAgACAAIAAgACAAIAAgACAAIAAgACAAIAAgACAAIAAgACAAIAAgACAAIAAgACAAIAAgACAAIAAgACAAIABFAEQAQQBUAEUAKAAgAE0AaQBuAEQAYQB0AGUALAAgAFMARQBRAFUARQBOAEMARQAoACAAMQAsACAATQBhAHgAVABlAHIAbQAsACAAMAApACkAKQAsAFwAbgAgACAAIAAgACAAIAAgACAAIAAgACAAIAAgACAAIAAgACAAIAAgACAAIAAgACAAIAAgACAAIAAgACAAIAAgACAAVABpAG0AZQBsAGkAbgBlAFwAbgAgACAAIAAgACAAIAAgACAAIAAgACAAIAAgACAAIAAgACAAIAAgACAAIAAgACAAIAAgACAAIAAgACkALABcAG4AIAAgACAAIAAvAC8AIAAgAEQAZQB0AGUAcgBtAGkAbgBlACAAdABpAG0AZQBsAGkAbgBlACcAcwAgAGkAbgB0AGUAcgB2AGEAbAAgACgAbABlAG4AZwB0AGgAIABvAGYAIABwAGUAcgBpAG8AZABzACkAIABhAG4AZAAgAG8AcgBpAGUAbgB0AGEAdABpAG8AbgAgACgAaABvAHIAaQB6AG8AbgB0AGEAbAAgAG8AcgAgAHYAZQByAHQAaQBjAGEAbAApAFwAbgAgACAAIAAgAC8ALwAgACAAQQAgAG8AbgBlAC0AZABhAHQAZQAgAHQAaQBtAGUAbABpAG4AZQAgACgAYQAgAG8AbgBlAC0AbQBvAG4AdABoACAAbABvAGEAbgApACAAaABhAHMAIABuAG8AIABzAGUAYwBvAG4AZAAgAGQAYQB0AGUAIAB0AG8AIABtAGUAYQBzAHUAcgBlACwAIABzAG8AIABpAHQAIABpAHMAIABtAG8AbgB0AGgAbAB5AC4AXABuACAAIAAgACAAIAAgACAAIABGAGkAcgBzAHQAUABlAHIAaQBvAGQALAAgACAAIAAgACAAIAAgACAASQBOAEQARQBYACgAIABUAGkAbQBlAGwAaQBuAGUALAAgADEAKQAsAFwAbgAgACAAIAAgACAAIAAgACAAUwBpAG4AZwBsAGUAPwAsACAAIAAgACAAIAAgACAAIAAgACAAIAAgAEMATwBVAE4AVABBACgAIABUAGkAbQBlAGwAaQBuAGUAKQAgADwAIAAyACwAXABuACAAIAAgACAAIAAgACAAIABTAGUAYwBvAG4AZABQAGUAcgBpAG8AZAAsACAAIAAgACAAIAAgACAASQBGACgAIABTAGkAbgBnAGwAZQA/ACwAIABFAEQAQQBUAEUAKAAgAEYAaQByAHMAdABQAGUAcgBpAG8AZAAsACAAMQApACwAIABJAE4ARABFAFgAKAAgAFQAaQBtAGUAbABpAG4AZQAsACAAMgApACkALABcAG4AIAAgACAAIAAvAC8AIAAgAEEAIABzAHUAcABwAGwAaQBlAGQAIAB0AGkAbQBlAGwAaQBuAGUAIABoAGEAcwAgAHQAbwAgAGEAZAB2AGEAbgBjAGUALgAgAFQAaABlACAAYQBwAHAAcgBvAHgAaQBtAGEAdABlACAATQBBAFQAQwBIACAAYgBlAGwAbwB3ACAAYgB1AGMAawBlAHQAcwAgAGEAIAByAGUAcABlAGEAdABlAGQAXABuACAAIAAgACAALwAvACAAIABvAHIAIABvAHUAdAAtAG8AZgAtAG8AcgBkAGUAcgAgAGQAYQB0AGUAIABhAHMAIABvAG4AZQAgAHAAZQByAGkAbwBkACwAIAB3AGgAaQBjAGgAIABtAG8AdgBlAHMAIABtAG8AbgBlAHkAIABpAG4AdABvACAAYQAgAHAAZQByAGkAbwBkACAAdABoAGUAIABkAGEAdABlAHMAIABkAG8AIABuAG8AdABcAG4AIAAgACAAIAAvAC8AIAAgAGoAdQBzAHQAaQBmAHkAIABpAG4AcwB0AGUAYQBkACAAbwBmACAAZgBhAGkAbABpAG4AZwA6ACAAMQAgAEoAYQBuAHUAYQByAHkAIAB0AG8AIAAxACAASgB1AG4AZQAgAHcAaQB0AGgAIAAxACAATQBhAHIAYwBoACAAcgBlAHAAZQBhAHQAZQBkACAAcgBlAHQAdQByAG4AZQBkAFwAbgAgACAAIAAgAC8ALwAgACAANQAsADcANwAyAC4ANgAxACAAbwBmACAAcAByAGkAbgBjAGkAcABhAGwAIAB3AGgAZQByAGUAIAB0AGgAZQAgAHMAYQBtAGUAIABzAHAAYQBuACAAdwBpAHQAaABvAHUAdAAgAHQAaABlACAAcgBlAHAAZQBhAHQAIAByAGUAdAB1AHIAbgBzACAANAAsADkAMwA3AC4ANgAzAC4AIABBAFwAbgAgACAAIAAgAC8ALwAgACAAbwBuAGUALQBkAGEAdABlACAAdABpAG0AZQBsAGkAbgBlACAAaABhAHMAIABuAG8AIABwAGEAaQByACAAdABvACAAbQBlAGEAcwB1AHIAZQAuACAAVABoAGUAIABkAGUAZgBhAHUAbAB0ACAAdABpAG0AZQBsAGkAbgBlACAAYQBsAHcAYQB5AHMAIABhAGQAdgBhAG4AYwBlAHMALgBcAG4AIAAgACAAIAAgACAAIAAgAEIAYQBkAFQAaQBtAGUAbABpAG4AZQA/ACwAIAAgACAAIAAgACAAIABJAEYAKAAgAFMAaQBuAGcAbABlAD8ALAAgAEYAQQBMAFMARQAsAFwAbgAgACAAIAAgACAAIAAgACAAIAAgACAAIAAgACAAIAAgACAAIAAgACAAIAAgACAAIAAgACAAIAAgACAAIAAgACAATABFAFQAKAAgAEQAYQB0AGUAcwAsACAAVABPAFIATwBXACgAIABUAGkAbQBlAGwAaQBuAGUAKQAsAFwAbgAgACAAIAAgACAAIAAgACAAIAAgACAAIAAgACAAIAAgACAAIAAgACAAIAAgACAAIAAgACAAIAAgACAAIAAgACAAIAAgACAAIAAgAE0ASQBOACgAIABEAFIATwBQACgAIABEAGEAdABlAHMALAAgACwAIAAxACkAIAAtACAARABSAE8AUAAoACAARABhAHQAZQBzACwAIAAsACAALQAxACkAKQAgADwAIAAxACkAKQAsAFwAbgAgACAAIAAgACAAIAAgACAAVABpAG0AZQBsAGkAbgBlAE0AZQBzAHMAYQBnAGUALAAgACAAIAAgAFwAIgBUAGkAbQBlAGwAaQBuAGUAIABtAHUAcwB0ACAAYgBlACAAcABlAHIAaQBvAGQAIABzAHQAYQByAHQAIABkAGEAdABlAHMAIAB3AGgAZQByAGUAIABlAGEAYwBoACAAZABhAHQAZQAgAGkAcwAgAGEAdAAgAGwAZQBhAHMAdAAgAGEAIABkAGEAeQAgAFwAIgBcAG4AIAAgACAAIAAgACAAIAAgACAAIAAgACAAIAAgACAAIAAgACAAIAAgACAAIAAgACAAIAAgACAAIAAmACAAXAAiAGEAZgB0AGUAcgAgAHQAaABlACAAbwBuAGUAIABiAGUAZgBvAHIAZQAgAGkAdAAuACAAQQAgAHIAZQBwAGUAYQB0AGUAZAAgAG8AcgAgAG8AdQB0AC0AbwBmAC0AbwByAGQAZQByACAAZABhAHQAZQAgAHAAdQB0AHMAIABvAG4AZQAgAHAAZQByAGkAbwBkACcAcwAgAFwAIgBcAG4AIAAgACAAIAAgACAAIAAgACAAIAAgACAAIAAgACAAIAAgACAAIAAgACAAIAAgACAAIAAgACAAIAAmACAAXAAiAG0AbwBuAGUAeQAgAGkAbgAgAGEAbgBvAHQAaABlAHIAIABwAGUAcgBpAG8AZAAuAFwAIgAsAFwAbgAgACAAIAAgACAAIAAgACAARABwAFAALAAgACAAIAAgACAAIAAgACAAIAAgACAAIAAgACAAIAAgAFMAZQBjAG8AbgBkAFAAZQByAGkAbwBkACAALQAgAEYAaQByAHMAdABQAGUAcgBpAG8AZAAsACAAIAAgACAAIAAgACAAIAAgACAAIAAgACAAIAAgACAAIAAvAC8ARABhAHkAcwAgAFAAZQByACAAUABlAHIAaQBvAGQAXABuACAAIAAgACAALwAvACAAIABUAGgAZQAgAGwAYQBzAHQAIABwAGUAcgBpAG8AZAAgAGgAYQBzACAAbgBvACAAcwB1AGMAYwBlAHMAcwBvAHIAIAB0AG8AIABtAGUAYQBzAHUAcgBlACwAIABzAG8AIABpAHQAIAByAHUAbgBzACAAYQBzACAAbABvAG4AZwAgAGEAcwAgAHQAaABlACAAbwBuAGUAIABiAGUAZgBvAHIAZQBcAG4AIAAgACAAIAAvAC8AIAAgAGkAdAAuACAARgBpAG4AYQBsAFAAZQByAGkAbwBkAEUAbgBkACAAcwB0AGEAdABlAHMAIAB0AGgAYQB0ACAAYgBvAHUAbgBkAGEAcgB5ACAAaQBuAHMAdABlAGEAZAA6ACAAaQB0ACAAaQBzACAAdABoAGUAIABkAGEAeQAgAGEAZgB0AGUAcgAgAHQAaABlACAAcABlAHIAaQBvAGQAXABuACAAIAAgACAALwAvACAAIABlAG4AZABzACwAIABzAG8AIABpAHQAIABoAGEAcwAgAHQAbwAgAGYAYQBsAGwAIABhAGYAdABlAHIAIAB0AGgAZQAgAGwAYQBzAHQAIABwAGUAcgBpAG8AZAAgAHMAdABhAHIAdAAuACAASQB0ACAAZABlAHMAYwByAGkAYgBlAHMAIABhACAAdABpAG0AZQBsAGkAbgBlACAAdABoAGUAXABuACAAIAAgACAALwAvACAAIABjAGEAbABsAGUAcgAgAHMAdQBwAHAAbABpAGUAZAAsACAAcwBvACAAaQB0ACAAaQBzACAAcgBlAGYAdQBzAGUAZAAgAHcAaQB0AGgAbwB1AHQAIABvAG4AZQAgAHIAYQB0AGgAZQByACAAdABoAGEAbgAgAG0AZQBhAHMAdQByAGUAZAAgAGEAZwBhAGkAbgBzAHQAIABhAFwAbgAgACAAIAAgAC8ALwAgACAAZABlAGYAYQB1AGwAdAAgAHQAaABpAHMAIABmAHUAbgBjAHQAaQBvAG4AIABjAGgAbwBzAGUALgAgAEMATwBVAE4AVAAgAHIAZQBqAGUAYwB0AHMAIAB0AGUAeAB0ACAAYQBuAGQAIABhACAAcgBhAG4AZwBlACAAbwBmACAAbQBvAHIAZQAgAHQAaABhAG4AIABvAG4AZQAgAGMAZQBsAGwAXABuACAAIAAgACAALwAvACAAIAB3AGkAdABoAG8AdQB0ACAAcgBlAGEAZABpAG4AZwAgAGEAbgAgAG8AbQBpAHQAdABlAGQAIABhAHIAZwB1AG0AZQBuAHQALgBcAG4AIAAgACAAIAAgACAAIAAgAEYAaQBuAGEAbABFAG4AZAA/ACwAIAAgACAAIAAgACAAIAAgACAAIABOAE8AVAAoACAASQBTAE8ATQBJAFQAVABFAEQAKAAgAEYAaQBuAGEAbABQAGUAcgBpAG8AZABFAG4AZAApACkALABcAG4AIAAgACAAIAAgACAAIAAgAEYAaQBuAGEAbABFAG4AZABEAGEAdABlACwAIAAgACAAIAAgACAAIABJAEYAKAAgAEYAaQBuAGEAbABFAG4AZAA/ACwAIABNAEEAWAAoACAARgBpAG4AYQBsAFAAZQByAGkAbwBkAEUAbgBkACkALAAgADAAKQAsAFwAbgAgACAAIAAgACAAIAAgACAAQgBhAGQARgBpAG4AYQBsAEUAbgBkAD8ALAAgACAAIAAgACAAIAAgAEkARgAoACAARgBpAG4AYQBsAEUAbgBkAD8ALABcAG4AIAAgACAAIAAgACAAIAAgACAAIAAgACAAIAAgACAAIAAgACAAIAAgACAAIAAgACAAIAAgACAAIAAgACAAIAAgAE8AUgAoACAATgBPAFQAKAAgAFQAaQBtAGUAbABpAG4AZQBHAGkAdgBlAG4APwApACwAXABuACAAIAAgACAAIAAgACAAIAAgACAAIAAgACAAIAAgACAAIAAgACAAIAAgACAAIAAgACAAIAAgACAAIAAgACAAIAAgACAAIAAgAEMATwBVAE4AVAAoACAARgBpAG4AYQBsAFAAZQByAGkAbwBkAEUAbgBkACkAIAA8AD4AIAAxACwAXABuACAAIAAgACAAIAAgACAAIAAgACAAIAAgACAAIAAgACAAIAAgACAAIAAgACAAIAAgACAAIAAgACAAIAAgACAAIAAgACAAIAAgAEYAaQBuAGEAbABFAG4AZABEAGEAdABlACAAPAA9ACAATQBBAFgAKAAgAFQAaQBtAGUAbABpAG4AZQApACkALABcAG4AIAAgACAAIAAgACAAIAAgACAAIAAgACAAIAAgACAAIAAgACAAIAAgACAAIAAgACAAIAAgACAAIAAgACAAIAAgAEYAQQBMAFMARQApACwAXABuACAAIAAgACAAIAAgACAAIABGAGkAbgBhAGwARQBuAGQATQBlAHMAcwBhAGcAZQAsACAAIAAgACAAXAAiAEYAaQBuAGEAbABQAGUAcgBpAG8AZABFAG4AZAAgAG4AZQBlAGQAcwAgAGEAIABUAGkAbQBlAGwAaQBuAGUALAAgAGEAbgBkACAAbQB1AHMAdAAgAGIAZQAgAG8AbgBlACAAZABhAHQAZQAgAGEAZgB0AGUAcgAgAHQAaABlACAAbABhAHMAdAAgAFwAIgBcAG4AIAAgACAAIAAgACAAIAAgACAAIAAgACAAIAAgACAAIAAgACAAIAAgACAAIAAgACAAIAAgACAAIAAmACAAXAAiAGQAYQB0AGUAIABpAG4AIABpAHQALgAgAEkAdAAgAGkAcwAgAHQAaABlACAAZABhAHkAIABhAGYAdABlAHIAIAB0AGgAZQAgAGYAaQBuAGEAbAAgAHAAZQByAGkAbwBkACAAZQBuAGQAcwAuAFwAIgAsAFwAbgAgACAAIAAgACAAIAAgACAAUwB1AGIATQBvAG4AdABoAGwAeQA/ACwAIAAgACAAIAAgACAAIAAgAEQAcABQACAAPAAgADIAOAAsAFwAbgAgACAAIAAgACAAIAAgACAATABhAHMAdABEAGEAdABlACwAIAAgACAAIAAgACAAIAAgACAAIAAgAE0AQQBYACgAIABUAGkAbQBlAGwAaQBuAGUAKQAsAFwAbgAgACAAIAAgACAAIAAgACAAUAByAGkAbwByAEQAYQB0AGUALAAgACAAIAAgACAAIAAgACAAIAAgAEkARgAoACAAUwBpAG4AZwBsAGUAPwAsACAARgBpAHIAcwB0AFAAZQByAGkAbwBkACwAIABJAE4ARABFAFgAKAAgAFQAaQBtAGUAbABpAG4AZQAsACAAQwBPAFUATgBUAEEAKAAgAFQAaQBtAGUAbABpAG4AZQApACAALQAgADEAKQApACwAXABuACAAIAAgACAAIAAgACAAIABMAGEAcwB0AEcAYQBwACwAIAAgACAAIAAgACAAIAAgACAAIAAgACAASQBGACgAIABTAGkAbgBnAGwAZQA/ACwAIABEAHAAUAAsACAATABhAHMAdABEAGEAdABlACAALQAgAFAAcgBpAG8AcgBEAGEAdABlACkALABcAG4AIAAgACAAIAAgACAAIAAgAEwAYQBzAHQATQBvAG4AdABoAHMALAAgACAAIAAgACAAIAAgACAAIABNAEEAWAAoACAAUgBPAFUATgBEACgAIABMAGEAcwB0AEcAYQBwACAALwAgAEEARABwAE0ALAAgADAAKQAsACAAMQApACwAXABuACAAIAAgACAALwAvACAAIABQAHIAZQBzAGUAcgB2AGUAIAB0AGgAZQAgAGMAYQBsAGUAbgBkAGEAcgAgAGEAbgBjAGgAbwByACAAdwBoAGUAbgAgAEYAZQBiAHIAdQBhAHIAeQAgAGMAbABpAHAAcwAgAGkAdAA6ACAASgBhAG4AIAAzADAALAAgAEYAZQBiACAAMgA4AFwAbgAgACAAIAAgAC8ALwAgACAAYwBvAG4AdABpAG4AdQBlAHMAIAB0AG8AIABNAGEAcgAgADMAMAAuACAAQQAgAHMAbwBsAGUAIABzAHQAYQByAHQAIABhAGQAdgBhAG4AYwBlAHMAIABvAG4AZQAgAG0AbwBuAHQAaAAgAGYAcgBvAG0AIABpAHQAcwAgAG8AdwBuACAAZABhAHQAZQAuAFwAbgAgACAAIAAgACAAIAAgACAAQwBhAGwAZQBuAGQAYQByAEUAbgBkACwAIAAgACAAIAAgACAAIAAgAEkARgAoACAAUwBpAG4AZwBsAGUAPwAsACAARQBEAEEAVABFACgAIABMAGEAcwB0AEQAYQB0AGUALAAgADEAKQAsAFwAbgAgACAAIAAgACAAIAAgACAAIAAgACAAIAAgACAAIAAgACAAIAAgACAAIAAgACAAIAAgACAAIAAgACAAIAAgACAASQBGACgAIABFAEQAQQBUAEUAKAAgAFAAcgBpAG8AcgBEAGEAdABlACwAIABMAGEAcwB0AE0AbwBuAHQAaABzACkAIAA9ACAATABhAHMAdABEAGEAdABlACwAXABuACAAIAAgACAAIAAgACAAIAAgACAAIAAgACAAIAAgACAAIAAgACAAIAAgACAAIAAgACAAIAAgACAAIAAgACAAIAAgACAAIAAgAEUARABBAFQARQAoACAAUAByAGkAbwByAEQAYQB0AGUALAAgADIAIAAqACAATABhAHMAdABNAG8AbgB0AGgAcwApACwAXABuACAAIAAgACAAIAAgACAAIAAgACAAIAAgACAAIAAgACAAIAAgACAAIAAgACAAIAAgACAAIAAgACAAIAAgACAAIAAgACAAIAAgAEkARgAoACAARABBAFkAKAAgAEwAYQBzAHQARABhAHQAZQAgACsAIAAxACkAIAA9ACAAMQAsAFwAbgAgACAAIAAgACAAIAAgACAAIAAgACAAIAAgACAAIAAgACAAIAAgACAAIAAgACAAIAAgACAAIAAgACAAIAAgACAAIAAgACAAIAAgACAAIAAgAEUATwBNAE8ATgBUAEgAKAAgAEwAYQBzAHQARABhAHQAZQAsACAATABhAHMAdABNAG8AbgB0AGgAcwApACwAXABuACAAIAAgACAAIAAgACAAIAAgACAAIAAgACAAIAAgACAAIAAgACAAIAAgACAAIAAgACAAIAAgACAAIAAgACAAIAAgACAAIAAgACAAIAAgACAARQBEAEEAVABFACgAIABMAGEAcwB0AEQAYQB0AGUALAAgAEwAYQBzAHQATQBvAG4AdABoAHMAKQApACkAKQAsAFwAbgAgACAAIAAgAC8ALwAgACAASwBlAGUAcAAgAHQAaABlACAAZQB4AGkAcwB0AGkAbgBnACAAZABhAHkALQBnAGEAcAAgAGEAbgBkACAAZQB4AHAAbABpAGMAaQB0AC0AZQBuAGQAIAByAHUAbABlAHMAIABmAG8AcgAgAHMAdQBiAC0AbQBvAG4AdABoAGwAeQAgAHQAaQBtAGUAbABpAG4AZQBzAC4AXABuACAAIAAgACAAIAAgACAAIABJAG4AZgBlAHIAcgBlAGQARQBuAGQALAAgACAAIAAgACAAIAAgACAASQBGACgAIABPAFIAKAAgAFMAdQBiAE0AbwBuAHQAaABsAHkAPwAsACAATABhAHMAdABHAGEAcAAgADwAIAAyADgAKQAsACAATABhAHMAdABEAGEAdABlACAAKwAgAEwAYQBzAHQARwBhAHAALAAgAEMAYQBsAGUAbgBkAGEAcgBFAG4AZAApACwAXABuACAAIAAgACAAIAAgACAAIABCAHUAYwBrAGUAdABFAG4AZAAsACAAIAAgACAAIAAgACAAIAAgACAASQBGACgAIABBAE4ARAAoACAARgBpAG4AYQBsAEUAbgBkAD8ALAAgAFMAdQBiAE0AbwBuAHQAaABsAHkAPwApACwAIABGAGkAbgBhAGwARQBuAGQARABhAHQAZQAsACAASQBuAGYAZQByAHIAZQBkAEUAbgBkACkALABcAG4AXABuACAAIAAgACAALwAvACAAIABPAG4AZQAgAGwAbwBhAG4AJwBzACAAcwBjAGgAZQBkAHUAbABlACwAIABsAGEAaQBkACAAbwBuAHQAbwAgAHQAaABlACAAdABpAG0AZQBsAGkAbgBlAFwAbgAgACAAIAAgACAAIAAgACAAUwBjAGgAZQBkAHUAbABlACwAIABcAG4AIAAgACAAIAAgACAAIAAgACAAIAAgACAATABBAE0AQgBEAEEAKAAgAEEAcwBzAGUAdAAsAFwAbgAgACAAIAAgACAAIAAgACAAIAAgACAAIAAgACAAIAAgAEwARQBUACgAXABuACAAIAAgACAAIAAgACAAIAAgACAAIAAgACAAIAAgACAALwAvACAAIABTAGMAYQBsAGEAcgAgAGkAbgBwAHUAdABzACAAawBlAGUAcAAgAEUAeABjAGUAbAAgAGYAcgBvAG0AIABsAGkAZgB0AGkAbgBnACAAZQBhAGMAaAAgAGwAbwBhAG4AJwBzACAAcwBjAGgAZQBkAHUAbABlACAAaQBuAHQAbwAgAG4AZQBzAHQAZQBkACAAYQByAHIAYQB5AHMALgBcAG4AIAAgACAAIAAgACAAIAAgACAAIAAgACAAIAAgACAAIAAgACAAIAAgAFAAcgBpAG4AYwBpAHAAYQBsACwAIAAgACAAIAAgACAAIAAgACAAIABAAEkATgBEAEUAWAAoACAAUAByAGkAbgBjAGkAcABhAGwAcwAsACAAQQBzAHMAZQB0ACkALABcAG4AIAAgACAAIAAgACAAIAAgACAAIAAgACAAIAAgACAAIAAgACAAIAAgAEEAUABSACwAIAAgACAAIAAgACAAIAAgACAAIAAgACAAIAAgACAAIABAAEkATgBEAEUAWAAoACAAQQBQAFIAcwAsACAAQQBzAHMAZQB0ACkALABcAG4AIAAgACAAIAAgACAAIAAgACAAIAAgACAAIAAgACAAIAAgACAAIAAgAFQAZQByAG0ALAAgACAAIAAgACAAIAAgACAAIAAgACAAIAAgACAAIABAAEkATgBEAEUAWAAoACAAVABlAHIAbQBzACwAIABBAHMAcwBlAHQAKQAsAFwAbgAgACAAIAAgACAAIAAgACAAIAAgACAAIAAgACAAIAAgACAAIAAgACAAUwB0AGEAcgB0AEQAYQB0AGUALAAgACAAIAAgACAAIAAgACAAIAAgAEAASQBOAEQARQBYACgAIABDAHYAdABTAHQAYQByAHQAcwAsACAAQQBzAHMAZQB0ACkALABcAG4AXABuACAAIAAgACAAIAAgACAAIAAgACAAIAAgACAAIAAgACAALwAvACAAIABDAGEAbABjAHUAbABhAHQAZQAgAGYAbwByACAAZQBhAGMAaAAgAG0AbwBuAHQAaABcAG4AIAAgACAAIAAgACAAIAAgACAAIAAgACAAIAAgACAAIAAgACAAIAAgAFIAYQB0AGUALAAgACAAIAAgACAAIAAgACAAIAAgACAAIAAgACAAIABBAFAAUgAgAC8AIABNAHAAWQAsAFwAbgAgACAAIAAgACAAIAAgACAAIAAgACAAIAAgACAAIAAgACAAIAAgACAATQBvAG4AdABoAGwAeQBQAGEAeQBtAGUAbgB0ACwAIAAgACAAIAAgAFAATQBUACgAIABSAGEAdABlACwAIABUAGUAcgBtACwAIABQAHIAaQBuAGMAaQBwAGEAbAApACwAIAAgACAAIABcAG4AIAAgACAAIAAgACAAIAAgACAAIAAgACAAIAAgACAAIAAgACAAIAAgAE0AbwBuAHQAaABsAHkAUAByAGkAbgBjAGkAcABhAGwALAAgACAAIAAtAEYAVgAoAFIAYQB0AGUALAAgAFMARQBRAFUARQBOAEMARQAoACAAMQAsACAAVABlAHIAbQAsACAAMAApACwAIABNAG8AbgB0AGgAbAB5AFAAYQB5AG0AZQBuAHQALAAgAFAAcgBpAG4AYwBpAHAAYQBsACkALABcAG4AIAAgACAAIAAgACAAIAAgACAAIAAgACAAIAAgACAAIAAgACAAIAAgAE0AbwBuAHQAaABsAHkASQBuAHQAZQByAGUAcwB0ACwAIAAgACAAIABNAG8AbgB0AGgAbAB5AFAAcgBpAG4AYwBpAHAAYQBsACAAKgAgAFIAYQB0AGUALABcAG4AXABuACAAIAAgACAAIAAgACAAIAAgACAAIAAgACAAIAAgACAALwAvACAAIABLAGUAZQBwACAAZQB2AGUAcgB5ACAAbABvAGEAbgAgAG0AbwBuAHQAaAAgAHMAZQBwAGEAcgBhAHQAZQAgAHUAbgB0AGkAbAAgAGkAdABzACAAdABpAG0AZQBsAGkAbgBlACAAcABlAHIAaQBvAGQAIABpAHMAIABrAG4AbwB3AG4ALgBcAG4AIAAgACAAIAAgACAAIAAgACAAIAAgACAAIAAgACAAIAAgACAAIAAgAEQAZQBiAHQASQBzAHMAdQBlAEEAcgByAGEAeQAsACAAIAAgACAAIABFAFgAUABBAE4ARAAoACAAUAByAGkAbgBjAGkAcABhAGwALAAgADEALAAgAFQAZQByAG0ALAAgADAAKQAsAFwAbgAgACAAIAAgACAAIAAgACAAIAAgACAAIAAgACAAIAAgACAAIAAgACAAUAByAGkAbgBjAGkAcABhAGwAQQByAHIAYQB5ACwAIAAgACAAIAAgAE0AbwBuAHQAaABsAHkAUAByAGkAbgBjAGkAcABhAGwALABcAG4AIAAgACAAIAAgACAAIAAgACAAIAAgACAAIAAgACAAIAAgACAAIAAgAEkAbgB0AGUAcgBlAHMAdABBAHIAcgBhAHkALAAgACAAIAAgACAAIABNAG8AbgB0AGgAbAB5AEkAbgB0AGUAcgBlAHMAdAAsAFwAbgAgACAAIAAgACAAIAAgACAAIAAgACAAIAAgACAAIAAgACAAIAAgACAAUABhAHkAbQBlAG4AdABBAHIAcgBhAHkALAAgACAAIAAgACAAIAAgAFMARQBRAFUARQBOAEMARQAoACAAMQAsACAAVABlAHIAbQAsACAATQBvAG4AdABoAGwAeQBQAGEAeQBtAGUAbgB0ACwAIAAwACkALABcAG4AIAAgACAAIAAgACAAIAAgACAAIAAgACAAIAAgACAAIAAgACAAIAAgAEMAbABvAHMAaQBuAGcAQQByAHIAYQB5ACwAIAAgACAAIAAgACAAIABQAHIAaQBuAGMAaQBwAGEAbABBAHIAcgBhAHkAIAArACAASQBuAHQAZQByAGUAcwB0AEEAcgByAGEAeQAgACsAIABQAGEAeQBtAGUAbgB0AEEAcgByAGEAeQAsAFwAbgAgACAAIAAgACAAIAAgACAAIAAgACAAIAAgACAAIAAgACAAIAAgACAAUABvAHIAdABpAG8AbgBBAHIAcgBhAHkALAAgACAAIAAgACAAIAAgAC0AUABhAHkAbQBlAG4AdABBAHIAcgBhAHkAIAAtACAASQBuAHQAZQByAGUAcwB0AEEAcgByAGEAeQAsACAAIAAgACAAXABuACAAIAAgACAAIAAgACAAIAAgACAAIAAgACAAIAAgACAAIAAgACAAIABBAG0AbwByAHQAaQBzAGEAdABpAG8AbgBTAGMAaABlAGQALAAgACAAVgBTAFQAQQBDAEsAKABcAG4AIAAgACAAIAAgACAAIAAgACAAIAAgACAAIAAgACAAIAAgACAAIAAgACAAIAAgACAAIAAgACAAIAAgACAAIAAgACAAIAAgACAAIAAgACAAIAAgACAAIAAgAEQAZQBiAHQASQBzAHMAdQBlAEEAcgByAGEAeQAsACAAXABuACAAIAAgACAAIAAgACAAIAAgACAAIAAgACAAIAAgACAAIAAgACAAIAAgACAAIAAgACAAIAAgACAAIAAgACAAIAAgACAAIAAgACAAIAAgACAAIAAgACAAIABQAHIAaQBuAGMAaQBwAGEAbABBAHIAcgBhAHkALAAgAFwAbgAgACAAIAAgACAAIAAgACAAIAAgACAAIAAgACAAIAAgACAAIAAgACAAIAAgACAAIAAgACAAIAAgACAAIAAgACAAIAAgACAAIAAgACAAIAAgACAAIAAgACAASQBuAHQAZQByAGUAcwB0AEEAcgByAGEAeQAsACAAXABuACAAIAAgACAAIAAgACAAIAAgACAAIAAgACAAIAAgACAAIAAgACAAIAAgACAAIAAgACAAIAAgACAAIAAgACAAIAAgACAAIAAgACAAIAAgACAAIAAgACAAIABQAGEAeQBtAGUAbgB0AEEAcgByAGEAeQAsACAAXABuACAAIAAgACAAIAAgACAAIAAgACAAIAAgACAAIAAgACAAIAAgACAAIAAgACAAIAAgACAAIAAgACAAIAAgACAAIAAgACAAIAAgACAAIAAgACAAIAAgACAAIABDAGwAbwBzAGkAbgBnAEEAcgByAGEAeQAsACAAXABuACAAIAAgACAAIAAgACAAIAAgACAAIAAgACAAIAAgACAAIAAgACAAIAAgACAAIAAgACAAIAAgACAAIAAgACAAIAAgACAAIAAgACAAIAAgACAAIAAgACAAIABQAG8AcgB0AGkAbwBuAEEAcgByAGEAeQApACwAXABuACAAIAAgACAAIAAgACAAIAAgACAAIAAgACAAIAAgACAALwAvACAAIABBAGwAbABvAGMAYQB0AGUAIABtAG8AbgB0AGgAbAB5ACAAdgBhAGwAdQBlAHMAIAB0AG8AIABhAGMAdAB1AGEAbAAgAHAAZQByAGkAbwBkACAAZABhAHQAZQBzACwAIABlAHgAYwBsAHUAZABpAG4AZwAgAHQAaABlACAAZgBpAG4AYQBsACAAZQBuAGQALgBcAG4AIAAgACAAIAAgACAAIAAgACAAIAAgACAAIAAgACAAIAAgACAAIAAgAE0AbwBuAHQAaABTAHQAYQByAHQAcwAsACAAIAAgACAAIAAgACAAIABFAEQAQQBUAEUAKAAgAFMAdABhAHIAdABEAGEAdABlACwAIABTAEUAUQBVAEUATgBDAEUAKAAgACwAIABUAGUAcgBtACwAIAAwACkAKQAsAFwAbgAgACAAIAAgACAAIAAgACAAIAAgACAAIAAgACAAIAAgACAAIAAgACAAQgB1AGMAawBlAHQAcwAsACAAIAAgACAAIAAgACAAIAAgACAAIAAgAEkARgBFAFIAUgBPAFIAKAAgAE0AQQBUAEMASAAoACAATQBvAG4AdABoAFMAdABhAHIAdABzACwAIABUAE8AUgBPAFcAKAAgAFQAaQBtAGUAbABpAG4AZQApACwAIAAxACkALAAgADAAKQBcAG4AIAAgACAAIAAgACAAIAAgACAAIAAgACAAIAAgACAAIAAgACAAIAAgACAAIAAgACAAIAAgACAAIAAgACAAIAAgACAAIAAgACAAIAAgACAAIAAqACAAKAAgAE0AbwBuAHQAaABTAHQAYQByAHQAcwAgADwAIABCAHUAYwBrAGUAdABFAG4AZAApACwAXABuACAAIAAgACAAIAAgACAAIAAgACAAIAAgACAAIAAgACAAIAAgACAAIABJAG4AUABlAHIAaQBvAGQALAAgACAAIAAgACAAIAAgACAAIAAgACAAKAAgAFQATwBDAE8ATAAoACAAQgB1AGMAawBlAHQAcwApACAAPQAgAFMARQBRAFUARQBOAEMARQAoACAAMQAsACAAQwBPAFUATgBUAEEAKAAgAFQAaQBtAGUAbABpAG4AZQApACkAKQAgACoAIAAxACwAXABuACAAIAAgACAAIAAgACAAIAAgACAAIAAgACAAIAAgACAALwAvACAAIABSAG8AdwBzACAAMgAgAGEAbgBkACAANQAgAGEAcgBlACAAYgBhAGwAYQBuAGMAZQBzACAAcgBhAHQAaABlAHIAIAB0AGgAYQBuACAAZgBsAG8AdwBzAC4AIABBACAAcABlAHIAaQBvAGQAIABjAGEAbgAgAGgAbwBsAGQAIABzAGUAdgBlAHIAYQBsAFwAbgAgACAAIAAgACAAIAAgACAAIAAgACAAIAAgACAAIAAgAC8ALwAgACAAbQBvAG4AdABoAHMALAAgAGEAcwAgAHQAaABlACAAbABhAHMAdAAgAG8AbgBlACAAZABvAGUAcwAgAHcAaABlAG4AIABGAGkAbgBhAGwAUABlAHIAaQBvAGQARQBuAGQAIABlAHgAdABlAG4AZABzACAAaQB0ACwAIABvAHIAIABhACAAbABvAG4AZwBlAHIAXABuACAAIAAgACAAIAAgACAAIAAgACAAIAAgACAAIAAgACAALwAvACAAIABwAGUAcgBpAG8AZAAgAGEAZgB0AGUAcgAgAHMAaABvAHIAdABlAHIAIABvAG4AZQBzADoAIAB0AGgAZQAgAGYAbABvAHcAcwAgAG8AZgAgAGkAdABzACAAbQBvAG4AdABoAHMAIABhAGQAZAAgAHUAcAAsACAAYgB1AHQAIABpAHQAIABvAHAAZQBuAHMAIABvAG4AXABuACAAIAAgACAAIAAgACAAIAAgACAAIAAgACAAIAAgACAALwAvACAAIABpAHQAcwAgAGYAaQByAHMAdAAgAG0AbwBuAHQAaAAnAHMAIABiAGEAbABhAG4AYwBlACAAYQBuAGQAIABjAGwAbwBzAGUAcwAgAG8AbgAgAGkAdABzACAAbABhAHMAdAAgAG0AbwBuAHQAaAAnAHMALAAgAHcAaABpAGMAaAAgAGkAcwAgAGgAbwB3AFwAbgAgACAAIAAgACAAIAAgACAAIAAgACAAIAAgACAAIAAgAC8ALwAgACAARABlAHAAcgBlAGMAaQBhAHQAZQC7AyAAcgBlAGEAZABzACAAaQB0AHMAIABvAHcAbgAgAG8AcABlAG4AaQBuAGcAIABiAGEAbABhAG4AYwBlACAAcgBvAHcALgAgAFMAdQBtAG0AZQBkACAAdwBpAHQAaAAgAHQAaABlACAAZgBsAG8AdwBzACwAIABhACAAbABvAGEAbgBcAG4AIAAgACAAIAAgACAAIAAgACAAIAAgACAAIAAgACAAIAAvAC8AIAAgAHIAZQBwAGEAaQBkACAAaQBuAHMAaQBkAGUAIABzAHUAYwBoACAAYQAgAHAAZQByAGkAbwBkACAAYwBsAG8AcwBlAGQAIABpAHQAIABvAG4AIAB0AGgAZQAgAHQAbwB0AGEAbAAgAG8AZgAgAGkAdABzACAAbQBvAG4AdABoAGwAeQAgAGIAYQBsAGEAbgBjAGUAcwAuAFwAbgAgACAAIAAgACAAIAAgACAAIAAgACAAIAAgACAAIAAgACAAIAAgACAARQBhAHIAbABpAGUAcgAsACAAIAAgACAAIAAgACAAIAAgACAAIAAgAEkARgAoACAAVABlAHIAbQAgAD0AIAAxACwAIAAwACwAIABIAFMAVABBAEMASwAoACAAMAAsACAARABSAE8AUAAoACAAQgB1AGMAawBlAHQAcwAsACAALAAgAC0AMQApACkAKQAsAFwAbgAgACAAIAAgACAAIAAgACAAIAAgACAAIAAgACAAIAAgACAAIAAgACAATABhAHQAZQByACwAIAAgACAAIAAgACAAIAAgACAAIAAgACAAIAAgAEkARgAoACAAVABlAHIAbQAgAD0AIAAxACwAIAAwACwAIABIAFMAVABBAEMASwAoACAARABSAE8AUAAoACAAQgB1AGMAawBlAHQAcwAsACAALAAgADEAKQAsACAAMAApACkALABcAG4AIAAgACAAIAAgACAAIAAgACAAIAAgACAAIAAgACAAIAAgACAAIAAgAEYAaQByAHMAdABJAG4AUABlAHIAaQBvAGQALAAgACAAIAAgACAAIAAoACAAQgB1AGMAawBlAHQAcwAgADwAPgAgAEUAYQByAGwAaQBlAHIAKQAgACoAIAAoACAAQgB1AGMAawBlAHQAcwAgAD4AIAAwACkALABcAG4AIAAgACAAIAAgACAAIAAgACAAIAAgACAAIAAgACAAIAAgACAAIAAgAEwAYQBzAHQASQBuAFAAZQByAGkAbwBkACwAIAAgACAAIAAgACAAIAAoACAAQgB1AGMAawBlAHQAcwAgADwAPgAgAEwAYQB0AGUAcgApACAAKgAgACgAIABCAHUAYwBrAGUAdABzACAAPgAgADAAKQAsAFwAbgAgACAAIAAgACAAIAAgACAAIAAgACAAIAAgACAAIAAgACAAIAAgACAARgBsAG8AdwBzACwAIAAgACAAIAAgACAAIAAgACAAIAAgACAAIAAgAE0ATQBVAEwAVAAoACAAQQBtAG8AcgB0AGkAcwBhAHQAaQBvAG4AUwBjAGgAZQBkACwAIABJAG4AUABlAHIAaQBvAGQAKQAsAFwAbgAgACAAIAAgACAAIAAgACAAIAAgACAAIAAgACAAIAAgACAAIAAgACAAQgB5AEQAYQB0AGUALAAgACAAIAAgACAAIAAgACAAIAAgACAAIAAgAFYAUwBUAEEAQwBLACgAIABUAEEASwBFACgAIABGAGwAbwB3AHMALAAgADEAKQAsAFwAbgAgACAAIAAgACAAIAAgACAAIAAgACAAIAAgACAAIAAgACAAIAAgACAAIAAgACAAIAAgACAAIAAgACAAIAAgACAAIAAgACAAIAAgACAAIAAgACAAIAAgACAAIAAgACAAIABNAE0AVQBMAFQAKAAgAEMASABPAE8AUwBFAFIATwBXAFMAKAAgAEEAbQBvAHIAdABpAHMAYQB0AGkAbwBuAFMAYwBoAGUAZAAsACAAMgApACAAKgAgAEYAaQByAHMAdABJAG4AUABlAHIAaQBvAGQALAAgAEkAbgBQAGUAcgBpAG8AZAApACwAXABuACAAIAAgACAAIAAgACAAIAAgACAAIAAgACAAIAAgACAAIAAgACAAIAAgACAAIAAgACAAIAAgACAAIAAgACAAIAAgACAAIAAgACAAIAAgACAAIAAgACAAIAAgACAAIAAgAEMASABPAE8AUwBFAFIATwBXAFMAKAAgAEYAbABvAHcAcwAsACAAMwAsACAANAApACwAXABuACAAIAAgACAAIAAgACAAIAAgACAAIAAgACAAIAAgACAAIAAgACAAIAAgACAAIAAgACAAIAAgACAAIAAgACAAIAAgACAAIAAgACAAIAAgACAAIAAgACAAIAAgACAAIAAgAE0ATQBVAEwAVAAoACAAQwBIAE8ATwBTAEUAUgBPAFcAUwAoACAAQQBtAG8AcgB0AGkAcwBhAHQAaQBvAG4AUwBjAGgAZQBkACwAIAA1ACkAIAAqACAATABhAHMAdABJAG4AUABlAHIAaQBvAGQALAAgAEkAbgBQAGUAcgBpAG8AZAApACwAXABuACAAIAAgACAAIAAgACAAIAAgACAAIAAgACAAIAAgACAAIAAgACAAIAAgACAAIAAgACAAIAAgACAAIAAgACAAIAAgACAAIAAgACAAIAAgACAAIAAgACAAIAAgACAAIAAgAFQAQQBLAEUAKAAgAEYAbABvAHcAcwAsACAALQAxACkAKQAsAFwAbgAgACAAIAAgACAAIAAgACAAIAAgACAAIAAgACAAIAAgACAAIAAgACAAQgB5AEQAYQB0AGUAXABuACAAIAAgACAAIAAgACAAIAAgACAAIAAgACAAIAAgACAAKQAgACAAIABcAG4AIAAgACAAIAAgACAAIAAgACAAIAAgACAAKQAsACAAIAAgACAAXABuACAAIAAgACAALwAvACAAIABFAHYAZQByAHkAIABsAG8AYQBuACAAaQBuACAAdAB1AHIAbgAsACAAYQAgAGIAbABhAG4AawAgAHIAbwB3ACAAYgBlAHQAdwBlAGUAbgAgAG8AbgBlACAAYgBsAG8AYwBrACAAYQBuAGQAIAB0AGgAZQAgAG4AZQB4AHQAXABuACAAIAAgACAAIAAgACAAIABSAGUAcwB1AGwAdAAsACAAIAAgACAAIABSAEUARABVAEMARQAoACAAMAAsACAAUwBFAFEAVQBFAE4AQwBFACgAIABSAE8AVwBTACgAIABQAHIAaQBuAGMAaQBwAGEAbABzACkAKQAsAFwAbgAgACAAIAAgACAAIAAgACAAIAAgACAAIAAgACAAIAAgACAAIAAgACAAIAAgACAAIABMAEEATQBCAEQAQQAoACAAQQBjAGMALAAgAEEAcwBzAGUAdAAsAFwAbgAgACAAIAAgACAAIAAgACAAIAAgACAAIAAgACAAIAAgACAAIAAgACAAIAAgACAAIAAgACAAIAAgAEwARQBUACgATgBlAHcAQgBsAG8AYwBrACwAIAAgACAAUwBjAGgAZQBkAHUAbABlACgAIABBAHMAcwBlAHQAKQAsAFwAbgAgACAAIAAgACAAIAAgACAAIAAgACAAIAAgACAAIAAgACAAIAAgACAAIAAgACAAIAAgACAAIAAgACAAIAAgACAASQBGACgAIABBAHMAcwBlAHQAIAA9ACAAMQAsACAAXABuACAAIAAgACAAIAAgACAAIAAgACAAIAAgACAAIAAgACAAIAAgACAAIAAgACAAIAAgACAAIAAgACAAIAAgACAAIAAgACAAIAAgAE4AZQB3AEIAbABvAGMAawAsAFwAbgAgACAAIAAgACAAIAAgACAAIAAgACAAIAAgACAAIAAgACAAIAAgACAAIAAgACAAIAAgACAAIAAgACAAIAAgACAAIAAgACAAIABWAFMAVABBAEMASwAoACAAQQBjAGMALAAgAEUAWABQAEEATgBEACgAewBcACIAIABcACIAfQAsACAAMQAsACAAQwBPAFUATgBUAEEAKABUAGkAbQBlAGwAaQBuAGUAKQAsACAAXAAiACAAXAAiACkALAAgAE4AZQB3AEIAbABvAGMAawApACkAXABuACAAIAAgACAAIAAgACAAIAAgACAAIAAgACAAIAAgACAAIAAgACAAIAAgACAAIAAgACAAIAAgACAAKQBcAG4AIAAgACAAIAAgACAAIAAgACAAIAAgACAAIAAgACAAIAAgACAAIAAgACAAIAAgACAAKQBcAG4AIAAgACAAIAAgACAAIAAgACAAIAAgACAAIAAgACAAIAAgACAAIAAgACkALABcAG4AIAAgACAAIAAvAC8AIAAgAFIAZQB0AHUAcgBuACAAUgBlAHMAdQBsAHQALAAgAEgAZQBsAHAALAAgAG8AcgAgAHQAaABlACAAbQBlAHMAcwBhAGcAZQBcAG4AIAAgACAAIAAgACAAIAAgAFIAZQB0AHUAcgBuACwAIAAgACAAIAAgAEkARgAoACAASABlAGwAcAA/ACwAIAAyACwAIABJAEYAKAAgAEIAYQBkAFQAaQBtAGUAbABpAG4AZQA/ACwAIAAzACwAIABJAEYAKAAgAEIAYQBkAEYAaQBuAGEAbABFAG4AZAA/ACwAIAA0ACwAIAAxACkAKQApACwAXABuACAAIAAgACAAIAAgACAAIABDAEgATwBPAFMARQAoACAAUgBlAHQAdQByAG4ALAAgAFIAZQBzAHUAbAB0ACwAIABIAGUAbABwACwAIABUAGkAbQBlAGwAaQBuAGUATQBlAHMAcwBhAGcAZQAsACAARgBpAG4AYQBsAEUAbgBkAE0AZQBzAHMAYQBnAGUAKQBcAG4AIAAgACAAIAApACAAXABuACkAOwBcAG4AXABuAFwAbgAvACoAIAAgAEYAVQBOAEMAVABJAE8ATgAgAE4AQQBNAEUAOgAgACAATABhAGIAZQBsAEEAbQBvAHIAdABpAHMAZQC7A1wAbgAgACAAIAAgAEQARQBTAEMAUgBJAFAAVABJAE8ATgA6ACoALwAvACoAKgBDAHIAZQBhAHQAZQAgAGwAYQBiAGUAbABzACAAZgBvAHIAIABBAG0AbwByAHQAaQBzAGUAuwMqAC8AXABuAEwAYQBiAGUAbABBAG0AbwByAHQAaQBzAGUAuwMgAD0AIABMAEEATQBCAEQAQQAoAFwAbgAvAC8AIAAgAFAAYQByAGEAbQBlAHQAZQByACAARABlAGMAbABhAHIAYQB0AGkAbwBuAHMAXABuACAAIAAgACAAWwBMAG8AYQBuAE4AYQBtAGUAcwBdACwAIAAgAFwAbgAgACAAIAAgAFsATABvAGEAbgBBAG0AbwB1AG4AdABzAF0ALAAgACAAXABuACAAIAAgACAAWwBMAG8AYQBuAEEAUABSAHMAXQAsACAAIABcAG4AIAAgACAAIABbAEwAbwBhAG4AVABlAHIAbQBzAF0ALAAg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TABhAGIAZQBsAEEAbQBvAHIAdABpAHMAZQC7AygATABvAGEAbgBOAGEAbQBlAHMALAAgAFsATABvAGEAbgBBAG0AbwB1AG4AdABzAF0ALAAgAFsATABvAGEAbgBBAFAAUgBzAF0ALAAgAFsATABvAGEAbgBUAGUAcgBtAHMAXQApALYAXAAiACAAJgBcAG4AIAAgACAAIAAgACAAIAAgACAAIAAgACAAIAAgACAAIAAgACAAIAAgACAAIAAgACAAIAAgACAAIABcACIARABFAFMAQwBSAEkAUABUAEkATwBOADoAIAAgACAAkiFDAHIAZQBhAHQAZQAgAHIAbwB3ACAAbABhAGIAZQBsAHMAIABmAG8AcgAgAHQAaABlACAAYQBtAG8AcgB0AGkAcwBhAHQAaQBvAG4AIABzAGMAaABlAGQAdQBsAGUAIABhAHIAcgBhAHkAIABwAHIAbwBkAHUAYwBlAGQAIABiAHkAIABBAG0AbwByAHQAaQBzAGUAuwO2AFwAIgAgACYAIA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TABvAGEAbgBOAGEAbQBlAHMAIAAgACAAIAAgAJIhKABSAGUAcQB1AGkAcgBlAGQAKQAgAE4AYQBtAGUAcwAgAG8AcgAgAGQAZQBzAGMAcgBpAHAAdABpAG8AbgBzACAAbwBmACAAZQBhAGMAaAAgAGwAbwBhAG4AIABpAG4AIAB0AGgAZQAgAGEAbQBvAHIAdABpAHMAYQB0AGkAbwBuACAAcwBjAGgAZQBkAHUAbABlACAAcAByAG8AZAB1AGMAZQBkACAAYgB5ACAAQQBtAG8AcgB0AGkAcwBlALsDtgBcACIAIAAmACAAIAAgACAAIAAgACAAIAAgACAAIAAgACAAIAAgACAAIAAgAFwAbgAgACAAIAAgACAAIAAgACAAIAAgACAAIAAgACAAIAAgACAAIAAgACAAIAAgACAAIAAgACAAIAAgAFwAIgBMAG8AYQBuAEEAbQBvAHUAbgB0AHMAIAAgACAAkiEoAE8AcAB0AGkAbwBuAGEAbAApACAAQQBtAG8AdQBuAHQAIABiAG8AcgByAG8AdwBlAGQAtgBcACIAIAAmACAAIAAgACAAIAAgACAAIAAgACAAIAAgACAAIAAgACAAIAAgAFwAbgAgACAAIAAgACAAIAAgACAAIAAgACAAIAAgACAAIAAgACAAIAAgACAAIAAgACAAIAAgACAAIAAgAFwAIgBMAG8AYQBuAEEAUABSAHMAIAAgACAAIAAgACAAkiEoAE8AcAB0AGkAbwBuAGEAbAApACAAQQBuAG4AdQBhAGwAIABQAGUAcgBjAGUAbgB0AGEAZwBlACAASQBuAHQAZQByAGUAcwB0ACAAUgBhAHQAZQC2AFwAIgAgACYAIAAgACAAIAAgACAAIAAgACAAIAAgACAAIAAgACAAIAAgACAAXABuACAAIAAgACAAIAAgACAAIAAgACAAIAAgACAAIAAgACAAIAAgACAAIAAgACAAIAAgACAAIAAgACAAXAAiAEwAbwBhAG4AVABlAHIAbQBzACAAIAAgACAAIACSISgATwBwAHQAaQBvAG4AYQBsACkAIABOAHUAbQBiAGUAcgAgAG8AZgAgAG0AbwBuAHQAaABzACAAdABvACAAcgBlAHAAYQB5ALYAXAAiACAAJg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wAYQBiAGUAbABBAG0AbwByAHQAaQBzAGUAuwMoAHQAYgBsAEwAbwBhAG4AcwBbAEwAbwBhAG4AIABOAGEAbQBlAF0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HIAZQBxAHUAaQByAGUAZAAgAGkAbgBwAHUAdABzACAALQAgAE8AbQBpAHQAdABlAGQAIAByAGUAcQB1AGkAcgBlAGQAIABhAHIAZwB1AG0AZQBuAHQAcwBcAG4AIAAgACAAIAAgACAAIAAgAEgAZQBsAHAAPwAsACAAIAAgACAAIAAgACAAIAAgACAASQBTAE8ATQBJAFQAVABFAEQAKAAgAEwAbwBhAG4ATgBhAG0AZQBzACkALABcAG4AIAAgACAAIAAvAC8AIAAgAEMAaABlAGMAawAgAG8AcAB0AGkAbwBuAGEAbAAgAGkAbgBwAHUAdABzAFwAbgAgACAAIAAgACAAIAAgACAATwBwAHQAaQBvAG4AYQBsAHMALAAgACAAIAAgACAAIABOAE8AVAAoACAATwBSACgAIABcAG4AIAAgACAAIAAgACAAIAAgACAAIAAgACAAIAAgACAAIAAgACAAIAAgACAAIAAgACAAIAAgACAAIABJAFMATwBNAEkAVABUAEUARAAoACAATABvAGEAbgBBAG0AbwB1AG4AdABzACkALAAgAFwAbgAgACAAIAAgACAAIAAgACAAIAAgACAAIAAgACAAIAAgACAAIAAgACAAIAAgACAAIAAgACAAIAAgAEkAUwBPAE0ASQBUAFQARQBEACgAIABMAG8AYQBuAEEAUABSAHMAKQAsACAAXABuACAAIAAgACAAIAAgACAAIAAgACAAIAAgACAAIAAgACAAIAAgACAAIAAgACAAIAAgACAAIAAgACAASQBTAE8ATQBJAFQAVABFAEQAKAAgAEwAbwBhAG4AVABlAHIAbQBzACkAXABuACAAIAAgACAAIAAgACAAIAAgACAAIAAgACAAIAAgACAAIAAgACAAIAAgACAAIAAgACkAKQAsAFwAbgAgACAAIAAgAC8ALwAgACAAUAByAG8AYwBlAGQAdQByAGUAIAAtACAAcwBpAHgAIABsAGEAYgBlAGwAbABlAGQAIAByAG8AdwBzACAAYQBuAGQAIABhACAAYgBsAGEAbgBrACAAcgBvAHcAIABwAGUAcgAgAGwAbwBhAG4ALAAgAHcAaQB0AGgAbwB1AHQAIAB0AGgAZQAgAHQAcgBhAGkAbABpAG4AZwAgAGIAbABhAG4AawBcAG4AIAAgACAAIAAgACAAIAAgAFIAZQBzAHUAbAB0ACwAIAAgACAAIAAgACAAIAAgACAATQBBAEsARQBBAFIAUgBBAFkAKAAgAFIATwBXAFMAKAAgAEwAbwBhAG4ATgBhAG0AZQBzACkAIAAqACAANwAgAC0AIAAxACwAIABJAEYAKAAgAE8AcAB0AGkAbwBuAGEAbABzACwAIAAzACwAIAAxACkALABcAG4AIAAgACAAIAAgACAAIAAgACAAIAAgACAAIAAgACAAIAAgACAAIAAgACAAIAAgACAAIAAgACAAIABMAEEATQBCAEQAQQAoAFIAbwB3ACwAIABDAG8AbAAsACAAXABuACAAIAAgACAAIAAgACAAIAAgACAAIAAgACAAIAAgACAAIAAgACAAIAAgACAAIAAgACAAIAAgACAAIAAgACAAIABMAEUAVAAoAEkAZAB4ACwAIAAgACAAIAAgACAAIAAgACAAIAAgACAAUQBVAE8AVABJAEUATgBUACgAIABSAG8AdwAgAC0AIAAxACwAIAA3ACkAIAArACAAMQAsAFwAbgAgACAAIAAgACAAIAAgACAAIAAgACAAIAAgACAAIAAgACAAIAAgACAAIAAgACAAIAAgACAAIAAgACAAIAAgACAAIAAgACAAIABMAGkAbgBlACwAIAAgACAAIAAgACAAIAAgACAAIAAgAE0ATwBEACgAIABSAG8AdwAgAC0AIAAxACwAIAA3ACkAIAArACAAMQAsACAAXABuACAAIAAgACAAIAAgACAAIAAgACAAIAAgACAAIAAgACAAIAAgACAAIAAgACAAIAAgACAAIAAgACAAIAAgACAAIAAgACAAIAAgAEwAbwBhAG4ATgBhAG0AZQAsACAAIAAgACAAIAAgACAASQBOAEQARQBYACgAIABMAG8AYQBuAE4AYQBtAGUAcwAsACAASQBkAHgAKQAsACAAXABuACAAIAAgACAAIAAgACAAIAAgACAAIAAgACAAIAAgACAAIAAgACAAIAAgACAAIAAgACAAIAAgACAAIAAgACAAIAAgACAAIAAgAEwAbwBhAG4AQQBtAG8AdQBuAHQALAAgACAAIAAgACAASQBGACgASQBTAE8ATQBJAFQAVABFAEQAKAAgAEwAbwBhAG4AQQBtAG8AdQBuAHQAcwApACwAIAAwACwAIABJAE4ARABFAFgAKAAgAEwAbwBhAG4AQQBtAG8AdQBuAHQAcwAsACAASQBkAHgAKQApACwAXABuACAAIAAgACAAIAAgACAAIAAgACAAIAAgACAAIAAgACAAIAAgACAAIAAgACAAIAAgACAAIAAgACAAIAAgACAAIAAgACAAIAAgAEwAbwBhAG4AQQBQAFIALAAgACAAIAAgACAAIAAgACAASQBGACgASQBTAE8ATQBJAFQAVABFAEQAKAAgAEwAbwBhAG4AQQBQAFIAcwApACwAIAAwACwAIABJAE4ARABFAFgAKAAgAEwAbwBhAG4AQQBQAFIAcwAsACAASQBkAHgAKQApACwAXABuACAAIAAgACAAIAAgACAAIAAgACAAIAAgACAAIAAgACAAIAAgACAAIAAgACAAIAAgACAAIAAgACAAIAAgACAAIAAgACAAIAAgAEwAbwBhAG4AVABlAHIAbQAsACAAIAAgACAAIAAgACAASQBGACgASQBTAE8ATQBJAFQAVABFAEQAKAAgAEwAbwBhAG4AVABlAHIAbQBzACkALAAgADAALAAgAEkATgBEAEUAWAAoACAATABvAGEAbgBUAGUAcgBtAHMALAAgAEkAZAB4ACkAKQAsAFwAbgAgACAAIAAgACAAIAAgACAAIAAgACAAIAAgACAAIAAgACAAIAAgACAAIAAgACAAIAAgACAAIAAgACAAIAAgACAAIAAgACAAIABTAFcASQBUAEMASAAoACAAQwBvAGwALABcAG4AIAAgACAAIAAgACAAIAAgACAAIAAgACAAIAAgACAAIAAgACAAIAAgACAAIAAgACAAIAAgACAAIAAgACAAIAAgACAAIAAgACAAIAAgACAAIAAxACwAIAAgAFMAVwBJAFQAQwBIACgAIABMAGkAbgBlACwAXABuACAAIAAgACAAIAAgACAAIAAgACAAIAAgACAAIAAgACAAIAAgACAAIAAgACAAIAAgACAAIAAgACAAIAAgACAAIAAgACAAIAAgACAAIAAgACAAIAAgACAAIAAgACAAIAAgADEALAAgACAATABvAGEAbgBOAGEAbQBlACAAJgAgAFwAIgAgAEQAZQBiAHQAIABJAHMAcwB1AGEAbgBjAGUAXAAiACwAXABuACAAIAAgACAAIAAgACAAIAAgACAAIAAgACAAIAAgACAAIAAgACAAIAAgACAAIAAgACAAIAAgACAAIAAgACAAIAAgACAAIAAgACAAIAAgACAAIAAgACAAIAAgACAAIAAgADIALAAgACAATABvAGEAbgBOAGEAbQBlACAAJgAgAFwAIgAgAEQAZQBiAHQAIABCAGEAbABhAG4AYwBlAFwAIgAsAFwAbgAgACAAIAAgACAAIAAgACAAIAAgACAAIAAgACAAIAAgACAAIAAgACAAIAAgACAAIAAgACAAIAAgACAAIAAgACAAIAAgACAAIAAgACAAIAAgACAAIAAgACAAIAAgACAAIAAzACwAIAAgAEwAbwBhAG4ATgBhAG0AZQAgACYAIABcACIAIABJAG4AdABlAHIAZQBzAHQAXAAiACwAXABuACAAIAAgACAAIAAgACAAIAAgACAAIAAgACAAIAAgACAAIAAgACAAIAAgACAAIAAgACAAIAAgACAAIAAgACAAIAAgACAAIAAgACAAIAAgACAAIAAgACAAIAAgACAAIAAgADQALAAgACAATABvAGEAbgBOAGEAbQBlACAAJgAgAFwAIgAgAEQAZQBiAHQAIABTAGUAcgB2AGkAYwBlAHMAXAAiACwAXABuACAAIAAgACAAIAAgACAAIAAgACAAIAAgACAAIAAgACAAIAAgACAAIAAgACAAIAAgACAAIAAgACAAIAAgACAAIAAgACAAIAAgACAAIAAgACAAIAAgACAAIAAgACAAIAAgADUALAAgACAATABvAGEAbgBOAGEAbQBlACAAJgAgAFwAIgAgAEMAbABvAHMAaQBuAGcAIABCAGEAbABhAG4AYwBlAFwAIgAsAFwAbgAgACAAIAAgACAAIAAgACAAIAAgACAAIAAgACAAIAAgACAAIAAgACAAIAAgACAAIAAgACAAIAAgACAAIAAgACAAIAAgACAAIAAgACAAIAAgACAAIAAgACAAIAAgACAAIAA2ACwAIAAgAEwAbwBhAG4ATgBhAG0AZQAgACYAIABcACIAIABEAGUAYgB0ACAAUgBlAHAAYQB5AG0AZQBuAHQAXAAiACwAXABuACAAIAAgACAAIAAgACAAIAAgACAAIAAgACAAIAAgACAAIAAgACAAIAAgACAAIAAgACAAIAAgACAAIAAgACAAIAAgACAAIAAgACAAIAAgACAAIAAgACAAIAAgACAAIAAgAFwAIgBcACIAKQAsAFwAbgAgACAAIAAgACAAIAAgACAAIAAgACAAIAAgACAAIAAgACAAIAAgACAAIAAgACAAIAAgACAAIAAgACAAIAAgACAAIAAgACAAIAAgACAAIAAgADIALAAgACAAUwBXAEkAVABDAEgAKAAgAEwAaQBuAGUALAAgADEALAAgAEwAbwBhAG4AQQBtAG8AdQBuAHQALAAgADMALAAgAFQARQBYAFQAKAAgAEwAbwBhAG4AQQBQAFIALAAgAFwAIgAwAC4AMAAwACUAXAAiACkALAAgADQALAAgAEwAbwBhAG4AVABlAHIAbQAsACAAXAAiAFwAIgApACwAXABuACAAIAAgACAAIAAgACAAIAAgACAAIAAgACAAIAAgACAAIAAgACAAIAAgACAAIAAgACAAIAAgACAAIAAgACAAIAAgACAAIAAgACAAIAAgACAAMwAsACAAIABTAFcASQBUAEMASAAoACAATABpAG4AZQAsACAAMwAsACAAXAAiAEEAUABSAFwAIgAsACAANAAsACAAXAAiAE0AbwBuAHQAaABzAFwAIgAsACAAXAAiAFwAIgApAFwAbgAgACAAIAAgACAAIAAgACAAIAAgACAAIAAgACAAIAAgACAAIAAgACAAIAAgACAAIAAgACAAIAAgACAAIAAgACAAIAAgACAAIA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LwAqACAAIABGAFUATgBDAFQASQBPAE4AIABOAEEATQBFADoAIAAgAFMAdQBtAEEAbQBvAHIAdABpAHMAZQC7A1wAbgAgACAAIAAgAEQARQBTAEMAUgBJAFAAVABJAE8ATgA6ACoALwAvACoAKgBDAHIAZQBhAHQAZQAgAHIAbwB3ACAAdABvAHQAYQBsAHMAIABmAG8AcgAgAEEAbQBvAHIAdABpAHMAZQC7AyoALwBcAG4AUwB1AG0AQQBtAG8AcgB0AGkAcwBlALsDIAA9ACAATABBAE0AQgBEAEEAKABcAG4ALwAvACAAIABQAGEAcgBhAG0AZQB0AGUAcgAgAEQAZQBjAGwAYQByAGEAdABpAG8AbgBzAFwAbgAgACAAIAAgAFsAQQBtAG8AcgB0AGkAcw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QQBtAG8AcgB0AGkAcwBlALsDKABBAG0AbwByAHQAaQBzAGEAdABpAG8AbgBTAGMAaABlAGQAdQBsAGUAKQC2AFwAIgAgACYAXABuACAAIAAgACAAIAAgACAAIAAgACAAIAAgACAAIAAgACAAIAAgACAAIAAgACAAIAAgACAAIAAgACAAXAAiAEQARQBTAEMAUgBJAFAAVABJAE8ATgA6ACAAIAAgAJIhQwByAGUAYQB0AGUAIAByAG8AdwAgAHQAbwB0AGEAbABzACAAZgBvAHIAIABBAG0AbwByAHQAaQBzAGUAuwO2AFwAIgAgACYAIA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tAG8AcgB0AGkAcwBhAHQAaQBvAG4AUwBjAGgAZQBkAHUAbABlAJIhKABSAGUAcQB1AGkAcgBlAGQAKQAgAEEAbgAgAGEAcgByAGEAeQAgAHAAcgBvAGQAdQBjAGUAZAAgAGIAeQAgAEEAbQBvAHIAdABpAHMAZQC7A7YAXAAiACAAJgAgACAAIAAgACAAIAAgACAAIAAgACAAIAAgACAAIAAgACAAIABcAG4AIAAgACAAIAAgACAAIAAgACAAIAAgACAAIAAgACAAIAAgACAAIAAgACAAIAAgACAAIAAgACAAIABcACIARQBYAEEATQBQAEwARQBTADoAkiG2AFwAIgAgACYAIA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1AG0AQQBtAG8AcgB0AGkAcwBlALsDKABBAG0AbwByAHQAaQBzAGEAdABpAG8AbgBTAGMAaABlAGQAdQBsAGU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G0AbwByAHQAaQBzAGEAdABpAG8AbgBTAGMAaABlAGQAdQBsAGUAKQAsAFwAbgAgACAAIAAgAC8ALwAgACAAUAByAG8AYwBlAGQAdQByAGUAXABuACAAIAAgACAAIAAgACAAIABSAGUAcwB1AGwAdAAsACAAIAAgACAAIAAgACAAIAAgAE0AQQBLAEUAQQBSAFIAQQBZACgAUgBPAFcAUwAoAEEAbQBvAHIAdABpAHMAYQB0AGkAbwBuAFMAYwBoAGUAZAB1AGwAZQApACwAIAAxACwAIABcAG4AIAAgACAAIAAgACAAIAAgACAAIAAgACAAIAAgACAAIAAgACAAIAAgACAAIAAgACAAIAAgACAAIABMAEEATQBCAEQAQQAoACAAUgAsACAAQwAsAFwAbgAgACAAIAAgACAAIAAgACAAIAAgACAAIAAgACAAIAAgACAAIAAgACAAIAAgACAAIAAgACAAIAAgACAAIAAgACAAUwBXAEkAVABDAEgAKAAgAE0ATwBEACgAIABSACwAIAA3ACkALABcAG4AIAAgACAAIAAgACAAIAAgACAAIAAgACAAIAAgACAAIAAgACAAIAAgACAAIAAgACAAIAAgACAAIAAgACAAIAAgACAAIAAgACAAMwAsACAAUwBVAE0AKABDAEgATwBPAFMARQBSAE8AVwBTACgAIABBAG0AbwByAHQAaQBzAGEAdABpAG8AbgBTAGMAaABlAGQAdQBsAGUALAAgAFIAKQApACwAXABuACAAIAAgACAAIAAgACAAIAAgACAAIAAgACAAIAAgACAAIAAgACAAIAAgACAAIAAgACAAIAAgACAAIAAgACAAIAAgACAAIAAgADQALAAgAFMAVQBNACgAQwBIAE8ATwBTAEUAUgBPAFcAUwAoACAAQQBtAG8AcgB0AGkAcwBhAHQAaQBvAG4AUwBjAGgAZQBkAHUAbABlACwAIABSACkAKQAsAFwAbgAgACAAIAAgACAAIAAgACAAIAAgACAAIAAgACAAIAAgACAAIAAgACAAIAAgACAAIAAgACAAIAAgACAAIAAgACAAIAAgACAAIAA2ACwAIABTAFUATQAoAEMASABPAE8AUwBFAFIATwBXAFMAKAAgAEEAbQBvAHIAdABpAHMAYQB0AGkAbwBuAFMAYwBoAGUAZAB1AGwAZQAsACAAUgApACkALABcAG4AIAAgACAAIAAgACAAIAAgACAAIAAgACAAIAAgACAAIAAgACAAIAAgACAAIAAgACAAIAAgACAAIAAgACAAIAAgACAAIAAgACAAM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ACAAKwAgADEALAAgAFIAZQBzAHUAbAB0ACwAIABIAGUAbABwACkAXABuACAAIAAgACAAKQAgAFwAbgApADsAXABuAFwAbgBcAG4AXABuAFwAbgBcAG4ALwAvACAAIABEAGUAcAByAGUAYwBpAGEAdABpAG8AbgAgAFMAdQBpAHQAZQBcAG4AXABuAC8AKgAgACAARgBVAE4AQwBUAEkATwBOACAATgBBAE0ARQA6ACAAIABEAGUAcAByAGUAYwBpAGEAdABlALsDXABuACAAIAAgACAARABFAFMAQwBSAEkAUABUAEkATwBOADoAKgAvAC8AKgAqAEMAcgBlAGEAdABlACAAYQAgAGIAbABvAGMAawAgAG8AZgAgAEMAQQBQAEUAWAAsACAATwBwAGUAbgBpAG4AZwAgAEIAYQBsAGEAbgBjAGUALAAgAEQAZQBwAHIAZQBjAGkAYQB0AGkAbwBuACAAVgBhAGwAdQBlAHMALAAgAGEAbgBkACAAQgBvAG8AawAgAFYAYQBsAHUAZQAgAGYAbwByACAAZQBhAGMAaAAgAGEAcwBzAGUAdAAqAC8AXABuAEQAZQBwAHIAZQBjAGkAYQB0AGUAuwMgAD0AIABMAEEATQBCAEQAQQAoAFwAbgAvAC8AIAAgAFAAYQByAGEAbQBlAHQAZQByACAARABlAGMAbABhAHIAYQB0AGkAbwBuAHMAXABuACAAIAAgACAAWwBJAG4AaQB0AGkAYQBsAFYAYQBsAHUAZQBzAF0ALABcAG4AIAAgACAAIABbAEkAbgBTAGUAcgB2AGkAYwBlAEQAYQB0AGUAcwBdACwAIABcAG4AIAAgACAAIABbAEwAaQBmAGUASQBuAFkAZQBhAHIAcwBdACwAIABcAG4AIAAgACAAIABbAFQAaQBtAGUAbABpAG4AZQBdACwAXABuACAAIAAgACAAWwBTAGEAbAB2AGEAZwBlAFYAYQBsAHUAZQBzAF0ALABcAG4AIAAgACAAIABbAEQAaQBzAHAAbwBzAGEAbABEAGEAdABlAHMAXQAsAFwAbgAgACAAIAAgAFsARABpAHMAcABvAHMAYQBsAEMAbwBzAHQAcwBdACwAXABuACAAIAAgACAAWwBNAGUAdABoAG8AZABzAF0ALABcAG4AIAAgACAAIABbAEYAYQBjAHQAbwByAHMAXQAsAFwAbgAgACAAIAAgAEwARQBUACgAXABuAC8ALwAgACAASABlAGwAcABcAG4AIAAgACAAIAAgACAAIAAgAEgAZQBsAHAALAAgACAAIAAgACAAIAAgACAAIAAgACAAVABSAEkATQAoAFQARQBYAFQAUwBQAEwASQBUACgAIABcAG4AIAAgACAAIAAgACAAIAAgACAAIAAgACAAIAAgACAAIAAgACAAIAAgACAAIAAgACAAIAAgACAAIABcACIARgBVAE4AQwBUAEkATwBOADoAIAAgACAAIAAgACAAkiFEAGUAcAByAGUAYwBpAGEAdABlALsDKABJAG4AaQB0AGkAYQBsAFYAYQBsAHUAZQBzACwAIABJAG4AUwBlAHIAdgBpAGMAZQBEAGEAdABlAHMALAAgAEwAaQBmAGUASQBuAFkAZQBhAHIAcwAsACAAVABpAG0AZQBsAGkAbgBlACwAIAC2AFwAIgAgACYAXABuACAAIAAgACAAIAAgACAAIAAgACAAIAAgACAAIAAgACAAIAAgACAAIAAgACAAIAAgACAAIAAgACAAXAAiACAAIAAgACAAIAAgACAAIAAgACAAIAAgACAAIAAgAJIhWwBTAGEAbAB2AGEAZwBlAFYAYQBsAHUAZQBzAF0ALAAgAFsARABpAHMAcABvAHMAYQBsAEQAYQB0AGUAcwBdACwAIABbAEQAaQBzAHAAbwBzAGEAbABDAG8AcwB0AHMAXQAsACAAWwBNAGUAdABoAG8AZABzAF0ALAAgAFsARgBhAGMAdABvAHIAcwBdACkAtgBcACIAIAAmAFwAbgAgACAAIAAgACAAIAAgACAAIAAgACAAIAAgACAAIAAgACAAIAAgACAAIAAgACAAIAAgACAAIAAgAFwAIgBEAEUAUwBDAFIASQBQAFQASQBPAE4AOgAgACAAIACSIUMAcgBlAGEAdABlAHMAIABhAG4AIABhAHIAcgBhAHkAIABvAGYAIABDAEEAUABFAFgALAAgAGQAZQBwAHIAZQBjAGkAYQB0AGkAbwBuACwAIABhAG4AZAAgAGIAbwBvAGsAIAB2AGEAbAB1AGUAcwAgAGYAbwByACAAYQAgAG0AbwBkAGUAbAAnAHMAIAB0AGkAbQBlAGwAaQBuAGUAtgBcACIAIAAmACAAXABuACAAIAAgACAAIAAgACAAIAAgACAAIAAgACAAIAAgACAAIAAgACAAIAAgACAAIAAgACAAIAAgACAAXAAiAFcARQBCAFAAQQBHAEUAOgAgACAAIAAgACAAIAAgAJIhaAB0AHQAcABzADoALwAvAGcAaQB0AGgAdQBiAC4AYwBvAG0ALwByAHkAYQBuAGQAdQBnAHUAaQBkAC8ATwB6AHoAaQB0ACAAtgBcACIAIAAmACAAXABuACAAIAAgACAAIAAgACAAIAAgACAAIAAgACAAIAAgACAAIAAgACAAIAAgACAAIAAgACAAIAAgACAAXAAiAFYARQBSAFMASQBPAE4AOgAgACAAIAAgACAAIAAgAJIhMgAwACAAQQB1AGcAIAAyADAAMgA2ALYAXAAiACAAJgBcAG4AIAAgACAAIAAgACAAIAAgACAAIAAgACAAIAAgACAAIAAgACAAIAAgACAAIAAgACAAIAAgACAAIABcACIATgBPAFQARQBTADoAIAAgACAAIAAgACAAIAAgACAAkiFUAGgAZQAgAG0AZQB0AGgAbwBkAHMAIAB1AHMAZQBkACAAaABlAHIAZQAgAGQAaQBmAGYAZQByACAAZgByAG8AbQAgAEUAeABjAGUAbAAnAHMAIABmAHUAbgBjAHQAaQBvAG4AcwAgAGkAbgAgAHMAZQB2AGUAcgBhAGwAIAB3AGEAeQBzAC4AIABQAGwAZQBhAHMAZQAgAHMAZQBlACAAdwBlAGIAcABhAGcAZQAgAGYAbwByACAAZABlAHQAYQBpAGwAcwAuALYAXAAiACAAJgBcAG4AIAAgACAAIAAgACAAIAAgACAAIAAgACAAIAAgACAAIAAgACAAIAAgACAAIAAgACAAIAAgACAAIABcACIAUABBAFIAQQBNAEUAVABFAFIAUwA6ACAAIAAgACAAkiG2AFwAIgAgACYAIABcAG4AIAAgACAAIAAgACAAIAAgACAAIAAgACAAIAAgACAAIAAgACAAIAAgACAAIAAgACAAIAAgACAAIABcACIASQBuAGkAdABpAGEAbABWAGEAbAB1AGUAcwAgACAAkiEoAFIAZQBxAHUAaQByAGUAZAApACAAVABoAGUAIABwAHUAcgBjAGgAYQBzAGUAIAB2AGEAbAB1AGUAcwAgAG8AZgAgAGUAYQBjAGgAIABhAHMAcwBlAHQAIAB0AG8AIABkAGUAcAByAGUAYwBpAGEAdABlALYAXAAiACAAJgAgAFwAbgAgACAAIAAgACAAIAAgACAAIAAgACAAIAAgACAAIAAgACAAIAAgACAAIAAgACAAIAAgACAAIAAgAFwAIgBJAG4AUwBlAHIAdgBpAGMAZQBEAGEAdABlAHMAIACSISgAUgBlAHEAdQBpAHIAZQBkACkAIABUAGgAZQAgAGQAYQB0AGUAcwAgAGYAcgBvAG0AIAB3AGgAaQBjAGgAIAB0AG8AIABzAHQAYQByAHQAIABkAGUAcAByAGUAYwBpAGEAdABpAG4AZwAgAGUAYQBjAGgAIABhAHMAcwBlAHQAtgBcACIAIAAmACAAXABuACAAIAAgACAAIAAgACAAIAAgACAAIAAgACAAIAAgACAAIAAgACAAIAAgACAAIAAgACAAIAAgACAAXAAiAEwAaQBmAGUASQBuAFkAZQBhAHIAcwAgACAAIAAgAJIhKABSAGUAcQB1AGkAcgBlAGQAKQAgAFQAaABlACAAdwBoAG8AbABlACAAbgB1AG0AYgBlAHIAIABvAGYAIAB5AGUAYQByAHMAIABvAHYAZQByACAAdwBoAGkAYwBoACAAdABvACAAZABlAHAAcgBlAGMAaQBhAHQAZQAgAGUAYQBjAGgAIABhAHMAcwBlAHQALgC2AFwAIgAgACYAIABcAG4AIAAgACAAIAAgACAAIAAgACAAIAAgACAAIAAgACAAIAAgACAAIAAgACAAIAAgACAAIAAgACAAIABcACIAIAAgACAAIAAgACAAIAAgACAAIAAgACAAIAAgACAAkiFNAG8AcgBlACAAdABoAGEAbgAgADAAIABhAG4AZAAgAG4AbwAgAG0AbwByAGUAIAB0AGgAYQBuACAAMQAwADAALgAgAEEAIABkAGEAdABlACAAaABlAHIAZQAgAGkAcwAgAG4AbwB0ACAAYQAgAGwAaQBmAGUAOgC2AFwAIgAgACYAIABcAG4AIAAgACAAIAAgACAAIAAgACAAIAAgACAAIAAgACAAIAAgACAAIAAgACAAIAAgACAAIAAgACAAIABcACIAIAAgACAAIAAgACAAIAAgACAAIAAgACAAIAAgACAAkiF0AGgAZQAgAGEAcgBnAHUAbQBlAG4AdABzACAAcgBlAGEAZAAgAEkAbgBpAHQAaQBhAGwAVgBhAGwAdQBlAHMALAAgAEkAbgBTAGUAcgB2AGkAYwBlAEQAYQB0AGUAcwAsACAATABpAGYAZQBJAG4AWQBlAGEAcgBzACwAIABUAGkAbQBlAGwAaQBuAGUALgC2AFwAIgAgACYAIABcAG4AIAAgACAAIAAgACAAIAAgACAAIAAgACAAIAAgACAAIAAgACAAIAAgACAAIAAgACAAIAAgACAAIABcACIAVABpAG0AZQBsAGkAbgBlACAAIAAgACAAIAAgACAAkiEoAFIAZQBxAHUAaQByAGUAZAApACAAVABoAGUAIABtAG8AZABlAGwAJwBzACAAdABpAG0AZQBsAGkAbgBlACAAbwByACAAYQAgAHIAbwB3ACAAbwBmACAAcABlAHIAaQBvAGQAIABzAHQAYQByAHQAIABkAGEAdABlAHMALgAgALYAXAAiACAAJgAgAFwAbgAgACAAIAAgACAAIAAgACAAIAAgACAAIAAgACAAIAAgACAAIAAgACAAIAAgACAAIAAgACAAIAAgAFwAIgAgACAAIAAgACAAIAAgACAAIAAgACAAIAAgACAAIACSIVQAaQBtAGUAbABpAG4AZQAgAGMAYQBuACAAYgBlACAAYQBuAHkAIABpAG4AdABlAHIAdgBhAGwAOgAgAGQAYQB5AHMALAAgAHcAZQBlAGsAcwAsACAAbQBvAG4AdABoAHMALAAgAHEAdQBhAHIAdABlAHIAcwAgAG8AcgAgAHkAZQBhAHIAcwC2AFwAIgAgACYAIABcAG4AIAAgACAAIAAgACAAIAAgACAAIAAgACAAIAAgACAAIAAgACAAIAAgACAAIAAgACAAIAAgACAAIABcACIAUwBhAGwAdgBhAGcAZQBWAGEAbAB1AGUAcwAgACAAkiEoAE8AcAB0AGkAbwBuAGEAbAA6ACAARABlAGYAYQB1AGwAdAAgAD0AIAAwACkAIABUAGgAZQAgAGIAbwBvAGsAIAB2AGEAbAB1AGUAcwAgAG8AZgAgAGUAYQBjAGgAIABhAHMAcwBlAHQAIABhAGYAdABlAHIAIABmAHUAbABsAHkAIABkAGUAcAByAGUAYwBpAGEAdABlAGQALgC2AFwAIgAgACYAIABcAG4AIAAgACAAIAAgACAAIAAgACAAIAAgACAAIAAgACAAIAAgACAAIAAgACAAIAAgACAAIAAgACAAIABcACIARABpAHMAcABvAHMAYQBsAEQAYQB0AGUAcwAgACAAkiEoAE8AcAB0AGkAbwBuAGEAbAA6ACAARABlAGYAYQB1AGwAdAAgAD0AIABFAG4AZAAgAG8AZgAgAGwAaQBmAGUAKQAgAFQAaABlACAAZABhAHQAZQBzACAAbwBuACAAdwBoAGkAYwBoACAAdABoAGUAIABhAHMAcwBlAHQAcwAgAGEAcgBlACAAcgBlAG0AbwB2AGUAZAAgAGYAcgBvAG0AIAB0AGgAZQAgAGIAbwBvAGsAcwAuALYAXAAiACAAJgAgAFwAbgAgACAAIAAgACAAIAAgACAAIAAgACAAIAAgACAAIAAgACAAIAAgACAAIAAgACAAIAAgACAAIAAgACAAIAAgACAAIAAgACAAIAAgACAAIAAgACAAIAAgAFwAIgCSIUEAIABkAGkAcwBwAG8AcwBhAGwAIABiAGUAZgBvAHIAZQAgAHQAaABlACAAZQBuAGQAIABvAGYAIABsAGkAZgBlACAAdwByAGkAdABlAHMAIAB0AGgAZQAgAHIAZQBtAGEAaQBuAGkAbgBnACAAYgBvAG8AawAgAHYAYQBsAHUAZQAgAG8AZgBmACAAaQBuACAAdABoAGEAdAAgAG0AbwBuAHQAaAAuALYAXAAiACAAJgAgAFwAbgAgACAAIAAgACAAIAAgACAAIAAgACAAIAAgACAAIAAgACAAIAAgACAAIAAgACAAIAAgACAAIAAgAFwAIgBEAGkAcwBwAG8AcwBhAGwAQwBvAHMAdABzACAAIACSISgATwBwAHQAaQBvAG4AYQBsADoAIABEAGUAZgBhAHUAbAB0ACAAPQAgADAAKQAgAFQAaABlACAAYwBvAHMAdABzACAAbwBmACAAcgBlAG0AbwB2AGkAbgBnACAAZQBhAGMAaAAgAGEAcwBzAGUAdAAgAGYAcgBvAG0AIAB0AGgAZQAgAGIAbwBvAGsAcwAsACAAYwBoAGEAcgBnAGUAZAAgAGkAbgAgAHQAaABlACAAZABpAHMAcABvAHMAYQBsACAAcABlAHIAaQBvAGQALgC2AFwAIgAgACYAIABcAG4AIAAgACAAIAAgACAAIAAgACAAIAAgACAAIAAgACAAIAAgACAAIAAgACAAIAAgACAAIAAgACAAIABcACIATQBlAHQAaABvAGQAcwAgACAAIAAgACAAIAAgACAAkiEoAE8AcAB0AGkAbwBuAGEAbAA6ACAARABlAGYAYQB1AGwAdAAgAD0AIABTAEwATgApACAAVABoAGUAIABkAGUAcwBpAHIAZQBkACAAZABlAHAAcgBlAGMAaQBhAHQAaQBvAG4AIABtAGUAdABoAG8AZAAuACAATQB1AHMAdAAgAGIAZQAgAG8AbgBlACAAbwBmACAAdABoAGUAcwBlACAAbQBlAHQAaABvAGQAIABjAG8AZABlAHMAOgAgALYAXAAiACAAJgAgAFwAbgAgACAAIAAgACAAIAAgACAAIAAgACAAIAAgACAAIAAgACAAIAAgACAAIAAgACAAIAAgACAAIAAgACAAIAAgACAAIAAgACAAIAAgACAAIAAgACAAIAAgAFwAIgCSIVMATABOAD0AUwB0AHIAYQBpAGcAaAB0ACAATABpAG4AZQAgAEQAZQBwAHIAZQBjAGkAYQB0AGkAbwBuALYAXAAiACAAJgAgAFwAbgAgACAAIAAgACAAIAAgACAAIAAgACAAIAAgACAAIAAgACAAIAAgACAAIAAgACAAIAAgACAAIAAgACAAIAAgACAAIAAgACAAIAAgACAAIAAgACAAIAAgAFwAIgCSIVMAWQBEAD0AUwB1AG0AIABvAGYAIABZAGUAYQByACcAcwAgAEQAaQBnAGkAdABzALYAXAAiACAAJgAgAFwAbgAgACAAIAAgACAAIAAgACAAIAAgACAAIAAgACAAIAAgACAAIAAgACAAIAAgACAAIAAgACAAIAAgACAAIAAgACAAIAAgACAAIAAgACAAIAAgACAAIAAgAFwAIgCSIUQAQgAgAD0ARABlAGMAbABpAG4AaQBuAGcAIABCAGEAbABhAG4AYwBlALYAXAAiACAAJgAgAFwAbgAgACAAIAAgACAAIAAgACAAIAAgACAAIAAgACAAIAAgACAAIAAgACAAIAAgACAAIAAgACAAIAAgACAAIAAgACAAIAAgACAAIAAgACAAIAAgACAAIAAgAFwAIgCSIUQARABCAD0ARABvAHUAYgBsAGUAIABEAGUAYwBsAGkAbgBpAG4AZwAgAEIAYQBsAGEAbgBjAGUAtgBcACIAIAAmACAAXABuACAAIAAgACAAIAAgACAAIAAgACAAIAAgACAAIAAgACAAIAAgACAAIAAgACAAIAAgACAAIAAgACAAIAAgACAAIAAgACAAIAAgACAAIAAgACAAIAAgACAAXAAiAJIhVgBEAEIAPQBWAGEAcgBpAGEAYgBsAGUAIABEAGUAYwBsAGkAbgBpAG4AZwAgAEIAYQBsAGEAbgBjAGUAtgBcACIAIAAmACAAXABuACAAIAAgACAAIAAgACAAIAAgACAAIAAgACAAIAAgACAAIAAgACAAIAAgACAAIAAgACAAIAAgACAAIAAgACAAIAAgACAAIAAgACAAIAAgACAAIAAgACAAXAAiAJIhRABWACAAPQBEAGkAbQBpAG4AaQBzAGgAaQBuAGcAIABiAGEAbABhAG4AYwBlACAAYQB0ACAAMgAwADAAJQAgAG8AZgAgAHMAdAByAGEAaQBnAGgAdAAgAGwAaQBuAGUALgAgAFMAYQBsAHYAYQBnAGUAIAB2AGEAbAB1AGUAIABpAGcAbgBvAHIAZQBkALYAXAAiACAAJgAgAFwAbgAgACAAIAAgACAAIAAgACAAIAAgACAAIAAgACAAIAAgACAAIAAgACAAIAAgACAAIAAgACAAIAAgACAAIAAgACAAIAAgACAAIAAgACAAIAAgACAAIAAgAFwAIgCSIVAAQwAgAD0AUwB0AHIAYQBpAGcAaAB0ACAAbABpAG4AZQAsACAAdwBoAG8AbABlACAAeQBlAGEAcgBzAC4AIABTAGEAbAB2AGEAZwBlACAAdgBhAGwAdQBlACAAaQBnAG4AbwByAGUAZAC2AFwAIgAgACYAIABcAG4AIAAgACAAIAAgACAAIAAgACAAIAAgACAAIAAgACAAIAAgACAAIAAgACAAIAAgACAAIAAgACAAIABcACIARgBhAGMAdABvAHIAcwAgACAAIAAgACAAIAAgACAAkiEoAE8AcAB0AGkAbwBuAGEAbAA6ACAARABlAGYAYQB1AGwAdAAgAD0AIAAyACkAIABPAG4AbAB5ACAAYQBwAHAAbABpAGMAYQBiAGwAZQAgAHQAbwAgAEQARABCACAAYQBuAGQAIABWAEQAQgAgAG0AZQB0AGgAbwBkAHMALg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SQBuAGkAdABpAGEAbABWAGEAbAB1AGUAcwApACwAXABuACAAIAAgACAAIAAgACAAIAAgACAAIAAgACAAIAAgACAAIAAgACAAIAAgACAAIAAgACAAIAAgACAASQBTAE8ATQBJAFQAVABFAEQAKAAgAEwAaQBmAGUASQBuAFkAZQBhAHIAcwApACwAXABuACAAIAAgACAAIAAgACAAIAAgACAAIAAgACAAIAAgACAAIAAgACAAIAAgACAAIAAgACAAIAAgACAASQBTAE8ATQBJAFQAVABFAEQAKAAgAEkAbgBTAGUAcgB2AGkAYwBlAEQAYQB0AGUAcwApACwAXABuACAAIAAgACAAIAAgACAAIAAgACAAIAAgACAAIAAgACAAIAAgACAAIAAgACAAIAAgACAAIAAgACAASQBTAE8ATQBJAFQAVABFAEQAKAAgAFQAaQBtAGUAbABpAG4AZQApAFwAbgAgACAAIAAgACAAIAAgACAAIAAgACAAIAAgACAAIAAgACAAIAAgACAAIAAgACAAIAApACwAXABuACAAIAAgACAALwAvACAAIABTAGUAdAAgAEMAbwBuAHMAdABhAG4AdABzAFwAbgAgACAAIAAgACAAIAAgACAATQBlAHQAaABvAGQAQQByAHIAYQB5ACwAIAAgACAAIAB7AFwAIgBTAEwATgBcACIALABcACIAUwBZAEQAXAAiACwAXAAiAEQAQgBcACIALABcACIARABEAEIAXAAiACwAXAAiAFYARABCAFwAIgAsAFwAIgBEAFYAXAAiACwAXAAiAFAAQwBcACIAfQAsAFwAbgAgACAAIAAgACAAIAAgACAATQBwAHkALAAgACAAIAAgACAAIAAgACAAIAAgACAAIAAxADIALAAgAC8ALwBNAG8AbgB0AGgAcwAgAFAAZQByACAAWQBlAGEAcgBcAG4AIAAgACAAIAAvAC8AIAAgAEMAaABlAGMAawAgAGkAbgBwAHUAdABzACAALQAgAGEAIABsAGkAZgBlACAAaQBuACAAeQBlAGEAcgBzACAAbQB1AHMAdAAgAGIAZQAgAGEAIABsAGkAZgBlACwAIABuAG8AdAAgAGEAIABkAGEAdABlAFwAbgAgACAAIAAgACAAIAAgACAATABpAGYAZQBHAGkAdgBlAG4ALAAgACAAIAAgACAAIABJAEYAKAAgAEkAUwBPAE0ASQBUAFQARQBEACgAIABMAGkAZgBlAEkAbgBZAGUAYQByAHMAKQAsACAAMQAsACAATABpAGYAZQBJAG4AWQBlAGEAcgBzACkALABcAG4AIAAgACAAIAAgACAAIAAgAEwAaQBmAGUATgB1AG0AcwAsACAAIAAgACAAIAAgACAASQBGAEUAUgBSAE8AUgAoACAAVgBBAEwAVQBFACgAIABMAGkAZgBlAEcAaQB2AGUAbgApACwAIAAtADEAKQAsAFwAbgAgACAAIAAgACAAIAAgACAAQgBhAGQATABpAGYAZQA/ACwAIAAgACAAIAAgACAAIABPAFIAKAAgAE0ASQBOACgAIABMAGkAZgBlAE4AdQBtAHMAKQAgADwAPQAgADAALAAgAE0AQQBYACgAIABMAGkAZgBlAE4AdQBtAHMAKQAgAD4AIAAxADAAMAAsAFwAbgAgACAAIAAgACAAIAAgACAAIAAgACAAIAAgACAAIAAgACAAIAAgACAAIAAgACAAIAAgACAAIAAgAFMAVQBNAFAAUgBPAEQAVQBDAFQAKAAgAC0ALQAoACAATQBPAEQAKAAgAEwAaQBmAGUATgB1AG0AcwAsACAAMQApACAAPAA+ACAAMAApACkAIAA+ACAAMAApACwAXABuACAAIAAgACAAIAAgACAAIABMAGkAZgBlAE0AZQBzAHMAYQBnAGUALAAgACAAIAAgAFwAIgBMAGkAZgBlAEkAbgBZAGUAYQByAHMAIABtAHUAcwB0ACAAYgBlACAAYQAgAHcAaABvAGwAZQAgAG4AdQBtAGIAZQByACAAbwBmACAAeQBlAGEAcgBzACAAZwByAGUAYQB0AGUAcgAgAHQAaABhAG4AIAAwACAAYQBuAGQAIABuAG8AIABtAG8AcgBlACAAdABoAGEAbgAgADEAMAAwAC4AIABcACIAXABuACAAIAAgACAAIAAgACAAIAAgACAAIAAgACAAIAAgACAAIAAgACAAIAAgACAAIAAgACYAIABcACIAQwBoAGUAYwBrACAAdABoAGUAIABhAHIAZwB1AG0AZQBuAHQAIABvAHIAZABlAHIAOgAgAEkAbgBpAHQAaQBhAGwAVgBhAGwAdQBlAHMALAAgAEkAbgBTAGUAcgB2AGkAYwBlAEQAYQB0AGUAcwAsACAATABpAGYAZQBJAG4AWQBlAGEAcgBzACwAIABUAGkAbQBlAGwAaQBuAGUALgBcACIALABcAG4AIAAgACAAIAAvAC8AIAAgAFMAZQB0ACAAZABlAGYAYQB1AGwAdABzACAAYQBuAGQAIABhAHAAcABsAHkAIABjAG8AbgB2AGUAbgBpAGUAbgBjAGUAIABjAG8AbgB2AGUAcgBzAGkAbwBuAHMAXABuACAAIAAgACAAIAAgACAAIABTAGEAbAB2AGEAZwBlAFYAYQBsAHUAZQBzACwAIAAgAEkARgAoACAASQBTAE8ATQBJAFQAVABFAEQAKAAgAFMAYQBsAHYAYQBnAGUAVgBhAGwAdQBlAHMAKQAsACAAXABuACAAIAAgACAAIAAgACAAIAAgACAAIAAgACAAIAAgACAAIAAgACAAIAAgACAAIAAgACAAIAAgACAATQBBAFAAKAAgAEkAbgBpAHQAaQBhAGwAVgBhAGwAdQBlAHMALAAgAEwAQQBNAEIARABBACgAIABFAGwAZQAsACAAMAApACkALAAgAFwAbgAgACAAIAAgACAAIAAgACAAIAAgACAAIAAgACAAIAAgACAAIAAgACAAIAAgACAAIAAgACAAIAAgAE0AQQBQACgAIABTAGEAbAB2AGEAZwBlAFYAYQBsAHUAZQBzACwAIABMAEEATQBCAEQAQQAoAHYALAAgAEkARgBFAFIAUgBPAFIAKAAgAFYAQQBMAFUARQAoACAAdgApACwAIAAwACkAKQApACkALABcAG4AIAAgACAAIAAgACAAIAAgAEMAdgB0AFMAcgB2AEQAYQB0AGUAcwAsACAAIAAgACAASQBGACgAIABOAE8AVAAoACAASQBTAE8ATQBJAFQAVABFAEQAKAAgAEkAbgBTAGUAcgB2AGkAYwBlAEQAYQB0AGUAcwApACkALAAgAFwAbgAgACAAIAAgACAAIAAgACAAIAAgACAAIAAgACAAIAAgACAAIAAgACAAIAAgACAAIAAgACAAIAAgAEkARgAoACAASQBTAE4AVQBNAEIARQBSACgAIABJAG4AUwBlAHIAdgBpAGMAZQBEAGEAdABlAHMAKQAsACAAXABuACAAIAAgACAAIAAgACAAIAAgACAAIAAgACAAIAAgACAAIAAgACAAIAAgACAAIAAgACAAIAAgACAAIAAgACAAIABJAG4AUwBlAHIAdgBpAGMAZQBEAGEAdABlAHMALAAgAFwAbgAgACAAIAAgACAAIAAgACAAIAAgACAAIAAgACAAIAAgACAAIAAgACAAIAAgACAAIAAgACAAIAAgACAAIAAgACAARABBAFQARQBWAEEATABVAEUAKAAgAEkAbgBTAGUAcgB2AGkAYwBlAEQAYQB0AGUAcwApACkAKQAsAFwAbgAgACAAIAAgACAAIAAgACAARABpAHMAcABvAHMAYQBsAEQAYQB0AGUAcwAsACAAIABJAEYAKAAgAEkAUwBPAE0ASQBUAFQARQBEACgAIABEAGkAcwBwAG8AcwBhAGwARABhAHQAZQBzACkALAAgAFwAbgAgACAAIAAgACAAIAAgACAAIAAgACAAIAAgACAAIAAgACAAIAAgACAAIAAgACAAIAAgACAAIAAgAEUARABBAFQARQAoACAAKwBDAHYAdABTAHIAdgBEAGEAdABlAHMALAAgAEwAaQBmAGUAaQBuAFkAZQBhAHIAcwAgACoAIAAxADIAKQAsACAAXABuACAAIAAgACAAIAAgACAAIAAgACAAIAAgACAAIAAgACAAIAAgACAAIAAgACAAIAAgACAAIAAgACAATQBBAEsARQBBAFIAUgBBAFkAKAAgAFIATwBXAFMAKAAgAEQAaQBzAHAAbwBzAGEAbABEAGEAdABlAHMAKQAsACAAMQAsACAAXABuACAAIAAgACAAIAAgACAAIAAgACAAIAAgACAAIAAgACAAIAAgACAAIAAgACAAIAAgACAAIAAgACAAIAAgACAAIABMAEEATQBCAEQAQQAoAFIALAAgAEMALAAgAFwAbgAgACAAIAAgACAAIAAgACAAIAAgACAAIAAgACAAIAAgACAAIAAgACAAIAAgACAAIAAgACAAIAAgACAAIAAgACAAIAAgACAAIABJAEYAKAAgAEkATgBEAEUAWAAoACAARABpAHMAcABvAHMAYQBsAEQAYQB0AGUAcwAsACAAUgApACAAIAA9ACAAXAAiAFwAIgAsACAAXABuACAAIAAgACAAIAAgACAAIAAgACAAIAAgACAAIAAgACAAIAAgACAAIAAgACAAIAAgACAAIAAgACAAIAAgACAAIAAgACAAIAAgACAAIAAgACAARQBEAEEAVABFACgAIABJAE4ARABFAFgAKAAgAEMAdgB0AFMAcgB2AEQAYQB0AGUAcwAsACAAUgApACwAIABJAE4ARABFAFgAKABMAGkAZgBlAGkAbgBZAGUAYQByAHMALAAgAFIAKQAgACoAIAAxADIAKQAsACAAXABuACAAIAAgACAAIAAgACAAIAAgACAAIAAgACAAIAAgACAAIAAgACAAIAAgACAAIAAgACAAIAAgACAAIAAgACAAIAAgACAAIAAgACAAIAAgACAASQBOAEQARQBYACgAIABEAGkAcwBwAG8AcwBhAGwARABhAHQAZQBzACwAIABSACkAXABuACAAIAAgACAAIAAgACAAIAAgACAAIAAgACAAIAAgACAAIAAgACAAIAAgACAAIAAgACAAIAAgACAAIAAgACAAIAAgACAAIAAgACkAXABuACAAIAAgACAAIAAgACAAIAAgACAAIAAgACAAIAAgACAAIAAgACAAIAAgACAAIAAgACAAIAAgACAAIAAgACAAIAApAFwAbgAgACAAIAAgACAAIAAgACAAIAAgACAAIAAgACAAIAAgACAAIAAgACAAIAAgACAAIAAgACAAIAAgACkAXABuACAAIAAgACAAIAAgACAAIAAgACAAIAAgACAAIAAgACAAIAAgACAAIAAgACAAIAAgACkALABcAG4AIAAgACAAIAAgACAAIAAgAEQAaQBzAHAAbwBzAGEAbABDAG8AcwB0AHMALAAgACAASQBGACgAIABJAFMATwBNAEkAVABUAEUARAAoACAARABpAHMAcABvAHMAYQBsAEMAbwBzAHQAcwApACwAIABcAG4AIAAgACAAIAAgACAAIAAgACAAIAAgACAAIAAgACAAIAAgACAAIAAgACAAIAAgACAAIAAgACAAIABNAEEAUAAoACAASQBuAGkAdABpAGEAbABWAGEAbAB1AGUAcwAsACAATABBAE0AQgBEAEEAKAAgAEUAbABlACwAIAAwACkAKQAsACAAXABuACAAIAAgACAAIAAgACAAIAAgACAAIAAgACAAIAAgACAAIAAgACAAIAAgACAAIAAgACAAIAAgACAARABpAHMAcABvAHMAYQBsAEMAbwBzAHQAcwApACwAXABuACAAIAAgACAAIAAgACAAIABNAGUAdABoAG8AZABzACwAIAAgACAAIAAgACAAIAAgAEkARgAoACAASQBTAE8ATQBJAFQAVABFAEQAKAAgAE0AZQB0AGgAbwBkAHMAKQAsACAAXABuACAAIAAgACAAIAAgACAAIAAgACAAIAAgACAAIAAgACAAIAAgACAAIAAgACAAIAAgACAAIAAgACAATQBBAFAAKAAgAEkAbgBpAHQAaQBhAGwAVgBhAGwAdQBlAHMALAAgAEwAQQBNAEIARABBACgAIABFAGwAZQAsACAAXAAiAFMATABOAFwAIgApACkALAAgAFwAbgAgACAAIAAgACAAIAAgACAAIAAgACAAIAAgACAAIAAgACAAIAAgACAAIAAgACAAIAAgACAAIAAgAE0AQQBQACgAIABNAGUAdABoAG8AZABzACwAIABMAEEATQBCAEQAQQAoAHYALAAgAEkARgAoACAAVABSAEkATQAoACAAdgApACAAPQAgAFwAIgBcACIALAAgAFwAIgBTAEwATgBcACIALAAgAHYAKQApACkAKQAsAFwAbgAgACAAIAAgACAAIAAgACAARgBhAGMAdABvAHIAcwAsACAAIAAgACAAIAAgACAAIABJAEYAKAAgAEkAUwBPAE0ASQBUAFQARQBEACgAIABGAGEAYwB0AG8AcgBzACkALAAgAFwAbgAgACAAIAAgACAAIAAgACAAIAAgACAAIAAgACAAIAAgACAAIAAgACAAIAAgACAAIAAgACAAIAAgAE0AQQBQACgAIABJAG4AaQB0AGkAYQBsAFYAYQBsAHUAZQBzACwAIABMAEEATQBCAEQAQQAoACAARQBsAGUALAAgADIAKQApACwAIABcAG4AIAAgACAAIAAgACAAIAAgACAAIAAgACAAIAAgACAAIAAgACAAIAAgACAAIAAgACAAIAAgACAAIABNAEEAUAAoACAARgBhAGMAdABvAHIAcwAsACAATABBAE0AQgBEAEEAKAB2ACwAIABJAEYAKAAgAFQAUgBJAE0AKAAgAHYAKQAgAD0AIABcACIAXAAiACwAIAAyACwAIAB2ACkAKQApACkALABcAG4AIAAgACAAIAAvAC8AIAAgAEMAcgBlAGEAdABlACAAaQBuAGQAaQB2AGkAZAB1AGEAbAAgAFYAYQBsAHUAZQBzACAAZgByAG8AbQAgAHQAaQBtAGUAbABpAG4AZQAgAGEAcgByAGEAeQBcAG4AIAAgACAAIAAgACAAIAAgAFQAaQBtAGUAbABpAG4AZQBDAG8AbABzACwAIAAgACAAQwBPAEwAVQBNAE4AUwAoACAAVABJAG0AZQBsAGkAbgBlACkALABcAG4AIAAgACAAIAAgACAAIAAgAEYAaQByAHMAdABQAGUAcgBpAG8AZAAsACAAIAAgACAASQBOAEQARQBYACgAIABUAGkAbQBlAGwAaQBuAGUALAAgADEAKQAsAFwAbgAgACAAIAAgACAAIAAgACAAUwBlAGMAbwBuAGQAUABlAHIAaQBvAGQALAAgACAAIABJAE4ARABFAFgAKAAgAFQASQBtAGUAbABpAG4AZQAsACAAMgApACwAXABuACAAIAAgACAAIAAgACAAIABEAHAAUAAsACAAIAAgACAAIAAgACAAIAAgACAAIAAgAFMAZQBjAG8AbgBkAFAAZQByAGkAbwBkACAALQAgAEYAaQByAHMAdABQAGUAcgBpAG8AZAAsACAAIAAgACAAIAAgACAAIAAgACAAIAAgACAAIAAgACAAIAAgACAAIAAgACAALwAvAEQAYQB5AHMAIABQAGUAcgAgAFAAZQByAGkAbwBkAFwAbgAgACAAIAAgACAAIAAgACAAUwB1AGIATQBvAG4AdABoAGwAeQA/ACwAIAAgACAAIABEAHAAUAAgADwAIAAyADgALAAgACAAIAAgACAAIAAgACAAIAAgACAAIAAgACAAIAAgACAAIAAgACAAIAAgACAAIAAgACAAIAAgACAAIAAgACAAIAAgACAAIAAgACAAIAAgAC8ALwBOAG8AIABtAG8AbgB0AGgAIABpAHMAIABzAGgAbwByAHQAZQByAFwAbgAgACAAIAAgACAAIAAgACAATQBwAFAALAAgACAAIAAgACAAIAAgACAAIAAgACAAIABNAEEAWAAoACAAQABSAE8AVQBOAEQAKAAgAEQAcABQACAALwAgADMAMAAuADUALAAgADAAKQAsACAAMQApACwAIAAgACAAIAAgACAAIAAgACAAIAAgACAAIAAgACAAIAAgAC8ALwBNAG8AbgB0AGgAcwAgAFAAZQByACAAUABlAHIAaQBvAGQALAAgAG4AZQB2AGUAcgAgAG4AbwB1AGcAaAB0AFwAbgAgACAAIAAgAC8ALwAgACAAVABoAGUAIABsAGEAcwB0ACAAcABlAHIAaQBvAGQAIABoAGEAcwAgAG4AbwAgAHMAdQBjAGMAZQBzAHMAbwByACAAdABvACAAdABhAGsAZQAgAGkAdABzACAAZQBuAGQAIABkAGEAdABlACAAZgByAG8AbQAsACAAcwBvACAAaQB0ACAAZQBuAGQAcwAgAG8AbgBlACAAcABlAHIAaQBvAGQAXABuACAAIAAgACAALwAvACAAIABvAG4AIABmAHIAbwBtACAAaQB0AHMAIABvAHcAbgAgAHMAdABhAHIAdAA6ACAAYQAgAHcAaABvAGwAZQAgAG4AdQBtAGIAZQByACAAbwBmACAAbQBvAG4AdABoAHMAIAB3AGgAZQByAGUAIAB0AGgAZQAgAHQAaQBtAGUAbABpAG4AZQAgAGkAcwAgAG0AbwBuAHQAaABsAHkAIABvAHIAXABuACAAIAAgACAALwAvACAAIABsAG8AbgBnAGUAcgAsACAAdABoAGUAIABzAGEAbQBlACAAbgB1AG0AYgBlAHIAIABvAGYAIABkAGEAeQBzACAAYQBzACAAZQB2AGUAcgB5ACAAbwB0AGgAZQByACAAcABlAHIAaQBvAGQAIAB3AGgAZQByAGUAIABpAHQAIABpAHMAIABzAGgAbwByAHQAZQByAC4AXABuACAAIAAgACAALwAvACAAIABBACAAbQBvAG4AdABoAC0AZQBuAGQAIABzAHQAYQByAHQAIABzAHQAZQBwAHMAIABmAG8AcgB3AGEAcgBkACAAdABoAHIAbwB1AGcAaAAgAEUATwBNAE8ATgBUAEgALAAgAGIAZQBjAGEAdQBzAGUAIABFAEQAQQBUAEUAKAAyADgAIABGAGUAYgAsACAAMQApACAAaQBzAFwAbgAgACAAIAAgAC8ALwAgACAAMgA4ACAATQBhAHIALAAgAG4AbwB0ACAAMwAxACAATQBhAHIALAAgAGEAbgBkACAAdABoAGUAIAB0AGgAcgBlAGUAIABkAGEAeQBzACAAYgBlAHQAdwBlAGUAbgAgAGYAYQBsAGwAIABvAHUAdAAgAG8AZgAgAHQAaABlACAAcwBjAGgAZQBkAHUAbABlAC4AIABUAGgAaQBzACAAaQBzAFwAbgAgACAAIAAgAC8ALwAgACAAdABoAGUAIABzAHQAZQBwACAARABhAHkAQwBvAHUAbgB0AFIAYQB0AGUAuwMoACkAIABhAGwAcgBlAGEAZAB5ACAAdABhAGsAZQBzACAAZgBvAHIAIABpAHQAcwAgAG8AdwBuACAAbABhAHMAdAAgAHAAZQByAGkAbwBkAC4AXABuACAAIAAgACAAIAAgACAAIABMAGEAcwB0AEcAYQBwACwAIAAgACAAIAAgACAAIAAgAE0AQQBYACgAIABUAGkAbQBlAGwAaQBuAGUAKQAgAC0AIABJAE4ARABFAFgAKAAgAFQAaQBtAGUAbABpAG4AZQAsACAAVABpAG0AZQBsAGkAbgBlAEMAbwBsAHMAIAAtACAAMQApACwAXABuACAAIAAgACAAIAAgACAAIABMAGEAcwB0AEQAYQB0AGUALAAgACAAIAAgACAAIAAgAE0AQQBYACgAIABUAGkAbQBlAGwAaQBuAGUAKQAsAFwAbgAgACAAIAAgACAAIAAgACAATABhAHMAdABFAG4AZAAsACAAIAAgACAAIAAgACAAIABJAEYAKAAgAFMAdQBiAE0AbwBuAHQAaABsAHkAPwAsAFwAbgAgACAAIAAgACAAIAAgACAAIAAgACAAIAAgACAAIAAgACAAIAAgACAAIAAgACAAIAAgACAAIAAgAEwAYQBzAHQARABhAHQAZQAgACsAIABMAGEAcwB0AEcAYQBwACwAXABuACAAIAAgACAAIAAgACAAIAAgACAAIAAgACAAIAAgACAAIAAgACAAIAAgACAAIAAgACAAIAAgACAASQBGACgAIABEAEEAWQAoACAATABhAHMAdABEAGEAdABlACAAKwAgADEAKQAgAD0AIAAxACwAXABuACAAIAAgACAAIAAgACAAIAAgACAAIAAgACAAIAAgACAAIAAgACAAIAAgACAAIAAgACAAIAAgACAAIAAgACAAIABFAE8ATQBPAE4AVABIACgAIABMAGEAcwB0AEQAYQB0AGUALAAgAE0AcABQACkALABcAG4AIAAgACAAIAAgACAAIAAgACAAIAAgACAAIAAgACAAIAAgACAAIAAgACAAIAAgACAAIAAgACAAIAAgACAAIAAgAEUARABBAFQARQAoACAATABhAHMAdABEAGEAdABlACwAIABNAHAAUAApACkAKQAgAC0AIAAxACwAXABuACAAIAAgACAAIAAgACAAIABFAG4AZABEAGEAdABlAHMALAAgACAAIAAgACAAIAAgAEgAUwBUAEEAQwBLACgAIABNAEEAUAAoACAAIABTAEUAUQBVAEUATgBDAEUAKAAsACAAVABpAG0AZQBsAGkAbgBlAEMAbwBsAHMAIAAtACAAMQApACwAIABMAEEATQBCAEQAQQAoACAAbgAsACAASQBOAEQARQBYACgAIABUAGkAbQBlAGwAaQBuAGUALAAgAG4AIAArACAAMQApACAALQAgADEAKQApACwAIABMAGEAcwB0AEUAbgBkACkALABcAG4AIAAgACAAIAAvAC8AIAAgAFAAcgBvAGMAZQBzAHMAIABlAGEAYwBoACAAYQBzAHMAZQB0AFwAbgAgACAAIAAgACAAIAAgACAAUgBlAHMAdQBsAHQALAAgACAAIAAgACAAIAAgACAAIABSAEUARABVAEMARQAoACAAMAAsACAAUwBFAFEAVQBFAE4AQwBFACgAIABSAE8AVwBTACgAIABJAG4AaQB0AGkAYQBsAFYAYQBsAHUAZQBzACkAKQAsACAAXABuACAAIAAgACAAIAAgACAAIAAgACAAIAAgACAAIAAgACAAIAAgACAAIAAgACAAIAAgACAAIAAgACAATABBAE0AQgBEAEEAKABCAGwAbwBjAGsALAAgAEEAcwBzAGUAdAAsACAAXABuACAAIAAgACAAIAAgACAAIAAgACAAIAAgACAAIAAgACAAIAAgACAAIAAgACAAIAAgACAAIAAgACAAIAAgACAAIABMAEUAVAAoACAAXABuACAAIAAgACAAIAAgACAAIAAgACAAIAAgACAAIAAgACAAIAAgACAAIAAgACAAIAAgACAAIAAgACAAIAAgACAAIAAvAC8AIAAgAEMAcgBlAGEAdABlACAAaQBuAGQAaQB2AGkAZAB1AGEAbAAgAHYAYQBsAHUAZQBzACAAZgByAG8AbQAgAGEAcgBnAHUAbQBlAG4AdABzAFwAbgAgACAAIAAgACAAIAAgACAAIAAgACAAIAAgACAAIAAgACAAIAAgACAAIAAgACAAIAAgACAAIAAgACAAIAAgACAAIAAgACAAIABNAGUAdABoAG8AZAAsACAAIAAgACAAIAAgACAAIAAgAEAASQBOAEQARQBYACgAIABNAGUAdABoAG8AZABzACwAIABBAHMAcwBlAHQAKQAsAFwAbgAgACAAIAAgACAAIAAgACAAIAAgACAAIAAgACAAIAAgACAAIAAgACAAIAAgACAAIAAgACAAIAAgACAAIAAgACAAIAAgACAAIABZAGUAYQByAHMALAAgACAAIAAgACAAIAAgACAAIAAgAEkARgAoACAAQgBhAGQATABpAGYAZQA/ACwAIAAxACwAIABAAEkATgBEAEUAWAAoACAATABpAGYAZQBJAG4AWQBlAGEAcgBzACwAIABBAHMAcwBlAHQAKQApACwAXABuACAAIAAgACAAIAAgACAAIAAgACAAIAAgACAAIAAgACAAIAAgACAAIAAgACAAIAAgACAAIAAgACAAIAAgACAAIAAgACAAIAAgAEkAbgBpAHQAaQBhAGwAVgBhAGwAdQBlACwAIAAgACAAQABJAE4ARABFAFgAKAAgAEkAbgBpAHQAaQBhAGwAVgBhAGwAdQBlAHMALAAgAEEAcwBzAGUAdAApACwAIABcAG4AIAAgACAAIAAgACAAIAAgACAAIAAgACAAIAAgACAAIAAgACAAIAAgACAAIAAgACAAIAAgACAAIAAgACAAIAAgACAAIAAgACAAUwBhAGwAdgBhAGcAZQBWAGEAbAB1AGUALAAgACAAIABJAEYAKAAgAE8AUgAoACAATQBlAHQAaABvAGQAIAA9ACAAXAAiAEQAVgBcACIALAAgAE0AZQB0AGgAbwBkACAAPQAgAFwAIgBQAEMAXAAiACkALAAgADAALAAgAEAASQBOAEQARQBYACgAIABTAGEAbAB2AGEAZwBlAFYAYQBsAHUAZQBzACwAIABBAHMAcwBlAHQAKQApACwAIABcAG4AIAAgACAAIAAgACAAIAAgACAAIAAgACAAIAAgACAAIAAgACAAIAAgACAAIAAgACAAIAAgACAAIAAgACAAIAAgACAAIAAgACAASQBuAFMAZQByAHYAaQBjAGUARABhAHQAZQAsACAAIABAAEkATgBEAEUAWAAoACAAQwB2AHQAUwByAHYARABhAHQAZQBzACwAIABBAHMAcwBlAHQAKQAsACAAXABuACAAIAAgACAAIAAgACAAIAAgACAAIAAgACAAIAAgACAAIAAgACAAIAAgACAAIAAgACAAIAAgACAAIAAgACAAIAAgACAAIAAgAEQAaQBzAHAAbwBzAGEAbABEAGEAdABlACwAIAAgACAAQABJAE4ARABFAFgAKAAgAEQAaQBzAHAAbwBzAGEAbABEAGEAdABlAHMALAAgAEEAcwBzAGUAdAApACwAIABcAG4AIAAgACAAIAAgACAAIAAgACAAIAAgACAAIAAgACAAIAAgACAAIAAgACAAIAAgACAAIAAgACAAIAAgACAAIAAgACAAIAAgACAARABpAHMAcABvAHMAYQBsAEMAbwBzAHQALAAgACAAIABAAEkATgBEAEUAWAAoACAARABpAHMAcABvAHMAYQBsAEMAbwBzAHQAcwAsACAAQQBzAHMAZQB0ACkALAAgAFwAbgAgACAAIAAgACAAIAAgACAAIAAgACAAIAAgACAAIAAgACAAIAAgACAAIAAgACAAIAAgACAAIAAgACAAIAAgACAAIAAgACAAIABGAGEAYwB0AG8AcgAsACAAIAAgACAAIAAgACAAIAAgAEAASQBOAEQARQBYACgAIABGAGEAYwB0AG8AcgBzACwAIABBAHMAcwBlAHQAKQAsAFwAbgAgACAAIAAgACAAIAAgACAAIAAgACAAIAAgACAAIAAgACAAIAAgACAAIAAgACAAIAAgACAAIAAgACAAIAAgACAAIAAgACAAIABMAGkAZgBlAEkAbgBNAG8AbgB0AGgAcwAsACAAIAAgAFAAZQByAGkAbwBkAEQAaQBmAGYAuwMoACAASQBuAHMAZQByAHYAaQBjAGUARABhAHQAZQAsACAARABpAHMAcABvAHMAYQBsAEQAYQB0AGUALAAgAFwAIgBNAFwAIgApACwAXABuACAAIAAgACAAIAAgACAAIAAgACAAIAAgACAAIAAgACAAIAAgACAAIAAgACAAIAAgACAAIAAgACAAIAAgACAAIAAvAC8AIAAgAFAAcgBvAGMAZQBkAHUAcgBlAFwAbgAgACAAIAAgACAAIAAgACAAIAAgACAAIAAgACAAIAAgACAAIAAgACAAIAAgACAAIAAgACAAIAAgACAAIAAgACAALwAvACAAIABEAGUAcAByAGUAYwBpAGEAdABpAG8AbgAgAGkAcwAgAGMAYQBsAGMAdQBsAGEAdABlAGQAIABhAG4AbgB1AGEAbABsAHkAIAB0AGgAZQBuACAAYQBsAGwAbwBjAGEAdABlAGQAIABlAHEAdQBhAGwAbAB5ACAAbwB2AGUAcgAgAHQAaABlACAAbgBlAHgAdAAgADEAMgAgAG0AbwBuAHQAaABzAFwAbgAgACAAIAAgACAAIAAgACAAIAAgACAAIAAgACAAIAAgACAAIAAgACAAIAAgACAAIAAgACAAIAAgACAAIAAgACAAIAAgACAAIABEAGUAcAByAGUAYwBpAGEAdABlACwAIAAgACAAIAAgAEMASABPAE8AUwBFACgAIABNAEEAVABDAEgAKAAgAEAATQBlAHQAaABvAGQALAAgAE0AZQB0AGgAbwBkAEEAcgByAGEAeQAsACAAMAApACwAIAAvAC8AQwBIAE8ATwBTAEUAIABpAHMAIABtAG8AcgBlACAAZQBmAGYAaQBjAGkAZQBuAHQAIAB0AGgAYQBuACAAUwBXAEkAVABDAEgAXABuACAAIAAgACAAIAAgACAAIAAgACAAIAAgACAAIAAgACAAIAAgACAAIAAgACAAIAAgACAAIAAgACAAIAAgACAAIAAgACAAIAAgACAAIAAgACAAIAAgACAAIAAgACAAIAAgACAAIAAgACAALwAvACAAIAAxAC4AIABTAHQAcgBhAGkAZwBoAHQAIABsAGkAbgBlACAAXABuACAAIAAgACAAIAAgACAAIAAgACAAIAAgACAAIAAgACAAIAAgACAAIAAgACAAIAAgACAAIAAgACAAIAAgACAAIAAgACAAIAAgACAAIAAgACAAIAAgACAAIAAgACAAIAAgACAAIAAgACAAIAAgACAAIABTAEwATgC7AygAIABJAG4AaQB0AGkAYQBsAFYAYQBsAHUAZQAsACAAUwBhAGwAdgBhAGcAZQBWAGEAbAB1AGUALAAgAFkAZQBhAHIAcwApACwAIABcAG4AIAAgACAAIAAgACAAIAAgACAAIAAgACAAIAAgACAAIAAgACAAIAAgACAAIAAgACAAIAAgACAAIAAgACAAIAAgACAAIAAgACAAIAAgACAAIAAgACAAIAAgACAAIAAgACAAIAAgACAAIAAvAC8AIAAgADIALgAgAFMAdQBtAC0AbwBmAC0AeQBlAGEAcgBzACcAIABkAGkAZwBpAHQAcwBcAG4AIAAgACAAIAAgACAAIAAgACAAIAAgACAAIAAgACAAIAAgACAAIAAgACAAIAAgACAAIAAgACAAIAAgACAAIAAgACAAIAAgACAAIAAgACAAIAAgACAAIAAgACAAIAAgACAAIAAgACAAIAAgACAAIAAgAFMAWQBEALsDKAAgAEkAbgBpAHQAaQBhAGwAVgBhAGwAdQBlACwAIABTAGEAbAB2AGEAZwBlAFYAYQBsAHUAZQAsACAAWQBlAGEAcgBzACkALABcAG4AIAAgACAAIAAgACAAIAAgACAAIAAgACAAIAAgACAAIAAgACAAIAAgACAAIAAgACAAIAAgACAAIAAgACAAIAAgACAAIAAgACAAIAAgACAAIAAgACAAIAAgACAAIAAgACAAIAAgACAAIAAvAC8AIAAgADMALgAgAEQAZQBjAGwAaQBuAGkAbgBnACAAYgBhAGwAYQBuAGMAZQBcAG4AIAAgACAAIAAgACAAIAAgACAAIAAgACAAIAAgACAAIAAgACAAIAAgACAAIAAgACAAIAAgACAAIAAgACAAIAAgACAAIAAgACAAIAAgACAAIAAgACAAIAAgACAAIAAgACAAIAAgACAAIAAgACAAIAAgAEQAQgC7AygAIABJAG4AaQB0AGkAYQBsAFYAYQBsAHUAZQAsACAAUwBhAGwAdgBhAGcAZQBWAGEAbAB1AGUALAAgAFkAZQBhAHIAcwApACwAXABuACAAIAAgACAAIAAgACAAIAAgACAAIAAgACAAIAAgACAAIAAgACAAIAAgACAAIAAgACAAIAAgACAAIAAgACAAIAAgACAAIAAgACAAIAAgACAAIAAgACAAIAAgACAAIAAgACAAIAAgACAALwAvACAAIAA0AC4AIABEAG8AdQBiAGwAZQAgAGQAZQBjAGwAaQBuAGkAbgBnACAAYgBhAGwAYQBuAGMAZQAgAFwAbgAgACAAIAAgACAAIAAgACAAIAAgACAAIAAgACAAIAAgACAAIAAgACAAIAAgACAAIAAgACAAIAAgACAAIAAgACAAIAAgACAAIAAgACAAIAAgACAAIAAgACAAIAAgACAAIAAgACAAIAAgACAAIAAgACAARABEAEIAuwMoACAASQBuAGkAdABpAGEAbABWAGEAbAB1AGUALAAgAFMAYQBsAHYAYQBnAGUAVgBhAGwAdQBlACwAIABZAGUAYQByAHMALAAgAEYAYQBjAHQAbwByACkALABcAG4AIAAgACAAIAAgACAAIAAgACAAIAAgACAAIAAgACAAIAAgACAAIAAgACAAIAAgACAAIAAgACAAIAAgACAAIAAgACAAIAAgACAAIAAgACAAIAAgACAAIAAgACAAIAAgACAAIAAgACAAIAAvAC8AIAAgADUALgAgAFYAYQByAGkAYQBiAGwAZQAgAGQAZQBjAGwAaQBuAGkAbgBnACAAYgBhAGwAYQBuAGMAZQAgAFwAbgAgACAAIAAgACAAIAAgACAAIAAgACAAIAAgACAAIAAgACAAIAAgACAAIAAgACAAIAAgACAAIAAgACAAIAAgACAAIAAgACAAIAAgACAAIAAgACAAIAAgACAAIAAgACAAIAAgACAAIAAgACAAIAAgACAAVgBEAEIAuwMoACAASQBuAGkAdABpAGEAbABWAGEAbAB1AGUALAAgAFMAYQBsAHYAYQBnAGUAVgBhAGwAdQBlACwAIABZAGUAYQByAHMALAAgAEYAYQBjAHQAbwByACkALAAgAFwAbgAgACAAIAAgACAAIAAgACAAIAAgACAAIAAgACAAIAAgACAAIAAgACAAIAAgACAAIAAgACAAIAAgACAAIAAgACAAIAAgACAAIAAgACAAIAAgACAAIAAgACAAIAAgACAAIAAgACAAIAAgAC8ALwAgACAANgAuACAARABpAG0AaQBuAGkAcwBoAGkAbgBnACAAYgBhAGwAYQBuAGMAZQAgAGEAdAAgADIAMAAwACUAIABvAGYAIABzAHQAcgBhAGkAZwBoAHQAIABsAGkAbgBlAFwAbgAgACAAIAAgACAAIAAgACAAIAAgACAAIAAgACAAIAAgACAAIAAgACAAIAAgACAAIAAgACAAIAAgACAAIAAgACAAIAAgACAAIAAgACAAIAAgACAAIAAgACAAIAAgACAAIAAgACAAIAAgACAAIAAgACAARABpAG0AaQBuAGkAcwBoAGkAbgBnAFYAYQBsAHUAZQC7AygAIABJAG4AaQB0AGkAYQBsAFYAYQBsAHUAZQAsACAAWQBlAGEAcgBzACkALABcAG4AIAAgACAAIAAgACAAIAAgACAAIAAgACAAIAAgACAAIAAgACAAIAAgACAAIAAgACAAIAAgACAAIAAgACAAIAAgACAAIAAgACAAIAAgACAAIAAgACAAIAAgACAAIAAgACAAIAAgACAAIAAvAC8AIAAgADcALgAgAFMAdAByAGEAaQBnAGgAdAAgAGwAaQBuAGUALAAgAHcAaABvAGwAZQAgAHkAZQBhAHIAcwBcAG4AIAAgACAAIAAgACAAIAAgACAAIAAgACAAIAAgACAAIAAgACAAIAAgACAAIAAgACAAIAAgACAAIAAgACAAIAAgACAAIAAgACAAIAAgACAAIAAgACAAIAAgACAAIAAgACAAIAAgACAAIAAgACAAIAAgAFAAcgBpAG0AZQBDAG8AcwB0ALsDKAAgAEkAbgBpAHQAaQBhAGwAVgBhAGwAdQBlACwAIABZAGUAYQByAHMAKQAsAFwAbgAgACAAIAAgACAAIAAgACAAIAAgACAAIAAgACAAIAAgACAAIAAgACAAIAAgACAAIAAgACAAIAAgACAAIAAgACAAIAAgACAAIAAgACAAIAAgACAAIAAgACAAIAAgACAAIAAgACAAIAAgACkALABcAG4AIAAgACAAIAAgACAAIAAgACAAIAAgACAAIAAgACAAIAAgACAAIAAgACAAIAAgACAAIAAgACAAIAAgACAAIAAgAC8ALwAgACAAQQBsAGwAbwBjAGEAdABpAG4AZwAgAGEAbgBuAHUAYQBsACAAdgBhAGwAdQBlAHMAIAB0AG8AIABtAG8AbgB0AGgAcwAuACAAVABoAGUAIABhAHMAcwBlAHQAJwBzACAAbQBvAG4AdABoAHMAIAByAHUAbgAgAHQAbwAgAGkAdABzACAAZABpAHMAcABvAHMAYQBsADoAXABuACAAIAAgACAAIAAgACAAIAAgACAAIAAgACAAIAAgACAAIAAgACAAIAAgACAAIAAgACAAIAAgACAAIAAgACAAIAAvAC8AIAAgAGEAIABkAGkAcwBwAG8AcwBhAGwAIABhAGYAdABlAHIAIAB0AGgAZQAgAGUAbgBkACAAbwBmACAAbABpAGYAZQAgAHAAYQBkAHMAIAB0AGgAZQAgAHQAYQBpAGwAIAB3AGkAdABoACAAbgBvAHUAZwBoAHQAIABhAG4AZAAgAHcAcgBpAHQAZQBzACAAdABoAGUAXABuACAAIAAgACAAIAAgACAAIAAgACAAIAAgACAAIAAgACAAIAAgACAAIAAgACAAIAAgACAAIAAgACAAIAAgACAAIAAvAC8AIAAgAHMAYQBsAHYAYQBnAGUAIAB2AGEAbAB1AGUAIABvAGYAZgAgAGkAbgAgAHQAaABlACAAbABhAHMAdAAgAG0AbwBuAHQAaAA7ACAAYQAgAGQAaQBzAHAAbwBzAGEAbAAgAGIAZQBmAG8AcgBlACAAdABoAGUAIABlAG4AZAAgAG8AZgAgAGwAaQBmAGUAIABzAHQAbwBwAHMAXABuACAAIAAgACAAIAAgACAAIAAgACAAIAAgACAAIAAgACAAIAAgACAAIAAgACAAIAAgACAAIAAgACAAIAAgACAAIAAvAC8AIAAgAHQAaABlACAAcwBjAGgAZQBkAHUAbABlACAAdABoAGUAcgBlACAAYQBuAGQAIAB3AHIAaQB0AGUAcwAgAHQAaABlACAAcgBlAG0AYQBpAG4AaQBuAGcAIABiAG8AbwBrACAAdgBhAGwAdQBlACAAbwBmAGYAIABpAG4AcwB0AGUAYQBkAC4AXABuACAAIAAgACAAIAAgACAAIAAgACAAIAAgACAAIAAgACAAIAAgACAAIAAgACAAIAAgACAAIAAgACAAIAAgACAAIAAgACAAIAAgAE0AbwBuAHQAaABsAHkALAAgACAAIAAgACAAIAAgACAAQQBsAGwAbwBjAGEAdABlALsDKAAgAEQAZQBwAHIAZQBjAGkAYQB0AGUALAAgAFwAIgBZAFwAIgAsACAAXAAiAE0AXAAiACkALABcAG4AIAAgACAAIAAgACAAIAAgACAAIAAgACAAIAAgACAAIAAgACAAIAAgACAAIAAgACAAIAAgACAAIAAgACAAIAAgACAAIAAgACAATQBvAG4AdABoAHMALAAgACAAIAAgACAAIAAgACAAIABMAGkAZgBlAEkAbgBNAG8AbgB0AGgAcwAgAC0AIAAxACwAXABuACAAIAAgACAAIAAgACAAIAAgACAAIAAgACAAIAAgACAAIAAgACAAIAAgACAAIAAgACAAIAAgACAAIAAgACAAIAAgACAAIAAgAEEAbABsAG8AYwBhAHQAZQAsACAAIAAgACAAIAAgACAASQBGACgAIABNAG8AbgB0AGgAcwAgADwAIAAxACwAXABuACAAIAAgACAAIAAgACAAIAAgACAAIAAgACAAIAAgACAAIAAgACAAIAAgACAAIAAgACAAIAAgACAAIAAgACAAIAAgACAAIAAgACAAIAAgACAAIAAgACAAIAAgACAAIAAgACAAIAAgACAAIAAgACAAIABJAG4AaQB0AGkAYQBsAFYAYQBsAHUAZQAsAFwAbgAgACAAIAAgACAAIAAgACAAIAAgACAAIAAgACAAIAAgACAAIAAgACAAIAAgACAAIAAgACAAIAAgACAAIAAgACAAIAAgACAAIAAgACAAIAAgACAAIAAgACAAIAAgACAAIAAgACAAIAAgACAAIAAgACAASQBGACgAIABNAG8AbgB0AGgAcwAgAD4APQAgAEMATwBMAFUATQBOAFMAKAAgAE0AbwBuAHQAaABsAHkAKQAsAFwAbgAgACAAIAAgACAAIAAgACAAIAAgACAAIAAgACAAIAAgACAAIAAgACAAIAAgACAAIAAgACAAIAAgACAAIAAgACAAIAAgACAAIAAgACAAIAAgACAAIAAgACAAIAAgACAAIAAgACAAIAAgACAAIAAgACAAIAAgACAAIABIAFMAVABBAEMASwAoACAARQBYAFAAQQBOAEQAKAAgAE0AbwBuAHQAaABsAHkALAAgADEALAAgAE0AbwBuAHQAaABzACwAIAAwACkALAAgAFMAYQBsAHYAYQBnAGUAVgBhAGwAdQBlACkALABcAG4AIAAgACAAIAAgACAAIAAgACAAIAAgACAAIAAgACAAIAAgACAAIAAgACAAIAAgACAAIAAgACAAIAAgACAAIAAgACAAIAAgACAAIAAgACAAIAAgACAAIAAgACAAIAAgACAAIAAgACAAIAAgACAAIAAgACAAIAAgACAASABTAFQAQQBDAEsAKAAgAFQAQQBLAEUAKAAgAE0AbwBuAHQAaABsAHkALAAgACwAIABNAG8AbgB0AGgAcwApACwAIABJAG4AaQB0AGkAYQBsAFYAYQBsAHUAZQAgAC0AIABTAFUATQAoACAAVABBAEsARQAoACAATQBvAG4AdABoAGwAeQAsACAALAAgAE0AbwBuAHQAaABzACkAKQApACkAKQAsAFwAbgAgACAAIAAgACAAIAAgACAAIAAgACAAIAAgACAAIAAgACAAIAAgACAAIAAgACAAIAAgACAAIAAgACAAIAAgACAAIAAgACAAIABPAHAAZQBuAGkAbgBnACwAIAAgACAAIAAgACAAIAAgAEQAUgBPAFAAKAAgAEgAUwBUAEEAQwBLACgAIABJAG4AaQB0AGkAYQBsAFYAYQBsAHUAZQAsACAAUwBDAEEATgAoACAASQBuAGkAdABpAGEAbABWAGEAbAB1AGUALAAgAEEAbABsAG8AYwBhAHQAZQAsACAATABBAE0AQgBEAEEAKAAgAEEAYwBjACwAIABWAGEAbAAsACAAQQBjAGMAIAAtACAAVgBhAGwAKQApACkALAAgADAALAAgAC0AMQApACwAXABuACAAIAAgACAAIAAgACAAIAAgACAAIAAgACAAIAAgACAAIAAgACAAIAAgACAAIAAgACAAIAAgACAAIAAgACAAIAAvAC8AIAAgAEMAcgBlAGEAdABlACAAYQAgAG0AbwBuAHQAaABsAHkAIAB0AGkAbQBlAGwAaQBuAGUAIABmAG8AcgAgAHQAaABlACAAYQBzAHMAZQB0AFwAbgAgACAAIAAgACAAIAAgACAAIAAgACAAIAAgACAAIAAgACAAIAAgACAAIAAgACAAIAAgACAAIAAgACAAIAAgACAAIAAgACAAIABBAHMAcwBlAHQAVABpAG0AZQBsAGkAbgBlACwAIAAgAEUARABBAFQARQAoACAASQBuAFMAZQByAHYAaQBjAGUARABhAHQAZQAsACAAUwBFAFEAVQBFAE4AQwBFACgAIAAsACAATABpAGYAZQBJAG4ATQBvAG4AdABoAHMALAAgADAAKQApACwAIABcAG4AIAAgACAAIAAgACAAIAAgACAAIAAgACAAIAAgACAAIAAgACAAIAAgACAAIAAgACAAIAAgACAAIAAgACAAIAAgAC8ALwAgACAAVABoAGUAIABwAGUAcgBpAG8AZAAgAGUAYQBjAGgAIABhAHMAcwBlAHQAIABtAG8AbgB0AGgAIABmAGEAbABsAHMAIABpAG4AIABpAHMAIAB0AGgAZQAgAGwAYQBzAHQAIABwAGUAcgBpAG8AZAAgAHMAdABhAHIAdAAgAG8AbgAgAG8AcgAgAGIAZQBmAG8AcgBlACAAaQB0ADsAXABuACAAIAAgACAAIAAgACAAIAAgACAAIAAgACAAIAAgACAAIAAgACAAIAAgACAAIAAgACAAIAAgACAAIAAgACAAIAAvAC8AIAAgAGEAIABtAG8AbgB0AGgAIABhAGYAdABlAHIAIAB0AGgAZQAgAGwAYQBzAHQAIABwAGUAcgBpAG8AZAAgAGUAbgBkAHMAIABiAGUAbABvAG4AZwBzACAAdABvACAAbgBvACAAcABlAHIAaQBvAGQALgAgAE8AbgBlACAAbQBhAHQAcgBpAHgAIABwAHIAbwBkAHUAYwB0AFwAbgAgACAAIAAgACAAIAAgACAAIAAgACAAIAAgACAAIAAgACAAIAAgACAAIAAgACAAIAAgACAAIAAgACAAIAAgACAALwAvACAAIAB0AGgAZQBuACAAYQBnAGcAcgBlAGcAYQB0AGUAcwAgAHQAaABlACAAbQBvAG4AdABoAHMAIABpAG4AdABvACAAdABoAGUAIABtAG8AZABlAGwAJwBzACAAcABlAHIAaQBvAGQAcwAuAFwAbgAgACAAIAAgACAAIAAgACAAIAAgACAAIAAgACAAIAAgACAAIAAgACAAIAAgACAAIAAgACAAIAAgACAAIAAgACAAIAAgACAAIABCAHUAYwBrAGUAdABzACwAIAAgACAAIAAgACAAIAAgAEkARgBFAFIAUgBPAFIAKAAgAE0AQQBUAEMASAAoACAAQQBzAHMAZQB0AFQAaQBtAGUAbABpAG4AZQAsACAAVABpAG0AZQBsAGkAbgBlACwAIAAxACkALAAgADAAKQAgACoAIAAoACAAQQBzAHMAZQB0AFQAaQBtAGUAbABpAG4AZQAgADwAPQAgAEwAYQBzAHQARQBuAGQAKQAsAFwAbgAgACAAIAAgACAAIAAgACAAIAAgACAAIAAgACAAIAAgACAAIAAgACAAIAAgACAAIAAgACAAIAAgACAAIAAgACAAIAAgACAAIABJAG4AUABlAHIAaQBvAGQALAAgACAAIAAgACAAIAAgACgAIABUAE8AQwBPAEwAKAAgAEIAdQBjAGsAZQB0AHMAKQAgAD0AIABTAEUAUQBVAEUATgBDAEUAKAAgADEALAAgAFQAaQBtAGUAbABpAG4AZQBDAG8AbABzACkAKQAgACoAIAAxACwAXABuACAAIAAgACAAIAAgACAAIAAgACAAIAAgACAAIAAgACAAIAAgACAAIAAgACAAIAAgACAAIAAgACAAIAAgACAAIAAgACAAIAAgAEQAZQBwAHIAZQBjAGkAYQB0AGkAbwBuACwAIAAgACAATQBNAFUATABUACgAIABBAGwAbABvAGMAYQB0AGUALAAgAEkAbgBQAGUAcgBpAG8AZAApACwAXABuACAAIAAgACAAIAAgACAAIAAgACAAIAAgACAAIAAgACAAIAAgACAAIAAgACAAIAAgACAAIAAgACAAIAAgACAAIAAgACAAIAAgAEMAQQBQAEUAWAAsACAAIAAgACAAIAAgACAAIAAgACAASQBuAGkAdABpAGEAbABWAGEAbAB1AGUAIAAqACAAKABUAGkAbQBlAGwAaQBuAGUAIAA8AD0AIABJAG4AUwBlAHIAdgBpAGMAZQBEAGEAdABlACkAIAAqACAAKABFAG4AZABEAGEAdABlAHMAIAA+AD0AIABJAG4AUwBlAHIAdgBpAGMAZQBEAGEAdABlACkALAAgAFwAbgAgACAAIAAgACAAIAAgACAAIAAgACAAIAAgACAAIAAgACAAIAAgACAAIAAgACAAIAAgACAAIAAgACAAIAAgACAALwAvACAAIABUAGgAZQAgAG8AcABlAG4AaQBuAGcAIABiAGEAbABhAG4AYwBlACAAYQAgAHAAZQByAGkAbwBkACAAcwBoAG8AdwBzACAAaQBzACAAdABoAGUAIABvAG4AZQAgAGkAdABzACAAZgBpAHIAcwB0ACAAYQBzAHMAZQB0ACAAbQBvAG4AdABoACAAYwBhAHIAcgBpAGUAcwBcAG4AIAAgACAAIAAgACAAIAAgACAAIAAgACAAIAAgACAAIAAgACAAIAAgACAAIAAgACAAIAAgACAAIAAgACAAIAAgACAAIAAgACAARQBhAHIAbABpAGUAcgAsACAAIAAgACAAIAAgACAAIABJAEYAKAAgAEwAaQBmAGUASQBuAE0AbwBuAHQAaABzACAAPQAgADEALAAgADAALAAgAEgAUwBUAEEAQwBLACgAIAAwACwAIABEAFIATwBQACgAIABCAHUAYwBrAGUAdABzACwAIAAsACAALQAxACkAKQApACwAXABuACAAIAAgACAAIAAgACAAIAAgACAAIAAgACAAIAAgACAAIAAgACAAIAAgACAAIAAgACAAIAAgACAAIAAgACAAIAAgACAAIAAgAEYAaQByAHMAdABJAG4AUABlAHIAaQBvAGQALAAgACAAKAAgAEIAdQBjAGsAZQB0AHMAIAA8AD4AIABFAGEAcgBsAGkAZQByACkAIAAqACAAKAAgAEIAdQBjAGsAZQB0AHMAIAA+ACAAMAApACwAXABuACAAIAAgACAAIAAgACAAIAAgACAAIAAgACAAIAAgACAAIAAgACAAIAAgACAAIAAgACAAIAAgACAAIAAgACAAIAAgACAAIAAgAE8AcABlAG4AaQBuAGcAQQBtAG8AdQBuAHQALAAgACAATQBNAFUATABUACgAIABPAHAAZQBuAGkAbgBnACAAKgAgAEYAaQByAHMAdABJAG4AUABlAHIAaQBvAGQALAAgAEkAbgBQAGUAcgBpAG8AZAApACwAXABuACAAIAAgACAAIAAgACAAIAAgACAAIAAgACAAIAAgACAAIAAgACAAIAAgACAAIAAgACAAIAAgACAAIAAgACAAIAAgACAAIAAgAEIAbwBvAGsAVgBhAGwAdQBlACwAIAAgACAAIAAgACAATwBwAGUAbgBpAG4AZwBBAG0AbwB1AG4AdAAgAC0AIABEAGUAcAByAGUAYwBpAGEAdABpAG8AbgAsAFwAbgAgACAAIAAgACAAIAAgACAAIAAgACAAIAAgACAAIAAgACAAIAAgACAAIAAgACAAIAAgACAAIAAgACAAIAAgACAAIAAgACAAIABTAGEAbABlAHMAUgBlAHYAZQBuAHUAZQAsACAAIAAgAFMAYQBsAHYAYQBnAGUAVgBhAGwAdQBlACAAKgAgACgAVABpAG0AZQBsAGkAbgBlACAAPAA9ACAARABpAHMAcABvAHMAYQBsAEQAYQB0AGUAKQAgACoAIAAoAEUAbgBkAEQAYQB0AGUAcwAgAD4APQAgAEQAaQBzAHAAbwBzAGEAbABEAGEAdABlACkALAAgAFwAbgAgACAAIAAgACAAIAAgACAAIAAgACAAIAAgACAAIAAgACAAIAAgACAAIAAgACAAIAAgACAAIAAgACAAIAAgACAAIAAgACAAIABEAGkAcwBwAG8AcwBhAGwARQB4AHAALAAgACAAIAAgAEQAaQBzAHAAbwBzAGEAbABDAG8AcwB0ACAAKgAgACgAVABpAG0AZQBsAGkAbgBlACAAPAA9ACAARABpAHMAcABvAHMAYQBsAEQAYQB0AGUAKQAgACoAIAAoAEUAbgBkAEQAYQB0AGUAcwAgAD4APQAgAEQAaQBzAHAAbwBzAGEAbABEAGEAdABlACkALAAgAFwAbgAgACAAIAAgACAAIAAgACAAIAAgACAAIAAgACAAIAAgACAAIAAgACAAIAAgACAAIAAgACAAIAAgACAAIAAgACAALwAvACAAIABBAHMAcwBlAG0AYgBsAGUAIAB0AGgAaQBzACAAYQBzAHMAZQB0AHMAIAByAG8AdwBzACAAaQBuAHQAbwAgAGEAIABiAGwAbwBjAGsAXABuACAAIAAgACAAIAAgACAAIAAgACAAIAAgACAAIAAgACAAIAAgACAAIAAgACAAIAAgACAAIAAgACAAIAAgACAAIAAgACAAIAAgAE4AZQB3AEIAbABvAGMAawAsACAAIAAgACAAIAAgACAAVgBTAFQAQQBDAEsAKAAgAEMAQQBQAEUAWAAsACAATwBwAGUAbgBpAG4AZwBBAG0AbwB1AG4AdAAsACAARABlAHAAcgBlAGMAaQBhAHQAaQBvAG4ALAAgAEIAbwBvAGsAVgBhAGwAdQBlACwAIABTAGEAbABlAHMAUgBlAHYAZQBuAHUAZQAsACAARABpAHMAcABvAHMAYQBsAEUAeABwACkALABcAG4AIAAgACAAIAAgACAAIAAgACAAIAAgACAAIAAgACAAIAAgACAAIAAgACAAIAAgACAAIAAgACAAIAAgACAAIAAgAC8ALwAgACAAQQBkAGQAIAB0AGgAaQBzACAAYgBsAG8AYwBrACAAdABvACAAcAByAGkAbwByACAAYgBsAG8AYwBrAHMAIAAoAGkAZgAgAGEAbgB5ACkAXABuACAAIAAgACAAIAAgACAAIAAgACAAIAAgACAAIAAgACAAIAAgACAAIAAgACAAIAAgACAAIAAgACAAIAAgACAAIAAgACAAIAAgAFIAZQBzAHUAbAB0ACwAIAAgACAAIAAgACAAIAAgACAASQBGACgAIABBAHMAcwBlAHQAIAA9ACAAMQAsACAAXABuACAAIAAgACAAIAAgACAAIAAgACAAIAAgACAAIAAgACAAIAAgACAAIAAgACAAIAAgACAAIAAgACAAIAAgACAAIAAgACAAIAAgACAAIAAgACAAIAAgACAAIAAgACAAIAAgACAAIAAgACAAIAAgACAAIABOAGUAdwBCAGwAbwBjAGsALAAgAFwAbgAgACAAIAAgACAAIAAgACAAIAAgACAAIAAgACAAIAAgACAAIAAgACAAIAAgACAAIAAgACAAIAAgACAAIAAgACAAIAAgACAAIAAgACAAIAAgACAAIAAgACAAIAAgACAAIAAgACAAIAAgACAAIAAgACAAVgBTAFQAQQBDAEsAKABcAG4AIAAgACAAIAAgACAAIAAgACAAIAAgACAAIAAgACAAIAAgACAAIAAgACAAIAAgACAAIAAgACAAIAAgACAAIAAgACAAIAAgACAAIAAgACAAIAAgACAAIAAgACAAIAAgACAAIAAgACAAIAAgACAAIAAgACAAIAAgACAAQgBsAG8AYwBrACwAXABuACAAIAAgACAAIAAgACAAIAAgACAAIAAgACAAIAAgACAAIAAgACAAIAAgACAAIAAgACAAIAAgACAAIAAgACAAIAAgACAAIAAgACAAIAAgACAAIAAgACAAIAAgACAAIAAgACAAIAAgACAAIAAgACAAIAAgACAAIAAgAEUAWABQAEEATgBEACgAXAAiAFwAIgAsACAAMQAsACAAVABpAG0AZQBsAGkAbgBlAEMAbwBsAHMALAAgAFwAIgBcACIAKQAsAFwAbgAgACAAIAAgACAAIAAgACAAIAAgACAAIAAgACAAIAAgACAAIAAgACAAIAAgACAAIAAgACAAIAAgACAAIAAgACAAIAAgACAAIAAgACAAIAAgACAAIAAgACAAIAAgACAAIAAgACAAIAAgACAAIAAgACAAIAAgACAAIABOAGUAdwBCAGwAbwBjAGsAXABuACAAIAAgACAAIAAgACAAIAAgACAAIAAgACAAIAAgACAAIAAgACAAIAAgACAAIAAgACAAIAAgACAAIAAgACAAIAAgACAAIAAgACAAIAAgACAAIAAgACAAIAAgACAAIAAgACAAIAAgACAAIAAgACAAIAAgACAAIAAgACkAXABuACAAIAAgACAAIAAgACAAIAAgACAAIAAgACAAIAAgACAAIAAgACAAIAAgACAAIAAgACAAIAAgACAAIAAgACAAIAAgACAAIAAgACAAIAAgACAAIAAgACAAIAAgACAAIAAgACAAIAAgACA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AsACAASABlAGwAcAAsACAAbwByACAAdABoAGUAIABtAGUAcwBzAGEAZwBlAFwAbgAgACAAIAAgACAAIAAgACAAUgBlAHQAdQByAG4ALAAgACAAIAAgACAAIAAgACAAIABJAEYAKAAgAEgAZQBsAHAAPwAsACAAMgAsACAASQBGACgAIABCAGEAZABMAGkAZgBlAD8ALAAgADMALAAgADEAKQApACwAXABuACAAIAAgACAAIAAgACAAIABDAEgATwBPAFMARQAoACAAUgBlAHQAdQByAG4ALAAgAFIAZQBzAHUAbAB0ACwAIABIAGUAbABwACwAIABMAGkAZgBlAE0AZQBzAHMAYQBnAGUAKQBcAG4AIAAgACAAIAApACAAXABuACkAOwBcAG4AXABuAFwAbgBcAG4ALwAqACAAIABGAFUATgBDAFQASQBPAE4AIABOAEEATQBFADoAIAAgAEwAYQBiAGUAbABEAGUAcAByAGUAYwBpAGEAdABlALsDXABuACAAIAAgACAARABFAFMAQwBSAEkAUABUAEkATwBOADoAKgAvAC8AKgAqAEMAcgBlAGEAdABlACAAbABhAGIAZQBsAHMAIABmAG8AcgAgAEQAZQBwAHIAZQBjAGkAYQB0AGUAuwMqAC8AXABuAEwAYQBiAGUAbABEAGUAcAByAGUAYwBpAGEAdABlALsDIAA9ACAATABBAE0AQgBEAEEAKABcAG4ALwAvACAAIABQAGEAcgBhAG0AZQB0AGUAcgAgAEQAZQBjAGwAYQByAGEAdABpAG8AbgBzAFwAbgAgACAAIAAgAFsAQQBzAHMAZQB0AE4AYQBtAGUAcwBdACwAIAAg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MAGEAYgBlAGwARABlAHAAcgBlAGMAaQBhAHQAZQC7AygAIABBAHMAcwBlAHQATgBhAG0AZQBzACkAtgBcACIAIAAmAFwAbgAgACAAIAAgACAAIAAgACAAIAAgACAAIAAgACAAIAAgACAAIAAgACAAIAAgACAAIAAgACAAIAAgAFwAIgBEAEUAUwBDAFIASQBQAFQASQBPAE4AOgAgACAAIACSIUMAcgBlAGEAdABlACAAcgBvAHcAIABsAGEAYgBlAGwAcwAgAGYAbwByACAAdABoAGUAIABkAGUAcAByAGUAYwBpAGEAdABpAG8AbgAgAHMAYwBoAGUAZAB1AGwAZQAgAGEAcgByAGEAeQAgAHAAcgBvAGQAdQBjAGUAZAAgAGIAeQAgAEQAZQBwAHIAZQBjAGkAYQB0AGUAuwO2AFwAIgAgACYAIA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zAHMAZQB0AE4AYQBtAGUAcwAgACAAIAAgACAAkiEoAFIAZQBxAHUAaQByAGUAZAApACAAVABoAGUAIABuAGEAbQBlAHMAIABvAHIAIABkAGUAcwBjAHIAaQBwAHQAaQBvAG4AcwAgAG8AZgAgAGUAYQBjAGgAIABhAHMAcwBlAHQAIABpAG4AIAB0AGgAZQAgAGQAZQBwAHIAZQBjAGkAYQB0AGkAbwBuACAAcwBjAGgAZQBkAHUAbABlACAAcAByAG8AZAB1AGMAZQBkACAAYgB5ACAARABlAHAAcgBlAGMAaQBhAHQAZQC7A7YAXAAiACAAJgAg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TABhAGIAZQBsAEQAZQBwAHIAZQBjAGkAYQB0AGUAuwMoAHQAYgBsAEEAcwBzAGUAdABzAFsAQQBzAHMAZQB0ACAATgBhAG0AZQBd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HMAcwBlAHQATgBhAG0AZQBzACkALABcAG4AIAAgACAAIAAvAC8AIAAgAFAAcgBvAGMAZQBkAHUAcgBlAFwAbgAgACAAIAAgACAAIAAgACAAUgBlAHMAdQBsAHQALAAgACAAIAAgACAAIAAgACAAIABNAEEASwBFAEEAUgBSAEEAWQAoACAAUgBPAFcAUwAoAEEAcwBzAGUAdABOAGEAbQBlAHMAKQAgACoAIAA3ACAALQAgADEALAAgADEALAAgAFwAbgAgACAAIAAgACAAIAAgACAAIAAgACAAIAAgACAAIAAgACAAIAAgACAAIAAgACAAIAAgACAAIAAgAEwAQQBNAEIARABBACgAUgAsACAAQwAsACAAXABuACAAIAAgACAAIAAgACAAIAAgACAAIAAgACAAIAAgACAAIAAgACAAIAAgACAAIAAgACAAIAAgACAAIAAgACAAIABMAEUAVAAoAEEAcwBzAGUAdABOAGEAbQBlACwAIAAgACAASQBOAEQARQBYACgAIABBAHMAcwBlAHQATgBhAG0AZQBzACwAIABRAFUATwBUAEkARQBOAFQAKABSAC0AMQAsACAANwApACAAKwAgADEAKQAsACAAXABuACAAIAAgACAAIAAgACAAIAAgACAAIAAgACAAIAAgACAAIAAgACAAIAAgACAAIAAgACAAIAAgACAAIAAgACAAIAAgACAAIAAgAFMAVwBJAFQAQwBIACgAIABNAE8ARAAoAFIALQAxACwAIAA3ACkAIAArACAAMQAsAFwAbgAgACAAIAAgACAAIAAgACAAIAAgACAAIAAgACAAIAAgACAAIAAgACAAIAAgACAAIAAgACAAIAAgACAAIAAgACAAIAAgACAAIAAgACAAIAAgADEALAAgACAAQQBzAHMAZQB0AE4AYQBtAGUAIAAmACAAXAAiACAAQwBBAFAARQBYAFwAIgAsAFwAbgAgACAAIAAgACAAIAAgACAAIAAgACAAIAAgACAAIAAgACAAIAAgACAAIAAgACAAIAAgACAAIAAgACAAIAAgACAAIAAgACAAIAAgACAAIAAgADIALAAgACAAQQBzAHMAZQB0AE4AYQBtAGUAIAAmACAAXAAiACAATwBwAGUAbgBpAG4AZwAgAFYAYQBsAHUAZQBcACIALABcAG4AIAAgACAAIAAgACAAIAAgACAAIAAgACAAIAAgACAAIAAgACAAIAAgACAAIAAgACAAIAAgACAAIAAgACAAIAAgACAAIAAgACAAIAAgACAAIAAzACwAIAAgAEEAcwBzAGUAdABOAGEAbQBlACAAJgAgAFwAIgAgAEQAZQBwAHIAZQBjAGkAYQB0AGkAbwBuAFwAIgAsAFwAbgAgACAAIAAgACAAIAAgACAAIAAgACAAIAAgACAAIAAgACAAIAAgACAAIAAgACAAIAAgACAAIAAgACAAIAAgACAAIAAgACAAIAAgACAAIAAgADQALAAgACAAQQBzAHMAZQB0AE4AYQBtAGUAIAAmACAAXAAiACAAQgBvAG8AawAgAFYAYQBsAHUAZQBcACIALABcAG4AIAAgACAAIAAgACAAIAAgACAAIAAgACAAIAAgACAAIAAgACAAIAAgACAAIAAgACAAIAAgACAAIAAgACAAIAAgACAAIAAgACAAIAAgACAAIAA1ACwAIAAgAEEAcwBzAGUAdABOAGEAbQBlACAAJgAgAFwAIgAgAFIAZQB2AGUAbgB1AGUAIABmAHIAbwBtACAAUwBhAGwAZQBcACIALABcAG4AIAAgACAAIAAgACAAIAAgACAAIAAgACAAIAAgACAAIAAgACAAIAAgACAAIAAgACAAIAAgACAAIAAgACAAIAAgACAAIAAgACAAIAAgACAAIAA2ACwAIAAgAEEAcwBzAGUAdABOAGEAbQBlACAAJgAgAFwAIgAgAEQAaQBzAHAAbwBzAGEAbAAgAEMAbwBzAHQAcwBcACIALABcAG4AIAAgACAAIAAgACAAIAAgACAAIAAgACAAIAAgACAAIAAgACAAIAAgACAAIAAgACAAIAAgACAAIAAgACAAIAAgACAAIAAgACAAIAAgACAAIAA3ACwAIAAgAFwAIgBcACIAXABuACAAIAAgACAAIAAgACAAIAAgACAAIAAgACAAIAAgACAAIAAgACAAIAAgACAAIAAgACAAIAAgACAAIAAgACAAIAAgACAAIAAg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FMAdQBtAEQAZQBwAHIAZQBjAGkAYQB0AGUAuwNcAG4AIAAgACAAIABEAEUAUwBDAFIASQBQAFQASQBPAE4AOgAqAC8ALwAqACoAQwByAGUAYQB0AGUAIAByAG8AdwAgAHQAbwB0AGEAbABzACAAZgBvAHIAIABEAGUAcAByAGUAYwBpAGEAdABlALsDKgAvAFwAbgBTAHUAbQBEAGUAcAByAGUAYwBpAGEAdABlALsDIAA9ACAATABBAE0AQgBEAEEAKABcAG4ALwAvACAAIABQAGEAcgBhAG0AZQB0AGUAcgAgAEQAZQBjAGwAYQByAGEAdABpAG8AbgBzAFwAbgAgACAAIAAgAFsARABlAHAAcgBlAGMAaQ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RABlAHAAcgBlAGMAaQBhAHQAZQC7AygARABlAHAAcgBlAGMAaQBhAHQAaQBvAG4AUwBjAGgAZQBkAHUAbABlACkAtgBcACIAIAAmAFwAbgAgACAAIAAgACAAIAAgACAAIAAgACAAIAAgACAAIAAgACAAIAAgACAAIAAgACAAIAAgACAAIAAgAFwAIgBEAEUAUwBDAFIASQBQAFQASQBPAE4AOgAgACAAIACSIUMAcgBlAGEAdABlACAAcgBvAHcAIAB0AG8AdABhAGwAcwAgAGYAbwByACAARABlAHAAcgBlAGMAaQBhAHQAZQC7A7YAXAAiACAAJgAg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EAGUAcAByAGUAYwBpAGEAdABpAG8AbgBTAGMAaABlAGQAdQBsAGUAkiEoAFIAZQBxAHUAaQByAGUAZAApACAAQQBuACAAYQByAHIAYQB5ACAAcAByAG8AZAB1AGMAZQBkACAAYgB5ACAARABlAHAAcgBlAGMAaQBhAHQAZQC7A7YAXAAiACAAJgBcAG4AIAAgACAAIAAgACAAIAAgACAAIAAgACAAIAAgACAAIAAgACAAIAAgACAAIAAgACAAIAAgACAAIABcACIAkiG2AFwAIgAgACY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1AG0ARABlAHAAcgBlAGMAaQBhAHQAZQC7AygARABlAHAAcgBlAGMAaQBhAHQAaQBvAG4AUwBjAGgAZQBkAHUAbAB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TwBtAGkAdAB0AGUAZABBAHIAZwBzACwAIAAgACAAIABWAFMAVABBAEMASwAoAEkAUwBPAE0ASQBUAFQARQBEACgAIABEAGUAcAByAGUAYwBpAGEAdABpAG8AbgBTAGMAaABlAGQAdQBsAGUAKQApACwAXABuACAAIAAgACAAIAAgACAAIABIAGUAbABwAD8ALAAgACAAIAAgACAAIAAgACAAIAAgAEEATgBEACgAIABPAG0AaQB0AHQAZQBkAEEAcgBnAHMAKQAsAFwAbgAgACAAIAAgAC8ALwAgACAAUAByAG8AYwBlAGQAdQByAGUAXABuACAAIAAgACAAIAAgACAAIABSAGUAcwB1AGwAdAAsACAAIAAgACAAIAAgACAAIAAgAE0AQQBLAEUAQQBSAFIAQQBZACgAUgBPAFcAUwAoAEQAZQBwAHIAZQBjAGkAYQB0AGkAbwBuAFMAYwBoAGUAZAB1AGwAZQApACwAIAAxACwAIABcAG4AIAAgACAAIAAgACAAIAAgACAAIAAgACAAIAAgACAAIAAgACAAIAAgACAAIAAgACAAIAAgACAAIABMAEEATQBCAEQAQQAoACAAUgAsACAAQwAsAFwAbgAgACAAIAAgACAAIAAgACAAIAAgACAAIAAgACAAIAAgACAAIAAgACAAIAAgACAAIAAgACAAIAAgACAAIAAgACAAUwBXAEkAVABDAEgAKAAgAE0ATwBEACgAIABSACwAIAA3ACkALABcAG4AIAAgACAAIAAgACAAIAAgACAAIAAgACAAIAAgACAAIAAgACAAIAAgACAAIAAgACAAIAAgACAAIAAgACAAIAAgACAAIAAgACAAMQAsACAAUwBVAE0AKABDAEgATwBPAFMARQBSAE8AVwBTACgAIABEAGUAcAByAGUAYwBpAGEAdABpAG8AbgBTAGMAaABlAGQAdQBsAGUALAAgAFIAKQApACwAXABuACAAIAAgACAAIAAgACAAIAAgACAAIAAgACAAIAAgACAAIAAgACAAIAAgACAAIAAgACAAIAAgACAAIAAgACAAIAAgACAAIAAgADMALAAgAFMAVQBNACgAQwBIAE8ATwBTAEUAUgBPAFcAUwAoACAARABlAHAAcgBlAGMAaQBhAHQAaQBvAG4AUwBjAGgAZQBkAHUAbABlACwAIABSACkAKQAsAFwAbgAgACAAIAAgACAAIAAgACAAIAAgACAAIAAgACAAIAAgACAAIAAgACAAIAAgACAAIAAgACAAIAAgACAAIAAgACAAIAAgACAAIAA1ACwAIABTAFUATQAoAEMASABPAE8AUwBFAFIATwBXAFMAKAAgAEQAZQBwAHIAZQBjAGkAYQB0AGkAbwBuAFMAYwBoAGUAZAB1AGwAZQAsACAAUgApACkALABcAG4AIAAgACAAIAAgACAAIAAgACAAIAAgACAAIAAgACAAIAAgACAAIAAgACAAIAAgACAAIAAgACAAIAAgACAAIAAgACAAIAAgACAANgAsACAAUwBVAE0AKABDAEgATwBPAFMARQBSAE8AVwBTACgAIABEAGUAcAByAGUAYwBpAGEAdABpAG8AbgBTAGMAaABlAGQAdQBsAGUALAAgAFIAKQApACwAXABuACAAIAAgACAAIAAgACAAIAAgACAAIAAgACAAIAAgACAAIAAgACAAIAAgACAAIAAgACAAIAAgACAAIAAgACAAIAAgACAAIAAgADA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SAGUAdAB1AHIAbgAsACAAIAAgACAAIAAgACAAIAAgAEkARgAoACAASABlAGwAcAA/ACwAIAAyACwAIAAxACkALABcAG4AIAAgACAAIAAgACAAIAAgAEMASABPAE8AUwBFACgAUgBlAHQAdQByAG4ALAAgAFIAZQBzAHUAbAB0ACwAIABIAGUAbABwACkAXABuACAAIAAgACAAKQBcAG4AKQA7AFwAbgBcAG4AXABuAFwAbgAvACoAIAAgAEYAVQBOAEMAVABJAE8ATgAgAE4AQQBNAEUAOgAgACAAQQBsAGwAbwBjAGEAdABlALsDXABuACAAIAAgACAARABFAFMAQwBSAEkAUABUAEkATwBOADoAKgAvAC8AKgAqAJIhRABpAHYAaQBkAGUAIABvAG4AZQAgAG8AcgAgAG0AbwByAGUAIABhAG0AbwB1AG4AdABzACAAZQBxAHUAYQBsAGwAeQAgAGEAYwByAG8AcwBzACAAcwBtAGEAbABsAGUAcgAgAHAAZQByAGkAbwBkAHMAKgAvAFwAbgBBAGwAbABvAGMAYQB0AGUAuwMgAD0AIABMAEEATQBCAEQAQQAoAFwAbgAvAC8AIAAgAFAAYQByAGEAbQBlAHQAZQByACAARABlAGMAbABhAHIAYQB0AGkAbwBuAFwAbgAgACAAIAAgAFsAQQBtAG8AdQBuAHQAcwBdACwAXABuACAAIAAgACAAWwBGAHIAbwBtAEkAbgB0AGUAcgB2AGEAbABdACwAIABcAG4AIAAgACAAIABbAFQAbwBJAG4AdABlAHIAdgBhAGw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QQBsAGwAbwBjAGEAdABlALsDKABBAG0AbwB1AG4AdABzACwAIABbAEYAcgBvAG0ASQBuAHQAZQByAHYAYQBsAF0ALAAgAFsAVABvAEkAbgB0AGUAcgB2AGEAbABdACkAtgBcACIAIAAmAFwAbgAgACAAIAAgACAAIAAgACAAIAAgACAAIAAgACAAIAAgACAAIAAgACAAIAAgACAAIAAgACAAIAAgAFwAIgBEAEUAUwBDAFIASQBQAFQASQBPAE4AOgAgACAAIACSIUQAaQB2AGkAZABlACAAbwBuAGUAIABvAHIAIABtAG8AcgBlACAAYQBtAG8AdQBuAHQAcwAgAGUAcQB1AGEAbABsAHkAIABhAGMAcgBvAHMAcwAgAHMAbQBhAGwAbABlAHIAIABwAGUAcgBpAG8AZABz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tAG8AdQBuAHQAcwAgACAAIAAgACAAIAAgACAAkiEoAFIAZQBxAHUAaQByAGUAZAApACAATwBuAGUAIABhAG0AbwB1AG4AdAAgAG8AcgAgAGEAIAByAG8AdwAgAG8AZgAgAGEAbQBvAHUAbgB0AHMAIAB0AG8AIABhAGwAbABvAGMAYQB0AGUALgC2AFwAIgAgACYAIAAgACAAIAAgACAAIAAgACAAIAAgACAAIAAgACAAIAAgACAAIABcAG4AIAAgACAAIAAgACAAIAAgACAAIAAgACAAIAAgACAAIAAgACAAIAAgACAAIAAgACAAIAAgACAAIABcACIARgByAG8AbQBJAG4AdABlAHIAdgBhAGwAIAAgACAAkiEoAE8AcAB0AGkAbwBuAGEAbAAgAEQAZQBmAGEAdQBsAHQAPQBZACkAIABUAGgAZQAgAGwAYQByAGcAZQByACAAaQBuAHQAZQByAHYAYQBsACAAaQBuACAAUQA9AFEAdQBhAHIAdABlAHIAcwAgAG8AcgAgAFkAPQBZAGUAYQByAHMAtgBcACIAIAAmACAAXABuACAAIAAgACAAIAAgACAAIAAgACAAIAAgACAAIAAgACAAIAAgACAAIAAgACAAIAAgACAAIAAgACAAXAAiAFQAbwBJAG4AdABlAHIAdgBhAGwAIAAgACAAIAAgAJIhKABPAHAAdABpAG8AbgBhAGwAIABEAGUAZgBhAHUAbAB0AD0ATQApACAAVABoAGUAIABzAG0AYQBsAGwAZQByACAAaQBuAHQAZQByAHYAYQBsACAAaQBuACAAVwA9AFcAZQBlAGsAcwAsACAATQA9AE0AbwBuAHQAaABzACwAIABvAHIAIABRAD0AUQB1AGEAcgB0AGUAcgBzALYAXAAiACAAJgAgAFwAbgAgACAAIAAgACAAIAAgACAAIAAgACAAIAAgACAAIAAgACAAIAAgACAAIAAgACAAIAAgACAAIAAgAFwAIgBOAE8AVABFACEAIAAgACAAIAAgACAAIAAgACAAIACSIbYAXAAiACAAJgAgAFwAbgAgACAAIAAgACAAIAAgACAAIAAgACAAIAAgACAAIAAgACAAIAAgACAAIAAgACAAIAAgACAAIAAgACAAIAAgACAAIAAgACAAIAAgACAAIAAgACAAIAAgAFwAIgCSIVcAaABlAG4AIABhACAARgByAG8AbQAgAFAAZQByAGkAbwBkACcAcwAgAGEAbQBvAHUAbgB0ACAAZABvAGUAcwAgAG4AbwB0ACAAZABpAHYAaQBkAGUAIABlAHYAZQBuAGwAeQAgAHQAbwAgAHQAaABlACAAMQAvADEAMAAwACAAZgBvAHIAIABhAGwAbAAgAFQAbwAgAFAAZQByAGkAbwBkAHMAJwAsALYAXAAiACAAJgAgAFwAbgAgACAAIAAgACAAIAAgACAAIAAgACAAIAAgACAAIAAgACAAIAAgACAAIAAgACAAIAAgACAAIAAgACAAIAAgACAAIAAgACAAIAAgACAAIAAgACAAIAAgAFwAIgCSIXQAaABlACAAbABhAHMAdAAgAFQAbwAgAFAAZQByAGkAbwBkACAAYwBvAG4AdABhAGkAbgBzACAAdABoAGUAIABuAGUAYwBlAHMAcwBhAHIAeQAgAGEAZABqAHUAcwB0AG0AZQBuAHQ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bABsAG8AYwBhAHQAZQC7AygAewA5ADkAOQAuADkAOQAsACAAMgAwADAAMAB9ACwAIABcACIAXAAiAFkAXAAiAFwAIgAsACAAXAAiAFwAIgBRAFwAIgBcACI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IANQAwACwAMgA1ADAALAAyADUAMAAsADIANAA5AC4AOQA5ACwANQAwADAALAA1ADAAMAAsADUAMAAwACwANQAw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G0AbwB1AG4AdABzACkALABcAG4AIAAgACAAIAAvAC8AIAAgAFMAZQB0ACAAZABlAGYAYQB1AGwAdABzACAAZgBvAHIAIABvAHAAdABpAG8AbgBhAGwAIAB2AGEAbAB1AGUAcwBcAG4AIAAgACAAIAAgACAAIAAgAEYAcgBvAG0ASQBuAHQAZQByAHYAYQBsACwAIAAgACAASQBGACgAIABJAFMATwBNAEkAVABUAEUARAAoACAARgByAG8AbQBJAG4AdABlAHIAdgBhAGwAKQAsACAAXAAiAFkAXAAiACwAIABGAHIAbwBtAEkAbgB0AGUAcgB2AGEAbAApACwAXABuACAAIAAgACAAIAAgACAAIABUAG8ASQBuAHQAZQByAHYAYQBsACwAIAAgACAAIAAgAEkARgAoACAASQBTAE8ATQBJAFQAVABFAEQAKAAgAFQAbwBJAG4AdABlAHIAdgBhAGwAKQAsACAAXAAiAE0AXAAiACwAIABUAG8ASQBuAHQAZQByAHYAYQBsACkALABcAG4AIAAgACAAIAAvAC8AIAAgAFAAcgBvAGMAZQBkAHUAcgBlAFwAbgAgACAAIAAgACAAIAAgACAARgByAG8AbQAsACAAIAAgACAAIAAgACAAIAAgACAAIABTAFcASQBUAEMASAAoAEYAcgBvAG0ASQBuAHQAZQByAHYAYQBsACwAIABcACIAWQBcACIALAAgADEALAAgAFwAIgBRAFwAIgAsACAANAApACwAXABuACAAIAAgACAAIAAgACAAIABUAG8ALAAgACAAIAAgACAAIAAgACAAIAAgACAAIAAgAFMAVwBJAFQAQwBIACgAVABvAEkAbgB0AGUAcgB2AGEAbAAsACAAXAAiAFEAXAAiACwAIAA0ACwAIABcACIATQBcACIALAAgADEAMgAsACAAXAAiAFcAXAAiACwAIAA1ADIAKQAsAFwAbgAgACAAIAAgACAAIAAgACAARgByAG8AbQBDAG8AdQBuAHQALAAgACAAIAAgACAAIABDAE8AVQBOAFQAKAAgAEEAbQBvAHUAbgB0AHMAKQAsAFwAbgAgACAAIAAgACAAIAAgACAAVABvAEMAbwB1AG4AdAAsACAAIAAgACAAIAAgACAAIABUAG8AIAAvACAARgByAG8AbQAsAFwAbgAgACAAIAAgACAAIAAgACAAUgBlAHMAdQBsAHQALAAgACAAIAAgACAAIAAgACAAIABNAEEASwBFAEEAUgBSAEEAWQAoACAAMQAsACAARgByAG8AbQBDAG8AdQBuAHQAIAAqACAAVABvAEMAbwB1AG4AdAAsAFwAbgAgACAAIAAgACAAIAAgACAAIAAgACAAIAAgACAAIAAgACAAIAAgACAAIAAgACAAIAAgACAAIAAgAEwAQQBNAEIARABBACgAIABSACwAIABDACwAXABuACAAIAAgACAAIAAgACAAIAAgACAAIAAgACAAIAAgACAAIAAgACAAIAAgACAAIAAgACAAIAAgACAAIAAgACAAIABMAEUAVAAoAFwAbgAgACAAIAAgACAAIAAgACAAIAAgACAAIAAgACAAIAAgACAAIAAgACAAIAAgACAAIAAgACAAIAAgACAAIAAgACAALwAvACAAIABDAG8AbAB1AG0AbgAgAEMAIABoAG8AbABkAHMAIABwAGEAcgB0ACAAQwAgAG8AZgAgAGEAbQBvAHUAbgB0ACAAUQBVAE8AVABJAEUATgBUACgAIABDACAALQAgADEALAAgAFQAbwBDAG8AdQBuAHQAKQAgACsAIAAxAFwAbgAgACAAIAAgACAAIAAgACAAIAAgACAAIAAgACAAIAAgACAAIAAgACAAIAAgACAAIAAgACAAIAAgACAAIAAgACAAIAAgACAAIABGAHIAbwBtAEEAbQBvAHUAbgB0ACwAIAAgACAAIAAgAEkATgBEAEUAWAAoACAAQQBtAG8AdQBuAHQAcwAsACAAUQBVAE8AVABJAEUATgBUACgAIABDACAALQAgADEALAAgAFQAbwBDAG8AdQBuAHQAKQAgACsAIAAxACkALABcAG4AIAAgACAAIAAgACAAIAAgACAAIAAgACAAIAAgACAAIAAgACAAIAAgACAAIAAgACAAIAAgACAAIAAgACAAIAAgACAAIAAgACAAVABvAEEAbQBvAHUAbgB0ACwAIAAgACAAIAAgACAAIABSAE8AVQBOAEQAKAAgAEYAcgBvAG0AQQBtAG8AdQBuAHQAIAAqACAARgByAG8AbQAgAC8AIABUAG8ALAAgADIAKQAsAFwAbgAgACAAIAAgACAAIAAgACAAIAAgACAAIAAgACAAIAAgACAAIAAgACAAIAAgACAAIAAgACAAIAAgACAAIAAgACAALwAvACAAIABUAGgAZQAgAGwAYQBzAHQAIABwAGEAcgB0ACAAbwBmACAAZQBhAGMAaAAgAGEAbQBvAHUAbgB0ACAAYwBhAHIAcgBpAGUAcwAgAHQAaABlACAAcgBvAHUAbgBkAGkAbgBnACAAZABpAGYAZgBlAHIAZQBuAGMAZQBcAG4AIAAgACAAIAAgACAAIAAgACAAIAAgACAAIAAgACAAIAAgACAAIAAgACAAIAAgACAAIAAgACAAIAAgACAAIAAgACAAIAAgACAATABhAHMAdAA/ACwAIAAgACAAIAAgACAAIAAgACAAIABNAE8ARAAoACAAQwAgAC0AIAAxACwAIABUAG8AQwBvAHUAbgB0ACkAIAArACAAMQAgAD0AIABUAG8AQwBvAHUAbgB0ACwAXABuACAAIAAgACAAIAAgACAAIAAgACAAIAAgACAAIAAgACAAIAAgACAAIAAgACAAIAAgACAAIAAgACAAIAAgACAAIAAgACAAIAAgAEkARgAoACAAQQBOAEQAKAAgAEwAYQBzAHQAPwAsACAAVABvAEMAbwB1AG4AdAAgAD4AIAAxACkALABcAG4AIAAgACAAIAAgACAAIAAgACAAIAAgACAAIAAgACAAIAAgACAAIAAgACAAIAAgACAAIAAgACAAIAAgACAAIAAgACAAIAAgACAAIAAgACAAIABGAHIAbwBtAEEAbQBvAHUAbgB0ACAALQAgAFMAVQBNACgAIABFAFgAUABBAE4ARAAoACAAVABvAEEAbQBvAHUAbgB0ACwAIAAxACwAIABNAEEAWAAoACAAVABvAEMAbwB1AG4AdAAgAC0AIAAxACwAIAAxACkALAAgAFQAbwBBAG0AbwB1AG4AdAApACkALABcAG4AIAAgACAAIAAgACAAIAAgACAAIAAgACAAIAAgACAAIAAgACAAIAAgACAAIAAgACAAIAAgACAAIAAgACAAIAAgACAAIAAgACAAIAAgACAAIABUAG8AQQBtAG8AdQBuAHQAKQBcAG4AIAAgACAAIAAgACAAIAAgACAAIAAgACAAIAAgACAAIAAgACAAIAAgACAAIAAgACAAIAAgACAAIAAgACAAIAAgACkAXABuACAAIAAgACAAIAAgACAAIAAgACAAIAAgACAAIAAgACAAIAAgACAAIAAgACAAIAAgACAAIAAgACAAKQBcAG4AIAAgACAAIAAgACAAIAAgACAAIAAgACAAIAAgACAAIAAgACAAIAAgACAAIAAgACAAKQAsAFwAbgAgACAAIAAgACA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QAGUAcgBpAG8AZABEAGkAZgBmALsDXABuACAAIAAgACAARABFAFMAQwBSAEkAUABUAEkATwBOADoAKgAvAC8AKgAqAEQAZQB0AGUAcgBtAGkAbgBlACAAdABoAGUAIABuAHUAbQBiAGUAcgAgAG8AZgAgAHAAZQByAGkAbwBkAHMAIABiAGUAdAB3AGUAZQBuACAAdAB3AG8AIABkAGEAdABlAHMALgAqAC8AXABuAFAAZQByAGkAbwBkAEQAaQBmAGYAuwMgAD0AIABMAEEATQBCAEQAQQAoAFwAbgAvAC8AIAAgAFAAYQByAGEAbQBlAHQAZQByACAARABlAGMAbABhAHIAYQB0AGkAbwBuAFwAbgAgACAAIAAgAFsAUwB0AGEAcgB0AEQAYQB0AGUAXQAsAFwAbgAgACAAIAAgAFsARQBuAGQARABhAHQAZQBdACwAIABcAG4AIAAgACAAIABbAEkAbgB0AGUAcgB2AGEAbA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QAGUAcgBpAG8AZABEAGkAZgBmALsDKABTAHQAYQByAHQARABhAHQAZQAsACAARQBuAGQARABhAHQAZQAsACAASQBuAHQAZQByAHYAYQBsACkAtgBcACIAIAAmAFwAbgAgACAAIAAgACAAIAAgACAAIAAgACAAIAAgACAAIAAgACAAIAAgACAAIAAgACAAIAAgACAAIAAgAFwAIgBEAEUAUwBDAFIASQBQAFQASQBPAE4AOgAgACAAIACSIUQAZQB0AGUAcgBtAGkAbgBlACAAdABoAGUAIABuAHUAbQBiAGUAcgAgAG8AZgAgAHAAZQByAGkAbwBkAHMAIABiAGUAdAB3AGUAZQBuACAAdAB3AG8AIABkAGEAdABlAHMALgC2AFwAIgAgACYAXABuACAAIAAgACAAIAAgACAAIAAgACAAIAAgACAAIAAgACAAIAAgACAAIAAgACAAIAAgACAAIAAgACAAXAAiAE4ATwBUAEUAUwAhACAAIAAgACAAIAAgACAAIAAgAJIhVABoAGkAcwAgAGkAbQBwAHIAbwB2AGUAcwAgAG8AbgAsACAAYQBuAGQAIABjAG8AcgByAGUAYwB0AHMAIABwAHIAbwBiAGwAZQBtAHMAIAB3AC8ARQB4AGMAZQBsACcAcwAgAGQAZQBwAHIAZQBjAGEAdABlAGQAIABEAEEAVABFAEQASQBGACgAKQAgAGYAdQBuAGMAdABpAG8Abg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UwB0AGEAcgB0AEQAYQB0AGUAIAAgACAAIAAgACAAkiEoAFIAZQBxAHUAaQByAGUAZAApACAAUwB0AGEAcgB0ACAARABhAHQAZQAuALYAXAAiACAAJgAgACAAIAAgACAAIAAgACAAIAAgACAAIAAgACAAIAAgACAAIAAgAFwAbgAgACAAIAAgACAAIAAgACAAIAAgACAAIAAgACAAIAAgACAAIAAgACAAIAAgACAAIAAgACAAIAAgAFwAIgBFAG4AZABEAGEAdABlACAAIAAgACAAIAAgACAAIACSISgAUgBlAHEAdQBpAHIAZQBkACkAIABFAG4AZAAgAEQAYQB0AGUAtgBcACIAIAAmACAAXABuACAAIAAgACAAIAAgACAAIAAgACAAIAAgACAAIAAgACAAIAAgACAAIAAgACAAIAAgACAAIAAgACAAXAAiAEkAbgB0AGUAcgB2AGEAbAAgACAAIAAgACAAIAAgAJIhKABSAGUAcQB1AGkAcgBlAGQAKQAgAFcAPQBXAGUAZQBrACwAIABNAD0ATQBvAG4AdABoACwAIABRAD0AUQB1AGEAcgB0AGUAcgAsACAAWQA9AFkAZQBhAHIALgC2AFwAIgAgACY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MgAgACAAIAAgACAAIAAgACAAIAAgACAAIAAgACAAkiE9AG8AegAuAFAAZQByAGkAbwBkAEQAaQBmAGYAuwMoAFwAIgBcACIAMgAwADIANgAtADAAMQAtADAAMQBcACIAXAAiACwAIABcACIAXAAiADIAMAAyADYALQAwADQALQAxADUAXAAiAFwAIgAsACAAXAAiAFwAIgBR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EQAYQB0AGUAKQAsAFwAbgAgACAAIAAgACAAIAAgACAAIAAgACAAIAAgACAAIAAgACAAIAAgACAAIAAgACAAIAAgACAAIAAgAEkAUwBPAE0ASQBUAFQARQBEACgAIABFAG4AZABEAGEAdABlACkALABcAG4AIAAgACAAIAAgACAAIAAgACAAIAAgACAAIAAgACAAIAAgACAAIAAgACAAIAAgACAAIAAgACAAIABJAFMATwBNAEkAVABUAEUARAAoACAASQBuAHQAZQByAHYAYQBsACkAXABuACAAIAAgACAAIAAgACAAIAAgACAAIAAgACAAIAAgACAAIAAgACAAIAAgACAAIAAgACkALABcAG4AIAAgACAAIAAvAC8AIAAgAEMAbwBuAHMAdABhAG4AdABzAFwAbgAgACAAIAAgACAAIAAgACAATQBwAFAALAAgACAAIAAgACAAIAAgACAAIAAgACAAIAAgACAAIAAgAFMAVwBJAFQAQwBIACgAIABJAG4AdABlAHIAdgBhAGwALAAgAFwAIgBNAFwAIgAsACAAMQAsACAAXAAiAFEAXAAiACwAIAAzACwAIABcACIAWQBcACIALAAgADEAMgAsACAAMAApACwAXABuACAAIAAgACAALwAvACAAIABQAHIAbwBjAGUAZAB1AHIAZQBcAG4AIAAgACAAIAAgACAAIAAgAE0AbwBuAHQAaABzACwAIAAgACAAIAAgACAAIAAgACAAIAAgACAAIABEAEEAVABFAEQASQBGACgAIABTAHQAYQByAHQARABhAHQAZQAsACAARQBuAGQARABhAHQAZQAsACAAXAAiAE0AXAAiACkAIAArACAAMQAsAFwAbgAgACAAIAAgAC8ALwAgACAATQBwAFAAIABpAHMAIAAwACAAZgBvAHIAIABcACIAVwBcACIAIABhAG4AZAAgAGYAbwByACAAYQBuAHkAIABpAG4AdABlAHIAdgBhAGwAIABTAFcASQBUAEMASAAgAGQAbwBlAHMAIABuAG8AdAAgAHIAZQBjAG8AZwBuAGkAcwBlACwAIABhAG4AZAAgAGIAbwB0AGgAXABuACAAIAAgACAALwAvACAAIABJAE4AVAAoACAATQBvAG4AdABoAHMAIAAvACAAMAApACAAYQBuAGQAIABNAE8ARAAoACAATQBvAG4AdABoAHMALAAgADAAKQAgAGEAcgBlACAAIwBEAEkAVgAvADAAIQAuACAAVABoAGUAIAB3AGUAZQBrAGwAeQAgAHIAZQBzAHUAbAB0ACAAbgBlAHYAZQByAFwAbgAgACAAIAAgAC8ALwAgACAAbgBlAGUAZABzACAAdABoAGUAIABtAG8AbgB0AGgAIABhAHIAaQB0AGgAbQBlAHQAaQBjACwAIABhAG4AZAAgAGEAbgAgAHUAbgByAGUAYwBvAGcAbgBpAHMAZQBkACAAaQBuAHQAZQByAHYAYQBsACAAaQBzACAAcgBlAHAAbwByAHQAZQBkACAAYgBlAGwAbwB3AC4AXABuACAAIAAgACAAIAAgACAAIABEAGkAdgBpAHMAbwByACwAIAAgACAAIAAgACAAIAAgACAAIAAgACAASQBGACgAIABNAHAAUAAgAD0AIAAwACwAIAAxACwAIABNAHAAUAApACwAXABuACAAIAAgACAAIAAgACAAIABQAGUAcgBpAG8AZABzACwAIAAgACAAIAAgACAAIAAgACAAIAAgACAASQBOAFQAKAAgAE0AbwBuAHQAaABzACAALwAgAEQAaQB2AGkAcwBvAHIAKQAsAFwAbgAgACAAIAAgACAAIAAgACAAUABhAHIAdABpAGEAbABQAGUAcgBpAG8AZAAsACAAIAAgACAAIAAgAE4AKAAgAE0ATwBEACgAIABNAG8AbgB0AGgAcwAsACAARABpAHYAaQBzAG8AcgApACAAPgAgADAAKQAsAFwAbgAgACAAIAAgACAAIAAgACAARQBPAE0AQwBvAHIAcgBlAGMAdABpAG8AbgAsACAAIAAgACAAIAAgAE4AKAAgAEEATgBEACgAIABFAG4AZABEAGEAdABlACAAPQAgAEUATwBNAE8ATgBUAEgAKAAgAEUAbgBkAEQAYQB0AGUALAAgADAAKQAsACAARABBAFkAKAAgAFMAdABhAHIAdABEAGEAdABlACkAIAA+ACAARABhAHkAKAAgAEUAbgBkAEQAYQB0AGUAKQApACkALABcAG4AIAAgACAAIAAgACAAIAAgAFIAZQBzAHUAbAB0ACwAIAAgACAAIAAgACAAIAAgACAAIAAgACAAIABJAEYAUwAoACAASQBuAHQAZQByAHYAYQBsACAAPQAgAFwAIgBXAFwAIgAsACAASQBOAFQAKAAoAEUAbgBkAEQAYQB0AGUAIAAtACAAUwB0AGEAcgB0AEQAYQB0AGUAIAArACAAMQApACAALwAgADcAKQAsAFwAbgAgACAAIAAgACAAIAAgACAAIAAgACAAIAAgACAAIAAgACAAIAAgACAAIAAgACAAIAAgACAAIAAgACAAIAAgACAAIABNAHAAUAAgAD0AIAAwACwAIAAgACAAIAAgACAAIAAgAE4AQQAoACkALABcAG4AIAAgACAAIAAgACAAIAAgACAAIAAgACAAIAAgACAAIAAgACAAIAAgACAAIAAgACAAIAAgACAAIAAgACAAIAAgACAAVABSAFUARQAsACAAIAAgACAAIAAgACAAIAAgACAAIABQAGUAcgBpAG8AZABzACAAKwAgAE8AUgAoAFAAYQByAHQAaQBhAGwAUABlAHIAaQBvAGQALAAgAEUATwBNAEMAbwByAHIAZQBjAHQAaQBvAG4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TAEwATgC7A1wAbgAgACAAIAAgAEQARQBTAEMAUgBJAFAAVABJAE8ATgA6ACoALwAvACoAKgBTAHQAcgBhAGkAZwBoAHQAIABMAGkAbgBlACAAZABlAHAAcgBlAGMAaQBhAHQAaQBvAG4AIABtAGUAdABoAG8AZAAgAGYAbwByACAAbwBuAGUAIABhAHMAcwBlAHQAIABvAHIAIABhAHMAcwBlAHQAIABjAGwAYQBzAHMALgAqAC8AXABuAFMATABOALsDIAA9ACAATABBAE0AQgBEAEEAKABcAG4ALwAvACAAIABQAGEAcgBhAG0AZQB0AGUAcgAgAEQAZQBjAGwAYQByAGEAdABpAG8AbgBcAG4AIAAgACAAIABbAEMAbwBzAHQAXQAsAFwAbgAgACAAIAAgAFsAUwBhAGwAdgBhAGcAZQBdACwAIABcAG4AIAAgACAAIABbAEwAaQBmAGU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MAE4AuwMoAEMAbwBzAHQALAAgAFMAYQBsAHYAYQBnAGUALAAgAEwAaQBmAGUAKQC2AFwAIgAgACYAXABuACAAIAAgACAAIAAgACAAIAAgACAAIAAgACAAIAAgACAAIAAgACAAIAAgACAAIAAgACAAIAAgACAAXAAiAEQARQBTAEMAUgBJAFAAVABJAE8ATgA6ACAAIAAgAJIhUwB0AHIAYQBpAGcAaAB0ACAATABpAG4AZQAgAEQAZQBwAHIAZQBjAGkAYQB0AGkAbwBuACAATQBlAHQAaABvAGQAIABmAG8AcgAgAG8AbgBlACAAYQBzAHMAZQB0ACAAbwByACAAYQBzAHMAZQB0ACAAYwBsAGEAcwBzAC4AtgBcACIAIAAm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TAEwATgC7AygAMQAwADAAMAAsACAAMQAwADAALAAgAD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EAOAAwACwAMQA4ADAALAAxADgAMAAsADEAOAAwACwAMQA4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QAHIAbwBjAGUAZAB1AHIAZQAuACAAQQAgAGYAcgBhAGMAdABpAG8AbgBhAGwAIABsAGkAZgBlACAAawBlAGUAcABzACAAaQB0AHMAIAB3AGgAbwBsAGUAIAB5AGUAYQByAHMAIABhAHQAIAB0AGgAZQAgAGEAbgBuAHUAYQBsACAAYwBoAGEAcgBnAGUAIABhAG4AZABcAG4AIAAgACAAIAAvAC8AIAAgAHAAdQB0AHMAIAB0AGgAZQAgAHIAZQBtAGEAaQBuAGQAZQByACAAaQBuACAAbwBuAGUAIABmAGkAbgBhAGwAIABwAGEAcgB0AC0AeQBlAGEAcgAgAGMAbwBsAHUAbQBuACwAIABzAG8AIABuAG8AdABoAGkAbgBnACAAaQBzACAAbABlAGYAdAAgAHUAbgBkAGUAcAByAGUAYwBpAGEAdABlAGQALgBcAG4AIAAgACAAIAAgACAAIAAgAEQAZQBwAG4ALAAgACAAIAAgACAAIAAgACAAIAAgACAAUwBMAE4AKAAgAEMAbwBzAHQALAAgAFMAYQBsAHYAYQBnAGUALAAgAEwAaQBmAGUAKQAsAFwAbgAgACAAIAAgACAAIAAgACAAVwBoAG8AbABlACwAIAAgACAAIAAgACAAIAAgACAAIABJAE4AVAAoACAATABpAGYAZQApACwAXABuACAAIAAgACAAIAAgACAAIABSAGUAcwB1AGwAdAAsACAAIAAgACAAIAAgACAAIAAgAEkARgAoACAAVwBoAG8AbABlACAAPQAgAEwAaQBmAGUALAAgAEUAWABQAEEATgBEACgAIABEAGUAcABuACwAIAAxACwAIABMAGkAZgBlACwAIABEAGUAcABuACkALABcAG4AIAAgACAAIAAgACAAIAAgACAAIAAgACAAIAAgACAAIAAgACAAIAAgACAAIAAgACAAIAAgACAAIABJAEYAKAAgAFcAaABvAGwAZQAgAD0AIAAwACwAIABDAG8AcwB0ACAALQAgAFMAYQBsAHYAYQBnAGUALABcAG4AIAAgACAAIAAgACAAIAAgACAAIAAgACAAIAAgACAAIAAgACAAIAAgACAAIAAgACAAIAAgACAAIAAgACAAIAAgAEgAUwBUAEEAQwBLACgAIABFAFgAUABBAE4ARAAoACAARABlAHAAbgAsACAAMQAsACAAVwBoAG8AbABlACwAIABEAGUAcABuACkALAAgAEMAbwBzAHQAIAAtACAAUwBhAGwAdgBhAGcAZQAgAC0AIABEAGUAcABuACAAKgAgAFcAaABvAGwAZQApACkAKQ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TAFkARAC7A1wAbgAgACAAIAAgAEQARQBTAEMAUgBJAFAAVABJAE8ATgA6ACoALwAvACoAKgBTAHUAbQAtAG8AZgAtAHkAZQBhAHIAcwAnACAAZABpAGcAaQB0AHMAIABkAGUAcAByAGUAYwBpAGEAdABpAG8AbgAgAG0AZQB0AGgAbwBkACAAZgBvAHIAIABvAG4AZQAgAGEAcwBzAGUAdAAgAG8AcgAgAGEAcwBzAGUAdAAgAGMAbABhAHMAcwAuACoALwBcAG4AUwBZAEQAuwMgAD0AIABMAEEATQBCAEQAQQAoAFwAbgAvAC8AIAAgAFAAYQByAGEAbQBlAHQAZQByACAARABlAGMAbABhAHIAYQB0AGkAbwBuAFwAbgAgACAAIAAgAFsAQwBvAHMAdABdACwAXABuACAAIAAgACAAWwBTAGEAbAB2AGEAZwBlAF0ALAAgAFwAbgAgACAAIAAgAFsATABpAGYAZQ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TAFkARAC7AygAQwBvAHMAdAAsACAAUwBhAGwAdgBhAGcAZQAsACAATABpAGYAZQApALYAXAAiACAAJgBcAG4AIAAgACAAIAAgACAAIAAgACAAIAAgACAAIAAgACAAIAAgACAAIAAgACAAIAAgACAAIAAgACAAIABcACIARABFAFMAQwBSAEkAUABUAEkATwBOADoAIAAgACAAkiFTAHUAbQAtAG8AZgAtAHkAZQBhAHIAcwAnACAAZABpAGcAaQB0AHMAIABkAGUAcAByAGUAYwBpAGEAdABpAG8AbgAgAG0AZQB0AGgAbwBkACAAZgBvAHIAIABvAG4AZQAgAGEAcwBzAGUAdAAgAG8AcgAgAGEAcwBzAGUAdAAgAGMAbABhAHMAcw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C2AFwAIgAgACYAIABcAG4AIAAgACAAIAAgACAAIAAgACAAIAAgACAAIAAgACAAIAAgACAAIAAgACAAIAAgACAAIAAgACAAIABcACIATABpAGYAZQAgACAAIAAgACAAIAAgACAAIAAgACAAkiEoAFIAZQBxAHUAaQByAGUAZAApACAAQQBzAHMAZQB0ACcAcwAgAHUAcwBlAGYAdQBsACAAbABpAGYAZQAgAGkAbgAgAHkAZQBhAHIAcw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ZAEQ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zADAAMAAsADIANAAwACwAMQA4ADAALAAxADIAMAAsADYAMA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AAcgBvAGMAZQBkAHUAcgBlAFwAbgAgACAAIAAgACAAIAAgACAAUgBlAHMAdQBsAHQALAAgACAAIAAgACAAIAAgACAAUwBZAEQAKABDAG8AcwB0ACwAIABTAGEAbAB2AGEAZwBlACwAIABMAGkAZgBlACwAIABTAEUAUQBVAEUATgBDAEUAKAAgACwAIABMAGkAZgBlACk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ABCALsDXABuACAAIAAgACAARABFAFMAQwBSAEkAUABUAEkATwBOADoAKgAvAC8AKgAqAEYAaQB4AGUAZAAgAGQAZQBjAGwAaQBuAGkAbgBnACAAYgBhAGwAYQBuAGMAZQAgAGQAZQBwAHIAZQBjAGkAYQB0AGkAbwBuACAAbQBlAHQAaABvAGQAIABmAG8AcgAgAG8AbgBlACAAYQBzAHMAZQB0ACAAbwByACAAYQBzAHMAZQB0ACAAYwBsAGEAcwBzAC4AKgAvAFwAbgBEAEIAuwMgAD0AIABMAEEATQBCAEQAQQAoAFwAbgAvAC8AIAAgAFAAYQByAGEAbQBlAHQAZQByACAARABlAGMAbABhAHIAYQB0AGkAbwBuAFwAbgAgACAAIAAgAFsAQwBvAHMAdABdACwAXABuACAAIAAgACAAWwBTAGEAbAB2AGEAZwBlAF0ALAAgAFwAbgAgACAAIAAgAFsATABpAGYAZQBdACwAIABcAG4AIAAgACAAIABbAE0AbwBuAHQAaABz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EAEIAuwMoAEMAbwBzAHQALAAgAFMAYQBsAHYAYQBnAGUALAAgAEwAaQBmAGUALAAgAFsATQBvAG4AdABoAHMAXQApALYAXAAiACAAJgBcAG4AIAAgACAAIAAgACAAIAAgACAAIAAgACAAIAAgACAAIAAgACAAIAAgACAAIAAgACAAIAAgACAAIABcACIARABFAFMAQwBSAEkAUABUAEkATwBOADoAIAAgACAAkiFGAGkAeABlAGQAIABkAGUAYwBsAGkAbgBpAG4AZwAgAGIAYQBsAGEAbgBjAGUAIABkAGUAcAByAGUAYwBpAGEAdABpAG8AbgAgAG0AZQB0AGgAbwBkACAAZgBvAHIAIABvAG4AZQAgAGEAcwBzAGUAdAAgAG8AcgAgAGEAcwBzAGUAdAAgAGMAbABhAHMAcwC2AFwAIgAgACYAXABuACAAIAAgACA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AgACAAIAAgAFwAIgBWAEUAUgBTAEkATwBOADoAIAAgACAAIAAgACAAIACSITIAMAAgAEEAdQBnACAAMgAwADIANgC2AFwAIgAgACYAXABuACAAIAAgACAAIAAgACAAIAAgACAAIAAgACAAIAAgACAAIAAgACAAIAAgACAAIAAgACAAIAAgACAAXAAiAE4ATwBUAEUAUwA6ACAAIAAgACAAIAAgACAAIAAgAJIhRgBvAHIAIABhACAAcABvAHMAaQB0AGkAdgBlACAAdwBoAG8AbABlAC0AbgB1AG0AYgBlAHIAIABMAGkAZgBlACwAIAByAGUAdAB1AHIAbgBzACAATABpAGYAZQAgAHMAYwBoAGUAZAB1AGwAZQAgAHYAYQBsAHUAZQBzAC4AtgBcACIAIAAmAFwAbgAgACAAIAAgACAAIAAgACAAIAAgACAAIAAgACAAIAAgACAAIAAgACAAIAAgACAAIAAgACAAIAAgAFwAIgAgACAAIAAgACAAIAAgACAAIAAgACAAIAAgACAAIACSIVQAaABlACAAZgBpAHIAcwB0ACAATABpAGYAZQAtADEAIAB2AGEAbAB1AGUAcwAgAHUAcwBlACAARQB4AGMAZQBsACcAcwAgAEQAQgAgAGMAYQBsAGMAdQBsAGEAdABpAG8AbgAuALYAXAAiACAAJgBcAG4AIAAgACAAIAAgACAAIAAgACAAIAAgACAAIAAgACAAIAAgACAAIAAgACAAIAAgACAAIAAgACAAIABcACIAIAAgACAAIAAgACAAIAAgACAAIAAgACAAIAAgACAAkiFUAGgAZQAgAGYAaQBuAGEAbAAgAHYAYQBsAHUAZQAgAG0AYQBrAGUAcwAgAHQAbwB0AGEAbAAgAGQAZQBwAHIAZQBjAGkAYQB0AGkAbwBuACAAZQBxAHUAYQBsACAAQwBvAHMAdAAgAG0AaQBuAHUAcwAgAFMAYQBsAHYAYQBnAGUALgC2AFwAIgAgACYAXABuACAAIAAgACAAIAAgACAAIAAgACAAIAAgACAAIAAgACAAIAAgACAAIAAgACAAIAAgACAAIAAgACAAXAAiACAAIAAgACAAIAAgACAAIAAgACAAIAAgACAAIAAgAJIhTQBvAG4AdABoAHMAIABhAHAAcABsAGkAZQBzACAAdABvACAAdABoAGUAIABmAGkAcgBzAHQAIABvAGYAIAB0AGgAbwBzAGUAIABlAGEAcgBsAGkAZQByACAAdgBhAGwAdQBlAHMAOwAgAG4AbwAgAGUAeAB0AHIAYQAgAGYAaQBuAGEAbAAgAHAAZQByAGkAbwBkACAAaQBzACAAYQBkAGQAZQBkAC4AtgBcACIAIAAmAFwAbgAgACAAIAAgACAAIAAgACAAIAAgACAAIAAgACAAIAAgACAAIAAgACAAIAAgACAAIAAgACAAIAAgAFwAIgAgACAAIAAgACAAIAAgACAAIAAgACAAIAAgACAAIACSIUEAIABvAG4AZQAtAHkAZQBhAHIAIABsAGkAZgBlACAAcgBlAHQAdQByAG4AcwAgAEMAbwBzAHQAIABtAGkAbgB1AHMAIABTAGEAbAB2AGEAZwBlACwAIAByAGUAZwBhAHIAZABsAGUAcwBzACAAbwBmACAATQBvAG4AdABoAHMAL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0ACAAdABoAGUAIABlAG4AZAAgAG8AZgAgAGkAdABzACAAbABpAGYAZQAuACAATQBhAHkAIABiAGUAIAAwAC4AtgBcACIAIAAm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0AbwBuAHQAaABzACAAIAAgACAAIAAgACAAIAAgAJIhKABPAHAAdABpAG8AbgBhAGwAKQAgAE4AdQBtAGIAZQByACAAbwBmACAAbQBvAG4AdABoAHMAIABpAG4AIAB0AGgAZQAgAGYAaQByAHMAdAAgAHkAZQBhAHIAIAB0AG8AIABkAGUAcAByAGUAYwBpAGEAdABl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EAEI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zADYAOQAuADAAMAAsADIAMwAyAC4AOAA0ACwAMQA0ADYALgA5ADIALAA5ADIALgA3ADEALAA1ADgALgA1ADM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NAG8AbgB0AGgAcwAsACAAIAAgACAAIAAgACAAIAAgAEkARgAoACAASQBTAE8ATQBJAFQAVABFAEQAKAAgAE0AbwBuAHQAaABzACkALAAgADEAMgAsACAATQBvAG4AdABoAHMAKQAsAFwAbgAgACAAIAAgAC8ALwAgACAAUAByAG8AYwBlAGQAdQByAGUALgAgAEEAIABvAG4AZQAtAHkAZQBhAHIAIABsAGkAZgBlACAAaABhAHMAIABuAG8AIABwAHIAZQBjAGUAZABpAG4AZwAgAHkAZQBhAHIAcwAgAHQAbwAgAHMAYwBoAGUAZAB1AGwAZQAsACAAcwBvACAAdABoAGUAIAB3AGgAbwBsAGUAXABuACAAIAAgACAALwAvACAAIABkAGUAcAByAGUAYwBpAGEAYgBsAGUAIABhAG0AbwB1AG4AdAAgAGkAcwAgAHQAaABlACAAZgBpAG4AYQBsAC0AeQBlAGEAcgAgAGIAYQBsAGEAbgBjAGUALgBcAG4AIAAgACAAIAAgACAAIAAgAEQAZQBwAG4ALAAgACAAIAAgACAAIAAgACAAIAAgACAARABCACgAIABDAG8AcwB0ACwAIABTAGEAbAB2AGEAZwBlACwAIABMAGkAZgBlACwAIABTAEUAUQBVAEUATgBDAEUAKAAgACwAIABNAEEAWAAoACAATABpAGYAZQAgAC0AIAAxACwAIAAxACkAKQAsACAATQBvAG4AdABoAHMAKQAsAFwAbgAgACAAIAAgACAAIAAgACAAUgBlAHMAdQBsAHQALAAgACAAIAAgACAAIAAgACAAIABJAEYAKAAgAEwAaQBmAGUAIAA8ACAAMgAsACAAQwBvAHMAdAAgAC0AIABTAGEAbAB2AGEAZwBlACwAIABIAFMAVABBAEMASwAoACAARABlAHAAbgAsACAAQwBvAHMAdAAgAC0AIABTAFUATQAoACAARABlAHAAbgApACAALQAgAFMAYQBsAHYAYQBnAGU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EAEQAQgC7A1wAbgAgACAAIAAgAEQARQBTAEMAUgBJAFAAVABJAE8ATgA6ACoALwAvACoAKgBEAG8AdQBiAGwAZQAtAGQAZQBjAGwAaQBuAGkAbgBnACAAYgBhAGwAYQBuAGMAZQAgAGQAZQBwAHIAZQBjAGkAYQB0AGkAbwBuACAAbQBlAHQAaABvAGQAIABmAG8AcgAgAG8AbgBlACAAYQBzAHMAZQB0ACAAbwByACAAYQBzAHMAZQB0ACAAYwBsAGEAcwBzAC4AKgAvAFwAbgBEAEQAQgC7AyAAPQAgAEwAQQBNAEIARABBACgAXABuAC8ALwAgACAAUABhAHIAYQBtAGUAdABlAHIAIABEAGUAYwBsAGEAcgBhAHQAaQBvAG4AXABuACAAIAAgACAAWwBDAG8AcwB0AF0ALABcAG4AIAAgACAAIABbAFMAYQBsAHYAYQBnAGUAXQAsACAAXABuACAAIAAgACAAWwBMAGkAZgBlAF0ALAAgAFwAbgAgACAAIAAgAFsARgBhAGMAdABvAHI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QARABCALsDKABDAG8AcwB0ACwAIABTAGEAbAB2AGEAZwBlACwAIABMAGkAZgBlACwAIABbAEYAYQBjAHQAbwByAF0AKQC2AFwAIgAgACYAXABuACAAIAAgACAAIAAgACAAIAAgACAAIAAgACAAIAAgACAAIAAgACAAIAAgACAAIAAgACAAIAAgACAAXAAiAEQARQBTAEMAUgBJAFAAVABJAE8ATgA6ACAAIAAgAJIhRABvAHUAYgBsAGUALQBkAGUAYwBsAGkAbgBpAG4AZwAgAGIAYQBsAGEAbgBjAGUAIABkAGUAcAByAGUAYwBpAGEAdABpAG8AbgAgAG0AZQB0AGgAbwBkACAAZgBvAHIAIABvAG4AZQAgAGEAcwBzAGUAdAAgAG8AcgAgAGEAcwBzAGUAdAAgAGMAbABhAHMAcw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TgBPAFQARQBTADoAIAAgACAAIAAgACAAIAAgACAAkiFGAG8AcgAgAGEAIABwAG8AcwBpAHQAaQB2AGUAIAB3AGgAbwBsAGUALQBuAHUAbQBiAGUAcgAgAEwAaQBmAGUALAAgAHIAZQB0AHUAcgBuAHMAIABMAGkAZgBlACAAcwBjAGgAZQBkAHUAbABlACAAdgBhAGwAdQBlAHMALgC2AFwAIgAgACYAXABuACAAIAAgACAAIAAgACAAIAAgACAAIAAgACAAIAAgACAAIAAgACAAIAAgACAAIAAgACAAIAAgACAAXAAiACAAIAAgACAAIAAgACAAIAAgACAAIAAgACAAIAAgAJIhVABoAGUAIABmAGkAcgBzAHQAIABMAGkAZgBlAC0AMQAgAHYAYQBsAHUAZQBzACAAdQBzAGUAIABFAHgAYwBlAGwAJwBzACAARABEAEIAIABjAGEAbABjAHUAbABhAHQAaQBvAG4ALgC2AFwAIgAgACYAXABuACAAIAAgACAAIAAgACAAIAAgACAAIAAgACAAIAAgACAAIAAgACAAIAAgACAAIAAgACAAIAAgACAAXAAiACAAIAAgACAAIAAgACAAIAAgACAAIAAgACAAIAAgAJIhVABoAGUAIABmAGkAbgBhAGwAIAB2AGEAbAB1AGUAIABtAGEAawBlAHMAIAB0AG8AdABhAGwAIABkAGUAcAByAGUAYwBpAGEAdABpAG8AbgAgAGUAcQB1AGEAbAAgAEMAbwBzAHQAIABtAGkAbgB1AHMAIABTAGEAbAB2AGEAZwBlAC4AtgBcACIAIAAmAFwAbgAgACAAIAAgACAAIAAgACAAIAAgACAAIAAgACAAIAAgACAAIAAgACAAIAAgACAAIAAgACAAIAAgAFwAIgAgACAAIAAgACAAIAAgACAAIAAgACAAIAAgACAAIACSIUEAIABvAG4AZQAtAHkAZQBhAHIAIABsAGkAZgBlACAAcgBlAHQAdQByAG4AcwAgAEMAbwBzAHQAIABtAGkAbgB1AHMAIABTAGEAbAB2AGEAZwBlACwAIAByAGUAZwBhAHIAZABsAGUAcwBzACAAbwBmACAARgBhAGMAdABvAHIAL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0ACAAdABoAGUAIABlAG4AZAAgAG8AZgAgAGkAdABzACAAbABpAGYAZQAuACAATQBhAHkAIABiAGUAIAAwAC4AtgBcACIAIAAm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YAYQBjAHQAbwByACAAIAAgACAAIAAgACAAIAAgAJIhKABPAHAAdABpAG8AbgBhAGwAIABEAGUAZgBhAHUAbAB0AD0AMgApACAAUgBhAHQAZQAgAGEAdAAgAHcAaABpAGMAaAAgAHQAaABlACAAYgBhAGwAYQBuAGMAZQAgAGQAZQBjAGwAaQBuAGUAcw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RABEAEI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0ADAAMAAuADAAMAAsADIANAAwAC4AMAAwACwAMQA0ADQALgAwADAALAA4ADYALgA0ADAALAAyADkALgA2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GAGEAYwB0AG8AcgAsACAAIAAgACAAIAAgACAAIAAgAEkARgAoACAASQBTAE8ATQBJAFQAVABFAEQAKAAgAEYAYQBjAHQAbwByACkALAAgADIALAAgAEYAYQBjAHQAbwByACkALABcAG4AIAAgACAAIAAvAC8AIAAgAFAAcgBvAGMAZQBkAHUAcgBlAC4AIABBACAAbwBuAGUALQB5AGUAYQByACAAbABpAGYAZQAgAGgAYQBzACAAbgBvACAAcAByAGUAYwBlAGQAaQBuAGcAIAB5AGUAYQByAHMAIAB0AG8AIABzAGMAaABlAGQAdQBsAGUALAAgAHMAbwAgAHQAaABlACAAdwBoAG8AbABlAFwAbgAgACAAIAAgAC8ALwAgACAAZABlAHAAcgBlAGMAaQBhAGIAbABlACAAYQBtAG8AdQBuAHQAIABpAHMAIAB0AGgAZQAgAGYAaQBuAGEAbAAtAHkAZQBhAHIAIABiAGEAbABhAG4AYwBlAC4AXABuACAAIAAgACAAIAAgACAAIABEAGUAcABuACwAIAAgACAAIAAgACAAIAAgACAAIAAgAEQARABCACgAIABDAG8AcwB0ACwAIABTAGEAbAB2AGEAZwBlACwAIABMAGkAZgBlACwAIABTAEUAUQBVAEUATgBDAEUAKAAgACwAIABNAEEAWAAoACAATABpAGYAZQAgAC0AIAAxACwAIAAxACkAKQAsACAARgBhAGMAdABvAHIAKQAsAFwAbgAgACAAIAAgACAAIAAgACAAUgBlAHMAdQBsAHQALAAgACAAIAAgACAAIAAgACAAIABJAEYAKAAgAEwAaQBmAGUAIAA8ACAAMgAsACAAQwBvAHMAdAAgAC0AIABTAGEAbAB2AGEAZwBlACwAIABIAFMAVABBAEMASwAoACAARABlAHAAbgAsACAAQwBvAHMAdAAgAC0AIABTAFUATQAoACAARABlAHAAbgApACAALQAgAFMAYQBsAHYAYQBnAGU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WAEQAQgC7A1wAbgAgACAAIAAgAEQARQBTAEMAUgBJAFAAVABJAE8ATgA6ACoALwAvACoAKgBWAGEAcgBpAGEAYgBsAGUAIABkAGUAYwBsAGkAbgBpAG4AZwAgAGIAYQBsAGEAbgBjAGUAIABkAGUAcAByAGUAYwBpAGEAdABpAG8AbgAgAG0AZQB0AGgAbwBkACAAZgBvAHIAIABvAG4AZQAgAGEAcwBzAGUAdAAgAG8AcgAgAGEAcwBzAGUAdAAgAGMAbABhAHMAcwAuACoALwBcAG4AVgBEAEIAuwMgAD0AIABMAEEATQBCAEQAQQAoAFwAbgAvAC8AIAAgAFAAYQByAGEAbQBlAHQAZQByACAARABlAGMAbABhAHIAYQB0AGkAbwBuAFwAbgAgACAAIAAgAFsAQwBvAHMAdABdACwAXABuACAAIAAgACAAWwBTAGEAbAB2AGEAZwBlAF0ALAAgAFwAbgAgACAAIAAgAFsATABpAGYAZQBdACwAIABcAG4AIAAgACAAIABbAEYAYQBjAHQAbwByAF0ALABcAG4AIAAgACAAIABbAE4AbwBfAFMAdwBpAHQAYwBo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WAEQAQgC7AygAQwBvAHMAdAAsACAAUwBhAGwAdgBhAGcAZQAsACAATABpAGYAZQAsACAAWwBGAGEAYwB0AG8AcgBdACwAIABbAE4AbwBfAFMAdwBpAHQAYwBoAF0AKQC2AFwAIgAgACYAXABuACAAIAAgACAAIAAgACAAIAAgACAAIAAgACAAIAAgACAAIAAgACAAIAAgACAAIAAgACAAIAAgACAAXAAiAEQARQBTAEMAUgBJAFAAVABJAE8ATgA6ACAAIAAgAJIhVgBhAHIAaQBhAGIAbABlACAAZABlAGMAbABpAG4AaQBuAGcAIABiAGEAbABhAG4AYwBlACAAZABlAHAAcgBlAGMAaQBhAHQAaQBvAG4AIABtAGUAdABoAG8AZAAgAGYAbwByACAAbwBuAGUAIABhAHMAcwBlAHQAIABvAHIAIABhAHMAcwBlAHQAIABjAGwAYQBzAHMALgC2AFwAIgAgACYAXABuACAAIAAgACA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0ACAAdABoAGUAIABlAG4AZAAgAG8AZgAgAGkAdABzACAAbABpAGYAZQAuACAATQBhAHkAIABiAGUAIAAwAC4AtgBcACIAIAAm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YAYQBjAHQAbwByACAAIAAgACAAIAAgACAAIAAgAJIhKABPAHAAdABpAG8AbgBhAGwAIABEAGUAZgBhAHUAbAB0AD0AMgApACAAUgBhAHQAZQAgAGEAdAAgAHcAaABpAGMAaAAgAHQAaABlACAAYgBhAGwAYQBuAGMAZQAgAGQAZQBjAGwAaQBuAGUAcwAuALYAXAAiACAAJgAgAFwAbgAgACAAIAAgACAAIAAgACAAIAAgACAAIAAgACAAIAAgACAAIAAgACAAIAAgACAAIAAgACAAIAAgAFwAIgBOAG8AXwBTAHcAaQB0AGMAaAAgACAAIAAgACAAIACSISgATwBwAHQAaQBvAG4AYQBsACAARABlAGYAYQB1AGwAdAA9AEYAQQBMAFMARQApACAAUwB3AGkAdABjAGgAIAB0AG8AIABzAHQAcgBhAGkAZwBoAHQALQBsAGkAbgBlACAAZABlAHAAcgBlAGMAaQBhAHQAaQBvAG4AIAB3AGgAZQBuALYAXAAiACAAJgAgAFwAbgAgACAAIAAgACAAIAAgACAAIAAgACAAIAAgACAAIAAgACAAIAAgACAAIAAgACAAIAAgACAAIAAgACAAIAAgACAAIAAgACAAIAAgACAAIAAgACAAIAAgAFwAIgCSISAAZABlAHAAcgBlAGMAaQBhAHQAaQBvAG4AIABpAHMAIABnAHIAZQBhAHQAZQByACAAdABoAGEAbgAgAHQAaABlACAAZABlAGMAbABpAG4AaQBuAGcAIABiAGEAbABhAG4AYwBlACAAYwBhAGwAYwB1AGwAYQB0AGkAbwBu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WAEQAQgC7AygAMQAwADAAMAAsACAAMQAwADAALAAgADUALAAgADEALgA1ACwAIABUAFIAVQBF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zADAAMAAuADAAMAAsADIAMQAwAC4AMAAwACwAMQA0ADcALgAwADAALAAxADAAMgAuADkAMAAsADcAMgAuADAAMw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MAZQB0ACAAZABlAGYAYQB1AGwAdABzACAAZgBvAHIAIABvAHAAdABpAG8AbgBhAGwAIAB2AGEAbAB1AGUAcwBcAG4AIAAgACAAIAAgACAAIAAgAEYAYQBjAHQAbwByACwAIAAgACAAIAAgACAAIAAgACAASQBGACgAIABJAFMATwBNAEkAVABUAEUARAAoACAARgBhAGMAdABvAHIAKQAsACAAMgAsACAARgBhAGMAdABvAHIAKQAsAFwAbgAgACAAIAAgACAAIAAgACAATgBvAF8AUwB3AGkAdABjAGgALAAgACAAIAAgACAAIABJAEYAKAAgAEkAUwBPAE0ASQBUAFQARQBEACgAIABOAG8AXwBTAHcAaQB0AGMAaAApACwAIABGAEEATABTAEUALAAgAE4AbwBfAFMAdwBpAHQAYwBoACkALABcAG4AIAAgACAAIAAvAC8AIAAgAFAAcgBvAGMAZQBkAHUAcgBlAFwAbgAgACAAIAAgACAAIAAgACAAUgBlAHMAdQBsAHQALAAgACAAIAAgACAAIAAgACAAIABWAEQAQgAoACAAQwBvAHMAdAAsACAAUwBhAGwAdgBhAGcAZQAsACAATABpAGYAZQAsACAAUwBFAFEAVQBFAE4AQwBFACgAIAAsACAATABpAGYAZQAsACAAMAApACwAIABTAEUAUQBVAEUATgBDAEUAKAAgACwAIABMAGkAZgBlACkALAAgAEYAYQBjAHQAbwByACwAIABOAG8AXwBTAHcAaQB0AGMAaAApACw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BAG0AbwByAHQAaQBzAGUAuwNEAFYAXABuACAAIAAgACAARABFAFMAQwBSAEkAUABUAEkATwBOADoAKgAvAC8AKgAqAFAAcgBvAHYAaQBkAGUAcwAgAGUAeAB0AGUAbgBkAGUAZAAgAGQAYQB0AGEAIAB2AGEAbABpAGQAYQB0AGkAbwBuACAAbwBmACAAYQByAGcAdQBtAGUAbgB0AHMAIABmAG8AcgAgAEEAbQBvAHIAdABpAHMAZQC7AygAKQAqAC8AXABuAEEAbQBvAHIAdABpAHMAZQC7A0QAVgAgAD0AIABMAEEATQBCAEQAQQAoAFwAbgAvAC8AIAAgAFAAYQByAGEAbQBlAHQAZQByACAARABlAGMAbABhAHIAYQB0AGkAbwBuAHMAXABuACAAIAAgACAAWwBQAHIAaQBuAGMAaQBwAGEAbABdACwAXABuACAAIAAgACAAWwBBAFAAUgBdACwAXABuACAAIAAgACAAWwBUAGUAcgBtAF0ALAAgAFwAbgAgACAAIAAgAFsAUwB0AGEAcgB0AEQAYQB0AGUAXQAsAFwAbgAgACAAIAAgAFsAVABpAG0AZQBsAGkAbgBlAF0ALAAgAFwAbgAgACAAIAAgAFsARgBpAG4AYQBsAFAAZQByAGkAbwBkAEUAbgBkAF0AL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FAAcgBpAG4AYwBpAHAAYQBsACkAKQAsAFwAbgAgACAAIAAgACAAIAAgACAAIAAgACAAIAAgACAAIAAgACAAIAAgACAAIAAgACAAIAAgACAAIAAgAE8AUgAoACAASQBTAEUAUgBSAE8AUgAoACAAQQBQAFIAKQApACwAXABuACAAIAAgACAAIAAgACAAIAAgACAAIAAgACAAIAAgACAAIAAgACAAIAAgACAAIAAgACAAIAAgACAATwBSACgAIABJAFMARQBSAFIATwBSACgAIABUAGUAcgBtACkAKQAsAFwAbgAgACAAIAAgACAAIAAgACAAIAAgACAAIAAgACAAIAAgACAAIAAgACAAIAAgACAAIAAgACAAIAAgAE8AUgAoACAASQBTAEUAUgBSAE8AUgAoACAAUwB0AGEAcgB0AEQAYQB0AGUAKQApACwAXABuACAAIAAgACAAIAAgACAAIAAgACAAIAAgACAAIAAgACAAIAAgACAAIAAgACAAIAAgACAAIAAgACAATwBSACgAIABJAFMARQBSAFIATwBSACgAIABUAGkAbQBlAGwAaQBuAGUAKQApACwAXABuACAAIAAgACAAIAAgACAAIAAgACAAIAAgACAAIAAgACAAIAAgACAAIAAgACAAIAAgAC8ALwAgACAAQQBtAG8AcgB0AGkAcwBlALsDIAByAGUAYQBkAHMAIAB0AGgAaQBzACAAbwBuAGUAIAB0AGgAcgBvAHUAZwBoACAATQBBAFgALAAgAHMAbwAgAGEAbgAgAGUAcgByAG8AcgAgAGkAbgAgAGkAdAAgAHMAdABvAHAAcwAgAGEAXABuACAAIAAgACAAIAAgACAAIAAgACAAIAAgACAAIAAgACAAIAAgACAAIAAgACAAIAAgAC8ALwAgACAAcwBjAGgAZQBkAHUAbABlACAAYQBuAGQAIABoAGEAcwAgAHQAbwAgAHMAdABvAHAAIAB0AGgAZQAgAHYAYQBsAGkAZABhAHQAbwByACAAdABvAG8ALgAgAEEAbgAgAG8AbQBpAHQAdABlAGQAIABhAHIAZwB1AG0AZQBuAHQAXABuACAAIAAgACAAIAAgACAAIAAgACAAIAAgACAAIAAgACAAIAAgACAAIAAgACAAIAAgAC8ALwAgACAAaQBzACAAbgBvAHQAIABhAG4AIABlAHIAcgBvAHIALAAgAGEAbgBkACAASQBTAEUAUgBSAE8AUgAgAGMAYQBuAG4AbwB0ACAAYgBlACAAYQBzAGsAZQBkACAAYQBiAG8AdQB0ACAAbwBuAGUALgBcAG4AIAAgACAAIAAgACAAIAAgACAAIAAgACAAIAAgACAAIAAgACAAIAAgACAAIAAgACAAIAAgACAAIABJAEYAKAAgAEkAUwBPAE0ASQBUAFQARQBEACgAIABGAGkAbgBhAGwAUABlAHIAaQBvAGQARQBuAGQAKQAsACAARgBBAEwAUwBFACwAIABPAFIAKAAgAEkAUwBFAFIAUgBPAFIAKAAgAEYAaQBuAGEAbABQAGUAcgBpAG8AZABFAG4AZAApACkAKQBcAG4AIAAgACAAIAAgACAAIAAgACAAIAAgACAAIAAgACAAIAAgACAAIAAgACAAIAAgACAAKQAsAFwAbgBcAG4AIAAgACAAIAAvAC8AIAAgAEMAaABlAGMAawAgAGkAbgBwAHUAdABzACAALQAgAEQAYQB0AGEAIAB2AGEAbABpAGQAYQB0AGkAbwBuACAAZQByAHIAbwByAHMAXABuACAAIAAgACAAIAAgACAAIABEAFYAQQByAGcAMQAsACAAIAAgACAAIAAgACAAIAAgAEkARgAoACAATwBSACgAIABJAFMATwBNAEkAVABUAEUARAAoACAAUAByAGkAbgBjAGkAcABhAGwAKQAsACAASQBTAEUAUgBSAE8AUgAoACAAUAByAGkAbgBjAGkAcABhAGwAKQApACwAIABcAG4AIAAgACAAIAAgACAAIAAgACAAIAAgACAAIAAgACAAIAAgACAAIAAgACAAIAAgACAAIAAgACAAIABGAEEATABTAEUALAAgAFwAbgAgACAAIAAgACAAIAAgACAAIAAgACAAIAAgACAAIAAgACAAIAAgACAAIAAgACAAIAAgACAAIAAgAE8AUgAoACAASQBGAEUAUgBSAE8AUgAoACAAVgBBAEwAVQBFACgAUAByAGkAbgBjAGkAcABhAGwAKQAgADwAIAAxACwAIABUAFIAVQBFACkAKQApACwAXABuACAAIAAgACAAIAAgACAAIABEAFYAQQByAGcAMgAsACAAIAAgACAAIAAgACAAIAAgAEkARgAoACAATwBSACgAIABJAFMATwBNAEkAVABUAEUARAAoACAAQQBQAFIAKQAsACAASQBTAEUAUgBSAE8AUgAoACAAQQBQAFIAKQApACwAIABcAG4AIAAgACAAIAAgACAAIAAgACAAIAAgACAAIAAgACAAIAAgACAAIAAgACAAIAAgACAAIAAgACAAIABGAEEATABTAEUALAAgAFwAbgAgACAAIAAgACAAIAAgACAAIAAgACAAIAAgACAAIAAgACAAIAAgACAAIAAgACAAIAAgACAAIAAgAE8AUgAoACAASQBGAEUAUgBSAE8AUgAoACAAVgBBAEwAVQBFACgAQQBQAFIAKQAgADwAIAAwACwAIABUAFIAVQBFACkAKQApACwAXABuACAAIAAgACAAIAAgACAAIABEAFYAQQByAGcAMwAsACAAIAAgACAAIAAgACAAIAAgAEkARgAoACAATwBSACgAIABJAFMATwBNAEkAVABUAEUARAAoACAAVABlAHIAbQApACwAIABJAFMARQBSAFIATwBSACgAIABUAGUAcgBtACkAKQAsACAAXABuACAAIAAgACAAIAAgACAAIAAgACAAIAAgACAAIAAgACAAIAAgACAAIAAgACAAIAAgACAAIAAgACAARgBBAEwAUwBFACwAIABcAG4AIAAgACAAIAAgACAAIAAgACAAIAAgACAAIAAgACAAIAAgACAAIAAgACAAIAAgACAAIAAgACAAIABPAFIAKAAgAEkARgBFAFIAUgBPAFIAKAAgAFYAQQBMAFUARQAoAFQAZQByAG0AKQAgADwAIAAxACwAIABUAFIAVQBFACkAKQApACwAXABuACAAIAAgACAAIAAgACAAIABEAFYAQQByAGcANAAsACAAIAAgACAAIAAgACAAIAAgAEkARgAoACAATwBSACgAIABJAFMATwBNAEkAVABUAEUARAAoACAAUwB0AGEAcgB0AEQAYQB0AGUAKQAsACAASQBTAEUAUgBSAE8AUgAoACAAUwB0AGEAcgB0AEQAYQB0AGUAKQApACwAIABcAG4AIAAgACAAIAAgACAAIAAgACAAIAAgACAAIAAgACAAIAAgACAAIAAgACAAIAAgACAAIAAgACAAIABGAEEATABTAEUALAAgAFwAbgAgACAAIAAgACAAIAAgACAAIAAgACAAIAAgACAAIAAgACAAIAAgACAAIAAgACAAIAAgACAAIAAgAE8AUgAoACAASQBGAEUAUgBSAE8AUgAoACAAVgBBAEwAVQBFACgAUwB0AGEAcgB0AEQAYQB0AGUAKQAgADwAIABNAEkATgAoACAAVABpAG0AZQBsAGkAbgBlACkALAAgAFQAUgBVAEUAKQApACkALABcAG4AIAAgACAAIAAgACAAIAAgAEQAVgBBAHIAZwA1ACwAIAAgACAAIAAgACAAIAAgACAASQBGACgAIABPAFIAKAAgAEkAUwBPAE0ASQBUAFQARQBEACgAIABUAGkAbQBlAGwAaQBuAGUAKQAsACAASQBTAEUAUgBSAE8AUgAoACAAVABpAG0AZQBsAGkAbgBlACkAKQAsACAAXABuACAAIAAgACAAIAAgACAAIAAgACAAIAAgACAAIAAgACAAIAAgACAAIAAgACAAIAAgACAAIAAgACAARgBBAEwAUwBFACwAIABcAG4AIAAgACAAIAAgACAAIAAgACAAIAAgACAAIAAgACAAIAAgACAAIAAgACAAIAAgACAAIAAgACAAIABPAFIAKAAgAEkARgBFAFIAUgBPAFIAKAAgAFYAQQBMAFUARQAoAFQAaQBtAGUAbABpAG4AZQApACAAPAAgADEALAAgAFQAUgBVAEUAKQApACkALABcAG4AIAAgACAAIAAgACAAIAAgAEQAVgBBAHIAZwA2ACwAIAAgACAAIAAgACAAIAAgACAASQBGACgAIABPAFIAKAAgAEkAUwBPAE0ASQBUAFQARQBEACgAIABUAGkAbQBlAGwAaQBuAGUAKQAsACAASQBTAEUAUgBSAE8AUgAoACAAVABpAG0AZQBsAGkAbgBlACkALAAgAEQAVgBBAHIAZwA1ACkALAAgAFwAbgAgACAAIAAgACAAIAAgACAAIAAgACAAIAAgACAAIAAgACAAIAAgACAAIAAgACAAIAAgACAAIAAgAEYAQQBMAFMARQAsACAAXABuACAAIAAgACAAIAAgACAAIAAgACAAIAAgACAAIAAgACAAIAAgACAAIAAgACAAIAAgACAAIAAgACAAQwBPAFUATgBUAEEAKABUAGkAbQBlAGwAaQBuAGUAKQAgADwAIAAyACkALABcAG4AIAAgACAAIAAvAC8AIAAgAEEAbQBvAHIAdABpAHMAZQC7AyAAcgBlAGEAZABzACAAYQAgAGcAYQBwACAAdQBuAGQAZQByACAAMgA4ACAAZABhAHkAcwAgAGEAcwAgAGEAIABzAHUAYgAtAG0AbwBuAHQAaABsAHkAIAB0AGkAbQBlAGwAaQBuAGUAIABhAG4AZAAgAGwAYQB5AHMAIAB0AGgAZQBcAG4AIAAgACAAIAAvAC8AIAAgAHMAYwBoAGUAZAB1AGwAZQAgAG8AdQB0ACAAaQBuACAAZABhAHkAcwAsACAAcwBvACAAbwBuAGwAeQAgAGEAIAB0AGkAbQBlAGwAaQBuAGUAIAB0AGgAYQB0ACAAZABvAGUAcwAgAG4AbwB0ACAAYQBkAHYAYQBuAGMAZQAgAGkAcwAgAHcAcgBvAG4AZwAgAGgAZQByAGUALgBcAG4AIAAgACAAIAAvAC8AIAAgAEUAdgBlAHIAeQAgAGMAbwBuAHMAZQBjAHUAdABpAHYAZQAgAHAAYQBpAHIAIABpAHMAIABtAGUAYQBzAHUAcgBlAGQALgAgAFQAaABlACAAZgBpAHIAcwB0ACAAZwBhAHAAIABhAGwAbwBuAGUAIABsAGUAdAAgAGEAIAByAGUAcABlAGEAdABlAGQAIABkAGEAdABlAFwAbgAgACAAIAAgAC8ALwAgACAAbABhAHQAZQByACAAaQBuACAAdABoAGUAIAByAG8AdwAgAHQAaAByAG8AdQBnAGgALAAgAGEAbgBkACAAdABoAGUAIABwAGEAcgBlAG4AdAAnAHMAIABhAHAAcAByAG8AeABpAG0AYQB0AGUAIABNAEEAVABDAEgAIAB0AGgAZQBuACAAYgB1AGMAawBlAHQAcwAgAGIAbwB0AGgAXABuACAAIAAgACAALwAvACAAIABjAG8AcABpAGUAcwAgAGkAbgB0AG8AIABvAG4AZQAgAHAAZQByAGkAbwBkACAAYQBuAGQAIABkAHIAbwBwAHMAIAB0AGgAZQAgAGQAdQBwAGwAaQBjAGEAdABlACcAcwAgAHYAYQBsAHUAZQAuAFwAbgAgACAAIAAgACAAIAAgACAARABWAEEAcgBnADcALAAgACAAIAAgACAAIAAgACAAIABJAEYAKAAgAE8AUgAoACAASQBTAE8ATQBJAFQAVABFAEQAKAAgAFQAaQBtAGUAbABpAG4AZQApACwAIABJAFMARQBSAFIATwBSACgAIABUAGkAbQBlAGwAaQBuAGUAKQAsACAARABWAEEAcgBnADUALAAgAEQAVgBBAHIAZwA2ACkALAAgAFwAbgAgACAAIAAgACAAIAAgACAAIAAgACAAIAAgACAAIAAgACAAIAAgACAAIAAgACAAIAAgACAAIAAgAEYAQQBMAFMARQAsACAAXABuACAAIAAgACAAIAAgACAAIAAgACAAIAAgACAAIAAgACAAIAAgACAAIAAgACAAIAAgACAAIAAgACAATABFAFQAKAAgAEQAYQB0AGUAcwAsACAAVABPAFIATwBXACgAIABUAGkAbQBlAGwAaQBuAGUAKQAsAFwAbgAgACAAIAAgACAAIAAgACAAIAAgACAAIAAgACAAIAAgACAAIAAgACAAIAAgACAAIAAgACAAIAAgACAAIAAgACAAIABNAEkATgAoACAARABSAE8AUAAoACAARABhAHQAZQBzACwAIAAsACAAMQApACAALQAgAEQAUgBPAFAAKAAgAEQAYQB0AGUAcwAsACAALAAgAC0AMQApACkAIAA8ACAAMQApACkALABcAG4AIAAgACAAIAAvAC8AIAAgAEYAaQBuAGEAbABQAGUAcgBpAG8AZABFAG4AZAAgAGkAcwAgAHQAaABlACAAZABhAHkAIABhAGYAdABlAHIAIAB0AGgAZQAgAGwAYQBzAHQAIABwAGUAcgBpAG8AZAAgAGUAbgBkAHMALAAgAHMAbwAgAGkAdAAgAGYAYQBsAGwAcwAgAGEAZgB0AGUAcgAgAHQAaABlACAAbABhAHMAdABcAG4AIAAgACAAIAAvAC8AIAAgAGQAYQB0AGUAIABpAG4AIAB0AGgAZQAgAHQAaQBtAGUAbABpAG4AZQAuACAAQwBPAFUATgBUACAAaQBzACAAMQAgAGYAbwByACAAbwBuAGUAIABkAGEAdABlACwAIAAwACAAZgBvAHIAIAB0AGUAeAB0ACAAYQBuAGQAIABtAG8AcgBlACAAdABoAGEAbgAgADEAIABmAG8AcgAgAGEAXABuACAAIAAgACAALwAvACAAIAByAGEAbgBnAGUALAAgAHcAaABpAGMAaAAgAGMAbwB2AGUAcgBzACAAdABoAGUAIABzAGgAYQBwAGUAIABhAG4AZAAgAHQAaABlACAAdAB5AHAAZQAgAGkAbgAgAG8AbgBlACAAdABlAHMAdAAuACAAQQBtAG8AcgB0AGkAcwBlALsDIAByAGUAZgB1AHMAZQBzACAAaQB0AFwAbgAgACAAIAAgAC8ALwAgACAAdwBpAHQAaABvAHUAdAAgAGEAIAB0AGkAbQBlAGwAaQBuAGUAIAByAGEAdABoAGUAcgAgAHQAaABhAG4AIABtAGUAYQBzAHUAcgBlACAAaQB0ACAAYQBnAGEAaQBuAHMAdAAgAHQAaABlACAAZABlAGYAYQB1AGwAdAAgAGkAdAAgAGMAaABvAHMAZQAgAGYAbwByACAAaQB0AHMAZQBsAGYALABcAG4AIAAgACAAIAAvAC8AIAAgAHMAbwAgAHQAaABpAHMAIAByAGUAZgB1AHMAZQBzACAAdABoAGUAIABzAGEAbQBlACAAYwBhAGwAbAAgAHIAYQB0AGgAZQByACAAdABoAGEAbgAgAHAAYQBzAHMAaQBuAGcAIABvAG4AZQAgAGkAdABzACAAcABhAHIAZQBuAHQAIAB3AGkAbABsACAAbgBvAHQAIABhAG4AcwB3AGUAcgAuAFwAbgAgACAAIAAgACAAIAAgACAARABWAEEAcgBnADgALAAgACAAIAAgACAAIAAgACAAIABJAEYAKAAgAE8AUgAoACAASQBTAE8ATQBJAFQAVABFAEQAKAAgAEYAaQBuAGEAbABQAGUAcgBpAG8AZABFAG4AZAApACwAIABJAFMARQBSAFIATwBSACgAIABGAGkAbgBhAGwAUABlAHIAaQBvAGQARQBuAGQAKQApACwAXABuACAAIAAgACAAIAAgACAAIAAgACAAIAAgACAAIAAgACAAIAAgACAAIAAgACAAIAAgACAAIAAgACAARgBBAEwAUwBFACwAXABuACAAIAAgACAAIAAgACAAIAAgACAAIAAgACAAIAAgACAAIAAgACAAIAAgACAAIAAgACAAIAAgACAATwBSACgAIABJAFMATwBNAEkAVABUAEUARAAoACAAVABpAG0AZQBsAGkAbgBlACkALABcAG4AIAAgACAAIAAgACAAIAAgACAAIAAgACAAIAAgACAAIAAgACAAIAAgACAAIAAgACAAIAAgACAAIAAgACAAIAAgAEMATwBVAE4AVAAoACAARgBpAG4AYQBsAFAAZQByAGkAbwBkAEUAbgBkACkAIAA8AD4AIAAxACwAXABuACAAIAAgACAAIAAgACAAIAAgACAAIAAgACAAIAAgACAAIAAgACAAIAAgACAAIAAgACAAIAAgACAAIAAgACAAIABJAEYAKAAgAE8AUgAoACAASQBTAEUAUgBSAE8AUgAoACAAVABpAG0AZQBsAGkAbgBlACkALAAgAEQAVgBBAHIAZwA1ACkALABcAG4AIAAgACAAIAAgACAAIAAgACAAIAAgACAAIAAgACAAIAAgACAAIAAgACAAIAAgACAAIAAgACAAIAAgACAAIAAgACAAIAAgACAARgBBAEwAUwBFACwAXABuACAAIAAgACAAIAAgACAAIAAgACAAIAAgACAAIAAgACAAIAAgACAAIAAgACAAIAAgACAAIAAgACAAIAAgACAAIAAgACAAIAAgAE0AQQBYACgAIABGAGkAbgBhAGwAUABlAHIAaQBvAGQARQBuAGQAKQAgADwAPQAgAE0AQQBYACgAIABUAGkAbQBlAGwAaQBuAGUAKQApACkAKQAsAFwAbgAgACAAIAAgACAAIAAgACAARABWAEUAcgByAG8AcgBzACwAIAAgACAAIAAgACAAIABWAFMAVABBAEMASwAoACAARABWAEEAcgBnADEALAAgAEQAVgBBAHIAZwAyACwAIABEAFYAQQByAGcAMwAsACAARABWAEEAcgBnADQALAAgAEQAVgBBAHIAZwA1ACwAIABEAFYAQQByAGcANgAsACAARABWAEEAcgBnADcALAAgAEQAVgBBAHIAZwA4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FAHIAcgBvAHIAcwBJAG4AQQByAGcAcwAsACAARABWAEUAcgByAG8AcgBzACkALAAgAFwAbgAgACAAIAAgACAAIAAgACAARQByAHIATQBzAGcAcwAsACAAIAAgACAAIAAgACAAIAB7AFwAbgAgACAAIAAgACAAIAAgACAAIAAgACAAIAAgACAAIAAgACAAIAAgACAALwAvACAAIABFAHIAcgBvAHIAcwAgAGkAbgAgAGEAcgBnAHUAbQBlAG4AdABzAFwAbgAgACAAIAAgACAAIAAgACAAIAAgACAAIAAgACAAIAAgACAAIAAgACAAIAAgACAAIABcACIAQQBtAG8AdQBuAHQAIABjAG8AbgB0AGEAaQBuAHMAIABlAHIAcgBvAHIAcwAgAGkAbgAgAGMAZQBsAGwAcwAuACAAUgBlAHMAbwBsAHYAZQAgAGUAcgByAG8AcgBzACAAZgBpAHIAcwB0AC4AXAAiADsAXABuACAAIAAgACAAIAAgACAAIAAgACAAIAAgACAAIAAgACAAIAAgACAAIAAgACAAIAAgAFwAIgBBAFAAUgAgAGMAbwBuAHQAYQBpAG4AcwAgAGUAcgByAG8AcgBzACAAaQBuACAAYwBlAGwAbABzAC4AIABSAGUAcwBvAGwAdgBlACAAZQByAHIAbwByAHMAIABmAGkAcgBzAHQALgBcACIAOwBcAG4AIAAgACAAIAAgACAAIAAgACAAIAAgACAAIAAgACAAIAAgACAAIAAgACAAIAAgACAAXAAiAFQAZQByAG0AIABjAG8AbgB0AGEAaQBuAHMAIABlAHIAcgBvAHIAcwAgAGkAbgAgAGMAZQBsAGwAcwAuACAAUgBlAHMAbwBsAHYAZQAgAGUAcgByAG8AcgBzACAAZgBpAHIAcwB0AC4AXAAiADsAXABuACAAIAAgACAAIAAgACAAIAAgACAAIAAgACAAIAAgACAAIAAgACAAIAAgACAAIAAgAFwAIgBTAHQAYQByAHQARABhAHQAZQAgAGMAbwBuAHQAYQBpAG4AcwAgAGUAcgByAG8AcgBzACAAaQBuACAAYwBlAGwAbABzAC4AIABSAGUAcwBvAGwAdgBlACAAZQByAHIAbwByAHMAIABmAGkAcgBzAHQALgBcACIAOwBcAG4AIAAgACAAIAAgACAAIAAgACAAIAAgACAAIAAgACAAIAAgACAAIAAgACAAIAAgACAAXAAiAFQAaQBtAGUAbABpAG4AZQAgAGMAbwBuAHQAYQBpAG4AcwAgAGUAcgByAG8AcgBzACAAaQBuACAAYwBlAGwAbABzAC4AIABSAGUAcwBvAGwAdgBlACAAZQByAHIAbwByAHMAIABmAGkAcgBzAHQALgBcACIAOwBcAG4AIAAgACAAIAAgACAAIAAgACAAIAAgACAAIAAgACAAIAAgACAAIAAgACAAIAAgACAAXAAiAEYAaQBuAGEAbABQAGUAcgBpAG8AZABFAG4AZAAgAGMAbwBuAHQAYQBpAG4AcwAgAGUAcgByAG8AcgBzACAAaQBuACAAYwBlAGwAbABzAC4AIABSAGUAcwBvAGwAdgBlACAAZQByAHIAbwByAHMAIABmAGkAcgBzAHQALgBcACIAOwBcAG4AXABuACAAIAAgACAAIAAgACAAIAAgACAAIAAgACAAIAAgACAAIAAgACAAIAAvAC8AIAAgAEQAYQB0AGEAIAB2AGEAbABpAGQAYQB0AGkAbwBuACAAZQByAHIAbwByAHMAXABuACAAIAAgACAAIAAgACAAIAAgACAAIAAgACAAIAAgACAAIAAgACAAIAAgACAAIAAgAFwAIgBBAG0AbwB1AG4AdAAgAG0AdQBzAHQAIABiAGUAIABnAHIAZQBhAHQAZQByACAAdABoAGEAbgAgADAAXAAiADsAXABuACAAIAAgACAAIAAgACAAIAAgACAAIAAgACAAIAAgACAAIAAgACAAIAAgACAAIAAgAFwAIgBBAFAAUgAgAG0AdQBzAHQAIABiAGUAIABhACAAcABlAHIAYwBlAG4AdABhAGcAZQAgAG8AZgAgADAAIABvAHIAIABtAG8AcgBlAFwAIgA7AFwAbgAgACAAIAAgACAAIAAgACAAIAAgACAAIAAgACAAIAAgACAAIAAgACAAIAAgACAAIABcACIAVABlAHIAbQAgAG0AdQBzAHQAIABiAGUAIAB0AGgAZQAgAG4AdQBtAGIAZQByACAAbwBmACAAdABpAG0AZQBsAGkAbgBlACAAcABlAHIAaQBvAGQAcwAgAHUAbgB0AGkAbAAgAHQAaABlACAAZABlAGIAdAAgAGkAcwAgAHMAYQB0AGkAcwBmAGkAZQBkAC4AXAAiADsAXABuACAAIAAgACAAIAAgACAAIAAgACAAIAAgACAAIAAgACAAIAAgACAAIAAgACAAIAAgAFwAIgBTAHQAYQByAHQARABhAHQAZQAgAG0AdQBzAHQAIABiAGUAIABhACAAdgBhAGwAaQBkACAAZABhAHQAZQAuAFwAIgA7AFwAbgAgACAAIAAgACAAIAAgACAAIAAgACAAIAAgACAAIAAgACAAIAAgACAAIAAgACAAIABcACIAVABpAG0AZQBsAGkAbgBlACAAbQB1AHMAdAAgAGEAIAByAG8AdwAgAG8AZgAgAHAAZQByAGkAbwBkACAAcwB0AGEAcgB0ACAAZABhAHQAZQBzAC4AXAAiADsAXABuACAAIAAgACAAIAAgACAAIAAgACAAIAAgACAAIAAgACAAIAAgACAAIAAgACAAIAAgAFwAIgBUAGkAbQBlAGwAaQBuAGUAIABtAHUAcwB0ACAAYQAgAHIAbwB3ACAAbwBmACAAcABlAHIAaQBvAGQAIABzAHQAYQByAHQAIABkAGEAdABlAHMAIAB3AGkAdABoACAAbQBvAHIAZQAgAHQAaABhAG4AIAAxACAAZQBuAHQAcgB5AC4AXAAiADsAXABuACAAIAAgACAAIAAgACAAIAAgACAAIAAgACAAIAAgACAAIAAgACAAIAAgACAAIAAgAFwAIgBUAGkAbQBlAGwAaQBuAGUAIABtAHUAcwB0ACAAYQAgAHIAbwB3ACAAbwBmACAAcABlAHIAaQBvAGQAIABzAHQAYQByAHQAIABkAGEAdABlAHMAIAB0AGgAYQB0ACAAYQBkAHYAYQBuAGMAZQAgAGIAeQAgAGEAdAAgAGwAZQBhAHMAdAAgAGEAIABkAGEAeQAuAFwAIgA7AFwAbgAgACAAIAAgACAAIAAgACAAIAAgACAAIAAgACAAIAAgACAAIAAgACAAIAAgACAAIABcACIARgBpAG4AYQBsAFAAZQByAGkAbwBkAEUAbgBkACAAbgBlAGUAZABzACAAYQAgAFQAaQBtAGUAbABpAG4AZQAsACAAYQBuAGQAIABtAHUAcwB0ACAAYgBlACAAbwBuAGUAIABkAGEAdABlACAAYQBmAHQAZQByACAAdABoAGUAIABsAGEAcwB0ACAAZABhAHQAZQAgAGkAbgAgAGkAdAAuAFwAIgB9ACwAXABuACAAIAAgACAAIAAgACAAIABNAGUAcwBzAGEAZwBlAHMALAAgACAAIAAgACAAIAAgAEYASQBMAFQARQBSACgARQByAHIATQBzAGcAcwAsACAARQByAHIAbwByAHMAMgBTAGgAbwB3ACwAIABcACIAXAAiACkALAAgACAAIAAgACAAIAAgACAAXABuAFwAbgAgACAAIAAgAC8ALwAgACAASABhAG4AZABsAGUAIABFAHIAcgBvAHIAXABuACAAIAAgACAAIAAgACAAIABSAGUAdAB1AHIAbgAsACAAIAAgACAAIAAgACAAIAAgAEkARgAoACAATwBSACgAIABFAHIAcgBvAHIAcwAyAFMAaABvAHcAKQAsACAAMgAsACAASQBGACgAIABBAG4AeQBFAHIAcgBvAHIAcwA/ACwAIAAzACwAIAAxACkAKQAsACAAIAAgACAAIAAgAFwAbgAgACAAIAAgAC8ALwAgACAAUgBlAHQAdQByAG4AIABSAGUAcwB1AGwAdABcAG4AIAAgACAAIAAgACAAIAAgAEMASABPAE8AUwBFACgAUgBlAHQAdQByAG4ALAAgAFQAUgBVAEUALAAgAE0AZQBzAHMAYQBnAGUAcwAsACAAIwBWAEEATABVAEUAIQApAFwAbgAgACAAIAAgACkAIAAgACAAIABcAG4AKQA7AFwAbgBcAG4AXABuAFwAbgAvACoAIAAgAEYAVQBOAEMAVABJAE8ATgAgAE4AQQBNAEUAOgAgACAAQwBvAHIAawBzAGMAcgBlAHcAuwNEAFYAXABuACAAIAAgACAARABFAFMAQwBSAEkAUABUAEkATwBOADoAKgAvAC8AKgAqAFAAcgBvAHYAaQBkAGUAcwAgAGUAeAB0AGUAbgBkAGUAZAAgAGQAYQB0AGEAIAB2AGEAbABpAGQAYQB0AGkAbwBuACAAbwBmACAAYQByAGcAdQBtAGUAbgB0AHMAIABmAG8AcgAgAEMAbwByAGsAcwBjAHIAZQB3ALsDLgAqAC8AXABuAEMAbwByAGsAcwBjAHIAZQB3ALsDRABWACAAPQAgAEwAQQBNAEIARABBACgAXABuAC8ALwAgACAAUABhAHIAYQBtAGUAdABlAHIAIABEAGUAYwBsAGEAcgBhAHQAaQBvAG4AcwBcAG4AIAAgACAAIABbAE8AcABlAG4AaQBuAGcAXQAsAFwAbgAgACAAIAAgAFsARgBsAG8AdwAxAF0ALABcAG4AIAAgACAAIABbAEYAbABvAHcAMgBdACwAXABuACAAIAAgACAAWwBGAGwAbwB3ADMAXQAsAFwAbgAgACAAIAAgAFsARgBsAG8AdwA0AF0AL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E8AcABlAG4AaQBuAGcAKQApACwAXABuACAAIAAgACAAIAAgACAAIAAgACAAIAAgACAAIAAgACAAIAAgACAAIAAgACAAIAAgACAAIAAgACAATwBSACgAIABJAFMARQBSAFIATwBSACgAIABGAGwAbwB3ADEAKQApACwAXABuACAAIAAgACAAIAAgACAAIAAgACAAIAAgACAAIAAgACAAIAAgACAAIAAgACAAIAAgACAAIAAgACAATwBSACgAIABJAFMARQBSAFIATwBSACgAIABGAGwAbwB3ADIAKQApACwAXABuACAAIAAgACAAIAAgACAAIAAgACAAIAAgACAAIAAgACAAIAAgACAAIAAgACAAIAAgACAAIAAgACAATwBSACgAIABJAFMARQBSAFIATwBSACgAIABGAGwAbwB3ADMAKQApACwAXABuACAAIAAgACAAIAAgACAAIAAgACAAIAAgACAAIAAgACAAIAAgACAAIAAgACAAIAAgACAAIAAgACAATwBSACgAIABJAFMARQBSAFIATwBSACgAIABGAGwAbwB3ADQAKQApAFwAbgAgACAAIAAgACAAIAAgACAAIAAgACAAIAAgACAAIAAgACAAIAAgACAAIAAgACAAIAApACwAXABuAFwAbgAgACAAIAAgAC8ALwAgACAAQwBoAGUAYwBrACAAaQBuAHAAdQB0AHMAIAAtACAARABhAHQAYQAgAHYAYQBsAGkAZABhAHQAaQBvAG4AIABlAHIAcgBvAHIAcwBcAG4AIAAgACAAIAAgACAAIAAgAEQAVgBBAHIAZwAxACwAIAAgACAAIAAgACAAIAAgACAASQBGACgAIABPAFIAKAAgAEkAUwBPAE0ASQBUAFQARQBEACgAIABPAHAAZQBuAGkAbgBnACkALAAgAEkAUwBFAFIAUgBPAFIAKAAgAE8AcABlAG4AaQBuAGcAKQApACwAIABcAG4AIAAgACAAIAAgACAAIAAgACAAIAAgACAAIAAgACAAIAAgACAAIAAgACAAIAAgACAAIAAgACAAIABGAEEATABTAEUALAAgAFwAbgAgACAAIAAgACAAIAAgACAAIAAgACAAIAAgACAAIAAgACAAIAAgACAAIAAgACAAIAAgACAAIAAgAE4ATwBUACgAIABJAFMATgBVAE0AQgBFAFIAKAAgAE8AcABlAG4AaQBuAGcAIAApACkAKQAsAFwAbgAgACAAIAAgACAAIAAgACAARABWAEEAcgBnADIALAAgACAAIAAgACAAIAAgACAAIABJAEYAKAAgAE8AUgAoACAASQBTAE8ATQBJAFQAVABFAEQAKAAgAEYAbABvAHcAMQApACwAIABJAFMARQBSAFIATwBSACgAIABGAGwAbwB3ADEAKQApACwAIABcAG4AIAAgACAAIAAgACAAIAAgACAAIAAgACAAIAAgACAAIAAgACAAIAAgACAAIAAgACAAIAAgACAAIABGAEEATABTAEUALAAgAFwAbgAgACAAIAAgACAAIAAgACAAIAAgACAAIAAgACAAIAAgACAAIAAgACAAIAAgACAAIAAgACAAIAAgAE4ATwBUACgAIABBAE4ARAAoAEkAUwBOAFUATQBCAEUAUgAoACAARgBsAG8AdwAxACAAKQApACkAKQAsAFwAbgAgACAAIAAgACAAIAAgACAARABWAEEAcgBnADMALAAgACAAIAAgACAAIAAgACAAIABJAEYAKAAgAE8AUgAoACAASQBTAE8ATQBJAFQAVABFAEQAKAAgAEYAbABvAHcAMgApACwAIABJAFMARQBSAFIATwBSACgAIABGAGwAbwB3ADIAKQApACwAIABcAG4AIAAgACAAIAAgACAAIAAgACAAIAAgACAAIAAgACAAIAAgACAAIAAgACAAIAAgACAAIAAgACAAIABGAEEATABTAEUALAAgAFwAbgAgACAAIAAgACAAIAAgACAAIAAgACAAIAAgACAAIAAgACAAIAAgACAAIAAgACAAIAAgACAAIAAgAE4ATwBUACgAIABBAE4ARAAoAEkAUwBOAFUATQBCAEUAUgAoACAARgBsAG8AdwAyACAAKQApACkAKQAsAFwAbgAgACAAIAAgACAAIAAgACAARABWAEEAcgBnADQALAAgACAAIAAgACAAIAAgACAAIABJAEYAKAAgAE8AUgAoACAASQBTAE8ATQBJAFQAVABFAEQAKAAgAEYAbABvAHcAMwApACwAIABJAFMARQBSAFIATwBSACgAIABGAGwAbwB3ADMAKQApACwAIABcAG4AIAAgACAAIAAgACAAIAAgACAAIAAgACAAIAAgACAAIAAgACAAIAAgACAAIAAgACAAIAAgACAAIABGAEEATABTAEUALAAgAFwAbgAgACAAIAAgACAAIAAgACAAIAAgACAAIAAgACAAIAAgACAAIAAgACAAIAAgACAAIAAgACAAIAAgAE4ATwBUACgAIABBAE4ARAAoAEkAUwBOAFUATQBCAEUAUgAoACAARgBsAG8AdwAzACAAKQApACkAKQAsAFwAbgAgACAAIAAgACAAIAAgACAARABWAEEAcgBnADUALAAgACAAIAAgACAAIAAgACAAIABJAEYAKAAgAE8AUgAoACAASQBTAE8ATQBJAFQAVABFAEQAKAAgAEYAbABvAHcANAApACwAIABJAFMARQBSAFIATwBSACgAIABGAGwAbwB3ADQAKQApACwAIABcAG4AIAAgACAAIAAgACAAIAAgACAAIAAgACAAIAAgACAAIAAgACAAIAAgACAAIAAgACAAIAAgACAAIABGAEEATABTAEUALAAgAFwAbgAgACAAIAAgACAAIAAgACAAIAAgACAAIAAgACAAIAAgACAAIAAgACAAIAAgACAAIAAgACAAIAAgAE4ATwBUACgAIABBAE4ARAAoAEkAUwBOAFUATQBCAEUAUgAoACAARgBsAG8AdwA0ACAAKQApACkAKQAsAFwAbgAgACAAIAAgACAAIAAgACAARABWAEUAcgByAG8AcgBzACwAIAAgACAAIAAgACAAIABWAFMAVABBAEMASwAoACAARABWAEEAcgBnADEALAAgAEQAVgBBAHIAZwAyACwAIABEAFYAQQByAGcAMwAsACAARABWAEEAcgBnADQALAAgAEQAVgBBAHIAZwA1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FAHIAcgBvAHIAcwBJAG4AQQByAGcAcwAsACAARABWAEUAcgByAG8AcgBzACkALAAgAFwAbgAgACAAIAAgACAAIAAgACAARQByAHIATQBzAGcAcwAsACAAIAAgACAAIAAgACAAIAB7AFwAIgBPAHAAZQBuAGkAbgBnACAAYwBvAG4AdABhAGkAbgBzACAAZQByAHIAbwByAHMAIABpAG4AIABjAGUAbABsAHMALgAgAFIAZQBzAG8AbAB2AGUAIABlAHIAcgBvAHIAcwAgAGYAaQByAHMAdAAuAFwAIgA7AFwAbgAgACAAIAAgACAAIAAgACAAIAAgACAAIAAgACAAIAAgACAAIAAgACAAIAAgACAAIAAgAFwAIgBGAGwAbwB3ADEAIABjAG8AbgB0AGEAaQBuAHMAIABlAHIAcgBvAHIAcwAgAGkAbgAgAGMAZQBsAGwAcwAuACAAUgBlAHMAbwBsAHYAZQAgAGUAcgByAG8AcgBzACAAZgBpAHIAcwB0AC4AXAAiADsAXABuACAAIAAgACAAIAAgACAAIAAgACAAIAAgACAAIAAgACAAIAAgACAAIAAgACAAIAAgACAAXAAiAEYAbABvAHcAMgAgAGMAbwBuAHQAYQBpAG4AcwAgAGUAcgByAG8AcgBzACAAaQBuACAAYwBlAGwAbABzAC4AIABSAGUAcwBvAGwAdgBlACAAZQByAHIAbwByAHMAIABmAGkAcgBzAHQALgBcACIAOwBcAG4AIAAgACAAIAAgACAAIAAgACAAIAAgACAAIAAgACAAIAAgACAAIAAgACAAIAAgACAAIABcACIARgBsAG8AdwAzACAAYwBvAG4AdABhAGkAbgBzACAAZQByAHIAbwByAHMAIABpAG4AIABjAGUAbABsAHMALgAgAFIAZQBzAG8AbAB2AGUAIABlAHIAcgBvAHIAcwAgAGYAaQByAHMAdAAuAFwAIgA7AFwAbgAgACAAIAAgACAAIAAgACAAIAAgACAAIAAgACAAIAAgACAAIAAgACAAIAAgACAAIAAgAFwAIgBGAGwAbwB3ADQAIABjAG8AbgB0AGEAaQBuAHMAIABlAHIAcgBvAHIAcwAgAGkAbgAgAGMAZQBsAGwAcwAuACAAUgBlAHMAbwBsAHYAZQAgAGUAcgByAG8AcgBzACAAZgBpAHIAcwB0AC4AXAAiADsAXABuACAAIAAgACAAIAAgACAAIAAgACAAIAAgACAAIAAgACAAIAAgACAAIAAgACAAIAAgACAAXABuACAAIAAgACAAIAAgACAAIAAgACAAIAAgACAAIAAgACAAIAAgACAAIAAgACAAIAAgACAAXAAiAFMAZQB0ACAATwBwAGUAbgBpAG4AZwAgAG0AdQBzAHQAIAB0AG8AIABjAG8AbgB0AGEAaQBuACAAbwBuAGwAeQAgAG4AdQBtAGUAcgBpAGMAIAB2AGEAbAB1AGUAcwAuAFwAIgA7AFwAbgAgACAAIAAgACAAIAAgACAAIAAgACAAIAAgACAAIAAgACAAIAAgACAAIAAgACAAIAAgAFwAIgBTAGUAdAAgAEYAbABvAHcAMQAgAHQAbwAgAGMAbwBuAHQAYQBpAG4AIABvAG4AbAB5ACAAbgB1AG0AZQByAGkAYwAgAHYAYQBsAHUAZQBzAC4AXAAiADsAXABuACAAIAAgACAAIAAgACAAIAAgACAAIAAgACAAIAAgACAAIAAgACAAIAAgACAAIAAgACAAXAAiAFMAZQB0ACAARgBsAG8AdwAyACAAdABvACAAYwBvAG4AdABhAGkAbgAgAG8AbgBsAHkAIABuAHUAbQBlAHIAaQBjACAAdgBhAGwAdQBlAHMALgBcACIAOwBcAG4AIAAgACAAIAAgACAAIAAgACAAIAAgACAAIAAgACAAIAAgACAAIAAgACAAIAAgACAAIABcACIAUwBlAHQAIABGAGwAbwB3ADMAIAB0AG8AIABjAG8AbgB0AGEAaQBuACAAbwBuAGwAeQAgAG4AdQBtAGUAcgBpAGMAIAB2AGEAbAB1AGUAcwAuAFwAIgA7AFwAbgAgACAAIAAgACAAIAAgACAAIAAgACAAIAAgACAAIAAgACAAIAAgACAAIAAgACAAIAAgAFwAIgBTAGUAdAAgAEYAbABvAHcANAAgAHQAbwAgAGMAbwBuAHQAYQBpAG4AIABvAG4AbAB5ACAAbgB1AG0AZQByAGkAYwAgAHYAYQBsAHUAZQBzAC4AXAAiAH0ALABcAG4AIAAgACAAIAAgACAAIAAgAE0AZQBzAHMAYQBnAGUAcwAsACAAIAAgACAAIAAgACAARgBJAEwAVABFAFIAKABFAHIAcgBNAHMAZwBzACwAIABFAHIAcgBvAHIAcwAyAFMAaABvAHcALAAgAFwAIgBcACIAKQAsACAAIAAgACAAIAAgACAAIABcAG4AXABuACAAIAAgACAALwAvACAAIABIAGEAbgBkAGwAZQAgAEUAcgByAG8AcgBcAG4AIAAgACAAIAAgACAAIAAgAFIAZQB0AHUAcgBuACwAIAAgACAAIAAgACAAIAAgACAASQBGACgAIABPAFIAKAAgAEUAcgByAG8AcgBzADIAUwBoAG8AdwApACwAIAAyACwAIABJAEYAKAAgAEEAbgB5AEUAcgByAG8AcgBzAD8ALAAgADMALAAgADEAKQApACwAIAAgACAAIAAgACAAIAAgAFwAbgAgACAAIAAgAC8ALwAgACAAUgBlAHQAdQByAG4AIABSAGUAcwB1AGwAdABcAG4AIAAgACAAIAAgACAAIAAgAEMASABPAE8AUwBFACgAUgBlAHQAdQByAG4ALAAgAFQAUgBVAEUALAAgAE0AZQBzAHMAYQBnAGUAcwAsACAAIwBWAEEATABVAEUAIQApAFwAbgAgACAAIAAgACkAIAAgACAAIABcAG4AKQA7AFwAbgBcAG4AXABuAFwAbgAvACoAIAAgAEYAVQBOAEMAVABJAE8ATgAgAE4AQQBNAEUAOgAgACAARABlAHAAcgBlAGMAaQBhAHQAZQC7A0QAVgBcAG4AIAAgACAAIABEAEUAUwBDAFIASQBQAFQASQBPAE4AOgAqAC8ALwAqACoAUAByAG8AdgBpAGQAZQBzACAAZQB4AHQAZQBuAGQAZQBkACAAZABhAHQAYQAgAHYAYQBsAGkAZABhAHQAaQBvAG4AIABvAGYAIABhAHIAZwB1AG0AZQBuAHQAcwAgAGYAbwByACAARABlAHAAcgBlAGMAaQBhAHQAZQC7AyoALwBcAG4ARABlAHAAcgBlAGMAaQBhAHQAZQC7A0QAVgAgAD0AIABMAEEATQBCAEQAQQAoAFwAbgAvAC8AIAAgAFAAYQByAGEAbQBlAHQAZQByACAARABlAGMAbABhAHIAYQB0AGkAbwBuAHMAXABuACAAIAAgACAAWwBJAG4AaQB0AGkAYQBsAFYAYQBsAHUAZQBzAF0ALABcAG4AIAAgACAAIABbAEkAbgBTAGUAcgB2AGkAYwBlAEQAYQB0AGUAcwBdACwAIABcAG4AIAAgACAAIABbAEwAaQBmAGUASQBuAFkAZQBhAHIAcwBdACwAIABcAG4AIAAgACAAIABbAFQAaQBtAGUAbABpAG4AZQBdACwAXABuACAAIAAgACAAWwBTAGEAbAB2AGEAZwBlAFYAYQBsAHUAZQBzAF0ALABcAG4AIAAgACAAIABbAEQAaQBzAHAAbwBzAGEAbABEAGEAdABlAHMAXQAsAFwAbgAgACAAIAAgAFsARABpAHMAcABvAHMAYQBsAEMAbwBzAHQAcwBdACwAXABuACAAIAAgACAAWwBNAGUAdABoAG8AZABzAF0ALAAgAFwAbgAgACAAIAAgAFsARgBhAGMAdABvAHIAcwBdACwAI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EkAbgBpAHQAaQBhAGwAVgBhAGwAdQBlAHMAKQApACwAXABuACAAIAAgACAAIAAgACAAIAAgACAAIAAgACAAIAAgACAAIAAgACAAIAAgACAAIAAgACAAIAAgACAATwBSACgAIABJAFMARQBSAFIATwBSACgAIABJAG4AUwBlAHIAdgBpAGMAZQBEAGEAdABlAHMAKQApACwAXABuACAAIAAgACAAIAAgACAAIAAgACAAIAAgACAAIAAgACAAIAAgACAAIAAgACAAIAAgACAAIAAgACAATwBSACgAIABJAFMARQBSAFIATwBSACgAIABMAGkAZgBlAEkAbgBZAGUAYQByAHMAKQApACwAXABuACAAIAAgACAAIAAgACAAIAAgACAAIAAgACAAIAAgACAAIAAgACAAIAAgACAAIAAgACAAIAAgACAATwBSACgAIABJAFMARQBSAFIATwBSACgAIABUAGkAbQBlAGwAaQBuAGUAKQApACwAXABuACAAIAAgACAAIAAgACAAIAAgACAAIAAgACAAIAAgACAAIAAgACAAIAAgACAAIAAgACAAIAAgACAATwBSACgAIABJAFMARQBSAFIATwBSACgAIABTAGEAbAB2AGEAZwBlAFYAYQBsAHUAZQBzACkAKQAsAFwAbgAgACAAIAAgACAAIAAgACAAIAAgACAAIAAgACAAIAAgACAAIAAgACAAIAAgACAAIAAgACAAIAAgAE8AUgAoACAASQBTAEUAUgBSAE8AUgAoACAARABpAHMAcABvAHMAYQBsAEQAYQB0AGUAcwApACkALABcAG4AIAAgACAAIAAgACAAIAAgACAAIAAgACAAIAAgACAAIAAgACAAIAAgACAAIAAgACAAIAAgACAAIABPAFIAKAAgAEkAUwBFAFIAUgBPAFIAKAAgAEQAaQBzAHAAbwBzAGEAbABDAG8AcwB0AHMAKQApACwAXABuACAAIAAgACAAIAAgACAAIAAgACAAIAAgACAAIAAgACAAIAAgACAAIAAgACAAIAAgACAAIAAgACAATwBSACgAIABJAFMARQBSAFIATwBSACgAIABNAGUAdABoAG8AZABzACkAKQAsAFwAbgAgACAAIAAgACAAIAAgACAAIAAgACAAIAAgACAAIAAgACAAIAAgACAAIAAgACAAIAAgACAAIAAgAE8AUgAoACAASQBTAEUAUgBSAE8AUgAoACAARgBhAGMAdABvAHIAcwApACkAXABuACAAIAAgACAAIAAgACAAIAAgACAAIAAgACAAIAAgACAAIAAgACAAIAAgACAAIAAgACkALABcAG4AXABuACAAIAAgACAALwAvACAAIABDAGgAZQBjAGsAIABpAG4AcAB1AHQAcwAgAC0AIABEAGEAdABhACAAdgBhAGwAaQBkAGEAdABpAG8AbgAgAGUAcgByAG8AcgBzAFwAbgAgACAAIAAgACAAIAAgACAARABWAEEAcgBnADEALAAgACAAIAAgACAAIAAgACAAIABJAEYAKAAgAE8AUgAoACAASQBTAEUAUgBSAE8AUgAoAEkAbgBpAHQAaQBhAGwAVgBhAGwAdQBlAHMAKQApACwAIABcAG4AIAAgACAAIAAgACAAIAAgACAAIAAgACAAIAAgACAAIAAgACAAIAAgACAAIAAgACAAIAAgACAAIABGAEEATABTAEUALAAgAFwAbgAgACAAIAAgACAAIAAgACAAIAAgACAAIAAgACAAIAAgACAAIAAgACAAIAAgACAAIAAgACAAIAAgAE8AUgAoACAASQBGAEUAUgBSAE8AUgAoACAAVgBBAEwAVQBFACgASQBuAGkAdABpAGEAbABWAGEAbAB1AGUAcwApACAAPAAgADEALAAgAFQAUgBVAEUAKQApACkALABcAG4AIAAgACAAIAAgACAAIAAgAEQAVgBBAHIAZwAyACwAIAAgACAAIAAgACAAIAAgACAASQBGACgAIABPAFIAKAAgAEkAUwBFAFIAUgBPAFIAKAAgAEkAbgBTAGUAcgB2AGkAYwBlAEQAYQB0AGUAcwApACwAIABJAFMARQBSAFIATwBSACgAIABUAGkAbQBlAGwAaQBuAGUAKQApACwAIABcAG4AIAAgACAAIAAgACAAIAAgACAAIAAgACAAIAAgACAAIAAgACAAIAAgACAAIAAgACAAIAAgACAAIABGAEEATABTAEUALAAgAFwAbgAgACAAIAAgACAAIAAgACAAIAAgACAAIAAgACAAIAAgACAAIAAgACAAIAAgACAAIAAgACAAIAAgAE8AUgAoACAASQBGAEUAUgBSAE8AUgAoACAAVgBBAEwAVQBFACgASQBuAFMAZQByAHYAaQBjAGUARABhAHQAZQBzACkAIAA8ACAATQBJAE4AKAAgAFQAaQBtAGUAbABpAG4AZQApACwAIABUAFIAVQBFACkAKQApACwAXABuACAAIAAgACAALwAvACAAIABEAGUAcAByAGUAYwBpAGEAdABlALsDIAB0AGEAawBlAHMAIABhACAAdwBoAG8AbABlACAAbgB1AG0AYgBlAHIAIABvAGYAIAB5AGUAYQByAHMAIABmAHIAbwBtACAAMQAgAHQAbwAgADEAMAAwACAAYQBuAGQAIAByAGUAZgB1AHMAZQBzACAAYQBuAHkAdABoAGkAbgBnAFwAbgAgACAAIAAgAC8ALwAgACAAZQBsAHMAZQAsACAAcwBvACAAdABoAGUAIABjAG8AbQBwAGEAbgBpAG8AbgAgAHIAZQBhAGQAcwAgAHQAaABlACAAbABpAGYAZQAgAHQAaABlACAAcwBhAG0AZQAgAHcAYQB5ACAAaQB0AHMAIABwAGEAcgBlAG4AdAAgAGQAbwBlAHMALgBcAG4AIAAgACAAIAAgACAAIAAgAEQAVgBBAHIAZwAzACwAIAAgACAAIAAgACAAIAAgACAASQBGACgAIABPAFIAKAAgAEkAUwBFAFIAUgBPAFIAKAAgAEwAaQBmAGUASQBuAFkAZQBhAHIAcwApACkALAAgAFwAbgAgACAAIAAgACAAIAAgACAAIAAgACAAIAAgACAAIAAgACAAIAAgACAAIAAgACAAIAAgACAAIAAgAEYAQQBMAFMARQAsACAAXABuACAAIAAgACAAIAAgACAAIAAgACAAIAAgACAAIAAgACAAIAAgACAAIAAgACAAIAAgACAAIAAgACAATABFAFQAKAAgAEwAaQB2AGUAcwAsACAASQBGAEUAUgBSAE8AUgAoACAAVgBBAEwAVQBFACgAIABMAGkAZgBlAEkAbgBZAGUAYQByAHMAKQAsACAALQAxACkALABcAG4AIAAgACAAIAAgACAAIAAgACAAIAAgACAAIAAgACAAIAAgACAAIAAgACAAIAAgACAAIAAgACAAIAAgACAAIAAgACAATwBSACgAIABNAEkATgAoACAATABpAHYAZQBzACkAIAA8AD0AIAAwACwAIABNAEEAWAAoACAATABpAHYAZQBzACkAIAA+ACAAMQAwADAALABcAG4AIAAgACAAIAAgACAAIAAgACAAIAAgACAAIAAgACAAIAAgACAAIAAgACAAIAAgACAAIAAgACAAIAAgACAAIAAgACAAIAAgACAAIABTAFUATQBQAFIATwBEAFUAQwBUACgAIAAtAC0AKAAgAE0ATwBEACgAIABMAGkAdgBlAHMALAAgADEAKQAgADwAPgAgADAAKQApACAAPgAgADAAKQApACkALABcAG4AIAAgACAAIAAgACAAIAAgAEQAVgBBAHIAZwA0ACwAIAAgACAAIAAgACAAIAAgACAASQBGACgAIABPAFIAKAAgAEkAUwBFAFIAUgBPAFIAKAAgAFQAaQBtAGUAbABpAG4AZQApACkALAAgAFwAbgAgACAAIAAgACAAIAAgACAAIAAgACAAIAAgACAAIAAgACAAIAAgACAAIAAgACAAIAAgACAAIAAgAEYAQQBMAFMARQAsACAAXABuACAAIAAgACAAIAAgACAAIAAgACAAIAAgACAAIAAgACAAIAAgACAAIAAgACAAIAAgACAAIAAgACAAQwBPAFUATgBUAEEAKAAgAFQAaQBtAGUAbABpAG4AZQApACAAPAAgADIAKQAsAFwAbgAgACAAIAAgAC8ALwAgACAARABlAHAAcgBlAGMAaQBhAHQAZQC7AyAAcwB1AHAAcABvAHIAdABzACAAYQAgAHMAdQBiAC0AbQBvAG4AdABoAGwAeQAgAHQAaQBtAGUAbABpAG4AZQAsACAAcwBvACAAbwBuAGwAeQAgAGEAIAB0AGkAbQBlAGwAaQBuAGUAIAB0AGgAYQB0ACAAZABvAGUAcwBcAG4AIAAgACAAIAAvAC8AIAAgAG4AbwB0ACAAYQBkAHYAYQBuAGMAZQAgAGkAcwAgAHcAcgBvAG4AZwAgAGgAZQByAGUALgAgAEUAdgBlAHIAeQAgAGMAbwBuAHMAZQBjAHUAdABpAHYAZQAgAHAAYQBpAHIAIABpAHMAIABtAGUAYQBzAHUAcgBlAGQALAAgAGYAbwByACAAdABoAGUAIABzAGEAbQBlAFwAbgAgACAAIAAgAC8ALwAgACAAcgBlAGEAcwBvAG4AIABhAHMAIABBAG0AbwByAHQAaQBzAGUAuwMnAHMAOgAgAGEAIAByAGUAcABlAGEAdABlAGQAIABkAGEAdABlACAAbABhAHQAZQByACAAaQBuACAAdABoAGUAIAByAG8AdwAgAHAAYQBzAHMAZQBkACAAdABoAGUAIABmAGkAcgBzAHQALQBnAGEAcABcAG4AIAAgACAAIAAvAC8AIAAgAHQAZQBzAHQAIABhAG4AZAAgAHQAaABlACAAcABhAHIAZQBuAHQAJwBzACAAYQBwAHAAcgBvAHgAaQBtAGEAdABlACAATQBBAFQAQwBIACAAZAByAG8AcABzACAAdABoAGUAIABkAHUAcABsAGkAYwBhAHQAZQAnAHMAIAB2AGEAbAB1AGUALgBcAG4AIAAgACAAIAAgACAAIAAgAEQAVgBBAHIAZwA0AGIALAAgACAAIAAgACAAIAAgACAASQBGACgAIABPAFIAKAAgAE8AUgAoAEUAcgByAG8AcgBzAEkAbgBBAHIAZwBzACkALAAgAEQAVgBBAHIAZwA0ACkALAAgAFwAbgAgACAAIAAgACAAIAAgACAAIAAgACAAIAAgACAAIAAgACAAIAAgACAAIAAgACAAIAAgACAAIAAgAEYAQQBMAFMARQAsACAAXABuACAAIAAgACAAIAAgACAAIAAgACAAIAAgACAAIAAgACAAIAAgACAAIAAgACAAIAAgACAAIAAgACAATABFAFQAKAAgAEQAYQB0AGUAcwAsACAAVABPAFIATwBXACgAIABUAGkAbQBlAGwAaQBuAGUAKQAsAFwAbgAgACAAIAAgACAAIAAgACAAIAAgACAAIAAgACAAIAAgACAAIAAgACAAIAAgACAAIAAgACAAIAAgACAAIAAgACAAIABNAEkATgAoACAARABSAE8AUAAoACAARABhAHQAZQBzACwAIAAsACAAMQApACAALQAgAEQAUgBPAFAAKAAgAEQAYQB0AGUAcwAsACAALAAgAC0AMQApACkAIAA8ACAAMQApACkALABcAG4AIAAgACAAIAAgACAAIAAgAEQAVgBBAHIAZwA1ACwAIAAgACAAIAAgACAAIAAgACAASQBGACgAIABPAFIAKAAgAEkAUwBPAE0ASQBUAFQARQBEACgAIABTAGEAbAB2AGEAZwBlAFYAYQBsAHUAZQBzACkALAAgAE8AUgAoAEkAUwBFAFIAUgBPAFIAKABTAGEAbAB2AGEAZwBlAFYAYQBsAHUAZQBzACkAKQApACwAIABcAG4AIAAgACAAIAAgACAAIAAgACAAIAAgACAAIAAgACAAIAAgACAAIAAgACAAIAAgACAAIAAgACAAIABGAEEATABTAEUALAAgAFwAbgAgACAAIAAgACAAIAAgACAAIAAgACAAIAAgACAAIAAgACAAIAAgACAAIAAgACAAIAAgACAAIAAgAE8AUgAoACAASQBGAEUAUgBSAE8AUgAoACAAVgBBAEwAVQBFACgAUwBhAGwAdgBhAGcAZQBWAGEAbAB1AGUAcwApACAAPAAgADAALAAgAFQAUgBVAEUAKQApACkALABcAG4AIAAgACAAIAAgACAAIAAgAEQAVgBBAHIAZwA2ACwAIAAgACAAIAAgACAAIAAgACAASQBGACgAIABPAFIAKAAgAEkAUwBPAE0ASQBUAFQARQBEACgAIABEAGkAcwBwAG8AcwBhAGwARABhAHQAZQBzACkALAAgAE8AUgAoAEUAcgByAG8AcgBzAEkAbgBBAHIAZwBzACkAKQAsAFwAbgAgACAAIAAgACAAIAAgACAAIAAgACAAIAAgACAAIAAgACAAIAAgACAAIAAgACAAIAAgACAAIAAgAEYAQQBMAFMARQAsACAAXABuACAAIAAgACAAIAAgACAAIAAgACAAIAAgACAAIAAgACAAIAAgACAAIAAgACAAIAAgACAAIAAgACAATwBSACgAIABEAGkAcwBwAG8AcwBhAGwARABhAHQAZQBzACAAPAAgAEkAbgBTAGUAcgB2AGkAYwBlAEQAYQB0AGUAcwApACkALABcAG4AIAAgACAAIAAgACAAIAAgACAAIAAgACAAIAAgACAAIAAgACAAIAAgACAAIAAgACAAIAAgACAAIAAvAC8ATwBSACgAIABJAEYARQBSAFIATwBSACgAIABWAEEATABVAEUAKABEAGkAcwBwAG8AcwBhAGwARABhAHQAZQBzACkAIAA8ACAASQBuAFMAZQByAHYAaQBjAGUARABhAHQAZQBzACwAIABUAFIAVQBFACkAKQApACwAXABuACAAIAAgACAAIAAgACAAIABEAFYAQQByAGcANwAsACAAIAAgACAAIAAgACAAIAAgAEkARgAoACAATwBSACgAIABJAFMATwBNAEkAVABUAEUARAAoACAARABpAHMAcABvAHMAYQBsAEMAbwBzAHQAcwApACwAIABPAFIAKABJAFMARQBSAFIATwBSACgARABpAHMAcABvAHMAYQBsAEMAbwBzAHQAcwApACkAKQAsACAAXABuACAAIAAgACAAIAAgACAAIAAgACAAIAAgACAAIAAgACAAIAAgACAAIAAgACAAIAAgACAAIAAgACAARgBBAEwAUwBFACwAIABcAG4AIAAgACAAIAAgACAAIAAgACAAIAAgACAAIAAgACAAIAAgACAAIAAgACAAIAAgACAAIAAgACAAIABPAFIAKAAgAEkARgBFAFIAUgBPAFIAKAAgAFYAQQBMAFUARQAoAEQAaQBzAHAAbwBzAGEAbABDAG8AcwB0AHMAKQAgADwAIAAwACwAIABUAFIAVQBFACkAKQApACwAXABuACAAIAAgACAAIAAgACAAIABEAFYAQQByAGcAOAAsACAAIAAgACAAIAAgACAAIAAgAEkARgAoACAATwBSACgAIABJAFMATwBNAEkAVABUAEUARAAoACAATQBlAHQAaABvAGQAcwApACwAIAAgAEkAUwBFAFIAUgBPAFIAKAAgAE0AZQB0AGgAbwBkAHMAKQApACwAIABcAG4AIAAgACAAIAAgACAAIAAgACAAIAAgACAAIAAgACAAIAAgACAAIAAgACAAIAAgACAAIAAgACAAIABGAEEATABTAEUALAAgAFwAbgAgACAAIAAgACAAIAAgACAAIAAgACAAIAAgACAAIAAgACAAIAAgACAAIAAgACAAIAAvAC8AIAAgAFMARQBBAFIAQwBIACAAbQBhAHQAYwBoAGUAcwAgAGEAIABzAHUAYgBzAHQAcgBpAG4AZwAsACAAcwBvACAAXAAiAEQAXAAiACAAcABhAHMAcwBlAGQAIABhAG4AZAAgAEQAZQBwAHIAZQBjAGkAYQB0AGUAuwMnAHMAIABlAHgAYQBjAHQAXABuACAAIAAgACAAIAAgACAAIAAgACAAIAAgACAAIAAgACAAIAAgACAAIAAgACAAIAAgAC8ALwAgACAATQBBAFQAQwBIACAAdABoAGUAbgAgAHIAZQB0AHUAcgBuAGUAZAAgACMATgAvAEEALgAgAFgATQBBAFQAQwBIACAAdwBpAHQAaAAgAG0AYQB0AGMAaABfAG0AbwBkAGUAIAAwACAAaQBzACAAZQB4AGEAYwB0AC4AXABuACAAIAAgACAAIAAgACAAIAAgACAAIAAgACAAIAAgACAAIAAgACAAIAAgACAAIAAgACAAIAAgACAATwBSACgASQBTAE4AQQAoACAAWABNAEEAVABDAEgAKAAgAE0AZQB0AGgAbwBkAHMALAAgAHsAXAAiAFMATABOAFwAIgAsAFwAIgBTAFkARABcACIALABcACIARABCAFwAIgAsAFwAIgBEAEQAQgBcACIALABcACIAVgBEAEIAXAAiACwAXAAiAEQAVgBcACIALABcACIAUABDAFwAIgB9ACwAIAAwACkAKQApACkALABcAG4AIAAgACAAIAAgACAAIAAgAEQAVgBBAHIAZwA5ACwAIAAgACAAIAAgACAAIAAgACAASQBGACgAIABPAFIAKAAgAEkAUwBPAE0ASQBUAFQARQBEACgAIABGAGEAYwB0AG8AcgBzACkALAAgACAASQBTAEUAUgBSAE8AUgAoACAARgBhAGMAdABvAHIAcwApACkALAAgAFwAbgAgACAAIAAgACAAIAAgACAAIAAgACAAIAAgACAAIAAgACAAIAAgACAAIAAgACAAIAAgACAAIAAgAEYAQQBMAFMARQAsACAAXABuACAAIAAgACAAIAAgACAAIAAgACAAIAAgACAAIAAgACAAIAAgACAAIAAgACAAIAAgAC8ALwAgACAAVABoAGUAIABtAGUAcwBzAGEAZwBlACAAcgBlAHEAdQBpAHIAZQBzACAAYQAgAGYAYQBjAHQAbwByACAAZwByAGUAYQB0AGUAcgAgAHQAaABhAG4AIAB6AGUAcgBvACwAIABhAG4AZAAgAGEAIABmAGEAYwB0AG8AcgAgAG8AZgAgADAAXABuACAAIAAgACAAIAAgACAAIAAgACAAIAAgACAAIAAgACAAIAAgACAAIAAgACAAIAAgAC8ALwAgACAAcgBlAGEAYwBoAGUAcwAgAEQARABCALsDIABvAHIAIABWAEQAQgC7AywAIABzAG8AIAByAGUAagBlAGMAdAAgAGkAdAAgAGgAZQByAGUAIAByAGEAdABoAGUAcgAgAHQAaABhAG4AIABiAGUAbABvAHcALgBcAG4AIAAgACAAIAAgACAAIAAgACAAIAAgACAAIAAgACAAIAAgACAAIAAgACAAIAAgACAAIAAgACAAIABPAFIAKABJAEYARQBSAFIATwBSACgAIABWAEEATABVAEUAKAAgAEYAYQBjAHQAbwByAHMAKQAgADwAPQAgADAALAAgAFQAUgBVAEUAIAApACkAKQAsAFwAbgAgACAAIAAgACAAIAAgACAARABWAEUAcgByAG8AcgBzACwAIAAgACAAIAAgACAAIABWAFMAVABBAEMASwAoACAARABWAEEAcgBnADEALAAgAEQAVgBBAHIAZwAyACwAIABEAFYAQQByAGcAMwAsACAARABWAEEAcgBnADQALAAgAEQAVgBBAHIAZwA0AGIALAAgAEQAVgBBAHIAZwA1ACwAIABEAFYAQQByAGcANgAsACAARABWAEEAcgBnADcALAAgAEQAVgBBAHIAZwA4ACwAIABEAFYAQQByAGcAOQAgACkALABcAG4AIAAgACAAIAAgACAAIAAgAFwAbgAgACAAIAAgAC8ALwAgACAAQQBuAHkAIABpAG4AcAB1AHQAIABlAHIAcgBvAHIAcwAgAGQAZQB0AGUAYwB0AGUAZAA/AFwAbgAgACAAIAAgACAAIAAgACAAQQBuAHkARQByAHIAbwByAHMAPwAsACAAIAAgACAAIABPAFIAKABFAHIAcgBvAHIAcwBJAG4AQQByAGcAcwAsACAARABWAEUAcgByAG8AcgBzACkALABcAG4AXABuACAAIAAgACAALwAvACAAIABBAHMAcwBlAG0AYgBsAGUAIABFAHIAcgBvAHIAIABNAGUAcwBzAGEAZwBlAHMAIABBAHIAcgBhAHkAIAAoAGkAZgAgAGUAcgByAG8AcgBzACAAZgBvAHUAbgBkACkAXABuACAAIAAgACAAIAAgACAAIABFAHIAcgBvAHIAcwAyAFMAaABvAHcALAAgACAAIAAgAFYAUwBUAEEAQwBLACgAIABFAHIAcgBvAHIAcwBJAG4AQQByAGcAcwAsACAARABWAEUAcgByAG8AcgBzACkALAAgAFwAbgAgACAAIAAgACAAIAAgACAARQByAHIATQBzAGcAcwAsACAAIAAgACAAIAAgACAAIAB7AFwAbgAgACAAIAAgACAAIAAgACAAIAAgACAAIAAgACAAIAAgACAAIAAgACAALwAvACAAIABFAHIAcgBvAHIAcwAgAGkAbgAgAGEAcgBnAHUAbQBlAG4AdABzAFwAbgAgACAAIAAgACAAIAAgACAAIAAgACAAIAAgACAAIAAgACAAIAAgACAAIAAgACAAIAAgAFwAIgBJAG4AaQB0AGkAYQBsAFYAYQBsAHUAZQBzACAAYwBvAG4AdABhAGkAbgBzACAAZQByAHIAbwByAHMAIABpAG4AIABjAGUAbABsAHMALgAgAFIAZQBzAG8AbAB2AGUAIABlAHIAcgBvAHIAcwAgAGYAaQByAHMAdAAuAFwAIgA7AFwAbgAgACAAIAAgACAAIAAgACAAIAAgACAAIAAgACAAIAAgACAAIAAgACAAIAAgACAAIAAgAFwAIgBJAG4AUwBlAHIAdgBpAGMAZQBEAGEAdABlAHMAIABjAG8AbgB0AGEAaQBuAHMAIABlAHIAcgBvAHIAcwAgAGkAbgAgAGMAZQBsAGwAcwAuACAAUgBlAHMAbwBsAHYAZQAgAGUAcgByAG8AcgBzACAAZgBpAHIAcwB0AC4AXAAiADsAXABuACAAIAAgACAAIAAgACAAIAAgACAAIAAgACAAIAAgACAAIAAgACAAIAAgACAAIAAgACAAXAAiAEwAaQBmAGUASQBuAFkAZQBhAHIAcwAgAGMAbwBuAHQAYQBpAG4AcwAgAGUAcgByAG8AcgBzACAAaQBuACAAYwBlAGwAbABzAC4AIABSAGUAcwBvAGwAdgBlACAAZQByAHIAbwByAHMAIABmAGkAcgBzAHQALgBcACIAOwBcAG4AIAAgACAAIAAgACAAIAAgACAAIAAgACAAIAAgACAAIAAgACAAIAAgACAAIAAgACAAIABcACIAVABpAG0AZQBsAGkAbgBlACAAYwBvAG4AdABhAGkAbgBzACAAZQByAHIAbwByAHMAIABpAG4AIABjAGUAbABsAHMALgAgAFIAZQBzAG8AbAB2AGUAIABlAHIAcgBvAHIAcwAgAGYAaQByAHMAdAAuAFwAIgA7AFwAbgAgACAAIAAgACAAIAAgACAAIAAgACAAIAAgACAAIAAgACAAIAAgACAAIAAgACAAIAAgAFwAIgBTAGEAbAB2AGEAZwBlAFYAYQBsAHUAZQBzACAAYwBvAG4AdABhAGkAbgBzACAAZQByAHIAbwByAHMAIABpAG4AIABjAGUAbABsAHMALgAgAFIAZQBzAG8AbAB2AGUAIABlAHIAcgBvAHIAcwAgAGYAaQByAHMAdAAuAFwAIgA7AFwAbgAgACAAIAAgACAAIAAgACAAIAAgACAAIAAgACAAIAAgACAAIAAgACAAIAAgACAAIAAgAFwAIgBEAGkAcwBwAG8AcwBhAGwARABhAHQAZQBzACAAYwBvAG4AdABhAGkAbgBzACAAZQByAHIAbwByAHMAIABpAG4AIABjAGUAbABsAHMALgAgAFIAZQBzAG8AbAB2AGUAIABlAHIAcgBvAHIAcwAgAGYAaQByAHMAdAAuAFwAIgA7AFwAbgAgACAAIAAgACAAIAAgACAAIAAgACAAIAAgACAAIAAgACAAIAAgACAAIAAgACAAIAAgAFwAIgBEAGkAcwBwAG8AcwBhAGwAQwBvAHMAdABzACAAYwBvAG4AdABhAGkAbgBzACAAZQByAHIAbwByAHMAIABpAG4AIABjAGUAbABsAHMALgAgAFIAZQBzAG8AbAB2AGUAIABlAHIAcgBvAHIAcwAgAGYAaQByAHMAdAAuAFwAIgA7AFwAbgAgACAAIAAgACAAIAAgACAAIAAgACAAIAAgACAAIAAgACAAIAAgACAAIAAgACAAIAAgAFwAIgBNAGUAdABoAG8AZABzACAAYwBvAG4AdABhAGkAbgBzACAAZQByAHIAbwByAHMAIABpAG4AIABjAGUAbABsAHMALgAgAFIAZQBzAG8AbAB2AGUAIABlAHIAcgBvAHIAcwAgAGYAaQByAHMAdAAuAFwAIgA7AFwAbgAgACAAIAAgACAAIAAgACAAIAAgACAAIAAgACAAIAAgACAAIAAgACAAIAAgACAAIAAgAFwAIgBGAGEAYwB0AG8AcgBzACAAYwBvAG4AdABhAGkAbgBzACAAZQByAHIAbwByAHMAIABpAG4AIABjAGUAbABsAHMALgAgAFIAZQBzAG8AbAB2AGUAIABlAHIAcgBvAHIAcwAgAGYAaQByAHMAdAAuAFwAIgA7AFwAbgAgACAAIAAgACAAIAAgACAAIAAgACAAIAAgACAAIAAgACAAIAAgACAAXABuACAAIAAgACAAIAAgACAAIAAgACAAIAAgACAAIAAgACAAIAAgACAAIAAvAC8AIAAgAEQAYQB0AGEAIAB2AGEAbABpAGQAYQB0AGkAbwBuACAAZQByAHIAbwByAHMAXABuACAAIAAgACAAIAAgACAAIAAgACAAIAAgACAAIAAgACAAIAAgACAAIAAgACAAIAAgACAAXAAiAEkAbgBpAHQAaQBhAGwAVgBhAGwAdQBlAHMAIABtAHUAcwB0ACAAYgBlACAAYQBuACAAYQBtAG8AdQBuAHQAIABnAHIAZQBhAHQAZQByACAAdABoAGEAbgAgADAAXAAiADsAXABuACAAIAAgACAAIAAgACAAIAAgACAAIAAgACAAIAAgACAAIAAgACAAIAAgACAAIAAgACAAXAAiAEkAbgBTAGUAcgB2AGkAYwBlAEQAYQB0AGUAcwAgAG0AdQBzAHQAIABiAGUAIAB2AGEAbABpAGQAIABkAGEAdABlAHMAXAAiADsAXABuACAAIAAgACAAIAAgACAAIAAgACAAIAAgACAAIAAgACAAIAAgACAAIAAgACAAIAAgACAAXAAiAEwAaQBmAGUASQBuAFkAZQBhAHIAcwAgAG0AdQBzAHQAIABiAGUAIABhACAAdwBoAG8AbABlACAAbgB1AG0AYgBlAHIAIABvAGYAIAB5AGUAYQByAHMAIABnAHIAZQBhAHQAZQByACAAdABoAGEAbgAgADAAIABhAG4AZAAgAG4AbwAgAG0AbwByAGUAIAB0AGgAYQBuACAAMQAwADAAXAAiADsAXABuACAAIAAgACAAIAAgACAAIAAgACAAIAAgACAAIAAgACAAIAAgACAAIAAgACAAIAAgACAAXAAiAFQAaQBtAGUAbABpAG4AZQAgAG0AdQBzAHQAIABiAGUAIABhACAAcgBvAHcAIABvAGYAIABwAGUAcgBpAG8AZAAgAHMAdABhAHIAdAAgAGQAYQB0AGUAcwAgAHcAaQB0AGgAIABtAG8AcgBlACAAdABoAGEAbgAgADEAIABlAG4AdAByAHkALgBcACIAOwBcAG4AIAAgACAAIAAgACAAIAAgACAAIAAgACAAIAAgACAAIAAgACAAIAAgACAAIAAgACAAIABcACIARQBhAGMAaAAgAHAAZQByAGkAbwBkACAAaQBuACAAdABoAGUAIAB0AGkAbQBlAGwAaQBuAGUAIABtAHUAcwB0ACAAYQBkAHYAYQBuAGMAZQAgAGIAeQAgAGEAdAAgAGwAZQBhAHMAdAAgAGEAIABkAGEAeQAuAFwAIgA7AFwAbgAgACAAIAAgACAAIAAgACAAIAAgACAAIAAgACAAIAAgACAAIAAgACAAIAAgACAAIAAgAFwAIgBTAGEAbAB2AGEAZwBlAFYAYQBsAHUAZQBzACAAbQB1AHMAdAAgAGIAZQAgAGEAbgAgAGEAbQBvAHUAbgB0ACAAbgBvAHQAIABsAGUAcwBzACAAdABoAGEAbgAgADAAIABvAHIAIABvAG0AaQB0AHQAZQBkAFwAIgA7AFwAbgAgACAAIAAgACAAIAAgACAAIAAgACAAIAAgACAAIAAgACAAIAAgACAAIAAgACAAIAAgAFwAIgBEAGkAcwBwAG8AcwBhAGwARABhAHQAZQBzACAAbQB1AHMAdAAgAGIAZQAgAGEAIABkAGEAdABlACAAZwByAGUAYQB0AGUAcgAgAHQAaABhAG4AIABJAG4AUwBlAHIAdgBpAGMAZQBEAGEAdABlAHMAIABvAHIAIABvAG0AaQB0AHQAZQBkAFwAIgA7AFwAbgAgACAAIAAgACAAIAAgACAAIAAgACAAIAAgACAAIAAgACAAIAAgACAAIAAgACAAIAAgAFwAIgBEAGkAcwBwAG8AcwBhAGwAQwBvAHMAdABzACAAbQB1AHMAdAAgAGIAZQAgAGEAbgAgAGEAbQBvAHUAbgB0ACAAbgBvAHQAIABsAGUAcwBzACAAdABoAGEAbgAgADAAIABvAHIAIABvAG0AaQB0AHQAZQBkAFwAIgA7AFwAbgAgACAAIAAgACAAIAAgACAAIAAgACAAIAAgACAAIAAgACAAIAAgACAAIAAgACAAIAAgAFwAIgBNAGUAdABoAG8AZABzACAAbQB1AHMAdAAgAGIAZQAgAG8AbQBpAHQAdABlAGQAIABvAHIAIABvAG4AZQAgAG8AZgA6ACAAUwBMAE4ALAAgAFMAWQBEACwAIABEAEIALAAgAEQARABCACwAIABWAEQAQgAsACAARABWACwAIABvAHIAIABQAEMALgBcACIAOwBcAG4AIAAgACAAIAAgACAAIAAgACAAIAAgACAAIAAgACAAIAAgACAAIAAgACAAIAAgACAAIABcACIARgBhAGMAdABvAHIAcwAgAG0AdQBzAHQAIABiAGUAIABhACAAdgBhAGwAdQBlACAAZwByAGUAYQB0AGUAcgAgAHQAaABhAG4AIAAwAFwAIgB9ACwAXABuACAAIAAgACAAIAAgACAAIABNAGUAcwBzAGEAZwBlAHMALAAgACAAIAAgACAAIAAgAEYASQBMAFQARQBSACgARQByAHIATQBzAGcAcwAsACAARQByAHIAbwByAHMAMgBTAGgAbwB3ACwAIABcACIAXAAiACkALAAgACAAIAAgACAAIAAgACAAXABuAFwAbgAgACAAIAAgAC8ALwAgACAASABhAG4AZABsAGUAIABFAHIAcgBvAHIAXABuACAAIAAgACAAIAAgACAAIABSAGUAdAB1AHIAbgAsACAAIAAgACAAIAAgACAAIAAgAEkARgAoACAATwBSACgAIABFAHIAcgBvAHIAcwAyAFMAaABvAHcAKQAsACAAMgAsACAASQBGACgAIABBAG4AeQBFAHIAcgBvAHIAcwA/ACwAIAAzACwAIAAxACkAKQAsACAAIAAgACAAIAAgACAAIABcAG4AIAAgACAAIAAvAC8AIAAgAFIAZQB0AHUAcgBuACAAUgBlAHMAdQBsAHQAXABuACAAIAAgACAAIAAgACAAIABDAEgATwBPAFMARQAoAFIAZQB0AHUAcgBuACwAIABUAFIAVQBFACwAIABNAGUAcwBzAGEAZwBlAHMALAAgACMAVgBBAEwAVQBFACEAKQBcAG4AIAAgACAAIAApACAAIAAgACAAXABuACkAOwBcAG4AXABuAFwAbgBcAG4ALwAvACAAIABTAHUAYgBSAG8AdQB0AGkAbgBlAHMAXABuAFwAbgBcAG4ALwAqACAAIABGAFUATgBDAFQASQBPAE4AIABOAEEATQBFADoAIAAgAFQAaQBtAGUAbABpAG4AZQBPAGYAZgBzAGUAdAC7A1wAbgAgACAAIAAgAEQARQBTAEMAUgBJAFAAVABJAE8ATgA6ACoALwAvACoAKgBEAGUAdABlAHIAbQBpAG4AZQBzACAAaABvAHcAIABtAGEAbgB5ACAAcABlAHIAaQBvAGQAcwAgAG8AbgBlACAAYQByAHIAYQB5ACAAaQBzACAAbwBmAGYAcwBlAHQAIABmAHIAbwBtACAAdABoAGUAIAB0AGkAbQBlAGwAaQBuAGUAKgAvAFwAbgAvACoAIAAgAEQASQBTAEMAVQBTAFMASQBPAE4AOgAgACAAIAAgACAAVABoAGUAIABwAG8AcwBzAGkAYgBpAGwAaQB0AHkAIABlAHgAaQBzAHQAcwAgAHIAZQBxAHUAaQByAGkAbgBnACAAYwBhAGwAYwB1AGwAYQB0AGkAbwBuAHMAIABiAGUAZgBvAHIAZQAgAGEAIABtAG8AZABlAGwAJwBzACAAdABpAG0AZQBsAGkAbgBlAC4AIABBAG4AIABlAHgAYQBtAHAAbABlACAAaQBzAFwAbgAgACAAIAAgACAAIAAgACAAIAAgACAAIAAgACAAIAAgACAAIAAgACAAZABlAHAAcgBlAGMAaQBhAHQAaQBvAG4AIABvAGYAIABhAHMAcwBlAHQAcwAgAGkAbgAgAGEAbgAgAGUAeABpAHMAdABpAG4AZwAgAGMAbwBtAHAAYQBuAHkAIAB3AGEAbgB0AGkAbgBnACAAdABvACAAZgBvAHIAZQBjAGEAcwB0ACAAcwBvAG0AZQAgAGEAYwB0AGkAdgBpAHQAeQAuACAAXABuACAAIAAgACAAIAAgACAAIAAgACAAIAAgACAAIAAgACAAIAAgACAAIABJAG4AIABzAHUAYwBoACAAYwBhAHMAZQBzACwAIABpAHQAIABjAGEAbgAgAGIAZQAgAGEAZAB2AGEAbgB0AGEAZwBlAG8AdQBzACAAdABvACAAcABlAHIAZgBvAHIAbQAgAHQAaABlACAAYwBhAGwAYwB1AGwAYQB0AGkAbwBuAHMAIAB3AGkAdABoAGkAbgAgAHQAaABlAGkAcgAgAG8AdwBuACAAdABpAG0AZQBsAGkAbgBlAFwAbgAgACAAIAAgACAAIAAgACAAIAAgACAAIAAgACAAIAAgACAAIAAgACAAYQBuAGQAIAB0AGgAZQBuACAAcABsAGEAYwBlACAAdABoAGUAIAByAGUAcwB1AGwAdABzACAAcAByAG8AcABlAHIAbAB5ACAAdwBpAHQAaABpAG4AIAB0AGgAZQAgAG0AbwBkAGUAbAAnAHMAIAB0AGkAbQBlAGwAaQBuAGUALgAgAFwAbgAgACAAIAAgACAAIAAgACAAIAAgACAAIAAgACAAIAAgACAAIAAgACAAVABoAGkAcwAgAHIAbwB1AHQAaQBuAGUAIABkAGUAdABlAHIAbQBpAG4AZQAgAHcAaABlAHIAZQAgAHMAdQBjAGgAIABjAGEAbABjAHUAbABhAHQAaQBvAG4AIAByAGUAcwB1AGwAdABzACAAZgBpAHQAIAB3AGkAdABoAGkAbgAgAHQAaABlACAAbQBvAGQAZQBsACcAcwAgAHQAaQBtAGUAbABpAG4AZQAgAGEAbgBkACAAXABuACAAIAAgACAAIAAgACAAIAAgACAAIAAgACAAIAAgACAAIAAgACAAIABjAHIAbwBwAHMAIAB0AGgAbwBzAGUAIAByAGUAcwB1AGwAdABzACAAdABoAGEAdAAgAGQAbwAgAG4AbwB0ACAAYgBlAGwAbwBuAGcALgAgACoALwBcAG4AVABpAG0AZQBsAGkAbgBlAE8AZgBmAHMAZQB0ALsDIAA9ACAATABBAE0AQgBEAEEAKABcAG4ALwAvACAAIABQAGEAcgBhAG0AZQB0AGUAcgAgAEQAZQBjAGwAYQByAGEAdABpAG8AbgBzAFwAbgAgACAAIAAgAFsARABhAHQAZQBdACwAIAAgACAAIABcAG4AIAAgACAAIABbAFQAaQBtAGUAbABpAG4AZQBdACwAIAAgACAAIAAg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VABpAG0AZQBsAGkAbgBlAE8AZgBmAHMAZQB0ALsDKABEAGEAdABlACwAIABUAGkAbQBlAGwAaQBuAGUAKQC2AFwAIgAgACYAXABuACAAIAAgACAAIAAgACAAIAAgACAAIAAgACAAIAAgACAAIAAgACAAIAAgACAAIAAgACAAIAAgACAAXAAiAEQARQBTAEMAUgBJAFAAVABJAE8ATgA6ACAAIAAgAJIhRABlAHQAZQByAG0AaQBuAGUAcwAgAGkAbgAgAHcAaABpAGMAaAAgAHAAZQByAGkAbwBkACwAIAByAGUAbABhAHQAaQB2AGUAIAB0AG8AIAB0AGgAZQAgAHQAaQBtAGUAbABpAG4AZQAnAHMAIABzAHQAYQByAHQAIABhAG4AZAAgAGkAbgB0AGUAcgB2AGEAbAAsALYAXAAiACAAJgBcAG4AIAAgACAAIAAgACAAIAAgACAAIAAgACAAIAAgACAAIAAgACAAIAAgACAAIAAgACAAIAAgACAAIAAgACAAIAAgACAAIAAgACAAIAAgACAAIAAgACAAIABcACIAkiFhACAAZABhAHQAZQAgAGYAYQBsAGwAcwAgAHcAaQB0AGgAaQBuAC4AtgBcACIAIAAmACAAXABuACAAIAAgACA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QAYQB0AGUAIAAgACAAIAAgACAAIAAgACAAIAAgAJIhKABSAGUAcQB1AGkAcgBlAGQAKQAgAEEAIABzAHQAYQByAHQAaQBuAGcAIABkAGEAdABlALYAXAAiACAAJgAgAFwAbgAgACAAIAAgACAAIAAgACAAIAAgACAAIAAgACAAIAAgACAAIAAgACAAIAAgACAAIAAgACAAIAAgAFwAIgBUAGkAbQBlAGwAaQBuAGUAIAAgACAAIAAgACAAIACSISgAUgBlAHEAdQBpAHIAZQBkACkAIABBACAAbQBvAGQAZQBsACcAcwAgAHQAaQBtAGUAbABpAG4AZQAgACgAUgBvAHcAIABvAGYAIABwAGUAcgBpAG8AZAAgAHMAdABhAHIAdAAgAGQAYQB0AGUAcwApALYAXAAiACAAJgAg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vAHoAIABpAHMAIABhAHMAcwB1AG0AZQBkACAAdABvACAAYgBlACAAdABoAGUAIABtAG8AZAB1AGwAZQAnAHMAIABuAGEAbQBlACkAtgBcACIAIAAmAFwAbgAgACAAIAAgACAAIAAgACAAIAAgACAAIAAgACAAIAAgACAAIAAgACAAIAAgACAAIAAgACAAIAAgAFwAIgAxACAAIAAgACAAIAAgACAAIAAgACAAIAAgACAAIACSIT0AbwB6AC4AVABpAG0AZQBsAGkAbgBlAE8AZgBmAHMAZQB0ALsDKABcACIAXAAiADEANQAvADgALwAyADAAMgA2AFwAIgBcACIALAAgAEUARABBAFQARQAoAFwAIgBcACIAMQAvADcALwAyADAAMgA2AFwAIgBcACIALAAgAFMARQBRAFUARQBOAEMARQAoACAALAAgADEAMgAsACAAMAApACkAKQC2AFwAIgAgACYAXABuACAAIAAgACAAIAAgACAAIAAgACAAIAAgACAAIAAgACAAIAAgACAAIAAgACAAIAAgACAAIAAgACAAXAAiAC0AMQAxACAAIAAgACAAIAAgACAAIAAgACAAIAAgAJIhPQBvAHoALgBUAGkAbQBlAGwAaQBuAGUATwBmAGYAcwBlAHQAuwMoAFwAIgBcACIAMQA1AC8AOAAvADIAMAAyADUAXAAiAFwAIgAsACAARQBEAEEAVABFACgAXAAiAFwAIgAxAC8ANwAvADIAMAAyADYAXAAiAFwAIgAsACAAUwBFAFEAVQBFAE4AQwBFACgAIAAsACAAMQAyACwAIAAwACkAK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EAGEAdABlACkALABcAG4AIAAgACAAIAAgACAAIAAgACAAIAAgACAAIAAgACAAIAAgACAAIAAgACAAIAAgACAAIAAgACAAIABJAFMATwBNAEkAVABUAEUARAAoACAAVABpAG0AZQBsAGkAbgBlACkAXABuACAAIAAgACAAIAAgACAAIAAgACAAIAAgACAAIAAgACAAIAAgACAAIAAgACAAIAAgACkALABcAG4AIAAgACAAIAAvAC8AIAAgAEMAaABlAGMAawAgAGkAbgBwAHUAdABzACAALQAgAEkAZgAgAGQAYQB0AGUAIABpAHMAIABpAG4AIAB0AGUAeAB0ACwAIABjAG8AbgB2AGUAcgB0ACAAdABvACAAdgBhAGwAdQBlAFwAbgAgACAAIAAgACAAIAAgACAARABhAHQAZQAsACAAIAAgACAAIAAgACAAIAAgACAAIABAAEkARgAoACAASQBTAFQARQBYAFQAKAAgAEQAYQB0AGUAKQAsACAARABBAFQARQBWAEEATABVAEUAKAAgAEQAYQB0AGUAKQAsACAARABhAHQAZQApACwAXABuACAAIAAgACAALwAqACAAIABQAHIAZQBtAGkAcwBlADoAIAAgACAAIAAgACAAIAAgAEMAcgBlAGEAdABlACAAYQAgAHMAaABvAHIAdAAgAHQAaQBtAGUAbABpAG4AZQAgAHQAaABhAHQAIABpAHMAIABpAG4AIABzAHkAbgBjACAAdwBpAHQAaAAgAHQAaABlACAAbQBvAGQAZQBsACcAcwAgAHQAaQBtAGUAbABpAG4AZQAgAHQAaABhAHQAIABzAHAAYQBuAHMAIABcAG4AIAAgACAAIAAgACAAIAAgACAAIAAgACAAIAAgACAAIAAgACAAIAAgACAAIAAgACAAZgByAG8AbQAgAHQAaABlACAAdABpAG0AZQBsAGkAbgBlACAAcwB0AGEAcgB0ACAAdABvACAAdABoAGUAIABkAGEAdABlACAAaQBuACAAcQB1AGUAcwB0AGkAbwBuACAAcABsAHUAcwAgAG8AbgBlACAAcABlAHIAaQBvAGQAIABvAG4AIABlAGkAdABoAGUAcgAgAHMAaQBkAGUALgBcAG4AIAAgACAAIAAgACAAIAAgACAAIAAgACAAIAAgACAAIAAgACAAIAAgACAAIAAgACAATgBvACAAdwBlACAAYwBhAG4AIAB1AHMAZQAgAE0AQQBUAEMASAAoACkAIAB0AG8AIABmAGkAbgBkACAAdwBoAGkAYwBoACAAdABpAG0AZQBsAGkAbgBlACAAcABlAHIAaQBvAGQAIAAgACAAIAAqAC8AXABuACAAIAAgACAALwAvACAAIABEAGUAdABlAHIAbQBpAG4AZQAgAHQAaQBtAGUAbABpAG4AZQAnAHMAIABpAG4AdABlAHIAdgBhAGwAIAAoAGwAZQBuAGcAdABoACAAbwBmACAAcABlAHIAaQBvAGQAcwApAC4AIABBACAAbwBuAGUALQBkAGEAdABlACAAdABpAG0AZQBsAGkAbgBlACAAaABhAHMAIABuAG8AXABuACAAIAAgACAALwAvACAAIABzAGUAYwBvAG4AZAAgAGQAYQB0AGUAIAB0AG8AIABtAGUAYQBzAHUAcgBlACwAIABzAG8AIABpAHQAIABpAHMAIAByAGUAYQBkACAAYQBzACAAbQBvAG4AdABoAGwAeQAuAFwAbgAgACAAIAAgACAAIAAgACAAUABlAHIAaQBvAGQAMQAsACAAIAAgACAAIAAgACAAIABJAE4ARABFAFgAKAAgAFQAaQBtAGUAbABpAG4AZQAsACAAMQApACwAXABuACAAIAAgACAAIAAgACAAIABQAGUAcgBpAG8AZAAyACwAIAAgACAAIAAgACAAIAAgAEkARgAoACAAQwBPAFUATgBUAEEAKAAgAFQAaQBtAGUAbABpAG4AZQApACAAPAAgADIALAAgAEUARABBAFQARQAoACAAUABlAHIAaQBvAGQAMQAsACAAMQApACwAIABJAE4ARABFAFgAKAAgAFQAaQBtAGUAbABpAG4AZQAsACAAMgApACkALABcAG4AIAAgACAAIAAgACAAIAAgAEQAcABQACwAIAAgACAAIAAgACAAIAAgACAAIAAgACAAUABlAHIAaQBvAGQAMgAgAC0AIABQAGUAcgBpAG8AZAAxACwAIAAgACAAIAAgACAAIAAgACAAIAAgACAAIAAgACAAIAAgACAAIAAgAC8ALwBEAGEAeQBzACAAUABlAHIAIABQAGUAcgBpAG8AZABcAG4AIAAgACAAIAAgACAAIAAgAE0AcABQACwAIAAgACAAIAAgACAAIAAgACAAIAAgACAATQBBAFgAKAAgAFIATwBVAE4ARAAoACAARABwAFAALwAzADAALgA1ACwAIAAwACkALAAgADEAKQAsACAAIAAgACAAIAAgACAAIAAgAC8ALwBNAG8AbgB0AGgAcwAgAFAAZQByACAAUABlAHIAaQBvAGQALAAgAG4AZQB2AGUAcgAgAHoAZQByAG8AXABuACAAIAAgACAAIAAgACAAIABTAHUAYgBNAG8AbgB0AGgAbAB5AD8ALAAgACAAIAAgAFIATwBVAE4ARAAoACAARABwAFAALwAzADAALgA1ACwAIAAwACkAIAA9ACAAMAAsAFwAbgAgACAAIAAgAC8ALwAgACAARABlAHQAZQByAG0AaQBuAGUAIABpAGYAIABQAHIAaQBvAHIAIAB0AG8AIAB0AGkAbQBlAGwAaQBuAGUAIABvAHIAIABhAGYAdABlAHIAXABuACAAIAAgACAAIAAgACAAIABEAGkAcgBlAGMAdABpAG8AbgAsACAAIAAgACAAIAAgAEkARgAoAEQAYQB0AGUAIAA8ACAAUABlAHIAaQBvAGQAMQAsACAALQAxACwAIAAxACkALABcAG4AIAAgACAAIAAvAC8AIAAgAEQAZQB0AGUAcgBtAGkAbgBlACAAdABoAGUAIABuAHUAbQBiAGUAcgAgAG8AZgAgAG0AbwBuAHQAaABzACAAYgBlAHQAdwBlAGUAbgAgAHQAaQBtAGUAbABpAG4AZQAnAHMAIABzAHQAYQByAHQAIABhAG4AZAAgAHQAaABlACAAZABhAHQAZQAnAHMAIABwAGUAcgBpAG8AZAAgAHMAdABhAHIAdABcAG4AIAAgACAAIAAgACAAIAAgAE0AbwBuAHQAaABEAGkAZgBmACwAIAAgACAAIAAgACAAQABEAEEAVABFAEQASQBGACgAIABNAEkATgAoACAAUABlAHIAaQBvAGQAMQAsACAARABhAHQAZQApACwAIABNAEEAWAAoACAAUABlAHIAaQBvAGQAMQAsACAARABhAHQAZQApACwAIABcACIATQBcACIAKQAsAFwAbgAgACAAIAAgAC8ALwAgACAAQwBvAG4AdgBlAHIAdAAgAHQAbwAgAG4AdQBtAGIAZQByACAAbwBmACAAcABlAHIAaQBvAGQAcwBcAG4AIAAgACAAIAAgACAAIAAgAFAAZQByAGkAbwBkAEQAaQBmAGYALAAgACAAIAAgACAAUQBVAE8AVABJAEUATgBUACgAIABNAG8AbgB0AGgARABpAGYAZgAsACAATQBwAFAAKQAsAFwAbgAgACAAIAAgACAAIAAgACAAUABlAHIAaQBvAGQAUwBlAHEALAAgACAAIAAgACAAIABTAEUAUQBVAEUATgBDAEUAKAAgADEALAAgAFAAZQByAGkAbwBkAEQAaQBmAGYAIAArACAAMgAsACAASQBGACgAIABEAGkAcgBlAGMAdABpAG8AbgAgAD0AIAAxACwAIAAwACwAIAAtACgAIABQAGUAcgBpAG8AZABEAGkAZgBmACAAKwAgADEAKQApACkALABcAG4AIAAgACAAIAAgACAAIAAgAFMAZQBhAHIAYwBoAFQAaQBtAGUAbABpAG4AZQAsACAARQBEAEEAVABFACgAIABQAGUAcgBpAG8AZAAxACwAIABQAGUAcgBpAG8AZABTAGUAcQAgACoAIABNAHAAUAApACwAXABuACAAIAAgACAAIAAgACAAIABCAHkATQBvAG4AdABoACwAIAAgACAAIAAgACAAIAAgAE0AQQBUAEMASAAoACAARABhAHQAZQAsACAAUwBlAGEAcgBjAGgAVABpAG0AZQBsAGkAbgBlACwAIAAxACkAIAAtACAASQBGACgAIABEAGkAcgBlAGMAdABpAG8AbgAgAD0AIAAxACwAIAAxACwAIABQAGUAcgBpAG8AZABEAGkAZgBmACAAKwAgADIAKQAsAFwAbgAgACAAIAAgAC8ALwAgACAAQQAgAHMAdQBiAC0AbQBvAG4AdABoAGwAeQAgAHQAaQBtAGUAbABpAG4AZQAgAGkAcwAgAGEAIABmAGkAeABlAGQAIABuAHUAbQBiAGUAcgAgAG8AZgAgAGQAYQB5AHMAIABwAGUAcgAgAHAAZQByAGkAbwBkACwAIABzAG8AIAB0AGgAZQAgAG8AZgBmAHMAZQB0ACAAaQBzACAAdABoAGUAXABuACAAIAAgACAALwAvACAAIAB3AGgAbwBsAGUAIABuAHUAbQBiAGUAcgAgAG8AZgAgAHAAZQByAGkAbwBkAHMAIABiAGUAdAB3AGUAZQBuACAAdABoAGUAIAB0AGkAbQBlAGwAaQBuAGUAIABzAHQAYQByAHQAIABhAG4AZAAgAHQAaABlACAAZABhAHQAZQAsACAAZgBsAG8AbwByAGUAZAAsACAAdwBoAGkAYwBoAFwAbgAgACAAIAAgAC8ALwAgACAAcAB1AHQAcwAgAGEAIABkAGEAdABlACAAYgBlAGYAbwByAGUAIAB0AGgAZQAgAHQAaQBtAGUAbABpAG4AZQAgAGkAbgAgAHQAaABlACAAcABlAHIAaQBvAGQAIAB0AGgAYQB0ACAAZQBuAGQAcwAgAHcAaABlAHIAZQAgAHQAaABlACAAdABpAG0AZQBsAGkAbgBlACAAYgBlAGcAaQBuAHMALgBcAG4AIAAgACAAIAAgACAAIAAgAFIAZQBzAHUAbAB0ACwAIAAgACAAIAAgACAAIAAgACAASQBGACgAIABTAHUAYgBNAG8AbgB0AGgAbAB5AD8ALAAgAEkATgBUACgAIAAoAEQAYQB0AGUAIAAtACAAUABlAHIAaQBvAGQAMQApACAALwAgAEQAcABQACkALAAgAEIAeQBNAG8AbgB0AGg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VABpAG0AZQBsAGkAbgBlAFAAbwBzAGkAdABpAG8AbgC7A1wAbgAgACAAIAAgAEQARQBTAEMAUgBJAFAAVABJAE8ATgA6ACoALwAvACoAKgBDAHIAbwBwAHMAIABhAG4AIABhAHIAcgBhAHkAIABiAGEAcwBlAGQAIABvAG4AIABhACAAbQBvAGQAZQBsACcAcwAgAHQAaQBtAGUAbABpAG4AZQAqAC8AXABuAFQAaQBtAGUAbABpAG4AZQBQAG8AcwBpAHQAaQBvAG4AuwMgAD0AIABMAEEATQBCAEQAQQAoAFwAbgAgACAAIAAgAFsAQQByAHIAYQB5AF0ALAAgACAAIAAgACAAIAAgACAAIAAgACAAIABcAG4AIAAgACAAIABbAFQAaQBtAGUAbABpAG4AZQBdACwAIAAgACAAIAAgACAAIAAgACAAXABuACAAIAAgACAAWwBPAGYAZgBzAGUAdABdACwAIAAgACAAIAAgACAAIAAgACAAI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QAaQBtAGUAbABpAG4AZQBQAG8AcwBpAHQAaQBvAG4AuwMoAEEAcgByAGEAeQAsACAAVABpAG0AZQBsAGkAbgBlACwAIABPAGYAZgBzAGUAdAApALYAXAAiACAAJgBcAG4AIAAgACAAIAAgACAAIAAgACAAIAAgACAAIAAgACAAIAAgACAAIAAgACAAIAAgACAAIAAgACAAIABcACIARABFAFMAQwBSAEkAUABUAEkATwBOADoAIAAgACAAkiFQAG8AcwBpAHQAaQBvAG4AIABhAG4AIABhAHIAcgBhAHkAIAByAGUAbABhAHQAaQB2AGUAIAB0AG8AIAB0AGgAZQAgAG0AbwBkAGUAbAAnAHMAIAB0AGkAbQBlAGwAaQBuAGUAtgBcACIAIAAmAFwAbgAgACAAIAAgACAAIAAgACAAIAAgACAAIAAgACAAIAAgACAAIAAgACAAIAAgACAAIAAgACAAIAAgAFwAIgBXAEUAQgBQAEEARwBFADoAIAAgACAAIAAgACAAIACSIWgAdAB0AHAAcwA6AC8ALwBnAGkAdABoAHUAYgAuAGMAbwBtAC8AcgB5AGEAbgBkAHUAZwB1AGkAZAAvAE8AegB6AGkAdAC2AFwAIgAgACYAIA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UAGgAZQAgAGEAcgByAGEAeQAgAHQAbwAgAGIAZQAgAHAAbwBzAGkAdABpAG8AbgBlAGQAIAByAGUAbABhAHQAaQB2AGUAIAB0AG8AIABhACAAbQBvAGQAZQBsACcAcwAgAHQAaQBtAGUAbABpAG4AZQC2AFwAIgAgACYAIABcAG4AIAAgACAAIAAgACAAIAAgACAAIAAgACAAIAAgACAAIAAgACAAIAAgACAAIAAgACAAIAAgACAAIABcACIAVABpAG0AZQBsAGkAbgBlACAAIAAgACAAIAAgACAAkiEoAFIAZQBxAHUAaQByAGUAZAApACAAQQAgAG0AbwBkAGUAbAAnAHMAIAB0AGkAbQBlAGwAaQBuAGUAtgBcACIAIAAmACAAXABuACAAIAAgACAAIAAgACAAIAAgACAAIAAgACAAIAAgACAAIAAgACAAIAAgACAAIAAgACAAIAAgACAAXAAiAE8AZgBmAHMAZQB0ACAAIAAgACAAIAAgACAAIAAgAJIhKABSAGUAcQB1AGkAcgBlAGQAKQAgAFQAaABlACAAbgB1AG0AYgBlAHIAIABvAGYAIAByAG8AdwBzACAAbwByACAAYwBvAGwAdQBtAG4AcwAgAHQAbwAgAHMAdABhAHIAdAAgAHAAbABhAGMAaQBuAGcAIAB0AGgAZQAgAGEAcgByAGEAeQAgAHcAaQB0AGgAaQBuACAAdABoAGUAIAB0AGkAbQBlAGwAaQBuAGUAtgBcACIAIAAmACAAIAAgACAAIAAgACAAIAAgACAAIAAgACAAIAAgACAAIAAgACAAIAAgAFwAbgAgACAAIAAgACAAIAAgACAAIAAgACAAIAAgACAAIAAgACAAIAAgACAAIAAgACAAIAAgACAAIAAgAFwAIgBOAE8AVABFAFMAIQAgACAAIAAgACAAIAAgACAAIACSIbYAXAAiACAAJgAgAFwAbgAgACAAIAAgACAAIAAgACAAIAAgACAAIAAgACAAIAAgACAAIAAgACAAIAAgACAAIAAgACAAIAAgACAAIAAgACAAIAAgACAAIAAgACAAIAAgACAAIAAgAFwAIgCSIVQAaQBtAGUAbABpAG4AZQBzACAAYwBhAG4AIABiAGUAIAB2AGUAcgB0AGkAYwBhAGwAIABvAHIAIABoAG8AcgBpAHoAbwBuAHQAYQBsAC4AIABXAGgAaQBjAGgAZQB2AGUAcgAgAHcAYQB5ACAAdABoAGUAIAB0AGkAbQBlAGwAaQBuAGUAIABnAG8AZQBzACwAIAB0AGgAZQAgAGEAcgByAGEAeQAgAG0AdQBzAHQAIABtAGEAdABjAGgALgC2AFwAIgAgACYAIAAg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UAGkAbQBlAGwAaQBuAGUAUABvAHMAaQB0AGkAbwBuALsDKABTAEUAUQBVAEUATgBDAEUAKAAzACwAMwApACwAIABFAEQAQQBUAEUAKABcACIAXAAiADEALwA3AC8AMgAwADIANgBcACIAXAAiACwAIABTAEUAUQBVAEUATgBDAEUAKAAgACwAIAAxADIALAAgADAAKQApACwAIAAxAD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yAHIAYQB5ACkALABcAG4AIAAgACAAIAAgACAAIAAgACAAIAAgACAAIAAgACAAIAAgACAAIAAgACAAIAAgACAAIAAgACAAIABJAFMATwBNAEkAVABUAEUARAAoACAAVABpAG0AZQBsAGkAbgBlACkALABcAG4AIAAgACAAIAAgACAAIAAgACAAIAAgACAAIAAgACAAIAAgACAAIAAgACAAIAAgACAAIAAgACAAIABJAFMATwBNAEkAVABUAEUARAAoACAATwBmAGYAcwBlAHQAKQBcAG4AIAAgACAAIAAgACAAIAAgACAAIAAgACAAIAAgACAAIAAgACAAIAAgACAAIAAgACAAKQAsAFwAbgAgACAAIAAgAC8ALwAgACAAQwBoAGUAYwBrACAAaQBuAHAAdQB0AHMAIAAtACAATQBhAGsAZQAgAHMAdQByAGUAIABzAGMAYQBsAGEAcgBzACAAYQByAGUAIABuAG8AdAAgAGEAcgByAGEAeQBzAFwAbgAgACAAIAAgACAAIAAgACAATwBmAGYAcwBlAHQALAAgACAAIAAgACAAIAAgACAAIABAAE8AZgBmAHMAZQB0ACwAXABuACAAIAAgACAALwAvACAAIABQAHIAZQBjAGUAZAB1AHIAZQBcAG4AIAAgACAAIAAgACAAIAAgAFIAbwB3AHMALAAgACAAIAAgACAAIAAgACAAIAAgACAAUgBPAFcAUwAoAEEAcgByAGEAeQApACwAXABuACAAIAAgACAAIAAgACAAIABDAG8AbABzACwAIAAgACAAIAAgACAAIAAgACAAIAAgAEMATwBMAFUATQBOAFMAKABBAHIAcgBhAHkAKQAsAFwAbgAgACAAIAAgAC8ALwAgACAAQQAgAG8AbgBlAC0AZABhAHQAZQAgAHQAaQBtAGUAbABpAG4AZQAgAGkAcwAgAG4AZQBpAHQAaABlAHIAIAB3AGkAZABlACAAbgBvAHIAIAB0AGEAbABsADsAIAByAGUAYQBkACAAaQB0ACAAYQBzACAAaABvAHIAaQB6AG8AbgB0AGEAbAAgAHMAbwAgAHQAaABlAFwAbgAgACAAIAAgAC8ALwAgACAAYQByAHIAYQB5ACAAawBlAGUAcABzACAAaQB0AHMAIAByAG8AdwBzACAAYQBuAGQAIABsAGEAbgBkAHMAIABpAG4AIAB0AGgAYQB0ACAAcwBpAG4AZwBsAGUAIABwAGUAcgBpAG8AZAAuAFwAbgAgACAAIAAgACAAIAAgACAAUgBlAHMAdQBsAHQALAAgACAAIAAgACAAIAAgACAAIABJAEYAKAAgAE8AUgAoACAAQwBPAEwAVQBNAE4AUwAoACAAVABpAG0AZQBsAGkAbgBlACkAIAA+ACAAMQAsACAAUgBPAFcAUwAoACAAVABpAG0AZQBsAGkAbgBlACkAIAA9ACAAMQApACwAXABuACAAIAAgACAAIAAgACAAIAAgACAAIAAgACAAIAAgACAAIAAgACAAIAAgACAAIAAgAC8ALwAgACAASABvAHIAaQB6AG8AbgB0AGEAbAAgAFQAaQBtAGUAbABpAG4AZQBcAG4AIAAgACAAIAAgACAAIAAgACAAIAAgACAAIAAgACAAIAAgACAAIAAgACAAIAAgACAAIAAgACAAIABNAEEASwBFAEEAUgBSAEEAWQAoACAAUgBvAHcAcwAsACAAQwBPAEwAVQBNAE4AUwAoACAAVABpAG0AZQBsAGkAbgBlACkALABcAG4AIAAgACAAIAAgACAAIAAgACAAIAAgACAAIAAgACAAIAAgACAAIAAgACAAIAAgACAAIAAgACAAIAAgACAAIAAgAEwAQQBNAEIARABBACgAUgAsACAAQwAsAFwAbgAgACAAIAAgACAAIAAgACAAIAAgACAAIAAgACAAIAAgACAAIAAgACAAIAAgACAAIAAgACAAIAAgACAAIAAgACAAIAAgACAAIABJAEYAKAAgACgAKABDACAALQAgAE8AZgBmAHMAZQB0ACkAIAA+AD0AIAAxACkAIAAqACAAKAAoACAAQwAgAC0AIABPAGYAZgBzAGUAdAApACAAPAA9ACAAQwBvAGwAcwApACAAPQAgADEALABcAG4AIAAgACAAIAAgACAAIAAgACAAIAAgACAAIAAgACAAIAAgACAAIAAgACAAIAAgACAAIAAgACAAIAAgACAAIAAgACAAIAAgACAAIAAgACAAIABJAE4ARABFAFgAKAAgAEEAcgByAGEAeQAsACAAUgAsACAAQwAgAC0AIABPAGYAZgBzAGUAdAApACwAXABuACAAIAAgACAAIAAgACAAIAAgACAAIAAgACAAIAAgACAAIAAgACAAIAAgACAAIAAgACAAIAAgACAAIAAgACAAIAAgACAAIAAgACAAIAAgACAAMAApAFwAbgAgACAAIAAgACAAIAAgACAAIAAgACAAIAAgACAAIAAgACAAIAAgACAAIAAgACAAIAAgACAAIAAgACAAIAAgACAAKQBcAG4AIAAgACAAIAAgACAAIAAgACAAIAAgACAAIAAgACAAIAAgACAAIAAgACAAIAAgACAAIAAgACAAIAApACwAXABuACAAIAAgACAAIAAgACAAIAAgACAAIAAgACAAIAAgACAAIAAgACAAIAAgACAAIAAgAC8ALwAgACAAVgBlAHIAdABpAGMAYQBsACAAVABpAG0AZQBsAGkAbgBlAFwAbgAgACAAIAAgACAAIAAgACAAIAAgACAAIAAgACAAIAAgACAAIAAgACAAIAAgACAAIAAgACAAIAAgAE0AQQBLAEUAQQBSAFIAQQBZACgAIABSAE8AVwBTACgAIABUAGkAbQBlAGwAaQBuAGUAKQAsACAAQwBvAGwAcwAsAFwAbgAgACAAIAAgACAAIAAgACAAIAAgACAAIAAgACAAIAAgACAAIAAgACAAIAAgACAAIAAgACAAIAAgACAAIAAgACAATABBAE0AQgBEAEEAKABSACwAIABDACwAXABuACAAIAAgACAAIAAgACAAIAAgACAAIAAgACAAIAAgACAAIAAgACAAIAAgACAAIAAgACAAIAAgACAAIAAgACAAIAAgACAAIAAgAEkARgAoACAAKAAoAFIAIAAtACAATwBmAGYAcwBlAHQAKQAgAD4APQAgADEAKQAgACoAIAAoACgAIABSACAALQAgAE8AZgBmAHMAZQB0ACkAIAA8AD0AIABSAG8AdwBzACkAIAA9ACAAMQAsAFwAbgAgACAAIAAgACAAIAAgACAAIAAgACAAIAAgACAAIAAgACAAIAAgACAAIAAgACAAIAAgACAAIAAgACAAIAAgACAAIAAgACAAIAAgACAAIAAgAEkATgBEAEUAWAAoACAAQQByAHIAYQB5ACwAIABSACAALQAgAE8AZgBmAHMAZQB0ACwAIABDACkALABcAG4AIAAgACAAIAAgACAAIAAgACAAIAAgACAAIAAgACAAIAAgACAAIAAgACAAIAAgACAAIAAgACAAIAAgACAAIAAgACAAIAAgACAAIAAgACAAIAAw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EYAaQBsAHQAZQByAEMAbwBuAHQAYQBpAG4AcwC7A1wAbgAgACAAIAAgAEQARQBTAEMAUgBJAFAAVABJAE8ATgA6ACoALwAvACoAKgBGAGkAbAB0AGUAcgAgAGEAbgAgAGEAcgByAGEAeQAgAGIAeQAgAGEAbgBvAHQAaABlAHIAIABhAHIAcgBhAHkAIAB0AGgAYQB0ACAAYwBvAG4AdABhAGkAbgBzACAAcwBwAGUAYwBpAGYAaQBjACAAdABlAHgAdAAqAC8AXABuAEYAaQBsAHQAZQByAEMAbwBuAHQAYQBpAG4AcwC7AyAAPQAgAEwAQQBNAEIARABBACgAXABuAC8ALwAgACAAUABhAHIAYQBtAGUAdABlAHIAIABEAGUAYwBsAGEAcgBhAHQAaQBvAG4AcwBcAG4AIAAgACAAIABbAEEAcgByAGEAeQBUAG8ARgBpAGwAdABlAHIAXQAsAFwAbgAgACAAIAAgAFsARgBpAGwAdABlAHIAQgB5AEEAcgByAGEAeQBdACwAXABuACAAIAAgACAAWwBGAGkAbAB0AGUAcgBCAHkAVABlAHgAdABdACwAXABuACAAIAAgACAAWwBJAGcAbgBvAHIAZQBDAGEAcwBlAD8AXQAs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GAGkAbAB0AGUAcgBDAG8AbgB0AGEAaQBuAHMAuwMoACAAQQByAHIAYQB5AFQAbwBGAGkAbAB0AGUAcgAsACAARgBpAGwAdABlAHIAQgB5AEEAcgByAGEAeQAsACAARgBpAGwAdABlAHIAQgB5AFQAZQB4AHQALAAgAFsASQBnAG4AbwByAGUAQwBhAHMAZQA/AF0AIAApALYAXAAiACAAJgBcAG4AIAAgACAAIAAgACAAIAAgACAAIAAgACAAIAAgACAAIAAgACAAIAAgACAAIAAgACAAIAAgACAAIABcACIARABFAFMAQwBSAEkAUABUAEkATwBOADoAIAAgACAAkiFGAGkAbAB0AGUAcgAgAGEAbgAgAGEAcgByAGEAeQAgAGIAeQAgAGEAbgBvAHQAaABlAHIAIABhAHIAcgBhAHkAIAB0AGgAYQB0ACAAYwBvAG4AdABhAGkAbgBzACAAcwBwAGUAYwBpAGYAaQBjACAAdABlAHgAdAAuALYAXAAiACAAJgAgAFwAbgAgACAAIAAgACAAIAAgACAAIAAgACAAIAAgACAAIAAgACAAIAAgACAAIAAgACAAIAAgACAAIAAgAFwAIgBTAEUARQAgAEEATABTAE8AOgAgACAAIAAgACAAIACSIUUAeABjAGUAbAAgADMANgA1ACAAbgBvAHcAIABoAGEAcwAgAFIARQBHAEUAWABUAEUAUwBUACAAYQBuAGQAIABSAEUARwBFAFgARQBYAFQAUgBBAEMAVAAgAGYAbwByACAAcABhAHQAdABlAHIAbgAgAG0AYQB0AGMAaABpAG4AZwAuALYAXAAiACAAJgBcAG4AIAAgACAAIAAgACAAIAAgACAAIAAgACAAIAAgACAAIAAgACAAIAAgACAAIAAgACAAIAAgACAAIABcACIAVwBFAEIAUABBAEcARQA6ACAAIAAgACAAIAAgACAAkiFoAHQAdABwAHMAOgAvAC8AZwBpAHQAaAB1AGIALgBjAG8AbQAvAHIAeQBhAG4AZAB1AGcAdQBpAGQALwBPAHoAegBpAHQAtgBcACIAIAAmACA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FQAbwBGAGkAbAB0AGUAcgAgACAAkiEoAFIAZQBxAHUAaQByAGUAZAApACAAQQBuACAAYQByAHIAYQB5ACAAdABvACAAYgBlACAAZgBpAGwAdABlAHIAZQBkALYAXAAiACAAJgAgACAAIAAgACAAIAAgACAAIAAgACAAIAAgACAAIAAgACAAIAAgAFwAbgAgACAAIAAgACAAIAAgACAAIAAgACAAIAAgACAAIAAgACAAIAAgACAAIAAgACAAIAAgACAAIAAgAFwAIgBGAGkAbAB0AGUAcgBCAHkAQQByAHIAYQB5ACAAIACSISgAUgBlAHEAdQBpAHIAZQBkACkAIABBAG4AIABhAHIAcgBhAHkAIABjAG8AbgB0AGEAaQBuAGkAbgBnACAAdABlAHgAdAAgAHQAbwAgAHUAcwBlACAAYQBzACAAYQAgAGYAaQBsAHQAZQByALYAXAAiACAAJgAgACAAIAAgACAAIAAgACAAIAAgACAAIAAgACAAIAAgACAAIAAgAFwAbgAgACAAIAAgACAAIAAgACAAIAAgACAAIAAgACAAIAAgACAAIAAgACAAIAAgACAAIAAgACAAIAAgAFwAIgBGAGkAbAB0AGUAcgBCAHkAVABlAHgAdAAgACAAIACSISgAUgBlAHEAdQBpAHIAZQBkACkAIABBACAAdABlAHgAdAAgAHMAdAByAGkAbgBnACAAdABvACAAZgBpAG4AZAAgAGkAbgAgAEYAaQBsAHQAZQByAEIAeQBBAHIAcgBhAHkAtgBcACIAIAAmACAAIAAgACAAIAAgACAAIAAgACAAIAAgACAAIAAgACAAIAAgACAAXABuACAAIAAgACAAIAAgACAAIAAgACAAIAAgACAAIAAgACAAIAAgACAAIAAgACAAIAAgACAAIAAgACAAXAAiAEkAZwBuAG8AcgBlAEMAYQBzAGUAPwAgACAAIAAgAJIhKABPAHAAdABpAG8AbgBhAGwAKQAgAEEAIABmAGwAYQBnACAAdABvACAAZABlAHQAZQByAG0AaQBuAGUAIABpAGYAIABUAGUAeAB0ACcAcwAgAGMAYQBzAGUAIABpAHMAIABpAG0AcABvAHIAdABhAG4AdAAuACAARABlAGYAYQB1AGwAdAAgAGkAcwAgAFQAUgBVAEUA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FwAIgBcACIAQwBhAHQAXAAiAFwAIgAgACAAIAAgACAAIAAgACAAkiE9AG8AegAuAEYAaQBsAHQAZQByAEMAbwBuAHQAYQBpAG4AcwC7AygAIAB7AFwAIgBcACIASgBvAGUAXAAiAFwAIgAsACAAXAAiAFwAIgBTAGEAbABsAHkAXAAiAFwAIgAsACAAXAAiAFwAIgBDAGEAdABcACIAXAAiAH0ALAAgAHsAXAAiAFwAIgBIADEAXAAiAFwAIgAsACAAXAAiAFwAIgBIADIAXAAiAFwAIgAsACAAXAAiAFwAIgBBADEAXAAiAFwAIgB9ACwAIABcACIAXAAiAEEAXAAiAFwAIgAg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BAHIAcgBhAHkAVABvAEYAaQBsAHQAZQByACkALAAgAFwAbgAgACAAIAAgACAAIAAgACAAIAAgACAAIAAgACAAIAAgACAAIAAgACAAIAAgACAAIAAgACAAIAAgAEkAUwBPAE0ASQBUAFQARQBEACgAIABGAGkAbAB0AGUAcgBCAHkAQQByAHIAYQB5ACkALAAgAFwAbgAgACAAIAAgACAAIAAgACAAIAAgACAAIAAgACAAIAAgACAAIAAgACAAIAAgACAAIAAgACAAIAAgAEkAUwBPAE0ASQBUAFQARQBEACgAIABGAGkAbAB0AGUAcgBCAHkAVABlAHgAdAApAFwAbgAgACAAIAAgACAAIAAgACAAIAAgACAAIAAgACAAIAAgACAAIAAgACAAIAAgACAAIAApACwAXABuACAAIAAgACAALwAvACAAIABDAGgAZQBjAGsAIABpAG4AcAB1AHQAcwAgAC0AIABTAGUAdAAgAGQAZQBmAGEAdQBsAHQAcwBcAG4AIAAgACAAIAAgACAAIAAgAEkAZwBuAG8AcgBlAEMAYQBzAGUAPwAsACAAIAAgACAASQBGACgAIABJAFMATABPAEcASQBDAEEATAAoACAASQBnAG4AbwByAGUAQwBhAHMAZQA/ACkALAAgAEkAZwBuAG8AcgBlAEMAYQBzAGUAPwAsACAAVABSAFUARQApACwAXABuACAAIAAgACAALwAvACAAIABQAHIAbwBjAGUAZAB1AHIAZQBcAG4AIAAgACAAIAAgACAAIAAgAE0AYQB0AGMAaABlAHMALAAgACAAIAAgACAAIAAgACAASQBGACgAIABJAGcAbgBvAHIAZQBDAGEAcwBlAD8ALAAgAFwAbgAgACAAIAAgACAAIAAgACAAIAAgACAAIAAgACAAIAAgACAAIAAgACAAIAAgACAAIAAgACAAIAAgAFMARQBBAFIAQwBIACgAIABGAGkAbAB0AGUAcgBCAHkAVABlAHgAdAAsACAARgBpAGwAdABlAHIAQgB5AEEAcgByAGEAeQApACwAXABuACAAIAAgACAAIAAgACAAIAAgACAAIAAgACAAIAAgACAAIAAgACAAIAAgACAAIAAgACAAIAAgACAARgBJAE4ARAAoACAARgBpAGwAdABlAHIAQgB5AFQAZQB4AHQALAAgAEYAaQBsAHQAZQByAEIAeQBBAHIAcgBhAHkAKQBcAG4AIAAgACAAIAAgACAAIAAgACAAIAAgACAAIAAgACAAIAAgACAAIAAgACAAIAAgACAAKQAsAFwAbgAgACAAIAAgACAAIAAgACAAUgBlAHMAdQBsAHQALAAgACAAIAAgACAAIAAgACAAIABGAEkATABUAEUAUgAoACAAQQByAHIAYQB5AFQAbwBGAGkAbAB0AGUAcgAsACAASQBTAE4AVQBNAEIARQBSACgAIABNAGEAdABjAGgAZQBzACkAKQAsAFwAbgAgACAAIAAgAC8ALwAgACAAUgBlAHQAdQByAG4AIABSAGUAcwB1AGwAdABcAG4AIAAgACAAIAAgACAAIAAgAEMASABPAE8AUwBFACgASABlAGwAcAA/ACAAKwAgADEALAAgAFIAZQBzAHUAbAB0ACwAIABIAGUAbABwACkAXABuACAAIAAgACAAKQAgACAAXABuACkAOwBcAG4AXABuAFwAbgBcAG4ALwAqACAAIABGAFUATgBDAFQASQBPAE4AIABOAEEATQBFADoAIAAgAFIAYQBuAGcAZQBUAG8ARABBALsDXABuACAAIAAgACAARABFAFMAQwBSAEkAUABUAEkATwBOADoAKgAvAC8AKgAqAEMAcgBlAGEAdABlACAAYQAgAGQAeQBuAGEAbQBpAGMAIABhAHIAcgBhAHkAIABmAHIAbwBtACAAYQAgAHMAdABhAHQAaQBjACAAcgBhAG4AZwBlACoALwBcAG4AUgBhAG4AZwBlAFQAbwBEAEEAuwMgAD0AIABMAEEATQBCAEQAQQAoAFwAbgAvAC8AIAAgAFAAYQByAGEAbQBlAHQAZQByACAARABlAGMAbABhAHIAYQB0AGkAbwBuAHMAXABuACAAIAAgACAAWwBDAGUAbABsAF0ALABcAG4AIAAgACAAIABbAFIAbwB3AHMAXQAsACAAIAAgACAAXABuACAAIAAgACAAWwBDAG8AbAB1AG0AbgBzAF0ALAAgACAAIAAgAFwAbgAvAC8AIAAgAEgAZQBsAHAAXABuACAAIAAgACAATABFAFQAKABIAGUAbABwACwAIAAgACAAIAAgACAAIABUAFIASQBNACgAVABFAFgAVABTAFAATABJAFQAKAAgAFwAbgAgACAAIAAgACAAIAAgACAAIAAgACAAIAAgACAAIAAgACAAIAAgACAAIAAgACAAIAAgACAAIAAgAFwAIgBGAFUATgBDAFQASQBPAE4AOgAgACAAIAAgACAAIACSIVIAYQBuAGcAZQBUAG8ARABBALsDKAAgAEMAZQBsAGwALAAgAFsAUgBvAHcAcwBdACwAIABbAEMAbwBsAHUAbQBuAHMAXQApALYAXAAiACAAJgBcAG4AIAAgACAAIAAgACAAIAAgACAAIAAgACAAIAAgACAAIAAgACAAIAAgACAAIAAgACAAIAAgACAAIABcACIARABFAFMAQwBSAEkAUABUAEkATwBOADoAIAAgACAAkiFDAHIAZQBhAHQAZQAgAGEAIABkAHkAbgBhAG0AaQBjACAAYQByAHIAYQB5ACAAZgByAG8AbQAgAGEAIABzAHQAYQB0AGkAYwAgAHIAYQBuAGcAZQC2AFwAIgAgACYAIABcAG4AIAAgACAAIAAgACAAIAAgACAAIAAgACAAIAAgACAAIAAgACAAIAAgACAAIAAgACAAIAAgACAAIABcACIAUwBFAEUAIABBAEwAUwBPADoAIAAgACAAIAAgACAAkiFFAHgAYwBlAGwAIAAzADYANQAgAG4AbwB3ACAAaABhAHMAIABUAFIASQBNAFIAQQBOAEcARQAgAGEAbgBkACAAdAByAGkAbQAgAHIAZQBmAGUAcgBlAG4AYwBlAHMAIAAoAC4AOgAuACkAIABmAG8AcgAgAHQAaABpAHM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DAGUAbABsACAAIAAgACAAIAAgACAAIAAgACAAIACSISgAUgBlAHEAdQBpAHIAZQBkACkAIABUAGgAZQAgAHUAcABwAGUAcgAgAGwAZQBmAHQAIABjAGUAbABsACAAbwBmACAAYQAgAHIAYQBuAGcAZQAgAHQAbwAgAGMAbwBuAHYAZQByAHQAtgBcACIAIAAmACAAXABuACAAIAAgACAAIAAgACAAIAAgACAAIAAgACAAIAAgACAAIAAgACAAIAAgACAAIAAgACAAIAAgACAAXAAiAFIAbwB3AHMAIAAgACAAIAAgACAAIAAgACAAIAAgAJIhKABPAHAAdABpAG8AbgBhAGwAKQAgAFQAaABlACAAbgB1AG0AYgBlAHIAIABvAGYAIAByAG8AdwBzACAAZgBvAHIAIABkAHkAbgBhAG0AaQBjACAAYQByAHIAYQB5AC4AIABEAGUAZgBhAHUAbAB0AHMAIAB0AG8AIAAxAC4AtgBcACIAIAAmACAAXABuACAAIAAgACAAIAAgACAAIAAgACAAIAAgACAAIAAgACAAIAAgACAAIAAgACAAIAAgACAAIAAgACAAXAAiAEMAbwBsAHUAbQBuAHMAIAAgACAAIAAgACAAIAAgAJIhKABPAHAAdABpAG8AbgBhAGwAKQAgAFQAaABlACAAbgB1AG0AYgBlAHIAIABvAGYAIABjAG8AbAB1AG0AbgBzACAAZgBvAHIAIABkAHkAbgBhAG0AaQBjACAAYQByAHIAYQB5AC4AIABEAGUAZgBhAHUAbAB0AHMAIAB0AG8AIAAxAC4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IAAgACAAIABcACIAIAAgACAAIAAgACAAIAAgACAAIAAgACAAIAAgACAAkiE9AG8AegAuAFIAYQBuAGcAZQBUAG8ARABBALsDKAAgAEEAMQAsACAALAAgADEAMgApAFwAIgAsAFwAbgAgACAAIAAgACAAIAAgACAAIAAgACAAIAAgACAAIAAgACAAIAAgACAAIAAgACAAIAAgACAAIAAgAFwAIgCSIVwAIgAsACAAXAAiALYAXAAiACAAKQBcAG4AIAAgACAAIAAgACAAIAAgACAAIAAgACAAIAAgACAAIAAgACAAIAAgACkALAAgACAAIAAgACAAIAAgACAAIAAgACAAIABcAG4AIAAgACAAIAAvAC8AIAAgAEMAaABlAGMAawAgAGkAbgBwAHUAdABzACAALQAgAE8AbQBpAHQAdABlAGQAIAByAGUAcQB1AGkAcgBlAGQAIABhAHIAZwB1AG0AZQBuAHQAcwBcAG4AIAAgACAAIAAgACAAIAAgAEgAZQBsAHAAPwAsACAAIAAgACAAIAAgACAAIAAgACAASQBTAE8ATQBJAFQAVABFAEQAKAAgAEMAZQBsAGwAKQAsAFwAbgAgACAAIAAgAC8ALwAgACAAUwBlAHQAIABEAGUAZgBhAHUAbAB0AHMAXABuACAAIAAgACAAIAAgACAAIABSAG8AdwBzACwAIAAgACAAIAAgACAAIAAgACAAIAAgAEkARgAoAEkAUwBPAE0ASQBUAFQARQBEACgAUgBvAHcAcwApACwAIAAxACwAIABJAEYAKABSAG8AdwBzACAAPQAgADAALAAgADEALAAgAFIAbwB3AHMAKQApACwAXABuACAAIAAgACAAIAAgACAAIABDAG8AbAB1AG0AbgBzACwAIAAgACAAIAAgACAAIAAgAEkARgAoAEkAUwBPAE0ASQBUAFQARQBEACgAQwBvAGwAdQBtAG4AcwApACwAIAAxACwAIABJAEYAKABDAG8AbAB1AG0AbgBzACAAPQAgADAALAAgADEALAAgAEMAbwBsAHUAbQBuAHMAKQApACwAXABuACAAIAAgACAALwAvACAAIABQAHIAbwBjAGUAZAB1AHIAZQBcAG4AIAAgACAAIAAgACAAIAAgAFIAZQBzAHUAbAB0ACwAIAAgACAAIAAgACAAIAAgACAATwBGAEYAUwBFAFQAKABDAGUAbABsACwAIAAwACwAIAAwACwAIABSAG8AdwBzACwAIABDAG8AbAB1AG0AbgBz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QAGUAcgBpAG8AZABTAHQAYQByAHQAuwNcAG4AIAAgACAAIABEAEUAUwBDAFIASQBQAFQASQBPAE4AOgAqAC8ALwAqACoARABlAHQAZQByAG0AaQBuAGUAIAB3AGgAZQBuACAAdABoAGUAIABwAGUAcgBpAG8AZAAgAGMAbwBuAHQAYQBpAG4AaQBuAGcAIABhACAAZABhAHQAZQAgAG8AZgAgAGkAbgB0AGUAcgBlAHMAdAAgAHMAdABhAHIAdABzACoALwBcAG4AUABlAHIAaQBvAGQAUwB0AGEAcgB0ALsDIAA9ACAATABBAE0AQgBEAEEAKABcAG4ALwAvACAAIABQAGEAcgBhAG0AZQB0AGUAcgAgAEQAZQBjAGwAYQByAGEAdABpAG8AbgBcAG4AIAAgACAAIABbAEEAbgB5AFAAZQByAGkAbwBkAFMAdABhAHIAdABdACwAXABuACAAIAAgACAAWwBNAG8AbgB0AGgAcwBQAGUAcgBQAGUAcgBpAG8AZABdACwAIABcAG4AIAAgACAAIABbAEQAYQB0AGUATwBmAEkAbgB0AGUAcgBlAHMAdA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QAGUAcgBpAG8AZABTAHQAYQByAHQAuwMoAEEAbgB5AFAAZQByAGkAbwBkAFMAdABhAHIAdAAsACAATQBvAG4AdABoAHMAUABlAHIAUABlAHIAaQBvAGQALAAgAEQAYQB0AGUATwBmAEkAbgB0AGUAcgBlAHMAdAApALYAXAAiACAAJgBcAG4AIAAgACAAIAAgACAAIAAgACAAIAAgACAAIAAgACAAIAAgACAAIAAgACAAIAAgACAAIAAgACAAIABcACIARABFAFMAQwBSAEkAUABUAEkATwBOADoAIAAgACAAkiFEAGUAdABlAHIAbQBpAG4AZQAgAHcAaABlAG4AIAB0AGgAZQAgAHAAZQByAGkAbwBkACAAYwBvAG4AdABhAGkAbgBpAG4AZwAgAGEAIABkAGEAdABlACAAbwBmACAAaQBuAHQAZQByAGUAcwB0ACAAcwB0AGEAcgB0AHMALgC2AFwAIgAgACYAXABuACAAIAAgACAAIAAgACAAIAAgACAAIAAgACAAIAAgACAAIAAgACAAIAAgACAAIAAgACAAIAAgACAAXAAiAFcARQBCAFAAQQBHAEUAOgAgACAAIAAgACAAIAAgAJIhaAB0AHQAcABzADoALwAvAGcAaQB0AGgAdQBiAC4AYwBvAG0ALwByAHkAYQBuAGQAdQBnAHUAaQBkAC8ATwB6AHoAaQB0ALYAXAAiACAAJgAg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bgB5AFAAZQByAGkAbwBkAFMAdABhAHIAdAAgAJIhKABSAGUAcQB1AGkAcgBlAGQAKQAgAEEAbgB5ACAAcwB0AGEAcgB0ACAAZABhAHQAZQAgAHcAaQB0AGgAaQBuACAAYQAgAHQAaQBtAGUAbABpAG4AZQAuALYAXAAiACAAJgAgACAAIAAgACAAIAAgACAAIAAgACAAIAAgACAAIAAgACAAIAAgAFwAbgAgACAAIAAgACAAIAAgACAAIAAgACAAIAAgACAAIAAgACAAIAAgACAAIAAgACAAIAAgACAAIAAgAFwAIgBNAG8AbgB0AGgAcwBQAGUAcgBQAGUAcgBpAG8AZACSISgAUgBlAHEAdQBpAHIAZQBkACkAIABOAHUAbQBiAGUAcgAgAG8AZgAgAG0AbwBuAHQAaABzACAAaQBuACAAZQBhAGMAaAAgAHAAZQByAGkAbwBkALYAXAAiACAAJgAgAFwAbgAgACAAIAAgACAAIAAgACAAIAAgACAAIAAgACAAIAAgACAAIAAgACAAIAAgACAAIAAgACAAIAAgAFwAIgBEAGEAdABlAE8AZgBJAG4AdABlAHIAZQBzAHQAIACSISgAUgBlAHEAdQBpAHIAZQBkACkAIABBACAAZABhAHQAZQAgAGYAbwByACAAdwBoAGkAYwBoACAAdwBlACAAdwBhAG4AdAAgAHQAbwAgAGsAbgBvAHcAIAB0AGgAZQAgAHMAdABhAHIAdAAgAG8AZgAgAHQAaABlACAAcABlAHIAaQBvAGQAIABjAG8AbgB0AGEAaQBuAGkAbgBnACAAaQB0AC4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G8AegAgAGkAcwAgAGEAcwBzAHUAbQBlAGQAIAB0AG8AIABiAGUAIAB0AGgAZQAgAG0AbwBkAHUAbABlACcAcwAgAG4AYQBtAGUAKQC2AFwAIgAgACYAXABuACAAIAAgACAAIAAgACAAIAAgACAAIAAgACAAIAAgACAAIAAgACAAIAAgACAAIAAgACAAIAAgACAAXAAiADIAMAAyADYALQAxADAALQAwADEAIAAgACAAIAAgAJIhPQBvAHoALgBQAGUAcgBpAG8AZABTAHQAYQByAHQAuwMoAFwAIgBcACIAMgAwADIANgAtADAANwAtADAAMQBcACIAXAAiACwAIAAzACwAIABcACIAXAAiADIAMAAyADYALQAxADAALQAxADUAXAAiAFwAIg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BAG4AeQBQAGUAcgBpAG8AZABTAHQAYQByAHQAKQAsAFwAbgAgACAAIAAgACAAIAAgACAAIAAgACAAIAAgACAAIAAgACAAIAAgACAAIAAgACAAIAAgACAAIAAgAEkAUwBPAE0ASQBUAFQARQBEACgAIABNAG8AbgB0AGgAcwBQAGUAcgBQAGUAcgBpAG8AZAApACwAXABuACAAIAAgACAAIAAgACAAIAAgACAAIAAgACAAIAAgACAAIAAgACAAIAAgACAAIAAgACAAIAAgACAASQBTAE8ATQBJAFQAVABFAEQAKAAgAEQAYQB0AGUATwBmAEkAbgB0AGUAcgBlAHMAdAApAFwAbgAgACAAIAAgACAAIAAgACAAIAAgACAAIAAgACAAIAAgACAAIAAgACAAIAAgACAAIAApACwAXABuACAAIAAgACAALwAvACAAIABDAG8AbgBzAHQAYQBuAHQAcwBcAG4AIAAgACAAIAAgACAAIAAgAE0AcABZACwAIAAgACAAIAAgACAAIAAgACAAIAAgACAAIAAgACAAIAAxADIALAAgAC8ALwBNAG8AbgB0AGgAcwAgAFAAZQByACAAWQBlAGEAcgBcAG4AIAAgACAAIAAgACAAIAAgAE0AcABQACwAIAAgACAAIAAgACAAIAAgACAAIAAgACAAIAAgACAAIABNAG8AbgB0AGgAcwBQAGUAcgBQAGUAcgBpAG8AZAAsAFwAbgAgACAAIAAgAC8ALwAgACAAQwBoAGUAYwBrACAAaQBuAHAAdQB0AHMAIAAtACAASQBmACAAYQAgAGQAYQB0AGUAIABpAHMAIABpAG4AIAB0AGUAeAB0ACwAIABjAG8AbgB2AGUAcgB0ACAAdABvACAAdgBhAGwAdQBlAFwAbgAgACAAIAAgACAAIAAgACAAQwB2AHQAUwB0AGEAcgB0ACwAIAAgACAAIAAgACAAIAAgACAAIAAgAEkARgAoACAASQBTAFQARQBYAFQAKAAgAEEAbgB5AFAAZQByAGkAbwBkAFMAdABhAHIAdAApACwAIABEAEEAVABFAFYAQQBMAFUARQAoACAAQQBuAHkAUABlAHIAaQBvAGQAUwB0AGEAcgB0ACkALAAgAEEAbgB5AFAAZQByAGkAbwBkAFMAdABhAHIAdAApACwAXABuACAAIAAgACAAIAAgACAAIABDAHYAdABEAGEAdABlACwAIAAgACAAIAAgACAAIAAgACAAIAAgACAASQBGACgAIABJAFMAVABFAFgAVAAoACAARABhAHQAZQBPAGYASQBuAHQAZQByAGUAcwB0ACkALAAgAEQAQQBUAEUAVgBBAEwAVQBFACgAIABEAGEAdABlAE8AZgBJAG4AdABlAHIAZQBzAHQAKQAsACAARABhAHQAZQBPAGYASQBuAHQAZQByAGUAcwB0ACkALABcAG4AIAAgACAAIAAvAC8AIAAgAFAAcgBvAGMAZQBkAHUAcgBlAFwAbgAgACAAIAAgAC8ALwAgACAAQwBvAHUAbgB0ACAAdABoAGUAIAB3AGgAbwBsAGUAIABwAGUAcgBpAG8AZABzACAAZgByAG8AbQAgAHQAaABlACAAYQBuAGMAaABvAHIAIAB0AG8AIAB0AGgAZQAgAGQAYQB0AGUAIABvAGYAIABpAG4AdABlAHIAZQBzAHQAIABhAG4AZAAgAHMAdABlAHAAIAB0AGgAZQBcAG4AIAAgACAAIAAvAC8AIAAgAGEAbgBjAGgAbwByACAAbwBuACAAYgB5ACAAdABoAGEAdAAgAG0AYQBuAHkALgBcAG4AIAAgACAAIAAgACAAIAAgAE0AbwBuAHQAaABEAGkAZgBmACwAIAAgACAAIAAgACAAIAAgACAAIAAoAFkARQBBAFIAKAAgAEMAdgB0AEQAYQB0AGUAKQAgAC0AIABZAEUAQQBSACgAIABDAHYAdABTAHQAYQByAHQAKQApACAAKgAgAE0AcABZACAAKwAgAE0ATwBOAFQASAAoACAAQwB2AHQARABhAHQAZQApACAALQAgAE0ATwBOAFQASAAoACAAQwB2AHQAUwB0AGEAcgB0ACkALABcAG4AIAAgACAAIAAgACAAIAAgAFcAaABvAGwAZQBQAGUAcgBpAG8AZABzACwAIAAgACAAIAAgACAAIABRAFUATwBUAEkARQBOAFQAKAAgAE0AbwBuAHQAaABEAGkAZgBmACwAIABNAHAAUAApACwAXABuACAAIAAgACAAIAAgACAAIABDAGEAbgBkAGkAZABhAHQAZQAsACAAIAAgACAAIAAgACAAIAAgACAARQBEAEEAVABFACgAIABDAHYAdABTAHQAYQByAHQALAAgAFcAaABvAGwAZQBQAGUAcgBpAG8AZABzACAAKgAgAE0AcABQACkALABcAG4AIAAgACAAIAAvAC8AIAAgAFEAVQBPAFQASQBFAE4AVAAgAHQAcgB1AG4AYwBhAHQAZQBzACAAdABvAHcAYQByAGQAcwAgAHoAZQByAG8ALAAgAGEAbgBkACAAdABoAGUAIABkAGEAeQAgAG8AZgAgAHQAaABlACAAbQBvAG4AdABoACAAYwBhAG4AIABsAGUAYQB2AGUAIAB0AGgAZQAgAGMAYQBuAGQAaQBkAGEAdABlAFwAbgAgACAAIAAgAC8ALwAgACAAcABhAHMAdAAgAHQAaABlACAAZABhAHQAZQAgAG8AZgAgAGkAbgB0AGUAcgBlAHMAdAAsACAAcwBvACAAcwB0AGUAcAAgAGIAYQBjAGsAIABhACAAcABlAHIAaQBvAGQAIAB3AGgAZQByAGUAIABpAHQAIABkAG8AZQBzAC4AIABPAG4AZQAgAHMAdABlAHAAIABpAHMAIABhAGwAdwBhAHkAcwBcAG4AIAAgACAAIAAvAC8AIAAgAGUAbgBvAHUAZwBoADoAIABhACAAdAByAHUAbgBjAGEAdABlAGQAIABxAHUAbwB0AGkAZQBuAHQAIABpAHMAIABuAGUAdgBlAHIAIABtAG8AcgBlACAAdABoAGEAbgAgAG8AbgBlACAAcABlAHIAaQBvAGQAIABvAHUAdAAuAFwAbgAgACAAIAAgACAAIAAgACAAUgBlAHMAdQBsAHQALAAgACAAIAAgACAAIAAgACAAIAAgACAAIAAgAEkARgAoACAAQwBhAG4AZABpAGQAYQB0AGUAIAA+ACAAQwB2AHQARABhAHQAZQAsACAARQBEAEEAVABFACgAIABDAHYAdABTAHQAYQByAHQALAAgACgAVwBoAG8AbABlAFAAZQByAGkAbwBkAHMAIAAtACAAMQApACAAKgAgAE0AcABQACkALAAgAEMAYQBuAGQAaQBkAGEAdABl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QAaQBtAGkAbgBpAHMAaABpAG4AZwBWAGEAbAB1AGUAuwNcAG4AIAAgACAAIABEAEUAUwBDAFIASQBQAFQASQBPAE4AOgAqAC8ALwAqACoARABpAG0AaQBuAGkAcwBoAGkAbgBnAC0AYgBhAGwAYQBuAGMAZQAgAGQAZQBwAHIAZQBjAGkAYQB0AGkAbwBuACAAcwBjAGgAZQBkAHUAbABlACAAYQB0ACAAMgAwADAAJQAgAG8AZgAgAHQAaABlACAAcwB0AHIAYQBpAGcAaAB0AC0AbABpAG4AZQAgAHIAYQB0AGUALAAgAHcAcgBpAHQAaQBuAGcAIAB0AGgAZQAgAHIAZQBzAGkAZAB1AGEAbAAgAG8AZgBmACAAaQBuACAAdABoAGUAIABmAGkAbgBhAGwAIABwAGUAcgBpAG8AZAAuACAAQQAgAG0AbwBkAGUAbABsAGkAbgBnACAAcwBjAGgAZQBkAHUAbABlACwAIABuAG8AdAAgAGEAIAB0AGEAeAAgAGMAYQBsAGMAdQBsAGEAdABpAG8AbgAuACoALwBcAG4AXABuAEQAaQBtAGkAbgBpAHMAaABpAG4AZwBWAGEAbAB1AGUAuwMgAD0AIABMAEEATQBCAEQAQQAoAFwAbgAvAC8AIAAgAFAAYQByAGEAbQBlAHQAZQByACAARABlAGMAbABhAHIAYQB0AGkAbwBuAFwAbgAgACAAIAAgAFsAQwBvAHMAdABdACwAXABuACAAIAAgACAAWwBMAGkAZg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ABpAG0AaQBuAGkAcwBoAGkAbgBnAFYAYQBsAHUAZQC7AygAQwBvAHMAdAAsACAATABpAGYAZQApALYAXAAiACAAJgBcAG4AIAAgACAAIAAgACAAIAAgACAAIAAgACAAIAAgACAAIAAgACAAIAAgACAAIAAgACAAIAAgACAAIABcACIARABFAFMAQwBSAEkAUABUAEkATwBOADoAIAAgACAAkiFEAGkAbQBpAG4AaQBzAGgAaQBuAGcALQBiAGEAbABhAG4AYwBlACAAZABlAHAAcgBlAGMAaQBhAHQAaQBvAG4AIABzAGMAaABlAGQAdQBsAGUAIABhAHQAIAAyADAAMAAlACAAbwBmACAAdABoAGUAIABzAHQAcgBhAGkAZwBoAHQALQBsAGkAbgBlACAAcgBhAHQAZQAsACAAdwByAGkAdABpAG4AZwAgAHQAaABlACAAcgBlAHMAaQBkAHUAYQBsACAAbwBmAGYAIABpAG4AIAB0AGgAZQAgAGYAaQBuAGEAbAAgAHAAZQByAGkAbwBkAC4AIABBACAAbQBvAGQAZQBsAGwAaQBuAGcAIABzAGMAaABlAGQAdQBsAGUALAAgAG4AbwB0ACAAYQAgAHQAYQB4ACAAYwBhAGwAYwB1AGwAYQB0AGkAbwBuAC4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XABuACAAIAAgACAAIAAgACAAIAAgACAAIAAgACAAIAAgACAAIAAgACAAIAAgACAAIAAgACAAIAAgACAAXAAiAEMAbwBzAHQAIAAgACAAIAAgACAAIAAgACAAIAAgAJIhKABSAGUAcQB1AGkAcgBlAGQAKQAgAEEAcwBzAGUAdAAnAHMAIABjAG8AcwB0AC4AtgBcACIAIAAmAFwAbgAgACAAIAAgACAAIAAgACAAIAAgACAAIAAgACAAIAAgACAAIAAgACAAIAAgACAAIAAgACAAIAAgAFwAIgBMAGkAZgBlACAAIAAgACAAIAAgACAAIAAgACAAIACSISgAUgBlAHEAdQBpAHIAZQBkACkAIABBAHMAcwBlAHQAJwBzACAAZQBmAGYAZQBjAHQAaQB2AGUAIABsAGkAZgBlACAAaQBuACAAeQBlAGEAcgBz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RABpAG0AaQBuAGkAcwBoAGkAbgBnAFYAYQBsAHUAZQC7AygAMQAwADAAMAAsACAANQApALYAXAAiACAAJgBcAG4AIAAgACAAIAAgACAAIAAgACAAIAAgACAAIAAgACAAIAAgACAAIAAgACAAIAAgACAAIAAgACAAIABcACIAkiFSAGUAcwB1AGwAdAC2AFwAIgAgACYAXABuACAAIAAgACAAIAAgACAAIAAgACAAIAAgACAAIAAgACAAIAAgACAAIAAgACAAIAAgACAAIAAgACAAXAAiAJIhNAAwADAALgAwADAALAAyADQAMAAuADAAMAAsADEANAA0AC4AMAAwACwAOAA2AC4ANAAwACwAMQAyADkALgA2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EMAbwBzAHQAKQAsACAASQBTAE8ATQBJAFQAVABFAEQAKABMAGkAZgBlACkAKQAsAFwAbgAgACAAIAAgAC8ALwAgACAAUgBlAGYAdQBzAGUAIABhACAAbABpAGYAZQAgAHQAaABhAHQAIABjAGEAbgBuAG8AdAAgAG0AYQBrAGUAIABhACAAcwBjAGgAZQBkAHUAbABlADoAIABhACAAbgBlAGcAYQB0AGkAdgBlACAAbwBuAGUAIAB3AHIAbwB0AGUAIAB0AGgAZQAgAHcAaABvAGwAZQAgAGMAbwBzAHQAIABvAGYAZgBcAG4AIAAgACAAIAAvAC8AIAAgAGkAbgAgAG8AbgBlACAAcABlAHIAaQBvAGQAIABhAG4AZAAgAHoAZQByAG8AIABkAGkAdgBpAGQAZQBkACAAYgB5ACAAegBlAHIAbwBcAG4AIAAgACAAIAAgACAAIAAgAFYAYQBsAGkAZAA/ACwAIAAgACAAIAAgACAAIAAgACAAQQBOAEQAKABJAFMATgBVAE0AQgBFAFIAKABMAGkAZgBlACkALAAgAEwAaQBmAGUAIAA+ACAAMAApACwAXABuACAAIAAgACAALwAvACAAIABSAGEAdABlACAAaQBzACAAYwBhAHAAcABlAGQAOgAgAGEAIABsAGkAZgBlACAAdQBuAGQAZQByACAAdAB3AG8AIAB5AGUAYQByAHMAIAB3AG8AdQBsAGQAIABvAHQAaABlAHIAdwBpAHMAZQAgAGUAeABjAGUAZQBkACAAMQAwADAAJQBcAG4AIAAgACAAIAAgACAAIAAgAFIAYQB0AGUALAAgACAAIAAgACAAIAAgACAAIAAgACAATQBJAE4AKAAyAC8ATABpAGYAZQAsACAAMQApACwAXABuACAAIAAgACAALwAvACAAIABXAGgAbwBsAGUAIABwAGUAcgBpAG8AZABzACwAIABzAG8AIABhACAAcABhAHIAdAAtAHkAZQBhAHIAIABlAGYAZgBlAGMAdABpAHYAZQAgAGwAaQBmAGUAIABzAHQAaQBsAGwAIABnAGUAdABzACAAaQB0AHMAIABmAGkAbgBhAGwAIABwAGUAcgBpAG8AZABcAG4AIAAgACAAIAAgACAAIAAgAEMAbwB1AG4AdAAsACAAIAAgACAAIAAgACAAIAAgACAATQBBAFgAKAAxACwAIABSAE8AVQBOAEQAVQBQACgATABpAGYAZQAsACAAMAApACkALABcAG4AIAAgACAAIAAvAC8AIAAgAFMAZQB0ACAAQwBvAG4AcwB0AGEAbgB0AHMAXABuACAAIAAgACAAIAAgACAAIABQAGUAcgBpAG8AZABzACwAIAAgACAAIAAgACAAIAAgAFMARQBRAFUARQBOAEMARQAoACwAIABDAG8AdQBuAHQAKQAsAFwAbgAgACAAIAAgAC8ALwAgACAAVABoAGUAIABQAGUAcgBpAG8AZABzAD0AMQAgAGcAdQBhAHIAZAAgAGEAdgBvAGkAZABzACAAMABeADAALAAgAHcAaABpAGMAaAAgAEUAeABjAGUAbAAgAHIAZQB0AHUAcgBuAHMAIABhAHMAIAAjAE4AVQBNACEAIABvAG4AYwBlACAAUgBhAHQAZQAgAHIAZQBhAGMAaABlAHMAIAAxAFwAbgAgACAAIAAgACAAIAAgACAAUgBhAHcALAAgACAAIAAgACAAIAAgACAAIAAgACAAIABDAG8AcwB0ACAAKgAgAFIAYQB0AGUAIAAqACAASQBGACgAUABlAHIAaQBvAGQAcwAgAD0AIAAxACwAIAAxACwAIAAoADEALQBSAGEAdABlACkAXgAoAFAAZQByAGkAbwBkAHMALQAxACkAKQAsAFwAbgAgACAAIAAgAC8ALwAgACAAVwByAGkAdABlACAAdABoAGUAIAB1AG4AZABlAGQAdQBjAHQAZQBkACAAcgBlAHMAaQBkAHUAYQBsACAAbwBmAGYAIABpAG4AIAB0AGgAZQAgAGYAaQBuAGEAbAAgAHAAZQByAGkAbwBkAFwAbgAgACAAIAAgACAAIAAgACAAUgBlAHMAdQBsAHQALAAgACAAIAAgACAAIAAgACAAIABJAEYAKABWAGEAbABpAGQAPwAsACAAUgBhAHcAIAArACAAKABQAGUAcgBpAG8AZABzACAAPQAgAEMAbwB1AG4AdAApACAAKgAgACgAQwBvAHMAdAAgAC0AIABTAFUATQAoAFIAYQB3ACkAKQAsAFwAbgAgACAAIAAgACAAIAAgACAAIAAgACAAIAAgACAAIAAgACAAIAAgACAAIAAgACAAIAAgACAAIAAgAFwAIgBEAGkAbQBpAG4AaQBzAGgAaQBuAGcAVgBhAGwAdQBlALsDIABuAGUAZQBkAHMAIABhACAATABpAGYAZQAgAGcAcgBlAGEAdABlAHIAIAB0AGgAYQBuACAAMABcACI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UAByAGkAbQBlAEMAbwBzAHQAuwNcAG4AIAAgACAAIABEAEUAUwBDAFIASQBQAFQASQBPAE4AOgAqAC8ALwAqACoAUwB0AHIAYQBpAGcAaAB0AC0AbABpAG4AZQAgAGQAZQBwAHIAZQBjAGkAYQB0AGkAbwBuACAAcwBjAGgAZQBkAHUAbABlACAAZgBvAHIAIABvAG4AZQAgAGEAcwBzAGUAdAAgAG8AcgAgAGEAcwBzAGUAdAAgAGMAbABhAHMAcwAsACAAaQBuACAAdwBoAG8AbABlACAAeQBlAGEAcgBzAC4AIABBACAAbQBvAGQAZQBsAGwAaQBuAGcAIABzAGMAaABlAGQAdQBsAGUALAAgAG4AbwB0ACAAYQAgAHQAYQB4ACAAYwBhAGwAYwB1AGwAYQB0AGkAbwBuAC4AKgAvAFwAbgBcAG4AUAByAGkAbQBlAEMAbwBzAHQAuwMgAD0AIABMAEEATQBCAEQAQQAoAFwAbgAvAC8AIAAgAFAAYQByAGEAbQBlAHQAZQByACAARABlAGMAbABhAHIAYQB0AGkAbwBuAFwAbgAgACAAIAAgAFsAQwBvAHMAdABdACwAXABuACAAIAAgACAAWwBMAGkAZg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UAByAGkAbQBlAEMAbwBzAHQAuwMoAEMAbwBzAHQALAAgAEwAaQBmAGUAKQC2AFwAIgAgACYAXABuACAAIAAgACAAIAAgACAAIAAgACAAIAAgACAAIAAgACAAIAAgACAAIAAgACAAIAAgACAAIAAgACAAXAAiAEQARQBTAEMAUgBJAFAAVABJAE8ATgA6ACAAIAAgAJIhUwB0AHIAYQBpAGcAaAB0AC0AbABpAG4AZQAgAGQAZQBwAHIAZQBjAGkAYQB0AGkAbwBuACAAcwBjAGgAZQBkAHUAbABlACAAZgBvAHIAIABvAG4AZQAgAGEAcwBzAGUAdAAgAG8AcgAgAGEAcwBzAGUAdAAgAGMAbABhAHMAcwAsACAAaQBuACAAdwBoAG8AbABlACAAeQBlAGEAcgBzAC4AIABBACAAbQBvAGQAZQBsAGwAaQBuAGcAIABzAGMAaABlAGQAdQBsAGUALAAgAG4AbwB0ACAAYQAgAHQAYQB4ACAAYwBhAGwAYwB1AGwAYQB0AGkAbwBuAC4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XABuACAAIAAgACAAIAAgACAAIAAgACAAIAAgACAAIAAgACAAIAAgACAAIAAgACAAIAAgACAAIAAgACAAXAAiAEMAbwBzAHQAIAAgACAAIAAgACAAIAAgACAAIAAgAJIhKABSAGUAcQB1AGkAcgBlAGQAKQAgAEEAcwBzAGUAdAAnAHMAIABjAG8AcwB0AC4AtgBcACIAIAAmAFwAbgAgACAAIAAgACAAIAAgACAAIAAgACAAIAAgACAAIAAgACAAIAAgACAAIAAgACAAIAAgACAAIAAgAFwAIgBMAGkAZgBlACAAIAAgACAAIAAgACAAIAAgACAAIACSISgAUgBlAHEAdQBpAHIAZQBkACkAIABBAHMAcwBlAHQAJwBzACAAZQBmAGYAZQBjAHQAaQB2AGUAIABsAGkAZgBlACAAaQBuACAAeQBlAGEAcgBz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UAByAGkAbQBlAEMAbwBzAHQAuwMoADEAMAAwADAALAAgADUAKQC2AFwAIgAgACYAXABuACAAIAAgACAAIAAgACAAIAAgACAAIAAgACAAIAAgACAAIAAgACAAIAAgACAAIAAgACAAIAAgACAAXAAiAJIhUgBlAHMAdQBsAHQAtgBcACIAIAAmAFwAbgAgACAAIAAgACAAIAAgACAAIAAgACAAIAAgACAAIAAgACAAIAAgACAAIAAgACAAIAAgACAAIAAgAFwAIgCSITIAMAAwAC4AMAAwACwAMgAwADAALgAwADAALAAyADAAMAAuADAAMAAsADIAMAAwAC4AMAAwACwAMgAwADAALgAw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EMAbwBzAHQAKQAsACAASQBTAE8ATQBJAFQAVABFAEQAKABMAGkAZgBlACkAKQAsAFwAbgAgACAAIAAgAC8ALwAgACAAUgBlAGYAdQBzAGUAIABhACAAbABpAGYAZQAgAHQAaABhAHQAIABjAGEAbgBuAG8AdAAgAG0AYQBrAGUAIABhACAAcwBjAGgAZQBkAHUAbABlADoAIABhACAAbgBlAGcAYQB0AGkAdgBlACAAbwBuAGUAIAB3AHIAbwB0AGUAIAB0AGgAZQAgAHcAaABvAGwAZQAgAGMAbwBzAHQAIABvAGYAZgBcAG4AIAAgACAAIAAvAC8AIAAgAGkAbgAgAG8AbgBlACAAcABlAHIAaQBvAGQAIABhAG4AZAAgAHoAZQByAG8AIABkAGkAdgBpAGQAZQBkACAAYgB5ACAAegBlAHIAbwBcAG4AIAAgACAAIAAgACAAIAAgAFYAYQBsAGkAZAA/ACwAIAAgACAAIAAgACAAIAAgACAAQQBOAEQAKABJAFMATgBVAE0AQgBFAFIAKABMAGkAZgBlACkALAAgAEwAaQBmAGUAIAA+ACAAMAApACwAXABuACAAIAAgACAALwAvACAAIABTAGUAdAAgAEMAbwBuAHMAdABhAG4AdABzAFwAbgAgACAAIAAgACAAIAAgACAAQQBuAG4AdQBhAGwALAAgACAAIAAgACAAIAAgACAAIABDAG8AcwB0AC8ATABpAGYAZQAsAFwAbgAgACAAIAAgAC8ALwAgACAAVwBoAG8AbABlACAAcABlAHIAaQBvAGQAcwAsACAAcwBvACAAYQAgAHAAYQByAHQALQB5AGUAYQByACAAZQBmAGYAZQBjAHQAaQB2AGUAIABsAGkAZgBlACAAcwB0AGkAbABsACAAZwBlAHQAcwAgAGkAdABzACAAZgBpAG4AYQBsACAAcABlAHIAaQBvAGQAXABuACAAIAAgACAAIAAgACAAIABDAG8AdQBuAHQALAAgACAAIAAgACAAIAAgACAAIAAgAE0AQQBYACgAMQAsACAAUgBPAFUATgBEAFUAUAAoAEwAaQBmAGUALAAgADAAKQApACwAXABuACAAIAAgACAALwAvACAAIABUAGgAZQAgAGYAaQBuAGEAbAAgAHAAZQByAGkAbwBkACAAYwBhAHIAcgBpAGUAcwAgAHQAaABlACAAcABhAHIAdAAtAHkAZQBhAHIAIAByAGUAbQBhAGkAbgBkAGUAcgAsACAAcwBvACAAdABoAGUAIABzAGMAaABlAGQAdQBsAGUAIABzAHUAbQBzACAAdABvACAAYwBvAHMAdABcAG4AIAAgACAAIAAgACAAIAAgAFIAZQBzAHUAbAB0ACwAIAAgACAAIAAgACAAIAAgACAASQBGACgAVgBhAGwAaQBkAD8ALAAgAEkARgAoAFMARQBRAFUARQBOAEMARQAoACwAIABDAG8AdQBuAHQAKQAgAD0AIABDAG8AdQBuAHQALAAgAEMAbwBzAHQAIAAtACAAQQBuAG4AdQBhAGwAIAAqACAAKABDAG8AdQBuAHQAIAAtACAAMQApACwAIABBAG4AbgB1AGEAbAApACwAXABuACAAIAAgACAAIAAgACAAIAAgACAAIAAgACAAIAAgACAAIAAgACAAIAAgACAAIAAgACAAIAAgACAAXAAiAFAAcgBpAG0AZQBDAG8AcwB0ALsDIABuAGUAZQBkAHMAIABhACAATABpAGYAZQAgAGcAcgBlAGEAdABlAHIAIAB0AGgAYQBuACAAMABcACIAKQAsAFwAbgAgACAAIAAgAC8ALwAgACAAUgBlAHQAdQByAG4AIABSAGUAcwB1AGwAdAAgAG8AcgAgAEgAZQBsAHAAXABuACAAIAAgACAAIAAgACAAIABDAEgATwBPAFMARQAoACAASABlAGwAcAA/ACAAKwAgADEALAAgAFIAZQBzAHUAbAB0ACwAIABIAGUAbABwACkAXABuACAAIAAgACAAKQBcAG4AKQA7AFwAbgBcAG4AXABuAFwAbgAvACoAIAAgAEYAVQBOAEMAVABJAE8ATgAgAE4AQQBNAEUAOgAgACAARwBTAFQAQQBkAGQAuwNcAG4AIAAgACAAIABEAEUAUwBDAFIASQBQAFQASQBPAE4AOgAqAC8ALwAqACoAQQBkAGQAcwAgAEcAUwBUACAAdABvACAAbwBuAGUAIABvAHIAIABtAG8AcgBlACAARwBTAFQALQBlAHgAYwBsAHUAcwBpAHYAZQAgAGEAbQBvAHUAbgB0AHMALgAqAC8AXABuAFwAbgBHAFMAVABBAGQAZAC7AyAAPQAgAEwAQQBNAEIARABBACgAXABuAC8ALwAgACAAUABhAHIAYQBtAGUAdABlAHIAIABEAGUAYwBsAGEAcgBhAHQAaQBvAG4AXABuACAAIAAgACAAWwBBAG0AbwB1AG4AdABzAF0ALABcAG4AIAAgACAAIABbAFIAYQB0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HAFMAVABBAGQAZAC7AygAQQBtAG8AdQBuAHQAcwAsACAAWwBSAGEAdABlAF0AKQC2AFwAIgAgACYAXABuACAAIAAgACAAIAAgACAAIAAgACAAIAAgACAAIAAgACAAIAAgACAAIAAgACAAIAAgACAAIAAgACAAXAAiAEQARQBTAEMAUgBJAFAAVABJAE8ATgA6ACAAIAAgAJIhQQBkAGQAcwAgAEcAUwBUACAAdABvACAAbwBuAGUAIABvAHIAIABtAG8AcgBlACAARwBTAFQALQBlAHgAYwBsAHUAcwBpAHYAZQAgAGEAbQBvAHUAbgB0AHMALgC2AE4ATwBUAEUAUwAhACAAIAAgACAAIAAgACAAIAAgAJIhVABoAGUAIAAxADAAJQAgAGQAZQBmAGEAdQBsAHQAIABhAG4AZAAgAG8AbgBlAC0AZQBsAGUAdgBlAG4AdABoACAAZQB4AHQAcgBhAGMAdABpAG8AbgAgAHIAZQBmAGwAZQBjAHQAIAB0AGgAZQAgAGIAYQBzAGkAYwAgAHIAdQBsAGUAtgAgACAAIAAgACAAIAAgACAAIAAgACAAIAAgACAAIACSIWYAbwByACAAYQAgAHQAYQB4AGEAYgBsAGUAIABzAHUAcABwAGwAeQAgAGkAbgAgAEEAIABOAGUAdwAgAFQAYQB4ACAAUwB5AHMAdABlAG0AIAAoAEcAbwBvAGQAcwAgAGEAbgBkACAAUwBlAHIAdgBpAGMAZQBzACAAVABhAHgAKQC2ACAAIAAgACAAIAAgACAAIAAgACAAIAAgACAAIAAgAJIhQQBjAHQAIAAxADkAOQA5ACAAcwBzACAAOQAtADcAMAAgAGEAbgBkACAAOQAtADcANQAgACgAcwBvAHUAcgBjAGUAIABjAGgAZQBjAGsAZQBkACAAMgAwACAAQQB1AGcAdQBzAHQAIAAyADAAMgA2ACkALgC2ACAAIAAgACAAIAAgACAAIAAgACAAIAAgACAAIAAgAJIhUgBlAGMAaABlAGMAawAgAHQAaABlACAAYwB1AHIAcgBlAG4AdAAgAEEAYwB0AC4AIABUAGgAZQBzAGUAIABoAGUAbABwAGUAcgBzACAAYQBwAHAAbAB5ACAAYQByAGkAdABoAG0AZQB0AGkAYwAgAG8AbgBsAHkAOgAgAHQAaABlAHkAtgAgACAAIAAgACAAIAAgACAAIAAgACAAIAAgACAAIACSIWQAbwAgAG4AbwB0ACAAZABlAGMAaQBkAGUAIAB3AGgAZQB0AGgAZQByACAAYQAgAHMAdQBwAHAAbAB5ACAAaQBzACAAdABhAHgAYQBiAGwAZQAsACAARwBTAFQALQBmAHIAZQBlACwAIABpAG4AcAB1AHQAIAB0AGEAeABlAGQALAC2ACAAIAAgACAAIAAgACAAIAAgACAAIAAgACAAIAAgAJIhbwB1AHQAcwBpAGQAZQAgAHQAaABlACAARwBTAFQAIABzAHkAcwB0AGUAbQAsACAAbwByACAAcwB1AGIAagBlAGMAdAAgAHQAbwAgAGEAIABzAHAAZQBjAGkAYQBsACAAcgB1AGwAZQ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FwAbgAgACAAIAAgACAAIAAgACAAIAAgACAAIAAgACAAIAAgACAAIAAgACAAIAAgACAAIAAgACAAIAAgAFwAIgBBAG0AbwB1AG4AdABzACAAIAAgACAAIAAgACAAIACSISgAUgBlAHEAdQBpAHIAZQBkACkAIABPAG4AZQAgAG8AcgAgAG0AbwByAGUAIABHAFMAVAAtAGUAeABjAGwAdQBzAGkAdgBlACAAYQBtAG8AdQBuAHQAcwAuALYAXAAiACAAJgBcAG4AIAAgACAAIAAgACAAIAAgACAAIAAgACAAIAAgACAAIAAgACAAIAAgACAAIAAgACAAIAAgACAAIABcACIAUgBhAHQAZQAgACAAIAAgACAAIAAgACAAIAAgACAAkiEoAE8AcAB0AGkAbwBuAGEAbAA6ACAARABlAGYAYQB1AGwAdAAgAD0AIAAwAC4AMQApACAARwBTAFQAIAByAGEAdABlACAAYQBzACAAYQAgAGYAcgBhAGMAdABpAG8Abg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cAUwBUAEEAZABkALsDKAAxADAAMAApALYAXAAiACAAJgBcAG4AIAAgACAAIAAgACAAIAAgACAAIAAgACAAIAAgACAAIAAgACAAIAAgACAAIAAgACAAIAAgACAAIABcACIAkiFSAGUAcwB1AGwAdAC2AFwAIgAgACYAXABuACAAIAAgACAAIAAgACAAIAAgACAAIAAgACAAIAAgACAAIAAgACAAIAAgACAAIAAgACAAIAAgACAAXAAiAJIhMQAx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EEAbQBvAHUAbgB0AHMAKQAsAFwAbgAgACAAIAAgAC8ALwAgACAAQQAgAGIAbABhAG4AawAgAFIAYQB0AGUAIABjAGUAbABsACAAaQBzACAAbgBvAHQAIABhAG4AIABvAG0AaQB0AHQAZQBkACAAYQByAGcAdQBtAGUAbgB0ACwAIABzAG8AIAB0AGUAcwB0ACAAZgBvAHIAIABiAG8AdABoAC4AIABUAGgAZQAgAGIAbABhAG4AawAgAHQAZQBzAHQAXABuACAAIAAgACAALwAvACAAIABzAHQAYQB5AHMAIABlAGwAZQBtAGUAbgB0AC0AdwBpAHMAZQA6ACAATwBSACgAKQAgAHIAZQBkAHUAYwBlAGQAIABhACAAYwBvAGwAdQBtAG4AIABvAGYAIAByAGEAdABlAHMAIAB0AG8AIABvAG4AZQAgAFQAUgBVAEUALAAgAHMAbwAgAGEAIABzAGkAbgBnAGwAZQAgAGIAbABhAG4AawBcAG4AIAAgACAAIAAvAC8AIAAgAGcAYQB2AGUAIABlAHYAZQByAHkAIAByAG8AdwAgAHQAaABlACAAZABlAGYAYQB1AGwAdAAsACAAegBlAHIAbwAtAHIAYQB0AGUAZAAgAGwAaQBuAGUAcwAgAGkAbgBjAGwAdQBkAGUAZAAuAFwAbgAgACAAIAAgACAAIAAgACAARwBTAFQAUgBhAHQAZQAsACAAIAAgACAAIAAgACAAIABJAEYAKABJAFMATwBNAEkAVABUAEUARAAoAFIAYQB0AGUAKQAsACAAMAAuADEALAAgAEkARgAoAFQAUgBJAE0AKABSAGEAdABlACAAJgAgAFwAIgBcACIAKQA9AFwAIgBcACIALAAgADAALgAxACwAIABSAGEAdABlACkAKQAsAFwAbgAgACAAIAAgAC8ALwAgACAAQgBsAGEAbgBrAHMAIABzAHQAYQB5ACAAYgBsAGEAbgBrACwAIABzAG8AIABhACAAcABhAHIAdAAtAGYAaQBsAGwAZQBkACAAYwBvAGwAdQBtAG4AIABvAGYAIABhAG0AbwB1AG4AdABzACAAZABvAGUAcwAgAG4AbwB0ACAAZgBpAGwAbAAgAHcAaQB0AGgAIAB6AGUAcgBvAHMAXABuACAAIAAgACAAIAAgACAAIABSAGUAcwB1AGwAdAAsACAAIAAgACAAIAAgACAAIAAgAEkARgAoAFQAUgBJAE0AKABBAG0AbwB1AG4AdABzACAAJgAgAFwAIgBcACIAKQA9AFwAIgBcACIALAAgAFwAIgBcACIALAAgAEEAbQBvAHUAbgB0AHMAIAAqACAAKAAxACAAKwAgAEcAUwBUAFIAYQB0AGU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HAFMAVABFAHgAdAByAGEAYwB0ALsDXABuACAAIAAgACAARABFAFMAQwBSAEkAUABUAEkATwBOADoAKgAvAC8AKgAqAFIAZQB0AHUAcgBuAHMAIAB0AGgAZQAgAEcAUwBUACAAYwBvAG4AdABhAGkAbgBlAGQAIABpAG4AIABvAG4AZQAgAG8AcgAgAG0AbwByAGUAIABHAFMAVAAtAGkAbgBjAGwAdQBzAGkAdgBlACAAYQBtAG8AdQBuAHQAcwAuACoALwBcAG4AXABuAEcAUwBUAEUAeAB0AHIAYQBjAHQAuwMgAD0AIABMAEEATQBCAEQAQQAoAFwAbgAvAC8AIAAgAFAAYQByAGEAbQBlAHQAZQByACAARABlAGMAbABhAHIAYQB0AGkAbwBuAFwAbgAgACAAIAAgAFsAQQBtAG8AdQBuAHQAcwBdACwAXABuACAAIAAgACAAWwBSAGEAdA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wBTAFQARQB4AHQAcgBhAGMAdAC7AygAQQBtAG8AdQBuAHQAcwAsACAAWwBSAGEAdABlAF0AKQC2AFwAIgAgACYAXABuACAAIAAgACAAIAAgACAAIAAgACAAIAAgACAAIAAgACAAIAAgACAAIAAgACAAIAAgACAAIAAgACAAXAAiAEQARQBTAEMAUgBJAFAAVABJAE8ATgA6ACAAIAAgAJIhUgBlAHQAdQByAG4AcwAgAHQAaABlACAARwBTAFQAIABjAG8AbgB0AGEAaQBuAGUAZAAgAGkAbgAgAG8AbgBlACAAbwByACAAbQBvAHIAZQAgAEcAUwBUAC0AaQBuAGMAbAB1AHMAaQB2AGUAIABhAG0AbwB1AG4AdABzAC4AtgBOAE8AVABFAFMAIQAgACAAIAAgACAAIAAgACAAIACSIVQAaABlACAAMQAwACUAIABkAGUAZgBhAHUAbAB0ACAAYQBuAGQAIABvAG4AZQAtAGUAbABlAHYAZQBuAHQAaAAgAGUAeAB0AHIAYQBjAHQAaQBvAG4AIAByAGUAZgBsAGUAYwB0ACAAdABoAGUAIABiAGEAcwBpAGMAIAByAHUAbABlALYAIAAgACAAIAAgACAAIAAgACAAIAAgACAAIAAgACAAkiFmAG8AcgAgAGEAIAB0AGEAeABhAGIAbABlACAAcwB1AHAAcABsAHkAIABpAG4AIABBACAATgBlAHcAIABUAGEAeAAgAFMAeQBzAHQAZQBtACAAKABHAG8AbwBkAHMAIABhAG4AZAAgAFMAZQByAHYAaQBjAGUAcwAgAFQAYQB4ACkAtgAgACAAIAAgACAAIAAgACAAIAAgACAAIAAgACAAIACSIUEAYwB0ACAAMQA5ADkAOQAgAHMAcwAgADkALQA3ADAAIABhAG4AZAAgADkALQA3ADUAIAAoAHMAbwB1AHIAYwBlACAAYwBoAGUAYwBrAGUAZAAgADIAMAAgAEEAdQBnAHUAcwB0ACAAMgAwADIANgApAC4AtgAgACAAIAAgACAAIAAgACAAIAAgACAAIAAgACAAIACSIVIAZQBjAGgAZQBjAGsAIAB0AGgAZQAgAGMAdQByAHIAZQBuAHQAIABBAGMAdAAuACAAVABoAGUAcwBlACAAaABlAGwAcABlAHIAcwAgAGEAcABwAGwAeQAgAGEAcgBpAHQAaABtAGUAdABpAGMAIABvAG4AbAB5ADoAIAB0AGgAZQB5ALYAIAAgACAAIAAgACAAIAAgACAAIAAgACAAIAAgACAAkiFkAG8AIABuAG8AdAAgAGQAZQBjAGkAZABlACAAdwBoAGUAdABoAGUAcgAgAGEAIABzAHUAcABwAGwAeQAgAGkAcwAgAHQAYQB4AGEAYgBsAGUALAAgAEcAUwBUAC0AZgByAGUAZQAsACAAaQBuAHAAdQB0ACAAdABhAHgAZQBkACwAtgAgACAAIAAgACAAIAAgACAAIAAgACAAIAAgACAAIACSIW8AdQB0AHMAaQBkAGUAIAB0AGgAZQAgAEcAUwBUACAAcwB5AHMAdABlAG0ALAAgAG8AcgAgAHMAdQBiAGoAZQBjAHQAIAB0AG8AIABhACAAcwBwAGUAYwBpAGEAbAAgAHIAdQBsAGU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BcAG4AIAAgACAAIAAgACAAIAAgACAAIAAgACAAIAAgACAAIAAgACAAIAAgACAAIAAgACAAIAAgACAAIABcACIAQQBtAG8AdQBuAHQAcwAgACAAIAAgACAAIAAgACAAkiEoAFIAZQBxAHUAaQByAGUAZAApACAATwBuAGUAIABvAHIAIABtAG8AcgBlACAARwBTAFQALQBpAG4AYwBsAHUAcwBpAHYAZQAgAGEAbQBvAHUAbgB0AHMALgC2AFwAIgAgACYAXABuACAAIAAgACAAIAAgACAAIAAgACAAIAAgACAAIAAgACAAIAAgACAAIAAgACAAIAAgACAAIAAgACAAXAAiAFIAYQB0AGUAIAAgACAAIAAgACAAIAAgACAAIAAgAJIhKABPAHAAdABpAG8AbgBhAGwAOgAgAEQAZQBmAGEAdQBsAHQAIAA9ACAAMAAuADEAKQAgAEcAUwBUACAAcgBhAHQAZQAgAGEAcwAgAGEAIABmAHIAYQBjAHQAaQBvAG4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HAFMAVABFAHgAdAByAGEAYwB0ALsDKAAxADEAMAApALYAXAAiACAAJgBcAG4AIAAgACAAIAAgACAAIAAgACAAIAAgACAAIAAgACAAIAAgACAAIAAgACAAIAAgACAAIAAgACAAIABcACIAkiFSAGUAcwB1AGwAdAC2AFwAIgAgACYAXABuACAAIAAgACAAIAAgACAAIAAgACAAIAAgACAAIAAgACAAIAAgACAAIAAgACAAIAAgACAAIAAgACAAXAAiAJIhMQ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BBAG0AbwB1AG4AdABzACkALABcAG4AIAAgACAAIAAvAC8AIAAgAEEAIABiAGwAYQBuAGsAIABSAGEAdABlACAAYwBlAGwAbAAgAGkAcwAgAG4AbwB0ACAAYQBuACAAbwBtAGkAdAB0AGUAZAAgAGEAcgBnAHUAbQBlAG4AdAAsACAAcwBvACAAdABlAHMAdAAgAGYAbwByACAAYgBvAHQAaAAuACAAVABoAGUAIABiAGwAYQBuAGsAIAB0AGUAcwB0AFwAbgAgACAAIAAgAC8ALwAgACAAcwB0AGEAeQBzACAAZQBsAGUAbQBlAG4AdAAtAHcAaQBzAGUAOgAgAE8AUgAoACkAIAByAGUAZAB1AGMAZQBkACAAYQAgAGMAbwBsAHUAbQBuACAAbwBmACAAcgBhAHQAZQBzACAAdABvACAAbwBuAGUAIABUAFIAVQBFACwAIABzAG8AIABhACAAcwBpAG4AZwBsAGUAIABiAGwAYQBuAGsAXABuACAAIAAgACAALwAvACAAIABnAGEAdgBlACAAZQB2AGUAcgB5ACAAcgBvAHcAIAB0AGgAZQAgAGQAZQBmAGEAdQBsAHQALAAgAHoAZQByAG8ALQByAGEAdABlAGQAIABsAGkAbgBlAHMAIABpAG4AYwBsAHUAZABlAGQALgBcAG4AIAAgACAAIAAgACAAIAAgAEcAUwBUAFIAYQB0AGUALAAgACAAIAAgACAAIAAgACAASQBGACgASQBTAE8ATQBJAFQAVABFAEQAKABSAGEAdABlACkALAAgADAALgAxACwAIABJAEYAKABUAFIASQBNACgAUgBhAHQAZQAgACYAIABcACIAXAAiACkAPQBcACIAXAAiACwAIAAwAC4AMQAsACAAUgBhAHQAZQApACkALABcAG4AIAAgACAAIAAvAC8AIAAgAEIAbABhAG4AawBzACAAcwB0AGEAeQAgAGIAbABhAG4AawAsACAAcwBvACAAYQAgAHAAYQByAHQALQBmAGkAbABsAGUAZAAgAGMAbwBsAHUAbQBuACAAbwBmACAAYQBtAG8AdQBuAHQAcwAgAGQAbwBlAHMAIABuAG8AdAAgAGYAaQBsAGwAIAB3AGkAdABoACAAegBlAHIAbwBzAFwAbgAgACAAIAAgACAAIAAgACAAUgBlAHMAdQBsAHQALAAgACAAIAAgACAAIAAgACAAIABJAEYAKABUAFIASQBNACgAQQBtAG8AdQBuAHQAcwAgACYAIABcACIAXAAiACkAPQBcACIAXAAiACwAIABcACIAXAAiACwAIABBAG0AbwB1AG4AdABzACAAKgAgAEcAUwBUAFIAYQB0AGUAIAAvACAAKAAxACAAKwAgAEcAUwBUAFIAYQB0AGUAK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MAGUAYQBzAGUATABpAGEAYgBpAGwAaQB0AHkAuwNcAG4AIAAgACAAIABEAEUAUwBDAFIASQBQAFQASQBPAE4AOgAqAC8ALwAqACoAUAByAGUAcwBlAG4AdAAgAHYAYQBsAHUAZQAgAG8AZgAgAHQAaABlACAAbABlAGEAcwBlACAAcABhAHkAbQBlAG4AdABzACAAdABoAGEAdAAgAGEAcgBlACAAbgBvAHQAIABwAGEAaQBkACAAYQB0ACAAdABoAGUAIABjAG8AbQBtAGUAbgBjAGUAbQBlAG4AdAAgAGQAYQB0AGUAKgAvAFwAbgBcAG4ATABlAGEAcwBlAEwAaQBhAGIAaQBsAGkAdAB5ALsDIAA9ACAATABBAE0AQgBEAEEAKABcAG4ALwAvACAAIABQAGEAcgBhAG0AZQB0AGUAcgAgAEQAZQBjAGwAYQByAGEAdABpAG8AbgBcAG4AIAAgACAAIABbAFAAYQB5AG0AZQBuAHQAcwBdACwAXABuACAAIAAgACAAWwBSAGEAdABlAF0ALABcAG4AIAAgACAAIABbAEkAbgBBAGQAdgBhAG4AYw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TABlAGEAcwBlAEwAaQBhAGIAaQBsAGkAdAB5ALsDKABQAGEAeQBtAGUAbgB0AHMALAAgAFIAYQB0AGUALAAgAFsASQBuAEEAZAB2AGEAbgBjAGUAXQApALYAXAAiACAAJgBcAG4AIAAgACAAIAAgACAAIAAgACAAIAAgACAAIAAgACAAIAAgACAAIAAgACAAIAAgACAAIAAgACAAIABcACIARABFAFMAQwBSAEkAUABUAEkATwBOADoAIAAgACAAkiFQAHIAZQBzAGUAbgB0ACAAdgBhAGwAdQBlACAAbwBmACAAdABoAGUAIABsAGUAYQBzAGUAIABwAGEAeQBtAGUAbgB0AHMAIAB0AGgAYQB0ACAAYQByAGUAIABuAG8AdAAgAHAAYQBpAGQAIABhAHQAIAB0AGgAZQAgAGMAbwBtAG0AZQBuAGMAZQBtAGUAbgB0ACAAZABhAHQAZQAuALYATgBPAFQARQBTACEAIAAgACAAIAAgACAAIAAgACAAkiFBAEEAUwBCACAAMQA2ACAAcABhAHIAYQBnAHIAYQBwAGgAIAAyADYAIABtAGUAYQBzAHUAcgBlAHMAIAB0AGgAZQAgAGwAZQBhAHMAZQAgAGwAaQBhAGIAaQBsAGkAdAB5ACAAYQB0ACAAdABoAGUAIABwAHIAZQBzAGUAbgB0ACAAdgBhAGwAdQBlALYAIAAgACAAIAAgACAAIAAgACAAIAAgACAAIAAgACAAkiFvAGYAIAB0AGgAZQAgAGwAZQBhAHMAZQAgAHAAYQB5AG0AZQBuAHQAcwAgAG4AbwB0ACAAcABhAGkAZAAgAGEAdAAgAHQAaABlACAAYwBvAG0AbQBlAG4AYwBlAG0AZQBuAHQAIABkAGEAdABlACwAIABkAGkAcwBjAG8AdQBuAHQAZQBkACAAYQB0ALYAIAAgACAAIAAgACAAIAAgACAAIAAgACAAIAAgACAAkiF0AGgAZQAgAGkAbgB0AGUAcgBlAHMAdAAgAHIAYQB0AGUAIABpAG0AcABsAGkAYwBpAHQAIABpAG4AIAB0AGgAZQAgAGwAZQBhAHMAZQAgAHcAaABlAHIAZQAgAHQAaABhAHQAIAByAGEAdABlACAAYwBhAG4AIABiAGUAIAByAGUAYQBkAGkAbAB5ALYAIAAgACAAIAAgACAAIAAgACAAIAAgACAAIAAgACAAkiFkAGUAdABlAHIAbQBpAG4AZQBkACAAYQBuAGQAIABhAHQAIAB0AGgAZQAgAGwAZQBzAHMAZQBlACcAcwAgAGkAbgBjAHIAZQBtAGUAbgB0AGEAbAAgAGIAbwByAHIAbwB3AGkAbgBnACAAcgBhAHQAZQAgAHcAaABlAHIAZQAgAGkAdAC2ACAAIAAgACAAIAAgACAAIAAgACAAIAAgACAAIAAgAJIhYwBhAG4AbgBvAHQALgAgAFcAaABlAG4AIABJAG4AQQBkAHYAYQBuAGMAZQAgAGkAcwAgAFQAUgBVAEUALAAgAHQAaABlACAAZgBpAHIAcwB0ACAAcwB1AHAAcABsAGkAZQBkACAAcABhAHkAbQBlAG4AdAAgAGkAcwAgAHAAYQBpAGQAIABhAHQAtgAgACAAIAAgACAAIAAgACAAIAAgACAAIAAgACAAIACSIXQAaABlACAAbQBlAGEAcwB1AHIAZQBtAGUAbgB0ACAAZABhAHQAZQAgAGEAbgBkACAAZQB4AGMAbAB1AGQAZQBkACAAZgByAG8AbQAgAHQAaABlACAAbABpAGEAYgBpAGwAaQB0AHkALgAgAEEAZABkACAAYQAgAHAAYQB5AG0AZQBuAHQAtgAgACAAIAAgACAAIAAgACAAIAAgACAAIAAgACAAIACSIW0AYQBkAGUAIABhAHQAIABvAHIAIABiAGUAZgBvAHIAZQAgAGMAbwBtAG0AZQBuAGMAZQBtAGUAbgB0ACAAdABvACAAdABoAGUAIAByAGkAZwBoAHQALQBvAGYALQB1AHMAZQAgAGEAcwBzAGUAdAAgAGMAbwBzAHQAIABpAG4AcwB0AGUAYQBkAC4AtgAgACAAIAAgACAAIAAgACAAIAAgACAAIAAgACAAIACSIVIAYQB0AGUAIABpAHMAIABwAGUAcgAgAHAAZQByAGkAbwBkAC4AIABDAG8AbgB2AGUAcgB0ACAAYQBuACAAZQBmAGYAZQBjAHQAaQB2AGUAIABhAG4AbgB1AGEAbAAgAHIAYQB0AGUAIAB3AGkAdABoALYAIAAgACAAIAAgACAAIAAgACAAIAAgACAAIAAgACAAkiFQAGUAcgBpAG8AZABSAGEAdABlALsDKABBAG4AbgB1AGEAbABSAGEAdABlACwAIABQAGUAcgBpAG8AZABzAFAAZQByAFkAZQBhAHIAKQAuACAARABpAHYAaQBkAGUAIABhACAAbgBvAG0AaQBuAGEAbAAgAGEAbgBuAHUAYQBsACAAcgBhAHQAZQC2ACAAIAAgACAAIAAgACAAIAAgACAAIAAgACAAIAAgAJIhYgB5ACAAUABlAHIAaQBvAGQAcwBQAGUAcgBZAGUAYQByACAAbwBuAGwAeQAgAHcAaABlAG4AIABpAHQAcwAgAGMAbwBtAHAAbwB1AG4AZABpAG4AZwAgAHAAZQByAGkAbwBkAHMAIABtAGEAdABjAGgAIAB0AGgAZQAgAHAAYQB5AG0AZQBuAHQAcwAuALYAIAAgACAAIAAgACAAIAAgACAAIAAgACAAIAAgACAAkiFJAG4AYwBsAHUAZABlACAAYQBuACAAYQBtAG8AdQBuAHQAIABlAHgAcABlAGMAdABlAGQAIAB0AG8AIABiAGUAIABwAGEAeQBhAGIAbABlACAAdQBuAGQAZQByACAAYQC2ACAAIAAgACAAIAAgACAAIAAgACAAIAAgACAAIAAgAJIhcgBlAHMAaQBkAHUAYQBsACAAdgBhAGwAdQBlACAAZwB1AGEAcgBhAG4AdABlAGUALAAgAG8AcgAgAHQAaABlACAAZQB4AGUAcgBjAGkAcwBlACAAcAByAGkAYwBlACAAbwBmACAAYQAgAHAAdQByAGMAaABhAHMAZQAgAG8AcAB0AGkAbwBuACwAtgAgACAAIAAgACAAIAAgACAAIAAgACAAIAAgACAAIACSIWkAbgAgAHQAaABlACAAZgBpAG4AYQBsACAAcABlAHIAaQBvAGQAIAB3AGgAZQByAGUAIABwAGEAcgBhAGcAcgBhAHAAaAAgADIANwAgAGIAcgBpAG4AZwBzACAAaQB0ACAAaQBuAHQAbwAgAHQAaABlACAAbABlAGEAcwBlALYAIAAgACAAIAAgACAAIAAgACAAIAAgACAAIAAgACAAkiFwAGEAeQBtAGUAbgB0AHMALgAgAEkAUgBSALsDKAApACAAbwB2AGUAcgAgAHQAaABlACAAcwBhAG0AZQAgAGMAYQBzAGgAIABmAGwAbwB3AHMAIABnAGkAdgBlAHMAIABhAG4AIABpAG0AcABsAGkAYwBpAHQAIAByAGEAdABlACAAcABlAHIAIAB5AGUAYQByADsAtgAgACAAIAAgACAAIAAgACAAIAAgACAAIAAgACAAIACSIWMAbwBuAHYAZQByAHQAIABpAHQAIAB0AG8AIAB0AGgAZQAgAHIAYQB0AGUAIABwAGUAcgAgAHAAZQByAGkAbwBkACwAIAAoADEAIAArACAAYQBuAG4AdQBhAGwAKQAgAF4AIAAoADEAIAAvACAAMQAyACkAIAAtACAAMQAgAGYAbwByACAAbQBvAG4AdABoAHMALAC2ACAAIAAgACAAIAAgACAAIAAgACAAIAAgACAAIAAgAJIhYgBlAGYAbwByAGUAIABwAGEAcwBzAGkAbgBnACAAaQB0ACAAaABlAHIAZQAuALYAIAAgACAAIAAgACAAIAAgACAAIAAgACAAIAAgACAAkiFBAHIAaQB0AGgAbQBlAHQAaQBjACAAbwBuAGwAeQA6ACAAdABoAGkAcwAgAGQAbwBlAHMAIABuAG8AdAAgAGQAZQB0AGUAcgBtAGkAbgBlACAAdABoAGUAIABsAGUAYQBzAGUAIAB0AGUAcgBtACwAIABkAGUAYwBpAGQAZQAgAHcAaABhAHQAIABpAHMAtgAgACAAIAAgACAAIAAgACAAIAAgACAAIAAgACAAIACSIWEAIABsAGUAYQBzAGUAIABwAGEAeQBtAGUAbgB0ACwAIABvAHIAIABkAGUAYwBpAGQAZQAgAHcAaABlAHQAaABlAHIAIAB0AGgAZQAgAGEAcgByAGEAbgBnAGUAbQBlAG4AdAAgAGMAbwBuAHQAYQBpAG4AcwAgAGEAIABsAGUAYQBzAGUALgC2ACAAIAAgACAAIAAgACAAIAAgACAAIAAgACAAIAAgAJIhQQBBAFMAQgAgADEANgAgAGMAbwBtAHAAaQBsAGEAdABpAG8AbgAgAGMAaABlAGMAawBlAGQAIAAyADQAIABBAHUAZwB1AHMAdAAgADIAMAAyADY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QAIABBAHUAZwAgADIAMAAyADYAtgBcACIAIAAmAFwAbgAgACAAIAAgACAAIAAgACAAIAAgACAAIAAgACAAIAAgACAAIAAgACAAIAAgACAAIAAgACAAIAAgAFwAIgBQAEEAUgBBAE0ARQBUAEUAUgBTADoAIAAgACAAIACSIbYAXAAiACAAJgBcAG4AIAAgACAAIAAgACAAIAAgACAAIAAgACAAIAAgACAAIAAgACAAIAAgACAAIAAgACAAIAAgACAAIABcACIAUABhAHkAbQBlAG4AdABzACAAIAAgACAAIAAgACAAkiEoAFIAZQBxAHUAaQByAGUAZAApACAATwBuAGUAIAByAG8AdwAgAG8AcgAgAG8AbgBlACAAYwBvAGwAdQBtAG4AIABvAGYAIABsAGUAYQBzAGUAIABwAGEAeQBtAGUAbgB0AHMALAAgAG8AbgBlACAAcABlAHIAIABwAGUAcgBpAG8AZAAsACAAZQBuAHQAZQByAGUAZAAgAHAAbwBzAGkAdABpAHYAZQAuACAASQBuAGMAbAB1AGQAZQAgAHQAaABlACAAbQBlAGEAcwB1AHIAZQBtAGUAbgB0AC0AZABhAHQAZQAgAHAAYQB5AG0AZQBuAHQAIABmAGkAcgBzAHQAIAB3AGgAZQBuACAASQBuAEEAZAB2AGEAbgBjAGUAIABpAHMAIABUAFIAVQBFAC4AtgBcACIAIAAmAFwAbgAgACAAIAAgACAAIAAgACAAIAAgACAAIAAgACAAIAAgACAAIAAgACAAIAAgACAAIAAgACAAIAAgAFwAIgBSAGEAdABlACAAIAAgACAAIAAgACAAIAAgACAAIACSISgAUgBlAHEAdQBpAHIAZQBkACkAIABEAGkAcwBjAG8AdQBuAHQAIAByAGEAdABlACAAcABlAHIAIABwAGUAcgBpAG8AZAAsACAAbgBvAHQAIABwAGUAcgAgAHkAZQBhAHIALgC2AFwAIgAgACYAXABuACAAIAAgACAAIAAgACAAIAAgACAAIAAgACAAIAAgACAAIAAgACAAIAAgACAAIAAgACAAIAAgACAAXAAiAEkAbgBBAGQAdgBhAG4AYwBlACAAIAAgACAAIAAgAJIhKABPAHAAdABpAG8AbgBhAGwAOgAgAEQAZQBmAGEAdQBsAHQAIAA9ACAARgBBAEwAUwBFACkAIABUAFIAVQBFACAAdwBoAGUAbgAgAHQAaABlACAAZgBpAHIAcwB0ACAAcwB1AHAAcABsAGkAZQBkACAAcABhAHkAbQBlAG4AdAAgAGkAcwAgAHAAYQBpAGQAIABhAHQAIAB0AGgAZQAgAG0AZQBhAHMAdQByAGUAbQBlAG4AdAAgAGQAYQB0AGU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MAGUAYQBzAGUATABpAGEAYgBpAGwAaQB0AHkAuwMoAHsAMQAwADAALAAxADAAMAAsADEAMAAwAH0ALAAgADAALgAwADUAKQC2AFwAIgAgACYAXABuACAAIAAgACAAIAAgACAAIAAgACAAIAAgACAAIAAgACAAIAAgACAAIAAgACAAIAAgACAAIAAgACAAXAAiAJIhUgBlAHMAdQBsAHQAtgBcACIAIAAmAFwAbgAgACAAIAAgACAAIAAgACAAIAAgACAAIAAgACAAIAAgACAAIAAgACAAIAAgACAAIAAgACAAIAAgAFwAIgCSITIANwAyAC4AMwAy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QAGEAeQBtAGUAbgB0AHMAKQAsACAASQBTAE8ATQBJAFQAVABFAEQAKABSAGEAdABlACkAKQAsAFwAbgAgACAAIAAgAC8ALwAgACAAQQAgAGIAbABhAG4AawAgAEkAbgBBAGQAdgBhAG4AYwBlACAAYwBlAGwAbAAgAGkAcwAgAG4AbwB0ACAAYQBuACAAbwBtAGkAdAB0AGUAZAAgAGEAcgBnAHUAbQBlAG4AdAAsACAAcwBvACAAdABlAHMAdAAgAGYAbwByACAAYgBvAHQAaABcAG4AIAAgACAAIAAgACAAIAAgAEEAZAB2AGEAbgBjAGUAPwAsACAAIAAgACAAIAAgACAASQBGACgATwBSACgASQBTAE8ATQBJAFQAVABFAEQAKABJAG4AQQBkAHYAYQBuAGMAZQApACwAIABUAFIASQBNACgASQBuAEEAZAB2AGEAbgBjAGUAIAAmACAAXAAiAFwAIgApAD0AXAAiAFwAIgApACwAIABGAEEATABTAEUALAAgAEkAbgBBAGQAdgBhAG4AYwBlACkALABcAG4AIAAgACAAIAAvAC8AIAAgAE8AbgBlACAAbABlAGEAcwBlACAAYQB0ACAAYQAgAHQAaQBtAGUALAAgAGwAYQBpAGQAIABhAGwAbwBuAGcAIABhACAAcgBvAHcAIAB0AGgAZQAgAHcAYQB5ACAAdABoAGUAIAB0AGkAbQBlAGwAaQBuAGUAIABoAGUAbABwAGUAcgBzACAAZQB4AHAAZQBjAHQAXABuACAAIAAgACAAIAAgACAAIABGAGwAYQB0ACwAIAAgACAAIAAgACAAIAAgACAAIAAgAEkARgAoAFIATwBXAFMAKABQAGEAeQBtAGUAbgB0AHMAKQAgAD0AIAAxACwAIABQAGEAeQBtAGUAbgB0AHMALAAgAFQAUgBBAE4AUwBQAE8AUwBFACgAUABhAHkAbQBlAG4AdABzACkAKQAsAFwAbgAgACAAIAAgACAAIAAgACAAQwBvAHUAbgB0ACwAIAAgACAAIAAgACAAIAAgACAAIABDAE8ATABVAE0ATgBTACgARgBsAGEAdAApACwAXABuACAAIAAgACAALwAvACAAIABUAGgAZQAgAGYAaQByAHMAdAAgAGkAbgAtAGEAZAB2AGEAbgBjAGUAIABwAGEAeQBtAGUAbgB0ACAAaQBzACAAbQBhAGQAZQAgAGEAdAAgAHQAaABlACAAbQBlAGEAcwB1AHIAZQBtAGUAbgB0ACAAZABhAHQAZQAsACAAbgBvAHQAIABsAGUAZgB0ACAAdQBuAHAAYQBpAGQAXABuACAAIAAgACAAIAAgACAAIABMAGkAYQBiAGkAbABpAHQAeQBQAGEAeQBtAGUAbgB0AHMALAAgAEkARgAoAEEATgBEACgAQQBkAHYAYQBuAGMAZQA/ACwAIABDAG8AdQBuAHQAIAA+ACAAMQApACwAXABuACAAIAAgACAAIAAgACAAIAAgACAAIAAgACAAIAAgACAAIAAgACAAIAAgACAAIAAgACAAIAAgACAAIAAgACAAIABEAFIATwBQACgARgBsAGEAdAAsACAALAAgADEAKQAsAFwAbgAgACAAIAAgACAAIAAgACAAIAAgACAAIAAgACAAIAAgACAAIAAgACAAIAAgACAAIAAgACAAIAAgACAAIAAgACAASQBGACgAQQBkAHYAYQBuAGMAZQA/ACwAIAAwACwAIABGAGwAYQB0ACkAKQAsAFwAbgAgACAAIAAgACAAIAAgACAARQB4AHAAbwBuAGUAbgB0AHMALAAgACAAIAAgACAAIABTAEUAUQBVAEUATgBDAEUAKAAxACwAIABDAE8ATABVAE0ATgBTACgATABpAGEAYgBpAGwAaQB0AHkAUABhAHkAbQBlAG4AdABzACkAKQAsAFwAbgAgACAAIAAgACAAIAAgACAAUgBlAHMAdQBsAHQALAAgACAAIAAgACAAIAAgACAAIABTAFUATQAoAEwAaQBhAGIAaQBsAGkAdAB5AFAAYQB5AG0AZQBuAHQAcwAgAC8AIAAoADEAIAArACAAUgBhAHQAZQApACAAXgAgAEUAeABwAG8AbgBlAG4AdABzACk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TABlAGEAcwBlAFMAYwBoAGUAZAB1AGwAZQC7A1wAbgAgACAAIAAgAEQARQBTAEMAUgBJAFAAVABJAE8ATgA6ACoALwAvACoAKgBVAG4AdwBpAG4AZABzACAAYQBuACAAQQBBAFMAQgAgADEANgAgAGwAZQBhAHMAZQAgAGwAaQBhAGIAaQBsAGkAdAB5ADoAIABvAHAAZQBuAGkAbgBnACwAIABwAGEAeQBtAGUAbgB0ACwAIABpAG4AdABlAHIAZQBzAHQAIABhAG4AZAAgAGMAbABvAHMAaQBuAGcAIABmAG8AcgAgAGUAYQBjAGgAIABwAGUAcgBpAG8AZAAqAC8AXABuAFwAbgBMAGUAYQBzAGUAUwBjAGgAZQBkAHUAbABlALsDIAA9ACAATABBAE0AQgBEAEEAKABcAG4ALwAvACAAIABQAGEAcgBhAG0AZQB0AGUAcgAgAEQAZQBjAGwAYQByAGEAdABpAG8AbgBcAG4AIAAgACAAIABbAFAAYQB5AG0AZQBuAHQAcwBdACwAXABuACAAIAAgACAAWwBSAGEAdABlAF0ALABcAG4AIAAgACAAIABbAEkAbgBBAGQAdgBhAG4AYwBl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TABlAGEAcwBlAFMAYwBoAGUAZAB1AGwAZQC7AygAUABhAHkAbQBlAG4AdABzACwAIABSAGEAdABlACwAIABbAEkAbgBBAGQAdgBhAG4AYwBlAF0AKQC2AFwAIgAgACYAXABuACAAIAAgACAAIAAgACAAIAAgACAAIAAgACAAIAAgACAAIAAgACAAIAAgACAAIAAgACAAIAAgACAAXAAiAEQARQBTAEMAUgBJAFAAVABJAE8ATgA6ACAAIAAgAJIhVQBuAHcAaQBuAGQAcwAgAGEAbgAgAEEAQQBTAEIAIAAxADYAIABsAGUAYQBzAGUAIABsAGkAYQBiAGkAbABpAHQAeQAgAG8AdgBlAHIAIABpAHQAcwAgAHQAZQByAG0ALgC2AE4ATwBUAEUAUwAhACAAIAAgACAAIAAgACAAIAAgAJIhUgBlAHQAdQByAG4AcwAgAGYAbwB1AHIAIAByAG8AdwBzADoAIABvAHAAZQBuAGkAbgBnACAAbABpAGEAYgBpAGwAaQB0AHkALAAgAHAAYQB5AG0AZQBuAHQALAAgAGkAbgB0AGUAcgBlAHMAdAAsACAAYwBsAG8AcwBpAG4AZwC2ACAAIAAgACAAIAAgACAAIAAgACAAIAAgACAAIAAgAJIhbABpAGEAYgBpAGwAaQB0AHkALgAgAFcAaABlAG4AIABJAG4AQQBkAHYAYQBuAGMAZQAgAGkAcwAgAFQAUgBVAEUALAAgAHQAaABlACAAZgBpAHIAcwB0ACAAcwB1AHAAcABsAGkAZQBkACAAcABhAHkAbQBlAG4AdAAgAGkAcwAgAHAAYQBpAGQAtgAgACAAIAAgACAAIAAgACAAIAAgACAAIAAgACAAIACSIWEAdAAgAHQAaABlACAAbQBlAGEAcwB1AHIAZQBtAGUAbgB0ACAAZABhAHQAZQAgAGEAbgBkACAAaQBzACAAZQB4AGMAbAB1AGQAZQBkACAAZgByAG8AbQAgAGIAbwB0AGgAIAB0AGgAZQAgAG8AcABlAG4AaQBuAGcAIABsAGkAYQBiAGkAbABpAHQAeQC2ACAAIAAgACAAIAAgACAAIAAgACAAIAAgACAAIAAgAJIhYQBuAGQAIAB0AGgAZQAgAHAAYQB5AG0AZQBuAHQAIAByAG8AdwAuACAARQBhAGMAaAAgAHIAZQBtAGEAaQBuAGkAbgBnACAAcABhAHkAbQBlAG4AdAAgAGYAbwBsAGwAbwB3AHMAIABvAG4AZQAgAHAAZQByAGkAbwBkACAAbwBmALYAIAAgACAAIAAgACAAIAAgACAAIAAgACAAIAAgACAAkiFpAG4AdABlAHIAZQBzAHQALAAgAHMAbwAgAGMAbABvAHMAaQBuAGcAIABpAHMAIABvAHAAZQBuAGkAbgBnACAAcABsAHUAcwAgAGkAbgB0AGUAcgBlAHMAdAAgAGwAZQBzAHMAIABwAGEAeQBtAGUAbgB0ACAAYQBuAGQAIAB0AGgAZQAgAGwAYQBzAHQAtgAgACAAIAAgACAAIAAgACAAIAAgACAAIAAgACAAIACSIWMAbABvAHMAaQBuAGcAIABiAGEAbABhAG4AYwBlACAAaQBzACAAbgBpAGwALgAgAFQAaABlACAAcgBlAHMAdQBsAHQAIABoAGEAcwAgAG8AbgBlACAAZgBlAHcAZQByACAAYwBvAGwAdQBtAG4AIABmAG8AcgAgAHAAYQB5AG0AZQBuAHQAcwAgAGkAbgC2ACAAIAAgACAAIAAgACAAIAAgACAAIAAgACAAIAAgAJIhYQBkAHYAYQBuAGMAZQA7ACAAYQAgAHMAbwBsAGUAIABtAGUAYQBzAHUAcgBlAG0AZQBuAHQALQBkAGEAdABlACAAcABhAHkAbQBlAG4AdAAgAHIAZQB0AHUAcgBuAHMAIABvAG4AZQAgAHoAZQByAG8AIABjAG8AbAB1AG0AbgAuACAAVABoAGUAtgAgACAAIAAgACAAIAAgACAAIAAgACAAIAAgACAAIACSIW8AcABlAG4AaQBuAGcAIABiAGEAbABhAG4AYwBlACAAaQBzACAATABlAGEAcwBlAEwAaQBhAGIAaQBsAGkAdAB5ALsDKAApACAAbwBuACAAdABoAGUAIABzAGEAbQBlACAAYQByAGcAdQBtAGUAbgB0AHMALgAgAFAAYQBpAHIAIAB0AGgAaQBzALYAIAAgACAAIAAgACAAIAAgACAAIAAgACAAIAAgACAAkiF3AGkAdABoACAAUgBPAFUAUwBjAGgAZQBkAHUAbABlALsDKAApACAAZgBvAHIAIAB0AGgAZQAgAGEAcwBzAGUAdAAgAHQAaABhAHQAIABzAGkAdABzACAAbwBwAHAAbwBzAGkAdABlACAAaQB0ADoAIAB0AGgAZQAgAHQAdwBvALYAIAAgACAAIAAgACAAIAAgACAAIAAgACAAIAAgACAAkiF0AG8AZwBlAHQAaABlAHIAIABnAGkAdgBlACAAdABoAGUAIABmAHIAbwBuAHQALQBsAG8AYQBkAGUAZAAgAGUAeABwAGUAbgBzAGUAIABwAHIAbwBmAGkAbABlACAAQQBBAFMAQgAgADEANgAgAHAAcgBvAGQAdQBjAGUAcwAuALYAIAAgACAAIAAgACAAIAAgACAAIAAgACAAIAAgACAAkiFBAHIAaQB0AGgAbQBlAHQAaQBjACAAbwBuAGwAeQAsACAAbwBuACAAdABoAGUAIABwAGEAeQBtAGUAbgB0AHMAIABhAG4AZAAgAHIAYQB0AGUAIAB5AG8AdQAgAHMAdQBwAHAAbAB5AC4AtgBcACIAIAAm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0ACAAQQB1AGcAIAAyADAAMgA2ALYAXAAiACAAJgBcAG4AIAAgACAAIAAgACAAIAAgACAAIAAgACAAIAAgACAAIAAgACAAIAAgACAAIAAgACAAIAAgACAAIABcACIAUABBAFIAQQBNAEUAVABFAFIAUwA6ACAAIAAgACAAkiG2AFwAIgAgACYAXABuACAAIAAgACAAIAAgACAAIAAgACAAIAAgACAAIAAgACAAIAAgACAAIAAgACAAIAAgACAAIAAgACAAXAAiAFAAYQB5AG0AZQBuAHQAcwAgACAAIAAgACAAIAAgAJIhKABSAGUAcQB1AGkAcgBlAGQAKQAgAE8AbgBlACAAcgBvAHcAIABvAHIAIABvAG4AZQAgAGMAbwBsAHUAbQBuACAAbwBmACAAbABlAGEAcwBlACAAcABhAHkAbQBlAG4AdABzACwAIABvAG4AZQAgAHAAZQByACAAcABlAHIAaQBvAGQALAAgAGUAbgB0AGUAcgBlAGQAIABwAG8AcwBpAHQAaQB2AGUALgAgAEkAbgBjAGwAdQBkAGUAIAB0AGgAZQAgAG0AZQBhAHMAdQByAGUAbQBlAG4AdAAtAGQAYQB0AGUAIABwAGEAeQBtAGUAbgB0ACAAZgBpAHIAcwB0ACAAdwBoAGUAbgAgAEkAbgBBAGQAdgBhAG4AYwBlACAAaQBzACAAVABSAFUARQAuALYAXAAiACAAJgBcAG4AIAAgACAAIAAgACAAIAAgACAAIAAgACAAIAAgACAAIAAgACAAIAAgACAAIAAgACAAIAAgACAAIABcACIAUgBhAHQAZQAgACAAIAAgACAAIAAgACAAIAAgACAAkiEoAFIAZQBxAHUAaQByAGUAZAApACAARABpAHMAYwBvAHUAbgB0ACAAcgBhAHQAZQAgAHAAZQByACAAcABlAHIAaQBvAGQALAAgAG4AbwB0ACAAcABlAHIAIAB5AGUAYQByAC4AtgBcACIAIAAmAFwAbgAgACAAIAAgACAAIAAgACAAIAAgACAAIAAgACAAIAAgACAAIAAgACAAIAAgACAAIAAgACAAIAAgAFwAIgBJAG4AQQBkAHYAYQBuAGMAZQAgACAAIAAgACAAIACSISgATwBwAHQAaQBvAG4AYQBsADoAIABEAGUAZgBhAHUAbAB0ACAAPQAgAEYAQQBMAFMARQApACAAVABSAFUARQAgAHcAaABlAG4AIAB0AGgAZQAgAGYAaQByAHMAdAAgAHMAdQBwAHAAbABpAGUAZAAgAHAAYQB5AG0AZQBuAHQAIABpAHMAIABwAGEAaQBkACAAYQB0ACAAdABoAGUAIABtAGUAYQBzAHUAcgBlAG0AZQBuAHQAIABkAGEAdABl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TABlAGEAcwBlAFMAYwBoAGUAZAB1AGwAZQC7AygAewAxADAAMAAsADEAMAAwACwAMQAwADAAfQAsACAAMAAuADAANQApALYAXAAiACAAJgBcAG4AIAAgACAAIAAgACAAIAAgACAAIAAgACAAIAAgACAAIAAgACAAIAAgACAAIAAgACAAIAAgACAAIABcACIAkiFSAGUAcwB1AGwAdAC2AFwAIgAgACYAXABuACAAIAAgACAAIAAgACAAIAAgACAAIAAgACAAIAAgACAAIAAgACAAIAAgACAAIAAgACAAIAAgACAAXAAiAJIhMgA3ADIALgAzADIALAAgADEAOAA1AC4AOQA0ACwAIAAgADkANQAuADIANAC2AFwAIgAgACYAXABuACAAIAAgACAAIAAgACAAIAAgACAAIAAgACAAIAAgACAAIAAgACAAIAAgACAAIAAgACAAIAAgACAAXAAiAJIhMQAwADAALgAwADAALAAgADEAMAAwAC4AMAAwACwAIAAxADAAMAAuADAAMAC2AFwAIgAgACYAXABuACAAIAAgACAAIAAgACAAIAAgACAAIAAgACAAIAAgACAAIAAgACAAIAAgACAAIAAgACAAIAAgACAAXAAiAJIhIAAxADMALgA2ADIALAAgACAAIAA5AC4AMwAwACwAIAAgACAANAAuADcANgC2AFwAIgAgACYAXABuACAAIAAgACAAIAAgACAAIAAgACAAIAAgACAAIAAgACAAIAAgACAAIAAgACAAIAAgACAAIAAgACAAXAAiAJIhMQA4ADUALgA5ADQALAAgACAAOQA1AC4AMgA0ACwAIAAgACAAMAAuADAAMA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UABhAHkAbQBlAG4AdABzACkALAAgAEkAUwBPAE0ASQBUAFQARQBEACgAUgBhAHQAZQApACkALABcAG4AIAAgACAAIAAvAC8AIAAgAEEAIABiAGwAYQBuAGsAIABJAG4AQQBkAHYAYQBuAGMAZQAgAGMAZQBsAGwAIABpAHMAIABuAG8AdAAgAGEAbgAgAG8AbQBpAHQAdABlAGQAIABhAHIAZwB1AG0AZQBuAHQALAAgAHMAbwAgAHQAZQBzAHQAIABmAG8AcgAgAGIAbwB0AGgAXABuACAAIAAgACAAIAAgACAAIABBAGQAdgBhAG4AYwBlAD8ALAAgACAAIAAgACAAIAAgAEkARgAoAE8AUgAoAEkAUwBPAE0ASQBUAFQARQBEACgASQBuAEEAZAB2AGEAbgBjAGUAKQAsACAAVABSAEkATQAoAEkAbgBBAGQAdgBhAG4AYwBlACAAJgAgAFwAIgBcACIAKQA9AFwAIgBcACIAKQAsACAARgBBAEwAUwBFACwAIABJAG4AQQBkAHYAYQBuAGMAZQApACwAXABuACAAIAAgACAALwAvACAAIABPAG4AZQAgAGwAZQBhAHMAZQAgAGEAdAAgAGEAIAB0AGkAbQBlACwAIABsAGEAaQBkACAAYQBsAG8AbgBnACAAYQAgAHIAbwB3ACAAdABoAGUAIAB3AGEAeQAgAHQAaABlACAAdABpAG0AZQBsAGkAbgBlACAAaABlAGwAcABlAHIAcwAgAGUAeABwAGUAYwB0AFwAbgAgACAAIAAgACAAIAAgACAARgBsAGEAdAAsACAAIAAgACAAIAAgACAAIAAgACAAIABJAEYAKABSAE8AVwBTACgAUABhAHkAbQBlAG4AdABzACkAIAA9ACAAMQAsACAAUABhAHkAbQBlAG4AdABzACwAIABUAFIAQQBOAFMAUABPAFMARQAoAFAAYQB5AG0AZQBuAHQAcwApACkALABcAG4AIAAgACAAIAAgACAAIAAgAEkAbgBwAHUAdABDAG8AdQBuAHQALAAgACAAIAAgACAAQwBPAEwAVQBNAE4AUwAoAEYAbABhAHQAKQAsAFwAbgAgACAAIAAgACAAIAAgACAATABpAGEAYgBpAGwAaQB0AHkAUABhAHkAbQBlAG4AdABzACwAIABJAEYAKABBAE4ARAAoAEEAZAB2AGEAbgBjAGUAPwAsACAASQBuAHAAdQB0AEMAbwB1AG4AdAAgAD4AIAAxACkALABcAG4AIAAgACAAIAAgACAAIAAgACAAIAAgACAAIAAgACAAIAAgACAAIAAgACAAIAAgACAAIAAgACAAIAAgACAAIAAgAEQAUgBPAFAAKABGAGwAYQB0ACwAIAAsACAAMQApACwAXABuACAAIAAgACAAIAAgACAAIAAgACAAIAAgACAAIAAgACAAIAAgACAAIAAgACAAIAAgACAAIAAgACAAIAAgACAAIABJAEYAKABBAGQAdgBhAG4AYwBlAD8ALAAgADAALAAgAEYAbABhAHQAKQApACwAXABuACAAIAAgACAAIAAgACAAIABDAG8AdQBuAHQALAAgACAAIAAgACAAIAAgACAAIAAgAEMATwBMAFUATQBOAFMAKABMAGkAYQBiAGkAbABpAHQAeQBQAGEAeQBtAGUAbgB0AHMAKQAsAFwAbgAgACAAIAAgACAAIAAgACAATwBwAGUAbgBpAG4AZwAxACwAIAAgACAAIAAgACAAIABMAGUAYQBzAGUATABpAGEAYgBpAGwAaQB0AHkAuwMoAEYAbABhAHQALAAgAFIAYQB0AGUALAAgAEEAZAB2AGEAbgBjAGUAPwApACwAXABuACAAIAAgACAALwAvACAAIABFAHYAZQByAHkAIABwAGEAeQBtAGUAbgB0ACAAbABlAGYAdAAgAGkAbgAgAHQAaABlACAAbABpAGEAYgBpAGwAaQB0AHkAIAB2AGUAYwB0AG8AcgAgAGYAbwBsAGwAbwB3AHMAIABvAG4AZQAgAHAAZQByAGkAbwBkACAAbwBmACAAaQBuAHQAZQByAGUAcwB0AFwAbgAgACAAIAAgACAAIAAgACAAQwBsAG8AcwBpAG4AZwBzACwAIAAgACAAIAAgACAAIABTAEMAQQBOACgATwBwAGUAbgBpAG4AZwAxACwAIABMAGkAYQBiAGkAbABpAHQAeQBQAGEAeQBtAGUAbgB0AHMALAAgAEwAQQBNAEIARABBACgAQgBhAGwAYQBuAGMAZQAsACAAUABhAHkAbQBlAG4AdAAsAFwAbgAgACAAIAAgACAAIAAgACAAIAAgACAAIAAgACAAIAAgACAAIAAgACAAIAAgACAAIAAgACAAIAAgAEIAYQBsAGEAbgBjAGUAIAAqACAAKAAxACAAKwAgAFIAYQB0AGUAKQAgAC0AIABQAGEAeQBtAGUAbgB0ACkAKQAsAFwAbgAgACAAIAAgAC8ALwAgACAARQBhAGMAaAAgAG8AcABlAG4AaQBuAGcAIABpAHMAIAB0AGgAZQAgAGMAbABvAHMAaQBuAGcAIABiAGUAZgBvAHIAZQAgAGkAdAAuACAAQQAgAG8AbgBlAC0AcABlAHIAaQBvAGQAIABsAGUAYQBzAGUAIABoAGEAcwAgAG4AbwAgAGMAbABvAHMAaQBuAGcAIAB0AG8AIABzAGgAaQBmAHQALgBcAG4AIAAgACAAIAAgACAAIAAgAE8AcABlAG4AaQBuAGcAcwAsACAAIAAgACAAIAAgACAASQBGACgAQwBvAHUAbgB0ACAAPQAgADEALAAgAE8AcABlAG4AaQBuAGcAMQAsACAASABTAFQAQQBDAEsAKABPAHAAZQBuAGkAbgBnADEALAAgAEQAUgBPAFAAKABDAGwAbwBzAGkAbgBnAHMALAAgACwAIAAtADEAKQApACkALABcAG4AIAAgACAAIAAgACAAIAAgAEkAbgB0AGUAcgBlAHMAdAAsACAAIAAgACAAIAAgACAATwBwAGUAbgBpAG4AZwBzACAAKgAgAFIAYQB0AGUALABcAG4AIAAgACAAIAAgACAAIAAgAFIAZQBzAHUAbAB0ACwAIAAgACAAIAAgACAAIAAgACAAVgBTAFQAQQBDAEsAKABPAHAAZQBuAGkAbgBnAHMALAAgAEwAaQBhAGIAaQBsAGkAdAB5AFAAYQB5AG0AZQBuAHQAcwAsACAASQBuAHQAZQByAGUAcwB0ACwAIABDAGwAbwBzAGkAbgBnAHMAKQ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MAGUAYQBzAGUAUgBlAG0AZQBhAHMAdQByAGUAuwNcAG4AIAAgACAAIABEAEUAUwBDAFIASQBQAFQASQBPAE4AOgAqAC8ALwAqACoAUgBlAG0AZQBhAHMAdQByAGUAcwAgAGEAbgAgAEEAQQBTAEIAIAAxADYAIABsAGUAYQBzAGUAIABsAGkAYQBiAGkAbABpAHQAeQAgAGYAbwByACAAcgBlAHYAaQBzAGUAZAAgAHAAYQB5AG0AZQBuAHQAcwAgAGEAbgBkACAAYQBkAGoAdQBzAHQAcwAgAHQAaABlACAAcgBpAGcAaAB0AC0AbwBmAC0AdQBzAGUAIABhAHMAcwBlAHQAKgAvAFwAbgBcAG4ATABlAGEAcwBlAFIAZQBtAGUAYQBzAHUAcgBlALsDIAA9ACAATABBAE0AQgBEAEEAKABcAG4ALwAvACAAIABQAGEAcgBhAG0AZQB0AGUAcgAgAEQAZQBjAGwAYQByAGEAdABpAG8AbgBcAG4AIAAgACAAIABbAFIAZQB2AGkAcwBlAGQAUABhAHkAbQBlAG4AdABzAF0ALABcAG4AIAAgACAAIABbAFIAYQB0AGUAXQAsAFwAbgAgACAAIAAgAFsAQwBhAHIAcgB5AGkAbgBnAEwAaQBhAGIAaQBsAGkAdAB5AF0ALABcAG4AIAAgACAAIABbAEMAYQByAHIAeQBpAG4AZwBSAE8AVQBdACwAXABuACAAIAAgACAAWwBJAG4AQQBkAHYAYQBuAGMAZQ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wAZQBhAHMAZQBSAGUAbQBlAGEAcwB1AHIAZQC7AygAUgBlAHYAaQBzAGUAZABQAGEAeQBtAGUAbgB0AHMALAAgAFIAYQB0AGUALAAgAEMAYQByAHIAeQBpAG4AZwBMAGkAYQBiAGkAbABpAHQAeQAsACAAQwBhAHIAcgB5AGkAbgBnAFIATwBVACwAIABbAEkAbgBBAGQAdgBhAG4AYwBlAF0AKQC2AFwAIgAgACYAXABuACAAIAAgACAAIAAgACAAIAAgACAAIAAgACAAIAAgACAAIAAgACAAIAAgACAAIAAgACAAIAAgACAAXAAiAEQARQBTAEMAUgBJAFAAVABJAE8ATgA6ACAAIAAgAJIhUgBlAG0AZQBhAHMAdQByAGUAcwAgAGEAIABsAGUAYQBzAGUAIABsAGkAYQBiAGkAbABpAHQAeQAgAGYAbwByACAAcgBlAHYAaQBzAGUAZAAgAHAAYQB5AG0AZQBuAHQAcwAgAGEAbgBkACAAYQBkAGoAdQBzAHQAcwAgAHQAaABlACAAYQBzAHMAZQB0AC4AtgBOAE8AVABFAFMAIQAgACAAIAAgACAAIAAgACAAIACSIVIAZQB0AHUAcgBuAHMAIABmAG8AdQByACAAcgBvAHcAcwA6ACAAcgBlAHYAaQBzAGUAZAAgAGwAZQBhAHMAZQAgAGwAaQBhAGIAaQBsAGkAdAB5ACwAIABhAGQAagB1AHMAdABtAGUAbgB0ACwAIAByAGUAdgBpAHMAZQBkALYAIAAgACAAIAAgACAAIAAgACAAIAAgACAAIAAgACAAkiFyAGkAZwBoAHQALQBvAGYALQB1AHMAZQAgAGEAcwBzAGUAdAAsACAAYQBtAG8AdQBuAHQAIAByAGUAYwBvAGcAbgBpAHMAZQBkACAAaQBuACAAcAByAG8AZgBpAHQAIABvAHIAIABsAG8AcwBzAC4AIABBAEEAUwBCACAAMQA2ALYAIAAgACAAIAAgACAAIAAgACAAIAAgACAAIAAgACAAkiFwAGEAcgBhAGcAcgBhAHAAaAAgADQAMgAoAGIAKQAgAHIAZQBtAGUAYQBzAHUAcgBlAHMAIAB0AGgAZQAgAGwAaQBhAGIAaQBsAGkAdAB5ACAAdwBoAGUAcgBlACAAZgB1AHQAdQByAGUAIABwAGEAeQBtAGUAbgB0AHMAIABjAGgAYQBuAGcAZQC2ACAAIAAgACAAIAAgACAAIAAgACAAIAAgACAAIAAgAJIhYgBlAGMAYQB1AHMAZQAgAGEAbgAgAGkAbgBkAGUAeAAgAG8AcgAgAGEAIAByAGEAdABlACAAdQBzAGUAZAAgAHQAbwAgAGQAZQB0AGUAcgBtAGkAbgBlACAAdABoAGUAbQAgAGgAYQBzACAAYwBoAGEAbgBnAGUAZAAsACAAYQBuAGQAtgAgACAAIAAgACAAIAAgACAAIAAgACAAIAAgACAAIACSIW8AbgBsAHkAIAB3AGgAZQBuACAAdABoAGUAIABjAGEAcwBoACAAZgBsAG8AdwBzACAAYwBoAGEAbgBnAGUALgAgAFAAYQByAGEAZwByAGEAcABoACAANAAzACAAawBlAGUAcABzACAAdABoAGUAIABkAGkAcwBjAG8AdQBuAHQAIAByAGEAdABlALYAIAAgACAAIAAgACAAIAAgACAAIAAgACAAIAAgACAAkiF1AG4AYwBoAGEAbgBnAGUAZAAgAGYAbwByACAAdABoAGEAdAAgAHIAZQB2AGkAcwBpAG8AbgAsACAAYQBuAGQAIAB1AHMAZQBzACAAYQAgAHIAZQB2AGkAcwBlAGQAIAByAGEAdABlACAAbwBuAGwAeQAgAHcAaABlAHIAZQAgAHQAaABlALYAIAAgACAAIAAgACAAIAAgACAAIAAgACAAIAAgACAAkiFjAGgAYQBuAGcAZQAgAGEAcgBpAHMAZQBzACAAZgByAG8AbQAgAGEAIABmAGwAbwBhAHQAaQBuAGcAIABpAG4AdABlAHIAZQBzAHQAIAByAGEAdABlACwAIABzAG8AIABwAGEAcwBzACAAdABoAGUAIABvAHIAaQBnAGkAbgBhAGwAIAByAGEAdABlALYAIAAgACAAIAAgACAAIAAgACAAIAAgACAAIAAgACAAkiF1AG4AbABlAHMAcwAgAGkAdAAgAGkAcwAgAHQAaABlACAAcgBhAHQAZQAgAGkAdABzAGUAbABmACAAdABoAGEAdAAgAG0AbwB2AGUAZAAuACAAVwBoAGUAbgAgAEkAbgBBAGQAdgBhAG4AYwBlACAAaQBzACAAVABSAFUARQAsACAAdABoAGUAtgAgACAAIAAgACAAIAAgACAAIAAgACAAIAAgACAAIACSIWYAaQByAHMAdAAgAHIAZQB2AGkAcwBlAGQAIABwAGEAeQBtAGUAbgB0ACAAaQBzACAAcABhAGkAZAAgAGEAdAAgAHQAaABlACAAcgBlAG0AZQBhAHMAdQByAGUAbQBlAG4AdAAgAGQAYQB0AGUAIABhAG4AZAAgAGUAeABjAGwAdQBkAGUAZAC2ACAAIAAgACAAIAAgACAAIAAgACAAIAAgACAAIAAgAJIhZgByAG8AbQAgAHQAaABlACAAcgBlAHYAaQBzAGUAZAAgAGwAaQBhAGIAaQBsAGkAdAB5AC4AIABQAGEAcgBhAGcAcgBhAHAAaAAgADMAOQAgAHQAYQBrAGUAcwAgAHQAaABlACAAcgBlAG0AZQBhAHMAdQByAGUAbQBlAG4AdAAgAHQAbwAgAHQAaABlALYAIAAgACAAIAAgACAAIAAgACAAIAAgACAAIAAgACAAkiFyAGkAZwBoAHQALQBvAGYALQB1AHMAZQAgAGEAcwBzAGUAdAAsACAAYQBuAGQAIAB3AGgAZQByAGUAIAB0AGgAYQB0ACAAYQBzAHMAZQB0ACAAaQBzACAAcgBlAGQAdQBjAGUAZAAgAHQAbwAgAG4AaQBsACAAYQBuAHkAIABmAHUAcgB0AGgAZQByALYAIAAgACAAIAAgACAAIAAgACAAIAAgACAAIAAgACAAkiFyAGUAZAB1AGMAdABpAG8AbgAgAGcAbwBlAHMAIAB0AG8AIABwAHIAbwBmAGkAdAAgAG8AcgAgAGwAbwBzAHMAOgAgAHIAbwB3ACAAZgBvAHUAcgAgAGMAYQByAHIAaQBlAHMAIAB0AGgAYQB0ACAAcgBlAG0AYQBpAG4AZABlAHIALAC2ACAAIAAgACAAIAAgACAAIAAgACAAIAAgACAAIAAgAJIhbgBlAGcAYQB0AGkAdgBlACwAIABiAGUAYwBhAHUAcwBlACAAaQB0ACAAaQBzACAAYQAgAGMAcgBlAGQAaQB0AC4AIABBAHIAaQB0AGgAbQBlAHQAaQBjACAAbwBuAGwAeQAuALYAIAAgACAAIAAgACAAIAAgACAAIAAgACAAIAAgACAAkiFBAEEAUwBCACAAMQA2ACAAYwBvAG0AcABpAGwAYQB0AGkAbwBuACAAYwBoAGUAYwBrAGUAZAAgADIANAAgAEEAdQBnAHUAcwB0ACAAMgAwADIANg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NAAgAEEAdQBnACAAMgAwADIANgC2AFwAIgAgACYAXABuACAAIAAgACAAIAAgACAAIAAgACAAIAAgACAAIAAgACAAIAAgACAAIAAgACAAIAAgACAAIAAgACAAXAAiAFAAQQBSAEEATQBFAFQARQBSAFMAOgAgACAAIAAgAJIhtgBcACIAIAAmAFwAbgAgACAAIAAgACAAIAAgACAAIAAgACAAIAAgACAAIAAgACAAIAAgACAAIAAgACAAIAAgACAAIAAgAFwAIgBSAGUAdgBpAHMAZQBkAFAAYQB5AG0AZQBuAHQAcwCSISgAUgBlAHEAdQBpAHIAZQBkACkAIABSAGUAdgBpAHMAZQBkACAAbABlAGEAcwBlACAAcABhAHkAbQBlAG4AdABzACAAZgBvAHIAIAB0AGgAZQAgAHIAZQBtAGEAaQBuAGkAbgBnACAAdABlAHIAbQAsACAAbwBuAGUAIABwAGUAcgAgAHAAZQByAGkAbwBkACwAIABwAG8AcwBpAHQAaQB2AGUALgAgAEkAbgBjAGwAdQBkAGUAIABhACAAcABhAHkAbQBlAG4AdAAgAG0AYQBkAGUAIABhAHQAIAB0AGgAZQAgAHIAZQBtAGUAYQBzAHUAcgBlAG0AZQBuAHQAIABkAGEAdABlACAAZgBpAHIAcwB0ACAAdwBoAGUAbgAgAEkAbgBBAGQAdgBhAG4AYwBlACAAaQBzACAAVABSAFUARQAuALYAXAAiACAAJgBcAG4AIAAgACAAIAAgACAAIAAgACAAIAAgACAAIAAgACAAIAAgACAAIAAgACAAIAAgACAAIAAgACAAIABcACIAUgBhAHQAZQAgACAAIAAgACAAIAAgACAAIAAgACAAkiEoAFIAZQBxAHUAaQByAGUAZAApACAARABpAHMAYwBvAHUAbgB0ACAAcgBhAHQAZQAgAHAAZQByACAAcABlAHIAaQBvAGQALgAgAFUAbgBjAGgAYQBuAGcAZQBkACwAIAB1AG4AbABlAHMAcwAgAGEAIABmAGwAbwBhAHQAaQBuAGcAIAByAGEAdABlACAAbQBvAHYAZQBkAC4AtgBcACIAIAAmAFwAbgAgACAAIAAgACAAIAAgACAAIAAgACAAIAAgACAAIAAgACAAIAAgACAAIAAgACAAIAAgACAAIAAgAFwAIgBDAGEAcgByAHkAaQBuAGcATABpAGEAYgBpAGwAaQB0AHkAkiEoAFIAZQBxAHUAaQByAGUAZAApACAATABlAGEAcwBlACAAbABpAGEAYgBpAGwAaQB0AHkAIABiAGUAZgBvAHIAZQAgAHIAZQBtAGUAYQBzAHUAcgBlAG0AZQBuAHQAIABhAG4AZAAgAGIAZQBmAG8AcgBlACAAYQBuAHkAIABwAGEAeQBtAGUAbgB0ACAAZAB1AGUAIAB0AGgAYQB0ACAAZABhAHkALgAgAEQAbwAgAG4AbwB0ACAAZABlAGQAdQBjAHQAIAB0AGgAZQAgAGYAaQByAHMAdAAgAHIAZQB2AGkAcwBlAGQAIABwAGEAeQBtAGUAbgB0AC4AtgBcACIAIAAmAFwAbgAgACAAIAAgACAAIAAgACAAIAAgACAAIAAgACAAIAAgACAAIAAgACAAIAAgACAAIAAgACAAIAAgAFwAIgBDAGEAcgByAHkAaQBuAGcAUgBPAFUAIAAgACAAIACSISgAUgBlAHEAdQBpAHIAZQBkACkAIABSAGkAZwBoAHQALQBvAGYALQB1AHMAZQAgAGEAcwBzAGUAdAAgAGMAYQByAHIAaQBlAGQAIABpAG0AbQBlAGQAaQBhAHQAZQBsAHkAIABiAGUAZgBvAHIAZQAgAHQAaABlACAAcgBlAG0AZQBhAHMAdQByAGUAbQBlAG4AdAAuALYAXAAiACAAJgBcAG4AIAAgACAAIAAgACAAIAAgACAAIAAgACAAIAAgACAAIAAgACAAIAAgACAAIAAgACAAIAAgACAAIABcACIASQBuAEEAZAB2AGEAbgBjAGUAIAAgACAAIAAgACAAkiEoAE8AcAB0AGkAbwBuAGEAbAA6ACAARABlAGYAYQB1AGwAdAAgAD0AIABGAEEATABTAEUAKQAgAFQAUgBVAEUAIAB3AGgAZQBuACAAdABoAGUAIABmAGkAcgBzAHQAIAByAGUAdgBpAHMAZQBkACAAcABhAHkAbQBlAG4AdAAgAGkAcwAgAHAAYQBpAGQAIABhAHQAIAB0AGgAZQAgAHIAZQBtAGUAYQBzAHUAcgBlAG0AZQBuAHQAIABkAGEAdABl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TABlAGEAcwBlAFIAZQBtAGUAYQBzAHUAcgBlALsDKAB7ADEAMQAwACwAMQAxADAAfQAsACAAMAAuADAANQAsACAAMQA4ADUALgA5ADQALAAgADEAOAAxAC4ANQA1ACkAtgBcACIAIAAmAFwAbgAgACAAIAAgACAAIAAgACAAIAAgACAAIAAgACAAIAAgACAAIAAgACAAIAAgACAAIAAgACAAIAAgAFwAIgCSIVIAZQBzAHUAbAB0ALYAXAAiACAAJgBcAG4AIAAgACAAIAAgACAAIAAgACAAIAAgACAAIAAgACAAIAAgACAAIAAgACAAIAAgACAAIAAgACAAIABcACIAkiEyADAANAAuADUANAC2AFwAIgAgACYAXABuACAAIAAgACAAIAAgACAAIAAgACAAIAAgACAAIAAgACAAIAAgACAAIAAgACAAIAAgACAAIAAgACAAXAAiAJIhIAAxADgALgA2ADAAtgBcACIAIAAmAFwAbgAgACAAIAAgACAAIAAgACAAIAAgACAAIAAgACAAIAAgACAAIAAgACAAIAAgACAAIAAgACAAIAAgAFwAIgCSITIAMAAwAC4AMQA1ALYAXAAiACAAJgBcAG4AIAAgACAAIAAgACAAIAAgACAAIAAgACAAIAAgACAAIAAgACAAIAAgACAAIAAgACAAIAAgACAAIABcACIAkiEgACAAMAAuADAAMA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UgBlAHYAaQBzAGUAZABQAGEAeQBtAGUAbgB0AHMAKQAsACAASQBTAE8ATQBJAFQAVABFAEQAKABSAGEAdABlACkALABcAG4AIAAgACAAIAAgACAAIAAgACAAIAAgACAAIAAgACAAIAAgACAAIAAgACAAIAAgACAAIAAgACAAIABJAFMATwBNAEkAVABUAEUARAAoAEMAYQByAHIAeQBpAG4AZwBMAGkAYQBiAGkAbABpAHQAeQApACwAIABJAFMATwBNAEkAVABUAEUARAAoAEMAYQByAHIAeQBpAG4AZwBSAE8AVQApACkALABcAG4AIAAgACAAIAAvAC8AIAAgAEEAIABiAGwAYQBuAGsAIABJAG4AQQBkAHYAYQBuAGMAZQAgAGMAZQBsAGwAIABpAHMAIABuAG8AdAAgAGEAbgAgAG8AbQBpAHQAdABlAGQAIABhAHIAZwB1AG0AZQBuAHQALAAgAHMAbwAgAHQAZQBzAHQAIABmAG8AcgAgAGIAbwB0AGgAXABuACAAIAAgACAAIAAgACAAIABBAGQAdgBhAG4AYwBlAD8ALAAgACAAIAAgACAAIAAgAEkARgAoAE8AUgAoAEkAUwBPAE0ASQBUAFQARQBEACgASQBuAEEAZAB2AGEAbgBjAGUAKQAsACAAVABSAEkATQAoAEkAbgBBAGQAdgBhAG4AYwBlACAAJgAgAFwAIgBcACIAKQA9AFwAIgBcACIAKQAsACAARgBBAEwAUwBFACwAIABJAG4AQQBkAHYAYQBuAGMAZQApACwAXABuACAAIAAgACAAIAAgACAAIABSAGUAdgBpAHMAZQBkACwAIAAgACAAIAAgACAAIAAgAEwAZQBhAHMAZQBMAGkAYQBiAGkAbABpAHQAeQC7AygAUgBlAHYAaQBzAGUAZABQAGEAeQBtAGUAbgB0AHMALAAgAFIAYQB0AGUALAAgAEEAZAB2AGEAbgBjAGUAPwApACwAXABuACAAIAAgACAALwAvACAAIABDAG8AbQBwAGEAcgBlACAAbABpAGEAYgBpAGwAaQB0AGkAZQBzACAAYgBlAGYAbwByAGUAIAB0AGgAZQAgAHAAYQB5AG0AZQBuAHQAIABhAHQAIAB0AGgAZQAgAHIAZQBtAGUAYQBzAHUAcgBlAG0AZQBuAHQAIABkAGEAdABlAFwAbgAgACAAIAAgACAAIAAgACAAUABhAGkAZABOAG8AdwAsACAAIAAgACAAIAAgACAAIABJAEYAKABBAGQAdgBhAG4AYwBlAD8ALAAgAEkATgBEAEUAWAAoAFIAZQB2AGkAcwBlAGQAUABhAHkAbQBlAG4AdABzACwAIAAxACwAIAAxACkALAAgADAAKQAsAFwAbgAgACAAIAAgACAAIAAgACAAQQBkAGoAdQBzAHQAbQBlAG4AdAAsACAAIAAgACAAIABSAGUAdgBpAHMAZQBkACAAKwAgAFAAYQBpAGQATgBvAHcAIAAtACAAQwBhAHIAcgB5AGkAbgBnAEwAaQBhAGIAaQBsAGkAdAB5ACwAXABuACAAIAAgACAALwAvACAAIABUAGgAZQAgAGEAcwBzAGUAdAAgAGEAYgBzAG8AcgBiAHMAIAB0AGgAZQAgAGEAZABqAHUAcwB0AG0AZQBuAHQAIAB1AG4AdABpAGwAIABpAHQAIABpAHMAIABlAHgAaABhAHUAcwB0AGUAZAAsACAAYQBuAGQAIABuAG8AIABmAHUAcgB0AGgAZQByAFwAbgAgACAAIAAgACAAIAAgACAAUgBhAHcAQQBzAHMAZQB0ACwAIAAgACAAIAAgACAAIABDAGEAcgByAHkAaQBuAGcAUgBPAFUAIAArACAAQQBkAGoAdQBzAHQAbQBlAG4AdAAsAFwAbgAgACAAIAAgACAAIAAgACAAUgBlAHMAdQBsAHQALAAgACAAIAAgACAAIAAgACAAIABWAFMAVABBAEMASwAoAFIAZQB2AGkAcwBlAGQALAAgAEEAZABqAHUAcwB0AG0AZQBuAHQALAAgAE0AQQBYACgAUgBhAHcAQQBzAHMAZQB0ACwAIAAwACkALAAgAE0ASQBOACgAUgBhAHcAQQBzAHMAZQB0ACwAIAAwACkAKQ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SAE8AVQBTAGMAaABlAGQAdQBsAGUAuwNcAG4AIAAgACAAIABEAEUAUwBDAFIASQBQAFQASQBPAE4AOgAqAC8ALwAqACoAUwB0AHIAYQBpAGcAaAB0AC0AbABpAG4AZQAgAHIAaQBnAGgAdAAtAG8AZgAtAHUAcwBlACAAYQBzAHMAZQB0ACAAcwBjAGgAZQBkAHUAbABlADoAIABvAHAAZQBuAGkAbgBnACwAIABkAGUAcAByAGUAYwBpAGEAdABpAG8AbgAgAGEAbgBkACAAYwBsAG8AcwBpAG4AZwAgAGYAbwByACAAZQBhAGMAaAAgAHAAZQByAGkAbwBkACoALwBcAG4AXABuAFIATwBVAFMAYwBoAGUAZAB1AGwAZQC7AyAAPQAgAEwAQQBNAEIARABBACgAXABuAC8ALwAgACAAUABhAHIAYQBtAGUAdABlAHIAIABEAGUAYwBsAGEAcgBhAHQAaQBvAG4AXABuACAAIAAgACAAWwBDAG8AcwB0AF0ALABcAG4AIAAgACAAIABbAFAAZQByAGkAbwBk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SAE8AVQBTAGMAaABlAGQAdQBsAGUAuwMoAEMAbwBzAHQALAAgAFAAZQByAGkAbwBkAHMAKQC2AFwAIgAgACYAXABuACAAIAAgACAAIAAgACAAIAAgACAAIAAgACAAIAAgACAAIAAgACAAIAAgACAAIAAgACAAIAAgACAAXAAiAEQARQBTAEMAUgBJAFAAVABJAE8ATgA6ACAAIAAgAJIhRABlAHAAcgBlAGMAaQBhAHQAZQBzACAAYQAgAHIAaQBnAGgAdAAtAG8AZgAtAHUAcwBlACAAYQBzAHMAZQB0ACAAaQBuACAAYQAgAHMAdAByAGEAaQBnAGgAdAAgAGwAaQBuAGUAIABvAHYAZQByACAAdABoAGUAIABsAGUAYQBzAGUAIAB0AGUAcgBtAC4AtgBOAE8AVABFAFMAIQAgACAAIAAgACAAIAAgACAAIACSIVIAZQB0AHUAcgBuAHMAIAB0AGgAcgBlAGUAIAByAG8AdwBzADoAIABvAHAAZQBuAGkAbgBnACAAYwBhAHIAcgB5AGkAbgBnACAAYQBtAG8AdQBuAHQALAAgAGQAZQBwAHIAZQBjAGkAYQB0AGkAbwBuACwAIABjAGwAbwBzAGkAbgBnALYAIAAgACAAIAAgACAAIAAgACAAIAAgACAAIAAgACAAkiFjAGEAcgByAHkAaQBuAGcAIABhAG0AbwB1AG4AdAAuACAAQQBBAFMAQgAgADEANgAgAHAAYQByAGEAZwByAGEAcABoACAAMgA0ACAAbQBlAGEAcwB1AHIAZQBzACAAdABoAGUAIABhAHMAcwBlAHQAIABhAHQAIABjAG8AcwB0ACwAtgAgACAAIAAgACAAIAAgACAAIAAgACAAIAAgACAAIACSIWMAbwBtAHAAcgBpAHMAaQBuAGcAIAB0AGgAZQAgAGkAbgBpAHQAaQBhAGwAIABsAGUAYQBzAGUAIABsAGkAYQBiAGkAbABpAHQAeQAsACAAbABlAGEAcwBlACAAcABhAHkAbQBlAG4AdABzACAAbQBhAGQAZQAgAGEAdAAgAG8AcgC2ACAAIAAgACAAIAAgACAAIAAgACAAIAAgACAAIAAgAJIhYgBlAGYAbwByAGUAIAB0AGgAZQAgAGMAbwBtAG0AZQBuAGMAZQBtAGUAbgB0ACAAZABhAHQAZQAgAGwAZQBzAHMAIABpAG4AYwBlAG4AdABpAHYAZQBzACAAcgBlAGMAZQBpAHYAZQBkACwAIABpAG4AaQB0AGkAYQBsACAAZABpAHIAZQBjAHQAtgAgACAAIAAgACAAIAAgACAAIAAgACAAIAAgACAAIACSIWMAbwBzAHQAcwAsACAAYQBuAGQAIABhAG4AIABlAHMAdABpAG0AYQB0AGUAIABvAGYAIABkAGkAcwBtAGEAbgB0AGwAaQBuAGcAIABhAG4AZAAgAHIAZQBzAHQAbwByAGEAdABpAG8AbgAgAGMAbwBzAHQAcwAuACAAQQBkAGQAIAB0AGgAbwBzAGUAtgAgACAAIAAgACAAIAAgACAAIAAgACAAIAAgACAAIACSIXUAcAAgAHkAbwB1AHIAcwBlAGwAZgAgAGEAbgBkACAAcABhAHMAcwAgAHQAaABlACAAdABvAHQAYQBsACAAYQBzACAAQwBvAHMAdAAuACAARABlAHAAcgBlAGMAaQBhAHQAZQAgAG8AdgBlAHIAIAB0AGgAZQAgAGwAZQBhAHMAZQAgAHQAZQByAG0AtgAgACAAIAAgACAAIAAgACAAIAAgACAAIAAgACAAIACSIXcAaABlAHIAZQAgAG8AdwBuAGUAcgBzAGgAaQBwACAAZABvAGUAcwAgAG4AbwB0ACAAdAByAGEAbgBzAGYAZQByACwAIABhAG4AZAAgAG8AdgBlAHIAIAB0AGgAZQAgAHUAcwBlAGYAdQBsACAAbABpAGYAZQAgAHcAaABlAHIAZQAgAGkAdAC2ACAAIAAgACAAIAAgACAAIAAgACAAIAAgACAAIAAgAJIhZABvAGUAcwAuACAAQwBvAHMAdAAgAGEAbgBkACAAUABlAHIAaQBvAGQAcwAgAGEAcgBlACAAcwBpAG4AZwBsAGUAIAB2AGEAbAB1AGUAcwAsACAAbgBvAHQAIABhAHIAcgBhAHkAcwAuACAAQQByAGkAdABoAG0AZQB0AGkAYwAgAG8AbgBsAHkALgC2ACAAIAAgACAAIAAgACAAIAAgACAAIAAgACAAIAAgAJIhQQBBAFMAQgAgADEANgAgAGMAbwBtAHAAaQBsAGEAdABpAG8AbgAgAGMAaABlAGMAawBlAGQAIAAyADQAIABBAHUAZwB1AHMAdAAgADIAMAAyADY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QAIABBAHUAZwAgADIAMAAyADYAtgBcACIAIAAmAFwAbgAgACAAIAAgACAAIAAgACAAIAAgACAAIAAgACAAIAAgACAAIAAgACAAIAAgACAAIAAgACAAIAAgAFwAIgBQAEEAUgBBAE0ARQBUAEUAUgBTADoAIAAgACAAIACSIbYAXAAiACAAJgBcAG4AIAAgACAAIAAgACAAIAAgACAAIAAgACAAIAAgACAAIAAgACAAIAAgACAAIAAgACAAIAAgACAAIABcACIAQwBvAHMAdAAgACAAIAAgACAAIAAgACAAIAAgACAAkiEoAFIAZQBxAHUAaQByAGUAZAApACAASQBuAGkAdABpAGEAbAAgAGMAYQByAHIAeQBpAG4AZwAgAGEAbQBvAHUAbgB0ACAAbwBmACAAdABoAGUAIAByAGkAZwBoAHQALQBvAGYALQB1AHMAZQAgAGEAcwBzAGUAdAAuALYAXAAiACAAJgBcAG4AIAAgACAAIAAgACAAIAAgACAAIAAgACAAIAAgACAAIAAgACAAIAAgACAAIAAgACAAIAAgACAAIABcACIAUABlAHIAaQBvAGQAcwAgACAAIAAgACAAIAAgACAAkiEoAFIAZQBxAHUAaQByAGUAZAApACAATgB1AG0AYgBlAHIAIABvAGYAIABwAGUAcgBpAG8AZABzACAAdABvACAAZABlAHAAcgBlAGMAaQBhAHQAZQAgAG8AdgBlAHIALAAgAGEAdAAgAGwAZQBhAHMAdAAgADE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SAE8AVQBTAGMAaABlAGQAdQBsAGUAuwMoADMAMAAwACwAIAAzACkAtgBcACIAIAAmAFwAbgAgACAAIAAgACAAIAAgACAAIAAgACAAIAAgACAAIAAgACAAIAAgACAAIAAgACAAIAAgACAAIAAgAFwAIgCSIVIAZQBzAHUAbAB0ALYAXAAiACAAJgBcAG4AIAAgACAAIAAgACAAIAAgACAAIAAgACAAIAAgACAAIAAgACAAIAAgACAAIAAgACAAIAAgACAAIABcACIAkiEzADAAMAAsACAAMgAwADAALAAgADEAMAAwALYAXAAiACAAJgBcAG4AIAAgACAAIAAgACAAIAAgACAAIAAgACAAIAAgACAAIAAgACAAIAAgACAAIAAgACAAIAAgACAAIABcACIAkiExADAAMAAsACAAMQAwADAALAAgADEAMAAwALYAXAAiACAAJgBcAG4AIAAgACAAIAAgACAAIAAgACAAIAAgACAAIAAgACAAIAAgACAAIAAgACAAIAAgACAAIAAgACAAIABcACIAkiEyADAAMAAsACAAMQAwADAALAAgACAAIA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DAG8AcwB0ACkALAAgAEkAUwBPAE0ASQBUAFQARQBEACgAUABlAHIAaQBvAGQAcwApACkALABcAG4AIAAgACAAIAAvAC8AIAAgAFIAZQBmAHUAcwBlACAAcgBhAHQAaABlAHIAIAB0AGgAYQBuACAAYgB1AGkAbABkACAAYQAgAHMAYwBoAGUAZAB1AGwAZQAgAGYAcgBvAG0AIABhAG4AIABhAHIAZwB1AG0AZQBuAHQAIAB0AGgAYQB0ACAAYwBhAG4AbgBvAHQAIABtAGEAawBlACAAbwBuAGUAXABuACAAIAAgACAAIAAgACAAIABWAGEAbABpAGQAPwAsACAAIAAgACAAIAAgACAAIAAgAEEATgBEACgASQBTAE4AVQBNAEIARQBSACgAQwBvAHMAdAApACwAIABJAFMATgBVAE0AQgBFAFIAKABQAGUAcgBpAG8AZABzACkALAAgAFAAZQByAGkAbwBkAHMAIAA+AD0AIAAxACkALABcAG4AIAAgACAAIAAgACAAIAAgAEMAbwB1AG4AdAAsACAAIAAgACAAIAAgACAAIAAgACAASQBGACgAVgBhAGwAaQBkAD8ALAAgAEkATgBUACgAUABlAHIAaQBvAGQAcwApACwAIAAxACkALABcAG4AIAAgACAAIAAgACAAIAAgAEMAaABhAHIAZwBlACwAIAAgACAAIAAgACAAIAAgACAASQBGACgAVgBhAGwAaQBkAD8ALAAgAEMAbwBzAHQAIAAvACAAQwBvAHUAbgB0ACwAIAAwACkALABcAG4AIAAgACAAIAAgACAAIAAgAEkAbgBkAGUAeAAsACAAIAAgACAAIAAgACAAIAAgACAAUwBFAFEAVQBFAE4AQwBFACgAMQAsACAAQwBvAHUAbgB0ACkALABcAG4AIAAgACAAIAAgACAAIAAgAFIAZQBzAHUAbAB0ACwAIAAgACAAIAAgACAAIAAgACAASQBGACgAVgBhAGwAaQBkAD8ALABcAG4AIAAgACAAIAAgACAAIAAgACAAIAAgACAAIAAgACAAIAAgACAAIAAgACAAIAAgACAAIAAgACAAIABWAFMAVABBAEMASwAoAFwAbgAgACAAIAAgACAAIAAgACAAIAAgACAAIAAgACAAIAAgACAAIAAgACAAIAAgACAAIAAgACAAIAAgACAAIAAgACAAQwBvAHMAdAAgAC0AIABDAGgAYQByAGcAZQAgACoAIAAoAEkAbgBkAGUAeAAgAC0AIAAxACkALABcAG4AIAAgACAAIAAgACAAIAAgACAAIAAgACAAIAAgACAAIAAgACAAIAAgACAAIAAgACAAIAAgACAAIAAgACAAIAAgAFMARQBRAFUARQBOAEMARQAoADEALAAgAEMAbwB1AG4AdAAsACAAQwBoAGEAcgBnAGUALAAgADAAKQAsAFwAbgAgACAAIAAgACAAIAAgACAAIAAgACAAIAAgACAAIAAgACAAIAAgACAAIAAgACAAIAAgACAAIAAgACAAIAAgACAAQwBvAHMAdAAgAC0AIABDAGgAYQByAGcAZQAgACoAIABJAG4AZABlAHgAKQAsAFwAbgAgACAAIAAgACAAIAAgACAAIAAgACAAIAAgACAAIAAgACAAIAAgACAAIAAgACAAIAAgACAAIAAgAFwAIgBSAE8AVQBTAGMAaABlAGQAdQBsAGUAuwMgAG4AZQBlAGQAcwAgAGEAIABuAHUAbQBlAHIAaQBjACAAQwBvAHMAdAAgAGEAbgBkACAAUABlAHIAaQBvAGQAcwAgAG8AZgAgAGEAdAAgAGwAZQBhAHMAdAAgADEAXAAiACkAL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FYAYQByAGkAYQBuAGMAZQC7A1wAbgAgACAAIAAgAEQARQBTAEMAUgBJAFAAVABJAE8ATgA6ACoALwAvACoAKgBBAGMAdAB1AGEAbAAgAGwAZQBzAHMAIABiAHUAZABnAGUAdAAsACAAcwBpAGcAbgBlAGQAIABzAG8AIABhACAAZgBhAHYAbwB1AHIAYQBiAGwAZQAgAHYAYQByAGkAYQBuAGMAZQAgAGkAcwAgAHAAbwBzAGkAdABpAHYAZQAgAGYAbwByACAAaQBuAGMAbwBtAGUAIABhAG4AZAAgAGUAeABwAGUAbgBzAGUAIABsAGkAbgBlAHMAIABhAGwAaQBrAGUAKgAvAFwAbgBcAG4AVgBhAHIAaQBhAG4AYwBlALsDIAA9ACAATABBAE0AQgBEAEEAKABcAG4ALwAvACAAIABQAGEAcgBhAG0AZQB0AGUAcgAgAEQAZQBjAGwAYQByAGEAdABpAG8AbgBcAG4AIAAgACAAIABbAEEAYwB0AHUAYQBsAF0ALABcAG4AIAAgACAAIABbAEIAdQBkAGcAZQB0AF0ALABcAG4AIAAgACAAIABbAFQAeQBwAGU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WAGEAcgBpAGEAbgBjAGUAuwMoAEEAYwB0AHUAYQBsACwAIABCAHUAZABnAGUAdAAsACAAWwBUAHkAcABlAF0AKQC2AFwAIgAgACYAXABuACAAIAAgACAAIAAgACAAIAAgACAAIAAgACAAIAAgACAAIAAgACAAIAAgACAAIAAgACAAIAAgACAAXAAiAEQARQBTAEMAUgBJAFAAVABJAE8ATgA6ACAAIAAgAJIhQQBjAHQAdQBhAGwAIABsAGUAcwBzACAAYgB1AGQAZwBlAHQALAAgAHMAaQBnAG4AZQBkACAAcwBvACAAYQAgAGYAYQB2AG8AdQByAGEAYgBsAGUAIAB2AGEAcgBpAGEAbgBjAGUAIABpAHMAIABwAG8AcwBpAHQAaQB2AGUAIABmAG8AcgAgAGkAbgBjAG8AbQBlACAAYQBuAGQAIABlAHgAcABlAG4AcwBlACAAbABpAG4AZQBzACAAYQBsAGkAawBlAC4AtgBcACIAIAAmAFwAbgAgACAAIAAgACAAIAAgACAAIAAgACAAIAAgACAAIAAgACAAIAAgACAAIAAgACAAIAAgACAAIAAgAFwAIgBOAE8AVABFAFMAIQAgACAAIAAgACAAIAAgACAAIACSIVQAeQBwAGUAIAAxACAAbQBhAHIAawBzACAAaQBuAGMAbwBtAGUALAAgAHcAaABlAHIAZQAgAGEAbgAgAGEAYwB0AHUAYQBsACAAYQBiAG8AdgBlACAAYgB1AGQAZwBlAHQAIABpAHMAIABmAGEAdgBvAHUAcgBhAGIAbABlADsAIAAtADEAIABtAGEAcgBrAHMAIABhAG4AtgAgACAAIAAgACAAIAAgACAAIAAgACAAIAAgACAAIACSIWUAeABwAGUAbgBzAGUALAAgAHcAaABlAHIAZQAgAGEAbgAgAGEAYwB0AHUAYQBsACAAYgBlAGwAbwB3ACAAYgB1AGQAZwBlAHQAIABpAHMAIABmAGEAdgBvAHUAcgBhAGIAbABlAC4AIABHAGkAdgBlACAAbwBuAGUAIABUAHkAcABlACAAZgBvAHIAIABhAGwAbAAgAGwAaQBuAGUAcwC2ACAAIAAgACAAIAAgACAAIAAgACAAIAAgACAAIAAgAJIhbwByACAAYQAgAGMAbwBsAHUAbQBuACAAbwBmACAAdABoAGUAbQAsACAAbwBuAGUAIABmAG8AcgAgAGUAYQBjAGgAIABsAGkAbgBlAC4AIABCAHUAZABnAGUAdAAgAG0AYQB5ACAAYQBsAHMAbwAgAGIAZQAgAGEAIABwAHIAaQBvAHIAIABwAGUAcgBpAG8AZAAuACAAQQAgAGIAbABhAG4AawC2ACAAIAAgACAAIAAgACAAIAAgACAAIAAgACAAIAAgAJIhQQBjAHQAdQBhAGwAIABvAHIAIABCAHUAZABnAGUAdAAgAGMAZQBsAGwAIABjAG8AdQBuAHQAcwAgAGEAcwAgADAALgAgAFYAYQByAGkAYQBuAGMAZQBQAGMAdAC7AygAKQAgAGcAaQB2AGUAcwAgAHQAaABlACAAcABlAHIAYwBlAG4AdABhAGcAZQ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8AYwB0ACAAMgAwADIANgC2AFwAIgAgACYAXABuACAAIAAgACAAIAAgACAAIAAgACAAIAAgACAAIAAgACAAIAAgACAAIAAgACAAIAAgACAAIAAgACAAXAAiAFAAQQBSAEEATQBFAFQARQBSAFMAOgAgACAAIAAgAJIhtgBcACIAIAAmAFwAbgAgACAAIAAgACAAIAAgACAAIAAgACAAIAAgACAAIAAgACAAIAAgACAAIAAgACAAIAAgACAAIAAgAFwAIgBBAGMAdAB1AGEAbAAgACAAIAAgACAAIAAgACAAIACSISgAUgBlAHEAdQBpAHIAZQBkACkAIABPAG4AZQAgAG8AcgAgAG0AbwByAGUAIABhAGMAdAB1AGEAbAAgAGEAbQBvAHUAbgB0AHMALgC2AFwAIgAgACYAXABuACAAIAAgACAAIAAgACAAIAAgACAAIAAgACAAIAAgACAAIAAgACAAIAAgACAAIAAgACAAIAAgACAAXAAiAEIAdQBkAGcAZQB0ACAAIAAgACAAIAAgACAAIAAgAJIhKABSAGUAcQB1AGkAcgBlAGQAKQAgAFQAaABlACAAYgB1AGQAZwBlAHQAIABvAHIAIABjAG8AbQBwAGEAcgBpAHMAbwBuACAAYQBtAG8AdQBuAHQAcwAsACAAdABoAGUAIABzAGEAbQBlACAAcwBoAGEAcABlACAAYQBzACAAQQBjAHQAdQBhAGwALgC2AFwAIgAgACYAXABuACAAIAAgACAAIAAgACAAIAAgACAAIAAgACAAIAAgACAAIAAgACAAIAAgACAAIAAgACAAIAAgACAAXAAiAFQAeQBwAGUAIAAgACAAIAAgACAAIAAgACAAIAAgAJIhKABPAHAAdABpAG8AbgBhAGwAOgAgAEQAZQBmAGEAdQBsAHQAIAA9ACAAMQApACAAMQAgAGYAbwByACAAaQBuAGMAbwBtAGUAIABvAHIAIAAtADEAIABmAG8AcgAgAGEAbgAgAGUAeABwAGUAbgBzAGUALAAgAG8AbgBlACAAdgBhAGwAdQBlACAAbwByACAAbwBuAGUAIABmAG8AcgAgAGUAYQBjAGgAIABsAGkAbgBl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VgBhAHIAaQBhAG4AYwBlALsDKAB7ADEAMgAwADsAOQAwAH0ALAAgAHsAMQAwADAAOwAxADAAMAB9ACwAIAB7ADEAOwAtADEAfQApALYAXAAiACAAJgBcAG4AIAAgACAAIAAgACAAIAAgACAAIAAgACAAIAAgACAAIAAgACAAIAAgACAAIAAgACAAIAAgACAAIABcACIAkiFSAGUAcwB1AGwAdAC2AFwAIgAgACYAXABuACAAIAAgACAAIAAgACAAIAAgACAAIAAgACAAIAAgACAAIAAgACAAIAAgACAAIAAgACAAIAAgACAAXAAiAJIhMgAwACwAIAAx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EEAYwB0AHUAYQBsACkALAAgAEkAUwBPAE0ASQBUAFQARQBEACgAQgB1AGQAZwBlAHQAKQApACwAXABuACAAIAAgACAALwAvACAAIABTAGUAdAAgAGQAZQBmAGEAdQBsAHQAcwAuACAATwBuAGwAeQAgAGEAIABzAGkAbgBnAGwAZQAgAGIAbABhAG4AawAgAFQAeQBwAGUAIABtAGUAYQBuAHMAIABpAG4AYwBvAG0AZQA6ACAAYQAgAGIAbABhAG4AawAgAGkAbgBzAGkAZABlACAAYQAgAGMAbwBsAHUAbQBuACAAbwBmAFwAbgAgACAAIAAgAC8ALwAgACAAVAB5AHAAZQBzACAAaQBzACAAYQAgAG0AaQBzAHMAaQBuAGcAIABlAG4AdAByAHkAIABhAG4AZAAgAGkAcwAgAHIAZQBmAHUAcwBlAGQALAAgAG4AbwB0ACAAcgBlAGEAZAAgAGEAcwAgAGkAbgBjAG8AbQBlAC4AXABuACAAIAAgACAAIAAgACAAIABTAGkAZwBuACwAIAAgACAAIAAgACAAIAAgACAAIAAgAEkARgAoAEkAUwBPAE0ASQBUAFQARQBEACgAVAB5AHAAZQApACwAIAAxACwAIABJAEYAKABBAE4ARAAoAFIATwBXAFMAKABUAHkAcABlACkAIAA9ACAAMQAsACAAQwBPAEwAVQBNAE4AUwAoAFQAeQBwAGUAKQAgAD0AIAAxACkALAAgAEkARgAoAFQAeQBwAGUAIAA9ACAAXAAiAFwAIgAsACAAMQAsACAAVAB5AHAAZQApACwAIABUAHkAcABlACkAKQAsAFwAbgAgACAAIAAgAC8ALwAgACAAQQBCAFMAKABUAFIAVQBFACkAIABpAHMAIAAxACwAIABzAG8AIAB0AGgAZQAgAHQAeQBwAGUAIAB0AGUAcwB0ACAAaQBzACAASQBTAE4AVQBNAEIARQBSACAAYQBzACAAdwBlAGwAbAAgAGEAcwAgAHQAaABlACAAcwBpAHoAZQBcAG4AIAAgACAAIAAgACAAIAAgAFYAYQBsAGkAZABUAHkAcABlAD8ALAAgACAAIAAgACAAQQBOAEQAKABJAEYARQBSAFIATwBSACgASQBTAE4AVQBNAEIARQBSACgAUwBpAGcAbgApACAAKgAgACgAQQBCAFMAKABTAGkAZwBuACkAIAA9ACAAMQApACAAPQAgADEALAAgAEYAQQBMAFMARQApACkALABcAG4AIAAgACAAIAAgACAAIAAgAFQAeQBwAGUATQBlAHMAcwBhAGcAZQAsACAAIAAgACAAXAAiAFYAYQByAGkAYQBuAGMAZQC7AyAAbgBlAGUAZABzACAAVAB5AHAAZQAgAHQAbwAgAGIAZQAgADEAIABmAG8AcgAgAGkAbgBjAG8AbQBlACAAbwByACAALQAxACAAZgBvAHIAIABhAG4AIABlAHgAcABlAG4AcwBlACAAaQBuACAAZQB2AGUAcgB5ACAAZQBuAHQAcgB5AC4AXAAiACwAXABuACAAIAAgACAAIAAgACAAIABSAGUAcwB1AGwAdAAsACAAIAAgACAAIAAgACAAIAAgACgAQQBjAHQAdQBhAGwAIAAtACAAQgB1AGQAZwBlAHQAKQAgACoAIABTAGkAZwBuACwAXABuACAAIAAgACAALwAvACAAIABSAGUAdAB1AHIAbgAgAFIAZQBzAHUAbAB0ACwAIABIAGUAbABwACAAbwByACAAdABoAGUAIABtAGUAcwBzAGEAZwBlAFwAbgAgACAAIAAgACAAIAAgACAAUgBlAHQAdQByAG4ALAAgACAAIAAgACAAIAAgACAAIABJAEYAKABIAGUAbABwAD8ALAAgADIALAAgAEkARgAoAFYAYQBsAGkAZABUAHkAcABlAD8ALAAgADEALAAgADMAKQApACwAXABuACAAIAAgACAAIAAgACAAIABDAEgATwBPAFMARQAoACAAUgBlAHQAdQByAG4ALAAgAFIAZQBzAHUAbAB0ACwAIABIAGUAbABwACwAIABUAHkAcABlAE0AZQBzAHMAYQBnAGUAKQBcAG4AIAAgACAAIAApAFwAbgApADsAXABuAFwAbgBcAG4ALwAqACAAIABGAFUATgBDAFQASQBPAE4AIABOAEEATQBFADoAIAAgAFYAYQByAGkAYQBuAGMAZQBQAGMAdAC7A1wAbgAgACAAIAAgAEQARQBTAEMAUgBJAFAAVABJAE8ATgA6ACoALwAvACoAKgBWAGEAcgBpAGEAbgBjAGUAIABhAHMAIABhACAAZgByAGEAYwB0AGkAbwBuACAAbwBmACAAdABoAGUAIABiAHUAZABnAGUAdAAnAHMAIABzAGkAegBlACwAIABzAG8AIABpAHQAcwAgAHMAaQBnAG4AIABhAGwAdwBhAHkAcwAgAG0AYQB0AGMAaABlAHMAIAB0AGgAZQAgAHYAYQByAGkAYQBuAGMAZQAgAGUAdgBlAG4AIAB3AGgAZQBuACAAdABoAGUAIABiAHUAZABnAGUAdAAgAGkAcwAgAG4AZQBnAGEAdABpAHYAZQAqAC8AXABuAFwAbgBWAGEAcgBpAGEAbgBjAGUAUABjAHQAuwMgAD0AIABMAEEATQBCAEQAQQAoAFwAbgAvAC8AIAAgAFAAYQByAGEAbQBlAHQAZQByACAARABlAGMAbABhAHIAYQB0AGkAbwBuAFwAbgAgACAAIAAgAFsAQQBjAHQAdQBhAGwAXQAsAFwAbgAgACAAIAAgAFsAQgB1AGQAZwBlAHQAXQAsAFwAbgAgACAAIAAgAFsAVAB5AHAAZQ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VYAYQByAGkAYQBuAGMAZQBQAGMAdAC7AygAQQBjAHQAdQBhAGwALAAgAEIAdQBkAGcAZQB0ACwAIABbAFQAeQBwAGUAXQApALYAXAAiACAAJgBcAG4AIAAgACAAIAAgACAAIAAgACAAIAAgACAAIAAgACAAIAAgACAAIAAgACAAIAAgACAAIAAgACAAIABcACIARABFAFMAQwBSAEkAUABUAEkATwBOADoAIAAgACAAkiFUAGgAZQAgAHYAYQByAGkAYQBuAGMAZQAgAGYAcgBvAG0AIABWAGEAcgBpAGEAbgBjAGUAuwMoACkAIABhAHMAIABhACAAZgByAGEAYwB0AGkAbwBuACAAbwBmACAAdABoAGUAIABiAHUAZABnAGUAdAAnAHMAIABzAGkAegBlAC4AtgBcACIAIAAmAFwAbgAgACAAIAAgACAAIAAgACAAIAAgACAAIAAgACAAIAAgACAAIAAgACAAIAAgACAAIAAgACAAIAAgAFwAIgBOAE8AVABFAFMAIQAgACAAIAAgACAAIAAgACAAIACSIUQAaQB2AGkAZABpAG4AZwAgAGIAeQAgAHQAaABlACAAYgB1AGQAZwBlAHQAJwBzACAAYQBiAHMAbwBsAHUAdABlACAAdgBhAGwAdQBlACAAawBlAGUAcABzACAAdABoAGUAIABzAGkAZwBuACAAbwBmACAAdABoAGUAIAB2AGEAcgBpAGEAbgBjAGUALAAgAHMAbwAgAGEAtgAgACAAIAAgACAAIAAgACAAIAAgACAAIAAgACAAIACSIWYAYQB2AG8AdQByAGEAYgBsAGUAIAB2AGEAcgBpAGEAbgBjAGUAIABzAHQAYQB5AHMAIABwAG8AcwBpAHQAaQB2AGUAIAB3AGgAZQBuACAAdABoAGUAIABiAHUAZABnAGUAdAAgAGkAcwAgAG4AZQBnAGEAdABpAHYAZQAsACAAYQBzACAAYQAgAHcAbwByAGsAIABpAG4AtgAgACAAIAAgACAAIAAgACAAIAAgACAAIAAgACAAIACSIXAAcgBvAGcAcgBlAHMAcwAgAG0AbwB2AGUAbQBlAG4AdAAgAG8AcgAgAGEAIABsAG8AcwBzACAAYwBhAG4AIABiAGUALgAgAEEAIAB6AGUAcgBvACAAYgB1AGQAZwBlAHQAIAByAGUAdAB1AHIAbgBzACAAIwBEAEkAVgAvADAAIQAuACAAVAB5AHAAZQAgADEAtgAgACAAIAAgACAAIAAgACAAIAAgACAAIAAgACAAIACSIW0AYQByAGsAcwAgAGkAbgBjAG8AbQBlACAAYQBuAGQAIAAtADEAIABhAG4AIABlAHgAcABlAG4AcwBlACwAIABhAHMAIABpAG4AIABWAGEAcgBpAGEAbgBjAGUAuwMoACk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PAGMAdAAgADIAMAAyADYAtgBcACIAIAAmAFwAbgAgACAAIAAgACAAIAAgACAAIAAgACAAIAAgACAAIAAgACAAIAAgACAAIAAgACAAIAAgACAAIAAgAFwAIgBQAEEAUgBBAE0ARQBUAEUAUgBTADoAIAAgACAAIACSIbYAXAAiACAAJgBcAG4AIAAgACAAIAAgACAAIAAgACAAIAAgACAAIAAgACAAIAAgACAAIAAgACAAIAAgACAAIAAgACAAIABcACIAQQBjAHQAdQBhAGwAIAAgACAAIAAgACAAIAAgACAAkiEoAFIAZQBxAHUAaQByAGUAZAApACAATwBuAGUAIABvAHIAIABtAG8AcgBlACAAYQBjAHQAdQBhAGwAIABhAG0AbwB1AG4AdABzAC4AtgBcACIAIAAmAFwAbgAgACAAIAAgACAAIAAgACAAIAAgACAAIAAgACAAIAAgACAAIAAgACAAIAAgACAAIAAgACAAIAAgAFwAIgBCAHUAZABnAGUAdAAgACAAIAAgACAAIAAgACAAIACSISgAUgBlAHEAdQBpAHIAZQBkACkAIABUAGgAZQAgAGIAdQBkAGcAZQB0ACAAbwByACAAYwBvAG0AcABhAHIAaQBzAG8AbgAgAGEAbQBvAHUAbgB0AHMALAAgAHQAaABlACAAcwBhAG0AZQAgAHMAaABhAHAAZQAgAGEAcwAgAEEAYwB0AHUAYQBsAC4AtgBcACIAIAAmAFwAbgAgACAAIAAgACAAIAAgACAAIAAgACAAIAAgACAAIAAgACAAIAAgACAAIAAgACAAIAAgACAAIAAgAFwAIgBUAHkAcABlACAAIAAgACAAIAAgACAAIAAgACAAIACSISgATwBwAHQAaQBvAG4AYQBsADoAIABEAGUAZgBhAHUAbAB0ACAAPQAgADEAKQAgADEAIABmAG8AcgAgAGkAbgBjAG8AbQBlACAAbwByACAALQAxACAAZgBvAHIAIABhAG4AIABlAHgAcABlAG4AcwBlACwAIABvAG4AZQAgAHYAYQBsAHUAZQAgAG8AcgAgAG8AbgBlACAAZgBvAHIAIABlAGEAYwBoACAAbABpAG4AZQ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FYAYQByAGkAYQBuAGMAZQBQAGMAdAC7AygALQAzADAALAAgAC0AMgAwACkAtgBcACIAIAAmAFwAbgAgACAAIAAgACAAIAAgACAAIAAgACAAIAAgACAAIAAgACAAIAAgACAAIAAgACAAIAAgACAAIAAgAFwAIgCSIVIAZQBzAHUAbAB0ALYAXAAiACAAJgBcAG4AIAAgACAAIAAgACAAIAAgACAAIAAgACAAIAAgACAAIAAgACAAIAAgACAAIAAgACAAIAAgACAAIABcACIAkiEtADUAMAAl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BAGMAdAB1AGEAbAApACwAIABJAFMATwBNAEkAVABUAEUARAAoAEIAdQBkAGcAZQB0ACkAKQAsAFwAbgAgACAAIAAgAC8ALwAgACAAUwBlAHQAIABkAGUAZgBhAHUAbAB0AHMALAAgAGEAcwAgAGkAbgAgAFYAYQByAGkAYQBuAGMAZQC7AzoAIABvAG4AbAB5ACAAYQAgAHMAaQBuAGcAbABlACAAYgBsAGEAbgBrACAAVAB5AHAAZQAgAG0AZQBhAG4AcwAgAGkAbgBjAG8AbQBlAFwAbgAgACAAIAAgACAAIAAgACAAUwBpAGcAbgAsACAAIAAgACAAIAAgACAAIAAgACAAIABJAEYAKABJAFMATwBNAEkAVABUAEUARAAoAFQAeQBwAGUAKQAsACAAMQAsACAASQBGACgAQQBOAEQAKABSAE8AVwBTACgAVAB5AHAAZQApACAAPQAgADEALAAgAEMATwBMAFUATQBOAFMAKABUAHkAcABlACkAIAA9ACAAMQApACwAIABJAEYAKABUAHkAcABlACAAPQAgAFwAIgBcACIALAAgADEALAAgAFQAeQBwAGUAKQAsACAAVAB5AHAAZQApACkALABcAG4AIAAgACAAIAAvAC8AIAAgAEEAQgBTACgAVABSAFUARQApACAAaQBzACAAMQAsACAAcwBvACAAdABoAGUAIAB0AHkAcABlACAAdABlAHMAdAAgAGkAcwAgAEkAUwBOAFUATQBCAEUAUgAgAGEAcwAgAHcAZQBsAGwAIABhAHMAIAB0AGgAZQAgAHMAaQB6AGUAXABuACAAIAAgACAAIAAgACAAIABWAGEAbABpAGQAVAB5AHAAZQA/ACwAIAAgACAAIAAgAEEATgBEACgASQBGAEUAUgBSAE8AUgAoAEkAUwBOAFUATQBCAEUAUgAoAFMAaQBnAG4AKQAgACoAIAAoAEEAQgBTACgAUwBpAGcAbgApACAAPQAgADEAKQAgAD0AIAAxACwAIABGAEEATABTAEUAKQApACwAXABuACAAIAAgACAAIAAgACAAIABUAHkAcABlAE0AZQBzAHMAYQBnAGUALAAgACAAIAAgAFwAIgBWAGEAcgBpAGEAbgBjAGUAUABjAHQAuwMgAG4AZQBlAGQAcwAgAFQAeQBwAGUAIAB0AG8AIABiAGUAIAAxACAAZgBvAHIAIABpAG4AYwBvAG0AZQAgAG8AcgAgAC0AMQAgAGYAbwByACAAYQBuACAAZQB4AHAAZQBuAHMAZQAgAGkAbgAgAGUAdgBlAHIAeQAgAGUAbgB0AHIAeQAuAFwAIgAsAFwAbgAgACAAIAAgAC8ALwAgACAARABpAHYAaQBkAGkAbgBnACAAYgB5ACAAdABoAGUAIABiAHUAZABnAGUAdAAgAGkAdABzAGUAbABmACAAdwBvAHUAbABkACAAZgBsAGkAcAAgAHQAaABlACAAcwBpAGcAbgAgAHcAaABlAG4AIAB0AGgAZQAgAGIAdQBkAGcAZQB0ACAAaQBzACAAbgBlAGcAYQB0AGkAdgBlAFwAbgAgACAAIAAgACAAIAAgACAAUgBlAHMAdQBsAHQALAAgACAAIAAgACAAIAAgACAAIAAoAEEAYwB0AHUAYQBsACAALQAgAEIAdQBkAGcAZQB0ACkAIAAqACAAUwBpAGcAbgAgAC8AIABBAEIAUwAoAEIAdQBkAGcAZQB0ACkALABcAG4AIAAgACAAIAAvAC8AIAAgAFIAZQB0AHUAcgBuACAAUgBlAHMAdQBsAHQALAAgAEgAZQBsAHAAIABvAHIAIAB0AGgAZQAgAG0AZQBzAHMAYQBnAGUAXABuACAAIAAgACAAIAAgACAAIABSAGUAdAB1AHIAbgAsACAAIAAgACAAIAAgACAAIAAgAEkARgAoAEgAZQBsAHAAPwAsACAAMgAsACAASQBGACgAVgBhAGwAaQBkAFQAeQBwAGUAPwAsACAAMQAsACAAMwApACkALABcAG4AIAAgACAAIAAgACAAIAAgAEMASABPAE8AUwBFACgAIABSAGUAdAB1AHIAbgAsACAAUgBlAHMAdQBsAHQALAAgAEgAZQBsAHAALAAgAFQAeQBwAGUATQBlAHMAcwBhAGcAZQApAFwAbgAgACAAIAAgACkAXABuACkAOwBcAG4AXABuAFwAbgAvACoAIAAgAEYAVQBOAEMAVABJAE8ATgAgAE4AQQBNAEUAOgAgACAAWQBlAGEAcgBUAG8ARABhAHQAZQC7A1wAbgAgACAAIAAgAEQARQBTAEMAUgBJAFAAVABJAE8ATgA6ACoALwAvACoAKgBUAG8AdABhAGwAcwAgAGUAYQBjAGgAIAByAG8AdwAgAG8AZgAgAHYAYQBsAHUAZQBzACAAZgByAG8AbQAgAHQAaABlACAAcwB0AGEAcgB0ACAAbwBmACAAdABoAGUAIABmAGkAbgBhAG4AYwBpAGEAbAAgAHkAZQBhAHIAIAB0AG8AIABhAG4AIABhAHMALQBhAHQAIABkAGEAdABlACoALwBcAG4AXABuAFkAZQBhAHIAVABvAEQAYQB0AGUAuwMgAD0AIABMAEEATQBCAEQAQQAoAFwAbgAvAC8AIAAgAFAAYQByAGEAbQBlAHQAZQByACAARABlAGMAbABhAHIAYQB0AGkAbwBuAFwAbgAgACAAIAAgAFsAVgBhAGwAdQBlAHMAXQAsAFwAbgAgACAAIAAgAFsARABhAHQAZQBzAF0ALABcAG4AIAAgACAAIABbAEEAcwBBAHQAXQAsAFwAbgAgACAAIAAgAFsAUwB0AGEAcgB0AE0AbwBuAHQAaA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VkAZQBhAHIAVABvAEQAYQB0AGUAuwMoAFYAYQBsAHUAZQBzACwAIABEAGEAdABlAHMALAAgAEEAcwBBAHQALAAgAFsAUwB0AGEAcgB0AE0AbwBuAHQAaABdACkAtgBcACIAIAAmAFwAbgAgACAAIAAgACAAIAAgACAAIAAgACAAIAAgACAAIAAgACAAIAAgACAAIAAgACAAIAAgACAAIAAgAFwAIgBEAEUAUwBDAFIASQBQAFQASQBPAE4AOgAgACAAIACSIVQAbwB0AGEAbABzACAAZQBhAGMAaAAgAHIAbwB3ACAAbwBmACAAVgBhAGwAdQBlAHMAIABmAHIAbwBtACAAdABoAGUAIABzAHQAYQByAHQAIABvAGYAIABBAHMAQQB0ACcAcwAgAGYAaQBuAGEAbgBjAGkAYQBsACAAeQBlAGEAcgAgAHQAbwAgAEEAcwBBAHQALgC2AFwAIgAgACYAXABuACAAIAAgACAAIAAgACAAIAAgACAAIAAgACAAIAAgACAAIAAgACAAIAAgACAAIAAgACAAIAAgACAAXAAiAE4ATwBUAEUAUwAhACAAIAAgACAAIAAgACAAIAAgAJIhQQAgAGMAbwBsAHUAbQBuACAAYwBvAHUAbgB0AHMAIAB3AGgAZQBuACAAaQB0AHMAIABkAGEAdABlACAAaQBzACAAbwBuACAAbwByACAAYQBmAHQAZQByACAAdABoAGUAIABmAGkAcgBzAHQAIABkAGEAeQAgAG8AZgAgAHQAaABlACAAZgBpAG4AYQBuAGMAaQBhAGwAtgAgACAAIAAgACAAIAAgACAAIAAgACAAIAAgACAAIACSIXkAZQBhAHIAIAB0AGgAYQB0ACAAYwBvAG4AdABhAGkAbgBzACAAQQBzAEEAdAAsACAAYQBuAGQAIABvAG4AIABvAHIAIABiAGUAZgBvAHIAZQAgAEEAcwBBAHQALgAgAEQAYQB0AGUAIABlAGEAYwBoACAAYwBvAGwAdQBtAG4AIABiAHkAIAB0AGgAZQAgAGYAaQByAHMAdAC2ACAAIAAgACAAIAAgACAAIAAgACAAIAAgACAAIAAgAJIhZABhAHkAIABvAGYAIABpAHQAcwAgAHAAZQByAGkAbwBkACwAIABvAHIAIABiAHkAIABpAHQAcwAgAGwAYQBzAHQAIABkAGEAeQAgAGEAbgBkACAAYQBuACAAQQBzAEEAdAAgAGEAdAAgAGEAIABwAGUAcgBpAG8AZAAgAGUAbgBkAC4AIABWAGEAbAB1AGUAcwAgAG0AdQBzAHQAtgAgACAAIAAgACAAIAAgACAAIAAgACAAIAAgACAAIACSIWIAZQAgAG4AdQBtAGIAZQByAHMAIABvAHIAIABiAGwAYQBuAGsAIABjAGUAbABsAHMAOwAgAHQAZQB4AHQALAAgAGkAbgBjAGwAdQBkAGkAbgBnACAAdABoAGUAIABlAG0AcAB0AHkAIAB0AGUAeAB0ACAAYQAgAGYAbwByAG0AdQBsAGEAIABjAGEAbgAgAHIAZQB0AHUAcgBuACwAtgAgACAAIAAgACAAIAAgACAAIAAgACAAIAAgACAAIACSIWcAaQB2AGUAcwAgACMAVgBBAEwAVQBFACEALgAgAFQAaABlACAAcgBlAHMAdQBsAHQAIABpAHMAIABvAG4AZQAgAHQAbwB0AGEAbAAgAGYAbwByACAAZQBhAGMAaAAgAHIAbwB3ACAAbwBmACAAVgBhAGwAdQBlAHM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PAGMAdAAgADIAMAAyADYAtgBcACIAIAAmAFwAbgAgACAAIAAgACAAIAAgACAAIAAgACAAIAAgACAAIAAgACAAIAAgACAAIAAgACAAIAAgACAAIAAgAFwAIgBQAEEAUgBBAE0ARQBUAEUAUgBTADoAIAAgACAAIACSIbYAXAAiACAAJgBcAG4AIAAgACAAIAAgACAAIAAgACAAIAAgACAAIAAgACAAIAAgACAAIAAgACAAIAAgACAAIAAgACAAIABcACIAVgBhAGwAdQBlAHMAIAAgACAAIAAgACAAIAAgACAAkiEoAFIAZQBxAHUAaQByAGUAZAApACAAQQAgAHIAbwB3ACAAbwByACAAYgBsAG8AYwBrACAAbwBmACAAYQBtAG8AdQBuAHQAcwAsACAAbwBuAGUAIABjAG8AbAB1AG0AbgAgAGYAbwByACAAZQBhAGMAaAAgAGQAYQB0AGUAIABpAG4AIABEAGEAdABlAHMALgC2AFwAIgAgACYAXABuACAAIAAgACAAIAAgACAAIAAgACAAIAAgACAAIAAgACAAIAAgACAAIAAgACAAIAAgACAAIAAgACAAXAAiAEQAYQB0AGUAcwAgACAAIAAgACAAIAAgACAAIAAgAJIhKABSAGUAcQB1AGkAcgBlAGQAKQAgAEEAIAByAG8AdwAgAG8AZgAgAGQAYQB0AGUAcwAsACAAbwBuAGUAIABmAG8AcgAgAGUAYQBjAGgAIABjAG8AbAB1AG0AbgAgAG8AZgAgAFYAYQBsAHUAZQBzAC4AtgBcACIAIAAmAFwAbgAgACAAIAAgACAAIAAgACAAIAAgACAAIAAgACAAIAAgACAAIAAgACAAIAAgACAAIAAgACAAIAAgAFwAIgBBAHMAQQB0ACAAIAAgACAAIAAgACAAIAAgACAAIACSISgAUgBlAHEAdQBpAHIAZQBkACkAIABUAGgAZQAgAG8AbgBlACAAZABhAHQAZQAgAHQAaABlACAAdABvAHQAYQBsACAAcgB1AG4AcwAgAHQAbwAsACAAaQBuAGMAbAB1AHMAaQB2AGUALgC2AFwAIgAgACYAXABuACAAIAAgACAAIAAgACAAIAAgACAAIAAgACAAIAAgACAAIAAgACAAIAAgACAAIAAgACAAIAAgACAAXAAiAFMAdABhAHIAdABNAG8AbgB0AGgAIAAgACAAIAAgAJIhKABPAHAAdABpAG8AbgBhAGwAOgAgAEQAZQBmAGEAdQBsAHQAIAA9ACAANwApACAATQBvAG4AdABoACAAdABoAGUAIABmAGkAbgBhAG4AYwBpAGEAbAAgAHkAZQBhAHIAIABzAHQAYQByAHQAcwAsACAAYQAgAHcAaABvAGwAZQAgAG4AdQBtAGIAZQByACAAZgByAG8AbQAgADEAIAB0AG8AIAAxADIALgAgAEIAbABhAG4AawAgAGMAZQBsAGwAcwAgAGEAbgBkACAAZQBtAHAAdAB5ACAAdABlAHgAdAAgAHUAcwBlACAAN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FkAZQBhAHIAVABvAEQAYQB0AGUAuwMoAHsAMQAwACwAMgAwACwAMwAwACwANAAwADsAMQAsADIALAAzACwANAB9ACwAIABEAEEAVABFACgAMgAwADIANgAsAHsANQAsADYALAA3ACwAOAB9ACwAMQApACwAIABEAEEAVABFACgAMgAwADIANgAsADgALAAzADEAKQApALYAXAAiACAAJgBcAG4AIAAgACAAIAAgACAAIAAgACAAIAAgACAAIAAgACAAIAAgACAAIAAgACAAIAAgACAAIAAgACAAIABcACIAkiFSAGUAcwB1AGwAdAC2AFwAIgAgACYAXABuACAAIAAgACAAIAAgACAAIAAgACAAIAAgACAAIAAgACAAIAAgACAAIAAgACAAIAAgACAAIAAgACAAXAAiAJIhNwAwACwAIAA3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WAGEAbAB1AGUAcwApACwAIABJAFMATwBNAEkAVABUAEUARAAoAEQAYQB0AGUAcwApACwAIABJAFMATwBNAEkAVABUAEUARAAoAEEAcwBBAHQAKQApACwAXABuACAAIAAgACAALwAvACAAIABTAGUAdAAgAGQAZQBmAGEAdQBsAHQAcwBcAG4AIAAgACAAIAAgACAAIAAgAEYAWQBTAHQAYQByAHQALAAgACAAIAAgACAAIAAgACAASQBGACgASQBTAE8ATQBJAFQAVABFAEQAKABTAHQAYQByAHQATQBvAG4AdABoACkALAAgADcALAAgAEkARgAoAFMAdABhAHIAdABNAG8AbgB0AGgAIAA9ACAAXAAiAFwAIgAsACAANwAsACAAUwB0AGEAcgB0AE0AbwBuAHQAaAApACkALABcAG4AIAAgACAAIAAgACAAIAAgAFYAYQBsAGkAZABTAHQAYQByAHQAPwAsACAAIAAgACAAQQBOAEQAKABJAEYARQBSAFIATwBSACgATwBSACgARgBZAFMAdABhAHIAdAAgAD0AIABTAEUAUQBVAEUATgBDAEUAKAAxADIAKQApACwAIABGAEEATABTAEUAKQApACwAXABuACAAIAAgACAAIAAgACAAIABTAGgAYQBwAGUAZAA/ACwAIAAgACAAIAAgACAAIAAgAEEATgBEACgAUgBPAFcAUwAoAEQAYQB0AGUAcwApACAAPQAgADEALAAgAEMATwBMAFUATQBOAFMAKABEAGEAdABlAHMAKQAgAD0AIABDAE8ATABVAE0ATgBTACgAVgBhAGwAdQBlAHMAKQAsACAASQBTAE4AVQBNAEIARQBSACgARABhAHQAZQBzACkAKQAsAFwAbgAgACAAIAAgACAAIAAgACAATwBuAGUARABhAHQAZQA/ACwAIAAgACAAIAAgACAAIABBAE4ARAAoAFIATwBXAFMAKABBAHMAQQB0ACkAIAA9ACAAMQAsACAAQwBPAEwAVQBNAE4AUwAoAEEAcwBBAHQAKQAgAD0AIAAxACwAIABJAFMATgBVAE0AQgBFAFIAKABBAHMAQQB0ACkAKQAsAFwAbgAgACAAIAAgACAAIAAgACAAUwB0AGEAcgB0AE0AZQBzAHMAYQBnAGUALAAgACAAIABcACIAWQBlAGEAcgBUAG8ARABhAHQAZQC7AyAAbgBlAGUAZABzACAAUwB0AGEAcgB0AE0AbwBuAHQAaAAgAHQAbwAgAGIAZQAgAGEAIAB3AGgAbwBsAGUAIABuAHUAbQBiAGUAcgAgAGYAcgBvAG0AIAAxACAAdABvACAAMQAyAC4AXAAiACwAXABuACAAIAAgACAAIAAgACAAIABTAGgAYQBwAGUATQBlAHMAcwBhAGcAZQAsACAAIAAgAFwAIgBZAGUAYQByAFQAbwBEAGEAdABlALsDIABuAGUAZQBkAHMAIABEAGEAdABlAHMAIAB0AG8AIABiAGUAIABvAG4AZQAgAHIAbwB3ACAAdwBpAHQAaAAgAGEAIABkAGEAdABlACAAZgBvAHIAIABlAGEAYwBoACAAYwBvAGwAdQBtAG4AIABvAGYAIABWAGEAbAB1AGUAcwAuAFwAIgAsAFwAbgAgACAAIAAgACAAIAAgACAAQQBzAEEAdABNAGUAcwBzAGEAZwBlACwAIAAgACAAIABcACIAWQBlAGEAcgBUAG8ARABhAHQAZQC7AyAAbgBlAGUAZABzACAAQQBzAEEAdAAgAHQAbwAgAGIAZQAgAG8AbgBlACAAZABhAHQAZQAuAFwAIgAsAFwAbgAgACAAIAAgAC8ALwAgACAAVABoAGUAIABmAGkAcgBzAHQAIABkAGEAeQAgAG8AZgAgAHQAaABlACAAZgBpAG4AYQBuAGMAaQBhAGwAIAB5AGUAYQByACAAdABoAGEAdAAgAGMAbwBuAHQAYQBpAG4AcwAgAEEAcwBBAHQAXABuACAAIAAgACAAIAAgACAAIABZAGUAYQByAFMAdABhAHIAdAAsACAAIAAgACAAIAAgAEQAQQBUAEUAKABZAEUAQQBSACgAQQBzAEEAdAApACAALQAgACgATQBPAE4AVABIACgAQQBzAEEAdAApACAAPAAgAEYAWQBTAHQAYQByAHQAKQAsACAARgBZAFMAdABhAHIAdAAsACAAMQApACwAXABuACAAIAAgACAAIAAgACAAIABJAG4AWQBlAGEAcgAsACAAIAAgACAAIAAgACAAIAAgACgARABhAHQAZQBzACAAPgA9ACAAWQBlAGEAcgBTAHQAYQByAHQAKQAgACoAIAAoAEQAYQB0AGUAcwAgADwAPQAgAEEAcwBBAHQAKQAsAFwAbgAgACAAIAAgACAAIAAgACAAUgBlAHMAdQBsAHQALAAgACAAIAAgACAAIAAgACAAIABNAE0AVQBMAFQAKABWAGEAbAB1AGUAcwAgACoAIAAxACwAIABUAFIAQQBOAFMAUABPAFMARQAoAEkAbgBZAGUAYQByACkAKQAsAFwAbgAgACAAIAAgAC8ALwAgACAAUgBlAHQAdQByAG4AIABSAGUAcwB1AGwAdAAsACAASABlAGwAcAAgAG8AcgAgAHQAaABlACAAbQBlAHMAcwBhAGcAZQBcAG4AIAAgACAAIAAgACAAIAAgAFIAZQB0AHUAcgBuACwAIAAgACAAIAAgACAAIAAgACAASQBGACgASABlAGwAcAA/ACwAIAAyACwAIABJAEYAKABOAE8AVAAoAFYAYQBsAGkAZABTAHQAYQByAHQAPwApACwAIAAzACwAIABJAEYAKABOAE8AVAAoAFMAaABhAHAAZQBkAD8AKQAsACAANAAsACAASQBGACgATgBPAFQAKABPAG4AZQBEAGEAdABlAD8AKQAsACAANQAsACAAMQApACkAKQApACwAXABuACAAIAAgACAAIAAgACAAIABDAEgATwBPAFMARQAoACAAUgBlAHQAdQByAG4ALAAgAFIAZQBzAHUAbAB0ACwAIABIAGUAbABwACwAIABTAHQAYQByAHQATQBlAHMAcwBhAGcAZQAsACAAUwBoAGEAcABlAE0AZQBzAHMAYQBnAGUALAAgAEEAcwBBAHQATQBlAHMAcwBhAGcAZQApAFwAbgAgACAAIAAgACkAXABuACkAOwBcAG4AXABuAFwAbgBcAG4ALwAqACAAIABGAFUATgBDAFQASQBPAE4AIABOAEEATQBFADoAIAAgAFAAZQByAGkAbwBkAFIAYQB0AGUAuwNcAG4AIAAgACAAIABEAEUAUwBDAFIASQBQAFQASQBPAE4AOgAqAC8ALwAqACoAQwBvAG4AdgBlAHIAdABzACAAYQBuACAAZQBmAGYAZQBjAHQAaQB2AGUAIABhAG4AbgB1AGEAbAAgAHIAYQB0AGUAIAB0AG8AIAB0AGgAZQAgAGUAcQB1AGkAdgBhAGwAZQBuAHQAIAByAGEAdABlACAAcABlAHIAIABwAGUAcgBpAG8AZAAsACAAdABoAGUAIAByAGEAdABlACAAdABoAGUAIABsAGUAYQBzAGUAIABmAHUAbgBjAHQAaQBvAG4AcwAgAHQAYQBrAGUAKgAvAFwAbgBcAG4AUABlAHIAaQBvAGQAUgBhAHQAZQC7AyAAPQAgAEwAQQBNAEIARABBACgAXABuAC8ALwAgACAAUABhAHIAYQBtAGUAdABlAHIAIABEAGUAYwBsAGEAcgBhAHQAaQBvAG4AXABuACAAIAAgACAAWwBBAG4AbgB1AGEAbABSAGEAdABlAF0ALABcAG4AIAAgACAAIABbAFAAZQByAGkAbwBkAHMAUABlAHIAWQBlAGEAcg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VAAZQByAGkAbwBkAFIAYQB0AGUAuwMoAEEAbgBuAHUAYQBsAFIAYQB0AGUALAAgAFsAUABlAHIAaQBvAGQAcwBQAGUAcgBZAGUAYQByAF0AKQC2AFwAIgAgACYAXABuACAAIAAgACAAIAAgACAAIAAgACAAIAAgACAAIAAgACAAIAAgACAAIAAgACAAIAAgACAAIAAgACAAXAAiAEQARQBTAEMAUgBJAFAAVABJAE8ATgA6ACAAIAAgAJIhQwBvAG4AdgBlAHIAdABzACAAYQBuACAAZQBmAGYAZQBjAHQAaQB2AGUAIABhAG4AbgB1AGEAbAAgAHIAYQB0AGUAIAB0AG8AIAB0AGgAZQAgAGUAcQB1AGkAdgBhAGwAZQBuAHQAIAByAGEAdABlACAAcABlAHIAIABwAGUAcgBpAG8AZAAuALYATgBPAFQARQBTACEAIAAgACAAIAAgACAAIAAgACAAkiEoADEAIAArACAAQQBuAG4AdQBhAGwAUgBhAHQAZQApACAAXgAgACgAMQAgAC8AIABQAGUAcgBpAG8AZABzAFAAZQByAFkAZQBhAHIAKQAgAC0AIAAxACwAIABzAG8AIABjAG8AbQBwAG8AdQBuAGQAaQBuAGcAIAB0AGgAZQAgAHIAZQBzAHUAbAB0ALYAIAAgACAAIAAgACAAIAAgACAAIAAgACAAIAAgACAAkiFQAGUAcgBpAG8AZABzAFAAZQByAFkAZQBhAHIAIAB0AGkAbQBlAHMAIABnAGkAdgBlAHMAIAB0AGgAZQAgAGEAbgBuAHUAYQBsACAAcgBhAHQAZQAgAGIAYQBjAGsALgAgAFQAaABpAHMAIABpAHMAIAB0AGgAZQAgAHIAYQB0AGUAIABwAGUAcgC2ACAAIAAgACAAIAAgACAAIAAgACAAIAAgACAAIAAgAJIhcABlAHIAaQBvAGQAIAB0AGgAYQB0ACAATABlAGEAcwBlAEwAaQBhAGIAaQBsAGkAdAB5ALsDKAApACwAIABMAGUAYQBzAGUAUwBjAGgAZQBkAHUAbABlALsDKAApACAAYQBuAGQAIABMAGUAYQBzAGUAUgBlAG0AZQBhAHMAdQByAGUAuwMoACkAtgAgACAAIAAgACAAIAAgACAAIAAgACAAIAAgACAAIACSIXQAYQBrAGUALgAgAEkAdAAgAGkAcwAgAGYAbwByACAAYQBuACAAZQBmAGYAZQBjAHQAaQB2AGUAIABhAG4AbgB1AGEAbAAgAHIAYQB0AGUALgAgAEEAIABuAG8AbQBpAG4AYQBsACAAYQBuAG4AdQBhAGwAIABwAGUAcgBjAGUAbgB0AGEAZwBlALYAIAAgACAAIAAgACAAIAAgACAAIAAgACAAIAAgACAAkiFyAGEAdABlACAAdABoAGEAdAAgAGMAbwBtAHAAbwB1AG4AZABzACAAbQBvAG4AdABoAGwAeQAgAGkAcwAgAGEAbAByAGUAYQBkAHkAIABBAFAAUgAgAC8AIAAxADIAIABwAGUAcgAgAG0AbwBuAHQAaAAsACAAcwBvACAAZABvACAAbgBvAHQAtgAgACAAIAAgACAAIAAgACAAIAAgACAAIAAgACAAIACSIXAAYQBzAHMAIABpAHQAIABoAGUAcgBlADsAIABFAEYARgBFAEMAVAAoACkAIAB0AHUAcgBuAHMAIABvAG4AZQAgAGkAbgB0AG8AIAB0AGgAZQAgAGUAZgBmAGUAYwB0AGkAdgBlACAAcgBhAHQAZQAgAHQAaABpAHMAIAB0AGEAawBlAHMALgC2ACAAIAAgACAAIAAgACAAIAAgACAAIAAgACAAIAAgAJIhQQBuAG4AdQBhAGwAUgBhAHQAZQC7AygAKQAgAGkAcwAgAHQAaABlACAAaQBuAHYAZQByAHMAZQ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YAIABTAGUAcAAgADIAMAAyADYAtgBcACIAIAAmAFwAbgAgACAAIAAgACAAIAAgACAAIAAgACAAIAAgACAAIAAgACAAIAAgACAAIAAgACAAIAAgACAAIAAgAFwAIgBQAEEAUgBBAE0ARQBUAEUAUgBTADoAIAAgACAAIACSIbYAXAAiACAAJgBcAG4AIAAgACAAIAAgACAAIAAgACAAIAAgACAAIAAgACAAIAAgACAAIAAgACAAIAAgACAAIAAgACAAIABcACIAQQBuAG4AdQBhAGwAUgBhAHQAZQAgACAAIAAgACAAkiEoAFIAZQBxAHUAaQByAGUAZAApACAARQBmAGYAZQBjAHQAaQB2AGUAIABhAG4AbgB1AGEAbAAgAHIAYQB0AGUALAAgAG8AcgAgAGEAIAByAG8AdwAgAG8AcgAgAGMAbwBsAHUAbQBuACAAbwBmACAAdABoAGUAbQAuALYAXAAiACAAJgBcAG4AIAAgACAAIAAgACAAIAAgACAAIAAgACAAIAAgACAAIAAgACAAIAAgACAAIAAgACAAIAAgACAAIABcACIAUABlAHIAaQBvAGQAcwBQAGUAcgBZAGUAYQByACAAkiEoAE8AcAB0AGkAbwBuAGEAbAA6ACAARABlAGYAYQB1AGwAdAAgAD0AIAAxADIAKQAgAFAAZQByAGkAbwBkAHMAIABpAG4AIABhACAAeQBlAGEAcgA6ACAAMQAyACAAZgBvAHIAIABtAG8AbgB0AGgAcwAsACAANAAgAGYAbwByACAAcQB1AGEAcgB0AGUAcgBzACwAIAAxACAAZgBvAHIAIAB5AGUAYQByAHM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QAGUAcgBpAG8AZABSAGEAdABlALsDKAAwAC4AMAA1ACkAtgBcACIAIAAmAFwAbgAgACAAIAAgACAAIAAgACAAIAAgACAAIAAgACAAIAAgACAAIAAgACAAIAAgACAAIAAgACAAIAAgAFwAIgCSIVIAZQBzAHUAbAB0ALYAXAAiACAAJgBcAG4AIAAgACAAIAAgACAAIAAgACAAIAAgACAAIAAgACAAIAAgACAAIAAgACAAIAAgACAAIAAgACAAIABcACIAkiEwAC4AMAAwADQAMAA3ADQ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JAFMATwBNAEkAVABUAEUARAAoAEEAbgBuAHUAYQBsAFIAYQB0AGUAKQAsAFwAbgAgACAAIAAgAC8ALwAgACAAQQAgAGIAbABhAG4AawAgAFAAZQByAGkAbwBkAHMAUABlAHIAWQBlAGEAcgAgAGMAZQBsAGwAIABpAHMAIABuAG8AdAAgAGEAbgAgAG8AbQBpAHQAdABlAGQAIABhAHIAZwB1AG0AZQBuAHQALAAgAHMAbwAgAHQAZQBzAHQAIABmAG8AcgAgAGIAbwB0AGgALgAgAFQAaABlAFwAbgAgACAAIAAgAC8ALwAgACAAYgBsAGEAbgBrACAAdABlAHMAdAAgAHMAdABhAHkAcwAgAGUAbABlAG0AZQBuAHQALQB3AGkAcwBlADoAIABPAFIAKAApACAAcgBlAGQAdQBjAGUAZAAgAGEAIABjAG8AbAB1AG0AbgAgAG8AZgAgAGYAcgBlAHEAdQBlAG4AYwBpAGUAcwAgAHQAbwAgAG8AbgBlACAAVABSAFUARQAsAFwAbgAgACAAIAAgAC8ALwAgACAAcwBvACAAYQAgAHMAaQBuAGcAbABlACAAYgBsAGEAbgBrACAAZwBhAHYAZQAgAGUAdgBlAHIAeQAgAHIAbwB3ACAAMQAyAC4AXABuACAAIAAgACAAIAAgACAAIABQAGUAcgBpAG8AZABzACwAIAAgACAAIAAgACAAIAAgAEkARgAoAEkAUwBPAE0ASQBUAFQARQBEACgAUABlAHIAaQBvAGQAcwBQAGUAcgBZAGUAYQByACkALAAgADEAMgAsAFwAbgAgACAAIAAgACAAIAAgACAAIAAgACAAIAAgACAAIAAgACAAIAAgACAAIAAgACAAIAAgACAAIAAgAEkARgAoAEkAUwBOAFUATQBCAEUAUgAoAFAAZQByAGkAbwBkAHMAUABlAHIAWQBlAGEAcgApACwAIABQAGUAcgBpAG8AZABzAFAAZQByAFkAZQBhAHIALAAgADEAMgApACkALABcAG4AIAAgACAAIAAgACAAIAAgAFIAZQBzAHUAbAB0ACwAIAAgACAAIAAgACAAIAAgACAAKAAxACAAKwAgAEEAbgBuAHUAYQBsAFIAYQB0AGUAKQAgAF4AIAAoADEAIAAvACAAUABlAHIAaQBvAGQAcwApACAALQAgADE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QQBuAG4AdQBhAGwAUgBhAHQAZQC7A1wAbgAgACAAIAAgAEQARQBTAEMAUgBJAFAAVABJAE8ATgA6ACoALwAvACoAKgBDAG8AbgB2AGUAcgB0AHMAIABhACAAcgBhAHQAZQAgAHAAZQByACAAcABlAHIAaQBvAGQAIAB0AG8AIAB0AGgAZQAgAGUAZgBmAGUAYwB0AGkAdgBlACAAYQBuAG4AdQBhAGwAIAByAGEAdABlACwAIAB0AGgAZQAgAGkAbgB2AGUAcgBzAGUAIABvAGYAIABQAGUAcgBpAG8AZABSAGEAdABlALsDKgAvAFwAbgBcAG4AQQBuAG4AdQBhAGwAUgBhAHQAZQC7AyAAPQAgAEwAQQBNAEIARABBACgAXABuAC8ALwAgACAAUABhAHIAYQBtAGUAdABlAHIAIABEAGUAYwBsAGEAcgBhAHQAaQBvAG4AXABuACAAIAAgACAAWwBQAGUAcgBpAG8AZABSAGEAdABlAF0ALABcAG4AIAAgACAAIABbAFAAZQByAGkAbwBkAHMAUABlAHIAWQBlAGEAcg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EAbgBuAHUAYQBsAFIAYQB0AGUAuwMoAFAAZQByAGkAbwBkAFIAYQB0AGUALAAgAFsAUABlAHIAaQBvAGQAcwBQAGUAcgBZAGUAYQByAF0AKQC2AFwAIgAgACYAXABuACAAIAAgACAAIAAgACAAIAAgACAAIAAgACAAIAAgACAAIAAgACAAIAAgACAAIAAgACAAIAAgACAAXAAiAEQARQBTAEMAUgBJAFAAVABJAE8ATgA6ACAAIAAgAJIhQwBvAG4AdgBlAHIAdABzACAAYQAgAHIAYQB0AGUAIABwAGUAcgAgAHAAZQByAGkAbwBkACAAdABvACAAdABoAGUAIABlAGYAZgBlAGMAdABpAHYAZQAgAGEAbgBuAHUAYQBsACAAcgBhAHQAZQAuALYATgBPAFQARQBTACEAIAAgACAAIAAgACAAIAAgACAAkiEoADEAIAArACAAUABlAHIAaQBvAGQAUgBhAHQAZQApACAAXgAgAFAAZQByAGkAbwBkAHMAUABlAHIAWQBlAGEAcgAgAC0AIAAxACwAIAB0AGgAZQAgAGkAbgB2AGUAcgBzAGUAIABvAGYAIABQAGUAcgBpAG8AZABSAGEAdABlALsDKAApAC4AtgAgACAAIAAgACAAIAAgACAAIAAgACAAIAAgACAAIACSIVUAcwBlACAAaQB0ACAAdABvACAAcwB0AGEAdABlACAAYQAgAHIAYQB0AGUAIABwAGUAcgAgAHAAZQByAGkAbwBkACwAIABzAHUAYwBoACAAYQBzACAAYQAgAGwAZQBhAHMAZQAgAHIAYQB0AGUAIABzAG8AbAB2AGUAZAAgAHAAZQByALYAIAAgACAAIAAgACAAIAAgACAAIAAgACAAIAAgACAAkiFtAG8AbgB0AGgALAAgAGEAcwAgAHQAaABlACAAYQBuAG4AdQBhAGwAIABmAGkAZwB1AHIAZQAgAGEAIAByAGUAYQBkAGUAcgAgAGUAeABwAGUAYwB0AHMALgC2AFwAIgAgACY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2ACAAUwBlAHAAIAAyADAAMgA2ALYAXAAiACAAJgBcAG4AIAAgACAAIAAgACAAIAAgACAAIAAgACAAIAAgACAAIAAgACAAIAAgACAAIAAgACAAIAAgACAAIABcACIAUABBAFIAQQBNAEUAVABFAFIAUwA6ACAAIAAgACAAkiG2AFwAIgAgACYAXABuACAAIAAgACAAIAAgACAAIAAgACAAIAAgACAAIAAgACAAIAAgACAAIAAgACAAIAAgACAAIAAgACAAXAAiAFAAZQByAGkAbwBkAFIAYQB0AGUAIAAgACAAIAAgAJIhKABSAGUAcQB1AGkAcgBlAGQAKQAgAFIAYQB0AGUAIABwAGUAcgAgAHAAZQByAGkAbwBkACwAIABvAHIAIABhACAAcgBvAHcAIABvAHIAIABjAG8AbAB1AG0AbgAgAG8AZgAgAHQAaABlAG0ALgC2AFwAIgAgACYAXABuACAAIAAgACAAIAAgACAAIAAgACAAIAAgACAAIAAgACAAIAAgACAAIAAgACAAIAAgACAAIAAgACAAXAAiAFAAZQByAGkAbwBkAHMAUABlAHIAWQBlAGEAcgAgAJIhKABPAHAAdABpAG8AbgBhAGwAOgAgAEQAZQBmAGEAdQBsAHQAIAA9ACAAMQAyACkAIABQAGUAcgBpAG8AZABzACAAaQBuACAAYQAgAHkAZQBhAHIAOgAgADEAMgAgAGYAbwByACAAbQBvAG4AdABoAHMALAAgADQAIABmAG8AcgAgAHEAdQBhAHIAdABlAHIAcwAsACAAMQAgAGYAbwByACAAeQBlAGEAcgBz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QQBuAG4AdQBhAGwAUgBhAHQAZQC7AygAMAAuADAAMQApALYAXAAiACAAJgBcAG4AIAAgACAAIAAgACAAIAAgACAAIAAgACAAIAAgACAAIAAgACAAIAAgACAAIAAgACAAIAAgACAAIABcACIAkiFSAGUAcwB1AGwAdAC2AFwAIgAgACYAXABuACAAIAAgACAAIAAgACAAIAAgACAAIAAgACAAIAAgACAAIAAgACAAIAAgACAAIAAgACAAIAAgACAAXAAiAJIhMAAuADEAMgA2ADgAMgA1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SQBTAE8ATQBJAFQAVABFAEQAKABQAGUAcgBpAG8AZABSAGEAdABlACkALABcAG4AIAAgACAAIAAvAC8AIAAgAEEAIABiAGwAYQBuAGsAIABQAGUAcgBpAG8AZABzAFAAZQByAFkAZQBhAHIAIABjAGUAbABsACAAaQBzACAAbgBvAHQAIABhAG4AIABvAG0AaQB0AHQAZQBkACAAYQByAGcAdQBtAGUAbgB0ACwAIABzAG8AIAB0AGUAcwB0ACAAZgBvAHIAIABiAG8AdABoAC4AIABUAGgAZQBcAG4AIAAgACAAIAAvAC8AIAAgAGIAbABhAG4AawAgAHQAZQBzAHQAIABzAHQAYQB5AHMAIABlAGwAZQBtAGUAbgB0AC0AdwBpAHMAZQA6ACAATwBSACgAKQAgAHIAZQBkAHUAYwBlAGQAIABhACAAYwBvAGwAdQBtAG4AIABvAGYAIABmAHIAZQBxAHUAZQBuAGMAaQBlAHMAIAB0AG8AIABvAG4AZQAgAFQAUgBVAEUALABcAG4AIAAgACAAIAAvAC8AIAAgAHMAbwAgAGEAIABzAGkAbgBnAGwAZQAgAGIAbABhAG4AawAgAGcAYQB2AGUAIABlAHYAZQByAHkAIAByAG8AdwAgADEAMgAuAFwAbgAgACAAIAAgACAAIAAgACAAUABlAHIAaQBvAGQAcwAsACAAIAAgACAAIAAgACAAIABJAEYAKABJAFMATwBNAEkAVABUAEUARAAoAFAAZQByAGkAbwBkAHMAUABlAHIAWQBlAGEAcgApACwAIAAxADIALABcAG4AIAAgACAAIAAgACAAIAAgACAAIAAgACAAIAAgACAAIAAgACAAIAAgACAAIAAgACAAIAAgACAAIABJAEYAKABJAFMATgBVAE0AQgBFAFIAKABQAGUAcgBpAG8AZABzAFAAZQByAFkAZQBhAHIAKQAsACAAUABlAHIAaQBvAGQAcwBQAGUAcgBZAGUAYQByACwAIAAxADIAKQApACwAXABuACAAIAAgACAAIAAgACAAIABSAGUAcwB1AGwAdAAsACAAIAAgACAAIAAgACAAIAAgACgAMQAgACsAIABQAGUAcgBpAG8AZABSAGEAdABlACkAIABeACAAUABlAHIAaQBvAGQAcwAgAC0AIAAxACwAXABuACAAIAAgACAALwAvACAAIABSAGUAdAB1AHIAbgAgAFIAZQBzAHUAbAB0ACAAbwByACAASABlAGwAcABcAG4AIAAgACAAIAAgACAAIAAgAEMASABPAE8AUwBFACgAIABIAGUAbABwAD8AIAArACAAMQAsACAAUgBlAHMAdQBsAHQALAAgAEgAZQBsAHAAKQBcAG4AIAAgACAAIAApAFwAbgApADsAXABuAFwAbgBcAG4ALwAqACAAIABGAFUATgBDAFQASQBPAE4AIABOAEEATQBFADoAIAAgAEQAYQB5AEMAbwB1AG4AdABSAGEAdABlALsDXABuACAAIAAgACAARABFAFMAQwBSAEkAUABUAEkATwBOADoAKgAvAC8AKgAqAEkAbgB0AGUAcgBlAHMAdAAgAHIAYQB0AGUAIABmAG8AcgAgAGUAYQBjAGgAIABwAGUAcgBpAG8AZAAgAG8AZgAgAGEAIAB0AGkAbQBlAGwAaQBuAGUAIAB1AG4AZABlAHIAIABhACAAZABhAHkAIABjAG8AdQBuAHQAIABjAG8AbgB2AGUAbgB0AGkAbwBuADoAIAAzADAALwAzADYAMAAsACAAQQBjAHQAdQBhAGwALwAzADYAMAAsACAAQQBjAHQAdQBhAGwALwAzADYANQAgAG8AcgAgAEEAYwB0AHUAYQBsAC8AQQBjAHQAdQBhAGwAKgAvAFwAbgBcAG4ARABhAHkAQwBvAHUAbgB0AFIAYQB0AGUAuwMgAD0AIABMAEEATQBCAEQAQQAoAFwAbgAvAC8AIAAgAFAAYQByAGEAbQBlAHQAZQByACAARABlAGMAbABhAHIAYQB0AGkAbwBuAFwAbgAgACAAIAAgAFsAVABpAG0AZQBsAGkAbgBlAF0ALABcAG4AIAAgACAAIABbAEEAUABSAF0ALABcAG4AIAAgACAAIABbAEMAbwBuAHYAZQBuAHQAaQBvAG4AXQAsAFwAbgAgACAAIAAgAFsARQBuAGQARABhAHQAZQBz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RABhAHkAQwBvAHUAbgB0AFIAYQB0AGUAuwMoAFQAaQBtAGUAbABpAG4AZQAsACAAQQBQAFIALAAgAFsAQwBvAG4AdgBlAG4AdABpAG8AbgBdACwAIABbAEUAbgBkAEQAYQB0AGUAcwBdACkAtgBcACIAIAAmAFwAbgAgACAAIAAgACAAIAAgACAAIAAgACAAIAAgACAAIAAgACAAIAAgACAAIAAgACAAIAAgACAAIAAgAFwAIgBEAEUAUwBDAFIASQBQAFQASQBPAE4AOgAgACAAIACSIUkAbgB0AGUAcgBlAHMAdAAgAHIAYQB0AGUAIABmAG8AcgAgAGUAYQBjAGgAIABwAGUAcgBpAG8AZAAgAG8AZgAgAGEAIAB0AGkAbQBlAGwAaQBuAGUAIAB1AG4AZABlAHIAIABhACAAZABhAHkAIABjAG8AdQBuAHQAIABjAG8AbgB2AGUAbgB0AGkAbwBuAC4AtgBOAE8AVABFAFMAIQAgACAAIAAgACAAIAAgACAAIACSIVIAZQB0AHUAcgBuAHMAIABhACAAcgBvAHcAIAB3AGkAdABoACAAbwBuAGUAIAByAGEAdABlACAAcABlAHIAIAB0AGkAbQBlAGwAaQBuAGUAIABwAGUAcgBpAG8AZAAsACAAdwBoAGkAYwBoAGUAdgBlAHIAIAB3AGEAeQAgAHQAaABlALYAIAAgACAAIAAgACAAIAAgACAAIAAgACAAIAAgACAAkiF0AGkAbQBlAGwAaQBuAGUAIAByAHUAbgBzADoAIABBAFAAUgAgAG0AdQBsAHQAaQBwAGwAaQBlAGQAIABiAHkAIAB0AGgAZQAgAGQAYQB5AHMAIABpAG4AIAB0AGgAZQAgAHAAZQByAGkAbwBkACAAYQBuAGQAIABkAGkAdgBpAGQAZQBkACAAYgB5ALYAIAAgACAAIAAgACAAIAAgACAAIAAgACAAIAAgACAAkiF0AGgAZQAgAGQAYQB5AHMAIABpAG4AIAB0AGgAZQAgAHkAZQBhAHIALAAgAGEAcwAgAHQAaABlACAAYwBvAG4AdgBlAG4AdABpAG8AbgAgAGMAbwB1AG4AdABzACAAdABoAGUAbQAuACAAUABhAHMAcwAgAHQAaABlACAAcgBlAHMAdQBsAHQAIAB0AG8AtgAgACAAIAAgACAAIAAgACAAIAAgACAAIAAgACAAIACSIUQAZQBiAHQAUwBjAHUAbABwAHQAVgBhAHIAaQBhAGIAbABlALsDKAApACAAbwByACAARABlAGIAdABTAGMAdQBsAHAAdABWAGEAcgBpAGEAYgBsAGUATABSAFYAuwMoACkAIABhAHMAIABQAGUAcgBpAG8AZABSAGEAdABlAHMAIABpAG4AIABwAGwAYQBjAGUAtgAgACAAIAAgACAAIAAgACAAIAAgACAAIAAgACAAIACSIW8AZgAgAGEAIABmAGwAYQB0ACAAdAB3AGUAbABmAHQAaAAgAG8AZgAgAHQAaABlACAAQQBQAFIALgAgAFcAaQB0AGgAIABzAHQAYQByAHQAIABkAGEAdABlAHMAIABlAGEAYwBoACAAcABlAHIAaQBvAGQAIAByAHUAbgBzACAAZgByAG8AbQAgAGkAdABzALYAIAAgACAAIAAgACAAIAAgACAAIAAgACAAIAAgACAAkiFkAGEAdABlACAAdABvACAAdABoAGUAIABkAGEAeQAgAGIAZQBmAG8AcgBlACAAdABoAGUAIABuAGUAeAB0ACwAIABhAG4AZAAgAHQAaABlACAAbABhAHMAdAAgAHAAZQByAGkAbwBkACAAdABhAGsAZQBzACAAaQB0AHMAIABsAGUAbgBnAHQAaAC2ACAAIAAgACAAIAAgACAAIAAgACAAIAAgACAAIAAgAJIhZgByAG8AbQAgAHQAaABlACAAbwBuAGUAIABiAGUAZgBvAHIAZQAgAGkAdAA7ACAAdwBpAHQAaAAgAGUAbgBkACAAZABhAHQAZQBzACAAZQBhAGMAaAAgAHIAdQBuAHMAIABmAHIAbwBtACAAdABoAGUAIABkAGEAeQAgAGEAZgB0AGUAcgAgAHQAaABlALYAIAAgACAAIAAgACAAIAAgACAAIAAgACAAIAAgACAAkiFwAHIAZQB2AGkAbwB1AHMAIABkAGEAdABlACAAdABvACAAaQB0AHMAIABvAHcAbgAsACAAYQBuAGQAIAB0AGgAZQAgAGYAaQByAHMAdAAgAHAAZQByAGkAbwBkACAAaQBzACAAdABoAGUAIABvAG4AZQAgAGkAbgBmAGUAcgByAGUAZAAuACAAQQC2ACAAIAAgACAAIAAgACAAIAAgACAAIAAgACAAIAAgAJIhZwBhAHAAIABvAGYAIAAyADgAIABkAGEAeQBzACAAbwByACAAbQBvAHIAZQAgAGkAcwAgAHIAZQBhAGQAIABhAHMAIAB3AGgAbwBsAGUAIABjAGEAbABlAG4AZABhAHIAIABtAG8AbgB0AGgAcwAsACAAYQAgAHMAaABvAHIAdABlAHIAIABvAG4AZQC2ACAAIAAgACAAIAAgACAAIAAgACAAIAAgACAAIAAgAJIhYQBzACAAZABhAHkAcwAuACAAMwAwAC8AMwA2ADAAIABjAG8AdQBuAHQAcwAgAGUAdgBlAHIAeQAgAG0AbwBuAHQAaAAgAGEAcwAgADMAMAAgAGQAYQB5AHMAIABvAG4AIAB0AGgAZQAgAEUAdQByAG8AcABlAGEAbgAgAHIAdQBsAGUALgC2ACAAIAAgACAAIAAgACAAIAAgACAAIAAgACAAIAAgAJIhVQBuAGQAZQByACAAQQBjAHQAdQBhAGwALwBBAGMAdAB1AGEAbAAgAGUAYQBjAGgAIABjAGEAbABlAG4AZABhAHIAIAB5AGUAYQByACAAdQBzAGUAcwAgAGkAdABzACAAbwB3AG4AIABsAGUAbgBnAHQAaAAgAGEAcwAgAHQAaABlALYAIAAgACAAIAAgACAAIAAgACAAIAAgACAAIAAgACAAkiFkAGUAbgBvAG0AaQBuAGEAdABvAHIAIAAoAHQAaABlACAASQBTAEQAQQAgAHIAdQBsAGUAKQAsACAAaQBuAGMAbAB1AGQAaQBuAGcAIABwAGUAcgBpAG8AZABzACAAcwBwAGEAbgBuAGkAbgBnACAAcwBlAHYAZQByAGEAbAAgAHkAZQBhAHIAcwAuALYAXAAiACAAJg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EAMAAgAFMAZQBwACAAMgAwADIANgC2AFwAIgAgACYAXABuACAAIAAgACAAIAAgACAAIAAgACAAIAAgACAAIAAgACAAIAAgACAAIAAgACAAIAAgACAAIAAgACAAXAAiAFAAQQBSAEEATQBFAFQARQBSAFMAOgAgACAAIAAgAJIhtgBcACIAIAAmAFwAbgAgACAAIAAgACAAIAAgACAAIAAgACAAIAAgACAAIAAgACAAIAAgACAAIAAgACAAIAAgACAAIAAgAFwAIgBUAGkAbQBlAGwAaQBuAGUAIAAgACAAIAAgACAAIACSISgAUgBlAHEAdQBpAHIAZQBkACkAIABBACAAcgBvAHcAIABvAHIAIABjAG8AbAB1AG0AbgAgAG8AZgAgAHAAZQByAGkAbwBkACAAZABhAHQAZQBzACwAIABhAHQAIABsAGUAYQBzAHQAIAB0AHcAbwAsACAAZQB2AGUAbgBsAHkAIABzAHAAYQBjAGUAZAAuALYAXAAiACAAJgBcAG4AIAAgACAAIAAgACAAIAAgACAAIAAgACAAIAAgACAAIAAgACAAIAAgACAAIAAgACAAIAAgACAAIABcACIAQQBQAFIAIAAgACAAIAAgACAAIAAgACAAIAAgACAAkiEoAFIAZQBxAHUAaQByAGUAZAApACAAQQBuAG4AdQBhAGwAIABwAGUAcgBjAGUAbgB0AGEAZwBlACAAcgBhAHQAZQAsACAAbwBuAGUAIAB2AGEAbAB1AGUAIABvAHIAIABvAG4AZQAgAHAAZQByACAAcABlAHIAaQBvAGQALgC2AFwAIgAgACYAXABuACAAIAAgACAAIAAgACAAIAAgACAAIAAgACAAIAAgACAAIAAgACAAIAAgACAAIAAgACAAIAAgACAAXAAiAEMAbwBuAHYAZQBuAHQAaQBvAG4AIAAgACAAIAAgAJIhKABPAHAAdABpAG8AbgBhAGwAOgAgAEQAZQBmAGEAdQBsAHQAIAA9ACAAMwApACAAMQAgAD0AIAAzADAALwAzADYAMAAsACAAMgAgAD0AIABBAGMAdAB1AGEAbAAvADMANgAwACwAIAAzACAAPQAgAEEAYwB0AHUAYQBsAC8AMwA2ADUALAAgADQAIAA9ACAAQQBjAHQAdQBhAGwALwBBAGMAdAB1AGEAbAAuACAAQQBuAHkAIABvAHQAaABlAHIAIABuAHUAbQBiAGUAcgAgAGkAcwAgACMAVgBBAEwAVQBFACEALgC2AFwAIgAgACYAXABuACAAIAAgACAAIAAgACAAIAAgACAAIAAgACAAIAAgACAAIAAgACAAIAAgACAAIAAgACAAIAAgACAAXAAiAEUAbgBkAEQAYQB0AGUAcwAgACAAIAAgACAAIAAgAJIhKABPAHAAdABpAG8AbgBhAGwAOgAgAEQAZQBmAGEAdQBsAHQAIAA9ACAARgBBAEwAUwBFACkAIABUAFIAVQBFACwAIABvAHIAIABhACAAbgB1AG0AYgBlAHIAIABvAHQAaABlAHIAIAB0AGgAYQBuACAAMAAsACAAdwBoAGUAbgAgAHQAaABlACAAdABpAG0AZQBsAGkAbgBlACAAcwBoAG8AdwBzACAAcABlAHIAaQBvAGQAIABlAG4AZAAgAGQAYQB0AGUAcwAgAHIAYQB0AGgAZQByACAAdABoAGEAbgAgAHMAdABhAHIAdAAgAGQAYQB0AGUAc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QAYQB5AEMAbwB1AG4AdABSAGEAdABlALsDKABFAEQAQQBUAEUAKABEAEEAVABFACgAMgAwADIANgAsADcALAAxACkALAAgAHsAMAAsADEALAAyAH0AKQAsACAAMAAuADAANwAzACkAtgBcACIAIAAmAFwAbgAgACAAIAAgACAAIAAgACAAIAAgACAAIAAgACAAIAAgACAAIAAgACAAIAAgACAAIAAgACAAIAAgAFwAIgCSIVIAZQBzAHUAbAB0ALYAXAAiACAAJgBcAG4AIAAgACAAIAAgACAAIAAgACAAIAAgACAAIAAgACAAIAAgACAAIAAgACAAIAAgACAAIAAgACAAIABcACIAkiEwAC4AMAAwADYAMgAsACAAMAAuADAAMAA2ADIALAAgADAALgAwADAANgAw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UAGkAbQBlAGwAaQBuAGUAKQAsACAASQBTAE8ATQBJAFQAVABFAEQAKABBAFAAUgApACkALABcAG4AIAAgACAAIAAvAC8AIAAgAEEAIABiAGwAYQBuAGsAIABjAGUAbABsACAAaQBzACAAbgBvAHQAIABhAG4AIABvAG0AaQB0AHQAZQBkACAAYQByAGcAdQBtAGUAbgB0ACwAIABzAG8AIAB0AGUAcwB0ACAAZgBvAHIAIABiAG8AdABoAFwAbgAgACAAIAAgACAAIAAgACAATQBlAHQAaABvAGQALAAgACAAIAAgACAAIAAgACAAIABJAEYAKABPAFIAKABJAFMATwBNAEkAVABUAEUARAAoAEMAbwBuAHYAZQBuAHQAaQBvAG4AKQAsACAATgBPAFQAKABJAFMATgBVAE0AQgBFAFIAKABDAG8AbgB2AGUAbgB0AGkAbwBuACkAKQApACwAIAAzACwAIABDAG8AbgB2AGUAbgB0AGkAbwBuACkALABcAG4AIAAgACAAIAAgACAAIAAgAEUAbgBkAEYAbABhAGcALAAgACAAIAAgACAAIAAgACAASQBGACgASQBTAEwATwBHAEkAQwBBAEwAKABFAG4AZABEAGEAdABlAHMAKQAsACAARQBuAGQARABhAHQAZQBzACwAIABJAEYAKABJAFMATgBVAE0AQgBFAFIAKABFAG4AZABEAGEAdABlAHMAKQAsACAARQBuAGQARABhAHQAZQBzACAAPAA+ACAAMAAsACAARgBBAEwAUwBFACkAKQAsAFwAbgAgACAAIAAgAC8ALwAgACAATwBuAGUAIAB0AGkAbQBlAGwAaQBuAGUAIABsAGEAaQBkACAAYQBsAG8AbgBnACAAYQAgAHIAbwB3ACwAIAB0AGUAeAB0ACAAZABhAHQAZQBzACAAcgBlAGEAZAAsACAAYQBuAGQAIABhACAAYwBvAGwAdQBtAG4AIABvAGYAIAByAGEAdABlAHMAIABsAGEAaQBkACAAdABoAGUAIABzAGEAbQBlACAAdwBhAHkAXABuACAAIAAgACAAIAAgACAAIABSAG8AdwAsACAAIAAgACAAIAAgACAAIAAgACAAIAAgAEkARgAoAFIATwBXAFMAKABUAGkAbQBlAGwAaQBuAGUAKQAgAD0AIAAxACwAIABUAGkAbQBlAGwAaQBuAGUALAAgAFQAUgBBAE4AUwBQAE8AUwBFACgAVABpAG0AZQBsAGkAbgBlACkAKQAsAFwAbgAgACAAIAAgACAAIAAgACAARABhAHQAZQBzACwAIAAgACAAIAAgACAAIAAgACAAIABJAEYAKABJAFMATgBVAE0AQgBFAFIAKABSAG8AdwApACwAIABSAG8AdwAsACAARABBAFQARQBWAEEATABVAEUAKABSAG8AdwApACkALABcAG4AIAAgACAAIAAgACAAIAAgAFIAYQB0AGUALAAgACAAIAAgACAAIAAgACAAIAAgACAASQBGACgAUgBPAFcAUwAoAEEAUABSACkAIAA9ACAAMQAsACAAQQBQAFIALAAgAFQAUgBBAE4AUwBQAE8AUwBFACgAQQBQAFIAKQApACwAXABuACAAIAAgACAAIAAgACAAIABDAG8AdQBuAHQALAAgACAAIAAgACAAIAAgACAAIAAgAEMATwBMAFUATQBOAFMAKABEAGEAdABlAHMAKQAsAFwAbgAgACAAIAAgAC8ALwAgACAAVABoAGUAIABwAGUAcgBpAG8AZAAgAGwAZQBuAGcAdABoACAAaQBzACAAcgBlAGEAZAAgAG8AZgBmACAAdABoAGUAIABmAGkAcgBzAHQAIABnAGEAcAAgAGYAbwByACAAdABoAGUAIABmAGkAcgBzAHQAIABwAGUAcgBpAG8AZAAgAGEAbgBkACAAdABoAGUAIABsAGEAcwB0ACAAZwBhAHAAXABuACAAIAAgACAALwAvACAAIABmAG8AcgAgAHQAaABlACAAbABhAHMAdAAsACAAaQBuACAAdwBoAG8AbABlACAAbQBvAG4AdABoAHMAIABmAHIAbwBtACAAMgA4ACAAZABhAHkAcwAgAHUAcAAgAGEAbgBkACAAaQBuACAAZABhAHkAcwAgAGIAZQBsAG8AdwAgAHQAaABhAHQALgAgAEEAIABtAG8AbgB0AGgALQBlAG4AZABcAG4AIAAgACAAIAAvAC8AIAAgAGQAYQB0AGUAIABzAHQAZQBwAHMAIABiAGEAYwBrACAAdABoAHIAbwB1AGcAaAAgAEUATwBNAE8ATgBUAEgALAAgAGIAZQBjAGEAdQBzAGUAIABFAEQAQQBUAEUAKAAyADgAIABGAGUAYgAsACAALQAxACkAIABpAHMAIAAyADgAIABKAGEAbgAsACAAbgBvAHQAIAAzADEAIABKAGEAbgAuAFwAbgAgACAAIAAgACAAIAAgACAARgBpAHIAcwB0AEcAYQBwACwAIAAgACAAIAAgACAAIABJAE4ARABFAFgAKABEAGEAdABlAHMALAAgADEALAAgADIAKQAgAC0AIABJAE4ARABFAFgAKABEAGEAdABlAHMALAAgADEALAAgADEAKQAsAFwAbgAgACAAIAAgACAAIAAgACAATABhAHMAdABHAGEAcAAsACAAIAAgACAAIAAgACAAIABJAE4ARABFAFgAKABEAGEAdABlAHMALAAgADEALAAgAEMAbwB1AG4AdAApACAALQAgAEkATgBEAEUAWAAoAEQAYQB0AGUAcwAsACAAMQAsACAAQwBvAHUAbgB0ACAALQAgADEAKQAsAFwAbgAgACAAIAAgACAAIAAgACAARgBpAHIAcwB0AEQAYQB0AGUALAAgACAAIAAgACAAIABJAE4ARABFAFgAKABEAGEAdABlAHMALAAgADEALAAgADEAKQAsAFwAbgAgACAAIAAgACAAIAAgACAARgBpAHIAcwB0AE0AbwBuAHQAaABzACwAIAAgACAAIABSAE8AVQBOAEQAKABGAGkAcgBzAHQARwBhAHAAIAAvACAAMwAwAC4ANQAsACAAMAApACwAXABuACAAIAAgACAAIAAgACAAIABGAGkAcgBzAHQAUwB0AGEAcgB0ACwAIAAgACAAIAAgAEkARgAoAEYAaQByAHMAdABHAGEAcAAgADwAIAAyADgALABcAG4AIAAgACAAIAAgACAAIAAgACAAIAAgACAAIAAgACAAIAAgACAAIAAgACAAIAAgACAAIAAgACAAIABGAGkAcgBzAHQARABhAHQAZQAgAC0AIABGAGkAcgBzAHQARwBhAHAALABcAG4AIAAgACAAIAAgACAAIAAgACAAIAAgACAAIAAgACAAIAAgACAAIAAgACAAIAAgACAAIAAgACAAIABJAEYAKABEAEEAWQAoAEYAaQByAHMAdABEAGEAdABlACAAKwAgADEAKQAgAD0AIAAxACwAXABuACAAIAAgACAAIAAgACAAIAAgACAAIAAgACAAIAAgACAAIAAgACAAIAAgACAAIAAgACAAIAAgACAAIAAgACAAIABFAE8ATQBPAE4AVABIACgARgBpAHIAcwB0AEQAYQB0AGUALAAgAC0ARgBpAHIAcwB0AE0AbwBuAHQAaABzACkALABcAG4AIAAgACAAIAAgACAAIAAgACAAIAAgACAAIAAgACAAIAAgACAAIAAgACAAIAAgACAAIAAgACAAIAAgACAAIAAgAEUARABBAFQARQAoAEYAaQByAHMAdABEAGEAdABlACwAIAAtAEYAaQByAHMAdABNAG8AbgB0AGgAcwApACkAKQAgACsAIAAxACwAXABuACAAIAAgACAAIAAgACAAIABMAGEAcwB0AEQAYQB0AGUALAAgACAAIAAgACAAIAAgAEkATgBEAEUAWAAoAEQAYQB0AGUAcwAsACAAMQAsACAAQwBvAHUAbgB0ACkALABcAG4AIAAgACAAIAAgACAAIAAgAEwAYQBzAHQATQBvAG4AdABoAHMALAAgACAAIAAgACAAUgBPAFUATgBEACgATABhAHMAdABHAGEAcAAgAC8AIAAzADAALgA1ACwAIAAwACkALABcAG4AIAAgACAAIAAgACAAIAAgAEwAYQBzAHQARQBuAGQALAAgACAAIAAgACAAIAAgACAASQBGACgATABhAHMAdABHAGEAcAAgADwAIAAyADgALABcAG4AIAAgACAAIAAgACAAIAAgACAAIAAgACAAIAAgACAAIAAgACAAIAAgACAAIAAgACAAIAAgACAAIABMAGEAcwB0AEQAYQB0AGUAIAArACAATABhAHMAdABHAGEAcAAsAFwAbgAgACAAIAAgACAAIAAgACAAIAAgACAAIAAgACAAIAAgACAAIAAgACAAIAAgACAAIAAgACAAIAAgAEkARgAoAEQAQQBZACgATABhAHMAdABEAGEAdABlACAAKwAgADEAKQAgAD0AIAAxACwAXABuACAAIAAgACAAIAAgACAAIAAgACAAIAAgACAAIAAgACAAIAAgACAAIAAgACAAIAAgACAAIAAgACAAIAAgACAAIABFAE8ATQBPAE4AVABIACgATABhAHMAdABEAGEAdABlACwAIABMAGEAcwB0AE0AbwBuAHQAaABzACkALABcAG4AIAAgACAAIAAgACAAIAAgACAAIAAgACAAIAAgACAAIAAgACAAIAAgACAAIAAgACAAIAAgACAAIAAgACAAIAAgAEUARABBAFQARQAoAEwAYQBzAHQARABhAHQAZQAsACAATABhAHMAdABNAG8AbgB0AGgAcwApACkAKQAgAC0AIAAxACwAXABuACAAIAAgACAALwAvACAAIABFAHYAZQByAHkAIABwAGUAcgBpAG8AZAAgAHIAdQBuAHMAIABmAHIAbwBtACAAaQB0AHMAIABzAHQAYQByAHQAIAB0AG8AIAB0AGgAZQAgAGQAYQB5ACAAYgBlAGYAbwByAGUAIAB0AGgAZQAgAG4AZQB4AHQAIABzAHQAYQByAHQAXABuACAAIAAgACAAIAAgACAAIABTAHQAYQByAHQAcwAsACAAIAAgACAAIAAgACAAIAAgAEkARgAoAEUAbgBkAEYAbABhAGcALAAgAEgAUwBUAEEAQwBLACgARgBpAHIAcwB0AFMAdABhAHIAdAAsACAARABSAE8AUAAoAEQAYQB0AGUAcwAsACAALAAgAC0AMQApACAAKwAgADEAKQAsACAARABhAHQAZQBzACkALABcAG4AIAAgACAAIAAgACAAIAAgAEUAbgBkAHMALAAgACAAIAAgACAAIAAgACAAIAAgACAASQBGACgARQBuAGQARgBsAGEAZwAsACAARABhAHQAZQBzACwAIABIAFMAVABBAEMASwAoAEQAUgBPAFAAKABEAGEAdABlAHMALAAgACwAIAAxACkAIAAtACAAMQAsACAATABhAHMAdABFAG4AZAApACkALABcAG4AIAAgACAAIAAgACAAIAAgAE4AZQB4AHQALAAgACAAIAAgACAAIAAgACAAIAAgACAARQBuAGQAcwAgACsAIAAxACwAXABuACAAIAAgACAALwAvACAAIAAzADAALwAzADYAMAAgAG8AbgAgAHQAaABlACAARQB1AHIAbwBwAGUAYQBuACAAcgB1AGwAZQA6ACAAYQAgADMAMQBzAHQAIABjAG8AdQBuAHQAcwAgAGEAcwAgAHQAaABlACAAMwAwAHQAaAAgAGEAdAAgAGUAaQB0AGgAZQByACAAZQBuAGQAXABuACAAIAAgACAAIAAgACAAIABEAGEAeQBzACwAIAAgACAAIAAgACAAIAAgACAAIAAgAEkARgAoAE0AZQB0AGgAbwBkACAAPQAgADEALABcAG4AIAAgACAAIAAgACAAIAAgACAAIAAgACAAIAAgACAAIAAgACAAIAAgACAAIAAgACAAIAAgACAAIAAzADYAMAAgACoAIAAoAFkARQBBAFIAKABOAGUAeAB0ACkAIAAtACAAWQBFAEEAUgAoAFMAdABhAHIAdABzACkAKQAgACsAIAAzADAAIAAqACAAKABNAE8ATgBUAEgAKABOAGUAeAB0ACkAIAAtACAATQBPAE4AVABIACgAUwB0AGEAcgB0AHMAKQApAFwAbgAgACAAIAAgACAAIAAgACAAIAAgACAAIAAgACAAIAAgACAAIAAgACAAIAAgACAAIAAgACAAIAAgACAAIAAgACAAKwAgAEkARgAoAEQAQQBZACgATgBlAHgAdAApACAAPgAgADMAMAAsACAAMwAwACwAIABEAEEAWQAoAE4AZQB4AHQAKQApACAALQAgAEkARgAoAEQAQQBZACgAUwB0AGEAcgB0AHMAKQAgAD4AIAAzADAALAAgADMAMAAsACAARABBAFkAKABTAHQAYQByAHQAcwApACkALABcAG4AIAAgACAAIAAgACAAIAAgACAAIAAgACAAIAAgACAAIAAgACAAIAAgACAAIAAgACAAIAAgACAAIABOAGUAeAB0ACAALQAgAFMAdABhAHIAdABzACkALABcAG4AIAAgACAAIAAvAC8AIAAgAEEAYwB0AHUAYQBsAC8AQQBjAHQAdQBhAGwAIABjAG8AdQBuAHQAcwAgAHAAYQByAHQAaQBhAGwAIABmAGkAcgBzAHQAIABhAG4AZAAgAGwAYQBzAHQAIAB5AGUAYQByAHMALAAgAHAAbAB1AHMAIABhAG4AeQAgAHcAaABvAGwAZQAgAHkAZQBhAHIAcwAgAGIAZQB0AHcAZQBlAG4ALgBcAG4AIAAgACAAIAAvAC8AIAAgAEkARgAgAHIAYQB0AGgAZQByACAAdABoAGEAbgAgAE0ASQBOACwAIABiAGUAYwBhAHUAcwBlACAATQBJAE4AIAB3AG8AdQBsAGQAIABjAG8AbABsAGEAcABzAGUAIAB0AGgAZQAgAHIAbwB3ACAAdABvACAAbwBuAGUAIAB2AGEAbAB1AGUALgBcAG4AIAAgACAAIAAgACAAIAAgAFkAZQBhAHIATwBuAGUALAAgACAAIAAgACAAIAAgACAAWQBFAEEAUgAoAFMAdABhAHIAdABzACkALABcAG4AIAAgACAAIAAgACAAIAAgAEIAbwB1AG4AZABhAHIAeQAsACAAIAAgACAAIAAgACAARABBAFQARQAoAFkAZQBhAHIATwBuAGUAIAArACAAMQAsACAAMQAsACAAMQApACwAXABuACAAIAAgACAAIAAgACAAIABTAHAAbABpAHQALAAgACAAIAAgACAAIAAgACAAIAAgAEkARgAoAE4AZQB4AHQAIAA8ACAAQgBvAHUAbgBkAGEAcgB5ACwAIABOAGUAeAB0ACwAIABCAG8AdQBuAGQAYQByAHkAKQAsAFwAbgAgACAAIAAgACAAIAAgACAARABhAHkAcwBPAG4AZQAsACAAIAAgACAAIAAgACAAIABJAEYAKABEAEEAWQAoAEQAQQBUAEUAKABZAGUAYQByAE8AbgBlACwAIAAyACwAIAAyADkAKQApACAAPQAgADIAOQAsACAAMwA2ADYALAAgADMANgA1ACkALABcAG4AIAAgACAAIAAgACAAIAAgAFkAZQBhAHIATABhAHMAdAAsACAAIAAgACAAIAAgACAAWQBFAEEAUgAoAE4AZQB4AHQAKQAsAFwAbgAgACAAIAAgACAAIAAgACAATABhAHMAdABZAGUAYQByAFMAdABhAHIAdAAsACAAIABEAEEAVABFACgAWQBlAGEAcgBMAGEAcwB0ACwAIAAxACwAIAAxACkALABcAG4AIAAgACAAIAAgACAAIAAgAEQAYQB5AHMATABhAHMAdAAsACAAIAAgACAAIAAgACAARABBAFQARQAoAFkAZQBhAHIATABhAHMAdAAgACsAIAAxACwAIAAxACwAIAAxACkAIAAtACAATABhAHMAdABZAGUAYQByAFMAdABhAHIAdAAsAFwAbgAgACAAIAAgACAAIAAgACAARgByAGEAYwB0AGkAbwBuACwAIAAgACAAIAAgACAAIABTAFcASQBUAEMASAAoAE0AZQB0AGgAbwBkACwAXABuACAAIAAgACAAIAAgACAAIAAgACAAIAAgACAAIAAgACAAIAAgACAAIAAgACAAIAAgACAAIAAgACAAMQAsACAARABhAHkAcwAgAC8AIAAzADYAMAAsAFwAbgAgACAAIAAgACAAIAAgACAAIAAgACAAIAAgACAAIAAgACAAIAAgACAAIAAgACAAIAAgACAAIAAgADIALAAgAEQAYQB5AHMAIAAvACAAMwA2ADAALABcAG4AIAAgACAAIAAgACAAIAAgACAAIAAgACAAIAAgACAAIAAgACAAIAAgACAAIAAgACAAIAAgACAAIAA0ACwAIAAoAFMAcABsAGkAdAAgAC0AIABTAHQAYQByAHQAcwApACAALwAgAEQAYQB5AHMATwBuAGUAIAArACAASQBGACgAWQBlAGEAcgBMAGEAcwB0ACAAPgAgAFkAZQBhAHIATwBuAGUALABcAG4AIAAgACAAIAAgACAAIAAgACAAIAAgACAAIAAgACAAIAAgACAAIAAgACAAIAAgACAAIAAgACAAIAAgACAAIAAgAFkAZQBhAHIATABhAHMAdAAgAC0AIABZAGUAYQByAE8AbgBlACAALQAgADEAIAArACAAKABOAGUAeAB0ACAALQAgAEwAYQBzAHQAWQBlAGEAcgBTAHQAYQByAHQAKQAgAC8AIABEAGEAeQBzAEwAYQBzAHQALAAgADAAKQAsAFwAbgAgACAAIAAgACAAIAAgACAAIAAgACAAIAAgACAAIAAgACAAIAAgACAAIAAgACAAIAAgACAAIAAgAEQAYQB5AHMAIAAvACAAMwA2ADUAKQAsAFwAbgAgACAAIAAgACAAIAAgACAAUgBhAHQAZQBzACwAIAAgACAAIAAgACAAIAAgACAAIABSAGEAdABlACAAKgAgAEYAcgBhAGMAdABpAG8AbgAsAFwAbgAgACAAIAAgACAAIAAgACAAUgBlAHMAdQBsAHQALAAgACAAIAAgACAAIAAgACAAIABJAEYAKABPAFIAKABDAG8AdQBuAHQAIAA8ACAAMgAsACAATgBPAFQAKABPAFIAKABNAGUAdABoAG8AZAAgAD0AIAB7ADEALAAyACwAMwAsADQAfQApACkAKQAsACAAIwBWAEEATABVAEUAIQAsACAAUgBhAHQAZQBzACkALABcAG4AIAAgACAAIAAvAC8AIAAgAFIAZQB0AHUAcgBuACAAUgBlAHMAdQBsAHQAIABvAHIAIABIAGUAbABwAFwAbgAgACAAIAAgACAAIAAgACAAQwBIAE8ATwBTAEUAKAAgAEgAZQBsAHAAPwAgACsAIAAxACwAIABSAGUAcwB1AGwAdAAsACAASABlAGwAcAApAFwAbgAgACAAIAAgACkAXABuACkAOwBcAG4AIgB9ACwAewAiAHAAYQB0AGgAIgA6ACIALwBwAHIAbwBqAGUAYwB0AHMALwBSAGEAdABpAG8AcwAiACwAIgB0AGUAeAB0ACIAOgAiAC8AKgAgACAATQBvAGQAdQBsAGUAIABDAG8AbgB0AGEAaQBuAHMAIABhACAAbABpAGIAcgBhAHIAeQAgAG8AZgAgAEYAaQBuAGEAbgBjAGkAYQBsACAAUgBhAHQAaQBvAHMAIAAqAC8AXABuAFwAbgAvACoAIAAgAEYAVQBOAEMAVABJAE8ATgAgAE4AQQBNAEUAOgAgACAAQQBiAG8AdQB0AFIAYQB0AGkAbwBzALsDXABuACAAIAAgACAARABFAFMAQwBSAEkAUABUAEkATwBOADoAKgAvAC8AKgAqAEQAaQBzAHAAbABhAHkAcwAgAHQAaABpAHMAIABtAG8AZAB1AGwAZQAnAHMAIAByAGUAcABvAHMAaQB0AG8AcgB5ACAAVQBSAEwAIABhAG4AZAAgAGYAdQBuAGMAdABpAG8AbgAgAGwAaQBzAHQAKgAvAFwAbgBBAGIAbwB1AHQAUgBhAHQAaQBvAHMAuwMgAD0AIABUAFIASQBNACgAXABuACAAIAAgACAAVABFAFgAVABTAFAATABJAFQAKABcAG4AIAAgACAAIAAgACAAIAAgAFwAIgBBAGIAbwB1AHQAOgAgACAAIAAgACAAIAAgACAAIAAgACAAIAAgACAAIAAgACAAIAAgACAAIACSIUEAIABsAGkAYgByAGEAcgB5ACAAbwBmACAARgBpAG4AYQBuAGMAaQBhAGwAIABSAGEAdABpAG8AcwC2AFwAIgAgACYAXABuACAAIAAgACAAIAAgACAAIABcACIAVgBlAHIAcwBpAG8AbgA6ACAAIAAgACAAIAAgACAAIAAgACAAIAAgACAAIAAgACAAIAAgACAAkiEyADAAIABBAHUAZwAgADIAMAAyADYAtgBcACIAIAAmAFwAbgAgACAAIAAgACAAIAAgACAAXAAiAFIAZQBwAG8AcwBpAHQAbwByAHkAOgAgACAAIAAgACAAIAAgACAAIAAgACAAIAAgACAAIAAgACAAIACSIWgAdAB0AHAAcwA6AC8ALwBnAGkAdABoAHUAYgAuAGMAbwBtAC8AcgB5AGEAbgBkAHUAZwB1AGkAZAAvAE8AegB6AGkAdAAgALYAXAAiACAAJgBcAG4AIAAgACAAIAAgACAAIAAgAFwAIgBOAG8AdABlAHMAOgAgACAAIAAgACAAIAAgACAAIAAgACAAIAAgACAAIAAgACAAIAAgACAAIACSIVMAbwB1AHIAYwBlAHMAIABpAG4AYwBsAHUAZABlACAASQBuAHYAZQBzAHQAbwBwAGUAZABpAGEALgBjAG8AbQAsACAAQwBvAHIAcABvAHIAYQB0AGUAIABGAGkAbgBhAG4AYwBlACAAYQBuAGQAIABXAGEAbABsAFMAdAByAGUAZQB0AFAAcgBlAHAALgBjAG8AbQAuALYAXAAiACAAJgBcAG4AIAAgACAAIAAgACAAIAAgACAAIAAgACAAIAAgACAAIAAgACAAIAAgACAAIAAgACAAIAAgACAAIAAgACAAIAAgACAAIAAgAFwAIgCSIUMAbwBwAHkAcgBpAGcAaAB0ACAAYQBwAHAAbABpAGUAcwAgAHQAbwAgAEwAQQBNAEIARABBACAAYwBvAGQAaQBuAGcAtgBcACIAIAAmAFwAbgAgACAAIAAgACAAIAAgACAAXAAiAJIhtgBcACIAIAAmACAAXABuACAAIAAgACAAIAAgACAAIABcACIARgB1AG4AYwB0AGkAbwBuACAAIAAgACAAIAAgACAAIAAgACAAIAAgACAAIAAgACAAIAAgACAAkiFEAGUAcwBjAHIAaQBwAHQAaQBvAG4AtgBcACIAIAAmACAAXABuACAAIAAgACAAIAAgACAAIABcACIAQQBiAG8AdQB0AFIAYQB0AGkAbwBzALsDIAAgACAAIAAgACAAIAAgACAAIAAgACAAIAAgACAAIAAgACAAIAAgACAAkiFQAHIAbwBkAHUAYwBlAHMAIAB0AGgAaQBzACAAdABhAGIAbABlALYAXAAiACAAJgBcAG4AIAAgACAAIAAgACAAIAAgAFwAIgCSIbYAXAAiACAAJgAgAFwAbgAgACAAIAAgACAAIAAgACAAXAAiAEwAaQBxAHUAaQBkAGkAdAB5ACAAUgBhAHQAaQBvAHMAkiG2AFwAIgAgACYAXABuACAAIAAgACAAIAAgACAAIABcACIAQwB1AHIAcgBlAG4AdABSAGEAdABpAG8AuwMgACAAIAAgACAAIAAgACAAIAAgACAAIAAgACAAkiFNAGUAYQBzAHUAcgBlAHMAIABhAGIAaQBsAGkAdAB5ACAAdABvACAAcABhAHkAIABzAGgAbwByAHQALQB0AGUAcgBtACAAbwBiAGwAaQBnAGEAdABpAG8AbgBzALYAXAAiACAAJgBcAG4AIAAgACAAIAAgACAAIAAgAFwAIgBRAHUAaQBjAGsAUgBhAHQAaQBvALsDIAAgACAAIAAgACAAIAAgACAAIAAgACAAIAAgACAAIACSIU0AZQBhAHMAdQByAGUAcwAgAGEAYgBpAGwAaQB0AHkAIAB0AG8AIABtAGUAZQB0ACAAcwBoAG8AcgB0AC0AdABlAHIAbQAgAG8AYgBsAGkAZwBhAHQAaQBvAG4AcwC2AFwAIgAgACYAXABuACAAIAAgACAAIAAgACAAIABcACIAQwBhAHMAaABSAGEAdABpAG8AuwMgACAAIAAgACAAIAAgACAAIAAgACAAIAAgACAAIAAgACAAkiFFAHYAYQBsAHUAYQB0AGUAcwAgAGEAYgBpAGwAaQB0AHkAIAB0AG8AIAByAGUAcABhAHkAIABzAGgAbwByAHQALQB0AGUAcgBtACAAZABlAGIAdAAgAHcALwBjAGEAcwBoACAAbwByACAAbgBlAGEAcgAtAGMAYQBzAGgAIAByAGUAcwBvAHUAcgBjAGUAcwC2AFwAIgAgACYAXABuACAAIAAgACAAIAAgACAAIABcACIATwBwAGUAcgBhAHQAaQBuAGcAQwBhAHMAaABGAGwAbwB3AFIAYQB0AGkAbwC7AyAAIAAgACAAkiFNAGUAYQBzAHUAcgBlAHMAIABoAG8AdwAgAHIAZQBhAGQAaQBsAHkAIABjAHUAcgByAGUAbgB0ACAAbABpAGEAYgBpAGwAaQB0AGkAZQBzACAAYQByAGUAIABjAG8AdgBlAHIAZQBkACAAYgB5ACAAYwBhAHMAaAAgAGYAbABvAHcAcwAgAGcAZQBuAGUAcgBhAHQAZQBkACAAZgByAG8AbQAgAG8AcABlAHIAYQB0AGkAbwBuAHMALgAgALYAXAAiACAAJgBcAG4AIAAgACAAIAAgACAAIAAgAFwAIgBSAGUAYwBlAGkAdgBhAGIAbABlAHMAVAB1AHIAbgBvAHYAZQByAFIAYQB0AGkAbwC7AyAAIACSIUkAbgBkAGkAYwBhAHQAZQBzACAAZQBmAGYAZQBjAHQAaQB2AGUAbgBlAHMAcwAgAGkAbgAgAGMAbwBsAGwAZQBjAHQAaQBuAGcAIABvAHUAdABzAHQAYQBuAGQAaQBuAGcAIABiAGEAbABhAG4AYwBlAHMAIABmAHIAbwBtACAAYwBsAGkAZQBuAHQAcwAgAGEAbgBkACAAbQBhAG4AYQBnAGkAbgBnACAAbABpAG4AZQAgAG8AZgAgAGMAcgBlAGQAaQB0ACAAcAByAG8AYwBlAHMAcwC2AFwAIgAgACYAXABuACAAIAAgACAAIAAgACAAIABcACIASQBuAHYAZQBuAHQAbwByAHkAVAB1AHIAbgBvAHYAZQByAFIAYQB0AGkAbwC7AyAAIAAgACAAkiFTAGgAbwB3AHMAIABoAG8AdwAgAG0AYQBuAHkAIAB0AGkAbQBlAHMAIABhACAAYwBvAG0AcABhAG4AeQAgAHQAdQByAG4AZQBkACAAbwB2AGUAcgAgAGkAdABzACAAaQBuAHYAZQBuAHQAbwByAHkAIAByAGUAbABhAHQAaQB2AGUAIAAgAHQAbwAgAGkAdABzACAAYwBvAHMAdAAgAG8AZgAgAGcAbwBvAGQAcwAgAHMAbwBsAGQAtgBcACIAIAAmAFwAbgAgACAAIAAgACAAIAAgACAAXAAiAFcAbwByAGsAaQBuAGcAQwBhAHAAaQB0AGEAbABUAHUAcgBuAG8AdgBlAHIAUgBhAHQAaQBvALsDkiFXAG8AcgBrAGkAbgBnACAAQwBhAHAAaQB0AGEAbAAgAFQAdQByAG4AbwB2AGUAcgAgAFIAYQB0AGkAbwAgAG0AZQBhAHMAdQByAGUAcwAgAGgAbwB3ACAAZQBmAGYAaQBjAGkAZQBuAHQAbAB5ACAAYQAgAGMAbwBtAHAAYQBuAHkAIABpAHMAIAB1AHMAaQBuAGcAIABpAHQAcwAgAHcAbwByAGsAaQBuAGcAIABjAGEAcABpAHQAYQBsACAAdABvACAAcwB1AHAAcABvAHIAdAAgAHMAYQBsAGUAcwAgAGEAbgBkACAAZwByAG8AdwB0AGgAtgBcACIAIAAmAFwAbgAgACAAIAAgACAAIAAgACAAXAAiAJIhtgBcACIAIAAmACAAXABuACAAIAAgACAAIAAgACAAIABcACIATABlAHYAZQByAGEAZwBlACAAUgBhAHQAaQBvAHMAkiG2AFwAIgAgACYAXABuACAAIAAgACAAIAAgACAAIABcACIARABlAGIAdABSAGEAdABpAG8AuwMgACAAIAAgACAAIAAgACAAIAAgACAAIAAgACAAIAAgACAAkiFNAGUAYQBzAHUAcgBlAHMAIAB0AGgAZQAgAGUAeAB0AGUAbgB0ACAAbwBmACAAYQAgAGMAbwBtAHAAYQBuAHkAJwBzACAAbABlAHYAZQByAGEAZwBlALYAXAAiACAAJgBcAG4AIAAgACAAIAAgACAAIAAgAFwAIgBEAFMAQwBSALsDIAAgACAAIAAgACAAIAAgACAAIAAgACAAIAAgACAAIAAgACAAIAAgACAAIACSIUQAZQBiAHQAIABzAGUAcgB2AGkAYwBlACAAYwBvAHYAZQByAGEAZwBlACAAUgBhAHQAaQBvACAAbQBlAGEAcwB1AHIAZQBzACAAYQAgAGYAaQByAG0AGSBzACAAYQB2AGEAaQBsAGEAYgBsAGUAIABjAGEAcwBoACAAZgBsAG8AdwAgAHQAbwAgAHAAYQB5ACAAaQB0AHMAIABjAHUAcgByAGUAbgB0ACAAZABlAGIAdAAgAG8AYgBsAGkAZwBhAHQAaQBvAG4AcwC2AFwAIgAgACYAXABuACAAIAAgACAAIAAgACAAIABcACIARABlAGIAdABUAG8AQwBhAHAAaQB0AGEAbABSAGEAdABpAG8AuwMgACAAIAAgACAAIAAgACAAkiFHAGkAdgBlAHMAIABhAG4AYQBsAHkAcwB0AHMAIABhAG4AZAAgAGkAbgB2AGUAcwB0AG8AcgBzACAAYQAgAGIAZQB0AHQAZQByACAAaQBkAGUAYQAgAG8AZgAgAGEAIABjAG8AbQBwAGEAbgB5ACcAcwAgAGYAaQBuAGEAbgBjAGkAYQBsACAAcwB0AHIAdQBjAHQAdQByAGUAIABhAG4AZAAgAHcAaABlAHQAaABlAHIAIABvAHIAIABuAG8AdAAgAHQAaABlACAAYwBvAG0AcABhAG4AeQAgAGkAcwAgAGEAIABzAHUAaQB0AGEAYgBsAGUAIABpAG4AdgBlAHMAdABtAGUAbgB0ALYAXAAiACAAJgBcAG4AIAAgACAAIAAgACAAIAAgAFwAIgBFAHEAdQBpAHQAeQBNAHUAbAB0AGkAcABsAGkAZQByALsDIAAgACAAIAAgACAAIAAgACAAIACSIU0AZQBhAHMAdQByAGUAcwAgAHQAaABlACAAcABvAHIAdABpAG8AbgAgAG8AZgAgAGEAIABjAG8AbQBwAGEAbgB5ABkgcwAgAGEAcwBzAGUAdABzACAAZgBpAG4AYQBuAGMAZQBkACAAYgB5ACAAcwBoAGEAcgBlAGgAbwBsAGQAZQByAHMAJwBlAHEAdQBpAHQAeQAgAHIAYQB0AGgAZQByACAAdABoAGEAbgAgAGIAeQAgAGQAZQBiAHQAtgBcACIAIAAmAFwAbgAgACAAIAAgACAAIAAgACAAXAAiAJIhtgBcACIAIAAmACAAXABuACAAIAAgACAAIAAgACAAIABcACIAUwBvAGwAdgBlAG4AYwB5ACAAUgBhAHQAaQBvAHMAkiG2AFwAIgAgACYAXABuACAAIAAgACAAIAAgACAAIABcACIARABlAGIAdABUAG8ARQBxAHUAaQB0AHkAUgBhAHQAaQBvALsDIAAgACAAIAAgACAAIAAgACAAkiFNAGUAYQBzAHUAcgBlAHMAIAB0AGgAZQAgAGQAZQBnAHIAZQBlACAAdABvACAAdwBoAGkAYwBoACAAYQAgAGMAbwBtAHAAYQBuAHkAIABpAHMAIABmAGkAbgBhAG4AYwBpAG4AZwAgAG8AcABlAHIAYQB0AGkAbwBuAHMAIAB3AGkAdABoACAAZABlAGIAdAAgAHIAYQB0AGgAZQByACAAdABoAGEAbgAgAGkAdABzACAAbwB3AG4AIAByAGUAcwBvAHUAcgBjAGUAcwAuALYAXAAiACAAJgBcAG4AIAAgACAAIAAgACAAIAAgAFwAIgBEAGUAYgB0AFQAbwBBAHMAcwBlAHQAUgBhAHQAaQBvALsDIAAgACAAIAAgACAAIAAgACAAIACSIUEAbgBhAGwAeQBzAHQAcwAgAGMAYQBuACAAYwBvAG0AcABhAHIAZQAgAG8AbgBlACAAYwBvAG0AcABhAG4AeQAnAHMAIABsAGUAdgBlAHIAYQBnAGUAIAB3AGkAdABoACAAdABoAGEAdAAgAG8AZgAgAG8AdABoAGUAcgAgAGMAbwBtAHAAYQBuAGkAZQBzACAAaQBuACAAdABoAGUAIABzAGEAbQBlACAAaQBuAGQAdQBzAHQAcgB5AC4AtgBcACIAIAAmAFwAbgAgACAAIAAgACAAIAAgACAAXAAiAEkAbgB0AGUAcgBlAHMAdABDAG8AdgBlAHIAYQBnAGUAUgBhAHQAaQBvALsDIAAgACAAIAAgAJIhRABlAHQAZQByAG0AaQBuAGUAcwAgAGgAbwB3ACAAZQBhAHMAaQBsAHkAIABhACAAYwBvAG0AcABhAG4AeQAgAGMAYQBuACAAcABhAHkAIABpAG4AdABlAHIAZQBzAHQAIABvAG4AIABpAHQAcwAgAG8AdQB0AHMAdABhAG4AZABpAG4AZwAgAGQAZQBiAHQAtgBcACIAIAAmAFwAbgAgACAAIAAgACAAIAAgACAAXAAiAEUAcQB1AGkAdAB5AFIAYQB0AGkAbwC7AyAAIAAgACAAIAAgACAAIAAgACAAIAAgACAAIAAgAJIhTQBlAGEAcwB1AHIAZQBzACAAdABoAGUAIABsAG8AbgBnAC0AdABlAHIAbQAgAHMAbwBsAHYAZQBuAGMAeQAgAG8AZgAgAGEAIABjAG8AbQBwAGEAbgB5ACAAYgB5ACAAYwBvAG0AcABhAHIAaQBuAGcAIABpAHQAcwAgAHMAaABhAHIAZQBoAG8AbABkAGUAcgBzABkgIABlAHEAdQBpAHQAeQAgAHQAbwAgAGkAdABzACAAdABvAHQAYQBsACAAYQBzAHMAZQB0AHMAtgBcACIAIAAmAFwAbgAgACAAIAAgACAAIAAgACAAXAAiAJIhtgBcACIAIAAmACAAXABuACAAIAAgACAAIAAgACAAIABcACIARQBmAGYAaQBjAGkAZQBuAGMAeQAgAFIAYQB0AGkAbwBzAJIhtgBcACIAIAAmAFwAbgAgACAAIAAgACAAIAAgACAAXAAiAEEAcwBzAGUAdABUAHUAcgBuAG8AdgBlAHIAUgBhAHQAaQBvALsDIAAgACAAIAAgACAAIAAgAJIhTQBlAGEAcwB1AHIAZQBzACAAdABoAGUAIAB2AGEAbAB1AGUAIABvAGYAIABhACAAYwBvAG0AcABhAG4AeQAnAHMAIABzAGEAbABlAHMAIABvAHIAIAByAGUAdgBlAG4AdQBlAHMAIAByAGUAbABhAHQAaQB2AGUAIAB0AG8AIAB0AGgAZQAgAHYAYQBsAHUAZQAgAG8AZgAgAGkAdABzACAAYQBzAHMAZQB0AHMALgC2AFwAIgAgACYAXABuACAAIAAgACAAIAAgACAAIABcACIARABTAEkAuwMgACAAIAAgACAAIAAgACAAIAAgACAAIAAgACAAIAAgACAAIAAgACAAIAAgACAAkiFEAGEAeQBzACAAUwBhAGwAZQBzACAAaQBuACAASQBuAHYAZQBuAHQAbwByAHkAIABSAGEAdABpAG8AIAAoAGEAawBhACAAQQB2AGUAcgBhAGcAZQAgAGEAZwBlACAAbwBmACAAaQBuAHYAZQBuAHQAbwByAHkAIABpAG4AZABpAGMAYQB0AGUAcwAgAHQAaABlACAAYQB2AGUAcgBhAGcAZQAgAHQAaQBtAGUAIABpAG4AIABkAGEAeQBzACAAdABoAGEAdAAgAGEAIABjAG8AbQBwAGEAbgB5ACAAdABhAGsAZQBzACAAdABvACAAdAB1AHIAbgAgAGkAdABzACAAaQBuAHYAZQBuAHQAbwByAHkAtgBcACIAIAAmAFwAbgAgACAAIAAgACAAIAAgACAAXAAiAE8AcABlAHIAYQB0AGkAbgBnAFIAYQB0AGkAbwC7AyAAIAAgACAAIAAgACAAIAAgACAAIAAgAJIhUwBoAG8AdwBzACAAaABvAHcAIABlAGYAZgBpAGMAaQBlAG4AdAAgAG0AYQBuAGEAZwBlAG0AZQBuAHQAIABpAHMAIABhAHQAIABrAGUAZQBwAGkAbgBnACAAYwBvAHMAdABzACAAbABvAHcAIAB3AGgAaQBsAGUAIABnAGUAbgBlAHIAYQB0AGkAbgBnACAAcgBlAHYAZQBuAHUAZQC2AFwAIgAgACYAXABuACAAIAAgACAAIAAgACAAIABcACIAUgBlAGMAZQBpAHYAYQBiAGwAZQBEAGEAeQBzALsDIAAgACAAIAAgACAAIAAgACAAIAAgACAAkiFSAGUAYwBlAGkAdgBhAGIAbABlACAAZABhAHkAcwAgACgARABTAE8AKQA6ACAAcgBlAGMAZQBpAHYAYQBiAGwAZQBzACAAYQBzACAAZABhAHkAcwAgAG8AZgAgAHMAYQBsAGUAcwC2AFwAIgAgACYAXABuACAAIAAgACAAIAAgACAAIABcACIAUABhAHkAYQBiAGwAZQBEAGEAeQBzALsDIAAgACAAIAAgACAAIAAgACAAIAAgACAAIAAgACAAkiFQAGEAeQBhAGIAbABlACAAZABhAHkAcwAgACgARABQAE8AKQA6ACAAcABhAHkAYQBiAGwAZQBzACAAYQBzACAAZABhAHkAcwAgAG8AZgAgAHAAdQByAGMAaABhAHMAZQBzALYAXAAiACAAJgBcAG4AIAAgACAAIAAgACAAIAAgAFwAIgBXAEkAUABEAGEAeQBzALsDIAAgACAAIAAgACAAIAAgACAAIAAgACAAIAAgACAAIAAgACAAIACSIVcAbwByAGsAIABpAG4AIABwAHIAbwBnAHIAZQBzAHMAIABkAGEAeQBzADoAIABXAEkAUAAgAGEAcwAgAGQAYQB5AHMAIABvAGYAIAByAGUAbABhAHQAZQBkACAAcgBlAHYAZQBuAHUAZQAgAG8AcgAgAGMAbwBzAHQAtgBcACIAIAAmAFwAbgAgACAAIAAgACAAIAAgACAAXAAiAEMAYQBzAGgAQwBvAG4AdgBlAHIAcwBpAG8AbgBDAHkAYwBsAGUAuwMgACAAIAAgACAAIAAgAJIhQwBhAHMAaAAgAGMAbwBuAHYAZQByAHMAaQBvAG4AIABjAHkAYwBsAGUAOgAgAGkAbgB2AGUAbgB0AG8AcgB5ACwAIABXAEkAUAAgAGEAbgBkACAAcgBlAGMAZQBpAHYAYQBiAGwAZQAgAGQAYQB5AHMAIABsAGUAcwBzACAAcABhAHkAYQBiAGwAZQAgAGQAYQB5AHMAtgBcACIAIAAmAFwAbgAgACAAIAAgACAAIAAgACAAXAAiAJIhtgBcACIAIAAmACAAXABuACAAIAAgACAAIAAgACAAIABcACIAUAByAG8AZgBpAHQAYQBiAGkAbABpAHQAeQAgAE0AYQByAGcAaQBuAHMAIAAmACAAUgBhAHQAaQBvAHMAkiG2AFwAIgAgACYAXABuACAAIAAgACAAIAAgACAAIABcACIARwByAG8AcwBzAE0AYQByAGcAaQBuALsDIAAgACAAIAAgACAAIAAgACAAIAAgACAAIAAgACAAkiFTAGgAbwB3AHMAIABoAG8AdwAgAG0AdQBjAGgAIABwAHIAbwBmAGkAdAAgAGEAIABjAG8AbQBwAGEAbgB5ACAAbQBhAGsAZQBzACAAYQBmAHQAZQByACAAcABhAHkAaQBuAGcAIABvAGYAZgAgAGkAdABzACAAQwBvAHMAdAAgAG8AZgAgAEcAbwBvAGQAcwAgAFMAbwBsAGQAtgBcACIAIAAmAFwAbgAgACAAIAAgACAAIAAgACAAXAAiAEUAQgBJAFQARABBAE0AYQByAGcAaQBuALsDIAAgACAAIAAgACAAIAAgACAAIAAgACAAIAAgAJIhTQBlAGEAcwB1AHIAZQBzACAAYQAgAGMAbwBtAHAAYQBuAHkAJwBzACAAbwBwAGUAcgBhAHQAaQBuAGcAIABwAHIAbwBmAGkAdAAgAGEAcwAgAGEAIABwAGUAcgBjAGUAbgB0AGEAZwBlACAAbwBmACAAaQB0AHMAIAByAGUAdgBlAG4AdQBlALYAXAAiACAAJgBcAG4AIAAgACAAIAAgACAAIAAgAFwAIgBPAHAAZQByAGEAdABpAG4AZwBNAGEAcgBnAGkAbgC7AyAAIAAgACAAIAAgACAAIAAgACAAIACSIU0AZQBhAHMAdQByAGUAcwAgAGgAbwB3ACAAbQB1AGMAaAAgAHAAcgBvAGYAaQB0ACAAYQAgAGMAbwBtAHAAYQBuAHkAIABtAGEAawBlAHMAIABvAG4AIABhACAAZABvAGwAbABhAHIAIABvAGYAIABzAGEAbABlAHMAIABhAGYAdABlAHIAIABwAGEAeQBpAG4AZwAgAGYAbwByACAAdgBhAHIAaQBhAGIAbABlACAAYwBvAHMAdABzACAAbwBmACAAcAByAG8AZAB1AGMAdABpAG8AbgAsACAAcwB1AGMAaAAgAGEAcwAgAHcAYQBnAGUAcwAgAGEAbgBkACAAcgBhAHcAIABtAGEAdABlAHIAaQBhAGwAcwAsACAAYgB1AHQAIABiAGUAZgBvAHIAZQAgAHAAYQB5AGkAbgBnACAAaQBuAHQAZQByAGUAcwB0ACAAbwByACAAdABhAHgAtgBcACIAIAAmAFwAbgAgACAAIAAgACAAIAAgACAAXAAiAFAAcgBlAHQAYQB4AE0AYQByAGcAaQBuALsDIAAgACAAIAAgACAAIAAgACAAIAAgACAAIAAgAJIhTQBlAGEAcwB1AHIAZQBzACAAdABoAGUAIABvAHAAZQByAGEAdABpAG4AZwAgAGUAZgBmAGkAYwBpAGUAbgBjAHkAIABvAGYAIABhACAAYwBvAG0AcABhAG4AeQAgALYAXAAiACAAJgBcAG4AIAAgACAAIAAgACAAIAAgAFwAIgBOAGUAdABQAHIAbwBmAGkAdABNAGEAcgBnAGkAbgC7AyAAIAAgACAAIAAgACAAIAAgACAAIACSIU0AZQBhAHMAdQByAGUAcwAgAGgAbwB3ACAAbQB1AGMAaAAgAG4AZQB0ACAAaQBuAGMAbwBtAGUAIABvAHIAIABwAHIAbwBmAGkAdAAgAGEAIABjAG8AbQBwAGEAbgB5ACAAZwBlAG4AZQByAGEAdABlAHMAIABhAHMAIABhACAAcABlAHIAYwBlAG4AdABhAGcAZQAgAG8AZgAgAGkAdABzACAAcgBlAHYAZQBuAHUAZQAuALYAXAAiACAAJgBcAG4AIAAgACAAIAAgACAAIAAgAFwAIgBDAGEAcwBoAEYAbABvAHcATQBhAHIAZwBpAG4AuwMgACAAIAAgACAAIAAgACAAIAAgACAAIACSIUMAYQBzAGgAIABGAGwAbwB3ACAATQBhAHIAZwBpAG4AIABpAHMAIABhACAAdAByAHUAcwB0AGUAZAAgAG0AZQB0AHIAaQBjACAAbwBmACAAYQAgAGMAbwBtAHAAYQBuAHkAGSBzACAAcAByAG8AZgBpAHQAYQBiAGkAbABpAHQAeQAgAGEAbgBkACAAZQBmAGYAaQBjAGkAZQBuAGMAeQAgAGEAbgBkACAAaQB0AHMAIABlAGEAcgBuAGkAbgBnAHMAIABxAHUAYQBsAGkAdAB5ALYAXAAiACAAJgBcAG4AIAAgACAAIAAgACAAIAAgAFwAIgBSAE8AQQC7AyAAIAAgACAAIAAgACAAIAAgACAAIAAgACAAIAAgACAAIAAgACAAIAAgACAAIACSISoAUgBlAHQAdQByAG4AIABvAG4AIABBAHMAcwBlAHQAcwAgAEkAbgBkAGkAYwBhAHQAZQBzACAAaABvAHcAIABwAHIAbwBmAGkAdABhAGIAbABlACAAYQAgAGMAbwBtAHAAYQBuAHkAIABpAHMAIABpAG4AIAByAGUAbABhAHQAaQBvAG4AIAB0AG8AIABpAHQAcwAgAHQAbwB0AGEAbAAgAGEAcwBzAGUAdABzALYAXAAiACAAJgBcAG4AIAAgACAAIAAgACAAIAAgAFwAIgBSAE8ARQC7AyAAIAAgACAAIAAgACAAIAAgACAAIAAgACAAIAAgACAAIAAgACAAIAAgACAAIACSISoAUgBlAHQAdQByAG4AIABvAG4AIABlAHEAdQBpAHQAeQAgAGkAcwAgAGEAIABtAGUAYQBzAHUAcgBlACAAbwBmACAAZgBpAG4AYQBuAGMAaQBhAGwAIABwAGUAcgBmAG8AcgBtAGEAbgBjAGUAIAC2AFwAIgAgACYAXABuACAAIAAgACAAIAAgACAAIABcACIAUgBPAEkAuwMgACAAIAAgACAAIAAgACAAIAAgACAAIAAgACAAIAAgACAAIAAgACAAIAAgACAAkiFSAGUAdAB1AHIAbgAgAG8AbgAgAEkAbgB2AGUAcwB0AG0AZQBuAHQAIAByAGEAdABpAG8AIAAgAG0AZQBhAHMAdQByAGUAcwAgAHQAaABlACAAcAByAG8AZgBpAHQAYQBiAGkAbABpAHQAeQAgAG8AZgAgAGEAbgAgAGkAbgB2AGUAcwB0AG0AZQBuAHQAIABiAHkAIABjAG8AbQBwAGEAcgBpAG4AZwAgAHQAaABlACAAZwBhAGkAbgAgAG8AcgAgAGwAbwBzAHMAIAB0AG8AIABpAHQAcwAgAGMAbwBzAHQAtgBcACIAIAAmAFwAbgAgACAAIAAgACAAIAAgACAAXAAiAFIATwBJAEMAuwMgACAAIAAgACAAIAAgACAAIAAgACAAIAAgACAAIAAgACAAIAAgACAAIAAgAJIhUgBlAHQAdQByAG4AIABvAG4AIABJAG4AdgBlAHMAdABlAGQAIABjAGEAcABpAHQAYQBsACAAIABhAHMAcwBlAHMAcwBlAHMAIABhACAAYwBvAG0AcABhAG4AeQAZIHMAIABlAGYAZgBpAGMAaQBlAG4AYwB5ACAAaQBuACAAYQBsAGwAbwBjAGEAdABpAG4AZwAgAGMAYQBwAGkAdABhAGwAIAB0AG8AIABwAHIAbwBmAGkAdABhAGIAbABlACAAaQBuAHYAZQBzAHQAbQBlAG4AdABzALYAXAAiACAAJgBcAG4AIAAgACAAIAAgACAAIAAgAFwAIgCSIbYAXAAiACAAJgAgAFwAbgAgACAAIAAgACAAIAAgACAAXAAiAE0AYQByAGsAZQB0ACAAVgBhAGwAdQBlACAAUgBhAHQAaQBvAHMAkiG2AFwAIgAgACYAXABuACAAIAAgACAAIAAgACAAIABcACIAUAByAGkAYwBlAEUAYQByAG4AaQBuAGcAcwBSAGEAdABpAG8AuwMgACAAIAAgACAAIAAgACAAkiEqAFAAcgBpAGMAZQAtAGUAYQByAG4AaQBuAGcAcwAgAFIAYQB0AGkAbwAgAG0AZQBhAHMAdQByAGUAcwAgAGEAIABjAG8AbQBwAGEAbgB5ACcAcwAgAHMAaABhAHIAZQAgAHAAcgBpAGMAZQAgAHIAZQBsAGEAdABpAHYAZQAgAHQAbwAgAGkAdABzACAAZQBhAHIAbgBpAG4AZwBzACAAcABlAHIAIABzAGgAYQByAGUAtgBcACIAIAAmAFwAbgAgACAAIAAgACAAIAAgACAAXAAiAFAAcgBpAGMAZQBUAG8AQgBvAG8AawBSAGEAdABpAG8AuwMgACAAIAAgACAAIAAgACAAIAAgAJIhTQBhAG4AeQAgAGkAbgB2AGUAcwB0AG8AcgBzACAAdQBzAGUAIAB0AGgAZQAgAHAAcgBpAGMAZQAtAHQAbwAtAGIAbwBvAGsAIAByAGEAdABpAG8AIAAoAFAALwBCACAAcgBhAHQAaQBvACkAIAB0AG8AIABjAG8AbQBwAGEAcgBlACAAYQAgAGYAaQByAG0AJwBzACAAbQBhAHIAawBlAHQAIABjAGEAcABpAHQAYQBsAGkAcwBhAHQAaQBvAG4AIAB0AG8AIABpAHQAcwAgAGIAbwBvAGsAIAB2AGEAbAB1AGUAIABhAG4AZAAgAGwAbwBjAGEAdABlACAAdQBuAGQAZQByAHYAYQBsAHUAZQBkACAAYwBvAG0AcABhAG4AaQBlAHMALgC2AFwAIgAgACYAXABuACAAIAAgACAAIAAgACAAIABcACIAUAByAGkAYwBlAFQAbwBTAGEAbABlAHMAUgBhAHQAaQBvALsDIAAgACAAIAAgACAAIAAgACAAkiFQAHIAaQBjAGUAIAB0AG8AIABTAGEAbABlAHMAIAAoAFAALwBTACkAIABSAGEAdABpAG8AIABpAHMAIABhAG4AIABpAG4AZABpAGMAYQB0AG8AcgAgAG8AZgAgAHQAaABlACAAdgBhAGwAdQBlACAAdABoAGEAdAAgAGYAaQBuAGEAbgBjAGkAYQBsACAAbQBhAHIAawBlAHQAcwAgAGgAYQB2AGUAIABwAGwAYQBjAGUAZAAgAG8AbgAgAGUAYQBjAGgAIABkAG8AbABsAGEAcgAgAG8AZgAgAGEAIABjAG8AbQBwAGEAbgB5ACcAcwAgAHMAYQBsAGUAcwAgAG8AcgAgAHIAZQB2AGUAbgB1AGUAcwC2AFwAIgAgACYAXABuACAAIAAgACAAIAAgACAAIABcACIAUAByAGkAYwBlAFQAbwBDAGEAcwBoAFIAYQB0AGkAbwC7AyAAIAAgACAAIAAgACAAIAAgACAAkiFQAHIAaQBjAGUAIAB0AG8AIABDAGEAcwBoACAAKABQAC8AQwBGACkAIABSAGEAdABpAG8AIABpAHMAIABhACAAcwB0AG8AYwBrACAAdgBhAGwAdQBhAHQAaQBvAG4AIABpAG4AZABpAGMAYQB0AG8AcgAgAG8AcgAgAG0AdQBsAHQAaQBwAGwAZQAgAHQAaABhAHQAIABtAGUAYQBzAHUAcgBlAHMAIAB0AGgAZQAgAHYAYQBsAHUAZQAgAG8AZgAgAGEAIABzAHQAbwBjAGsAGSBzACAAcAByAGkAYwBlACAAcgBlAGwAYQB0AGkAdgBlACAAdABvACAAaQB0AHMAIABvAHAAZQByAGEAdABpAG4AZwAgAGMAYQBzAGgAIABmAGwAbwB3ACAAcABlAHIAIABzAGgAYQByAGUAtgBcACIAIAAmAFwAbgAgACAAIAAgACAAIAAgACAAXAAiAEIAVgBQAFMAuwMgACAAIAAgACAAIAAgACAAIAAgACAAIAAgACAAIAAgACAAIAAgACAAIAAgAJIhQgBvAG8AawAgAHYAYQBsAHUAZQAgAHAAZQByACAAcwBoAGEAcgBlACAAcgBhAHQAaQBvACAAaQBzACAAYQBuACAAaQBuAGQAaQBjAGEAdABvAHIAIABvAGYAIAB0AGgAZQAgAHYAYQBsAHUAZQAgAG8AZgAgAGEAIABjAG8AbQBwAGEAbgB5ABkgcwAgAHMAdABvAGMAawC2AFwAIgAgACYAXABuACAAIAAgACAAIAAgACAAIABcACIAQwBBAFAARQBSAGEAdABpAG8AuwMgACAAIAAgACAAIAAgACAAIAAgACAAIAAgACAAIAAgACAAkiFNAGUAYQBzAHUAcgBlACAAdABoAGEAdAAgAHUAcwBlAHMAIAByAGUAYQBsACAAZQBhAHIAbgBpAG4AZwBzACAAcABlAHIAIABzAGgAYQByAGUAIAAoAEUAUABTACkAIABvAHYAZQByACAAYQAgADEAMAAtAHkAZQBhAHIAIABwAGUAcgBpAG8AZAAgAHQAbwAgAHMAbQBvAG8AdABoACAAbwB1AHQAIABmAGwAdQBjAHQAdQBhAHQAaQBvAG4AcwAgAGkAbgAgAGMAbwByAHAAbwByAGEAdABlACAAcAByAG8AZgBpAHQAcwAgAHQAaABhAHQAIABvAGMAYwB1AHIAIABvAHYAZQByACAAZABpAGYAZgBlAHIAZQBuAHQAIABwAGUAcgBpAG8AZABzACAAbwBmACAAYQAgAGIAdQBzAGkAbgBlAHMAcwAgAGMAeQBjAGwAZQAgACgAYQBrAGEAIABTAGgAaQBsAGwAZQByACAAUABFACAAUgBhAHQAaQBvACkAtgBcACIAIAAmAFwAbgAgACAAIAAgACAAIAAgACAAXAAiAEQAUABSALsDIAAgACAAIAAgACAAIAAgACAAIAAgACAAIAAgACAAIAAgACAAIAAgACAAIAAgAJIhRABpAHYAaQBkAGUAbgBkACAAUABhAHkAbwB1AHQAIABSAGEAdABpAG8AIABpAHMAIAB0AGgAZQAgAHAAZQByAGMAZQBuAHQAYQBnAGUAIABvAGYAIABlAGEAcgBuAGkAbgBnAHMAIABwAGEAaQBkACAAdABvACAAcwBoAGEAcgBlAGgAbwBsAGQAZQByAHMAIAB2AGkAYQAgAGQAaQB2AGkAZABlAG4AZABzALYAXAAiACAAJgBcAG4AIAAgACAAIAAgACAAIAAgAFwAIgBEAGkAdgBpAGQAZQBuAGQAWQBpAGUAbABkAFIAYQB0AGkAbwC7AyAAIAAgACAAIAAgACAAIACSIUQAaQB2AGkAZABlAG4AZAAgAHkAaQBlAGwAZAAgAHIAYQB0AGkAbwAgAHMAaABvAHcAcwAgAGgAbwB3ACAAbQB1AGMAaAAgAGEAIABjAG8AbQBwAGEAbgB5ACAAcABhAHkAcwAgAG8AdQB0ACAAaQBuACAAZABpAHYAaQBkAGUAbgBkAHMAtgBcACIAIAAmAFwAbgAgACAAIAAgACAAIAAgACAAXAAiAEUAUABTALsDIAAgACAAIAAgACAAIAAgACAAIAAgACAAIAAgACAAIAAgACAAIAAgACAAIAAgAJIhRQBhAHIAbgBpAG4AZwBzACAAcABlAHIAIABzAGgAYQByAGUAIABtAGUAYQBzAHUAcgBlAHMAIABwAHIAbwBmAGkAdABhAGIAaQBsAGkAdAB5ACAAaQBuAGQAaQBjAGEAdABpAG4AZwAgAGgAbwB3ACAAbQB1AGMAaAAgAHAAcgBvAGYAaQB0ACAAZQBhAGMAaAAgAG8AdQB0AHMAdABhAG4AZABpAG4AZwAgAHMAaABhAHIAZQAgAG8AZgAgAGMAbwBtAG0AbwBuACAAcwB0AG8AYwBrACAAaABhAHMAIABlAGEAcgBuAGUAZAAgALYAXAAiACAAJgBcAG4AIAAgACAAIAAgACAAIAAgAFwAIgBSAGUAdABlAG4AdABpAG8AbgBSAGEAdABpAG8AuwMgACAAIAAgACAAIAAgACAAIAAgACAAIACSIVIAZQB0AGUAbgB0AGkAbwBuACAAUgBhAHQAaQBvACAAaQBzACAAdABoAGUAIABwAHIAbwBwAG8AcgB0AGkAbwBuACAAbwBmACAAZQBhAHIAbgBpAG4AZwBzACAAawBlAHAAdAAgAGIAYQBjAGsAIABpAG4AIAB0AGgAZQAgAGIAdQBzAGkAbgBlAHMAcwAgAGEAcwAgAHIAZQB0AGEAaQBuAGUAZAAgAGUAYQByAG4AaQBuAGcAcwC2AFwAIgAgACYAXABuACAAIAAgACAAIAAgACAAIABcACIAkiG2AFwAIgAgACYAXABuACAAIAAgACAAIAAgACAAIABcACIAQQBUAE8AIABTAG0AYQBsAGwAIABCAHUAcwBpAG4AZQBzAHMAIABCAGUAbgBjAGgAbQBhAHIAawAgAFIAYQB0AGkAbwBzAJIhtgBcACIAIAAmAFwAbgAgACAAIAAgACAAIAAgACAAXAAiAEEAVABPAFQAdQByAG4AbwB2AGUAcgC7AyAAIAAgACAAIAAgACAAIAAgACAAIAAgACAAIAAgAJIhVAB1AHIAbgBvAHYAZQByACAAZQB4AGMAbAB1AGQAaQBuAGcAIABHAFMAVAAgAGEAcwAgAHQAaABlACAAQQBUAE8AIABiAGUAbgBjAGgAbQBhAHIAawBzACAAbQBlAGEAcwB1AHIAZQAgAGkAdAC2AFwAIgAgACYAXABuACAAIAAgACAAIAAgACAAIABcACIAQQBUAE8AQgBlAG4AYwBoAG0AYQByAGsAUgBhAHQAaQBvALsDIAAgACAAIAAgACAAIAAgACAAkiFBAG4AIABhAG0AbwB1AG4AdAAgAG8AdgBlAHIAIAB0AHUAcgBuAG8AdgBlAHIALAAgAGEAcwAgAGYAbwByACAAQQBUAE8AIAByAGUAbgB0ACAAbwByACAAbQBvAHQAbwByACAAdgBlAGgAaQBjAGwAZQAgAGUAeABwAGUAbgBzAGUAcwAgAHQAbwAgAHQAdQByAG4AbwB2AGUAcgC2AFwAIgAgACYAXABuACAAIAAgACAAIAAgACAAIABcACIAQQBUAE8AVABvAHQAYQBsAEUAeABwAGUAbgBzAGUAcwBSAGEAdABpAG8AuwMgACAAIAAgACAAkiFBAFQATwAgAHQAbwB0AGEAbAAgAGUAeABwAGUAbgBzAGUAcwAgAHQAbwAgAHQAdQByAG4AbwB2AGUAcgAsACAAbABlAHMAcwAgAHAAYQB5AG0AZQBuAHQAcwAgAHQAbwAgAGEAcwBzAG8AYwBpAGEAdABlAGQAIABwAGUAcgBzAG8AbgBzALYAXAAiACAAJgBcAG4AIAAgACAAIAAgACAAIAAgAFwAIgBBAFQATwBDAG8AcwB0AE8AZgBTAGEAbABlAHMAUgBhAHQAaQBvALsDIAAgACAAIAAgACAAIACSIUEAVABPACAAYwBvAHMAdAAgAG8AZgAgAHMAYQBsAGUAcwAgAHQAbwAgAHQAdQByAG4AbwB2AGUAcgAsACAAZQB4AGMAbAB1AGQAaQBuAGcAIABsAGEAYgBvAHUAcgC2AFwAIgAgACYAXABuACAAIAAgACAAIAAgACAAIABcACIAQQBUAE8ATABhAGIAbwB1AHIAUgBhAHQAaQBvALsDIAAgACAAIAAgACAAIAAgACAAIAAgACAAkiFBAFQATwAgAGwAYQBiAG8AdQByACAAdABvACAAdAB1AHIAbgBvAHYAZQByADoAIAB3AGEAZwBlAHMAIABhAG4AZAAgAGMAbwBuAHQAcgBhAGMAdABvAHIAcwAgAGwAZQBzAHMAIABwAGEAeQBtAGUAbgB0AHMAIAB0AG8AIABhAHMAcwBvAGMAaQBhAHQAZQBkACAAcABlAHIAcwBvAG4AcwC2AFwAIgAgACYAXABuACAAIAAgACAAIAAgACAAIABcACIAkiG2AFwAIgAgACYAIABcAG4AIAAgACAAIAAgACAAIAAgAFwAIgAqACAAIAAgACAAIAAgACAAIAAgACAAIAAgACAAIAAgACAAIAAgACAAIAAgACAAIAAgACAAIACSIVQAaABlAHMAZQAgAGEAcgBlACAAYwBvAG4AcwBpAGQAZQByAGUAZAAgACcASwBlAHkAIABSAGEAdABpAG8AcwAnALYAXAAiACAAJgBcAG4AIAAgACAAIAAgACAAIAAgAFwAIgCSIVwAIgAsACAAXAAiAJIhXAAiACwAIABcACIAtgBcACIAXABuACAAIAAgACAAKQBcAG4AKQA7AFwAbgBcAG4AXABuAFwAbgAvACoAIAAgAEYAVQBOAEMAVABJAE8ATgAgAE4AQQBNAEUAOgAgACAAQwB1AHIAcgBlAG4AdABSAGEAdABpAG8AuwNcAG4AIAAgACAAIABEAEUAUwBDAFIASQBQAFQASQBPAE4AOgAqAC8ALwAqACoATQBlAGEAcwB1AHIAZQBzACAAYQAgAGMAbwBtAHAAYQBuAHkAGSBzACAAYQBiAGkAbABpAHQAeQAgAHQAbwAgAHAAYQB5ACAAcwBoAG8AcgB0AC0AdABlAHIAbQAgAG8AYgBsAGkAZwBhAHQAaQBvAG4AcwAgACgAQwB1AHIAcgBlAG4AdAAgAEEAcwBzAGUAdABzAC8ATABpAGEAYgBpAGwAaQB0AGkAZQBzACkAKgAvAFwAbgBDAHUAcgByAGUAbgB0AFIAYQB0AGkAbwC7AyAAPQAgAEwAQQBNAEIARABBACgAXABuAC8ALwAgACAAUABhAHIAYQBtAGUAdABlAHIAIABEAGUAYwBsAGEAcgBhAHQAaQBvAG4AcwBcAG4AIAAgACAAIAAgACAAIAAgAFsAQQBzAHMAZQB0AHMAXQAsACAAIABcAG4AIAAgACAAIAAgACAAIAAgAFsATABpAGEAYgBpAGwAaQB0AGkAZQBzAF0ALAAgACAAIAAgAFwAbgAvAC8AIAAgAEgAZQBsAHAAXABuACAAIAAgACAATABFAFQAKABIAGUAbABwACwAIAAgACAAVABSAEkATQAoAFQARQBYAFQAUwBQAEwASQBUACgAIABcAG4AIAAgACAAIAAgACAAIAAgACAAIAAgACAAIAAgACAAIAAgACAAIAAgACAAIAAgACAAXAAiAEYAVQBOAEMAVABJAE8ATgA6ACAAIAAgACAAIAAgAJIhQwB1AHIAcgBlAG4AdABSAGEAdABpAG8AuwMoACAAQQBzAHMAZQB0AHMALAAgAEwAaQBhAGIAaQBsAGkAdABpAGUAcwApALYAXAAiACAAJgAgAFwAbgAgACAAIAAgACAAIAAgACAAIAAgACAAIAAgACAAIAAgACAAIAAgACAAIAAgACAAIABcACIARABFAFMAQwBSAEkAUABUAEkATwBOADoAIAAgACAAkiFNAGUAYQBzAHUAcgBlAHMAIABhACAAYwBvAG0AcABhAG4AeQAZIHMAIABhAGIAaQBsAGkAdAB5ACAAdABvACAAcABhAHkAIABzAGgAbwByAHQALQB0AGUAcgBtACAAbwBiAGwAaQBnAGEAdABpAG8AbgBzACAAIAC2AFwAIgAgACYAIABcAG4AIAAgACAAIAAgACAAIAAgACAAIAAgACAAIAAgACAAIAAgACAAIAAgACAAIAAgACAAIAAgACAAIAAgACAAIAAgACAAIAAgACAAIAAgACAAXAAiAJIhKABDAHUAcgByAGUAbgB0ACAAQQBzAHMAZQB0AHMALwBMAGkAYQBiAGkAbABpAHQAaQBlAHMAKQC2AFwAIgAgACYAIABcAG4AIAAgACAAIAAgACAAIAAgACAAIAAgACAAIAAgACAAIAAgACAAIAAgACAAIAAgACAAXAAiAFcARQBCAFAAQQBHAEUAOgAgACAAIAAgACAAIAAgAJIhaAB0AHQAcABzADoALwAvAHcAdwB3AC4AaQBuAHYAZQBzAHQAbwBwAGUAZABpAGEALgBjAG8AbQAvAHQAZQByAG0AcwAvAGMALwBjAHUAcgByAGUAbgB0AHIAYQB0AGkAb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BAHMAcwBlAHQAcwAgACAAIAAgACAAIAAgACAAIACSISgAUgBlAHEAdQBpAHIAZQBkACkAIABDAHUAcgByAGUAbgB0ACAAQQBzAHMAZQB0AHMALgAgAEkAbgBjAGwAdQBkAGUAcwA6ACAAtgBcACIAIAAmACAAXABuACAAIAAgACAAIAAgACAAIAAgACAAIAAgACAAIAAgACAAIAAgACAAIAAgACAAIAAgACAAIAAgACAAIAAgACAAIAAgACAAIAAgACAAIAAgAFwAIgCSIUMAYQBzAGgAIAC2AFwAIgAgACYAIABcAG4AIAAgACAAIAAgACAAIAAgACAAIAAgACAAIAAgACAAIAAgACAAIAAgACAAIAAgACAAIAAgACAAIAAgACAAIAAgACAAIAAgACAAIAAgACAAXAAiAJIhQQBjAGMAbwB1AG4AdABzACAAcgBlAGMAZQBpAHYAYQBiAGwAZQAgALYAXAAiACAAJgAgAFwAbgAgACAAIAAgACAAIAAgACAAIAAgACAAIAAgACAAIAAgACAAIAAgACAAIAAgACAAIAAgACAAIAAgACAAIAAgACAAIAAgACAAIAAgACAAIABcACIAkiFJAG4AdgBlAG4AdABvAHIAeQAgALYAXAAiACAAJgAgAFwAbgAgACAAIAAgACAAIAAgACAAIAAgACAAIAAgACAAIAAgACAAIAAgACAAIAAgACAAIAAgACAAIAAgACAAIAAgACAAIAAgACAAIAAgACAAIABcACIAkiFWAGUAbgBkAG8AcgAgAG4AbwBuAC0AdAByAGEAZABlACAAcgBlAGMAZQBpAHYAYQBiAGwAZQBzACAAtgBcACIAIAAmACAAXABuACAAIAAgACAAIAAgACAAIAAgACAAIAAgACAAIAAgACAAIAAgACAAIAAgACAAIAAgACAAIAAgACAAIAAgACAAIAAgACAAIAAgACAAIAAgAFwAIgCSIUEAcwBzAGUAdABzACAAZQB4AHAAZQBjAHQAZQBkACAAdABvACAAYgBlACAAbABpAHEAdQBpAGQAYQB0AGUAZAAgAGkAbgAgAHQAaABlACAAYwB1AHIAcgBlAG4AdAAgAHkAZQBhAHIAIAC2AFwAIgAgACYAXABuACAAIAAgACAAIAAgACAAIAAgACAAIAAgACAAIAAgACAAIAAgACAAIAAgACAAIAAgACAAIAAgACAAIAAgACAAIAAgACAAIAAgACAAIAAgAFwAIgCSIU0AYQByAGsAZQB0AGEAYgBsAGUAIABzAGUAYwB1AHIAaQB0AGkAZQBzACAAtgBcACIAIAAmACAAXABuACAAIAAgACAAIAAgACAAIAAgACAAIAAgACAAIAAgACAAIAAgACAAIAAgACAAIAAgACAAIAAgACAAIAAgACAAIAAgACAAIAAgACAAIAAgAFwAIgCSIVAAUABFACAAbwBuAGwAeQAgAHcAaABlAG4AIABpAHQAIABtAGUAZQB0AHMAIABjAHUAcgByAGUAbgB0AC0AYQBzAHMAZQB0ACAAYwBsAGEAcwBzAGkAZgBpAGMAYQB0AGkAbwBuACAAYwByAGkAdABlAHIAaQBhACAAtgBcACIAIAAmACAAXABuACAAIAAgACAAIAAgACAAIAAgACAAIAAgACAAIAAgACAAIAAgACAAIAAgACAAIAAgAFwAIgBMAGkAYQBiAGkAbABpAHQAaQBlAHMAIAAgACAAIAAgAJIhKABSAGUAcQB1AGkAcgBlAGQAKQAgAEMAdQByAHIAZQBuAHQAIABMAGkAYQBiAGkAbABpAHQAaQBlAHMALgAgAEkAbgBjAGwAdQBkAGUAcwA6ACAAtgBcACIAIAAmACAAXABuACAAIAAgACAAIAAgACAAIAAgACAAIAAgACAAIAAgACAAIAAgACAAIAAgACAAIAAgACAAIAAgACAAIAAgACAAIAAgACAAIAAgACAAIAAgAFwAIgCSIUEAYwBjAG8AdQBuAHQAcwAgAHAAYQB5AGEAYgBsAGUAIAC2AFwAIgAgACYAIABcAG4AIAAgACAAIAAgACAAIAAgACAAIAAgACAAIAAgACAAIAAgACAAIAAgACAAIAAgACAAIAAgACAAIAAgACAAIAAgACAAIAAgACAAIAAgACAAXAAiAJIhVwBhAGcAZQBzACAAtgBcACIAIAAmACAAXABuACAAIAAgACAAIAAgACAAIAAgACAAIAAgACAAIAAgACAAIAAgACAAIAAgACAAIAAgACAAIAAgACAAIAAgACAAIAAgACAAIAAgACAAIAAgAFwAIgCSIVQAYQB4AGUAcwAgAHAAYQB5AGEAYgBsAGUAIAC2AFwAIgAgACYAIABcAG4AIAAgACAAIAAgACAAIAAgACAAIAAgACAAIAAgACAAIAAgACAAIAAgACAAIAAgACAAIAAgACAAIAAgACAAIAAgACAAIAAgACAAIAAgACAAXAAiAJIhUwBoAG8AcgB0AC0AdABlAHIAbQAgAGQAZQBiAHQAcwAgALYAXAAiACAAJgAgAFwAbgAgACAAIAAgACAAIAAgACAAIAAgACAAIAAgACAAIAAgACAAIAAgACAAIAAgACAAIAAgACAAIAAgACAAIAAgACAAIAAgACAAIAAgACAAIABcACIAkiFDAHUAcgByAGUAbgB0ACAAcABvAHIAdABpAG8AbgAgAG8AZgAgAGwAbwBuAGcALQB0AGUAcgBtACAAZABlAGIAdAAg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MQAuADAANwA1ACAAIAAgACAAIAAgACAAIAAgACAAkiE9AG8AegAuAEMAdQByAHIAZQBuAHQAUgBhAHQAaQBvALsDKAAgADEAMwA0AC4AOAAzADYALAAgADEAMgA1AC4ANAA4ADE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QBzAHMAZQB0AHMAKQAsAFwAbgAgACAAIAAgACAAIAAgACAAIAAgACAAIAAgACAAIAAgACAAIAAgACAAIAAgACAAIAAgACAAIAAgAEkAUwBPAE0ASQBUAFQARQBEACgAIABMAGkAYQBiAGkAbABpAHQAaQBlAHMAIAApAFwAbgAgACAAIAAgACAAIAAgACAAIAAgACAAIAAgACAAIAAgACAAIAAgACAAIAAgACAAIAApACwAXABuACAAIAAgACAALwAvACAAIABQAHIAbwBjAGUAZAB1AHIAZQBcAG4AIAAgACAAIAAgACAAIAAgAFIAZQBzAHUAbAB0ACwAIAAgACAAIAAgACAAIAAgACAAQQBzAHMAZQB0AHMALwBMAGkAYQBiAGkAbABpAHQAaQBlAHM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RAHUAaQBjAGsAUgBhAHQAaQBvALsDXABuACAAIAAgACAARABFAFMAQwBSAEkAUABUAEkATwBOADoAKgAvAC8AKgAqAE0AZQBhAHMAdQByAGUAcwAgAGEAYgBpAGwAaQB0AHkAIAB0AG8AIABtAGUAZQB0ACAAcwBoAG8AcgB0AC0AdABlAHIAbQAgAG8AYgBsAGkAZwBhAHQAaQBvAG4AcwAgACgAUQB1AGkAYwBrACAAQQBzAHMAZQB0AHMALwBDAHUAcgByAGUAbgB0ACAATABpAGEAYgBpAGwAaQB0AGkAZQBzACkAKgAvAFwAbgBRAHUAaQBjAGsAUgBhAHQAaQBvALsDIAA9ACAATABBAE0AQgBEAEEAKABcAG4ALwAvACAAIABQAGEAcgBhAG0AZQB0AGUAcgAgAEQAZQBjAGwAYQByAGEAdABpAG8AbgBzAFwAbgAgACAAIAAgACAAIAAgACAAWwBRAHUAaQBjAGsAQQBzAHMAZQB0AHMAXQAsACAAIABcAG4AIAAgACAAIAAgACAAIAAgAFsATABpAGEAYgBpAGwAaQB0AGkAZQBzAF0ALAAgACAAIAAgACAAIAAgAFwAbgAvAC8AIAAgAEgAZQBsAHAAXABuACAAIAAgACAATABFAFQAKABIAGUAbABwACwAIAAgACAAVABSAEkATQAoAFQARQBYAFQAUwBQAEwASQBUACgAIABcAG4AIAAgACAAIAAgACAAIAAgACAAIAAgACAAIAAgACAAIAAgACAAIAAgACAAIAAgACAAXAAiAEYAVQBOAEMAVABJAE8ATgA6ACAAIAAgACAAIAAgAJIhUQB1AGkAYwBrAFIAYQB0AGkAbwC7AygAIABRAHUAaQBjAGsAQQBzAHMAZQB0AHMALAAgAEwAaQBhAGIAaQBsAGkAdABpAGUAcwApALYAXAAiACAAJgAgAFwAbgAgACAAIAAgACAAIAAgACAAIAAgACAAIAAgACAAIAAgACAAIAAgACAAIAAgACAAIABcACIARABFAFMAQwBSAEkAUABUAEkATwBOADoAIAAgACAAkiFNAGUAYQBzAHUAcgBlAHMAIABhAGIAaQBsAGkAdAB5ACAAdABvACAAbQBlAGUAdAAgAHMAaABvAHIAdAAtAHQAZQByAG0AIABvAGIAbABpAGcAYQB0AGkAbwBuAHMAtgBcACIAIAAmACAAXABuACAAIAAgACAAIAAgACAAIAAgACAAIAAgACAAIAAgACAAIAAgACAAIAAgACAAIAAgACAAIAAgACAAIAAgACAAIAAgACAAIAAgACAAIAAgAFwAIgCSISgAUQB1AGkAYwBrACAAQQBzAHMAZQB0AHMALwBDAHUAcgByAGUAbgB0ACAATABpAGEAYgBpAGwAaQB0AGkAZQBzACkAtgBcACIAIAAmACAAXABuACAAIAAgACAAIAAgACAAIAAgACAAIAAgACAAIAAgACAAIAAgACAAIAAgACAAIAAgAFwAIgBXAEUAQgBQAEEARwBFADoAIAAgACAAIAAgACAAIACSIWgAdAB0AHAAcwA6AC8ALwB3AHcAdwAuAGkAbgB2AGUAcwB0AG8AcABlAGQAaQBhAC4AYwBvAG0ALwB0AGUAcgBtAHMALwBxAC8AcQB1AGkAYwBrAHIAYQB0AGkAb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RAHUAaQBjAGsAQQBzAHMAZQB0AHMAIAAgAJIhKABSAGUAcQB1AGkAcgBlAGQAKQAgAFEAdQBpAGMAawAgAEEAcwBzAGUAdABzAC4AIABJAG4AYwBsAHUAZABlAHMAOgAgALYAXAAiACAAJgAgAFwAbgAgACAAIAAgACAAIAAgACAAIAAgACAAIAAgACAAIAAgACAAIAAgACAAIAAgACAAIAAgACAAIAAgACAAIAAgACAAIAAgACAAIAAgACAAIABcACIAkiEiICAAQwBhAHMAaAAgACYAIABDAGEAcwBoACAAZQBxAHUAaQB2AGEAbABlAG4AdABzACAAtgBcACIAIAAmACAAXABuACAAIAAgACAAIAAgACAAIAAgACAAIAAgACAAIAAgACAAIAAgACAAIAAgACAAIAAgACAAIAAgACAAIAAgACAAIAAgACAAIAAgACAAIAAgAFwAIgCSISIgIABNAGEAcgBrAGUAdABhAGIAbABlACAAcwBlAGMAdQByAGkAdABpAGUAcwAgALYAXAAiACAAJgAgAFwAbgAgACAAIAAgACAAIAAgACAAIAAgACAAIAAgACAAIAAgACAAIAAgACAAIAAgACAAIAAgACAAIAAgACAAIAAgACAAIAAgACAAIAAgACAAIABcACIAkiEiICAAQQBjAGMAbwB1AG4AdABzACAAcgBlAGMAZQBpAHYAYQBiAGwAZQAgALYAXAAiACAAJgAgAFwAbgAgACAAIAAgACAAIAAgACAAIAAgACAAIAAgACAAIAAgACAAIAAgACAAIAAgACAAIAAgACAAIAAgACAAIAAgACAAIAAgACAAIAAgACAAIABcACIAkiFBAGwAdABlAHIAYQBuAHQAaQB2AGUAbAB5ACAAaQB0ACAAaQBuAGMAbAB1AGQAZQBzADoAIAC2AFwAIgAgACYAIABcAG4AIAAgACAAIAAgACAAIAAgACAAIAAgACAAIAAgACAAIAAgACAAIAAgACAAIAAgACAAIAAgACAAIAAgACAAIAAgACAAIAAgACAAIAAgACAAXAAiAJIhIiAgAEMAdQByAHIAZQBuAHQAIABhAHMAcwBlAHQAcwAgALYAXAAiACAAJgAgAFwAbgAgACAAIAAgACAAIAAgACAAIAAgACAAIAAgACAAIAAgACAAIAAgACAAIAAgACAAIAAgACAAIAAgACAAIAAgACAAIAAgACAAIAAgACAAIABcACIAkiEiICAATABlAHMAcwAgAGkAbgB2AGUAbgB0AG8AcgB5ACAAtgBcACIAIAAmACAAXABuACAAIAAgACAAIAAgACAAIAAgACAAIAAgACAAIAAgACAAIAAgACAAIAAgACAAIAAgACAAIAAgACAAIAAgACAAIAAgACAAIAAgACAAIAAgAFwAIgCSISIgIABMAGUAcwBzACAAcAByAGUAcABhAGkAZAAgAGUAeABwAGUAbgBzAGUAcwAgALYAXAAiACAAJgAgAFwAbgAgACAAIAAgACAAIAAgACAAIAAgACAAIAAgACAAIAAgACAAIAAgACAAIAAgACAAIABcACIATABpAGEAYgBpAGwAaQB0AGkAZQBzACAAIAAgACAAIACSISgAUgBlAHEAdQBpAHIAZQBkACkAIABDAHUAcgByAGUAbgB0ACAATABpAGEAYgBpAGwAaQB0AGkAZQBzAC4AIABJAG4AYwBsAHUAZABlAHMAOgAgALYAXAAiACAAJgAgAFwAbg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FwAIgCSIVcAYQBnAGUAcwAgALYAXAAiACAAJgAgAFwAbgAgACAAIAAgACAAIAAgACAAIAAgACAAIAAgACAAIAAgACAAIAAgACAAIAAgACAAIAAgACAAIAAgACAAIAAgACAAIAAgACAAIAAgACAAIABcACIAkiFUAGEAeABlAHMAIABwAGEAeQBhAGIAbABlACAAtgBcACIAIAAmACAAXABu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XAAiAJIhQwB1AHIAcgBlAG4AdAAgAHAAbwByAHQAaQBvAG4AIABvAGYAIABsAG8AbgBnAC0AdABlAHIAbQAgAGQAZQBiAHQAIA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EALgAyACAAIAAgACAAIAAgACAAIAAgACAAIAAgAJIhPQBvAHoALgBRAHUAaQBjAGsAUgBhAHQAaQBvALsDKAAgADEANgA1ADAAMAAwACwAIAAxADMANwA1ADA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RAHUAaQBjAGsAQQBzAHMAZQB0AHMAKQAsAFwAbgAgACAAIAAgACAAIAAgACAAIAAgACAAIAAgACAAIAAgACAAIAAgACAAIAAgACAAIAAgACAAIAAgAEkAUwBPAE0ASQBUAFQARQBEACgAIABMAGkAYQBiAGkAbABpAHQAaQBlAHMAIAApAFwAbgAgACAAIAAgACAAIAAgACAAIAAgACAAIAAgACAAIAAgACAAIAAgACAAIAAgACAAIAApACwAXABuACAAIAAgACAALwAvACAAIABQAHIAbwBjAGUAZAB1AHIAZQBcAG4AIAAgACAAIAAgACAAIAAgAFIAZQBzAHUAbAB0ACwAIAAgACAAIAAgACAAIAAgACAAUQB1AGkAYwBrAEEAcwBzAGUAdABzAC8ATABpAGEAYgBpAGwAaQB0AGkAZQBz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QwBhAHMAaABSAGEAdABpAG8AuwNcAG4AIAAgACAAIABEAEUAUwBDAFIASQBQAFQASQBPAE4AOgAqAC8ALwAqACoARQB2AGEAbAB1AGEAdABlAHMAIABhAGIAaQBsAGkAdAB5ACAAdABvACAAcgBlAHAAYQB5ACAAcwBoAG8AcgB0AC0AdABlAHIAbQAgAGQAZQBiAHQAIAB3AC8AYwBhAHMAaAAgAG8AcgAgAG4AZQBhAHIALQBjAGEAcwBoACAAcgBlAHMAbwB1AHIAYwBlAHMAIABcAG4AIAAgACAAIAAoAEMAYQBzAGgAIABhAG4AZAAgAEMAYQBzAGgAIABFAHEAdQBpAHYAYQBsAGUAbgB0AHMAIAAvACAAQwB1AHIAcgBlAG4AdAAgAEwAaQBhAGIAaQBsAGkAdABpAGUAcwApACoALwBcAG4AQwBhAHMAaABSAGEAdABpAG8AuwMgAD0AIABMAEEATQBCAEQAQQAoAFwAbgAvAC8AIAAgAFAAYQByAGEAbQBlAHQAZQByACAARABlAGMAbABhAHIAYQB0AGkAbwBuAHMAXABuACAAIAAgACAAIAAgACAAIABbAEMAYQBzAGgAXQAsACAAIABcAG4AIAAgACAAIAAgACAAIAAgAFsATABpAGEAYgBpAGwAaQB0AGkAZQBzAF0ALAAgACAAIAAgAFwAbgAvAC8AIAAgAEgAZQBsAHAAXABuACAAIAAgACAATABFAFQAKABIAGUAbABwACwAIAAgACAAVABSAEkATQAoAFQARQBYAFQAUwBQAEwASQBUACgAIABcAG4AIAAgACAAIAAgACAAIAAgACAAIAAgACAAIAAgACAAIAAgACAAIAAgACAAIAAgACAAXAAiAEYAVQBOAEMAVABJAE8ATgA6ACAAIAAgACAAIAAgAJIhQwBhAHMAaABSAGEAdABpAG8AuwMoACAAQwBhAHMAaAAsACAATABpAGEAYgBpAGwAaQB0AGkAZQBzACkAtgBcACIAIAAmACAAXABuACAAIAAgACAAIAAgACAAIAAgACAAIAAgACAAIAAgACAAIAAgACAAIAAgACAAIAAgAFwAIgBEAEUAUwBDAFIASQBQAFQASQBPAE4AOgAgACAAIACSIUUAdgBhAGwAdQBhAHQAZQBzACAAYQBiAGkAbABpAHQAeQAgAHQAbwAgAHIAZQBwAGEAeQAgAHMAaABvAHIAdAAtAHQAZQByAG0AIABkAGUAYgB0ACAAdwAvAGMAYQBzAGgAIABvAHIAIABuAGUAYQByAC0AYwBhAHMAaAAgAHIAZQBzAG8AdQByAGMAZQBzALYAXAAiACAAJgAgAFwAbgAgACAAIAAgACAAIAAgACAAIAAgACAAIAAgACAAIAAgACAAIAAgACAAIAAgACAAIAAgACAAIAAgACAAIAAgACAAIAAgACAAIAAgACAAIABcACIAkiEoAEMAYQBzAGgAIABhAG4AZAAgAEMAYQBzAGgAIABFAHEAdQBpAHYAYQBsAGUAbgB0AHMAIAAvACAAQwB1AHIAcgBlAG4AdAAgAEwAaQBhAGIAaQBsAGkAdABpAGUAcwApALYAXAAiACAAJgAgAFwAbgAgACAAIAAgACAAIAAgACAAIAAgACAAIAAgACAAIAAgACAAIAAgACAAIAAgACAAIABcACIAVwBFAEIAUABBAEcARQA6ACAAIAAgACAAIAAgACAAkiFoAHQAdABwAHMAOgAvAC8AdwB3AHcALgBpAG4AdgBlAHMAdABvAHAAZQBkAGkAYQAuAGMAbwBtAC8AdABlAHIAbQBzAC8AYwAvAGMAYQBzAGgALQByAGEAdABpAG8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QwBhAHMAaAAgACAAIAAgACAAIAAgACAAIAAgACAAkiEoAFIAZQBxAHUAaQByAGUAZAApACAAQwBhAHMAaAAgAGEAbgBkACAAQwBhAHMAaAAgAEUAcQB1AGkAdgBhAGwAZQBuAHQAcwC2AFwAIgAgACYAIABcAG4AIAAgACAAIAAgACAAIAAgACAAIAAgACAAIAAgACAAIAAgACAAIAAgACAAIAAgACAAXAAiAEwAaQBhAGIAaQBsAGkAdABpAGUAcwAgACAAIAAgACAAkiEoAFIAZQBxAHUAaQByAGUAZAApACAAQwB1AHIAcgBlAG4AdAAgAEwAaQBhAGIAaQBsAGkAdABpAGUAcwAuACAASQBuAGMAbAB1AGQAZQBzADoAIAC2AFwAIgAgACYAIABcAG4AIAAgACAAIAAgACAAIAAgACAAIAAgACAAIAAgACAAIAAgACAAIAAgACAAIAAgACAAIAAgACAAIAAgACAAIAAgACAAIAAgACAAIAAgACAAXAAiAJIhQQBjAGMAbwB1AG4AdABzACAAcABhAHkAYQBiAGwAZQAgALYAXAAiACAAJgAgAFwAbgAgACAAIAAgACAAIAAgACAAIAAgACAAIAAgACAAIAAgACAAIAAgACAAIAAgACAAIAAgACAAIAAgACAAIAAgACAAIAAgACAAIAAgACAAIABcACIAkiFXAGEAZwBlAHMAIAC2AFwAIgAgACYAIABcAG4AIAAgACAAIAAgACAAIAAgACAAIAAgACAAIAAgACAAIAAgACAAIAAgACAAIAAgACAAIAAgACAAIAAgACAAIAAgACAAIAAgACAAIAAgACAAXAAiAJIhVABhAHgAZQBzACAAcABhAHkAYQBiAGwAZQAgALYAXAAiACAAJgAgAFwAbgAgACAAIAAgACAAIAAgACAAIAAgACAAIAAgACAAIAAgACAAIAAgACAAIAAgACAAIAAgACAAIAAgACAAIAAgACAAIAAgACAAIAAgACAAIABcACIAkiFTAGgAbwByAHQALQB0AGUAcgBtACAAZABlAGIAdABzACAAtgBcACIAIAAmACAAXABuACAAIAAgACAAIAAgACAAIAAgACAAIAAgACAAIAAgACAAIAAgACAAIAAgACAAIAAgACAAIAAgACAAIAAgACAAIAAgACAAIAAgACAAIAAgAFwAIgCSIUMAdQByAHIAZQBuAHQAIABwAG8AcgB0AGkAbwBuACAAbwBmACAAbABvAG4AZwAtAHQAZQByAG0AIABkAGUAYgB0ACA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uADUAMQA3ADQAMAA5ACAAIAAgACAAIAAgACAAIACSIT0AbwB6AC4AQwBhAHMAaABSAGEAdABpAG8AuwMoACAANgAzADkAMAAwADAAMAAwACwAIAAxADIAMwA1ADAAMAAwADA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DAGEAcwBoACkALABcAG4AIAAgACAAIAAgACAAIAAgACAAIAAgACAAIAAgACAAIAAgACAAIAAgACAAIAAgACAAIAAgACAAIABJAFMATwBNAEkAVABUAEUARAAoACAATABpAGEAYgBpAGwAaQB0AGkAZQBzACAAKQBcAG4AIAAgACAAIAAgACAAIAAgACAAIAAgACAAIAAgACAAIAAgACAAIAAgACAAIAAgACAAKQAsAFwAbgAgACAAIAAgAC8ALwAgACAAUAByAG8AYwBlAGQAdQByAGUAXABuACAAIAAgACAAIAAgACAAIABSAGUAcwB1AGwAdAAsACAAIAAgACAAIAAgACAAIAAgAEMAYQBzAGgALwBMAGkAYQBiAGkAbABpAHQAaQBlAHM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PAHAAZQByAGEAdABpAG4AZwBDAGEAcwBoAEYAbABvAHcAUgBhAHQAaQBvALsDXABuACAAIAAgACAARABFAFMAQwBSAEkAUABUAEkATwBOADoAKgAvAC8AKgAqAE0AZQBhAHMAdQByAGUAcwAgAGgAbwB3ACAAcgBlAGEAZABpAGwAeQAgAGMAdQByAHIAZQBuAHQAIABsAGkAYQBiAGkAbABpAHQAaQBlAHMAIABhAHIAZQAgAGMAbwB2AGUAcgBlAGQAIABiAHkAIABjAGEAcwBoACAAZgBsAG8AdwBzACAAZwBlAG4AZQByAGEAdABlAGQAIABmAHIAbwBtACAAbwBwAGUAcgBhAHQAaQBvAG4AcwAqAC8AXABuAE8AcABlAHIAYQB0AGkAbgBnAEMAYQBzAGgARgBsAG8AdwBSAGEAdABpAG8AuwMgAD0AIABMAEEATQBCAEQAQQAoAFwAbgAvAC8AIAAgAFAAYQByAGEAbQBlAHQAZQByACAARABlAGMAbABhAHIAYQB0AGkAbwBuAHMAXABuACAAIAAgACAAIAAgACAAIABbAE8AcABlAHIAYQB0AGkAbgBnAEMAYQBzAGgARgBsAG8AdwBdACwAIAAgAFwAbgAgACAAIAAgACAAIAAgACAAWwBMAGkAYQBiAGkAbABpAHQAaQBlAHMAXQAsACAAIAAgACAAXABuAC8ALwAgACAASABlAGwAcABcAG4AIAAgACAAIABMAEUAVAAoAEgAZQBsAHAALAAgACAAIABUAFIASQBNACgAVABFAFgAVABTAFAATABJAFQAKAAgAFwAbgAgACAAIAAgACAAIAAgACAAIAAgACAAIAAgACAAIAAgACAAIAAgACAAIAAgACAAIABcACIARgBVAE4AQwBUAEkATwBOADoAIAAgACAAIAAgACAAIAAgACAAIACSIU8AcABlAHIAYQB0AGkAbgBnAEMAYQBzAGgARgBsAG8AdwBSAGEAdABpAG8AuwMoACAATwBwAGUAcgBhAHQAaQBuAGcAQwBhAHMAaABGAGwAbwB3ACwAIABMAGkAYQBiAGkAbABpAHQAaQBlAHMAKQC2AFwAIgAgACYAIABcAG4AIAAgACAAIAAgACAAIAAgACAAIAAgACAAIAAgACAAIAAgACAAIAAgACAAIAAgACAAXAAiAEQARQBTAEMAUgBJAFAAVABJAE8ATgA6ACAAIAAgACAAIAAgACAAkiFNAGUAYQBzAHUAcgBlAHMAIABoAG8AdwAgAHIAZQBhAGQAaQBsAHkAIABjAHUAcgByAGUAbgB0ACAAbABpAGEAYgBpAGwAaQB0AGkAZQBzACAAYQByAGUAIABjAG8AdgBlAHIAZQBkACAAYgB5ACAAYwBhAHMAaAAgAGYAbABvAHcAcwAgAGcAZQBuAGUAcgBhAHQAZQBkACAAZgByAG8AbQAgAG8AcABlAHIAYQB0AGkAbwBuAHMALgC2AFwAIgAgACYAIABcAG4AIAAgACAAIAAgACAAIAAgACAAIAAgACAAIAAgACAAIAAgACAAIAAgACAAIAAgACAAIAAgACAAIAAgACAAIAAgACAAIAAgACAAIAAgACAAIAAgACAAIABcACIAkiEoAE8AcABlAHIAYQB0AGkAbgBnAEMAYQBzAGgARgBsAG8AdwAvAEwAaQBhAGIAaQBsAGkAdABpAGUAcwApALYAXAAiACAAJgAgAFwAbgAgACAAIAAgACAAIAAgACAAIAAgACAAIAAgACAAIAAgACAAIAAgACAAIAAgACAAIABcACIAVwBFAEIAUABBAEcARQA6ACAAIAAgACAAIAAgACAAIAAgACAAIACSIWgAdAB0AHAAcwA6AC8ALwB3AHcAdwAuAGkAbgB2AGUAcwB0AG8AcABlAGQAaQBhAC4AYwBvAG0ALwB0AGUAcgBtAHMALwBvAC8AbwBjAGYAcgBhAHQAaQBv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AgACAAIAAgACAAIAAgACAAkiG2AFwAIgAgACYAIABcAG4AIAAgACAAIAAgACAAIAAgACAAIAAgACAAIAAgACAAIAAgACAAIAAgACAAIAAgACAAXAAiAE8AcABlAHIAYQB0AGkAbgBnAEMAYQBzAGgARgBsAG8AdwAgACAAkiEoAFIAZQBxAHUAaQByAGUAZAApACAATwBwAGUAcgBhAHQAaQBuAGcAIABjAGEAcwBoACAAZgBsAG8AdwAuACAAtgBcACIAIAAmACAAXABuACAAIAAgACAAIAAgACAAIAAgACAAIAAgACAAIAAgACAAIAAgACAAIAAgACAAIAAgACAAIAAgACAAIAAgACAAIAAgACAAIAAgACAAIAAgACAAIAAgACAAXAAiAJIhSQBuAGQAaQByAGUAYwB0ACAAbQBlAHQAaABvAGQAIABpAG4AYwBsAHUAZABlAHMAOgAgALYAXAAiACAAJgAgAFwAbgAgACAAIAAgACAAIAAgACAAIAAgACAAIAAgACAAIAAgACAAIAAgACAAIAAgACAAIAAgACAAIAAgACAAIAAgACAAIAAgACAAIAAgACAAIAAgACAAIAAgAFwAIgCSISIgIABOAGUAdAAgAEkAbgBjAG8AbQBlACAAtgBcACIAIAAmACAAXABuACAAIAAgACAAIAAgACAAIAAgACAAIAAgACAAIAAgACAAIAAgACAAIAAgACAAIAAgACAAIAAgACAAIAAgACAAIAAgACAAIAAgACAAIAAgACAAIAAgACAAXAAiAJIhIiAgAFAAbAB1AHMAIABkAGUAcAByAGUAYwBpAGEAdABpAG8AbgAgAGEAbgBkACAAYQBtAG8AcgB0AGkAcwBhAHQAaQBvAG4AIAC2AFwAIgAgACYAIABcAG4AIAAgACAAIAAgACAAIAAgACAAIAAgACAAIAAgACAAIAAgACAAIAAgACAAIAAgACAAIAAgACAAIAAgACAAIAAgACAAIAAgACAAIAAgACAAIAAgACAAIABcACIAkiEiICAATABlAHMAcwAgAGkAbgBjAHIAZQBhAHMAZQAgAGkAbgAgAG4AZQB0ACAAdwBvAHIAawBpAG4AZwAgAGMAYQBwAGkAdABhAGwAIAC2AFwAIgAgACYAIABcAG4AIAAgACAAIAAgACAAIAAgACAAIAAgACAAIAAgACAAIAAgACAAIAAgACAAIAAgACAAIAAgACAAIAAgACAAIAAgACAAIAAgACAAIAAgACAAIAAgACAAIABcACIAkiFEAGkAcgBlAGMAdAAgAG0AZQB0AGgAbwBkACAAaQBuAGMAbAB1AGQAZQBzADoAIAC2AFwAIgAgACYAIABcAG4AIAAgACAAIAAgACAAIAAgACAAIAAgACAAIAAgACAAIAAgACAAIAAgACAAIAAgACAAIAAgACAAIAAgACAAIAAgACAAIAAgACAAIAAgACAAIAAgACAAIABcACIAkiEiICAAQwBhAHMAaAAgAHIAZQB2AGUAbgB1AGUAIAC2AFwAIgAgACYAIABcAG4AIAAgACAAIAAgACAAIAAgACAAIAAgACAAIAAgACAAIAAgACAAIAAgACAAIAAgACAAIAAgACAAIAAgACAAIAAgACAAIAAgACAAIAAgACAAIAAgACAAIABcACIAkiEiICAATABlAHMAcwAgAE8AcABlAHIAYQB0AGkAbgBnACAAZQB4AHAAZQBuAHMAZQBzACAAcABhAGkAZAAgAGkAbgAgAGMAYQBzAGgAtgBcACIAIAAmACAAXABuACAAIAAgACAAIAAgACAAIAAgACAAIAAgACAAIAAgACAAIAAgACAAIAAgACAAIAAgAFwAIgBMAGkAYQBiAGkAbABpAHQAaQBlAHMAIAAgACAAIAAgACAAIAAgACAAkiEoAFIAZQBxAHUAaQByAGUAZAApACAAQwB1AHIAcgBlAG4AdAAgAEwAaQBhAGIAaQBsAGkAdABpAGUAcwAuACAASQBuAGMAbAB1AGQAZQBzADoAIAC2AFwAIgAgACYAIABcAG4AIAAgACAAIAAgACAAIAAgACAAIAAgACAAIAAgACAAIAAgACAAIAAgACAAIAAgACAAIAAgACAAIAAgACAAIAAgACAAIAAgACAAIAAgACAAIAAgACAAIABcACIAkiFBAGMAYwBvAHUAbgB0AHMAIABwAGEAeQBhAGIAbABlACAAtgBcACIAIAAmACAAXABuACAAIAAgACAAIAAgACAAIAAgACAAIAAgACAAIAAgACAAIAAgACAAIAAgACAAIAAgACAAIAAgACAAIAAgACAAIAAgACAAIAAgACAAIAAgACAAIAAgACAAXAAiAJIhVwBhAGcAZQBzACAAtgBcACIAIAAmACAAXABuACAAIAAgACAAIAAgACAAIAAgACAAIAAgACAAIAAgACAAIAAgACAAIAAgACAAIAAgACAAIAAgACAAIAAgACAAIAAgACAAIAAgACAAIAAgACAAIAAgACAAXAAiAJIhVABhAHgAZQBzACAAcABhAHkAYQBiAGwAZQAgALYAXAAiACAAJgAgAFwAbgAgACAAIAAgACAAIAAgACAAIAAgACAAIAAgACAAIAAgACAAIAAgACAAIAAgACAAIAAgACAAIAAgACAAIAAgACAAIAAgACAAIAAgACAAIAAgACAAIAAgAFwAIgCSIVMAaABvAHIAdAAtAHQAZQByAG0AIABkAGUAYgB0AHMAIAC2AFwAIgAgACYAIABcAG4AIAAgACAAIAAgACAAIAAgACAAIAAgACAAIAAgACAAIAAgACAAIAAgACAAIAAgACAAIAAgACAAIAAgACAAIAAgACAAIAAgACAAIAAgACAAIAAgACAAIABcACIAkiFDAHUAcgByAGUAbgB0ACAAcABvAHIAdABpAG8AbgAgAG8AZgAgAGwAbwBuAGcALQB0AGUAcgBtACAAZABlAGIAdA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wAC4AMwA1ADgANwAxACAAIAAgACAAIAAgACAAIAAgACAAIAAgAJIhPQBvAHoALgBPAHAAZQByAGEAdABpAG4AZwBDAGEAcwBoAEYAbABvAHcAUgBhAHQAaQBvALsDKAAgADIANwAuADgALAAgADcANwAuADU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wBwAGUAcgBhAHQAaQBuAGcAQwBhAHMAaABGAGwAbwB3ACkALABcAG4AIAAgACAAIAAgACAAIAAgACAAIAAgACAAIAAgACAAIAAgACAAIAAgACAAIAAgACAAIAAgACAAIABJAFMATwBNAEkAVABUAEUARAAoACAATABpAGEAYgBpAGwAaQB0AGkAZQBzACAAKQBcAG4AIAAgACAAIAAgACAAIAAgACAAIAAgACAAIAAgACAAIAAgACAAIAAgACAAIAAgACAAKQAsAFwAbgAgACAAIAAgAC8ALwAgACAAUAByAG8AYwBlAGQAdQByAGUAXABuACAAIAAgACAAIAAgACAAIABSAGUAcwB1AGwAdAAsACAAIAAgACAAIAAgACAAIAAgAE8AcABlAHIAYQB0AGkAbgBnAEMAYQBzAGgARgBsAG8AdwAvAEwAaQBhAGIAaQBsAGkAdABpAGUAcw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IAZQBjAGUAaQB2AGEAYgBsAGUAcwBUAHUAcgBuAG8AdgBlAHIAUgBhAHQAaQBvALsDXABuACAAIAAgACAARABFAFMAQwBSAEkAUABUAEkATwBOADoAKgAvAC8AKgAqAEkAbgBkAGkAYwBhAHQAZQBzACAAZQBmAGYAZQBjAHQAaQB2AGUAbgBlAHMAcwAgAGkAbgAgAGMAbwBsAGwAZQBjAHQAaQBuAGcAIABvAHUAdABzAHQAYQBuAGQAaQBuAGcAIABiAGEAbABhAG4AYwBlAHMAIABmAHIAbwBtACAAYwBsAGkAZQBuAHQAcwAgAGEAbgBkACAAXABuAG0AYQBuAGEAZwBpAG4AZwAgAGwAaQBuAGUAIABvAGYAIABjAHIAZQBkAGkAdAAgAHAAcgBvAGMAZQBzAHMAIAAoAE4AZQB0ACAAQwByAGUAZABpAHQAIABTAGEAbABlAHMALwBBAHYAZQByAGEAZwBlACAAQQBjAGMAbwB1AG4AdABzACAAUgBlAGMAZQBpAHYAYQBiAGwAZQApACAAKgAvAFwAbgBSAGUAYwBlAGkAdgBhAGIAbABlAHMAVAB1AHIAbgBvAHYAZQByAFIAYQB0AGkAbwC7AyAAPQAgAEwAQQBNAEIARABBACgAXABuAC8ALwAgACAAUABhAHIAYQBtAGUAdABlAHIAIABEAGUAYwBsAGEAcgBhAHQAaQBvAG4AcwBcAG4AIAAgACAAIAAgACAAIAAgAFsATgBlAHQAQwByAGUAZABpAHQAUwBhAGwAZQBzAF0ALAAgACAAXABuACAAIAAgACAAIAAgACAAIABbAEEAdgBlAHIAYQBnAGUAQQBjAGMAbwB1AG4AdABzAFIAZQBjAGUAaQB2AGEAYgBsAGUAXQAsACAAIAAgACAAXABuAC8ALwAgACAASABlAGwAcABcAG4AIAAgACAAIABMAEUAVAAoAEgAZQBsAHAALAAgACAAIABUAFIASQBNACgAVABFAFgAVABTAFAATABJAFQAKAAgAFwAbgAgACAAIAAgACAAIAAgACAAIAAgACAAIAAgACAAIAAgACAAIAAgACAAIAAgACAAIABcACIARgBVAE4AQwBUAEkATwBOADoAIAAgACAAIAAgACAAkiFSAGUAYwBlAGkAdgBhAGIAbABlAHMAVAB1AHIAbgBvAHYAZQByAFIAYQB0AGkAbwC7AygAIABOAGUAdABDAHIAZQBkAGkAdABTAGEAbABlAHMALAAgAEEAdgBlAHIAYQBnAGUAQQBjAGMAbwB1AG4AdABzAFIAZQBjAGUAaQB2AGEAYgBsAGUAKQC2AFwAIgAgACYAIABcAG4AIAAgACAAIAAgACAAIAAgACAAIAAgACAAIAAgACAAIAAgACAAIAAgACAAIAAgACAAXAAiAEQARQBTAEMAUgBJAFAAVABJAE8ATgA6ACAAIAAgAJIhSQBuAGQAaQBjAGEAdABlAHMAIABlAGYAZgBlAGMAdABpAHYAZQBuAGUAcwBzACAAaQBuACAAYwBvAGwAbABlAGMAdABpAG4AZwAgAG8AdQB0AHMAdABhAG4AZABpAG4AZwAgAGIAYQBsAGEAbgBjAGUAcwAgAGYAcgBvAG0AIABjAGwAaQBlAG4AdABzACAAYQBuAGQAIAC2AFwAIgAgACYAXABuACAAIAAgACAAIAAgACAAIAAgACAAIAAgACAAIAAgACAAIAAgACAAIAAgACAAIAAgACAAIAAgACAAIAAgACAAIAAgACAAIAAgACAAIAAgAFwAIgCSIW0AYQBuAGEAZwBpAG4AZwAgAGwAaQBuAGUAIABvAGYAIABjAHIAZQBkAGkAdAAgAHAAcgBvAGMAZQBzAHMAIAAoAE4AZQB0ACAAQwByAGUAZABpAHQAIABTAGEAbABlAHMALwBBAHYAZQByAGEAZwBlACAAQQBjAGMAbwB1AG4AdABzACAAUgBlAGMAZQBpAHYAYQBiAGwAZQApALYAXAAiACAAJgAgAFwAbgAgACAAIAAgACAAIAAgACAAIAAgACAAIAAgACAAIAAgACAAIAAgACAAIAAgACAAIABcACIAVwBFAEIAUABBAEcARQA6ACAAIAAgACAAIAAgACAAkiFoAHQAdABwAHMAOgAvAC8AdwB3AHcALgBpAG4AdgBlAHMAdABvAHAAZQBkAGkAYQAuAGMAbwBtAC8AdABlAHIAbQBzAC8AcgAvAHIAZQBjAGUAaQB2AGEAYgBsAGUAdAB1AHIAbgBvAHYAZQByAHIAYQB0AGkAb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OAGUAdABDAHIAZQBkAGkAdABTAGEAbABlAHMAIACSISgAUgBlAHEAdQBpAHIAZQBkACkAIABOAGUAdAAgAEMAcgBlAGQAaQB0ACAAUwBhAGwAZQBzAC4AIABBAG0AbwB1AG4AdAAgAG8AZgAgAHIAZQB2AGUAbgB1AGUAIABlAGEAcgBuAGUAZAAgAGIAeQAgAGEAIABjAG8AbQBwAGEAbgB5ACAAcABhAGkAZAAgAHYAaQBhACAAYwByAGUAZABpAHQAtgBcACIAIAAmACAAXABuACAAIAAgACAAIAAgACAAIAAgACAAIAAgACAAIAAgACAAIAAgACAAIAAgACAAIAAgAFwAIgBBAHYAZQByAGEAZwBlAEEAYwBjAG8AdQBuAHQAcwBSAGUAYwBlAGkAdgBhAGIAbABlAJIhKABSAGUAcQB1AGkAcgBlAGQAKQAgAEEAdgBlAHIAYQBnAGUAIABBAGMAYwBvAHUAbgB0AHMAIABSAGUAYwBlAGkAdgBhAGIAbABlAC4AIABBAHYAZQByAGEAZwBlACAAbwBmACAAcABlAHIAaQBvAGQAIABvAHAAZQBuAGkAbgBnACAAYQBuAGQAIABjAGwAbwBzAGkAbgBnACAAYgBhAGwAYQBuAGMAZQ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EAMQAuADcANgA0ADcAMQAgACAAIAAgACAAIAAgAJIhPQBvAHoALgBSAGUAYwBlAGkAdgBhAGIAbABlAHMAVAB1AHIAbgBvAHYAZQByAFIAYQB0AGkAbwC7AygAIAA4ADAAMAAwADAAMAAsACAANgA4ADAAMA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QwByAGUAZABpAHQAUwBhAGwAZQBzACkALABcAG4AIAAgACAAIAAgACAAIAAgACAAIAAgACAAIAAgACAAIAAgACAAIAAgACAAIAAgACAAIAAgACAAIABJAFMATwBNAEkAVABUAEUARAAoACAAQQB2AGUAcgBhAGcAZQBBAGMAYwBvAHUAbgB0AHMAUgBlAGMAZQBpAHYAYQBiAGwAZQApAFwAbgAgACAAIAAgACAAIAAgACAAIAAgACAAIAAgACAAIAAgACAAIAAgACAAIAAgACAAIAApACwAXABuACAAIAAgACAALwAvACAAIABQAHIAbwBjAGUAZAB1AHIAZQBcAG4AIAAgACAAIAAgACAAIAAgAFIAZQBzAHUAbAB0ACwAIAAgACAAIAAgACAAIAAgACAATgBlAHQAQwByAGUAZABpAHQAUwBhAGwAZQBzAC8AQQB2AGUAcgBhAGcAZQBBAGMAYwBvAHUAbgB0AHMAUgBlAGMAZQBpAHYAYQBiAGw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SQBuAHYAZQBuAHQAbwByAHkAVAB1AHIAbgBvAHYAZQByAFIAYQB0AGkAbwC7A1wAbgAgACAAIAAgAEQARQBTAEMAUgBJAFAAVABJAE8ATgA6ACoALwAvACoAKgBTAGgAbwB3AHMAIABoAG8AdwAgAG0AYQBuAHkAIAB0AGkAbQBlAHMAIABhACAAYwBvAG0AcABhAG4AeQAgAHQAdQByAG4AZQBkACAAbwB2AGUAcgAgAGkAdABzACAAaQBuAHYAZQBuAHQAbwByAHkAIAByAGUAbABhAHQAaQB2AGUAIABcAG4AIAAgACAAIAB0AG8AIABpAHQAcwAgAGMAbwBzAHQAIABvAGYAIABnAG8AbwBkAHMAIABzAG8AbABkACAAKABDAE8ARwBTACkAIAAoAEMATwBHAFMALwBBAHYAZQByAGEAZwBlACAASQBuAHYAZQBuAHQAbwByAHkAKQAgACoALwBcAG4ASQBuAHYAZQBuAHQAbwByAHkAVAB1AHIAbgBvAHYAZQByAFIAYQB0AGkAbwC7AyAAPQAgAEwAQQBNAEIARABBACgAXABuAC8ALwAgACAAUABhAHIAYQBtAGUAdABlAHIAIABEAGUAYwBsAGEAUgBhAHQAaQBvAG4AcwBcAG4AIAAgACAAIAAgACAAIAAgAFsAQwBvAHMAdABPAGYARwBvAG8AZABzAFMAbwBsAGQAXQAsACAAIABcAG4AIAAgACAAIAAgACAAIAAgAFsAQQB2AGUAcgBhAGcAZQBJAG4AdgBlAG4AdABvAHIAeQBdACwAIAAgACAAIABcAG4ALwAvACAAIABIAGUAbABwAFwAbgAgACAAIAAgAEwARQBUACgASABlAGwAcAAsACAAIAAgAFQAUgBJAE0AKABUAEUAWABUAFMAUABMAEkAVAAoACAAXABuACAAIAAgACAAIAAgACAAIAAgACAAIAAgACAAIAAgACAAIAAgACAAIAAgACAAIAAgAFwAIgBGAFUATgBDAFQASQBPAE4AOgAgACAAIAAgACAAIAAgACAAIAAgAJIhSQBuAHYAZQBuAHQAbwByAHkAVAB1AHIAbgBvAHYAZQByAFIAYQB0AGkAbwC7AygAIABDAG8AcwB0AE8AZgBHAG8AbwBkAHMAUwBvAGwAZAAsACAAQQB2AGUAcgBhAGcAZQBJAG4AdgBlAG4AdABvAHIAeQApALYAXAAiACAAJgAgAFwAbgAgACAAIAAgACAAIAAgACAAIAAgACAAIAAgACAAIAAgACAAIAAgACAAIAAgACAAIABcACIARABFAFMAQwBSAEkAUABUAEkATwBOADoAIAAgACAAIAAgACAAIACSIVMAaABvAHcAcwAgAGgAbwB3ACAAbQBhAG4AeQAgAHQAaQBtAGUAcwAgAGEAIABjAG8AbQBwAGEAbgB5ACAAdAB1AHIAbgBlAGQAIABvAHYAZQByACAAaQB0AHMAIABpAG4AdgBlAG4AdABvAHIAeQAgAHIAZQBsAGEAdABpAHYAZQAgALYAXAAiACAAJgBcAG4AIAAgACAAIAAgACAAIAAgACAAIAAgACAAIAAgACAAIAAgACAAIAAgACAAIAAgACAAIAAgACAAIAAgACAAIAAgACAAIAAgACAAIAAgACAAIAAgACAAIABcACIAkiF0AG8AIABpAHQAcwAgAGMAbwBzAHQAIABvAGYAIABnAG8AbwBkAHMAIABzAG8AbABkACAAKABDAE8ARwBTACkAIAAoAEMATwBHAFMALwBBAHYAZQByAGEAZwBlACAASQBuAHYAZQBuAHQAbwByAHkAKQC2AFwAIgAgACYAIABcAG4AIAAgACAAIAAgACAAIAAgACAAIAAgACAAIAAgACAAIAAgACAAIAAgACAAIAAgACAAXAAiAFcARQBCAFAAQQBHAEUAOgAgACAAIAAgACAAIAAgACAAIAAgACAAkiFoAHQAdABwAHMAOgAvAC8AdwB3AHcALgBpAG4AdgBlAHMAdABvAHAAZQBkAGkAYQAuAGMAbwBtAC8AdABlAHIAbQBzAC8AaQAvAGkAbgB2AGUAbgB0AG8AcgB5AHQAdQByAG4AbwB2AGUAcg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MAbwBzAHQATwBmAEcAbwBvAGQAcwBTAG8AbABkACAAIAAgACAAkiEoAFIAZQBxAHUAaQByAGUAZAApACAAQwBvAHMAdAAgAG8AZgAgAEcAbwBvAGQAcwAgAFMAbwBsAGQAIAAoAEMATwBHAFMAKQAgAHcAaABpAGMAaAAgAGMAYQBuACAAaQBuAGMAbAB1AGQAZQA6ALYAXAAiACAAJgBcAG4AIAAgACAAIAAgACAAIAAgACAAIAAgACAAIAAgACAAIAAgACAAIAAgACAAIAAgACAAIAAgACAAIAAgACAAIAAgACAAIAAgACAAIAAgACAAIAAgACAAIABcACIAkiFPAGYAZgBpAGMAZQAgAHMAdQBwAHAAbAB5ACAAYwBvAHMAdABzALYAXAAiACAAJgBcAG4AIAAgACAAIAAgACAAIAAgACAAIAAgACAAIAAgACAAIAAgACAAIAAgACAAIAAgACAAIAAgACAAIAAgACAAIAAgACAAIAAgACAAIAAgACAAIAAgACAAIABcACIAkiFSAGUAbgB0ACAAYQBuAGQAIAB1AHQAaQBsAGkAdAB5ACAAZQB4AHAAZQBuAHMAZQBzALYAXAAiACAAJgBcAG4AIAAgACAAIAAgACAAIAAgACAAIAAgACAAIAAgACAAIAAgACAAIAAgACAAIAAgACAAIAAgACAAIAAgACAAIAAgACAAIAAgACAAIAAgACAAIAAgACAAIABcACIAkiFSAGUAcABhAGkAcgAgAGEAbgBkACAAbQBhAGkAbgB0AGUAbgBhAG4AYwBlACAAYwBvAHMAdABzALYAXAAiACAAJgBcAG4AIAAgACAAIAAgACAAIAAgACAAIAAgACAAIAAgACAAIAAgACAAIAAgACAAIAAgACAAIAAgACAAIAAgACAAIAAgACAAIAAgACAAIAAgACAAIAAgACAAIABcACIAkiFTAGEAbABhAHIAeQAgAGEAbgBkACAAdwBhAGcAZQAgAGUAeABwAGUAbgBzAGUAcwC2AFwAIgAgACYAIABcAG4AIAAgACAAIAAgACAAIAAgACAAIAAgACAAIAAgACAAIAAgACAAIAAgACAAIAAgACAAXAAiAEEAdgBlAHIAYQBnAGUASQBuAHYAZQBuAHQAbwByAHkAIAAgACAAkiEoAFIAZQBxAHUAaQByAGUAZAApACAAQQB2AGUAcgBhAGcAZQAgAG8AZgAgAHAAZQByAGkAbwBkACAAbwBwAGUAbgAgAGEAbgBkACAAYwBsAG8AcwBlACAAaQBuAHYAZQBuAHQAbwByAHk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OAAuADQANgAxADUAMwA4ACAAIAAgACAAIAAgACAAIAAgACAAIACSIT0AbwB6AC4ASQBuAHYAZQBuAHQAbwByAHkAVAB1AHIAbgBvAHYAZQByAFIAYQB0AGkAbwC7AygAIAA0ADIAOQAsACAANQAwAC4ANw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DAG8AcwB0AE8AZgBHAG8AbwBkAHMAUwBvAGwAZAApACwAXABuACAAIAAgACAAIAAgACAAIAAgACAAIAAgACAAIAAgACAAIAAgACAAIAAgACAAIAAgACAAIAAgACAASQBTAE8ATQBJAFQAVABFAEQAKAAgAEEAdgBlAHIAYQBnAGUASQBuAHYAZQBuAHQAbwByAHkAKQBcAG4AIAAgACAAIAAgACAAIAAgACAAIAAgACAAIAAgACAAIAAgACAAIAAgACAAIAAgACAAKQAsAFwAbgAgACAAIAAgAC8ALwAgACAAUAByAG8AYwBlAGQAdQByAGUAXABuACAAIAAgACAAIAAgACAAIABSAGUAcwB1AGwAdAAsACAAIAAgACAAIAAgACAAIAAgAEMAbwBzAHQATwBmAEcAbwBvAGQAcwBTAG8AbABkAC8AQQB2AGUAcgBhAGcAZQBJAG4AdgBlAG4AdABvAHIAe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VwBvAHIAawBpAG4AZwBDAGEAcABpAHQAYQBsAFQAdQByAG4AbwB2AGUAcgBSAGEAdABpAG8AuwNcAG4AIAAgACAAIABEAEUAUwBDAFIASQBQAFQASQBPAE4AOgAqAC8ALwAqACoAVwBvAHIAawBpAG4AZwAgAEMAYQBwAGkAdABhAGwAIABUAHUAcgBuAG8AdgBlAHIAIABSAGEAdABpAG8AIABtAGUAYQBzAHUAcgBlAHMAIABoAG8AdwAgAGUAZgBmAGkAYwBpAGUAbgB0AGwAeQAgAGEAIABjAG8AbQBwAGEAbgB5ACAAaQBzACAAdQBzAGkAbgBnACAAaQB0AHMAIAB3AG8AcgBrAGkAbgBnACAAXABuAGMAYQBwAGkAdABhAGwAIAB0AG8AIABzAHUAcABwAG8AcgB0ACAAcwBhAGwAZQBzACAAYQBuAGQAIABnAHIAbwB3AHQAaAAgACgATgBlAHQAIABBAG4AbgB1AGEAbAAgAFMAYQBsAGUAcwAvAEEAdgBlAHIAYQBnAGUAIABXAG8AcgBrAGkAbgBnACAAQwBhAHAAaQB0AGEAbAApAC4AIAAqAC8AXABuAFcAbwByAGsAaQBuAGcAQwBhAHAAaQB0AGEAbABUAHUAcgBuAG8AdgBlAHIAUgBhAHQAaQBvALsDIAA9ACAATABBAE0AQgBEAEEAKABcAG4ALwAvACAAIABQAGEAcgBhAG0AZQB0AGUAcgAgAEQAZQBjAGwAYQBSAGEAdABpAG8AbgBzAFwAbgAgACAAIAAgACAAIAAgACAAWwBOAGUAdABBAG4AbgB1AGEAbABTAGEAbABlAHMAXQAsACAAIABcAG4AIAAgACAAIAAgACAAIAAgAFsAVwBvAHIAawBpAG4AZwBDAGEAcABpAHQAYQBsAF0ALAAgACAAIAAgAFwAbgAvAC8AIAAgAEgAZQBsAHAAXABuACAAIAAgACAATABFAFQAKABIAGUAbABwACwAIAAgACAAVABSAEkATQAoAFQARQBYAFQAUwBQAEwASQBUACgAIABcAG4AIAAgACAAIAAgACAAIAAgACAAIAAgACAAIAAgACAAIAAgACAAIAAgACAAIAAgACAAXAAiAEYAVQBOAEMAVABJAE8ATgA6ACAAIAAgACAAIAAgACAAIAAgAJIhVwBvAHIAawBpAG4AZwBDAGEAcABpAHQAYQBsAFQAdQByAG4AbwB2AGUAcgBSAGEAdABpAG8AuwMoACAATgBlAHQAQQBuAG4AdQBhAGwAUwBhAGwAZQBzACwAIABXAG8AcgBrAGkAbgBnAEMAYQBwAGkAdABhAGwAKQC2AFwAIgAgACYAIABcAG4AIAAgACAAIAAgACAAIAAgACAAIAAgACAAIAAgACAAIAAgACAAIAAgACAAIAAgACAAXAAiAEQARQBTAEMAUgBJAFAAVABJAE8ATgA6ACAAIAAgACAAIAAgAJIhVwBvAHIAawBpAG4AZwAgAEMAYQBwAGkAdABhAGwAIABUAHUAcgBuAG8AdgBlAHIAIABSAGEAdABpAG8AIABtAGUAYQBzAHUAcgBlAHMAIABoAG8AdwAgAGUAZgBmAGkAYwBpAGUAbgB0AGwAeQAgAGEAIABjAG8AbQBwAGEAbgB5ACAAtgBcACIAIAAmAFwAbgAgACAAIAAgACAAIAAgACAAIAAgACAAIAAgACAAIAAgACAAIAAgACAAIAAgACAAIAAgACAAIAAgACAAIAAgACAAIAAgACAAIAAgACAAIAAgACAAIABcACIAkiFpAHMAIAB1AHMAaQBuAGcAIABpAHQAcwAgAHcAbwByAGsAaQBuAGcAIABjAGEAcABpAHQAYQBsACAAdABvACAAcwB1AHAAcABvAHIAdAAgAHMAYQBsAGUAcwAgAGEAbgBkACAAZwByAG8AdwB0AGgAIAC2AFwAIgAgACYAXABuACAAIAAgACAAIAAgACAAIAAgACAAIAAgACAAIAAgACAAIAAgACAAIAAgACAAIAAgACAAIAAgACAAIAAgACAAIAAgACAAIAAgACAAIAAgACAAIAAgAFwAIgCSISgATgBlAHQAIABBAG4AbgB1AGEAbAAgAFMAYQBsAGUAcwAvAEEAdgBlAHIAYQBnAGUAIABXAG8AcgBrAGkAbgBnACAAQwBhAHAAaQB0AGEAbAApAC4AIAC2AFwAIgAgACYAXABuACAAIAAgACAAIAAgACAAIAAgACAAIAAgACAAIAAgACAAIAAgACAAIAAgACAAIAAgAFwAIgBXAEUAQgBQAEEARwBFADoAIAAgACAAIAAgACAAIAAgACAAIACSIWgAdAB0AHAAcwA6AC8ALwB3AHcAdwAuAGkAbgB2AGUAcwB0AG8AcABlAGQAaQBhAC4AYwBvAG0ALwB0AGUAcgBtAHMALwB3AC8AdwBvAHIAawBpAG4AZwBjAGEAcABpAHQAYQBsAHQAdQByAG4AbwB2AGUAcgAuAGEAcwBwACAAtgBcACIAIAAmAFwAbgAgACAAIAAgACAAIAAgACAAIAAgACAAIAAgACAAIAAgACAAIAAgACAAIAAgACAAIABcACIAVgBFAFIAUwBJAE8ATgA6ACAAIAAgACAAIAAgACAAIAAgACAAkiEyADAAIABBAHUAZwAgADIAMAAyADYAtgBcACIAIAAmAFwAbgAgACAAIAAgACAAIAAgACAAIAAgACAAIAAgACAAIAAgACAAIAAgACAAIAAgACAAIABcACIAUABBAFIAQQBNAEUAVABFAFIAUwA6AJIhtgBcACIAIAAmACAAXABuACAAIAAgACAAIAAgACAAIAAgACAAIAAgACAAIAAgACAAIAAgACAAIAAgACAAIAAgAFwAIgBOAGUAdABBAG4AbgB1AGEAbABTAGEAbABlAHMAIAAgACAAIACSISgAUgBlAHEAdQBpAHIAZQBkACkAIABOAGUAdAAgAEEAbgBuAHUAYQBsACAAUwBhAGwAZQBzACAAYwBhAG4AIABpAG4AYwBsAHUAZABlADoAtgBcACIAIAAmAFwAbgAgACAAIAAgACAAIAAgACAAIAAgACAAIAAgACAAIAAgACAAIAAgACAAIAAgACAAIAAgACAAIAAgACAAIAAgACAAIAAgACAAIAAgACAAIAAgACAAIABcACIAkiFHAHIAbwBzAHMAIABzAGEAbABlAHMAtgBcACIAIAAmAFwAbgAgACAAIAAgACAAIAAgACAAIAAgACAAIAAgACAAIAAgACAAIAAgACAAIAAgACAAIAAgACAAIAAgACAAIAAgACAAIAAgACAAIAAgACAAIAAgACAAIABcACIAkiFMAGUAcwBzACAAcgBlAHQAdQByAG4AcwC2AFwAIgAgACYAXABuACAAIAAgACAAIAAgACAAIAAgACAAIAAgACAAIAAgACAAIAAgACAAIAAgACAAIAAgACAAIAAgACAAIAAgACAAIAAgACAAIAAgACAAIAAgACAAIAAgAFwAIgCSIUwAZQBzAHMAIABhAGwAbABvAHcAYQBuAGMAZQBzALYAXAAiACAAJgBcAG4AIAAgACAAIAAgACAAIAAgACAAIAAgACAAIAAgACAAIAAgACAAIAAgACAAIAAgACAAIAAgACAAIAAgACAAIAAgACAAIAAgACAAIAAgACAAIAAgACAAXAAiAJIhTABlAHMAcwAgAGQAaQBzAGMAbwB1AG4AdABzALYAXAAiACAAJgAgAFwAbgAgACAAIAAgACAAIAAgACAAIAAgACAAIAAgACAAIAAgACAAIAAgACAAIAAgACAAIABcACIAVwBvAHIAawBpAG4AZwBDAGEAcABpAHQAYQBsACAAIAAgACAAkiEoAFIAZQBxAHUAaQByAGUAZAApACAAQQB2AGUAcgBhAGcAZQAgAG8AZgAgAHAAZQByAGkAbwBkACAAbwBwAGUAbgAgAGEAbgBkACAAYwBsAG8AcwBlACAAYwB1AHIAcgBlAG4AdAAgAGEAcwBzAHQAcwAgAGwAZQBzAHMAIABjAHUAcgByAGUAbgAgAGwAaQBhAGIAaQBsAGkAdABpAGUAcwAuALYAXAAiACAAJgAgAFwAbgAgACAAIAAgACAAIAAgACAAIAAgACAAIAAgACAAIAAgACAAIAAgACAAIAAgACAAIABcACIARQBYAEEATQBQAEwARQBTADoAIAAgACAAIAAgACAAIAAgACAAkiFGAG8AcgBtAHUAbABhACAAKABvAHoAIABpAHMAIABhAHMAcwB1AG0AZQBkACAAdABvACAAYgBlACAAdABoAGUAIABtAG8AZAB1AGwAZQAnAHMAIABuAGEAbQBlACkAtgBcACIAIAAmAFwAbgAgACAAIAAgACAAIAAgACAAIAAgACAAIAAgACAAIAAgACAAIAAgACAAIAAgACAAIABcACIANgAuADAAIAAgACAAIAAgACAAIAAgACAAIAAgACAAIAAgACAAkiE9AG8AegAuAFcAbwByAGsAaQBuAGcAQwBhAHAAaQB0AGEAbABUAHUAcgBuAG8AdgBlAHIAUgBhAHQAaQBvALsDKAAgADEAMgAuADAALAAgADIALgAw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EAbgBuAHUAYQBsAFMAYQBsAGUAcwApACwAXABuACAAIAAgACAAIAAgACAAIAAgACAAIAAgACAAIAAgACAAIAAgACAAIAAgACAAIAAgACAAIAAgACAASQBTAE8ATQBJAFQAVABFAEQAKAAgAFcAbwByAGsAaQBuAGcAQwBhAHAAaQB0AGEAbAApAFwAbgAgACAAIAAgACAAIAAgACAAIAAgACAAIAAgACAAIAAgACAAIAAgACAAIAAgACAAIAApACwAXABuACAAIAAgACAALwAvACAAIABQAHIAbwBjAGUAZAB1AHIAZQBcAG4AIAAgACAAIAAgACAAIAAgAFIAZQBzAHUAbAB0ACwAIAAgACAAIAAgACAAIAAgACAATgBlAHQAQQBuAG4AdQBhAGwAUwBhAGwAZQBzAC8AVwBvAHIAawBpAG4AZwBDAGEAcABpAHQAYQBsACwAXABuACAAIAAgACAALwAvACAAIABSAGUAdAB1AHIAbgAgAFIAZQBzAHUAbAB0AFwAbgAgACAAIAAgACAAIAAgACAAQwBIAE8ATwBTAEUAKABIAGUAbABwAD8AIAArACAAMQAsACAAUgBlAHMAdQBsAHQALAAgAEgAZQBsAHAAKQAgACAAIAAgACAAIAAgACAAXABuACAAIAAgACAAKQBcAG4AKQA7AFwAbgBcAG4AXABuAFwAbgBcAG4AXABuAFwAbgAvAC8AIAAgAEwAZQB2AGUAcgBhAGcAZQAgAFIAYQB0AGkAbwBzACAAKABhAGsAYQAgAFMAbwBsAHYAZQBuAGMAeQAgAFIAYQB0AGkAbwBzACkAXABuAFwAbgBcAG4AXABuAC8AKgAgACAARgBVAE4AQwBUAEkATwBOACAATgBBAE0ARQA6ACAAIABEAGUAYgB0AFIAYQB0AGkAbwC7A1wAbgAgACAAIAAgAEQARQBTAEMAUgBJAFAAVABJAE8ATgA6ACoALwAvACoAKgBNAGUAYQBzAHUAcgBlAHMAIAB0AGgAZQAgAGUAeAB0AGUAbgB0ACAAbwBmACAAYQAgAGMAbwBtAHAAYQBuAHkAGSBzACAAZwBlAGEAcgBpAG4AZwAgACoALwBcAG4ARABlAGIAdABSAGEAdABpAG8AuwMgAD0AIABMAEEATQBCAEQAQQAoAFwAbgAvAC8AIAAgAFAAYQByAGEAbQBlAHQAZQByACAARABlAGMAbABhAFIAYQB0AGkAbwBuAHMAXABuACAAIAAgACAAIAAgACAAIABbAFQAbwB0AGEAbABEAGUAYgB0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CSIUQAZQBiAHQAUgBhAHQAaQBvALsDKAAgAFQAbwB0AGEAbABEAGUAYgB0ACwAIABUAG8AdABhAGwAQQBzAHMAZQB0AHMAKQC2AFwAIgAgACYAIABcAG4AIAAgACAAIAAgACAAIAAgACAAIAAgACAAIAAgACAAIAAgACAAIAAgACAAIAAgACAAXAAiAEQARQBTAEMAUgBJAFAAVABJAE8ATgA6ACAAIAAgAJIhTQBlAGEAcwB1AHIAZQBzACAAdABoAGUAIABlAHgAdABlAG4AdAAgAG8AZgAgAGEAIABjAG8AbQBwAGEAbgB5ABkgcwAgAGwAZQB2AGUAcgBhAGcAZQAgACgAVABvAHQAYQBsAEQAZQBiAHQALwBUAG8AdABhAGwAQQBzAHMAZQB0AHMAKQC2AFwAIgAgACYAIABcAG4AIAAgACAAIAAgACAAIAAgACAAIAAgACAAIAAgACAAIAAgACAAIAAgACAAIAAgACAAXAAiAFcARQBCAFAAQQBHAEUAOgAgACAAIAAgACAAIAAgAJIhaAB0AHQAcABzADoALwAvAHcAdwB3AC4AaQBuAHYAZQBzAHQAbwBwAGUAZABpAGEALgBjAG8AbQAvAHQAZQByAG0AcwAvAGQALwBkAGUAYgB0AHIAYQB0AGkAbwAuAGEAcwBwACM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FQAbwB0AGEAbABEAGUAYgB0ACAAIAAgACAAIAAgAJIhKABSAGUAcQB1AGkAcgBlAGQAKQAgAFQAbwB0AGEAbAAgAEQAZQBiAHQAIAC2AFwAIgAgACYAIABcAG4AIAAgACAAIAAgACAAIAAgACAAIAAgACAAIAAgACAAIAAgACAAIAAgACAAIAAgACAAXAAiAFQAbwB0AGEAbABBAHMAcwBlAHQAcwAgACAAIAAgAJIhKABSAGUAcQB1AGkAcgBlAGQAKQAgAFQAbwB0AGEAbAAgAEEAcwBzAGUAdABzACAAtgBcACIAIAAmACAAXABuACAAIAAgACAAIAAgACAAIAAgACAAIAAgACAAIAAgACAAIAAgACAAIAAgACAAIAAgAFwAIgBTAEUARQAgAEEATABTAE8AOgAgACAAIAAgACAAIACSIUQAZQBiAHQAVABvAEEAcwBzAGUAdABSAGEAdABpAG8AuwMgAGMAbwBtAHAAdQB0AGUAcwAgAHQAaABlACAAcwBhAG0AZQAgAHIAYQB0AGkAbwAgAHUAbgBkAGUAcgAgAGkAdABzACAAbABvAG4AZwBlAHIAIABuAGEAbQBlAC4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uADMAIAAgACAAIAAgACAAIAAgACAAIAAgACAAIACSIT0AbwB6AC4ARABlAGIAdABSAGEAdABpAG8AuwMoADMAMAAuADAALAAgADEAMAAwAC4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UAG8AdABhAGwARABlAGIAdAApACwAXABuACAAIAAgACAAIAAgACAAIAAgACAAIAAgACAAIAAgACAAIAAgACAAIAAgACAAIAAgACAAIAAgACAASQBTAE8ATQBJAFQAVABFAEQAKAAgAFQAbwB0AGEAbABBAHMAcwBlAHQAcwApAFwAbgAgACAAIAAgACAAIAAgACAAIAAgACAAIAAgACAAIAAgACAAIAAgACAAIAAgACAAIAApACwAXABuACAAIAAgACAALwAvACAAIABQAHIAbwBjAGUAZAB1AHIAZQBcAG4AIAAgACAAIAAgACAAIAAgAFIAZQBzAHUAbAB0ACwAIAAgACAAIAAgACAAIAAgACAAVABvAHQAYQBsAEQAZQBiAHQALwBUAG8AdABhAGwAQQBzAHMAZQB0AHM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UwBDAFIAuwNcAG4AIAAgACAAIABEAEUAUwBDAFIASQBQAFQASQBPAE4AOgAqAC8ALwAqACoARABlAGIAdAAgAHMAZQByAHYAaQBjAGUAIABjAG8AdgBlAHIAYQBnAGUAIABSAGEAdABpAG8AIABtAGUAYQBzAHUAcgBlAHMAIABhACAAZgBpAHIAbQAZIHMAIABhAHYAYQBpAGwAYQBiAGwAZQAgAGMAYQBzAGgAIABmAGwAbwB3ACAAdABvACAAcABhAHkAIABpAHQAcwAgAFwAbgBjAHUAcgByAGUAbgB0ACAAZABlAGIAdAAgAG8AYgBsAGkAZwBhAHQAaQBvAG4AcwAoAE4AZQB0ACAATwBwAGUAcgBhAHQAaQBuAGcAIABJAG4AYwBvAG0AZQAvAFQAbwB0AGEAbAAgAEQAZQBiAHQAIABTAGUAcgB2AGkAYwBlACkAIAAqAC8AXABuAEQAUwBDAFIAuwMgAD0AIABMAEEATQBCAEQAQQAoAFwAbgAvAC8AIAAgAFAAYQByAGEAbQBlAHQAZQByACAARABlAGMAbABhAFIAYQB0AGkAbwBuAHMAXABuACAAIAAgACAAIAAgACAAIABbAE4AZQB0AE8AcABlAHIAYQB0AGkAbgBnAEkAbgBjAG8AbQBlAF0ALAAgACAAXABuACAAIAAgACAAIAAgACAAIABbAFQAbwB0AGEAbABEAGUAYgB0AFMAZQByAHYAaQBjAGUAXQAsACAAIAAgACAAXABuAC8ALwAgACAASABlAGwAcABcAG4AIAAgACAAIABMAEUAVAAoAEgAZQBsAHAALAAgACAAIABUAFIASQBNACgAVABFAFgAVABTAFAATABJAFQAKAAgAFwAbgAgACAAIAAgACAAIAAgACAAIAAgACAAIAAgACAAIAAgACAAIAAgACAAIAAgACAAIABcACIARgBVAE4AQwBUAEkATwBOADoAIAAgACAAIAAgACAAIAAgACAAIACSIUQAUwBDAFIAuwMoACAATgBlAHQATwBwAGUAcgBhAHQAaQBuAGcASQBuAGMAbwBtAGUALAAgAFQAbwB0AGEAbABEAGUAYgB0AFMAZQByAHYAaQBjAGUAKQC2AFwAIgAgACYAIABcAG4AIAAgACAAIAAgACAAIAAgACAAIAAgACAAIAAgACAAIAAgACAAIAAgACAAIAAgACAAXAAiAEQARQBTAEMAUgBJAFAAVABJAE8ATgA6ACAAIAAgACAAIAAgACAAkiFNAGUAYQBzAHUAcgBlAHMAIABhACAAZgBpAHIAbQAZIHMAIABhAHYAYQBpAGwAYQBiAGwAZQAgAGMAYQBzAGgAIABmAGwAbwB3ACAAdABvACAAcABhAHkAIABpAHQAcwAgAGMAdQByAHIAZQBuAHQAIABkAGUAYgB0ACAAbwBiAGwAaQBnAGEAdABpAG8AbgBzALYAXAAiACAAJgBcAG4AIAAgACAAIAAgACAAIAAgACAAIAAgACAAIAAgACAAIAAgACAAIAAgACAAIAAgACAAIAAgACAAIAAgACAAIAAgACAAIAAgACAAIAAgACAAIAAgACAAIABcACIAkiEoAE4AZQB0ACAATwBwAGUAcgBhAHQAaQBuAGcAIABJAG4AYwBvAG0AZQAvAFQAbwB0AGEAbAAgAEQAZQBiAHQAIABTAGUAcgB2AGkAYwBlACkAtgBcACIAIAAmACAAXABuACAAIAAgACAAIAAgACAAIAAgACAAIAAgACAAIAAgACAAIAAgACAAIAAgACAAIAAgAFwAIgBXAEUAQgBQAEEARwBFADoAIAAgACAAIAAgACAAIAAgACAAIAAgAJIhaAB0AHQAcABzADoALwAvAHcAdwB3AC4AaQBuAHYAZQBzAHQAbwBwAGUAZABpAGEALgBjAG8AbQAvAHQAZQByAG0AcwAvAGQALwBkAHMAYwBy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TgBlAHQATwBwAGUAcgBhAHQAaQBuAGcASQBuAGMAbwBtAGUAIACSISgAUgBlAHEAdQBpAHIAZQBkACkAIABJAG4AYwBvAG0AZQAgAG0AZQBhAHMAdQByAGUAIABkAGUAZgBpAG4AZQBkACAAYgB5ACAAdABoAGUAIABhAHAAcABsAGkAYwBhAGIAbABlACAAYwBvAHYAZQBuAGEAbgB0ALYAXAAiACAAJgAgAFwAbgAgACAAIAAgACAAIAAgACAAIAAgACAAIAAgACAAIAAgACAAIAAgACAAIAAgACAAIABcACIAVABvAHQAYQBsAEQAZQBiAHQAUwBlAHIAdgBpAGMAZQAgACAAIACSISgAUgBlAHEAdQBpAHIAZQBkACkAIABQAHIAaQBuAGMAaQBwAGEAbAAsACAAaQBuAHQAZQByAGUAcwB0ACAAYQBuAGQAIABvAHQAaABlAHIAIABwAGEAeQBtAGUAbgB0AHMAIABkAGUAZgBpAG4AZQBkACAAYgB5ACAAdABoAGEAdAAgAGMAbwB2AGUAbgBhAG4AdAC2AFwAIgAgACYAXABuACAAIAAgACAAIAAgACAAIAAgACAAIAAgACAAIAAgACAAIAAgACAAIAAgACAAIAAgACAAIAAgACAAIAAgACAAIAAgACAAIAAgACAAIAAgACAAIAAgACAAXAAiAJIhVQBzAGUAIAB0AGgAZQAgAHMAYQBtAGUAIABwAGUAcgBpAG8AZAAuACAAVABhAHgALQBhAGQAagB1AHMAdAAgAGkAbgB0AGUAcgBlAHMAdAAgAG8AbgBsAHkAIABpAGYAIAB0AGgAZQAgAGMAbwB2AGUAbgBhAG4AdAAgAHIAZQBxAHUAaQByAGUAcwAgAGkAd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gAuADEANAAyADgANQA3ACAAIAAgACAAIAAgACAAIAAgACAAIACSIT0AbwB6AC4ARABTAEMAUgC7AygAMgAxADUAMAAuADAALAAgADMANQAwAC4AM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PAHAAZQByAGEAdABpAG4AZwBJAG4AYwBvAG0AZQApACwAXABuACAAIAAgACAAIAAgACAAIAAgACAAIAAgACAAIAAgACAAIAAgACAAIAAgACAAIAAgACAAIAAgACAASQBTAE8ATQBJAFQAVABFAEQAKAAgAFQAbwB0AGEAbABkAGUAYgB0AHMAZQByAHYAaQBjAGUAKQBcAG4AIAAgACAAIAAgACAAIAAgACAAIAAgACAAIAAgACAAIAAgACAAIAAgACAAIAAgACAAKQAsAFwAbgAgACAAIAAgAC8ALwAgACAAUAByAG8AYwBlAGQAdQByAGUAXABuACAAIAAgACAAIAAgACAAIABSAGUAcwB1AGwAdAAsACAAIAAgACAAIAAgACAAIAAgAE4AZQB0AE8AcABlAHIAYQB0AGkAbgBnAEkAbgBjAG8AbQBlAC8AVABvAHQAYQBsAEQAZQBiAHQAUwBlAHIAdgBpAGM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lAGIAdABUAG8AQwBhAHAAaQB0AGEAbABSAGEAdABpAG8AuwNcAG4AIAAgACAAIABEAEUAUwBDAFIASQBQAFQASQBPAE4AOgAqAC8ALwAqACoARwBpAHYAZQBzACAAYQBuAGEAbAB5AHMAdABzACAAYQBuAGQAIABpAG4AdgBlAHMAdABvAHIAcwAgAGEAIABiAGUAdAB0AGUAcgAgAGkAZABlAGEAIABvAGYAIABhACAAYwBvAG0AcABhAG4AeQAnAHMAIABmAGkAbgBhAG4AYwBpAGEAbAAgAHMAdAByAHUAYwB0AHUAcgBlAFwAbgBhAG4AZAAgAHcAaABlAHQAaABlAHIAIABvAHIAIABuAG8AdAAgAHQAaABlACAAYwBvAG0AcABhAG4AeQAgAGkAcwAgAGEAIABzAHUAaQB0AGEAYgBsAGUAIABpAG4AdgBlAHMAdABtAGUAbgB0ACAAKABEAGUAYgB0AC8AKABEAGUAYgB0ACAAKwAgAFMAaABhAHIAZQBoAG8AbABkAGUAcgBzACcAIABlAHEAdQBpAHQAeQApACAAKgAvAFwAbgBEAGUAYgB0AFQAbwBDAGEAcABpAHQAYQBsAFIAYQB0AGkAbwC7AyAAPQAgAEwAQQBNAEIARABBACgAXABuAC8ALwAgACAAUABhAHIAYQBtAGUAdABlAHIAIABEAGUAYwBsAGEAUgBhAHQAaQBvAG4AcwBcAG4AIAAgACAAIAAgACAAIAAgAFsARABlAGIAdABdACwAIAAgAFwAbgAgACAAIAAgACAAIAAgACAAWw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ABlAGIAdABUAG8AQwBhAHAAaQB0AGEAbABSAGEAdABpAG8AuwMoACAARABlAGIAdAAsACAAUwBoAGEAcgBlAGgAbwBsAGQAZQByAHMARQBxAHUAaQB0AHkAKQC2AFwAIgAgACYAIABcAG4AIAAgACAAIAAgACAAIAAgACAAIAAgACAAIAAgACAAIAAgACAAIAAgACAAIAAgACAAXAAiAEQARQBTAEMAUgBJAFAAVABJAE8ATgA6ACAAIAAgACAAIAAgACAAkiFHAGkAdgBlAHMAIABhAG4AYQBsAHkAcwB0AHMAIABhAG4AZAAgAGkAbgB2AGUAcwB0AG8AcgBzACAAYQAgAGIAZQB0AHQAZQByACAAaQBkAGUAYQAgAG8AZgAgAGEAIABjAG8AbQBwAGEAbgB5ACcAcwAgAGYAaQBuAGEAbgBjAGkAYQBsACAAcwB0AHIAdQBjAHQAdQByAGUAtgBcACIAIAAmAFwAbgAgACAAIAAgACAAIAAgACAAIAAgACAAIAAgACAAIAAgACAAIAAgACAAIAAgACAAIAAgACAAIAAgACAAIAAgACAAIAAgACAAIAAgACAAIAAgACAAIAAgAFwAIgCSIWEAbgBkACAAdwBoAGUAdABoAGUAcgAgAG8AcgAgAG4AbwB0ACAAdABoAGUAIABjAG8AbQBwAGEAbgB5ACAAaQBzACAAYQAgAHMAdQBpAHQAYQBiAGwAZQAgAGkAbgB2AGUAcwB0AG0AZQBuAHQALgC2AFwAIgAgACYAIABcAG4AIAAgACAAIAAgACAAIAAgACAAIAAgACAAIAAgACAAIAAgACAAIAAgACAAIAAgACAAIAAgACAAIAAgACAAIAAgACAAIAAgACAAIAAgACAAIAAgACAAIABcACIAkiEoAEQAZQBiAHQALwAoAEQAZQBiAHQAIAArACAAUwBoAGEAcgBlAGgAbwBsAGQAZQByAHMAJwAgAGUAcQB1AGkAdAB5ACkAtgBcACIAIAAmACAAXABuACAAIAAgACAAIAAgACAAIAAgACAAIAAgACAAIAAgACAAIAAgACAAIAAgACAAIAAgAFwAIgBXAEUAQgBQAEEARwBFADoAIAAgACAAIAAgACAAIAAgACAAIAAgAJIhaAB0AHQAcABzADoALwAvAHcAdwB3AC4AaQBuAHYAZQBzAHQAbwBwAGUAZABpAGEALgBjAG8AbQAvAHQAZQByAG0AcwAvAGQALwBkAGUAYgB0AC0AdABvAC0AYwBhAHAAaQB0AGEAbA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EAGUAYgB0ACAAIAAgACAAIAAgACAAIAAgACAAIAAgACAAIAAgAJIhKABSAGUAcQB1AGkAcgBlAGQAKQAgAFQAbwB0AGEAbAAgAEQAZQBiAHQAIAB3AGgAaQBjAGgAIABjAGEAbgAgAGkAbgBjAGwAdQBkAGUAOgAgALYAXAAiACAAJgBcAG4AIAAgACAAIAAgACAAIAAgACAAIAAgACAAIAAgACAAIAAgACAAIAAgACAAIAAgACAAIAAgACAAIAAgACAAIAAgACAAIAAgACAAIAAgACAAIAAgACAAIABcACIAkiFOAG8AdABlAHMAIABwAGEAeQBhAGIAbABlALYAXAAiACAAJgBcAG4AIAAgACAAIAAgACAAIAAgACAAIAAgACAAIAAgACAAIAAgACAAIAAgACAAIAAgACAAIAAgACAAIAAgACAAIAAgACAAIAAgACAAIAAgACAAIAAgACAAIABcACIAkiFCAG8AbgBkAHMAIABwAGEAeQBhAGIAbABlALYAXAAiACAAJgBcAG4AIAAgACAAIAAgACAAIAAgACAAIAAgACAAIAAgACAAIAAgACAAIAAgACAAIAAgACAAIAAgACAAIAAgACAAIAAgACAAIAAgACAAIAAgACAAIAAgACAAIABcACIAkiFMAG8AbgBnAC0AdABlAHIAbQAgAGwAaQBhAGIAaQBsAGkAdABpAGUAcwC2AFwAIgAgACYAXABuACAAIAAgACAAIAAgACAAIAAgACAAIAAgACAAIAAgACAAIAAgACAAIAAgACAAIAAgAFwAIg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MgA2AC4ANAAlACAAIAAgACAAIAAgACAAIAAgACAAIAAgACAAIACSIT0AbwB6AC4ARABlAGIAdABUAG8AQwBhAHAAaQB0AGEAbABSAGEAdABpAG8AuwMoACAAOAAwAC4AMAAsACAAMgAyADM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RABlAGIAdAApACwAXABuACAAIAAgACAAIAAgACAAIAAgACAAIAAgACAAIAAgACAAIAAgACAAIAAgACAAIAAgACAAIAAgACAASQBTAE8ATQBJAFQAVABFAEQAKAAgAFMAaABhAHIAZQBoAG8AbABkAGUAcgBzAEUAcQB1AGkAdAB5ACkAXABuACAAIAAgACAAIAAgACAAIAAgACAAIAAgACAAIAAgACAAIAAgACAAIAAgACAAIAAgACkALABcAG4AIAAgACAAIAAvAC8AIAAgAFAAcgBvAGMAZQBkAHUAcgBlAFwAbgAgACAAIAAgACAAIAAgACAAUgBlAHMAdQBsAHQALAAgACAAIAAgACAAIAAgACAAIABEAGUAYgB0AC8AKABEAGUAYgB0ACsAUwBoAGEAcgBlAGgAbwBsAGQAZQByAHMARQBxAHUAaQB0AHkAK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QBxAHUAaQB0AHkATQB1AGwAdABpAHAAbABpAGUAcgC7A1wAbgAgACAAIAAgAEQARQBTAEMAUgBJAFAAVABJAE8ATgA6ACoALwAvACoAKgBNAGUAYQBzAHUAcgBlAHMAIAB0AGgAZQAgAHAAbwByAHQAaQBvAG4AIABvAGYAIABhACAAYwBvAG0AcABhAG4AeQAZIHMAIABhAHMAcwBlAHQAcwAgAGYAaQBuAGEAbgBjAGUAZAAgAGIAeQAgAHMAaABhAHIAZQBoAG8AbABkAGUAcgBzACcAXABuAGUAcQB1AGkAdAB5ACAAcgBhAHQAaABlAHIAIAB0AGgAYQBuACAAYgB5ACAAZABlAGIAdAAgACgAVABvAHQAYQBsAEEAcwBzAGUAdABzAC8AVABvAHQAYQBsAFMAaABhAHIAZQBoAG8AbABkAGUAcgBzAEUAcQB1AGkAdAB5ACkAIAAqAC8AXABuAEUAcQB1AGkAdAB5AE0AdQBsAHQAaQBwAGwAaQBlAHIAuwMgAD0AIABMAEEATQBCAEQAQQAoAFwAbgAvAC8AIAAgAFAAYQByAGEAbQBlAHQAZQByACAARABlAGMAbABhAFIAYQB0AGkAbwBuAHMAXABuACAAIAAgACAAIAAgACAAIABbAFQAbwB0AGEAbABBAHMAcwBlAHQAcwBdACwAIAAgAFwAbgAgACAAIAAgACAAIAAgACAAWwBUAG8AdABhAGwAUwBoAGEAcgBlAGgAbwBsAGQAZQByAHMARQBxAHUAaQB0AHkAXQAsACAAIAAgACAAXABuAC8ALwAgACAASABlAGwAcABcAG4AIAAgACAAIABMAEUAVAAoAEgAZQBsAHAALAAgACAAIABUAFIASQBNACgAVABFAFgAVABTAFAATABJAFQAKAAgAFwAbgAgACAAIAAgACAAIAAgACAAIAAgACAAIAAgACAAIAAgACAAIAAgACAAIAAgACAAIABcACIARgBVAE4AQwBUAEkATwBOADoAIAAgACAAIAAgACAAIAAgACAAIACSIUUAcQB1AGkAdAB5AE0AdQBsAHQAaQBwAGwAaQBlAHIAuwMoACAAVABvAHQAYQBsAEEAcwBzAGUAdABzACwAIABUAG8AdABhAGwAUwBoAGEAcgBlAGgAbwBsAGQAZQByAHMARQBxAHUAaQB0AHkAKQC2AFwAIgAgACYAIABcAG4AIAAgACAAIAAgACAAIAAgACAAIAAgACAAIAAgACAAIAAgACAAIAAgACAAIAAgACAAXAAiAEQARQBTAEMAUgBJAFAAVABJAE8ATgA6ACAAIAAgACAAIAAgACAAkiFNAGUAYQBzAHUAcgBlAHMAIAB0AGgAZQAgAHAAbwByAHQAaQBvAG4AIABvAGYAIABhACAAYwBvAG0AcABhAG4AeQAZIHMAIABhAHMAcwBlAHQAcwAgAGYAaQBuAGEAbgBjAGUAZAAgAGIAeQAgAHMAaABhAHIAZQBoAG8AbABkAGUAcgBzACcAIAC2AFwAIgAgACYAXABuACAAIAAgACAAIAAgACAAIAAgACAAIAAgACAAIAAgACAAIAAgACAAIAAgACAAIAAgACAAIAAgACAAIAAgACAAIAAgACAAIAAgACAAIAAgACAAIAAgACAAXAAiAJIhZQBxAHUAaQB0AHkAIAByAGEAdABoAGUAcgAgAHQAaABhAG4AIABiAHkAIABkAGUAYgB0ACAAKABUAG8AdABhAGwAQQBzAHMAZQB0AHMALwBUAG8AdABhAGwAUwBoAGEAcgBlAGgAbwBsAGQAZQByAHMARQBxAHUAaQB0AHkAKQC2AFwAIgAgACYAIABcAG4AIAAgACAAIAAgACAAIAAgACAAIAAgACAAIAAgACAAIAAgACAAIAAgACAAIAAgACAAXAAiAFcARQBCAFAAQQBHAEUAOgAgACAAIAAgACAAIAAgACAAIAAgACAAkiFoAHQAdABwAHMAOgAvAC8AdwB3AHcALgBpAG4AdgBlAHMAdABvAHAAZQBkAGkAYQAuAGMAbwBtAC8AdABlAHIAbQBzAC8AZQAvAGUAcQB1AGkAdAB5AG0AdQBsAHQAaQBwAGwAaQBlAHI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CAAIAAgACAAIAAgACAAIACSIbYAXAAiACAAJgAgAFwAbgAgACAAIAAgACAAIAAgACAAIAAgACAAIAAgACAAIAAgACAAIAAgACAAIAAgACAAIABcACIAVABvAHQAYQBsAEEAcwBzAGUAdABzACAAIAAgACAAIAAgACAAIACSISgAUgBlAHEAdQBpAHIAZQBkACkAIABCAG8AdABoACAAYwB1AHIAcgBlAG4AdAAgAGEAbgBkACAAbABvAG4AZwAtAHQAZQByAG0AIABhAHMAcwBlAHQAcwC2AFwAIgAgACYAIABcAG4AIAAgACAAIAAgACAAIAAgACAAIAAgACAAIAAgACAAIAAgACAAIAAgACAAIAAgACAAXAAiAFQAbwB0AGEAbABTAGgAYQByAGUAaABvAGwAZABlAHIAcwBFAHEAdQBpAHQAeQAgAJIhKABSAGUAcQB1AGkAcgBlAGQAKQAgAFMAaABhAHIAZQBoAG8AbABkAGUAcgBzACcAIABFAHEAdQBpAHQAeQAgACgAdABvAHQAYQBsACAAYQBzAHMAZQB0AHMAIAAtACAAdABvAHQAYQBsACAAbABpAGEAYgBpAGwAaQB0AGkAZQBzACk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AAuADQAMAA2ADIANQAgACAAIAAgACAAIAAgACAAIAAgACAAIACSIT0AbwB6AC4ARQBxAHUAaQB0AHkATQB1AGwAdABpAHAAbABpAGUAcgC7AygAMwA2ADYALgA2ACwAIAA4ADMALgAy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EAcwBzAGUAdABzACkALABcAG4AIAAgACAAIAAgACAAIAAgACAAIAAgACAAIAAgACAAIAAgACAAIAAgACAAIAAgACAAIAAgACAAIABJAFMATwBNAEkAVABUAEUARAAoACAAVABvAHQAYQBsAFMAaABhAHIAZQBoAG8AbABkAGUAcgBzAEUAcQB1AGkAdAB5ACkAXABuACAAIAAgACAAIAAgACAAIAAgACAAIAAgACAAIAAgACAAIAAgACAAIAAgACAAIAAgACkALABcAG4AIAAgACAAIAAvAC8AIAAgAFAAcgBvAGMAZQBkAHUAcgBlAFwAbgAgACAAIAAgACAAIAAgACAAUgBlAHMAdQBsAHQALAAgACAAIAAgACAAIAAgACAAIABUAG8AdABhAGwAQQBzAHMAZQB0AHMALwBUAG8AdABhAGwAUwBoAGEAcgBlAGgAbwBsAGQAZQByAHMARQBxAHUAaQB0AHkALABcAG4AIAAgACAAIAAvAC8AIAAgAFIAZQB0AHUAcgBuACAAUgBlAHMAdQBsAHQAXABuACAAIAAgACAAIAAgACAAIABDAEgATwBPAFMARQAoAEgAZQBsAHAAPwAgACsAIAAxACwAIABSAGUAcwB1AGwAdAAsACAASABlAGwAcAApACAAIAAgACAAIAAgACAAIABcAG4AIAAgACAAIAApAFwAbgApADsAXABuAFwAbgBcAG4AXABuAFwAbgBcAG4AXABuAC8ALwAgACAAUwBvAGwAdgBlAG4AYwB5ACAAUgBhAHQAaQBvAHMAXABuAFwAbgAgAFwAbgAvACoAIAAgAEYAVQBOAEMAVABJAE8ATgAgAE4AQQBNAEUAOgAgACAARABlAGIAdABUAG8ARQBxAHUAaQB0AHkAUgBhAHQAaQBvALsDXABuACAAIAAgACAARABFAFMAQwBSAEkAUABUAEkATwBOADoAKgAvAC8AKgAqAE0AZQBhAHMAdQByAGUAcwAgAHQAaABlACAAZABlAGcAcgBlAGUAIAB0AG8AIAB3AGgAaQBjAGgAIABhACAAYwBvAG0AcABhAG4AeQAgAGkAcwAgAGYAaQBuAGEAbgBjAGkAbgBnACAAbwBwAGUAcgBhAHQAaQBvAG4AcwBcAG4AdwBpAHQAaAAgAGQAZQBiAHQAIAByAGEAdABoAGUAcgAgAHQAaABhAG4AIABpAHQAcwAgAG8AdwBuACAAcgBlAHMAbwB1AHIAYwBlAHMALgAgACgAVABvAHQAYQBsACAATABpAGEAYgBpAGwAaQB0AGkAZQBzAC8AUwBoAGEAcgBlAGgAbwBsAGQAZQByAHMAJwAgAEUAcQB1AGkAdAB5ACkAIAAqAC8AXABuAEQAZQBiAHQAVABvAEUAcQB1AGkAdAB5AFIAYQB0AGkAbwC7AyAAPQAgAEwAQQBNAEIARABBACgAXABuAC8ALwAgACAAUABhAHIAYQBtAGUAdABlAHIAIABEAGUAYwBsAGEAUgBhAHQAaQBvAG4AcwBcAG4AIAAgACAAIAAgACAAIAAgAFsAVABvAHQAYQBsAEwAaQBhAGIAaQBsAGkAdABpAGUAcwBdACwAIAAgAFwAbgAgACAAIAAgACAAIAAgACAAWwBTAGgAYQByAGUAaABvAGwAZABlAHIAcwBFAHEAdQBpAHQAeQBdACwAIAAgACAAIABcAG4ALwAvACAAIABIAGUAbABwAFwAbgAgACAAIAAgAEwARQBUACgASABlAGwAcAAsACAAIAAgAFQAUgBJAE0AKABUAEUAWABUAFMAUABMAEkAVAAoACAAXABuACAAIAAgACAAIAAgACAAIAAgACAAIAAgACAAIAAgACAAIAAgACAAIAAgACAAIAAgAFwAIgBGAFUATgBDAFQASQBPAE4AOgAgACAAIAAgACAAIAAgACAAIAAgAJIhRABlAGIAdABUAG8ARQBxAHUAaQB0AHkAUgBhAHQAaQBvALsDKAAgAFQAbwB0AGEAbABMAGkAYQBiAGkAbABpAHQAaQBlAHMALAAgAFMAaABhAHIAZQBoAG8AbABkAGUAcgBzAEUAcQB1AGkAdAB5ACkAtgBcACIAIAAmACAAXABuACAAIAAgACAAIAAgACAAIAAgACAAIAAgACAAIAAgACAAIAAgACAAIAAgACAAIAAgAFwAIgBEAEUAUwBDAFIASQBQAFQASQBPAE4AOgAgACAAIAAgACAAIAAgAJIhTQBlAGEAcwB1AHIAZQBzACAAdABoAGUAIABkAGUAZwByAGUAZQAgAHQAbwAgAHcAaABpAGMAaAAgAGEAIABjAG8AbQBwAGEAbgB5ACAAaQBzACAAZgBpAG4AYQBuAGMAaQBuAGcAIABvAHAAZQByAGEAdABpAG8AbgBzALYAXAAiACAAJgBcAG4AIAAgACAAIAAgACAAIAAgACAAIAAgACAAIAAgACAAIAAgACAAIAAgACAAIAAgACAAIAAgACAAIAAgACAAIAAgACAAIAAgACAAIAAgACAAIAAgACAAIABcACIAkiF3AGkAdABoACAAZABlAGIAdAAgAHIAYQB0AGgAZQByACAAdABoAGEAbgAgAGkAdABzACAAbwB3AG4AIAByAGUAcwBvAHUAcgBjAGUAcwAuACAAKABUAG8AdABhAGwAIABMAGkAYQBiAGkAbABpAHQAaQBlAHMALwBTAGgAYQByAGUAaABvAGwAZABlAHIAcwAnACAARQBxAHUAaQB0AHkAKQC2AFwAIgAgACYAIABcAG4AIAAgACAAIAAgACAAIAAgACAAIAAgACAAIAAgACAAIAAgACAAIAAgACAAIAAgACAAXAAiAFcARQBCAFAAQQBHAEUAOgAgACAAIAAgACAAIAAgACAAIAAgACAAkiFoAHQAdABwAHMAOgAvAC8AdwB3AHcALgBpAG4AdgBlAHMAdABvAHAAZQBkAGkAYQAuAGMAbwBtAC8AdABlAHIAbQBzAC8AZAAvAGQAZQBiAHQAZQBxAHUAaQB0AHkAcgBhAHQAaQBv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AgACAAIAAgACAAIAAgACAAkiG2AFwAIgAgACYAIABcAG4AIAAgACAAIAAgACAAIAAgACAAIAAgACAAIAAgACAAIAAgACAAIAAgACAAIAAgACAAXAAiAFQAbwB0AGEAbABMAGkAYQBiAGkAbABpAHQAaQBlAHMAIAAgACAAkiEoAFIAZQBxAHUAaQByAGUAZAApACAAVABvAHQAYQBsACAATABpAGEAYgBpAGwAaQB0AGkAZQBzALYAXAAiACAAJgAgAFwAbgAgACAAIAAgACAAIAAgACAAIAAgACAAIAAgACAAIAAgACAAIAAgACAAIAAgACAAIABcACIAUwBoAGEAcgBlAGgAbwBsAGQAZQByAHMARQBxAHUAaQB0AHkAIACSISgAUgBlAHEAdQBpAHIAZQBkACkAIABTAGgAYQByAGUAaABvAGwAZABlAHIAcwAnACAARQBxAHUAaQB0AHkAIAAoAHQAbwB0AGEAbAAgAGEAcwBzAGUAdABzACAALQAgAHQAbwB0AGEAbAAgAGwAaQBhAGIAaQBsAGkAdABpAGUAcwAp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MALgA3ADcAIAAgACAAIAAgACAAIAAgACAAIAAgACAAIAAgACAAkiE9AG8AegAuAEQAZQBiAHQAVABvAEUAcQB1AGkAdAB5AFIAYQB0AGkAbwC7AygAMgA3ADkALgAwACwAIAA3ADQ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VABvAHQAYQBsAEwAaQBhAGIAaQBsAGkAdABpAGUAcwApACwAXABuACAAIAAgACAAIAAgACAAIAAgACAAIAAgACAAIAAgACAAIAAgACAAIAAgACAAIAAgACAAIAAgACAASQBTAE8ATQBJAFQAVABFAEQAKAAgAFMAaABhAHIAZQBoAG8AbABkAGUAcgBzAEUAcQB1AGkAdAB5ACkAXABuACAAIAAgACAAIAAgACAAIAAgACAAIAAgACAAIAAgACAAIAAgACAAIAAgACAAIAAgACkALABcAG4AIAAgACAAIAAvAC8AIAAgAFAAcgBvAGMAZQBkAHUAcgBlAFwAbgAgACAAIAAgACAAIAAgACAAUgBlAHMAdQBsAHQALAAgACAAIAAgACAAIAAgACAAIABUAG8AdABhAGwATABpAGEAYgBpAGwAaQB0AGkAZQBzAC8AUwBoAGEAcgBlAGgAbwBsAGQAZQByAHMARQBxAHUAaQB0AHk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QAZQBiAHQAVABvAEEAcwBzAGUAdABSAGEAdABpAG8AuwNcAG4AIAAgACAAIABEAEUAUwBDAFIASQBQAFQASQBPAE4AOgAqAC8ALwAqACoAQQBuAGEAbAB5AHMAdABzACAAYwBhAG4AIABjAG8AbQBwAGEAcgBlACAAbwBuAGUAIABjAG8AbQBwAGEAbgB5ACcAcwAgAGcAZQBhAHIAaQBuAGcAIAB3AGkAdABoACAAdABoAGEAdAAgAG8AZgAgAG8AdABoAGUAcgAgAFwAbgBjAG8AbQBwAGEAbgBpAGUAcwAgAGkAbgAgAHQAaABlACAAcwBhAG0AZQAgAGkAbgBkAHUAcwB0AHIAeQAuACAAKABUAG8AdABhAGwAIABEAGUAYgB0AC8AVABvAHQAYQBsACAAQQBzAHMAZQB0AHMAKQAgACoALwBcAG4ARABlAGIAdABUAG8AQQBzAHMAZQB0AFIAYQB0AGkAbwC7AyAAPQAgAEwAQQBNAEIARABBACgAXABuAC8ALwAgACAAUABhAHIAYQBtAGUAdABlAHIAIABEAGUAYwBsAGEAUgBhAHQAaQBvAG4AcwBcAG4AIAAgACAAIAAgACAAIAAgAFsAVABvAHQAYQBsAEQAZQBiAHQAXQAsACAAIABcAG4AIAAgACAAIAAgACAAIAAgAFsAVABvAHQAYQBsAEEAcwBzAGUAdABzAF0ALAAgACAAIAAgAFwAbgAvAC8AIAAgAEgAZQBsAHAAXABuACAAIAAgACAATABFAFQAKABIAGUAbABwACwAIAAgACAAVABSAEkATQAoAFQARQBYAFQAUwBQAEwASQBUACgAIABcAG4AIAAgACAAIAAgACAAIAAgACAAIAAgACAAIAAgACAAIAAgACAAIAAgACAAIAAgACAAXAAiAEYAVQBOAEMAVABJAE8ATgA6ACAAIAAgACAAIAAgACAAIAAgACAAkiFEAGUAYgB0AFQAbwBBAHMAcwBlAHQAUgBhAHQAaQBvALsDKAAgAFQAbwB0AGEAbABEAGUAYgB0ACwAIABUAG8AdABhAGwAQQBzAHMAZQB0AHMAKQC2AFwAIgAgACYAIABcAG4AIAAgACAAIAAgACAAIAAgACAAIAAgACAAIAAgACAAIAAgACAAIAAgACAAIAAgACAAXAAiAEQARQBTAEMAUgBJAFAAVABJAE8ATgA6ACAAIAAgACAAIAAgACAAkiFBAG4AYQBsAHkAcwB0AHMAIABjAGEAbgAgAGMAbwBtAHAAYQByAGUAIABvAG4AZQAgAGMAbwBtAHAAYQBuAHkAJwBzACAAbABlAHYAZQByAGEAZwBlACAAdwBpAHQAaAAgAHQAaABhAHQAIABvAGYAIABvAHQAaABlAHIAIAB5ALYAXAAiACAAJgBcAG4AIAAgACAAIAAgACAAIAAgACAAIAAgACAAIAAgACAAIAAgACAAIAAgACAAIAAgACAAIAAgACAAIAAgACAAIAAgACAAIAAgACAAIAAgACAAIAAgACAAIABcACIAkiFjAG8AbQBwAGEAbgBpAGUAcwAgAGkAbgAgAHQAaABlACAAcwBhAG0AZQAgAGkAbgBkAHUAcwB0AHIAeQAgACgAVABvAHQAYQBsACAARABlAGIAdAAvAFQAbwB0AGEAbAAgAEEAcwBzAGUAdABzACkAtgBcACIAIAAmAFwAbgAgACAAIAAgACAAIAAgACAAIAAgACAAIAAgACAAIAAgACAAIAAgACAAIAAgACAAIABcACIAVwBFAEIAUABBAEcARQA6ACAAIAAgACAAIAAgACAAIAAgACAAIACSIWgAdAB0AHAAcwA6AC8ALwB3AHcAdwAuAGkAbgB2AGUAcwB0AG8AcABlAGQAaQBhAC4AYwBvAG0ALwB0AGUAcgBtAHMALwB0AC8AdABvAHQAYQBsAGQAZQBiAHQAdABvAHQAbwB0AGEAbABhAHMAcwBlAHQAcw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IAAgACAAIAAgACAAIAAgAJIhtgBcACIAIAAmACAAXABuACAAIAAgACAAIAAgACAAIAAgACAAIAAgACAAIAAgACAAIAAgACAAIAAgACAAIAAgAFwAIgBUAG8AdABhAGwARABlAGIAdAAgACAAIAAgACAAIAAgACAAIAAgAJIhKABSAGUAcQB1AGkAcgBlAGQAKQAgAFQAbwB0AGEAbAAgAGQAZQBiAHQAIABpAG4AYwBsAHUAZABlAHMAIABzAGgAbwByAHQAdABlAHIAbQAgAGEAbgBkACAAbABvAG4AZwB0AGUAcgBtACAAZABlAGIAdAC2AFwAIgAgACYAIABcAG4AIAAgACAAIAAgACAAIAAgACAAIAAgACAAIAAgACAAIAAgACAAIAAgACAAIAAgACAAXAAiAFQAbwB0AGEAbABBAHMAcwBlAHQAcwAgACAAIAAgACAAIAAgACAAkiEoAFIAZQBxAHUAaQByAGUAZAApACAAVABvAHQAYQBsACAAQQBzAHMAZQB0AHMAIAC2AFwAIgAgACYAIABcAG4AIAAgACAAIAAgACAAIAAgACAAIAAgACAAIAAgACAAIAAgACAAIAAgACAAIAAgACAAXAAiAFMARQBFACAAQQBMAFMATwA6ACAAIAAgACAAIAAgACAAIAAgACAAkiFEAGUAYgB0AFIAYQB0AGkAbwC7AyAAYwBvAG0AcAB1AHQAZQBzACAAdABoAGUAIABzAGEAbQBlACAAcgBhAHQAaQBvACAAdQBuAGQAZQByACAAaQB0AHMAIABzAGgAbwByAHQAZQByACAAbgBhAG0AZQAu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uADQAOQA4ADcAMwAgACAAIAAgACAAIAAgACAAIAAgACAAIAAgAJIhPQBvAHoALgBEAGUAYgB0AFQAbwBBAHMAcwBlAHQAUgBhAHQAaQBvALsDKAAzADEALgA4ADQANQAsACAANgAzAC4AOAA1ADI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UAG8AdABhAGwARABlAGIAdAApACwAXABuACAAIAAgACAAIAAgACAAIAAgACAAIAAgACAAIAAgACAAIAAgACAAIAAgACAAIAAgACAAIAAgACAASQBTAE8ATQBJAFQAVABFAEQAKAAgAFQAbwB0AGEAbABBAHMAcwBlAHQAcwApAFwAbgAgACAAIAAgACAAIAAgACAAIAAgACAAIAAgACAAIAAgACAAIAAgACAAIAAgACAAIAApACwAXABuACAAIAAgACAALwAvACAAIABQAHIAbwBjAGUAZAB1AHIAZQBcAG4AIAAgACAAIAAgACAAIAAgAFIAZQBzAHUAbAB0ACwAIAAgACAAIAAgACAAIAAgACAAVABvAHQAYQBsAEQAZQBiAHQAIA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SQBuAHQAZQByAGUAcwB0AEMAbwB2AGUAcgBhAGcAZQBSAGEAdABpAG8AuwNcAG4AIAAgACAAIABEAEUAUwBDAFIASQBQAFQASQBPAE4AOgAqAC8ALwAqACoARABlAHQAZQByAG0AaQBuAGUAcwAgAGgAbwB3ACAAZQBhAHMAaQBsAHkAIABhACAAYwBvAG0AcABhAG4AeQAgAGMAYQBuACAAcABhAHkAIABpAG4AdABlAHIAZQBzAHQAIABvAG4AIABpAHQAcwAgAG8AdQB0AHMAdABhAG4AZABpAG4AZwAgAGQAZQBiAHQAXABuACgATwBwAGUAcgBhAHQAaQBuAGcAIABJAG4AYwBvAG0AZQAvAEkAbgB0AGUAcgBlAHMAdAAgAEUAeABwAGUAbgBzAGUAcwApACAAKgAvAFwAbgBJAG4AdABlAHIAZQBzAHQAQwBvAHYAZQByAGEAZwBlAFIAYQB0AGkAbwC7AyAAPQAgAEwAQQBNAEIARABBACgAXABuAC8ALwAgACAAUABhAHIAYQBtAGUAdABlAHIAIABEAGUAYwBsAGEAUgBhAHQAaQBvAG4AcwBcAG4AIAAgACAAIAAgACAAIAAgAFsATwBwAGUAcgBhAHQAaQBuAGcASQBuAGMAbwBtAGUAXQAsACAAIABcAG4AIAAgACAAIAAgACAAIAAgAFsASQBuAHQAZQByAGUAcwB0AEUAeABwAGUAbgBzAGUAcwBdACwAIAAgACAAIABcAG4ALwAvACAAIABIAGUAbABwAFwAbgAgACAAIAAgAEwARQBUACgASABlAGwAcAAsACAAIAAgAFQAUgBJAE0AKABUAEUAWABUAFMAUABMAEkAVAAoACAAXABuACAAIAAgACAAIAAgACAAIAAgACAAIAAgACAAIAAgACAAIAAgACAAIAAgACAAIAAgAFwAIgBGAFUATgBDAFQASQBPAE4AOgAgACAAIAAgACAAIAAgACAAIAAgAJIhSQBuAHQAZQByAGUAcwB0AEMAbwB2AGUAcgBhAGcAZQBSAGEAdABpAG8AuwMoACAATwBwAGUAcgBhAHQAaQBuAGcASQBuAGMAbwBtAGUALAAgAEkAbgB0AGUAcgBlAHMAdABFAHgAcABlAG4AcwBlAHMAKQC2AFwAIgAgACYAIABcAG4AIAAgACAAIAAgACAAIAAgACAAIAAgACAAIAAgACAAIAAgACAAIAAgACAAIAAgACAAXAAiAEQARQBTAEMAUgBJAFAAVABJAE8ATgA6ACAAIAAgACAAIAAgACAAkiFEAGUAdABlAHIAbQBpAG4AZQBzACAAaABvAHcAIABlAGEAcwBpAGwAeQAgAGEAIABjAG8AbQBwAGEAbgB5ACAAYwBhAG4AIABwAGEAeQAgAGkAbgB0AGUAcgBlAHMAdAAgAG8AbgAgAGkAdABzACAAbwB1AHQAcwB0AGEAbgBkAGkAbgBnACAAZABlAGIAdAC2AFwAIgAgACYAXABuACAAIAAgACAAIAAgACAAIAAgACAAIAAgACAAIAAgACAAIAAgACAAIAAgACAAIAAgACAAIAAgACAAIAAgACAAIAAgACAAIAAgACAAIAAgACAAIAAgACAAXAAiAJIhKABPAHAAZQByAGEAdABpAG4AZwAgAEkAbgBjAG8AbQBlAC8ASQBuAHQAZQByAGUAcwB0ACAARQB4AHAAZQBuAHMAZQBzACkAtgBcACIAIAAmACAAXABuACAAIAAgACAAIAAgACAAIAAgACAAIAAgACAAIAAgACAAIAAgACAAIAAgACAAIAAgAFwAIgBXAEUAQgBQAEEARwBFADoAIAAgACAAIAAgACAAIAAgACAAIAAgAJIhaAB0AHQAcABzADoALwAvAHcAdwB3AC4AaQBuAHYAZQBzAHQAbwBwAGUAZABpAGEALgBjAG8AbQAvAHQAZQByAG0AcwAvAGkALwBpAG4AdABlAHIAZQBzAHQAYwBvAHYAZQByAGEAZwBlAHIAYQB0AGkAbw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IAAgACAAIAAgACAAIAAgAJIhtgBcACIAIAAmACAAXABuACAAIAAgACAAIAAgACAAIAAgACAAIAAgACAAIAAgACAAIAAgACAAIAAgACAAIAAgAFwAIgBPAHAAZQByAGEAdABpAG4AZwBJAG4AYwBvAG0AZQAgACAAIAAgAJIhKABSAGUAcQB1AGkAcgBlAGQAKQAgAE8AcABlAHIAYQB0AGkAbgBnACAASQBuAGMAbwBtAGUAIAAoAEUAQgBJAFQAKQAgALYAXAAiACAAJgAgAFwAbgAgACAAIAAgACAAIAAgACAAIAAgACAAIAAgACAAIAAgACAAIAAgACAAIAAgACAAIABcACIASQBuAHQAZQByAGUAcwB0AEUAeABwAGUAbgBzAGUAcwAgACAAIACSISgAUgBlAHEAdQBpAHIAZQBkACkAIABJAG4AdABlAHIAZQBzAHQAIABFAHgAcABlAG4AcwBl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YALgA5ADQANAA0ADQANAAgACAAIAAgACAAIAAgACAAIAAgACAAkiE9AG8AegAuAEkAbgB0AGUAcgBlAHMAdABDAG8AdgBlAHIAYQBnAGUAUgBhAHQAaQBvALsDKAAgADYAMgA1AC4AMAAsACAAOQ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8AcABlAHIAYQB0AGkAbgBnAEkAbgBjAG8AbQBlACkALABcAG4AIAAgACAAIAAgACAAIAAgACAAIAAgACAAIAAgACAAIAAgACAAIAAgACAAIAAgACAAIAAgACAAIABJAFMATwBNAEkAVABUAEUARAAoACAASQBuAHQAZQByAGUAcwB0AEUAeABwAGUAbgBzAGUAcwApAFwAbgAgACAAIAAgACAAIAAgACAAIAAgACAAIAAgACAAIAAgACAAIAAgACAAIAAgACAAIAApACwAXABuACAAIAAgACAALwAvACAAIABQAHIAbwBjAGUAZAB1AHIAZQBcAG4AIAAgACAAIAAgACAAIAAgAFIAZQBzAHUAbAB0ACwAIAAgACAAIAAgACAAIAAgACAATwBwAGUAcgBhAHQAaQBuAGcASQBuAGMAbwBtAGUALwBJAG4AdABlAHIAZQBzAHQARQB4AHAAZQBuAHMAZQ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FAHEAdQBpAHQAeQBSAGEAdABpAG8AuwNcAG4AIAAgACAAIABEAEUAUwBDAFIASQBQAFQASQBPAE4AOgAqAC8ALwAqACoATQBlAGEAcwB1AHIAZQBzACAAdABoAGUAIABsAG8AbgBnAC0AdABlAHIAbQAgAHMAbwBsAHYAZQBuAGMAeQAgAG8AZgAgAGEAIABjAG8AbQBwAGEAbgB5ACAAYgB5ACAAYwBvAG0AcABhAHIAaQBuAGcAIABpAHQAcwAgAHMAaABhAHIAZQBoAG8AbABkAGUAcgBzABkgIABlAHEAdQBpAHQAeQAgAHQAbwAgAGkAdABzACAAXABuAHQAbwB0AGEAbAAgAGEAcwBzAGUAdABzACAAKABTAGgAYQByAGUAaABvAGwAZABlAHIAJwBzACAARQBxAHUAaQB0AHkALwAoAFQAbwB0AGEAbAAgAEEAcwBzAGUAdABzACAALQAgAEkAbgB0AGEAbgBnAGkAYgBsAGUAIABBAHMAcwBlAHQAcwApACkALgAgACoALwBcAG4ARQBxAHUAaQB0AHkAUgBhAHQAaQBvALsDIAA9ACAATABBAE0AQgBEAEEAKABcAG4ALwAvACAAIABQAGEAcgBhAG0AZQB0AGUAcgAgAEQAZQBjAGwAYQBSAGEAdABpAG8AbgBzAFwAbgAgACAAIAAgACAAIAAgACAAWwBTAGgAYQByAGUAaABvAGwAZABlAHIAcwBFAHEAdQBpAHQAeQBdACwAIAAgAFwAbgAgACAAIAAgACAAIAAgACAAWwBUAG8AdABhAGwAQQBzAHMAZQB0AHMAXQAsAFwAbgAgACAAIAAgACAAIAAgACAAWwBJAG4AdABhAG4AZwBpAGIAbABlAEEAcwBzAGUAdABzAF0ALABcAG4ALwAvACAAIABIAGUAbABwAFwAbgAgACAAIAAgAEwARQBUACgASABlAGwAcAAsACAAIAAgAFQAUgBJAE0AKABUAEUAWABUAFMAUABMAEkAVAAoACAAXABuACAAIAAgACAAIAAgACAAIAAgACAAIAAgACAAIAAgACAAIAAgACAAIAAgACAAIAAgAFwAIgBGAFUATgBDAFQASQBPAE4AOgAgACAAIAAgACAAIAAgACAAIAAgAJIhRQBxAHUAaQB0AHkAUgBhAHQAaQBvALsDKAAgAFMAaABhAHIAZQBoAG8AbABkAGUAcgBzAEUAcQB1AGkAdAB5ACwAIABUAG8AdABhAGwAQQBzAHMAZQB0AHMALAAgAEkAbgB0AGEAbgBnAGkAYgBsAGUAQQBzAHMAZQB0AHMAKQC2AFwAIgAgACYAIABcAG4AIAAgACAAIAAgACAAIAAgACAAIAAgACAAIAAgACAAIAAgACAAIAAgACAAIAAgACAAXAAiAEQARQBTAEMAUgBJAFAAVABJAE8ATgA6ACAAIAAgACAAIAAgACAAkiFNAGUAYQBzAHUAcgBlAHMAIAB0AGgAZQAgAGwAbwBuAGcALQB0AGUAcgBtACAAcwBvAGwAdgBlAG4AYwB5ACAAbwBmACAAYQAgAGMAbwBtAHAAYQBuAHkAIABiAHkAIABjAG8AbQBwAGEAcgBpAG4AZwAgAGkAdABzACAAcwBoAGEAcgBlAGgAbwBsAGQAZQByAHMAGSAgALYAXAAiACAAJgBcAG4AIAAgACAAIAAgACAAIAAgACAAIAAgACAAIAAgACAAIAAgACAAIAAgACAAIAAgACAAIAAgACAAIAAgACAAIAAgACAAIAAgACAAIAAgACAAIAAgACAAIABcACIAkiFlAHEAdQBpAHQAeQAgAHQAbwAgAGkAdABzACAAdABvAHQAYQBsACAAYQBzAHMAZQB0AHMAIAAoAFMAaABhAHIAZQBoAG8AbABkAGUAcgAnAHMAIABFAHEAdQBpAHQAeQAvACgAVABvAHQAYQBsACAAQQBzAHMAZQB0AHMAIAAtACAASQBuAHQAYQBuAGcAaQBiAGwAZQAgAEEAcwBzAGUAdABzACkAKQC2AFwAIgAgACYAXABuACAAIAAgACAAIAAgACAAIAAgACAAIAAgACAAIAAgACAAIAAgACAAIAAgACAAIAAgAFwAIgBXAEUAQgBQAEEARwBFADoAIAAgACAAIAAgACAAIAAgACAAIAAgAJIhaAB0AHQAcABzADoALwAvAHcAdwB3AC4AdwBhAGwAbABzAHQAcgBlAGUAdABwAHIAZQBwAC4AYwBvAG0ALwBrAG4AbwB3AGwAZQBkAGcAZQAvAGUAcQB1AGkAdAB5AC0AcgBhAHQAaQBvAC8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AgACAAIAAgACAAIAAgACAAkiG2AFwAIgAgACYAIABcAG4AIAAgACAAIAAgACAAIAAgACAAIAAgACAAIAAgACAAIAAgACAAIAAgACAAIAAgACAAXAAiAFMAaABhAHIAZQBoAG8AbABkAGUAcgBzAEUAcQB1AGkAdAB5ACAAkiEoAFIAZQBxAHUAaQByAGUAZAApACAAUwBoAGEAcgBlAGgAbwBsAGQAZQByAHMAJwAgAEUAcQB1AGkAdAB5ACAAKAB0AG8AdABhAGwAIABhAHMAcwBlAHQAcwAgAC0AIAB0AG8AdABhAGwAIABsAGkAYQBiAGkAbABpAHQAaQBlAHMAKQAgALYAXAAiACAAJgAgAFwAbgAgACAAIAAgACAAIAAgACAAIAAgACAAIAAgACAAIAAgACAAIAAgACAAIAAgACAAIABcACIAVABvAHQAYQBsAEEAcwBzAGUAdABzACAAIAAgACAAIAAgACAAIACSISgAUgBlAHEAdQBpAHIAZQBkACkAIABCAG8AdABoACAAYwB1AHIAcgBlAG4AdAAgAGEAbgBkACAAbABvAG4AZwAtAHQAZQByAG0AIABhAHMAcwBlAHQAcwC2AFwAIgAgACYAIABcAG4AIAAgACAAIAAgACAAIAAgACAAIAAgACAAIAAgACAAIAAgACAAIAAgACAAIAAgACAAXAAiAEkAbgB0AGEAbgBnAGkAYgBsAGUAQQBzAHMAZQB0AHMAIAAgACAAkiEoAFIAZQBxAHUAaQByAGUAZAApACAARABlAGQAdQBjAHQAZQBkACAAZgByAG8AbQAgAHQAbwB0AGEAbAAgAGEAcwBzAGUAdABzACAAYgBlAGYAbwByAGUAIAB0AGgAZQAgAGMAbwBtAHAAYQByAGkAcwBvAG4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QAMAAlACAAIAAgACAAIAAgACAAIAAgACAAIAAgACAAIAAgACAAkiE9AG8AegAuAEUAcQB1AGkAdAB5AFIAYQB0AGkAbwC7AygAIAAyADAALgAwACwAIAA2ADAALgAwACwAIAAx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UwBoAGEAcgBlAGgAbwBsAGQAZQByAHMARQBxAHUAaQB0AHkAKQAsAFwAbgAgACAAIAAgACAAIAAgACAAIAAgACAAIAAgACAAIAAgACAAIAAgACAAIAAgACAAIAAgACAAIAAgAEkAUwBPAE0ASQBUAFQARQBEACgAIABUAG8AdABhAGwAQQBzAHMAZQB0AHMAKQAsAFwAbgAgACAAIAAgACAAIAAgACAAIAAgACAAIAAgACAAIAAgACAAIAAgACAAIAAgACAAIAAgACAAIAAgAEkAUwBPAE0ASQBUAFQARQBEACgAIABJAG4AdABhAG4AZwBpAGIAbABlAEEAcwBzAGUAdABzACkAXABuACAAIAAgACAAIAAgACAAIAAgACAAIAAgACAAIAAgACAAIAAgACAAIAAgACAAIAAgACkALABcAG4AIAAgACAAIAAvAC8AIAAgAFAAcgBvAGMAZQBkAHUAcgBlAFwAbgAgACAAIAAgACAAIAAgACAAUgBlAHMAdQBsAHQALAAgACAAIAAgACAAIAAgACAAIABTAGgAYQByAGUAaABvAGwAZABlAHIAcwBFAHEAdQBpAHQAeQAvACgAVABvAHQAYQBsAEEAcwBzAGUAdABzACAALQAgAEkAbgB0AGEAbgBnAGkAYgBsAGUAQQBzAHMAZQB0AHMAKQAsAFwAbgAgACAAIAAgAC8ALwAgACAAUgBlAHQAdQByAG4AIABSAGUAcwB1AGwAdABcAG4AIAAgACAAIAAgACAAIAAgAEMASABPAE8AUwBFACgASABlAGwAcAA/ACAAKwAgADEALAAgAFIAZQBzAHUAbAB0ACwAIABIAGUAbABwACkAIAAgACAAIAAgACAAIAAgAFwAbgAgACAAIAAgACkAXABuACkAOwBcAG4AXABuAFwAbgBcAG4AXABuAFwAbgAgAFwAbgAvAC8AIAAgAEUAZgBmAGkAYwBpAGUAbgBjAHkAIABSAGEAdABpAG8AcwBcAG4AXABuAFwAbgBcAG4ALwAqACAAIABGAFUATgBDAFQASQBPAE4AIABOAEEATQBFADoAIAAgAEEAcwBzAGUAdABUAHUAcgBuAG8AdgBlAHIAUgBhAHQAaQBvALsDXABuACAAIAAgACAARABFAFMAQwBSAEkAUABUAEkATwBOADoAKgAvAC8AKgAqAE0AZQBhAHMAdQByAGUAcwAgAHQAaABlACAAdgBhAGwAdQBlACAAbwBmACAAYQAgAGMAbwBtAHAAYQBuAHkAJwBzACAAcwBhAGwAZQBzACAAbwByACAAcgBlAHYAZQBuAHUAZQBzACAAcgBlAGwAYQB0AGkAdgBlACAAdABvACAAdABoAGUAIAB2AGEAbAB1AGUAIABvAGYAIABpAHQAcwAgAGEAcwBzAGUAdABzAC4AXABuACgATgBlAHQAIABTAGEAbABlAHMALwBUAG8AdABhAGwAIABBAHMAcwBlAHQAcwApACoALwBcAG4AQQBzAHMAZQB0AFQAdQByAG4AbwB2AGUAcgBSAGEAdABpAG8AuwMgAD0AIABMAEEATQBCAEQAQQAoAFwAbgAvAC8AIAAgAFAAYQByAGEAbQBlAHQAZQByACAARABlAGMAbABhAFIAYQB0AGkAbwBuAHMAXABuACAAIAAgACAAIAAgACAAIABbAE4AZQB0AFMAYQBsAGUAcwBdACwAIAAgAFwAbgAgACAAIAAgACAAIAAgACAAWwBUAG8AdABhAGwAQQBzAHMAZQB0AHMAXQAsACAAIAAgACAAXABuAC8ALwAgACAASABlAGwAcABcAG4AIAAgACAAIABMAEUAVAAoAEgAZQBsAHAALAAgACAAIABUAFIASQBNACgAVABFAFgAVABTAFAATABJAFQAKAAgAFwAbgAgACAAIAAgACAAIAAgACAAIAAgACAAIAAgACAAIAAgACAAIAAgACAAIAAgACAAIABcACIARgBVAE4AQwBUAEkATwBOADoAIAAgACAAIAAgACAAkiFBAHMAcwBlAHQAVAB1AHIAbgBvAHYAZQByAFIAYQB0AGkAbwC7AygAIABOAGUAdABTAGEAbABlAHMALAAgAFQAbwB0AGEAbABBAHMAcwBlAHQAcwApALYAXAAiACAAJgAgAFwAbgAgACAAIAAgACAAIAAgACAAIAAgACAAIAAgACAAIAAgACAAIAAgACAAIAAgACAAIABcACIARABFAFMAQwBSAEkAUABUAEkATwBOADoAIAAgACAAkiFNAGUAYQBzAHUAcgBlAHMAIAB0AGgAZQAgAHYAYQBsAHUAZQAgAG8AZgAgAGEAIABjAG8AbQBwAGEAbgB5ACcAcwAgAHMAYQBsAGUAcwAgAG8AcgAgAHIAZQB2AGUAbgB1AGUAcwAgAHIAZQBsAGEAdABpAHYAZQAgAHQAbwAgAHQAaABlACAAdgBhAGwAdQBlACAAbwBmACAAaQB0AHMAIABhAHMAcwBlAHQAcwAuALYAXAAiACAAJgBcAG4AIAAgACAAIAAgACAAIAAgACAAIAAgACAAIAAgACAAIAAgACAAIAAgACAAIAAgACAAIAAgACAAIAAgACAAIAAgACAAIAAgACAAIAAgACAAXAAiAJIhKABOAGUAdAAgAFMAYQBsAGUAcwAvAFQAbwB0AGEAbAAgAEEAcwBzAGUAdABzACkAtgBcACIAIAAmACAAXABuACAAIAAgACAAIAAgACAAIAAgACAAIAAgACAAIAAgACAAIAAgACAAIAAgACAAIAAgAFwAIgBXAEUAQgBQAEEARwBFADoAIAAgACAAIAAgACAAIACSIWgAdAB0AHAAcwA6AC8ALwB3AHcAdwAuAGkAbgB2AGUAcwB0AG8AcABlAGQAaQBhAC4AYwBvAG0ALwB0AGUAcgBtAHMALwBhAC8AYQBzAHMAZQB0AHQAdQByAG4AbwB2AGUAcg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OAGUAdABTAGEAbABlAHMAIAAgACAAIAAgACAAIACSISgAUgBlAHEAdQBpAHIAZQBkACkAIAByAGUAdgBlAG4AdQBlACAAbwByACAAbgBlAHQAIABzAGEAbABlAHMALgAgALYAXAAiACAAJgAgAFwAbgAgACAAIAAgACAAIAAgACAAIAAgACAAIAAgACAAIAAgACAAIAAgACAAIAAgACAAIABcACIAVABvAHQAYQBsAEEAcwBzAGUAdABzACAAIAAgACAAkiEoAFIAZQBxAHUAaQByAGUAZAApACAAQQB2AGUAcgBhAGcAZQAgAG8AZgAgAEEAcwBzAGUAdABzACAAYQBuAGQAIABwAGUAcgBpAG8AZAAgAHMAdABhAHIAdAAgAGEAbgBkACAAZQBuAGQALg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C4AMwAyAHgAIAAgACAAIAAgACAAIAAgACAAIAAgAJIhPQBvAHoALgBBAHMAcwBlAHQAVAB1AHIAbgBvAHYAZQByAFIAYQB0AGkAbwC7AygAIAAxADcAMQA3ADYAMAAsACAANQAzADgANwAxADU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TAGEAbABlAHMAKQAsAFwAbgAgACAAIAAgACAAIAAgACAAIAAgACAAIAAgACAAIAAgACAAIAAgACAAIAAgACAAIAAgACAAIAAgAEkAUwBPAE0ASQBUAFQARQBEACgAIABUAG8AdABhAGwAQQBzAHMAZQB0AHMAKQBcAG4AIAAgACAAIAAgACAAIAAgACAAIAAgACAAIAAgACAAIAAgACAAIAAgACAAIAAgACAAKQAsAFwAbgAgACAAIAAgAC8ALwAgACAAUAByAG8AYwBlAGQAdQByAGUAXABuACAAIAAgACAAIAAgACAAIABSAGUAcwB1AGwAdAAsACAAIAAgACAAIAAgACAAIAAgAE4AZQB0AFMAYQBsAGUAcwAvAFQAbwB0AGEAbABBAHMAcwBlAHQAcw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TAEkAuwNcAG4AIAAgACAAIABEAEUAUwBDAFIASQBQAFQASQBPAE4AOgAqAC8ALwAqACoARABhAHkAcwAgAFMAYQBsAGUAcwAgAGkAbgAgAEkAbgB2AGUAbgB0AG8AcgB5ACAAUgBhAHQAaQBvACAAKABhAGsAYQAgAEEAdgBlAHIAYQBnAGUAIABhAGcAZQAgAG8AZgAgAGkAbgB2AGUAbgB0AG8AcgB5ACAAXABuAGkAbgBkAGkAYwBhAHQAZQBzACAAdABoAGUAIABhAHYAZQByAGEAZwBlACAAdABpAG0AZQAgAGkAbgAgAGQAYQB5AHMAIAB0AGgAYQB0ACAAYQAgAGMAbwBtAHAAYQBuAHkAIAB0AGEAawBlAHMAIAB0AG8AIAB0AHUAcgBuACAAaQB0AHMAIABpAG4AdgBlAG4AdABvAHIAeQAgAFwAbgAoAEEAdgBlAHIAYQBnAGUAIABJAG4AdgBlAG4AdABvAHIAeQAvAEEAbgBuAHUAYQBsACAAQwBvAHMAdAAgAG8AZgAgAEcAbwBvAGQAcwAgAFMAbwBsAGQAIAB4ACAAMwA2ADUAKQAgACoALwBcAG4ARABTAEkAuwMgAD0AIABMAEEATQBCAEQAQQAoAFwAbgAvAC8AIAAgAFAAYQByAGEAbQBlAHQAZQByACAARABlAGMAbABhAFIAYQB0AGkAbwBuAHMAXABuACAAIAAgACAAIAAgACAAIABbAEEAdgBlAHIAYQBnAGUASQBuAHYAZQBuAHQAbwByAHkAXQAsACAAIABcAG4AIAAgACAAIAAgACAAIAAgAFsAQwBvAHMAdABPAGYARwBvAG8AZABzAFMAbwBsAGQAXQAsACAAIAAgACAAXABuAC8ALwAgACAASABlAGwAcABcAG4AIAAgACAAIABMAEUAVAAoAEgAZQBsAHAALAAgACAAIABUAFIASQBNACgAVABFAFgAVABTAFAATABJAFQAKAAgAFwAbgAgACAAIAAgACAAIAAgACAAIAAgACAAIAAgACAAIAAgACAAIAAgACAAIAAgACAAIABcACIARgBVAE4AQwBUAEkATwBOADoAIAAgACAAIAAgACAAIAAgACAAIACSIUQAUwBJALsDKAAgAEEAdgBlAHIAYQBnAGUASQBuAHYAZQBuAHQAbwByAHkALAAgAEMAbwBzAHQATwBmAEcAbwBvAGQAcwBTAG8AbABkACkAtgBcACIAIAAmACAAXABuACAAIAAgACAAIAAgACAAIAAgACAAIAAgACAAIAAgACAAIAAgACAAIAAgACAAIAAgAFwAIgBEAEUAUwBDAFIASQBQAFQASQBPAE4AOgAgACAAIAAgACAAIAAgAJIhRABhAHkAcwAgAFMAYQBsAGUAcwAgAGkAbgAgAEkAbgB2AGUAbgB0AG8AcgB5ACAAUgBhAHQAaQBvACAAKABhAGsAYQAgAEEAdgBlAHIAYQBnAGUAIABhAGcAZQAgAG8AZgAgAGkAbgB2AGUAbgB0AG8AcgB5ACkAtgBcACIAIAAmACAAXABuACAAIAAgACAAIAAgACAAIAAgACAAIAAgACAAIAAgACAAIAAgACAAIAAgACAAIAAgACAAIAAgACAAIAAgACAAIAAgACAAIAAgACAAIAAgACAAIAAgACAAXAAiAJIhaQBuAGQAaQBjAGEAdABlAHMAIAB0AGgAZQAgAGEAdgBlAHIAYQBnAGUAIAB0AGkAbQBlACAAaQBuACAAZABhAHkAcwAgAHQAaABhAHQAIABhACAAYwBvAG0AcABhAG4AeQAgAHQAYQBrAGUAcwAgAHQAbwAgAHQAdQByAG4AIABpAHQAcwAgAGkAbgB2AGUAbgB0AG8AcgB5ALYAXAAiACAAJgAgAFwAbgAgACAAIAAgACAAIAAgACAAIAAgACAAIAAgACAAIAAgACAAIAAgACAAIAAgACAAIAAgACAAIAAgACAAIAAgACAAIAAgACAAIAAgACAAIAAgACAAIAAgAFwAIgCSISgAQQB2AGUAcgBhAGcAZQAgAEkAbgB2AGUAbgB0AG8AcgB5AC8AQQBuAG4AdQBhAGwAIABDAG8AcwB0ACAAbwBmACAARwBvAG8AZABzACAAUwBvAGwAZAAgAHgAIAAzADYANQAgAGQAYQB5AHMAKQC2AFwAIgAgACYAIABcAG4AIAAgACAAIAAgACAAIAAgACAAIAAgACAAIAAgACAAIAAgACAAIAAgACAAIAAgACAAXAAiAFcARQBCAFAAQQBHAEUAOgAgACAAIAAgACAAIAAgACAAIAAgACAAkiFoAHQAdABwAHMAOgAvAC8AdwB3AHcALgBpAG4AdgBlAHMAdABvAHAAZQBkAGkAYQAuAGMAbwBtAC8AdABlAHIAbQBzAC8AZAAvAGQAYQB5AHMALQBzAGEAbABlAHMALQBpAG4AdgBlAG4AdABvAHIAeQAtAGQAcwBp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QQB2AGUAcgBhAGcAZQBJAG4AdgBlAG4AdABvAHIAeQCSISAAIAAoAFIAZQBxAHUAaQByAGUAZAApACAAQQB2AGUAcgBhAGcAZQAgAG8AZgAgAHAAZQByAGkAbwBkACAAbwBwAGUAbgAgAGEAbgBkACAAYwBsAG8AcwBlACAASQBuAHYAZQBuAHQAbwByAHkAtgBcACIAIAAmACAAXABuACAAIAAgACAAIAAgACAAIAAgACAAIAAgACAAIAAgACAAIAAgACAAIAAgACAAIAAgAFwAIgBDAG8AcwB0AE8AZgBHAG8AbwBkAHMAUwBvAGwAZACSISAAIAAgACgAUgBlAHEAdQBpAHIAZQBkACkAIABDAG8AcwB0ACAAbwBmACAARwBvAG8AZABzACAAUwBvAGwAZAAgACgAQwBPAEcAUwApACAAZgBvAHIAIABhACAAZgB1AGwAbAAgAHkAZQBhAHI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AAwAC4AOAA5ADQAOQAgAGQAYQB5AHMAIAAgACAAIAAgACAAIACSIT0AbwB6AC4ARABTAEkAuwMoADUANAAuADkALAAgADQAOQ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QB2AGUAcgBhAGcAZQBJAG4AdgBlAG4AdABvAHIAeQApACwAXABuACAAIAAgACAAIAAgACAAIAAgACAAIAAgACAAIAAgACAAIAAgACAAIAAgACAAIAAgACAAIAAgACAASQBTAE8ATQBJAFQAVABFAEQAKAAgAEMAbwBzAHQATwBmAEcAbwBvAGQAcwBTAG8AbABkACkAXABuACAAIAAgACAAIAAgACAAIAAgACAAIAAgACAAIAAgACAAIAAgACAAIAAgACAAIAAgACkALABcAG4AIAAgACAAIAAvAC8AIAAgAEMAbwBuAHMAdABhAG4AdABzAFwAbgAgACAAIAAgACAAIAAgACAARABwAFkALAAgACAAIAAgACAAIAAgACAAIAAgACAAIAAzADYANQAsACAALwAvAEQAYQB5AHMAIABwAGUAcgAgAFkAZQBhAHIAXABuACAAIAAgACAALwAvACAAIABQAHIAbwBjAGUAZAB1AHIAZQBcAG4AIAAgACAAIAAgACAAIAAgAFIAZQBzAHUAbAB0ACwAIAAgACAAIAAgACAAIAAgACAAQQB2AGUAcgBhAGcAZQBJAG4AdgBlAG4AdABvAHIAeQAvAEMAbwBzAHQATwBmAEcAbwBvAGQAcwBTAG8AbABkACAAKgAgAEQAcA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PAHAAZQByAGEAdABpAG4AZwBSAGEAdABpAG8AuwNcAG4AIAAgACAAIABEAEUAUwBDAFIASQBQAFQASQBPAE4AOgAqAC8ALwAqACoAUwBoAG8AdwBzACAAaABvAHcAIABlAGYAZgBpAGMAaQBlAG4AdAAgAG0AYQBuAGEAZwBlAG0AZQBuAHQAIABpAHMAIABhAHQAIABrAGUAZQBwAGkAbgBnACAAYwBvAHMAdABzACAAbABvAHcAIAB3AGgAaQBsAGUAIABnAGUAbgBlAHIAYQB0AGkAbgBnACAAcgBlAHYAZQBuAHUAZQAgAFwAbgAoAE8AcABlAHIAYQB0AGkAbgBnACAARQB4AHAAZQBuAHMAZQBzACAAKwAgAEMAbwBzAHQAIABPAGYAIABHAG8AbwBkAHMAIABTAG8AbABkACkALwBOAGUAdAAgAFMAYQBsAGUAcwApACoALwBcAG4ATwBwAGUAcgBhAHQAaQBuAGcAUgBhAHQAaQBvALsDIAA9ACAATABBAE0AQgBEAEEAKABcAG4ALwAvACAAIABQAGEAcgBhAG0AZQB0AGUAcgAgAEQAZQBjAGwAYQBSAGEAdABpAG8AbgBzAFwAbgAgACAAIAAgACAAIAAgACAAWwBPAHAAZQByAGEAdABpAG4AZwBFAHgAcABlAG4AcwBlAHMAXQAsACAAIABcAG4AIAAgACAAIAAgACAAIAAgAFsAQwBvAHMAdABPAGYARwBvAG8AZABzAFMAbwBsAGQAXQAsACAAIAAgACAAXABuACAAIAAgACAAIAAgACAAIABbAE4AZQB0AFMAYQBsAGUAcwBdACwAIAAgACAAIABcAG4ALwAvACAAIABIAGUAbABwAFwAbgAgACAAIAAgAEwARQBUACgASABlAGwAcAAsACAAIAAgAFQAUgBJAE0AKABUAEUAWABUAFMAUABMAEkAVAAoACAAXABuACAAIAAgACAAIAAgACAAIAAgACAAIAAgACAAIAAgACAAIAAgACAAIAAgACAAIAAgAFwAIgBGAFUATgBDAFQASQBPAE4AOgAgACAAIAAgACAAIAAgACAAIAAgAJIhTwBwAGUAcgBhAHQAaQBuAGcAUgBhAHQAaQBvALsDKAAgAE8AcABlAHIAYQB0AGkAbgBnAEUAeABwAGUAbgBzAGUAcwAsACAAQwBvAHMAdABPAGYARwBvAG8AZABzAFMAbwBsAGQALAAgAE4AZQB0AFMAYQBsAGUAcwApALYAXAAiACAAJgAgAFwAbgAgACAAIAAgACAAIAAgACAAIAAgACAAIAAgACAAIAAgACAAIAAgACAAIAAgACAAIABcACIARABFAFMAQwBSAEkAUABUAEkATwBOADoAIAAgACAAIAAgACAAIACSIVMAaABvAHcAcwAgAGgAbwB3ACAAZQBmAGYAaQBjAGkAZQBuAHQAIABtAGEAbgBhAGcAZQBtAGUAbgB0ACAAaQBzACAAYQB0ACAAawBlAGUAcABpAG4AZwAgAGMAbwBzAHQAcwAgAGwAbwB3ACAAtgBcACIAIAAmAFwAbgAgACAAIAAgACAAIAAgACAAIAAgACAAIAAgACAAIAAgACAAIAAgACAAIAAgACAAIAAgACAAIAAgACAAIAAgACAAIAAgACAAIAAgACAAIAAgACAAIAAgAFwAIgCSIXcAaABpAGwAZQAgAGcAZQBuAGUAcgBhAHQAaQBuAGcAIAByAGUAdgBlAG4AdQBlALYAXAAiACAAJgAgAFwAbgAgACAAIAAgACAAIAAgACAAIAAgACAAIAAgACAAIAAgACAAIAAgACAAIAAgACAAIAAgACAAIAAgACAAIAAgACAAIAAgACAAIAAgACAAIAAgACAAIAAgAFwAIgCSISgATwBwAGUAcgBhAHQAaQBuAGcAIABFAHgAcABlAG4AcwBlAHMAIAArACAAQwBvAHMAdAAgAE8AZgAgAEcAbwBvAGQAcwAgAFMAbwBsAGQAKQAvAE4AZQB0ACAAUwBhAGwAZQBzACkAtgBcACIAIAAmACAAXABuACAAIAAgACAAIAAgACAAIAAgACAAIAAgACAAIAAgACAAIAAgACAAIAAgACAAIAAgAFwAIgBXAEUAQgBQAEEARwBFADoAIAAgACAAIAAgACAAIAAgACAAIAAgAJIhaAB0AHQAcABzADoALwAvAHcAdwB3AC4AaQBuAHYAZQBzAHQAbwBwAGUAZABpAGEALgBjAG8AbQAvAHQAZQByAG0AcwAvAG8ALwBvAHAAZQByAGEAdABpAG4AZw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PAHAAZQByAGEAdABpAG4AZwBFAHgAcABlAG4AcwBlAHMAIAAgAJIhKABSAGUAcQB1AGkAcgBlAGQAKQAgAE8AcABlAHIAYQB0AGkAbgBnACAARQB4AHAAZQBuAHMAZQBzACAAZQB4AGMAbAB1AGQAaQBuAGcAIABDAE8ARwBTACwAIAB3AGgAaQBjAGgAIABpAHMAtgBcACIAIAAmAFwAbgAgACAAIAAgACAAIAAgACAAIAAgACAAIAAgACAAIAAgACAAIAAgACAAIAAgACAAIAAgACAAIAAgACAAIAAgACAAIAAgACAAIAAgACAAIAAgACAAIAAgAFwAIgCSIXMAdQBwAHAAbABpAGUAZAAgAHMAZQBwAGEAcgBhAHQAZQBsAHkAIABhAG4AZAAgAGEAZABkAGUAZAAgAGIAeQAgAHQAaABlACAAZgBvAHIAbQB1AGwAYQAuACAAQwBhAG4AIABpAG4AYwBsAHUAZABlADoAtgBcACIAIAAmAFwAbgAgACAAIAAgACAAIAAgACAAIAAgACAAIAAgACAAIAAgACAAIAAgACAAIAAgACAAIAAgACAAIAAgACAAIAAgACAAIAAgACAAIAAgACAAIAAgACAAIAAgAFwAIgCSIUEAYwBjAG8AdQBuAHQAaQBuAGcAIABhAG4AZAAgAGwAZQBnAGEAbAAgAGYAZQBlAHMAtgBcACIAIAAmAFwAbgAgACAAIAAgACAAIAAgACAAIAAgACAAIAAgACAAIAAgACAAIAAgACAAIAAgACAAIAAgACAAIAAgACAAIAAgACAAIAAgACAAIAAgACAAIAAgACAAIAAgAFwAIgCSIUIAYQBuAGsAIABjAGgAYQByAGcAZQBzALYAXAAiACAAJgBcAG4AIAAgACAAIAAgACAAIAAgACAAIAAgACAAIAAgACAAIAAgACAAIAAgACAAIAAgACAAIAAgACAAIAAgACAAIAAgACAAIAAgACAAIAAgACAAIAAgACAAIABcACIAkiFTAGEAbABlAHMAIABhAG4AZAAgAG0AYQByAGsAZQB0AGkAbgBnACAAYwBvAHMAdABzALYAXAAiACAAJgBcAG4AIAAgACAAIAAgACAAIAAgACAAIAAgACAAIAAgACAAIAAgACAAIAAgACAAIAAgACAAIAAgACAAIAAgACAAIAAgACAAIAAgACAAIAAgACAAIAAgACAAIABcACIAkiFOAG8AbgAtAGMAYQBwAGkAdABhAGwAaQBzAGUAZAAgAHIAZQBzAGUAYQByAGMAaAC2AFwAIgAgACYAXABuACAAIAAgACAAIAAgACAAIAAgACAAIAAgACAAIAAgACAAIAAgACAAIAAgACAAIAAgACAAIAAgACAAIAAgACAAIAAgACAAIAAgACAAIAAgACAAIAAgACAAXAAiAJIhZABlAHYAZQBsAG8AcABtAGUAbgB0ACAAKABSACYARAApACAAZQB4AHAAZQBuAHMAZQBzALYAXAAiACAAJgBcAG4AIAAgACAAIAAgACAAIAAgACAAIAAgACAAIAAgACAAIAAgACAAIAAgACAAIAAgACAAXAAiAEMAbwBzAHQATwBmAEcAbwBvAGQAcwBTAG8AbABkACAAIAAgACAAkiEoAFIAZQBxAHUAaQByAGUAZAApACAAQwBvAHMAdAAgAG8AZgAgAEcAbwBvAGQAcwAgAFMAbwBsAGQAIAAoAEMATwBHAFMAKQAgAHcAaABpAGMAaAAgAGMAYQBuACAAaQBuAGMAbAB1AGQAZQA6ALYAXAAiACAAJgBcAG4AIAAgACAAIAAgACAAIAAgACAAIAAgACAAIAAgACAAIAAgACAAIAAgACAAIAAgACAAIAAgACAAIAAgACAAIAAgACAAIAAgACAAIAAgACAAIAAgACAAIABcACIAkiFPAGYAZgBpAGMAZQAgAHMAdQBwAHAAbAB5ACAAYwBvAHMAdABzALYAXAAiACAAJgBcAG4AIAAgACAAIAAgACAAIAAgACAAIAAgACAAIAAgACAAIAAgACAAIAAgACAAIAAgACAAIAAgACAAIAAgACAAIAAgACAAIAAgACAAIAAgACAAIAAgACAAIABcACIAkiFSAGUAbgB0ACAAYQBuAGQAIAB1AHQAaQBsAGkAdAB5ACAAZQB4AHAAZQBuAHMAZQBzALYAXAAiACAAJgBcAG4AIAAgACAAIAAgACAAIAAgACAAIAAgACAAIAAgACAAIAAgACAAIAAgACAAIAAgACAAIAAgACAAIAAgACAAIAAgACAAIAAgACAAIAAgACAAIAAgACAAIABcACIAkiFSAGUAcABhAGkAcgAgAGEAbgBkACAAbQBhAGkAbgB0AGUAbgBhAG4AYwBlACAAYwBvAHMAdABzALYAXAAiACAAJgBcAG4AIAAgACAAIAAgACAAIAAgACAAIAAgACAAIAAgACAAIAAgACAAIAAgACAAIAAgACAAIAAgACAAIAAgACAAIAAgACAAIAAgACAAIAAgACAAIAAgACAAIABcACIAkiFTAGEAbABhAHIAeQAgAGEAbgBkACAAdwBhAGcAZQAgAGUAeABwAGUAbgBzAGUAcwC2AFwAIgAgACYAIABcAG4AIAAgACAAIAAgACAAIAAgACAAIAAgACAAIAAgACAAIAAgACAAIAAgACAAIAAgACAAXAAiAE4AZQB0AFMAYQBsAGUAcwAgACAAIAAgACAAIAAgACAAIAAgACAAkiEoAFIAZQBxAHUAaQByAGUAZAApACAATgBlAHQAIABTAGEAbABlAHMAIABvAHIAIABSAGUAdgBlAG4AdQBlAC4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YAOQAlACAAIAAgACAAIAAgACAAIAAgACAAIAAgACAAIAAgACAAkiE9AG8AegAuAE8AcABlAHIAYQB0AGkAbgBnAFIAYQB0AGkAbwC7AygAIAAxADQALgAzADcALAAgADQAOAAuADQAOAAsACAAOQAwAC4ANwA1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wBwAGUAcgBhAHQAaQBuAGcARQB4AHAAZQBuAHMAZQBzACkALABcAG4AIAAgACAAIAAgACAAIAAgACAAIAAgACAAIAAgACAAIAAgACAAIAAgACAAIAAgACAAIAAgACAAIABJAFMATwBNAEkAVABUAEUARAAoACAAQwBvAHMAdABPAGYARwBvAG8AZABzAFMAbwBsAGQAKQAsAFwAbgAgACAAIAAgACAAIAAgACAAIAAgACAAIAAgACAAIAAgACAAIAAgACAAIAAgACAAIAAgACAAIAAgAEkAUwBPAE0ASQBUAFQARQBEACgAIABOAGUAdABTAGEAbABlAHMAKQBcAG4AIAAgACAAIAAgACAAIAAgACAAIAAgACAAIAAgACAAIAAgACAAIAAgACAAIAAgACAAKQAsAFwAbgAgACAAIAAgAC8ALwAgACAAUAByAG8AYwBlAGQAdQByAGUAXABuACAAIAAgACAAIAAgACAAIABSAGUAcwB1AGwAdAAsACAAIAAgACAAIAAgACAAIAAgACgATwBwAGUAcgBhAHQAaQBuAGcARQB4AHAAZQBuAHMAZQBzACsAQwBvAHMAdABPAGYARwBvAG8AZABzAFMAbwBsAGQAKQAvAE4AZQB0AFMAYQBsAGUAcwAsAFwAbgAgACAAIAAgAC8ALwAgACAAUgBlAHQAdQByAG4AIABSAGUAcwB1AGwAdABcAG4AIAAgACAAIAAgACAAIAAgAEMASABPAE8AUwBFACgASABlAGwAcAA/ACAAKwAgADEALAAgAFIAZQBzAHUAbAB0ACwAIABIAGUAbABwACkAIAAgACAAIAAgACAAIAAgAFwAbgAgACAAIAAgACkAXABuACkAOwBcAG4AXABuAFwAbgBcAG4AXABuAFwAbgBcAG4ALwAvACAAIABQAHIAbwBmAGkAdABhAGIAaQBsAGkAdAB5ACAATQBhAHIAZwBpAG4AcwAgAGEAbgBkACAAUgBhAHQAaQBvAHMAXABuAFwAbgBcAG4AIABcAG4ALwAqACAAIABGAFUATgBDAFQASQBPAE4AIABOAEEATQBFADoAIAAgAEcAcgBvAHMAcwBNAGEAcgBnAGkAbgC7A1wAbgAgACAAIAAgAEQARQBTAEMAUgBJAFAAVABJAE8ATgA6ACoALwAvACoAKgBTAGgAbwB3AHMAIABoAG8AdwAgAG0AdQBjAGgAIABwAHIAbwBmAGkAdAAgAGEAIABjAG8AbQBwAGEAbgB5ACAAbQBhAGsAZQBzACAAYQBmAHQAZQByACAAcABhAHkAaQBuAGcAIABvAGYAZgAgAGkAdABzACAAQwBvAHMAdAAgAG8AZgAgAEcAbwBvAGQAcwAgAFMAbwBsAGQAIAAqAC8AXABuAEcAcgBvAHMAcwBNAGEAcgBnAGkAbgC7AyAAPQAgAEwAQQBNAEIARABBACgAXABuAC8ALwAgACAAUABhAHIAYQBtAGUAdABlAHIAIABEAGUAYwBsAGEAcgBhAHQAaQBvAG4AcwBcAG4AIAAgACAAIAAgACAAIAAgAFsARwByAG8AcwBzAFAAcgBvAGYAaQB0AF0ALAAgACAAXABuACAAIAAgACAAIAAgACAAIABbAE4AZQB0AFMAYQBsAGUAcwBdACwAIAAgACAAIABcAG4ALwAvACAAIABIAGUAbABwAFwAbgAgACAAIAAgAEwARQBUACgASABlAGwAcAAsACAAIAAgAFQAUgBJAE0AKABUAEUAWABUAFMAUABMAEkAVAAoACAAXABuACAAIAAgACAAIAAgACAAIAAgACAAIAAgACAAIAAgACAAIAAgACAAIAAgACAAIAAgAFwAIgBGAFUATgBDAFQASQBPAE4AOgAgACAAIAAgACAAIACSIUcAcgBvAHMAcwBNAGEAcgBnAGkAbgC7AygAIABHAHIAbwBzAHMAUAByAG8AZgBpAHQALAAgAE4AZQB0AFMAYQBsAGUAcwApALYAXAAiACAAJgAgAFwAbgAgACAAIAAgACAAIAAgACAAIAAgACAAIAAgACAAIAAgACAAIAAgACAAIAAgACAAIABcACIARABFAFMAQwBSAEkAUABUAEkATwBOADoAIAAgACAAkiFTAGgAbwB3AHMAIABoAG8AdwAgAG0AdQBjAGgAIABwAHIAbwBmAGkAdAAgAGEAIABjAG8AbQBwAGEAbgB5ACAAbQBhAGsAZQBzACAAYQBmAHQAZQByACAAcABhAHkAaQBuAGcAIABvAGYAZgAgAGkAdABzACAAQwBvAHMAdAAgAG8AZgAgAEcAbwBvAGQAcwAgAFMAbwBsAGQAIAAoAEMATwBHAFMAKQAuALYAXAAiACAAJgAgAFwAbgAgACAAIAAgACAAIAAgACAAIAAgACAAIAAgACAAIAAgACAAIAAgACAAIAAgACAAIAAgACAAIAAgACAAIAAgACAAIAAgACAAIAAgACAAIABcACIAkiEoAEcAcgBvAHMAcwAgAFAAcgBvAGYAaQB0AC8ATgBlAHQAIABTAGEAbABlAHMAKQC2AFwAIgAgACYAIABcAG4AIAAgACAAIAAgACAAIAAgACAAIAAgACAAIAAgACAAIAAgACAAIAAgACAAIAAgACAAXAAiAFcARQBCAFAAQQBHAEUAOgAgACAAIAAgACAAIAAgAJIhaAB0AHQAcABzADoALwAvAGMAbwByAHAAbwByAGEAdABlAGYAaQBuAGEAbgBjAGUAaQBuAHMAdABpAHQAdQB0AGUALgBjAG8AbQAvAHIAZQBzAG8AdQByAGMAZQBzAC8AYQBjAGMAbwB1AG4AdABpAG4AZwAvAGcAcgBvAHMAcwAtAG0AYQByAGcAaQBuAC0AcgBhAHQAaQBvAC8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EcAcgBvAHMAcwBQAHIAbwBmAGkAdAAgACAAIAAgAJIhKABSAGUAcQB1AGkAcgBlAGQAKQAgAEcAcgBvAHMAcwAgAFAAcgBvAGYAaQB0ALYAXAAiACAAJgAgAFwAbgAgACAAIAAgACAAIAAgACAAIAAgACAAIAAgACAAIAAgACAAIAAgACAAIAAgACAAIABcACIATgBlAHQAUwBhAGwAZQBzACAAIAAgACAAIAAgACAAkiEoAFIAZQBxAHUAaQByAGUAZAApACAATgBlAHQAIABTAGEAbABlAHMAIABvAHIAIABSAGUAdgBlAG4AdQBl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NgAxAC4ANwA0ADQAOAAlACAAIAAgACAAIAAgACAAkiE9AG8AegAuAEcAcgBvAHMAcwBNAGEAcgBnAGkAbgC7AygAIAA2ADIALgA5ADgANAAsACAAMQAwADIALgAwADAANw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cAcgBvAHMAcwBQAHIAbwBmAGkAdAApACwAXABuACAAIAAgACAAIAAgACAAIAAgACAAIAAgACAAIAAgACAAIAAgACAAIAAgACAAIAAgACAAIAAgACAASQBTAE8ATQBJAFQAVABFAEQAKAAgAE4AZQB0AFMAYQBsAGUAcwApAFwAbgAgACAAIAAgACAAIAAgACAAIAAgACAAIAAgACAAIAAgACAAIAAgACAAIAAgACAAIAApACwAXABuACAAIAAgACAALwAvACAAIABQAHIAbwBjAGUAZAB1AHIAZQBcAG4AIAAgACAAIAAgACAAIAAgAFIAZQBzAHUAbAB0ACwAIAAgACAAIAAgACAAIAAgACAARwByAG8AcwBzAFAAcgBvAGYAaQB0AC8ATgBlAHQAUwBhAGwAZQ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FAEIASQBUAEQAQQBNAGEAcgBnAGkAbgC7A1wAbgAgACAAIAAgAEQARQBTAEMAUgBJAFAAVABJAE8ATgA6ACoALwAvACoAKgBNAGUAYQBzAHUAcgBlAHMAIABhACAAYwBvAG0AcABhAG4AeQAnAHMAIABvAHAAZQByAGEAdABpAG4AZwAgAHAAcgBvAGYAaQB0ACAAYQBzACAAYQAgAHAAZQByAGMAZQBuAHQAYQBnAGUAIABvAGYAIABpAHQAcwAgAHIAZQB2AGUAbgB1AGUAIAAoAEUAQgBJAFQARABBAC8AVABvAHQAYQBsACAAUgBlAHYAZQBuAHUAZQApAC4AKgAvAFwAbgBFAEIASQBUAEQAQQBNAGEAcgBnAGkAbgC7AyAAPQAgAEwAQQBNAEIARABBACgAXABuAC8ALwAgACAAUABhAHIAYQBtAGUAdABlAHIAIABEAGUAYwBsAGEAcgBhAHQAaQBvAG4AcwBcAG4AIAAgACAAIAAgACAAIAAgAFsARQBCAEkAVABEAEEAXQAsACAAIABcAG4AIAAgACAAIAAgACAAIAAgAFsAVABvAHQAYQBsAFIAZQB2AGUAbgB1AGUAXQAsACAAIAAgACAAXABuAC8ALwAgACAASABlAGwAcABcAG4AIAAgACAAIABMAEUAVAAoAEgAZQBsAHAALAAgACAAIABUAFIASQBNACgAVABFAFgAVABTAFAATABJAFQAKAAgAFwAbgAgACAAIAAgACAAIAAgACAAIAAgACAAIAAgACAAIAAgACAAIAAgACAAIAAgACAAIABcACIARgBVAE4AQwBUAEkATwBOADoAIAAgACAAIAAgACAAkiFFAEIASQBUAEQAQQBNAGEAcgBnAGkAbgC7AygAIABFAEIASQBUAEQAQQAsACAAVABvAHQAYQBsAFIAZQB2AGUAbgB1AGUAKQC2AFwAIgAgACYAIABcAG4AIAAgACAAIAAgACAAIAAgACAAIAAgACAAIAAgACAAIAAgACAAIAAgACAAIAAgACAAXAAiAEQARQBTAEMAUgBJAFAAVABJAE8ATgA6ACAAIAAgAJIhTQBlAGEAcwB1AHIAZQBzACAAYQAgAGMAbwBtAHAAYQBuAHkAJwBzACAAbwBwAGUAcgBhAHQAaQBuAGcAIABwAHIAbwBmAGkAdAAgAGEAcwAgAGEAIABwAGUAcgBjAGUAbgB0AGEAZwBlACAAbwBmACAAaQB0AHMAIAByAGUAdgBlAG4AdQBlAC4AtgBcACIAIAAmACAAXABuACAAIAAgACAAIAAgACAAIAAgACAAIAAgACAAIAAgACAAIAAgACAAIAAgACAAIAAgACAAIAAgACAAIAAgACAAIAAgACAAIAAgACAAIAAgAFwAIgCSISgARQBCAEkAVABEAEEALwBUAG8AdABhAGwAIABSAGUAdgBlAG4AdQBlACkAtgBcACIAIAAmACAAXABuACAAIAAgACAAIAAgACAAIAAgACAAIAAgACAAIAAgACAAIAAgACAAIAAgACAAIAAgAFwAIgBXAEUAQgBQAEEARwBFADoAIAAgACAAIAAgACAAIACSIWgAdAB0AHAAcwA6AC8ALwB3AHcAdwAuAGkAbgB2AGUAcwB0AG8AcABlAGQAaQBhAC4AYwBvAG0ALwB0AGUAcgBtAHMALwBlAC8AZQBiAGkAdABkAGEALQBtAGEAcgBnAGkAbg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FAEIASQBUAEQAQQAgACAAIAAgACAAIAAgACAAIACSISgAUgBlAHEAdQBpAHIAZQBkACkAIABFAGEAcgBuAGkAbgBnAHMAIABCAGUAZgBvAHIAZQAgAEkAbgB0AGUAcgBlAHMAdAAsACAAdABhAHgALAAgAGQAZQBwAHIAZQBjAGkAYQB0AGkAbwBuACwAIABhAG4AZAAgAGEAbQBvAHIAdABpAHMAYQB0AGkAbwBuALYAXAAiACAAJgAgAFwAbgAgACAAIAAgACAAIAAgACAAIAAgACAAIAAgACAAIAAgACAAIAAgACAAIAAgACAAIABcACIAVABvAHQAYQBsAFIAZQB2AGUAbgB1AGUAIAAgACAAkiEoAFIAZQBxAHUAaQByAGUAZAApACAAVABvAHQAYQBsACAAUgBlAHYAZQBuAHUAZQ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EAMgAlACAAIAAgACAAIAAgACAAIAAgACAAIAAgAJIhPQBvAHoALgBFAEIASQBUAEQAQQBNAGEAcgBnAGkAbgC7AygAIAAxADUALgAwACwAIAAxADIANQ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FAEIASQBUAEQAQQApACwAXABuACAAIAAgACAAIAAgACAAIAAgACAAIAAgACAAIAAgACAAIAAgACAAIAAgACAAIAAgACAAIAAgACAASQBTAE8ATQBJAFQAVABFAEQAKAAgAFQAbwB0AGEAbABSAGUAdgBlAG4AdQBlACkAXABuACAAIAAgACAAIAAgACAAIAAgACAAIAAgACAAIAAgACAAIAAgACAAIAAgACAAIAAgACkALABcAG4AIAAgACAAIAAvAC8AIAAgAFAAcgBvAGMAZQBkAHUAcgBlAFwAbgAgACAAIAAgACAAIAAgACAAUgBlAHMAdQBsAHQALAAgACAAIAAgACAAIAAgACAAIABFAEIASQBUAEQAQQAvAFQAbwB0AGEAbA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PAHAAZQByAGEAdABpAG4AZwBNAGEAcgBnAGkAbgC7A1wAbgAgACAAIAAgAEQARQBTAEMAUgBJAFAAVABJAE8ATgA6ACoALwAvACoAKgAgAE0AZQBhAHMAdQByAGUAcwAgAGgAbwB3ACAAbQB1AGMAaAAgAHAAcgBvAGYAaQB0ACAAYQAgAGMAbwBtAHAAYQBuAHkAIABtAGEAawBlAHMAIABvAG4AIABhACAAZABvAGwAbABhAHIAIABvAGYAIABzAGEAbABlAHMAIABhAGYAdABlAHIAIABwAGEAeQBpAG4AZwAgAGYAbwByACAAdgBhAHIAaQBhAGIAbABlACAAYwBvAHMAdABzACAAXABuAG8AZgAgAHAAcgBvAGQAdQBjAHQAaQBvAG4ALAAgAHMAdQBjAGgAIABhAHMAIAB3AGEAZwBlAHMAIABhAG4AZAAgAHIAYQB3ACAAbQBhAHQAZQByAGkAYQBsAHMALAAgAGIAdQB0ACAAYgBlAGYAbwByAGUAIABwAGEAeQBpAG4AZwAgAGkAbgB0AGUAcgBlAHMAdAAgAG8AcgAgAHQAYQB4ACAAKABPAHAAZQByAGEAdABpAG4AZwAgAEUAYQByAG4AaQBuAGcAcwAvAFIAZQB2AGUAbgB1AGUAKQAuACoALwBcAG4ATwBwAGUAcgBhAHQAaQBuAGcATQBhAHIAZwBpAG4AuwMgAD0AIABMAEEATQBCAEQAQQAoAFwAbgAvAC8AIAAgAFAAYQByAGEAbQBlAHQAZQByACAARABlAGMAbABhAHIAYQB0AGkAbwBuAHMAXABuACAAIAAgACAAIAAgACAAIABbAE8AcABlAHIAYQB0AGkAbgBnAEUAYQByAG4AaQBuAGcAcw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CAAIAAgACAAkiFPAHAAZQByAGEAdABpAG4AZwBNAGEAcgBnAGkAbgC7AygAIABPAHAAZQByAGEAdABpAG4AZwBFAGEAcgBuAGkAbgBnAHMALAAgAFIAZQB2AGUAbgB1AGUAKQC2AFwAIgAgACYAIABcAG4AIAAgACAAIAAgACAAIAAgACAAIAAgACAAIAAgACAAIAAgACAAIAAgACAAIAAgACAAXAAiAEQARQBTAEMAUgBJAFAAVABJAE8ATgA6ACAAIAAgACAAIAAgACAAkiFNAGUAYQBzAHUAcgBlAHMAIABoAG8AdwAgAG0AdQBjAGgAIABwAHIAbwBmAGkAdAAgAGEAIABjAG8AbQBwAGEAbgB5ACAAbQBhAGsAZQBzACAAbwBuACAAYQAgAGQAbwBsAGwAYQByACAAbwBmACAAcwBhAGwAZQBzACAAYQBmAHQAZQByACAAcABhAHkAaQBuAGcAtgBcACIAIAAmACAAXABuACAAIAAgACAAIAAgACAAIAAgACAAIAAgACAAIAAgACAAIAAgACAAIAAgACAAIAAgACAAIAAgACAAIAAgACAAIAAgACAAIAAgACAAIAAgACAAIAAgACAAXAAiAJIhZgBvAHIAIAB2AGEAcgBpAGEAYgBsAGUAIABjAG8AcwB0AHMAIABvAGYAIABwAHIAbwBkAHUAYwB0AGkAbwBuACwAIABzAHUAYwBoACAAYQBzACAAdwBhAGcAZQBzACAAYQBuAGQAIAByAGEAdwAgAG0AYQB0AGUAcgBpAGEAbABzACwAIABiAHUAdAAgALYAXAAiACAAJgAgAFwAbgAgACAAIAAgACAAIAAgACAAIAAgACAAIAAgACAAIAAgACAAIAAgACAAIAAgACAAIAAgACAAIAAgACAAIAAgACAAIAAgACAAIAAgACAAIAAgACAAIAAgAFwAIgCSIWIAZQBmAG8AcgBlACAAcABhAHkAaQBuAGcAIABpAG4AdABlAHIAZQBzAHQAIABvAHIAIAB0AGEAeAAgACgATwBwAGUAcgBhAHQAaQBuAGcAIABFAGEAcgBuAGkAbgBnAHMALwBSAGUAdgBlAG4AdQBlACkALgC2AFwAIgAgACYAIABcAG4AIAAgACAAIAAgACAAIAAgACAAIAAgACAAIAAgACAAIAAgACAAIAAgACAAIAAgACAAXAAiAFcARQBCAFAAQQBHAEUAOgAgACAAIAAgACAAIAAgACAAIAAgACAAkiFoAHQAdABwAHMAOgAvAC8AdwB3AHcALgBpAG4AdgBlAHMAdABvAHAAZQBkAGkAYQAuAGMAbwBtAC8AdABlAHIAbQBzAC8AbwAvAG8AcABlAHIAYQB0AGkAbgBnAG0AYQByAGcAaQBu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TwBwAGUAcgBhAHQAaQBuAGcARQBhAHIAbgBpAG4AZwBzACAAIACSISgAUgBlAHEAdQBpAHIAZQBkACkAIABFAGEAcgBuAGkAbgBnAHMAIABCAGUAZgBvAHIAZQAgAEkAbgB0AGUAcgBlAHMAdAAgAGEAbgBkACAAdABhAHgAIAAoAEUAQgBJAFQAKQAsACAAdwBoAGkAYwBoACAAaQBzACAAcgBlAHYAZQBuAHUAZQC2AFwAIgAgACYAXABuACAAIAAgACAAIAAgACAAIAAgACAAIAAgACAAIAAgACAAIAAgACAAIAAgACAAIAAgACAAIAAgACAAIAAgACAAIAAgACAAIAAgACAAIAAgACAAIAAgACAAXAAiAJIhbABlAHMAcwAgAEMATwBHAFMAIABhAG4AZAAgAGwAZQBzAHMAIAB0AGgAZQAgAG8AdABoAGUAcgAgAG8AcABlAHIAYQB0AGkAbgBnACAAZQB4AHAAZQBuAHMAZQBzALYAXAAiACAAJgBcAG4AIAAgACAAIAAgACAAIAAgACAAIAAgACAAIAAgACAAIAAgACAAIAAgACAAIAAgACAAXAAiAFIAZQB2AGUAbgB1AGUAIAAgACAAIAAgACAAIAAgACAAIAAgACAAkiEoAFIAZQBxAHUAaQByAGUAZAApACAAUgBlAHYAZQBuAHUAZQ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AAwACUAIAAgACAAIAAgACAAIAAgACAAIAAgACAAIAAgACAAIACSIT0AbwB6AC4ATwBwAGUAcgBhAHQAaQBuAGcATQBhAHIAZwBpAG4AuwMoACAALgA4ACwAIAAy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8AcABlAHIAYQB0AGkAbgBnAEUAYQByAG4AaQBuAGcAcwApACwAXABuACAAIAAgACAAIAAgACAAIAAgACAAIAAgACAAIAAgACAAIAAgACAAIAAgACAAIAAgACAAIAAgACAASQBTAE8ATQBJAFQAVABFAEQAKAAgAFIAZQB2AGUAbgB1AGUAKQBcAG4AIAAgACAAIAAgACAAIAAgACAAIAAgACAAIAAgACAAIAAgACAAIAAgACAAIAAgACAAKQAsAFwAbgAgACAAIAAgAC8ALwAgACAAUAByAG8AYwBlAGQAdQByAGUAXABuACAAIAAgACAAIAAgACAAIABSAGUAcwB1AGwAdAAsACAAIAAgACAAIAAgACAAIAAgAE8AcABlAHIAYQB0AGkAbgBnAEUAYQByAG4AaQBuAGcAcwAv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AAcgBlAHQAYQB4AE0AYQByAGcAaQBuALsDXABuACAAIAAgACAARABFAFMAQwBSAEkAUABUAEkATwBOADoAKgAvAC8AKgAqAE0AZQBhAHMAdQByAGUAcwAgAHQAaABlACAAbwBwAGUAcgBhAHQAaQBuAGcAIABlAGYAZgBpAGMAaQBlAG4AYwB5ACAAbwBmACAAYQAgAGMAbwBtAHAAYQBuAHkAIAAoAFAAcgBlAHQAYQB4ACAARQBhAHIAbgBpAG4AZwBzAC8AUgBlAHYAZQBuAHUAZQApAC4AKgAvAFwAbgBQAHIAZQB0AGEAeABNAGEAcgBnAGkAbgC7AyAAPQAgAEwAQQBNAEIARABBACgAXABuAC8ALwAgACAAUABhAHIAYQBtAGUAdABlAHIAIABEAGUAYwBsAGEAcgBhAHQAaQBvAG4AcwBcAG4AIAAgACAAIAAgACAAIAAgAFsAUAByAGUAdABhAHgARQBhAHIAbgBpAG4AZwBzAF0ALAAgACAAXABuACAAIAAgACAAIAAgACAAIABbAFIAZQB2AGUAbgB1AGUAXQAsACAAIAAgACAAXABuAC8ALwAgACAASABlAGwAcABcAG4AIAAgACAAIABMAEUAVAAoAEgAZQBsAHAALAAgACAAIABUAFIASQBNACgAVABFAFgAVABTAFAATABJAFQAKAAgAFwAbgAgACAAIAAgACAAIAAgACAAIAAgACAAIAAgACAAIAAgACAAIAAgACAAIAAgACAAIABcACIARgBVAE4AQwBUAEkATwBOADoAIAAgACAAIAAgACAAkiFQAHIAZQB0AGEAeABNAGEAcgBnAGkAbgC7AygAIABQAHIAZQB0AGEAeABFAGEAcgBuAGkAbgBnAHMALAAgAFIAZQB2AGUAbgB1AGUAKQC2AFwAIgAgACYAIABcAG4AIAAgACAAIAAgACAAIAAgACAAIAAgACAAIAAgACAAIAAgACAAIAAgACAAIAAgACAAXAAiAEQARQBTAEMAUgBJAFAAVABJAE8ATgA6ACAAIAAgAJIhTQBlAGEAcwB1AHIAZQBzACAAdABoAGUAIABvAHAAZQByAGEAdABpAG4AZwAgAGUAZgBmAGkAYwBpAGUAbgBjAHkAIABvAGYAIABhACAAYwBvAG0AcABhAG4AeQAgACgAUAByAGUAdABhAHgAIABFAGEAcgBuAGkAbgBnAHMALwBSAGUAdgBlAG4AdQBlACkALgC2AFwAIgAgACYAIABcAG4AIAAgACAAIAAgACAAIAAgACAAIAAgACAAIAAgACAAIAAgACAAIAAgACAAIAAgACAAXAAiAFcARQBCAFAAQQBHAEUAOgAgACAAIAAgACAAIAAgAJIhaAB0AHQAcABzADoALwAvAHcAdwB3AC4AaQBuAHYAZQBzAHQAbwBwAGUAZABpAGEALgBjAG8AbQAvAHQAZQByAG0AcwAvAHAALwBwAHIAZQB0AGEAeAAtAG0AYQByAGcAaQBuAC4AYQBzAHA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FAAcgBlAHQAYQB4AEUAYQByAG4AaQBuAGcAcwAgAJIhKABSAGUAcQB1AGkAcgBlAGQAKQAgAEUAYQByAG4AaQBuAGcAcwAgAGIAZQBmAG8AcgBlACAAdABhAHgAIAAoAEUAQgBUACkAtgBcACIAIAAmACAAXABuACAAIAAgACAAIAAgACAAIAAgACAAIAAgACAAIAAgACAAIAAgACAAIAAgACAAIAAgAFwAIgBSAGUAdgBlAG4AdQBlACAAIAAgACAAIAAgACAAIACSISgAUgBlAHEAdQBpAHIAZQBkACkAIABSAGUAdgBlAG4AdQBl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OAAlACAAIAAgACAAIAAgACAAIAAgACAAIAAgACAAkiE9AG8AegAuAFAAcgBlAHQAYQB4AE0AYQByAGcAaQBuALsDKAAgADQAMAAuADAALAAgADU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FAAcgBlAHQAYQB4AEUAYQByAG4AaQBuAGcAcwApACwAXABuACAAIAAgACAAIAAgACAAIAAgACAAIAAgACAAIAAgACAAIAAgACAAIAAgACAAIAAgACAAIAAgACAASQBTAE8ATQBJAFQAVABFAEQAKAAgAFIAZQB2AGUAbgB1AGUAKQBcAG4AIAAgACAAIAAgACAAIAAgACAAIAAgACAAIAAgACAAIAAgACAAIAAgACAAIAAgACAAKQAsAFwAbgAgACAAIAAgAC8ALwAgACAAUAByAG8AYwBlAGQAdQByAGUAXABuACAAIAAgACAAIAAgACAAIABSAGUAcwB1AGwAdAAsACAAIAAgACAAIAAgACAAIAAgAFAAcgBlAHQAYQB4AEUAYQByAG4AaQBuAGcAcwAv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4AZQB0AFAAcgBvAGYAaQB0AE0AYQByAGcAaQBuALsDXABuACAAIAAgACAARABFAFMAQwBSAEkAUABUAEkATwBOADoAKgAvAC8AKgAqAE0AZQBhAHMAdQByAGUAcwAgAGgAbwB3ACAAbQB1AGMAaAAgAG4AZQB0ACAAaQBuAGMAbwBtAGUAIABvAHIAIABwAHIAbwBmAGkAdAAgAGEAIABjAG8AbQBwAGEAbgB5ACAAZwBlAG4AZQByAGEAdABlAHMAIABhAHMAIABhACAAcABlAHIAYwBlAG4AdABhAGcAZQAgAG8AZgAgAGkAdABzACAAcgBlAHYAZQBuAHUAZQAuACAAXABuACgATgBlAHQAIABJAG4AYwBvAG0AZQAvAFIAZQB2AGUAbgB1AGUAKQAuACoALwBcAG4ATgBlAHQAUAByAG8AZgBpAHQATQBhAHIAZwBpAG4AuwMgAD0AIABMAEEATQBCAEQAQQAoAFwAbgAvAC8AIAAgAFAAYQByAGEAbQBlAHQAZQByACAARABlAGMAbABhAHIAYQB0AGkAbwBuAHMAXABuACAAIAAgACAAIAAgACAAIABbAE4AZQB0AEkAbgBjAG8AbQBlAF0ALAAgACAAXABuACAAIAAgACAAIAAgACAAIABbAFIAZQB2AGUAbgB1AGUAXQAsACAAIAAgACAAXABuAC8ALwAgACAASABlAGwAcABcAG4AIAAgACAAIABMAEUAVAAoAEgAZQBsAHAALAAgACAAIABUAFIASQBNACgAVABFAFgAVABTAFAATABJAFQAKAAgAFwAbgAgACAAIAAgACAAIAAgACAAIAAgACAAIAAgACAAIAAgACAAIAAgACAAIAAgACAAIABcACIARgBVAE4AQwBUAEkATwBOADoAIAAgACAAIAAgACAAkiFOAGUAdABQAHIAbwBmAGkAdABNAGEAcgBnAGkAbgC7AygAIABOAGUAdABJAG4AYwBvAG0AZQAsACAAUgBlAHYAZQBuAHUAZQApALYAXAAiACAAJgAgAFwAbgAgACAAIAAgACAAIAAgACAAIAAgACAAIAAgACAAIAAgACAAIAAgACAAIAAgACAAIABcACIARABFAFMAQwBSAEkAUABUAEkATwBOADoAIAAgACAAkiFNAGUAYQBzAHUAcgBlAHMAIABoAG8AdwAgAG0AdQBjAGgAIABuAGUAdAAgAGkAbgBjAG8AbQBlACAAbwByACAAcAByAG8AZgBpAHQAIABhACAAYwBvAG0AcABhAG4AeQAgAGcAZQBuAGUAcgBhAHQAZQBzACAAYQBzACAAYQAgALYAXAAiACAAJgAgAFwAbgAgACAAIAAgACAAIAAgACAAIAAgACAAIAAgACAAIAAgACAAIAAgACAAIAAgACAAIAAgACAAIAAgACAAIAAgACAAIAAgACAAIAAgACAAIABcACIAkiFwAGUAcgBjAGUAbgB0AGEAZwBlACAAbwBmACAAaQB0AHMAIAByAGUAdgBlAG4AdQBlAC4AIAAoAE4AZQB0ACAASQBuAGMAbwBtAGUALwBSAGUAdgBlAG4AdQBlACkAtgBcACIAIAAmACAAXABuACAAIAAgACAAIAAgACAAIAAgACAAIAAgACAAIAAgACAAIAAgACAAIAAgACAAIAAgAFwAIgBXAEUAQgBQAEEARwBFADoAIAAgACAAIAAgACAAIACSIWgAdAB0AHAAcwA6AC8ALwB3AHcAdwAuAGkAbgB2AGUAcwB0AG8AcABlAGQAaQBhAC4AYwBvAG0ALwB0AGUAcgBtAHMALwBuAC8AbgBlAHQAXwBtAGEAcgBnAGkAbg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OAGUAdABJAG4AYwBvAG0AZQAgACAAIAAgACAAIACSISgAUgBlAHEAdQBpAHIAZQBkACkAIABOAGUAdAAgAEkAbgBjAG8AbQBlACAAaQBuAGMAbAB1AGQAZQBzADoAtgBcACIAIAAmACAAXABuACAAIAAgACAAIAAgACAAIAAgACAAIAAgACAAIAAgACAAIAAgACAAIAAgACAAIAAgACAAIAAgACAAIAAgACAAIAAgACAAIAAgACAAIAAgAFwAIgCSIVIAZQB2AGUAbgB1AGUAtgBcACIAIAAmACAAXABuACAAIAAgACAAIAAgACAAIAAgACAAIAAgACAAIAAgACAAIAAgACAAIAAgACAAIAAgACAAIAAgACAAIAAgACAAIAAgACAAIAAgACAAIAAgAFwAIgCSIUwAZQBzAHMAIABDAE8ARwBTALYAXAAiACAAJgAgAFwAbgAgACAAIAAgACAAIAAgACAAIAAgACAAIAAgACAAIAAgACAAIAAgACAAIAAgACAAIAAgACAAIAAgACAAIAAgACAAIAAgACAAIAAgACAAIABcACIAkiFMAGUAcwBzACAATwBwAGUAcgBhAHQAaQBuAGcAIABhAG4AZAAgAG8AdABoAGUAcgAgAGUAeABwAGUAbgBzAGUAcwC2AFwAIgAgACYAIABcAG4AIAAgACAAIAAgACAAIAAgACAAIAAgACAAIAAgACAAIAAgACAAIAAgACAAIAAgACAAIAAgACAAIAAgACAAIAAgACAAIAAgACAAIAAgACAAXAAiAJIhTABlAHMAcwAgAEkAbgB0AGUAcgBlAHMAdAC2AFwAIgAgACYAIABcAG4AIAAgACAAIAAgACAAIAAgACAAIAAgACAAIAAgACAAIAAgACAAIAAgACAAIAAgACAAIAAgACAAIAAgACAAIAAgACAAIAAgACAAIAAgACAAXAAiAJIhTABlAHMAcwAgAFQAYQB4AGUAcwC2AFwAIgAgACYAIABcAG4AIAAgACAAIAAgACAAIAAgACAAIAAgACAAIAAgACAAIAAgACAAIAAgACAAIAAgACAAXAAiAFIAZQB2AGUAbgB1AGUAIAAgACAAIAAgACAAIAAgAJIhKABSAGUAcQB1AGkAcgBlAGQAKQAgAFIAZQB2AGUAbgB1AGU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1ADYAJQAgACAAIAAgACAAIAAgACAAIAAgACAAIACSIT0AbwB6AC4ATgBlAHQAUAByAG8AZgBpAHQATQBhAHIAZwBpAG4AuwMoACAANQA2AC4AMAAsACAAMQAw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SQBuAGMAbwBtAGUAKQAsAFwAbgAgACAAIAAgACAAIAAgACAAIAAgACAAIAAgACAAIAAgACAAIAAgACAAIAAgACAAIAAgACAAIAAgAEkAUwBPAE0ASQBUAFQARQBEACgAIABSAGUAdgBlAG4AdQBlACkAXABuACAAIAAgACAAIAAgACAAIAAgACAAIAAgACAAIAAgACAAIAAgACAAIAAgACAAIAAgACkALABcAG4AIAAgACAAIAAvAC8AIAAgAFAAcgBvAGMAZQBkAHUAcgBlAFwAbgAgACAAIAAgACAAIAAgACAAUgBlAHMAdQBsAHQALAAgACAAIAAgACAAIAAgACAAIABOAGUAdABJAG4AYwBvAG0AZQAvAFIAZQB2AGUAbgB1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BDAGEAcwBoAEYAbABvAHcATQBhAHIAZwBpAG4AuwNcAG4AIAAgACAAIABEAEUAUwBDAFIASQBQAFQASQBPAE4AOgAqAC8ALwAqACoAQwBhAHMAaAAgAEYAbABvAHcAIABNAGEAcgBnAGkAbgAgAGkAcwAgAGEAIAB0AHIAdQBzAHQAZQBkACAAbQBlAHQAcgBpAGMAIABvAGYAIABhACAAYwBvAG0AcABhAG4AeQAZIHMAIABwAHIAbwBmAGkAdABhAGIAaQBsAGkAdAB5ACAAYQBuAGQAIABlAGYAZgBpAGMAaQBlAG4AYwB5ACAAXABuAGEAbgBkACAAaQB0AHMAIABlAGEAcgBuAGkAbgBnAHMAIABxAHUAYQBsAGkAdAB5ACAAKABDAGEAcwBoACAARgBsAG8AdwAgAEYAcgBvAG0AIABPAHAAZQByAGEAdABpAG4AZwAgAEEAYwB0AGkAdgBpAHQAaQBlAHMALwBSAGUAdgBlAG4AdQBlACkALgAqAC8AXABuAEMAYQBzAGgARgBsAG8AdwBNAGEAcgBnAGkAbgC7AyAAPQAgAEwAQQBNAEIARABBACgAXABuAC8ALwAgACAAUABhAHIAYQBtAGUAdABlAHIAIABEAGUAYwBsAGEAcgBhAHQAaQBvAG4AcwBcAG4AIAAgACAAIAAgACAAIAAgAFsAQwBhAHMAaABGAGwAbwB3AEYAcgBvAG0ATwBwAGUAcgBhAHQAaQBuAGcAQQBjAHQAaQB2AGkAdABpAGUAcwBdACwAIAAgAFwAbgAgACAAIAAgACAAIAAgACAAWwBSAGUAdgBlAG4AdQBlAF0ALAAgACAAIAAgAFwAbgAvAC8AIAAgAEgAZQBsAHAAXABuACAAIAAgACAATABFAFQAKABIAGUAbABwACwAIAAgACAAVABSAEkATQAoAFQARQBYAFQAUwBQAEwASQBUACgAIABcAG4AIAAgACAAIAAgACAAIAAgACAAIAAgACAAIAAgACAAIAAgACAAIAAgACAAIAAgACAAXAAiAEYAVQBOAEMAVABJAE8ATgA6ACAAIAAgACAAIAAgAJIhQwBhAHMAaABGAGwAbwB3AE0AYQByAGcAaQBuALsDKAAgAEMAYQBzAGgARgBsAG8AdwBGAHIAbwBtAE8AcABlAHIAYQB0AGkAbgBnAEEAYwB0AGkAdgBpAHQAaQBlAHMALAAgAFIAZQB2AGUAbgB1AGUAKQC2AFwAIgAgACYAIABcAG4AIAAgACAAIAAgACAAIAAgACAAIAAgACAAIAAgACAAIAAgACAAIAAgACAAIAAgACAAXAAiAEQARQBTAEMAUgBJAFAAVABJAE8ATgA6ACAAIAAgAJIhQwBhAHMAaAAgAEYAbABvAHcAIABNAGEAcgBnAGkAbgAgAGkAcwAgAGEAIAB0AHIAdQBzAHQAZQBkACAAbQBlAHQAcgBpAGMAIABvAGYAIABhACAAYwBvAG0AcABhAG4AeQAZIHMAIABwAHIAbwBmAGkAdABhAGIAaQBsAGkAdAB5ACAAtgBcACIAIAAmACAAXABuACAAIAAgACAAIAAgACAAIAAgACAAIAAgACAAIAAgACAAIAAgACAAIAAgACAAIAAgACAAIAAgACAAIAAgACAAIAAgACAAIAAgACAAIAAgAFwAIgCSIWEAbgBkACAAZQBmAGYAaQBjAGkAZQBuAGMAeQAgAGEAbgBkACAAaQB0AHMAIABlAGEAcgBuAGkAbgBnAHMAIABxAHUAYQBsAGkAdAB5ACAAtgBcACIAIAAmACAAXABuACAAIAAgACAAIAAgACAAIAAgACAAIAAgACAAIAAgACAAIAAgACAAIAAgACAAIAAgACAAIAAgACAAIAAgACAAIAAgACAAIAAgACAAIAAgAFwAIgCSISgAQwBhAHMAaAAgAEYAbABvAHcAIABGAHIAbwBtACAATwBwAGUAcgBhAHQAaQBuAGcAIABBAGMAdABpAHYAaQB0AGkAZQBzAC8AUgBlAHYAZQBuAHUAZQApAC4AtgBcACIAIAAmACAAXABuACAAIAAgACAAIAAgACAAIAAgACAAIAAgACAAIAAgACAAIAAgACAAIAAgACAAIAAgAFwAIgBXAEUAQgBQAEEARwBFADoAIAAgACAAIAAgACAAIACSIWgAdAB0AHAAcwA6AC8ALwB3AHcAdwAuAGkAbgB2AGUAcwB0AG8AcABlAGQAaQBhAC4AYwBvAG0ALwB0AGUAcgBtAHMALwBvAC8AbwBwAGUAcgBhAHQAaQBuAGcALQBjAGEAcwBoAC0AZgBsAG8AdwAtAG0AYQByAGcAaQBuAC4AYQBzAHA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EMAYQBzAGgARgBsAG8AdwBGAHIAbwBtAE8AcABlAHIAYQB0AGkAbgBnAEEAYwB0AGkAdgBpAHQAaQBlAHMAkiEoAFIAZQBxAHUAaQByAGUAZAApACAAQwBhAHMAaAAgAEYAbABvAHcAIABGAHIAbwBtACAATwBwAGUAcgBhAHQAaQBuAGcAIABBAGMAdABpAHYAaQB0AGkAZQBzACAAaQBuAGMAbAB1AGQAZQBzADoAtgBcACIAIAAmACAAXABuACAAIAAgACAAIAAgACAAIAAgACAAIAAgACAAIAAgACAAIAAgACAAIAAgACAAIAAgACAAIAAgACAAIAAgACAAIAAgACAAIAAgACAAIAAgAFwAIgCSIU4AZQB0ACAASQBuAGMAbwBtAGUAtgBcACIAIAAmACAAXABuACAAIAAgACAAIAAgACAAIAAgACAAIAAgACAAIAAgACAAIAAgACAAIAAgACAAIAAgACAAIAAgACAAIAAgACAAIAAgACAAIAAgACAAIAAgAFwAIgCSIU4AbwBuAC0AYwBhAHMAaAAgAEUAeABwAGUAbgBzAGUAcwAgACgARABlAHAAcgBlAGMAaQBhAHQAaQBvAG4AIABhAG4AZAAgAEEAbQBvAHIAdABpAHMAYQB0AGkAbwBuACkAtgBcACIAIAAmACAAXABuACAAIAAgACAAIAAgACAAIAAgACAAIAAgACAAIAAgACAAIAAgACAAIAAgACAAIAAgACAAIAAgACAAIAAgACAAIAAgACAAIAAgACAAIAAgAFwAIgCSIUMAaABhAG4AZwBlACAAaQBuACAAVwBvAHIAawBpAG4AZwAgAEMAYQBwAGkAdABhAGwAtgBcACIAIAAmACAAXABuACAAIAAgACAAIAAgACAAIAAgACAAIAAgACAAIAAgACAAIAAgACAAIAAgACAAIAAgAFwAIgBSAGUAdgBlAG4AdQBlACAAIAAgACAAIAAgACAAIACSISgAUgBlAHEAdQBpAHIAZQBkACkAIABSAGUAdgBlAG4AdQBlALYAXAAiACAAJgAgAFwAbg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BcACIANQAwAC4AOAAlACAAIAAgACAAIAAgACAAIAAgACAAkiE9AG8AegAuAEMAYQBzAGgARgBsAG8AdwBNAGEAcgBnAGkAbgC7AygAIAAyAC4ANgA5ADUALAAgADUALgAz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QwBhAHMAaABGAGwAbwB3AEYAcgBvAG0ATwBwAGUAcgBhAHQAaQBuAGcAQQBjAHQAaQB2AGkAdABpAGUAcwApACwAXABuACAAIAAgACAAIAAgACAAIAAgACAAIAAgACAAIAAgACAAIAAgACAAIAAgACAAIAAgACAAIAAgACAASQBTAE8ATQBJAFQAVABFAEQAKAAgAFIAZQB2AGUAbgB1AGUAKQBcAG4AIAAgACAAIAAgACAAIAAgACAAIAAgACAAIAAgACAAIAAgACAAIAAgACAAIAAgACAAKQAsAFwAbgAgACAAIAAgAC8ALwAgACAAUAByAG8AYwBlAGQAdQByAGUAXABuACAAIAAgACAAIAAgACAAIABSAGUAcwB1AGwAdAAsACAAIAAgACAAIAAgACAAIAAgAEMAYQBzAGgARgBsAG8AdwBGAHIAbwBtAE8AcABlAHIAYQB0AGkAbgBnAEEAYwB0AGkAdgBpAHQAaQBlAHMALwBSAGUAdgBlAG4AdQBl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SAE8AQQC7A1wAbgAgACAAIAAgAEQARQBTAEMAUgBJAFAAVABJAE8ATgA6ACoALwAvACoAKgBSAGUAdAB1AHIAbgAgAG8AbgAgAGEAcwBzAGUAdABzACAAKABSAE8AQQApACAAcgBhAHQAaQBvACAAaQBuAGQAaQBjAGEAdABlAHMAIABoAG8AdwAgAHAAcgBvAGYAaQB0AGEAYgBsAGUAIABhACAAYwBvAG0AcABhAG4AeQAgAGkAcwAgAFwAbgBpAG4AIAByAGUAbABhAHQAaQBvAG4AIAB0AG8AIABpAHQAcwAgAHQAbwB0AGEAbAAgAGEAcwBzAGUAdABzACAAKAAgAE4AZQB0ACAASQBuAGMAbwBtAGUAIAAvACAAVABvAHQAYQBsACAAQQBzAHMAZQB0AHMAKQAgACoALwBcAG4AUgBPAEEAuwMgAD0AIABMAEEATQBCAEQAQQAoAFwAbgAvAC8AIAAgAFAAYQByAGEAbQBlAHQAZQByACAARABlAGMAbABhAHIAYQB0AGkAbwBuAHMAXABuACAAIAAgACAAIAAgACAAIABbAE4AZQB0AEkAbgBjAG8AbQBlAF0ALAAgACAAXABuACAAIAAgACAAIAAgACAAIABbAFQAbwB0AGEAbABBAHMAcwBlAHQAcwBdACwAIAAgACAAIABcAG4ALwAvACAAIABIAGUAbABwAFwAbgAgACAAIAAgAEwARQBUACgASABlAGwAcAAsACAAIAAgAFQAUgBJAE0AKABUAEUAWABUAFMAUABMAEkAVAAoACAAXABuACAAIAAgACAAIAAgACAAIAAgACAAIAAgACAAIAAgACAAIAAgACAAIAAgACAAIAAgAFwAIgBGAFUATgBDAFQASQBPAE4AOgAgACAAIAAgACAAIACSIVIATwBBALsDKAAgAE4AZQB0AEkAbgBjAG8AbQBlACwAIABUAG8AdABhAGwAQQBzAHMAZQB0AHMAKQC2AFwAIgAgACYAIABcAG4AIAAgACAAIAAgACAAIAAgACAAIAAgACAAIAAgACAAIAAgACAAIAAgACAAIAAgACAAXAAiAEQARQBTAEMAUgBJAFAAVABJAE8ATgA6ACAAIAAgAJIhUgBlAHQAdQByAG4AIABvAG4AIABhAHMAcwBlAHQAcwAgAHIAYQB0AGkAbwAgAGkAbgBkAGkAYwBhAHQAZQBzACAAaABvAHcAIABwAHIAbwBmAGkAdABhAGIAbABlACAAYQAgAGMAbwBtAHAAYQBuAHkAIABpAHMAIAC2AFwAIgAgACYAIABcAG4AIAAgACAAIAAgACAAIAAgACAAIAAgACAAIAAgACAAIAAgACAAIAAgACAAIAAgACAAIAAgACAAIAAgACAAIAAgACAAIAAgACAAIAAgACAAXAAiAJIhaQBuACAAcgBlAGwAYQB0AGkAbwBuACAAdABvACAAaQB0AHMAIAB0AG8AdABhAGwAIABhAHMAcwBlAHQAcwAgACgAIABOAGUAdAAgAEkAbgBjAG8AbQBlACAALwAgAFQAbwB0AGEAbAAgAEEAcwBzAGUAdABzACkAtgBcACIAIAAmACAAXABuACAAIAAgACAAIAAgACAAIAAgACAAIAAgACAAIAAgACAAIAAgACAAIAAgACAAIAAgAFwAIgBXAEUAQgBQAEEARwBFADoAIAAgACAAIAAgACAAIACSIWgAdAB0AHAAcwA6AC8ALwB3AHcAdwAuAGkAbgB2AGUAcwB0AG8AcABlAGQAaQBhAC4AYwBvAG0ALwB0AGUAcgBtAHMALwByAC8AcgBlAHQAdQByAG4AbwBuAGEAcwBzAGUAdABzAC4AYQBzAHA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E4AZQB0AEkAbgBjAG8AbQBlACAAIAAgACAAIAAgAJIhKABSAGUAcQB1AGkAcgBlAGQAKQAgAE4AZQB0ACAASQBuAGMAbwBtAGUAtgBcACIAIAAmACAAXABuACAAIAAgACAAIAAgACAAIAAgACAAIAAgACAAIAAgACAAIAAgACAAIAAgACAAIAAgAFwAIgBUAG8AdABhAGwAQQBzAHMAZQB0AHMAIAAgACAAIACSISgAUgBlAHEAdQBpAHIAZQBkACkAIABUAG8AdABhAGwAIABBAHMAcwBlAHQAcwC2AFwAIgAgACYAIABcAG4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XAAiADgAJQAgACAAIAAgACAAIAAgACAAIAAgACAAIAAgAJIhPQBvAHoALgBSAE8AQQC7AygAMQAyADAAMAAsACAAMQA1ADAAMA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gBlAHQASQBuAGMAbwBtAGUAKQAsAFwAbgAgACAAIAAgACAAIAAgACAAIAAgACAAIAAgACAAIAAgACAAIAAgACAAIAAgACAAIAAgACAAIAAgAEkAUwBPAE0ASQBUAFQARQBEACgAIABUAG8AdABhAGwAQQBzAHMAZQB0AHMAKQBcAG4AIAAgACAAIAAgACAAIAAgACAAIAAgACAAIAAgACAAIAAgACAAIAAgACAAIAAgACAAKQAsAFwAbgAgACAAIAAgAC8ALwAgACAAUAByAG8AYwBlAGQAdQByAGUAXABuACAAIAAgACAAIAAgACAAIABSAGUAcwB1AGwAdAAsACAAIAAgACAAIAAgACAAIAAgAE4AZQB0AEkAbgBjAG8AbQBlAC8AVABvAHQAYQBsAEEAcwBzAGUAdABzACwAXABuACAAIAAgACAALwAvACAAIABSAGUAdAB1AHIAbgAgAFIAZQBzAHUAbAB0AFwAbgAgACAAIAAgACAAIAAgACAAQwBIAE8ATwBTAEUAKABIAGUAbABwAD8AIAArACAAMQAsACAAUgBlAHMAdQBsAHQALAAgAEgAZQBsAHAAKQAgACAAIAAgACAAIAAgACAAXABuACAAIAAgACAAKQBcAG4AKQA7AFwAbgBcAG4AXABuACAAXABuAC8AKgAgACAARgBVAE4AQwBUAEkATwBOACAATgBBAE0ARQA6ACAAIABSAE8ARQC7A1wAbgAgACAAIAAgAEQARQBTAEMAUgBJAFAAVABJAE8ATgA6ACoALwAvACoAKgBSAGUAdAB1AHIAbgAgAG8AbgAgAGUAcQB1AGkAdAB5ACAAKABSAE8ARQApACAAcgBhAHQAaQBvACAAaQBzACAAYQAgAG0AZQBhAHMAdQByAGUAIABvAGYAIABmAGkAbgBhAG4AYwBpAGEAbAAgAHAAZQByAGYAbwByAG0AYQBuAGMAZQAgACgATgBlAHQAIABJAG4AYwBvAG0AZQAvAEEAdgBlAHIAYQBnAGUAIABTAGgAYQByAGUAaABvAGwAZABlAHIAcwAnACAARQBxAHUAaQB0AHkAKQAqAC8AXABuAFIATwBFALsDIAA9ACAATABBAE0AQgBEAEEAKABcAG4ALwAvACAAIABQAGEAcgBhAG0AZQB0AGUAcgAgAEQAZQBjAGwAYQByAGEAdABpAG8AbgBzAFwAbgAgACAAIAAgACAAIAAgACAAWwBOAGUAdABJAG4AYwBvAG0AZQBdACwAXABuACAAIAAgACAAIAAgACAAIABbAFMAaABhAHIAZQBoAG8AbABkAGUAcgBzAEUAcQB1AGkAdAB5AF0ALABcAG4AIAAgACAAIAAgACAAIAAgAFsATwBwAGUAbgBpAG4AZwBFAHEAdQBpAHQAeQBdACwAXABuAC8ALwAgACAASABlAGwAcABcAG4AIAAgACAAIABMAEUAVAAoAEgAZQBsAHAALAAgACAAIABUAFIASQBNACgAVABFAFgAVABTAFAATABJAFQAKABcAG4AIAAgACAAIAAgACAAIAAgACAAIAAgACAAIAAgACAAIAAgACAAIAAgACAAIAAgACAAXAAiAEYAVQBOAEMAVABJAE8ATgA6ACAAIAAgACAAIAAgACAAIAAgACAAkiFSAE8ARQC7AygAIABOAGUAdABJAG4AYwBvAG0AZQAsACAAUwBoAGEAcgBlAGgAbwBsAGQAZQByAHMARQBxAHUAaQB0AHkALAAgAFsATwBwAGUAbgBpAG4AZwBFAHEAdQBpAHQAeQBdACkAtgBcACIAIAAmAFwAbgAgACAAIAAgACAAIAAgACAAIAAgACAAIAAgACAAIAAgACAAIAAgACAAIAAgACAAIABcACIARABFAFMAQwBSAEkAUABUAEkATwBOADoAIAAgACAAIAAgACAAIACSIVIAZQB0AHUAcgBuACAAbwBuACAAZQBxAHUAaQB0AHkAIAByAGEAdABpAG8AIABpAHMAIABjAG8AbgBzAGkAZABlAHIAZQBkACAAYQAgAGcAYQB1AGcAZQAgAG8AZgAgAGEAIABjAG8AcgBwAG8AcgBhAHQAaQBvAG4AJwBzACAAtgBcACIAIAAmAFwAbgAgACAAIAAgACAAIAAgACAAIAAgACAAIAAgACAAIAAgACAAIAAgACAAIAAgACAAIAAgACAAIAAgACAAIAAgACAAIAAgACAAIAAgACAAIAAgACAAIAAgAFwAIgCSIXAAcgBvAGYAaQB0AGEAYgBpAGwAaQB0AHkAIABhAG4AZAAgAGgAbwB3ACAAZQBmAGYAaQBjAGkAZQBuAHQAIABpAHQAIABpAHMAIABpAG4AIABnAGUAbgBlAHIAYQB0AGkAbgBnACAAcAByAG8AZgBpAHQAcwC2AFwAIgAgACYAXABuACAAIAAgACAAIAAgACAAIAAgACAAIAAgACAAIAAgACAAIAAgACAAIAAgACAAIAAgACAAIAAgACAAIAAgACAAIAAgACAAIAAgACAAIAAgACAAIAAgACAAXAAiAJIhKABOAGUAdAAgAEkAbgBjAG8AbQBlAC8AIABBAHYAZQByAGEAZwBlACAAUwBoAGEAcgBlAGgAbwBsAGQAZQByAHMAJwAgAEUAcQB1AGkAdAB5ACkAtgBcACIAIAAmAFwAbgAgACAAIAAgACAAIAAgACAAIAAgACAAIAAgACAAIAAgACAAIAAgACAAIAAgACAAIABcACIAVwBFAEIAUABBAEcARQA6ACAAIAAgACAAIAAgACAAIAAgACAAIACSIWgAdAB0AHAAcwA6AC8ALwB3AHcAdwAuAGkAbgB2AGUAcwB0AG8AcABlAGQAaQBhAC4AYwBvAG0ALwB0AGUAcgBtAHMALwByAC8AcgBlAHQAdQByAG4AbwBuAGUAcQB1AGkAdAB5AC4AYQBzAHAAIAC2AFwAIgAgACYAXABuACAAIAAgACAAIAAgACAAIAAgACAAIAAgACAAIAAgACAAIAAgACAAIAAgACAAIAAgAFwAIgBWAEUAUgBTAEkATwBOADoAIAAgACAAIAAgACAAIAAgACAAIAAgAJIhNgAgAFMAZQBwACAAMgAwADIANgC2AFwAIgAgACYAXABuACAAIAAgACAAIAAgACAAIAAgACAAIAAgACAAIAAgACAAIAAgACAAIAAgACAAIAAgAFwAIgBQAEEAUgBBAE0ARQBUAEUAUgBTADoAkiG2AFwAIgAgACYAXABuACAAIAAgACAAIAAgACAAIAAgACAAIAAgACAAIAAgACAAIAAgACAAIAAgACAAIAAgAFwAIgBOAGUAdABJAG4AYwBvAG0AZQAgACAAIAAgACAAIAAgACAAIAAgAJIhKABSAGUAcQB1AGkAcgBlAGQAKQAgAE4AZQB0ACAASQBuAGMAbwBtAGUAtgBcACIAIAAmAFwAbgAgACAAIAAgACAAIAAgACAAIAAgACAAIAAgACAAIAAgACAAIAAgACAAIAAgACAAIABcACIAUwBoAGEAcgBlAGgAbwBsAGQAZQByAHMARQBxAHUAaQB0AHkAIACSISgAUgBlAHEAdQBpAHIAZQBkACkAIABTAGgAYQByAGUAaABvAGwAZABlAHIAcwAnACAARQBxAHUAaQB0AHkAIABhAHQAIAB0AGgAZQAgAHAAZQByAGkAbwBkACAAYwBsAG8AcwBlAC4AIABHAGkAdgBlACAAdABoAGUAIABhAHYAZQByAGEAZwBlACAAbwBmACAAbwBwAGUAbgAgAGEAbgBkACAAYwBsAG8AcwBlACAAaABlAHIAZQAgAHcAaABlAG4AIABPAHAAZQBuAGkAbgBnAEUAcQB1AGkAdAB5ACAAaQBzACAAbABlAGYAdAAgAG8AdQB0ACAAtgBcACIAIAAmAFwAbgAgACAAIAAgACAAIAAgACAAIAAgACAAIAAgACAAIAAgACAAIAAgACAAIAAgACAAIABcACIATwBwAGUAbgBpAG4AZwBFAHEAdQBpAHQAeQAgACAAIAAgACAAIACSISgATwBwAHQAaQBvAG4AYQBsACkAIABTAGgAYQByAGUAaABvAGwAZABlAHIAcwAnACAARQBxAHUAaQB0AHkAIABhAHQAIAB0AGgAZQAgAHAAZQByAGkAbwBkACAAbwBwAGUAbgAuACAAVwBoAGUAbgAgAGcAaQB2AGUAbgAsACAAdABoAGUAIAByAGEAdABpAG8AIABkAGkAdgBpAGQAZQBzACAAYgB5ACAAdABoAGUAIABhAHYAZQByAGEAZwBlACAAbwBmACAATwBwAGUAbgBpAG4AZwBFAHEAdQBpAHQAeQAgAGEAbgBkACAAUwBoAGEAcgBlAGgAbwBsAGQAZQByAHMARQBxAHUAaQB0AHkAIAC2AFwAIgAgACY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IAMwAuADYAMgAxADMAJQAgACAAIAAgACAAIAAgACAAIAAgACAAkiE9AG8AegAuAFIATwBFALsDKAAgADUAOQAuADkANwAyACwAIAAyADUANgAuADEANAA0ACwAIAAyADUAMQAuADYAMwA1ACAAKQC2AFwAIgAgACYAXABuACAAIAAgACAAIAAgACAAIAAgACAAIAAgACAAIAAgACAAIAAgACAAIAAgACAAIAAgAFwAIgAyADMALgA2ADIAMQAzACUAIAAgACAAIAAgACAAIAAgACAAIAAgAJIhPQBvAHoALgBSAE8ARQC7AygAIAA1ADkALgA5ADcAMgAsACAAQQBWAEUAUgBBAEcARQAoADIANQAxAC4ANgAzADUALAAgADIANQA2AC4AMQA0ADQAKQAgACkAXAAiACw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JAG4AYwBvAG0AZQApACwAXABuACAAIAAgACAAIAAgACAAIAAgACAAIAAgACAAIAAgACAAIAAgACAAIAAgACAAIAAgACAAIAAgACAASQBTAE8ATQBJAFQAVABFAEQAKAAgAFMAaABhAHIAZQBoAG8AbABkAGUAcgBzAEUAcQB1AGkAdAB5ACkAXABuACAAIAAgACAAIAAgACAAIAAgACAAIAAgACAAIAAgACAAIAAgACAAIAAgACAAIAAgACkALABcAG4AIAAgACAAIAAvAC8AIAAgAEEAIABiAGwAYQBuAGsAIABPAHAAZQBuAGkAbgBnAEUAcQB1AGkAdAB5ACAAYwBlAGwAbAAgAGkAcwAgAG4AbwB0ACAAYQBuACAAbwBtAGkAdAB0AGUAZAAgAGEAcgBnAHUAbQBlAG4AdAAsACAAcwBvACAAdABlAHMAdAAgAGYAbwByACAAYgBvAHQAaAA6ACAAZQBpAHQAaABlAHIAXABuACAAIAAgACAALwAvACAAIAB3AGEAeQAgAHQAaABlACAAYwBsAG8AcwBpAG4AZwAgAGUAcQB1AGkAdAB5ACAAcwB0AGEAbgBkAHMAIABpAG4AIABmAG8AcgAgAGkAdAAgAGEAbgBkACAAdABoAGUAIAByAGEAdABpAG8AIABpAHMAIAB3AGgAYQB0ACAAaQB0ACAAdwBhAHMAIABiAGUAZgBvAHIAZQBcAG4AIAAgACAAIAAgACAAIAAgAE8AcABlAG4AaQBuAGcALAAgACAAIAAgACAAIAAgACAASQBGACgAIABJAFMATwBNAEkAVABUAEUARAAoACAATwBwAGUAbgBpAG4AZwBFAHEAdQBpAHQAeQApACwAXABuACAAIAAgACAAIAAgACAAIAAgACAAIAAgACAAIAAgACAAIAAgACAAIAAgACAAIAAgACAAIAAgACAAUwBoAGEAcgBlAGgAbwBsAGQAZQByAHMARQBxAHUAaQB0AHkALABcAG4AIAAgACAAIAAgACAAIAAgACAAIAAgACAAIAAgACAAIAAgACAAIAAgACAAIAAgACAAIAAgACAAIABJAEYAKAAgAEkAUwBOAFUATQBCAEUAUgAoACAATwBwAGUAbgBpAG4AZwBFAHEAdQBpAHQAeQApACwAIABPAHAAZQBuAGkAbgBnAEUAcQB1AGkAdAB5ACwAIABTAGgAYQByAGUAaABvAGwAZABlAHIAcwBFAHEAdQBpAHQAeQApAFwAbgAgACAAIAAgACAAIAAgACAAIAAgACAAIAAgACAAIAAgACAAIAAgACAAIAAgACAAIAApACwAXABuACAAIAAgACAALwAvACAAIABQAHIAbwBjAGUAZAB1AHIAZQBcAG4AIAAgACAAIAAgACAAIAAgAFIAZQBzAHUAbAB0ACwAIAAgACAAIAAgACAAIAAgACAATgBlAHQASQBuAGMAbwBtAGUAIAAvACAAKAAoAFMAaABhAHIAZQBoAG8AbABkAGUAcgBzAEUAcQB1AGkAdAB5ACAAKwAgAE8AcABlAG4AaQBuAGcAKQAgAC8AIAAyACk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TwBJALsDXABuACAAIAAgACAARABFAFMAQwBSAEkAUABUAEkATwBOADoAKgAvAC8AKgAqAFIAZQB0AHUAcgBuACAAbwBuACAASQBuAHYAZQBzAHQAbQBlAG4AdAAgACgAUgBPAEkAKQAgAHIAYQB0AGkAbwAgACAAbQBlAGEAcwB1AHIAZQBzACAAdABoAGUAIABwAHIAbwBmAGkAdABhAGIAaQBsAGkAdAB5ACAAbwBmACAAYQBuACAAaQBuAHYAZQBzAHQAbQBlAG4AdAAgAGIAeQAgAGMAbwBtAHAAYQByAGkAbgBnACAAXABuAHQAaABlACAAZwBhAGkAbgAgAG8AcgAgAGwAbwBzAHMAIAB0AG8AIABpAHQAcwAgAGMAbwBzAHQAIAAoAE4AZQB0ACAAUgBlAHQAdQByAG4AIABvAG4AIABJAG4AdgBlAHMAdABtAGUAbgB0AC8AQwBvAHMAdAAgAG8AZgAgAEkAbgB2AGUAcwB0AG0AZQBuAHQAKQAuACoALwBcAG4AUgBPAEkAuwMgAD0AIABMAEEATQBCAEQAQQAoAFwAbgAvAC8AIAAgAFAAYQByAGEAbQBlAHQAZQByACAARABlAGMAbABhAHIAYQB0AGkAbwBuAHMAXABuACAAIAAgACAAIAAgACAAIABbAE4AZQB0AFIAZQB0AHUAcgBuAG8AbgBJAG4AdgBlAHMAdABtAGUAbgB0AF0ALAAgACAAXABuACAAIAAgACAAIAAgACAAIABbAEMAbwBzAHQAbwBmAEkAbgB2AGUAcwB0AG0AZQBuAHQAXQAsACAAIAAgACAAXABuAC8ALwAgACAASABlAGwAcABcAG4AIAAgACAAIABMAEUAVAAoAEgAZQBsAHAALAAgACAAIABUAFIASQBNACgAVABFAFgAVABTAFAATABJAFQAKAAgAFwAbgAgACAAIAAgACAAIAAgACAAIAAgACAAIAAgACAAIAAgACAAIAAgACAAIAAgACAAIABcACIARgBVAE4AQwBUAEkATwBOADoAIAAgACAAIAAgACAAIAAgACAAIAAgACAAIAAgAJIhUgBPAEkAuwMoACAATgBlAHQAUgBlAHQAdQByAG4AbwBuAEkAbgB2AGUAcwB0AG0AZQBuAHQALAAgAEMAbwBzAHQAbwBmAEkAbgB2AGUAcwB0AG0AZQBuAHQAKQC2AFwAIgAgACYAIABcAG4AIAAgACAAIAAgACAAIAAgACAAIAAgACAAIAAgACAAIAAgACAAIAAgACAAIAAgACAAXAAiAEQARQBTAEMAUgBJAFAAVABJAE8ATgA6ACAAIAAgACAAIAAgACAAIAAgACAAIACSIVIAZQB0AHUAcgBuACAAbwBuACAASQBuAHYAZQBzAHQAbQBlAG4AdAAgACgAUgBPAEkAKQAgAHIAYQB0AGkAbwAgACAAbQBlAGEAcwB1AHIAZQBzACAAdABoAGUAIABwAHIAbwBmAGkAdABhAGIAaQBsAGkAdAB5ACAAbwBmALYAXAAiACAAJgAgAFwAbgAgACAAIAAgACAAIAAgACAAIAAgACAAIAAgACAAIAAgACAAIAAgACAAIAAgACAAIAAgACAAIAAgACAAIAAgACAAIAAgACAAIAAgACAAIAAgACAAIAAgACAAIAAgACAAXAAiAJIhYQBuACAAaQBuAHYAZQBzAHQAbQBlAG4AdAAgAGIAeQAgAGMAbwBtAHAAYQByAGkAbgBnACAAdABoAGUAIABnAGEAaQBuACAAbwByACAAbABvAHMAcwAgAHQAbwAgAGkAdABzACAAYwBvAHMAdAAuACAAtgBcACIAIAAmACAAXABuACAAIAAgACAAIAAgACAAIAAgACAAIAAgACAAIAAgACAAIAAgACAAIAAgACAAIAAgACAAIAAgACAAIAAgACAAIAAgACAAIAAgACAAIAAgACAAIAAgACAAIAAgACAAIABcACIAkiEoAE4AZQB0ACAAUgBlAHQAdQByAG4AIABvAG4AIABJAG4AdgBlAHMAdABtAGUAbgB0AC8AQwBvAHMAdAAgAG8AZgAgAEkAbgB2AGUAcwB0AG0AZQBuAHQAKQC2AFwAIgAgACYAIABcAG4AIAAgACAAIAAgACAAIAAgACAAIAAgACAAIAAgACAAIAAgACAAIAAgACAAIAAgACAAXAAiAFcARQBCAFAAQQBHAEUAOgAgACAAIAAgACAAIAAgACAAIAAgACAAIAAgACAAIACSIWgAdAB0AHAAcwA6AC8ALwB3AHcAdwAuAGkAbgB2AGUAcwB0AG8AcABlAGQAaQBhAC4AYwBvAG0ALwB0AGUAcgBtAHMALwByAC8AcgBlAHQAdQByAG4AbwBuAGkAbgB2AGUAcwB0AG0AZQBuAHQALgBhAHMAcAAgALYAXAAiACAAJgBcAG4AIAAgACAAIAAgACAAIAAgACAAIAAgACAAIAAgACAAIAAgACAAIAAgACAAIAAgACAAXAAiAFYARQBSAFMASQBPAE4AOgAgACAAIAAgACAAIAAgACAAIAAgACAAIAAgACAAIACSITIAMAAgAEEAdQBnACAAMgAwADIANgC2AFwAIgAgACYAXABuACAAIAAgACAAIAAgACAAIAAgACAAIAAgACAAIAAgACAAIAAgACAAIAAgACAAIAAgAFwAIgBQAEEAUgBBAE0ARQBUAEUAUgBTADoAkiG2AFwAIgAgACYAIABcAG4AIAAgACAAIAAgACAAIAAgACAAIAAgACAAIAAgACAAIAAgACAAIAAgACAAIAAgACAAXAAiAE4AZQB0AFIAZQB0AHUAcgBuAG8AbgBJAG4AdgBlAHMAdABtAGUAbgB0ACAAIACSISgAUgBlAHEAdQBpAHIAZQBkACkAIABOAGUAdAAgAFIAZQB0AHUAcgBuACAAbwBuACAASQBuAHYAZQBzAHQAbQBlAG4AdAAgAGkAcwAgAHQAaABlACAAtgBcACIAIAAmACAAXABuACAAIAAgACAAIAAgACAAIAAgACAAIAAgACAAIAAgACAAIAAgACAAIAAgACAAIAAgACAAIAAgACAAIAAgACAAIAAgACAAIAAgACAAIAAgACAAIAAgACAAIAAgACAAIABcACIAkiFmAGkAbgBhAGwAIAB2AGEAbAB1AGUAIABvAGYAIABpAG4AdgBlAHMAdABtAGUAbgB0ACAALQAgAGkAbgBpAHQAaQBhAGwAIAB2AGEAbAB1AGUAIABvAGYAIABpAG4AdgBlAHMAdABtAGUAbgB0ALYAXAAiACAAJgAgAFwAbgAgACAAIAAgACAAIAAgACAAIAAgACAAIAAgACAAIAAgACAAIAAgACAAIAAgACAAIABcACIAQwBvAHMAdABvAGYASQBuAHYAZQBzAHQAbQBlAG4AdAAgACAAIAAgACAAIAAgAJIhKABSAGUAcQB1AGkAcgBlAGQAKQAgAEMAbwBzAHQAIABvAGYAIABJAG4AdgBlAHMAdABtAGUAbgB0ACAAtgBcACIAIAAmACAAXABuACAAIAAgACAAIAAgACAAIAAgACAAIAAgACAAIAAgACAAIAAgACAAIAAgACAAIAAgAFwAIgBFAFgAQQBNAFAATABFAFMAOgAgACAAIAAgACAAIAAgACAAIAAgACAAIAAgACAAkiFGAG8AcgBtAHUAbABhACAAKABvAHoAIABpAHMAIABhAHMAcwB1AG0AZQBkACAAdABvACAAYgBlACAAdABoAGUAIABtAG8AZAB1AGwAZQAnAHMAIABuAGEAbQBlACkAtgBcACIAIAAmAFwAbgAgACAAIAAgACAAIAAgACAAIAAgACAAIAAgACAAIAAgACAAIAAgACAAIAAgACAAIABcACIAMgA4AC4ANwA1ACUAIAAgACAAIAAgACAAIAAgACAAIAAgACAAIAAgACAAIAAgAJIhPQBvAHoALgBSAE8ASQC7AygAIAAyADgANwA1ACwAIAAxADAAMAAw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SAGUAdAB1AHIAbgBvAG4ASQBuAHYAZQBzAHQAbQBlAG4AdAApACwAXABuACAAIAAgACAAIAAgACAAIAAgACAAIAAgACAAIAAgACAAIAAgACAAIAAgACAAIAAgACAAIAAgACAASQBTAE8ATQBJAFQAVABFAEQAKAAgAEMAbwBzAHQAbwBmAEkAbgB2AGUAcwB0AG0AZQBuAHQAKQBcAG4AIAAgACAAIAAgACAAIAAgACAAIAAgACAAIAAgACAAIAAgACAAIAAgACAAIAAgACAAKQAsAFwAbgAgACAAIAAgAC8ALwAgACAAUAByAG8AYwBlAGQAdQByAGUAXABuACAAIAAgACAAIAAgACAAIABSAGUAcwB1AGwAdAAsACAAIAAgACAAIAAgACAAIAAgAE4AZQB0AFIAZQB0AHUAcgBuAG8AbgBJAG4AdgBlAHMAdABtAGUAbgB0AC8AQwBvAHMAdABvAGYASQBuAHYAZQBzAHQAbQBlAG4AdA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UgBPAEkAQwC7A1wAbgAgACAAIAAgAEQARQBTAEMAUgBJAFAAVABJAE8ATgA6ACoALwAvACoAKgBSAGUAdAB1AHIAbgAgAG8AbgAgAEkAbgB2AGUAcwB0AGUAZAAgAGMAYQBwAGkAdABhAGwAIAAgAGEAcwBzAGUAcwBzAGUAcwAgAGEAIABjAG8AbQBwAGEAbgB5ABkgcwAgAGUAZgBmAGkAYwBpAGUAbgBjAHkAIABpAG4AIABhAGwAbABvAGMAYQB0AGkAbgBnACAAXABuAGMAYQBwAGkAdABhAGwAIAB0AG8AIABwAHIAbwBmAGkAdABhAGIAbABlACAAaQBuAHYAZQBzAHQAbQBlAG4AdABzACAAKABOAGUAdAAgAE8AcABlAHIAYQB0AGkAbgBnACAAUAByAG8AZgBpAHQAIABBAGYAdABlAHIAIABUAGEAeAAvAEkAbgB2AGUAcwB0AGUAZAAgAEMAYQBwAGkAdABhAGwAKQAgACoALwBcAG4AUgBPAEkAQwC7AyAAPQAgAEwAQQBNAEIARABBACgAXABuAC8ALwAgACAAUABhAHIAYQBtAGUAdABlAHIAIABEAGUAYwBsAGEAcgBhAHQAaQBvAG4AcwBcAG4AIAAgACAAIAAgACAAIAAgAFsATgBlAHQATwBwAGUAcgBhAHQAaQBuAGcAUAByAG8AZgBpAHQAQQBmAHQAZQByAFQAYQB4AF0ALAAgACAAXABuACAAIAAgACAAIAAgACAAIABbAEkAbgB2AGUAcwB0AGUAZABDAGEAcABpAHQAYQBsAF0ALAAgACAAIAAgAFwAbgAvAC8AIAAgAEgAZQBsAHAAXABuACAAIAAgACAATABFAFQAKABIAGUAbABwACwAIAAgACAAVABSAEkATQAoAFQARQBYAFQAUwBQAEwASQBUACgAIABcAG4AIAAgACAAIAAgACAAIAAgACAAIAAgACAAIAAgACAAIAAgACAAIAAgACAAIAAgACAAXAAiAEYAVQBOAEMAVABJAE8ATgA6ACAAIAAgACAAIAAgAJIhUgBPAEkAQwC7AygAIABOAGUAdABPAHAAZQByAGEAdABpAG4AZwBQAHIAbwBmAGkAdABBAGYAdABlAHIAVABhAHgALAAgAEkAbgB2AGUAcwB0AGUAZABDAGEAcABpAHQAYQBsACkAtgBcACIAIAAmACAAXABuACAAIAAgACAAIAAgACAAIAAgACAAIAAgACAAIAAgACAAIAAgACAAIAAgACAAIAAgAFwAIgBEAEUAUwBDAFIASQBQAFQASQBPAE4AOgAgACAAIACSIVIAZQB0AHUAcgBuACAAbwBuACAASQBuAHYAZQBzAHQAZQBkACAAYwBhAHAAaQB0AGEAbAAgACAAYQBzAHMAZQBzAHMAZQBzACAAYQAgAGMAbwBtAHAAYQBuAHkAGSBzACAAZQBmAGYAaQBjAGkAZQBuAGMAeQAgAGkAbgAgAGEAbABsAG8AYwBhAHQAaQBuAGcAIAC2AFwAIgAgACYAXABuACAAIAAgACAAIAAgACAAIAAgACAAIAAgACAAIAAgACAAIAAgACAAIAAgACAAIAAgACAAIAAgACAAIAAgACAAIAAgACAAIAAgACAAIAAgAFwAIgCSIWMAYQBwAGkAdABhAGwAIAB0AG8AIABwAHIAbwBmAGkAdABhAGIAbABlACAAaQBuAHYAZQBzAHQAbQBlAG4AdABzACAAKABOAGUAdAAgAE8AcABlAHIAYQB0AGkAbgBnACAAUAByAG8AZgBpAHQAIABBAGYAdABlAHIAIABUAGEAeAAvAEkAbgB2AGUAcwB0AGUAZAAgAEMAYQBwAGkAdABhAGwAKQC2AFwAIgAgACYAIABcAG4AIAAgACAAIAAgACAAIAAgACAAIAAgACAAIAAgACAAIAAgACAAIAAgACAAIAAgACAAXAAiAFcARQBCAFAAQQBHAEUAOgAgACAAIAAgACAAIAAgAJIhaAB0AHQAcABzADoALwAvAHcAdwB3AC4AaQBuAHYAZQBzAHQAbwBwAGUAZABpAGEALgBjAG8AbQAvAHQAZQByAG0AcwAvAHIALwByAGUAdAB1AHIAbgBvAG4AaQBuAHYAZQBzAHQAbQBlAG4AdABjAGEAcABpAHQAYQBsAC4AYQBzAHAAIAC2AFwAIgAgACYAXABuACAAIAAgACAAIAAgACAAIAAgACAAIAAgACAAIAAgACAAIAAgACAAIAAgACAAIAAgAFwAIgBWAEUAUgBTAEkATwBOADoAIAAgACAAIAAgACAAIACSITIAMAAgAEEAdQBnACAAMgAwADIANgC2AFwAIgAgACYAXABuACAAIAAgACAAIAAgACAAIAAgACAAIAAgACAAIAAgACAAIAAgACAAIAAgACAAIAAgAFwAIgBQAEEAUgBBAE0ARQBUAEUAUgBTADoAkiG2AFwAIgAgACYAIABcAG4AIAAgACAAIAAgACAAIAAgACAAIAAgACAAIAAgACAAIAAgACAAIAAgACAAIAAgACAAXAAiAE4AZQB0AE8AcABlAHIAYQB0AGkAbgBnAFAAcgBvAGYAaQB0AEEAZgB0AGUAcgBUAGEAeACSISgAUgBlAHEAdQBpAHIAZQBkACkAIABOAGUAdAAgAE8AcABlAHIAYQB0AGkAbgBnACAAcAByAG8AZgBpAHQAIABhAGYAdABlAHIAIABUAGEAeAAgAFsAIABvAHAAZQByAGEAdABpAG4AZwAgAHAAcgBvAGYAaQB0ACAAeAAgACgAMQAgAC0AIABlAGYAZgBlAGMAdABpAHYAZQAgAHQAYQB4ACAAcgBhAHQAZQApACAAXQAuALYAXAAiACAAJgAgAFwAbgAgACAAIAAgACAAIAAgACAAIAAgACAAIAAgACAAIAAgACAAIAAgACAAIAAgACAAIABcACIASQBuAHYAZQBzAHQAZQBkAEMAYQBwAGkAdABhAGwAkiEoAFIAZQBxAHUAaQByAGUAZAApACAASQBuAHYAZQBzAHQAZQBkACAAQwBhAHAAaQB0AGEAbAAgACgARABlAGIAdAAgACsAIABFAHEAdQBpAHQAeQApAC4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xADIALgA2ADEAMgAyACUAIAAgACAAIAAgACAAIACSIT0AbwB6AC4AUgBPAEkAQwC7AygAIAAzADIANAA1ACwAIAAyADUANwAyADk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OAGUAdABPAHAAZQByAGEAdABpAG4AZwBQAHIAbwBmAGkAdABBAGYAdABlAHIAVABhAHgAKQAsAFwAbgAgACAAIAAgACAAIAAgACAAIAAgACAAIAAgACAAIAAgACAAIAAgACAAIAAgACAAIAAgACAAIAAgAEkAUwBPAE0ASQBUAFQARQBEACgAIABJAG4AdgBlAHMAdABlAGQAQwBhAHAAaQB0AGEAbAApAFwAbgAgACAAIAAgACAAIAAgACAAIAAgACAAIAAgACAAIAAgACAAIAAgACAAIAAgACAAIAApACwAXABuACAAIAAgACAALwAvACAAIABQAHIAbwBjAGUAZAB1AHIAZQBcAG4AIAAgACAAIAAgACAAIAAgAFIAZQBzAHUAbAB0ACwAIAAgACAAIAAgACAAIAAgACAATgBlAHQATwBwAGUAcgBhAHQAaQBuAGcAUAByAG8AZgBpAHQAQQBmAHQAZQByAFQAYQB4AC8ASQBuAHYAZQBzAHQAZQBkAEMAYQBwAGkAdABhAGwALABcAG4AIAAgACAAIAAvAC8AIAAgAFIAZQB0AHUAcgBuACAAUgBlAHMAdQBsAHQAXABuACAAIAAgACAAIAAgACAAIABDAEgATwBPAFMARQAoAEgAZQBsAHAAPwAgACsAIAAxACwAIABSAGUAcwB1AGwAdAAsACAASABlAGwAcAApACAAIAAgACAAIAAgACAAIABcAG4AIAAgACAAIAApAFwAbgApADsAXABuAFwAbgBcAG4AXABuAFwAbgBcAG4AXABuAC8ALwAgACAATQBhAHIAawBlAHQAIABWAGEAbAB1AGUAIABSAGEAdABpAG8AcwBcAG4AXABuAFwAbgAgAFwAbgAvACoAIAAgAEYAVQBOAEMAVABJAE8ATgAgAE4AQQBNAEUAOgAgACAAUAByAGkAYwBlAEUAYQByAG4AaQBuAGcAcwBSAGEAdABpAG8AuwNcAG4AIAAgACAAIABEAEUAUwBDAFIASQBQAFQASQBPAE4AOgAqAC8ALwAqACoAUAByAGkAYwBlAC0AZQBhAHIAbgBpAG4AZwBzACAAUgBhAHQAaQBvACAAbQBlAGEAcwB1AHIAZQBzACAAYQAgAGMAbwBtAHAAYQBuAHkAJwBzACAAcwBoAGEAcgBlACAAcAByAGkAYwBlACAAcgBlAGwAYQB0AGkAdgBlACAAdABvACAAXABuAGkAdABzACAAZQBhAHIAbgBpAG4AZwBzACAAcABlAHIAIABzAGgAYQByAGUAIAAoAFMAaABhAHIAZQAgAFAAcgBpAGMAZQAvAEUAYQByAG4AaQBuAGcAcwAgAFAAZQByACAAUwBoAGEAcgBlACkALgAqAC8AXABuAFAAcgBpAGMAZQBFAGEAcgBuAGkAbgBnAHMAUgBhAHQAaQBvALsDIAA9ACAATABBAE0AQgBEAEEAKABcAG4ALwAvACAAIABQAGEAcgBhAG0AZQB0AGUAcgAgAEQAZQBjAGwAYQByAGEAdABpAG8AbgBzAFwAbgAgACAAIAAgACAAIAAgACAAWwBTAGgAYQByAGUAUAByAGkAYwBlAF0ALAAgACAAXABuACAAIAAgACAAIAAgACAAIABbAEUAYQByAG4AaQBuAGcAcwBQAGUAcgBTAGgAYQByAGUAXQAsACAAIAAgACAAXABuAC8ALwAgACAASABlAGwAcABcAG4AIAAgACAAIABMAEUAVAAoAEgAZQBsAHAALAAgACAAIABUAFIASQBNACgAVABFAFgAVABTAFAATABJAFQAKAAgAFwAbgAgACAAIAAgACAAIAAgACAAIAAgACAAIAAgACAAIAAgACAAIAAgACAAIAAgACAAIABcACIARgBVAE4AQwBUAEkATwBOADoAIAAgACAAIAAgACAAIAAgACAAIACSIVAAcgBpAGMAZQBFAGEAcgBuAGkAbgBnAHMAUgBhAHQAaQBvALsDKAAgAFMAaABhAHIAZQBQAHIAaQBjAGUALAAgAEUAYQByAG4AaQBuAGcAcwBQAGUAcgBTAGgAYQByAGUAKQC2AFwAIgAgACYAIABcAG4AIAAgACAAIAAgACAAIAAgACAAIAAgACAAIAAgACAAIAAgACAAIAAgACAAIAAgACAAXAAiAEQARQBTAEMAUgBJAFAAVABJAE8ATgA6ACAAIAAgACAAIAAgACAAkiFQAHIAaQBjAGUALQBlAGEAcgBuAGkAbgBnAHMAIABSAGEAdABpAG8AIABtAGUAYQBzAHUAcgBlAHMAIABhACAAYwBvAG0AcABhAG4AeQAnAHMAIABzAGgAYQByAGUAIABwAHIAaQBjAGUAIAByAGUAbABhAHQAaQB2AGUAIAB0AG8AIAC2AFwAIgAgACYAIABcAG4AIAAgACAAIAAgACAAIAAgACAAIAAgACAAIAAgACAAIAAgACAAIAAgACAAIAAgACAAIAAgACAAIAAgACAAIAAgACAAIAAgACAAIAAgACAAIAAgACAAIABcACIAkiFpAHQAcwAgAGUAYQByAG4AaQBuAGcAcwAgAHAAZQByACAAcwBoAGEAcgBlACAAKABTAGgAYQByAGUAIABQAHIAaQBjAGUALwBFAGEAcgBuAGkAbgBnAHMAIABQAGUAcgAgAFMAaABhAHIAZQApAC4AtgBcACIAIAAmACAAXABuACAAIAAgACAAIAAgACAAIAAgACAAIAAgACAAIAAgACAAIAAgACAAIAAgACAAIAAgAFwAIgBXAEUAQgBQAEEARwBFADoAIAAgACAAIAAgACAAIAAgACAAIAAgAJIhaAB0AHQAcABzADoALwAvAHcAdwB3AC4AaQBuAHYAZQBzAHQAbwBwAGUAZABpAGEALgBjAG8AbQAvAHQAZQByAG0AcwAvAHAALwBwAHIAaQBjAGUALQBlAGEAcgBuAGkAbgBnAHMAcgBhAHQAaQBv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UwBoAGEAcgBlAFAAcgBpAGMAZQAgACAAIAAgACAAIAAgACAAIACSISgAUgBlAHEAdQBpAHIAZQBkACkAIABTAGgAYQByAGUAIABQAHIAaQBjAGUAIAAoAE0AYQByAGsAZQB0ACAAVgBhAGwAdQBlACAAUABlAHIAIABTAGgAYQByAGUAKQAgALYAXAAiACAAJgAgAFwAbgAgACAAIAAgACAAIAAgACAAIAAgACAAIAAgACAAIAAgACAAIAAgACAAIAAgACAAIABcACIARQBhAHIAbgBpAG4AZwBzAFAAZQByAFMAaABhAHIAZQAgACAAIACSISgAUgBlAHEAdQBpAHIAZQBkACkAIABFAGEAcgBuAGkAbgBnAHMAIABQAGUAcgAgAFMAaABhAHIAZQ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MQA0AC4AMwA5ADgAOAAxACAAIAAgACAAIAAgACAAIAAgACAAIACSIT0AbwB6AC4AUAByAGkAYwBlAEUAYQByAG4AaQBuAGcAcwBSAGEAdABpAG8AuwMoACAAMgA0ADIALgA2ADIALAAgADEANgAuADgANQ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UAByAGkAYwBlACkALABcAG4AIAAgACAAIAAgACAAIAAgACAAIAAgACAAIAAgACAAIAAgACAAIAAgACAAIAAgACAAIAAgACAAIABJAFMATwBNAEkAVABUAEUARAAoACAARQBhAHIAbgBpAG4AZwBzAFAAZQByAFMAaABhAHIAZQApAFwAbgAgACAAIAAgACAAIAAgACAAIAAgACAAIAAgACAAIAAgACAAIAAgACAAIAAgACAAIAApACwAXABuACAAIAAgACAALwAvACAAIABQAHIAbwBjAGUAZAB1AHIAZQBcAG4AIAAgACAAIAAgACAAIAAgAFIAZQBzAHUAbAB0ACwAIAAgACAAIAAgACAAIAAgACAAUwBoAGEAcgBlAFAAcgBpAGMAZQAvAEUAYQByAG4AaQBuAGcAcwBQAGUAcgBTAGgAYQByAGU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AAcgBpAGMAZQBUAG8AQgBvAG8AawBSAGEAdABpAG8AuwNcAG4AIAAgACAAIABEAEUAUwBDAFIASQBQAFQASQBPAE4AOgAqAC8ALwAqACoATQBhAG4AeQAgAGkAbgB2AGUAcwB0AG8AcgBzACAAdQBzAGUAIAB0AGgAZQAgAHAAcgBpAGMAZQAtAHQAbwAtAGIAbwBvAGsAIAByAGEAdABpAG8AIAAoAFAALwBCACAAcgBhAHQAaQBvACkAIAB0AG8AIABjAG8AbQBwAGEAcgBlACAAYQAgAGYAaQByAG0AJwBzACAAbQBhAHIAawBlAHQAIABcAG4AYwBhAHAAaQB0AGEAbABpAHMAYQB0AGkAbwBuACAAdABvACAAaQB0AHMAIABiAG8AbwBrACAAdgBhAGwAdQBlACAAYQBuAGQAIABsAG8AYwBhAHQAZQAgAHUAbgBkAGUAcgB2AGEAbAB1AGUAZAAgAGMAbwBtAHAAYQBuAGkAZQBzAC4AIAAqAC8AXABuAFAAcgBpAGMAZQBUAG8AQgBvAG8AawBSAGEAdABpAG8AuwMgAD0AIABMAEEATQBCAEQAQQAoAFwAbgAvAC8AIAAgAFAAYQByAGEAbQBlAHQAZQByACAARABlAGMAbABhAHIAYQB0AGkAbwBuAHMAXABuACAAIAAgACAAIAAgACAAIABbAE0AYQByAGsAZQB0AFAAcgBpAGMAZQBQAGUAcgBTAGgAYQByAGUAXQAsACAAIABcAG4AIAAgACAAIAAgACAAIAAgAFsAQgBvAG8AawBWAGEAbAB1AGU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VABvAEIAbwBvAGsAUgBhAHQAaQBvALsDKAAgAE0AYQByAGsAZQB0AFAAcgBpAGMAZQBQAGUAcgBTAGgAYQByAGUALAAgAEIAbwBvAGsAVgBhAGwAdQBlAFAAZQByAFMAaABhAHIAZQApALYAXAAiACAAJgAgAFwAbgAgACAAIAAgACAAIAAgACAAIAAgACAAIAAgACAAIAAgACAAIAAgACAAIAAgACAAIABcACIARABFAFMAQwBSAEkAUABUAEkATwBOADoAIAAgACAAIAAgACAAIACSIU0AYQBuAHkAIABpAG4AdgBlAHMAdABvAHIAcwAgAHUAcwBlACAAdABoAGUAIABwAHIAaQBjAGUALQB0AG8ALQBiAG8AbwBrACAAcgBhAHQAaQBvACAAKABQAC8AQgAgAHIAYQB0AGkAbwApACAAdABvACAAYwBvAG0AcABhAHIAZQAgAGEAIAC2AFwAIgAgACYAIABcAG4AIAAgACAAIAAgACAAIAAgACAAIAAgACAAIAAgACAAIAAgACAAIAAgACAAIAAgACAAIAAgACAAIAAgACAAIAAgACAAIAAgACAAIAAgACAAIAAgACAAIABcACIAkiFmAGkAcgBtACcAcwAgAG0AYQByAGsAZQB0ACAAYwBhAHAAaQB0AGEAbABpAHMAYQB0AGkAbwBuACAAdABvACAAaQB0AHMAIABiAG8AbwBrACAAdgBhAGwAdQBlACAAYQBuAGQAIABsAG8AYwBhAHQAZQAgAHUAbgBkAGUAcgB2AGEAbAB1AGUAZAAgAGMAbwBtAHAAYQBuAGkAZQBzAC4AtgBcACIAIAAmACAAXABuACAAIAAgACAAIAAgACAAIAAgACAAIAAgACAAIAAgACAAIAAgACAAIAAgACAAIAAgACAAIAAgACAAIAAgACAAIAAgACAAIAAgACAAIAAgACAAIAAgACAAXAAiAJIhKABNAGEAcgBrAGUAdAAgAFAAcgBpAGMAZQAgAFAAZQByACAAUwBoAGEAcgBlAC8AQgBvAG8AawAgAFYAYQBsAHUAZQAgAFAAZQByACAAUwBoAGEAcgBlACkAtgBcACIAIAAmACAAXABuACAAIAAgACAAIAAgACAAIAAgACAAIAAgACAAIAAgACAAIAAgACAAIAAgACAAIAAgAFwAIgBXAEUAQgBQAEEARwBFADoAIAAgACAAIAAgACAAIAAgACAAIAAgAJIhaAB0AHQAcABzADoALwAvAHcAdwB3AC4AaQBuAHYAZQBzAHQAbwBwAGUAZABpAGEALgBjAG8AbQAvAHQAZQByAG0AcwAvAHAALwBwAHIAaQBjAGUALQB0AG8ALQBiAG8AbwBrAHIAYQB0AGkAbw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0AYQByAGsAZQB0AFAAcgBpAGMAZQBQAGUAcgBTAGgAYQByAGUAkiEoAFIAZQBxAHUAaQByAGUAZAApACAATQBhAHIAawBlAHQAIABQAHIAaQBjAGUAIABQAGUAcgAgAFMAaABhAHIAZQAgACgAQwB1AHIAcgBlAG4AdAAgAG0AYQByAGsAZQB0ACAAcAByAGkAYwBlACAAbwBmACAAdABoAGUAIABzAGgAYQByAGUAKQC2AFwAIgAgACYAIABcAG4AIAAgACAAIAAgACAAIAAgACAAIAAgACAAIAAgACAAIAAgACAAIAAgACAAIAAgACAAXAAiAEIAbwBvAGsAVgBhAGwAdQBlAFAAZQByAFMAaABhAHIAZQAgACAAkiEoAFIAZQBxAHUAaQByAGUAZAApACAAVABhAG4AZwBpAGIAbABlACAAYgBvAG8AawAgAHYAYQBsAHUAZQAgAHAAZQByACAAcwBoAGEAcgBlACAAKABvAHoALgBCAFYAUABTALsDIABrAGUAZQBwAHMAIABpAG4AdABhAG4AZwBpAGIAbABlAHMAKQAgALYAXAAiACAAJgAgAFwAbgAgACAAIAAgACAAIAAgACAAIAAgACAAIAAgACAAIAAgACAAIAAgACAAIAAgACAAIAAgACAAIAAgACAAIAAgACAAIAAgACAAIAAgACAAIAAgACAAIAAgAFwAIgCSISgAVABvAHQAYQBsACAAYQBzAHMAZQB0AHMAIAAtACAAaQBuAHQAYQBuAGcAaQBiAGwAZQAgAGEAcwBzAGUAdABzACAALQAgAHQAbwB0AGEAbAAgAGwAaQBhAGIAaQBsAGkAdABpAGUAcwApACAA9wAgAG4AdQBtAGIAZQByACAAbwBmACAAbwB1AHQAcwB0AGEAbgBkAGkAbgBnACAAcwBoAGEAcgBlAHMAIA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MgAuADAAIAAgACAAIAAgACAAIAAgACAAIAAgACAAIAAgACAAIACSIT0AbwB6AC4AUAByAGkAYwBlAFQAbwBCAG8AbwBrAFIAYQB0AGkAbwC7AygAIAA1ACwAIAAyAC4ANQ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EIAbwBvAGsAVgBhAGwAdQBlAFAAZQByAFMAaABhAHIAZQApAFwAbgAgACAAIAAgACAAIAAgACAAIAAgACAAIAAgACAAIAAgACAAIAAgACAAIAAgACAAIAApACwAXABuACAAIAAgACAALwAvACAAIABQAHIAbwBjAGUAZAB1AHIAZQBcAG4AIAAgACAAIAAgACAAIAAgAFIAZQBzAHUAbAB0ACwAIAAgACAAIAAgACAAIAAgACAATQBhAHIAawBlAHQAUAByAGkAYwBlAFAAZQByAFMAaABhAHIAZQAvAEIAbwBvAGsAVgBhAGwAdQBl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AAcgBpAGMAZQBUAG8AUwBhAGwAZQBzAFIAYQB0AGkAbwC7A1wAbgAgACAAIAAgAEQARQBTAEMAUgBJAFAAVABJAE8ATgA6ACoALwAvACoAKgBQAHIAaQBjAGUAIAB0AG8AIABTAGEAbABlAHMAIAAoAFAALwBTACkAIABSAGEAdABpAG8AIABpAHMAIABhAG4AIABpAG4AZABpAGMAYQB0AG8AcgAgAG8AZgAgAHQAaABlACAAdgBhAGwAdQBlACAAdABoAGEAdAAgAGYAaQBuAGEAbgBjAGkAYQBsACAAbQBhAHIAawBlAHQAcwAgAGgAYQB2AGUAIABcAG4AcABsAGEAYwBlAGQAIABvAG4AIABlAGEAYwBoACAAZABvAGwAbABhAHIAIABvAGYAIABhACAAYwBvAG0AcABhAG4AeQAnAHMAIABzAGEAbABlAHMAIABvAHIAIAByAGUAdgBlAG4AdQBlAHMAIAAoAE0AYQByAGsAZQB0ACAAUAByAGkAYwBlACAAUABlAHIAIABTAGgAYQByAGUALwBTAGEAbABlAHMAIABQAGUAcgAgAFMAaABhAHIAZQApAC4AIAAqAC8AXABuAFAAcgBpAGMAZQBUAG8AUwBhAGwAZQBzAFIAYQB0AGkAbwC7AyAAPQAgAEwAQQBNAEIARABBACgAXABuAC8ALwAgACAAUABhAHIAYQBtAGUAdABlAHIAIABEAGUAYwBsAGEAcgBhAHQAaQBvAG4AcwBcAG4AIAAgACAAIAAgACAAIAAgAFsATQBhAHIAawBlAHQAUAByAGkAYwBlAFAAZQByAFMAaABhAHIAZQBdACwAIAAgAFwAbgAgACAAIAAgACAAIAAgACAAWwBTAGEAbABlAHMAUABlAHIAUwBoAGEAcgBlAF0ALAAgACAAIAAgAFwAbgAvAC8AIAAgAEgAZQBsAHAAXABuACAAIAAgACAATABFAFQAKABIAGUAbABwACwAIAAgACAAVABSAEkATQAoAFQARQBYAFQAUwBQAEwASQBUACgAIABcAG4AIAAgACAAIAAgACAAIAAgACAAIAAgACAAIAAgACAAIAAgACAAIAAgACAAIAAgACAAXAAiAEYAVQBOAEMAVABJAE8ATgA6ACAAIAAgACAAIAAgACAAIAAgACAAkiFQAHIAaQBjAGUAVABvAFMAYQBsAGUAcwBSAGEAdABpAG8AuwMoACAATQBhAHIAawBlAHQAUAByAGkAYwBlAFAAZQByAFMAaABhAHIAZQAsACAAUwBhAGwAZQBzAFAAZQByAFMAaABhAHIAZQApALYAXAAiACAAJgAgAFwAbgAgACAAIAAgACAAIAAgACAAIAAgACAAIAAgACAAIAAgACAAIAAgACAAIAAgACAAIABcACIARABFAFMAQwBSAEkAUABUAEkATwBOADoAIAAgACAAIAAgACAAIACSIVAAcgBpAGMAZQAgAHQAbwAgAFMAYQBsAGUAcwAgACgAUAAvAFMAKQAgAFIAYQB0AGkAbwAgAGkAcwAgAGEAbgAgAGkAbgBkAGkAYwBhAHQAbwByACAAbwBmACAAdABoAGUAIAB2AGEAbAB1AGUAIAB0AGgAYQB0ACAAZgBpAG4AYQBuAGMAaQBhAGwAIABtAGEAcgBrAGUAdABzACAAaABhAHYAZQC2AFwAIgAgACYAIABcAG4AIAAgACAAIAAgACAAIAAgACAAIAAgACAAIAAgACAAIAAgACAAIAAgACAAIAAgACAAIAAgACAAIAAgACAAIAAgACAAIAAgACAAIAAgACAAIAAgACAAIABcACIAkiFwAGwAYQBjAGUAZAAgAG8AbgAgAGUAYQBjAGgAIABkAG8AbABsAGEAcgAgAG8AZgAgAGEAIABjAG8AbQBwAGEAbgB5ACcAcwAgAHMAYQBsAGUAcwAgAG8AcgAgAHIAZQB2AGUAbgB1AGUAcwAgACgATQBhAHIAawBlAHQAIABQAHIAaQBjAGUAIABQAGUAcgAgAFMAaABhAHIAZQAvAFMAYQBsAGUAcwAgAFAAZQByACAAUwBoAGEAcgBlACkALgC2AFwAIgAgACYAIABcAG4AIAAgACAAIAAgACAAIAAgACAAIAAgACAAIAAgACAAIAAgACAAIAAgACAAIAAgACAAXAAiAFcARQBCAFAAQQBHAEUAOgAgACAAIAAgACAAIAAgACAAIAAgACAAkiFoAHQAdABwAHMAOgAvAC8AdwB3AHcALgBpAG4AdgBlAHMAdABvAHAAZQBkAGkAYQAuAGMAbwBtAC8AdABlAHIAbQBzAC8AcAAvAHAAcgBpAGMAZQAtAHQAbwAtAHMAYQBsAGUAcw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NAGEAcgBrAGUAdABQAHIAaQBjAGUAUABlAHIAUwBoAGEAcgBlAJIhKABSAGUAcQB1AGkAcgBlAGQAKQAgAE0AYQByAGsAZQB0ACAAUAByAGkAYwBlACAAUABlAHIAIABTAGgAYQByAGUAIAAoAEMAdQByAHIAZQBuAHQAIABtAGEAcgBrAGUAdAAgAHAAcgBpAGMAZQAgAG8AZgAgAHQAaABlACAAcwBoAGEAcgBlACkAtgBcACIAIAAmACAAXABuACAAIAAgACAAIAAgACAAIAAgACAAIAAgACAAIAAgACAAIAAgACAAIAAgACAAIAAgAFwAIgBTAGEAbABlAHMAUABlAHIAUwBoAGEAcgBlACAAIAAgACAAIAAgAJIhKABSAGUAcQB1AGkAcgBlAGQAKQAgAEEAbgBuAHUAYQBsACAAUwBhAGwAZQBzACAAUABlAHIAIABTAGgAYQByAGUAIAAoAFIAZQB2AGUAbgB1AGUAIABwAHIAaQBvAHIAIAAxADIAIABtAG8AbgB0AGgAcwApACAAtgBcACIAIAAmACAAXABuACAAIAAgACAAIAAgACAAIAAgACAAIAAgACAAIAAgACAAIAAgACAAIAAgACAAIAAgAFwAIgBFAFgAQQBNAFAATABFAFMAOgAgACAAIAAgACAAIAAgACAAIAAgAJIhRgBvAHIAbQB1AGwAYQAgACgAbwB6ACAAaQBzACAAYQBzAHMAdQBtAGUAZAAgAHQAbwAgAGIAZQAgAHQAaABlACAAbQBvAGQAdQBsAGUAJwBzACAAbgBhAG0AZQApALYAXAAiACAAJgBcAG4AIAAgACAAIAAgACAAIAAgACAAIAAgACAAIAAgACAAIAAgACAAIAAgACAAIAAgACAAXAAiADQALgA1ADUAIAAgACAAIAAgACAAIAAgACAAIAAgACAAIAAgACAAkiE9AG8AegAuAFAAcgBpAGMAZQBUAG8AUwBhAGwAZQBzAFIAYQB0AGkAbwC7AygAIAA0ADUANQAuADAALAAgADEAMAAwAC4AM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0AYQByAGsAZQB0AFAAcgBpAGMAZQBQAGUAcgBTAGgAYQByAGUAKQAsAFwAbgAgACAAIAAgACAAIAAgACAAIAAgACAAIAAgACAAIAAgACAAIAAgACAAIAAgACAAIAAgACAAIAAgAEkAUwBPAE0ASQBUAFQARQBEACgAIABTAGEAbABlAHMAUABlAHIAUwBoAGEAcgBlACkAXABuACAAIAAgACAAIAAgACAAIAAgACAAIAAgACAAIAAgACAAIAAgACAAIAAgACAAIAAgACkALABcAG4AIAAgACAAIAAvAC8AIAAgAFAAcgBvAGMAZQBkAHUAcgBlAFwAbgAgACAAIAAgACAAIAAgACAAUgBlAHMAdQBsAHQALAAgACAAIAAgACAAIAAgACAAIABNAGEAcgBrAGUAdABQAHIAaQBjAGUAUABlAHIAUwBoAGEAcgBlAC8AUwBhAGwAZQBzAFAAZQByAFMAaABhAHIAZ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AAcgBpAGMAZQBUAG8AQwBhAHMAaABSAGEAdABpAG8AuwNcAG4AIAAgACAAIABEAEUAUwBDAFIASQBQAFQASQBPAE4AOgAqAC8ALwAqACoAUAByAGkAYwBlACAAdABvACAAQwBhAHMAaAAgACgAUAAvAEMARgApACAAUgBhAHQAaQBvACAAaQBzACAAYQAgAHMAdABvAGMAawAgAHYAYQBsAHUAYQB0AGkAbwBuACAAaQBuAGQAaQBjAGEAdABvAHIAIABvAHIAIABtAHUAbAB0AGkAcABsAGUAIAB0AGgAYQB0ACAAbQBlAGEAcwB1AHIAZQBzACAAXABuAHQAaABlACAAdgBhAGwAdQBlACAAbwBmACAAYQAgAHMAdABvAGMAawAZIHMAIABwAHIAaQBjAGUAIAByAGUAbABhAHQAaQB2AGUAIAB0AG8AIABpAHQAcwAgAG8AcABlAHIAYQB0AGkAbgBnACAAYwBhAHMAaAAgAGYAbABvAHcAIABwAGUAcgAgAHMAaABhAHIAZQAgAFwAbgAoAE0AYQByAGsAZQB0ACAAUAByAGkAYwBlACAAUABlAHIAIABTAGgAYQByAGUALwBPAHAAZQByAGEAdABpAG4AZwAgAEMAYQBzAGgAIABGAGwAbwB3ACAAUABlAHIAIABTAGgAYQByAGUAKQAuACAAKgAvAFwAbgBQAHIAaQBjAGUAVABvAEMAYQBzAGgAUgBhAHQAaQBvALsDIAA9ACAATABBAE0AQgBEAEEAKABcAG4ALwAvACAAIABQAGEAcgBhAG0AZQB0AGUAcgAgAEQAZQBjAGwAYQByAGEAdABpAG8AbgBzAFwAbgAgACAAIAAgACAAIAAgACAAWwBNAGEAcgBrAGUAdABQAHIAaQBjAGUAUABlAHIAUwBoAGEAcgBlAF0ALAAgACAAXABuACAAIAAgACAAIAAgACAAIABbAE8AcABlAHIAYQB0AGkAbgBnAEMAYQBzAGgARgBsAG8AdwBQAGUAcgBTAGgAYQByAGUAXQAsACAAIAAgACAAXABuAC8ALwAgACAASABlAGwAcABcAG4AIAAgACAAIABMAEUAVAAoAEgAZQBsAHAALAAgACAAIABUAFIASQBNACgAVABFAFgAVABTAFAATABJAFQAKAAgAFwAbgAgACAAIAAgACAAIAAgACAAIAAgACAAIAAgACAAIAAgACAAIAAgACAAIAAgACAAIABcACIARgBVAE4AQwBUAEkATwBOADoAIAAgACAAIAAgACAAIAAgACAAIACSIVAAcgBpAGMAZQBUAG8AQwBhAHMAaABSAGEAdABpAG8AuwMoACAATQBhAHIAawBlAHQAUAByAGkAYwBlAFAAZQByAFMAaABhAHIAZQAsACAATwBwAGUAcgBhAHQAaQBuAGcAQwBhAHMAaABGAGwAbwB3AFAAZQByAFMAaABhAHIAZQApALYAXAAiACAAJgAgAFwAbgAgACAAIAAgACAAIAAgACAAIAAgACAAIAAgACAAIAAgACAAIAAgACAAIAAgACAAIABcACIARABFAFMAQwBSAEkAUABUAEkATwBOADoAIAAgACAAIAAgACAAIACSIVAAcgBpAGMAZQAgAHQAbwAgAEMAYQBzAGgAIAAoAFAALwBDAEYAKQAgAFIAYQB0AGkAbwAgACAAaQBzACAAYQAgAHMAdABvAGMAawAgAHYAYQBsAHUAYQB0AGkAbwBuACAAaQBuAGQAaQBjAGEAdABvAHIAIABvAHIAIABtAHUAbAB0AGkAcABsAGUAIAB0AGgAYQB0ACAAtgBcACIAIAAmACAAXABuACAAIAAgACAAIAAgACAAIAAgACAAIAAgACAAIAAgACAAIAAgACAAIAAgACAAIAAgACAAIAAgACAAIAAgACAAIAAgACAAIAAgACAAIAAgACAAIAAgACAAXAAiAJIhbQBlAGEAcwB1AHIAZQBzACAAdABoAGUAIAB2AGEAbAB1AGUAIABvAGYAIABhACAAcwB0AG8AYwBrABkgcwAgAHAAcgBpAGMAZQAgAHIAZQBsAGEAdABpAHYAZQAgAHQAbwAgAGkAdABzACAAbwBwAGUAcgBhAHQAaQBuAGcAIABjAGEAcwBoACAAZgBsAG8AdwAgALYAXAAiACAAJgAgAFwAbgAgACAAIAAgACAAIAAgACAAIAAgACAAIAAgACAAIAAgACAAIAAgACAAIAAgACAAIAAgACAAIAAgACAAIAAgACAAIAAgACAAIAAgACAAIAAgACAAIAAgAFwAIgCSIXAAZQByACAAcwBoAGEAcgBlACAAKABNAGEAcgBrAGUAdAAgAFAAcgBpAGMAZQAgAFAAZQByACAAUwBoAGEAcgBlAC8ATwBwAGUAcgBhAHQAaQBuAGcAIABDAGEAcwBoACAARgBsAG8AdwAgAFAAZQByACAAUwBoAGEAcgBlACkALgC2AFwAIgAgACYAIABcAG4AIAAgACAAIAAgACAAIAAgACAAIAAgACAAIAAgACAAIAAgACAAIAAgACAAIAAgACAAXAAiAFcARQBCAFAAQQBHAEUAOgAgACAAIAAgACAAIAAgACAAIAAgACAAkiFoAHQAdABwAHMAOgAvAC8AdwB3AHcALgBpAG4AdgBlAHMAdABvAHAAZQBkAGkAYQAuAGMAbwBtAC8AdABlAHIAbQBzAC8AcAAvAHAAcgBpAGMAZQAtAHQAbwAtAGMAYQBzAGgALQBmAGwAbwB3AHIAYQB0AGkAbwAuAGEAcwBw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E0AYQByAGsAZQB0AFAAcgBpAGMAZQBQAGUAcgBTAGgAYQByAGUAkiEoAFIAZQBxAHUAaQByAGUAZAApACAATQBhAHIAawBlAHQAIABQAHIAaQBjAGUAIABQAGUAcgAgAFMAaABhAHIAZQAgACgAQwB1AHIAcgBlAG4AdAAgAG0AYQByAGsAZQB0ACAAcAByAGkAYwBlACAAbwBmACAAdABoAGUAIABzAGgAYQByAGUAKQC2AFwAIgAgACYAIABcAG4AIAAgACAAIAAgACAAIAAgACAAIAAgACAAIAAgACAAIAAgACAAIAAgACAAIAAgACAAXAAiAE8AcABlAHIAYQB0AGkAbgBnAEMAYQBzAGgARgBsAG8AdwBQAGUAcgBTAGgAYQByAGUAkiEoAFIAZQBxAHUAaQByAGUAZAApACAATwBwAGUAcgBhAHQAaQBuAGcAIABDAGEAcwBoACAARgBsAG8AdwAgAGYAbwByACAAcAByAGkAbwByACAAMQAyACAAbQBvAG4AdABoAHMALwBTAGgAYQByAGUAcwAgAG8AdQB0AHMAdABhAG4AZABpAG4AZw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yACAAIAAgACAAIAAgACAAIAAgACAAIAAgACAAIAAgACAAIAAgAJIhPQBvAHoALgBQAHIAaQBjAGUAVABvAEMAYQBzAGgAUgBhAHQAaQBvALsDKAAgADIAMAAwAC4AMAAsACAAMQAwADAALgAwACAAKQBcACIALAAgAFwAbgAgACAAIAAgACAAIAAgACAAIAAgACAAIAAgACAAIAAgACAAIAAgACAAXAAiAJIhXAAiACwAIABcACIAtgBcACIAIAApAFwAbgAgACAAIAAgACAAIAAgACAAIAAgACAAIAAgACAAIAAgACkALABcAG4AIAAgACAAIAAvAC8AIAAgAEMAaABlAGMAawAgAGkAbgBwAHUAdABzACAALQAgAE8AbQBpAHQAdABlAGQAIAByAGUAcQB1AGkAcgBlAGQAIABhAHIAZwB1AG0AZQBuAHQAcwAgACgAZABvACAAbgBvAHQAIABpAG4AYwBsAHUAZABlACAAbwBwAHQAaQBvAG4AYQBsACAAYQByAGcAdQBtAGUAbgB0AHMAKQBcAG4AIAAgACAAIAAgACAAIAAgAEgAZQBsAHAAPwAsACAAIAAgACAAIAAgACAAIAAgACAATwBSACgAIABJAFMATwBNAEkAVABUAEUARAAoACAATQBhAHIAawBlAHQAUAByAGkAYwBlAFAAZQByAFMAaABhAHIAZQApACwAXABuACAAIAAgACAAIAAgACAAIAAgACAAIAAgACAAIAAgACAAIAAgACAAIAAgACAAIAAgACAAIAAgACAASQBTAE8ATQBJAFQAVABFAEQAKAAgAE8AcABlAHIAYQB0AGkAbgBnAEMAYQBzAGgARgBsAG8AdwBQAGUAcgBTAGgAYQByAGUAKQBcAG4AIAAgACAAIAAgACAAIAAgACAAIAAgACAAIAAgACAAIAAgACAAIAAgACAAIAAgACAAKQAsAFwAbgAgACAAIAAgAC8ALwAgACAAUAByAG8AYwBlAGQAdQByAGUAXABuACAAIAAgACAAIAAgACAAIABSAGUAcwB1AGwAdAAsACAAIAAgACAAIAAgACAAIAAgAE0AYQByAGsAZQB0AFAAcgBpAGMAZQBQAGUAcgBTAGgAYQByAGUALwBPAHAAZQByAGEAdABpAG4AZwBDAGEAcwBoAEYAbABvAHcAUABlAHIAUwBoAGEAcgBlACwAXABuACAAIAAgACAALwAvACAAIABSAGUAdAB1AHIAbgAgAFIAZQBzAHUAbAB0AFwAbgAgACAAIAAgACAAIAAgACAAQwBIAE8ATwBTAEUAKABIAGUAbABwAD8AIAArACAAMQAsACAAUgBlAHMAdQBsAHQALAAgAEgAZQBsAHAAKQAgACAAIAAgACAAIAAgACAAXABuACAAIAAgACAAKQBcAG4AKQA7AFwAbgBcAG4AXABuAFwAbgAvACoAIAAgAEYAVQBOAEMAVABJAE8ATgAgAE4AQQBNAEUAOgAgACAAQgBWAFAAUwC7A1wAbgAgACAAIAAgAEQARQBTAEMAUgBJAFAAVABJAE8ATgA6ACoALwAvACoAKgBCAG8AbwBrACAAdgBhAGwAdQBlACAAcABlAHIAIABzAGgAYQByAGUAIAByAGEAdABpAG8AIABpAHMAIABhAG4AIABpAG4AZABpAGMAYQB0AG8AcgAgAG8AZgAgAHQAaABlACAAdgBhAGwAdQBlACAAbwBmACAAYQAgAGMAbwBtAHAAYQBuAHkAGSBzACAAcwB0AG8AYwBrACAAXABuACgAUwBoAGEAcgBlAGgAbwBsAGQAZQByAHMAJwAgAEUAcQB1AGkAdAB5ACAALQAgAFAAcgBlAGYAZQByAHIAZQBkACAAUwB0AG8AYwBrACkALwBBAHYAZQByAGEAZwBlACAAUwBoAGEAcgBlAHMAIABPAHUAdABzAHQAYQBuAGQAaQBuAGcAKQAgACoALwBcAG4AQgBWAFAAUwC7AyAAPQAgAEwAQQBNAEIARABBACgAXABuAC8ALwAgACAAUABhAHIAYQBtAGUAdABlAHIAIABEAGUAYwBsAGEAcgBhAHQAaQBvAG4AcwBcAG4AIAAgACAAIAAgACAAIAAgAFsAUwBoAGEAcgBlAGgAbwBsAGQAZQByAHMARQBxAHUAaQB0AHkAXQAsACAAXABuACAAIAAgACAAIAAgACAAIABbAFAAcgBlAGYAZQByAHIAZQBkAFMAdABvAGMAawBdACAALABcAG4AIAAgACAAIAAgACAAIAAgAFsAQQB2AGUAcgBhAGcAZQBTAGgAYQByAGUAcwBPAHUAdABzAHQAYQBuAGQAaQBuAGcAXQAsACAAIAAgACAAXABuAC8ALwAgACAASABlAGwAcABcAG4AIAAgACAAIABMAEUAVAAoAEgAZQBsAHAALAAgACAAIABUAFIASQBNACgAVABFAFgAVABTAFAATABJAFQAKAAgAFwAbgAgACAAIAAgACAAIAAgACAAIAAgACAAIAAgACAAIAAgACAAIAAgACAAIAAgACAAIABcACIARgBVAE4AQwBUAEkATwBOADoAIAAgACAAIAAgACAAIAAgACAAIACSIUIAVgBQAFMAuwMoACAAUwBoAGEAcgBlAGgAbwBsAGQAZQByAHMARQBxAHUAaQB0AHkALAAgAFAAcgBlAGYAZQByAHIAZQBkAFMAdABvAGMAawAsACAAQQB2AGUAcgBhAGcAZQBTAGgAYQByAGUAcwBPAHUAdABzAHQAYQBuAGQAaQBuAGcAIAApALYAXAAiACAAJgAgAFwAbgAgACAAIAAgACAAIAAgACAAIAAgACAAIAAgACAAIAAgACAAIAAgACAAIAAgACAAIABcACIARABFAFMAQwBSAEkAUABUAEkATwBOADoAIAAgACAAIAAgACAAIACSIUIAbwBvAGsAIAB2AGEAbAB1AGUAIABwAGUAcgAgAHMAaABhAHIAZQAgAHIAYQB0AGkAbwAgAGkAcwAgAGEAbgAgAGkAbgBkAGkAYwBhAHQAbwByACAAbwBmACAAdABoAGUAIAB2AGEAbAB1AGUAIABvAGYAIABhACAAYwBvAG0AcABhAG4AeQAZIHMAIABzAHQAbwBjAGsAtgBcACIAIAAmACAAXABuACAAIAAgACAAIAAgACAAIAAgACAAIAAgACAAIAAgACAAIAAgACAAIAAgACAAIAAgACAAIAAgACAAIAAgACAAIAAgACAAIAAgACAAIAAgACAAIAAgACAAXAAiAJIhKABTAGgAYQByAGUAaABvAGwAZABlAHIAcwAnACAARQBxAHUAaQB0AHkAIAAtACAAUAByAGUAZgBlAHIAcgBlAGQAIABTAHQAbwBjAGsAKQAvAEEAdgBlAHIAYQBnAGUAIABTAGgAYQByAGUAcwAgAE8AdQB0AHMAdABhAG4AZABpAG4AZwApALYAXAAiACAAJgAgAFwAbgAgACAAIAAgACAAIAAgACAAIAAgACAAIAAgACAAIAAgACAAIAAgACAAIAAgACAAIABcACIAVwBFAEIAUABBAEcARQA6ACAAIAAgACAAIAAgACAAIAAgACAAIACSIWgAdAB0AHAAcwA6AC8ALwBjAG8AcgBwAG8AcgBhAHQAZQBmAGkAbgBhAG4AYwBlAGkAbgBzAHQAaQB0AHUAdABlAC4AYwBvAG0ALwByAGUAcwBvAHUAcgBjAGUAcwAvAHYAYQBsAHUAYQB0AGkAbwBuAC8AYgBvAG8AawAtAHYAYQBsAHUAZQAtAHAAZQByAC0AcwBoAGEAcgBlAC0AYgB2AHAAcwAvACAAtgBcACIAIAAmAFwAbgAgACAAIAAgACAAIAAgACAAIAAgACAAIAAgACAAIAAgACAAIAAgACAAIAAgACAAIABcACIAVgBFAFIAUwBJAE8ATgA6ACAAIAAgACAAIAAgACAAIAAgACAAIACSITIAMAAgAEEAdQBnACAAMgAwADIANgC2AFwAIgAgACYAXABuACAAIAAgACAAIAAgACAAIAAgACAAIAAgACAAIAAgACAAIAAgACAAIAAgACAAIAAgAFwAIgBQAEEAUgBBAE0ARQBUAEUAUgBTADoAkiG2AFwAIgAgACYAIABcAG4AIAAgACAAIAAgACAAIAAgACAAIAAgACAAIAAgACAAIAAgACAAIAAgACAAIAAgACAAXAAiAFMAaABhAHIAZQBoAG8AbABkAGUAcgBzAEUAcQB1AGkAdAB5ACAAkiEoAFIAZQBxAHUAaQByAGUAZAApACAAUwBoAGEAcgBlAGgAbwBsAGQAZQByAHMAJwAgAEUAcQB1AGkAdAB5ACAAKAB0AG8AdABhAGwAIABhAHMAcwBlAHQAcwAgAC0AIAB0AG8AdABhAGwAIABsAGkAYQBiAGkAbABpAHQAaQBlAHMAKQAsACAAaQBuAHQAYQBuAGcAaQBiAGwAZQBzACAAawBlAHAAdAAgALYAXAAiACAAJgAgAFwAbgAgACAAIAAgACAAIAAgACAAIAAgACAAIAAgACAAIAAgACAAIAAgACAAIAAgACAAIABcACIAUAByAGUAZgBlAHIAcgBlAGQAUwB0AG8AYwBrACAAIAAgACAAIACSISgAUgBlAHEAdQBpAHIAZQBkACkAIABQAHIAZQBmAGUAcgByAGUAZAAgAFMAdABvAGMAawAgACgAcwBlAGMAdQByAGkAdABpAGUAcwAgAHQAaABhAHQAIAByAGUAcAByAGUAcwBlAG4AdAAgAG8AdwBuAGUAcgBzAGgAaQBwACAAaQBuACAAYQAgAGMAbwByAHAAbwByAGEAdABpAG8AbgApAC4AtgBcACIAIAAmACAAXABuACAAIAAgACAAIAAgACAAIAAgACAAIAAgACAAIAAgACAAIAAgACAAIAAgACAAIAAgAFwAIgBBAHYAZQByAGEAZwBlAFMAaABhAHIAZQBzAE8AdQB0AHMAdABhAG4AZABpAG4AZwCSISgAUgBlAHEAdQBpAHIAZQBkACkAIABBAHYAZQByAGEAZwBlACAAUwBoAGEAcgBlAHMAIABPAHUAdAAgAFMAdABhAG4AZABpAG4AZwAg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1ACAAIAAgACAAIAAgACAAIAAgACAAIAAgACAAIAAgACAAIAAgAJIhPQBvAHoALgBCAFYAUABTALsDKAAyADAALgAwACwAIAA1AC4AMAAsACAAQQBWAEUAUgBBAEcARQAoACAAMgAuADkALAAgADMALgAxACk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aABvAGwAZABlAHIAcwBFAHEAdQBpAHQAeQApACwAXABuACAAIAAgACAAIAAgACAAIAAgACAAIAAgACAAIAAgACAAIAAgACAAIAAgACAAIAAgACAAIAAgACAASQBTAE8ATQBJAFQAVABFAEQAKAAgAFAAcgBlAGYAZQByAHIAZQBkAFMAdABvAGMAawApACwAXABuACAAIAAgACAAIAAgACAAIAAgACAAIAAgACAAIAAgACAAIAAgACAAIAAgACAAIAAgACAAIAAgACAASQBTAE8ATQBJAFQAVABFAEQAKAAgAEEAdgBlAHIAYQBnAGUAUwBoAGEAcgBlAHMATwB1AHQAcwB0AGEAbgBkAGkAbgBnACkAXABuACAAIAAgACAAIAAgACAAIAAgACAAIAAgACAAIAAgACAAIAAgACAAIAAgACAAIAAgACkALABcAG4AIAAgACAAIAAvAC8AIAAgAFAAcgBvAGMAZQBkAHUAcgBlAFwAbgAgACAAIAAgACAAIAAgACAAUgBlAHMAdQBsAHQALAAgACAAIAAgACAAIAAgACAAIAAoAFMAaABhAHIAZQBoAG8AbABkAGUAcgBzAEUAcQB1AGkAdAB5ACAALQAgAFAAcgBlAGYAZQByAHIAZQBkAFMAdABvAGMAawApAC8AQQB2AGUAcgBhAGcAZQBTAGgAYQByAGUAcwBPAHUAdABzAHQAYQBuAGQAaQBuAGc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EMAQQBQAEUAUgBhAHQAaQBvALsDXABuACAAIAAgACAARABFAFMAQwBSAEkAUABUAEkATwBOADoAKgAvAC8AKgAqAEMAQQBQAEUAIABSAGEAdABpAG8AIABpAHMAIABhACAAdgBhAGwAdQBhAHQAaQBvAG4AIABtAGUAYQBzAHUAcgBlACAAdABoAGEAdAAgAHUAcwBlAHMAIAByAGUAYQBsACAAZQBhAHIAbgBpAG4AZwBzACAAcABlAHIAIABzAGgAYQByAGUAIAAoAEUAUABTACkAIABvAHYAZQByACAAYQAgADEAMAAtAHkAZQBhAHIAIABwAGUAcgBpAG8AZABcAG4AdABvACAAcwBtAG8AbwB0AGgAIABvAHUAdAAgAGYAbAB1AGMAdAB1AGEAdABpAG8AbgBzACAAaQBuACAAYwBvAHIAcABvAHIAYQB0AGUAIABwAHIAbwBmAGkAdABzACAAdABoAGEAdAAgAG8AYwBjAHUAcgAgAG8AdgBlAHIAIABkAGkAZgBmAGUAcgBlAG4AdAAgAHAAZQByAGkAbwBkAHMAIABvAGYAIABhACAAYgB1AHMAaQBuAGUAcwBzAFwAbgBjAHkAYwBsAGUAIAAoAGEAawBhACAAUwBoAGkAbABsAGUAcgAgAFAARQAgAFIAYQB0AGkAbwApACAAKABTAGgAYQByAGUAIABQAHIAaQBjAGUALwBUAGUAbgAgAFkAZQBhAHIAIABBAHYAZQByAGEAZwBlACAARQBhAHIAbgBpAG4AZwBzACAASQBuAGYAbABhAHQAaQBvAG4AIABBAGQAagB1AHMAdABlAGQAKQAgACoALwBcAG4AQwBBAFAARQBSAGEAdABpAG8AuwMgAD0AIABMAEEATQBCAEQAQQAoAFwAbgAvAC8AIAAgAFAAYQByAGEAbQBlAHQAZQByACAARABlAGMAbABhAHIAYQB0AGkAbwBuAHMAXABuACAAIAAgACAAIAAgACAAIABbAFMAaABhAHIAZQBQAHIAaQBjAGUAXQAsACAAIABcAG4AIAAgACAAIAAgACAAIAAgAFsAVABlAG4AWQBlAGEAcgBBAHYAZQByAGEAZwBlAEUAYQByAG4AaQBuAGcAcwBJAG4AZgBsAGEAdABpAG8AbgBBAGQAagB1AHMAdABlAGQAXQAsACAAIAAgACAAXABuAC8ALwAgACAASABlAGwAcABcAG4AIAAgACAAIABMAEUAVAAoAEgAZQBsAHAALAAgACAAIABUAFIASQBNACgAVABFAFgAVABTAFAATABJAFQAKAAgAFwAbgAgACAAIAAgACAAIAAgACAAIAAgACAAIAAgACAAIAAgACAAIAAgACAAIAAgACAAIABcACIARgBVAE4AQwBUAEkATwBOADoAIAAgACAAIAAgACAAkiFDAEEAUABFAFIAYQB0AGkAbwC7AygAIABTAGgAYQByAGUAUAByAGkAYwBlACwAIABUAGUAbgBZAGUAYQByAEEAdgBlAHIAYQBnAGUARQBhAHIAbgBpAG4AZwBzAEkAbgBmAGwAYQB0AGkAbwBuAEEAZABqAHUAcwB0AGUAZAAgACkAtgBcACIAIAAmACAAXABuACAAIAAgACAAIAAgACAAIAAgACAAIAAgACAAIAAgACAAIAAgACAAIAAgACAAIAAgAFwAIgBEAEUAUwBDAFIASQBQAFQASQBPAE4AOgAgACAAIACSIUMAQQBQAEUAIABSAGEAdABpAG8AIABpAHMAIABhACAAdgBhAGwAdQBhAHQAaQBvAG4AIABtAGUAYQBzAHUAcgBlACAAdABoAGEAdAAgAHUAcwBlAHMAIAByAGUAYQBsACAAZQBhAHIAbgBpAG4AZwBzACAAcABlAHIAIABzAGgAYQByAGUAIAAoAEUAUABTACkAIABvAHYAZQByACAAYQAgADEAMAAtAHkAZQBhAHIAIABwAGUAcgBpAG8AZAAgALYAXAAiACAAJgAgAFwAbgAgACAAIAAgACAAIAAgACAAIAAgACAAIAAgACAAIAAgACAAIAAgACAAIAAgACAAIAAgACAAIAAgACAAIAAgACAAIAAgACAAIAAgACAAIAAgAFwAIgCSIXQAbwAgAHMAbQBvAG8AdABoACAAbwB1AHQAIABmAGwAdQBjAHQAdQBhAHQAaQBvAG4AcwAgAGkAbgAgAGMAbwByAHAAbwByAGEAdABlACAAcAByAG8AZgBpAHQAcwAgAHQAaABhAHQAIABvAGMAYwB1AHIAIABvAHYAZQByACAAZABpAGYAZgBlAHIAZQBuAHQAIABwAGUAcgBpAG8AZABzACAAbwBmACAAYQAgAGIAdQBzAGkAbgBlAHMAcwAgALYAXAAiACAAJgAgAFwAbgAgACAAIAAgACAAIAAgACAAIAAgACAAIAAgACAAIAAgACAAIAAgACAAIAAgACAAIAAgACAAIAAgACAAIAAgACAAIAAgACAAIAAgACAAIAAgAFwAIgCSIWMAeQBjAGwAZQAgACgAYQBrAGEAIABTAGgAaQBsAGwAZQByACAAUABFACAAUgBhAHQAaQBvACkAIAAoAFMAaABhAHIAZQAgAFAAcgBpAGMAZQAvAFQAZQBuACAAWQBlAGEAcgAgAEEAdgBlAHIAYQBnAGUAIABFAGEAcgBuAGkAbgBnAHMAIABJAG4AZgBsAGEAdABpAG8AbgAgAEEAZABqAHUAcwB0AGUAZAApALYAXAAiACAAJgAgAFwAbgAgACAAIAAgACAAIAAgACAAIAAgACAAIAAgACAAIAAgACAAIAAgACAAIAAgACAAIABcACIAVwBFAEIAUABBAEcARQA6ACAAIAAgACAAIAAgACAAkiFoAHQAdABwAHMAOgAvAC8AdwB3AHcALgBpAG4AdgBlAHMAdABvAHAAZQBkAGkAYQAuAGMAbwBtAC8AdABlAHIAbQBzAC8AYwAvAGMAYQBwAGUALQByAGEAdABpAG8ALgBhAHMAcAAgALYAXAAiACAAJgBcAG4AIAAgACAAIAAgACAAIAAgACAAIAAgACAAIAAgACAAIAAgACAAIAAgACAAIAAgACAAXAAiAFYARQBSAFMASQBPAE4AOgAgACAAIAAgACAAIAAgAJIhMgAwACAAQQB1AGcAIAAyADAAMgA2ALYAXAAiACAAJgBcAG4AIAAgACAAIAAgACAAIAAgACAAIAAgACAAIAAgACAAIAAgACAAIAAgACAAIAAgACAAXAAiAFAAQQBSAEEATQBFAFQARQBSAFMAOgCSIbYAXAAiACAAJgAgAFwAbgAgACAAIAAgACAAIAAgACAAIAAgACAAIAAgACAAIAAgACAAIAAgACAAIAAgACAAIABcACIAUwBoAGEAcgBlAFAAcgBpAGMAZQAgACAAIAAgACAAkiEoAFIAZQBxAHUAaQByAGUAZAApACAAQwB1AHIAcgBlAG4AdAAgAHMAdABvAGMAawAgAHAAcgBpAGMAZQAgALYAXAAiACAAJgAgAFwAbgAgACAAIAAgACAAIAAgACAAIAAgACAAIAAgACAAIAAgACAAIAAgACAAIAAgACAAIABcACIAVABlAG4AWQBlAGEAcgBBAHYAZQByAGEAZwBlAEUAYQByAG4AaQBuAGcAcwBJAG4AZgBsAGEAdABpAG8AbgBBAGQAagB1AHMAdABlAGQAkiEoAFIAZQBxAHUAaQByAGUAZAApACAAQQB2AGUAcgBhAGcAZQAgAGUAYQByAG4AaQBuAGcAcwAgAHAAZQByACAAcwBoAGEAcgBlACAAZgBvAHIAIAAxADAAIAB5AGUAYQByAHMAIABhAGQAagB1AHMAdABlAGQAIABmAG8AcgAgAGkAbgBmAGwAYQB0AGkAbwBuACA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xADAAIAAgACAAIAAgACAAIAAgACAAIAAgACAAIACSIT0AbwB6AC4AQwBBAFAARQBSAGEAdABpAG8AuwMoACAAMQAwADAALgAwACwAIAAxADAALgAwAC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TAGgAYQByAGUAUAByAGkAYwBlACkALABcAG4AIAAgACAAIAAgACAAIAAgACAAIAAgACAAIAAgACAAIAAgACAAIAAgACAAIAAgACAAIAAgACAAIABJAFMATwBNAEkAVABUAEUARAAoACAAVABlAG4AWQBlAGEAcgBBAHYAZQByAGEAZwBlAEUAYQByAG4AaQBuAGcAcwBJAG4AZgBsAGEAdABpAG8AbgBBAGQAagB1AHMAdABlAGQAKQBcAG4AIAAgACAAIAAgACAAIAAgACAAIAAgACAAIAAgACAAIAAgACAAIAAgACAAIAAgACAAKQAsAFwAbgAgACAAIAAgAC8ALwAgACAAUAByAG8AYwBlAGQAdQByAGUAXABuACAAIAAgACAAIAAgACAAIABSAGUAcwB1AGwAdAAsACAAIAAgACAAIAAgACAAIAAgAFMAaABhAHIAZQBQAHIAaQBjAGUALwBUAGUAbgBZAGUAYQByAEEAdgBlAHIAYQBnAGUARQBhAHIAbgBpAG4AZwBzAEkAbgBmAGwAYQB0AGkAbwBuAEEAZABqAHUAcwB0AGUAZA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QAFIAuwNcAG4AIAAgACAAIABEAEUAUwBDAFIASQBQAFQASQBPAE4AOgAqAC8ALwAqACoARABpAHYAaQBkAGUAbgBkACAAUABhAHkAbwB1AHQAIABSAGEAdABpAG8AIABpAHMAIAB0AGgAZQAgAHAAZQByAGMAZQBuAHQAYQBnAGUAIABvAGYAIABlAGEAcgBuAGkAbgBnAHMAIABwAGEAaQBkACAAdABvACAAcwBoAGEAcgBlAGgAbwBsAGQAZQByAHMAIAB2AGkAYQAgAGQAaQB2AGkAZABlAG4AZABzAFwAbgAgACAAIAAgACgARABpAHYAaQBkAGUAbgBkAHMAUABhAGkAZAAvAE4AZQB0AEkAbgBjAG8AbQBlACkAIAAqAC8AXABuAEQAUABSALsDIAA9ACAATABBAE0AQgBEAEEAKABcAG4ALwAvACAAIABQAGEAcgBhAG0AZQB0AGUAcgAgAEQAZQBjAGwAYQByAGEAdABpAG8AbgBzAFwAbgAgACAAIAAgACAAIAAgACAAWwBEAGkAdgBpAGQAZQBuAGQAcwBQAGEAaQBkAF0ALAAgACAAXABuACAAIAAgACAAIAAgACAAIABbAE4AZQB0AEkAbgBjAG8AbQBlAF0ALAAgACAAIAAgAFwAbgAvAC8AIAAgAEgAZQBsAHAAXABuACAAIAAgACAATABFAFQAKABIAGUAbABwACwAIAAgACAAVABSAEkATQAoAFQARQBYAFQAUwBQAEwASQBUACgAIABcAG4AIAAgACAAIAAgACAAIAAgACAAIAAgACAAIAAgACAAIAAgACAAIAAgACAAIAAgACAAXAAiAEYAVQBOAEMAVABJAE8ATgA6ACAAIAAgACAAIAAgAJIhRABQAFIAuwMoACAARABpAHYAaQBkAGUAbgBkAHMAUABhAGkAZAAsACAATgBlAHQASQBuAGMAbwBtAGUAIAApALYAXAAiACAAJgAgAFwAbgAgACAAIAAgACAAIAAgACAAIAAgACAAIAAgACAAIAAgACAAIAAgACAAIAAgACAAIABcACIARABFAFMAQwBSAEkAUABUAEkATwBOADoAIAAgACAAkiFEAGkAdgBpAGQAZQBuAGQAIABQAGEAeQBvAHUAdAAgAFIAYQB0AGkAbwAgAGkAcwAgAHQAaABlACAAcABlAHIAYwBlAG4AdABhAGcAZQAgAG8AZgAgAGUAYQByAG4AaQBuAGcAcwAgAHAAYQBpAGQAIAB0AG8AIABzAGgAYQByAGUAaABvAGwAZABlAHIAcwAgAHYAaQBhACAAZABpAHYAaQBkAGUAbgBkAHMAtgBcACIAIAAmACAAXABuACAAIAAgACAAIAAgACAAIAAgACAAIAAgACAAIAAgACAAIAAgACAAIAAgACAAIAAgACAAIAAgACAAIAAgACAAIAAgACAAIAAgACAAIAAgAFwAIgCSISgARABpAHYAaQBkAGUAbgBkAHMAUABhAGkAZAAvAE4AZQB0AEkAbgBjAG8AbQBlACkAtgBcACIAIAAmACAAXABuACAAIAAgACAAIAAgACAAIAAgACAAIAAgACAAIAAgACAAIAAgACAAIAAgACAAIAAgAFwAIgBXAEUAQgBQAEEARwBFADoAIAAgACAAIAAgACAAIACSIWgAdAB0AHAAcwA6AC8ALwB3AHcAdwAuAGkAbgB2AGUAcwB0AG8AcABlAGQAaQBhAC4AYwBvAG0ALwB0AGUAcgBtAHMALwBkAC8AZABpAHYAaQBkAGUAbgBkAHAAYQB5AG8AdQB0AHIAYQB0AGkAbw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EAGkAdgBpAGQAZQBuAGQAcwBQAGEAaQBkACAAIACSISgAUgBlAHEAdQBpAHIAZQBkACkAIABEAGkAdgBpAGQAZQBuAGQAcwAgAHAAYQBpAGQAIAC2AFwAIgAgACYAIABcAG4AIAAgACAAIAAgACAAIAAgACAAIAAgACAAIAAgACAAIAAgACAAIAAgACAAIAAgACAAXAAiAE4AZQB0AEkAbgBjAG8AbQBlACAAIAAgACAAIAAgAJIhKABSAGUAcQB1AGkAcgBlAGQAKQAgAE4AZQB0ACAASQBuAGMAbwBtAGU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yADUAJQAgACAAIAAgACAAIAAgACAAIAAgACAAIACSIT0AbwB6AC4ARABQAFIAuwMoACAANQAuADAALAAgADIAMAAuADAAIA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EAGkAdgBpAGQAZQBuAGQAcwBQAGEAaQBkACkALABcAG4AIAAgACAAIAAgACAAIAAgACAAIAAgACAAIAAgACAAIAAgACAAIAAgACAAIAAgACAAIAAgACAAIABJAFMATwBNAEkAVABUAEUARAAoACAATgBlAHQASQBuAGMAbwBtAGUAKQBcAG4AIAAgACAAIAAgACAAIAAgACAAIAAgACAAIAAgACAAIAAgACAAIAAgACAAIAAgACAAKQAsAFwAbgAgACAAIAAgAC8ALwAgACAAUAByAG8AYwBlAGQAdQByAGUAXABuACAAIAAgACAAIAAgACAAIABSAGUAcwB1AGwAdAAsACAAIAAgACAAIAAgACAAIAAgAEQAaQB2AGkAZABlAG4AZABzAFAAYQBpAGQALwBOAGUAdABJAG4AYwBvAG0AZQAsAFwAbgAgACAAIAAgAC8ALwAgACAAUgBlAHQAdQByAG4AIABSAGUAcwB1AGwAdABcAG4AIAAgACAAIAAgACAAIAAgAEMASABPAE8AUwBFACgASABlAGwAcAA/ACAAKwAgADEALAAgAFIAZQBzAHUAbAB0ACwAIABIAGUAbABwACkAIAAgACAAIAAgACAAIAAgAFwAbgAgACAAIAAgACkAXABuACkAOwBcAG4AXABuAFwAbgAgAFwAbgAvACoAIAAgAEYAVQBOAEMAVABJAE8ATgAgAE4AQQBNAEUAOgAgACAARABpAHYAaQBkAGUAbgBkAFkAaQBlAGwAZABSAGEAdABpAG8AuwNcAG4AIAAgACAAIABEAEUAUwBDAFIASQBQAFQASQBPAE4AOgAqAC8ALwAqACoARABpAHYAaQBkAGUAbgBkACAAeQBpAGUAbABkACAAcgBhAHQAaQBvACAAcwBoAG8AdwBzACAAaABvAHcAIABtAHUAYwBoACAAYQAgAGMAbwBtAHAAYQBuAHkAIABwAGEAeQBzACAAbwB1AHQAIABpAG4AIABkAGkAdgBpAGQAZQBuAGQAcwAgAFwAbgBlAGEAYwBoACAAeQBlAGEAcgAgAHIAZQBsAGEAdABpAHYAZQAgAHQAbwAgAGkAdABzACAAcwB0AG8AYwBrACAAcAByAGkAYwBlACAAKABBAG4AbgB1AGEAbAAgAEQAaQB2AGkAZABlAG4AZABzACAAUABlACAAcgBTAGgAYQByAGUALwBTAGgAYQByAGUAIABQAHIAaQBjAGUAKQAgACoALwBcAG4ARABpAHYAaQBkAGUAbgBkAFkAaQBlAGwAZABSAGEAdABpAG8AuwMgAD0AIABMAEEATQBCAEQAQQAoAFwAbgAvAC8AIAAgAFAAYQByAGEAbQBlAHQAZQByACAARABlAGMAbABhAHIAYQB0AGkAbwBuAHMAXABuACAAIAAgACAAIAAgACAAIABbAEEAbgBuAHUAYQBsAEQAaQB2AGkAZABlAG4AZABzAFAAZQByAFMAaABhAHIAZQBdACwAIAAgAFwAbgAgACAAIAAgACAAIAAgACAAWwBTAGgAYQByAGUAUAByAGkAYwBlAF0ALAAgACAAIAAgAFwAbgAvAC8AIAAgAEgAZQBsAHAAXABuACAAIAAgACAATABFAFQAKABIAGUAbABwACwAIAAgACAAVABSAEkATQAoAFQARQBYAFQAUwBQAEwASQBUACgAIABcAG4AIAAgACAAIAAgACAAIAAgACAAIAAgACAAIAAgACAAIAAgACAAIAAgACAAIAAgACAAXAAiAEYAVQBOAEMAVABJAE8ATgA6ACAAIAAgACAAIAAgAJIhRABpAHYAaQBkAGUAbgBkAFkAaQBlAGwAZABSAGEAdABpAG8AuwMoACAAQQBuAG4AdQBhAGwARABpAHYAaQBkAGUAbgBkAHMAUABlAHIAUwBoAGEAcgBlACwAIABTAGgAYQByAGUAUAByAGkAYwBlACkAtgBcACIAIAAmACAAXABuACAAIAAgACAAIAAgACAAIAAgACAAIAAgACAAIAAgACAAIAAgACAAIAAgACAAIAAgAFwAIgBEAEUAUwBDAFIASQBQAFQASQBPAE4AOgAgACAAIACSIUQAaQB2AGkAZABlAG4AZAAgAHkAaQBlAGwAZAAgAHIAYQB0AGkAbwAgAHMAaABvAHcAcwAgAGgAbwB3ACAAbQB1AGMAaAAgAGEAIABjAG8AbQBwAGEAbgB5ACAAcABhAHkAcwAgAG8AdQB0ACAAaQBuACAAZABpAHYAaQBkAGUAbgBkAHMAIAC2AFwAIgAgACYAIABcAG4AIAAgACAAIAAgACAAIAAgACAAIAAgACAAIAAgACAAIAAgACAAIAAgACAAIAAgACAAIAAgACAAIAAgACAAIAAgACAAIAAgACAAIAAgACAAXAAiAJIhZQBhAGMAaAAgAHkAZQBhAHIAIAByAGUAbABhAHQAaQB2AGUAIAB0AG8AIABpAHQAcwAgAHMAdABvAGMAawAgAHAAcgBpAGMAZQAgACgAQQBuAG4AdQBhAGwAIABEAGkAdgBpAGQAZQBuAGQAcwAgAFAAZQAgAHIAUwBoAGEAcgBlAC8AUwBoAGEAcgBlACAAUAByAGkAYwBlACkAtgBcACIAIAAmACAAXABuACAAIAAgACAAIAAgACAAIAAgACAAIAAgACAAIAAgACAAIAAgACAAIAAgACAAIAAgAFwAIgBXAEUAQgBQAEEARwBFADoAIAAgACAAIAAgACAAIACSIWgAdAB0AHAAcwA6AC8ALwB3AHcAdwAuAGkAbgB2AGUAcwB0AG8AcABlAGQAaQBhAC4AYwBvAG0ALwB0AGUAcgBtAHMALwBkAC8AZABpAHYAaQBkAGUAbgBkAHkAaQBlAGwAZAAuAGEAcwBwACAAtgBcACIAIAAmAFwAbgAgACAAIAAgACAAIAAgACAAIAAgACAAIAAgACAAIAAgACAAIAAgACAAIAAgACAAIABcACIAVgBFAFIAUwBJAE8ATgA6ACAAIAAgACAAIAAgACAAkiEyADAAIABBAHUAZwAgADIAMAAyADYAtgBcACIAIAAmAFwAbgAgACAAIAAgACAAIAAgACAAIAAgACAAIAAgACAAIAAgACAAIAAgACAAIAAgACAAIABcACIAUABBAFIAQQBNAEUAVABFAFIAUwA6AJIhtgBcACIAIAAmACAAXABuACAAIAAgACAAIAAgACAAIAAgACAAIAAgACAAIAAgACAAIAAgACAAIAAgACAAIAAgAFwAIgBBAG4AbgB1AGEAbABEAGkAdgBpAGQAZQBuAGQAcwBQAGUAcgBTAGgAYQByAGUAkiEoAFIAZQBxAHUAaQByAGUAZAApACAAQQBuAG4AdQBhAGwAIABEAGkAdgBpAGQAZQBuAGQAcwAgAFAAZQByACAAUwBoAGEAcgBlACAAtgBcACIAIAAmACAAXABuACAAIAAgACAAIAAgACAAIAAgACAAIAAgACAAIAAgACAAIAAgACAAIAAgACAAIAAgAFwAIgBTAGgAYQByAGUAUAByAGkAYwBlACAAIAAgACAAIACSISgAUgBlAHEAdQBpAHIAZQBkACkAIABNAGEAcgBrAGUAdAAgAHYAYQBsAHUAZQAgAHAAZQByACAAcwBoAGEAcgBlACAAtgBcACIAIAAmACAAXABu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FwAIgAyAC4ANgA2ADYANwAlACAAIAAgACAAIAAgACAAIACSIT0AbwB6AC4ARABpAHYAaQBkAGUAbgBkAFkAaQBlAGwAZABSAGEAdABpAG8AuwMoACAAMQAuADIALAAgADQANQ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EAbgBuAHUAYQBsAEQAaQB2AGkAZABlAG4AZABzAFAAZQByAFMAaABhAHIAZQApACwAXABuACAAIAAgACAAIAAgACAAIAAgACAAIAAgACAAIAAgACAAIAAgACAAIAAgACAAIAAgACAAIAAgACAASQBTAE8ATQBJAFQAVABFAEQAKAAgAFMAaABhAHIAZQBQAHIAaQBjAGUAKQBcAG4AIAAgACAAIAAgACAAIAAgACAAIAAgACAAIAAgACAAIAAgACAAIAAgACAAIAAgACAAKQAsAFwAbgAgACAAIAAgAC8ALwAgACAAUAByAG8AYwBlAGQAdQByAGUAXABuACAAIAAgACAAIAAgACAAIABSAGUAcwB1AGwAdAAsACAAIAAgACAAIAAgACAAIAAgAEEAbgBuAHUAYQBsAEQAaQB2AGkAZABlAG4AZABzAFAAZQByAFMAaABhAHIAZQAvAFMAaABhAHIAZQBQAHIAaQBjAGUALABcAG4AIAAgACAAIAAvAC8AIAAgAFIAZQB0AHUAcgBuACAAUgBlAHMAdQBsAHQAXABuACAAIAAgACAAIAAgACAAIABDAEgATwBPAFMARQAoAEgAZQBsAHAAPwAgACsAIAAxACwAIABSAGUAcwB1AGwAdAAsACAASABlAGwAcAApACAAIAAgACAAIAAgACAAIABcAG4AIAAgACAAIAApAFwAbgApADsAXABuAFwAbgBcAG4AXABuAC8AKgAgACAARgBVAE4AQwBUAEkATwBOACAATgBBAE0ARQA6ACAAIABFAFAAUwC7A1wAbgAgACAAIAAgAEQARQBTAEMAUgBJAFAAVABJAE8ATgA6ACoALwAvACoAKgBFAGEAcgBuAGkAbgBnAHMAIABwAGUAcgAgAHMAaABhAHIAZQAgAG0AZQBhAHMAdQByAGUAcwAgAHAAcgBvAGYAaQB0AGEAYgBpAGwAaQB0AHkAIABpAG4AZABpAGMAYQB0AGkAbgBnACAAaABvAHcAIABtAHUAYwBoACAAcAByAG8AZgBpAHQAIABlAGEAYwBoACAAXABuAG8AdQB0AHMAdABhAG4AZABpAG4AZwAgAHMAaABhAHIAZQAgAG8AZgAgAGMAbwBtAG0AbwBuACAAcwB0AG8AYwBrACAAaABhAHMAIABlAGEAcgBuAGUAZAAgAFwAbgAgACAAIAAgACgATgBlAHQAIABJAG4AYwBvAG0AZQAgAC0AIABQAHIAZQBmAGUAcgByAGUAZAAgAEQAaQB2AGkAZABlAG4AZABzACkALwBFAG4AZAAgAE8AZgAgAFAAZQByAGkAbwBkACAAQwBvAG0AbQBvAG4AIABTAGgAYQByAGUAcwAgAE8AdQB0AHMAdABhAG4AZABpAG4AZwApACAAKgAvAFwAbgBFAFAAUwC7AyAAPQAgAEwAQQBNAEIARABBACgAXABuAC8ALwAgACAAUABhAHIAYQBtAGUAdABlAHIAIABEAGUAYwBsAGEAcgBhAHQAaQBvAG4AcwBcAG4AIAAgACAAIAAgACAAIAAgAFsATgBlAHQASQBuAGMAbwBtAGUAXQAsACAAIABcAG4AIAAgACAAIAAgACAAIAAgAFsAUAByAGUAZgBlAHIAcgBlAGQARABpAHYAaQBkAGUAbgBkAHMAXQAsACAAIAAgACAAXABuACAAIAAgACAAIAAgACAAIABbAEUAbgBkAE8AZgBQAGUAcgBpAG8AZABDAG8AbQBtAG8AbgBTAGgAYQByAGUAcwBPAHUAdABzAHQAYQBuAGQAaQBuAGcAXQAsACAAIAAgACAAXABuAC8ALwAgACAASABlAGwAcABcAG4AIAAgACAAIABMAEUAVAAoAEgAZQBsAHAALAAgACAAIABUAFIASQBNACgAVABFAFgAVABTAFAATABJAFQAKAAgAFwAbgAgACAAIAAgACAAIAAgACAAIAAgACAAIAAgACAAIAAgACAAIAAgACAAIAAgACAAIABcACIARgBVAE4AQwBUAEkATwBOADoAIAAgACAAIAAgACAAIAAgACAAIACSIUUAUABTALsDKAAgAE4AZQB0AEkAbgBjAG8AbQBlACwAIABQAHIAZQBmAGUAcgByAGUAZABEAGkAdgBpAGQAZQBuAGQAcwAsACAARQBuAGQATwBmAFAAZQByAGkAbwBkAEMAbwBtAG0AbwBuAFMAaABhAHIAZQBzAE8AdQB0AHMAdABhAG4AZABpAG4AZwApALYAXAAiACAAJgAgAFwAbgAgACAAIAAgACAAIAAgACAAIAAgACAAIAAgACAAIAAgACAAIAAgACAAIAAgACAAIABcACIARABFAFMAQwBSAEkAUABUAEkATwBOADoAIAAgACAAIAAgACAAIACSIUUAYQByAG4AaQBuAGcAcwAgAHAAZQByACAAcwBoAGEAcgBlACAAbQBlAGEAcwB1AHIAZQBzACAAcAByAG8AZgBpAHQAYQBiAGkAbABpAHQAeQAgAGkAbgBkAGkAYwBhAHQAaQBuAGcAIABoAG8AdwAgAG0AdQBjAGgAIABwAHIAbwBmAGkAdAAgAGUAYQBjAGgAIAC2AFwAIgAgACYAIABcAG4AIAAgACAAIAAgACAAIAAgACAAIAAgACAAIAAgACAAIAAgACAAIAAgACAAIAAgACAAIAAgACAAIAAgACAAIAAgACAAIAAgACAAIAAgACAAIAAgACAAIABcACIAkiFvAHUAdABzAHQAYQBuAGQAaQBuAGcAIABzAGgAYQByAGUAIABvAGYAIABjAG8AbQBtAG8AbgAgAHMAdABvAGMAawAgAGgAYQBzACAAZQBhAHIAbgBlAGQAIAC2AFwAIgAgACYAIABcAG4AIAAgACAAIAAgACAAIAAgACAAIAAgACAAIAAgACAAIAAgACAAIAAgACAAIAAgACAAIAAgACAAIAAgACAAIAAgACAAIAAgACAAIAAgACAAIAAgACAAIABcACIAkiEoAE4AZQB0ACAASQBuAGMAbwBtAGUAIAAtACAAUAByAGUAZgBlAHIAcgBlAGQAIABEAGkAdgBpAGQAZQBuAGQAcwApAC8ARQBuAGQAIABPAGYAIABQAGUAcgBpAG8AZAAgAEMAbwBtAG0AbwBuACAAUwBoAGEAcgBlAHMAIABPAHUAdABzAHQAYQBuAGQAaQBuAGcAKQC2AFwAIgAgACYAIABcAG4AIAAgACAAIAAgACAAIAAgACAAIAAgACAAIAAgACAAIAAgACAAIAAgACAAIAAgACAAXAAiAFcARQBCAFAAQQBHAEUAOgAgACAAIAAgACAAIAAgACAAIAAgACAAkiFoAHQAdABwAHMAOgAvAC8AdwB3AHcALgBpAG4AdgBlAHMAdABvAHAAZQBkAGkAYQAuAGMAbwBtAC8AdABlAHIAbQBzAC8AZQAvAGUAcABzAC4AYQBzAHAAIAC2AFwAIgAgACYAXABuACAAIAAgACAAIAAgACAAIAAgACAAIAAgACAAIAAgACAAIAAgACAAIAAgACAAIAAgAFwAIgBWAEUAUgBTAEkATwBOADoAIAAgACAAIAAgACAAIAAgACAAIAAgAJIhMgAwACAAQQB1AGcAIAAyADAAMgA2ALYAXAAiACAAJgBcAG4AIAAgACAAIAAgACAAIAAgACAAIAAgACAAIAAgACAAIAAgACAAIAAgACAAIAAgACAAXAAiAFAAQQBSAEEATQBFAFQARQBSAFMAOgCSIbYAXAAiACAAJgAgAFwAbgAgACAAIAAgACAAIAAgACAAIAAgACAAIAAgACAAIAAgACAAIAAgACAAIAAgACAAIABcACIATgBlAHQASQBuAGMAbwBtAGUAIAAgACAAIAAgACAAIAAgACAAIACSISgAUgBlAHEAdQBpAHIAZQBkACkAIABOAGUAdAAgAEkAbgBjAG8AbQBlACAAtgBcACIAIAAmACAAXABuACAAIAAgACAAIAAgACAAIAAgACAAIAAgACAAIAAgACAAIAAgACAAIAAgACAAIAAgAFwAIgBQAHIAZQBmAGUAcgByAGUAZABEAGkAdgBpAGQAZQBuAGQAcwAgAJIhKABSAGUAcQB1AGkAcgBlAGQAKQAgAEQAaQB2AGkAZABlAG4AZABzACAAcABhAGkAZAAgAG8AbgAgAHAAcgBlAGYAZQByAGUAZAAgAHMAdABvAGMAawC2AFwAIgAgACYAIABcAG4AIAAgACAAIAAgACAAIAAgACAAIAAgACAAIAAgACAAIAAgACAAIAAgACAAIAAgACAAXAAiAEUAbgBkAE8AZgBQAGUAcgBpAG8AZABDAG8AbQBtAG8AbgBTAGgAYQByAGUAcwBPAHUAdABzAHQAYQBuAGQAaQBuAGcAkiEoAFIAZQBxAHUAaQByAGUAZAApACAAVwBlAGkAZwBoAHQAZQBkAC0AYQB2AGUAcgBhAGcAZQAgAG8AcgBkAGkAbgBhAHIAeQAgAHMAaABhAHIAZQBzACAAZgBvAHIAIABiAGEAcwBpAGMAIABFAFAAUwC2AFwAIgAgACYAIABcAG4AIAAgACAAIAAgACAAIAAgACAAIAAgACAAIAAgACAAIAAgACAAIAAgACAAIAAgACAAIAAgACAAIAAgACAAIAAgACAAIAAgACAAIAAgACAAIAAgACAAIABcACIAkiFVAHMAZQAgAGMAbABvAHMAaQBuAGcAIABzAGgAYQByAGUAcwAgAG8AbgBsAHkAIAB3AGgAZQBuACAAdABoAGUAeQAgAGUAcQB1AGEAbAAgAHQAaABhAHQAIAB3AGUAaQBnAGgAdABlAGQAIABhAHYAZQByAGEAZwBlALYAXAAiACAAJgAgAFwAbgAgACAAIAAgACAAIAAgACAAIAAgACAAIAAgACAAIAAgACAAIAAgACAAIAAgACAAIABcACIARQBYAEEATQBQAEwARQBTADoAIAAgACAAIAAgACAAIAAgACAAIACSIUYAbwByAG0AdQBsAGEAIAAoAG8AegAgAGkAcwAgAGEAcwBzAHUAbQBlAGQAIAB0AG8AIABiAGUAIAB0AGgAZQAgAG0AbwBkAHUAbABlACcAcwAgAG4AYQBtAGUAKQC2AFwAIgAgACYAXABuACAAIAAgACAAIAAgACAAIAAgACAAIAAgACAAIAAgACAAIAAgACAAIAAgACAAIAAgAFwAIgAxAC4AOQAwADkANQA0ADgAIAAgACAAIAAgACAAIAAgACAAIAAgAJIhPQBvAHoALgBFAFAAUwC7AygAIAA3AC4ANgAsACAAMAAsACAAMwAuADkAOAAgACkAXAAiACwAIABcAG4AIAAgACAAIAAgACAAIAAgACAAIAAgACAAIAAgACAAIAAgACAAIAAgAFwAIgCSIVwAIgAsACAAXAAiALYAXAAiACAAKQBcAG4AIAAgACAAIAAgACAAIAAgACAAIAAgACAAIAAgACAAIAApACwAXABuACAAIAAgACAALwAvACAAIABDAGgAZQBjAGsAIABpAG4AcAB1AHQAcwAgAC0AIABPAG0AaQB0AHQAZQBkACAAcgBlAHEAdQBpAHIAZQBkACAAYQByAGcAdQBtAGUAbgB0AHMAIAAoAGQAbwAgAG4AbwB0ACAAaQBuAGMAbAB1AGQAZQAgAG8AcAB0AGkAbwBuAGEAbAAgAGEAcgBnAHUAbQBlAG4AdABzACkAXABuACAAIAAgACAAIAAgACAAIABIAGUAbABwAD8ALAAgACAAIAAgACAAIAAgACAAIAAgAE8AUgAoACAASQBTAE8ATQBJAFQAVABFAEQAKAAgAE4AZQB0AEkAbgBjAG8AbQBlACkALABcAG4AIAAgACAAIAAgACAAIAAgACAAIAAgACAAIAAgACAAIAAgACAAIAAgACAAIAAgACAAIAAgACAAIABJAFMATwBNAEkAVABUAEUARAAoACAAUAByAGUAZgBlAHIAcgBlAGQARABpAHYAaQBkAGUAbgBkAHMAKQAsAFwAbgAgACAAIAAgACAAIAAgACAAIAAgACAAIAAgACAAIAAgACAAIAAgACAAIAAgACAAIAAgACAAIAAgAEkAUwBPAE0ASQBUAFQARQBEACgAIABFAG4AZABPAGYAUABlAHIAaQBvAGQAQwBvAG0AbQBvAG4AUwBoAGEAcgBlAHMATwB1AHQAcwB0AGEAbgBkAGkAbgBnACkAXABuACAAIAAgACAAIAAgACAAIAAgACAAIAAgACAAIAAgACAAIAAgACAAIAAgACAAIAAgACkALABcAG4AIAAgACAAIAAvAC8AIAAgAFAAcgBvAGMAZQBkAHUAcgBlAFwAbgAgACAAIAAgACAAIAAgACAAUgBlAHMAdQBsAHQALAAgACAAIAAgACAAIAAgACAAIAAoAE4AZQB0AEkAbgBjAG8AbQBlAC0AUAByAGUAZgBlAHIAcgBlAGQARABpAHYAaQBkAGUAbgBkAHMAKQAvAEUAbgBkAE8AZgBQAGUAcgBpAG8AZABDAG8AbQBtAG8AbgBTAGgAYQByAGUAcwBPAHUAdABzAHQAYQBuAGQAaQBuAGcALABcAG4AIAAgACAAIAAvAC8AIAAgAFIAZQB0AHUAcgBuACAAUgBlAHMAdQBsAHQAXABuACAAIAAgACAAIAAgACAAIABDAEgATwBPAFMARQAoAEgAZQBsAHAAPwAgACsAIAAxACwAIABSAGUAcwB1AGwAdAAsACAASABlAGwAcAApACAAIAAgACAAIAAgACAAIABcAG4AIAAgACAAIAApAFwAbgApADsAXABuAFwAbgBcAG4AIABcAG4ALwAqACAAIABGAFUATgBDAFQASQBPAE4AIABOAEEATQBFADoAIAAgAFIAZQB0AGUAbgB0AGkAbwBuAFIAYQB0AGkAbwC7A1wAbgAgACAAIAAgAEQARQBTAEMAUgBJAFAAVABJAE8ATgA6ACoALwAvACoAKgBSAGUAdABlAG4AdABpAG8AbgAgAFIAYQB0AGkAbwAgAGkAcwAgAHQAaABlACAAcAByAG8AcABvAHIAdABpAG8AbgAgAG8AZgAgAGUAYQByAG4AaQBuAGcAcwAgAGsAZQBwAHQAIABiAGEAYwBrACAAaQBuACAAdABoAGUAIABcAG4AYgB1AHMAaQBuAGUAcwBzACAAYQBzACAAcgBlAHQAYQBpAG4AZQBkACAAZQBhAHIAbgBpAG4AZwBzACAAKABSAGUAdABhAGkAbgBlAGQAIABFAGEAcgBuAGkAbgBnAHMALwBOAGUAdAAgAEkAbgBjAG8AbQBlACkALgAgACoALwBcAG4AUgBlAHQAZQBuAHQAaQBvAG4AUgBhAHQAaQBvALsDIAA9ACAATABBAE0AQgBEAEEAKABcAG4ALwAvACAAIABQAGEAcgBhAG0AZQB0AGUAcgAgAEQAZQBjAGwAYQByAGEAdABpAG8AbgBzAFwAbgAgACAAIAAgACAAIAAgACAAWwBSAGUAdABhAGkAbgBlAGQARQBhAHIAbgBpAG4AZwBzAF0ALAAgACAAXABuACAAIAAgACAAIAAgACAAIABbAE4AZQB0AEkAbgBjAG8AbQBlAF0ALAAgACAAIAAgAFwAbgAvAC8AIAAgAEgAZQBsAHAAXABuACAAIAAgACAATABFAFQAKABIAGUAbABwACwAIAAgACAAVABSAEkATQAoAFQARQBYAFQAUwBQAEwASQBUACgAIABcAG4AIAAgACAAIAAgACAAIAAgACAAIAAgACAAIAAgACAAIAAgACAAIAAgACAAIAAgACAAXAAiAEYAVQBOAEMAVABJAE8ATgA6ACAAIAAgACAAIAAgACAAIAAgACAAkiFSAGUAdABlAG4AdABpAG8AbgBSAGEAdABpAG8AuwMoACAAUgBlAHQAYQBpAG4AZQBkAEUAYQByAG4AaQBuAGcAcwAsACAATgBlAHQASQBuAGMAbwBtAGUAIAApALYAXAAiACAAJgAgAFwAbgAgACAAIAAgACAAIAAgACAAIAAgACAAIAAgACAAIAAgACAAIAAgACAAIAAgACAAIABcACIARABFAFMAQwBSAEkAUABUAEkATwBOADoAIAAgACAAIAAgACAAIACSIVIAZQB0AGUAbgB0AGkAbwBuACAAUgBhAHQAaQBvACAAaQBzACAAdABoAGUAIABwAHIAbwBwAG8AcgB0AGkAbwBuACAAbwBmACAAZQBhAHIAbgBpAG4AZwBzACAAawBlAHAAdAAgAGIAYQBjAGsAIABpAG4AIAB0AGgAZQAgALYAXAAiACAAJgAgAFwAbgAgACAAIAAgACAAIAAgACAAIAAgACAAIAAgACAAIAAgACAAIAAgACAAIAAgACAAIAAgACAAIAAgACAAIAAgACAAIAAgACAAIAAgACAAIAAgACAAIAAgAFwAIgCSIWIAdQBzAGkAbgBlAHMAcwAgAGEAcwAgAHIAZQB0AGEAaQBuAGUAZAAgAGUAYQByAG4AaQBuAGcAcwAgACgAUgBlAHQAYQBpAG4AZQBkACAARQBhAHIAbgBpAG4AZwBzAC8ATgBlAHQAIABJAG4AYwBvAG0AZQApAC4AtgBcACIAIAAmACAAXABuACAAIAAgACAAIAAgACAAIAAgACAAIAAgACAAIAAgACAAIAAgACAAIAAgACAAIAAgAFwAIgBXAEUAQgBQAEEARwBFADoAIAAgACAAIAAgACAAIAAgACAAIAAgAJIhaAB0AHQAcABzADoALwAvAHcAdwB3AC4AaQBuAHYAZQBzAHQAbwBwAGUAZABpAGEALgBjAG8AbQAvAHQAZQByAG0AcwAvAHIALwByAGUAdABlAG4AdABpAG8AbgByAGEAdABpAG8ALgBhAHMAcAAgALYAXAAiACAAJgBcAG4AIAAgACAAIAAgACAAIAAgACAAIAAgACAAIAAgACAAIAAgACAAIAAgACAAIAAgACAAXAAiAFYARQBSAFMASQBPAE4AOgAgACAAIAAgACAAIAAgACAAIAAgACAAkiEyADAAIABBAHUAZwAgADIAMAAyADYAtgBcACIAIAAmAFwAbgAgACAAIAAgACAAIAAgACAAIAAgACAAIAAgACAAIAAgACAAIAAgACAAIAAgACAAIABcACIAUABBAFIAQQBNAEUAVABFAFIAUwA6AJIhtgBcACIAIAAmACAAXABuACAAIAAgACAAIAAgACAAIAAgACAAIAAgACAAIAAgACAAIAAgACAAIAAgACAAIAAgAFwAIgBSAGUAdABhAGkAbgBlAGQARQBhAHIAbgBpAG4AZwBzACAAIAAgAJIhKABSAGUAcQB1AGkAcgBlAGQAKQAgAFIAZQB0AGEAaQBuAGUAZAAgAEUAYQByAG4AaQBuAGcAcwAgACgATgBlAHQAIABJAG4AYwBvAG0AZQAgAC0AIABwAGEAaQBkACAAZABpAHYAaQBkAGUAbgBkAHMAKQC2AFwAIgAgACYAIABcAG4AIAAgACAAIAAgACAAIAAgACAAIAAgACAAIAAgACAAIAAgACAAIAAgACAAIAAgACAAXAAiAE4AZQB0AEkAbgBjAG8AbQBlACAAIAAgACAAIAAgACAAIAAgACAAkiEoAFIAZQBxAHUAaQByAGUAZAApACAATgBlAHQAIABJAG4AYwBvAG0AZQC2AFwAIgAgACYAIABcAG4AIAAgACAAIAAgACAAIAAgACAAIAAgACAAIAAgACAAIAAgACAAIAAgACAAIAAgACAAXAAiAEUAWABBAE0AUABMAEUAUwA6ACAAIAAgACAAIAAgACAAIAAgACAAkiFGAG8AcgBtAHUAbABhACAAKABvAHoAIABpAHMAIABhAHMAcwB1AG0AZQBkACAAdABvACAAYgBlACAAdABoAGUAIABtAG8AZAB1AGwAZQAnAHMAIABuAGEAbQBlACkAtgBcACIAIAAmAFwAbgAgACAAIAAgACAAIAAgACAAIAAgACAAIAAgACAAIAAgACAAIAAgACAAIAAgACAAIABcACIANAA3AC4AMwAlACAAIAAgACAAIAAgACAAIAAgACAAIAAgACAAIACSIT0AbwB6AC4AUgBlAHQAZQBuAHQAaQBvAG4AUgBhAHQAaQBvALsDKAAgADEAOQAuADgANgA5ACwAIAA0ADEALgA5ADgAMQApAFwAIgAsACAAXABuACAAIAAgACAAIAAgACAAIAAgACAAIAAgACAAIAAgACAAIAAgACAAIABcACIAkiFcACIALAAgAFwAIgC2AFwAIgAgACkAXABuACAAIAAgACAAIAAgACAAIAAgACAAIAAgACAAIAAgACAAKQAsAFwAbgAgACAAIAAgAC8ALwAgACAAQwBoAGUAYwBrACAAaQBuAHAAdQB0AHMAIAAtACAATwBtAGkAdAB0AGUAZAAgAHIAZQBxAHUAaQByAGUAZAAgAGEAcgBnAHUAbQBlAG4AdABzACAAKABkAG8AIABuAG8AdAAgAGkAbgBjAGwAdQBkAGUAIABvAHAAdABpAG8AbgBhAGwAIABhAHIAZwB1AG0AZQBuAHQAcwApAFwAbgAgACAAIAAgACAAIAAgACAASABlAGwAcAA/ACwAIAAgACAAIAAgACAAIAAgACAAIABPAFIAKAAgAEkAUwBPAE0ASQBUAFQARQBEACgAIABSAGUAdABhAGkAbgBlAGQARQBhAHIAbgBpAG4AZwBzACkALABcAG4AIAAgACAAIAAgACAAIAAgACAAIAAgACAAIAAgACAAIAAgACAAIAAgACAAIAAgACAAIAAgACAAIABJAFMATwBNAEkAVABUAEUARAAoACAATgBlAHQASQBuAGMAbwBtAGUAKQBcAG4AIAAgACAAIAAgACAAIAAgACAAIAAgACAAIAAgACAAIAAgACAAIAAgACAAIAAgACAAKQAsAFwAbgAgACAAIAAgAC8ALwAgACAAUAByAG8AYwBlAGQAdQByAGUAXABuACAAIAAgACAAIAAgACAAIABSAGUAcwB1AGwAdAAsACAAIAAgACAAIAAgACAAIAAgAFIAZQB0AGEAaQBuAGUAZABFAGEAcgBuAGkAbgBnAHMALwBOAGUAdABJAG4AYwBvAG0AZQAsAFwAbgAgACAAIAAgAC8ALwAgACAAUgBlAHQAdQByAG4AIABSAGUAcwB1AGwAdABcAG4AIAAgACAAIAAgACAAIAAgAEMASABPAE8AUwBFACgASABlAGwAcAA/ACAAKwAgADEALAAgAFIAZQBzAHUAbAB0ACwAIABIAGUAbABwACkAIAAgACAAIAAgACAAIAAgAFwAbgAgACAAIAAgACkAXABuACkAOwBcAG4AXABuAFwAbgAvACoAIAAgAEYAVQBOAEMAVABJAE8ATgAgAE4AQQBNAEUAOgAgACAAQQBUAE8AVAB1AHIAbgBvAHYAZQByALsDXABuACAAIAAgACAARABFAFMAQwBSAEkAUABUAEkATwBOADoAKgAvAC8AKgAqAFQAdQByAG4AbwB2AGUAcgAgAGEAcwAgAHQAaABlACAAQQBUAE8AIABzAG0AYQBsAGwAIABiAHUAcwBpAG4AZQBzAHMAIABiAGUAbgBjAGgAbQBhAHIAawBzACAAbQBlAGEAcwB1AHIAZQAgAGkAdAA6ACAAbwB0AGgAZQByACAAcwBhAGwAZQBzACAAdQBuAGwAZQBzAHMAIAB1AG4AZABlAHIAIABoAGEAbABmACAAbwBmACAAdABvAHQAYQBsACAAYgB1AHMAaQBuAGUAcwBzACAAaQBuAGMAbwBtAGUAKgAvAFwAbgBcAG4AQQBUAE8AVAB1AHIAbgBvAHYAZQByALsDIAA9ACAATABBAE0AQgBEAEEAKABcAG4ALwAvACAAIABQAGEAcgBhAG0AZQB0AGUAcgAgAEQAZQBjAGwAYQByAGEAdABpAG8AbgBcAG4AIAAgACAAIABbAE8AdABoAGUAcgBTAGEAbABlAHMAXQAsAFwAbgAgACAAIAAgAFsAVABvAHQAYQBsAEIAdQBzAGkAbgBlAHMAcwBJAG4AYwBvAG0AZQ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EAVABPAFQAdQByAG4AbwB2AGUAcgC7AygATwB0AGgAZQByAFMAYQBsAGUAcwAsACAAVABvAHQAYQBsAEIAdQBzAGkAbgBlAHMAcwBJAG4AYwBvAG0AZQApALYAXAAiACAAJgBcAG4AIAAgACAAIAAgACAAIAAgACAAIAAgACAAIAAgACAAIAAgACAAIAAgACAAIAAgACAAIAAgACAAIABcACIARABFAFMAQwBSAEkAUABUAEkATwBOADoAIAAgACAAkiFUAHUAcgBuAG8AdgBlAHIAIABlAHgAYwBsAHUAZABpAG4AZwAgAEcAUwBUACwAIAB0AGgAZQAgAGQAZQBuAG8AbQBpAG4AYQB0AG8AcgAgAG8AZgAgAGUAdgBlAHIAeQAgAEEAVABPACAAdABhAHgAIAByAGUAdAB1AHIAbgAgAGIAZQBuAGMAaABtAGEAcgBrACAAcgBhAHQAaQBvAC4AtgBOAE8AVABFAFMAIQAgACAAIAAgACAAIAAgACAAIACSIVIAZQB0AHUAcgBuAHMAIABPAHQAaABlAHIAUwBhAGwAZQBzACwAIAB1AG4AbABlAHMAcwAgAGkAdAAgAGkAcwAgAHoAZQByAG8ALAAgAGIAbABhAG4AawAgAG8AcgAgAGwAZQBzAHMAIAB0AGgAYQBuACAAaABhAGwAZgAgAG8AZgC2ACAAIAAgACAAIAAgACAAIAAgACAAIAAgACAAIAAgAJIhVABvAHQAYQBsAEIAdQBzAGkAbgBlAHMAcwBJAG4AYwBvAG0AZQAsACAAdwBoAGUAbgAgAGkAdAAgAHIAZQB0AHUAcgBuAHMAIABUAG8AdABhAGwAQgB1AHMAaQBuAGUAcwBzAEkAbgBjAG8AbQBlACAAaQBuAHMAdABlAGEAZAAuACAAVABoAGEAdAAgAGkAcwC2ACAAIAAgACAAIAAgACAAIAAgACAAIAAgACAAIAAgAJIhdABoAGUAIABBAFQATwAnAHMAIAByAHUAbABlAC4AIABPAHQAaABlAHIAUwBhAGwAZQBzACAAaQBzACAAdABoAGUAIABvAHQAaABlAHIAIABzAGEAbABlAHMAIABvAGYAIABnAG8AbwBkAHMAIABhAG4AZAAgAHMAZQByAHYAaQBjAGUAcwC2ACAAIAAgACAAIAAgACAAIAAgACAAIAAgACAAIAAgAJIhYQBtAG8AdQBuAHQAIABvAG4AIAB0AGgAZQAgAHIAZQB0AHUAcgBuAC4AIABXAGgAZQByAGUAIAB0AG8AdABhAGwAIABiAHUAcwBpAG4AZQBzAHMAIABpAG4AYwBvAG0AZQAgAGkAcwAgAGIAbABhAG4AawAgAG8AcgC2ACAAIAAgACAAIAAgACAAIAAgACAAIAAgACAAIAAgAJIhaQBuAGMAbwBtAHAAbABlAHQAZQAsACAAdABoAGUAIABBAFQATwAgAGEAZABkAHMAIAB1AHAAIAB0AGgAZQAgAGIAdQBzAGkAbgBlAHMAcwAgAGkAbgBjAG8AbQBlACAAaQB0AGUAbQBzACAAaQB0ACAAbABpAHMAdABzACAAZgBvAHIAIAB0AGgAZQC2ACAAIAAgACAAIAAgACAAIAAgACAAIAAgACAAIAAgAJIhcgBlAHQAdQByAG4AIAB0AHkAcABlADoAIABwAGEAcwBzACAAdABoAGEAdAAgAHQAbwB0AGEAbAAgAGEAcwAgAFQAbwB0AGEAbABCAHUAcwBpAG4AZQBzAHMASQBuAGMAbwBtAGUALgAgAFAAYQBzAHMAIABiAG8AdABoACAAYQBtAG8AdQBuAHQAcwC2ACAAIAAgACAAIAAgACAAIAAgACAAIAAgACAAIAAgAJIhZQB4AGMAbAB1AGQAaQBuAGcAIABHAFMAVAAuACAAVABlAHgAdAAgAGkAbgAgAGUAaQB0AGgAZQByACAAYQByAGcAdQBtAGUAbgB0ACAAcgBlAHQAdQByAG4AcwAgACMAVgBBAEwAVQBFACEALgAgAEEAcgBpAHQAaABtAGUAdABpAGMAIABvAG4AbAB5ADoAtgAgACAAIAAgACAAIAAgACAAIAAgACAAIAAgACAAIACSIXQAaABlACAAcgBlAHYAaQBlAHcAZQByACAAZABlAGMAaQBkAGUAcwAgAHcAaABhAHQAIABiAGUAbABvAG4AZwBzACAAaQBuACAAZQBhAGMAaAAgAGEAbQBvAHUAbgB0AC4AIABBAFQATwAgAGIAZQBuAGMAaABtAGEAcgBrACAAcgBhAHQAaQBvALYAIAAgACAAIAAgACAAIAAgACAAIAAgACAAIAAgACAAkiFjAGEAbABjAHUAbABhAHQAaQBvAG4AcwAgAGMAaABlAGMAawBlAGQAIAAxADkAIABPAGMAdABvAGIAZQByACAAMgAwADIANgAuALYAXAAiACAAJgBcAG4AIAAgACAAIAAgACAAIAAgACAAIAAgACAAIAAgACAAIAAgACAAIAAgACAAIAAgACAAIAAgACAAIABcACIAVwBFAEIAUABBAEcARQA6ACAAIAAgACAAIAAgACAAkiFoAHQAdABwAHMAOgAvAC8AdwB3AHcALgBhAHQAbwAuAGcAbwB2AC4AYQB1AC8AYgB1AHMAaQBuAGUAcwBzAGUAcwAtAGEAbgBkAC0AbwByAGcAYQBuAGkAcwBhAHQAaQBvAG4AcwAvAGkAbgBjAG8AbQBlAC0AZABlAGQAdQBjAHQAaQBvAG4AcwAtAGEAbgBkAC0AYwBvAG4AYwBlAHMAcwBpAG8AbgBzAC8AcwBtAGEAbABsAC0AYgB1AHMAaQBuAGUAcwBzAC0AYgBlAG4AYwBoAG0AYQByAGsAcwAvAHMAbQBhAGwAbAAtAGIAdQBzAGkAbgBlAHMAcwAtAGIAZQBuAGMAaABtAGEAcgBrAHMALQBtAGUAdABoAG8AZABvAGwAbwBnAHkALQBhAG4AZAAtAHIAYQB0AGkAbwAtAGMAYQBsAGMAdQBsAGEAdABpAG8AbgBzAC8AaABvAHcALQB3AGUALQBjAGEAbABjAHUAbABhAHQAZQAtAGIAZQBuAGMAaABtAGEAcgBrAC0AcgBhAHQAaQBvAHMAtgBcACIAIAAmAFwAbgAgACAAIAAgACAAIAAgACAAIAAgACAAIAAgACAAIAAgACAAIAAgACAAIAAgACAAIAAgACAAIAAgAFwAIgBWAEUAUgBTAEkATwBOADoAIAAgACAAIAAgACAAIACSITEAOQAgAE8AYwB0ACAAMgAwADIANgC2AFwAIgAgACYAXABuACAAIAAgACAAIAAgACAAIAAgACAAIAAgACAAIAAgACAAIAAgACAAIAAgACAAIAAgACAAIAAgACAAXAAiAFAAQQBSAEEATQBFAFQARQBSAFMAOgAgACAAIAAgAJIhtgBcACIAIAAmAFwAbgAgACAAIAAgACAAIAAgACAAIAAgACAAIAAgACAAIAAgACAAIAAgACAAIAAgACAAIAAgACAAIAAgAFwAIgBPAHQAaABlAHIAUwBhAGwAZQBzACAAIAAgACAAIACSISgAUgBlAHEAdQBpAHIAZQBkACkAIABPAHQAaABlAHIAIABzAGEAbABlAHMAIABvAGYAIABnAG8AbwBkAHMAIABhAG4AZAAgAHMAZQByAHYAaQBjAGUAcwAsACAAZQB4AGMAbAB1AGQAaQBuAGcAIABHAFMAVAAuALYAXAAiACAAJgBcAG4AIAAgACAAIAAgACAAIAAgACAAIAAgACAAIAAgACAAIAAgACAAIAAgACAAIAAgACAAIAAgACAAIABcACIAVABvAHQAYQBsAEIAdQBzAGkAbgBlAHMAcwBJAG4AYwBvAG0AZQCSISgAUgBlAHEAdQBpAHIAZQBkACkAIABUAG8AdABhAGwAIABiAHUAcwBpAG4AZQBzAHMAIABpAG4AYwBvAG0AZQAsACAAZQB4AGMAbAB1AGQAaQBuAGcAIABHAFMAVA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EAVABPAFQAdQByAG4AbwB2AGUAcgC7AygANAA4ADAAMAAwADAALAAgADUAMAAwADAAMAAwACkAtgBcACIAIAAmAFwAbgAgACAAIAAgACAAIAAgACAAIAAgACAAIAAgACAAIAAgACAAIAAgACAAIAAgACAAIAAgACAAIAAgAFwAIgCSIVIAZQBzAHUAbAB0ALYAXAAiACAAJgBcAG4AIAAgACAAIAAgACAAIAAgACAAIAAgACAAIAAgACAAIAAgACAAIAAgACAAIAAgACAAIAAgACAAIABcACIAkiE0ADgAMAAwADAAMAC2AFwAIgAgACYAXABuACAAIAAgACAAIAAgACAAIAAgACAAIAAgACAAIAAgACAAIAAgACAAIAAgACAAIAAgACAAIAAgACAAXAAiAJIhPQBvAHoALgBBAFQATwBUAHUAcgBuAG8AdgBlAHIAuwMoADIAMAAwADAAMAAwACwAIAA1ADAAMAAwADAAMAApALYAXAAiACAAJgBcAG4AIAAgACAAIAAgACAAIAAgACAAIAAgACAAIAAgACAAIAAgACAAIAAgACAAIAAgACAAIAAgACAAIABcACIAkiFSAGUAcwB1AGwAdAC2AFwAIgAgACYAXABuACAAIAAgACAAIAAgACAAIAAgACAAIAAgACAAIAAgACAAIAAgACAAIAAgACAAIAAgACAAIAAgACAAXAAiAJIhNQAwADAAMAAwADA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E8AdABoAGUAcgBTAGEAbABlAHMAKQAsACAASQBTAE8ATQBJAFQAVABFAEQAKABUAG8AdABhAGwAQgB1AHMAaQBuAGUAcwBzAEkAbgBjAG8AbQBlACkAKQAsAFwAbgAgACAAIAAgAC8ALwAgACAAUAByAG8AYwBlAGQAdQByAGUAXABuACAAIAAgACAALwAvACAAIABBACAAYgBsAGEAbgBrACAATwB0AGgAZQByAFMAYQBsAGUAcwAgAGMAZQBsAGwAIABvAHIAIABhAG4AIABlAG0AcAB0AHkAIABzAHQAcgBpAG4AZwAgAGkAcwAgAG4AaQBsACwAIAByAG8AdwAgAGIAeQAgAHIAbwB3ACwAIAB3AGgAaQBjAGgAIAB0AGgAZQAgAHIAdQBsAGUAXABuACAAIAAgACAALwAvACAAIAByAGUAcABsAGEAYwBlAHMAIAB3AGkAdABoACAAdABvAHQAYQBsACAAYgB1AHMAaQBuAGUAcwBzACAAaQBuAGMAbwBtAGUAOwAgAGEAbgB5ACAAbwB0AGgAZQByACAAdABlAHgAdAAgAGkAcwAgACMAVgBBAEwAVQBFACEAXABuACAAIAAgACAAIAAgACAAIABTAGEAbABlAHMALAAgACAAIAAgACAAIAAgACAAIAAgAEkARgAoAE8AdABoAGUAcgBTAGEAbABlAHMAIAA9ACAAXAAiAFwAIgAsACAAMAAsACAASQBGACgASQBTAE4AVQBNAEIARQBSACgATwB0AGgAZQByAFMAYQBsAGUAcwApACwAIABPAHQAaABlAHIAUwBhAGwAZQBzACwAIAAjAFYAQQBMAFUARQAhACkAKQAsAFwAbgAgACAAIAAgACAAIAAgACAASQBuAGMAbwBtAGUALAAgACAAIAAgACAAIAAgACAAIABJAEYAKABJAFMATgBVAE0AQgBFAFIAKABUAG8AdABhAGwAQgB1AHMAaQBuAGUAcwBzAEkAbgBjAG8AbQBlACkALAAgAFQAbwB0AGEAbABCAHUAcwBpAG4AZQBzAHMASQBuAGMAbwBtAGUALAAgACMAVgBBAEwAVQBFACEAKQAsAFwAbgAgACAAIAAgACAAIAAgACAAUgBlAHMAdQBsAHQALAAgACAAIAAgACAAIAAgACAAIABJAEYAKAAoAFMAYQBsAGUAcwAgAD0AIAAwACkAIAArACAAKABTAGEAbABlAHMAIAA8ACAASQBuAGMAbwBtAGUAIAAvACAAMgApACwAIABJAG4AYwBvAG0AZQAsACAAUwBhAGwAZQBzACk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QQBUAE8AQgBlAG4AYwBoAG0AYQByAGsAUgBhAHQAaQBvALsDXABuACAAIAAgACAARABFAFMAQwBSAEkAUABUAEkATwBOADoAKgAvAC8AKgAqAEEAVABPACAAdABhAHgAIAByAGUAdAB1AHIAbgAgAGIAZQBuAGMAaABtAGEAcgBrACAAcgBhAHQAaQBvADoAIABhAG4AIABhAG0AbwB1AG4AdAAgAGQAaQB2AGkAZABlAGQAIABiAHkAIAB0AHUAcgBuAG8AdgBlAHIALAAgAGEAcwAgAGYAbwByACAAcgBlAG4AdAAgAG8AcgAgAG0AbwB0AG8AcgAgAHYAZQBoAGkAYwBsAGUAIABlAHgAcABlAG4AcwBlAHMAIAB0AG8AIAB0AHUAcgBuAG8AdgBlAHIAKgAvAFwAbgBcAG4AQQBUAE8AQgBlAG4AYwBoAG0AYQByAGsAUgBhAHQAaQBvALsDIAA9ACAATABBAE0AQgBEAEEAKABcAG4ALwAvACAAIABQAGEAcgBhAG0AZQB0AGUAcgAgAEQAZQBjAGwAYQByAGEAdABpAG8AbgBcAG4AIAAgACAAIABbAEEAbQBvAHUAbgB0AF0ALABcAG4AIAAgACAAIABbAFQAdQByAG4AbwB2AGUAcg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EAVABPAEIAZQBuAGMAaABtAGEAcgBrAFIAYQB0AGkAbwC7AygAQQBtAG8AdQBuAHQALAAgAFQAdQByAG4AbwB2AGUAcgApALYAXAAiACAAJgBcAG4AIAAgACAAIAAgACAAIAAgACAAIAAgACAAIAAgACAAIAAgACAAIAAgACAAIAAgACAAIAAgACAAIABcACIARABFAFMAQwBSAEkAUABUAEkATwBOADoAIAAgACAAkiFBAFQATwAgAHQAYQB4ACAAcgBlAHQAdQByAG4AIABiAGUAbgBjAGgAbQBhAHIAawAgAHIAYQB0AGkAbwA6ACAAQQBtAG8AdQBuAHQAIAAvACAAVAB1AHIAbgBvAHYAZQByAC4AtgBOAE8AVABFAFMAIQAgACAAIAAgACAAIAAgACAAIACSIVQAaABlACAAQQBUAE8AJwBzACAAYgBhAHMAaQBjACAAZgBvAHIAbQB1AGwAYQAgAGYAbwByACAAYQAgAHQAYQB4ACAAcgBlAHQAdQByAG4AIABiAGUAbgBjAGgAbQBhAHIAawAgAHIAYQB0AGkAbwAsACAAYQBuAGQAIAB0AGgAZQAgAHcAaABvAGwAZQC2ACAAIAAgACAAIAAgACAAIAAgACAAIAAgACAAIAAgAJIhbwBmACAAaQB0AHMAIAByAGUAbgB0ACAAZQB4AHAAZQBuAHMAZQBzACAAdABvACAAdAB1AHIAbgBvAHYAZQByACAAYQBuAGQAIABtAG8AdABvAHIAIAB2AGUAaABpAGMAbABlACAAZQB4AHAAZQBuAHMAZQBzACAAdABvACAAdAB1AHIAbgBvAHYAZQByALYAIAAgACAAIAAgACAAIAAgACAAIAAgACAAIAAgACAAkiFyAGEAdABpAG8AcwA6ACAAcABhAHMAcwAgAHQAaABlACAAcgBlAG4AdAAgAG8AcgAgAG0AbwB0AG8AcgAgAHYAZQBoAGkAYwBsAGUAIABlAHgAcABlAG4AcwBlAHMAIABhAG0AbwB1AG4AdAAgAGYAcgBvAG0AIAB0AGgAZQAgAHIAZQB0AHUAcgBuAC4AtgAgACAAIAAgACAAIAAgACAAIAAgACAAIAAgACAAIACSIVIAZQB0AHUAcgBuAHMAIABhACAAZgByAGEAYwB0AGkAbwBuADsAIABmAG8AcgBtAGEAdAAgAGkAdAAgAGEAcwAgAGEAIABwAGUAcgBjAGUAbgB0AGEAZwBlACwAIABhAHMAIAB0AGgAZQAgAEEAVABPACcAcwAgAGYAaQBnAHUAcgBlACAAaQBzACAAdABoAGUAtgAgACAAIAAgACAAIAAgACAAIAAgACAAIAAgACAAIACSIXMAYQBtAGUAIABxAHUAbwB0AGkAZQBuAHQAIABtAHUAbAB0AGkAcABsAGkAZQBkACAAYgB5ACAAMQAwADAALgAgAFQAYQBrAGUAIABUAHUAcgBuAG8AdgBlAHIAIABmAHIAbwBtACAAQQBUAE8AVAB1AHIAbgBvAHYAZQByALsDKAApAC4AIABVAHMAZQC2ACAAIAAgACAAIAAgACAAIAAgACAAIAAgACAAIAAgAJIhQQBUAE8AVABvAHQAYQBsAEUAeABwAGUAbgBzAGUAcwBSAGEAdABpAG8AuwMoACkALAAgAEEAVABPAEMAbwBzAHQATwBmAFMAYQBsAGUAcwBSAGEAdABpAG8AuwMoACkAIABhAG4AZAAgAEEAVABPAEwAYQBiAG8AdQByAFIAYQB0AGkAbwC7AygAKQC2ACAAIAAgACAAIAAgACAAIAAgACAAIAAgACAAIAAgAJIhZgBvAHIAIAB0AGgAZQAgADMAIAByAGEAdABpAG8AcwAgAHcAaABvAHMAZQAgAGEAbQBvAHUAbgB0AHMAIAB0AGgAZQAgAEEAVABPACAAYQBkAGoAdQBzAHQAcwAuACAAVAB1AHIAbgBvAHYAZQByACAAbwBmACAAMAAgAHIAZQB0AHUAcgBuAHMAtgAgACAAIAAgACAAIAAgACAAIAAgACAAIAAgACAAIACSISMARABJAFYALwAwACEALgAgAEEAcgBpAHQAaABtAGUAdABpAGMAIABvAG4AbAB5AC4AIABBAFQATwAgAGIAZQBuAGMAaABtAGEAcgBrACAAcgBhAHQAaQBvACAAYwBhAGwAYwB1AGwAYQB0AGkAbwBuAHMAIABjAGgAZQBjAGsAZQBkALYAIAAgACAAIAAgACAAIAAgACAAIAAgACAAIAAgACAAkiExADkAIABPAGMAdABvAGIAZQByACAAMgAwADIANgAuALYAXAAiACAAJgBcAG4AIAAgACAAIAAgACAAIAAgACAAIAAgACAAIAAgACAAIAAgACAAIAAgACAAIAAgACAAIAAgACAAIABcACIAVwBFAEIAUABBAEcARQA6ACAAIAAgACAAIAAgACAAkiFoAHQAdABwAHMAOgAvAC8AdwB3AHcALgBhAHQAbwAuAGcAbwB2AC4AYQB1AC8AYgB1AHMAaQBuAGUAcwBzAGUAcwAtAGEAbgBkAC0AbwByAGcAYQBuAGkAcwBhAHQAaQBvAG4AcwAvAGkAbgBjAG8AbQBlAC0AZABlAGQAdQBjAHQAaQBvAG4AcwAtAGEAbgBkAC0AYwBvAG4AYwBlAHMAcwBpAG8AbgBzAC8AcwBtAGEAbABsAC0AYgB1AHMAaQBuAGUAcwBzAC0AYgBlAG4AYwBoAG0AYQByAGsAcwAvAHMAbQBhAGwAbAAtAGIAdQBzAGkAbgBlAHMAcwAtAGIAZQBuAGMAaABtAGEAcgBrAHMALQBtAGUAdABoAG8AZABvAGwAbwBnAHkALQBhAG4AZAAtAHIAYQB0AGkAbwAtAGMAYQBsAGMAdQBsAGEAdABpAG8AbgBzAC8AaABvAHcALQB3AGUALQBjAGEAbABjAHUAbABhAHQAZQAtAGIAZQBuAGMAaABtAGEAcgBrAC0AcgBhAHQAaQBvAHMAtgBcACIAIAAmAFwAbgAgACAAIAAgACAAIAAgACAAIAAgACAAIAAgACAAIAAgACAAIAAgACAAIAAgACAAIAAgACAAIAAgAFwAIgBWAEUAUgBTAEkATwBOADoAIAAgACAAIAAgACAAIACSITEAOQAgAE8AYwB0ACAAMgAwADIANgC2AFwAIgAgACYAXABuACAAIAAgACAAIAAgACAAIAAgACAAIAAgACAAIAAgACAAIAAgACAAIAAgACAAIAAgACAAIAAgACAAXAAiAFAAQQBSAEEATQBFAFQARQBSAFMAOgAgACAAIAAgAJIhtgBcACIAIAAmAFwAbgAgACAAIAAgACAAIAAgACAAIAAgACAAIAAgACAAIAAgACAAIAAgACAAIAAgACAAIAAgACAAIAAgAFwAIgBBAG0AbwB1AG4AdAAgACAAIAAgACAAIAAgACAAIACSISgAUgBlAHEAdQBpAHIAZQBkACkAIABUAGgAZQAgAGUAeABwAGUAbgBzAGUAIABhAG0AbwB1AG4AdAAsACAAZQB4AGMAbAB1AGQAaQBuAGcAIABHAFMAVAAuALYAXAAiACAAJgBcAG4AIAAgACAAIAAgACAAIAAgACAAIAAgACAAIAAgACAAIAAgACAAIAAgACAAIAAgACAAIAAgACAAIABcACIAVAB1AHIAbgBvAHYAZQByACAAIAAgACAAIAAgACAAkiEoAFIAZQBxAHUAaQByAGUAZAApACAAVAB1AHIAbgBvAHYAZQByACAAZQB4AGMAbAB1AGQAaQBuAGcAIABHAFMAVAAsACAAZgBvAHIAIABlAHgAYQBtAHAAbABlACAAZgByAG8AbQAgAEEAVABPAFQAdQByAG4AbwB2AGUAcgC7AygAKQ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EAVABPAEIAZQBuAGMAaABtAGEAcgBrAFIAYQB0AGkAbwC7AygAMgA0ADAAMAAwACwAIAA0ADgAMAAwADAAMAApALYAXAAiACAAJgBcAG4AIAAgACAAIAAgACAAIAAgACAAIAAgACAAIAAgACAAIAAgACAAIAAgACAAIAAgACAAIAAgACAAIABcACIAkiFSAGUAcwB1AGwAdAC2AFwAIgAgACYAXABuACAAIAAgACAAIAAgACAAIAAgACAAIAAgACAAIAAgACAAIAAgACAAIAAgACAAIAAgACAAIAAgACAAXAAiAJIhNQAl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BAG0AbwB1AG4AdAApACwAIABJAFMATwBNAEkAVABUAEUARAAoAFQAdQByAG4AbwB2AGUAcgApACkALABcAG4AIAAgACAAIAAvAC8AIAAgAFAAcgBvAGMAZQBkAHUAcgBlAFwAbgAgACAAIAAgACAAIAAgACAAUgBlAHMAdQBsAHQALAAgACAAIAAgACAAIAAgACAAIABBAG0AbwB1AG4AdAAgAC8AIABUAHUAcgBuAG8AdgBlAHI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QQBUAE8AVABvAHQAYQBsAEUAeABwAGUAbgBzAGUAcwBSAGEAdABpAG8AuwNcAG4AIAAgACAAIABEAEUAUwBDAFIASQBQAFQASQBPAE4AOgAqAC8ALwAqACoAQQBUAE8AIAB0AG8AdABhAGwAIABlAHgAcABlAG4AcwBlAHMAIAB0AG8AIAB0AHUAcgBuAG8AdgBlAHIAOgAgAHQAbwB0AGEAbAAgAGUAeABwAGUAbgBzAGUAcwAgAGwAZQBzAHMAIABwAGEAeQBtAGUAbgB0AHMAIAB0AG8AIABhAHMAcwBvAGMAaQBhAHQAZQBkACAAcABlAHIAcwBvAG4AcwAsACAAbwB2AGUAcgAgAHQAdQByAG4AbwB2AGUAcgAqAC8AXABuAFwAbgBBAFQATwBUAG8AdABhAGwARQB4AHAAZQBuAHMAZQBzAFIAYQB0AGkAbwC7AyAAPQAgAEwAQQBNAEIARABBACgAXABuAC8ALwAgACAAUABhAHIAYQBtAGUAdABlAHIAIABEAGUAYwBsAGEAcgBhAHQAaQBvAG4AXABuACAAIAAgACAAWwBUAG8AdABhAGwARQB4AHAAZQBuAHMAZQBzAF0ALABcAG4AIAAgACAAIABbAFQAdQByAG4AbwB2AGUAcgBdACwAXABuACAAIAAgACAAWwBBAHMAcwBvAGMAaQBhAHQAZQBQAGEAeQBtAGUAbgB0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BAFQATwBUAG8AdABhAGwARQB4AHAAZQBuAHMAZQBzAFIAYQB0AGkAbwC7AygAVABvAHQAYQBsAEUAeABwAGUAbgBzAGUAcwAsACAAVAB1AHIAbgBvAHYAZQByACwAIABbAEEAcwBzAG8AYwBpAGEAdABlAFAAYQB5AG0AZQBuAHQAcwBdACkAtgBcACIAIAAmAFwAbgAgACAAIAAgACAAIAAgACAAIAAgACAAIAAgACAAIAAgACAAIAAgACAAIAAgACAAIAAgACAAIAAgAFwAIgBEAEUAUwBDAFIASQBQAFQASQBPAE4AOgAgACAAIACSIUEAVABPACAAdABvAHQAYQBsACAAZQB4AHAAZQBuAHMAZQBzACAAdABvACAAdAB1AHIAbgBvAHYAZQByACAAYgBlAG4AYwBoAG0AYQByAGsAIAByAGEAdABpAG8ALgC2AE4ATwBUAEUAUwAhACAAIAAgACAAIAAgACAAIAAgAJIhKABUAG8AdABhAGwARQB4AHAAZQBuAHMAZQBzACAALQAgAEEAcwBzAG8AYwBpAGEAdABlAFAAYQB5AG0AZQBuAHQAcwApACAALwAgAFQAdQByAG4AbwB2AGUAcgAuACAAVABoAGUAIABBAFQATwAgAGQAZQBkAHUAYwB0AHMAIABwAGEAeQBtAGUAbgB0AHMAtgAgACAAIAAgACAAIAAgACAAIAAgACAAIAAgACAAIACSIXQAbwAgAGEAcwBzAG8AYwBpAGEAdABlAGQAIABwAGUAcgBzAG8AbgBzACAAZgByAG8AbQAgAHQAbwB0AGEAbAAgAGUAeABwAGUAbgBzAGUAcwAgAGIAZQBmAG8AcgBlACAAZABpAHYAaQBkAGkAbgBnAC4AIABXAGgAZQByAGUAIAB0AG8AdABhAGwAtgAgACAAIAAgACAAIAAgACAAIAAgACAAIAAgACAAIACSIWUAeABwAGUAbgBzAGUAcwAgAGkAcwAgAGIAbABhAG4AawAgAG8AcgAgAGkAbgBjAG8AbQBwAGwAZQB0AGUALAAgAGkAdAAgAGEAZABkAHMAIAB1AHAAIAB0AGgAZQAgAGUAeABwAGUAbgBzAGUAIABpAHQAZQBtAHMAIABpAHQAIABsAGkAcwB0AHMAtgAgACAAIAAgACAAIAAgACAAIAAgACAAIAAgACAAIACSIWYAbwByACAAdABoAGUAIAByAGUAdAB1AHIAbgAgAHQAeQBwAGUAOgAgAHAAYQBzAHMAIAB0AGgAYQB0ACAAdABvAHQAYQBsACAAYQBzACAAVABvAHQAYQBsAEUAeABwAGUAbgBzAGUAcwAuACAATwBwAGUAcgBhAHQAaQBuAGcAUgBhAHQAaQBvALsDKAApALYAIAAgACAAIAAgACAAIAAgACAAIAAgACAAIAAgACAAkiFnAGkAdgBlAHMAIAB0AGgAZQAgAHMAYQBtAGUAIABxAHUAbwB0AGkAZQBuAHQAIABvAG4AbAB5ACAAdwBoAGUAbgAgAGkAdABzACAAZQB4AHAAZQBuAHMAZQBzACAAYQBsAHIAZQBhAGQAeQAgAGUAeABjAGwAdQBkAGUAIAB0AGgAbwBzAGUAtgAgACAAIAAgACAAIAAgACAAIAAgACAAIAAgACAAIACSIXAAYQB5AG0AZQBuAHQAcwAgAGEAbgBkACAAaQB0AHMAIABuAGUAdAAgAHMAYQBsAGUAcwAgAGUAcQB1AGEAbAAgAHQAaABpAHMAIABUAHUAcgBuAG8AdgBlAHIALgAgAFIAZQB0AHUAcgBuAHMAIABhACAAZgByAGEAYwB0AGkAbwBuACwAIABhAHMAtgAgACAAIAAgACAAIAAgACAAIAAgACAAIAAgACAAIACSIUEAVABPAEIAZQBuAGMAaABtAGEAcgBrAFIAYQB0AGkAbwC7AygAKQAgAGQAbwBlAHMALgAgAEEAbgAgAG8AbQBpAHQAdABlAGQAIABvAHIAIABiAGwAYQBuAGsAIABBAHMAcwBvAGMAaQBhAHQAZQBQAGEAeQBtAGUAbgB0AHMAIABjAG8AdQBuAHQAcwC2ACAAIAAgACAAIAAgACAAIAAgACAAIAAgACAAIAAgAJIhYQBzACAAMAAuACAAVAB1AHIAbgBvAHYAZQByACAAbwBmACAAMAAgAHIAZQB0AHUAcgBuAHMAIAAjAEQASQBWAC8AMAAhAC4AIABBAHIAaQB0AGgAbQBlAHQAaQBjACAAbwBuAGwAeQAuACAAQQBUAE8AIABiAGUAbgBjAGgAbQBhAHIAawAgAHIAYQB0AGkAbwC2ACAAIAAgACAAIAAgACAAIAAgACAAIAAgACAAIAAgAJIhYwBhAGwAYwB1AGwAYQB0AGkAbwBuAHMAIABjAGgAZQBjAGsAZQBkACAAMQA5ACAATwBjAHQAbwBiAGUAcgAgADIAMAAyADYALgC2AFwAIgAgACYAXABuACAAIAAgACAAIAAgACAAIAAgACAAIAAgACAAIAAgACAAIAAgACAAIAAgACAAIAAgACAAIAAgACAAXAAiAFcARQBCAFAAQQBHAEUAOgAgACAAIAAgACAAIAAgAJIhaAB0AHQAcABzADoALwAvAHcAdwB3AC4AYQB0AG8ALgBnAG8AdgAuAGEAdQAvAGIAdQBzAGkAbgBlAHMAcwBlAHMALQBhAG4AZAAtAG8AcgBnAGEAbgBpAHMAYQB0AGkAbwBuAHMALwBpAG4AYwBvAG0AZQAtAGQAZQBkAHUAYwB0AGkAbwBuAHMALQBhAG4AZAAtAGMAbwBuAGMAZQBzAHMAaQBvAG4AcwAvAHMAbQBhAGwAbAAtAGIAdQBzAGkAbgBlAHMAcwAtAGIAZQBuAGMAaABtAGEAcgBrAHMALwBzAG0AYQBsAGwALQBiAHUAcwBpAG4AZQBzAHMALQBiAGUAbgBjAGgAbQBhAHIAawBzAC0AbQBlAHQAaABvAGQAbwBsAG8AZwB5AC0AYQBuAGQALQByAGEAdABpAG8ALQBjAGEAbABjAHUAbABhAHQAaQBvAG4AcwAvAGgAbwB3AC0AdwBlAC0AYwBhAGwAYwB1AGwAYQB0AGUALQBiAGUAbgBjAGgAbQBhAHIAawAtAHIAYQB0AGkAbwBzALYAXAAiACAAJgBcAG4AIAAgACAAIAAgACAAIAAgACAAIAAgACAAIAAgACAAIAAgACAAIAAgACAAIAAgACAAIAAgACAAIABcACIAVgBFAFIAUwBJAE8ATgA6ACAAIAAgACAAIAAgACAAkiExADkAIABPAGMAdAAgADIAMAAyADYAtgBcACIAIAAmAFwAbgAgACAAIAAgACAAIAAgACAAIAAgACAAIAAgACAAIAAgACAAIAAgACAAIAAgACAAIAAgACAAIAAgAFwAIgBQAEEAUgBBAE0ARQBUAEUAUgBTADoAIAAgACAAIACSIbYAXAAiACAAJgBcAG4AIAAgACAAIAAgACAAIAAgACAAIAAgACAAIAAgACAAIAAgACAAIAAgACAAIAAgACAAIAAgACAAIABcACIAVABvAHQAYQBsAEUAeABwAGUAbgBzAGUAcwAgACAAkiEoAFIAZQBxAHUAaQByAGUAZAApACAAVABvAHQAYQBsACAAZQB4AHAAZQBuAHMAZQBzACAAZgByAG8AbQAgAHQAaABlACAAcgBlAHQAdQByAG4ALAAgAGUAeABjAGwAdQBkAGkAbgBnACAARwBTAFQALgC2AFwAIgAgACYAXABuACAAIAAgACAAIAAgACAAIAAgACAAIAAgACAAIAAgACAAIAAgACAAIAAgACAAIAAgACAAIAAgACAAXAAiAFQAdQByAG4AbwB2AGUAcgAgACAAIAAgACAAIAAgAJIhKABSAGUAcQB1AGkAcgBlAGQAKQAgAFQAdQByAG4AbwB2AGUAcgAgAGUAeABjAGwAdQBkAGkAbgBnACAARwBTAFQALAAgAGYAbwByACAAZQB4AGEAbQBwAGwAZQAgAGYAcgBvAG0AIABBAFQATwBUAHUAcgBuAG8AdgBlAHIAuwMoACkALgC2AFwAIgAgACYAXABuACAAIAAgACAAIAAgACAAIAAgACAAIAAgACAAIAAgACAAIAAgACAAIAAgACAAIAAgACAAIAAgACAAXAAiAEEAcwBzAG8AYwBpAGEAdABlAFAAYQB5AG0AZQBuAHQAcwCSISgATwBwAHQAaQBvAG4AYQBsADoAIABEAGUAZgBhAHUAbAB0ACAAPQAgADAAKQAgAFAAYQB5AG0AZQBuAHQAcwAgAHQAbwAgAGEAcwBzAG8AYwBpAGEAdABlAGQAIABwAGUAcgBzAG8AbgBz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QQBUAE8AVABvAHQAYQBsAEUAeABwAGUAbgBzAGUAcwBSAGEAdABpAG8AuwMoADQAMQAwADAAMAAwACwAIAA0ADgAMAAwADAAMAAsACAAMwAwADAAMAAwACkAtgBcACIAIAAmAFwAbgAgACAAIAAgACAAIAAgACAAIAAgACAAIAAgACAAIAAgACAAIAAgACAAIAAgACAAIAAgACAAIAAgAFwAIgCSIVIAZQBzAHUAbAB0ALYAXAAiACAAJgBcAG4AIAAgACAAIAAgACAAIAAgACAAIAAgACAAIAAgACAAIAAgACAAIAAgACAAIAAgACAAIAAgACAAIABcACIAkiEwAC4ANwA5ADEANw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VABvAHQAYQBsAEUAeABwAGUAbgBzAGUAcwApACwAIABJAFMATwBNAEkAVABUAEUARAAoAFQAdQByAG4AbwB2AGUAcgApACkALABcAG4AIAAgACAAIAAvAC8AIAAgAFAAcgBvAGMAZQBkAHUAcgBlAFwAbgAgACAAIAAgAC8ALwAgACAAQQBuACAAbwBtAGkAdAB0AGUAZAAgAEEAcwBzAG8AYwBpAGEAdABlAFAAYQB5AG0AZQBuAHQAcwAsACAAYQAgAGIAbABhAG4AawAgAGMAZQBsAGwAIABvAHIAIABhAG4AIABlAG0AcAB0AHkAIABzAHQAcgBpAG4AZwAgAGkAcwAgADAALAAgAHIAbwB3ACAAYgB5ACAAcgBvAHcAOwBcAG4AIAAgACAAIAAvAC8AIAAgAGEAbgB5ACAAbwB0AGgAZQByACAAdABlAHgAdAAgAGkAcwAgACMAVgBBAEwAVQBFACEAXABuACAAIAAgACAAIAAgACAAIABBAHMAcwBvAGMAaQBhAHQAZQBzACwAIAAgACAAIAAgAEkARgAoAEkAUwBPAE0ASQBUAFQARQBEACgAQQBzAHMAbwBjAGkAYQB0AGUAUABhAHkAbQBlAG4AdABzACkALAAgADAALABcAG4AIAAgACAAIAAgACAAIAAgACAAIAAgACAAIAAgACAAIAAgACAAIAAgACAAIAAgACAAIAAgACAAIABJAEYAKABBAHMAcwBvAGMAaQBhAHQAZQBQAGEAeQBtAGUAbgB0AHMAIAA9ACAAXAAiAFwAIgAsACAAMAAsAFwAbgAgACAAIAAgACAAIAAgACAAIAAgACAAIAAgACAAIAAgACAAIAAgACAAIAAgACAAIAAgACAAIAAgACAAIAAgACAASQBGACgASQBTAE4AVQBNAEIARQBSACgAQQBzAHMAbwBjAGkAYQB0AGUAUABhAHkAbQBlAG4AdABzACkALAAgAEEAcwBzAG8AYwBpAGEAdABlAFAAYQB5AG0AZQBuAHQAcwAsACAAIwBWAEEATABVAEUAIQApACkAKQAsAFwAbgAgACAAIAAgACAAIAAgACAAUgBlAHMAdQBsAHQALAAgACAAIAAgACAAIAAgACAAIAAoAFQAbwB0AGEAbABFAHgAcABlAG4AcwBlAHMAIAAtACAAQQBzAHMAbwBjAGkAYQB0AGUAcwApACAALwAgAFQAdQByAG4AbwB2AGUAcg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BAFQATwBDAG8AcwB0AE8AZgBTAGEAbABlAHMAUgBhAHQAaQBvALsDXABuACAAIAAgACAARABFAFMAQwBSAEkAUABUAEkATwBOADoAKgAvAC8AKgAqAEEAVABPACAAYwBvAHMAdAAgAG8AZgAgAHMAYQBsAGUAcwAgAHQAbwAgAHQAdQByAG4AbwB2AGUAcgAsACAAZQB4AGMAbAB1AGQAaQBuAGcAIABzAGEAbABhAHIAeQAgAGEAbgBkACAAdwBhAGcAZQBzACAAaQBuAGMAbAB1AGQAZQBkACAAaQBuACAAYwBvAHMAdAAgAG8AZgAgAHMAYQBsAGUAcwAqAC8AXABuAFwAbgBBAFQATwBDAG8AcwB0AE8AZgBTAGEAbABlAHMAUgBhAHQAaQBvALsDIAA9ACAATABBAE0AQgBEAEEAKABcAG4ALwAvACAAIABQAGEAcgBhAG0AZQB0AGUAcgAgAEQAZQBjAGwAYQByAGEAdABpAG8AbgBcAG4AIAAgACAAIABbAEMAbwBzAHQATwBmAFMAYQBsAGUAcwBdACwAXABuACAAIAAgACAAWwBUAHUAcgBuAG8AdgBlAHIAXQAsAFwAbgAgACAAIAAgAFsASQBuAGMAbAB1AGQAZQBkAFcAYQBnAGUAcw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EAVABPAEMAbwBzAHQATwBmAFMAYQBsAGUAcwBSAGEAdABpAG8AuwMoAEMAbwBzAHQATwBmAFMAYQBsAGUAcwAsACAAVAB1AHIAbgBvAHYAZQByACwAIABbAEkAbgBjAGwAdQBkAGUAZABXAGEAZwBlAHMAXQApALYAXAAiACAAJgBcAG4AIAAgACAAIAAgACAAIAAgACAAIAAgACAAIAAgACAAIAAgACAAIAAgACAAIAAgACAAIAAgACAAIABcACIARABFAFMAQwBSAEkAUABUAEkATwBOADoAIAAgACAAkiFBAFQATwAgAGMAbwBzAHQAIABvAGYAIABzAGEAbABlAHMAIAB0AG8AIAB0AHUAcgBuAG8AdgBlAHIAIABiAGUAbgBjAGgAbQBhAHIAawAgAHIAYQB0AGkAbwAsACAAZQB4AGMAbAB1AGQAaQBuAGcAIABsAGEAYgBvAHUAcgAuALYATgBPAFQARQBTACEAIAAgACAAIAAgACAAIAAgACAAkiEoAEMAbwBzAHQATwBmAFMAYQBsAGUAcwAgAC0AIABJAG4AYwBsAHUAZABlAGQAVwBhAGcAZQBzACkAIAAvACAAVAB1AHIAbgBvAHYAZQByAC4AIABUAGgAZQAgAEEAVABPACcAcwAgAGMAbwBzAHQAIABvAGYAIABzAGEAbABlAHMAIABlAHgAYwBsAHUAZABlAHMAtgAgACAAIAAgACAAIAAgACAAIAAgACAAIAAgACAAIACSIXMAYQBsAGEAcgB5ACAAYQBuAGQAIAB3AGEAZwBlAHMAOgAgAHcAaABlAHIAZQAgAHQAaABlACAAcgBlAHQAdQByAG4AJwBzACAAdABvAHQAYQBsACAAcwBhAGwAYQByAHkAIABhAG4AZAAgAHcAYQBnAGUAcwAgAGMAbwBkAGUAIABpAHMAIABDACwAtgAgACAAIAAgACAAIAAgACAAIAAgACAAIAAgACAAIACSIW0AZQBhAG4AaQBuAGcAIAB0AGgAZQB5ACAAYQByAGUAIABpAG4AYwBsAHUAZABlAGQAIABpAG4AIABjAG8AcwB0ACAAbwBmACAAcwBhAGwAZQBzACwAIABpAHQAIABkAGUAZAB1AGMAdABzACAAdABoAGUAIAB0AG8AdABhAGwAIABzAGEAbABhAHIAeQC2ACAAIAAgACAAIAAgACAAIAAgACAAIAAgACAAIAAgAJIhYQBuAGQAIAB3AGEAZwBlAHMAIABlAHgAcABlAG4AcwBlAHMALgAgAFAAYQBzAHMAIAB0AGgAYQB0ACAAdABvAHQAYQBsACAAYQBzACAASQBuAGMAbAB1AGQAZQBkAFcAYQBnAGUAcwAgAG8AbgBsAHkAIAB3AGgAZQBuACAAdABoAGUAIABjAG8AZABlACAAaQBzALYAIAAgACAAIAAgACAAIAAgACAAIAAgACAAIAAgACAAkiFDACwAIABhAG4AZAAgAGwAZQBhAHYAZQAgAGkAdAAgAG8AdQB0ACAAbwB0AGgAZQByAHcAaQBzAGUALgAgAEcAcgBvAHMAcwBNAGEAcgBnAGkAbgC7AygAKQAgAGkAcwAgAGEAIABkAGkAZgBmAGUAcgBlAG4AdAAgAG0AZQBhAHMAdQByAGUAOgC2ACAAIAAgACAAIAAgACAAIAAgACAAIAAgACAAIAAgAJIhaQB0ACAAawBlAGUAcABzACAAdwBhAGcAZQBzACAAaQBuACAAYwBvAHMAdAAgAG8AZgAgAHMAYQBsAGUAcwAuACAAUgBlAHQAdQByAG4AcwAgAGEAIABmAHIAYQBjAHQAaQBvAG4ALAAgAGEAcwC2ACAAIAAgACAAIAAgACAAIAAgACAAIAAgACAAIAAgAJIhQQBUAE8AQgBlAG4AYwBoAG0AYQByAGsAUgBhAHQAaQBvALsDKAApACAAZABvAGUAcwAuACAAQQBuACAAbwBtAGkAdAB0AGUAZAAgAG8AcgAgAGIAbABhAG4AawAgAEkAbgBjAGwAdQBkAGUAZABXAGEAZwBlAHMAIABjAG8AdQBuAHQAcwAgAGEAcwAgADAALgC2ACAAIAAgACAAIAAgACAAIAAgACAAIAAgACAAIAAgAJIhVAB1AHIAbgBvAHYAZQByACAAbwBmACAAMAAgAHIAZQB0AHUAcgBuAHMAIAAjAEQASQBWAC8AMAAhAC4AIABBAHIAaQB0AGgAbQBlAHQAaQBjACAAbwBuAGwAeQAuACAAQQBUAE8AIABiAGUAbgBjAGgAbQBhAHIAawAgAHIAYQB0AGkAbwC2ACAAIAAgACAAIAAgACAAIAAgACAAIAAgACAAIAAgAJIhYwBhAGwAYwB1AGwAYQB0AGkAbwBuAHMAIABjAGgAZQBjAGsAZQBkACAAMQA5ACAATwBjAHQAbwBiAGUAcgAgADIAMAAyADYALgC2AFwAIgAgACYAXABuACAAIAAgACAAIAAgACAAIAAgACAAIAAgACAAIAAgACAAIAAgACAAIAAgACAAIAAgACAAIAAgACAAXAAiAFcARQBCAFAAQQBHAEUAOgAgACAAIAAgACAAIAAgAJIhaAB0AHQAcABzADoALwAvAHcAdwB3AC4AYQB0AG8ALgBnAG8AdgAuAGEAdQAvAGIAdQBzAGkAbgBlAHMAcwBlAHMALQBhAG4AZAAtAG8AcgBnAGEAbgBpAHMAYQB0AGkAbwBuAHMALwBpAG4AYwBvAG0AZQAtAGQAZQBkAHUAYwB0AGkAbwBuAHMALQBhAG4AZAAtAGMAbwBuAGMAZQBzAHMAaQBvAG4AcwAvAHMAbQBhAGwAbAAtAGIAdQBzAGkAbgBlAHMAcwAtAGIAZQBuAGMAaABtAGEAcgBrAHMALwBzAG0AYQBsAGwALQBiAHUAcwBpAG4AZQBzAHMALQBiAGUAbgBjAGgAbQBhAHIAawBzAC0AbQBlAHQAaABvAGQAbwBsAG8AZwB5AC0AYQBuAGQALQByAGEAdABpAG8ALQBjAGEAbABjAHUAbABhAHQAaQBvAG4AcwAvAGgAbwB3AC0AdwBlAC0AYwBhAGwAYwB1AGwAYQB0AGUALQBiAGUAbgBjAGgAbQBhAHIAawAtAHIAYQB0AGkAbwBzALYAXAAiACAAJgBcAG4AIAAgACAAIAAgACAAIAAgACAAIAAgACAAIAAgACAAIAAgACAAIAAgACAAIAAgACAAIAAgACAAIABcACIAVgBFAFIAUwBJAE8ATgA6ACAAIAAgACAAIAAgACAAkiExADkAIABPAGMAdAAgADIAMAAyADYAtgBcACIAIAAmAFwAbgAgACAAIAAgACAAIAAgACAAIAAgACAAIAAgACAAIAAgACAAIAAgACAAIAAgACAAIAAgACAAIAAgAFwAIgBQAEEAUgBBAE0ARQBUAEUAUgBTADoAIAAgACAAIACSIbYAXAAiACAAJgBcAG4AIAAgACAAIAAgACAAIAAgACAAIAAgACAAIAAgACAAIAAgACAAIAAgACAAIAAgACAAIAAgACAAIABcACIAQwBvAHMAdABPAGYAUwBhAGwAZQBzACAAIAAgACAAkiEoAFIAZQBxAHUAaQByAGUAZAApACAAQwBvAHMAdAAgAG8AZgAgAHMAYQBsAGUAcwAgAGYAcgBvAG0AIAB0AGgAZQAgAHIAZQB0AHUAcgBuACwAIABlAHgAYwBsAHUAZABpAG4AZwAgAEcAUwBUAC4AtgBcACIAIAAmAFwAbgAgACAAIAAgACAAIAAgACAAIAAgACAAIAAgACAAIAAgACAAIAAgACAAIAAgACAAIAAgACAAIAAgAFwAIgBUAHUAcgBuAG8AdgBlAHIAIAAgACAAIAAgACAAIACSISgAUgBlAHEAdQBpAHIAZQBkACkAIABUAHUAcgBuAG8AdgBlAHIAIABlAHgAYwBsAHUAZABpAG4AZwAgAEcAUwBUACwAIABmAG8AcgAgAGUAeABhAG0AcABsAGUAIABmAHIAbwBtACAAQQBUAE8AVAB1AHIAbgBvAHYAZQByALsDKAApAC4AtgBcACIAIAAmAFwAbgAgACAAIAAgACAAIAAgACAAIAAgACAAIAAgACAAIAAgACAAIAAgACAAIAAgACAAIAAgACAAIAAgAFwAIgBJAG4AYwBsAHUAZABlAGQAVwBhAGcAZQBzACAAIACSISgATwBwAHQAaQBvAG4AYQBsADoAIABEAGUAZgBhAHUAbAB0ACAAPQAgADAAKQAgAFQAbwB0AGEAbAAgAHMAYQBsAGEAcgB5ACAAYQBuAGQAIAB3AGEAZwBlAHMAIABlAHgAcABlAG4AcwBlAHMALAAgAG8AbgBsAHkAIAB3AGgAZQBuACAAdABoAGUAIAByAGUAdAB1AHIAbgAnAHMAIABjAG8AZABlACAAaQBzACAAQ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EAVABPAEMAbwBzAHQATwBmAFMAYQBsAGUAcwBSAGEAdABpAG8AuwMoADIANgAwADAAMAAwACwAIAA0ADgAMAAwADAAMAAsACAANgAwADAAMAAwACkAtgBcACIAIAAmAFwAbgAgACAAIAAgACAAIAAgACAAIAAgACAAIAAgACAAIAAgACAAIAAgACAAIAAgACAAIAAgACAAIAAgAFwAIgCSIVIAZQBzAHUAbAB0ALYAXAAiACAAJgBcAG4AIAAgACAAIAAgACAAIAAgACAAIAAgACAAIAAgACAAIAAgACAAIAAgACAAIAAgACAAIAAgACAAIABcACIAkiEwAC4ANAAxADYANw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QwBvAHMAdABPAGYAUwBhAGwAZQBzACkALAAgAEkAUwBPAE0ASQBUAFQARQBEACgAVAB1AHIAbgBvAHYAZQByACkAKQAsAFwAbgAgACAAIAAgAC8ALwAgACAAUAByAG8AYwBlAGQAdQByAGUAXABuACAAIAAgACAALwAvACAAIABBAG4AIABvAG0AaQB0AHQAZQBkACAASQBuAGMAbAB1AGQAZQBkAFcAYQBnAGUAcwAsACAAYQAgAGIAbABhAG4AawAgAGMAZQBsAGwAIABvAHIAIABhAG4AIABlAG0AcAB0AHkAIABzAHQAcgBpAG4AZwAgAGkAcwAgADAALAAgAHIAbwB3ACAAYgB5ACAAcgBvAHcAOwBcAG4AIAAgACAAIAAvAC8AIAAgAGEAbgB5ACAAbwB0AGgAZQByACAAdABlAHgAdAAgAGkAcwAgACMAVgBBAEwAVQBFACEAXABuACAAIAAgACAAIAAgACAAIABXAGEAZwBlAHMALAAgACAAIAAgACAAIAAgACAAIAAgAEkARgAoAEkAUwBPAE0ASQBUAFQARQBEACgASQBuAGMAbAB1AGQAZQBkAFcAYQBnAGUAcwApACwAIAAwACwAXABuACAAIAAgACAAIAAgACAAIAAgACAAIAAgACAAIAAgACAAIAAgACAAIAAgACAAIAAgACAAIAAgACAASQBGACgASQBuAGMAbAB1AGQAZQBkAFcAYQBnAGUAcwAgAD0AIABcACIAXAAiACwAIAAwACwAXABuACAAIAAgACAAIAAgACAAIAAgACAAIAAgACAAIAAgACAAIAAgACAAIAAgACAAIAAgACAAIAAgACAAIAAgACAAIABJAEYAKABJAFMATgBVAE0AQgBFAFIAKABJAG4AYwBsAHUAZABlAGQAVwBhAGcAZQBzACkALAAgAEkAbgBjAGwAdQBkAGUAZABXAGEAZwBlAHMALAAgACMAVgBBAEwAVQBFACEAKQApACkALABcAG4AIAAgACAAIAAgACAAIAAgAFIAZQBzAHUAbAB0ACwAIAAgACAAIAAgACAAIAAgACAAKABDAG8AcwB0AE8AZgBTAGEAbABlAHMAIAAtACAAVwBhAGcAZQBzACkAIAAvACAAVAB1AHIAbgBvAHYAZQByACwAXABuACAAIAAgACAALwAvACAAIABSAGUAdAB1AHIAbgAgAFIAZQBzAHUAbAB0ACAAbwByACAASABlAGwAcABcAG4AIAAgACAAIAAgACAAIAAgAEMASABPAE8AUwBFACgAIABIAGUAbABwAD8AIAArACAAMQAsACAAUgBlAHMAdQBsAHQALAAgAEgAZQBsAHAAKQBcAG4AIAAgACAAIAApAFwAbgApADsAXABuAFwAbgBcAG4ALwAqACAAIABGAFUATgBDAFQASQBPAE4AIABOAEEATQBFADoAIAAgAEEAVABPAEwAYQBiAG8AdQByAFIAYQB0AGkAbwC7A1wAbgAgACAAIAAgAEQARQBTAEMAUgBJAFAAVABJAE8ATgA6ACoALwAvACoAKgBBAFQATwAgAGwAYQBiAG8AdQByACAAdABvACAAdAB1AHIAbgBvAHYAZQByADoAIABzAGEAbABhAHIAeQAgAGEAbgBkACAAdwBhAGcAZQBzACAAcABsAHUAcwAgAGMAbwBuAHQAcgBhAGMAdABvAHIAcwAgAGwAZQBzAHMAIABwAGEAeQBtAGUAbgB0AHMAIAB0AG8AIABhAHMAcwBvAGMAaQBhAHQAZQBkACAAcABlAHIAcwBvAG4AcwAsACAAbwB2AGUAcgAgAHQAdQByAG4AbwB2AGUAcgAqAC8AXABuAFwAbgBBAFQATwBMAGEAYgBvAHUAcgBSAGEAdABpAG8AuwMgAD0AIABMAEEATQBCAEQAQQAoAFwAbgAvAC8AIAAgAFAAYQByAGEAbQBlAHQAZQByACAARABlAGMAbABhAHIAYQB0AGkAbwBuAFwAbgAgACAAIAAgAFsAUwBhAGwAYQByAHkAVwBhAGcAZQBzAF0ALABcAG4AIAAgACAAIABbAEMAbwBuAHQAcgBhAGMAdABvAHIAcwBdACwAXABuACAAIAAgACAAWwBUAHUAcgBuAG8AdgBlAHIAXQAsAFwAbgAgACAAIAAgAFsAQQBzAHMAbwBjAGkAYQB0AGUAUABhAHkAbQBlAG4AdABzAF0ALABcAG4AIAAgACAAIABbAFcAMQ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EAVABPAEwAYQBiAG8AdQByAFIAYQB0AGkAbwC7AygAUwBhAGwAYQByAHkAVwBhAGcAZQBzACwAIABDAG8AbgB0AHIAYQBjAHQAbwByAHMALAAgAFQAdQByAG4AbwB2AGUAcgAsACAAWwBBAHMAcwBvAGMAaQBhAHQAZQBQAGEAeQBtAGUAbgB0AHMAXQAsACAAWwBXADEAXQApALYAXAAiACAAJgBcAG4AIAAgACAAIAAgACAAIAAgACAAIAAgACAAIAAgACAAIAAgACAAIAAgACAAIAAgACAAIAAgACAAIABcACIARABFAFMAQwBSAEkAUABUAEkATwBOADoAIAAgACAAkiFBAFQATwAgAGwAYQBiAG8AdQByACAAdABvACAAdAB1AHIAbgBvAHYAZQByACAAYgBlAG4AYwBoAG0AYQByAGsAIAByAGEAdABpAG8ALgC2AE4ATwBUAEUAUwAhACAAIAAgACAAIAAgACAAIAAgAJIhKABXAGEAZwBlAHMAIAArACAAQwBvAG4AdAByAGEAYwB0AG8AcgBzACAALQAgAEEAcwBzAG8AYwBpAGEAdABlAFAAYQB5AG0AZQBuAHQAcwApACAALwAgAFQAdQByAG4AbwB2AGUAcgAsACAAdwBoAGUAcgBlACAAVwBhAGcAZQBzACAAaQBzALYAIAAgACAAIAAgACAAIAAgACAAIAAgACAAIAAgACAAkiFTAGEAbABhAHIAeQBXAGEAZwBlAHMALAAgAG8AcgAgAFcAMQAgAHcAaABlAG4AIABXADEAIABpAHMAIABnAHIAZQBhAHQAZQByAC4AIABUAGgAZQAgAEEAVABPACAAYQBkAGQAcwAgAHQAbwB0AGEAbAAgAHMAYQBsAGEAcgB5ACAAYQBuAGQAtgAgACAAIAAgACAAIAAgACAAIAAgACAAIAAgACAAIACSIXcAYQBnAGUAcwAgAGUAeABwAGUAbgBzAGUAcwAgAHQAbwAgAGMAbwBuAHQAcgBhAGMAdABvAHIALAAgAHMAdQBiAGMAbwBuAHQAcgBhAGMAdABvAHIAIABhAG4AZAAgAGMAbwBtAG0AaQBzAHMAaQBvAG4AIABlAHgAcABlAG4AcwBlAHMAIABhAG4AZAC2ACAAIAAgACAAIAAgACAAIAAgACAAIAAgACAAIAAgAJIhZABlAGQAdQBjAHQAcwAgAHAAYQB5AG0AZQBuAHQAcwAgAHQAbwAgAGEAcwBzAG8AYwBpAGEAdABlAGQAIABwAGUAcgBzAG8AbgBzAC4AIABXAGgAZQByAGUAIAB0AGgAZQAgAGEAYwB0AGkAdgBpAHQAeQAgAHMAdABhAHQAZQBtAGUAbgB0AHMAJwC2ACAAIAAgACAAIAAgACAAIAAgACAAIAAgACAAIAAgAJIhbABhAGIAZQBsACAAVwAxACAAKAB0AG8AdABhAGwAIABzAGEAbABhAHIAeQAsACAAdwBhAGcAZQBzACAAYQBuAGQAIABvAHQAaABlAHIAIABwAGEAeQBtAGUAbgB0AHMAKQAgAGYAbwByACAAdABoAGUAIAB5AGUAYQByACAAZQB4AGMAZQBlAGQAcwC2ACAAIAAgACAAIAAgACAAIAAgACAAIAAgACAAIAAgAJIhdABoAGUAIAByAGUAdAB1AHIAbgAnAHMAIABzAGEAbABhAHIAeQAgAGEAbgBkACAAdwBhAGcAZQBzACwAIABpAHQAIAB1AHMAZQBzACAAVwAxAC4AIABSAGUAdAB1AHIAbgBzACAAYQAgAGYAcgBhAGMAdABpAG8AbgAsACAAYQBzALYAIAAgACAAIAAgACAAIAAgACAAIAAgACAAIAAgACAAkiFBAFQATwBCAGUAbgBjAGgAbQBhAHIAawBSAGEAdABpAG8AuwMoACkAIABkAG8AZQBzAC4AIABBAG4AIABvAG0AaQB0AHQAZQBkACAAbwByACAAYgBsAGEAbgBrACAAQQBzAHMAbwBjAGkAYQB0AGUAUABhAHkAbQBlAG4AdABzACAAbwByACAAVwAxALYAIAAgACAAIAAgACAAIAAgACAAIAAgACAAIAAgACAAkiFjAG8AdQBuAHQAcwAgAGEAcwAgADAALgAgAFQAdQByAG4AbwB2AGUAcgAgAG8AZgAgADAAIAByAGUAdAB1AHIAbgBzACAAIwBEAEkAVgAvADAAIQAuACAAQQByAGkAdABoAG0AZQB0AGkAYwAgAG8AbgBsAHkALgAgAEEAVABPACAAYgBlAG4AYwBoAG0AYQByAGsAtgAgACAAIAAgACAAIAAgACAAIAAgACAAIAAgACAAIACSIXIAYQB0AGkAbwAgAGMAYQBsAGMAdQBsAGEAdABpAG8AbgBzACAAYwBoAGUAYwBrAGUAZAAgADEAOQAgAE8AYwB0AG8AYgBlAHIAIAAyADAAMgA2AC4AtgBcACIAIAAmAFwAbgAgACAAIAAgACAAIAAgACAAIAAgACAAIAAgACAAIAAgACAAIAAgACAAIAAgACAAIAAgACAAIAAgAFwAIgBXAEUAQgBQAEEARwBFADoAIAAgACAAIAAgACAAIACSIWgAdAB0AHAAcwA6AC8ALwB3AHcAdwAuAGEAdABvAC4AZwBvAHYALgBhAHUALwBiAHUAcwBpAG4AZQBzAHMAZQBzAC0AYQBuAGQALQBvAHIAZwBhAG4AaQBzAGEAdABpAG8AbgBzAC8AaQBuAGMAbwBtAGUALQBkAGUAZAB1AGMAdABpAG8AbgBzAC0AYQBuAGQALQBjAG8AbgBjAGUAcwBzAGkAbwBuAHMALwBzAG0AYQBsAGwALQBiAHUAcwBpAG4AZQBzAHMALQBiAGUAbgBjAGgAbQBhAHIAawBzAC8AcwBtAGEAbABsAC0AYgB1AHMAaQBuAGUAcwBzAC0AYgBlAG4AYwBoAG0AYQByAGsAcwAtAG0AZQB0AGgAbwBkAG8AbABvAGcAeQAtAGEAbgBkAC0AcgBhAHQAaQBvAC0AYwBhAGwAYwB1AGwAYQB0AGkAbwBuAHMALwBoAG8AdwAtAHcAZQAtAGMAYQBsAGMAdQBsAGEAdABlAC0AYgBlAG4AYwBoAG0AYQByAGsALQByAGEAdABpAG8AcwC2AFwAIgAgACYAXABuACAAIAAgACAAIAAgACAAIAAgACAAIAAgACAAIAAgACAAIAAgACAAIAAgACAAIAAgACAAIAAgACAAXAAiAFYARQBSAFMASQBPAE4AOgAgACAAIAAgACAAIAAgAJIhMQA5ACAATwBjAHQAIAAyADAAMgA2ALYAXAAiACAAJgBcAG4AIAAgACAAIAAgACAAIAAgACAAIAAgACAAIAAgACAAIAAgACAAIAAgACAAIAAgACAAIAAgACAAIABcACIAUABBAFIAQQBNAEUAVABFAFIAUwA6ACAAIAAgACAAkiG2AFwAIgAgACYAXABuACAAIAAgACAAIAAgACAAIAAgACAAIAAgACAAIAAgACAAIAAgACAAIAAgACAAIAAgACAAIAAgACAAXAAiAFMAYQBsAGEAcgB5AFcAYQBnAGUAcwAgACAAIAAgAJIhKABSAGUAcQB1AGkAcgBlAGQAKQAgAFQAbwB0AGEAbAAgAHMAYQBsAGEAcgB5ACAAYQBuAGQAIAB3AGEAZwBlAHMAIABlAHgAcABlAG4AcwBlAHMAIABmAHIAbwBtACAAdABoAGUAIAByAGUAdAB1AHIAbgAuALYAXAAiACAAJgBcAG4AIAAgACAAIAAgACAAIAAgACAAIAAgACAAIAAgACAAIAAgACAAIAAgACAAIAAgACAAIAAgACAAIABcACIAQwBvAG4AdAByAGEAYwB0AG8AcgBzACAAIAAgACAAkiEoAFIAZQBxAHUAaQByAGUAZAApACAAQwBvAG4AdAByAGEAYwB0AG8AcgAsACAAcwB1AGIAYwBvAG4AdAByAGEAYwB0AG8AcgAgAGEAbgBkACAAYwBvAG0AbQBpAHMAcwBpAG8AbgAgAGUAeABwAGUAbgBzAGUAcwAuALYAXAAiACAAJgBcAG4AIAAgACAAIAAgACAAIAAgACAAIAAgACAAIAAgACAAIAAgACAAIAAgACAAIAAgACAAIAAgACAAIABcACIAVAB1AHIAbgBvAHYAZQByACAAIAAgACAAIAAgACAAkiEoAFIAZQBxAHUAaQByAGUAZAApACAAVAB1AHIAbgBvAHYAZQByACAAZQB4AGMAbAB1AGQAaQBuAGcAIABHAFMAVAAsACAAZgBvAHIAIABlAHgAYQBtAHAAbABlACAAZgByAG8AbQAgAEEAVABPAFQAdQByAG4AbwB2AGUAcgC7AygAKQAuALYAXAAiACAAJgBcAG4AIAAgACAAIAAgACAAIAAgACAAIAAgACAAIAAgACAAIAAgACAAIAAgACAAIAAgACAAIAAgACAAIABcACIAQQBzAHMAbwBjAGkAYQB0AGUAUABhAHkAbQBlAG4AdABzAJIhKABPAHAAdABpAG8AbgBhAGwAOgAgAEQAZQBmAGEAdQBsAHQAIAA9ACAAMAApACAAUABhAHkAbQBlAG4AdABzACAAdABvACAAYQBzAHMAbwBjAGkAYQB0AGUAZAAgAHAAZQByAHMAbwBuAHMALgC2AFwAIgAgACYAXABuACAAIAAgACAAIAAgACAAIAAgACAAIAAgACAAIAAgACAAIAAgACAAIAAgACAAIAAgACAAIAAgACAAXAAiAFcAMQAgACAAIAAgACAAIAAgACAAIAAgACAAIAAgAJIhKABPAHAAdABpAG8AbgBhAGwAOgAgAEQAZQBmAGEAdQBsAHQAIAA9ACAAMAApACAAVABoAGUAIAB5AGUAYQByACcAcwAgAHQAbwB0AGEAbAAgAGEAdAAgAGEAYwB0AGkAdgBpAHQAeQAgAHMAdABhAHQAZQBtAGUAbgB0ACAAbABhAGIAZQBsACAAVwAxAC4AtgBcACIAIAAmAFwAbgAgACAAIAAgACAAIAAgACAAIAAgACAAIAAgACAAIAAgACAAIAAgACAAIAAgACAAIAAgACAAIAAgAFwAIgBFAFgAQQBNAFAATABFAFMAOgAgACAAIAAgACAAIACSIbYAXAAiACAAJgBcAG4AIAAgACAAIAAgACAAIAAgACAAIAAgACAAIAAgACAAIAAgACAAIAAgACAAIAAgACAAIAAgACAAIABcACIAkiFGAG8AcgBtAHUAbABhACAAKABvAHoAIABpAHMAIABhAHMAcwB1AG0AZQBkACAAdABvACAAYgBlACAAdABoAGUAIABtAG8AZAB1AGwAZQAnAHMAIABuAGEAbQBlACkAtgBcACIAIAAmAFwAbgAgACAAIAAgACAAIAAgACAAIAAgACAAIAAgACAAIAAgACAAIAAgACAAIAAgACAAIAAgACAAIAAgAFwAIgCSIT0AbwB6AC4AQQBUAE8ATABhAGIAbwB1AHIAUgBhAHQAaQBvALsDKAA5ADAAMAAwADAALAAgADIAMAAwADAAMAAsACAANAA4ADAAMAAwADAALAAgADEAMAAwADAAMAAsACAAOQA1ADAAMAAwACkAtgBcACIAIAAmAFwAbgAgACAAIAAgACAAIAAgACAAIAAgACAAIAAgACAAIAAgACAAIAAgACAAIAAgACAAIAAgACAAIAAgAFwAIgCSIVIAZQBzAHUAbAB0ALYAXAAiACAAJgBcAG4AIAAgACAAIAAgACAAIAAgACAAIAAgACAAIAAgACAAIAAgACAAIAAgACAAIAAgACAAIAAgACAAIABcACIAkiEwAC4AMgAxADgANwA1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TAGEAbABhAHIAeQBXAGEAZwBlAHMAKQAsACAASQBTAE8ATQBJAFQAVABFAEQAKABDAG8AbgB0AHIAYQBjAHQAbwByAHMAKQAsACAASQBTAE8ATQBJAFQAVABFAEQAKABUAHUAcgBuAG8AdgBlAHIAKQApACwAXABuACAAIAAgACAALwAvACAAIABQAHIAbwBjAGUAZAB1AHIAZQBcAG4AIAAgACAAIAAvAC8AIAAgAEEAbgAgAG8AbQBpAHQAdABlAGQAIABvAHAAdABpAG8AbgBhAGwAIABhAHIAZwB1AG0AZQBuAHQALAAgAGEAIABiAGwAYQBuAGsAIABjAGUAbABsACAAbwByACAAYQBuACAAZQBtAHAAdAB5ACAAcwB0AHIAaQBuAGcAIABpAHMAIAAwACwAIAByAG8AdwAgAGIAeQAgAHIAbwB3ADsAXABuACAAIAAgACAALwAvACAAIABhAG4AeQAgAG8AdABoAGUAcgAgAHQAZQB4AHQAIABpAHMAIAAjAFYAQQBMAFUARQAhAFwAbgAgACAAIAAgACAAIAAgACAAQQBzAHMAbwBjAGkAYQB0AGUAcwAsACAAIAAgACAAIABJAEYAKABJAFMATwBNAEkAVABUAEUARAAoAEEAcwBzAG8AYwBpAGEAdABlAFAAYQB5AG0AZQBuAHQAcwApACwAIAAwACwAXABuACAAIAAgACAAIAAgACAAIAAgACAAIAAgACAAIAAgACAAIAAgACAAIAAgACAAIAAgACAAIAAgACAASQBGACgAQQBzAHMAbwBjAGkAYQB0AGUAUABhAHkAbQBlAG4AdABzACAAPQAgAFwAIgBcACIALAAgADAALABcAG4AIAAgACAAIAAgACAAIAAgACAAIAAgACAAIAAgACAAIAAgACAAIAAgACAAIAAgACAAIAAgACAAIAAgACAAIAAgAEkARgAoAEkAUwBOAFUATQBCAEUAUgAoAEEAcwBzAG8AYwBpAGEAdABlAFAAYQB5AG0AZQBuAHQAcwApACwAIABBAHMAcwBvAGMAaQBhAHQAZQBQAGEAeQBtAGUAbgB0AHMALAAgACMAVgBBAEwAVQBFACEAKQApACkALABcAG4AIAAgACAAIAAgACAAIAAgAEEAYwB0AGkAdgBpAHQAeQAsACAAIAAgACAAIAAgACAASQBGACgASQBTAE8ATQBJAFQAVABFAEQAKABXADEAKQAsACAAMAAsACAASQBGACgAVwAxACAAPQAgAFwAIgBcACIALAAgADAALAAgAEkARgAoAEkAUwBOAFUATQBCAEUAUgAoAFcAMQApACwAIABXADEALAAgACMAVgBBAEwAVQBFACEAKQApACkALABcAG4AIAAgACAAIAAvAC8AIAAgAFQAaABlACAAbABhAHIAZwBlAHIAIABvAGYAIAB0AGgAZQAgADIAIAB3AGEAZwBlACAAZgBpAGcAdQByAGUAcwAsACAAcgBvAHcAIABiAHkAIAByAG8AdwA6ACAATQBBAFgAKAApACAAdwBvAHUAbABkACAAcgBlAGQAdQBjAGUAIABhACAAYwBvAGwAdQBtAG4AIAB0AG8AIABvAG4AZQBcAG4AIAAgACAAIAAgACAAIAAgAFcAYQBnAGUAcwAsACAAIAAgACAAIAAgACAAIAAgACAASQBGACgAQQBjAHQAaQB2AGkAdAB5ACAAPgAgAFMAYQBsAGEAcgB5AFcAYQBnAGUAcwAsACAAQQBjAHQAaQB2AGkAdAB5ACwAIABTAGEAbABhAHIAeQBXAGEAZwBlAHMAKQAsAFwAbgAgACAAIAAgACAAIAAgACAAUgBlAHMAdQBsAHQALAAgACAAIAAgACAAIAAgACAAIAAoAFcAYQBnAGUAcwAgACsAIABDAG8AbgB0AHIAYQBjAHQAbwByAHMAIAAtACAAQQBzAHMAbwBjAGkAYQB0AGUAcwApACAALwAgAFQAdQByAG4AbwB2AGUAcg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SAGUAYwBlAGkAdgBhAGIAbABlAEQAYQB5AHMAuwNcAG4AIAAgACAAIABEAEUAUwBDAFIASQBQAFQASQBPAE4AOgAqAC8ALwAqACoAUgBlAGMAZQBpAHYAYQBiAGwAZQAgAGQAYQB5AHMALAAgAG8AcgAgAGQAYQB5AHMAIABzAGEAbABlAHMAIABvAHUAdABzAHQAYQBuAGQAaQBuAGcAIAAoAEQAUwBPACkAOgAgAFIAZQBjAGUAaQB2AGEAYgBsAGUAcwAgAC8AIABTAGEAbABlAHMAIAB4ACAARABhAHkAcwAqAC8AXABuAFwAbgBSAGUAYwBlAGkAdgBhAGIAbABlAEQAYQB5AHMAuwMgAD0AIABMAEEATQBCAEQAQQAoAFwAbgAvAC8AIAAgAFAAYQByAGEAbQBlAHQAZQByACAARABlAGMAbABhAHIAYQB0AGkAbwBuAFwAbgAgACAAIAAgAFsAUgBlAGMAZQBpAHYAYQBiAGwAZQBzAF0ALABcAG4AIAAgACAAIABbAFMAYQBsAGUAcwBdACwAXABuACAAIAAgACAAWwBEAGEAeQBzAF0ALABcAG4AIAAgACAAIABMAEUAVAAoAFwAbgAgACAAIAAgAC8ALwAgACAASABlAGwAcABcAG4AIAAgACAAIAAgACAAIAAgAEgAZQBsAHAALAAgACAAIAAgACAAIAAgACAAIAAgACAAVABSAEkATQAoAFQARQBYAFQAUwBQAEwASQBUACgAXABuACAAIAAgACAAIAAgACAAIAAgACAAIAAgACAAIAAgACAAIAAgACAAIAAgACAAIAAgACAAIAAgACAAXAAiAEYAVQBOAEMAVABJAE8ATgA6ACAAIAAgACAAIAAgAJIhUgBlAGMAZQBpAHYAYQBiAGwAZQBEAGEAeQBzALsDKABSAGUAYwBlAGkAdgBhAGIAbABlAHMALAAgAFMAYQBsAGUAcwAsACAAWwBEAGEAeQBzAF0AKQC2AFwAIgAgACYAXABuACAAIAAgACAAIAAgACAAIAAgACAAIAAgACAAIAAgACAAIAAgACAAIAAgACAAIAAgACAAIAAgACAAXAAiAEQARQBTAEMAUgBJAFAAVABJAE8ATgA6ACAAIAAgAJIhUgBlAGMAZQBpAHYAYQBiAGwAZQAgAGQAYQB5AHMALAAgAG8AcgAgAGQAYQB5AHMAIABzAGEAbABlAHMAIABvAHUAdABzAHQAYQBuAGQAaQBuAGcAIAAoAEQAUwBPACkAOgAgAHQAaABlACAAZABhAHkAcwAgAG8AZgAgAHMAYQBsAGUAcwAgAG4AbwB0ACAAeQBlAHQAIABjAG8AbABsAGUAYwB0AGUAZAAuALYATgBPAFQARQBTACEAIAAgACAAIAAgACAAIAAgACAAkiFSAGUAYwBlAGkAdgBhAGIAbABlAHMAIAAvACAAUwBhAGwAZQBzACAAKgAgAEQAYQB5AHMALgAgAEQAYQB5AHMAIABpAHMAIAB0AGgAZQAgAG4AdQBtAGIAZQByACAAbwBmACAAZABhAHkAcwAgAHQAaABlACAAUwBhAGwAZQBzACAAZgBpAGcAdQByAGUAtgAgACAAIAAgACAAIAAgACAAIAAgACAAIAAgACAAIACSIWMAbwB2AGUAcgBzADoAIAAzADYANQAgAHcAaQB0AGgAIABhACAAeQBlAGEAcgAnAHMAIABzAGEAbABlAHMALAAgADkAMAAgAHcAaQB0AGgAIAB0AGgAZQAgAGwAYQBzAHQAIAB0AGgAcgBlAGUAIABtAG8AbgB0AGgAcwAnACAAcwBhAGwAZQBzACAAZgBvAHIAtgAgACAAIAAgACAAIAAgACAAIAAgACAAIAAgACAAIACSIWEAIAByAG8AbABsAGkAbgBnACAAZgBpAGcAdQByAGUALAAgAG8AcgAgAGEAIABtAG8AbgB0AGgAJwBzACAAZABhAHkAcwAgAHcAaQB0AGgAIAB0AGgAYQB0ACAAbQBvAG4AdABoACcAcwAgAHMAYQBsAGUAcwAuACAAUABhAHMAcwAgAGMAbABvAHMAaQBuAGcAtgAgACAAIAAgACAAIAAgACAAIAAgACAAIAAgACAAIACSIXIAZQBjAGUAaQB2AGEAYgBsAGUAcwAsACAAbwByACAAdABoAGUAIABhAHYAZQByAGEAZwBlACAAbwBmACAAbwBwAGUAbgBpAG4AZwAgAGEAbgBkACAAYwBsAG8AcwBpAG4AZwAgAGYAbwByACAAYQBuACAAYQB2AGUAcgBhAGcAZQAtAGIAYQBsAGEAbgBjAGUAtgAgACAAIAAgACAAIAAgACAAIAAgACAAIAAgACAAIACSIWYAaQBnAHUAcgBlAC4AIABQAHUAdAAgAHQAaABlACAAYgBhAGwAYQBuAGMAZQAgAGEAbgBkACAAdABoAGUAIABzAGEAbABlAHMAIABvAG4AIAB0AGgAZQAgAHMAYQBtAGUAIABiAGEAcwBpAHMAOgAgAHcAaABlAHIAZQAgAG8AbgBlACAAaQBuAGMAbAB1AGQAZQBzALYAIAAgACAAIAAgACAAIAAgACAAIAAgACAAIAAgACAAkiFHAFMAVAAgAGEAbgBkACAAdABoAGUAIABvAHQAaABlAHIAIABkAG8AZQBzACAAbgBvAHQALAAgAGEAZABqAHUAcwB0ACAAdABoAGUAIABpAG4AcAB1AHQAcwAgAGYAaQByAHMAdAAsACAAYgBlAGMAYQB1AHMAZQAgAHQAaABpAHMAIABmAHUAbgBjAHQAaQBvAG4AtgAgACAAIAAgACAAIAAgACAAIAAgACAAIAAgACAAIACSIW0AYQBrAGUAcwAgAG4AbwAgAEcAUwBUACAAYQBkAGoAdQBzAHQAbQBlAG4AdAAuACAAUwBhAGwAZQBzACAAbwBmACAAMAAgAHIAZQB0AHUAcgBuAHMAIAAjAEQASQBWAC8AMAAhACwAIABhAG4AZAAgAEQAYQB5AHMAIABvAGYAIAAwACAAbwByACAAbABlAHMAcwC2ACAAIAAgACAAIAAgACAAIAAgACAAIAAgACAAIAAgAJIhcgBlAHQAdQByAG4AcwAgACMATgBVAE0AIQAuALYAXAAiACAAJgBcAG4AIAAgACAAIAAgACAAIAAgACAAIAAgACAAIAAgACAAIAAgACAAIAAgACAAIAAgACAAIAAgACAAIABcACIAVwBFAEIAUABBAEcARQA6ACAAIAAgACAAIAAgACAAkiFoAHQAdABwAHMAOgAvAC8AZwBpAHQAaAB1AGIALgBjAG8AbQAvAHIAeQBhAG4AZAB1AGcAdQBpAGQALwBPAHoAegBpAHQALwBiAGwAbwBiAC8AbQBhAGkAbgAvAGQAbwBjAHMALwByAGEAdABpAG8ALQBkAGUAZgBpAG4AaQB0AGkAbwBuAHMALgBtAGQAtgBcACIAIAAmAFwAbgAgACAAIAAgACAAIAAgACAAIAAgACAAIAAgACAAIAAgACAAIAAgACAAIAAgACAAIAAgACAAIAAgAFwAIgBWAEUAUgBTAEkATwBOADoAIAAgACAAIAAgACAAIACSITIAOQAgAFMAZQBwACAAMgAwADIANgC2AFwAIgAgACYAXABuACAAIAAgACAAIAAgACAAIAAgACAAIAAgACAAIAAgACAAIAAgACAAIAAgACAAIAAgACAAIAAgACAAXAAiAFAAQQBSAEEATQBFAFQARQBSAFMAOgAgACAAIAAgAJIhtgBcACIAIAAmAFwAbgAgACAAIAAgACAAIAAgACAAIAAgACAAIAAgACAAIAAgACAAIAAgACAAIAAgACAAIAAgACAAIAAgAFwAIgBSAGUAYwBlAGkAdgBhAGIAbABlAHMAIAAgACAAIACSISgAUgBlAHEAdQBpAHIAZQBkACkAIABUAHIAYQBkAGUAIAByAGUAYwBlAGkAdgBhAGIAbABlAHMAOgAgAHQAaABlACAAYwBsAG8AcwBpAG4AZwAgAGIAYQBsAGEAbgBjAGUALAAgAG8AcgAgAHQAaABlACAAYQB2AGUAcgBhAGcAZQAgAG8AZgAgAG8AcABlAG4AaQBuAGcAIABhAG4AZAAgAGMAbABvAHMAaQBuAGcALgC2AFwAIgAgACYAXABuACAAIAAgACAAIAAgACAAIAAgACAAIAAgACAAIAAgACAAIAAgACAAIAAgACAAIAAgACAAIAAgACAAXAAiAFMAYQBsAGUAcwAgACAAIAAgACAAIAAgACAAIAAgAJIhKABSAGUAcQB1AGkAcgBlAGQAKQAgAEMAcgBlAGQAaQB0ACAAcwBhAGwAZQBzACAAbwB2AGUAcgAgAHQAaABlACAAcwBhAG0AZQAgAEQAYQB5AHMALgC2AFwAIgAgACYAXABuACAAIAAgACAAIAAgACAAIAAgACAAIAAgACAAIAAgACAAIAAgACAAIAAgACAAIAAgACAAIAAgACAAXAAiAEQAYQB5AHMAIAAgACAAIAAgACAAIAAgACAAIAAgAJIhKABPAHAAdABpAG8AbgBhAGwAOgAgAEQAZQBmAGEAdQBsAHQAIAA9ACAAMwA2ADUAKQAgAEQAYQB5AHMAIAB0AGgAZQAgAFMAYQBsAGUAcwAgAGYAaQBnAHUAcgBlACAAYwBvAHYAZQByAHMALgC2AFwAIgAgACYAXABuACAAIAAgACAAIAAgACAAIAAgACAAIAAgACAAIAAgACAAIAAgACAAIAAgACAAIAAgACAAIAAgACAAXAAiAEUAWABBAE0AUABMAEUAUwA6ACAAIAAgACAAIAAgAJIhtgBcACIAIAAmAFwAbgAgACAAIAAgACAAIAAgACAAIAAgACAAIAAgACAAIAAgACAAIAAgACAAIAAgACAAIAAgACAAIAAgAFwAIgCSIUYAbwByAG0AdQBsAGEAIAAoAG8AegAgAGkAcwAgAGEAcwBzAHUAbQBlAGQAIAB0AG8AIABiAGUAIAB0AGgAZQAgAG0AbwBkAHUAbABlACcAcwAgAG4AYQBtAGUAKQC2AFwAIgAgACYAXABuACAAIAAgACAAIAAgACAAIAAgACAAIAAgACAAIAAgACAAIAAgACAAIAAgACAAIAAgACAAIAAgACAAXAAiAJIhPQBvAHoALgBSAGUAYwBlAGkAdgBhAGIAbABlAEQAYQB5AHMAuwMoADEAMgA1ADAAMAAwACwAIAAxADIAMAAwADAAMAAwACkAtgBcACIAIAAmAFwAbgAgACAAIAAgACAAIAAgACAAIAAgACAAIAAgACAAIAAgACAAIAAgACAAIAAgACAAIAAgACAAIAAgAFwAIgCSIVIAZQBzAHUAbAB0ALYAXAAiACAAJgBcAG4AIAAgACAAIAAgACAAIAAgACAAIAAgACAAIAAgACAAIAAgACAAIAAgACAAIAAgACAAIAAgACAAIABcACIAkiEzADgALgAwADIAMAA4ALYAXAAiACAAJgBcAG4AIAAgACAAIAAgACAAIAAgACAAIAAgACAAIAAgACAAIAAgACAAIAAgACAAIAAgACAAIAAgACAAIABcACIAkiE9AG8AegAuAFIAZQBjAGUAaQB2AGEAYgBsAGUARABhAHkAcwC7AygAMQAyADUAMAAwADAALAAgADMAMwAwADAAMAAwACwAIAA5ADAAKQC2AFwAIgAgACYAXABuACAAIAAgACAAIAAgACAAIAAgACAAIAAgACAAIAAgACAAIAAgACAAIAAgACAAIAAgACAAIAAgACAAXAAiAJIhUgBlAHMAdQBsAHQAtgBcACIAIAAmAFwAbgAgACAAIAAgACAAIAAgACAAIAAgACAAIAAgACAAIAAgACAAIAAgACAAIAAgACAAIAAgACAAIAAgAFwAIgCSITMANAAuADAAOQAwADk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FIAZQBjAGUAaQB2AGEAYgBsAGUAcwApACwAIABJAFMATwBNAEkAVABUAEUARAAoAFMAYQBsAGUAcwApACkALABcAG4AIAAgACAAIAAvAC8AIAAgAFAAcgBvAGMAZQBkAHUAcgBlAFwAbgAgACAAIAAgAC8ALwAgACAAQQBuACAAbwBtAGkAdAB0AGUAZAAgAEQAYQB5AHMALAAgAGEAIABiAGwAYQBuAGsAIABjAGUAbABsACAAbwByACAAYQBuACAAZQBtAHAAdAB5ACAAcwB0AHIAaQBuAGcAIABpAHMAIAAzADYANQAsACAAcgBvAHcAIABiAHkAIAByAG8AdwAuACAAQQBuAHkAdABoAGkAbgBnACAAZQBsAHMAZQBcAG4AIAAgACAAIAAvAC8AIAAgAHQAaABhAHQAIABpAHMAIABuAG8AdAAgAGEAIABuAHUAbQBiAGUAcgAgAGkAcwAgACMAVgBBAEwAVQBFACEAOgAgAHQAZQB4AHQAIABjAG8AbQBwAGEAcgBlAHMAIABnAHIAZQBhAHQAZQByACAAdABoAGEAbgAgAGUAdgBlAHIAeQAgAG4AdQBtAGIAZQByACwAIABzAG8AIABcACIAMABcACIAXABuACAAIAAgACAALwAvACAAIAB3AG8AdQBsAGQAIABwAGEAcwBzACAAdABoAGUAIABjAGgAZQBjAGsAIABiAGUAbABvAHcAIABhAG4AZAAgAGEAcgBpAHQAaABtAGUAdABpAGMAIAB3AG8AdQBsAGQAIAB0AGgAZQBuACAAcgBlAGEAZAAgAGkAdAAgAGEAcwAgADAALgBcAG4AIAAgACAAIAAgACAAIAAgAFAAZQByAGkAbwBkACwAIAAgACAAIAAgACAAIAAgACAASQBGACgASQBTAE8ATQBJAFQAVABFAEQAKABEAGEAeQBzACkALAAgADMANgA1ACwAIABJAEYAKABEAGEAeQBzACAAPQAgAFwAIgBcACIALAAgADMANgA1ACwAIABJAEYAKABJAFMATgBVAE0AQgBFAFIAKABEAGEAeQBzACkALAAgAEQAYQB5AHMALAAgACMAVgBBAEwAVQBFACEAKQApACkALABcAG4AIAAgACAAIAAgACAAIAAgAFIAZQBzAHUAbAB0ACwAIAAgACAAIAAgACAAIAAgACAASQBGACgAUABlAHIAaQBvAGQAIAA8AD0AIAAwACwAIAAjAE4AVQBNACEALAAgAFIAZQBjAGUAaQB2AGEAYgBsAGUAcwAgAC8AIABTAGEAbABlAHMAIAAqACAAUABlAHIAaQBvAGQAKQ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QAGEAeQBhAGIAbABlAEQAYQB5AHMAuwNcAG4AIAAgACAAIABEAEUAUwBDAFIASQBQAFQASQBPAE4AOgAqAC8ALwAqACoAUABhAHkAYQBiAGwAZQAgAGQAYQB5AHMALAAgAG8AcgAgAGQAYQB5AHMAIABwAGEAeQBhAGIAbABlACAAbwB1AHQAcwB0AGEAbgBkAGkAbgBnACAAKABEAFAATwApADoAIABQAGEAeQBhAGIAbABlAHMAIAAvACAAUAB1AHIAYwBoAGEAcwBlAHMAIAB4ACAARABhAHkAcwAqAC8AXABuAFwAbgBQAGEAeQBhAGIAbABlAEQAYQB5AHMAuwMgAD0AIABMAEEATQBCAEQAQQAoAFwAbgAvAC8AIAAgAFAAYQByAGEAbQBlAHQAZQByACAARABlAGMAbABhAHIAYQB0AGkAbwBuAFwAbgAgACAAIAAgAFsAUABhAHkAYQBiAGwAZQBzAF0ALABcAG4AIAAgACAAIABbAFAAdQByAGMAaABhAHMAZQBzAF0ALABcAG4AIAAgACAAIABbAEQAYQB5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QAGEAeQBhAGIAbABlAEQAYQB5AHMAuwMoAFAAYQB5AGEAYgBsAGUAcwAsACAAUAB1AHIAYwBoAGEAcwBlAHMALAAgAFsARABhAHkAcwBdACkAtgBcACIAIAAmAFwAbgAgACAAIAAgACAAIAAgACAAIAAgACAAIAAgACAAIAAgACAAIAAgACAAIAAgACAAIAAgACAAIAAgAFwAIgBEAEUAUwBDAFIASQBQAFQASQBPAE4AOgAgACAAIACSIVAAYQB5AGEAYgBsAGUAIABkAGEAeQBzACwAIABvAHIAIABkAGEAeQBzACAAcABhAHkAYQBiAGwAZQAgAG8AdQB0AHMAdABhAG4AZABpAG4AZwAgACgARABQAE8AKQA6ACAAdABoAGUAIABkAGEAeQBzACAAbwBmACAAcAB1AHIAYwBoAGEAcwBlAHMAIABuAG8AdAAgAHkAZQB0ACAAcABhAGkAZAAuALYATgBPAFQARQBTACEAIAAgACAAIAAgACAAIAAgACAAkiFQAGEAeQBhAGIAbABlAHMAIAAvACAAUAB1AHIAYwBoAGEAcwBlAHMAIAAqACAARABhAHkAcwAuACAARABhAHkAcwAgAGkAcwAgAHQAaABlACAAbgB1AG0AYgBlAHIAIABvAGYAIABkAGEAeQBzACAAdABoAGUAIABQAHUAcgBjAGgAYQBzAGUAcwC2ACAAIAAgACAAIAAgACAAIAAgACAAIAAgACAAIAAgAJIhZgBpAGcAdQByAGUAIABjAG8AdgBlAHIAcwAsACAAYQBzACAAZgBvAHIAIABSAGUAYwBlAGkAdgBhAGIAbABlAEQAYQB5AHMAuwMoACkALgAgAEMAcgBlAGQAaQB0ACAAcAB1AHIAYwBoAGEAcwBlAHMAIABhAHIAZQAgAHQAaABlACAAbQBhAHQAYwBoAGkAbgBnALYAIAAgACAAIAAgACAAIAAgACAAIAAgACAAIAAgACAAkiFmAGwAbwB3ADsAIABjAG8AcwB0ACAAbwBmACAAcwBhAGwAZQBzACAAaQBzACAAdABoAGUAIABjAG8AbQBtAG8AbgAgAHMAdQBiAHMAdABpAHQAdQB0AGUAIAB3AGgAZQByAGUAIABwAHUAcgBjAGgAYQBzAGUAcwAgAGEAcgBlACAAbgBvAHQAtgAgACAAIAAgACAAIAAgACAAIAAgACAAIAAgACAAIACSIXIAZQBwAG8AcgB0AGUAZAAuACAAUABhAHMAcwAgAGMAbABvAHMAaQBuAGcAIABwAGEAeQBhAGIAbABlAHMALAAgAG8AcgAgAHQAaABlACAAYQB2AGUAcgBhAGcAZQAgAG8AZgAgAG8AcABlAG4AaQBuAGcAIABhAG4AZAAgAGMAbABvAHMAaQBuAGcALgAgAFAAdQB0ALYAIAAgACAAIAAgACAAIAAgACAAIAAgACAAIAAgACAAkiF0AGgAZQAgAGIAYQBsAGEAbgBjAGUAIABhAG4AZAAgAHQAaABlACAAcAB1AHIAYwBoAGEAcwBlAHMAIABvAG4AIAB0AGgAZQAgAHMAYQBtAGUAIABiAGEAcwBpAHMAOgAgAHcAaABlAHIAZQAgAG8AbgBlACAAaQBuAGMAbAB1AGQAZQBzACAARwBTAFQAIABhAG4AZAC2ACAAIAAgACAAIAAgACAAIAAgACAAIAAgACAAIAAgAJIhdABoAGUAIABvAHQAaABlAHIAIABkAG8AZQBzACAAbgBvAHQALAAgAGEAZABqAHUAcwB0ACAAdABoAGUAIABpAG4AcAB1AHQAcwAgAGYAaQByAHMAdAAsACAAYgBlAGMAYQB1AHMAZQAgAHQAaABpAHMAIABmAHUAbgBjAHQAaQBvAG4AIABtAGEAawBlAHMAtgAgACAAIAAgACAAIAAgACAAIAAgACAAIAAgACAAIACSIW4AbwAgAEcAUwBUACAAYQBkAGoAdQBzAHQAbQBlAG4AdAAuACAAUAB1AHIAYwBoAGEAcwBlAHMAIABvAGYAIAAwACAAcgBlAHQAdQByAG4AcwAgACMARABJAFYALwAwACEALAAgAGEAbgBkACAARABhAHkAcwAgAG8AZgAgADAAIABvAHIAIABsAGUAcwBzALYAIAAgACAAIAAgACAAIAAgACAAIAAgACAAIAAgACAAkiFyAGUAdAB1AHIAbgBzACAAIwBOAFUATQAhAC4AtgBcACIAIAAmAFwAbgAgACAAIAAgACAAIAAgACAAIAAgACAAIAAgACAAIAAgACAAIAAgACAAIAAgACAAIAAgACAAIAAgAFwAIgBXAEUAQgBQAEEARwBFADoAIAAgACAAIAAgACAAIACSIWgAdAB0AHAAcwA6AC8ALwBnAGkAdABoAHUAYgAuAGMAbwBtAC8AcgB5AGEAbgBkAHUAZwB1AGkAZAAvAE8AegB6AGkAdAAvAGIAbABvAGIALwBtAGEAaQBuAC8AZABvAGMAcwAvAHIAYQB0AGkAbwAtAGQAZQBmAGkAbgBpAHQAaQBvAG4AcwAuAG0AZAC2AFwAIgAgACYAXABuACAAIAAgACAAIAAgACAAIAAgACAAIAAgACAAIAAgACAAIAAgACAAIAAgACAAIAAgACAAIAAgACAAXAAiAFYARQBSAFMASQBPAE4AOgAgACAAIAAgACAAIAAgAJIhMgA5ACAAUwBlAHAAIAAyADAAMgA2ALYAXAAiACAAJgBcAG4AIAAgACAAIAAgACAAIAAgACAAIAAgACAAIAAgACAAIAAgACAAIAAgACAAIAAgACAAIAAgACAAIABcACIAUABBAFIAQQBNAEUAVABFAFIAUwA6ACAAIAAgACAAkiG2AFwAIgAgACYAXABuACAAIAAgACAAIAAgACAAIAAgACAAIAAgACAAIAAgACAAIAAgACAAIAAgACAAIAAgACAAIAAgACAAXAAiAFAAYQB5AGEAYgBsAGUAcwAgACAAIAAgACAAIAAgAJIhKABSAGUAcQB1AGkAcgBlAGQAKQAgAFQAcgBhAGQAZQAgAHAAYQB5AGEAYgBsAGUAcwA6ACAAdABoAGUAIABjAGwAbwBzAGkAbgBnACAAYgBhAGwAYQBuAGMAZQAsACAAbwByACAAdABoAGUAIABhAHYAZQByAGEAZwBlACAAbwBmACAAbwBwAGUAbgBpAG4AZwAgAGEAbgBkACAAYwBsAG8AcwBpAG4AZwAuALYAXAAiACAAJgBcAG4AIAAgACAAIAAgACAAIAAgACAAIAAgACAAIAAgACAAIAAgACAAIAAgACAAIAAgACAAIAAgACAAIABcACIAUAB1AHIAYwBoAGEAcwBlAHMAIAAgACAAIAAgACAAkiEoAFIAZQBxAHUAaQByAGUAZAApACAAQwByAGUAZABpAHQAIABwAHUAcgBjAGgAYQBzAGUAcwAsACAAbwByACAAYwBvAHMAdAAgAG8AZgAgAHMAYQBsAGUAcwAsACAAbwB2AGUAcgAgAHQAaABlACAAcwBhAG0AZQAgAEQAYQB5AHMALgC2AFwAIgAgACYAXABuACAAIAAgACAAIAAgACAAIAAgACAAIAAgACAAIAAgACAAIAAgACAAIAAgACAAIAAgACAAIAAgACAAXAAiAEQAYQB5AHMAIAAgACAAIAAgACAAIAAgACAAIAAgAJIhKABPAHAAdABpAG8AbgBhAGwAOgAgAEQAZQBmAGEAdQBsAHQAIAA9ACAAMwA2ADUAKQAgAEQAYQB5AHMAIAB0AGgAZQAgAFAAdQByAGMAaABhAHMAZQBzACAAZgBpAGcAdQByAGUAIABjAG8AdgBlAHIAc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FAAYQB5AGEAYgBsAGUARABhAHkAcwC7AygANgA0ADAAMAAwACwAIAA3ADgAMAAwADAAMAApALYAXAAiACAAJgBcAG4AIAAgACAAIAAgACAAIAAgACAAIAAgACAAIAAgACAAIAAgACAAIAAgACAAIAAgACAAIAAgACAAIABcACIAkiFSAGUAcwB1AGwAdAC2AFwAIgAgACYAXABuACAAIAAgACAAIAAgACAAIAAgACAAIAAgACAAIAAgACAAIAAgACAAIAAgACAAIAAgACAAIAAgACAAXAAiAJIhMgA5AC4AOQA0ADgANwBcACIALABcAG4AIAAgACAAIAAgACAAIAAgACAAIAAgACAAIAAgACAAIAAgACAAIAAgACAAIAAgACAAIAAgACAAIABcACIAkiFcACIALAAgAFwAIgC2AFwAIgBcAG4AIAAgACAAIAAgACAAIAAgACAAIAAgACAAIAAgACAAIAAgACAAIAAgACAAIAAgACAAKQApACwAXABuACAAIAAgACAALwAvACAAIABDAGgAZQBjAGsAIABpAG4AcAB1AHQAcwAgAC0AIABPAG0AaQB0AHQAZQBkACAAcgBlAHEAdQBpAHIAZQBkACAAYQByAGcAdQBtAGUAbgB0AHMAXABuACAAIAAgACAAIAAgACAAIABIAGUAbABwAD8ALAAgACAAIAAgACAAIAAgACAAIAAgAE8AUgAoAEkAUwBPAE0ASQBUAFQARQBEACgAUABhAHkAYQBiAGwAZQBzACkALAAgAEkAUwBPAE0ASQBUAFQARQBEACgAUAB1AHIAYwBoAGEAcwBlAHMAKQApACwAXABuACAAIAAgACAALwAvACAAIABQAHIAbwBjAGUAZAB1AHIAZQBcAG4AIAAgACAAIAAvAC8AIAAgAEEAbgAgAG8AbQBpAHQAdABlAGQAIABEAGEAeQBzACwAIABhACAAYgBsAGEAbgBrACAAYwBlAGwAbAAgAG8AcgAgAGEAbgAgAGUAbQBwAHQAeQAgAHMAdAByAGkAbgBnACAAaQBzACAAMwA2ADUALAAgAHIAbwB3ACAAYgB5ACAAcgBvAHcAOwAgAGEAbgB5AHQAaABpAG4AZwAgAGUAbABzAGUAXABuACAAIAAgACAALwAvACAAIAB0AGgAYQB0ACAAaQBzACAAbgBvAHQAIABhACAAbgB1AG0AYgBlAHIAIABpAHMAIAAjAFYAQQBMAFUARQAhACwAIABhAHMAIABpAG4AIABSAGUAYwBlAGkAdgBhAGIAbABlAEQAYQB5AHMAuwMoACkAXABuACAAIAAgACAAIAAgACAAIABQAGUAcgBpAG8AZAAsACAAIAAgACAAIAAgACAAIAAgAEkARgAoAEkAUwBPAE0ASQBUAFQARQBEACgARABhAHkAcwApACwAIAAzADYANQAsACAASQBGACgARABhAHkAcwAgAD0AIABcACIAXAAiACwAIAAzADYANQAsACAASQBGACgASQBTAE4AVQBNAEIARQBSACgARABhAHkAcwApACwAIABEAGEAeQBzACwAIAAjAFYAQQBMAFUARQAhACkAKQApACwAXABuACAAIAAgACAAIAAgACAAIABSAGUAcwB1AGwAdAAsACAAIAAgACAAIAAgACAAIAAgAEkARgAoAFAAZQByAGkAbwBkACAAPAA9ACAAMAAsACAAIwBOAFUATQAhACwAIABQAGEAeQBhAGIAbABlAHMAIAAvACAAUAB1AHIAYwBoAGEAcwBlAHMAIAAqACAAUABlAHIAaQBvAGQAKQAsAFwAbgAgACAAIAAgAC8ALwAgACAAUgBlAHQAdQByAG4AIABSAGUAcwB1AGwAdAAgAG8AcgAgAEgAZQBsAHAAXABuACAAIAAgACAAIAAgACAAIABDAEgATwBPAFMARQAoACAASABlAGwAcAA/ACAAKwAgADEALAAgAFIAZQBzAHUAbAB0ACwAIABIAGUAbABwACkAXABuACAAIAAgACAAKQBcAG4AKQA7AFwAbgBcAG4AXABuAC8AKgAgACAARgBVAE4AQwBUAEkATwBOACAATgBBAE0ARQA6ACAAIABXAEkAUABEAGEAeQBzALsDXABuACAAIAAgACAARABFAFMAQwBSAEkAUABUAEkATwBOADoAKgAvAC8AKgAqAFcAbwByAGsAIABpAG4AIABwAHIAbwBnAHIAZQBzAHMAIABkAGEAeQBzADoAIABXAEkAUAAgAC8AIABSAGUAbABhAHQAZQBkAEYAbABvAHcAIAB4ACAARABhAHkAcwAsACAAdwBpAHQAaAAgAGIAbwB0AGgAIABvAG4AIABvAG4AZQAgAHYAYQBsAHUAYQB0AGkAbwBuACAAYgBhAHMAaQBzACoALwBcAG4AXABuAFcASQBQAEQAYQB5AHMAuwMgAD0AIABMAEEATQBCAEQAQQAoAFwAbgAvAC8AIAAgAFAAYQByAGEAbQBlAHQAZQByACAARABlAGMAbABhAHIAYQB0AGkAbwBuAFwAbgAgACAAIAAgAFsAVwBJAFAAXQAsAFwAbgAgACAAIAAgAFsAUgBlAGwAYQB0AGUAZABGAGwAbwB3AF0ALABcAG4AIAAgACAAIABbAEQAYQB5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kiFXAEkAUABEAGEAeQBzALsDKABXAEkAUAAsACAAUgBlAGwAYQB0AGUAZABGAGwAbwB3ACwAIABbAEQAYQB5AHMAXQApALYAXAAiACAAJgBcAG4AIAAgACAAIAAgACAAIAAgACAAIAAgACAAIAAgACAAIAAgACAAIAAgACAAIAAgACAAIAAgACAAIABcACIARABFAFMAQwBSAEkAUABUAEkATwBOADoAIAAgACAAkiFXAG8AcgBrACAAaQBuACAAcAByAG8AZwByAGUAcwBzACAAZABhAHkAcwA6ACAAdABoAGUAIABkAGEAeQBzACAAbwBmACAAdwBvAHIAawAgAGQAbwBuAGUAIABiAHUAdAAgAG4AbwB0ACAAeQBlAHQAIABiAGkAbABsAGUAZAAgAG8AcgAgAGMAbwBtAHAAbABlAHQAZQBkAC4AtgBOAE8AVABFAFMAIQAgACAAIAAgACAAIAAgACAAIACSIVcASQBQACAALwAgAFIAZQBsAGEAdABlAGQARgBsAG8AdwAgACoAIABEAGEAeQBzAC4AIABXAEkAUAAgAGEAbgBkACAAUgBlAGwAYQB0AGUAZABGAGwAbwB3ACAAbQB1AHMAdAAgAHUAcwBlACAAdABoAGUAIABzAGEAbQBlACAAdgBhAGwAdQBhAHQAaQBvAG4AtgAgACAAIAAgACAAIAAgACAAIAAgACAAIAAgACAAIACSIWIAYQBzAGkAcwA6ACAAZgBlAGUAIAByAGUAdgBlAG4AdQBlACAAdwBpAHQAaAAgAFcASQBQACAAYQB0ACAAYwBoAGEAcgBnAGUALQBvAHUAdAAgAHYAYQBsAHUAZQAsACAAYQBzACAAYQAgAHAAcgBvAGYAZQBzAHMAaQBvAG4AYQBsACAAcwBlAHIAdgBpAGMAZQBzALYAIAAgACAAIAAgACAAIAAgACAAIAAgACAAIAAgACAAkiFmAGkAcgBtACAAcgBlAGMAbwByAGQAcwAgAGkAdAAsACAAbwByACAAYwBvAHMAdAAgAG8AZgAgAHMAYQBsAGUAcwAgAHcAaQB0AGgAIABXAEkAUAAgAGEAdAAgAGMAbwBzAHQALgAgAEQAYQB5AHMAIABpAHMAIAB0AGgAZQAgAG4AdQBtAGIAZQByACAAbwBmALYAIAAgACAAIAAgACAAIAAgACAAIAAgACAAIAAgACAAkiFkAGEAeQBzACAAdABoAGUAIABSAGUAbABhAHQAZQBkAEYAbABvAHcAIABmAGkAZwB1AHIAZQAgAGMAbwB2AGUAcgBzAC4AIABXAEkAUAAgAGQAYQB5AHMAIABwAGwAdQBzACAAUgBlAGMAZQBpAHYAYQBiAGwAZQBEAGEAeQBzALsDKAApACAAZwBpAHYAZQBzALYAIAAgACAAIAAgACAAIAAgACAAIAAgACAAIAAgACAAkiF0AGgAZQAgAGwAbwBjAGsALQB1AHAAIABkAGEAeQBzACAAYQAgAHMAZQByAHYAaQBjAGUAcwAgAGYAaQByAG0AIAB0AHIAYQBjAGsAcwAuACAAUgBlAGwAYQB0AGUAZABGAGwAbwB3ACAAbwBmACAAMAAgAHIAZQB0AHUAcgBuAHMAIAAjAEQASQBWAC8AMAAhACwAtgAgACAAIAAgACAAIAAgACAAIAAgACAAIAAgACAAIACSIWEAbgBkACAARABhAHkAcwAgAG8AZgAgADAAIABvAHIAIABsAGUAcwBzACAAcgBlAHQAdQByAG4AcwAgACMATgBVAE0AIQAuALYAXAAiACAAJgBcAG4AIAAgACAAIAAgACAAIAAgACAAIAAgACAAIAAgACAAIAAgACAAIAAgACAAIAAgACAAIAAgACAAIABcACIAVwBFAEIAUABBAEcARQA6ACAAIAAgACAAIAAgACAAkiFoAHQAdABwAHMAOgAvAC8AZwBpAHQAaAB1AGIALgBjAG8AbQAvAHIAeQBhAG4AZAB1AGcAdQBpAGQALwBPAHoAegBpAHQALwBiAGwAbwBiAC8AbQBhAGkAbgAvAGQAbwBjAHMALwByAGEAdABpAG8ALQBkAGUAZgBpAG4AaQB0AGkAbwBuAHMALgBtAGQAtgBcACIAIAAmAFwAbgAgACAAIAAgACAAIAAgACAAIAAgACAAIAAgACAAIAAgACAAIAAgACAAIAAgACAAIAAgACAAIAAgAFwAIgBWAEUAUgBTAEkATwBOADoAIAAgACAAIAAgACAAIACSITIAOQAgAFMAZQBwACAAMgAwADIANgC2AFwAIgAgACYAXABuACAAIAAgACAAIAAgACAAIAAgACAAIAAgACAAIAAgACAAIAAgACAAIAAgACAAIAAgACAAIAAgACAAXAAiAFAAQQBSAEEATQBFAFQARQBSAFMAOgAgACAAIAAgAJIhtgBcACIAIAAmAFwAbgAgACAAIAAgACAAIAAgACAAIAAgACAAIAAgACAAIAAgACAAIAAgACAAIAAgACAAIAAgACAAIAAgAFwAIgBXAEkAUAAgACAAIAAgACAAIAAgACAAIAAgACAAIACSISgAUgBlAHEAdQBpAHIAZQBkACkAIABXAG8AcgBrACAAaQBuACAAcAByAG8AZwByAGUAcwBzADoAIAB0AGgAZQAgAGMAbABvAHMAaQBuAGcAIABiAGEAbABhAG4AYwBlACwAIABvAHIAIAB0AGgAZQAgAGEAdgBlAHIAYQBnAGUAIABvAGYAIABvAHAAZQBuAGkAbgBnACAAYQBuAGQAIABjAGwAbwBzAGkAbgBnAC4AtgBcACIAIAAmAFwAbgAgACAAIAAgACAAIAAgACAAIAAgACAAIAAgACAAIAAgACAAIAAgACAAIAAgACAAIAAgACAAIAAgAFwAIgBSAGUAbABhAHQAZQBkAEYAbABvAHcAIAAgACAAIACSISgAUgBlAHEAdQBpAHIAZQBkACkAIABGAGUAZQAgAHIAZQB2AGUAbgB1AGUAIABvAHIAIABjAG8AcwB0ACAAbwBmACAAcwBhAGwAZQBzACAAbwB2AGUAcgAgAHQAaABlACAAcwBhAG0AZQAgAEQAYQB5AHMALAAgAG8AbgAgAHQAaABlACAAdgBhAGwAdQBhAHQAaQBvAG4AIABiAGEAcwBpAHMAIABvAGYAIABXAEkAUAAuALYAXAAiACAAJgBcAG4AIAAgACAAIAAgACAAIAAgACAAIAAgACAAIAAgACAAIAAgACAAIAAgACAAIAAgACAAIAAgACAAIABcACIARABhAHkAcwAgACAAIAAgACAAIAAgACAAIAAgACAAkiEoAE8AcAB0AGkAbwBuAGEAbAA6ACAARABlAGYAYQB1AGwAdAAgAD0AIAAzADYANQApACAARABhAHkAcwAgAHQAaABlACAAUgBlAGwAYQB0AGUAZABGAGwAbwB3ACAAZgBpAGcAdQByAGUAIABjAG8AdgBlAHIAcw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FcASQBQAEQAYQB5AHMAuwMoADQAMgAwADAAMAAsACAANQAxADAAMAAwADAAKQC2AFwAIgAgACYAXABuACAAIAAgACAAIAAgACAAIAAgACAAIAAgACAAIAAgACAAIAAgACAAIAAgACAAIAAgACAAIAAgACAAXAAiAJIhUgBlAHMAdQBsAHQAtgBcACIAIAAmAFwAbgAgACAAIAAgACAAIAAgACAAIAAgACAAIAAgACAAIAAgACAAIAAgACAAIAAgACAAIAAgACAAIAAgAFwAIgCSITMAMAAuADAANQA4ADgAXAAiACwAXABuACAAIAAgACAAIAAgACAAIAAgACAAIAAgACAAIAAgACAAIAAgACAAIAAgACAAIAAgACAAIAAgACAAXAAiAJIhXAAiACwAIABcACIAtgBcACIAXABuACAAIAAgACAAIAAgACAAIAAgACAAIAAgACAAIAAgACAAIAAgACAAIAAgACAAIAAgACkAKQAsAFwAbgAgACAAIAAgAC8ALwAgACAAQwBoAGUAYwBrACAAaQBuAHAAdQB0AHMAIAAtACAATwBtAGkAdAB0AGUAZAAgAHIAZQBxAHUAaQByAGUAZAAgAGEAcgBnAHUAbQBlAG4AdABzAFwAbgAgACAAIAAgACAAIAAgACAASABlAGwAcAA/ACwAIAAgACAAIAAgACAAIAAgACAAIABPAFIAKABJAFMATwBNAEkAVABUAEUARAAoAFcASQBQACkALAAgAEkAUwBPAE0ASQBUAFQARQBEACgAUgBlAGwAYQB0AGUAZABGAGwAbwB3ACkAKQAsAFwAbgAgACAAIAAgAC8ALwAgACAAUAByAG8AYwBlAGQAdQByAGUAXABuACAAIAAgACAALwAvACAAIABBAG4AIABvAG0AaQB0AHQAZQBkACAARABhAHkAcwAsACAAYQAgAGIAbABhAG4AawAgAGMAZQBsAGwAIABvAHIAIABhAG4AIABlAG0AcAB0AHkAIABzAHQAcgBpAG4AZwAgAGkAcwAgADMANgA1ACwAIAByAG8AdwAgAGIAeQAgAHIAbwB3ADsAIABhAG4AeQB0AGgAaQBuAGcAIABlAGwAcwBlAFwAbgAgACAAIAAgAC8ALwAgACAAdABoAGEAdAAgAGkAcwAgAG4AbwB0ACAAYQAgAG4AdQBtAGIAZQByACAAaQBzACAAIwBWAEEATABVAEUAIQAsACAAYQBzACAAaQBuACAAUgBlAGMAZQBpAHYAYQBiAGwAZQBEAGEAeQBzALsDKAApAFwAbgAgACAAIAAgACAAIAAgACAAUABlAHIAaQBvAGQALAAgACAAIAAgACAAIAAgACAAIABJAEYAKABJAFMATwBNAEkAVABUAEUARAAoAEQAYQB5AHMAKQAsACAAMwA2ADUALAAgAEkARgAoAEQAYQB5AHMAIAA9ACAAXAAiAFwAIgAsACAAMwA2ADUALAAgAEkARgAoAEkAUwBOAFUATQBCAEUAUgAoAEQAYQB5AHMAKQAsACAARABhAHkAcwAsACAAIwBWAEEATABVAEUAIQApACkAKQAsAFwAbgAgACAAIAAgACAAIAAgACAAUgBlAHMAdQBsAHQALAAgACAAIAAgACAAIAAgACAAIABJAEYAKABQAGUAcgBpAG8AZAAgADwAPQAgADAALAAgACMATgBVAE0AIQAsACAAVwBJAFAAIAAvACAAUgBlAGwAYQB0AGUAZABGAGwAbwB3ACAAKgAgAFAAZQByAGkAbwBkACk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QwBhAHMAaABDAG8AbgB2AGUAcgBzAGkAbwBuAEMAeQBjAGwAZQC7A1wAbgAgACAAIAAgAEQARQBTAEMAUgBJAFAAVABJAE8ATgA6ACoALwAvACoAKgBDAGEAcwBoACAAYwBvAG4AdgBlAHIAcwBpAG8AbgAgAGMAeQBjAGwAZQAgAGkAbgAgAGQAYQB5AHMAOgAgAGkAbgB2AGUAbgB0AG8AcgB5ACAAZABhAHkAcwAgACsAIABXAEkAUAAgAGQAYQB5AHMAIAArACAAcgBlAGMAZQBpAHYAYQBiAGwAZQAgAGQAYQB5AHMAIAAtACAAcABhAHkAYQBiAGwAZQAgAGQAYQB5AHMAKgAvAFwAbgBcAG4AQwBhAHMAaABDAG8AbgB2AGUAcgBzAGkAbwBuAEMAeQBjAGwAZQC7AyAAPQAgAEwAQQBNAEIARABBACgAXABuAC8ALwAgACAAUABhAHIAYQBtAGUAdABlAHIAIABEAGUAYwBsAGEAcgBhAHQAaQBvAG4AXABuACAAIAAgACAAWwBJAG4AdgBlAG4AdABvAHIAeQBEAGEAeQBzAF0ALABcAG4AIAAgACAAIABbAFIAZQBjAGUAaQB2AGEAYgBsAGUARABhAHkAcwBdACwAXABuACAAIAAgACAAWwBQAGEAeQBhAGIAbABlAEQAYQB5AHMAXQAsAFwAbgAgACAAIAAgAFsAVwBJAFAARABhAHkAcwBdACwAXABuACAAIAAgACAATABFAFQAKABcAG4AIAAgACAAIAAvAC8AIAAgAEgAZQBsAHAAXABuACAAIAAgACAAIAAgACAAIABIAGUAbABwACwAIAAgACAAIAAgACAAIAAgACAAIAAgAFQAUgBJAE0AKABUAEUAWABUAFMAUABMAEkAVAAoAFwAbgAgACAAIAAgACAAIAAgACAAIAAgACAAIAAgACAAIAAgACAAIAAgACAAIAAgACAAIAAgACAAIAAgAFwAIgBGAFUATgBDAFQASQBPAE4AOgAgACAAIAAgACAAIACSIUMAYQBzAGgAQwBvAG4AdgBlAHIAcwBpAG8AbgBDAHkAYwBsAGUAuwMoAEkAbgB2AGUAbgB0AG8AcgB5AEQAYQB5AHMALAAgAFIAZQBjAGUAaQB2AGEAYgBsAGUARABhAHkAcwAsACAAUABhAHkAYQBiAGwAZQBEAGEAeQBzACwAIABbAFcASQBQAEQAYQB5AHMAXQApALYAXAAiACAAJgBcAG4AIAAgACAAIAAgACAAIAAgACAAIAAgACAAIAAgACAAIAAgACAAIAAgACAAIAAgACAAIAAgACAAIABcACIARABFAFMAQwBSAEkAUABUAEkATwBOADoAIAAgACAAkiFDAGEAcwBoACAAYwBvAG4AdgBlAHIAcwBpAG8AbgAgAGMAeQBjAGwAZQA6ACAAdABoAGUAIABkAGEAeQBzACAAYgBlAHQAdwBlAGUAbgAgAHAAYQB5AGkAbgBnACAAcwB1AHAAcABsAGkAZQByAHMAIABhAG4AZAAgAGMAbwBsAGwAZQBjAHQAaQBuAGcAIABmAHIAbwBtACAAYwB1AHMAdABvAG0AZQByAHMALgC2AE4ATwBUAEUAUwAhACAAIAAgACAAIAAgACAAIAAgAJIhSQBuAHYAZQBuAHQAbwByAHkARABhAHkAcwAgACsAIABXAEkAUABEAGEAeQBzACAAKwAgAFIAZQBjAGUAaQB2AGEAYgBsAGUARABhAHkAcwAgAC0AIABQAGEAeQBhAGIAbABlAEQAYQB5AHMALgAgAFAAYQBzAHMAIABkAGEAeQAgAGMAbwB1AG4AdABzACwAtgAgACAAIAAgACAAIAAgACAAIAAgACAAIAAgACAAIACSIWYAbwByACAAZQB4AGEAbQBwAGwAZQAgAGYAcgBvAG0AIABEAFMASQC7AygAKQAsACAAUgBlAGMAZQBpAHYAYQBiAGwAZQBEAGEAeQBzALsDKAApACwAIABQAGEAeQBhAGIAbABlAEQAYQB5AHMAuwMoACkAIABhAG4AZAAgAFcASQBQAEQAYQB5AHMAuwMoACkALAC2ACAAIAAgACAAIAAgACAAIAAgACAAIAAgACAAIAAgAJIhdwBpAHQAaAAgAGUAdgBlAHIAeQAgAGMAbwBtAHAAbwBuAGUAbgB0ACAAbwBuACAAdABoAGUAIABzAGEAbQBlACAAcABlAHIAaQBvAGQAIABiAGEAcwBpAHMALgAgAEQAUwBJALsDKAApACAAbQB1AGwAdABpAHAAbABpAGUAcwAgAGIAeQAgADMANgA1ALYAIAAgACAAIAAgACAAIAAgACAAIAAgACAAIAAgACAAkiFhAG4AZAAgAGUAeABwAGUAYwB0AHMAIABhACAAZgB1AGwAbAAgAHkAZQBhAHIAJwBzACAAYwBvAHMAdAAgAG8AZgAgAGcAbwBvAGQAcwAgAHMAbwBsAGQALAAgAHMAbwAgAGYAbwByACAAYQAgAHMAaABvAHIAdABlAHIAIAB3AGkAbgBkAG8AdwC2ACAAIAAgACAAIAAgACAAIAAgACAAIAAgACAAIAAgAJIhYQBuAG4AdQBhAGwAaQBzAGUAIAB0AGgAYQB0ACAAdwBpAG4AZABvAHcAJwBzACAAYwBvAHMAdAAgAG8AZgAgAGcAbwBvAGQAcwAgAHMAbwBsAGQAIABiAGUAZgBvAHIAZQAgAHAAYQBzAHMAaQBuAGcAIABpAHQALgAgAEEAIABuAGUAZwBhAHQAaQB2AGUAtgAgACAAIAAgACAAIAAgACAAIAAgACAAIAAgACAAIACSIXIAZQBzAHUAbAB0ACAAbQBlAGEAbgBzACAAcwB1AHAAcABsAGkAZQByAHMAIABhAHIAZQAgAHAAYQBpAGQAIABhAGYAdABlAHIAIABjAHUAcwB0AG8AbQBlAHIAcwAgAHAAYQB5AC4AIABBAG4AIABvAG0AaQB0AHQAZQBkACAAbwByACAAYgBsAGEAbgBrALYAIAAgACAAIAAgACAAIAAgACAAIAAgACAAIAAgACAAkiFXAEkAUABEAGEAeQBzACAAYwBvAHUAbgB0AHMAIABhAHMAIAAwAC4AIABQAGEAcwBzACAAVwBJAFAARABhAHkAcwAgAG8AbgBsAHkAIAB3AGgAZQByAGUAIABXAEkAUAAgAGkAcwAgAG4AbwB0ACAAYQBsAHIAZQBhAGQAeQAgAGkAbgAgAHQAaABlALYAIAAgACAAIAAgACAAIAAgACAAIAAgACAAIAAgACAAkiFpAG4AdgBlAG4AdABvAHIAeQAgAGIAZQBoAGkAbgBkACAASQBuAHYAZQBuAHQAbwByAHkARABhAHkAcwAsACAAbwByACAAaQB0ACAAaQBzACAAYwBvAHUAbgB0AGUAZAAgAHQAdwBpAGMAZQAuALYAXAAiACAAJgBcAG4AIAAgACAAIAAgACAAIAAgACAAIAAgACAAIAAgACAAIAAgACAAIAAgACAAIAAgACAAIAAgACAAIABcACIAVwBFAEIAUABBAEcARQA6ACAAIAAgACAAIAAgACAAkiFoAHQAdABwAHMAOgAvAC8AZwBpAHQAaAB1AGIALgBjAG8AbQAvAHIAeQBhAG4AZAB1AGcAdQBpAGQALwBPAHoAegBpAHQALwBiAGwAbwBiAC8AbQBhAGkAbgAvAGQAbwBjAHMALwByAGEAdABpAG8ALQBkAGUAZgBpAG4AaQB0AGkAbwBuAHMALgBtAGQAtgBcACIAIAAmAFwAbgAgACAAIAAgACAAIAAgACAAIAAgACAAIAAgACAAIAAgACAAIAAgACAAIAAgACAAIAAgACAAIAAgAFwAIgBWAEUAUgBTAEkATwBOADoAIAAgACAAIAAgACAAIACSITIAOQAgAFMAZQBwACAAMgAwADIANgC2AFwAIgAgACYAXABuACAAIAAgACAAIAAgACAAIAAgACAAIAAgACAAIAAgACAAIAAgACAAIAAgACAAIAAgACAAIAAgACAAXAAiAFAAQQBSAEEATQBFAFQARQBSAFMAOgAgACAAIAAgAJIhtgBcACIAIAAmAFwAbgAgACAAIAAgACAAIAAgACAAIAAgACAAIAAgACAAIAAgACAAIAAgACAAIAAgACAAIAAgACAAIAAgAFwAIgBJAG4AdgBlAG4AdABvAHIAeQBEAGEAeQBzACAAIACSISgAUgBlAHEAdQBpAHIAZQBkACkAIABJAG4AdgBlAG4AdABvAHIAeQAgAGQAYQB5AHMALAAgAGYAbwByACAAZQB4AGEAbQBwAGwAZQAgAGYAcgBvAG0AIABEAFMASQC7AygAKQAuALYAXAAiACAAJgBcAG4AIAAgACAAIAAgACAAIAAgACAAIAAgACAAIAAgACAAIAAgACAAIAAgACAAIAAgACAAIAAgACAAIABcACIAUgBlAGMAZQBpAHYAYQBiAGwAZQBEAGEAeQBzACAAkiEoAFIAZQBxAHUAaQByAGUAZAApACAAUgBlAGMAZQBpAHYAYQBiAGwAZQAgAGQAYQB5AHMALAAgAGYAbwByACAAZQB4AGEAbQBwAGwAZQAgAGYAcgBvAG0AIABSAGUAYwBlAGkAdgBhAGIAbABlAEQAYQB5AHMAuwMoACkALgC2AFwAIgAgACYAXABuACAAIAAgACAAIAAgACAAIAAgACAAIAAgACAAIAAgACAAIAAgACAAIAAgACAAIAAgACAAIAAgACAAXAAiAFAAYQB5AGEAYgBsAGUARABhAHkAcwAgACAAIAAgAJIhKABSAGUAcQB1AGkAcgBlAGQAKQAgAFAAYQB5AGEAYgBsAGUAIABkAGEAeQBzACwAIABmAG8AcgAgAGUAeABhAG0AcABsAGUAIABmAHIAbwBtACAAUABhAHkAYQBiAGwAZQBEAGEAeQBzALsDKAApAC4AtgBcACIAIAAmAFwAbgAgACAAIAAgACAAIAAgACAAIAAgACAAIAAgACAAIAAgACAAIAAgACAAIAAgACAAIAAgACAAIAAgAFwAIgBXAEkAUABEAGEAeQBzACAAIAAgACAAIAAgACAAIACSISgATwBwAHQAaQBvAG4AYQBsADoAIABEAGUAZgBhAHUAbAB0ACAAPQAgADAAKQAgAFcAbwByAGsAIABpAG4AIABwAHIAbwBnAHIAZQBzAHMAIABkAGEAeQBzACwAIABmAG8AcgAgAGUAeABhAG0AcABsAGUAIABmAHIAbwBtACAAVwBJAFAARABhAHkAcwC7AygAKQAuALYAXAAiACAAJgBcAG4AIAAgACAAIAAgACAAIAAgACAAIAAgACAAIAAgACAAIAAgACAAIAAgACAAIAAgACAAIAAgACAAIABcACIARQBYAEEATQBQAEwARQBTADoAIAAgACAAIAAgACAAkiG2AFwAIgAgACYAXABuACAAIAAgACAAIAAgACAAIAAgACAAIAAgACAAIAAgACAAIAAgACAAIAAgACAAIAAgACAAIAAgACAAXAAiAJIhRgBvAHIAbQB1AGwAYQAgACgAbwB6ACAAaQBzACAAYQBzAHMAdQBtAGUAZAAgAHQAbwAgAGIAZQAgAHQAaABlACAAbQBvAGQAdQBsAGUAJwBzACAAbgBhAG0AZQApALYAXAAiACAAJgBcAG4AIAAgACAAIAAgACAAIAAgACAAIAAgACAAIAAgACAAIAAgACAAIAAgACAAIAAgACAAIAAgACAAIABcACIAkiE9AG8AegAuAEMAYQBzAGgAQwBvAG4AdgBlAHIAcwBpAG8AbgBDAHkAYwBsAGUAuwMoADQAMAAuADgAOQA0ADkALAAgADMAOAAuADAAMgAwADgALAAgADIAOQAuADkANAA4ADcAKQC2AFwAIgAgACYAXABuACAAIAAgACAAIAAgACAAIAAgACAAIAAgACAAIAAgACAAIAAgACAAIAAgACAAIAAgACAAIAAgACAAXAAiAJIhUgBlAHMAdQBsAHQAtgBcACIAIAAmAFwAbgAgACAAIAAgACAAIAAgACAAIAAgACAAIAAgACAAIAAgACAAIAAgACAAIAAgACAAIAAgACAAIAAgAFwAIgCSITQAOAAuADkANgA3AFwAIgAsAFwAbgAgACAAIAAgACAAIAAgACAAIAAgACAAIAAgACAAIAAgACAAIAAgACAAIAAgACAAIAAgACAAIAAgAFwAIgCSIVwAIgAsACAAXAAiALYAXAAiAFwAbgAgACAAIAAgACAAIAAgACAAIAAgACAAIAAgACAAIAAgACAAIAAgACAAIAAgACAAIAApACkALABcAG4AIAAgACAAIAAvAC8AIAAgAEMAaABlAGMAawAgAGkAbgBwAHUAdABzACAALQAgAE8AbQBpAHQAdABlAGQAIAByAGUAcQB1AGkAcgBlAGQAIABhAHIAZwB1AG0AZQBuAHQAcwBcAG4AIAAgACAAIAAgACAAIAAgAEgAZQBsAHAAPwAsACAAIAAgACAAIAAgACAAIAAgACAATwBSACgASQBTAE8ATQBJAFQAVABFAEQAKABJAG4AdgBlAG4AdABvAHIAeQBEAGEAeQBzACkALAAgAEkAUwBPAE0ASQBUAFQARQBEACgAUgBlAGMAZQBpAHYAYQBiAGwAZQBEAGEAeQBzACkALAAgAEkAUwBPAE0ASQBUAFQARQBEACgAUABhAHkAYQBiAGwAZQBEAGEAeQBzACkAKQAsAFwAbgAgACAAIAAgAC8ALwAgACAAUAByAG8AYwBlAGQAdQByAGUAXABuACAAIAAgACAALwAvACAAIABBAG4AIABvAG0AaQB0AHQAZQBkACAAVwBJAFAARABhAHkAcwAsACAAYQAgAGIAbABhAG4AawAgAGMAZQBsAGwAIABvAHIAIABhAG4AIABlAG0AcAB0AHkAIABzAHQAcgBpAG4AZwAgAGkAcwAgADAALAAgAHIAbwB3ACAAYgB5ACAAcgBvAHcAXABuACAAIAAgACAAIAAgACAAIABXAEkAUABQAGEAcgB0ACwAIAAgACAAIAAgACAAIAAgAEkARgAoAEkAUwBPAE0ASQBUAFQARQBEACgAVwBJAFAARABhAHkAcwApACwAIAAwACwAIABJAEYAKABXAEkAUABEAGEAeQBzACAAPQAgAFwAIgBcACIALAAgADAALAAgAFcASQBQAEQAYQB5AHMAKQApACwAXABuACAAIAAgACAAIAAgACAAIABSAGUAcwB1AGwAdAAsACAAIAAgACAAIAAgACAAIAAgAEkAbgB2AGUAbgB0AG8AcgB5AEQAYQB5AHMAIAArACAAVwBJAFAAUABhAHIAdAAgACsAIABSAGUAYwBlAGkAdgBhAGIAbABlAEQAYQB5AHMAIAAtACAAUABhAHkAYQBiAGwAZQBEAGEAeQBzACwAXABuACAAIAAgACAALwAvACAAIABSAGUAdAB1AHIAbgAgAFIAZQBzAHUAbAB0ACAAbwByACAASABlAGwAcABcAG4AIAAgACAAIAAgACAAIAAgAEMASABPAE8AUwBFACgAIABIAGUAbABwAD8AIAArACAAMQAsACAAUgBlAHMAdQBsAHQALAAgAEgAZQBsAHAAKQBcAG4AIAAgACAAIAApAFwAbgApADsAIgB9ACwAewAiAHAAYQB0AGgAIgA6ACIALwBwAHIAbwBqAGUAYwB0AHMALwBVAHQAaQBsAGkAdABpAGUAcwAiACwAIgB0AGUAeAB0ACIAOgAiAC8AKgAgACAARgBVAE4AQwBUAEkATwBOACAATgBBAE0ARQA6ACAAIABBAGIAbwB1AHQAVQB0AGkAbABpAHQAaQBlAHMAuwNcAG4AIAAgACAAIABEAEUAUwBDAFIASQBQAFQASQBPAE4AOgAqAC8ALwAqACoARABpAHMAcABsAGEAeQBzACAAdABoAGkAcwAgAG0AbwBkAHUAbABlACcAcwAgAHIAZQBwAG8AcwBpAHQAbwByAHkAIABVAFIATAAgAGEAbgBkACAAZgB1AG4AYwB0AGkAbwBuACAAbABpAHMAdAAqAC8AXABuAFwAbgBBAGIAbwB1AHQAVQB0AGkAbABpAHQAaQBlAHMAuwMgAD0AIABUAFIASQBNACgAVABFAFgAVABTAFAATABJAFQAKABcAG4AIAAgACAAIABcACIAQQBiAG8AdQB0ADoAIAAgACAAIAAgACAAIAAgACAAIAAgACAAIAAgACAAIAAgACAAIAAgACAAkiFCAGEAcwBpAGMAIABmAHUAbgBjAHQAaQBvAG4AcwAgAGYAbwByACAAdwBvAHIAawBpAG4AZwAgAHcAaQB0AGgAIABkAHkAbgBhAG0AaQBjACAAYQByAHIAYQB5AHMALgAgAFMAdQBnAGcAZQBzAHQAZQBkACAAbQBvAGQAdQBsAGUAIABuAGEAbQBlADoAIABvAHoAtgBcACIAIAAmAFwAbgAgACAAIAAgAFwAIgBWAGUAcgBzAGkAbwBuADoAIAAgACAAIAAgACAAIAAgACAAIAAgACAAIAAgACAAIAAgACAAIACSITIAMAAgAEEAdQBnACAAMgAwADIANgC2AFwAIgAgACYAXABuACAAIAAgACAAXAAiAFIAZQBwAG8AcwBpAHQAbwByAHkAOgAgACAAIAAgACAAIAAgACAAIAAgACAAIAAgACAAIAAgACAAIACSIWgAdAB0AHAAcwA6AC8ALwBnAGkAdABoAHUAYgAuAGMAbwBtAC8AcgB5AGEAbgBkAHUAZwB1AGkAZAAvAE8AegB6AGkAdAAgALYAXAAiACAAJgBcAG4AIAAgACAAIABcACIAkiG2AFwAIgAgACYAXABuACAAIAAgACAAXAAiAEYAdQBuAGMAdABpAG8AbgAgACAAIAAgACAAIAAgACAAIAAgACAAIAAgACAAIAAgACAAIAAgAJIhRABlAHMAYwByAGkAcAB0AGkAbwBuALYAXAAiACAAJgAgAFwAbgAgACAAIAAgAFwAIgBBAGIAbwB1AHQAVQB0AGkAbABpAHQAaQBlAHMAuwMgACAAIAAgACAAIAAgACAAIAAgACAAIAAgACAAIAAgACAAIAAgACAAIACSIVAAcgBvAGQAdQBjAGUAcwAgAHQAaABpAHMAIAB0AGEAYgBsAGUAtgBcACIAIAAmACAAXABuACAAIAAgACAAXAAiAEMAbwB1AG4AdABDAFUAuwMgACAAIAAgACAAIAAgACAAIAAgACAAIAAgACAAIAAgACAAIAAgACAAkiFDAG8AdQBuAHQAIABoAG8AdwAgAG0AYQBuAHkAIABvAGYAIABvAG4AZQAgAG8AcgAgAG0AbwByAGUAIABjAGgAYQByAGEAYwB0AGUAcgBzACAAYQByAGUAIABpAG4AIABhACAAdABlAHgAdAAgAHMAdAByAGkAbgBnALYAXAAiACAAJgBcAG4AIAAgACAAIABcACIAUwB1AG0AQwBvAGwAcwBVALsDIAAgACAAIAAgACAAIAAgACAAIAAgACAAIAAgACAAIAAgACAAIACSIUcAZQB0ACAAdABoAGUAIAB0AG8AdABhAGwAIABvAGYAIABlAGEAYwBoACAAYwBvAGwAdQBtAG4AtgBcACIAIAAmACAAXABuACAAIAAgACAAXAAiAFMAdQBtAFIAbwB3AHMAVQC7AyAAIAAgACAAIAAgACAAIAAgACAAIAAgACAAIAAgACAAIAAgACAAkiFHAGUAdAAgAHQAaABlACAAdABvAHQAYQBsACAAbwBmACAAZQBhAGMAaAAgAHIAbwB3ALYAXAAiACAAJgAgAFwAbgAgACAAIAAgAFwAIgBBAHYAZwBDAG8AbABzAFUAuwMgACAAIAAgACAAIAAgACAAIAAgACAAIAAgACAAIAAgACAAIAAgAJIhRwBlAHQAIAB0AGgAZQAgAGEAdgBlAHIAYQBnAGUAIABvAGYAIABlAGEAYwBoACAAYwBvAGwAdQBtAG4AtgBcACIAIAAmACAAXABuACAAIAAgACAAXAAiAEEAdgBnAFIAbwB3AHMAVQC7AyAAIAAgACAAIAAgACAAIAAgACAAIAAgACAAIAAgACAAIAAgACAAkiFHAGUAdAAgAHQAaABlACAAYQB2AGUAcgBhAGcAZQAgAG8AZgAgAGUAYQBjAGgAIAByAG8AdwC2AFwAIgAgACYAIABcAG4AIAAgACAAIABcACIATQBpAG4AQwBvAGwAcwBVALsDIAAgACAAIAAgACAAIAAgACAAIAAgACAAIAAgACAAIAAgACAAIACSIUcAZQB0ACAAdABoAGUAIABtAGkAbgBpAG0AdQBtACAAbwBmACAAZQBhAGMAaAAgAGMAbwBsAHUAbQBuALYAXAAiACAAJgAgAFwAbgAgACAAIAAgAFwAIgBNAGkAbgBSAG8AdwBzAFUAuwMgACAAIAAgACAAIAAgACAAIAAgACAAIAAgACAAIAAgACAAIAAgAJIhRwBlAHQAIAB0AGgAZQAgAG0AaQBuAGkAbQB1AG0AIABvAGYAIABlAGEAYwBoACAAcgBvAHcAtgBcACIAIAAmACAAXABuACAAIAAgACAAXAAiAE0AYQB4AEMAbwBsAHMAVQC7AyAAIAAgACAAIAAgACAAIAAgACAAIAAgACAAIAAgACAAIAAgACAAkiFHAGUAdAAgAHQAaABlACAAbQBhAHgAaQBtAHUAbQAgAG8AZgAgAGUAYQBjAGgAIABjAG8AbAB1AG0AbgC2AFwAIgAgACYAIABcAG4AIAAgACAAIABcACIATQBhAHgAUgBvAHcAcwBVALsDIAAgACAAIAAgACAAIAAgACAAIAAgACAAIAAgACAAIAAgACAAIACSIUcAZQB0ACAAdABoAGUAIABtAGEAeABpAG0AdQBtACAAbwBmACAAZQBhAGMAaAAgAHIAbwB3ALYAXAAiACAAJgAgAFwAbgAgACAAIAAgAFwAIgBDAG8AdQBuAHQAQwBvAGwAcwBVALsDIAAgACAAIAAgACAAIAAgACAAIAAgACAAIAAgACAAIAAgAJIhRwBlAHQAIAB0AGgAZQAgAGMAbwB1AG4AdAAgAG8AZgAgAG4AdQBtAGIAZQByAHMAIABpAG4AIABlAGEAYwBoACAAYwBvAGwAdQBtAG4AtgBcACIAIAAmACAAXABuACAAIAAgACAAXAAiAEMAbwB1AG4AdABSAG8AdwBzAFUAuwMgACAAIAAgACAAIAAgACAAIAAgACAAIAAgACAAIAAgACAAkiFHAGUAdAAgAHQAaABlACAAYwBvAHUAbgB0ACAAbwBmACAAbgB1AG0AYgBlAHIAcwAgAGkAbgAgAGUAYQBjAGgAIAByAG8AdwC2AFwAIgAgACYAIABcAG4AIAAgACAAIABcACIAQwBvAHUAbgB0AEEAQwBvAGwAcwBVALsDIAAgACAAIAAgACAAIAAgACAAIAAgACAAIAAgACAAIACSIUcAZQB0ACAAdABoAGUAIABjAG8AdQBuAHQAIABvAGYAIABlAHYAZQByAHkAdABoAGkAbgBnACAAbwBmACAAZQBhAGMAaAAgAGMAbwBsAHUAbQBuALYAXAAiACAAJgAgAFwAbgAgACAAIAAgAFwAIgBDAG8AdQBuAHQAQQBSAG8AdwBzAFUAuwMgACAAIAAgACAAIAAgACAAIAAgACAAIAAgACAAIAAgAJIhRwBlAHQAIAB0AGgAZQAgAGMAbwB1AG4AdAAgAG8AZgAgAGUAdgBlAHIAeQB0AGgAaQBuAGcAIABvAGYAIABlAGEAYwBoACAAcgBvAHcAtgBcACIAIAAmACAAXABuACAAIAAgACAAXAAiAEkAcwBCAGUAdAB3AGUAZQBuAFUAuwMgACAAIAAgACAAIAAgACAAIAAgACAAIAAgACAAIAAgACAAkiFEAGUAdABlAHIAbQBpAG4AZQAgAGkAZgAgAGEAIAB2AGEAbAB1AGUAIABpAHMAIABiAGUAdAB3AGUAZQBuACAAYQAgAGwAbwB3AGUAcgAgAGEAbgBkACAAdQBwAHAAZQByACAAbABpAG0AaQB0AC4AtgBcACIAIAAmACAAXABuACAAIAAgACAAXAAiAEkAcwBJAG4ATABpAHMAdABVALsDIAAgACAAIAAgACAAIAAgACAAIAAgACAAIAAgACAAIAAgACAAkiFEAGUAdABlAHIAbQBpAG4AZQAgAGkAZgAgAGEAIAB2AGEAbAB1AGUAIABpAHMAIABvAG4AZQAgAG8AZgAgAGEAIABsAGkAcwB0ACAAbwBmACAAaQB0AGUAbQBzAC4AtgBcACIAIAAmAFwAbgAgACAAIAAgAFwAIgBSAGEAbgBnAGUAVABvAEQAQQBVALsDIAAgACAAIAAgACAAIAAgACAAIAAgACAAIAAgACAAIAAgAJIhQwBvAG4AdgBlAHIAdAAgAGEAIAByAGEAbgBnAGUAIAByAGUAZgBlAHIAZQBuAGMAZQAgAHQAbwAgAGEAIABkAHkAbgBhAG0AaQBjACAAYQByAHIAYQB5ACAAcgBlAGYAZQByAGUAbgBjAGUAXAAiACwAXABuACAAIAAgACAAXAAiAJIhXAAiACwAXAAiALYAXAAiAFwAbgAgACAAIAAgACkAXABuACkAOwBcAG4AXABuAFwAbgBcAG4ALwAqACAAIABGAFUATgBDAFQASQBPAE4AIABOAEEATQBFADoAIAAgAEMAbwB1AG4AdABDAFUAuwNcAG4AIAAgACAAIABEAEUAUwBDAFIASQBQAFQASQBPAE4AOgAqAC8ALwAqACoAQwBvAHUAbgB0ACAAbwBjAGMAdQByAHIAZQBuAGMAZQBzACAAbwBmACAAYwBoAGEAcgBhAGMAdABlAHIAKABzACkAIABpAG4AIABhACAAcwB0AHIAaQBuAGcAKgAvAFwAbgBDAG8AdQBuAHQAQwBVALsDIAA9ACAATABBAE0AQgBEAEEAKABcAG4ALwAvACAAIABQAGEAcgBhAG0AZQB0AGUAcgAgAEQAZQBjAGwAYQByAGEAdABpAG8AbgBzAFwAbgAgACAAIAAgACAAIAAgACAAWwBUAGUAeAB0AF0ALABcAG4AIAAgACAAIAAgACAAIAAgAFsAQwBoAGEAcgBhAGMAdABlAHIAcwBdACwAXABuAC8ALwAgACAASABlAGwAcABcAG4AIAAgACAAIABMAEUAVAAoAEgAZQBsAHAALAAgACAAIAAgACAAIAAgAFQAUgBJAE0AKABUAEUAWABUAFMAUABMAEkAVAAoACAAXABuACAAIAAgACAAIAAgACAAIAAgACAAIAAgACAAIAAgACAAIAAgACAAIAAgACAAIAAgACAAIAAgACAAXAAiAEYAVQBOAEMAVABJAE8ATgA6ACAAIAAgACAAIAAgAJIhQwBvAHUAbgB0AEMAVQC7AygAIABUAGUAeAB0ACwAIABDAGgAYQByAGEAYwB0AGUAcgBzACkAtgBcACIAIAAmAFwAbgAgACAAIAAgACAAIAAgACAAIAAgACAAIAAgACAAIAAgACAAIAAgACAAIAAgACAAIAAgACAAIAAgAFwAIgBEAEUAUwBDAFIASQBQAFQASQBPAE4AOgAgACAAIACSIUMAbwB1AG4AdAAgAGgAbwB3ACAAbQBhAG4AeQAgAG8AZgAgAG8AbgBlACAAbwByACAAbQBvAHIAZQAgAGMAaABhAHIAYQBjAHQAZQByAHMAIABhAHIAZQAgAGkAbgAgAGEAIABzAHQAcgBpAG4AZwA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VABlAHgAdAAgACAAIAAgACAAIAAgACAAIAAgACAAkiEoAFIAZQBxAHUAaQByAGUAZAApACAAVABoAGUAIABzAHQAcgBpAG4AZwAgAHQAbwAgAGkAbgB0AGUAcgByAG8AZwBhAHQAZQAuACAARQBtAHAAdAB5ACAAdABlAHgAdAAgAHIAZQB0AHUAcgBuAHMAIAAwALYAXAAiACAAJgAgAFwAbgAgACAAIAAgACAAIAAgACAAIAAgACAAIAAgACAAIAAgACAAIAAgACAAIAAgACAAIAAgACAAIAAgAFwAIgBDAGgAYQByAGEAYwB0AGUAcgBzACAAIAAgACAAIACSISgAUgBlAHEAdQBpAHIAZQBkACkAIABBACAAcwBpAG4AZwBsAGUAIABjAGgAYQByAGEAYwB0AGUAcgAsACAAbwByACAAQwBTAFYAIABvAGYAIABjAGgAYQByAGEAYwB0AGUAcgBzACAAdABvACAAZgBpAG4AZAAgAGkAbgAgAFQAZQB4AHQAtgBcACIAIAAmACAAXABuACAAIAAgACAAIAAgACAAIAAgACAAIAAgACAAIAAgACAAIAAgACAAIAAgACAAIAAgACAAIAAgACAAIAAgACAAIAAgACAAIAAgACAAIAAgACAAIAAgACAAXAAiAJIhTgBPAFQARQAhACAAQwBhAHMAZQAgAHMAZQBuAHMAaQB0AGkAdgBlAC4AIABBACAAcwBpAG4AZwBsAGUAIABjAGgAYQByAGEAYwB0AGUAcgAgAGkAcwAgAHQAYQBrAGUAbgAgAGEAcwAgAGkAdABzAGUAbABmACwAIABzAG8AIABhACAAYwBvAG0AbQBhACAAdwBvAHIAawBz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DAG8AdQBuAHQAQwBVALsDKAAgAFwAIgBcACIATQBhAHIAeQAgAGgAYQBkACAAYQAgAGwAaQB0AHQAbABlACAAbABhAG0AYgBcACIAXAAiACwAIABcACIAXAAiAGEALABiAFwAIgBcACIAKQBcACIALAAg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SABlAGwAcAA/ACwAIAAgACAAIAAgACAAIAAgACAAIAAgAE8AUgAoACAASQBTAE8ATQBJAFQAVABFAEQAKAAgAFQAZQB4AHQAKQAsAFwAbgAgACAAIAAgACAAIAAgACAAIAAgACAAIAAgACAAIAAgACAAIAAgACAAIAAgACAAIAAgACAAIAAgAEkAUwBPAE0ASQBUAFQARQBEACgAIABDAGgAYQByAGEAYwB0AGUAcgBzACkAXABuACAAIAAgACAAIAAgACAAIAAgACAAIAAgACAAIAAgACAAIAAgACAAIAAgACAAIAAgACkALABcAG4AIAAgACAAIAAvAC8AIAAgAFMAZQB0ACAAZABlAGYAYQB1AGwAdABzAC4AIABPAG4AZQAgAGMAaABhAHIAYQBjAHQAZQByACAAaQBzACAAdABhAGsAZQBuACAAYQBzACAAaQB0AHMAZQBsAGYALAAgAHMAbwAgAGEAIABjAG8AbQBtAGEAIABjAGEAbgAgAGIAZQAgAGEAcwBrAGUAZAAgAGYAbwByADsAXABuACAAIAAgACAALwAvACAAIAAyACAAbwByACAAbQBvAHIAZQAgAGEAcgBlACAAcgBlAGEAZAAgAGEAcwAgAHQAaABlACAAYwBvAG0AbQBhACAAcwBlAHAAYQByAGEAdABlAGQAIABsAGkAcwB0ACAAdABoAGUAIABoAGUAbABwACAAZABlAHMAYwByAGkAYgBlAHMALgBcAG4AIAAgACAAIAAgACAAIAAgAEMAaABhAHIAYQBjAHQAZQByAHMALAAgACAAIAAgACAASQBGACgAIABMAEUATgAoACAAQwBoAGEAcgBhAGMAdABlAHIAcwApACAAPQAgADEALAAgAEMAaABhAHIAYQBjAHQAZQByAHMALAAgAFQARQBYAFQAUwBQAEwASQBUACgAIABDAGgAYQByAGEAYwB0AGUAcgBzACwAIABcACIALABcACIAIAApACkALABcAG4AIAAgACAAIAAvAC8AIAAgAFAAcgBvAGMAZQBkAHUAcgBlAC4AIABFAG0AcAB0AHkAIAB0AGUAeAB0ACAAaABvAGwAZABzACAAbgBvAG4AZQAgAG8AZgAgAHQAaABlAG0ALAAgAGEAbgBkACAAVABFAFgAVABTAFAATABJAFQAIABoAGEAcwAgAG4AbwB0AGgAaQBuAGcAIAB0AG8AIABzAHAAbABpAHQALgBcAG4AIAAgACAAIAAgACAAIAAgAFIAZQBzAHUAbAB0ACwAIAAgACAAIAAgACAAIAAgACAASQBGACgAIABMAEUATgAoACAAVABlAHgAdAApACAAPQAgADAALAAgADAALABcAG4AIAAgACAAIAAgACAAIAAgACAAIAAgACAAIAAgACAAIAAgACAAIAAgACAAIAAgACAAIAAgACAAIABMAEUATgAoACAAVABlAHgAdAApACAALQAgAFMAVQBNACgAIABMAEUATgAoACAAVABFAFgAVABTAFAATABJAFQAKAAgAFQAZQB4AHQALAAgAEMAaABhAHIAYQBjAHQAZQByAHMAKQApACkAKQAsAFwAbgAgACAAIAAgAC8ALwAgACAAUgBlAHQAdQByAG4AIABSAGUAcwB1AGwAdABcAG4AIAAgACAAIAAgACAAIAAgAEMASABPAE8AUwBFACgASABlAGwAcAA/ACAAKwAgADEALAAgAFIAZQBzAHUAbAB0ACwAIABIAGUAbABwACkAIAAgACAAIAAgACAAIAAgAFwAbgAgACAAIAAgACkAXABuACkAOwBcAG4AXABuAFwAbgBcAG4ALwAqACAAIABGAFUATgBDAFQASQBPAE4AIABOAEEATQBFADoAIAAgAFMAdQBtAFIAbwB3AHMAVQC7A1wAbgAgACAAIAAgAEQARQBTAEMAUgBJAFAAVABJAE8ATgA6ACoALwAvACoAKgBHAGUAdAAgAHQAaABlACAAdABvAHQAYQBsACAAZgBvAHIAIABlAGEAYwBoACAAcgBvAHcAKgAvAFwAbgBTAHUAbQBSAG8Adw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VMAdQBtAFIAbwB3AHMAVQC7AygAIABBAHIAcgBhAHkAKQC2AFwAIgAgACYAXABuACAAIAAgACAAIAAgACAAIAAgACAAIAAgACAAIAAgACAAIAAgACAAIAAgACAAIAAgACAAIAAgACAAXAAiAEQARQBTAEMAUgBJAFAAVABJAE8ATgA6ACAAIAAgAJIhRwBlAHQAIAB0AGgAZQAgAHQAbwB0AGEAbA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HQAbwB0AGEAbABsAGUAZA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FMAdQBt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UwBVAE0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UwB1AG0AQwBvAGwAcwBVALsDXABuACAAIAAgACAARABFAFMAQwBSAEkAUABUAEkATwBOADoAKgAvAC8AKgAqAEcAZQB0ACAAdABoAGUAIAB0AG8AdABhAGwAIABmAG8AcgAgAGUAYQBjAGgAIABDAG8AbAB1AG0AbgAqAC8AXABuAFMAdQBtAEMAbwBs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UwB1AG0AQwBvAGwAcwBVALsDKAAgAEEAcgByAGEAeQApALYAXAAiACAAJgBcAG4AIAAgACAAIAAgACAAIAAgACAAIAAgACAAIAAgACAAIAAgACAAIAAgACAAIAAgACAAIAAgACAAIABcACIARABFAFMAQwBSAEkAUABUAEkATwBOADoAIAAgACAAkiFHAGUAdAAgAHQAaABlACAAdABvAHQAYQBsACAAbwBmACAAZQBhAGMAaAAgAGMAbwBsAHUAbQB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dABvAHQAYQBsAGwAZQBkACAAYgB5ACAAYwBvAGwAdQBtAG4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UwB1AG0AQwBvAGwAcwBV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TAFUATQAo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SAG8AdwBzAFUAuwNcAG4AIAAgACAAIABEAEUAUwBDAFIASQBQAFQASQBPAE4AOgAqAC8ALwAqACoARwBlAHQAIAB0AGgAZQAgAGEAdgBlAHIAYQBnAGUAIABmAG8AcgAgAGUAYQBjAGgAIAByAG8AdwAqAC8AXABuAEEAdgBnAFIAbwB3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UgBvAHcAcwBVALsDKAAgAEEAcgByAGEAeQApALYAXAAiACAAJgBcAG4AIAAgACAAIAAgACAAIAAgACAAIAAgACAAIAAgACAAIAAgACAAIAAgACAAIAAgACAAIAAgACAAIABcACIARABFAFMAQwBSAEkAUABUAEkATwBOADoAIAAgACAAkiFHAGUAdAAgAHQAaABlACAAYQB2AGUAcgBhAGcAZQAgAG8AZ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EAdgBlAHIAYQBnAGUAZA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EAdgBn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QQBWAEUAUgBBAEcARQAoAFIAbwB3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BBAHYAZwBDAG8AbABzAFUAuwNcAG4AIAAgACAAIABEAEUAUwBDAFIASQBQAFQASQBPAE4AOgAqAC8ALwAqACoARwBlAHQAIAB0AGgAZQAgAGEAdgBlAHIAYQBnAGUAIABmAG8AcgAgAGUAYQBjAGgAIABDAG8AbAB1AG0AbgAqAC8AXABuAEEAdgBnAEMAbwBs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QB2AGcAQwBvAGwAcwBVALsDKAAgAEEAcgByAGEAeQApALYAXAAiACAAJgBcAG4AIAAgACAAIAAgACAAIAAgACAAIAAgACAAIAAgACAAIAAgACAAIAAgACAAIAAgACAAIAAgACAAIABcACIARABFAFMAQwBSAEkAUABUAEkATwBOADoAIAAgACAAkiFHAGUAdAAgAHQAaABlACAAYQB2AGUAcgBhAGcAZQAgAGYAbwByACAAZQBhAGMAaAAgAEMAbwBsAHUAbQBu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YgBlACAAYQB2AGUAcgBhAGcAZQBkACAAYgB5ACAAYwBvAGwAdQBtAG4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QB2AGcAQwBvAGwAcwBVALsDKAAgAFMARQBRAFUARQBOAEMARQAoADUALAA1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BAFYARQBSAEEARwBF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aQBuAFIAbwB3AHMAVQC7A1wAbgAgACAAIAAgAEQARQBTAEMAUgBJAFAAVABJAE8ATgA6ACoALwAvACoAKgBHAGUAdAAgAHQAaABlACAAbQBpAG4AaQBtAHUAbQAgAGYAbwByACAAZQBhAGMAaAAgAHIAbwB3ACoALwBcAG4ATQBpAG4AUgBvAHc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kAbgBSAG8AdwBzAFUAuwMoACAAQQByAHIAYQB5ACkAtgBcACIAIAAmAFwAbgAgACAAIAAgACAAIAAgACAAIAAgACAAIAAgACAAIAAgACAAIAAgACAAIAAgACAAIAAgACAAIAAgAFwAIgBEAEUAUwBDAFIASQBQAFQASQBPAE4AOgAgACAAIACSIUcAZQB0ACAAdABoAGUAIABtAGkAbgBpAG0AdQBtACAAbwBmACAAZQBhAGMAaAAgAHIAbwB3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pAG4AaQBtAHUAbQ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0AaQBu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JAE4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pAG4AQwBvAGwAcwBVALsDXABuACAAIAAgACAARABFAFMAQwBSAEkAUABUAEkATwBOADoAKgAvAC8AKgAqAEcAZQB0ACAAdABoAGUAIABtAGkAbgBpAG0AdQBtACAAZgBvAHIAIABlAGEAYwBoACAAQwBvAGwAdQBtAG4AKgAvAFwAbgBNAGkAbgBDAG8AbA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aQBuAEMAbwBsAHMAVQC7AygAIABBAHIAcgBhAHkAKQC2AFwAIgAgACYAXABuACAAIAAgACAAIAAgACAAIAAgACAAIAAgACAAIAAgACAAIAAgACAAIAAgACAAIAAgACAAIAAgACAAXAAiAEQARQBTAEMAUgBJAFAAVABJAE8ATgA6ACAAIAAgAJIhRwBlAHQAIAB0AGgAZQAgAG0AaQBuAGkAbQB1AG0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aQBuAGkAbQB1AG0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kAbgBDAG8AbABzAFU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SQBO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0AYQB4AFIAbwB3AHMAVQC7A1wAbgAgACAAIAAgAEQARQBTAEMAUgBJAFAAVABJAE8ATgA6ACoALwAvACoAKgBHAGUAdAAgAHQAaABlACAAbQBhAHgAaQBtAHUAbQAgAGYAbwByACAAZQBhAGMAaAAgAHIAbwB3ACoALwBcAG4ATQBhAHgAUgBvAHc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NAGEAeABSAG8AdwBzAFUAuwMoACAAQQByAHIAYQB5ACkAtgBcACIAIAAmAFwAbgAgACAAIAAgACAAIAAgACAAIAAgACAAIAAgACAAIAAgACAAIAAgACAAIAAgACAAIAAgACAAIAAgAFwAIgBEAEUAUwBDAFIASQBQAFQASQBPAE4AOgAgACAAIACSIUcAZQB0ACAAdABoAGUAIABtAGEAeABpAG0AdQBtACAAbwBmACAAZQBhAGMAaAAgAHIAbwB3ALYAXAAiACAAJgAgAFwAbgAgACAAIAAgACAAIAAgACAAIAAgACAAIAAgACAAIAAgACAAIAAgACAAIAAgACAAIAAgACAAIAAgAFwAIgBXAEUAQgBQAEEARwBFADoAIAAgACAAIAAgACAAIACSIWgAdAB0AHAAcwA6AC8ALwBnAGkAdABoAHUAYgAuAGMAbwBtAC8AcgB5AGEAbgBkAHUAZwB1AGkAZAAvAE8AegB6AGkAdAC2AFwAIgAgACYAXABuACAAIAAgACAAIAAgACAAIAAgACAAIAAgACAAIAAgACAAIAAgACAAIAAgACAAIAAgACAAIAAgACAAXAAiAFYARQBSAFMASQBPAE4AOgAgACAAIAAgACAAIAAgAJIhMgAwACAAQQB1AGcAIAAyADAAMgA2ALYAXAAiACAAJgBcAG4AIAAgACAAIAAgACAAIAAgACAAIAAgACAAIAAgACAAIAAgACAAIAAgACAAIAAgACAAIAAgACAAIABcACIAUABBAFIAQQBNAEUAVABFAFIAUwA6ACAAIAAgACAAkiG2AFwAIgAgACYAIABcAG4AIAAgACAAIAAgACAAIAAgACAAIAAgACAAIAAgACAAIAAgACAAIAAgACAAIAAgACAAIAAgACAAIABcACIAQQByAHIAYQB5ACAAIAAgACAAIAAgACAAIAAgACAAkiEoAFIAZQBxAHUAaQByAGUAZAApACAAQQAgAHQAdwBvACAAZABpAG0AZQBuAHMAaQBvAG4AYQBsACAAYQByAHIAYQB5AC8AcgBhAG4AZwBlACAAYwBvAG4AdABhAGkAbgBpAG4AZwAgAHYAYQBsAHUAZQBzACAAdABvACAAZgBpAG4AZAAgAHQAaABlACAAbQBhAHgAaQBtAHUAbQAgAGIAeQAgAHIAbwB3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0AYQB4AFIAbwB3AHMAVQC7AygAIABTAEUAUQBVAEUATgBDAEUAKAA1ACwANQApACkAXAAiACwAIABcAG4AIAAgACAAIAAgACAAIAAgACAAIAAgACAAIAAgACAAIAAgACAAIAAgACAAIAAgACAAIAAgACAAIABcACIAkiFcACIALAAgAFwAIgC2AFwAIgAgAFwAbgAgACAAIAAgACAAIAAgACAAIAAgACAAIAAgACAAIAAgACAAIAAgACAAIAAgACAAIAApAFwAbgAgACAAIAAgACAAIAAgACAAIAAgACAAIAAgACAAIAAgACAAIAAgACAAKQAsACAAIAAgACAAIAAgACAAIAAgACAAIAAgACAAIAAgACAAIAAgACAAIABcAG4AIAAgACAAIAAvAC8AIAAgAEMAaABlAGMAawAgAGkAbgBwAHUAdABzACAALQAgAE8AbQBpAHQAdABlAGQAIAByAGUAcQB1AGkAcgBlAGQAIABhAHIAZwB1AG0AZQBuAHQAcwBcAG4AIAAgACAAIAAgACAAIAAgAEgAZQBsAHAAPwAsACAAIAAgACAAIAAgACAAIAAgACAASQBTAE8ATQBJAFQAVABFAEQAKAAgAEEAcgByAGEAeQApACwAXABuACAAIAAgACAALwAvACAAIABQAHIAbwBjAGUAZAB1AHIAZQBcAG4AIAAgACAAIAAgACAAIAAgAFIAZQBzAHUAbAB0ACwAIAAgACAAIAAgACAAIAAgACAAQgBZAFIATwBXACgAIABBAHIAcgBhAHkALAAgAEwAQQBNAEIARABBACgAIABSAG8AdwAsACAATQBBAFgAKABSAG8Adw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TQBhAHgAQwBvAGwAcwBVALsDXABuACAAIAAgACAARABFAFMAQwBSAEkAUABUAEkATwBOADoAKgAvAC8AKgAqAEcAZQB0ACAAdABoAGUAIABtAGEAeABpAG0AdQBtACAAZgBvAHIAIABlAGEAYwBoACAAQwBvAGwAdQBtAG4AKgAvAFwAbgBNAGEAeABDAG8AbA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0AYQB4AEMAbwBsAHMAVQC7AygAIABBAHIAcgBhAHkAKQC2AFwAIgAgACYAXABuACAAIAAgACAAIAAgACAAIAAgACAAIAAgACAAIAAgACAAIAAgACAAIAAgACAAIAAgACAAIAAgACAAXAAiAEQARQBTAEMAUgBJAFAAVABJAE8ATgA6ACAAIAAgAJIhRwBlAHQAIAB0AGgAZQAgAG0AYQB4AGkAbQB1AG0AIABmAG8AcgAgAGUAYQBjAGgAIABD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YAaQBuAGQAIAB0AGgAZQAgAG0AYQB4AGkAbQB1AG0AIABiAHkAIABjAG8AbAB1AG0Abg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NAGEAeABDAG8AbABzAFUAuwMoACAAUwBFAFEAVQBFAE4AQwBFACgANQAsADU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0AQQBYACgAQwBvAGw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FIAbwB3AHMAVQC7A1wAbgAgACAAIAAgAEQARQBTAEMAUgBJAFAAVABJAE8ATgA6ACoALwAvACoAKgBDAG8AdQBuAHQAIABlAHYAZQByAHkAdABoAGkAbgBnACAAaQBuACAAZQBhAGMAaAAgAHIAbwB3ACoALwBcAG4AQwBvAHUAbgB0AEEAUgBvAHc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SAG8AdwBzAFUAuwMoACAAQQByAHIAYQB5ACkAtgBcACIAIAAmAFwAbgAgACAAIAAgACAAIAAgACAAIAAgACAAIAAgACAAIAAgACAAIAAgACAAIAAgACAAIAAgACAAIAAgAFwAIgBEAEUAUwBDAFIASQBQAFQASQBPAE4AOgAgACAAIACSIUMAbwB1AG4AdAAgAGUAdgBlAHIAeQB0AGgAaQBuAGcAIABpAG4AIABlAGEAYwBoACAAcgBvAHc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dgBhAGwAdQBlAHMAIAB0AG8AIABiAGUAIABjAG8AdQBuAHQAZQBkAC4AtgBcACIAIAAmACAAXABuACAAIAAgACAAIAAgACAAIAAgACAAIAAgACAAIAAgACAAIAAgACAAIAAgACAAIAAgACAAIAAgACAAXAAiAEUAWABBAE0AUABMAEUAUwA6ACAAIAAgACAAIAAgAJIhRgBvAHIAbQB1AGwAYQAgACgAbwB6ACAAaQBzACAAYQBzAHMAdQBtAGUAZAAgAHQAbwAgAGIAZQAgAHQAaABlACAAbQBvAGQAdQBsAGUAJwBzACAAbgBhAG0AZQApALYAXAAiACAAJgBcAG4AIAAgACAAIAAgACAAIAAgACAAIAAgACAAIAAgACAAIAAgACAAIAAgACAAIAAgACAAIAAgACAAIAAgACAAIAAgACAAIAAgACAAIAAgACAAIAAgACAAIABcACIAkiE9AG8AegAuAEMAbwB1AG4AdABBAFIAbwB3AHMAVQ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UgBPAFcAKAAgAEEAcgByAGEAeQAsACAATABBAE0AQgBEAEEAKAAgAFIAbwB3ACwAIABDAE8AVQBOAFQAQQ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BAEMAbwBsAHMAVQC7A1wAbgAgACAAIAAgAEQARQBTAEMAUgBJAFAAVABJAE8ATgA6ACoALwAvACoAKgBDAG8AdQBuAHQAIABlAHYAZQByAHkAdABoAGkAbgBnACAAaQBuACAAZQBhAGMAaAAgAGMAbwBsAHUAbQBuACoALwBcAG4AQwBvAHUAbgB0AEEAQwBvAGwAcwBVALsDIAA9ACAATABBAE0AQgBEAEEAKABcAG4ALwAvACAAIABQAGEAcgBhAG0AZQB0AGUAcgAgAEQAZQBjAGwAYQByAGEAdABpAG8AbgBzAFwAbgAgACAAIAAgAFsAQQByAHIAYQB5AF0ALABcAG4ALwAvACAAIABIAGUAbABwAFwAbgAgACAAIAAgAEwARQBUACgASABlAGwAcAAsACAAIAAgACAAIAAgACAAVABSAEkATQAoAFQARQBYAFQAUwBQAEwASQBUACgAIABcAG4AIAAgACAAIAAgACAAIAAgACAAIAAgACAAIAAgACAAIAAgACAAIAAgACAAIAAgACAAIAAgACAAIABcACIARgBVAE4AQwBUAEkATwBOADoAIAAgACAAIAAgACAAkiFDAG8AdQBuAHQAQQBDAG8AbABzAFUAuwMoACAAQQByAHIAYQB5ACAAKQC2AFwAIgAgACYAXABuACAAIAAgACAAIAAgACAAIAAgACAAIAAgACAAIAAgACAAIAAgACAAIAAgACAAIAAgACAAIAAgACAAXAAiAEQARQBTAEMAUgBJAFAAVABJAE8ATgA6ACAAIAAgAJIhQwBvAHUAbgB0ACAAZQB2AGUAcgB5AHQAaABpAG4AZwAgAGkAbgAgAGUAYQBjAGgAIABjAG8AbAB1AG0Abg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2AGEAbAB1AGUAcwAgAHQAbwAgAGIAZQAgAGMAbwB1AG4AdABlAGQ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wBvAHUAbgB0AEEAQwBvAGwAcwBV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DAE8ATAAoACAAQQByAHIAYQB5ACwAIABMAEEATQBCAEQAQQAoACAAQwBvAGwALAAgAEMATwBVAE4AVABBACgAIABDAG8AbAApACkAKQAsAFwAbgAgACAAIAAgAC8ALwAgACAAUgBlAHQAdQByAG4AIABSAGUAcwB1AGwAdAAgAG8AcgAgAEgAZQBsAHAAXABuACAAIAAgACAAIAAgACAAIABDAEgATwBPAFMARQAoAEgAZQBsAHAAPwAgACsAIAAxACwAIABSAGUAcwB1AGwAdAAsACAASABlAGwAcAApAFwAbgAgACAAIAAgACkAIABcAG4AKQA7AFwAbgBcAG4AXABuAFwAbgAvACoAIAAgAEYAVQBOAEMAVABJAE8ATgAgAE4AQQBNAEUAOgAgACAAQwBvAHUAbgB0AFIAbwB3AHMAVQC7A1wAbgAgACAAIAAgAEQARQBTAEMAUgBJAFAAVABJAE8ATgA6ACoALwAvACoAKgBDAG8AdQBuAHQAIABuAHUAbQBiAGUAcgBzACAAaQBuACAAZQBhAGMAaAAgAHIAbwB3ACoALwBcAG4AQwBvAHUAbgB0AFIAbwB3AHMAVQC7AyAAPQAgAEwAQQBNAEIARABBACgAXABuAC8ALwAgACAAUABhAHIAYQBtAGUAdABlAHIAIABEAGUAYwBsAGEAcgBhAHQAaQBvAG4AcwBcAG4AIAAgACAAIABbAEEAcgByAGEAeQBdACwAXABuAC8ALwAgACAASABlAGwAcABcAG4AIAAgACAAIABMAEUAVAAoAEgAZQBsAHAALAAgACAAIAAgACAAIAAgAFQAUgBJAE0AKABUAEUAWABUAFMAUABMAEkAVAAoACAAXABuACAAIAAgACAAIAAgACAAIAAgACAAIAAgACAAIAAgACAAIAAgACAAIAAgACAAIAAgACAAIAAgACAAXAAiAEYAVQBOAEMAVABJAE8ATgA6ACAAIAAgACAAIAAgAJIhQwBvAHUAbgB0AFIAbwB3AHMAVQC7AygAIABBAHIAcgBhAHkAKQC2AFwAIgAgACYAXABuACAAIAAgACAAIAAgACAAIAAgACAAIAAgACAAIAAgACAAIAAgACAAIAAgACAAIAAgACAAIAAgACAAXAAiAEQARQBTAEMAUgBJAFAAVABJAE8ATgA6ACAAIAAgAJIhQwBvAHUAbgB0ACAAbgB1AG0AYgBlAHIAcwAgAGkAbgAgAGUAYQBjAGgAIAByAG8AdwC2AFwAIgAgACYAIABcAG4AIAAgACAAIA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AgACAAIAAgAFwAIgBWAEUAUgBTAEkATwBOADoAIAAgACAAIAAgACAAIACSITIAMAAgAEEAdQBnACAAMgAwADIANg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EEAIAB0AHcAbwAgAGQAaQBtAGUAbgBzAGkAbwBuAGEAbAAgAGEAcgByAGEAeQAvAHIAYQBuAGcAZQAgAGMAbwBuAHQAYQBpAG4AaQBuAGcAIABuAHUAbQBiAGUAcgBzACAAdABvACAAYgBlACAAYwBvAHUAbgB0AGUAZAAuALYAXAAiACAAJgAgAFwAbgAgACAAIAAgACAAIAAgACAAIAAgACAAIAAgACAAIAAgACAAIAAgACAAIAAgACAAIAAgACAAIAAgAFwAIgBFAFgAQQBNAFAATABFAFMAOgAgACAAIAAgACAAIACSIUYAbwByAG0AdQBsAGEAIAAoAG8AegAgAGkAcwAgAGEAcwBzAHUAbQBlAGQAIAB0AG8AIABiAGUAIAB0AGgAZQAgAG0AbwBkAHUAbABlACcAcwAgAG4AYQBtAGUAKQC2AFwAIgAgACYAXABuACAAIAAgACAAIAAgACAAIAAgACAAIAAgACAAIAAgACAAIAAgACAAIAAgACAAIAAgACAAIAAgACAAIAAgACAAIAAgACAAIAAgACAAIAAgACAAIAAgACAAXAAiAJIhPQBvAHoALgBDAG8AdQBuAHQAUgBvAHcAcwBVALsDKAAgAEMASABPAE8AUwBFACgAIABSAEEATgBEAEEAUgBSAEEAWQAoACAANQAsACAANQAsACAAMQAsACAANQApACwAXAAiAFwAIgBBAFwAIgBcACIALAAgAFwAIgBcACIAQgBcACIAXAAiACwAIABcACIAXAAiAFwAIgBcACIALAAgADEALAAgADIAKQApAFwAIgAsACAAXABuACAAIAAgACAAIAAgACAAIAAgACAAIAAgACAAIAAgACAAIAAgACAAIAAgACAAIAAgACAAIAAgACAAXAAiAJIhXAAiACwAIABcACIAtgBcACIAIABcAG4AIAAgACAAIAAgACAAIAAgACAAIAAgACAAIAAgACAAIAAgACAAIAAgACAAIAAgACAAKQBcAG4AIAAgACAAIAAgACAAIAAgACAAIAAgACAAIAAgACAAIAAgACAAIAAgACkALAAgACAAIAAgACAAIAAgACAAIAAgACAAIAAgACAAIAAgACAAIAAgACAAXABuACAAIAAgACAALwAvACAAIABDAGgAZQBjAGsAIABpAG4AcAB1AHQAcwAgAC0AIABPAG0AaQB0AHQAZQBkACAAcgBlAHEAdQBpAHIAZQBkACAAYQByAGcAdQBtAGUAbgB0AHMAXABuACAAIAAgACAAIAAgACAAIABIAGUAbABwAD8ALAAgACAAIAAgACAAIAAgACAAIAAgAEkAUwBPAE0ASQBUAFQARQBEACgAIABBAHIAcgBhAHkAKQAsAFwAbgAgACAAIAAgAC8ALwAgACAAUAByAG8AYwBlAGQAdQByAGUAXABuACAAIAAgACAAIAAgACAAIABSAGUAcwB1AGwAdAAsACAAIAAgACAAIAAgACAAIAAgAEIAWQBSAE8AVwAoACAAQQByAHIAYQB5ACwAIABMAEEATQBCAEQAQQAoACAAUgBvAHcALAAgAEMATwBVAE4AVAAoACAAUgBvAHcAKQApACkALABcAG4AIAAgACAAIAAvAC8AIAAgAFIAZQB0AHUAcgBuACAAUgBlAHMAdQBsAHQAIABvAHIAIABIAGUAbABwAFwAbgAgACAAIAAgACAAIAAgACAAQwBIAE8ATwBTAEUAKABIAGUAbABwAD8AIAArACAAMQAsACAAUgBlAHMAdQBsAHQALAAgAEgAZQBsAHAAKQBcAG4AIAAgACAAIAApACAAXABuACkAOwBcAG4AXABuAFwAbgBcAG4ALwAqACAAIABGAFUATgBDAFQASQBPAE4AIABOAEEATQBFADoAIAAgAEMAbwB1AG4AdABDAG8AbABzAFUAuwNcAG4AIAAgACAAIABEAEUAUwBDAFIASQBQAFQASQBPAE4AOgAqAC8ALwAqACoAQwBvAHUAbgB0ACAAbgB1AG0AYgBlAHIAcwAgAGkAbgAgAGUAYQBjAGgAIABjAG8AbAB1AG0AbgAqAC8AXABuAEMAbwB1AG4AdABDAG8AbABzAFUAuwMgAD0AIABMAEEATQBCAEQAQQAoAFwAbgAvAC8AIAAgAFAAYQByAGEAbQBlAHQAZQByACAARABlAGMAbABhAHIAYQB0AGkAbwBuAHMAXABuACAAIAAgACAAWwBBAHIAcgBhAHkAXQAsAFwAbgAvAC8AIAAgAEgAZQBsAHAAXABuACAAIAAgACAATABFAFQAKABIAGUAbABwACwAIAAgACAAIAAgACAAIABUAFIASQBNACgAVABFAFgAVABTAFAATABJAFQAKAAgAFwAbgAgACAAIAAgACAAIAAgACAAIAAgACAAIAAgACAAIAAgACAAIAAgACAAIAAgACAAIAAgACAAIAAgAFwAIgBGAFUATgBDAFQASQBPAE4AOgAgACAAIAAgACAAIACSIUMAbwB1AG4AdABDAG8AbABzAFUAuwMoACAAQQByAHIAYQB5ACkAtgBcACIAIAAmAFwAbgAgACAAIAAgACAAIAAgACAAIAAgACAAIAAgACAAIAAgACAAIAAgACAAIAAgACAAIAAgACAAIAAgAFwAIgBEAEUAUwBDAFIASQBQAFQASQBPAE4AOgAgACAAIACSIUMAbwB1AG4AdAAgAG4AdQBtAGIAZQByAHMAIABpAG4AIABlAGEAYwBoACAAYwBvAGwAdQBtAG4AtgBcACIAIAAmACAAXABuACAAIAAgACAAIAAgACAAIAAgACAAIAAgACAAIAAgACAAIAAgACAAIAAgACAAIAAgACAAIAAgACAAXAAiAFcARQBCAFAAQQBHAEUAOgAgACAAIAAgACAAIAAgAJIhaAB0AHQAcABzADoALwAvAGcAaQB0AGgAdQBiAC4AYwBvAG0ALwByAHkAYQBuAGQAdQBnAHUAaQBkAC8ATwB6AHoAaQB0ALYAXAAiACAAJgBcAG4AIAAgACAAIAAgACAAIAAgACAAIAAgACAAIAAgACAAIAAgACAAIAAgACAAIAAgACAAIAAgACAAIABcACIAVgBFAFIAUwBJAE8ATgA6ACAAIAAgACAAIAAgACAAkiEyADAAIABBAHUAZwAgADIAMAAyADYAtgBcACIAIAAmAFwAbgAgACAAIAAgACAAIAAgACAAIAAgACAAIAAgACAAIAAgACAAIAAgACAAIAAgACAAIAAgACAAIAAgAFwAIgBQAEEAUgBBAE0ARQBUAEUAUgBTADoAIAAgACAAIACSIbYAXAAiACAAJgAgAFwAbgAgACAAIAAgACAAIAAgACAAIAAgACAAIAAgACAAIAAgACAAIAAgACAAIAAgACAAIAAgACAAIAAgAFwAIgBBAHIAcgBhAHkAIAAgACAAIAAgACAAIAAgACAAIACSISgAUgBlAHEAdQBpAHIAZQBkACkAIABBACAAdAB3AG8AIABkAGkAbQBlAG4AcwBpAG8AbgBhAGwAIABhAHIAcgBhAHkALwByAGEAbgBnAGUAIABjAG8AbgB0AGEAaQBuAGkAbgBnACAAbgB1AG0AYgBlAHIAcwAgAHQAbwAgAGIAZQAgAGMAbwB1AG4AdABlAGQALgC2AFwAIgAgACYAIABcAG4AIAAgACAAIAAgACAAIAAgACAAIAAgACAAIAAgACAAIAAgACAAIAAgACAAIAAgACAAIAAgACAAIABcACIARQBYAEEATQBQAEwARQBTADoAIAAgACAAIAAgACAAkiFGAG8AcgBtAHUAbABhACAAKABvAHoAIABpAHMAIABhAHMAcwB1AG0AZQBkACAAdABvACAAYgBlACAAdABoAGUAIABtAG8AZAB1AGwAZQAnAHMAIABuAGEAbQBlACkAtgBcACIAIAAmAFwAbgAgACAAIAAgACAAIAAgACAAIAAgACAAIAAgACAAIAAgACAAIAAgACAAIAAgACAAIAAgACAAIAAgACAAIAAgACAAIAAgACAAIAAgACAAIAAgACAAIAAgAFwAIgCSIT0AbwB6AC4AQwBvAHUAbgB0AEMAbwBsAHMAVQC7AygAIABDAEgATwBPAFMARQAoACAAUgBBAE4ARABBAFIAUgBBAFkAKAAgADUALAAgADUALAAgADEALAAgADUAKQAsAFwAIgBcACIAQQBcACIAXAAiACwAIABcACIAXAAiAEIAXAAiAFwAIgAsACAAXAAiAFwAIgBcACIAXAAiACwAIAAxACwAIAAyACkAKQBcACIALAAgAFwAbgAgACAAIAAgACAAIAAgACAAIAAgACAAIAAgACAAIAAgACAAIAAgACAAIAAgACAAIAAgACAAIAAgAFwAIgCSIVwAIgAsACAAXAAiALYAXAAiACAAXABuACAAIAAgACAAIAAgACAAIAAgACAAIAAgACAAIAAgACAAIAAgACAAIAAgACAAIAAgACkAXABuACAAIAAgACAAIAAgACAAIAAgACAAIAAgACAAIAAgACAAIAAgACAAIAApACwAIAAgACAAIAAgACAAIAAgACAAIAAgACAAIAAgACAAIAAgACAAIAAgAFwAbgAgACAAIAAgAC8ALwAgACAAQwBoAGUAYwBrACAAaQBuAHAAdQB0AHMAIAAtACAATwBtAGkAdAB0AGUAZAAgAHIAZQBxAHUAaQByAGUAZAAgAGEAcgBnAHUAbQBlAG4AdABzAFwAbgAgACAAIAAgACAAIAAgACAASABlAGwAcAA/ACwAIAAgACAAIAAgACAAIAAgACAAIABJAFMATwBNAEkAVABUAEUARAAoACAAQQByAHIAYQB5ACkALABcAG4AIAAgACAAIAAvAC8AIAAgAFAAcgBvAGMAZQBkAHUAcgBlAFwAbgAgACAAIAAgACAAIAAgACAAUgBlAHMAdQBsAHQALAAgACAAIAAgACAAIAAgACAAIABCAFkAQwBPAEwAKAAgAEEAcgByAGEAeQAsACAATABBAE0AQgBEAEEAKAAgAEMAbwBsACwAIABDAE8AVQBOAFQAKAAgAEMAbwBsACkAKQApACwAXABuACAAIAAgACAALwAvACAAIABSAGUAdAB1AHIAbgAgAFIAZQBzAHUAbAB0ACAAbwByACAASABlAGwAcABcAG4AIAAgACAAIAAgACAAIAAgAEMASABPAE8AUwBFACgASABlAGwAcAA/ACAAKwAgADEALAAgAFIAZQBzAHUAbAB0ACwAIABIAGUAbABwACkAXABuACAAIAAgACAAKQAgAFwAbgApADsAXABuAFwAbgBcAG4AXABuAC8AKgAgACAARgBVAE4AQwBUAEkATwBOACAATgBBAE0ARQA6ACAAIAAgACAAIAAgAEkAcwBCAGUAdAB3AGUAZQBuAFUAuwNcAG4AIAAgACAAIABEAEUAUwBDAFIASQBQAFQASQBPAE4AOgAqAC8ALwAqACoARABlAHQAZQByAG0AaQBuAGUAIABpAGYAIABhACAAdgBhAGwAdQBlACAAaQBzACAAYgBlAHQAdwBlAGUAbgAgAGEAIABsAG8AdwBlAHIAIABhAG4AZAAgAHUAcABwAGUAcgAgAGwAaQBtAGkAdAAqAC8AXABuAEkAcwBCAGUAdAB3AGUAZQBuAFUAuwMgAD0AIABMAEEATQBCAEQAQQAoAFwAbgAvAC8AIAAgAFAAYQByAGEAbQBlAHQAZQByACAARABlAGMAbABhAHIAYQB0AGkAbwBuAHMAXABuACAAIAAgACAAWwBWAGEAbAB1AGUAXQAsAFwAbgAgACAAIAAgAFsATABvAHcAXQAsAFwAbgAgACAAIAAgAFsASABpAF0ALABcAG4AIAAgACAAIABbAEkAbgBjAGwAdQBzAGkAdgBlAF0ALABcAG4ALwAvACAAIABIAGUAbABwAFwAbgAgACAAIAAgAEwARQBUACgASABlAGwAcAAsACAAIAAgACAAIAAgACAAIAAgACAAIABUAFIASQBNACgAVABFAFgAVABTAFAATABJAFQAKAAgAFwAbgAgACAAIAAgACAAIAAgACAAIAAgACAAIAAgACAAIAAgACAAIAAgACAAIAAgACAAIAAgACAAIAAgAFwAIgBGAFUATgBDAFQASQBPAE4AOgAgACAAIAAgACAAIACSIUkAcwBCAGUAdAB3AGUAZQBuAFUAuwMoACAAVgBhAGwAdQBlACwAIABMAG8AdwAsACAASABpACwAIABbAEkAbgBjAGwAdQBzAGkAdgBlAF0AKQC2AFwAIgAgACYAXABuACAAIAAgACAAIAAgACAAIAAgACAAIAAgACAAIAAgACAAIAAgACAAIAAgACAAIAAgACAAIAAgACAAXAAiAEQARQBTAEMAUgBJAFAAVABJAE8ATgA6ACAAIAAgAJIhRABlAHQAZQByAG0AaQBuAGUAIABpAGYAIABhACAAdgBhAGwAdQBlACAAaQBzACAAYgBlAHQAdwBlAGUAbgAgAGEAIABsAG8AdwBlAHIAIABhAG4AZAAgAHUAcABwAGUAcgAgAGwAaQBtAGkAdA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bwB3ACAAIAAgACAAIAAgACAAIAAgACAAIAAgAJIhKABSAGUAcQB1AGkAcgBlAGQAKQAgAFQAaABlACAAbABvAHcAZQByACAAbABpAG0AaQB0ACAAdABoAGEAdAAgAHQAaABlACAAdgBhAGwAdQBlACAAbQB1AHMAdAAgAGIAZQAgAGcAcgBlAGEAdABlAHIAIAB0AGgAYQBuALYAXAAiACAAJgBcAG4AIAAgACAAIAAgACAAIAAgACAAIAAgACAAIAAgACAAIAAgACAAIAAgACAAIAAgACAAIAAgACAAIABcACIASABpACAAIAAgACAAIAAgACAAIAAgACAAIAAgACAAkiEoAFIAZQBxAHUAaQByAGUAZAApACAAVABoAGUAIABoAGkAZwBoAGUAcgAgAGwAaQBtAGkAdAAgAHQAaABhAHQAIAB0AGgAZQAgAHYAYQBsAHUAZQAgAG0AdQBzAHQAIABiAGUAIABsAGUAcwBzACAAdABoAGEAbgC2AFwAIgAgACYAXABuACAAIAAgACAAIAAgACAAIAAgACAAIAAgACAAIAAgACAAIAAgACAAIAAgACAAIAAgACAAIAAgACAAXAAiAEkAbgBjAGwAdQBzAGkAdgBlACAAIAAgACAAIAAgAJIhKABPAHAAdABpAG8AbgBhAGwAKQAgAEkAZgAgAHMAZQB0ACAAdABvACAAVABSAFUARQAgACgAZABlAGYAYQB1AGwAdAApACAAdABoAGUAIAB2AGEAbAB1AGUAIABjAGEAbgAgAGIAZQAgAGUAcQB1AGEAbAAgAHQAbwAgAEwAbwB3ACAAYQBuAGQALwBvAHIAIABIAGkAtgBcACIAIAAmAFwAbgAgACAAIAAgACAAIAAgACAAIAAgACAAIAAgACAAIAAgACAAIAAgACAAIAAgACAAIAAgACAAIAAgAFwAIgCSIb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LYAXAAiACAAJgBcAG4AIAAgACAAIAAgACAAIAAgACAAIAAgACAAIAAgACAAIAAgACAAIAAgACAAIAAgACAAIAAgACAAIABcACIARgBBAEwAUwBFACAAIAAgACAAIAAgACAAIAAgACAAkiE9AEkAcwBCAGUAdAB3AGUAZQBuAFUAuwMoADEALAAgADIALAAgADQAKQC2AFwAIgAgACYAIABcAG4AIAAgACAAIAAgACAAIAAgACAAIAAgACAAIAAgACAAIAAgACAAIAAgACAAIAAgACAAIAAgACAAIABcACIAVABSAFUARQAgACAAIAAgACAAIAAgACAAIAAgACAAkiE9AEkAcwBCAGUAdAB3AGUAZQBuAFUAuwMoADIALAAgADIALAAgADQAKQC2AFwAIgAgACYAIABcAG4AIAAgACAAIAAgACAAIAAgACAAIAAgACAAIAAgACAAIAAgACAAIAAgACAAIAAgACAAIAAgACAAIABcACIARgBBAEwAUwBFACAAIAAgACAAIAAgACAAIAAgACAAkiE9AEkAcwBCAGUAdAB3AGUAZQBuAFUAuwMoADIALAAgADIALAAgADQALAAgAEYAQQBMAFMAR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UwBlAHQAIABvAHAAdABpAG8AbgBhAGwAIABhAHIAZwB1AG0AZQBuAHQAcwAgAGQAZQBmAGEAdQBsAHQAcwBcAG4AIAAgACAAIAAgACAAIAAgAEkAbgBjAGwAdQBzAGkAdgBlACwAIAAgACAAIAAgACAASQBGACgAIABJAFMATABPAEcASQBDAEEATAAoACAASQBuAGMAbAB1AHMAaQB2AGUAKQAsACAASQBuAGMAbAB1AHMAaQB2AGUALAAgAFQAUgBVAEUAKQAsAFwAbgAgACAAIAAgAC8ALwAgACAAQwBoAGUAYwBrACAAaQBuAHAAdQB0AHMAIAAtACAATwBtAGkAdAB0AGUAZAAgAHIAZQBxAHUAaQByAGUAZAAgAGEAcgBnAHUAbQBlAG4AdABzAFwAbgAgACAAIAAgACAAIAAgACAASABlAGwAcAA/ACwAIAAgACAAIAAgACAAIAAgACAAIABPAFIAKAAgAEkAUwBPAE0ASQBUAFQARQBEACgAIABWAGEAbAB1AGUAKQAsAFwAbgAgACAAIAAgACAAIAAgACAAIAAgACAAIAAgACAAIAAgACAAIAAgACAAIAAgACAAIAAgACAAIAAgAEkAUwBPAE0ASQBUAFQARQBEACgAIABMAG8AdwApACwAXABuACAAIAAgACAAIAAgACAAIAAgACAAIAAgACAAIAAgACAAIAAgACAAIAAgACAAIAAgACAAIAAgACAASQBTAE8ATQBJAFQAVABFAEQAKAAgAEgAaQApAFwAbgAgACAAIAAgACAAIAAgACAAIAAgACAAIAAgACAAIAAgACAAIAAgACAAIAAgACAAIAApACwAXABuACAAIAAgACAALwAvACAAIABQAHIAbwBjAGUAZAB1AHIAZQBcAG4AIAAgACAAIAAgACAAIAAgAFIAZQBzAHUAbAB0ACwAIAAgACAAIAAgACAAIAAgACAASQBGACgAIABJAG4AYwBsAHUAcwBpAHYAZQAsACAAXABuACAAIAAgACAAIAAgACAAIAAgACAAIAAgACAAIAAgACAAIAAgACAAIAAgACAAIAAgACAAIAAgACAAKABWAGEAbAB1AGUAIAA+AD0AIABMAG8AdwApACAAKgAgACgAVgBhAGwAdQBlACAAPAA9ACAASABpACkAIAA9ACAAMQAsACAAXABuACAAIAAgACAAIAAgACAAIAAgACAAIAAgACAAIAAgACAAIAAgACAAIAAgACAAIAAgACAAIAAgACAAKABWAGEAbAB1AGUAIAA+ACAATABvAHcAKQAgACoAIAAoAFYAYQBsAHUAZQAgADwAIABIAGkAKQAgAD0AIAAx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AgACAAIAAgAEkAcwBJAG4ATABpAHMAdABVALsDXABuACAAIAAgACAARABFAFMAQwBSAEkAUABUAEkATwBOADoAKgAvAC8AKgAqAEQAZQB0AGUAcgBtAGkAbgBlACAAdwBoAGUAdABoAGUAcgAgAGEAIAB2AGEAbAB1AGUAIABpAHMAIABvAG4AZQAgAG8AZgAgAGEAIABsAGkAcwB0ACAAbwBmACAAaQB0AGUAbQBzACoALwBcAG4ASQBzAEkAbgBMAGkAcwB0AFUAuwMgAD0AIABMAEEATQBCAEQAQQAoAFwAbgAvAC8AIAAgAFAAYQByAGEAbQBlAHQAZQByACAARABlAGMAbABhAHIAYQB0AGkAbwBuAHMAXABuACAAIAAgACAAWwBWAGEAbAB1AGUAXQAsAFwAbgAgACAAIAAgAFsATABpAHMAdABdACwAXABuAC8ALwAgACAASABlAGwAcABcAG4AIAAgACAAIABMAEUAVAAoAEgAZQBsAHAALAAgACAAIAAgACAAIAAgACAAIAAgACAAVABSAEkATQAoAFQARQBYAFQAUwBQAEwASQBUACgAIABcAG4AIAAgACAAIAAgACAAIAAgACAAIAAgACAAIAAgACAAIAAgACAAIAAgACAAIAAgACAAIAAgACAAIABcACIARgBVAE4AQwBUAEkATwBOADoAIAAgACAAIAAgACAAkiFJAHMASQBuAEwAaQBzAHQAVQC7AygAIABWAGEAbAB1AGUALAAgAEwAaQBzAHQAKQC2AFwAIgAgACYAXABuACAAIAAgACAAIAAgACAAIAAgACAAIAAgACAAIAAgACAAIAAgACAAIAAgACAAIAAgACAAIAAgACAAXAAiAEQARQBTAEMAUgBJAFAAVABJAE8ATgA6ACAAIAAgAJIhRABlAHQAZQByAG0AaQBuAGUAIABpAGYAIABhACAAdgBhAGwAdQBlACAAaQBzACAAbwBuAGUAIABvAGYAIABhACAAbABpAHMAdAAgAG8AZgAgAGkAdABlAG0AcwAuALYAXAAiACAAJgAgAFwAbgAgACAAIAAgACAAIAAgACAAIAAgACAAIAAgACAAIAAgACAAIAAgACAAIAAgACAAIAAgACAAIAAgAFwAIgBQAEEAUgBBAE0ARQBUAEUAUgBTADoAIAAgACAAIACSIbYAXAAiACAAJgAgAFwAbgAgACAAIAAgACAAIAAgACAAIAAgACAAIAAgACAAIAAgACAAIAAgACAAIAAgACAAIAAgACAAIAAgAFwAIgBWAGEAbAB1AGUAIAAgACAAIAAgACAAIAAgACAAIACSISgAUgBlAHEAdQBpAHIAZQBkACkAIABBACAAdgBhAGwAdQBlACAAbwByACAAYQByAHIAYQB5ACAAbwBmACAAdgBhAGwAdQBlAHMAIAB0AG8AIABjAG8AbQBwAGEAcgBlAC4AtgBcACIAIAAmACAAXABuACAAIAAgACAAIAAgACAAIAAgACAAIAAgACAAIAAgACAAIAAgACAAIAAgACAAIAAgACAAIAAgACAAXAAiAEwAaQBzAHQAIAAgACAAIAAgACAAIAAgACAAIAAgAJIhKABSAGUAcQB1AGkAcgBlAGQAKQAgAEEAIABsAGkAcwB0ACAAbwBmACAAdgBhAGwAdQBlAHMAIAB0AG8AIABjAGgAZQBjAGsAOgAgAGEAIAByAG8AdwAsACAAYQAgAGMAbwBsAHUAbQBuACAAbwByACAAYQAgAGcAcgBpAGQALgC2AFwAIgAgACYAXABuACAAIAAgACAAIAAgACAAIAAgACAAIAAgACAAIAAgACAAIAAgACAAIAAgACAAIAAgACAAIAAgACAAXAAiAE4ATwBUAEUAIQAgACAAIAAgACAAIAAgACAAIAAgAJIhVABoAGUAIABjAG8AbQBwAGEAcgBpAHMAbwBuACAAaQBzACAAZQB4AGEAYwB0ACAAYQBuAGQAIABjAGEAcwBlAC0AaQBuAHMAZQBuAHMAaQB0AGkAdgBlADsAIAAqACAAYQBuAGQAIAA/ACAAYQByAGUAIABvAHIAZABpAG4AYQByAHkAIABjAGgAYQByAGEAYwB0AGUAcgBzAC4AtgBcACIAIAAmAFwAbgAgACAAIAAgACAAIAAgACAAIAAgACAAIAAgACAAIAAgACAAIAAgACAAIAAgACAAIAAgACAAIAAgAFwAIgCSIb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LYAXAAiACAAJgBcAG4AIAAgACAAIAAgACAAIAAgACAAIAAgACAAIAAgACAAIAAgACAAIAAgACAAIAAgACAAIAAgACAAIABcACIARgBBAEwAUwBFACAAIAAgACAAIAAgACAAIAAgACAAkiE9AEkAcwBJAG4ATABpAHMAdABVALsDKAAxACwAIAB7ADIALAAzACwANAB9ACkAtgBcACIAIAAmACAAXABuACAAIAAgACAAIAAgACAAIAAgACAAIAAgACAAIAAgACAAIAAgACAAIAAgACAAIAAgACAAIAAgACAAXAAiAFQAUgBVAEUAIAAgACAAIAAgACAAIAAgACAAIAAgAJIhPQBJAHMASQBuAEwAaQBzAHQAVQC7AygAMQAsACAAewAxACwAMwAsADUAfQApALYAXAAiACAAJgAgAFwAbgAgACAAIAAgACAAIAAgACAAIAAgACAAIAAgACAAIAAgACAAIAAgACAAIAAgACAAIAAgACAAIAAgAFwAIgCSIVwAIgAs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WAGEAbAB1AGUAKQAsAFwAbgAgACAAIAAgACAAIAAgACAAIAAgACAAIAAgACAAIAAgACAAIAAgACAAIAAgACAAIAAgACAAIAAgAEkAUwBPAE0ASQBUAFQARQBEACgAIABMAGkAcwB0ACkAXABuACAAIAAgACAAIAAgACAAIAAgACAAIAAgACAAIAAgACAAIAAgACAAIAAgACAAIAAgACkALABcAG4AIAAgACAAIAAvAC8AIAAgAFAAcgBvAGMAZQBkAHUAcgBlAFwAbgAgACAAIAAgAC8ALwAgACAARgBsAGEAdAB0AGUAbgAgAHQAaABlACAAbABpAHMAdAAgAGYAaQByAHMAdAA6ACAATQBBAFQAQwBIACAAbgBlAGUAZABzACAAbwBuAGUAIABkAGkAbQBlAG4AcwBpAG8AbgAgAGEAbgBkACAAdAByAGUAYQB0AHMAIAAqACAAYQBuAGQAIAA/ACAAYQBzACAAdwBpAGwAZABjAGEAcgBkAHMAXABuACAAIAAgACAAIAAgACAAIABSAGUAcwB1AGwAdAAsACAAIAAgACAAIAAgACAAIAAgAEkAUwBOAFUATQBCAEUAUgAoACAAWABNAEEAVABDAEgAKAAgAFYAYQBsAHUAZQAsACAAVABPAEMATwBMACgAIABMAGkAcwB0ACkALAAgADAAKQ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EAbgBnAGUAVABvAEQAQQBVALsDXABuACAAIAAgACAARABFAFMAQwBSAEkAUABUAEkATwBOADoAKgAvAC8AKgAqAEMAbwBuAHYAZQByAHQAIABhACAAcgBhAG4AZwBlACAAcgBlAGYAZQByAGUAbgBjAGUAIAB0AG8AIABhACAAZAB5AG4AYQBtAGkAYwAgAGEAcgByAGEAeQAgAHIAZQBmAGUAcgBlAG4AYwBlACoALwBcAG4AUgBhAG4AZwBlAFQAbwBEAEEAVQC7AyAAPQAgAEwAQQBNAEIARABBACgAXABuAC8ALwAgACAAUABhAHIAYQBtAGUAdABlAHIAIABEAGUAYwBsAGEAcgBhAHQAaQBvAG4AcwBcAG4AIAAgACAAIABbAFIAYQBuAGcAZQBdACwAXABuACAAIAAgACAAWwBSAG8AdwBzAF0ALABcAG4AIAAgACAAIABbAEMAbwBsAHUAbQBuAHMAXQAsAFwAbgAgACAAIAAgAEwARQBUACgAXABuACAAIAAgACAALwAvACAAIABIAGUAbABwAFwAbgAgACAAIAAgACAAIAAgACAASABlAGwAcAAsACAAIAAgACAAIAAgACAAIAAgACAAIABUAFIASQBNACgAVABFAFgAVABTAFAATABJAFQAKABcAG4AIAAgACAAIAAgACAAIAAgACAAIAAgACAAIAAgACAAIAAgACAAIAAgACAAIAAgACAAIAAgACAAIABcACIARgBVAE4AQwBUAEkATwBOADoAIAAgACAAIAAgACAAIAAgACAAIACSIVIAYQBuAGcAZQBUAG8ARABBAFUAuwMoAFIAYQBuAGcAZQAsACAAWwBSAG8AdwBzAF0ALAAgAFsAQwBvAGwAdQBtAG4AcwBdACkAtgBcACIAIAAmAFwAbgAgACAAIAAgACAAIAAgACAAIAAgACAAIAAgACAAIAAgACAAIAAgACAAIAAgACAAIAAgACAAIAAgAFwAIgBEAEUAUwBDAFIASQBQAFQASQBPAE4AOgAgACAAIAAgACAAIAAgAJIhQwBvAG4AdgBlAHIAdAAgAGEAIAByAGEAbgBnAGUAIAByAGUAZgBlAHIAZQBuAGMAZQAgAHQAbwAgAGEAIABkAHkAbgBhAG0AaQBjACAAYQByAHIAYQB5ACAAcgBlAGYAZQByAGUAbgBjAGUALgC2AFwAIgAgACYAIABcAG4AIAAgACAAIAAgACAAIAAgACAAIAAgACAAIAAgACAAIAAgACAAIAAgACAAIAAgACAAIAAgACAAIABcACIAUwBFAEUAIABBAEwAUwBPADoAIAAgACAAIAAgACAAkiFFAHgAYwBlAGwAIAAzADYANQAgAG4AbwB3ACAAaABhAHMAIABUAFIASQBNAFIAQQBOAEcARQAgAGEAbgBkACAAdAByAGkAbQAgAHIAZQBmAGUAcgBlAG4AYwBlAHMAIAAoAC4AOgAuACkAIABmAG8AcgAgAHQAaABpAHMALgC2AFwAIgAgACYAXABuACAAIAAgACAAIAAgACAAIAAgACAAIAAgACAAIAAgACAAIAAgACAAIAAgACAAIAAgACAAIAAgACAAXAAiAFcARQBCAFMASQBUAEUAOgAgACAAIAAgACAAIAAgACAAIAAgACAAkiFoAHQAdABwAHMAOgAvAC8AZwBpAHQAaAB1AGIALgBjAG8AbQAvAHIAeQBhAG4AZAB1AGcAdQBpAGQALwBPAHoAegBpAHQAtgBcACIAIAAmAFwAbgAgACAAIAAgACAAIAAgACAAIAAgACAAIAAgACAAIAAgACAAIAAgACAAIAAgACAAIAAgACAAIAAgAFwAIgBQAEEAUgBBAE0ARQBUAEUAUgBTADoAIAAgACAAIAAgACAAIAAgAJIhtgBcACIAIAAmACAAXABuACAAIAAgACAAIAAgACAAIAAgACAAIAAgACAAIAAgACAAIAAgACAAIAAgACAAIAAgACAAIAAgACAAXAAiAFIAYQBuAGcAZQAgACAAIAAgACAAIAAgACAAIAAgACAAIAAgACAAkiEoAFIAZQBxAHUAaQByAGUAZAApACAAQQAgAHIAZQBmAGUAcgBlAG4AYwBlACAAdABvACAAdABoAGUAIAByAGEAbgBnAGUAIAB0AG8AIABiAGUAIABjAG8AbgB2AGUAcgB0AGUAZAAuALYAXAAiACAAJgBcAG4AIAAgACAAIAAgACAAIAAgACAAIAAgACAAIAAgACAAIAAgACAAIAAgACAAIAAgACAAIAAgACAAIABcACIAUgBvAHcAcwAgACAAIAAgACAAIAAgACAAIAAgACAAIAAgACAAIACSISgATwBwAHQAaQBvAG4AYQBsACkAIABOAHUAbQBiAGUAcgAgAG8AZgAgAHIAbwB3AHMAIABmAG8AcgAgAHQAaABlACAAZAB5AG4AYQBtAGkAYwAgAGEAcgByAGEAeQAuACAARABlAGYAYQB1AGwAdABzACAAdABvACAAMQAuALYAXAAiACAAJgBcAG4AIAAgACAAIAAgACAAIAAgACAAIAAgACAAIAAgACAAIAAgACAAIAAgACAAIAAgACAAIAAgACAAIABcACIAQwBvAGwAdQBtAG4AcwAgACAAIAAgACAAIAAgACAAIAAgACAAIACSISgATwBwAHQAaQBvAG4AYQBsACkAIABOAHUAbQBiAGUAcgAgAG8AZgAgAGMAbwBsAHUAbQBuAHMAIABmAG8AcgAgAHQAaABlACAAZAB5AG4AYQBtAGkAYwAgAGEAcgByAGEAeQAuACAARABlAGYAYQB1AGwAdABzACAAdABvACAAMQAuALYAXAAiACAAJgBcAG4AIAAgACAAIAAgACAAIAAgACAAIAAgACAAIAAgACAAIAAgACAAIAAgACAAIAAgACAAIAAgACAAIABcACIAkiG2AFwAIgAgACYAXABuACAAIAAgACAAIAAgACAAIAAgACAAIAAgACAAIAAgACAAIAAgACAAIAAgACAAIAAgACAAIAAgACAAXAAiAEUAWABBAE0AUABMAEUAUwA6ACAAIAAgACAAIAAgACAAIAAgACAAkiE9AFIAYQBuAGcAZQBUAG8ARABBAFUAuwMoAEEAMQAsACAALAAgAE0AbwBkAGUAbABQAGUAcgBpAG8AZABDAG8AdQBuAHQAKQBcACIALABcAG4AIAAgACAAIAAgACAAIAAgACAAIAAgACAAIAAgACAAIAAgACAAIAAgACAAIAAgACAAIAAgACAAIABcACIAkiFcACIALAAgAFwAIgC2AFwAIgBcAG4AIAAgACAAIAAgACAAIAAgACAAIAAgACAAIAAgACAAIAAgACAAIAAgACAAIAAgACAAIAAgACAAIAApAFwAbgAgACAAIAAgACAAIAAgACAAIAAgACAAIAAgACAAIAAgACAAIAAgACAAIAAgACAAIAApACwAIAAgAFwAbgAgACAAIAAgAC8ALwAgACAAQwBoAGUAYwBrACAAaQBuAHAAdQB0AHMAIAAtACAATwBtAGkAdAB0AGUAZAAgAHIAZQBxAHUAaQByAGUAZAAgAGEAcgBnAHUAbQBlAG4AdABzAFwAbgAgACAAIAAgACAAIAAgACAASABlAGwAcAA/ACwAIAAgACAAIAAgACAAIAAgACAAIABJAFMATwBNAEkAVABUAEUARAAoACAAUgBhAG4AZwBlACkALABcAG4AIAAgACAAIAAvAC8AIAAgAEMAaABlAGMAawAgAGkAbgBwAHUAdABzACAALQAgAFMAZQB0ACAAbwBwAHQAaQBvAG4AYQBsACAAYQByAGcAdQBtAGUAbgB0AHMAJwAgAGQAZQBmAGEAdQBsAHQAcwBcAG4AIAAgACAAIAAgACAAIAAgAFIAbwB3AHMALAAgACAAIAAgACAAIAAgACAAIAAgACAASQBGACgAIABJAFMATgBVAE0AQgBFAFIAKAAgAFIAbwB3AHMAKQAsACAAUgBvAHcAcwAsACAAMQApACwAXABuACAAIAAgACAAIAAgACAAIABDAG8AbAB1AG0AbgBzACwAIAAgACAAIAAgACAAIAAgAEkARgAoACAASQBTAE4AVQBNAEIARQBSACgAIABDAG8AbAB1AG0AbgBzACkALAAgAEMAbwBsAHUAbQBuAHMALAAgADEAKQAsAFwAbgAgACAAIAAgAC8ALwAgACAAUAByAG8AYwBlAGQAdQByAGUAXABuACAAIAAgACAAIAAgACAAIABSAGUAcwB1AGwAdAAsACAAIAAgACAAIAAgACAAIAAgAE8ARgBGAFMARQBUACgAIABSAGEAbgBnAGUALAAgADAALAAgADAALAAgAFIAbwB3AHMALAAgAEMAbwBsAHUAbQBuAHMAKQAsACAAXABuACAAIAAgACAALwAvACAAIABSAGUAdAB1AHIAbgAgAFIAZQBzAHUAbAB0ACAAbwByACAAaABlAGwAcABcAG4AIAAgACAAIAAgACAAIAAgAEMASABPAE8AUwBFACgASABlAGwAcAA/ACAAKwAgADEALAAgAFIAZQBzAHUAbAB0ACwAIABIAGUAbABwACkAXABuACAAIAAgACAAKQBcAG4AKQA7AFwAbgAiAH0ALAB7ACIAcABhAHQAaAAiADoAIgAvAHAAcgBvAGoAZQBjAHQAcwAvAEQAZQBiAHQAIgAsACIAdABlAHgAdAAiADoAIgAvACoAIAAgAE0AbwBkAHUAbABlACAAQwBvAG4AdABhAGkAbgBzACAATwB6AHoAaQB0ACAAQwBvAG0AcABsAGkAYQBuAHQAIABMAEEATQBCAEQAQQBzACAAZgBvAHIAIABkAGUAYgB0ACAAcwBjAHUAbABwAHQAaQBuAGcAIABhAG4AZAAgAGEAbQBvAHIAdABpAHMAYQB0AGkAbwBuAC4AXABuACAAIAAgACAARQB2AGUAcgB5ACAAcwBjAGgAZQBkAHUAbABlACAAcwBvAGwAdgBlAHMAIABpAHQAcwAgAGMAbABvAHMAaQBuAGcAIABiAGEAbABhAG4AYwBlAHMAIAB3AGkAdABoACAAUwBDAEEATgAsACAAbwBuAGUAIABwAGUAcgBpAG8AZAAgAGEAZgB0AGUAcgAgAGEAbgBvAHQAaABlAHIALAAgAHMAbwBcAG4AIAAgACAAIABuAG8AdABoAGkAbgBnACAAaABlAHIAZQAgAHIAZQBjAHUAcgBzAGUAcwAgAGEAbgBkACAAdABoAGUAIABtAG8AZAB1AGwAZQAgAGkAcwAgAGgAZQBsAGQAIABpAG4AIAB0AGgAZQAgAEEAZAB2AGEAbgBjAGUAZAAgAEYAbwByAG0AdQBsAGEAIABFAG4AdgBpAHIAbwBuAG0AZQBuAHQAXABuACAAIAAgACAAcwB0AG8AcgBlACAAdwBpAHQAaAAgAHQAaABlACAAbwB0AGgAZQByACAAZgBpAHYAZQAuACAAKgAvAFwAbgBcAG4ALwAqACAAIABGAFUATgBDAFQASQBPAE4AIABOAEEATQBFADoAIAAgAEEAbQBvAHIAdABpAHMAZQBCALsDXABuACAAIAAgACAARABFAFMAQwBSAEkAUABUAEkATwBOADoAKgAvAC8AKgAqAEMAcgBlAGEAdABlAHMAIABhAG4AIABhAG0AbwByAHQAaQBzAGEAdABpAG8AbgAgAHMAYwBoAGUAZAB1AGwAZQAgAGYAbwByACAAYQAgAGQAZQBiAHQALwBsAG8AYQBuACAAYQBjAHIAbwBzAHMAIABhACAAbQBvAGQAZQBsACcAcwAgAHAAZQByAGkAbwBkAHMAKgAvAFwAbgBBAG0AbwByAHQAaQBzAGUAQgC7AyAAPQAgAEwAQQBNAEIARABBACgAXABuAC8ALwAgACAAUABhAHIAYQBtAGUAdABlAHIAIABEAGUAYwBsAGEAcgBhAHQAaQBvAG4AcwBcAG4AIAAgACAAIABbAFAAcgBpAG4AYwBpAHAAYQBsAF0ALABcAG4AIAAgACAAIABbAEEAUABSAF0ALABcAG4AIAAgACAAIABbAFQAZQByAG0AXQAsAFwAbgAgACAAIAAgAFsATQBvAGQAZQBsAFAAZQByAGkAbwBkAHMAXQAsAFwAbgAgACAAIAAgAFsAUwB0AGEAcgB0AFAAZQByAGkAbwBkAF0ALABcAG4AIAAgACAAIABbAE0AbwBuAHQAaABzAFAAZQByAFAAZQByAGkAbwBkAF0ALABcAG4ALwAvACAAIABIAGUAbABwAFwAbgAgACAAIAAgAEwARQBUACgASABlAGwAcAAsACAAIAAgACAAIAAgACAAVABSAEkATQAoAFQARQBYAFQAUwBQAEwASQBUACgAXABuACAAIAAgACAAIAAgACAAIAAgACAAIAAgACAAIAAgACAAIAAgACAAIAAgACAAIAAgAFwAIgBGAFUATgBDAFQASQBPAE4AOgAgACAAIAAgACAAIACSIUEAbQBvAHIAdABpAHMAZQBCALsDKABQAHIAaQBuAGMAaQBwAGEAbAAsACAAQQBQAFIALAAgAFQAZQByAG0ALAAgAE0AbwBkAGUAbABQAGUAcgBpAG8AZABzACwAIABbAFMAdABhAHIAdABQAGUAcgBpAG8AZABdACwAIABbAE0AbwBuAHQAaABzAFAAZQByAFAAZQByAGkAbwBkAF0AKQC2AFwAIgAgACYAXABuACAAIAAgACAAIAAgACAAIAAgACAAIAAgACAAIAAgACAAIAAgACAAIAAgACAAIAAgAFwAIgBEAEUAUwBDAFIASQBQAFQASQBPAE4AOgAgACAAIACSIUMAcgBlAGEAdABlAHMAIABhAG4AIABhAG0AbwByAHQAaQBzAGEAdABpAG8AbgAgAHMAYwBoAGUAZAB1AGwAZQAgAGYAbwByACAAYQAgAGQAZQBiAHQALwBsAG8AYQBuACAAYQBjAHIAbwBzAHMAIABhACAAbQBvAGQAZQBsACcAcwAgAHAAZQByAGkAbwBkAHMALgC2AFwAIgAgACYAXABuACAAIAAgACAAIAAgACAAIAAgACAAIAAgACAAIAAgACAAIAAgACAAIAAgACAAIAAgAFwAIgBSAE8AVwAgAEMATwBOAFQARQBOAFQAUwA6ACAAIACSIU8AcABlAG4AaQBuAGcAIABCAGEAbABhAG4AYwBlALYAXAAiACAAJgBcAG4AIAAgACAAIAAgACAAIAAgACAAIAAgACAAIAAgACAAIAAgACAAIAAgACAAIAAgACAAXAAiACAAIAAgACAAIAAgACAAIAAgACAAIAAgACAAIAAgAJIhSQBuAHQAZQByAGUAcwB0ACAAUABvAHIAdABpAG8AbgC2AFwAIgAgACYAXABuACAAIAAgACAAIAAgACAAIAAgACAAIAAgACAAIAAgACAAIAAgACAAIAAgACAAIAAgAFwAIgAgACAAIAAgACAAIAAgACAAIAAgACAAIAAgACAAIACSIVIAZQBwAGEAeQBtAGUAbgB0ALYAXAAiACAAJgBcAG4AIAAgACAAIAAgACAAIAAgACAAIAAgACAAIAAgACAAIAAgACAAIAAgACAAIAAgACAAXAAiACAAIAAgACAAIAAgACAAIAAgACAAIAAgACAAIAAgAJIhQwBsAG8AcwBpAG4AZwAgAEIAYQBsAGEAbgBjAGUAtgBcACIAIAAmAFwAbgAgACAAIAAgACAAIAAgACAAIAAgACAAIAAgACAAIAAgACAAIAAgACAAIAAgACAAIABcACIAIAAgACAAIAAgACAAIAAgACAAIAAgACAAIAAgACAAkiFQAHIAaQBuAGMAaQBwAGEAbAAgAFAAbwByAHQAaQBvAG4AtgBcACIAIAAmAFwAbg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BcACIAVgBFAFIAUwBJAE8ATgA6ACAAIAAgACAAIAAgACAAkiEyADAAIABBAHUAZwAgADIAMAAyADYAtgBcACIAIAAmAFwAbgAgACAAIAAgACAAIAAgACAAIAAgACAAIAAgACAAIAAgACAAIAAgACAAIAAgACAAIABcACIAUABBAFIAQQBNAEUAVABFAFIAUwA6ACAAIAAgACAAkiG2AFwAIgAgACYAXABuACAAIAAgACAAIAAgACAAIAAgACAAIAAgACAAIAAgACAAIAAgACAAIAAgACAAIAAgAFwAIgBQAHIAaQBuAGMAaQBwAGEAbAAgACAAIAAgACAAIACSISgAUgBlAHEAdQBpAHIAZQBkACkAIABQAHIAaQBuAGMAaQBwAGEAbAAgAG8AcABlAG4AaQBuAGcAIABiAGEAbABhAG4AYwBlAC4AtgBcACIAIAAmAFwAbgAgACAAIAAgACAAIAAgACAAIAAgACAAIAAgACAAIAAgACAAIAAgACAAIAAgACAAIABcACIAQQBQAFIAIAAgACAAIAAgACAAIAAgACAAIAAgACAAkiEoAFIAZQBxAHUAaQByAGUAZAApACAAQQBuAG4AdQBhAGwAIABwAGUAcgBjAGUAbgB0AGEAZwBlACAAcgBhAHQAZQAuALYAXAAiACAAJgBcAG4AIAAgACAAIAAgACAAIAAgACAAIAAgACAAIAAgACAAIAAgACAAIAAgACAAIAAgACAAXAAiAFQAZQByAG0AIAAgACAAIAAgACAAIAAgACAAIAAgAJIhKABSAGUAcQB1AGkAcgBlAGQAKQAgAE4AdQBtAGIAZQByACAAbwBmACAAcABlAHIAaQBvAGQAcwAgAHQAbwAgAHAAYQB5ACAAbwBmAGYAIAB0AGgAZQAgAGQAZQBiAHQALgC2AFwAIgAgACYAXABuACAAIAAgACAAIAAgACAAIAAgACAAIAAgACAAIAAgACAAIAAgACAAIAAgACAAIAAgAFwAIgBNAG8AZABlAGwAUABlAHIAaQBvAGQAcwAgACAAIACSISgAUgBlAHEAdQBpAHIAZQBkACkAIABOAHUAbQBiAGUAcgAgAG8AZgAgAG0AbwBkAGUAbAAgAHAAZQByAGkAbwBkAHMALgC2AFwAIgAgACYAXABuACAAIAAgACAAIAAgACAAIAAgACAAIAAgACAAIAAgACAAIAAgACAAIAAgACAAIAAgAFwAIgBTAHQAYQByAHQAUABlAHIAaQBvAGQAIAAgACAAIACSISgATwBwAHQAaQBvAG4AYQBsACkAIABQAGUAcgBpAG8AZAAgAHcAaABlAG4AIAB0AGgAZQAgAGQAZQBiAHQAIABpAHMAIABpAHMAcwB1AGUAZAAuACAARABlAGYAYQB1AGwAdABzACAAdABvACAAMQAuALYAXAAiACAAJgBcAG4AIAAgACAAIAAgACAAIAAgACAAIAAgACAAIAAgACAAIAAgACAAIAAgACAAIAAgACAAXAAiAE0AbwBuAHQAaABzAFAAZQByAFAAZQByAGkAbwBkAJIhKABPAHAAdABpAG8AbgBhAGwAKQAgAE4AdQBtAGIAZQByACAAbwBmACAAbQBvAG4AdABoAHMAIABpAG4AIABlAGEAYwBoACAAcABlAHIAaQBvAGQALgAgAEQAZQBmAGEAdQBsAHQAcwAgAHQAbwAgADEALgC2AFwAIgAgACYAXABuACAAIAAgACAAIAAgACAAIAAgACAAIAAgACAAIAAgACAAIAAgACAAIAAgACAAIAAgAFwAIgBFAFgAQQBNAFAATABFAFMAOgAgACAAIAAgACAAIACSIbYAXAAiACAAJg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XAAiADUAIAByAG8AdwBzACwAIAA2ADAAIABjAG8AbABzAJIhPQBvAHoALgBBAG0AbwByAHQAaQBzAGUAQgC7AygAMQAwADAAMAAwACwAIAAzACUALAAgADQAOAAsACAANgAwACkAXAAiACwAXABuACAAIAAgACAAIAAgACAAIAAgACAAIAAgACAAIAAgACAAIAAgACAAIAAgACAAIAAgAFwAIgCSIVwAIgAsACAAXAAiALYAXAAiAFwAbgAgACAAIAAgACAAIAAgACAAIAAgACAAIAAgACAAIAAgACAAIAAgACAAIAAgACAAIAApAFwAbgAgACAAIAAgACAAIAAgACAAIAAgACAAIAAgACAAIAAgACAAIAAgACAAKQAsAFwAbgAgACAAIAAgAC8ALwAgACAAQwBoAGUAYwBrACAAaQBuAHAAdQB0AHMAIAAtACAATwBtAGkAdAB0AGUAZAAgAHIAZQBxAHUAaQByAGUAZAAgAGEAcgBnAHUAbQBlAG4AdABzAFwAbgAgACAAIAAgACAAIAAgACAASABlAGwAcAA/ACwAIAAgACAAIAAgACAAIAAgACAAIABPAFIAKAAgAEkAUwBPAE0ASQBUAFQARQBEACgAIABQAHIAaQBuAGMAaQBwAGEAbAApACwAXABuACAAIAAgACAAIAAgACAAIAAgACAAIAAgACAAIAAgACAAIAAgACAAIAAgACAAIAAgACAAIAAgACAASQBTAE8ATQBJAFQAVABFAEQAKAAgAEEAUABSACkALABcAG4AIAAgACAAIAAgACAAIAAgACAAIAAgACAAIAAgACAAIAAgACAAIAAgACAAIAAgACAAIAAgACAAIABJAFMATwBNAEkAVABUAEUARAAoACAAVABlAHIAbQApACwAXABuACAAIAAgACAAIAAgACAAIAAgACAAIAAgACAAIAAgACAAIAAgACAAIAAgACAAIAAgACAAIAAgACAASQBTAE8ATQBJAFQAVABFAEQAKAAgAE0AbwBkAGUAbABQAGUAcgBpAG8AZABzACkAXABuACAAIAAgACAAIAAgACAAIAAgACAAIAAgACAAIAAgACAAIAAgACAAIAAgACAAIAAgACkALABcAG4AIAAgACAAIAAvAC8AIAAgAEMAaABlAGMAawAgAGkAbgBwAHUAdABzACAALQAgAEUAcgByAG8AcgBzACAAaQBuACAAYQByAGcAdQBtAGUAbgB0ACAAdgBhAGwAdQBlAHMAXABuACAAIAAgACAAIAAgACAAIABFAHIAcgBNAHMAZwBzACwAIAAgACAAIAAgACAAIAAgAHsAXAAiAFAAcgBpAG4AYwBpAHAAYQBsACAAbQB1AHMAdAAgAGIAZQAgAGEAIABzAGkAbgBnAGwAZQAgAG4AdQBtAGIAZQByACAAcAByAG8AdgBpAGQAaQBuAGcAIAB0AGgAZQAgAG8AcABlAG4AaQBuAGcAIABkAGUAYgB0ACAAYQBtAG8AdQBuAHQALgBcACIAOwBcAG4AIAAgACAAIAAgACAAIAAgACAAIAAgACAAIAAgACAAIAAgACAAIAAgACAAIAAgACAAIABcACIAQQBQAFIAIABtAHUAcwB0ACAAYgBlACAAYQAgAHMAaQBuAGcAbABlACAAbgB1AG0AYgBlAHIAIABwAHIAbwB2AGkAZABpAG4AZwAgAGEAbgBuAHUAYQBsACAAcABlAHIAYwBlAG4AdABhAGcAZQAgAHIAYQB0AGUAIABmAG8AcgAgAGkAbgB0AGUAcgBlAHMAdAAuAFwAIgA7AFwAbgAgACAAIAAgACAAIAAgACAAIAAgACAAIAAgACAAIAAgACAAIAAgACAAIAAgACAAIAAgAFwAIgBUAGUAcgBtACAAbQB1AHMAdAAgAGIAZQAgAGEAIABwAG8AcwBpAHQAaQB2AGUAIAB3AGgAbwBsAGUAIABuAHUAbQBiAGUAcgAgAG8AZgAgAHAAZQByAGkAbwBkAHMAIAB0AG8AIABwAGEAeQAgAG8AZgBmACAAdABoAGUAIABkAGUAYgB0AFwAIgA7AFwAbgAgACAAIAAgACAAIAAgACAAIAAgACAAIAAgACAAIAAgACAAIAAgACAAIAAgACAAIAAgAFwAIgBNAG8AZABlAGwAIABQAGUAcgBpAG8AZABzACAAbQB1AHMAdAAgAGIAZQAgAGEAIABwAG8AcwBpAHQAaQB2AGUAIAB3AGgAbwBsAGUAIABuAHUAbQBiAGUAcgAgAG8AZgAgAHAAZQByAGkAbwBkAHMAIABpAG4AIAB0AGgAaQBzACAAbQBvAGQAZQBsAC4AXAAiAH0ALABcAG4AIAAgACAAIAAvAC8AIAAgAFQAZQByAG0AIAByAGUAYQBjAGgAZQBzACAAUABNAFQAKAAgAFIAYQB0AGUALAAgAFQAZQByAG0ALAAgAE8AcABlAG4AaQBuAGcAKQAgAGEAbgBkACAATQBvAGQAZQBsAFAAZQByAGkAbwBkAHMAIAByAGUAYQBjAGgAZQBzACAAUwBFAFEAVQBFAE4AQwBFADoAXABuACAAIAAgACAALwAvACAAIABhACAAegBlAHIAbwAsACAAbgBlAGcAYQB0AGkAdgBlACAAbwByACAAZgByAGEAYwB0AGkAbwBuAGEAbAAgAHYAYQBsAHUAZQAgAHIAZQB0AHUAcgBuAHMAIAAjAE4AVQBNACEAIAByAGEAdABoAGUAcgAgAHQAaABhAG4AIAB0AGgAaQBzACAAbQBlAHMAcwBhAGcAZQAuAFwAbgAgACAAIAAgACAAIAAgACAARQByAHIAbwByAHMALAAgACAAIAAgACAAIAAgACAAIABWAFMAVABBAEMASwAoACAATgBPAFQAKAAgAEkAUwBOAFUATQBCAEUAUgAoACAAUAByAGkAbgBjAGkAcABhAGwAKQApACwAXABuACAAIAAgACAAIAAgACAAIAAgACAAIAAgACAAIAAgACAAIAAgACAAIAAgACAAIAAgACAAIAAgACAAIAAgACAAIABOAE8AVAAoACAASQBTAE4AVQBNAEIARQBSACgAIABBAFAAUgApACkALABcAG4AIAAgACAAIAAgACAAIAAgACAAIAAgACAAIAAgACAAIAAgACAAIAAgACAAIAAgACAAIAAgACAAIAAgACAAIAAgAE4ATwBUACgAIABBAE4ARAAoACAASQBTAE4AVQBNAEIARQBSACgAIABUAGUAcgBtACkALAAgAFQAZQByAG0AIAA+ACAAMAAsACAAVABlAHIAbQAgAD0AIABJAE4AVAAoACAAVABlAHIAbQApACkAKQAsAFwAbgAgACAAIAAgACAAIAAgACAAIAAgACAAIAAgACAAIAAgACAAIAAgACAAIAAgACAAIAAgACAAIAAgACAAIAAgACAATgBPAFQAKAAgAEEATgBEACgAIABJAFMATgBVAE0AQgBFAFIAKAAgAE0AbwBkAGUAbABQAGUAcgBpAG8AZABzACkALAAgAE0AbwBkAGUAbABQAGUAcgBpAG8AZABzACAAPgAgADAALABcAG4AIAAgACAAIAAgACAAIAAgACAAIAAgACAAIAAgACAAIAAgACAAIAAgACAAIAAgACAAIAAgACAAIAAgACAAIAAgACAAIAAgACAAIAAgACAAIAAgACAATQBvAGQAZQBsAFAAZQByAGkAbwBkAHMAIAA9ACAASQBOAFQAKAAgAE0AbwBkAGUAbABQAGUAcgBpAG8AZABzACkAKQApAFwAbgAgACAAIAAgACAAIAAgACAAIAAgACAAIAAgACAAIAAgACAAIAAgACAAIAAgACAAIAApACwAXABuACAAIAAgACAAIAAgACAAIABNAGUAcwBzAGEAZwBlAHMALAAgACAAIAAgACAAIAAgAEYASQBMAFQARQBSACgAIABFAHIAcgBNAHMAZwBzACwAIABFAHIAcgBvAHIAcwAsACAAXAAiAFwAIgApACwAXABuACAAIAAgACAALwAvACAAIABDAGgAZQBjAGsAIABpAG4AcAB1AHQAcwAgAC0AIABTAGUAdAAgAG8AcAB0AGkAbwBuAGEAbAAgAGEAcgBnAHUAbQBlAG4AdABzACcAIABkAGUAZgBhAHUAbAB0AHMAXABuACAAIAAgACAAIAAgACAAIABTAHQAYQByAHQAUABlAHIAaQBvAGQALAAgACAAIAAgAEkARgAoACAASQBTAE4AVQBNAEIARQBSACgAIABTAHQAYQByAHQAUABlAHIAaQBvAGQAKQAsACAAUwB0AGEAcgB0AFAAZQByAGkAbwBkACwAIAAxACkALABcAG4AIAAgACAAIAAgACAAIAAgAE0AbwBuAHQAaABzAFAAZQByAFAAZQByAGkAbwBkACwAIABJAEYAKAAgAEkAUwBOAFUATQBCAEUAUgAoACAATQBvAG4AdABoAHMAUABlAHIAUABlAHIAaQBvAGQAKQAsACAATQBvAG4AdABoAHMAUABlAHIAUABlAHIAaQBvAGQALAAgADEAKQAsAFwAbgAgACAAIAAgAC8ALwAgACAAUAByAG8AYwBlAGQAdQByAGUAIAAtACAAcwBvAGwAdgBlACAAdABoAGUAIABjAGwAbwBzAGkAbgBnACAAYgBhAGwAYQBuAGMAZQAgAHAAZQByAGkAbwBkACAAYgB5ACAAcABlAHIAaQBvAGQALAAgAHQAaABlAG4AIAByAGUAYQBkACAAdABoAGUAIAByAG8AdwBzACAAbwBmAGYAIABpAHQALgBcAG4AIAAgACAAIAAvAC8AIAAgAEIAZQBmAG8AcgBlACAAdABoAGUAIABzAHQAYQByAHQAIABwAGUAcgBpAG8AZAAgAHQAaABlACAAYgBhAGwAYQBuAGMAZQAgAGkAcwAgAGMAYQByAHIAaQBlAGQAIAB1AG4AdABvAHUAYwBoAGUAZAA7ACAAZgByAG8AbQAgAGkAdAAsACAAZQBhAGMAaAAgAHAAZQByAGkAbwBkACAAcABhAHkAcwBcAG4AIAAgACAAIAAvAC8AIAAgAHQAaABlACAAbABlAHYAZQBsACAAcABhAHkAbQBlAG4AdAAgAGYAbwByACAAdABoAGUAIAB0AGUAcgBtACAAdABoAGEAdAAgAHIAZQBtAGEAaQBuAHMALAAgAGMAYQBwAHAAZQBkACAAYQB0ACAAdABoAGUAIABiAGEAbABhAG4AYwBlACAAcABsAHUAcwAgAGkAbgB0AGUAcgBlAHMAdAAuAFwAbgAgACAAIAAgACAAIAAgACAAUgBhAHQAZQAsACAAIAAgACAAIAAgACAAIAAgACAAIABBAFAAUgAgAC8AIAAxADIAIAAqACAATQBvAG4AdABoAHMAUABlAHIAUABlAHIAaQBvAGQALABcAG4AIAAgACAAIAAgACAAIAAgAFAAZQByAGkAbwBkAHMALAAgACAAIAAgACAAIAAgACAAUwBFAFEAVQBFAE4AQwBFACgAIAAxACwAIABNAG8AZABlAGwAUABlAHIAaQBvAGQAcwApACwAXABuACAAIAAgACAAIAAgACAAIABDAGwAbwBzAGkAbgBnAHMALAAgACAAIAAgACAAIAAgAFMAQwBBAE4AKAAgAFAAcgBpAG4AYwBpAHAAYQBsACwAIABQAGUAcgBpAG8AZABzACwAXABuACAAIAAgACAAIAAgACAAIAAgACAAIAAgACAAIAAgACAAIAAgACAAIAAgACAAIAAgACAAIAAgACAATABBAE0AQgBEAEEAKAAgAEMAYQByAHIAaQBlAGQALAAgAFAAZQByAGkAbwBkACwAXABuACAAIAAgACAAIAAgACAAIAAgACAAIAAgACAAIAAgACAAIAAgACAAIAAgACAAIAAgACAAIAAgACAAIAAgACAAIABMAEUAVAAoAFIAZQBtAGEAaQBuAGkAbgBnACwAIAAgAEkARgAoACAAUABlAHIAaQBvAGQAIAA8ACAAUwB0AGEAcgB0AFAAZQByAGkAbwBkACwAIAAwACwAIABNAEEAWAAoACAAVABlAHIAbQAgAC0AIABQAGUAcgBpAG8AZAAgACsAIABTAHQAYQByAHQAUABlAHIAaQBvAGQALAAgADAAKQApACwAXABuACAAIAAgACAAIAAgACAAIAAgACAAIAAgACAAIAAgACAAIAAgACAAIAAgACAAIAAgACAAIAAgACAAIAAgACAAIAAgACAAIAAgAE8AcABlAG4AaQBuAGcALAAgACAAIAAgAEkARgAoACAAUgBlAG0AYQBpAG4AaQBuAGcAIAA9ACAAMAAsACAAMAAsACAAQwBhAHIAcgBpAGUAZAApACwAXABuACAAIAAgACAAIAAgACAAIAAgACAAIAAgACAAIAAgACAAIAAgACAAIAAgACAAIAAgACAAIAAgACAAIAAgACAAIAAgACAAIAAgAEkAbgB0AGUAcgBlAHMAdAAsACAAIAAgAE8AcABlAG4AaQBuAGcAIAAqACAAUgBhAHQAZQAsAFwAbgAgACAAIAAgACAAIAAgACAAIAAgACAAIAAgACAAIAAgACAAIAAgACAAIAAgACAAIAAgACAAIAAgACAAIAAgACAAIAAgACAAIABQAGEAeQBtAGUAbgB0ACwAIAAgACAAIABJAEYAKAAgAFIAZQBtAGEAaQBuAGkAbgBnACAAPQAgADAALAAgADAALAAgAE0ASQBOACgAIAAtAFAATQBUACgAIABSAGEAdABlACwAIABSAGUAbQBhAGkAbgBpAG4AZwAsACAATwBwAGUAbgBpAG4AZwApACwAIABPAHAAZQBuAGkAbgBnACAAKwAgAEkAbgB0AGUAcgBlAHMAdAApACkALABcAG4AIAAgACAAIAAgACAAIAAgACAAIAAgACAAIAAgACAAIAAgACAAIAAgACAAIAAgACAAIAAgACAAIAAgACAAIAAgACAAIAAgACAASQBGACgAIABQAGUAcgBpAG8AZAAgADwAIABTAHQAYQByAHQAUABlAHIAaQBvAGQALAAgAEMAYQByAHIAaQBlAGQALAAgAE8AcABlAG4AaQBuAGcAIAArACAASQBuAHQAZQByAGUAcwB0ACAALQAgAFAAYQB5AG0AZQBuAHQAKQBcAG4AIAAgACAAIAAgACAAIAAgACAAIAAgACAAIAAgACAAIAAgACAAIAAgACAAIAAgACAAIAAgACAAIAAgACAAIAAgACkAXABuACAAIAAgACAAIAAgACAAIAAgACAAIAAgACAAIAAgACAAIAAgACAAIAAgACAAIAAgACAAIAAgACAAKQBcAG4AIAAgACAAIAAgACAAIAAgACAAIAAgACAAIAAgACAAIAAgACAAIAAgACAAIAAgACAAKQAsAFwAbgAgACAAIAAgACAAIAAgACAAQwBhAHIAcgBpAGUAZAAsACAAIAAgACAAIAAgACAAIABJAEYAKAAgAE0AbwBkAGUAbABQAGUAcgBpAG8AZABzACAAPQAgADEALAAgAFAAcgBpAG4AYwBpAHAAYQBsACwAIABIAFMAVABBAEMASwAoACAAUAByAGkAbgBjAGkAcABhAGwALAAgAEQAUgBPAFAAKAAgAEMAbABvAHMAaQBuAGcAcwAsACAALAAgAC0AMQApACkAKQAsAFwAbgAgACAAIAAgACAAIAAgACAAUgBlAG0AYQBpAG4AaQBuAGcALAAgACAAIAAgACAAIABJAEYAKAAgAFAAZQByAGkAbwBkAHMAIAA8ACAAUwB0AGEAcgB0AFAAZQByAGkAbwBkACwAIAAwACwAIABJAEYAKAAgAFQAZQByAG0AIAAtACAAUABlAHIAaQBvAGQAcwAgACsAIABTAHQAYQByAHQAUABlAHIAaQBvAGQAIAA+ACAAMAAsACAAVABlAHIAbQAgAC0AIABQAGUAcgBpAG8AZABzACAAKwAgAFMAdABhAHIAdABQAGUAcgBpAG8AZAAsACAAMAApACkALABcAG4AIAAgACAAIAAgACAAIAAgAE8AcABlAG4AaQBuAGcALAAgACAAIAAgACAAIAAgACAASQBGACgAIABSAGUAbQBhAGkAbgBpAG4AZwAgAD0AIAAwACwAIAAwACwAIABDAGEAcgByAGkAZQBkACkALABcAG4AIAAgACAAIAAgACAAIAAgAEkAbgB0AGUAcgBlAHMAdAAsACAAIAAgACAAIAAgACAATwBwAGUAbgBpAG4AZwAgACoAIABSAGEAdABlACwAXABuACAAIAAgACAAIAAgACAAIABMAGUAdgBlAGwALAAgACAAIAAgACAAIAAgACAAIAAgAEkARgAoACAAUgBlAG0AYQBpAG4AaQBuAGcAIAA9ACAAMAAsACAAMAAsACAALQBQAE0AVAAoACAAUgBhAHQAZQAsACAAUgBlAG0AYQBpAG4AaQBuAGcALAAgAE8AcABlAG4AaQBuAGcAKQApACwAXABuACAAIAAgACAAIAAgACAAIABQAGEAeQBtAGUAbgB0ACwAIAAgACAAIAAgACAAIAAgAEkARgAoACAATABlAHYAZQBsACAAPAAgAE8AcABlAG4AaQBuAGcAIAArACAASQBuAHQAZQByAGUAcwB0ACwAIABMAGUAdgBlAGwALAAgAE8AcABlAG4AaQBuAGcAIAArACAASQBuAHQAZQByAGUAcwB0ACkALABcAG4AIAAgACAAIAAgACAAIAAgAEMAbABvAHMAaQBuAGcALAAgACAAIAAgACAAIAAgACAATwBwAGUAbgBpAG4AZwAgACsAIABJAG4AdABlAHIAZQBzAHQAIAAtACAAUABhAHkAbQBlAG4AdAAsAFwAbgAgACAAIAAgACAAIAAgACAAUABvAHIAdABpAG8AbgAsACAAIAAgACAAIAAgACAAIABQAGEAeQBtAGUAbgB0ACAALQAgAEkAbgB0AGUAcgBlAHMAdAAsAFwAbgAgACAAIAAgACAAIAAgACAAUgBlAHMAdQBsAHQALAAgACAAIAAgACAAIAAgACAAIABWAFMAVABBAEMASwAoACAATwBwAGUAbgBpAG4AZwAsACAASQBuAHQAZQByAGUAcwB0ACwAIABQAGEAeQBtAGUAbgB0ACwAIABDAGwAbwBzAGkAbgBnACwAIABQAG8AcgB0AGkAbwBuACkALABcAG4AIAAgACAAIAAvAC8AIAAgAFIAZQB0AHUAcgBuACAAUgBlAHMAdQBsAHQALAAgAEgAZQBsAHAAIABvAHIAIAB0AGgAZQAgAG0AZQBzAHMAYQBnAGUAcwBcAG4AIAAgACAAIAAgACAAIAAgAFIAZQB0AHUAcgBuACwAIAAgACAAIAAgACAAIAAgACAASQBGACgAIABIAGUAbABwAD8ALAAgADIALAAgAEkARgAoACAATwBSACgAIABFAHIAcgBvAHIAcwApACwAIAAzACwAIAAxACkAKQAsAFwAbgAgACAAIAAgACAAIAAgACAAQwBIAE8ATwBTAEUAKAAgAFIAZQB0AHUAcgBuACwAIABSAGUAcwB1AGwAdAAsACAASABlAGwAcAAsACAATQBlAHMAcwBhAGcAZQBzACkAXABuACAAIAAgACAAKQBcAG4AKQA7AFwAbgBcAG4AXABuAFwAbgAvACoAIAAgAEYAVQBOAEMAVABJAE8ATgAgAE4AQQBNAEUAOgAgACAARABlAGIAdABTAGMAdQBsAHAAdABGAGkAeABlAGQAuwNcAG4AIAAgACAAIABEAEUAUwBDAFIASQBQAFQASQBPAE4AOgAqAC8ALwAqACoAQwByAGUAYQB0AGUAcwAgAGEAIABkAGUAYgB0ACAAcwBjAHUAbABwAHQAaQBuAGcAIABzAGMAaABlAGQAdQBsAGUAIAB3AGgAZQByAGUAIABBAFAAUgAgAGEAbgBkACAARABTAEMAUgAgAGEAcgBlACAAZgBpAHgAZQBkACAAZgBvAHIAIABhAGwAbAAgAHAAZQByAGkAbwBkAHMAKgAvAFwAbgBEAGUAYgB0AFMAYwB1AGwAcAB0AEYAaQB4AGUAZAC7AyAAPQAgAEwAQQBNAEIARABBACgAXABuAC8ALwAgACAAUABhAHIAYQBtAGUAdABlAHIAIABEAGUAYwBsAGEAcgBhAHQAaQBvAG4AcwBcAG4AIAAgACAAIABbAE8AcABlAG4AaQBuAGcAQgBhAGwAYQBuAGMAZQBdACwAXABuACAAIAAgACAAWwBEAGUAYgB0AF0ALABcAG4AIAAgACAAIABbAEMARgBBAEQAUwBdACwAXABuACAAIAAgACAAWwBEAFMAQwBSAF0ALABcAG4AIAAgACAAIABbAEEAUABSAF0ALABcAG4AIAAgACAAIABbAE0AbwBuAHQAaABzAFAAZQByAFAAZQByAGkAbwBkAF0ALABcAG4ALwAvACAAIABIAGUAbABwAFwAbgAgACAAIAAgAEwARQBUACgASABlAGwAcAAsACAAIAAgACAAIAAgACAAVABSAEkATQAoAFQARQBYAFQAUwBQAEwASQBUACgAXABuACAAIAAgACAAIAAgACAAIAAgACAAIAAgACAAIAAgACAAIAAgACAAIAAgACAAIAAgAFwAIgBGAFUATgBDAFQASQBPAE4AOgAgACAAIAAgACAAIAAgACAAIAAgAJIhRABlAGIAdABTAGMAdQBsAHAAdABGAGkAeABlAGQAuwMoAFsATwBwAGUAbgBpAG4AZwBCAGEAbABhAG4AYwBlAF0ALAAgAEQAZQBiAHQALAAgAEMARgBBAEQAUwAsACAARABTAEMAUgAsACAAQQBQAFIALAAgAFsATQBvAG4AdABoAHMAUABlAHIAUABlAHIAaQBvAGQAXQApALYAXAAiACAAJgBcAG4AIAAgACAAIAAgACAAIAAgACAAIAAgACAAIAAgACAAIAAgACAAIAAgACAAIAAgACAAXAAiAEQARQBTAEMAUgBJAFAAVABJAE8ATgA6ACAAIAAgACAAIAAgACAAkiFDAHIAZQBhAHQAZQBzACAAYQAgAEQAZQBiAHQAIABTAGMAdQBsAHAAdABpAG4AZwAgAHMAYwBoAGUAZAB1AGwAZQAgAHcAaABlAHIAZQAgAEEAUABSACAAYQBuAGQAIABEAFMAQwBSACAAYQByAGUAIABmAGkAeABlAGQAIABmAG8AcgAgAGEAbABsACAAcABlAHIAaQBvAGQAcwC2AFwAIgAgACYAXABuACAAIAAgACAAIAAgACAAIAAgACAAIAAgACAAIAAgACAAIAAgACAAIAAgACAAIAAgAFwAIgBTAFUARwBHAEUAUwBUAEUARAAgAFIATwBXACAASQBEAFMAOgAgAJIhRABlAGIAdAAgAG8AcABlAG4AaQBuAGcAIABiAGEAbABhAG4AYwBlALYAXAAiACAAJgBcAG4AIAAgACAAIAAgACAAIAAgACAAIAAgACAAIAAgACAAIAAgACAAIAAgACAAIAAgACAAXAAiACAAIAAgACAAIAAgACAAIAAgACAAIAAgACAAIAAgACAAIAAgACAAkiFJAG4AdABlAHIAZQBzAHQAIABvAG4AIABQAHIAaQBuAGMAaQBwAGEAbAAgAEIAYQBsAGEAbgBjAGUAtgBcACIAIAAmAFwAbgAgACAAIAAgACAAIAAgACAAIAAgACAAIAAgACAAIAAgACAAIAAgACAAIAAgACAAIABcACIAIAAgACAAIAAgACAAIAAgACAAIAAgACAAIAAgACAAIAAgACAAIACSIUQAZQBiAHQAIABzAGUAcgB2AGkAYwBlACAAKABpAG4AdABlAHIAZQBzAHQAIABhAG4AZAAgAHAAcgBpAG4AYwBpAHAAYQBsACkAtgBcACIAIAAmAFwAbgAgACAAIAAgACAAIAAgACAAIAAgACAAIAAgACAAIAAgACAAIAAgACAAIAAgACAAIABcACIAIAAgACAAIAAgACAAIAAgACAAIAAgACAAIAAgACAAIAAgACAAIACSIUQAZQBiAHQAIABjAGwAbwBzAGkAbgBnACAAYgBhAGwAYQBuAGMAZQC2AFwAIgAgACYAXABuACAAIAAgACAAIAAgACAAIAAgACAAIAAgACAAIAAgACAAIAAgACAAIAAgACAAIAAgAFwAIgBXAEUAQgBQAEEARwBFADoAIAAgACAAIAAgACAAIAAgACAAIAAgAJIhaAB0AHQAcABzADoALwAvAGcAaQB0AGgAdQBiAC4AYwBvAG0ALwByAHkAYQBuAGQAdQBnAHUAaQBkAC8ATwB6AHoAaQB0ALYAXAAiACAAJgBcAG4AIAAgACAAIAAgACAAIAAgACAAIAAgACAAIAAgACAAIAAgACAAIAAgACAAIAAgACAAXAAiAFYARQBSAFMASQBPAE4AOgAgACAAIAAgACAAIAAgACAAIAAgACAAkiExADAAIABTAGUAcAAgADIAMAAyADYAtgBcACIAIAAmAFwAbgAgACAAIAAgACAAIAAgACAAIAAgACAAIAAgACAAIAAgACAAIAAgACAAIAAgACAAIABcACIAUABBAFIAQQBNAEUAVABFAFIAUwA6ACAAIAAgACAAIAAgACAAIACSIbYAXAAiACAAJgBcAG4AIAAgACAAIAAgACAAIAAgACAAIAAgACAAIAAgACAAIAAgACAAIAAgACAAIAAgACAAXAAiAE8AcABlAG4AaQBuAGcAQgBhAGwAYQBuAGMAZQAgACAAIAAgACAAkiEoAE8AcAB0AGkAbwBuAGEAbAApACAATQBvAGQAZQBsACcAcwAgAGQAZQBiAHQAIABvAG4AIABvAHAAZQBuAGkAbgBnAC4AIABEAGUAZgBhAHUAbAB0AHMAIAB0AG8AIAAwALYAXAAiACAAJgBcAG4AIAAgACAAIAAgACAAIAAgACAAIAAgACAAIAAgACAAIAAgACAAIAAgACAAIAAgACAAXAAiAEQAZQBiAHQAIAAgACAAIAAgACAAIAAgACAAIAAgACAAIAAgACAAkiEoAFIAZQBxAHUAaQByAGUAZAApACAATwBuAGUAIAByAG8AdwAgAG8AZgAgAG4AZQB3ACAAZABlAGIAdAAsACAAYQB0ACAAbABlAGEAcwB0ACAAdAB3AG8AIABwAGUAcgBpAG8AZABzAC4AIABFAHYAZQByAHkAIABwAGUAcgBpAG8AZAAgAGkAbgBwAHUAdAAgAG0AdQBzAHQAIABoAGEAdgBlACAAdABoAGkAcwAgAHMAYQBtAGUAIAB3AGkAZAB0AGgAtgBcACIAIAAmAFwAbgAgACAAIAAgACAAIAAgACAAIAAgACAAIAAgACAAIAAgACAAIAAgACAAIAAgACAAIABcACIAQwBGAEEARABTACAAIAAgACAAIAAgACAAIAAgACAAIAAgACAAIACSISgAUgBlAHEAdQBpAHIAZQBkACkAIABBACAAcgBvAHcAIABvAGYAIABDAGEAcwBoACAARgBsAG8AdwAgAEEAdgBhAGkAbABhAGIAbABlACAAZgBvAHIAIABEAGUAYgB0ACAAUwBlAHIAdgBpAGMAZQAgAGkAbgAgAGUAYQBjAGgAIABwAGUAcgBpAG8AZAC2AFwAIgAgACYAXABuACAAIAAgACAAIAAgACAAIAAgACAAIAAgACAAIAAgACAAIAAgACAAIAAgACAAIAAgAFwAIgBEAFMAQwBSACAAIAAgACAAIAAgACAAIAAgACAAIAAgACAAIAAgAJIhKABSAGUAcQB1AGkAcgBlAGQAKQAgAEQAZQBiAHQAIABTAGUAcgB2AGkAYwBlACAAQwBvAHYAZQByAGEAZwBlACAAUgBhAHQAaQBvACwAIABvAG4AZQAgAG4AdQBtAGIAZQByACAAZgBvAHIAIABhAGwAbAAgAHAAZQByAGkAbwBkAHMAtgBcACIAIAAmAFwAbgAgACAAIAAgACAAIAAgACAAIAAgACAAIAAgACAAIAAgACAAIAAgACAAIAAgACAAIABcACIAQQBQAFIAIAAgACAAIAAgACAAIAAgACAAIAAgACAAIAAgACAAIACSISgAUgBlAHEAdQBpAHIAZQBkACkAIABJAG4AdABlAHIAZQBzAHQAJwBzACAAQQBuAG4AdQBhAGwAIABQAGUAcgBjAGUAbgB0AGEAZwBlACAAUgBhAHQAZQAsACAAbwBuAGUAIABuAHUAbQBiAGUAcgAgAGYAbwByACAAYQBsAGwAIABwAGUAcgBpAG8AZABzALYAXAAiACAAJgBcAG4AIAAgACAAIAAgACAAIAAgACAAIAAgACAAIAAgACAAIAAgACAAIAAgACAAIAAgACAAXAAiAE0AbwBuAHQAaABzAFAAZQByAFAAZQByAGkAbwBkACAAIAAgACAAkiEoAE8AcAB0AGkAbwBuAGEAbAApACAARABlAGYAYQB1AGwAdABzACAAdABvACAAbwBuAGUAIABtAG8AbgB0AGgAIABwAGUAcgAgAHAAZQByAGkAbwBkAC4AtgBcACIAIAAmAFwAbgAgACAAIAAgACAAIAAgACAAIAAgACAAIAAgACAAIAAgACAAIAAgACAAIAAgACAAIABcACIARQBYAEEATQBQAEwARQBTADoAIAAgACAAIAAgACAAIAAgACAAIACSIbYAXAAiACAAJgBcAG4AIAAgACAAIAAgACAAIAAgACAAIAAgACAAIAAgACAAIAAgACAAIAAgACAAIAAgACAAXAAiAFIAZQBzAHUAbAB0ACAAIAAgACAAIAAgACAAIAAgACAAIAAgACAAkiFGAG8AcgBtAHUAbABhACAAKABvAHoAIABpAHMAIABhAHMAcwB1AG0AZQBkACAAdABvACAAYgBlACAAdABoAGUAIABtAG8AZAB1AGwAZQAnAHMAIABuAGEAbQBlACkAtgBcACIAIAAmAFwAbgAgACAAIAAgACAAIAAgACAAIAAgACAAIAAgACAAIAAgACAAIAAgACAAIAAgACAAIABcACIANAAgAHIAbwB3AHMALAAgADMAIABjAG8AbABzACAAIAAgACAAIACSIT0AbwB6AC4ARABlAGIAdABTAGMAdQBsAHAAdABGAGkAeABlAGQAuwMoACwAIAB7ADEAMAAwADAALAAwACwAMAB9ACwAIAB7ADMAMAAwACwAMwAwADAALAAzADAAMAB9ACwAIAAxAC4AMgAsACAANgAlACwAIAAxADIAKQBcACIAL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QAZQBiAHQAKQAsAFwAbgAgACAAIAAgACAAIAAgACAAIAAgACAAIAAgACAAIAAgACAAIAAgACAAIAAgACAAIAAgACAAIAAgAEkAUwBPAE0ASQBUAFQARQBEACgAIABDAEYAQQBEAFMAKQAsAFwAbgAgACAAIAAgACAAIAAgACAAIAAgACAAIAAgACAAIAAgACAAIAAgACAAIAAgACAAIAAgACAAIAAgAEkAUwBPAE0ASQBUAFQARQBEACgAIABEAFMAQwBSACkALABcAG4AIAAgACAAIAAgACAAIAAgACAAIAAgACAAIAAgACAAIAAgACAAIAAgACAAIAAgACAAIAAgACAAIABJAFMATwBNAEkAVABUAEUARAAoACAAQQBQAFIAKQBcAG4AIAAgACAAIAAgACAAIAAgACAAIAAgACAAIAAgACAAIAAgACAAIAAgACAAIAAgACAAKQAsAFwAbgAgACAAIAAgAC8ALwAgACAAQwBoAGUAYwBrACAAaQBuAHAAdQB0AHMAIAAtACAARQByAHIAbwByAHMAIABpAG4AIABhAHIAZwB1AG0AZQBuAHQAIAB2AGEAbAB1AGUAcwBcAG4AIAAgACAAIAAgACAAIAAgAEUAcgByAE0AcwBnAHMALAAgACAAIAAgACAAIAAgACAAewBcACIARABlAGIAdAAgAG0AdQBzAHQAIABiAGUAIABvAG4AZQAgAHIAbwB3ACAAbwBmACAAbgBlAHcAIABkAGUAYgB0ACAAdwBpAHQAaAAgAGEAdAAgAGwAZQBhAHMAdAAgAHQAdwBvACAAcABlAHIAaQBvAGQAcwBcACIAOwBcAG4AIAAgACAAIAAgACAAIAAgACAAIAAgACAAIAAgACAAIAAgACAAIAAgACAAIAAgACAAIABcACIAQwBGAEEARABTACAAbQB1AHMAdAAgAGIAZQAgAG8AbgBlACAAcgBvAHcAIAB3AGkAdABoACAAdABoAGUAIABzAGEAbQBlACAAbgB1AG0AYgBlAHIAIABvAGYAIABwAGUAcgBpAG8AZABzACAAYQBzACAARABlAGIAdABcACIAOwBcAG4AIAAgACAAIAAgACAAIAAgACAAIAAgACAAIAAgACAAIAAgACAAIAAgACAAIAAgACAAIABcACIARABTAEMAUgAgAG0AdQBzAHQAIABiAGUAIABhACAAcwBpAG4AZwBsAGUAIABwAG8AcwBpAHQAaQB2AGUAIABuAHUAbQBiAGUAcgAgAGgAbwBsAGQAaQBuAGcAIABkAGUAYgB0ACAAcwBlAHIAdgBpAGMAZQAgAGMAbwB2AGUAcgBhAGcAZQAgAHIAYQB0AGkAbwAgAGYAbwByACAAYQBsAGwAIABwAGUAcgBpAG8AZABzAFwAIgA7AFwAbgAgACAAIAAgACAAIAAgACAAIAAgACAAIAAgACAAIAAgACAAIAAgACAAIAAgACAAIAAgAFwAIgBBAFAAUgAgAG0AdQBzAHQAIABiAGUAIABhACAAcwBpAG4AZwBsAGUAIABuAHUAbQBiAGUAcgAgAGgAbwBsAGQAaQBuAGcAIABpAG4AdABlAHIAZQBzAHQAJwBzACAAYQBuAG4AdQBhAGwAIABwAGUAcgBjAGUAbgB0AGEAZwBlACAAcgBhAHQAZQAgAGYAbwByACAAYQBsAGwAIABwAGUAcgBpAG8AZABzAFwAIgB9ACwAXABuACAAIAAgACAALwAvACAAIABEAFMAQwBSACAAZABpAHYAaQBkAGUAcwAgAEMAYQBzAGgAIABiAGUAbABvAHcALAAgAHMAbwAgAHoAZQByAG8AIAByAGUAdAB1AHIAbgBzACAAIwBEAEkAVgAvADAAIQAgAHIAYQB0AGgAZQByACAAdABoAGEAbgAgAHQAaABpAHMAIABtAGUAcwBzAGEAZwBlAC4AXABuACAAIAAgACAAIAAgACAAIABFAHIAcgBvAHIAcwAsACAAIAAgACAAIAAgACAAIAAgAFYAUwBUAEEAQwBLACgAIABPAFIAKAAgAFIATwBXAFMAKAAgAEQAZQBiAHQAKQAgADwAPgAgADEALAAgAEMATwBMAFUATQBOAFMAKAAgAEQAZQBiAHQAKQAgADwAPQAgADEAKQAsAFwAbgAgACAAIAAgACAAIAAgACAAIAAgACAAIAAgACAAIAAgACAAIAAgACAAIAAgACAAIAAgACAAIAAgACAAIAAgACAATwBSACgAIABSAE8AVwBTACgAIABDAEYAQQBEAFMAKQAgADwAPgAgADEALAAgAEMATwBMAFUATQBOAFMAKAAgAEMARgBBAEQAUwApACAAPAA+ACAAQwBPAEwAVQBNAE4AUwAoACAARABlAGIAdAApACkALABcAG4AIAAgACAAIAAgACAAIAAgACAAIAAgACAAIAAgACAAIAAgACAAIAAgACAAIAAgACAAIAAgACAAIAAgACAAIAAgAE4ATwBUACgAIABBAE4ARAAoACAASQBTAE4AVQBNAEIARQBSACgAIABEAFMAQwBSACkALAAgAFIATwBXAFMAKAAgAEQAUwBDAFIAKQAgAD0AIAAxACwAIABDAE8ATABVAE0ATgBTACgAIABEAFMAQwBSACkAIAA9ACAAMQAsAFwAbgAgACAAIAAgACAAIAAgACAAIAAgACAAIAAgACAAIAAgACAAIAAgACAAIAAgACAAIAAgACAAIAAgACAAIAAgACAAIAAgACAAIAAgACAAIAAgACAAIABEAFMAQwBSACAAPgAgADAAKQApACwAXABuACAAIAAgACAAIAAgACAAIAAgACAAIAAgACAAIAAgACAAIAAgACAAIAAgACAAIAAgACAAIAAgACAAIAAgACAAIABOAE8AVAAoACAAQQBOAEQAKAAgAEkAUwBOAFUATQBCAEUAUgAoACAAQQBQAFIAKQAsACAAUgBPAFcAUwAoACAAQQBQAFIAKQAgAD0AIAAxACwAIABDAE8ATABVAE0ATgBTACgAIABBAFAAUgApACAAPQAgADEAKQApAFwAbgAgACAAIAAgACAAIAAgACAAIAAgACAAIAAgACAAIAAgACAAIAAgACAAIAAgACAAIAApACwAXABuACAAIAAgACAAIAAgACAAIABNAGUAcwBzAGEAZwBlAHMALAAgACAAIAAgACAAIAAgAEYASQBMAFQARQBSACgAIABFAHIAcgBNAHMAZwBzACwAIABFAHIAcgBvAHIAcwAsACAAXAAiAFwAIgApACwAXABuACAAIAAgACAALwAvACAAIABDAGgAZQBjAGsAIABpAG4AcAB1AHQAcwAgAC0AIABTAGUAdAAgAG8AcAB0AGkAbwBuAGEAbAAgAGEAcgBnAHUAbQBlAG4AdABzACcAIABkAGUAZgBhAHUAbAB0AHMAXABuACAAIAAgACAAIAAgACAAIABPAHAAZQBuAGkAbgBnAEIAYQBsAGEAbgBjAGUALAAgAEkARgAoACAASQBTAE4AVQBNAEIARQBSACgAIABPAHAAZQBuAGkAbgBnAEIAYQBsAGEAbgBjAGUAKQAsACAATwBwAGUAbgBpAG4AZwBCAGEAbABhAG4AYwBlACwAIAAwACkALABcAG4AIAAgACAAIAAgACAAIAAgAE0AbwBuAHQAaABzAFAAZQByAFAAZQByAGkAbwBkACwAIABJAEYAKAAgAEkAUwBOAFUATQBCAEUAUgAoACAATQBvAG4AdABoAHMAUABlAHIAUABlAHIAaQBvAGQAKQAsACAATQBvAG4AdABoAHMAUABlAHIAUABlAHIAaQBvAGQALAAgADEAKQAsAFwAbgAgACAAIAAgAC8ALwAgACAAUAByAG8AYwBlAGQAdQByAGUAIAAtACAAcwBvAGwAdgBlACAAdABoAGUAIABjAGwAbwBzAGkAbgBnACAAYgBhAGwAYQBuAGMAZQAgAHAAZQByAGkAbwBkACAAYgB5ACAAcABlAHIAaQBvAGQALAAgAHQAaABlAG4AIAByAGUAYQBkACAAdABoAGUAIAByAG8AdwBzACAAbwBmAGYAIABpAHQAXABuACAAIAAgACAALwAvACAAIABOAGUAZwBhAHQAaQB2AGUAIABDAEYAQQBEAFMAIABtAGUAYQBuAHMAIABuAG8AIABjAGEAcwBoACAAZgBvAHIAIABkAGUAYgB0ACAAcwBlAHIAdgBpAGMAZQAsACAAcwBvACAAdABoAGUAIABwAGEAeQBtAGUAbgB0ACAAaQBzACAAZgBsAG8AbwByAGUAZAAgAGEAdABcAG4AIAAgACAAIAAvAC8AIAAgAHoAZQByAG8ALgAgAFcAaQB0AGgAbwB1AHQAIAB0AGgAZQAgAGYAbABvAG8AcgAgAGkAdAAgAHcAZQBuAHQAIABuAGUAZwBhAHQAaQB2AGUALAAgAHcAaABpAGMAaAAgAHIAYQBpAHMAZQBkACAAdABoAGUAIABjAGwAbwBzAGkAbgBnACAAYgBhAGwAYQBuAGMAZQAgAGEAbgBkAFwAbgAgACAAIAAgAC8ALwAgACAAcgBlAHAAbwByAHQAZQBkACAAdABoAGUAIABuAGUAZwBhAHQAZQBkACAAYQBtAG8AdQBuAHQAIABhAHMAIABwAG8AcwBpAHQAaQB2AGUAIABkAGUAYgB0ACAAcwBlAHIAdgBpAGMAZQAuACAAVABoAGUAIAByAG8AdwBzACAAYgBlAGwAbwB3ACAAZgBsAG8AbwByACAAdwBpAHQAaABcAG4AIAAgACAAIAAvAC8AIAAgAEkARgAgAHIAYQB0AGgAZQByACAAdABoAGEAbgAgAE0AQQBYADoAIABNAEEAWAAgAHcAbwB1AGwAZAAgAGEAZwBnAHIAZQBnAGEAdABlACAAdABoAGUAIAB3AGgAbwBsAGUAIAByAG8AdwAgAHQAbwAgAG8AbgBlACAAbgB1AG0AYgBlAHIALgAgAFQAaABlAHkAIABmAGwAbwBvAHIAXABuACAAIAAgACAALwAvACAAIAB0AGgAZQAgAGEAbQBvAHUAbgB0ACAAbwB3AGUAZAAgAHQAbwBvACwAIABzAG8AIABhACAAbgBlAGcAYQB0AGkAdgBlACAAbwBwAGUAbgBpAG4AZwAgAGIAYQBsAGEAbgBjAGUAIAByAGUAcABhAHkAcwAgAG4AbwB0AGgAaQBuAGcAIABpAG4AIAB0AGgAZQAgAHIAbwB3AHMAXABuACAAIAAgACAALwAvACAAIABlAHgAYQBjAHQAbAB5ACAAYQBzACAAaQB0ACAAZABvAGUAcwAgAGkAbgAgAHQAaABlACAAUwBDAEEATgAsACAAYQBuAGQAIABlAGEAYwBoACAAYwBsAG8AcwBpAG4AZwAgAGIAYQBsAGEAbgBjAGUAIABvAHAAZQBuAHMAIAB0AGgAZQAgAG4AZQB4AHQAIABwAGUAcgBpAG8AZAAuAFwAbgAgACAAIAAgACAAIAAgACAAUgBhAHQAZQAsACAAIAAgACAAIAAgACAAIAAgACAAIABBAFAAUgAgAC8AIAAxADIAIAAqACAATQBvAG4AdABoAHMAUABlAHIAUABlAHIAaQBvAGQALABcAG4AIAAgACAAIAAgACAAIAAgAFAAZQByAGkAbwBkAHMALAAgACAAIAAgACAAIAAgACAAUwBFAFEAVQBFAE4AQwBFACgAIAAxACwAIABDAE8ATABVAE0ATgBTACgAIABEAGUAYgB0ACkAKQAsAFwAbgAgACAAIAAgACAAIAAgACAATgBlAHcARABlAGIAdAAsACAAIAAgACAAIAAgACAAIABJAE4ARABFAFgAKAAgAEQAZQBiAHQALAAgADEALAAgAFAAZQByAGkAbwBkAHMAKQAsAFwAbgAgACAAIAAgACAAIAAgACAAQwBhAHMAaAAsACAAIAAgACAAIAAgACAAIAAgACAAIABJAE4ARABFAFgAKAAgAEMARgBBAEQAUwAsACAAMQAsACAAUABlAHIAaQBvAGQAcwApACwAXABuACAAIAAgACAAIAAgACAAIABDAGwAbwBzAGkAbgBnAHMALAAgACAAIAAgACAAIAAgAFMAQwBBAE4AKAAgAE8AcABlAG4AaQBuAGcAQgBhAGwAYQBuAGMAZQAsACAAUABlAHIAaQBvAGQAcwAsAFwAbgAgACAAIAAgACAAIAAgACAAIAAgACAAIAAgACAAIAAgACAAIAAgACAAIAAgACAAIAAgACAAIAAgAEwAQQBNAEIARABBACgAIABDAGEAcgByAGkAZQBkACwAIABQAGUAcgBpAG8AZAAsAFwAbgAgACAAIAAgACAAIAAgACAAIAAgACAAIAAgACAAIAAgACAAIAAgACAAIAAgACAAIAAgACAAIAAgACAAIAAgACAATABFAFQAKABPAHAAZQBuAGkAbgBnACwAIAAgACAAIABDAGEAcgByAGkAZQBkACAAKwAgAEkATgBEAEUAWAAoACAATgBlAHcARABlAGIAdAAsACAAMQAsACAAUABlAHIAaQBvAGQAKQAsAFwAbgAgACAAIAAgACAAIAAgACAAIAAgACAAIAAgACAAIAAgACAAIAAgACAAIAAgACAAIAAgACAAIAAgACAAIAAgACAAIAAgACAAIABJAG4AdABlAHIAZQBzAHQALAAgACAAIABPAHAAZQBuAGkAbgBnACAAKgAgAFIAYQB0AGUALABcAG4AIAAgACAAIAAgACAAIAAgACAAIAAgACAAIAAgACAAIAAgACAAIAAgACAAIAAgACAAIAAgACAAIAAgACAAIAAgACAAIAAgACAAUABhAHkAbQBlAG4AdAAsACAAIAAgACAATQBBAFgAKAAgADAALAAgAE0ASQBOACgAIABJAE4ARABFAFgAKAAgAEMAYQBzAGgALAAgADEALAAgAFAAZQByAGkAbwBkACkAIAAvACAARABTAEMAUgAsACAATwBwAGUAbgBpAG4AZwAgACsAIABJAG4AdABlAHIAZQBzAHQAKQApACwAXABuACAAIAAgACAAIAAgACAAIAAgACAAIAAgACAAIAAgACAAIAAgACAAIAAgACAAIAAgACAAIAAgACAAIAAgACAAIAAgACAAIAAgAE8AcABlAG4AaQBuAGcAIAArACAASQBuAHQAZQByAGUAcwB0ACAALQAgAFAAYQB5AG0AZQBuAHQAXABuACAAIAAgACAAIAAgACAAIAAgACAAIAAgACAAIAAgACAAIAAgACAAIAAgACAAIAAgACAAIAAgACAAIAAgACAAIAApAFwAbgAgACAAIAAgACAAIAAgACAAIAAgACAAIAAgACAAIAAgACAAIAAgACAAIAAgACAAIAAgACAAIAAgACkAXABuACAAIAAgACAAIAAgACAAIAAgACAAIAAgACAAIAAgACAAIAAgACAAIAAgACAAIAAgACkALABcAG4AIAAgACAAIAAgACAAIAAgAEMAYQByAHIAaQBlAGQALAAgACAAIAAgACAAIAAgACAASQBGACgAIABDAE8ATABVAE0ATgBTACgAIABEAGUAYgB0ACkAIAA9ACAAMQAsACAATwBwAGUAbgBpAG4AZwBCAGEAbABhAG4AYwBlACwAIABIAFMAVABBAEMASwAoACAATwBwAGUAbgBpAG4AZwBCAGEAbABhAG4AYwBlACwAIABEAFIATwBQACgAIABDAGwAbwBzAGkAbgBnAHMALAAgACwAIAAtADEAKQApACkALABcAG4AIAAgACAAIAAgACAAIAAgAE8AcABlAG4AaQBuAGcALAAgACAAIAAgACAAIAAgACAAQwBhAHIAcgBpAGUAZAAgACsAIABOAGUAdwBEAGUAYgB0ACwAXABuACAAIAAgACAAIAAgACAAIABJAG4AdABlAHIAZQBzAHQALAAgACAAIAAgACAAIAAgAE8AcABlAG4AaQBuAGcAIAAqACAAUgBhAHQAZQAsAFwAbgAgACAAIAAgACAAIAAgACAAUwBlAHIAdgBpAGMAZQAsACAAIAAgACAAIAAgACAAIABJAEYAKAAgAEMAYQBzAGgAIAAvACAARABTAEMAUgAgADwAIAAwACwAIAAwACwAIABDAGEAcwBoACAALwAgAEQAUwBDAFIAKQAsAFwAbgAgACAAIAAgACAAIAAgACAAUABhAHkAbQBlAG4AdAAsACAAIAAgACAAIAAgACAAIABJAEYAKAAgAE8AcABlAG4AaQBuAGcAIAArACAASQBuAHQAZQByAGUAcwB0ACAAPAAgADAALAAgADAALAAgAEkARgAoACAAUwBlAHIAdgBpAGMAZQAgADwAIABPAHAAZQBuAGkAbgBnACAAKwAgAEkAbgB0AGUAcgBlAHMAdAAsACAAUwBlAHIAdgBpAGMAZQAsACAATwBwAGUAbgBpAG4AZwAgACsAIABJAG4AdABlAHIAZQBzAHQAKQApACwAXABuACAAIAAgACAAIAAgACAAIABDAGwAbwBzAGkAbgBnACwAIAAgACAAIAAgACAAIAAgAE8AcABlAG4AaQBuAGcAIAArACAASQBuAHQAZQByAGUAcwB0ACAALQAgAFAAYQB5AG0AZQBuAHQALABcAG4AIAAgACAAIAAgACAAIAAgAFIAZQBzAHUAbAB0ACwAIAAgACAAIAAgACAAIAAgACAAVgBTAFQAQQBDAEsAKAAgAE8AcABlAG4AaQBuAGcALAAgAEkAbgB0AGUAcgBlAHMAdAAsACAALQBQAGEAeQBtAGUAbgB0ACwAIABDAGwAbwBzAGkAbgBnACkALABcAG4AIAAgACAAIAAvAC8AIAAgAFIAZQB0AHUAcgBuACAAUgBlAHMAdQBsAHQALAAgAEgAZQBsAHAAIABvAHIAIAB0AGgAZQAgAG0AZQBzAHMAYQBnAGUAcwBcAG4AIAAgACAAIAAgACAAIAAgAFIAZQB0AHUAcgBuACwAIAAgACAAIAAgACAAIAAgACAASQBGACgAIABIAGUAbABwAD8ALAAgADIALAAgAEkARgAoACAATwBSACgAIABFAHIAcgBvAHIAcwApACwAIAAzACwAIAAxACkAKQAsAFwAbgAgACAAIAAgACAAIAAgACAAQwBIAE8ATwBTAEUAKAAgAFIAZQB0AHUAcgBuACwAIABSAGUAcwB1AGwAdAAsACAASABlAGwAcAAsACAATQBlAHMAcwBhAGcAZQBzACkAXABuACAAIAAgACAAKQBcAG4AKQA7AFwAbgBcAG4AXABuAFwAbgAvACoAIAAgAEYAVQBOAEMAVABJAE8ATgAgAE4AQQBNAEUAOgAgACAARABlAGIAdABTAGMAdQBsAHAAdABWAGEAcgBpAGEAYgBsAGUATABSAFYAuwNcAG4AIAAgACAAIABEAEUAUwBDAFIASQBQAFQASQBPAE4AOgAqAC8ALwAqACoAQwByAGUAYQB0AGUAcwAgAGEAIABkAGUAYgB0ACAAcwBjAHUAbABwAHQAaQBuAGcAIABzAGMAaABlAGQAdQBsAGUAIAB3AGgAZQByAGUAIABBAFAAUgAgAGEAbgBkACAARABTAEMAUgAgAGEAcgBlACAAcwBlAHQAIABmAG8AcgAgAGUAYQBjAGgAIABwAGUAcgBpAG8AZAAsACAAdwBpAHQAaAAgAGkAbgB0AGUAcgBlAHMAdAAgAGMAaABhAHIAZwBlAGQAIABvAG4AIAB0AGgAZQAgAGEAdgBlAHIAYQBnAGUAIABiAGEAbABhAG4AYwBlACoALwBcAG4ARABlAGIAdABTAGMAdQBsAHAAdABWAGEAcgBpAGEAYgBsAGUATABSAFYAuwMgAD0AIABMAEEATQBCAEQAQQAoAFwAbgAvAC8AIAAgAFAAYQByAGEAbQBlAHQAZQByACAARABlAGMAbABhAHIAYQB0AGkAbwBuAHMAXABuACAAIAAgACAAWwBPAHAAZQBuAGkAbgBnAEIAYQBsAGEAbgBjAGUAXQAsAFwAbgAgACAAIAAgAFsARABlAGIAdABdACwAXABuACAAIAAgACAAWwBDAEYAQQBEAFMAXQAsAFwAbgAgACAAIAAgAFsARABTAEMAUgBdACwAXABuACAAIAAgACAAWwBBAFAAUgBdACwAXABuACAAIAAgACAAWwBNAG8AbgB0AGgAcwBQAGUAcgBQAGUAcgBpAG8AZABdACwAXABuACAAIAAgACAAWwBQAGUAcgBpAG8AZABSAGEAdABlAHMAXQAsAFwAbgAvAC8AIAAgAEgAZQBsAHAAXABuACAAIAAgACAATABFAFQAKABIAGUAbABwACwAIAAgACAAIAAgACAAIABUAFIASQBNACgAVABFAFgAVABTAFAATABJAFQAKABcAG4AIAAgACAAIAAgACAAIAAgACAAIAAgACAAIAAgACAAIAAgACAAIAAgACAAIAAgACAAXAAiAEYAVQBOAEMAVABJAE8ATgA6ACAAIAAgACAAIAAgACAAIAAgACAAkiFEAGUAYgB0AFMAYwB1AGwAcAB0AFYAYQByAGkAYQBiAGwAZQBMAFIAVgC7AygAWwBPAHAAZQBuAGkAbgBnAEIAYQBsAGEAbgBjAGUAXQAsACAARABlAGIAdAAsACAAQwBGAEEARABTACwAIABEAFMAQwBSACwAIABBAFAAUgAsACAAWwBNAG8AbgB0AGgAcwBQAGUAcgBQAGUAcgBpAG8AZABdACwAIABbAFAAZQByAGkAbwBkAFIAYQB0AGUAcwBdACkAtgBcACIAIAAmAFwAbgAgACAAIAAgACAAIAAgACAAIAAgACAAIAAgACAAIAAgACAAIAAgACAAIAAgACAAIABcACIARABFAFMAQwBSAEkAUABUAEkATwBOADoAIAAgACAAIAAgACAAIACSIUMAcgBlAGEAdABlAHMAIABhACAARABlAGIAdAAgAFMAYwB1AGwAcAB0AGkAbgBnACAAcwBjAGgAZQBkAHUAbABlACAAdwBoAGUAcgBlACAAQQBQAFIAIABhAG4AZAAgAEQAUwBDAFIAIABhAHIAZQAgAHMAZQB0ACAAZgBvAHIAIABlAGEAYwBoACAAcABlAHIAaQBvAGQALgC2AFwAIgAgACYAXABuACAAIAAgACAAIAAgACAAIAAgACAAIAAgACAAIAAgACAAIAAgACAAIAAgACAAIAAgAFwAIgAgACAAIAAgACAAIAAgACAAIAAgACAAIAAgACAAIAAgACAAIAAgAJIhSQBuAHQAZQByAGUAcwB0ACAAaQBzACAAYwBoAGEAcgBnAGUAZAAgAG8AbgAgAHQAaABlACAAYQB2AGUAcgBhAGcAZQAgAGIAYQBsAGEAbgBjAGUAIABvAHYAZQByACAAdABoAGUAIABwAGUAcgBpAG8AZAAsACAAdABoAGUAIABtAGUAdABoAG8AZAC2AFwAIgAgACYAXABuACAAIAAgACAAIAAgACAAIAAgACAAIAAgACAAIAAgACAAIAAgACAAIAAgACAAIAAgAFwAIgAgACAAIAAgACAAIAAgACAAIAAgACAAIAAgACAAIAAgACAAIAAgAJIhcAByAGUAcwBlAG4AdABlAGQAIABiAHkAIABMAGEAbgBjAGUAIABSAHUAYgBpAG4ALAAgAGEAbgBkACAAdABoAGUAIABwAHIAaQBuAGMAaQBwAGEAbAAgAHIAZQBwAGEAaQBkACAAaQBzACAAdwBoAGEAdAAgAHQAaABlACAAYwBhAHMAaAC2AFwAIgAgACYAXABuACAAIAAgACAAIAAgACAAIAAgACAAIAAgACAAIAAgACAAIAAgACAAIAAgACAAIAAgAFwAIgAgACAAIAAgACAAIAAgACAAIAAgACAAIAAgACAAIAAgACAAIAAgAJIhYQB2AGEAaQBsAGEAYgBsAGUAIABmAG8AcgAgAGQAZQBiAHQAIABzAGUAcgB2AGkAYwBlACAAbABlAGEAdgBlAHMAIABhAGYAdABlAHIAIAB0AGgAYQB0ACAAaQBuAHQAZQByAGUAcwB0AC4AtgBcACIAIAAmAFwAbgAgACAAIAAgACAAIAAgACAAIAAgACAAIAAgACAAIAAgACAAIAAgACAAIAAgACAAIABcACIAUwBVAEcARwBFAFMAVABFAEQAIABSAE8AVwAgAEkARABTADoAIACSIUQAZQBiAHQAIABvAHAAZQBuAGkAbgBnACAAYgBhAGwAYQBuAGMAZQC2AFwAIgAgACYAXABuACAAIAAgACAAIAAgACAAIAAgACAAIAAgACAAIAAgACAAIAAgACAAIAAgACAAIAAgAFwAIgAgACAAIAAgACAAIAAgACAAIAAgACAAIAAgACAAIAAgACAAIAAgAJIhSQBuAHQAZQByAGUAcwB0ACAAbwBuACAAUAByAGkAbgBjAGkAcABhAGwAIABCAGEAbABhAG4AYwBlALYAXAAiACAAJgBcAG4AIAAgACAAIAAgACAAIAAgACAAIAAgACAAIAAgACAAIAAgACAAIAAgACAAIAAgACAAXAAiACAAIAAgACAAIAAgACAAIAAgACAAIAAgACAAIAAgACAAIAAgACAAkiFQAHIAaQBuAGMAaQBwAGEAbAAgAHIAZQBwAGEAeQBtAGUAbgB0AHMAtgBcACIAIAAmAFwAbgAgACAAIAAgACAAIAAgACAAIAAgACAAIAAgACAAIAAgACAAIAAgACAAIAAgACAAIABcACIAIAAgACAAIAAgACAAIAAgACAAIAAgACAAIAAgACAAIAAgACAAIACSIUQAZQBiAHQAIABjAGwAbwBzAGkAbgBnACAAYgBhAGwAYQBuAGMAZQC2AFwAIgAgACYAXABuACAAIAAgACAAIAAgACAAIAAgACAAIAAgACAAIAAgACAAIAAgACAAIAAgACAAIAAgAFwAIgBXAEUAQgBQAEEARwBFADoAIAAgACAAIAAgACAAIAAgACAAIAAgAJIhaAB0AHQAcABzADoALwAvAGcAaQB0AGgAdQBiAC4AYwBvAG0ALwByAHkAYQBuAGQAdQBnAHUAaQBkAC8ATwB6AHoAaQB0ALYAXAAiACAAJgBcAG4AIAAgACAAIAAgACAAIAAgACAAIAAgACAAIAAgACAAIAAgACAAIAAgACAAIAAgACAAXAAiAFYARQBSAFMASQBPAE4AOgAgACAAIAAgACAAIAAgACAAIAAgACAAkiExADAAIABTAGUAcAAgADIAMAAyADYAtgBcACIAIAAmAFwAbgAgACAAIAAgACAAIAAgACAAIAAgACAAIAAgACAAIAAgACAAIAAgACAAIAAgACAAIABcACIAUABBAFIAQQBNAEUAVABFAFIAUwA6ACAAIAAgACAAIAAgACAAIACSIbYAXAAiACAAJgBcAG4AIAAgACAAIAAgACAAIAAgACAAIAAgACAAIAAgACAAIAAgACAAIAAgACAAIAAgACAAXAAiAE8AcABlAG4AaQBuAGcAQgBhAGwAYQBuAGMAZQAgACAAIAAgACAAkiEoAE8AcAB0AGkAbwBuAGEAbAApACAATQBvAGQAZQBsACcAcwAgAGQAZQBiAHQAIABvAG4AIABvAHAAZQBuAGkAbgBnAC4AIABEAGUAZgBhAHUAbAB0AHMAIAB0AG8AIAAwALYAXAAiACAAJgBcAG4AIAAgACAAIAAgACAAIAAgACAAIAAgACAAIAAgACAAIAAgACAAIAAgACAAIAAgACAAXAAiAEQAZQBiAHQAIAAgACAAIAAgACAAIAAgACAAIAAgACAAIAAgACAAkiEoAFIAZQBxAHUAaQByAGUAZAApACAATwBuAGUAIAByAG8AdwAgAG8AZgAgAG4AZQB3ACAAZABlAGIAdAAsACAAYQB0ACAAbABlAGEAcwB0ACAAdAB3AG8AIABwAGUAcgBpAG8AZABzAC4AIABFAHYAZQByAHkAIABwAGUAcgBpAG8AZAAgAGkAbgBwAHUAdAAgAG0AdQBzAHQAIABoAGEAdgBlACAAdABoAGkAcwAgAHMAYQBtAGUAIAB3AGkAZAB0AGgAtgBcACIAIAAmAFwAbgAgACAAIAAgACAAIAAgACAAIAAgACAAIAAgACAAIAAgACAAIAAgACAAIAAgACAAIABcACIAQwBGAEEARABTACAAIAAgACAAIAAgACAAIAAgACAAIAAgACAAIACSISgAUgBlAHEAdQBpAHIAZQBkACkAIABBACAAcgBvAHcAIABvAGYAIABuAHUAbQBlAHIAaQBjACAAQwBhAHMAaAAgAEYAbABvAHcAIABBAHYAYQBpAGwAYQBiAGwAZQAgAGYAbwByACAARABlAGIAdAAgAFMAZQByAHYAaQBjAGUAIABpAG4AIABlAGEAYwBoACAAcABlAHIAaQBvAGQALgAgAEIAbABhAG4AawAgAGMAZQBsAGwAcwAsACAAdABlAHgAdAAgAGEAbgBkACAAbABvAGcAaQBjAGEAbAAgAHYAYQBsAHUAZQBzACAAYQByAGUAIAByAGUAagBlAGMAdABlAGQALgAgAE4AZQBnAGEAdABpAHYAZQAgAHYAYQBsAHUAZQBzACAAcwB1AHAAcABsAHkAIABuAG8AIABjAGEAcwBoACAAZgBvAHIAIABkAGUAYgB0ACAAcwBlAHIAdgBpAGMAZQA7ACAAZQB4AGkAcwB0AGkAbgBnACAAZABlAGIAdAAgAHMAdABpAGwAbAAgAGMAYQBwAGkAdABhAGwAaQBzAGUAcwAgAHUAbgBwAGEAaQBkACAAaQBuAHQAZQByAGUAcwB0ALYAXAAiACAAJgBcAG4AIAAgACAAIAAgACAAIAAgACAAIAAgACAAIAAgACAAIAAgACAAIAAgACAAIAAgACAAXAAiAEQAUwBDAFIAIAAgACAAIAAgACAAIAAgACAAIAAgACAAIAAgACAAkiEoAFIAZQBxAHUAaQByAGUAZAApACAAQQAgAHIAbwB3ACAAbwBmACAARABlAGIAdAAgAFMAZQByAHYAaQBjAGUAIABDAG8AdgBlAHIAYQBnAGUAIABSAGEAdABpAG8AcwAsACAAbwBuAGUAIABwAGUAcgAgAHAAZQByAGkAbwBkALYAXAAiACAAJgBcAG4AIAAgACAAIAAgACAAIAAgACAAIAAgACAAIAAgACAAIAAgACAAIAAgACAAIAAgACAAXAAiAEEAUABSACAAIAAgACAAIAAgACAAIAAgACAAIAAgACAAIAAgACAAkiEoAFIAZQBxAHUAaQByAGUAZAAgAHUAbgBsAGUAcwBzACAAUABlAHIAaQBvAGQAUgBhAHQAZQBzACAAaQBzACAAZwBpAHYAZQBuACkAIABBACAAcgBvAHcAIABvAGYAIABJAG4AdABlAHIAZQBzAHQAJwBzACAAQQBuAG4AdQBhAGwAIABQAGUAcgBjAGUAbgB0AGEAZwBlACAAUgBhAHQAZQBzACwAIABvAG4AZQAgAHAAZQByACAAcABlAHIAaQBvAGQALgAgAEUAYQBjAGgAIABwAGUAcgBpAG8AZAAgAGMAaABhAHIAZwBlAHMAIABBAFAAUgAgAC8AIAAxADIAIAAqACAATQBvAG4AdABoAHMAUABlAHIAUABlAHIAaQBvAGQAtgBcACIAIAAmAFwAbgAgACAAIAAgACAAIAAgACAAIAAgACAAIAAgACAAIAAgACAAIAAgACAAIAAgACAAIABcACIATQBvAG4AdABoAHMAUABlAHIAUABlAHIAaQBvAGQAIAAgACAAIACSISgATwBwAHQAaQBvAG4AYQBsACkAIABEAGUAZgBhAHUAbAB0AHMAIAB0AG8AIABvAG4AZQAgAG0AbwBuAHQAaAAgAHAAZQByACAAcABlAHIAaQBvAGQALgAgAEkAZwBuAG8AcgBlAGQAIAB3AGgAZQBuACAAUABlAHIAaQBvAGQAUgBhAHQAZQBzACAAaQBzACAAZwBpAHYAZQBuALYAXAAiACAAJgBcAG4AIAAgACAAIAAgACAAIAAgACAAIAAgACAAIAAgACAAIAAgACAAIAAgACAAIAAgACAAXAAiAFAAZQByAGkAbwBkAFIAYQB0AGUAcwAgACAAIAAgACAAIAAgACAAkiEoAE8AcAB0AGkAbwBuAGEAbAApACAAQQAgAHIAbwB3ACAAbwBmACAAaQBuAHQAZQByAGUAcwB0ACAAcgBhAHQAZQBzACAAcABlAHIAIABwAGUAcgBpAG8AZAAsACAAbwBuAGUAIABwAGUAcgAgAHAAZQByAGkAbwBkACwAIABzAHUAYwBoACAAYQBzACAARABhAHkAQwBvAHUAbgB0AFIAYQB0AGUAuwMoACkAIAByAGUAdAB1AHIAbgBzACAAZgBvAHIAIABhACAAZABhAHkAIABjAG8AdQBuAHQAIABjAG8AbgB2AGUAbgB0AGkAbwBuAC4AIABXAGgAZQBuACAAZwBpAHYAZQBuACwAIABpAG4AdABlAHIAZQBzAHQAIAB1AHMAZQBzACAAdABoAGUAcwBlACAAcgBhAHQAZQBzACAAYQBuAGQAIABBAFAAUgAgAGEAbgBkACAATQBvAG4AdABoAHMAUABlAHIAUABlAHIAaQBvAGQAIABhAHIAZQAgAGkAZwBuAG8AcgBlAGQALgAgAEEAIABiAGwAYQBuAGsAIABjAGUAbABsACAAbwByACAAcgBhAG4AZwBlACAAYwBvAHUAbgB0AHMAIABhAHMAIABuAG8AdAAgAGcAaQB2AGUAbgC2AFwAIgAgACYAXABuACAAIAAgACAAIAAgACAAIAAgACAAIAAgACAAIAAgACAAIAAgACAAIAAgACAAIAAgAFwAIgBFAFgAQQBNAFAATABFAFMAOgAgACAAIAAgACAAIAAgACAAIAAgAJIhtgBcACIAIAAmAFwAbgAgACAAIAAgACAAIAAgACAAIAAgACAAIAAgACAAIAAgACAAIAAgACAAIAAgACAAIABcACIAUgBlAHMAdQBsAHQAIAAgACAAIAAgACAAIAAgACAAIAAgACAAIACSIUYAbwByAG0AdQBsAGEAIAAoAG8AegAgAGkAcwAgAGEAcwBzAHUAbQBlAGQAIAB0AG8AIABiAGUAIAB0AGgAZQAgAG0AbwBkAHUAbABlACcAcwAgAG4AYQBtAGUAKQC2AFwAIgAgACYAXABuACAAIAAgACAAIAAgACAAIAAgACAAIAAgACAAIAAgACAAIAAgACAAIAAgACAAIAAgAFwAIgA0ACAAcgBvAHcAcwAsACAAMwAgAGMAbwBsAHMAIAAgACAAIAAgAJIhPQBvAHoALgBEAGUAYgB0AFMAYwB1AGwAcAB0AFYAYQByAGkAYQBiAGwAZQBMAFIAVgC7AygALAAgAHsAMQAwADAAMAAsADAALAAwAH0ALAAgAHsAMwAwADAALAAzADAAMAAsADMAMAAwAH0ALAAgAHsAMQAuADIALAAxAC4AMgAsADEALgAyAH0ALAAgAHsAMAAuADAANgAsADAALgAwADYALAAwAC4AMAA2AH0ALAAgADEAMgApAFwAIgAsAFwAbgAgACAAIAAgACAAIAAgACAAIAAgACAAIAAgACAAIAAgACAAIAAgACAAIAAgACAAIABcACIAkiFcACIALAAgAFwAIgC2AFwAIgBcAG4AIAAgACAAIAAgACAAIAAgACAAIAAgACAAIAAgACAAIAAgACAAIAAgACAAIAAgACAAKQBcAG4AIAAgACAAIAAgACAAIAAgACAAIAAgACAAIAAgACAAIAAgACAAIAAgACkALABcAG4AIAAgACAAIAAvAC8AIAAgAEEAIABiAGwAYQBuAGsAIABQAGUAcgBpAG8AZABSAGEAdABlAHMAIABjAGUAbABsACAAbwByACAAcgBhAG4AZwBlACAAaQBzACAAbgBvAHQAIABhACAAcgBvAHcAIABvAGYAIAByAGEAdABlAHMALAAgAHMAbwAgAHQAZQBzAHQAIABmAG8AcgAgAGIAbwB0AGgAXABuACAAIAAgACAAIAAgACAAIABVAHMAZQBSAGEAdABlAHMALAAgACAAIAAgACAAIAAgAEEATgBEACgAIABOAE8AVAAoACAASQBTAE8ATQBJAFQAVABFAEQAKAAgAFAAZQByAGkAbwBkAFIAYQB0AGUAcwApACkALAAgAEMATwBVAE4AVAAoACAAUABlAHIAaQBvAGQAUgBhAHQAZQBzACkAIAA+ACAAMAApACwAXABuACAAIAAgACAALwAvACAAIABDAGgAZQBjAGsAIABpAG4AcAB1AHQAcwAgAC0AIABPAG0AaQB0AHQAZQBkACAAcgBlAHEAdQBpAHIAZQBkACAAYQByAGcAdQBtAGUAbgB0AHMAXABuACAAIAAgACAAIAAgACAAIABIAGUAbABwAD8ALAAgACAAIAAgACAAIAAgACAAIAAgAE8AUgAoACAASQBTAE8ATQBJAFQAVABFAEQAKAAgAEQAZQBiAHQAKQAsAFwAbgAgACAAIAAgACAAIAAgACAAIAAgACAAIAAgACAAIAAgACAAIAAgACAAIAAgACAAIAAgACAAIAAgAEkAUwBPAE0ASQBUAFQARQBEACgAIABDAEYAQQBEAFMAKQAsAFwAbgAgACAAIAAgACAAIAAgACAAIAAgACAAIAAgACAAIAAgACAAIAAgACAAIAAgACAAIAAgACAAIAAgAEkAUwBPAE0ASQBUAFQARQBEACgAIABEAFMAQwBSACkALABcAG4AIAAgACAAIAAgACAAIAAgACAAIAAgACAAIAAgACAAIAAgACAAIAAgACAAIAAgACAAIAAgACAAIABBAE4ARAAoACAASQBTAE8ATQBJAFQAVABFAEQAKAAgAEEAUABSACkALAAgAE4ATwBUACgAIABVAHMAZQBSAGEAdABlAHMAKQApAFwAbgAgACAAIAAgACAAIAAgACAAIAAgACAAIAAgACAAIAAgACAAIAAgACAAIAAgACAAIAApACwAXABuACAAIAAgACAALwAvACAAIABDAGgAZQBjAGsAIABpAG4AcAB1AHQAcwAgAC0AIABFAHIAcgBvAHIAcwAgAGkAbgAgAGEAcgBnAHUAbQBlAG4AdAAgAHYAYQBsAHUAZQBzAFwAbgAgACAAIAAgACAAIAAgACAARQByAHIATQBzAGcAcwAsACAAIAAgACAAIAAgACAAIAB7AFwAIgBEAGUAYgB0ACAAbQB1AHMAdAAgAGIAZQAgAG8AbgBlACAAcgBvAHcAIABvAGYAIABuAGUAdwAgAGQAZQBiAHQAIAB3AGkAdABoACAAYQB0ACAAbABlAGEAcwB0ACAAdAB3AG8AIABwAGUAcgBpAG8AZABzAFwAIgA7AFwAbgAgACAAIAAgACAAIAAgACAAIAAgACAAIAAgACAAIAAgACAAIAAgACAAIAAgACAAIAAgAFwAIgBDAEYAQQBEAFMAIABtAHUAcwB0ACAAYgBlACAAbwBuAGUAIAByAG8AdwAgAG8AZgAgAG4AdQBtAGIAZQByAHMAIAB3AGkAdABoACAAdABoAGUAIABzAGEAbQBlACAAbgB1AG0AYgBlAHIAIABvAGYAIABwAGUAcgBpAG8AZABzACAAYQBzACAARABlAGIAdABcACIAOwBcAG4AIAAgACAAIAAgACAAIAAgACAAIAAgACAAIAAgACAAIAAgACAAIAAgACAAIAAgACAAIABcACIARABTAEMAUgAgAG0AdQBzAHQAIABiAGUAIABvAG4AZQAgAHIAbwB3ACAAbwBmACAAcABvAHMAaQB0AGkAdgBlACAAbgB1AG0AYgBlAHIAcwAgAHcAaQB0AGgAIAB0AGgAZQAgAHMAYQBtAGUAIABuAHUAbQBiAGUAcgAgAG8AZgAgAHAAZQByAGkAbwBkAHMAIABhAHMAIABEAGUAYgB0AFwAIgA7AFwAbgAgACAAIAAgACAAIAAgACAAIAAgACAAIAAgACAAIAAgACAAIAAgACAAIAAgACAAIAAgAFwAIgBBAFAAUgAgAG8AcgAgAFAAZQByAGkAbwBkAFIAYQB0AGUAcwAgAG0AdQBzAHQAIABiAGUAIABvAG4AZQAgAHIAbwB3ACAAdwBpAHQAaAAgAHQAaABlACAAcwBhAG0AZQAgAG4AdQBtAGIAZQByACAAbwBmACAAcABlAHIAaQBvAGQAcwAgAGEAcwAgAEQAZQBiAHQAXAAiAH0ALABcAG4AIAAgACAAIAAvAC8AIAAgAEUAdgBlAHIAeQAgAEQAUwBDAFIAIABlAGwAZQBtAGUAbgB0ACAAZABpAHYAaQBkAGUAcwAgAGkAdABzACAAcABlAHIAaQBvAGQAJwBzACAAYwBhAHMAaAAgAGIAZQBsAG8AdwAsACAAcwBvACAAbwBuAGUAIAB6AGUAcgBvACAAcgBlAHQAdQByAG4AcwBcAG4AIAAgACAAIAAvAC8AIAAgACMARABJAFYALwAwACEAIABmAG8AcgAgAHQAaABlACAAdwBoAG8AbABlACAAcwBjAGgAZQBkAHUAbABlACAAcgBhAHQAaABlAHIAIAB0AGgAYQBuACAAdABoAGkAcwAgAG0AZQBzAHMAYQBnAGUALgBcAG4AIAAgACAAIAAgACAAIAAgAEUAcgByAG8AcgBzACwAIAAgACAAIAAgACAAIAAgACAAVgBTAFQAQQBDAEsAKAAgAE8AUgAoACAAUgBPAFcAUwAoACAARABlAGIAdAApACAAPAA+ACAAMQAsACAAQwBPAEwAVQBNAE4AUwAoACAARABlAGIAdAApACAAPAA9ACAAMQApACwAXABuACAAIAAgACAAIAAgACAAIAAgACAAIAAgACAAIAAgACAAIAAgACAAIAAgACAAIAAgACAAIAAgACAAIAAgACAAIABPAFIAKAAgAFIATwBXAFMAKAAgAEMARgBBAEQAUwApACAAPAA+ACAAMQAsACAAQwBPAEwAVQBNAE4AUwAoACAAQwBGAEEARABTACkAIAA8AD4AIABDAE8ATABVAE0ATgBTACgAIABEAGUAYgB0ACkALABcAG4AIAAgACAAIAAgACAAIAAgACAAIAAgACAAIAAgACAAIAAgACAAIAAgACAAIAAgACAAIAAgACAAIAAgACAAIAAgACAAIAAgACAATgBPAFQAKAAgAEEATgBEACgAIABJAFMATgBVAE0AQgBFAFIAKAAgAEMARgBBAEQAUwApACkAKQApACwAXABuACAAIAAgACAAIAAgACAAIAAgACAAIAAgACAAIAAgACAAIAAgACAAIAAgACAAIAAgACAAIAAgACAAIAAgACAAIABPAFIAKAAgAFIATwBXAFMAKAAgAEQAUwBDAFIAKQAgADwAPgAgADEALAAgAEMATwBMAFUATQBOAFMAKAAgAEQAUwBDAFIAKQAgADwAPgAgAEMATwBMAFUATQBOAFMAKAAgAEQAZQBiAHQAKQAsAFwAbgAgACAAIAAgACAAIAAgACAAIAAgACAAIAAgACAAIAAgACAAIAAgACAAIAAgACAAIAAgACAAIAAgACAAIAAgACAAIAAgACAAIABOAE8AVAAoACAAQQBOAEQAKAAgAEkAUwBOAFUATQBCAEUAUgAoACAARABTAEMAUgApACkAKQAsACAATwBSACgAIABEAFMAQwBSACAAPAA9ACAAMAApACkALABcAG4AIAAgACAAIAAgACAAIAAgACAAIAAgACAAIAAgACAAIAAgACAAIAAgACAAIAAgACAAIAAgACAAIAAgACAAIAAgAEkARgAoACAAVQBzAGUAUgBhAHQAZQBzACwAXABuACAAIAAgACAAIAAgACAAIAAgACAAIAAgACAAIAAgACAAIAAgACAAIAAgACAAIAAgACAAIAAgACAAIAAgACAAIAAgACAAIAAgAE8AUgAoACAAUgBPAFcAUwAoACAAUABlAHIAaQBvAGQAUgBhAHQAZQBzACkAIAA8AD4AIAAxACwAIABDAE8ATABVAE0ATgBTACgAIABQAGUAcgBpAG8AZABSAGEAdABlAHMAKQAgADwAPgAgAEMATwBMAFUATQBOAFMAKAAgAEQAZQBiAHQAKQApACwAXABuACAAIAAgACAAIAAgACAAIAAgACAAIAAgACAAIAAgACAAIAAgACAAIAAgACAAIAAgACAAIAAgACAAIAAgACAAIAAgACAAIAAgAE8AUgAoACAAUgBPAFcAUwAoACAAQQBQAFIAKQAgADwAPgAgADEALAAgAEMATwBMAFUATQBOAFMAKAAgAEEAUABSACkAIAA8AD4AIABDAE8ATABVAE0ATgBTACgAIABEAGUAYgB0ACkAKQApAFwAbgAgACAAIAAgACAAIAAgACAAIAAgACAAIAAgACAAIAAgACAAIAAgACAAIAAgACAAIAApACwAXABuACAAIAAgACAAIAAgACAAIABNAGUAcwBzAGEAZwBlAHMALAAgACAAIAAgACAAIAAgAEYASQBMAFQARQBSACgAIABFAHIAcgBNAHMAZwBzACwAIABFAHIAcgBvAHIAcwAsACAAXAAiAFwAIgApACwAXABuACAAIAAgACAALwAvACAAIABDAGgAZQBjAGsAIABpAG4AcAB1AHQAcwAgAC0AIABTAGUAdAAgAG8AcAB0AGkAbwBuAGEAbAAgAGEAcgBnAHUAbQBlAG4AdABzACcAIABkAGUAZgBhAHUAbAB0AHMAXABuACAAIAAgACAAIAAgACAAIABPAHAAZQBuAGkAbgBnAEIAYQBsAGEAbgBjAGUALAAgAEkARgAoACAASQBTAE4AVQBNAEIARQBSACgAIABPAHAAZQBuAGkAbgBnAEIAYQBsAGEAbgBjAGUAKQAsACAATwBwAGUAbgBpAG4AZwBCAGEAbABhAG4AYwBlACwAIAAwACkALABcAG4AIAAgACAAIAAgACAAIAAgAE0AbwBuAHQAaABzAFAAZQByAFAAZQByAGkAbwBkACwAIABJAEYAKAAgAEkAUwBOAFUATQBCAEUAUgAoACAATQBvAG4AdABoAHMAUABlAHIAUABlAHIAaQBvAGQAKQAsACAATQBvAG4AdABoAHMAUABlAHIAUABlAHIAaQBvAGQALAAgADEAKQAsAFwAbgAgACAAIAAgAC8ALwAgACAAUAByAG8AYwBlAGQAdQByAGUAIAAtACAAcwBvAGwAdgBlACAAdABoAGUAIABjAGwAbwBzAGkAbgBnACAAYgBhAGwAYQBuAGMAZQAgAHAAZQByAGkAbwBkACAAYgB5ACAAcABlAHIAaQBvAGQALAAgAHQAaABlAG4AIAByAGUAYQBkACAAdABoAGUAIAByAG8AdwBzACAAbwBmAGYAIABpAHQAXABuACAAIAAgACAALwAvACAAIABBACAAcABhAHkAbQBlAG4AdAAgAGIAZQBsAG8AdwAgAHoAZQByAG8AIABpAHMAIABkAGUAbABpAGIAZQByAGEAdABlACAAaABlAHIAZQA6ACAAdABoAGkAcwAgAGYAdQBuAGMAdABpAG8AbgAgAHAAYQB5AHMAIABpAG4AdABlAHIAZQBzAHQAIABvAHUAdAAgAG8AZgAgAHQAaABlAFwAbgAgACAAIAAgAC8ALwAgACAAcABlAHIAaQBvAGQAJwBzACAAYwBhAHMAaAAgAGEAbgBkACAAcgBlAHAAYQB5AHMAIABwAHIAaQBuAGMAaQBwAGEAbAAsACAAcwBvACAAYQBuACAAdQBuAHAAYQBpAGQAIABwAGUAcgBpAG8AZAAgAGMAYQBwAGkAdABhAGwAaQBzAGUAcwAgAGkAdABzACAAaQBuAHQAZQByAGUAcwB0AFwAbgAgACAAIAAgAC8ALwAgACAAdABoAHIAbwB1AGcAaAAgAGEAIABuAGUAZwBhAHQAaQB2AGUAIABwAGEAeQBtAGUAbgB0AC4AIAB0AG8AbwBsAHMALwBlAHgAYwBlAGwAXwBzAGUAbABmAHQAZQBzAHQALgBwAHMAMQAgAHAAaQBuAHMAIABpAHQAIABhAHMAIABcACIAbgBvACAAYwBhAHMAaABcAG4AIAAgACAAIAAvAC8AIAAgAGMAYQBwAGkAdABhAGwAaQBzAGUAcwAgAGkAbgB0AGUAcgBlAHMAdAAgAG8AbgBjAGUAXAAiAC4AIABEAG8AIABuAG8AdAAgAGYAbABvAG8AcgAgAGkAdAAgAHcAaQB0AGgAbwB1AHQAIABjAGgAYQBuAGcAaQBuAGcAIAB0AGgAYQB0ACAAYQBzAHMAZQByAHQAaQBvAG4ALgBcAG4AIAAgACAAIAAgACAAIAAgAFAAZQByAGkAbwBkAHMALAAgACAAIAAgACAAIAAgACAAUwBFAFEAVQBFAE4AQwBFACgAIAAxACwAIABDAE8ATABVAE0ATgBTACgAIABEAGUAYgB0ACkAKQAsAFwAbgAgACAAIAAgAC8ALwAgACAAQQAgAHIAbwB3ACAAbwBmACAAcgBhAHQAZQBzACAAcABlAHIAIABwAGUAcgBpAG8AZAAsACAAZgByAG8AbQAgAGEAIABkAGEAeQAgAGMAbwB1AG4AdAAgAGMAbwBuAHYAZQBuAHQAaQBvAG4ALAAgAHIAZQBwAGwAYQBjAGUAcwAgAHQAaABlACAAZgBsAGEAdAAgAHQAdwBlAGwAZgB0AGgAIABvAGYAIABBAFAAUgBcAG4AIAAgACAAIAAgACAAIAAgAFIAYQB0AGUAcwAsACAAIAAgACAAIAAgACAAIAAgACAASQBGACgAIABVAHMAZQBSAGEAdABlAHMALABcAG4AIAAgACAAIAAgACAAIAAgACAAIAAgACAAIAAgACAAIAAgACAAIAAgACAAIAAgACAAIAAgACAAIABJAE4ARABFAFgAKAAgAFAAZQByAGkAbwBkAFIAYQB0AGUAcwAsACAAMQAsACAAUABlAHIAaQBvAGQAcwApACwAXABuACAAIAAgACAAIAAgACAAIAAgACAAIAAgACAAIAAgACAAIAAgACAAIAAgACAAIAAgACAAIAAgACAASQBOAEQARQBYACgAIABBAFAAUgAsACAAMQAsACAAUABlAHIAaQBvAGQAcwApACAALwAgADEAMgAgACoAIABNAG8AbgB0AGgAcwBQAGUAcgBQAGUAcgBpAG8AZABcAG4AIAAgACAAIAAgACAAIAAgACAAIAAgACAAIAAgACAAIAAgACAAIAAgACAAIAAgACAAKQAsAFwAbgAgACAAIAAgACAAIAAgACAATgBlAHcARABlAGIAdAAsACAAIAAgACAAIAAgACAAIABJAE4ARABFAFgAKAAgAEQAZQBiAHQALAAgADEALAAgAFAAZQByAGkAbwBkAHMAKQAsAFwAbgAgACAAIAAgACAAIAAgACAAUgBhAHcAQwBhAHMAaAAsACAAIAAgACAAIAAgACAAIABJAE4ARABFAFgAKAAgAEMARgBBAEQAUwAsACAAMQAsACAAUABlAHIAaQBvAGQAcwApACwAXABuACAAIAAgACAAIAAgACAAIABDAGEAcwBoACwAIAAgACAAIAAgACAAIAAgACAAIAAgAEkARgAoACAAUgBhAHcAQwBhAHMAaAAgADwAIAAwACwAIAAwACwAIABSAGEAdwBDAGEAcwBoACkALABcAG4AIAAgACAAIAAgACAAIAAgAEMAbwB2AGUAcgAsACAAIAAgACAAIAAgACAAIAAgACAASQBOAEQARQBYACgAIABEAFMAQwBSACwAIAAxACwAIABQAGUAcgBpAG8AZABzACkALABcAG4AIAAgACAAIAAgACAAIAAgAEMAbABvAHMAaQBuAGcAcwAsACAAIAAgACAAIAAgACAAUwBDAEEATgAoACAATwBwAGUAbgBpAG4AZwBCAGEAbABhAG4AYwBlACwAIABQAGUAcgBpAG8AZABzACwAXABuACAAIAAgACAAIAAgACAAIAAgACAAIAAgACAAIAAgACAAIAAgACAAIAAgACAAIAAgACAAIAAgACAATABBAE0AQgBEAEEAKAAgAEMAYQByAHIAaQBlAGQALAAgAFAAZQByAGkAbwBkACwAXABuACAAIAAgACAAIAAgACAAIAAgACAAIAAgACAAIAAgACAAIAAgACAAIAAgACAAIAAgACAAIAAgACAAIAAgACAAIABMAEUAVAAoAE8AcABlAG4AaQBuAGcALAAgACAAIAAgAEMAYQByAHIAaQBlAGQAIAArACAASQBOAEQARQBYACgAIABOAGUAdwBEAGUAYgB0ACwAIAAxACwAIABQAGUAcgBpAG8AZAApACwAXABuACAAIAAgACAAIAAgACAAIAAgACAAIAAgACAAIAAgACAAIAAgACAAIAAgACAAIAAgACAAIAAgACAAIAAgACAAIAAgACAAIAAgAEkAbgB0AGUAcgBlAHMAdAAsACAAIAAgAEkAbgB0AGUAcgBlAHMAdABMAFIAVgC7AygAIABJAE4ARABFAFgAKAAgAEMAYQBzAGgALAAgADEALAAgAFAAZQByAGkAbwBkACkALAAgAEkATgBEAEUAWAAoACAAQwBvAHYAZQByACwAIAAxACwAIABQAGUAcgBpAG8AZAApACwAIABPAHAAZQBuAGkAbgBnACwAIABJAE4ARABFAFgAKAAgAFIAYQB0AGUAcwAsACAAMQAsACAAUABlAHIAaQBvAGQAKQApACwAXABuACAAIAAgACAAIAAgACAAIAAgACAAIAAgACAAIAAgACAAIAAgACAAIAAgACAAIAAgACAAIAAgACAAIAAgACAAIAAgACAAIAAgAFAAYQB5AG0AZQBuAHQALAAgACAAIAAgAE0ASQBOACgAIABJAE4ARABFAFgAKAAgAEMAYQBzAGgALAAgADEALAAgAFAAZQByAGkAbwBkACkAIAAvACAASQBOAEQARQBYACgAIABDAG8AdgBlAHIALAAgADEALAAgAFAAZQByAGkAbwBkACkAIAAtACAASQBuAHQAZQByAGUAcwB0ACwAIABPAHAAZQBuAGkAbgBnACkALABcAG4AIAAgACAAIAAgACAAIAAgACAAIAAgACAAIAAgACAAIAAgACAAIAAgACAAIAAgACAAIAAgACAAIAAgACAAIAAgACAAIAAgACAATwBwAGUAbgBpAG4AZwAgAC0AIABQAGEAeQBtAGUAbgB0AFwAbgAgACAAIAAgACAAIAAgACAAIAAgACAAIAAgACAAIAAgACAAIAAgACAAIAAgACAAIAAgACAAIAAgACAAIAAgACAAKQBcAG4AIAAgACAAIAAgACAAIAAgACAAIAAgACAAIAAgACAAIAAgACAAIAAgACAAIAAgACAAIAAgACAAIAApAFwAbgAgACAAIAAgACAAIAAgACAAIAAgACAAIAAgACAAIAAgACAAIAAgACAAIAAgACAAIAApACwAXABuACAAIAAgACAAIAAgACAAIABDAGEAcgByAGkAZQBkACwAIAAgACAAIAAgACAAIAAgAEkARgAoACAAQwBPAEwAVQBNAE4AUwAoACAARABlAGIAdAApACAAPQAgADEALAAgAE8AcABlAG4AaQBuAGcAQgBhAGwAYQBuAGMAZQAsACAASABTAFQAQQBDAEsAKAAgAE8AcABlAG4AaQBuAGcAQgBhAGwAYQBuAGMAZQAsACAARABSAE8AUAAoACAAQwBsAG8AcwBpAG4AZwBzACwAIAAsACAALQAxACkAKQApACwAXABuACAAIAAgACAAIAAgACAAIABPAHAAZQBuAGkAbgBnACwAIAAgACAAIAAgACAAIAAgAEMAYQByAHIAaQBlAGQAIAArACAATgBlAHcARABlAGIAdAAsAFwAbgAgACAAIAAgACAAIAAgACAASQBuAHQAZQByAGUAcwB0ACwAIAAgACAAIAAgACAAIABNAEEAUAAoACAAUABlAHIAaQBvAGQAcwAsAFwAbgAgACAAIAAgACAAIAAgACAAIAAgACAAIAAgACAAIAAgACAAIAAgACAAIAAgACAAIAAgACAAIAAgAEwAQQBNAEIARABBACgAIABQAGUAcgBpAG8AZAAsAFwAbgAgACAAIAAgACAAIAAgACAAIAAgACAAIAAgACAAIAAgACAAIAAgACAAIAAgACAAIAAgACAAIAAgACAAIAAgACAASQBuAHQAZQByAGUAcwB0AEwAUgBWALsDKAAgAEkATgBEAEUAWAAoACAAQwBhAHMAaAAsACAAMQAsACAAUABlAHIAaQBvAGQAKQAsACAASQBOAEQARQBYACgAIABDAG8AdgBlAHIALAAgADEALAAgAFAAZQByAGkAbwBkACkALAAgAEkATgBEAEUAWAAoACAATwBwAGUAbgBpAG4AZwAsACAAMQAsACAAUABlAHIAaQBvAGQAKQAsACAASQBOAEQARQBYACgAIABSAGEAdABlAHMALAAgADEALAAgAFAAZQByAGkAbwBkACkAKQBcAG4AIAAgACAAIAAgACAAIAAgACAAIAAgACAAIAAgACAAIAAgACAAIAAgACAAIAAgACAAIAAgACAAIAApAFwAbgAgACAAIAAgACAAIAAgACAAIAAgACAAIAAgACAAIAAgACAAIAAgACAAIAAgACAAIAApACwAXABuACAAIAAgACAAIAAgACAAIABBAHYAYQBpAGwAYQBiAGwAZQAsACAAIAAgACAAIAAgAEMAYQBzAGgAIAAvACAAQwBvAHYAZQByACAALQAgAEkAbgB0AGUAcgBlAHMAdAAsAFwAbgAgACAAIAAgACAAIAAgACAAUABhAHkAbQBlAG4AdAAsACAAIAAgACAAIAAgACAAIABJAEYAKAAgAEEAdgBhAGkAbABhAGIAbABlACAAPAAgAE8AcABlAG4AaQBuAGcALAAgAEEAdgBhAGkAbABhAGIAbABlACwAIABPAHAAZQBuAGkAbgBnACkALABcAG4AIAAgACAAIAAgACAAIAAgAEMAbABvAHMAaQBuAGcALAAgACAAIAAgACAAIAAgACAATwBwAGUAbgBpAG4AZwAgAC0AIABQAGEAeQBtAGUAbgB0ACwAXABuACAAIAAgACAAIAAgACAAIABSAGUAcwB1AGwAdAAsACAAIAAgACAAIAAgACAAIAAgAFYAUwBUAEEAQwBLACgAIABPAHAAZQBuAGkAbgBnACwAIABJAG4AdABlAHIAZQBzAHQALAAgAC0AUABhAHkAbQBlAG4AdAAsACAAQwBsAG8AcwBpAG4AZwApACwAXABuACAAIAAgACAALwAvACAAIABSAGUAdAB1AHIAbgAgAFIAZQBzAHUAbAB0ACwAIABIAGUAbABwACAAbwByACAAdABoAGUAIABtAGUAcwBzAGEAZwBlAHMAXABuACAAIAAgACAAIAAgACAAIABSAGUAdAB1AHIAbgAsACAAIAAgACAAIAAgACAAIAAgAEkARgAoACAASABlAGwAcAA/ACwAIAAyACwAIABJAEYAKAAgAE8AUgAoACAARQByAHIAbwByAHMAKQAsACAAMwAsACAAMQApACkALABcAG4AIAAgACAAIAAgACAAIAAgAEMASABPAE8AUwBFACgAIABSAGUAdAB1AHIAbgAsACAAUgBlAHMAdQBsAHQALAAgAEgAZQBsAHAALAAgAE0AZQBzAHMAYQBnAGUAcwApAFwAbgAgACAAIAAgACkAXABuACkAOwBcAG4AXABuAFwAbgBcAG4ALwAqACAAIABGAFUATgBDAFQASQBPAE4AIABOAEEATQBFADoAIAAgAEQAZQBiAHQAUwBjAHUAbABwAHQAVgBhAHIAaQBhAGIAbABlALsDXABuACAAIAAgACAARABFAFMAQwBSAEkAUABUAEkATwBOADoAKgAvAC8AKgAqAEMAcgBlAGEAdABlAHMAIABhACAAZABlAGIAdAAgAHMAYwB1AGwAcAB0AGkAbgBnACAAcwBjAGgAZQBkAHUAbABlACAAdwBoAGUAcgBlACAAQQBQAFIAIABhAG4AZAAgAEQAUwBDAFIAIABhAHIAZQAgAHMAZQB0ACAAZgBvAHIAIABlAGEAYwBoACAAcABlAHIAaQBvAGQAKgAvAFwAbgBEAGUAYgB0AFMAYwB1AGwAcAB0AFYAYQByAGkAYQBiAGwAZQC7AyAAPQAgAEwAQQBNAEIARABBACgAXABuAC8ALwAgACAAUABhAHIAYQBtAGUAdABlAHIAIABEAGUAYwBsAGEAcgBhAHQAaQBvAG4AcwBcAG4AIAAgACAAIABbAE8AcABlAG4AaQBuAGcAQgBhAGwAYQBuAGMAZQBdACwAXABuACAAIAAgACAAWwBEAGUAYgB0AF0ALABcAG4AIAAgACAAIABbAEMARgBBAEQAUwBdACwAXABuACAAIAAgACAAWwBEAFMAQwBSAF0ALABcAG4AIAAgACAAIABbAEEAUABSAF0ALABcAG4AIAAgACAAIABbAE0AbwBuAHQAaABzAFAAZQByAFAAZQByAGkAbwBkAF0ALABcAG4AIAAgACAAIABbAFAAZQByAGkAbwBkAFIAYQB0AGUAcwBdACwAXABuAC8ALwAgACAASABlAGwAcABcAG4AIAAgACAAIABMAEUAVAAoAEgAZQBsAHAALAAgACAAIAAgACAAIAAgAFQAUgBJAE0AKABUAEUAWABUAFMAUABMAEkAVAAoAFwAbgAgACAAIAAgACAAIAAgACAAIAAgACAAIAAgACAAIAAgACAAIAAgACAAIAAgACAAIABcACIARgBVAE4AQwBUAEkATwBOADoAIAAgACAAIAAgACAAIAAgACAAIACSIUQAZQBiAHQAUwBjAHUAbABwAHQAVgBhAHIAaQBhAGIAbABlALsDKABbAE8AcABlAG4AaQBuAGcAQgBhAGwAYQBuAGMAZQBdACwAIABEAGUAYgB0ACwAIABDAEYAQQBEAFMALAAgAEQAUwBDAFIALAAgAEEAUABSACwAIABbAE0AbwBuAHQAaABzAFAAZQByAFAAZQByAGkAbwBkAF0ALAAgAFsAUABlAHIAaQBvAGQAUgBhAHQAZQBzAF0AKQC2AFwAIgAgACYAXABuACAAIAAgACAAIAAgACAAIAAgACAAIAAgACAAIAAgACAAIAAgACAAIAAgACAAIAAgAFwAIgBEAEUAUwBDAFIASQBQAFQASQBPAE4AOgAgACAAIAAgACAAIAAgAJIhQwByAGUAYQB0AGUAcwAgAGEAIABEAGUAYgB0ACAAUwBjAHUAbABwAHQAaQBuAGcAIABzAGMAaABlAGQAdQBsAGUAIAB3AGgAZQByAGUAIABBAFAAUgAgAGEAbgBkACAARABTAEMAUgAgAGEAcgBlACAAcwBlAHQAIABmAG8AcgAgAGUAYQBjAGgAIABwAGUAcgBpAG8AZAC2AFwAIgAgACYAXABuACAAIAAgACAAIAAgACAAIAAgACAAIAAgACAAIAAgACAAIAAgACAAIAAgACAAIAAgAFwAIgBTAFUARwBHAEUAUwBUAEUARAAgAFIATwBXACAASQBEAFMAOgAgAJIhRABlAGIAdAAgAG8AcABlAG4AaQBuAGcAIABiAGEAbABhAG4AYwBlALYAXAAiACAAJgBcAG4AIAAgACAAIAAgACAAIAAgACAAIAAgACAAIAAgACAAIAAgACAAIAAgACAAIAAgACAAXAAiACAAIAAgACAAIAAgACAAIAAgACAAIAAgACAAIAAgACAAIAAgACAAkiFJAG4AdABlAHIAZQBzAHQAIABvAG4AIABQAHIAaQBuAGMAaQBwAGEAbAAgAEIAYQBsAGEAbgBjAGUAtgBcACIAIAAmAFwAbgAgACAAIAAgACAAIAAgACAAIAAgACAAIAAgACAAIAAgACAAIAAgACAAIAAgACAAIABcACIAIAAgACAAIAAgACAAIAAgACAAIAAgACAAIAAgACAAIAAgACAAIACSIUQAZQBiAHQAIABzAGUAcgB2AGkAYwBlACAAKABpAG4AdABlAHIAZQBzAHQAIABhAG4AZAAgAHAAcgBpAG4AYwBpAHAAYQBsACkAtgBcACIAIAAmAFwAbgAgACAAIAAgACAAIAAgACAAIAAgACAAIAAgACAAIAAgACAAIAAgACAAIAAgACAAIABcACIAIAAgACAAIAAgACAAIAAgACAAIAAgACAAIAAgACAAIAAgACAAIACSIUQAZQBiAHQAIABjAGwAbwBzAGkAbgBnACAAYgBhAGwAYQBuAGMAZQC2AFwAIgAgACYAXABuACAAIAAgACAAIAAgACAAIAAgACAAIAAgACAAIAAgACAAIAAgACAAIAAgACAAIAAgAFwAIgBXAEUAQgBQAEEARwBFADoAIAAgACAAIAAgACAAIAAgACAAIAAgAJIhaAB0AHQAcABzADoALwAvAGcAaQB0AGgAdQBiAC4AYwBvAG0ALwByAHkAYQBuAGQAdQBnAHUAaQBkAC8ATwB6AHoAaQB0ALYAXAAiACAAJgBcAG4AIAAgACAAIAAgACAAIAAgACAAIAAgACAAIAAgACAAIAAgACAAIAAgACAAIAAgACAAXAAiAFYARQBSAFMASQBPAE4AOgAgACAAIAAgACAAIAAgACAAIAAgACAAkiExADAAIABTAGUAcAAgADIAMAAyADYAtgBcACIAIAAmAFwAbgAgACAAIAAgACAAIAAgACAAIAAgACAAIAAgACAAIAAgACAAIAAgACAAIAAgACAAIABcACIAUABBAFIAQQBNAEUAVABFAFIAUwA6ACAAIAAgACAAIAAgACAAIACSIbYAXAAiACAAJgBcAG4AIAAgACAAIAAgACAAIAAgACAAIAAgACAAIAAgACAAIAAgACAAIAAgACAAIAAgACAAXAAiAE8AcABlAG4AaQBuAGcAQgBhAGwAYQBuAGMAZQAgACAAIAAgACAAkiEoAE8AcAB0AGkAbwBuAGEAbAApACAATQBvAGQAZQBsACcAcwAgAGQAZQBiAHQAIABvAG4AIABvAHAAZQBuAGkAbgBnAC4AIABEAGUAZgBhAHUAbAB0AHMAIAB0AG8AIAAwALYAXAAiACAAJgBcAG4AIAAgACAAIAAgACAAIAAgACAAIAAgACAAIAAgACAAIAAgACAAIAAgACAAIAAgACAAXAAiAEQAZQBiAHQAIAAgACAAIAAgACAAIAAgACAAIAAgACAAIAAgACAAkiEoAFIAZQBxAHUAaQByAGUAZAApACAATwBuAGUAIAByAG8AdwAgAG8AZgAgAG4AZQB3ACAAZABlAGIAdAAsACAAYQB0ACAAbABlAGEAcwB0ACAAdAB3AG8AIABwAGUAcgBpAG8AZABzAC4AIABFAHYAZQByAHkAIABwAGUAcgBpAG8AZAAgAGkAbgBwAHUAdAAgAG0AdQBzAHQAIABoAGEAdgBlACAAdABoAGkAcwAgAHMAYQBtAGUAIAB3AGkAZAB0AGgAtgBcACIAIAAmAFwAbgAgACAAIAAgACAAIAAgACAAIAAgACAAIAAgACAAIAAgACAAIAAgACAAIAAgACAAIABcACIAQwBGAEEARABTACAAIAAgACAAIAAgACAAIAAgACAAIAAgACAAIACSISgAUgBlAHEAdQBpAHIAZQBkACkAIABBACAAcgBvAHcAIABvAGYAIABDAGEAcwBoACAARgBsAG8AdwAgAEEAdgBhAGkAbABhAGIAbABlACAAZgBvAHIAIABEAGUAYgB0ACAAUwBlAHIAdgBpAGMAZQAgAGkAbgAgAGUAYQBjAGgAIABwAGUAcgBpAG8AZAC2AFwAIgAgACYAXABuACAAIAAgACAAIAAgACAAIAAgACAAIAAgACAAIAAgACAAIAAgACAAIAAgACAAIAAgAFwAIgBEAFMAQwBSACAAIAAgACAAIAAgACAAIAAgACAAIAAgACAAIAAgAJIhKABSAGUAcQB1AGkAcgBlAGQAKQAgAEEAIAByAG8AdwAgAG8AZgAgAEQAZQBiAHQAIABTAGUAcgB2AGkAYwBlACAAQwBvAHYAZQByAGEAZwBlACAAUgBhAHQAaQBvAHMALAAgAG8AbgBlACAAcABlAHIAIABwAGUAcgBpAG8AZAC2AFwAIgAgACYAXABuACAAIAAgACAAIAAgACAAIAAgACAAIAAgACAAIAAgACAAIAAgACAAIAAgACAAIAAgAFwAIgBBAFAAUgAgACAAIAAgACAAIAAgACAAIAAgACAAIAAgACAAIAAgAJIhKABSAGUAcQB1AGkAcgBlAGQAIAB1AG4AbABlAHMAcwAgAFAAZQByAGkAbwBkAFIAYQB0AGUAcwAgAGkAcwAgAGcAaQB2AGUAbgApACAAQQAgAHIAbwB3ACAAbwBmACAASQBuAHQAZQByAGUAcwB0ACcAcwAgAEEAbgBuAHUAYQBsACAAUABlAHIAYwBlAG4AdABhAGcAZQAgAFIAYQB0AGUAcwAsACAAbwBuAGUAIABwAGUAcgAgAHAAZQByAGkAbwBkAC4AIABFAGEAYwBoACAAcABlAHIAaQBvAGQAIABjAGgAYQByAGcAZQBzACAAQQBQAFIAIAAvACAAMQAyACAAKgAgAE0AbwBuAHQAaABzAFAAZQByAFAAZQByAGkAbwBkALYAXAAiACAAJgBcAG4AIAAgACAAIAAgACAAIAAgACAAIAAgACAAIAAgACAAIAAgACAAIAAgACAAIAAgACAAXAAiAE0AbwBuAHQAaABzAFAAZQByAFAAZQByAGkAbwBkACAAIAAgACAAkiEoAE8AcAB0AGkAbwBuAGEAbAApACAARABlAGYAYQB1AGwAdABzACAAdABvACAAbwBuAGUAIABtAG8AbgB0AGgAIABwAGUAcgAgAHAAZQByAGkAbwBkAC4AIABJAGcAbgBvAHIAZQBkACAAdwBoAGUAbgAgAFAAZQByAGkAbwBkAFIAYQB0AGUAcwAgAGkAcwAgAGcAaQB2AGUAbgC2AFwAIgAgACYAXABuACAAIAAgACAAIAAgACAAIAAgACAAIAAgACAAIAAgACAAIAAgACAAIAAgACAAIAAgAFwAIgBQAGUAcgBpAG8AZABSAGEAdABlAHMAIAAgACAAIAAgACAAIAAgAJIhKABPAHAAdABpAG8AbgBhAGwAKQAgAEEAIAByAG8AdwAgAG8AZgAgAGkAbgB0AGUAcgBlAHMAdAAgAHIAYQB0AGUAcwAgAHAAZQByACAAcABlAHIAaQBvAGQALAAgAG8AbgBlACAAcABlAHIAIABwAGUAcgBpAG8AZAAsACAAcwB1AGMAaAAgAGEAcwAgAEQAYQB5AEMAbwB1AG4AdABSAGEAdABlALsDKAApACAAcgBlAHQAdQByAG4AcwAgAGYAbwByACAAYQAgAGQAYQB5ACAAYwBvAHUAbgB0ACAAYwBvAG4AdgBlAG4AdABpAG8AbgAuACAAVwBoAGUAbgAgAGcAaQB2AGUAbgAsACAAaQBuAHQAZQByAGUAcwB0ACAAdQBzAGUAcwAgAHQAaABlAHMAZQAgAHIAYQB0AGUAcwAgAGEAbgBkACAAQQBQAFIAIABhAG4AZAAgAE0AbwBuAHQAaABzAFAAZQByAFAAZQByAGkAbwBkACAAYQByAGUAIABpAGcAbgBvAHIAZQBkAC4AIABBACAAYgBsAGEAbgBrACAAYwBlAGwAbAAgAG8AcgAgAHIAYQBuAGcAZQAgAGMAbwB1AG4AdABzACAAYQBzACAAbgBvAHQAIABnAGkAdgBlAG4AtgBcACIAIAAmAFwAbgAgACAAIAAgACAAIAAgACAAIAAgACAAIAAgACAAIAAgACAAIAAgACAAIAAgACAAIABcACIARQBYAEEATQBQAEwARQBTADoAIAAgACAAIAAgACAAIAAgACAAIACSIbYAXAAiACAAJgBcAG4AIAAgACAAIAAgACAAIAAgACAAIAAgACAAIAAgACAAIAAgACAAIAAgACAAIAAgACAAXAAiAFIAZQBzAHUAbAB0ACAAIAAgACAAIAAgACAAIAAgACAAIAAgACAAkiFGAG8AcgBtAHUAbABhACAAKABvAHoAIABpAHMAIABhAHMAcwB1AG0AZQBkACAAdABvACAAYgBlACAAdABoAGUAIABtAG8AZAB1AGwAZQAnAHMAIABuAGEAbQBlACkAtgBcACIAIAAmAFwAbgAgACAAIAAgACAAIAAgACAAIAAgACAAIAAgACAAIAAgACAAIAAgACAAIAAgACAAIABcACIANAAgAHIAbwB3AHMALAAgADMAIABjAG8AbABzACAAIAAgACAAIACSIT0AbwB6AC4ARABlAGIAdABTAGMAdQBsAHAAdABWAGEAcgBpAGEAYgBsAGUAuwMoACwAIAB7ADEAMAAwADAALAAwACwAMAB9ACwAIAB7ADMAMAAwACwAMwAwADAALAAzADAAMAB9ACwAIAB7ADEALgAyACwAMQAuADIALAAxAC4AMgB9ACwAIAB7ADAALgAwADYALAAwAC4AMAA2ACwAMAAuADAANgB9ACwAIAAxADIAKQBcACIALABcAG4AIAAgACAAIAAgACAAIAAgACAAIAAgACAAIAAgACAAIAAgACAAIAAgACAAIAAgACAAXAAiAJIhXAAiACwAIABcACIAtgBcACIAXABuACAAIAAgACAAIAAgACAAIAAgACAAIAAgACAAIAAgACAAIAAgACAAIAAgACAAIAAgACkAXABuACAAIAAgACAAIAAgACAAIAAgACAAIAAgACAAIAAgACAAIAAgACAAIAApACwAXABuACAAIAAgACAALwAvACAAIABBACAAYgBsAGEAbgBrACAAUABlAHIAaQBvAGQAUgBhAHQAZQBzACAAYwBlAGwAbAAgAG8AcgAgAHIAYQBuAGcAZQAgAGkAcwAgAG4AbwB0ACAAYQAgAHIAbwB3ACAAbwBmACAAcgBhAHQAZQBzACwAIABzAG8AIAB0AGUAcwB0ACAAZgBvAHIAIABiAG8AdABoAFwAbgAgACAAIAAgACAAIAAgACAAVQBzAGUAUgBhAHQAZQBzACwAIAAgACAAIAAgACAAIABBAE4ARAAoACAATgBPAFQAKAAgAEkAUwBPAE0ASQBUAFQARQBEACgAIABQAGUAcgBpAG8AZABSAGEAdABlAHMAKQApACwAIABDAE8AVQBOAFQAKAAgAFAAZQByAGkAbwBkAFIAYQB0AGUAcwApACAAPgAgADAAKQAsAFwAbgAgACAAIAAgAC8ALwAgACAAQwBoAGUAYwBrACAAaQBuAHAAdQB0AHMAIAAtACAATwBtAGkAdAB0AGUAZAAgAHIAZQBxAHUAaQByAGUAZAAgAGEAcgBnAHUAbQBlAG4AdABzAFwAbgAgACAAIAAgACAAIAAgACAASABlAGwAcAA/ACwAIAAgACAAIAAgACAAIAAgACAAIABPAFIAKAAgAEkAUwBPAE0ASQBUAFQARQBEACgAIABEAGUAYgB0ACkALABcAG4AIAAgACAAIAAgACAAIAAgACAAIAAgACAAIAAgACAAIAAgACAAIAAgACAAIAAgACAAIAAgACAAIABJAFMATwBNAEkAVABUAEUARAAoACAAQwBGAEEARABTACkALABcAG4AIAAgACAAIAAgACAAIAAgACAAIAAgACAAIAAgACAAIAAgACAAIAAgACAAIAAgACAAIAAgACAAIABJAFMATwBNAEkAVABUAEUARAAoACAARABTAEMAUgApACwAXABuACAAIAAgACAAIAAgACAAIAAgACAAIAAgACAAIAAgACAAIAAgACAAIAAgACAAIAAgACAAIAAgACAAQQBOAEQAKAAgAEkAUwBPAE0ASQBUAFQARQBEACgAIABBAFAAUgApACwAIABOAE8AVAAoACAAVQBzAGUAUgBhAHQAZQBzACkAKQBcAG4AIAAgACAAIAAgACAAIAAgACAAIAAgACAAIAAgACAAIAAgACAAIAAgACAAIAAgACAAKQAsAFwAbgAgACAAIAAgAC8ALwAgACAAQwBoAGUAYwBrACAAaQBuAHAAdQB0AHMAIAAtACAARQByAHIAbwByAHMAIABpAG4AIABhAHIAZwB1AG0AZQBuAHQAIAB2AGEAbAB1AGUAcwBcAG4AIAAgACAAIAAgACAAIAAgAEUAcgByAE0AcwBnAHMALAAgACAAIAAgACAAIAAgACAAewBcACIARABlAGIAdAAgAG0AdQBzAHQAIABiAGUAIABvAG4AZQAgAHIAbwB3ACAAbwBmACAAbgBlAHcAIABkAGUAYgB0ACAAdwBpAHQAaAAgAGEAdAAgAGwAZQBhAHMAdAAgAHQAdwBvACAAcABlAHIAaQBvAGQAcwBcACIAOwBcAG4AIAAgACAAIAAgACAAIAAgACAAIAAgACAAIAAgACAAIAAgACAAIAAgACAAIAAgACAAIABcACIAQwBGAEEARABTACAAbQB1AHMAdAAgAGIAZQAgAG8AbgBlACAAcgBvAHcAIAB3AGkAdABoACAAdABoAGUAIABzAGEAbQBlACAAbgB1AG0AYgBlAHIAIABvAGYAIABwAGUAcgBpAG8AZABzACAAYQBzACAARABlAGIAdABcACIAOwBcAG4AIAAgACAAIAAgACAAIAAgACAAIAAgACAAIAAgACAAIAAgACAAIAAgACAAIAAgACAAIABcACIARABTAEMAUgAgAG0AdQBzAHQAIABiAGUAIABvAG4AZQAgAHIAbwB3ACAAbwBmACAAcABvAHMAaQB0AGkAdgBlACAAbgB1AG0AYgBlAHIAcwAgAHcAaQB0AGgAIAB0AGgAZQAgAHMAYQBtAGUAIABuAHUAbQBiAGUAcgAgAG8AZgAgAHAAZQByAGkAbwBkAHMAIABhAHMAIABEAGUAYgB0AFwAIgA7AFwAbgAgACAAIAAgACAAIAAgACAAIAAgACAAIAAgACAAIAAgACAAIAAgACAAIAAgACAAIAAgAFwAIgBBAFAAUgAgAG8AcgAgAFAAZQByAGkAbwBkAFIAYQB0AGUAcwAgAG0AdQBzAHQAIABiAGUAIABvAG4AZQAgAHIAbwB3ACAAdwBpAHQAaAAgAHQAaABlACAAcwBhAG0AZQAgAG4AdQBtAGIAZQByACAAbwBmACAAcABlAHIAaQBvAGQAcwAgAGEAcwAgAEQAZQBiAHQAXAAiAH0ALABcAG4AIAAgACAAIAAvAC8AIAAgAEUAdgBlAHIAeQAgAEQAUwBDAFIAIABlAGwAZQBtAGUAbgB0ACAAZABpAHYAaQBkAGUAcwAgAGkAdABzACAAcABlAHIAaQBvAGQAJwBzACAAYwBhAHMAaAAgAGIAZQBsAG8AdwAsACAAcwBvACAAbwBuAGUAIAB6AGUAcgBvACAAcgBlAHQAdQByAG4AcwBcAG4AIAAgACAAIAAvAC8AIAAgACMARABJAFYALwAwACEAIABmAG8AcgAgAHQAaABlACAAdwBoAG8AbABlACAAcwBjAGgAZQBkAHUAbABlACAAcgBhAHQAaABlAHIAIAB0AGgAYQBuACAAdABoAGkAcwAgAG0AZQBzAHMAYQBnAGUALgBcAG4AIAAgACAAIAAgACAAIAAgAEUAcgByAG8AcgBzACwAIAAgACAAIAAgACAAIAAgACAAVgBTAFQAQQBDAEsAKAAgAE8AUgAoACAAUgBPAFcAUwAoACAARABlAGIAdAApACAAPAA+ACAAMQAsACAAQwBPAEwAVQBNAE4AUwAoACAARABlAGIAdAApACAAPAA9ACAAMQApACwAXABuACAAIAAgACAAIAAgACAAIAAgACAAIAAgACAAIAAgACAAIAAgACAAIAAgACAAIAAgACAAIAAgACAAIAAgACAAIABPAFIAKAAgAFIATwBXAFMAKAAgAEMARgBBAEQAUwApACAAPAA+ACAAMQAsACAAQwBPAEwAVQBNAE4AUwAoACAAQwBGAEEARABTACkAIAA8AD4AIABDAE8ATABVAE0ATgBTACgAIABEAGUAYgB0ACkAKQAsAFwAbgAgACAAIAAgACAAIAAgACAAIAAgACAAIAAgACAAIAAgACAAIAAgACAAIAAgACAAIAAgACAAIAAgACAAIAAgACAATwBSACgAIABSAE8AVwBTACgAIABEAFMAQwBSACkAIAA8AD4AIAAxACwAIABDAE8ATABVAE0ATgBTACgAIABEAFMAQwBSACkAIAA8AD4AIABDAE8ATABVAE0ATgBTACgAIABEAGUAYgB0ACkALABcAG4AIAAgACAAIAAgACAAIAAgACAAIAAgACAAIAAgACAAIAAgACAAIAAgACAAIAAgACAAIAAgACAAIAAgACAAIAAgACAAIAAgACAATgBPAFQAKAAgAEEATgBEACgAIABJAFMATgBVAE0AQgBFAFIAKAAgAEQAUwBDAFIAKQApACkALAAgAE8AUgAoACAARABTAEMAUgAgADwAPQAgADAAKQApACwAXABuACAAIAAgACAAIAAgACAAIAAgACAAIAAgACAAIAAgACAAIAAgACAAIAAgACAAIAAgACAAIAAgACAAIAAgACAAIABJAEYAKAAgAFUAcwBlAFIAYQB0AGUAcwAsAFwAbgAgACAAIAAgACAAIAAgACAAIAAgACAAIAAgACAAIAAgACAAIAAgACAAIAAgACAAIAAgACAAIAAgACAAIAAgACAAIAAgACAAIABPAFIAKAAgAFIATwBXAFMAKAAgAFAAZQByAGkAbwBkAFIAYQB0AGUAcwApACAAPAA+ACAAMQAsACAAQwBPAEwAVQBNAE4AUwAoACAAUABlAHIAaQBvAGQAUgBhAHQAZQBzACkAIAA8AD4AIABDAE8ATABVAE0ATgBTACgAIABEAGUAYgB0ACkAKQAsAFwAbgAgACAAIAAgACAAIAAgACAAIAAgACAAIAAgACAAIAAgACAAIAAgACAAIAAgACAAIAAgACAAIAAgACAAIAAgACAAIAAgACAAIABPAFIAKAAgAFIATwBXAFMAKAAgAEEAUABSACkAIAA8AD4AIAAxACwAIABDAE8ATABVAE0ATgBTACgAIABBAFAAUgApACAAPAA+ACAAQwBPAEwAVQBNAE4AUwAoACAARABlAGIAdAApACkAKQBcAG4AIAAgACAAIAAgACAAIAAgACAAIAAgACAAIAAgACAAIAAgACAAIAAgACAAIAAgACAAKQAsAFwAbgAgACAAIAAgACAAIAAgACAATQBlAHMAcwBhAGcAZQBzACwAIAAgACAAIAAgACAAIABGAEkATABUAEUAUgAoACAARQByAHIATQBzAGcAcwAsACAARQByAHIAbwByAHMALAAgAFwAIgBcACIAKQAsAFwAbgAgACAAIAAgAC8ALwAgACAAQwBoAGUAYwBrACAAaQBuAHAAdQB0AHMAIAAtACAAUwBlAHQAIABvAHAAdABpAG8AbgBhAGwAIABhAHIAZwB1AG0AZQBuAHQAcwAnACAAZABlAGYAYQB1AGwAdABzAFwAbgAgACAAIAAgACAAIAAgACAATwBwAGUAbgBpAG4AZwBCAGEAbABhAG4AYwBlACwAIABJAEYAKAAgAEkAUwBOAFUATQBCAEUAUgAoACAATwBwAGUAbgBpAG4AZwBCAGEAbABhAG4AYwBlACkALAAgAE8AcABlAG4AaQBuAGcAQgBhAGwAYQBuAGMAZQAsACAAMAApACwAXABuACAAIAAgACAAIAAgACAAIABNAG8AbgB0AGgAcwBQAGUAcgBQAGUAcgBpAG8AZAAsACAASQBGACgAIABJAFMATgBVAE0AQgBFAFIAKAAgAE0AbwBuAHQAaABzAFAAZQByAFAAZQByAGkAbwBkACkALAAgAE0AbwBuAHQAaABzAFAAZQByAFAAZQByAGkAbwBkACwAIAAxACkALABcAG4AIAAgACAAIAAvAC8AIAAgAFAAcgBvAGMAZQBkAHUAcgBlACAALQAgAHMAbwBsAHYAZQAgAHQAaABlACAAYwBsAG8AcwBpAG4AZwAgAGIAYQBsAGEAbgBjAGUAIABwAGUAcgBpAG8AZAAgAGIAeQAgAHAAZQByAGkAbwBkACwAIAB0AGgAZQBuACAAcgBlAGEAZAAgAHQAaABlACAAcgBvAHcAcwAgAG8AZgBmACAAaQB0AFwAbgAgACAAIAAgAC8ALwAgACAATgBlAGcAYQB0AGkAdgBlACAAQwBGAEEARABTACAAbQBlAGEAbgBzACAAbgBvACAAYwBhAHMAaAAgAGYAbwByACAAZABlAGIAdAAgAHMAZQByAHYAaQBjAGUALAAgAHMAbwAgAHQAaABlACAAcABhAHkAbQBlAG4AdAAgAGkAcwAgAGYAbABvAG8AcgBlAGQAIABhAHQAXABuACAAIAAgACAALwAvACAAIAB6AGUAcgBvAC4AIABXAGkAdABoAG8AdQB0ACAAdABoAGUAIABmAGwAbwBvAHIAIABpAHQAIAB3AGUAbgB0ACAAbgBlAGcAYQB0AGkAdgBlACwAIAB3AGgAaQBjAGgAIAByAGEAaQBzAGUAZAAgAHQAaABlACAAYwBsAG8AcwBpAG4AZwAgAGIAYQBsAGEAbgBjAGUAIABhAG4AZABcAG4AIAAgACAAIAAvAC8AIAAgAHIAZQBwAG8AcgB0AGUAZAAgAHQAaABlACAAbgBlAGcAYQB0AGUAZAAgAGEAbQBvAHUAbgB0ACAAYQBzACAAcABvAHMAaQB0AGkAdgBlACAAZABlAGIAdAAgAHMAZQByAHYAaQBjAGUALgAgAFQAaABlACAAcgBvAHcAcwAgAGIAZQBsAG8AdwAgAGYAbABvAG8AcgAgAHcAaQB0AGgAXABuACAAIAAgACAALwAvACAAIABJAEYAIAByAGEAdABoAGUAcgAgAHQAaABhAG4AIABNAEEAWAA6ACAATQBBAFgAIAB3AG8AdQBsAGQAIABhAGcAZwByAGUAZwBhAHQAZQAgAHQAaABlACAAdwBoAG8AbABlACAAcgBvAHcAIAB0AG8AIABvAG4AZQAgAG4AdQBtAGIAZQByAC4AIABUAGgAZQB5ACAAZgBsAG8AbwByAFwAbgAgACAAIAAgAC8ALwAgACAAdABoAGUAIABhAG0AbwB1AG4AdAAgAG8AdwBlAGQAIAB0AG8AbwAsACAAcwBvACAAYQAgAG4AZQBnAGEAdABpAHYAZQAgAG8AcABlAG4AaQBuAGcAIABiAGEAbABhAG4AYwBlACAAcgBlAHAAYQB5AHMAIABuAG8AdABoAGkAbgBnACAAaQBuACAAdABoAGUAIAByAG8AdwBzAFwAbgAgACAAIAAgAC8ALwAgACAAZQB4AGEAYwB0AGwAeQAgAGEAcwAgAGkAdAAgAGQAbwBlAHMAIABpAG4AIAB0AGgAZQAgAFMAQwBBAE4ALAAgAGEAbgBkACAAZQBhAGMAaAAgAGMAbABvAHMAaQBuAGcAIABiAGEAbABhAG4AYwBlACAAbwBwAGUAbgBzACAAdABoAGUAIABuAGUAeAB0ACAAcABlAHIAaQBvAGQALgBcAG4AIAAgACAAIAAgACAAIAAgAFAAZQByAGkAbwBkAHMALAAgACAAIAAgACAAIAAgACAAUwBFAFEAVQBFAE4AQwBFACgAIAAxACwAIABDAE8ATABVAE0ATgBTACgAIABEAGUAYgB0ACkAKQAsAFwAbgAgACAAIAAgAC8ALwAgACAAQQAgAHIAbwB3ACAAbwBmACAAcgBhAHQAZQBzACAAcABlAHIAIABwAGUAcgBpAG8AZAAsACAAZgByAG8AbQAgAGEAIABkAGEAeQAgAGMAbwB1AG4AdAAgAGMAbwBuAHYAZQBuAHQAaQBvAG4ALAAgAHIAZQBwAGwAYQBjAGUAcwAgAHQAaABlACAAZgBsAGEAdAAgAHQAdwBlAGwAZgB0AGgAIABvAGYAIABBAFAAUgBcAG4AIAAgACAAIAAgACAAIAAgAFIAYQB0AGUAcwAsACAAIAAgACAAIAAgACAAIAAgACAASQBGACgAIABVAHMAZQBSAGEAdABlAHMALABcAG4AIAAgACAAIAAgACAAIAAgACAAIAAgACAAIAAgACAAIAAgACAAIAAgACAAIAAgACAAIAAgACAAIABJAE4ARABFAFgAKAAgAFAAZQByAGkAbwBkAFIAYQB0AGUAcwAsACAAMQAsACAAUABlAHIAaQBvAGQAcwApACwAXABuACAAIAAgACAAIAAgACAAIAAgACAAIAAgACAAIAAgACAAIAAgACAAIAAgACAAIAAgACAAIAAgACAASQBOAEQARQBYACgAIABBAFAAUgAsACAAMQAsACAAUABlAHIAaQBvAGQAcwApACAALwAgADEAMgAgACoAIABNAG8AbgB0AGgAcwBQAGUAcgBQAGUAcgBpAG8AZABcAG4AIAAgACAAIAAgACAAIAAgACAAIAAgACAAIAAgACAAIAAgACAAIAAgACAAIAAgACAAKQAsAFwAbgAgACAAIAAgACAAIAAgACAATgBlAHcARABlAGIAdAAsACAAIAAgACAAIAAgACAAIABJAE4ARABFAFgAKAAgAEQAZQBiAHQALAAgADEALAAgAFAAZQByAGkAbwBkAHMAKQAsAFwAbgAgACAAIAAgACAAIAAgACAAQwBhAHMAaAAsACAAIAAgACAAIAAgACAAIAAgACAAIABJAE4ARABFAFgAKAAgAEMARgBBAEQAUwAsACAAMQAsACAAUABlAHIAaQBvAGQAcwApACwAXABuACAAIAAgACAAIAAgACAAIABDAG8AdgBlAHIALAAgACAAIAAgACAAIAAgACAAIAAgAEkATgBEAEUAWAAoACAARABTAEMAUgAsACAAMQAsACAAUABlAHIAaQBvAGQAcwApACwAXABuACAAIAAgACAAIAAgACAAIABDAGwAbwBzAGkAbgBnAHMALAAgACAAIAAgACAAIAAgAFMAQwBBAE4AKAAgAE8AcABlAG4AaQBuAGcAQgBhAGwAYQBuAGMAZQAsACAAUABlAHIAaQBvAGQAcwAsAFwAbgAgACAAIAAgACAAIAAgACAAIAAgACAAIAAgACAAIAAgACAAIAAgACAAIAAgACAAIAAgACAAIAAgAEwAQQBNAEIARABBACgAIABDAGEAcgByAGkAZQBkACwAIABQAGUAcgBpAG8AZAAsAFwAbgAgACAAIAAgACAAIAAgACAAIAAgACAAIAAgACAAIAAgACAAIAAgACAAIAAgACAAIAAgACAAIAAgACAAIAAgACAATABFAFQAKABPAHAAZQBuAGkAbgBnACwAIAAgACAAIABDAGEAcgByAGkAZQBkACAAKwAgAEkATgBEAEUAWAAoACAATgBlAHcARABlAGIAdAAsACAAMQAsACAAUABlAHIAaQBvAGQAKQAsAFwAbgAgACAAIAAgACAAIAAgACAAIAAgACAAIAAgACAAIAAgACAAIAAgACAAIAAgACAAIAAgACAAIAAgACAAIAAgACAAIAAgACAAIABJAG4AdABlAHIAZQBzAHQALAAgACAAIABPAHAAZQBuAGkAbgBnACAAKgAgAEkATgBEAEUAWAAoACAAUgBhAHQAZQBzACwAIAAxACwAIABQAGUAcgBpAG8AZAApACwAXABuACAAIAAgACAAIAAgACAAIAAgACAAIAAgACAAIAAgACAAIAAgACAAIAAgACAAIAAgACAAIAAgACAAIAAgACAAIAAgACAAIAAgAFAAYQB5AG0AZQBuAHQALAAgACAAIAAgAE0AQQBYACgAIAAwACwAIABNAEkATgAoACAASQBOAEQARQBYACgAIABDAGEAcwBoACwAIAAxACwAIABQAGUAcgBpAG8AZAApACAALwAgAEkATgBEAEUAWAAoACAAQwBvAHYAZQByACwAIAAxACwAIABQAGUAcgBpAG8AZAApACwAIABPAHAAZQBuAGkAbgBnACAAKwAgAEkAbgB0AGUAcgBlAHMAdAApACkALABcAG4AIAAgACAAIAAgACAAIAAgACAAIAAgACAAIAAgACAAIAAgACAAIAAgACAAIAAgACAAIAAgACAAIAAgACAAIAAgACAAIAAgACAATwBwAGUAbgBpAG4AZwAgACsAIABJAG4AdABlAHIAZQBzAHQAIAAtACAAUABhAHkAbQBlAG4AdABcAG4AIAAgACAAIAAgACAAIAAgACAAIAAgACAAIAAgACAAIAAgACAAIAAgACAAIAAgACAAIAAgACAAIAAgACAAIAAgACkAXABuACAAIAAgACAAIAAgACAAIAAgACAAIAAgACAAIAAgACAAIAAgACAAIAAgACAAIAAgACAAIAAgACAAKQBcAG4AIAAgACAAIAAgACAAIAAgACAAIAAgACAAIAAgACAAIAAgACAAIAAgACAAIAAgACAAKQAsAFwAbgAgACAAIAAgACAAIAAgACAAQwBhAHIAcgBpAGUAZAAsACAAIAAgACAAIAAgACAAIABJAEYAKAAgAEMATwBMAFUATQBOAFMAKAAgAEQAZQBiAHQAKQAgAD0AIAAxACwAIABPAHAAZQBuAGkAbgBnAEIAYQBsAGEAbgBjAGUALAAgAEgAUwBUAEEAQwBLACgAIABPAHAAZQBuAGkAbgBnAEIAYQBsAGEAbgBjAGUALAAgAEQAUgBPAFAAKAAgAEMAbABvAHMAaQBuAGcAcwAsACAALAAgAC0AMQApACkAKQAsAFwAbgAgACAAIAAgACAAIAAgACAATwBwAGUAbgBpAG4AZwAsACAAIAAgACAAIAAgACAAIABDAGEAcgByAGkAZQBkACAAKwAgAE4AZQB3AEQAZQBiAHQALABcAG4AIAAgACAAIAAgACAAIAAgAEkAbgB0AGUAcgBlAHMAdAAsACAAIAAgACAAIAAgACAATwBwAGUAbgBpAG4AZwAgACoAIABSAGEAdABlAHMALABcAG4AIAAgACAAIAAgACAAIAAgAFMAZQByAHYAaQBjAGUALAAgACAAIAAgACAAIAAgACAASQBGACgAIABDAGEAcwBoACAALwAgAEMAbwB2AGUAcgAgADwAIAAwACwAIAAwACwAIABDAGEAcwBoACAALwAgAEMAbwB2AGUAcgApACwAXABuACAAIAAgACAAIAAgACAAIABQAGEAeQBtAGUAbgB0ACwAIAAgACAAIAAgACAAIAAgAEkARgAoACAATwBwAGUAbgBpAG4AZwAgACsAIABJAG4AdABlAHIAZQBzAHQAIAA8ACAAMAAsACAAMAAsACAASQBGACgAIABTAGUAcgB2AGkAYwBlACAAPAAgAE8AcABlAG4AaQBuAGcAIAArACAASQBuAHQAZQByAGUAcwB0ACwAIABTAGUAcgB2AGkAYwBlACwAIABPAHAAZQBuAGkAbgBnACAAKwAgAEkAbgB0AGUAcgBlAHMAdAApACkALABcAG4AIAAgACAAIAAgACAAIAAgAEMAbABvAHMAaQBuAGcALAAgACAAIAAgACAAIAAgACAATwBwAGUAbgBpAG4AZwAgACsAIABJAG4AdABlAHIAZQBzAHQAIAAtACAAUABhAHkAbQBlAG4AdAAsAFwAbgAgACAAIAAgACAAIAAgACAAUgBlAHMAdQBsAHQALAAgACAAIAAgACAAIAAgACAAIABWAFMAVABBAEMASwAoACAATwBwAGUAbgBpAG4AZwAsACAASQBuAHQAZQByAGUAcwB0ACwAIAAtAFAAYQB5AG0AZQBuAHQALAAgAEMAbABvAHMAaQBuAGcAKQAsAFwAbgAgACAAIAAgAC8ALwAgACAAUgBlAHQAdQByAG4AIABSAGUAcwB1AGwAdAAsACAASABlAGwAcAAgAG8AcgAgAHQAaABlACAAbQBlAHMAcwBhAGcAZQBzAFwAbgAgACAAIAAgACAAIAAgACAAUgBlAHQAdQByAG4ALAAgACAAIAAgACAAIAAgACAAIABJAEYAKAAgAEgAZQBsAHAAPwAsACAAMgAsACAASQBGACgAIABPAFIAKAAgAEUAcgByAG8AcgBzACkALAAgADMALAAgADEAKQApACwAXABuACAAIAAgACAAIAAgACAAIABDAEgATwBPAFMARQAoACAAUgBlAHQAdQByAG4ALAAgAFIAZQBzAHUAbAB0ACwAIABIAGUAbABwACwAIABNAGUAcwBzAGEAZwBlAHMAKQBcAG4AIAAgACAAIAApAFwAbgApADsAXABuAFwAbgBcAG4AXABuAC8AKgAgACAARgBVAE4AQwBUAEkATwBOACAATgBBAE0ARQA6ACAAIABJAG4AdABlAHIAZQBzAHQATABSAFYAuwNcAG4AIAAgACAAIABEAEUAUwBDAFIASQBQAFQASQBPAE4AOgAqAC8ALwAqACoAQwBhAGwAYwB1AGwAYQB0AGUAcwAgAGQAZQBiAHQAIABzAGMAdQBsAHAAdABpAG4AZwAgAGkAbgB0AGUAcgBlAHMAdAAgAG8AbgAgAHQAaABlACAAYQB2AGUAcgBhAGcAZQAgAGIAYQBsAGEAbgBjAGUAIABvAHYAZQByACAAdABoAGUAIABwAGUAcgBpAG8AZAAsACAAdABoAGUAIABtAGUAdABoAG8AZAAgAHAAcgBlAHMAZQBuAHQAZQBkACAAYgB5ACAATABhAG4AYwBlACAAUgB1AGIAaQBuACoALwBcAG4ASQBuAHQAZQByAGUAcwB0AEwAUgBWALsDIAA9ACAATABBAE0AQgBEAEEAKABcAG4ALwAvACAAIABQAGEAcgBhAG0AZQB0AGUAcgAgAEQAZQBjAGwAYQByAGEAdABpAG8AbgBzAFwAbgAgACAAIAAgAFsAQwBGAEEARABTAF0ALABcAG4AIAAgACAAIABbAEQAUwBDAFIAXQAsAFwAbgAgACAAIAAgAFsAUAByAGkAbgBjAGkAcABhAGwAXQAsAFwAbgAgACAAIAAgAFsASQBuAHQAZQByAGUAcwB0AFIAYQB0AGUAXQAsAFwAbgAvAC8AIAAgAEgAZQBsAHAAXABuACAAIAAgACAATABFAFQAKABIAGUAbABwACwAIAAgACAAIAAgACAAIABUAFIASQBNACgAVABFAFgAVABTAFAATABJAFQAKABcAG4AIAAgACAAIAAgACAAIAAgACAAIAAgACAAIAAgACAAIAAgACAAIAAgACAAIAAgACAAXAAiAEYAVQBOAEMAVABJAE8ATgA6ACAAIAAgACAAIAAgAJIhSQBuAHQAZQByAGUAcwB0AEwAUgBWALsDKABDAEYAQQBEAFMALAAgAEQAUwBDAFIALAAgAFAAcgBpAG4AYwBpAHAAYQBsACwAIABJAG4AdABlAHIAZQBzAHQAUgBhAHQAZQApALYAXAAiACAAJgBcAG4AIAAgACAAIAAgACAAIAAgACAAIAAgACAAIAAgACAAIAAgACAAIAAgACAAIAAgACAAXAAiAEQARQBTAEMAUgBJAFAAVABJAE8ATgA6ACAAIAAgAJIhQwBhAGwAYwB1AGwAYQB0AGUAcwAgAGQAZQBiAHQAIABzAGMAdQBsAHAAdABpAG4AZwAgAGkAbgB0AGUAcgBlAHMAdAAgAHUAcwBpAG4AZwAgAHQAaABlACAAbQBlAHQAaABvAGQAIABwAHIAZQBzAGUAbgB0AGUAZAAgAGIAeQAgAEwAYQBuAGMAZQAgAFIAdQBiAGkAbgAuALYAXAAiACAAJgBcAG4AIAAgACAAIAAgACAAIAAgACAAIAAgACAAIAAgACAAIAAgACAAIAAgACAAIAAgACAAIAAgACAAIAAgACAAIAAgACAAIAAgACAAIAAgACAAXAAiAJIhSQBuAHQAZQByAGUAcwB0ACAAaQBzACAAYwBoAGEAcgBnAGUAZAAgAG8AbgAgAHQAaABlACAAYQB2AGUAcgBhAGcAZQAgAGIAYQBsAGEAbgBjAGUAIABvAHYAZQByACAAdABoAGUAIABwAGUAcgBpAG8AZAAsACAAdwBpAHQAaAAgAHQAaABlALYAXAAiACAAJgBcAG4AIAAgACAAIAAgACAAIAAgACAAIAAgACAAIAAgACAAIAAgACAAIAAgACAAIAAgACAAIAAgACAAIAAgACAAIAAgACAAIAAgACAAIAAgACAAXAAiAJIhcAByAGkAbgBjAGkAcABhAGwAIAByAGUAcABhAGkAZAAgAGMAYQBwAHAAZQBkACAAYQB0ACAAdABoAGUAIABwAHIAaQBuAGMAaQBwAGEAbAAgAG8AdQB0AHMAdABhAG4AZABpAG4AZwAuACAAVABoAGUAIABhAHYAZQByAGEAZwBlACAAYgBhAGwAYQBuAGMAZQC2AFwAIgAgACYAXABuACAAIAAgACAAIAAgACAAIAAgACAAIAAgACAAIAAgACAAIAAgACAAIAAgACAAIAAgACAAIAAgACAAIAAgACAAIAAgACAAIAAgACAAIAAgAFwAIgCSIWQAZQBwAGUAbgBkAHMAIABvAG4AIAB0AGgAZQAgAGkAbgB0AGUAcgBlAHMAdAAgAGEAbgBkACAAdABoAGUAIABpAG4AdABlAHIAZQBzAHQAIABvAG4AIAB0AGgAZQAgAGEAdgBlAHIAYQBnAGUAIABiAGEAbABhAG4AYwBlACwAIAB3AGgAaQBjAGgAtgBcACIAIAAmAFwAbgAgACAAIAAgACAAIAAgACAAIAAgACAAIAAgACAAIAAgACAAIAAgACAAIAAgACAAIAAgACAAIAAgACAAIAAgACAAIAAgACAAIAAgACAAIABcACIAkiFpAHMAIABzAG8AbAB2AGUAZAAgAGkAbgAgAGMAbABvAHMAZQBkACAAZgBvAHIAbQAgAHIAYQB0AGgAZQByACAAdABoAGEAbgAgAGIAeQAgAGkAdABlAHIAYQB0AGkAbwBuAC4AtgBcACIAIAAmAFwAbgAgACAAIAAgACAAIAAgACAAIAAgACAAIAAgACAAIAAgACAAIAAgACAAIAAgACAAIABcACIAVwBFAEIAUABBAEcARQA6ACAAIAAgACAAIAAgACAAkiFoAHQAdABwAHMAOgAvAC8AZwBpAHQAaAB1AGIALgBjAG8AbQAvAHIAeQBhAG4AZAB1AGcAdQBpAGQALwBPAHoAegBpAHQAtgBcACIAIAAmAFwAbgAgACAAIAAgACAAIAAgACAAIAAgACAAIAAgACAAIAAgACAAIAAgACAAIAAgACAAIABcACIAVgBFAFIAUwBJAE8ATgA6ACAAIAAgACAAIAAgACAAkiEyADAAIABBAHUAZwAgADIAMAAyADYAtgBcACIAIAAmAFwAbgAgACAAIAAgACAAIAAgACAAIAAgACAAIAAgACAAIAAgACAAIAAgACAAIAAgACAAIABcACIAUABBAFIAQQBNAEUAVABFAFIAUwA6ACAAIAAgACAAkiG2AFwAIgAgACYAXABuACAAIAAgACAAIAAgACAAIAAgACAAIAAgACAAIAAgACAAIAAgACAAIAAgACAAIAAgAFwAIgBDAEYAQQBEAFMAIAAgACAAIAAgACAAIAAgACAAIACSISgAUgBlAHEAdQBpAHIAZQBkACkAIABDAGEAcwBoACAARgBsAG8AdwAgAEEAdgBhAGkAbABhAGIAbABlACAAZgBvAHIAIABEAGUAYgB0ACAAUwBlAHIAdgBpAGMAZQAgAGYAbwByACAAdABoAGkAcwAgAHAAZQByAGkAbwBkALYAXAAiACAAJgBcAG4AIAAgACAAIAAgACAAIAAgACAAIAAgACAAIAAgACAAIAAgACAAIAAgACAAIAAgACAAXAAiAEQAUwBDAFIAIAAgACAAIAAgACAAIAAgACAAIAAgAJIhKABSAGUAcQB1AGkAcgBlAGQAKQAgAEQAZQBiAHQAIABTAGUAcgB2AGkAYwBlACAAQwBvAHYAZQByAGEAZwBlACAAUgBhAHQAaQBvACAAZgBvAHIAIAB0AGgAaQBzACAAcABlAHIAaQBvAGQAtgBcACIAIAAmAFwAbgAgACAAIAAgACAAIAAgACAAIAAgACAAIAAgACAAIAAgACAAIAAgACAAIAAgACAAIABcACIAUAByAGkAbgBjAGkAcABhAGwAIAAgACAAIAAgACAAkiEoAFIAZQBxAHUAaQByAGUAZAApACAAUAByAGkAbgBjAGkAcABhAGwAIABiAGEAbABhAG4AYwBlACAAZgBvAHIAIAB0AGgAaQBzACAAcABlAHIAaQBvAGQAtgBcACIAIAAmAFwAbgAgACAAIAAgACAAIAAgACAAIAAgACAAIAAgACAAIAAgACAAIAAgACAAIAAgACAAIABcACIASQBuAHQAZQByAGUAcwB0AFIAYQB0AGUAIAAgACAAkiEoAFIAZQBxAHUAaQByAGUAZAApACAASQBuAHQAZQByAGUAcwB0ACAAcgBhAHQAZQAgAGYAbwByACAAdABoAGkAcwAgAHAAZQByAGkAbwBkACAAKABlAGcALgAgAEEAUABSAC8ARABhAHkAcwAgAGkAbgAgAHQAaABpAHMAIAB5AGUAYQByACAAKgAgAEQAYQB5AHMAIABpAG4AIAB0AGgAaQBzACAAcABlAHIAaQBvAGQAKQC2AFwAIgAgACYAXABuACAAIAAgACAAIAAgACAAIAAgACAAIAAgACAAIAAgACAAIAAgACAAIAAgACAAIAAgAFwAIgBFAFgAQQBNAFAATABFAFMAOgAgACAAIAAgACAAIACSIbYAXAAiACAAJgBcAG4AIAAgACAAIAAgACAAIAAgACAAIAAgACAAIAAgACAAIAAgACAAIAAgACAAIAAgACAAXAAiAFIAZQBzAHUAbAB0ACAAIAAgACAAIAAgACAAIAAgAJIhRgBvAHIAbQB1AGwAYQAgACgAbwB6ACAAaQBzACAAYQBzAHMAdQBtAGUAZAAgAHQAbwAgAGIAZQAgAHQAaABlACAAbQBvAGQAdQBsAGUAJwBzACAAbgBhAG0AZQApALYAXAAiACAAJgBcAG4AIAAgACAAIAAgACAAIAAgACAAIAAgACAAIAAgACAAIAAgACAAIAAgACAAIAAgACAAXAAiADIAMgAyAC4AOQAwACAAIAAgACAAIAAgACAAIAAgAJIhPQBvAHoALgBJAG4AdABlAHIAZQBzAHQATABSAFYAuwMoACAANgA2ADYANgAuADMANwAsACAAMwAuADUAMAAsACAAOQAwADAAMAAwACwAIAAzACUALwAxADIAKQBcACIALABcAG4AIAAgACAAIAAgACAAIAAgACAAIAAgACAAIAAgACAAIAAgACAAIAAgACAAIAAgACAAXAAiAJIhXAAiACwAIABcACIAtgBcACIAXABuACAAIAAgACAAIAAgACAAIAAgACAAIAAgACAAIAAgACAAIAAgACAAIAAgACAAIA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RgBBAEQAUwApACwAXABuACAAIAAgACAAIAAgACAAIAAgACAAIAAgACAAIAAgACAAIAAgACAAIAAgACAAIAAgACAAIAAgACAASQBTAE8ATQBJAFQAVABFAEQAKAAgAEQAUwBDAFIAKQAsAFwAbgAgACAAIAAgACAAIAAgACAAIAAgACAAIAAgACAAIAAgACAAIAAgACAAIAAgACAAIAAgACAAIAAgAEkAUwBPAE0ASQBUAFQARQBEACgAIABQAHIAaQBuAGMAaQBwAGEAbAApACwAXABuACAAIAAgACAAIAAgACAAIAAgACAAIAAgACAAIAAgACAAIAAgACAAIAAgACAAIAAgACAAIAAgACAASQBTAE8ATQBJAFQAVABFAEQAKAAgAEkAbgB0AGUAcgBlAHMAdABSAGEAdABlACkAXABuACAAIAAgACAAIAAgACAAIAAgACAAIAAgACAAIAAgACAAIAAgACAAIAAgACAAIAAgACkALABcAG4AIAAgACAAIAAvAC8AIAAgAEMAaABlAGMAawAgAGkAbgBwAHUAdABzACAALQAgAEUAcgByAG8AcgBzACAAaQBuACAAYQByAGcAdQBtAGUAbgB0ACAAdgBhAGwAdQBlAHMAXABuACAAIAAgACAAIAAgACAAIABFAHIAcgBNAHMAZwBzACwAIAAgACAAIAAgACAAIAAgAHsAXAAiAEMARgBBAEQAUwAgAG0AdQBzAHQAIABiAGUAIABhACAAcwBpAG4AZwBsAGUAIABuAHUAbQBiAGUAcgAgAGgAbwBsAGQAaQBuAGcAIABjAGEAcwBoACAAYQB2AGEAaQBsAGEAYgBsAGUAIABmAG8AcgAgAGQAZQBiAHQAIABzAGUAcgB2AGkAYwBlACAAZgBvAHIAIAB0AGgAaQBzACAAcABlAHIAaQBvAGQAXAAiADsAXABuACAAIAAgACAAIAAgACAAIAAgACAAIAAgACAAIAAgACAAIAAgACAAIAAgACAAIAAgACAAXAAiAEQAUwBDAFIAIABtAHUAcwB0ACAAYgBlACAAYQAgAHMAaQBuAGcAbABlACAAcABvAHMAaQB0AGkAdgBlACAAbgB1AG0AYgBlAHIAIABoAG8AbABkAGkAbgBnACAAZABlAGIAdAAgAHMAZQByAHYAaQBjAGUAIABjAG8AdgBlAHIAYQBnAGUAIAByAGEAdABpAG8AIABmAG8AcgAgAHQAaABpAHMAIABwAGUAcgBpAG8AZABcACIAOwBcAG4AIAAgACAAIAAgACAAIAAgACAAIAAgACAAIAAgACAAIAAgACAAIAAgACAAIAAgACAAIABcACIAUAByAGkAbgBjAGkAcABhAGwAIABtAHUAcwB0ACAAYgBlACAAYQAgAHMAaQBuAGcAbABlACAAbgB1AG0AYgBlAHIAIABoAG8AbABkAGkAbgBnACAAdABoAGkAcwAgAHAAZQByAGkAbwBkACcAcwAgAG8AcABlAG4AaQBuAGcAIABkAGUAYgB0ACAAYgBhAGwAYQBuAGMAZQBcACIAOwBcAG4AIAAgACAAIAAgACAAIAAgACAAIAAgACAAIAAgACAAIAAgACAAIAAgACAAIAAgACAAIABcACIASQBuAHQAZQByAGUAcwB0AFIAYQB0AGUAIABtAHUAcwB0ACAAYgBlACAAYQAgAHMAaQBuAGcAbABlACAAbgB1AG0AYgBlAHIAIABoAG8AbABkAGkAbgBnACAAdABoAGkAcwAgAHAAZQByAGkAbwBkACcAcwAgAGkAbgB0AGUAcgBlAHMAdAAgAHIAYQB0AGUAIAAoAEEAUABSAC8ARABhAHkAcwAgAGkAbgAgAHQAaABpAHMAIAB5AGUAYQByACAAKgAgAEQAYQB5AHMAIABpAG4AIAB0AGgAaQBzACAAcABlAHIAaQBvAGQAKQBcACIAfQAsAFwAbgAgACAAIAAgACAAIAAgACAARQByAHIAbwByAHMALAAgACAAIAAgACAAIAAgACAAIABWAFMAVABBAEMASwAoACAATgBPAFQAKAAgAEEATgBEACgAIABJAFMATgBVAE0AQgBFAFIAKAAgAEMARgBBAEQAUwApACwAIABDAE8ATABVAE0ATgBTACgAIABDAEYAQQBEAFMAKQAgAD0AIAAxACkAKQAsAFwAbgAgACAAIAAgACAAIAAgACAAIAAgACAAIAAgACAAIAAgACAAIAAgACAAIAAgACAAIAAgACAAIAAgACAAIAAgACAATgBPAFQAKAAgAEEATgBEACgAIABJAFMATgBVAE0AQgBFAFIAKAAgAEQAUwBDAFIAKQAsACAAQwBPAEwAVQBNAE4AUwAoACAARABTAEMAUgApACAAPQAgADEALAAgAEQAUwBDAFIAIAA+ACAAMAApACkALABcAG4AIAAgACAAIAAgACAAIAAgACAAIAAgACAAIAAgACAAIAAgACAAIAAgACAAIAAgACAAIAAgACAAIAAgACAAIAAgAE4ATwBUACgAIABBAE4ARAAoACAASQBTAE4AVQBNAEIARQBSACgAIABQAHIAaQBuAGMAaQBwAGEAbAApACwAIABDAE8ATABVAE0ATgBTACgAIABQAHIAaQBuAGMAaQBwAGEAbAApACAAPQAgADEAKQApACwAXABuACAAIAAgACAAIAAgACAAIAAgACAAIAAgACAAIAAgACAAIAAgACAAIAAgACAAIAAgACAAIAAgACAAIAAgACAAIABOAE8AVAAoACAAQQBOAEQAKAAgAEkAUwBOAFUATQBCAEUAUgAoACAASQBuAHQAZQByAGUAcwB0AFIAYQB0AGUAKQAsACAAQwBPAEwAVQBNAE4AUwAoACAASQBuAHQAZQByAGUAcwB0AFIAYQB0AGUAKQAgAD0AIAAxACkAKQBcAG4AIAAgACAAIAAgACAAIAAgACAAIAAgACAAIAAgACAAIAAgACAAIAAgACAAIAAgACAAKQAsAFwAbgAgACAAIAAgACAAIAAgACAATQBlAHMAcwBhAGcAZQBzACwAIAAgACAAIAAgACAAIABGAEkATABUAEUAUgAoACAARQByAHIATQBzAGcAcwAsACAARQByAHIAbwByAHMALAAgAFwAIgBcACIAKQAsAFwAbgAgACAAIAAgAC8ALwAgACAAUAByAG8AYwBlAGQAdQByAGUAIAAtACAAdABoAGUAIABmAGkAeABlAGQAIABwAG8AaQBuAHQAIABvAGYAIABJAG4AdABlAHIAZQBzAHQAIAA9ACAAKABQAHIAaQBuAGMAaQBwAGEAbAAgAC0AIABQAGEAeQBtAGUAbgB0ACAALwAgADIAKQAgACoAIABSAGEAdABlACAAdwBpAHQAaABcAG4AIAAgACAAIAAvAC8AIAAgAFAAYQB5AG0AZQBuAHQAIAA9ACAATQBJAE4AKAAgAEQAZQBiAHQAUwBlAHIAdgBpAGMAZQAgAC0AIABJAG4AdABlAHIAZQBzAHQALAAgAFAAcgBpAG4AYwBpAHAAYQBsACkALAAgAHMAbwBsAHYAZQBkACAAaQBuACAAYwBsAG8AcwBlAGQAIABmAG8AcgBtAC4AIABXAGgAZQByAGUAIAB0AGgAZQBcAG4AIAAgACAAIAAvAC8AIAAgAGMAYQBzAGgAIAB3AG8AdQBsAGQAIAByAGUAcABhAHkAIABtAG8AcgBlACAAdABoAGEAbgAgAHQAaABlACAAcAByAGkAbgBjAGkAcABhAGwALAAgAHQAaABlACAAcABhAHkAbQBlAG4AdAAgAGkAcwAgAHQAaABlACAAcAByAGkAbgBjAGkAcABhAGwAIABhAG4AZAAgAGgAYQBsAGYAIABhAFwAbgAgACAAIAAgAC8ALwAgACAAcABlAHIAaQBvAGQAJwBzACAAaQBuAHQAZQByAGUAcwB0ACAAaQBzACAAYwBoAGEAcgBnAGUAZAAgAG8AbgAgAGkAdAAuAFwAbgAgACAAIAAgACAAIAAgACAARABlAGIAdABTAGUAcgB2AGkAYwBlACwAIAAgACAAIABDAEYAQQBEAFMAIAAvACAARABTAEMAUgAsAFwAbgAgACAAIAAgACAAIAAgACAAQwBhAHAAcABlAGQAPwAsACAAIAAgACAAIAAgACAAIABEAGUAYgB0AFMAZQByAHYAaQBjAGUAIAA+AD0AIABQAHIAaQBuAGMAaQBwAGEAbAAgACoAIAAoACAAMQAgACsAIABJAG4AdABlAHIAZQBzAHQAUgBhAHQAZQAgAC8AIAAyACkALABcAG4AIAAgACAAIAAgACAAIAAgAEkAbgB0AGUAcgBlAHMAdAAsACAAIAAgACAAIAAgACAASQBGACgAIABDAGEAcABwAGUAZAA/ACwAXABuACAAIAAgACAAIAAgACAAIAAgACAAIAAgACAAIAAgACAAIAAgACAAIAAgACAAIAAgACAAIAAgACAAUAByAGkAbgBjAGkAcABhAGwAIAAqACAASQBuAHQAZQByAGUAcwB0AFIAYQB0AGUAIAAvACAAMgAsAFwAbgAgACAAIAAgACAAIAAgACAAIAAgACAAIAAgACAAIAAgACAAIAAgACAAIAAgACAAIAAgACAAIAAgAEkAbgB0AGUAcgBlAHMAdABSAGEAdABlACAAKgAgACgAIAAyACAAKgAgAFAAcgBpAG4AYwBpAHAAYQBsACAALQAgAEQAZQBiAHQAUwBlAHIAdgBpAGMAZQApACAALwAgACgAIAAyACAALQAgAEkAbgB0AGUAcgBlAHMAdABSAGEAdABlACkAXABuACAAIAAgACAAIAAgACAAIAAgACAAIAAgACAAIAAgACAAIAAgACAAIAAgACAAIAAgACkALABcAG4AIAAgACAAIAAgACAAIAAgAFIAZQBzAHUAbAB0ACwAIAAgACAAIAAgACAAIAAgACAATQBBAFgAKAAgAEkAbgB0AGUAcgBlAHMAdAAsACAAMAApACwAXABuACAAIAAgACAALwAvACAAIABSAGUAdAB1AHIAbgAgAFIAZQBzAHUAbAB0ACwAIABIAGUAbABwACAAbwByACAAdABoAGUAIABtAGUAcwBzAGEAZwBlAHMAXABuACAAIAAgACAAIAAgACAAIABSAGUAdAB1AHIAbgAsACAAIAAgACAAIAAgACAAIAAgAEkARgAoACAASABlAGwAcAA/ACwAIAAyACwAIABJAEYAKAAgAE8AUgAoACAARQByAHIAbwByAHMAKQAsACAAMwAsACAAMQApACkALABcAG4AIAAgACAAIAAgACAAIAAgAEMASABPAE8AUwBFACgAIABSAGUAdAB1AHIAbgAsACAAUgBlAHMAdQBsAHQALAAgAEgAZQBsAHAALAAgAE0AZQBzAHMAYQBnAGUAcwApAFwAbgAgACAAIAAgACkAXABuACkAOwBcAG4AIgB9AF0ALAAiAHAAcgBvAGoAZQBjAHQATgBhAG0AZQBzACIAOgBbACIAbwB6AC4AQQBiAG8AdQB0AEQAYQB0AGUAcwC7AyIALAAiAG8AegAuAEMAbwB1AG4AdABEAE8AVwC7AyIALAAiAG8AegAuAEkAcwBCAGUAdAB3AGUAZQBuALsDIgAsACIAbwB6AC4ASQBzAE8AYwBjAHUAcgByAGUAbgBjAGUARABhAHQAZQC7AyIALAAiAG8AegAuAE8AdgBlAHIATABhAHAARABhAHkAcwC7AyIALAAiAG8AegAuAFAAZQByAGkAbwBkAEwAYQBiAGUAbAC7AyIALAAiAG8AegAuAFAAZQByAGkAbwBkAHMAuwMiACwAIgBvAHoALgBTAGMAaABlAGQAdQBsAGUAUgBhAHQAZQBzALsDIgAsACIAbwB6AC4AUwBjAGgAZQBkAHUAbABlAFIAYQB0AGUAcwBCAHkASQB0AGUAbQBzALsDIgAsACIAbwB6AC4AUwBjAGgAZQBkAHUAbABlAFYAYQBsAHUAZQBzALsDIgAsACIAbwB6AC4AUwBjAGgAZQBkAHUAbABlAFYAYQBsAHUAZQBzAEIAeQBJAHQAZQBtAHMAuwMiACwAIgBvAHoALgBUAGkAbQBlAGwAaQBuAGUAuwMiACwAIgBvAHoALgBBAGIAbwB1AHQARQBzAHMAZQBuAHQAaQBhAGwAcwC7AyIALAAiAG8AegAuAEMAbwB1AG4AdABDALsDIgAsACIAbwB6AC4AUwB1AG0AUgBvAHcAcwC7AyIALAAiAG8AegAuAFMAdQBtAEMAbwBsAHMAuwMiACwAIgBvAHoALgBBAHYAZwBSAG8AdwBzALsDIgAsACIAbwB6AC4AQQB2AGcAQwBvAGwAcwC7AyIALAAiAG8AegAuAE0AaQBuAFIAbwB3AHMAuwMiACwAIgBvAHoALgBNAGkAbgBDAG8AbABzALsDIgAsACIAbwB6AC4ATQBhAHgAUgBvAHcAcwC7AyIALAAiAG8AegAuAE0AYQB4AEMAbwBsAHMAuwMiACwAIgBvAHoALgBDAG8AdQBuAHQAQQBSAG8AdwBzALsDIgAsACIAbwB6AC4AQwBvAHUAbgB0AEEAQwBvAGwAcwC7AyIALAAiAG8AegAuAEMAbwB1AG4AdABSAG8AdwBzALsDIgAsACIAbwB6AC4AQwBvAHUAbgB0AEMAbwBsAHMAuwMiACwAIgBvAHoALgBJAHMAQgBlAHQAdwBlAGUAbgBFALsDIgAsACIAbwB6AC4ASQBzAEkAbgBMAGkAcwB0ALsDIgAsACIAbwB6AC4AUgBhAG4AZwBlAFQAbwBEAEEARQC7AyIALAAiAG8AegAuAEEAYgBvAHUAdABGAGkAbgBhAG4AYwBpAGEAbAC7AyIALAAiAG8AegAuAEMAbwByAGsAcwBjAHIAZQB3ALsDIgAsACIAbwB6AC4AQwBvAHIAawBTAGMAcgBlAHcAUgBlAHYAZQByAHMAYQBsALsDIgAsACIAbwB6AC4ASQBuAHQATwBuAEkAbgB0ALsDIgAsACIAbwB6AC4ASQBSAFIAuwMiACwAIgBvAHoALgBNAG8AdgBlAG0AZQBuAHQAuwMiACwAIgBvAHoALgBSAGUAdgBlAHIAcwBhAGwAuwMiACwAIgBvAHoALgBDAHUAbQB1AGwAYQB0AGkAdgBlALsDIgAsACIAbwB6AC4AUgBvAGwAbABpAG4AZwBBAHYAZwC7AyIALAAiAG8AegAuAFIAbwBsAGwAaQBuAGcATQBhAHgAuwMiACwAIgBvAHoALgBSAG8AbABsAGkAbgBnAE0AaQBuALsDIgAsACIAbwB6AC4AUgBvAGwAbABpAG4AZwBTAHUAbQC7AyIALAAiAG8AegAuAFMAdQBtAEMAbwBuAHQAYQBpAG4AcwC7AyIALAAiAG8AegAuAFMAdQBtAFAAZQByAGkAbwBkAHMAuwMiACwAIgBvAHoALgBBAG0AbwByAHQAaQBzAGUAuwMiACwAIgBvAHoALgBMAGEAYgBlAGwAQQBtAG8AcgB0AGkAcwBlALsDIgAsACIAbwB6AC4AUwB1AG0AQQBtAG8AcgB0AGkAcwBlALsDIgAsACIAbwB6AC4ARABlAHAAcgBlAGMAaQBhAHQAZQC7AyIALAAiAG8AegAuAEwAYQBiAGUAbABEAGUAcAByAGUAYwBpAGEAdABlALsDIgAsACIAbwB6AC4AQQBsAGwAbwBjAGEAdABlALsDIgAsACIAbwB6AC4AUABlAHIAaQBvAGQARABpAGYAZgC7AyIALAAiAG8AegAuAFMATABOALsDIgAsACIAbwB6AC4AUwBZAEQAuwMiACwAIgBvAHoALgBEAEIAuwMiACwAIgBvAHoALgBEAEQAQgC7AyIALAAiAG8AegAuAFYARABCALsDIgAsACIAbwB6AC4AQQBtAG8AcgB0AGkAcwBlALsDRABWACIALAAiAG8AegAuAEMAbwByAGsAcwBjAHIAZQB3ALsDRABWACIALAAiAG8AegAuAEQAZQBwAHIAZQBjAGkAYQB0AGUAuwNEAFYAIgAsACIAbwB6AC4AVABpAG0AZQBsAGkAbgBlAE8AZgBmAHMAZQB0ALsDIgAsACIAbwB6AC4AVABpAG0AZQBsAGkAbgBlAFAAbwBzAGkAdABpAG8AbgC7AyIALAAiAG8AegAuAEYAaQBsAHQAZQByAEMAbwBuAHQAYQBpAG4AcwC7AyIALAAiAG8AegAuAFIAYQBuAGcAZQBUAG8ARABBALsDIgAsACIAbwB6AC4AUABlAHIAaQBvAGQAUwB0AGEAcgB0ALsDIgAsACIAbwB6AC4AQQBiAG8AdQB0AFIAYQB0AGkAbwBzALsDIgAsACIAbwB6AC4AQwB1AHIAcgBlAG4AdABSAGEAdABpAG8AuwMiACwAIgBvAHoALgBRAHUAaQBjAGsAUgBhAHQAaQBvALsDIgAsACIAbwB6AC4AQwBhAHMAaABSAGEAdABpAG8AuwMiACwAIgBvAHoALgBPAHAAZQByAGEAdABpAG4AZwBDAGEAcwBoAEYAbABvAHcAUgBhAHQAaQBvALsDIgAsACIAbwB6AC4AUgBlAGMAZQBpAHYAYQBiAGwAZQBzAFQAdQByAG4AbwB2AGUAcgBSAGEAdABpAG8AuwMiACwAIgBvAHoALgBJAG4AdgBlAG4AdABvAHIAeQBUAHUAcgBuAG8AdgBlAHIAUgBhAHQAaQBvALsDIgAsACIAbwB6AC4AVwBvAHIAawBpAG4AZwBDAGEAcABpAHQAYQBsAFQAdQByAG4AbwB2AGUAcgBSAGEAdABpAG8AuwMiACwAIgBvAHoALgBEAGUAYgB0AFIAYQB0AGkAbwC7AyIALAAiAG8AegAuAEQAUwBDAFIAuwMiACwAIgBvAHoALgBEAGUAYgB0AFQAbwBDAGEAcABpAHQAYQBsAFIAYQB0AGkAbwC7AyIALAAiAG8AegAuAEUAcQB1AGkAdAB5AE0AdQBsAHQAaQBwAGwAaQBlAHIAuwMiACwAIgBvAHoALgBEAGUAYgB0AFQAbwBFAHEAdQBpAHQAeQBSAGEAdABpAG8AuwMiACwAIgBvAHoALgBEAGUAYgB0AFQAbwBBAHMAcwBlAHQAUgBhAHQAaQBvALsDIgAsACIAbwB6AC4ASQBuAHQAZQByAGUAcwB0AEMAbwB2AGUAcgBhAGcAZQBSAGEAdABpAG8AuwMiACwAIgBvAHoALgBFAHEAdQBpAHQAeQBSAGEAdABpAG8AuwMiACwAIgBvAHoALgBBAHMAcwBlAHQAVAB1AHIAbgBvAHYAZQByAFIAYQB0AGkAbwC7AyIALAAiAG8AegAuAEQAUwBJALsDIgAsACIAbwB6AC4ATwBwAGUAcgBhAHQAaQBuAGcAUgBhAHQAaQBvALsDIgAsACIAbwB6AC4ARwByAG8AcwBzAE0AYQByAGcAaQBuALsDIgAsACIAbwB6AC4ARQBCAEkAVABEAEEATQBhAHIAZwBpAG4AuwMiACwAIgBvAHoALgBPAHAAZQByAGEAdABpAG4AZwBNAGEAcgBnAGkAbgC7AyIALAAiAG8AegAuAFAAcgBlAHQAYQB4AE0AYQByAGcAaQBuALsDIgAsACIAbwB6AC4ATgBlAHQAUAByAG8AZgBpAHQATQBhAHIAZwBpAG4AuwMiACwAIgBvAHoALgBDAGEAcwBoAEYAbABvAHcATQBhAHIAZwBpAG4AuwMiACwAIgBvAHoALgBSAE8AQQC7AyIALAAiAG8AegAuAFIATwBFALsDIgAsACIAbwB6AC4AUgBPAEkAuwMiACwAIgBvAHoALgBSAE8ASQBDALsDIgAsACIAbwB6AC4AUAByAGkAYwBlAEUAYQByAG4AaQBuAGcAcwBSAGEAdABpAG8AuwMiACwAIgBvAHoALgBQAHIAaQBjAGUAVABvAEIAbwBvAGsAUgBhAHQAaQBvALsDIgAsACIAbwB6AC4AUAByAGkAYwBlAFQAbwBTAGEAbABlAHMAUgBhAHQAaQBvALsDIgAsACIAbwB6AC4AUAByAGkAYwBlAFQAbwBDAGEAcwBoAFIAYQB0AGkAbwC7AyIALAAiAG8AegAuAEIAVgBQAFMAuwMiACwAIgBvAHoALgBDAEEAUABFAFIAYQB0AGkAbwC7AyIALAAiAG8AegAuAEQAUABSALsDIgAsACIAbwB6AC4ARABpAHYAaQBkAGUAbgBkAFkAaQBlAGwAZABSAGEAdABpAG8AuwMiACwAIgBvAHoALgBFAFAAUwC7AyIALAAiAG8AegAuAFIAZQB0AGUAbgB0AGkAbwBuAFIAYQB0AGkAbwC7AyIALAAiAG8AegAuAEMAYQBzAGgAQwBvAG4AdgBlAHIAcwBpAG8AbgBDAHkAYwBsAGUAuwMiACwAIgBvAHoALgBQAGEAeQBhAGIAbABlAEQAYQB5AHMAuwMiACwAIgBvAHoALgBSAGUAYwBlAGkAdgBhAGIAbABlAEQAYQB5AHMAuwMiACwAIgBvAHoALgBXAEkAUABEAGEAeQBzALsDIgAsACIAbwB6AC4AQQBUAE8AQgBlAG4AYwBoAG0AYQByAGsAUgBhAHQAaQBvALsDIgAsACIAbwB6AC4AQQBUAE8AQwBvAHMAdABPAGYAUwBhAGwAZQBzAFIAYQB0AGkAbwC7AyIALAAiAG8AegAuAEEAVABPAEwAYQBiAG8AdQByAFIAYQB0AGkAbwC7AyIALAAiAG8AegAuAEEAVABPAFQAbwB0AGEAbABFAHgAcABlAG4AcwBlAHMAUgBhAHQAaQBvALsDIgAsACIAbwB6AC4AQQBUAE8AVAB1AHIAbgBvAHYAZQByALsDIgAsACIAbwB6AC4AQQBiAG8AdQB0AFUAdABpAGwAaQB0AGkAZQBzALsDIgAsACIAbwB6AC4AQwBvAHUAbgB0AEMAVQC7AyIALAAiAG8AegAuAFMAdQBtAFIAbwB3AHMAVQC7AyIALAAiAG8AegAuAFMAdQBtAEMAbwBsAHMAVQC7AyIALAAiAG8AegAuAEEAdgBnAFIAbwB3AHMAVQC7AyIALAAiAG8AegAuAEEAdgBnAEMAbwBsAHMAVQC7AyIALAAiAG8AegAuAE0AaQBuAFIAbwB3AHMAVQC7AyIALAAiAG8AegAuAE0AaQBuAEMAbwBsAHMAVQC7AyIALAAiAG8AegAuAE0AYQB4AFIAbwB3AHMAVQC7AyIALAAiAG8AegAuAE0AYQB4AEMAbwBsAHMAVQC7AyIALAAiAG8AegAuAEMAbwB1AG4AdABBAFIAbwB3AHMAVQC7AyIALAAiAG8AegAuAEMAbwB1AG4AdABBAEMAbwBsAHMAVQC7AyIALAAiAG8AegAuAEMAbwB1AG4AdABSAG8AdwBzAFUAuwMiACwAIgBvAHoALgBDAG8AdQBuAHQAQwBvAGwAcwBVALsDIgAsACIAbwB6AC4ASQBzAEIAZQB0AHcAZQBlAG4AVQC7AyIALAAiAG8AegAuAEkAcwBJAG4ATABpAHMAdABVALsDIgAsACIAbwB6AC4AUgBhAG4AZwBlAFQAbwBEAEEAVQC7AyIALAAiAG8AegAuAFMAdQBtAEQAZQBwAHIAZQBjAGkAYQB0AGUAuwMiACwAIgBvAHoALgBEAGkAbQBpAG4AaQBzAGgAaQBuAGcAVgBhAGwAdQBlALsDIgAsACIAbwB6AC4AUAByAGkAbQBlAEMAbwBzAHQAuwMiACwAIgBvAHoALgBHAFMAVABBAGQAZAC7AyIALAAiAG8AegAuAEcAUwBUAEUAeAB0AHIAYQBjAHQAuwMiACwAIgBvAHoALgBMAGUAYQBzAGUATABpAGEAYgBpAGwAaQB0AHkAuwMiACwAIgBvAHoALgBMAGUAYQBzAGUAUgBlAG0AZQBhAHMAdQByAGUAuwMiACwAIgBvAHoALgBMAGUAYQBzAGUAUwBjAGgAZQBkAHUAbABlALsDIgAsACIAbwB6AC4AUgBPAFUAUwBjAGgAZQBkAHUAbABlALsDIgAsACIAbwB6AC4AQQBuAG4AdQBhAGwAUgBhAHQAZQC7AyIALAAiAG8AegAuAEQAYQB5AEMAbwB1AG4AdABSAGEAdABlALsDIgAsACIAbwB6AC4AUABlAHIAaQBvAGQAUgBhAHQAZQC7AyIALAAiAG8AegAuAFYAYQByAGkAYQBuAGMAZQBQAGMAdAC7AyIALAAiAG8AegAuAFYAYQByAGkAYQBuAGMAZQC7AyIALAAiAG8AegAuAFkAZQBhAHIAVABvAEQAYQB0AGUAuwMiACwAIgBvAHoALgBGAGkAbgBhAG4AYwBpAGEAbABZAGUAYQByALsDIgAsACIAbwB6AC4ARABhAHQAZQBEAGkAZgC7AyIALAAiAG8AegAuAFIAYQB0AGUAQQB0AEQAYQB0AGUAuwMiACwAIgBvAHoALgBGAGkAbgBhAG4AYwBpAGEAbABNAG8AbgB0AGgAuwMiACwAIgBvAHoALgBGAGkAbgBhAG4AYwBpAGEAbABRAHUAYQByAHQAZQByALsDIgAsACIAbwB6AC4AQQBtAG8AcgB0AGkAcwBlAEIAuwMiACwAIgBvAHoALgBEAGUAYgB0AFMAYwB1AGwAcAB0AEYAaQB4AGUAZAC7AyIALAAiAG8AegAuAEQAZQBiAHQAUwBjAHUAbABwAHQAVgBhAHIAaQBhAGIAbABlAEwAUgBWALsDIgAsACIAbwB6AC4ARABlAGIAdABTAGMAdQBsAHAAdABWAGEAcgBpAGEAYgBsAGUAuwMiACwAIgBvAHoALgBJAG4AdABlAHIAZQBzAHQATABSAFY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GEAdQAiAH0AfQA=</AFEJSONBlob>
</file>

<file path=customXml/itemProps1.xml><?xml version="1.0" encoding="utf-8"?>
<ds:datastoreItem xmlns:ds="http://schemas.openxmlformats.org/officeDocument/2006/customXml" ds:itemID="{FA35AA99-8721-4639-BBB5-DFADCDD49639}">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6</vt:i4>
      </vt:variant>
    </vt:vector>
  </HeadingPairs>
  <TitlesOfParts>
    <vt:vector size="55" baseType="lpstr">
      <vt:lpstr>Cover</vt:lpstr>
      <vt:lpstr>TOC</vt:lpstr>
      <vt:lpstr>Data Validation</vt:lpstr>
      <vt:lpstr>Australian tax</vt:lpstr>
      <vt:lpstr>oz.CountDOWλ</vt:lpstr>
      <vt:lpstr>oz.IsBetweenλ</vt:lpstr>
      <vt:lpstr>oz.IsOccurrenceDateλ</vt:lpstr>
      <vt:lpstr>oz.OverLapDaysλ</vt:lpstr>
      <vt:lpstr>oz.Periodsλ</vt:lpstr>
      <vt:lpstr>oz.PeriodLabelλ</vt:lpstr>
      <vt:lpstr>oz.ScheduleRatesλ</vt:lpstr>
      <vt:lpstr>oz.ScheduleRatesByItemsλ</vt:lpstr>
      <vt:lpstr>oz.ScheduleValuesλ</vt:lpstr>
      <vt:lpstr>oz.ScheduleValuesByItemsλ</vt:lpstr>
      <vt:lpstr>oz.Timelineλ</vt:lpstr>
      <vt:lpstr>oz.Amortiseλ</vt:lpstr>
      <vt:lpstr>oz.LabelAmortiseλ</vt:lpstr>
      <vt:lpstr>oz.SumAmortiseλ</vt:lpstr>
      <vt:lpstr>oz.Corkscrewλ</vt:lpstr>
      <vt:lpstr>oz.Cumulativeλ</vt:lpstr>
      <vt:lpstr>oz.Depreciateλ</vt:lpstr>
      <vt:lpstr>oz.LabelDepreciateλ</vt:lpstr>
      <vt:lpstr>oz.SumDepreciateλ</vt:lpstr>
      <vt:lpstr>oz.SumContainsλ</vt:lpstr>
      <vt:lpstr>oz.IntOnIntλ</vt:lpstr>
      <vt:lpstr>oz.IRRλ</vt:lpstr>
      <vt:lpstr>oz.Reversalλ</vt:lpstr>
      <vt:lpstr>oz.Movementλ</vt:lpstr>
      <vt:lpstr>oz.RollingSumλ</vt:lpstr>
      <vt:lpstr>oz.SumPeriodsλ</vt:lpstr>
      <vt:lpstr>oz.TimelineOffsetλ</vt:lpstr>
      <vt:lpstr>oz.TimelinePositionλ</vt:lpstr>
      <vt:lpstr>oz.AboutEssentialsλ</vt:lpstr>
      <vt:lpstr>oz.CountCλ</vt:lpstr>
      <vt:lpstr>oz.SumRowsλ</vt:lpstr>
      <vt:lpstr>oz.SumColsλ</vt:lpstr>
      <vt:lpstr>oz.AvgRowsλ</vt:lpstr>
      <vt:lpstr>oz.AvgColsλ</vt:lpstr>
      <vt:lpstr>oz.MinRowsλ</vt:lpstr>
      <vt:lpstr>oz.MinColsλ</vt:lpstr>
      <vt:lpstr>oz.MaxRowsλ</vt:lpstr>
      <vt:lpstr>oz.MaxColsλ</vt:lpstr>
      <vt:lpstr>oz.CountRowsλ</vt:lpstr>
      <vt:lpstr>oz.CountColsλ</vt:lpstr>
      <vt:lpstr>oz.CountARowsλ</vt:lpstr>
      <vt:lpstr>oz.CountAColsλ</vt:lpstr>
      <vt:lpstr>oz.IsBetweenEλ</vt:lpstr>
      <vt:lpstr>oz.RangeToDAEλ</vt:lpstr>
      <vt:lpstr>oz.FinancialRatios</vt:lpstr>
      <vt:lpstr>oz.Amortiseλ!Print_Area</vt:lpstr>
      <vt:lpstr>oz.Depreciateλ!Print_Area</vt:lpstr>
      <vt:lpstr>oz.IsOccurrenceDateλ!Print_Area</vt:lpstr>
      <vt:lpstr>oz.SumAmortiseλ!Print_Area</vt:lpstr>
      <vt:lpstr>oz.SumPeriodsλ!Print_Area</vt:lpstr>
      <vt:lpstr>oz.TimelineOffsetλ!Print_Area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Ozzit</dc:title>
  <dc:subject>LAMBDA function library for dynamic-array financial models</dc:subject>
  <dc:creator>Ozzit project</dc:creator>
  <cp:lastModifiedBy>Ozzit project</cp:lastModifiedBy>
  <dcterms:created xsi:type="dcterms:W3CDTF">2023-08-10T15:46:16Z</dcterms:created>
  <dcterms:modified xsi:type="dcterms:W3CDTF">2026-01-01T00:00:00Z</dcterms:modified>
</cp:coreProperties>
</file>