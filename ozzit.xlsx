
<file path=[Content_Types].xml><?xml version="1.0" encoding="utf-8"?>
<Types xmlns="http://schemas.openxmlformats.org/package/2006/content-types">
  <Default Extension="bin" ContentType="application/vnd.openxmlformats-officedocument.spreadsheetml.customProperty"/>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4.xml" ContentType="application/vnd.openxmlformats-officedocument.spreadsheetml.table+xml"/>
  <Override PartName="/xl/drawings/drawing5.xml" ContentType="application/vnd.openxmlformats-officedocument.drawing+xml"/>
  <Override PartName="/xl/tables/table5.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drawings/drawing9.xml" ContentType="application/vnd.openxmlformats-officedocument.drawing+xml"/>
  <Override PartName="/xl/tables/table8.xml" ContentType="application/vnd.openxmlformats-officedocument.spreadsheetml.table+xml"/>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1.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2.xml" ContentType="application/vnd.openxmlformats-officedocument.spreadsheetml.table+xml"/>
  <Override PartName="/xl/drawings/drawing19.xml" ContentType="application/vnd.openxmlformats-officedocument.drawing+xml"/>
  <Override PartName="/xl/tables/table13.xml" ContentType="application/vnd.openxmlformats-officedocument.spreadsheetml.table+xml"/>
  <Override PartName="/xl/drawings/drawing20.xml" ContentType="application/vnd.openxmlformats-officedocument.drawing+xml"/>
  <Override PartName="/xl/tables/table14.xml" ContentType="application/vnd.openxmlformats-officedocument.spreadsheetml.table+xml"/>
  <Override PartName="/xl/drawings/drawing21.xml" ContentType="application/vnd.openxmlformats-officedocument.drawing+xml"/>
  <Override PartName="/xl/tables/table15.xml" ContentType="application/vnd.openxmlformats-officedocument.spreadsheetml.table+xml"/>
  <Override PartName="/xl/drawings/drawing22.xml" ContentType="application/vnd.openxmlformats-officedocument.drawing+xml"/>
  <Override PartName="/xl/tables/table16.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xr:revisionPtr revIDLastSave="0" documentId="13_ncr:1_{9C5E2E38-D768-43F5-8346-A39F06CA7C63}" xr6:coauthVersionLast="47" xr6:coauthVersionMax="47" xr10:uidLastSave="{00000000-0000-0000-0000-000000000000}"/>
  <bookViews>
    <workbookView xWindow="-120" yWindow="-120" windowWidth="51840" windowHeight="21120" xr2:uid="{9D40AE0A-C643-4032-94D1-3D65DF585AF3}"/>
  </bookViews>
  <sheets>
    <sheet name="Cover" sheetId="103" r:id="rId1"/>
    <sheet name="TOC" sheetId="19" r:id="rId2"/>
    <sheet name="Data Validation" sheetId="129" r:id="rId3"/>
    <sheet name="Australian tax" sheetId="132" r:id="rId4"/>
    <sheet name="FMTs" sheetId="2" state="hidden" r:id="rId5"/>
    <sheet name="oz.CountDOWλ" sheetId="41" r:id="rId6"/>
    <sheet name="oz.IsBetweenλ" sheetId="43" r:id="rId7"/>
    <sheet name="oz.IsOccurrenceDateλ" sheetId="44" r:id="rId8"/>
    <sheet name="oz.OverLapDaysλ" sheetId="45" r:id="rId9"/>
    <sheet name="oz.Periodsλ" sheetId="46" r:id="rId10"/>
    <sheet name="oz.PeriodLabelλ" sheetId="47" r:id="rId11"/>
    <sheet name="oz.ScheduleRatesλ" sheetId="48" r:id="rId12"/>
    <sheet name="oz.ScheduleRatesByItemsλ" sheetId="49" r:id="rId13"/>
    <sheet name="oz.ScheduleValuesλ" sheetId="50" r:id="rId14"/>
    <sheet name="oz.ScheduleValuesByItemsλ" sheetId="51" r:id="rId15"/>
    <sheet name="oz.Timelineλ" sheetId="52" r:id="rId16"/>
    <sheet name="oz.Amortiseλ" sheetId="76" r:id="rId17"/>
    <sheet name="oz.LabelAmortiseλ" sheetId="90" r:id="rId18"/>
    <sheet name="oz.SumAmortiseλ" sheetId="83" r:id="rId19"/>
    <sheet name="oz.Corkscrewλ" sheetId="77" r:id="rId20"/>
    <sheet name="oz.Cumulativeλ" sheetId="99" r:id="rId21"/>
    <sheet name="oz.Depreciateλ" sheetId="78" r:id="rId22"/>
    <sheet name="oz.LabelDepreciateλ" sheetId="106" r:id="rId23"/>
    <sheet name="oz.SumDepreciateλ" sheetId="107" r:id="rId24"/>
    <sheet name="oz.SumContainsλ" sheetId="108" r:id="rId25"/>
    <sheet name="oz.IntOnIntλ" sheetId="80" r:id="rId26"/>
    <sheet name="oz.IRRλ" sheetId="81" r:id="rId27"/>
    <sheet name="oz.Reversalλ" sheetId="128" r:id="rId28"/>
    <sheet name="oz.Movementλ" sheetId="82" r:id="rId29"/>
    <sheet name="oz.RollingSumλ" sheetId="105" r:id="rId30"/>
    <sheet name="oz.SumPeriodsλ" sheetId="89" r:id="rId31"/>
    <sheet name="oz.TimelineOffsetλ" sheetId="96" r:id="rId32"/>
    <sheet name="oz.TimelinePositionλ" sheetId="97" r:id="rId33"/>
    <sheet name="oz.AboutEssentialsλ" sheetId="110" r:id="rId34"/>
    <sheet name="oz.CountCλ" sheetId="118" r:id="rId35"/>
    <sheet name="oz.SumRowsλ" sheetId="87" r:id="rId36"/>
    <sheet name="oz.SumColsλ" sheetId="88" r:id="rId37"/>
    <sheet name="oz.AvgRowsλ" sheetId="111" r:id="rId38"/>
    <sheet name="oz.AvgColsλ" sheetId="112" r:id="rId39"/>
    <sheet name="oz.MinRowsλ" sheetId="113" r:id="rId40"/>
    <sheet name="oz.MinColsλ" sheetId="114" r:id="rId41"/>
    <sheet name="oz.MaxRowsλ" sheetId="115" r:id="rId42"/>
    <sheet name="oz.MaxColsλ" sheetId="116" r:id="rId43"/>
    <sheet name="oz.CountRowsλ" sheetId="119" r:id="rId44"/>
    <sheet name="oz.CountColsλ" sheetId="120" r:id="rId45"/>
    <sheet name="oz.CountARowsλ" sheetId="122" r:id="rId46"/>
    <sheet name="oz.CountAColsλ" sheetId="123" r:id="rId47"/>
    <sheet name="oz.IsBetweenEλ" sheetId="125" r:id="rId48"/>
    <sheet name="oz.RangeToDAEλ" sheetId="126" r:id="rId49"/>
    <sheet name="oz.FinancialRatios" sheetId="131" r:id="rId50"/>
  </sheets>
  <definedNames>
    <definedName name="oz.AboutDatesλ" comment="Displays this module's repository URL and function list">TRIM( _xlfn.TEXTSPLIT( "About: →CBSE compliant LAMBDAs dealing with dates. Suggested module name: oz¶" &amp; "Version: →20 Aug 2026¶" &amp; "Repository: →https://github.com/ryanduguid/Ozzit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oz.AboutEssentialsλ" comment="Displays this module's repository URL and function list">TRIM(_xlfn.TEXTSPLIT( "About: →Basic functions for working with dynamic arrays. Suggested module name: oz¶" &amp; "Version: →20 Aug 2026¶" &amp; "Repository: →https://github.com/ryanduguid/Ozzit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oz.AboutFinancialλ" comment="Displays this module's repository URL and function list">TRIM(_xlfn.TEXTSPLIT("ABOUT:             →Ozzit's Financial Models module. Suggested module name: oz¶" &amp; "VERSION:           →20 Aug 2026¶" &amp; "REPOSITORY:          →https://github.com/ryanduguid/Ozzit ¶" &amp; "WEBSITE:           →https://github.com/ryanduguid/Ozzit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→Creates averages for preceding values of a set size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"LEASES (AASB 16)   →¶" &amp; "LeaseLiabilityλ    →Present value of the lease payments that are not paid at the commencement date¶" &amp; "LeaseScheduleλ     →Unwinds a lease liability into opening, payment, interest and closing rows¶" &amp; "LeaseRemeasureλ    →Remeasures a lease liability for revised payments and adjusts the right-of-use asset¶" &amp; "ROUScheduleλ       →Depreciates a right-of-use asset in a straight line over the lease term¶"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oz.AboutRatiosλ" comment="Displays this module's repository URL and function list">TRIM(_xlfn.TEXTSPLIT("About:                     →A library of Financial Ratios¶" &amp; "Version:                   →20 Aug 2026¶" &amp; "Repository:                  →https://github.com/ryanduguid/Ozzit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oz.AboutUtilitiesλ" comment="Displays this module's repository URL and function list">TRIM(_xlfn.TEXTSPLIT("About:                     →Basic functions for working with dynamic arrays. Suggested module name: oz¶" &amp; "Version:                   →20 Aug 2026¶" &amp; "Repository:                  →https://github.com/ryanduguid/Ozzit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oz.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→https://github.com/ryanduguid/Ozzit¶" &amp; "VERSION:       →20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(oz is assumed to be the module's name)¶" &amp; "→=oz.Allocateλ({999.99,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oz.AmortiseB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→20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→AmortiseBλ(10000,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[0]!oz.AmortiseBλ(IF(_xlpm.Period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oz.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"→Payments are assumed monthly. On periods shorter than a month the figures for each month land in the period holding its start, the rest nil.¶" &amp; "→Use LabelAmortiseλ() to apply labels to this function's results:¶" &amp; "→Use SumAmortiseλ() to apply totals to this function's results:¶" &amp; "WEBPAGE:       →https://github.com/ryanduguid/Ozzit¶" &amp; "VERSION:       →20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(oz is assumed to be the module's name)¶" &amp; "→=oz.Amortiseλ(10000, 5%, 4 * 12, ""2026-07-01"")",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_xlpm.DpP, _xlpm.SecondPeriod - _xlpm.FirstPeriod, _xlpm.LastGap, MAX(_xlpm.Timeline) - INDEX(_xlpm.Timeline, COUNTA(_xlpm.Timeline) - 1), _xlpm.SubMonthly?, _xlpm.DpP &lt; 28, _xlpm.MpP, MAX(_xlfn.SINGLE(ROUND(_xlpm.DpP / _xlpm.ADpM, 0)), 1),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oz.TimelineOffsetλ(_xlpm.StartDate, _xlpm.Timeline), _xlpm.MonthStarts, EDATE(_xlpm.StartDate, _xlfn.SEQUENCE(, _xlpm.Periods, 0)), _xlpm.ByDate, _xlfn.MAKEARRAY(ROWS(_xlpm.AmortisationSched), COUNTA(_xlpm.Timeline), _xlfn.LAMBDA(_xlpm.R,_xlpm.C, _xlfn.LET(_xlpm.PeriodOpens, INDEX(_xlpm.Timeline, _xlpm.C), _xlpm.PeriodShut, IF(_xlpm.C = COUNTA(_xlpm.Timeline), _xlpm.PeriodOpens + _xlpm.LastGap, INDEX(_xlpm.Timeline, _xlpm.C + 1)), SUM(_xlfn.CHOOSEROWS(_xlpm.AmortisationSched, _xlpm.R) * (_xlpm.MonthStarts &gt;= _xlpm.PeriodOpens) * (_xlpm.MonthStarts &lt; _xlpm.PeriodShut))))), _xlpm.NewBlock, IF(_xlpm.SubMonthly?, _xlpm.ByDate, oz.TimelinePositionλ(_xlpm.AmortisationSched,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oz.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oz.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→20 Aug 2026¶" &amp; "PARAMETERS:→¶" &amp; "NetSales       →(Required) revenue or net sales. ¶" &amp; "TotalAssets    →(Required) Average of Assets and period start and end.¶" &amp; "EXAMPLES:      →Formula (oz is assumed to be the module's name)¶" &amp; ".32x           →=oz.AssetTurnoverRatioλ( 171760, 538715 )", "→", "¶")), _xlpm.Help?, OR(_xlfn.ISOMITTED(_xlpm.NetSales), _xlfn.ISOMITTED(_xlpm.TotalAssets)), _xlpm.Result, _xlpm.NetSales / _xlpm.TotalAssets, CHOOSE(_xlpm.Help? + 1, _xlpm.Result, _xlpm.Help)))</definedName>
    <definedName name="oz.AvgColsUλ" comment="Get the average for each Column">_xlfn.LAMBDA(_xlop.Array, _xlfn.LET(_xlpm.Help, TRIM(_xlfn.TEXTSPLIT("FUNCTION:      →AvgColsUλ(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"→=oz.AvgColsUλ( SEQUENCE(5,5))", "→", "¶")), _xlpm.Help?, _xlfn.ISOMITTED(_xlpm.Array), _xlpm.Result, _xlfn.BYCOL(_xlpm.Array, _xlfn.LAMBDA(_xlpm.Col, AVERAGE(_xlpm.Col))), CHOOSE(_xlpm.Help? + 1, _xlpm.Result, _xlpm.Help)))</definedName>
    <definedName name="oz.AvgColsλ" comment="Get the average for each Column">_xlfn.LAMBDA(_xlop.Array, _xlfn.LET(_xlpm.Help, TRIM(_xlfn.TEXTSPLIT("FUNCTION:      →AvgColsλ(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"→=oz.AvgColsλ( SEQUENCE(5,5))", "→", "¶")), _xlpm.Help?, _xlfn.ISOMITTED(_xlpm.Array), _xlpm.Result, _xlfn.BYCOL(_xlpm.Array, _xlfn.LAMBDA(_xlpm.Col, AVERAGE(_xlpm.Col))), CHOOSE(_xlpm.Help? + 1, _xlpm.Result, _xlpm.Help)))</definedName>
    <definedName name="oz.AvgRowsUλ" comment="Get the average for each row">_xlfn.LAMBDA(_xlop.Array, _xlfn.LET(_xlpm.Help, TRIM(_xlfn.TEXTSPLIT("FUNCTION:      →AvgRowsUλ(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"→=oz.AvgRowsUλ( SEQUENCE(5,5))", "→", "¶")), _xlpm.Help?, _xlfn.ISOMITTED(_xlpm.Array), _xlpm.Result, _xlfn.BYROW(_xlpm.Array, _xlfn.LAMBDA(_xlpm.Row, AVERAGE(_xlpm.Row))), CHOOSE(_xlpm.Help? + 1, _xlpm.Result, _xlpm.Help)))</definedName>
    <definedName name="oz.AvgRowsλ" comment="Get the average for each row">_xlfn.LAMBDA(_xlop.Array, _xlfn.LET(_xlpm.Help, TRIM(_xlfn.TEXTSPLIT("FUNCTION:      →AvgRowsλ(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"→=oz.AvgRowsλ( SEQUENCE(5,5))", "→", "¶")), _xlpm.Help?, _xlfn.ISOMITTED(_xlpm.Array), _xlpm.Result, _xlfn.BYROW(_xlpm.Array, _xlfn.LAMBDA(_xlpm.Row, AVERAGE(_xlpm.Row))), CHOOSE(_xlpm.Help? + 1, _xlpm.Result, _xlpm.Help)))</definedName>
    <definedName name="oz.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→20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(oz is assumed to be the module's name)¶" &amp; "5                  →=oz.BVPSλ(20.0,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oz.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→20 Aug 2026¶" &amp; "PARAMETERS:→¶" &amp; "SharePrice     →(Required) Current stock price ¶" &amp; "TenYearAverageEarningsInflationAdjusted→(Required) Average earnings per share for 10 years adjusted for inflation ¶" &amp; "EXAMPLES:      →Formula (oz is assumed to be the module's name)¶" &amp; "10             →=oz.CAPERatioλ( 100.0, 10.0  )", "→", "¶")), _xlpm.Help?, OR(_xlfn.ISOMITTED(_xlpm.SharePrice), _xlfn.ISOMITTED(_xlpm.TenYearAverageEarningsInflationAdjusted)), _xlpm.Result, _xlpm.SharePrice / _xlpm.TenYearAverageEarningsInflationAdjusted, CHOOSE(_xlpm.Help? + 1, _xlpm.Result, _xlpm.Help)))</definedName>
    <definedName name="oz.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→20 Aug 2026¶" &amp; "PARAMETERS:→¶" &amp; "CashFlowFromOperatingActivities→(Required) Cash Flow From Operating Activities includes:¶" &amp; "→Net Income¶" &amp; "→Non-cash Expenses (Depreciation and Amortisation)¶" &amp; "→Change in Working Capital¶" &amp; "Revenue        →(Required) Revenue¶" &amp; "EXAMPLES:      →Formula (oz is assumed to be the module's name)¶" &amp; "50.8%          →=oz.CashFlowMarginλ( 2.695, 5.3 )", "→", "¶")), _xlpm.Help?, OR(_xlfn.ISOMITTED(_xlpm.CashFlowFromOperatingActivities), _xlfn.ISOMITTED(_xlpm.Revenue)), _xlpm.Result, _xlpm.CashFlowFromOperatingActivities / _xlpm.Revenue, CHOOSE(_xlpm.Help? + 1, _xlpm.Result, _xlpm.Help)))</definedName>
    <definedName name="oz.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→20 Aug 2026¶" &amp; "PARAMETERS:→¶" &amp; "Cash           →(Required) Cash and Cash Equivalents¶" &amp; "Liabilities     →(Required) Current Liabilities. Includes: ¶" &amp; "→Accounts payable ¶" &amp; "→Wages ¶" &amp; "→Taxes payable ¶" &amp; "→Short-term debts ¶" &amp; "→Current portion of long-term debt ¶" &amp; "EXAMPLES:      →Formula (oz is assumed to be the module's name)¶" &amp; ".517409        →=oz.CashRatioλ( 63900000, 123500000)", "→", "¶")), _xlpm.Help?, OR(_xlfn.ISOMITTED(_xlpm.Cash), _xlfn.ISOMITTED(_xlpm.Liabilities)), _xlpm.Result, _xlpm.Cash / _xlpm.Liabilities, CHOOSE(_xlpm.Help? + 1, _xlpm.Result, _xlpm.Help)))</definedName>
    <definedName name="oz.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→https://github.com/ryanduguid/Ozzit¶" &amp; "VERSION:       →20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oz.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→https://github.com/ryanduguid/Ozzit¶" &amp; "VERSION:       →20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oz is assumed to be the module's name¶" &amp; "Formula:       →=oz.Corkscrewλ(0,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oz.CorkscrewλDV" comment="Provides extended data validation of arguments for Corkscrew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oz.CountAColsUλ" comment="Count everything in each column">_xlfn.LAMBDA(_xlop.Array, _xlfn.LET(_xlpm.Help, TRIM(_xlfn.TEXTSPLIT("FUNCTION:      →CountAColsUλ(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"→=oz.CountAColsUλ( CHOOSE( RANDARRAY( 5, 5, 1, 5),""A"", ""B"", """", 1, 2))", "→", "¶")), _xlpm.Help?, _xlfn.ISOMITTED(_xlpm.Array), _xlpm.Result, _xlfn.BYCOL(_xlpm.Array, _xlfn.LAMBDA(_xlpm.Col, COUNTA(_xlpm.Col))), CHOOSE(_xlpm.Help? + 1, _xlpm.Result, _xlpm.Help)))</definedName>
    <definedName name="oz.CountAColsλ" comment="Count everything in each column">_xlfn.LAMBDA(_xlop.Array, _xlfn.LET(_xlpm.Help, TRIM(_xlfn.TEXTSPLIT("FUNCTION:      →CountAColsλ(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"→=oz.CountAColsλ( CHOOSE( RANDARRAY( 5, 5, 1, 5),""A"", ""B"", """", 1, 2))", "→", "¶")), _xlpm.Help?, _xlfn.ISOMITTED(_xlpm.Array), _xlpm.Result, _xlfn.BYCOL(_xlpm.Array, _xlfn.LAMBDA(_xlpm.Col, COUNTA(_xlpm.Col))), CHOOSE(_xlpm.Help? + 1, _xlpm.Result, _xlpm.Help)))</definedName>
    <definedName name="oz.CountARowsUλ" comment="Count everything in each row">_xlfn.LAMBDA(_xlop.Array, _xlfn.LET(_xlpm.Help, TRIM(_xlfn.TEXTSPLIT("FUNCTION:      →CountARowsUλ(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"→=oz.CountARowsUλ( CHOOSE( RANDARRAY( 5, 5, 1, 5),""A"", ""B"", """", 1, 2))", "→", "¶")), _xlpm.Help?, _xlfn.ISOMITTED(_xlpm.Array), _xlpm.Result, _xlfn.BYROW(_xlpm.Array, _xlfn.LAMBDA(_xlpm.Row, COUNTA(_xlpm.Row))), CHOOSE(_xlpm.Help? + 1, _xlpm.Result, _xlpm.Help)))</definedName>
    <definedName name="oz.CountARowsλ" comment="Count everything in each row">_xlfn.LAMBDA(_xlop.Array, _xlfn.LET(_xlpm.Help, TRIM(_xlfn.TEXTSPLIT("FUNCTION:      →CountARowsλ(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"→=oz.CountARowsλ( CHOOSE( RANDARRAY( 5, 5, 1, 5),""A"", ""B"", """", 1, 2))", "→", "¶")), _xlpm.Help?, _xlfn.ISOMITTED(_xlpm.Array), _xlpm.Result, _xlfn.BYROW(_xlpm.Array, _xlfn.LAMBDA(_xlpm.Row, COUNTA(_xlpm.Row))), CHOOSE(_xlpm.Help? + 1, _xlpm.Result, _xlpm.Help)))</definedName>
    <definedName name="oz.CountColsUλ" comment="Count numbers in each column">_xlfn.LAMBDA(_xlop.Array, _xlfn.LET(_xlpm.Help, TRIM(_xlfn.TEXTSPLIT("FUNCTION:      →CountColsUλ(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"→=oz.CountColsUλ( CHOOSE( RANDARRAY( 5, 5, 1, 5),""A"", ""B"", """", 1, 2))", "→", "¶")), _xlpm.Help?, _xlfn.ISOMITTED(_xlpm.Array), _xlpm.Result, _xlfn.BYCOL(_xlpm.Array, _xlfn.LAMBDA(_xlpm.Col, COUNT(_xlpm.Col))), CHOOSE(_xlpm.Help? + 1, _xlpm.Result, _xlpm.Help)))</definedName>
    <definedName name="oz.CountColsλ" comment="Count numbers in each column">_xlfn.LAMBDA(_xlop.Array, _xlfn.LET(_xlpm.Help, TRIM(_xlfn.TEXTSPLIT("FUNCTION:      →CountColsλ(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"→=oz.CountColsλ( CHOOSE( RANDARRAY( 5, 5, 1, 5),""A"", ""B"", """", 1, 2))", "→", "¶")), _xlpm.Help?, _xlfn.ISOMITTED(_xlpm.Array), _xlpm.Result, _xlfn.BYCOL(_xlpm.Array, _xlfn.LAMBDA(_xlpm.Col, COUNT(_xlpm.Col))), CHOOSE(_xlpm.Help? + 1, _xlpm.Result, _xlpm.Help)))</definedName>
    <definedName name="oz.CountCUλ" comment="Count occurrences of character(s) in a string">_xlfn.LAMBDA(_xlop.Text,_xlop.Characters, _xlfn.LET(_xlpm.Help, TRIM(_xlfn.TEXTSPLIT("FUNCTION:      →CountCUλ(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Cλ" comment="Count occurrences of character(s) in a string">_xlfn.LAMBDA(_xlop.Text,_xlop.Characters, _xlfn.LET(_xlpm.Help, TRIM(_xlfn.TEXTSPLIT("FUNCTION:      →CountCλ(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→https://github.com/ryanduguid/Ozzit¶" &amp; "PARAMETERS:    →¶" &amp; "Starts         →(Required) One of more start dates (text or numeric) in a row or column¶" &amp; "Ends           →(Required) End dates (text or numeric) for each start date¶" &amp; "DayOfWeek      →(Required) 1=Sunday, 7=Saturday.¶" &amp; "EXAMPLES:      →¶" &amp; "Result         →Formula (oz is assumed to be the module's name)¶" &amp; "3              →=oz.CountDOWλ(""23/7/2026"", ""11/8/2026"",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oz.CountRowsUλ" comment="Count numbers in each row">_xlfn.LAMBDA(_xlop.Array, _xlfn.LET(_xlpm.Help, TRIM(_xlfn.TEXTSPLIT("FUNCTION:      →CountRowsUλ(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"→=oz.CountRowsUλ( CHOOSE( RANDARRAY( 5, 5, 1, 5),""A"", ""B"", """", 1, 2))", "→", "¶")), _xlpm.Help?, _xlfn.ISOMITTED(_xlpm.Array), _xlpm.Result, _xlfn.BYROW(_xlpm.Array, _xlfn.LAMBDA(_xlpm.Row, COUNT(_xlpm.Row))), CHOOSE(_xlpm.Help? + 1, _xlpm.Result, _xlpm.Help)))</definedName>
    <definedName name="oz.CountRowsλ" comment="Count numbers in each row">_xlfn.LAMBDA(_xlop.Array, _xlfn.LET(_xlpm.Help, TRIM(_xlfn.TEXTSPLIT("FUNCTION:      →CountRowsλ(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"→=oz.CountRowsλ( CHOOSE( RANDARRAY( 5, 5, 1, 5),""A"", ""B"", """", 1, 2))", "→", "¶")), _xlpm.Help?, _xlfn.ISOMITTED(_xlpm.Array), _xlpm.Result, _xlfn.BYROW(_xlpm.Array, _xlfn.LAMBDA(_xlpm.Row, COUNT(_xlpm.Row))), CHOOSE(_xlpm.Help? + 1, _xlpm.Result, _xlpm.Help)))</definedName>
    <definedName name="oz.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→https://github.com/ryanduguid/Ozzit¶" &amp; "VERSION:       →20 Aug 2026¶" &amp; "PARAMETERS:    →¶" &amp; "Totals         →(Required) A row or column of totals from which to run cumulative totals¶" &amp; "OpeningBalance →(Optional) A starting balance. This defaults to 0¶" &amp; "EXAMPLES:      →¶" &amp; "Result         →Formula (oz is assumed to be the module's name)¶" &amp; "1,3,6          →=oz.Cumulativeλ(Sequence(,3))", "→", "¶")), _xlpm.Help?, _xlfn.ISOMITTED(_xlpm.Totals), _xlpm.Result, _xlfn.SCAN(_xlpm.OpeningBalance, _xlpm.Totals, _xlfn.LAMBDA(_xlpm.PreviousAmount,_xlpm.CurrentAmount, _xlpm.PreviousAmount + _xlpm.CurrentAmount)), CHOOSE(_xlpm.Help? + 1, _xlpm.Result, _xlpm.Help)))</definedName>
    <definedName name="oz.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→https://www.investopedia.com/terms/c/currentratio.asp ¶" &amp; "VERSION:       →20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(oz is assumed to be the module's name)¶" &amp; "1.075          →=oz.CurrentRatioλ( 134.836, 125.481)", "→", "¶")), _xlpm.Help?, OR(_xlfn.ISOMITTED(_xlpm.Assets), _xlfn.ISOMITTED(_xlpm.Liabilities)), _xlpm.Result, _xlpm.Assets / _xlpm.Liabilities, CHOOSE(_xlpm.Help? + 1, _xlpm.Result, _xlpm.Help)))</definedName>
    <definedName name="oz.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"Months         →(Optional) Number of months in the first year to depreciate.¶" &amp; "EXAMPLES:      →¶" &amp; "→Formula (oz is assumed to be the module's name)¶" &amp; "→=oz.DBλ(1000,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oz.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"EXAMPLES:      →¶" &amp; "→Formula (oz is assumed to be the module's name)¶" &amp; "→=oz.DDBλ(1000,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oz.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→20 Aug 2026¶" &amp; "PARAMETERS:→¶" &amp; "TotalDebt      →(Required) Total Debt ¶" &amp; "TotalAssets    →(Required) Total Assets ¶" &amp; "EXAMPLES:      →Formula (oz is assumed to be the module's name)¶" &amp; ".3             →=oz.DebtRatioλ(30.0, 100.0)", "→", "¶")), _xlpm.Help?, OR(_xlfn.ISOMITTED(_xlpm.TotalDebt), _xlfn.ISOMITTED(_xlpm.TotalAssets)), _xlpm.Result, _xlpm.TotalDebt / _xlpm.TotalAssets, CHOOSE(_xlpm.Help? + 1, _xlpm.Result, _xlpm.Help)))</definedName>
    <definedName name="oz.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→Debt service (interest and principal)¶"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[0]!oz.DebtSculptFixedλ(_xlpm.ClosingDebt, _xlpm.Debt, _xlpm.CFADS, _xlpm.DSCR, _xlpm.APR, _xlpm.MonthsPerPeriod, _xlpm.Period + 1))), _xlpm.Return, IF(AND(_xlpm.Errors), 2, IF(OR(_xlpm.Errors), 3, IF(OR(ISERROR(_xlpm.Result)), 2, 1))), CHOOSE(_xlpm.Return, _xlpm.Result, _xlpm.Help, _xlpm.Messages)))</definedName>
    <definedName name="oz.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→=DebtSculptVariableLRVλ(,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[0]!oz.InterestLRVλ(_xlpm.PeriodCFADS, _xlpm.PeriodDSCR, _xlpm.Principal, _xlpm.PeriodRate), _xlpm.Payment, MIN(_xlpm.PeriodCFADS / _xlpm.PeriodDSCR - _xlpm.Interest, _xlpm.Principal), _xlpm.ClosingDebt, _xlpm.Principal - _xlpm.Payment, _xlpm.NewColumn, _xlfn.VSTACK(_xlpm.Principal, _xlpm.Interest, -_xlpm.Payment, _xlpm.ClosingDebt), _xlpm.Result, IF(_xlpm.Period = _xlpm.ModelPeriods, _xlpm.NewColumn, _xlfn.HSTACK(_xlpm.NewColumn, [0]!oz.DebtSculptVariableLRVλ(_xlpm.ClosingDebt, _xlpm.Debt, _xlpm.CFADS, _xlpm.DSCR, _xlpm.APR, _xlpm.MonthsPerPeriod, _xlpm.Period + 1))), _xlpm.Return, IF(AND(_xlpm.Errors), 2, IF(OR(_xlpm.Errors), 3, IF(OR(ISERROR(_xlpm.Result)), 2, 1))), CHOOSE(_xlpm.Return, _xlpm.Result, _xlpm.Help, _xlpm.Messages)))</definedName>
    <definedName name="oz.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→Debt service (interest and principal)¶"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[0]!oz.DebtSculptVariableλ(_xlpm.ClosingDebt, _xlpm.Debt, _xlpm.CFADS, _xlpm.DSCR, _xlpm.APR, _xlpm.MonthsPerPeriod, _xlpm.Period + 1))), _xlpm.Return, IF(AND(_xlpm.Errors), 2, IF(OR(_xlpm.Errors), 3, IF(OR(ISERROR(_xlpm.Result)), 2, 1))), CHOOSE(_xlpm.Return, _xlpm.Result, _xlpm.Help, _xlpm.Messages)))</definedName>
    <definedName name="oz.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→20 Aug 2026¶" &amp; "PARAMETERS:        →¶" &amp; "TotalDebt          →(Required) Total debt includes shortterm and longterm debt¶" &amp; "TotalAssets        →(Required) Shareholders' Equity (total assets - total liabilities) ¶" &amp; "EXAMPLES:          →Formula (oz is assumed to be the module's name)¶" &amp; ".49873             →=oz.DebtToAssetRatioλ(31.845, 63.852 )", "→", "¶")), _xlpm.Help?, OR(_xlfn.ISOMITTED(_xlpm.TotalDebt), _xlfn.ISOMITTED(_xlpm.TotalAssets)), _xlpm.Result, _xlpm.TotalDebt / _xlpm.TotalAssets, CHOOSE(_xlpm.Help? + 1, _xlpm.Result, _xlpm.Help)))</definedName>
    <definedName name="oz.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→20 Aug 2026¶" &amp; "PARAMETERS:→¶" &amp; "Debt               →(Required) Total Debt which can include: ¶" &amp; "→Notes payable¶" &amp; "→Bonds payable¶" &amp; "→Long-term liabilities¶" &amp; "ShareholdersEquity →(Required) Shareholders' Equity (total assets - total liabilities) ¶" &amp; "EXAMPLES:          →Formula (oz is assumed to be the module's name)¶" &amp; "26.4%              →=oz.DebtToCapitalRatioλ( 80.0, 223.0 )", "→", "¶")), _xlpm.Help?, OR(_xlfn.ISOMITTED(_xlpm.Debt), _xlfn.ISOMITTED(_xlpm.ShareholdersEquity)), _xlpm.Result, _xlpm.Debt / (_xlpm.Debt + _xlpm.ShareholdersEquity), CHOOSE(_xlpm.Help? + 1, _xlpm.Result, _xlpm.Help)))</definedName>
    <definedName name="oz.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→20 Aug 2026¶" &amp; "PARAMETERS:        →¶" &amp; "TotalLiabilities   →(Required) Total Liabilities¶" &amp; "ShareholdersEquity →(Required) Shareholders' Equity (total assets - total liabilities) ¶" &amp; "EXAMPLES:          →Formula (oz is assumed to be the module's name)¶" &amp; "3.77               →=oz.DebtToEquityRatioλ(279.0, 74.0 )", "→", "¶")), _xlpm.Help?, OR(_xlfn.ISOMITTED(_xlpm.TotalLiabilities), _xlfn.ISOMITTED(_xlpm.ShareholdersEquity), ), _xlpm.Result, _xlpm.TotalLiabilities / _xlpm.ShareholdersEquity, CHOOSE(_xlpm.Help? + 1, _xlpm.Result, _xlpm.Help)))</definedName>
    <definedName name="oz.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→https://github.com/ryanduguid/Ozzit ¶" &amp; "VERSION:       →20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               →More than 0 and no more than 100. A date here is not a life:¶" &amp; "               →the arguments read InitialValues, InServiceDates, LifeInYears, Timeline.¶" &amp; "Timeline       →(Required) The model's timeline or a row of period start dates. ¶" &amp; "               →Timeline can be any interval: days, weeks,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balance at 200% of straight line. Salvage value ignored¶" &amp; "→PC =Straight line, whole years.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_xlpm.LifeGiven, IF(_xlfn.ISOMITTED(_xlpm.LifeInYears), 1, _xlpm.LifeInYears), _xlpm.LifeNums, IFERROR(VALUE(_xlpm.LifeGiven), -1), _xlpm.BadLife?, OR(MIN(_xlpm.LifeNums) &lt;= 0, MAX(_xlpm.LifeNums) &gt; 100), _xlpm.LifeMessage, "LifeInYears must be a number of years greater than 0 and no more than 100. " &amp; "Check the argument order: InitialValues, InServiceDates, LifeInYears, Timeline.",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_xlpm.DpP, _xlpm.SecondPeriod - _xlpm.FirstPeriod, _xlpm.SubMonthly?, _xlpm.DpP &lt; 28, _xlpm.MpP, MAX(_xlfn.SINGLE(ROUND(_xlpm.DpP / 30.5, 0)), 1), _xlpm.LastGap, MAX(_xlpm.Timeline) - INDEX(_xlpm.Timeline, _xlpm.TimelineCols - 1), _xlpm.LastEnd, IF(_xlpm.SubMonthly?, MAX(_xlpm.Timeline) + _xlpm.LastGap, EDATE(MAX(_xlpm.Timeline), _xlpm.MpP)) - 1, _xlpm.EndDates, _xlfn.HSTACK(_xlfn.MAP(_xlfn.SEQUENCE(, _xlpm.TimelineCols - 1), _xlfn.LAMBDA(_xlpm.n, INDEX(_xlpm.Timeline, _xlpm.n + 1) - 1)), _xlpm.LastEnd), _xlpm.Result, _xlfn.REDUCE(0, _xlfn.SEQUENCE(ROWS(_xlpm.InitialValues)), _xlfn.LAMBDA(_xlpm.Block,_xlpm.Asset, _xlfn.LET(_xlpm.Method, _xlfn.SINGLE(INDEX(_xlpm.Methods, _xlpm.Asset)), _xlpm.Years, IF(_xlpm.BadLife?, 1,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_xlpm.LifeInMonths, oz.PeriodDiffλ(_xlpm.InServiceDate, _xlpm.DisposalDate, "M"), _xlpm.Depreciate, CHOOSE(MATCH(_xlfn.SINGLE(_xlpm.Method), _xlpm.MethodArray, 0), oz.SLNλ(_xlpm.InitialValue, _xlpm.SalvageValue, _xlpm.Years), oz.SYDλ(_xlpm.InitialValue, _xlpm.SalvageValue, _xlpm.Years), oz.DBλ(_xlpm.InitialValue, _xlpm.SalvageValue, _xlpm.Years), oz.DDBλ(_xlpm.InitialValue, _xlpm.SalvageValue, _xlpm.Years, _xlpm.Factor), oz.VDBλ(_xlpm.InitialValue, _xlpm.SalvageValue, _xlpm.Years, _xlpm.Factor), oz.DiminishingValueλ(_xlpm.InitialValue, _xlpm.Years), oz.PrimeCostλ(_xlpm.InitialValue, _xlpm.Years), ), _xlpm.Disposal, _xlfn.HSTACK(_xlfn.SEQUENCE(1, _xlpm.LifeInMonths - 1, 0, 0), _xlpm.DisposalCost), _xlpm.Salvage, _xlfn.HSTACK(_xlfn.SEQUENCE(1, _xlpm.LifeInMonths - 1, 0, 0), _xlpm.SalvageValue), _xlpm.Allocate, _xlfn.HSTACK(_xlfn.EXPAND(oz.Allocateλ(_xlpm.Depreciate,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_xlpm.Return, IF(_xlpm.Help?, 2, IF(_xlpm.BadLife?, 3, 1)), CHOOSE(_xlpm.Return, _xlpm.Result, _xlpm.Help, _xlpm.LifeMessage)))</definedName>
    <definedName name="oz.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oz.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→https://github.com/ryanduguid/Ozzit¶" &amp; "VERSION:       →20 Aug 2026¶" &amp; "PARAMETERS:    →¶" &amp; "Cost           →(Required) Asset's cost.¶" &amp; "Life           →(Required) Asset's effective life in years.¶" &amp; "EXAMPLES:      →¶" &amp; "→Formula (oz is assumed to be the module's name)¶" &amp; "→=oz.DiminishingValueλ(1000,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oz.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→20 Aug 2026¶" &amp; "PARAMETERS:→¶" &amp; "AnnualDividendsPerShare→(Required) Annual Dividends Per Share ¶" &amp; "SharePrice     →(Required) Market value per share ¶" &amp; "EXAMPLES:      →Formula (oz is assumed to be the module's name)¶" &amp; "2.6667%        →=oz.DividendYieldRatioλ( 1.2, 45 )", "→", "¶")), _xlpm.Help?, OR(_xlfn.ISOMITTED(_xlpm.AnnualDividendsPerShare), _xlfn.ISOMITTED(_xlpm.SharePrice)), _xlpm.Result, _xlpm.AnnualDividendsPerShare / _xlpm.SharePrice, CHOOSE(_xlpm.Help? + 1, _xlpm.Result, _xlpm.Help)))</definedName>
    <definedName name="oz.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→20 Aug 2026¶" &amp; "PARAMETERS:→¶" &amp; "DividendsPaid  →(Required) Dividends paid ¶" &amp; "NetIncome      →(Required) Net Income¶" &amp; "EXAMPLES:      →Formula (oz is assumed to be the module's name)¶" &amp; "25%            →=oz.DPRλ( 5.0, 20.0 )", "→", "¶")), _xlpm.Help?, OR(_xlfn.ISOMITTED(_xlpm.DividendsPaid), _xlfn.ISOMITTED(_xlpm.NetIncome)), _xlpm.Result, _xlpm.DividendsPaid / _xlpm.NetIncome, CHOOSE(_xlpm.Help? + 1, _xlpm.Result, _xlpm.Help)))</definedName>
    <definedName name="oz.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→20 Aug 2026¶" &amp; "PARAMETERS:→¶" &amp; "NetOperatingIncome →(Required) Revenue - Certain Operating Expenses¶" &amp; "TotalDebtService   →(Required) Interest * (1-Tax Rate), principal, sinking fund,¶" &amp; "→and lease payments due in the coming year¶" &amp; "EXAMPLES:          →Formula (oz is assumed to be the module's name)¶" &amp; "6.142857           →=oz.DSCRλ(2150.0, 350.0)", "→", "¶")), _xlpm.Help?, OR(_xlfn.ISOMITTED(_xlpm.NetOperatingIncome), _xlfn.ISOMITTED(_xlpm.TotalDebtService)), _xlpm.Result, _xlpm.NetOperatingIncome / _xlpm.TotalDebtService, CHOOSE(_xlpm.Help? + 1, _xlpm.Result, _xlpm.Help)))</definedName>
    <definedName name="oz.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→20 Aug 2026¶" &amp; "PARAMETERS:→¶" &amp; "AverageInventory→  (Required) Average of period open and close Inventory¶" &amp; "CostOfGoodsSold→   (Required) Cost of Goods Sold (COGS) ¶" &amp; "EXAMPLES:          →Formula (oz is assumed to be the module's name)¶" &amp; "40.8949 days       →=oz.DSIλ(54.9, 490 )", "→", "¶")), _xlpm.Help?, OR(_xlfn.ISOMITTED(_xlpm.AverageInventory), _xlfn.ISOMITTED(_xlpm.CostOfGoodsSold)), _xlpm.DpY, 365, _xlpm.Result, _xlpm.AverageInventory / _xlpm.CostOfGoodsSold * _xlpm.DpY, CHOOSE(_xlpm.Help? + 1, _xlpm.Result, _xlpm.Help)))</definedName>
    <definedName name="oz.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→20 Aug 2026¶" &amp; "PARAMETERS:→¶" &amp; "EBITDA         →(Required) Earnings Before Interest, tax, depreciation, and amortisation¶" &amp; "TotalRevenue   →(Required) Total Revenue¶" &amp; "EXAMPLES:      →Formula (oz is assumed to be the module's name)¶" &amp; "12%            →=oz.EBITDAMarginλ( 15.0, 125.0 )", "→", "¶")), _xlpm.Help?, OR(_xlfn.ISOMITTED(_xlpm.EBITDA), _xlfn.ISOMITTED(_xlpm.TotalRevenue)), _xlpm.Result, _xlpm.EBITDA / _xlpm.TotalRevenue, CHOOSE(_xlpm.Help? + 1, _xlpm.Result, _xlpm.Help)))</definedName>
    <definedName name="oz.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→20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(oz is assumed to be the module's name)¶" &amp; "1.909548           →=oz.EPSλ( 7.6,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oz.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→20 Aug 2026¶" &amp; "PARAMETERS:        →¶" &amp; "TotalAssets        →(Required) Both current and long-term assets¶" &amp; "TotalShareholdersEquity →(Required) Shareholders' Equity (total assets - total liabilities) ¶" &amp; "EXAMPLES:          →Formula (oz is assumed to be the module's name)¶" &amp; "4.40625            →=oz.EquityMultiplierλ(366.6, 83.2 )", "→", "¶")), _xlpm.Help?, OR(_xlfn.ISOMITTED(_xlpm.TotalAssets), _xlfn.ISOMITTED(_xlpm.TotalShareholdersEquity)), _xlpm.Result, _xlpm.TotalAssets / _xlpm.TotalShareholdersEquity, CHOOSE(_xlpm.Help? + 1, _xlpm.Result, _xlpm.Help)))</definedName>
    <definedName name="oz.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→20 Aug 2026¶" &amp; "PARAMETERS:        →¶" &amp; "ShareholdersEquity →(Required) Shareholders' Equity (total assets - total liabilities) ¶" &amp; "TotalAssets        →(Required) Both current and long-term assets¶" &amp; "IntangibleAssets   →(Required) Deducted from total assets before the comparison¶" &amp; "EXAMPLES:          →Formula (oz is assumed to be the module's name)¶" &amp; "40%                →=oz.EquityRatioλ( 20.0,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oz.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→https://github.com/ryanduguid/Ozzit¶" &amp; "VERSION:       →20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(oz is assumed to be the module's name)¶" &amp; """Cat""        →=oz.FilterContainsλ(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oz.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→https://github.com/ryanduguid/Ozzit¶" &amp; "VERSION:       →20 Aug 2026¶" &amp; "PARAMETERS:    →¶" &amp; "Dates          →(Required) One or more dates.¶" &amp; "StartMonth     →(Optional: Default = 7) Month the financial year starts.¶" &amp; "EXAMPLES:      →¶" &amp; "→Formula (oz is assumed to be the module's name)¶" &amp; "→=oz.FinancialYearλ(DATE(2026,8,15))¶"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 name="oz.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→20 Aug 2026¶" &amp; "PARAMETERS:→¶" &amp; "GrossProfit    →(Required) Gross Profit¶" &amp; "NetSales       →(Required) Net Sales or Revenue¶" &amp; "EXAMPLES:      →Formula (oz is assumed to be the module's name)¶" &amp; "61.7448%       →=oz.GrossMarginλ( 62.984, 102.007 )", "→", "¶")), _xlpm.Help?, OR(_xlfn.ISOMITTED(_xlpm.GrossProfit), _xlfn.ISOMITTED(_xlpm.NetSales)), _xlpm.Result, _xlpm.GrossProfit / _xlpm.NetSales, CHOOSE(_xlpm.Help? + 1, _xlpm.Result, _xlpm.Help)))</definedName>
    <definedName name="oz.GSTAddλ" comment="Adds GST to one or more GST-exclusive amounts.">_xlfn.LAMBDA(_xlop.Amounts,_xlop.Rate, _xlfn.LET(_xlpm.Help, TRIM(_xlfn.TEXTSPLIT("FUNCTION:      →GSTAddλ(Amounts, [Rate])¶" &amp; "DESCRIPTION:   →Adds GST to one or more GST-exclusive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GST-exclusive amounts.¶" &amp; "Rate           →(Optional: Default = 0.1) GST rate as a fraction.¶" &amp; "EXAMPLES:      →¶" &amp; "→Formula (oz is assumed to be the module's name)¶" &amp; "→=oz.GSTAddλ(100)¶" &amp; "→Result¶" &amp; "→110", "→", "¶")), _xlpm.Help?, _xlfn.ISOMITTED(_xlpm.Amounts), _xlpm.GSTRate, IF(OR(_xlfn.ISOMITTED(_xlpm.Rate), TRIM(_xlpm.Rate &amp; "")=""), 0.1, _xlpm.Rate), _xlpm.Result, IF(TRIM(_xlpm.Amounts &amp; "")="", "", _xlpm.Amounts * (1 + _xlpm.GSTRate)), CHOOSE(_xlpm.Help? + 1, _xlpm.Result, _xlpm.Help)))</definedName>
    <definedName name="oz.GSTExtractλ" comment="Returns the GST contained in one or more GST-inclusive amounts.">_xlfn.LAMBDA(_xlop.Amounts,_xlop.Rate, _xlfn.LET(_xlpm.Help, TRIM(_xlfn.TEXTSPLIT("FUNCTION:      →GSTExtractλ(Amounts, [Rate])¶" &amp; "DESCRIPTION:   →Returns the GST contained in one or more GST-inclusive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GST-inclusive amounts.¶" &amp; "Rate           →(Optional: Default = 0.1) GST rate as a fraction.¶" &amp; "EXAMPLES:      →¶" &amp; "→Formula (oz is assumed to be the module's name)¶" &amp; "→=oz.GSTExtractλ(110)¶"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oz.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→20 Aug 2026¶" &amp; "PARAMETERS:        →¶" &amp; "OperatingIncome    →(Required) Operating Income (EBIT) ¶" &amp; "InterestExpenses   →(Required) Interest Expense ¶" &amp; "EXAMPLES:          →Formula (oz is assumed to be the module's name)¶" &amp; "6.944444           →=oz.InterestCoverageRatioλ( 625.0, 90.0 )", "→", "¶")), _xlpm.Help?, OR(_xlfn.ISOMITTED(_xlpm.OperatingIncome), _xlfn.ISOMITTED(_xlpm.InterestExpenses)), _xlpm.Result, _xlpm.OperatingIncome / _xlpm.InterestExpenses, CHOOSE(_xlpm.Help? + 1, _xlpm.Result, _xlpm.Help)))</definedName>
    <definedName name="oz.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Rubin.¶→Charged on the average balance over the period, with the principal repaid¶→capped at the principal outstanding.¶" &amp; "VERSION:       →20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MIN(IF(_xlpm.DoNotUse = 0, _xlpm.CFADS / _xlpm.DSCR, _xlpm.DoNotUse), _xlpm.Principal), _xlpm.Interest, (_xlpm.Principal - _xlpm.Payment / 2) * _xlpm.InterestRate, _xlpm.Repayment, -MIN(_xlpm.CFADS / _xlpm.DSCR - _xlpm.Interest, _xlpm.Principal), _xlpm.Balance, _xlpm.Principal + _xlpm.Interest + _xlpm.Repayment, _xlpm.Result, IF(ABS(_xlpm.Payment + _xlpm.Repayment) &lt; 0.01, MAX(_xlpm.Interest, 0), [0]!oz.InterestLRVλ(_xlpm.CFADS, _xlpm.DSCR, _xlpm.Principal, _xlpm.InterestRate, -_xlpm.Repayment)), _xlpm.Return, IF(AND(_xlpm.Errors), 2, IF(OR(_xlpm.Errors), 3, IF(OR(ISERROR(_xlpm.Result)), 2, 1))), CHOOSE(_xlpm.Return, _xlpm.Result, _xlpm.Help, _xlpm.Messages)))</definedName>
    <definedName name="oz.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→https://github.com/ryanduguid/Ozzit¶" &amp; "VERSION:       →20 Aug 2026¶" &amp; "PARAMETERS:    →¶" &amp; "Principal     →(Required) Principal amount¶" &amp; "Rate          →(Required) Interest percentage rate. For years, APR. For months, APR/12¶" &amp; "EXAMPLES:      →¶" &amp; "Result         →Formula (oz is assumed to be the module's name)¶" &amp; "52.63          →=oz.IntOnIntλ( 1000, 5%)", "→", "¶")), _xlpm.Help?, OR(_xlfn.ISOMITTED(_xlpm.Principal), _xlfn.ISOMITTED(_xlpm.Rate)), _xlpm.Result, _xlpm.Principal / (1 - _xlpm.Rate) - _xlpm.Principal, CHOOSE(_xlpm.Help? + 1, _xlpm.Result, _xlpm.Help)))</definedName>
    <definedName name="oz.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→20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(oz is assumed to be the module's name)¶" &amp; "8.461538           →=oz.InventoryTurnoverRatioλ( 429, 50.7)", "→", "¶")), _xlpm.Help?, OR(_xlfn.ISOMITTED(_xlpm.CostOfGoodsSold), _xlfn.ISOMITTED(_xlpm.AverageInventory)), _xlpm.Result, _xlpm.CostOfGoodsSold / _xlpm.AverageInventory, CHOOSE(_xlpm.Help? + 1, _xlpm.Result, _xlpm.Help)))</definedName>
    <definedName name="oz.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→https://github.com/ryanduguid/Ozzit¶" &amp; "VERSION:       →20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(oz is assumed to be the module's name)¶" &amp; "Dates          →=EDATE(""1/7/2026"", SEQUENCE(,24, 0))¶" &amp; "Values         →={0,0,-150,0,-100,10,20,30,40,50,60,70}¶" &amp; "→¶" &amp; "Result         →Formula¶" &amp; "25%            →=oz.IRRλ(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oz.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→https://github.com/ryanduguid/Ozzit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(oz is assumed to be the module's name)¶" &amp; "FALSE          →=oz.IsBetweenλ(1, 2, 4)¶" &amp; "TRUE           →=oz.IsBetweenλ(Today(), Today(), Today()+1)¶" &amp; "FALSE          →=oz.IsBetweenλ(""B"",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oz.IsInListUλ" comment="Determine if a value is between a lower and upper limit">_xlfn.LAMBDA(_xlop.Value,_xlop.List, _xlfn.LET(_xlpm.Help, TRIM(_xlfn.TEXTSPLIT("FUNCTION:      →IsInListUλ( Value, List)¶" &amp; "DESCRIPTION:   →Determine if a value is one of a list of items.¶" &amp; "PARAMETERS:    →¶" &amp; "Value          →(Required) A value or array of values to compare.¶" &amp; "List           →(Required) A list of values to check¶" &amp; "→¶" &amp; "EXAMPLES:      →¶" &amp; "Result         →Formula¶" &amp; "FALSE          →=IsInListUλ(1, {2,3,4})¶" &amp; "TRUE           →=IsInListUλ(1, {1,3,5})¶" &amp; "→", "→", "¶")), _xlpm.Help?, OR(_xlfn.ISOMITTED(_xlpm.Value), _xlfn.ISOMITTED(_xlpm.List)), _xlpm.Result, NOT(ISNA(MATCH(_xlpm.Value, _xlpm.List, 0))), CHOOSE(_xlpm.Help? + 1, _xlpm.Result, _xlpm.Help)))</definedName>
    <definedName name="oz.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oz.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→https://github.com/ryanduguid/Ozzit¶"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(oz is assumed to be the module's name)¶" &amp; "72             →=SUM(N(oz.IsOccurrenceDateλ(SEQUENCE(,90,""1/7/2026""), ""1/7/2026"", ""10/9/2026"", ""D"")))¶" &amp; "01             →=SUM(N(oz.IsOccurrenceDateλ(SEQUENCE(,90,""1/7/2026""), ""1/7/2026"", ""10/9/2026"", ""O"")))¶" &amp; "11             →=SUM(N(oz.IsOccurrenceDateλ(SEQUENCE(,90,""1/7/2026""), ""1/7/2026"", ""10/9/2026"",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oz.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→https://github.com/ryanduguid/Ozzit¶" &amp; "VERSION:       →20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(oz is assumed to be the module's name)¶" &amp; "→=oz.LabelAmortiseλ(tblLoans[Loan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oz.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→https://github.com/ryanduguid/Ozzit¶" &amp; "VERSION:       →20 Aug 2026¶" &amp; "PARAMETERS:    →¶" &amp; "AssetNames     →(Required) The names or descriptions of each asset in the depreciation schedule produced by Depreciateλ¶" &amp; "EXAMPLES:      →¶" &amp; "Result         →Formula (oz is assumed to be the module's name)¶" &amp; "→=oz.LabelDepreciateλ(tblAssets[Asset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oz.LeaseLiabilityλ" comment="Present value of the lease payments that are not paid at the commencement date">_xlfn.LAMBDA( _xlop.Payments, _xlop.Rate, _xlop.InAdvance, _xlfn.LET( _xlpm.Help, TRIM(_xlfn.TEXTSPLIT( "FUNCTION:      →LeaseLiabilityλ(Payments, Rate, [InAdvance])¶" &amp; "DESCRIPTION:   →Present value of the lease payments that are not paid at the commencement date.¶NOTES!         →AASB 16 paragraph 26 measures the lease liability at the present value¶               →of the lease payments not paid at the commencement date, discounted at¶               →the interest rate implicit in the lease where that rate can be readily¶               →determined and at the lessee's incremental borrowing rate where it¶               →cannot. When InAdvance is TRUE, the first supplied payment is paid at¶               →the measurement date and excluded from the liability. Add a payment¶               →made at or before commencement to the right-of-use asset cost instead.¶               →Rate is the rate per period, so divide an annual rate by the number of¶               →periods in a year. Include an amount expected to be payable under a¶               →residual value guarantee, or the exercise price of a purchase option,¶               →in the final period where paragraph 27 brings it into the lease¶               →payments. Derive an implicit rate with IRRλ() over the same cash flows.¶               →Arithmetic only: this does not determine the lease term, decide what is¶               →a lease payment, or decide whether the arrangement contains a lease.¶               →AASB 16 compilation checked 24 August 2026.¶"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"→=oz.LeaseLiabilityλ({100,100,100}, 0.05)¶" &amp; "→Result¶" &amp; "→272.32", "→", "¶" )), _xlpm.Help?, OR(_xlfn.ISOMITTED(_xlpm.Payments), _xlfn.ISOMITTED(_xlpm.Rate)), _xlpm.Advance?, IF(OR(_xlfn.ISOMITTED(_xlpm.InAdvance), TRIM(_xlpm.InAdvance &amp; "")=""), FALSE, _xlpm.InAdvance), _xlpm.Flat, IF(ROWS(_xlpm.Payments) = 1, _xlpm.Payments, TRANSPOSE(_xlpm.Payments)), _xlpm.Count, COLUMNS(_xlpm.Flat), _xlpm.LiabilityPayments, IF(AND(_xlpm.Advance?, _xlpm.Count &gt; 1), _xlfn.DROP(_xlpm.Flat, , 1), IF(_xlpm.Advance?, 0, _xlpm.Flat)), _xlpm.Exponents, _xlfn.SEQUENCE(1, COLUMNS(_xlpm.LiabilityPayments)), _xlpm.Result, SUM(_xlpm.LiabilityPayments / (1 + _xlpm.Rate) ^ _xlpm.Exponents), CHOOSE( _xlpm.Help? + 1, _xlpm.Result, _xlpm.Help) ) )</definedName>
    <definedName name="oz.LeaseRemeasureλ" comment="Remeasures an AASB 16 lease liability for revised payments and adjusts the right-of-use asset">_xlfn.LAMBDA( _xlop.RevisedPayments, _xlop.Rate, _xlop.CarryingLiability, _xlop.CarryingROU, _xlop.InAdvance, _xlfn.LET( _xlpm.Help, TRIM(_xlfn.TEXTSPLIT( "FUNCTION:      →LeaseRemeasureλ(RevisedPayments, Rate, CarryingLiability, CarryingROU, [InAdvance])¶" &amp; "DESCRIPTION:   →Remeasures a lease liability for revised payments and adjusts the asset.¶NOTES!         →Returns four rows: revised lease liability, adjustment, revised¶               →right-of-use asset, amount recognised in profit or loss. AASB 16¶               →paragraph 42(b) remeasures the liability where future payments change¶               →because an index or a rate used to determine them has changed, and¶               →only when the cash flows change. Paragraph 43 keeps the discount rate¶               →unchanged for that revision, and uses a revised rate only where the¶               →change arises from a floating interest rate, so pass the original rate¶               →unless it is the rate itself that moved. When InAdvance is TRUE, the¶               →first revised payment is paid at the remeasurement date and excluded¶               →from the revised liability. Paragraph 39 takes the remeasurement to the¶               →right-of-use asset, and where that asset is reduced to nil any further¶               →reduction goes to profit or loss: row four carries that remainder,¶               →negative, because it is a credit. Arithmetic only.¶               →AASB 16 compilation checked 24 August 2026.¶" &amp; "WEBPAGE:       →https://github.com/ryanduguid/Ozzit¶" &amp; "VERSION:       →24 Aug 2026¶" &amp; "PARAMETERS:    →¶" &amp; "RevisedPayments→(Required) Revised lease payments for the remaining term, one per period, positive. Include a payment made at the remeasurement date first when InAdvance is TRUE.¶" &amp; "Rate           →(Required) Discount rate per period. Unchanged, unless a floating rate moved.¶" &amp; "CarryingLiability→(Required) Lease liability carried immediately before the remeasurement.¶" &amp; "CarryingROU    →(Required) Right-of-use asset carried immediately before the remeasurement.¶" &amp; "InAdvance      →(Optional: Default = FALSE) TRUE when the first revised payment is paid at the remeasurement date.¶" &amp; "EXAMPLES:      →¶" &amp; "→Formula (oz is assumed to be the module's name)¶" &amp; "→=oz.LeaseRemeasureλ({110,110}, 0.05, 185.94, 181.55)¶" &amp; "→Result¶" &amp; "→204.54¶" &amp; "→ 18.60¶" &amp; "→200.15¶" &amp; "→  0.00", "→", "¶" )), _xlpm.Help?, OR(_xlfn.ISOMITTED(_xlpm.RevisedPayments), _xlfn.ISOMITTED(_xlpm.Rate), _xlfn.ISOMITTED(_xlpm.CarryingLiability), _xlfn.ISOMITTED(_xlpm.CarryingROU)), _xlpm.Advance?, IF(OR(_xlfn.ISOMITTED(_xlpm.InAdvance), TRIM(_xlpm.InAdvance &amp; "")=""), FALSE, _xlpm.InAdvance), _xlpm.Revised, oz.LeaseLiabilityλ(_xlpm.RevisedPayments, _xlpm.Rate, _xlpm.Advance?), _xlpm.Adjustment, _xlpm.Revised - _xlpm.CarryingLiability, _xlpm.RawAsset, _xlpm.CarryingROU + _xlpm.Adjustment, _xlpm.Result, _xlfn.VSTACK(_xlpm.Revised, _xlpm.Adjustment, MAX(_xlpm.RawAsset, 0), MIN(_xlpm.RawAsset, 0)), CHOOSE( _xlpm.Help? + 1, _xlpm.Result, _xlpm.Help) ) )</definedName>
    <definedName name="oz.LeaseScheduleλ" comment="Unwinds an AASB 16 lease liability: opening, payment, interest and closing for each period">_xlfn.LAMBDA( _xlop.Payments, _xlop.Rate, _xlop.InAdvance, _xlfn.LET( _xlpm.Help, TRIM(_xlfn.TEXTSPLIT( "FUNCTION:      →LeaseScheduleλ(Payments, Rate, [InAdvance])¶" &amp; "DESCRIPTION:   →Unwinds an AASB 16 lease liability over its term.¶NOTES!         →Returns four rows: opening liability, payment, interest, closing¶               →liability. When InAdvance is TRUE, the first supplied payment is paid¶               →at the measurement date and is excluded from both the opening liability¶               →and the payment row. Each remaining payment follows one period of¶               →interest, so closing is opening plus interest less payment and the last¶               →closing balance is nil. The result has one fewer column for payments in¶               →advance; a sole measurement-date payment returns one zero column. The¶               →opening balance is LeaseLiabilityλ() on the same arguments. Pair this¶               →with ROUScheduleλ() for the asset that sits opposite it: the two¶               →together give the front-loaded expense profile AASB 16 produces.¶               →Arithmetic only, on the payments and rate you supply.¶"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"→=oz.LeaseScheduleλ({100,100,100}, 0.05)¶" &amp; "→Result¶" &amp; "→272.32, 185.94,  95.24¶" &amp; "→100.00, 100.00, 100.00¶" &amp; "→ 13.62,   9.30,   4.76¶" &amp; "→185.94,  95.24,   0.00", "→", "¶" )), _xlpm.Help?, OR(_xlfn.ISOMITTED(_xlpm.Payments), _xlfn.ISOMITTED(_xlpm.Rate)), _xlpm.Advance?, IF(OR(_xlfn.ISOMITTED(_xlpm.InAdvance), TRIM(_xlpm.InAdvance &amp; "")=""), FALSE, _xlpm.InAdvance), _xlpm.Flat, IF(ROWS(_xlpm.Payments) = 1, _xlpm.Payments, TRANSPOSE(_xlpm.Payments)), _xlpm.InputCount, COLUMNS(_xlpm.Flat), _xlpm.LiabilityPayments, IF(AND(_xlpm.Advance?, _xlpm.InputCount &gt; 1), _xlfn.DROP(_xlpm.Flat, , 1), IF(_xlpm.Advance?, 0, _xlpm.Flat)), _xlpm.Count, COLUMNS(_xlpm.LiabilityPayments), _xlpm.Opening1, oz.LeaseLiabilityλ(_xlpm.Flat, _xlpm.Rate, _xlpm.Advance?), _xlpm.Closings, _xlfn.SCAN(_xlpm.Opening1, _xlpm.LiabilityPayments, _xlfn.LAMBDA(_xlpm.Balance, _xlpm.Payment, _xlpm.Balance * (1 + _xlpm.Rate) - _xlpm.Payment)), _xlpm.Openings, IF(_xlpm.Count = 1, _xlpm.Opening1, _xlfn.HSTACK(_xlpm.Opening1, _xlfn.DROP(_xlpm.Closings, , -1))), _xlpm.Interest, _xlpm.Openings * _xlpm.Rate, _xlpm.Result, _xlfn.VSTACK(_xlpm.Openings, _xlpm.LiabilityPayments, _xlpm.Interest, _xlpm.Closings), CHOOSE( _xlpm.Help? + 1, _xlpm.Result, _xlpm.Help) ) )</definedName>
    <definedName name="oz.MaxColsUλ" comment="Get the maximum for each Column">_xlfn.LAMBDA(_xlop.Array, _xlfn.LET(_xlpm.Help, TRIM(_xlfn.TEXTSPLIT("FUNCTION:      →MaxColsUλ(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"→=oz.MaxColsUλ( SEQUENCE(5,5))", "→", "¶")), _xlpm.Help?, _xlfn.ISOMITTED(_xlpm.Array), _xlpm.Result, _xlfn.BYCOL(_xlpm.Array, _xlfn.LAMBDA(_xlpm.Col, MAX(_xlpm.Col))), CHOOSE(_xlpm.Help? + 1, _xlpm.Result, _xlpm.Help)))</definedName>
    <definedName name="oz.MaxColsλ" comment="Get the maximum for each Column">_xlfn.LAMBDA(_xlop.Array, _xlfn.LET(_xlpm.Help, TRIM(_xlfn.TEXTSPLIT("FUNCTION:      →MaxColsλ(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"→=oz.MaxColsλ( SEQUENCE(5,5))", "→", "¶")), _xlpm.Help?, _xlfn.ISOMITTED(_xlpm.Array), _xlpm.Result, _xlfn.BYCOL(_xlpm.Array, _xlfn.LAMBDA(_xlpm.Col, MAX(_xlpm.Col))), CHOOSE(_xlpm.Help? + 1, _xlpm.Result, _xlpm.Help)))</definedName>
    <definedName name="oz.MaxRowsUλ" comment="Get the maximum for each row">_xlfn.LAMBDA(_xlop.Array, _xlfn.LET(_xlpm.Help, TRIM(_xlfn.TEXTSPLIT("FUNCTION:      →MaxRowsUλ(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"→=oz.MaxRowsUλ( SEQUENCE(5,5))", "→", "¶")), _xlpm.Help?, _xlfn.ISOMITTED(_xlpm.Array), _xlpm.Result, _xlfn.BYROW(_xlpm.Array, _xlfn.LAMBDA(_xlpm.Row, MAX(_xlpm.Row))), CHOOSE(_xlpm.Help? + 1, _xlpm.Result, _xlpm.Help)))</definedName>
    <definedName name="oz.MaxRowsλ" comment="Get the maximum for each row">_xlfn.LAMBDA(_xlop.Array, _xlfn.LET(_xlpm.Help, TRIM(_xlfn.TEXTSPLIT("FUNCTION:      →MaxRowsλ(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"→=oz.MaxRowsλ( SEQUENCE(5,5))", "→", "¶")), _xlpm.Help?, _xlfn.ISOMITTED(_xlpm.Array), _xlpm.Result, _xlfn.BYROW(_xlpm.Array, _xlfn.LAMBDA(_xlpm.Row, MAX(_xlpm.Row))), CHOOSE(_xlpm.Help? + 1, _xlpm.Result, _xlpm.Help)))</definedName>
    <definedName name="oz.MinColsUλ" comment="Get the minimum for each Column">_xlfn.LAMBDA(_xlop.Array, _xlfn.LET(_xlpm.Help, TRIM(_xlfn.TEXTSPLIT("FUNCTION:      →MinColsUλ( Array)¶" &amp; "DESCRIPTION:   →Get the minimum for each Column¶" &amp; "WEBPAGE:       →https://github.com/ryanduguid/Ozzit¶" &amp; "VERSION:       →20 Aug 2026¶" &amp; "PARAMETERS:    →¶" &amp; "Array          →(Required) A two dimensional array/range containing values to find the minumum by column.¶" &amp; "EXAMPLES:      →Formula (oz is assumed to be the module's name)¶" &amp; "→=oz.MinColsUλ( SEQUENCE(5,5))", "→", "¶")), _xlpm.Help?, _xlfn.ISOMITTED(_xlpm.Array), _xlpm.Result, _xlfn.BYCOL(_xlpm.Array, _xlfn.LAMBDA(_xlpm.Col, MIN(_xlpm.Col))), CHOOSE(_xlpm.Help? + 1, _xlpm.Result, _xlpm.Help)))</definedName>
    <definedName name="oz.MinColsλ" comment="Get the minimum for each Column">_xlfn.LAMBDA(_xlop.Array, _xlfn.LET(_xlpm.Help, TRIM(_xlfn.TEXTSPLIT("FUNCTION:      →MinColsλ( Array)¶" &amp; "DESCRIPTION:   →Get the minimum for each Column¶" &amp; "WEBPAGE:       →https://github.com/ryanduguid/Ozzit¶" &amp; "VERSION:       →20 Aug 2026¶" &amp; "PARAMETERS:    →¶" &amp; "Array          →(Required) A two dimensional array/range containing values to find the minumum by column.¶" &amp; "EXAMPLES:      →Formula (oz is assumed to be the module's name)¶" &amp; "→=oz.MinColsλ( SEQUENCE(5,5))", "→", "¶")), _xlpm.Help?, _xlfn.ISOMITTED(_xlpm.Array), _xlpm.Result, _xlfn.BYCOL(_xlpm.Array, _xlfn.LAMBDA(_xlpm.Col, MIN(_xlpm.Col))), CHOOSE(_xlpm.Help? + 1, _xlpm.Result, _xlpm.Help)))</definedName>
    <definedName name="oz.MinRowsUλ" comment="Get the minimum for each row">_xlfn.LAMBDA(_xlop.Array, _xlfn.LET(_xlpm.Help, TRIM(_xlfn.TEXTSPLIT("FUNCTION:      →MinRowsUλ(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"→=oz.MinRowsUλ( SEQUENCE(5,5))", "→", "¶")), _xlpm.Help?, _xlfn.ISOMITTED(_xlpm.Array), _xlpm.Result, _xlfn.BYROW(_xlpm.Array, _xlfn.LAMBDA(_xlpm.Row, MIN(_xlpm.Row))), CHOOSE(_xlpm.Help? + 1, _xlpm.Result, _xlpm.Help)))</definedName>
    <definedName name="oz.MinRowsλ" comment="Get the minimum for each row">_xlfn.LAMBDA(_xlop.Array, _xlfn.LET(_xlpm.Help, TRIM(_xlfn.TEXTSPLIT("FUNCTION:      →MinRowsλ(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"→=oz.MinRowsλ( SEQUENCE(5,5))", "→", "¶")), _xlpm.Help?, _xlfn.ISOMITTED(_xlpm.Array), _xlpm.Result, _xlfn.BYROW(_xlpm.Array, _xlfn.LAMBDA(_xlpm.Row, MIN(_xlpm.Row))), CHOOSE(_xlpm.Help? + 1, _xlpm.Result, _xlpm.Help)))</definedName>
    <definedName name="oz.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→https://github.com/ryanduguid/Ozzit¶" &amp; "VERSION:       →20 Aug 2026¶" &amp; "PARAMETERS:    →¶" &amp; "BeginningValues→(Optional) Defaults to 0¶" &amp; "Values         →(Required) A row of values to compare column to column¶" &amp; "EXAMPLES:      →¶" &amp; "Result         →Formula (oz is assumed to be the module's name)¶" &amp; "100,10,20,-30  →=oz.Movementλ(,{100,110,130,100},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oz.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→20 Aug 2026¶" &amp; "PARAMETERS:→¶" &amp; "NetIncome      →(Required) Net Income includes:¶" &amp; "→Revenue¶" &amp; "→Less COGS¶" &amp; "→Less Operating and other expenses¶" &amp; "→Less Interest¶" &amp; "→Less Taxes¶" &amp; "Revenue        →(Required) Revenue¶" &amp; "EXAMPLES:      →Formula (oz is assumed to be the module's name)¶" &amp; "56%            →=oz.NetProfitMarginλ( 56.0, 100.0 )", "→", "¶")), _xlpm.Help?, OR(_xlfn.ISOMITTED(_xlpm.NetIncome), _xlfn.ISOMITTED(_xlpm.Revenue)), _xlpm.Result, _xlpm.NetIncome / _xlpm.Revenue, CHOOSE(_xlpm.Help? + 1, _xlpm.Result, _xlpm.Help)))</definedName>
    <definedName name="oz.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→20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(oz is assumed to be the module's name)¶" &amp; "0.35871            →=oz.OperatingCashFlowRatioλ( 27.8, 77.5)", "→", "¶")), _xlpm.Help?, OR(_xlfn.ISOMITTED(_xlpm.OperatingCashFlow), _xlfn.ISOMITTED(_xlpm.Liabilities)), _xlpm.Result, _xlpm.OperatingCashFlow / _xlpm.Liabilities, CHOOSE(_xlpm.Help? + 1, _xlpm.Result, _xlpm.Help)))</definedName>
    <definedName name="oz.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→20 Aug 2026¶" &amp; "PARAMETERS:→¶" &amp; "OperatingEarnings  →(Required) Earnings Before Interest and tax (EBIT) which is revenue - COGS¶" &amp; "Revenue            →(Required) Revenue¶" &amp; "EXAMPLES:          →Formula (oz is assumed to be the module's name)¶" &amp; "40%                →=oz.OperatingMarginλ( .8, 2.0 )", "→", "¶")), _xlpm.Help?, OR(_xlfn.ISOMITTED(_xlpm.OperatingEarnings), _xlfn.ISOMITTED(_xlpm.Revenue)), _xlpm.Result, _xlpm.OperatingEarnings / _xlpm.Revenue, CHOOSE(_xlpm.Help? + 1, _xlpm.Result, _xlpm.Help)))</definedName>
    <definedName name="oz.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→20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(oz is assumed to be the module's name)¶" &amp; "69%                →=oz.OperatingRatioλ( 14.37,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oz.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→https://github.com/ryanduguid/Ozzit¶" &amp; "PARAMETERS:    →¶" &amp; "Period1Start   →(Required) First period's start date.¶" &amp; "Period1End     →(Required) First period's end date.¶" &amp; "Period2Start   →(Required) Second period's start date.¶" &amp; "Period2End     →(Required) Decond period's end date.¶" &amp; "EXAMPLES:      →¶" &amp; "Result         →Formula (oz is assumed to be the module's name)¶" &amp; "5              →=oz.OverLapDaysλ(08, 14, 10, 17)¶" &amp; "8              →=oz.OverLapDaysλ(10, 20, 11, 18)¶" &amp; "2              →=oz.OverLapDaysλ(""17/7/2026"", ""25/7/2026"", ""7/7/2026"", ""18/7/2026"")",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IF(_xlpm.CvtP2End &lt;= _xlpm.CvtP1End, _xlpm.CvtP2End, _xlpm.CvtP1End), _xlpm.MaxOfStart, IF(_xlpm.CvtP2Start &gt;= _xlpm.CvtP1Start, _xlpm.CvtP2Start, _xlpm.CvtP1Start), _xlpm.Days, _xlpm.MinOfEnd - _xlpm.MaxOfStart + 1, _xlpm.Result, IF(_xlpm.Days &gt; 0, _xlpm.Days, 0), CHOOSE(_xlpm.Help? + 1, _xlpm.Result, _xlpm.Help)))</definedName>
    <definedName name="oz.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→https://github.com/ryanduguid/Ozzit¶" &amp; "VERSION:       →20 Aug 2026¶" &amp; "PARAMETERS:    →¶" &amp; "StartDate      →(Required) Start Date.¶" &amp; "EndDate        →(Required) End Date¶" &amp; "Interval       →(Required) W=Week, M=Month, Q=Quarter, Y=Year.¶" &amp; "EXAMPLES:      →¶" &amp; "Result         →Formula (oz is assumed to be the module's name)¶" &amp; "1              →=oz.PeriodDiffλ(""2026-01-01"",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oz.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→https://github.com/ryanduguid/Ozzit¶"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(oz is assumed to be the module's name)¶" &amp; "2026-Aug-26    →=oz.PeriodLabelλ(DATEVALUE(""26/8/2026""), ""D"")¶" &amp; "2026-Aug       →=oz.PeriodLabelλ(DATEVALUE(""26/8/2026""), ""M"")¶" &amp; "2026:Q3       →=oz.PeriodLabelλ(DATEVALUE(""26/8/2026""), ""Q"")¶" &amp; "2026           →=oz.PeriodLabelλ(DATEVALUE(""26/8/2026""), ""Y"")", "→", "¶")), _xlpm.Help?, _xlfn.ISOMITTED(_xlpm.Date), _xlpm.CvtDate, IF(_xlfn.ISOMITTED(_xlpm.Date), FALSE, IF(ISNUMBER(_xlpm.Date), _xlpm.Date, DATEVALUE(_xlpm.Date))), _xlpm.Interval, IF(_xlfn.ISOMITTED(_xlpm.Interval), "M", _xlpm.Interval), _xlpm.Result, _xlfn.SWITCH(_xlpm.Interval, "D", TEXT(_xlpm.CvtDate, "yyyy-mmm-dd"), "W", YEAR(_xlpm.CvtDate) &amp; ":W" &amp; TEXT(QUOTIENT(_xlpm.CvtDate - DATE(YEAR(_xlpm.CvtDate), 1, 0) - 1, 7) + 1, "00"), "I", YEAR(_xlpm.CvtDate) &amp; ":W" &amp; TEXT(_xlfn.ISOWEEKNUM(_xlpm.CvtDate), "00"), "M", TEXT(_xlpm.CvtDate, "YYYY-MMM"), "Q", YEAR(_xlpm.CvtDate) &amp; ":Q" &amp; QUOTIENT(MONTH(_xlpm.CvtDate) - 1, 3) + 1, "S", YEAR(_xlpm.CvtDate) &amp; ":S" &amp; QUOTIENT(MONTH(_xlpm.CvtDate) - 1, 6) + 1, "A", TEXT(_xlpm.CvtDate, "YYYY"), "Y", TEXT(_xlpm.CvtDate, "YYYY"), #VALUE!), CHOOSE(_xlpm.Help? + 1, _xlpm.Result, _xlpm.Help)))</definedName>
    <definedName name="oz.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→https://github.com/ryanduguid/Ozzit¶" &amp; "VERSION:       →20 Aug 2026¶" &amp; "PARAMETERS:    →¶" &amp; "AnyPeriodStart →(Required) Any start date within a timeline.¶" &amp; "MonthsPerPeriod→(Required) Number of months in each period¶" &amp; "DateOfInterest →(Required) A date for which we want to know the start of the period containing it.¶" &amp; "EXAMPLES:      →¶" &amp; "Result         →Formula (oz is assumed to be the module's name)¶" &amp; "2026-10-01     →=oz.PeriodStartλ(""2026-07-01"", 3, ""2026-10-15"")",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oz.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Counts the period starts crossed, so a part period at the end counts¶" &amp; "→* Returns negative values if Date1 is after Date2¶" &amp; "WEBPAGE:       →https://github.com/ryanduguid/Ozzit¶"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(oz is assumed to be the module's name)¶" &amp; "2              →=oz.Periodsλ(""31/7/2026"", ""15/9/2026"")¶" &amp; "-2             →=oz.Periodsλ(""15/9/2026"", ""31/7/2026"")¶" &amp; "-12            →=oz.Periodsλ(""15/7/2027"", ""16/7/2026"")¶" &amp; "-52            →=oz.Periodsλ(""15/7/2027"", ""16/7/2026"",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_xlpm.WPY, 53, _xlpm.QPY, 4,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SIGN(_xlpm.DateTwo - _xlpm.DateOne), _xlpm.Periods, _xlfn.SWITCH(_xlpm.Interval, "D", _xlpm.Latest - _xlpm.Earliest, "W", _xlpm.WPY * (YEAR(_xlpm.Latest) - YEAR(_xlpm.Earliest)) + QUOTIENT(_xlpm.Latest - DATE(YEAR(_xlpm.Latest), 1, 0) - 1, _xlpm.DPW) - QUOTIENT(_xlpm.Earliest - DATE(YEAR(_xlpm.Earliest), 1, 0) - 1, _xlpm.DPW), "M", _xlpm.MPY * (YEAR(_xlpm.Latest) - YEAR(_xlpm.Earliest)) + MONTH(_xlpm.Latest) - MONTH(_xlpm.Earliest), "Q", _xlpm.QPY * (YEAR(_xlpm.Latest) - YEAR(_xlpm.Earliest)) + QUOTIENT(MONTH(_xlpm.Latest) - 1, _xlpm.MPQ) - QUOTIENT(MONTH(_xlpm.Earliest) - 1, _xlpm.MPQ), "Y", YEAR(_xlpm.Latest) - YEAR(_xlpm.Earliest)), _xlpm.Sign * _xlpm.Periods))), CHOOSE(_xlpm.Help? + 1, _xlpm.Result, _xlpm.Help)))</definedName>
    <definedName name="oz.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→20 Aug 2026¶" &amp; "PARAMETERS:→¶" &amp; "PretaxEarnings →(Required) Earnings before tax (EBT)¶" &amp; "Revenue        →(Required) Revenue¶" &amp; "EXAMPLES:      →Formula (oz is assumed to be the module's name)¶" &amp; "8%             →=oz.PretaxMarginλ( 40.0, 500.0 )", "→", "¶")), _xlpm.Help?, OR(_xlfn.ISOMITTED(_xlpm.PretaxEarnings), _xlfn.ISOMITTED(_xlpm.Revenue)), _xlpm.Result, _xlpm.PretaxEarnings / _xlpm.Revenue, CHOOSE(_xlpm.Help? + 1, _xlpm.Result, _xlpm.Help)))</definedName>
    <definedName name="oz.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→20 Aug 2026¶" &amp; "PARAMETERS:→¶" &amp; "SharePrice         →(Required) Share Price (Market Value Per Share) ¶" &amp; "EarningsPerShare   →(Required) Earnings Per Share¶" &amp; "EXAMPLES:          →Formula (oz is assumed to be the module's name)¶" &amp; "14.39881           →=oz.PriceEarningsRatioλ( 242.62, 16.85)", "→", "¶")), _xlpm.Help?, OR(_xlfn.ISOMITTED(_xlpm.SharePrice), _xlfn.ISOMITTED(_xlpm.EarningsPerShare)), _xlpm.Result, _xlpm.SharePrice / _xlpm.EarningsPerShare, CHOOSE(_xlpm.Help? + 1, _xlpm.Result, _xlpm.Help)))</definedName>
    <definedName name="oz.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→20 Aug 2026¶" &amp; "PARAMETERS:→¶" &amp; "MarketPricePerShare→(Required) Market Price Per Share (Current market price of the share)¶" &amp; "BookValuePerShare  →(Required) Book Value Per share ¶" &amp; "→(Total assets - intangible assets - total liabilities) ÷ number of outstanding shares ¶" &amp; "EXAMPLES:          →Formula (oz is assumed to be the module's name)¶" &amp; "2.0                →=oz.PriceToBookRatioλ( 5, 2.50 )", "→", "¶")), _xlpm.Help?, OR(_xlfn.ISOMITTED(_xlpm.MarketPricePerShare), _xlfn.ISOMITTED(_xlpm.BookValuePerShare)), _xlpm.Result, _xlpm.MarketPricePerShare / _xlpm.BookValuePerShare, CHOOSE(_xlpm.Help? + 1, _xlpm.Result, _xlpm.Help)))</definedName>
    <definedName name="oz.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→20 Aug 2026¶" &amp; "PARAMETERS:→¶" &amp; "MarketPricePerShare→(Required) Market Price Per Share (Current market price of the share)¶" &amp; "OperatingCashFlowPerShare→(Required) Operating Cash Flow for prior 12 months/Shares outstanding ¶" &amp; "EXAMPLES:          →Formula (oz is assumed to be the module's name)¶" &amp; "2                  →=oz.PriceToCashRatioλ( 200.0, 100.0 )", "→", "¶")), _xlpm.Help?, OR(_xlfn.ISOMITTED(_xlpm.MarketPricePerShare), _xlfn.ISOMITTED(_xlpm.OperatingCashFlowPerShare)), _xlpm.Result, _xlpm.MarketPricePerShare / _xlpm.OperatingCashFlowPerShare, CHOOSE(_xlpm.Help? + 1, _xlpm.Result, _xlpm.Help)))</definedName>
    <definedName name="oz.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→20 Aug 2026¶" &amp; "PARAMETERS:→¶" &amp; "MarketPricePerShare→(Required) Market Price Per Share (Current market price of the share)¶" &amp; "SalesPerShare      →(Required) Annual Sales Per Share (Revenue prior 12 months) ¶" &amp; "EXAMPLES:          →Formula (oz is assumed to be the module's name)¶" &amp; "4.55               →=oz.PriceToSalesRatioλ( 455.0, 100.0 )", "→", "¶")), _xlpm.Help?, OR(_xlfn.ISOMITTED(_xlpm.MarketPricePerShare), _xlfn.ISOMITTED(_xlpm.SalesPerShare)), _xlpm.Result, _xlpm.MarketPricePerShare / _xlpm.SalesPerShare, CHOOSE(_xlpm.Help? + 1, _xlpm.Result, _xlpm.Help)))</definedName>
    <definedName name="oz.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→https://github.com/ryanduguid/Ozzit¶" &amp; "VERSION:       →20 Aug 2026¶" &amp; "PARAMETERS:    →¶" &amp; "Cost           →(Required) Asset's cost.¶" &amp; "Life           →(Required) Asset's effective life in years.¶" &amp; "EXAMPLES:      →¶" &amp; "→Formula (oz is assumed to be the module's name)¶" &amp; "→=oz.PrimeCostλ(1000,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oz.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→20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(oz is assumed to be the module's name)¶" &amp; "1.2            →=oz.QuickRatioλ( 165000, 137500)", "→", "¶")), _xlpm.Help?, OR(_xlfn.ISOMITTED(_xlpm.QuickAssets), _xlfn.ISOMITTED(_xlpm.Liabilities)), _xlpm.Result, _xlpm.QuickAssets / _xlpm.Liabilities, CHOOSE(_xlpm.Help? + 1, _xlpm.Result, _xlpm.Help)))</definedName>
    <definedName name="oz.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→https://github.com/ryanduguid/Ozzit¶" &amp; "VERSION:       →20 Aug 2026¶" &amp; "PARAMETERS:    →¶" &amp; "Cell           →(Required) The upper left cell of a range to convert¶" &amp; "Rows           →(Optional) The number of rows for dynamic array. Defaults to 1.¶" &amp; "Columns        →(Optional) The number of columns for dynamic array. Defaults to 1.¶" &amp; "EXAMPLES:      →¶" &amp; "Result         →Formula (oz is assumed to be the module's name)¶" &amp; "               →=oz.RangeToDAλ(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oz.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→20 Aug 2026¶" &amp; "PARAMETERS:→¶" &amp; "NetCreditSales →(Required) Net Credit Sales. Amount of revenue earned by a company paid via credit¶" &amp; "AverageAccountsReceivable→(Required) Average Accounts Receivable. Average of period opening and closing balance¶" &amp; "EXAMPLES:      →Formula (oz is assumed to be the module's name)¶" &amp; "11.76471       →=oz.ReceivablesTurnoverRatioλ( 800000, 68000 )", "→", "¶")), _xlpm.Help?, OR(_xlfn.ISOMITTED(_xlpm.NetCreditSales), _xlfn.ISOMITTED(_xlpm.AverageAccountsReceivable)), _xlpm.Result, _xlpm.NetCreditSales / _xlpm.AverageAccountsReceivable, CHOOSE(_xlpm.Help? + 1, _xlpm.Result, _xlpm.Help)))</definedName>
    <definedName name="oz.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→20 Aug 2026¶" &amp; "PARAMETERS:→¶" &amp; "RetainedEarnings   →(Required) Retained Earnings (Net Income - paid dividends)¶" &amp; "NetIncome          →(Required) Net Income¶" &amp; "EXAMPLES:          →Formula (oz is assumed to be the module's name)¶" &amp; "189.9%             →=oz.RetentionRatioλ( 41.981, 22.112)", "→", "¶")), _xlpm.Help?, OR(_xlfn.ISOMITTED(_xlpm.RetainedEarnings), _xlfn.ISOMITTED(_xlpm.NetIncome)), _xlpm.Result, _xlpm.RetainedEarnings / _xlpm.NetIncome, CHOOSE(_xlpm.Help? + 1, _xlpm.Result, _xlpm.Help)))</definedName>
    <definedName name="oz.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→https://github.com/ryanduguid/Ozzit¶" &amp; "VERSION:       →20 Aug 2026¶" &amp; "PARAMETERS:    →¶" &amp; "OpeningValue   →(Optional) Defaults to 0¶" &amp; "RowToReverse   →(Required) A row of values to reverse the following periods¶" &amp; "EXAMPLES:      →¶" &amp; "Result         →Formula (oz is assumed to be the module's name)¶" &amp; "-100,-110,-130 →=oz.Reversalλ(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oz.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→20 Aug 2026¶" &amp; "PARAMETERS:→¶" &amp; "NetIncome      →(Required) Net Income¶" &amp; "TotalAssets    →(Required) Total Assets¶" &amp; "EXAMPLES:      →Formula (oz is assumed to be the module's name)¶" &amp; "8%             →=oz.ROAλ(1200, 15000 )", "→", "¶")), _xlpm.Help?, OR(_xlfn.ISOMITTED(_xlpm.NetIncome), _xlfn.ISOMITTED(_xlpm.TotalAssets)), _xlpm.Result, _xlpm.NetIncome / _xlpm.TotalAssets, CHOOSE(_xlpm.Help? + 1, _xlpm.Result, _xlpm.Help)))</definedName>
    <definedName name="oz.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→20 Aug 2026¶" &amp; "PARAMETERS:→¶" &amp; "NetIncome          →(Required) Net Income¶" &amp; "ShareholdersEquity →(Required) Average Shareholders' Equity from period open and close ¶" &amp; "EXAMPLES:          →Formula (oz is assumed to be the module's name)¶" &amp; "23.6213%           →=oz.ROEλ( 59.972, AVERAGE(251.635, 256.144) )", "→", "¶")), _xlpm.Help?, OR(_xlfn.ISOMITTED(_xlpm.NetIncome), _xlfn.ISOMITTED(_xlpm.ShareholdersEquity)), _xlpm.Result, _xlpm.NetIncome / _xlpm.ShareholdersEquity, CHOOSE(_xlpm.Help? + 1, _xlpm.Result, _xlpm.Help)))</definedName>
    <definedName name="oz.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→20 Aug 2026¶" &amp; "PARAMETERS:→¶" &amp; "NetOperatingProfitAfterTax→(Required) Net Operating profit after Tax [ operating profit x (1 - effective tax rate) ].¶" &amp; "InvestedCapital→(Required) Invested Capital (Debt + Equity).¶" &amp; "EXAMPLES:      →Formula (oz is assumed to be the module's name)¶" &amp; "12.6122%       →=oz.ROICλ( 3245, 25729 )", "→", "¶")), _xlpm.Help?, OR(_xlfn.ISOMITTED(_xlpm.NetOperatingProfitAfterTax), _xlfn.ISOMITTED(_xlpm.InvestedCapital)), _xlpm.Result, _xlpm.NetOperatingProfitAfterTax / _xlpm.InvestedCapital, CHOOSE(_xlpm.Help? + 1, _xlpm.Result, _xlpm.Help)))</definedName>
    <definedName name="oz.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→https://www.investopedia.com/terms/r/returnoninvestment.asp ¶" &amp; "VERSION:               →20 Aug 2026¶" &amp; "PARAMETERS:→¶" &amp; "NetReturnonInvestment  →(Required) Net Return on Investment is the ¶" &amp; "→final value of investment - initial value of investment¶" &amp; "CostofInvestment       →(Required) Cost of Investment ¶" &amp; "EXAMPLES:              →Formula (oz is assumed to be the module's name)¶" &amp; "28.75%                 →=oz.ROIλ( 2875, 10000 )", "→", "¶")), _xlpm.Help?, OR(_xlfn.ISOMITTED(_xlpm.NetReturnonInvestment), _xlfn.ISOMITTED(_xlpm.CostofInvestment)), _xlpm.Result, _xlpm.NetReturnonInvestment / _xlpm.CostofInvestment, CHOOSE(_xlpm.Help? + 1, _xlpm.Result, _xlpm.Help)))</definedName>
    <definedName name="oz.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→https://github.com/ryanduguid/Ozzit¶" &amp; "VERSION:       →20 Aug 2026¶" &amp; "PARAMETERS:    →¶" &amp; "Values         →(Required) A row of values to be averaged.¶" &amp; "Size           →(Required) The number of values to average that ¶" &amp; "→include and preceed the current value¶" &amp; "EXAMPLES:      →¶" &amp; "Result         →Formula (oz is assumed to be the module's name)¶" &amp; "1,1.5,2,3,4    →=oz.RollingAvgλ(SEQUENCE(,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oz.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→https://github.com/ryanduguid/Ozzit¶" &amp; "VERSION:       →20 Aug 2026¶" &amp; "PARAMETERS:    →¶" &amp; "Values         →(Required) A row of values to be maxed.¶" &amp; "Size           →(Required) The number of values to find maximum that ¶" &amp; "→include and preceed the current value¶" &amp; "EXAMPLES:      →¶" &amp; "Result         →Formula (oz is assumed to be the module's name)¶" &amp; "5,5,5,6,6,7    →=oz.RollingMaxλ({5,3,4,6,3,7},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oz.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→https://github.com/ryanduguid/Ozzit¶" &amp; "VERSION:       →20 Aug 2026¶" &amp; "PARAMETERS:    →¶" &amp; "Values         →(Required) A row of values to be minned.¶" &amp; "Size           →(Required) The number of values to find maximum that ¶" &amp; "→include and preceed the current value¶" &amp; "EXAMPLES:      →¶" &amp; "Result         →Formula (oz is assumed to be the module's name)¶" &amp; "5,3,3,3,2,2    →=oz.RollingMinλ({5,3,4,6,2,7},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oz.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→https://github.com/ryanduguid/Ozzit¶" &amp; "VERSION:       →20 Aug 2026¶" &amp; "PARAMETERS:    →¶" &amp; "Values         →(Required) A row of values to be totalled.¶" &amp; "Size           →(Required) The number of values to total that ¶" &amp; "→include and preceed the current value¶" &amp; "EXAMPLES:      →¶" &amp; "Result         →Formula (oz is assumed to be the module's name)¶" &amp; "1,3,6,9,12     →=oz.RollingSumλ(SEQUENCE(,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oz.ROUScheduleλ" comment="Straight-line right-of-use asset schedule: opening, depreciation and closing for each period">_xlfn.LAMBDA( _xlop.Cost, _xlop.Periods, _xlfn.LET( _xlpm.Help, TRIM(_xlfn.TEXTSPLIT( "FUNCTION:      →ROUScheduleλ(Cost, Periods)¶" &amp; "DESCRIPTION:   →Depreciates a right-of-use asset in a straight line over the lease term.¶NOTES!         →Returns three rows: opening carrying amount, depreciation, closing¶               →carrying amount. AASB 16 paragraph 24 measures the asset at cost,¶               →comprising the initial lease liability, lease payments made at or¶               →before the commencement date less incentives received, initial direct¶               →costs, and an estimate of dismantling and restoration costs. Add those¶               →up yourself and pass the total as Cost. Depreciate over the lease term¶               →where ownership does not transfer, and over the useful life where it¶               →does. Cost and Periods are single values, not arrays. Arithmetic only.¶               →AASB 16 compilation checked 24 August 2026.¶" &amp; "WEBPAGE:       →https://github.com/ryanduguid/Ozzit¶" &amp; "VERSION:       →24 Aug 2026¶" &amp; "PARAMETERS:    →¶" &amp; "Cost           →(Required) Initial carrying amount of the right-of-use asset.¶" &amp; "Periods        →(Required) Number of periods to depreciate over, at least 1.¶" &amp; "EXAMPLES:      →¶" &amp; "→Formula (oz is assumed to be the module's name)¶" &amp; "→=oz.ROUScheduleλ(300, 3)¶" &amp; "→Result¶" &amp; "→300, 200, 100¶" &amp; "→100, 100, 100¶" &amp; "→200, 100,   0", "→", "¶" )), _xlpm.Help?, OR(_xlfn.ISOMITTED(_xlpm.Cost), _xlfn.ISOMITTED(_xlpm.Periods)), _xlpm.Valid?, AND(ISNUMBER(_xlpm.Cost), ISNUMBER(_xlpm.Periods), _xlpm.Periods &gt;= 1), _xlpm.Count, IF(_xlpm.Valid?, INT(_xlpm.Periods), 1), _xlpm.Charge, IF(_xlpm.Valid?, _xlpm.Cost / _xlpm.Count, 0), _xlpm.Index, _xlfn.SEQUENCE(1, _xlpm.Count), _xlpm.Result, IF(_xlpm.Valid?, _xlfn.VSTACK( _xlpm.Cost - _xlpm.Charge * (_xlpm.Index - 1), _xlfn.SEQUENCE(1, _xlpm.Count, _xlpm.Charge, 0), _xlpm.Cost - _xlpm.Charge * _xlpm.Index), "ROUScheduleλ needs a numeric Cost and Periods of at least 1"), CHOOSE( _xlpm.Help? + 1, _xlpm.Result, _xlpm.Help) ) )</definedName>
    <definedName name="oz.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→https://github.com/ryanduguid/Ozzit¶"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(oz is assumed to be the module's name)¶" &amp; "→oz.ScheduleRatesByItemsλ( Timelineλ( ""1/7/2026""),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_xlfn.XLOOKUP(_xlpm.CvtPrdEnds, _xlpm.ItemDates, _xlpm.ItemRates, 0, -1), _xlpm.Result, IF(_xlpm.DoNotUse &gt;= _xlpm.Counts, _xlpm.NewRow, _xlfn.VSTACK(_xlpm.NewRow, oz.ScheduleRatesByItemsλ(_xlpm.CvtPrdEnds, _xlpm.ItemFilter, _xlpm.ItemList, _xlpm.CvtEffDates, _xlpm.RateList, _xlpm.DoNotUse + 1))), CHOOSE(_xlpm.Help? + 1, _xlpm.Result, _xlpm.Help)))</definedName>
    <definedName name="oz.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→https://github.com/ryanduguid/Ozzit¶" &amp; "PARAMETERS:    →¶" &amp; "PeriodEnds     →(Required) A row of period end dates (timeline).¶" &amp; "RateStarts     →(Required) A column or row of rate effective dates in any order.¶" &amp; "Rates          →(Required) A column or row of rates associated with RateStarts.¶" &amp; "EXAMPLES:      →¶" &amp; "Result         →Formula (oz is assumed to be the module's name)¶" &amp; "_,10,20,30,30  →=oz.ScheduleRatesλ(Timelineλ(""1/7/2026"",5,""W""),{46208; 46216; 46222},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_xlfn.XLOOKUP(_xlpm.CvtEnds, _xlpm.CvtStarts, _xlpm.Rates, "", -1), CHOOSE(_xlpm.Help? + 1, _xlpm.Result, _xlpm.Help)))</definedName>
    <definedName name="oz.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→https://github.com/ryanduguid/Ozzit¶"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(oz is assumed to be the module's name)¶" &amp; "→oz.ScheduleValuesByItemsλ( Timelineλ( ""1/7/2026""),  Timelineλ( ""1/7/2026"",,,FALSE),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_xlpm.CvtPrdStarts) * (_xlpm.ItemDates &lt;= _xlpm.CvtPrdEnds) * _xlpm.ItemValues, _xlpm.NewRow, _xlfn.BYCOL(_xlpm.Array, _xlfn.LAMBDA(_xlpm.Column, SUM(_xlpm.Column))), _xlpm.Result, IF(_xlpm.Counter &gt;= _xlpm.Counts, _xlpm.NewRow, _xlfn.VSTACK(_xlpm.NewRow, oz.ScheduleValuesByItemsλ(_xlpm.CvtPrdStarts, _xlpm.CvtPrdEnds, _xlpm.ItemFilter, _xlpm.ItemList, _xlpm.CvtEffDates, _xlpm.ValueList, _xlpm.Counter + 1))), CHOOSE(_xlpm.Help? + 1, _xlpm.Result, _xlpm.Help)))</definedName>
    <definedName name="oz.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→https://github.com/ryanduguid/Ozzit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(oz is assumed to be the module's name)¶" &amp; "→=oz.ScheduleValuesλ(Timelineλ(""1/7/2026""), Timelineλ(""1/7/2026"",,,FALSE), {1;3}, {""1/7/2026""; ""15/8/2026""})",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COLUMNS(_xlpm.CvtPrdStarts)), _xlfn.LAMBDA(_xlpm.Period, _xlfn.LET(_xlpm.StartDate, INDEX(_xlpm.CvtPrdStarts, _xlpm.Period), _xlpm.EndDate, INDEX(_xlpm.CvtPrdEnds, _xlpm.Period), SUM(_xlpm.Values * (_xlpm.CvtEffDates &gt;= _xlpm.StartDate) * (_xlpm.CvtEffDates &lt;= _xlpm.EndDate))))), CHOOSE(_xlpm.Help? + 1, _xlpm.Result, _xlpm.Help)))</definedName>
    <definedName name="oz.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oz.SumAmortiseλ" comment="Create row totals for Amortiseλ">_xlfn.LAMBDA(_xlop.AmortisationSchedule, _xlfn.LET(_xlpm.Help, TRIM(_xlfn.TEXTSPLIT("FUNCTION:      →SumAmortiseλ(AmortisationSchedule)¶" &amp; "DESCRIPTION:   →Create row totals for Amortiseλ¶" &amp; "WEBPAGE:       →https://github.com/ryanduguid/Ozzit¶" &amp; "VERSION:       →20 Aug 2026¶" &amp; "PARAMETERS:    →¶" &amp; "AmortisationSchedule→(Required) An array produced by Amortiseλ¶" &amp; "EXAMPLES:→¶" &amp; "Result         →Formula (oz is assumed to be the module's name)¶" &amp; "→=oz.SumAmortiseλ(AmortisationSchedule)",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oz.SumColsUλ" comment="Get the total for each Column">_xlfn.LAMBDA(_xlop.Array, _xlfn.LET(_xlpm.Help, TRIM(_xlfn.TEXTSPLIT("FUNCTION:      →SumColsUλ(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"→=oz.SumColsUλ( SEQUENCE(5,5))", "→", "¶")), _xlpm.Help?, _xlfn.ISOMITTED(_xlpm.Array), _xlpm.Result, _xlfn.BYCOL(_xlpm.Array, _xlfn.LAMBDA(_xlpm.Col, SUM(_xlpm.Col))), CHOOSE(_xlpm.Help? + 1, _xlpm.Result, _xlpm.Help)))</definedName>
    <definedName name="oz.SumColsλ" comment="Get the total for each Column">_xlfn.LAMBDA(_xlop.Array, _xlfn.LET(_xlpm.Help, TRIM(_xlfn.TEXTSPLIT("FUNCTION:      →SumColsλ(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"→=oz.SumColsλ( SEQUENCE(5,5))", "→", "¶")), _xlpm.Help?, _xlfn.ISOMITTED(_xlpm.Array), _xlpm.Result, _xlfn.BYCOL(_xlpm.Array, _xlfn.LAMBDA(_xlpm.Col, SUM(_xlpm.Col))), CHOOSE(_xlpm.Help? + 1, _xlpm.Result, _xlpm.Help)))</definedName>
    <definedName name="oz.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→https://github.com/ryanduguid/Ozzit¶" &amp; "VERSION:       →20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(oz is assumed to be the module's name)¶" &amp; "               →=oz.SumContainsλ(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oz.SumDepreciateλ" comment="Create row totals for Depreciateλ">_xlfn.LAMBDA(_xlop.DepreciationSchedule, _xlfn.LET(_xlpm.Help, TRIM(_xlfn.TEXTSPLIT("FUNCTION:      →SumDepreciateλ(DepreciationSchedule)¶" &amp; "DESCRIPTION:   →Create row totals for Depreciateλ¶" &amp; "WEBPAGE:       →https://github.com/ryanduguid/Ozzit¶" &amp; "VERSION:       →20 Aug 2026¶" &amp; "PARAMETERS:    →¶" &amp; "DepreciationSchedule→(Required) An array produced by Depreciateλ¶" &amp; "→¶" &amp; "EXAMPLES:      →¶" &amp; "Result         →Formula (oz is assumed to be the module's name)¶" &amp; "→=oz.SumDepreciateλ(DepreciationSchedule)",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oz.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→20 Aug 2026¶" &amp; "WEBPAGE:       →https://github.com/ryanduguid/Ozzit¶"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(oz is assumed to be the module's name)¶" &amp; "03, 07         →=oz.SumPeriodsλ({1,2,3,4;4,3,2,1;10,20,30,40},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oz.SumRowsUλ" comment="Get the total for each row">_xlfn.LAMBDA(_xlop.Array, _xlfn.LET(_xlpm.Help, TRIM(_xlfn.TEXTSPLIT("FUNCTION:      →SumRowsUλ(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"→=oz.SumRowsUλ( SEQUENCE(5,5))", "→", "¶")), _xlpm.Help?, _xlfn.ISOMITTED(_xlpm.Array), _xlpm.Result, _xlfn.BYROW(_xlpm.Array, _xlfn.LAMBDA(_xlpm.Row, SUM(_xlpm.Row))), CHOOSE(_xlpm.Help? + 1, _xlpm.Result, _xlpm.Help)))</definedName>
    <definedName name="oz.SumRowsλ" comment="Get the total for each row">_xlfn.LAMBDA(_xlop.Array, _xlfn.LET(_xlpm.Help, TRIM(_xlfn.TEXTSPLIT("FUNCTION:      →SumRowsλ(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"→=oz.SumRowsλ( SEQUENCE(5,5))", "→", "¶")), _xlpm.Help?, _xlfn.ISOMITTED(_xlpm.Array), _xlpm.Result, _xlfn.BYROW(_xlpm.Array, _xlfn.LAMBDA(_xlpm.Row, SUM(_xlpm.Row))), CHOOSE(_xlpm.Help? + 1, _xlpm.Result, _xlpm.Help)))</definedName>
    <definedName name="oz.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"→=oz.SYDλ(1000, 100, 5)¶" &amp; "→Result¶" &amp; "→300,240,180,120,60", "→", "¶")), _xlpm.Help?, OR(_xlfn.ISOMITTED(_xlpm.Cost), _xlfn.ISOMITTED(_xlpm.Salvage), _xlfn.ISOMITTED(_xlpm.Life)), _xlpm.Result, SYD(_xlpm.Cost, _xlpm.Salvage, _xlpm.Life, _xlfn.SEQUENCE(, _xlpm.Life)), CHOOSE(_xlpm.Help? + 1, _xlpm.Result, _xlpm.Help)))</definedName>
    <definedName name="oz.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→https://github.com/ryanduguid/Ozzit¶" &amp; "VERSION:       →20 Aug 2026¶" &amp; "PARAMETERS:    →¶" &amp; "Date           →(Required) A starting date¶" &amp; "Timeline       →(Required) A model's timeline (Row of period start dates)¶" &amp; "EXAMPLES:      →¶" &amp; "Result         →Formula (oz is assumed to be the module's name)¶" &amp; "1              →=oz.TimelineOffsetλ(""15/8/2026"", EDATE(""1/7/2026"", SEQUENCE( , 12, 0)))¶" &amp; "-11            →=oz.TimelineOffsetλ(""15/8/2025"", EDATE(""1/7/2026"", SEQUENCE( , 12, 0)))", "→", "¶")), _xlpm.Help?, OR(_xlfn.ISOMITTED(_xlpm.Date), _xlfn.ISOMITTED(_xlpm.Timeline)), _xlpm.Date, _xlfn.SINGLE(IF(ISTEXT(_xlpm.Date), DATEVALUE(_xlpm.Date), _xlpm.Date)), _xlpm.Period1, INDEX(_xlpm.Timeline, 1), _xlpm.Period2, INDEX(_xlpm.Timeline, 2), _xlpm.DpP, _xlpm.Period2 - _xlpm.Period1, _xlpm.MpP, MAX(ROUND(_xlpm.DpP / 30.5, 0), 1), _xlpm.SubMonthly?, ROUND(_xlpm.DpP / 30.5, 0) =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_xlpm.ByMonth, MATCH(_xlpm.Date, _xlpm.SearchTimeline, 1) - IF(_xlpm.Direction = 1, 1, _xlpm.PeriodDiff + 2), _xlpm.Result, IF(_xlpm.SubMonthly?, INT((_xlpm.Date - _xlpm.Period1) / _xlpm.DpP), _xlpm.ByMonth), CHOOSE(_xlpm.Help? + 1, _xlpm.Result, _xlpm.Help)))</definedName>
    <definedName name="oz.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→https://github.com/ryanduguid/Ozzit¶" &amp; "VERSION:       →20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(oz is assumed to be the module's name)¶" &amp; "→=oz.TimelinePositionλ(SEQUENCE(3,3), EDATE(""1/7/2026"",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oz.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→https://github.com/ryanduguid/Ozzit¶"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(oz is assumed to be the module's name)¶" &amp; "12 mo, starts  →=oz.Timelineλ(TODAY())¶" &amp; "12 qtr, ends   →=oz.Timelineλ(TODAY(),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oz.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(oz is assumed to be the module's name)¶" &amp; "→=oz.VDBλ(1000,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oz.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→20 Aug 2026¶" &amp; "PARAMETERS:→¶" &amp; "NetAnnualSales    →(Required) Net Annual Sales can include:¶" &amp; "→Gross sales¶" &amp; "→Less returns¶" &amp; "→Less allowances¶" &amp; "→Less discounts¶" &amp; "WorkingCapital    →(Required) Average of period open and close current assts less curren liabilities.¶" &amp; "EXAMPLES:         →Formula (oz is assumed to be the module's name)¶" &amp; "6.0               →=oz.WorkingCapitalTurnoverRatioλ( 12.0, 2.0)", "→", "¶")), _xlpm.Help?, OR(_xlfn.ISOMITTED(_xlpm.NetAnnualSales), _xlfn.ISOMITTED(_xlpm.WorkingCapital)), _xlpm.Result, _xlpm.NetAnnualSales / _xlpm.WorkingCapital, CHOOSE(_xlpm.Help? + 1, _xlpm.Result, _xlpm.Help)))</definedName>
    <definedName name="_xlnm.Print_Area" localSheetId="16">oz.Amortiseλ!$A$1:$V$43</definedName>
    <definedName name="_xlnm.Print_Area" localSheetId="21">oz.Depreciateλ!$A$1:$V$65</definedName>
    <definedName name="_xlnm.Print_Area" localSheetId="7">oz.IsOccurrenceDateλ!$A$1:$V$39</definedName>
    <definedName name="_xlnm.Print_Area" localSheetId="18">oz.SumAmortiseλ!$A$1:$V$43</definedName>
    <definedName name="_xlnm.Print_Area" localSheetId="30">oz.SumPeriodsλ!$A$1:$V$38</definedName>
    <definedName name="_xlnm.Print_Area" localSheetId="31">oz.TimelineOffsetλ!$A$1:$V$25</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1"/>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83" l="1" a="1"/>
  <c r="I23" i="90" a="1"/>
  <c r="I23" i="76" a="1"/>
  <c r="I32" i="97" a="1"/>
  <c r="C18" i="96" a="1"/>
  <c r="I32" i="89" a="1"/>
  <c r="I22" i="89" a="1"/>
  <c r="I23" i="89" s="1" a="1"/>
  <c r="I41" i="50"/>
  <c r="C25" i="47" a="1"/>
  <c r="C26" i="47" s="1" a="1"/>
  <c r="H22" i="45" a="1"/>
  <c r="H21" i="45" a="1"/>
  <c r="H33" i="44" a="1"/>
  <c r="H34" i="44" s="1" a="1"/>
  <c r="B61" i="13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6" i="119" a="1"/>
  <c r="A4" i="119" a="1"/>
  <c r="A1" i="119"/>
  <c r="F17" i="116" a="1"/>
  <c r="H16" i="116" a="1"/>
  <c r="A4" i="116" a="1"/>
  <c r="A1" i="116"/>
  <c r="E17" i="115" a="1"/>
  <c r="G16" i="115" a="1"/>
  <c r="A4" i="115" a="1"/>
  <c r="A1" i="115"/>
  <c r="F17" i="114" a="1"/>
  <c r="H16" i="114" a="1"/>
  <c r="A4" i="114" a="1"/>
  <c r="A1" i="114"/>
  <c r="E17" i="113"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G23" i="97" a="1"/>
  <c r="I22" i="97" a="1"/>
  <c r="I23" i="97" s="1" a="1"/>
  <c r="A4" i="97" a="1"/>
  <c r="A1" i="97"/>
  <c r="A4" i="96" a="1"/>
  <c r="A1" i="96"/>
  <c r="A4" i="89" a="1"/>
  <c r="A1" i="89"/>
  <c r="H19" i="105" a="1"/>
  <c r="H20" i="105" s="1" a="1"/>
  <c r="A4" i="105" a="1"/>
  <c r="A1" i="105"/>
  <c r="G17" i="82" a="1"/>
  <c r="G18" i="82" s="1" a="1"/>
  <c r="A4" i="82" a="1"/>
  <c r="A1" i="82"/>
  <c r="H19" i="128" a="1"/>
  <c r="H20" i="128" s="1" a="1"/>
  <c r="A4" i="128" a="1"/>
  <c r="A1" i="128"/>
  <c r="F26" i="81" a="1"/>
  <c r="F25" i="8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A23" i="83" a="1"/>
  <c r="A4" i="83" a="1"/>
  <c r="A1" i="83"/>
  <c r="G24" i="90" a="1"/>
  <c r="A23" i="90" a="1"/>
  <c r="A4" i="90" a="1"/>
  <c r="A1" i="90"/>
  <c r="G24" i="76" a="1"/>
  <c r="A4" i="76" a="1"/>
  <c r="A1" i="76"/>
  <c r="E19" i="52" a="1"/>
  <c r="A4" i="52" a="1"/>
  <c r="A1" i="52"/>
  <c r="K33" i="51" a="1"/>
  <c r="K25" i="51" a="1"/>
  <c r="M23" i="51" a="1"/>
  <c r="M22" i="51" a="1"/>
  <c r="A4" i="51" a="1"/>
  <c r="A1" i="51"/>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A4" i="49" a="1"/>
  <c r="A1" i="49"/>
  <c r="C46" i="48"/>
  <c r="C45" i="48"/>
  <c r="C44" i="48"/>
  <c r="C43" i="48"/>
  <c r="F19" i="48" a="1"/>
  <c r="F18" i="48" a="1"/>
  <c r="A4" i="48" a="1"/>
  <c r="A1" i="48"/>
  <c r="A4" i="47" a="1"/>
  <c r="A1" i="47"/>
  <c r="D25" i="46" a="1"/>
  <c r="A4" i="46" a="1"/>
  <c r="A1" i="46"/>
  <c r="A25" i="45" a="1"/>
  <c r="A24" i="45" a="1"/>
  <c r="A23" i="45" a="1"/>
  <c r="A4" i="45" a="1"/>
  <c r="A1" i="45"/>
  <c r="A4" i="44" a="1"/>
  <c r="A1" i="44"/>
  <c r="F23" i="43" a="1"/>
  <c r="F22" i="43" a="1"/>
  <c r="A4" i="43" a="1"/>
  <c r="A1" i="43"/>
  <c r="B24" i="41"/>
  <c r="F19" i="41" a="1"/>
  <c r="F18" i="41" a="1"/>
  <c r="F20" i="41" s="1" a="1"/>
  <c r="A4" i="41" a="1"/>
  <c r="A1" i="41"/>
  <c r="B23" i="132" a="1"/>
  <c r="B19" i="132" a="1"/>
  <c r="B16" i="132" a="1"/>
  <c r="B9" i="132" a="1"/>
  <c r="B11" i="132" s="1"/>
  <c r="B8" i="132" a="1"/>
  <c r="B10" i="132" s="1"/>
  <c r="A1" i="132"/>
  <c r="A1" i="129"/>
  <c r="I24" i="83" l="1" a="1"/>
  <c r="I24" i="90" a="1"/>
  <c r="I24" i="76" a="1"/>
  <c r="E26" i="81" a="1"/>
  <c r="G17" i="119" a="1"/>
  <c r="G17" i="113" a="1"/>
  <c r="I25" i="49" a="1"/>
  <c r="A32" i="51" a="1"/>
  <c r="G17" i="120" a="1"/>
  <c r="H17" i="116" a="1"/>
  <c r="G17" i="115" a="1"/>
  <c r="H17" i="114" a="1"/>
  <c r="H17" i="112" a="1"/>
  <c r="G17" i="111" a="1"/>
  <c r="H17" i="88" a="1"/>
  <c r="G20" i="87" a="1"/>
  <c r="L46" i="78" a="1"/>
  <c r="H23" i="45" a="1"/>
  <c r="G23" i="45" s="1" a="1"/>
  <c r="M33" i="51" a="1"/>
  <c r="M25" i="51" a="1"/>
  <c r="E24" i="51" a="1"/>
  <c r="A31" i="125"/>
  <c r="A30" i="125"/>
  <c r="A33" i="125"/>
  <c r="A32" i="125"/>
  <c r="A29" i="125"/>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H32" i="44" a="1"/>
  <c r="H31" i="44" s="1" a="1"/>
  <c r="G34" i="44" a="1"/>
  <c r="F31" i="43" a="1"/>
  <c r="F29" i="43" a="1"/>
  <c r="G21" i="125" l="1" a="1"/>
  <c r="H24" i="83" a="1"/>
  <c r="H24" i="90" a="1"/>
  <c r="H24" i="76" a="1"/>
  <c r="F48" i="48" a="1"/>
  <c r="G22" i="119" a="1"/>
  <c r="F22" i="119" s="1"/>
  <c r="F17" i="119" a="1"/>
  <c r="G22" i="113" a="1"/>
  <c r="F22" i="113" s="1"/>
  <c r="F17" i="113" a="1"/>
  <c r="G22" i="120"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J38" i="80" a="1"/>
  <c r="J39" i="80" s="1" a="1"/>
  <c r="J31" i="80" a="1"/>
  <c r="J32" i="80" s="1" a="1"/>
  <c r="J24" i="80" a="1"/>
  <c r="J25" i="80" s="1" a="1"/>
  <c r="G21" i="99" a="1"/>
  <c r="G22" i="99" s="1" a="1"/>
  <c r="F19" i="99"/>
  <c r="G27" i="77" a="1"/>
  <c r="G29" i="77" a="1"/>
  <c r="F25" i="77"/>
  <c r="M22" i="50" a="1"/>
  <c r="M27" i="50" a="1"/>
  <c r="L20" i="50"/>
  <c r="G26" i="125" l="1" a="1"/>
  <c r="F26" i="125" s="1"/>
  <c r="F21" i="125" a="1"/>
  <c r="M40" i="5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<sst xmlns="http://schemas.openxmlformats.org/spreadsheetml/2006/main" count="1898" uniqueCount="557">
  <si>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</si>
  <si>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</si>
  <si>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</si>
  <si>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</si>
  <si>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</si>
  <si>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</si>
  <si>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</si>
  <si>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</si>
  <si>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</si>
  <si>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</si>
  <si>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</si>
  <si>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</si>
  <si>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</si>
  <si>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</si>
  <si>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</si>
  <si>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</si>
  <si>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</si>
  <si>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</si>
  <si>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ozzit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</si>
  <si>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</si>
  <si>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</si>
  <si>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</si>
  <si>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</si>
  <si>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</si>
  <si>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</si>
  <si>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</si>
  <si>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</si>
  <si>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</si>
  <si>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</si>
  <si>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</si>
  <si>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</si>
  <si>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</si>
  <si>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</si>
  <si>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</si>
  <si>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</si>
  <si>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</si>
  <si>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</si>
  <si>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</si>
  <si>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</si>
  <si>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</si>
  <si>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</si>
  <si>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</si>
  <si>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</si>
  <si>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</si>
  <si>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</si>
  <si>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</si>
  <si>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</si>
  <si>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</si>
  <si>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</si>
  <si>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</si>
  <si>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</si>
  <si>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</si>
  <si>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</si>
  <si>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</si>
  <si>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</si>
  <si>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</si>
  <si>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</si>
  <si>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</si>
  <si>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</si>
  <si>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</si>
  <si>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</si>
  <si>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</si>
  <si>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</si>
  <si>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</si>
  <si>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</si>
  <si>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</si>
  <si>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</si>
  <si>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</si>
  <si>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</si>
  <si>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</si>
  <si>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</si>
  <si>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</si>
  <si>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</si>
  <si>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</si>
  <si>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</si>
  <si>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</si>
  <si>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</si>
  <si>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</si>
  <si>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</si>
  <si>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</si>
  <si>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</si>
  <si>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</si>
  <si>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</si>
  <si>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</si>
  <si>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</si>
  <si>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</si>
  <si>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</si>
  <si>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</si>
  <si>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</si>
  <si>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</si>
  <si>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</si>
  <si>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</si>
  <si>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</si>
  <si>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</si>
  <si>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</si>
  <si>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</si>
  <si>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</si>
  <si>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</si>
  <si>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</si>
  <si>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</si>
  <si>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</si>
  <si>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</si>
  <si>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</si>
  <si>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</si>
  <si>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</si>
  <si>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</si>
  <si>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</si>
  <si>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</si>
  <si>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</si>
  <si>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</si>
  <si>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</si>
  <si>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</si>
  <si>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</si>
  <si>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</si>
  <si>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</si>
  <si>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</si>
  <si>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</si>
  <si>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</si>
  <si>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</si>
  <si>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</si>
  <si>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</si>
  <si>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</si>
  <si>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</si>
  <si>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</si>
  <si>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</si>
  <si>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</si>
  <si>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</si>
  <si>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</si>
  <si>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</si>
  <si>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</si>
  <si>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</si>
  <si>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</si>
  <si>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</si>
  <si>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</si>
  <si>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</si>
  <si>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</si>
  <si>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</si>
  <si>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</si>
  <si>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</si>
  <si>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</si>
  <si>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</si>
  <si>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</si>
  <si>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</si>
  <si>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</si>
  <si>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</si>
  <si>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</si>
  <si>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</si>
  <si>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</si>
  <si>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</si>
  <si>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</si>
  <si>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</si>
  <si>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</si>
  <si>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</si>
  <si>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</si>
  <si>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</si>
  <si>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</si>
  <si>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</si>
  <si>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</si>
  <si>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</si>
  <si>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</si>
  <si>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</si>
  <si>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</si>
  <si>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</si>
  <si>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</si>
  <si>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</si>
  <si>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</si>
  <si>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</si>
  <si>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</si>
  <si>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oz.CountDOWλ</t>
  </si>
  <si>
    <t>oz.IsBetweenλ</t>
  </si>
  <si>
    <t>oz.IsOccurrenceDateλ</t>
  </si>
  <si>
    <t>oz.OverLapDaysλ</t>
  </si>
  <si>
    <t>oz.Periodsλ</t>
  </si>
  <si>
    <t>oz.PeriodLabelλ</t>
  </si>
  <si>
    <t>oz.ScheduleRatesλ</t>
  </si>
  <si>
    <t>oz.ScheduleRatesByItemsλ</t>
  </si>
  <si>
    <t>oz.ScheduleValuesλ</t>
  </si>
  <si>
    <t>oz.ScheduleValuesByItemsλ</t>
  </si>
  <si>
    <t>oz.Timelineλ</t>
  </si>
  <si>
    <t>Unit Completion Schedule</t>
  </si>
  <si>
    <t>Rental Rate Schedule</t>
  </si>
  <si>
    <t>Timeline Arguments</t>
  </si>
  <si>
    <t>oz.AboutFinancialλ</t>
  </si>
  <si>
    <t>oz.Amortiseλ</t>
  </si>
  <si>
    <t>oz.Corkscrewλ</t>
  </si>
  <si>
    <t>oz.Depreciateλ</t>
  </si>
  <si>
    <t>oz.IntOnIntλ</t>
  </si>
  <si>
    <t>oz.IRRλ</t>
  </si>
  <si>
    <t>oz.Movementλ</t>
  </si>
  <si>
    <t>oz.SumAmortiseλ</t>
  </si>
  <si>
    <t>oz.SumPeriodsλ</t>
  </si>
  <si>
    <t>oz.LabelAmortiseλ</t>
  </si>
  <si>
    <t>oz.LabelDepreciateλ</t>
  </si>
  <si>
    <t>oz.TimelineOffsetλ</t>
  </si>
  <si>
    <t>oz.TimelinePositionλ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</si>
  <si>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</si>
  <si>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</si>
  <si>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</si>
  <si>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</si>
  <si>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</si>
  <si>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</si>
  <si>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</si>
  <si>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</si>
  <si>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</si>
  <si>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</si>
  <si>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</si>
  <si>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</si>
  <si>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</si>
  <si>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</si>
  <si>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</si>
  <si>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</si>
  <si>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</si>
  <si>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</si>
  <si>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</si>
  <si>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</si>
  <si>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</si>
  <si>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</si>
  <si>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</si>
  <si>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</si>
  <si>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</si>
  <si>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</si>
  <si>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</si>
  <si>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</si>
  <si>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</si>
  <si>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</si>
  <si>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</si>
  <si>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</si>
  <si>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</si>
  <si>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</si>
  <si>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</si>
  <si>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</si>
  <si>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</si>
  <si>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</si>
  <si>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</si>
  <si>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</si>
  <si>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</si>
  <si>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</si>
  <si>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</si>
  <si>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</si>
  <si>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</si>
  <si>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</si>
  <si>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</si>
  <si>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</si>
  <si>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</si>
  <si>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</si>
  <si>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</si>
  <si>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</si>
  <si>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B2733"/>
        <rFont val="Aptos"/>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</si>
  <si>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</si>
  <si>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</si>
  <si>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</si>
  <si>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</si>
  <si>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</si>
  <si>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</si>
  <si>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</si>
  <si>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</si>
  <si>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</si>
  <si>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</si>
  <si>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</si>
  <si>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</si>
  <si>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</si>
  <si>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</si>
  <si>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</si>
  <si>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</si>
  <si>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</si>
  <si>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</si>
  <si>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</si>
  <si>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</si>
  <si>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</si>
  <si>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</si>
  <si>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</si>
  <si>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</si>
  <si>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</si>
  <si>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</si>
  <si>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</si>
  <si>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</si>
  <si>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</si>
  <si>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</si>
  <si>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</si>
  <si>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</si>
  <si>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</si>
  <si>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</si>
  <si>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</si>
  <si>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</si>
  <si>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</si>
  <si>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</si>
  <si>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</si>
  <si>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</si>
  <si>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</si>
  <si>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</si>
  <si>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</si>
  <si>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</si>
  <si>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</si>
  <si>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</si>
  <si>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</si>
  <si>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</si>
  <si>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</si>
  <si>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</si>
  <si>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</si>
  <si>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</si>
  <si>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</si>
  <si>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</si>
  <si>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</si>
  <si>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</si>
  <si>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</si>
  <si>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</si>
  <si>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</si>
  <si>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</si>
  <si>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oz.Cumulativeλ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</si>
  <si>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</si>
  <si>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</si>
  <si>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</si>
  <si>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</si>
  <si>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</si>
  <si>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</si>
  <si>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</si>
  <si>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</si>
  <si>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</si>
  <si>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</si>
  <si>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</si>
  <si>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</si>
  <si>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</si>
  <si>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</si>
  <si>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</si>
  <si>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</si>
  <si>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</si>
  <si>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</si>
  <si>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</si>
  <si>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</si>
  <si>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pale purple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</si>
  <si>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</si>
  <si>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</si>
  <si>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</si>
  <si>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</si>
  <si>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</si>
  <si>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</si>
  <si>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Ozzit steps in.</t>
  </si>
  <si>
    <t>Ozzit makes it easy for anyone, including Excel novices, to assemble expert level financial models with dynamic arrays in record time with fewer errors!</t>
  </si>
  <si>
    <t>Ozzit functions can be used exactly like native Excel functions because they are made from native Excel functions and nothing else. That means no special skills are required to use Ozzit functions and models assembled from Ozzit functions can be saved as normal .xlsx workbooks.</t>
  </si>
  <si>
    <t xml:space="preserve">With a few exceptions, all Ozzit functions have inline help. Inline help explains the function's syntax, purpose, version, and arguments. To access a function's inline help, find an empty space on a worksheet and enter = and the function's name without any arguments. </t>
  </si>
  <si>
    <t xml:space="preserve">Some Ozzit functions have Data Validation functions associated with them. These functions diagnose problems with arguments we present to their parent Ozzit function. So if a function returns an error or something unexpected, try calling its data validation routine which will attempt to diagnose any problems with the arguments. Data Validation functions are named using the function's name plus DV. As an example, we have a Ozzit function called Depreciateλ(). Depreciateλ's data validation function is DepreciateλDV(&lt;include arguments&gt;). </t>
  </si>
  <si>
    <t>Most worksheets have grey shaded cells which are input cells. These are meant to be played with. Try changing the inputs to see how the Ozzit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</si>
  <si>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</si>
  <si>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</si>
  <si>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</si>
  <si>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</si>
  <si>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</si>
  <si>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</si>
  <si>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</si>
  <si>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</si>
  <si>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</si>
  <si>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</si>
  <si>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</si>
  <si>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</si>
  <si>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</si>
  <si>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</si>
  <si>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</si>
  <si>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</si>
  <si>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</si>
  <si>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</si>
  <si>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</si>
  <si>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oz.SumDepreciateλ</t>
  </si>
  <si>
    <t>tblAssets1112</t>
  </si>
  <si>
    <t>oz.SumContainsλ</t>
  </si>
  <si>
    <t>tblAssets111214</t>
  </si>
  <si>
    <t>tblPhases</t>
  </si>
  <si>
    <t>oz.RollingSumλ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</si>
  <si>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</si>
  <si>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</si>
  <si>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</si>
  <si>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oz.SumColsλ</t>
  </si>
  <si>
    <t>oz.SumRowsλ</t>
  </si>
  <si>
    <t>oz.AboutEssentialsλ</t>
  </si>
  <si>
    <t>oz.AvgRowsλ</t>
  </si>
  <si>
    <t>oz.AvgColsλ</t>
  </si>
  <si>
    <t>oz.MinRowsλ</t>
  </si>
  <si>
    <t>oz.MinColsλ</t>
  </si>
  <si>
    <t>oz.MaxRowsλ</t>
  </si>
  <si>
    <t>oz.MaxColsλ</t>
  </si>
  <si>
    <t>About the Ozzit Array Essentials library</t>
  </si>
  <si>
    <t>About the Ozzit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</si>
  <si>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</si>
  <si>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</si>
  <si>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</si>
  <si>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</si>
  <si>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</si>
  <si>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</si>
  <si>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</si>
  <si>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Ozzit function library, covering dates, array essentials, financial functions, financial ratios, utilities and debt. Every function shares the oz.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</si>
  <si>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</si>
  <si>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</si>
  <si>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</si>
  <si>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</si>
  <si>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</si>
  <si>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</si>
  <si>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</si>
  <si>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</si>
  <si>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</si>
  <si>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</si>
  <si>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</si>
  <si>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</si>
  <si>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</si>
  <si>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</si>
  <si>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</si>
  <si>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oz.CountCλ</t>
  </si>
  <si>
    <t>oz.CountRowsλ</t>
  </si>
  <si>
    <t>oz.CountColsλ</t>
  </si>
  <si>
    <t>oz.CountARowsλ</t>
  </si>
  <si>
    <t>oz.CountAColsλ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</si>
  <si>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</si>
  <si>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</si>
  <si>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</si>
  <si>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</si>
  <si>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</si>
  <si>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</si>
  <si>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</si>
  <si>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</si>
  <si>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</si>
  <si>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</si>
  <si>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oz.IsBetweenEλ</t>
  </si>
  <si>
    <t>tblOnBoarding</t>
  </si>
  <si>
    <t>oz.RangeToDAEλ</t>
  </si>
  <si>
    <t>Convert a static range into a dynamic array</t>
  </si>
  <si>
    <t>Click any name below to jump to its worksheet</t>
  </si>
  <si>
    <t>Create a row that reverses input values in the next period</t>
  </si>
  <si>
    <t>Reversal</t>
  </si>
  <si>
    <t>oz.Reversalλ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</si>
  <si>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</si>
  <si>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</si>
  <si>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</si>
  <si>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</si>
  <si>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</si>
  <si>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</si>
  <si>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</si>
  <si>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</si>
  <si>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</si>
  <si>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</si>
  <si>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</si>
  <si>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</si>
  <si>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</si>
  <si>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</si>
  <si>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</si>
  <si>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</si>
  <si>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</si>
  <si>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</si>
  <si>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</si>
  <si>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</si>
  <si>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oz.FinancialRatios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</si>
  <si>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</si>
  <si>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</si>
  <si>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</si>
  <si>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</si>
  <si>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</si>
  <si>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</si>
  <si>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</si>
  <si>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</si>
  <si>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</si>
  <si>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</si>
  <si>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</si>
  <si>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</si>
  <si>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</si>
  <si>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</si>
  <si>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</si>
  <si>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</si>
  <si>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</si>
  <si>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</si>
  <si>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</si>
  <si>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</si>
  <si>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</si>
  <si>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</si>
  <si>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</si>
  <si>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</si>
  <si>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</si>
  <si>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</si>
  <si>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</si>
  <si>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</si>
  <si>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</si>
  <si>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</si>
  <si>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</si>
  <si>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</si>
  <si>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</si>
  <si>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</si>
  <si>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</si>
  <si>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</si>
  <si>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</si>
  <si>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</si>
  <si>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</si>
  <si>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</si>
  <si>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</si>
  <si>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</si>
  <si>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</si>
  <si>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</si>
  <si>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</si>
  <si>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</si>
  <si>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</si>
  <si>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</si>
  <si>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</si>
  <si>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</si>
  <si>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</si>
  <si>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</si>
  <si>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</si>
  <si>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</si>
  <si>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</si>
  <si>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</si>
  <si>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</si>
  <si>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</si>
  <si>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</si>
  <si>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</si>
  <si>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</si>
  <si>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</si>
  <si>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</si>
  <si>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</si>
  <si>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</si>
  <si>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</si>
  <si>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</si>
  <si>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</si>
  <si>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</si>
  <si>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</si>
  <si>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</si>
  <si>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</si>
  <si>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</si>
  <si>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</si>
  <si>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</si>
  <si>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</si>
  <si>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</si>
  <si>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</si>
  <si>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</si>
  <si>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</si>
  <si>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</si>
  <si>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Ozzit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</si>
  <si>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</si>
  <si>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</si>
  <si>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</si>
  <si>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</si>
  <si>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</si>
  <si>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</si>
  <si>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</si>
  <si>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</si>
  <si>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</si>
  <si>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</si>
  <si>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</si>
  <si>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</si>
  <si>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</si>
  <si>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</si>
  <si>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</si>
  <si>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</si>
  <si>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</si>
  <si>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</si>
  <si>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</si>
  <si>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</si>
  <si>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</si>
  <si>
    <t>Ozzit</t>
  </si>
  <si>
    <t>A LAMBDA function library for dynamic-array financial models. Australian conventions; no add-ins, no macros.</t>
  </si>
  <si>
    <t>Version 20 August 2026    -    130 functions    -    Microsoft 365 or Excel 2024 and later</t>
  </si>
  <si>
    <t>Count all non-empty cells in each row of an array</t>
  </si>
  <si>
    <t>Count all non-empty cells in each column of an array</t>
  </si>
  <si>
    <t>Three dozen financial ratios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</si>
</sst>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7"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B2733"/>
      <name val="Aptos"/>
      <family val="2"/>
      <scheme val="minor"/>
    </font>
    <font>
      <b/>
      <sz val="16"/>
      <color rgb="FF000000"/>
      <name val="Aptos"/>
      <family val="2"/>
      <scheme val="minor"/>
    </font>
    <font>
      <sz val="11"/>
      <color rgb="FF5C2D91"/>
      <name val="Aptos"/>
      <family val="2"/>
      <scheme val="minor"/>
    </font>
    <font>
      <sz val="11"/>
      <color rgb="FF5C2D91"/>
      <name val="Aptos"/>
      <family val="2"/>
      <scheme val="minor"/>
    </font>
    <font>
      <sz val="11"/>
      <color rgb="FFC00000"/>
      <name val="Aptos"/>
      <family val="2"/>
      <scheme val="minor"/>
    </font>
    <font>
      <sz val="11"/>
      <color rgb="FF5C2D91"/>
      <name val="Aptos"/>
      <family val="3"/>
      <scheme val="minor"/>
    </font>
    <font>
      <sz val="11"/>
      <color rgb="FFC00000"/>
      <name val="Aptos"/>
      <family val="3"/>
      <scheme val="minor"/>
    </font>
    <font>
      <sz val="11"/>
      <color rgb="FFC00000"/>
      <name val="Aptos"/>
      <family val="3"/>
      <scheme val="minor"/>
    </font>
    <font>
      <i/>
      <sz val="11"/>
      <color theme="1" tint="0.499984740745262"/>
      <name val="Aptos"/>
      <family val="2"/>
      <scheme val="minor"/>
    </font>
    <font>
      <u/>
      <sz val="11"/>
      <color rgb="FF5C2D91"/>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Aptos Display"/>
    </font>
    <font>
      <b/>
      <sz val="20"/>
      <color theme="4"/>
      <name val="Aptos Display"/>
    </font>
    <font>
      <b/>
      <sz val="16"/>
      <color theme="4"/>
      <name val="Aptos Display"/>
    </font>
    <font>
      <b/>
      <i/>
      <u/>
      <sz val="12"/>
      <color theme="4"/>
      <name val="Aptos Display"/>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Aptos Display"/>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5C2D91"/>
      <name val="Aptos"/>
      <family val="2"/>
      <scheme val="minor"/>
    </font>
    <font>
      <sz val="11"/>
      <color rgb="FFC00000"/>
      <name val="Aptos"/>
      <family val="2"/>
      <scheme val="minor"/>
    </font>
    <font>
      <i/>
      <sz val="11"/>
      <color rgb="FF6E6862"/>
      <name val="Aptos"/>
      <family val="2"/>
      <scheme val="minor"/>
    </font>
    <font>
      <u/>
      <sz val="11"/>
      <color rgb="FF5C2D91"/>
      <name val="Aptos"/>
      <family val="2"/>
      <scheme val="minor"/>
    </font>
    <font>
      <b/>
      <sz val="36"/>
      <color rgb="FF5C2D91"/>
      <name val="Aptos Display"/>
    </font>
    <font>
      <b/>
      <sz val="20"/>
      <color rgb="FF5C2D91"/>
      <name val="Aptos Display"/>
    </font>
    <font>
      <b/>
      <sz val="16"/>
      <color rgb="FF5C2D91"/>
      <name val="Aptos Display"/>
    </font>
    <font>
      <b/>
      <i/>
      <u/>
      <sz val="12"/>
      <color rgb="FF5C2D91"/>
      <name val="Aptos Display"/>
    </font>
    <font>
      <u/>
      <sz val="11"/>
      <color theme="10"/>
      <name val="Aptos"/>
      <family val="2"/>
      <scheme val="minor"/>
    </font>
    <font>
      <u/>
      <sz val="11"/>
      <color theme="11"/>
      <name val="Aptos"/>
      <family val="2"/>
      <scheme val="minor"/>
    </font>
    <font>
      <sz val="10"/>
      <color rgb="FFFFFFFF"/>
      <name val="Aptos"/>
      <family val="2"/>
      <scheme val="minor"/>
    </font>
    <font>
      <b/>
      <sz val="11"/>
      <color rgb="FF5C2D91"/>
      <name val="Aptos"/>
      <family val="2"/>
      <scheme val="minor"/>
    </font>
    <font>
      <sz val="11"/>
      <color rgb="FF000000"/>
      <name val="Aptos"/>
      <family val="2"/>
      <scheme val="minor"/>
    </font>
    <font>
      <b/>
      <sz val="11"/>
      <color rgb="FF5C2D91"/>
      <name val="Aptos"/>
      <family val="2"/>
      <scheme val="minor"/>
    </font>
    <font>
      <sz val="12"/>
      <color rgb="FF000000"/>
      <name val="Aptos"/>
      <family val="2"/>
    </font>
    <font>
      <sz val="11"/>
      <color rgb="FF000000"/>
      <name val="Aptos"/>
      <family val="2"/>
    </font>
    <font>
      <sz val="36"/>
      <color rgb="FF04001F"/>
      <name val="Aptos"/>
      <family val="2"/>
    </font>
    <font>
      <b/>
      <sz val="12"/>
      <color rgb="FF000000"/>
      <name val="Aptos"/>
      <family val="2"/>
    </font>
    <font>
      <b/>
      <sz val="48"/>
      <color rgb="FF5C2D91"/>
      <name val="Aptos"/>
      <family val="2"/>
    </font>
    <font>
      <sz val="12"/>
      <color rgb="FF000000"/>
      <name val="Aptos"/>
      <family val="2"/>
    </font>
    <font>
      <sz val="11"/>
      <color rgb="FF000000"/>
      <name val="Aptos"/>
      <family val="2"/>
    </font>
    <font>
      <b/>
      <sz val="11"/>
      <color rgb="FF000000"/>
      <name val="Aptos"/>
      <family val="2"/>
    </font>
    <font>
      <sz val="11"/>
      <name val="Aptos"/>
      <family val="2"/>
      <scheme val="minor"/>
    </font>
    <font>
      <sz val="11"/>
      <color rgb="FF000000"/>
      <name val="Aptos"/>
      <family val="2"/>
      <scheme val="minor"/>
    </font>
    <font>
      <b/>
      <sz val="11"/>
      <color rgb="FF2B2733"/>
      <name val="Aptos"/>
      <family val="2"/>
    </font>
    <font>
      <b/>
      <sz val="48"/>
      <color rgb="FF5C2D91"/>
      <name val="Aptos Display"/>
      <family val="2"/>
    </font>
    <font>
      <sz val="12"/>
      <color rgb="FF6E6862"/>
      <name val="Aptos"/>
      <family val="2"/>
    </font>
    <font>
      <sz val="10"/>
      <color rgb="FF6E6862"/>
      <name val="Aptos"/>
      <family val="2"/>
    </font>
    <font>
      <b/>
      <sz val="22"/>
      <color rgb="FF04001F"/>
      <name val="Aptos Display"/>
      <family val="2"/>
    </font>
    <font>
      <b/>
      <sz val="26"/>
      <color rgb="FF5C2D91"/>
      <name val="Aptos Display"/>
      <family val="2"/>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F3F1F6"/>
        <bgColor rgb="FF000000"/>
      </patternFill>
    </fill>
    <fill>
      <patternFill patternType="solid">
        <fgColor rgb="FFF5F5F5"/>
        <bgColor rgb="FF000000"/>
      </patternFill>
    </fill>
    <fill>
      <patternFill patternType="solid">
        <fgColor rgb="FFF3F1F6"/>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F3F1F5"/>
        <bgColor indexed="64"/>
      </patternFill>
    </fill>
    <fill>
      <gradientFill>
        <stop position="0">
          <color theme="0"/>
        </stop>
        <stop position="1">
          <color rgb="FFE8E4EC"/>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rgb="FFDED9E8"/>
        <bgColor rgb="FF000000"/>
      </patternFill>
    </fill>
    <fill>
      <patternFill patternType="solid">
        <fgColor indexed="26"/>
        <bgColor rgb="FF000000"/>
      </patternFill>
    </fill>
    <fill>
      <patternFill patternType="solid">
        <fgColor rgb="FFDDDBE0"/>
      </patternFill>
    </fill>
    <fill>
      <patternFill patternType="solid">
        <fgColor rgb="FFE7E4EB"/>
      </patternFill>
    </fill>
    <fill>
      <patternFill patternType="solid">
        <fgColor rgb="FFF3F1F6"/>
      </patternFill>
    </fill>
    <fill>
      <patternFill patternType="solid">
        <fgColor rgb="FFE2E0DF"/>
      </patternFill>
    </fill>
    <fill>
      <patternFill patternType="solid">
        <fgColor rgb="FFECECEC"/>
      </patternFill>
    </fill>
    <fill>
      <patternFill patternType="solid">
        <fgColor rgb="FFF5F5F5"/>
      </patternFill>
    </fill>
    <fill>
      <patternFill patternType="solid">
        <fgColor rgb="FFBBB7C0"/>
      </patternFill>
    </fill>
    <fill>
      <patternFill patternType="solid">
        <fgColor rgb="FFD0CAD7"/>
      </patternFill>
    </fill>
    <fill>
      <patternFill patternType="solid">
        <fgColor rgb="FFE8E4EC"/>
      </patternFill>
    </fill>
    <fill>
      <patternFill patternType="solid">
        <fgColor rgb="FFC6C2BF"/>
      </patternFill>
    </fill>
    <fill>
      <patternFill patternType="solid">
        <fgColor rgb="FFDAD9D9"/>
      </patternFill>
    </fill>
    <fill>
      <patternFill patternType="solid">
        <fgColor rgb="FFECEBEA"/>
      </patternFill>
    </fill>
    <fill>
      <patternFill patternType="solid">
        <fgColor rgb="FF9A94A1"/>
      </patternFill>
    </fill>
    <fill>
      <patternFill patternType="solid">
        <fgColor rgb="FFB8AFC3"/>
      </patternFill>
    </fill>
    <fill>
      <patternFill patternType="solid">
        <fgColor rgb="FFDCD7E2"/>
      </patternFill>
    </fill>
    <fill>
      <patternFill patternType="solid">
        <fgColor rgb="FFAAA49F"/>
      </patternFill>
    </fill>
    <fill>
      <patternFill patternType="solid">
        <fgColor rgb="FFC8C6C5"/>
      </patternFill>
    </fill>
    <fill>
      <patternFill patternType="solid">
        <fgColor rgb="FFE2E1E0"/>
      </patternFill>
    </fill>
    <fill>
      <patternFill patternType="solid">
        <fgColor theme="4"/>
        <bgColor rgb="FF000000"/>
      </patternFill>
    </fill>
    <fill>
      <patternFill patternType="solid">
        <fgColor rgb="FFF3F1F6"/>
        <bgColor rgb="FF000000"/>
      </patternFill>
    </fill>
    <fill>
      <patternFill patternType="solid">
        <fgColor rgb="FFF5F5F5"/>
        <bgColor rgb="FF000000"/>
      </patternFill>
    </fill>
    <fill>
      <patternFill patternType="solid">
        <fgColor rgb="FFF3F1F5"/>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86807A"/>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4">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69"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69"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69"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8"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0" fillId="47" borderId="6" xfId="0" applyFont="1" applyFill="1" applyBorder="1"/>
    <xf numFmtId="173" fontId="50" fillId="47" borderId="6" xfId="0" applyFont="1" applyFill="1" applyBorder="1" applyAlignment="1">
      <alignment horizontal="right"/>
    </xf>
    <xf numFmtId="38" fontId="49" fillId="23" borderId="43" xfId="0" applyNumberFormat="1" applyFont="1" applyBorder="1" applyAlignment="1">
      <alignment horizontal="left" vertical="top"/>
    </xf>
    <xf numFmtId="38" fontId="49" fillId="23" borderId="43" xfId="0" applyNumberFormat="1" applyFont="1" applyBorder="1" applyAlignment="1">
      <alignment horizontal="right" vertical="top"/>
    </xf>
    <xf numFmtId="10" fontId="49" fillId="23" borderId="43" xfId="0" applyNumberFormat="1" applyFont="1" applyBorder="1"/>
    <xf numFmtId="173" fontId="49" fillId="23" borderId="43" xfId="0" applyFont="1" applyBorder="1"/>
    <xf numFmtId="169" fontId="49" fillId="23" borderId="43" xfId="0" applyNumberFormat="1" applyFont="1" applyBorder="1" applyAlignment="1">
      <alignment horizontal="right" vertical="top"/>
    </xf>
    <xf numFmtId="38" fontId="49" fillId="46" borderId="43" xfId="0" applyNumberFormat="1" applyFont="1" applyFill="1" applyBorder="1" applyAlignment="1">
      <alignment horizontal="left" vertical="top"/>
    </xf>
    <xf numFmtId="38" fontId="49" fillId="46" borderId="43" xfId="0" applyNumberFormat="1" applyFont="1" applyFill="1" applyBorder="1" applyAlignment="1">
      <alignment horizontal="right" vertical="top"/>
    </xf>
    <xf numFmtId="10" fontId="49" fillId="46" borderId="43" xfId="0" applyNumberFormat="1" applyFont="1" applyFill="1" applyBorder="1"/>
    <xf numFmtId="173" fontId="49" fillId="46" borderId="43" xfId="0" applyFont="1" applyFill="1" applyBorder="1"/>
    <xf numFmtId="169" fontId="49" fillId="46" borderId="43" xfId="0" applyNumberFormat="1" applyFont="1" applyFill="1" applyBorder="1" applyAlignment="1">
      <alignment horizontal="right" vertical="top"/>
    </xf>
    <xf numFmtId="38" fontId="49" fillId="23" borderId="6" xfId="0" applyNumberFormat="1" applyFont="1" applyBorder="1" applyAlignment="1">
      <alignment horizontal="left" vertical="top"/>
    </xf>
    <xf numFmtId="38" fontId="49" fillId="23" borderId="6" xfId="0" applyNumberFormat="1" applyFont="1" applyBorder="1" applyAlignment="1">
      <alignment horizontal="right" vertical="top"/>
    </xf>
    <xf numFmtId="10" fontId="49" fillId="23" borderId="6" xfId="0" applyNumberFormat="1" applyFont="1" applyBorder="1"/>
    <xf numFmtId="173" fontId="49" fillId="23" borderId="6" xfId="0" applyFont="1" applyBorder="1"/>
    <xf numFmtId="169" fontId="49"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2" fillId="23" borderId="0" xfId="0" applyFont="1"/>
    <xf numFmtId="173" fontId="51" fillId="23" borderId="0" xfId="0" applyFont="1" applyAlignment="1">
      <alignment horizontal="justify" vertical="center"/>
    </xf>
    <xf numFmtId="173" fontId="54" fillId="23" borderId="0" xfId="0" applyFont="1" applyAlignment="1">
      <alignment horizontal="justify" vertical="center"/>
    </xf>
    <xf numFmtId="173" fontId="52" fillId="23" borderId="0" xfId="0" applyFont="1" applyAlignment="1">
      <alignment horizontal="justify" vertical="center"/>
    </xf>
    <xf numFmtId="173" fontId="57" fillId="23" borderId="0" xfId="0" applyFont="1"/>
    <xf numFmtId="173" fontId="56" fillId="23" borderId="0" xfId="0" applyFont="1" applyAlignment="1">
      <alignment horizontal="justify" vertical="center"/>
    </xf>
    <xf numFmtId="173" fontId="56" fillId="23" borderId="0" xfId="0" applyFont="1" applyAlignment="1">
      <alignment horizontal="justify" vertical="top" wrapText="1"/>
    </xf>
    <xf numFmtId="173" fontId="57" fillId="23" borderId="0" xfId="0" applyFont="1" applyAlignment="1">
      <alignment horizontal="justify" vertical="top" wrapText="1"/>
    </xf>
    <xf numFmtId="173" fontId="58"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0" fillId="23" borderId="0" xfId="0" applyAlignment="1">
      <alignment horizontal="justify" vertical="center"/>
    </xf>
    <xf numFmtId="173" fontId="0" fillId="23" borderId="0" xfId="0" applyAlignment="1">
      <alignment horizontal="justify" vertical="top" wrapText="1"/>
    </xf>
    <xf numFmtId="173" fontId="59" fillId="0" borderId="6" xfId="11" applyNumberFormat="1" applyFont="1" applyFill="1" applyProtection="1"/>
    <xf numFmtId="173" fontId="60" fillId="23" borderId="0" xfId="0" applyFont="1" applyBorder="1"/>
    <xf numFmtId="173" fontId="60" fillId="46" borderId="0" xfId="0" applyFont="1" applyFill="1" applyBorder="1"/>
    <xf numFmtId="169" fontId="60" fillId="46" borderId="0" xfId="0" applyNumberFormat="1" applyFont="1" applyFill="1" applyBorder="1"/>
    <xf numFmtId="169" fontId="60" fillId="23" borderId="0" xfId="0" applyNumberFormat="1" applyFont="1" applyBorder="1"/>
    <xf numFmtId="38" fontId="60" fillId="23" borderId="0" xfId="1" applyNumberFormat="1" applyFont="1" applyFill="1" applyBorder="1">
      <alignment horizontal="right" vertical="top"/>
    </xf>
    <xf numFmtId="169" fontId="60"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173" fontId="53" fillId="23" borderId="0" xfId="0" applyFont="1" applyAlignment="1">
      <alignment horizontal="left" vertical="center" indent="1"/>
    </xf>
    <xf numFmtId="0" fontId="4" fillId="0" borderId="0" xfId="0" applyNumberFormat="1" applyFont="1" applyFill="1"/>
    <xf numFmtId="164" fontId="0" fillId="0" borderId="0" xfId="0" applyNumberFormat="1" applyFill="1"/>
    <xf numFmtId="171" fontId="0" fillId="0" borderId="0" xfId="0" applyNumberFormat="1" applyFill="1"/>
    <xf numFmtId="173" fontId="64" fillId="23" borderId="0" xfId="0" applyFont="1"/>
    <xf numFmtId="173" fontId="65" fillId="23" borderId="0" xfId="0" applyFont="1" applyAlignment="1">
      <alignment horizontal="left" vertical="center" indent="1"/>
    </xf>
    <xf numFmtId="173" fontId="53" fillId="23" borderId="0" xfId="0" applyFont="1" applyAlignment="1">
      <alignment horizontal="left" vertical="center" indent="1"/>
    </xf>
    <xf numFmtId="173" fontId="63" fillId="23" borderId="6" xfId="21" applyNumberFormat="1" applyFont="1" applyFill="1" applyAlignment="1">
      <alignment horizontal="left" vertical="top" wrapText="1"/>
    </xf>
    <xf numFmtId="173" fontId="56" fillId="23" borderId="40" xfId="0" applyFont="1" applyBorder="1" applyAlignment="1">
      <alignment horizontal="left" vertical="top" wrapText="1"/>
    </xf>
    <xf numFmtId="0" fontId="62" fillId="23" borderId="6" xfId="6" applyFont="1" applyFill="1" applyAlignment="1"/>
    <xf numFmtId="0" fontId="55"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66" fillId="23" borderId="6" xfId="6" applyFont="1" applyFill="1" applyAlignment="1"/>
    <xf numFmtId="0" fontId="41" fillId="23" borderId="0" xfId="6" applyFill="1" applyBorder="1" applyAlignment="1"/>
    <xf numFmtId="0" fontId="41" fillId="23" borderId="6" xfId="6" applyFill="1"/>
    <xf numFmtId="0" fontId="39" fillId="23" borderId="6" xfId="21" applyFill="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39" fillId="23" borderId="0" xfId="21" applyFill="1" applyBorder="1" applyAlignment="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173" fontId="43" fillId="23" borderId="42" xfId="8" applyNumberFormat="1" applyFill="1" applyBorder="1"/>
    <xf numFmtId="173" fontId="43" fillId="23" borderId="0"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B2733"/>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2B2733"/>
        <name val="Aptos"/>
        <scheme val="minor"/>
      </font>
      <numFmt numFmtId="169" formatCode="d\-mmm\-yyyy"/>
      <fill>
        <patternFill patternType="solid">
          <fgColor rgb="FF000000"/>
          <bgColor rgb="FFF3F1F6"/>
        </patternFill>
      </fill>
      <border>
        <left/>
        <right/>
        <top/>
        <bottom/>
      </border>
    </dxf>
    <dxf>
      <font>
        <b/>
        <i val="0"/>
        <strike val="0"/>
        <u val="none"/>
        <color rgb="FFFF0000"/>
        <name val="Aptos"/>
        <scheme val="minor"/>
      </font>
      <numFmt numFmtId="169" formatCode="d\-mmm\-yyyy"/>
      <fill>
        <patternFill patternType="solid">
          <fgColor rgb="FF000000"/>
          <bgColor rgb="FFF3F1F6"/>
        </patternFill>
      </fill>
      <border>
        <left/>
        <right/>
        <top/>
        <bottom/>
      </border>
    </dxf>
    <dxf>
      <font>
        <b/>
        <i val="0"/>
        <strike val="0"/>
        <u val="none"/>
        <color rgb="FF2B2733"/>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F3F1F6"/>
        </patternFill>
      </fill>
      <border>
        <left/>
        <right/>
        <top/>
        <bottom/>
      </border>
    </dxf>
    <dxf>
      <font>
        <b/>
        <i val="0"/>
        <strike val="0"/>
        <u val="none"/>
        <color rgb="FFFF0000"/>
        <name val="Aptos"/>
        <scheme val="minor"/>
      </font>
      <numFmt numFmtId="169" formatCode="d\-mmm\-yyyy"/>
      <fill>
        <patternFill patternType="solid">
          <fgColor rgb="FF000000"/>
          <bgColor rgb="FFF3F1F6"/>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8E4EC"/>
          </stop>
        </gradientFill>
      </fill>
      <border>
        <left/>
        <right/>
        <top/>
        <bottom/>
        <vertical/>
        <horizontal/>
      </border>
    </dxf>
    <dxf>
      <font>
        <b/>
        <i/>
        <strike val="0"/>
        <u val="none"/>
        <color rgb="FF5C2D91"/>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F3F1F6"/>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5F5F5"/>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D0CAD7"/>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5C2D91"/>
      </font>
      <fill>
        <patternFill patternType="solid">
          <fgColor rgb="FF000000"/>
          <bgColor rgb="FFF3F1F5"/>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F3F1F6"/>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F3F1F6"/>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F3F1F6"/>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ECECEC"/>
        </patternFill>
      </fill>
    </dxf>
    <dxf>
      <font>
        <b val="0"/>
        <i val="0"/>
        <strike val="0"/>
        <u val="none"/>
        <color rgb="FF000000"/>
      </font>
      <fill>
        <patternFill patternType="solid">
          <fgColor rgb="FF000000"/>
          <bgColor theme="0"/>
        </patternFill>
      </fill>
    </dxf>
    <dxf>
      <font>
        <b/>
        <i val="0"/>
        <strike val="0"/>
        <u val="none"/>
        <color rgb="FF2B2733"/>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DDBE0"/>
        </patternFill>
      </fill>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DAD9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AAA49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ECECEC"/>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microsoft.com/office/2007/relationships/slicerCache" Target="slicerCaches/slicerCach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oz.ScheduleValues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Ozzit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Ozzit's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Ozzit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Ozzit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Ozzit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=oz.</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oz is what Excel refers to as a module name. These are optional. Their purpose is to ensure that we never duplicate function names between libraries. As noted at top, every Ozzit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oz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ozzit TnC">
      <a:dk1>
        <a:sysClr val="windowText" lastClr="000000"/>
      </a:dk1>
      <a:lt1>
        <a:sysClr val="window" lastClr="FFFFFF"/>
      </a:lt1>
      <a:dk2>
        <a:srgbClr val="04001F"/>
      </a:dk2>
      <a:lt2>
        <a:srgbClr val="E7E6E6"/>
      </a:lt2>
      <a:accent1>
        <a:srgbClr val="5C2D91"/>
      </a:accent1>
      <a:accent2>
        <a:srgbClr val="4F485E"/>
      </a:accent2>
      <a:accent3>
        <a:srgbClr val="DED9E8"/>
      </a:accent3>
      <a:accent4>
        <a:srgbClr val="6E6862"/>
      </a:accent4>
      <a:accent5>
        <a:srgbClr val="B1AFAD"/>
      </a:accent5>
      <a:accent6>
        <a:srgbClr val="DCDAD7"/>
      </a:accent6>
      <a:hlink>
        <a:srgbClr val="5C2D91"/>
      </a:hlink>
      <a:folHlink>
        <a:srgbClr val="7A5AB5"/>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2"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s>
</file>

<file path=xl/worksheets/_rels/sheet5.xml.rels><?xml version="1.0" encoding="UTF-8" standalone="yes"?>
<Relationships xmlns="http://schemas.openxmlformats.org/package/2006/relationships"><Relationship Id="rId2"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4" Type="http://schemas.openxmlformats.org/officeDocument/2006/relationships/table" Target="../tables/table4.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4"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5" Type="http://schemas.openxmlformats.org/officeDocument/2006/relationships/table" Target="../tables/table7.xml"/><Relationship Id="rId4" Type="http://schemas.openxmlformats.org/officeDocument/2006/relationships/table" Target="../tables/table6.x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4" Type="http://schemas.openxmlformats.org/officeDocument/2006/relationships/table" Target="../tables/table8.x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5" Type="http://schemas.openxmlformats.org/officeDocument/2006/relationships/table" Target="../tables/table10.xml"/><Relationship Id="rId4" Type="http://schemas.openxmlformats.org/officeDocument/2006/relationships/table" Target="../tables/table9.xm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customProperty" Target="../customProperty16.bin"/></Relationships>
</file>

<file path=xl/worksheets/_rels/sheet20.xml.rels><?xml version="1.0" encoding="UTF-8" standalone="yes"?>
<Relationships xmlns="http://schemas.openxmlformats.org/package/2006/relationships"><Relationship Id="rId3" Type="http://schemas.openxmlformats.org/officeDocument/2006/relationships/drawing" Target="../drawings/drawing16.xml"/><Relationship Id="rId2" Type="http://schemas.openxmlformats.org/officeDocument/2006/relationships/customProperty" Target="../customProperty17.bin"/></Relationships>
</file>

<file path=xl/worksheets/_rels/sheet21.xml.rels><?xml version="1.0" encoding="UTF-8" standalone="yes"?>
<Relationships xmlns="http://schemas.openxmlformats.org/package/2006/relationships"><Relationship Id="rId3" Type="http://schemas.openxmlformats.org/officeDocument/2006/relationships/drawing" Target="../drawings/drawing17.xml"/><Relationship Id="rId2" Type="http://schemas.openxmlformats.org/officeDocument/2006/relationships/customProperty" Target="../customProperty18.bin"/></Relationships>
</file>

<file path=xl/worksheets/_rels/sheet22.xml.rels><?xml version="1.0" encoding="UTF-8" standalone="yes"?>
<Relationships xmlns="http://schemas.openxmlformats.org/package/2006/relationships"><Relationship Id="rId3" Type="http://schemas.openxmlformats.org/officeDocument/2006/relationships/drawing" Target="../drawings/drawing18.xml"/><Relationship Id="rId2" Type="http://schemas.openxmlformats.org/officeDocument/2006/relationships/customProperty" Target="../customProperty19.bin"/><Relationship Id="rId4" Type="http://schemas.openxmlformats.org/officeDocument/2006/relationships/table" Target="../tables/table12.xml"/></Relationships>
</file>

<file path=xl/worksheets/_rels/sheet23.xml.rels><?xml version="1.0" encoding="UTF-8" standalone="yes"?>
<Relationships xmlns="http://schemas.openxmlformats.org/package/2006/relationships"><Relationship Id="rId3" Type="http://schemas.openxmlformats.org/officeDocument/2006/relationships/drawing" Target="../drawings/drawing19.xml"/><Relationship Id="rId2" Type="http://schemas.openxmlformats.org/officeDocument/2006/relationships/customProperty" Target="../customProperty20.bin"/><Relationship Id="rId4" Type="http://schemas.openxmlformats.org/officeDocument/2006/relationships/table" Target="../tables/table13.xml"/></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20.xml"/><Relationship Id="rId2" Type="http://schemas.openxmlformats.org/officeDocument/2006/relationships/customProperty" Target="../customProperty21.bin"/><Relationship Id="rId4" Type="http://schemas.openxmlformats.org/officeDocument/2006/relationships/table" Target="../tables/table14.xml"/></Relationships>
</file>

<file path=xl/worksheets/_rels/sheet25.xml.rels><?xml version="1.0" encoding="UTF-8" standalone="yes"?>
<Relationships xmlns="http://schemas.openxmlformats.org/package/2006/relationships"><Relationship Id="rId3" Type="http://schemas.openxmlformats.org/officeDocument/2006/relationships/drawing" Target="../drawings/drawing21.xml"/><Relationship Id="rId2" Type="http://schemas.openxmlformats.org/officeDocument/2006/relationships/customProperty" Target="../customProperty22.bin"/><Relationship Id="rId4" Type="http://schemas.openxmlformats.org/officeDocument/2006/relationships/table" Target="../tables/table15.xml"/></Relationships>
</file>

<file path=xl/worksheets/_rels/sheet26.xml.rels><?xml version="1.0" encoding="UTF-8" standalone="yes"?>
<Relationships xmlns="http://schemas.openxmlformats.org/package/2006/relationships"><Relationship Id="rId3" Type="http://schemas.openxmlformats.org/officeDocument/2006/relationships/drawing" Target="../drawings/drawing22.xml"/><Relationship Id="rId2" Type="http://schemas.openxmlformats.org/officeDocument/2006/relationships/customProperty" Target="../customProperty23.bin"/><Relationship Id="rId4" Type="http://schemas.openxmlformats.org/officeDocument/2006/relationships/table" Target="../tables/table16.xml"/></Relationships>
</file>

<file path=xl/worksheets/_rels/sheet27.xml.rels><?xml version="1.0" encoding="UTF-8" standalone="yes"?>
<Relationships xmlns="http://schemas.openxmlformats.org/package/2006/relationships"><Relationship Id="rId3" Type="http://schemas.openxmlformats.org/officeDocument/2006/relationships/drawing" Target="../drawings/drawing23.xml"/><Relationship Id="rId2" Type="http://schemas.openxmlformats.org/officeDocument/2006/relationships/customProperty" Target="../customProperty24.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4.xml"/></Relationships>
</file>

<file path=xl/worksheets/_rels/sheet29.xml.rels><?xml version="1.0" encoding="UTF-8" standalone="yes"?>
<Relationships xmlns="http://schemas.openxmlformats.org/package/2006/relationships"><Relationship Id="rId3" Type="http://schemas.openxmlformats.org/officeDocument/2006/relationships/drawing" Target="../drawings/drawing25.xml"/><Relationship Id="rId2" Type="http://schemas.openxmlformats.org/officeDocument/2006/relationships/customProperty" Target="../customProperty25.bin"/></Relationships>
</file>

<file path=xl/worksheets/_rels/sheet30.xml.rels><?xml version="1.0" encoding="UTF-8" standalone="yes"?>
<Relationships xmlns="http://schemas.openxmlformats.org/package/2006/relationships"><Relationship Id="rId3" Type="http://schemas.openxmlformats.org/officeDocument/2006/relationships/drawing" Target="../drawings/drawing26.xml"/><Relationship Id="rId2" Type="http://schemas.openxmlformats.org/officeDocument/2006/relationships/customProperty" Target="../customProperty26.bin"/></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27.xml"/><Relationship Id="rId2" Type="http://schemas.openxmlformats.org/officeDocument/2006/relationships/customProperty" Target="../customProperty27.bin"/></Relationships>
</file>

<file path=xl/worksheets/_rels/sheet32.xml.rels><?xml version="1.0" encoding="UTF-8" standalone="yes"?>
<Relationships xmlns="http://schemas.openxmlformats.org/package/2006/relationships"><Relationship Id="rId3" Type="http://schemas.openxmlformats.org/officeDocument/2006/relationships/drawing" Target="../drawings/drawing28.xml"/><Relationship Id="rId2" Type="http://schemas.openxmlformats.org/officeDocument/2006/relationships/customProperty" Target="../customProperty28.bin"/></Relationships>
</file>

<file path=xl/worksheets/_rels/sheet33.xml.rels><?xml version="1.0" encoding="UTF-8" standalone="yes"?>
<Relationships xmlns="http://schemas.openxmlformats.org/package/2006/relationships"><Relationship Id="rId3" Type="http://schemas.openxmlformats.org/officeDocument/2006/relationships/drawing" Target="../drawings/drawing29.xml"/><Relationship Id="rId2" Type="http://schemas.openxmlformats.org/officeDocument/2006/relationships/customProperty" Target="../customProperty29.bin"/></Relationships>
</file>

<file path=xl/worksheets/_rels/sheet34.xml.rels><?xml version="1.0" encoding="UTF-8" standalone="yes"?>
<Relationships xmlns="http://schemas.openxmlformats.org/package/2006/relationships"><Relationship Id="rId3" Type="http://schemas.openxmlformats.org/officeDocument/2006/relationships/drawing" Target="../drawings/drawing30.xml"/><Relationship Id="rId2" Type="http://schemas.openxmlformats.org/officeDocument/2006/relationships/customProperty" Target="../customProperty30.bin"/></Relationships>
</file>

<file path=xl/worksheets/_rels/sheet36.xml.rels><?xml version="1.0" encoding="UTF-8" standalone="yes"?>
<Relationships xmlns="http://schemas.openxmlformats.org/package/2006/relationships"><Relationship Id="rId3" Type="http://schemas.openxmlformats.org/officeDocument/2006/relationships/drawing" Target="../drawings/drawing31.xml"/><Relationship Id="rId2" Type="http://schemas.openxmlformats.org/officeDocument/2006/relationships/customProperty" Target="../customProperty31.bin"/></Relationships>
</file>

<file path=xl/worksheets/_rels/sheet37.xml.rels><?xml version="1.0" encoding="UTF-8" standalone="yes"?>
<Relationships xmlns="http://schemas.openxmlformats.org/package/2006/relationships"><Relationship Id="rId3" Type="http://schemas.openxmlformats.org/officeDocument/2006/relationships/drawing" Target="../drawings/drawing32.xml"/><Relationship Id="rId2" Type="http://schemas.openxmlformats.org/officeDocument/2006/relationships/customProperty" Target="../customProperty32.bin"/></Relationships>
</file>

<file path=xl/worksheets/_rels/sheet38.xml.rels><?xml version="1.0" encoding="UTF-8" standalone="yes"?>
<Relationships xmlns="http://schemas.openxmlformats.org/package/2006/relationships"><Relationship Id="rId3" Type="http://schemas.openxmlformats.org/officeDocument/2006/relationships/drawing" Target="../drawings/drawing33.xml"/><Relationship Id="rId2" Type="http://schemas.openxmlformats.org/officeDocument/2006/relationships/customProperty" Target="../customProperty33.bin"/></Relationships>
</file>

<file path=xl/worksheets/_rels/sheet39.xml.rels><?xml version="1.0" encoding="UTF-8" standalone="yes"?>
<Relationships xmlns="http://schemas.openxmlformats.org/package/2006/relationships"><Relationship Id="rId3" Type="http://schemas.openxmlformats.org/officeDocument/2006/relationships/drawing" Target="../drawings/drawing34.xml"/><Relationship Id="rId2" Type="http://schemas.openxmlformats.org/officeDocument/2006/relationships/customProperty" Target="../customProperty34.bin"/></Relationships>
</file>

<file path=xl/worksheets/_rels/sheet40.xml.rels><?xml version="1.0" encoding="UTF-8" standalone="yes"?>
<Relationships xmlns="http://schemas.openxmlformats.org/package/2006/relationships"><Relationship Id="rId3" Type="http://schemas.openxmlformats.org/officeDocument/2006/relationships/drawing" Target="../drawings/drawing35.xml"/><Relationship Id="rId2" Type="http://schemas.openxmlformats.org/officeDocument/2006/relationships/customProperty" Target="../customProperty35.bin"/></Relationships>
</file>

<file path=xl/worksheets/_rels/sheet41.xml.rels><?xml version="1.0" encoding="UTF-8" standalone="yes"?>
<Relationships xmlns="http://schemas.openxmlformats.org/package/2006/relationships"><Relationship Id="rId3" Type="http://schemas.openxmlformats.org/officeDocument/2006/relationships/drawing" Target="../drawings/drawing36.xml"/><Relationship Id="rId2" Type="http://schemas.openxmlformats.org/officeDocument/2006/relationships/customProperty" Target="../customProperty36.bin"/></Relationships>
</file>

<file path=xl/worksheets/_rels/sheet42.xml.rels><?xml version="1.0" encoding="UTF-8" standalone="yes"?>
<Relationships xmlns="http://schemas.openxmlformats.org/package/2006/relationships"><Relationship Id="rId3" Type="http://schemas.openxmlformats.org/officeDocument/2006/relationships/drawing" Target="../drawings/drawing37.xml"/><Relationship Id="rId2" Type="http://schemas.openxmlformats.org/officeDocument/2006/relationships/customProperty" Target="../customProperty37.bin"/></Relationships>
</file>

<file path=xl/worksheets/_rels/sheet43.xml.rels><?xml version="1.0" encoding="UTF-8" standalone="yes"?>
<Relationships xmlns="http://schemas.openxmlformats.org/package/2006/relationships"><Relationship Id="rId3" Type="http://schemas.openxmlformats.org/officeDocument/2006/relationships/drawing" Target="../drawings/drawing38.xml"/><Relationship Id="rId2" Type="http://schemas.openxmlformats.org/officeDocument/2006/relationships/customProperty" Target="../customProperty38.bin"/></Relationships>
</file>

<file path=xl/worksheets/_rels/sheet46.xml.rels><?xml version="1.0" encoding="UTF-8" standalone="yes"?>
<Relationships xmlns="http://schemas.openxmlformats.org/package/2006/relationships"><Relationship Id="rId2" Type="http://schemas.openxmlformats.org/officeDocument/2006/relationships/drawing" Target="../drawings/drawing39.xml"/></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40.xml"/></Relationships>
</file>

<file path=xl/worksheets/_rels/sheet48.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1.xml"/></Relationships>
</file>

<file path=xl/worksheets/_rels/sheet49.xml.rels><?xml version="1.0" encoding="UTF-8" standalone="yes"?>
<Relationships xmlns="http://schemas.openxmlformats.org/package/2006/relationships"><Relationship Id="rId2"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4F485E"/>
    <pageSetUpPr fitToPage="1"/>
  </sheetPr>
  <dimension ref="A1:B38"/>
  <sheetViews>
    <sheetView showGridLines="0" tabSelected="1" zoomScaleNormal="100" workbookViewId="0">
      <selection sqref="A1:B1"/>
    </sheetView>
  </sheetViews>
  <sheetFormatPr defaultColWidth="8.875" defaultRowHeight="15" x14ac:dyDescent="0.25"/>
  <cols>
    <col min="1" max="1" width="10.625" style="241" customWidth="1"/>
    <col min="2" max="2" width="111.625" style="248" customWidth="1"/>
    <col min="3" max="3" width="37.875" style="241" customWidth="1"/>
    <col min="4" max="16384" width="8.875" style="241"/>
  </cols>
  <sheetData>
    <row r="1" spans="1:2" ht="62.1" customHeight="1" x14ac:dyDescent="1">
      <c r="A1" s="278" t="s">
        <v>551</v>
      </c>
      <c r="B1" s="279"/>
    </row>
    <row r="2" spans="1:2" ht="30" customHeight="1" x14ac:dyDescent="0.25">
      <c r="A2" s="276" t="s">
        <v>552</v>
      </c>
      <c r="B2" s="277"/>
    </row>
    <row r="3" spans="1:2" ht="20.100000000000001" customHeight="1" x14ac:dyDescent="0.25">
      <c r="A3" s="273" t="s">
        <v>553</v>
      </c>
      <c r="B3" s="247"/>
    </row>
    <row r="4" spans="1:2" ht="47.25" x14ac:dyDescent="0.25">
      <c r="A4" s="245"/>
      <c r="B4" s="247" t="s">
        <v>336</v>
      </c>
    </row>
    <row r="5" spans="1:2" ht="31.5" x14ac:dyDescent="0.25">
      <c r="A5" s="246"/>
      <c r="B5" s="247" t="s">
        <v>337</v>
      </c>
    </row>
    <row r="6" spans="1:2" ht="343.9" customHeight="1" x14ac:dyDescent="0.25">
      <c r="A6" s="242"/>
    </row>
    <row r="7" spans="1:2" ht="15.75" x14ac:dyDescent="0.25">
      <c r="A7" s="242"/>
    </row>
    <row r="8" spans="1:2" ht="15.75" x14ac:dyDescent="0.25">
      <c r="A8" s="242"/>
      <c r="B8" s="249"/>
    </row>
    <row r="9" spans="1:2" ht="32.1" customHeight="1" x14ac:dyDescent="0.25">
      <c r="A9" s="274" t="s">
        <v>326</v>
      </c>
      <c r="B9" s="275"/>
    </row>
    <row r="10" spans="1:2" ht="47.25" x14ac:dyDescent="0.25">
      <c r="B10" s="247" t="s">
        <v>529</v>
      </c>
    </row>
    <row r="11" spans="1:2" ht="15.75" x14ac:dyDescent="0.25">
      <c r="B11" s="247"/>
    </row>
    <row r="12" spans="1:2" ht="47.25" x14ac:dyDescent="0.25">
      <c r="B12" s="247" t="s">
        <v>338</v>
      </c>
    </row>
    <row r="13" spans="1:2" ht="15.75" x14ac:dyDescent="0.25">
      <c r="B13" s="247"/>
    </row>
    <row r="14" spans="1:2" ht="47.25" x14ac:dyDescent="0.25">
      <c r="B14" s="247" t="s">
        <v>388</v>
      </c>
    </row>
    <row r="15" spans="1:2" ht="15.75" x14ac:dyDescent="0.25">
      <c r="A15" s="242"/>
      <c r="B15" s="249"/>
    </row>
    <row r="16" spans="1:2" ht="32.1" customHeight="1" x14ac:dyDescent="0.25">
      <c r="A16" s="274" t="s">
        <v>327</v>
      </c>
      <c r="B16" s="275"/>
    </row>
    <row r="17" spans="1:2" ht="126" x14ac:dyDescent="0.25">
      <c r="B17" s="247" t="s">
        <v>334</v>
      </c>
    </row>
    <row r="18" spans="1:2" ht="15.75" x14ac:dyDescent="0.25">
      <c r="A18" s="242"/>
      <c r="B18" s="249"/>
    </row>
    <row r="19" spans="1:2" ht="32.1" customHeight="1" x14ac:dyDescent="0.25">
      <c r="A19" s="274" t="s">
        <v>330</v>
      </c>
      <c r="B19" s="275"/>
    </row>
    <row r="20" spans="1:2" ht="47.25" x14ac:dyDescent="0.25">
      <c r="B20" s="247" t="s">
        <v>339</v>
      </c>
    </row>
    <row r="21" spans="1:2" ht="15.75" x14ac:dyDescent="0.25">
      <c r="B21" s="247"/>
    </row>
    <row r="22" spans="1:2" ht="78.75" x14ac:dyDescent="0.25">
      <c r="A22" s="243"/>
      <c r="B22" s="247" t="s">
        <v>340</v>
      </c>
    </row>
    <row r="23" spans="1:2" ht="15.75" x14ac:dyDescent="0.25">
      <c r="A23" s="242"/>
      <c r="B23" s="249"/>
    </row>
    <row r="24" spans="1:2" ht="32.1" customHeight="1" x14ac:dyDescent="0.25">
      <c r="A24" s="274" t="s">
        <v>328</v>
      </c>
      <c r="B24" s="275"/>
    </row>
    <row r="25" spans="1:2" ht="31.5" x14ac:dyDescent="0.25">
      <c r="B25" s="247" t="s">
        <v>329</v>
      </c>
    </row>
    <row r="26" spans="1:2" ht="15.75" x14ac:dyDescent="0.25">
      <c r="B26" s="247"/>
    </row>
    <row r="27" spans="1:2" ht="31.5" x14ac:dyDescent="0.25">
      <c r="A27" s="244"/>
      <c r="B27" s="247" t="s">
        <v>341</v>
      </c>
    </row>
    <row r="28" spans="1:2" ht="15.75" x14ac:dyDescent="0.25">
      <c r="A28" s="242"/>
      <c r="B28" s="249"/>
    </row>
    <row r="29" spans="1:2" ht="46.5" x14ac:dyDescent="0.25">
      <c r="B29" s="269"/>
    </row>
    <row r="30" spans="1:2" ht="15.75" x14ac:dyDescent="0.25">
      <c r="A30" s="243"/>
    </row>
    <row r="31" spans="1:2" ht="15.75" x14ac:dyDescent="0.25">
      <c r="A31" s="243"/>
      <c r="B31" s="247"/>
    </row>
    <row r="32" spans="1:2" ht="15.75" x14ac:dyDescent="0.25">
      <c r="A32" s="243"/>
    </row>
    <row r="33" spans="1:2" ht="15.75" x14ac:dyDescent="0.25">
      <c r="A33" s="243"/>
    </row>
    <row r="34" spans="1:2" ht="15.75" x14ac:dyDescent="0.25">
      <c r="A34" s="243"/>
      <c r="B34" s="247"/>
    </row>
    <row r="35" spans="1:2" ht="15.75" x14ac:dyDescent="0.25">
      <c r="A35" s="242"/>
    </row>
    <row r="36" spans="1:2" ht="15.75" x14ac:dyDescent="0.25">
      <c r="A36" s="242"/>
    </row>
    <row r="37" spans="1:2" customFormat="1" x14ac:dyDescent="0.25">
      <c r="A37" s="258"/>
      <c r="B37" s="259"/>
    </row>
    <row r="38" spans="1:2" ht="15.75" x14ac:dyDescent="0.25">
      <c r="A38" s="242"/>
    </row>
  </sheetData>
  <mergeCells count="6">
    <mergeCell ref="A24:B24"/>
    <mergeCell ref="A2:B2"/>
    <mergeCell ref="A9:B9"/>
    <mergeCell ref="A1:B1"/>
    <mergeCell ref="A16:B16"/>
    <mergeCell ref="A19:B19"/>
  </mergeCells>
  <hyperlinks>
    <hyperlink ref="A1" location="'TOC'!$A$1" display="'TOC'!$A$1" xr:uid="{548439FC-8440-4ED8-8C6A-E47C1C0F11EB}"/>
  </hyperlinks>
  <pageMargins left="0.7" right="0.7" top="0.75" bottom="0.75" header="0.3" footer="0.3"/>
  <pageSetup paperSize="9" scale="68" fitToHeight="0" orientation="portrait" horizontalDpi="360" verticalDpi="360"/>
  <customProperties>
    <customPr name="Description" r:id="rId2"/>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4F485E"/>
    <pageSetUpPr fitToPage="1"/>
  </sheetPr>
  <dimension ref="A1:F70"/>
  <sheetViews>
    <sheetView showGridLines="0" workbookViewId="0">
      <pane xSplit="2" ySplit="4" topLeftCell="C5" activePane="bottomRight" state="frozen"/>
      <selection pane="topRight" activeCell="C1" sqref="C1"/>
      <selection pane="bottomLeft" activeCell="A5" sqref="A5"/>
      <selection pane="bottomRight" sqref="A1:F1"/>
    </sheetView>
  </sheetViews>
  <sheetFormatPr defaultRowHeight="15" x14ac:dyDescent="0.25"/>
  <cols>
    <col min="1" max="1" width="31.5" bestFit="1" customWidth="1"/>
    <col min="2" max="2" width="9.875" bestFit="1" customWidth="1"/>
    <col min="3" max="3" width="30.5" bestFit="1" customWidth="1"/>
    <col min="4" max="4" width="90.25" bestFit="1" customWidth="1"/>
  </cols>
  <sheetData>
    <row r="1" spans="1:6" ht="46.5" x14ac:dyDescent="0.7">
      <c r="A1" s="285" t="s">
        <v>132</v>
      </c>
      <c r="B1" s="286"/>
      <c r="C1" s="286"/>
      <c r="D1" s="286"/>
      <c r="E1" s="286"/>
      <c r="F1" s="286"/>
    </row>
    <row r="2" spans="1:6" ht="21" x14ac:dyDescent="0.35">
      <c r="A2" s="283" t="s">
        <v>136</v>
      </c>
      <c r="B2" s="284"/>
      <c r="C2" s="284"/>
      <c r="D2" s="284"/>
      <c r="E2" s="238"/>
      <c r="F2" s="238"/>
    </row>
    <row r="3" spans="1:6" x14ac:dyDescent="0.25">
      <c r="A3" s="280" t="s">
        <v>423</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349</v>
      </c>
      <c r="B7" s="108" t="s">
        <v>350</v>
      </c>
      <c r="C7" s="111" t="s">
        <v>136</v>
      </c>
      <c r="D7" s="109" t="s">
        <v>423</v>
      </c>
    </row>
    <row r="8" spans="1:6" x14ac:dyDescent="0.25">
      <c r="A8" s="110" t="s">
        <v>445</v>
      </c>
      <c r="B8" s="108" t="s">
        <v>134</v>
      </c>
      <c r="C8" s="111" t="s">
        <v>445</v>
      </c>
      <c r="D8" s="109"/>
    </row>
    <row r="9" spans="1:6" x14ac:dyDescent="0.25">
      <c r="A9" s="237" t="s">
        <v>446</v>
      </c>
      <c r="B9" s="108" t="s">
        <v>350</v>
      </c>
      <c r="C9" s="111" t="s">
        <v>438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351</v>
      </c>
      <c r="B13" s="108" t="s">
        <v>350</v>
      </c>
      <c r="C13" s="111" t="s">
        <v>220</v>
      </c>
      <c r="D13" s="109" t="s">
        <v>221</v>
      </c>
    </row>
    <row r="14" spans="1:6" x14ac:dyDescent="0.25">
      <c r="A14" s="110" t="s">
        <v>171</v>
      </c>
      <c r="B14" s="108" t="s">
        <v>134</v>
      </c>
      <c r="C14" s="111" t="s">
        <v>171</v>
      </c>
      <c r="D14" s="109" t="s">
        <v>198</v>
      </c>
    </row>
    <row r="15" spans="1:6" x14ac:dyDescent="0.25">
      <c r="A15" s="237" t="s">
        <v>352</v>
      </c>
      <c r="B15" s="108" t="s">
        <v>350</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353</v>
      </c>
      <c r="B19" s="108" t="s">
        <v>350</v>
      </c>
      <c r="C19" s="111" t="s">
        <v>180</v>
      </c>
      <c r="D19" s="109"/>
    </row>
    <row r="20" spans="1:4" x14ac:dyDescent="0.25">
      <c r="A20" s="237" t="s">
        <v>354</v>
      </c>
      <c r="B20" s="108" t="s">
        <v>350</v>
      </c>
      <c r="C20" s="111" t="s">
        <v>179</v>
      </c>
      <c r="D20" s="109"/>
    </row>
    <row r="21" spans="1:4" x14ac:dyDescent="0.25">
      <c r="A21" s="110" t="s">
        <v>175</v>
      </c>
      <c r="B21" s="108" t="s">
        <v>134</v>
      </c>
      <c r="C21" s="111" t="s">
        <v>175</v>
      </c>
      <c r="D21" s="109" t="s">
        <v>202</v>
      </c>
    </row>
    <row r="22" spans="1:4" x14ac:dyDescent="0.25">
      <c r="A22" s="237" t="s">
        <v>355</v>
      </c>
      <c r="B22" s="108" t="s">
        <v>350</v>
      </c>
      <c r="C22" s="111" t="s">
        <v>355</v>
      </c>
      <c r="D22" s="109"/>
    </row>
    <row r="23" spans="1:4" x14ac:dyDescent="0.25">
      <c r="A23" s="110" t="s">
        <v>176</v>
      </c>
      <c r="B23" s="108" t="s">
        <v>134</v>
      </c>
      <c r="C23" s="111" t="s">
        <v>176</v>
      </c>
      <c r="D23" s="109" t="s">
        <v>203</v>
      </c>
    </row>
    <row r="24" spans="1:4" x14ac:dyDescent="0.25">
      <c r="A24" s="237" t="s">
        <v>357</v>
      </c>
      <c r="B24" s="108" t="s">
        <v>350</v>
      </c>
      <c r="C24" s="111" t="s">
        <v>278</v>
      </c>
      <c r="D24" s="109"/>
    </row>
    <row r="25" spans="1:4" x14ac:dyDescent="0.25">
      <c r="A25" s="237" t="s">
        <v>356</v>
      </c>
      <c r="B25" s="108" t="s">
        <v>350</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449</v>
      </c>
      <c r="C28" s="111" t="s">
        <v>182</v>
      </c>
      <c r="D28" s="109" t="s">
        <v>380</v>
      </c>
    </row>
    <row r="29" spans="1:4" x14ac:dyDescent="0.25">
      <c r="A29" s="110" t="s">
        <v>183</v>
      </c>
      <c r="B29" s="108" t="s">
        <v>134</v>
      </c>
      <c r="C29" s="111" t="s">
        <v>183</v>
      </c>
      <c r="D29" s="109" t="s">
        <v>206</v>
      </c>
    </row>
    <row r="30" spans="1:4" x14ac:dyDescent="0.25">
      <c r="A30" s="237" t="s">
        <v>358</v>
      </c>
      <c r="B30" s="108" t="s">
        <v>350</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359</v>
      </c>
      <c r="B36" s="108" t="s">
        <v>350</v>
      </c>
      <c r="C36" s="111" t="s">
        <v>295</v>
      </c>
      <c r="D36" s="109"/>
    </row>
    <row r="37" spans="1:4" x14ac:dyDescent="0.25">
      <c r="A37" s="110" t="s">
        <v>192</v>
      </c>
      <c r="B37" s="108" t="s">
        <v>134</v>
      </c>
      <c r="C37" s="111" t="s">
        <v>192</v>
      </c>
      <c r="D37" s="109" t="s">
        <v>216</v>
      </c>
    </row>
    <row r="38" spans="1:4" x14ac:dyDescent="0.25">
      <c r="A38" s="237" t="s">
        <v>360</v>
      </c>
      <c r="B38" s="108" t="s">
        <v>350</v>
      </c>
      <c r="C38" s="111" t="s">
        <v>295</v>
      </c>
      <c r="D38" s="109"/>
    </row>
    <row r="39" spans="1:4" x14ac:dyDescent="0.25">
      <c r="A39" s="110" t="s">
        <v>361</v>
      </c>
      <c r="B39" s="108" t="s">
        <v>134</v>
      </c>
      <c r="C39" s="111" t="s">
        <v>361</v>
      </c>
      <c r="D39" s="109" t="s">
        <v>367</v>
      </c>
    </row>
    <row r="40" spans="1:4" x14ac:dyDescent="0.25">
      <c r="A40" s="237" t="s">
        <v>362</v>
      </c>
      <c r="B40" s="108" t="s">
        <v>350</v>
      </c>
      <c r="C40" s="111" t="s">
        <v>295</v>
      </c>
      <c r="D40" s="109"/>
    </row>
    <row r="41" spans="1:4" x14ac:dyDescent="0.25">
      <c r="A41" s="110" t="s">
        <v>363</v>
      </c>
      <c r="B41" s="108" t="s">
        <v>134</v>
      </c>
      <c r="C41" s="111" t="s">
        <v>363</v>
      </c>
      <c r="D41" s="109" t="s">
        <v>368</v>
      </c>
    </row>
    <row r="42" spans="1:4" x14ac:dyDescent="0.25">
      <c r="A42" s="237" t="s">
        <v>364</v>
      </c>
      <c r="B42" s="108" t="s">
        <v>350</v>
      </c>
      <c r="C42" s="111" t="s">
        <v>295</v>
      </c>
      <c r="D42" s="109"/>
    </row>
    <row r="43" spans="1:4" x14ac:dyDescent="0.25">
      <c r="A43" s="110" t="s">
        <v>186</v>
      </c>
      <c r="B43" s="108" t="s">
        <v>134</v>
      </c>
      <c r="C43" s="111" t="s">
        <v>186</v>
      </c>
      <c r="D43" s="109" t="s">
        <v>209</v>
      </c>
    </row>
    <row r="44" spans="1:4" x14ac:dyDescent="0.25">
      <c r="A44" s="237" t="s">
        <v>365</v>
      </c>
      <c r="B44" s="108" t="s">
        <v>350</v>
      </c>
      <c r="C44" s="111" t="s">
        <v>315</v>
      </c>
      <c r="D44" s="109"/>
    </row>
    <row r="45" spans="1:4" x14ac:dyDescent="0.25">
      <c r="A45" s="110" t="s">
        <v>187</v>
      </c>
      <c r="B45" s="108" t="s">
        <v>134</v>
      </c>
      <c r="C45" s="111" t="s">
        <v>187</v>
      </c>
      <c r="D45" s="109" t="s">
        <v>210</v>
      </c>
    </row>
    <row r="46" spans="1:4" x14ac:dyDescent="0.25">
      <c r="A46" s="110" t="s">
        <v>426</v>
      </c>
      <c r="B46" s="108" t="s">
        <v>134</v>
      </c>
      <c r="C46" s="111" t="s">
        <v>426</v>
      </c>
      <c r="D46" s="109" t="s">
        <v>427</v>
      </c>
    </row>
    <row r="47" spans="1:4" x14ac:dyDescent="0.25">
      <c r="A47" s="110" t="s">
        <v>188</v>
      </c>
      <c r="B47" s="108" t="s">
        <v>134</v>
      </c>
      <c r="C47" s="111" t="s">
        <v>188</v>
      </c>
      <c r="D47" s="109" t="s">
        <v>211</v>
      </c>
    </row>
    <row r="48" spans="1:4" x14ac:dyDescent="0.25">
      <c r="A48" s="110" t="s">
        <v>366</v>
      </c>
      <c r="B48" s="108" t="s">
        <v>134</v>
      </c>
      <c r="C48" s="111" t="s">
        <v>366</v>
      </c>
      <c r="D48" s="109" t="s">
        <v>369</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372</v>
      </c>
      <c r="B52" s="108" t="s">
        <v>134</v>
      </c>
      <c r="C52" s="111" t="s">
        <v>372</v>
      </c>
      <c r="D52" s="109" t="s">
        <v>379</v>
      </c>
    </row>
    <row r="53" spans="1:4" x14ac:dyDescent="0.25">
      <c r="A53" s="110" t="s">
        <v>404</v>
      </c>
      <c r="B53" s="108" t="s">
        <v>134</v>
      </c>
      <c r="C53" s="111" t="s">
        <v>404</v>
      </c>
      <c r="D53" s="109" t="s">
        <v>413</v>
      </c>
    </row>
    <row r="54" spans="1:4" x14ac:dyDescent="0.25">
      <c r="A54" s="110" t="s">
        <v>371</v>
      </c>
      <c r="B54" s="108" t="s">
        <v>134</v>
      </c>
      <c r="C54" s="111" t="s">
        <v>371</v>
      </c>
      <c r="D54" s="109" t="s">
        <v>213</v>
      </c>
    </row>
    <row r="55" spans="1:4" x14ac:dyDescent="0.25">
      <c r="A55" s="110" t="s">
        <v>370</v>
      </c>
      <c r="B55" s="108" t="s">
        <v>134</v>
      </c>
      <c r="C55" s="111" t="s">
        <v>370</v>
      </c>
      <c r="D55" s="109" t="s">
        <v>384</v>
      </c>
    </row>
    <row r="56" spans="1:4" x14ac:dyDescent="0.25">
      <c r="A56" s="110" t="s">
        <v>373</v>
      </c>
      <c r="B56" s="108" t="s">
        <v>134</v>
      </c>
      <c r="C56" s="111" t="s">
        <v>373</v>
      </c>
      <c r="D56" s="109" t="s">
        <v>383</v>
      </c>
    </row>
    <row r="57" spans="1:4" x14ac:dyDescent="0.25">
      <c r="A57" s="110" t="s">
        <v>374</v>
      </c>
      <c r="B57" s="108" t="s">
        <v>134</v>
      </c>
      <c r="C57" s="111" t="s">
        <v>374</v>
      </c>
      <c r="D57" s="109" t="s">
        <v>382</v>
      </c>
    </row>
    <row r="58" spans="1:4" x14ac:dyDescent="0.25">
      <c r="A58" s="110" t="s">
        <v>375</v>
      </c>
      <c r="B58" s="108" t="s">
        <v>134</v>
      </c>
      <c r="C58" s="111" t="s">
        <v>375</v>
      </c>
      <c r="D58" s="109" t="s">
        <v>385</v>
      </c>
    </row>
    <row r="59" spans="1:4" x14ac:dyDescent="0.25">
      <c r="A59" s="110" t="s">
        <v>376</v>
      </c>
      <c r="B59" s="108" t="s">
        <v>134</v>
      </c>
      <c r="C59" s="111" t="s">
        <v>376</v>
      </c>
      <c r="D59" s="109" t="s">
        <v>381</v>
      </c>
    </row>
    <row r="60" spans="1:4" x14ac:dyDescent="0.25">
      <c r="A60" s="110" t="s">
        <v>377</v>
      </c>
      <c r="B60" s="108" t="s">
        <v>134</v>
      </c>
      <c r="C60" s="111" t="s">
        <v>377</v>
      </c>
      <c r="D60" s="109" t="s">
        <v>386</v>
      </c>
    </row>
    <row r="61" spans="1:4" x14ac:dyDescent="0.25">
      <c r="A61" s="110" t="s">
        <v>378</v>
      </c>
      <c r="B61" s="108" t="s">
        <v>134</v>
      </c>
      <c r="C61" s="111" t="s">
        <v>378</v>
      </c>
      <c r="D61" s="109" t="s">
        <v>387</v>
      </c>
    </row>
    <row r="62" spans="1:4" x14ac:dyDescent="0.25">
      <c r="A62" s="110" t="s">
        <v>405</v>
      </c>
      <c r="B62" s="108" t="s">
        <v>134</v>
      </c>
      <c r="C62" s="111" t="s">
        <v>405</v>
      </c>
      <c r="D62" s="109" t="s">
        <v>410</v>
      </c>
    </row>
    <row r="63" spans="1:4" x14ac:dyDescent="0.25">
      <c r="A63" s="110" t="s">
        <v>406</v>
      </c>
      <c r="B63" s="108" t="s">
        <v>134</v>
      </c>
      <c r="C63" s="111" t="s">
        <v>406</v>
      </c>
      <c r="D63" s="109" t="s">
        <v>409</v>
      </c>
    </row>
    <row r="64" spans="1:4" x14ac:dyDescent="0.25">
      <c r="A64" s="110" t="s">
        <v>407</v>
      </c>
      <c r="B64" s="108" t="s">
        <v>134</v>
      </c>
      <c r="C64" s="111" t="s">
        <v>407</v>
      </c>
      <c r="D64" s="109" t="s">
        <v>411</v>
      </c>
    </row>
    <row r="65" spans="1:4" x14ac:dyDescent="0.25">
      <c r="A65" s="110" t="s">
        <v>408</v>
      </c>
      <c r="B65" s="108" t="s">
        <v>134</v>
      </c>
      <c r="C65" s="111" t="s">
        <v>408</v>
      </c>
      <c r="D65" s="109" t="s">
        <v>412</v>
      </c>
    </row>
    <row r="66" spans="1:4" x14ac:dyDescent="0.25">
      <c r="A66" s="110" t="s">
        <v>419</v>
      </c>
      <c r="B66" s="108" t="s">
        <v>134</v>
      </c>
      <c r="C66" s="111" t="s">
        <v>419</v>
      </c>
      <c r="D66" s="109" t="s">
        <v>196</v>
      </c>
    </row>
    <row r="67" spans="1:4" x14ac:dyDescent="0.25">
      <c r="A67" s="237" t="s">
        <v>420</v>
      </c>
      <c r="B67" s="108" t="s">
        <v>350</v>
      </c>
      <c r="C67" s="111" t="s">
        <v>415</v>
      </c>
      <c r="D67" s="109"/>
    </row>
    <row r="68" spans="1:4" x14ac:dyDescent="0.25">
      <c r="A68" s="110" t="s">
        <v>421</v>
      </c>
      <c r="B68" s="108" t="s">
        <v>134</v>
      </c>
      <c r="C68" s="111" t="s">
        <v>421</v>
      </c>
      <c r="D68" s="109" t="s">
        <v>422</v>
      </c>
    </row>
    <row r="69" spans="1:4" x14ac:dyDescent="0.25">
      <c r="A69" s="110" t="s">
        <v>447</v>
      </c>
      <c r="B69" s="108" t="s">
        <v>134</v>
      </c>
      <c r="C69" s="111" t="s">
        <v>447</v>
      </c>
      <c r="D69" s="109" t="s">
        <v>448</v>
      </c>
    </row>
    <row r="70" spans="1:4" x14ac:dyDescent="0.25">
      <c r="A70" s="110" t="s">
        <v>532</v>
      </c>
      <c r="B70" s="108" t="s">
        <v>134</v>
      </c>
      <c r="C70" s="111" t="s">
        <v>532</v>
      </c>
      <c r="D70" s="109" t="s">
        <v>533</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oz.CountDOWλ'!$A$1" display="'oz.CountDOWλ'!$A$1" xr:uid="{1EA85702-180F-4ED3-9514-1F34ABF31551}"/>
    <hyperlink ref="A11" location="'oz.IsBetweenλ'!$A$1" display="'oz.IsBetweenλ'!$A$1" xr:uid="{01A8DB1F-6500-48B8-ACA4-4D3783ACEDE2}"/>
    <hyperlink ref="A12" location="'oz.IsOccurrenceDateλ'!$A$1" display="'oz.IsOccurrenceDateλ'!$A$1" xr:uid="{84D84714-DCFA-4845-A904-4F7B33551932}"/>
    <hyperlink ref="A13" location="'oz.IsOccurrenceDateλ'!$A$34:$E$39" display="'oz.IsOccurrenceDateλ'!$A$34:$E$39" xr:uid="{3EE4710A-0A7D-4C6F-918F-948CB5FCB8CD}"/>
    <hyperlink ref="A14" location="'oz.OverLapDaysλ'!$A$1" display="'oz.OverLapDaysλ'!$A$1" xr:uid="{7B1DDDFE-DD14-49AD-B2D8-A10647832658}"/>
    <hyperlink ref="A15" location="'oz.OverLapDaysλ'!$A$23:$E$25" display="'oz.OverLapDaysλ'!$A$23:$E$25" xr:uid="{E1B731FE-6AE0-440A-9EA1-F0A74F1CF7F3}"/>
    <hyperlink ref="A16" location="'oz.Periodsλ'!$A$1" display="'oz.Periodsλ'!$A$1" xr:uid="{32E4CC23-A361-410B-8E03-EEC7C736F98C}"/>
    <hyperlink ref="A17" location="'oz.PeriodLabelλ'!$A$1" display="'oz.PeriodLabelλ'!$A$1" xr:uid="{A0D0F49B-6801-485A-BF70-D68CC79CD300}"/>
    <hyperlink ref="A18" location="'oz.ScheduleRatesλ'!$A$1" display="'oz.ScheduleRatesλ'!$A$1" xr:uid="{2901AE44-2664-485E-9CAE-28E43B25F0D1}"/>
    <hyperlink ref="A19" location="'oz.ScheduleRatesλ'!$A$36:$B$38" display="'oz.ScheduleRatesλ'!$A$36:$B$38" xr:uid="{9A36584A-9198-4FBF-8E9F-13960F21E62E}"/>
    <hyperlink ref="A20" location="'oz.ScheduleRatesλ'!$A$43:$C$46" display="'oz.ScheduleRatesλ'!$A$43:$C$46" xr:uid="{56FFBDDD-F76C-45ED-A67B-72B79DF7267E}"/>
    <hyperlink ref="A21" location="'oz.ScheduleRatesByItemsλ'!$A$1" display="'oz.ScheduleRatesByItemsλ'!$A$1" xr:uid="{8047904B-5AA7-4787-BA13-A73F5AC51BF6}"/>
    <hyperlink ref="A22" location="'oz.ScheduleRatesByItemsλ'!$D$25:$F$38" display="'oz.ScheduleRatesByItemsλ'!$D$25:$F$38" xr:uid="{3F7F55CD-4BF8-4D14-95DA-FAC04EB82B4A}"/>
    <hyperlink ref="A23" location="'oz.ScheduleValuesλ'!$A$1" display="'oz.ScheduleValuesλ'!$A$1" xr:uid="{EF7BB3C1-2F04-4CD6-9AA6-36AE344C2C5E}"/>
    <hyperlink ref="A25" location="'oz.ScheduleValuesλ'!$A$28:$C$32" display="'oz.ScheduleValuesλ'!$A$28:$C$32" xr:uid="{ED4A702A-5F0C-4C04-8E18-A1161CB1134B}"/>
    <hyperlink ref="A24" location="'oz.ScheduleValuesλ'!$E$20:$I$40" display="'oz.ScheduleValuesλ'!$E$20:$I$40" xr:uid="{FEE54B8C-7E14-4B0A-8B98-4B5A068BE255}"/>
    <hyperlink ref="A26" location="'oz.ScheduleValuesByItemsλ'!$A$1" display="'oz.ScheduleValuesByItemsλ'!$A$1" xr:uid="{C6993DBA-9182-4B59-B338-48D3D4B17DEE}"/>
    <hyperlink ref="A27" location="'oz.Timelineλ'!$A$1" display="'oz.Timelineλ'!$A$1" xr:uid="{A90D165F-C4AF-48D6-8D1D-F204F59625E9}"/>
    <hyperlink ref="A29" location="'oz.Amortiseλ'!$A$1" display="'oz.Amortiseλ'!$A$1" xr:uid="{BEA5B5B6-036F-423C-84EE-FC79FBEEEE69}"/>
    <hyperlink ref="A30" location="'oz.Amortiseλ'!$A$24:$E$26" display="'oz.Amortiseλ'!$A$24:$E$26" xr:uid="{1C636846-E572-463F-A44E-E91B33B0B14C}"/>
    <hyperlink ref="A31" location="'oz.LabelAmortiseλ'!$A$1" display="'oz.LabelAmortiseλ'!$A$1" xr:uid="{8B0E8BCB-C9D1-424F-95A9-EE73BAC3A2F7}"/>
    <hyperlink ref="A32" location="'oz.SumAmortiseλ'!$A$1" display="'oz.SumAmortiseλ'!$A$1" xr:uid="{D66697D1-12A9-407A-95C2-074D70520786}"/>
    <hyperlink ref="A33" location="'oz.Corkscrewλ'!$A$1" display="'oz.Corkscrewλ'!$A$1" xr:uid="{A7FC4DA8-89D6-47EA-A93C-D1A467CD3D18}"/>
    <hyperlink ref="A34" location="'oz.Cumulativeλ'!$A$1" display="'oz.Cumulativeλ'!$A$1" xr:uid="{5C07D413-045B-49AA-84AC-27A446010415}"/>
    <hyperlink ref="A35" location="'oz.Depreciateλ'!$A$1" display="'oz.Depreciateλ'!$A$1" xr:uid="{3010CCB3-7E12-441D-A389-196F03229010}"/>
    <hyperlink ref="A36" location="'oz.Depreciateλ'!$A$46:$H$48" display="'oz.Depreciateλ'!$A$46:$H$48" xr:uid="{1FA20571-FCAD-436A-AD66-6C86FC5A8825}"/>
    <hyperlink ref="A37" location="'oz.LabelDepreciateλ'!$A$1" display="'oz.LabelDepreciateλ'!$A$1" xr:uid="{4A06AA8A-28D9-4C80-9D9E-145EE1ABF538}"/>
    <hyperlink ref="A38" location="'oz.LabelDepreciateλ'!$A$26:$H$28" display="'oz.LabelDepreciateλ'!$A$26:$H$28" xr:uid="{7F51224E-A4FF-41E5-88BA-270AB69788A4}"/>
    <hyperlink ref="A39" location="'oz.SumDepreciateλ'!$A$1" display="'oz.SumDepreciateλ'!$A$1" xr:uid="{C83B5A30-FFC4-4E26-877E-0853E204A7AA}"/>
    <hyperlink ref="A40" location="'oz.SumDepreciateλ'!$A$26:$H$28" display="'oz.SumDepreciateλ'!$A$26:$H$28" xr:uid="{7535EEA8-D1DF-43DB-B564-8FE77209CFD9}"/>
    <hyperlink ref="A41" location="'oz.SumContainsλ'!$A$1" display="'oz.SumContainsλ'!$A$1" xr:uid="{5C8DAB05-8B34-4E16-BE14-BDB67049DC49}"/>
    <hyperlink ref="A42" location="'oz.SumContainsλ'!$A$29:$H$31" display="'oz.SumContainsλ'!$A$29:$H$31" xr:uid="{5D2F3E3F-6E09-48C9-B3C5-548B9CD76174}"/>
    <hyperlink ref="A43" location="'oz.IntOnIntλ'!$A$1" display="'oz.IntOnIntλ'!$A$1" xr:uid="{B5893D36-1849-443B-959D-9B7F1979F92D}"/>
    <hyperlink ref="A44" location="'oz.IntOnIntλ'!$A$28:$D$30" display="'oz.IntOnIntλ'!$A$28:$D$30" xr:uid="{6522888E-9D48-42FA-9B05-39A0CE8CA7DD}"/>
    <hyperlink ref="A45" location="'oz.IRRλ'!$A$1" display="'oz.IRRλ'!$A$1" xr:uid="{4DDD7FA6-DD83-476D-86DC-8F8C7D7B7C92}"/>
    <hyperlink ref="A46" location="'oz.Reversalλ'!$A$1" display="'oz.Reversalλ'!$A$1" xr:uid="{2BC91B08-8F0F-4354-B282-C26A51FDD4F0}"/>
    <hyperlink ref="A47" location="'oz.Movementλ'!$A$1" display="'oz.Movementλ'!$A$1" xr:uid="{84329063-D877-478D-9F9F-E346682DDB5B}"/>
    <hyperlink ref="A48" location="'oz.RollingSumλ'!$A$1" display="'oz.RollingSumλ'!$A$1" xr:uid="{D90BE02E-28EC-4AAB-AFE3-D7DF30270F5D}"/>
    <hyperlink ref="A49" location="'oz.SumPeriodsλ'!$A$1" display="'oz.SumPeriodsλ'!$A$1" xr:uid="{F8F315D9-BD34-4E1F-963D-CBE096B01AA1}"/>
    <hyperlink ref="A50" location="'oz.TimelineOffsetλ'!$A$1" display="'oz.TimelineOffsetλ'!$A$1" xr:uid="{78BD3347-2168-4112-9AC6-FD7758F6870E}"/>
    <hyperlink ref="A51" location="'oz.TimelinePositionλ'!$A$1" display="'oz.TimelinePositionλ'!$A$1" xr:uid="{D54C8264-B700-438A-92DC-0E1238CC7EF6}"/>
    <hyperlink ref="A52" location="'oz.AboutEssentialsλ'!$A$1" display="'oz.AboutEssentialsλ'!$A$1" xr:uid="{6AFB1077-9092-42FE-9EE3-9F60E6135748}"/>
    <hyperlink ref="A53" location="'oz.CountCλ'!$A$1" display="'oz.CountCλ'!$A$1" xr:uid="{425D1256-FB57-4E2D-9BE1-8E116617FAB0}"/>
    <hyperlink ref="A54" location="'oz.SumRowsλ'!$A$1" display="'oz.SumRowsλ'!$A$1" xr:uid="{9FE8402C-3B5E-44C2-924B-3B7A0AB24753}"/>
    <hyperlink ref="A55" location="'oz.SumColsλ'!$A$1" display="'oz.SumColsλ'!$A$1" xr:uid="{20824F45-B21C-4965-B6E9-9E5026AAF433}"/>
    <hyperlink ref="A56" location="'oz.AvgRowsλ'!$A$1" display="'oz.AvgRowsλ'!$A$1" xr:uid="{90263ED3-F51E-4C7B-9F9C-E16A4A3AA6B3}"/>
    <hyperlink ref="A57" location="'oz.AvgColsλ'!$A$1" display="'oz.AvgColsλ'!$A$1" xr:uid="{28FD9445-0707-4DA8-9318-B31561D7FF42}"/>
    <hyperlink ref="A58" location="'oz.MinRowsλ'!$A$1" display="'oz.MinRowsλ'!$A$1" xr:uid="{AE128D80-3DAD-4F2F-922F-32422BCC1374}"/>
    <hyperlink ref="A59" location="'oz.MinColsλ'!$A$1" display="'oz.MinColsλ'!$A$1" xr:uid="{BEA45A63-4F73-4E9F-966C-499A14E56E4C}"/>
    <hyperlink ref="A60" location="'oz.MaxRowsλ'!$A$1" display="'oz.MaxRowsλ'!$A$1" xr:uid="{A4591831-CBDC-4EAA-AF05-E72122CA1E45}"/>
    <hyperlink ref="A61" location="'oz.MaxColsλ'!$A$1" display="'oz.MaxColsλ'!$A$1" xr:uid="{EE9AD777-5C2F-47F1-9BC8-D481F550D593}"/>
    <hyperlink ref="A62" location="'oz.CountRowsλ'!$A$1" display="'oz.CountRowsλ'!$A$1" xr:uid="{85B0DB09-7E41-43E6-8AC1-401AC777C4E6}"/>
    <hyperlink ref="A63" location="'oz.CountColsλ'!$A$1" display="'oz.CountColsλ'!$A$1" xr:uid="{CD482693-E456-496A-A91A-7BA431261244}"/>
    <hyperlink ref="A64" location="'oz.CountARowsλ'!$A$1" display="'oz.CountARowsλ'!$A$1" xr:uid="{C4E0AD1D-05FC-450C-96BA-56434B0A7764}"/>
    <hyperlink ref="A65" location="'oz.CountAColsλ'!$A$1" display="'oz.CountAColsλ'!$A$1" xr:uid="{BF1CE99C-507A-421E-B5C9-DEFE2C01F553}"/>
    <hyperlink ref="A66" location="'oz.IsBetweenEλ'!$A$1" display="'oz.IsBetweenEλ'!$A$1" xr:uid="{88489402-EA40-4F69-806D-DA2A57AF77B1}"/>
    <hyperlink ref="A67" location="'oz.IsBetweenEλ'!$A$29:$B$33" display="'oz.IsBetweenEλ'!$A$29:$B$33" xr:uid="{DCC2715B-CFF8-43EA-B9F0-C1629F554799}"/>
    <hyperlink ref="A68" location="'oz.RangeToDAEλ'!$A$1" display="'oz.RangeToDAEλ'!$A$1" xr:uid="{4A8420CE-883D-4955-AA6C-068C9DA7572B}"/>
    <hyperlink ref="A69" location="'oz.FinancialRatios'!$A$1" display="'oz.FinancialRatios'!$A$1" xr:uid="{27006F34-ED4F-4D31-9273-4C75AEB7D26C}"/>
  </hyperlinks>
  <pageMargins left="0.7" right="0.7" top="0.75" bottom="0.75" header="0.3" footer="0.3"/>
  <pageSetup paperSize="9" scale="46" fitToHeight="0"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4F485E"/>
    <pageSetUpPr fitToPage="1"/>
  </sheetPr>
  <dimension ref="A1:M13"/>
  <sheetViews>
    <sheetView showGridLines="0" workbookViewId="0">
      <selection sqref="A1:H1"/>
    </sheetView>
  </sheetViews>
  <sheetFormatPr defaultRowHeight="15" x14ac:dyDescent="0.25"/>
  <cols>
    <col min="1" max="1" width="6.625" customWidth="1"/>
    <col min="2" max="2" width="21.75" bestFit="1" customWidth="1"/>
  </cols>
  <sheetData>
    <row r="1" spans="1:13" ht="46.5" x14ac:dyDescent="0.7">
      <c r="A1" s="287" t="str">
        <f ca="1">_xlfn.TEXTAFTER(CELL("filename",A1),"]")</f>
        <v>Data Validation</v>
      </c>
      <c r="B1" s="287"/>
      <c r="C1" s="287"/>
      <c r="D1" s="287"/>
      <c r="E1" s="287"/>
      <c r="F1" s="287"/>
      <c r="G1" s="287"/>
      <c r="H1" s="287"/>
      <c r="I1" s="112"/>
      <c r="J1" s="112"/>
      <c r="K1" s="112"/>
      <c r="L1" s="112"/>
      <c r="M1" s="112"/>
    </row>
    <row r="2" spans="1:13" x14ac:dyDescent="0.25">
      <c r="A2" s="288" t="s">
        <v>429</v>
      </c>
      <c r="B2" s="289"/>
      <c r="C2" s="289"/>
      <c r="D2" s="289"/>
      <c r="E2" s="289"/>
      <c r="F2" s="289"/>
      <c r="G2" s="289"/>
      <c r="H2" s="289"/>
      <c r="I2" s="289"/>
      <c r="J2" s="289"/>
      <c r="K2" s="289"/>
      <c r="L2" s="289"/>
      <c r="M2" s="290"/>
    </row>
    <row r="4" spans="1:13" ht="21" x14ac:dyDescent="0.35">
      <c r="A4" s="291" t="s">
        <v>438</v>
      </c>
      <c r="B4" s="292"/>
    </row>
    <row r="6" spans="1:13" x14ac:dyDescent="0.25">
      <c r="A6" t="s">
        <v>299</v>
      </c>
      <c r="B6" t="s">
        <v>131</v>
      </c>
    </row>
    <row r="7" spans="1:13" x14ac:dyDescent="0.25">
      <c r="A7" t="s">
        <v>428</v>
      </c>
      <c r="B7" t="s">
        <v>431</v>
      </c>
    </row>
    <row r="8" spans="1:13" x14ac:dyDescent="0.25">
      <c r="A8" t="s">
        <v>301</v>
      </c>
      <c r="B8" t="s">
        <v>432</v>
      </c>
    </row>
    <row r="9" spans="1:13" x14ac:dyDescent="0.25">
      <c r="A9" t="s">
        <v>302</v>
      </c>
      <c r="B9" t="s">
        <v>437</v>
      </c>
    </row>
    <row r="10" spans="1:13" x14ac:dyDescent="0.25">
      <c r="A10" t="s">
        <v>300</v>
      </c>
      <c r="B10" t="s">
        <v>430</v>
      </c>
    </row>
    <row r="11" spans="1:13" x14ac:dyDescent="0.25">
      <c r="A11" t="s">
        <v>433</v>
      </c>
      <c r="B11" t="s">
        <v>434</v>
      </c>
    </row>
    <row r="12" spans="1:13" x14ac:dyDescent="0.25">
      <c r="A12" t="s">
        <v>435</v>
      </c>
      <c r="B12" t="s">
        <v>436</v>
      </c>
    </row>
    <row r="13" spans="1:13" x14ac:dyDescent="0.25">
      <c r="A13" t="s">
        <v>530</v>
      </c>
      <c r="B13" t="s">
        <v>531</v>
      </c>
    </row>
  </sheetData>
  <mergeCells count="3">
    <mergeCell ref="A1:H1"/>
    <mergeCell ref="A2:M2"/>
    <mergeCell ref="A4:B4"/>
  </mergeCells>
  <hyperlinks>
    <hyperlink ref="A1" location="'TOC'!$A$1" display="'TOC'!$A$1" xr:uid="{6197EC9A-87E6-48A7-A1CE-37F9C8C0EC40}"/>
  </hyperlinks>
  <pageMargins left="0.7" right="0.7" top="0.75" bottom="0.75" header="0.3" footer="0.3"/>
  <pageSetup paperSize="9" scale="98" fitToHeight="0" orientation="landscape" horizontalDpi="0" verticalDpi="0"/>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C2D91"/>
    <pageSetUpPr fitToPage="1"/>
  </sheetPr>
  <dimension ref="A1:F26"/>
  <sheetViews>
    <sheetView showGridLines="0" workbookViewId="0"/>
  </sheetViews>
  <sheetFormatPr defaultRowHeight="15" x14ac:dyDescent="0.25"/>
  <cols>
    <col min="1" max="1" width="34" customWidth="1"/>
    <col min="2" max="6" width="16" customWidth="1"/>
  </cols>
  <sheetData>
    <row r="1" spans="1:6" ht="46.5" x14ac:dyDescent="0.7">
      <c r="A1" s="112" t="str">
        <f ca="1">_xlfn.TEXTAFTER(CELL("filename",A1),"]")</f>
        <v>Australian tax</v>
      </c>
    </row>
    <row r="2" spans="1:6" x14ac:dyDescent="0.25">
      <c r="A2" t="s">
        <v>534</v>
      </c>
    </row>
    <row r="4" spans="1:6" x14ac:dyDescent="0.25">
      <c r="A4" s="270" t="s">
        <v>535</v>
      </c>
    </row>
    <row r="5" spans="1:6" x14ac:dyDescent="0.25">
      <c r="A5" s="270" t="s">
        <v>307</v>
      </c>
      <c r="B5" s="270" t="s">
        <v>536</v>
      </c>
    </row>
    <row r="6" spans="1:6" x14ac:dyDescent="0.25">
      <c r="A6" s="271">
        <v>50000</v>
      </c>
      <c r="B6">
        <v>5</v>
      </c>
    </row>
    <row r="8" spans="1:6" x14ac:dyDescent="0.25">
      <c r="A8" t="s">
        <v>537</v>
      </c>
      <c r="B8" s="271" cm="1">
        <f t="array" ref="B8:F8">oz.DiminishingValueλ($A$6,$B$6)</f>
        <v>20000</v>
      </c>
      <c r="C8">
        <v>12000</v>
      </c>
      <c r="D8">
        <v>7200</v>
      </c>
      <c r="E8">
        <v>4320</v>
      </c>
      <c r="F8">
        <v>6480</v>
      </c>
    </row>
    <row r="9" spans="1:6" x14ac:dyDescent="0.25">
      <c r="A9" t="s">
        <v>538</v>
      </c>
      <c r="B9" s="271" cm="1">
        <f t="array" ref="B9:F9">oz.PrimeCostλ($A$6,$B$6)</f>
        <v>10000</v>
      </c>
      <c r="C9">
        <v>10000</v>
      </c>
      <c r="D9">
        <v>10000</v>
      </c>
      <c r="E9">
        <v>10000</v>
      </c>
      <c r="F9">
        <v>10000</v>
      </c>
    </row>
    <row r="10" spans="1:6" x14ac:dyDescent="0.25">
      <c r="A10" t="s">
        <v>539</v>
      </c>
      <c r="B10" s="271">
        <f>SUM(_xlfn.ANCHORARRAY(B8))</f>
        <v>50000</v>
      </c>
    </row>
    <row r="11" spans="1:6" x14ac:dyDescent="0.25">
      <c r="A11" t="s">
        <v>540</v>
      </c>
      <c r="B11" s="271">
        <f>SUM(_xlfn.ANCHORARRAY(B9))</f>
        <v>50000</v>
      </c>
    </row>
    <row r="12" spans="1:6" x14ac:dyDescent="0.25">
      <c r="A12" t="s">
        <v>541</v>
      </c>
    </row>
    <row r="13" spans="1:6" x14ac:dyDescent="0.25">
      <c r="A13" t="s">
        <v>542</v>
      </c>
    </row>
    <row r="14" spans="1:6" x14ac:dyDescent="0.25">
      <c r="A14" s="270" t="s">
        <v>543</v>
      </c>
    </row>
    <row r="15" spans="1:6" x14ac:dyDescent="0.25">
      <c r="A15" s="270" t="s">
        <v>544</v>
      </c>
      <c r="B15" s="270" t="s">
        <v>545</v>
      </c>
    </row>
    <row r="16" spans="1:6" x14ac:dyDescent="0.25">
      <c r="A16" s="271">
        <v>1000</v>
      </c>
      <c r="B16" s="271" cm="1">
        <f t="array" ref="B16">oz.GSTAddλ(A16)</f>
        <v>1100</v>
      </c>
    </row>
    <row r="18" spans="1:2" x14ac:dyDescent="0.25">
      <c r="A18" s="270" t="s">
        <v>546</v>
      </c>
      <c r="B18" s="270" t="s">
        <v>547</v>
      </c>
    </row>
    <row r="19" spans="1:2" x14ac:dyDescent="0.25">
      <c r="A19" s="271">
        <v>1100</v>
      </c>
      <c r="B19" s="271" cm="1">
        <f t="array" ref="B19">oz.GSTExtractλ(A19)</f>
        <v>99.999999999999986</v>
      </c>
    </row>
    <row r="21" spans="1:2" x14ac:dyDescent="0.25">
      <c r="A21" s="270" t="s">
        <v>548</v>
      </c>
    </row>
    <row r="22" spans="1:2" x14ac:dyDescent="0.25">
      <c r="A22" s="270" t="s">
        <v>66</v>
      </c>
      <c r="B22" s="270" t="s">
        <v>549</v>
      </c>
    </row>
    <row r="23" spans="1:2" x14ac:dyDescent="0.25">
      <c r="A23" s="272">
        <v>46203</v>
      </c>
      <c r="B23" t="str" cm="1">
        <f t="array" ref="B23:B26">oz.FinancialYearλ(A23:A26)</f>
        <v>FY2026</v>
      </c>
    </row>
    <row r="24" spans="1:2" x14ac:dyDescent="0.25">
      <c r="A24" s="272">
        <v>46204</v>
      </c>
      <c r="B24" t="str">
        <v>FY2027</v>
      </c>
    </row>
    <row r="25" spans="1:2" x14ac:dyDescent="0.25">
      <c r="A25" s="272">
        <v>46249</v>
      </c>
      <c r="B25" t="str">
        <v>FY2027</v>
      </c>
    </row>
    <row r="26" spans="1:2" x14ac:dyDescent="0.25">
      <c r="A26" s="272">
        <v>46387</v>
      </c>
      <c r="B26" t="str">
        <v>FY2027</v>
      </c>
    </row>
  </sheetData>
  <hyperlinks>
    <hyperlink ref="A1" location="'TOC'!$A$1" display="'TOC'!$A$1" xr:uid="{00000000-0004-0000-0300-000000000000}"/>
  </hyperlinks>
  <pageMargins left="0.7" right="0.7" top="0.75" bottom="0.75" header="0.3" footer="0.3"/>
  <pageSetup paperSize="9" scale="52"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4F485E"/>
    <pageSetUpPr fitToPage="1"/>
  </sheetPr>
  <dimension ref="A1:V135"/>
  <sheetViews>
    <sheetView showGridLines="0" workbookViewId="0"/>
  </sheetViews>
  <sheetFormatPr defaultRowHeight="15" x14ac:dyDescent="0.25"/>
  <cols>
    <col min="1" max="1" width="18.25" customWidth="1"/>
    <col min="2" max="2" width="24.125" customWidth="1"/>
    <col min="3" max="3" width="5.75" customWidth="1"/>
    <col min="4" max="4" width="3.625" customWidth="1"/>
    <col min="5" max="5" width="18.25" customWidth="1"/>
    <col min="6" max="12" width="3.625" customWidth="1"/>
  </cols>
  <sheetData>
    <row r="1" spans="1:22" ht="46.5" x14ac:dyDescent="0.7">
      <c r="A1" s="295" t="s">
        <v>2</v>
      </c>
      <c r="B1" s="295"/>
      <c r="C1" s="295"/>
      <c r="D1" s="295"/>
      <c r="E1" s="295"/>
      <c r="F1" s="295"/>
      <c r="G1" s="295"/>
      <c r="H1" s="295"/>
      <c r="I1" s="295"/>
      <c r="J1" s="295"/>
      <c r="K1" s="295"/>
      <c r="L1" s="295"/>
      <c r="M1" s="295"/>
      <c r="N1" s="295"/>
      <c r="O1" s="295"/>
      <c r="P1" s="295"/>
      <c r="Q1" s="295"/>
      <c r="R1" s="295"/>
      <c r="S1" s="113"/>
      <c r="T1" s="113"/>
      <c r="U1" s="113"/>
      <c r="V1" s="113"/>
    </row>
    <row r="2" spans="1:22" x14ac:dyDescent="0.25">
      <c r="A2" s="296"/>
      <c r="B2" s="296"/>
      <c r="C2" s="296"/>
      <c r="D2" s="296"/>
      <c r="E2" s="296"/>
      <c r="F2" s="296"/>
      <c r="G2" s="296"/>
      <c r="H2" s="296"/>
      <c r="I2" s="296"/>
      <c r="J2" s="296"/>
      <c r="K2" s="296"/>
      <c r="L2" s="296"/>
      <c r="M2" s="296"/>
      <c r="N2" s="296"/>
      <c r="O2" s="296"/>
      <c r="P2" s="296"/>
      <c r="Q2" s="296"/>
      <c r="R2" s="296"/>
      <c r="S2" s="104"/>
      <c r="T2" s="104"/>
      <c r="U2" s="104"/>
      <c r="V2" s="104"/>
    </row>
    <row r="4" spans="1:22" ht="21" x14ac:dyDescent="0.25">
      <c r="A4" s="294" t="s">
        <v>3</v>
      </c>
      <c r="B4" s="294"/>
      <c r="C4" s="294"/>
      <c r="D4" s="294"/>
      <c r="E4" s="294"/>
      <c r="F4" s="294"/>
      <c r="G4" s="294"/>
      <c r="H4" s="294"/>
      <c r="I4" s="294"/>
      <c r="J4" s="294"/>
      <c r="K4" s="294"/>
      <c r="L4" s="294"/>
    </row>
    <row r="5" spans="1:22" x14ac:dyDescent="0.25">
      <c r="A5" s="293" t="s">
        <v>4</v>
      </c>
      <c r="B5" s="293"/>
      <c r="C5" s="293"/>
      <c r="D5" s="293"/>
      <c r="E5" s="293"/>
      <c r="F5" s="293"/>
      <c r="G5" s="293"/>
      <c r="H5" s="293"/>
      <c r="I5" s="293"/>
      <c r="J5" s="293"/>
      <c r="K5" s="293"/>
      <c r="L5" s="293"/>
    </row>
    <row r="6" spans="1:22" ht="59.25"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6.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1"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46228.605671296296</v>
      </c>
      <c r="F53" s="10" t="s">
        <v>24</v>
      </c>
      <c r="G53" s="10" t="s">
        <v>24</v>
      </c>
      <c r="H53" s="10"/>
      <c r="I53" s="10"/>
      <c r="J53" s="10" t="s">
        <v>24</v>
      </c>
      <c r="K53" s="10"/>
      <c r="L53" s="10"/>
    </row>
    <row r="54" spans="1:12" x14ac:dyDescent="0.25">
      <c r="A54" s="3" t="s">
        <v>56</v>
      </c>
      <c r="B54" s="3" t="s">
        <v>66</v>
      </c>
      <c r="C54" s="3"/>
      <c r="D54" s="3">
        <v>10</v>
      </c>
      <c r="E54" s="47">
        <v>46228.605613425927</v>
      </c>
      <c r="F54" s="10" t="s">
        <v>24</v>
      </c>
      <c r="G54" s="10" t="s">
        <v>24</v>
      </c>
      <c r="H54" s="10"/>
      <c r="I54" s="10"/>
      <c r="J54" s="10" t="s">
        <v>24</v>
      </c>
      <c r="K54" s="10"/>
      <c r="L54" s="10"/>
    </row>
    <row r="55" spans="1:12" x14ac:dyDescent="0.25">
      <c r="A55" s="3" t="s">
        <v>56</v>
      </c>
      <c r="B55" s="3" t="s">
        <v>67</v>
      </c>
      <c r="C55" s="16"/>
      <c r="D55" s="3">
        <v>10</v>
      </c>
      <c r="E55" s="48">
        <v>46267</v>
      </c>
      <c r="F55" s="10" t="s">
        <v>24</v>
      </c>
      <c r="G55" s="10" t="s">
        <v>24</v>
      </c>
      <c r="H55" s="10"/>
      <c r="I55" s="10"/>
      <c r="J55" s="10" t="s">
        <v>24</v>
      </c>
      <c r="K55" s="10"/>
      <c r="L55" s="10"/>
    </row>
    <row r="56" spans="1:12" x14ac:dyDescent="0.25">
      <c r="A56" s="3" t="s">
        <v>56</v>
      </c>
      <c r="B56" s="3" t="s">
        <v>68</v>
      </c>
      <c r="C56" s="3"/>
      <c r="D56" s="3">
        <v>11</v>
      </c>
      <c r="E56" s="49">
        <v>46228.605752314812</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pageSetup paperSize="9" scale="67" fitToHeight="0" orientation="landscape" horizontalDpi="0" verticalDpi="0"/>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2B1A54"/>
    <pageSetUpPr fitToPage="1"/>
  </sheetPr>
  <dimension ref="A1:Q24"/>
  <sheetViews>
    <sheetView showGridLines="0" workbookViewId="0">
      <selection sqref="A1:M1"/>
    </sheetView>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6.5" x14ac:dyDescent="0.7">
      <c r="A1" s="287" t="str">
        <f ca="1">_xlfn.TEXTAFTER(CELL("filename",A1),"]")</f>
        <v>oz.CountDOWλ</v>
      </c>
      <c r="B1" s="287"/>
      <c r="C1" s="287"/>
      <c r="D1" s="287"/>
      <c r="E1" s="287"/>
      <c r="F1" s="287"/>
      <c r="G1" s="287"/>
      <c r="H1" s="287"/>
      <c r="I1" s="287"/>
      <c r="J1" s="287"/>
      <c r="K1" s="287"/>
      <c r="L1" s="287"/>
      <c r="M1" s="287"/>
      <c r="N1" s="112"/>
    </row>
    <row r="2" spans="1:17" x14ac:dyDescent="0.25">
      <c r="A2" s="288" t="s">
        <v>195</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row>
    <row r="4" spans="1:17" x14ac:dyDescent="0.25">
      <c r="A4" s="131" t="str" cm="1">
        <f t="array" ref="A4:B13">oz.CountDOWλ()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https://github.com/ryanduguid/Ozzit</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(oz is assumed to be the module's name)</v>
      </c>
    </row>
    <row r="13" spans="1:17" x14ac:dyDescent="0.25">
      <c r="A13" t="str">
        <v>3</v>
      </c>
      <c r="B13" t="str">
        <v>=oz.CountDOWλ("23/7/2026", "11/8/2026", 1)</v>
      </c>
    </row>
    <row r="18" spans="1:17" x14ac:dyDescent="0.25">
      <c r="E18" s="127" t="s">
        <v>150</v>
      </c>
      <c r="F18" s="128" cm="1">
        <f t="array" ref="F18:Q18">oz.Timelineλ($B$21,$B$22,$B$23)</f>
        <v>46204</v>
      </c>
      <c r="G18" s="128">
        <v>46569</v>
      </c>
      <c r="H18" s="128">
        <v>46935</v>
      </c>
      <c r="I18" s="128">
        <v>47300</v>
      </c>
      <c r="J18" s="128">
        <v>47665</v>
      </c>
      <c r="K18" s="128">
        <v>48030</v>
      </c>
      <c r="L18" s="128">
        <v>48396</v>
      </c>
      <c r="M18" s="128">
        <v>48761</v>
      </c>
      <c r="N18" s="128">
        <v>49126</v>
      </c>
      <c r="O18" s="128">
        <v>49491</v>
      </c>
      <c r="P18" s="128">
        <v>49857</v>
      </c>
      <c r="Q18" s="128">
        <v>50222</v>
      </c>
    </row>
    <row r="19" spans="1:17" x14ac:dyDescent="0.25">
      <c r="A19" s="115" t="s">
        <v>137</v>
      </c>
      <c r="B19" s="116" t="s">
        <v>138</v>
      </c>
      <c r="C19" s="115" t="s">
        <v>139</v>
      </c>
      <c r="E19" s="126" t="s">
        <v>151</v>
      </c>
      <c r="F19" s="129" cm="1">
        <f t="array" ref="F19:Q19">oz.Timelineλ($B$21,$B$22,$B$23,FALSE)</f>
        <v>46568</v>
      </c>
      <c r="G19" s="129">
        <v>46934</v>
      </c>
      <c r="H19" s="129">
        <v>47299</v>
      </c>
      <c r="I19" s="129">
        <v>47664</v>
      </c>
      <c r="J19" s="129">
        <v>48029</v>
      </c>
      <c r="K19" s="129">
        <v>48395</v>
      </c>
      <c r="L19" s="129">
        <v>48760</v>
      </c>
      <c r="M19" s="129">
        <v>49125</v>
      </c>
      <c r="N19" s="129">
        <v>49490</v>
      </c>
      <c r="O19" s="129">
        <v>49856</v>
      </c>
      <c r="P19" s="129">
        <v>50221</v>
      </c>
      <c r="Q19" s="129">
        <v>50586</v>
      </c>
    </row>
    <row r="20" spans="1:17" x14ac:dyDescent="0.25">
      <c r="A20" s="2" t="s">
        <v>149</v>
      </c>
      <c r="F20" s="130" cm="1">
        <f t="array" ref="F20:Q20">oz.CountDOWλ(_xlfn.ANCHORARRAY( F18),_xlfn.ANCHORARRAY( F19), $B$24)</f>
        <v>52</v>
      </c>
      <c r="G20">
        <v>52</v>
      </c>
      <c r="H20">
        <v>52</v>
      </c>
      <c r="I20">
        <v>53</v>
      </c>
      <c r="J20">
        <v>52</v>
      </c>
      <c r="K20">
        <v>52</v>
      </c>
      <c r="L20">
        <v>52</v>
      </c>
      <c r="M20">
        <v>52</v>
      </c>
      <c r="N20">
        <v>52</v>
      </c>
      <c r="O20">
        <v>53</v>
      </c>
      <c r="P20">
        <v>52</v>
      </c>
      <c r="Q20">
        <v>52</v>
      </c>
    </row>
    <row r="21" spans="1:17" x14ac:dyDescent="0.25">
      <c r="A21" s="121" t="s">
        <v>150</v>
      </c>
      <c r="B21" s="119">
        <v>46204</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2B1A54"/>
    <pageSetUpPr fitToPage="1"/>
  </sheetPr>
  <dimension ref="A1:Q34"/>
  <sheetViews>
    <sheetView showGridLines="0" workbookViewId="0">
      <selection sqref="A1:M1"/>
    </sheetView>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6.5" x14ac:dyDescent="0.7">
      <c r="A1" s="287" t="str">
        <f ca="1">_xlfn.TEXTAFTER(CELL("filename",A1),"]")</f>
        <v>oz.IsBetweenλ</v>
      </c>
      <c r="B1" s="287"/>
      <c r="C1" s="287"/>
      <c r="D1" s="287"/>
      <c r="E1" s="287"/>
      <c r="F1" s="287"/>
      <c r="G1" s="287"/>
      <c r="H1" s="287"/>
      <c r="I1" s="287"/>
      <c r="J1" s="287"/>
      <c r="K1" s="287"/>
      <c r="L1" s="287"/>
      <c r="M1" s="287"/>
      <c r="N1" s="112"/>
    </row>
    <row r="2" spans="1:17" x14ac:dyDescent="0.25">
      <c r="A2" s="288" t="s">
        <v>196</v>
      </c>
      <c r="B2" s="297"/>
      <c r="C2" s="297"/>
      <c r="D2" s="297"/>
      <c r="E2" s="297"/>
      <c r="F2" s="297"/>
      <c r="G2" s="297"/>
      <c r="H2" s="297"/>
      <c r="I2" s="297"/>
      <c r="J2" s="297"/>
      <c r="K2" s="297"/>
      <c r="L2" s="297"/>
      <c r="M2" s="297"/>
      <c r="N2" s="297"/>
      <c r="O2" s="297"/>
      <c r="P2" s="297"/>
      <c r="Q2" s="297"/>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oz.IsBetweenλ()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https://github.com/ryanduguid/Ozzit</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(oz is assumed to be the module's name)</v>
      </c>
    </row>
    <row r="14" spans="1:17" x14ac:dyDescent="0.25">
      <c r="A14" t="str">
        <v>FALSE</v>
      </c>
      <c r="B14" t="str">
        <v>=oz.IsBetweenλ(1, 2, 4)</v>
      </c>
    </row>
    <row r="15" spans="1:17" x14ac:dyDescent="0.25">
      <c r="A15" t="str">
        <v>TRUE</v>
      </c>
      <c r="B15" t="str">
        <v>=oz.IsBetweenλ(Today(), Today(), Today()+1)</v>
      </c>
    </row>
    <row r="16" spans="1:17" x14ac:dyDescent="0.25">
      <c r="A16" t="str">
        <v>FALSE</v>
      </c>
      <c r="B16" t="str">
        <v>=oz.IsBetweenλ("B", "B", "D", FALSE)</v>
      </c>
    </row>
    <row r="22" spans="1:17" x14ac:dyDescent="0.25">
      <c r="E22" s="127" t="s">
        <v>150</v>
      </c>
      <c r="F22" s="132" cm="1">
        <f t="array" ref="F22:Q22">oz.Timelineλ($B$25,$B$26,$B$27)</f>
        <v>46204</v>
      </c>
      <c r="G22" s="128">
        <v>46235</v>
      </c>
      <c r="H22" s="128">
        <v>46266</v>
      </c>
      <c r="I22" s="128">
        <v>46296</v>
      </c>
      <c r="J22" s="128">
        <v>46327</v>
      </c>
      <c r="K22" s="128">
        <v>46357</v>
      </c>
      <c r="L22" s="128">
        <v>46388</v>
      </c>
      <c r="M22" s="128">
        <v>46419</v>
      </c>
      <c r="N22" s="128">
        <v>46447</v>
      </c>
      <c r="O22" s="128">
        <v>46478</v>
      </c>
      <c r="P22" s="128">
        <v>46508</v>
      </c>
      <c r="Q22" s="128">
        <v>46539</v>
      </c>
    </row>
    <row r="23" spans="1:17" x14ac:dyDescent="0.25">
      <c r="A23" s="115" t="s">
        <v>137</v>
      </c>
      <c r="B23" s="116" t="s">
        <v>138</v>
      </c>
      <c r="C23" s="115" t="s">
        <v>139</v>
      </c>
      <c r="E23" s="126" t="s">
        <v>151</v>
      </c>
      <c r="F23" s="129" cm="1">
        <f t="array" ref="F23:Q23">oz.Timelineλ($B$25,$B$26,$B$27,FALSE)</f>
        <v>46234</v>
      </c>
      <c r="G23" s="129">
        <v>46265</v>
      </c>
      <c r="H23" s="129">
        <v>46295</v>
      </c>
      <c r="I23" s="129">
        <v>46326</v>
      </c>
      <c r="J23" s="129">
        <v>46356</v>
      </c>
      <c r="K23" s="129">
        <v>46387</v>
      </c>
      <c r="L23" s="129">
        <v>46418</v>
      </c>
      <c r="M23" s="129">
        <v>46446</v>
      </c>
      <c r="N23" s="129">
        <v>46477</v>
      </c>
      <c r="O23" s="129">
        <v>46507</v>
      </c>
      <c r="P23" s="129">
        <v>46538</v>
      </c>
      <c r="Q23" s="129">
        <v>46568</v>
      </c>
    </row>
    <row r="24" spans="1:17" x14ac:dyDescent="0.25">
      <c r="A24" s="2" t="s">
        <v>149</v>
      </c>
    </row>
    <row r="25" spans="1:17" x14ac:dyDescent="0.25">
      <c r="A25" s="121" t="s">
        <v>150</v>
      </c>
      <c r="B25" s="119">
        <v>46204</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46249</v>
      </c>
      <c r="C29" t="s">
        <v>145</v>
      </c>
      <c r="F29" s="187" cm="1">
        <f t="array" ref="F29:Q29">N( oz.IsBetweenλ(B29,_xlfn.ANCHORARRAY(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46213</v>
      </c>
      <c r="C31" t="s">
        <v>145</v>
      </c>
      <c r="F31" s="154" cm="1">
        <f t="array" ref="F31:Q34">N( oz.IsBetweenλ(B31:B34,_xlfn.ANCHORARRAY( $F$22),_xlfn.ANCHORARRAY( $F$23)))</f>
        <v>1</v>
      </c>
      <c r="G31">
        <v>0</v>
      </c>
      <c r="H31">
        <v>0</v>
      </c>
      <c r="I31">
        <v>0</v>
      </c>
      <c r="J31">
        <v>0</v>
      </c>
      <c r="K31">
        <v>0</v>
      </c>
      <c r="L31">
        <v>0</v>
      </c>
      <c r="M31">
        <v>0</v>
      </c>
      <c r="N31">
        <v>0</v>
      </c>
      <c r="O31">
        <v>0</v>
      </c>
      <c r="P31">
        <v>0</v>
      </c>
      <c r="Q31">
        <v>0</v>
      </c>
    </row>
    <row r="32" spans="1:17" x14ac:dyDescent="0.25">
      <c r="B32" s="119">
        <v>46275</v>
      </c>
      <c r="C32" t="s">
        <v>145</v>
      </c>
      <c r="F32">
        <v>0</v>
      </c>
      <c r="G32">
        <v>0</v>
      </c>
      <c r="H32">
        <v>1</v>
      </c>
      <c r="I32">
        <v>0</v>
      </c>
      <c r="J32">
        <v>0</v>
      </c>
      <c r="K32">
        <v>0</v>
      </c>
      <c r="L32">
        <v>0</v>
      </c>
      <c r="M32">
        <v>0</v>
      </c>
      <c r="N32">
        <v>0</v>
      </c>
      <c r="O32">
        <v>0</v>
      </c>
      <c r="P32">
        <v>0</v>
      </c>
      <c r="Q32">
        <v>0</v>
      </c>
    </row>
    <row r="33" spans="2:17" x14ac:dyDescent="0.25">
      <c r="B33" s="119">
        <v>46361</v>
      </c>
      <c r="C33" t="s">
        <v>145</v>
      </c>
      <c r="F33">
        <v>0</v>
      </c>
      <c r="G33">
        <v>0</v>
      </c>
      <c r="H33">
        <v>0</v>
      </c>
      <c r="I33">
        <v>0</v>
      </c>
      <c r="J33">
        <v>0</v>
      </c>
      <c r="K33">
        <v>1</v>
      </c>
      <c r="L33">
        <v>0</v>
      </c>
      <c r="M33">
        <v>0</v>
      </c>
      <c r="N33">
        <v>0</v>
      </c>
      <c r="O33">
        <v>0</v>
      </c>
      <c r="P33">
        <v>0</v>
      </c>
      <c r="Q33">
        <v>0</v>
      </c>
    </row>
    <row r="34" spans="2:17" x14ac:dyDescent="0.25">
      <c r="B34" s="119">
        <v>46453</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scale="68" fitToHeight="0" orientation="landscape" horizontalDpi="360" verticalDpi="360"/>
  <customProperties>
    <customPr name="Description" r:id="rId2"/>
  </customProperties>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2B1A54"/>
    <pageSetUpPr fitToPage="1"/>
  </sheetPr>
  <dimension ref="A1:NH39"/>
  <sheetViews>
    <sheetView showGridLines="0" workbookViewId="0">
      <selection sqref="A1:P1"/>
    </sheetView>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6.5" x14ac:dyDescent="0.7">
      <c r="A1" s="287" t="str">
        <f ca="1">_xlfn.TEXTAFTER(CELL("filename",A1),"]")</f>
        <v>oz.IsOccurrenceDateλ</v>
      </c>
      <c r="B1" s="287"/>
      <c r="C1" s="287"/>
      <c r="D1" s="287"/>
      <c r="E1" s="287"/>
      <c r="F1" s="287"/>
      <c r="G1" s="287"/>
      <c r="H1" s="287"/>
      <c r="I1" s="287"/>
      <c r="J1" s="287"/>
      <c r="K1" s="287"/>
      <c r="L1" s="287"/>
      <c r="M1" s="287"/>
      <c r="N1" s="287"/>
      <c r="O1" s="287"/>
      <c r="P1" s="287"/>
    </row>
    <row r="2" spans="1:16" x14ac:dyDescent="0.25">
      <c r="A2" s="288" t="s">
        <v>197</v>
      </c>
      <c r="B2" s="289"/>
      <c r="C2" s="289"/>
      <c r="D2" s="289"/>
      <c r="E2" s="289"/>
      <c r="F2" s="289"/>
      <c r="G2" s="289"/>
      <c r="H2" s="289"/>
      <c r="I2" s="289"/>
      <c r="J2" s="289"/>
      <c r="K2" s="289"/>
      <c r="L2" s="289"/>
      <c r="M2" s="289"/>
      <c r="N2" s="289"/>
      <c r="O2" s="289"/>
      <c r="P2" s="290"/>
    </row>
    <row r="4" spans="1:16" x14ac:dyDescent="0.25">
      <c r="A4" s="131" t="str" cm="1">
        <f t="array" ref="A4:B28">oz.IsOccurrenceDateλ()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https://github.com/ryanduguid/Ozzit</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(oz is assumed to be the module's name)</v>
      </c>
    </row>
    <row r="26" spans="1:372" x14ac:dyDescent="0.25">
      <c r="A26" t="str">
        <v>72</v>
      </c>
      <c r="B26" t="str">
        <v>=SUM(N(oz.IsOccurrenceDateλ(SEQUENCE(,90,"1/7/2026"), "1/7/2026", "10/9/2026", "D")))</v>
      </c>
    </row>
    <row r="27" spans="1:372" x14ac:dyDescent="0.25">
      <c r="A27" t="str">
        <v>01</v>
      </c>
      <c r="B27" t="str">
        <v>=SUM(N(oz.IsOccurrenceDateλ(SEQUENCE(,90,"1/7/2026"), "1/7/2026", "10/9/2026", "O")))</v>
      </c>
    </row>
    <row r="28" spans="1:372" x14ac:dyDescent="0.25">
      <c r="A28" t="str">
        <v>11</v>
      </c>
      <c r="B28" t="str">
        <v>=SUM(N(oz.IsOccurrenceDateλ(SEQUENCE(,90,"1/7/2026"), "1/7/2026", "10/9/2026", "W")))</v>
      </c>
    </row>
    <row r="31" spans="1:372" ht="21" x14ac:dyDescent="0.35">
      <c r="A31" s="298" t="s">
        <v>220</v>
      </c>
      <c r="B31" s="299"/>
      <c r="C31" s="299"/>
      <c r="D31" s="299"/>
      <c r="E31" s="299"/>
      <c r="F31" s="153"/>
      <c r="G31" s="135" t="s">
        <v>246</v>
      </c>
      <c r="H31" s="157" cm="1">
        <f t="array" ref="H31:NH31">oz.Cumulativeλ(_xlfn.ANCHORARRAY(H32))</f>
        <v>3981</v>
      </c>
      <c r="I31" s="157">
        <v>3962</v>
      </c>
      <c r="J31" s="157">
        <v>3868</v>
      </c>
      <c r="K31" s="157">
        <v>3868</v>
      </c>
      <c r="L31" s="157">
        <v>-632</v>
      </c>
      <c r="M31" s="157">
        <v>-651</v>
      </c>
      <c r="N31" s="157">
        <v>-670</v>
      </c>
      <c r="O31" s="157">
        <v>-689</v>
      </c>
      <c r="P31" s="157">
        <v>-708</v>
      </c>
      <c r="Q31" s="157">
        <v>-1302</v>
      </c>
      <c r="R31" s="157">
        <v>-1302</v>
      </c>
      <c r="S31" s="157">
        <v>-1302</v>
      </c>
      <c r="T31" s="157">
        <v>-1321</v>
      </c>
      <c r="U31" s="157">
        <v>-1340</v>
      </c>
      <c r="V31" s="157">
        <v>4641</v>
      </c>
      <c r="W31" s="157">
        <v>4622</v>
      </c>
      <c r="X31" s="157">
        <v>4528</v>
      </c>
      <c r="Y31" s="157">
        <v>4528</v>
      </c>
      <c r="Z31" s="157">
        <v>4528</v>
      </c>
      <c r="AA31" s="157">
        <v>4509</v>
      </c>
      <c r="AB31" s="157">
        <v>4490</v>
      </c>
      <c r="AC31" s="157">
        <v>4471</v>
      </c>
      <c r="AD31" s="157">
        <v>4452</v>
      </c>
      <c r="AE31" s="157">
        <v>4358</v>
      </c>
      <c r="AF31" s="157">
        <v>4358</v>
      </c>
      <c r="AG31" s="157">
        <v>4358</v>
      </c>
      <c r="AH31" s="157">
        <v>4339</v>
      </c>
      <c r="AI31" s="157">
        <v>4320</v>
      </c>
      <c r="AJ31" s="157">
        <v>10301</v>
      </c>
      <c r="AK31" s="157">
        <v>10282</v>
      </c>
      <c r="AL31" s="157">
        <v>10188</v>
      </c>
      <c r="AM31" s="157">
        <v>10188</v>
      </c>
      <c r="AN31" s="157">
        <v>10188</v>
      </c>
      <c r="AO31" s="157">
        <v>10169</v>
      </c>
      <c r="AP31" s="157">
        <v>10150</v>
      </c>
      <c r="AQ31" s="157">
        <v>5631</v>
      </c>
      <c r="AR31" s="157">
        <v>5612</v>
      </c>
      <c r="AS31" s="157">
        <v>5518</v>
      </c>
      <c r="AT31" s="157">
        <v>5518</v>
      </c>
      <c r="AU31" s="157">
        <v>5518</v>
      </c>
      <c r="AV31" s="157">
        <v>5499</v>
      </c>
      <c r="AW31" s="157">
        <v>5480</v>
      </c>
      <c r="AX31" s="157">
        <v>11461</v>
      </c>
      <c r="AY31" s="157">
        <v>11442</v>
      </c>
      <c r="AZ31" s="157">
        <v>11348</v>
      </c>
      <c r="BA31" s="157">
        <v>11348</v>
      </c>
      <c r="BB31" s="157">
        <v>11348</v>
      </c>
      <c r="BC31" s="157">
        <v>11329</v>
      </c>
      <c r="BD31" s="157">
        <v>11310</v>
      </c>
      <c r="BE31" s="157">
        <v>11291</v>
      </c>
      <c r="BF31" s="157">
        <v>11272</v>
      </c>
      <c r="BG31" s="157">
        <v>11178</v>
      </c>
      <c r="BH31" s="157">
        <v>11178</v>
      </c>
      <c r="BI31" s="157">
        <v>11178</v>
      </c>
      <c r="BJ31" s="157">
        <v>11159</v>
      </c>
      <c r="BK31" s="157">
        <v>11140</v>
      </c>
      <c r="BL31" s="157">
        <v>17121</v>
      </c>
      <c r="BM31" s="157">
        <v>17102</v>
      </c>
      <c r="BN31" s="157">
        <v>17008</v>
      </c>
      <c r="BO31" s="157">
        <v>17008</v>
      </c>
      <c r="BP31" s="157">
        <v>17008</v>
      </c>
      <c r="BQ31" s="157">
        <v>16989</v>
      </c>
      <c r="BR31" s="157">
        <v>16970</v>
      </c>
      <c r="BS31" s="157">
        <v>16951</v>
      </c>
      <c r="BT31" s="157">
        <v>16932</v>
      </c>
      <c r="BU31" s="157">
        <v>16838</v>
      </c>
      <c r="BV31" s="157">
        <v>12338</v>
      </c>
      <c r="BW31" s="157">
        <v>12338</v>
      </c>
      <c r="BX31" s="157">
        <v>12319</v>
      </c>
      <c r="BY31" s="157">
        <v>12300</v>
      </c>
      <c r="BZ31" s="157">
        <v>18281</v>
      </c>
      <c r="CA31" s="157">
        <v>18262</v>
      </c>
      <c r="CB31" s="157">
        <v>18168</v>
      </c>
      <c r="CC31" s="157">
        <v>18168</v>
      </c>
      <c r="CD31" s="157">
        <v>18168</v>
      </c>
      <c r="CE31" s="157">
        <v>18149</v>
      </c>
      <c r="CF31" s="157">
        <v>18130</v>
      </c>
      <c r="CG31" s="157">
        <v>18111</v>
      </c>
      <c r="CH31" s="157">
        <v>18092</v>
      </c>
      <c r="CI31" s="157">
        <v>17998</v>
      </c>
      <c r="CJ31" s="157">
        <v>17998</v>
      </c>
      <c r="CK31" s="157">
        <v>17998</v>
      </c>
      <c r="CL31" s="157">
        <v>17979</v>
      </c>
      <c r="CM31" s="157">
        <v>17960</v>
      </c>
      <c r="CN31" s="157">
        <v>23941</v>
      </c>
      <c r="CO31" s="157">
        <v>23922</v>
      </c>
      <c r="CP31" s="157">
        <v>23828</v>
      </c>
      <c r="CQ31" s="157">
        <v>23828</v>
      </c>
      <c r="CR31" s="157">
        <v>23828</v>
      </c>
      <c r="CS31" s="157">
        <v>23809</v>
      </c>
      <c r="CT31" s="157">
        <v>23790</v>
      </c>
      <c r="CU31" s="157">
        <v>23771</v>
      </c>
      <c r="CV31" s="157">
        <v>23752</v>
      </c>
      <c r="CW31" s="157">
        <v>23658</v>
      </c>
      <c r="CX31" s="157">
        <v>23658</v>
      </c>
      <c r="CY31" s="157">
        <v>23658</v>
      </c>
      <c r="CZ31" s="157">
        <v>19139</v>
      </c>
      <c r="DA31" s="157">
        <v>19120</v>
      </c>
      <c r="DB31" s="157">
        <v>25101</v>
      </c>
      <c r="DC31" s="157">
        <v>25082</v>
      </c>
      <c r="DD31" s="157">
        <v>24988</v>
      </c>
      <c r="DE31" s="157">
        <v>24488</v>
      </c>
      <c r="DF31" s="157">
        <v>24488</v>
      </c>
      <c r="DG31" s="157">
        <v>24469</v>
      </c>
      <c r="DH31" s="157">
        <v>24450</v>
      </c>
      <c r="DI31" s="157">
        <v>24431</v>
      </c>
      <c r="DJ31" s="157">
        <v>24412</v>
      </c>
      <c r="DK31" s="157">
        <v>24318</v>
      </c>
      <c r="DL31" s="157">
        <v>24318</v>
      </c>
      <c r="DM31" s="157">
        <v>24318</v>
      </c>
      <c r="DN31" s="157">
        <v>24299</v>
      </c>
      <c r="DO31" s="157">
        <v>24280</v>
      </c>
      <c r="DP31" s="157">
        <v>30261</v>
      </c>
      <c r="DQ31" s="157">
        <v>30242</v>
      </c>
      <c r="DR31" s="157">
        <v>30148</v>
      </c>
      <c r="DS31" s="157">
        <v>30148</v>
      </c>
      <c r="DT31" s="157">
        <v>30148</v>
      </c>
      <c r="DU31" s="157">
        <v>30129</v>
      </c>
      <c r="DV31" s="157">
        <v>30110</v>
      </c>
      <c r="DW31" s="157">
        <v>30091</v>
      </c>
      <c r="DX31" s="157">
        <v>30072</v>
      </c>
      <c r="DY31" s="157">
        <v>29978</v>
      </c>
      <c r="DZ31" s="157">
        <v>29978</v>
      </c>
      <c r="EA31" s="157">
        <v>29978</v>
      </c>
      <c r="EB31" s="157">
        <v>29959</v>
      </c>
      <c r="EC31" s="157">
        <v>29940</v>
      </c>
      <c r="ED31" s="157">
        <v>35921</v>
      </c>
      <c r="EE31" s="157">
        <v>31402</v>
      </c>
      <c r="EF31" s="157">
        <v>31308</v>
      </c>
      <c r="EG31" s="157">
        <v>31308</v>
      </c>
      <c r="EH31" s="157">
        <v>31308</v>
      </c>
      <c r="EI31" s="157">
        <v>31289</v>
      </c>
      <c r="EJ31" s="157">
        <v>31270</v>
      </c>
      <c r="EK31" s="157">
        <v>31251</v>
      </c>
      <c r="EL31" s="157">
        <v>31232</v>
      </c>
      <c r="EM31" s="157">
        <v>31138</v>
      </c>
      <c r="EN31" s="157">
        <v>31138</v>
      </c>
      <c r="EO31" s="157">
        <v>31138</v>
      </c>
      <c r="EP31" s="157">
        <v>31119</v>
      </c>
      <c r="EQ31" s="157">
        <v>31100</v>
      </c>
      <c r="ER31" s="157">
        <v>37081</v>
      </c>
      <c r="ES31" s="157">
        <v>37062</v>
      </c>
      <c r="ET31" s="157">
        <v>36968</v>
      </c>
      <c r="EU31" s="157">
        <v>36968</v>
      </c>
      <c r="EV31" s="157">
        <v>36968</v>
      </c>
      <c r="EW31" s="157">
        <v>36949</v>
      </c>
      <c r="EX31" s="157">
        <v>36930</v>
      </c>
      <c r="EY31" s="157">
        <v>36911</v>
      </c>
      <c r="EZ31" s="157">
        <v>36892</v>
      </c>
      <c r="FA31" s="157">
        <v>36798</v>
      </c>
      <c r="FB31" s="157">
        <v>36798</v>
      </c>
      <c r="FC31" s="157">
        <v>36798</v>
      </c>
      <c r="FD31" s="157">
        <v>36779</v>
      </c>
      <c r="FE31" s="157">
        <v>36760</v>
      </c>
      <c r="FF31" s="157">
        <v>42741</v>
      </c>
      <c r="FG31" s="157">
        <v>42722</v>
      </c>
      <c r="FH31" s="157">
        <v>42628</v>
      </c>
      <c r="FI31" s="157">
        <v>38128</v>
      </c>
      <c r="FJ31" s="157">
        <v>38128</v>
      </c>
      <c r="FK31" s="157">
        <v>38109</v>
      </c>
      <c r="FL31" s="157">
        <v>38090</v>
      </c>
      <c r="FM31" s="157">
        <v>38071</v>
      </c>
      <c r="FN31" s="157">
        <v>38052</v>
      </c>
      <c r="FO31" s="157">
        <v>37958</v>
      </c>
      <c r="FP31" s="157">
        <v>37958</v>
      </c>
      <c r="FQ31" s="157">
        <v>37958</v>
      </c>
      <c r="FR31" s="157">
        <v>37939</v>
      </c>
      <c r="FS31" s="157">
        <v>37920</v>
      </c>
      <c r="FT31" s="157">
        <v>43901</v>
      </c>
      <c r="FU31" s="157">
        <v>43882</v>
      </c>
      <c r="FV31" s="157">
        <v>43788</v>
      </c>
      <c r="FW31" s="157">
        <v>43788</v>
      </c>
      <c r="FX31" s="157">
        <v>43788</v>
      </c>
      <c r="FY31" s="157">
        <v>43769</v>
      </c>
      <c r="FZ31" s="157">
        <v>43750</v>
      </c>
      <c r="GA31" s="157">
        <v>43731</v>
      </c>
      <c r="GB31" s="157">
        <v>43712</v>
      </c>
      <c r="GC31" s="157">
        <v>43618</v>
      </c>
      <c r="GD31" s="157">
        <v>43618</v>
      </c>
      <c r="GE31" s="157">
        <v>43618</v>
      </c>
      <c r="GF31" s="157">
        <v>43599</v>
      </c>
      <c r="GG31" s="157">
        <v>43580</v>
      </c>
      <c r="GH31" s="157">
        <v>49561</v>
      </c>
      <c r="GI31" s="157">
        <v>49542</v>
      </c>
      <c r="GJ31" s="157">
        <v>47448</v>
      </c>
      <c r="GK31" s="157">
        <v>47448</v>
      </c>
      <c r="GL31" s="157">
        <v>47448</v>
      </c>
      <c r="GM31" s="157">
        <v>47429</v>
      </c>
      <c r="GN31" s="157">
        <v>42910</v>
      </c>
      <c r="GO31" s="157">
        <v>42891</v>
      </c>
      <c r="GP31" s="157">
        <v>42872</v>
      </c>
      <c r="GQ31" s="157">
        <v>42778</v>
      </c>
      <c r="GR31" s="157">
        <v>42778</v>
      </c>
      <c r="GS31" s="157">
        <v>42278</v>
      </c>
      <c r="GT31" s="157">
        <v>42259</v>
      </c>
      <c r="GU31" s="157">
        <v>42240</v>
      </c>
      <c r="GV31" s="157">
        <v>48221</v>
      </c>
      <c r="GW31" s="157">
        <v>48202</v>
      </c>
      <c r="GX31" s="157">
        <v>48108</v>
      </c>
      <c r="GY31" s="157">
        <v>48108</v>
      </c>
      <c r="GZ31" s="157">
        <v>48108</v>
      </c>
      <c r="HA31" s="157">
        <v>48089</v>
      </c>
      <c r="HB31" s="157">
        <v>48070</v>
      </c>
      <c r="HC31" s="157">
        <v>48051</v>
      </c>
      <c r="HD31" s="157">
        <v>48032</v>
      </c>
      <c r="HE31" s="157">
        <v>47938</v>
      </c>
      <c r="HF31" s="157">
        <v>47938</v>
      </c>
      <c r="HG31" s="157">
        <v>47938</v>
      </c>
      <c r="HH31" s="157">
        <v>47919</v>
      </c>
      <c r="HI31" s="157">
        <v>47900</v>
      </c>
      <c r="HJ31" s="157">
        <v>53881</v>
      </c>
      <c r="HK31" s="157">
        <v>53862</v>
      </c>
      <c r="HL31" s="157">
        <v>53768</v>
      </c>
      <c r="HM31" s="157">
        <v>53768</v>
      </c>
      <c r="HN31" s="157">
        <v>53768</v>
      </c>
      <c r="HO31" s="157">
        <v>53749</v>
      </c>
      <c r="HP31" s="157">
        <v>53730</v>
      </c>
      <c r="HQ31" s="157">
        <v>53711</v>
      </c>
      <c r="HR31" s="157">
        <v>53692</v>
      </c>
      <c r="HS31" s="157">
        <v>49098</v>
      </c>
      <c r="HT31" s="157">
        <v>49098</v>
      </c>
      <c r="HU31" s="157">
        <v>49098</v>
      </c>
      <c r="HV31" s="157">
        <v>49079</v>
      </c>
      <c r="HW31" s="157">
        <v>49060</v>
      </c>
      <c r="HX31" s="157">
        <v>55041</v>
      </c>
      <c r="HY31" s="157">
        <v>55022</v>
      </c>
      <c r="HZ31" s="157">
        <v>54928</v>
      </c>
      <c r="IA31" s="157">
        <v>54928</v>
      </c>
      <c r="IB31" s="157">
        <v>54928</v>
      </c>
      <c r="IC31" s="157">
        <v>54909</v>
      </c>
      <c r="ID31" s="157">
        <v>54890</v>
      </c>
      <c r="IE31" s="157">
        <v>54871</v>
      </c>
      <c r="IF31" s="157">
        <v>54852</v>
      </c>
      <c r="IG31" s="157">
        <v>54758</v>
      </c>
      <c r="IH31" s="157">
        <v>54758</v>
      </c>
      <c r="II31" s="157">
        <v>54758</v>
      </c>
      <c r="IJ31" s="157">
        <v>54739</v>
      </c>
      <c r="IK31" s="157">
        <v>54720</v>
      </c>
      <c r="IL31" s="157">
        <v>60701</v>
      </c>
      <c r="IM31" s="157">
        <v>60682</v>
      </c>
      <c r="IN31" s="157">
        <v>60588</v>
      </c>
      <c r="IO31" s="157">
        <v>60588</v>
      </c>
      <c r="IP31" s="157">
        <v>60588</v>
      </c>
      <c r="IQ31" s="157">
        <v>60569</v>
      </c>
      <c r="IR31" s="157">
        <v>60550</v>
      </c>
      <c r="IS31" s="157">
        <v>60531</v>
      </c>
      <c r="IT31" s="157">
        <v>60512</v>
      </c>
      <c r="IU31" s="157">
        <v>55918</v>
      </c>
      <c r="IV31" s="157">
        <v>55918</v>
      </c>
      <c r="IW31" s="157">
        <v>55918</v>
      </c>
      <c r="IX31" s="157">
        <v>55899</v>
      </c>
      <c r="IY31" s="157">
        <v>55880</v>
      </c>
      <c r="IZ31" s="157">
        <v>61861</v>
      </c>
      <c r="JA31" s="157">
        <v>61842</v>
      </c>
      <c r="JB31" s="157">
        <v>61748</v>
      </c>
      <c r="JC31" s="157">
        <v>61748</v>
      </c>
      <c r="JD31" s="157">
        <v>61748</v>
      </c>
      <c r="JE31" s="157">
        <v>61729</v>
      </c>
      <c r="JF31" s="157">
        <v>61710</v>
      </c>
      <c r="JG31" s="157">
        <v>61691</v>
      </c>
      <c r="JH31" s="157">
        <v>61672</v>
      </c>
      <c r="JI31" s="157">
        <v>61578</v>
      </c>
      <c r="JJ31" s="157">
        <v>61578</v>
      </c>
      <c r="JK31" s="157">
        <v>61578</v>
      </c>
      <c r="JL31" s="157">
        <v>61559</v>
      </c>
      <c r="JM31" s="157">
        <v>61540</v>
      </c>
      <c r="JN31" s="157">
        <v>67521</v>
      </c>
      <c r="JO31" s="157">
        <v>67502</v>
      </c>
      <c r="JP31" s="157">
        <v>67408</v>
      </c>
      <c r="JQ31" s="157">
        <v>67408</v>
      </c>
      <c r="JR31" s="157">
        <v>67408</v>
      </c>
      <c r="JS31" s="157">
        <v>67389</v>
      </c>
      <c r="JT31" s="157">
        <v>67370</v>
      </c>
      <c r="JU31" s="157">
        <v>67351</v>
      </c>
      <c r="JV31" s="157">
        <v>67332</v>
      </c>
      <c r="JW31" s="157">
        <v>67238</v>
      </c>
      <c r="JX31" s="157">
        <v>67238</v>
      </c>
      <c r="JY31" s="157">
        <v>67238</v>
      </c>
      <c r="JZ31" s="157">
        <v>62719</v>
      </c>
      <c r="KA31" s="157">
        <v>62700</v>
      </c>
      <c r="KB31" s="157">
        <v>68681</v>
      </c>
      <c r="KC31" s="157">
        <v>68662</v>
      </c>
      <c r="KD31" s="157">
        <v>68568</v>
      </c>
      <c r="KE31" s="157">
        <v>68068</v>
      </c>
      <c r="KF31" s="157">
        <v>68068</v>
      </c>
      <c r="KG31" s="157">
        <v>68049</v>
      </c>
      <c r="KH31" s="157">
        <v>68030</v>
      </c>
      <c r="KI31" s="157">
        <v>68011</v>
      </c>
      <c r="KJ31" s="157">
        <v>67992</v>
      </c>
      <c r="KK31" s="157">
        <v>67898</v>
      </c>
      <c r="KL31" s="157">
        <v>67898</v>
      </c>
      <c r="KM31" s="157">
        <v>67898</v>
      </c>
      <c r="KN31" s="157">
        <v>67879</v>
      </c>
      <c r="KO31" s="157">
        <v>67860</v>
      </c>
      <c r="KP31" s="157">
        <v>73841</v>
      </c>
      <c r="KQ31" s="157">
        <v>73822</v>
      </c>
      <c r="KR31" s="157">
        <v>73728</v>
      </c>
      <c r="KS31" s="157">
        <v>73728</v>
      </c>
      <c r="KT31" s="157">
        <v>73728</v>
      </c>
      <c r="KU31" s="157">
        <v>73709</v>
      </c>
      <c r="KV31" s="157">
        <v>73690</v>
      </c>
      <c r="KW31" s="157">
        <v>73671</v>
      </c>
      <c r="KX31" s="157">
        <v>73652</v>
      </c>
      <c r="KY31" s="157">
        <v>73558</v>
      </c>
      <c r="KZ31" s="157">
        <v>73558</v>
      </c>
      <c r="LA31" s="157">
        <v>73558</v>
      </c>
      <c r="LB31" s="157">
        <v>73539</v>
      </c>
      <c r="LC31" s="157">
        <v>73520</v>
      </c>
      <c r="LD31" s="157">
        <v>75001</v>
      </c>
      <c r="LE31" s="157">
        <v>74982</v>
      </c>
      <c r="LF31" s="157">
        <v>74888</v>
      </c>
      <c r="LG31" s="157">
        <v>74888</v>
      </c>
      <c r="LH31" s="157">
        <v>74888</v>
      </c>
      <c r="LI31" s="157">
        <v>74869</v>
      </c>
      <c r="LJ31" s="157">
        <v>74850</v>
      </c>
      <c r="LK31" s="157">
        <v>74831</v>
      </c>
      <c r="LL31" s="157">
        <v>74812</v>
      </c>
      <c r="LM31" s="157">
        <v>74718</v>
      </c>
      <c r="LN31" s="157">
        <v>74718</v>
      </c>
      <c r="LO31" s="157">
        <v>74718</v>
      </c>
      <c r="LP31" s="157">
        <v>74699</v>
      </c>
      <c r="LQ31" s="157">
        <v>74680</v>
      </c>
      <c r="LR31" s="157">
        <v>80661</v>
      </c>
      <c r="LS31" s="157">
        <v>80642</v>
      </c>
      <c r="LT31" s="157">
        <v>80548</v>
      </c>
      <c r="LU31" s="157">
        <v>80548</v>
      </c>
      <c r="LV31" s="157">
        <v>80548</v>
      </c>
      <c r="LW31" s="157">
        <v>80529</v>
      </c>
      <c r="LX31" s="157">
        <v>80510</v>
      </c>
      <c r="LY31" s="157">
        <v>80491</v>
      </c>
      <c r="LZ31" s="157">
        <v>80472</v>
      </c>
      <c r="MA31" s="157">
        <v>80378</v>
      </c>
      <c r="MB31" s="157">
        <v>80378</v>
      </c>
      <c r="MC31" s="157">
        <v>80378</v>
      </c>
      <c r="MD31" s="157">
        <v>80359</v>
      </c>
      <c r="ME31" s="157">
        <v>80340</v>
      </c>
      <c r="MF31" s="157">
        <v>86321</v>
      </c>
      <c r="MG31" s="157">
        <v>86302</v>
      </c>
      <c r="MH31" s="157">
        <v>86208</v>
      </c>
      <c r="MI31" s="157">
        <v>81708</v>
      </c>
      <c r="MJ31" s="157">
        <v>81708</v>
      </c>
      <c r="MK31" s="157">
        <v>81689</v>
      </c>
      <c r="ML31" s="157">
        <v>81670</v>
      </c>
      <c r="MM31" s="157">
        <v>81651</v>
      </c>
      <c r="MN31" s="157">
        <v>81632</v>
      </c>
      <c r="MO31" s="157">
        <v>81538</v>
      </c>
      <c r="MP31" s="157">
        <v>81538</v>
      </c>
      <c r="MQ31" s="157">
        <v>81538</v>
      </c>
      <c r="MR31" s="157">
        <v>81519</v>
      </c>
      <c r="MS31" s="157">
        <v>81500</v>
      </c>
      <c r="MT31" s="157">
        <v>87481</v>
      </c>
      <c r="MU31" s="157">
        <v>87462</v>
      </c>
      <c r="MV31" s="157">
        <v>87368</v>
      </c>
      <c r="MW31" s="157">
        <v>87368</v>
      </c>
      <c r="MX31" s="157">
        <v>87368</v>
      </c>
      <c r="MY31" s="157">
        <v>87349</v>
      </c>
      <c r="MZ31" s="157">
        <v>87330</v>
      </c>
      <c r="NA31" s="157">
        <v>87311</v>
      </c>
      <c r="NB31" s="157">
        <v>87292</v>
      </c>
      <c r="NC31" s="157">
        <v>87198</v>
      </c>
      <c r="ND31" s="157">
        <v>87198</v>
      </c>
      <c r="NE31" s="157">
        <v>87198</v>
      </c>
      <c r="NF31" s="157">
        <v>87179</v>
      </c>
      <c r="NG31" s="157">
        <v>87160</v>
      </c>
      <c r="NH31" s="157">
        <v>93141</v>
      </c>
    </row>
    <row r="32" spans="1:372" x14ac:dyDescent="0.25">
      <c r="A32" s="280" t="s">
        <v>221</v>
      </c>
      <c r="B32" s="281"/>
      <c r="C32" s="281"/>
      <c r="D32" s="281"/>
      <c r="E32" s="281"/>
      <c r="F32" s="152"/>
      <c r="G32" s="158" t="s">
        <v>245</v>
      </c>
      <c r="H32" s="159" cm="1">
        <f t="array" ref="H32:NH32">oz.SumColsλ(_xlfn.ANCHORARRAY($H$34))</f>
        <v>3981</v>
      </c>
      <c r="I32" s="159">
        <v>-19</v>
      </c>
      <c r="J32" s="159">
        <v>-94</v>
      </c>
      <c r="K32" s="159">
        <v>0</v>
      </c>
      <c r="L32" s="159">
        <v>-4500</v>
      </c>
      <c r="M32" s="159">
        <v>-19</v>
      </c>
      <c r="N32" s="159">
        <v>-19</v>
      </c>
      <c r="O32" s="159">
        <v>-19</v>
      </c>
      <c r="P32" s="159">
        <v>-19</v>
      </c>
      <c r="Q32" s="159">
        <v>-594</v>
      </c>
      <c r="R32" s="159">
        <v>0</v>
      </c>
      <c r="S32" s="159">
        <v>0</v>
      </c>
      <c r="T32" s="159">
        <v>-19</v>
      </c>
      <c r="U32" s="159">
        <v>-19</v>
      </c>
      <c r="V32" s="159">
        <v>5981</v>
      </c>
      <c r="W32" s="159">
        <v>-19</v>
      </c>
      <c r="X32" s="159">
        <v>-94</v>
      </c>
      <c r="Y32" s="159">
        <v>0</v>
      </c>
      <c r="Z32" s="159">
        <v>0</v>
      </c>
      <c r="AA32" s="159">
        <v>-19</v>
      </c>
      <c r="AB32" s="159">
        <v>-19</v>
      </c>
      <c r="AC32" s="159">
        <v>-19</v>
      </c>
      <c r="AD32" s="159">
        <v>-19</v>
      </c>
      <c r="AE32" s="159">
        <v>-94</v>
      </c>
      <c r="AF32" s="159">
        <v>0</v>
      </c>
      <c r="AG32" s="159">
        <v>0</v>
      </c>
      <c r="AH32" s="159">
        <v>-19</v>
      </c>
      <c r="AI32" s="159">
        <v>-19</v>
      </c>
      <c r="AJ32" s="159">
        <v>5981</v>
      </c>
      <c r="AK32" s="159">
        <v>-19</v>
      </c>
      <c r="AL32" s="159">
        <v>-94</v>
      </c>
      <c r="AM32" s="159">
        <v>0</v>
      </c>
      <c r="AN32" s="159">
        <v>0</v>
      </c>
      <c r="AO32" s="159">
        <v>-19</v>
      </c>
      <c r="AP32" s="159">
        <v>-19</v>
      </c>
      <c r="AQ32" s="159">
        <v>-4519</v>
      </c>
      <c r="AR32" s="159">
        <v>-19</v>
      </c>
      <c r="AS32" s="159">
        <v>-94</v>
      </c>
      <c r="AT32" s="159">
        <v>0</v>
      </c>
      <c r="AU32" s="159">
        <v>0</v>
      </c>
      <c r="AV32" s="159">
        <v>-19</v>
      </c>
      <c r="AW32" s="159">
        <v>-19</v>
      </c>
      <c r="AX32" s="159">
        <v>5981</v>
      </c>
      <c r="AY32" s="159">
        <v>-19</v>
      </c>
      <c r="AZ32" s="159">
        <v>-94</v>
      </c>
      <c r="BA32" s="159">
        <v>0</v>
      </c>
      <c r="BB32" s="159">
        <v>0</v>
      </c>
      <c r="BC32" s="159">
        <v>-19</v>
      </c>
      <c r="BD32" s="159">
        <v>-19</v>
      </c>
      <c r="BE32" s="159">
        <v>-19</v>
      </c>
      <c r="BF32" s="159">
        <v>-19</v>
      </c>
      <c r="BG32" s="159">
        <v>-94</v>
      </c>
      <c r="BH32" s="159">
        <v>0</v>
      </c>
      <c r="BI32" s="159">
        <v>0</v>
      </c>
      <c r="BJ32" s="159">
        <v>-19</v>
      </c>
      <c r="BK32" s="159">
        <v>-19</v>
      </c>
      <c r="BL32" s="159">
        <v>5981</v>
      </c>
      <c r="BM32" s="159">
        <v>-19</v>
      </c>
      <c r="BN32" s="159">
        <v>-94</v>
      </c>
      <c r="BO32" s="159">
        <v>0</v>
      </c>
      <c r="BP32" s="159">
        <v>0</v>
      </c>
      <c r="BQ32" s="159">
        <v>-19</v>
      </c>
      <c r="BR32" s="159">
        <v>-19</v>
      </c>
      <c r="BS32" s="159">
        <v>-19</v>
      </c>
      <c r="BT32" s="159">
        <v>-19</v>
      </c>
      <c r="BU32" s="159">
        <v>-94</v>
      </c>
      <c r="BV32" s="159">
        <v>-4500</v>
      </c>
      <c r="BW32" s="159">
        <v>0</v>
      </c>
      <c r="BX32" s="159">
        <v>-19</v>
      </c>
      <c r="BY32" s="159">
        <v>-19</v>
      </c>
      <c r="BZ32" s="159">
        <v>5981</v>
      </c>
      <c r="CA32" s="159">
        <v>-19</v>
      </c>
      <c r="CB32" s="159">
        <v>-94</v>
      </c>
      <c r="CC32" s="159">
        <v>0</v>
      </c>
      <c r="CD32" s="159">
        <v>0</v>
      </c>
      <c r="CE32" s="159">
        <v>-19</v>
      </c>
      <c r="CF32" s="159">
        <v>-19</v>
      </c>
      <c r="CG32" s="159">
        <v>-19</v>
      </c>
      <c r="CH32" s="159">
        <v>-19</v>
      </c>
      <c r="CI32" s="159">
        <v>-94</v>
      </c>
      <c r="CJ32" s="159">
        <v>0</v>
      </c>
      <c r="CK32" s="159">
        <v>0</v>
      </c>
      <c r="CL32" s="159">
        <v>-19</v>
      </c>
      <c r="CM32" s="159">
        <v>-19</v>
      </c>
      <c r="CN32" s="159">
        <v>5981</v>
      </c>
      <c r="CO32" s="159">
        <v>-19</v>
      </c>
      <c r="CP32" s="159">
        <v>-94</v>
      </c>
      <c r="CQ32" s="159">
        <v>0</v>
      </c>
      <c r="CR32" s="159">
        <v>0</v>
      </c>
      <c r="CS32" s="159">
        <v>-19</v>
      </c>
      <c r="CT32" s="159">
        <v>-19</v>
      </c>
      <c r="CU32" s="159">
        <v>-19</v>
      </c>
      <c r="CV32" s="159">
        <v>-19</v>
      </c>
      <c r="CW32" s="159">
        <v>-94</v>
      </c>
      <c r="CX32" s="159">
        <v>0</v>
      </c>
      <c r="CY32" s="159">
        <v>0</v>
      </c>
      <c r="CZ32" s="159">
        <v>-4519</v>
      </c>
      <c r="DA32" s="159">
        <v>-19</v>
      </c>
      <c r="DB32" s="159">
        <v>5981</v>
      </c>
      <c r="DC32" s="159">
        <v>-19</v>
      </c>
      <c r="DD32" s="159">
        <v>-94</v>
      </c>
      <c r="DE32" s="159">
        <v>-500</v>
      </c>
      <c r="DF32" s="159">
        <v>0</v>
      </c>
      <c r="DG32" s="159">
        <v>-19</v>
      </c>
      <c r="DH32" s="159">
        <v>-19</v>
      </c>
      <c r="DI32" s="159">
        <v>-19</v>
      </c>
      <c r="DJ32" s="159">
        <v>-19</v>
      </c>
      <c r="DK32" s="159">
        <v>-94</v>
      </c>
      <c r="DL32" s="159">
        <v>0</v>
      </c>
      <c r="DM32" s="159">
        <v>0</v>
      </c>
      <c r="DN32" s="159">
        <v>-19</v>
      </c>
      <c r="DO32" s="159">
        <v>-19</v>
      </c>
      <c r="DP32" s="159">
        <v>5981</v>
      </c>
      <c r="DQ32" s="159">
        <v>-19</v>
      </c>
      <c r="DR32" s="159">
        <v>-94</v>
      </c>
      <c r="DS32" s="159">
        <v>0</v>
      </c>
      <c r="DT32" s="159">
        <v>0</v>
      </c>
      <c r="DU32" s="159">
        <v>-19</v>
      </c>
      <c r="DV32" s="159">
        <v>-19</v>
      </c>
      <c r="DW32" s="159">
        <v>-19</v>
      </c>
      <c r="DX32" s="159">
        <v>-19</v>
      </c>
      <c r="DY32" s="159">
        <v>-94</v>
      </c>
      <c r="DZ32" s="159">
        <v>0</v>
      </c>
      <c r="EA32" s="159">
        <v>0</v>
      </c>
      <c r="EB32" s="159">
        <v>-19</v>
      </c>
      <c r="EC32" s="159">
        <v>-19</v>
      </c>
      <c r="ED32" s="159">
        <v>5981</v>
      </c>
      <c r="EE32" s="159">
        <v>-4519</v>
      </c>
      <c r="EF32" s="159">
        <v>-94</v>
      </c>
      <c r="EG32" s="159">
        <v>0</v>
      </c>
      <c r="EH32" s="159">
        <v>0</v>
      </c>
      <c r="EI32" s="159">
        <v>-19</v>
      </c>
      <c r="EJ32" s="159">
        <v>-19</v>
      </c>
      <c r="EK32" s="159">
        <v>-19</v>
      </c>
      <c r="EL32" s="159">
        <v>-19</v>
      </c>
      <c r="EM32" s="159">
        <v>-94</v>
      </c>
      <c r="EN32" s="159">
        <v>0</v>
      </c>
      <c r="EO32" s="159">
        <v>0</v>
      </c>
      <c r="EP32" s="159">
        <v>-19</v>
      </c>
      <c r="EQ32" s="159">
        <v>-19</v>
      </c>
      <c r="ER32" s="159">
        <v>5981</v>
      </c>
      <c r="ES32" s="159">
        <v>-19</v>
      </c>
      <c r="ET32" s="159">
        <v>-94</v>
      </c>
      <c r="EU32" s="159">
        <v>0</v>
      </c>
      <c r="EV32" s="159">
        <v>0</v>
      </c>
      <c r="EW32" s="159">
        <v>-19</v>
      </c>
      <c r="EX32" s="159">
        <v>-19</v>
      </c>
      <c r="EY32" s="159">
        <v>-19</v>
      </c>
      <c r="EZ32" s="159">
        <v>-19</v>
      </c>
      <c r="FA32" s="159">
        <v>-94</v>
      </c>
      <c r="FB32" s="159">
        <v>0</v>
      </c>
      <c r="FC32" s="159">
        <v>0</v>
      </c>
      <c r="FD32" s="159">
        <v>-19</v>
      </c>
      <c r="FE32" s="159">
        <v>-19</v>
      </c>
      <c r="FF32" s="159">
        <v>5981</v>
      </c>
      <c r="FG32" s="159">
        <v>-19</v>
      </c>
      <c r="FH32" s="159">
        <v>-94</v>
      </c>
      <c r="FI32" s="159">
        <v>-4500</v>
      </c>
      <c r="FJ32" s="159">
        <v>0</v>
      </c>
      <c r="FK32" s="159">
        <v>-19</v>
      </c>
      <c r="FL32" s="159">
        <v>-19</v>
      </c>
      <c r="FM32" s="159">
        <v>-19</v>
      </c>
      <c r="FN32" s="159">
        <v>-19</v>
      </c>
      <c r="FO32" s="159">
        <v>-94</v>
      </c>
      <c r="FP32" s="159">
        <v>0</v>
      </c>
      <c r="FQ32" s="159">
        <v>0</v>
      </c>
      <c r="FR32" s="159">
        <v>-19</v>
      </c>
      <c r="FS32" s="159">
        <v>-19</v>
      </c>
      <c r="FT32" s="159">
        <v>5981</v>
      </c>
      <c r="FU32" s="159">
        <v>-19</v>
      </c>
      <c r="FV32" s="159">
        <v>-94</v>
      </c>
      <c r="FW32" s="159">
        <v>0</v>
      </c>
      <c r="FX32" s="159">
        <v>0</v>
      </c>
      <c r="FY32" s="159">
        <v>-19</v>
      </c>
      <c r="FZ32" s="159">
        <v>-19</v>
      </c>
      <c r="GA32" s="159">
        <v>-19</v>
      </c>
      <c r="GB32" s="159">
        <v>-19</v>
      </c>
      <c r="GC32" s="159">
        <v>-94</v>
      </c>
      <c r="GD32" s="159">
        <v>0</v>
      </c>
      <c r="GE32" s="159">
        <v>0</v>
      </c>
      <c r="GF32" s="159">
        <v>-19</v>
      </c>
      <c r="GG32" s="159">
        <v>-19</v>
      </c>
      <c r="GH32" s="159">
        <v>5981</v>
      </c>
      <c r="GI32" s="159">
        <v>-19</v>
      </c>
      <c r="GJ32" s="159">
        <v>-2094</v>
      </c>
      <c r="GK32" s="159">
        <v>0</v>
      </c>
      <c r="GL32" s="159">
        <v>0</v>
      </c>
      <c r="GM32" s="159">
        <v>-19</v>
      </c>
      <c r="GN32" s="159">
        <v>-4519</v>
      </c>
      <c r="GO32" s="159">
        <v>-19</v>
      </c>
      <c r="GP32" s="159">
        <v>-19</v>
      </c>
      <c r="GQ32" s="159">
        <v>-94</v>
      </c>
      <c r="GR32" s="159">
        <v>0</v>
      </c>
      <c r="GS32" s="159">
        <v>-500</v>
      </c>
      <c r="GT32" s="159">
        <v>-19</v>
      </c>
      <c r="GU32" s="159">
        <v>-19</v>
      </c>
      <c r="GV32" s="159">
        <v>5981</v>
      </c>
      <c r="GW32" s="159">
        <v>-19</v>
      </c>
      <c r="GX32" s="159">
        <v>-94</v>
      </c>
      <c r="GY32" s="159">
        <v>0</v>
      </c>
      <c r="GZ32" s="159">
        <v>0</v>
      </c>
      <c r="HA32" s="159">
        <v>-19</v>
      </c>
      <c r="HB32" s="159">
        <v>-19</v>
      </c>
      <c r="HC32" s="159">
        <v>-19</v>
      </c>
      <c r="HD32" s="159">
        <v>-19</v>
      </c>
      <c r="HE32" s="159">
        <v>-94</v>
      </c>
      <c r="HF32" s="159">
        <v>0</v>
      </c>
      <c r="HG32" s="159">
        <v>0</v>
      </c>
      <c r="HH32" s="159">
        <v>-19</v>
      </c>
      <c r="HI32" s="159">
        <v>-19</v>
      </c>
      <c r="HJ32" s="159">
        <v>5981</v>
      </c>
      <c r="HK32" s="159">
        <v>-19</v>
      </c>
      <c r="HL32" s="159">
        <v>-94</v>
      </c>
      <c r="HM32" s="159">
        <v>0</v>
      </c>
      <c r="HN32" s="159">
        <v>0</v>
      </c>
      <c r="HO32" s="159">
        <v>-19</v>
      </c>
      <c r="HP32" s="159">
        <v>-19</v>
      </c>
      <c r="HQ32" s="159">
        <v>-19</v>
      </c>
      <c r="HR32" s="159">
        <v>-19</v>
      </c>
      <c r="HS32" s="159">
        <v>-4594</v>
      </c>
      <c r="HT32" s="159">
        <v>0</v>
      </c>
      <c r="HU32" s="159">
        <v>0</v>
      </c>
      <c r="HV32" s="159">
        <v>-19</v>
      </c>
      <c r="HW32" s="159">
        <v>-19</v>
      </c>
      <c r="HX32" s="159">
        <v>5981</v>
      </c>
      <c r="HY32" s="159">
        <v>-19</v>
      </c>
      <c r="HZ32" s="159">
        <v>-94</v>
      </c>
      <c r="IA32" s="159">
        <v>0</v>
      </c>
      <c r="IB32" s="159">
        <v>0</v>
      </c>
      <c r="IC32" s="159">
        <v>-19</v>
      </c>
      <c r="ID32" s="159">
        <v>-19</v>
      </c>
      <c r="IE32" s="159">
        <v>-19</v>
      </c>
      <c r="IF32" s="159">
        <v>-19</v>
      </c>
      <c r="IG32" s="159">
        <v>-94</v>
      </c>
      <c r="IH32" s="159">
        <v>0</v>
      </c>
      <c r="II32" s="159">
        <v>0</v>
      </c>
      <c r="IJ32" s="159">
        <v>-19</v>
      </c>
      <c r="IK32" s="159">
        <v>-19</v>
      </c>
      <c r="IL32" s="159">
        <v>5981</v>
      </c>
      <c r="IM32" s="159">
        <v>-19</v>
      </c>
      <c r="IN32" s="159">
        <v>-94</v>
      </c>
      <c r="IO32" s="159">
        <v>0</v>
      </c>
      <c r="IP32" s="159">
        <v>0</v>
      </c>
      <c r="IQ32" s="159">
        <v>-19</v>
      </c>
      <c r="IR32" s="159">
        <v>-19</v>
      </c>
      <c r="IS32" s="159">
        <v>-19</v>
      </c>
      <c r="IT32" s="159">
        <v>-19</v>
      </c>
      <c r="IU32" s="159">
        <v>-4594</v>
      </c>
      <c r="IV32" s="159">
        <v>0</v>
      </c>
      <c r="IW32" s="159">
        <v>0</v>
      </c>
      <c r="IX32" s="159">
        <v>-19</v>
      </c>
      <c r="IY32" s="159">
        <v>-19</v>
      </c>
      <c r="IZ32" s="159">
        <v>5981</v>
      </c>
      <c r="JA32" s="159">
        <v>-19</v>
      </c>
      <c r="JB32" s="159">
        <v>-94</v>
      </c>
      <c r="JC32" s="159">
        <v>0</v>
      </c>
      <c r="JD32" s="159">
        <v>0</v>
      </c>
      <c r="JE32" s="159">
        <v>-19</v>
      </c>
      <c r="JF32" s="159">
        <v>-19</v>
      </c>
      <c r="JG32" s="159">
        <v>-19</v>
      </c>
      <c r="JH32" s="159">
        <v>-19</v>
      </c>
      <c r="JI32" s="159">
        <v>-94</v>
      </c>
      <c r="JJ32" s="159">
        <v>0</v>
      </c>
      <c r="JK32" s="159">
        <v>0</v>
      </c>
      <c r="JL32" s="159">
        <v>-19</v>
      </c>
      <c r="JM32" s="159">
        <v>-19</v>
      </c>
      <c r="JN32" s="159">
        <v>5981</v>
      </c>
      <c r="JO32" s="159">
        <v>-19</v>
      </c>
      <c r="JP32" s="159">
        <v>-94</v>
      </c>
      <c r="JQ32" s="159">
        <v>0</v>
      </c>
      <c r="JR32" s="159">
        <v>0</v>
      </c>
      <c r="JS32" s="159">
        <v>-19</v>
      </c>
      <c r="JT32" s="159">
        <v>-19</v>
      </c>
      <c r="JU32" s="159">
        <v>-19</v>
      </c>
      <c r="JV32" s="159">
        <v>-19</v>
      </c>
      <c r="JW32" s="159">
        <v>-94</v>
      </c>
      <c r="JX32" s="159">
        <v>0</v>
      </c>
      <c r="JY32" s="159">
        <v>0</v>
      </c>
      <c r="JZ32" s="159">
        <v>-4519</v>
      </c>
      <c r="KA32" s="159">
        <v>-19</v>
      </c>
      <c r="KB32" s="159">
        <v>5981</v>
      </c>
      <c r="KC32" s="159">
        <v>-19</v>
      </c>
      <c r="KD32" s="159">
        <v>-94</v>
      </c>
      <c r="KE32" s="159">
        <v>-500</v>
      </c>
      <c r="KF32" s="159">
        <v>0</v>
      </c>
      <c r="KG32" s="159">
        <v>-19</v>
      </c>
      <c r="KH32" s="159">
        <v>-19</v>
      </c>
      <c r="KI32" s="159">
        <v>-19</v>
      </c>
      <c r="KJ32" s="159">
        <v>-19</v>
      </c>
      <c r="KK32" s="159">
        <v>-94</v>
      </c>
      <c r="KL32" s="159">
        <v>0</v>
      </c>
      <c r="KM32" s="159">
        <v>0</v>
      </c>
      <c r="KN32" s="159">
        <v>-19</v>
      </c>
      <c r="KO32" s="159">
        <v>-19</v>
      </c>
      <c r="KP32" s="159">
        <v>5981</v>
      </c>
      <c r="KQ32" s="159">
        <v>-19</v>
      </c>
      <c r="KR32" s="159">
        <v>-94</v>
      </c>
      <c r="KS32" s="159">
        <v>0</v>
      </c>
      <c r="KT32" s="159">
        <v>0</v>
      </c>
      <c r="KU32" s="159">
        <v>-19</v>
      </c>
      <c r="KV32" s="159">
        <v>-19</v>
      </c>
      <c r="KW32" s="159">
        <v>-19</v>
      </c>
      <c r="KX32" s="159">
        <v>-19</v>
      </c>
      <c r="KY32" s="159">
        <v>-94</v>
      </c>
      <c r="KZ32" s="159">
        <v>0</v>
      </c>
      <c r="LA32" s="159">
        <v>0</v>
      </c>
      <c r="LB32" s="159">
        <v>-19</v>
      </c>
      <c r="LC32" s="159">
        <v>-19</v>
      </c>
      <c r="LD32" s="159">
        <v>1481</v>
      </c>
      <c r="LE32" s="159">
        <v>-19</v>
      </c>
      <c r="LF32" s="159">
        <v>-94</v>
      </c>
      <c r="LG32" s="159">
        <v>0</v>
      </c>
      <c r="LH32" s="159">
        <v>0</v>
      </c>
      <c r="LI32" s="159">
        <v>-19</v>
      </c>
      <c r="LJ32" s="159">
        <v>-19</v>
      </c>
      <c r="LK32" s="159">
        <v>-19</v>
      </c>
      <c r="LL32" s="159">
        <v>-19</v>
      </c>
      <c r="LM32" s="159">
        <v>-94</v>
      </c>
      <c r="LN32" s="159">
        <v>0</v>
      </c>
      <c r="LO32" s="159">
        <v>0</v>
      </c>
      <c r="LP32" s="159">
        <v>-19</v>
      </c>
      <c r="LQ32" s="159">
        <v>-19</v>
      </c>
      <c r="LR32" s="159">
        <v>5981</v>
      </c>
      <c r="LS32" s="159">
        <v>-19</v>
      </c>
      <c r="LT32" s="159">
        <v>-94</v>
      </c>
      <c r="LU32" s="159">
        <v>0</v>
      </c>
      <c r="LV32" s="159">
        <v>0</v>
      </c>
      <c r="LW32" s="159">
        <v>-19</v>
      </c>
      <c r="LX32" s="159">
        <v>-19</v>
      </c>
      <c r="LY32" s="159">
        <v>-19</v>
      </c>
      <c r="LZ32" s="159">
        <v>-19</v>
      </c>
      <c r="MA32" s="159">
        <v>-94</v>
      </c>
      <c r="MB32" s="159">
        <v>0</v>
      </c>
      <c r="MC32" s="159">
        <v>0</v>
      </c>
      <c r="MD32" s="159">
        <v>-19</v>
      </c>
      <c r="ME32" s="159">
        <v>-19</v>
      </c>
      <c r="MF32" s="159">
        <v>5981</v>
      </c>
      <c r="MG32" s="159">
        <v>-19</v>
      </c>
      <c r="MH32" s="159">
        <v>-94</v>
      </c>
      <c r="MI32" s="159">
        <v>-4500</v>
      </c>
      <c r="MJ32" s="159">
        <v>0</v>
      </c>
      <c r="MK32" s="159">
        <v>-19</v>
      </c>
      <c r="ML32" s="159">
        <v>-19</v>
      </c>
      <c r="MM32" s="159">
        <v>-19</v>
      </c>
      <c r="MN32" s="159">
        <v>-19</v>
      </c>
      <c r="MO32" s="159">
        <v>-94</v>
      </c>
      <c r="MP32" s="159">
        <v>0</v>
      </c>
      <c r="MQ32" s="159">
        <v>0</v>
      </c>
      <c r="MR32" s="159">
        <v>-19</v>
      </c>
      <c r="MS32" s="159">
        <v>-19</v>
      </c>
      <c r="MT32" s="159">
        <v>5981</v>
      </c>
      <c r="MU32" s="159">
        <v>-19</v>
      </c>
      <c r="MV32" s="159">
        <v>-94</v>
      </c>
      <c r="MW32" s="159">
        <v>0</v>
      </c>
      <c r="MX32" s="159">
        <v>0</v>
      </c>
      <c r="MY32" s="159">
        <v>-19</v>
      </c>
      <c r="MZ32" s="159">
        <v>-19</v>
      </c>
      <c r="NA32" s="159">
        <v>-19</v>
      </c>
      <c r="NB32" s="159">
        <v>-19</v>
      </c>
      <c r="NC32" s="159">
        <v>-94</v>
      </c>
      <c r="ND32" s="159">
        <v>0</v>
      </c>
      <c r="NE32" s="159">
        <v>0</v>
      </c>
      <c r="NF32" s="159">
        <v>-19</v>
      </c>
      <c r="NG32" s="159">
        <v>-19</v>
      </c>
      <c r="NH32" s="159">
        <v>5981</v>
      </c>
    </row>
    <row r="33" spans="1:372" x14ac:dyDescent="0.25">
      <c r="A33" s="145" t="s">
        <v>131</v>
      </c>
      <c r="B33" s="146" t="s">
        <v>249</v>
      </c>
      <c r="C33" s="146" t="s">
        <v>222</v>
      </c>
      <c r="D33" s="147" t="s">
        <v>223</v>
      </c>
      <c r="E33" s="145" t="s">
        <v>224</v>
      </c>
      <c r="G33" s="155" t="s">
        <v>247</v>
      </c>
      <c r="H33" s="156" cm="1">
        <f t="array" ref="H33:NH33">oz.Timelineλ("1/7/2026", 365, "D")</f>
        <v>46204</v>
      </c>
      <c r="I33" s="156">
        <v>46205</v>
      </c>
      <c r="J33" s="156">
        <v>46206</v>
      </c>
      <c r="K33" s="156">
        <v>46207</v>
      </c>
      <c r="L33" s="156">
        <v>46208</v>
      </c>
      <c r="M33" s="156">
        <v>46209</v>
      </c>
      <c r="N33" s="156">
        <v>46210</v>
      </c>
      <c r="O33" s="156">
        <v>46211</v>
      </c>
      <c r="P33" s="156">
        <v>46212</v>
      </c>
      <c r="Q33" s="156">
        <v>46213</v>
      </c>
      <c r="R33" s="156">
        <v>46214</v>
      </c>
      <c r="S33" s="156">
        <v>46215</v>
      </c>
      <c r="T33" s="156">
        <v>46216</v>
      </c>
      <c r="U33" s="156">
        <v>46217</v>
      </c>
      <c r="V33" s="156">
        <v>46218</v>
      </c>
      <c r="W33" s="156">
        <v>46219</v>
      </c>
      <c r="X33" s="156">
        <v>46220</v>
      </c>
      <c r="Y33" s="156">
        <v>46221</v>
      </c>
      <c r="Z33" s="156">
        <v>46222</v>
      </c>
      <c r="AA33" s="156">
        <v>46223</v>
      </c>
      <c r="AB33" s="156">
        <v>46224</v>
      </c>
      <c r="AC33" s="156">
        <v>46225</v>
      </c>
      <c r="AD33" s="156">
        <v>46226</v>
      </c>
      <c r="AE33" s="156">
        <v>46227</v>
      </c>
      <c r="AF33" s="156">
        <v>46228</v>
      </c>
      <c r="AG33" s="156">
        <v>46229</v>
      </c>
      <c r="AH33" s="156">
        <v>46230</v>
      </c>
      <c r="AI33" s="156">
        <v>46231</v>
      </c>
      <c r="AJ33" s="156">
        <v>46232</v>
      </c>
      <c r="AK33" s="156">
        <v>46233</v>
      </c>
      <c r="AL33" s="156">
        <v>46234</v>
      </c>
      <c r="AM33" s="156">
        <v>46235</v>
      </c>
      <c r="AN33" s="156">
        <v>46236</v>
      </c>
      <c r="AO33" s="156">
        <v>46237</v>
      </c>
      <c r="AP33" s="156">
        <v>46238</v>
      </c>
      <c r="AQ33" s="156">
        <v>46239</v>
      </c>
      <c r="AR33" s="156">
        <v>46240</v>
      </c>
      <c r="AS33" s="156">
        <v>46241</v>
      </c>
      <c r="AT33" s="156">
        <v>46242</v>
      </c>
      <c r="AU33" s="156">
        <v>46243</v>
      </c>
      <c r="AV33" s="156">
        <v>46244</v>
      </c>
      <c r="AW33" s="156">
        <v>46245</v>
      </c>
      <c r="AX33" s="156">
        <v>46246</v>
      </c>
      <c r="AY33" s="156">
        <v>46247</v>
      </c>
      <c r="AZ33" s="156">
        <v>46248</v>
      </c>
      <c r="BA33" s="156">
        <v>46249</v>
      </c>
      <c r="BB33" s="156">
        <v>46250</v>
      </c>
      <c r="BC33" s="156">
        <v>46251</v>
      </c>
      <c r="BD33" s="156">
        <v>46252</v>
      </c>
      <c r="BE33" s="156">
        <v>46253</v>
      </c>
      <c r="BF33" s="156">
        <v>46254</v>
      </c>
      <c r="BG33" s="156">
        <v>46255</v>
      </c>
      <c r="BH33" s="156">
        <v>46256</v>
      </c>
      <c r="BI33" s="156">
        <v>46257</v>
      </c>
      <c r="BJ33" s="156">
        <v>46258</v>
      </c>
      <c r="BK33" s="156">
        <v>46259</v>
      </c>
      <c r="BL33" s="156">
        <v>46260</v>
      </c>
      <c r="BM33" s="156">
        <v>46261</v>
      </c>
      <c r="BN33" s="156">
        <v>46262</v>
      </c>
      <c r="BO33" s="156">
        <v>46263</v>
      </c>
      <c r="BP33" s="156">
        <v>46264</v>
      </c>
      <c r="BQ33" s="156">
        <v>46265</v>
      </c>
      <c r="BR33" s="156">
        <v>46266</v>
      </c>
      <c r="BS33" s="156">
        <v>46267</v>
      </c>
      <c r="BT33" s="156">
        <v>46268</v>
      </c>
      <c r="BU33" s="156">
        <v>46269</v>
      </c>
      <c r="BV33" s="156">
        <v>46270</v>
      </c>
      <c r="BW33" s="156">
        <v>46271</v>
      </c>
      <c r="BX33" s="156">
        <v>46272</v>
      </c>
      <c r="BY33" s="156">
        <v>46273</v>
      </c>
      <c r="BZ33" s="156">
        <v>46274</v>
      </c>
      <c r="CA33" s="156">
        <v>46275</v>
      </c>
      <c r="CB33" s="156">
        <v>46276</v>
      </c>
      <c r="CC33" s="156">
        <v>46277</v>
      </c>
      <c r="CD33" s="156">
        <v>46278</v>
      </c>
      <c r="CE33" s="156">
        <v>46279</v>
      </c>
      <c r="CF33" s="156">
        <v>46280</v>
      </c>
      <c r="CG33" s="156">
        <v>46281</v>
      </c>
      <c r="CH33" s="156">
        <v>46282</v>
      </c>
      <c r="CI33" s="156">
        <v>46283</v>
      </c>
      <c r="CJ33" s="156">
        <v>46284</v>
      </c>
      <c r="CK33" s="156">
        <v>46285</v>
      </c>
      <c r="CL33" s="156">
        <v>46286</v>
      </c>
      <c r="CM33" s="156">
        <v>46287</v>
      </c>
      <c r="CN33" s="156">
        <v>46288</v>
      </c>
      <c r="CO33" s="156">
        <v>46289</v>
      </c>
      <c r="CP33" s="156">
        <v>46290</v>
      </c>
      <c r="CQ33" s="156">
        <v>46291</v>
      </c>
      <c r="CR33" s="156">
        <v>46292</v>
      </c>
      <c r="CS33" s="156">
        <v>46293</v>
      </c>
      <c r="CT33" s="156">
        <v>46294</v>
      </c>
      <c r="CU33" s="156">
        <v>46295</v>
      </c>
      <c r="CV33" s="156">
        <v>46296</v>
      </c>
      <c r="CW33" s="156">
        <v>46297</v>
      </c>
      <c r="CX33" s="156">
        <v>46298</v>
      </c>
      <c r="CY33" s="156">
        <v>46299</v>
      </c>
      <c r="CZ33" s="156">
        <v>46300</v>
      </c>
      <c r="DA33" s="156">
        <v>46301</v>
      </c>
      <c r="DB33" s="156">
        <v>46302</v>
      </c>
      <c r="DC33" s="156">
        <v>46303</v>
      </c>
      <c r="DD33" s="156">
        <v>46304</v>
      </c>
      <c r="DE33" s="156">
        <v>46305</v>
      </c>
      <c r="DF33" s="156">
        <v>46306</v>
      </c>
      <c r="DG33" s="156">
        <v>46307</v>
      </c>
      <c r="DH33" s="156">
        <v>46308</v>
      </c>
      <c r="DI33" s="156">
        <v>46309</v>
      </c>
      <c r="DJ33" s="156">
        <v>46310</v>
      </c>
      <c r="DK33" s="156">
        <v>46311</v>
      </c>
      <c r="DL33" s="156">
        <v>46312</v>
      </c>
      <c r="DM33" s="156">
        <v>46313</v>
      </c>
      <c r="DN33" s="156">
        <v>46314</v>
      </c>
      <c r="DO33" s="156">
        <v>46315</v>
      </c>
      <c r="DP33" s="156">
        <v>46316</v>
      </c>
      <c r="DQ33" s="156">
        <v>46317</v>
      </c>
      <c r="DR33" s="156">
        <v>46318</v>
      </c>
      <c r="DS33" s="156">
        <v>46319</v>
      </c>
      <c r="DT33" s="156">
        <v>46320</v>
      </c>
      <c r="DU33" s="156">
        <v>46321</v>
      </c>
      <c r="DV33" s="156">
        <v>46322</v>
      </c>
      <c r="DW33" s="156">
        <v>46323</v>
      </c>
      <c r="DX33" s="156">
        <v>46324</v>
      </c>
      <c r="DY33" s="156">
        <v>46325</v>
      </c>
      <c r="DZ33" s="156">
        <v>46326</v>
      </c>
      <c r="EA33" s="156">
        <v>46327</v>
      </c>
      <c r="EB33" s="156">
        <v>46328</v>
      </c>
      <c r="EC33" s="156">
        <v>46329</v>
      </c>
      <c r="ED33" s="156">
        <v>46330</v>
      </c>
      <c r="EE33" s="156">
        <v>46331</v>
      </c>
      <c r="EF33" s="156">
        <v>46332</v>
      </c>
      <c r="EG33" s="156">
        <v>46333</v>
      </c>
      <c r="EH33" s="156">
        <v>46334</v>
      </c>
      <c r="EI33" s="156">
        <v>46335</v>
      </c>
      <c r="EJ33" s="156">
        <v>46336</v>
      </c>
      <c r="EK33" s="156">
        <v>46337</v>
      </c>
      <c r="EL33" s="156">
        <v>46338</v>
      </c>
      <c r="EM33" s="156">
        <v>46339</v>
      </c>
      <c r="EN33" s="156">
        <v>46340</v>
      </c>
      <c r="EO33" s="156">
        <v>46341</v>
      </c>
      <c r="EP33" s="156">
        <v>46342</v>
      </c>
      <c r="EQ33" s="156">
        <v>46343</v>
      </c>
      <c r="ER33" s="156">
        <v>46344</v>
      </c>
      <c r="ES33" s="156">
        <v>46345</v>
      </c>
      <c r="ET33" s="156">
        <v>46346</v>
      </c>
      <c r="EU33" s="156">
        <v>46347</v>
      </c>
      <c r="EV33" s="156">
        <v>46348</v>
      </c>
      <c r="EW33" s="156">
        <v>46349</v>
      </c>
      <c r="EX33" s="156">
        <v>46350</v>
      </c>
      <c r="EY33" s="156">
        <v>46351</v>
      </c>
      <c r="EZ33" s="156">
        <v>46352</v>
      </c>
      <c r="FA33" s="156">
        <v>46353</v>
      </c>
      <c r="FB33" s="156">
        <v>46354</v>
      </c>
      <c r="FC33" s="156">
        <v>46355</v>
      </c>
      <c r="FD33" s="156">
        <v>46356</v>
      </c>
      <c r="FE33" s="156">
        <v>46357</v>
      </c>
      <c r="FF33" s="156">
        <v>46358</v>
      </c>
      <c r="FG33" s="156">
        <v>46359</v>
      </c>
      <c r="FH33" s="156">
        <v>46360</v>
      </c>
      <c r="FI33" s="156">
        <v>46361</v>
      </c>
      <c r="FJ33" s="156">
        <v>46362</v>
      </c>
      <c r="FK33" s="156">
        <v>46363</v>
      </c>
      <c r="FL33" s="156">
        <v>46364</v>
      </c>
      <c r="FM33" s="156">
        <v>46365</v>
      </c>
      <c r="FN33" s="156">
        <v>46366</v>
      </c>
      <c r="FO33" s="156">
        <v>46367</v>
      </c>
      <c r="FP33" s="156">
        <v>46368</v>
      </c>
      <c r="FQ33" s="156">
        <v>46369</v>
      </c>
      <c r="FR33" s="156">
        <v>46370</v>
      </c>
      <c r="FS33" s="156">
        <v>46371</v>
      </c>
      <c r="FT33" s="156">
        <v>46372</v>
      </c>
      <c r="FU33" s="156">
        <v>46373</v>
      </c>
      <c r="FV33" s="156">
        <v>46374</v>
      </c>
      <c r="FW33" s="156">
        <v>46375</v>
      </c>
      <c r="FX33" s="156">
        <v>46376</v>
      </c>
      <c r="FY33" s="156">
        <v>46377</v>
      </c>
      <c r="FZ33" s="156">
        <v>46378</v>
      </c>
      <c r="GA33" s="156">
        <v>46379</v>
      </c>
      <c r="GB33" s="156">
        <v>46380</v>
      </c>
      <c r="GC33" s="156">
        <v>46381</v>
      </c>
      <c r="GD33" s="156">
        <v>46382</v>
      </c>
      <c r="GE33" s="156">
        <v>46383</v>
      </c>
      <c r="GF33" s="156">
        <v>46384</v>
      </c>
      <c r="GG33" s="156">
        <v>46385</v>
      </c>
      <c r="GH33" s="156">
        <v>46386</v>
      </c>
      <c r="GI33" s="156">
        <v>46387</v>
      </c>
      <c r="GJ33" s="156">
        <v>46388</v>
      </c>
      <c r="GK33" s="156">
        <v>46389</v>
      </c>
      <c r="GL33" s="156">
        <v>46390</v>
      </c>
      <c r="GM33" s="156">
        <v>46391</v>
      </c>
      <c r="GN33" s="156">
        <v>46392</v>
      </c>
      <c r="GO33" s="156">
        <v>46393</v>
      </c>
      <c r="GP33" s="156">
        <v>46394</v>
      </c>
      <c r="GQ33" s="156">
        <v>46395</v>
      </c>
      <c r="GR33" s="156">
        <v>46396</v>
      </c>
      <c r="GS33" s="156">
        <v>46397</v>
      </c>
      <c r="GT33" s="156">
        <v>46398</v>
      </c>
      <c r="GU33" s="156">
        <v>46399</v>
      </c>
      <c r="GV33" s="156">
        <v>46400</v>
      </c>
      <c r="GW33" s="156">
        <v>46401</v>
      </c>
      <c r="GX33" s="156">
        <v>46402</v>
      </c>
      <c r="GY33" s="156">
        <v>46403</v>
      </c>
      <c r="GZ33" s="156">
        <v>46404</v>
      </c>
      <c r="HA33" s="156">
        <v>46405</v>
      </c>
      <c r="HB33" s="156">
        <v>46406</v>
      </c>
      <c r="HC33" s="156">
        <v>46407</v>
      </c>
      <c r="HD33" s="156">
        <v>46408</v>
      </c>
      <c r="HE33" s="156">
        <v>46409</v>
      </c>
      <c r="HF33" s="156">
        <v>46410</v>
      </c>
      <c r="HG33" s="156">
        <v>46411</v>
      </c>
      <c r="HH33" s="156">
        <v>46412</v>
      </c>
      <c r="HI33" s="156">
        <v>46413</v>
      </c>
      <c r="HJ33" s="156">
        <v>46414</v>
      </c>
      <c r="HK33" s="156">
        <v>46415</v>
      </c>
      <c r="HL33" s="156">
        <v>46416</v>
      </c>
      <c r="HM33" s="156">
        <v>46417</v>
      </c>
      <c r="HN33" s="156">
        <v>46418</v>
      </c>
      <c r="HO33" s="156">
        <v>46419</v>
      </c>
      <c r="HP33" s="156">
        <v>46420</v>
      </c>
      <c r="HQ33" s="156">
        <v>46421</v>
      </c>
      <c r="HR33" s="156">
        <v>46422</v>
      </c>
      <c r="HS33" s="156">
        <v>46423</v>
      </c>
      <c r="HT33" s="156">
        <v>46424</v>
      </c>
      <c r="HU33" s="156">
        <v>46425</v>
      </c>
      <c r="HV33" s="156">
        <v>46426</v>
      </c>
      <c r="HW33" s="156">
        <v>46427</v>
      </c>
      <c r="HX33" s="156">
        <v>46428</v>
      </c>
      <c r="HY33" s="156">
        <v>46429</v>
      </c>
      <c r="HZ33" s="156">
        <v>46430</v>
      </c>
      <c r="IA33" s="156">
        <v>46431</v>
      </c>
      <c r="IB33" s="156">
        <v>46432</v>
      </c>
      <c r="IC33" s="156">
        <v>46433</v>
      </c>
      <c r="ID33" s="156">
        <v>46434</v>
      </c>
      <c r="IE33" s="156">
        <v>46435</v>
      </c>
      <c r="IF33" s="156">
        <v>46436</v>
      </c>
      <c r="IG33" s="156">
        <v>46437</v>
      </c>
      <c r="IH33" s="156">
        <v>46438</v>
      </c>
      <c r="II33" s="156">
        <v>46439</v>
      </c>
      <c r="IJ33" s="156">
        <v>46440</v>
      </c>
      <c r="IK33" s="156">
        <v>46441</v>
      </c>
      <c r="IL33" s="156">
        <v>46442</v>
      </c>
      <c r="IM33" s="156">
        <v>46443</v>
      </c>
      <c r="IN33" s="156">
        <v>46444</v>
      </c>
      <c r="IO33" s="156">
        <v>46445</v>
      </c>
      <c r="IP33" s="156">
        <v>46446</v>
      </c>
      <c r="IQ33" s="156">
        <v>46447</v>
      </c>
      <c r="IR33" s="156">
        <v>46448</v>
      </c>
      <c r="IS33" s="156">
        <v>46449</v>
      </c>
      <c r="IT33" s="156">
        <v>46450</v>
      </c>
      <c r="IU33" s="156">
        <v>46451</v>
      </c>
      <c r="IV33" s="156">
        <v>46452</v>
      </c>
      <c r="IW33" s="156">
        <v>46453</v>
      </c>
      <c r="IX33" s="156">
        <v>46454</v>
      </c>
      <c r="IY33" s="156">
        <v>46455</v>
      </c>
      <c r="IZ33" s="156">
        <v>46456</v>
      </c>
      <c r="JA33" s="156">
        <v>46457</v>
      </c>
      <c r="JB33" s="156">
        <v>46458</v>
      </c>
      <c r="JC33" s="156">
        <v>46459</v>
      </c>
      <c r="JD33" s="156">
        <v>46460</v>
      </c>
      <c r="JE33" s="156">
        <v>46461</v>
      </c>
      <c r="JF33" s="156">
        <v>46462</v>
      </c>
      <c r="JG33" s="156">
        <v>46463</v>
      </c>
      <c r="JH33" s="156">
        <v>46464</v>
      </c>
      <c r="JI33" s="156">
        <v>46465</v>
      </c>
      <c r="JJ33" s="156">
        <v>46466</v>
      </c>
      <c r="JK33" s="156">
        <v>46467</v>
      </c>
      <c r="JL33" s="156">
        <v>46468</v>
      </c>
      <c r="JM33" s="156">
        <v>46469</v>
      </c>
      <c r="JN33" s="156">
        <v>46470</v>
      </c>
      <c r="JO33" s="156">
        <v>46471</v>
      </c>
      <c r="JP33" s="156">
        <v>46472</v>
      </c>
      <c r="JQ33" s="156">
        <v>46473</v>
      </c>
      <c r="JR33" s="156">
        <v>46474</v>
      </c>
      <c r="JS33" s="156">
        <v>46475</v>
      </c>
      <c r="JT33" s="156">
        <v>46476</v>
      </c>
      <c r="JU33" s="156">
        <v>46477</v>
      </c>
      <c r="JV33" s="156">
        <v>46478</v>
      </c>
      <c r="JW33" s="156">
        <v>46479</v>
      </c>
      <c r="JX33" s="156">
        <v>46480</v>
      </c>
      <c r="JY33" s="156">
        <v>46481</v>
      </c>
      <c r="JZ33" s="156">
        <v>46482</v>
      </c>
      <c r="KA33" s="156">
        <v>46483</v>
      </c>
      <c r="KB33" s="156">
        <v>46484</v>
      </c>
      <c r="KC33" s="156">
        <v>46485</v>
      </c>
      <c r="KD33" s="156">
        <v>46486</v>
      </c>
      <c r="KE33" s="156">
        <v>46487</v>
      </c>
      <c r="KF33" s="156">
        <v>46488</v>
      </c>
      <c r="KG33" s="156">
        <v>46489</v>
      </c>
      <c r="KH33" s="156">
        <v>46490</v>
      </c>
      <c r="KI33" s="156">
        <v>46491</v>
      </c>
      <c r="KJ33" s="156">
        <v>46492</v>
      </c>
      <c r="KK33" s="156">
        <v>46493</v>
      </c>
      <c r="KL33" s="156">
        <v>46494</v>
      </c>
      <c r="KM33" s="156">
        <v>46495</v>
      </c>
      <c r="KN33" s="156">
        <v>46496</v>
      </c>
      <c r="KO33" s="156">
        <v>46497</v>
      </c>
      <c r="KP33" s="156">
        <v>46498</v>
      </c>
      <c r="KQ33" s="156">
        <v>46499</v>
      </c>
      <c r="KR33" s="156">
        <v>46500</v>
      </c>
      <c r="KS33" s="156">
        <v>46501</v>
      </c>
      <c r="KT33" s="156">
        <v>46502</v>
      </c>
      <c r="KU33" s="156">
        <v>46503</v>
      </c>
      <c r="KV33" s="156">
        <v>46504</v>
      </c>
      <c r="KW33" s="156">
        <v>46505</v>
      </c>
      <c r="KX33" s="156">
        <v>46506</v>
      </c>
      <c r="KY33" s="156">
        <v>46507</v>
      </c>
      <c r="KZ33" s="156">
        <v>46508</v>
      </c>
      <c r="LA33" s="156">
        <v>46509</v>
      </c>
      <c r="LB33" s="156">
        <v>46510</v>
      </c>
      <c r="LC33" s="156">
        <v>46511</v>
      </c>
      <c r="LD33" s="156">
        <v>46512</v>
      </c>
      <c r="LE33" s="156">
        <v>46513</v>
      </c>
      <c r="LF33" s="156">
        <v>46514</v>
      </c>
      <c r="LG33" s="156">
        <v>46515</v>
      </c>
      <c r="LH33" s="156">
        <v>46516</v>
      </c>
      <c r="LI33" s="156">
        <v>46517</v>
      </c>
      <c r="LJ33" s="156">
        <v>46518</v>
      </c>
      <c r="LK33" s="156">
        <v>46519</v>
      </c>
      <c r="LL33" s="156">
        <v>46520</v>
      </c>
      <c r="LM33" s="156">
        <v>46521</v>
      </c>
      <c r="LN33" s="156">
        <v>46522</v>
      </c>
      <c r="LO33" s="156">
        <v>46523</v>
      </c>
      <c r="LP33" s="156">
        <v>46524</v>
      </c>
      <c r="LQ33" s="156">
        <v>46525</v>
      </c>
      <c r="LR33" s="156">
        <v>46526</v>
      </c>
      <c r="LS33" s="156">
        <v>46527</v>
      </c>
      <c r="LT33" s="156">
        <v>46528</v>
      </c>
      <c r="LU33" s="156">
        <v>46529</v>
      </c>
      <c r="LV33" s="156">
        <v>46530</v>
      </c>
      <c r="LW33" s="156">
        <v>46531</v>
      </c>
      <c r="LX33" s="156">
        <v>46532</v>
      </c>
      <c r="LY33" s="156">
        <v>46533</v>
      </c>
      <c r="LZ33" s="156">
        <v>46534</v>
      </c>
      <c r="MA33" s="156">
        <v>46535</v>
      </c>
      <c r="MB33" s="156">
        <v>46536</v>
      </c>
      <c r="MC33" s="156">
        <v>46537</v>
      </c>
      <c r="MD33" s="156">
        <v>46538</v>
      </c>
      <c r="ME33" s="156">
        <v>46539</v>
      </c>
      <c r="MF33" s="156">
        <v>46540</v>
      </c>
      <c r="MG33" s="156">
        <v>46541</v>
      </c>
      <c r="MH33" s="156">
        <v>46542</v>
      </c>
      <c r="MI33" s="156">
        <v>46543</v>
      </c>
      <c r="MJ33" s="156">
        <v>46544</v>
      </c>
      <c r="MK33" s="156">
        <v>46545</v>
      </c>
      <c r="ML33" s="156">
        <v>46546</v>
      </c>
      <c r="MM33" s="156">
        <v>46547</v>
      </c>
      <c r="MN33" s="156">
        <v>46548</v>
      </c>
      <c r="MO33" s="156">
        <v>46549</v>
      </c>
      <c r="MP33" s="156">
        <v>46550</v>
      </c>
      <c r="MQ33" s="156">
        <v>46551</v>
      </c>
      <c r="MR33" s="156">
        <v>46552</v>
      </c>
      <c r="MS33" s="156">
        <v>46553</v>
      </c>
      <c r="MT33" s="156">
        <v>46554</v>
      </c>
      <c r="MU33" s="156">
        <v>46555</v>
      </c>
      <c r="MV33" s="156">
        <v>46556</v>
      </c>
      <c r="MW33" s="156">
        <v>46557</v>
      </c>
      <c r="MX33" s="156">
        <v>46558</v>
      </c>
      <c r="MY33" s="156">
        <v>46559</v>
      </c>
      <c r="MZ33" s="156">
        <v>46560</v>
      </c>
      <c r="NA33" s="156">
        <v>46561</v>
      </c>
      <c r="NB33" s="156">
        <v>46562</v>
      </c>
      <c r="NC33" s="156">
        <v>46563</v>
      </c>
      <c r="ND33" s="156">
        <v>46564</v>
      </c>
      <c r="NE33" s="156">
        <v>46565</v>
      </c>
      <c r="NF33" s="156">
        <v>46566</v>
      </c>
      <c r="NG33" s="156">
        <v>46567</v>
      </c>
      <c r="NH33" s="156">
        <v>46568</v>
      </c>
    </row>
    <row r="34" spans="1:372" x14ac:dyDescent="0.25">
      <c r="A34" s="138" t="s">
        <v>227</v>
      </c>
      <c r="B34" s="137">
        <v>6000</v>
      </c>
      <c r="C34" s="139" t="s">
        <v>225</v>
      </c>
      <c r="D34" s="140">
        <v>46204</v>
      </c>
      <c r="E34" s="140"/>
      <c r="G34" cm="1">
        <f t="array" ref="G34:G39">oz.SumRowsλ(_xlfn.ANCHORARRAY(H34))</f>
        <v>162000</v>
      </c>
      <c r="H34" s="142" cm="1">
        <f t="array" ref="H34:NH39">oz.IsOccurrenceDateλ(_xlfn.ANCHORARRAY(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46208</v>
      </c>
      <c r="E35" s="140">
        <v>48760</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-4500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-4500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-4500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0</v>
      </c>
      <c r="FI35">
        <v>-4500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0</v>
      </c>
      <c r="GM35">
        <v>0</v>
      </c>
      <c r="GN35">
        <v>-4500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0</v>
      </c>
      <c r="HR35">
        <v>0</v>
      </c>
      <c r="HS35">
        <v>-4500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46204</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0</v>
      </c>
      <c r="GI36">
        <v>0</v>
      </c>
      <c r="GJ36">
        <v>-2000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46213</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-500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0</v>
      </c>
      <c r="GR37">
        <v>0</v>
      </c>
      <c r="GS37">
        <v>-500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46206</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46204</v>
      </c>
      <c r="E39" s="144"/>
      <c r="G39">
        <v>-4959</v>
      </c>
      <c r="H39">
        <v>-19</v>
      </c>
      <c r="I39">
        <v>-19</v>
      </c>
      <c r="J39">
        <v>-19</v>
      </c>
      <c r="K39">
        <v>0</v>
      </c>
      <c r="L39">
        <v>0</v>
      </c>
      <c r="M39">
        <v>-19</v>
      </c>
      <c r="N39">
        <v>-19</v>
      </c>
      <c r="O39">
        <v>-19</v>
      </c>
      <c r="P39">
        <v>-19</v>
      </c>
      <c r="Q39">
        <v>-19</v>
      </c>
      <c r="R39">
        <v>0</v>
      </c>
      <c r="S39">
        <v>0</v>
      </c>
      <c r="T39">
        <v>-19</v>
      </c>
      <c r="U39">
        <v>-19</v>
      </c>
      <c r="V39">
        <v>-19</v>
      </c>
      <c r="W39">
        <v>-19</v>
      </c>
      <c r="X39">
        <v>-19</v>
      </c>
      <c r="Y39">
        <v>0</v>
      </c>
      <c r="Z39">
        <v>0</v>
      </c>
      <c r="AA39">
        <v>-19</v>
      </c>
      <c r="AB39">
        <v>-19</v>
      </c>
      <c r="AC39">
        <v>-19</v>
      </c>
      <c r="AD39">
        <v>-19</v>
      </c>
      <c r="AE39">
        <v>-19</v>
      </c>
      <c r="AF39">
        <v>0</v>
      </c>
      <c r="AG39">
        <v>0</v>
      </c>
      <c r="AH39">
        <v>-19</v>
      </c>
      <c r="AI39">
        <v>-19</v>
      </c>
      <c r="AJ39">
        <v>-19</v>
      </c>
      <c r="AK39">
        <v>-19</v>
      </c>
      <c r="AL39">
        <v>-19</v>
      </c>
      <c r="AM39">
        <v>0</v>
      </c>
      <c r="AN39">
        <v>0</v>
      </c>
      <c r="AO39">
        <v>-19</v>
      </c>
      <c r="AP39">
        <v>-19</v>
      </c>
      <c r="AQ39">
        <v>-19</v>
      </c>
      <c r="AR39">
        <v>-19</v>
      </c>
      <c r="AS39">
        <v>-19</v>
      </c>
      <c r="AT39">
        <v>0</v>
      </c>
      <c r="AU39">
        <v>0</v>
      </c>
      <c r="AV39">
        <v>-19</v>
      </c>
      <c r="AW39">
        <v>-19</v>
      </c>
      <c r="AX39">
        <v>-19</v>
      </c>
      <c r="AY39">
        <v>-19</v>
      </c>
      <c r="AZ39">
        <v>-19</v>
      </c>
      <c r="BA39">
        <v>0</v>
      </c>
      <c r="BB39">
        <v>0</v>
      </c>
      <c r="BC39">
        <v>-19</v>
      </c>
      <c r="BD39">
        <v>-19</v>
      </c>
      <c r="BE39">
        <v>-19</v>
      </c>
      <c r="BF39">
        <v>-19</v>
      </c>
      <c r="BG39">
        <v>-19</v>
      </c>
      <c r="BH39">
        <v>0</v>
      </c>
      <c r="BI39">
        <v>0</v>
      </c>
      <c r="BJ39">
        <v>-19</v>
      </c>
      <c r="BK39">
        <v>-19</v>
      </c>
      <c r="BL39">
        <v>-19</v>
      </c>
      <c r="BM39">
        <v>-19</v>
      </c>
      <c r="BN39">
        <v>-19</v>
      </c>
      <c r="BO39">
        <v>0</v>
      </c>
      <c r="BP39">
        <v>0</v>
      </c>
      <c r="BQ39">
        <v>-19</v>
      </c>
      <c r="BR39">
        <v>-19</v>
      </c>
      <c r="BS39">
        <v>-19</v>
      </c>
      <c r="BT39">
        <v>-19</v>
      </c>
      <c r="BU39">
        <v>-19</v>
      </c>
      <c r="BV39">
        <v>0</v>
      </c>
      <c r="BW39">
        <v>0</v>
      </c>
      <c r="BX39">
        <v>-19</v>
      </c>
      <c r="BY39">
        <v>-19</v>
      </c>
      <c r="BZ39">
        <v>-19</v>
      </c>
      <c r="CA39">
        <v>-19</v>
      </c>
      <c r="CB39">
        <v>-19</v>
      </c>
      <c r="CC39">
        <v>0</v>
      </c>
      <c r="CD39">
        <v>0</v>
      </c>
      <c r="CE39">
        <v>-19</v>
      </c>
      <c r="CF39">
        <v>-19</v>
      </c>
      <c r="CG39">
        <v>-19</v>
      </c>
      <c r="CH39">
        <v>-19</v>
      </c>
      <c r="CI39">
        <v>-19</v>
      </c>
      <c r="CJ39">
        <v>0</v>
      </c>
      <c r="CK39">
        <v>0</v>
      </c>
      <c r="CL39">
        <v>-19</v>
      </c>
      <c r="CM39">
        <v>-19</v>
      </c>
      <c r="CN39">
        <v>-19</v>
      </c>
      <c r="CO39">
        <v>-19</v>
      </c>
      <c r="CP39">
        <v>-19</v>
      </c>
      <c r="CQ39">
        <v>0</v>
      </c>
      <c r="CR39">
        <v>0</v>
      </c>
      <c r="CS39">
        <v>-19</v>
      </c>
      <c r="CT39">
        <v>-19</v>
      </c>
      <c r="CU39">
        <v>-19</v>
      </c>
      <c r="CV39">
        <v>-19</v>
      </c>
      <c r="CW39">
        <v>-19</v>
      </c>
      <c r="CX39">
        <v>0</v>
      </c>
      <c r="CY39">
        <v>0</v>
      </c>
      <c r="CZ39">
        <v>-19</v>
      </c>
      <c r="DA39">
        <v>-19</v>
      </c>
      <c r="DB39">
        <v>-19</v>
      </c>
      <c r="DC39">
        <v>-19</v>
      </c>
      <c r="DD39">
        <v>-19</v>
      </c>
      <c r="DE39">
        <v>0</v>
      </c>
      <c r="DF39">
        <v>0</v>
      </c>
      <c r="DG39">
        <v>-19</v>
      </c>
      <c r="DH39">
        <v>-19</v>
      </c>
      <c r="DI39">
        <v>-19</v>
      </c>
      <c r="DJ39">
        <v>-19</v>
      </c>
      <c r="DK39">
        <v>-19</v>
      </c>
      <c r="DL39">
        <v>0</v>
      </c>
      <c r="DM39">
        <v>0</v>
      </c>
      <c r="DN39">
        <v>-19</v>
      </c>
      <c r="DO39">
        <v>-19</v>
      </c>
      <c r="DP39">
        <v>-19</v>
      </c>
      <c r="DQ39">
        <v>-19</v>
      </c>
      <c r="DR39">
        <v>-19</v>
      </c>
      <c r="DS39">
        <v>0</v>
      </c>
      <c r="DT39">
        <v>0</v>
      </c>
      <c r="DU39">
        <v>-19</v>
      </c>
      <c r="DV39">
        <v>-19</v>
      </c>
      <c r="DW39">
        <v>-19</v>
      </c>
      <c r="DX39">
        <v>-19</v>
      </c>
      <c r="DY39">
        <v>-19</v>
      </c>
      <c r="DZ39">
        <v>0</v>
      </c>
      <c r="EA39">
        <v>0</v>
      </c>
      <c r="EB39">
        <v>-19</v>
      </c>
      <c r="EC39">
        <v>-19</v>
      </c>
      <c r="ED39">
        <v>-19</v>
      </c>
      <c r="EE39">
        <v>-19</v>
      </c>
      <c r="EF39">
        <v>-19</v>
      </c>
      <c r="EG39">
        <v>0</v>
      </c>
      <c r="EH39">
        <v>0</v>
      </c>
      <c r="EI39">
        <v>-19</v>
      </c>
      <c r="EJ39">
        <v>-19</v>
      </c>
      <c r="EK39">
        <v>-19</v>
      </c>
      <c r="EL39">
        <v>-19</v>
      </c>
      <c r="EM39">
        <v>-19</v>
      </c>
      <c r="EN39">
        <v>0</v>
      </c>
      <c r="EO39">
        <v>0</v>
      </c>
      <c r="EP39">
        <v>-19</v>
      </c>
      <c r="EQ39">
        <v>-19</v>
      </c>
      <c r="ER39">
        <v>-19</v>
      </c>
      <c r="ES39">
        <v>-19</v>
      </c>
      <c r="ET39">
        <v>-19</v>
      </c>
      <c r="EU39">
        <v>0</v>
      </c>
      <c r="EV39">
        <v>0</v>
      </c>
      <c r="EW39">
        <v>-19</v>
      </c>
      <c r="EX39">
        <v>-19</v>
      </c>
      <c r="EY39">
        <v>-19</v>
      </c>
      <c r="EZ39">
        <v>-19</v>
      </c>
      <c r="FA39">
        <v>-19</v>
      </c>
      <c r="FB39">
        <v>0</v>
      </c>
      <c r="FC39">
        <v>0</v>
      </c>
      <c r="FD39">
        <v>-19</v>
      </c>
      <c r="FE39">
        <v>-19</v>
      </c>
      <c r="FF39">
        <v>-19</v>
      </c>
      <c r="FG39">
        <v>-19</v>
      </c>
      <c r="FH39">
        <v>-19</v>
      </c>
      <c r="FI39">
        <v>0</v>
      </c>
      <c r="FJ39">
        <v>0</v>
      </c>
      <c r="FK39">
        <v>-19</v>
      </c>
      <c r="FL39">
        <v>-19</v>
      </c>
      <c r="FM39">
        <v>-19</v>
      </c>
      <c r="FN39">
        <v>-19</v>
      </c>
      <c r="FO39">
        <v>-19</v>
      </c>
      <c r="FP39">
        <v>0</v>
      </c>
      <c r="FQ39">
        <v>0</v>
      </c>
      <c r="FR39">
        <v>-19</v>
      </c>
      <c r="FS39">
        <v>-19</v>
      </c>
      <c r="FT39">
        <v>-19</v>
      </c>
      <c r="FU39">
        <v>-19</v>
      </c>
      <c r="FV39">
        <v>-19</v>
      </c>
      <c r="FW39">
        <v>0</v>
      </c>
      <c r="FX39">
        <v>0</v>
      </c>
      <c r="FY39">
        <v>-19</v>
      </c>
      <c r="FZ39">
        <v>-19</v>
      </c>
      <c r="GA39">
        <v>-19</v>
      </c>
      <c r="GB39">
        <v>-19</v>
      </c>
      <c r="GC39">
        <v>-19</v>
      </c>
      <c r="GD39">
        <v>0</v>
      </c>
      <c r="GE39">
        <v>0</v>
      </c>
      <c r="GF39">
        <v>-19</v>
      </c>
      <c r="GG39">
        <v>-19</v>
      </c>
      <c r="GH39">
        <v>-19</v>
      </c>
      <c r="GI39">
        <v>-19</v>
      </c>
      <c r="GJ39">
        <v>-19</v>
      </c>
      <c r="GK39">
        <v>0</v>
      </c>
      <c r="GL39">
        <v>0</v>
      </c>
      <c r="GM39">
        <v>-19</v>
      </c>
      <c r="GN39">
        <v>-19</v>
      </c>
      <c r="GO39">
        <v>-19</v>
      </c>
      <c r="GP39">
        <v>-19</v>
      </c>
      <c r="GQ39">
        <v>-19</v>
      </c>
      <c r="GR39">
        <v>0</v>
      </c>
      <c r="GS39">
        <v>0</v>
      </c>
      <c r="GT39">
        <v>-19</v>
      </c>
      <c r="GU39">
        <v>-19</v>
      </c>
      <c r="GV39">
        <v>-19</v>
      </c>
      <c r="GW39">
        <v>-19</v>
      </c>
      <c r="GX39">
        <v>-19</v>
      </c>
      <c r="GY39">
        <v>0</v>
      </c>
      <c r="GZ39">
        <v>0</v>
      </c>
      <c r="HA39">
        <v>-19</v>
      </c>
      <c r="HB39">
        <v>-19</v>
      </c>
      <c r="HC39">
        <v>-19</v>
      </c>
      <c r="HD39">
        <v>-19</v>
      </c>
      <c r="HE39">
        <v>-19</v>
      </c>
      <c r="HF39">
        <v>0</v>
      </c>
      <c r="HG39">
        <v>0</v>
      </c>
      <c r="HH39">
        <v>-19</v>
      </c>
      <c r="HI39">
        <v>-19</v>
      </c>
      <c r="HJ39">
        <v>-19</v>
      </c>
      <c r="HK39">
        <v>-19</v>
      </c>
      <c r="HL39">
        <v>-19</v>
      </c>
      <c r="HM39">
        <v>0</v>
      </c>
      <c r="HN39">
        <v>0</v>
      </c>
      <c r="HO39">
        <v>-19</v>
      </c>
      <c r="HP39">
        <v>-19</v>
      </c>
      <c r="HQ39">
        <v>-19</v>
      </c>
      <c r="HR39">
        <v>-19</v>
      </c>
      <c r="HS39">
        <v>-19</v>
      </c>
      <c r="HT39">
        <v>0</v>
      </c>
      <c r="HU39">
        <v>0</v>
      </c>
      <c r="HV39">
        <v>-19</v>
      </c>
      <c r="HW39">
        <v>-19</v>
      </c>
      <c r="HX39">
        <v>-19</v>
      </c>
      <c r="HY39">
        <v>-19</v>
      </c>
      <c r="HZ39">
        <v>-19</v>
      </c>
      <c r="IA39">
        <v>0</v>
      </c>
      <c r="IB39">
        <v>0</v>
      </c>
      <c r="IC39">
        <v>-19</v>
      </c>
      <c r="ID39">
        <v>-19</v>
      </c>
      <c r="IE39">
        <v>-19</v>
      </c>
      <c r="IF39">
        <v>-19</v>
      </c>
      <c r="IG39">
        <v>-19</v>
      </c>
      <c r="IH39">
        <v>0</v>
      </c>
      <c r="II39">
        <v>0</v>
      </c>
      <c r="IJ39">
        <v>-19</v>
      </c>
      <c r="IK39">
        <v>-19</v>
      </c>
      <c r="IL39">
        <v>-19</v>
      </c>
      <c r="IM39">
        <v>-19</v>
      </c>
      <c r="IN39">
        <v>-19</v>
      </c>
      <c r="IO39">
        <v>0</v>
      </c>
      <c r="IP39">
        <v>0</v>
      </c>
      <c r="IQ39">
        <v>-19</v>
      </c>
      <c r="IR39">
        <v>-19</v>
      </c>
      <c r="IS39">
        <v>-19</v>
      </c>
      <c r="IT39">
        <v>-19</v>
      </c>
      <c r="IU39">
        <v>-19</v>
      </c>
      <c r="IV39">
        <v>0</v>
      </c>
      <c r="IW39">
        <v>0</v>
      </c>
      <c r="IX39">
        <v>-19</v>
      </c>
      <c r="IY39">
        <v>-19</v>
      </c>
      <c r="IZ39">
        <v>-19</v>
      </c>
      <c r="JA39">
        <v>-19</v>
      </c>
      <c r="JB39">
        <v>-19</v>
      </c>
      <c r="JC39">
        <v>0</v>
      </c>
      <c r="JD39">
        <v>0</v>
      </c>
      <c r="JE39">
        <v>-19</v>
      </c>
      <c r="JF39">
        <v>-19</v>
      </c>
      <c r="JG39">
        <v>-19</v>
      </c>
      <c r="JH39">
        <v>-19</v>
      </c>
      <c r="JI39">
        <v>-19</v>
      </c>
      <c r="JJ39">
        <v>0</v>
      </c>
      <c r="JK39">
        <v>0</v>
      </c>
      <c r="JL39">
        <v>-19</v>
      </c>
      <c r="JM39">
        <v>-19</v>
      </c>
      <c r="JN39">
        <v>-19</v>
      </c>
      <c r="JO39">
        <v>-19</v>
      </c>
      <c r="JP39">
        <v>-19</v>
      </c>
      <c r="JQ39">
        <v>0</v>
      </c>
      <c r="JR39">
        <v>0</v>
      </c>
      <c r="JS39">
        <v>-19</v>
      </c>
      <c r="JT39">
        <v>-19</v>
      </c>
      <c r="JU39">
        <v>-19</v>
      </c>
      <c r="JV39">
        <v>-19</v>
      </c>
      <c r="JW39">
        <v>-19</v>
      </c>
      <c r="JX39">
        <v>0</v>
      </c>
      <c r="JY39">
        <v>0</v>
      </c>
      <c r="JZ39">
        <v>-19</v>
      </c>
      <c r="KA39">
        <v>-19</v>
      </c>
      <c r="KB39">
        <v>-19</v>
      </c>
      <c r="KC39">
        <v>-19</v>
      </c>
      <c r="KD39">
        <v>-19</v>
      </c>
      <c r="KE39">
        <v>0</v>
      </c>
      <c r="KF39">
        <v>0</v>
      </c>
      <c r="KG39">
        <v>-19</v>
      </c>
      <c r="KH39">
        <v>-19</v>
      </c>
      <c r="KI39">
        <v>-19</v>
      </c>
      <c r="KJ39">
        <v>-19</v>
      </c>
      <c r="KK39">
        <v>-19</v>
      </c>
      <c r="KL39">
        <v>0</v>
      </c>
      <c r="KM39">
        <v>0</v>
      </c>
      <c r="KN39">
        <v>-19</v>
      </c>
      <c r="KO39">
        <v>-19</v>
      </c>
      <c r="KP39">
        <v>-19</v>
      </c>
      <c r="KQ39">
        <v>-19</v>
      </c>
      <c r="KR39">
        <v>-19</v>
      </c>
      <c r="KS39">
        <v>0</v>
      </c>
      <c r="KT39">
        <v>0</v>
      </c>
      <c r="KU39">
        <v>-19</v>
      </c>
      <c r="KV39">
        <v>-19</v>
      </c>
      <c r="KW39">
        <v>-19</v>
      </c>
      <c r="KX39">
        <v>-19</v>
      </c>
      <c r="KY39">
        <v>-19</v>
      </c>
      <c r="KZ39">
        <v>0</v>
      </c>
      <c r="LA39">
        <v>0</v>
      </c>
      <c r="LB39">
        <v>-19</v>
      </c>
      <c r="LC39">
        <v>-19</v>
      </c>
      <c r="LD39">
        <v>-19</v>
      </c>
      <c r="LE39">
        <v>-19</v>
      </c>
      <c r="LF39">
        <v>-19</v>
      </c>
      <c r="LG39">
        <v>0</v>
      </c>
      <c r="LH39">
        <v>0</v>
      </c>
      <c r="LI39">
        <v>-19</v>
      </c>
      <c r="LJ39">
        <v>-19</v>
      </c>
      <c r="LK39">
        <v>-19</v>
      </c>
      <c r="LL39">
        <v>-19</v>
      </c>
      <c r="LM39">
        <v>-19</v>
      </c>
      <c r="LN39">
        <v>0</v>
      </c>
      <c r="LO39">
        <v>0</v>
      </c>
      <c r="LP39">
        <v>-19</v>
      </c>
      <c r="LQ39">
        <v>-19</v>
      </c>
      <c r="LR39">
        <v>-19</v>
      </c>
      <c r="LS39">
        <v>-19</v>
      </c>
      <c r="LT39">
        <v>-19</v>
      </c>
      <c r="LU39">
        <v>0</v>
      </c>
      <c r="LV39">
        <v>0</v>
      </c>
      <c r="LW39">
        <v>-19</v>
      </c>
      <c r="LX39">
        <v>-19</v>
      </c>
      <c r="LY39">
        <v>-19</v>
      </c>
      <c r="LZ39">
        <v>-19</v>
      </c>
      <c r="MA39">
        <v>-19</v>
      </c>
      <c r="MB39">
        <v>0</v>
      </c>
      <c r="MC39">
        <v>0</v>
      </c>
      <c r="MD39">
        <v>-19</v>
      </c>
      <c r="ME39">
        <v>-19</v>
      </c>
      <c r="MF39">
        <v>-19</v>
      </c>
      <c r="MG39">
        <v>-19</v>
      </c>
      <c r="MH39">
        <v>-19</v>
      </c>
      <c r="MI39">
        <v>0</v>
      </c>
      <c r="MJ39">
        <v>0</v>
      </c>
      <c r="MK39">
        <v>-19</v>
      </c>
      <c r="ML39">
        <v>-19</v>
      </c>
      <c r="MM39">
        <v>-19</v>
      </c>
      <c r="MN39">
        <v>-19</v>
      </c>
      <c r="MO39">
        <v>-19</v>
      </c>
      <c r="MP39">
        <v>0</v>
      </c>
      <c r="MQ39">
        <v>0</v>
      </c>
      <c r="MR39">
        <v>-19</v>
      </c>
      <c r="MS39">
        <v>-19</v>
      </c>
      <c r="MT39">
        <v>-19</v>
      </c>
      <c r="MU39">
        <v>-19</v>
      </c>
      <c r="MV39">
        <v>-19</v>
      </c>
      <c r="MW39">
        <v>0</v>
      </c>
      <c r="MX39">
        <v>0</v>
      </c>
      <c r="MY39">
        <v>-19</v>
      </c>
      <c r="MZ39">
        <v>-19</v>
      </c>
      <c r="NA39">
        <v>-19</v>
      </c>
      <c r="NB39">
        <v>-19</v>
      </c>
      <c r="NC39">
        <v>-19</v>
      </c>
      <c r="ND39">
        <v>0</v>
      </c>
      <c r="NE39">
        <v>0</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pageSetup paperSize="9" scale="49" fitToHeight="0" orientation="landscape" horizontalDpi="0" verticalDpi="0"/>
  <customProperties>
    <customPr name="Description" r:id="rId2"/>
  </customProperties>
  <ignoredErrors>
    <ignoredError sqref="B34" calculatedColumn="1"/>
  </ignoredErrors>
  <drawing r:id="rId3"/>
  <tableParts count="1">
    <tablePart r:id="rId4"/>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2B1A54"/>
    <pageSetUpPr fitToPage="1"/>
  </sheetPr>
  <dimension ref="A1:S25"/>
  <sheetViews>
    <sheetView showGridLines="0" workbookViewId="0">
      <selection sqref="A1:O1"/>
    </sheetView>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6.5" x14ac:dyDescent="0.7">
      <c r="A1" s="287" t="str">
        <f ca="1">_xlfn.TEXTAFTER(CELL("filename",A1),"]")</f>
        <v>oz.OverLapDaysλ</v>
      </c>
      <c r="B1" s="287"/>
      <c r="C1" s="287"/>
      <c r="D1" s="287"/>
      <c r="E1" s="287"/>
      <c r="F1" s="287"/>
      <c r="G1" s="287"/>
      <c r="H1" s="287"/>
      <c r="I1" s="287"/>
      <c r="J1" s="287"/>
      <c r="K1" s="287"/>
      <c r="L1" s="287"/>
      <c r="M1" s="287"/>
      <c r="N1" s="287"/>
      <c r="O1" s="287"/>
    </row>
    <row r="2" spans="1:15" x14ac:dyDescent="0.25">
      <c r="A2" s="288" t="s">
        <v>198</v>
      </c>
      <c r="B2" s="289"/>
      <c r="C2" s="289"/>
      <c r="D2" s="289"/>
      <c r="E2" s="289"/>
      <c r="F2" s="289"/>
      <c r="G2" s="289"/>
      <c r="H2" s="289"/>
      <c r="I2" s="289"/>
      <c r="J2" s="289"/>
      <c r="K2" s="289"/>
      <c r="L2" s="289"/>
      <c r="M2" s="289"/>
      <c r="N2" s="290"/>
      <c r="O2" s="104"/>
    </row>
    <row r="4" spans="1:15" x14ac:dyDescent="0.25">
      <c r="A4" s="142" t="str" cm="1">
        <f t="array" ref="A4:B16">oz.OverLapDaysλ()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https://github.com/ryanduguid/Ozzit</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(oz is assumed to be the module's name)</v>
      </c>
    </row>
    <row r="14" spans="1:15" x14ac:dyDescent="0.25">
      <c r="A14" t="str">
        <v>5</v>
      </c>
      <c r="B14" t="str">
        <v>=oz.OverLapDaysλ(08, 14, 10, 17)</v>
      </c>
    </row>
    <row r="15" spans="1:15" x14ac:dyDescent="0.25">
      <c r="A15" t="str">
        <v>8</v>
      </c>
      <c r="B15" t="str">
        <v>=oz.OverLapDaysλ(10, 20, 11, 18)</v>
      </c>
    </row>
    <row r="16" spans="1:15" x14ac:dyDescent="0.25">
      <c r="A16" t="str">
        <v>2</v>
      </c>
      <c r="B16" t="str">
        <v>=oz.OverLapDaysλ("17/7/2026", "25/7/2026", "7/7/2026", "18/7/2026")</v>
      </c>
    </row>
    <row r="20" spans="1:19" ht="21" x14ac:dyDescent="0.35">
      <c r="A20" s="298" t="s">
        <v>243</v>
      </c>
      <c r="B20" s="299"/>
      <c r="C20" s="299"/>
      <c r="D20" s="299"/>
      <c r="E20" s="299"/>
    </row>
    <row r="21" spans="1:19" x14ac:dyDescent="0.25">
      <c r="A21" s="280"/>
      <c r="B21" s="281"/>
      <c r="C21" s="281"/>
      <c r="D21" s="281"/>
      <c r="E21" s="281"/>
      <c r="G21" s="150" t="s">
        <v>151</v>
      </c>
      <c r="H21" s="151" cm="1">
        <f t="array" ref="H21:S21">oz.Timelineλ("1/7/2026", ,,FALSE)</f>
        <v>46234</v>
      </c>
      <c r="I21" s="151">
        <v>46265</v>
      </c>
      <c r="J21" s="151">
        <v>46295</v>
      </c>
      <c r="K21" s="151">
        <v>46326</v>
      </c>
      <c r="L21" s="151">
        <v>46356</v>
      </c>
      <c r="M21" s="151">
        <v>46387</v>
      </c>
      <c r="N21" s="151">
        <v>46418</v>
      </c>
      <c r="O21" s="151">
        <v>46446</v>
      </c>
      <c r="P21" s="151">
        <v>46477</v>
      </c>
      <c r="Q21" s="151">
        <v>46507</v>
      </c>
      <c r="R21" s="151">
        <v>46538</v>
      </c>
      <c r="S21" s="151">
        <v>46568</v>
      </c>
    </row>
    <row r="22" spans="1:19" x14ac:dyDescent="0.25">
      <c r="A22" s="114" t="s">
        <v>244</v>
      </c>
      <c r="B22" t="s">
        <v>241</v>
      </c>
      <c r="C22" s="114" t="s">
        <v>236</v>
      </c>
      <c r="D22" s="114" t="s">
        <v>237</v>
      </c>
      <c r="E22" s="114" t="s">
        <v>238</v>
      </c>
      <c r="G22" s="149" t="s">
        <v>276</v>
      </c>
      <c r="H22" s="1" cm="1">
        <f t="array" ref="H22:S22">oz.Timelineλ("1/7/2026")</f>
        <v>46204</v>
      </c>
      <c r="I22" s="1">
        <v>46235</v>
      </c>
      <c r="J22" s="1">
        <v>46266</v>
      </c>
      <c r="K22" s="1">
        <v>46296</v>
      </c>
      <c r="L22" s="1">
        <v>46327</v>
      </c>
      <c r="M22" s="1">
        <v>46357</v>
      </c>
      <c r="N22" s="1">
        <v>46388</v>
      </c>
      <c r="O22" s="1">
        <v>46419</v>
      </c>
      <c r="P22" s="1">
        <v>46447</v>
      </c>
      <c r="Q22" s="1">
        <v>46478</v>
      </c>
      <c r="R22" s="1">
        <v>46508</v>
      </c>
      <c r="S22" s="1">
        <v>46539</v>
      </c>
    </row>
    <row r="23" spans="1:19" x14ac:dyDescent="0.25">
      <c r="A23" cm="1">
        <f t="array" ref="A23">ROW()-ROW(tblRent[#Headers])</f>
        <v>1</v>
      </c>
      <c r="B23" t="s">
        <v>240</v>
      </c>
      <c r="C23" s="141">
        <v>46249</v>
      </c>
      <c r="D23" s="141">
        <v>46453</v>
      </c>
      <c r="E23" s="148">
        <v>12</v>
      </c>
      <c r="G23" cm="1">
        <f t="array" ref="G23:G25">oz.SumRowsλ(_xlfn.ANCHORARRAY(H23))</f>
        <v>2460</v>
      </c>
      <c r="H23" s="142" cm="1">
        <f t="array" ref="H23:S25">oz.OverLapDaysλ(_xlfn.ANCHORARRAY(H22),_xlfn.ANCHORARRAY(H21),tblRent[Start],tblRent[End]) * tblRent[Daily Rate]</f>
        <v>0</v>
      </c>
      <c r="I23">
        <v>204</v>
      </c>
      <c r="J23">
        <v>360</v>
      </c>
      <c r="K23">
        <v>372</v>
      </c>
      <c r="L23">
        <v>360</v>
      </c>
      <c r="M23">
        <v>372</v>
      </c>
      <c r="N23">
        <v>372</v>
      </c>
      <c r="O23">
        <v>336</v>
      </c>
      <c r="P23">
        <v>84</v>
      </c>
      <c r="Q23">
        <v>0</v>
      </c>
      <c r="R23">
        <v>0</v>
      </c>
      <c r="S23">
        <v>0</v>
      </c>
    </row>
    <row r="24" spans="1:19" x14ac:dyDescent="0.25">
      <c r="A24" cm="1">
        <f t="array" ref="A24">ROW()-ROW(tblRent[#Headers])</f>
        <v>2</v>
      </c>
      <c r="B24" t="s">
        <v>239</v>
      </c>
      <c r="C24" s="141">
        <v>46218</v>
      </c>
      <c r="D24" s="141">
        <v>46286</v>
      </c>
      <c r="E24" s="148">
        <v>10</v>
      </c>
      <c r="G24">
        <v>690</v>
      </c>
      <c r="H24">
        <v>170</v>
      </c>
      <c r="I24">
        <v>310</v>
      </c>
      <c r="J24">
        <v>210</v>
      </c>
      <c r="K24">
        <v>0</v>
      </c>
      <c r="L24">
        <v>0</v>
      </c>
      <c r="M24">
        <v>0</v>
      </c>
      <c r="N24">
        <v>0</v>
      </c>
      <c r="O24">
        <v>0</v>
      </c>
      <c r="P24">
        <v>0</v>
      </c>
      <c r="Q24">
        <v>0</v>
      </c>
      <c r="R24">
        <v>0</v>
      </c>
      <c r="S24">
        <v>0</v>
      </c>
    </row>
    <row r="25" spans="1:19" x14ac:dyDescent="0.25">
      <c r="A25" cm="1">
        <f t="array" ref="A25">ROW()-ROW(tblRent[#Headers])</f>
        <v>3</v>
      </c>
      <c r="B25" t="s">
        <v>242</v>
      </c>
      <c r="C25" s="141">
        <v>46204</v>
      </c>
      <c r="D25" s="141">
        <v>46234</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pageSetup paperSize="9" scale="52" fitToHeight="0" orientation="landscape" horizontalDpi="0" verticalDpi="0"/>
  <customProperties>
    <customPr name="Description" r:id="rId2"/>
  </customProperties>
  <drawing r:id="rId3"/>
  <tableParts count="1">
    <tablePart r:id="rId4"/>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2B1A54"/>
    <pageSetUpPr fitToPage="1"/>
  </sheetPr>
  <dimension ref="A1:T29"/>
  <sheetViews>
    <sheetView showGridLines="0" workbookViewId="0">
      <selection sqref="A1:P1"/>
    </sheetView>
  </sheetViews>
  <sheetFormatPr defaultRowHeight="15" x14ac:dyDescent="0.25"/>
  <cols>
    <col min="1" max="1" width="12.75" bestFit="1" customWidth="1"/>
    <col min="2" max="2" width="13.25" customWidth="1"/>
    <col min="3" max="3" width="7.25" bestFit="1" customWidth="1"/>
    <col min="4" max="4" width="7" bestFit="1" customWidth="1"/>
  </cols>
  <sheetData>
    <row r="1" spans="1:20" ht="46.5" x14ac:dyDescent="0.7">
      <c r="A1" s="287" t="str">
        <f ca="1">_xlfn.TEXTAFTER(CELL("filename",A1),"]")</f>
        <v>oz.Periodsλ</v>
      </c>
      <c r="B1" s="287"/>
      <c r="C1" s="287"/>
      <c r="D1" s="287"/>
      <c r="E1" s="287"/>
      <c r="F1" s="287"/>
      <c r="G1" s="287"/>
      <c r="H1" s="287"/>
      <c r="I1" s="287"/>
      <c r="J1" s="287"/>
      <c r="K1" s="287"/>
      <c r="L1" s="287"/>
      <c r="M1" s="287"/>
      <c r="N1" s="287"/>
      <c r="O1" s="287"/>
      <c r="P1" s="287"/>
    </row>
    <row r="2" spans="1:20" x14ac:dyDescent="0.25">
      <c r="A2" s="288" t="s">
        <v>199</v>
      </c>
      <c r="B2" s="297"/>
      <c r="C2" s="297"/>
      <c r="D2" s="297"/>
      <c r="E2" s="297"/>
      <c r="F2" s="297"/>
      <c r="G2" s="297"/>
      <c r="H2" s="297"/>
      <c r="I2" s="297"/>
      <c r="J2" s="297"/>
      <c r="K2" s="297"/>
      <c r="L2" s="297"/>
      <c r="M2" s="297"/>
      <c r="N2" s="297"/>
      <c r="O2" s="297"/>
      <c r="P2" s="297"/>
      <c r="Q2" s="297"/>
      <c r="R2" s="297"/>
      <c r="S2" s="297"/>
      <c r="T2" s="297"/>
    </row>
    <row r="4" spans="1:20" x14ac:dyDescent="0.25">
      <c r="A4" s="162" t="str" cm="1">
        <f t="array" ref="A4:B20">oz.Periodsλ()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Date1 is after Date2</v>
      </c>
    </row>
    <row r="10" spans="1:20" x14ac:dyDescent="0.25">
      <c r="A10" t="str">
        <v>WEBPAGE:</v>
      </c>
      <c r="B10" t="str">
        <v>https://github.com/ryanduguid/Ozzit</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(oz is assumed to be the module's name)</v>
      </c>
    </row>
    <row r="17" spans="1:4" x14ac:dyDescent="0.25">
      <c r="A17" t="str">
        <v>2</v>
      </c>
      <c r="B17" t="str">
        <v>=oz.Periodsλ("31/7/2026", "15/9/2026")</v>
      </c>
    </row>
    <row r="18" spans="1:4" x14ac:dyDescent="0.25">
      <c r="A18" t="str">
        <v>-2</v>
      </c>
      <c r="B18" t="str">
        <v>=oz.Periodsλ("15/9/2026", "31/7/2026")</v>
      </c>
    </row>
    <row r="19" spans="1:4" x14ac:dyDescent="0.25">
      <c r="A19" t="str">
        <v>-12</v>
      </c>
      <c r="B19" t="str">
        <v>=oz.Periodsλ("15/7/2027", "16/7/2026")</v>
      </c>
    </row>
    <row r="20" spans="1:4" x14ac:dyDescent="0.25">
      <c r="A20" t="str">
        <v>-52</v>
      </c>
      <c r="B20" t="str">
        <v>=oz.Periodsλ("15/7/2027", "16/7/2026", "W")</v>
      </c>
    </row>
    <row r="24" spans="1:4" x14ac:dyDescent="0.25">
      <c r="A24" s="160" t="s">
        <v>250</v>
      </c>
      <c r="B24" s="160" t="s">
        <v>251</v>
      </c>
      <c r="C24" s="161" t="s">
        <v>142</v>
      </c>
      <c r="D24" s="161" t="s">
        <v>141</v>
      </c>
    </row>
    <row r="25" spans="1:4" x14ac:dyDescent="0.25">
      <c r="A25" s="141">
        <v>46262</v>
      </c>
      <c r="B25" s="141">
        <v>46537</v>
      </c>
      <c r="C25" t="s">
        <v>144</v>
      </c>
      <c r="D25" s="162" cm="1">
        <f t="array" ref="D25:D29">oz.Periodsλ(A25:A29,B25:B29,C25:C29)</f>
        <v>9</v>
      </c>
    </row>
    <row r="26" spans="1:4" x14ac:dyDescent="0.25">
      <c r="A26" s="141">
        <v>46386</v>
      </c>
      <c r="B26" s="141">
        <v>46784</v>
      </c>
      <c r="C26" t="s">
        <v>233</v>
      </c>
      <c r="D26">
        <v>5</v>
      </c>
    </row>
    <row r="27" spans="1:4" x14ac:dyDescent="0.25">
      <c r="A27" s="141">
        <v>46204</v>
      </c>
      <c r="B27" s="141">
        <v>47300</v>
      </c>
      <c r="C27" t="s">
        <v>24</v>
      </c>
      <c r="D27">
        <v>3</v>
      </c>
    </row>
    <row r="28" spans="1:4" x14ac:dyDescent="0.25">
      <c r="A28" s="141">
        <v>46325</v>
      </c>
      <c r="B28" s="141">
        <v>46692</v>
      </c>
      <c r="C28" t="s">
        <v>231</v>
      </c>
      <c r="D28">
        <v>53</v>
      </c>
    </row>
    <row r="29" spans="1:4" x14ac:dyDescent="0.25">
      <c r="A29" s="141">
        <v>46446</v>
      </c>
      <c r="B29" s="141">
        <v>46812</v>
      </c>
      <c r="C29" t="s">
        <v>550</v>
      </c>
      <c r="D29">
        <v>366</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pageSetup paperSize="9" scale="68" fitToHeight="0" orientation="landscape" horizontalDpi="0" verticalDpi="0"/>
  <customProperties>
    <customPr name="Description" r:id="rId2"/>
  </customProperties>
  <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2B1A54"/>
    <pageSetUpPr fitToPage="1"/>
  </sheetPr>
  <dimension ref="A1:P26"/>
  <sheetViews>
    <sheetView showGridLines="0" workbookViewId="0">
      <selection sqref="A1:P1"/>
    </sheetView>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6.5" x14ac:dyDescent="0.7">
      <c r="A1" s="287" t="str">
        <f ca="1">_xlfn.TEXTAFTER(CELL("filename",A1),"]")</f>
        <v>oz.PeriodLabelλ</v>
      </c>
      <c r="B1" s="287"/>
      <c r="C1" s="287"/>
      <c r="D1" s="287"/>
      <c r="E1" s="287"/>
      <c r="F1" s="287"/>
      <c r="G1" s="287"/>
      <c r="H1" s="287"/>
      <c r="I1" s="287"/>
      <c r="J1" s="287"/>
      <c r="K1" s="287"/>
      <c r="L1" s="287"/>
      <c r="M1" s="287"/>
      <c r="N1" s="287"/>
      <c r="O1" s="287"/>
      <c r="P1" s="287"/>
    </row>
    <row r="2" spans="1:16" x14ac:dyDescent="0.25">
      <c r="A2" s="288" t="s">
        <v>200</v>
      </c>
      <c r="B2" s="289"/>
      <c r="C2" s="289"/>
      <c r="D2" s="289"/>
      <c r="E2" s="289"/>
      <c r="F2" s="289"/>
      <c r="G2" s="289"/>
      <c r="H2" s="289"/>
      <c r="I2" s="289"/>
      <c r="J2" s="289"/>
      <c r="K2" s="289"/>
      <c r="L2" s="289"/>
      <c r="M2" s="289"/>
      <c r="N2" s="289"/>
      <c r="O2" s="289"/>
      <c r="P2" s="290"/>
    </row>
    <row r="4" spans="1:16" x14ac:dyDescent="0.25">
      <c r="A4" s="162" t="str" cm="1">
        <f t="array" ref="A4:B22">oz.PeriodLabelλ()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https://github.com/ryanduguid/Ozzit</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(oz is assumed to be the module's name)</v>
      </c>
    </row>
    <row r="19" spans="1:14" x14ac:dyDescent="0.25">
      <c r="A19" t="str">
        <v>2026-Aug-26</v>
      </c>
      <c r="B19" t="str">
        <v>=oz.PeriodLabelλ(DATEVALUE("26/8/2026"), "D")</v>
      </c>
    </row>
    <row r="20" spans="1:14" x14ac:dyDescent="0.25">
      <c r="A20" t="str">
        <v>2026-Aug</v>
      </c>
      <c r="B20" t="str">
        <v>=oz.PeriodLabelλ(DATEVALUE("26/8/2026"), "M")</v>
      </c>
    </row>
    <row r="21" spans="1:14" x14ac:dyDescent="0.25">
      <c r="A21" t="str">
        <v>2026:Q3</v>
      </c>
      <c r="B21" t="str">
        <v>=oz.PeriodLabelλ(DATEVALUE("26/8/2026"), "Q")</v>
      </c>
    </row>
    <row r="22" spans="1:14" x14ac:dyDescent="0.25">
      <c r="A22" t="str">
        <v>2026</v>
      </c>
      <c r="B22" t="str">
        <v>=oz.PeriodLabelλ(DATEVALUE("26/8/2026"), "Y")</v>
      </c>
    </row>
    <row r="25" spans="1:14" x14ac:dyDescent="0.25">
      <c r="A25" t="s">
        <v>149</v>
      </c>
      <c r="B25" t="s">
        <v>253</v>
      </c>
      <c r="C25" s="1" cm="1">
        <f t="array" ref="C25:N25">oz.Timelineλ("1/7/2026", 12, _xlfn.SWITCH(B26, "I", "W", "S", "Q", B26))</f>
        <v>46204</v>
      </c>
      <c r="D25" s="1">
        <v>46569</v>
      </c>
      <c r="E25" s="1">
        <v>46935</v>
      </c>
      <c r="F25" s="1">
        <v>47300</v>
      </c>
      <c r="G25" s="1">
        <v>47665</v>
      </c>
      <c r="H25" s="1">
        <v>48030</v>
      </c>
      <c r="I25" s="1">
        <v>48396</v>
      </c>
      <c r="J25" s="1">
        <v>48761</v>
      </c>
      <c r="K25" s="1">
        <v>49126</v>
      </c>
      <c r="L25" s="1">
        <v>49491</v>
      </c>
      <c r="M25" s="1">
        <v>49857</v>
      </c>
      <c r="N25" s="1">
        <v>50222</v>
      </c>
    </row>
    <row r="26" spans="1:14" x14ac:dyDescent="0.25">
      <c r="A26" t="s">
        <v>252</v>
      </c>
      <c r="B26" s="232" t="s">
        <v>24</v>
      </c>
      <c r="C26" s="162" t="str" cm="1">
        <f t="array" ref="C26:N26">oz.PeriodLabelλ(_xlfn.ANCHORARRAY(C25),B26)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2B1A54"/>
    <pageSetUpPr fitToPage="1"/>
  </sheetPr>
  <dimension ref="A1:Q48"/>
  <sheetViews>
    <sheetView showGridLines="0" workbookViewId="0">
      <selection sqref="A1:M1"/>
    </sheetView>
  </sheetViews>
  <sheetFormatPr defaultRowHeight="15" x14ac:dyDescent="0.25"/>
  <cols>
    <col min="1" max="1" width="15" bestFit="1" customWidth="1"/>
    <col min="2" max="2" width="14" customWidth="1"/>
    <col min="3" max="3" width="10" bestFit="1" customWidth="1"/>
    <col min="6" max="17" width="12.25" customWidth="1"/>
  </cols>
  <sheetData>
    <row r="1" spans="1:15" ht="46.5" x14ac:dyDescent="0.7">
      <c r="A1" s="287" t="str">
        <f ca="1">_xlfn.TEXTAFTER(CELL("filename",A1),"]")</f>
        <v>oz.ScheduleRatesλ</v>
      </c>
      <c r="B1" s="287"/>
      <c r="C1" s="287"/>
      <c r="D1" s="287"/>
      <c r="E1" s="287"/>
      <c r="F1" s="287"/>
      <c r="G1" s="287"/>
      <c r="H1" s="287"/>
      <c r="I1" s="287"/>
      <c r="J1" s="287"/>
      <c r="K1" s="287"/>
      <c r="L1" s="287"/>
      <c r="M1" s="287"/>
      <c r="N1" s="112"/>
    </row>
    <row r="2" spans="1:15" x14ac:dyDescent="0.25">
      <c r="A2" s="288" t="s">
        <v>201</v>
      </c>
      <c r="B2" s="297"/>
      <c r="C2" s="297"/>
      <c r="D2" s="297"/>
      <c r="E2" s="297"/>
      <c r="F2" s="297"/>
      <c r="G2" s="297"/>
      <c r="H2" s="297"/>
      <c r="I2" s="297"/>
      <c r="J2" s="297"/>
      <c r="K2" s="297"/>
      <c r="L2" s="297"/>
      <c r="M2" s="297"/>
      <c r="N2" s="297"/>
      <c r="O2" s="297"/>
    </row>
    <row r="4" spans="1:15" x14ac:dyDescent="0.25">
      <c r="A4" s="131" t="str" cm="1">
        <f t="array" ref="A4:B14">oz.ScheduleRatesλ()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https://github.com/ryanduguid/Ozzit</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(oz is assumed to be the module's name)</v>
      </c>
    </row>
    <row r="14" spans="1:15" x14ac:dyDescent="0.25">
      <c r="A14" t="str">
        <v>_,10,20,30,30</v>
      </c>
      <c r="B14" t="str">
        <v>=oz.ScheduleRatesλ(Timelineλ("1/7/2026",5,"W"),{46208; 46216; 46222}, {10; 20; 30})</v>
      </c>
    </row>
    <row r="18" spans="1:17" x14ac:dyDescent="0.25">
      <c r="E18" s="127" t="s">
        <v>150</v>
      </c>
      <c r="F18" s="132" cm="1">
        <f t="array" ref="F18:Q18">oz.Timelineλ($B$21,$B$22,$B$23)</f>
        <v>46204</v>
      </c>
      <c r="G18" s="132">
        <v>46235</v>
      </c>
      <c r="H18" s="132">
        <v>46266</v>
      </c>
      <c r="I18" s="132">
        <v>46296</v>
      </c>
      <c r="J18" s="132">
        <v>46327</v>
      </c>
      <c r="K18" s="132">
        <v>46357</v>
      </c>
      <c r="L18" s="132">
        <v>46388</v>
      </c>
      <c r="M18" s="132">
        <v>46419</v>
      </c>
      <c r="N18" s="132">
        <v>46447</v>
      </c>
      <c r="O18" s="132">
        <v>46478</v>
      </c>
      <c r="P18" s="132">
        <v>46508</v>
      </c>
      <c r="Q18" s="132">
        <v>46539</v>
      </c>
    </row>
    <row r="19" spans="1:17" x14ac:dyDescent="0.25">
      <c r="A19" s="115" t="s">
        <v>137</v>
      </c>
      <c r="B19" s="116" t="s">
        <v>138</v>
      </c>
      <c r="C19" s="115" t="s">
        <v>139</v>
      </c>
      <c r="E19" s="126" t="s">
        <v>151</v>
      </c>
      <c r="F19" s="1" cm="1">
        <f t="array" ref="F19:Q19">oz.Timelineλ($B$21,$B$22,$B$23, FALSE)</f>
        <v>46234</v>
      </c>
      <c r="G19" s="1">
        <v>46265</v>
      </c>
      <c r="H19" s="1">
        <v>46295</v>
      </c>
      <c r="I19" s="1">
        <v>46326</v>
      </c>
      <c r="J19" s="1">
        <v>46356</v>
      </c>
      <c r="K19" s="1">
        <v>46387</v>
      </c>
      <c r="L19" s="1">
        <v>46418</v>
      </c>
      <c r="M19" s="1">
        <v>46446</v>
      </c>
      <c r="N19" s="1">
        <v>46477</v>
      </c>
      <c r="O19" s="1">
        <v>46507</v>
      </c>
      <c r="P19" s="1">
        <v>46538</v>
      </c>
      <c r="Q19" s="1">
        <v>46568</v>
      </c>
    </row>
    <row r="20" spans="1:17" ht="21" x14ac:dyDescent="0.35">
      <c r="A20" s="283" t="s">
        <v>181</v>
      </c>
      <c r="B20" s="283"/>
      <c r="C20" s="283"/>
    </row>
    <row r="21" spans="1:17" x14ac:dyDescent="0.25">
      <c r="A21" s="121" t="s">
        <v>150</v>
      </c>
      <c r="B21" s="119">
        <v>46204</v>
      </c>
      <c r="C21" t="s">
        <v>145</v>
      </c>
    </row>
    <row r="22" spans="1:17" x14ac:dyDescent="0.25">
      <c r="A22" s="121" t="s">
        <v>141</v>
      </c>
      <c r="B22" s="122">
        <v>12</v>
      </c>
      <c r="C22" t="s">
        <v>145</v>
      </c>
    </row>
    <row r="23" spans="1:17" x14ac:dyDescent="0.25">
      <c r="A23" s="121" t="s">
        <v>142</v>
      </c>
      <c r="B23" s="118" t="s">
        <v>144</v>
      </c>
      <c r="C23" t="s">
        <v>153</v>
      </c>
    </row>
    <row r="25" spans="1:17" ht="21" x14ac:dyDescent="0.35">
      <c r="A25" s="283" t="s">
        <v>156</v>
      </c>
      <c r="B25" s="283"/>
      <c r="C25" s="283"/>
    </row>
    <row r="26" spans="1:17" x14ac:dyDescent="0.25">
      <c r="A26" s="133" t="s">
        <v>157</v>
      </c>
      <c r="B26" s="119">
        <v>46204</v>
      </c>
      <c r="C26" t="s">
        <v>145</v>
      </c>
    </row>
    <row r="27" spans="1:17" x14ac:dyDescent="0.25">
      <c r="A27" s="133" t="s">
        <v>158</v>
      </c>
      <c r="B27" s="119">
        <v>46357</v>
      </c>
      <c r="C27" t="s">
        <v>145</v>
      </c>
    </row>
    <row r="28" spans="1:17" x14ac:dyDescent="0.25">
      <c r="A28" s="133" t="s">
        <v>159</v>
      </c>
      <c r="B28" s="124">
        <v>5</v>
      </c>
      <c r="C28" t="s">
        <v>161</v>
      </c>
    </row>
    <row r="29" spans="1:17" x14ac:dyDescent="0.25">
      <c r="A29" s="133" t="s">
        <v>160</v>
      </c>
      <c r="B29" s="124">
        <v>10</v>
      </c>
      <c r="C29" t="s">
        <v>161</v>
      </c>
      <c r="F29" s="131" cm="1">
        <f t="array" ref="F29:Q29">oz.ScheduleRatesλ(_xlfn.ANCHORARRAY($F$19),$B$26:$B$27,$B$28:$B$29)</f>
        <v>5</v>
      </c>
      <c r="G29">
        <v>5</v>
      </c>
      <c r="H29">
        <v>5</v>
      </c>
      <c r="I29">
        <v>5</v>
      </c>
      <c r="J29">
        <v>5</v>
      </c>
      <c r="K29">
        <v>10</v>
      </c>
      <c r="L29">
        <v>10</v>
      </c>
      <c r="M29">
        <v>10</v>
      </c>
      <c r="N29">
        <v>10</v>
      </c>
      <c r="O29">
        <v>10</v>
      </c>
      <c r="P29">
        <v>10</v>
      </c>
      <c r="Q29">
        <v>10</v>
      </c>
    </row>
    <row r="33" spans="1:17" ht="21" x14ac:dyDescent="0.35">
      <c r="A33" s="283" t="s">
        <v>180</v>
      </c>
      <c r="B33" s="301"/>
      <c r="C33" s="117"/>
    </row>
    <row r="34" spans="1:17" x14ac:dyDescent="0.25">
      <c r="A34" s="280"/>
      <c r="B34" s="282"/>
    </row>
    <row r="35" spans="1:17" x14ac:dyDescent="0.25">
      <c r="A35" s="135" t="s">
        <v>162</v>
      </c>
      <c r="B35" s="125" t="s">
        <v>163</v>
      </c>
      <c r="F35" s="131" cm="1">
        <f t="array" ref="F35:Q35">oz.ScheduleRatesλ(_xlfn.ANCHORARRAY(F19),tblRents[Rate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46204</v>
      </c>
      <c r="B36">
        <v>100</v>
      </c>
    </row>
    <row r="37" spans="1:17" x14ac:dyDescent="0.25">
      <c r="A37" s="120">
        <v>46280</v>
      </c>
      <c r="B37">
        <v>125</v>
      </c>
    </row>
    <row r="38" spans="1:17" x14ac:dyDescent="0.25">
      <c r="A38" s="120">
        <v>46371</v>
      </c>
      <c r="B38">
        <v>150</v>
      </c>
    </row>
    <row r="40" spans="1:17" ht="21" x14ac:dyDescent="0.35">
      <c r="A40" s="283" t="s">
        <v>179</v>
      </c>
      <c r="B40" s="300"/>
      <c r="C40" s="301"/>
    </row>
    <row r="41" spans="1:17" x14ac:dyDescent="0.25">
      <c r="A41" s="280"/>
      <c r="B41" s="281"/>
      <c r="C41" s="282"/>
    </row>
    <row r="42" spans="1:17" x14ac:dyDescent="0.25">
      <c r="A42" s="114" t="s">
        <v>164</v>
      </c>
      <c r="B42" s="114" t="s">
        <v>165</v>
      </c>
      <c r="C42" s="114" t="s">
        <v>166</v>
      </c>
      <c r="F42" s="131" cm="1">
        <f t="array" ref="F42:Q42">oz.ScheduleRatesλ(_xlfn.ANCHORARRAY(F19),tblUnits[Ready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46204</v>
      </c>
      <c r="B43">
        <v>10</v>
      </c>
      <c r="C43">
        <f>SUMIFS(tblUnits[Units Built],tblUnits[Ready Dates],"&lt;=" &amp; tblUnits[[#This Row],[Ready Dates]])</f>
        <v>10</v>
      </c>
    </row>
    <row r="44" spans="1:17" x14ac:dyDescent="0.25">
      <c r="A44" s="120">
        <v>46235</v>
      </c>
      <c r="B44">
        <v>10</v>
      </c>
      <c r="C44">
        <f>SUMIFS(tblUnits[Units Built],tblUnits[Ready Dates],"&lt;=" &amp; tblUnits[[#This Row],[Ready Dates]])</f>
        <v>20</v>
      </c>
    </row>
    <row r="45" spans="1:17" x14ac:dyDescent="0.25">
      <c r="A45" s="120">
        <v>46296</v>
      </c>
      <c r="B45">
        <v>5</v>
      </c>
      <c r="C45">
        <f>SUMIFS(tblUnits[Units Built],tblUnits[Ready Dates],"&lt;=" &amp; tblUnits[[#This Row],[Ready Dates]])</f>
        <v>25</v>
      </c>
    </row>
    <row r="46" spans="1:17" x14ac:dyDescent="0.25">
      <c r="A46" s="120">
        <v>46327</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pageSetup paperSize="9" scale="61" fitToHeight="0" orientation="landscape" horizontalDpi="0" verticalDpi="0"/>
  <customProperties>
    <customPr name="Description" r:id="rId2"/>
  </customProperties>
  <drawing r:id="rId3"/>
  <tableParts count="2">
    <tablePart r:id="rId4"/>
    <tablePart r:id="rId5"/>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2B1A54"/>
    <pageSetUpPr fitToPage="1"/>
  </sheetPr>
  <dimension ref="A1:T38"/>
  <sheetViews>
    <sheetView showGridLines="0" workbookViewId="0">
      <selection sqref="A1:P1"/>
    </sheetView>
  </sheetViews>
  <sheetFormatPr defaultRowHeight="15" x14ac:dyDescent="0.25"/>
  <cols>
    <col min="1" max="1" width="12.75" bestFit="1" customWidth="1"/>
    <col min="2" max="2" width="10.625" bestFit="1" customWidth="1"/>
    <col min="5" max="5" width="11.25" bestFit="1" customWidth="1"/>
    <col min="9" max="20" width="12.25" customWidth="1"/>
  </cols>
  <sheetData>
    <row r="1" spans="1:16" ht="46.5" x14ac:dyDescent="0.7">
      <c r="A1" s="287" t="str">
        <f ca="1">_xlfn.TEXTAFTER(CELL("filename",A1),"]")</f>
        <v>oz.ScheduleRatesByItemsλ</v>
      </c>
      <c r="B1" s="287"/>
      <c r="C1" s="287"/>
      <c r="D1" s="287"/>
      <c r="E1" s="287"/>
      <c r="F1" s="287"/>
      <c r="G1" s="287"/>
      <c r="H1" s="287"/>
      <c r="I1" s="287"/>
      <c r="J1" s="287"/>
      <c r="K1" s="287"/>
      <c r="L1" s="287"/>
      <c r="M1" s="287"/>
      <c r="N1" s="287"/>
      <c r="O1" s="287"/>
      <c r="P1" s="287"/>
    </row>
    <row r="2" spans="1:16" x14ac:dyDescent="0.25">
      <c r="A2" s="288" t="s">
        <v>202</v>
      </c>
      <c r="B2" s="289"/>
      <c r="C2" s="289"/>
      <c r="D2" s="289"/>
      <c r="E2" s="289"/>
      <c r="F2" s="289"/>
      <c r="G2" s="289"/>
      <c r="H2" s="289"/>
      <c r="I2" s="289"/>
      <c r="J2" s="289"/>
      <c r="K2" s="289"/>
      <c r="L2" s="289"/>
      <c r="M2" s="289"/>
      <c r="N2" s="289"/>
      <c r="O2" s="289"/>
      <c r="P2" s="290"/>
    </row>
    <row r="4" spans="1:16" x14ac:dyDescent="0.25">
      <c r="A4" s="162" t="str" cm="1">
        <f t="array" ref="A4:B20">oz.ScheduleRatesByItemsλ()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https://github.com/ryanduguid/Ozzit</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(oz is assumed to be the module's name)</v>
      </c>
    </row>
    <row r="19" spans="1:20" x14ac:dyDescent="0.25">
      <c r="A19" t="str">
        <v/>
      </c>
      <c r="B19" t="str">
        <v>oz.ScheduleRatesByItemsλ( Timelineλ( "1/7/2026"), UNIQUE( tblRates(Unit)),</v>
      </c>
    </row>
    <row r="20" spans="1:20" x14ac:dyDescent="0.25">
      <c r="A20" t="str">
        <v/>
      </c>
      <c r="B20" t="str">
        <v>tblRates[Unit], tblRates[Rent], tblRates[Effective])</v>
      </c>
    </row>
    <row r="22" spans="1:20" ht="21" x14ac:dyDescent="0.35">
      <c r="D22" s="302" t="s">
        <v>355</v>
      </c>
      <c r="E22" s="303"/>
      <c r="F22" s="303"/>
    </row>
    <row r="23" spans="1:20" x14ac:dyDescent="0.25">
      <c r="D23" s="304"/>
      <c r="E23" s="303"/>
      <c r="F23" s="303"/>
      <c r="I23" s="125" t="s">
        <v>254</v>
      </c>
    </row>
    <row r="24" spans="1:20" x14ac:dyDescent="0.25">
      <c r="A24" s="115" t="s">
        <v>6</v>
      </c>
      <c r="B24" s="115" t="s">
        <v>138</v>
      </c>
      <c r="D24" t="s">
        <v>255</v>
      </c>
      <c r="E24" s="114" t="s">
        <v>256</v>
      </c>
      <c r="F24" s="114" t="s">
        <v>257</v>
      </c>
      <c r="H24" s="115" t="s">
        <v>258</v>
      </c>
      <c r="I24" s="1" cm="1">
        <f t="array" ref="I24:T24">oz.Timelineλ(B25, B27, B26, FALSE)</f>
        <v>46234</v>
      </c>
      <c r="J24" s="1">
        <v>46265</v>
      </c>
      <c r="K24" s="1">
        <v>46295</v>
      </c>
      <c r="L24" s="1">
        <v>46326</v>
      </c>
      <c r="M24" s="1">
        <v>46356</v>
      </c>
      <c r="N24" s="1">
        <v>46387</v>
      </c>
      <c r="O24" s="1">
        <v>46418</v>
      </c>
      <c r="P24" s="1">
        <v>46446</v>
      </c>
      <c r="Q24" s="1">
        <v>46477</v>
      </c>
      <c r="R24" s="1">
        <v>46507</v>
      </c>
      <c r="S24" s="1">
        <v>46538</v>
      </c>
      <c r="T24" s="1">
        <v>46568</v>
      </c>
    </row>
    <row r="25" spans="1:20" x14ac:dyDescent="0.25">
      <c r="A25" t="s">
        <v>236</v>
      </c>
      <c r="B25" s="163">
        <v>46204</v>
      </c>
      <c r="D25" t="s">
        <v>259</v>
      </c>
      <c r="E25" s="141">
        <v>46227</v>
      </c>
      <c r="F25">
        <v>291</v>
      </c>
      <c r="H25" t="str" cm="1">
        <f t="array" ref="H25:H29">_xlfn._xlws.SORT(_xlfn.UNIQUE(tblItems[Item]))</f>
        <v>Unit 100</v>
      </c>
      <c r="I25" s="162" cm="1">
        <f t="array" ref="I25:T29">oz.ScheduleRatesByItemsλ(_xlfn.ANCHORARRAY(I24),_xlfn.ANCHORARRAY(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46231</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46235</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46298</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46357</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46357</v>
      </c>
      <c r="F30">
        <v>125</v>
      </c>
    </row>
    <row r="31" spans="1:20" x14ac:dyDescent="0.25">
      <c r="D31" t="s">
        <v>259</v>
      </c>
      <c r="E31" s="141">
        <v>46424</v>
      </c>
      <c r="F31">
        <v>295</v>
      </c>
    </row>
    <row r="32" spans="1:20" x14ac:dyDescent="0.25">
      <c r="D32" t="s">
        <v>262</v>
      </c>
      <c r="E32" s="141">
        <v>46429</v>
      </c>
      <c r="F32">
        <v>250</v>
      </c>
      <c r="J32">
        <f>SIGN(0)</f>
        <v>0</v>
      </c>
    </row>
    <row r="33" spans="4:6" x14ac:dyDescent="0.25">
      <c r="D33" t="s">
        <v>262</v>
      </c>
      <c r="E33" s="141">
        <v>46457</v>
      </c>
      <c r="F33">
        <v>275</v>
      </c>
    </row>
    <row r="34" spans="4:6" x14ac:dyDescent="0.25">
      <c r="D34" t="s">
        <v>260</v>
      </c>
      <c r="E34" s="141">
        <v>46482</v>
      </c>
      <c r="F34">
        <v>325</v>
      </c>
    </row>
    <row r="35" spans="4:6" x14ac:dyDescent="0.25">
      <c r="D35" t="s">
        <v>261</v>
      </c>
      <c r="E35" s="141">
        <v>46500</v>
      </c>
      <c r="F35">
        <v>535</v>
      </c>
    </row>
    <row r="36" spans="4:6" x14ac:dyDescent="0.25">
      <c r="D36" t="s">
        <v>262</v>
      </c>
      <c r="E36" s="141">
        <v>46502</v>
      </c>
      <c r="F36">
        <v>300</v>
      </c>
    </row>
    <row r="37" spans="4:6" x14ac:dyDescent="0.25">
      <c r="D37" t="s">
        <v>263</v>
      </c>
      <c r="E37" s="141">
        <v>46512</v>
      </c>
      <c r="F37">
        <v>150</v>
      </c>
    </row>
    <row r="38" spans="4:6" x14ac:dyDescent="0.25">
      <c r="D38" t="s">
        <v>259</v>
      </c>
      <c r="E38" s="141">
        <v>46663</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pageSetup paperSize="9" scale="55" fitToHeight="0" orientation="landscape" horizontalDpi="0" verticalDpi="0"/>
  <customProperties>
    <customPr name="Description" r:id="rId2"/>
  </customProperties>
  <drawing r:id="rId3"/>
  <tableParts count="1">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2B1A54"/>
    <pageSetUpPr fitToPage="1"/>
  </sheetPr>
  <dimension ref="A1:X41"/>
  <sheetViews>
    <sheetView showGridLines="0" workbookViewId="0">
      <selection sqref="A1:T1"/>
    </sheetView>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6.5" x14ac:dyDescent="0.7">
      <c r="A1" s="287" t="str">
        <f ca="1">_xlfn.TEXTAFTER(CELL("filename",A1),"]")</f>
        <v>oz.ScheduleValuesλ</v>
      </c>
      <c r="B1" s="287"/>
      <c r="C1" s="287"/>
      <c r="D1" s="287"/>
      <c r="E1" s="287"/>
      <c r="F1" s="287"/>
      <c r="G1" s="287"/>
      <c r="H1" s="287"/>
      <c r="I1" s="287"/>
      <c r="J1" s="287"/>
      <c r="K1" s="287"/>
      <c r="L1" s="287"/>
      <c r="M1" s="287"/>
      <c r="N1" s="287"/>
      <c r="O1" s="287"/>
      <c r="P1" s="287"/>
      <c r="Q1" s="287"/>
      <c r="R1" s="287"/>
      <c r="S1" s="287"/>
      <c r="T1" s="287"/>
    </row>
    <row r="2" spans="1:20" x14ac:dyDescent="0.25">
      <c r="A2" s="288" t="s">
        <v>203</v>
      </c>
      <c r="B2" s="289"/>
      <c r="C2" s="289"/>
      <c r="D2" s="289"/>
      <c r="E2" s="289"/>
      <c r="F2" s="289"/>
      <c r="G2" s="289"/>
      <c r="H2" s="289"/>
      <c r="I2" s="289"/>
      <c r="J2" s="289"/>
      <c r="K2" s="289"/>
      <c r="L2" s="289"/>
      <c r="M2" s="289"/>
      <c r="N2" s="289"/>
      <c r="O2" s="289"/>
      <c r="P2" s="290"/>
      <c r="Q2" s="104"/>
      <c r="R2" s="104"/>
      <c r="S2" s="104"/>
      <c r="T2" s="104"/>
    </row>
    <row r="4" spans="1:20" x14ac:dyDescent="0.25">
      <c r="A4" s="162" t="str" cm="1">
        <f t="array" ref="A4:B14">oz.ScheduleValuesλ()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https://github.com/ryanduguid/Ozzit</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(oz is assumed to be the module's name)</v>
      </c>
    </row>
    <row r="14" spans="1:20" x14ac:dyDescent="0.25">
      <c r="A14" t="str">
        <v/>
      </c>
      <c r="B14" t="str">
        <v>=oz.ScheduleValuesλ(Timelineλ("1/7/2026"), Timelineλ("1/7/2026",,,FALSE), {1;3}, {"1/7/2026"; "15/8/2026"})</v>
      </c>
    </row>
    <row r="17" spans="1:24" ht="21" x14ac:dyDescent="0.35">
      <c r="A17" s="305" t="s">
        <v>272</v>
      </c>
      <c r="B17" s="305"/>
      <c r="C17" s="305"/>
      <c r="E17" s="302" t="s">
        <v>278</v>
      </c>
      <c r="F17" s="307"/>
      <c r="G17" s="307"/>
      <c r="H17" s="307"/>
      <c r="I17" s="308"/>
    </row>
    <row r="18" spans="1:24" x14ac:dyDescent="0.25">
      <c r="E18" s="304"/>
      <c r="F18" s="309"/>
      <c r="G18" s="309"/>
      <c r="H18" s="309"/>
      <c r="I18" s="309"/>
      <c r="L18" s="166" t="s">
        <v>279</v>
      </c>
      <c r="M18" s="165" cm="1">
        <f t="array" ref="M18:X18">oz.Timelineλ(B20,B21,B22, FALSE)</f>
        <v>46234</v>
      </c>
      <c r="N18" s="165">
        <v>46265</v>
      </c>
      <c r="O18" s="165">
        <v>46295</v>
      </c>
      <c r="P18" s="165">
        <v>46326</v>
      </c>
      <c r="Q18" s="165">
        <v>46356</v>
      </c>
      <c r="R18" s="165">
        <v>46387</v>
      </c>
      <c r="S18" s="165">
        <v>46418</v>
      </c>
      <c r="T18" s="165">
        <v>46446</v>
      </c>
      <c r="U18" s="165">
        <v>46477</v>
      </c>
      <c r="V18" s="165">
        <v>46507</v>
      </c>
      <c r="W18" s="165">
        <v>46538</v>
      </c>
      <c r="X18" s="165">
        <v>46568</v>
      </c>
    </row>
    <row r="19" spans="1:24" x14ac:dyDescent="0.25">
      <c r="A19" s="161" t="s">
        <v>273</v>
      </c>
      <c r="B19" s="161" t="s">
        <v>138</v>
      </c>
      <c r="C19" s="161" t="s">
        <v>139</v>
      </c>
      <c r="E19" s="114" t="s">
        <v>280</v>
      </c>
      <c r="F19" t="s">
        <v>264</v>
      </c>
      <c r="G19" t="s">
        <v>269</v>
      </c>
      <c r="H19" t="s">
        <v>274</v>
      </c>
      <c r="I19" t="s">
        <v>249</v>
      </c>
      <c r="L19" s="149" t="s">
        <v>276</v>
      </c>
      <c r="M19" s="156" cm="1">
        <f t="array" ref="M19:X19">oz.Timelineλ(B20,B21,B22)</f>
        <v>46204</v>
      </c>
      <c r="N19" s="1">
        <v>46235</v>
      </c>
      <c r="O19" s="1">
        <v>46266</v>
      </c>
      <c r="P19" s="1">
        <v>46296</v>
      </c>
      <c r="Q19" s="1">
        <v>46327</v>
      </c>
      <c r="R19" s="1">
        <v>46357</v>
      </c>
      <c r="S19" s="1">
        <v>46388</v>
      </c>
      <c r="T19" s="1">
        <v>46419</v>
      </c>
      <c r="U19" s="1">
        <v>46447</v>
      </c>
      <c r="V19" s="1">
        <v>46478</v>
      </c>
      <c r="W19" s="1">
        <v>46508</v>
      </c>
      <c r="X19" s="1">
        <v>46539</v>
      </c>
    </row>
    <row r="20" spans="1:24" x14ac:dyDescent="0.25">
      <c r="A20" t="s">
        <v>236</v>
      </c>
      <c r="B20" s="141">
        <v>46204</v>
      </c>
      <c r="C20" t="s">
        <v>145</v>
      </c>
      <c r="E20" cm="1">
        <f t="array" ref="E20">100 + ROW() - ROW(tblCO[#Headers])</f>
        <v>101</v>
      </c>
      <c r="F20" t="s">
        <v>266</v>
      </c>
      <c r="G20" s="141">
        <v>46207</v>
      </c>
      <c r="H20" s="141">
        <f>tblCO[[#This Row],[Issued]]+_xlfn.XLOOKUP(tblCO[[#This Row],[Customer]],tblCT[Customer], tblCT[Terms])</f>
        <v>46237</v>
      </c>
      <c r="I20">
        <v>1000</v>
      </c>
      <c r="K20" s="2" t="s">
        <v>275</v>
      </c>
      <c r="L20">
        <f>SUM(_xlfn.ANCHORARRAY(M20))</f>
        <v>62370</v>
      </c>
      <c r="M20" s="162" cm="1">
        <f t="array" ref="M20:X20">oz.ScheduleValuesλ(_xlfn.ANCHORARRAY(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141</v>
      </c>
      <c r="B21">
        <v>12</v>
      </c>
      <c r="C21" t="s">
        <v>146</v>
      </c>
      <c r="E21" cm="1">
        <f t="array" ref="E21">100 + ROW() - ROW(tblCO[#Headers])</f>
        <v>102</v>
      </c>
      <c r="F21" t="s">
        <v>267</v>
      </c>
      <c r="G21" s="141">
        <v>46214</v>
      </c>
      <c r="H21" s="141">
        <f>tblCO[[#This Row],[Issued]]+_xlfn.XLOOKUP(tblCO[[#This Row],[Customer]],tblCT[Customer], tblCT[Terms])</f>
        <v>46334</v>
      </c>
      <c r="I21">
        <v>1197</v>
      </c>
      <c r="K21" s="2" t="s">
        <v>277</v>
      </c>
      <c r="L21">
        <f>SUM(_xlfn.ANCHORARRAY(M21))</f>
        <v>62370</v>
      </c>
      <c r="M21" s="162" cm="1">
        <f t="array" ref="M21:X21">oz.ScheduleValuesλ(_xlfn.ANCHORARRAY(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142</v>
      </c>
      <c r="B22" t="s">
        <v>144</v>
      </c>
      <c r="E22" cm="1">
        <f t="array" ref="E22">100 + ROW() - ROW(tblCO[#Headers])</f>
        <v>103</v>
      </c>
      <c r="F22" t="s">
        <v>268</v>
      </c>
      <c r="G22" s="141">
        <v>46221</v>
      </c>
      <c r="H22" s="141">
        <f>tblCO[[#This Row],[Issued]]+_xlfn.XLOOKUP(tblCO[[#This Row],[Customer]],tblCT[Customer], tblCT[Terms])</f>
        <v>46266</v>
      </c>
      <c r="I22">
        <v>1394</v>
      </c>
      <c r="K22" s="2" t="s">
        <v>282</v>
      </c>
      <c r="L22">
        <f>SUM(_xlfn.ANCHORARRAY(M22))</f>
        <v>0</v>
      </c>
      <c r="M22" s="167" cm="1">
        <f t="array" ref="M22:X22">_xlfn.ANCHORARRAY(M20)-_xlfn.ANCHORARRAY(M21)</f>
        <v>5182</v>
      </c>
      <c r="N22" s="167">
        <v>5546</v>
      </c>
      <c r="O22" s="167">
        <v>7107</v>
      </c>
      <c r="P22" s="167">
        <v>3743</v>
      </c>
      <c r="Q22" s="167">
        <v>10062</v>
      </c>
      <c r="R22" s="167">
        <v>-19775</v>
      </c>
      <c r="S22" s="167">
        <v>-7713</v>
      </c>
      <c r="T22" s="167">
        <v>-4152</v>
      </c>
      <c r="U22" s="167">
        <v>0</v>
      </c>
      <c r="V22" s="167">
        <v>0</v>
      </c>
      <c r="W22" s="167">
        <v>0</v>
      </c>
      <c r="X22" s="167">
        <v>0</v>
      </c>
    </row>
    <row r="23" spans="1:24" x14ac:dyDescent="0.25">
      <c r="E23" cm="1">
        <f t="array" ref="E23">100 + ROW() - ROW(tblCO[#Headers])</f>
        <v>104</v>
      </c>
      <c r="F23" t="s">
        <v>318</v>
      </c>
      <c r="G23" s="141">
        <v>46228</v>
      </c>
      <c r="H23" s="141">
        <f>tblCO[[#This Row],[Issued]]+_xlfn.XLOOKUP(tblCO[[#This Row],[Customer]],tblCT[Customer], tblCT[Terms])</f>
        <v>46288</v>
      </c>
      <c r="I23">
        <v>1591</v>
      </c>
      <c r="K23" s="2"/>
    </row>
    <row r="24" spans="1:24" x14ac:dyDescent="0.25">
      <c r="E24" cm="1">
        <f t="array" ref="E24">100 + ROW() - ROW(tblCO[#Headers])</f>
        <v>105</v>
      </c>
      <c r="F24" t="s">
        <v>319</v>
      </c>
      <c r="G24" s="141">
        <v>46235</v>
      </c>
      <c r="H24" s="141">
        <f>tblCO[[#This Row],[Issued]]+_xlfn.XLOOKUP(tblCO[[#This Row],[Customer]],tblCT[Customer], tblCT[Terms])</f>
        <v>46250</v>
      </c>
      <c r="I24">
        <v>1788</v>
      </c>
      <c r="K24" s="2" t="s">
        <v>281</v>
      </c>
      <c r="M24" cm="1">
        <f t="array" ref="M24:X24">oz.Cumulativeλ(_xlfn.ANCHORARRAY(M22))</f>
        <v>5182</v>
      </c>
      <c r="N24">
        <v>10728</v>
      </c>
      <c r="O24">
        <v>17835</v>
      </c>
      <c r="P24">
        <v>21578</v>
      </c>
      <c r="Q24">
        <v>31640</v>
      </c>
      <c r="R24">
        <v>11865</v>
      </c>
      <c r="S24">
        <v>4152</v>
      </c>
      <c r="T24">
        <v>0</v>
      </c>
      <c r="U24">
        <v>0</v>
      </c>
      <c r="V24">
        <v>0</v>
      </c>
      <c r="W24">
        <v>0</v>
      </c>
      <c r="X24">
        <v>0</v>
      </c>
    </row>
    <row r="25" spans="1:24" ht="21" x14ac:dyDescent="0.35">
      <c r="A25" s="302" t="s">
        <v>270</v>
      </c>
      <c r="B25" s="306"/>
      <c r="C25" s="306"/>
      <c r="E25" cm="1">
        <f t="array" ref="E25">100 + ROW() - ROW(tblCO[#Headers])</f>
        <v>106</v>
      </c>
      <c r="F25" t="s">
        <v>266</v>
      </c>
      <c r="G25" s="141">
        <v>46242</v>
      </c>
      <c r="H25" s="141">
        <f>tblCO[[#This Row],[Issued]]+_xlfn.XLOOKUP(tblCO[[#This Row],[Customer]],tblCT[Customer], tblCT[Terms])</f>
        <v>46272</v>
      </c>
      <c r="I25">
        <v>1985</v>
      </c>
    </row>
    <row r="26" spans="1:24" x14ac:dyDescent="0.25">
      <c r="A26" s="304"/>
      <c r="B26" s="303"/>
      <c r="C26" s="303"/>
      <c r="E26" cm="1">
        <f t="array" ref="E26">100 + ROW() - ROW(tblCO[#Headers])</f>
        <v>107</v>
      </c>
      <c r="F26" t="s">
        <v>267</v>
      </c>
      <c r="G26" s="141">
        <v>46249</v>
      </c>
      <c r="H26" s="141">
        <f>tblCO[[#This Row],[Issued]]+_xlfn.XLOOKUP(tblCO[[#This Row],[Customer]],tblCT[Customer], tblCT[Terms])</f>
        <v>46369</v>
      </c>
      <c r="I26">
        <v>2182</v>
      </c>
    </row>
    <row r="27" spans="1:24" x14ac:dyDescent="0.25">
      <c r="A27" s="114" t="s">
        <v>271</v>
      </c>
      <c r="B27" t="s">
        <v>264</v>
      </c>
      <c r="C27" s="114" t="s">
        <v>265</v>
      </c>
      <c r="E27" cm="1">
        <f t="array" ref="E27">100 + ROW() - ROW(tblCO[#Headers])</f>
        <v>108</v>
      </c>
      <c r="F27" t="s">
        <v>268</v>
      </c>
      <c r="G27" s="141">
        <v>46256</v>
      </c>
      <c r="H27" s="141">
        <f>tblCO[[#This Row],[Issued]]+_xlfn.XLOOKUP(tblCO[[#This Row],[Customer]],tblCT[Customer], tblCT[Terms])</f>
        <v>46301</v>
      </c>
      <c r="I27">
        <v>2379</v>
      </c>
      <c r="M27" cm="1">
        <f t="array" ref="M27:X30">oz.Corkscrewλ(0,-_xlfn.ANCHORARRAY(M20),_xlfn.ANCHORARRAY(M21))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266</v>
      </c>
      <c r="C28">
        <v>30</v>
      </c>
      <c r="E28" cm="1">
        <f t="array" ref="E28">100 + ROW() - ROW(tblCO[#Headers])</f>
        <v>109</v>
      </c>
      <c r="F28" t="s">
        <v>318</v>
      </c>
      <c r="G28" s="141">
        <v>46266</v>
      </c>
      <c r="H28" s="141">
        <f>tblCO[[#This Row],[Issued]]+_xlfn.XLOOKUP(tblCO[[#This Row],[Customer]],tblCT[Customer], tblCT[Terms])</f>
        <v>46326</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267</v>
      </c>
      <c r="C29">
        <v>120</v>
      </c>
      <c r="E29" cm="1">
        <f t="array" ref="E29">100 + ROW() - ROW(tblCO[#Headers])</f>
        <v>110</v>
      </c>
      <c r="F29" t="s">
        <v>319</v>
      </c>
      <c r="G29" s="141">
        <v>46273</v>
      </c>
      <c r="H29" s="141">
        <f>tblCO[[#This Row],[Issued]]+_xlfn.XLOOKUP(tblCO[[#This Row],[Customer]],tblCT[Customer], tblCT[Terms])</f>
        <v>46288</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268</v>
      </c>
      <c r="C30">
        <v>45</v>
      </c>
      <c r="E30" cm="1">
        <f t="array" ref="E30">100 + ROW() - ROW(tblCO[#Headers])</f>
        <v>111</v>
      </c>
      <c r="F30" t="s">
        <v>266</v>
      </c>
      <c r="G30" s="141">
        <v>46280</v>
      </c>
      <c r="H30" s="141">
        <f>tblCO[[#This Row],[Issued]]+_xlfn.XLOOKUP(tblCO[[#This Row],[Customer]],tblCT[Customer], tblCT[Terms])</f>
        <v>46310</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318</v>
      </c>
      <c r="C31">
        <v>60</v>
      </c>
      <c r="E31" cm="1">
        <f t="array" ref="E31">100 + ROW() - ROW(tblCO[#Headers])</f>
        <v>112</v>
      </c>
      <c r="F31" t="s">
        <v>267</v>
      </c>
      <c r="G31" s="141">
        <v>46287</v>
      </c>
      <c r="H31" s="141">
        <f>tblCO[[#This Row],[Issued]]+_xlfn.XLOOKUP(tblCO[[#This Row],[Customer]],tblCT[Customer], tblCT[Terms])</f>
        <v>46407</v>
      </c>
      <c r="I31">
        <v>3167</v>
      </c>
    </row>
    <row r="32" spans="1:24" x14ac:dyDescent="0.25">
      <c r="A32" cm="1">
        <f t="array" ref="A32">ROW()-ROW(tblCT[#Headers])</f>
        <v>5</v>
      </c>
      <c r="B32" t="s">
        <v>319</v>
      </c>
      <c r="C32">
        <v>15</v>
      </c>
      <c r="E32" cm="1">
        <f t="array" ref="E32">100 + ROW() - ROW(tblCO[#Headers])</f>
        <v>113</v>
      </c>
      <c r="F32" t="s">
        <v>268</v>
      </c>
      <c r="G32" s="141">
        <v>46294</v>
      </c>
      <c r="H32" s="141">
        <f>tblCO[[#This Row],[Issued]]+_xlfn.XLOOKUP(tblCO[[#This Row],[Customer]],tblCT[Customer], tblCT[Terms])</f>
        <v>46339</v>
      </c>
      <c r="I32">
        <v>3364</v>
      </c>
    </row>
    <row r="33" spans="5:9" x14ac:dyDescent="0.25">
      <c r="E33" cm="1">
        <f t="array" ref="E33">100 + ROW() - ROW(tblCO[#Headers])</f>
        <v>114</v>
      </c>
      <c r="F33" t="s">
        <v>318</v>
      </c>
      <c r="G33" s="141">
        <v>46300</v>
      </c>
      <c r="H33" s="141">
        <f>tblCO[[#This Row],[Issued]]+_xlfn.XLOOKUP(tblCO[[#This Row],[Customer]],tblCT[Customer], tblCT[Terms])</f>
        <v>46360</v>
      </c>
      <c r="I33">
        <v>3561</v>
      </c>
    </row>
    <row r="34" spans="5:9" x14ac:dyDescent="0.25">
      <c r="E34" cm="1">
        <f t="array" ref="E34">100 + ROW() - ROW(tblCO[#Headers])</f>
        <v>115</v>
      </c>
      <c r="F34" t="s">
        <v>319</v>
      </c>
      <c r="G34" s="141">
        <v>46307</v>
      </c>
      <c r="H34" s="141">
        <f>tblCO[[#This Row],[Issued]]+_xlfn.XLOOKUP(tblCO[[#This Row],[Customer]],tblCT[Customer], tblCT[Terms])</f>
        <v>46322</v>
      </c>
      <c r="I34">
        <v>3758</v>
      </c>
    </row>
    <row r="35" spans="5:9" x14ac:dyDescent="0.25">
      <c r="E35" cm="1">
        <f t="array" ref="E35">100 + ROW() - ROW(tblCO[#Headers])</f>
        <v>116</v>
      </c>
      <c r="F35" t="s">
        <v>266</v>
      </c>
      <c r="G35" s="141">
        <v>46314</v>
      </c>
      <c r="H35" s="141">
        <f>tblCO[[#This Row],[Issued]]+_xlfn.XLOOKUP(tblCO[[#This Row],[Customer]],tblCT[Customer], tblCT[Terms])</f>
        <v>46344</v>
      </c>
      <c r="I35">
        <v>3955</v>
      </c>
    </row>
    <row r="36" spans="5:9" x14ac:dyDescent="0.25">
      <c r="E36" cm="1">
        <f t="array" ref="E36">100 + ROW() - ROW(tblCO[#Headers])</f>
        <v>117</v>
      </c>
      <c r="F36" t="s">
        <v>267</v>
      </c>
      <c r="G36" s="141">
        <v>46321</v>
      </c>
      <c r="H36" s="141">
        <f>tblCO[[#This Row],[Issued]]+_xlfn.XLOOKUP(tblCO[[#This Row],[Customer]],tblCT[Customer], tblCT[Terms])</f>
        <v>46441</v>
      </c>
      <c r="I36">
        <v>4152</v>
      </c>
    </row>
    <row r="37" spans="5:9" x14ac:dyDescent="0.25">
      <c r="E37" cm="1">
        <f t="array" ref="E37">100 + ROW() - ROW(tblCO[#Headers])</f>
        <v>118</v>
      </c>
      <c r="F37" t="s">
        <v>268</v>
      </c>
      <c r="G37" s="141">
        <v>46329</v>
      </c>
      <c r="H37" s="141">
        <f>tblCO[[#This Row],[Issued]]+_xlfn.XLOOKUP(tblCO[[#This Row],[Customer]],tblCT[Customer], tblCT[Terms])</f>
        <v>46374</v>
      </c>
      <c r="I37">
        <v>4349</v>
      </c>
    </row>
    <row r="38" spans="5:9" x14ac:dyDescent="0.25">
      <c r="E38" cm="1">
        <f t="array" ref="E38">100 + ROW() - ROW(tblCO[#Headers])</f>
        <v>119</v>
      </c>
      <c r="F38" t="s">
        <v>318</v>
      </c>
      <c r="G38" s="141">
        <v>46336</v>
      </c>
      <c r="H38" s="141">
        <f>tblCO[[#This Row],[Issued]]+_xlfn.XLOOKUP(tblCO[[#This Row],[Customer]],tblCT[Customer], tblCT[Terms])</f>
        <v>46396</v>
      </c>
      <c r="I38">
        <v>4546</v>
      </c>
    </row>
    <row r="39" spans="5:9" x14ac:dyDescent="0.25">
      <c r="E39" cm="1">
        <f t="array" ref="E39">100 + ROW() - ROW(tblCO[#Headers])</f>
        <v>120</v>
      </c>
      <c r="F39" t="s">
        <v>319</v>
      </c>
      <c r="G39" s="141">
        <v>46343</v>
      </c>
      <c r="H39" s="141">
        <f>tblCO[[#This Row],[Issued]]+_xlfn.XLOOKUP(tblCO[[#This Row],[Customer]],tblCT[Customer], tblCT[Terms])</f>
        <v>46358</v>
      </c>
      <c r="I39">
        <v>4743</v>
      </c>
    </row>
    <row r="40" spans="5:9" x14ac:dyDescent="0.25">
      <c r="E40" cm="1">
        <f t="array" ref="E40">100 + ROW() - ROW(tblCO[#Headers])</f>
        <v>121</v>
      </c>
      <c r="F40" t="s">
        <v>266</v>
      </c>
      <c r="G40" s="141">
        <v>46350</v>
      </c>
      <c r="H40" s="141">
        <f>tblCO[[#This Row],[Issued]]+_xlfn.XLOOKUP(tblCO[[#This Row],[Customer]],tblCT[Customer], tblCT[Terms])</f>
        <v>46380</v>
      </c>
      <c r="I40">
        <v>4940</v>
      </c>
    </row>
    <row r="41" spans="5:9" x14ac:dyDescent="0.25">
      <c r="E41" s="168" t="s">
        <v>63</v>
      </c>
      <c r="F41" s="168"/>
      <c r="G41" s="169"/>
      <c r="H41" s="169"/>
      <c r="I41">
        <f>SUBTOTAL(109,I20:I40)</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pageSetup paperSize="9" scale="45" fitToHeight="0" orientation="landscape" horizontalDpi="0" verticalDpi="0"/>
  <customProperties>
    <customPr name="Description" r:id="rId2"/>
  </customProperties>
  <drawing r:id="rId3"/>
  <tableParts count="2">
    <tablePart r:id="rId4"/>
    <tablePart r:id="rId5"/>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2B1A54"/>
    <pageSetUpPr fitToPage="1"/>
  </sheetPr>
  <dimension ref="A1:X46"/>
  <sheetViews>
    <sheetView showGridLines="0" workbookViewId="0">
      <selection sqref="A1:Q1"/>
    </sheetView>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6.5" x14ac:dyDescent="0.7">
      <c r="A1" s="287" t="str">
        <f ca="1">_xlfn.TEXTAFTER(CELL("filename",A1),"]")</f>
        <v>oz.ScheduleValuesByItemsλ</v>
      </c>
      <c r="B1" s="287"/>
      <c r="C1" s="287"/>
      <c r="D1" s="287"/>
      <c r="E1" s="287"/>
      <c r="F1" s="287"/>
      <c r="G1" s="287"/>
      <c r="H1" s="287"/>
      <c r="I1" s="287"/>
      <c r="J1" s="287"/>
      <c r="K1" s="287"/>
      <c r="L1" s="287"/>
      <c r="M1" s="287"/>
      <c r="N1" s="287"/>
      <c r="O1" s="287"/>
      <c r="P1" s="287"/>
      <c r="Q1" s="287"/>
    </row>
    <row r="2" spans="1:17" x14ac:dyDescent="0.25">
      <c r="A2" s="288" t="s">
        <v>204</v>
      </c>
      <c r="B2" s="289"/>
      <c r="C2" s="289"/>
      <c r="D2" s="289"/>
      <c r="E2" s="289"/>
      <c r="F2" s="289"/>
      <c r="G2" s="289"/>
      <c r="H2" s="289"/>
      <c r="I2" s="289"/>
      <c r="J2" s="289"/>
      <c r="K2" s="289"/>
      <c r="L2" s="289"/>
      <c r="M2" s="289"/>
      <c r="N2" s="289"/>
      <c r="O2" s="289"/>
      <c r="P2" s="289"/>
      <c r="Q2" s="290"/>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oz.ScheduleValuesByItemsλ()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https://github.com/ryanduguid/Ozzit</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(oz is assumed to be the module's name)</v>
      </c>
    </row>
    <row r="18" spans="1:24" x14ac:dyDescent="0.25">
      <c r="A18" t="str">
        <v/>
      </c>
      <c r="B18" t="str">
        <v>oz.ScheduleValuesByItemsλ( Timelineλ( "1/7/2026"), Timelineλ( "1/7/2026",,,FALSE),</v>
      </c>
    </row>
    <row r="19" spans="1:24" x14ac:dyDescent="0.25">
      <c r="A19" t="str">
        <v/>
      </c>
      <c r="B19" t="str">
        <v>UNIQUE( tblExp(Items)), tblExp[Items], tblExp[Dates], tblExp[Amount])</v>
      </c>
    </row>
    <row r="22" spans="1:24" ht="21" x14ac:dyDescent="0.35">
      <c r="A22" s="305" t="s">
        <v>272</v>
      </c>
      <c r="B22" s="305"/>
      <c r="C22" s="305"/>
      <c r="E22" s="291" t="s">
        <v>278</v>
      </c>
      <c r="F22" s="310"/>
      <c r="G22" s="310"/>
      <c r="H22" s="310"/>
      <c r="I22" s="292"/>
      <c r="L22" s="166" t="s">
        <v>279</v>
      </c>
      <c r="M22" s="170" cm="1">
        <f t="array" ref="M22:X22">oz.Timelineλ($B$25, $B$26, $B$27, FALSE)</f>
        <v>46234</v>
      </c>
      <c r="N22" s="170">
        <v>46265</v>
      </c>
      <c r="O22" s="170">
        <v>46295</v>
      </c>
      <c r="P22" s="170">
        <v>46326</v>
      </c>
      <c r="Q22" s="170">
        <v>46356</v>
      </c>
      <c r="R22" s="170">
        <v>46387</v>
      </c>
      <c r="S22" s="170">
        <v>46418</v>
      </c>
      <c r="T22" s="170">
        <v>46446</v>
      </c>
      <c r="U22" s="170">
        <v>46477</v>
      </c>
      <c r="V22" s="170">
        <v>46507</v>
      </c>
      <c r="W22" s="170">
        <v>46538</v>
      </c>
      <c r="X22" s="170">
        <v>46568</v>
      </c>
    </row>
    <row r="23" spans="1:24" x14ac:dyDescent="0.25">
      <c r="K23" s="161" t="s">
        <v>264</v>
      </c>
      <c r="L23" s="149" t="s">
        <v>276</v>
      </c>
      <c r="M23" s="156" cm="1">
        <f t="array" ref="M23:X23">oz.Timelineλ($B$25, $B$26, $B$27)</f>
        <v>46204</v>
      </c>
      <c r="N23" s="1">
        <v>46235</v>
      </c>
      <c r="O23" s="1">
        <v>46266</v>
      </c>
      <c r="P23" s="1">
        <v>46296</v>
      </c>
      <c r="Q23" s="1">
        <v>46327</v>
      </c>
      <c r="R23" s="1">
        <v>46357</v>
      </c>
      <c r="S23" s="1">
        <v>46388</v>
      </c>
      <c r="T23" s="1">
        <v>46419</v>
      </c>
      <c r="U23" s="1">
        <v>46447</v>
      </c>
      <c r="V23" s="1">
        <v>46478</v>
      </c>
      <c r="W23" s="1">
        <v>46508</v>
      </c>
      <c r="X23" s="1">
        <v>46539</v>
      </c>
    </row>
    <row r="24" spans="1:24" x14ac:dyDescent="0.25">
      <c r="A24" s="161" t="s">
        <v>273</v>
      </c>
      <c r="B24" s="161" t="s">
        <v>138</v>
      </c>
      <c r="C24" s="161" t="s">
        <v>139</v>
      </c>
      <c r="E24" s="160" t="str" cm="1">
        <f t="array" ref="E24:I46">tblCO[#All]</f>
        <v>Inv.#</v>
      </c>
      <c r="F24" s="160" t="str">
        <v>Customer</v>
      </c>
      <c r="G24" s="160" t="str">
        <v>Issued</v>
      </c>
      <c r="H24" s="160" t="str">
        <v>Exp. Receipt</v>
      </c>
      <c r="I24" s="160" t="str">
        <v>Amount</v>
      </c>
      <c r="L24" s="125" t="s">
        <v>275</v>
      </c>
    </row>
    <row r="25" spans="1:24" x14ac:dyDescent="0.25">
      <c r="A25" t="s">
        <v>236</v>
      </c>
      <c r="B25" s="141">
        <v>46204</v>
      </c>
      <c r="C25" t="s">
        <v>145</v>
      </c>
      <c r="E25">
        <v>101</v>
      </c>
      <c r="F25" t="str">
        <v>ACME</v>
      </c>
      <c r="G25" s="141">
        <v>46207</v>
      </c>
      <c r="H25" s="141">
        <v>46237</v>
      </c>
      <c r="I25">
        <v>1000</v>
      </c>
      <c r="K25" t="str" cm="1">
        <f t="array" ref="K25:K29">tblCT[Customer]</f>
        <v>ACME</v>
      </c>
      <c r="L25" cm="1">
        <f t="array" ref="L25:L29">oz.SumRowsλ(_xlfn.ANCHORARRAY(M25))</f>
        <v>14850</v>
      </c>
      <c r="M25" s="162" cm="1">
        <f t="array" ref="M25:X29">oz.ScheduleValuesByItemsλ(_xlfn.ANCHORARRAY(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141</v>
      </c>
      <c r="B26">
        <v>12</v>
      </c>
      <c r="C26" t="s">
        <v>146</v>
      </c>
      <c r="E26">
        <v>102</v>
      </c>
      <c r="F26" t="str">
        <v>Wool*Art</v>
      </c>
      <c r="G26" s="141">
        <v>46214</v>
      </c>
      <c r="H26" s="141">
        <v>46334</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142</v>
      </c>
      <c r="B27" t="s">
        <v>144</v>
      </c>
      <c r="E27">
        <v>103</v>
      </c>
      <c r="F27" t="str">
        <v>Town Hall</v>
      </c>
      <c r="G27" s="141">
        <v>46221</v>
      </c>
      <c r="H27" s="141">
        <v>46266</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141">
        <v>46228</v>
      </c>
      <c r="H28" s="141">
        <v>46288</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141">
        <v>46235</v>
      </c>
      <c r="H29" s="141">
        <v>46250</v>
      </c>
      <c r="I29">
        <v>1788</v>
      </c>
      <c r="K29" t="str">
        <v>Amazonia</v>
      </c>
      <c r="L29">
        <v>13062</v>
      </c>
      <c r="M29">
        <v>0</v>
      </c>
      <c r="N29">
        <v>1788</v>
      </c>
      <c r="O29">
        <v>2773</v>
      </c>
      <c r="P29">
        <v>3758</v>
      </c>
      <c r="Q29">
        <v>4743</v>
      </c>
      <c r="R29">
        <v>0</v>
      </c>
      <c r="S29">
        <v>0</v>
      </c>
      <c r="T29">
        <v>0</v>
      </c>
      <c r="U29">
        <v>0</v>
      </c>
      <c r="V29">
        <v>0</v>
      </c>
      <c r="W29">
        <v>0</v>
      </c>
      <c r="X29">
        <v>0</v>
      </c>
    </row>
    <row r="30" spans="1:24" ht="21" x14ac:dyDescent="0.35">
      <c r="A30" s="311" t="s">
        <v>270</v>
      </c>
      <c r="B30" s="312"/>
      <c r="C30" s="312"/>
      <c r="E30">
        <v>106</v>
      </c>
      <c r="F30" t="str">
        <v>ACME</v>
      </c>
      <c r="G30" s="141">
        <v>46242</v>
      </c>
      <c r="H30" s="141">
        <v>46272</v>
      </c>
      <c r="I30">
        <v>1985</v>
      </c>
      <c r="K30" s="167" t="s">
        <v>283</v>
      </c>
      <c r="L30" s="167">
        <f>SUM(_xlfn.ANCHORARRAY(M30))</f>
        <v>62370</v>
      </c>
      <c r="M30" s="167" cm="1">
        <f t="array" ref="M30:X30">oz.SumColsλ(_xlfn.ANCHORARRAY(M25))</f>
        <v>5182</v>
      </c>
      <c r="N30" s="167">
        <v>8334</v>
      </c>
      <c r="O30" s="167">
        <v>14850</v>
      </c>
      <c r="P30" s="167">
        <v>15426</v>
      </c>
      <c r="Q30" s="167">
        <v>18578</v>
      </c>
      <c r="R30" s="167">
        <v>0</v>
      </c>
      <c r="S30" s="167">
        <v>0</v>
      </c>
      <c r="T30" s="167">
        <v>0</v>
      </c>
      <c r="U30" s="167">
        <v>0</v>
      </c>
      <c r="V30" s="167">
        <v>0</v>
      </c>
      <c r="W30" s="167">
        <v>0</v>
      </c>
      <c r="X30" s="167">
        <v>0</v>
      </c>
    </row>
    <row r="31" spans="1:24" x14ac:dyDescent="0.25">
      <c r="E31">
        <v>107</v>
      </c>
      <c r="F31" t="str">
        <v>Wool*Art</v>
      </c>
      <c r="G31" s="141">
        <v>46249</v>
      </c>
      <c r="H31" s="141">
        <v>46369</v>
      </c>
      <c r="I31">
        <v>2182</v>
      </c>
    </row>
    <row r="32" spans="1:24" x14ac:dyDescent="0.25">
      <c r="A32" s="160" t="str" cm="1">
        <f t="array" ref="A32:C37">tblCT[#All]</f>
        <v>ID#</v>
      </c>
      <c r="B32" s="161" t="str">
        <v>Customer</v>
      </c>
      <c r="C32" s="160" t="str">
        <v>Terms</v>
      </c>
      <c r="E32">
        <v>108</v>
      </c>
      <c r="F32" t="str">
        <v>Town Hall</v>
      </c>
      <c r="G32" s="141">
        <v>46256</v>
      </c>
      <c r="H32" s="141">
        <v>46301</v>
      </c>
      <c r="I32">
        <v>2379</v>
      </c>
      <c r="L32" s="125" t="s">
        <v>284</v>
      </c>
    </row>
    <row r="33" spans="1:24" x14ac:dyDescent="0.25">
      <c r="A33">
        <v>1</v>
      </c>
      <c r="B33" t="str">
        <v>ACME</v>
      </c>
      <c r="C33">
        <v>30</v>
      </c>
      <c r="E33">
        <v>109</v>
      </c>
      <c r="F33" t="str">
        <v>Jacqie Penee</v>
      </c>
      <c r="G33" s="141">
        <v>46266</v>
      </c>
      <c r="H33" s="141">
        <v>46326</v>
      </c>
      <c r="I33">
        <v>2576</v>
      </c>
      <c r="K33" t="str" cm="1">
        <f t="array" ref="K33:K37">tblCT[Customer]</f>
        <v>ACME</v>
      </c>
      <c r="L33" cm="1">
        <f t="array" ref="L33:L37">oz.SumRowsλ(_xlfn.ANCHORARRAY(M33))</f>
        <v>14850</v>
      </c>
      <c r="M33" s="162" cm="1">
        <f t="array" ref="M33:X37">oz.ScheduleValuesByItemsλ(_xlfn.ANCHORARRAY(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141">
        <v>46273</v>
      </c>
      <c r="H34" s="141">
        <v>46288</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141">
        <v>46280</v>
      </c>
      <c r="H35" s="141">
        <v>46310</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141">
        <v>46287</v>
      </c>
      <c r="H36" s="141">
        <v>46407</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141">
        <v>46294</v>
      </c>
      <c r="H37" s="141">
        <v>46339</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141">
        <v>46300</v>
      </c>
      <c r="H38" s="141">
        <v>46360</v>
      </c>
      <c r="I38">
        <v>3561</v>
      </c>
      <c r="K38" s="167" t="s">
        <v>283</v>
      </c>
      <c r="L38" s="167">
        <f>SUM(_xlfn.ANCHORARRAY(M38))</f>
        <v>62370</v>
      </c>
      <c r="M38" s="167" cm="1">
        <f t="array" ref="M38:X38">oz.SumColsλ(_xlfn.ANCHORARRAY(M33))</f>
        <v>0</v>
      </c>
      <c r="N38" s="167">
        <v>2788</v>
      </c>
      <c r="O38" s="167">
        <v>7743</v>
      </c>
      <c r="P38" s="167">
        <v>11683</v>
      </c>
      <c r="Q38" s="167">
        <v>8516</v>
      </c>
      <c r="R38" s="167">
        <v>19775</v>
      </c>
      <c r="S38" s="167">
        <v>7713</v>
      </c>
      <c r="T38" s="167">
        <v>4152</v>
      </c>
      <c r="U38" s="167">
        <v>0</v>
      </c>
      <c r="V38" s="167">
        <v>0</v>
      </c>
      <c r="W38" s="167">
        <v>0</v>
      </c>
      <c r="X38" s="167">
        <v>0</v>
      </c>
    </row>
    <row r="39" spans="1:24" x14ac:dyDescent="0.25">
      <c r="E39">
        <v>115</v>
      </c>
      <c r="F39" t="str">
        <v>Amazonia</v>
      </c>
      <c r="G39" s="141">
        <v>46307</v>
      </c>
      <c r="H39" s="141">
        <v>46322</v>
      </c>
      <c r="I39">
        <v>3758</v>
      </c>
    </row>
    <row r="40" spans="1:24" ht="15.75" thickBot="1" x14ac:dyDescent="0.3">
      <c r="E40">
        <v>116</v>
      </c>
      <c r="F40" t="str">
        <v>ACME</v>
      </c>
      <c r="G40" s="141">
        <v>46314</v>
      </c>
      <c r="H40" s="141">
        <v>46344</v>
      </c>
      <c r="I40">
        <v>3955</v>
      </c>
      <c r="L40" s="125" t="s">
        <v>282</v>
      </c>
      <c r="M40" s="171" cm="1">
        <f t="array" ref="M40:X40">_xlfn.ANCHORARRAY(M30)-_xlfn.ANCHORARRAY(M38)</f>
        <v>5182</v>
      </c>
      <c r="N40" s="171">
        <v>5546</v>
      </c>
      <c r="O40" s="171">
        <v>7107</v>
      </c>
      <c r="P40" s="171">
        <v>3743</v>
      </c>
      <c r="Q40" s="171">
        <v>10062</v>
      </c>
      <c r="R40" s="171">
        <v>-19775</v>
      </c>
      <c r="S40" s="171">
        <v>-7713</v>
      </c>
      <c r="T40" s="171">
        <v>-4152</v>
      </c>
      <c r="U40" s="171">
        <v>0</v>
      </c>
      <c r="V40" s="171">
        <v>0</v>
      </c>
      <c r="W40" s="171">
        <v>0</v>
      </c>
      <c r="X40" s="171">
        <v>0</v>
      </c>
    </row>
    <row r="41" spans="1:24" ht="15.75" thickTop="1" x14ac:dyDescent="0.25">
      <c r="E41">
        <v>117</v>
      </c>
      <c r="F41" t="str">
        <v>Wool*Art</v>
      </c>
      <c r="G41" s="141">
        <v>46321</v>
      </c>
      <c r="H41" s="141">
        <v>46441</v>
      </c>
      <c r="I41">
        <v>4152</v>
      </c>
    </row>
    <row r="42" spans="1:24" x14ac:dyDescent="0.25">
      <c r="E42">
        <v>118</v>
      </c>
      <c r="F42" t="str">
        <v>Town Hall</v>
      </c>
      <c r="G42" s="141">
        <v>46329</v>
      </c>
      <c r="H42" s="141">
        <v>46374</v>
      </c>
      <c r="I42">
        <v>4349</v>
      </c>
      <c r="L42" s="125" t="s">
        <v>281</v>
      </c>
      <c r="M42" cm="1">
        <f t="array" ref="M42:X42">oz.Cumulativeλ(_xlfn.ANCHORARRAY(M40))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141">
        <v>46336</v>
      </c>
      <c r="H43" s="141">
        <v>46396</v>
      </c>
      <c r="I43">
        <v>4546</v>
      </c>
    </row>
    <row r="44" spans="1:24" x14ac:dyDescent="0.25">
      <c r="E44">
        <v>120</v>
      </c>
      <c r="F44" t="str">
        <v>Amazonia</v>
      </c>
      <c r="G44" s="141">
        <v>46343</v>
      </c>
      <c r="H44" s="141">
        <v>46358</v>
      </c>
      <c r="I44">
        <v>4743</v>
      </c>
    </row>
    <row r="45" spans="1:24" x14ac:dyDescent="0.25">
      <c r="E45">
        <v>121</v>
      </c>
      <c r="F45" t="str">
        <v>ACME</v>
      </c>
      <c r="G45" s="141">
        <v>46350</v>
      </c>
      <c r="H45" s="141">
        <v>46380</v>
      </c>
      <c r="I45">
        <v>4940</v>
      </c>
    </row>
    <row r="46" spans="1:24" x14ac:dyDescent="0.25">
      <c r="E46" s="205" t="str">
        <v>Total</v>
      </c>
      <c r="F46" s="205">
        <v>0</v>
      </c>
      <c r="G46" s="206">
        <v>0</v>
      </c>
      <c r="H46" s="206">
        <v>0</v>
      </c>
      <c r="I46" s="167">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pageSetup paperSize="9" scale="47" fitToHeight="0" orientation="landscape" horizontalDpi="0" verticalDpi="0"/>
  <customProperties>
    <customPr name="Description"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2B1A54"/>
    <pageSetUpPr fitToPage="1"/>
  </sheetPr>
  <dimension ref="A1:Q23"/>
  <sheetViews>
    <sheetView showGridLines="0" workbookViewId="0">
      <selection sqref="A1:N1"/>
    </sheetView>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6.5" x14ac:dyDescent="0.7">
      <c r="A1" s="287" t="str">
        <f ca="1">_xlfn.TEXTAFTER(CELL("filename",A1),"]")</f>
        <v>oz.Timelineλ</v>
      </c>
      <c r="B1" s="287"/>
      <c r="C1" s="287"/>
      <c r="D1" s="287"/>
      <c r="E1" s="287"/>
      <c r="F1" s="287"/>
      <c r="G1" s="287"/>
      <c r="H1" s="287"/>
      <c r="I1" s="287"/>
      <c r="J1" s="287"/>
      <c r="K1" s="287"/>
      <c r="L1" s="287"/>
      <c r="M1" s="287"/>
      <c r="N1" s="287"/>
    </row>
    <row r="2" spans="1:17" x14ac:dyDescent="0.25">
      <c r="A2" s="288" t="s">
        <v>205</v>
      </c>
      <c r="B2" s="297"/>
      <c r="C2" s="297"/>
      <c r="D2" s="297"/>
      <c r="E2" s="297"/>
      <c r="F2" s="297"/>
      <c r="G2" s="297"/>
      <c r="H2" s="297"/>
      <c r="I2" s="297"/>
      <c r="J2" s="297"/>
      <c r="K2" s="297"/>
      <c r="L2" s="297"/>
      <c r="M2" s="297"/>
      <c r="N2" s="297"/>
      <c r="O2" s="297"/>
      <c r="P2" s="297"/>
      <c r="Q2" s="297"/>
    </row>
    <row r="3" spans="1:17" x14ac:dyDescent="0.25">
      <c r="A3" s="296"/>
      <c r="B3" s="296"/>
      <c r="C3" s="296"/>
      <c r="D3" s="296"/>
      <c r="E3" s="296"/>
      <c r="F3" s="296"/>
      <c r="G3" s="296"/>
      <c r="H3" s="296"/>
      <c r="I3" s="296"/>
      <c r="J3" s="296"/>
      <c r="K3" s="296"/>
      <c r="L3" s="296"/>
      <c r="M3" s="296"/>
      <c r="N3" s="296"/>
    </row>
    <row r="4" spans="1:17" x14ac:dyDescent="0.25">
      <c r="A4" s="131" t="str" cm="1">
        <f t="array" ref="A4:B15">oz.Timelineλ()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https://github.com/ryanduguid/Ozzit</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(oz is assumed to be the module's name)</v>
      </c>
    </row>
    <row r="14" spans="1:17" x14ac:dyDescent="0.25">
      <c r="A14" t="str">
        <v>12 mo, starts</v>
      </c>
      <c r="B14" t="str">
        <v>=oz.Timelineλ(TODAY())</v>
      </c>
    </row>
    <row r="15" spans="1:17" x14ac:dyDescent="0.25">
      <c r="A15" t="str">
        <v>12 qtr, ends</v>
      </c>
      <c r="B15" t="str">
        <v>=oz.Timelineλ(TODAY(), , "Q", FALSE)</v>
      </c>
    </row>
    <row r="18" spans="1:16" x14ac:dyDescent="0.25">
      <c r="E18" s="2" t="s">
        <v>149</v>
      </c>
    </row>
    <row r="19" spans="1:16" x14ac:dyDescent="0.25">
      <c r="A19" s="115" t="s">
        <v>137</v>
      </c>
      <c r="B19" s="116" t="s">
        <v>138</v>
      </c>
      <c r="C19" s="115" t="s">
        <v>139</v>
      </c>
      <c r="E19" s="136" cm="1">
        <f t="array" ref="E19:P19">oz.Timelineλ(B20,B21,B22,B23)</f>
        <v>46204</v>
      </c>
      <c r="F19" s="1">
        <v>46235</v>
      </c>
      <c r="G19" s="1">
        <v>46266</v>
      </c>
      <c r="H19" s="1">
        <v>46296</v>
      </c>
      <c r="I19" s="1">
        <v>46327</v>
      </c>
      <c r="J19" s="1">
        <v>46357</v>
      </c>
      <c r="K19" s="1">
        <v>46388</v>
      </c>
      <c r="L19" s="1">
        <v>46419</v>
      </c>
      <c r="M19" s="1">
        <v>46447</v>
      </c>
      <c r="N19" s="1">
        <v>46478</v>
      </c>
      <c r="O19" s="1">
        <v>46508</v>
      </c>
      <c r="P19" s="1">
        <v>46539</v>
      </c>
    </row>
    <row r="20" spans="1:16" x14ac:dyDescent="0.25">
      <c r="A20" t="s">
        <v>140</v>
      </c>
      <c r="B20" s="119">
        <v>46204</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5C2D91"/>
    <pageSetUpPr fitToPage="1"/>
  </sheetPr>
  <dimension ref="A1:D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6.5" x14ac:dyDescent="0.7">
      <c r="A1" s="287" t="str">
        <f ca="1">_xlfn.TEXTAFTER(CELL("filename",A1),"]")</f>
        <v>oz.Amortiseλ</v>
      </c>
      <c r="B1" s="287"/>
      <c r="C1" s="287"/>
      <c r="D1" s="287"/>
      <c r="E1" s="287"/>
      <c r="F1" s="287"/>
      <c r="G1" s="287"/>
      <c r="H1" s="287"/>
      <c r="I1" s="287"/>
      <c r="J1" s="287"/>
      <c r="K1" s="287"/>
      <c r="L1" s="287"/>
      <c r="M1" s="287"/>
      <c r="N1" s="287"/>
      <c r="O1" s="287"/>
      <c r="P1" s="287"/>
    </row>
    <row r="2" spans="1:17" x14ac:dyDescent="0.25">
      <c r="A2" s="288" t="s">
        <v>206</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313"/>
      <c r="L3" s="313"/>
      <c r="M3" s="313"/>
      <c r="N3" s="313"/>
      <c r="O3" s="313"/>
      <c r="P3" s="313"/>
    </row>
    <row r="4" spans="1:17" x14ac:dyDescent="0.25">
      <c r="A4" s="131" t="str" cm="1">
        <f t="array" ref="A4:B19">oz.Amortiseλ()</f>
        <v>FUNCTION:</v>
      </c>
      <c r="B4" t="str">
        <v>Amortiseλ( Principals, APRs, Terms, StartDates, [Timeline])</v>
      </c>
      <c r="K4" s="313"/>
      <c r="L4" s="313"/>
      <c r="M4" s="313"/>
      <c r="N4" s="313"/>
      <c r="O4" s="313"/>
      <c r="P4" s="313"/>
    </row>
    <row r="5" spans="1:17" x14ac:dyDescent="0.25">
      <c r="A5" t="str">
        <v>DESCRIPTION:</v>
      </c>
      <c r="B5" t="str">
        <v>Creates an amortisation schedule array for one or more loans.</v>
      </c>
      <c r="K5" s="313"/>
      <c r="L5" s="313"/>
      <c r="M5" s="313"/>
      <c r="N5" s="313"/>
      <c r="O5" s="313"/>
      <c r="P5" s="313"/>
    </row>
    <row r="6" spans="1:17" x14ac:dyDescent="0.25">
      <c r="A6" t="str">
        <v/>
      </c>
      <c r="B6" t="str">
        <v>Payments are assumed monthly. On periods shorter than a month the figures for each month land in the period holding its start, the rest nil.</v>
      </c>
      <c r="K6" s="313"/>
      <c r="L6" s="313"/>
      <c r="M6" s="313"/>
      <c r="N6" s="313"/>
      <c r="O6" s="313"/>
      <c r="P6" s="313"/>
    </row>
    <row r="7" spans="1:17" x14ac:dyDescent="0.25">
      <c r="A7" t="str">
        <v/>
      </c>
      <c r="B7" t="str">
        <v>Use LabelAmortiseλ() to apply labels to this function's results:</v>
      </c>
      <c r="K7" s="313"/>
      <c r="L7" s="313"/>
      <c r="M7" s="313"/>
      <c r="N7" s="313"/>
      <c r="O7" s="313"/>
      <c r="P7" s="313"/>
    </row>
    <row r="8" spans="1:17" x14ac:dyDescent="0.25">
      <c r="A8" t="str">
        <v/>
      </c>
      <c r="B8" t="str">
        <v>Use SumAmortiseλ() to apply totals to this function's results:</v>
      </c>
      <c r="K8" s="313"/>
      <c r="L8" s="313"/>
      <c r="M8" s="313"/>
      <c r="N8" s="313"/>
      <c r="O8" s="313"/>
      <c r="P8" s="313"/>
    </row>
    <row r="9" spans="1:17" x14ac:dyDescent="0.25">
      <c r="A9" t="str">
        <v>WEBPAGE:</v>
      </c>
      <c r="B9" t="str">
        <v>https://github.com/ryanduguid/Ozzit</v>
      </c>
      <c r="K9" s="313"/>
      <c r="L9" s="313"/>
      <c r="M9" s="313"/>
      <c r="N9" s="313"/>
      <c r="O9" s="313"/>
      <c r="P9" s="313"/>
    </row>
    <row r="10" spans="1:17" x14ac:dyDescent="0.25">
      <c r="A10" t="str">
        <v>VERSION:</v>
      </c>
      <c r="B10" t="str">
        <v>20 Aug 2026</v>
      </c>
      <c r="K10" s="313"/>
      <c r="L10" s="313"/>
      <c r="M10" s="313"/>
      <c r="N10" s="313"/>
      <c r="O10" s="313"/>
      <c r="P10" s="313"/>
    </row>
    <row r="11" spans="1:17" x14ac:dyDescent="0.25">
      <c r="A11" t="str">
        <v>PARAMETERS:</v>
      </c>
      <c r="B11" t="str">
        <v/>
      </c>
      <c r="K11" s="313"/>
      <c r="L11" s="313"/>
      <c r="M11" s="313"/>
      <c r="N11" s="313"/>
      <c r="O11" s="313"/>
      <c r="P11" s="313"/>
    </row>
    <row r="12" spans="1:17" x14ac:dyDescent="0.25">
      <c r="A12" t="str">
        <v>Principals</v>
      </c>
      <c r="B12" t="str">
        <v>(Required) Loan/debt amounts.</v>
      </c>
      <c r="K12" s="313"/>
      <c r="L12" s="313"/>
      <c r="M12" s="313"/>
      <c r="N12" s="313"/>
      <c r="O12" s="313"/>
      <c r="P12" s="313"/>
    </row>
    <row r="13" spans="1:17" x14ac:dyDescent="0.25">
      <c r="A13" t="str">
        <v>APRs</v>
      </c>
      <c r="B13" t="str">
        <v>(Required) Annual Percentage Rates for interest.</v>
      </c>
      <c r="K13" s="313"/>
      <c r="L13" s="313"/>
      <c r="M13" s="313"/>
      <c r="N13" s="313"/>
      <c r="O13" s="313"/>
      <c r="P13" s="313"/>
    </row>
    <row r="14" spans="1:17" x14ac:dyDescent="0.25">
      <c r="A14" t="str">
        <v>Terms</v>
      </c>
      <c r="B14" t="str">
        <v>(Required) Number of months for loans/debts.</v>
      </c>
      <c r="K14" s="313"/>
      <c r="L14" s="313"/>
      <c r="M14" s="313"/>
      <c r="N14" s="313"/>
      <c r="O14" s="313"/>
      <c r="P14" s="313"/>
    </row>
    <row r="15" spans="1:17" x14ac:dyDescent="0.25">
      <c r="A15" t="str">
        <v>StartDates</v>
      </c>
      <c r="B15" t="str">
        <v>(Required) Dates debts are issued.</v>
      </c>
      <c r="K15" s="313"/>
      <c r="L15" s="313"/>
      <c r="M15" s="313"/>
      <c r="N15" s="313"/>
      <c r="O15" s="313"/>
      <c r="P15" s="313"/>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(oz is assumed to be the module's name)</v>
      </c>
    </row>
    <row r="19" spans="1:127" x14ac:dyDescent="0.25">
      <c r="A19" t="str">
        <v/>
      </c>
      <c r="B19" t="str">
        <v>=oz.Amortiseλ(10000, 5%, 4 * 12, "2026-07-01")</v>
      </c>
    </row>
    <row r="21" spans="1:127" ht="21" x14ac:dyDescent="0.35">
      <c r="A21" s="302" t="s">
        <v>317</v>
      </c>
      <c r="B21" s="306"/>
      <c r="C21" s="306"/>
      <c r="D21" s="306"/>
      <c r="E21" s="306"/>
    </row>
    <row r="22" spans="1:127" x14ac:dyDescent="0.25">
      <c r="A22" s="304"/>
      <c r="B22" s="303"/>
      <c r="C22" s="303"/>
      <c r="D22" s="303"/>
      <c r="E22" s="303"/>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51216</v>
      </c>
      <c r="C24" s="179">
        <v>7.0000000000000007E-2</v>
      </c>
      <c r="D24" s="180">
        <v>10</v>
      </c>
      <c r="E24" s="181">
        <v>46266</v>
      </c>
      <c r="G24" s="182" t="str" cm="1">
        <f t="array" ref="G24:G43">oz.LabelAmortiseλ(tblLoans[Description])</f>
        <v>Renovation Debt Issuance</v>
      </c>
      <c r="H24" s="186" cm="1">
        <f t="array" ref="H24:H43">oz.SumAmortiseλ(_xlfn.ANCHORARRAY(I24))</f>
        <v>0</v>
      </c>
      <c r="I24" s="187"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46218</v>
      </c>
      <c r="C25" s="179">
        <v>6.5000000000000002E-2</v>
      </c>
      <c r="D25" s="180">
        <v>10</v>
      </c>
      <c r="E25" s="181">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pageSetup paperSize="9" scale="51" fitToHeight="0" orientation="landscape" horizontalDpi="0" verticalDpi="0"/>
  <customProperties>
    <customPr name="Description" r:id="rId2"/>
  </customProperties>
  <drawing r:id="rId3"/>
  <tableParts count="1">
    <tablePart r:id="rId4"/>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5C2D91"/>
    <pageSetUpPr fitToPage="1"/>
  </sheetPr>
  <dimension ref="A1: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6.5" x14ac:dyDescent="0.7">
      <c r="A1" s="287" t="str">
        <f ca="1">_xlfn.TEXTAFTER(CELL("filename",A1),"]")</f>
        <v>oz.LabelAmortiseλ</v>
      </c>
      <c r="B1" s="287"/>
      <c r="C1" s="287"/>
      <c r="D1" s="287"/>
      <c r="E1" s="287"/>
      <c r="F1" s="287"/>
      <c r="G1" s="287"/>
      <c r="H1" s="287"/>
      <c r="I1" s="287"/>
      <c r="J1" s="287"/>
      <c r="K1" s="287"/>
      <c r="L1" s="287"/>
      <c r="M1" s="287"/>
      <c r="N1" s="287"/>
      <c r="O1" s="287"/>
      <c r="P1" s="287"/>
    </row>
    <row r="2" spans="1:18" x14ac:dyDescent="0.25">
      <c r="A2" s="288" t="s">
        <v>215</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(oz is assumed to be the module's name)</v>
      </c>
    </row>
    <row r="15" spans="1:18" x14ac:dyDescent="0.25">
      <c r="A15" t="str">
        <v/>
      </c>
      <c r="B15" t="str">
        <v>=oz.LabelAmortiseλ(tblLoans[Loan Name])</v>
      </c>
    </row>
    <row r="21" spans="1:23" ht="21" x14ac:dyDescent="0.35">
      <c r="A21" s="311" t="s">
        <v>317</v>
      </c>
      <c r="B21" s="312"/>
      <c r="C21" s="312"/>
      <c r="D21" s="312"/>
      <c r="E21" s="31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213" t="str">
        <v>Renovation</v>
      </c>
      <c r="B24" s="214">
        <v>51216</v>
      </c>
      <c r="C24" s="215">
        <v>7.0000000000000007E-2</v>
      </c>
      <c r="D24" s="216">
        <v>10</v>
      </c>
      <c r="E24" s="217">
        <v>46266</v>
      </c>
      <c r="G24" s="229" t="str" cm="1">
        <f t="array" ref="G24:G43">oz.LabelAmortiseλ(tblLoans[Description])</f>
        <v>Renovation Debt Issuance</v>
      </c>
      <c r="H24" s="202" cm="1">
        <f t="array" ref="H24:H43">oz.SumAmortiseλ(_xlfn.ANCHORARRAY(I24))</f>
        <v>0</v>
      </c>
      <c r="I24" s="202"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46218</v>
      </c>
      <c r="C25" s="220">
        <v>6.5000000000000002E-2</v>
      </c>
      <c r="D25" s="221">
        <v>10</v>
      </c>
      <c r="E25" s="222">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pageSetup paperSize="9" scale="53" fitToHeight="0" orientation="landscape" horizontalDpi="0" verticalDpi="0"/>
  <customProperties>
    <customPr name="Description" r:id="rId2"/>
  </customProperties>
  <drawing r:id="rId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5C2D91"/>
    <pageSetUpPr fitToPage="1"/>
  </sheetPr>
  <dimension ref="A1:DX43"/>
  <sheetViews>
    <sheetView showGridLines="0" workbookViewId="0">
      <selection sqref="A1:P1"/>
    </sheetView>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6.5" x14ac:dyDescent="0.7">
      <c r="A1" s="287" t="str">
        <f ca="1">_xlfn.TEXTAFTER(CELL("filename",A1),"]")</f>
        <v>oz.SumAmortiseλ</v>
      </c>
      <c r="B1" s="287"/>
      <c r="C1" s="287"/>
      <c r="D1" s="287"/>
      <c r="E1" s="287"/>
      <c r="F1" s="287"/>
      <c r="G1" s="287"/>
      <c r="H1" s="287"/>
      <c r="I1" s="287"/>
      <c r="J1" s="287"/>
      <c r="K1" s="287"/>
      <c r="L1" s="287"/>
      <c r="M1" s="287"/>
      <c r="N1" s="287"/>
      <c r="O1" s="287"/>
      <c r="P1" s="287"/>
    </row>
    <row r="2" spans="1:17" x14ac:dyDescent="0.25">
      <c r="A2" s="288" t="s">
        <v>212</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oz.SumAmortiseλ()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(oz is assumed to be the module's name)</v>
      </c>
    </row>
    <row r="12" spans="1:17" x14ac:dyDescent="0.25">
      <c r="A12" t="str">
        <v/>
      </c>
      <c r="B12" t="str">
        <v>=oz.SumAmortiseλ(AmortisationSchedule)</v>
      </c>
    </row>
    <row r="21" spans="1:128" ht="21" x14ac:dyDescent="0.35">
      <c r="A21" s="305" t="s">
        <v>317</v>
      </c>
      <c r="B21" s="305"/>
      <c r="C21" s="305"/>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51216</v>
      </c>
      <c r="C24" s="179">
        <v>7.0000000000000007E-2</v>
      </c>
      <c r="D24" s="180">
        <v>10</v>
      </c>
      <c r="E24" s="181">
        <v>46266</v>
      </c>
      <c r="G24" s="182" t="str" cm="1">
        <f t="array" ref="G24:G43">oz.LabelAmortiseλ(tblLoans[Description])</f>
        <v>Renovation Debt Issuance</v>
      </c>
      <c r="H24" s="187" cm="1">
        <f t="array" ref="H24:H43">oz.SumAmortiseλ(_xlfn.ANCHORARRAY(I24))</f>
        <v>0</v>
      </c>
      <c r="I24" s="202"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46218</v>
      </c>
      <c r="C25" s="179">
        <v>6.5000000000000002E-2</v>
      </c>
      <c r="D25" s="180">
        <v>10</v>
      </c>
      <c r="E25" s="181">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pageSetup paperSize="9" scale="53" fitToHeight="0" orientation="landscape" horizontalDpi="0" verticalDpi="0"/>
  <customProperties>
    <customPr name="Description" r:id="rId2"/>
  </customProperties>
  <drawing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5C2D91"/>
    <pageSetUpPr fitToPage="1"/>
  </sheetPr>
  <dimension ref="A1:S32"/>
  <sheetViews>
    <sheetView showGridLines="0" workbookViewId="0">
      <selection sqref="A1:S1"/>
    </sheetView>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oz.Corkscrewλ</v>
      </c>
      <c r="B1" s="287"/>
      <c r="C1" s="287"/>
      <c r="D1" s="287"/>
      <c r="E1" s="287"/>
      <c r="F1" s="287"/>
      <c r="G1" s="287"/>
      <c r="H1" s="287"/>
      <c r="I1" s="287"/>
      <c r="J1" s="287"/>
      <c r="K1" s="287"/>
      <c r="L1" s="287"/>
      <c r="M1" s="287"/>
      <c r="N1" s="287"/>
      <c r="O1" s="287"/>
      <c r="P1" s="287"/>
      <c r="Q1" s="287"/>
      <c r="R1" s="287"/>
      <c r="S1" s="287"/>
    </row>
    <row r="2" spans="1:19" x14ac:dyDescent="0.25">
      <c r="A2" s="288" t="s">
        <v>207</v>
      </c>
      <c r="B2" s="289"/>
      <c r="C2" s="289"/>
      <c r="D2" s="289"/>
      <c r="E2" s="289"/>
      <c r="F2" s="289"/>
      <c r="G2" s="289"/>
      <c r="H2" s="289"/>
      <c r="I2" s="289"/>
      <c r="J2" s="289"/>
      <c r="K2" s="289"/>
      <c r="L2" s="289"/>
      <c r="M2" s="289"/>
      <c r="N2" s="289"/>
      <c r="O2" s="289"/>
      <c r="P2" s="290"/>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oz.Corkscrewλ()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oz is assumed to be the module's name</v>
      </c>
    </row>
    <row r="17" spans="1:18" x14ac:dyDescent="0.25">
      <c r="A17" t="str">
        <v>Formula:</v>
      </c>
      <c r="B17" t="str">
        <v>=oz.Corkscrewλ(0,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1" x14ac:dyDescent="0.35">
      <c r="A22" s="305" t="s">
        <v>272</v>
      </c>
      <c r="B22" s="305"/>
      <c r="C22" s="305"/>
    </row>
    <row r="23" spans="1:18" x14ac:dyDescent="0.25">
      <c r="F23" s="191" t="s">
        <v>279</v>
      </c>
      <c r="G23" s="165" cm="1">
        <f t="array" ref="G23:R23">oz.Timelineλ($B$25, $B$26, $B$27, FALSE)</f>
        <v>46234</v>
      </c>
      <c r="H23" s="165">
        <v>46265</v>
      </c>
      <c r="I23" s="165">
        <v>46295</v>
      </c>
      <c r="J23" s="165">
        <v>46326</v>
      </c>
      <c r="K23" s="165">
        <v>46356</v>
      </c>
      <c r="L23" s="165">
        <v>46387</v>
      </c>
      <c r="M23" s="165">
        <v>46418</v>
      </c>
      <c r="N23" s="165">
        <v>46446</v>
      </c>
      <c r="O23" s="165">
        <v>46477</v>
      </c>
      <c r="P23" s="165">
        <v>46507</v>
      </c>
      <c r="Q23" s="165">
        <v>46538</v>
      </c>
      <c r="R23" s="165">
        <v>46568</v>
      </c>
    </row>
    <row r="24" spans="1:18" x14ac:dyDescent="0.25">
      <c r="A24" s="161" t="s">
        <v>273</v>
      </c>
      <c r="B24" s="161" t="s">
        <v>138</v>
      </c>
      <c r="C24" s="161" t="s">
        <v>139</v>
      </c>
      <c r="F24" s="190" t="s">
        <v>276</v>
      </c>
      <c r="G24" s="1" cm="1">
        <f t="array" ref="G24:R24">oz.Timelineλ($B$25, $B$26, $B$27)</f>
        <v>46204</v>
      </c>
      <c r="H24" s="1">
        <v>46235</v>
      </c>
      <c r="I24" s="1">
        <v>46266</v>
      </c>
      <c r="J24" s="1">
        <v>46296</v>
      </c>
      <c r="K24" s="1">
        <v>46327</v>
      </c>
      <c r="L24" s="1">
        <v>46357</v>
      </c>
      <c r="M24" s="1">
        <v>46388</v>
      </c>
      <c r="N24" s="1">
        <v>46419</v>
      </c>
      <c r="O24" s="1">
        <v>46447</v>
      </c>
      <c r="P24" s="1">
        <v>46478</v>
      </c>
      <c r="Q24" s="1">
        <v>46508</v>
      </c>
      <c r="R24" s="1">
        <v>46539</v>
      </c>
    </row>
    <row r="25" spans="1:18" x14ac:dyDescent="0.25">
      <c r="A25" t="s">
        <v>236</v>
      </c>
      <c r="B25" s="141">
        <v>46204</v>
      </c>
      <c r="C25" t="s">
        <v>145</v>
      </c>
      <c r="E25" s="2" t="s">
        <v>275</v>
      </c>
      <c r="F25">
        <f>SUM(_xlfn.ANCHORARRAY(G25))</f>
        <v>62370</v>
      </c>
      <c r="G25" s="192" cm="1">
        <f t="array" ref="G25:R25">oz.ScheduleValuesλ(_xlfn.ANCHORARRAY(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141</v>
      </c>
      <c r="B26">
        <v>12</v>
      </c>
      <c r="C26" t="s">
        <v>146</v>
      </c>
      <c r="E26" s="2" t="s">
        <v>277</v>
      </c>
      <c r="F26">
        <f>SUM(_xlfn.ANCHORARRAY(G26))</f>
        <v>62370</v>
      </c>
      <c r="G26" s="192" cm="1">
        <f t="array" ref="G26:R26">oz.ScheduleValuesλ(_xlfn.ANCHORARRAY(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142</v>
      </c>
      <c r="B27" t="s">
        <v>144</v>
      </c>
      <c r="G27" cm="1">
        <f t="array" ref="G27:R27">oz.SumColsλ(_xlfn.ANCHORARRAY(G25)-_xlfn.ANCHORARRAY(G26))</f>
        <v>5182</v>
      </c>
      <c r="H27">
        <v>5546</v>
      </c>
      <c r="I27">
        <v>7107</v>
      </c>
      <c r="J27">
        <v>3743</v>
      </c>
      <c r="K27">
        <v>10062</v>
      </c>
      <c r="L27">
        <v>-19775</v>
      </c>
      <c r="M27">
        <v>-7713</v>
      </c>
      <c r="N27">
        <v>-4152</v>
      </c>
      <c r="O27">
        <v>0</v>
      </c>
      <c r="P27">
        <v>0</v>
      </c>
      <c r="Q27">
        <v>0</v>
      </c>
      <c r="R27">
        <v>0</v>
      </c>
    </row>
    <row r="29" spans="1:18" x14ac:dyDescent="0.25">
      <c r="E29" t="s">
        <v>293</v>
      </c>
      <c r="G29" s="162" cm="1">
        <f t="array" ref="G29:R32">oz.Corkscrewλ(0,_xlfn.ANCHORARRAY(G25),-_xlfn.ANCHORARRAY(G26))</f>
        <v>0</v>
      </c>
      <c r="H29">
        <v>5182</v>
      </c>
      <c r="I29">
        <v>10728</v>
      </c>
      <c r="J29">
        <v>17835</v>
      </c>
      <c r="K29">
        <v>21578</v>
      </c>
      <c r="L29">
        <v>31640</v>
      </c>
      <c r="M29">
        <v>11865</v>
      </c>
      <c r="N29">
        <v>4152</v>
      </c>
      <c r="O29">
        <v>0</v>
      </c>
      <c r="P29">
        <v>0</v>
      </c>
      <c r="Q29">
        <v>0</v>
      </c>
      <c r="R29">
        <v>0</v>
      </c>
    </row>
    <row r="30" spans="1:18" x14ac:dyDescent="0.25">
      <c r="E30" t="s">
        <v>275</v>
      </c>
      <c r="G30">
        <v>5182</v>
      </c>
      <c r="H30">
        <v>8334</v>
      </c>
      <c r="I30">
        <v>14850</v>
      </c>
      <c r="J30">
        <v>15426</v>
      </c>
      <c r="K30">
        <v>18578</v>
      </c>
      <c r="L30">
        <v>0</v>
      </c>
      <c r="M30">
        <v>0</v>
      </c>
      <c r="N30">
        <v>0</v>
      </c>
      <c r="O30">
        <v>0</v>
      </c>
      <c r="P30">
        <v>0</v>
      </c>
      <c r="Q30">
        <v>0</v>
      </c>
      <c r="R30">
        <v>0</v>
      </c>
    </row>
    <row r="31" spans="1:18" x14ac:dyDescent="0.25">
      <c r="E31" t="s">
        <v>277</v>
      </c>
      <c r="G31">
        <v>0</v>
      </c>
      <c r="H31">
        <v>-2788</v>
      </c>
      <c r="I31">
        <v>-7743</v>
      </c>
      <c r="J31">
        <v>-11683</v>
      </c>
      <c r="K31">
        <v>-8516</v>
      </c>
      <c r="L31">
        <v>-19775</v>
      </c>
      <c r="M31">
        <v>-7713</v>
      </c>
      <c r="N31">
        <v>-4152</v>
      </c>
      <c r="O31">
        <v>0</v>
      </c>
      <c r="P31">
        <v>0</v>
      </c>
      <c r="Q31">
        <v>0</v>
      </c>
      <c r="R31">
        <v>0</v>
      </c>
    </row>
    <row r="32" spans="1:18" x14ac:dyDescent="0.25">
      <c r="E32" t="s">
        <v>154</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pageSetup paperSize="9" scale="58" fitToHeight="0" orientation="landscape" horizontalDpi="0" verticalDpi="0"/>
  <customProperties>
    <customPr name="Description" r:id="rId2"/>
  </customProperties>
  <drawing r:id="rId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5C2D91"/>
    <pageSetUpPr fitToPage="1"/>
  </sheetPr>
  <dimension ref="A1:R22"/>
  <sheetViews>
    <sheetView showGridLines="0" workbookViewId="0">
      <selection sqref="A1:P1"/>
    </sheetView>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287" t="str">
        <f ca="1">_xlfn.TEXTAFTER(CELL("filename",A1),"]")</f>
        <v>oz.Cumulativeλ</v>
      </c>
      <c r="B1" s="287"/>
      <c r="C1" s="287"/>
      <c r="D1" s="287"/>
      <c r="E1" s="287"/>
      <c r="F1" s="287"/>
      <c r="G1" s="287"/>
      <c r="H1" s="287"/>
      <c r="I1" s="287"/>
      <c r="J1" s="287"/>
      <c r="K1" s="287"/>
      <c r="L1" s="287"/>
      <c r="M1" s="287"/>
      <c r="N1" s="287"/>
      <c r="O1" s="287"/>
      <c r="P1" s="287"/>
    </row>
    <row r="2" spans="1:16" x14ac:dyDescent="0.25">
      <c r="A2" s="288" t="s">
        <v>309</v>
      </c>
      <c r="B2" s="289"/>
      <c r="C2" s="289"/>
      <c r="D2" s="289"/>
      <c r="E2" s="289"/>
      <c r="F2" s="289"/>
      <c r="G2" s="289"/>
      <c r="H2" s="289"/>
      <c r="I2" s="289"/>
      <c r="J2" s="289"/>
      <c r="K2" s="289"/>
      <c r="L2" s="289"/>
      <c r="M2" s="289"/>
      <c r="N2" s="289"/>
      <c r="O2" s="289"/>
      <c r="P2" s="290"/>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oz.Cumulativeλ()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https://github.com/ryanduguid/Ozzit</v>
      </c>
    </row>
    <row r="7" spans="1:16" x14ac:dyDescent="0.25">
      <c r="A7" t="str">
        <v>VERSION:</v>
      </c>
      <c r="B7" t="str">
        <v>20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(oz is assumed to be the module's name)</v>
      </c>
    </row>
    <row r="13" spans="1:16" x14ac:dyDescent="0.25">
      <c r="A13" t="str">
        <v>1,3,6</v>
      </c>
      <c r="B13" t="str">
        <v>=oz.Cumulativeλ(Sequence(,3))</v>
      </c>
    </row>
    <row r="16" spans="1:16" ht="21" x14ac:dyDescent="0.35">
      <c r="A16" s="305" t="s">
        <v>272</v>
      </c>
      <c r="B16" s="305"/>
      <c r="C16" s="305"/>
    </row>
    <row r="17" spans="1:18" x14ac:dyDescent="0.25">
      <c r="F17" s="191" t="s">
        <v>279</v>
      </c>
      <c r="G17" s="165" cm="1">
        <f t="array" ref="G17:R17">oz.Timelineλ($B$19, $B$20, $B$21, FALSE)</f>
        <v>46234</v>
      </c>
      <c r="H17" s="165">
        <v>46265</v>
      </c>
      <c r="I17" s="165">
        <v>46295</v>
      </c>
      <c r="J17" s="165">
        <v>46326</v>
      </c>
      <c r="K17" s="165">
        <v>46356</v>
      </c>
      <c r="L17" s="165">
        <v>46387</v>
      </c>
      <c r="M17" s="165">
        <v>46418</v>
      </c>
      <c r="N17" s="165">
        <v>46446</v>
      </c>
      <c r="O17" s="165">
        <v>46477</v>
      </c>
      <c r="P17" s="165">
        <v>46507</v>
      </c>
      <c r="Q17" s="165">
        <v>46538</v>
      </c>
      <c r="R17" s="165">
        <v>46568</v>
      </c>
    </row>
    <row r="18" spans="1:18" x14ac:dyDescent="0.25">
      <c r="A18" s="161" t="s">
        <v>273</v>
      </c>
      <c r="B18" s="161" t="s">
        <v>138</v>
      </c>
      <c r="C18" s="161" t="s">
        <v>139</v>
      </c>
      <c r="F18" s="190" t="s">
        <v>276</v>
      </c>
      <c r="G18" s="1" cm="1">
        <f t="array" ref="G18:R18">oz.Timelineλ($B$19, $B$20, $B$21)</f>
        <v>46204</v>
      </c>
      <c r="H18" s="1">
        <v>46235</v>
      </c>
      <c r="I18" s="1">
        <v>46266</v>
      </c>
      <c r="J18" s="1">
        <v>46296</v>
      </c>
      <c r="K18" s="1">
        <v>46327</v>
      </c>
      <c r="L18" s="1">
        <v>46357</v>
      </c>
      <c r="M18" s="1">
        <v>46388</v>
      </c>
      <c r="N18" s="1">
        <v>46419</v>
      </c>
      <c r="O18" s="1">
        <v>46447</v>
      </c>
      <c r="P18" s="1">
        <v>46478</v>
      </c>
      <c r="Q18" s="1">
        <v>46508</v>
      </c>
      <c r="R18" s="1">
        <v>46539</v>
      </c>
    </row>
    <row r="19" spans="1:18" x14ac:dyDescent="0.25">
      <c r="A19" t="s">
        <v>236</v>
      </c>
      <c r="B19" s="141">
        <v>46204</v>
      </c>
      <c r="C19" t="s">
        <v>145</v>
      </c>
      <c r="E19" s="2" t="s">
        <v>275</v>
      </c>
      <c r="F19">
        <f>SUM(_xlfn.ANCHORARRAY(G19))</f>
        <v>62370</v>
      </c>
      <c r="G19" s="192" cm="1">
        <f t="array" ref="G19:R19">oz.ScheduleValuesλ(_xlfn.ANCHORARRAY(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141</v>
      </c>
      <c r="B20">
        <v>12</v>
      </c>
      <c r="C20" t="s">
        <v>146</v>
      </c>
      <c r="E20" s="2" t="s">
        <v>277</v>
      </c>
      <c r="F20">
        <f>SUM(_xlfn.ANCHORARRAY(G20))</f>
        <v>62370</v>
      </c>
      <c r="G20" s="192" cm="1">
        <f t="array" ref="G20:R20">oz.ScheduleValuesλ(_xlfn.ANCHORARRAY(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142</v>
      </c>
      <c r="B21" t="s">
        <v>144</v>
      </c>
      <c r="E21" s="2" t="s">
        <v>60</v>
      </c>
      <c r="G21" s="167" cm="1">
        <f t="array" ref="G21:R21">_xlfn.ANCHORARRAY(G19)-_xlfn.ANCHORARRAY(G20)</f>
        <v>5182</v>
      </c>
      <c r="H21" s="167">
        <v>5546</v>
      </c>
      <c r="I21" s="167">
        <v>7107</v>
      </c>
      <c r="J21" s="167">
        <v>3743</v>
      </c>
      <c r="K21" s="167">
        <v>10062</v>
      </c>
      <c r="L21" s="167">
        <v>-19775</v>
      </c>
      <c r="M21" s="167">
        <v>-7713</v>
      </c>
      <c r="N21" s="167">
        <v>-4152</v>
      </c>
      <c r="O21" s="167">
        <v>0</v>
      </c>
      <c r="P21" s="167">
        <v>0</v>
      </c>
      <c r="Q21" s="167">
        <v>0</v>
      </c>
      <c r="R21" s="167">
        <v>0</v>
      </c>
    </row>
    <row r="22" spans="1:18" x14ac:dyDescent="0.25">
      <c r="E22" s="2" t="s">
        <v>294</v>
      </c>
      <c r="G22" s="162" cm="1">
        <f t="array" ref="G22:R22">oz.Cumulativeλ(_xlfn.ANCHORARRAY(G21))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pageSetup paperSize="9" scale="59" fitToHeight="0" orientation="landscape" horizontalDpi="0" verticalDpi="0"/>
  <customProperties>
    <customPr name="Description" r:id="rId2"/>
  </customProperties>
  <drawing r:id="rId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5C2D91"/>
    <pageSetUpPr fitToPage="1"/>
  </sheetPr>
  <dimension ref="A1:EA65"/>
  <sheetViews>
    <sheetView showGridLines="0" workbookViewId="0">
      <selection sqref="A1:Q1"/>
    </sheetView>
  </sheetViews>
  <sheetFormatPr defaultColWidth="11" defaultRowHeight="15" x14ac:dyDescent="0.25"/>
  <cols>
    <col min="1" max="1" width="13.125" bestFit="1" customWidth="1"/>
    <col min="10" max="10" width="22.125" bestFit="1" customWidth="1"/>
    <col min="11" max="11" width="15.625" bestFit="1" customWidth="1"/>
  </cols>
  <sheetData>
    <row r="1" spans="1:18" ht="46.5" x14ac:dyDescent="0.7">
      <c r="A1" s="287" t="str">
        <f ca="1">_xlfn.TEXTAFTER(CELL("filename",A1),"]")</f>
        <v>oz.Depreciateλ</v>
      </c>
      <c r="B1" s="287"/>
      <c r="C1" s="287"/>
      <c r="D1" s="287"/>
      <c r="E1" s="287"/>
      <c r="F1" s="287"/>
      <c r="G1" s="287"/>
      <c r="H1" s="287"/>
      <c r="I1" s="287"/>
      <c r="J1" s="287"/>
      <c r="K1" s="287"/>
      <c r="L1" s="287"/>
      <c r="M1" s="287"/>
      <c r="N1" s="287"/>
      <c r="O1" s="287"/>
      <c r="P1" s="287"/>
      <c r="Q1" s="287"/>
    </row>
    <row r="2" spans="1:18" x14ac:dyDescent="0.25">
      <c r="A2" s="288" t="s">
        <v>208</v>
      </c>
      <c r="B2" s="316"/>
      <c r="C2" s="316"/>
      <c r="D2" s="316"/>
      <c r="E2" s="316"/>
      <c r="F2" s="316"/>
      <c r="G2" s="316"/>
      <c r="H2" s="316"/>
      <c r="I2" s="316"/>
      <c r="J2" s="316"/>
      <c r="K2" s="316"/>
      <c r="L2" s="316"/>
      <c r="M2" s="316"/>
      <c r="N2" s="316"/>
      <c r="O2" s="316"/>
      <c r="P2" s="316"/>
      <c r="Q2" s="317"/>
    </row>
    <row r="3" spans="1:18" x14ac:dyDescent="0.25">
      <c r="A3" s="104"/>
      <c r="B3" s="104"/>
      <c r="C3" s="104"/>
      <c r="D3" s="104"/>
      <c r="E3" s="104"/>
      <c r="F3" s="104"/>
      <c r="G3" s="104"/>
      <c r="H3" s="104"/>
      <c r="I3" s="104"/>
      <c r="J3" s="104"/>
      <c r="K3" s="319"/>
      <c r="L3" s="319"/>
      <c r="M3" s="319"/>
      <c r="N3" s="319"/>
      <c r="O3" s="319"/>
      <c r="P3" s="319"/>
      <c r="Q3" s="319"/>
      <c r="R3" s="319"/>
    </row>
    <row r="4" spans="1:18" x14ac:dyDescent="0.25">
      <c r="A4" s="162" t="str" cm="1">
        <f t="array" ref="A4:B29">oz.Depreciateλ()</f>
        <v>FUNCTION:</v>
      </c>
      <c r="B4" t="str">
        <v>Depreciateλ(InitialValues, InServiceDates, LifeInYears, Timeline,</v>
      </c>
      <c r="K4" s="319"/>
      <c r="L4" s="319"/>
      <c r="M4" s="319"/>
      <c r="N4" s="319"/>
      <c r="O4" s="319"/>
      <c r="P4" s="319"/>
      <c r="Q4" s="319"/>
      <c r="R4" s="319"/>
    </row>
    <row r="5" spans="1:18" x14ac:dyDescent="0.25">
      <c r="A5" t="str">
        <v/>
      </c>
      <c r="B5" t="str">
        <v>[SalvageValues], [DisposalDates], [DisposalCosts], [Methods], [Factors])</v>
      </c>
      <c r="K5" s="319"/>
      <c r="L5" s="319"/>
      <c r="M5" s="319"/>
      <c r="N5" s="319"/>
      <c r="O5" s="319"/>
      <c r="P5" s="319"/>
      <c r="Q5" s="319"/>
      <c r="R5" s="319"/>
    </row>
    <row r="6" spans="1:18" x14ac:dyDescent="0.25">
      <c r="A6" t="str">
        <v>DESCRIPTION:</v>
      </c>
      <c r="B6" t="str">
        <v>Creates an array of CAPEX, depreciation, and book values for a model's timeline</v>
      </c>
      <c r="K6" s="319"/>
      <c r="L6" s="319"/>
      <c r="M6" s="319"/>
      <c r="N6" s="319"/>
      <c r="O6" s="319"/>
      <c r="P6" s="319"/>
      <c r="Q6" s="319"/>
      <c r="R6" s="319"/>
    </row>
    <row r="7" spans="1:18" x14ac:dyDescent="0.25">
      <c r="A7" t="str">
        <v>WEBPAGE:</v>
      </c>
      <c r="B7" t="str">
        <v>https://github.com/ryanduguid/Ozzit</v>
      </c>
      <c r="K7" s="319"/>
      <c r="L7" s="319"/>
      <c r="M7" s="319"/>
      <c r="N7" s="319"/>
      <c r="O7" s="319"/>
      <c r="P7" s="319"/>
      <c r="Q7" s="319"/>
      <c r="R7" s="319"/>
    </row>
    <row r="8" spans="1:18" x14ac:dyDescent="0.25">
      <c r="A8" t="str">
        <v>VERSION:</v>
      </c>
      <c r="B8" t="str">
        <v>20 Aug 2026</v>
      </c>
      <c r="K8" s="319"/>
      <c r="L8" s="319"/>
      <c r="M8" s="319"/>
      <c r="N8" s="319"/>
      <c r="O8" s="319"/>
      <c r="P8" s="319"/>
      <c r="Q8" s="319"/>
      <c r="R8" s="319"/>
    </row>
    <row r="9" spans="1:18" x14ac:dyDescent="0.25">
      <c r="A9" t="str">
        <v>NOTES:</v>
      </c>
      <c r="B9" t="str">
        <v>The methods used here differs from Excel's functions in several ways. Please see webpage for details.</v>
      </c>
      <c r="K9" s="319"/>
      <c r="L9" s="319"/>
      <c r="M9" s="319"/>
      <c r="N9" s="319"/>
      <c r="O9" s="319"/>
      <c r="P9" s="319"/>
      <c r="Q9" s="319"/>
      <c r="R9" s="319"/>
    </row>
    <row r="10" spans="1:18" x14ac:dyDescent="0.25">
      <c r="A10" t="str">
        <v>PARAMETERS:</v>
      </c>
      <c r="B10" t="str">
        <v/>
      </c>
      <c r="K10" s="319"/>
      <c r="L10" s="319"/>
      <c r="M10" s="319"/>
      <c r="N10" s="319"/>
      <c r="O10" s="319"/>
      <c r="P10" s="319"/>
      <c r="Q10" s="319"/>
      <c r="R10" s="319"/>
    </row>
    <row r="11" spans="1:18" x14ac:dyDescent="0.25">
      <c r="A11" t="str">
        <v>InitialValues</v>
      </c>
      <c r="B11" t="str">
        <v>(Required) The purchase values of each asset to depreciate</v>
      </c>
      <c r="K11" s="319"/>
      <c r="L11" s="319"/>
      <c r="M11" s="319"/>
      <c r="N11" s="319"/>
      <c r="O11" s="319"/>
      <c r="P11" s="319"/>
      <c r="Q11" s="319"/>
      <c r="R11" s="319"/>
    </row>
    <row r="12" spans="1:18" x14ac:dyDescent="0.25">
      <c r="A12" t="str">
        <v>InServiceDates</v>
      </c>
      <c r="B12" t="str">
        <v>(Required) The dates from which to start depreciating each asset</v>
      </c>
      <c r="K12" s="319"/>
      <c r="L12" s="319"/>
      <c r="M12" s="319"/>
      <c r="N12" s="319"/>
      <c r="O12" s="319"/>
      <c r="P12" s="319"/>
      <c r="Q12" s="319"/>
      <c r="R12" s="319"/>
    </row>
    <row r="13" spans="1:18" x14ac:dyDescent="0.25">
      <c r="A13" t="str">
        <v>LifeInYears</v>
      </c>
      <c r="B13" t="str">
        <v>(Required) The number of years with which to depreciate each asset.</v>
      </c>
      <c r="K13" s="319"/>
      <c r="L13" s="319"/>
      <c r="M13" s="319"/>
      <c r="N13" s="319"/>
      <c r="O13" s="319"/>
      <c r="P13" s="319"/>
      <c r="Q13" s="319"/>
      <c r="R13" s="319"/>
    </row>
    <row r="14" spans="1:18" x14ac:dyDescent="0.25">
      <c r="A14" t="str">
        <v/>
      </c>
      <c r="B14" t="str">
        <v>More than 0 and no more than 100. A date here is not a life:</v>
      </c>
      <c r="K14" s="319"/>
      <c r="L14" s="319"/>
      <c r="M14" s="319"/>
      <c r="N14" s="319"/>
      <c r="O14" s="319"/>
      <c r="P14" s="319"/>
      <c r="Q14" s="319"/>
      <c r="R14" s="319"/>
    </row>
    <row r="15" spans="1:18" x14ac:dyDescent="0.25">
      <c r="A15" t="str">
        <v/>
      </c>
      <c r="B15" t="str">
        <v>the arguments read InitialValues, InServiceDates, LifeInYears, Timeline.</v>
      </c>
      <c r="K15" s="319"/>
      <c r="L15" s="319"/>
      <c r="M15" s="319"/>
      <c r="N15" s="319"/>
      <c r="O15" s="319"/>
      <c r="P15" s="319"/>
      <c r="Q15" s="319"/>
      <c r="R15" s="319"/>
    </row>
    <row r="16" spans="1:18" x14ac:dyDescent="0.25">
      <c r="A16" t="str">
        <v>Timeline</v>
      </c>
      <c r="B16" t="str">
        <v>(Required) The model's timeline or a row of period start dates.</v>
      </c>
      <c r="K16" s="319"/>
      <c r="L16" s="319"/>
      <c r="M16" s="319"/>
      <c r="N16" s="319"/>
      <c r="O16" s="319"/>
      <c r="P16" s="319"/>
      <c r="Q16" s="319"/>
      <c r="R16" s="319"/>
    </row>
    <row r="17" spans="1:18" x14ac:dyDescent="0.25">
      <c r="A17" t="str">
        <v/>
      </c>
      <c r="B17" t="str">
        <v>Timeline can be any interval: days, weeks, months, quarters or years</v>
      </c>
      <c r="K17" s="319"/>
      <c r="L17" s="319"/>
      <c r="M17" s="319"/>
      <c r="N17" s="319"/>
      <c r="O17" s="319"/>
      <c r="P17" s="319"/>
      <c r="Q17" s="319"/>
      <c r="R17" s="319"/>
    </row>
    <row r="18" spans="1:18" x14ac:dyDescent="0.25">
      <c r="A18" t="str">
        <v>SalvageValues</v>
      </c>
      <c r="B18" t="str">
        <v>(Optional: Default = 0) The book values of each asset after fully depreciated.</v>
      </c>
      <c r="K18" s="319"/>
      <c r="L18" s="319"/>
      <c r="M18" s="319"/>
      <c r="N18" s="319"/>
      <c r="O18" s="319"/>
      <c r="P18" s="319"/>
      <c r="Q18" s="319"/>
      <c r="R18" s="319"/>
    </row>
    <row r="19" spans="1:18" x14ac:dyDescent="0.25">
      <c r="A19" t="str">
        <v>DisposalDates</v>
      </c>
      <c r="B19" t="str">
        <v>(Optional: Default = End of life) The dates on which the assets are removed from the books.</v>
      </c>
      <c r="K19" s="319"/>
      <c r="L19" s="319"/>
      <c r="M19" s="319"/>
      <c r="N19" s="319"/>
      <c r="O19" s="319"/>
      <c r="P19" s="319"/>
      <c r="Q19" s="319"/>
      <c r="R19" s="319"/>
    </row>
    <row r="20" spans="1:18" x14ac:dyDescent="0.25">
      <c r="A20" t="str">
        <v>DisposalCosts</v>
      </c>
      <c r="B20" t="str">
        <v>(Optional: Default = 0) The book values of each asset after fully depreciated.</v>
      </c>
      <c r="K20" s="319"/>
      <c r="L20" s="319"/>
      <c r="M20" s="319"/>
      <c r="N20" s="319"/>
      <c r="O20" s="319"/>
      <c r="P20" s="319"/>
      <c r="Q20" s="319"/>
      <c r="R20" s="319"/>
    </row>
    <row r="21" spans="1:18" x14ac:dyDescent="0.25">
      <c r="A21" t="str">
        <v>Methods</v>
      </c>
      <c r="B21" t="str">
        <v>(Optional: Default = SLN) The desired depreciation method. Must be one of these method codes:</v>
      </c>
      <c r="K21" s="319"/>
      <c r="L21" s="319"/>
      <c r="M21" s="319"/>
      <c r="N21" s="319"/>
      <c r="O21" s="319"/>
      <c r="P21" s="319"/>
      <c r="Q21" s="319"/>
      <c r="R21" s="319"/>
    </row>
    <row r="22" spans="1:18" x14ac:dyDescent="0.25">
      <c r="A22" t="str">
        <v/>
      </c>
      <c r="B22" t="str">
        <v>SLN=Straight Line Depreciation</v>
      </c>
      <c r="K22" s="319"/>
      <c r="L22" s="319"/>
      <c r="M22" s="319"/>
      <c r="N22" s="319"/>
      <c r="O22" s="319"/>
      <c r="P22" s="319"/>
      <c r="Q22" s="319"/>
      <c r="R22" s="319"/>
    </row>
    <row r="23" spans="1:18" x14ac:dyDescent="0.25">
      <c r="A23" t="str">
        <v/>
      </c>
      <c r="B23" t="str">
        <v>SYD=Sum of Year's Digits</v>
      </c>
      <c r="K23" s="320" t="s">
        <v>335</v>
      </c>
      <c r="L23" s="320"/>
      <c r="M23" s="320"/>
      <c r="N23" s="320"/>
      <c r="O23" s="320"/>
      <c r="P23" s="320"/>
      <c r="Q23" s="320"/>
      <c r="R23" s="320"/>
    </row>
    <row r="24" spans="1:18" x14ac:dyDescent="0.25">
      <c r="A24" t="str">
        <v/>
      </c>
      <c r="B24" t="str">
        <v>DB =Declining Balance</v>
      </c>
    </row>
    <row r="25" spans="1:18" x14ac:dyDescent="0.25">
      <c r="A25" t="str">
        <v/>
      </c>
      <c r="B25" t="str">
        <v>DDB=Double Declining Balance</v>
      </c>
    </row>
    <row r="26" spans="1:18" x14ac:dyDescent="0.25">
      <c r="A26" t="str">
        <v/>
      </c>
      <c r="B26" t="str">
        <v>VDB=Variable Declining Balance</v>
      </c>
    </row>
    <row r="27" spans="1:18" x14ac:dyDescent="0.25">
      <c r="A27" t="str">
        <v/>
      </c>
      <c r="B27" t="str">
        <v>DV =Diminishing balance at 200% of straight line. Salvage value ignored</v>
      </c>
    </row>
    <row r="28" spans="1:18" x14ac:dyDescent="0.25">
      <c r="A28" t="str">
        <v/>
      </c>
      <c r="B28" t="str">
        <v>PC =Straight line, whole years. Salvage value ignored</v>
      </c>
    </row>
    <row r="29" spans="1:18" x14ac:dyDescent="0.25">
      <c r="A29" t="str">
        <v>Factors</v>
      </c>
      <c r="B29" t="str">
        <v>(Optional: Default = 2) Only applicable to DDB and VDB methods.</v>
      </c>
    </row>
    <row r="35" spans="1:131" ht="21" x14ac:dyDescent="0.35">
      <c r="A35" s="305" t="s">
        <v>272</v>
      </c>
      <c r="B35" s="305"/>
      <c r="C35" s="305"/>
      <c r="J35" s="2" t="s">
        <v>289</v>
      </c>
    </row>
    <row r="37" spans="1:131" x14ac:dyDescent="0.25">
      <c r="A37" s="161" t="s">
        <v>273</v>
      </c>
      <c r="B37" s="161" t="s">
        <v>138</v>
      </c>
      <c r="C37" s="161" t="s">
        <v>139</v>
      </c>
      <c r="J37" s="190" t="s">
        <v>131</v>
      </c>
      <c r="K37" s="190" t="s">
        <v>276</v>
      </c>
      <c r="L37" s="1" cm="1">
        <f t="array" ref="L37:EA37">oz.Timelineλ($B$38, $B$39, $B$40)</f>
        <v>46204</v>
      </c>
      <c r="M37" s="1">
        <v>46569</v>
      </c>
      <c r="N37" s="1">
        <v>46935</v>
      </c>
      <c r="O37" s="1">
        <v>47300</v>
      </c>
      <c r="P37" s="1">
        <v>47665</v>
      </c>
      <c r="Q37" s="1">
        <v>48030</v>
      </c>
      <c r="R37" s="1">
        <v>48396</v>
      </c>
      <c r="S37" s="1">
        <v>48761</v>
      </c>
      <c r="T37" s="1">
        <v>49126</v>
      </c>
      <c r="U37" s="1">
        <v>49491</v>
      </c>
      <c r="V37" s="1">
        <v>49857</v>
      </c>
      <c r="W37" s="1">
        <v>50222</v>
      </c>
      <c r="X37" s="1">
        <v>50587</v>
      </c>
      <c r="Y37" s="1">
        <v>50952</v>
      </c>
      <c r="Z37" s="1">
        <v>51318</v>
      </c>
      <c r="AA37" s="1">
        <v>51683</v>
      </c>
      <c r="AB37" s="1">
        <v>52048</v>
      </c>
      <c r="AC37" s="1">
        <v>52413</v>
      </c>
      <c r="AD37" s="1">
        <v>52779</v>
      </c>
      <c r="AE37" s="1">
        <v>53144</v>
      </c>
      <c r="AF37" s="1">
        <v>53509</v>
      </c>
      <c r="AG37" s="1">
        <v>53874</v>
      </c>
      <c r="AH37" s="1">
        <v>54240</v>
      </c>
      <c r="AI37" s="1">
        <v>54605</v>
      </c>
      <c r="AJ37" s="1">
        <v>54970</v>
      </c>
      <c r="AK37" s="1">
        <v>55335</v>
      </c>
      <c r="AL37" s="1">
        <v>55701</v>
      </c>
      <c r="AM37" s="1">
        <v>56066</v>
      </c>
      <c r="AN37" s="1">
        <v>56431</v>
      </c>
      <c r="AO37" s="1">
        <v>56796</v>
      </c>
      <c r="AP37" s="1">
        <v>57162</v>
      </c>
      <c r="AQ37" s="1">
        <v>57527</v>
      </c>
      <c r="AR37" s="1">
        <v>57892</v>
      </c>
      <c r="AS37" s="1">
        <v>58257</v>
      </c>
      <c r="AT37" s="1">
        <v>58623</v>
      </c>
      <c r="AU37" s="1">
        <v>58988</v>
      </c>
      <c r="AV37" s="1">
        <v>59353</v>
      </c>
      <c r="AW37" s="1">
        <v>59718</v>
      </c>
      <c r="AX37" s="1">
        <v>60084</v>
      </c>
      <c r="AY37" s="1">
        <v>60449</v>
      </c>
      <c r="AZ37" s="1">
        <v>60814</v>
      </c>
      <c r="BA37" s="1">
        <v>61179</v>
      </c>
      <c r="BB37" s="1">
        <v>61545</v>
      </c>
      <c r="BC37" s="1">
        <v>61910</v>
      </c>
      <c r="BD37" s="1">
        <v>62275</v>
      </c>
      <c r="BE37" s="1">
        <v>62640</v>
      </c>
      <c r="BF37" s="1">
        <v>63006</v>
      </c>
      <c r="BG37" s="1">
        <v>63371</v>
      </c>
      <c r="BH37" s="1">
        <v>63736</v>
      </c>
      <c r="BI37" s="1">
        <v>64101</v>
      </c>
      <c r="BJ37" s="1">
        <v>64467</v>
      </c>
      <c r="BK37" s="1">
        <v>64832</v>
      </c>
      <c r="BL37" s="1">
        <v>65197</v>
      </c>
      <c r="BM37" s="1">
        <v>65562</v>
      </c>
      <c r="BN37" s="1">
        <v>65928</v>
      </c>
      <c r="BO37" s="1">
        <v>66293</v>
      </c>
      <c r="BP37" s="1">
        <v>66658</v>
      </c>
      <c r="BQ37" s="1">
        <v>67023</v>
      </c>
      <c r="BR37" s="1">
        <v>67389</v>
      </c>
      <c r="BS37" s="1">
        <v>67754</v>
      </c>
      <c r="BT37" s="1">
        <v>68119</v>
      </c>
      <c r="BU37" s="1">
        <v>68484</v>
      </c>
      <c r="BV37" s="1">
        <v>68850</v>
      </c>
      <c r="BW37" s="1">
        <v>69215</v>
      </c>
      <c r="BX37" s="1">
        <v>69580</v>
      </c>
      <c r="BY37" s="1">
        <v>69945</v>
      </c>
      <c r="BZ37" s="1">
        <v>70311</v>
      </c>
      <c r="CA37" s="1">
        <v>70676</v>
      </c>
      <c r="CB37" s="1">
        <v>71041</v>
      </c>
      <c r="CC37" s="1">
        <v>71406</v>
      </c>
      <c r="CD37" s="1">
        <v>71772</v>
      </c>
      <c r="CE37" s="1">
        <v>72137</v>
      </c>
      <c r="CF37" s="1">
        <v>72502</v>
      </c>
      <c r="CG37" s="1">
        <v>72867</v>
      </c>
      <c r="CH37" s="1">
        <v>73232</v>
      </c>
      <c r="CI37" s="1">
        <v>73597</v>
      </c>
      <c r="CJ37" s="1">
        <v>73962</v>
      </c>
      <c r="CK37" s="1">
        <v>74327</v>
      </c>
      <c r="CL37" s="1">
        <v>74693</v>
      </c>
      <c r="CM37" s="1">
        <v>75058</v>
      </c>
      <c r="CN37" s="1">
        <v>75423</v>
      </c>
      <c r="CO37" s="1">
        <v>75788</v>
      </c>
      <c r="CP37" s="1">
        <v>76154</v>
      </c>
      <c r="CQ37" s="1">
        <v>76519</v>
      </c>
      <c r="CR37" s="1">
        <v>76884</v>
      </c>
      <c r="CS37" s="1">
        <v>77249</v>
      </c>
      <c r="CT37" s="1">
        <v>77615</v>
      </c>
      <c r="CU37" s="1">
        <v>77980</v>
      </c>
      <c r="CV37" s="1">
        <v>78345</v>
      </c>
      <c r="CW37" s="1">
        <v>78710</v>
      </c>
      <c r="CX37" s="1">
        <v>79076</v>
      </c>
      <c r="CY37" s="1">
        <v>79441</v>
      </c>
      <c r="CZ37" s="1">
        <v>79806</v>
      </c>
      <c r="DA37" s="1">
        <v>80171</v>
      </c>
      <c r="DB37" s="1">
        <v>80537</v>
      </c>
      <c r="DC37" s="1">
        <v>80902</v>
      </c>
      <c r="DD37" s="1">
        <v>81267</v>
      </c>
      <c r="DE37" s="1">
        <v>81632</v>
      </c>
      <c r="DF37" s="1">
        <v>81998</v>
      </c>
      <c r="DG37" s="1">
        <v>82363</v>
      </c>
      <c r="DH37" s="1">
        <v>82728</v>
      </c>
      <c r="DI37" s="1">
        <v>83093</v>
      </c>
      <c r="DJ37" s="1">
        <v>83459</v>
      </c>
      <c r="DK37" s="1">
        <v>83824</v>
      </c>
      <c r="DL37" s="1">
        <v>84189</v>
      </c>
      <c r="DM37" s="1">
        <v>84554</v>
      </c>
      <c r="DN37" s="1">
        <v>84920</v>
      </c>
      <c r="DO37" s="1">
        <v>85285</v>
      </c>
      <c r="DP37" s="1">
        <v>85650</v>
      </c>
      <c r="DQ37" s="1">
        <v>86015</v>
      </c>
      <c r="DR37" s="1">
        <v>86381</v>
      </c>
      <c r="DS37" s="1">
        <v>86746</v>
      </c>
      <c r="DT37" s="1">
        <v>87111</v>
      </c>
      <c r="DU37" s="1">
        <v>87476</v>
      </c>
      <c r="DV37" s="1">
        <v>87842</v>
      </c>
      <c r="DW37" s="1">
        <v>88207</v>
      </c>
      <c r="DX37" s="1">
        <v>88572</v>
      </c>
      <c r="DY37" s="1">
        <v>88937</v>
      </c>
      <c r="DZ37">
        <v>89303</v>
      </c>
      <c r="EA37">
        <v>89668</v>
      </c>
    </row>
    <row r="38" spans="1:131" x14ac:dyDescent="0.25">
      <c r="A38" t="s">
        <v>236</v>
      </c>
      <c r="B38" s="141">
        <v>46204</v>
      </c>
      <c r="C38" t="s">
        <v>145</v>
      </c>
      <c r="J38" t="s">
        <v>342</v>
      </c>
      <c r="L38" cm="1">
        <f t="array" ref="L38:EA38">oz.SumContainsλ(_xlfn.ANCHORARRAY($L$46),_xlfn.ANCHORARRAY($J$46),J38)</f>
        <v>85181</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343</v>
      </c>
      <c r="L39" cm="1">
        <f t="array" ref="L39:EA39">oz.SumContainsλ(_xlfn.ANCHORARRAY($L$46),_xlfn.ANCHORARRAY($J$46),J39)</f>
        <v>12247.26</v>
      </c>
      <c r="M39">
        <v>11034.03</v>
      </c>
      <c r="N39">
        <v>9037.9610000000011</v>
      </c>
      <c r="O39">
        <v>7456.1199000000006</v>
      </c>
      <c r="P39">
        <v>6195.2141600000014</v>
      </c>
      <c r="Q39">
        <v>5331.466931500001</v>
      </c>
      <c r="R39">
        <v>4868.1098112666677</v>
      </c>
      <c r="S39">
        <v>4489.9754030566673</v>
      </c>
      <c r="T39">
        <v>2653.6336356676679</v>
      </c>
      <c r="U39">
        <v>3659.6390758509015</v>
      </c>
      <c r="V39">
        <v>1960.2605602658068</v>
      </c>
      <c r="W39">
        <v>2074.7329522392301</v>
      </c>
      <c r="X39">
        <v>1417.2596570153071</v>
      </c>
      <c r="Y39">
        <v>1275.5336913137764</v>
      </c>
      <c r="Z39">
        <v>1147.9803221823988</v>
      </c>
      <c r="AA39">
        <v>1033.1822899641588</v>
      </c>
      <c r="AB39">
        <v>929.86406096774317</v>
      </c>
      <c r="AC39">
        <v>836.87765487096885</v>
      </c>
      <c r="AD39">
        <v>753.1898893838719</v>
      </c>
      <c r="AE39">
        <v>6778.7090044548222</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344</v>
      </c>
      <c r="L40" cm="1">
        <f t="array" ref="L40:EA40">oz.SumContainsλ(_xlfn.ANCHORARRAY($L$46),_xlfn.ANCHORARRAY($J$46),J40)</f>
        <v>72933.739999999991</v>
      </c>
      <c r="M40">
        <v>61899.709999999977</v>
      </c>
      <c r="N40">
        <v>52861.748999999967</v>
      </c>
      <c r="O40">
        <v>45405.629099999955</v>
      </c>
      <c r="P40">
        <v>39210.414939999973</v>
      </c>
      <c r="Q40">
        <v>33878.948008499967</v>
      </c>
      <c r="R40">
        <v>29010.83819723329</v>
      </c>
      <c r="S40">
        <v>24520.862794176603</v>
      </c>
      <c r="T40">
        <v>21867.229158508955</v>
      </c>
      <c r="U40">
        <v>18207.590082658069</v>
      </c>
      <c r="V40">
        <v>16247.329522392292</v>
      </c>
      <c r="W40">
        <v>14172.596570153055</v>
      </c>
      <c r="X40">
        <v>12755.336913137755</v>
      </c>
      <c r="Y40">
        <v>11479.803221823975</v>
      </c>
      <c r="Z40">
        <v>10331.822899641566</v>
      </c>
      <c r="AA40">
        <v>9298.6406096774044</v>
      </c>
      <c r="AB40">
        <v>8368.7765487096585</v>
      </c>
      <c r="AC40">
        <v>7531.8988938386919</v>
      </c>
      <c r="AD40">
        <v>6778.7090044548222</v>
      </c>
      <c r="AE40">
        <v>-5.4569682106375694E-12</v>
      </c>
      <c r="AF40">
        <v>-5.1159076974727213E-12</v>
      </c>
      <c r="AG40">
        <v>-5.1159076974727213E-12</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345</v>
      </c>
      <c r="L41" cm="1">
        <f t="array" ref="L41:EA41">oz.SumContainsλ(_xlfn.ANCHORARRAY($L$46),_xlfn.ANCHORARRAY($J$46),J41)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346</v>
      </c>
      <c r="L42" cm="1">
        <f t="array" ref="L42:EA42">oz.SumContainsλ(_xlfn.ANCHORARRAY($L$46),_xlfn.ANCHORARRAY($J$46),J42)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1" x14ac:dyDescent="0.35">
      <c r="A43" s="298" t="s">
        <v>295</v>
      </c>
      <c r="B43" s="299"/>
      <c r="C43" s="299"/>
      <c r="D43" s="299"/>
      <c r="E43" s="299"/>
      <c r="F43" s="299"/>
      <c r="G43" s="299"/>
      <c r="H43" s="318"/>
    </row>
    <row r="44" spans="1:131" x14ac:dyDescent="0.25">
      <c r="A44" s="314"/>
      <c r="B44" s="315"/>
      <c r="C44" s="315"/>
      <c r="D44" s="315"/>
      <c r="E44" s="315"/>
      <c r="F44" s="315"/>
      <c r="G44" s="315"/>
      <c r="H44" s="315"/>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oz.Timelineλ($B$38, $B$39, $B$40)</f>
        <v>46204</v>
      </c>
      <c r="M45" s="1">
        <v>46569</v>
      </c>
      <c r="N45" s="1">
        <v>46935</v>
      </c>
      <c r="O45" s="1">
        <v>47300</v>
      </c>
      <c r="P45" s="1">
        <v>47665</v>
      </c>
      <c r="Q45" s="1">
        <v>48030</v>
      </c>
      <c r="R45" s="1">
        <v>48396</v>
      </c>
      <c r="S45" s="1">
        <v>48761</v>
      </c>
      <c r="T45" s="1">
        <v>49126</v>
      </c>
      <c r="U45" s="1">
        <v>49491</v>
      </c>
      <c r="V45" s="1">
        <v>49857</v>
      </c>
      <c r="W45" s="1">
        <v>50222</v>
      </c>
      <c r="X45" s="1">
        <v>50587</v>
      </c>
      <c r="Y45" s="1">
        <v>50952</v>
      </c>
      <c r="Z45" s="1">
        <v>51318</v>
      </c>
      <c r="AA45" s="1">
        <v>51683</v>
      </c>
      <c r="AB45" s="1">
        <v>52048</v>
      </c>
      <c r="AC45" s="1">
        <v>52413</v>
      </c>
      <c r="AD45" s="1">
        <v>52779</v>
      </c>
      <c r="AE45" s="1">
        <v>53144</v>
      </c>
      <c r="AF45" s="1">
        <v>53509</v>
      </c>
      <c r="AG45" s="1">
        <v>53874</v>
      </c>
      <c r="AH45" s="1">
        <v>54240</v>
      </c>
      <c r="AI45" s="1">
        <v>54605</v>
      </c>
      <c r="AJ45" s="1">
        <v>54970</v>
      </c>
      <c r="AK45" s="1">
        <v>55335</v>
      </c>
      <c r="AL45" s="1">
        <v>55701</v>
      </c>
      <c r="AM45" s="1">
        <v>56066</v>
      </c>
      <c r="AN45" s="1">
        <v>56431</v>
      </c>
      <c r="AO45" s="1">
        <v>56796</v>
      </c>
      <c r="AP45" s="1">
        <v>57162</v>
      </c>
      <c r="AQ45" s="1">
        <v>57527</v>
      </c>
      <c r="AR45" s="1">
        <v>57892</v>
      </c>
      <c r="AS45" s="1">
        <v>58257</v>
      </c>
      <c r="AT45" s="1">
        <v>58623</v>
      </c>
      <c r="AU45" s="1">
        <v>58988</v>
      </c>
      <c r="AV45" s="1">
        <v>59353</v>
      </c>
      <c r="AW45" s="1">
        <v>59718</v>
      </c>
      <c r="AX45" s="1">
        <v>60084</v>
      </c>
      <c r="AY45" s="1">
        <v>60449</v>
      </c>
      <c r="AZ45" s="1">
        <v>60814</v>
      </c>
      <c r="BA45" s="1">
        <v>61179</v>
      </c>
      <c r="BB45" s="1">
        <v>61545</v>
      </c>
      <c r="BC45" s="1">
        <v>61910</v>
      </c>
      <c r="BD45" s="1">
        <v>62275</v>
      </c>
      <c r="BE45" s="1">
        <v>62640</v>
      </c>
      <c r="BF45" s="1">
        <v>63006</v>
      </c>
      <c r="BG45" s="1">
        <v>63371</v>
      </c>
      <c r="BH45" s="1">
        <v>63736</v>
      </c>
      <c r="BI45" s="1">
        <v>64101</v>
      </c>
      <c r="BJ45" s="1">
        <v>64467</v>
      </c>
      <c r="BK45" s="1">
        <v>64832</v>
      </c>
      <c r="BL45" s="1">
        <v>65197</v>
      </c>
      <c r="BM45" s="1">
        <v>65562</v>
      </c>
      <c r="BN45" s="1">
        <v>65928</v>
      </c>
      <c r="BO45" s="1">
        <v>66293</v>
      </c>
      <c r="BP45" s="1">
        <v>66658</v>
      </c>
      <c r="BQ45" s="1">
        <v>67023</v>
      </c>
      <c r="BR45" s="1">
        <v>67389</v>
      </c>
      <c r="BS45" s="1">
        <v>67754</v>
      </c>
      <c r="BT45" s="1">
        <v>68119</v>
      </c>
      <c r="BU45" s="1">
        <v>68484</v>
      </c>
      <c r="BV45" s="1">
        <v>68850</v>
      </c>
      <c r="BW45" s="1">
        <v>69215</v>
      </c>
      <c r="BX45" s="1">
        <v>69580</v>
      </c>
      <c r="BY45" s="1">
        <v>69945</v>
      </c>
      <c r="BZ45" s="1">
        <v>70311</v>
      </c>
      <c r="CA45" s="1">
        <v>70676</v>
      </c>
      <c r="CB45" s="1">
        <v>71041</v>
      </c>
      <c r="CC45" s="1">
        <v>71406</v>
      </c>
      <c r="CD45" s="1">
        <v>71772</v>
      </c>
      <c r="CE45" s="1">
        <v>72137</v>
      </c>
      <c r="CF45" s="1">
        <v>72502</v>
      </c>
      <c r="CG45" s="1">
        <v>72867</v>
      </c>
      <c r="CH45" s="1">
        <v>73232</v>
      </c>
      <c r="CI45" s="1">
        <v>73597</v>
      </c>
      <c r="CJ45" s="1">
        <v>73962</v>
      </c>
      <c r="CK45" s="1">
        <v>74327</v>
      </c>
      <c r="CL45" s="1">
        <v>74693</v>
      </c>
      <c r="CM45" s="1">
        <v>75058</v>
      </c>
      <c r="CN45" s="1">
        <v>75423</v>
      </c>
      <c r="CO45" s="1">
        <v>75788</v>
      </c>
      <c r="CP45" s="1">
        <v>76154</v>
      </c>
      <c r="CQ45" s="1">
        <v>76519</v>
      </c>
      <c r="CR45" s="1">
        <v>76884</v>
      </c>
      <c r="CS45" s="1">
        <v>77249</v>
      </c>
      <c r="CT45" s="1">
        <v>77615</v>
      </c>
      <c r="CU45" s="1">
        <v>77980</v>
      </c>
      <c r="CV45" s="1">
        <v>78345</v>
      </c>
      <c r="CW45" s="1">
        <v>78710</v>
      </c>
      <c r="CX45" s="1">
        <v>79076</v>
      </c>
      <c r="CY45" s="1">
        <v>79441</v>
      </c>
      <c r="CZ45" s="1">
        <v>79806</v>
      </c>
      <c r="DA45" s="1">
        <v>80171</v>
      </c>
      <c r="DB45" s="1">
        <v>80537</v>
      </c>
      <c r="DC45" s="1">
        <v>80902</v>
      </c>
      <c r="DD45" s="1">
        <v>81267</v>
      </c>
      <c r="DE45" s="1">
        <v>81632</v>
      </c>
      <c r="DF45" s="1">
        <v>81998</v>
      </c>
      <c r="DG45" s="1">
        <v>82363</v>
      </c>
      <c r="DH45" s="1">
        <v>82728</v>
      </c>
      <c r="DI45" s="1">
        <v>83093</v>
      </c>
      <c r="DJ45" s="1">
        <v>83459</v>
      </c>
      <c r="DK45" s="1">
        <v>83824</v>
      </c>
      <c r="DL45" s="1">
        <v>84189</v>
      </c>
      <c r="DM45" s="1">
        <v>84554</v>
      </c>
      <c r="DN45" s="1">
        <v>84920</v>
      </c>
      <c r="DO45" s="1">
        <v>85285</v>
      </c>
      <c r="DP45" s="1">
        <v>85650</v>
      </c>
      <c r="DQ45" s="1">
        <v>86015</v>
      </c>
      <c r="DR45" s="1">
        <v>86381</v>
      </c>
      <c r="DS45" s="1">
        <v>86746</v>
      </c>
      <c r="DT45" s="1">
        <v>87111</v>
      </c>
      <c r="DU45" s="1">
        <v>87476</v>
      </c>
      <c r="DV45" s="1">
        <v>87842</v>
      </c>
      <c r="DW45" s="1">
        <v>88207</v>
      </c>
      <c r="DX45" s="1">
        <v>88572</v>
      </c>
      <c r="DY45" s="1">
        <v>88937</v>
      </c>
      <c r="DZ45">
        <v>89303</v>
      </c>
      <c r="EA45">
        <v>89668</v>
      </c>
    </row>
    <row r="46" spans="1:131" x14ac:dyDescent="0.25">
      <c r="A46" t="s">
        <v>303</v>
      </c>
      <c r="B46" s="195">
        <v>25000</v>
      </c>
      <c r="C46" s="120">
        <v>46235</v>
      </c>
      <c r="D46" s="195">
        <v>8</v>
      </c>
      <c r="E46" s="195">
        <v>1000</v>
      </c>
      <c r="F46" s="120">
        <f>EDATE(tblAssets[[#This Row],[Acquired]],(tblAssets[[#This Row],[Life]]+1)*12)</f>
        <v>49522</v>
      </c>
      <c r="G46" s="195">
        <v>500</v>
      </c>
      <c r="H46" s="120" t="s">
        <v>435</v>
      </c>
      <c r="J46" t="str" cm="1">
        <f t="array" ref="J46:J65">oz.LabelDepreciateλ(tblAssets[Asset])</f>
        <v>Cutter CAPEX</v>
      </c>
      <c r="K46" cm="1">
        <f t="array" ref="K46:K65">oz.SumDepreciateλ(_xlfn.ANCHORARRAY(L46))</f>
        <v>25000</v>
      </c>
      <c r="L46" s="162" cm="1">
        <f t="array" ref="L46:EA65">oz.Depreciateλ(tblAssets[Amount],tblAssets[Acquired],tblAssets[Life],_xlfn.ANCHORARRAY(L45),tblAssets[Salvage],tblAssets[Date],tblAssets[Cost],tblAssets[Method])</f>
        <v>25000</v>
      </c>
      <c r="M46" s="260">
        <v>0</v>
      </c>
      <c r="N46" s="260">
        <v>0</v>
      </c>
      <c r="O46" s="260">
        <v>0</v>
      </c>
      <c r="P46" s="260">
        <v>0</v>
      </c>
      <c r="Q46" s="260">
        <v>0</v>
      </c>
      <c r="R46" s="260">
        <v>0</v>
      </c>
      <c r="S46" s="260">
        <v>0</v>
      </c>
      <c r="T46" s="260">
        <v>0</v>
      </c>
      <c r="U46" s="260">
        <v>0</v>
      </c>
      <c r="V46" s="260">
        <v>0</v>
      </c>
      <c r="W46" s="260">
        <v>0</v>
      </c>
      <c r="X46" s="260">
        <v>0</v>
      </c>
      <c r="Y46" s="260">
        <v>0</v>
      </c>
      <c r="Z46" s="260">
        <v>0</v>
      </c>
      <c r="AA46" s="260">
        <v>0</v>
      </c>
      <c r="AB46" s="260">
        <v>0</v>
      </c>
      <c r="AC46" s="260">
        <v>0</v>
      </c>
      <c r="AD46" s="260">
        <v>0</v>
      </c>
      <c r="AE46" s="260">
        <v>0</v>
      </c>
      <c r="AF46" s="260">
        <v>0</v>
      </c>
      <c r="AG46" s="260">
        <v>0</v>
      </c>
      <c r="AH46" s="260">
        <v>0</v>
      </c>
      <c r="AI46" s="260">
        <v>0</v>
      </c>
      <c r="AJ46" s="260">
        <v>0</v>
      </c>
      <c r="AK46" s="260">
        <v>0</v>
      </c>
      <c r="AL46" s="260">
        <v>0</v>
      </c>
      <c r="AM46" s="260">
        <v>0</v>
      </c>
      <c r="AN46" s="260">
        <v>0</v>
      </c>
      <c r="AO46" s="260">
        <v>0</v>
      </c>
      <c r="AP46" s="260">
        <v>0</v>
      </c>
      <c r="AQ46" s="260">
        <v>0</v>
      </c>
      <c r="AR46" s="260">
        <v>0</v>
      </c>
      <c r="AS46" s="260">
        <v>0</v>
      </c>
      <c r="AT46" s="260">
        <v>0</v>
      </c>
      <c r="AU46" s="260">
        <v>0</v>
      </c>
      <c r="AV46" s="260">
        <v>0</v>
      </c>
      <c r="AW46" s="260">
        <v>0</v>
      </c>
      <c r="AX46" s="260">
        <v>0</v>
      </c>
      <c r="AY46" s="260">
        <v>0</v>
      </c>
      <c r="AZ46" s="260">
        <v>0</v>
      </c>
      <c r="BA46" s="260">
        <v>0</v>
      </c>
      <c r="BB46" s="260">
        <v>0</v>
      </c>
      <c r="BC46" s="260">
        <v>0</v>
      </c>
      <c r="BD46" s="260">
        <v>0</v>
      </c>
      <c r="BE46" s="260">
        <v>0</v>
      </c>
      <c r="BF46" s="260">
        <v>0</v>
      </c>
      <c r="BG46" s="260">
        <v>0</v>
      </c>
      <c r="BH46" s="260">
        <v>0</v>
      </c>
      <c r="BI46" s="260">
        <v>0</v>
      </c>
      <c r="BJ46" s="260">
        <v>0</v>
      </c>
      <c r="BK46" s="260">
        <v>0</v>
      </c>
      <c r="BL46" s="260">
        <v>0</v>
      </c>
      <c r="BM46" s="260">
        <v>0</v>
      </c>
      <c r="BN46" s="260">
        <v>0</v>
      </c>
      <c r="BO46" s="260">
        <v>0</v>
      </c>
      <c r="BP46" s="260">
        <v>0</v>
      </c>
      <c r="BQ46" s="260">
        <v>0</v>
      </c>
      <c r="BR46" s="260">
        <v>0</v>
      </c>
      <c r="BS46" s="260">
        <v>0</v>
      </c>
      <c r="BT46" s="260">
        <v>0</v>
      </c>
      <c r="BU46" s="260">
        <v>0</v>
      </c>
      <c r="BV46" s="260">
        <v>0</v>
      </c>
      <c r="BW46" s="260">
        <v>0</v>
      </c>
      <c r="BX46" s="260">
        <v>0</v>
      </c>
      <c r="BY46" s="260">
        <v>0</v>
      </c>
      <c r="BZ46" s="260">
        <v>0</v>
      </c>
      <c r="CA46" s="260">
        <v>0</v>
      </c>
      <c r="CB46" s="260">
        <v>0</v>
      </c>
      <c r="CC46" s="260">
        <v>0</v>
      </c>
      <c r="CD46" s="260">
        <v>0</v>
      </c>
      <c r="CE46" s="260">
        <v>0</v>
      </c>
      <c r="CF46" s="260">
        <v>0</v>
      </c>
      <c r="CG46" s="260">
        <v>0</v>
      </c>
      <c r="CH46" s="260">
        <v>0</v>
      </c>
      <c r="CI46" s="260">
        <v>0</v>
      </c>
      <c r="CJ46" s="260">
        <v>0</v>
      </c>
      <c r="CK46" s="260">
        <v>0</v>
      </c>
      <c r="CL46" s="260">
        <v>0</v>
      </c>
      <c r="CM46" s="260">
        <v>0</v>
      </c>
      <c r="CN46" s="260">
        <v>0</v>
      </c>
      <c r="CO46" s="260">
        <v>0</v>
      </c>
      <c r="CP46" s="260">
        <v>0</v>
      </c>
      <c r="CQ46" s="260">
        <v>0</v>
      </c>
      <c r="CR46" s="260">
        <v>0</v>
      </c>
      <c r="CS46" s="260">
        <v>0</v>
      </c>
      <c r="CT46" s="260">
        <v>0</v>
      </c>
      <c r="CU46" s="260">
        <v>0</v>
      </c>
      <c r="CV46" s="260">
        <v>0</v>
      </c>
      <c r="CW46" s="260">
        <v>0</v>
      </c>
      <c r="CX46" s="260">
        <v>0</v>
      </c>
      <c r="CY46" s="260">
        <v>0</v>
      </c>
      <c r="CZ46" s="260">
        <v>0</v>
      </c>
      <c r="DA46" s="260">
        <v>0</v>
      </c>
      <c r="DB46" s="260">
        <v>0</v>
      </c>
      <c r="DC46" s="260">
        <v>0</v>
      </c>
      <c r="DD46" s="260">
        <v>0</v>
      </c>
      <c r="DE46" s="260">
        <v>0</v>
      </c>
      <c r="DF46" s="260">
        <v>0</v>
      </c>
      <c r="DG46" s="260">
        <v>0</v>
      </c>
      <c r="DH46" s="260">
        <v>0</v>
      </c>
      <c r="DI46" s="260">
        <v>0</v>
      </c>
      <c r="DJ46" s="260">
        <v>0</v>
      </c>
      <c r="DK46" s="260">
        <v>0</v>
      </c>
      <c r="DL46" s="260">
        <v>0</v>
      </c>
      <c r="DM46" s="260">
        <v>0</v>
      </c>
      <c r="DN46" s="260">
        <v>0</v>
      </c>
      <c r="DO46" s="260">
        <v>0</v>
      </c>
      <c r="DP46" s="260">
        <v>0</v>
      </c>
      <c r="DQ46" s="260">
        <v>0</v>
      </c>
      <c r="DR46" s="260">
        <v>0</v>
      </c>
      <c r="DS46" s="260">
        <v>0</v>
      </c>
      <c r="DT46" s="260">
        <v>0</v>
      </c>
      <c r="DU46" s="260">
        <v>0</v>
      </c>
      <c r="DV46" s="260">
        <v>0</v>
      </c>
      <c r="DW46" s="260">
        <v>0</v>
      </c>
      <c r="DX46" s="260">
        <v>0</v>
      </c>
      <c r="DY46" s="260">
        <v>0</v>
      </c>
      <c r="DZ46">
        <v>0</v>
      </c>
      <c r="EA46">
        <v>0</v>
      </c>
    </row>
    <row r="47" spans="1:131" x14ac:dyDescent="0.25">
      <c r="A47" s="262" t="s">
        <v>304</v>
      </c>
      <c r="B47" s="265">
        <v>10000</v>
      </c>
      <c r="C47" s="266">
        <v>46296</v>
      </c>
      <c r="D47" s="197">
        <v>10</v>
      </c>
      <c r="E47" s="197">
        <v>500</v>
      </c>
      <c r="F47" s="263">
        <f>EDATE(tblAssets[[#This Row],[Acquired]],(tblAssets[[#This Row],[Life]]+1)*12)</f>
        <v>50314</v>
      </c>
      <c r="G47" s="265">
        <v>100</v>
      </c>
      <c r="H47" s="263" t="s">
        <v>301</v>
      </c>
      <c r="J47" t="str">
        <v>Cutter Opening Value</v>
      </c>
      <c r="K47">
        <v>0</v>
      </c>
      <c r="L47" s="260">
        <v>25000</v>
      </c>
      <c r="M47" s="260">
        <v>19270.869999999981</v>
      </c>
      <c r="N47" s="260">
        <v>14453.06999999998</v>
      </c>
      <c r="O47" s="260">
        <v>10839.829999999987</v>
      </c>
      <c r="P47" s="260">
        <v>8129.8449999999939</v>
      </c>
      <c r="Q47" s="260">
        <v>6097.466249999994</v>
      </c>
      <c r="R47" s="260">
        <v>4425.3971874999888</v>
      </c>
      <c r="S47" s="260">
        <v>2781.1914583333219</v>
      </c>
      <c r="T47" s="260">
        <v>1136.9857291666553</v>
      </c>
      <c r="U47" s="260">
        <v>999.99999999998863</v>
      </c>
      <c r="V47" s="260">
        <v>0</v>
      </c>
      <c r="W47" s="260">
        <v>0</v>
      </c>
      <c r="X47" s="260">
        <v>0</v>
      </c>
      <c r="Y47" s="260">
        <v>0</v>
      </c>
      <c r="Z47" s="260">
        <v>0</v>
      </c>
      <c r="AA47" s="260">
        <v>0</v>
      </c>
      <c r="AB47" s="260">
        <v>0</v>
      </c>
      <c r="AC47" s="260">
        <v>0</v>
      </c>
      <c r="AD47" s="260">
        <v>0</v>
      </c>
      <c r="AE47" s="260">
        <v>0</v>
      </c>
      <c r="AF47" s="260">
        <v>0</v>
      </c>
      <c r="AG47" s="260">
        <v>0</v>
      </c>
      <c r="AH47" s="260">
        <v>0</v>
      </c>
      <c r="AI47" s="260">
        <v>0</v>
      </c>
      <c r="AJ47" s="260">
        <v>0</v>
      </c>
      <c r="AK47" s="260">
        <v>0</v>
      </c>
      <c r="AL47" s="260">
        <v>0</v>
      </c>
      <c r="AM47" s="260">
        <v>0</v>
      </c>
      <c r="AN47" s="260">
        <v>0</v>
      </c>
      <c r="AO47" s="260">
        <v>0</v>
      </c>
      <c r="AP47" s="260">
        <v>0</v>
      </c>
      <c r="AQ47" s="260">
        <v>0</v>
      </c>
      <c r="AR47" s="260">
        <v>0</v>
      </c>
      <c r="AS47" s="260">
        <v>0</v>
      </c>
      <c r="AT47" s="260">
        <v>0</v>
      </c>
      <c r="AU47" s="260">
        <v>0</v>
      </c>
      <c r="AV47" s="260">
        <v>0</v>
      </c>
      <c r="AW47" s="260">
        <v>0</v>
      </c>
      <c r="AX47" s="260">
        <v>0</v>
      </c>
      <c r="AY47" s="260">
        <v>0</v>
      </c>
      <c r="AZ47" s="260">
        <v>0</v>
      </c>
      <c r="BA47" s="260">
        <v>0</v>
      </c>
      <c r="BB47" s="260">
        <v>0</v>
      </c>
      <c r="BC47" s="260">
        <v>0</v>
      </c>
      <c r="BD47" s="260">
        <v>0</v>
      </c>
      <c r="BE47" s="260">
        <v>0</v>
      </c>
      <c r="BF47" s="260">
        <v>0</v>
      </c>
      <c r="BG47" s="260">
        <v>0</v>
      </c>
      <c r="BH47" s="260">
        <v>0</v>
      </c>
      <c r="BI47" s="260">
        <v>0</v>
      </c>
      <c r="BJ47" s="260">
        <v>0</v>
      </c>
      <c r="BK47" s="260">
        <v>0</v>
      </c>
      <c r="BL47" s="260">
        <v>0</v>
      </c>
      <c r="BM47" s="260">
        <v>0</v>
      </c>
      <c r="BN47" s="260">
        <v>0</v>
      </c>
      <c r="BO47" s="260">
        <v>0</v>
      </c>
      <c r="BP47" s="260">
        <v>0</v>
      </c>
      <c r="BQ47" s="260">
        <v>0</v>
      </c>
      <c r="BR47" s="260">
        <v>0</v>
      </c>
      <c r="BS47" s="260">
        <v>0</v>
      </c>
      <c r="BT47" s="260">
        <v>0</v>
      </c>
      <c r="BU47" s="260">
        <v>0</v>
      </c>
      <c r="BV47" s="260">
        <v>0</v>
      </c>
      <c r="BW47" s="260">
        <v>0</v>
      </c>
      <c r="BX47" s="260">
        <v>0</v>
      </c>
      <c r="BY47" s="260">
        <v>0</v>
      </c>
      <c r="BZ47" s="260">
        <v>0</v>
      </c>
      <c r="CA47" s="260">
        <v>0</v>
      </c>
      <c r="CB47" s="260">
        <v>0</v>
      </c>
      <c r="CC47" s="260">
        <v>0</v>
      </c>
      <c r="CD47" s="260">
        <v>0</v>
      </c>
      <c r="CE47" s="260">
        <v>0</v>
      </c>
      <c r="CF47" s="260">
        <v>0</v>
      </c>
      <c r="CG47" s="260">
        <v>0</v>
      </c>
      <c r="CH47" s="260">
        <v>0</v>
      </c>
      <c r="CI47" s="260">
        <v>0</v>
      </c>
      <c r="CJ47" s="260">
        <v>0</v>
      </c>
      <c r="CK47" s="260">
        <v>0</v>
      </c>
      <c r="CL47" s="260">
        <v>0</v>
      </c>
      <c r="CM47" s="260">
        <v>0</v>
      </c>
      <c r="CN47" s="260">
        <v>0</v>
      </c>
      <c r="CO47" s="260">
        <v>0</v>
      </c>
      <c r="CP47" s="260">
        <v>0</v>
      </c>
      <c r="CQ47" s="260">
        <v>0</v>
      </c>
      <c r="CR47" s="260">
        <v>0</v>
      </c>
      <c r="CS47" s="260">
        <v>0</v>
      </c>
      <c r="CT47" s="260">
        <v>0</v>
      </c>
      <c r="CU47" s="260">
        <v>0</v>
      </c>
      <c r="CV47" s="260">
        <v>0</v>
      </c>
      <c r="CW47" s="260">
        <v>0</v>
      </c>
      <c r="CX47" s="260">
        <v>0</v>
      </c>
      <c r="CY47" s="260">
        <v>0</v>
      </c>
      <c r="CZ47" s="260">
        <v>0</v>
      </c>
      <c r="DA47" s="260">
        <v>0</v>
      </c>
      <c r="DB47" s="260">
        <v>0</v>
      </c>
      <c r="DC47" s="260">
        <v>0</v>
      </c>
      <c r="DD47" s="260">
        <v>0</v>
      </c>
      <c r="DE47" s="260">
        <v>0</v>
      </c>
      <c r="DF47" s="260">
        <v>0</v>
      </c>
      <c r="DG47" s="260">
        <v>0</v>
      </c>
      <c r="DH47" s="260">
        <v>0</v>
      </c>
      <c r="DI47" s="260">
        <v>0</v>
      </c>
      <c r="DJ47" s="260">
        <v>0</v>
      </c>
      <c r="DK47" s="260">
        <v>0</v>
      </c>
      <c r="DL47" s="260">
        <v>0</v>
      </c>
      <c r="DM47" s="260">
        <v>0</v>
      </c>
      <c r="DN47" s="260">
        <v>0</v>
      </c>
      <c r="DO47" s="260">
        <v>0</v>
      </c>
      <c r="DP47" s="260">
        <v>0</v>
      </c>
      <c r="DQ47" s="260">
        <v>0</v>
      </c>
      <c r="DR47" s="260">
        <v>0</v>
      </c>
      <c r="DS47" s="260">
        <v>0</v>
      </c>
      <c r="DT47" s="260">
        <v>0</v>
      </c>
      <c r="DU47" s="260">
        <v>0</v>
      </c>
      <c r="DV47" s="260">
        <v>0</v>
      </c>
      <c r="DW47" s="260">
        <v>0</v>
      </c>
      <c r="DX47" s="260">
        <v>0</v>
      </c>
      <c r="DY47" s="260">
        <v>0</v>
      </c>
      <c r="DZ47">
        <v>0</v>
      </c>
      <c r="EA47">
        <v>0</v>
      </c>
    </row>
    <row r="48" spans="1:131" x14ac:dyDescent="0.25">
      <c r="A48" s="261" t="s">
        <v>305</v>
      </c>
      <c r="B48" s="265">
        <v>50181</v>
      </c>
      <c r="C48" s="266">
        <v>46204</v>
      </c>
      <c r="D48" s="197">
        <v>20</v>
      </c>
      <c r="E48" s="197"/>
      <c r="F48" s="264">
        <f>EDATE(tblAssets[[#This Row],[Acquired]],(tblAssets[[#This Row],[Life]]+1)*12)</f>
        <v>53874</v>
      </c>
      <c r="G48" s="265">
        <v>250</v>
      </c>
      <c r="H48" s="264" t="s">
        <v>302</v>
      </c>
      <c r="J48" t="str">
        <v>Cutter Depreciation</v>
      </c>
      <c r="K48">
        <v>25000.000000000004</v>
      </c>
      <c r="L48" s="260">
        <v>5729.13</v>
      </c>
      <c r="M48" s="260">
        <v>4817.8</v>
      </c>
      <c r="N48" s="260">
        <v>3613.2400000000007</v>
      </c>
      <c r="O48" s="260">
        <v>2709.9849999999992</v>
      </c>
      <c r="P48" s="260">
        <v>2032.3787499999999</v>
      </c>
      <c r="Q48" s="260">
        <v>1672.0690625</v>
      </c>
      <c r="R48" s="260">
        <v>1644.2057291666665</v>
      </c>
      <c r="S48" s="260">
        <v>1644.2057291666665</v>
      </c>
      <c r="T48" s="260">
        <v>136.98572916666672</v>
      </c>
      <c r="U48" s="260">
        <v>1000</v>
      </c>
      <c r="V48" s="260">
        <v>0</v>
      </c>
      <c r="W48" s="260">
        <v>0</v>
      </c>
      <c r="X48" s="260">
        <v>0</v>
      </c>
      <c r="Y48" s="260">
        <v>0</v>
      </c>
      <c r="Z48" s="260">
        <v>0</v>
      </c>
      <c r="AA48" s="260">
        <v>0</v>
      </c>
      <c r="AB48" s="260">
        <v>0</v>
      </c>
      <c r="AC48" s="260">
        <v>0</v>
      </c>
      <c r="AD48" s="260">
        <v>0</v>
      </c>
      <c r="AE48" s="260">
        <v>0</v>
      </c>
      <c r="AF48" s="260">
        <v>0</v>
      </c>
      <c r="AG48" s="260">
        <v>0</v>
      </c>
      <c r="AH48" s="260">
        <v>0</v>
      </c>
      <c r="AI48" s="260">
        <v>0</v>
      </c>
      <c r="AJ48" s="260">
        <v>0</v>
      </c>
      <c r="AK48" s="260">
        <v>0</v>
      </c>
      <c r="AL48" s="260">
        <v>0</v>
      </c>
      <c r="AM48" s="260">
        <v>0</v>
      </c>
      <c r="AN48" s="260">
        <v>0</v>
      </c>
      <c r="AO48" s="260">
        <v>0</v>
      </c>
      <c r="AP48" s="260">
        <v>0</v>
      </c>
      <c r="AQ48" s="260">
        <v>0</v>
      </c>
      <c r="AR48" s="260">
        <v>0</v>
      </c>
      <c r="AS48" s="260">
        <v>0</v>
      </c>
      <c r="AT48" s="260">
        <v>0</v>
      </c>
      <c r="AU48" s="260">
        <v>0</v>
      </c>
      <c r="AV48" s="260">
        <v>0</v>
      </c>
      <c r="AW48" s="260">
        <v>0</v>
      </c>
      <c r="AX48" s="260">
        <v>0</v>
      </c>
      <c r="AY48" s="260">
        <v>0</v>
      </c>
      <c r="AZ48" s="260">
        <v>0</v>
      </c>
      <c r="BA48" s="260">
        <v>0</v>
      </c>
      <c r="BB48" s="260">
        <v>0</v>
      </c>
      <c r="BC48" s="260">
        <v>0</v>
      </c>
      <c r="BD48" s="260">
        <v>0</v>
      </c>
      <c r="BE48" s="260">
        <v>0</v>
      </c>
      <c r="BF48" s="260">
        <v>0</v>
      </c>
      <c r="BG48" s="260">
        <v>0</v>
      </c>
      <c r="BH48" s="260">
        <v>0</v>
      </c>
      <c r="BI48" s="260">
        <v>0</v>
      </c>
      <c r="BJ48" s="260">
        <v>0</v>
      </c>
      <c r="BK48" s="260">
        <v>0</v>
      </c>
      <c r="BL48" s="260">
        <v>0</v>
      </c>
      <c r="BM48" s="260">
        <v>0</v>
      </c>
      <c r="BN48" s="260">
        <v>0</v>
      </c>
      <c r="BO48" s="260">
        <v>0</v>
      </c>
      <c r="BP48" s="260">
        <v>0</v>
      </c>
      <c r="BQ48" s="260">
        <v>0</v>
      </c>
      <c r="BR48" s="260">
        <v>0</v>
      </c>
      <c r="BS48" s="260">
        <v>0</v>
      </c>
      <c r="BT48" s="260">
        <v>0</v>
      </c>
      <c r="BU48" s="260">
        <v>0</v>
      </c>
      <c r="BV48" s="260">
        <v>0</v>
      </c>
      <c r="BW48" s="260">
        <v>0</v>
      </c>
      <c r="BX48" s="260">
        <v>0</v>
      </c>
      <c r="BY48" s="260">
        <v>0</v>
      </c>
      <c r="BZ48" s="260">
        <v>0</v>
      </c>
      <c r="CA48" s="260">
        <v>0</v>
      </c>
      <c r="CB48" s="260">
        <v>0</v>
      </c>
      <c r="CC48" s="260">
        <v>0</v>
      </c>
      <c r="CD48" s="260">
        <v>0</v>
      </c>
      <c r="CE48" s="260">
        <v>0</v>
      </c>
      <c r="CF48" s="260">
        <v>0</v>
      </c>
      <c r="CG48" s="260">
        <v>0</v>
      </c>
      <c r="CH48" s="260">
        <v>0</v>
      </c>
      <c r="CI48" s="260">
        <v>0</v>
      </c>
      <c r="CJ48" s="260">
        <v>0</v>
      </c>
      <c r="CK48" s="260">
        <v>0</v>
      </c>
      <c r="CL48" s="260">
        <v>0</v>
      </c>
      <c r="CM48" s="260">
        <v>0</v>
      </c>
      <c r="CN48" s="260">
        <v>0</v>
      </c>
      <c r="CO48" s="260">
        <v>0</v>
      </c>
      <c r="CP48" s="260">
        <v>0</v>
      </c>
      <c r="CQ48" s="260">
        <v>0</v>
      </c>
      <c r="CR48" s="260">
        <v>0</v>
      </c>
      <c r="CS48" s="260">
        <v>0</v>
      </c>
      <c r="CT48" s="260">
        <v>0</v>
      </c>
      <c r="CU48" s="260">
        <v>0</v>
      </c>
      <c r="CV48" s="260">
        <v>0</v>
      </c>
      <c r="CW48" s="260">
        <v>0</v>
      </c>
      <c r="CX48" s="260">
        <v>0</v>
      </c>
      <c r="CY48" s="260">
        <v>0</v>
      </c>
      <c r="CZ48" s="260">
        <v>0</v>
      </c>
      <c r="DA48" s="260">
        <v>0</v>
      </c>
      <c r="DB48" s="260">
        <v>0</v>
      </c>
      <c r="DC48" s="260">
        <v>0</v>
      </c>
      <c r="DD48" s="260">
        <v>0</v>
      </c>
      <c r="DE48" s="260">
        <v>0</v>
      </c>
      <c r="DF48" s="260">
        <v>0</v>
      </c>
      <c r="DG48" s="260">
        <v>0</v>
      </c>
      <c r="DH48" s="260">
        <v>0</v>
      </c>
      <c r="DI48" s="260">
        <v>0</v>
      </c>
      <c r="DJ48" s="260">
        <v>0</v>
      </c>
      <c r="DK48" s="260">
        <v>0</v>
      </c>
      <c r="DL48" s="260">
        <v>0</v>
      </c>
      <c r="DM48" s="260">
        <v>0</v>
      </c>
      <c r="DN48" s="260">
        <v>0</v>
      </c>
      <c r="DO48" s="260">
        <v>0</v>
      </c>
      <c r="DP48" s="260">
        <v>0</v>
      </c>
      <c r="DQ48" s="260">
        <v>0</v>
      </c>
      <c r="DR48" s="260">
        <v>0</v>
      </c>
      <c r="DS48" s="260">
        <v>0</v>
      </c>
      <c r="DT48" s="260">
        <v>0</v>
      </c>
      <c r="DU48" s="260">
        <v>0</v>
      </c>
      <c r="DV48" s="260">
        <v>0</v>
      </c>
      <c r="DW48" s="260">
        <v>0</v>
      </c>
      <c r="DX48" s="260">
        <v>0</v>
      </c>
      <c r="DY48" s="260">
        <v>0</v>
      </c>
      <c r="DZ48">
        <v>0</v>
      </c>
      <c r="EA48">
        <v>0</v>
      </c>
    </row>
    <row r="49" spans="10:131" x14ac:dyDescent="0.25">
      <c r="J49" t="str">
        <v>Cutter Book Value</v>
      </c>
      <c r="K49">
        <v>0</v>
      </c>
      <c r="L49" s="260">
        <v>19270.87</v>
      </c>
      <c r="M49" s="260">
        <v>14453.069999999982</v>
      </c>
      <c r="N49" s="260">
        <v>10839.82999999998</v>
      </c>
      <c r="O49" s="260">
        <v>8129.8449999999884</v>
      </c>
      <c r="P49" s="260">
        <v>6097.466249999994</v>
      </c>
      <c r="Q49" s="260">
        <v>4425.3971874999943</v>
      </c>
      <c r="R49" s="260">
        <v>2781.1914583333223</v>
      </c>
      <c r="S49" s="260">
        <v>1136.9857291666553</v>
      </c>
      <c r="T49" s="260">
        <v>999.99999999998863</v>
      </c>
      <c r="U49" s="260">
        <v>-1.1368683772161603E-11</v>
      </c>
      <c r="V49" s="260">
        <v>0</v>
      </c>
      <c r="W49" s="260">
        <v>0</v>
      </c>
      <c r="X49" s="260">
        <v>0</v>
      </c>
      <c r="Y49" s="260">
        <v>0</v>
      </c>
      <c r="Z49" s="260">
        <v>0</v>
      </c>
      <c r="AA49" s="260">
        <v>0</v>
      </c>
      <c r="AB49" s="260">
        <v>0</v>
      </c>
      <c r="AC49" s="260">
        <v>0</v>
      </c>
      <c r="AD49" s="260">
        <v>0</v>
      </c>
      <c r="AE49" s="260">
        <v>0</v>
      </c>
      <c r="AF49" s="260">
        <v>0</v>
      </c>
      <c r="AG49" s="260">
        <v>0</v>
      </c>
      <c r="AH49" s="260">
        <v>0</v>
      </c>
      <c r="AI49" s="260">
        <v>0</v>
      </c>
      <c r="AJ49" s="260">
        <v>0</v>
      </c>
      <c r="AK49" s="260">
        <v>0</v>
      </c>
      <c r="AL49" s="260">
        <v>0</v>
      </c>
      <c r="AM49" s="260">
        <v>0</v>
      </c>
      <c r="AN49" s="260">
        <v>0</v>
      </c>
      <c r="AO49" s="260">
        <v>0</v>
      </c>
      <c r="AP49" s="260">
        <v>0</v>
      </c>
      <c r="AQ49" s="260">
        <v>0</v>
      </c>
      <c r="AR49" s="260">
        <v>0</v>
      </c>
      <c r="AS49" s="260">
        <v>0</v>
      </c>
      <c r="AT49" s="260">
        <v>0</v>
      </c>
      <c r="AU49" s="260">
        <v>0</v>
      </c>
      <c r="AV49" s="260">
        <v>0</v>
      </c>
      <c r="AW49" s="260">
        <v>0</v>
      </c>
      <c r="AX49" s="260">
        <v>0</v>
      </c>
      <c r="AY49" s="260">
        <v>0</v>
      </c>
      <c r="AZ49" s="260">
        <v>0</v>
      </c>
      <c r="BA49" s="260">
        <v>0</v>
      </c>
      <c r="BB49" s="260">
        <v>0</v>
      </c>
      <c r="BC49" s="260">
        <v>0</v>
      </c>
      <c r="BD49" s="260">
        <v>0</v>
      </c>
      <c r="BE49" s="260">
        <v>0</v>
      </c>
      <c r="BF49" s="260">
        <v>0</v>
      </c>
      <c r="BG49" s="260">
        <v>0</v>
      </c>
      <c r="BH49" s="260">
        <v>0</v>
      </c>
      <c r="BI49" s="260">
        <v>0</v>
      </c>
      <c r="BJ49" s="260">
        <v>0</v>
      </c>
      <c r="BK49" s="260">
        <v>0</v>
      </c>
      <c r="BL49" s="260">
        <v>0</v>
      </c>
      <c r="BM49" s="260">
        <v>0</v>
      </c>
      <c r="BN49" s="260">
        <v>0</v>
      </c>
      <c r="BO49" s="260">
        <v>0</v>
      </c>
      <c r="BP49" s="260">
        <v>0</v>
      </c>
      <c r="BQ49" s="260">
        <v>0</v>
      </c>
      <c r="BR49" s="260">
        <v>0</v>
      </c>
      <c r="BS49" s="260">
        <v>0</v>
      </c>
      <c r="BT49" s="260">
        <v>0</v>
      </c>
      <c r="BU49" s="260">
        <v>0</v>
      </c>
      <c r="BV49" s="260">
        <v>0</v>
      </c>
      <c r="BW49" s="260">
        <v>0</v>
      </c>
      <c r="BX49" s="260">
        <v>0</v>
      </c>
      <c r="BY49" s="260">
        <v>0</v>
      </c>
      <c r="BZ49" s="260">
        <v>0</v>
      </c>
      <c r="CA49" s="260">
        <v>0</v>
      </c>
      <c r="CB49" s="260">
        <v>0</v>
      </c>
      <c r="CC49" s="260">
        <v>0</v>
      </c>
      <c r="CD49" s="260">
        <v>0</v>
      </c>
      <c r="CE49" s="260">
        <v>0</v>
      </c>
      <c r="CF49" s="260">
        <v>0</v>
      </c>
      <c r="CG49" s="260">
        <v>0</v>
      </c>
      <c r="CH49" s="260">
        <v>0</v>
      </c>
      <c r="CI49" s="260">
        <v>0</v>
      </c>
      <c r="CJ49" s="260">
        <v>0</v>
      </c>
      <c r="CK49" s="260">
        <v>0</v>
      </c>
      <c r="CL49" s="260">
        <v>0</v>
      </c>
      <c r="CM49" s="260">
        <v>0</v>
      </c>
      <c r="CN49" s="260">
        <v>0</v>
      </c>
      <c r="CO49" s="260">
        <v>0</v>
      </c>
      <c r="CP49" s="260">
        <v>0</v>
      </c>
      <c r="CQ49" s="260">
        <v>0</v>
      </c>
      <c r="CR49" s="260">
        <v>0</v>
      </c>
      <c r="CS49" s="260">
        <v>0</v>
      </c>
      <c r="CT49" s="260">
        <v>0</v>
      </c>
      <c r="CU49" s="260">
        <v>0</v>
      </c>
      <c r="CV49" s="260">
        <v>0</v>
      </c>
      <c r="CW49" s="260">
        <v>0</v>
      </c>
      <c r="CX49" s="260">
        <v>0</v>
      </c>
      <c r="CY49" s="260">
        <v>0</v>
      </c>
      <c r="CZ49" s="260">
        <v>0</v>
      </c>
      <c r="DA49" s="260">
        <v>0</v>
      </c>
      <c r="DB49" s="260">
        <v>0</v>
      </c>
      <c r="DC49" s="260">
        <v>0</v>
      </c>
      <c r="DD49" s="260">
        <v>0</v>
      </c>
      <c r="DE49" s="260">
        <v>0</v>
      </c>
      <c r="DF49" s="260">
        <v>0</v>
      </c>
      <c r="DG49" s="260">
        <v>0</v>
      </c>
      <c r="DH49" s="260">
        <v>0</v>
      </c>
      <c r="DI49" s="260">
        <v>0</v>
      </c>
      <c r="DJ49" s="260">
        <v>0</v>
      </c>
      <c r="DK49" s="260">
        <v>0</v>
      </c>
      <c r="DL49" s="260">
        <v>0</v>
      </c>
      <c r="DM49" s="260">
        <v>0</v>
      </c>
      <c r="DN49" s="260">
        <v>0</v>
      </c>
      <c r="DO49" s="260">
        <v>0</v>
      </c>
      <c r="DP49" s="260">
        <v>0</v>
      </c>
      <c r="DQ49" s="260">
        <v>0</v>
      </c>
      <c r="DR49" s="260">
        <v>0</v>
      </c>
      <c r="DS49" s="260">
        <v>0</v>
      </c>
      <c r="DT49" s="260">
        <v>0</v>
      </c>
      <c r="DU49" s="260">
        <v>0</v>
      </c>
      <c r="DV49" s="260">
        <v>0</v>
      </c>
      <c r="DW49" s="260">
        <v>0</v>
      </c>
      <c r="DX49" s="260">
        <v>0</v>
      </c>
      <c r="DY49" s="260">
        <v>0</v>
      </c>
      <c r="DZ49">
        <v>0</v>
      </c>
      <c r="EA49">
        <v>0</v>
      </c>
    </row>
    <row r="50" spans="10:131" x14ac:dyDescent="0.25">
      <c r="J50" t="str">
        <v>Cutter Revenue from Sale</v>
      </c>
      <c r="K50">
        <v>1000</v>
      </c>
      <c r="L50" s="260">
        <v>0</v>
      </c>
      <c r="M50" s="260">
        <v>0</v>
      </c>
      <c r="N50" s="260">
        <v>0</v>
      </c>
      <c r="O50" s="260">
        <v>0</v>
      </c>
      <c r="P50" s="260">
        <v>0</v>
      </c>
      <c r="Q50" s="260">
        <v>0</v>
      </c>
      <c r="R50" s="260">
        <v>0</v>
      </c>
      <c r="S50" s="260">
        <v>0</v>
      </c>
      <c r="T50" s="260">
        <v>0</v>
      </c>
      <c r="U50" s="260">
        <v>1000</v>
      </c>
      <c r="V50" s="260">
        <v>0</v>
      </c>
      <c r="W50" s="260">
        <v>0</v>
      </c>
      <c r="X50" s="260">
        <v>0</v>
      </c>
      <c r="Y50" s="260">
        <v>0</v>
      </c>
      <c r="Z50" s="260">
        <v>0</v>
      </c>
      <c r="AA50" s="260">
        <v>0</v>
      </c>
      <c r="AB50" s="260">
        <v>0</v>
      </c>
      <c r="AC50" s="260">
        <v>0</v>
      </c>
      <c r="AD50" s="260">
        <v>0</v>
      </c>
      <c r="AE50" s="260">
        <v>0</v>
      </c>
      <c r="AF50" s="260">
        <v>0</v>
      </c>
      <c r="AG50" s="260">
        <v>0</v>
      </c>
      <c r="AH50" s="260">
        <v>0</v>
      </c>
      <c r="AI50" s="260">
        <v>0</v>
      </c>
      <c r="AJ50" s="260">
        <v>0</v>
      </c>
      <c r="AK50" s="260">
        <v>0</v>
      </c>
      <c r="AL50" s="260">
        <v>0</v>
      </c>
      <c r="AM50" s="260">
        <v>0</v>
      </c>
      <c r="AN50" s="260">
        <v>0</v>
      </c>
      <c r="AO50" s="260">
        <v>0</v>
      </c>
      <c r="AP50" s="260">
        <v>0</v>
      </c>
      <c r="AQ50" s="260">
        <v>0</v>
      </c>
      <c r="AR50" s="260">
        <v>0</v>
      </c>
      <c r="AS50" s="260">
        <v>0</v>
      </c>
      <c r="AT50" s="260">
        <v>0</v>
      </c>
      <c r="AU50" s="260">
        <v>0</v>
      </c>
      <c r="AV50" s="260">
        <v>0</v>
      </c>
      <c r="AW50" s="260">
        <v>0</v>
      </c>
      <c r="AX50" s="260">
        <v>0</v>
      </c>
      <c r="AY50" s="260">
        <v>0</v>
      </c>
      <c r="AZ50" s="260">
        <v>0</v>
      </c>
      <c r="BA50" s="260">
        <v>0</v>
      </c>
      <c r="BB50" s="260">
        <v>0</v>
      </c>
      <c r="BC50" s="260">
        <v>0</v>
      </c>
      <c r="BD50" s="260">
        <v>0</v>
      </c>
      <c r="BE50" s="260">
        <v>0</v>
      </c>
      <c r="BF50" s="260">
        <v>0</v>
      </c>
      <c r="BG50" s="260">
        <v>0</v>
      </c>
      <c r="BH50" s="260">
        <v>0</v>
      </c>
      <c r="BI50" s="260">
        <v>0</v>
      </c>
      <c r="BJ50" s="260">
        <v>0</v>
      </c>
      <c r="BK50" s="260">
        <v>0</v>
      </c>
      <c r="BL50" s="260">
        <v>0</v>
      </c>
      <c r="BM50" s="260">
        <v>0</v>
      </c>
      <c r="BN50" s="260">
        <v>0</v>
      </c>
      <c r="BO50" s="260">
        <v>0</v>
      </c>
      <c r="BP50" s="260">
        <v>0</v>
      </c>
      <c r="BQ50" s="260">
        <v>0</v>
      </c>
      <c r="BR50" s="260">
        <v>0</v>
      </c>
      <c r="BS50" s="260">
        <v>0</v>
      </c>
      <c r="BT50" s="260">
        <v>0</v>
      </c>
      <c r="BU50" s="260">
        <v>0</v>
      </c>
      <c r="BV50" s="260">
        <v>0</v>
      </c>
      <c r="BW50" s="260">
        <v>0</v>
      </c>
      <c r="BX50" s="260">
        <v>0</v>
      </c>
      <c r="BY50" s="260">
        <v>0</v>
      </c>
      <c r="BZ50" s="260">
        <v>0</v>
      </c>
      <c r="CA50" s="260">
        <v>0</v>
      </c>
      <c r="CB50" s="260">
        <v>0</v>
      </c>
      <c r="CC50" s="260">
        <v>0</v>
      </c>
      <c r="CD50" s="260">
        <v>0</v>
      </c>
      <c r="CE50" s="260">
        <v>0</v>
      </c>
      <c r="CF50" s="260">
        <v>0</v>
      </c>
      <c r="CG50" s="260">
        <v>0</v>
      </c>
      <c r="CH50" s="260">
        <v>0</v>
      </c>
      <c r="CI50" s="260">
        <v>0</v>
      </c>
      <c r="CJ50" s="260">
        <v>0</v>
      </c>
      <c r="CK50" s="260">
        <v>0</v>
      </c>
      <c r="CL50" s="260">
        <v>0</v>
      </c>
      <c r="CM50" s="260">
        <v>0</v>
      </c>
      <c r="CN50" s="260">
        <v>0</v>
      </c>
      <c r="CO50" s="260">
        <v>0</v>
      </c>
      <c r="CP50" s="260">
        <v>0</v>
      </c>
      <c r="CQ50" s="260">
        <v>0</v>
      </c>
      <c r="CR50" s="260">
        <v>0</v>
      </c>
      <c r="CS50" s="260">
        <v>0</v>
      </c>
      <c r="CT50" s="260">
        <v>0</v>
      </c>
      <c r="CU50" s="260">
        <v>0</v>
      </c>
      <c r="CV50" s="260">
        <v>0</v>
      </c>
      <c r="CW50" s="260">
        <v>0</v>
      </c>
      <c r="CX50" s="260">
        <v>0</v>
      </c>
      <c r="CY50" s="260">
        <v>0</v>
      </c>
      <c r="CZ50" s="260">
        <v>0</v>
      </c>
      <c r="DA50" s="260">
        <v>0</v>
      </c>
      <c r="DB50" s="260">
        <v>0</v>
      </c>
      <c r="DC50" s="260">
        <v>0</v>
      </c>
      <c r="DD50" s="260">
        <v>0</v>
      </c>
      <c r="DE50" s="260">
        <v>0</v>
      </c>
      <c r="DF50" s="260">
        <v>0</v>
      </c>
      <c r="DG50" s="260">
        <v>0</v>
      </c>
      <c r="DH50" s="260">
        <v>0</v>
      </c>
      <c r="DI50" s="260">
        <v>0</v>
      </c>
      <c r="DJ50" s="260">
        <v>0</v>
      </c>
      <c r="DK50" s="260">
        <v>0</v>
      </c>
      <c r="DL50" s="260">
        <v>0</v>
      </c>
      <c r="DM50" s="260">
        <v>0</v>
      </c>
      <c r="DN50" s="260">
        <v>0</v>
      </c>
      <c r="DO50" s="260">
        <v>0</v>
      </c>
      <c r="DP50" s="260">
        <v>0</v>
      </c>
      <c r="DQ50" s="260">
        <v>0</v>
      </c>
      <c r="DR50" s="260">
        <v>0</v>
      </c>
      <c r="DS50" s="260">
        <v>0</v>
      </c>
      <c r="DT50" s="260">
        <v>0</v>
      </c>
      <c r="DU50" s="260">
        <v>0</v>
      </c>
      <c r="DV50" s="260">
        <v>0</v>
      </c>
      <c r="DW50" s="260">
        <v>0</v>
      </c>
      <c r="DX50" s="260">
        <v>0</v>
      </c>
      <c r="DY50" s="260">
        <v>0</v>
      </c>
      <c r="DZ50">
        <v>0</v>
      </c>
      <c r="EA50">
        <v>0</v>
      </c>
    </row>
    <row r="51" spans="10:131" x14ac:dyDescent="0.25">
      <c r="J51" t="str">
        <v>Cutter Disposal Costs</v>
      </c>
      <c r="K51">
        <v>500</v>
      </c>
      <c r="L51" s="260">
        <v>0</v>
      </c>
      <c r="M51" s="260">
        <v>0</v>
      </c>
      <c r="N51" s="260">
        <v>0</v>
      </c>
      <c r="O51" s="260">
        <v>0</v>
      </c>
      <c r="P51" s="260">
        <v>0</v>
      </c>
      <c r="Q51" s="260">
        <v>0</v>
      </c>
      <c r="R51" s="260">
        <v>0</v>
      </c>
      <c r="S51" s="260">
        <v>0</v>
      </c>
      <c r="T51" s="260">
        <v>0</v>
      </c>
      <c r="U51" s="260">
        <v>500</v>
      </c>
      <c r="V51" s="260">
        <v>0</v>
      </c>
      <c r="W51" s="260">
        <v>0</v>
      </c>
      <c r="X51" s="260">
        <v>0</v>
      </c>
      <c r="Y51" s="260">
        <v>0</v>
      </c>
      <c r="Z51" s="260">
        <v>0</v>
      </c>
      <c r="AA51" s="260">
        <v>0</v>
      </c>
      <c r="AB51" s="260">
        <v>0</v>
      </c>
      <c r="AC51" s="260">
        <v>0</v>
      </c>
      <c r="AD51" s="260">
        <v>0</v>
      </c>
      <c r="AE51" s="260">
        <v>0</v>
      </c>
      <c r="AF51" s="260">
        <v>0</v>
      </c>
      <c r="AG51" s="260">
        <v>0</v>
      </c>
      <c r="AH51" s="260">
        <v>0</v>
      </c>
      <c r="AI51" s="260">
        <v>0</v>
      </c>
      <c r="AJ51" s="260">
        <v>0</v>
      </c>
      <c r="AK51" s="260">
        <v>0</v>
      </c>
      <c r="AL51" s="260">
        <v>0</v>
      </c>
      <c r="AM51" s="260">
        <v>0</v>
      </c>
      <c r="AN51" s="260">
        <v>0</v>
      </c>
      <c r="AO51" s="260">
        <v>0</v>
      </c>
      <c r="AP51" s="260">
        <v>0</v>
      </c>
      <c r="AQ51" s="260">
        <v>0</v>
      </c>
      <c r="AR51" s="260">
        <v>0</v>
      </c>
      <c r="AS51" s="260">
        <v>0</v>
      </c>
      <c r="AT51" s="260">
        <v>0</v>
      </c>
      <c r="AU51" s="260">
        <v>0</v>
      </c>
      <c r="AV51" s="260">
        <v>0</v>
      </c>
      <c r="AW51" s="260">
        <v>0</v>
      </c>
      <c r="AX51" s="260">
        <v>0</v>
      </c>
      <c r="AY51" s="260">
        <v>0</v>
      </c>
      <c r="AZ51" s="260">
        <v>0</v>
      </c>
      <c r="BA51" s="260">
        <v>0</v>
      </c>
      <c r="BB51" s="260">
        <v>0</v>
      </c>
      <c r="BC51" s="260">
        <v>0</v>
      </c>
      <c r="BD51" s="260">
        <v>0</v>
      </c>
      <c r="BE51" s="260">
        <v>0</v>
      </c>
      <c r="BF51" s="260">
        <v>0</v>
      </c>
      <c r="BG51" s="260">
        <v>0</v>
      </c>
      <c r="BH51" s="260">
        <v>0</v>
      </c>
      <c r="BI51" s="260">
        <v>0</v>
      </c>
      <c r="BJ51" s="260">
        <v>0</v>
      </c>
      <c r="BK51" s="260">
        <v>0</v>
      </c>
      <c r="BL51" s="260">
        <v>0</v>
      </c>
      <c r="BM51" s="260">
        <v>0</v>
      </c>
      <c r="BN51" s="260">
        <v>0</v>
      </c>
      <c r="BO51" s="260">
        <v>0</v>
      </c>
      <c r="BP51" s="260">
        <v>0</v>
      </c>
      <c r="BQ51" s="260">
        <v>0</v>
      </c>
      <c r="BR51" s="260">
        <v>0</v>
      </c>
      <c r="BS51" s="260">
        <v>0</v>
      </c>
      <c r="BT51" s="260">
        <v>0</v>
      </c>
      <c r="BU51" s="260">
        <v>0</v>
      </c>
      <c r="BV51" s="260">
        <v>0</v>
      </c>
      <c r="BW51" s="260">
        <v>0</v>
      </c>
      <c r="BX51" s="260">
        <v>0</v>
      </c>
      <c r="BY51" s="260">
        <v>0</v>
      </c>
      <c r="BZ51" s="260">
        <v>0</v>
      </c>
      <c r="CA51" s="260">
        <v>0</v>
      </c>
      <c r="CB51" s="260">
        <v>0</v>
      </c>
      <c r="CC51" s="260">
        <v>0</v>
      </c>
      <c r="CD51" s="260">
        <v>0</v>
      </c>
      <c r="CE51" s="260">
        <v>0</v>
      </c>
      <c r="CF51" s="260">
        <v>0</v>
      </c>
      <c r="CG51" s="260">
        <v>0</v>
      </c>
      <c r="CH51" s="260">
        <v>0</v>
      </c>
      <c r="CI51" s="260">
        <v>0</v>
      </c>
      <c r="CJ51" s="260">
        <v>0</v>
      </c>
      <c r="CK51" s="260">
        <v>0</v>
      </c>
      <c r="CL51" s="260">
        <v>0</v>
      </c>
      <c r="CM51" s="260">
        <v>0</v>
      </c>
      <c r="CN51" s="260">
        <v>0</v>
      </c>
      <c r="CO51" s="260">
        <v>0</v>
      </c>
      <c r="CP51" s="260">
        <v>0</v>
      </c>
      <c r="CQ51" s="260">
        <v>0</v>
      </c>
      <c r="CR51" s="260">
        <v>0</v>
      </c>
      <c r="CS51" s="260">
        <v>0</v>
      </c>
      <c r="CT51" s="260">
        <v>0</v>
      </c>
      <c r="CU51" s="260">
        <v>0</v>
      </c>
      <c r="CV51" s="260">
        <v>0</v>
      </c>
      <c r="CW51" s="260">
        <v>0</v>
      </c>
      <c r="CX51" s="260">
        <v>0</v>
      </c>
      <c r="CY51" s="260">
        <v>0</v>
      </c>
      <c r="CZ51" s="260">
        <v>0</v>
      </c>
      <c r="DA51" s="260">
        <v>0</v>
      </c>
      <c r="DB51" s="260">
        <v>0</v>
      </c>
      <c r="DC51" s="260">
        <v>0</v>
      </c>
      <c r="DD51" s="260">
        <v>0</v>
      </c>
      <c r="DE51" s="260">
        <v>0</v>
      </c>
      <c r="DF51" s="260">
        <v>0</v>
      </c>
      <c r="DG51" s="260">
        <v>0</v>
      </c>
      <c r="DH51" s="260">
        <v>0</v>
      </c>
      <c r="DI51" s="260">
        <v>0</v>
      </c>
      <c r="DJ51" s="260">
        <v>0</v>
      </c>
      <c r="DK51" s="260">
        <v>0</v>
      </c>
      <c r="DL51" s="260">
        <v>0</v>
      </c>
      <c r="DM51" s="260">
        <v>0</v>
      </c>
      <c r="DN51" s="260">
        <v>0</v>
      </c>
      <c r="DO51" s="260">
        <v>0</v>
      </c>
      <c r="DP51" s="260">
        <v>0</v>
      </c>
      <c r="DQ51" s="260">
        <v>0</v>
      </c>
      <c r="DR51" s="260">
        <v>0</v>
      </c>
      <c r="DS51" s="260">
        <v>0</v>
      </c>
      <c r="DT51" s="260">
        <v>0</v>
      </c>
      <c r="DU51" s="260">
        <v>0</v>
      </c>
      <c r="DV51" s="260">
        <v>0</v>
      </c>
      <c r="DW51" s="260">
        <v>0</v>
      </c>
      <c r="DX51" s="260">
        <v>0</v>
      </c>
      <c r="DY51" s="260">
        <v>0</v>
      </c>
      <c r="DZ51">
        <v>0</v>
      </c>
      <c r="EA51">
        <v>0</v>
      </c>
    </row>
    <row r="52" spans="10:131" x14ac:dyDescent="0.25">
      <c r="J52" t="str">
        <v/>
      </c>
      <c r="K52">
        <v>0</v>
      </c>
      <c r="L52" s="260" t="str">
        <v/>
      </c>
      <c r="M52" s="260" t="str">
        <v/>
      </c>
      <c r="N52" s="260" t="str">
        <v/>
      </c>
      <c r="O52" s="260" t="str">
        <v/>
      </c>
      <c r="P52" s="260" t="str">
        <v/>
      </c>
      <c r="Q52" s="260" t="str">
        <v/>
      </c>
      <c r="R52" s="260" t="str">
        <v/>
      </c>
      <c r="S52" s="260" t="str">
        <v/>
      </c>
      <c r="T52" s="260" t="str">
        <v/>
      </c>
      <c r="U52" s="260" t="str">
        <v/>
      </c>
      <c r="V52" s="260" t="str">
        <v/>
      </c>
      <c r="W52" s="260" t="str">
        <v/>
      </c>
      <c r="X52" s="260" t="str">
        <v/>
      </c>
      <c r="Y52" s="260" t="str">
        <v/>
      </c>
      <c r="Z52" s="260" t="str">
        <v/>
      </c>
      <c r="AA52" s="260" t="str">
        <v/>
      </c>
      <c r="AB52" s="260" t="str">
        <v/>
      </c>
      <c r="AC52" s="260" t="str">
        <v/>
      </c>
      <c r="AD52" s="260" t="str">
        <v/>
      </c>
      <c r="AE52" s="260" t="str">
        <v/>
      </c>
      <c r="AF52" s="260" t="str">
        <v/>
      </c>
      <c r="AG52" s="260" t="str">
        <v/>
      </c>
      <c r="AH52" s="260" t="str">
        <v/>
      </c>
      <c r="AI52" s="260" t="str">
        <v/>
      </c>
      <c r="AJ52" s="260" t="str">
        <v/>
      </c>
      <c r="AK52" s="260" t="str">
        <v/>
      </c>
      <c r="AL52" s="260" t="str">
        <v/>
      </c>
      <c r="AM52" s="260" t="str">
        <v/>
      </c>
      <c r="AN52" s="260" t="str">
        <v/>
      </c>
      <c r="AO52" s="260" t="str">
        <v/>
      </c>
      <c r="AP52" s="260" t="str">
        <v/>
      </c>
      <c r="AQ52" s="260" t="str">
        <v/>
      </c>
      <c r="AR52" s="260" t="str">
        <v/>
      </c>
      <c r="AS52" s="260" t="str">
        <v/>
      </c>
      <c r="AT52" s="260" t="str">
        <v/>
      </c>
      <c r="AU52" s="260" t="str">
        <v/>
      </c>
      <c r="AV52" s="260" t="str">
        <v/>
      </c>
      <c r="AW52" s="260" t="str">
        <v/>
      </c>
      <c r="AX52" s="260" t="str">
        <v/>
      </c>
      <c r="AY52" s="260" t="str">
        <v/>
      </c>
      <c r="AZ52" s="260" t="str">
        <v/>
      </c>
      <c r="BA52" s="260" t="str">
        <v/>
      </c>
      <c r="BB52" s="260" t="str">
        <v/>
      </c>
      <c r="BC52" s="260" t="str">
        <v/>
      </c>
      <c r="BD52" s="260" t="str">
        <v/>
      </c>
      <c r="BE52" s="260" t="str">
        <v/>
      </c>
      <c r="BF52" s="260" t="str">
        <v/>
      </c>
      <c r="BG52" s="260" t="str">
        <v/>
      </c>
      <c r="BH52" s="260" t="str">
        <v/>
      </c>
      <c r="BI52" s="260" t="str">
        <v/>
      </c>
      <c r="BJ52" s="260" t="str">
        <v/>
      </c>
      <c r="BK52" s="260" t="str">
        <v/>
      </c>
      <c r="BL52" s="260" t="str">
        <v/>
      </c>
      <c r="BM52" s="260" t="str">
        <v/>
      </c>
      <c r="BN52" s="260" t="str">
        <v/>
      </c>
      <c r="BO52" s="260" t="str">
        <v/>
      </c>
      <c r="BP52" s="260" t="str">
        <v/>
      </c>
      <c r="BQ52" s="260" t="str">
        <v/>
      </c>
      <c r="BR52" s="260" t="str">
        <v/>
      </c>
      <c r="BS52" s="260" t="str">
        <v/>
      </c>
      <c r="BT52" s="260" t="str">
        <v/>
      </c>
      <c r="BU52" s="260" t="str">
        <v/>
      </c>
      <c r="BV52" s="260" t="str">
        <v/>
      </c>
      <c r="BW52" s="260" t="str">
        <v/>
      </c>
      <c r="BX52" s="260" t="str">
        <v/>
      </c>
      <c r="BY52" s="260" t="str">
        <v/>
      </c>
      <c r="BZ52" s="260" t="str">
        <v/>
      </c>
      <c r="CA52" s="260" t="str">
        <v/>
      </c>
      <c r="CB52" s="260" t="str">
        <v/>
      </c>
      <c r="CC52" s="260" t="str">
        <v/>
      </c>
      <c r="CD52" s="260" t="str">
        <v/>
      </c>
      <c r="CE52" s="260" t="str">
        <v/>
      </c>
      <c r="CF52" s="260" t="str">
        <v/>
      </c>
      <c r="CG52" s="260" t="str">
        <v/>
      </c>
      <c r="CH52" s="260" t="str">
        <v/>
      </c>
      <c r="CI52" s="260" t="str">
        <v/>
      </c>
      <c r="CJ52" s="260" t="str">
        <v/>
      </c>
      <c r="CK52" s="260" t="str">
        <v/>
      </c>
      <c r="CL52" s="260" t="str">
        <v/>
      </c>
      <c r="CM52" s="260" t="str">
        <v/>
      </c>
      <c r="CN52" s="260" t="str">
        <v/>
      </c>
      <c r="CO52" s="260" t="str">
        <v/>
      </c>
      <c r="CP52" s="260" t="str">
        <v/>
      </c>
      <c r="CQ52" s="260" t="str">
        <v/>
      </c>
      <c r="CR52" s="260" t="str">
        <v/>
      </c>
      <c r="CS52" s="260" t="str">
        <v/>
      </c>
      <c r="CT52" s="260" t="str">
        <v/>
      </c>
      <c r="CU52" s="260" t="str">
        <v/>
      </c>
      <c r="CV52" s="260" t="str">
        <v/>
      </c>
      <c r="CW52" s="260" t="str">
        <v/>
      </c>
      <c r="CX52" s="260" t="str">
        <v/>
      </c>
      <c r="CY52" s="260" t="str">
        <v/>
      </c>
      <c r="CZ52" s="260" t="str">
        <v/>
      </c>
      <c r="DA52" s="260" t="str">
        <v/>
      </c>
      <c r="DB52" s="260" t="str">
        <v/>
      </c>
      <c r="DC52" s="260" t="str">
        <v/>
      </c>
      <c r="DD52" s="260" t="str">
        <v/>
      </c>
      <c r="DE52" s="260" t="str">
        <v/>
      </c>
      <c r="DF52" s="260" t="str">
        <v/>
      </c>
      <c r="DG52" s="260" t="str">
        <v/>
      </c>
      <c r="DH52" s="260" t="str">
        <v/>
      </c>
      <c r="DI52" s="260" t="str">
        <v/>
      </c>
      <c r="DJ52" s="260" t="str">
        <v/>
      </c>
      <c r="DK52" s="260" t="str">
        <v/>
      </c>
      <c r="DL52" s="260" t="str">
        <v/>
      </c>
      <c r="DM52" s="260" t="str">
        <v/>
      </c>
      <c r="DN52" s="260" t="str">
        <v/>
      </c>
      <c r="DO52" s="260" t="str">
        <v/>
      </c>
      <c r="DP52" s="260" t="str">
        <v/>
      </c>
      <c r="DQ52" s="260" t="str">
        <v/>
      </c>
      <c r="DR52" s="260" t="str">
        <v/>
      </c>
      <c r="DS52" s="260" t="str">
        <v/>
      </c>
      <c r="DT52" s="260" t="str">
        <v/>
      </c>
      <c r="DU52" s="260" t="str">
        <v/>
      </c>
      <c r="DV52" s="260" t="str">
        <v/>
      </c>
      <c r="DW52" s="260" t="str">
        <v/>
      </c>
      <c r="DX52" s="260" t="str">
        <v/>
      </c>
      <c r="DY52" s="260" t="str">
        <v/>
      </c>
      <c r="DZ52" t="str">
        <v/>
      </c>
      <c r="EA52" t="str">
        <v/>
      </c>
    </row>
    <row r="53" spans="10:131" x14ac:dyDescent="0.25">
      <c r="J53" t="str">
        <v>Press CAPEX</v>
      </c>
      <c r="K53">
        <v>10000</v>
      </c>
      <c r="L53" s="260">
        <v>10000</v>
      </c>
      <c r="M53" s="260">
        <v>0</v>
      </c>
      <c r="N53" s="260">
        <v>0</v>
      </c>
      <c r="O53" s="260">
        <v>0</v>
      </c>
      <c r="P53" s="260">
        <v>0</v>
      </c>
      <c r="Q53" s="260">
        <v>0</v>
      </c>
      <c r="R53" s="260">
        <v>0</v>
      </c>
      <c r="S53" s="260">
        <v>0</v>
      </c>
      <c r="T53" s="260">
        <v>0</v>
      </c>
      <c r="U53" s="260">
        <v>0</v>
      </c>
      <c r="V53" s="260">
        <v>0</v>
      </c>
      <c r="W53" s="260">
        <v>0</v>
      </c>
      <c r="X53" s="260">
        <v>0</v>
      </c>
      <c r="Y53" s="260">
        <v>0</v>
      </c>
      <c r="Z53" s="260">
        <v>0</v>
      </c>
      <c r="AA53" s="260">
        <v>0</v>
      </c>
      <c r="AB53" s="260">
        <v>0</v>
      </c>
      <c r="AC53" s="260">
        <v>0</v>
      </c>
      <c r="AD53" s="260">
        <v>0</v>
      </c>
      <c r="AE53" s="260">
        <v>0</v>
      </c>
      <c r="AF53" s="260">
        <v>0</v>
      </c>
      <c r="AG53" s="260">
        <v>0</v>
      </c>
      <c r="AH53" s="260">
        <v>0</v>
      </c>
      <c r="AI53" s="260">
        <v>0</v>
      </c>
      <c r="AJ53" s="260">
        <v>0</v>
      </c>
      <c r="AK53" s="260">
        <v>0</v>
      </c>
      <c r="AL53" s="260">
        <v>0</v>
      </c>
      <c r="AM53" s="260">
        <v>0</v>
      </c>
      <c r="AN53" s="260">
        <v>0</v>
      </c>
      <c r="AO53" s="260">
        <v>0</v>
      </c>
      <c r="AP53" s="260">
        <v>0</v>
      </c>
      <c r="AQ53" s="260">
        <v>0</v>
      </c>
      <c r="AR53" s="260">
        <v>0</v>
      </c>
      <c r="AS53" s="260">
        <v>0</v>
      </c>
      <c r="AT53" s="260">
        <v>0</v>
      </c>
      <c r="AU53" s="260">
        <v>0</v>
      </c>
      <c r="AV53" s="260">
        <v>0</v>
      </c>
      <c r="AW53" s="260">
        <v>0</v>
      </c>
      <c r="AX53" s="260">
        <v>0</v>
      </c>
      <c r="AY53" s="260">
        <v>0</v>
      </c>
      <c r="AZ53" s="260">
        <v>0</v>
      </c>
      <c r="BA53" s="260">
        <v>0</v>
      </c>
      <c r="BB53" s="260">
        <v>0</v>
      </c>
      <c r="BC53" s="260">
        <v>0</v>
      </c>
      <c r="BD53" s="260">
        <v>0</v>
      </c>
      <c r="BE53" s="260">
        <v>0</v>
      </c>
      <c r="BF53" s="260">
        <v>0</v>
      </c>
      <c r="BG53" s="260">
        <v>0</v>
      </c>
      <c r="BH53" s="260">
        <v>0</v>
      </c>
      <c r="BI53" s="260">
        <v>0</v>
      </c>
      <c r="BJ53" s="260">
        <v>0</v>
      </c>
      <c r="BK53" s="260">
        <v>0</v>
      </c>
      <c r="BL53" s="260">
        <v>0</v>
      </c>
      <c r="BM53" s="260">
        <v>0</v>
      </c>
      <c r="BN53" s="260">
        <v>0</v>
      </c>
      <c r="BO53" s="260">
        <v>0</v>
      </c>
      <c r="BP53" s="260">
        <v>0</v>
      </c>
      <c r="BQ53" s="260">
        <v>0</v>
      </c>
      <c r="BR53" s="260">
        <v>0</v>
      </c>
      <c r="BS53" s="260">
        <v>0</v>
      </c>
      <c r="BT53" s="260">
        <v>0</v>
      </c>
      <c r="BU53" s="260">
        <v>0</v>
      </c>
      <c r="BV53" s="260">
        <v>0</v>
      </c>
      <c r="BW53" s="260">
        <v>0</v>
      </c>
      <c r="BX53" s="260">
        <v>0</v>
      </c>
      <c r="BY53" s="260">
        <v>0</v>
      </c>
      <c r="BZ53" s="260">
        <v>0</v>
      </c>
      <c r="CA53" s="260">
        <v>0</v>
      </c>
      <c r="CB53" s="260">
        <v>0</v>
      </c>
      <c r="CC53" s="260">
        <v>0</v>
      </c>
      <c r="CD53" s="260">
        <v>0</v>
      </c>
      <c r="CE53" s="260">
        <v>0</v>
      </c>
      <c r="CF53" s="260">
        <v>0</v>
      </c>
      <c r="CG53" s="260">
        <v>0</v>
      </c>
      <c r="CH53" s="260">
        <v>0</v>
      </c>
      <c r="CI53" s="260">
        <v>0</v>
      </c>
      <c r="CJ53" s="260">
        <v>0</v>
      </c>
      <c r="CK53" s="260">
        <v>0</v>
      </c>
      <c r="CL53" s="260">
        <v>0</v>
      </c>
      <c r="CM53" s="260">
        <v>0</v>
      </c>
      <c r="CN53" s="260">
        <v>0</v>
      </c>
      <c r="CO53" s="260">
        <v>0</v>
      </c>
      <c r="CP53" s="260">
        <v>0</v>
      </c>
      <c r="CQ53" s="260">
        <v>0</v>
      </c>
      <c r="CR53" s="260">
        <v>0</v>
      </c>
      <c r="CS53" s="260">
        <v>0</v>
      </c>
      <c r="CT53" s="260">
        <v>0</v>
      </c>
      <c r="CU53" s="260">
        <v>0</v>
      </c>
      <c r="CV53" s="260">
        <v>0</v>
      </c>
      <c r="CW53" s="260">
        <v>0</v>
      </c>
      <c r="CX53" s="260">
        <v>0</v>
      </c>
      <c r="CY53" s="260">
        <v>0</v>
      </c>
      <c r="CZ53" s="260">
        <v>0</v>
      </c>
      <c r="DA53" s="260">
        <v>0</v>
      </c>
      <c r="DB53" s="260">
        <v>0</v>
      </c>
      <c r="DC53" s="260">
        <v>0</v>
      </c>
      <c r="DD53" s="260">
        <v>0</v>
      </c>
      <c r="DE53" s="260">
        <v>0</v>
      </c>
      <c r="DF53" s="260">
        <v>0</v>
      </c>
      <c r="DG53" s="260">
        <v>0</v>
      </c>
      <c r="DH53" s="260">
        <v>0</v>
      </c>
      <c r="DI53" s="260">
        <v>0</v>
      </c>
      <c r="DJ53" s="260">
        <v>0</v>
      </c>
      <c r="DK53" s="260">
        <v>0</v>
      </c>
      <c r="DL53" s="260">
        <v>0</v>
      </c>
      <c r="DM53" s="260">
        <v>0</v>
      </c>
      <c r="DN53" s="260">
        <v>0</v>
      </c>
      <c r="DO53" s="260">
        <v>0</v>
      </c>
      <c r="DP53" s="260">
        <v>0</v>
      </c>
      <c r="DQ53" s="260">
        <v>0</v>
      </c>
      <c r="DR53" s="260">
        <v>0</v>
      </c>
      <c r="DS53" s="260">
        <v>0</v>
      </c>
      <c r="DT53" s="260">
        <v>0</v>
      </c>
      <c r="DU53" s="260">
        <v>0</v>
      </c>
      <c r="DV53" s="260">
        <v>0</v>
      </c>
      <c r="DW53" s="260">
        <v>0</v>
      </c>
      <c r="DX53" s="260">
        <v>0</v>
      </c>
      <c r="DY53" s="260">
        <v>0</v>
      </c>
      <c r="DZ53">
        <v>0</v>
      </c>
      <c r="EA53">
        <v>0</v>
      </c>
    </row>
    <row r="54" spans="10:131" x14ac:dyDescent="0.25">
      <c r="J54" t="str">
        <v>Press Opening Value</v>
      </c>
      <c r="K54">
        <v>0</v>
      </c>
      <c r="L54" s="260">
        <v>10000</v>
      </c>
      <c r="M54" s="260">
        <v>8499.9699999999993</v>
      </c>
      <c r="N54" s="260">
        <v>6800.03</v>
      </c>
      <c r="O54" s="260">
        <v>5439.9699999999993</v>
      </c>
      <c r="P54" s="260">
        <v>4352.03</v>
      </c>
      <c r="Q54" s="260">
        <v>3481.57</v>
      </c>
      <c r="R54" s="260">
        <v>2785.3099999999986</v>
      </c>
      <c r="S54" s="260">
        <v>2228.2299999999973</v>
      </c>
      <c r="T54" s="260">
        <v>1782.6019999999967</v>
      </c>
      <c r="U54" s="260">
        <v>1426.0815999999959</v>
      </c>
      <c r="V54" s="260">
        <v>710.55727999999499</v>
      </c>
      <c r="W54" s="260">
        <v>499.99999999999886</v>
      </c>
      <c r="X54" s="260">
        <v>0</v>
      </c>
      <c r="Y54" s="260">
        <v>0</v>
      </c>
      <c r="Z54" s="260">
        <v>0</v>
      </c>
      <c r="AA54" s="260">
        <v>0</v>
      </c>
      <c r="AB54" s="260">
        <v>0</v>
      </c>
      <c r="AC54" s="260">
        <v>0</v>
      </c>
      <c r="AD54" s="260">
        <v>0</v>
      </c>
      <c r="AE54" s="260">
        <v>0</v>
      </c>
      <c r="AF54" s="260">
        <v>0</v>
      </c>
      <c r="AG54" s="260">
        <v>0</v>
      </c>
      <c r="AH54" s="260">
        <v>0</v>
      </c>
      <c r="AI54" s="260">
        <v>0</v>
      </c>
      <c r="AJ54" s="260">
        <v>0</v>
      </c>
      <c r="AK54" s="260">
        <v>0</v>
      </c>
      <c r="AL54" s="260">
        <v>0</v>
      </c>
      <c r="AM54" s="260">
        <v>0</v>
      </c>
      <c r="AN54" s="260">
        <v>0</v>
      </c>
      <c r="AO54" s="260">
        <v>0</v>
      </c>
      <c r="AP54" s="260">
        <v>0</v>
      </c>
      <c r="AQ54" s="260">
        <v>0</v>
      </c>
      <c r="AR54" s="260">
        <v>0</v>
      </c>
      <c r="AS54" s="260">
        <v>0</v>
      </c>
      <c r="AT54" s="260">
        <v>0</v>
      </c>
      <c r="AU54" s="260">
        <v>0</v>
      </c>
      <c r="AV54" s="260">
        <v>0</v>
      </c>
      <c r="AW54" s="260">
        <v>0</v>
      </c>
      <c r="AX54" s="260">
        <v>0</v>
      </c>
      <c r="AY54" s="260">
        <v>0</v>
      </c>
      <c r="AZ54" s="260">
        <v>0</v>
      </c>
      <c r="BA54" s="260">
        <v>0</v>
      </c>
      <c r="BB54" s="260">
        <v>0</v>
      </c>
      <c r="BC54" s="260">
        <v>0</v>
      </c>
      <c r="BD54" s="260">
        <v>0</v>
      </c>
      <c r="BE54" s="260">
        <v>0</v>
      </c>
      <c r="BF54" s="260">
        <v>0</v>
      </c>
      <c r="BG54" s="260">
        <v>0</v>
      </c>
      <c r="BH54" s="260">
        <v>0</v>
      </c>
      <c r="BI54" s="260">
        <v>0</v>
      </c>
      <c r="BJ54" s="260">
        <v>0</v>
      </c>
      <c r="BK54" s="260">
        <v>0</v>
      </c>
      <c r="BL54" s="260">
        <v>0</v>
      </c>
      <c r="BM54" s="260">
        <v>0</v>
      </c>
      <c r="BN54" s="260">
        <v>0</v>
      </c>
      <c r="BO54" s="260">
        <v>0</v>
      </c>
      <c r="BP54" s="260">
        <v>0</v>
      </c>
      <c r="BQ54" s="260">
        <v>0</v>
      </c>
      <c r="BR54" s="260">
        <v>0</v>
      </c>
      <c r="BS54" s="260">
        <v>0</v>
      </c>
      <c r="BT54" s="260">
        <v>0</v>
      </c>
      <c r="BU54" s="260">
        <v>0</v>
      </c>
      <c r="BV54" s="260">
        <v>0</v>
      </c>
      <c r="BW54" s="260">
        <v>0</v>
      </c>
      <c r="BX54" s="260">
        <v>0</v>
      </c>
      <c r="BY54" s="260">
        <v>0</v>
      </c>
      <c r="BZ54" s="260">
        <v>0</v>
      </c>
      <c r="CA54" s="260">
        <v>0</v>
      </c>
      <c r="CB54" s="260">
        <v>0</v>
      </c>
      <c r="CC54" s="260">
        <v>0</v>
      </c>
      <c r="CD54" s="260">
        <v>0</v>
      </c>
      <c r="CE54" s="260">
        <v>0</v>
      </c>
      <c r="CF54" s="260">
        <v>0</v>
      </c>
      <c r="CG54" s="260">
        <v>0</v>
      </c>
      <c r="CH54" s="260">
        <v>0</v>
      </c>
      <c r="CI54" s="260">
        <v>0</v>
      </c>
      <c r="CJ54" s="260">
        <v>0</v>
      </c>
      <c r="CK54" s="260">
        <v>0</v>
      </c>
      <c r="CL54" s="260">
        <v>0</v>
      </c>
      <c r="CM54" s="260">
        <v>0</v>
      </c>
      <c r="CN54" s="260">
        <v>0</v>
      </c>
      <c r="CO54" s="260">
        <v>0</v>
      </c>
      <c r="CP54" s="260">
        <v>0</v>
      </c>
      <c r="CQ54" s="260">
        <v>0</v>
      </c>
      <c r="CR54" s="260">
        <v>0</v>
      </c>
      <c r="CS54" s="260">
        <v>0</v>
      </c>
      <c r="CT54" s="260">
        <v>0</v>
      </c>
      <c r="CU54" s="260">
        <v>0</v>
      </c>
      <c r="CV54" s="260">
        <v>0</v>
      </c>
      <c r="CW54" s="260">
        <v>0</v>
      </c>
      <c r="CX54" s="260">
        <v>0</v>
      </c>
      <c r="CY54" s="260">
        <v>0</v>
      </c>
      <c r="CZ54" s="260">
        <v>0</v>
      </c>
      <c r="DA54" s="260">
        <v>0</v>
      </c>
      <c r="DB54" s="260">
        <v>0</v>
      </c>
      <c r="DC54" s="260">
        <v>0</v>
      </c>
      <c r="DD54" s="260">
        <v>0</v>
      </c>
      <c r="DE54" s="260">
        <v>0</v>
      </c>
      <c r="DF54" s="260">
        <v>0</v>
      </c>
      <c r="DG54" s="260">
        <v>0</v>
      </c>
      <c r="DH54" s="260">
        <v>0</v>
      </c>
      <c r="DI54" s="260">
        <v>0</v>
      </c>
      <c r="DJ54" s="260">
        <v>0</v>
      </c>
      <c r="DK54" s="260">
        <v>0</v>
      </c>
      <c r="DL54" s="260">
        <v>0</v>
      </c>
      <c r="DM54" s="260">
        <v>0</v>
      </c>
      <c r="DN54" s="260">
        <v>0</v>
      </c>
      <c r="DO54" s="260">
        <v>0</v>
      </c>
      <c r="DP54" s="260">
        <v>0</v>
      </c>
      <c r="DQ54" s="260">
        <v>0</v>
      </c>
      <c r="DR54" s="260">
        <v>0</v>
      </c>
      <c r="DS54" s="260">
        <v>0</v>
      </c>
      <c r="DT54" s="260">
        <v>0</v>
      </c>
      <c r="DU54" s="260">
        <v>0</v>
      </c>
      <c r="DV54" s="260">
        <v>0</v>
      </c>
      <c r="DW54" s="260">
        <v>0</v>
      </c>
      <c r="DX54" s="260">
        <v>0</v>
      </c>
      <c r="DY54" s="260">
        <v>0</v>
      </c>
      <c r="DZ54">
        <v>0</v>
      </c>
      <c r="EA54">
        <v>0</v>
      </c>
    </row>
    <row r="55" spans="10:131" x14ac:dyDescent="0.25">
      <c r="J55" t="str">
        <v>Press Depreciation</v>
      </c>
      <c r="K55">
        <v>9999.9999999999982</v>
      </c>
      <c r="L55" s="260">
        <v>1500.03</v>
      </c>
      <c r="M55" s="260">
        <v>1699.9399999999996</v>
      </c>
      <c r="N55" s="260">
        <v>1360.0600000000002</v>
      </c>
      <c r="O55" s="260">
        <v>1087.9400000000005</v>
      </c>
      <c r="P55" s="260">
        <v>870.45999999999992</v>
      </c>
      <c r="Q55" s="260">
        <v>696.26000000000056</v>
      </c>
      <c r="R55" s="260">
        <v>557.08000000000038</v>
      </c>
      <c r="S55" s="260">
        <v>445.62800000000027</v>
      </c>
      <c r="T55" s="260">
        <v>356.52040000000034</v>
      </c>
      <c r="U55" s="260">
        <v>715.52432000000044</v>
      </c>
      <c r="V55" s="260">
        <v>210.55727999999601</v>
      </c>
      <c r="W55" s="260">
        <v>500</v>
      </c>
      <c r="X55" s="260">
        <v>0</v>
      </c>
      <c r="Y55" s="260">
        <v>0</v>
      </c>
      <c r="Z55" s="260">
        <v>0</v>
      </c>
      <c r="AA55" s="260">
        <v>0</v>
      </c>
      <c r="AB55" s="260">
        <v>0</v>
      </c>
      <c r="AC55" s="260">
        <v>0</v>
      </c>
      <c r="AD55" s="260">
        <v>0</v>
      </c>
      <c r="AE55" s="260">
        <v>0</v>
      </c>
      <c r="AF55" s="260">
        <v>0</v>
      </c>
      <c r="AG55" s="260">
        <v>0</v>
      </c>
      <c r="AH55" s="260">
        <v>0</v>
      </c>
      <c r="AI55" s="260">
        <v>0</v>
      </c>
      <c r="AJ55" s="260">
        <v>0</v>
      </c>
      <c r="AK55" s="260">
        <v>0</v>
      </c>
      <c r="AL55" s="260">
        <v>0</v>
      </c>
      <c r="AM55" s="260">
        <v>0</v>
      </c>
      <c r="AN55" s="260">
        <v>0</v>
      </c>
      <c r="AO55" s="260">
        <v>0</v>
      </c>
      <c r="AP55" s="260">
        <v>0</v>
      </c>
      <c r="AQ55" s="260">
        <v>0</v>
      </c>
      <c r="AR55" s="260">
        <v>0</v>
      </c>
      <c r="AS55" s="260">
        <v>0</v>
      </c>
      <c r="AT55" s="260">
        <v>0</v>
      </c>
      <c r="AU55" s="260">
        <v>0</v>
      </c>
      <c r="AV55" s="260">
        <v>0</v>
      </c>
      <c r="AW55" s="260">
        <v>0</v>
      </c>
      <c r="AX55" s="260">
        <v>0</v>
      </c>
      <c r="AY55" s="260">
        <v>0</v>
      </c>
      <c r="AZ55" s="260">
        <v>0</v>
      </c>
      <c r="BA55" s="260">
        <v>0</v>
      </c>
      <c r="BB55" s="260">
        <v>0</v>
      </c>
      <c r="BC55" s="260">
        <v>0</v>
      </c>
      <c r="BD55" s="260">
        <v>0</v>
      </c>
      <c r="BE55" s="260">
        <v>0</v>
      </c>
      <c r="BF55" s="260">
        <v>0</v>
      </c>
      <c r="BG55" s="260">
        <v>0</v>
      </c>
      <c r="BH55" s="260">
        <v>0</v>
      </c>
      <c r="BI55" s="260">
        <v>0</v>
      </c>
      <c r="BJ55" s="260">
        <v>0</v>
      </c>
      <c r="BK55" s="260">
        <v>0</v>
      </c>
      <c r="BL55" s="260">
        <v>0</v>
      </c>
      <c r="BM55" s="260">
        <v>0</v>
      </c>
      <c r="BN55" s="260">
        <v>0</v>
      </c>
      <c r="BO55" s="260">
        <v>0</v>
      </c>
      <c r="BP55" s="260">
        <v>0</v>
      </c>
      <c r="BQ55" s="260">
        <v>0</v>
      </c>
      <c r="BR55" s="260">
        <v>0</v>
      </c>
      <c r="BS55" s="260">
        <v>0</v>
      </c>
      <c r="BT55" s="260">
        <v>0</v>
      </c>
      <c r="BU55" s="260">
        <v>0</v>
      </c>
      <c r="BV55" s="260">
        <v>0</v>
      </c>
      <c r="BW55" s="260">
        <v>0</v>
      </c>
      <c r="BX55" s="260">
        <v>0</v>
      </c>
      <c r="BY55" s="260">
        <v>0</v>
      </c>
      <c r="BZ55" s="260">
        <v>0</v>
      </c>
      <c r="CA55" s="260">
        <v>0</v>
      </c>
      <c r="CB55" s="260">
        <v>0</v>
      </c>
      <c r="CC55" s="260">
        <v>0</v>
      </c>
      <c r="CD55" s="260">
        <v>0</v>
      </c>
      <c r="CE55" s="260">
        <v>0</v>
      </c>
      <c r="CF55" s="260">
        <v>0</v>
      </c>
      <c r="CG55" s="260">
        <v>0</v>
      </c>
      <c r="CH55" s="260">
        <v>0</v>
      </c>
      <c r="CI55" s="260">
        <v>0</v>
      </c>
      <c r="CJ55" s="260">
        <v>0</v>
      </c>
      <c r="CK55" s="260">
        <v>0</v>
      </c>
      <c r="CL55" s="260">
        <v>0</v>
      </c>
      <c r="CM55" s="260">
        <v>0</v>
      </c>
      <c r="CN55" s="260">
        <v>0</v>
      </c>
      <c r="CO55" s="260">
        <v>0</v>
      </c>
      <c r="CP55" s="260">
        <v>0</v>
      </c>
      <c r="CQ55" s="260">
        <v>0</v>
      </c>
      <c r="CR55" s="260">
        <v>0</v>
      </c>
      <c r="CS55" s="260">
        <v>0</v>
      </c>
      <c r="CT55" s="260">
        <v>0</v>
      </c>
      <c r="CU55" s="260">
        <v>0</v>
      </c>
      <c r="CV55" s="260">
        <v>0</v>
      </c>
      <c r="CW55" s="260">
        <v>0</v>
      </c>
      <c r="CX55" s="260">
        <v>0</v>
      </c>
      <c r="CY55" s="260">
        <v>0</v>
      </c>
      <c r="CZ55" s="260">
        <v>0</v>
      </c>
      <c r="DA55" s="260">
        <v>0</v>
      </c>
      <c r="DB55" s="260">
        <v>0</v>
      </c>
      <c r="DC55" s="260">
        <v>0</v>
      </c>
      <c r="DD55" s="260">
        <v>0</v>
      </c>
      <c r="DE55" s="260">
        <v>0</v>
      </c>
      <c r="DF55" s="260">
        <v>0</v>
      </c>
      <c r="DG55" s="260">
        <v>0</v>
      </c>
      <c r="DH55" s="260">
        <v>0</v>
      </c>
      <c r="DI55" s="260">
        <v>0</v>
      </c>
      <c r="DJ55" s="260">
        <v>0</v>
      </c>
      <c r="DK55" s="260">
        <v>0</v>
      </c>
      <c r="DL55" s="260">
        <v>0</v>
      </c>
      <c r="DM55" s="260">
        <v>0</v>
      </c>
      <c r="DN55" s="260">
        <v>0</v>
      </c>
      <c r="DO55" s="260">
        <v>0</v>
      </c>
      <c r="DP55" s="260">
        <v>0</v>
      </c>
      <c r="DQ55" s="260">
        <v>0</v>
      </c>
      <c r="DR55" s="260">
        <v>0</v>
      </c>
      <c r="DS55" s="260">
        <v>0</v>
      </c>
      <c r="DT55" s="260">
        <v>0</v>
      </c>
      <c r="DU55" s="260">
        <v>0</v>
      </c>
      <c r="DV55" s="260">
        <v>0</v>
      </c>
      <c r="DW55" s="260">
        <v>0</v>
      </c>
      <c r="DX55" s="260">
        <v>0</v>
      </c>
      <c r="DY55" s="260">
        <v>0</v>
      </c>
      <c r="DZ55">
        <v>0</v>
      </c>
      <c r="EA55">
        <v>0</v>
      </c>
    </row>
    <row r="56" spans="10:131" x14ac:dyDescent="0.25">
      <c r="J56" t="str">
        <v>Press Book Value</v>
      </c>
      <c r="K56">
        <v>0</v>
      </c>
      <c r="L56" s="260">
        <v>8499.9699999999993</v>
      </c>
      <c r="M56" s="260">
        <v>6800.03</v>
      </c>
      <c r="N56" s="260">
        <v>5439.9699999999993</v>
      </c>
      <c r="O56" s="260">
        <v>4352.0299999999988</v>
      </c>
      <c r="P56" s="260">
        <v>3481.5699999999997</v>
      </c>
      <c r="Q56" s="260">
        <v>2785.3099999999995</v>
      </c>
      <c r="R56" s="260">
        <v>2228.2299999999982</v>
      </c>
      <c r="S56" s="260">
        <v>1782.6019999999971</v>
      </c>
      <c r="T56" s="260">
        <v>1426.0815999999963</v>
      </c>
      <c r="U56" s="260">
        <v>710.55727999999544</v>
      </c>
      <c r="V56" s="260">
        <v>499.99999999999898</v>
      </c>
      <c r="W56" s="260">
        <v>-1.1368683772161603E-12</v>
      </c>
      <c r="X56" s="260">
        <v>0</v>
      </c>
      <c r="Y56" s="260">
        <v>0</v>
      </c>
      <c r="Z56" s="260">
        <v>0</v>
      </c>
      <c r="AA56" s="260">
        <v>0</v>
      </c>
      <c r="AB56" s="260">
        <v>0</v>
      </c>
      <c r="AC56" s="260">
        <v>0</v>
      </c>
      <c r="AD56" s="260">
        <v>0</v>
      </c>
      <c r="AE56" s="260">
        <v>0</v>
      </c>
      <c r="AF56" s="260">
        <v>0</v>
      </c>
      <c r="AG56" s="260">
        <v>0</v>
      </c>
      <c r="AH56" s="260">
        <v>0</v>
      </c>
      <c r="AI56" s="260">
        <v>0</v>
      </c>
      <c r="AJ56" s="260">
        <v>0</v>
      </c>
      <c r="AK56" s="260">
        <v>0</v>
      </c>
      <c r="AL56" s="260">
        <v>0</v>
      </c>
      <c r="AM56" s="260">
        <v>0</v>
      </c>
      <c r="AN56" s="260">
        <v>0</v>
      </c>
      <c r="AO56" s="260">
        <v>0</v>
      </c>
      <c r="AP56" s="260">
        <v>0</v>
      </c>
      <c r="AQ56" s="260">
        <v>0</v>
      </c>
      <c r="AR56" s="260">
        <v>0</v>
      </c>
      <c r="AS56" s="260">
        <v>0</v>
      </c>
      <c r="AT56" s="260">
        <v>0</v>
      </c>
      <c r="AU56" s="260">
        <v>0</v>
      </c>
      <c r="AV56" s="260">
        <v>0</v>
      </c>
      <c r="AW56" s="260">
        <v>0</v>
      </c>
      <c r="AX56" s="260">
        <v>0</v>
      </c>
      <c r="AY56" s="260">
        <v>0</v>
      </c>
      <c r="AZ56" s="260">
        <v>0</v>
      </c>
      <c r="BA56" s="260">
        <v>0</v>
      </c>
      <c r="BB56" s="260">
        <v>0</v>
      </c>
      <c r="BC56" s="260">
        <v>0</v>
      </c>
      <c r="BD56" s="260">
        <v>0</v>
      </c>
      <c r="BE56" s="260">
        <v>0</v>
      </c>
      <c r="BF56" s="260">
        <v>0</v>
      </c>
      <c r="BG56" s="260">
        <v>0</v>
      </c>
      <c r="BH56" s="260">
        <v>0</v>
      </c>
      <c r="BI56" s="260">
        <v>0</v>
      </c>
      <c r="BJ56" s="260">
        <v>0</v>
      </c>
      <c r="BK56" s="260">
        <v>0</v>
      </c>
      <c r="BL56" s="260">
        <v>0</v>
      </c>
      <c r="BM56" s="260">
        <v>0</v>
      </c>
      <c r="BN56" s="260">
        <v>0</v>
      </c>
      <c r="BO56" s="260">
        <v>0</v>
      </c>
      <c r="BP56" s="260">
        <v>0</v>
      </c>
      <c r="BQ56" s="260">
        <v>0</v>
      </c>
      <c r="BR56" s="260">
        <v>0</v>
      </c>
      <c r="BS56" s="260">
        <v>0</v>
      </c>
      <c r="BT56" s="260">
        <v>0</v>
      </c>
      <c r="BU56" s="260">
        <v>0</v>
      </c>
      <c r="BV56" s="260">
        <v>0</v>
      </c>
      <c r="BW56" s="260">
        <v>0</v>
      </c>
      <c r="BX56" s="260">
        <v>0</v>
      </c>
      <c r="BY56" s="260">
        <v>0</v>
      </c>
      <c r="BZ56" s="260">
        <v>0</v>
      </c>
      <c r="CA56" s="260">
        <v>0</v>
      </c>
      <c r="CB56" s="260">
        <v>0</v>
      </c>
      <c r="CC56" s="260">
        <v>0</v>
      </c>
      <c r="CD56" s="260">
        <v>0</v>
      </c>
      <c r="CE56" s="260">
        <v>0</v>
      </c>
      <c r="CF56" s="260">
        <v>0</v>
      </c>
      <c r="CG56" s="260">
        <v>0</v>
      </c>
      <c r="CH56" s="260">
        <v>0</v>
      </c>
      <c r="CI56" s="260">
        <v>0</v>
      </c>
      <c r="CJ56" s="260">
        <v>0</v>
      </c>
      <c r="CK56" s="260">
        <v>0</v>
      </c>
      <c r="CL56" s="260">
        <v>0</v>
      </c>
      <c r="CM56" s="260">
        <v>0</v>
      </c>
      <c r="CN56" s="260">
        <v>0</v>
      </c>
      <c r="CO56" s="260">
        <v>0</v>
      </c>
      <c r="CP56" s="260">
        <v>0</v>
      </c>
      <c r="CQ56" s="260">
        <v>0</v>
      </c>
      <c r="CR56" s="260">
        <v>0</v>
      </c>
      <c r="CS56" s="260">
        <v>0</v>
      </c>
      <c r="CT56" s="260">
        <v>0</v>
      </c>
      <c r="CU56" s="260">
        <v>0</v>
      </c>
      <c r="CV56" s="260">
        <v>0</v>
      </c>
      <c r="CW56" s="260">
        <v>0</v>
      </c>
      <c r="CX56" s="260">
        <v>0</v>
      </c>
      <c r="CY56" s="260">
        <v>0</v>
      </c>
      <c r="CZ56" s="260">
        <v>0</v>
      </c>
      <c r="DA56" s="260">
        <v>0</v>
      </c>
      <c r="DB56" s="260">
        <v>0</v>
      </c>
      <c r="DC56" s="260">
        <v>0</v>
      </c>
      <c r="DD56" s="260">
        <v>0</v>
      </c>
      <c r="DE56" s="260">
        <v>0</v>
      </c>
      <c r="DF56" s="260">
        <v>0</v>
      </c>
      <c r="DG56" s="260">
        <v>0</v>
      </c>
      <c r="DH56" s="260">
        <v>0</v>
      </c>
      <c r="DI56" s="260">
        <v>0</v>
      </c>
      <c r="DJ56" s="260">
        <v>0</v>
      </c>
      <c r="DK56" s="260">
        <v>0</v>
      </c>
      <c r="DL56" s="260">
        <v>0</v>
      </c>
      <c r="DM56" s="260">
        <v>0</v>
      </c>
      <c r="DN56" s="260">
        <v>0</v>
      </c>
      <c r="DO56" s="260">
        <v>0</v>
      </c>
      <c r="DP56" s="260">
        <v>0</v>
      </c>
      <c r="DQ56" s="260">
        <v>0</v>
      </c>
      <c r="DR56" s="260">
        <v>0</v>
      </c>
      <c r="DS56" s="260">
        <v>0</v>
      </c>
      <c r="DT56" s="260">
        <v>0</v>
      </c>
      <c r="DU56" s="260">
        <v>0</v>
      </c>
      <c r="DV56" s="260">
        <v>0</v>
      </c>
      <c r="DW56" s="260">
        <v>0</v>
      </c>
      <c r="DX56" s="260">
        <v>0</v>
      </c>
      <c r="DY56" s="260">
        <v>0</v>
      </c>
      <c r="DZ56">
        <v>0</v>
      </c>
      <c r="EA56">
        <v>0</v>
      </c>
    </row>
    <row r="57" spans="10:131" x14ac:dyDescent="0.25">
      <c r="J57" t="str">
        <v>Press Revenue from Sale</v>
      </c>
      <c r="K57">
        <v>500</v>
      </c>
      <c r="L57" s="260">
        <v>0</v>
      </c>
      <c r="M57" s="260">
        <v>0</v>
      </c>
      <c r="N57" s="260">
        <v>0</v>
      </c>
      <c r="O57" s="260">
        <v>0</v>
      </c>
      <c r="P57" s="260">
        <v>0</v>
      </c>
      <c r="Q57" s="260">
        <v>0</v>
      </c>
      <c r="R57" s="260">
        <v>0</v>
      </c>
      <c r="S57" s="260">
        <v>0</v>
      </c>
      <c r="T57" s="260">
        <v>0</v>
      </c>
      <c r="U57" s="260">
        <v>0</v>
      </c>
      <c r="V57" s="260">
        <v>0</v>
      </c>
      <c r="W57" s="260">
        <v>500</v>
      </c>
      <c r="X57" s="260">
        <v>0</v>
      </c>
      <c r="Y57" s="260">
        <v>0</v>
      </c>
      <c r="Z57" s="260">
        <v>0</v>
      </c>
      <c r="AA57" s="260">
        <v>0</v>
      </c>
      <c r="AB57" s="260">
        <v>0</v>
      </c>
      <c r="AC57" s="260">
        <v>0</v>
      </c>
      <c r="AD57" s="260">
        <v>0</v>
      </c>
      <c r="AE57" s="260">
        <v>0</v>
      </c>
      <c r="AF57" s="260">
        <v>0</v>
      </c>
      <c r="AG57" s="260">
        <v>0</v>
      </c>
      <c r="AH57" s="260">
        <v>0</v>
      </c>
      <c r="AI57" s="260">
        <v>0</v>
      </c>
      <c r="AJ57" s="260">
        <v>0</v>
      </c>
      <c r="AK57" s="260">
        <v>0</v>
      </c>
      <c r="AL57" s="260">
        <v>0</v>
      </c>
      <c r="AM57" s="260">
        <v>0</v>
      </c>
      <c r="AN57" s="260">
        <v>0</v>
      </c>
      <c r="AO57" s="260">
        <v>0</v>
      </c>
      <c r="AP57" s="260">
        <v>0</v>
      </c>
      <c r="AQ57" s="260">
        <v>0</v>
      </c>
      <c r="AR57" s="260">
        <v>0</v>
      </c>
      <c r="AS57" s="260">
        <v>0</v>
      </c>
      <c r="AT57" s="260">
        <v>0</v>
      </c>
      <c r="AU57" s="260">
        <v>0</v>
      </c>
      <c r="AV57" s="260">
        <v>0</v>
      </c>
      <c r="AW57" s="260">
        <v>0</v>
      </c>
      <c r="AX57" s="260">
        <v>0</v>
      </c>
      <c r="AY57" s="260">
        <v>0</v>
      </c>
      <c r="AZ57" s="260">
        <v>0</v>
      </c>
      <c r="BA57" s="260">
        <v>0</v>
      </c>
      <c r="BB57" s="260">
        <v>0</v>
      </c>
      <c r="BC57" s="260">
        <v>0</v>
      </c>
      <c r="BD57" s="260">
        <v>0</v>
      </c>
      <c r="BE57" s="260">
        <v>0</v>
      </c>
      <c r="BF57" s="260">
        <v>0</v>
      </c>
      <c r="BG57" s="260">
        <v>0</v>
      </c>
      <c r="BH57" s="260">
        <v>0</v>
      </c>
      <c r="BI57" s="260">
        <v>0</v>
      </c>
      <c r="BJ57" s="260">
        <v>0</v>
      </c>
      <c r="BK57" s="260">
        <v>0</v>
      </c>
      <c r="BL57" s="260">
        <v>0</v>
      </c>
      <c r="BM57" s="260">
        <v>0</v>
      </c>
      <c r="BN57" s="260">
        <v>0</v>
      </c>
      <c r="BO57" s="260">
        <v>0</v>
      </c>
      <c r="BP57" s="260">
        <v>0</v>
      </c>
      <c r="BQ57" s="260">
        <v>0</v>
      </c>
      <c r="BR57" s="260">
        <v>0</v>
      </c>
      <c r="BS57" s="260">
        <v>0</v>
      </c>
      <c r="BT57" s="260">
        <v>0</v>
      </c>
      <c r="BU57" s="260">
        <v>0</v>
      </c>
      <c r="BV57" s="260">
        <v>0</v>
      </c>
      <c r="BW57" s="260">
        <v>0</v>
      </c>
      <c r="BX57" s="260">
        <v>0</v>
      </c>
      <c r="BY57" s="260">
        <v>0</v>
      </c>
      <c r="BZ57" s="260">
        <v>0</v>
      </c>
      <c r="CA57" s="260">
        <v>0</v>
      </c>
      <c r="CB57" s="260">
        <v>0</v>
      </c>
      <c r="CC57" s="260">
        <v>0</v>
      </c>
      <c r="CD57" s="260">
        <v>0</v>
      </c>
      <c r="CE57" s="260">
        <v>0</v>
      </c>
      <c r="CF57" s="260">
        <v>0</v>
      </c>
      <c r="CG57" s="260">
        <v>0</v>
      </c>
      <c r="CH57" s="260">
        <v>0</v>
      </c>
      <c r="CI57" s="260">
        <v>0</v>
      </c>
      <c r="CJ57" s="260">
        <v>0</v>
      </c>
      <c r="CK57" s="260">
        <v>0</v>
      </c>
      <c r="CL57" s="260">
        <v>0</v>
      </c>
      <c r="CM57" s="260">
        <v>0</v>
      </c>
      <c r="CN57" s="260">
        <v>0</v>
      </c>
      <c r="CO57" s="260">
        <v>0</v>
      </c>
      <c r="CP57" s="260">
        <v>0</v>
      </c>
      <c r="CQ57" s="260">
        <v>0</v>
      </c>
      <c r="CR57" s="260">
        <v>0</v>
      </c>
      <c r="CS57" s="260">
        <v>0</v>
      </c>
      <c r="CT57" s="260">
        <v>0</v>
      </c>
      <c r="CU57" s="260">
        <v>0</v>
      </c>
      <c r="CV57" s="260">
        <v>0</v>
      </c>
      <c r="CW57" s="260">
        <v>0</v>
      </c>
      <c r="CX57" s="260">
        <v>0</v>
      </c>
      <c r="CY57" s="260">
        <v>0</v>
      </c>
      <c r="CZ57" s="260">
        <v>0</v>
      </c>
      <c r="DA57" s="260">
        <v>0</v>
      </c>
      <c r="DB57" s="260">
        <v>0</v>
      </c>
      <c r="DC57" s="260">
        <v>0</v>
      </c>
      <c r="DD57" s="260">
        <v>0</v>
      </c>
      <c r="DE57" s="260">
        <v>0</v>
      </c>
      <c r="DF57" s="260">
        <v>0</v>
      </c>
      <c r="DG57" s="260">
        <v>0</v>
      </c>
      <c r="DH57" s="260">
        <v>0</v>
      </c>
      <c r="DI57" s="260">
        <v>0</v>
      </c>
      <c r="DJ57" s="260">
        <v>0</v>
      </c>
      <c r="DK57" s="260">
        <v>0</v>
      </c>
      <c r="DL57" s="260">
        <v>0</v>
      </c>
      <c r="DM57" s="260">
        <v>0</v>
      </c>
      <c r="DN57" s="260">
        <v>0</v>
      </c>
      <c r="DO57" s="260">
        <v>0</v>
      </c>
      <c r="DP57" s="260">
        <v>0</v>
      </c>
      <c r="DQ57" s="260">
        <v>0</v>
      </c>
      <c r="DR57" s="260">
        <v>0</v>
      </c>
      <c r="DS57" s="260">
        <v>0</v>
      </c>
      <c r="DT57" s="260">
        <v>0</v>
      </c>
      <c r="DU57" s="260">
        <v>0</v>
      </c>
      <c r="DV57" s="260">
        <v>0</v>
      </c>
      <c r="DW57" s="260">
        <v>0</v>
      </c>
      <c r="DX57" s="260">
        <v>0</v>
      </c>
      <c r="DY57" s="260">
        <v>0</v>
      </c>
      <c r="DZ57">
        <v>0</v>
      </c>
      <c r="EA57">
        <v>0</v>
      </c>
    </row>
    <row r="58" spans="10:131" x14ac:dyDescent="0.25">
      <c r="J58" t="str">
        <v>Press Disposal Costs</v>
      </c>
      <c r="K58">
        <v>100</v>
      </c>
      <c r="L58" s="260">
        <v>0</v>
      </c>
      <c r="M58" s="260">
        <v>0</v>
      </c>
      <c r="N58" s="260">
        <v>0</v>
      </c>
      <c r="O58" s="260">
        <v>0</v>
      </c>
      <c r="P58" s="260">
        <v>0</v>
      </c>
      <c r="Q58" s="260">
        <v>0</v>
      </c>
      <c r="R58" s="260">
        <v>0</v>
      </c>
      <c r="S58" s="260">
        <v>0</v>
      </c>
      <c r="T58" s="260">
        <v>0</v>
      </c>
      <c r="U58" s="260">
        <v>0</v>
      </c>
      <c r="V58" s="260">
        <v>0</v>
      </c>
      <c r="W58" s="260">
        <v>100</v>
      </c>
      <c r="X58" s="260">
        <v>0</v>
      </c>
      <c r="Y58" s="260">
        <v>0</v>
      </c>
      <c r="Z58" s="260">
        <v>0</v>
      </c>
      <c r="AA58" s="260">
        <v>0</v>
      </c>
      <c r="AB58" s="260">
        <v>0</v>
      </c>
      <c r="AC58" s="260">
        <v>0</v>
      </c>
      <c r="AD58" s="260">
        <v>0</v>
      </c>
      <c r="AE58" s="260">
        <v>0</v>
      </c>
      <c r="AF58" s="260">
        <v>0</v>
      </c>
      <c r="AG58" s="260">
        <v>0</v>
      </c>
      <c r="AH58" s="260">
        <v>0</v>
      </c>
      <c r="AI58" s="260">
        <v>0</v>
      </c>
      <c r="AJ58" s="260">
        <v>0</v>
      </c>
      <c r="AK58" s="260">
        <v>0</v>
      </c>
      <c r="AL58" s="260">
        <v>0</v>
      </c>
      <c r="AM58" s="260">
        <v>0</v>
      </c>
      <c r="AN58" s="260">
        <v>0</v>
      </c>
      <c r="AO58" s="260">
        <v>0</v>
      </c>
      <c r="AP58" s="260">
        <v>0</v>
      </c>
      <c r="AQ58" s="260">
        <v>0</v>
      </c>
      <c r="AR58" s="260">
        <v>0</v>
      </c>
      <c r="AS58" s="260">
        <v>0</v>
      </c>
      <c r="AT58" s="260">
        <v>0</v>
      </c>
      <c r="AU58" s="260">
        <v>0</v>
      </c>
      <c r="AV58" s="260">
        <v>0</v>
      </c>
      <c r="AW58" s="260">
        <v>0</v>
      </c>
      <c r="AX58" s="260">
        <v>0</v>
      </c>
      <c r="AY58" s="260">
        <v>0</v>
      </c>
      <c r="AZ58" s="260">
        <v>0</v>
      </c>
      <c r="BA58" s="260">
        <v>0</v>
      </c>
      <c r="BB58" s="260">
        <v>0</v>
      </c>
      <c r="BC58" s="260">
        <v>0</v>
      </c>
      <c r="BD58" s="260">
        <v>0</v>
      </c>
      <c r="BE58" s="260">
        <v>0</v>
      </c>
      <c r="BF58" s="260">
        <v>0</v>
      </c>
      <c r="BG58" s="260">
        <v>0</v>
      </c>
      <c r="BH58" s="260">
        <v>0</v>
      </c>
      <c r="BI58" s="260">
        <v>0</v>
      </c>
      <c r="BJ58" s="260">
        <v>0</v>
      </c>
      <c r="BK58" s="260">
        <v>0</v>
      </c>
      <c r="BL58" s="260">
        <v>0</v>
      </c>
      <c r="BM58" s="260">
        <v>0</v>
      </c>
      <c r="BN58" s="260">
        <v>0</v>
      </c>
      <c r="BO58" s="260">
        <v>0</v>
      </c>
      <c r="BP58" s="260">
        <v>0</v>
      </c>
      <c r="BQ58" s="260">
        <v>0</v>
      </c>
      <c r="BR58" s="260">
        <v>0</v>
      </c>
      <c r="BS58" s="260">
        <v>0</v>
      </c>
      <c r="BT58" s="260">
        <v>0</v>
      </c>
      <c r="BU58" s="260">
        <v>0</v>
      </c>
      <c r="BV58" s="260">
        <v>0</v>
      </c>
      <c r="BW58" s="260">
        <v>0</v>
      </c>
      <c r="BX58" s="260">
        <v>0</v>
      </c>
      <c r="BY58" s="260">
        <v>0</v>
      </c>
      <c r="BZ58" s="260">
        <v>0</v>
      </c>
      <c r="CA58" s="260">
        <v>0</v>
      </c>
      <c r="CB58" s="260">
        <v>0</v>
      </c>
      <c r="CC58" s="260">
        <v>0</v>
      </c>
      <c r="CD58" s="260">
        <v>0</v>
      </c>
      <c r="CE58" s="260">
        <v>0</v>
      </c>
      <c r="CF58" s="260">
        <v>0</v>
      </c>
      <c r="CG58" s="260">
        <v>0</v>
      </c>
      <c r="CH58" s="260">
        <v>0</v>
      </c>
      <c r="CI58" s="260">
        <v>0</v>
      </c>
      <c r="CJ58" s="260">
        <v>0</v>
      </c>
      <c r="CK58" s="260">
        <v>0</v>
      </c>
      <c r="CL58" s="260">
        <v>0</v>
      </c>
      <c r="CM58" s="260">
        <v>0</v>
      </c>
      <c r="CN58" s="260">
        <v>0</v>
      </c>
      <c r="CO58" s="260">
        <v>0</v>
      </c>
      <c r="CP58" s="260">
        <v>0</v>
      </c>
      <c r="CQ58" s="260">
        <v>0</v>
      </c>
      <c r="CR58" s="260">
        <v>0</v>
      </c>
      <c r="CS58" s="260">
        <v>0</v>
      </c>
      <c r="CT58" s="260">
        <v>0</v>
      </c>
      <c r="CU58" s="260">
        <v>0</v>
      </c>
      <c r="CV58" s="260">
        <v>0</v>
      </c>
      <c r="CW58" s="260">
        <v>0</v>
      </c>
      <c r="CX58" s="260">
        <v>0</v>
      </c>
      <c r="CY58" s="260">
        <v>0</v>
      </c>
      <c r="CZ58" s="260">
        <v>0</v>
      </c>
      <c r="DA58" s="260">
        <v>0</v>
      </c>
      <c r="DB58" s="260">
        <v>0</v>
      </c>
      <c r="DC58" s="260">
        <v>0</v>
      </c>
      <c r="DD58" s="260">
        <v>0</v>
      </c>
      <c r="DE58" s="260">
        <v>0</v>
      </c>
      <c r="DF58" s="260">
        <v>0</v>
      </c>
      <c r="DG58" s="260">
        <v>0</v>
      </c>
      <c r="DH58" s="260">
        <v>0</v>
      </c>
      <c r="DI58" s="260">
        <v>0</v>
      </c>
      <c r="DJ58" s="260">
        <v>0</v>
      </c>
      <c r="DK58" s="260">
        <v>0</v>
      </c>
      <c r="DL58" s="260">
        <v>0</v>
      </c>
      <c r="DM58" s="260">
        <v>0</v>
      </c>
      <c r="DN58" s="260">
        <v>0</v>
      </c>
      <c r="DO58" s="260">
        <v>0</v>
      </c>
      <c r="DP58" s="260">
        <v>0</v>
      </c>
      <c r="DQ58" s="260">
        <v>0</v>
      </c>
      <c r="DR58" s="260">
        <v>0</v>
      </c>
      <c r="DS58" s="260">
        <v>0</v>
      </c>
      <c r="DT58" s="260">
        <v>0</v>
      </c>
      <c r="DU58" s="260">
        <v>0</v>
      </c>
      <c r="DV58" s="260">
        <v>0</v>
      </c>
      <c r="DW58" s="260">
        <v>0</v>
      </c>
      <c r="DX58" s="260">
        <v>0</v>
      </c>
      <c r="DY58" s="260">
        <v>0</v>
      </c>
      <c r="DZ58">
        <v>0</v>
      </c>
      <c r="EA58">
        <v>0</v>
      </c>
    </row>
    <row r="59" spans="10:131" x14ac:dyDescent="0.25">
      <c r="J59" t="str">
        <v/>
      </c>
      <c r="K59">
        <v>0</v>
      </c>
      <c r="L59" s="260" t="str">
        <v/>
      </c>
      <c r="M59" s="260" t="str">
        <v/>
      </c>
      <c r="N59" s="260" t="str">
        <v/>
      </c>
      <c r="O59" s="260" t="str">
        <v/>
      </c>
      <c r="P59" s="260" t="str">
        <v/>
      </c>
      <c r="Q59" s="260" t="str">
        <v/>
      </c>
      <c r="R59" s="260" t="str">
        <v/>
      </c>
      <c r="S59" s="260" t="str">
        <v/>
      </c>
      <c r="T59" s="260" t="str">
        <v/>
      </c>
      <c r="U59" s="260" t="str">
        <v/>
      </c>
      <c r="V59" s="260" t="str">
        <v/>
      </c>
      <c r="W59" s="260" t="str">
        <v/>
      </c>
      <c r="X59" s="260" t="str">
        <v/>
      </c>
      <c r="Y59" s="260" t="str">
        <v/>
      </c>
      <c r="Z59" s="260" t="str">
        <v/>
      </c>
      <c r="AA59" s="260" t="str">
        <v/>
      </c>
      <c r="AB59" s="260" t="str">
        <v/>
      </c>
      <c r="AC59" s="260" t="str">
        <v/>
      </c>
      <c r="AD59" s="260" t="str">
        <v/>
      </c>
      <c r="AE59" s="260" t="str">
        <v/>
      </c>
      <c r="AF59" s="260" t="str">
        <v/>
      </c>
      <c r="AG59" s="260" t="str">
        <v/>
      </c>
      <c r="AH59" s="260" t="str">
        <v/>
      </c>
      <c r="AI59" s="260" t="str">
        <v/>
      </c>
      <c r="AJ59" s="260" t="str">
        <v/>
      </c>
      <c r="AK59" s="260" t="str">
        <v/>
      </c>
      <c r="AL59" s="260" t="str">
        <v/>
      </c>
      <c r="AM59" s="260" t="str">
        <v/>
      </c>
      <c r="AN59" s="260" t="str">
        <v/>
      </c>
      <c r="AO59" s="260" t="str">
        <v/>
      </c>
      <c r="AP59" s="260" t="str">
        <v/>
      </c>
      <c r="AQ59" s="260" t="str">
        <v/>
      </c>
      <c r="AR59" s="260" t="str">
        <v/>
      </c>
      <c r="AS59" s="260" t="str">
        <v/>
      </c>
      <c r="AT59" s="260" t="str">
        <v/>
      </c>
      <c r="AU59" s="260" t="str">
        <v/>
      </c>
      <c r="AV59" s="260" t="str">
        <v/>
      </c>
      <c r="AW59" s="260" t="str">
        <v/>
      </c>
      <c r="AX59" s="260" t="str">
        <v/>
      </c>
      <c r="AY59" s="260" t="str">
        <v/>
      </c>
      <c r="AZ59" s="260" t="str">
        <v/>
      </c>
      <c r="BA59" s="260" t="str">
        <v/>
      </c>
      <c r="BB59" s="260" t="str">
        <v/>
      </c>
      <c r="BC59" s="260" t="str">
        <v/>
      </c>
      <c r="BD59" s="260" t="str">
        <v/>
      </c>
      <c r="BE59" s="260" t="str">
        <v/>
      </c>
      <c r="BF59" s="260" t="str">
        <v/>
      </c>
      <c r="BG59" s="260" t="str">
        <v/>
      </c>
      <c r="BH59" s="260" t="str">
        <v/>
      </c>
      <c r="BI59" s="260" t="str">
        <v/>
      </c>
      <c r="BJ59" s="260" t="str">
        <v/>
      </c>
      <c r="BK59" s="260" t="str">
        <v/>
      </c>
      <c r="BL59" s="260" t="str">
        <v/>
      </c>
      <c r="BM59" s="260" t="str">
        <v/>
      </c>
      <c r="BN59" s="260" t="str">
        <v/>
      </c>
      <c r="BO59" s="260" t="str">
        <v/>
      </c>
      <c r="BP59" s="260" t="str">
        <v/>
      </c>
      <c r="BQ59" s="260" t="str">
        <v/>
      </c>
      <c r="BR59" s="260" t="str">
        <v/>
      </c>
      <c r="BS59" s="260" t="str">
        <v/>
      </c>
      <c r="BT59" s="260" t="str">
        <v/>
      </c>
      <c r="BU59" s="260" t="str">
        <v/>
      </c>
      <c r="BV59" s="260" t="str">
        <v/>
      </c>
      <c r="BW59" s="260" t="str">
        <v/>
      </c>
      <c r="BX59" s="260" t="str">
        <v/>
      </c>
      <c r="BY59" s="260" t="str">
        <v/>
      </c>
      <c r="BZ59" s="260" t="str">
        <v/>
      </c>
      <c r="CA59" s="260" t="str">
        <v/>
      </c>
      <c r="CB59" s="260" t="str">
        <v/>
      </c>
      <c r="CC59" s="260" t="str">
        <v/>
      </c>
      <c r="CD59" s="260" t="str">
        <v/>
      </c>
      <c r="CE59" s="260" t="str">
        <v/>
      </c>
      <c r="CF59" s="260" t="str">
        <v/>
      </c>
      <c r="CG59" s="260" t="str">
        <v/>
      </c>
      <c r="CH59" s="260" t="str">
        <v/>
      </c>
      <c r="CI59" s="260" t="str">
        <v/>
      </c>
      <c r="CJ59" s="260" t="str">
        <v/>
      </c>
      <c r="CK59" s="260" t="str">
        <v/>
      </c>
      <c r="CL59" s="260" t="str">
        <v/>
      </c>
      <c r="CM59" s="260" t="str">
        <v/>
      </c>
      <c r="CN59" s="260" t="str">
        <v/>
      </c>
      <c r="CO59" s="260" t="str">
        <v/>
      </c>
      <c r="CP59" s="260" t="str">
        <v/>
      </c>
      <c r="CQ59" s="260" t="str">
        <v/>
      </c>
      <c r="CR59" s="260" t="str">
        <v/>
      </c>
      <c r="CS59" s="260" t="str">
        <v/>
      </c>
      <c r="CT59" s="260" t="str">
        <v/>
      </c>
      <c r="CU59" s="260" t="str">
        <v/>
      </c>
      <c r="CV59" s="260" t="str">
        <v/>
      </c>
      <c r="CW59" s="260" t="str">
        <v/>
      </c>
      <c r="CX59" s="260" t="str">
        <v/>
      </c>
      <c r="CY59" s="260" t="str">
        <v/>
      </c>
      <c r="CZ59" s="260" t="str">
        <v/>
      </c>
      <c r="DA59" s="260" t="str">
        <v/>
      </c>
      <c r="DB59" s="260" t="str">
        <v/>
      </c>
      <c r="DC59" s="260" t="str">
        <v/>
      </c>
      <c r="DD59" s="260" t="str">
        <v/>
      </c>
      <c r="DE59" s="260" t="str">
        <v/>
      </c>
      <c r="DF59" s="260" t="str">
        <v/>
      </c>
      <c r="DG59" s="260" t="str">
        <v/>
      </c>
      <c r="DH59" s="260" t="str">
        <v/>
      </c>
      <c r="DI59" s="260" t="str">
        <v/>
      </c>
      <c r="DJ59" s="260" t="str">
        <v/>
      </c>
      <c r="DK59" s="260" t="str">
        <v/>
      </c>
      <c r="DL59" s="260" t="str">
        <v/>
      </c>
      <c r="DM59" s="260" t="str">
        <v/>
      </c>
      <c r="DN59" s="260" t="str">
        <v/>
      </c>
      <c r="DO59" s="260" t="str">
        <v/>
      </c>
      <c r="DP59" s="260" t="str">
        <v/>
      </c>
      <c r="DQ59" s="260" t="str">
        <v/>
      </c>
      <c r="DR59" s="260" t="str">
        <v/>
      </c>
      <c r="DS59" s="260" t="str">
        <v/>
      </c>
      <c r="DT59" s="260" t="str">
        <v/>
      </c>
      <c r="DU59" s="260" t="str">
        <v/>
      </c>
      <c r="DV59" s="260" t="str">
        <v/>
      </c>
      <c r="DW59" s="260" t="str">
        <v/>
      </c>
      <c r="DX59" s="260" t="str">
        <v/>
      </c>
      <c r="DY59" s="260" t="str">
        <v/>
      </c>
      <c r="DZ59" t="str">
        <v/>
      </c>
      <c r="EA59" t="str">
        <v/>
      </c>
    </row>
    <row r="60" spans="10:131" x14ac:dyDescent="0.25">
      <c r="J60" t="str">
        <v>CNC CAPEX</v>
      </c>
      <c r="K60">
        <v>50181</v>
      </c>
      <c r="L60" s="260">
        <v>50181</v>
      </c>
      <c r="M60" s="260">
        <v>0</v>
      </c>
      <c r="N60" s="260">
        <v>0</v>
      </c>
      <c r="O60" s="260">
        <v>0</v>
      </c>
      <c r="P60" s="260">
        <v>0</v>
      </c>
      <c r="Q60" s="260">
        <v>0</v>
      </c>
      <c r="R60" s="260">
        <v>0</v>
      </c>
      <c r="S60" s="260">
        <v>0</v>
      </c>
      <c r="T60" s="260">
        <v>0</v>
      </c>
      <c r="U60" s="260">
        <v>0</v>
      </c>
      <c r="V60" s="260">
        <v>0</v>
      </c>
      <c r="W60" s="260">
        <v>0</v>
      </c>
      <c r="X60" s="260">
        <v>0</v>
      </c>
      <c r="Y60" s="260">
        <v>0</v>
      </c>
      <c r="Z60" s="260">
        <v>0</v>
      </c>
      <c r="AA60" s="260">
        <v>0</v>
      </c>
      <c r="AB60" s="260">
        <v>0</v>
      </c>
      <c r="AC60" s="260">
        <v>0</v>
      </c>
      <c r="AD60" s="260">
        <v>0</v>
      </c>
      <c r="AE60" s="260">
        <v>0</v>
      </c>
      <c r="AF60" s="260">
        <v>0</v>
      </c>
      <c r="AG60" s="260">
        <v>0</v>
      </c>
      <c r="AH60" s="260">
        <v>0</v>
      </c>
      <c r="AI60" s="260">
        <v>0</v>
      </c>
      <c r="AJ60" s="260">
        <v>0</v>
      </c>
      <c r="AK60" s="260">
        <v>0</v>
      </c>
      <c r="AL60" s="260">
        <v>0</v>
      </c>
      <c r="AM60" s="260">
        <v>0</v>
      </c>
      <c r="AN60" s="260">
        <v>0</v>
      </c>
      <c r="AO60" s="260">
        <v>0</v>
      </c>
      <c r="AP60" s="260">
        <v>0</v>
      </c>
      <c r="AQ60" s="260">
        <v>0</v>
      </c>
      <c r="AR60" s="260">
        <v>0</v>
      </c>
      <c r="AS60" s="260">
        <v>0</v>
      </c>
      <c r="AT60" s="260">
        <v>0</v>
      </c>
      <c r="AU60" s="260">
        <v>0</v>
      </c>
      <c r="AV60" s="260">
        <v>0</v>
      </c>
      <c r="AW60" s="260">
        <v>0</v>
      </c>
      <c r="AX60" s="260">
        <v>0</v>
      </c>
      <c r="AY60" s="260">
        <v>0</v>
      </c>
      <c r="AZ60" s="260">
        <v>0</v>
      </c>
      <c r="BA60" s="260">
        <v>0</v>
      </c>
      <c r="BB60" s="260">
        <v>0</v>
      </c>
      <c r="BC60" s="260">
        <v>0</v>
      </c>
      <c r="BD60" s="260">
        <v>0</v>
      </c>
      <c r="BE60" s="260">
        <v>0</v>
      </c>
      <c r="BF60" s="260">
        <v>0</v>
      </c>
      <c r="BG60" s="260">
        <v>0</v>
      </c>
      <c r="BH60" s="260">
        <v>0</v>
      </c>
      <c r="BI60" s="260">
        <v>0</v>
      </c>
      <c r="BJ60" s="260">
        <v>0</v>
      </c>
      <c r="BK60" s="260">
        <v>0</v>
      </c>
      <c r="BL60" s="260">
        <v>0</v>
      </c>
      <c r="BM60" s="260">
        <v>0</v>
      </c>
      <c r="BN60" s="260">
        <v>0</v>
      </c>
      <c r="BO60" s="260">
        <v>0</v>
      </c>
      <c r="BP60" s="260">
        <v>0</v>
      </c>
      <c r="BQ60" s="260">
        <v>0</v>
      </c>
      <c r="BR60" s="260">
        <v>0</v>
      </c>
      <c r="BS60" s="260">
        <v>0</v>
      </c>
      <c r="BT60" s="260">
        <v>0</v>
      </c>
      <c r="BU60" s="260">
        <v>0</v>
      </c>
      <c r="BV60" s="260">
        <v>0</v>
      </c>
      <c r="BW60" s="260">
        <v>0</v>
      </c>
      <c r="BX60" s="260">
        <v>0</v>
      </c>
      <c r="BY60" s="260">
        <v>0</v>
      </c>
      <c r="BZ60" s="260">
        <v>0</v>
      </c>
      <c r="CA60" s="260">
        <v>0</v>
      </c>
      <c r="CB60" s="260">
        <v>0</v>
      </c>
      <c r="CC60" s="260">
        <v>0</v>
      </c>
      <c r="CD60" s="260">
        <v>0</v>
      </c>
      <c r="CE60" s="260">
        <v>0</v>
      </c>
      <c r="CF60" s="260">
        <v>0</v>
      </c>
      <c r="CG60" s="260">
        <v>0</v>
      </c>
      <c r="CH60" s="260">
        <v>0</v>
      </c>
      <c r="CI60" s="260">
        <v>0</v>
      </c>
      <c r="CJ60" s="260">
        <v>0</v>
      </c>
      <c r="CK60" s="260">
        <v>0</v>
      </c>
      <c r="CL60" s="260">
        <v>0</v>
      </c>
      <c r="CM60" s="260">
        <v>0</v>
      </c>
      <c r="CN60" s="260">
        <v>0</v>
      </c>
      <c r="CO60" s="260">
        <v>0</v>
      </c>
      <c r="CP60" s="260">
        <v>0</v>
      </c>
      <c r="CQ60" s="260">
        <v>0</v>
      </c>
      <c r="CR60" s="260">
        <v>0</v>
      </c>
      <c r="CS60" s="260">
        <v>0</v>
      </c>
      <c r="CT60" s="260">
        <v>0</v>
      </c>
      <c r="CU60" s="260">
        <v>0</v>
      </c>
      <c r="CV60" s="260">
        <v>0</v>
      </c>
      <c r="CW60" s="260">
        <v>0</v>
      </c>
      <c r="CX60" s="260">
        <v>0</v>
      </c>
      <c r="CY60" s="260">
        <v>0</v>
      </c>
      <c r="CZ60" s="260">
        <v>0</v>
      </c>
      <c r="DA60" s="260">
        <v>0</v>
      </c>
      <c r="DB60" s="260">
        <v>0</v>
      </c>
      <c r="DC60" s="260">
        <v>0</v>
      </c>
      <c r="DD60" s="260">
        <v>0</v>
      </c>
      <c r="DE60" s="260">
        <v>0</v>
      </c>
      <c r="DF60" s="260">
        <v>0</v>
      </c>
      <c r="DG60" s="260">
        <v>0</v>
      </c>
      <c r="DH60" s="260">
        <v>0</v>
      </c>
      <c r="DI60" s="260">
        <v>0</v>
      </c>
      <c r="DJ60" s="260">
        <v>0</v>
      </c>
      <c r="DK60" s="260">
        <v>0</v>
      </c>
      <c r="DL60" s="260">
        <v>0</v>
      </c>
      <c r="DM60" s="260">
        <v>0</v>
      </c>
      <c r="DN60" s="260">
        <v>0</v>
      </c>
      <c r="DO60" s="260">
        <v>0</v>
      </c>
      <c r="DP60" s="260">
        <v>0</v>
      </c>
      <c r="DQ60" s="260">
        <v>0</v>
      </c>
      <c r="DR60" s="260">
        <v>0</v>
      </c>
      <c r="DS60" s="260">
        <v>0</v>
      </c>
      <c r="DT60" s="260">
        <v>0</v>
      </c>
      <c r="DU60" s="260">
        <v>0</v>
      </c>
      <c r="DV60" s="260">
        <v>0</v>
      </c>
      <c r="DW60" s="260">
        <v>0</v>
      </c>
      <c r="DX60" s="260">
        <v>0</v>
      </c>
      <c r="DY60" s="260">
        <v>0</v>
      </c>
      <c r="DZ60">
        <v>0</v>
      </c>
      <c r="EA60">
        <v>0</v>
      </c>
    </row>
    <row r="61" spans="10:131" x14ac:dyDescent="0.25">
      <c r="J61" t="str">
        <v>CNC Opening Value</v>
      </c>
      <c r="K61">
        <v>0</v>
      </c>
      <c r="L61" s="260">
        <v>50181</v>
      </c>
      <c r="M61" s="260">
        <v>45162.899999999994</v>
      </c>
      <c r="N61" s="260">
        <v>40646.609999999986</v>
      </c>
      <c r="O61" s="260">
        <v>36581.948999999971</v>
      </c>
      <c r="P61" s="260">
        <v>32923.754099999984</v>
      </c>
      <c r="Q61" s="260">
        <v>29631.378689999976</v>
      </c>
      <c r="R61" s="260">
        <v>26668.24082099997</v>
      </c>
      <c r="S61" s="260">
        <v>24001.416738899952</v>
      </c>
      <c r="T61" s="260">
        <v>21601.27506500997</v>
      </c>
      <c r="U61" s="260">
        <v>19441.147558508987</v>
      </c>
      <c r="V61" s="260">
        <v>17497.032802658105</v>
      </c>
      <c r="W61" s="260">
        <v>15747.329522392287</v>
      </c>
      <c r="X61" s="260">
        <v>14172.596570153062</v>
      </c>
      <c r="Y61" s="260">
        <v>12755.336913137751</v>
      </c>
      <c r="Z61" s="260">
        <v>11479.803221823964</v>
      </c>
      <c r="AA61" s="260">
        <v>10331.822899641564</v>
      </c>
      <c r="AB61" s="260">
        <v>9298.6406096774008</v>
      </c>
      <c r="AC61" s="260">
        <v>8368.7765487096603</v>
      </c>
      <c r="AD61" s="260">
        <v>7531.8988938386938</v>
      </c>
      <c r="AE61" s="260">
        <v>6778.7090044548167</v>
      </c>
      <c r="AF61" s="260">
        <v>-5.1159076974727213E-12</v>
      </c>
      <c r="AG61" s="260">
        <v>-5.1159076974727213E-12</v>
      </c>
      <c r="AH61" s="260">
        <v>0</v>
      </c>
      <c r="AI61" s="260">
        <v>0</v>
      </c>
      <c r="AJ61" s="260">
        <v>0</v>
      </c>
      <c r="AK61" s="260">
        <v>0</v>
      </c>
      <c r="AL61" s="260">
        <v>0</v>
      </c>
      <c r="AM61" s="260">
        <v>0</v>
      </c>
      <c r="AN61" s="260">
        <v>0</v>
      </c>
      <c r="AO61" s="260">
        <v>0</v>
      </c>
      <c r="AP61" s="260">
        <v>0</v>
      </c>
      <c r="AQ61" s="260">
        <v>0</v>
      </c>
      <c r="AR61" s="260">
        <v>0</v>
      </c>
      <c r="AS61" s="260">
        <v>0</v>
      </c>
      <c r="AT61" s="260">
        <v>0</v>
      </c>
      <c r="AU61" s="260">
        <v>0</v>
      </c>
      <c r="AV61" s="260">
        <v>0</v>
      </c>
      <c r="AW61" s="260">
        <v>0</v>
      </c>
      <c r="AX61" s="260">
        <v>0</v>
      </c>
      <c r="AY61" s="260">
        <v>0</v>
      </c>
      <c r="AZ61" s="260">
        <v>0</v>
      </c>
      <c r="BA61" s="260">
        <v>0</v>
      </c>
      <c r="BB61" s="260">
        <v>0</v>
      </c>
      <c r="BC61" s="260">
        <v>0</v>
      </c>
      <c r="BD61" s="260">
        <v>0</v>
      </c>
      <c r="BE61" s="260">
        <v>0</v>
      </c>
      <c r="BF61" s="260">
        <v>0</v>
      </c>
      <c r="BG61" s="260">
        <v>0</v>
      </c>
      <c r="BH61" s="260">
        <v>0</v>
      </c>
      <c r="BI61" s="260">
        <v>0</v>
      </c>
      <c r="BJ61" s="260">
        <v>0</v>
      </c>
      <c r="BK61" s="260">
        <v>0</v>
      </c>
      <c r="BL61" s="260">
        <v>0</v>
      </c>
      <c r="BM61" s="260">
        <v>0</v>
      </c>
      <c r="BN61" s="260">
        <v>0</v>
      </c>
      <c r="BO61" s="260">
        <v>0</v>
      </c>
      <c r="BP61" s="260">
        <v>0</v>
      </c>
      <c r="BQ61" s="260">
        <v>0</v>
      </c>
      <c r="BR61" s="260">
        <v>0</v>
      </c>
      <c r="BS61" s="260">
        <v>0</v>
      </c>
      <c r="BT61" s="260">
        <v>0</v>
      </c>
      <c r="BU61" s="260">
        <v>0</v>
      </c>
      <c r="BV61" s="260">
        <v>0</v>
      </c>
      <c r="BW61" s="260">
        <v>0</v>
      </c>
      <c r="BX61" s="260">
        <v>0</v>
      </c>
      <c r="BY61" s="260">
        <v>0</v>
      </c>
      <c r="BZ61" s="260">
        <v>0</v>
      </c>
      <c r="CA61" s="260">
        <v>0</v>
      </c>
      <c r="CB61" s="260">
        <v>0</v>
      </c>
      <c r="CC61" s="260">
        <v>0</v>
      </c>
      <c r="CD61" s="260">
        <v>0</v>
      </c>
      <c r="CE61" s="260">
        <v>0</v>
      </c>
      <c r="CF61" s="260">
        <v>0</v>
      </c>
      <c r="CG61" s="260">
        <v>0</v>
      </c>
      <c r="CH61" s="260">
        <v>0</v>
      </c>
      <c r="CI61" s="260">
        <v>0</v>
      </c>
      <c r="CJ61" s="260">
        <v>0</v>
      </c>
      <c r="CK61" s="260">
        <v>0</v>
      </c>
      <c r="CL61" s="260">
        <v>0</v>
      </c>
      <c r="CM61" s="260">
        <v>0</v>
      </c>
      <c r="CN61" s="260">
        <v>0</v>
      </c>
      <c r="CO61" s="260">
        <v>0</v>
      </c>
      <c r="CP61" s="260">
        <v>0</v>
      </c>
      <c r="CQ61" s="260">
        <v>0</v>
      </c>
      <c r="CR61" s="260">
        <v>0</v>
      </c>
      <c r="CS61" s="260">
        <v>0</v>
      </c>
      <c r="CT61" s="260">
        <v>0</v>
      </c>
      <c r="CU61" s="260">
        <v>0</v>
      </c>
      <c r="CV61" s="260">
        <v>0</v>
      </c>
      <c r="CW61" s="260">
        <v>0</v>
      </c>
      <c r="CX61" s="260">
        <v>0</v>
      </c>
      <c r="CY61" s="260">
        <v>0</v>
      </c>
      <c r="CZ61" s="260">
        <v>0</v>
      </c>
      <c r="DA61" s="260">
        <v>0</v>
      </c>
      <c r="DB61" s="260">
        <v>0</v>
      </c>
      <c r="DC61" s="260">
        <v>0</v>
      </c>
      <c r="DD61" s="260">
        <v>0</v>
      </c>
      <c r="DE61" s="260">
        <v>0</v>
      </c>
      <c r="DF61" s="260">
        <v>0</v>
      </c>
      <c r="DG61" s="260">
        <v>0</v>
      </c>
      <c r="DH61" s="260">
        <v>0</v>
      </c>
      <c r="DI61" s="260">
        <v>0</v>
      </c>
      <c r="DJ61" s="260">
        <v>0</v>
      </c>
      <c r="DK61" s="260">
        <v>0</v>
      </c>
      <c r="DL61" s="260">
        <v>0</v>
      </c>
      <c r="DM61" s="260">
        <v>0</v>
      </c>
      <c r="DN61" s="260">
        <v>0</v>
      </c>
      <c r="DO61" s="260">
        <v>0</v>
      </c>
      <c r="DP61" s="260">
        <v>0</v>
      </c>
      <c r="DQ61" s="260">
        <v>0</v>
      </c>
      <c r="DR61" s="260">
        <v>0</v>
      </c>
      <c r="DS61" s="260">
        <v>0</v>
      </c>
      <c r="DT61" s="260">
        <v>0</v>
      </c>
      <c r="DU61" s="260">
        <v>0</v>
      </c>
      <c r="DV61" s="260">
        <v>0</v>
      </c>
      <c r="DW61" s="260">
        <v>0</v>
      </c>
      <c r="DX61" s="260">
        <v>0</v>
      </c>
      <c r="DY61" s="260">
        <v>0</v>
      </c>
      <c r="DZ61">
        <v>0</v>
      </c>
      <c r="EA61">
        <v>0</v>
      </c>
    </row>
    <row r="62" spans="10:131" x14ac:dyDescent="0.25">
      <c r="J62" t="str">
        <v>CNC Depreciation</v>
      </c>
      <c r="K62">
        <v>50181</v>
      </c>
      <c r="L62" s="260">
        <v>5018.1000000000004</v>
      </c>
      <c r="M62" s="260">
        <v>4516.2900000000009</v>
      </c>
      <c r="N62" s="260">
        <v>4064.6610000000005</v>
      </c>
      <c r="O62" s="260">
        <v>3658.1949000000009</v>
      </c>
      <c r="P62" s="260">
        <v>3292.375410000001</v>
      </c>
      <c r="Q62" s="260">
        <v>2963.137869000001</v>
      </c>
      <c r="R62" s="260">
        <v>2666.8240821000009</v>
      </c>
      <c r="S62" s="260">
        <v>2400.1416738900007</v>
      </c>
      <c r="T62" s="260">
        <v>2160.1275065010009</v>
      </c>
      <c r="U62" s="260">
        <v>1944.1147558509008</v>
      </c>
      <c r="V62" s="260">
        <v>1749.7032802658109</v>
      </c>
      <c r="W62" s="260">
        <v>1574.7329522392299</v>
      </c>
      <c r="X62" s="260">
        <v>1417.2596570153071</v>
      </c>
      <c r="Y62" s="260">
        <v>1275.5336913137764</v>
      </c>
      <c r="Z62" s="260">
        <v>1147.9803221823988</v>
      </c>
      <c r="AA62" s="260">
        <v>1033.1822899641588</v>
      </c>
      <c r="AB62" s="260">
        <v>929.86406096774317</v>
      </c>
      <c r="AC62" s="260">
        <v>836.87765487096885</v>
      </c>
      <c r="AD62" s="260">
        <v>753.1898893838719</v>
      </c>
      <c r="AE62" s="260">
        <v>6778.7090044548222</v>
      </c>
      <c r="AF62" s="260">
        <v>0</v>
      </c>
      <c r="AG62" s="260">
        <v>0</v>
      </c>
      <c r="AH62" s="260">
        <v>0</v>
      </c>
      <c r="AI62" s="260">
        <v>0</v>
      </c>
      <c r="AJ62" s="260">
        <v>0</v>
      </c>
      <c r="AK62" s="260">
        <v>0</v>
      </c>
      <c r="AL62" s="260">
        <v>0</v>
      </c>
      <c r="AM62" s="260">
        <v>0</v>
      </c>
      <c r="AN62" s="260">
        <v>0</v>
      </c>
      <c r="AO62" s="260">
        <v>0</v>
      </c>
      <c r="AP62" s="260">
        <v>0</v>
      </c>
      <c r="AQ62" s="260">
        <v>0</v>
      </c>
      <c r="AR62" s="260">
        <v>0</v>
      </c>
      <c r="AS62" s="260">
        <v>0</v>
      </c>
      <c r="AT62" s="260">
        <v>0</v>
      </c>
      <c r="AU62" s="260">
        <v>0</v>
      </c>
      <c r="AV62" s="260">
        <v>0</v>
      </c>
      <c r="AW62" s="260">
        <v>0</v>
      </c>
      <c r="AX62" s="260">
        <v>0</v>
      </c>
      <c r="AY62" s="260">
        <v>0</v>
      </c>
      <c r="AZ62" s="260">
        <v>0</v>
      </c>
      <c r="BA62" s="260">
        <v>0</v>
      </c>
      <c r="BB62" s="260">
        <v>0</v>
      </c>
      <c r="BC62" s="260">
        <v>0</v>
      </c>
      <c r="BD62" s="260">
        <v>0</v>
      </c>
      <c r="BE62" s="260">
        <v>0</v>
      </c>
      <c r="BF62" s="260">
        <v>0</v>
      </c>
      <c r="BG62" s="260">
        <v>0</v>
      </c>
      <c r="BH62" s="260">
        <v>0</v>
      </c>
      <c r="BI62" s="260">
        <v>0</v>
      </c>
      <c r="BJ62" s="260">
        <v>0</v>
      </c>
      <c r="BK62" s="260">
        <v>0</v>
      </c>
      <c r="BL62" s="260">
        <v>0</v>
      </c>
      <c r="BM62" s="260">
        <v>0</v>
      </c>
      <c r="BN62" s="260">
        <v>0</v>
      </c>
      <c r="BO62" s="260">
        <v>0</v>
      </c>
      <c r="BP62" s="260">
        <v>0</v>
      </c>
      <c r="BQ62" s="260">
        <v>0</v>
      </c>
      <c r="BR62" s="260">
        <v>0</v>
      </c>
      <c r="BS62" s="260">
        <v>0</v>
      </c>
      <c r="BT62" s="260">
        <v>0</v>
      </c>
      <c r="BU62" s="260">
        <v>0</v>
      </c>
      <c r="BV62" s="260">
        <v>0</v>
      </c>
      <c r="BW62" s="260">
        <v>0</v>
      </c>
      <c r="BX62" s="260">
        <v>0</v>
      </c>
      <c r="BY62" s="260">
        <v>0</v>
      </c>
      <c r="BZ62" s="260">
        <v>0</v>
      </c>
      <c r="CA62" s="260">
        <v>0</v>
      </c>
      <c r="CB62" s="260">
        <v>0</v>
      </c>
      <c r="CC62" s="260">
        <v>0</v>
      </c>
      <c r="CD62" s="260">
        <v>0</v>
      </c>
      <c r="CE62" s="260">
        <v>0</v>
      </c>
      <c r="CF62" s="260">
        <v>0</v>
      </c>
      <c r="CG62" s="260">
        <v>0</v>
      </c>
      <c r="CH62" s="260">
        <v>0</v>
      </c>
      <c r="CI62" s="260">
        <v>0</v>
      </c>
      <c r="CJ62" s="260">
        <v>0</v>
      </c>
      <c r="CK62" s="260">
        <v>0</v>
      </c>
      <c r="CL62" s="260">
        <v>0</v>
      </c>
      <c r="CM62" s="260">
        <v>0</v>
      </c>
      <c r="CN62" s="260">
        <v>0</v>
      </c>
      <c r="CO62" s="260">
        <v>0</v>
      </c>
      <c r="CP62" s="260">
        <v>0</v>
      </c>
      <c r="CQ62" s="260">
        <v>0</v>
      </c>
      <c r="CR62" s="260">
        <v>0</v>
      </c>
      <c r="CS62" s="260">
        <v>0</v>
      </c>
      <c r="CT62" s="260">
        <v>0</v>
      </c>
      <c r="CU62" s="260">
        <v>0</v>
      </c>
      <c r="CV62" s="260">
        <v>0</v>
      </c>
      <c r="CW62" s="260">
        <v>0</v>
      </c>
      <c r="CX62" s="260">
        <v>0</v>
      </c>
      <c r="CY62" s="260">
        <v>0</v>
      </c>
      <c r="CZ62" s="260">
        <v>0</v>
      </c>
      <c r="DA62" s="260">
        <v>0</v>
      </c>
      <c r="DB62" s="260">
        <v>0</v>
      </c>
      <c r="DC62" s="260">
        <v>0</v>
      </c>
      <c r="DD62" s="260">
        <v>0</v>
      </c>
      <c r="DE62" s="260">
        <v>0</v>
      </c>
      <c r="DF62" s="260">
        <v>0</v>
      </c>
      <c r="DG62" s="260">
        <v>0</v>
      </c>
      <c r="DH62" s="260">
        <v>0</v>
      </c>
      <c r="DI62" s="260">
        <v>0</v>
      </c>
      <c r="DJ62" s="260">
        <v>0</v>
      </c>
      <c r="DK62" s="260">
        <v>0</v>
      </c>
      <c r="DL62" s="260">
        <v>0</v>
      </c>
      <c r="DM62" s="260">
        <v>0</v>
      </c>
      <c r="DN62" s="260">
        <v>0</v>
      </c>
      <c r="DO62" s="260">
        <v>0</v>
      </c>
      <c r="DP62" s="260">
        <v>0</v>
      </c>
      <c r="DQ62" s="260">
        <v>0</v>
      </c>
      <c r="DR62" s="260">
        <v>0</v>
      </c>
      <c r="DS62" s="260">
        <v>0</v>
      </c>
      <c r="DT62" s="260">
        <v>0</v>
      </c>
      <c r="DU62" s="260">
        <v>0</v>
      </c>
      <c r="DV62" s="260">
        <v>0</v>
      </c>
      <c r="DW62" s="260">
        <v>0</v>
      </c>
      <c r="DX62" s="260">
        <v>0</v>
      </c>
      <c r="DY62" s="260">
        <v>0</v>
      </c>
      <c r="DZ62">
        <v>0</v>
      </c>
      <c r="EA62">
        <v>0</v>
      </c>
    </row>
    <row r="63" spans="10:131" x14ac:dyDescent="0.25">
      <c r="J63" t="str">
        <v>CNC Book Value</v>
      </c>
      <c r="K63">
        <v>0</v>
      </c>
      <c r="L63" s="260">
        <v>45162.9</v>
      </c>
      <c r="M63" s="260">
        <v>40646.609999999993</v>
      </c>
      <c r="N63" s="260">
        <v>36581.948999999986</v>
      </c>
      <c r="O63" s="260">
        <v>32923.754099999969</v>
      </c>
      <c r="P63" s="260">
        <v>29631.378689999983</v>
      </c>
      <c r="Q63" s="260">
        <v>26668.240820999974</v>
      </c>
      <c r="R63" s="260">
        <v>24001.41673889997</v>
      </c>
      <c r="S63" s="260">
        <v>21601.275065009952</v>
      </c>
      <c r="T63" s="260">
        <v>19441.147558508968</v>
      </c>
      <c r="U63" s="260">
        <v>17497.032802658086</v>
      </c>
      <c r="V63" s="260">
        <v>15747.329522392294</v>
      </c>
      <c r="W63" s="260">
        <v>14172.596570153057</v>
      </c>
      <c r="X63" s="260">
        <v>12755.336913137755</v>
      </c>
      <c r="Y63" s="260">
        <v>11479.803221823975</v>
      </c>
      <c r="Z63" s="260">
        <v>10331.822899641566</v>
      </c>
      <c r="AA63" s="260">
        <v>9298.6406096774044</v>
      </c>
      <c r="AB63" s="260">
        <v>8368.7765487096585</v>
      </c>
      <c r="AC63" s="260">
        <v>7531.8988938386919</v>
      </c>
      <c r="AD63" s="260">
        <v>6778.7090044548222</v>
      </c>
      <c r="AE63" s="260">
        <v>-5.4569682106375694E-12</v>
      </c>
      <c r="AF63" s="260">
        <v>-5.1159076974727213E-12</v>
      </c>
      <c r="AG63" s="260">
        <v>-5.1159076974727213E-12</v>
      </c>
      <c r="AH63" s="260">
        <v>0</v>
      </c>
      <c r="AI63" s="260">
        <v>0</v>
      </c>
      <c r="AJ63" s="260">
        <v>0</v>
      </c>
      <c r="AK63" s="260">
        <v>0</v>
      </c>
      <c r="AL63" s="260">
        <v>0</v>
      </c>
      <c r="AM63" s="260">
        <v>0</v>
      </c>
      <c r="AN63" s="260">
        <v>0</v>
      </c>
      <c r="AO63" s="260">
        <v>0</v>
      </c>
      <c r="AP63" s="260">
        <v>0</v>
      </c>
      <c r="AQ63" s="260">
        <v>0</v>
      </c>
      <c r="AR63" s="260">
        <v>0</v>
      </c>
      <c r="AS63" s="260">
        <v>0</v>
      </c>
      <c r="AT63" s="260">
        <v>0</v>
      </c>
      <c r="AU63" s="260">
        <v>0</v>
      </c>
      <c r="AV63" s="260">
        <v>0</v>
      </c>
      <c r="AW63" s="260">
        <v>0</v>
      </c>
      <c r="AX63" s="260">
        <v>0</v>
      </c>
      <c r="AY63" s="260">
        <v>0</v>
      </c>
      <c r="AZ63" s="260">
        <v>0</v>
      </c>
      <c r="BA63" s="260">
        <v>0</v>
      </c>
      <c r="BB63" s="260">
        <v>0</v>
      </c>
      <c r="BC63" s="260">
        <v>0</v>
      </c>
      <c r="BD63" s="260">
        <v>0</v>
      </c>
      <c r="BE63" s="260">
        <v>0</v>
      </c>
      <c r="BF63" s="260">
        <v>0</v>
      </c>
      <c r="BG63" s="260">
        <v>0</v>
      </c>
      <c r="BH63" s="260">
        <v>0</v>
      </c>
      <c r="BI63" s="260">
        <v>0</v>
      </c>
      <c r="BJ63" s="260">
        <v>0</v>
      </c>
      <c r="BK63" s="260">
        <v>0</v>
      </c>
      <c r="BL63" s="260">
        <v>0</v>
      </c>
      <c r="BM63" s="260">
        <v>0</v>
      </c>
      <c r="BN63" s="260">
        <v>0</v>
      </c>
      <c r="BO63" s="260">
        <v>0</v>
      </c>
      <c r="BP63" s="260">
        <v>0</v>
      </c>
      <c r="BQ63" s="260">
        <v>0</v>
      </c>
      <c r="BR63" s="260">
        <v>0</v>
      </c>
      <c r="BS63" s="260">
        <v>0</v>
      </c>
      <c r="BT63" s="260">
        <v>0</v>
      </c>
      <c r="BU63" s="260">
        <v>0</v>
      </c>
      <c r="BV63" s="260">
        <v>0</v>
      </c>
      <c r="BW63" s="260">
        <v>0</v>
      </c>
      <c r="BX63" s="260">
        <v>0</v>
      </c>
      <c r="BY63" s="260">
        <v>0</v>
      </c>
      <c r="BZ63" s="260">
        <v>0</v>
      </c>
      <c r="CA63" s="260">
        <v>0</v>
      </c>
      <c r="CB63" s="260">
        <v>0</v>
      </c>
      <c r="CC63" s="260">
        <v>0</v>
      </c>
      <c r="CD63" s="260">
        <v>0</v>
      </c>
      <c r="CE63" s="260">
        <v>0</v>
      </c>
      <c r="CF63" s="260">
        <v>0</v>
      </c>
      <c r="CG63" s="260">
        <v>0</v>
      </c>
      <c r="CH63" s="260">
        <v>0</v>
      </c>
      <c r="CI63" s="260">
        <v>0</v>
      </c>
      <c r="CJ63" s="260">
        <v>0</v>
      </c>
      <c r="CK63" s="260">
        <v>0</v>
      </c>
      <c r="CL63" s="260">
        <v>0</v>
      </c>
      <c r="CM63" s="260">
        <v>0</v>
      </c>
      <c r="CN63" s="260">
        <v>0</v>
      </c>
      <c r="CO63" s="260">
        <v>0</v>
      </c>
      <c r="CP63" s="260">
        <v>0</v>
      </c>
      <c r="CQ63" s="260">
        <v>0</v>
      </c>
      <c r="CR63" s="260">
        <v>0</v>
      </c>
      <c r="CS63" s="260">
        <v>0</v>
      </c>
      <c r="CT63" s="260">
        <v>0</v>
      </c>
      <c r="CU63" s="260">
        <v>0</v>
      </c>
      <c r="CV63" s="260">
        <v>0</v>
      </c>
      <c r="CW63" s="260">
        <v>0</v>
      </c>
      <c r="CX63" s="260">
        <v>0</v>
      </c>
      <c r="CY63" s="260">
        <v>0</v>
      </c>
      <c r="CZ63" s="260">
        <v>0</v>
      </c>
      <c r="DA63" s="260">
        <v>0</v>
      </c>
      <c r="DB63" s="260">
        <v>0</v>
      </c>
      <c r="DC63" s="260">
        <v>0</v>
      </c>
      <c r="DD63" s="260">
        <v>0</v>
      </c>
      <c r="DE63" s="260">
        <v>0</v>
      </c>
      <c r="DF63" s="260">
        <v>0</v>
      </c>
      <c r="DG63" s="260">
        <v>0</v>
      </c>
      <c r="DH63" s="260">
        <v>0</v>
      </c>
      <c r="DI63" s="260">
        <v>0</v>
      </c>
      <c r="DJ63" s="260">
        <v>0</v>
      </c>
      <c r="DK63" s="260">
        <v>0</v>
      </c>
      <c r="DL63" s="260">
        <v>0</v>
      </c>
      <c r="DM63" s="260">
        <v>0</v>
      </c>
      <c r="DN63" s="260">
        <v>0</v>
      </c>
      <c r="DO63" s="260">
        <v>0</v>
      </c>
      <c r="DP63" s="260">
        <v>0</v>
      </c>
      <c r="DQ63" s="260">
        <v>0</v>
      </c>
      <c r="DR63" s="260">
        <v>0</v>
      </c>
      <c r="DS63" s="260">
        <v>0</v>
      </c>
      <c r="DT63" s="260">
        <v>0</v>
      </c>
      <c r="DU63" s="260">
        <v>0</v>
      </c>
      <c r="DV63" s="260">
        <v>0</v>
      </c>
      <c r="DW63" s="260">
        <v>0</v>
      </c>
      <c r="DX63" s="260">
        <v>0</v>
      </c>
      <c r="DY63" s="260">
        <v>0</v>
      </c>
      <c r="DZ63">
        <v>0</v>
      </c>
      <c r="EA63">
        <v>0</v>
      </c>
    </row>
    <row r="64" spans="10:131" x14ac:dyDescent="0.25">
      <c r="J64" t="str">
        <v>CNC Revenue from Sale</v>
      </c>
      <c r="K64">
        <v>0</v>
      </c>
      <c r="L64" s="260">
        <v>0</v>
      </c>
      <c r="M64" s="260">
        <v>0</v>
      </c>
      <c r="N64" s="260">
        <v>0</v>
      </c>
      <c r="O64" s="260">
        <v>0</v>
      </c>
      <c r="P64" s="260">
        <v>0</v>
      </c>
      <c r="Q64" s="260">
        <v>0</v>
      </c>
      <c r="R64" s="260">
        <v>0</v>
      </c>
      <c r="S64" s="260">
        <v>0</v>
      </c>
      <c r="T64" s="260">
        <v>0</v>
      </c>
      <c r="U64" s="260">
        <v>0</v>
      </c>
      <c r="V64" s="260">
        <v>0</v>
      </c>
      <c r="W64" s="260">
        <v>0</v>
      </c>
      <c r="X64" s="260">
        <v>0</v>
      </c>
      <c r="Y64" s="260">
        <v>0</v>
      </c>
      <c r="Z64" s="260">
        <v>0</v>
      </c>
      <c r="AA64" s="260">
        <v>0</v>
      </c>
      <c r="AB64" s="260">
        <v>0</v>
      </c>
      <c r="AC64" s="260">
        <v>0</v>
      </c>
      <c r="AD64" s="260">
        <v>0</v>
      </c>
      <c r="AE64" s="260">
        <v>0</v>
      </c>
      <c r="AF64" s="260">
        <v>0</v>
      </c>
      <c r="AG64" s="260">
        <v>0</v>
      </c>
      <c r="AH64" s="260">
        <v>0</v>
      </c>
      <c r="AI64" s="260">
        <v>0</v>
      </c>
      <c r="AJ64" s="260">
        <v>0</v>
      </c>
      <c r="AK64" s="260">
        <v>0</v>
      </c>
      <c r="AL64" s="260">
        <v>0</v>
      </c>
      <c r="AM64" s="260">
        <v>0</v>
      </c>
      <c r="AN64" s="260">
        <v>0</v>
      </c>
      <c r="AO64" s="260">
        <v>0</v>
      </c>
      <c r="AP64" s="260">
        <v>0</v>
      </c>
      <c r="AQ64" s="260">
        <v>0</v>
      </c>
      <c r="AR64" s="260">
        <v>0</v>
      </c>
      <c r="AS64" s="260">
        <v>0</v>
      </c>
      <c r="AT64" s="260">
        <v>0</v>
      </c>
      <c r="AU64" s="260">
        <v>0</v>
      </c>
      <c r="AV64" s="260">
        <v>0</v>
      </c>
      <c r="AW64" s="260">
        <v>0</v>
      </c>
      <c r="AX64" s="260">
        <v>0</v>
      </c>
      <c r="AY64" s="260">
        <v>0</v>
      </c>
      <c r="AZ64" s="260">
        <v>0</v>
      </c>
      <c r="BA64" s="260">
        <v>0</v>
      </c>
      <c r="BB64" s="260">
        <v>0</v>
      </c>
      <c r="BC64" s="260">
        <v>0</v>
      </c>
      <c r="BD64" s="260">
        <v>0</v>
      </c>
      <c r="BE64" s="260">
        <v>0</v>
      </c>
      <c r="BF64" s="260">
        <v>0</v>
      </c>
      <c r="BG64" s="260">
        <v>0</v>
      </c>
      <c r="BH64" s="260">
        <v>0</v>
      </c>
      <c r="BI64" s="260">
        <v>0</v>
      </c>
      <c r="BJ64" s="260">
        <v>0</v>
      </c>
      <c r="BK64" s="260">
        <v>0</v>
      </c>
      <c r="BL64" s="260">
        <v>0</v>
      </c>
      <c r="BM64" s="260">
        <v>0</v>
      </c>
      <c r="BN64" s="260">
        <v>0</v>
      </c>
      <c r="BO64" s="260">
        <v>0</v>
      </c>
      <c r="BP64" s="260">
        <v>0</v>
      </c>
      <c r="BQ64" s="260">
        <v>0</v>
      </c>
      <c r="BR64" s="260">
        <v>0</v>
      </c>
      <c r="BS64" s="260">
        <v>0</v>
      </c>
      <c r="BT64" s="260">
        <v>0</v>
      </c>
      <c r="BU64" s="260">
        <v>0</v>
      </c>
      <c r="BV64" s="260">
        <v>0</v>
      </c>
      <c r="BW64" s="260">
        <v>0</v>
      </c>
      <c r="BX64" s="260">
        <v>0</v>
      </c>
      <c r="BY64" s="260">
        <v>0</v>
      </c>
      <c r="BZ64" s="260">
        <v>0</v>
      </c>
      <c r="CA64" s="260">
        <v>0</v>
      </c>
      <c r="CB64" s="260">
        <v>0</v>
      </c>
      <c r="CC64" s="260">
        <v>0</v>
      </c>
      <c r="CD64" s="260">
        <v>0</v>
      </c>
      <c r="CE64" s="260">
        <v>0</v>
      </c>
      <c r="CF64" s="260">
        <v>0</v>
      </c>
      <c r="CG64" s="260">
        <v>0</v>
      </c>
      <c r="CH64" s="260">
        <v>0</v>
      </c>
      <c r="CI64" s="260">
        <v>0</v>
      </c>
      <c r="CJ64" s="260">
        <v>0</v>
      </c>
      <c r="CK64" s="260">
        <v>0</v>
      </c>
      <c r="CL64" s="260">
        <v>0</v>
      </c>
      <c r="CM64" s="260">
        <v>0</v>
      </c>
      <c r="CN64" s="260">
        <v>0</v>
      </c>
      <c r="CO64" s="260">
        <v>0</v>
      </c>
      <c r="CP64" s="260">
        <v>0</v>
      </c>
      <c r="CQ64" s="260">
        <v>0</v>
      </c>
      <c r="CR64" s="260">
        <v>0</v>
      </c>
      <c r="CS64" s="260">
        <v>0</v>
      </c>
      <c r="CT64" s="260">
        <v>0</v>
      </c>
      <c r="CU64" s="260">
        <v>0</v>
      </c>
      <c r="CV64" s="260">
        <v>0</v>
      </c>
      <c r="CW64" s="260">
        <v>0</v>
      </c>
      <c r="CX64" s="260">
        <v>0</v>
      </c>
      <c r="CY64" s="260">
        <v>0</v>
      </c>
      <c r="CZ64" s="260">
        <v>0</v>
      </c>
      <c r="DA64" s="260">
        <v>0</v>
      </c>
      <c r="DB64" s="260">
        <v>0</v>
      </c>
      <c r="DC64" s="260">
        <v>0</v>
      </c>
      <c r="DD64" s="260">
        <v>0</v>
      </c>
      <c r="DE64" s="260">
        <v>0</v>
      </c>
      <c r="DF64" s="260">
        <v>0</v>
      </c>
      <c r="DG64" s="260">
        <v>0</v>
      </c>
      <c r="DH64" s="260">
        <v>0</v>
      </c>
      <c r="DI64" s="260">
        <v>0</v>
      </c>
      <c r="DJ64" s="260">
        <v>0</v>
      </c>
      <c r="DK64" s="260">
        <v>0</v>
      </c>
      <c r="DL64" s="260">
        <v>0</v>
      </c>
      <c r="DM64" s="260">
        <v>0</v>
      </c>
      <c r="DN64" s="260">
        <v>0</v>
      </c>
      <c r="DO64" s="260">
        <v>0</v>
      </c>
      <c r="DP64" s="260">
        <v>0</v>
      </c>
      <c r="DQ64" s="260">
        <v>0</v>
      </c>
      <c r="DR64" s="260">
        <v>0</v>
      </c>
      <c r="DS64" s="260">
        <v>0</v>
      </c>
      <c r="DT64" s="260">
        <v>0</v>
      </c>
      <c r="DU64" s="260">
        <v>0</v>
      </c>
      <c r="DV64" s="260">
        <v>0</v>
      </c>
      <c r="DW64" s="260">
        <v>0</v>
      </c>
      <c r="DX64" s="260">
        <v>0</v>
      </c>
      <c r="DY64" s="260">
        <v>0</v>
      </c>
      <c r="DZ64">
        <v>0</v>
      </c>
      <c r="EA64">
        <v>0</v>
      </c>
    </row>
    <row r="65" spans="10:131" x14ac:dyDescent="0.25">
      <c r="J65" t="str">
        <v>CNC Disposal Costs</v>
      </c>
      <c r="K65">
        <v>250</v>
      </c>
      <c r="L65" s="260">
        <v>0</v>
      </c>
      <c r="M65" s="260">
        <v>0</v>
      </c>
      <c r="N65" s="260">
        <v>0</v>
      </c>
      <c r="O65" s="260">
        <v>0</v>
      </c>
      <c r="P65" s="260">
        <v>0</v>
      </c>
      <c r="Q65" s="260">
        <v>0</v>
      </c>
      <c r="R65" s="260">
        <v>0</v>
      </c>
      <c r="S65" s="260">
        <v>0</v>
      </c>
      <c r="T65" s="260">
        <v>0</v>
      </c>
      <c r="U65" s="260">
        <v>0</v>
      </c>
      <c r="V65" s="260">
        <v>0</v>
      </c>
      <c r="W65" s="260">
        <v>0</v>
      </c>
      <c r="X65" s="260">
        <v>0</v>
      </c>
      <c r="Y65" s="260">
        <v>0</v>
      </c>
      <c r="Z65" s="260">
        <v>0</v>
      </c>
      <c r="AA65" s="260">
        <v>0</v>
      </c>
      <c r="AB65" s="260">
        <v>0</v>
      </c>
      <c r="AC65" s="260">
        <v>0</v>
      </c>
      <c r="AD65" s="260">
        <v>0</v>
      </c>
      <c r="AE65" s="260">
        <v>0</v>
      </c>
      <c r="AF65" s="260">
        <v>0</v>
      </c>
      <c r="AG65" s="260">
        <v>250</v>
      </c>
      <c r="AH65" s="260">
        <v>0</v>
      </c>
      <c r="AI65" s="260">
        <v>0</v>
      </c>
      <c r="AJ65" s="260">
        <v>0</v>
      </c>
      <c r="AK65" s="260">
        <v>0</v>
      </c>
      <c r="AL65" s="260">
        <v>0</v>
      </c>
      <c r="AM65" s="260">
        <v>0</v>
      </c>
      <c r="AN65" s="260">
        <v>0</v>
      </c>
      <c r="AO65" s="260">
        <v>0</v>
      </c>
      <c r="AP65" s="260">
        <v>0</v>
      </c>
      <c r="AQ65" s="260">
        <v>0</v>
      </c>
      <c r="AR65" s="260">
        <v>0</v>
      </c>
      <c r="AS65" s="260">
        <v>0</v>
      </c>
      <c r="AT65" s="260">
        <v>0</v>
      </c>
      <c r="AU65" s="260">
        <v>0</v>
      </c>
      <c r="AV65" s="260">
        <v>0</v>
      </c>
      <c r="AW65" s="260">
        <v>0</v>
      </c>
      <c r="AX65" s="260">
        <v>0</v>
      </c>
      <c r="AY65" s="260">
        <v>0</v>
      </c>
      <c r="AZ65" s="260">
        <v>0</v>
      </c>
      <c r="BA65" s="260">
        <v>0</v>
      </c>
      <c r="BB65" s="260">
        <v>0</v>
      </c>
      <c r="BC65" s="260">
        <v>0</v>
      </c>
      <c r="BD65" s="260">
        <v>0</v>
      </c>
      <c r="BE65" s="260">
        <v>0</v>
      </c>
      <c r="BF65" s="260">
        <v>0</v>
      </c>
      <c r="BG65" s="260">
        <v>0</v>
      </c>
      <c r="BH65" s="260">
        <v>0</v>
      </c>
      <c r="BI65" s="260">
        <v>0</v>
      </c>
      <c r="BJ65" s="260">
        <v>0</v>
      </c>
      <c r="BK65" s="260">
        <v>0</v>
      </c>
      <c r="BL65" s="260">
        <v>0</v>
      </c>
      <c r="BM65" s="260">
        <v>0</v>
      </c>
      <c r="BN65" s="260">
        <v>0</v>
      </c>
      <c r="BO65" s="260">
        <v>0</v>
      </c>
      <c r="BP65" s="260">
        <v>0</v>
      </c>
      <c r="BQ65" s="260">
        <v>0</v>
      </c>
      <c r="BR65" s="260">
        <v>0</v>
      </c>
      <c r="BS65" s="260">
        <v>0</v>
      </c>
      <c r="BT65" s="260">
        <v>0</v>
      </c>
      <c r="BU65" s="260">
        <v>0</v>
      </c>
      <c r="BV65" s="260">
        <v>0</v>
      </c>
      <c r="BW65" s="260">
        <v>0</v>
      </c>
      <c r="BX65" s="260">
        <v>0</v>
      </c>
      <c r="BY65" s="260">
        <v>0</v>
      </c>
      <c r="BZ65" s="260">
        <v>0</v>
      </c>
      <c r="CA65" s="260">
        <v>0</v>
      </c>
      <c r="CB65" s="260">
        <v>0</v>
      </c>
      <c r="CC65" s="260">
        <v>0</v>
      </c>
      <c r="CD65" s="260">
        <v>0</v>
      </c>
      <c r="CE65" s="260">
        <v>0</v>
      </c>
      <c r="CF65" s="260">
        <v>0</v>
      </c>
      <c r="CG65" s="260">
        <v>0</v>
      </c>
      <c r="CH65" s="260">
        <v>0</v>
      </c>
      <c r="CI65" s="260">
        <v>0</v>
      </c>
      <c r="CJ65" s="260">
        <v>0</v>
      </c>
      <c r="CK65" s="260">
        <v>0</v>
      </c>
      <c r="CL65" s="260">
        <v>0</v>
      </c>
      <c r="CM65" s="260">
        <v>0</v>
      </c>
      <c r="CN65" s="260">
        <v>0</v>
      </c>
      <c r="CO65" s="260">
        <v>0</v>
      </c>
      <c r="CP65" s="260">
        <v>0</v>
      </c>
      <c r="CQ65" s="260">
        <v>0</v>
      </c>
      <c r="CR65" s="260">
        <v>0</v>
      </c>
      <c r="CS65" s="260">
        <v>0</v>
      </c>
      <c r="CT65" s="260">
        <v>0</v>
      </c>
      <c r="CU65" s="260">
        <v>0</v>
      </c>
      <c r="CV65" s="260">
        <v>0</v>
      </c>
      <c r="CW65" s="260">
        <v>0</v>
      </c>
      <c r="CX65" s="260">
        <v>0</v>
      </c>
      <c r="CY65" s="260">
        <v>0</v>
      </c>
      <c r="CZ65" s="260">
        <v>0</v>
      </c>
      <c r="DA65" s="260">
        <v>0</v>
      </c>
      <c r="DB65" s="260">
        <v>0</v>
      </c>
      <c r="DC65" s="260">
        <v>0</v>
      </c>
      <c r="DD65" s="260">
        <v>0</v>
      </c>
      <c r="DE65" s="260">
        <v>0</v>
      </c>
      <c r="DF65" s="260">
        <v>0</v>
      </c>
      <c r="DG65" s="260">
        <v>0</v>
      </c>
      <c r="DH65" s="260">
        <v>0</v>
      </c>
      <c r="DI65" s="260">
        <v>0</v>
      </c>
      <c r="DJ65" s="260">
        <v>0</v>
      </c>
      <c r="DK65" s="260">
        <v>0</v>
      </c>
      <c r="DL65" s="260">
        <v>0</v>
      </c>
      <c r="DM65" s="260">
        <v>0</v>
      </c>
      <c r="DN65" s="260">
        <v>0</v>
      </c>
      <c r="DO65" s="260">
        <v>0</v>
      </c>
      <c r="DP65" s="260">
        <v>0</v>
      </c>
      <c r="DQ65" s="260">
        <v>0</v>
      </c>
      <c r="DR65" s="260">
        <v>0</v>
      </c>
      <c r="DS65" s="260">
        <v>0</v>
      </c>
      <c r="DT65" s="260">
        <v>0</v>
      </c>
      <c r="DU65" s="260">
        <v>0</v>
      </c>
      <c r="DV65" s="260">
        <v>0</v>
      </c>
      <c r="DW65" s="260">
        <v>0</v>
      </c>
      <c r="DX65" s="260">
        <v>0</v>
      </c>
      <c r="DY65" s="260">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pageSetup paperSize="9" scale="48" fitToHeight="0" orientation="landscape" horizontalDpi="0" verticalDpi="0"/>
  <customProperties>
    <customPr name="Description" r:id="rId2"/>
  </customProperties>
  <drawing r:id="rId3"/>
  <tableParts count="1">
    <tablePart r:id="rId4"/>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oz.LabelDepreciateλ</v>
      </c>
      <c r="B1" s="287"/>
      <c r="C1" s="287"/>
      <c r="D1" s="287"/>
      <c r="E1" s="287"/>
      <c r="F1" s="287"/>
      <c r="G1" s="287"/>
      <c r="H1" s="287"/>
      <c r="I1" s="287"/>
      <c r="J1" s="287"/>
      <c r="K1" s="287"/>
      <c r="L1" s="287"/>
      <c r="M1" s="287"/>
      <c r="N1" s="287"/>
      <c r="O1" s="287"/>
      <c r="P1" s="287"/>
      <c r="Q1" s="287"/>
    </row>
    <row r="2" spans="1:20" x14ac:dyDescent="0.25">
      <c r="A2" s="288" t="s">
        <v>216</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oz.LabelDepreciateλ()</f>
        <v>FUNCTION:</v>
      </c>
      <c r="B4" t="str">
        <v>LabelDepreciateλ( AssetNames)</v>
      </c>
      <c r="M4" s="321"/>
      <c r="N4" s="321"/>
      <c r="O4" s="321"/>
      <c r="P4" s="321"/>
      <c r="Q4" s="321"/>
      <c r="R4" s="321"/>
      <c r="S4" s="321"/>
      <c r="T4" s="321"/>
    </row>
    <row r="5" spans="1:20" x14ac:dyDescent="0.25">
      <c r="A5" t="str">
        <v>DESCRIPTION:</v>
      </c>
      <c r="B5" t="str">
        <v>Create row labels for the depreciation schedule array produced by Depreciateλ</v>
      </c>
      <c r="M5" s="321"/>
      <c r="N5" s="321"/>
      <c r="O5" s="321"/>
      <c r="P5" s="321"/>
      <c r="Q5" s="321"/>
      <c r="R5" s="321"/>
      <c r="S5" s="321"/>
      <c r="T5" s="321"/>
    </row>
    <row r="6" spans="1:20" x14ac:dyDescent="0.25">
      <c r="A6" t="str">
        <v>WEBPAGE:</v>
      </c>
      <c r="B6" t="str">
        <v>https://github.com/ryanduguid/Ozzit</v>
      </c>
      <c r="M6" s="321"/>
      <c r="N6" s="321"/>
      <c r="O6" s="321"/>
      <c r="P6" s="321"/>
      <c r="Q6" s="321"/>
      <c r="R6" s="321"/>
      <c r="S6" s="321"/>
      <c r="T6" s="321"/>
    </row>
    <row r="7" spans="1:20" x14ac:dyDescent="0.25">
      <c r="A7" t="str">
        <v>VERSION:</v>
      </c>
      <c r="B7" t="str">
        <v>20 Aug 2026</v>
      </c>
      <c r="K7" s="233"/>
      <c r="L7" s="233"/>
      <c r="M7" s="321"/>
      <c r="N7" s="321"/>
      <c r="O7" s="321"/>
      <c r="P7" s="321"/>
      <c r="Q7" s="321"/>
      <c r="R7" s="321"/>
      <c r="S7" s="321"/>
      <c r="T7" s="321"/>
    </row>
    <row r="8" spans="1:20" x14ac:dyDescent="0.25">
      <c r="A8" t="str">
        <v>PARAMETERS:</v>
      </c>
      <c r="B8" t="str">
        <v/>
      </c>
      <c r="K8" s="233"/>
      <c r="L8" s="233"/>
      <c r="M8" s="321"/>
      <c r="N8" s="321"/>
      <c r="O8" s="321"/>
      <c r="P8" s="321"/>
      <c r="Q8" s="321"/>
      <c r="R8" s="321"/>
      <c r="S8" s="321"/>
      <c r="T8" s="321"/>
    </row>
    <row r="9" spans="1:20" x14ac:dyDescent="0.25">
      <c r="A9" t="str">
        <v>AssetNames</v>
      </c>
      <c r="B9" t="str">
        <v>(Required) The names or descriptions of each asset in the depreciation schedule produced by Depreciateλ</v>
      </c>
      <c r="K9" s="233"/>
      <c r="L9" s="233"/>
      <c r="M9" s="321"/>
      <c r="N9" s="321"/>
      <c r="O9" s="321"/>
      <c r="P9" s="321"/>
      <c r="Q9" s="321"/>
      <c r="R9" s="321"/>
      <c r="S9" s="321"/>
      <c r="T9" s="321"/>
    </row>
    <row r="10" spans="1:20" x14ac:dyDescent="0.25">
      <c r="A10" t="str">
        <v>EXAMPLES:</v>
      </c>
      <c r="B10" t="str">
        <v/>
      </c>
      <c r="K10" s="233"/>
      <c r="L10" s="233"/>
      <c r="M10" s="321"/>
      <c r="N10" s="321"/>
      <c r="O10" s="321"/>
      <c r="P10" s="321"/>
      <c r="Q10" s="321"/>
      <c r="R10" s="321"/>
      <c r="S10" s="321"/>
      <c r="T10" s="321"/>
    </row>
    <row r="11" spans="1:20" x14ac:dyDescent="0.25">
      <c r="A11" t="str">
        <v>Result</v>
      </c>
      <c r="B11" t="str">
        <v>Formula (oz is assumed to be the module's name)</v>
      </c>
      <c r="K11" s="233"/>
      <c r="L11" s="233"/>
      <c r="M11" s="321"/>
      <c r="N11" s="321"/>
      <c r="O11" s="321"/>
      <c r="P11" s="321"/>
      <c r="Q11" s="321"/>
      <c r="R11" s="321"/>
      <c r="S11" s="321"/>
      <c r="T11" s="321"/>
    </row>
    <row r="12" spans="1:20" x14ac:dyDescent="0.25">
      <c r="A12" t="str">
        <v/>
      </c>
      <c r="B12" t="str">
        <v>=oz.LabelDepreciateλ(tblAssets[Asset Name])</v>
      </c>
      <c r="K12" s="233"/>
      <c r="L12" s="233"/>
      <c r="M12" s="321"/>
      <c r="N12" s="321"/>
      <c r="O12" s="321"/>
      <c r="P12" s="321"/>
      <c r="Q12" s="321"/>
      <c r="R12" s="321"/>
      <c r="S12" s="321"/>
      <c r="T12" s="321"/>
    </row>
    <row r="13" spans="1:20" x14ac:dyDescent="0.25">
      <c r="K13" s="233"/>
      <c r="L13" s="233"/>
      <c r="M13" s="321"/>
      <c r="N13" s="321"/>
      <c r="O13" s="321"/>
      <c r="P13" s="321"/>
      <c r="Q13" s="321"/>
      <c r="R13" s="321"/>
      <c r="S13" s="321"/>
      <c r="T13" s="321"/>
    </row>
    <row r="15" spans="1:20" ht="21" x14ac:dyDescent="0.35">
      <c r="A15" s="305" t="s">
        <v>272</v>
      </c>
      <c r="B15" s="305"/>
      <c r="C15" s="305"/>
      <c r="J15" s="2" t="s">
        <v>289</v>
      </c>
    </row>
    <row r="17" spans="1:23" x14ac:dyDescent="0.25">
      <c r="A17" s="161" t="s">
        <v>273</v>
      </c>
      <c r="B17" s="161" t="s">
        <v>138</v>
      </c>
      <c r="C17" s="161" t="s">
        <v>139</v>
      </c>
      <c r="J17" s="190" t="s">
        <v>131</v>
      </c>
      <c r="K17" s="190" t="s">
        <v>276</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236</v>
      </c>
      <c r="B18" s="141">
        <v>46569</v>
      </c>
      <c r="C18" t="s">
        <v>145</v>
      </c>
      <c r="J18" t="s">
        <v>342</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141</v>
      </c>
      <c r="B19">
        <v>12</v>
      </c>
      <c r="C19" t="s">
        <v>146</v>
      </c>
      <c r="J19" t="s">
        <v>343</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142</v>
      </c>
      <c r="B20" t="s">
        <v>24</v>
      </c>
      <c r="J20" t="s">
        <v>344</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345</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298" t="s">
        <v>295</v>
      </c>
      <c r="B23" s="299"/>
      <c r="C23" s="299"/>
      <c r="D23" s="299"/>
      <c r="E23" s="299"/>
      <c r="F23" s="299"/>
      <c r="G23" s="299"/>
      <c r="H23" s="318"/>
    </row>
    <row r="24" spans="1:23" x14ac:dyDescent="0.25">
      <c r="A24" s="314"/>
      <c r="B24" s="315"/>
      <c r="C24" s="315"/>
      <c r="D24" s="315"/>
      <c r="E24" s="315"/>
      <c r="F24" s="315"/>
      <c r="G24" s="315"/>
      <c r="H24" s="315"/>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303</v>
      </c>
      <c r="B26" s="195">
        <v>25000</v>
      </c>
      <c r="C26" s="120">
        <v>46204</v>
      </c>
      <c r="D26" s="195">
        <v>8</v>
      </c>
      <c r="E26" s="195">
        <v>1000</v>
      </c>
      <c r="F26" s="120"/>
      <c r="G26" s="195">
        <v>500</v>
      </c>
      <c r="H26" s="120" t="s">
        <v>300</v>
      </c>
      <c r="J26" s="162" t="str" cm="1">
        <f t="array" ref="J26:J45">oz.LabelDepreciateλ(tblAssets11[Asset])</f>
        <v>Cutter CAPEX</v>
      </c>
      <c r="K26" cm="1">
        <f t="array" ref="K26:K45">oz.SumDepreciateλ(_xlfn.ANCHORARRAY(L26))</f>
        <v>0</v>
      </c>
      <c r="L26" s="192" cm="1">
        <f t="array" ref="L26:W45">oz.Depreciateλ(tblAssets11[Amount],tblAssets11[Acquired],tblAssets11[Life],_xlfn.ANCHORARRAY(L25),tblAssets11[Salvage],tblAssets11[Date],tblAssets11[Cost],tblAssets11[Method])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46661</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50546</v>
      </c>
      <c r="C28" s="196">
        <v>47484</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pageSetup paperSize="9" scale="50" fitToHeight="0" orientation="landscape" horizontalDpi="0" verticalDpi="0"/>
  <customProperties>
    <customPr name="Description" r:id="rId2"/>
  </customProperties>
  <drawing r:id="rId3"/>
  <tableParts count="1">
    <tablePart r:id="rId4"/>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oz.SumDepreciateλ</v>
      </c>
      <c r="B1" s="287"/>
      <c r="C1" s="287"/>
      <c r="D1" s="287"/>
      <c r="E1" s="287"/>
      <c r="F1" s="287"/>
      <c r="G1" s="287"/>
      <c r="H1" s="287"/>
      <c r="I1" s="287"/>
      <c r="J1" s="287"/>
      <c r="K1" s="287"/>
      <c r="L1" s="287"/>
      <c r="M1" s="287"/>
      <c r="N1" s="287"/>
      <c r="O1" s="287"/>
      <c r="P1" s="287"/>
      <c r="Q1" s="287"/>
    </row>
    <row r="2" spans="1:20" x14ac:dyDescent="0.25">
      <c r="A2" s="288" t="s">
        <v>367</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oz.SumDepreciateλ()</f>
        <v>FUNCTION:</v>
      </c>
      <c r="B4" t="str">
        <v>SumDepreciateλ(DepreciationSchedule)</v>
      </c>
      <c r="M4" s="321"/>
      <c r="N4" s="321"/>
      <c r="O4" s="321"/>
      <c r="P4" s="321"/>
      <c r="Q4" s="321"/>
      <c r="R4" s="321"/>
      <c r="S4" s="321"/>
      <c r="T4" s="321"/>
    </row>
    <row r="5" spans="1:20" x14ac:dyDescent="0.25">
      <c r="A5" t="str">
        <v>DESCRIPTION:</v>
      </c>
      <c r="B5" t="str">
        <v>Create row totals for Depreciateλ</v>
      </c>
      <c r="M5" s="321"/>
      <c r="N5" s="321"/>
      <c r="O5" s="321"/>
      <c r="P5" s="321"/>
      <c r="Q5" s="321"/>
      <c r="R5" s="321"/>
      <c r="S5" s="321"/>
      <c r="T5" s="321"/>
    </row>
    <row r="6" spans="1:20" x14ac:dyDescent="0.25">
      <c r="A6" t="str">
        <v>WEBPAGE:</v>
      </c>
      <c r="B6" t="str">
        <v>https://github.com/ryanduguid/Ozzit</v>
      </c>
      <c r="M6" s="321"/>
      <c r="N6" s="321"/>
      <c r="O6" s="321"/>
      <c r="P6" s="321"/>
      <c r="Q6" s="321"/>
      <c r="R6" s="321"/>
      <c r="S6" s="321"/>
      <c r="T6" s="321"/>
    </row>
    <row r="7" spans="1:20" x14ac:dyDescent="0.25">
      <c r="A7" t="str">
        <v>VERSION:</v>
      </c>
      <c r="B7" t="str">
        <v>20 Aug 2026</v>
      </c>
      <c r="K7" s="233"/>
      <c r="L7" s="233"/>
      <c r="M7" s="321"/>
      <c r="N7" s="321"/>
      <c r="O7" s="321"/>
      <c r="P7" s="321"/>
      <c r="Q7" s="321"/>
      <c r="R7" s="321"/>
      <c r="S7" s="321"/>
      <c r="T7" s="321"/>
    </row>
    <row r="8" spans="1:20" x14ac:dyDescent="0.25">
      <c r="A8" t="str">
        <v>PARAMETERS:</v>
      </c>
      <c r="B8" t="str">
        <v/>
      </c>
      <c r="K8" s="233"/>
      <c r="L8" s="233"/>
      <c r="M8" s="321"/>
      <c r="N8" s="321"/>
      <c r="O8" s="321"/>
      <c r="P8" s="321"/>
      <c r="Q8" s="321"/>
      <c r="R8" s="321"/>
      <c r="S8" s="321"/>
      <c r="T8" s="321"/>
    </row>
    <row r="9" spans="1:20" x14ac:dyDescent="0.25">
      <c r="A9" t="str">
        <v>DepreciationSchedule</v>
      </c>
      <c r="B9" t="str">
        <v>(Required) An array produced by Depreciateλ</v>
      </c>
      <c r="K9" s="233"/>
      <c r="L9" s="233"/>
      <c r="M9" s="321"/>
      <c r="N9" s="321"/>
      <c r="O9" s="321"/>
      <c r="P9" s="321"/>
      <c r="Q9" s="321"/>
      <c r="R9" s="321"/>
      <c r="S9" s="321"/>
      <c r="T9" s="321"/>
    </row>
    <row r="10" spans="1:20" x14ac:dyDescent="0.25">
      <c r="A10" t="str">
        <v/>
      </c>
      <c r="B10" t="str">
        <v/>
      </c>
      <c r="K10" s="233"/>
      <c r="L10" s="233"/>
      <c r="M10" s="321"/>
      <c r="N10" s="321"/>
      <c r="O10" s="321"/>
      <c r="P10" s="321"/>
      <c r="Q10" s="321"/>
      <c r="R10" s="321"/>
      <c r="S10" s="321"/>
      <c r="T10" s="321"/>
    </row>
    <row r="11" spans="1:20" x14ac:dyDescent="0.25">
      <c r="A11" t="str">
        <v>EXAMPLES:</v>
      </c>
      <c r="B11" t="str">
        <v/>
      </c>
      <c r="K11" s="233"/>
      <c r="L11" s="233"/>
      <c r="M11" s="321"/>
      <c r="N11" s="321"/>
      <c r="O11" s="321"/>
      <c r="P11" s="321"/>
      <c r="Q11" s="321"/>
      <c r="R11" s="321"/>
      <c r="S11" s="321"/>
      <c r="T11" s="321"/>
    </row>
    <row r="12" spans="1:20" x14ac:dyDescent="0.25">
      <c r="A12" t="str">
        <v>Result</v>
      </c>
      <c r="B12" t="str">
        <v>Formula (oz is assumed to be the module's name)</v>
      </c>
      <c r="K12" s="233"/>
      <c r="L12" s="233"/>
      <c r="M12" s="321"/>
      <c r="N12" s="321"/>
      <c r="O12" s="321"/>
      <c r="P12" s="321"/>
      <c r="Q12" s="321"/>
      <c r="R12" s="321"/>
      <c r="S12" s="321"/>
      <c r="T12" s="321"/>
    </row>
    <row r="13" spans="1:20" x14ac:dyDescent="0.25">
      <c r="A13" t="str">
        <v/>
      </c>
      <c r="B13" t="str">
        <v>=oz.SumDepreciateλ(DepreciationSchedule)</v>
      </c>
      <c r="K13" s="233"/>
      <c r="L13" s="233"/>
      <c r="M13" s="321"/>
      <c r="N13" s="321"/>
      <c r="O13" s="321"/>
      <c r="P13" s="321"/>
      <c r="Q13" s="321"/>
      <c r="R13" s="321"/>
      <c r="S13" s="321"/>
      <c r="T13" s="321"/>
    </row>
    <row r="15" spans="1:20" ht="21" x14ac:dyDescent="0.35">
      <c r="A15" s="305" t="s">
        <v>272</v>
      </c>
      <c r="B15" s="305"/>
      <c r="C15" s="305"/>
      <c r="J15" s="2" t="s">
        <v>289</v>
      </c>
    </row>
    <row r="17" spans="1:23" x14ac:dyDescent="0.25">
      <c r="A17" s="161" t="s">
        <v>273</v>
      </c>
      <c r="B17" s="161" t="s">
        <v>138</v>
      </c>
      <c r="C17" s="161" t="s">
        <v>139</v>
      </c>
      <c r="J17" s="190" t="s">
        <v>131</v>
      </c>
      <c r="K17" s="190" t="s">
        <v>276</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236</v>
      </c>
      <c r="B18" s="141">
        <v>46569</v>
      </c>
      <c r="C18" t="s">
        <v>145</v>
      </c>
      <c r="J18" t="s">
        <v>342</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141</v>
      </c>
      <c r="B19">
        <v>12</v>
      </c>
      <c r="C19" t="s">
        <v>146</v>
      </c>
      <c r="J19" t="s">
        <v>343</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142</v>
      </c>
      <c r="B20" t="s">
        <v>24</v>
      </c>
      <c r="J20" t="s">
        <v>344</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345</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298" t="s">
        <v>295</v>
      </c>
      <c r="B23" s="299"/>
      <c r="C23" s="299"/>
      <c r="D23" s="299"/>
      <c r="E23" s="299"/>
      <c r="F23" s="299"/>
      <c r="G23" s="299"/>
      <c r="H23" s="318"/>
    </row>
    <row r="24" spans="1:23" x14ac:dyDescent="0.25">
      <c r="A24" s="314"/>
      <c r="B24" s="315"/>
      <c r="C24" s="315"/>
      <c r="D24" s="315"/>
      <c r="E24" s="315"/>
      <c r="F24" s="315"/>
      <c r="G24" s="315"/>
      <c r="H24" s="315"/>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303</v>
      </c>
      <c r="B26" s="195">
        <v>25000</v>
      </c>
      <c r="C26" s="120">
        <v>46204</v>
      </c>
      <c r="D26" s="195">
        <v>8</v>
      </c>
      <c r="E26" s="195">
        <v>1000</v>
      </c>
      <c r="F26" s="120"/>
      <c r="G26" s="195">
        <v>500</v>
      </c>
      <c r="H26" s="120" t="s">
        <v>300</v>
      </c>
      <c r="J26" s="192" t="str" cm="1">
        <f t="array" ref="J26:J45">oz.LabelDepreciateλ(tblAssets1112[Asset])</f>
        <v>Cutter CAPEX</v>
      </c>
      <c r="K26" s="162" cm="1">
        <f t="array" ref="K26:K45">oz.SumDepreciateλ(_xlfn.ANCHORARRAY(L26))</f>
        <v>0</v>
      </c>
      <c r="L26" s="192" cm="1">
        <f t="array" ref="L26:W45">oz.Depreciateλ(tblAssets1112[Amount],tblAssets1112[Acquired],tblAssets1112[Life],_xlfn.ANCHORARRAY(L25),tblAssets1112[Salvage],tblAssets1112[Date],tblAssets1112[Cost],tblAssets1112[Method])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46661</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50546</v>
      </c>
      <c r="C28" s="196">
        <v>47484</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pageSetup paperSize="9" scale="50" fitToHeight="0" orientation="landscape" horizontalDpi="0" verticalDpi="0"/>
  <customProperties>
    <customPr name="Description" r:id="rId2"/>
  </customProperties>
  <drawing r:id="rId3"/>
  <tableParts count="1">
    <tablePart r:id="rId4"/>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5C2D91"/>
    <pageSetUpPr fitToPage="1"/>
  </sheetPr>
  <dimension ref="A1:W48"/>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oz.SumContainsλ</v>
      </c>
      <c r="B1" s="287"/>
      <c r="C1" s="287"/>
      <c r="D1" s="287"/>
      <c r="E1" s="287"/>
      <c r="F1" s="287"/>
      <c r="G1" s="287"/>
      <c r="H1" s="287"/>
      <c r="I1" s="287"/>
      <c r="J1" s="287"/>
      <c r="K1" s="287"/>
      <c r="L1" s="287"/>
      <c r="M1" s="287"/>
      <c r="N1" s="287"/>
      <c r="O1" s="287"/>
      <c r="P1" s="287"/>
      <c r="Q1" s="287"/>
    </row>
    <row r="2" spans="1:20" x14ac:dyDescent="0.25">
      <c r="A2" s="288" t="s">
        <v>368</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7">oz.SumContainsλ()</f>
        <v>FUNCTION:</v>
      </c>
      <c r="B4" t="str">
        <v>SumContainsλ(ValuesToFilter, ValueLabels, FilterByText, [IgnoreCase?])</v>
      </c>
      <c r="M4" s="321"/>
      <c r="N4" s="321"/>
      <c r="O4" s="321"/>
      <c r="P4" s="321"/>
      <c r="Q4" s="321"/>
      <c r="R4" s="321"/>
      <c r="S4" s="321"/>
      <c r="T4" s="321"/>
    </row>
    <row r="5" spans="1:20" x14ac:dyDescent="0.25">
      <c r="A5" t="str">
        <v>DESCRIPTION:</v>
      </c>
      <c r="B5" t="str">
        <v>Creates a row of column totals for each row in an array where</v>
      </c>
      <c r="M5" s="321"/>
      <c r="N5" s="321"/>
      <c r="O5" s="321"/>
      <c r="P5" s="321"/>
      <c r="Q5" s="321"/>
      <c r="R5" s="321"/>
      <c r="S5" s="321"/>
      <c r="T5" s="321"/>
    </row>
    <row r="6" spans="1:20" x14ac:dyDescent="0.25">
      <c r="A6" t="str">
        <v/>
      </c>
      <c r="B6" t="str">
        <v>its labels contain a unique letter, word, or phrase.</v>
      </c>
      <c r="M6" s="321"/>
      <c r="N6" s="321"/>
      <c r="O6" s="321"/>
      <c r="P6" s="321"/>
      <c r="Q6" s="321"/>
      <c r="R6" s="321"/>
      <c r="S6" s="321"/>
      <c r="T6" s="321"/>
    </row>
    <row r="7" spans="1:20" x14ac:dyDescent="0.25">
      <c r="A7" t="str">
        <v>SEE ALSO:</v>
      </c>
      <c r="B7" t="str">
        <v>Excel 365 now has GROUPBY and PIVOTBY for formula-driven aggregation.</v>
      </c>
      <c r="K7" s="233"/>
      <c r="L7" s="233"/>
      <c r="M7" s="321"/>
      <c r="N7" s="321"/>
      <c r="O7" s="321"/>
      <c r="P7" s="321"/>
      <c r="Q7" s="321"/>
      <c r="R7" s="321"/>
      <c r="S7" s="321"/>
      <c r="T7" s="321"/>
    </row>
    <row r="8" spans="1:20" x14ac:dyDescent="0.25">
      <c r="A8" t="str">
        <v>WEBPAGE:</v>
      </c>
      <c r="B8" t="str">
        <v>https://github.com/ryanduguid/Ozzit</v>
      </c>
      <c r="K8" s="233"/>
      <c r="L8" s="233"/>
      <c r="M8" s="321"/>
      <c r="N8" s="321"/>
      <c r="O8" s="321"/>
      <c r="P8" s="321"/>
      <c r="Q8" s="321"/>
      <c r="R8" s="321"/>
      <c r="S8" s="321"/>
      <c r="T8" s="321"/>
    </row>
    <row r="9" spans="1:20" x14ac:dyDescent="0.25">
      <c r="A9" t="str">
        <v>VERSION:</v>
      </c>
      <c r="B9" t="str">
        <v>20 Aug 2026</v>
      </c>
      <c r="K9" s="233"/>
      <c r="L9" s="233"/>
      <c r="M9" s="321"/>
      <c r="N9" s="321"/>
      <c r="O9" s="321"/>
      <c r="P9" s="321"/>
      <c r="Q9" s="321"/>
      <c r="R9" s="321"/>
      <c r="S9" s="321"/>
      <c r="T9" s="321"/>
    </row>
    <row r="10" spans="1:20" x14ac:dyDescent="0.25">
      <c r="A10" t="str">
        <v>PARAMETERS:</v>
      </c>
      <c r="B10" t="str">
        <v/>
      </c>
      <c r="K10" s="233"/>
      <c r="L10" s="233"/>
      <c r="M10" s="321"/>
      <c r="N10" s="321"/>
      <c r="O10" s="321"/>
      <c r="P10" s="321"/>
      <c r="Q10" s="321"/>
      <c r="R10" s="321"/>
      <c r="S10" s="321"/>
      <c r="T10" s="321"/>
    </row>
    <row r="11" spans="1:20" x14ac:dyDescent="0.25">
      <c r="A11" t="str">
        <v>ValuesToFilter</v>
      </c>
      <c r="B11" t="str">
        <v>(Required) An array of values to be filtered</v>
      </c>
      <c r="K11" s="233"/>
      <c r="L11" s="233"/>
      <c r="M11" s="321"/>
      <c r="N11" s="321"/>
      <c r="O11" s="321"/>
      <c r="P11" s="321"/>
      <c r="Q11" s="321"/>
      <c r="R11" s="321"/>
      <c r="S11" s="321"/>
      <c r="T11" s="321"/>
    </row>
    <row r="12" spans="1:20" x14ac:dyDescent="0.25">
      <c r="A12" t="str">
        <v>ValueLabels</v>
      </c>
      <c r="B12" t="str">
        <v>(Required) An array containing the values' labels</v>
      </c>
      <c r="K12" s="233"/>
      <c r="L12" s="233"/>
      <c r="M12" s="321"/>
      <c r="N12" s="321"/>
      <c r="O12" s="321"/>
      <c r="P12" s="321"/>
      <c r="Q12" s="321"/>
      <c r="R12" s="321"/>
      <c r="S12" s="321"/>
      <c r="T12" s="321"/>
    </row>
    <row r="13" spans="1:20" x14ac:dyDescent="0.25">
      <c r="A13" t="str">
        <v>FilterByText</v>
      </c>
      <c r="B13" t="str">
        <v>(Required) A unique letter, word or phrase to find contained in ValueLabels</v>
      </c>
      <c r="K13" s="233"/>
      <c r="L13" s="233"/>
      <c r="M13" s="321"/>
      <c r="N13" s="321"/>
      <c r="O13" s="321"/>
      <c r="P13" s="321"/>
      <c r="Q13" s="321"/>
      <c r="R13" s="321"/>
      <c r="S13" s="321"/>
      <c r="T13" s="321"/>
    </row>
    <row r="14" spans="1:20" x14ac:dyDescent="0.25">
      <c r="A14" t="str">
        <v>IgnoreCase?</v>
      </c>
      <c r="B14" t="str">
        <v>(Optional) A flag to determine if Text's case is important. Default is TRUE</v>
      </c>
      <c r="K14" s="233"/>
      <c r="L14" s="233"/>
      <c r="M14" s="234"/>
      <c r="N14" s="234"/>
      <c r="O14" s="234"/>
      <c r="P14" s="234"/>
      <c r="Q14" s="234"/>
      <c r="R14" s="234"/>
      <c r="S14" s="234"/>
      <c r="T14" s="234"/>
    </row>
    <row r="15" spans="1:20" x14ac:dyDescent="0.25">
      <c r="A15" t="str">
        <v>EXAMPLES:</v>
      </c>
      <c r="B15" t="str">
        <v/>
      </c>
      <c r="K15" s="233"/>
      <c r="L15" s="233"/>
      <c r="M15" s="234"/>
      <c r="N15" s="234"/>
      <c r="O15" s="234"/>
      <c r="P15" s="234"/>
      <c r="Q15" s="234"/>
      <c r="R15" s="234"/>
      <c r="S15" s="234"/>
      <c r="T15" s="234"/>
    </row>
    <row r="16" spans="1:20" x14ac:dyDescent="0.25">
      <c r="A16" t="str">
        <v>Result</v>
      </c>
      <c r="B16" t="str">
        <v>Formula (oz is assumed to be the module's name)</v>
      </c>
      <c r="K16" s="233"/>
      <c r="L16" s="233"/>
      <c r="M16" s="234"/>
      <c r="N16" s="234"/>
      <c r="O16" s="234"/>
      <c r="P16" s="234"/>
      <c r="Q16" s="234"/>
      <c r="R16" s="234"/>
      <c r="S16" s="234"/>
      <c r="T16" s="234"/>
    </row>
    <row r="17" spans="1:23" x14ac:dyDescent="0.25">
      <c r="A17" t="str">
        <v/>
      </c>
      <c r="B17" t="str">
        <v>=oz.SumContainsλ( Array, Labels, "CAPEX" )</v>
      </c>
    </row>
    <row r="18" spans="1:23" ht="21" x14ac:dyDescent="0.35">
      <c r="A18" s="305" t="s">
        <v>272</v>
      </c>
      <c r="B18" s="305"/>
      <c r="C18" s="305"/>
      <c r="J18" s="2" t="s">
        <v>289</v>
      </c>
    </row>
    <row r="20" spans="1:23" x14ac:dyDescent="0.25">
      <c r="A20" s="161" t="s">
        <v>273</v>
      </c>
      <c r="B20" s="161" t="s">
        <v>138</v>
      </c>
      <c r="C20" s="161" t="s">
        <v>139</v>
      </c>
      <c r="J20" s="190" t="s">
        <v>131</v>
      </c>
      <c r="K20" s="190" t="s">
        <v>276</v>
      </c>
      <c r="L20" s="1" cm="1">
        <f t="array" ref="L20:W20">oz.Timelineλ($B$21, $B$22, $B$23)</f>
        <v>46569</v>
      </c>
      <c r="M20" s="1">
        <v>46935</v>
      </c>
      <c r="N20" s="1">
        <v>47300</v>
      </c>
      <c r="O20" s="1">
        <v>47665</v>
      </c>
      <c r="P20" s="1">
        <v>48030</v>
      </c>
      <c r="Q20" s="1">
        <v>48396</v>
      </c>
      <c r="R20" s="1">
        <v>48761</v>
      </c>
      <c r="S20" s="1">
        <v>49126</v>
      </c>
      <c r="T20" s="1">
        <v>49491</v>
      </c>
      <c r="U20" s="1">
        <v>49857</v>
      </c>
      <c r="V20" s="1">
        <v>50222</v>
      </c>
      <c r="W20" s="1">
        <v>50587</v>
      </c>
    </row>
    <row r="21" spans="1:23" x14ac:dyDescent="0.25">
      <c r="A21" t="s">
        <v>236</v>
      </c>
      <c r="B21" s="141">
        <v>46569</v>
      </c>
      <c r="C21" t="s">
        <v>145</v>
      </c>
      <c r="J21" t="s">
        <v>342</v>
      </c>
      <c r="L21" s="162" cm="1">
        <f t="array" ref="L21:W21">oz.SumContainsλ(_xlfn.ANCHORARRAY($L$29),_xlfn.ANCHORARRAY($J$29),J21)</f>
        <v>10000</v>
      </c>
      <c r="M21">
        <v>0</v>
      </c>
      <c r="N21">
        <v>50546</v>
      </c>
      <c r="O21">
        <v>0</v>
      </c>
      <c r="P21">
        <v>0</v>
      </c>
      <c r="Q21">
        <v>0</v>
      </c>
      <c r="R21">
        <v>0</v>
      </c>
      <c r="S21">
        <v>0</v>
      </c>
      <c r="T21">
        <v>0</v>
      </c>
      <c r="U21">
        <v>0</v>
      </c>
      <c r="V21">
        <v>0</v>
      </c>
      <c r="W21">
        <v>0</v>
      </c>
    </row>
    <row r="22" spans="1:23" x14ac:dyDescent="0.25">
      <c r="A22" t="s">
        <v>141</v>
      </c>
      <c r="B22">
        <v>12</v>
      </c>
      <c r="C22" t="s">
        <v>146</v>
      </c>
      <c r="J22" t="s">
        <v>343</v>
      </c>
      <c r="L22" s="162" cm="1">
        <f t="array" ref="L22:W22">oz.SumContainsλ(_xlfn.ANCHORARRAY($L$29),_xlfn.ANCHORARRAY($J$29),J22)</f>
        <v>4500.03</v>
      </c>
      <c r="M22">
        <v>4699.9399999999996</v>
      </c>
      <c r="N22">
        <v>6887.380000000001</v>
      </c>
      <c r="O22">
        <v>8889.82</v>
      </c>
      <c r="P22">
        <v>8192.1400000000012</v>
      </c>
      <c r="Q22">
        <v>7585.7660000000014</v>
      </c>
      <c r="R22">
        <v>7057.6234000000013</v>
      </c>
      <c r="S22">
        <v>4596.1110599999993</v>
      </c>
      <c r="T22">
        <v>3191.9911540000012</v>
      </c>
      <c r="U22">
        <v>3267.4659986000015</v>
      </c>
      <c r="V22">
        <v>3007.2567907399966</v>
      </c>
      <c r="W22">
        <v>2067.0595596660019</v>
      </c>
    </row>
    <row r="23" spans="1:23" x14ac:dyDescent="0.25">
      <c r="A23" t="s">
        <v>142</v>
      </c>
      <c r="B23" t="s">
        <v>24</v>
      </c>
      <c r="J23" t="s">
        <v>344</v>
      </c>
      <c r="L23" s="162" cm="1">
        <f t="array" ref="L23:W23">oz.SumContainsλ(_xlfn.ANCHORARRAY($L$29),_xlfn.ANCHORARRAY($J$29),J23)</f>
        <v>27499.97</v>
      </c>
      <c r="M23">
        <v>22800.03</v>
      </c>
      <c r="N23">
        <v>66458.649999999994</v>
      </c>
      <c r="O23">
        <v>57568.829999999994</v>
      </c>
      <c r="P23">
        <v>49376.689999999995</v>
      </c>
      <c r="Q23">
        <v>41790.923999999985</v>
      </c>
      <c r="R23">
        <v>34733.300599999973</v>
      </c>
      <c r="S23">
        <v>30137.189539999978</v>
      </c>
      <c r="T23">
        <v>26945.198385999964</v>
      </c>
      <c r="U23">
        <v>23677.732387399963</v>
      </c>
      <c r="V23">
        <v>20670.47559665997</v>
      </c>
      <c r="W23">
        <v>18603.416036993964</v>
      </c>
    </row>
    <row r="24" spans="1:23" x14ac:dyDescent="0.25">
      <c r="J24" t="s">
        <v>345</v>
      </c>
      <c r="L24" s="162" cm="1">
        <f t="array" ref="L24:W24">oz.SumContainsλ(_xlfn.ANCHORARRAY($L$29),_xlfn.ANCHORARRAY($J$29),J24)</f>
        <v>0</v>
      </c>
      <c r="M24">
        <v>0</v>
      </c>
      <c r="N24">
        <v>0</v>
      </c>
      <c r="O24">
        <v>0</v>
      </c>
      <c r="P24">
        <v>0</v>
      </c>
      <c r="Q24">
        <v>0</v>
      </c>
      <c r="R24">
        <v>0</v>
      </c>
      <c r="S24">
        <v>1000</v>
      </c>
      <c r="T24">
        <v>0</v>
      </c>
      <c r="U24">
        <v>0</v>
      </c>
      <c r="V24">
        <v>500</v>
      </c>
      <c r="W24">
        <v>0</v>
      </c>
    </row>
    <row r="25" spans="1:23" x14ac:dyDescent="0.25">
      <c r="J25" t="s">
        <v>346</v>
      </c>
      <c r="L25" s="162" cm="1">
        <f t="array" ref="L25:W25">oz.SumContainsλ(_xlfn.ANCHORARRAY($L$29),_xlfn.ANCHORARRAY($J$29),J25)</f>
        <v>0</v>
      </c>
      <c r="M25">
        <v>0</v>
      </c>
      <c r="N25">
        <v>0</v>
      </c>
      <c r="O25">
        <v>0</v>
      </c>
      <c r="P25">
        <v>0</v>
      </c>
      <c r="Q25">
        <v>0</v>
      </c>
      <c r="R25">
        <v>0</v>
      </c>
      <c r="S25">
        <v>500</v>
      </c>
      <c r="T25">
        <v>0</v>
      </c>
      <c r="U25">
        <v>0</v>
      </c>
      <c r="V25">
        <v>100</v>
      </c>
      <c r="W25">
        <v>0</v>
      </c>
    </row>
    <row r="26" spans="1:23" ht="21" x14ac:dyDescent="0.35">
      <c r="A26" s="298" t="s">
        <v>295</v>
      </c>
      <c r="B26" s="299"/>
      <c r="C26" s="299"/>
      <c r="D26" s="299"/>
      <c r="E26" s="299"/>
      <c r="F26" s="299"/>
      <c r="G26" s="299"/>
      <c r="H26" s="318"/>
    </row>
    <row r="27" spans="1:23" x14ac:dyDescent="0.25">
      <c r="A27" s="314"/>
      <c r="B27" s="315"/>
      <c r="C27" s="315"/>
      <c r="D27" s="315"/>
      <c r="E27" s="315"/>
      <c r="F27" s="315"/>
      <c r="G27" s="315"/>
      <c r="H27" s="315"/>
    </row>
    <row r="28" spans="1:23"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oz.Timelineλ($B$21, $B$22, $B$23)</f>
        <v>46569</v>
      </c>
      <c r="M28" s="1">
        <v>46935</v>
      </c>
      <c r="N28" s="1">
        <v>47300</v>
      </c>
      <c r="O28" s="1">
        <v>47665</v>
      </c>
      <c r="P28" s="1">
        <v>48030</v>
      </c>
      <c r="Q28" s="1">
        <v>48396</v>
      </c>
      <c r="R28" s="1">
        <v>48761</v>
      </c>
      <c r="S28" s="1">
        <v>49126</v>
      </c>
      <c r="T28" s="1">
        <v>49491</v>
      </c>
      <c r="U28" s="1">
        <v>49857</v>
      </c>
      <c r="V28" s="1">
        <v>50222</v>
      </c>
      <c r="W28" s="1">
        <v>50587</v>
      </c>
    </row>
    <row r="29" spans="1:23" x14ac:dyDescent="0.25">
      <c r="A29" t="s">
        <v>303</v>
      </c>
      <c r="B29" s="195">
        <v>25000</v>
      </c>
      <c r="C29" s="120">
        <v>46204</v>
      </c>
      <c r="D29" s="195">
        <v>8</v>
      </c>
      <c r="E29" s="195">
        <v>1000</v>
      </c>
      <c r="F29" s="120"/>
      <c r="G29" s="195">
        <v>500</v>
      </c>
      <c r="H29" s="120" t="s">
        <v>300</v>
      </c>
      <c r="J29" s="192" t="str" cm="1">
        <f t="array" ref="J29:J48">oz.LabelDepreciateλ(tblAssets111214[Asset])</f>
        <v>Cutter CAPEX</v>
      </c>
      <c r="K29" s="192" cm="1">
        <f t="array" ref="K29:K48">oz.SumDepreciateλ(_xlfn.ANCHORARRAY(L29))</f>
        <v>0</v>
      </c>
      <c r="L29" s="192" cm="1">
        <f t="array" ref="L29:W48">oz.Depreciateλ(tblAssets111214[Amount],tblAssets111214[Acquired],tblAssets111214[Life],_xlfn.ANCHORARRAY(L28),tblAssets111214[Salvage],tblAssets111214[Date],tblAssets111214[Cost],tblAssets111214[Method])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46661</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50546</v>
      </c>
      <c r="C31" s="196">
        <v>47484</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50546</v>
      </c>
      <c r="L43">
        <v>0</v>
      </c>
      <c r="M43">
        <v>0</v>
      </c>
      <c r="N43">
        <v>50546</v>
      </c>
      <c r="O43">
        <v>0</v>
      </c>
      <c r="P43">
        <v>0</v>
      </c>
      <c r="Q43">
        <v>0</v>
      </c>
      <c r="R43">
        <v>0</v>
      </c>
      <c r="S43">
        <v>0</v>
      </c>
      <c r="T43">
        <v>0</v>
      </c>
      <c r="U43">
        <v>0</v>
      </c>
      <c r="V43">
        <v>0</v>
      </c>
      <c r="W43">
        <v>0</v>
      </c>
    </row>
    <row r="44" spans="10:23" x14ac:dyDescent="0.25">
      <c r="J44" t="str">
        <v>CNC Opening Value</v>
      </c>
      <c r="K44">
        <v>0</v>
      </c>
      <c r="L44">
        <v>0</v>
      </c>
      <c r="M44">
        <v>0</v>
      </c>
      <c r="N44">
        <v>50546</v>
      </c>
      <c r="O44">
        <v>48018.679999999993</v>
      </c>
      <c r="P44">
        <v>43216.799999999996</v>
      </c>
      <c r="Q44">
        <v>38895.119999999988</v>
      </c>
      <c r="R44">
        <v>35005.61399999998</v>
      </c>
      <c r="S44">
        <v>31505.070599999977</v>
      </c>
      <c r="T44">
        <v>28354.587539999968</v>
      </c>
      <c r="U44">
        <v>25519.11678599997</v>
      </c>
      <c r="V44">
        <v>22967.175107399969</v>
      </c>
      <c r="W44">
        <v>20670.475596659966</v>
      </c>
    </row>
    <row r="45" spans="10:23" x14ac:dyDescent="0.25">
      <c r="J45" t="str">
        <v>CNC Depreciation</v>
      </c>
      <c r="K45">
        <v>31942.583963006007</v>
      </c>
      <c r="L45">
        <v>0</v>
      </c>
      <c r="M45">
        <v>0</v>
      </c>
      <c r="N45">
        <v>2527.3200000000006</v>
      </c>
      <c r="O45">
        <v>4801.8799999999992</v>
      </c>
      <c r="P45">
        <v>4321.6800000000012</v>
      </c>
      <c r="Q45">
        <v>3889.5060000000012</v>
      </c>
      <c r="R45">
        <v>3500.5434000000009</v>
      </c>
      <c r="S45">
        <v>3150.4830599999996</v>
      </c>
      <c r="T45">
        <v>2835.4707540000009</v>
      </c>
      <c r="U45">
        <v>2551.9416786000011</v>
      </c>
      <c r="V45">
        <v>2296.6995107400007</v>
      </c>
      <c r="W45">
        <v>2067.0595596660019</v>
      </c>
    </row>
    <row r="46" spans="10:23" x14ac:dyDescent="0.25">
      <c r="J46" t="str">
        <v>CNC Book Value</v>
      </c>
      <c r="K46">
        <v>0</v>
      </c>
      <c r="L46">
        <v>0</v>
      </c>
      <c r="M46">
        <v>0</v>
      </c>
      <c r="N46">
        <v>48018.68</v>
      </c>
      <c r="O46">
        <v>43216.799999999996</v>
      </c>
      <c r="P46">
        <v>38895.119999999995</v>
      </c>
      <c r="Q46">
        <v>35005.613999999987</v>
      </c>
      <c r="R46">
        <v>31505.070599999977</v>
      </c>
      <c r="S46">
        <v>28354.587539999979</v>
      </c>
      <c r="T46">
        <v>25519.116785999966</v>
      </c>
      <c r="U46">
        <v>22967.175107399969</v>
      </c>
      <c r="V46">
        <v>20670.47559665997</v>
      </c>
      <c r="W46">
        <v>18603.416036993964</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pageSetup paperSize="9" scale="52" fitToHeight="0" orientation="landscape" horizontalDpi="0" verticalDpi="0"/>
  <customProperties>
    <customPr name="Description" r:id="rId2"/>
  </customProperties>
  <drawing r:id="rId3"/>
  <tableParts count="1">
    <tablePart r:id="rId4"/>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5C2D91"/>
    <pageSetUpPr fitToPage="1"/>
  </sheetPr>
  <dimension ref="A1:U39"/>
  <sheetViews>
    <sheetView showGridLines="0" workbookViewId="0">
      <selection sqref="A1:P1"/>
    </sheetView>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6.5" x14ac:dyDescent="0.7">
      <c r="A1" s="287" t="str">
        <f ca="1">_xlfn.TEXTAFTER(CELL("filename",A1),"]")</f>
        <v>oz.IntOnIntλ</v>
      </c>
      <c r="B1" s="287"/>
      <c r="C1" s="287"/>
      <c r="D1" s="287"/>
      <c r="E1" s="287"/>
      <c r="F1" s="287"/>
      <c r="G1" s="287"/>
      <c r="H1" s="287"/>
      <c r="I1" s="287"/>
      <c r="J1" s="287"/>
      <c r="K1" s="287"/>
      <c r="L1" s="287"/>
      <c r="M1" s="287"/>
      <c r="N1" s="287"/>
      <c r="O1" s="287"/>
      <c r="P1" s="287"/>
    </row>
    <row r="2" spans="1:17" x14ac:dyDescent="0.25">
      <c r="A2" s="288" t="s">
        <v>209</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oz.IntOnIntλ()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https://github.com/ryanduguid/Ozzit</v>
      </c>
    </row>
    <row r="8" spans="1:17" x14ac:dyDescent="0.25">
      <c r="A8" t="str">
        <v>VERSION:</v>
      </c>
      <c r="B8" t="str">
        <v>20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(oz is assumed to be the module's name)</v>
      </c>
    </row>
    <row r="14" spans="1:17" x14ac:dyDescent="0.25">
      <c r="A14" t="str">
        <v>52.63</v>
      </c>
      <c r="B14" t="str">
        <v>=oz.IntOnIntλ( 1000, 5%)</v>
      </c>
    </row>
    <row r="17" spans="1:21" ht="21" x14ac:dyDescent="0.35">
      <c r="A17" s="305" t="s">
        <v>272</v>
      </c>
      <c r="B17" s="305"/>
      <c r="C17" s="305"/>
    </row>
    <row r="18" spans="1:21" x14ac:dyDescent="0.25">
      <c r="I18" s="191" t="s">
        <v>279</v>
      </c>
      <c r="J18" s="165" cm="1">
        <f t="array" ref="J18:U18">oz.Timelineλ($B$20, $B$21, $B$22, FALSE)</f>
        <v>46568</v>
      </c>
      <c r="K18" s="165">
        <v>46934</v>
      </c>
      <c r="L18" s="165">
        <v>47299</v>
      </c>
      <c r="M18" s="165">
        <v>47664</v>
      </c>
      <c r="N18" s="165">
        <v>48029</v>
      </c>
      <c r="O18" s="165">
        <v>48395</v>
      </c>
      <c r="P18" s="165">
        <v>48760</v>
      </c>
      <c r="Q18" s="165">
        <v>49125</v>
      </c>
      <c r="R18" s="165">
        <v>49490</v>
      </c>
      <c r="S18" s="165">
        <v>49856</v>
      </c>
      <c r="T18" s="165">
        <v>50221</v>
      </c>
      <c r="U18" s="165">
        <v>50586</v>
      </c>
    </row>
    <row r="19" spans="1:21" x14ac:dyDescent="0.25">
      <c r="A19" s="161" t="s">
        <v>273</v>
      </c>
      <c r="B19" s="161" t="s">
        <v>138</v>
      </c>
      <c r="C19" s="161" t="s">
        <v>139</v>
      </c>
      <c r="F19" s="199" t="s">
        <v>258</v>
      </c>
      <c r="G19" s="200" t="s">
        <v>138</v>
      </c>
      <c r="H19" s="199" t="s">
        <v>139</v>
      </c>
      <c r="I19" s="190" t="s">
        <v>276</v>
      </c>
      <c r="J19" s="1" cm="1">
        <f t="array" ref="J19:U19">oz.Timelineλ($B$20, $B$21, $B$22)</f>
        <v>46204</v>
      </c>
      <c r="K19" s="1">
        <v>46569</v>
      </c>
      <c r="L19" s="1">
        <v>46935</v>
      </c>
      <c r="M19" s="1">
        <v>47300</v>
      </c>
      <c r="N19" s="1">
        <v>47665</v>
      </c>
      <c r="O19" s="1">
        <v>48030</v>
      </c>
      <c r="P19" s="1">
        <v>48396</v>
      </c>
      <c r="Q19" s="1">
        <v>48761</v>
      </c>
      <c r="R19" s="1">
        <v>49126</v>
      </c>
      <c r="S19" s="1">
        <v>49491</v>
      </c>
      <c r="T19" s="1">
        <v>49857</v>
      </c>
      <c r="U19" s="1">
        <v>50222</v>
      </c>
    </row>
    <row r="20" spans="1:21" x14ac:dyDescent="0.25">
      <c r="A20" t="s">
        <v>236</v>
      </c>
      <c r="B20" s="141">
        <v>46204</v>
      </c>
      <c r="C20" t="s">
        <v>145</v>
      </c>
      <c r="F20" s="2" t="s">
        <v>310</v>
      </c>
    </row>
    <row r="21" spans="1:21" x14ac:dyDescent="0.25">
      <c r="A21" t="s">
        <v>141</v>
      </c>
      <c r="B21">
        <v>12</v>
      </c>
      <c r="C21" t="s">
        <v>146</v>
      </c>
      <c r="F21" s="121" t="s">
        <v>236</v>
      </c>
      <c r="G21" s="141">
        <f>_xlfn.XLOOKUP(F20, tblPhases[Description], tblPhases[Start])</f>
        <v>46204</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50546</v>
      </c>
      <c r="H23" t="s">
        <v>161</v>
      </c>
      <c r="J23" cm="1">
        <f t="array" ref="J23:U23">oz.IsBetweenλ(G21,_xlfn.ANCHORARRAY( $J$19),_xlfn.ANCHORARRAY( $J$18), TRUE) * G23</f>
        <v>50546</v>
      </c>
      <c r="K23">
        <v>0</v>
      </c>
      <c r="L23">
        <v>0</v>
      </c>
      <c r="M23">
        <v>0</v>
      </c>
      <c r="N23">
        <v>0</v>
      </c>
      <c r="O23">
        <v>0</v>
      </c>
      <c r="P23">
        <v>0</v>
      </c>
      <c r="Q23">
        <v>0</v>
      </c>
      <c r="R23">
        <v>0</v>
      </c>
      <c r="S23">
        <v>0</v>
      </c>
      <c r="T23">
        <v>0</v>
      </c>
      <c r="U23">
        <v>0</v>
      </c>
    </row>
    <row r="24" spans="1:21" x14ac:dyDescent="0.25">
      <c r="A24" s="322"/>
      <c r="B24" s="322"/>
      <c r="C24" s="322"/>
      <c r="D24" s="322"/>
      <c r="F24" s="121" t="s">
        <v>313</v>
      </c>
      <c r="J24" s="162" cm="1">
        <f t="array" ref="J24:U24">oz.IntOnIntλ(_xlfn.ANCHORARRAY(J23),G22)</f>
        <v>3804.5376344086035</v>
      </c>
      <c r="K24">
        <v>0</v>
      </c>
      <c r="L24">
        <v>0</v>
      </c>
      <c r="M24">
        <v>0</v>
      </c>
      <c r="N24">
        <v>0</v>
      </c>
      <c r="O24">
        <v>0</v>
      </c>
      <c r="P24">
        <v>0</v>
      </c>
      <c r="Q24">
        <v>0</v>
      </c>
      <c r="R24">
        <v>0</v>
      </c>
      <c r="S24">
        <v>0</v>
      </c>
      <c r="T24">
        <v>0</v>
      </c>
      <c r="U24">
        <v>0</v>
      </c>
    </row>
    <row r="25" spans="1:21" ht="21" x14ac:dyDescent="0.35">
      <c r="A25" s="302" t="s">
        <v>315</v>
      </c>
      <c r="B25" s="306"/>
      <c r="C25" s="306"/>
      <c r="D25" s="306"/>
      <c r="F25" s="2" t="s">
        <v>314</v>
      </c>
      <c r="J25" s="167" cm="1">
        <f t="array" ref="J25:U25">_xlfn.ANCHORARRAY(J23)+_xlfn.ANCHORARRAY(J24)</f>
        <v>54350.537634408603</v>
      </c>
      <c r="K25" s="167">
        <v>0</v>
      </c>
      <c r="L25" s="167">
        <v>0</v>
      </c>
      <c r="M25" s="167">
        <v>0</v>
      </c>
      <c r="N25" s="167">
        <v>0</v>
      </c>
      <c r="O25" s="167">
        <v>0</v>
      </c>
      <c r="P25" s="167">
        <v>0</v>
      </c>
      <c r="Q25" s="167">
        <v>0</v>
      </c>
      <c r="R25" s="167">
        <v>0</v>
      </c>
      <c r="S25" s="167">
        <v>0</v>
      </c>
      <c r="T25" s="167">
        <v>0</v>
      </c>
      <c r="U25" s="167">
        <v>0</v>
      </c>
    </row>
    <row r="26" spans="1:21" x14ac:dyDescent="0.25">
      <c r="A26" s="304"/>
      <c r="B26" s="303"/>
      <c r="C26" s="303"/>
      <c r="D26" s="303"/>
    </row>
    <row r="27" spans="1:21" x14ac:dyDescent="0.25">
      <c r="A27" s="172" t="s">
        <v>131</v>
      </c>
      <c r="B27" s="173" t="s">
        <v>285</v>
      </c>
      <c r="C27" s="173" t="s">
        <v>236</v>
      </c>
      <c r="D27" s="173" t="s">
        <v>286</v>
      </c>
      <c r="F27" s="2" t="s">
        <v>311</v>
      </c>
    </row>
    <row r="28" spans="1:21" x14ac:dyDescent="0.25">
      <c r="A28" s="177" t="s">
        <v>310</v>
      </c>
      <c r="B28" s="178">
        <v>50546</v>
      </c>
      <c r="C28" s="181">
        <v>46204</v>
      </c>
      <c r="D28" s="179">
        <v>7.0000000000000007E-2</v>
      </c>
      <c r="F28" s="121" t="s">
        <v>236</v>
      </c>
      <c r="G28" s="141">
        <f>_xlfn.XLOOKUP(F27,tblPhases[Description],tblPhases[Start])</f>
        <v>46569</v>
      </c>
      <c r="H28" t="s">
        <v>66</v>
      </c>
    </row>
    <row r="29" spans="1:21" x14ac:dyDescent="0.25">
      <c r="A29" s="177" t="s">
        <v>311</v>
      </c>
      <c r="B29" s="178">
        <v>500000</v>
      </c>
      <c r="C29" s="181">
        <v>46569</v>
      </c>
      <c r="D29" s="179">
        <v>6.5000000000000002E-2</v>
      </c>
      <c r="F29" s="121" t="s">
        <v>286</v>
      </c>
      <c r="G29" s="198">
        <f>_xlfn.XLOOKUP(F27,tblPhases[Description],tblPhases[APR])</f>
        <v>6.5000000000000002E-2</v>
      </c>
      <c r="H29" t="s">
        <v>257</v>
      </c>
    </row>
    <row r="30" spans="1:21" x14ac:dyDescent="0.25">
      <c r="A30" s="177" t="s">
        <v>312</v>
      </c>
      <c r="B30" s="178">
        <v>450000</v>
      </c>
      <c r="C30" s="181">
        <v>46935</v>
      </c>
      <c r="D30" s="179">
        <v>0.08</v>
      </c>
      <c r="F30" s="121" t="s">
        <v>285</v>
      </c>
      <c r="G30">
        <f>_xlfn.XLOOKUP(F27,tblPhases[Description],tblPhases[Principal])</f>
        <v>500000</v>
      </c>
      <c r="H30" t="s">
        <v>161</v>
      </c>
      <c r="J30" cm="1">
        <f t="array" ref="J30:U30">oz.IsBetweenλ(G28,_xlfn.ANCHORARRAY(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oz.IntOnIntλ(_xlfn.ANCHORARRAY(J30),G29)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46935</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oz.IsBetweenλ(G35,_xlfn.ANCHORARRAY(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oz.IntOnIntλ(_xlfn.ANCHORARRAY(J37),G36)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pageSetup paperSize="9" scale="54" fitToHeight="0" orientation="landscape" horizontalDpi="0" verticalDpi="0"/>
  <customProperties>
    <customPr name="Description" r:id="rId2"/>
  </customProperties>
  <drawing r:id="rId3"/>
  <tableParts count="1">
    <tablePart r:id="rId4"/>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5C2D91"/>
    <pageSetUpPr fitToPage="1"/>
  </sheetPr>
  <dimension ref="A1:R28"/>
  <sheetViews>
    <sheetView showGridLines="0" workbookViewId="0">
      <selection sqref="A1:J1"/>
    </sheetView>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6.5" x14ac:dyDescent="0.7">
      <c r="A1" s="287" t="str">
        <f ca="1">_xlfn.TEXTAFTER(CELL("filename",A1),"]")</f>
        <v>oz.IRRλ</v>
      </c>
      <c r="B1" s="287"/>
      <c r="C1" s="287"/>
      <c r="D1" s="287"/>
      <c r="E1" s="287"/>
      <c r="F1" s="287"/>
      <c r="G1" s="287"/>
      <c r="H1" s="287"/>
      <c r="I1" s="287"/>
      <c r="J1" s="287"/>
    </row>
    <row r="2" spans="1:18" x14ac:dyDescent="0.25">
      <c r="A2" s="288" t="s">
        <v>210</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row>
    <row r="4" spans="1:18" x14ac:dyDescent="0.25">
      <c r="A4" s="162" t="str" cm="1">
        <f t="array" ref="A4:B21">oz.IRRλ()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https://github.com/ryanduguid/Ozzit</v>
      </c>
    </row>
    <row r="7" spans="1:18" x14ac:dyDescent="0.25">
      <c r="A7" t="str">
        <v>VERSION:</v>
      </c>
      <c r="B7" t="str">
        <v>20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(oz is assumed to be the module's name)</v>
      </c>
    </row>
    <row r="17" spans="1:17" x14ac:dyDescent="0.25">
      <c r="A17" t="str">
        <v>Dates</v>
      </c>
      <c r="B17" t="str">
        <v>=EDATE("1/7/2026",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25%</v>
      </c>
      <c r="B21" t="str">
        <v>=oz.IRRλ( Values, Dates)</v>
      </c>
    </row>
    <row r="23" spans="1:17" ht="21" x14ac:dyDescent="0.35">
      <c r="A23" s="305" t="s">
        <v>272</v>
      </c>
      <c r="B23" s="305"/>
      <c r="C23" s="305"/>
    </row>
    <row r="25" spans="1:17" x14ac:dyDescent="0.25">
      <c r="A25" s="161" t="s">
        <v>273</v>
      </c>
      <c r="B25" s="161" t="s">
        <v>138</v>
      </c>
      <c r="C25" s="161" t="s">
        <v>139</v>
      </c>
      <c r="E25" s="190" t="s">
        <v>316</v>
      </c>
      <c r="F25" s="1" cm="1">
        <f t="array" ref="F25:Q25">oz.Timelineλ($B$26, $B$27, $B$28)</f>
        <v>46204</v>
      </c>
      <c r="G25" s="1">
        <v>46569</v>
      </c>
      <c r="H25" s="1">
        <v>46935</v>
      </c>
      <c r="I25" s="1">
        <v>47300</v>
      </c>
      <c r="J25" s="1">
        <v>47665</v>
      </c>
      <c r="K25" s="1">
        <v>48030</v>
      </c>
      <c r="L25" s="1">
        <v>48396</v>
      </c>
      <c r="M25" s="1">
        <v>48761</v>
      </c>
      <c r="N25" s="1">
        <v>49126</v>
      </c>
      <c r="O25" s="1">
        <v>49491</v>
      </c>
      <c r="P25" s="1">
        <v>49857</v>
      </c>
      <c r="Q25" s="1">
        <v>50222</v>
      </c>
    </row>
    <row r="26" spans="1:17" x14ac:dyDescent="0.25">
      <c r="A26" t="s">
        <v>236</v>
      </c>
      <c r="B26" s="141">
        <v>46204</v>
      </c>
      <c r="C26" t="s">
        <v>145</v>
      </c>
      <c r="E26" s="201" cm="1">
        <f t="array" ref="E26">oz.IRRλ(_xlfn.ANCHORARRAY(F26),_xlfn.ANCHORARRAY( F25))</f>
        <v>0.23169315457344056</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pageSetup paperSize="9" scale="67" fitToHeight="0" orientation="landscape" horizontalDpi="0" verticalDpi="0"/>
  <customProperties>
    <customPr name="Description" r:id="rId2"/>
  </customProperties>
  <drawing r:id="rId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287" t="str">
        <f ca="1">_xlfn.TEXTAFTER(CELL("filename",A1),"]")</f>
        <v>oz.Reversalλ</v>
      </c>
      <c r="B1" s="287"/>
      <c r="C1" s="287"/>
      <c r="D1" s="287"/>
      <c r="E1" s="287"/>
      <c r="F1" s="287"/>
      <c r="G1" s="287"/>
      <c r="H1" s="287"/>
      <c r="I1" s="287"/>
      <c r="J1" s="287"/>
      <c r="K1" s="287"/>
      <c r="L1" s="287"/>
      <c r="M1" s="287"/>
      <c r="N1" s="287"/>
      <c r="O1" s="287"/>
      <c r="P1" s="287"/>
    </row>
    <row r="2" spans="1:18" x14ac:dyDescent="0.25">
      <c r="A2" s="288" t="s">
        <v>424</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oz.Reversalλ()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(oz is assumed to be the module's name)</v>
      </c>
    </row>
    <row r="13" spans="1:18" x14ac:dyDescent="0.25">
      <c r="A13" t="str">
        <v>-100,-110,-130</v>
      </c>
      <c r="B13" t="str">
        <v>=oz.Reversalλ( , {100,110,130})</v>
      </c>
    </row>
    <row r="17" spans="1:19" ht="21" x14ac:dyDescent="0.35">
      <c r="A17" s="305" t="s">
        <v>272</v>
      </c>
      <c r="B17" s="305"/>
      <c r="C17" s="305"/>
    </row>
    <row r="19" spans="1:19" x14ac:dyDescent="0.25">
      <c r="A19" s="161" t="s">
        <v>273</v>
      </c>
      <c r="B19" s="161" t="s">
        <v>138</v>
      </c>
      <c r="C19" s="161" t="s">
        <v>139</v>
      </c>
      <c r="F19" s="161" t="s">
        <v>131</v>
      </c>
      <c r="G19" s="155" t="s">
        <v>276</v>
      </c>
      <c r="H19" s="156"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236</v>
      </c>
      <c r="B20" s="231">
        <v>46204</v>
      </c>
      <c r="C20" t="s">
        <v>145</v>
      </c>
      <c r="F20" t="s">
        <v>63</v>
      </c>
      <c r="G20" cm="1">
        <f t="array" ref="G20">oz.SumRowsλ(_xlfn.ANCHORARRAY(H20))</f>
        <v>2298</v>
      </c>
      <c r="H20" s="192"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141</v>
      </c>
      <c r="B21" s="232">
        <v>12</v>
      </c>
      <c r="C21" t="s">
        <v>146</v>
      </c>
      <c r="F21" s="2" t="s">
        <v>425</v>
      </c>
      <c r="G21" cm="1">
        <f t="array" ref="G21">oz.SumRowsλ(_xlfn.ANCHORARRAY(H21))</f>
        <v>-2035</v>
      </c>
      <c r="H21" s="162" cm="1">
        <f t="array" ref="H21:S21">oz.Reversalλ( ,_xlfn.ANCHORARRAY( H20))</f>
        <v>0</v>
      </c>
      <c r="I21">
        <v>-120</v>
      </c>
      <c r="J21">
        <v>-133</v>
      </c>
      <c r="K21">
        <v>-146</v>
      </c>
      <c r="L21">
        <v>-159</v>
      </c>
      <c r="M21">
        <v>-172</v>
      </c>
      <c r="N21">
        <v>-185</v>
      </c>
      <c r="O21">
        <v>-198</v>
      </c>
      <c r="P21">
        <v>-211</v>
      </c>
      <c r="Q21">
        <v>-224</v>
      </c>
      <c r="R21">
        <v>-237</v>
      </c>
      <c r="S21">
        <v>-250</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pageSetup paperSize="9" scale="63" fitToHeight="0" orientation="landscape" horizontalDpi="0" verticalDpi="0"/>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5C2D91"/>
    <pageSetUpPr fitToPage="1"/>
  </sheetPr>
  <dimension ref="A1:R20"/>
  <sheetViews>
    <sheetView showGridLines="0" workbookViewId="0">
      <selection sqref="A1:P1"/>
    </sheetView>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287" t="str">
        <f ca="1">_xlfn.TEXTAFTER(CELL("filename",A1),"]")</f>
        <v>oz.Movementλ</v>
      </c>
      <c r="B1" s="287"/>
      <c r="C1" s="287"/>
      <c r="D1" s="287"/>
      <c r="E1" s="287"/>
      <c r="F1" s="287"/>
      <c r="G1" s="287"/>
      <c r="H1" s="287"/>
      <c r="I1" s="287"/>
      <c r="J1" s="287"/>
      <c r="K1" s="287"/>
      <c r="L1" s="287"/>
      <c r="M1" s="287"/>
      <c r="N1" s="287"/>
      <c r="O1" s="287"/>
      <c r="P1" s="287"/>
    </row>
    <row r="2" spans="1:16" x14ac:dyDescent="0.25">
      <c r="A2" s="288" t="s">
        <v>211</v>
      </c>
      <c r="B2" s="289"/>
      <c r="C2" s="289"/>
      <c r="D2" s="289"/>
      <c r="E2" s="289"/>
      <c r="F2" s="289"/>
      <c r="G2" s="289"/>
      <c r="H2" s="289"/>
      <c r="I2" s="289"/>
      <c r="J2" s="289"/>
      <c r="K2" s="289"/>
      <c r="L2" s="289"/>
      <c r="M2" s="289"/>
      <c r="N2" s="289"/>
      <c r="O2" s="289"/>
      <c r="P2" s="290"/>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oz.Movementλ()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https://github.com/ryanduguid/Ozzit</v>
      </c>
      <c r="G6" s="2"/>
    </row>
    <row r="7" spans="1:16" x14ac:dyDescent="0.25">
      <c r="A7" t="str">
        <v>VERSION:</v>
      </c>
      <c r="B7" t="str">
        <v>20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(oz is assumed to be the module's name)</v>
      </c>
    </row>
    <row r="13" spans="1:16" x14ac:dyDescent="0.25">
      <c r="A13" t="str">
        <v>100,10,20,-30</v>
      </c>
      <c r="B13" t="str">
        <v>=oz.Movementλ(,{100,110,130,100}, 4)</v>
      </c>
    </row>
    <row r="15" spans="1:16" ht="21" x14ac:dyDescent="0.35">
      <c r="A15" s="305" t="s">
        <v>272</v>
      </c>
      <c r="B15" s="305"/>
      <c r="C15" s="305"/>
    </row>
    <row r="17" spans="1:18" x14ac:dyDescent="0.25">
      <c r="A17" s="161" t="s">
        <v>273</v>
      </c>
      <c r="B17" s="161" t="s">
        <v>138</v>
      </c>
      <c r="C17" s="161" t="s">
        <v>139</v>
      </c>
      <c r="E17" s="161" t="s">
        <v>131</v>
      </c>
      <c r="F17" s="155" t="s">
        <v>276</v>
      </c>
      <c r="G17" s="156" cm="1">
        <f t="array" ref="G17:R17">oz.Timelineλ($B$18, $B$19, $B$20)</f>
        <v>46204</v>
      </c>
      <c r="H17" s="1">
        <v>46235</v>
      </c>
      <c r="I17" s="1">
        <v>46266</v>
      </c>
      <c r="J17" s="1">
        <v>46296</v>
      </c>
      <c r="K17" s="1">
        <v>46327</v>
      </c>
      <c r="L17" s="1">
        <v>46357</v>
      </c>
      <c r="M17" s="1">
        <v>46388</v>
      </c>
      <c r="N17" s="1">
        <v>46419</v>
      </c>
      <c r="O17" s="1">
        <v>46447</v>
      </c>
      <c r="P17" s="1">
        <v>46478</v>
      </c>
      <c r="Q17" s="1">
        <v>46508</v>
      </c>
      <c r="R17" s="1">
        <v>46539</v>
      </c>
    </row>
    <row r="18" spans="1:18" x14ac:dyDescent="0.25">
      <c r="A18" t="s">
        <v>236</v>
      </c>
      <c r="B18" s="141">
        <v>46204</v>
      </c>
      <c r="C18" t="s">
        <v>145</v>
      </c>
      <c r="E18" t="s">
        <v>63</v>
      </c>
      <c r="F18" cm="1">
        <f t="array" ref="F18">oz.SumRowsλ(_xlfn.ANCHORARRAY(G18))</f>
        <v>4</v>
      </c>
      <c r="G18" s="192"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141</v>
      </c>
      <c r="B19">
        <v>12</v>
      </c>
      <c r="C19" t="s">
        <v>146</v>
      </c>
      <c r="E19" s="2" t="s">
        <v>348</v>
      </c>
      <c r="G19" s="162" cm="1">
        <f t="array" ref="G19:R19">oz.Movementλ(F18,_xlfn.ANCHORARRAY(  G18))</f>
        <v>0</v>
      </c>
      <c r="H19">
        <v>-9</v>
      </c>
      <c r="I19">
        <v>2</v>
      </c>
      <c r="J19">
        <v>2</v>
      </c>
      <c r="K19">
        <v>2</v>
      </c>
      <c r="L19">
        <v>2</v>
      </c>
      <c r="M19">
        <v>2</v>
      </c>
      <c r="N19">
        <v>-9</v>
      </c>
      <c r="O19">
        <v>2</v>
      </c>
      <c r="P19">
        <v>2</v>
      </c>
      <c r="Q19">
        <v>2</v>
      </c>
      <c r="R19">
        <v>2</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pageSetup paperSize="9" scale="59" fitToHeight="0" orientation="landscape" horizontalDpi="0" verticalDpi="0"/>
  <customProperties>
    <customPr name="Description" r:id="rId2"/>
  </customProperties>
  <drawing r:id="rId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287" t="str">
        <f ca="1">_xlfn.TEXTAFTER(CELL("filename",A1),"]")</f>
        <v>oz.RollingSumλ</v>
      </c>
      <c r="B1" s="287"/>
      <c r="C1" s="287"/>
      <c r="D1" s="287"/>
      <c r="E1" s="287"/>
      <c r="F1" s="287"/>
      <c r="G1" s="287"/>
      <c r="H1" s="287"/>
      <c r="I1" s="287"/>
      <c r="J1" s="287"/>
      <c r="K1" s="287"/>
      <c r="L1" s="287"/>
      <c r="M1" s="287"/>
      <c r="N1" s="287"/>
      <c r="O1" s="287"/>
      <c r="P1" s="287"/>
    </row>
    <row r="2" spans="1:18" x14ac:dyDescent="0.25">
      <c r="A2" s="288" t="s">
        <v>369</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(oz is assumed to be the module's name)</v>
      </c>
    </row>
    <row r="15" spans="1:18" x14ac:dyDescent="0.25">
      <c r="A15" t="str">
        <v>1,3,6,9,12</v>
      </c>
      <c r="B15" t="str">
        <v>=oz.RollingSumλ(SEQUENCE(, 5), 3)</v>
      </c>
    </row>
    <row r="17" spans="1:19" ht="21" x14ac:dyDescent="0.35">
      <c r="A17" s="305" t="s">
        <v>272</v>
      </c>
      <c r="B17" s="305"/>
      <c r="C17" s="305"/>
    </row>
    <row r="19" spans="1:19" x14ac:dyDescent="0.25">
      <c r="A19" s="161" t="s">
        <v>273</v>
      </c>
      <c r="B19" s="161" t="s">
        <v>138</v>
      </c>
      <c r="C19" s="161" t="s">
        <v>139</v>
      </c>
      <c r="F19" s="161" t="s">
        <v>131</v>
      </c>
      <c r="G19" s="155" t="s">
        <v>276</v>
      </c>
      <c r="H19" s="156"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236</v>
      </c>
      <c r="B20" s="231">
        <v>46204</v>
      </c>
      <c r="C20" t="s">
        <v>145</v>
      </c>
      <c r="F20" t="s">
        <v>63</v>
      </c>
      <c r="G20" cm="1">
        <f t="array" ref="G20">oz.SumRowsλ(_xlfn.ANCHORARRAY(H20))</f>
        <v>5.98</v>
      </c>
      <c r="H20" s="192"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141</v>
      </c>
      <c r="B21" s="232">
        <v>12</v>
      </c>
      <c r="C21" t="s">
        <v>146</v>
      </c>
      <c r="F21" s="2" t="s">
        <v>347</v>
      </c>
      <c r="H21" s="162" cm="1">
        <f t="array" ref="H21:S21">oz.RollingSumλ(_xlfn.ANCHORARRAY(H20),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5C2D91"/>
    <pageSetUpPr fitToPage="1"/>
  </sheetPr>
  <dimension ref="A1:NI38"/>
  <sheetViews>
    <sheetView showGridLines="0" workbookViewId="0">
      <selection sqref="A1:Q1"/>
    </sheetView>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6.5" x14ac:dyDescent="0.7">
      <c r="A1" s="287" t="str">
        <f ca="1">_xlfn.TEXTAFTER(CELL("filename",A1),"]")</f>
        <v>oz.SumPeriodsλ</v>
      </c>
      <c r="B1" s="287"/>
      <c r="C1" s="287"/>
      <c r="D1" s="287"/>
      <c r="E1" s="287"/>
      <c r="F1" s="287"/>
      <c r="G1" s="287"/>
      <c r="H1" s="287"/>
      <c r="I1" s="287"/>
      <c r="J1" s="287"/>
      <c r="K1" s="287"/>
      <c r="L1" s="287"/>
      <c r="M1" s="287"/>
      <c r="N1" s="287"/>
      <c r="O1" s="287"/>
      <c r="P1" s="287"/>
      <c r="Q1" s="287"/>
    </row>
    <row r="2" spans="1:17" x14ac:dyDescent="0.25">
      <c r="A2" s="288" t="s">
        <v>214</v>
      </c>
      <c r="B2" s="289"/>
      <c r="C2" s="289"/>
      <c r="D2" s="289"/>
      <c r="E2" s="289"/>
      <c r="F2" s="289"/>
      <c r="G2" s="289"/>
      <c r="H2" s="289"/>
      <c r="I2" s="289"/>
      <c r="J2" s="289"/>
      <c r="K2" s="289"/>
      <c r="L2" s="289"/>
      <c r="M2" s="289"/>
      <c r="N2" s="289"/>
      <c r="O2" s="290"/>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8">oz.SumPeriodsλ()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20 Aug 2026</v>
      </c>
    </row>
    <row r="9" spans="1:17" x14ac:dyDescent="0.25">
      <c r="A9" t="str">
        <v>WEBPAGE:</v>
      </c>
      <c r="B9" t="str">
        <v>https://github.com/ryanduguid/Ozzit</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(oz is assumed to be the module's name)</v>
      </c>
    </row>
    <row r="16" spans="1:17" x14ac:dyDescent="0.25">
      <c r="A16" t="str">
        <v>03, 07</v>
      </c>
      <c r="B16" t="str">
        <v>=oz.SumPeriodsλ({1,2,3,4;4,3,2,1;10,20,30,40}, {1,2,3,4}, {1,3})</v>
      </c>
    </row>
    <row r="17" spans="1:373" x14ac:dyDescent="0.25">
      <c r="A17" t="str">
        <v>07, 03</v>
      </c>
      <c r="B17" t="str">
        <v/>
      </c>
    </row>
    <row r="18" spans="1:373" x14ac:dyDescent="0.25">
      <c r="A18" t="str">
        <v>30, 70</v>
      </c>
      <c r="B18"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23" t="s">
        <v>221</v>
      </c>
      <c r="B21" s="323"/>
      <c r="C21" s="323"/>
      <c r="D21" s="323"/>
      <c r="E21" s="323"/>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oz.Timelineλ("1/7/2026", 365, "D")</f>
        <v>46204</v>
      </c>
      <c r="J22" s="156">
        <v>46205</v>
      </c>
      <c r="K22" s="156">
        <v>46206</v>
      </c>
      <c r="L22" s="156">
        <v>46207</v>
      </c>
      <c r="M22" s="156">
        <v>46208</v>
      </c>
      <c r="N22" s="156">
        <v>46209</v>
      </c>
      <c r="O22" s="156">
        <v>46210</v>
      </c>
      <c r="P22" s="156">
        <v>46211</v>
      </c>
      <c r="Q22" s="156">
        <v>46212</v>
      </c>
      <c r="R22" s="156">
        <v>46213</v>
      </c>
      <c r="S22" s="156">
        <v>46214</v>
      </c>
      <c r="T22" s="156">
        <v>46215</v>
      </c>
      <c r="U22" s="156">
        <v>46216</v>
      </c>
      <c r="V22" s="156">
        <v>46217</v>
      </c>
      <c r="W22" s="156">
        <v>46218</v>
      </c>
      <c r="X22" s="156">
        <v>46219</v>
      </c>
      <c r="Y22" s="156">
        <v>46220</v>
      </c>
      <c r="Z22" s="156">
        <v>46221</v>
      </c>
      <c r="AA22" s="156">
        <v>46222</v>
      </c>
      <c r="AB22" s="156">
        <v>46223</v>
      </c>
      <c r="AC22" s="156">
        <v>46224</v>
      </c>
      <c r="AD22" s="156">
        <v>46225</v>
      </c>
      <c r="AE22" s="156">
        <v>46226</v>
      </c>
      <c r="AF22" s="156">
        <v>46227</v>
      </c>
      <c r="AG22" s="156">
        <v>46228</v>
      </c>
      <c r="AH22" s="156">
        <v>46229</v>
      </c>
      <c r="AI22" s="156">
        <v>46230</v>
      </c>
      <c r="AJ22" s="156">
        <v>46231</v>
      </c>
      <c r="AK22" s="156">
        <v>46232</v>
      </c>
      <c r="AL22" s="156">
        <v>46233</v>
      </c>
      <c r="AM22" s="156">
        <v>46234</v>
      </c>
      <c r="AN22" s="156">
        <v>46235</v>
      </c>
      <c r="AO22" s="156">
        <v>46236</v>
      </c>
      <c r="AP22" s="156">
        <v>46237</v>
      </c>
      <c r="AQ22" s="156">
        <v>46238</v>
      </c>
      <c r="AR22" s="156">
        <v>46239</v>
      </c>
      <c r="AS22" s="156">
        <v>46240</v>
      </c>
      <c r="AT22" s="156">
        <v>46241</v>
      </c>
      <c r="AU22" s="156">
        <v>46242</v>
      </c>
      <c r="AV22" s="156">
        <v>46243</v>
      </c>
      <c r="AW22" s="156">
        <v>46244</v>
      </c>
      <c r="AX22" s="156">
        <v>46245</v>
      </c>
      <c r="AY22" s="156">
        <v>46246</v>
      </c>
      <c r="AZ22" s="156">
        <v>46247</v>
      </c>
      <c r="BA22" s="156">
        <v>46248</v>
      </c>
      <c r="BB22" s="156">
        <v>46249</v>
      </c>
      <c r="BC22" s="156">
        <v>46250</v>
      </c>
      <c r="BD22" s="156">
        <v>46251</v>
      </c>
      <c r="BE22" s="156">
        <v>46252</v>
      </c>
      <c r="BF22" s="156">
        <v>46253</v>
      </c>
      <c r="BG22" s="156">
        <v>46254</v>
      </c>
      <c r="BH22" s="156">
        <v>46255</v>
      </c>
      <c r="BI22" s="156">
        <v>46256</v>
      </c>
      <c r="BJ22" s="156">
        <v>46257</v>
      </c>
      <c r="BK22" s="156">
        <v>46258</v>
      </c>
      <c r="BL22" s="156">
        <v>46259</v>
      </c>
      <c r="BM22" s="156">
        <v>46260</v>
      </c>
      <c r="BN22" s="156">
        <v>46261</v>
      </c>
      <c r="BO22" s="156">
        <v>46262</v>
      </c>
      <c r="BP22" s="156">
        <v>46263</v>
      </c>
      <c r="BQ22" s="156">
        <v>46264</v>
      </c>
      <c r="BR22" s="156">
        <v>46265</v>
      </c>
      <c r="BS22" s="156">
        <v>46266</v>
      </c>
      <c r="BT22" s="156">
        <v>46267</v>
      </c>
      <c r="BU22" s="156">
        <v>46268</v>
      </c>
      <c r="BV22" s="156">
        <v>46269</v>
      </c>
      <c r="BW22" s="156">
        <v>46270</v>
      </c>
      <c r="BX22" s="156">
        <v>46271</v>
      </c>
      <c r="BY22" s="156">
        <v>46272</v>
      </c>
      <c r="BZ22" s="156">
        <v>46273</v>
      </c>
      <c r="CA22" s="156">
        <v>46274</v>
      </c>
      <c r="CB22" s="156">
        <v>46275</v>
      </c>
      <c r="CC22" s="156">
        <v>46276</v>
      </c>
      <c r="CD22" s="156">
        <v>46277</v>
      </c>
      <c r="CE22" s="156">
        <v>46278</v>
      </c>
      <c r="CF22" s="156">
        <v>46279</v>
      </c>
      <c r="CG22" s="156">
        <v>46280</v>
      </c>
      <c r="CH22" s="156">
        <v>46281</v>
      </c>
      <c r="CI22" s="156">
        <v>46282</v>
      </c>
      <c r="CJ22" s="156">
        <v>46283</v>
      </c>
      <c r="CK22" s="156">
        <v>46284</v>
      </c>
      <c r="CL22" s="156">
        <v>46285</v>
      </c>
      <c r="CM22" s="156">
        <v>46286</v>
      </c>
      <c r="CN22" s="156">
        <v>46287</v>
      </c>
      <c r="CO22" s="156">
        <v>46288</v>
      </c>
      <c r="CP22" s="156">
        <v>46289</v>
      </c>
      <c r="CQ22" s="156">
        <v>46290</v>
      </c>
      <c r="CR22" s="156">
        <v>46291</v>
      </c>
      <c r="CS22" s="156">
        <v>46292</v>
      </c>
      <c r="CT22" s="156">
        <v>46293</v>
      </c>
      <c r="CU22" s="156">
        <v>46294</v>
      </c>
      <c r="CV22" s="156">
        <v>46295</v>
      </c>
      <c r="CW22" s="156">
        <v>46296</v>
      </c>
      <c r="CX22" s="156">
        <v>46297</v>
      </c>
      <c r="CY22" s="156">
        <v>46298</v>
      </c>
      <c r="CZ22" s="156">
        <v>46299</v>
      </c>
      <c r="DA22" s="156">
        <v>46300</v>
      </c>
      <c r="DB22" s="156">
        <v>46301</v>
      </c>
      <c r="DC22" s="156">
        <v>46302</v>
      </c>
      <c r="DD22" s="156">
        <v>46303</v>
      </c>
      <c r="DE22" s="156">
        <v>46304</v>
      </c>
      <c r="DF22" s="156">
        <v>46305</v>
      </c>
      <c r="DG22" s="156">
        <v>46306</v>
      </c>
      <c r="DH22" s="156">
        <v>46307</v>
      </c>
      <c r="DI22" s="156">
        <v>46308</v>
      </c>
      <c r="DJ22" s="156">
        <v>46309</v>
      </c>
      <c r="DK22" s="156">
        <v>46310</v>
      </c>
      <c r="DL22" s="156">
        <v>46311</v>
      </c>
      <c r="DM22" s="156">
        <v>46312</v>
      </c>
      <c r="DN22" s="156">
        <v>46313</v>
      </c>
      <c r="DO22" s="156">
        <v>46314</v>
      </c>
      <c r="DP22" s="156">
        <v>46315</v>
      </c>
      <c r="DQ22" s="156">
        <v>46316</v>
      </c>
      <c r="DR22" s="156">
        <v>46317</v>
      </c>
      <c r="DS22" s="156">
        <v>46318</v>
      </c>
      <c r="DT22" s="156">
        <v>46319</v>
      </c>
      <c r="DU22" s="156">
        <v>46320</v>
      </c>
      <c r="DV22" s="156">
        <v>46321</v>
      </c>
      <c r="DW22" s="156">
        <v>46322</v>
      </c>
      <c r="DX22" s="156">
        <v>46323</v>
      </c>
      <c r="DY22" s="156">
        <v>46324</v>
      </c>
      <c r="DZ22" s="156">
        <v>46325</v>
      </c>
      <c r="EA22" s="156">
        <v>46326</v>
      </c>
      <c r="EB22" s="156">
        <v>46327</v>
      </c>
      <c r="EC22" s="156">
        <v>46328</v>
      </c>
      <c r="ED22" s="156">
        <v>46329</v>
      </c>
      <c r="EE22" s="156">
        <v>46330</v>
      </c>
      <c r="EF22" s="156">
        <v>46331</v>
      </c>
      <c r="EG22" s="156">
        <v>46332</v>
      </c>
      <c r="EH22" s="156">
        <v>46333</v>
      </c>
      <c r="EI22" s="156">
        <v>46334</v>
      </c>
      <c r="EJ22" s="156">
        <v>46335</v>
      </c>
      <c r="EK22" s="156">
        <v>46336</v>
      </c>
      <c r="EL22" s="156">
        <v>46337</v>
      </c>
      <c r="EM22" s="156">
        <v>46338</v>
      </c>
      <c r="EN22" s="156">
        <v>46339</v>
      </c>
      <c r="EO22" s="156">
        <v>46340</v>
      </c>
      <c r="EP22" s="156">
        <v>46341</v>
      </c>
      <c r="EQ22" s="156">
        <v>46342</v>
      </c>
      <c r="ER22" s="156">
        <v>46343</v>
      </c>
      <c r="ES22" s="156">
        <v>46344</v>
      </c>
      <c r="ET22" s="156">
        <v>46345</v>
      </c>
      <c r="EU22" s="156">
        <v>46346</v>
      </c>
      <c r="EV22" s="156">
        <v>46347</v>
      </c>
      <c r="EW22" s="156">
        <v>46348</v>
      </c>
      <c r="EX22" s="156">
        <v>46349</v>
      </c>
      <c r="EY22" s="156">
        <v>46350</v>
      </c>
      <c r="EZ22" s="156">
        <v>46351</v>
      </c>
      <c r="FA22" s="156">
        <v>46352</v>
      </c>
      <c r="FB22" s="156">
        <v>46353</v>
      </c>
      <c r="FC22" s="156">
        <v>46354</v>
      </c>
      <c r="FD22" s="156">
        <v>46355</v>
      </c>
      <c r="FE22" s="156">
        <v>46356</v>
      </c>
      <c r="FF22" s="156">
        <v>46357</v>
      </c>
      <c r="FG22" s="156">
        <v>46358</v>
      </c>
      <c r="FH22" s="156">
        <v>46359</v>
      </c>
      <c r="FI22" s="156">
        <v>46360</v>
      </c>
      <c r="FJ22" s="156">
        <v>46361</v>
      </c>
      <c r="FK22" s="156">
        <v>46362</v>
      </c>
      <c r="FL22" s="156">
        <v>46363</v>
      </c>
      <c r="FM22" s="156">
        <v>46364</v>
      </c>
      <c r="FN22" s="156">
        <v>46365</v>
      </c>
      <c r="FO22" s="156">
        <v>46366</v>
      </c>
      <c r="FP22" s="156">
        <v>46367</v>
      </c>
      <c r="FQ22" s="156">
        <v>46368</v>
      </c>
      <c r="FR22" s="156">
        <v>46369</v>
      </c>
      <c r="FS22" s="156">
        <v>46370</v>
      </c>
      <c r="FT22" s="156">
        <v>46371</v>
      </c>
      <c r="FU22" s="156">
        <v>46372</v>
      </c>
      <c r="FV22" s="156">
        <v>46373</v>
      </c>
      <c r="FW22" s="156">
        <v>46374</v>
      </c>
      <c r="FX22" s="156">
        <v>46375</v>
      </c>
      <c r="FY22" s="156">
        <v>46376</v>
      </c>
      <c r="FZ22" s="156">
        <v>46377</v>
      </c>
      <c r="GA22" s="156">
        <v>46378</v>
      </c>
      <c r="GB22" s="156">
        <v>46379</v>
      </c>
      <c r="GC22" s="156">
        <v>46380</v>
      </c>
      <c r="GD22" s="156">
        <v>46381</v>
      </c>
      <c r="GE22" s="156">
        <v>46382</v>
      </c>
      <c r="GF22" s="156">
        <v>46383</v>
      </c>
      <c r="GG22" s="156">
        <v>46384</v>
      </c>
      <c r="GH22" s="156">
        <v>46385</v>
      </c>
      <c r="GI22" s="156">
        <v>46386</v>
      </c>
      <c r="GJ22" s="156">
        <v>46387</v>
      </c>
      <c r="GK22" s="156">
        <v>46388</v>
      </c>
      <c r="GL22" s="156">
        <v>46389</v>
      </c>
      <c r="GM22" s="156">
        <v>46390</v>
      </c>
      <c r="GN22" s="156">
        <v>46391</v>
      </c>
      <c r="GO22" s="156">
        <v>46392</v>
      </c>
      <c r="GP22" s="156">
        <v>46393</v>
      </c>
      <c r="GQ22" s="156">
        <v>46394</v>
      </c>
      <c r="GR22" s="156">
        <v>46395</v>
      </c>
      <c r="GS22" s="156">
        <v>46396</v>
      </c>
      <c r="GT22" s="156">
        <v>46397</v>
      </c>
      <c r="GU22" s="156">
        <v>46398</v>
      </c>
      <c r="GV22" s="156">
        <v>46399</v>
      </c>
      <c r="GW22" s="156">
        <v>46400</v>
      </c>
      <c r="GX22" s="156">
        <v>46401</v>
      </c>
      <c r="GY22" s="156">
        <v>46402</v>
      </c>
      <c r="GZ22" s="156">
        <v>46403</v>
      </c>
      <c r="HA22" s="156">
        <v>46404</v>
      </c>
      <c r="HB22" s="156">
        <v>46405</v>
      </c>
      <c r="HC22" s="156">
        <v>46406</v>
      </c>
      <c r="HD22" s="156">
        <v>46407</v>
      </c>
      <c r="HE22" s="156">
        <v>46408</v>
      </c>
      <c r="HF22" s="156">
        <v>46409</v>
      </c>
      <c r="HG22" s="156">
        <v>46410</v>
      </c>
      <c r="HH22" s="156">
        <v>46411</v>
      </c>
      <c r="HI22" s="156">
        <v>46412</v>
      </c>
      <c r="HJ22" s="156">
        <v>46413</v>
      </c>
      <c r="HK22" s="156">
        <v>46414</v>
      </c>
      <c r="HL22" s="156">
        <v>46415</v>
      </c>
      <c r="HM22" s="156">
        <v>46416</v>
      </c>
      <c r="HN22" s="156">
        <v>46417</v>
      </c>
      <c r="HO22" s="156">
        <v>46418</v>
      </c>
      <c r="HP22" s="156">
        <v>46419</v>
      </c>
      <c r="HQ22" s="156">
        <v>46420</v>
      </c>
      <c r="HR22" s="156">
        <v>46421</v>
      </c>
      <c r="HS22" s="156">
        <v>46422</v>
      </c>
      <c r="HT22" s="156">
        <v>46423</v>
      </c>
      <c r="HU22" s="156">
        <v>46424</v>
      </c>
      <c r="HV22" s="156">
        <v>46425</v>
      </c>
      <c r="HW22" s="156">
        <v>46426</v>
      </c>
      <c r="HX22" s="156">
        <v>46427</v>
      </c>
      <c r="HY22" s="156">
        <v>46428</v>
      </c>
      <c r="HZ22" s="156">
        <v>46429</v>
      </c>
      <c r="IA22" s="156">
        <v>46430</v>
      </c>
      <c r="IB22" s="156">
        <v>46431</v>
      </c>
      <c r="IC22" s="156">
        <v>46432</v>
      </c>
      <c r="ID22" s="156">
        <v>46433</v>
      </c>
      <c r="IE22" s="156">
        <v>46434</v>
      </c>
      <c r="IF22" s="156">
        <v>46435</v>
      </c>
      <c r="IG22" s="156">
        <v>46436</v>
      </c>
      <c r="IH22" s="156">
        <v>46437</v>
      </c>
      <c r="II22" s="156">
        <v>46438</v>
      </c>
      <c r="IJ22" s="156">
        <v>46439</v>
      </c>
      <c r="IK22" s="156">
        <v>46440</v>
      </c>
      <c r="IL22" s="156">
        <v>46441</v>
      </c>
      <c r="IM22" s="156">
        <v>46442</v>
      </c>
      <c r="IN22" s="156">
        <v>46443</v>
      </c>
      <c r="IO22" s="156">
        <v>46444</v>
      </c>
      <c r="IP22" s="156">
        <v>46445</v>
      </c>
      <c r="IQ22" s="156">
        <v>46446</v>
      </c>
      <c r="IR22" s="156">
        <v>46447</v>
      </c>
      <c r="IS22" s="156">
        <v>46448</v>
      </c>
      <c r="IT22" s="156">
        <v>46449</v>
      </c>
      <c r="IU22" s="156">
        <v>46450</v>
      </c>
      <c r="IV22" s="156">
        <v>46451</v>
      </c>
      <c r="IW22" s="156">
        <v>46452</v>
      </c>
      <c r="IX22" s="156">
        <v>46453</v>
      </c>
      <c r="IY22" s="156">
        <v>46454</v>
      </c>
      <c r="IZ22" s="156">
        <v>46455</v>
      </c>
      <c r="JA22" s="156">
        <v>46456</v>
      </c>
      <c r="JB22" s="156">
        <v>46457</v>
      </c>
      <c r="JC22" s="156">
        <v>46458</v>
      </c>
      <c r="JD22" s="156">
        <v>46459</v>
      </c>
      <c r="JE22" s="156">
        <v>46460</v>
      </c>
      <c r="JF22" s="156">
        <v>46461</v>
      </c>
      <c r="JG22" s="156">
        <v>46462</v>
      </c>
      <c r="JH22" s="156">
        <v>46463</v>
      </c>
      <c r="JI22" s="156">
        <v>46464</v>
      </c>
      <c r="JJ22" s="156">
        <v>46465</v>
      </c>
      <c r="JK22" s="156">
        <v>46466</v>
      </c>
      <c r="JL22" s="156">
        <v>46467</v>
      </c>
      <c r="JM22" s="156">
        <v>46468</v>
      </c>
      <c r="JN22" s="156">
        <v>46469</v>
      </c>
      <c r="JO22" s="156">
        <v>46470</v>
      </c>
      <c r="JP22" s="156">
        <v>46471</v>
      </c>
      <c r="JQ22" s="156">
        <v>46472</v>
      </c>
      <c r="JR22" s="156">
        <v>46473</v>
      </c>
      <c r="JS22" s="156">
        <v>46474</v>
      </c>
      <c r="JT22" s="156">
        <v>46475</v>
      </c>
      <c r="JU22" s="156">
        <v>46476</v>
      </c>
      <c r="JV22" s="156">
        <v>46477</v>
      </c>
      <c r="JW22" s="156">
        <v>46478</v>
      </c>
      <c r="JX22" s="156">
        <v>46479</v>
      </c>
      <c r="JY22" s="156">
        <v>46480</v>
      </c>
      <c r="JZ22" s="156">
        <v>46481</v>
      </c>
      <c r="KA22" s="156">
        <v>46482</v>
      </c>
      <c r="KB22" s="156">
        <v>46483</v>
      </c>
      <c r="KC22" s="156">
        <v>46484</v>
      </c>
      <c r="KD22" s="156">
        <v>46485</v>
      </c>
      <c r="KE22" s="156">
        <v>46486</v>
      </c>
      <c r="KF22" s="156">
        <v>46487</v>
      </c>
      <c r="KG22" s="156">
        <v>46488</v>
      </c>
      <c r="KH22" s="156">
        <v>46489</v>
      </c>
      <c r="KI22" s="156">
        <v>46490</v>
      </c>
      <c r="KJ22" s="156">
        <v>46491</v>
      </c>
      <c r="KK22" s="156">
        <v>46492</v>
      </c>
      <c r="KL22" s="156">
        <v>46493</v>
      </c>
      <c r="KM22" s="156">
        <v>46494</v>
      </c>
      <c r="KN22" s="156">
        <v>46495</v>
      </c>
      <c r="KO22" s="156">
        <v>46496</v>
      </c>
      <c r="KP22" s="156">
        <v>46497</v>
      </c>
      <c r="KQ22" s="156">
        <v>46498</v>
      </c>
      <c r="KR22" s="156">
        <v>46499</v>
      </c>
      <c r="KS22" s="156">
        <v>46500</v>
      </c>
      <c r="KT22" s="156">
        <v>46501</v>
      </c>
      <c r="KU22" s="156">
        <v>46502</v>
      </c>
      <c r="KV22" s="156">
        <v>46503</v>
      </c>
      <c r="KW22" s="156">
        <v>46504</v>
      </c>
      <c r="KX22" s="156">
        <v>46505</v>
      </c>
      <c r="KY22" s="156">
        <v>46506</v>
      </c>
      <c r="KZ22" s="156">
        <v>46507</v>
      </c>
      <c r="LA22" s="156">
        <v>46508</v>
      </c>
      <c r="LB22" s="156">
        <v>46509</v>
      </c>
      <c r="LC22" s="156">
        <v>46510</v>
      </c>
      <c r="LD22" s="156">
        <v>46511</v>
      </c>
      <c r="LE22" s="156">
        <v>46512</v>
      </c>
      <c r="LF22" s="156">
        <v>46513</v>
      </c>
      <c r="LG22" s="156">
        <v>46514</v>
      </c>
      <c r="LH22" s="156">
        <v>46515</v>
      </c>
      <c r="LI22" s="156">
        <v>46516</v>
      </c>
      <c r="LJ22" s="156">
        <v>46517</v>
      </c>
      <c r="LK22" s="156">
        <v>46518</v>
      </c>
      <c r="LL22" s="156">
        <v>46519</v>
      </c>
      <c r="LM22" s="156">
        <v>46520</v>
      </c>
      <c r="LN22" s="156">
        <v>46521</v>
      </c>
      <c r="LO22" s="156">
        <v>46522</v>
      </c>
      <c r="LP22" s="156">
        <v>46523</v>
      </c>
      <c r="LQ22" s="156">
        <v>46524</v>
      </c>
      <c r="LR22" s="156">
        <v>46525</v>
      </c>
      <c r="LS22" s="156">
        <v>46526</v>
      </c>
      <c r="LT22" s="156">
        <v>46527</v>
      </c>
      <c r="LU22" s="156">
        <v>46528</v>
      </c>
      <c r="LV22" s="156">
        <v>46529</v>
      </c>
      <c r="LW22" s="156">
        <v>46530</v>
      </c>
      <c r="LX22" s="156">
        <v>46531</v>
      </c>
      <c r="LY22" s="156">
        <v>46532</v>
      </c>
      <c r="LZ22" s="156">
        <v>46533</v>
      </c>
      <c r="MA22" s="156">
        <v>46534</v>
      </c>
      <c r="MB22" s="156">
        <v>46535</v>
      </c>
      <c r="MC22" s="156">
        <v>46536</v>
      </c>
      <c r="MD22" s="156">
        <v>46537</v>
      </c>
      <c r="ME22" s="156">
        <v>46538</v>
      </c>
      <c r="MF22" s="156">
        <v>46539</v>
      </c>
      <c r="MG22" s="156">
        <v>46540</v>
      </c>
      <c r="MH22" s="156">
        <v>46541</v>
      </c>
      <c r="MI22" s="156">
        <v>46542</v>
      </c>
      <c r="MJ22" s="156">
        <v>46543</v>
      </c>
      <c r="MK22" s="156">
        <v>46544</v>
      </c>
      <c r="ML22" s="156">
        <v>46545</v>
      </c>
      <c r="MM22" s="156">
        <v>46546</v>
      </c>
      <c r="MN22" s="156">
        <v>46547</v>
      </c>
      <c r="MO22" s="156">
        <v>46548</v>
      </c>
      <c r="MP22" s="156">
        <v>46549</v>
      </c>
      <c r="MQ22" s="156">
        <v>46550</v>
      </c>
      <c r="MR22" s="156">
        <v>46551</v>
      </c>
      <c r="MS22" s="156">
        <v>46552</v>
      </c>
      <c r="MT22" s="156">
        <v>46553</v>
      </c>
      <c r="MU22" s="156">
        <v>46554</v>
      </c>
      <c r="MV22" s="156">
        <v>46555</v>
      </c>
      <c r="MW22" s="156">
        <v>46556</v>
      </c>
      <c r="MX22" s="156">
        <v>46557</v>
      </c>
      <c r="MY22" s="156">
        <v>46558</v>
      </c>
      <c r="MZ22" s="156">
        <v>46559</v>
      </c>
      <c r="NA22" s="156">
        <v>46560</v>
      </c>
      <c r="NB22" s="156">
        <v>46561</v>
      </c>
      <c r="NC22" s="156">
        <v>46562</v>
      </c>
      <c r="ND22" s="156">
        <v>46563</v>
      </c>
      <c r="NE22" s="156">
        <v>46564</v>
      </c>
      <c r="NF22" s="156">
        <v>46565</v>
      </c>
      <c r="NG22" s="156">
        <v>46566</v>
      </c>
      <c r="NH22" s="156">
        <v>46567</v>
      </c>
      <c r="NI22" s="156">
        <v>46568</v>
      </c>
    </row>
    <row r="23" spans="1:373" x14ac:dyDescent="0.25">
      <c r="A23" t="s">
        <v>227</v>
      </c>
      <c r="B23" s="207">
        <v>6000</v>
      </c>
      <c r="C23" s="208" t="s">
        <v>225</v>
      </c>
      <c r="D23" s="209">
        <v>46204</v>
      </c>
      <c r="E23" s="209"/>
      <c r="G23" t="s">
        <v>227</v>
      </c>
      <c r="H23" cm="1">
        <f t="array" ref="H23:H28">oz.SumRowsλ(_xlfn.ANCHORARRAY(I23))</f>
        <v>162000</v>
      </c>
      <c r="I23" s="192" cm="1">
        <f t="array" ref="I23:NI28">oz.IsOccurrenceDateλ(_xlfn.ANCHORARRAY(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46208</v>
      </c>
      <c r="E24" s="209">
        <v>48760</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-4500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-4500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-4500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-4500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-4500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-4500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46204</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-2000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46213</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-500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0</v>
      </c>
      <c r="GS26">
        <v>0</v>
      </c>
      <c r="GT26">
        <v>-500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46206</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46204</v>
      </c>
      <c r="E28" s="209"/>
      <c r="G28" t="s">
        <v>235</v>
      </c>
      <c r="H28">
        <v>-4959</v>
      </c>
      <c r="I28">
        <v>-19</v>
      </c>
      <c r="J28">
        <v>-19</v>
      </c>
      <c r="K28">
        <v>-19</v>
      </c>
      <c r="L28">
        <v>0</v>
      </c>
      <c r="M28">
        <v>0</v>
      </c>
      <c r="N28">
        <v>-19</v>
      </c>
      <c r="O28">
        <v>-19</v>
      </c>
      <c r="P28">
        <v>-19</v>
      </c>
      <c r="Q28">
        <v>-19</v>
      </c>
      <c r="R28">
        <v>-19</v>
      </c>
      <c r="S28">
        <v>0</v>
      </c>
      <c r="T28">
        <v>0</v>
      </c>
      <c r="U28">
        <v>-19</v>
      </c>
      <c r="V28">
        <v>-19</v>
      </c>
      <c r="W28">
        <v>-19</v>
      </c>
      <c r="X28">
        <v>-19</v>
      </c>
      <c r="Y28">
        <v>-19</v>
      </c>
      <c r="Z28">
        <v>0</v>
      </c>
      <c r="AA28">
        <v>0</v>
      </c>
      <c r="AB28">
        <v>-19</v>
      </c>
      <c r="AC28">
        <v>-19</v>
      </c>
      <c r="AD28">
        <v>-19</v>
      </c>
      <c r="AE28">
        <v>-19</v>
      </c>
      <c r="AF28">
        <v>-19</v>
      </c>
      <c r="AG28">
        <v>0</v>
      </c>
      <c r="AH28">
        <v>0</v>
      </c>
      <c r="AI28">
        <v>-19</v>
      </c>
      <c r="AJ28">
        <v>-19</v>
      </c>
      <c r="AK28">
        <v>-19</v>
      </c>
      <c r="AL28">
        <v>-19</v>
      </c>
      <c r="AM28">
        <v>-19</v>
      </c>
      <c r="AN28">
        <v>0</v>
      </c>
      <c r="AO28">
        <v>0</v>
      </c>
      <c r="AP28">
        <v>-19</v>
      </c>
      <c r="AQ28">
        <v>-19</v>
      </c>
      <c r="AR28">
        <v>-19</v>
      </c>
      <c r="AS28">
        <v>-19</v>
      </c>
      <c r="AT28">
        <v>-19</v>
      </c>
      <c r="AU28">
        <v>0</v>
      </c>
      <c r="AV28">
        <v>0</v>
      </c>
      <c r="AW28">
        <v>-19</v>
      </c>
      <c r="AX28">
        <v>-19</v>
      </c>
      <c r="AY28">
        <v>-19</v>
      </c>
      <c r="AZ28">
        <v>-19</v>
      </c>
      <c r="BA28">
        <v>-19</v>
      </c>
      <c r="BB28">
        <v>0</v>
      </c>
      <c r="BC28">
        <v>0</v>
      </c>
      <c r="BD28">
        <v>-19</v>
      </c>
      <c r="BE28">
        <v>-19</v>
      </c>
      <c r="BF28">
        <v>-19</v>
      </c>
      <c r="BG28">
        <v>-19</v>
      </c>
      <c r="BH28">
        <v>-19</v>
      </c>
      <c r="BI28">
        <v>0</v>
      </c>
      <c r="BJ28">
        <v>0</v>
      </c>
      <c r="BK28">
        <v>-19</v>
      </c>
      <c r="BL28">
        <v>-19</v>
      </c>
      <c r="BM28">
        <v>-19</v>
      </c>
      <c r="BN28">
        <v>-19</v>
      </c>
      <c r="BO28">
        <v>-19</v>
      </c>
      <c r="BP28">
        <v>0</v>
      </c>
      <c r="BQ28">
        <v>0</v>
      </c>
      <c r="BR28">
        <v>-19</v>
      </c>
      <c r="BS28">
        <v>-19</v>
      </c>
      <c r="BT28">
        <v>-19</v>
      </c>
      <c r="BU28">
        <v>-19</v>
      </c>
      <c r="BV28">
        <v>-19</v>
      </c>
      <c r="BW28">
        <v>0</v>
      </c>
      <c r="BX28">
        <v>0</v>
      </c>
      <c r="BY28">
        <v>-19</v>
      </c>
      <c r="BZ28">
        <v>-19</v>
      </c>
      <c r="CA28">
        <v>-19</v>
      </c>
      <c r="CB28">
        <v>-19</v>
      </c>
      <c r="CC28">
        <v>-19</v>
      </c>
      <c r="CD28">
        <v>0</v>
      </c>
      <c r="CE28">
        <v>0</v>
      </c>
      <c r="CF28">
        <v>-19</v>
      </c>
      <c r="CG28">
        <v>-19</v>
      </c>
      <c r="CH28">
        <v>-19</v>
      </c>
      <c r="CI28">
        <v>-19</v>
      </c>
      <c r="CJ28">
        <v>-19</v>
      </c>
      <c r="CK28">
        <v>0</v>
      </c>
      <c r="CL28">
        <v>0</v>
      </c>
      <c r="CM28">
        <v>-19</v>
      </c>
      <c r="CN28">
        <v>-19</v>
      </c>
      <c r="CO28">
        <v>-19</v>
      </c>
      <c r="CP28">
        <v>-19</v>
      </c>
      <c r="CQ28">
        <v>-19</v>
      </c>
      <c r="CR28">
        <v>0</v>
      </c>
      <c r="CS28">
        <v>0</v>
      </c>
      <c r="CT28">
        <v>-19</v>
      </c>
      <c r="CU28">
        <v>-19</v>
      </c>
      <c r="CV28">
        <v>-19</v>
      </c>
      <c r="CW28">
        <v>-19</v>
      </c>
      <c r="CX28">
        <v>-19</v>
      </c>
      <c r="CY28">
        <v>0</v>
      </c>
      <c r="CZ28">
        <v>0</v>
      </c>
      <c r="DA28">
        <v>-19</v>
      </c>
      <c r="DB28">
        <v>-19</v>
      </c>
      <c r="DC28">
        <v>-19</v>
      </c>
      <c r="DD28">
        <v>-19</v>
      </c>
      <c r="DE28">
        <v>-19</v>
      </c>
      <c r="DF28">
        <v>0</v>
      </c>
      <c r="DG28">
        <v>0</v>
      </c>
      <c r="DH28">
        <v>-19</v>
      </c>
      <c r="DI28">
        <v>-19</v>
      </c>
      <c r="DJ28">
        <v>-19</v>
      </c>
      <c r="DK28">
        <v>-19</v>
      </c>
      <c r="DL28">
        <v>-19</v>
      </c>
      <c r="DM28">
        <v>0</v>
      </c>
      <c r="DN28">
        <v>0</v>
      </c>
      <c r="DO28">
        <v>-19</v>
      </c>
      <c r="DP28">
        <v>-19</v>
      </c>
      <c r="DQ28">
        <v>-19</v>
      </c>
      <c r="DR28">
        <v>-19</v>
      </c>
      <c r="DS28">
        <v>-19</v>
      </c>
      <c r="DT28">
        <v>0</v>
      </c>
      <c r="DU28">
        <v>0</v>
      </c>
      <c r="DV28">
        <v>-19</v>
      </c>
      <c r="DW28">
        <v>-19</v>
      </c>
      <c r="DX28">
        <v>-19</v>
      </c>
      <c r="DY28">
        <v>-19</v>
      </c>
      <c r="DZ28">
        <v>-19</v>
      </c>
      <c r="EA28">
        <v>0</v>
      </c>
      <c r="EB28">
        <v>0</v>
      </c>
      <c r="EC28">
        <v>-19</v>
      </c>
      <c r="ED28">
        <v>-19</v>
      </c>
      <c r="EE28">
        <v>-19</v>
      </c>
      <c r="EF28">
        <v>-19</v>
      </c>
      <c r="EG28">
        <v>-19</v>
      </c>
      <c r="EH28">
        <v>0</v>
      </c>
      <c r="EI28">
        <v>0</v>
      </c>
      <c r="EJ28">
        <v>-19</v>
      </c>
      <c r="EK28">
        <v>-19</v>
      </c>
      <c r="EL28">
        <v>-19</v>
      </c>
      <c r="EM28">
        <v>-19</v>
      </c>
      <c r="EN28">
        <v>-19</v>
      </c>
      <c r="EO28">
        <v>0</v>
      </c>
      <c r="EP28">
        <v>0</v>
      </c>
      <c r="EQ28">
        <v>-19</v>
      </c>
      <c r="ER28">
        <v>-19</v>
      </c>
      <c r="ES28">
        <v>-19</v>
      </c>
      <c r="ET28">
        <v>-19</v>
      </c>
      <c r="EU28">
        <v>-19</v>
      </c>
      <c r="EV28">
        <v>0</v>
      </c>
      <c r="EW28">
        <v>0</v>
      </c>
      <c r="EX28">
        <v>-19</v>
      </c>
      <c r="EY28">
        <v>-19</v>
      </c>
      <c r="EZ28">
        <v>-19</v>
      </c>
      <c r="FA28">
        <v>-19</v>
      </c>
      <c r="FB28">
        <v>-19</v>
      </c>
      <c r="FC28">
        <v>0</v>
      </c>
      <c r="FD28">
        <v>0</v>
      </c>
      <c r="FE28">
        <v>-19</v>
      </c>
      <c r="FF28">
        <v>-19</v>
      </c>
      <c r="FG28">
        <v>-19</v>
      </c>
      <c r="FH28">
        <v>-19</v>
      </c>
      <c r="FI28">
        <v>-19</v>
      </c>
      <c r="FJ28">
        <v>0</v>
      </c>
      <c r="FK28">
        <v>0</v>
      </c>
      <c r="FL28">
        <v>-19</v>
      </c>
      <c r="FM28">
        <v>-19</v>
      </c>
      <c r="FN28">
        <v>-19</v>
      </c>
      <c r="FO28">
        <v>-19</v>
      </c>
      <c r="FP28">
        <v>-19</v>
      </c>
      <c r="FQ28">
        <v>0</v>
      </c>
      <c r="FR28">
        <v>0</v>
      </c>
      <c r="FS28">
        <v>-19</v>
      </c>
      <c r="FT28">
        <v>-19</v>
      </c>
      <c r="FU28">
        <v>-19</v>
      </c>
      <c r="FV28">
        <v>-19</v>
      </c>
      <c r="FW28">
        <v>-19</v>
      </c>
      <c r="FX28">
        <v>0</v>
      </c>
      <c r="FY28">
        <v>0</v>
      </c>
      <c r="FZ28">
        <v>-19</v>
      </c>
      <c r="GA28">
        <v>-19</v>
      </c>
      <c r="GB28">
        <v>-19</v>
      </c>
      <c r="GC28">
        <v>-19</v>
      </c>
      <c r="GD28">
        <v>-19</v>
      </c>
      <c r="GE28">
        <v>0</v>
      </c>
      <c r="GF28">
        <v>0</v>
      </c>
      <c r="GG28">
        <v>-19</v>
      </c>
      <c r="GH28">
        <v>-19</v>
      </c>
      <c r="GI28">
        <v>-19</v>
      </c>
      <c r="GJ28">
        <v>-19</v>
      </c>
      <c r="GK28">
        <v>-19</v>
      </c>
      <c r="GL28">
        <v>0</v>
      </c>
      <c r="GM28">
        <v>0</v>
      </c>
      <c r="GN28">
        <v>-19</v>
      </c>
      <c r="GO28">
        <v>-19</v>
      </c>
      <c r="GP28">
        <v>-19</v>
      </c>
      <c r="GQ28">
        <v>-19</v>
      </c>
      <c r="GR28">
        <v>-19</v>
      </c>
      <c r="GS28">
        <v>0</v>
      </c>
      <c r="GT28">
        <v>0</v>
      </c>
      <c r="GU28">
        <v>-19</v>
      </c>
      <c r="GV28">
        <v>-19</v>
      </c>
      <c r="GW28">
        <v>-19</v>
      </c>
      <c r="GX28">
        <v>-19</v>
      </c>
      <c r="GY28">
        <v>-19</v>
      </c>
      <c r="GZ28">
        <v>0</v>
      </c>
      <c r="HA28">
        <v>0</v>
      </c>
      <c r="HB28">
        <v>-19</v>
      </c>
      <c r="HC28">
        <v>-19</v>
      </c>
      <c r="HD28">
        <v>-19</v>
      </c>
      <c r="HE28">
        <v>-19</v>
      </c>
      <c r="HF28">
        <v>-19</v>
      </c>
      <c r="HG28">
        <v>0</v>
      </c>
      <c r="HH28">
        <v>0</v>
      </c>
      <c r="HI28">
        <v>-19</v>
      </c>
      <c r="HJ28">
        <v>-19</v>
      </c>
      <c r="HK28">
        <v>-19</v>
      </c>
      <c r="HL28">
        <v>-19</v>
      </c>
      <c r="HM28">
        <v>-19</v>
      </c>
      <c r="HN28">
        <v>0</v>
      </c>
      <c r="HO28">
        <v>0</v>
      </c>
      <c r="HP28">
        <v>-19</v>
      </c>
      <c r="HQ28">
        <v>-19</v>
      </c>
      <c r="HR28">
        <v>-19</v>
      </c>
      <c r="HS28">
        <v>-19</v>
      </c>
      <c r="HT28">
        <v>-19</v>
      </c>
      <c r="HU28">
        <v>0</v>
      </c>
      <c r="HV28">
        <v>0</v>
      </c>
      <c r="HW28">
        <v>-19</v>
      </c>
      <c r="HX28">
        <v>-19</v>
      </c>
      <c r="HY28">
        <v>-19</v>
      </c>
      <c r="HZ28">
        <v>-19</v>
      </c>
      <c r="IA28">
        <v>-19</v>
      </c>
      <c r="IB28">
        <v>0</v>
      </c>
      <c r="IC28">
        <v>0</v>
      </c>
      <c r="ID28">
        <v>-19</v>
      </c>
      <c r="IE28">
        <v>-19</v>
      </c>
      <c r="IF28">
        <v>-19</v>
      </c>
      <c r="IG28">
        <v>-19</v>
      </c>
      <c r="IH28">
        <v>-19</v>
      </c>
      <c r="II28">
        <v>0</v>
      </c>
      <c r="IJ28">
        <v>0</v>
      </c>
      <c r="IK28">
        <v>-19</v>
      </c>
      <c r="IL28">
        <v>-19</v>
      </c>
      <c r="IM28">
        <v>-19</v>
      </c>
      <c r="IN28">
        <v>-19</v>
      </c>
      <c r="IO28">
        <v>-19</v>
      </c>
      <c r="IP28">
        <v>0</v>
      </c>
      <c r="IQ28">
        <v>0</v>
      </c>
      <c r="IR28">
        <v>-19</v>
      </c>
      <c r="IS28">
        <v>-19</v>
      </c>
      <c r="IT28">
        <v>-19</v>
      </c>
      <c r="IU28">
        <v>-19</v>
      </c>
      <c r="IV28">
        <v>-19</v>
      </c>
      <c r="IW28">
        <v>0</v>
      </c>
      <c r="IX28">
        <v>0</v>
      </c>
      <c r="IY28">
        <v>-19</v>
      </c>
      <c r="IZ28">
        <v>-19</v>
      </c>
      <c r="JA28">
        <v>-19</v>
      </c>
      <c r="JB28">
        <v>-19</v>
      </c>
      <c r="JC28">
        <v>-19</v>
      </c>
      <c r="JD28">
        <v>0</v>
      </c>
      <c r="JE28">
        <v>0</v>
      </c>
      <c r="JF28">
        <v>-19</v>
      </c>
      <c r="JG28">
        <v>-19</v>
      </c>
      <c r="JH28">
        <v>-19</v>
      </c>
      <c r="JI28">
        <v>-19</v>
      </c>
      <c r="JJ28">
        <v>-19</v>
      </c>
      <c r="JK28">
        <v>0</v>
      </c>
      <c r="JL28">
        <v>0</v>
      </c>
      <c r="JM28">
        <v>-19</v>
      </c>
      <c r="JN28">
        <v>-19</v>
      </c>
      <c r="JO28">
        <v>-19</v>
      </c>
      <c r="JP28">
        <v>-19</v>
      </c>
      <c r="JQ28">
        <v>-19</v>
      </c>
      <c r="JR28">
        <v>0</v>
      </c>
      <c r="JS28">
        <v>0</v>
      </c>
      <c r="JT28">
        <v>-19</v>
      </c>
      <c r="JU28">
        <v>-19</v>
      </c>
      <c r="JV28">
        <v>-19</v>
      </c>
      <c r="JW28">
        <v>-19</v>
      </c>
      <c r="JX28">
        <v>-19</v>
      </c>
      <c r="JY28">
        <v>0</v>
      </c>
      <c r="JZ28">
        <v>0</v>
      </c>
      <c r="KA28">
        <v>-19</v>
      </c>
      <c r="KB28">
        <v>-19</v>
      </c>
      <c r="KC28">
        <v>-19</v>
      </c>
      <c r="KD28">
        <v>-19</v>
      </c>
      <c r="KE28">
        <v>-19</v>
      </c>
      <c r="KF28">
        <v>0</v>
      </c>
      <c r="KG28">
        <v>0</v>
      </c>
      <c r="KH28">
        <v>-19</v>
      </c>
      <c r="KI28">
        <v>-19</v>
      </c>
      <c r="KJ28">
        <v>-19</v>
      </c>
      <c r="KK28">
        <v>-19</v>
      </c>
      <c r="KL28">
        <v>-19</v>
      </c>
      <c r="KM28">
        <v>0</v>
      </c>
      <c r="KN28">
        <v>0</v>
      </c>
      <c r="KO28">
        <v>-19</v>
      </c>
      <c r="KP28">
        <v>-19</v>
      </c>
      <c r="KQ28">
        <v>-19</v>
      </c>
      <c r="KR28">
        <v>-19</v>
      </c>
      <c r="KS28">
        <v>-19</v>
      </c>
      <c r="KT28">
        <v>0</v>
      </c>
      <c r="KU28">
        <v>0</v>
      </c>
      <c r="KV28">
        <v>-19</v>
      </c>
      <c r="KW28">
        <v>-19</v>
      </c>
      <c r="KX28">
        <v>-19</v>
      </c>
      <c r="KY28">
        <v>-19</v>
      </c>
      <c r="KZ28">
        <v>-19</v>
      </c>
      <c r="LA28">
        <v>0</v>
      </c>
      <c r="LB28">
        <v>0</v>
      </c>
      <c r="LC28">
        <v>-19</v>
      </c>
      <c r="LD28">
        <v>-19</v>
      </c>
      <c r="LE28">
        <v>-19</v>
      </c>
      <c r="LF28">
        <v>-19</v>
      </c>
      <c r="LG28">
        <v>-19</v>
      </c>
      <c r="LH28">
        <v>0</v>
      </c>
      <c r="LI28">
        <v>0</v>
      </c>
      <c r="LJ28">
        <v>-19</v>
      </c>
      <c r="LK28">
        <v>-19</v>
      </c>
      <c r="LL28">
        <v>-19</v>
      </c>
      <c r="LM28">
        <v>-19</v>
      </c>
      <c r="LN28">
        <v>-19</v>
      </c>
      <c r="LO28">
        <v>0</v>
      </c>
      <c r="LP28">
        <v>0</v>
      </c>
      <c r="LQ28">
        <v>-19</v>
      </c>
      <c r="LR28">
        <v>-19</v>
      </c>
      <c r="LS28">
        <v>-19</v>
      </c>
      <c r="LT28">
        <v>-19</v>
      </c>
      <c r="LU28">
        <v>-19</v>
      </c>
      <c r="LV28">
        <v>0</v>
      </c>
      <c r="LW28">
        <v>0</v>
      </c>
      <c r="LX28">
        <v>-19</v>
      </c>
      <c r="LY28">
        <v>-19</v>
      </c>
      <c r="LZ28">
        <v>-19</v>
      </c>
      <c r="MA28">
        <v>-19</v>
      </c>
      <c r="MB28">
        <v>-19</v>
      </c>
      <c r="MC28">
        <v>0</v>
      </c>
      <c r="MD28">
        <v>0</v>
      </c>
      <c r="ME28">
        <v>-19</v>
      </c>
      <c r="MF28">
        <v>-19</v>
      </c>
      <c r="MG28">
        <v>-19</v>
      </c>
      <c r="MH28">
        <v>-19</v>
      </c>
      <c r="MI28">
        <v>-19</v>
      </c>
      <c r="MJ28">
        <v>0</v>
      </c>
      <c r="MK28">
        <v>0</v>
      </c>
      <c r="ML28">
        <v>-19</v>
      </c>
      <c r="MM28">
        <v>-19</v>
      </c>
      <c r="MN28">
        <v>-19</v>
      </c>
      <c r="MO28">
        <v>-19</v>
      </c>
      <c r="MP28">
        <v>-19</v>
      </c>
      <c r="MQ28">
        <v>0</v>
      </c>
      <c r="MR28">
        <v>0</v>
      </c>
      <c r="MS28">
        <v>-19</v>
      </c>
      <c r="MT28">
        <v>-19</v>
      </c>
      <c r="MU28">
        <v>-19</v>
      </c>
      <c r="MV28">
        <v>-19</v>
      </c>
      <c r="MW28">
        <v>-19</v>
      </c>
      <c r="MX28">
        <v>0</v>
      </c>
      <c r="MY28">
        <v>0</v>
      </c>
      <c r="MZ28">
        <v>-19</v>
      </c>
      <c r="NA28">
        <v>-19</v>
      </c>
      <c r="NB28">
        <v>-19</v>
      </c>
      <c r="NC28">
        <v>-19</v>
      </c>
      <c r="ND28">
        <v>-19</v>
      </c>
      <c r="NE28">
        <v>0</v>
      </c>
      <c r="NF28">
        <v>0</v>
      </c>
      <c r="NG28">
        <v>-19</v>
      </c>
      <c r="NH28">
        <v>-19</v>
      </c>
      <c r="NI28">
        <v>-19</v>
      </c>
    </row>
    <row r="32" spans="1:373" x14ac:dyDescent="0.25">
      <c r="G32" s="149" t="s">
        <v>320</v>
      </c>
      <c r="H32" s="155" t="s">
        <v>247</v>
      </c>
      <c r="I32" s="156" cm="1">
        <f t="array" ref="I32:T32">oz.Timelineλ("1/7/2026", 12, "M")</f>
        <v>46204</v>
      </c>
      <c r="J32" s="156">
        <v>46235</v>
      </c>
      <c r="K32" s="156">
        <v>46266</v>
      </c>
      <c r="L32" s="156">
        <v>46296</v>
      </c>
      <c r="M32" s="156">
        <v>46327</v>
      </c>
      <c r="N32" s="156">
        <v>46357</v>
      </c>
      <c r="O32" s="156">
        <v>46388</v>
      </c>
      <c r="P32" s="156">
        <v>46419</v>
      </c>
      <c r="Q32" s="156">
        <v>46447</v>
      </c>
      <c r="R32" s="156">
        <v>46478</v>
      </c>
      <c r="S32" s="156">
        <v>46508</v>
      </c>
      <c r="T32" s="156">
        <v>46539</v>
      </c>
    </row>
    <row r="33" spans="7:20" x14ac:dyDescent="0.25">
      <c r="G33" t="s">
        <v>227</v>
      </c>
      <c r="H33" cm="1">
        <f t="array" ref="H33:H38">oz.SumRowsλ(_xlfn.ANCHORARRAY(I33))</f>
        <v>162000</v>
      </c>
      <c r="I33" s="162" cm="1">
        <f t="array" ref="I33:T38">oz.SumPeriodsλ(_xlfn.ANCHORARRAY(I23),_xlfn.ANCHORARRAY(I22),_xlfn.ANCHORARRAY( I32))</f>
        <v>18000</v>
      </c>
      <c r="J33">
        <v>12000</v>
      </c>
      <c r="K33">
        <v>12000</v>
      </c>
      <c r="L33">
        <v>12000</v>
      </c>
      <c r="M33">
        <v>12000</v>
      </c>
      <c r="N33">
        <v>18000</v>
      </c>
      <c r="O33">
        <v>12000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-375</v>
      </c>
      <c r="M37">
        <v>-300</v>
      </c>
      <c r="N37">
        <v>-300</v>
      </c>
      <c r="O37">
        <v>-375</v>
      </c>
      <c r="P37">
        <v>-300</v>
      </c>
      <c r="Q37">
        <v>-300</v>
      </c>
      <c r="R37">
        <v>-375</v>
      </c>
      <c r="S37">
        <v>-300</v>
      </c>
      <c r="T37">
        <v>-300</v>
      </c>
    </row>
    <row r="38" spans="7:20" x14ac:dyDescent="0.25">
      <c r="G38" t="s">
        <v>235</v>
      </c>
      <c r="H38">
        <v>-4959</v>
      </c>
      <c r="I38">
        <v>-437</v>
      </c>
      <c r="J38">
        <v>-399</v>
      </c>
      <c r="K38">
        <v>-418</v>
      </c>
      <c r="L38">
        <v>-418</v>
      </c>
      <c r="M38">
        <v>-399</v>
      </c>
      <c r="N38">
        <v>-437</v>
      </c>
      <c r="O38">
        <v>-399</v>
      </c>
      <c r="P38">
        <v>-380</v>
      </c>
      <c r="Q38">
        <v>-437</v>
      </c>
      <c r="R38">
        <v>-418</v>
      </c>
      <c r="S38">
        <v>-399</v>
      </c>
      <c r="T38">
        <v>-418</v>
      </c>
    </row>
  </sheetData>
  <mergeCells count="3">
    <mergeCell ref="A1:Q1"/>
    <mergeCell ref="A21:E21"/>
    <mergeCell ref="A2:O2"/>
  </mergeCells>
  <hyperlinks>
    <hyperlink ref="A1" location="'TOC'!$A$1" display="'TOC'!$A$1" xr:uid="{B9933F6E-8B86-46EB-9647-C53B5EC99776}"/>
  </hyperlinks>
  <pageMargins left="0.7" right="0.7" top="0.75" bottom="0.75" header="0.3" footer="0.3"/>
  <pageSetup paperSize="9" scale="48" fitToHeight="0" orientation="landscape" horizontalDpi="0" verticalDpi="0"/>
  <customProperties>
    <customPr name="Description" r:id="rId2"/>
  </customProperties>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5C2D91"/>
    <pageSetUpPr fitToPage="1"/>
  </sheetPr>
  <dimension ref="A1:NC25"/>
  <sheetViews>
    <sheetView showGridLines="0" workbookViewId="0">
      <selection sqref="A1:P1"/>
    </sheetView>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6.5" x14ac:dyDescent="0.7">
      <c r="A1" s="287" t="str">
        <f ca="1">_xlfn.TEXTAFTER(CELL("filename",A1),"]")</f>
        <v>oz.TimelineOffsetλ</v>
      </c>
      <c r="B1" s="287"/>
      <c r="C1" s="287"/>
      <c r="D1" s="287"/>
      <c r="E1" s="287"/>
      <c r="F1" s="287"/>
      <c r="G1" s="287"/>
      <c r="H1" s="287"/>
      <c r="I1" s="287"/>
      <c r="J1" s="287"/>
      <c r="K1" s="287"/>
      <c r="L1" s="287"/>
      <c r="M1" s="287"/>
      <c r="N1" s="287"/>
      <c r="O1" s="287"/>
      <c r="P1" s="287"/>
    </row>
    <row r="2" spans="1:18" x14ac:dyDescent="0.25">
      <c r="A2" s="288" t="s">
        <v>217</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(oz is assumed to be the module's name)</v>
      </c>
    </row>
    <row r="14" spans="1:18" x14ac:dyDescent="0.25">
      <c r="A14" t="str">
        <v>1</v>
      </c>
      <c r="B14" t="str">
        <v>=oz.TimelineOffsetλ("15/8/2026", EDATE("1/7/2026", SEQUENCE( , 12, 0)))</v>
      </c>
    </row>
    <row r="15" spans="1:18" x14ac:dyDescent="0.25">
      <c r="A15" t="str">
        <v>-11</v>
      </c>
      <c r="B15" t="str">
        <v>=oz.TimelineOffsetλ("15/8/2025", EDATE("1/7/2026", SEQUENCE( , 12, 0)))</v>
      </c>
    </row>
    <row r="17" spans="1:367" x14ac:dyDescent="0.25">
      <c r="C17" s="230" t="s">
        <v>149</v>
      </c>
    </row>
    <row r="18" spans="1:367" x14ac:dyDescent="0.25">
      <c r="A18" s="161" t="s">
        <v>322</v>
      </c>
      <c r="B18" s="155" t="s">
        <v>323</v>
      </c>
      <c r="C18" s="156" cm="1">
        <f t="array" ref="C18:NC18">oz.Timelineλ("1/7/2026", 365, "M")</f>
        <v>46204</v>
      </c>
      <c r="D18" s="156">
        <v>46235</v>
      </c>
      <c r="E18" s="156">
        <v>46266</v>
      </c>
      <c r="F18" s="156">
        <v>46296</v>
      </c>
      <c r="G18" s="156">
        <v>46327</v>
      </c>
      <c r="H18" s="156">
        <v>46357</v>
      </c>
      <c r="I18" s="156">
        <v>46388</v>
      </c>
      <c r="J18" s="156">
        <v>46419</v>
      </c>
      <c r="K18" s="156">
        <v>46447</v>
      </c>
      <c r="L18" s="156">
        <v>46478</v>
      </c>
      <c r="M18" s="156">
        <v>46508</v>
      </c>
      <c r="N18" s="156">
        <v>46539</v>
      </c>
      <c r="O18" s="156">
        <v>46569</v>
      </c>
      <c r="P18" s="156">
        <v>46600</v>
      </c>
      <c r="Q18" s="156">
        <v>46631</v>
      </c>
      <c r="R18" s="156">
        <v>46661</v>
      </c>
      <c r="S18" s="156">
        <v>46692</v>
      </c>
      <c r="T18" s="156">
        <v>46722</v>
      </c>
      <c r="U18" s="156">
        <v>46753</v>
      </c>
      <c r="V18" s="156">
        <v>46784</v>
      </c>
      <c r="W18" s="156">
        <v>46813</v>
      </c>
      <c r="X18" s="156">
        <v>46844</v>
      </c>
      <c r="Y18" s="156">
        <v>46874</v>
      </c>
      <c r="Z18" s="156">
        <v>46905</v>
      </c>
      <c r="AA18" s="156">
        <v>46935</v>
      </c>
      <c r="AB18" s="156">
        <v>46966</v>
      </c>
      <c r="AC18" s="156">
        <v>46997</v>
      </c>
      <c r="AD18" s="156">
        <v>47027</v>
      </c>
      <c r="AE18" s="156">
        <v>47058</v>
      </c>
      <c r="AF18" s="156">
        <v>47088</v>
      </c>
      <c r="AG18" s="156">
        <v>47119</v>
      </c>
      <c r="AH18" s="156">
        <v>47150</v>
      </c>
      <c r="AI18" s="156">
        <v>47178</v>
      </c>
      <c r="AJ18" s="156">
        <v>47209</v>
      </c>
      <c r="AK18" s="156">
        <v>47239</v>
      </c>
      <c r="AL18" s="156">
        <v>47270</v>
      </c>
      <c r="AM18" s="156">
        <v>47300</v>
      </c>
      <c r="AN18" s="156">
        <v>47331</v>
      </c>
      <c r="AO18" s="156">
        <v>47362</v>
      </c>
      <c r="AP18" s="156">
        <v>47392</v>
      </c>
      <c r="AQ18" s="156">
        <v>47423</v>
      </c>
      <c r="AR18" s="156">
        <v>47453</v>
      </c>
      <c r="AS18" s="156">
        <v>47484</v>
      </c>
      <c r="AT18" s="156">
        <v>47515</v>
      </c>
      <c r="AU18" s="156">
        <v>47543</v>
      </c>
      <c r="AV18" s="156">
        <v>47574</v>
      </c>
      <c r="AW18" s="156">
        <v>47604</v>
      </c>
      <c r="AX18" s="156">
        <v>47635</v>
      </c>
      <c r="AY18" s="156">
        <v>47665</v>
      </c>
      <c r="AZ18" s="156">
        <v>47696</v>
      </c>
      <c r="BA18" s="156">
        <v>47727</v>
      </c>
      <c r="BB18" s="156">
        <v>47757</v>
      </c>
      <c r="BC18" s="156">
        <v>47788</v>
      </c>
      <c r="BD18" s="156">
        <v>47818</v>
      </c>
      <c r="BE18" s="156">
        <v>47849</v>
      </c>
      <c r="BF18" s="156">
        <v>47880</v>
      </c>
      <c r="BG18" s="156">
        <v>47908</v>
      </c>
      <c r="BH18" s="156">
        <v>47939</v>
      </c>
      <c r="BI18" s="156">
        <v>47969</v>
      </c>
      <c r="BJ18" s="156">
        <v>48000</v>
      </c>
      <c r="BK18" s="156">
        <v>48030</v>
      </c>
      <c r="BL18" s="156">
        <v>48061</v>
      </c>
      <c r="BM18" s="156">
        <v>48092</v>
      </c>
      <c r="BN18" s="156">
        <v>48122</v>
      </c>
      <c r="BO18" s="156">
        <v>48153</v>
      </c>
      <c r="BP18" s="156">
        <v>48183</v>
      </c>
      <c r="BQ18" s="156">
        <v>48214</v>
      </c>
      <c r="BR18" s="156">
        <v>48245</v>
      </c>
      <c r="BS18" s="156">
        <v>48274</v>
      </c>
      <c r="BT18" s="156">
        <v>48305</v>
      </c>
      <c r="BU18" s="156">
        <v>48335</v>
      </c>
      <c r="BV18" s="156">
        <v>48366</v>
      </c>
      <c r="BW18" s="156">
        <v>48396</v>
      </c>
      <c r="BX18" s="156">
        <v>48427</v>
      </c>
      <c r="BY18" s="156">
        <v>48458</v>
      </c>
      <c r="BZ18" s="156">
        <v>48488</v>
      </c>
      <c r="CA18" s="156">
        <v>48519</v>
      </c>
      <c r="CB18" s="156">
        <v>48549</v>
      </c>
      <c r="CC18" s="156">
        <v>48580</v>
      </c>
      <c r="CD18" s="156">
        <v>48611</v>
      </c>
      <c r="CE18" s="156">
        <v>48639</v>
      </c>
      <c r="CF18" s="156">
        <v>48670</v>
      </c>
      <c r="CG18" s="156">
        <v>48700</v>
      </c>
      <c r="CH18" s="156">
        <v>48731</v>
      </c>
      <c r="CI18" s="156">
        <v>48761</v>
      </c>
      <c r="CJ18" s="156">
        <v>48792</v>
      </c>
      <c r="CK18" s="156">
        <v>48823</v>
      </c>
      <c r="CL18" s="156">
        <v>48853</v>
      </c>
      <c r="CM18" s="156">
        <v>48884</v>
      </c>
      <c r="CN18" s="156">
        <v>48914</v>
      </c>
      <c r="CO18" s="156">
        <v>48945</v>
      </c>
      <c r="CP18" s="156">
        <v>48976</v>
      </c>
      <c r="CQ18" s="156">
        <v>49004</v>
      </c>
      <c r="CR18" s="156">
        <v>49035</v>
      </c>
      <c r="CS18" s="156">
        <v>49065</v>
      </c>
      <c r="CT18" s="156">
        <v>49096</v>
      </c>
      <c r="CU18" s="156">
        <v>49126</v>
      </c>
      <c r="CV18" s="156">
        <v>49157</v>
      </c>
      <c r="CW18" s="156">
        <v>49188</v>
      </c>
      <c r="CX18" s="156">
        <v>49218</v>
      </c>
      <c r="CY18" s="156">
        <v>49249</v>
      </c>
      <c r="CZ18" s="156">
        <v>49279</v>
      </c>
      <c r="DA18" s="156">
        <v>49310</v>
      </c>
      <c r="DB18" s="156">
        <v>49341</v>
      </c>
      <c r="DC18" s="156">
        <v>49369</v>
      </c>
      <c r="DD18" s="156">
        <v>49400</v>
      </c>
      <c r="DE18" s="156">
        <v>49430</v>
      </c>
      <c r="DF18" s="156">
        <v>49461</v>
      </c>
      <c r="DG18" s="156">
        <v>49491</v>
      </c>
      <c r="DH18" s="156">
        <v>49522</v>
      </c>
      <c r="DI18" s="156">
        <v>49553</v>
      </c>
      <c r="DJ18" s="156">
        <v>49583</v>
      </c>
      <c r="DK18" s="156">
        <v>49614</v>
      </c>
      <c r="DL18" s="156">
        <v>49644</v>
      </c>
      <c r="DM18" s="156">
        <v>49675</v>
      </c>
      <c r="DN18" s="156">
        <v>49706</v>
      </c>
      <c r="DO18" s="156">
        <v>49735</v>
      </c>
      <c r="DP18" s="156">
        <v>49766</v>
      </c>
      <c r="DQ18" s="156">
        <v>49796</v>
      </c>
      <c r="DR18" s="156">
        <v>49827</v>
      </c>
      <c r="DS18" s="156">
        <v>49857</v>
      </c>
      <c r="DT18" s="156">
        <v>49888</v>
      </c>
      <c r="DU18" s="156">
        <v>49919</v>
      </c>
      <c r="DV18" s="156">
        <v>49949</v>
      </c>
      <c r="DW18" s="156">
        <v>49980</v>
      </c>
      <c r="DX18" s="156">
        <v>50010</v>
      </c>
      <c r="DY18" s="156">
        <v>50041</v>
      </c>
      <c r="DZ18" s="156">
        <v>50072</v>
      </c>
      <c r="EA18" s="156">
        <v>50100</v>
      </c>
      <c r="EB18" s="156">
        <v>50131</v>
      </c>
      <c r="EC18" s="156">
        <v>50161</v>
      </c>
      <c r="ED18" s="156">
        <v>50192</v>
      </c>
      <c r="EE18" s="156">
        <v>50222</v>
      </c>
      <c r="EF18" s="156">
        <v>50253</v>
      </c>
      <c r="EG18" s="156">
        <v>50284</v>
      </c>
      <c r="EH18" s="156">
        <v>50314</v>
      </c>
      <c r="EI18" s="156">
        <v>50345</v>
      </c>
      <c r="EJ18" s="156">
        <v>50375</v>
      </c>
      <c r="EK18" s="156">
        <v>50406</v>
      </c>
      <c r="EL18" s="156">
        <v>50437</v>
      </c>
      <c r="EM18" s="156">
        <v>50465</v>
      </c>
      <c r="EN18" s="156">
        <v>50496</v>
      </c>
      <c r="EO18" s="156">
        <v>50526</v>
      </c>
      <c r="EP18" s="156">
        <v>50557</v>
      </c>
      <c r="EQ18" s="156">
        <v>50587</v>
      </c>
      <c r="ER18" s="156">
        <v>50618</v>
      </c>
      <c r="ES18" s="156">
        <v>50649</v>
      </c>
      <c r="ET18" s="156">
        <v>50679</v>
      </c>
      <c r="EU18" s="156">
        <v>50710</v>
      </c>
      <c r="EV18" s="156">
        <v>50740</v>
      </c>
      <c r="EW18" s="156">
        <v>50771</v>
      </c>
      <c r="EX18" s="156">
        <v>50802</v>
      </c>
      <c r="EY18" s="156">
        <v>50830</v>
      </c>
      <c r="EZ18" s="156">
        <v>50861</v>
      </c>
      <c r="FA18" s="156">
        <v>50891</v>
      </c>
      <c r="FB18" s="156">
        <v>50922</v>
      </c>
      <c r="FC18" s="156">
        <v>50952</v>
      </c>
      <c r="FD18" s="156">
        <v>50983</v>
      </c>
      <c r="FE18" s="156">
        <v>51014</v>
      </c>
      <c r="FF18" s="156">
        <v>51044</v>
      </c>
      <c r="FG18" s="156">
        <v>51075</v>
      </c>
      <c r="FH18" s="156">
        <v>51105</v>
      </c>
      <c r="FI18" s="156">
        <v>51136</v>
      </c>
      <c r="FJ18" s="156">
        <v>51167</v>
      </c>
      <c r="FK18" s="156">
        <v>51196</v>
      </c>
      <c r="FL18" s="156">
        <v>51227</v>
      </c>
      <c r="FM18" s="156">
        <v>51257</v>
      </c>
      <c r="FN18" s="156">
        <v>51288</v>
      </c>
      <c r="FO18" s="156">
        <v>51318</v>
      </c>
      <c r="FP18" s="156">
        <v>51349</v>
      </c>
      <c r="FQ18" s="156">
        <v>51380</v>
      </c>
      <c r="FR18" s="156">
        <v>51410</v>
      </c>
      <c r="FS18" s="156">
        <v>51441</v>
      </c>
      <c r="FT18" s="156">
        <v>51471</v>
      </c>
      <c r="FU18" s="156">
        <v>51502</v>
      </c>
      <c r="FV18" s="156">
        <v>51533</v>
      </c>
      <c r="FW18" s="156">
        <v>51561</v>
      </c>
      <c r="FX18" s="156">
        <v>51592</v>
      </c>
      <c r="FY18" s="156">
        <v>51622</v>
      </c>
      <c r="FZ18" s="156">
        <v>51653</v>
      </c>
      <c r="GA18" s="156">
        <v>51683</v>
      </c>
      <c r="GB18" s="156">
        <v>51714</v>
      </c>
      <c r="GC18" s="156">
        <v>51745</v>
      </c>
      <c r="GD18" s="156">
        <v>51775</v>
      </c>
      <c r="GE18" s="156">
        <v>51806</v>
      </c>
      <c r="GF18" s="156">
        <v>51836</v>
      </c>
      <c r="GG18" s="156">
        <v>51867</v>
      </c>
      <c r="GH18" s="156">
        <v>51898</v>
      </c>
      <c r="GI18" s="156">
        <v>51926</v>
      </c>
      <c r="GJ18" s="156">
        <v>51957</v>
      </c>
      <c r="GK18" s="156">
        <v>51987</v>
      </c>
      <c r="GL18" s="156">
        <v>52018</v>
      </c>
      <c r="GM18" s="156">
        <v>52048</v>
      </c>
      <c r="GN18" s="156">
        <v>52079</v>
      </c>
      <c r="GO18" s="156">
        <v>52110</v>
      </c>
      <c r="GP18" s="156">
        <v>52140</v>
      </c>
      <c r="GQ18" s="156">
        <v>52171</v>
      </c>
      <c r="GR18" s="156">
        <v>52201</v>
      </c>
      <c r="GS18" s="156">
        <v>52232</v>
      </c>
      <c r="GT18" s="156">
        <v>52263</v>
      </c>
      <c r="GU18" s="156">
        <v>52291</v>
      </c>
      <c r="GV18" s="156">
        <v>52322</v>
      </c>
      <c r="GW18" s="156">
        <v>52352</v>
      </c>
      <c r="GX18" s="156">
        <v>52383</v>
      </c>
      <c r="GY18" s="156">
        <v>52413</v>
      </c>
      <c r="GZ18" s="156">
        <v>52444</v>
      </c>
      <c r="HA18" s="156">
        <v>52475</v>
      </c>
      <c r="HB18" s="156">
        <v>52505</v>
      </c>
      <c r="HC18" s="156">
        <v>52536</v>
      </c>
      <c r="HD18" s="156">
        <v>52566</v>
      </c>
      <c r="HE18" s="156">
        <v>52597</v>
      </c>
      <c r="HF18" s="156">
        <v>52628</v>
      </c>
      <c r="HG18" s="156">
        <v>52657</v>
      </c>
      <c r="HH18" s="156">
        <v>52688</v>
      </c>
      <c r="HI18" s="156">
        <v>52718</v>
      </c>
      <c r="HJ18" s="156">
        <v>52749</v>
      </c>
      <c r="HK18" s="156">
        <v>52779</v>
      </c>
      <c r="HL18" s="156">
        <v>52810</v>
      </c>
      <c r="HM18" s="156">
        <v>52841</v>
      </c>
      <c r="HN18" s="156">
        <v>52871</v>
      </c>
      <c r="HO18" s="156">
        <v>52902</v>
      </c>
      <c r="HP18" s="156">
        <v>52932</v>
      </c>
      <c r="HQ18" s="156">
        <v>52963</v>
      </c>
      <c r="HR18" s="156">
        <v>52994</v>
      </c>
      <c r="HS18" s="156">
        <v>53022</v>
      </c>
      <c r="HT18" s="156">
        <v>53053</v>
      </c>
      <c r="HU18" s="156">
        <v>53083</v>
      </c>
      <c r="HV18" s="156">
        <v>53114</v>
      </c>
      <c r="HW18" s="156">
        <v>53144</v>
      </c>
      <c r="HX18" s="156">
        <v>53175</v>
      </c>
      <c r="HY18" s="156">
        <v>53206</v>
      </c>
      <c r="HZ18" s="156">
        <v>53236</v>
      </c>
      <c r="IA18" s="156">
        <v>53267</v>
      </c>
      <c r="IB18" s="156">
        <v>53297</v>
      </c>
      <c r="IC18" s="156">
        <v>53328</v>
      </c>
      <c r="ID18" s="156">
        <v>53359</v>
      </c>
      <c r="IE18" s="156">
        <v>53387</v>
      </c>
      <c r="IF18" s="156">
        <v>53418</v>
      </c>
      <c r="IG18" s="156">
        <v>53448</v>
      </c>
      <c r="IH18" s="156">
        <v>53479</v>
      </c>
      <c r="II18" s="156">
        <v>53509</v>
      </c>
      <c r="IJ18" s="156">
        <v>53540</v>
      </c>
      <c r="IK18" s="156">
        <v>53571</v>
      </c>
      <c r="IL18" s="156">
        <v>53601</v>
      </c>
      <c r="IM18" s="156">
        <v>53632</v>
      </c>
      <c r="IN18" s="156">
        <v>53662</v>
      </c>
      <c r="IO18" s="156">
        <v>53693</v>
      </c>
      <c r="IP18" s="156">
        <v>53724</v>
      </c>
      <c r="IQ18" s="156">
        <v>53752</v>
      </c>
      <c r="IR18" s="156">
        <v>53783</v>
      </c>
      <c r="IS18" s="156">
        <v>53813</v>
      </c>
      <c r="IT18" s="156">
        <v>53844</v>
      </c>
      <c r="IU18" s="156">
        <v>53874</v>
      </c>
      <c r="IV18" s="156">
        <v>53905</v>
      </c>
      <c r="IW18" s="156">
        <v>53936</v>
      </c>
      <c r="IX18" s="156">
        <v>53966</v>
      </c>
      <c r="IY18" s="156">
        <v>53997</v>
      </c>
      <c r="IZ18" s="156">
        <v>54027</v>
      </c>
      <c r="JA18" s="156">
        <v>54058</v>
      </c>
      <c r="JB18" s="156">
        <v>54089</v>
      </c>
      <c r="JC18" s="156">
        <v>54118</v>
      </c>
      <c r="JD18" s="156">
        <v>54149</v>
      </c>
      <c r="JE18" s="156">
        <v>54179</v>
      </c>
      <c r="JF18" s="156">
        <v>54210</v>
      </c>
      <c r="JG18" s="156">
        <v>54240</v>
      </c>
      <c r="JH18" s="156">
        <v>54271</v>
      </c>
      <c r="JI18" s="156">
        <v>54302</v>
      </c>
      <c r="JJ18" s="156">
        <v>54332</v>
      </c>
      <c r="JK18" s="156">
        <v>54363</v>
      </c>
      <c r="JL18" s="156">
        <v>54393</v>
      </c>
      <c r="JM18" s="156">
        <v>54424</v>
      </c>
      <c r="JN18" s="156">
        <v>54455</v>
      </c>
      <c r="JO18" s="156">
        <v>54483</v>
      </c>
      <c r="JP18" s="156">
        <v>54514</v>
      </c>
      <c r="JQ18" s="156">
        <v>54544</v>
      </c>
      <c r="JR18" s="156">
        <v>54575</v>
      </c>
      <c r="JS18" s="156">
        <v>54605</v>
      </c>
      <c r="JT18" s="156">
        <v>54636</v>
      </c>
      <c r="JU18" s="156">
        <v>54667</v>
      </c>
      <c r="JV18" s="156">
        <v>54697</v>
      </c>
      <c r="JW18" s="156">
        <v>54728</v>
      </c>
      <c r="JX18" s="156">
        <v>54758</v>
      </c>
      <c r="JY18" s="156">
        <v>54789</v>
      </c>
      <c r="JZ18" s="156">
        <v>54820</v>
      </c>
      <c r="KA18" s="156">
        <v>54848</v>
      </c>
      <c r="KB18" s="156">
        <v>54879</v>
      </c>
      <c r="KC18" s="156">
        <v>54909</v>
      </c>
      <c r="KD18" s="156">
        <v>54940</v>
      </c>
      <c r="KE18" s="156">
        <v>54970</v>
      </c>
      <c r="KF18" s="156">
        <v>55001</v>
      </c>
      <c r="KG18" s="156">
        <v>55032</v>
      </c>
      <c r="KH18" s="156">
        <v>55062</v>
      </c>
      <c r="KI18" s="156">
        <v>55093</v>
      </c>
      <c r="KJ18" s="156">
        <v>55123</v>
      </c>
      <c r="KK18" s="156">
        <v>55154</v>
      </c>
      <c r="KL18" s="156">
        <v>55185</v>
      </c>
      <c r="KM18" s="156">
        <v>55213</v>
      </c>
      <c r="KN18" s="156">
        <v>55244</v>
      </c>
      <c r="KO18" s="156">
        <v>55274</v>
      </c>
      <c r="KP18" s="156">
        <v>55305</v>
      </c>
      <c r="KQ18" s="156">
        <v>55335</v>
      </c>
      <c r="KR18" s="156">
        <v>55366</v>
      </c>
      <c r="KS18" s="156">
        <v>55397</v>
      </c>
      <c r="KT18" s="156">
        <v>55427</v>
      </c>
      <c r="KU18" s="156">
        <v>55458</v>
      </c>
      <c r="KV18" s="156">
        <v>55488</v>
      </c>
      <c r="KW18" s="156">
        <v>55519</v>
      </c>
      <c r="KX18" s="156">
        <v>55550</v>
      </c>
      <c r="KY18" s="156">
        <v>55579</v>
      </c>
      <c r="KZ18" s="156">
        <v>55610</v>
      </c>
      <c r="LA18" s="156">
        <v>55640</v>
      </c>
      <c r="LB18" s="156">
        <v>55671</v>
      </c>
      <c r="LC18" s="156">
        <v>55701</v>
      </c>
      <c r="LD18" s="156">
        <v>55732</v>
      </c>
      <c r="LE18" s="156">
        <v>55763</v>
      </c>
      <c r="LF18" s="156">
        <v>55793</v>
      </c>
      <c r="LG18" s="156">
        <v>55824</v>
      </c>
      <c r="LH18" s="156">
        <v>55854</v>
      </c>
      <c r="LI18" s="156">
        <v>55885</v>
      </c>
      <c r="LJ18" s="156">
        <v>55916</v>
      </c>
      <c r="LK18" s="156">
        <v>55944</v>
      </c>
      <c r="LL18" s="156">
        <v>55975</v>
      </c>
      <c r="LM18" s="156">
        <v>56005</v>
      </c>
      <c r="LN18" s="156">
        <v>56036</v>
      </c>
      <c r="LO18" s="156">
        <v>56066</v>
      </c>
      <c r="LP18" s="156">
        <v>56097</v>
      </c>
      <c r="LQ18" s="156">
        <v>56128</v>
      </c>
      <c r="LR18" s="156">
        <v>56158</v>
      </c>
      <c r="LS18" s="156">
        <v>56189</v>
      </c>
      <c r="LT18" s="156">
        <v>56219</v>
      </c>
      <c r="LU18" s="156">
        <v>56250</v>
      </c>
      <c r="LV18" s="156">
        <v>56281</v>
      </c>
      <c r="LW18" s="156">
        <v>56309</v>
      </c>
      <c r="LX18" s="156">
        <v>56340</v>
      </c>
      <c r="LY18" s="156">
        <v>56370</v>
      </c>
      <c r="LZ18" s="156">
        <v>56401</v>
      </c>
      <c r="MA18" s="156">
        <v>56431</v>
      </c>
      <c r="MB18" s="156">
        <v>56462</v>
      </c>
      <c r="MC18" s="156">
        <v>56493</v>
      </c>
      <c r="MD18" s="156">
        <v>56523</v>
      </c>
      <c r="ME18" s="156">
        <v>56554</v>
      </c>
      <c r="MF18" s="156">
        <v>56584</v>
      </c>
      <c r="MG18" s="156">
        <v>56615</v>
      </c>
      <c r="MH18" s="156">
        <v>56646</v>
      </c>
      <c r="MI18" s="156">
        <v>56674</v>
      </c>
      <c r="MJ18" s="156">
        <v>56705</v>
      </c>
      <c r="MK18" s="156">
        <v>56735</v>
      </c>
      <c r="ML18" s="156">
        <v>56766</v>
      </c>
      <c r="MM18" s="156">
        <v>56796</v>
      </c>
      <c r="MN18" s="156">
        <v>56827</v>
      </c>
      <c r="MO18" s="156">
        <v>56858</v>
      </c>
      <c r="MP18" s="156">
        <v>56888</v>
      </c>
      <c r="MQ18" s="156">
        <v>56919</v>
      </c>
      <c r="MR18" s="156">
        <v>56949</v>
      </c>
      <c r="MS18" s="156">
        <v>56980</v>
      </c>
      <c r="MT18" s="156">
        <v>57011</v>
      </c>
      <c r="MU18" s="156">
        <v>57040</v>
      </c>
      <c r="MV18" s="156">
        <v>57071</v>
      </c>
      <c r="MW18" s="156">
        <v>57101</v>
      </c>
      <c r="MX18" s="156">
        <v>57132</v>
      </c>
      <c r="MY18" s="156">
        <v>57162</v>
      </c>
      <c r="MZ18" s="156">
        <v>57193</v>
      </c>
      <c r="NA18" s="156">
        <v>57224</v>
      </c>
      <c r="NB18" s="156">
        <v>57254</v>
      </c>
      <c r="NC18" s="156">
        <v>57285</v>
      </c>
    </row>
    <row r="19" spans="1:367" x14ac:dyDescent="0.25">
      <c r="A19" s="141">
        <v>46204</v>
      </c>
      <c r="B19" s="162" cm="1">
        <f t="array" ref="B19">oz.TimelineOffsetλ(A19,_xlfn.ANCHORARRAY(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141">
        <v>46251</v>
      </c>
      <c r="B20" s="162" cm="1">
        <f t="array" ref="B20">oz.TimelineOffsetλ(A20,_xlfn.ANCHORARRAY(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141">
        <v>46300</v>
      </c>
      <c r="B21" s="162" cm="1">
        <f t="array" ref="B21">oz.TimelineOffsetλ(A21,_xlfn.ANCHORARRAY(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141">
        <v>46348</v>
      </c>
      <c r="B22" s="162" cm="1">
        <f t="array" ref="B22">oz.TimelineOffsetλ(A22,_xlfn.ANCHORARRAY(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141">
        <v>46395</v>
      </c>
      <c r="B23" s="162" cm="1">
        <f t="array" ref="B23">oz.TimelineOffsetλ(A23,_xlfn.ANCHORARRAY(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141">
        <v>46442</v>
      </c>
      <c r="B24" s="162" cm="1">
        <f t="array" ref="B24">oz.TimelineOffsetλ(A24,_xlfn.ANCHORARRAY(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141">
        <v>46487</v>
      </c>
      <c r="B25" s="162" cm="1">
        <f t="array" ref="B25">oz.TimelineOffsetλ(A25,_xlfn.ANCHORARRAY(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pageSetup paperSize="9" scale="55" fitToHeight="0" orientation="landscape" horizontalDpi="0" verticalDpi="0"/>
  <customProperties>
    <customPr name="Description" r:id="rId2"/>
  </customProperties>
  <drawing r:id="rId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5C2D91"/>
    <pageSetUpPr fitToPage="1"/>
  </sheetPr>
  <dimension ref="A1:W38"/>
  <sheetViews>
    <sheetView showGridLines="0" workbookViewId="0">
      <selection sqref="A1:P1"/>
    </sheetView>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6.5" x14ac:dyDescent="0.7">
      <c r="A1" s="287" t="str">
        <f ca="1">_xlfn.TEXTAFTER(CELL("filename",A1),"]")</f>
        <v>oz.TimelinePositionλ</v>
      </c>
      <c r="B1" s="287"/>
      <c r="C1" s="287"/>
      <c r="D1" s="287"/>
      <c r="E1" s="287"/>
      <c r="F1" s="287"/>
      <c r="G1" s="287"/>
      <c r="H1" s="287"/>
      <c r="I1" s="287"/>
      <c r="J1" s="287"/>
      <c r="K1" s="287"/>
      <c r="L1" s="287"/>
      <c r="M1" s="287"/>
      <c r="N1" s="287"/>
      <c r="O1" s="287"/>
      <c r="P1" s="287"/>
    </row>
    <row r="2" spans="1:17" x14ac:dyDescent="0.25">
      <c r="A2" s="288" t="s">
        <v>218</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oz.TimelinePositionλ()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(oz is assumed to be the module's name)</v>
      </c>
    </row>
    <row r="16" spans="1:17" x14ac:dyDescent="0.25">
      <c r="A16" t="str">
        <v/>
      </c>
      <c r="B16" t="str">
        <v>=oz.TimelinePositionλ(SEQUENCE(3,3), EDATE("1/7/2026", SEQUENCE( , 12, 0)), 12)</v>
      </c>
    </row>
    <row r="20" spans="1:23" ht="21" x14ac:dyDescent="0.35">
      <c r="A20" s="305" t="s">
        <v>317</v>
      </c>
      <c r="B20" s="305"/>
      <c r="C20" s="305"/>
      <c r="G20" s="291" t="s">
        <v>325</v>
      </c>
      <c r="H20" s="310"/>
      <c r="I20" s="310"/>
      <c r="J20" s="310"/>
      <c r="K20" s="310"/>
      <c r="L20" s="310"/>
      <c r="M20" s="310"/>
      <c r="N20" s="310"/>
      <c r="O20" s="310"/>
      <c r="P20" s="310"/>
      <c r="Q20" s="310"/>
      <c r="R20" s="310"/>
      <c r="S20" s="310"/>
      <c r="T20" s="310"/>
      <c r="U20" s="310"/>
      <c r="V20" s="310"/>
      <c r="W20" s="292"/>
    </row>
    <row r="22" spans="1:23" x14ac:dyDescent="0.25">
      <c r="A22" s="161" t="s">
        <v>131</v>
      </c>
      <c r="B22" s="160" t="s">
        <v>285</v>
      </c>
      <c r="C22" s="160" t="s">
        <v>286</v>
      </c>
      <c r="D22" s="160" t="s">
        <v>287</v>
      </c>
      <c r="E22" s="160" t="s">
        <v>288</v>
      </c>
      <c r="F22" s="174"/>
      <c r="G22" s="228" t="s">
        <v>66</v>
      </c>
      <c r="H22" s="115" t="s">
        <v>289</v>
      </c>
      <c r="I22" s="1" cm="1">
        <f t="array" ref="I22:R22">oz.Timelineλ( E23, D23, "Y")</f>
        <v>46204</v>
      </c>
      <c r="J22" s="1">
        <v>46569</v>
      </c>
      <c r="K22" s="1">
        <v>46935</v>
      </c>
      <c r="L22" s="1">
        <v>47300</v>
      </c>
      <c r="M22" s="1">
        <v>47665</v>
      </c>
      <c r="N22" s="1">
        <v>48030</v>
      </c>
      <c r="O22" s="1">
        <v>48396</v>
      </c>
      <c r="P22" s="1">
        <v>48761</v>
      </c>
      <c r="Q22" s="1">
        <v>49126</v>
      </c>
      <c r="R22" s="1">
        <v>49491</v>
      </c>
      <c r="S22" s="1"/>
      <c r="T22" s="1"/>
      <c r="U22" s="1"/>
      <c r="V22" s="1"/>
      <c r="W22" s="1"/>
    </row>
    <row r="23" spans="1:23" x14ac:dyDescent="0.25">
      <c r="A23" s="189" t="s">
        <v>290</v>
      </c>
      <c r="B23" s="178">
        <v>51642</v>
      </c>
      <c r="C23" s="179">
        <v>7.0000000000000007E-2</v>
      </c>
      <c r="D23" s="180">
        <v>10</v>
      </c>
      <c r="E23" s="231">
        <v>46204</v>
      </c>
      <c r="G23" s="182" t="str" cm="1">
        <f t="array" ref="G23:G28">oz.LabelAmortiseλ(A23)</f>
        <v>Renovation Debt Issuance</v>
      </c>
      <c r="H23" s="202" cm="1">
        <f t="array" ref="H23:H28">oz.SumAmortiseλ(_xlfn.ANCHORARRAY(I23))</f>
        <v>0</v>
      </c>
      <c r="I23" s="202" cm="1">
        <f t="array" ref="I23:R28">oz.Amortiseλ( B23,C23,D23,E23,_xlfn.ANCHORARRAY( I22))</f>
        <v>51642</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51642</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1671.3019720882637</v>
      </c>
      <c r="I25" s="186">
        <v>1671.3019720882637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-53313.30197208828</v>
      </c>
      <c r="I26" s="186">
        <v>-53313.30197208828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-1.4551915228366852E-11</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51642.000000000015</v>
      </c>
      <c r="I28" s="186">
        <v>51642.000000000015</v>
      </c>
      <c r="J28" s="186">
        <v>0</v>
      </c>
      <c r="K28" s="186">
        <v>0</v>
      </c>
      <c r="L28" s="186">
        <v>0</v>
      </c>
      <c r="M28" s="186">
        <v>0</v>
      </c>
      <c r="N28" s="186">
        <v>0</v>
      </c>
      <c r="O28" s="186">
        <v>0</v>
      </c>
      <c r="P28" s="186">
        <v>0</v>
      </c>
      <c r="Q28" s="186">
        <v>0</v>
      </c>
      <c r="R28" s="186">
        <v>0</v>
      </c>
      <c r="S28" s="186"/>
      <c r="T28" s="186"/>
      <c r="U28" s="186"/>
      <c r="V28" s="186"/>
      <c r="W28" s="186"/>
    </row>
    <row r="30" spans="1:23" ht="21" x14ac:dyDescent="0.35">
      <c r="G30" s="291" t="s">
        <v>324</v>
      </c>
      <c r="H30" s="310"/>
      <c r="I30" s="310"/>
      <c r="J30" s="310"/>
      <c r="K30" s="310"/>
      <c r="L30" s="310"/>
      <c r="M30" s="310"/>
      <c r="N30" s="310"/>
      <c r="O30" s="310"/>
      <c r="P30" s="310"/>
      <c r="Q30" s="310"/>
      <c r="R30" s="310"/>
      <c r="S30" s="310"/>
      <c r="T30" s="310"/>
      <c r="U30" s="310"/>
      <c r="V30" s="310"/>
      <c r="W30" s="292"/>
    </row>
    <row r="32" spans="1:23" x14ac:dyDescent="0.25">
      <c r="G32" s="228" t="s">
        <v>66</v>
      </c>
      <c r="H32" s="115" t="s">
        <v>289</v>
      </c>
      <c r="I32" s="1" cm="1">
        <f t="array" ref="I32:T32">oz.Timelineλ("1/7/2026", 12, "Y")</f>
        <v>46204</v>
      </c>
      <c r="J32" s="1">
        <v>46569</v>
      </c>
      <c r="K32" s="1">
        <v>46935</v>
      </c>
      <c r="L32" s="1">
        <v>47300</v>
      </c>
      <c r="M32" s="1">
        <v>47665</v>
      </c>
      <c r="N32" s="1">
        <v>48030</v>
      </c>
      <c r="O32" s="1">
        <v>48396</v>
      </c>
      <c r="P32" s="1">
        <v>48761</v>
      </c>
      <c r="Q32" s="1">
        <v>49126</v>
      </c>
      <c r="R32" s="1">
        <v>49491</v>
      </c>
      <c r="S32" s="1">
        <v>49857</v>
      </c>
      <c r="T32" s="1">
        <v>50222</v>
      </c>
      <c r="U32" s="1"/>
      <c r="V32" s="1"/>
      <c r="W32" s="1"/>
    </row>
    <row r="33" spans="7:20" x14ac:dyDescent="0.25">
      <c r="G33" s="182" t="str" cm="1">
        <f t="array" ref="G33:G38">oz.LabelAmortiseλ(A23)</f>
        <v>Renovation Debt Issuance</v>
      </c>
      <c r="H33" s="202" cm="1">
        <f t="array" ref="H33:H38">oz.SumAmortiseλ(_xlfn.ANCHORARRAY(I33))</f>
        <v>0</v>
      </c>
      <c r="I33" s="162" cm="1">
        <f t="array" ref="I33:T38">oz.TimelinePositionλ(_xlfn.ANCHORARRAY(I23),_xlfn.ANCHORARRAY(I32), oz.TimelineOffsetλ(E23,_xlfn.ANCHORARRAY($I$32)))</f>
        <v>51642</v>
      </c>
      <c r="J33">
        <v>0</v>
      </c>
      <c r="K33">
        <v>0</v>
      </c>
      <c r="L33">
        <v>0</v>
      </c>
      <c r="M33">
        <v>0</v>
      </c>
      <c r="N33">
        <v>0</v>
      </c>
      <c r="O33">
        <v>0</v>
      </c>
      <c r="P33">
        <v>0</v>
      </c>
      <c r="Q33">
        <v>0</v>
      </c>
      <c r="R33">
        <v>0</v>
      </c>
      <c r="S33">
        <v>0</v>
      </c>
      <c r="T33">
        <v>0</v>
      </c>
    </row>
    <row r="34" spans="7:20" x14ac:dyDescent="0.25">
      <c r="G34" t="str">
        <v>Renovation Debt Balance</v>
      </c>
      <c r="H34">
        <v>0</v>
      </c>
      <c r="I34">
        <v>51642</v>
      </c>
      <c r="J34">
        <v>0</v>
      </c>
      <c r="K34">
        <v>0</v>
      </c>
      <c r="L34">
        <v>0</v>
      </c>
      <c r="M34">
        <v>0</v>
      </c>
      <c r="N34">
        <v>0</v>
      </c>
      <c r="O34">
        <v>0</v>
      </c>
      <c r="P34">
        <v>0</v>
      </c>
      <c r="Q34">
        <v>0</v>
      </c>
      <c r="R34">
        <v>0</v>
      </c>
      <c r="S34">
        <v>0</v>
      </c>
      <c r="T34">
        <v>0</v>
      </c>
    </row>
    <row r="35" spans="7:20" x14ac:dyDescent="0.25">
      <c r="G35" t="str">
        <v>Renovation Interest</v>
      </c>
      <c r="H35">
        <v>1671.3019720882637</v>
      </c>
      <c r="I35">
        <v>1671.3019720882637</v>
      </c>
      <c r="J35">
        <v>0</v>
      </c>
      <c r="K35">
        <v>0</v>
      </c>
      <c r="L35">
        <v>0</v>
      </c>
      <c r="M35">
        <v>0</v>
      </c>
      <c r="N35">
        <v>0</v>
      </c>
      <c r="O35">
        <v>0</v>
      </c>
      <c r="P35">
        <v>0</v>
      </c>
      <c r="Q35">
        <v>0</v>
      </c>
      <c r="R35">
        <v>0</v>
      </c>
      <c r="S35">
        <v>0</v>
      </c>
      <c r="T35">
        <v>0</v>
      </c>
    </row>
    <row r="36" spans="7:20" x14ac:dyDescent="0.25">
      <c r="G36" t="str">
        <v>Renovation Debt Services</v>
      </c>
      <c r="H36">
        <v>-53313.30197208828</v>
      </c>
      <c r="I36">
        <v>-53313.30197208828</v>
      </c>
      <c r="J36">
        <v>0</v>
      </c>
      <c r="K36">
        <v>0</v>
      </c>
      <c r="L36">
        <v>0</v>
      </c>
      <c r="M36">
        <v>0</v>
      </c>
      <c r="N36">
        <v>0</v>
      </c>
      <c r="O36">
        <v>0</v>
      </c>
      <c r="P36">
        <v>0</v>
      </c>
      <c r="Q36">
        <v>0</v>
      </c>
      <c r="R36">
        <v>0</v>
      </c>
      <c r="S36">
        <v>0</v>
      </c>
      <c r="T36">
        <v>0</v>
      </c>
    </row>
    <row r="37" spans="7:20" x14ac:dyDescent="0.25">
      <c r="G37" t="str">
        <v>Renovation Closing Balance</v>
      </c>
      <c r="H37">
        <v>0</v>
      </c>
      <c r="I37">
        <v>-1.4551915228366852E-11</v>
      </c>
      <c r="J37">
        <v>0</v>
      </c>
      <c r="K37">
        <v>0</v>
      </c>
      <c r="L37">
        <v>0</v>
      </c>
      <c r="M37">
        <v>0</v>
      </c>
      <c r="N37">
        <v>0</v>
      </c>
      <c r="O37">
        <v>0</v>
      </c>
      <c r="P37">
        <v>0</v>
      </c>
      <c r="Q37">
        <v>0</v>
      </c>
      <c r="R37">
        <v>0</v>
      </c>
      <c r="S37">
        <v>0</v>
      </c>
      <c r="T37">
        <v>0</v>
      </c>
    </row>
    <row r="38" spans="7:20" x14ac:dyDescent="0.25">
      <c r="G38" t="str">
        <v>Renovation Debt Repayment</v>
      </c>
      <c r="H38">
        <v>51642.000000000015</v>
      </c>
      <c r="I38">
        <v>51642.000000000015</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pageSetup paperSize="9" scale="51" fitToHeight="0" orientation="landscape" horizontalDpi="0" verticalDpi="0"/>
  <customProperties>
    <customPr name="Description" r:id="rId2"/>
  </customProperties>
  <drawing r:id="rId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7A5AB5"/>
    <pageSetUpPr fitToPage="1"/>
  </sheetPr>
  <dimension ref="A1:N26"/>
  <sheetViews>
    <sheetView showGridLines="0" workbookViewId="0">
      <selection sqref="A1:E1"/>
    </sheetView>
  </sheetViews>
  <sheetFormatPr defaultRowHeight="15" x14ac:dyDescent="0.25"/>
  <cols>
    <col min="1" max="1" width="22" bestFit="1" customWidth="1"/>
    <col min="2" max="2" width="99.75" bestFit="1" customWidth="1"/>
  </cols>
  <sheetData>
    <row r="1" spans="1:14" ht="46.5" x14ac:dyDescent="0.7">
      <c r="A1" s="287" t="str">
        <f ca="1">_xlfn.TEXTAFTER(CELL("filename",A1),"]")</f>
        <v>oz.AboutEssentialsλ</v>
      </c>
      <c r="B1" s="287"/>
      <c r="C1" s="287"/>
      <c r="D1" s="287"/>
      <c r="E1" s="287"/>
      <c r="F1" s="112"/>
      <c r="G1" s="112"/>
      <c r="H1" s="112"/>
      <c r="I1" s="112"/>
      <c r="J1" s="112"/>
      <c r="K1" s="112"/>
      <c r="L1" s="112"/>
      <c r="M1" s="112"/>
      <c r="N1" s="112"/>
    </row>
    <row r="2" spans="1:14" x14ac:dyDescent="0.25">
      <c r="A2" s="288" t="s">
        <v>379</v>
      </c>
      <c r="B2" s="289"/>
      <c r="C2" s="289"/>
      <c r="D2" s="289"/>
      <c r="E2" s="289"/>
      <c r="F2" s="289"/>
      <c r="G2" s="289"/>
      <c r="H2" s="289"/>
      <c r="I2" s="290"/>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str" cm="1">
        <f t="array" ref="A5:B26">oz.AboutEssentialsλ</f>
        <v>About:</v>
      </c>
      <c r="B5" t="str">
        <v>Basic functions for working with dynamic arrays. Suggested module name: oz</v>
      </c>
    </row>
    <row r="6" spans="1:14" x14ac:dyDescent="0.25">
      <c r="A6" t="str">
        <v>Version:</v>
      </c>
      <c r="B6" t="str">
        <v>20 Aug 2026</v>
      </c>
    </row>
    <row r="7" spans="1:14" x14ac:dyDescent="0.25">
      <c r="A7" t="str">
        <v>Repository:</v>
      </c>
      <c r="B7" t="str">
        <v>https://github.com/ryanduguid/Ozzit</v>
      </c>
    </row>
    <row r="8" spans="1:14" x14ac:dyDescent="0.25">
      <c r="A8" t="str">
        <v/>
      </c>
      <c r="B8" t="str">
        <v/>
      </c>
      <c r="D8" s="103"/>
    </row>
    <row r="9" spans="1:14" x14ac:dyDescent="0.25">
      <c r="A9" t="str">
        <v>Function</v>
      </c>
      <c r="B9" t="str">
        <v>Description</v>
      </c>
    </row>
    <row r="10" spans="1:14" x14ac:dyDescent="0.25">
      <c r="A10" t="str">
        <v>AboutEssentialsλ</v>
      </c>
      <c r="B10" t="str">
        <v>Produces this table</v>
      </c>
    </row>
    <row r="11" spans="1:14" x14ac:dyDescent="0.25">
      <c r="A11" t="str">
        <v>CountCλ</v>
      </c>
      <c r="B11" t="str">
        <v>Count how many of one or more characters are in a text string</v>
      </c>
    </row>
    <row r="12" spans="1:14" x14ac:dyDescent="0.25">
      <c r="A12" t="str">
        <v>SumColsλ</v>
      </c>
      <c r="B12" t="str">
        <v>Get the total of each column</v>
      </c>
    </row>
    <row r="13" spans="1:14" x14ac:dyDescent="0.25">
      <c r="A13" t="str">
        <v>SumRowsλ</v>
      </c>
      <c r="B13" t="str">
        <v>Get the total of each row</v>
      </c>
    </row>
    <row r="14" spans="1:14" x14ac:dyDescent="0.25">
      <c r="A14" t="str">
        <v>AvgColsλ</v>
      </c>
      <c r="B14" t="str">
        <v>Get the average of each column</v>
      </c>
    </row>
    <row r="15" spans="1:14" x14ac:dyDescent="0.25">
      <c r="A15" t="str">
        <v>AvgRowsλ</v>
      </c>
      <c r="B15" t="str">
        <v>Get the average of each row</v>
      </c>
    </row>
    <row r="16" spans="1:14"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pageSetup paperSize="9" scale="54" fitToHeight="0" orientation="landscape" horizontalDpi="0" verticalDpi="0"/>
  <customProperties>
    <customPr name="Description" r:id="rId2"/>
  </customProperties>
  <drawing r:id="rId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7A5AB5"/>
    <pageSetUpPr fitToPage="1"/>
  </sheetPr>
  <dimension ref="A1:Q21"/>
  <sheetViews>
    <sheetView showGridLines="0" workbookViewId="0">
      <selection sqref="A1:K1"/>
    </sheetView>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6.5" x14ac:dyDescent="0.7">
      <c r="A1" s="287" t="str">
        <f ca="1">_xlfn.TEXTAFTER(CELL("filename",A1),"]")</f>
        <v>oz.CountCλ</v>
      </c>
      <c r="B1" s="287"/>
      <c r="C1" s="287"/>
      <c r="D1" s="287"/>
      <c r="E1" s="287"/>
      <c r="F1" s="287"/>
      <c r="G1" s="287"/>
      <c r="H1" s="287"/>
      <c r="I1" s="287"/>
      <c r="J1" s="287"/>
      <c r="K1" s="287"/>
    </row>
    <row r="2" spans="1:17" x14ac:dyDescent="0.25">
      <c r="A2" s="288" t="s">
        <v>413</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3">oz.CountCλ()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(oz is assumed to be the module's name)</v>
      </c>
    </row>
    <row r="13" spans="1:17" x14ac:dyDescent="0.25">
      <c r="A13" t="str">
        <v/>
      </c>
      <c r="B13" t="str">
        <v>=oz.CountCλ( "Mary had a little lamb", "a,b")</v>
      </c>
    </row>
    <row r="16" spans="1:17" x14ac:dyDescent="0.25">
      <c r="B16" s="190" t="s">
        <v>390</v>
      </c>
      <c r="C16" s="190" t="s">
        <v>389</v>
      </c>
      <c r="D16" s="1" t="s">
        <v>391</v>
      </c>
      <c r="E16" s="250" t="s">
        <v>397</v>
      </c>
      <c r="F16" s="1"/>
      <c r="G16" s="1"/>
      <c r="H16" s="1"/>
      <c r="I16" s="1"/>
      <c r="J16" s="1"/>
      <c r="K16" s="1"/>
      <c r="L16" s="1"/>
      <c r="M16" s="1"/>
      <c r="N16" s="1"/>
      <c r="O16" s="1"/>
    </row>
    <row r="17" spans="2:5" x14ac:dyDescent="0.25">
      <c r="B17" s="121" t="s">
        <v>392</v>
      </c>
      <c r="C17" s="174" t="s">
        <v>393</v>
      </c>
      <c r="D17" s="162" cm="1">
        <f t="array" ref="D17">oz.CountCλ(B17,C17)</f>
        <v>5</v>
      </c>
      <c r="E17" t="s">
        <v>398</v>
      </c>
    </row>
    <row r="18" spans="2:5" x14ac:dyDescent="0.25">
      <c r="B18" s="121" t="s">
        <v>392</v>
      </c>
      <c r="C18" s="174" t="s">
        <v>144</v>
      </c>
      <c r="D18" s="162" cm="1">
        <f t="array" ref="D18">oz.CountCλ(B18,C18)</f>
        <v>1</v>
      </c>
      <c r="E18" t="s">
        <v>399</v>
      </c>
    </row>
    <row r="19" spans="2:5" x14ac:dyDescent="0.25">
      <c r="B19" s="121" t="s">
        <v>392</v>
      </c>
      <c r="C19" s="174" t="s">
        <v>394</v>
      </c>
      <c r="D19" s="162" cm="1">
        <f t="array" ref="D19">oz.CountCλ(B19,C19)</f>
        <v>2</v>
      </c>
    </row>
    <row r="20" spans="2:5" x14ac:dyDescent="0.25">
      <c r="B20" s="121" t="s">
        <v>392</v>
      </c>
      <c r="C20" s="174" t="s">
        <v>395</v>
      </c>
      <c r="D20" s="162" cm="1">
        <f t="array" ref="D20">oz.CountCλ(B20,C20)</f>
        <v>3</v>
      </c>
    </row>
    <row r="21" spans="2:5" x14ac:dyDescent="0.25">
      <c r="B21" s="121" t="s">
        <v>392</v>
      </c>
      <c r="C21" s="174" t="s">
        <v>396</v>
      </c>
      <c r="D21" s="162" cm="1">
        <f t="array" ref="D21">oz.CountCλ(B21,C21)</f>
        <v>3</v>
      </c>
      <c r="E21" t="s">
        <v>400</v>
      </c>
    </row>
  </sheetData>
  <mergeCells count="2">
    <mergeCell ref="A1:K1"/>
    <mergeCell ref="A2:Q2"/>
  </mergeCells>
  <hyperlinks>
    <hyperlink ref="A1" location="'TOC'!$A$1" display="'TOC'!$A$1" xr:uid="{A745DC2E-F8AB-4E84-B9E0-B68127444689}"/>
  </hyperlinks>
  <pageMargins left="0.7" right="0.7" top="0.75" bottom="0.75" header="0.3" footer="0.3"/>
  <pageSetup paperSize="9" scale="62" fitToHeight="0" orientation="landscape" horizontalDpi="0" verticalDpi="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7A5AB5"/>
    <pageSetUpPr fitToPage="1"/>
  </sheetPr>
  <dimension ref="A1:R26"/>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6.5" x14ac:dyDescent="0.7">
      <c r="A1" s="287" t="str">
        <f ca="1">_xlfn.TEXTAFTER(CELL("filename",A1),"]")</f>
        <v>oz.SumRowsλ</v>
      </c>
      <c r="B1" s="287"/>
      <c r="C1" s="287"/>
      <c r="D1" s="287"/>
      <c r="E1" s="287"/>
      <c r="F1" s="287"/>
      <c r="G1" s="287"/>
      <c r="H1" s="287"/>
      <c r="I1" s="287"/>
      <c r="J1" s="287"/>
      <c r="K1" s="287"/>
    </row>
    <row r="2" spans="1:17" x14ac:dyDescent="0.25">
      <c r="A2" s="288" t="s">
        <v>213</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1">oz.SumRowsλ()</f>
        <v>FUNCTION:</v>
      </c>
      <c r="B4" t="str">
        <v>SumRowsλ( Array)</v>
      </c>
    </row>
    <row r="5" spans="1:17" x14ac:dyDescent="0.25">
      <c r="A5" t="str">
        <v>DESCRIPTION:</v>
      </c>
      <c r="B5" t="str">
        <v>Get the total of each row</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(oz is assumed to be the module's name)</v>
      </c>
    </row>
    <row r="11" spans="1:17" x14ac:dyDescent="0.25">
      <c r="A11" t="str">
        <v/>
      </c>
      <c r="B11" t="str">
        <v>=oz.SumRowsλ( SEQUENCE(5,5))</v>
      </c>
    </row>
    <row r="17" spans="1:18" ht="21" x14ac:dyDescent="0.35">
      <c r="A17" s="305" t="s">
        <v>272</v>
      </c>
      <c r="B17" s="305"/>
      <c r="C17" s="305"/>
    </row>
    <row r="19" spans="1:18" x14ac:dyDescent="0.25">
      <c r="A19" s="161" t="s">
        <v>273</v>
      </c>
      <c r="B19" s="161" t="s">
        <v>138</v>
      </c>
      <c r="C19" s="161" t="s">
        <v>139</v>
      </c>
      <c r="E19" s="190" t="s">
        <v>131</v>
      </c>
      <c r="F19" s="190" t="s">
        <v>276</v>
      </c>
      <c r="G19" s="1" cm="1">
        <f t="array" ref="G19:R19">oz.Timelineλ($B$20,$B$21,$B$22)</f>
        <v>46204</v>
      </c>
      <c r="H19" s="1">
        <v>46569</v>
      </c>
      <c r="I19" s="1">
        <v>46935</v>
      </c>
      <c r="J19" s="1">
        <v>47300</v>
      </c>
      <c r="K19" s="1">
        <v>47665</v>
      </c>
      <c r="L19" s="1">
        <v>48030</v>
      </c>
      <c r="M19" s="1">
        <v>48396</v>
      </c>
      <c r="N19" s="1">
        <v>48761</v>
      </c>
      <c r="O19" s="1">
        <v>49126</v>
      </c>
      <c r="P19" s="1">
        <v>49491</v>
      </c>
      <c r="Q19" s="1">
        <v>49857</v>
      </c>
      <c r="R19" s="1">
        <v>50222</v>
      </c>
    </row>
    <row r="20" spans="1:18" x14ac:dyDescent="0.25">
      <c r="A20" t="s">
        <v>236</v>
      </c>
      <c r="B20" s="141">
        <v>46204</v>
      </c>
      <c r="C20" t="s">
        <v>145</v>
      </c>
      <c r="E20" s="121" t="str" cm="1">
        <f t="array" ref="E20:E24">tblCT[Customer]</f>
        <v>ACME</v>
      </c>
      <c r="F20" s="236" cm="1">
        <f t="array" ref="F20:F24">oz.SumRowsλ(_xlfn.ANCHORARRAY(G20))</f>
        <v>13098</v>
      </c>
      <c r="G20" s="235"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141</v>
      </c>
      <c r="B21">
        <v>12</v>
      </c>
      <c r="C21" t="s">
        <v>146</v>
      </c>
      <c r="E21" s="121" t="str">
        <v>Wool*Art</v>
      </c>
      <c r="F21" s="174">
        <v>13182</v>
      </c>
      <c r="G21" s="174">
        <v>1027</v>
      </c>
      <c r="H21">
        <v>1040</v>
      </c>
      <c r="I21">
        <v>1053</v>
      </c>
      <c r="J21">
        <v>1066</v>
      </c>
      <c r="K21">
        <v>1079</v>
      </c>
      <c r="L21">
        <v>1092</v>
      </c>
      <c r="M21">
        <v>1105</v>
      </c>
      <c r="N21">
        <v>1118</v>
      </c>
      <c r="O21">
        <v>1131</v>
      </c>
      <c r="P21">
        <v>1144</v>
      </c>
      <c r="Q21">
        <v>1157</v>
      </c>
      <c r="R21">
        <v>1170</v>
      </c>
    </row>
    <row r="22" spans="1:18" x14ac:dyDescent="0.25">
      <c r="A22" t="s">
        <v>142</v>
      </c>
      <c r="B22" t="s">
        <v>24</v>
      </c>
      <c r="E22" s="121" t="str">
        <v>Town Hall</v>
      </c>
      <c r="F22" s="174">
        <v>13266</v>
      </c>
      <c r="G22" s="174">
        <v>1034</v>
      </c>
      <c r="H22">
        <v>1047</v>
      </c>
      <c r="I22">
        <v>1060</v>
      </c>
      <c r="J22">
        <v>1073</v>
      </c>
      <c r="K22">
        <v>1086</v>
      </c>
      <c r="L22">
        <v>1099</v>
      </c>
      <c r="M22">
        <v>1112</v>
      </c>
      <c r="N22">
        <v>1125</v>
      </c>
      <c r="O22">
        <v>1138</v>
      </c>
      <c r="P22">
        <v>1151</v>
      </c>
      <c r="Q22">
        <v>1164</v>
      </c>
      <c r="R22">
        <v>1177</v>
      </c>
    </row>
    <row r="23" spans="1:18" x14ac:dyDescent="0.25">
      <c r="E23" s="121" t="str">
        <v>Jacqie Penee</v>
      </c>
      <c r="F23" s="174">
        <v>13350</v>
      </c>
      <c r="G23">
        <v>1041</v>
      </c>
      <c r="H23">
        <v>1054</v>
      </c>
      <c r="I23">
        <v>1067</v>
      </c>
      <c r="J23">
        <v>1080</v>
      </c>
      <c r="K23">
        <v>1093</v>
      </c>
      <c r="L23">
        <v>1106</v>
      </c>
      <c r="M23">
        <v>1119</v>
      </c>
      <c r="N23">
        <v>1132</v>
      </c>
      <c r="O23">
        <v>1145</v>
      </c>
      <c r="P23">
        <v>1158</v>
      </c>
      <c r="Q23">
        <v>1171</v>
      </c>
      <c r="R23">
        <v>1184</v>
      </c>
    </row>
    <row r="24" spans="1:18" x14ac:dyDescent="0.25">
      <c r="E24" s="121" t="str">
        <v>Amazonia</v>
      </c>
      <c r="F24" s="174">
        <v>13434</v>
      </c>
      <c r="G24">
        <v>1048</v>
      </c>
      <c r="H24">
        <v>1061</v>
      </c>
      <c r="I24">
        <v>1074</v>
      </c>
      <c r="J24">
        <v>1087</v>
      </c>
      <c r="K24">
        <v>1100</v>
      </c>
      <c r="L24">
        <v>1113</v>
      </c>
      <c r="M24">
        <v>1126</v>
      </c>
      <c r="N24">
        <v>1139</v>
      </c>
      <c r="O24">
        <v>1152</v>
      </c>
      <c r="P24">
        <v>1165</v>
      </c>
      <c r="Q24">
        <v>1178</v>
      </c>
      <c r="R24">
        <v>1191</v>
      </c>
    </row>
    <row r="25" spans="1:18" ht="15.75" thickBot="1" x14ac:dyDescent="0.3">
      <c r="E25" s="203" t="s">
        <v>63</v>
      </c>
      <c r="F25" s="171">
        <f>SUM(_xlfn.ANCHORARRAY(G25))</f>
        <v>66330</v>
      </c>
      <c r="G25" s="171" cm="1">
        <f t="array" ref="G25:R25">oz.SumColsλ(_xlfn.ANCHORARRAY(G20))</f>
        <v>5170</v>
      </c>
      <c r="H25" s="171">
        <v>5235</v>
      </c>
      <c r="I25" s="171">
        <v>5300</v>
      </c>
      <c r="J25" s="171">
        <v>5365</v>
      </c>
      <c r="K25" s="171">
        <v>5430</v>
      </c>
      <c r="L25" s="171">
        <v>5495</v>
      </c>
      <c r="M25" s="171">
        <v>5560</v>
      </c>
      <c r="N25" s="171">
        <v>5625</v>
      </c>
      <c r="O25" s="171">
        <v>5690</v>
      </c>
      <c r="P25" s="171">
        <v>5755</v>
      </c>
      <c r="Q25" s="171">
        <v>5820</v>
      </c>
      <c r="R25" s="171">
        <v>5885</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oz.SumColsλ</v>
      </c>
      <c r="B1" s="287"/>
      <c r="C1" s="287"/>
      <c r="D1" s="287"/>
      <c r="E1" s="287"/>
      <c r="F1" s="287"/>
      <c r="G1" s="287"/>
      <c r="H1" s="287"/>
      <c r="I1" s="287"/>
      <c r="J1" s="287"/>
      <c r="K1" s="287"/>
      <c r="L1" s="287"/>
      <c r="M1" s="287"/>
      <c r="N1" s="287"/>
      <c r="O1" s="287"/>
      <c r="P1" s="287"/>
    </row>
    <row r="2" spans="1:19" x14ac:dyDescent="0.25">
      <c r="A2" s="288" t="s">
        <v>384</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oz.SumColsλ()</f>
        <v>FUNCTION:</v>
      </c>
      <c r="B4" t="str">
        <v>SumColsλ( Array)</v>
      </c>
    </row>
    <row r="5" spans="1:19" x14ac:dyDescent="0.25">
      <c r="A5" t="str">
        <v>DESCRIPTION:</v>
      </c>
      <c r="B5" t="str">
        <v>Get the total of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(oz is assumed to be the module's name)</v>
      </c>
    </row>
    <row r="11" spans="1:19" x14ac:dyDescent="0.25">
      <c r="A11" t="str">
        <v/>
      </c>
      <c r="B11" t="str">
        <v>=oz.SumColsλ(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13098</v>
      </c>
      <c r="H17" s="192"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141</v>
      </c>
      <c r="B18">
        <v>12</v>
      </c>
      <c r="C18" t="s">
        <v>146</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142</v>
      </c>
      <c r="B19" t="s">
        <v>144</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167" t="s">
        <v>283</v>
      </c>
      <c r="G22" s="167">
        <f>SUM(_xlfn.ANCHORARRAY(H22))</f>
        <v>66330</v>
      </c>
      <c r="H22" s="204" cm="1">
        <f t="array" ref="H22:S22">oz.SumColsλ(_xlfn.ANCHORARRAY(H17))</f>
        <v>5170</v>
      </c>
      <c r="I22" s="167">
        <v>5235</v>
      </c>
      <c r="J22" s="167">
        <v>5300</v>
      </c>
      <c r="K22" s="167">
        <v>5365</v>
      </c>
      <c r="L22" s="167">
        <v>5430</v>
      </c>
      <c r="M22" s="167">
        <v>5495</v>
      </c>
      <c r="N22" s="167">
        <v>5560</v>
      </c>
      <c r="O22" s="167">
        <v>5625</v>
      </c>
      <c r="P22" s="167">
        <v>5690</v>
      </c>
      <c r="Q22" s="167">
        <v>5755</v>
      </c>
      <c r="R22" s="167">
        <v>5820</v>
      </c>
      <c r="S22" s="167">
        <v>5885</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oz.AvgRowsλ</v>
      </c>
      <c r="B1" s="287"/>
      <c r="C1" s="287"/>
      <c r="D1" s="287"/>
      <c r="E1" s="287"/>
      <c r="F1" s="287"/>
      <c r="G1" s="287"/>
      <c r="H1" s="287"/>
      <c r="I1" s="287"/>
      <c r="J1" s="287"/>
      <c r="K1" s="287"/>
    </row>
    <row r="2" spans="1:18" x14ac:dyDescent="0.25">
      <c r="A2" s="288" t="s">
        <v>383</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oz.AvgRowsλ()</f>
        <v>FUNCTION:</v>
      </c>
      <c r="B4" t="str">
        <v>AvgRowsλ( Array)</v>
      </c>
    </row>
    <row r="5" spans="1:18" x14ac:dyDescent="0.25">
      <c r="A5" t="str">
        <v>DESCRIPTION:</v>
      </c>
      <c r="B5" t="str">
        <v>Get the average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(oz is assumed to be the module's name)</v>
      </c>
    </row>
    <row r="11" spans="1:18" x14ac:dyDescent="0.25">
      <c r="A11" t="str">
        <v/>
      </c>
      <c r="B11" t="str">
        <v>=oz.AvgRowsλ(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oz.AvgRowsλ(_xlfn.ANCHORARRAY(G17))</f>
        <v>1091.5</v>
      </c>
      <c r="G17" s="235"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141</v>
      </c>
      <c r="B18">
        <v>12</v>
      </c>
      <c r="C18" t="s">
        <v>146</v>
      </c>
      <c r="E18" s="121" t="str">
        <v>Wool*Art</v>
      </c>
      <c r="F18" s="174">
        <v>1098.5</v>
      </c>
      <c r="G18" s="174">
        <v>1027</v>
      </c>
      <c r="H18">
        <v>1040</v>
      </c>
      <c r="I18">
        <v>1053</v>
      </c>
      <c r="J18">
        <v>1066</v>
      </c>
      <c r="K18">
        <v>1079</v>
      </c>
      <c r="L18">
        <v>1092</v>
      </c>
      <c r="M18">
        <v>1105</v>
      </c>
      <c r="N18">
        <v>1118</v>
      </c>
      <c r="O18">
        <v>1131</v>
      </c>
      <c r="P18">
        <v>1144</v>
      </c>
      <c r="Q18">
        <v>1157</v>
      </c>
      <c r="R18">
        <v>1170</v>
      </c>
    </row>
    <row r="19" spans="1:18" x14ac:dyDescent="0.25">
      <c r="A19" t="s">
        <v>142</v>
      </c>
      <c r="B19" t="s">
        <v>24</v>
      </c>
      <c r="E19" s="121" t="str">
        <v>Town Hall</v>
      </c>
      <c r="F19" s="174">
        <v>1105.5</v>
      </c>
      <c r="G19" s="174">
        <v>1034</v>
      </c>
      <c r="H19">
        <v>1047</v>
      </c>
      <c r="I19">
        <v>1060</v>
      </c>
      <c r="J19">
        <v>1073</v>
      </c>
      <c r="K19">
        <v>1086</v>
      </c>
      <c r="L19">
        <v>1099</v>
      </c>
      <c r="M19">
        <v>1112</v>
      </c>
      <c r="N19">
        <v>1125</v>
      </c>
      <c r="O19">
        <v>1138</v>
      </c>
      <c r="P19">
        <v>1151</v>
      </c>
      <c r="Q19">
        <v>1164</v>
      </c>
      <c r="R19">
        <v>1177</v>
      </c>
    </row>
    <row r="20" spans="1:18" x14ac:dyDescent="0.25">
      <c r="E20" s="121" t="str">
        <v>Jacqie Penee</v>
      </c>
      <c r="F20" s="174">
        <v>1112.5</v>
      </c>
      <c r="G20">
        <v>1041</v>
      </c>
      <c r="H20">
        <v>1054</v>
      </c>
      <c r="I20">
        <v>1067</v>
      </c>
      <c r="J20">
        <v>1080</v>
      </c>
      <c r="K20">
        <v>1093</v>
      </c>
      <c r="L20">
        <v>1106</v>
      </c>
      <c r="M20">
        <v>1119</v>
      </c>
      <c r="N20">
        <v>1132</v>
      </c>
      <c r="O20">
        <v>1145</v>
      </c>
      <c r="P20">
        <v>1158</v>
      </c>
      <c r="Q20">
        <v>1171</v>
      </c>
      <c r="R20">
        <v>1184</v>
      </c>
    </row>
    <row r="21" spans="1:18" x14ac:dyDescent="0.25">
      <c r="E21" s="121" t="str">
        <v>Amazonia</v>
      </c>
      <c r="F21" s="174">
        <v>1119.5</v>
      </c>
      <c r="G21">
        <v>1048</v>
      </c>
      <c r="H21">
        <v>1061</v>
      </c>
      <c r="I21">
        <v>1074</v>
      </c>
      <c r="J21">
        <v>1087</v>
      </c>
      <c r="K21">
        <v>1100</v>
      </c>
      <c r="L21">
        <v>1113</v>
      </c>
      <c r="M21">
        <v>1126</v>
      </c>
      <c r="N21">
        <v>1139</v>
      </c>
      <c r="O21">
        <v>1152</v>
      </c>
      <c r="P21">
        <v>1165</v>
      </c>
      <c r="Q21">
        <v>1178</v>
      </c>
      <c r="R21">
        <v>1191</v>
      </c>
    </row>
    <row r="22" spans="1:18" ht="15.75" thickBot="1" x14ac:dyDescent="0.3">
      <c r="E22" s="203" t="s">
        <v>63</v>
      </c>
      <c r="F22" s="171">
        <f>SUM(_xlfn.ANCHORARRAY(G22))</f>
        <v>66330</v>
      </c>
      <c r="G22" s="171" cm="1">
        <f t="array" ref="G22:R22">oz.SumColsλ(_xlfn.ANCHORARRAY(G17))</f>
        <v>5170</v>
      </c>
      <c r="H22" s="171">
        <v>5235</v>
      </c>
      <c r="I22" s="171">
        <v>5300</v>
      </c>
      <c r="J22" s="171">
        <v>5365</v>
      </c>
      <c r="K22" s="171">
        <v>5430</v>
      </c>
      <c r="L22" s="171">
        <v>5495</v>
      </c>
      <c r="M22" s="171">
        <v>5560</v>
      </c>
      <c r="N22" s="171">
        <v>5625</v>
      </c>
      <c r="O22" s="171">
        <v>5690</v>
      </c>
      <c r="P22" s="171">
        <v>5755</v>
      </c>
      <c r="Q22" s="171">
        <v>5820</v>
      </c>
      <c r="R22" s="171">
        <v>5885</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oz.AvgColsλ</v>
      </c>
      <c r="B1" s="287"/>
      <c r="C1" s="287"/>
      <c r="D1" s="287"/>
      <c r="E1" s="287"/>
      <c r="F1" s="287"/>
      <c r="G1" s="287"/>
      <c r="H1" s="287"/>
      <c r="I1" s="287"/>
      <c r="J1" s="287"/>
      <c r="K1" s="287"/>
      <c r="L1" s="287"/>
      <c r="M1" s="287"/>
      <c r="N1" s="287"/>
      <c r="O1" s="287"/>
      <c r="P1" s="287"/>
    </row>
    <row r="2" spans="1:19" x14ac:dyDescent="0.25">
      <c r="A2" s="288" t="s">
        <v>382</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oz.AvgColsλ()</f>
        <v>FUNCTION:</v>
      </c>
      <c r="B4" t="str">
        <v>AvgColsλ( Array)</v>
      </c>
    </row>
    <row r="5" spans="1:19" x14ac:dyDescent="0.25">
      <c r="A5" t="str">
        <v>DESCRIPTION:</v>
      </c>
      <c r="B5" t="str">
        <v>Get the average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(oz is assumed to be the module's name)</v>
      </c>
    </row>
    <row r="11" spans="1:19" x14ac:dyDescent="0.25">
      <c r="A11" t="str">
        <v/>
      </c>
      <c r="B11" t="str">
        <v>=oz.AvgColsλ(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2466</v>
      </c>
      <c r="H22" s="204" cm="1">
        <f t="array" ref="H22:S22">oz.AvgColsλ(_xlfn.ANCHORARRAY(H17))</f>
        <v>134</v>
      </c>
      <c r="I22" s="167">
        <v>147</v>
      </c>
      <c r="J22" s="167">
        <v>160</v>
      </c>
      <c r="K22" s="167">
        <v>173</v>
      </c>
      <c r="L22" s="167">
        <v>186</v>
      </c>
      <c r="M22" s="167">
        <v>199</v>
      </c>
      <c r="N22" s="167">
        <v>212</v>
      </c>
      <c r="O22" s="167">
        <v>225</v>
      </c>
      <c r="P22" s="167">
        <v>238</v>
      </c>
      <c r="Q22" s="167">
        <v>251</v>
      </c>
      <c r="R22" s="167">
        <v>264</v>
      </c>
      <c r="S22" s="167">
        <v>277</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oz.MinRowsλ</v>
      </c>
      <c r="B1" s="287"/>
      <c r="C1" s="287"/>
      <c r="D1" s="287"/>
      <c r="E1" s="287"/>
      <c r="F1" s="287"/>
      <c r="G1" s="287"/>
      <c r="H1" s="287"/>
      <c r="I1" s="287"/>
      <c r="J1" s="287"/>
      <c r="K1" s="287"/>
    </row>
    <row r="2" spans="1:18" x14ac:dyDescent="0.25">
      <c r="A2" s="288" t="s">
        <v>385</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oz.MinRowsλ()</f>
        <v>FUNCTION:</v>
      </c>
      <c r="B4" t="str">
        <v>MinRowsλ( Array)</v>
      </c>
    </row>
    <row r="5" spans="1:18" x14ac:dyDescent="0.25">
      <c r="A5" t="str">
        <v>DESCRIPTION:</v>
      </c>
      <c r="B5" t="str">
        <v>Get the minimum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(oz is assumed to be the module's name)</v>
      </c>
    </row>
    <row r="11" spans="1:18" x14ac:dyDescent="0.25">
      <c r="A11" t="str">
        <v/>
      </c>
      <c r="B11" t="str">
        <v>=oz.MinRowsλ(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oz.MinRowsλ(_xlfn.ANCHORARRAY(G17))</f>
        <v>120</v>
      </c>
      <c r="G17" s="235"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127</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134</v>
      </c>
      <c r="G19" s="174">
        <v>134</v>
      </c>
      <c r="H19">
        <v>147</v>
      </c>
      <c r="I19">
        <v>160</v>
      </c>
      <c r="J19">
        <v>173</v>
      </c>
      <c r="K19">
        <v>186</v>
      </c>
      <c r="L19">
        <v>199</v>
      </c>
      <c r="M19">
        <v>212</v>
      </c>
      <c r="N19">
        <v>225</v>
      </c>
      <c r="O19">
        <v>238</v>
      </c>
      <c r="P19">
        <v>251</v>
      </c>
      <c r="Q19">
        <v>264</v>
      </c>
      <c r="R19">
        <v>277</v>
      </c>
    </row>
    <row r="20" spans="1:18" x14ac:dyDescent="0.25">
      <c r="E20" s="121" t="str">
        <v>Jacqie Penee</v>
      </c>
      <c r="F20" s="174">
        <v>141</v>
      </c>
      <c r="G20">
        <v>141</v>
      </c>
      <c r="H20">
        <v>154</v>
      </c>
      <c r="I20">
        <v>167</v>
      </c>
      <c r="J20">
        <v>180</v>
      </c>
      <c r="K20">
        <v>193</v>
      </c>
      <c r="L20">
        <v>206</v>
      </c>
      <c r="M20">
        <v>219</v>
      </c>
      <c r="N20">
        <v>232</v>
      </c>
      <c r="O20">
        <v>245</v>
      </c>
      <c r="P20">
        <v>258</v>
      </c>
      <c r="Q20">
        <v>271</v>
      </c>
      <c r="R20">
        <v>284</v>
      </c>
    </row>
    <row r="21" spans="1:18" x14ac:dyDescent="0.25">
      <c r="E21" s="121" t="str">
        <v>Amazonia</v>
      </c>
      <c r="F21" s="174">
        <v>148</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oz.SumColsλ(_xlfn.ANCHORARRAY(G17))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oz.MinColsλ</v>
      </c>
      <c r="B1" s="287"/>
      <c r="C1" s="287"/>
      <c r="D1" s="287"/>
      <c r="E1" s="287"/>
      <c r="F1" s="287"/>
      <c r="G1" s="287"/>
      <c r="H1" s="287"/>
      <c r="I1" s="287"/>
      <c r="J1" s="287"/>
      <c r="K1" s="287"/>
      <c r="L1" s="287"/>
      <c r="M1" s="287"/>
      <c r="N1" s="287"/>
      <c r="O1" s="287"/>
      <c r="P1" s="287"/>
    </row>
    <row r="2" spans="1:19" x14ac:dyDescent="0.25">
      <c r="A2" s="288" t="s">
        <v>381</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oz.MinColsλ()</f>
        <v>FUNCTION:</v>
      </c>
      <c r="B4" t="str">
        <v>MinColsλ( Array)</v>
      </c>
    </row>
    <row r="5" spans="1:19" x14ac:dyDescent="0.25">
      <c r="A5" t="str">
        <v>DESCRIPTION:</v>
      </c>
      <c r="B5" t="str">
        <v>Get the minimum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(oz is assumed to be the module's name)</v>
      </c>
    </row>
    <row r="11" spans="1:19" x14ac:dyDescent="0.25">
      <c r="A11" t="str">
        <v/>
      </c>
      <c r="B11" t="str">
        <v>=oz.MinColsλ(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2298</v>
      </c>
      <c r="H22" s="204" cm="1">
        <f t="array" ref="H22:S22">oz.MinColsλ(_xlfn.ANCHORARRAY(H17))</f>
        <v>120</v>
      </c>
      <c r="I22" s="167">
        <v>133</v>
      </c>
      <c r="J22" s="167">
        <v>146</v>
      </c>
      <c r="K22" s="167">
        <v>159</v>
      </c>
      <c r="L22" s="167">
        <v>172</v>
      </c>
      <c r="M22" s="167">
        <v>185</v>
      </c>
      <c r="N22" s="167">
        <v>198</v>
      </c>
      <c r="O22" s="167">
        <v>211</v>
      </c>
      <c r="P22" s="167">
        <v>224</v>
      </c>
      <c r="Q22" s="167">
        <v>237</v>
      </c>
      <c r="R22" s="167">
        <v>250</v>
      </c>
      <c r="S22" s="167">
        <v>263</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oz.MaxRowsλ</v>
      </c>
      <c r="B1" s="287"/>
      <c r="C1" s="287"/>
      <c r="D1" s="287"/>
      <c r="E1" s="287"/>
      <c r="F1" s="287"/>
      <c r="G1" s="287"/>
      <c r="H1" s="287"/>
      <c r="I1" s="287"/>
      <c r="J1" s="287"/>
      <c r="K1" s="287"/>
    </row>
    <row r="2" spans="1:18" x14ac:dyDescent="0.25">
      <c r="A2" s="288" t="s">
        <v>386</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oz.MaxRowsλ()</f>
        <v>FUNCTION:</v>
      </c>
      <c r="B4" t="str">
        <v>MaxRowsλ( Array)</v>
      </c>
    </row>
    <row r="5" spans="1:18" x14ac:dyDescent="0.25">
      <c r="A5" t="str">
        <v>DESCRIPTION:</v>
      </c>
      <c r="B5" t="str">
        <v>Get the maximum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(oz is assumed to be the module's name)</v>
      </c>
    </row>
    <row r="11" spans="1:18" x14ac:dyDescent="0.25">
      <c r="A11" t="str">
        <v/>
      </c>
      <c r="B11" t="str">
        <v>=oz.MaxRowsλ(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oz.MaxRowsλ(_xlfn.ANCHORARRAY(G17))</f>
        <v>263</v>
      </c>
      <c r="G17" s="235"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270</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277</v>
      </c>
      <c r="G19" s="174">
        <v>134</v>
      </c>
      <c r="H19">
        <v>147</v>
      </c>
      <c r="I19">
        <v>160</v>
      </c>
      <c r="J19">
        <v>173</v>
      </c>
      <c r="K19">
        <v>186</v>
      </c>
      <c r="L19">
        <v>199</v>
      </c>
      <c r="M19">
        <v>212</v>
      </c>
      <c r="N19">
        <v>225</v>
      </c>
      <c r="O19">
        <v>238</v>
      </c>
      <c r="P19">
        <v>251</v>
      </c>
      <c r="Q19">
        <v>264</v>
      </c>
      <c r="R19">
        <v>277</v>
      </c>
    </row>
    <row r="20" spans="1:18" x14ac:dyDescent="0.25">
      <c r="E20" s="121" t="str">
        <v>Jacqie Penee</v>
      </c>
      <c r="F20" s="174">
        <v>284</v>
      </c>
      <c r="G20">
        <v>141</v>
      </c>
      <c r="H20">
        <v>154</v>
      </c>
      <c r="I20">
        <v>167</v>
      </c>
      <c r="J20">
        <v>180</v>
      </c>
      <c r="K20">
        <v>193</v>
      </c>
      <c r="L20">
        <v>206</v>
      </c>
      <c r="M20">
        <v>219</v>
      </c>
      <c r="N20">
        <v>232</v>
      </c>
      <c r="O20">
        <v>245</v>
      </c>
      <c r="P20">
        <v>258</v>
      </c>
      <c r="Q20">
        <v>271</v>
      </c>
      <c r="R20">
        <v>284</v>
      </c>
    </row>
    <row r="21" spans="1:18" x14ac:dyDescent="0.25">
      <c r="E21" s="121" t="str">
        <v>Amazonia</v>
      </c>
      <c r="F21" s="174">
        <v>291</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oz.SumColsλ(_xlfn.ANCHORARRAY(G17))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oz.MaxColsλ</v>
      </c>
      <c r="B1" s="287"/>
      <c r="C1" s="287"/>
      <c r="D1" s="287"/>
      <c r="E1" s="287"/>
      <c r="F1" s="287"/>
      <c r="G1" s="287"/>
      <c r="H1" s="287"/>
      <c r="I1" s="287"/>
      <c r="J1" s="287"/>
      <c r="K1" s="287"/>
      <c r="L1" s="287"/>
      <c r="M1" s="287"/>
      <c r="N1" s="287"/>
      <c r="O1" s="287"/>
      <c r="P1" s="287"/>
    </row>
    <row r="2" spans="1:19" x14ac:dyDescent="0.25">
      <c r="A2" s="288" t="s">
        <v>387</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oz.MaxColsλ()</f>
        <v>FUNCTION:</v>
      </c>
      <c r="B4" t="str">
        <v>MaxColsλ( Array)</v>
      </c>
    </row>
    <row r="5" spans="1:19" x14ac:dyDescent="0.25">
      <c r="A5" t="str">
        <v>DESCRIPTION:</v>
      </c>
      <c r="B5" t="str">
        <v>Get the maximum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(oz is assumed to be the module's name)</v>
      </c>
    </row>
    <row r="11" spans="1:19" x14ac:dyDescent="0.25">
      <c r="A11" t="str">
        <v/>
      </c>
      <c r="B11" t="str">
        <v>=oz.MaxColsλ(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2634</v>
      </c>
      <c r="H22" s="204" cm="1">
        <f t="array" ref="H22:S22">oz.MaxColsλ(_xlfn.ANCHORARRAY(H17))</f>
        <v>148</v>
      </c>
      <c r="I22" s="167">
        <v>161</v>
      </c>
      <c r="J22" s="167">
        <v>174</v>
      </c>
      <c r="K22" s="167">
        <v>187</v>
      </c>
      <c r="L22" s="167">
        <v>200</v>
      </c>
      <c r="M22" s="167">
        <v>213</v>
      </c>
      <c r="N22" s="167">
        <v>226</v>
      </c>
      <c r="O22" s="167">
        <v>239</v>
      </c>
      <c r="P22" s="167">
        <v>252</v>
      </c>
      <c r="Q22" s="167">
        <v>265</v>
      </c>
      <c r="R22" s="167">
        <v>278</v>
      </c>
      <c r="S22" s="167">
        <v>291</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oz.CountRowsλ</v>
      </c>
      <c r="B1" s="287"/>
      <c r="C1" s="287"/>
      <c r="D1" s="287"/>
      <c r="E1" s="287"/>
      <c r="F1" s="287"/>
      <c r="G1" s="287"/>
      <c r="H1" s="287"/>
      <c r="I1" s="287"/>
      <c r="J1" s="287"/>
      <c r="K1" s="287"/>
    </row>
    <row r="2" spans="1:18" x14ac:dyDescent="0.25">
      <c r="A2" s="288" t="s">
        <v>410</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oz.CountRowsλ()</f>
        <v>FUNCTION:</v>
      </c>
      <c r="B4" t="str">
        <v>CountRowsλ( Array)</v>
      </c>
    </row>
    <row r="5" spans="1:18" x14ac:dyDescent="0.25">
      <c r="A5" t="str">
        <v>DESCRIPTION:</v>
      </c>
      <c r="B5" t="str">
        <v>Count numbers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=oz.CountRowsλ(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171" cm="1">
        <f t="array" ref="G22:R22">oz.CountColsλ(_xlfn.ANCHORARRAY(G17))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pageSetup paperSize="9" scale="64" fitToHeight="0" orientation="landscape" horizontalDpi="0" verticalDpi="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oz.CountColsλ</v>
      </c>
      <c r="B1" s="287"/>
      <c r="C1" s="287"/>
      <c r="D1" s="287"/>
      <c r="E1" s="287"/>
      <c r="F1" s="287"/>
      <c r="G1" s="287"/>
      <c r="H1" s="287"/>
      <c r="I1" s="287"/>
      <c r="J1" s="287"/>
      <c r="K1" s="287"/>
    </row>
    <row r="2" spans="1:18" x14ac:dyDescent="0.25">
      <c r="A2" s="288" t="s">
        <v>409</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oz.CountColsλ()</f>
        <v>FUNCTION:</v>
      </c>
      <c r="B4" t="str">
        <v>CountColsλ( Array)</v>
      </c>
    </row>
    <row r="5" spans="1:18" x14ac:dyDescent="0.25">
      <c r="A5" t="str">
        <v>DESCRIPTION:</v>
      </c>
      <c r="B5" t="str">
        <v>Count numbers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=oz.CountColsλ(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174" cm="1">
        <f t="array" ref="F17:F21">oz.CountRowsλ(_xlfn.ANCHORARRAY(G17))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251" cm="1">
        <f t="array" ref="G22:R22">oz.CountColsλ(_xlfn.ANCHORARRAY(G17))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pageSetup paperSize="9" scale="64" fitToHeight="0" orientation="landscape" horizontalDpi="0" verticalDpi="0"/>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oz.CountARowsλ</v>
      </c>
      <c r="B1" s="287"/>
      <c r="C1" s="287"/>
      <c r="D1" s="287"/>
      <c r="E1" s="287"/>
      <c r="F1" s="287"/>
      <c r="G1" s="287"/>
      <c r="H1" s="287"/>
      <c r="I1" s="287"/>
      <c r="J1" s="287"/>
      <c r="K1" s="287"/>
    </row>
    <row r="2" spans="1:18" x14ac:dyDescent="0.25">
      <c r="A2" s="288" t="s">
        <v>554</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oz.CountARowsλ()</f>
        <v>FUNCTION:</v>
      </c>
      <c r="B4" t="str">
        <v>CountARowsλ( Array)</v>
      </c>
    </row>
    <row r="5" spans="1:18" x14ac:dyDescent="0.25">
      <c r="A5" t="str">
        <v>DESCRIPTION:</v>
      </c>
      <c r="B5" t="str">
        <v>Count everything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=oz.CountARowsλ(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171" cm="1">
        <f t="array" ref="G22:R22">oz.CountAColsλ(G17:R21)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pageSetup paperSize="9" scale="61" fitToHeight="0" orientation="landscape" horizontalDpi="0" verticalDpi="0"/>
  <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oz.CountAColsλ</v>
      </c>
      <c r="B1" s="287"/>
      <c r="C1" s="287"/>
      <c r="D1" s="287"/>
      <c r="E1" s="287"/>
      <c r="F1" s="287"/>
      <c r="G1" s="287"/>
      <c r="H1" s="287"/>
      <c r="I1" s="287"/>
      <c r="J1" s="287"/>
      <c r="K1" s="287"/>
    </row>
    <row r="2" spans="1:18" x14ac:dyDescent="0.25">
      <c r="A2" s="288" t="s">
        <v>555</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oz.CountAColsλ()</f>
        <v>FUNCTION:</v>
      </c>
      <c r="B4" t="str">
        <v>CountAColsλ( Array )</v>
      </c>
    </row>
    <row r="5" spans="1:18" x14ac:dyDescent="0.25">
      <c r="A5" t="str">
        <v>DESCRIPTION:</v>
      </c>
      <c r="B5" t="str">
        <v>Count everything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=oz.CountAColsλ(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174" cm="1">
        <f t="array" ref="F17:F21">oz.CountARowsλ(G17:R21)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251" cm="1">
        <f t="array" ref="G22:R22">oz.CountAColsλ(G17:R21)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pageSetup paperSize="9" scale="61" fitToHeight="0" orientation="landscape" horizontalDpi="0" verticalDpi="0"/>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7A5AB5"/>
    <pageSetUpPr fitToPage="1"/>
  </sheetPr>
  <dimension ref="A1:R3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6.5" x14ac:dyDescent="0.7">
      <c r="A1" s="287" t="str">
        <f ca="1">_xlfn.TEXTAFTER(CELL("filename",A1),"]")</f>
        <v>oz.IsBetweenEλ</v>
      </c>
      <c r="B1" s="287"/>
      <c r="C1" s="287"/>
      <c r="D1" s="287"/>
      <c r="E1" s="287"/>
      <c r="F1" s="287"/>
      <c r="G1" s="287"/>
      <c r="H1" s="287"/>
      <c r="I1" s="287"/>
      <c r="J1" s="287"/>
      <c r="K1" s="287"/>
    </row>
    <row r="2" spans="1:17" x14ac:dyDescent="0.25">
      <c r="A2" s="288" t="s">
        <v>196</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6">oz.IsBetweenEλ()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1" x14ac:dyDescent="0.35">
      <c r="A18" s="305" t="s">
        <v>272</v>
      </c>
      <c r="B18" s="305"/>
      <c r="C18" s="305"/>
    </row>
    <row r="19" spans="1:18" x14ac:dyDescent="0.25">
      <c r="F19" s="191" t="s">
        <v>414</v>
      </c>
      <c r="G19" s="252" cm="1">
        <f t="array" ref="G19:R19">oz.Timelineλ($B$21,$B$22,$B$23, FALSE)</f>
        <v>46568</v>
      </c>
      <c r="H19" s="252">
        <v>46934</v>
      </c>
      <c r="I19" s="252">
        <v>47299</v>
      </c>
      <c r="J19" s="252">
        <v>47664</v>
      </c>
      <c r="K19" s="252">
        <v>48029</v>
      </c>
      <c r="L19" s="252">
        <v>48395</v>
      </c>
      <c r="M19" s="252">
        <v>48760</v>
      </c>
      <c r="N19" s="252">
        <v>49125</v>
      </c>
      <c r="O19" s="252">
        <v>49490</v>
      </c>
      <c r="P19" s="252">
        <v>49856</v>
      </c>
      <c r="Q19" s="252">
        <v>50221</v>
      </c>
      <c r="R19" s="252">
        <v>50586</v>
      </c>
    </row>
    <row r="20" spans="1:18" x14ac:dyDescent="0.25">
      <c r="A20" s="161" t="s">
        <v>273</v>
      </c>
      <c r="B20" s="161" t="s">
        <v>138</v>
      </c>
      <c r="C20" s="161" t="s">
        <v>139</v>
      </c>
      <c r="E20" s="190" t="s">
        <v>131</v>
      </c>
      <c r="F20" s="155" t="s">
        <v>276</v>
      </c>
      <c r="G20" s="156"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236</v>
      </c>
      <c r="B21" s="141">
        <v>46204</v>
      </c>
      <c r="C21" t="s">
        <v>145</v>
      </c>
      <c r="E21" s="121" t="str" cm="1">
        <f t="array" ref="E21:E25">tblCT[Customer]</f>
        <v>ACME</v>
      </c>
      <c r="F21" s="174" cm="1">
        <f t="array" ref="F21:F25">oz.SumRowsλ(_xlfn.ANCHORARRAY(G21))</f>
        <v>1</v>
      </c>
      <c r="G21" s="162" cm="1">
        <f t="array" ref="G21:R25">N(oz.IsBetweenλ(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141</v>
      </c>
      <c r="B22">
        <v>12</v>
      </c>
      <c r="C22" t="s">
        <v>146</v>
      </c>
      <c r="E22" s="121" t="str">
        <v>Wool*Art</v>
      </c>
      <c r="F22" s="174">
        <v>1</v>
      </c>
      <c r="G22" s="174">
        <v>0</v>
      </c>
      <c r="H22">
        <v>1</v>
      </c>
      <c r="I22">
        <v>0</v>
      </c>
      <c r="J22">
        <v>0</v>
      </c>
      <c r="K22">
        <v>0</v>
      </c>
      <c r="L22">
        <v>0</v>
      </c>
      <c r="M22">
        <v>0</v>
      </c>
      <c r="N22">
        <v>0</v>
      </c>
      <c r="O22">
        <v>0</v>
      </c>
      <c r="P22">
        <v>0</v>
      </c>
      <c r="Q22">
        <v>0</v>
      </c>
      <c r="R22">
        <v>0</v>
      </c>
    </row>
    <row r="23" spans="1:18" x14ac:dyDescent="0.25">
      <c r="A23" t="s">
        <v>142</v>
      </c>
      <c r="B23" t="s">
        <v>24</v>
      </c>
      <c r="E23" s="121" t="str">
        <v>Town Hall</v>
      </c>
      <c r="F23" s="174">
        <v>1</v>
      </c>
      <c r="G23" s="174">
        <v>0</v>
      </c>
      <c r="H23">
        <v>0</v>
      </c>
      <c r="I23">
        <v>1</v>
      </c>
      <c r="J23">
        <v>0</v>
      </c>
      <c r="K23">
        <v>0</v>
      </c>
      <c r="L23">
        <v>0</v>
      </c>
      <c r="M23">
        <v>0</v>
      </c>
      <c r="N23">
        <v>0</v>
      </c>
      <c r="O23">
        <v>0</v>
      </c>
      <c r="P23">
        <v>0</v>
      </c>
      <c r="Q23">
        <v>0</v>
      </c>
      <c r="R23">
        <v>0</v>
      </c>
    </row>
    <row r="24" spans="1:18" x14ac:dyDescent="0.25">
      <c r="E24" s="121" t="str">
        <v>Jacqie Penee</v>
      </c>
      <c r="F24" s="174">
        <v>1</v>
      </c>
      <c r="G24">
        <v>0</v>
      </c>
      <c r="H24">
        <v>0</v>
      </c>
      <c r="I24">
        <v>0</v>
      </c>
      <c r="J24">
        <v>1</v>
      </c>
      <c r="K24">
        <v>0</v>
      </c>
      <c r="L24">
        <v>0</v>
      </c>
      <c r="M24">
        <v>0</v>
      </c>
      <c r="N24">
        <v>0</v>
      </c>
      <c r="O24">
        <v>0</v>
      </c>
      <c r="P24">
        <v>0</v>
      </c>
      <c r="Q24">
        <v>0</v>
      </c>
      <c r="R24">
        <v>0</v>
      </c>
    </row>
    <row r="25" spans="1:18" x14ac:dyDescent="0.25">
      <c r="E25" s="121" t="str">
        <v>Amazonia</v>
      </c>
      <c r="F25" s="174">
        <v>1</v>
      </c>
      <c r="G25">
        <v>0</v>
      </c>
      <c r="H25">
        <v>0</v>
      </c>
      <c r="I25">
        <v>0</v>
      </c>
      <c r="J25">
        <v>0</v>
      </c>
      <c r="K25">
        <v>1</v>
      </c>
      <c r="L25">
        <v>0</v>
      </c>
      <c r="M25">
        <v>0</v>
      </c>
      <c r="N25">
        <v>0</v>
      </c>
      <c r="O25">
        <v>0</v>
      </c>
      <c r="P25">
        <v>0</v>
      </c>
      <c r="Q25">
        <v>0</v>
      </c>
      <c r="R25">
        <v>0</v>
      </c>
    </row>
    <row r="26" spans="1:18" ht="21.75" thickBot="1" x14ac:dyDescent="0.4">
      <c r="A26" s="311" t="s">
        <v>415</v>
      </c>
      <c r="B26" s="312"/>
      <c r="E26" s="203" t="s">
        <v>63</v>
      </c>
      <c r="F26" s="171">
        <f>SUM(_xlfn.ANCHORARRAY(G26))</f>
        <v>5</v>
      </c>
      <c r="G26" s="253" cm="1">
        <f t="array" ref="G26:R26">oz.SumColsλ(_xlfn.ANCHORARRAY(G21))</f>
        <v>0</v>
      </c>
      <c r="H26" s="171">
        <v>2</v>
      </c>
      <c r="I26" s="171">
        <v>1</v>
      </c>
      <c r="J26" s="171">
        <v>1</v>
      </c>
      <c r="K26" s="171">
        <v>1</v>
      </c>
      <c r="L26" s="171">
        <v>0</v>
      </c>
      <c r="M26" s="171">
        <v>0</v>
      </c>
      <c r="N26" s="171">
        <v>0</v>
      </c>
      <c r="O26" s="171">
        <v>0</v>
      </c>
      <c r="P26" s="171">
        <v>0</v>
      </c>
      <c r="Q26" s="171">
        <v>0</v>
      </c>
      <c r="R26" s="171">
        <v>0</v>
      </c>
    </row>
    <row r="27" spans="1:18" ht="15.75" thickTop="1" x14ac:dyDescent="0.25"/>
    <row r="28" spans="1:18" x14ac:dyDescent="0.25">
      <c r="A28" t="s">
        <v>264</v>
      </c>
      <c r="B28" t="s">
        <v>415</v>
      </c>
    </row>
    <row r="29" spans="1:18" x14ac:dyDescent="0.25">
      <c r="A29" s="121" t="str">
        <f>E21</f>
        <v>ACME</v>
      </c>
      <c r="B29" s="141" cm="1">
        <f t="array" ref="B29">$B$21 + 365 * (ROW() - ROW(tblOnBoarding[#Headers]))</f>
        <v>46569</v>
      </c>
    </row>
    <row r="30" spans="1:18" x14ac:dyDescent="0.25">
      <c r="A30" s="121" t="str">
        <f t="shared" ref="A30:A33" si="0">E22</f>
        <v>Wool*Art</v>
      </c>
      <c r="B30" s="141" cm="1">
        <f t="array" ref="B30">$B$21 + 365 * (ROW() - ROW(tblOnBoarding[#Headers]))</f>
        <v>46934</v>
      </c>
    </row>
    <row r="31" spans="1:18" x14ac:dyDescent="0.25">
      <c r="A31" s="121" t="str">
        <f t="shared" si="0"/>
        <v>Town Hall</v>
      </c>
      <c r="B31" s="141" cm="1">
        <f t="array" ref="B31">$B$21 + 365 * (ROW() - ROW(tblOnBoarding[#Headers]))</f>
        <v>47299</v>
      </c>
    </row>
    <row r="32" spans="1:18" x14ac:dyDescent="0.25">
      <c r="A32" s="121" t="str">
        <f t="shared" si="0"/>
        <v>Jacqie Penee</v>
      </c>
      <c r="B32" s="141" cm="1">
        <f t="array" ref="B32">$B$21 + 365 * (ROW() - ROW(tblOnBoarding[#Headers]))</f>
        <v>47664</v>
      </c>
    </row>
    <row r="33" spans="1:2" x14ac:dyDescent="0.25">
      <c r="A33" s="121" t="str">
        <f t="shared" si="0"/>
        <v>Amazonia</v>
      </c>
      <c r="B33" s="141" cm="1">
        <f t="array" ref="B33">$B$21 + 365 * (ROW() - ROW(tblOnBoarding[#Headers]))</f>
        <v>48029</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pageSetup paperSize="9" scale="59" fitToHeight="0" orientation="landscape" horizontalDpi="0" verticalDpi="0"/>
  <drawing r:id="rId2"/>
  <tableParts count="1">
    <tablePart r:id="rId3"/>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6.5" x14ac:dyDescent="0.7">
      <c r="A1" s="287" t="str">
        <f ca="1">_xlfn.TEXTAFTER(CELL("filename",A1),"]")</f>
        <v>oz.RangeToDAEλ</v>
      </c>
      <c r="B1" s="287"/>
      <c r="C1" s="287"/>
      <c r="D1" s="287"/>
      <c r="E1" s="287"/>
      <c r="F1" s="287"/>
      <c r="G1" s="287"/>
      <c r="H1" s="287"/>
      <c r="I1" s="287"/>
      <c r="J1" s="287"/>
      <c r="K1" s="287"/>
    </row>
    <row r="2" spans="1:18" x14ac:dyDescent="0.25">
      <c r="A2" s="288" t="s">
        <v>422</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3">oz.RangeToDAEλ()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https://github.com/ryanduguid/Ozzit</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155" t="s">
        <v>416</v>
      </c>
      <c r="G14" s="156" cm="1">
        <f t="array" ref="G14:R14">oz.Timelineλ($B$21,$B$22,$B$23)</f>
        <v>46204</v>
      </c>
      <c r="H14" s="1">
        <v>46569</v>
      </c>
      <c r="I14" s="1">
        <v>46935</v>
      </c>
      <c r="J14" s="1">
        <v>47300</v>
      </c>
      <c r="K14" s="1">
        <v>47665</v>
      </c>
      <c r="L14" s="1">
        <v>48030</v>
      </c>
      <c r="M14" s="1">
        <v>48396</v>
      </c>
      <c r="N14" s="1">
        <v>48761</v>
      </c>
      <c r="O14" s="1">
        <v>49126</v>
      </c>
      <c r="P14" s="1">
        <v>49491</v>
      </c>
      <c r="Q14" s="1">
        <v>49857</v>
      </c>
      <c r="R14" s="1">
        <v>50222</v>
      </c>
    </row>
    <row r="15" spans="1:18" x14ac:dyDescent="0.25">
      <c r="F15" t="s">
        <v>417</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418</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1" x14ac:dyDescent="0.35">
      <c r="A18" s="305" t="s">
        <v>272</v>
      </c>
      <c r="B18" s="305"/>
      <c r="C18" s="305"/>
    </row>
    <row r="19" spans="1:18" x14ac:dyDescent="0.25">
      <c r="F19" s="191" t="s">
        <v>414</v>
      </c>
      <c r="G19" s="252" cm="1">
        <f t="array" ref="G19:R19">oz.Timelineλ($B$21,$B$22,$B$23, FALSE)</f>
        <v>46568</v>
      </c>
      <c r="H19" s="252">
        <v>46934</v>
      </c>
      <c r="I19" s="252">
        <v>47299</v>
      </c>
      <c r="J19" s="252">
        <v>47664</v>
      </c>
      <c r="K19" s="252">
        <v>48029</v>
      </c>
      <c r="L19" s="252">
        <v>48395</v>
      </c>
      <c r="M19" s="252">
        <v>48760</v>
      </c>
      <c r="N19" s="252">
        <v>49125</v>
      </c>
      <c r="O19" s="252">
        <v>49490</v>
      </c>
      <c r="P19" s="252">
        <v>49856</v>
      </c>
      <c r="Q19" s="252">
        <v>50221</v>
      </c>
      <c r="R19" s="252">
        <v>50586</v>
      </c>
    </row>
    <row r="20" spans="1:18" x14ac:dyDescent="0.25">
      <c r="A20" s="161" t="s">
        <v>273</v>
      </c>
      <c r="B20" s="161" t="s">
        <v>138</v>
      </c>
      <c r="C20" s="161" t="s">
        <v>139</v>
      </c>
      <c r="E20" s="190" t="s">
        <v>131</v>
      </c>
      <c r="F20" s="155" t="s">
        <v>276</v>
      </c>
      <c r="G20" s="156"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236</v>
      </c>
      <c r="B21" s="141">
        <v>46204</v>
      </c>
      <c r="C21" t="s">
        <v>145</v>
      </c>
      <c r="E21" t="s">
        <v>417</v>
      </c>
      <c r="F21" s="174" cm="1">
        <f t="array" ref="F21">oz.SumRowsλ(_xlfn.ANCHORARRAY(G21))</f>
        <v>0.2525</v>
      </c>
      <c r="G21" s="256" cm="1">
        <f t="array" ref="G21:R21">oz.RangeToDAEλ(G15,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418</v>
      </c>
      <c r="F22" s="174"/>
      <c r="G22" s="256" cm="1">
        <f t="array" ref="G22:R22">oz.RangeToDAEλ(G16,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pageSetup paperSize="9" scale="58" fitToHeight="0" orientation="landscape" horizontalDpi="0" verticalDpi="0"/>
  <drawing r:id="rId2"/>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8206B"/>
    <pageSetUpPr fitToPage="1"/>
  </sheetPr>
  <dimension ref="A1:K64"/>
  <sheetViews>
    <sheetView showGridLines="0" workbookViewId="0">
      <selection sqref="A1:K1"/>
    </sheetView>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6.5" x14ac:dyDescent="0.7">
      <c r="A1" s="287" t="str">
        <f ca="1">_xlfn.TEXTAFTER(CELL("filename",A1),"]")</f>
        <v>oz.FinancialRatios</v>
      </c>
      <c r="B1" s="287"/>
      <c r="C1" s="287"/>
      <c r="D1" s="287"/>
      <c r="E1" s="287"/>
      <c r="F1" s="287"/>
      <c r="G1" s="287"/>
      <c r="H1" s="287"/>
      <c r="I1" s="287"/>
      <c r="J1" s="287"/>
      <c r="K1" s="287"/>
    </row>
    <row r="2" spans="1:11" x14ac:dyDescent="0.25">
      <c r="A2" s="288" t="s">
        <v>556</v>
      </c>
    </row>
    <row r="10" spans="1:11" x14ac:dyDescent="0.25">
      <c r="D10" t="s">
        <v>449</v>
      </c>
      <c r="E10" t="s">
        <v>131</v>
      </c>
    </row>
    <row r="11" spans="1:11" x14ac:dyDescent="0.25">
      <c r="D11" t="s">
        <v>450</v>
      </c>
      <c r="E11" t="s">
        <v>451</v>
      </c>
    </row>
    <row r="12" spans="1:11" x14ac:dyDescent="0.25">
      <c r="D12" t="s">
        <v>402</v>
      </c>
      <c r="E12" t="s">
        <v>402</v>
      </c>
    </row>
    <row r="13" spans="1:11" x14ac:dyDescent="0.25">
      <c r="B13" s="2" t="s">
        <v>439</v>
      </c>
      <c r="D13" t="s">
        <v>439</v>
      </c>
      <c r="E13" t="s">
        <v>402</v>
      </c>
    </row>
    <row r="14" spans="1:11" x14ac:dyDescent="0.25">
      <c r="A14" s="268" cm="1">
        <f t="array" ref="A14">oz.CurrentRatioλ( 134.836, 125.481)</f>
        <v>1.0745531195957956</v>
      </c>
      <c r="B14" t="str">
        <f t="shared" ref="B14:B20" si="0">_xlfn.FORMULATEXT(A14)</f>
        <v>=oz.CurrentRatioλ( 134.836, 125.481)</v>
      </c>
      <c r="D14" t="s">
        <v>452</v>
      </c>
      <c r="E14" t="s">
        <v>453</v>
      </c>
    </row>
    <row r="15" spans="1:11" x14ac:dyDescent="0.25">
      <c r="A15" s="268" cm="1">
        <f t="array" ref="A15">oz.QuickRatioλ(165000,137500)</f>
        <v>1.2</v>
      </c>
      <c r="B15" t="str">
        <f t="shared" si="0"/>
        <v>=oz.QuickRatioλ(165000,137500)</v>
      </c>
      <c r="D15" t="s">
        <v>454</v>
      </c>
      <c r="E15" t="s">
        <v>455</v>
      </c>
    </row>
    <row r="16" spans="1:11" x14ac:dyDescent="0.25">
      <c r="A16" s="268" cm="1">
        <f t="array" ref="A16">oz.CashRatioλ( 63900000, 123500000)</f>
        <v>0.51740890688259111</v>
      </c>
      <c r="B16" t="str">
        <f t="shared" si="0"/>
        <v>=oz.CashRatioλ( 63900000, 123500000)</v>
      </c>
      <c r="D16" t="s">
        <v>456</v>
      </c>
      <c r="E16" t="s">
        <v>457</v>
      </c>
    </row>
    <row r="17" spans="1:5" x14ac:dyDescent="0.25">
      <c r="A17" s="268" cm="1">
        <f t="array" ref="A17">oz.OperatingCashFlowRatioλ( 27.8, 77.5)</f>
        <v>0.35870967741935483</v>
      </c>
      <c r="B17" t="str">
        <f t="shared" si="0"/>
        <v>=oz.OperatingCashFlowRatioλ( 27.8, 77.5)</v>
      </c>
      <c r="D17" t="s">
        <v>456</v>
      </c>
      <c r="E17" t="s">
        <v>458</v>
      </c>
    </row>
    <row r="18" spans="1:5" x14ac:dyDescent="0.25">
      <c r="A18" s="268" cm="1">
        <f t="array" ref="A18">oz.ReceivablesTurnoverRatioλ( 800000, 68000 )</f>
        <v>11.764705882352942</v>
      </c>
      <c r="B18" t="str">
        <f t="shared" si="0"/>
        <v>=oz.ReceivablesTurnoverRatioλ( 800000, 68000 )</v>
      </c>
      <c r="D18" t="s">
        <v>459</v>
      </c>
      <c r="E18" t="s">
        <v>460</v>
      </c>
    </row>
    <row r="19" spans="1:5" x14ac:dyDescent="0.25">
      <c r="A19" s="268" cm="1">
        <f t="array" ref="A19">oz.InventoryTurnoverRatioλ( 429, 50.7)</f>
        <v>8.4615384615384617</v>
      </c>
      <c r="B19" t="str">
        <f t="shared" si="0"/>
        <v>=oz.InventoryTurnoverRatioλ( 429, 50.7)</v>
      </c>
      <c r="D19" t="s">
        <v>461</v>
      </c>
      <c r="E19" t="s">
        <v>462</v>
      </c>
    </row>
    <row r="20" spans="1:5" x14ac:dyDescent="0.25">
      <c r="A20" s="268" cm="1">
        <f t="array" ref="A20">oz.WorkingCapitalTurnoverRatioλ( 12, 2)</f>
        <v>6</v>
      </c>
      <c r="B20" t="str">
        <f t="shared" si="0"/>
        <v>=oz.WorkingCapitalTurnoverRatioλ( 12, 2)</v>
      </c>
      <c r="D20" t="s">
        <v>463</v>
      </c>
      <c r="E20" t="s">
        <v>464</v>
      </c>
    </row>
    <row r="21" spans="1:5" x14ac:dyDescent="0.25">
      <c r="A21" s="268"/>
      <c r="D21" t="s">
        <v>402</v>
      </c>
      <c r="E21" t="s">
        <v>402</v>
      </c>
    </row>
    <row r="22" spans="1:5" x14ac:dyDescent="0.25">
      <c r="A22" s="268"/>
      <c r="B22" s="2" t="s">
        <v>440</v>
      </c>
      <c r="D22" t="s">
        <v>440</v>
      </c>
      <c r="E22" t="s">
        <v>402</v>
      </c>
    </row>
    <row r="23" spans="1:5" x14ac:dyDescent="0.25">
      <c r="A23" s="268" cm="1">
        <f t="array" ref="A23">oz.DebtRatioλ(30000000, 100000000)</f>
        <v>0.3</v>
      </c>
      <c r="B23" t="str">
        <f>_xlfn.FORMULATEXT(A23)</f>
        <v>=oz.DebtRatioλ(30000000, 100000000)</v>
      </c>
      <c r="D23" t="s">
        <v>465</v>
      </c>
      <c r="E23" t="s">
        <v>466</v>
      </c>
    </row>
    <row r="24" spans="1:5" x14ac:dyDescent="0.25">
      <c r="A24" s="268" cm="1">
        <f t="array" ref="A24">oz.DSCRλ(2150000, 350000)</f>
        <v>6.1428571428571432</v>
      </c>
      <c r="B24" t="str">
        <f>_xlfn.FORMULATEXT(A24)</f>
        <v>=oz.DSCRλ(2150000, 350000)</v>
      </c>
      <c r="D24" t="s">
        <v>467</v>
      </c>
      <c r="E24" t="s">
        <v>468</v>
      </c>
    </row>
    <row r="25" spans="1:5" x14ac:dyDescent="0.25">
      <c r="A25" s="268" cm="1">
        <f t="array" ref="A25">oz.DebtToCapitalRatioλ( 80000000, 223000000 )</f>
        <v>0.264026402640264</v>
      </c>
      <c r="B25" t="str">
        <f>_xlfn.FORMULATEXT(A25)</f>
        <v>=oz.DebtToCapitalRatioλ( 80000000, 223000000 )</v>
      </c>
      <c r="D25" t="s">
        <v>469</v>
      </c>
      <c r="E25" t="s">
        <v>470</v>
      </c>
    </row>
    <row r="26" spans="1:5" x14ac:dyDescent="0.25">
      <c r="A26" s="198" cm="1">
        <f t="array" ref="A26">oz.EquityMultiplierλ(366.6, 83.2 )</f>
        <v>4.40625</v>
      </c>
      <c r="B26" t="str">
        <f>_xlfn.FORMULATEXT(A26)</f>
        <v>=oz.EquityMultiplierλ(366.6, 83.2 )</v>
      </c>
      <c r="D26" t="s">
        <v>471</v>
      </c>
      <c r="E26" t="s">
        <v>472</v>
      </c>
    </row>
    <row r="27" spans="1:5" x14ac:dyDescent="0.25">
      <c r="D27" t="s">
        <v>402</v>
      </c>
      <c r="E27" t="s">
        <v>402</v>
      </c>
    </row>
    <row r="28" spans="1:5" x14ac:dyDescent="0.25">
      <c r="B28" s="2" t="s">
        <v>441</v>
      </c>
      <c r="D28" t="s">
        <v>441</v>
      </c>
      <c r="E28" t="s">
        <v>402</v>
      </c>
    </row>
    <row r="29" spans="1:5" x14ac:dyDescent="0.25">
      <c r="A29" s="268" cm="1">
        <f t="array" ref="A29">oz.DebtToEquityRatioλ(279, 74 )</f>
        <v>3.7702702702702702</v>
      </c>
      <c r="B29" t="str">
        <f>_xlfn.FORMULATEXT(A29)</f>
        <v>=oz.DebtToEquityRatioλ(279, 74 )</v>
      </c>
      <c r="D29" t="s">
        <v>473</v>
      </c>
      <c r="E29" t="s">
        <v>474</v>
      </c>
    </row>
    <row r="30" spans="1:5" x14ac:dyDescent="0.25">
      <c r="A30" s="268" cm="1">
        <f t="array" ref="A30">oz.DebtToAssetRatioλ(31.845, 63.852 )</f>
        <v>0.4987314414583725</v>
      </c>
      <c r="B30" t="str">
        <f t="shared" ref="B30:B32" si="1">_xlfn.FORMULATEXT(A30)</f>
        <v>=oz.DebtToAssetRatioλ(31.845, 63.852 )</v>
      </c>
      <c r="D30" t="s">
        <v>475</v>
      </c>
      <c r="E30" t="s">
        <v>476</v>
      </c>
    </row>
    <row r="31" spans="1:5" x14ac:dyDescent="0.25">
      <c r="A31" s="268" cm="1">
        <f t="array" ref="A31">oz.InterestCoverageRatioλ( 625, 90 )</f>
        <v>6.9444444444444446</v>
      </c>
      <c r="B31" t="str">
        <f t="shared" si="1"/>
        <v>=oz.InterestCoverageRatioλ( 625, 90 )</v>
      </c>
      <c r="D31" t="s">
        <v>477</v>
      </c>
      <c r="E31" t="s">
        <v>478</v>
      </c>
    </row>
    <row r="32" spans="1:5" x14ac:dyDescent="0.25">
      <c r="A32" s="268" cm="1">
        <f t="array" ref="A32">oz.EquityRatioλ( 20, 60, 10 )</f>
        <v>0.4</v>
      </c>
      <c r="B32" t="str">
        <f t="shared" si="1"/>
        <v>=oz.EquityRatioλ( 20, 60, 10 )</v>
      </c>
      <c r="D32" t="s">
        <v>479</v>
      </c>
      <c r="E32" t="s">
        <v>480</v>
      </c>
    </row>
    <row r="33" spans="1:5" x14ac:dyDescent="0.25">
      <c r="A33" s="268"/>
      <c r="D33" t="s">
        <v>402</v>
      </c>
      <c r="E33" t="s">
        <v>402</v>
      </c>
    </row>
    <row r="34" spans="1:5" x14ac:dyDescent="0.25">
      <c r="A34" s="268"/>
      <c r="B34" s="2" t="s">
        <v>442</v>
      </c>
      <c r="D34" t="s">
        <v>442</v>
      </c>
      <c r="E34" t="s">
        <v>402</v>
      </c>
    </row>
    <row r="35" spans="1:5" x14ac:dyDescent="0.25">
      <c r="A35" s="268" cm="1">
        <f t="array" ref="A35">oz.AssetTurnoverRatioλ( 171760, 538715 )</f>
        <v>0.31883277799949883</v>
      </c>
      <c r="B35" t="str">
        <f t="shared" ref="B35:B37" si="2">_xlfn.FORMULATEXT(A35)</f>
        <v>=oz.AssetTurnoverRatioλ( 171760, 538715 )</v>
      </c>
      <c r="D35" t="s">
        <v>481</v>
      </c>
      <c r="E35" t="s">
        <v>482</v>
      </c>
    </row>
    <row r="36" spans="1:5" x14ac:dyDescent="0.25">
      <c r="A36" s="268" cm="1">
        <f t="array" ref="A36">oz.DSIλ(54.9, 490 )</f>
        <v>40.894897959183673</v>
      </c>
      <c r="B36" t="str">
        <f t="shared" si="2"/>
        <v>=oz.DSIλ(54.9, 490 )</v>
      </c>
      <c r="D36" t="s">
        <v>483</v>
      </c>
      <c r="E36" t="s">
        <v>484</v>
      </c>
    </row>
    <row r="37" spans="1:5" x14ac:dyDescent="0.25">
      <c r="A37" s="268" cm="1">
        <f t="array" ref="A37">oz.OperatingRatioλ( 14.37, 48.48, 90.75 )</f>
        <v>0.69256198347107434</v>
      </c>
      <c r="B37" t="str">
        <f t="shared" si="2"/>
        <v>=oz.OperatingRatioλ( 14.37, 48.48, 90.75 )</v>
      </c>
      <c r="D37" t="s">
        <v>485</v>
      </c>
      <c r="E37" t="s">
        <v>486</v>
      </c>
    </row>
    <row r="38" spans="1:5" x14ac:dyDescent="0.25">
      <c r="A38" s="268"/>
      <c r="D38" t="s">
        <v>402</v>
      </c>
      <c r="E38" t="s">
        <v>402</v>
      </c>
    </row>
    <row r="39" spans="1:5" x14ac:dyDescent="0.25">
      <c r="A39" s="268"/>
      <c r="B39" s="2" t="s">
        <v>443</v>
      </c>
      <c r="D39" t="s">
        <v>443</v>
      </c>
      <c r="E39" t="s">
        <v>402</v>
      </c>
    </row>
    <row r="40" spans="1:5" x14ac:dyDescent="0.25">
      <c r="A40" s="268" cm="1">
        <f t="array" ref="A40">oz.GrossMarginλ( 62984, 102007 )</f>
        <v>0.61744782220827987</v>
      </c>
      <c r="B40" t="str">
        <f t="shared" ref="B40:B46" si="3">_xlfn.FORMULATEXT(A40)</f>
        <v>=oz.GrossMarginλ( 62984, 102007 )</v>
      </c>
      <c r="D40" t="s">
        <v>487</v>
      </c>
      <c r="E40" t="s">
        <v>488</v>
      </c>
    </row>
    <row r="41" spans="1:5" x14ac:dyDescent="0.25">
      <c r="A41" s="268" cm="1">
        <f t="array" ref="A41">oz.EBITDAMarginλ( 15, 125 )</f>
        <v>0.12</v>
      </c>
      <c r="B41" t="str">
        <f t="shared" si="3"/>
        <v>=oz.EBITDAMarginλ( 15, 125 )</v>
      </c>
      <c r="D41" t="s">
        <v>489</v>
      </c>
      <c r="E41" t="s">
        <v>490</v>
      </c>
    </row>
    <row r="42" spans="1:5" x14ac:dyDescent="0.25">
      <c r="A42" s="198" cm="1">
        <f t="array" ref="A42">oz.OperatingMarginλ( 0.8, 2 )</f>
        <v>0.4</v>
      </c>
      <c r="B42" t="str">
        <f t="shared" si="3"/>
        <v>=oz.OperatingMarginλ( 0.8, 2 )</v>
      </c>
      <c r="D42" t="s">
        <v>491</v>
      </c>
      <c r="E42" t="s">
        <v>492</v>
      </c>
    </row>
    <row r="43" spans="1:5" x14ac:dyDescent="0.25">
      <c r="A43" s="198" cm="1">
        <f t="array" ref="A43">oz.PretaxMarginλ( 40, 500 )</f>
        <v>0.08</v>
      </c>
      <c r="B43" t="str">
        <f t="shared" si="3"/>
        <v>=oz.PretaxMarginλ( 40, 500 )</v>
      </c>
      <c r="D43" t="s">
        <v>493</v>
      </c>
      <c r="E43" t="s">
        <v>494</v>
      </c>
    </row>
    <row r="44" spans="1:5" x14ac:dyDescent="0.25">
      <c r="A44" s="198" cm="1">
        <f t="array" ref="A44">oz.NetProfitMarginλ( 56, 100 )</f>
        <v>0.56000000000000005</v>
      </c>
      <c r="B44" t="str">
        <f t="shared" si="3"/>
        <v>=oz.NetProfitMarginλ( 56, 100 )</v>
      </c>
      <c r="D44" t="s">
        <v>495</v>
      </c>
      <c r="E44" t="s">
        <v>496</v>
      </c>
    </row>
    <row r="45" spans="1:5" x14ac:dyDescent="0.25">
      <c r="A45" s="198" cm="1">
        <f t="array" ref="A45">oz.CashFlowMarginλ( 2.695, 5.3 )</f>
        <v>0.50849056603773579</v>
      </c>
      <c r="B45" t="str">
        <f t="shared" si="3"/>
        <v>=oz.CashFlowMarginλ( 2.695, 5.3 )</v>
      </c>
      <c r="D45" t="s">
        <v>497</v>
      </c>
      <c r="E45" t="s">
        <v>498</v>
      </c>
    </row>
    <row r="46" spans="1:5" x14ac:dyDescent="0.25">
      <c r="A46" s="198" cm="1">
        <f t="array" ref="A46">oz.ROAλ(1200, 15000 )</f>
        <v>0.08</v>
      </c>
      <c r="B46" t="str">
        <f t="shared" si="3"/>
        <v>=oz.ROAλ(1200, 15000 )</v>
      </c>
      <c r="D46" t="s">
        <v>499</v>
      </c>
      <c r="E46" t="s">
        <v>500</v>
      </c>
    </row>
    <row r="47" spans="1:5" x14ac:dyDescent="0.25">
      <c r="A47" s="198" cm="1">
        <f t="array" ref="A47">oz.ROEλ( 59.972, AVERAGE(251.635, 256.144) )</f>
        <v>0.23621299817440264</v>
      </c>
      <c r="B47" t="str">
        <f>_xlfn.FORMULATEXT(A47)</f>
        <v>=oz.ROEλ( 59.972, AVERAGE(251.635, 256.144) )</v>
      </c>
      <c r="D47" t="s">
        <v>501</v>
      </c>
      <c r="E47" t="s">
        <v>502</v>
      </c>
    </row>
    <row r="48" spans="1:5" x14ac:dyDescent="0.25">
      <c r="A48" s="198" cm="1">
        <f t="array" ref="A48">oz.ROIλ( 2875, 10000 )</f>
        <v>0.28749999999999998</v>
      </c>
      <c r="B48" t="str">
        <f>_xlfn.FORMULATEXT(A48)</f>
        <v>=oz.ROIλ( 2875, 10000 )</v>
      </c>
      <c r="D48" t="s">
        <v>503</v>
      </c>
      <c r="E48" t="s">
        <v>504</v>
      </c>
    </row>
    <row r="49" spans="1:5" x14ac:dyDescent="0.25">
      <c r="A49" s="198" cm="1">
        <f t="array" ref="A49">oz.ROICλ( 3245, 25729 )</f>
        <v>0.12612227447627192</v>
      </c>
      <c r="B49" t="str">
        <f>_xlfn.FORMULATEXT(A49)</f>
        <v>=oz.ROICλ( 3245, 25729 )</v>
      </c>
      <c r="D49" t="s">
        <v>505</v>
      </c>
      <c r="E49" t="s">
        <v>506</v>
      </c>
    </row>
    <row r="50" spans="1:5" x14ac:dyDescent="0.25">
      <c r="A50" s="198"/>
      <c r="D50" t="s">
        <v>402</v>
      </c>
      <c r="E50" t="s">
        <v>402</v>
      </c>
    </row>
    <row r="51" spans="1:5" x14ac:dyDescent="0.25">
      <c r="B51" s="2" t="s">
        <v>444</v>
      </c>
      <c r="D51" t="s">
        <v>444</v>
      </c>
      <c r="E51" t="s">
        <v>402</v>
      </c>
    </row>
    <row r="52" spans="1:5" x14ac:dyDescent="0.25">
      <c r="A52" s="268" cm="1">
        <f t="array" ref="A52">oz.PriceEarningsRatioλ( 242.62, 16.85)</f>
        <v>14.39881305637982</v>
      </c>
      <c r="B52" t="str">
        <f>_xlfn.FORMULATEXT(A52)</f>
        <v>=oz.PriceEarningsRatioλ( 242.62, 16.85)</v>
      </c>
      <c r="D52" t="s">
        <v>507</v>
      </c>
      <c r="E52" t="s">
        <v>508</v>
      </c>
    </row>
    <row r="53" spans="1:5" x14ac:dyDescent="0.25">
      <c r="A53" s="268" cm="1">
        <f t="array" ref="A53">oz.PriceToBookRatioλ( 5, 2.5 )</f>
        <v>2</v>
      </c>
      <c r="B53" t="str">
        <f>_xlfn.FORMULATEXT(A53)</f>
        <v>=oz.PriceToBookRatioλ( 5, 2.5 )</v>
      </c>
      <c r="D53" t="s">
        <v>509</v>
      </c>
      <c r="E53" t="s">
        <v>510</v>
      </c>
    </row>
    <row r="54" spans="1:5" x14ac:dyDescent="0.25">
      <c r="A54" s="268" cm="1">
        <f t="array" ref="A54">oz.PriceToSalesRatioλ( 455, 100 )</f>
        <v>4.55</v>
      </c>
      <c r="B54" t="str">
        <f>_xlfn.FORMULATEXT(A54)</f>
        <v>=oz.PriceToSalesRatioλ( 455, 100 )</v>
      </c>
      <c r="D54" t="s">
        <v>511</v>
      </c>
      <c r="E54" t="s">
        <v>512</v>
      </c>
    </row>
    <row r="55" spans="1:5" x14ac:dyDescent="0.25">
      <c r="A55" s="268" cm="1">
        <f t="array" ref="A55">oz.PriceToCashRatioλ( 200, 100 )</f>
        <v>2</v>
      </c>
      <c r="B55" t="str">
        <f>_xlfn.FORMULATEXT(A55)</f>
        <v>=oz.PriceToCashRatioλ( 200, 100 )</v>
      </c>
      <c r="D55" t="s">
        <v>513</v>
      </c>
      <c r="E55" t="s">
        <v>514</v>
      </c>
    </row>
    <row r="56" spans="1:5" x14ac:dyDescent="0.25">
      <c r="A56" s="267" cm="1">
        <f t="array" ref="A56">oz.BVPSλ(20, 5, AVERAGE( 2.9, 3.1) )</f>
        <v>5</v>
      </c>
      <c r="B56" t="str">
        <f t="shared" ref="B56:B58" si="4">_xlfn.FORMULATEXT(A56)</f>
        <v>=oz.BVPSλ(20, 5, AVERAGE( 2.9, 3.1) )</v>
      </c>
      <c r="D56" t="s">
        <v>515</v>
      </c>
      <c r="E56" t="s">
        <v>516</v>
      </c>
    </row>
    <row r="57" spans="1:5" x14ac:dyDescent="0.25">
      <c r="A57" s="268" cm="1">
        <f t="array" ref="A57">oz.CAPERatioλ( 100, 10  )</f>
        <v>10</v>
      </c>
      <c r="B57" t="str">
        <f t="shared" si="4"/>
        <v>=oz.CAPERatioλ( 100, 10  )</v>
      </c>
      <c r="D57" t="s">
        <v>517</v>
      </c>
      <c r="E57" t="s">
        <v>518</v>
      </c>
    </row>
    <row r="58" spans="1:5" x14ac:dyDescent="0.25">
      <c r="A58" s="268" cm="1">
        <f t="array" ref="A58">oz.DPRλ( 5, 20 )</f>
        <v>0.25</v>
      </c>
      <c r="B58" t="str">
        <f t="shared" si="4"/>
        <v>=oz.DPRλ( 5, 20 )</v>
      </c>
      <c r="D58" t="s">
        <v>519</v>
      </c>
      <c r="E58" t="s">
        <v>520</v>
      </c>
    </row>
    <row r="59" spans="1:5" x14ac:dyDescent="0.25">
      <c r="A59" s="268" cm="1">
        <f t="array" ref="A59">oz.DividendYieldRatioλ( 1.2, 45 )</f>
        <v>2.6666666666666665E-2</v>
      </c>
      <c r="B59" t="str">
        <f>_xlfn.FORMULATEXT(A59)</f>
        <v>=oz.DividendYieldRatioλ( 1.2, 45 )</v>
      </c>
      <c r="D59" t="s">
        <v>521</v>
      </c>
      <c r="E59" t="s">
        <v>522</v>
      </c>
    </row>
    <row r="60" spans="1:5" x14ac:dyDescent="0.25">
      <c r="A60" s="268" cm="1">
        <f t="array" ref="A60">oz.EPSλ( 7.6, 0, 3.98 )</f>
        <v>1.9095477386934672</v>
      </c>
      <c r="B60" t="str">
        <f t="shared" ref="B60:B61" si="5">_xlfn.FORMULATEXT(A60)</f>
        <v>=oz.EPSλ( 7.6, 0, 3.98 )</v>
      </c>
      <c r="D60" t="s">
        <v>523</v>
      </c>
      <c r="E60" t="s">
        <v>524</v>
      </c>
    </row>
    <row r="61" spans="1:5" x14ac:dyDescent="0.25">
      <c r="A61" s="268" cm="1">
        <f t="array" ref="A61">oz.RetentionRatioλ( 41.981, 22.112)</f>
        <v>1.898561866859624</v>
      </c>
      <c r="B61" t="str">
        <f t="shared" si="5"/>
        <v>=oz.RetentionRatioλ( 41.981, 22.112)</v>
      </c>
      <c r="D61" t="s">
        <v>525</v>
      </c>
      <c r="E61" t="s">
        <v>526</v>
      </c>
    </row>
    <row r="62" spans="1:5" x14ac:dyDescent="0.25">
      <c r="A62" s="198"/>
      <c r="D62" t="s">
        <v>402</v>
      </c>
      <c r="E62" t="s">
        <v>402</v>
      </c>
    </row>
    <row r="63" spans="1:5" x14ac:dyDescent="0.25">
      <c r="D63" t="s">
        <v>527</v>
      </c>
      <c r="E63" t="s">
        <v>528</v>
      </c>
    </row>
    <row r="64" spans="1:5" x14ac:dyDescent="0.25">
      <c r="D64" t="s">
        <v>402</v>
      </c>
      <c r="E64" t="s">
        <v>402</v>
      </c>
    </row>
  </sheetData>
  <mergeCells count="2">
    <mergeCell ref="A1:K1"/>
    <mergeCell ref="A2:K2"/>
  </mergeCells>
  <hyperlinks>
    <hyperlink ref="A1" location="'TOC'!$A$1" display="'TOC'!$A$1" xr:uid="{B782A6BB-286B-46B1-81DB-8C4B9AD862BC}"/>
  </hyperlinks>
  <pageMargins left="0.7" right="0.7" top="0.75" bottom="0.75" header="0.3" footer="0.3"/>
  <pageSetup paperSize="9" scale="27" fitToHeight="0"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wB6AHoAaQB0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DAEIAUwBFACAAYwBvAG0AcABsAGkAYQBuAHQAIABMAEEATQBCAEQAQQBzACAAZABlAGEAbABpAG4AZwAgAHcAaQB0AGgAIABkAGEAdABlAHMALgAgAFMAdQBnAGcAZQBzAHQAZQBkACAAbQBvAGQAdQBsAGUAIABuAGEAbQBlADoAIABvAHoAtgBcACIAIAAmAFwAbgAgACAAIAAgACAAIAAgACAAXAAiAFYAZQByAHMAaQBvAG4AOgAgACAAIAAgACAAIAAgACAAIAAgACAAIAAgACAAIACSITIAMAAgAEEAdQBnACAAMgAwADIANgC2AFwAIgAgACYAXABuACAAIAAgACAAIAAgACAAIABcACIAUgBlAHAAbwBzAGkAdABvAHIAeQA6ACAAIAAgACAAIAAgACAAIAAgACAAIAAgACAAIACSIWgAdAB0AHAAcwA6AC8ALwBnAGkAdABoAHUAYgAuAGMAbwBtAC8AcgB5AGEAbgBkAHUAZwB1AGkAZAAvAE8AegB6AGkAdA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AgAFwAbgAgACAAIAAgACAAIAAgACAAXAAiAEYAaQBuAGEAbgBjAGkAYQBsAFkAZQBhAHIAuwMgACAAIAAgACAAIAAgACAAIACSIUwAYQBiAGUAbABzACAAZABhAHQAZQBzACAAdwBpAHQAaAAgAHQAaABlAGkAcgAgAEEAdQBzAHQAcgBhAGwAaQBhAG4AIABmAGkAbgBhAG4AYwBpAGEAbAAgAHkAZQBhAHIALAAgAHMAdABhAHIAdABpAG4AZwAgADEAIABKAHUAbAB5ALYAXAAiACAAJgBcAG4AIAAgACAAIAAgACAAIAAgAFwAIgCSIbYAXAAiACAAJgBcAG4AIAAgACAAIAAgACAAIAAgAFwAIgBEAEkAQQBHAE4ATwBTAFQASQBDAFMAIAAgACAAIAAgACAAIAAgACAAIAAgACAAkiFUAGgAZQBzAGUAIABmAHUAbgBjAHQAaQBvAG4AcwAgAGQAaQBhAGcAbgBvAHMAZQAgAHAAcgBvAGIAbABlAG0AcwAgAGkAbgAgAHQAaABlAGkAcgAgAGEAcwBzAG8AYwBpAGEAdABlACAAZgB1AG4AYwB0AGkAbwBuACcAcwAgAGEAcgBnAHUAbQBlAG4AdABzAC4AtgBcACIAIAAmACAAXABuACAAIAAgACAAIAAgACAAIAAgACAAIAAgACAAIAAgACAAIAAgACAAIAAgACAAIAAgACAAIAAgACAAIAAgACAAXAAiAJIhUwBoAG8AdQBsAGQAIABhACAAZgB1AG4AYwB0AGkAbwBuACAAbgBvAHQAIAB3AG8AcgBrACwAIABpAHQAIABtAGEAeQAgAGIAZQAgAGIAZQBjAGEAdQBzAGUAIAB0AGgAZQByAGUAIABpAHMAIABhACAAcAByAG8AYgBsAGUAbQAgAHcAaQB0AGgAIAB0AGgAZQAgAGEAcgBnAHUAbQBlAG4AdABzAC4AtgBcACIAIAAmACAAXABuACAAIAAgACAAIAAgACAAIAAgACAAIAAgACAAIAAgACAAIAAgACAAIAAgACAAIAAgACAAIAAgACAAIAAgACAAXAAiAJIhQQByAGcAdQBtAGUAbgB0ACAAcAByAG8AYgBsAGUAbQBzACAAYwBhAG4AIABpAG4AYwBsAHUAZABlACAAdABlAHgAdAAgAHcAaABlAHIAZQAgAG4AdQBtAGIAZQByAHMAIABzAGgAbwB1AGwAZAAgAGIAZQAsACAAaQBuAHYAYQBsAGkAZAAgAGQAYQB0AGUAcwAsACAAZQB0AGMALgC2AFwAIgAgACYAIABcAG4AIAAgACAAIAAgACAAIAAgACAAIAAgACAAIAAgACAAIAAgACAAIAAgACAAIAAgACAAIAAgACAAIAAgACAAIABcACIAkiFUAG8AIABzAGUAZQAgAGkAZgAgAHkAbwB1ACAAaABhAHYAZQAgAGEAcgBnAHUAbQBlAG4AdAAgAHAAcgBvAGIAbABlAG0AcwAsACAAaQBuAHMAZQByAHQAIAAnAEQAVgAnACAAYgBlAHQAdwBlAGUAbgAgACcAuwMnACAAYQBuAGQAIAAnACgAJwAuACAAtgBcACIAIAAmACAAXABuACAAIAAgACAAIAAgACAAIAAgACAAIAAgACAAIAAgACAAIAAgACAAIAAgACAAIAAgACAAIAAgACAAIAAgACAAXAAiAJIhSABlAHIAZQAgAGkAcwAgAGEAbgAgAGUAeABhAG0AcABsAGUAOgAgAEMAbwB1AG4AdABEAE8AVwC7A0QAVgAoACAAUwB0AGEAcgB0ACwAIABFAG4AZAAsACAAMQApAC4AIABIAGkAdAAgAGUAbgB0AGUAcgAgAHQAbwAgAHIAdQBuACAAZABpAGEAZwBuAG8AcwB0AGkAYwBzAC4AtgBcACIAIAAmACAAXABuACAAIAAgACAAIAAgACAAIAAgACAAIAAgACAAIAAgACAAIAAgACAAIAAgACAAIAAgACAAIAAgACAAIAAgACAAXAAiAJIhVwBoAGUAbgAgAGYAaQBuAGkAcwBoAGUAZAAsACAAcgBlAG0AbwB2AGUAIAAnAEQAVgAnACAAdABvACAAcgBlAHQAdQByAG4AIAB0AGgAZQAgAGYAdQBuAGMAdABpAG8AbgAgAHQAbwAgAG4AbwByAG0AYQBsACAAbwBwAGUAcgBhAHQAaQBvAG4AtgBcACIAIAAmACAAXABuACAAIAAgACAAIAAgACAAIABcACIAQwBvAHUAbgB0AEQATwBXALsDRABWACAAIAAgACAAIAAgACAAIAAgACAAIAAgAJIhtgBcACIAIAAmAFwAbgAgACAAIAAgACAAIAAgACAAXAAiAEkAcwBCAGUAdAB3AGUAZQBuALsDRABWACAAIAAgACAAIAAgACAAIAAgACAAIACSIbYAXAAiACAAJgBcAG4AIAAgACAAIAAgACAAIAAgAFwAIgBJAHMATwBjAGMAdQByAHIAZQBuAGMAZQBEAGEAdABlALsDRABWACAAIAAgACAAkiG2AFwAIgAgACYAXABuACAAIAAgACAAIAAgACAAIABcACIATwB2AGUAcgBMAGEAcABEAGEAeQBzALsDRABWACAAIAAgACAAIAAgACAAIAAgAJIhtgBcACIAIAAmAFwAbgAgACAAIAAgACAAIAAgACAAXAAiAFAAZQByAGkAbwBkAHMAuwNEAFYAIAAgACAAIAAgACAAIAAgACAAIAAgACAAIACSIbYAXAAiACAAJgBcAG4AIAAgACAAIAAgACAAIAAgAFwAIgBQAGUAcgBpAG8AZABMAGEAYgBlAGwAuwNEAFYAIAAgACAAIAAgACAAIAAgACAAkiG2AFwAIgAgACYAXABuACAAIAAgACAAIAAgACAAIABcACIAUwBjAGgAZQBkAHUAbABlAFIAYQB0AGUAcwC7A0QAVgAgACAAIAAgACAAIAAgAJIhtgBcACIAIAAmAFwAbgAgACAAIAAgACAAIAAgACAAXAAiAFMAYwBoAGUAZAB1AGwAZQBSAGEAdABlAHMAQgB5AEkAdABlAG0AcwC7A0QAVgCSIbYAXAAiACAAJgBcAG4AIAAgACAAIAAgACAAIAAgAFwAIgBTAGMAaABlAGQAdQBsAGUAVgBhAGwAdQBlAHMAuwNEAFYAIAAgACAAIAAgACAAkiG2AFwAIgAgACYAXABuACAAIAAgACAAIAAgACAAIABcACIAUwBjAGgAZQBkAHUAbABlAFYAYQBsAHUAZQBzAEIAeQBJAHQAZQBtAHMAuwNEAFYAkiG2AFwAIgAgACYAXABuACAAIAAgACAAIAAgACAAIABcACIAVABpAG0AZQBsAGkAbgBlALsDIAAgACAAIAAgACAAIAAgACAAIAAgACAAIAAg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MAIAAgACAAIAAgACAAIAAgACAAIAAgACAAIAAgAJIhPQBvAHoALgBDAG8AdQBuAHQARABPAFcAuwMoAFwAIgBcACIAMgAzAC8ANwAvADIAMAAyADYAXAAiAFwAIgAsACAAXAAiAFwAIgAxADEALwA4AC8AMgAwADIAN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GAEEATABTAEUAIAAgACAAIAAgACAAIAAgACAAIACSIT0AbwB6AC4ASQBzAEIAZQB0AHcAZQBlAG4AuwMoADEALAAgADIALAAgADQAKQC2AFwAIgAgACYAIABcAG4AIAAgACAAIAAgACAAIAAgACAAIAAgACAAIAAgACAAIAAgACAAIAAgACAAIAAgACAAXAAiAFQAUgBVAEUAIAAgACAAIAAgACAAIAAgACAAIAAgAJIhPQBvAHoALgBJAHMAQgBlAHQAdwBlAGUAbgC7AygAVABvAGQAYQB5ACgAKQAsACAAVABvAGQAYQB5ACgAKQAsACAAVABvAGQAYQB5ACgAKQArADEAKQC2AFwAIgAgACYAIABcAG4AIAAgACAAIAAgACAAIAAgACAAIAAgACAAIAAgACAAIAAgACAAIAAgACAAIAAgACAAXAAiAEYAQQBMAFMARQAgACAAIAAgACAAIAAgACAAIAAgAJIhPQBvAHo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cAMgAgACAAIAAgACAAIAAgACAAIAAgACAAIAAgAJIhPQBTAFUATQAoAE4AKABvAHoALgBJAHMATwBjAGMAdQByAHIAZQBuAGMAZQBEAGEAdABlALsDKABTAEUAUQBVAEUATgBDAEUAKAAsADkAMAAsAFwAIgBcACIAMQAvADcALwAyADAAMgA2AFwAIgBcACIAKQAsACAAXAAiAFwAIgAxAC8ANwAvADIAMAAyADYAXAAiAFwAIgAsACAAXAAiAFwAIgAxADAALwA5AC8AMgAwADIANgBcACIAXAAiACwAIABcACIAXAAiAEQAXAAiAFwAIgApACkAKQC2AFwAIgAgACYAXABuACAAIAAgACAAIAAgACAAIAAgACAAIAAgACAAIAAgACAAIAAgACAAIAAgACAAIAAgAFwAIgAwADEAIAAgACAAIAAgACAAIAAgACAAIAAgACAAIACSIT0AUwBVAE0AKABOACgAbwB6AC4ASQBzAE8AYwBjAHUAcgByAGUAbgBjAGUARABhAHQAZQC7AygAUwBFAFEAVQBFAE4AQwBFACgALAA5ADAALABcACIAXAAiADEALwA3AC8AMgAwADIANgBcACIAXAAiACkALAAgAFwAIgBcACIAMQAvADcALwAyADAAMgA2AFwAIgBcACIALAAgAFwAIgBcACIAMQAwAC8AOQAvADIAMAAyADYAXAAiAFwAIgAsACAAXAAiAFwAIgBPAFwAIgBcACIAKQApACkAtgBcACIAIAAmAFwAbgAgACAAIAAgACAAIAAgACAAIAAgACAAIAAgACAAIAAgACAAIAAgACAAIAAgACAAIABcACIAMQAxACAAIAAgACAAIAAgACAAIAAgACAAIAAgACAAkiE9AFMAVQBNACgATgAoAG8AegAuAEkAcwBPAGMAYwB1AHIAcgBlAG4AYwBlAEQAYQB0AGUAuwMoAFMARQBRAFUARQBOAEMARQAoACwAOQAwACwAXAAiAFwAIgAxAC8ANwAvADIAMAAyADYAXAAiAFwAIgApACwAIABcACIAXAAiADEALwA3AC8AMgAwADIANgBcACIAXAAiACwAIABcACIAXAAiADEAMAAvADkALwAyADAAMgA2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NQAgACAAIAAgACAAIAAgACAAIAAgACAAIAAgACAAkiE9AG8AegAuAE8AdgBlAHIATABhAHAARABhAHkAcwC7AygAMAA4ACwAIAAxADQALAAgADEAMAAsACAAMQA3ACkAtgBcACIAIAAmACAAXABuACAAIAAgACAAIAAgACAAIAAgACAAIAAgACAAIAAgACAAIAAgACAAIAAgACAAIAAgAFwAIgA4ACAAIAAgACAAIAAgACAAIAAgACAAIAAgACAAIACSIT0AbwB6AC4ATwB2AGUAcgBMAGEAcABEAGEAeQBzALsDKAAxADAALAAgADIAMAAsACAAMQAxACwAIAAxADgAKQC2AFwAIgAgACYAIABcAG4AIAAgACAAIAAgACAAIAAgACAAIAAgACAAIAAgACAAIAAgACAAIAAgACAAIAAgACAAXAAiADIAIAAgACAAIAAgACAAIAAgACAAIAAgACAAIAAgAJIhPQBvAHoALgBPAHYAZQByAEwAYQBwAEQAYQB5AHMAuwMoAFwAIgBcACIAMQA3AC8ANwAvADIAMAAyADYAXAAiAFwAIgAsACAAXAAiAFwAIgAyADUALwA3AC8AMgAwADIANgBcACIAXAAiACwAIABcACIAXAAiADcALwA3AC8AMgAwADIANgBcACIAXAAiACwAIABcACIAXAAiADEAOAAvADcALwAyADAAMgA2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QwB2AHQAUAAyAEUAbgBkACAAPAA9ACAAQwB2AHQAUAAxAEUAbgBkACwAIABDAHYAdABQADIARQBuAGQALAAgAEMAdgB0AFAAMQBFAG4AZAApACwAXABuACAAIAAgACAAIAAgACAAIABNAGEAeABPAGYAUwB0AGEAcgB0ACwAIABJAEYAKABDAHYAdABQADIAUwB0AGEAcgB0ACAAPgA9ACAAQwB2AHQAUAAxAFMAdABhAHIAdAAsACAAQwB2AHQAUAAyAFMAdABhAHIAdAAsACAAQwB2AHQAU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MgAwADIANgAtAEEAdQBnAC0AMgA2ACAAIAAgACAAkiE9AG8AegAuAFAAZQByAGkAbwBkAEwAYQBiAGUAbAC7AygARABBAFQARQBWAEEATABVAEUAKABcACIAXAAiADIANgAvADgALwAyADAAMgA2AFwAIgBcACIAKQAsACAAXAAiAFwAIgBEAFwAIgBcACIAKQC2AFwAIgAgACYAXABuACAAIAAgACAAIAAgACAAIAAgACAAIAAgACAAIAAgACAAIAAgACAAIAAgACAAIAAgAFwAIgAyADAAMgA2AC0AQQB1AGcAIAAgACAAIAAgACAAIACSIT0AbwB6AC4AUABlAHIAaQBvAGQATABhAGIAZQBsALsDKABEAEEAVABFAFYAQQBMAFUARQAoAFwAIgBcACIAMgA2AC8AOAAvADIAMAAyADYAXAAiAFwAIgApACwAIABcACIAXAAiAE0AXAAiAFwAIgApALYAXAAiACAAJgAgAFwAbgAgACAAIAAgACAAIAAgACAAIAAgACAAIAAgACAAIAAgACAAIAAgACAAIAAgACAAIABcACIAMgAwADIANgA6AFEAMwAgACAAIAAgACAAIAAgAJIhPQBvAHoALgBQAGUAcgBpAG8AZABMAGEAYgBlAGwAuwMoAEQAQQBUAEUAVgBBAEwAVQBFACgAXAAiAFwAIgAyADYALwA4AC8AMgAwADIANgBcACIAXAAiACkALAAgAFwAIgBcACIAUQBcACIAXAAiACkAtgBcACIAIAAmACAAXABuACAAIAAgACAAIAAgACAAIAAgACAAIAAgACAAIAAgACAAIAAgACAAIAAgACAAIAAgAFwAIgAyADAAMgA2ACAAIAAgACAAIAAgACAAIAAgACAAIACSIT0AbwB6AC4AUABlAHIAaQBvAGQATABhAGIAZQBsALsDKABEAEEAVABFAFYAQQBMAFUARQAoAFwAIgBcACIAMgA2AC8AOAAvADIAMAAyADYAXAAiAFwAIgApACwAIABcACIAXAAiAFkAXAAiAFwAIg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hAHQAZQ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LAAgACAAIAAgACAAIAAgACAASQBGACgAIABJAFMATwBNAEkAVABUAEUARAAoACAARABhAHQAZQApACwAIABcAG4AIAAgACAAIAAgACAAIAAgACAAIAAgACAAIAAgACAAIAAgACAAIAAgACAAIAAgACAAIAAgACAAIABGAEEATABTAEUALABcAG4AIAAgACAAIAAgACAAIAAgACAAIAAgACAAIAAgACAAIAAgACAAIAAgACAAIAAgACAAIAAgACAAIABJAEYAKAAgAEkAUwBOAFUATQBCAEUAUgAoACAARABhAHQAZQApACwAIABEAGEAdABlACwAIABEAEEAVABFAFYAQQBMAFUARQAoACAARABhAHQAZQApACkAXABuACAAIAAgACAAIAAgACAAIAAgACAAIAAgACAAIAAgACAAIAAgACAAIAAgACAAIAAgACkALABcAG4AIAAgACAAIAAgACAAIAAgAEkAbgB0AGUAcgB2AGEAbAAsACAAIAAgACAAIAAgACAAIAAgAEkARgAoACAASQBTAE8ATQBJAFQAVABFAEQAKAAgAEkAbgB0AGUAcgB2AGEAbAApACwAIABcACIATQBcACIALAAgAEkAbgB0AGUAcgB2AGEAbAApACwAXABuACAAIAAgACAALwAvACAAIABQAHIAbwBjAGUAZAB1AHIAZQBcAG4AIAAgACAAIAAgACAAIAAgAFIAZQBzAHUAbAB0ACwAIAAgACAAIAAgAFMAVwBJAFQAQwBIACgASQBuAHQAZQByAHYAYQBsACwAXABuACAAIAAgACAAIAAgACAAIAAgACAAIAAgACAAIAAgACAAIAAgACAAIAAgACAAIAAgAFwAIgBEAFwAIgAsACAAVABFAFgAVAAoAEMAdgB0AEQAYQB0AGUALAAgAFwAIgB5AHkAeQB5AC0AbQBtAG0ALQBkAGQAXAAiACkALABcAG4AIAAgACAAIAAgACAAIAAgACAAIAAgACAAIAAgACAAIAAgACAAIAAgACAAIAAgACAAXAAiAFcAXAAiACwAIABZAEUAQQBSACgAQwB2AHQARABhAHQAZQApACAAJgAgAFwAIgA6AFcAXAAiACAAJgAgAFQARQBYAFQAKABRAFUATwBUAEkARQBOAFQAKABDAHYAdABEAGEAdABlACAALQAgAEQAQQBUAEUAKABZAEUAQQBSACgAQwB2AHQARABhAHQAZQApACwAIAAxACwAIAAwACkAIAAtACAAMQAsACAANwApACAAKwAgADEALAAgAFwAIgAwADAAXAAiACkALABcAG4AIAAgACAAIAAgACAAIAAgACAAIAAgACAAIAAgACAAIAAgACAAIAAgACAAIAAgACAAXAAiAEkAXAAiACwAIABZAEUAQQBSACgAQwB2AHQARABhAHQAZQApACAAJgAgAFwAIgA6AFcAXAAiACAAJgAgAFQARQBYAFQAKABJAFMATwBXAEUARQBLAE4AVQBNACgAQwB2AHQARABhAHQAZQApACwAIABcACIAMAAwAFwAIgApACwAXABuACAAIAAgACAAIAAgACAAIAAgACAAIAAgACAAIAAgACAAIAAgACAAIAAgACAAIAAgAFwAIgBNAFwAIgAsACAAVABFAFgAVAAoAEMAdgB0AEQAYQB0AGUALAAgAFwAIgBZAFkAWQBZAC0ATQBNAE0AXAAiACkALABcAG4AIAAgACAAIAAgACAAIAAgACAAIAAgACAAIAAgACAAIAAgACAAIAAgACAAIAAgACAAXAAiAFEAXAAiACwAIABZAEUAQQBSACgAQwB2AHQARABhAHQAZQApACAAJgAgAFwAIgA6AFEAXAAiACAAJgAgAFEAVQBPAFQASQBFAE4AVAAoAE0ATwBOAFQASAAoAEMAdgB0AEQAYQB0AGUAKQAgAC0AIAAxACwAIAAzACkAIAArACAAMQAsAFwAbgAgACAAIAAgACAAIAAgACAAIAAgACAAIAAgACAAIAAgACAAIAAgACAAIAAgACAAIABcACIAUwBcACIALAAgAFkARQBBAFIAKABDAHYAdABEAGEAdABlACkAIAAmACAAXAAiADoAUwBcACIAIAAmACAAUQBVAE8AVABJAEUATgBUACgATQBPAE4AVABIACgAQwB2AHQARABhAHQAZQApACAALQAgADEALAAgADYAKQAgACsAIAAxACwAXABuACAAIAAgACAAIAAgACAAIAAgACAAIAAgACAAIAAgACAAIAAgACAAIAAgACAAIAAgAFwAIgBBAFwAIgAsACAAVABFAFgAVAAoAEMAdgB0AEQAYQB0AGUALAAgAFwAIgBZAFkAWQBZAFwAIgApACwAXABuACAAIAAgACAAIAAgACAAIAAgACAAIAAgACAAIAAgACAAIAAgACAAIAAgACAAIAAgAFwAIgBZAFwAIgAsACAAVABFAFgAVAAoAEMAdgB0AEQAYQB0AGUALAAgAFwAIgBZAFkAWQBZAFwAIgApACwAIAAgACAAIAAgACAAIAAgACAAIAAgACAAIAAgACAAIAAgACAAIAAgACAAIAAgACAAIAAgACAAIABcAG4AIAAgACAAIAAgACAAIAAgACAAIAAgACAAIAAgACAAIAAgACAAIAAgACAAIAAgACAAIwBWAGEAbAB1AGUAI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HMAuwNcAG4AIAAgACAAIABEAEUAUwBDAFIASQBQAFQASQBPAE4AOgAqAC8ALwAqACoARABlAHQAZQByAG0AaQBuAGUAIAB0AGgAZQAgAG4AdQBtAGIAZQByACAAbwBmACAAcABlAHIAaQBvAGQAcwAgAGYAcgBvAG0AIABTAHQAYQByAHQAcwAgAHQAbwAgAEQAYQB0AGUAMgAgAGkAbgAgAEQAYQB5AHMALAAgAFcAZQBlAGsAcwAsACAATQBvAG4AdABoAHMALAAgAFEAdQBhAHIAdABlAHIAcwAsACAAbwByACAAWQBlAGEAcgBzAC4AKgAvAFwAbgBQAGUAcgBpAG8AZABzALsDIAA9ACAATABBAE0AQgBEAEEAKABcAG4ALwAvACAAIABQAGEAcgBhAG0AZQB0AGUAcgAgAEQAZQBjAGwAYQByAGEAdABpAG8AbgBzAFwAbgAgACAAIAAgAFsAUwB0AGEAcgB0AHMAXQAsAFwAbgAgACAAIAAgAFsARQBuAGQAcwBdACwAXABuACAAIAAgACAAWwBJAG4AdABlAHIAdgBhAGw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cwC7AygAUwB0AGEAcgB0AHMALAAgAEUAbgBkAHMALAAgAFsASQBuAHQAZQByAHYAYQBsAHMAXQApALYAXAAiACAAJgBcAG4AIAAgACAAIAAgACAAIAAgACAAIAAgACAAIAAgACAAIAAgACAAIAAgACAAIAAgACAAXAAiAEQARQBTAEMAUgBJAFAAVABJAE8ATgA6ACAAIAAgAJIhRABlAHQAZQByAG0AaQBuAGUAIAB0AGgAZQAgAG4AdQBtAGIAZQByACAAbwBmACAAcABlAHIAaQBvAGQAcwAgAGYAcgBvAG0AIABkAGEAdABlADEAIAB0AG8AIABkAGEAdABlACAAMgAgAGkAbgBjAGwAdQBzAGkAdgBlAC4AtgBcACIAIAAmAFwAbgAgACAAIAAgACAAIAAgACAAIAAgACAAIAAgACAAIAAgACAAIAAgACAAIAAgACAAIAAgACAAIAAgACAAIAAgACAAIAAgACAAIAAgACAAIABcACIAkiFEAGkAZgBmAGUAcgBlAG4AYwBlAHMAIAB0AG8AIABFAHgAYwBlAGwANAAuADAAJwBzACAARABhAHQAZQBEAGkAZ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RABhAHQAZQAxACAAaQBzACAAYQBmAHQAZQByACAARABhAHQAZQAy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VABoAGkAcwAgAGMAYQBuACAAYgBlACAAYQAgAHMAaQBuAGcAbABlACAAbgB1AG0AYgBlAHIAIABvAHIAIABhAHIAcgBhAHkALgC2AFwAIgAgACYAXABuACAAIAAgACAAIAAgACAAIAAgACAAIAAgACAAIAAgACAAIAAgACAAIAAgACAAIAAgAFwAIgBFAG4AZABzACAAIAAgACAAIAAgACAAIAAgACAAIACSISgAUgBlAHEAdQBpAHIAZQBkACkAIABTAGUAYwBvAG4AZAAgAGQAYQB0AGUAIAAoAG4AbwByAG0AYQBsAGwAeQAgAG4AZQB3AGUAcgApAC4AIABUAGgAaQBzACAAbQB1AHMAdAAgAGIAZQAgAHQAaABlACAAcwBhAG0AZQAgAHMAaABhAHAAZQAgACgAIwAgAG8AZgAgAHIAbwB3AHMAIAAmACAAYwBvAGwAdQBtAG4AcwApACAAYQBzACAARABhAHQAZQAx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CSIT0AbwB6AC4AUABlAHIAaQBvAGQAcwC7AygAXAAiAFwAIgAzADEALwA3AC8AMgAwADIANgBcACIAXAAiACwAIABcACIAXAAiADEANQAvADkALwAyADAAMgA2AFwAIgBcACIAKQC2AFwAIgAgACYAXABuACAAIAAgACAAIAAgACAAIAAgACAAIAAgACAAIAAgACAAIAAgACAAIAAgACAAIAAgAFwAIgAtADIAIAAgACAAIAAgACAAIAAgACAAIAAgACAAIACSIT0AbwB6AC4AUABlAHIAaQBvAGQAcwC7AygAXAAiAFwAIgAxADUALwA5AC8AMgAwADIANgBcACIAXAAiACwAIABcACIAXAAiADMAMQAvADcALwAyADAAMgA2AFwAIgBcACIAKQC2AFwAIgAgACYAXABuACAAIAAgACAAIAAgACAAIAAgACAAIAAgACAAIAAgACAAIAAgACAAIAAgACAAIAAgAFwAIgAtADEAMgAgACAAIAAgACAAIAAgACAAIAAgACAAIACSIT0AbwB6AC4AUABlAHIAaQBvAGQAcwC7AygAXAAiAFwAIgAxADUALwA3AC8AMgAwADIANwBcACIAXAAiACwAIABcACIAXAAiADEANgAvADcALwAyADAAMgA2AFwAIgBcACIAKQC2AFwAIgAgACYAXABuACAAIAAgACAAIAAgACAAIAAgACAAIAAgACAAIAAgACAAIAAgACAAIAAgACAAIAAgAFwAIgAtADUAMgAgACAAIAAgACAAIAAgACAAIAAgACAAIACSIT0AbwB6AC4AUABlAHIAaQBvAGQAcwC7AygAXAAiAFwAIgAxADUALwA3AC8AMgAwADIANwBcACIAXAAiACwAIABcACIAXAAiADEANgAvADcALwAyADAAMgA2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XABuACAAIAAgACAAIAAgACAAIABSAG8AdwBzACwAIAAgACAAIAAgACAAIABNAEEAWAAoACAAUgBPAFcAUwAoACAAQwB2AHQAUwB0AGEAcgB0AHMAKQAsACAAUgBPAFcAUwAoACAAQwB2AHQARQBuAGQAcwApACkALAAgAFwAbgAgACAAIAAgACAAIAAgACAAQwBvAGwAcwAsACAAIAAgACAAIAAgACAATQBBAFgAKAAgAEMATwBMAFUATQBOAFMAKAAgAEMAdgB0AFMAdABhAHIAdABzACkALAAgAEMATwBMAFUATQBOAFMAKAAgAEMAdgB0AEUAbgBkAHMAKQApACwAIABcAG4AIAAgACAAIAAgACAAIAAgAFIAZQBzAHUAbAB0ACwAIAAgACAAIAAgAE0AQQBLAEUAQQBSAFIAQQBZACgAUgBvAHcAcwAsACAAQwBvAGwAcwAsACAAXABuACAAIAAgACAAIAAgACAAIAAgACAAIAAgACAAIAAgACAAIAAgACAAIAAgACAAIAAgAEwAQQBNAEIARABBACgAUgAsACAAQwAsACAAXABuACAAIAAgACAAIAAgACAAIAAgACAAIAAgACAAIAAgACAAIAAgACAAIAAgACAAIAAgACAAIAAgACAATABFAFQAKABEAGEAdABlAE8AbgBlACwAIAAgACAAIABJAEYAKAAgAEMATwBVAE4AVABBACgAIABDAHYAdABTAHQAYQByAHQAcwApACAAPQAgADEALAAgAEMAdgB0AFMAdABhAHIAdABzACwAIABJAE4ARABFAFgAKAAgAEMAdgB0AFMAdABhAHIAdABzACwAIABSACwAIABDACkAKQAsACAAXABuACAAIAAgACAAIAAgACAAIAAgACAAIAAgACAAIAAgACAAIAAgACAAIAAgACAAIAAgACAAIAAgACAAIAAgACAAIABEAGEAdABlAFQAdwBvACwAIAAgACAAIABJAEYAKAAgAEMATwBVAE4AVABBACgAIABDAHYAdABFAG4AZABzACkAIAA9ACAAMQAsACAAQwB2AHQARQBuAGQAcwAsACAASQBOAEQARQBYACgAIABDAHYAdABFAG4AZABzACwAIABSACwAIABDACkAKQAsAFwAbgAgACAAIAAgACAAIAAgACAAIAAgACAAIAAgACAAIAAgACAAIAAgACAAIAAgACAAIAAgACAAIAAgACAAIAAgACAASQBuAHQAZQByAHYAYQBsACwAIAAgACAASQBGACgAIABDAE8AVQBOAFQAQQAoACAASQBuAHQAZQByAHYAYQBsAHMAKQAgAD0AIAAxACwAIABJAG4AdABlAHIAdgBhAGwAcwAsACAASQBOAEQARQBYACgAIABJAG4AdABlAHIAdgBhAGwAcwAsACAAUgAsACAAQwApACkALABcAG4AIAAgACAAIAAgACAAIAAgACAAIAAgACAAIAAgACAAIAAgACAAIAAgACAAIAAgACAAIAAgACAAIAAgACAAIAAgAEUAYQByAGwAaQBlAHMAdAAsACAAIAAgAE0ASQBOACgARABhAHQAZQBPAG4AZQAsACAARABhAHQAZQBUAHcAbwApACwAXABuACAAIAAgACAAIAAgACAAIAAgACAAIAAgACAAIAAgACAAIAAgACAAIAAgACAAIAAgACAAIAAgACAAIAAgACAAIABMAGEAdABlAHMAdAAsACAAIAAgACAAIABNAEEAWAAoAEQAYQB0AGUATwBuAGUALAAgAEQAYQB0AGUAVAB3AG8AKQAsAFwAbgAgACAAIAAgACAAIAAgACAAIAAgACAAIAAgACAAIAAgACAAIAAgACAAIAAgACAAIAAgACAAIAAgACAAIAAgACAAUwBpAGcAbgAsACAAIAAgACAAIAAgACAAUwBJAEcATgAoAEQAYQB0AGUAVAB3AG8AIAAtACAARABhAHQAZQBPAG4AZQApACwAXABuACAAIAAgACAAIAAgACAAIAAgACAAIAAgACAAIAAgACAAIAAgACAAIAAgACAAIAAgACAAIAAgACAAIAAgACAAIABQAGUAcgBpAG8AZABzACwAIAAgACAAIABTAHcAaQB0AGMAaAAoAEkAbgB0AGUAcgB2AGEAbAAsACAAIAAgAFwAbgAgACAAIAAgACAAIAAgACAAIAAgACAAIAAgACAAIAAgACAAIAAgACAAIAAgACAAIAAgACAAIAAgACAAIAAgACAAIAAgACAAIAAgACAAIAAgACAAIAAgACAAIAAgACAAIABcACIARABcACIALAAgAEwAYQB0AGUAcwB0ACAALQAgAEUAYQByAGwAaQBlAHMAdAAsAFwAbgAgACAAIAAgACAAIAAgACAAIAAgACAAIAAgACAAIAAgACAAIAAgACAAIAAgACAAIAAgACAAIAAgACAAIAAgACAAIAAgACAAIAAgACAAIAAgACAAIAAgACAAIAAgACAAIABcACIAVwBcACIALAAgAFcAUABZACAAKgAgACgAWQBFAEEAUgAoAEwAYQB0AGUAcwB0ACkAIAAtACAAWQBFAEEAUgAoAEUAYQByAGwAaQBlAHMAdAApACkAXABuACAAIAAgACAAIAAgACAAIAAgACAAIAAgACAAIAAgACAAIAAgACAAIAAgACAAIAAgACAAIAAgACAAIAAgACAAIAAgACAAIAAgACAAIAAgACAAIAAgACAAIAAgACAAIAAgACAAIAAgACAAIAArACAAUQBVAE8AVABJAEUATgBUACgATABhAHQAZQBzAHQAIAAgACAALQAgAEQAQQBUAEUAKABZAEUAQQBSACgATABhAHQAZQBzAHQAKQAsACAAIAAgADEALAAgADAAKQAgAC0AIAAxACwAIABEAFAAVwApAFwAbgAgACAAIAAgACAAIAAgACAAIAAgACAAIAAgACAAIAAgACAAIAAgACAAIAAgACAAIAAgACAAIAAgACAAIAAgACAAIAAgACAAIAAgACAAIAAgACAAIAAgACAAIAAgACAAIAAgACAAIAAgACAALQAgAFEAVQBPAFQASQBFAE4AVAAoAEUAYQByAGwAaQBlAHMAdAAgAC0AIABEAEEAVABFACgAWQBFAEEAUgAoAEUAYQByAGwAaQBlAHMAdAApACwAIAAxACwAIAAwACkAIAAtACAAMQAsACAARABQAFcAKQAsAFwAbgAgACAAIAAgACAAIAAgACAAIAAgACAAIAAgACAAIAAgACAAIAAgACAAIAAgACAAIAAgACAAIAAgACAAIAAgACAAIAAgACAAIAAgACAAIAAgACAAIAAgACAAIAAgACAAIABcACIATQBcACIALAAgAE0AUABZACAAKgAgACgAWQBFAEEAUgAoAEwAYQB0AGUAcwB0ACkAIAAtACAAWQBFAEEAUgAoAEUAYQByAGwAaQBlAHMAdAApACkAXABuACAAIAAgACAAIAAgACAAIAAgACAAIAAgACAAIAAgACAAIAAgACAAIAAgACAAIAAgACAAIAAgACAAIAAgACAAIAAgACAAIAAgACAAIAAgACAAIAAgACAAIAAgACAAIAAgACAAIAAgACAAIAArACAATQBPAE4AVABIACgATABhAHQAZQBzAHQAKQAgAC0AIABNAE8ATgBUAEgAKABFAGEAcgBsAGkAZQBzAHQAKQAsAFwAbgAgACAAIAAgACAAIAAgACAAIAAgACAAIAAgACAAIAAgACAAIAAgACAAIAAgACAAIAAgACAAIAAgACAAIAAgACAAIAAgACAAIAAgACAAIAAgACAAIAAgACAAIAAgACAAIABcACIAUQBcACIALAAgAFEAUABZACAAKgAgACgAWQBFAEEAUgAoAEwAYQB0AGUAcwB0ACkAIAAtACAAWQBFAEEAUgAoAEUAYQByAGwAaQBlAHMAdAApACkAXABuACAAIAAgACAAIAAgACAAIAAgACAAIAAgACAAIAAgACAAIAAgACAAIAAgACAAIAAgACAAIAAgACAAIAAgACAAIAAgACAAIAAgACAAIAAgACAAIAAgACAAIAAgACAAIAAgACAAIAAgACAAIAArACAAUQBVAE8AVABJAEUATgBUACgATQBPAE4AVABIACgATABhAHQAZQBzAHQAKQAgACAAIAAtACAAMQAsACAATQBQAFEAKQBcAG4AIAAgACAAIAAgACAAIAAgACAAIAAgACAAIAAgACAAIAAgACAAIAAgACAAIAAgACAAIAAgACAAIAAgACAAIAAgACAAIAAgACAAIAAgACAAIAAgACAAIAAgACAAIAAgACAAIAAgACAAIAAgAC0AIABRAFUATwBUAEkARQBOAFQAKABNAE8ATgBUAEgAKABFAGEAcgBsAGkAZQBzAHQAKQAgAC0AIAAxACwAIABNAFAAUQApACwAXABuACAAIAAgACAAIAAgACAAIAAgACAAIAAgACAAIAAgACAAIAAgACAAIAAgACAAIAAgACAAIAAgACAAIAAgACAAIAAgACAAIAAgACAAIAAgACAAIAAgACAAIAAgACAAIAAgAFwAIgBZAFwAIgAsACAAWQBFAEEAUgAoAEwAYQB0AGUAcwB0ACkAIAAtACAAWQBFAEEAUgAoAEUAYQByAGwAaQBlAHMAdAApAFwAbgAgACAAIAAgACAAIAAgACAAIAAgACAAIAAgACAAIAAgACAAIAAgACAAIAAgACAAIAAgACAAIAAgACAAIAAgACAAIAAgACAAIAAgACAAIAAgACAAIAAgACAAKQAsAFwAbgAgACAAIAAgACAAIAAgACAAIAAgACAAIAAgACAAIAAgACAAIAAgACAAIAAgACAAIAAgACAAIAAgACAAIAAgACAAUwBpAGcAbgAgACoAIABQAGUAcgBpAG8AZABzAFwAbgAgACAAIAAgACAAIAAgACAAIAAgACAAIAAgACAAIAAgACAAIAAgACAAIAAgACAAIAAgACAAIAAgACkAXABuACAAIAAgACAAIAAgACAAIAAgACAAIAAgACAAIAAgACAAIAAgACAAIAAgACAAIAAgACk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fACwAMQAwACwAMgAwACwAMwAwACwAMwAwACAAIACSIT0AbwB6AC4AUwBjAGgAZQBkAHUAbABlAFIAYQB0AGUAcwC7AygAVABpAG0AZQBsAGkAbgBlALsDKABcACIAXAAiADEALwA3AC8AMgAwADIANgBcACIAXAAiACwANQAsAFwAIgBcACIAVwBcACIAXAAiACkALAB7ADQANgAyADAAOAA7ACAANAA2ADIAMQA2ADsAIAA0ADYAMgAyADI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DAHYAdABFAG4AZABzACwAIABDAHYAdA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gACAAIAAgAFsARABvAE4AbwB0AFUAcwBlAF0AL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yACAAYwBvAGwAdQBtAG4AIABvAGYAIABwAGUAcgBpAG8AZAAgAGUAbgBkACAAZABhAHQAZQBzACAAKAB0AGkAbQBlAGwAaQBuAGUAKQAuALYAXAAiACAAJgAgAFwAbgAgACAAIAAgACAAIAAgACAAIAAgACAAIAAgACAAIAAgACAAIAAgACAAIAAgACAAIABcACIASQB0AGUAbQBGAGkAbAB0AGUAcgAgACAAIAAgACAAkiEoAFIAZQBxAHUAaQByAGUAZAAp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BcACIAkiFvAHoALgBTAGMAaABlAGQAdQBsAGUAUgBhAHQAZQBzAEIAeQBJAHQAZQBtAHMAuwMoACAAVABpAG0AZQBsAGkAbgBlALsDKAAgAFwAIgBcACIAMQAvADcALwAyADAAMgA2AFwAIgBcACIAKQAsACAAVQBOAEkAUQBVAEUAKAAgAHQAYgBsAFIAYQB0AGUAcwAoAFUAbgBpAHQAKQApACwAtgBcACIAIAAmAFwAbgAgACAAIAAgACAAIAAgACAAIAAgACAAIAAgACAAIAAgACAAIAAgACAAIAAgACAAIAAgACAAIAAgACAAIAAgACAAIAAgACAAIAAgACAAIABcACIAkiF0AGIAbABSAGEAdABlAHMAWwBVAG4AaQB0AF0ALAAgAHQAYgBsAFIAYQB0AGUAcwBbAFIAZQBuAHQAXQAsACAAdABiAGwAUgBhAHQAZQBzAFsARQBmAGYAZQBjAHQAaQB2AGU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RABvAE4AbwB0AFUAcwBlACwAIAAgACAAIAAgACAAIABJAEYAKAAgAEkAUwBPAE0ASQBUAFQARQBEACgAIABEAG8ATgBvAHQAVQBzAGUAKQAsACAAMQAsACAARABvAE4AbwB0AFUAcwBl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BcAG4AIAAgACAAIAAvAC8AIAAgAFAAcgBvAGMAZQBkAHUAcgBlAFwAbgAgACAAIAAgACAAIAAgACAAQwBvAHUAbgB0AHMALAAgACAAIAAgACAAIAAgACAAIABDAE8AVQBOAFQAQQAoACAASQB0AGUAbQBGAGkAbAB0AGUAcgApACwAXABuACAAIAAgACAAIAAgACAAIABJAHQAZQBtACwAIAAgACAAIAAgACAAIAAgACAAIAAgAEkATgBEAEUAWAAoACAASQB0AGUAbQBGAGkAbAB0AGUAcgAsACAARABvAE4AbwB0AFUAcwBlACkALABcAG4AIAAgACAAIAAgACAAIAAgAEkAdABlAG0ARABhAHQAZQBzACwAIAAgACAAIAAgACAARgBJAEwAVABFAFIAKAAgAEMAdgB0AEUAZgBmAEQAYQB0AGUAcwAsACAASQB0AGUAbQBMAGkAcwB0ACAAPQAgAEkAdABlAG0AKQAsACAAXABuACAAIAAgACAAIAAgACAAIABJAHQAZQBtAFIAYQB0AGUAcwAsACAAIAAgACAAIAAgAEYASQBMAFQARQBSACgAIABSAGEAdABlAEwAaQBzAHQALAAgAEkAdABlAG0ATABpAHMAdAAgAD0AIABJAHQAZQBtACkALAAgAFwAbgAgACAAIAAgACAAIAAgACAATgBlAHcAUgBvAHcALAAgACAAIAAgACAAIAAgACAAIABYAEwATwBPAEsAVQBQACgAIABDAHYAdABQAHIAZABFAG4AZABzACwAIABJAHQAZQBtAEQAYQB0AGUAcwAsACAASQB0AGUAbQBSAGEAdABlAHMALAAgADAALAAgAC0AMQApACwAXABuACAAIAAgACAAIAAgACAAIABSAGUAcwB1AGwAdAAsACAAIAAgACAAIAAgACAAIAAgAEkARgAoACAARABvAE4AbwB0AFUAcwBl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UgBhAHQAZQBzAEIAeQBJAHQAZQBtAHMAuwMoACAAQwB2AHQAUAByAGQARQBuAGQAcwAsACAASQB0AGUAbQBGAGkAbAB0AGUAcgAsACAASQB0AGUAbQBMAGkAcwB0ACwAIABDAHYAdABFAGYAZgBEAGEAdABlAHMALAAgAFIAYQB0AGUATABpAHMAdAAsACAARABvAE4AbwB0AFUAcwBl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LsDXABuACAAIAAgACAARABFAFMAQwBSAEkAUABUAEkATwBOADoAKgAvAC8AKgAqAFMAYwBoAGUAZAB1AGwAZQBzACAAdgBhAGwAdQBlAHMAIABpAG4AIABhACAAdABpAG0AZQBsAGkAbgBlACAAZgByAG8AbQAgAGEAIABzAGMAaABlAGQAdQBsAGUAIABpAG4AIABhACAAdABhAGIAbABlAC4AIAAqAC8AXABuAFMAYwBoAGUAZAB1AGwAZQBWAGEAbAB1AGUAcwC7AyAAPQAgAEwAQQBNAEIARABBACgAXABuAC8ALwAgACAAUABhAHIAYQBtAGUAdABlAHIAIABEAGUAYwBsAGEAcgBhAHQAaQBvAG4AcwBcAG4AIAAgACAAIABbAFAAZQByAGkAbwBkAFMAdABhAHIAdABzAF0ALABcAG4AIAAgACAAIABbAFAAZQByAGkAbwBkAEUAbgBkAHMAXQAsAFwAbgAgACAAIAAgAFsAVgBhAGwAdQBlAHMAXQAsAFwAbgAgACAAIAAgAFsARQBmAGYAZQBjAHQAaQB2AGUARABhAHQAZQ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uwMoAFAAZQByAGkAbwBkAFMAdABhAHIAdABzACwAIABQAGUAcgBpAG8AZABFAG4AZABzACwAIABWAGEAbAB1AGUAcwAsACAARQBmAGYAZQBjAHQAaQB2AGUARABhAHQAZQBzACkAtgBcACIAIAAmAFwAbgAgACAAIAAgACAAIAAgACAAIAAgACAAIAAgACAAIAAgACAAIAAgACAAIAAgACAAIABcACIARABFAFMAQwBSAEkAUABUAEkATwBOADoAIAAgACAAkiFQAGwAYQBjAGUAIAB2AGEAbAB1AGUAcwAgAGYAcgBvAG0AIABhACAAdABhAGIAbABlACAAaQBuAHQAbwAgAGEAIAB0AGkAbQBlAGwAaQBuAGUAJwBzACAAYQBwAHAAcgBvAHAAcgBpAGEAdABlACAAcABlAHIAaQBvAGQALgC2AFwAIgAgACYAIABcAG4AIAAgACAAIAAgACAAIAAgACAAIAAgACAAIAAgACAAIAAgACAAIAAgACAAIAAgACAAXAAiAFcARQBCAFMASQBUAEUAOgAgACAAIAAgACAAIAAgAJIhaAB0AHQAcABzADoALwAvAGcAaQB0AGgAdQBiAC4AYwBvAG0ALwByAHkAYQBuAGQAdQBnAHUAaQBkAC8ATwB6AHoAaQB0ACAAtgBcACIAIAAm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jAG8AbAB1AG0AbgAgAG8AcgAgAHIAbwB3ACAAbwBmACAAcABlAHIAaQBvAGQAIABzAHQAYQByAHQAIABkAGEAdABlAHMAIAAoAHQAaQBtAGUAbABpAG4AZQApAC4AtgBcACIAIAAmACAAXABuACAAIAAgACAAIAAgACAAIAAgACAAIAAgACAAIAAgACAAIAAgACAAIAAgACAAIAAgAFwAIgBQAGUAcgBpAG8AZABFAG4AZABzACAAIAAgACAAIACSISgAUgBlAHEAdQBpAHIAZQBkACkAIABBACAAYwBvAGwAdQBtAG4AIABvAHIAIAByAG8AdwAgAG8AZgAgAHAAZQByAGkAbwBkACAAZQBuAGQAcwAgAGQAYQB0AGUAcwAgACgAdABpAG0AZQBsAGkAbgBlACkALgC2AFwAIgAgACYAIABcAG4AIAAgACAAIAAgACAAIAAgACAAIAAgACAAIAAgACAAIAAgACAAIAAgACAAIAAgACAAXAAiAFYAYQBsAHUAZQBzACAAIAAgACAAIAAgACAAIAAgAJIhKABSAGUAcQB1AGkAcgBlAGQAKQAgAEEAIABjAG8AbAB1AG0AbgAgAG8AcgAgAHIAbwB3ACAAbwBmACAAdgBhAGwAdQBlAHMAIAB0AG8AIABiAGUAIABzAGMAaABlAGQAdQBsAGUAZAAuALYAXAAiACAAJgAgAFwAbgAgACAAIAAgACAAIAAgACAAIAAgACAAIAAgACAAIAAgACAAIAAgACAAIAAgACAAIABcACIARQBmAGYAZQBjAHQAaQB2AGUARABhAHQAZQBzACAAkiEoAFIAZQBxAHUAaQByAGUAZAApACAAQQAgAGMAbwBsAHUAbQBuACAAbwByACAAcgBvAHcAIABvAGYAIAB3AGgAZQBuACAAYQAgAHYAYQBsAHUAZQAgAGkAcwAgAHMAYwBoAGUAZAB1AGwAZQBkAC4AtgBcACIAIAAmACAAIAAgACAAIAAgACAAIAAgACAAIAAgACAAIAAgACAAIAAgACAAXABuACAAIAAgACAAIAAgACAAIAAgACAAIAAgACAAIAAgACAAIAAgACAAIAAgACAAIAAgAFwAIgBFAFgAQQBNAFAATABFAFMAOg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VgBhAGwAdQBlAHMAuwMoAFQAaQBtAGUAbABpAG4AZQC7AygAXAAiAFwAIgAxAC8ANwAvADIAMAAyADYAXAAiAFwAIgApACwAIABUAGkAbQBlAGwAaQBuAGUAuwMoAFwAIgBcACIAMQAvADcALwAyADAAMgA2AFwAIgBcACIALAAsACwARgBBAEwAUwBFACkALAAgAHsAMQA7ADMAfQAsACAAewBcACIAXAAiADEALwA3AC8AMgAwADIANgBcACIAXAAiADsAIABcACIAXAAiADEANQAvADgALwAyADAAMgA2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DAHYAdABQAHI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DAHYAdABQAHIAZABTAHQAYQByAHQAcwAsACAAUABlAHIAaQBvAGQAKQAsACAAXABuACAAIAAgACAAIAAgACAAIAAgACAAIAAgACAAIAAgACAAIAAgACAAIAAgACAAIAAgACAAIAAgACAAIAAgACAAIAAgACAAIAAgAEUAbgBkAEQAYQB0AGUALAAgACAAIAAgAEkATgBEAEUAWAAoAEMAdgB0AFAAcg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FsARABvAE4AbwB0AFUAcwBl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QgB5AEkAdABlAG0AcwC7AygAUABlAHIAaQBvAGQAUwB0AGEAcgB0AHMALAAgAFAAZQByAGkAbwBkAEUAbgBkAHMALAAgAEkAdABlAG0ARgBpAGwAdABlAHIALAAgAEkAdABlAG0ATABpAHMAdAAsACAARQBmAGYAZQBjAHQAaQB2AGUATABpAHMAdAAsACAAVgBhAGwAdQBlAEwAaQBzAHQAKQC2AFwAIgAgACYAXABuACAAIAAgACAAIAAgACAAIAAgACAAIAAgACAAIAAgACAAIAAgACAAIAAgACAAIAAgAFwAIgBEAEUAUwBDAFIASQBQAFQASQBPAE4AOgAgACAAIACSIVMAYwBoAGUAZAB1AGwAZQAgAGEAbgBkACAAcwB1AG0AIAB2AGEAbAB1AGUAcwAgAGkAbgAgAGEAIAB0AGkAbQBlAGwAaQBuAGUAIABmAG8AcgAgAGUAYQBjAGgAIABpAHQAZQBt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YAYQBsAHUAZQAgAHMAYwBoAGUAZAB1AGwAZQAgAGIAeQAuACAAtgBcACIAIAAmAFwAbgAgACAAIAAgACAAIAAgACAAIAAgACAAIAAgACAAIAAgACAAIAAgACAAIAAgACAAIABcACIAIAAgACAAIAAgACAAIAAgACAAIAAgACAAIAAgACAAkiFBACAAJwB2AGEAbAB1AGUAIABzAGMAaABlAGQAdQBsAGUAJwAgAGkAcwAgAGEAIAB0AGEAYgBsAGUALwBsAGkAcwB0ACAAdwBoAGUAcgBlACAAZQBhAGMAaAAgAHIAbwB3ACAAYwBvAG4AdABhAGkAbgBzACAAYQAgAHUAbgBpAHEAdQBlACAAaQB0AGUAbQAvAGUAZgBmAGUAYwB0AGkAdgBlACAAZABhAHQAZQAgAHAAYQBpAHIAIAB3AGkAdABoACAAYQAgAHYAYQBsAHUAZQAuALYAXAAiACAAJgBcAG4AIAAgACAAIAAgACAAIAAgACAAIAAgACAAIAAgACAAIAAgACAAIAAgACAAIAAgACAAXAAiAEkAdABlAG0ATABpAHMAdAAgACAAIAAgACAAIAAgAJIhKABSAGUAcQB1AGkAcgBlAGQAKQAgAEkAdABlAG0AcwAgAGkAbgAgAGEAIAB2AGEAbAB1AGUAIABzAGMAaABlAGQAdQBsAGUALgC2AFwAIgAgACYAIABcAG4AIAAgACAAIAAgACAAIAAgACAAIAAgACAAIAAgACAAIAAgACAAIAAgACAAIAAgACAAXAAiAEUAZgBmAGUAYwB0AGkAdgBlAEwAaQBzAHQAIAAgAJIhKABSAGUAcQB1AGkAcgBlAGQAKQAgAEUAZgBmAGUAYwB0AGkAdgBlACAAZABhAHQAZQBzACAAaQBuACAAdABoAGUAIAB2AGEAbAB1AGUAIABzAGMAaABlAGQAdQBsAGUALgC2AFwAIgAgACYAIABcAG4AIAAgACAAIAAgACAAIAAgACAAIAAgACAAIAAgACAAIAAgACAAIAAgACAAIAAgACAAXAAiAFYAYQBsAHUAZQBMAGkAcwB0ACAAIAAgACAAIAAgAJIhKABSAGUAcQB1AGkAcgBlAGQAKQAgAFYAYQBsAHUAZQBzACAAaQBuACAAYQAgAHYAYQBsAHU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bwB6AC4AUwBjAGgAZQBkAHUAbABlAFYAYQBsAHUAZQBzAEIAeQBJAHQAZQBtAHMAuwMoACAAVABpAG0AZQBsAGkAbgBlALsDKAAgAFwAIgBcACIAMQAvADcALwAyADAAMgA2AFwAIgBcACIAKQAsACAAIABUAGkAbQBlAGwAaQBuAGUAuwMoACAAXAAiAFwAIgAxAC8ANwAvADIAMAAyADYAXAAiAFwAIgAsACwALABGAEEATABTAEUAKQAsACAAtgBcACIAIAAmACAAXABuACAAIAAgACAAIAAgACAAIAAgACAAIAAgACAAIAAgACAAIAAgACAAIAAgACAAIAAgACAAIAAgACAAIAAgACAAIAAgACAAIAAgACAAIAAgAFwAIgCSIVUATgBJAFEAVQBFACgAIAB0AGIAbABFAHgAcAAoAEkAdABlAG0AcwAp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vAHUAbgB0AGUAcgAsACAAIAAgACAAIAAgACAAIABJAEYAKAAgAEkAUwBPAE0ASQBUAFQARQBEACgAIABEAG8ATgBvAHQAVQBzAGUAKQAsACAAMQAsACAARABvAE4AbwB0AFUAcwBlACkALA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IAAgACA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MAbwB1AG4AdABlAHIAKQAsAFwAbgAgACAAIAAgACAAIAAgACAASQB0AGUAbQBEAGEAdABlAHMALAAgACAAIAAgACAAIABGAEkATABUAEUAUgAoACAAQwB2AHQARQBmAGYARABhAHQAZQBzACwAIABJAHQAZQBtAEwAaQBzAHQAIAA9ACAASQB0AGUAbQApACwAIABcAG4AIAAgACAAIAAgACAAIAAgAEkAdABlAG0AVgBhAGwAdQBlAHMALAAgACAAIAAgACAARgBJAEwAVABFAFIAKAAgAFYAYQBsAHUAZQBMAGkAcwB0ACwAIABJAHQAZQBtAEwAaQBzAHQAIAA9ACAASQB0AGUAbQApACwAIABcAG4AIAAgACAAIAAgACAAIAAgAEEAcgByAGEAeQAsACAAIAAgACAAIAAgACAAIAAgACAAKABJAHQAZQBtAEQAYQB0AGUAcwAgAD4APQAgAEMAdgB0AFAAcgBkAFMAdABhAHIAdABzACkAIAAqACAAKABJAHQAZQBtAEQAYQB0AGUAcwAgADwAPQAgAEMAdgB0AFAAcgBkAEUAbgBkAHMAKQAgACoAIABJAHQAZQBtAFYAYQBsAHUAZQBzACwAXABuACAAIAAgACAAIAAgACAAIABOAGUAdwBSAG8AdwAsACAAIAAgACAAIAAgACAAIAAgAEIAWQBDAE8ATAAoACAAQQByAHIAYQB5ACwAIABMAEEATQBCAEQAQQAoACAAQwBvAGwAdQBtAG4ALAAgAFMAVQBNACgAIABDAG8AbAB1AG0AbgApACkAKQAsAFwAbgAgACAAIAAgACAAIAAgACAAUgBlAHMAdQBsAHQALAAgACAAIAAgACAAIAAgACAAIABJAEYAKAAgAEMAbwB1AG4AdABlAHI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WAGEAbAB1AGUAcwBCAHkASQB0AGUAbQBzALsDKAAgAEMAdgB0AFAAcgBkAFMAdABhAHIAdABzACwAIABDAHYAdABQAHIAZABFAG4AZABzACwAIABcAG4AIAAgACAAIAAgACAAIAAgACAAIAAgACAAIAAgACAAIAAgACAAIAAgACAAIAAgACAAIAAgACAAIAAgACAAIAAgACAAIAAgACAASQB0AGUAbQBGAGkAbAB0AGUAcgAsACAASQB0AGUAbQBMAGkAcwB0ACwAIABDAHYAdABFAGYAZgBEAGEAdABlAHMALAAgAFYAYQBsAHUAZQBMAGkAcwB0ACwAIABDAG8AdQBuAHQAZQBy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VABpAG0AZQBsAGkAbgBlALsDXABuACAAIAAgACAARABFAFMAQwBSAEkAUABUAEkATwBOADoAKgAvAC8AKgAqAEMAcgBlAGEAdABlACAAYQAgAGgAbwByAGkAegBvAG4AdABhAGwAIABsAGkAcwB0ACAAbwBmACAAcABlAHIAaQBvAGQAIABkAGEAdABlAHMAKgAvAFwAbgBUAGkAbQBlAGwAaQBuAGUAuwMgAD0AIABMAEEATQBCAEQAQQAoAFwAbgAvAC8AIAAgAFAAYQByAGEAbQBlAHQAZQByACAARABlAGMAbABhAHIAYQB0AGkAbwBuAHMAXABuACAAIAAgACAAWwBTAHQAYQByAHQARABhAHQAZQBdACwAXABuACAAIAAgACAAWwBQAGUAcgBpAG8AZABzAF0ALABcAG4AIAAgACAAIABbAEkAbgB0AGUAcgB2AGEAbABdACwAXABuACAAIAAgACAAWwBQAGUAcgBpAG8AZABTAHQAYQByAHQAcwA/AF0ALAAgACAAIAAg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UAGkAbQBlAGwAaQBuAGUAuwMoAFMAdABhAHIAdABEAGEAdABlACwAIABQAGUAcgBpAG8AZABzACwAIABJAG4AdABlAHIAdgBhAGwALAAgAFAAZQByAGkAbwBkAFMAdABhAHIAdABzAD8AKQC2AFwAIgAgACYAXABuACAAIAAgACAAIAAgACAAIAAgACAAIAAgACAAIAAgACAAIAAgACAAIAAgACAAIAAgACAAIAAgACAAXAAiAEQARQBTAEMAUgBJAFAAVABJAE8ATgA6ACAAIAAgAJIhQwByAGUAYQB0AGUAcwAgAGEAIABoAG8AcgBpAHoAbwBuAHQAYQBsACAAbABpAHMAdAAgAG8AZgAgAHAAZQByAGkAbwBkACAAZABhAHQAZQBzAC4AtgBcACIAIAAmACAAXABuACAAIAAgACAAIAAgACAAIAAgACAAIAAgACAAIAAgACAAIAAgACAAIAAgACAAIAAgACAAIAAgACAAXAAiAFcARQBCAFMASQBUAEUAOgAgACAAIAAgACAAIAAgAJIhaAB0AHQAcABzADoALwAvAGcAaQB0AGgAdQBiAC4AYwBvAG0ALwByAHkAYQBuAGQAdQBnAHUAaQBkAC8ATwB6AHoAaQB0ALYAXAAiACAAJgAgAFwAbgAgACAAIAAgACAAIAAgACAAIAAgACAAIAAgACAAIAAgACAAIAAgACAAIAAgACAAIAAgACAAIAAgAFwAIgBQAEEAUgBBAE0ARQBUAEUAUgBTADoAIAAgACAAIAAgACAAIAAgAJIhtgBcACIAIAAmACAAXABuACAAIAAgACAAIAAgACAAIAAgACAAIAAgACAAIAAgACAAIAAgACAAIAAgACAAIAAgACAAIAAgACAAXAAiAFMAdABhAHIAdABEAGEAdABlACAAIAAgACAAIAAgAJIhKABSAGUAcQB1AGkAcgBlAGQAKQAgAEYAaQByAHMAdAAgAHAAZQByAGkAbwBkACcAcwAgAHMAdABhAHIAdAAgAGQAYQB0AGUALgAgAE0AYQB5ACAAYgBlACAAZQBuAHQAZQByAGUAZAAgAGEAcwAgAHQAZQB4AHQALgC2AFwAIgAgACYAXABuACAAIAAgACAAIAAgACAAIAAgACAAIAAgACAAIAAgACAAIAAgACAAIAAgACAAIAAgACAAIAAgACAAXAAiAFAAZQByAGkAbwBkAHMAIAAgACAAIAAgACAAIAAgAJIhKABPAHAAdABpAG8AbgBhAGwAKQAgAFQAaABlACAAbgB1AG0AYgBlAHIAIABvAGYAIABwAGUAcgBpAG8AZAAgAGkAbgAgAHQAaABlACAAdABpAG0AZQBsAGkAbgBlAC4AIABEAGUAZgBhAHUAbAB0AHMAIAB0AG8AIAAxADIALgC2AFwAIgAgACYAXABuACAAIAAgACAAIAAgACAAIAAgACAAIAAgACAAIAAgACAAIAAgACAAIAAgACAAIAAgACAAIAAgACAAXAAiAEkAbgB0AGUAcgB2AGEAbAAgACAAIAAgACAAIAAgAJIhKABPAHAAdABpAG8AbgBhAGwAKQAgAFAAZQByAGkAbwBkACAAaQBuAHQAZQByAHYAYQBsADoAIABEACwAIABXACwAIABNACwAIABRACAAbwByACAAWQAgACgARABhAHkALAAgAFcAZQBlAGsALAAgAE0AbwBuAHQAaAAgADwAZABlAGYAYQB1AGwAdAA+ACwAIABRAHUAYQByAHQAZQByACwAIABvAHIAIABZAGUAYQByACkAtgBcACIAIAAmAFwAbgAgACAAIAAgACAAIAAgACAAIAAgACAAIAAgACAAIAAgACAAIAAgACAAIAAgACAAIAAgACAAIAAgAFwAIgBQAGUAcgBpAG8AZABTAHQAYQByAHQAcwA/ACAAIACSISgATwBwAHQAaQBvAG4AYQBsACkAIABUAFIAVQBFAD0ARABpAHMAcABsAGEAeQAgAHAAZQByAGkAbwBkACAAcwB0AGEAcgB0ACAAZABhAHQAZQBzACAAPABkAGUAZgBhAHUAbAB0AD4ALgAgAEYAQQBMAFMARQA9AFAAZQByAGkAbwBkACAAZQBuAGQAIABkAGEAdABlAHMA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MgAgAG0AbwAsACAAcwB0AGEAcgB0AHMAIAAgAJIhPQBvAHoALgBUAGkAbQBlAGwAaQBuAGUAuwMoAFQATwBEAEEAWQAoACkAKQC2AFwAIgAgACYAXABuACAAIAAgACAAIAAgACAAIAAgACAAIAAgACAAIAAgACAAIAAgACAAIAAgACAAIAAgACAAIAAgACAAXAAiADEAMgAgAHEAdAByACwAIABlAG4AZABzACAAIAAgAJIhPQBvAHoALgBUAGkAbQBlAGwAaQBuAGUAuwMoAFQATwBEAEEAWQAoACkALAAgACwAIABcACIAXAAiAFEAXAAiAFwAIgAsACAARgBBAEwAUwBF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AgACAAIAAgAFwAbgAgACAAIAAgAC8ALwAgACAATgBhAG0AZQBkACAAQwBvAG4AcwB0AGEAbgB0AHMAXABuACAAIAAgACAAIAAgACAAIABNAFAAWQAsACAAMQAyACwAIAAgACAAIAAgACAAIAAgAC8ALwBNAG8AbgB0AGgAcwAgAFAAZQByACAAWQBlAGEAcgBcAG4AIAAgACAAIAAgACAAIAAgAE0AUABRACwAIAAzACwAIAAgACAAIAAgACAAIAAgACAALwAvAE0AbwBuAHQAaABzACAAUABlAHIAIABRAHUAYQByAHQAZQByAFwAbgAgACAAIAAgACAAIAAgACAARABQAFcALAAgADcALAAgACAAIAAgACAAIAAgACAAIAAvAC8ARABhAHkAcwAgAFAAZQByACAAVwBlAGUAawBcAG4AIAAgACAAIAAvAC8AIAAgAEMAaABlAGMAawAgAGkAbgBwAHUAdABzACAALQAgAE8AbQBpAHQAdABlAGQAIAByAGUAcQB1AGkAcgBlAGQAIABhAHIAZwB1AG0AZQBuAHQAcwBcAG4AIAAgACAAIAAgACAAIAAgAEgAZQBsAHAAPwAsACAAIAAgACAAIAAgACAAIAAgACAASQBTAE8ATQBJAFQAVABFAEQAKAAgAFMAdABhAHIAdABEAGEAdABlACkALAAg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LAAgACAAIAAgACAAIAAgAEkARgAoACAASQBTAE8ATQBJAFQAVABFAEQAKAAgAFMAdABhAHIAdABEAGEAdABlACkALAAgAFwAbgAgACAAIAAgACAAIAAgACAAIAAgACAAIAAgACAAIAAgACAAIAAgACAAIAAgACAAIAAgACAAIAAgAEYAQQBMAFMARQAsAFwAbgAgACAAIAAgACAAIAAgACAAIAAgACAAIAAgACAAIAAgACAAIAAgACAAIAAgACAAIAAgACAAIAAgAEkARgAoACAASQBTAE4AVQBNAEIARQBSACgAIABTAHQAYQByAHQARABhAHQAZQApACwAIABTAHQAYQByAHQARABhAHQAZQAsACAARABBAFQARQBWAEEATABVAEUAKAAgAFMAdABhAHIAdABEAGEAdABlACkAKQBcAG4AIAAgACAAIAAgACAAIAAgACAAIAAgACAAIAAgACAAIAAgACAAIAAgACAAIAAgACAAKQAsAFwAbgAgACAAIAAgACAAIAAgACAAUABlAHIAaQBvAGQAcwAsACAAIAAgACAAIAAgACAAIABJAEYAKAAgAEkAUwBPAE0ASQBUAFQARQBEACgAIABQAGUAcgBpAG8AZABzACkALAAgADEAMgAsACAAUABlAHIAaQBvAGQAcwApACwAXABuACAAIAAgACAAIAAgACAAIABJAG4AdABlAHIAdgBhAGwALAAgACAAIAAgACAAIAAgAEkARgAoACAASQBTAE8ATQBJAFQAVABFAEQAKAAgAEkAbgB0AGUAcgB2AGEAbAApACwAIABcACIATQBcACIALAAgAEkAbgB0AGUAcgB2AGEAbAApACwAXABuACAAIAAgACAAIAAgACAAIABQAGUAcgBpAG8AZABTAHQAYQByAHQAcwA/ACwAIAAgAEkARgAoACAASQBTAEwATwBHAEkAQwBBAEwAKAAgAFAAZQByAGkAbwBkAFMAdABhAHIAdABzAD8AKQAsACAAUABlAHIAaQBvAGQAUwB0AGEAcgB0AHMAPwAsACAAVABSAFUARQApACwAXABuACAAIAAgACAALwAvACAAIABQAHIAbwBjAGUAZAB1AHIAZQBcAG4AIAAgACAAIAAgACAAIAAgAEUAbgBkAEQAYQB0AGUAcwAsACAAIAAgACAAIAAgACAATgAoAE4ATwBUACgAUABlAHIAaQBvAGQAUwB0AGEAcgB0AHMAPwApACkALABcAG4AIAAgACAAIAAgACAAIAAgAFIAZQBzAHUAbAB0ACwAIAAgACAAIAAgACAAIAAgACAAUwBXAEkAVABDAEgAKABcAG4AIAAgACAAIAAgACAAIAAgACAAIAAgACAAIAAgACAAIAAgACAAIAAgACAAIAAgACAAIAAgACAAIABJAG4AdABlAHIAdgBhAGwALABcAG4AIAAgACAAIAAgACAAIAAgACAAIAAgACAAIAAgACAAIAAgACAAIAAgACAAIAAgACAAIAAgACAAIABcACIAWQBcACIALAAgAEUARABBAFQARQAoAEMAdgB0AFMAdABhAHIAdAAsACAAUwBFAFEAVQBFAE4AQwBFACgAMQAsACAAUABlAHIAaQBvAGQAcwAsACAARQBuAGQARABhAHQAZQBzACAAKgAgAE0AUABZACwAIABNAFAAWQApACkAIAAtACAARQBuAGQARABhAHQAZQBzACwAXABuACAAIAAgACAAIAAgACAAIAAgACAAIAAgACAAIAAgACAAIAAgACAAIAAgACAAIAAgACAAIAAgACAAXAAiAFEAXAAiACwAIABFAEQAQQBUAEUAKABDAHYAdABTAHQAYQByAHQALAAgAFMARQBRAFUARQBOAEMARQAoADEALAAgAFAAZQByAGkAbwBkAHMALAAgAEUAbgBkAEQAYQB0AGUAcwAgACoAIABNAFAAUQAsACAATQBQAFEAKQApACAALQAgAEUAbgBkAEQAYQB0AGUAcwAsAFwAbgAgACAAIAAgACAAIAAgACAAIAAgACAAIAAgACAAIAAgACAAIAAgACAAIAAgACAAIAAgACAAIAAgAFwAIgBNAFwAIgAsACAARQBEAEEAVABFACgAQwB2AHQAUwB0AGEAcgB0ACwAIABTAEUAUQBVAEUATgBDAEUAKAAxACwAIABQAGUAcgBpAG8AZABzACwAIABFAG4AZABEAGEAdABlAHMALAAgADEAKQApACAALQAgAEUAbgBkAEQAYQB0AGUAcwAsAFwAbgAgACAAIAAgACAAIAAgACAAIAAgACAAIAAgACAAIAAgACAAIAAgACAAIAAgACAAIAAgACAAIAAgAFwAIgBXAFwAIgAsACAAUwBFAFEAVQBFAE4AQwBFACgAMQAsACAAUABlAHIAaQBvAGQAcwAsACAAQwB2AHQAUwB0AGEAcgB0ACAAKwAgAEkARgAoAFAAZQByAGkAbwBkAFMAdABhAHIAdABzAD8ALAAgADAALAAgAEQAUABXACAALQAgADEAKQAsACAARABQAFcAKQAsAFwAbgAgACAAIAAgACAAIAAgACAAIAAgACAAIAAgACAAIAAgACAAIAAgACAAIAAgACAAIAAgACAAIAAgAFwAIgBEAFwAIgAsACAAUwBFAFEAVQBFAE4AQwBFACgAMQAsACAAUABlAHIAaQBvAGQAcwAsACAAQwB2AHQAUwB0AGEAcgB0ACwAIAAxACkALABcAG4AIAAgACAAIAAgACAAIAAgACAAIAAgACAAIAAgACAAIAAgACAAIAAgACAAIAAgACAAIAAgACAAIAAjAFYAYQBsAHUAZQAh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YAaQBuAGEAbgBjAGkAYQBsAFkAZQBhAHIAuwNcAG4AIAAgACAAIABEAEUAUwBDAFIASQBQAFQASQBPAE4AOgAqAC8ALwAqACoATABhAGIAZQBsAHMAIABkAGEAdABlAHMAIAB3AGkAdABoACAAdABoAGUAaQByACAAQQB1AHMAdAByAGEAbABpAGEAbgAgAGYAaQBuAGEAbgBjAGkAYQBsACAAeQBlAGEAcgAsACAAdwBoAGkAYwBoACAAcwB0AGEAcgB0AHMAIABvAG4AIAAxACAASgB1AGwAeQAqAC8AXABuAFwAbgBGAGkAbgBhAG4AYwBpAGEAbABZAGUAYQByALsDIAA9ACAATABBAE0AQgBEAEEAKABcAG4ALwAvACAAIABQAGEAcgBhAG0AZQB0AGUAcgAgAEQAZQBjAGwAYQByAGEAdABpAG8AbgBcAG4AIAAgACAAIABbAEQAYQB0AGUAcwBdACwAXABuACAAIAAgACAAWwBTAHQAYQByAHQATQBvAG4AdABo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gBpAG4AYQBuAGMAaQBhAGwAWQBlAGEAcgC7AygARABhAHQAZQBzACwAIABbAFMAdABhAHIAdABNAG8AbgB0AGgAXQApALYAXAAiACAAJgBcAG4AIAAgACAAIAAgACAAIAAgACAAIAAgACAAIAAgACAAIAAgACAAIAAgACAAIAAgACAAIAAgACAAIABcACIARABFAFMAQwBSAEkAUABUAEkATwBOADoAIAAgACAAkiFMAGEAYgBlAGwAcwAgAGQAYQB0AGUAcwAgAHcAaQB0AGgAIAB0AGgAZQBpAHIAIABBAHUAcwB0AHIAYQBsAGkAYQBuACAAZgBpAG4AYQBuAGMAaQBhAGwAIAB5AGUAYQByACwAIAB3AGgAaQBjAGgAIABzAHQAYQByAHQAcwAgAG8AbgAgADEAIABKAHUAbAB5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QAYQB0AGUAcwAgACAAIAAgACAAIAAgACAAIAAgAJIhKABSAGUAcQB1AGkAcgBlAGQAKQAgAE8AbgBlACAAbwByACAAbQBvAHIAZQAgAGQAYQB0AGUAc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TgAoAEQAYQB0AGUAcwApAD0AMAAsACAAXAAiAFwAIgAsACAAXAAiAEYAWQBcACIAIAAmACAAVABFAFgAVAAoAFkARQBBAFIAKABEAGEAdABlAHMAKQAgACsAIAAoAEYAWQBTAHQAYQByAHQAPgAxACkAIAAqACAAKABNAE8ATgBUAEgAK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EUAcwBzAGUAbgB0AGkAYQBsAHMAIgAsACIAdABlAHgAdAAiADoAIgAvACoAIAAgAEYAVQBOAEMAVABJAE8ATgAgAE4AQQBNAEUAOgAgACAAQQBiAG8AdQB0AEUAcwBzAGUAbgB0AGkAYQBsAHMAuwNcAG4AIAAgACAAIABEAEUAUwBDAFIASQBQAFQASQBPAE4AOgAqAC8ALwAqACoARABpAHMAcABsAGEAeQBzACAAdABoAGkAcwAgAG0AbwBkAHUAbABlACcAcwAgAHIAZQBwAG8AcwBpAHQAbwByAHkAIABVAFIATAAgAGEAbgBkACAAZgB1AG4AYwB0AGkAbwBuACAAbABpAHMAdAAqAC8AXABuAFwAbgBBAGIAbwB1AHQARQBzAHMAZQBuAHQAaQBhAGw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8AegC2AFwAIgAgACYAXABuACAAIAAgACAAXAAiAFYAZQByAHMAaQBvAG4AOgAgACAAIAAgACAAIAAgACAAIAAgACAAIAAgACAAIAAgACAAIAAgAJIhMgAwACAAQQB1AGcAIAAyADAAMgA2ALYAXAAiACAAJgBcAG4AIAAgACAAIABcACIAUgBlAHAAbwBzAGkAdABvAHIAeQA6ACAAIAAgACAAIAAgACAAIAAgACAAIAAgACAAIAAgACAAIAAgAJIhaAB0AHQAcABzADoALwAvAGcAaQB0AGgAdQBiAC4AYwBvAG0ALwByAHkAYQBuAGQAdQBnAHUAaQBkAC8ATwB6AHoAaQB0ACAAtgBcACIAIAAmAFwAbgAgACAAIAAgAFwAIgCSIbYAXAAiACAAJgBcAG4AIAAgACAAIABcACIARgB1AG4AYwB0AGkAbwBuACAAIAAgACAAIAAgACAAIAAgACAAIAAgACAAIAAgACAAIAAgACAAkiFEAGUAcwBjAHIAaQBwAHQAaQBvAG4AtgBcACIAIAAmACAAXABuACAAIAAgACAAXAAiAEEAYgBvAHUAdABFAHMAcwBlAG4AdABpAGEAbABz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RQ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BF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YQB4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GMAbwBsAHUAbQBu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GMAbwBsAHUAbQBu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RQC7A1wAbgAgACAAIAAgAEQARQBTAEMAUgBJAFAAVABJAE8ATgA6ACoALwAvACoAKgBEAGUAdABlAHIAbQBpAG4AZQAgAGkAZgAgAGEAIAB2AGEAbAB1AGUAIABpAHMAIABiAGUAdAB3AGUAZQBuACAAYQAgAGwAbwB3AGUAcgAgAGEAbgBkACAAdQBwAHAAZQByACAAbABpAG0AaQB0ACoALwBcAG4ASQBzAEIAZQB0AHcAZQBlAG4AR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R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RQC7AygAMQAsACAAMgAsACAANAApALYAXAAiACAAJgAgAFwAbgAgACAAIAAgACAAIAAgACAAIAAgACAAIAAgACAAIAAgACAAIAAgACAAIAAgACAAIAAgACAAIAAgAFwAIgBUAFIAVQBFACAAIAAgACAAIAAgACAAIAAgACAAIACSIT0ASQBzAEIAZQB0AHcAZQBlAG4ARQC7AygAMgAsACAAMgAsACAANAApALYAXAAiACAAJgAgAFwAbgAgACAAIAAgACAAIAAgACAAIAAgACAAIAAgACAAIAAgACAAIAAgACAAIAAgACAAIAAgACAAIAAgAFwAIgBGAEEATABTAEUAIAAgACAAIAAgACAAIAAgACAAIACSIT0ASQBzAEIAZQB0AHcAZQBlAG4AR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dwBoAGUAdABoAGUAcgAgAGEAIAB2AGEAbAB1AGUAIABpAHMAIABvAG4AZQAgAG8AZgAgAGEAIABsAGkAcwB0ACAAbwBmACAAaQB0AGUAbQBzACoALwBcAG4ASQBzAEkAbgBMAGkAcwB0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LsDKAAxACwAIAB7ADIALAAzACwANAB9ACkAtgBcACIAIAAmACAAXABuACAAIAAgACAAIAAgACAAIAAgACAAIAAgACAAIAAgACAAIAAgACAAIAAgACAAIAAgACAAIAAgACAAXAAiAFQAUgBVAEUAIAAgACAAIAAgACAAIAAgACAAIAAgAJIhPQBJAHMASQBuAEwAaQBzAHQ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FALsDXABuACAAIAAgACAARABFAFMAQwBSAEkAUABUAEkATwBOADoAKgAvAC8AKgAqAEMAbwBuAHYAZQByAHQAIABhACAAcgBhAG4AZwBlACAAcgBlAGYAZQByAGUAbgBjAGUAIAB0AG8AIABhACAAZAB5AG4AYQBtAGkAYwAgAGEAcgByAGEAeQAgAHIAZQBmAGUAcgBlAG4AYwBlACoALwBcAG4AUgBhAG4AZwBlAFQAbwBEAEEAR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E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PAHoAegBpAHQ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E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EYAaQBuAGEAbgBjAGkAYQBsACIALAAiAHQAZQB4AHQAIgA6ACIALwAqACAAIABGAFUATgBDAFQASQBPAE4AIABOAEEATQBFADoAIAAgAEEAYgBvAHUAdABGAGkAbgBhAG4AYwBpAGEAbAC7A1wAbgAgACAAIAAgAEQARQBTAEMAUgBJAFAAVABJAE8ATgA6ACoALwAvACoAKgBEAGkAcwBwAGwAYQB5AHMAIAB0AGgAaQBzACAAbQBvAGQAdQBsAGUAJwBzACAAcgBlAHAAbwBzAGkAdABvAHIAeQAgAFUAUgBMACAAYQBuAGQAIABmAHUAbgBjAHQAaQBvAG4AIABsAGkAcwB0ACoALwBcAG4AXABuAEEAYgBvAHUAdABGAGkAbgBhAG4AYwBpAGEAbAC7AyAAPQAgAFQAUgBJAE0AKABUAEUAWABUAFMAUABMAEkAVAAoAFwAbgAgACAAIAAgAFwAIgBBAEIATwBVAFQAOgAgACAAIAAgACAAIAAgACAAIAAgACAAIAAgAJIhTwB6AHoAaQB0ACcAcwAgAEYAaQBuAGEAbgBjAGkAYQBsACAATQBvAGQAZQBsAHMAIABtAG8AZAB1AGwAZQAuACAAUwB1AGcAZwBlAHMAdABlAGQAIABtAG8AZAB1AGwAZQAgAG4AYQBtAGUAOgAgAG8AegC2AFwAIgAgACYAXABuACAAIAAgACAAXAAiAFYARQBSAFMASQBPAE4AOgAgACAAIAAgACAAIAAgACAAIAAgACAAkiEyADAAIABBAHUAZwAgADIAMAAyADYAtgBcACIAIAAmAFwAbgAgACAAIAAgAFwAIgBSAEUAUABPAFMASQBUAE8AUgBZADoAIAAgACAAIAAgACAAIAAgACAAIACSIWgAdAB0AHAAcwA6AC8ALwBnAGkAdABoAHUAYgAuAGMAbwBtAC8AcgB5AGEAbgBkAHUAZwB1AGkAZAAvAE8AegB6AGkAdAAgALYAXAAiACAAJgBcAG4AIAAgACAAIABcACIAVwBFAEIAUwBJAFQARQA6ACAAIAAgACAAIAAgACAAIAAgACAAIACSIWgAdAB0AHAAcwA6AC8ALwBnAGkAdABoAHUAYgAuAGMAbwBtAC8AcgB5AGEAbgBkAHUAZwB1AGkAZAAvAE8AegB6AGkAdAAgALYAXAAiACAAJgBcAG4AIAAgACAAIABcACIAkiG2AFwAIgAgACYAXABuACAAIAAgACAAXAAiAEYAVQBOAEMAVABJAE8ATgAgACAAIAAgACAAIAAgACAAIAAgACAAkiFEAEUAUwBDAFIASQBQAFQASQBPAE4AtgBcACIAIAAmACAAXABuACAAIAAgACAAXAAiAEEAYgBvAHUAdABGAGkAbgBhAG4AYwBpAGEAb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MAcgBlAGEAdABlAHMAIABhAHYAZQByAGEAZwBlAHMAIABmAG8AcgAgAHAAcgBlAGMAZQBkAGkAbgBnACAAdgBhAGwAdQBlAHMAIABvAGYAIABhACAAcwBlAHQAIABzAGkAegBlACAAbQBvAHYAaQBuAGcAIABmAHIAbwBtACAAYgBlAGcAaQBuAG4AaQBuAGcAIAB0AG8AIABlAG4AZAAgAG8AdgBlAHIAIABhACAAcgBvAHcAIABvAGYAIAB2AGEAbAB1AGUAcwAuALYAXAAiACAAJgBcAG4AIAAgACAAIABcACIAUgBvAGwAbABpAG4AZwBNAGEAeA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aQBuALsDIAAgACAAIAAgACAAIAAgAJIhRgBpAG4AZABzACAAdABoAGUAIABtAGkAbg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UwB1AG0AuwMgACAAIAAgACAAIAAgACAAkiFDAHIAZQBhAHQAZQBzACAAdABvAHQAYQBsAHMAIABmAG8AcgAgAHAAcgBlAGMAZQBkAGkAbgBnACAAdgBhAGwAdQBlAHMAIABvAGYAIABhACAAcwBlAHQAIABzAGkAegBlACAAbQBvAHYAaQBuAGcAIABmAHIAbwBtACAAYgBlAGcAaQBuAG4AaQBuAGcAIAB0AG8AIABlAG4AZAAgAG8AdgBlAHIAIABhACAAcgBvAHcAIABvAGYAIAB2AGEAbAB1AGUAcwAuALYAXAAiACAAJgBcAG4AIAAgACAAIABcACIAUwB1AG0AQwBvAG4AdABhAGkAbgBzALsDIAAgACAAIAAgACAAIACSIUMAcgBlAGEAdABlAHMAIABhACAAcgBvAHcAIABvAGYAIAB0AG8AdABhAGwAcwAgAGYAbwByACAAZQBhAGMAaAAgAHIAbwB3ACAAaQBuACAAYQBuACAAYQByAHIAYQB5ACAAdwBoAGUAcgBlACAAaQB0AHMAIABsAGEAYgBlAGwAcwAgAGMAbwBuAHQAYQBpAG4AIABhACAAdQBuAGkAcQB1AGUAIABsAGUAdAB0AGUAcgAsACAAdwBvAHIAZAAsACAAbwByACAAcABoAHIAYQBzAGUALgC2AFwAIgAgACYAIABcAG4AIAAgACAAIABcACIAUwB1AG0AUABlAHIAaQBvAGQAcwC7AyAAIAAgACAAIAAgACAAIACSIUcAcgBvAHUAcABzACAAYQBuAGQAIAB0AG8AdABhAGwAcwAgAGEAbABsACAAYwBvAGwAdQBtAG4AcwAgAGkAbgAgAGEAIABWAGEAbAB1AGUAcwAgAGEAcgByAGEAeQAgAGIAeQAgAHAAZQByAGkAbwBkACAAcgBlAHMAdQBsAHQAaQBuAGcAIABpAG4AIABvAG4AZQAgAGMAbwBsAHUAbQBuACAAZgBvAHIAIABlAGEAYwBoACAAcABlAHIAaQBvAGQALgC2AFwAIgAgACYAIABcAG4AIAAgACAAIABcACIAkiG2AFwAIgAgACYAXABuACAAIAAgACAAXAAiAEEATQBPAFIAVABJAFMAQQBUAEkATwBOACAAUwBVAEkAVABFAJIhtgBcACIAIAAmACAAXABuACAAIAAgACAAXAAiAEEAbQBvAHIAdABpAHMAZQC7AyAAIAAgACAAIAAgACAAIAAgACAAkiFDAHIAZQBhAHQAZQBzACAAYQAgAGMAbwByAGsAcwBjAHIAZQB3ACAAYQBtAG8AcgB0AGkAcwBhAHQAaQBvAG4AIABzAGMAaABlAGQAdQBsAGUALgC2AFwAIgAgACYAIABcAG4AIAAgACAAIABcACIATABhAGIAZQBsAEEAbQBvAHIAdABpAHMAZQC7AyAAIAAgACAAIACSIUMAcgBlAGEAdABlACAAcgBvAHcAIABsAGEAYgBlAGwAcwAgAGYAbwByACAAQQBtAG8AcgB0AGkAcwBlALsDIAByAGUAcwB1AGwAdAC2AFwAIgAgACYAIABcAG4AIAAgACAAIABcACIAUwB1AG0AQQBtAG8AcgB0AGkAcwBlALsDIAAgACAAIAAgACAAIACSIUMAcgBlAGEAdABlACAAcgBvAHcAIAB0AG8AdABhAGwAcwAgAGYAbwByACAAcABhAHkAbQBlAG4AdABzACwAIABpAG4AdABlAHIAZQBzAHQALAAgAGEAbgBkACAAcAByAGkAbgBjAGkAcABhAGwAIABwAG8AcgB0AGkAbwBuACAAaQBuACAAQQBtAG8AcgB0AGkAcwBlALsDIAByAGUAcwB1AGwAdABzALYAXAAiACAAJgAgAFwAbgAgACAAIAAgAFwAIgCSIbYAXAAiACAAJgBcAG4AIAAgACAAIABcACIARABFAFAAUgBFAEMASQBBAFQASQBPAE4AIABTAFUASQBUAEUAkiG2AFwAIgAgACYAIABcAG4AIAAgACAAIABcACIARABlAHAAcgBlAGMAaQBhAHQAZQC7AyAAIAAgACAAIAAgACAAIACSIUMAcgBlAGEAdABlACAAYQAgAGIAbABvAGMAawAgAG8AZgAgAEMAQQBQAEUAWAAsACAATwBwAGUAbgBpAG4AZwAgAEIAYQBsAGEAbgBjAGUALAAgAEQAZQBwAHIAZQBjAGkAYQB0AGkAbwBuACAAVgBhAGwAdQBlAHMALAAgAGEAbgBkACAAQgBvAG8AawAgAFYAYQBsAHUAZQAgAGYAbwByACAAZQBhAGMAaAAgAGEAcwBzAGUAdAC2AFwAIgAgACYAIABcAG4AIAAgACAAIABcACIATABhAGIAZQBsAEQAZQBwAHIAZQBjAGkAYQB0AGUAuwMgACAAIACSIUMAcgBlAGEAdABlACAAcgBvAHcAIABsAGEAYgBlAGwAcwAgAGYAbwByACAARABlAHAAcgBlAGMAaQBhAHQAZQC7AyAAcgBlAHMAdQBsAHQAtgBcACIAIAAmACAAXABuACAAIAAgACAAXAAiAFMAdQBtAEQAZQBwAHIAZQBjAGkAYQB0AGUAuwMgACAAIAAgACAAkiFDAHIAZQBhAHQAZQAgAHIAbwB3ACAAdABvAHQAYQBsAHMAIABmAG8AcgAgAEMAQQBQAEUAWAAsACAARABlAHAAcgBlAGMAaQBhAHQAaQBvAG4ALAAgAEIAbwBvAGsAIABWAGEAbAB1AGUALAAgAFMAYQBsAHYAYQBnAGUAIABWAGEAbAB1AGUALAAgAGEAbgBkACAARABpAHMAcABvAHMAYQBsACAAYwBvAHMAdABzACAAaQBuACAARABlAHAAcgBlAGMAaQBhAHQAZQC7AyAAcgBlAHMAdQBsAHQAcwC2AFwAIgAgACYAIABcAG4AIAAgACAAIABcACIAQQBsAGwAbwBjAGEAdABlALsDIAAgACAAIAAgACAAIAAgACAAIACSIUQAaQB2AGkAZABlACAAbwBuAGUAIABvAHIAIABtAG8AcgBlACAAYQBtAG8AdQBuAHQAcwAgAGUAcQB1AGEAbABsAHkAIABhAGMAcgBvAHMAcwAgAHMAbQBhAGwAbABlAHIAIABwAGUAcgBpAG8AZABzALYAXAAiACAAJgAgAFwAbgAgACAAIAAgAFwAIgBTAEwATgC7AyAAIAAgACAAIAAgACAAIAAgACAAIAAgACAAIAAgAJIhUwB0AHIAYQBpAGcAaAB0ACAATABpAG4AZQAgAGQAZQBwAHIAZQBjAGkAYQB0AGkAbwBuACAAbQBlAHQAaABvAGQAIABmAG8AcgAgAG8AbgBlACAAYQBzAHMAZQB0ACAAbwByACAAYQBzAHMAZQB0ACAAYwBsAGEAcwBzAC4AtgBcACIAIAAmACAAXABuACAAIAAgACAAXAAiAFMAWQBEALsDIAAgACAAIAAgACAAIAAgACAAIAAgACAAIAAgACAAkiFTAHUAbQAtAG8AZgAtAHkAZQBhAHIAcwAnACAAZABpAGcAaQB0AHMAIABkAGUAcAByAGUAYwBpAGEAdABpAG8AbgAgAG0AZQB0AGgAbwBkACAAZgBvAHIAIABvAG4AZQAgAGEAcwBzAGUAdAAgAG8AcgAgAGEAcwBzAGUAdAAgAGMAbABhAHMAcwAuALYAXAAiACAAJgAgAFwAbgAgACAAIAAgAFwAIgBEAEIAuwMgACAAIAAgACAAIAAgACAAIAAgACAAIAAgACAAIAAgAJIhRgBpAHgAZQBkACAAZABlAGMAbABpAG4AaQBuAGcAIABiAGEAbABhAG4AYwBlACAAZABlAHAAcgBlAGMAaQBhAHQAaQBvAG4AIABtAGUAdABoAG8AZAAgAGYAbwByACAAbwBuAGUAIABhAHMAcwBlAHQAIABvAHIAIABhAHMAcwBlAHQAIABjAGwAYQBzAHMALgC2AFwAIgAgACYAIABcAG4AIAAgACAAIABcACIARABEAEIAuwMgACAAIAAgACAAIAAgACAAIAAgACAAIAAgACAAIACSIUQAbwB1AGIAbABlAC0AZABlAGMAbABpAG4AaQBuAGcAIABiAGEAbABhAG4AYwBlACAAZABlAHAAcgBlAGMAaQBhAHQAaQBvAG4AIABtAGUAdABoAG8AZAAgAGYAbwByACAAbwBuAGUAIABhAHMAcwBlAHQAIABvAHIAIABhAHMAcwBlAHQAIABjAGwAYQBzAHMALgC2AFwAIgAgACYAIABcAG4AIAAgACAAIABcACIAVgBEAEIAuwMgACAAIAAgACAAIAAgACAAIAAgACAAIAAgACAAIACSIVYAYQByAGkAYQBiAGwAZQAgAGQAZQBjAGwAaQBuAGkAbgBnACAAYgBhAGwAYQBuAGMAZQAgAGQAZQBwAHIAZQBjAGkAYQB0AGkAbwBuACAAbQBlAHQAaABvAGQAIABmAG8AcgAgAG8AbgBlACAAYQBzAHMAZQB0ACAAbwByACAAYQBzAHMAZQB0ACAAYwBsAGEAcwBzAC4AtgBcACIAIAAmACAAXABuACAAIAAgACAAIAAgACAAIAAgACAAIAAgACAAIAAgACAAIAAgACAAIAAgACAAIAAgACAAIAAgACAAIAAgACAAIAAgACAAIAAgACAAIAAgACAAIAAgACAAXAAiAEQAaQBtAGkAbgBpAHMAaABpAG4AZwBWAGEAbAB1AGUAuwM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CAAXABuACAAIAAgACAAIAAgACAAIAAgACAAIAAgACAAIAAgACAAIAAgACAAIAAgACAAIAAgACAAIAAgACAAIAAgACAAIAAgACAAIAAgACAAIAAgACAAIAAgACAAXAAiAFAAcgBpAG0AZQBDAG8AcwB0ALsDIAAgACAAIAAgACA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IABcAG4AIAAgACAAIAAgACAAIAAgACAAIAAgACAAIAAgACAAIAAgACAAIAAgACAAIAAgACAAIAAgACAAIAAgACAAIAAgACAAIAAgACAAIAAgACAAIAAgACAAIABcACIAkiG2AFwAIgAgACYAIABcAG4AIAAgACAAIAAgACAAIAAgACAAIAAgACAAIAAgACAAIAAgACAAIAAgACAAIAAgACAAIAAgACAAIAAgACAAIAAgACAAIAAgACAAIAAgACAAIAAgACAAIABcACIAQQBVAFMAVABSAEEATABJAEEATgAgAFQAQQBYACAAIAAgACAAIACSIbYAXAAiACAAJgAgAFwAbgAgACAAIAAgACAAIAAgACAAIAAgACAAIAAgACAAIAAgACAAIAAgACAAIAAgACAAIAAgACAAIAAgACAAIAAgACAAIAAgACAAIAAgACAAIAAgACAAIAAgAFwAIgBHAFMAVABBAGQAZAC7AyAAIAAgACAAIAAgACAAIAAgACAAIAAgAJIhQQBkAGQAcwAgAEcAUwBUACAAdABvACAAbwBuAGUAIABvAHIAIABtAG8AcgBlACAARwBTAFQALQBlAHgAYwBsAHUAcwBpAHYAZQAgAGEAbQBvAHUAbgB0AHMALgC2AFwAIgAgACYAIABcAG4AIAAgACAAIAAgACAAIAAgACAAIAAgACAAIAAgACAAIAAgACAAIAAgACAAIAAgACAAIAAgACAAIAAgACAAIAAgACAAIAAgACAAIAAgACAAIAAgACAAIABcACIARwBTAFQARQB4AHQAcgBhAGMAdAC7AyAAIAAgACAAIAAgACAAIACSIVIAZQB0AHUAcgBuAHMAIAB0AGgAZQAgAEcAUwBUACAAYwBvAG4AdABhAGkAbgBlAGQAIABpAG4AIABvAG4AZQAgAG8AcgAgAG0AbwByAGUAIABHAFMAVAAtAGkAbgBjAGwAdQBzAGkAdgBlACAAYQBtAG8AdQBuAHQAcwAuALYAXAAiACAAJgBcAG4AIAAgACAAIAAgACAAIAAgACAAIAAgACAAIAAgACAAIAAgACAAIAAgACAAIAAgACAAIAAgACAAIAAgACAAIAAgACAAIAAgACAAIAAgACAAIAAgACAAIABcACIATABFAEEAUwBFAFMAIAAoAEEAQQBTAEIAIAAxADYAKQAgACAAIACSIbYAXAAiACAAJgBcAG4AIAAgACAAIAAgACAAIAAgACAAIAAgACAAIAAgACAAIAAgACAAIAAgACAAIAAgACAAIAAgACAAIAAgACAAIAAgACAAIAAgACAAIAAgACAAIAAgACAAIABcACIATABlAGEAcwBlAEwAaQBhAGIAaQBsAGkAdAB5ALsDIAAgACAAIACSIVAAcgBlAHMAZQBuAHQAIAB2AGEAbAB1AGUAIABvAGYAIAB0AGgAZQAgAGwAZQBhAHMAZQAgAHAAYQB5AG0AZQBuAHQAcwAgAHQAaABhAHQAIABhAHIAZQAgAG4AbwB0ACAAcABhAGkAZAAgAGEAdAAgAHQAaABlACAAYwBvAG0AbQBlAG4AYwBlAG0AZQBuAHQAIABkAGEAdABlALYAXAAiACAAJgBcAG4AIAAgACAAIAAgACAAIAAgACAAIAAgACAAIAAgACAAIAAgACAAIAAgACAAIAAgACAAIAAgACAAIAAgACAAIAAgACAAIAAgACAAIAAgACAAIAAgACAAIABcACIATABlAGEAcwBlAFMAYwBoAGUAZAB1AGwAZQC7AyAAIAAgACAAIACSIVUAbgB3AGkAbgBkAHMAIABhACAAbABlAGEAcwBlACAAbABpAGEAYgBpAGwAaQB0AHkAIABpAG4AdABvACAAbwBwAGUAbgBpAG4AZwAsACAAcABhAHkAbQBlAG4AdAAsACAAaQBuAHQAZQByAGUAcwB0ACAAYQBuAGQAIABjAGwAbwBzAGkAbgBnACAAcgBvAHcAcwC2AFwAIgAgACYAXABuACAAIAAgACAAIAAgACAAIAAgACAAIAAgACAAIAAgACAAIAAgACAAIAAgACAAIAAgACAAIAAgACAAIAAgACAAIAAgACAAIAAgACAAIAAgACAAIAAgACAAXAAiAEwAZQBhAHMAZQBSAGUAbQBlAGEAcwB1AHIAZQC7AyAAIAAgACAAkiFSAGUAbQBlAGEAcwB1AHIAZQBzACAAYQAgAGwAZQBhAHMAZQAgAGwAaQBhAGIAaQBsAGkAdAB5ACAAZgBvAHIAIAByAGUAdgBpAHMAZQBkACAAcABhAHkAbQBlAG4AdABzACAAYQBuAGQAIABhAGQAagB1AHMAdABzACAAdABoAGUAIAByAGkAZwBoAHQALQBvAGYALQB1AHMAZQAgAGEAcwBzAGUAdAC2AFwAIgAgACYAXABuACAAIAAgACAAIAAgACAAIAAgACAAIAAgACAAIAAgACAAIAAgACAAIAAgACAAIAAgACAAIAAgACAAIAAgACAAIAAgACAAIAAgACAAIAAgACAAIAAgACAAXAAiAFIATwBVAFMAYwBoAGUAZAB1AGwAZQC7AyAAIAAgACAAIAAgACAAkiFEAGUAcAByAGUAYwBpAGEAdABlAHMAIABhACAAcgBpAGcAaAB0AC0AbwBmAC0AdQBzAGUAIABhAHMAcwBlAHQAIABpAG4AIABhACAAcwB0AHIAYQBpAGcAaAB0ACAAbABpAG4AZQAgAG8AdgBlAHIAIAB0AGgAZQAgAGwAZQBhAHMAZQAgAHQAZQByAG0AtgBcACIAIAAmACAAXABuACAAIAAgACAAIAAgACAAIAAgACAAIAAgACAAIAAgACAAIAAgACAAIAAgACAAIAAgACAAIAAgACAAIAAgACAAIAAgACAAIAAgACAAIAAgACAAIAAgACAAXABuACAAIAAgACAAXAAiAJIhtgBcACIAIAAmAFwAbgAgACAAIAAgAFwAIgBTAFUAQgBSAE8AVQBUAEkATgBFAFMAIAAgACAAIAAgACAAIAAgAJIhRgB1AG4AYwB0AGkAbwBuAHMAIAB1AHMAZQBkACAAYgB5ACAAbwB0AGgAZQByACAAZgB1AG4AYwB0AGkAbwBuAHMAIABvAHIAIABnAGUAbgBlAHIAYQBsACAAcAB1AHIAcABvAHMAZQAgAGYAdQBuAGMAdABpAG8AbgBzAC4AtgBcACIAIAAmACAAXABuACAAIAAgACAAXAAiAEYAaQBsAHQAZQByAEMAbwBuAHQAYQBpAG4AcwC7AyAAIAAgACAAkiFGAGkAbAB0AGUAcgAgAGEAbgAgAGEAcgByAGEAeQAgAGIAeQAgAGEAbgBvAHQAaABlAHIAIABhAHIAcgBhAHkAIAB0AGgAYQB0ACAAYwBvAG4AdABhAGkAbgBzACAAcwBwAGUAYwBpAGYAaQBjACAAdABlAHgAdAC2AFwAIgAgACYAIABcAG4AIAAgACAAIABcACIAUgBhAG4AZwBlAFQAbwBEAEEAuwMgACAAIAAgACAAIAAgACAAIACSIUMAcgBlAGEAdABlACAAYQAgAGQAeQBuAGEAbQBpAGMAIABhAHIAcgBhAHkAIABmAHIAbwBtACAAYQAgAHMAdABhAHQAaQBjACAAcgBhAG4AZwBlALYAXAAiACAAJgAgAFwAbgAgACAAIAAgAFwAIgBUAGkAbQBlAGwAaQBuAGUATwBmAGYAcwBlAHQAuwMgACAAIAAgAJIhRABlAHQAZQByAG0AaQBuAGUAcwAgAGgAbwB3ACAAbQBhAG4AeQAgAGMAbwBsAHUAbQBuAHMAIABhACAAZABhAHQAZQAgAGkAcwAgAG8AZgBmAHMAZQB0ACAAZgByAG8AbQAgAGEAIAB0AGkAbQBlAGwAaQBuAGUAJwBzACAAZgBpAHIAcwB0ACAAZABhAHQAZQC2AFwAIgAgACYAIABcAG4AIAAgACAAIABcACIAVABpAG0AZQBsAGkAbgBlAFAAbwBzAGkAdABpAG8AbgC7AyAAIACSIVAAbABhAGMAZQBzACAAYQBuACAAYQByAHIAYQB5ACAAbwByACAAdgBhAGwAdQBlACAAYQBwAHAAcgBvAHAAcgBpAGEAdABlAGwAeQAgAHcAaQB0AGgAaQBuACAAYQAgAG0AbwBkAGUAbAAnAHMAIAB0AGkAbQBlAGwAaQBuAGUALgC2AFwAIgAgACYAIAAgAFwAbgAgACAAIAAgAFwAIgBQAGUAcgBpAG8AZABTAHQAYQByAHQAuwMgACAAIAAgACAAIAAgAJIhRABlAHQAZQByAG0AaQBuAGUAIAB3AGgAZQBuACAAYQAgAHAAZQByAGkAbwBkACAAYwBvAG4AdABhAGkAbgBpAG4AZwAgAGEAIABkAGEAdABlACAAbwBmACAAaQBuAHQAZQByAGUAcwB0ACAAcwB0AGEAcgB0AHMALgC2AFwAIgAgACYAIABcAG4AIAAgACAAIABcACIAUABlAHIAaQBvAGQARABpAGYAZgC7AyAAIAAgACAAIAAgACAAIACSIUQAZQB0AGUAcgBtAGkAbgBlACAAdABoAGUAIABuAHUAbQBiAGUAcgAgAG8AZgAgAHAAZQByAGkAbwBkAHMAIABiAGUAdAB3AGUAZQBuACAAdAB3AG8AIABkAGEAdABlAHMALgBcACIALABcAG4AIAAgACAAIABcACIAkiFcACIALABcACIAtgBcACIAXABuACAAIAAgACAAKQBcAG4AKQA7AFwAbgBcAG4AXABuAFwAbgBcAG4ALwAqACAAIABGAFUATgBDAFQASQBPAE4AIABOAEEATQBFADoAIAAgAEMAbwByAGsAcwBjAHIAZQB3ALsDXABuACAAIAAgACAARABFAFMAQwBSAEkAUABUAEkATwBOADoAKgAvAC8AKgAqAEMAcgBlAGEAdABlACAAYQAgAGMAbwByAGsAcwBjAHIAZQB3ACAAcwBlAGMAdABpAG8AbgAgAHQAaABhAHQAIABzAHUAbQBzACAAdABoAGUAIABvAHAAZQBuAGkAbgBnACAAYgBhAGwAYQBuAGMAZQAgAGEAbgBkACAAdQBwACAAdABvACAANAAgAGkAbgBkAGUAcABlAG4AZABlAG4AdAAgAGYAbABvAHcAcwAuACoALwBcAG4AQwBvAHIAawBzAGMAcgBlAHcAuwM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FwAbgAgACAAIAAgAEwARQBUACgAXABuACAAIAAgACAALwAvACAAIABIAGUAbABwAFwAbgAgACAAIAAgACAAIAAgACAASABlAGwAcAAsACAAIAAgACAAIAAgACAAVABSAEkATQAoAFQARQBYAFQAUwBQAEwASQBUACgAIABcAG4AIAAgACAAIAAgACAAIAAgACAAIAAgACAAIAAgACAAIAAgACAAIAAgACAAIAAgACAAXAAiAEYAVQBOAEMAVABJAE8ATgA6ACAAIAAgACAAIAAgAJIhQwBvAHIAawBzAGMAcgBlAHcAuwMoACAATwBwAGUAbgBpAG4AZwAsACAARgBsAG8AdwAxACwAIABbAEYAbABvAHcAMgBdACwAIABbAEYAbABvAHcAMwBdACwAIABbAEYAbABvAHcANABdACkAtgBcACIAIAAmAFwAbgAgACAAIAAgACAAIAAgACAAIAAgACAAIAAgACAAIAAgACAAIAAgACAAIAAgACAAIABcACIARABFAFMAQwBSAEkAUABUAEkATwBOADoAIAAgACAAkiFDAHIAZQBhAHQAZQAgAGEAIABjAG8AcgBrAHMAYwByAGUAdwAgAHMAZQBjAHQAaQBvAG4AIAB0AGgAYQB0ACAAcwB1AG0AcwAgAHQAaABlACAAbwBwAGUAbgBpAG4AZwAgAGIAYQBsAGEAbgBjAGUAIABhAG4AZAAgAHUAcAAgAHQAbwAgADQAIABpAG4AZABlAHAAZQBuAGQAZQBuAHQAIABmAGwAbwB3AHM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C2AFwAIgAgACYAIABcAG4AIAAgACAAIAAgACAAIAAgACAAIAAgACAAIAAgACAAIAAgACAAIAAgACAAIAAgACAAXAAiAJIhtgBcACIAIAAmAFwAbgAgACAAIAAgACAAIAAgACAAIAAgACAAIAAgACAAIAAgACAAIAAgACAAIAAgACAAIABcACIARQBYAEEATQBQAEwARQBTADoAIAAgACAAIAAgACAAkiFOAE8AVABFACEAIABvAHoAIABpAHMAIABhAHMAcwB1AG0AZQBkACAAdABvACAAYgBlACAAdABoAGUAIABtAG8AZAB1AGwAZQAnAHMAIABuAGEAbQBlALYAXAAiACAAJgAgAFwAbgAgACAAIAAgACAAIAAgACAAIAAgACAAIAAgACAAIAAgACAAIAAgACAAIAAgACAAIABcACIARgBvAHIAbQB1AGwAYQA6ACAAIAAgACAAIAAgACAAkiE9AG8AegAuAEMAbwByAGsAcwBjAHIAZQB3ALsDKAAwACwAIABTAGUAcQB1AGUAbgBjAGUAKAAxACwANQApACkAtgBcACIAIAAmAFwAbgAgACAAIAAgACAAIAAgACAAIAAgACAAIAAgACAAIAAgACAAIAAgACAAIAAgACAAIABcACIAUgBlAHMAdQBsAHQAOgAgACAAIAAgACAAIAAgACAAkiEwADAALAAgADAAMQAsACAAMAAzACwAIAAwADYALAAgADEAMAC2AFwAIgAgACYAXABuACAAIAAgACAAIAAgACAAIAAgACAAIAAgACAAIAAgACAAIAAgACAAIAAgACAAIAAgACAAIAAgACAAIAAgACAAIAAgACAAIAAgACAAIAAgAFwAIgCSITAAMQAsACAAMAAyACwAIAAwADMALAAgADAANAAsACAAMAA1ALYAXAAiACAAJgBcAG4AIAAgACAAIAAgACAAIAAgACAAIAAgACAAIAAgACAAIAAgACAAIAAgACAAIAAgACAAIAAgACAAIAAgACAAIAAgACAAIAAgACAAIAAgACAAXAAiAJIhMAAxACwAIAAwADMALAAgADAANgAsACAAMQAwACwAIAAxADU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PAHAAZQBuAGkAbgBnACkALABcAG4AIAAgACAAIAAgACAAIAAgACAAIAAgACAAIAAgACAAIAAgACAAIAAgACAAIAAgACAAIAAgACAAIABJAFMATwBNAEkAVABUAEUARAAoACAARgBsAG8AdwAxACkAXABuACAAIAAgACAAIAAgACAAIAAgACAAIAAgACAAIAAgACAAIAAgACAAIAAgACAAIAAgACkALABcAG4AIAAgACAAIAAvAC8AIAAgAFAAcgBvAGMAZQBzAHMAaQBuAGcAXABuACAAIAAgACAAIAAgACAAIABDAG8AbABzACwAIAAgACAAIAAgACAAIAAgACAAIAAgAEMAbwBsAHUAbQBuAHMAKABGAGwAbwB3ADEAKQAs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AgACAAIAAgACAAIAAgACAAIAAgACAAIAAgACAAIAAgACAAIAAgACAAIAAgACAAXABuACAAIAAgACAAIAAgACAAIABQAGUAcgBpAG8AZABBAHIAcgBhAHkALAAgACAAIAAgAFMAVwBJAFQAQwBIACgAUgBvAHcAcwAsACAAXABuACAAIAAgACAAIAAgACAAIAAgACAAIAAgACAAIAAgACAAIAAgACAAIAAgACAAIAAgACAAIAAgACAAMQAsACAAIABGAGwAbwB3ADEALAAgAFwAbgAgACAAIAAgACAAIAAgACAAIAAgACAAIAAgACAAIAAgACAAIAAgACAAIAAgACAAIAAgACAAIAAgADIALAAgACAAVgBTAFQAQQBDAEsAKABGAGwAbwB3ADEALAAgAEYAbABvAHcAMgApACwAIABcAG4AIAAgACAAIAAgACAAIAAgACAAIAAgACAAIAAgACAAIAAgACAAIAAgACAAIAAgACAAIAAgACAAIAAzACwAIAAgAFYAUwBUAEEAQwBLACgARgBsAG8AdwAxACwAIABGAGwAbwB3ADIALAAgAEYAbABvAHcAMwApACwAXABuACAAIAAgACAAIAAgACAAIAAgACAAIAAgACAAIAAgACAAIAAgACAAIAAgACAAIAAgACAAIAAgACAANAAsACA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gACAAIAAgAEMAbABvAHMAaQBuAGcAVABvAHQAYQBsACwAIAAgACAAUwBDAEEATgAoAE8AcABlAG4AaQBuAGcALAAgAFAAZQByAGkAbwBkAFQAbwB0AGEAbAAsACAATABBAE0AQgBEAEEAKABPAHAAbgAsACAAUAByAGQAVABvAHQALAAgAE8AcABuACAAKwAgAFAAcgBkAFQAbwB0ACkAKQAsACAAXABuACAAIAAgACAAIAAgACAAIABPAHAAZQBuAGkAbgBnAFQAbwB0AGEAbAAsACAAIAAgAE0AQQBQACgAIABTAEUAUQBVAEUATgBDAEUAKAAsACAAQwBvAGwAcwApACwAIABMAEEATQBCAEQAQQAoACAAQwBvAGwALAAgAEkARgAoACAAQwBvAGwAIAA9ACAAMQAsACAATwBwAGUAbgBpAG4AZwAsACAASQBOAEQARQBYACgAIABDAGwAbwBzAGkAbgBnAFQAbwB0AGEAbAAsACAAQwBvAGwAIAAtACAAMQApACkAKQApACwAXABuACAAIAAgACAAIAAgACAAIABSAGUAcwB1AGwAdAAsACAAIAAgACAAIAAgACAAIAAgAFYAUwBUAEEAQwBLACgATwBwAGUAbgBpAG4AZwBUAG8AdABhAGwALAAgAFAAZQByAGkAbwBkAEEAcgByAGEAeQAsACAAQwBsAG8AcwBpAG4AZwBUAG8AdABhAGwAKQAsACA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QwBvAHIAawBTAGMAcgBlAHcAUgBlAHYAZQByAHMAYQBsALsDXABuACAAIAAgACAARABFAFMAQwBSAEkAUABUAEkATwBOADoAKgAvAC8AKgAqAEMAcgBlAGEAdABlACAAYQAgAGMAbwByAGsAcwBjAHIAZQB3ACAAdwBoAGUAcgBlACAAdABoAGUAIABvAHAAZQBuAGkAbgBnACAAYgBhAGwAYQBuAGMAZQAgAGkAcwAgAHIAZQB2AGUAcgBzAGUAZAAgAGkAbgAgAHQAaABlACAAbgBlAHgAdAAgAHAAZQByAGkAbwBkACAAYgBhAHMAZQBkACAAbwBuACAAYQAgAHQAaQBtAGkAbgBnACAAcABhAHIAYQBtAGUAdABlAHIALgAqAC8AXABuAEMAbwByAGsAUwBjAHIAZQB3AFIAZQB2AGUAcgBzAGEAbAC7Az0ATABBAE0AQgBEAEEAKABcAG4ALwAvACAAIABQAGEAcgBhAG0AZQB0AGUAcgAgAEQAZQBjAGwAYQByAGEAdABpAG8AbgBzAFwAbgAgACAAIAAgAFsATwBwAGUAbgBpAG4AZwBdACwAXABuACAAIAAgACAAWwBSAGUAdgBlAHIAcwBhAGwARgBsAGEAZwBzAF0ALABcAG4AIAAgACAAIABbAEYAbABvAHcAMQBdACwAXABuACAAIAAgACAAWwBGAGwAbwB3ADIAXQAsAFwAbgAgACAAIAAgAFsARgBsAG8AdwAzAF0ALABcAG4AIAAgACAAIABbAEYAbABvAHcANABdACwAIABcAG4AIAAgACAAIAAvAC8AIAAgAEgAZQBsAHAAXABuACAAIAAgACAATABFAFQAKABIAGUAbABwACwAIAAgACAAIAAgACAAIAAgACAAIAAgAFQAUgBJAE0AKABUAEUAWABUAFMAUABMAEkAVAAoAFwAbgAgACAAIAAgACAAIAAgACAAIAAgACAAIAAgACAAIAAgACAAIAAgACAAIAAgACAAIABcACIARgBVAE4AQwBUAEkATwBOADoAIAAgACAAIAAgACAAkiFDAG8AcgBrAFMAYwByAGUAdwBSAGUAdgBlAHIAcwBhAGwAuwMoACAATwBwAGUAbgBpAG4AZwAsACAAUgBlAHYAZQByAHMAYQBsAEYAbABhAGcAcwAsACAARgBsAG8AdwAxACwAIABbAEYAbABvAHcAMgBdACwAIABbAEYAbABvAHcAMwBdACwAIABbAEYAbABvAHcANABdACkAtgBcACIAIAAmACAAXABuACAAIAAgACAAIAAgACAAIAAgACAAIAAgACAAIAAgACAAIAAgACAAIAAgACAAIAAgAFwAIgBEAEUAUwBDAFIASQBQAFQASQBPAE4AOgAgACAAIACSIUMAcgBlAGEAdABlACAAYQAgAGMAbwByAGsAcwBjAHIAZQB3ACAAdwBoAGUAcgBlACAAdABoAGUAIABvAHAAZQBuAGkAbgBnACAAYgBhAGwAYQBuAGMAZQAgAGkAcwAgAHIAZQB2AGUAcgBzAGUAZAAgAGkAbgAgAHQAaABlACAAbgBlAHgAdAAgAHAAZQByAGkAbwBkACAAYgBhAHMAZQBkACAAbwBuACAAYQAgAHQAaQBtAGkAbgBnACAAcABhAHIAYQBtAGUAdABlAHIAtgBcACIAIAAmACA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IA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SAGUAdgBlAHIAcwBhAGwARgBsAGEAZwBzACAAIACSISgAUgBlAHEAdQBpAHIAZQBkACkAIABBACAAcgBvAHcAIABvAGYAIABvAG4AZQBzACAAYQBuAGQAIABiAGwAYQBuAGsAcwAgACgAbwByACAAegBlAHIAbwBzACkAIABpAG4AZABpAGMAYQB0AGkAbgBnACAAdwBoAGUAbgAgAHQAbwAgAHIAZQB2AGUAcgBzAGUAIABwAGUAcgBpAG8AZAAgAHQAbwB0AGEAbABz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BcACIALAAgAFwAbgAgACAAIAAgACAAIAAgACAAIAAgACAAIAAgACAAIAAgACAAIAAgACAAIAAgACAAIABcACIAkiFcACIALAAgAFwAIgC2AFwAIgApACkALAAgAFwAbgAgACAAIAAgAC8ALwAgACAAQwBoAGUAYwBrACAAaQBuAHAAdQB0AHMAIAAtACAATwBtAGkAdAB0AGUAZAAgAHIAZQBxAHUAaQByAGUAZAAgAGEAcgBnAHUAbQBlAG4AdABzAFwAbgAgACAAIAAgACAAIAAgACAASABlAGwAcAA/ACwAIAAgACAAIAAgACAAIAAgACAAIABPAFIAKAAgAEkAUwBPAE0ASQBUAFQARQBEACgAIABPAHAAZQBuAGkAbgBnACkALAAgAFwAbgAgACAAIAAgACAAIAAgACAAIAAgACAAIAAgACAAIAAgACAAIAAgACAAIAAgACAAIAAgACAAIAAgAEkAUwBPAE0ASQBUAFQARQBEACgAIABSAGUAdgBlAHIAcwBhAGwARgBsAGEAZwBzACkALAAgAFwAbgAgACAAIAAgACAAIAAgACAAIAAgACAAIAAgACAAIAAgACAAIAAgACAAIAAgACAAIAAgACAAIAAgAEkAUwBPAE0ASQBUAFQARQBEACgAIABGAGwAbwB3ADEAKQApACwAIABcAG4AIAAgACAAIAAvAC8AIAAgAFMAZQB0ACAAZABlAGYAYQB1AGwAdABzACAAYQBuAGQAIABjAG8AbgBzAHQAYQBuAHQAcwBcAG4AIAAgACAAIAAgACAAIAAgAEMAbwBsAHMALAAgACAAIAAgACAAIAAgACAAIAAgACAAQwBPAEwAVQBNAE4AUwAoAEYAbABvAHcAMQApACwAI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XABuACAAIAAgACAALwAvACAAIABQAHIAbwBjAGUAZAB1AHIAZQBcAG4AIAAgACAAIAAgACAAIAAgAFAAZQByAGkAbwBkAEEAcgByAGEAeQAsACAAIAAgACAAUwBXAEkAVABDAEgAKABSAG8AdwBzACwAIABcAG4AIAAgACAAIAAgACAAIAAgACAAIAAgACAAIAAgACAAIAAgACAAIAAgACAAIAAgACAAIAAgACAAIAAxACwAIABGAGwAbwB3ADEALAAgAFwAbgAgACAAIAAgACAAIAAgACAAIAAgACAAIAAgACAAIAAgACAAIAAgACAAIAAgACAAIAAgACAAIAAgADIALAAgAFYAUwBUAEEAQwBLACgARgBsAG8AdwAxACwAIABGAGwAbwB3ADIAKQAsACAAXABuACAAIAAgACAAIAAgACAAIAAgACAAIAAgACAAIAAgACAAIAAgACAAIAAgACAAIAAgACAAIAAgACAAMwAsACAAVgBTAFQAQQBDAEsAKABGAGwAbwB3ADEALAAgAEYAbABvAHcAMgAsACAARgBsAG8AdwAzACkALAAgAFwAbgAgACAAIAAgACAAIAAgACAAIAAgACAAIAAgACAAIAAgACAAIAAgACAAIAAgACAAIAAgACAAIAAgADQAL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UgBlAHMAdQBsAHQALAAgACAAIAAgACAAIAAgACAAIABSAEUARABVAEMARQAoACAAMAAsACAAUwBFAFEAVQBFAE4AQwBFACgAIABDAE8ATABVAE0ATgBTACgAIABGAGwAbwB3ADEAKQApACwAXABuACAAIAAgACAAIAAgACAAIAAgACAAIAAgACAAIAAgACAAIAAgACAAIAAgACAAIAAgACAAIAAgACAATABBAE0AQgBEAEEAKAAgAEEAYwBjACwAIABDAG8AbAAsAFwAbgAgACAAIAAgACAAIAAgACAAIAAgACAAIAAgACAAIAAgACAAIAAgACAAIAAgACAAIAAgACAAIAAgACAAIAAgACAATABFAFQAKABcAG4AIAAgACAAIAAgACAAIAAgACAAIAAgACAAIAAgACAAIAAgACAAIAAgACAAIAAgACAAIAAgACAAIAAgACAAIAAgACAAIAAgACAATwBwAGUAbgBpAG4AZwAsACAAIAAgACAAIAAgACAAIABJAEYAKABDAG8AbAA9ADEALAAgAE8AcABlAG4AaQBuAGcALAAgAFQAQQBLAEUAKAAgAEEAYwBjACwAIAAtADEALAAgAC0AMQApACkALAAgAFwAbgAgACAAIAAgACAAIAAgACAAIAAgACAAIAAgACAAIAAgACAAIAAgACAAIAAgACAAIAAgACAAIAAgACAAIAAgACAAIAAgACAAIABSAGUAdgBlAHIAcwBhAGwALAAgACAAIAAgACAAIAAgAC0ASQBOAEQARQBYACgAIABSAGUAdgBlAHIAcwBhAGwARgBsAGEAZwBzACwAIAAxACwAIABDAG8AbAApACAAKgAgAE8AcABlAG4AaQBuAGcALAAgAFwAbgAgACAAIAAgACAAIAAgACAAIAAgACAAIAAgACAAIAAgACAAIAAgACAAIAAgACAAIAAgACAAIAAgACAAIAAgACAAIAAgACAAIABBAHIAcgBhAHkAQwBvAGwAdQBtAG4ALAAgACAAIAAgAEMASABPAE8AUwBFAEMATwBMAFMAKAAgAFAAZQByAGkAbwBkAEEAcgByAGEAeQAsACAAQwBvAGwAKQAsAFwAbgAgACAAIAAgACAAIAAgACAAIAAgACAAIAAgACAAIAAgACAAIAAgACAAIAAgACAAIAAgACAAIAAgACAAIAAgACAAIAAgACAAIABTAHQAYQBjAGsALAAgACAAIAAgACAAIAAgACAAIAAgAFYAUwBUAEEAQwBLACgAIABcAG4AIAAgACAAIAAgACAAIAAgACAAIAAgACAAIAAgACAAIAAgACAAIAAgACAAIAAgACAAIAAgACAAIAAgACAAIAAgACAAIAAgACAAIAAgACAAIAAgACAAIAAgACAAIAAgACAAIAAgACAAIAAgACAAIAAgAE8AcABlAG4AaQBuAGcALAAgAFwAbgAgACAAIAAgACAAIAAgACAAIAAgACAAIAAgACAAIAAgACAAIAAgACAAIAAgACAAIAAgACAAIAAgACAAIAAgACAAIAAgACAAIAAgACAAIAAgACAAIAAgACAAIAAgACAAIAAgACAAIAAgACAAIAAgACAAUgBFAHYAZQByAHMAYQBsACwAIABcAG4AIAAgACAAIAAgACAAIAAgACAAIAAgACAAIAAgACAAIAAgACAAIAAgACAAIAAgACAAIAAgACAAIAAgACAAIAAgACAAIAAgACAAIAAgACAAIAAgACAAIAAgACAAIAAgACAAIAAgACAAIAAgACAAIAAgAEEAcgByAGEAeQBDAG8AbAB1AG0AbgAsACAAXABuACAAIAAgACAAIAAgACAAIAAgACAAIAAgACAAIAAgACAAIAAgACAAIAAgACAAIAAgACAAIAAgACAAIAAgACAAIAAgACAAIAAgACAAIAAgACAAIAAgACAAIAAgACAAIAAgACAAIAAgACAAIAAgACAAIABTAFUATQAoAE8AcABlAG4AaQBuAGcALAAgAFIAZQB2AGUAcgBzAGEAbAAsACAAQQByAHIAYQB5AEMAbwBsAHUAbQBuACkAKQAsAFwAbgAgACAAIAAgACAAIAAgACAAIAAgACAAIAAgACAAIAAgACAAIAAgACAAIAAgACAAIAAgACAAIAAgACAAIAAgACAAIAAgACAAIABSAGUAcwB1AGwAdAAsACAAIAAgACAAIAAgACAAIAAgAEkARgAoAEMAbwBsACAAPQAgADEALAAgAFMAdABhAGMAawAsACAASABTAFQAQQBDAEsAKAAgAEEAYwBjACwAIABTAHQAYQBjAGs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uAHQATwBuAEkAbgB0ALsDXAB0AFwAbgAgACAAIAAgAEQARQBTAEMAUgBJAFAAVABJAE8ATgA6ACoALwAgAC8AKgAqAEMAYQBsAGMAdQBsAGEAdABlACAASQBuAHQAZQByAGUAcwB0ACAAbwBuACAASQBuAHQAZQByAGUAcwB0AC4AIABVAHMAZQAgAHQAbwAgAGQAZQB0AGUAcgBtAGkAbgBlACAAYQBtAG8AdQBuAHQAIABuAGUAZQBkAGUAZAAgAHQAbwAgAGMAbwB2AGUAcgAgAGQAZQBiAHQAIABwAGwAdQBzACAAaQBuAHQAZQByAGUAcwB0ACAAbwBuACAAZABlAGIAdAAqAC8AXABuAC8AKgAgACAATgBPAFQARQA6ACAAIAAgACAAIAAgACAAIAAgACAAIABNAGEAdABoACAAcwBvAHUAcgBjAGUAIABmAHIAbwBtACAARABpAGEAcgBtAHUAaQBkACAARQBhAHIAbAB5ACcAcwAgAHAAbwBzAHQAOgAgAGgAdAB0AHAAcwA6AC8ALwB3AHcAdwAuAHkAbwB1AHQAdQBiAGUALgBjAG8AbQAvAHcAYQB0AGMAaAA/AHYAPQBrADUAcgBHAF8ATQB2AEkAVwBXAHMAJgB0AD0ANwA4ADcAcwBcAG4AKgAvAFwAbgBJAG4AdABPAG4ASQBuAHQAuwMgAD0AIABMAEEATQBCAEQAQQAoAFwAbgAgACAAIAAgAFsAUAByAGkAbgBjAGkAcABhAGwAXQAsAFwAbgAgACAAIAAgAFsAUgBhAHQAZQ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uAHQATwBuAEkAbgB0ALsDKAAgAFAAcgBpAG4AYwBpAHAAYQBsACwAIABSAGEAdABlACkAtgBcACIAIAAmACAAXABuACAAIAAgACAAIAAgACAAIAAgACAAIAAgACAAIAAgACAAIAAgACAAIAAgACAAIAAgACAAIAAgACAAXAAiAEQARQBTAEMAUgBJAFAAVABJAE8ATgA6ACAAIAAgAJIhQwBhAGwAYwB1AGwAYQB0AGUAIABJAG4AdABlAHIAZQBzAHQAIABvAG4AIABJAG4AdABlAHIAZQBzAHQAIAAoAEkAbgB0AGUAcgBlAHMAdAAgAG8AbgBsAHkAKQAuACAAVQBzAGUAIAB0AG8AIABkAGUAdABlAHIAbQBpAG4AZQAgAGEAbQBvAHUAbgB0ACAAtgBcACIAIAAmAFwAbgAgACAAIAAgACAAIAAgACAAIAAgACAAIAAgACAAIAAgACAAIAAgACAAIAAgACAAIAAgACAAIAAgACAAIAAgACAAIAAgACAAIAAgACAAIAAgACAAIAAgAFwAIgCSIW4AZQBlAGQAZQBkACAAdABvACAAYwBvAHYAZQByACAAYgBvAHIAcgBvAHcAZQBkACAAaQBuAHQAZQByAGUAcwB0ALYAXAAiACAAJgAgAFwAbgAgACAAIAAg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UAByAGkAbgBjAGkAcABhAGwAIAAgACAAIAAgAJIhKABSAGUAcQB1AGkAcgBlAGQAKQAgAFAAcgBpAG4AYwBpAHAAYQBsACAAYQBtAG8AdQBuAHQAtgBcACIAIAAmACAAXABuACAAIAAgACAAIAAgACAAIAAgACAAIAAgACAAIAAgACAAIAAgACAAIAAgACAAIAAgACAAIAAgACAAXAAiAFIAYQB0AGUAIAAgACAAIAAgACAAIAAgACAAIACSISgAUgBlAHEAdQBpAHIAZQBkACkAIABJAG4AdABlAHIAZQBzAHQAIABwAGUAcgBjAGUAbgB0AGEAZwBlACAAcgBhAHQAZQAuACAARgBvAHIAIAB5AGUAYQByAHMALAAgAEEAUABSAC4AIABGAG8AcgAgAG0AbwBuAHQAaABzACwAIABBAFAAUgAvADEAM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DIALgA2ADMAIAAgACAAIAAgACAAIAAgACAAIACSIT0AbwB6AC4ASQBuAHQATwBuAEkAbgB0ALsDKAAgADEAMAAwADAALAAgADUAJ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yAGkAbgBjAGkAcABhAGwAKQAsAFwAbgAgACAAIAAgACAAIAAgACAAIAAgACAAIAAgACAAIAAgACAAIAAgACAAIAAgACAAIAAgACAAIAAgAEkAUwBPAE0ASQBUAFQARQBEACgAIABSAGEAdABlACkAXABuACAAIAAgACAAIAAgACAAIAAgACAAIAAgACAAIAAgACAAIAAgACAAIAAgACAAIAAgACkALABcAG4AIAAgACAAIAAvAC8AIAAgAFAAcgBvAGMAZQBkAHUAcgBlAFwAbgAgACAAIAAgACAAIAAgACAAUgBlAHMAdQBsAHQALAAgACAAIAAgACAAIAAgACAAIABQAHIAaQBuAGMAaQBwAGEAbAAgAC8AKAAxAC0AUgBhAHQAZQApACAALQAgAFAAcgBpAG4AYwBpAHAAYQBs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SAFIAuwNcAHQAXABuACAAIAAgACAARABFAFMAQwBSAEkAUABUAEkATwBOADoAKgAvACAALwAqACoAQwBhAGwAYwB1AGwAYQB0AGUAcwAgAEkAUgBSACwAIABjAG8AcgByAGUAYwB0AGkAbgBnACAAZgBvAHIAIAB3AGgAZQBuACAAdABoAGUAIABmAGkAcgBzAHQAIABpAG4AdgBlAHMAdABtAGUAbgB0ACAAaQBzACAAbgBvAHQAIABpAG4AIAB0AGgAZQAgAGYAaQByAHMAdAAgAHAAZQByAGkAbwBkACAAKgAvAFwAbgBJAFIAUgC7AyAAPQAgAEwAQQBNAEIARABBACgAXABuACAAIAAgACAAWwBWAGEAbAB1AGUAcwBdACwAXABuACAAIAAgACAAWwBEAGEAdABlAHM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UgBSALsDKAAgAFYAYQBsAHUAZQBzACwAIABEAGEAdABlAHMAKQC2AFwAIgAgACYAIABcAG4AIAAgACAAIAAgACAAIAAgACAAIAAgACAAIAAgACAAIAAgACAAIAAgACAAIAAgACAAIAAgACAAIABcACIARABFAFMAQwBSAEkAUABUAEkATwBOADoAIAAgACAAkiFDAGEAbABjAHUAbABhAHQAZQBzACAASQBSAFIALAAgAGMAbwByAHIAZQBjAHQAaQBuAGcAIABmAG8AcgAgAHcAaABlAG4AIAB0AGgAZQAgAGYAaQByAHMAdAAgAGkAbgB2AGUAcwB0AG0AZQBuAHQAIABpAHMAIABuAG8AdAAgAGkAbgAgAHQAaABlACAAZgBpAHIAcwB0ACAAcABlAHIAaQBvAGQAtgBcACIAIAAmACAAXABuACAAIAAgACAAIAAgACAAIAAgACAAIAAgACAAIAAgACAAIAAgACAAIAAgACAAIAAgACAAIAAgACAAXAAiAFcARQBCAFMASQBU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pAG4AdgBlAHMAdABtAGUAbgB0AHMAIAAoAG4AZQBnAGEAdABpAHYAZQApACAAYQBuAGQAIABkAGkAcwB0AHIAaQBiAHUAdABpAG8AbgBzACAAKABwAG8AcwBpAHQAaQB2AGUAKQC2AFwAIgAgACYAIABcAG4AIAAgACAAIAAgACAAIAAgACAAIAAgACAAIAAgACAAIAAgACAAIAAgACAAIAAgACAAIAAgACAAIAAgACAAIAAgACAAIAAgACAAIAAgACAAIAAgACAAIABcACIAkiFUAGgAZQAgAGYAaQByAHMAdAAgAGUAbgB0AHIAeQAsACAAdwBoAGUAdABoAGUAcgAgADAAIABvAHIAIABhAG4AIABhAG0AbwB1AG4AdAAsACAAbQB1AHMAdAAgAGIAZQAgAGYAbwByACAAdABoAGUAIABmAGkAcgBzAHQAIABwAGUAcgBpAG8AZAAgAGkAbgAgAHQAaABlACAAdABpAG0AZQBsAGkAbgBlALYAXAAiACAAJgAgAFwAbgAgACAAIAAgACAAIAAgACAAIAAgACAAIAAgACAAIAAgACAAIAAgACAAIAAgACAAIAAgACAAIAAgACAAIAAgACAAIAAgACAAIAAgACAAIAAgACAAIAAgAFwAIgCSIWEAbgBkACAAcwB1AGIAcwBlAHEAdQBlAG4AdAAgAGUAbgB0AHIAaQBlAHMAIABtAHUAcwB0ACAAYwBvAHIAcgBlAHMAcABvAG4AZAAgAHQAbwAgAHAAZQByAGkAbwBkAHMAIABpAG4AIAB0AGgAZQAgAHQAaQBtAGUAbABpAG4AZQA7ACAAaABvAHcAZQB2AGUAcgAsALYAXAAiACAAJgAgAFwAbgAgACAAIAAgACAAIAAgACAAIAAgACAAIAAgACAAIAAgACAAIAAgACAAIAAgACAAIAAgACAAIAAgACAAIAAgACAAIAAgACAAIAAgACAAIAAgACAAIAAgAFwAIgCSIXQAaABlACAAdABpAG0AZQBsAGkAbgBlACAAbQBhAHkAIABlAHgAdABlAG4AZAAgAGIAZQB5AG8AbgBkACAAdABoAGUAIABlAG4AZAAgAG8AZgAgAHYAYQBsAHUAZQBzAC4AtgBcACIAIAAmACAAXABuACAAIAAgACAAIAAgACAAIAAgACAAIAAgACAAIAAgACAAIAAgACAAIAAgACAAIAAgACAAIAAgACAAXAAiAEQAYQB0AGUAcwAgACAAIAAgACAAIAAgACAAIAAgAJIhKABSAGUAcQB1AGkAcgBlAGQAKQAgAEEAIAB0AGkAbQBlAGwAaQBuAGUAIABmAG8AcgAgAHcAaABlAG4AIABlAGEAYwBoACAAaQBuAHYAZQBzAHQAbQBlAG4AdAAgAGkAcwAgAG0AYQBkAGUAtgBcACIAIAAmACA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EQAYQB0AGUAcwAgACAAIAAgACAAIAAgACAAIAAgAJIhPQBFAEQAQQBUAEUAKABcACIAXAAiADEALwA3AC8AMgAwADIANgBcACIAXAAiACwAIABTAEUAUQBVAEUATgBDAEUAKAAsADIANAAsACAAMAApACkAtgBcACIAIAAmAFwAbgAgACAAIAAgACAAIAAgACAAIAAgACAAIAAgACAAIAAgACAAIAAgACAAIAAgACAAIAAgACAAIAAgAFwAIgBWAGEAbAB1AGUAcwAgACAAIAAgACAAIAAgACAAIACSIT0AewAwACwAMAAsAC0AMQA1ADAALAAwACwALQAxADAAMAAsADEAMAAsADIAMAAsADMAMAAsADQAMAAsADUAMAAsADYAMAAsADcAMAB9ALYAXAAiACAAJgAgAFwAbgAgACAAIAAgACAAIAAgACAAIAAgACAAIAAgACAAIAAgACAAIAAgACAAIAAgACAAIAAgACAAIAAgAFwAIgCSIbYAXAAiACAAJgBcAG4AIAAgACAAIAAgACAAIAAgACAAIAAgACAAIAAgACAAIAAgACAAIAAgACAAIAAgACAAIAAgACAAIABcACIAUgBlAHMAdQBsAHQAIAAgACAAIAAgACAAIAAgACAAkiFGAG8AcgBtAHUAbABhALYAXAAiACAAJgBcAG4AIAAgACAAIAAgACAAIAAgACAAIAAgACAAIAAgACAAIAAgACAAIAAgACAAIAAgACAAIAAgACAAIABcACIAMgA1ACUAIAAgACAAIAAgACAAIAAgACAAIAAgACAAkiE9AG8AegAuAEkAUgBSALsDKAAgAFYAYQBsAHUAZQBzACwAIABEAGEAdABlAHM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XABuACAAIAAgACAAIAAgACAAIAAgACAAIAAgACAAIAAgACAAIAAgACAAIAAgACAAIAAgACkALABcAG4AIAAgACAAIAAvAC8AIAAgAFMAZQB0ACAARABlAGYAYQB1AGwAdABzAFwAbgAgACAAIAAgACAAIAAgACAAVgBhAGwAdQBlAHMALAAgACAAIAAgACAAIAAgACAAIABFAFgAUABBAE4ARAAoAFYAQQBMAFUARQBTACwAIAAxACwAIABDAE8AVQBOAFQAQQAoAEQAYQB0AGUAcwApACwAIAAwACkALABcAG4AIAAgACAAIAAvAC8AIAAgAFAAcgBvAGMAZQBkAHUAcgBlAFwAbgAgACAAIAAgACAAIAAgACAARgBpAGwAdABlAHIAQgB5ACwAIAAgACAAIAAgACAAIABWAGEAbAB1AGUAcwAgADwAPgAgADAALABcAG4AIAAgACAAIAAgACAAIAAgAEYAaQBsAHQAZQByAGUAZABWAGEAbAB1AGUAcwAsACAARgBJAEwAVABFAFIAKAAgAFYAYQBsAHUAZQBzACwAIABGAGkAbAB0AGUAcgBCAHkAKQAsACAAXABuACAAIAAgACAAIAAgACAAIABGAGkAbAB0AGUAcgBlAGQARABhAHQAZQBzACwAIAAgAEYASQBMAFQARQBSACgAIABEAGEAdABlAHMALAAgAEYAaQBsAHQAZQByAEIAeQApACwAIABcAG4AIAAgACAAIAAgACAAIAAgAFIAZQBzAHUAbAB0ACwAIAAgACAAIAAgACAAIAAgACAAWABJAFIAUgAoACAARgBpAGwAdABlAHIAZQBkAFYAYQBsAHUAZQBzACwAIABGAGkAbAB0AGUAcgBlAGQARABhAHQAZQBzACkALAAgAFwAbgAgACAAIAAgAC8ALwAgACAAUgBlAHQAdQByAG4AIABSAGUAcwB1AGwAdABcAG4AIAAgACAAIAAgACAAIAAgAEMASABPAE8AUwBFACgASABlAGwAcAA/ACAAKwAgADEALAAgAFIAZQBzAHUAbAB0ACwAIABIAGUAbABwACkAXABuACAAIAAgACAAKQAgAFwAbgApADsAXABuAFwAbgBcAG4AXABuAC8AKgAgACAARgBVAE4AQwBUAEkATwBOACAATgBBAE0ARQA6ACAAIABNAG8AdgBlAG0AZQBuAHQAuwNcAG4AIAAgACAAIABEAEUAUwBDAFIASQBQAFQASQBPAE4AOgAqAC8ALwAqACoAQwByAGUAYQB0AGUAIABhACAAcgBvAHcAIABvAGYAIABkAGkAZgBmAGUAcgBlAG4AYwBlAHMAIABmAHIAbwBtACAAYwBvAGwAdQBtAG4AIAB0AG8AIABjAG8AbAB1AG0AbgAqAC8AXABuAE0AbwB2AGUAbQBlAG4AdAC7AyAAPQAgAEwAQQBNAEIARABBACgAXABuAC8ALwAgACAAUABhAHIAYQBtAGUAdABlAHIAIABEAGUAYwBsAGEAcgBhAHQAaQBvAG4AcwBcAG4AIAAgACAAIABbAEIAZQBnAGkAbgBuAGkAbgBnAFYAYQBsAHUAZQBzAF0ALABcAG4AIAAgACAAIABbAFYAYQBsAHUAZQBzAF0ALAAgACAAIAAgAFwAbgAvAC8AIAAgAEgAZQBsAHAAXABuACAAIAAgACAATABFAFQAKABIAGUAbABwACwAIAAgACAAIAAgACAAIABUAFIASQBNACgAVABFAFgAVABTAFAATABJAFQAKAAgAFwAbgAgACAAIAAgACAAIAAgACAAIAAgACAAIAAgACAAIAAgACAAIAAgACAAIAAgACAAIAAgACAAIAAgAFwAIgBGAFUATgBDAFQASQBPAE4AOgAgACAAIAAgACAAIACSIU0AbwB2AGUAbQBlAG4AdAC7AygAIABbAEIAZQBnAGkAbgBuAGkAbgBnAFYAYQBsAHUAZQBzAF0ALAAgAFYAYQBsAHUAZQBzACkAtgBcACIAIAAmAFwAbgAgACAAIAAgACAAIAAgACAAIAAgACAAIAAgACAAIAAgACAAIAAgACAAIAAgACAAIAAgACAAIAAgAFwAIgBEAEUAUwBDAFIASQBQAFQASQBPAE4AOgAgACAAIACSIUMAcgBlAGEAdABlACAAYQAgAHIAbwB3ACAAbwBmACAAZABpAGYAZgBlAHIAZQBuAGMAZQBzACAAZgByAG8AbQAgAGMAbwBsAHUAbQBuACAAdABv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CAGUAZwBpAG4AbgBpAG4AZwBWAGEAbAB1AGUAcwCSISgATwBwAHQAaQBvAG4AYQBsACkAIABEAGUAZgBhAHUAbAB0AHMAIAB0AG8AIAAwALYAXAAiACAAJgAgAFwAbgAgACAAIAAgACAAIAAgACAAIAAgACAAIAAgACAAIAAgACAAIAAgACAAIAAgACAAIAAgACAAIAAgAFwAIgBWAGEAbAB1AGUAcwAgACAAIAAgACAAIAAgACAAIACSISgAUgBlAHEAdQBpAHIAZQBkACkAIABBACAAcgBvAHcAIABvAGYAIAB2AGEAbAB1AGUAcwAgAHQAbwAgAGMAbwBtAHAAYQByAGUAIABjAG8AbAB1AG0AbgAgAHQAbwAgAGMAbwBsAHUAbQB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MAAwACwAMQAwACwAMgAwACwALQAzADAAIAAgAJIhPQBvAHoALgBNAG8AdgBlAG0AZQBuAHQAuwMoACwAewAxADAAMAAsADEAMQAwACwAMQAzADAALAAxADAAMAB9ACwAIAA0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gBhAGwAdQBlAHMAKQAsAFwAbgAgACAAIAAgAC8ALwAgACAAUwBlAHQAIABEAGUAZgBhAHUAbAB0AHMAXABuACAAIAAgACAAIAAgACAAIABCAGUAZwBpAG4AbgBpAG4AZwBWAGEAbAB1AGUAcwAsACAASQBGACgATwBSACgASQBTAE8ATQBJAFQAVABFAEQAKABCAGUAZwBpAG4AbgBpAG4AZwBWAGEAbAB1AGUAcwApACwAIABCAGUAZwBpAG4AbgBpAG4AZwBWAGEAbAB1AGUAcwA9AFwAIgBcACIAKQAsACAAMAAsACAAQgBlAGcAaQBuAG4AaQBuAGcAVgBhAGwAdQBlAHMAKQAsAFwAbgAgACAAIAAgAC8ALwAgACAAUAByAG8AYwBlAGQAdQByAGUAXABuACAAIAAgACAAIAAgACAAIABSAG8AdwBzACwAIAAgACAAIAAgACAAIAAgACAAIAAgAFIATwBXAFMAKAAgAFYAYQBsAHUAZQBzACkALABcAG4AIAAgACAAIAAgACAAIAAgAEMAbwBsAHMALAAgACAAIAAgACAAIAAgACAAIAAgACAAQwBvAGwAdQBtAG4AcwAoACAAVgBhAGwAdQBlAHMAKQAsAFwAbgAgACAAIAAgACAAIAAgACAAUwBlAHEALAAgACAAIAAgACAAIAAgACAAIAAgACAAIABTAEUAUQBVAEUATgBDAEUAKAAsACAAQwBvAGwAcwApACwAXABuACAAIAAgACAAIAAgACAAIABSAGUAcwB1AGwAdAAsACAAIAAgACAAIAAgACAAIAAgAFIARQBEAFUAQwBFACgAMAAsACAAUwBFAFEAVQBFAE4AQwBFACgAIABSAG8AdwBzACkALAAgAFwAbgAgACAAIAAgACAAIAAgACAAIAAgACAAIAAgACAAIAAgACAAIAAgACAAIAAgACAAIAAgACAAIAAgAEwAQQBNAEIARABBACgAIABBAGMAYwAsACAAUgAsACAAXABuACAAIAAgACAAIAAgACAAIAAgACAAIAAgACAAIAAgACAAIAAgACAAIAAgACAAIAAgACAAIAAgACAAIAAgACAAIABMAEUAVAAoAFwAbgAgACAAIAAgACAAIAAgACAAIAAgACAAIAAgACAAIAAgACAAIAAgACAAIAAgACAAIAAgACAAIAAgACAAIAAgACAAIAAgACAAIABCAGUAZwBpAG4ALAAgACAAIAAgACAAIABJAGYAKAAgAFIATwBXAFMAKABCAGUAZwBpAG4AbgBpAG4AZwBWAGEAbAB1AGUAcwApACAAPQAgADEALAAgAEIAZQBnAGkAbgBuAGkAbgBnAFYAYQBsAHUAZQBzACwAIABJAE4ARABFAFgAKAAgAEIAZQBnAGkAbgBuAGkAbgBnAFYAYQBsAHUAZQBzACwAIABSACkAKQAsAFwAbgAgACAAIAAgACAAIAAgACAAIAAgACAAIAAgACAAIAAgACAAIAAgACAAIAAgACAAIAAgACAAIAAgACAAIAAgACAAIAAgACAAIABSAG8AdwAsACAAIAAgACAAIAAgACAAIABDAEgATwBPAFMARQBSAE8AVwBTACgAIABWAGEAbAB1AGUAcwAsACAAUgApACwAIABcAG4AIAAgACAAIAAgACAAIAAgACAAIAAgACAAIAAgACAAIAAgACAAIAAgACAAIAAgACAAIAAgACAAIAAgACAAIAAgACAAIAAgACAATgBlAHcAUgBvAHcALAAgACAAIAAgACAAUwBDAEEATgAoACAAQgBlAGcAaQBuACwAIABTAGUAcQAsACAAXABuACAAIAAgACAAIAAgACAAIAAgACAAIAAgACAAIAAgACAAIAAgACAAIAAgACAAIAAgACAAIAAgACAAIAAgACAAIAAgACAAIAAgACAAIAAgACAAIAAgACAAIAAgACAAIAAgACAAIAAgACAATABBAE0AQgBEAEEAKAAgAEEALAAgAEMALABcAG4AIAAgACAAIAAgACAAIAAgACAAIAAgACAAIAAgACAAIAAgACAAIAAgACAAIAAgACAAIAAgACAAIAAgACAAIAAgACAAIAAgACAAIAAgACAAIAAgACAAIAAgACAAIAAgACAAIAAgACAAIAAgACAAIAAgAEkATgBEAEUAWAAoACAAUgBvAHcALAAgAEMAIAApACAALQAgAEkARgAoACAAQwAgAD0AIAAxACwAIABBACwAIABJAE4ARABFAFgAKAAgAFIAbwB3ACwAIABDACAALQAgADEAKQ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LABcAG4AIAAgACAAIAAgACAAIAAgACAAIAAgACAAIAAgACAAIAAgACAAIAAgACAAIAAgACAAIAAgACAAIAAgACAAIAAgACAAIAAgACAAUgBlAHMAdQBsAHQALAAgACAAIAAgACAASQBGACgAIABSACAAPQAgADEALAAgAE4AZQB3AFIAbwB3ACwAIABWAFMAVABBAEMASwAoAEEAYwBjACwAIABOAGUAdwBSAG8Ad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UAdgBlAHIAcwBhAGwAuwNcAG4AIAAgACAAIABEAEUAUwBDAFIASQBQAFQASQBPAE4AOgAqAC8ALwAqACoAQwByAGUAYQB0AGUAIABhACAAcgBvAHcAIAB0AGgAYQB0ACAAcgBlAHYAZQByAHMAZQBzACAAaQBuAHAAdQB0ACAAdgBhAGwAdQBlAHMAIABpAG4AIAB0AGgAZQAgAG4AZQB4AHQAIABwAGUAcgBpAG8AZAAuACoALwBcAG4AUgBlAHYAZQByAHMAYQBsALsDIAA9ACAATABBAE0AQgBEAEEAKABcAG4ALwAvACAAIABQAGEAcgBhAG0AZQB0AGUAcgAgAEQAZQBjAGwAYQByAGEAdABpAG8AbgBzAFwAbgAgACAAIAAgAFsATwBwAGUAbgBpAG4AZwBWAGEAbAB1AGUAXQAsAFwAbgAgACAAIAAgAFsAUgBvAHcAVABvAFIAZQB2AGUAcgBzAGUAXQAsACAAIAAgACAAXABuAC8ALwAgACAASABlAGwAcABcAG4AIAAgACAAIABMAEUAVAAoAEgAZQBsAHAALAAgACAAIAAgACAAIAAgAFQAUgBJAE0AKABUAEUAWABUAFMAUABMAEkAVAAoACAAXABuACAAIAAgACAAIAAgACAAIAAgACAAIAAgACAAIAAgACAAIAAgACAAIAAgACAAIAAgACAAIAAgACAAXAAiAEYAVQBOAEMAVABJAE8ATgA6ACAAIAAgACAAIAAgAJIhUgBlAHYAZQByAHMAYQBsALsDKAAgAFsATwBwAGUAbgBpAG4AZwBWAGEAbAB1AGUAXQAsACAAUgBvAHcAVABvAFIAZQB2AGUAcgBzAGUAKQC2AFwAIgAgACYAXABuACAAIAAgACAAIAAgACAAIAAgACAAIAAgACAAIAAgACAAIAAgACAAIAAgACAAIAAgACAAIAAgACAAXAAiAEQARQBTAEMAUgBJAFAAVABJAE8ATgA6ACAAIAAgAJIhQwByAGUAYQB0AGUAIABhACAAcgBvAHcAIAB0AGgAYQB0ACAAcgBlAHYAZQByAHMAZQBzACAAaQBuAHAAdQB0ACAAdgBhAGwAdQBlAHMAIABpAG4AIAB0AGgAZQAgAG4AZQB4AHQAIABwAGUAcgBpAG8AZA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TwBwAGUAbgBpAG4AZwBWAGEAbAB1AGUAIAAgACAAkiEoAE8AcAB0AGkAbwBuAGEAbAApACAARABlAGYAYQB1AGwAdABzACAAdABvACAAMAC2AFwAIgAgACYAIABcAG4AIAAgACAAIAAgACAAIAAgACAAIAAgACAAIAAgACAAIAAgACAAIAAgACAAIAAgACAAIAAgACAAIABcACIAUgBvAHcAVABvAFIAZQB2AGUAcgBzAGUAIAAgACAAkiEoAFIAZQBxAHUAaQByAGUAZAApACAAQQAgAHIAbwB3ACAAbwBmACAAdgBhAGwAdQBlAHMAIAB0AG8AIAByAGUAdgBlAHIAcwBlACAAdABoAGUAIABmAG8AbABsAG8AdwBpAG4AZwAgAHAAZQByAGkAbwBkAHM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LQAxADAAMAAsAC0AMQAxADAALAAtADEAMwAwACAAkiE9AG8AegAuAFIAZQB2AGUAcgBzAGEAbAC7AygAIAAsACAAewAxADAAMAAsADEAMQAwACwAMQAzADAAf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IAbwB3AFQAbwBSAGUAdgBlAHIAcwBlACkALABcAG4AIAAgACAAIAAvAC8AIAAgAFMAZQB0ACAARABlAGYAYQB1AGwAdABzAFwAbgAgACAAIAAgACAAIAAgACAAQgBlAGcAaQBuAG4AaQBuAGcAVgBhAGwAdQBlACwAIABJAEYAKAAgAEkAUwBPAE0ASQBUAFQARQBEACgAIABPAHAAZQBuAGkAbgBnAFYAYQBsAHUAZQApACwAIAAwACwAIAAgAE8AcABlAG4AaQBuAGcAVgBhAGwAdQBlACkALABcAG4AIAAgACAAIAAvAC8AIAAgAFAAcgBvAGMAZQBkAHUAcgBlAFwAbgAgACAAIAAgACAAIAAgACAAQwBvAHUAbgB0AGUAcgAsACAAIAAgACAAIAAgACAAIABTAEUAUQBVAEUATgBDAEUAKAAgACwAIABDAE8ATABVAE0ATgBTACgAUgBvAHcAVABvAFIAZQB2AGUAcgBzAGUAKQApACwAXABuACAAIAAgACAAIAAgACAAIABSAGUAcwB1AGwAdAAsACAAIAAgACAAIAAgACAAIAAgAE0AQQBQACgAIABDAG8AdQBuAHQAZQByACwAIABcAG4AIAAgACAAIAAgACAAIAAgACAAIAAgACAAIAAgACAAIAAgACAAIAAgACAAIAAgACAAIAAgACAAIABMAEEATQBCAEQAQQAoAEMAbwBsACwAIAAgAEkARgAoAEMAbwBsACAAPQAgADEALAAgAC0ATwBwAGUAbgBpAG4AZwBWAGEAbAB1AGUALAAgAC0AQwBIAE8ATwBTAEUAQwBPAEwAUwAoACAAUgBvAHcAVABvAFIAZQB2AGUAcgBzAGUALAAgAEMAbwBsAC0AMQApACk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AvACoAIAAgAEYAVQBOAEMAVABJAE8ATgAgAE4AQQBNAEUAOgAgACAAQwB1AG0AdQBsAGEAdABpAHYAZQC7A1wAbgAgACAAIAAgAEQARQBTAEMAUgBJAFAAVABJAE8ATgA6ACoALwAvACoAKgBDAHIAZQBhAHQAZQBzACAAYQAgAHIAbwB3ACAAbwByACAAYwBvAGwAdQBtAG4AIABvAGYAIABjAHUAbQB1AGwAYQB0AGkAdgBlACAAdABvAHQAYQBsAHMAIABmAHIAbwBtACAAYQAgAHQAbwB0AGEAbAAgAHIAbwB3ACAAbwByACAAYwBvAGwAdQBtAG4AKgAvAFwAbgBDAHUAbQB1AGwAYQB0AGkAdgBlALsDIAA9ACAATABBAE0AQgBEAEEAKABcAG4ALwAvACAAIABQAGEAcgBhAG0AZQB0AGUAcgAgAEQAZQBjAGwAYQByAGEAdABpAG8AbgBzAFwAbgAgACAAIAAgAFsAVABvAHQAYQBsAHMAXQAsAFwAbgAgACAAIAAgAFsATwBwAGUAbgBpAG4AZwBCAGEAbABhAG4AYwBlAF0ALABcAG4ALwAvACAAIABIAGUAbABwAFwAbgAgACAAIAAgAEwARQBUACgASABlAGwAcAAsACAAIAAgACAAIAAgACAAVABSAEkATQAoAFQARQBYAFQAUwBQAEwASQBUACgAIABcAG4AIAAgACAAIAAgACAAIAAgACAAIAAgACAAIAAgACAAIAAgACAAIAAgACAAIAAgACAAIAAgACAAIABcACIARgBVAE4AQwBUAEkATwBOADoAIAAgACAAIAAgACAAkiFDAHUAbQB1AGwAYQB0AGkAdgBlALsDKAAgAFQAbwB0AGEAbABzACwAIABbAE8AcABlAG4AaQBuAGcAQgBhAGwAYQBuAGMAZQBdACkAtgBcACIAIAAmAFwAbgAgACAAIAAgACAAIAAgACAAIAAgACAAIAAgACAAIAAgACAAIAAgACAAIAAgACAAIAAgACAAIAAgAFwAIgBEAEUAUwBDAFIASQBQAFQASQBPAE4AOgAgACAAIACSIUMAcgBlAGEAdABlAHMAIABhACAAcgBvAHcAIABvAHIAIABjAG8AbAB1AG0AbgAgAG8AZgAgAGMAdQBtAHUAbABhAHQAaQB2AGUAIAB0AG8AdABhAGwAcwAgAGYAcgBvAG0AIABhACAAdABvAHQAYQBsACAAcgBvAHcAIABvAHI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QAbwB0AGEAbABzACAAIAAgACAAIAAgACAAIAAgAJIhKABSAGUAcQB1AGkAcgBlAGQAKQAgAEEAIAByAG8AdwAgAG8AcgAgAGMAbwBsAHUAbQBuACAAbwBmACAAdABvAHQAYQBsAHMAIABmAHIAbwBtACAAdwBoAGkAYwBoACAAdABvACAAcgB1AG4AIABjAHUAbQB1AGwAYQB0AGkAdgBlACAAdABvAHQAYQBsAHMAtgBcACIAIAAmACAAXABuACAAIAAgACAAIAAgACAAIAAgACAAIAAgACAAIAAgACAAIAAgACAAIAAgACAAIAAgACAAIAAgACAAXAAiAE8AcABlAG4AaQBuAGcAQgBhAGwAYQBuAGMAZQAgAJIhKABPAHAAdABpAG8AbgBhAGwAKQAgAEEAIABzAHQAYQByAHQAaQBuAGcAIABiAGEAbABhAG4AYwBlAC4AIABUAGgAaQBzACAAZABlAGYAYQB1AGwAdABzACAAdABvACAAMA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wAMwAsADYAIAAgACAAIAAgACAAIAAgACAAIACSIT0AbwB6AC4AQwB1AG0AdQBsAGEAdABpAHYAZQC7AygAUwBlAHEAdQBlAG4AYwBlACgALAAzACk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UAG8AdABhAGwAcwApACwAXABuACAAIAAgACAALwAvACAAIABQAHIAbwBjAGUAZAB1AHIAZQBcAG4AIAAgACAAIAAgACAAIAAgAFIAZQBzAHUAbAB0ACwAIAAgACAAIAAgACAAIAAgACAAUwBDAEEATgAoACAATwBwAGUAbgBpAG4AZwBCAGEAbABhAG4AYwBlACwAIABUAG8AdABhAGwAcwAsACAATABBAE0AQgBEAEEAKABQAHIAZQB2AGkAbwB1AHMAQQBtAG8AdQBuAHQALAAgAEMAdQByAHIAZQBuAHQAQQBtAG8AdQBuAHQALAAgAFAAcgBlAHYAaQBvAHUAcwBBAG0AbwB1AG4AdAAgACsAIABDAHUAcgByAGUAbgB0AEEAbQBvAHUAbgB0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bwBsAGwAaQBuAGcAQQB2AGcAuwNcAG4AIAAgACAAIABEAEUAUwBDAFIASQBQAFQASQBPAE4AOgAqAC8ALwAqACoAQwByAGUAYQB0AGUAcwAgAEEAdgBlAHIAYQBnAGUAcwAgAGYAbwByACAAcAByAGUAYwBlAGQAaQBuAGcAIAB2AGEAbAB1AGUAcwAgAG8AZgAgAGEAIABzAGUAdAAgAHMAaQB6AGUAIABtAG8AdgBpAG4AZwAgAGYAcgBvAG0AIABiAGUAZwBpAG4AbgBpAG4AZwAgAHQAbwAgAGUAbgBkACAAbwB2AGUAcgAgAGEAIAByAG8AdwAgAG8AZgAgAHYAYQBsAHUAZQBzAC4AKgAvAFwAbgBSAG8AbABsAGkAbgBnAEEAdgBn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EAdgBnALsDKAAgAFYAYQBsAHUAZQBzACwAIABTAGkAegBlACkAtgBcACIAIAAmAFwAbgAgACAAIAAgACAAIAAgACAAIAAgACAAIAAgACAAIAAgACAAIAAgACAAIAAgACAAIAAgACAAIAAgAFwAIgBEAEUAUwBDAFIASQBQAFQASQBPAE4AOgAgACAAIACSIUMAcgBlAGEAdABlAHMAIABhAHYAZQByAGEAZwBl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hAHYAZQByAGEAZwBlAGQALgC2AFwAIgAgACYAIABcAG4AIAAgACAAIAAgACAAIAAgACAAIAAgACAAIAAgACAAIAAgACAAIAAgACAAIAAgACAAIAAgACAAIABcACIAUwBpAHoAZQAgACAAIAAgACAAIAAgACAAIAAgACAAkiEoAFIAZQBxAHUAaQByAGUAZAApACAAVABoAGUAIABuAHUAbQBiAGUAcgAgAG8AZgAgAHYAYQBsAHUAZQBzACAAdABvACAAYQB2AGUAcgBhAGcAZ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wAMQAuADUALAAyACwAMwAsADQAIAAgACAAIACSIT0AbwB6AC4AUgBvAGwAbABpAG4AZwBBAHYAZw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BAFYARQBSAEEARwBF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hAHgAuwNcAG4AIAAgACAAIABEAEUAUwBDAFIASQBQAFQASQBPAE4AOgAqAC8ALwAqACoA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KgAvAFwAbgBSAG8AbABsAGkAbgBnAE0AYQB4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YQB4ALsDKAAgAFYAYQBsAHUAZQBzACwAIABTAGkAegBlACkAtgBcACIAIAAmAFwAbgAgACAAIAAgACAAIAAgACAAIAAgACAAIAAgACAAIAAgACAAIAAgACAAIAAgACAAIAAgACAAIAAgAFwAIgBEAEUAUwBDAFIASQBQAFQASQBPAE4AOgAgACAAIACSIUMAcgBlAGEAdABlAHMAIAB0AGgAZQAgAG0AYQB4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UALAA1ACwANQAsADYALAA2ACwANwAgACAAIAAgAJIhPQBvAHoALgBSAG8AbABsAGkAbgBnAE0AYQB4ALsDKAB7ADUALAAzACwANAAsADYALAAz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QQBY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pAG4AuwNcAG4AIAAgACAAIABEAEUAUwBDAFIASQBQAFQASQBPAE4AOgAqAC8ALwAqACoAQwByAGUAYQB0AGUAcwAgAHQAaABlACAATQBpAG4AaQBtAHUAbQAgAGYAbwByACAAcAByAGUAYwBlAGQAaQBuAGcAIAB2AGEAbAB1AGUAcwAgAG8AZgAgAGEAIABzAGUAdAAgAHMAaQB6AGUAIABtAG8AdgBpAG4AZwAgAGYAcgBvAG0AIABiAGUAZwBpAG4AbgBpAG4AZwAgAHQAbwAgAGUAbgBkACAAbwB2AGUAcgAgAGEAIAByAG8AdwAgAG8AZgAgAHYAYQBsAHUAZQBzAC4AKgAvAFwAbgBSAG8AbABsAGkAbgBnAE0AaQBu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aQBuALsDKAAgAFYAYQBsAHUAZQBzACwAIABTAGkAegBlACkAtgBcACIAIAAmAFwAbgAgACAAIAAgACAAIAAgACAAIAAgACAAIAAgACAAIAAgACAAIAAgACAAIAAgACAAIAAgACAAIAAgAFwAIgBEAEUAUwBDAFIASQBQAFQASQBPAE4AOgAgACAAIACSIUMAcgBlAGEAdABlAHMAIAB0AGgAZQAgAG0AaQBu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pAG4Abg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sADMALAAzACwAMwAsADIALAAyACAAIAAgACAAkiE9AG8AegAuAFIAbwBsAGwAaQBuAGcATQBpAG4AuwMoAHsANQAsADMALAA0ACwANgAsADI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JAE4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TAHUAbQC7A1wAbgAgACAAIAAgAEQARQBTAEMAUgBJAFAAVABJAE8ATgA6ACoALwAvACoAKgBDAHIAZQBhAHQAZQBzACAAdABvAHQAYQBsAHMAIABmAG8AcgAgAHAAcgBlAGMAZQBkAGkAbgBnACAAdgBhAGwAdQBlAHMAIABvAGYAIABhACAAcwBlAHQAIABzAGkAegBlACAAbQBvAHYAaQBuAGcAIABmAHIAbwBtACAAYgBlAGcAaQBuAG4AaQBuAGcAIAB0AG8AIABlAG4AZAAgAG8AdgBlAHIAIABhACAAcgBvAHcAIABvAGYAIAB2AGEAbAB1AGUAcwAuACoALwBcAG4AUgBvAGwAbABpAG4AZwBTAHUAbQ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TAHUAbQC7AygAIABWAGEAbAB1AGUAcwAsACAAUwBpAHoAZQApALYAXAAiACAAJgBcAG4AIAAgACAAIAAgACAAIAAgACAAIAAgACAAIAAgACAAIAAgACAAIAAgACAAIAAgACAAIAAgACAAIABcACIARABFAFMAQwBSAEkAUABUAEkATwBOADoAIAAgACAAkiFDAHIAZQBhAHQAZQBzACAAdABvAHQAYQBs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0AG8AdABhAGwAbABlAGQALgC2AFwAIgAgACYAIABcAG4AIAAgACAAIAAgACAAIAAgACAAIAAgACAAIAAgACAAIAAgACAAIAAgACAAIAAgACAAIAAgACAAIABcACIAUwBpAHoAZQAgACAAIAAgACAAIAAgACAAIAAgACAAkiEoAFIAZQBxAHUAaQByAGUAZAApACAAVABoAGUAIABuAHUAbQBiAGUAcgAgAG8AZgAgAHYAYQBsAHUAZQBzACAAdABvACAAdABvAHQAYQBs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LAAzACwANgAsADkALAAxADIAIAAgACAAIAAgAJIhPQBvAHoALgBSAG8AbABsAGkAbgBnAFMAdQBt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EwAVQBNAE4AUw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UwBVAE0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QwBvAG4AdABhAGkAbgBzALsDXABuACAAIAAgACAARABFAFMAQwBSAEkAUABUAEkATwBOADoAKgAvAC8AKgAqAJIhQwByAGUAYQB0AGUAcwAgAGEAIAByAG8AdwAgAG8AZgAgAHQAbwB0AGEAbABzACAAZgBvAHIAIABlAGEAYwBoACAAcgBvAHcAIABpAG4AIABhAG4AIABhAHIAcgBhAHkAIAB3AGgAZQByAGUAIABcAG4AaQB0AHMAIABsAGEAYgBlAGwAcwAgAGMAbwBuAHQAYQBpAG4AIABhACAAbABlAHQAdABlAHIALAAgAHcAbwByAGQALAAgAG8AcgAgAHAAaAByAGEAcwBlACoALwBcAG4AUwB1AG0AQwBvAG4AdABhAGkAbgBzALsDIAA9ACAATABBAE0AQgBEAEEAKABcAG4ALwAvACAAIABQAGEAcgBhAG0AZQB0AGUAcgAgAEQAZQBjAGwAYQByAGEAdABpAG8AbgBzAFwAbgAgACAAIAAgAFsAVgBhAGwAdQBlAHMAVABvAEYAaQBsAHQAZQByAF0ALABcAG4AIAAgACAAIABbAFYAYQBsAHUAZQBMAGEAYgBlAGwAcwBdACwAXABuACAAIAAgACAAWwBGAGkAbAB0AGUAcgBCAHkAVABlAHgAdABdACwAXABuACAAIAAgACAAWwBJAGcAbgBvAHIAZQBDAGEAcwBlAD8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MAbwBuAHQAYQBpAG4AcwC7AygAVgBhAGwAdQBlAHMAVABvAEYAaQBsAHQAZQByACwAIABWAGEAbAB1AGUATABhAGIAZQBsAHMALAAgAEYAaQBsAHQAZQByAEIAeQBUAGUAeAB0ACwAIABbAEkAZwBuAG8AcgBlAEMAYQBzAGUAPwBdACkAtgBcACIAIAAmAFwAbgAgACAAIAAgACAAIAAgACAAIAAgACAAIAAgACAAIAAgACAAIAAgACAAIAAgACAAIAAgACAAIAAgAFwAIgBEAEUAUwBDAFIASQBQAFQASQBPAE4AOgAgACAAIACSIUMAcgBlAGEAdABlAHMAIABhACAAcgBvAHcAIABvAGYAIABjAG8AbAB1AG0AbgAgAHQAbwB0AGEAbABzACAAZgBvAHIAIABlAGEAYwBoACAAcgBvAHcAIABpAG4AIABhAG4AIABhAHIAcgBhAHkAIAB3AGgAZQByAGUAtgBcACIAIAAmACAAXABuACAAIAAgACAAIAAgACAAIAAgACAAIAAgACAAIAAgACAAIAAgACAAIAAgACAAIAAgACAAIAAgACAAIAAgACAAIAAgACAAIAAgACAAIAAgACAAIAAgACAAXAAiAJIhaQB0AHMAIABsAGEAYgBlAGwAcwAgAGMAbwBuAHQAYQBpAG4AIABhACAAdQBuAGkAcQB1AGUAIABsAGUAdAB0AGUAcgAsACAAdwBvAHIAZAAsACAAbwByACAAcABoAHIAYQBzAGUALg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FQAbwBGAGkAbAB0AGUAcgAgAJIhKABSAGUAcQB1AGkAcgBlAGQAKQAgAEEAbgAgAGEAcgByAGEAeQAgAG8AZgAgAHYAYQBsAHUAZQBzACAAdABvACAAYgBlACAAZgBpAGwAdABlAHIAZQBkALYAXAAiACAAJgAgACAAIAAgACAAIAAgACAAIAAgACAAIAAgACAAIAAgACAAIAAgAFwAbgAgACAAIAAgACAAIAAgACAAIAAgACAAIAAgACAAIAAgACAAIAAgACAAIAAgACAAIAAgACAAIAAgAFwAIgBWAGEAbAB1AGUATABhAGIAZQBsAHMAIAAgACAAIACSISgAUgBlAHEAdQBpAHIAZQBkACkAIABBAG4AIABhAHIAcgBhAHkAIABjAG8AbgB0AGEAaQBuAGkAbgBnACAAdABoAGUAIAB2AGEAbAB1AGUAcwAnACAAbABhAGIAZQBsAHMAtgBcACIAIAAmACAAIAAgACAAIAAgACAAIAAgACAAIAAgACAAIAAgACAAIAAgACAAXABuACAAIAAgACAAIAAgACAAIAAgACAAIAAgACAAIAAgACAAIAAgACAAIAAgACAAIAAgACAAIAAgACAAXAAiAEYAaQBsAHQAZQByAEIAeQBUAGUAeAB0ACAAIAAgAJIhKABSAGUAcQB1AGkAcgBlAGQAKQAgAEEAIAB1AG4AaQBxAHUAZQAgAGwAZQB0AHQAZQByACwAIAB3AG8AcgBkACAAbwByACAAcABoAHIAYQBzAGUAIAB0AG8AIABmAGkAbgBkACAAYwBvAG4AdABhAGkAbgBlAGQAIABpAG4AIABWAGEAbAB1AGUATABhAGIAZQBsAHM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AAIAAgACAAIAAgACAAIAAgACAAIAAgACAAIAAgAJIhPQBvAHoALgBTAHUAbQBDAG8AbgB0AGEAaQBuAHMAuwMoACAAQQByAHIAYQB5ACwAIABMAGEAYgBlAGwAcwAsACAAXAAiAFwAIgBDAEEAUABFAFg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BUAG8ARgBpAGwAdABlAHIAKQAsACAAXABuACAAIAAgACAAIAAgACAAIAAgACAAIAAgACAAIAAgACAAIAAgACAAIAAgACAAIAAgACAAIAAgACAASQBTAE8ATQBJAFQAVABFAEQAKAAgAFYAYQBsAHUAZQBMAGEAYgBlAGwAcwApACwAIABcAG4AIAAgACAAIAAgACAAIAAgACAAIAAgACAAIAAgACAAIAAgACAAIAAgACAAIAAgACAAIAAgACAAIABJAFMATwBNAEkAVABUAEUARAAoACAARgBpAGwAdABlAHIAQgB5AFQAZQB4AHQAKQ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IAAgACAAIABMAGEAYgBlAGwAcwAsACAAIAAgACAAIAAgACAAIAAgAEMASABPAE8AUwBFAEMATwBMAFMAKABWAGEAbAB1AGUATABhAGIAZQBsAHMALAAgADE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wAYQBiAGUAbABzACkALABcAG4AIAAgACAAIAAgACAAIAAgACAAIAAgACAAIAAgACAAIAAgACAAIAAgACAAIAAgACAAIAAgACAAIABGAEkATgBEACgAIABGAGkAbAB0AGUAcgBCAHkAVABlAHgAdAAsACAATABhAGIAZQBsAHMAKQBcAG4AIAAgACAAIAAgACAAIAAgACAAIAAgACAAIAAgACAAIAAgACAAIAAgACAAIAAgACAAKQAsAFwAbgAgACAAIAAgACAAIAAgACAARgBpAGwAdABlAHIAZQBkAFIAbwB3AHMALAAgACAAIABGAEkATABUAEUAUgAoACAAVgBhAGwAdQBlAHMAVABvAEYAaQBsAHQAZQByACwAIABJAFMATgBVAE0AQgBFAFIAKAAgAE0AYQB0AGMAaABlAHMAKQApACwAXABuACAAIAAgACAAIAAgACAAIABSAGUAcwB1AGwAdAAsACAAIAAgACAAIAAgACAAIAAgAEIAWQBDAE8ATAAoAEYAaQBsAHQAZQByAGUAZABSAG8AdwBzACwAIABMAEEATQBCAEQAQQAoACAAQwBvAGwALAAgAFMAVQBNACgAQwBvAGwAKQApACkALABcAG4AIAAgACAAIAAvAC8AIAAgAFIAZQB0AHUAcgBuACAAUgBlAHMAdQBsAHQAIABvAHIAIABoAGUAbABwAFwAbgAgACAAIAAgACAAIAAgACAAQwBIAE8ATwBTAEUAKABIAGUAbABwAD8AIAArACAAMQAsACAAUgBlAHMAdQBsAHQALAAgAEgAZQBsAHAAKQBcAG4AIAAgACAAIAApACAAIABcAG4AKQA7AFwAbgBcAG4AXABuAC8AKgAgACAARgBVAE4AQwBUAEkATwBOACAATgBBAE0ARQA6ACAAIABTAHUAbQBQAGUAcgBpAG8AZABzALsDXABuACAAIAAgACAARABFAFMAQwBSAEkAUABUAEkATwBOADoAKgAvAC8AKgAqAEcAcgBvAHUAcABzACAAYQBuAGQAIAB0AG8AdABhAGwAcwAgAGEAbABsACAAYwBvAGwAdQBtAG4AcwAgAGkAbgAgAGEAIABWAGEAbAB1AGUAcwAgAGEAcgByAGEAeQAgAGIAeQAgAHAAZQByAGkAbwBkACAAcgBlAHMAdQBsAHQAaQBuAGcAIABpAG4AIABvAG4AZQAgAGMAbwBsAHUAbQBuACAAZgBvAHIAIABlAGEAYwBoACAAcABlAHIAaQBvAGQAKgAvAFwAbgBTAHUAbQBQAGUAcgBpAG8AZABzALsDIAA9ACAATABBAE0AQgBEAEEAKABcAG4ALwAvACAAIABQAGEAcgBhAG0AZQB0AGUAcgAgAEQAZQBjAGwAYQByAGEAdABpAG8AbgBzAFwAbgAgACAAIAAgAFsAVgBhAGwAdQBlAHMAXQAsAFwAbgAgACAAIAAgAFsARABhAHQAZQBzAF0ALABcAG4AIAAgACAAIABbAFAAZQByAGkAbwBkAFMAdABhAHIAdABzAF0ALABcAG4AIAAgACAAIABcAG4ALwAvACAAIABQAHIAbwBjAGUAZAB1AHIAZQBcAG4AIAAgACAAIABMAEUAVAAoAEgAZQBsAHAALAAgACAAIAAgACAAIAAgAFQAUgBJAE0AKABUAEUAWABUAFMAUABMAEkAVAAoACAAXABuACAAIAAgACAAIAAgACAAIAAgACAAIAAgACAAIAAgACAAIAAgACAAIAAgACAAIAAgACAAIAAgACAAXAAiAEYAVQBOAEMAVABJAE8ATgA6ACAAIAAgACAAIAAgAJIhUwB1AG0AUABlAHIAaQBvAGQAcwC7AygAIABWAGEAbAB1AGUAcwAsACAARABhAHQAZQBzACwAIABQAGUAcgBpAG8AZABTAHQAYQByAHQAcwApALYAXAAiACAAJgBcAG4AIAAgACAAIAAgACAAIAAgACAAIAAgACAAIAAgACAAIAAgACAAIAAgACAAIAAgACAAIAAgACAAIABcACIARABFAFMAQwBSAEkAUABUAEkATwBOADoAIAAgACAAkiFTAHUAbQBtAGEAcgBpAHMAZQBzACAAdgBhAGwAdQBlAHMAIAB3AGgAZQByAGUAIABlAGEAYwBoACAAdgBhAGwAdQBlACAAYwBvAGwAdQBtAG4AIABpAHMAIABmAG8AcgAgAG8AbgBlACAAZABhAHkAIAC2AFwAIgAgACYAIABcAG4AIAAgACAAIAAgACAAIAAgACAAIAAgACAAIAAgACAAIAAgACAAIAAgACAAIAAgACAAIAAgACAAIAAgACAAIAAgACAAIAAgACAAIAAgACAAIAAgACAAIABcACIAkiFpAG4AdABvACAAbwBuAGUAIABjAG8AbAB1AG0AbgAgAGYAbwByACAAZQBhAGMAaAAgAHAAZQByAGkAbwBkAC4AIA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YARQBSAFMASQBPAE4AOgAgACAAIAAgACAAIAAgAJIhMgAwACAAQQB1AGcAIAAyADAAMgA2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QAEEAUgBBAE0ARQBUAEUAUgBTADoAkiG2AFwAIgAgACYAIABcAG4AIAAgACAAIAAgACAAIAAgACAAIAAgACAAIAAgACAAIAAgACAAIAAgACAAIAAgACAAIAAgACAAIABcACIAVgBhAGwAdQBlAHMAIAAgACAAIAAgACAAIAAgACAAkiEoAFIAZQBxAHUAaQByAGUAZAApACAAQQAgAHQAdwBvACAAZABpAG0AZQBuAHMAaQBvAG4AYQBsACAAYQByAHIAYQB5AC8AcgBhAG4AZwBlACAAYwBvAG4AdABhAGkAbgBpAG4AZwAgAHYAYQBsAHUAZQBzACAAdABvACAAYgBlACAAcwB1AG0AbQBlAGQAIAB3AGgAZQByAGUAXAAiACAAJgAgAFwAbgAgACAAIAAgACAAIAAgACAAIAAgACAAIAAgACAAIAAgACAAIAAgACAAIAAgACAAIAAgACAAIAAgACAAIAAgACAAIAAgACAAIAAgACAAIAAgACAAIAAgACAAXAAiAGUAYQBjAGgAIABjAG8AbAB1AG0AbgAgAGkAcwAgAGYAbwByACAAYQAgAHMAcABlAGMAaQBmAGkAYwAgAGQAYQB5ALYAXAAiACAAJgAgAFwAbgAgACAAIAAgACAAIAAgACAAIAAgACAAIAAgACAAIAAgACAAIAAgACAAIAAgACAAIAAgACAAIAAgAFwAIgBEAGEAdABlAHMAIAAgACAAIAAgACAAIAAgACAAIACSISgAUgBlAHEAdQBpAHIAZQBkACkAIABBACAAcgBvAHcAIABvAGYAIABkAGEAdABlAHMAIABwAHIAbwB2AGkAZABpAG4AZwAgAHQAaABlACAAZABhAHQAZQAgAGYAbwByACAAZQBhAGMAaAAgAFYAYQBsAHUAZQBzACAAYwBvAGwAdQBtAG4AtgBcACIAIAAmAFwAbgAgACAAIAAgACAAIAAgACAAIAAgACAAIAAgACAAIAAgACAAIAAgACAAIAAgACAAIAAgACAAIAAgAFwAIgBQAGUAcgBpAG8AZABTAHQAYQByAHQAcwAgACAAIACSISgAUgBlAHEAdQBpAHIAZQBkACkAIABBACAAcgBvAHcAIABvAGYAIABwAGUAcgBpAG8AZAAgAHMAdABhAHIAdAAgAGQAYQB0AGUAcwC2AFwAIgAgACY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AAMwAsACAAMAA3ACAAIAAgACAAIAAgACAAIAAgAJIhPQBvAHoALgBTAHUAbQBQAGUAcgBpAG8AZABzALsDKAB7ADEALAAyACwAMwAsADQAOwA0ACwAMwAsADIALAAxADsAMQAwACwAMgAwACwAMwAwACwANAAwAH0ALAAgAHsAMQAsADIALAAzACwANAB9ACwAIAB7ADEALAAzAH0AKQC2AFwAIgAgACYAIABcAG4AIAAgACAAIAAgACAAIAAgACAAIAAgACAAIAAgACAAIAAgACAAIAAgACAAIAAgACAAIAAgACAAIABcACIAMAA3ACwAIAAwADMAIAAgACAAIAAgACAAIAAgACAAkiG2AFwAIgAgACYAIABcAG4AIAAgACAAIAAgACAAIAAgACAAIAAgACAAIAAgACAAIAAgACAAIAAgACAAIAAgACAAIAAgACAAIABcACIAMwAwACwAIAA3ADAAIAAgACAAIAAgACAAIAAgACAAkiF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LABcAG4AIAAgACAAIAAgACAAIAAgACAAIAAgACAAIAAgACAAIAAgACAAIAAgACAAIAAgACAAIAAgACAAIABJAFMATwBNAEkAVABUAEUARAAoACAAUABlAHIAaQBvAGQAUwB0AGEAcgB0AHMAKQApACwAXABuACAAIAAgACAALwAvACAAIABQAHIAbwBjAGUAZAB1AHIAZQBcAG4AIAAgACAAIAAgACAAIAAgAFAAcgBkAE4AdQBtACwAIAAgACAAIAAgACAAIAAgACAATQBBAFQAQwBIACgARABhAHQAZQBzACwAIABQAGUAcgBpAG8AZABTAHQAYQByAHQAcwAsACAAMQApACwAXABuACAAIAAgACAAIAAgACAAIABSAGUAcwB1AGwAdAAsACAAIAAgACAAIAAgACAAIAAgAE0AQQBLAEUAQQBSAFIAQQBZACgAXABuACAAIAAgACAAIAAgACAAIAAgACAAIAAgACAAIAAgACAAIAAgACAAIAAgACAAIAAgACAAIAAgACAAUgBPAFcAUwAoAFYAYQBsAHUAZQBzACkALABcAG4AIAAgACAAIAAgACAAIAAgACAAIAAgACAAIAAgACAAIAAgACAAIAAgACAAIAAgACAAIAAgACAAIABDAE8ATABVAE0ATgBTACgAUABlAHIAaQBvAGQAUwB0AGEAcgB0AHMAKQAsAFwAbgAgACAAIAAgACAAIAAgACAAIAAgACAAIAAgACAAIAAgACAAIAAgACAAIAAgACAAIAAgACAAIAAgAEwAQQBNAEIARABBACgAXABuACAAIAAgACAAIAAgACAAIAAgACAAIAAgACAAIAAgACAAIAAgACAAIAAgACAAIAAgACAAIAAgACAAIAAgACAAIABSAG8AdwAsACAAXABuACAAIAAgACAAIAAgACAAIAAgACAAIAAgACAAIAAgACAAIAAgACAAIAAgACAAIAAgACAAIAAgACAAIAAgACAAIABDAG8AbAAsACAAXABuACAAIAAgACAAIAAgACAAIAAgACAAIAAgACAAIAAgACAAIAAgACAAIAAgACAAIAAgACAAIAAgACAAIAAgACAAIABTAFUATQAoAEkATgBEAEUAWAAoAFYAYQBsAHUAZQBzACwAIABSAG8AdwAsACAAKQAgACoAIAAoAEMAbwBsACAAPQAgAFAAcgBkAE4AdQBtACkAKQBcAG4AIAAgACAAIAAgACAAIAAgACAAIAAgACAAIAAgACAAIAAgACAAIAAgACAAIAAgACAAIAAgACAAIAAgACAAIAAgACkAXABuACAAIAAgACAAIAAgACAAIAAgACAAIAAgACAAIAAgACAAIAAgACAAIAAgACAAIAAgACkALAAgACAAIAAgACAAIAAgACAAIAAgACAAIABcAG4AIAAgACAAIAAvAC8AIAAgAFIAZQB0AHUAcgBuACAAUgBlAHMAdQBsAHQAXABuACAAIAAgACAAIAAgACAAIABDAEgATwBPAFMARQAoAEgAZQBsAHAAPwAgACsAIAAxACwAIABSAGUAcwB1AGwAdAAsACAASABlAGwAcAApAFwAbgAgACAAIAAgACkAXABuACkAOwBcAG4AXABuAFwAbgBcAG4AXABuAFwAbgAvAC8AIAAgAEEAbQBvAHIAdABpAHMAYQB0AGkAbwBuACAAUwB1AGkAdABlAFwAbgBcAG4ALwAqACAAIABGAFUATgBDAFQASQBPAE4AIABOAEEATQBFADoAIAAgAEEAbQBvAHIAdABpAHMAZQC7A1wAbgAgACAAIAAgAEQARQBTAEMAUgBJAFAAVABJAE8ATgA6ACoALwAvACoAKgBDAHIAZQBhAHQAZQBzACAAYQAgAGMAbwByAGsAcwBjAHIAZQB3ACAAYQBtAG8AcgB0AGkAcwBhAHQAaQBvAG4AIABzAGMAaABlAGQAdQBsAGUAKgAvAFwAbgBBAG0AbwByAHQAaQBzAGUAuwMgAD0AIABMAEEATQBCAEQAQQAoAFwAbgAvAC8AIAAgAFAAYQByAGEAbQBlAHQAZQByACAARABlAGMAbABhAHIAYQB0AGkAbwBuAHMAXABuACAAIAAgACAAWwBQAHIAaQBuAGMAaQBwAGEAbABzAF0ALAAgAFwAbgAgACAAIAAgAFsAQQBQAFIAcwBdACwAIABcAG4AIAAgACAAIABbAFQAZQByAG0AcwBdACwAIABcAG4AIAAgACAAIABbAFMAdABhAHIAdABEAGEAdABlAHMAXQAsAFwAbgAgACAAIAAgAFsAVABpAG0AZQBsAGkAbgBlAF0ALABcAG4AXABuACAAIAAgACAATABFAFQAKABcAG4AIAAgACAAIAAvAC8AIAAgAEgAZQBsAHAAIAAgACAAIAAgACAAIAAgAFwAbgAgACAAIAAgACAAIAAgACAASABlAGwAcAAsACAAIAAgACAAIAAgACAAVABSAEkATQAoAFQARQBYAFQAUwBQAEwASQBUACgAIABcAG4AIAAgACAAIAAgACAAIAAgACAAIAAgACAAIAAgACAAIAAgACAAIAAgACAAIAAgACAAXAAiAEYAVQBOAEMAVABJAE8ATgA6ACAAIAAgACAAIAAgAJIhQQBtAG8AcgB0AGkAcwBlALsDKAAgAFAAcgBpAG4AYwBpAHAAYQBsAHMALAAgAEEAUABSAHMALAAgAFQAZQByAG0AcwAsACAAUwB0AGEAcgB0AEQAYQB0AGUAcwAsACAAWwBUAGkAbQBlAGwAaQBuAGUAXQApALYAXAAiACAAJgBcAG4AIAAgACAAIAAgACAAIAAgACAAIAAgACAAIAAgACAAIAAgACAAIAAgACAAIAAgACAAXAAiAEQARQBTAEMAUgBJAFAAVABJAE8ATgA6ACAAIAAgAJIhQwByAGUAYQB0AGUAcwAgAGEAbgAgAGEAbQBvAHIAdABpAHMAYQB0AGkAbwBuACAAcwBjAGgAZQBkAHUAbABlACAAYQByAHIAYQB5ACAAZgBvAHIAIABvAG4AZQAgAG8AcgAgAG0AbwByAGUAIABsAG8AYQBuAHMALgC2AFwAIgAgACYAXABuACAAIAAgACAAIAAgACAAIAAgACAAIAAgACAAIAAgACAAIAAgACAAIAAgACAAIAAgACAAIAAgACAAIAAgACAAIAAgACAAIAAgACAAIAAgAFwAIgCSIVAAYQB5AG0AZQBuAHQAcwAgAGEAcgBlACAAYQBzAHMAdQBtAGUAZAAgAG0AbwBuAHQAaABsAHkALgAgAE8AbgAgAHAAZQByAGkAbwBkAHMAIABzAGgAbwByAHQAZQByACAAdABoAGEAbgAgAGEAIABtAG8AbgB0AGgAIAB0AGgAZQAgAGYAaQBnAHUAcgBlAHMAIABmAG8AcgAgAGUAYQBjAGgAIABtAG8AbgB0AGgAIABsAGEAbgBkACAAaQBuACAAdABoAGUAIABwAGUAcgBpAG8AZAAgAGgAbwBsAGQAaQBuAGcAIABpAHQAcwAgAHMAdABhAHIAdAAsACAAdABoAGUAIAByAGUAcwB0ACAAbgBpAGwALgC2AFwAIgAgACYAXABuACAAIAAgACAAIAAgACAAIAAgACAAIAAgACAAIAAgACAAIAAgACAAIAAgACAAIAAgACAAIAAgACAAIAAgACAAIAAgACAAIAAgACAAIAAgAFwAIgCSIVUAcwBlACAATABhAGIAZQBsAEEAbQBvAHIAdABpAHMAZQC7AygAKQAgAHQAbwAgAGEAcABwAGwAeQAgAGwAYQBiAGUAbABzACAAdABvACAAdABoAGkAcwAgAGYAdQBuAGMAdABpAG8AbgAnAHMAIAByAGUAcwB1AGwAdABzADoAtgBcACIAIAAmACAAXABuACAAIAAgACAAIAAgACAAIAAgACAAIAAgACAAIAAgACAAIAAgACAAIAAgACAAIAAgACAAIAAgACAAIAAgACAAIAAgACAAIAAgACAAIAAgAFwAIgCSIVUAcwBlACAAUwB1AG0AQQBtAG8AcgB0AGkAcwBlALsDKAApACAAdABvACAAYQBwAHAAbAB5ACAAdABvAHQAYQBsAHMAIAB0AG8AIAB0AGgAaQBzACAAZgB1AG4AYwB0AGkAbwBuACcAcwAgAHIAZQBzAHUAbAB0AHMAOgC2AFwAIgAgACYAIABcAG4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UAByAGkAbgBjAGkAcABhAGwAcwAgACAAIAAgACAAkiEoAFIAZQBxAHUAaQByAGUAZAApACAATABvAGEAbgAvAGQAZQBiAHQAIABhAG0AbwB1AG4AdABzAC4AtgBcACIAIAAmACAAXABuACAAIAAgACAAIAAgACAAIAAgACAAIAAgACAAIAAgACAAIAAgACAAIAAgACAAIAAgAFwAIgBBAFAAUgBzACAAIAAgACAAIAAgACAAIAAgACAAIACSISgAUgBlAHEAdQBpAHIAZQBkACkAIABBAG4AbgB1AGEAbAAgAFAAZQByAGMAZQBuAHQAYQBnAGUAIABSAGEAdABlAHMAIABmAG8AcgAgAGkAbgB0AGUAcgBlAHMAdAAuALYAXAAiACAAJgAgAFwAbgAgACAAIAAgACAAIAAgACAAIAAgACAAIAAgACAAIAAgACAAIAAgACAAIAAgACAAIABcACIAVABlAHIAbQBzACAAIAAgACAAIAAgACAAIAAgACAAkiEoAFIAZQBxAHUAaQByAGUAZAApACAATgB1AG0AYgBlAHIAIABvAGYAIABtAG8AbgB0AGgAcwAgAGYAbwByACAAbABvAGEAbgBzAC8AZABlAGIAdABzAC4AtgBcACIAIAAmACAAXABuACAAIAAgACAAIAAgACAAIAAgACAAIAAgACAAIAAgACAAIAAgACAAIAAgACAAIAAgAFwAIgBTAHQAYQByAHQARABhAHQAZQBzACAAIAAgACAAIACSISgAUgBlAHEAdQBpAHIAZQBkACkAIABEAGEAdABlAHMAIABkAGUAYgB0AHMAIABhAHIAZQAgAGkAcwBzAHUAZQBkAC4AtgBcACIAIAAmACAAXABuACAAIAAgACAAIAAgACAAIAAgACAAIAAgACAAIAAgACAAIAAgACAAIAAgACAAIAAgAFwAIgBUAGkAbQBlAGwAaQBuAGUAIAAgACAAIAAgACAAIACSISgATwBwAHQAaQBvAG4AYQBsACkAIABBAG4AIABhAHIAcgBhAHkAIABvAGYAIABkAGEAdABlAHMALgAgAEkAZgAgAG8AbQBpAHQAdABlAGQALAAgAGEAIAByAG8AdwAgAG8AZgAgAG0AbwBuAHQAaABzACAAcwB0AGEAcgB0AGkAbgBnACAAbwBuACAAcwB0AGEAcgB0ACAAZABhAHQAZQAgAHcAaQBsAGwAIABiAGUAIABhAGQAZABlAGQAtgBcACIAIAAmACAAXABuACAAIAAgACAAIAAgACAAIAAgACAAIAAgACAAIAAgACAAIAAgACAAIAAgACAAIAAgAFwAIgBFAFgAQQBNAFAATABFAFMAOg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BcACIAkiE9AG8AegAuAEEAbQBvAHIAdABpAHMAZQC7AygAMQAwADAAMAAwACwAIAA1ACUALAAgADQAIAAqACAAMQAyACwAIABcACIAXAAiADIAMAAyADYALQAwADcALQAwADEAXAAiAFwAIgApAFwAIgAsACAAXABuACAAIAAgACAAIAAgACAAIAAgACAAIAAgACAAIAAgACAAIAAgACAAIAAgACAAIAAgAFwAIgCSIVwAIgAsACAAXAAiALYAXAAiACAAKQBcAG4AIAAgACAAIAAgACAAIAAgACAAIAAgACAAIAAgACAAIAAgACAAIAAgACkALABcAG4AIAAgACAAIAAvAC8AIAAgAEMAbwBuAHMAdABhAG4AdABzAFwAbgAgACAAIAAgACAAIAAgACAATQBwAFkALAAgACAAIAAgACAAIAAgACAAIAAgACAAIAAgACAAIAAgADEAMgAsACAAIAAgACAAIAAvAC8ATQBvAG4AdABoAHMAIABQAGUAcgAgAFkAZQBhAHIAXABuACAAIAAgACAAIAAgACAAIABBAEQAcABNACwAIAAgACAAIAAgACAAIAAgACAAIAAgACAAIAAgACAAMwAwAC4ANAAyACwAIAAgAC8ALwBBAHYAZQByAGEAZwBlACAARABhAHkAcwAgAFAAZQByACAATQBvAG4AdABoAFwAbgAgACAAIAAgAFwAbgAgACAAIAAgAC8ALwAgACAAQwBoAGUAYwBrACAAaQBuAHAAdQB0AHMAIAAtACAATwBtAGkAdAB0AGUAZAAgAHIAZQBxAHUAaQByAGUAZAAgAGEAcgBnAHUAbQBlAG4AdABzAFwAbgAgACAAIAAgACAAIAAgACAASABlAGwAcAA/ACwAIAAgACAAIAAgACAAIAAgACAAIAAgACAAIAAgAE8AUgAoACAASQBTAE8ATQBJAFQAVABFAEQAKAAgAFAAcgBpAG4AYwBpAHAAYQBsAHMAKQAsAFwAbgAgACAAIAAgACAAIAAgACAAIAAgACAAIAAgACAAIAAgACAAIAAgACAAIAAgACAAIAAgACAAIAAgACAAIAAgACAASQBTAE8ATQBJAFQAVABFAEQAKAAgAEEAUABSAHMAKQAsAFwAbgAgACAAIAAgACAAIAAgACAAIAAgACAAIAAgACAAIAAgACAAIAAgACAAIAAgACAAIAAgACAAIAAgACAAIAAgACAASQBTAE8ATQBJAFQAVABFAEQAKAAgAFQAZQByAG0AcwApACwAXABuACAAIAAgACAAIAAgACAAIAAgACAAIAAgACAAIAAgACAAIAAgACAAIAAgACAAIAAgACAAIAAgACAAIAAgACAAIABJAFMATwBNAEkAVABUAEUARAAoACAAUwB0AGEAcgB0AEQAYQB0AGUAcwApAFwAbgAgACAAIAAgACAAIAAgACAAIAAgACAAIAAgACAAIAAgACAAIAAgACAAIAAgACAAIAAgACAAIAAgACkALABcAG4AIAAgACAAIABcAG4AIAAgACAAIAAvAC8AIAAgAFMAZQB0ACAAZABlAGYAYQB1AGwAdABzACAAYQBuAGQAIABhAHAAcABsAHkAIABjAG8AbgB2AGUAbgBpAGUAbgBjAGUAIABjAG8AbgB2AGUAcgBzAGkAbwBuAHMAXABuACAAIAAgACAAIAAgACAAIABUAGkAbQBlAGwAaQBuAGUALAAgACAAIAAgACAAIAAgACAAIAAgACAASQBGACgAIABJAFMATwBNAEkAVABUAEUARAAoACAAVABpAG0AZQBsAGkAbgBlACkALAAgAFwAbgAgACAAIAAgACAAIAAgACAAIAAgACAAIAAgACAAIAAgACAAIAAgACAAIAAgACAAIAAgACAAIAAgACAAIAAgACAATABFAFQAKABDAG8AdQBuAHQAZQByACwAIAAgACAAIABSAE8AVwBTACgAIABQAHIAaQBuAGMAaQBwAGEAbABzACkALABcAG4AIAAgACAAIAAgACAAIAAgACAAIAAgACAAIAAgACAAIAAgACAAIAAgACAAIAAgACAAIAAgACAAIAAgACAAIAAgACAAIAAgACAATQBhAHgARABhAHQAZQAsACAAIAAgACAATQBBAFgAKABNAEEAUAAoACAAQwBvAHUAbgB0AGUAcgAs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FAEQAQQBUAEUAKAAgAEkATgBEAEUAWAAoACAAUwB0AGEAcgB0AEQAYQB0AGUAcwAsACAAbgApACwAIABJAE4ARABFAFgAKAAgAFQAZQByAG0AcwAsACAAbgApACAALQAgADEAKQApACkAKQAsAFwAbgAgACAAIAAgACAAIAAgACAAIAAgACAAIAAgACAAIAAgACAAIAAgACAAIAAgACAAIAAgACAAIAAgACAAIAAgACAAIAAgACAAIABNAGkAbgBEAGEAdABlACwAIAAgACAAIABNAEkATgAoACAAUwB0AGEAcgB0AEQAYQB0AGUAcwApACwAIABcAG4AIAAgACAAIAAgACAAIAAgACAAIAAgACAAIAAgACAAIAAgACAAIAAgACAAIAAgACAAIAAgACAAIAAgACAAIAAgACAAIAAgACAATQBhAHgAVABlAHIAbQAsACAAIAAgACAARABBAFQARQBEAEkARgAoAE0AaQBuAEQAYQB0AGUALAAgAE0AYQB4AEQAYQB0AGUALAAgAFwAIgBNAFwAIgApACAAKwAgADEALABcAG4AIAAgACAAIAAgACAAIAAgACAAIAAgACAAIAAgACAAIAAgACAAIAAgACAAIAAgACAAIAAgACAAIAAgACAAIAAgACAAIAAgACAAUgBlAHMAdQBsAHQALAAgACAAIAAgACAARQBEAEEAVABFACgAIABNAGkAbgBEAGEAdABlACwAIABTAGUAcQB1AGUAbgBjAGUAKAAxACwAIABNAGEAeABUAGUAcgBtACwAIAAwACkAKQAsAFwAbgAgACAAIAAgACAAIAAgACAAIAAgACAAIAAgACAAIAAgACAAIAAgACAAIAAgACAAIAAgACAAIAAgACAAIAAgACAAIAAgACAAIABSAGUAcwB1AGwAdAApACwAIABcAG4AIAAgACAAIAAgACAAIAAgACAAIAAgACAAIAAgACAAIAAgACAAIAAgACAAIAAgACAAIAAgACAAIAAgACAAIAAgAFQAaQBtAGUAbABpAG4AZQBcAG4AIAAgACAAIAAgACAAIAAgACAAIAAgACAAIAAgACAAIAAgACAAIAAgACAAIAAgACAAIAAgACAAIAApACwAXABuACAAIAAgACAALwAvACAAIABEAGUAdABlAHIAbQBpAG4AZQAgAHQAaQBtAGUAbABpAG4AZQAnAHMAIABpAG4AdABlAHIAdgBhAGwAIAAoAGwAZQBuAGcAdABoACAAbwBmACAAcABlAHIAaQBvAGQAcwApACAAYQBuAGQAIABvAHIAaQBlAG4AdABhAHQAaQBvAG4AIAAoAGgAbwByAGkAegBvAG4AdABhAGwAIABvAHIAIAB2AGUAcgB0AGkAYwBhAGwAKQBcAG4AIAAgACAAIAAgACAAIAAgAEYAaQByAHMAdABQAGUAcgBpAG8AZAAsACAAIAAgACAAIAAgACAAIABJAE4ARABFAFgAKAAgAFQAaQBtAGUAbABpAG4AZQAsACAAMQApACwAXABuACAAIAAgACAAIAAgACAAIABTAGUAYwBvAG4AZABQAGUAcgBpAG8AZAAsACAAIAAgACAAIAAgACAASQBOAEQARQBYACgAIABUAEkAbQBlAGwAaQBuAGUALAAgADIAKQAsAFwAbgAgACAAIAAgACAAIAAgACAARABwAFAALAAgACAAIAAgACAAIAAgACAAIAAgACAAIAAgACAAIAAgAFMAZQBjAG8AbgBkAFAAZQByAGkAbwBkACAALQAgAEYAaQByAHMAdABQAGUAcgBpAG8AZAAsACAAIAAgACAAIAAgACAAIAAgACAAIAAgACAAIAAgACAAIAAvAC8ARABhAHkAcwAgAFAAZQByACAAUABlAHIAaQBvAGQAXABuACAAIAAgACAAIAAgACAAIABMAGEAcwB0AEcAYQBwACwAIAAgACAAIAAgACAAIAAgACAAIAAgACAATQBBAFgAKAAgAFQAaQBtAGUAbABpAG4AZQApACAALQAgAEkATgBEAEUAWAAoACAAVABpAG0AZQBsAGkAbgBlACwAIABDAE8AVQBOAFQAQQAoACAAVABpAG0AZQBsAGkAbgBlACkAIAAtACAAMQApACwAXABuACAAIAAgACAAIAAgACAAIABTAHUAYgBNAG8AbgB0AGgAbAB5AD8ALAAgACAAIAAgACAAIAAgACAARABwAFAAIAA8ACAAMgA4ACwAIAAgACAAIAAgACAAIAAgACAAIAAgACAAIAAgACAAIAAgACAAIAAgACAAIAAgACAAIAAgACAAIAAgACAAIAAgACAAIAAgAC8ALwBOAG8AIABtAG8AbgB0AGgAIABpAHMAIABzAGgAbwByAHQAZQByAFwAbgAgACAAIAAgACAAIAAgACAATQBwAFAALAAgACAAIAAgACAAIAAgACAAIAAgACAAIAAgACAAIAAgAE0AQQBYACgAIABAAFIATwBVAE4ARAAoACAARABwAFAAIAAvACAAQQBEAHAATQAsACAAMAApACwAIAAxACkALAAgACAAIAAgACAAIAAgACAAIAAgACAAIAAvAC8ATQBvAG4AdABoAHMAIABQAGUAcgAgAFAAZQByAGkAbwBkACwAIABuAGUAdgBlAHIAIABuAG8AdQBnAGgAdABcAG4AXABuACAAIAAgACAALwAvACAAIABSAGUAYwB1AHIAcwBpAHYAZQAgAGYAdQBuAGMAdABpAG8AbgAgACgAZgBuACkAIABkAGUAZgBpAG4AaQB0AGkAbwBuAFwAbgAgACAAIAAgACAAIAAgACAAUgBlAGMAdQByAHMAaQBvAG4ALAAgAFwAbgAgACAAIAAgACAAIAAgACAAIAAgACAAIABMAEEATQBCAEQAQQAoACAAZgBuACwAIABQAHIAaQBuAGMAaQBwAGEAbABzACwAIABBAFAAUgBzACwAIABUAGUAcgBtAHMALAAgAFMAdABhAHIAdABEAGEAdABlAHMALAAgAFQAaQBtAGUAbABpAG4AZQAsACAAQQBzAHMAZQB0ACwAXABuACAAIAAgACAAIAAgACAAIAAgACAAIAAgACAAIAAgACAATABFAFQAKABcAG4AIAAgACAAIAAgACAAIAAgACAAIAAgACAAIAAgACAAIAAvAC8AIAAgAEMAcgBlAGEAdABlACAAaQBuAGQAaQB2AGkAZAB1AGEAbAAgAFYAYQBsAHUAZQBzACAAZgByAG8AbQAgAGEAcgByAGEAeQBcAG4AIAAgACAAIAAgACAAIAAgACAAIAAgACAAIAAgACAAIAAgACAAIAAgAFAAcgBpAG4AYwBpAHAAYQBsACwAIAAgACAAIAAgACAAIAAgACAAIABJAE4ARABFAFgAKAAgAFAAcgBpAG4AYwBpAHAAYQBsAHMALAAgAEEAcwBzAGUAdAApACwAIABcAG4AIAAgACAAIAAgACAAIAAgACAAIAAgACAAIAAgACAAIAAgACAAIAAgAEEAUABSACwAIAAgACAAIAAgACAAIAAgACAAIAAgACAAIAAgACAAIABJAE4ARABFAFgAKAAgAEEAUABSAHMALAAgAEEAcwBzAGUAdAApACwAIABcAG4AIAAgACAAIAAgACAAIAAgACAAIAAgACAAIAAgACAAIAAgACAAIAAgAFQAZQByAG0ALAAgACAAIAAgACAAIAAgACAAIAAgACAAIAAgACAAIABJAE4ARABFAFgAKAAgAFQAZQByAG0AcwAsACAAQQBzAHMAZQB0ACkALAAgACAAXABuACAAIAAgACAAIAAgACAAIAAgACAAIAAgACAAIAAgACAAIAAgACAAIABTAHQAYQByAHQARABhAHQAZQAsACAAIAAgACAAIAAgACAAIAAgACAASQBOAEQARQBYACgAIABTAHQAYQByAHQARABhAHQAZQBzACwAIABBAHMAcwBlAHQAKQAsACAAXABuAFwAbgAgACAAIAAgACAAIAAgACAAIAAgACAAIAAgACAAIAAgAC8ALwAgACAAQQBkAGoAdQBzAHQAIABpAG4AcAB1AHQAcwAgAHQAbwAgAG0AYQB0AGMAaAAgAHQAaQBtAGUAbABpAG4AZQBcAG4AIAAgACAAIAAgACAAIAAgACAAIAAgACAAIAAgACAAIAAgACAAIAAgAFAAZQByAGkAbwBkAHMALAAgACAAIAAgACAAIAAgACAAIAAgACAAIABSAE8AVQBOAEQAVQBQACgAVABlAHIAbQAgAC8AIABNAHAAUAAsACAAMAApACwAXABuACAAIAAgACAAIAAgACAAIAAgACAAIAAgACAAIAAgACAAIAAgACAAIABSAG8AdwBzACwAIAAgACAAIAAgACAAIAAgACAAIAAgACAAIAAgACAAMQAsAFwAbgAgACAAIAAgACAAIAAgACAAIAAgACAAIAAgACAAIAAgACAAIAAgACAAQwBvAGwAcwAsACAAIAAgACAAIAAgACAAIAAgACAAIAAgACAAIAAgAFAAZQByAGkAbwBkAHMALABcAG4AXABuACAAIAAgACAAIAAgACAAIAAgACAAIAAgACAAIAAgACAALwAvACAAIABDAGEAbABjAHUAbABhAHQAZQAgAGYAbwByACAAZQBhAGMAaAAgAG0AbwBuAHQAaABcAG4AIAAgACAAIAAgACAAIAAgACAAIAAgACAAIAAgACAAIAAgACAAIAAgAFIAYQB0AGUALAAgACAAIAAgACAAIAAgACAAIAAgACAAIAAgACAAIABBAFAAUgAgAC8AIABNAHAAWQAsAFwAbgAgACAAIAAgACAAIAAgACAAIAAgACAAIAAgACAAIAAgACAAIAAgACAATQBvAG4AdABoAGwAeQBQAGEAeQBtAGUAbgB0ACwAIAAgACAAIAAgAFAATQBUACgAIABSAGEAdABlACwAIABUAGUAcgBtACwAIABQAHIAaQBuAGMAaQBwAGEAbAApACwAIAAgACAAIABcAG4AIAAgACAAIAAgACAAIAAgACAAIAAgACAAIAAgACAAIAAgACAAIAAgAE0AbwBuAHQAaABsAHkAUAByAGkAbgBjAGkAcABhAGwALAAgACAAIAAtAEYAVgAoAFIAYQB0AGUALAAgAFMARQBRAFUARQBOAEMARQAoACAAMQAsACAAVABlAHIAbQAsACAAMAApACwAIABNAG8AbgB0AGgAbAB5AFAAYQB5AG0AZQBuAHQALAAgAFAAcgBpAG4AYwBpAHAAYQBsACkALABcAG4AIAAgACAAIAAgACAAIAAgACAAIAAgACAAIAAgACAAIAAgACAAIAAgAE0AbwBuAHQAaABsAHkASQBuAHQAZQByAGUAcwB0ACwAIAAgACAAIABNAG8AbgB0AGgAbAB5AFAAcgBpAG4AYwBpAHAAYQBsACAAKgAgAFIAYQB0AGUALABcAG4AXABuACAAIAAgACAAIAAgACAAIAAgACAAIAAgACAAIAAgACAALwAvACAAIABDAG8AbgB2AGUAcgB0ACAAdABvACAAVABpAG0AZQBsAGkAbgBlACAAUABlAHIAaQBvAGQAcwBcAG4AIAAgACAAIAAgACAAIAAgACAAIAAgACAAIAAgACAAIAAgACAAIAAgAEQAZQBiAHQASQBzAHMAdQBlAEEAcgByAGEAeQAsACAAIAAgACAAIABFAFgAUABBAE4ARAAoAFAAcgBpAG4AYwBpAHAAYQBsACwAIAAxACwAIABQAGUAcgBpAG8AZABzACwAIAAwACkALABcAG4AIAAgACAAIAAgACAAIAAgACAAIAAgACAAIAAgACAAIAAgACAAIAAgAFAAcgBpAG4AYwBpAHAAYQBsAEEAcgByAGEAeQAsACAAIAAgACAAIABJAEYAKAAgAE0AcABQACAAPQAgADEALAAgAFwAbgAgACAAIAAgACAAIAAgACAAIAAgACAAIAAgACAAIAAgACAAIAAgACAAIAAgACAAIAAgACAAIAAgACAAIAAgACAAIAAgACAAIAAgACAAIAAgACAAIAAgACAATQBvAG4AdABoAGwAeQBQAHIAaQBuAGMAaQBwAGEAbA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TABFAFQAKABJAGQAeAAsACAAKABDACAALQAgADEAKQAgACoAIABNAHAAUAAgACsAIAAxACwAIABcAG4AIAAgACAAIAAgACAAIAAgACAAIAAgACAAIAAgACAAIAAgACAAIAAgACAAIAAgACAAIAAgACAAIAAgACAAIAAgACAAIAAgACAAIAAgACAAIAAgACAAIAAgACAAIAAgACAAIAAgACAAIAAgACAAIAAgAEkATgBEAEUAWAAoACAATQBvAG4AdABoAGwAeQBQAHIAaQBuAGMAaQBwAGEAbAAsACAASQBkAHg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EkAbgB0AGUAcgBlAHMAdABBAHIAcgBhAHkALAAgACAAIAAgACAAIABJAEYAKAAgAE0AcABQACAAPQAgADEALAAgAFwAbgAgACAAIAAgACAAIAAgACAAIAAgACAAIAAgACAAIAAgACAAIAAgACAAIAAgACAAIAAgACAAIAAgACAAIAAgACAAIAAgACAAIAAgACAAIAAgACAAIAAgACAATQBvAG4AdABoAGwAeQBJAG4AdABlAHIAZQBzAHQALABcAG4AIAAgACAAIAAgACAAIAAgACAAIAAgACAAIAAgACAAIAAgACAAIAAgACAAIAAgACAAIAAgACAAIAAgACAAIAAgACAAIAAgACAAIAAgACAAIAAgACAAIAAgAEwARQBUACgAIABcAG4AIAAgACAAIAAgACAAIAAgACAAIAAgACAAIAAgACAAIAAgACAAIAAgACAAIAAgACAAIAAgACAAIAAgACAAIAAgACAAIAAgACAAIAAgACAAIAAgACAAIAAgACAAIAAgACAATQBvAEkAbgB0ACwAIAAgAEUAWABQAEEATgBEACgAIABNAG8AbgB0AGgAbAB5AEkAbgB0AGUAcgBlAHMAdAAsACAAMQAsACAAUgBPAFUATgBEAFUAUAAoACAAVABlAHIAbQAvACAATQBwAHAALAAgADAAKQAgACoAIABNAHAAcAAsACAAMAApACwAIABcAG4AIAAgACAAIA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AgACAAIAAgAFMAVQBNACgAIABDAEgATwBPAFMARQBDAE8ATABTACgATQBvAEkAbgB0ACwAIABTAEUAUQBVAEUATgBDAEUAKAAxACwAIABNAHAAUAAsACAASQBkAHgAKQApACk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QAGEAeQBtAGUAbgB0AEEAcgByAGEAeQAsACAAIAAgACAAIAAgACAATABFAFQAKABNAG8AUABtAHQALAAgACAARQBYAFAAQQBOAEQAKAAgAFMARQBRAFUARQBOAEMARQAoADEALAAgAFQAZQByAG0ALAAgAE0AbwBuAHQAaABsAHkAUABhAHkAbQBlAG4AdAAsACAAMAApACwAIAAxACwAIABSAE8AVQBOAEQAVQBQACgAIABUAGUAcgBtAC8AIABNAHAAcAAsACAAMAApACAAKgAgAE0AcABwACwAIAAwACk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FMAVQBNACgAIABDAEgATwBPAFMARQBDAE8ATABTACgATQBvAFAAbQB0ACwAIABTAEUAUQBVAEUATgBDAEUAKAAxACwAIABNAHAAUAAsACAASQBkAHgAK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XABuACAAIAAgACAAIAAgACAAIAAgACAAIAAgACAAIAAgACAAIAAgACAAIAAgACAAIAAgACAAIAAgACAAIAAgACAAIAAgACAAIAAgACAAIAAgACAAKQAsACAAXABuACAAIAAgACAAIAAgACAAIAAgACAAIAAgACAAIAAgACAAIAAgACAAIABDAGwAbwBzAGkAbgBnAEEAcgByAGEAeQAsACAAIAAgACAAIAAgACAAUAByAGkAbgBjAGkAcABhAGwAQQByAHIAYQB5ACAAKwAgAEkAbgB0AGUAcgBlAHMAdABBAHIAcgBhAHkAIAArACAAUABhAHkAbQBlAG4AdABBAHIAcgBhAHkALABcAG4AIAAgACAAIAAgACAAIAAgACAAIAAgACAAIAAgACAAIAAgACAAIAAgAFAAbwByAHQAaQBvAG4AQQByAHIAYQB5ACwAIAAgACAAIAAgACAAIAAtAFAAYQB5AG0AZQBuAHQAQQByAHIAYQB5ACAALQAgAEkAbgB0AGUAcgBlAHMAdABBAHIAcgBhAHkALAAgACAAIAAgAFwAbgAgACAAIAAgACAAIAAgACAAIAAgACAAIAAgACAAIAAgACAAIAAgACAAQQBtAG8AcgB0AGkAcwBhAHQAaQBvAG4AUwBjAGgAZQBkACwAIAAgAFYAUwBUAEEAQwBLACgAXABuACAAIAAgACAAIAAgACAAIAAgACAAIAAgACAAIAAgACAAIAAgACAAIAAgACAAIAAgACAAIAAgACAAIAAgACAAIAAgACAAIAAgACAAIAAgACAAIAAgACAAIABEAGUAYgB0AEkAcwBzAHUAZQBBAHIAcgBhAHkALAAgAFwAbgAgACAAIAAgACAAIAAgACAAIAAgACAAIAAgACAAIAAgACAAIAAgACAAIAAgACAAIAAgACAAIAAgACAAIAAgACAAIAAgACAAIAAgACAAIAAgACAAIAAgACAAUAByAGkAbgBjAGkAcABhAGwAQQByAHIAYQB5ACwAIABcAG4AIAAgACAAIAAgACAAIAAgACAAIAAgACAAIAAgACAAIAAgACAAIAAgACAAIAAgACAAIAAgACAAIAAgACAAIAAgACAAIAAgACAAIAAgACAAIAAgACAAIAAgAEkAbgB0AGUAcgBlAHMAdABBAHIAcgBhAHkALAAgAFwAbgAgACAAIAAgACAAIAAgACAAIAAgACAAIAAgACAAIAAgACAAIAAgACAAIAAgACAAIAAgACAAIAAgACAAIAAgACAAIAAgACAAIAAgACAAIAAgACAAIAAgACAAUABhAHkAbQBlAG4AdABBAHIAcgBhAHkALAAgAFwAbgAgACAAIAAgACAAIAAgACAAIAAgACAAIAAgACAAIAAgACAAIAAgACAAIAAgACAAIAAgACAAIAAgACAAIAAgACAAIAAgACAAIAAgACAAIAAgACAAIAAgACAAQwBsAG8AcwBpAG4AZwBBAHIAcgBhAHkALAAgAFwAbgAgACAAIAAgACAAIAAgACAAIAAgACAAIAAgACAAIAAgACAAIAAgACAAIAAgACAAIAAgACAAIAAgACAAIAAgACAAIAAgACAAIAAgACAAIAAgACAAIAAgACAAUABvAHIAdABpAG8AbgBBAHIAcgBhAHkAKQAsAFwAbgAgACAAIAAgACAAIAAgACAAIAAgACAAIAAgACAAIAAgAC8ALwAgACAAUABvAHMAaQB0AGkAbwBuACAAaQBuACAAdABpAG0AZQBsAGkAbgBlAFwAbgAgACAAIAAgACAAIAAgACAAIAAgACAAIAAgACAAIAAgACAAIAAgACAATwBmAGYAcwBlAHQALAAgACAAIAAgACAAIAAgACAAIAAgACAAIAAgAFQAaQBtAGUAbABpAG4AZQBPAGYAZgBzAGUAdAC7AygAUwB0AGEAcgB0AEQAYQB0AGUALAAgAFQAaQBtAGUAbABpAG4AZQApACwAXABuACAAIAAgACAAIAAgACAAIAAgACAAIAAgACAAIAAgACAALwAvACAAIABBACAAcwB1AGIALQBtAG8AbgB0AGgAbAB5ACAAcABlAHIAaQBvAGQAIABpAHMAIABhACAAZgBpAHgAZQBkACAAbgB1AG0AYgBlAHIAIABvAGYAIABkAGEAeQBzACwAIABzAG8AIABlAGEAYwBoACAAbQBvAG4AdABoACAAbABhAG4AZABzACAAaQBuAFwAbgAgACAAIAAgACAAIAAgACAAIAAgACAAIAAgACAAIAAgAC8ALwAgACAAdABoAGUAIABvAG4AZQAgAHAAZQByAGkAbwBkACAAdABoAGEAdAAgAGMAbwBuAHQAYQBpAG4AcwAgAGkAdABzACAAcwB0AGEAcgB0ACAAYQBuAGQAIAB0AGgAZQAgAHAAZQByAGkAbwBkAHMAIABiAGUAdAB3AGUAZQBuACAAYQByAGUAIABuAGkAbAAuAFwAbgAgACAAIAAgACAAIAAgACAAIAAgACAAIAAgACAAIAAgAC8ALwAgACAAUgBvAHcAcwAgADIAIABhAG4AZAAgADUAIABhAHIAZQAgAGIAYQBsAGEAbgBjAGUAcwAgAHIAYQB0AGgAZQByACAAdABoAGEAbgAgAGYAbABvAHcAcwA7ACAAYQAgAGIAYQBsAGEAbgBjAGUAIABpAHMAIABjAGEAcgByAGkAZQBkACAAaQBuAHQAbwBcAG4AIAAgACAAIAAgACAAIAAgACAAIAAgACAAIAAgACAAIAAvAC8AIAAgAHQAaABlACAAcABlAHIAaQBvAGQAIABpAHQAIABpAHMAIABkAGEAdABlAGQAIABpAG4AIABhAG4AZAAgAG4AbwB3AGgAZQByAGUAIABlAGwAcwBlACwAIAB3AGgAaQBjAGgAIABpAHMAIAB0AGgAZQAgAHMAYQBtAGUAIAB0AHIAZQBhAHQAbQBlAG4AdABcAG4AIAAgACAAIAAgACAAIAAgACAAIAAgACAAIAAgACAAIAAvAC8AIAAgAEQAZQBwAHIAZQBjAGkAYQB0AGUAuwMgAGcAaQB2AGUAcwAgAGkAdABzACAAbwB3AG4AIABvAHAAZQBuAGkAbgBnACAAYgBhAGwAYQBuAGMAZQAgAHIAbwB3AC4AXABuACAAIAAgACAAIAAgACAAIAAgACAAIAAgACAAIAAgACAAIAAgACAAIABNAG8AbgB0AGgAUwB0AGEAcgB0AHMALAAgACAAIAAgACAAIAAgACAARQBEAEEAVABFACgAIABTAHQAYQByAHQARABhAHQAZQAsACAAUwBFAFEAVQBFAE4AQwBFACgAIAAsACAAUABlAHIAaQBvAGQAcwAsACAAMAApACkALABcAG4AIAAgACAAIAAgACAAIAAgACAAIAAgACAAIAAgACAAIAAgACAAIAAgAEIAeQBEAGEAdABlACwAIAAgACAAIAAgACAAIAAgACAAIAAgACAAIABNAEEASwBFAEEAUgBSAEEAWQAoACAAUgBPAFcAUwAoACAAQQBtAG8AcgB0AGkAcwBhAHQAaQBvAG4AUwBjAGgAZQBkACkALAAgAEMATwBVAE4AVABBACgAIABUAGkAbQBlAGwAaQBuAGUAKQAsAFwAbgAgACAAIAAgACAAIAAgACAAIAAgACAAIAAgACAAIAAgACAAIAAgACAAIAAgACAAIAAgACAAIAAgACAAIAAgACAAIAAgACAAIAAgACAAIAAgACAAIAAgACAATABBAE0AQgBEAEEAKAAgAFIALAAgAEMALABcAG4AIAAgACAAIAAgACAAIAAgACAAIAAgACAAIAAgACAAIAAgACAAIAAgACAAIAAgACAAIAAgACAAIAAgACAAIAAgACAAIAAgACAAIAAgACAAIAAgACAAIAAgACAAIAAgACAATABFAFQAKAAgAFAAZQByAGkAbwBkAE8AcABlAG4AcwAsACAAIAAgAEkATgBEAEUAWAAoACAAVABpAG0AZQBsAGkAbgBlACwAIABDACkALABcAG4AIAAgACAAIAAgACAAIAAgACAAIAAgACAAIAAgACAAIAAgACAAIAAgACAAIAAgACAAIAAgACAAIAAgACAAIAAgACAAIAAgACAAIAAgACAAIAAgACAAIAAgACAAIAAgACAALwAvACAAIABBACAAcABlAHIAaQBvAGQAIABlAG4AZABzACAAdwBoAGUAcgBlACAAdABoAGUAIABuAGUAeAB0ACAAbwBuAGUAIABvAHAAZQBuAHMALgAgAE8AbgBsAHkAIAB0AGgAZQAgAGwAYQBzAHQAXABuACAAIAAgACAAIAAgACAAIAAgACAAIAAgACAAIAAgACAAIAAgACAAIAAgACAAIAAgACAAIAAgACAAIAAgACAAIAAgACAAIAAgACAAIAAgACAAIAAgACAAIAAgACAAIAAgAC8ALwAgACAAaABhAHMAIABuAG8AIABzAHUAYwBjAGUAcwBzAG8AcgAgAHQAbwAgAGEAcwBrACwAIABzAG8AIABpAHQAIAByAHUAbgBzACAAbwBuACAAYQBzACAAZgBhAHIAIABhAHMAIAB0AGgAZQBcAG4AIAAgACAAIAAgACAAIAAgACAAIAAgACAAIAAgACAAIAAgACAAIAAgACAAIAAgACAAIAAgACAAIAAgACAAIAAgACAAIAAgACAAIAAgACAAIAAgACAAIAAgACAAIAAgACAALwAvACAAIABwAGUAcgBpAG8AZAAgAGIAZQBmAG8AcgBlACAAaQB0ACAAZABpAGQALgBcAG4AIAAgACAAIAAgACAAIAAgACAAIAAgACAAIAAgACAAIAAgACAAIAAgACAAIAAgACAAIAAgACAAIAAgACAAIAAgACAAIAAgACAAIAAgACAAIAAgACAAIAAgACAAIAAgACAAIAAgACAAIAAgAFAAZQByAGkAbwBkAFMAaAB1AHQALAAgACAAIAAgAEkARgAoACAAQwAgAD0AIABDAE8AVQBOAFQAQQAoACAAVABpAG0AZQBsAGkAbgBlACkALABcAG4AIAAgACAAIAAgACAAIAAgACAAIAAgACAAIAAgACAAIAAgACAAIAAgACAAIAAgACAAIAAgACAAIAAgACAAIAAgACAAIAAgACAAIAAgACAAIAAgACAAIAAgACAAIAAgACAAIAAgACAAIAAgACAAIAAgACAAIAAgACAAIAAgACAAIAAgACAAIAAgACAAIAAgACAAUABlAHIAaQBvAGQATwBwAGUAbgBzACAAKwAgAEwAYQBzAHQARwBhAHAALABcAG4AIAAgACAAIAAgACAAIAAgACAAIAAgACAAIAAgACAAIAAgACAAIAAgACAAIAAgACAAIAAgACAAIAAgACAAIAAgACAAIAAgACAAIAAgACAAIAAgACAAIAAgACAAIAAgACAAIAAgACAAIAAgACAAIAAgACAAIAAgACAAIAAgACAAIAAgACAAIAAgACAAIAAgACAASQBOAEQARQBYACgAIABUAGkAbQBlAGwAaQBuAGUALAAgAEMAIAArACAAMQApACkALABcAG4AIAAgACAAIAAgACAAIAAgACAAIAAgACAAIAAgACAAIAAgACAAIAAgACAAIAAgACAAIAAgACAAIAAgACAAIAAgACAAIAAgACAAIAAgACAAIAAgACAAIAAgACAAIAAgACAAIAAgACAAIABTAFUATQAoACAAQwBIAE8ATwBTAEUAUgBPAFcAUwAoACAAQQBtAG8AcgB0AGkAcwBhAHQAaQBvAG4AUwBjAGgAZQBkACwAIABSACkAXABuACAAIAAgACAAIAAgACAAIAAgACAAIAAgACAAIAAgACAAIAAgACAAIAAgACAAIAAgACAAIAAgACAAIAAgACAAIAAgACAAIAAgACAAIAAgACAAIAAgACAAIAAgACAAIAAgACAAIAAgACAAIAAgACAAIAAgACoAIAAoACAATQBvAG4AdABoAFMAdABhAHIAdABzACAAPgA9ACAAUABlAHIAaQBvAGQATwBwAGUAbgBzACkAXABuACAAIAAgACAAIAAgACAAIAAgACAAIAAgACAAIAAgACAAIAAgACAAIAAgACAAIAAgACAAIAAgACAAIAAgACAAIAAgACAAIAAgACAAIAAgACAAIAAgACAAIAAgACAAIAAgACAAIAAgACAAIAAgACAAIAAgACoAIAAoACAATQBvAG4AdABoAFMAdABhAHIAdABzACAAPAAgAFAAZQByAGkAbwBkAFMAaAB1AHQAKQApACkAKQApACwAXABuACAAIAAgACAAIAAgACAAIAAgACAAIAAgACAAIAAgACAAIAAgACAAIABOAGUAdwBCAGwAbwBjAGsALAAgACAAIAAgACAAIAAgACAAIAAgACAASQBGACgAIABTAHUAYgBNAG8AbgB0AGgAbAB5AD8ALABcAG4AIAAgACAAIAAgACAAIAAgACAAIAAgACAAIAAgACAAIAAgACAAIAAgACAAIAAgACAAIAAgACAAIAAgACAAIAAgACAAIAAgACAAIAAgACAAIAAgACAAIAAgAEIAeQBEAGEAdABlACwAXABuACAAIAAgACAAIAAgACAAIAAgACAAIAAgACAAIAAgACAAIAAgACAAIAAgACAAIAAgACAAIAAgACAAIAAgACAAIAAgACAAIAAgACAAIAAgACAAIAAgACAAIABUAGkAbQBlAGwAaQBuAGUAUABvAHMAaQB0AGkAbwBuALsDKABBAG0AbwByAHQAaQBzAGEAdABpAG8AbgBTAGMAaABlAGQALAAgAFQAaQBtAGUAbABpAG4AZQAsACAATwBmAGYAcwBlAHQAKQApACwAXABuACAAIAAgACAAIAAgACAAIAAgACAAIAAgACAAIAAgACAAIAAgACAAIABSAGUAcwB1AGwAdAAsACAAIAAgACAAIAAgACAAIAAgACAAIAAgACAASQBGACgAIABBAHMAcwBlAHQAIAA9ACAAUgBPAFcAUwAoACAAUAByAGkAbgBjAGkAcABhAGwAcwApACwAIABcAG4AIAAgACAAIAAgACAAIAAgACAAIAAgACAAIAAgACAAIAAgACAAIAAgACAAIAAgACAAIAAgACAAIAAgACAAIAAgACAAIAAgACAAIAAgACAAIAAgACAAIAAgAE4AZQB3AEIAbABvAGMAawAsAFwAbgAgACAAIAAgACAAIAAgACAAIAAgACAAIAAgACAAIAAgACAAIAAgACAAIAAgACAAIAAgACAAIAAgACAAIAAgACAAIAAgACAAIAAgACAAIAAgACAAIAAgACAAVgBTAFQAQQBDAEsAKABcAG4AIAAgACAAIAAgACAAIAAgACAAIAAgACAAIAAgACAAIAAgACAAIAAgACAAIAAgACAAIAAgACAAIAAgACAAIAAgACAAIAAgACAAIAAgACAAIAAgACAAIAAgACAAIAAgACAATgBlAHcAQgBsAG8AYwBrACwAXABuACAAIAAgACAAIAAgACAAIAAgACAAIAAgACAAIAAgACAAIAAgACAAIAAgACAAIAAgACAAIAAgACAAIAAgACAAIAAgACAAIAAgACAAIAAgACAAIAAgACAAIAAgACAAIAAgAEUAWABQAEEATgBEACgAewBcACIAIABcACIAfQAsACAAMQAsACAAQwBPAFUATgBUAEEAKABUAGkAbQBlAGwAaQBuAGUAKQAsACAAXAAiACAAXAAiACkALABcAG4AIAAgACAAIAAgACAAIAAgACAAIAAgACAAIAAgACAAIAAgACAAIAAgACAAIAAgACAAIAAgACAAIAAgACAAIAAgACAAIAAgACAAIAAgACAAIAAgACAAIAAgACAAIAAgACAAZgBuACgAIABmAG4ALAAgAFAAcgBpAG4AYwBpAHAAYQBsAHMALAAgAEEAUABSAHMALAAgAFQAZQByAG0AcwAsACAAUwB0AGEAcgB0AEQAYQB0AGUAcwAsACAAVABpAG0AZQBsAGkAbgBlACwAIABBAHMAcwBlAHQAIAArACAAMQApAFwAbgAgACAAIAAgACAAIAAgACAAIAAgACAAIAAgACAAIAAgACAAIAAgACAAIAAgACAAIAAgACAAIAAgACAAIAAgACAAIAAgACAAIAAgACAAIAAgACAAIAAgACAAKQBcAG4AIAAgACAAIAAgACAAIAAgACAAIAAgACAAIAAgACAAIAAgACAAIAAgACAAIAAgACAAIAAgACAAIAAgACAAIAAgACAAIAAgACAAIAAgACAAIAApACwAXABuACAAIAAgACAAIAAgACAAIAAgACAAIAAgACAAIAAgACAAIAAgACAAIABSAGUAcwB1AGwAdABcAG4AIAAgACAAIAAgACAAIAAgACAAIAAgACAAIAAgACAAIAApACAAIAAgAFwAbgAgACAAIAAgACAAIAAgACAAIAAgACAAIAApACwAIAAgACAAIABcAG4AIAAgACAAIAAgACAAIAAgAFIAZQBzAHUAbAB0ACwAIAAgACAAIAAgAFIAZQBjAHUAcgBzAGkAbwBuACgAIABSAGUAYwB1AHIAcwBpAG8AbgAsACAAUAByAGkAbgBjAGkAcABhAGwAcwAsACAAQQBQAFIAcwAsACAAVABlAHIAbQBzACwAIABTAHQAYQByAHQARABhAHQAZQBzACwAIABUAGkAbQBlAGwAaQBuAGUALAAgADEAKQAsAFwAbgAgACAAIAAgAC8ALwAgACAAUgBlAHQAdQByAG4AIABSAGUAcwB1AGwAdABcAG4AIAAgACAAIAAgACAAIAAgAEMASABPAE8AUwBFACgASABlAGwAcAA/ACAAKwAgADEALAAgAFIAZQBzAHUAbAB0ACwAIABIAGUAbABwACkAXABuACAAIAAgACAAKQAgAFwAbgApADsAXABuAFwAbgBcAG4ALwAqACAAIABGAFUATgBDAFQASQBPAE4AIABOAEEATQBFADoAIAAgAEwAYQBiAGUAbABBAG0AbwByAHQAaQBzAGUAuwNcAG4AIAAgACAAIABEAEUAUwBDAFIASQBQAFQASQBPAE4AOgAqAC8ALwAqACoAQwByAGUAYQB0AGUAIABsAGEAYgBlAGwAcwAgAGYAbwByACAAQQBtAG8AcgB0AGkAcwBlALsDKgAvAFwAbgBMAGEAYgBlAGwAQQBtAG8AcgB0AGkAcwBlALsDIAA9ACAATABBAE0AQgBEAEEAKABcAG4ALwAvACAAIABQAGEAcgBhAG0AZQB0AGUAcgAgAEQAZQBjAGwAYQByAGEAdABpAG8AbgBzAFwAbgAgACAAIAAgAFsATABvAGEAbgBOAGEAbQBlAHMAXQAsACAAIABcAG4AIAAgACAAIABbAEwAbwBhAG4AQQBtAG8AdQBuAHQAcwBdACwAIAAgAFwAbgAgACAAIAAgAFsATABvAGEAbgBBAFAAUgBzAF0ALAAgACAAXABuACAAIAAgACAAWwBMAG8AYQBuAFQAZQByAG0AcwBdACw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BAG0AbwByAHQAaQBzAGUAuwMoAEwAbwBhAG4ATgBhAG0AZQBzACwAIABbAEwAbwBhAG4AQQBtAG8AdQBuAHQAcwBdACwAIABbAEwAbwBhAG4AQQBQAFIAcwBdACwAIABbAEwAbwBhAG4AVABlAHIAbQBzAF0AKQC2AFwAIgAgACYAXABuACAAIAAgACAAIAAgACAAIAAgACAAIAAgACAAIAAgACAAIAAgACAAIAAgACAAIAAgACAAIAAgACAAXAAiAEQARQBTAEMAUgBJAFAAVABJAE8ATgA6ACAAIAAgAJIhQwByAGUAYQB0AGUAIAByAG8AdwAgAGwAYQBiAGUAbABzACAAZgBvAHIAIAB0AGgAZQAgAGEAbQBvAHIAdABpAHMAYQB0AGkAbwBuACAAcwBjAGgAZQBkAHUAbABlACAAYQByAHIAYQB5ACAAcAByAG8AZAB1AGMAZQBkACAAYgB5ACAAQQBtAG8AcgB0AGkAcw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wAbwBhAG4ATgBhAG0AZQBzACAAIAAgACAAIACSISgAUgBlAHEAdQBpAHIAZQBkACkAIABOAGEAbQBlAHMAIABvAHIAIABkAGUAcwBjAHIAaQBwAHQAaQBvAG4AcwAgAG8AZgAgAGUAYQBjAGgAIABsAG8AYQBuACAAaQBuACAAdABoAGUAIABhAG0AbwByAHQAaQBzAGEAdABpAG8AbgAgAHMAYwBoAGUAZAB1AGwAZQAgAHAAcgBvAGQAdQBjAGUAZAAgAGIAeQAgAEEAbQBvAHIAdABpAHMAZQC7A7YAXAAiACAAJgAgACAAIAAgACAAIAAgACAAIAAgACAAIAAgACAAIAAgACAAIABcAG4AIAAgACAAIAAgACAAIAAgACAAIAAgACAAIAAgACAAIAAgACAAIAAgACAAIAAgACAAIAAgACAAIABcACIATABvAGEAbgBBAG0AbwB1AG4AdABzACAAIAAgAJIhKABPAHAAdABpAG8AbgBhAGwAKQAgAEEAbQBvAHUAbgB0ACAAYgBvAHIAcgBvAHcAZQBkALYAXAAiACAAJgAgACAAIAAgACAAIAAgACAAIAAgACAAIAAgACAAIAAgACAAIABcAG4AIAAgACAAIAAgACAAIAAgACAAIAAgACAAIAAgACAAIAAgACAAIAAgACAAIAAgACAAIAAgACAAIABcACIATABvAGEAbgBBAFAAUgBzACAAIAAgACAAIAAgAJIhKABPAHAAdABpAG8AbgBhAGwAKQAgAEEAbgBuAHUAYQBsACAAUABlAHIAYwBlAG4AdABhAGcAZQAgAEkAbgB0AGUAcgBlAHMAdAAgAFIAYQB0AGUAtgBcACIAIAAmACAAIAAgACAAIAAgACAAIAAgACAAIAAgACAAIAAgACAAIAAgAFwAbgAgACAAIAAgACAAIAAgACAAIAAgACAAIAAgACAAIAAgACAAIAAgACAAIAAgACAAIAAgACAAIAAgAFwAIgBMAG8AYQBuAFQAZQByAG0AcwAgACAAIAAgACAAkiEoAE8AcAB0AGkAbwBuAGEAbAApACAATgB1AG0AYgBlAHIAIABvAGYAIABtAG8AbgB0AGgAcwAgAHQAbwAgAHIAZQBwAGEAeQC2AFwAIgAgACY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MAGEAYgBlAGwAQQBtAG8AcgB0AGkAcwBlALsDKAB0AGIAbABMAG8AYQBuAHMAWwBMAG8AYQBu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yAGUAcQB1AGkAcgBlAGQAIABpAG4AcAB1AHQAcwAgAC0AIABPAG0AaQB0AHQAZQBkACAAcgBlAHEAdQBpAHIAZQBkACAAYQByAGcAdQBtAGUAbgB0AHMAXABuACAAIAAgACAAIAAgACAAIABIAGUAbABwAD8ALAAgACAAIAAgACAAIAAgACAAIAAgAEkAUwBPAE0ASQBUAFQARQBEACgAIABMAG8AYQBuAE4AYQBtAGUAcwApACwAXABuACAAIAAgACAALwAvACAAIABDAGgAZQBjAGsAIABvAHAAdABpAG8AbgBhAGwAIABpAG4AcAB1AHQAcwBcAG4AIAAgACAAIAAgACAAIAAgAE8AcAB0AGkAbwBuAGEAbABzACwAIAAgACAAIAAgACAATgBPAFQAKAAgAE8AUgAoACAAXABuACAAIAAgACAAIAAgACAAIAAgACAAIAAgACAAIAAgACAAIAAgACAAIAAgACAAIAAgACAAIAAgACAASQBTAE8ATQBJAFQAVABFAEQAKAAgAEwAbwBhAG4AQQBtAG8AdQBuAHQAcwApACwAIABcAG4AIAAgACAAIAAgACAAIAAgACAAIAAgACAAIAAgACAAIAAgACAAIAAgACAAIAAgACAAIAAgACAAIABJAFMATwBNAEkAVABUAEUARAAoACAATABvAGEAbgBBAFAAUgBzACkALAAgAFwAbgAgACAAIAAgACAAIAAgACAAIAAgACAAIAAgACAAIAAgACAAIAAgACAAIAAgACAAIAAgACAAIAAgAEkAUwBPAE0ASQBUAFQARQBEACgAIABMAG8AYQBuAFQAZQByAG0AcwApAFwAbgAgACAAIAAgACAAIAAgACAAIAAgACAAIAAgACAAIAAgACAAIAAgACAAIAAgACAAIAApACkALABcAG4AIAAgACAAIAAvAC8AIAAgAFAAcgBvAGMAZQBkAHUAcgBlAFwAbgAgACAAIAAgACAAIAAgACAAUgBlAHMAdQBsAHQALAAgACAAIAAgACAAIAAgACAAIABSAEUARABVAEMARQAoACAAXAAiAFwAIgAsACAAUwBFAFEAVQBFAE4AQwBFACgAIAAgAFIATwBXAFMAKAAgAEwAbwBhAG4ATgBhAG0AZQBzACkAIAAqACAANwAgAC0AIAAxACkALAAgAFwAbgAgACAAIAAgACAAIAAgACAAIAAgACAAIAAgACAAIAAgACAAIAAgACAAIAAgACAAIAAgACAAIAAgAEwAQQBNAEIARABBACgAQQBjAGMALAAgAFIAbwB3ACwAIABcAG4AIAAgACAAIAAgACAAIAAgACAAIAAgACAAIAAgACAAIAAgACAAIAAgACAAIAAgACAAIAAgACAAIAAgACAAIAAgAEwARQBUACgASQBkAHgALAAgACAAIAAgACAAIAAgACAAIAAgACAAIABRAFUATwBUAEkARQBOAFQAKAAgAFIAbwB3ACAALQAgADEALAAgADcAKQAgACsAIAAxACwAXABuACAAIAAgACAAIAAgACAAIAAgACAAIAAgACAAIAAgACAAIAAgACAAIAAgACAAIAAgACAAIAAgACAAIAAgACAAIAAgACAAIAAgAEwAaQBuAGUALAAgACAAIAAgACAAIAAgACAAIAAgACAATQBPAEQAKAAgAFIAbwB3ACAALQAgADEALAAgADcAKQAgACsAIAAxACwAIABcAG4AIAAgACAAIAAgACAAIAAgACAAIAAgACAAIAAgACAAIAAgACAAIAAgACAAIAAgACAAIAAgACAAIAAgACAAIAAgACAAIAAgACAATABvAGEAbgBOAGEAbQBlACwAIAAgACAAIAAgACAAIABJAE4ARABFAFgAKAAgAEwAbwBhAG4ATgBhAG0AZQBzACwAIABJAGQAeAApACwAIABcAG4AIAAgACAAIAAgACAAIAAgACAAIAAgACAAIAAgACAAIAAgACAAIAAgACAAIAAgACAAIAAgACAAIAAgACAAIAAgACAAIAAgACAATABvAGEAbgBBAG0AbwB1AG4AdAAsACAAIAAgACAAIABJAEYAKABJAFMATwBNAEkAVABUAEUARAAoACAATABvAGEAbgBBAG0AbwB1AG4AdABzACkALAAgADAALAAgAEkATgBEAEUAWAAoACAATABvAGEAbgBBAG0AbwB1AG4AdABzACwAIABJAGQAeAApACkALABcAG4AIAAgACAAIAAgACAAIAAgACAAIAAgACAAIAAgACAAIAAgACAAIAAgACAAIAAgACAAIAAgACAAIAAgACAAIAAgACAAIAAgACAATABvAGEAbgBBAFAAUgAsACAAIAAgACAAIAAgACAAIABJAEYAKABJAFMATwBNAEkAVABUAEUARAAoACAATABvAGEAbgBBAFAAUgBzACkALAAgADAALAAgAEkATgBEAEUAWAAoACAATABvAGEAbgBBAFAAUgBzACwAIABJAGQAeAApACkALABcAG4AIAAgACAAIAAgACAAIAAgACAAIAAgACAAIAAgACAAIAAgACAAIAAgACAAIAAgACAAIAAgACAAIAAgACAAIAAgACAAIAAgACAATABvAGEAbgBUAGUAcgBtACwAIAAgACAAIAAgACAAIABJAEYAKABJAFMATwBNAEkAVABUAEUARAAoACAATABvAGEAbgBUAGUAcgBtAHMAKQAsACAAMAAsACAASQBOAEQARQBYACgAIABMAG8AYQBuAFQAZQByAG0AcwAsACAASQBkAHgAKQApACwAXABuACAAIAAgACAAIAAgACAAIAAgACAAIAAgACAAIAAgACAAIAAgACAAIAAgACAAIAAgACAAIAAgACAAIAAgACAAIAAgACAAIAAgAEQAZQBzAGMAcgBpAHAAdABpAG8AbgAsACAAIAAgACAAUwBXAEkAVABDAEgAKAAgAEwAaQBuAGUALABcAG4AIAAgACAAIAAgACAAIAAgACAAIAAgACAAIAAgACAAIAAgACAAIAAgACAAIAAgACAAIAAgACAAIAAgACAAIAAgACAAIAAgACAAIAAgACAAIAAgACAAIAAgACAAIAAgACAAIAAgACAAIAAgACAAIAAgADEALAAgACAASABTAFQAQQBDAEsAKABMAG8AYQBuAE4AYQBtAGUAIAAmACAAXAAiACAARABlAGIAdAAgAEkAcwBzAHUAYQBuAGMAZQBcACIALAAgAEwAbwBhAG4AQQBtAG8AdQBuAHQALAAgAFwAIgBcACIAKQAsAFwAbgAgACAAIAAgACAAIAAgACAAIAAgACAAIAAgACAAIAAgACAAIAAgACAAIAAgACAAIAAgACAAIAAgACAAIAAgACAAIAAgACAAIAAgACAAIAAgACAAIAAgACAAIAAgACAAIAAgACAAIAAgACAAIAAgACAAMgAsACAAIABIAFMAVABBAEMASwAoAEwAbwBhAG4ATgBhAG0AZQAgACYAIABcACIAIABEAGUAYgB0ACAAQgBhAGwAYQBuAGMAZQBcACIALAAgAFwAIgBcACIALABcACIAXAAiACkALABcAG4AIAAgACAAIAAgACAAIAAgACAAIAAgACAAIAAgACAAIAAgACAAIAAgACAAIAAgACAAIAAgACAAIAAgACAAIAAgACAAIAAgACAAIAAgACAAIAAgACAAIAAgACAAIAAgACAAIAAgACAAIAAgACAAIAAgADMALAAgACAASABTAFQAQQBDAEsAKABMAG8AYQBuAE4AYQBtAGUAIAAmACAAXAAiACAASQBuAHQAZQByAGUAcwB0AFwAIgAsACAAVABlAHgAdAAoAEwAbwBhAG4AQQBQAFIALAAgAFwAIgAwAC4AMAAwACUAXAAiACkALAAgAFwAIgBBAFAAUgBcACIAKQAsAFwAbgAgACAAIAAgACAAIAAgACAAIAAgACAAIAAgACAAIAAgACAAIAAgACAAIAAgACAAIAAgACAAIAAgACAAIAAgACAAIAAgACAAIAAgACAAIAAgACAAIAAgACAAIAAgACAAIAAgACAAIAAgACAAIAAgACAANAAsACAAIABIAFMAVABBAEMASwAoAEwAbwBhAG4ATgBhAG0AZQAgACYAIABcACIAIABEAGUAYgB0ACAAUwBlAHIAdgBpAGMAZQBzAFwAIgAsACAATABvAGEAbgBUAGUAcgBtACwAIABcACIATQBvAG4AdABoAHMAXAAiACkALABcAG4AIAAgACAAIAAgACAAIAAgACAAIAAgACAAIAAgACAAIAAgACAAIAAgACAAIAAgACAAIAAgACAAIAAgACAAIAAgACAAIAAgACAAIAAgACAAIAAgACAAIAAgACAAIAAgACAAIAAgACAAIAAgACAAIAAgADUALAAgACAASABTAFQAQQBDAEsAKABMAG8AYQBuAE4AYQBtAGUAIAAmACAAXAAiACAAQwBsAG8AcwBpAG4AZwAgAEIAYQBsAGEAbgBjAGUAXAAiACwAXAAiAFwAIgAsAFwAIgBcACIAKQAsAFwAbgAgACAAIAAgACAAIAAgACAAIAAgACAAIAAgACAAIAAgACAAIAAgACAAIAAgACAAIAAgACAAIAAgACAAIAAgACAAIAAgACAAIAAgACAAIAAgACAAIAAgACAAIAAgACAAIAAgACAAIAAgACAAIAAgACAANgAsACAAIABIAFMAVABBAEMASwAoAEwAbwBhAG4ATgBhAG0AZQAgACYAIABcACIAIABEAGUAYgB0ACAAUgBlAHAAYQB5AG0AZQBuAHQAXAAiACwAIABcACIAXAAiACwAIABcACIAXAAiACkALABcAG4AIAAgACAAIAAgACAAIAAgACAAIAAgACAAIAAgACAAIAAgACAAIAAgACAAIAAgACAAIAAgACAAIAAgACAAIAAgACAAIAAgACAAIAAgACAAIAAgACAAIAAgACAAIAAgACAAIAAgACAAIAAgACAAIAAgADcALAAgACAASABTAFQAQQBDAEsAKABcACIAXAAiACwAXAAiAFwAIgAsAFwAIgBcACIAKQBcAG4AIAAgACAAIAAgACAAIAAgACAAIAAgACAAIAAgACAAIAAgACAAIAAgACAAIAAgACAAIAAgACAAIAAgACAAIAAgACAAIAAgACAAIAAgACAAIAAgACAAIAAgACAAIAAgACAAIAAgACAAIAApACwAXABuACAAIAAgACAAIAAgACAAIAAgACAAIAAgACAAIAAgACAAIAAgACAAIAAgACAAIAAgACAAIAAgACAAIAAgACAAIAAgACAAIAAgAFYAYQBsAHUAZQBzACwAIAAgACAAIAAgACAAIAAgACAASQBGACgAIABPAHAAdABpAG8AbgBhAGwAcwAsACAARABlAHMAYwByAGkAcAB0AGkAbwBuACwAIABUAEEASwBFACgAIABEAGUAcwBjAHIAaQBwAHQAaQBvAG4ALAAgACwAIAAxACkAKQAsAFwAbgAgACAAIAAgACAAIAAgACAAIAAgACAAIAAgACAAIAAgACAAIAAgACAAIAAgACAAIAAgACAAIAAgACAAIAAgACAAIAAgACAAIABSAGUAcwB1AGwAdAAsACAAIAAgACAAIAAgACAAIAAgAEkARgAoACAAUgBvAHcAIAA9ACAAMQAsACAAVgBhAGwAdQBlAHMALAAgAFYAUwBUAEEAQwBLACgAQQBjAGMALAAgAFYAYQBsAHUAZQBz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C8AKgAgACAARgBVAE4AQwBUAEkATwBOACAATgBBAE0ARQA6ACAAIABTAHUAbQBBAG0AbwByAHQAaQBzAGUAuwNcAG4AIAAgACAAIABEAEUAUwBDAFIASQBQAFQASQBPAE4AOgAqAC8ALwAqACoAQwByAGUAYQB0AGUAIAByAG8AdwAgAHQAbwB0AGEAbABzACAAZgBvAHIAIABBAG0AbwByAHQAaQBzAGUAuwMqAC8AXABuAFMAdQBtAEEAbQBvAHIAdABpAHMAZQC7AyAAPQAgAEwAQQBNAEIARABBACgAXABuAC8ALwAgACAAUABhAHIAYQBtAGUAdABlAHIAIABEAGUAYwBsAGEAcgBhAHQAaQBvAG4AcwBcAG4AIAAgACAAIABbAEEAbQBvAHIAdABpAHM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EAbQBvAHIAdABpAHMAZQC7AygAQQBtAG8AcgB0AGkAcwBhAHQAaQBvAG4AUwBjAGgAZQBkAHUAbABlACkAtgBcACIAIAAmAFwAbgAgACAAIAAgACAAIAAgACAAIAAgACAAIAAgACAAIAAgACAAIAAgACAAIAAgACAAIAAgACAAIAAgAFwAIgBEAEUAUwBDAFIASQBQAFQASQBPAE4AOgAgACAAIACSIUMAcgBlAGEAdABlACAAcgBvAHcAIAB0AG8AdABhAGwAcwAgAGYAbwByACAAQQBtAG8AcgB0AGkAcw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bQBvAHIAdABpAHMAYQB0AGkAbwBuAFMAYwBoAGUAZAB1AGwAZQCSISgAUgBlAHEAdQBpAHIAZQBkACkAIABBAG4AIABhAHIAcgBhAHkAIABwAHIAbwBkAHUAYwBlAGQAIABiAHkAIABBAG0AbwByAHQAaQBzAGUAuwO2AFwAIgAgACYAIAAgACAAIAAgACAAIAAgACAAIAAgACAAIAAgACAAIAAgACAAXABuACAAIAAgACAAIAAgACAAIAAgACAAIAAgACAAIAAgACAAIAAgACAAIAAgACAAIAAgACAAIAAgACAAXAAiAEUAWABBAE0AUABMAEUAUwA6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EAbQBvAHIAdABpAHMAZQC7AygAQQBtAG8AcgB0AGkAcw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cgB0AGkAcwBhAHQAaQBvAG4AUwBjAGgAZQBkAHUAbABlACkALABcAG4AIAAgACAAIAAvAC8AIAAgAFAAcgBvAGMAZQBkAHUAcgBlAFwAbgAgACAAIAAgACAAIAAgACAAUgBlAHMAdQBsAHQALAAgACAAIAAgACAAIAAgACAAIABNAEEASwBFAEEAUgBSAEEAWQAoAFIATwBXAFMAKABBAG0AbwByAHQAaQBz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MALAAgAFMAVQBNACgAQwBIAE8ATwBTAEUAUgBPAFcAUwAoACAAQQBtAG8AcgB0AGkAcwBhAHQAaQBvAG4AUwBjAGgAZQBkAHUAbABlACwAIABSACkAKQAsAFwAbgAgACAAIAAgACAAIAAgACAAIAAgACAAIAAgACAAIAAgACAAIAAgACAAIAAgACAAIAAgACAAIAAgACAAIAAgACAAIAAgACAAIAA0ACwAIABTAFUATQAoAEMASABPAE8AUwBFAFIATwBXAFMAKAAgAEEAbQBvAHIAdABpAHMAYQB0AGkAbwBuAFMAYwBoAGUAZAB1AGwAZQAsACAAUgApACkALABcAG4AIAAgACAAIAAgACAAIAAgACAAIAAgACAAIAAgACAAIAAgACAAIAAgACAAIAAgACAAIAAgACAAIAAgACAAIAAgACAAIAAgACAANgAsACAAUwBVAE0AKABDAEgATwBPAFMARQBSAE8AVwBTACgAIABBAG0AbwByAHQAaQBz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BcAG4AXABuAC8ALwAgACAARABlAHAAcgBlAGMAaQBhAHQAaQBvAG4AIABTAHUAaQB0AGUAXABuAFwAbgAvACoAIAAgAEYAVQBOAEMAVABJAE8ATgAgAE4AQQBNAEUAOgAgACAARABlAHAAcgBlAGMAaQBhAHQAZQC7A1wAbgAgACAAIAAgAEQARQBTAEMAUgBJAFAAVABJAE8ATgA6ACoALwAvACoAKgBDAHIAZQBhAHQAZQAgAGEAIABiAGwAbwBjAGsAIABvAGYAIABDAEEAUABFAFgALAAgAE8AcABlAG4AaQBuAGcAIABCAGEAbABhAG4AYwBlACwAIABEAGUAcAByAGUAYwBpAGEAdABpAG8AbgAgAFYAYQBsAHUAZQBzACwAIABhAG4AZAAgAEIAbwBvAGsAIABWAGEAbAB1AGUAIABmAG8AcgAgAGUAYQBjAGgAIABhAHMAcwBlAHQAKgAvAFwAbgBEAGUAcAByAGUAYwBpAGEAdABlALsD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XABuACAAIAAgACAAWwBGAGEAYwB0AG8AcgBzAF0ALABcAG4AIAAgACAAIABMAEUAVAAoAFwAbgAvAC8AIAAgAEgAZQBsAHAAXABuACAAIAAgACAAIAAgACAAIABIAGUAbABwACwAIAAgACAAIAAgACAAIAAgACAAIAAgAFQAUgBJAE0AKABUAEUAWABUAFMAUABMAEkAVAAoACAAXABuACAAIAAgACAAIAAgACAAIAAgACAAIAAgACAAIAAgACAAIAAgACAAIAAgACAAIAAgACAAIAAgACAAXAAiAEYAVQBOAEMAVABJAE8ATgA6ACAAIAAgACAAIAAgAJIhRABlAHAAcgBlAGMAaQBhAHQAZQC7AygASQBuAGkAdABpAGEAbABWAGEAbAB1AGUAcwAsACAASQBuAFMAZQByAHYAaQBjAGUARABhAHQAZQBzACwAIABMAGkAZgBlAEkAbgBZAGUAYQByAHMALAAgAFQAaQBtAGUAbABpAG4AZQAsACAAtgBcACIAIAAmAFwAbgAgACAAIAAgACAAIAAgACAAIAAgACAAIAAgACAAIAAgACAAIAAgACAAIAAgACAAIAAgACAAIAAgAFwAIgAgACAAIAAgACAAIAAgACAAIAAgACAAIAAgACAAIACSIVsAUwBhAGwAdgBhAGcAZQBWAGEAbAB1AGUAcwBdACwAIABbAEQAaQBzAHAAbwBzAGEAbABEAGEAdABlAHMAXQAsACAAWwBEAGkAcwBwAG8AcwBhAGwAQwBvAHMAdABzAF0ALAAgAFsATQBlAHQAaABvAGQAcwBdACwAIABbAEYAYQBjAHQAbwByAHMAXQApALYAXAAiACAAJgBcAG4AIAAgACAAIAAgACAAIAAgACAAIAAgACAAIAAgACAAIAAgACAAIAAgACAAIAAgACAAIAAgACAAIABcACIARABFAFMAQwBSAEkAUABUAEkATwBOADoAIAAgACAAkiFDAHIAZQBhAHQAZQBzACAAYQBuACAAYQByAHIAYQB5ACAAbwBmACAAQwBBAFAARQBYACwAIABkAGUAcAByAGUAYwBpAGEAdABpAG8AbgAsACAAYQBuAGQAIABiAG8AbwBrACAAdgBhAGwAdQBlAHMAIABmAG8AcgAgAGEAIABtAG8AZABlAGwAJwBzACAAdABpAG0AZQBsAGkAbgBlALYAXAAiACAAJgAgAFwAbgAgACAAIAAgACAAIAAgACAAIAAgACAAIAAgACAAIAAgACAAIAAgACAAIAAgACAAIAAgACAAIAAgAFwAIgBXAEUAQgBQAEEARwBFADoAIAAgACAAIAAgACAAIACSIWgAdAB0AHAAcwA6AC8ALwBnAGkAdABoAHUAYgAuAGMAbwBtAC8AcgB5AGEAbgBkAHUAZwB1AGkAZAAvAE8AegB6AGkAdAAgALYAXAAiACAAJgAgAFwAbgAgACAAIAAgACAAIAAgACAAIAAgACAAIAAgACAAIAAgACAAIAAgACAAIAAgACAAIAAgACAAIAAgAFwAIgBWAEUAUgBTAEkATwBOADoAIAAgACAAIAAgACAAIACSITIAMAAgAEEAdQBnACAAMgAwADIANgC2AFwAIgAgACYAXABuACAAIAAgACAAIAAgACAAIAAgACAAIAAgACAAIAAgACAAIAAgACAAIAAgACAAIAAgACAAIAAgACAAXAAiAE4ATwBUAEUAUwA6ACAAIAAgACAAIAAgACAAIAAgAJIhVABoAGUAIABtAGUAdABoAG8AZABzACAAdQBzAGUAZAAgAGgAZQByAGUAIABkAGkAZgBmAGUAcgBzACAAZgByAG8AbQAgAEUAeABjAGUAbAAnAHMAIABmAHUAbgBjAHQAaQBvAG4AcwAgAGkAbgAgAHMAZQB2AGUAcgBhAGwAIAB3AGEAeQBzAC4AIABQAGwAZQBhAHMAZQAgAHMAZQBlACAAdwBlAGIAcABhAGcAZQAgAGYAbwByACAAZABlAHQAYQBpAGwAcwAuALYAXAAiACAAJgBcAG4AIAAgACAAIAAgACAAIAAgACAAIAAgACAAIAAgACAAIAAgACAAIAAgACAAIAAgACAAIAAgACAAIABcACIAUABBAFIAQQBNAEUAVABFAFIAUwA6ACAAIAAgACAAkiG2AFwAIgAgACYAIABcAG4AIAAgACAAIAAgACAAIAAgACAAIAAgACAAIAAgACAAIAAgACAAIAAgACAAIAAgACAAIAAgACAAIABcACIASQBuAGkAdABpAGEAbABWAGEAbAB1AGUAcwAgACAAkiEoAFIAZQBxAHUAaQByAGUAZAApACAAVABoAGUAIABwAHUAcgBjAGgAYQBzAGUAIAB2AGEAbAB1AGUAcwAgAG8AZgAgAGUAYQBjAGgAIABhAHMAcwBlAHQAIAB0AG8AIABkAGUAcAByAGUAYwBpAGEAdABlALYAXAAiACAAJgAgAFwAbgAgACAAIAAgACAAIAAgACAAIAAgACAAIAAgACAAIAAgACAAIAAgACAAIAAgACAAIAAgACAAIAAgAFwAIgBJAG4AUwBlAHIAdgBpAGMAZQBEAGEAdABlAHMAIACSISgAUgBlAHEAdQBpAHIAZQBkACkAIABUAGgAZQAgAGQAYQB0AGUAcwAgAGYAcgBvAG0AIAB3AGgAaQBjAGgAIAB0AG8AIABzAHQAYQByAHQAIABkAGUAcAByAGUAYwBpAGEAdABpAG4AZwAgAGUAYQBjAGgAIABhAHMAcwBlAHQAtgBcACIAIAAmACAAXABuACAAIAAgACAAIAAgACAAIAAgACAAIAAgACAAIAAgACAAIAAgACAAIAAgACAAIAAgACAAIAAgACAAXAAiAEwAaQBmAGUASQBuAFkAZQBhAHIAcwAgACAAIAAgAJIhKABSAGUAcQB1AGkAcgBlAGQAKQAgAFQAaABlACAAbgB1AG0AYgBlAHIAIABvAGYAIAB5AGUAYQByAHMAIAB3AGkAdABoACAAdwBoAGkAYwBoACAAdABvACAAZABlAHAAcgBlAGMAaQBhAHQAZQAgAGUAYQBjAGgAIABhAHMAcwBlAHQALgC2AFwAIgAgACYAIABcAG4AIAAgACAAIAAgACAAIAAgACAAIAAgACAAIAAgACAAIAAgACAAIAAgACAAIAAgACAAIAAgACAAIABcACIAIAAgACAAIAAgACAAIAAgACAAIAAgACAAIAAgACAAkiFNAG8AcgBlACAAdABoAGEAbgAgADAAIABhAG4AZAAgAG4AbwAgAG0AbwByAGUAIAB0AGgAYQBuACAAMQAwADAALgAgAEEAIABkAGEAdABlACAAaABlAHIAZQAgAGkAcwAgAG4AbwB0ACAAYQAgAGwAaQBmAGUAOgC2AFwAIgAgACYAIABcAG4AIAAgACAAIAAgACAAIAAgACAAIAAgACAAIAAgACAAIAAgACAAIAAgACAAIAAgACAAIAAgACAAIABcACIAIAAgACAAIAAgACAAIAAgACAAIAAgACAAIAAgACAAkiF0AGgAZQAgAGEAcgBnAHUAbQBlAG4AdABzACAAcgBlAGEAZAAgAEkAbgBpAHQAaQBhAGwAVgBhAGwAdQBlAHMALAAgAEkAbgBTAGUAcgB2AGkAYwBlAEQAYQB0AGUAcwAsACAATABpAGYAZQBJAG4AWQBlAGEAcgBzACwAIABUAGkAbQBlAGwAaQBuAGUALgC2AFwAIgAgACYAIABcAG4AIAAgACAAIAAgACAAIAAgACAAIAAgACAAIAAgACAAIAAgACAAIAAgACAAIAAgACAAIAAgACAAIABcACIAVABpAG0AZQBsAGkAbgBlACAAIAAgACAAIAAgACAAkiEoAFIAZQBxAHUAaQByAGUAZAApACAAVABoAGUAIABtAG8AZABlAGwAJwBzACAAdABpAG0AZQBsAGkAbgBlACAAbwByACAAYQAgAHIAbwB3ACAAbwBmACAAcABlAHIAaQBvAGQAIABzAHQAYQByAHQAIABkAGEAdABlAHMALgAgALYAXAAiACAAJgAgAFwAbgAgACAAIAAgACAAIAAgACAAIAAgACAAIAAgACAAIAAgACAAIAAgACAAIAAgACAAIAAgACAAIAAgAFwAIgAgACAAIAAgACAAIAAgACAAIAAgACAAIAAgACAAIACSIVQAaQBtAGUAbABpAG4AZQAgAGMAYQBuACAAYgBlACAAYQBuAHkAIABpAG4AdABlAHIAdgBhAGwAOgAgAGQAYQB5AHMALAAgAHcAZQBlAGsAcwAsACAAbQBvAG4AdABoAHMALAAgAHEAdQBhAHIAdABlAHIAcwAgAG8AcgAgAHkAZQBhAHIAcwC2AFwAIgAgACYAIABcAG4AIAAgACAAIAAgACAAIAAgACAAIAAgACAAIAAgACAAIAAgACAAIAAgACAAIAAgACAAIAAgACAAIABcACIAUwBhAGwAdgBhAGcAZQBWAGEAbAB1AGUAcwAgACAAkiEoAE8AcAB0AGkAbwBuAGEAbAA6ACAARABlAGYAYQB1AGwAdAAgAD0AIAAwACkAIABUAGgAZQAgAGIAbwBvAGsAIAB2AGEAbAB1AGUAcwAgAG8AZgAgAGUAYQBjAGgAIABhAHMAcwBlAHQAIABhAGYAdABlAHIAIABmAHUAbABsAHkAIABkAGUAcAByAGUAYwBpAGEAdABlAGQALgC2AFwAIgAgACYAIABcAG4AIAAgACAAIAAgACAAIAAgACAAIAAgACAAIAAgACAAIAAgACAAIAAgACAAIAAgACAAIAAgACAAIABcACIARABpAHMAcABvAHMAYQBsAEQAYQB0AGUAcwAgACAAkiEoAE8AcAB0AGkAbwBuAGEAbAA6ACAARABlAGYAYQB1AGwAdAAgAD0AIABFAG4AZAAgAG8AZgAgAGwAaQBmAGUAKQAgAFQAaABlACAAZABhAHQAZQBzACAAbwBuACAAdwBoAGkAYwBoACAAdABoAGUAIABhAHMAcwBlAHQAcwAgAGEAcgBlACAAcgBlAG0AbwB2AGUAZAAgAGYAcgBvAG0AIAB0AGgAZQAgAGIAbwBvAGsAcwAuALYAXAAiACAAJgAgAFwAbgAgACAAIAAgACAAIAAgACAAIAAgACAAIAAgACAAIAAgACAAIAAgACAAIAAgACAAIAAgACAAIAAgAFwAIgBEAGkAcwBwAG8AcwBhAGwAQwBvAHMAdA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NAGUAdABoAG8AZABzACAAIAAgACAAIAAgACAAIACSISgATwBwAHQAaQBvAG4AYQBsADoAIABEAGUAZgBhAHUAbAB0ACAAPQAgAFMATABOACkAIABUAGgAZQAgAGQAZQBzAGkAcgBlAGQAIABkAGUAcAByAGUAYwBpAGEAdABpAG8AbgAgAG0AZQB0AGgAbwBkAC4AIABNAHUAcwB0ACAAYgBlACAAbwBuAGUAIABvAGYAIAB0AGgAZQBzAGUAIABtAGUAdABoAG8AZAAgAGMAbwBkAGUAcwA6ACAAtgBcACIAIAAmACAAXABuACAAIAAgACAAIAAgACAAIAAgACAAIAAgACAAIAAgACAAIAAgACAAIAAgACAAIAAgACAAIAAgACAAIAAgACAAIAAgACAAIAAgACAAIAAgACAAIAAgACAAXAAiAJIhUwBMAE4APQBTAHQAcgBhAGkAZwBoAHQAIABMAGkAbgBlACAARABlAHAAcgBlAGMAaQBhAHQAaQBvAG4AtgBcACIAIAAmACAAXABuACAAIAAgACAAIAAgACAAIAAgACAAIAAgACAAIAAgACAAIAAgACAAIAAgACAAIAAgACAAIAAgACAAIAAgACAAIAAgACAAIAAgACAAIAAgACAAIAAgACAAXAAiAJIhUwBZAEQAPQBTAHUAbQAgAG8AZgAgAFkAZQBhAHIAJwBzACAARABpAGcAaQB0AHMAtgBcACIAIAAmACAAXABuACAAIAAgACAAIAAgACAAIAAgACAAIAAgACAAIAAgACAAIAAgACAAIAAgACAAIAAgACAAIAAgACAAIAAgACAAIAAgACAAIAAgACAAIAAgACAAIAAgACAAXAAiAJIhRABCACAAPQBEAGUAYwBsAGkAbgBpAG4AZwAgAEIAYQBsAGEAbgBjAGUAtgBcACIAIAAmACAAXABuACAAIAAgACAAIAAgACAAIAAgACAAIAAgACAAIAAgACAAIAAgACAAIAAgACAAIAAgACAAIAAgACAAIAAgACAAIAAgACAAIAAgACAAIAAgACAAIAAgACAAXAAiAJIhRABEAEIAPQBEAG8AdQBiAGwAZQAgAEQAZQBjAGwAaQBuAGkAbgBnACAAQgBhAGwAYQBuAGMAZQC2AFwAIgAgACYAIABcAG4AIAAgACAAIAAgACAAIAAgACAAIAAgACAAIAAgACAAIAAgACAAIAAgACAAIAAgACAAIAAgACAAIAAgACAAIAAgACAAIAAgACAAIAAgACAAIAAgACAAIABcACIAkiFWAEQAQgA9AFYAYQByAGkAYQBiAGwAZQAgAEQAZQBjAGwAaQBuAGkAbgBnACAAQgBhAGwAYQBuAGMAZQC2AFwAIgAgACYAIABcAG4AIAAgACAAIAAgACAAIAAgACAAIAAgACAAIAAgACAAIAAgACAAIAAgACAAIAAgACAAIAAgACAAIAAgACAAIAAgACAAIAAgACAAIAAgACAAIAAgACAAIABcACIAkiFEAFYAIAA9AEQAaQBtAGkAbgBpAHMAaABpAG4AZwAgAGIAYQBsAGEAbgBjAGUAIABhAHQAIAAyADAAMAAlACAAbwBmACAAcwB0AHIAYQBpAGcAaAB0ACAAbABpAG4AZQAuACAAUwBhAGwAdgBhAGcAZQAgAHYAYQBsAHUAZQAgAGkAZwBuAG8AcgBlAGQAtgBcACIAIAAmACAAXABuACAAIAAgACAAIAAgACAAIAAgACAAIAAgACAAIAAgACAAIAAgACAAIAAgACAAIAAgACAAIAAgACAAIAAgACAAIAAgACAAIAAgACAAIAAgACAAIAAgACAAXAAiAJIhUABDACAAPQBTAHQAcgBhAGkAZwBoAHQAIABsAGkAbgBlACwAIAB3AGgAbwBsAGUAIAB5AGUAYQByAHMALgAgAFMAYQBsAHYAYQBnAGUAIAB2AGEAbAB1AGUAIABpAGcAbgBvAHIAZQBkALYAXAAiACAAJgAgAFwAbgAgACAAIAAgACAAIAAgACAAIAAgACAAIAAgACAAIAAgACAAIAAgACAAIAAgACAAIAAgACAAIAAgAFwAIgBGAGEAYwB0AG8AcgBzACAAIAAgACAAIAAgACAAIACSISgATwBwAHQAaQBvAG4AYQBsADoAIABEAGUAZgBhAHUAbAB0ACAAPQAgADIAKQAgAE8AbgBsAHkAIABhAHAAcABsAGkAYwBhAGIAbABlACAAdABvACAARABEAEIAIABhAG4AZAAgAFYARABCACAAbQBlAHQAaABvAGQAcwAu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JAG4AaQB0AGkAYQBsAFYAYQBsAHUAZQBzACkALABcAG4AIAAgACAAIAAgACAAIAAgACAAIAAgACAAIAAgACAAIAAgACAAIAAgACAAIAAgACAAIAAgACAAIABJAFMATwBNAEkAVABUAEUARAAoACAATABpAGYAZQBJAG4AWQBlAGEAcgBzACkALABcAG4AIAAgACAAIAAgACAAIAAgACAAIAAgACAAIAAgACAAIAAgACAAIAAgACAAIAAgACAAIAAgACAAIABJAFMATwBNAEkAVABUAEUARAAoACAASQBuAFMAZQByAHYAaQBjAGUARABhAHQAZQBzACkALABcAG4AIAAgACAAIAAgACAAIAAgACAAIAAgACAAIAAgACAAIAAgACAAIAAgACAAIAAgACAAIAAgACAAIABJAFMATwBNAEkAVABUAEUARAAoACAAVABpAG0AZQBsAGkAbgBlACkAXABuACAAIAAgACAAIAAgACAAIAAgACAAIAAgACAAIAAgACAAIAAgACAAIAAgACAAIAAgACkALABcAG4AIAAgACAAIAAvAC8AIAAgAFMAZQB0ACAAQwBvAG4AcwB0AGEAbgB0AHMAXABuACAAIAAgACAAIAAgACAAIABNAGUAdABoAG8AZABBAHIAcgBhAHkALAAgACAAIAAgAHsAXAAiAFMATABOAFwAIgAsAFwAIgBTAFkARABcACIALABcACIARABCAFwAIgAsAFwAIgBEAEQAQgBcACIALABcACIAVgBEAEIAXAAiACwAXAAiAEQAVgBcACIALABcACIAUABDAFwAIgB9ACwAXABuACAAIAAgACAAIAAgACAAIABNAHAAeQAsACAAIAAgACAAIAAgACAAIAAgACAAIAAgADEAMgAsACAALwAvAE0AbwBuAHQAaABzACAAUABlAHIAIABZAGUAYQByAFwAbgAgACAAIAAgAC8ALwAgACAAQwBoAGUAYwBrACAAaQBuAHAAdQB0AHMAIAAtACAAYQAgAGwAaQBmAGUAIABpAG4AIAB5AGUAYQByAHMAIABtAHUAcwB0ACAAYgBlACAAYQAgAGwAaQBmAGUALAAgAG4AbwB0ACAAYQAgAGQAYQB0AGUAXABuACAAIAAgACAAIAAgACAAIABMAGkAZgBlAEcAaQB2AGUAbgAsACAAIAAgACAAIAAgAEkARgAoACAASQBTAE8ATQBJAFQAVABFAEQAKAAgAEwAaQBmAGUASQBuAFkAZQBhAHIAcwApACwAIAAxACwAIABMAGkAZgBlAEkAbgBZAGUAYQByAHMAKQAsAFwAbgAgACAAIAAgACAAIAAgACAATABpAGYAZQBOAHUAbQBzACwAIAAgACAAIAAgACAAIABJAEYARQBSAFIATwBSACgAIABWAEEATABVAEUAKAAgAEwAaQBmAGUARwBpAHYAZQBuACkALAAgAC0AMQApACwAXABuACAAIAAgACAAIAAgACAAIABCAGEAZABMAGkAZgBlAD8ALAAgACAAIAAgACAAIAAgAE8AUgAoACAATQBJAE4AKAAgAEwAaQBmAGUATgB1AG0AcwApACAAPAA9ACAAMAAsACAATQBBAFgAKAAgAEwAaQBmAGUATgB1AG0AcwApACAAPgAgADEAMAAwACkALABcAG4AIAAgACAAIAAgACAAIAAgAEwAaQBmAGUATQBlAHMAcwBhAGcAZQAsACAAIAAgACAAXAAiAEwAaQBmAGUASQBuAFkAZQBhAHIAcwAgAG0AdQBzAHQAIABiAGUAIABhACAAbgB1AG0AYgBlAHIAIABvAGYAIAB5AGUAYQByAHMAIABnAHIAZQBhAHQAZQByACAAdABoAGEAbgAgADAAIABhAG4AZAAgAG4AbwAgAG0AbwByAGUAIAB0AGgAYQBuACAAMQAwADAALgAgAFwAIgBcAG4AIAAgACAAIAAgACAAIAAgACAAIAAgACAAIAAgACAAIAAgACAAIAAgACAAIAAgACAAJgAgAFwAIgBDAGgAZQBjAGsAIAB0AGgAZQAgAGEAcgBnAHUAbQBlAG4AdAAgAG8AcgBkAGUAcgA6ACAASQBuAGkAdABpAGEAbABWAGEAbAB1AGUAcwAsACAASQBuAFMAZQByAHYAaQBjAGUARABhAHQAZQBzACwAIABMAGkAZgBlAEkAbgBZAGUAYQByAHMALAAgAFQAaQBtAGUAbABpAG4AZQAuAFwAIgAsAFwAbgAgACAAIAAgAC8ALwAgACAAUwBlAHQAIABkAGUAZgBhAHUAbAB0AHMAIABhAG4AZAAgAGEAcABwAGwAeQAgAGMAbwBuAHYAZQBuAGkAZQBuAGMAZQAgAGMAbwBuAHYAZQByAHMAaQBvAG4AcwBcAG4AIAAgACAAIAAgACAAIAAgAFMAYQBsAHYAYQBnAGUAVgBhAGwAdQBlAHMALAAgACAASQBGACgAIABJAFMATwBNAEkAVABUAEUARAAoACAAUwBhAGwAdgBhAGcAZQBWAGEAbAB1AGUAcwApACwAIABcAG4AIAAgACAAIAAgACAAIAAgACAAIAAgACAAIAAgACAAIAAgACAAIAAgACAAIAAgACAAIAAgACAAIABNAEEAUAAoACAASQBuAGkAdABpAGEAbABWAGEAbAB1AGUAcwAsACAATABBAE0AQgBEAEEAKAAgAEUAbABlACwAIAAwACkAKQAsACAAXABuACAAIAAgACAAIAAgACAAIAAgACAAIAAgACAAIAAgACAAIAAgACAAIAAgACAAIAAgACAAIAAgACAATQBBAFAAKAAgAFMAYQBsAHYAYQBnAGUAVgBhAGwAdQBlAHMALAAgAEwAQQBNAEIARABBACgAdgAsACAASQBGAEUAUgBSAE8AUgAoACAAVgBBAEwAVQBFACgAIAB2ACkALAAgADAAKQApACkAKQAsAFwAbgAgACAAIAAgACAAIAAgACAAQwB2AHQAUwByAHYARABhAHQAZQBzACwAIAAgACAAIABJAEYAKAAgAE4ATwBUACgAIABJAFMATwBNAEkAVABUAEUARAAoACAASQBuAFMAZQByAHYAaQBjAGUARABhAHQAZQBzACkAKQAsACAAXABuACAAIAAgACAAIAAgACAAIAAgACAAIAAgACAAIAAgACAAIAAgACAAIAAgACAAIAAgACAAIAAgACAASQBGACgAIABJAFMATgBVAE0AQgBFAFIAKAAgAEkAbgBTAGUAcgB2AGkAYwBlAEQAYQB0AGUAcwApACwAIABcAG4AIAAgACAAIAAgACAAIAAgACAAIAAgACAAIAAgACAAIAAgACAAIAAgACAAIAAgACAAIAAgACAAIAAgACAAIAAgAEkAbgBTAGUAcgB2AGkAYwBlAEQAYQB0AGUAcwAsACAAXABuACAAIAAgACAAIAAgACAAIAAgACAAIAAgACAAIAAgACAAIAAgACAAIAAgACAAIAAgACAAIAAgACAAIAAgACAAIABEAEEAVABFAFYAQQBMAFUARQAoACAASQBuAFMAZQByAHYAaQBjAGUARABhAHQAZQBzACkAKQApACwAXABuACAAIAAgACAAIAAgACAAIABEAGkAcwBwAG8AcwBhAGwARABhAHQAZQBzACwAIAAgAEkARgAoACAASQBTAE8ATQBJAFQAVABFAEQAKAAgAEQAaQBzAHAAbwBzAGEAbABEAGEAdABlAHMAKQAsACAAXABuACAAIAAgACAAIAAgACAAIAAgACAAIAAgACAAIAAgACAAIAAgACAAIAAgACAAIAAgACAAIAAgACAARQBEAEEAVABFACgAIAArAEMAdgB0AFMAcgB2AEQAYQB0AGUAcwAsACAATABpAGYAZQBpAG4AWQBlAGEAcgBzACAAKgAgADEAMgApACwAIABcAG4AIAAgACAAIAAgACAAIAAgACAAIAAgACAAIAAgACAAIAAgACAAIAAgACAAIAAgACAAIAAgACAAIABNAEEASwBFAEEAUgBSAEEAWQAoACAAUgBPAFcAUwAoACAARABpAHMAcABvAHMAYQBsAEQAYQB0AGUAcwApACwAIAAxACwAIABcAG4AIAAgACAAIAAgACAAIAAgACAAIAAgACAAIAAgACAAIAAgACAAIAAgACAAIAAgACAAIAAgACAAIAAgACAAIAAgAEwAQQBNAEIARABBACgAUgAsACAAQwAsACAAXABuACAAIAAgACAAIAAgACAAIAAgACAAIAAgACAAIAAgACAAIAAgACAAIAAgACAAIAAgACAAIAAgACAAIAAgACAAIAAgACAAIAAgAEkARgAoACAASQBOAEQARQBYACgAIABEAGkAcwBwAG8AcwBhAGwARABhAHQAZQBzACwAIABSACkAIAAgAD0AIABcACIAXAAiACwAIABcAG4AIAAgACAAIAAgACAAIAAgACAAIAAgACAAIAAgACAAIAAgACAAIAAgACAAIAAgACAAIAAgACAAIAAgACAAIAAgACAAIAAgACAAIAAgACAAIABFAEQAQQBUAEUAKAAgAEkATgBEAEUAWAAoACAAQwB2AHQAUwByAHYARABhAHQAZQBzACwAIABSACkALAAgAEkATgBEAEUAWAAoAEwAaQBmAGUAaQBuAFkAZQBhAHIAcwAsACAAUgApACAAKgAgADEAMgApACwAIABcAG4AIAAgACAAIAAgACAAIAAgACAAIAAgACAAIAAgACAAIAAgACAAIAAgACAAIAAgACAAIAAgACAAIAAgACAAIAAgACAAIAAgACAAIAAgACAAIABJAE4ARABFAFgAKAAgAEQAaQBzAHAAbwBzAGEAbABEAGEAdABlAHMALAAgAFI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AAIAAgACAARABpAHMAcABvAHMAYQBsAEMAbwBzAHQAcwAsACAAIABJAEYAKAAgAEkAUwBPAE0ASQBUAFQARQBEACgAIABEAGkAcwBwAG8AcwBhAGwAQwBvAHMAdABzACkALAAgAFwAbgAgACAAIAAgACAAIAAgACAAIAAgACAAIAAgACAAIAAgACAAIAAgACAAIAAgACAAIAAgACAAIAAgAE0AQQBQACgAIABJAG4AaQB0AGkAYQBsAFYAYQBsAHUAZQBzACwAIABMAEEATQBCAEQAQQAoACAARQBsAGUALAAgADAAKQApACwAIABcAG4AIAAgACAAIAAgACAAIAAgACAAIAAgACAAIAAgACAAIAAgACAAIAAgACAAIAAgACAAIAAgACAAIABEAGkAcwBwAG8AcwBhAGwAQwBvAHMAdABzACkALABcAG4AIAAgACAAIAAgACAAIAAgAE0AZQB0AGgAbwBkAHMALAAgACAAIAAgACAAIAAgACAASQBGACgAIABJAFMATwBNAEkAVABUAEUARAAoACAATQBlAHQAaABvAGQAcwApACwAIABcAG4AIAAgACAAIAAgACAAIAAgACAAIAAgACAAIAAgACAAIAAgACAAIAAgACAAIAAgACAAIAAgACAAIABNAEEAUAAoACAASQBuAGkAdABpAGEAbABWAGEAbAB1AGUAcwAsACAATABBAE0AQgBEAEEAKAAgAEUAbABlACwAIABcACIAUwBMAE4AXAAiACkAKQAsACAAXABuACAAIAAgACAAIAAgACAAIAAgACAAIAAgACAAIAAgACAAIAAgACAAIAAgACAAIAAgACAAIAAgACAATQBBAFAAKAAgAE0AZQB0AGgAbwBkAHMALAAgAEwAQQBNAEIARABBACgAdgAsACAASQBGACgAIABUAFIASQBNACgAIAB2ACkAIAA9ACAAXAAiAFwAIgAsACAAXAAiAFMATABOAFwAIgAsACAAdgApACkAKQApACwAXABuACAAIAAgACAAIAAgACAAIABGAGEAYwB0AG8AcgBzACwAIAAgACAAIAAgACAAIAAgAEkARgAoACAASQBTAE8ATQBJAFQAVABFAEQAKAAgAEYAYQBjAHQAbwByAHMAKQAsACAAXABuACAAIAAgACAAIAAgACAAIAAgACAAIAAgACAAIAAgACAAIAAgACAAIAAgACAAIAAgACAAIAAgACAATQBBAFAAKAAgAEkAbgBpAHQAaQBhAGwAVgBhAGwAdQBlAHMALAAgAEwAQQBNAEIARABBACgAIABFAGwAZQAsACAAMgApACkALAAgAFwAbgAgACAAIAAgACAAIAAgACAAIAAgACAAIAAgACAAIAAgACAAIAAgACAAIAAgACAAIAAgACAAIAAgAE0AQQBQACgAIABGAGEAYwB0AG8AcgBzACwAIABMAEEATQBCAEQAQQAoAHYALAAgAEkARgAoACAAVABSAEkATQAoACAAdgApACAAPQAgAFwAIgBcACIALAAgADIALAAgAHYAKQApACkAKQAsAFwAbgAgACAAIAAgAC8ALwAgACAAQwByAGUAYQB0AGUAIABpAG4AZABpAHYAaQBkAHUAYQBsACAAVgBhAGwAdQBlAHMAIABmAHIAbwBtACAAdABpAG0AZQBsAGkAbgBlACAAYQByAHIAYQB5AFwAbgAgACAAIAAgACAAIAAgACAAVABpAG0AZQBsAGkAbgBlAEMAbwBsAHMALAAgACAAIABDAE8ATABVAE0ATgBTACgAIABUAEkAbQBlAGwAaQBuAGUAKQAsAFwAbgAgACAAIAAgACAAIAAgACAARgBpAHIAcwB0AFAAZQByAGkAbwBkACwAIAAgACAAIABJAE4ARABFAFgAKAAgAFQAaQBtAGUAbABpAG4AZQAsACAAMQApACwAXABuACAAIAAgACAAIAAgACAAIABTAGUAYwBvAG4AZABQAGUAcgBpAG8AZAAsACAAIAAgAEkATgBEAEUAWAAoACAAVABJAG0AZQBsAGkAbgBlACwAIAAyACkALABcAG4AIAAgACAAIAAgACAAIAAgAEQAcABQACwAIAAgACAAIAAgACAAIAAgACAAIAAgACAAUwBlAGMAbwBuAGQAUABlAHIAaQBvAGQAIAAtACAARgBpAHIAcwB0AFAAZQByAGkAbwBkACwAIAAgACAAIAAgACAAIAAgACAAIAAgACAAIAAgACAAIAAgACAAIAAgACAAIAAvAC8ARABhAHkAcwAgAFAAZQByACAAUABlAHIAaQBvAGQAXABuACAAIAAgACAAIAAgACAAIABTAHUAYgBNAG8AbgB0AGgAbAB5AD8ALAAgACAAIAAgAEQAcABQACAAPAAgADIAOAAsACAAIAAgACAAIAAgACAAIAAgACAAIAAgACAAIAAgACAAIAAgACAAIAAgACAAIAAgACAAIAAgACAAIAAgACAAIAAgACAAIAAgACAAIAAgACAALwAvAE4AbwAgAG0AbwBuAHQAaAAgAGkAcwAgAHMAaABvAHIAdABlAHIAXABuACAAIAAgACAAIAAgACAAIABNAHAAUAAsACAAIAAgACAAIAAgACAAIAAgACAAIAAgAE0AQQBYACgAIABAAFIATwBVAE4ARAAoACAARABwAFAAIAAvACAAMwAwAC4ANQAsACAAMAApACwAIAAxACkALAAgACAAIAAgACAAIAAgACAAIAAgACAAIAAgACAAIAAgACAALwAvAE0AbwBuAHQAaABzACAAUABlAHIAIABQAGUAcgBpAG8AZAAsACAAbgBlAHYAZQByACAAbgBvAHUAZwBoAHQAXABuACAAIAAgACAALwAvACAAIABUAGgAZQAgAGwAYQBzAHQAIABwAGUAcgBpAG8AZAAgAGgAYQBzACAAbgBvACAAcwB1AGMAYwBlAHMAcwBvAHIAIAB0AG8AIAB0AGEAawBlACAAaQB0AHMAIABlAG4AZAAgAGQAYQB0AGUAIABmAHIAbwBtACwAIABzAG8AIABpAHQAIABlAG4AZABzACAAbwBuAGUAIABwAGUAcgBpAG8AZABcAG4AIAAgACAAIAAvAC8AIAAgAG8AbgAgAGYAcgBvAG0AIABpAHQAcwAgAG8AdwBuACAAcwB0AGEAcgB0ADoAIABhACAAdwBoAG8AbABlACAAbgB1AG0AYgBlAHIAIABvAGYAIABtAG8AbgB0AGgAcwAgAHcAaABlAHIAZQAgAHQAaABlACAAdABpAG0AZQBsAGkAbgBlACAAaQBzACAAbQBvAG4AdABoAGwAeQAgAG8AcgBcAG4AIAAgACAAIAAvAC8AIAAgAGwAbwBuAGcAZQByACwAIAB0AGgAZQAgAHMAYQBtAGUAIABuAHUAbQBiAGUAcgAgAG8AZgAgAGQAYQB5AHMAIABhAHMAIABlAHYAZQByAHkAIABvAHQAaABlAHIAIABwAGUAcgBpAG8AZAAgAHcAaABlAHIAZQAgAGkAdAAgAGkAcwAgAHMAaABvAHIAdABlAHIALgBcAG4AIAAgACAAIAAgACAAIAAgAEwAYQBzAHQARwBhAHAALAAgACAAIAAgACAAIAAgACAATQBBAFgAKAAgAFQAaQBtAGUAbABpAG4AZQApACAALQAgAEkATgBEAEUAWAAoACAAVABpAG0AZQBsAGkAbgBlACwAIABUAGkAbQBlAGwAaQBuAGUAQwBvAGwAcwAgAC0AIAAxACkALABcAG4AIAAgACAAIAAgACAAIAAgAEwAYQBzAHQARQBuAGQALAAgACAAIAAgACAAIAAgACAASQBGACgAIABTAHUAYgBNAG8AbgB0AGgAbAB5AD8ALAAgAE0AQQBYACgAIABUAGkAbQBlAGwAaQBuAGUAKQAgACsAIABMAGEAcwB0AEcAYQBwACwAIABFAEQAQQBUAEUAKAAgAE0AQQBYACgAIABUAGkAbQBlAGwAaQBuAGUAKQAsACAATQBwAFAAKQApACAALQAgADEALABcAG4AIAAgACAAIAAgACAAIAAgAEUAbgBkAEQAYQB0AGUAcwAsACAAIAAgACAAIAAgACAASABTAFQAQQBDAEsAKAAgAE0AQQBQACgAIAAgAFMARQBRAFUARQBOAEMARQAoACwAIABUAGkAbQBlAGwAaQBuAGUAQwBvAGwAcwAgAC0AIAAxACkALAAgAEwAQQBNAEIARABBACgAIABuACwAIABJAE4ARABFAFgAKAAgAFQAaQBtAGUAbABpAG4AZQAsACAAbgAgACsAIAAxACkAIAAtACAAMQApACkALAAgAEwAYQBzAHQARQBuAGQAKQAsAFwAbgAgACAAIAAgAC8ALwAgACAAUAByAG8AYwBlAHMAcwAgAGUAYQBjAGgAIABhAHMAcwBlAHQAXABuACAAIAAgACAAIAAgACAAIABSAGUAcwB1AGwAdAAsACAAIAAgACAAIAAgACAAIAAgAFIARQBEAFUAQwBFACgAIAAwACwAIABTAEUAUQBVAEUATgBDAEUAKAAgAFIATwBXAFMAKAAgAEkAbgBpAHQAaQBhAGwAVgBhAGwAdQBlAHMAKQApACwAIABcAG4AIAAgACAAIAAgACAAIAAgACAAIAAgACAAIAAgACAAIAAgACAAIAAgACAAIAAgACAAIAAgACAAIABMAEEATQBCAEQAQQAoAEIAbABvAGMAawAsACAAQQBzAHMAZQB0ACwAIABcAG4AIAAgACAAIAAgACAAIAAgACAAIAAgACAAIAAgACAAIAAgACAAIAAgACAAIAAgACAAIAAgACAAIAAgACAAIAAgAEwARQBUACgAIABcAG4AIAAgACAAIAAgACAAIAAgACAAIAAgACAAIAAgACAAIAAgACAAIAAgACAAIAAgACAAIAAgACAAIAAgACAAIAAgAC8ALwAgACAAQwByAGUAYQB0AGUAIABpAG4AZABpAHYAaQBkAHUAYQBsACAAdgBhAGwAdQBlAHMAIABmAHIAbwBtACAAYQByAGcAdQBtAGUAbgB0AHMAXABuACAAIAAgACAAIAAgACAAIAAgACAAIAAgACAAIAAgACAAIAAgACAAIAAgACAAIAAgACAAIAAgACAAIAAgACAAIAAgACAAIAAgAE0AZQB0AGgAbwBkACwAIAAgACAAIAAgACAAIAAgACAAQABJAE4ARABFAFgAKAAgAE0AZQB0AGgAbwBkAHMALAAgAEEAcwBzAGUAdAApACwAXABuACAAIAAgACAAIAAgACAAIAAgACAAIAAgACAAIAAgACAAIAAgACAAIAAgACAAIAAgACAAIAAgACAAIAAgACAAIAAgACAAIAAgAFkAZQBhAHIAcwAsACAAIAAgACAAIAAgACAAIAAgACAASQBGACgAIABCAGEAZABMAGkAZgBlAD8ALAAgADEALAAgAEAASQBOAEQARQBYACgAIABMAGkAZgBlAEkAbgBZAGUAYQByAHMALAAgAEEAcwBzAGUAdAApACkALABcAG4AIAAgACAAIAAgACAAIAAgACAAIAAgACAAIAAgACAAIAAgACAAIAAgACAAIAAgACAAIAAgACAAIAAgACAAIAAgACAAIAAgACAASQBuAGkAdABpAGEAbABWAGEAbAB1AGUALAAgACAAIABAAEkATgBEAEUAWAAoACAASQBuAGkAdABpAGEAbABWAGEAbAB1AGUAcwAsACAAQQBzAHMAZQB0ACkALAAgAFwAbgAgACAAIAAgACAAIAAgACAAIAAgACAAIAAgACAAIAAgACAAIAAgACAAIAAgACAAIAAgACAAIAAgACAAIAAgACAAIAAgACAAIABTAGEAbAB2AGEAZwBlAFYAYQBsAHUAZQAsACAAIAAgAEkARgAoACAATwBSACgAIABNAGUAdABoAG8AZAAgAD0AIABcACIARABWAFwAIgAsACAATQBlAHQAaABvAGQAIAA9ACAAXAAiAFAAQwBcACIAKQAsACAAMAAsACAAQABJAE4ARABFAFgAKAAgAFMAYQBsAHYAYQBnAGUAVgBhAGwAdQBlAHMALAAgAEEAcwBzAGUAdAApACkALAAgAFwAbgAgACAAIAAgACAAIAAgACAAIAAgACAAIAAgACAAIAAgACAAIAAgACAAIAAgACAAIAAgACAAIAAgACAAIAAgACAAIAAgACAAIABJAG4AUwBlAHIAdgBpAGMAZQBEAGEAdABlACwAIAAgAEAASQBOAEQARQBYACgAIABDAHYAdABTAHIAdgBEAGEAdABlAHMALAAgAEEAcwBzAGUAdAApACwAIABcAG4AIAAgACAAIAAgACAAIAAgACAAIAAgACAAIAAgACAAIAAgACAAIAAgACAAIAAgACAAIAAgACAAIAAgACAAIAAgACAAIAAgACAARABpAHMAcABvAHMAYQBsAEQAYQB0AGUALAAgACAAIABAAEkATgBEAEUAWAAoACAARABpAHMAcABvAHMAYQBsAEQAYQB0AGUAcwAsACAAQQBzAHMAZQB0ACkALAAgAFwAbgAgACAAIAAgACAAIAAgACAAIAAgACAAIAAgACAAIAAgACAAIAAgACAAIAAgACAAIAAgACAAIAAgACAAIAAgACAAIAAgACAAIABEAGkAcwBwAG8AcwBhAGwAQwBvAHMAdAAsACAAIAAgAEAASQBOAEQARQBYACgAIABEAGkAcwBwAG8AcwBhAGwAQwBvAHMAdABzACwAIABBAHMAcwBlAHQAKQAsACAAXABuACAAIAAgACAAIAAgACAAIAAgACAAIAAgACAAIAAgACAAIAAgACAAIAAgACAAIAAgACAAIAAgACAAIAAgACAAIAAgACAAIAAgAEYAYQBjAHQAbwByACwAIAAgACAAIAAgACAAIAAgACAAQABJAE4ARABFAFgAKAAgAEYAYQBjAHQAbwByAHMALAAgAEEAcwBzAGUAdAApACwAXABuACAAIAAgACAAIAAgACAAIAAgACAAIAAgACAAIAAgACAAIAAgACAAIAAgACAAIAAgACAAIAAgACAAIAAgACAAIAAgACAAIAAgAEwAaQBmAGUASQBuAE0AbwBuAHQAaABzACwAIAAgACAAUABlAHIAaQBvAGQARABpAGYAZgC7AygAIABJAG4AcwBlAHIAdgBpAGMAZQBEAGEAdABlACwAIABEAGkAcwBwAG8AcwBhAGwARABhAHQAZQAsACAAXAAiAE0AXAAiACkALABcAG4AIAAgACAAIAAgACAAIAAgACAAIAAgACAAIAAgACAAIAAgACAAIAAgACAAIAAgACAAIAAgACAAIAAgACAAIAAgAC8ALwAgACAAUAByAG8AYwBlAGQAdQByAGUAXABuACAAIAAgACAAIAAgACAAIAAgACAAIAAgACAAIAAgACAAIAAgACAAIAAgACAAIAAgACAAIAAgACAAIAAgACAAIAAvAC8AIAAgAEQAZQBwAHIAZQBjAGkAYQB0AGkAbwBuACAAaQBzACAAYwBhAGwAYwB1AGwAYQB0AGUAZAAgAGEAbgBuAHUAYQBsAGwAeQAgAHQAaABlAG4AIABhAGwAbABvAGMAYQB0AGUAZAAgAGUAcQB1AGEAbABsAHkAIABvAHYAZQByACAAdABoAGUAIABuAGUAeAB0ACAAMQAyACAAbQBvAG4AdABoAHMAXABuACAAIAAgACAAIAAgACAAIAAgACAAIAAgACAAIAAgACAAIAAgACAAIAAgACAAIAAgACAAIAAgACAAIAAgACAAIAAgACAAIAAgAEQAZQBwAHIAZQBjAGkAYQB0AGUALAAgACAAIAAgACAAQwBIAE8ATwBTAEUAKAAgAE0AQQBUAEMASAAoACAAQABNAGUAdABoAG8AZAAsACAATQBlAHQAaABvAGQAQQByAHIAYQB5ACwAIAAwACkALAAgAC8ALwBDAEgATwBPAFMARQAgAGkAcwAgAG0AbwByAGUAIABlAGYAZgBpAGMAaQBlAG4AdAAgAHQAaABhAG4AIABTAFcASQBUAEMASABcAG4AIAAgACAAIAAgACAAIAAgACAAIAAgACAAIAAgACAAIAAgACAAIAAgACAAIAAgACAAIAAgACAAIAAgACAAIAAgACAAIAAgACAAIAAgACAAIAAgACAAIAAgACAAIAAgACAAIAAgACAAIAAvAC8AIAAgADEALgAgAFMAdAByAGEAaQBnAGgAdAAgAGwAaQBuAGUAIABcAG4AIAAgACAAIAAgACAAIAAgACAAIAAgACAAIAAgACAAIAAgACAAIAAgACAAIAAgACAAIAAgACAAIAAgACAAIAAgACAAIAAgACAAIAAgACAAIAAgACAAIAAgACAAIAAgACAAIAAgACAAIAAgACAAIAAgAFMATABOALsDKAAgAEkAbgBpAHQAaQBhAGwAVgBhAGwAdQBlACwAIABTAGEAbAB2AGEAZwBlAFYAYQBsAHUAZQAsACAAWQBlAGEAcgBzACkALAAgAFwAbgAgACAAIAAgACAAIAAgACAAIAAgACAAIAAgACAAIAAgACAAIAAgACAAIAAgACAAIAAgACAAIAAgACAAIAAgACAAIAAgACAAIAAgACAAIAAgACAAIAAgACAAIAAgACAAIAAgACAAIAAgAC8ALwAgACAAMgAuACAAUwB1AG0ALQBvAGYALQB5AGUAYQByAHMAJwAgAGQAaQBnAGkAdABzAFwAbgAgACAAIAAgACAAIAAgACAAIAAgACAAIAAgACAAIAAgACAAIAAgACAAIAAgACAAIAAgACAAIAAgACAAIAAgACAAIAAgACAAIAAgACAAIAAgACAAIAAgACAAIAAgACAAIAAgACAAIAAgACAAIAAgACAAUwBZAEQAuwMoACAASQBuAGkAdABpAGEAbABWAGEAbAB1AGUALAAgAFMAYQBsAHYAYQBnAGUAVgBhAGwAdQBlACwAIABZAGUAYQByAHMAKQAsAFwAbgAgACAAIAAgACAAIAAgACAAIAAgACAAIAAgACAAIAAgACAAIAAgACAAIAAgACAAIAAgACAAIAAgACAAIAAgACAAIAAgACAAIAAgACAAIAAgACAAIAAgACAAIAAgACAAIAAgACAAIAAgAC8ALwAgACAAMwAuACAARABlAGMAbABpAG4AaQBuAGcAIABiAGEAbABhAG4AYwBlAFwAbgAgACAAIAAgACAAIAAgACAAIAAgACAAIAAgACAAIAAgACAAIAAgACAAIAAgACAAIAAgACAAIAAgACAAIAAgACAAIAAgACAAIAAgACAAIAAgACAAIAAgACAAIAAgACAAIAAgACAAIAAgACAAIAAgACAARABCALsDKAAgAEkAbgBpAHQAaQBhAGwAVgBhAGwAdQBlACwAIABTAGEAbAB2AGEAZwBlAFYAYQBsAHUAZQAsACAAWQBlAGEAcgBzACkALABcAG4AIAAgACAAIAAgACAAIAAgACAAIAAgACAAIAAgACAAIAAgACAAIAAgACAAIAAgACAAIAAgACAAIAAgACAAIAAgACAAIAAgACAAIAAgACAAIAAgACAAIAAgACAAIAAgACAAIAAgACAAIAAvAC8AIAAgADQALgAgAEQAbwB1AGIAbABlACAAZABlAGMAbABpAG4AaQBuAGcAIABiAGEAbABhAG4AYwBlACAAXABuACAAIAAgACAAIAAgACAAIAAgACAAIAAgACAAIAAgACAAIAAgACAAIAAgACAAIAAgACAAIAAgACAAIAAgACAAIAAgACAAIAAgACAAIAAgACAAIAAgACAAIAAgACAAIAAgACAAIAAgACAAIAAgACAAIABEAEQAQgC7AygAIABJAG4AaQB0AGkAYQBsAFYAYQBsAHUAZQAsACAAUwBhAGwAdgBhAGcAZQBWAGEAbAB1AGUALAAgAFkAZQBhAHIAcwAsACAARgBhAGMAdABvAHIAKQAsAFwAbgAgACAAIAAgACAAIAAgACAAIAAgACAAIAAgACAAIAAgACAAIAAgACAAIAAgACAAIAAgACAAIAAgACAAIAAgACAAIAAgACAAIAAgACAAIAAgACAAIAAgACAAIAAgACAAIAAgACAAIAAgAC8ALwAgACAANQAuACAAVgBhAHIAaQBhAGIAbABlACAAZABlAGMAbABpAG4AaQBuAGcAIABiAGEAbABhAG4AYwBlACAAXABuACAAIAAgACAAIAAgACAAIAAgACAAIAAgACAAIAAgACAAIAAgACAAIAAgACAAIAAgACAAIAAgACAAIAAgACAAIAAgACAAIAAgACAAIAAgACAAIAAgACAAIAAgACAAIAAgACAAIAAgACAAIAAgACAAIABWAEQAQgC7AygAIABJAG4AaQB0AGkAYQBsAFYAYQBsAHUAZQAsACAAUwBhAGwAdgBhAGcAZQBWAGEAbAB1AGUALAAgAFkAZQBhAHIAcwAsACAARgBhAGMAdABvAHIAKQAsACAAXABuACAAIAAgACAAIAAgACAAIAAgACAAIAAgACAAIAAgACAAIAAgACAAIAAgACAAIAAgACAAIAAgACAAIAAgACAAIAAgACAAIAAgACAAIAAgACAAIAAgACAAIAAgACAAIAAgACAAIAAgACAALwAvACAAIAA2AC4AIABEAGkAbQBpAG4AaQBzAGgAaQBuAGcAIABiAGEAbABhAG4AYwBlACAAYQB0ACAAMgAwADAAJQAgAG8AZgAgAHMAdAByAGEAaQBnAGgAdAAgAGwAaQBuAGUAXABuACAAIAAgACAAIAAgACAAIAAgACAAIAAgACAAIAAgACAAIAAgACAAIAAgACAAIAAgACAAIAAgACAAIAAgACAAIAAgACAAIAAgACAAIAAgACAAIAAgACAAIAAgACAAIAAgACAAIAAgACAAIAAgACAAIABEAGkAbQBpAG4AaQBzAGgAaQBuAGcAVgBhAGwAdQBlALsDKAAgAEkAbgBpAHQAaQBhAGwAVgBhAGwAdQBlACwAIABZAGUAYQByAHMAKQAsAFwAbgAgACAAIAAgACAAIAAgACAAIAAgACAAIAAgACAAIAAgACAAIAAgACAAIAAgACAAIAAgACAAIAAgACAAIAAgACAAIAAgACAAIAAgACAAIAAgACAAIAAgACAAIAAgACAAIAAgACAAIAAgAC8ALwAgACAANwAuACAAUwB0AHIAYQBpAGcAaAB0ACAAbABpAG4AZQAsACAAdwBoAG8AbABlACAAeQBlAGEAcgBzAFwAbgAgACAAIAAgACAAIAAgACAAIAAgACAAIAAgACAAIAAgACAAIAAgACAAIAAgACAAIAAgACAAIAAgACAAIAAgACAAIAAgACAAIAAgACAAIAAgACAAIAAgACAAIAAgACAAIAAgACAAIAAgACAAIAAgACAAUAByAGkAbQBlAEMAbwBzAHQAuwMoACAASQBuAGkAdABpAGEAbABWAGEAbAB1AGUALAAgAFkAZQBhAHIAcwApACwAXABuACAAIAAgACAAIAAgACAAIAAgACAAIAAgACAAIAAgACAAIAAgACAAIAAgACAAIAAgACAAIAAgACAAIAAgACAAIAAgACAAIAAgACAAIAAgACAAIAAgACAAIAAgACAAIAAgACAAIAAgACAAKQAsAFwAbgAgACAAIAAgACAAIAAgACAAIAAgACAAIAAgACAAIAAgACAAIAAgACAAIAAgACAAIAAgACAAIAAgACAAIAAgACAALwAvACAAIABQAGwAYQBjAGUAIABEAGkAcwBwAG8AcwBhAGwAIABhAG4AZAAgAFMAYQBsAHYAYQBnAGUAIABpAG4AIAB0AGgAZQAgAGEAcwBzAGUAdAAnAHMAIABsAGEAcwB0ACAAbQBvAG4AdABoAFwAbgAgACAAIAAgACAAIAAgACAAIAAgACAAIAAgACAAIAAgACAAIAAgACAAIAAgACAAIAAgACAAIAAgACAAIAAgACAAIAAgACAAIABEAGkAcwBwAG8AcwBhAGwALAAgACAAIAAgACAAIAAgAEgAUwBUAEEAQwBLACgAIABTAEUAUQBVAEUATgBDAEUAKAAgADEALAAgAEwAaQBmAGUASQBuAE0AbwBuAHQAaABzACAALQAgADEALAAgADAALAAgADAAKQAgACwAIABEAGkAcwBwAG8AcwBhAGwAQwBvAHMAdAApACwAXABuACAAIAAgACAAIAAgACAAIAAgACAAIAAgACAAIAAgACAAIAAgACAAIAAgACAAIAAgACAAIAAgACAAIAAgACAAIAAgACAAIAAgAFMAYQBsAHYAYQBnAGUALAAgACAAIAAgACAAIAAgACAASABTAFQAQQBDAEsAKAAgAFMARQBRAFUARQBOAEMARQAoACAAMQAsACAATABpAGYAZQBJAG4ATQBvAG4AdABoAHMAIAAtACAAMQAsACAAMAAsACAAMAApACAALAAgAFMAYQBsAHYAYQBnAGUAVgBhAGwAdQBlACkALABcAG4AIAAgACAAIAAgACAAIAAgACAAIAAgACAAIAAgACAAIAAgACAAIAAgACAAIAAgACAAIAAgACAAIAAgACAAIAAgAC8ALwAgACAAQQBsAGwAbwBjAGEAdABpAG4AZwAgAGEAbgBuAHUAYQBsACAAdgBhAGwAdQBlAHMAIAB0AG8AIABtAG8AbgB0AGgAcwBcAG4AIAAgACAAIAAgACAAIAAgACAAIAAgACAAIAAgACAAIAAgACAAIAAgACAAIAAgACAAIAAgACAAIAAgACAAIAAgACAAIAAgACAAQQBsAGwAbwBjAGEAdABlACwAIAAgACAAIAAgACAAIABIAFMAVABBAEMASwAoACAARQBYAFAAQQBOAEQAKAAgAEEAbABsAG8AYwBhAHQAZQC7AygAIABEAGUAcAByAGUAYwBpAGEAdABlACwAIABcACIAWQBcACIALAAgAFwAIgBNAFwAIgApACwAIAAxACwAIABMAGkAZgBlAEkAbgBNAG8AbgB0AGgAcwAgAC0AIAAxACwAIAAwACkALAAgAFMAYQBsAHYAYQBnAGUAVgBhAGwAdQBlACkALABcAG4AIAAgACAAIAAgACAAIAAgACAAIAAgACAAIAAgACAAIAAgACAAIAAgACAAIAAgACAAIAAgACAAIAAgACAAIAAgACAAIAAgACAATwBwAGUAbgBpAG4AZwAsACAAIAAgACAAIAAgACAAIABEAFIATwBQACgAIABIAFMAVABBAEMASwAoACAASQBuAGkAdABpAGEAbABWAGEAbAB1AGUALAAgAFMAQwBBAE4AKAAgAEkAbgBpAHQAaQBhAGwAVgBhAGwAdQBlACwAIABBAGwAbABvAGMAYQB0AGUALAAgAEwAQQBNAEIARABBACgAIABBAGMAYwAsACAAVgBhAGwALAAgAEEAYwBjACAALQAgAFYAYQBsACkAKQApACwAIAAwACwAIAAtADEAKQAsAFwAbgAgACAAIAAgACAAIAAgACAAIAAgACAAIAAgACAAIAAgACAAIAAgACAAIAAgACAAIAAgACAAIAAgACAAIAAgACAALwAvACAAIABDAHIAZQBhAHQAZQAgAGEAIABtAG8AbgB0AGgAbAB5ACAAdABpAG0AZQBsAGkAbgBlACAAZgBvAHIAIAB0AGgAZQAgAGEAcwBzAGUAdABcAG4AIAAgACAAIAAgACAAIAAgACAAIAAgACAAIAAgACAAIAAgACAAIAAgACAAIAAgACAAIAAgACAAIAAgACAAIAAgACAAIAAgACAAQQBzAHMAZQB0AFQAaQBtAGUAbABpAG4AZQAsACAAIABFAEQAQQBUAEUAKAAgAEkAbgBTAGUAcgB2AGkAYwBlAEQAYQB0AGUALAAgAFMARQBRAFUARQBOAEMARQAoACAALAAgAEwAaQBmAGUASQBuAE0AbwBuAHQAaABzACwAIAAwACkAKQAsACAAXABuACAAIAAgACAAIAAgACAAIAAgACAAIAAgACAAIAAgACAAIAAgACAAIAAgACAAIAAgACAAIAAgACAAIAAgACAAIAAvAC8AIAAgAEEAZwBnAHIAZQBnAGEAdABlACAAbQBvAG4AdABoAGwAeQAgAGEAbABsAG8AYwBhAHQAaQBvAG4AcwAgAGIAeQAgAG0AbwBkAGUAbAAnAHMAIABwAGUAcgBpAG8AZAAgAGkAbgB0AGUAcgB2AGEAbABzACAAYQBuAGQAIABwAG8AcwBpAHQAaQBvAG4AIABpAG4AIAB0AGkAbQBlAGwAbgBlAFwAbgAgACAAIAAgACAAIAAgACAAIAAgACAAIAAgACAAIAAgACAAIAAgACAAIAAgACAAIAAgACAAIAAgACAAIAAgACAAIAAgACAAIABEAGUAcAByAGUAYwBpAGEAdABpAG8AbgAsACAAIAAgAE0AQQBQACgAIABTAEUAUQBVAEUATgBDAEUAKAAgACwAIABUAGkAbQBlAGwAaQBuAGUAQwBvAGwAcwApACwAIABcAG4AIAAgACAAIAAgACAAIAAgACAAIAAgACAAIAAgACAAIAAgACAAIAAgACAAIAAgACAAIAAgACAAIAAgACAAIAAgACAAIAAgACAAIAAgACAAIAAgACAAIAAgACAAIAAgACAAIAAgACAAIAAgACAAIAAgAEwAQQBNAEIARABBACgAIABuACwAIABcAG4AIAAgACAAIAAgACAAIAAgACAAIAAgACAAIAAgACAAIAAgACAAIAAgACAAIAAgACAAIAAgACAAIAAgACAAIAAgACAAIAAgACAAIAAgACAAIAAgACAAIAAgACAAIAAgACAAIAAgACAAIAAgACAAIAAgACAAIAAgACAAUwBVAE0AKAAoAEEAbABsAG8AYwBhAHQAZQApACAAKgAgACgAIABBAHMAcwBlAHQAVABpAG0AZQBsAGkAbgBlACAAPAA9ACAASQBOAEQARQBYACgARQBuAGQARABhAHQAZQBzACwAIABuACkAKQAgACoAIAAoACAAQQBzAHMAZQB0AFQAaQBtAGUAbABpAG4AZQAgAD4APQAgAEkATgBEAEUAWAAoACAAVABpAG0AZQBsAGkAbgBlACwAIABuACkAKQApACkAKQAsAFwAbgAgACAAIAAgACAAIAAgACAAIAAgACAAIAAgACAAIAAgACAAIAAgACAAIAAgACAAIAAgACAAIAAgACAAIAAgACAAIAAgACAAIABDAEEAUABFAFgALAAgACAAIAAgACAAIAAgACAAIAAgAEkAbgBpAHQAaQBhAGwAVgBhAGwAdQBlACAAKgAgACgAVABpAG0AZQBsAGkAbgBlACAAPAA9ACAASQBuAFMAZQByAHYAaQBjAGUARABhAHQAZQApACAAKgAgACgARQBuAGQARABhAHQAZQBzACAAPgA9ACAASQBuAFMAZQByAHYAaQBjAGUARABhAHQAZQApACwAIABcAG4AIAAgACAAIAAgACAAIAAgACAAIAAgACAAIAAgACAAIAAgACAAIAAgACAAIAAgACAAIAAgACAAIAAgACAAIAAgACAAIAAgACAATwBwAGUAbgBpAG4AZwBBAG0AbwB1AG4AdAAsACAAIABNAEEAUAAoACAAUwBFAFEAVQBFAE4AQwBFACgAIAAsACAAVABpAG0AZQBsAGkAbgBlAEMAbwBsAHMAKQAsACAAXABuACAAIAAgACAAIAAgACAAIAAgACAAIAAgACAAIAAgACAAIAAgACAAIAAgACAAIAAgACAAIAAgACAAIAAgACAAIAAgACAAIAAgACAAIAAgACAAIAAgACAAIAAgACAAIAAgACAAIAAgACAAIAAgACAAIABMAEEATQBCAEQAQQAoACAAbgAsAFwAbgAgACAAIAAgACAAIAAgACAAIAAgACAAIAAgACAAIAAgACAAIAAgACAAIAAgACAAIAAgACAAIAAgACAAIAAgACAAIAAgACAAIAAgACAAIAAgACAAIAAgACAAIAAgACAAIAAgACAAIAAgACAAIAAgACAAIAAgACAAIABJAEYARQBSAFIATwBSACgASQBOAEQARQBYACgAIABPAHAAZQBuAGkAbgBnACwAIABNAEEAVABDAEgAKAAxACwAKABBAHMAcwBlAHQAVABpAG0AZQBsAGkAbgBlACAAPgA9ACAASQBOAEQARQBYACgAIABUAGkAbQBlAGwAaQBuAGUALAAgAG4AKQApACoAKABBAHMAcwBlAHQAVABpAG0AZQBsAGkAbgBlADwAPQBJAE4ARABFAFgAKAAgAEUAbgBkAEQAYQB0AGUAcwAsACAAbgApACkALAAwACkAKQAsADAAKQApACkALABcAG4AIAAgACAAIAAgACAAIAAgACAAIAAgACAAIAAgACAAIAAgACAAIAAgACAAIAAgACAAIAAgACAAIAAgACAAIAAgACAAIAAgACAAQgBvAG8AawBWAGEAbAB1AGUALAAgACAAIAAgACAAIABPAHAAZQBuAGkAbgBnAEEAbQBvAHUAbgB0ACAALQAgAEQAZQBwAHIAZQBjAGkAYQB0AGkAbwBuACwAXABuACAAIAAgACAAIAAgACAAIAAgACAAIAAgACAAIAAgACAAIAAgACAAIAAgACAAIAAgACAAIAAgACAAIAAgACAAIAAgACAAIAAgAFMAYQBsAGUAcwBSAGUAdgBlAG4AdQBlACwAIAAgACAAUwBhAGwAdgBhAGcAZQBWAGEAbAB1AGUAIAAqACAAKABUAGkAbQBlAGwAaQBuAGUAIAA8AD0AIABEAGkAcwBwAG8AcwBhAGwARABhAHQAZQApACAAKgAgACgARQBuAGQARABhAHQAZQBzACAAPgA9ACAARABpAHMAcABvAHMAYQBsAEQAYQB0AGUAKQAsACAAXABuACAAIAAgACAAIAAgACAAIAAgACAAIAAgACAAIAAgACAAIAAgACAAIAAgACAAIAAgACAAIAAgACAAIAAgACAAIAAgACAAIAAgAEQAaQBzAHAAbwBzAGEAbABFAHgAcAAsACAAIAAgACAARABpAHMAcABvAHMAYQBsAEMAbwBzAHQAIAAqACAAKABUAGkAbQBlAGwAaQBuAGUAIAA8AD0AIABEAGkAcwBwAG8AcwBhAGwARABhAHQAZQApACAAKgAgACgARQBuAGQARABhAHQAZQBzACAAPgA9ACAARABpAHMAcABvAHMAYQBsAEQAYQB0AGUAKQAsACAAXABuACAAIAAgACAAIAAgACAAIAAgACAAIAAgACAAIAAgACAAIAAgACAAIAAgACAAIAAgACAAIAAgACAAIAAgACAAIAAvAC8AIAAgAEEAcwBzAGUAbQBiAGwAZQAgAHQAaABpAHMAIABhAHMAcwBlAHQAcwAgAHIAbwB3AHMAIABpAG4AdABvACAAYQAgAGIAbABvAGMAawBcAG4AIAAgACAAIAAgACAAIAAgACAAIAAgACAAIAAgACAAIAAgACAAIAAgACAAIAAgACAAIAAgACAAIAAgACAAIAAgACAAIAAgACAATgBlAHcAQgBsAG8AYwBrACwAIAAgACAAIAAgACAAIABWAFMAVABBAEMASwAoACAAQwBBAFAARQBYACwAIABPAHAAZQBuAGkAbgBnAEEAbQBvAHUAbgB0ACwAIABEAGUAcAByAGUAYwBpAGEAdABpAG8AbgAsACAAQgBvAG8AawBWAGEAbAB1AGUALAAgAFMAYQBsAGUAcwBSAGUAdgBlAG4AdQBlACwAIABEAGkAcwBwAG8AcwBhAGwARQB4AHAAKQAsAFwAbgAgACAAIAAgACAAIAAgACAAIAAgACAAIAAgACAAIAAgACAAIAAgACAAIAAgACAAIAAgACAAIAAgACAAIAAgACAALwAvACAAIABBAGQAZAAgAHQAaABpAHMAIABiAGwAbwBjAGsAIAB0AG8AIABwAHIAaQBvAHIAIABiAGwAbwBjAGsAcwAgACgAaQBmACAAYQBuAHkAKQBcAG4AIAAgACAAIAAgACAAIAAgACAAIAAgACAAIAAgACAAIAAgACAAIAAgACAAIAAgACAAIAAgACAAIAAgACAAIAAgACAAIAAgACAAUgBlAHMAdQBsAHQALAAgACAAIAAgACAAIAAgACAAIABJAEYAKAAgAEEAcwBzAGUAdAAgAD0AIAAxACwAIABcAG4AIAAgACAAIAAgACAAIAAgACAAIAAgACAAIAAgACAAIAAgACAAIAAgACAAIAAgACAAIAAgACAAIAAgACAAIAAgACAAIAAgACAAIAAgACAAIAAgACAAIAAgACAAIAAgACAAIAAgACAAIAAgACAAIAAgAE4AZQB3AEIAbABvAGMAawAsACAAXABuACAAIAAgACAAIAAgACAAIAAgACAAIAAgACAAIAAgACAAIAAgACAAIAAgACAAIAAgACAAIAAgACAAIAAgACAAIAAgACAAIAAgACAAIAAgACAAIAAgACAAIAAgACAAIAAgACAAIAAgACAAIAAgACAAIABWAFMAVABBAEMASwAoAFwAbgAgACAAIAAgACAAIAAgACAAIAAgACAAIAAgACAAIAAgACAAIAAgACAAIAAgACAAIAAgACAAIAAgACAAIAAgACAAIAAgACAAIAAgACAAIAAgACAAIAAgACAAIAAgACAAIAAgACAAIAAgACAAIAAgACAAIAAgACAAIABCAGwAbwBjAGsALABcAG4AIAAgACAAIAAgACAAIAAgACAAIAAgACAAIAAgACAAIAAgACAAIAAgACAAIAAgACAAIAAgACAAIAAgACAAIAAgACAAIAAgACAAIAAgACAAIAAgACAAIAAgACAAIAAgACAAIAAgACAAIAAgACAAIAAgACAAIAAgACAARQBYAFAAQQBOAEQAKABcACIAXAAiACwAIAAxACwAIABUAGkAbQBlAGwAaQBuAGUAQwBvAGwAcwAsACAAXAAiAFwAIgApACwAXABuACAAIAAgACAAIAAgACAAIAAgACAAIAAgACAAIAAgACAAIAAgACAAIAAgACAAIAAgACAAIAAgACAAIAAgACAAIAAgACAAIAAgACAAIAAgACAAIAAgACAAIAAgACAAIAAgACAAIAAgACAAIAAgACAAIAAgACAAIAAgAE4AZQB3AEIAbABvAGMAaw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CwAIABIAGUAbABwACwAIABvAHIAIAB0AGgAZQAgAG0AZQBzAHMAYQBnAGUAXABuACAAIAAgACAAIAAgACAAIABSAGUAdAB1AHIAbgAsACAAIAAgACAAIAAgACAAIAAgAEkARgAoACAASABlAGwAcAA/ACwAIAAyACwAIABJAEYAKAAgAEIAYQBkAEwAaQBmAGUAPwAsACAAMwAsACAAMQApACkALABcAG4AIAAgACAAIAAgACAAIAAgAEMASABPAE8AUwBFACgAIABSAGUAdAB1AHIAbgAsACAAUgBlAHMAdQBsAHQALAAgAEgAZQBsAHAALAAgAEwAaQBmAGUATQBlAHMAcwBhAGcAZQApAFwAbgAgACAAIAAgACkAIABcAG4AKQA7AFwAbgBcAG4AXABuAFwAbgAvACoAIAAgAEYAVQBOAEMAVABJAE8ATgAgAE4AQQBNAEUAOgAgACAATABhAGIAZQBsAEQAZQBwAHIAZQBjAGkAYQB0AGUAuwNcAG4AIAAgACAAIABEAEUAUwBDAFIASQBQAFQASQBPAE4AOgAqAC8ALwAqACoAQwByAGUAYQB0AGUAIABsAGEAYgBlAGwAcwAgAGYAbwByACAARABlAHAAcgBlAGMAaQBhAHQAZQC7AyoALwBcAG4ATABhAGIAZQBsAEQAZQBwAHIAZQBjAGkAYQB0AGUAuwMgAD0AIABMAEEATQBCAEQAQQAoAFwAbgAvAC8AIAAgAFAAYQByAGEAbQBlAHQAZQByACAARABlAGMAbABhAHIAYQB0AGkAbwBuAHMAXABuACAAIAAgACAAWwBBAHMAcwBlAHQATgBhAG0AZQBzAF0ALAAgACA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EAGUAcAByAGUAYwBpAGEAdABlALsDKAAgAEEAcwBzAGUAdABOAGEAbQBlAHMAKQC2AFwAIgAgACYAXABuACAAIAAgACAAIAAgACAAIAAgACAAIAAgACAAIAAgACAAIAAgACAAIAAgACAAIAAgACAAIAAgACAAXAAiAEQARQBTAEMAUgBJAFAAVABJAE8ATgA6ACAAIAAgAJIhQwByAGUAYQB0AGUAIAByAG8AdwAgAGwAYQBiAGUAbABzACAAZgBvAHIAIAB0AGgAZQAgAGQAZQBwAHIAZQBjAGkAYQB0AGkAbwBuACAAcwBjAGgAZQBkAHUAbABlACAAYQByAHIAYQB5ACAAcAByAG8AZAB1AGMAZQBkACAAYgB5ACAARABlAHAAcgBlAGMAaQBhAHQ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MAcwBlAHQATgBhAG0AZQBzACAAIAAgACAAIACSISgAUgBlAHEAdQBpAHIAZQBkACkAIABUAGgAZQAgAG4AYQBtAGUAcwAgAG8AcgAgAGQAZQBzAGMAcgBpAHAAdABpAG8AbgBzACAAbwBmACAAZQBhAGMAaAAgAGEAcwBzAGUAdAAgAGkAbgAgAHQAaABlACAAZABlAHAAcgBlAGMAaQBhAHQAaQBvAG4AIABzAGMAaABlAGQAdQBsAGUAIABwAHIAbwBkAHUAYwBlAGQAIABiAHkAIABEAGUAcAByAGUAYwBpAGEAdABlALsD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MAGEAYgBlAGwARABlAHAAcgBlAGMAaQBhAHQAZQC7AygAdABiAGwAQQBzAHMAZQB0AHMAWwBBAHMAcwBlAHQ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cwBzAGUAdABOAGEAbQBlAHMAKQAsAFwAbgAgACAAIAAgAC8ALwAgACAAUAByAG8AYwBlAGQAdQByAGUAXABuACAAIAAgACAAIAAgACAAIABSAGUAcwB1AGwAdAAsACAAIAAgACAAIAAgACAAIAAgAE0AQQBLAEUAQQBSAFIAQQBZACgAIABSAE8AVwBTACgAQQBzAHMAZQB0AE4AYQBtAGUAcwApACAAKgAgADcAIAAtACAAMQAsACAAMQAsACAAXABuACAAIAAgACAAIAAgACAAIAAgACAAIAAgACAAIAAgACAAIAAgACAAIAAgACAAIAAgACAAIAAgACAATABBAE0AQgBEAEEAKABSACwAIABDACwAIABcAG4AIAAgACAAIAAgACAAIAAgACAAIAAgACAAIAAgACAAIAAgACAAIAAgACAAIAAgACAAIAAgACAAIAAgACAAIAAgAEwARQBUACgAQQBzAHMAZQB0AE4AYQBtAGUALAAgACAAIABJAE4ARABFAFgAKAAgAEEAcwBzAGUAdABOAGEAbQBlAHMALAAgAFEAVQBPAFQASQBFAE4AVAAoAFIALQAxACwAIAA3ACkAIAArACAAMQApACwAIABcAG4AIAAgACAAIAAgACAAIAAgACAAIAAgACAAIAAgACAAIAAgACAAIAAgACAAIAAgACAAIAAgACAAIAAgACAAIAAgACAAIAAgACAAUwBXAEkAVABDAEgAKAAgAE0ATwBEACgAUgAtADEALAAgADcAKQAgACsAIAAxACwAXABuACAAIAAgACAAIAAgACAAIAAgACAAIAAgACAAIAAgACAAIAAgACAAIAAgACAAIAAgACAAIAAgACAAIAAgACAAIAAgACAAIAAgACAAIAAgACAAMQAsACAAIABBAHMAcwBlAHQATgBhAG0AZQAgACYAIABcACIAIABDAEEAUABFAFgAXAAiACwAXABuACAAIAAgACAAIAAgACAAIAAgACAAIAAgACAAIAAgACAAIAAgACAAIAAgACAAIAAgACAAIAAgACAAIAAgACAAIAAgACAAIAAgACAAIAAgACAAMgAsACAAIABBAHMAcwBlAHQATgBhAG0AZQAgACYAIABcACIAIABPAHAAZQBuAGkAbgBnACAAVgBhAGwAdQBlAFwAIgAsAFwAbgAgACAAIAAgACAAIAAgACAAIAAgACAAIAAgACAAIAAgACAAIAAgACAAIAAgACAAIAAgACAAIAAgACAAIAAgACAAIAAgACAAIAAgACAAIAAgADMALAAgACAAQQBzAHMAZQB0AE4AYQBtAGUAIAAmACAAXAAiACAARABlAHAAcgBlAGMAaQBhAHQAaQBvAG4AXAAiACwAXABuACAAIAAgACAAIAAgACAAIAAgACAAIAAgACAAIAAgACAAIAAgACAAIAAgACAAIAAgACAAIAAgACAAIAAgACAAIAAgACAAIAAgACAAIAAgACAANAAsACAAIABBAHMAcwBlAHQATgBhAG0AZQAgACYAIABcACIAIABCAG8AbwBrACAAVgBhAGwAdQBlAFwAIgAsAFwAbgAgACAAIAAgACAAIAAgACAAIAAgACAAIAAgACAAIAAgACAAIAAgACAAIAAgACAAIAAgACAAIAAgACAAIAAgACAAIAAgACAAIAAgACAAIAAgADUALAAgACAAQQBzAHMAZQB0AE4AYQBtAGUAIAAmACAAXAAiACAAUgBlAHYAZQBuAHUAZQAgAGYAcgBvAG0AIABTAGEAbABlAFwAIgAsAFwAbgAgACAAIAAgACAAIAAgACAAIAAgACAAIAAgACAAIAAgACAAIAAgACAAIAAgACAAIAAgACAAIAAgACAAIAAgACAAIAAgACAAIAAgACAAIAAgADYALAAgACAAQQBzAHMAZQB0AE4AYQBtAGUAIAAmACAAXAAiACAARABpAHMAcABvAHMAYQBsACAAQwBvAHMAdABzAFwAIgAsAFwAbgAgACAAIAAgACAAIAAgACAAIAAgACAAIAAgACAAIAAgACAAIAAgACAAIAAgACAAIAAgACAAIAAgACAAIAAgACAAIAAgACAAIAAgACAAIAAgADcALAAgACAAXAAiAFwAIg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RABlAHAAcgBlAGMAaQBhAHQAZQC7A1wAbgAgACAAIAAgAEQARQBTAEMAUgBJAFAAVABJAE8ATgA6ACoALwAvACoAKgBDAHIAZQBhAHQAZQAgAHIAbwB3ACAAdABvAHQAYQBsAHMAIABmAG8AcgAgAEQAZQBwAHIAZQBjAGkAYQB0AGUAuwMqAC8AXABuAFMAdQBtAEQAZQBwAHIAZQBjAGkAYQB0AGUAuwMgAD0AIABMAEEATQBCAEQAQQAoAFwAbgAvAC8AIAAgAFAAYQByAGEAbQBlAHQAZQByACAARABlAGMAbABhAHIAYQB0AGkAbwBuAHMAXABuACAAIAAgACAAWwBEAGUAcAByAGUAYwBp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EAGUAcAByAGUAYwBpAGEAdABlALsDKABEAGUAcAByAGUAYwBpAGEAdABpAG8AbgBTAGMAaABlAGQAdQBsAGUAKQC2AFwAIgAgACYAXABuACAAIAAgACAAIAAgACAAIAAgACAAIAAgACAAIAAgACAAIAAgACAAIAAgACAAIAAgACAAIAAgACAAXAAiAEQARQBTAEMAUgBJAFAAVABJAE8ATgA6ACAAIAAgAJIhQwByAGUAYQB0AGUAIAByAG8AdwAgAHQAbwB0AGEAbABzACAAZgBvAHIAIABEAGUAcAByAGUAYwBpAGEAdA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QAZQBwAHIAZQBjAGkAYQB0AGkAbwBuAFMAYwBoAGUAZAB1AGwAZQCSISgAUgBlAHEAdQBpAHIAZQBkACkAIABBAG4AIABhAHIAcgBhAHkAIABwAHIAbwBkAHUAYwBlAGQAIABiAHkAIABEAGUAcAByAGUAYwBpAGEAdABlALsDtgBcACIAIAAmAFwAbgAgACAAIAAgACAAIAAgACAAIAAgACAAIAAgACAAIAAgACAAIAAgACAAIAAgACAAIAAgACAAIAAgAFwAIgCSIbYAXAAiACAAJg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EAGUAcAByAGUAYwBpAGEAdABlALsDKABEAGUAcAByAGUAYwBp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PAG0AaQB0AHQAZQBkAEEAcgBnAHMALAAgACAAIAAgAFYAUwBUAEEAQwBLACgASQBTAE8ATQBJAFQAVABFAEQAKAAgAEQAZQBwAHIAZQBjAGkAYQB0AGkAbwBuAFMAYwBoAGUAZAB1AGwAZQApACkALABcAG4AIAAgACAAIAAgACAAIAAgAEgAZQBsAHAAPwAsACAAIAAgACAAIAAgACAAIAAgACAAQQBOAEQAKAAgAE8AbQBpAHQAdABlAGQAQQByAGcAcwApACwAXABuACAAIAAgACAALwAvACAAIABQAHIAbwBjAGUAZAB1AHIAZQBcAG4AIAAgACAAIAAgACAAIAAgAFIAZQBzAHUAbAB0ACwAIAAgACAAIAAgACAAIAAgACAATQBBAEsARQBBAFIAUgBBAFkAKABSAE8AVwBTACgARABlAHAAcgBlAGMAaQ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xACwAIABTAFUATQAoAEMASABPAE8AUwBFAFIATwBXAFMAKAAgAEQAZQBwAHIAZQBjAGkAYQB0AGkAbwBuAFMAYwBoAGUAZAB1AGwAZQAsACAAUgApACkALABcAG4AIAAgACAAIAAgACAAIAAgACAAIAAgACAAIAAgACAAIAAgACAAIAAgACAAIAAgACAAIAAgACAAIAAgACAAIAAgACAAIAAgACAAMwAsACAAUwBVAE0AKABDAEgATwBPAFMARQBSAE8AVwBTACgAIABEAGUAcAByAGUAYwBpAGEAdABpAG8AbgBTAGMAaABlAGQAdQBsAGUALAAgAFIAKQApACwAXABuACAAIAAgACAAIAAgACAAIAAgACAAIAAgACAAIAAgACAAIAAgACAAIAAgACAAIAAgACAAIAAgACAAIAAgACAAIAAgACAAIAAgADUALAAgAFMAVQBNACgAQwBIAE8ATwBTAEUAUgBPAFcAUwAoACAARABlAHAAcgBlAGMAaQBhAHQAaQBvAG4AUwBjAGgAZQBkAHUAbABlACwAIABSACkAKQAsAFwAbgAgACAAIAAgACAAIAAgACAAIAAgACAAIAAgACAAIAAgACAAIAAgACAAIAAgACAAIAAgACAAIAAgACAAIAAgACAAIAAgACAAIAA2ACwAIABTAFUATQAoAEMASABPAE8AUwBFAFIATwBXAFMAKAAgAEQAZQBwAHIAZQBjAGk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FIAZQB0AHUAcgBuACwAIAAgACAAIAAgACAAIAAgACAASQBGACgAIABIAGUAbABwAD8ALAAgADIALAAgADEAKQAsAFwAbgAgACAAIAAgACAAIAAgACAAQwBIAE8ATwBTAEUAKABSAGUAdAB1AHIAbgAsACAAUgBlAHMAdQBsAHQALAAgAEgAZQBsAHAAKQBcAG4AIAAgACAAIAApAFwAbgApADsAXABuAFwAbgBcAG4AXABuAC8AKgAgACAARgBVAE4AQwBUAEkATwBOACAATgBBAE0ARQA6ACAAIABBAGwAbABvAGMAYQB0AGUAuwNcAG4AIAAgACAAIABEAEUAUwBDAFIASQBQAFQASQBPAE4AOgAqAC8ALwAqACoAkiFEAGkAdgBpAGQAZQAgAG8AbgBlACAAbwByACAAbQBvAHIAZQAgAGEAbQBvAHUAbgB0AHMAIABlAHEAdQBhAGwAbAB5ACAAYQBjAHIAbwBzAHMAIABzAG0AYQBsAGwAZQByACAAcABlAHIAaQBvAGQAcwAqAC8AXABuAEEAbABsAG8AYwBhAHQAZQC7AyAAPQAgAEwAQQBNAEIARABBACgAXABuAC8ALwAgACAAUABhAHIAYQBtAGUAdABlAHIAIABEAGUAYwBsAGEAcgBhAHQAaQBvAG4AXABuACAAIAAgACAAWwBBAG0AbwB1AG4AdABzAF0ALABcAG4AIAAgACAAIABbAEYAcgBvAG0ASQBuAHQAZQByAHYAYQBsAF0ALAAgAFwAbgAgACAAIAAgAFsAVABv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BAGwAbABvAGMAYQB0AGUAuwMoAEEAbQBvAHUAbgB0AHMALAAgAFsARgByAG8AbQBJAG4AdABlAHIAdgBhAGwAXQAsACAAWwBUAG8ASQBuAHQAZQByAHYAYQBsAF0AKQC2AFwAIgAgACYAXABuACAAIAAgACAAIAAgACAAIAAgACAAIAAgACAAIAAgACAAIAAgACAAIAAgACAAIAAgACAAIAAgACAAXAAiAEQARQBTAEMAUgBJAFAAVABJAE8ATgA6ACAAIAAgAJIhRABpAHYAaQBkAGUAIABvAG4AZQAgAG8AcgAgAG0AbwByAGUAIABhAG0AbwB1AG4AdABzACAAZQBxAHUAYQBsAGwAeQAgAGEAYwByAG8AcwBzACAAcwBtAGEAbABsAGUAcgAgAHAAZQByAGkAbwBkAHM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0AbwB1AG4AdABzACAAIAAgACAAIAAgACAAIACSISgAUgBlAHEAdQBpAHIAZQBkACkAIABPAG4AZQAgAGEAbQBvAHUAbgB0ACAAbwByACAAYQAgAHIAbwB3ACAAbwBmACAAYQBtAG8AdQBuAHQAcwAgAHQAbwAgAGEAbABsAG8AYwBhAHQAZQAuALYAXAAiACAAJgAgACAAIAAgACAAIAAgACAAIAAgACAAIAAgACAAIAAgACAAIAAgAFwAbgAgACAAIAAgACAAIAAgACAAIAAgACAAIAAgACAAIAAgACAAIAAgACAAIAAgACAAIAAgACAAIAAgAFwAIgBGAHIAbwBtAEkAbgB0AGUAcgB2AGEAbAAgACAAIACSISgATwBwAHQAaQBvAG4AYQBsACAARABlAGYAYQB1AGwAdAA9AFkAKQAgAFQAaABlACAAbABhAHIAZwBlAHIAIABpAG4AdABlAHIAdgBhAGwAIABpAG4AIABRAD0AUQB1AGEAcgB0AGUAcgBzACAAbwByACAAWQA9AFkAZQBhAHIAcwC2AFwAIgAgACYAIABcAG4AIAAgACAAIAAgACAAIAAgACAAIAAgACAAIAAgACAAIAAgACAAIAAgACAAIAAgACAAIAAgACAAIABcACIAVABvAEkAbgB0AGUAcgB2AGEAbAAgACAAIAAgACAAkiEoAE8AcAB0AGkAbwBuAGEAbAAgAEQAZQBmAGEAdQBsAHQAPQBNACkAIABUAGgAZQAgAHMAbQBhAGwAbABlAHIAIABpAG4AdABlAHIAdgBhAGwAIABpAG4AIABXAD0AVwBlAGUAawBzACwAIABNAD0ATQBvAG4AdABoAHMALAAgAG8AcgAgAFEAPQBRAHUAYQByAHQAZQByAHMAtgBcACIAIAAmACAAXABuACAAIAAgACAAIAAgACAAIAAgACAAIAAgACAAIAAgACAAIAAgACAAIAAgACAAIAAgACAAIAAgACAAXAAiAE4ATwBUAEUAIQAgACAAIAAgACAAIAAgACAAIAAgAJIhtgBcACIAIAAmACAAXABuACAAIAAgACAAIAAgACAAIAAgACAAIAAgACAAIAAgACAAIAAgACAAIAAgACAAIAAgACAAIAAgACAAIAAgACAAIAAgACAAIAAgACAAIAAgACAAIAAgACAAXAAiAJIhVwBoAGUAbgAgAGEAIABGAHIAbwBtACAAUABlAHIAaQBvAGQAJwBzACAAYQBtAG8AdQBuAHQAIABkAG8AZQBzACAAbgBvAHQAIABkAGkAdgBpAGQAZQAgAGUAdgBlAG4AbAB5ACAAdABvACAAdABoAGUAIAAxAC8AMQAwADAAIABmAG8AcgAgAGEAbABsACAAVABvACAAUABlAHIAaQBvAGQAcwAnACwAtgBcACIAIAAmACAAXABuACAAIAAgACAAIAAgACAAIAAgACAAIAAgACAAIAAgACAAIAAgACAAIAAgACAAIAAgACAAIAAgACAAIAAgACAAIAAgACAAIAAgACAAIAAgACAAIAAgACAAXAAiAJIhdABoAGUAIABsAGEAcwB0ACAAVABvACAAUABlAHIAaQBvAGQAIABjAG8AbgB0AGEAaQBuAHMAIAB0AGgAZQAgAG4AZQBjAGUAcwBzAGEAcgB5ACAAYQBkAGoAdQBzAHQAbQBlAG4AdA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sAGwAbwBjAGEAdABlALsDKAB7ADkAOQA5AC4AOQA5ACwAIAAyADAAMAAwAH0ALAAgAFwAIgBcACIAWQBcACIAXAAiACwAIABcACIAXAAiAFEAXAAiAFwAIg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gA1ADAALAAyADUAMAAsADIANQAwACwAMgA0ADkALgA5ADkALAA1ADAAMAAsADUAMAAwACwANQAwADAALAA1ADA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IABmAG8AcgAgAG8AcAB0AGkAbwBuAGEAbAAgAHYAYQBsAHUAZQBzAFwAbgAgACAAIAAgACAAIAAgACAARgByAG8AbQBJAG4AdABlAHIAdgBhAGwALAAgACAAIABJAEYAKAAgAEkAUwBPAE0ASQBUAFQARQBEACgAIABGAHIAbwBtAEkAbgB0AGUAcgB2AGEAbAApACwAIABcACIAWQBcACIALAAgAEYAcgBvAG0ASQBuAHQAZQByAHYAYQBsACkALABcAG4AIAAgACAAIAAgACAAIAAgAFQAbwBJAG4AdABlAHIAdgBhAGwALAAgACAAIAAgACAASQBGACgAIABJAFMATwBNAEkAVABUAEUARAAoACAAVABvAEkAbgB0AGUAcgB2AGEAbAApACwAIABcACIATQBcACIALAAgAFQAbwBJAG4AdABlAHIAdgBhAGwAKQAsAFwAbgAgACAAIAAgAC8ALwAgACAAUAByAG8AYwBlAGQAdQByAGUAXABuACAAIAAgACAAIAAgACAAIABGAHIAbwBtACwAIAAgACAAIAAgACAAIAAgACAAIAAgAFMAVwBJAFQAQwBIACgARgByAG8AbQBJAG4AdABlAHIAdgBhAGwALAAgAFwAIgBZAFwAIgAsACAAMQAsACAAXAAiAFEAXAAiACwAIAA0ACkALABcAG4AIAAgACAAIAAgACAAIAAgAFQAbwAsACAAIAAgACAAIAAgACAAIAAgACAAIAAgACAAUwBXAEkAVABDAEgAKABUAG8ASQBuAHQAZQByAHYAYQBsACwAIABcACIAUQBcACIALAAgADQALAAgAFwAIgBNAFwAIgAsACAAMQAyACwAIABcACIAVwBcACIALAAgADUAMgApACwAXABuACAAIAAgACAAIAAgACAAIABGAHIAbwBtAEMAbwB1AG4AdAAsACAAIAAgACAAIAAgAEMATwBVAE4AVAAoACAAQQBtAG8AdQBuAHQAcwApACwAXABuACAAIAAgACAAIAAgACAAIABUAG8AQwBvAHUAbgB0ACwAIAAgACAAIAAgACAAIAAgAFQAbwAgAC8AIABGAHIAbwBtACwAXABuACAAIAAgACAAIAAgACAAIABSAGUAcwB1AGwAdAAsACAAIAAgACAAIAAgACAAIAAgAE0AQQBLAEUAQQBSAFIAQQBZACgAIAAxACwAIABGAHIAbwBtAEMAbwB1AG4AdAAgACoAIABUAG8AQwBvAHUAbgB0ACwAXABuACAAIAAgACAAIAAgACAAIAAgACAAIAAgACAAIAAgACAAIAAgACAAIAAgACAAIAAgACAAIAAgACAATABBAE0AQgBEAEEAKAAgAFIALAAgAEMALABcAG4AIAAgACAAIAAgACAAIAAgACAAIAAgACAAIAAgACAAIAAgACAAIAAgACAAIAAgACAAIAAgACAAIAAgACAAIAAgAEwARQBUACgAXABuACAAIAAgACAAIAAgACAAIAAgACAAIAAgACAAIAAgACAAIAAgACAAIAAgACAAIAAgACAAIAAgACAAIAAgACAAIAAvAC8AIAAgAEMAbwBsAHUAbQBuACAAQwAgAGgAbwBsAGQAcwAgAHAAYQByAHQAIABDACAAbwBmACAAYQBtAG8AdQBuAHQAIABRAFUATwBUAEkARQBOAFQAKAAgAEMAIAAtACAAMQAsACAAVABvAEMAbwB1AG4AdAApACAAKwAgADEAXABuACAAIAAgACAAIAAgACAAIAAgACAAIAAgACAAIAAgACAAIAAgACAAIAAgACAAIAAgACAAIAAgACAAIAAgACAAIAAgACAAIAAgAEYAcgBvAG0AQQBtAG8AdQBuAHQALAAgACAAIAAgACAASQBOAEQARQBYACgAIABBAG0AbwB1AG4AdABzACwAIABRAFUATwBUAEkARQBOAFQAKAAgAEMAIAAtACAAMQAsACAAVABvAEMAbwB1AG4AdAApACAAKwAgADEAKQAsAFwAbgAgACAAIAAgACAAIAAgACAAIAAgACAAIAAgACAAIAAgACAAIAAgACAAIAAgACAAIAAgACAAIAAgACAAIAAgACAAIAAgACAAIABUAG8AQQBtAG8AdQBuAHQALAAgACAAIAAgACAAIAAgAFIATwBVAE4ARAAoACAARgByAG8AbQBBAG0AbwB1AG4AdAAgACoAIABGAHIAbwBtACAALwAgAFQAbwAsACAAMgApACwAXABuACAAIAAgACAAIAAgACAAIAAgACAAIAAgACAAIAAgACAAIAAgACAAIAAgACAAIAAgACAAIAAgACAAIAAgACAAIAAvAC8AIAAgAFQAaABlACAAbABhAHMAdAAgAHAAYQByAHQAIABvAGYAIABlAGEAYwBoACAAYQBtAG8AdQBuAHQAIABjAGEAcgByAGkAZQBzACAAdABoAGUAIAByAG8AdQBuAGQAaQBuAGcAIABkAGkAZgBmAGUAcgBlAG4AYwBlAFwAbgAgACAAIAAgACAAIAAgACAAIAAgACAAIAAgACAAIAAgACAAIAAgACAAIAAgACAAIAAgACAAIAAgACAAIAAgACAAIAAgACAAIABMAGEAcwB0AD8ALAAgACAAIAAgACAAIAAgACAAIAAgAE0ATwBEACgAIABDACAALQAgADEALAAgAFQAbwBDAG8AdQBuAHQAKQAgACsAIAAxACAAPQAgAFQAbwBDAG8AdQBuAHQALABcAG4AIAAgACAAIAAgACAAIAAgACAAIAAgACAAIAAgACAAIAAgACAAIAAgACAAIAAgACAAIAAgACAAIAAgACAAIAAgACAAIAAgACAASQBGACgAIABBAE4ARAAoACAATABhAHMAdAA/ACwAIABUAG8AQwBvAHUAbgB0ACAAPgAgADEAKQAsAFwAbgAgACAAIAAgACAAIAAgACAAIAAgACAAIAAgACAAIAAgACAAIAAgACAAIAAgACAAIAAgACAAIAAgACAAIAAgACAAIAAgACAAIAAgACAAIAAgAEYAcgBvAG0AQQBtAG8AdQBuAHQAIAAtACAAUwBVAE0AKAAgAEUAWABQAEEATgBEACgAIABUAG8AQQBtAG8AdQBuAHQALAAgADEALAAgAE0AQQBYACgAIABUAG8AQwBvAHUAbgB0ACAALQAgADEALAAgADEAKQAsACAAVABvAEEAbQBvAHUAbgB0ACkAKQAsAFwAbgAgACAAIAAgACAAIAAgACAAIAAgACAAIAAgACAAIAAgACAAIAAgACAAIAAgACAAIAAgACAAIAAgACAAIAAgACAAIAAgACAAIAAgACAAIAAgAFQAbwBBAG0AbwB1AG4Ad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EQAaQBmAGYAuwNcAG4AIAAgACAAIABEAEUAUwBDAFIASQBQAFQASQBPAE4AOgAqAC8ALwAqACoARABlAHQAZQByAG0AaQBuAGUAIAB0AGgAZQAgAG4AdQBtAGIAZQByACAAbwBmACAAcABlAHIAaQBvAGQAcwAgAGIAZQB0AHcAZQBlAG4AIAB0AHcAbwAgAGQAYQB0AGUAcwAuACoALwBcAG4AUABlAHIAaQBvAGQARABpAGYAZgC7AyAAPQAgAEwAQQBNAEIARABBACgAXABuAC8ALwAgACAAUABhAHIAYQBtAGUAdABlAHIAIABEAGUAYwBsAGEAcgBhAHQAaQBvAG4AXABuACAAIAAgACAAWwBTAHQAYQByAHQARABhAHQAZQBdACwAXABuACAAIAAgACAAWwBFAG4AZABEAGEAdABlAF0ALAAgAFwAbgAgACAAIAAgAFs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EQAaQBmAGYAuwMoAFMAdABhAHIAdABEAGEAdABlACwAIABFAG4AZABEAGEAdABlACwAIABJAG4AdABlAHIAdgBhAGwAKQC2AFwAIgAgACYAXABuACAAIAAgACAAIAAgACAAIAAgACAAIAAgACAAIAAgACAAIAAgACAAIAAgACAAIAAgACAAIAAgACAAXAAiAEQARQBTAEMAUgBJAFAAVABJAE8ATgA6ACAAIAAgAJIhRABlAHQAZQByAG0AaQBuAGUAIAB0AGgAZQAgAG4AdQBtAGIAZQByACAAbwBmACAAcABlAHIAaQBvAGQAcwAgAGIAZQB0AHcAZQBlAG4AIAB0AHcAbwAgAGQAYQB0AGUAcwAuALYAXAAiACAAJgBcAG4AIAAgACAAIAAgACAAIAAgACAAIAAgACAAIAAgACAAIAAgACAAIAAgACAAIAAgACAAIAAgACAAIABcACIATgBPAFQARQBTACEAIAAgACAAIAAgACAAIAAgACAAkiFUAGgAaQBzACAAaQBtAHAAcgBvAHYAZQBzACAAbwBuACwAIABhAG4AZAAgAGMAbwByAHIAZQBjAHQAcwAgAHAAcgBvAGIAbABlAG0AcwAgAHcALwBFAHgAYwBlAGwAJwBzACAAZABlAHAAcgBlAGMAYQB0AGUAZAAgAEQAQQBUAEUARABJAEYAKAApACAAZgB1AG4AYwB0AGkAbwBu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TAHQAYQByAHQARABhAHQAZQAgACAAIAAgACAAIACSISgAUgBlAHEAdQBpAHIAZQBkACkAIABTAHQAYQByAHQAIABEAGEAdABlAC4AtgBcACIAIAAmACAAIAAgACAAIAAgACAAIAAgACAAIAAgACAAIAAgACAAIAAgACAAXABuACAAIAAgACAAIAAgACAAIAAgACAAIAAgACAAIAAgACAAIAAgACAAIAAgACAAIAAgACAAIAAgACAAXAAiAEUAbgBkAEQAYQB0AGUAIAAgACAAIAAgACAAIAAgAJIhKABSAGUAcQB1AGkAcgBlAGQAKQAgAEUAbgBkACAARABhAHQAZQC2AFwAIgAgACYAIABcAG4AIAAgACAAIAAgACAAIAAgACAAIAAgACAAIAAgACAAIAAgACAAIAAgACAAIAAgACAAIAAgACAAIABcACIASQBuAHQAZQByAHYAYQBsACAAIAAgACAAIAAgACAAkiEoAFIAZQBxAHUAaQByAGUAZAApACAAVwA9AFcAZQBlAGsALAAgAE0APQBNAG8AbgB0AGgALAAgAFEAPQBRAHUAYQByAHQAZQByACwAIABZAD0AWQBlAGEAcg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AAIAAgACAAIAAgACAAIAAgACAAIAAgACAAIACSIT0AbwB6AC4AUABlAHIAaQBvAGQARABpAGYAZgC7AygAXAAiAFwAIgAyADAAMgA2AC0AMAAxAC0AMAAxAFwAIgBcACIALAAgAFwAIgBcACIAMgAwADIANgAtADAANAAtADEANQBcACIAXAAiACwAIABcACIAXAAiAFE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TAHQAYQByAHQARABhAHQAZQApACwAXABuACAAIAAgACAAIAAgACAAIAAgACAAIAAgACAAIAAgACAAIAAgACAAIAAgACAAIAAgACAAIAAgACAASQBTAE8ATQBJAFQAVABFAEQAKAAgAEUAbgBkAEQAYQB0AGUAKQAsAFwAbgAgACAAIAAgACAAIAAgACAAIAAgACAAIAAgACAAIAAgACAAIAAgACAAIAAgACAAIAAgACAAIAAgAEkAUwBPAE0ASQBUAFQARQBEACgAIABJAG4AdABlAHIAdgBhAGwAKQBcAG4AIAAgACAAIAAgACAAIAAgACAAIAAgACAAIAAgACAAIAAgACAAIAAgACAAIAAgACAAKQAsAFwAbgAgACAAIAAgAC8ALwAgACAAQwBvAG4AcwB0AGEAbgB0AHMAXABuACAAIAAgACAAIAAgACAAIABNAHAAUAAsACAAIAAgACAAIAAgACAAIAAgACAAIAAgACAAIAAgACAAUwBXAEkAVABDAEgAKAAgAEkAbgB0AGUAcgB2AGEAbAAsACAAXAAiAE0AXAAiACwAIAAxACwAIABcACIAUQBcACIALAAgADMALAAgAFwAIgBZAFwAIgAsACAAMQAyACwAIAAwACkALABcAG4AIAAgACAAIAAvAC8AIAAgAFAAcgBvAGMAZQBkAHUAcgBlAFwAbgAgACAAIAAgACAAIAAgACAATQBvAG4AdABoAHMALAAgACAAIAAgACAAIAAgACAAIAAgACAAIAAgAEQAQQBUAEUARABJAEYAKAAgAFMAdABhAHIAdABEAGEAdABlACwAIABFAG4AZABEAGEAdABlACwAIABcACIATQBcACIAKQAgACsAIAAxACwAXABuACAAIAAgACAAIAAgACAAIABQAGUAcgBpAG8AZABzACwAIAAgACAAIAAgACAAIAAgACAAIAAgACAASQBOAFQAKAAgAE0AbwBuAHQAaABzACAALwAgAE0AcABQACkALABcAG4AIAAgACAAIAAgACAAIAAgAFAAYQByAHQAaQBhAGwAUABlAHIAaQBvAGQALAAgACAAIAAgACAAIABOACgAIABNAE8ARAAoACAATQBvAG4AdABoAHMALAAgAE0AcABQACkAIAA+ACAAMAApACwAXABuACAAIAAgACAAIAAgACAAIABFAE8ATQBDAG8AcgByAGUAYwB0AGkAbwBuACwAIAAgACAAIAAgACAATgAoACAAQQBOAEQAKAAgAEUAbgBkAEQAYQB0AGUAIAA9ACAARQBPAE0ATwBOAFQASAAoACAARQBuAGQARABhAHQAZQAsACAAMAApACwAIABEAEEAWQAoACAAUwB0AGEAcgB0AEQAYQB0AGUAKQAgAD4AIABEAGEAeQAoACAARQBuAGQARABhAHQAZQApACkAKQAsAFwAbgAgACAAIAAgACAAIAAgACAAUgBlAHMAdQBsAHQALAAgACAAIAAgACAAIAAgACAAIAAgACAAIAAgAEkARgAoACAASQBuAHQAZQByAHYAYQBsACAAPQAgAFwAIgBXAFwAIgAsACAAXABuACAAIAAgACAAIAAgACAAIAAgACAAIAAgACAAIAAgACAAIAAgACAAIAAgACAAIAAgACAAIAAgACAAIAAgACAAIABJAE4AVAAoACgARQBuAGQARABhAHQAZQAgAC0AIABTAHQAYQByAHQARABhAHQAZQAgACsAIAAxACkAIAAvACAANwApACwAXABuACAAIAAgACAAIAAgACAAIAAgACAAIAAgACAAIAAgACAAIAAgACAAIAAgACAAIAAgACAAIAAgACAAIAAgACAAIABQAGUAcgBpAG8AZABzACAAKwAgAE8AUgAoAFAAYQByAHQAaQBhAGwAUABlAHIAaQBvAGQALAAgAEUATwBNAEMAbwByAHIAZQBjAHQAaQBvAG4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TAEwATgC7A1wAbgAgACAAIAAgAEQARQBTAEMAUgBJAFAAVABJAE8ATgA6ACoALwAvACoAKgBTAHQAcgBhAGkAZwBoAHQAIABMAGkAbgBlACAAZABlAHAAcgBlAGMAaQBhAHQAaQBvAG4AIABtAGUAdABoAG8AZAAgAGYAbwByACAAbwBuAGUAIABhAHMAcwBlAHQAIABvAHIAIABhAHMAcwBlAHQAIABjAGwAYQBzAHMALgAqAC8AXABuAFMATABO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MAE4AuwMoAEMAbwBzAHQALAAgAFMAYQBsAHYAYQBnAGUALAAgAEwAaQBmAGUAKQC2AFwAIgAgACYAXABuACAAIAAgACAAIAAgACAAIAAgACAAIAAgACAAIAAgACAAIAAgACAAIAAgACAAIAAgACAAIAAgACAAXAAiAEQARQBTAEMAUgBJAFAAVABJAE8ATgA6ACAAIAAgAJIhUwB0AHIAYQBpAGcAaAB0ACAATABpAG4AZQAgAEQAZQBwAHIAZQBjAGkAYQB0AGkAbwBuACAAT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EwAT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EAOAAwACwAMQA4ADAALAAxADgAMAAsADEAOAAwACwAMQA4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EQAZQBwAG4ALAAgACAAIAAgACAAIAAgACAAIAAgACAAUwBMAE4AKABDAG8AcwB0ACwAIABTAGEAbAB2AGEAZwBlACwAIABMAGkAZgBlACkALABcAG4AIAAgACAAIAAgACAAIAAgAFIAZQBzAHUAbAB0ACwAIAAgACAAIAAgACAAIAAgACAARQBYAFAAQQBOAEQAKABEAGUAcABuACwAIAAxACwAIABMAGkAZgBlACwAIABEAGUAcABu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wBZAEQAuwNcAG4AIAAgACAAIABEAEUAUwBDAFIASQBQAFQASQBPAE4AOgAqAC8ALwAqACoAUwB1AG0ALQBvAGYALQB5AGUAYQByAHMAJwAgAGQAaQBnAGkAdABzACAAZABlAHAAcgBlAGMAaQBhAHQAaQBvAG4AIABtAGUAdABoAG8AZAAgAGYAbwByACAAbwBuAGUAIABhAHMAcwBlAHQAIABvAHIAIABhAHMAcwBlAHQAIABjAGwAYQBzAHMALgAqAC8AXABuAFMAWQBE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ZAEQAuwMoAEMAbwBzAHQALAAgAFMAYQBsAHYAYQBnAGUALAAgAEwAaQBmAGUAKQC2AFwAIgAgACYAXABuACAAIAAgACAAIAAgACAAIAAgACAAIAAgACAAIAAgACAAIAAgACAAIAAgACAAIAAgACAAIAAgACAAXAAiAEQARQBTAEMAUgBJAFAAVABJAE8ATgA6ACAAIAAgAJIhUwB1AG0ALQBvAGYALQB5AGUAYQByAHMAJwAgAGQAaQBnAGkAdABz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zAF0AKQC2AFwAIgAgACYAXABuACAAIAAgACAAIAAgACAAIAAgACAAIAAgACAAIAAgACAAIAAgACAAIAAgACAAIAAgACAAIAAgACAAXAAiAEQARQBTAEMAUgBJAFAAVABJAE8ATgA6ACAAIAAgAJIhRgBpAHgAZQBkACAAZABlAGMAbABpAG4AaQBuAGcAIABiAGEAbABhAG4AYwBlACAAZABlAHAAcgBlAGMAaQBhAHQAaQBvAG4AIABtAGUAdABoAG8AZAAgAGYAbwByACAAbwBuAGUAIABhAHMAcwBlAHQAIABvAHIAIABhAHMAcwBlAHQAIABjAGwAYQBzAHM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TQBvAG4AdABoAHMAIAAgACAAIAAgACAAIAAgACAAkiEoAE8AcAB0AGkAbwBuAGEAbAApACAATgB1AG0AYgBlAHIAIABvAGYAIABtAG8AbgB0AGgAcwAgAGkAbgAgAHQAaABlACAAZgBpAHIAcwB0ACAAeQBlAGEAcgAgAHQAbwAgAGQAZQBwAHIAZQBjAGkAYQB0AGU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BcAG4AIAAgACAAIAAgACAAIAAgAEQAZQBwAG4ALAAgACAAIAAgACAAIAAgACAAIAAgACAARABCACgAIABDAG8AcwB0ACwAIABTAGEAbAB2AGEAZwBlACwAIABMAGkAZgBlACwAIABTAEUAUQBVAEUATgBDAEUAKAAgACwAIABMAGkAZgBlACAALQAgADEAIAApACwAIABNAG8AbgB0AGgAcw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QAQgC7AygAQwBvAHMAdAAsACAAUwBhAGwAdgBhAGcAZQAsACAATABpAGYAZQAsACAAWwBGAGEAYwB0AG8AcgBdACkAtgBcACIAIAAmAFwAbgAgACAAIAAgACAAIAAgACAAIAAgACAAIAAgACAAIAAgACAAIAAgACAAIAAgACAAIAAgACAAIAAgAFwAIgBEAEUAUwBDAFIASQBQAFQASQBPAE4AOgAgACAAIACSIUQAbwB1AGIAbABlAC0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Q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NAAwADAALgAwADAALAAyADQAMAAuADAAMAAsADEANAA0AC4AMAAwACwAOAA2AC4ANAAwACwAMgA5AC4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LwAvACAAIABQAHIAbwBjAGUAZAB1AHIAZQBcAG4AIAAgACAAIAAgACAAIAAgAEQAZQBwAG4ALAAgACAAIAAgACAAIAAgACAAIAAgACAARABEAEIAKAAgAEMAbwBzAHQALAAgAFMAYQBsAHYAYQBnAGUALAAgAEwAaQBmAGUALAAgAFMARQBRAFUARQBOAEMARQAoACAALAAgAEwAaQBmAGUAIAAtADEAKQAsACAARgBhAGMAdABvAHI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YARABCALsDXABuACAAIAAgACAARABFAFMAQwBSAEkAUABUAEkATwBOADoAKgAvAC8AKgAqAFYAYQByAGkAYQBiAGwAZQAgAGQAZQBjAGwAaQBuAGkAbgBnACAAYgBhAGwAYQBuAGMAZQAgAGQAZQBwAHIAZQBjAGkAYQB0AGkAbwBuACAAbQBlAHQAaABvAGQAIABmAG8AcgAgAG8AbgBlACAAYQBzAHMAZQB0ACAAbwByACAAYQBzAHMAZQB0ACAAYwBsAGEAcwBzAC4AKgAvAFwAbgBW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FsATgBvAF8AUwB3AGkAdABjAGg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YARABCALsDKABDAG8AcwB0ACwAIABTAGEAbAB2AGEAZwBlACwAIABMAGkAZgBlACwAIABbAEYAYQBjAHQAbwByAF0ALAAgAFsATgBvAF8AUwB3AGkAdABjAGgAXQApALYAXAAiACAAJgBcAG4AIAAgACAAIAAgACAAIAAgACAAIAAgACAAIAAgACAAIAAgACAAIAAgACAAIAAgACAAIAAgACAAIABcACIARABFAFMAQwBSAEkAUABUAEkATwBOADoAIAAgACAAkiFWAGEAcgBpAGEAYgBsAGUAIA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OAG8AXwBTAHcAaQB0AGMAaAAgACAAIAAgACAAIACSISgATwBwAHQAaQBvAG4AYQBsACAARABlAGYAYQB1AGwAdAA9AEYAQQBMAFMARQApACAAUwB3AGkAdABjAGgAIAB0AG8AIABzAHQAcgBhAGkAZwBoAHQALQBsAGkAbgBlACAAZABlAHAAcgBlAGMAaQBhAHQAaQBvAG4AIAB3AGgAZQBuALYAXAAiACAAJgAgAFwAbgAgACAAIAAgACAAIAAgACAAIAAgACAAIAAgACAAIAAgACAAIAAgACAAIAAgACAAIAAgACAAIAAgACAAIAAgACAAIAAgACAAIAAgACAAIAAgACAAIAAgAFwAIgCSISAAZABlAHAAcgBlAGMAaQBhAHQAaQBvAG4AIABpAHMAIABnAHIAZQBhAHQAZQByACAAdABoAGEAbgAgAHQAaABlACAAZABlAGMAbABpAG4AaQBuAGcAIABiAGEAbABhAG4AYwBlACAAYwBhAGwAYwB1AGwAYQB0AGkAbwBu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WAEQAQgC7AygAMQAwADAAMAAsACAAMQAwADAALAAgADUALAAgADEALgA1ACwAIABUAFIAVQBF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uADAAMAAsADIAMQAwAC4AMAAwACwAMQA0ADcALgAwADAALAAxADAAMgAuADkAMAAsADcAMgAuADA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AAIAAgACAATgBvAF8AUwB3AGkAdABjAGgALAAgACAAIAAgACAAIABJAEYAKAAgAEkAUwBPAE0ASQBUAFQARQBEACgAIABOAG8AXwBTAHcAaQB0AGMAaAApACwAIABGAEEATABTAEUALAAgAE4AbwBfAFMAdwBpAHQAYwBoACkALABcAG4AIAAgACAAIAAvAC8AIAAgAFAAcgBvAGMAZQBkAHUAcgBlAFwAbgAgACAAIAAgACAAIAAgACAAUgBlAHMAdQBsAHQALAAgACAAIAAgACAAIAAgACAAIABWAEQAQgAoACAAQwBvAHMAdAAsACAAUwBhAGwAdgBhAGcAZQAsACAATABpAGYAZQAsACAAUwBFAFEAVQBFAE4AQwBFACgAIAAsACAATABpAGYAZQAsACAAMAApACwAIABTAEUAUQBVAEUATgBDAEUAKAAgACwAIABMAGkAZgBlACkALAAgAEYAYQBjAHQAbwByACwAIABOAG8AXwBTAHcAaQB0AGMAaAApACw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BAG0AbwByAHQAaQBzAGUAuwNEAFYAXABuACAAIAAgACAARABFAFMAQwBSAEkAUABUAEkATwBOADoAKgAvAC8AKgAqAFAAcgBvAHYAaQBkAGUAcwAgAGUAeAB0AGUAbgBkAGUAZAAgAGQAYQB0AGEAIAB2AGEAbABpAGQAYQB0AGkAbwBuACAAbwBmACAAYQByAGcAdQBtAGUAbgB0AHMAIABmAG8AcgAgAEEAbQBvAHIAdABpAHMAZQC7AygAKQAqAC8AXABuAEEAbQBvAHIAdABpAHMAZQC7A0QAVgAgAD0AIABMAEEATQBCAEQAQQAoAFwAbgAvAC8AIAAgAFAAYQByAGEAbQBlAHQAZQByACAARABlAGMAbABhAHIAYQB0AGkAbwBuAHMAXABuACAAIAAgACAAWwBQAHIAaQBuAGMAaQBwAGEAbABdACwAXABuACAAIAAgACAAWwBBAFAAUgBdACwAXABuACAAIAAgACAAWwBUAGUAcgBtAF0ALAAgAFwAbgAgACAAIAAgAFsAUwB0AGEAcgB0AEQAYQB0AGUAXQAsAFwAbgAgACAAIAAgAFsAVABpAG0AZQBsAGkAbgBl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UAByAGkAbgBjAGkAcABhAGwAKQApACwAXABuACAAIAAgACAAIAAgACAAIAAgACAAIAAgACAAIAAgACAAIAAgACAAIAAgACAAIAAgACAAIAAgACAATwBSACgAIABJAFMARQBSAFIATwBSACgAIABBAFAAUgApACkALABcAG4AIAAgACAAIAAgACAAIAAgACAAIAAgACAAIAAgACAAIAAgACAAIAAgACAAIAAgACAAIAAgACAAIABPAFIAKAAgAEkAUwBFAFIAUgBPAFIAKAAgAFQAZQByAG0AKQApACwAXABuACAAIAAgACAAIAAgACAAIAAgACAAIAAgACAAIAAgACAAIAAgACAAIAAgACAAIAAgACAAIAAgACAATwBSACgAIABJAFMARQBSAFIATwBSACgAIABTAHQAYQByAHQARABhAHQAZQApACkALABcAG4AIAAgACAAIAAgACAAIAAgACAAIAAgACAAIAAgACAAIAAgACAAIAAgACAAIAAgACAAIAAgACAAIABPAFIAKAAgAEkAUwBFAFIAUgBPAFIAKAAgAFQAaQBtAGUAbABpAG4AZ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D0AIAAwACwAIABUAFIAVQBFACkAKQApACwAXABuACAAIAAgACAAIAAgACAAIABEAFYAQQByAGcAMwAsACAAIAAgACAAIAAgACAAIAAgAEkARgAoACAATwBSACgAIABJAFMATwBNAEkAVABUAEUARAAoACAAVABlAHIAbQApACwAIABJAFMARQBSAFIATwBSACgAIABUAGUAcgBtACkAKQAsACAAXABuACAAIAAgACAAIAAgACAAIAAgACAAIAAgACAAIAAgACAAIAAgACAAIAAgACAAIAAgACAAIAAgACAARgBBAEwAUwBFACwAIABcAG4AIAAgACAAIAAgACAAIAAgACAAIAAgACAAIAAgACAAIAAgACAAIAAgACAAIAAgACAAIAAgACAAIABPAFIAKAAgAEkARgBFAFIAUgBPAFIAKAAgAFYAQQBMAFUARQAoAFQAZQByAG0AKQAgADwAIAAxACwAIABUAFIAVQBFACkAKQApACwAXABuACAAIAAgACAAIAAgACAAIABEAFYAQQByAGcANAAsACAAIAAgACAAIAAgACAAIAAgAEkARgAoACAATwBSACgAIABJAFMATwBNAEkAVABUAEUARAAoACAAUwB0AGEAcgB0AEQAYQB0AGUAKQAsACAASQBTAEUAUgBSAE8AUgAoACAAUwB0AGEAcgB0AEQAYQB0AGUAKQApACwAIABcAG4AIAAgACAAIAAgACAAIAAgACAAIAAgACAAIAAgACAAIAAgACAAIAAgACAAIAAgACAAIAAgACAAIABGAEEATABTAEUALAAgAFwAbgAgACAAIAAgACAAIAAgACAAIAAgACAAIAAgACAAIAAgACAAIAAgACAAIAAgACAAIAAgACAAIAAgAE8AUgAoACAASQBGAEUAUgBSAE8AUgAoACAAVgBBAEwAVQBFACgAUwB0AGEAcgB0AEQAYQB0AGUAKQAgADwAIABNAEkATgAoACAAVABpAG0AZQBsAGkAbgBlACkALAAgAFQAUgBVAEUAKQApACkALABcAG4AIAAgACAAIAAgACAAIAAgAEQAVgBBAHIAZwA1ACwAIAAgACAAIAAgACAAIAAgACAASQBGACgAIABPAFIAKAAgAEkAUwBPAE0ASQBUAFQARQBEACgAIABUAGkAbQBlAGwAaQBuAGU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FQAaQBtAGUAbABpAG4AZQApACAAPAAgADEALAAgAFQAUgBVAEUAKQApACkALABcAG4AIAAgACAAIAAgACAAIAAgAEQAVgBBAHIAZwA2ACwAIAAgACAAIAAgACAAIAAgACAASQBGACgAIABPAFIAKAAgAEkAUwBPAE0ASQBUAFQARQBEACgAIABUAGkAbQBlAGwAaQBuAGUAKQAsACAASQBTAEUAUgBSAE8AUgAoACAAVABpAG0AZQBsAGkAbgBlACkALAAgAEQAVgBBAHIAZwA1ACkALAAgAFwAbgAgACAAIAAgACAAIAAgACAAIAAgACAAIAAgACAAIAAgACAAIAAgACAAIAAgACAAIAAgACAAIAAgAEYAQQBMAFMARQAsACAAXABuACAAIAAgACAAIAAgACAAIAAgACAAIAAgACAAIAAgACAAIAAgACAAIAAgACAAIAAgACAAIAAgACAAQwBPAFUATgBUAEEAKABUAGkAbQBlAGwAaQBuAGUAKQAgADwAIAAyACkALA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zADAAIAApACwAXABuACAAIAAgACAAIAAgACAAIABEAFYARQByAHIAbwByAHMALAAgACAAIAAgACAAIAAgAFYAUwBUAEEAQwBLACgAIABEAFYAQQByAGcAMQAsACAARABWAEEAcgBnADIALAAgAEQAVgBBAHIAZwAzACwAIABEAFYAQQByAGcANAAsACAARABWAEEAcgBnADUALAAgAEQAVgBBAHIAZwA2ACwAIABEAFYAQQByAGcANw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ZwByAGUAYQB0AGUAcgAgAHQAaABhAG4AIAAwAFwAIgA7AFwAbgAgACAAIAAgACAAIAAgACAAIAAgACAAIAAgACAAIAAgACAAIAAgACAAIAAgACAAIABcACIAVABlAHIAbQAgAG0AdQBzAHQAIABiAGUAIAB0AGgAZQAgAG4AdQBtAGIAZQByACAAbwBmACAAdABpAG0AZQBsAGkAbgBlACAAcABlAHIAaQBvAGQAcwAgAHUAbgB0AGkAbAAgAHQAaABlACAAZABlAGIAdAAgAGkAcwAgAHMAYQB0AGkAcwBmAGkAZQBkAC4AXAAiADsAXABuACAAIAAgACAAIAAgACAAIAAgACAAIAAgACAAIAAgACAAIAAgACAAIAAgACAAIAAgAFwAIgBTAHQAYQByAHQARABhAHQAZQAgAG0AdQBzAHQAIABiAGUAIABhACAAdgBhAGwAaQBkACAAZABhAHQAZQAuAFwAIgA7AFwAbgAgACAAIAAgACAAIAAgACAAIAAgACAAIAAgACAAIAAgACAAIAAgACAAIAAgACAAIABcACIAVABpAG0AZQBsAGkAbgBlACAAbQB1AHMAdAAgAGEAIAByAG8AdwAgAG8AZgAgAHAAZQByAGkAbwBkACAAcwB0AGEAcgB0ACAAZABhAHQAZQBzACAAdwBpAHQAaAAgAGUAdgBlAHIAeQAgAHAAZQByAGkAbwBkACAAcwBwAGEAbgBuAGkAbgBnACAAYQAgAG0AbwBuAHQAaAAsACAAcQB1AGEAcgB0AGUAcgAgAG8AcgAgAHkAZQBhAHI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MAcABhAG4AbgBpAG4AZwAgAG4AbwAgAGwAZQBzAHMAIAB0AGgAYQBuACAAYQAgAG0AbwBuAHQAaA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QwBvAHIAawBzAGMAcgBlAHcAuwNEAFYAXABuACAAIAAgACAARABFAFMAQwBSAEkAUABUAEkATwBOADoAKgAvAC8AKgAqAFAAcgBvAHYAaQBkAGUAcwAgAGUAeAB0AGUAbgBkAGUAZAAgAGQAYQB0AGEAIAB2AGEAbABpAGQAYQB0AGkAbwBuACAAbwBmACAAYQByAGcAdQBtAGUAbgB0AHMAIABmAG8AcgAgAEMAbwByAGsAcwBjAHIAZQB3ALsDLgAqAC8AXABuAEMAbwByAGsAcwBjAHIAZQB3ALsDRABWAC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IAAgACAAIABbAEQAaQBhAGcAbgBvAHMAdABpAGMAcwBdACw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PAHAAZQBuAGkAbgBnACkAKQAsAFwAbgAgACAAIAAgACAAIAAgACAAIAAgACAAIAAgACAAIAAgACAAIAAgACAAIAAgACAAIAAgACAAIAAgAE8AUgAoACAASQBTAEUAUgBSAE8AUgAoACAARgBsAG8AdwAxACkAKQAsAFwAbgAgACAAIAAgACAAIAAgACAAIAAgACAAIAAgACAAIAAgACAAIAAgACAAIAAgACAAIAAgACAAIAAgAE8AUgAoACAASQBTAEUAUgBSAE8AUgAoACAARgBsAG8AdwAyACkAKQAsAFwAbgAgACAAIAAgACAAIAAgACAAIAAgACAAIAAgACAAIAAgACAAIAAgACAAIAAgACAAIAAgACAAIAAgAE8AUgAoACAASQBTAEUAUgBSAE8AUgAoACAARgBsAG8AdwAzACkAKQAsAFwAbgAgACAAIAAgACAAIAAgACAAIAAgACAAIAAgACAAIAAgACAAIAAgACAAIAAgACAAIAAgACAAIAAgAE8AUgAoACAASQBTAEUAUgBSAE8AUgAoACAARgBsAG8AdwA0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TwBwAGUAbgBpAG4AZwApACwAIABJAFMARQBSAFIATwBSACgAIABPAHAAZQBuAGkAbgBnACkAKQAsACAAXABuACAAIAAgACAAIAAgACAAIAAgACAAIAAgACAAIAAgACAAIAAgACAAIAAgACAAIAAgACAAIAAgACAARgBBAEwAUwBFACwAIABcAG4AIAAgACAAIAAgACAAIAAgACAAIAAgACAAIAAgACAAIAAgACAAIAAgACAAIAAgACAAIAAgACAAIABOAE8AVAAoACAASQBTAE4AVQBNAEIARQBSACgAIABPAHAAZQBuAGkAbgBnACAAKQApACkALABcAG4AIAAgACAAIAAgACAAIAAgAEQAVgBBAHIAZwAyACwAIAAgACAAIAAgACAAIAAgACAASQBGACgAIABPAFIAKAAgAEkAUwBPAE0ASQBUAFQARQBEACgAIABGAGwAbwB3ADEAKQAsACAASQBTAEUAUgBSAE8AUgAoACAARgBsAG8AdwAxACkAKQAsACAAXABuACAAIAAgACAAIAAgACAAIAAgACAAIAAgACAAIAAgACAAIAAgACAAIAAgACAAIAAgACAAIAAgACAARgBBAEwAUwBFACwAIABcAG4AIAAgACAAIAAgACAAIAAgACAAIAAgACAAIAAgACAAIAAgACAAIAAgACAAIAAgACAAIAAgACAAIABOAE8AVAAoACAAQQBOAEQAKABJAFMATgBVAE0AQgBFAFIAKAAgAEYAbABvAHcAMQAgACkAKQApACkALABcAG4AIAAgACAAIAAgACAAIAAgAEQAVgBBAHIAZwAzACwAIAAgACAAIAAgACAAIAAgACAASQBGACgAIABPAFIAKAAgAEkAUwBPAE0ASQBUAFQARQBEACgAIABGAGwAbwB3ADIAKQAsACAASQBTAEUAUgBSAE8AUgAoACAARgBsAG8AdwAyACkAKQAsACAAXABuACAAIAAgACAAIAAgACAAIAAgACAAIAAgACAAIAAgACAAIAAgACAAIAAgACAAIAAgACAAIAAgACAARgBBAEwAUwBFACwAIABcAG4AIAAgACAAIAAgACAAIAAgACAAIAAgACAAIAAgACAAIAAgACAAIAAgACAAIAAgACAAIAAgACAAIABOAE8AVAAoACAAQQBOAEQAKABJAFMATgBVAE0AQgBFAFIAKAAgAEYAbABvAHcAMgAgACkAKQApACkALABcAG4AIAAgACAAIAAgACAAIAAgAEQAVgBBAHIAZwA0ACwAIAAgACAAIAAgACAAIAAgACAASQBGACgAIABPAFIAKAAgAEkAUwBPAE0ASQBUAFQARQBEACgAIABGAGwAbwB3ADMAKQAsACAASQBTAEUAUgBSAE8AUgAoACAARgBsAG8AdwAzACkAKQAsACAAXABuACAAIAAgACAAIAAgACAAIAAgACAAIAAgACAAIAAgACAAIAAgACAAIAAgACAAIAAgACAAIAAgACAARgBBAEwAUwBFACwAIABcAG4AIAAgACAAIAAgACAAIAAgACAAIAAgACAAIAAgACAAIAAgACAAIAAgACAAIAAgACAAIAAgACAAIABOAE8AVAAoACAAQQBOAEQAKABJAFMATgBVAE0AQgBFAFIAKAAgAEYAbABvAHcAMwAgACkAKQApACkALABcAG4AIAAgACAAIAAgACAAIAAgAEQAVgBBAHIAZwA1ACwAIAAgACAAIAAgACAAIAAgACAASQBGACgAIABPAFIAKAAgAEkAUwBPAE0ASQBUAFQARQBEACgAIABGAGwAbwB3ADQAKQAsACAASQBTAEUAUgBSAE8AUgAoACAARgBsAG8AdwA0ACkAKQAsACAAXABuACAAIAAgACAAIAAgACAAIAAgACAAIAAgACAAIAAgACAAIAAgACAAIAAgACAAIAAgACAAIAAgACAARgBBAEwAUwBFACwAIABcAG4AIAAgACAAIAAgACAAIAAgACAAIAAgACAAIAAgACAAIAAgACAAIAAgACAAIAAgACAAIAAgACAAIABOAE8AVAAoACAAQQBOAEQAKABJAFMATgBVAE0AQgBFAFIAKAAgAEYAbABvAHcANAAgACkAKQApACkALABcAG4AIAAgACAAIAAgACAAIAAgAEQAVgBFAHIAcgBvAHIAcwAsACAAIAAgACAAIAAgACAAVgBTAFQAQQBDAEsAKAAgAEQAVgBBAHIAZwAxACwAIABEAFYAQQByAGcAMgAsACAARABWAEEAcgBnADMALAAgAEQAVgBBAHIAZwA0ACwAIABEAFYAQQByAGcANQ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ABpAGEAZwBuAG8AcwB0AGkAYwBzACAAKgAgAEUAcgByAG8AcgBzAEkAbgBBAHIAZwBzACwAIABEAGkAYQBnAG4AbwBzAHQAaQBjAHMAIAAqACAARABWAEUAcgByAG8AcgBzACkALAAgAFwAbgAgACAAIAAgACAAIAAgACAARQByAHIATQBzAGcAcwAsACAAIAAgACAAIAAgACAAIAB7AFwAIgBPAHAAZQBuAGkAbgBnACAAYwBvAG4AdABhAGkAbgBzACAAZQByAHIAbwByAHMAIABpAG4AIABjAGUAbABsAHMALgAgAFIAZQBzAG8AbAB2AGUAIABlAHIAcgBvAHIAcwAgAGYAaQByAHMAdAAuAFwAIgA7AFwAbgAgACAAIAAgACAAIAAgACAAIAAgACAAIAAgACAAIAAgACAAIAAgACAAIAAgACAAIAAgAFwAIgBGAGwAbwB3ADEAIABjAG8AbgB0AGEAaQBuAHMAIABlAHIAcgBvAHIAcwAgAGkAbgAgAGMAZQBsAGwAcwAuACAAUgBlAHMAbwBsAHYAZQAgAGUAcgByAG8AcgBzACAAZgBpAHIAcwB0AC4AXAAiADsAXABuACAAIAAgACAAIAAgACAAIAAgACAAIAAgACAAIAAgACAAIAAgACAAIAAgACAAIAAgACAAXAAiAEYAbABvAHcAMgAgAGMAbwBuAHQAYQBpAG4AcwAgAGUAcgByAG8AcgBzACAAaQBuACAAYwBlAGwAbABzAC4AIABSAGUAcwBvAGwAdgBlACAAZQByAHIAbwByAHMAIABmAGkAcgBzAHQALgBcACIAOwBcAG4AIAAgACAAIAAgACAAIAAgACAAIAAgACAAIAAgACAAIAAgACAAIAAgACAAIAAgACAAIABcACIARgBsAG8AdwAzACAAYwBvAG4AdABhAGkAbgBzACAAZQByAHIAbwByAHMAIABpAG4AIABjAGUAbABsAHMALgAgAFIAZQBzAG8AbAB2AGUAIABlAHIAcgBvAHIAcwAgAGYAaQByAHMAdAAuAFwAIgA7AFwAbgAgACAAIAAgACAAIAAgACAAIAAgACAAIAAgACAAIAAgACAAIAAgACAAIAAgACAAIAAgAFwAIgBGAGwAbwB3ADQAIABjAG8AbgB0AGEAaQBuAHMAIABlAHIAcgBvAHIAcwAgAGkAbgAgAGMAZQBsAGwAcwAuACAAUgBlAHMAbwBsAHYAZQAgAGUAcgByAG8AcgBzACAAZgBpAHIAcwB0AC4AXAAiADsAXABuACAAIAAgACAAIAAgACAAIAAgACAAIAAgACAAIAAgACAAIAAgACAAIAAgACAAIAAgACAAXABuACAAIAAgACAAIAAgACAAIAAgACAAIAAgACAAIAAgACAAIAAgACAAIAAgACAAIAAgACAAXAAiAFMAZQB0ACAATwBwAGUAbgBpAG4AZwAgAG0AdQBzAHQAIAB0AG8AIABjAG8AbgB0AGEAaQBuACAAbwBuAGwAeQAgAG4AdQBtAGUAcgBpAGMAIAB2AGEAbAB1AGUAcwAuAFwAIgA7AFwAbgAgACAAIAAgACAAIAAgACAAIAAgACAAIAAgACAAIAAgACAAIAAgACAAIAAgACAAIAAgAFwAIgBTAGUAdAAgAEYAbABvAHcAMQAgAHQAbwAgAGMAbwBuAHQAYQBpAG4AIABvAG4AbAB5ACAAbgB1AG0AZQByAGkAYwAgAHYAYQBsAHUAZQBzAC4AXAAiADsAXABuACAAIAAgACAAIAAgACAAIAAgACAAIAAgACAAIAAgACAAIAAgACAAIAAgACAAIAAgACAAXAAiAFMAZQB0ACAARgBsAG8AdwAyACAAdABvACAAYwBvAG4AdABhAGkAbgAgAG8AbgBsAHkAIABuAHUAbQBlAHIAaQBjACAAdgBhAGwAdQBlAHMALgBcACIAOwBcAG4AIAAgACAAIAAgACAAIAAgACAAIAAgACAAIAAgACAAIAAgACAAIAAgACAAIAAgACAAIABcACIAUwBlAHQAIABGAGwAbwB3ADMAIAB0AG8AIABjAG8AbgB0AGEAaQBuACAAbwBuAGwAeQAgAG4AdQBtAGUAcgBpAGMAIAB2AGEAbAB1AGUAcwAuAFwAIgA7AFwAbgAgACAAIAAgACAAIAAgACAAIAAgACAAIAAgACAAIAAgACAAIAAgACAAIAAgACAAIAAgAFwAIgBTAGUAdAAgAEYAbABvAHcANAAgAHQAbwAgAGMAbwBuAHQAYQBpAG4AIABvAG4AbAB5ACAAbgB1AG0AZQByAGkAYwAgAHYAYQBsAHUAZQBz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RABlAHAAcgBlAGMAaQBhAHQAZQC7A0QAVgBcAG4AIAAgACAAIABEAEUAUwBDAFIASQBQAFQASQBPAE4AOgAqAC8ALwAqACoAUAByAG8AdgBpAGQAZQBzACAAZQB4AHQAZQBuAGQAZQBkACAAZABhAHQAYQAgAHYAYQBsAGkAZABhAHQAaQBvAG4AIABvAGYAIABhAHIAZwB1AG0AZQBuAHQAcwAgAGYAbwByACAARABlAHAAcgBlAGMAaQBhAHQAZQC7AyoALwBcAG4ARABlAHAAcgBlAGMAaQBhAHQAZQC7A0QAVgA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AgAFwAbgAgACAAIAAgAFsARgBhAGMAdABvAHIAcw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kAbgBpAHQAaQBhAGwAVgBhAGwAdQBlAHMAKQApACwAXABuACAAIAAgACAAIAAgACAAIAAgACAAIAAgACAAIAAgACAAIAAgACAAIAAgACAAIAAgACAAIAAgACAATwBSACgAIABJAFMARQBSAFIATwBSACgAIABJAG4AUwBlAHIAdgBpAGMAZQBEAGEAdABlAHMAKQApACwAXABuACAAIAAgACAAIAAgACAAIAAgACAAIAAgACAAIAAgACAAIAAgACAAIAAgACAAIAAgACAAIAAgACAATwBSACgAIABJAFMARQBSAFIATwBSACgAIABMAGkAZgBlAEkAbgBZAGUAYQByAHMAKQApACwAXABuACAAIAAgACAAIAAgACAAIAAgACAAIAAgACAAIAAgACAAIAAgACAAIAAgACAAIAAgACAAIAAgACAATwBSACgAIABJAFMARQBSAFIATwBSACgAIABUAGkAbQBlAGwAaQBuAGUAKQApACwAXABuACAAIAAgACAAIAAgACAAIAAgACAAIAAgACAAIAAgACAAIAAgACAAIAAgACAAIAAgACAAIAAgACAATwBSACgAIABJAFMARQBSAFIATwBSACgAIABTAGEAbAB2AGEAZwBlAFYAYQBsAHUAZQBzACkAKQAsAFwAbgAgACAAIAAgACAAIAAgACAAIAAgACAAIAAgACAAIAAgACAAIAAgACAAIAAgACAAIAAgACAAIAAgAE8AUgAoACAASQBTAEUAUgBSAE8AUgAoACAARABpAHMAcABvAHMAYQBsAEQAYQB0AGUAcwApACkALABcAG4AIAAgACAAIAAgACAAIAAgACAAIAAgACAAIAAgACAAIAAgACAAIAAgACAAIAAgACAAIAAgACAAIABPAFIAKAAgAEkAUwBFAFIAUgBPAFIAKAAgAEQAaQBzAHAAbwBzAGEAbABDAG8AcwB0AHMAKQApACwAXABuACAAIAAgACAAIAAgACAAIAAgACAAIAAgACAAIAAgACAAIAAgACAAIAAgACAAIAAgACAAIAAgACAATwBSACgAIABJAFMARQBSAFIATwBSACgAIABNAGUAdABoAG8AZABzACkAKQAsAFwAbgAgACAAIAAgACAAIAAgACAAIAAgACAAIAAgACAAIAAgACAAIAAgACAAIAAgACAAIAAgACAAIAAgAE8AUgAoACAASQBTAEUAUgBSAE8AUgAoACAARgBhAGMAdABvAHIAcw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UAUgBSAE8AUgAoAEkAbgBpAHQAaQBhAGwAVgBhAGwAdQBlAHMAKQApACwAIABcAG4AIAAgACAAIAAgACAAIAAgACAAIAAgACAAIAAgACAAIAAgACAAIAAgACAAIAAgACAAIAAgACAAIABGAEEATABTAEUALAAgAFwAbgAgACAAIAAgACAAIAAgACAAIAAgACAAIAAgACAAIAAgACAAIAAgACAAIAAgACAAIAAgACAAIAAgAE8AUgAoACAASQBGAEUAUgBSAE8AUgAoACAAVgBBAEwAVQBFACgASQBuAGkAdABpAGEAbABWAGEAbAB1AGUAcwApACAAPAAgADEALAAgAFQAUgBVAEUAKQApACkALABcAG4AIAAgACAAIAAgACAAIAAgAEQAVgBBAHIAZwAyACwAIAAgACAAIAAgACAAIAAgACAASQBGACgAIABPAFIAKAAgAEkAUwBFAFIAUgBPAFIAKAAgAEkAbgBTAGUAcgB2AGkAYwBlAEQAYQB0AGUAcw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SQBuAFMAZQByAHYAaQBjAGUARABhAHQAZQBzACkAIAA8ACAATQBJAE4AKAAgAFQAaQBtAGUAbABpAG4AZQApACwAIABUAFIAVQBFACkAKQApACwAXABuACAAIAAgACAAIAAgACAAIABEAFYAQQByAGcAMwAsACAAIAAgACAAIAAgACAAIAAgAEkARgAoACAATwBSACgAIABJAFMARQBSAFIATwBSACgAIABMAGkAZgBlAEkAbgBZAGUAYQByAHMAKQApACwAIABcAG4AIAAgACAAIAAgACAAIAAgACAAIAAgACAAIAAgACAAIAAgACAAIAAgACAAIAAgACAAIAAgACAAIABGAEEATABTAEUALAAgAFwAbgAgACAAIAAgACAAIAAgACAAIAAgACAAIAAgACAAIAAgACAAIAAgACAAIAAgACAAIAAgACAAIAAgAE8AUgAoACAASQBGAEUAUgBSAE8AUgAoACAAVgBBAEwAVQBFACgATABpAGYAZQBJAG4AWQBlAGEAcgBzACkAIAA8ACAAMQAsACAAVABSAFUARQApACkAKQAsAFwAbgAgACAAIAAgACAAIAAgACAARABWAEEAcgBnADQALAAgACAAIAAgACAAIAAgACAAIABJAEYAKAAgAE8AUgAoACAASQBTAEUAUgBSAE8AUgAoACAAVABpAG0AZQBsAGkAbgBlACkAKQAsACAAXABuACAAIAAgACAAIAAgACAAIAAgACAAIAAgACAAIAAgACAAIAAgACAAIAAgACAAIAAgACAAIAAgACAARgBBAEwAUwBFACwAIABcAG4AIAAgACAAIAAgACAAIAAgACAAIAAgACAAIAAgACAAIAAgACAAIAAgACAAIAAgACAAIAAgACAAIABDAE8AVQBOAFQAQQAoACAAVABpAG0AZQBsAGkAbgBlACkAIAA8ACAAMgApACwAXABuACAAIAAgACAAIAAgACAAIABEAFYAQQByAGcANABiACwAIAAgACAAIAAgACAAIAAgAEkARgAoACAATwBSACgAIABPAFIAKABFAHIAcgBvAHIAcwBJAG4AQQByAGcAcwApACwAIABEAFYAQQByAGcANA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yADgAIAApACwAXABuACAAIAAgACAAIAAgACAAIABEAFYAQQByAGcANQAsACAAIAAgACAAIAAgACAAIAAgAEkARgAoACAATwBSACgAIABJAFMATwBNAEkAVABUAEUARAAoACAAUwBhAGwAdgBhAGcAZQBWAGEAbAB1AGUAcwApACwAIABPAFIAKABJAFMARQBSAFIATwBSACgAUwBhAGwAdgBhAGcAZQBWAGEAbAB1AGUAcwApACkAKQAsACAAXABuACAAIAAgACAAIAAgACAAIAAgACAAIAAgACAAIAAgACAAIAAgACAAIAAgACAAIAAgACAAIAAgACAARgBBAEwAUwBFACwAIABcAG4AIAAgACAAIAAgACAAIAAgACAAIAAgACAAIAAgACAAIAAgACAAIAAgACAAIAAgACAAIAAgACAAIABPAFIAKAAgAEkARgBFAFIAUgBPAFIAKAAgAFYAQQBMAFUARQAoAFMAYQBsAHYAYQBnAGUAVgBhAGwAdQBlAHMAKQAgADwAIAAwACwAIABUAFIAVQBFACkAKQApACwAXABuACAAIAAgACAAIAAgACAAIABEAFYAQQByAGcANgAsACAAIAAgACAAIAAgACAAIAAgAEkARgAoACAATwBSACgAIABJAFMATwBNAEkAVABUAEUARAAoACAARABpAHMAcABvAHMAYQBsAEQAYQB0AGUAcwApACwAIABPAFIAKABFAHIAcgBvAHIAcwBJAG4AQQByAGcAcwApACkALABcAG4AIAAgACAAIAAgACAAIAAgACAAIAAgACAAIAAgACAAIAAgACAAIAAgACAAIAAgACAAIAAgACAAIABGAEEATABTAEUALAAgAFwAbgAgACAAIAAgACAAIAAgACAAIAAgACAAIAAgACAAIAAgACAAIAAgACAAIAAgACAAIAAgACAAIAAgAE8AUgAoACAARABpAHMAcABvAHMAYQBsAEQAYQB0AGUAcwAgADwAIABJAG4AUwBlAHIAdgBpAGMAZQBEAGEAdABlAHMAKQApACwAXABuACAAIAAgACAAIAAgACAAIAAgACAAIAAgACAAIAAgACAAIAAgACAAIAAgACAAIAAgACAAIAAgACAALwAvAE8AUgAoACAASQBGAEUAUgBSAE8AUgAoACAAVgBBAEwAVQBFACgARABpAHMAcABvAHMAYQBsAEQAYQB0AGUAcwApACAAPAAgAEkAbgBTAGUAcgB2AGkAYwBlAEQAYQB0AGUAcwAsACAAVABSAFUARQApACkAKQAsAFwAbgAgACAAIAAgACAAIAAgACAARABWAEEAcgBnADcALAAgACAAIAAgACAAIAAgACAAIABJAEYAKAAgAE8AUgAoACAASQBTAE8ATQBJAFQAVABFAEQAKAAgAEQAaQBzAHAAbwBzAGEAbABDAG8AcwB0AHMAKQAsACAATwBSACgASQBTAEUAUgBSAE8AUgAoAEQAaQBzAHAAbwBzAGEAbABDAG8AcwB0AHMAKQApACkALAAgAFwAbgAgACAAIAAgACAAIAAgACAAIAAgACAAIAAgACAAIAAgACAAIAAgACAAIAAgACAAIAAgACAAIAAgAEYAQQBMAFMARQAsACAAXABuACAAIAAgACAAIAAgACAAIAAgACAAIAAgACAAIAAgACAAIAAgACAAIAAgACAAIAAgACAAIAAgACAATwBSACgAIABJAEYARQBSAFIATwBSACgAIABWAEEATABVAEUAKABEAGkAcwBwAG8AcwBhAGwAQwBvAHMAdABzACkAIAA8ACAAMAAsACAAVABSAFUARQApACkAKQAsAFwAbgAgACAAIAAgACAAIAAgACAARABWAEEAcgBnADgALAAgACAAIAAgACAAIAAgACAAIABJAEYAKAAgAE8AUgAoACAASQBTAE8ATQBJAFQAVABFAEQAKAAgAE0AZQB0AGgAbwBkAHMAKQAsACAAIABJAFMARQBSAFIATwBSACgAIABNAGUAdABoAG8AZABzACkAKQAsACAAXABuACAAIAAgACAAIAAgACAAIAAgACAAIAAgACAAIAAgACAAIAAgACAAIAAgACAAIAAgACAAIAAgACAARgBBAEwAUwBFACwAIABcAG4AIAAgACAAIAAgACAAIAAgACAAIAAgACAAIAAgACAAIAAgACAAIAAgACAAIAAgACAAIAAgACAAIABPAFIAKABJAFMARQBSAFIATwBSACgAIABTAEUAQQBSAEMASAAoACAATQBlAHQAaABvAGQAcwAsACAAXAAiAFMATABOACwAUwBZAEQALABEAEIALABEAEQAQgAsAFYARABCACwARABWACwAUABDAFwAIgApACkAKQApACwAXABuACAAIAAgACAAIAAgACAAIABEAFYAQQByAGcAOQAsACAAIAAgACAAIAAgACAAIAAgAEkARgAoACAATwBSACgAIABJAFMATwBNAEkAVABUAEUARAAoACAARgBhAGMAdABvAHIAcwApACwAIAAgAEkAUwBFAFIAUgBPAFIAKAAgAEYAYQBjAHQAbwByAHMAKQApACwAIABcAG4AIAAgACAAIAAgACAAIAAgACAAIAAgACAAIAAgACAAIAAgACAAIAAgACAAIAAgACAAIAAgACAAIABGAEEATABTAEUALAAgAFwAbgAgACAAIAAgACAAIAAgACAAIAAgACAAIAAgACAAIAAgACAAIAAgACAAIAAgACAAIAAgACAAIAAgAE8AUgAoAEkARgBFAFIAUgBPAFIAKAAgAFYAQQBMAFUARQAoACAARgBhAGMAdABvAHIAcwApACAAPAAgADAALAAgAFQAUgBVAEUAIAApACkAKQAsAFwAbgAgACAAIAAgACAAIAAgACAARABWAEUAcgByAG8AcgBzACwAIAAgACAAIAAgACAAIABWAFMAVABBAEMASwAoACAARABWAEEAcgBnADEALAAgAEQAVgBBAHIAZwAyACwAIABEAFYAQQByAGcAMwAsACAARABWAEEAcgBnADQALAAgAEQAVgBBAHIAZwA0AGIALAAgAEQAVgBBAHIAZwA1ACwAIABEAFYAQQByAGcANgAsACAARABWAEEAcgBnADcALAAgAEQAVgBBAHIAZwA4ACwAIABEAFYAQQByAGcAOQAg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AgAFwAIgBJAG4AaQB0AGkAYQBsAFYAYQBsAHUAZQBzACAAYwBvAG4AdABhAGkAbgBzACAAZQByAHIAbwByAHMAIABpAG4AIABjAGUAbABsAHMALgAgAFIAZQBzAG8AbAB2AGUAIABlAHIAcgBvAHIAcwAgAGYAaQByAHMAdAAuAFwAIgA7AFwAbgAgACAAIAAgACAAIAAgACAAIAAgACAAIAAgACAAIAAgACAAIAAgACAAIAAgACAAIAAgAFwAIgBJAG4AUwBlAHIAdgBpAGMAZQBEAGEAdABlAHMAIABjAG8AbgB0AGEAaQBuAHMAIABlAHIAcgBvAHIAcwAgAGkAbgAgAGMAZQBsAGwAcwAuACAAUgBlAHMAbwBsAHYAZQAgAGUAcgByAG8AcgBzACAAZgBpAHIAcwB0AC4AXAAiADsAXABuACAAIAAgACAAIAAgACAAIAAgACAAIAAgACAAIAAgACAAIAAgACAAIAAgACAAIAAgACAAXAAiAEwAaQBmAGUASQBuAFkAZQBhAHIAcwAgAGMAbwBuAHQAYQBpAG4AcwAgAGUAcgByAG8AcgBzACAAaQBuACAAYwBlAGwAbABzAC4AIABSAGUAcwBvAGwAdgBlACAAZQByAHIAbwByAHMAIABmAGkAcgBzAHQALgBcACIAOwBcAG4AIA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IAAgACAAIAAgAFwAIgBTAGEAbAB2AGEAZwBlAFYAYQBsAHUAZQBzACAAYwBvAG4AdABhAGkAbgBzACAAZQByAHIAbwByAHMAIABpAG4AIABjAGUAbABsAHMALgAgAFIAZQBzAG8AbAB2AGUAIABlAHIAcgBvAHIAcwAgAGYAaQByAHMAdAAuAFwAIgA7AFwAbgAgACAAIAAgACAAIAAgACAAIAAgACAAIAAgACAAIAAgACAAIAAgACAAIAAgACAAIAAgAFwAIgBEAGkAcwBwAG8AcwBhAGwARABhAHQAZQBzACAAYwBvAG4AdABhAGkAbgBzACAAZQByAHIAbwByAHMAIABpAG4AIABjAGUAbABsAHMALgAgAFIAZQBzAG8AbAB2AGUAIABlAHIAcgBvAHIAcwAgAGYAaQByAHMAdAAuAFwAIgA7AFwAbgAgACAAIAAgACAAIAAgACAAIAAgACAAIAAgACAAIAAgACAAIAAgACAAIAAgACAAIAAgAFwAIgBEAGkAcwBwAG8AcwBhAGwAQwBvAHMAdABzACAAYwBvAG4AdABhAGkAbgBzACAAZQByAHIAbwByAHMAIABpAG4AIABjAGUAbABsAHMALgAgAFIAZQBzAG8AbAB2AGUAIABlAHIAcgBvAHIAcwAgAGYAaQByAHMAdAAuAFwAIgA7AFwAbgAgACAAIAAgACAAIAAgACAAIAAgACAAIAAgACAAIAAgACAAIAAgACAAIAAgACAAIAAgAFwAIgBNAGUAdABoAG8AZABzACAAYwBvAG4AdABhAGkAbgBzACAAZQByAHIAbwByAHMAIABpAG4AIABjAGUAbABsAHMALgAgAFIAZQBzAG8AbAB2AGUAIABlAHIAcgBvAHIAcwAgAGYAaQByAHMAdAAuAFwAIgA7AFwAbgAgACAAIAAgACAAIAAgACAAIAAgACAAIAAgACAAIAAgACAAIAAgACAAIAAgACAAIAAgAFwAIgBGAGEAYwB0AG8AcgBz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CAAXAAiAEkAbgBpAHQAaQBhAGwAVgBhAGwAdQBlAHMAIABtAHUAcwB0ACAAYgBlACAAYQBuACAAYQBtAG8AdQBuAHQAIABnAHIAZQBhAHQAZQByACAAdABoAGEAbgAgADAAXAAiADsAXABuACAAIAAgACAAIAAgACAAIAAgACAAIAAgACAAIAAgACAAIAAgACAAIAAgACAAIAAgACAAXAAiAEkAbgBTAGUAcgB2AGkAYwBlAEQAYQB0AGUAcwAgAG0AdQBzAHQAIABiAGUAIAB2AGEAbABpAGQAIABkAGEAdABlAHMAXAAiADsAXABuACAAIAAgACAAIAAgACAAIAAgACAAIAAgACAAIAAgACAAIAAgACAAIAAgACAAIAAgACAAXAAiAEwAaQBmAGUASQBuAFkAZQBhAHIAcwAgAG0AdQBzAHQAIABiAGUAIABhACAAbgB1AG0AYgBlAHIAIABnAHIAZQBhAHQAZQByACAAdABoAGEAbgAgADAAXAAiADsAXABuACAAIAAgACAAIAAgACAAIAAgACAAIAAgACAAIAAgACAAIAAgACAAIAAgACAAIAAgACAAXAAiAFQAaQBtAGUAbABpAG4AZQAgAG0AdQBzAHQAIABiAGUAIABhACAAcgBvAHcAIABvAGYAIABwAGUAcgBpAG8AZAAgAHMAdABhAHIAdAAgAGQAYQB0AGUAcwAgAHcAaQB0AGgAIABlAHYAZQByAHkAIABwAGUAcgBpAG8AZAAgAHMAcABhAG4AbgBpAG4AZwAgAG8AbgBlACAAbQBvAG4AdABoACwAIABxAHUAYQByAHQAZQByACAAbwByACAAeQBlAGEAcgAuAFwAIgA7AFwAbgAgACAAIAAgACAAIAAgACAAIAAgACAAIAAgACAAIAAgACAAIAAgACAAIAAgACAAIAAgAFwAIgBFAGEAYwBoACAAcABlAHIAaQBvAGQAIABpAG4AIAB0AGgAZQAgAHQAaQBtAGUAbABpAG4AZQAgAG0AdQBzAHQAIABzAHAAYQBuACAAbwBuAGUAIABtAG8AbgB0AGgALAAgAHEAdQBhAHIAdABlAHIAIABvAHIAIAB5AGUAYQByAC4AXAAiADsAXABuACAAIAAgACAAIAAgACAAIAAgACAAIAAgACAAIAAgACAAIAAgACAAIAAgACAAIAAgACAAXAAiAFMAYQBsAHYAYQBnAGUAVgBhAGwAdQBlAHMAIABtAHUAcwB0ACAAYgBlACAAYQBuACAAYQBtAG8AdQBuAHQAIABuAG8AdAAgAGwAZQBzAHMAIAB0AGgAYQBuACAAMAAgAG8AcgAgAG8AbQBpAHQAdABlAGQAXAAiADsAXABuACAAIAAgACAAIAAgACAAIAAgACAAIAAgACAAIAAgACAAIAAgACAAIAAgACAAIAAgACAAXAAiAEQAaQBzAHAAbwBzAGEAbABEAGEAdABlAHMAIABtAHUAcwB0ACAAYgBlACAAYQAgAGQAYQB0AGUAIABnAHIAZQBhAHQAZQByACAAdABoAGEAbgAgAEkAbgBTAGUAcgB2AGkAYwBlAEQAYQB0AGUAcwAgAG8AcgAgAG8AbQBpAHQAdABlAGQAXAAiADsAXABuACAAIAAgACAAIAAgACAAIAAgACAAIAAgACAAIAAgACAAIAAgACAAIAAgACAAIAAgACAAXAAiAEQAaQBzAHAAbwBzAGEAbABDAG8AcwB0AHMAIABtAHUAcwB0ACAAYgBlACAAYQBuACAAYQBtAG8AdQBuAHQAIABuAG8AdAAgAGwAZQBzAHMAIAB0AGgAYQBuACAAMAAgAG8AcgAgAG8AbQBpAHQAdABlAGQAXAAiADsAXABuACAAIAAgACAAIAAgACAAIAAgACAAIAAgACAAIAAgACAAIAAgACAAIAAgACAAIAAgACAAXAAiAE0AZQB0AGgAbwBkAHMAIABtAHUAcwB0ACAAYgBlACAAbwBtAGkAdAB0AGUAZAAgAG8AcgAgAG8AbgBlACAAbwBmADoAIABTAEwATgAsACAAUwBZAEQALAAgAEQAQgAsACAARABEAEIALAAgAFYARABCACwAIABEAFYALAAgAG8AcgAgAFAAQwAuAFwAIgA7AFwAbgAgACAAIAAgACAAIAAgACAAIAAgACAAIAAgACAAIAAgACAAIAAgACAAIAAgACAAIAAgAFwAIgBGAGEAYwB0AG8AcgBzACAAbQB1AHMAdAAgAGIAZQAgAGEAIAB2AGEAbAB1AGUAIABnAHIAZQBhAHQAZQByACAAdABoAGEAbgAgADA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8AIAAgAFMAdQBiAFIAbwB1AHQAaQBuAGUAcwBcAG4AXABuAFwAbgAvACoAIAAgAEYAVQBOAEMAVABJAE8ATgAgAE4AQQBNAEUAOgAgACAAVABpAG0AZQBsAGkAbgBlAE8AZgBmAHMAZQB0ALsDXABuACAAIAAgACAARABFAFMAQwBSAEkAUABUAEkATwBOADoAKgAvAC8AKgAqAEQAZQB0AGUAcgBtAGkAbgBlAHMAIABoAG8AdwAgAG0AYQBuAHkAIABwAGUAcgBpAG8AZABzACAAbwBuAGUAIABhAHIAcgBhAHkAIABpAHMAIABvAGYAZgBzAGUAdAAgAGYAcgBvAG0AIAB0AGgAZQAgAHQAaQBtAGUAbABpAG4AZQAqAC8AXABuAC8AKgAgACAARABJAFMAQwBVAFMAUwBJAE8ATgA6ACAAIAAgACAAIABUAGgAZQAgAHAAbwBzAHMAaQBiAGkAbABpAHQAeQAgAGUAeABpAHMAdABzACAAcgBlAHEAdQBpAHIAaQBuAGcAIABjAGEAbABjAHUAbABhAHQAaQBvAG4AcwAgAGIAZQBmAG8AcgBlACAAYQAgAG0AbwBkAGUAbAAnAHMAIAB0AGkAbQBlAGwAaQBuAGUALgAgAEEAbgAgAGUAeABhAG0AcABsAGUAIABpAHMAXABuACAAIAAgACAAIAAgACAAIAAgACAAIAAgACAAIAAgACAAIAAgACAAIABkAGUAcAByAGUAYwBpAGEAdABpAG8AbgAgAG8AZgAgAGEAcwBzAGUAdABzACAAaQBuACAAYQBuACAAZQB4AGkAcwB0AGkAbgBnACAAYwBvAG0AcABhAG4AeQAgAHcAYQBuAHQAaQBuAGcAIAB0AG8AIABmAG8AcgBlAGMAYQBzAHQAIABzAG8AbQBlACAAYQBjAHQAaQB2AGkAdAB5AC4AIABcAG4AIAAgACAAIAAgACAAIAAgACAAIAAgACAAIAAgACAAIAAgACAAIAAgAEkAbgAgAHMAdQBjAGgAIABjAGEAcwBlAHMALAAgAGkAdAAgAGMAYQBuACAAYgBlACAAYQBkAHYAYQBuAHQAYQBnAGUAbwB1AHMAIAB0AG8AIABwAGUAcgBmAG8AcgBtACAAdABoAGUAIABjAGEAbABjAHUAbABhAHQAaQBvAG4AcwAgAHcAaQB0AGgAaQBuACAAdABoAGUAaQByACAAbwB3AG4AIAB0AGkAbQBlAGwAaQBuAGUAXABuACAAIAAgACAAIAAgACAAIAAgACAAIAAgACAAIAAgACAAIAAgACAAIABhAG4AZAAgAHQAaABlAG4AIABwAGwAYQBjAGUAIAB0AGgAZQAgAHIAZQBzAHUAbAB0AHMAIABwAHIAbwBwAGUAcgBsAHkAIAB3AGkAdABoAGkAbgAgAHQAaABlACAAbQBvAGQAZQBsACcAcwAgAHQAaQBtAGUAbABpAG4AZQAuACAAXABuACAAIAAgACAAIAAgACAAIAAgACAAIAAgACAAIAAgACAAIAAgACAAIABUAGgAaQBzACAAcgBvAHUAdABpAG4AZQAgAGQAZQB0AGUAcgBtAGkAbgBlACAAdwBoAGUAcgBlACAAcwB1AGMAaAAgAGMAYQBsAGMAdQBsAGEAdABpAG8AbgAgAHIAZQBzAHUAbAB0AHMAIABmAGkAdAAgAHcAaQB0AGgAaQBuACAAdABoAGUAIABtAG8AZABlAGwAJwBzACAAdABpAG0AZQBsAGkAbgBlACAAYQBuAGQAIABcAG4AIAAgACAAIAAgACAAIAAgACAAIAAgACAAIAAgACAAIAAgACAAIAAgAGMAcgBvAHAAcwAgAHQAaABvAHMAZQAgAHIAZQBzAHUAbAB0AHMAIAB0AGgAYQB0ACAAZABvACAAbgBvAHQAIABiAGUAbABvAG4AZwAuACAAKgAvAFwAbgBUAGkAbQBlAGwAaQBuAGUATwBmAGYAcwBlAHQAuwMgAD0AIABMAEEATQBCAEQAQQAoAFwAbgAvAC8AIAAgAFAAYQByAGEAbQBlAHQAZQByACAARABlAGMAbABhAHIAYQB0AGkAbwBuAHMAXABuACAAIAAgACAAWwBEAGEAdABlAF0ALAAgACAAIAAgAFwAbgAgACAAIAAgAFsAVABpAG0AZQBsAGkAbgBlAF0AL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TwBmAGYAcwBlAHQAuwMoAEQAYQB0AGUALAAgAFQAaQBtAGUAbABpAG4AZQApALYAXAAiACAAJgBcAG4AIAAgACAAIAAgACAAIAAgACAAIAAgACAAIAAgACAAIAAgACAAIAAgACAAIAAgACAAIAAgACAAIABcACIARABFAFMAQwBSAEkAUABUAEkATwBOADoAIAAgACAAkiFEAGUAdABlAHIAbQBpAG4AZQBzACAAaQBuACAAdwBoAGkAYwBoACAAcABlAHIAaQBvAGQALAAgAHIAZQBsAGEAdABpAHYAZQAgAHQAbwAgAHQAaABlACAAdABpAG0AZQBsAGkAbgBlACcAcwAgAHMAdABhAHIAdAAgAGEAbgBkACAAaQBuAHQAZQByAHYAYQBsACwAtgBcACIAIAAmAFwAbgAgACAAIAAgACAAIAAgACAAIAAgACAAIAAgACAAIAAgACAAIAAgACAAIAAgACAAIAAgACAAIAAgACAAIAAgACAAIAAgACAAIAAgACAAIAAgACAAIAAgAFwAIgCSIWEAIABkAGEAdABlACAAZgBhAGwAbABzACAAdwBpAHQAaABpAG4ALgC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RABhAHQAZQAgACAAIAAgACAAIAAgACAAIAAgACAAkiEoAFIAZQBxAHUAaQByAGUAZAApACAAQQAgAHMAdABhAHIAdABpAG4AZwAgAGQAYQB0AGUAtgBcACIAIAAmACAAXABuACAAIAAgACAAIAAgACAAIAAgACAAIAAgACAAIAAgACAAIAAgACAAIAAgACAAIAAgACAAIAAgACAAXAAiAFQAaQBtAGUAbABpAG4AZQAgACAAIAAgACAAIAAgAJIhKABSAGUAcQB1AGkAcgBlAGQAKQAgAEEAIABtAG8AZABlAGwAJwBzACAAdABpAG0AZQBsAGkAbgBlACAAKABSAG8AdwAgAG8AZgAgAHAAZQByAGkAbwBkACAAcwB0AGEAcgB0ACAAZABhAHQAZQBzACk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IAAgACAAIAAgACAAIAAgACAAIAAgACAAIAAgAJIhPQBvAHoALgBUAGkAbQBlAGwAaQBuAGUATwBmAGYAcwBlAHQAuwMoAFwAIgBcACIAMQA1AC8AOAAvADIAMAAyADYAXAAiAFwAIgAsACAARQBEAEEAVABFACgAXAAiAFwAIgAxAC8ANwAvADIAMAAyADYAXAAiAFwAIgAsACAAUwBFAFEAVQBFAE4AQwBFACgAIAAsACAAMQAyACwAIAAwACkAKQApALYAXAAiACAAJgBcAG4AIAAgACAAIAAgACAAIAAgACAAIAAgACAAIAAgACAAIAAgACAAIAAgACAAIAAgACAAIAAgACAAIABcACIALQAxADEAIAAgACAAIAAgACAAIAAgACAAIAAgACAAkiE9AG8AegAuAFQAaQBtAGUAbABpAG4AZQBPAGYAZgBzAGUAdAC7AygAXAAiAFwAIgAxADUALwA4AC8AMgAwADIANQBcACIAXAAiACwAIABFAEQAQQBUAEUAKABcACIAXAAiADEALwA3AC8AMgAwADIANgBcACIAXAAiACwAIABTAEUAUQBVAEUATgBDAEUAKAAgACwAIAAxADIALAAgADAAKQAp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QAYQB0AGUAKQAsAFwAbgAgACAAIAAgACAAIAAgACAAIAAgACAAIAAgACAAIAAgACAAIAAgACAAIAAgACAAIAAgACAAIAAgAEkAUwBPAE0ASQBUAFQARQBEACgAIABUAGkAbQBlAGwAaQBuAGUAKQBcAG4AIAAgACAAIAAgACAAIAAgACAAIAAgACAAIAAgACAAIAAgACAAIAAgACAAIAAgACAAKQAsAFwAbgAgACAAIAAgAC8ALwAgACAAQwBoAGUAYwBrACAAaQBuAHAAdQB0AHMAIAAtACAASQBmACAAZABhAHQAZQAgAGkAcwAgAGkAbgAgAHQAZQB4AHQALAAgAGMAbwBuAHYAZQByAHQAIAB0AG8AIAB2AGEAbAB1AGUAXABuACAAIAAgACAAIAAgACAAIABEAGEAdABlACwAIAAgACAAIAAgACAAIAAgACAAIAAgAEAASQBGACgAIABJAFMAVABFAFgAVAAoACAARABhAHQAZQApACwAIABEAEEAVABFAFYAQQBMAFUARQAoACAARABhAHQAZQApACwAIABEAGEAdABlACkALABcAG4AIAAgACAAIAAvACoAIAAgAFAAcgBlAG0AaQBzAGUAOgAgACAAIAAgACAAIAAgACAAQwByAGUAYQB0AGUAIABhACAAcwBoAG8AcgB0ACAAdABpAG0AZQBsAGkAbgBlACAAdABoAGEAdAAgAGkAcwAgAGkAbgAgAHMAeQBuAGMAIAB3AGkAdABoACAAdABoAGUAIABtAG8AZABlAGwAJwBzACAAdABpAG0AZQBsAGkAbgBlACAAdABoAGEAdAAgAHMAcABhAG4AcwAgAFwAbgAgACAAIAAgACAAIAAgACAAIAAgACAAIAAgACAAIAAgACAAIAAgACAAIAAgACAAIABmAHIAbwBtACAAdABoAGUAIAB0AGkAbQBlAGwAaQBuAGUAIABzAHQAYQByAHQAIAB0AG8AIAB0AGgAZQAgAGQAYQB0AGUAIABpAG4AIABxAHUAZQBzAHQAaQBvAG4AIABwAGwAdQBzACAAbwBuAGUAIABwAGUAcgBpAG8AZAAgAG8AbgAgAGUAaQB0AGgAZQByACAAcwBpAGQAZQAuAFwAbgAgACAAIAAgACAAIAAgACAAIAAgACAAIAAgACAAIAAgACAAIAAgACAAIAAgACAAIABOAG8AIAB3AGUAIABjAGEAbgAgAHUAcwBlACAATQBBAFQAQwBIACgAKQAgAHQAbwAgAGYAaQBuAGQAIAB3AGgAaQBjAGgAIAB0AGkAbQBlAGwAaQBuAGUAIABwAGUAcgBpAG8AZAAgACAAIAAgACoALwBcAG4AIAAgACAAIAAvAC8AIAAgAEQAZQB0AGUAcgBtAGkAbgBlACAAdABpAG0AZQBsAGkAbgBlACcAcwAgAGkAbgB0AGUAcgB2AGEAbAAgACgAbABlAG4AZwB0AGgAIABvAGYAIABwAGUAcgBpAG8AZABzACkAXABuACAAIAAgACAAIAAgACAAIABQAGUAcgBpAG8AZAAxACwAIAAgACAAIAAgACAAIAAgAEkATgBEAEUAWAAoACAAVABpAG0AZQBsAGkAbgBlACwAIAAxACkALABcAG4AIAAgACAAIAAgACAAIAAgAFAAZQByAGkAbwBkADIALAAgACAAIAAgACAAIAAgACAASQBOAEQARQBYACgAIABUAGkAbQBlAGwAaQBuAGUALAAgADIAKQAsACAAXABuACAAIAAgACAAIAAgACAAIABEAHAAUAAsACAAIAAgACAAIAAgACAAIAAgACAAIAAgAFAAZQByAGkAbwBkADIAIAAtACAAUABlAHIAaQBvAGQAMQAsACAAIAAgACAAIAAgACAAIAAgACAAIAAgACAAIAAgACAAIAAgACAAIAAvAC8ARABhAHkAcwAgAFAAZQByACAAUABlAHIAaQBvAGQAXABuACAAIAAgACAAIAAgACAAIABNAHAAUAAsACAAIAAgACAAIAAgACAAIAAgACAAIAAgAE0AQQBYACgAIABSAE8AVQBOAEQAKAAgAEQAcABQAC8AMwAwAC4ANQAsACAAMAApACwAIAAxACkALAAgACAAIAAgACAAIAAgACAAIAAvAC8ATQBvAG4AdABoAHMAIABQAGUAcgAgAFAAZQByAGkAbwBkACwAIABuAGUAdgBlAHIAIAB6AGUAcgBvAFwAbgAgACAAIAAgACAAIAAgACAAUwB1AGIATQBvAG4AdABoAGwAeQA/ACwAIAAgACAAIABSAE8AVQBOAEQAKAAgAEQAcABQAC8AMwAwAC4ANQAsACAAMAApACAAPQAgADAALABcAG4AIAAgACAAIAAvAC8AIAAgAEQAZQB0AGUAcgBtAGkAbgBlACAAaQBmACAAUAByAGkAbwByACAAdABvACAAdABpAG0AZQBsAGkAbgBlACAAbwByACAAYQBmAHQAZQByAFwAbgAgACAAIAAgACAAIAAgACAARABpAHIAZQBjAHQAaQBvAG4ALAAgACAAIAAgACAAIABJAEYAKABEAGEAdABlACAAPAAgAFAAZQByAGkAbwBkADEALAAgAC0AMQAsACAAMQApACwAXABuACAAIAAgACAALwAvACAAIABEAGUAdABlAHIAbQBpAG4AZQAgAHQAaABlACAAbgB1AG0AYgBlAHIAIABvAGYAIABtAG8AbgB0AGgAcwAgAGIAZQB0AHcAZQBlAG4AIAB0AGkAbQBlAGwAaQBuAGUAJwBzACAAcwB0AGEAcgB0ACAAYQBuAGQAIAB0AGgAZQAgAGQAYQB0AGUAJwBzACAAcABlAHIAaQBvAGQAIABzAHQAYQByAHQAXABuACAAIAAgACAAIAAgACAAIABNAG8AbgB0AGgARABpAGYAZgAsACAAIAAgACAAIAAgAEAARABBAFQARQBEAEkARgAoACAATQBJAE4AKAAgAFAAZQByAGkAbwBkADEALAAgAEQAYQB0AGUAKQAsACAATQBBAFgAKAAgAFAAZQByAGkAbwBkADEALAAgAEQAYQB0AGUAKQAsACAAXAAiAE0AXAAiACkALABcAG4AIAAgACAAIAAvAC8AIAAgAEMAbwBuAHYAZQByAHQAIAB0AG8AIABuAHUAbQBiAGUAcgAgAG8AZgAgAHAAZQByAGkAbwBkAHMAXABuACAAIAAgACAAIAAgACAAIABQAGUAcgBpAG8AZABEAGkAZgBmACwAIAAgACAAIAAgAFEAVQBPAFQASQBFAE4AVAAoACAATQBvAG4AdABoAEQAaQBmAGYALAAgAE0AcABQACkALABcAG4AIAAgACAAIAAgACAAIAAgAFAAZQByAGkAbwBkAFMAZQBxACwAIAAgACAAIAAgACAAUwBFAFEAVQBFAE4AQwBFACgAIAAxACwAIABQAGUAcgBpAG8AZABEAGkAZgBmACAAKwAgADIALAAgAEkARgAoACAARABpAHIAZQBjAHQAaQBvAG4AIAA9ACAAMQAsACAAMAAsACAALQAoACAAUABlAHIAaQBvAGQARABpAGYAZgAgACsAIAAxACkAKQApACwAXABuACAAIAAgACAAIAAgACAAIABTAGUAYQByAGMAaABUAGkAbQBlAGwAaQBuAGUALAAgAEUARABBAFQARQAoACAAUABlAHIAaQBvAGQAMQAsACAAUABlAHIAaQBvAGQAUwBlAHEAIAAqACAATQBwAFAAKQAsAFwAbgAgACAAIAAgACAAIAAgACAAQgB5AE0AbwBuAHQAaAAsACAAIAAgACAAIAAgACAAIABNAEEAVABDAEgAKAAgAEQAYQB0AGUALAAgAFMAZQBhAHIAYwBoAFQAaQBtAGUAbABpAG4AZQAsACAAMQApACAALQAgAEkARgAoACAARABpAHIAZQBjAHQAaQBvAG4AIAA9ACAAMQAsACAAMQAsACAAUABlAHIAaQBvAGQARABpAGYAZgAgACsAIAAyACkALABcAG4AIAAgACAAIAAvAC8AIAAgAEEAIABzAHUAYgAtAG0AbwBuAHQAaABsAHkAIAB0AGkAbQBlAGwAaQBuAGUAIABpAHMAIABhACAAZgBpAHgAZQBkACAAbgB1AG0AYgBlAHIAIABvAGYAIABkAGEAeQBzACAAcABlAHIAIABwAGUAcgBpAG8AZAAsACAAcwBvACAAdABoAGUAIABvAGYAZgBzAGUAdAAgAGkAcwAgAHQAaABlAFwAbgAgACAAIAAgAC8ALwAgACAAdwBoAG8AbABlACAAbgB1AG0AYgBlAHIAIABvAGYAIABwAGUAcgBpAG8AZABzACAAYgBlAHQAdwBlAGUAbgAgAHQAaABlACAAdABpAG0AZQBsAGkAbgBlACAAcwB0AGEAcgB0ACAAYQBuAGQAIAB0AGgAZQAgAGQAYQB0AGUALAAgAGYAbABvAG8AcgBlAGQALAAgAHcAaABpAGMAaABcAG4AIAAgACAAIAAvAC8AIAAgAHAAdQB0AHMAIABhACAAZABhAHQAZQAgAGIAZQBmAG8AcgBlACAAdABoAGUAIAB0AGkAbQBlAGwAaQBuAGUAIABpAG4AIAB0AGgAZQAgAHAAZQByAGkAbwBkACAAdABoAGEAdAAgAGUAbgBkAHMAIAB3AGgAZQByAGUAIAB0AGgAZQAgAHQAaQBtAGUAbABpAG4AZQAgAGIAZQBnAGkAbgBzAC4AXABuACAAIAAgACAAIAAgACAAIABSAGUAcwB1AGwAdAAsACAAIAAgACAAIAAgACAAIAAgAEkARgAoACAAUwB1AGIATQBvAG4AdABoAGwAeQA/ACwAIABJAE4AVAAoACAAKABEAGEAdABlACAALQAgAFAAZQByAGkAbwBkADEAKQAgAC8AIABEAHAAUAApACwAIABCAHkATQBvAG4AdABo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QAaQBtAGUAbABpAG4AZQBQAG8AcwBpAHQAaQBvAG4AuwNcAG4AIAAgACAAIABEAEUAUwBDAFIASQBQAFQASQBPAE4AOgAqAC8ALwAqACoAQwByAG8AcABzACAAYQBuACAAYQByAHIAYQB5ACAAYgBhAHMAZQBkACAAbwBuACAAYQAgAG0AbwBkAGUAbAAnAHMAIAB0AGkAbQBlAGwAaQBuAGUAKgAvAFwAbgBUAGkAbQBlAGwAaQBuAGUAUABvAHMAaQB0AGkAbwBuALsDIAA9ACAATABBAE0AQgBEAEEAKABcAG4AIAAgACAAIABbAEEAcgByAGEAeQBdACwAIAAgACAAIAAgACAAIAAgACAAIAAgACAAXABuACAAIAAgACAAWwBUAGkAbQBlAGwAaQBuAGUAXQAsACAAIAAgACAAIAAgACAAIAAgAFwAbgAgACAAIAAgAFsATwBmAGYAcwBlAHQAXQAsACAAIAAgACAAI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UABvAHMAaQB0AGkAbwBuALsDKABBAHIAcgBhAHkALAAgAFQAaQBtAGUAbABpAG4AZQAsACAATwBmAGYAcwBlAHQAKQC2AFwAIgAgACYAXABuACAAIAAgACAAIAAgACAAIAAgACAAIAAgACAAIAAgACAAIAAgACAAIAAgACAAIAAgACAAIAAgACAAXAAiAEQARQBTAEMAUgBJAFAAVABJAE8ATgA6ACAAIAAgAJIhUABvAHMAaQB0AGkAbwBuACAAYQBuACAAYQByAHIAYQB5ACAAcgBlAGwAYQB0AGkAdgBlACAAdABvACAAdABoAGUAIABtAG8AZABlAGwAJwBzACAAdABpAG0AZQBsAGkAbgBl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VABoAGUAIABhAHIAcgBhAHkAIAB0AG8AIABiAGUAIABwAG8AcwBpAHQAaQBvAG4AZQBkACAAcgBlAGwAYQB0AGkAdgBlACAAdABvACAAYQAgAG0AbwBkAGUAbAAnAHMAIAB0AGkAbQBlAGwAaQBuAGUAtgBcACIAIAAmACAAXABuACAAIAAgACAAIAAgACAAIAAgACAAIAAgACAAIAAgACAAIAAgACAAIAAgACAAIAAgACAAIAAgACAAXAAiAFQAaQBtAGUAbABpAG4AZQAgACAAIAAgACAAIAAgAJIhKABSAGUAcQB1AGkAcgBlAGQAKQAgAEEAIABtAG8AZABlAGwAJwBzACAAdABpAG0AZQBsAGkAbgBlALYAXAAiACAAJgAgAFwAbgAgACAAIAAgACAAIAAgACAAIAAgACAAIAAgACAAIAAgACAAIAAgACAAIAAgACAAIAAgACAAIAAgAFwAIgBPAGYAZgBzAGUAdAAgACAAIAAgACAAIAAgACAAIACSISgAUgBlAHEAdQBpAHIAZQBkACkAIABUAGgAZQAgAG4AdQBtAGIAZQByACAAbwBmACAAcgBvAHcAcwAgAG8AcgAgAGMAbwBsAHUAbQBuAHMAIAB0AG8AIABzAHQAYQByAHQAIABwAGwAYQBjAGkAbgBnACAAdABoAGUAIABhAHIAcgBhAHkAIAB3AGkAdABoAGkAbgAgAHQAaABlACAAdABpAG0AZQBsAGkAbgBlALYAXAAiACAAJgAgACAAIAAgACAAIAAgACAAIAAgACAAIAAgACAAIAAgACAAIAAgACAAIABcAG4AIAAgACAAIAAgACAAIAAgACAAIAAgACAAIAAgACAAIAAgACAAIAAgACAAIAAgACAAIAAgACAAIABcACIATgBPAFQARQBTACEAIAAgACAAIAAgACAAIAAgACAAkiG2AFwAIgAgACYAIABcAG4AIAAgACAAIAAgACAAIAAgACAAIAAgACAAIAAgACAAIAAgACAAIAAgACAAIAAgACAAIAAgACAAIAAgACAAIAAgACAAIAAgACAAIAAgACAAIAAgACAAIABcACIAkiFUAGkAbQBlAGwAaQBuAGUAcwAgAGMAYQBuACAAYgBlACAAdgBlAHIAdABpAGMAYQBsACAAbwByACAAaABvAHIAaQB6AG8AbgB0AGEAbAAuACAAVwBoAGkAYwBoAGUAdgBlAHIAIAB3AGEAeQAgAHQAaABlACAAdABpAG0AZQBsAGkAbgBlACAAZwBvAGUAcwAsACAAdABoAGUAIABhAHIAcgBhAHkAIABtAHUAcwB0ACAAbQBhAHQAYwBoAC4AtgBcACIAIAAmACAAIA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VABpAG0AZQBsAGkAbgBlAFAAbwBzAGkAdABpAG8AbgC7AygAUwBFAFEAVQBFAE4AQwBFACgAMwAsADMAKQAsACAARQBEAEEAVABFACgAXAAiAFwAIgAxAC8ANwAvADIAMAAyADYAXAAiAFwAIgAsACAAUwBFAFEAVQBFAE4AQwBFACgAIAAsACAAMQAyACwAIAAwACkAKQAsACAAMQAy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ApACwAXABuACAAIAAgACAAIAAgACAAIAAgACAAIAAgACAAIAAgACAAIAAgACAAIAAgACAAIAAgACAAIAAgACAASQBTAE8ATQBJAFQAVABFAEQAKAAgAFQAaQBtAGUAbABpAG4AZQApACwAXABuACAAIAAgACAAIAAgACAAIAAgACAAIAAgACAAIAAgACAAIAAgACAAIAAgACAAIAAgACAAIAAgACAASQBTAE8ATQBJAFQAVABFAEQAKAAgAE8AZgBmAHMAZQB0ACkAXABuACAAIAAgACAAIAAgACAAIAAgACAAIAAgACAAIAAgACAAIAAgACAAIAAgACAAIAAgACkALABcAG4AIAAgACAAIAAvAC8AIAAgAEMAaABlAGMAawAgAGkAbgBwAHUAdABzACAALQAgAE0AYQBrAGUAIABzAHUAcgBlACAAcwBjAGEAbABhAHIAcwAgAGEAcgBlACAAbgBvAHQAIABhAHIAcgBhAHkAcwBcAG4AIAAgACAAIAAgACAAIAAgAE8AZgBmAHMAZQB0ACwAIAAgACAAIAAgACAAIAAgACAAQABPAGYAZgBzAGUAdAAsAFwAbgAgACAAIAAgAC8ALwAgACAAUAByAGUAYwBlAGQAdQByAGUAXABuACAAIAAgACAAIAAgACAAIABSAG8AdwBzACwAIAAgACAAIAAgACAAIAAgACAAIAAgAFIATwBXAFMAKABBAHIAcgBhAHkAKQAsAFwAbgAgACAAIAAgACAAIAAgACAAQwBvAGwAcwAsACAAIAAgACAAIAAgACAAIAAgACAAIABDAE8ATABVAE0ATgBTACgAQQByAHIAYQB5ACkALABcAG4AIAAgACAAIAAgACAAIAAgAFIAZQBzAHUAbAB0ACwAIAAgACAAIAAgACAAIAAgACAASQBGACgAIABDAE8ATABVAE0ATgBTACgAVABJAE0ARQBMAEkATgBFACkAIAA+ACAAMQAsACAAXABuACAAIAAgACAAIAAgACAAIAAgACAAIAAgACAAIAAgACAAIAAgACAAIAAgACAAIAAgAC8ALwAgACAASABvAHIAaQB6AG8AbgB0AGEAbAAgAFQAaQBtAGUAbABpAG4AZQBcAG4AIAAgACAAIAAgACAAIAAgACAAIAAgACAAIAAgACAAIAAgACAAIAAgACAAIAAgACAAIAAgACAAIABNAEEASwBFAEEAUgBSAEEAWQAoACAAUgBvAHcAcwAsACAAQwBPAEwAVQBNAE4AUwAoACAAVABpAG0AZQBsAGkAbgBlACkALABcAG4AIAAgACAAIAAgACAAIAAgACAAIAAgACAAIAAgACAAIAAgACAAIAAgACAAIAAgACAAIAAgACAAIAAgACAAIAAgAEwAQQBNAEIARABBACgAUgAsACAAQwAsAFwAbgAgACAAIAAgACAAIAAgACAAIAAgACAAIAAgACAAIAAgACAAIAAgACAAIAAgACAAIAAgACAAIAAgACAAIAAgACAAIAAgACAAIABJAEYAKAAgACgAKABDACAALQAgAE8AZgBmAHMAZQB0ACkAIAA+AD0AIAAxACkAIAAqACAAKAAoACAAQwAgAC0AIABPAGYAZgBzAGUAdAApACAAPAA9ACAAQwBvAGwAcwApACAAPQAgADEALABcAG4AIAAgACAAIAAgACAAIAAgACAAIAAgACAAIAAgACAAIAAgACAAIAAgACAAIAAgACAAIAAgACAAIAAgACAAIAAgACAAIAAgACAAIAAgACAAIABJAE4ARABFAFgAKAAgAEEAcgByAGEAeQAsACAAUgAsACAAQwAgAC0AIABPAGYAZgBzAGUAdA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CwAXABuACAAIAAgACAAIAAgACAAIAAgACAAIAAgACAAIAAgACAAIAAgACAAIAAgACAAIAAgAC8ALwAgACAAVgBlAHIAdABpAGMAYQBsACAAVABpAG0AZQBsAGkAbgBlAFwAbgAgACAAIAAgACAAIAAgACAAIAAgACAAIAAgACAAIAAgACAAIAAgACAAIAAgACAAIAAgACAAIAAgAE0AQQBLAEUAQQBSAFIAQQBZACgAIABSAE8AVwBTACgAIABUAGkAbQBlAGwAaQBuAGUAKQAsACAAQwBvAGwAcwAsAFwAbgAgACAAIAAgACAAIAAgACAAIAAgACAAIAAgACAAIAAgACAAIAAgACAAIAAgACAAIAAgACAAIAAgACAAIAAgACAATABBAE0AQgBEAEEAKABSACwAIABDACwAXABuACAAIAAgACAAIAAgACAAIAAgACAAIAAgACAAIAAgACAAIAAgACAAIAAgACAAIAAgACAAIAAgACAAIAAgACAAIAAgACAAIAAgAEkARgAoACAAKAAoAFIAIAAtACAATwBmAGYAcwBlAHQAKQAgAD4APQAgADEAKQAgACoAIAAoACgAIABSACAALQAgAE8AZgBmAHMAZQB0ACkAIAA8AD0AIABSAG8AdwBzACkAIAA9ACAAMQAsAFwAbgAgACAAIAAgACAAIAAgACAAIAAgACAAIAAgACAAIAAgACAAIAAgACAAIAAgACAAIAAgACAAIAAgACAAIAAgACAAIAAgACAAIAAgACAAIAAgAEkATgBEAEUAWAAoACAAQQByAHIAYQB5ACwAIABSACAALQAgAE8AZgBmAHMAZQB0ACwAIABD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EYAaQBsAHQAZQByAEMAbwBuAHQAYQBpAG4AcwC7A1wAbgAgACAAIAAgAEQARQBTAEMAUgBJAFAAVABJAE8ATgA6ACoALwAvACoAKgBGAGkAbAB0AGUAcgAgAGEAbgAgAGEAcgByAGEAeQAgAGIAeQAgAGEAbgBvAHQAaABlAHIAIABhAHIAcgBhAHkAIAB0AGgAYQB0ACAAYwBvAG4AdABhAGkAbgBzACAAcwBwAGUAYwBpAGYAaQBjACAAdABlAHgAdAAqAC8AXABuAEYAaQBsAHQAZQByAEMAbwBuAHQAYQBpAG4AcwC7AyAAPQAgAEwAQQBNAEIARABBACgAXABuAC8ALwAgACAAUABhAHIAYQBtAGUAdABlAHIAIABEAGUAYwBsAGEAcgBhAHQAaQBvAG4AcwBcAG4AIAAgACAAIABbAEEAcgByAGEAeQBUAG8ARgBpAGwAdABlAHIAXQAsAFwAbgAgACAAIAAgAFsARgBpAGwAdABlAHIAQgB5AEEAcgByAGEAeQBdACwAXABuACAAIAAgACAAWwBGAGkAbAB0AGUAcgBCAHkAVABlAHgAdABdACwAXABuACAAIAAgACAAWwBJAGcAbgBvAHIAZQBDAGEAcwBlAD8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GAGkAbAB0AGUAcgBDAG8AbgB0AGEAaQBuAHMAuwMoACAAQQByAHIAYQB5AFQAbwBGAGkAbAB0AGUAcgAsACAARgBpAGwAdABlAHIAQgB5AEEAcgByAGEAeQAsACAARgBpAGwAdABlAHIAQgB5AFQAZQB4AHQALAAgAFsASQBnAG4AbwByAGUAQwBhAHMAZQA/AF0AIAApALYAXAAiACAAJgBcAG4AIAAgACAAIAAgACAAIAAgACAAIAAgACAAIAAgACAAIAAgACAAIAAgACAAIAAgACAAIAAgACAAIABcACIARABFAFMAQwBSAEkAUABUAEkATwBOADoAIAAgACAAkiFGAGkAbAB0AGUAcgAgAGEAbgAgAGEAcgByAGEAeQAgAGIAeQAgAGEAbgBvAHQAaABlAHIAIABhAHIAcgBhAHkAIAB0AGgAYQB0ACAAYwBvAG4AdABhAGkAbgBzACAAcwBwAGUAYwBpAGYAaQBjACAAdABlAHgAdAAuALYAXAAiACAAJgAgAFwAbgAgACAAIAAgACAAIAAgACAAIAAgACAAIAAgACAAIAAgACAAIAAgACAAIAAgACAAIAAgACAAIAAgAFwAIgBTAEUARQAgAEEATABTAE8AOgAgACAAIAAgACAAIACSIUUAeABjAGUAbAAgADMANgA1ACAAbgBvAHcAIABoAGEAcwAgAFIARQBHAEUAWABUAEUAUwBUACAAYQBuAGQAIABSAEUARwBFAFgARQBYAFQAUgBBAEMAVAAgAGYAbwByACAAcABhAHQAdABlAHIAbgAgAG0AYQB0AGMAaABpAG4AZ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FQAbwBGAGkAbAB0AGUAcgAgACAAkiEoAFIAZQBxAHUAaQByAGUAZAApACAAQQBuACAAYQByAHIAYQB5ACAAdABvACAAYgBlACAAZgBpAGwAdABlAHIAZQBkALYAXAAiACAAJgAgACAAIAAgACAAIAAgACAAIAAgACAAIAAgACAAIAAgACAAIAAgAFwAbgAgACAAIAAgACAAIAAgACAAIAAgACAAIAAgACAAIAAgACAAIAAgACAAIAAgACAAIAAgACAAIAAgAFwAIgBGAGkAbAB0AGUAcgBCAHkAQQByAHIAYQB5ACAAIACSISgAUgBlAHEAdQBpAHIAZQBkACkAIABBAG4AIABhAHIAcgBhAHkAIABjAG8AbgB0AGEAaQBuAGkAbgBnACAAdABlAHgAdAAgAHQAbwAgAHUAcwBlACAAYQBzACAAYQAgAGYAaQBsAHQAZQByALYAXAAiACAAJgAgACAAIAAgACAAIAAgACAAIAAgACAAIAAgACAAIAAgACAAIAAgAFwAbgAgACAAIAAgACAAIAAgACAAIAAgACAAIAAgACAAIAAgACAAIAAgACAAIAAgACAAIAAgACAAIAAgAFwAIgBGAGkAbAB0AGUAcgBCAHkAVABlAHgAdAAgACAAIACSISgAUgBlAHEAdQBpAHIAZQBkACkAIABBACAAdABlAHgAdAAgAHMAdAByAGkAbgBnACAAdABvACAAZgBpAG4AZAAgAGkAbgAgAEYAaQBsAHQAZQByAEIAeQBBAHIAcgBhAHk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FwAIgBcACIAQwBhAHQAXAAiAFwAIgAgACAAIAAgACAAIAAgACAAkiE9AG8AegAuAEYAaQBsAHQAZQByAEMAbwBuAHQAYQBpAG4AcwC7AygAIAB7AFwAIgBcACIASgBvAGUAXAAiAFwAIgAsACAAXAAiAFwAIgBTAGEAbABsAHkAXAAiAFwAIgAsACAAXAAiAFwAIgBDAGEAdABcACIAXAAiAH0ALAAgAHsAXAAiAFwAIgBIADEAXAAiAFwAIgAsACAAXAAiAFwAIgBIADIAXAAiAFwAIgAsACAAXAAiAFwAIgBBADEAXAAiAFwAIgB9ACwAIABcACIAXAAiAEE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VABvAEYAaQBsAHQAZQByACkALAAgAFwAbgAgACAAIAAgACAAIAAgACAAIAAgACAAIAAgACAAIAAgACAAIAAgACAAIAAgACAAIAAgACAAIAAgAEkAUwBPAE0ASQBUAFQARQBEACgAIABGAGkAbAB0AGUAcgBCAHkAQQByAHIAYQB5ACkALAAgAFwAbgAgACAAIAAgACAAIAAgACAAIAAgACAAIAAgACAAIAAgACAAIAAgACAAIAAgACAAIAAgACAAIAAgAEkAUwBPAE0ASQBUAFQARQBEACgAIABGAGkAbAB0AGUAcgBCAHkAVABlAHgAdAApAFwAbgAgACAAIAAgACAAIAAgACAAIAAgACAAIAAgACAAIAAgACAAIAAgACAAIAAgACAAIA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RgBpAGwAdABlAHIAQgB5AEEAcgByAGEAeQApACwAXABuACAAIAAgACAAIAAgACAAIAAgACAAIAAgACAAIAAgACAAIAAgACAAIAAgACAAIAAgACAAIAAgACAARgBJAE4ARAAoACAARgBpAGwAdABlAHIAQgB5AFQAZQB4AHQALAAgAEYAaQBsAHQAZQByAEIAeQBBAHIAcgBhAHkAKQBcAG4AIAAgACAAIAAgACAAIAAgACAAIAAgACAAIAAgACAAIAAgACAAIAAgACAAIAAgACAAKQAsAFwAbgAgACAAIAAgACAAIAAgACAAUgBlAHMAdQBsAHQALAAgACAAIAAgACAAIAAgACAAIABGAEkATABUAEUAUgAoACAAQQByAHIAYQB5AFQAbwBGAGkAbAB0AGUAcgAsACAASQBTAE4AVQBNAEIARQBSACgAIABNAGEAdABjAGgAZQBz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YQBuAGcAZQBUAG8ARABBALsDXABuACAAIAAgACAARABFAFMAQwBSAEkAUABUAEkATwBOADoAKgAvAC8AKgAqAEMAcgBlAGEAdABlACAAYQAgAGQAeQBuAGEAbQBpAGMAIABhAHIAcgBhAHkAIABmAHIAbwBtACAAYQAgAHMAdABhAHQAaQBjACAAcgBhAG4AZwBlACoALwBcAG4AUgBhAG4AZwBlAFQAbwBEAEEAuwMgAD0AIABMAEEATQBCAEQAQQAoAFwAbgAvAC8AIAAgAFAAYQByAGEAbQBlAHQAZQByACAARABlAGMAbABhAHIAYQB0AGkAbwBuAHMAXABuACAAIAAgACAAWwBDAGUAbABsAF0ALABcAG4AIAAgACAAIABbAFIAbwB3AHMAXQAsACAAIAAgACAAXABuACAAIAAgACAAWwBDAG8AbAB1AG0AbgBzAF0ALAAgACAAIAAgAFwAbgAvAC8AIAAgAEgAZQBsAHAAXABuACAAIAAgACAATABFAFQAKABIAGUAbABwACwAIAAgACAAIAAgACAAIABUAFIASQBNACgAVABFAFgAVABTAFAATABJAFQAKAAgAFwAbgAgACAAIAAgACAAIAAgACAAIAAgACAAIAAgACAAIAAgACAAIAAgACAAIAAgACAAIAAgACAAIAAgAFwAIgBGAFUATgBDAFQASQBPAE4AOgAgACAAIAAgACAAIACSIVIAYQBuAGcAZQBUAG8ARABBALsDKAAgAEMAZQBsAGwALAAgAFsAUgBvAHcAcwBdACwAIABbAEMAbwBsAHUAbQBuAHMAXQApALYAXAAiACAAJgBcAG4AIAAgACAAIAAgACAAIAAgACAAIAAgACAAIAAgACAAIAAgACAAIAAgACAAIAAgACAAIAAgACAAIABcACIARABFAFMAQwBSAEkAUABUAEkATwBOADoAIAAgACAAkiFDAHIAZQBhAHQAZQAgAGEAIABkAHkAbgBhAG0AaQBjACAAYQByAHIAYQB5ACAAZgByAG8AbQAgAGEAIABzAHQAYQB0AGkAYwAgAHIAYQBuAGcAZQ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UAbABsACAAIAAgACAAIAAgACAAIAAgACAAIACSISgAUgBlAHEAdQBpAHIAZQBkACkAIABUAGgAZQAgAHUAcABwAGUAcgAgAGwAZQBmAHQAIABjAGUAbABsACAAbwBmACAAYQAgAHIAYQBuAGcAZQAgAHQAbwAgAGMAbwBuAHYAZQByAHQAtgBcACIAIAAmACAAXABuACAAIAAgACAAIAAgACAAIAAgACAAIAAgACAAIAAgACAAIAAgACAAIAAgACAAIAAgACAAIAAgACAAXAAiAFIAbwB3AHMAIAAgACAAIAAgACAAIAAgACAAIAAgAJIhKABPAHAAdABpAG8AbgBhAGwAKQAgAFQAaABlACAAbgB1AG0AYgBlAHIAIABvAGYAIAByAG8AdwBzACAAZgBvAHIAIABkAHkAbgBhAG0AaQBjACAAYQByAHIAYQB5AC4AIABEAGUAZgBhAHUAbAB0AHMAIAB0AG8AIAAxAC4AtgBcACIAIAAmACAAXABuACAAIAAgACAAIAAgACAAIAAgACAAIAAgACAAIAAgACAAIAAgACAAIAAgACAAIAAgACAAIAAgACAAXAAiAEMAbwBsAHUAbQBuAHMAIAAgACAAIAAgACAAIAAgAJIhKABPAHAAdABpAG8AbgBhAGwAKQAgAFQAaABlACAAbgB1AG0AYgBlAHIAIABvAGYAIABjAG8AbAB1AG0AbgBzACAAZgBvAHIAIABkAHkAbgBhAG0AaQBjACAAYQByAHIAYQB5AC4AIABEAGUAZgBhAHUAbAB0AHMAIAB0AG8AIAAxAC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IAAgACAAIAAgACAAIAAgACAAIAAgACAAIAAgACAAkiE9AG8AegAuAFIAYQBuAGcAZQBUAG8ARABBALsDKAAgAEEAMQAsACAALAAgADEAMg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EMAZQBsAGwAKQAsAFwAbgAgACAAIAAgAC8ALwAgACAAUwBlAHQAIABEAGUAZgBhAHUAbAB0AHMAXABuACAAIAAgACAAIAAgACAAIABSAG8AdwBzACwAIAAgACAAIAAgACAAIAAgACAAIAAgAEkARgAoAEkAUwBPAE0ASQBUAFQARQBEACgAUgBvAHcAcwApACwAIAAxACwAIABJAEYAKABSAG8AdwBzACAAPQAgADAALAAgADEALAAgAFIAbwB3AHMAKQApACwAXABuACAAIAAgACAAIAAgACAAIABDAG8AbAB1AG0AbgBzACwAIAAgACAAIAAgACAAIAAgAEkARgAoAEkAUwBPAE0ASQBUAFQARQBEACgAQwBvAGwAdQBtAG4AcwApACwAIAAxACwAIABJAEYAKABDAG8AbAB1AG0AbgBzACAAPQAgADAALAAgADEALAAgAEMAbwBsAHUAbQBuAHMAKQApACwAXABuACAAIAAgACAALwAvACAAIABQAHIAbwBjAGUAZAB1AHIAZQBcAG4AIAAgACAAIAAgACAAIAAgAFIAZQBzAHUAbAB0ACwAIAAgACAAIAAgACAAIAAgACAATwBGAEYAUwBFAFQAKABDAGUAbABsACwAIAAwACwAIAAwACwAIABSAG8AdwBzACwAIABDAG8AbAB1AG0AbgBz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QAGUAcgBpAG8AZABTAHQAYQByAHQAuwNcAG4AIAAgACAAIABEAEUAUwBDAFIASQBQAFQASQBPAE4AOgAqAC8ALwAqACoARABlAHQAZQByAG0AaQBuAGUAIAB3AGgAZQBuACAAdABoAGUAIABwAGUAcgBpAG8AZAAgAGMAbwBuAHQAYQBpAG4AaQBuAGcAIABhACAAZABhAHQAZQAgAG8AZgAgAGkAbgB0AGUAcgBlAHMAdAAgAHMAdABhAHIAdABzACoALwBcAG4AUABlAHIAaQBvAGQAUwB0AGEAcgB0ALsDIAA9ACAATABBAE0AQgBEAEEAKABcAG4ALwAvACAAIABQAGEAcgBhAG0AZQB0AGUAcgAgAEQAZQBjAGwAYQByAGEAdABpAG8AbgBcAG4AIAAgACAAIABbAEEAbgB5AFAAZQByAGkAbwBkAFMAdABhAHIAdABdACwAXABuACAAIAAgACAAWwBNAG8AbgB0AGgAcwBQAGUAcgBQAGUAcgBpAG8AZABdACwAIABcAG4AIAAgACAAIABbAEQAYQB0AGUATwBmAEkAbgB0AGUAcgBlAHMAd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TAHQAYQByAHQAuwMoAEEAbgB5AFAAZQByAGkAbwBkAFMAdABhAHIAdAAsACAATQBvAG4AdABoAHMAUABlAHIAUABlAHIAaQBvAGQALAAgAEQAYQB0AGUATwBmAEkAbgB0AGUAcgBlAHMAdAApALYAXAAiACAAJgBcAG4AIAAgACAAIAAgACAAIAAgACAAIAAgACAAIAAgACAAIAAgACAAIAAgACAAIAAgACAAIAAgACAAIABcACIARABFAFMAQwBSAEkAUABUAEkATwBOADoAIAAgACAAkiFEAGUAdABlAHIAbQBpAG4AZQAgAHcAaABlAG4AIAB0AGgAZQAgAHAAZQByAGkAbwBkACAAYwBvAG4AdABhAGkAbgBpAG4AZwAgAGEAIABkAGEAdABlACAAbwBmACAAaQBuAHQAZQByAGUAcwB0ACAAcwB0AGEAcgB0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bgB5AFAAZQByAGkAbwBkAFMAdABhAHIAdAAgAJIhKABSAGUAcQB1AGkAcgBlAGQAKQAgAEEAbgB5ACAAcwB0AGEAcgB0ACAAZABhAHQAZQAgAHcAaQB0AGgAaQBuACAAYQAgAHQAaQBtAGUAbABpAG4AZQAuALYAXAAiACAAJgAgACAAIAAgACAAIAAgACAAIAAgACAAIAAgACAAIAAgACAAIAAgAFwAbgAgACAAIAAgACAAIAAgACAAIAAgACAAIAAgACAAIAAgACAAIAAgACAAIAAgACAAIAAgACAAIAAgAFwAIgBNAG8AbgB0AGgAcwBQAGUAcgBQAGUAcgBpAG8AZACSISgAUgBlAHEAdQBpAHIAZQBkACkAIABOAHUAbQBiAGUAcgAgAG8AZgAgAG0AbwBuAHQAaABzACAAaQBuACAAZQBhAGMAaAAgAHAAZQByAGkAbwBkALYAXAAiACAAJgAgAFwAbgAgACAAIAAgACAAIAAgACAAIAAgACAAIAAgACAAIAAgACAAIAAgACAAIAAgACAAIAAgACAAIAAgAFwAIgBEAGEAdABlAE8AZgBJAG4AdABlAHIAZQBzAHQAIACSISgAUgBlAHEAdQBpAHIAZQBkACkAIABBACAAZABhAHQAZQAgAGYAbwByACAAdwBoAGkAYwBoACAAdwBlACAAdwBhAG4AdAAgAHQAbwAgAGsAbgBvAHcAIAB0AGgAZQAgAHMAdABhAHIAdAAgAG8AZgAgAHQAaABlACAAcABlAHIAaQBvAGQAIABjAG8AbgB0AGEAaQBuAGkAbgBnACAAaQB0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IAMAAyADYALQAxADAALQAwADEAIAAgACAAIAAgAJIhPQBvAHoALgBQAGUAcgBpAG8AZABTAHQAYQByAHQAuwMoAFwAIgBcACIAMgAwADIANgAtADAANwAtADAAMQBcACIAXAAiACwAIAAzACwAIABcACIAXAAiADIAMAAyADYALQAxADAALQAxADU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G4AeQBQAGUAcgBpAG8AZABTAHQAYQByAHQAKQAsAFwAbgAgACAAIAAgACAAIAAgACAAIAAgACAAIAAgACAAIAAgACAAIAAgACAAIAAgACAAIAAgACAAIAAgAEkAUwBPAE0ASQBUAFQARQBEACgAIABNAG8AbgB0AGgAcwBQAGUAcgBQAGUAcgBpAG8AZAApACwAXABuACAAIAAgACAAIAAgACAAIAAgACAAIAAgACAAIAAgACAAIAAgACAAIAAgACAAIAAgACAAIAAgACAASQBTAE8ATQBJAFQAVABFAEQAKAAgAEQAYQB0AGUATwBmAEkAbgB0AGUAcgBlAHMAdAApAFwAbgAgACAAIAAgACAAIAAgACAAIAAgACAAIAAgACAAIAAgACAAIAAgACAAIAAgACAAIAApACwAXABuACAAIAAgACAALwAvACAAIABDAG8AbgBzAHQAYQBuAHQAcwBcAG4AIAAgACAAIAAgACAAIAAgAE0AcABZACwAIAAgACAAIAAgACAAIAAgACAAIAAgACAAIAAgACAAIAAxADIALAAgAC8ALwBNAG8AbgB0AGgAcwAgAFAAZQByACAAWQBlAGEAcgBcAG4AIAAgACAAIAAgACAAIAAgAE0AcABQACwAIAAgACAAIAAgACAAIAAgACAAIAAgACAAIAAgACAAIABNAG8AbgB0AGgAcwBQAGUAcgBQAGUAcgBpAG8AZAAsAFwAbgAgACAAIAAgAC8ALwAgACAAQwBoAGUAYwBrACAAaQBuAHAAdQB0AHMAIAAtACAASQBmACAAYQAgAGQAYQB0AGUAIABpAHMAIABpAG4AIAB0AGUAeAB0ACwAIABjAG8AbgB2AGUAcgB0ACAAdABvACAAdgBhAGwAdQBlAFwAbgAgACAAIAAgACAAIAAgACAAQwB2AHQAUwB0AGEAcgB0ACwAIAAgACAAIAAgACAAIAAgACAAIAAgAEkARgAoACAASQBTAFQARQBYAFQAKAAgAEEAbgB5AFAAZQByAGkAbwBkAFMAdABhAHIAdAApACwAIABEAEEAVABFAFYAQQBMAFUARQAoACAAQQBuAHkAUABlAHIAaQBvAGQAUwB0AGEAcgB0ACkALAAgAEEAbgB5AFAAZQByAGkAbwBkAFMAdABhAHIAdAApACwAXABuACAAIAAgACAAIAAgACAAIABDAHYAdABEAGEAdABlACwAIAAgACAAIAAgACAAIAAgACAAIAAgACAASQBGACgAIABJAFMAVABFAFgAVAAoACAARABhAHQAZQBPAGYASQBuAHQAZQByAGUAcwB0ACkALAAgAEQAQQBUAEUAVgBBAEwAVQBFACgAIABEAGEAdABlAE8AZgBJAG4AdABlAHIAZQBzAHQAKQAsACAARABhAHQAZQBPAGYASQBuAHQAZQByAGUAcwB0ACkALABcAG4AIAAgACAAIAAvAC8AIAAgAFAAcgBvAGMAZQBkAHUAcgBlAFwAbgAgACAAIAAgAC8ALwAgACAAQwBvAHUAbgB0ACAAdABoAGUAIAB3AGgAbwBsAGUAIABwAGUAcgBpAG8AZABzACAAZgByAG8AbQAgAHQAaABlACAAYQBuAGMAaABvAHIAIAB0AG8AIAB0AGgAZQAgAGQAYQB0AGUAIABvAGYAIABpAG4AdABlAHIAZQBzAHQAIABhAG4AZAAgAHMAdABlAHAAIAB0AGgAZQBcAG4AIAAgACAAIAAvAC8AIAAgAGEAbgBjAGgAbwByACAAbwBuACAAYgB5ACAAdABoAGEAdAAgAG0AYQBuAHkALgBcAG4AIAAgACAAIAAgACAAIAAgAE0AbwBuAHQAaABEAGkAZgBmACwAIAAgACAAIAAgACAAIAAgACAAIAAoAFkARQBBAFIAKAAgAEMAdgB0AEQAYQB0AGUAKQAgAC0AIABZAEUAQQBSACgAIABDAHYAdABTAHQAYQByAHQAKQApACAAKgAgAE0AcABZACAAKwAgAE0ATwBOAFQASAAoACAAQwB2AHQARABhAHQAZQApACAALQAgAE0ATwBOAFQASAAoACAAQwB2AHQAUwB0AGEAcgB0ACkALABcAG4AIAAgACAAIAAgACAAIAAgAFcAaABvAGwAZQBQAGUAcgBpAG8AZABzACwAIAAgACAAIAAgACAAIABRAFUATwBUAEkARQBOAFQAKAAgAE0AbwBuAHQAaABEAGkAZgBmACwAIABNAHAAUAApACwAXABuACAAIAAgACAAIAAgACAAIABDAGEAbgBkAGkAZABhAHQAZQAsACAAIAAgACAAIAAgACAAIAAgACAARQBEAEEAVABFACgAIABDAHYAdABTAHQAYQByAHQALAAgAFcAaABvAGwAZQBQAGUAcgBpAG8AZABzACAAKgAgAE0AcABQACkALABcAG4AIAAgACAAIAAvAC8AIAAgAFEAVQBPAFQASQBFAE4AVAAgAHQAcgB1AG4AYwBhAHQAZQBzACAAdABvAHcAYQByAGQAcwAgAHoAZQByAG8ALAAgAGEAbgBkACAAdABoAGUAIABkAGEAeQAgAG8AZgAgAHQAaABlACAAbQBvAG4AdABoACAAYwBhAG4AIABsAGUAYQB2AGUAIAB0AGgAZQAgAGMAYQBuAGQAaQBkAGEAdABlAFwAbgAgACAAIAAgAC8ALwAgACAAcABhAHMAdAAgAHQAaABlACAAZABhAHQAZQAgAG8AZgAgAGkAbgB0AGUAcgBlAHMAdAAsACAAcwBvACAAcwB0AGUAcAAgAGIAYQBjAGsAIABhACAAcABlAHIAaQBvAGQAIAB3AGgAZQByAGUAIABpAHQAIABkAG8AZQBzAC4AIABPAG4AZQAgAHMAdABlAHAAIABpAHMAIABhAGwAdwBhAHkAcwBcAG4AIAAgACAAIAAvAC8AIAAgAGUAbgBvAHUAZwBoADoAIABhACAAdAByAHUAbgBjAGEAdABlAGQAIABxAHUAbwB0AGkAZQBuAHQAIABpAHMAIABuAGUAdgBlAHIAIABtAG8AcgBlACAAdABoAGEAbgAgAG8AbgBlACAAcABlAHIAaQBvAGQAIABvAHUAdAAuAFwAbgAgACAAIAAgACAAIAAgACAAUgBlAHMAdQBsAHQALAAgACAAIAAgACAAIAAgACAAIAAgACAAIAAgAEkARgAoACAAQwBhAG4AZABpAGQAYQB0AGUAIAA+ACAAQwB2AHQARABhAHQAZQAsACAARQBEAEEAVABFACgAIABDAHYAdABTAHQAYQByAHQALAAgACgAVwBoAG8AbABlAFAAZQByAGkAbwBkAHMAIAAtACAAMQApACAAKgAgAE0AcABQACkALAAgAEMAYQBuAGQAaQBkAGEAdA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aQBtAGkAbgBpAHMAaABpAG4AZwBWAGEAbAB1AGUAuwNcAG4AIAAgACAAIABEAEUAUwBDAFIASQBQAFQASQBPAE4AOgAqAC8ALwAqACoA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qAC8AXABuAFwAbgBEAGkAbQBpAG4AaQBzAGgAaQBuAGcAVgBhAGwAdQBl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QAaQBtAGkAbgBpAHMAaABpAG4AZwBWAGEAbAB1AGUAuwMoAEMAbwBzAHQALAAgAEwAaQBmAGUAKQC2AFwAIgAgACYAXABuACAAIAAgACAAIAAgACAAIAAgACAAIAAgACAAIAAgACAAIAAgACAAIAAgACAAIAAgACAAIAAgACAAXAAiAEQARQBTAEMAUgBJAFAAVABJAE8ATgA6ACAAIAAgAJIh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QAaQBtAGkAbgBpAHMAaABpAG4AZwBWAGEAbAB1AGUAuwMoADEAMAAwADAALAAgADUAKQC2AFwAIgAgACYAXABuACAAIAAgACAAIAAgACAAIAAgACAAIAAgACAAIAAgACAAIAAgACAAIAAgACAAIAAgACAAIAAgACAAXAAiAJIhUgBlAHMAdQBsAHQAtgBcACIAIAAmAFwAbgAgACAAIAAgACAAIAAgACAAIAAgACAAIAAgACAAIAAgACAAIAAgACAAIAAgACAAIAAgACAAIAAgAFwAIgCSITQAMAAwAC4AMAAwACwAMgA0ADAALgAwADAALAAxADQANAAuADAAMAAsADgANgAuADQAMAAsADEAMgA5AC4ANg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IAYQB0AGUAIABpAHMAIABjAGEAcABwAGUAZAA6ACAAYQAgAGwAaQBmAGUAIAB1AG4AZABlAHIAIAB0AHcAbwAgAHkAZQBhAHIAcwAgAHcAbwB1AGwAZAAgAG8AdABoAGUAcgB3AGkAcwBlACAAZQB4AGMAZQBlAGQAIAAxADAAMAAlAFwAbgAgACAAIAAgACAAIAAgACAAUgBhAHQAZQAsACAAIAAgACAAIAAgACAAIAAgACAAIABNAEkATgAoADIALwBMAGkAZgBlACwAIAAxACk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UwBlAHQAIABDAG8AbgBzAHQAYQBuAHQAcwBcAG4AIAAgACAAIAAgACAAIAAgAFAAZQByAGkAbwBkAHMALAAgACAAIAAgACAAIAAgACAAUwBFAFEAVQBFAE4AQwBFACgALAAgAEMAbwB1AG4AdAApACwAXABuACAAIAAgACAALwAvACAAIABUAGgAZQAgAFAAZQByAGkAbwBkAHMAPQAxACAAZwB1AGEAcgBkACAAYQB2AG8AaQBkAHMAIAAwAF4AMAAsACAAdwBoAGkAYwBoACAARQB4AGMAZQBsACAAcgBlAHQAdQByAG4AcwAgAGEAcwAgACMATgBVAE0AIQAgAG8AbgBjAGUAIABSAGEAdABlACAAcgBlAGEAYwBoAGUAcwAgADEAXABuACAAIAAgACAAIAAgACAAIABSAGEAdwAsACAAIAAgACAAIAAgACAAIAAgACAAIAAgAEMAbwBzAHQAIAAqACAAUgBhAHQAZQAgACoAIABJAEYAKABQAGUAcgBpAG8AZABzACAAPQAgADEALAAgADEALAAgACgAMQAtAFIAYQB0AGUAKQBeACgAUABlAHIAaQBvAGQAcwAtADEAKQApACwAXABuACAAIAAgACAALwAvACAAIABXAHIAaQB0AGUAIAB0AGgAZQAgAHUAbgBkAGUAZAB1AGMAdABlAGQAIAByAGUAcwBpAGQAdQBhAGwAIABvAGYAZgAgAGkAbgAgAHQAaABlACAAZgBpAG4AYQBsACAAcABlAHIAaQBvAGQAXABuACAAIAAgACAAIAAgACAAIABSAGUAcwB1AGwAdAAsACAAIAAgACAAIAAgACAAIAAgAFIAYQB3ACAAKwAgACgAUABlAHIAaQBvAGQAcwAgAD0AIABDAG8AdQBuAHQAKQAgACoAIAAoAEMAbwBzAHQAIAAtACAAUwBVAE0AKABSAGEAdw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cgBpAG0AZQBDAG8AcwB0ALsDXABuACAAIAAgACAARABFAFMAQwBSAEkAUABUAEkATwBOADoAKgAvAC8AKgAqAF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qAC8AXABuAFwAbgBQAHIAaQBtAGUAQwBvAHMAdA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HIAaQBtAGUAQwBvAHMAdAC7AygAQwBvAHMAdAAsACAATABpAGYAZQApALYAXAAiACAAJgBcAG4AIAAgACAAIAAgACAAIAAgACAAIAAgACAAIAAgACAAIAAgACAAIAAgACAAIAAgACAAIAAgACAAIABcACIARABFAFMAQwBSAEkAUABUAEkATwBOADo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QAHIAaQBtAGUAQwBvAHMAdAC7AygAMQAwADAAMAAsACAANQApALYAXAAiACAAJgBcAG4AIAAgACAAIAAgACAAIAAgACAAIAAgACAAIAAgACAAIAAgACAAIAAgACAAIAAgACAAIAAgACAAIABcACIAkiFSAGUAcwB1AGwAdAC2AFwAIgAgACYAXABuACAAIAAgACAAIAAgACAAIAAgACAAIAAgACAAIAAgACAAIAAgACAAIAAgACAAIAAgACAAIAAgACAAXAAiAJIhMgAwADAALgAwADAALAAyADAAMAAuADAAMAAsADIAMAAwAC4AMAAwACwAMgAwADAALgAwADAALAAyAD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TAGUAdAAgAEMAbwBuAHMAdABhAG4AdABzAFwAbgAgACAAIAAgACAAIAAgACAAQQBuAG4AdQBhAGwALAAgACAAIAAgACAAIAAgACAAIABDAG8AcwB0AC8ATABpAGYAZ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UAGgAZQAgAGYAaQBuAGEAbAAgAHAAZQByAGkAbwBkACAAYwBhAHIAcgBpAGUAcwAgAHQAaABlACAAcABhAHIAdAAtAHkAZQBhAHIAIAByAGUAbQBhAGkAbgBkAGUAcgAsACAAcwBvACAAdABoAGUAIABzAGMAaABlAGQAdQBsAGUAIABzAHUAbQBzACAAdABvACAAYwBvAHMAdABcAG4AIAAgACAAIAAgACAAIAAgAFIAZQBzAHUAbAB0ACwAIAAgACAAIAAgACAAIAAgACAASQBGACgAUwBFAFEAVQBFAE4AQwBFACgALAAgAEMAbwB1AG4AdAApACAAPQAgAEMAbwB1AG4AdAAsACAAQwBvAHMAdAAgAC0AIABBAG4AbgB1AGEAbAAgACoAIAAoAEMAbwB1AG4AdAAgAC0AIAAxACkALAAgAEEAbgBuAHUAYQBs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EAZABkALsDXABuACAAIAAgACAARABFAFMAQwBSAEkAUABUAEkATwBOADoAKgAvAC8AKgAqAEEAZABkAHMAIABHAFMAVAAgAHQAbwAgAG8AbgBlACAAbwByACAAbQBvAHIAZQAgAEcAUwBUAC0AZQB4AGMAbAB1AHMAaQB2AGUAIABhAG0AbwB1AG4AdABzACoALwBcAG4AXABuAEcAUwBUAEEAZABk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EAZABkALsDKABBAG0AbwB1AG4AdABzACwAIABbAFIAYQB0AGUAXQApALYAXAAiACAAJgBcAG4AIAAgACAAIAAgACAAIAAgACAAIAAgACAAIAAgACAAIAAgACAAIAAgACAAIAAgACAAIAAgACAAIABcACIARABFAFMAQwBSAEkAUABUAEkATwBOADoAIAAgACAAkiFBAGQAZABzACAARwBTAFQAIAB0AG8AIABvAG4AZQAgAG8AcgAgAG0AbwByAGUAIABHAFMAVAAtAGUAeABjAGwAdQBzAGkAdgBlACAAYQBtAG8AdQBuAHQAcwAuALYATgBPAFQARQBTACEAIAAgACAAIAAgACAAIAAgACAAkiFUAGgAZQAgADEAMAAlACAAZABlAGYAYQB1AGwAdAAgAGEAbgBkACAAbwBuAGUALQBlAGwAZQB2AGUAbgB0AGgAIABlAHgAdAByAGEAYwB0AGkAbwBuACAAcgBlAGYAbABlAGMAdAAgAHQAaABlACAAYgBhAHMAaQBjACAAcgB1AGwAZQC2ACAAIAAgACAAIAAgACAAIAAgACAAIAAgACAAIAAgAJIhZgBvAHIAIABhACAAdABhAHgAYQBiAGwAZQAgAHMAdQBwAHAAbAB5ACAAaQBuACAAQQAgAE4AZQB3ACAAVABhAHgAIABTAHkAcwB0AGUAbQAgACgARwBvAG8AZABzACAAYQBuAGQAIABTAGUAcgB2AGkAYwBlAHMAIABUAGEAeAApALYAIAAgACAAIAAgACAAIAAgACAAIAAgACAAIAAgACAAkiFBAGMAdAAgADEAOQA5ADkAIABzAHMAIAA5AC0ANwAwACAAYQBuAGQAIAA5AC0ANwA1ACAAKABzAG8AdQByAGMAZQAgAGMAaABlAGMAawBlAGQAIAAyADAAIABBAHUAZwB1AHMAdAAgADIAMAAyADYAKQAuALYAIAAgACAAIAAgACAAIAAgACAAIAAgACAAIAAgACAAkiFSAGUAYwBoAGUAYwBrACAAdABoAGUAIABjAHUAcgByAGUAbgB0ACAAQQBjAHQALgAgAFQAaABlAHMAZQAgAGgAZQBsAHAAZQByAHMAIABhAHAAcABsAHkAIABhAHIAaQB0AGgAbQBlAHQAaQBjACAAbwBuAGwAeQA6ACAAdABoAGUAeQC2ACAAIAAgACAAIAAgACAAIAAgACAAIAAgACAAIAAgAJIhZABvACAAbgBvAHQAIABkAGUAYwBpAGQAZQAgAHcAaABlAHQAaABlAHIAIABhACAAcwB1AHAAcABsAHkAIABpAHMAIAB0AGEAeABhAGIAbABlACwAIABHAFMAVAAtAGYAcgBlAGUALAAgAGkAbgBwAHUAdAAgAHQAYQB4AGUAZAAsALYAIAAgACAAIAAgACAAIAAgACAAIAAgACAAIAAgACAAkiFvAHUAdABzAGkAZABlACAAdABoAGUAIABHAFMAVAAgAHMAeQBzAHQAZQBtACwAIABvAHIAIABzAHUAYgBqAGUAYwB0ACAAdABvACAAYQAgAHMAcABlAGMAaQBhAGwAIAByAHUAbABl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ZQB4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wBTAFQAQQBkAGQAuwMoADEAMAAwACkAtgBcACIAIAAmAFwAbgAgACAAIAAgACAAIAAgACAAIAAgACAAIAAgACAAIAAgACAAIAAgACAAIAAgACAAIAAgACAAIAAgAFwAIgCSIVIAZQBzAHUAbAB0ALYAXAAiACAAJgBcAG4AIAAgACAAIAAgACAAIAAgACAAIAAgACAAIAAgACAAIAAgACAAIAAgACAAIAAgACAAIAAgACAAIABcACIAkiExAD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XABuACAAIAAgACAAIAAgACAAIABHAFMAVABSAGEAdABlACwAIAAgACAAIAAgACAAIAAgAEkARgAoAE8AUgAoAEkAUwBPAE0ASQBUAFQARQBEACgAUgBhAHQAZQApACwAIABUAFIASQBNACgAUgBhAHQAZQAgACYAIABcACIAXAAiACkAPQBcACIAXAAiACkALAAgADAALgAxACwAIABSAGEAdABl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CgAMQAgACsAIABHAFMAVABSAGEAdA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wBTAFQARQB4AHQAcgBhAGMAdAC7A1wAbgAgACAAIAAgAEQARQBTAEMAUgBJAFAAVABJAE8ATgA6ACoALwAvACoAKgBSAGUAdAB1AHIAbgBzACAAdABoAGUAIABHAFMAVAAgAGMAbwBuAHQAYQBpAG4AZQBkACAAaQBuACAAbwBuAGUAIABvAHIAIABtAG8AcgBlACAARwBTAFQALQBpAG4AYwBsAHUAcwBpAHYAZQAgAGEAbQBvAHUAbgB0AHMAKgAvAFwAbgBcAG4ARwBTAFQARQB4AHQAcgBhAGMAd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FAHgAdAByAGEAYwB0ALsDKABBAG0AbwB1AG4AdABzACwAIABbAFIAYQB0AGUAXQApALYAXAAiACAAJgBcAG4AIAAgACAAIAAgACAAIAAgACAAIAAgACAAIAAgACAAIAAgACAAIAAgACAAIAAgACAAIAAgACAAIABcACIARABFAFMAQwBSAEkAUABUAEkATwBOADoAIAAgACAAkiFSAGUAdAB1AHIAbgBzACAAdABoAGUAIABHAFMAVAAgAGMAbwBuAHQAYQBpAG4AZQBkACAAaQBuACAAbwBuAGUAIABvAHIAIABtAG8AcgBlACAARwBTAFQALQBpAG4AYwBsAHUAcwBpAHYAZQAgAGEAbQBvAHUAbgB0AHMALgC2AE4ATwBUAEUAUwAhACAAIAAgACAAIAAgACAAIAAgAJIhVABoAGUAIAAxADAAJQAgAGQAZQBmAGEAdQBsAHQAIABhAG4AZAAgAG8AbgBlAC0AZQBsAGUAdgBlAG4AdABoACAAZQB4AHQAcgBhAGMAdABpAG8AbgAgAHIAZQBmAGwAZQBjAHQAIAB0AGgAZQAgAGIAYQBzAGkAYwAgAHIAdQBsAGUAtgAgACAAIAAgACAAIAAgACAAIAAgACAAIAAgACAAIACSIWYAbwByACAAYQAgAHQAYQB4AGEAYgBsAGUAIABzAHUAcABwAGwAeQAgAGkAbgAgAEEAIABOAGUAdwAgAFQAYQB4ACAAUwB5AHMAdABlAG0AIAAoAEcAbwBvAGQAcwAgAGEAbgBkACAAUwBlAHIAdgBpAGMAZQBzACAAVABhAHgAKQC2ACAAIAAgACAAIAAgACAAIAAgACAAIAAgACAAIAAgAJIhQQBjAHQAIAAxADkAOQA5ACAAcwBzACAAOQAtADcAMAAgAGEAbgBkACAAOQAtADcANQAgACgAcwBvAHUAcgBjAGUAIABjAGgAZQBjAGsAZQBkACAAMgAwACAAQQB1AGcAdQBzAHQAIAAyADAAMgA2ACkALgC2ACAAIAAgACAAIAAgACAAIAAgACAAIAAgACAAIAAgAJIhUgBlAGMAaABlAGMAawAgAHQAaABlACAAYwB1AHIAcgBlAG4AdAAgAEEAYwB0AC4AIABUAGgAZQBzAGUAIABoAGUAbABwAGUAcgBzACAAYQBwAHAAbAB5ACAAYQByAGkAdABoAG0AZQB0AGkAYwAgAG8AbgBsAHkAOgAgAHQAaABlAHkAtgAgACAAIAAgACAAIAAgACAAIAAgACAAIAAgACAAIACSIWQAbwAgAG4AbwB0ACAAZABlAGMAaQBkAGUAIAB3AGgAZQB0AGgAZQByACAAYQAgAHMAdQBwAHAAbAB5ACAAaQBzACAAdABhAHgAYQBiAGwAZQAsACAARwBTAFQALQBmAHIAZQBlACwAIABpAG4AcAB1AHQAIAB0AGEAeABlAGQALAC2ACAAIAAgACAAIAAgACAAIAAgACAAIAAgACAAIAAgAJIhbwB1AHQAcwBpAGQAZQAgAHQAaABlACAARwBTAFQAIABzAHkAcwB0AGUAbQAsACAAbwByACAAcwB1AGIAagBlAGMAdAAgAHQAbwAgAGEAIABzAHAAZQBjAGkAYQBsACAAcgB1AGwAZ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kAbg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cAUwBUAEUAeAB0AHIAYQBjAHQAuwMoADEAMQAwACkAtgBcACIAIAAmAFwAbgAgACAAIAAgACAAIAAgACAAIAAgACAAIAAgACAAIAAgACAAIAAgACAAIAAgACAAIAAgACAAIAAgAFwAIgCSIVIAZQBzAHUAbAB0ALYAXAAiACAAJgBcAG4AIAAgACAAIAAgACAAIAAgACAAIAAgACAAIAAgACAAIAAgACAAIAAgACAAIAAgACAAIAAgACAAIABcACIAkiE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BHAFMAVABSAGEAdABlACAALwAgACgAMQAgACsAIABHAFMAVABSAGEAdA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TABlAGEAcwBlAEwAaQBhAGIAaQBsAGkAdAB5ALsDXABuACAAIAAgACAARABFAFMAQwBSAEkAUABUAEkATwBOADoAKgAvAC8AKgAqAFAAcgBlAHMAZQBuAHQAIAB2AGEAbAB1AGUAIABvAGYAIAB0AGgAZQAgAGwAZQBhAHMAZQAgAHAAYQB5AG0AZQBuAHQAcwAgAHQAaABhAHQAIABhAHIAZQAgAG4AbwB0ACAAcABhAGkAZAAgAGEAdAAgAHQAaABlACAAYwBvAG0AbQBlAG4AYwBlAG0AZQBuAHQAIABkAGEAdABlACoALwBcAG4AXABuAEwAZQBhAHMAZQBMAGkAYQBiAGkAbABpAHQAeQC7AyAAPQAgAEwAQQBNAEIARABBACgAXABuAC8ALwAgACAAUABhAHIAYQBtAGUAdABlAHIAIABEAGUAYwBsAGEAcgBhAHQAaQBvAG4AXABuACAAIAAgACAAWwBQAGEAeQBtAGUAbgB0AHMAXQAsAFwAbgAgACAAIAAgAFsAUgBhAHQAZQBdACwAXABuACAAIAAgACAAWwBJAG4AQQBkAHYAYQBuAGM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wAZQBhAHMAZQBMAGkAYQBiAGkAbABpAHQAeQC7AygAUABhAHkAbQBlAG4AdABzACwAIABSAGEAdABlACwAIABbAEkAbgBBAGQAdgBhAG4AYwBlAF0AKQC2AFwAIgAgACYAXABuACAAIAAgACAAIAAgACAAIAAgACAAIAAgACAAIAAgACAAIAAgACAAIAAgACAAIAAgACAAIAAgACAAXAAiAEQARQBTAEMAUgBJAFAAVABJAE8ATgA6ACAAIAAgAJIhUAByAGUAcwBlAG4AdAAgAHYAYQBsAHUAZQAgAG8AZgAgAHQAaABlACAAbABlAGEAcwBlACAAcABhAHkAbQBlAG4AdABzACAAdABoAGEAdAAgAGEAcgBlACAAbgBvAHQAIABwAGEAaQBkACAAYQB0ACAAdABoAGUAIABjAG8AbQBtAGUAbgBjAGUAbQBlAG4AdAAgAGQAYQB0AGUALgC2AE4ATwBUAEUAUwAhACAAIAAgACAAIAAgACAAIAAgAJIhQQBBAFMAQgAgADEANgAgAHAAYQByAGEAZwByAGEAcABoACAAMgA2ACAAbQBlAGEAcwB1AHIAZQBzACAAdABoAGUAIABsAGUAYQBzAGUAIABsAGkAYQBiAGkAbABpAHQAeQAgAGEAdAAgAHQAaABlACAAcAByAGUAcwBlAG4AdAAgAHYAYQBsAHUAZQC2ACAAIAAgACAAIAAgACAAIAAgACAAIAAgACAAIAAgAJIhbwBmACAAdABoAGUAIABsAGUAYQBzAGUAIABwAGEAeQBtAGUAbgB0AHMAIABuAG8AdAAgAHAAYQBpAGQAIABhAHQAIAB0AGgAZQAgAGMAbwBtAG0AZQBuAGMAZQBtAGUAbgB0ACAAZABhAHQAZQAsACAAZABpAHMAYwBvAHUAbgB0AGUAZAAgAGEAdAC2ACAAIAAgACAAIAAgACAAIAAgACAAIAAgACAAIAAgAJIhdABoAGUAIABpAG4AdABlAHIAZQBzAHQAIAByAGEAdABlACAAaQBtAHAAbABpAGMAaQB0ACAAaQBuACAAdABoAGUAIABsAGUAYQBzAGUAIAB3AGgAZQByAGUAIAB0AGgAYQB0ACAAcgBhAHQAZQAgAGMAYQBuACAAYgBlACAAcgBlAGEAZABpAGwAeQC2ACAAIAAgACAAIAAgACAAIAAgACAAIAAgACAAIAAgAJIhZABlAHQAZQByAG0AaQBuAGUAZAAgAGEAbgBkACAAYQB0ACAAdABoAGUAIABsAGUAcwBzAGUAZQAnAHMAIABpAG4AYwByAGUAbQBlAG4AdABhAGwAIABiAG8AcgByAG8AdwBpAG4AZwAgAHIAYQB0AGUAIAB3AGgAZQByAGUAIABpAHQAtgAgACAAIAAgACAAIAAgACAAIAAgACAAIAAgACAAIACSIWMAYQBuAG4AbwB0AC4AIABXAGgAZQBuACAASQBuAEEAZAB2AGEAbgBjAGUAIABpAHMAIABUAFIAVQBFACwAIAB0AGgAZQAgAGYAaQByAHMAdAAgAHMAdQBwAHAAbABpAGUAZAAgAHAAYQB5AG0AZQBuAHQAIABpAHMAIABwAGEAaQBkACAAYQB0ALYAIAAgACAAIAAgACAAIAAgACAAIAAgACAAIAAgACAAkiF0AGgAZQAgAG0AZQBhAHMAdQByAGUAbQBlAG4AdAAgAGQAYQB0AGUAIABhAG4AZAAgAGUAeABjAGwAdQBkAGUAZAAgAGYAcgBvAG0AIAB0AGgAZQAgAGwAaQBhAGIAaQBsAGkAdAB5AC4AIABBAGQAZAAgAGEAIABwAGEAeQBtAGUAbgB0ALYAIAAgACAAIAAgACAAIAAgACAAIAAgACAAIAAgACAAkiFtAGEAZABlACAAYQB0ACAAbwByACAAYgBlAGYAbwByAGUAIABjAG8AbQBtAGUAbgBjAGUAbQBlAG4AdAAgAHQAbwAgAHQAaABlACAAcgBpAGcAaAB0AC0AbwBmAC0AdQBzAGUAIABhAHMAcwBlAHQAIABjAG8AcwB0ACAAaQBuAHMAdABlAGEAZAAuALYAIAAgACAAIAAgACAAIAAgACAAIAAgACAAIAAgACAAkiFSAGEAdABlACAAaQBzACAAdABoAGUAIAByAGEAdABlACAAcABlAHIAIABwAGUAcgBpAG8AZAAsACAAcwBvACAAZABpAHYAaQBkAGUAIABhAG4AIABhAG4AbgB1AGEAbAAgAHIAYQB0AGUAIABiAHkAIAB0AGgAZQAgAG4AdQBtAGIAZQByACAAbwBmALYAIAAgACAAIAAgACAAIAAgACAAIAAgACAAIAAgACAAkiFwAGUAcgBpAG8AZABzACAAaQBuACAAYQAgAHkAZQBhAHIALgAgAEkAbgBjAGwAdQBkAGUAIABhAG4AIABhAG0AbwB1AG4AdAAgAGUAeABwAGUAYwB0AGUAZAAgAHQAbwAgAGIAZQAgAHAAYQB5AGEAYgBsAGUAIAB1AG4AZABlAHIAIABhALYAIAAgACAAIAAgACAAIAAgACAAIAAgACAAIAAgACAAkiFyAGUAcwBpAGQAdQBhAGwAIAB2AGEAbAB1AGUAIABnAHUAYQByAGEAbgB0AGUAZQAsACAAbwByACAAdABoAGUAIABlAHgAZQByAGMAaQBzAGUAIABwAHIAaQBjAGUAIABvAGYAIABhACAAcAB1AHIAYwBoAGEAcwBlACAAbwBwAHQAaQBvAG4ALAC2ACAAIAAgACAAIAAgACAAIAAgACAAIAAgACAAIAAgAJIhaQBuACAAdABoAGUAIABmAGkAbgBhAGwAIABwAGUAcgBpAG8AZAAgAHcAaABlAHIAZQAgAHAAYQByAGEAZwByAGEAcABoACAAMgA3ACAAYgByAGkAbgBnAHMAIABpAHQAIABpAG4AdABvACAAdABoAGUAIABsAGUAYQBzAGUAtgAgACAAIAAgACAAIAAgACAAIAAgACAAIAAgACAAIACSIXAAYQB5AG0AZQBuAHQAcwAuACAARABlAHIAaQB2AGUAIABhAG4AIABpAG0AcABsAGkAYwBpAHQAIAByAGEAdABlACAAdwBpAHQAaAAgAEkAUgBSALsDKAApACAAbwB2AGUAcgAgAHQAaABlACAAcwBhAG0AZQAgAGMAYQBzAGgAIABmAGwAbwB3AHMALgC2ACAAIAAgACAAIAAgACAAIAAgACAAIAAgACAAIAAgAJIhQQByAGkAdABoAG0AZQB0AGkAYwAgAG8AbgBsAHkAOgAgAHQAaABpAHMAIABkAG8AZQBzACAAbgBvAHQAIABkAGUAdABlAHIAbQBpAG4AZQAgAHQAaABlACAAbABlAGEAcwBlACAAdABlAHIAbQAsACAAZABlAGMAaQBkAGUAIAB3AGgAYQB0ACAAaQBzALYAIAAgACAAIAAgACAAIAAgACAAIAAgACAAIAAgACAAkiFhACAAbABlAGEAcwBlACAAcABhAHkAbQBlAG4AdAAsACAAbwByACAAZABlAGMAaQBkAGUAIAB3AGgAZQB0AGgAZQByACAAdABoAGUAIABhAHIAcgBhAG4AZwBlAG0AZQBuAHQAIABjAG8AbgB0AGEAaQBuAHMAIABhACAAbABlAGEAcwBlAC4AtgAgACAAIAAgACAAIAAgACAAIAAgACAAIAAgACAAIACSIUEAQQBTAEIAIAAxADYAIABjAG8AbQBwAGkAbABhAHQAaQBvAG4AIABjAGgAZQBjAGsAZQBkACAAMgA0ACAAQQB1AGcAdQBzAHQAIAAyADAAMgA2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0ACAAQQB1AGcAIAAyADAAMgA2ALYAXAAiACAAJgBcAG4AIAAgACAAIAAgACAAIAAgACAAIAAgACAAIAAgACAAIAAgACAAIAAgACAAIAAgACAAIAAgACAAIABcACIAUABBAFIAQQBNAEUAVABFAFIAUwA6ACAAIAAgACAAkiG2AFwAIgAgACYAXABuACAAIAAgACAAIAAgACAAIAAgACAAIAAgACAAIAAgACAAIAAgACAAIAAgACAAIAAgACAAIAAgACAAXAAiAFAAYQB5AG0AZQBuAHQAcwAgACAAIAAgACAAIAAgAJIhKABSAGUAcQB1AGkAcgBlAGQAKQAgAE8AbgBlACAAcgBvAHcAIABvAHIAIABvAG4AZQAgAGMAbwBsAHUAbQBuACAAbwBmACAAbABlAGEAcwBlACAAcABhAHkAbQBlAG4AdABzACwAIABvAG4AZQAgAHAAZQByACAAcABlAHIAaQBvAGQALAAgAGUAbgB0AGUAcgBlAGQAIABwAG8AcwBpAHQAaQB2AGUALgAgAEkAbgBjAGwAdQBkAGUAIAB0AGgAZQAgAG0AZQBhAHMAdQByAGUAbQBlAG4AdAAtAGQAYQB0AGUAIABwAGEAeQBtAGUAbgB0ACAAZgBpAHIAcwB0ACAAdwBoAGUAbgAgAEkAbgBBAGQAdgBhAG4AYwBlACAAaQBzACAAVABSAFUARQAuALYAXAAiACAAJgBcAG4AIAAgACAAIAAgACAAIAAgACAAIAAgACAAIAAgACAAIAAgACAAIAAgACAAIAAgACAAIAAgACAAIABcACIAUgBhAHQAZQAgACAAIAAgACAAIAAgACAAIAAgACAAkiEoAFIAZQBxAHUAaQByAGUAZAApACAARABpAHMAYwBvAHUAbgB0ACAAcgBhAHQAZQAgAHAAZQByACAAcABlAHIAaQBvAGQALAAgAG4AbwB0ACAAcABlAHIAIAB5AGUAYQByAC4AtgBcACIAIAAmAFwAbgAgACAAIAAgACAAIAAgACAAIAAgACAAIAAgACAAIAAgACAAIAAgACAAIAAgACAAIAAgACAAIAAgAFwAIgBJAG4AQQBkAHYAYQBuAGMAZQAgACAAIAAgACAAIACSISgATwBwAHQAaQBvAG4AYQBsADoAIABEAGUAZgBhAHUAbAB0ACAAPQAgAEYAQQBMAFMARQApACAAVABSAFUARQAgAHcAaABlAG4AIAB0AGgAZQAgAGYAaQByAHMAdAAgAHMAdQBwAHAAbABpAGUAZAAgAHAAYQB5AG0AZQBuAHQAIABpAHMAIABwAGEAaQBkACAAYQB0ACAAdABoAGUAIABtAGUAYQBzAHUAcgBlAG0AZQBuAHQAIABkAGEAdABl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TABlAGEAcwBlAEwAaQBhAGIAaQBsAGkAdAB5ALsDKAB7ADEAMAAwACwAMQAwADAALAAxADAAMAB9ACwAIAAwAC4AMAA1ACkAtgBcACIAIAAmAFwAbgAgACAAIAAgACAAIAAgACAAIAAgACAAIAAgACAAIAAgACAAIAAgACAAIAAgACAAIAAgACAAIAAgAFwAIgCSIVIAZQBzAHUAbAB0ALYAXAAiACAAJgBcAG4AIAAgACAAIAAgACAAIAAgACAAIAAgACAAIAAgACAAIAAgACAAIAAgACAAIAAgACAAIAAgACAAIABcACIAkiEyADcAMgAuADMAMg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UABhAHkAbQBlAG4AdABzACkALAAgAEkAUwBPAE0ASQBUAFQARQBEACgAUgBhAHQAZQApACkALABcAG4AIAAgACAAIAAvAC8AIAAgAEEAIABiAGwAYQBuAGsAIABJAG4AQQBkAHYAYQBuAGMAZQAgAGMAZQBsAGwAIABpAHMAIABuAG8AdAAgAGEAbgAgAG8AbQBpAHQAdABlAGQAIABhAHIAZwB1AG0AZQBuAHQALAAgAHMAbwAgAHQAZQBzAHQAIABmAG8AcgAgAGIAbwB0AGgAXABuACAAIAAgACAAIAAgACAAIABBAGQAdgBhAG4AYwBlAD8ALAAgACAAIAAgACAAIAAgAEkARgAoAE8AUgAoAEkAUwBPAE0ASQBUAFQARQBEACgASQBuAEEAZAB2AGEAbgBjAGUAKQAsACAAVABSAEkATQAoAEkAbgBBAGQAdgBhAG4AYwBlACAAJgAgAFwAIgBcACIAKQA9AFwAIgBcACIAKQAsACAARgBBAEwAUwBFACwAIABJAG4AQQBkAHYAYQBuAGMAZQApACwAXABuACAAIAAgACAALwAvACAAIABPAG4AZQAgAGwAZQBhAHMAZQAgAGEAdAAgAGEAIAB0AGkAbQBlACwAIABsAGEAaQBkACAAYQBsAG8AbgBnACAAYQAgAHIAbwB3ACAAdABoAGUAIAB3AGEAeQAgAHQAaABlACAAdABpAG0AZQBsAGkAbgBlACAAaABlAGwAcABlAHIAcwAgAGUAeABwAGUAYwB0AFwAbgAgACAAIAAgACAAIAAgACAARgBsAGEAdAAsACAAIAAgACAAIAAgACAAIAAgACAAIABJAEYAKABSAE8AVwBTACgAUABhAHkAbQBlAG4AdABzACkAIAA9ACAAMQAsACAAUABhAHkAbQBlAG4AdABzACwAIABUAFIAQQBOAFMAUABPAFMARQAoAFAAYQB5AG0AZQBuAHQAcwApACkALABcAG4AIAAgACAAIAAgACAAIAAgAEMAbwB1AG4AdAAsACAAIAAgACAAIAAgACAAIAAgACAAQwBPAEwAVQBNAE4AUwAoAEYAbABhAHQAKQAsAFwAbgAgACAAIAAgAC8ALwAgACAAVABoAGUAIABmAGkAcgBzAHQAIABpAG4ALQBhAGQAdgBhAG4AYwBlACAAcABhAHkAbQBlAG4AdAAgAGkAcwAgAG0AYQBkAGUAIABhAHQAIAB0AGgAZQAgAG0AZQBhAHMAdQByAGUAbQBlAG4AdAAgAGQAYQB0AGUALAAgAG4AbwB0ACAAbABlAGYAdAAgAHUAbgBwAGEAaQBkAFwAbgAgACAAIAAgACAAIAAgACAATABpAGEAYgBpAGwAaQB0AHkAUABhAHkAbQBlAG4AdABzACwAIABJAEYAKABBAE4ARAAoAEEAZAB2AGEAbgBjAGUAPwAsACAAQwBvAHUAbgB0ACAAPgAgADEAKQAsAFwAbgAgACAAIAAgACAAIAAgACAAIAAgACAAIAAgACAAIAAgACAAIAAgACAAIAAgACAAIAAgACAAIAAgACAAIAAgACAARABSAE8AUAAoAEYAbABhAHQALAAgACwAIAAxACkALABcAG4AIAAgACAAIAAgACAAIAAgACAAIAAgACAAIAAgACAAIAAgACAAIAAgACAAIAAgACAAIAAgACAAIAAgACAAIAAgAEkARgAoAEEAZAB2AGEAbgBjAGUAPwAsACAAMAAsACAARgBsAGEAdAApACkALABcAG4AIAAgACAAIAAgACAAIAAgAEUAeABwAG8AbgBlAG4AdABzACwAIAAgACAAIAAgACAAUwBFAFEAVQBFAE4AQwBFACgAMQAsACAAQwBPAEwAVQBNAE4AUwAoAEwAaQBhAGIAaQBsAGkAdAB5AFAAYQB5AG0AZQBuAHQAcwApACkALABcAG4AIAAgACAAIAAgACAAIAAgAFIAZQBzAHUAbAB0ACwAIAAgACAAIAAgACAAIAAgACAAUwBVAE0AKABMAGkAYQBiAGkAbABpAHQAeQBQAGEAeQBtAGUAbgB0AHMAIAAvACAAKAAxACAAKwAgAFIAYQB0AGUAKQAgAF4AIABFAHgAcABvAG4AZQBuAHQAcw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wAZQBhAHMAZQBTAGMAaABlAGQAdQBsAGUAuwNcAG4AIAAgACAAIABEAEUAUwBDAFIASQBQAFQASQBPAE4AOgAqAC8ALwAqACoAVQBuAHcAaQBuAGQAcwAgAGEAbgAgAEEAQQBTAEIAIAAxADYAIABsAGUAYQBzAGUAIABsAGkAYQBiAGkAbABpAHQAeQA6ACAAbwBwAGUAbgBpAG4AZwAsACAAcABhAHkAbQBlAG4AdAAsACAAaQBuAHQAZQByAGUAcwB0ACAAYQBuAGQAIABjAGwAbwBzAGkAbgBnACAAZgBvAHIAIABlAGEAYwBoACAAcABlAHIAaQBvAGQAKgAvAFwAbgBcAG4ATABlAGEAcwBlAFMAYwBoAGUAZAB1AGwAZQC7AyAAPQAgAEwAQQBNAEIARABBACgAXABuAC8ALwAgACAAUABhAHIAYQBtAGUAdABlAHIAIABEAGUAYwBsAGEAcgBhAHQAaQBvAG4AXABuACAAIAAgACAAWwBQAGEAeQBtAGUAbgB0AHMAXQAsAFwAbgAgACAAIAAgAFsAUgBhAHQAZQBdACwAXABuACAAIAAgACAAWwBJAG4AQQBkAHYAYQBuAGM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wAZQBhAHMAZQBTAGMAaABlAGQAdQBsAGUAuwMoAFAAYQB5AG0AZQBuAHQAcwAsACAAUgBhAHQAZQAsACAAWwBJAG4AQQBkAHYAYQBuAGMAZQBdACkAtgBcACIAIAAmAFwAbgAgACAAIAAgACAAIAAgACAAIAAgACAAIAAgACAAIAAgACAAIAAgACAAIAAgACAAIAAgACAAIAAgAFwAIgBEAEUAUwBDAFIASQBQAFQASQBPAE4AOgAgACAAIACSIVUAbgB3AGkAbgBkAHMAIABhAG4AIABBAEEAUwBCACAAMQA2ACAAbABlAGEAcwBlACAAbABpAGEAYgBpAGwAaQB0AHkAIABvAHYAZQByACAAaQB0AHMAIAB0AGUAcgBtAC4AtgBOAE8AVABFAFMAIQAgACAAIAAgACAAIAAgACAAIACSIVIAZQB0AHUAcgBuAHMAIABmAG8AdQByACAAcgBvAHcAcwA6ACAAbwBwAGUAbgBpAG4AZwAgAGwAaQBhAGIAaQBsAGkAdAB5ACwAIABwAGEAeQBtAGUAbgB0ACwAIABpAG4AdABlAHIAZQBzAHQALAAgAGMAbABvAHMAaQBuAGcAtgAgACAAIAAgACAAIAAgACAAIAAgACAAIAAgACAAIACSIWwAaQBhAGIAaQBsAGkAdAB5AC4AIABXAGgAZQBuACAASQBuAEEAZAB2AGEAbgBjAGUAIABpAHMAIABUAFIAVQBFACwAIAB0AGgAZQAgAGYAaQByAHMAdAAgAHMAdQBwAHAAbABpAGUAZAAgAHAAYQB5AG0AZQBuAHQAIABpAHMAIABwAGEAaQBkALYAIAAgACAAIAAgACAAIAAgACAAIAAgACAAIAAgACAAkiFhAHQAIAB0AGgAZQAgAG0AZQBhAHMAdQByAGUAbQBlAG4AdAAgAGQAYQB0AGUAIABhAG4AZAAgAGkAcwAgAGUAeABjAGwAdQBkAGUAZAAgAGYAcgBvAG0AIABiAG8AdABoACAAdABoAGUAIABvAHAAZQBuAGkAbgBnACAAbABpAGEAYgBpAGwAaQB0AHkAtgAgACAAIAAgACAAIAAgACAAIAAgACAAIAAgACAAIACSIWEAbgBkACAAdABoAGUAIABwAGEAeQBtAGUAbgB0ACAAcgBvAHcALgAgAEUAYQBjAGgAIAByAGUAbQBhAGkAbgBpAG4AZwAgAHAAYQB5AG0AZQBuAHQAIABmAG8AbABsAG8AdwBzACAAbwBuAGUAIABwAGUAcgBpAG8AZAAgAG8AZgC2ACAAIAAgACAAIAAgACAAIAAgACAAIAAgACAAIAAgAJIhaQBuAHQAZQByAGUAcwB0ACwAIABzAG8AIABjAGwAbwBzAGkAbgBnACAAaQBzACAAbwBwAGUAbgBpAG4AZwAgAHAAbAB1AHMAIABpAG4AdABlAHIAZQBzAHQAIABsAGUAcwBzACAAcABhAHkAbQBlAG4AdAAgAGEAbgBkACAAdABoAGUAIABsAGEAcwB0ALYAIAAgACAAIAAgACAAIAAgACAAIAAgACAAIAAgACAAkiFjAGwAbwBzAGkAbgBnACAAYgBhAGwAYQBuAGMAZQAgAGkAcwAgAG4AaQBsAC4AIABUAGgAZQAgAHIAZQBzAHUAbAB0ACAAaABhAHMAIABvAG4AZQAgAGYAZQB3AGUAcgAgAGMAbwBsAHUAbQBuACAAZgBvAHIAIABwAGEAeQBtAGUAbgB0AHMAIABpAG4AtgAgACAAIAAgACAAIAAgACAAIAAgACAAIAAgACAAIACSIWEAZAB2AGEAbgBjAGUAOwAgAGEAIABzAG8AbABlACAAbQBlAGEAcwB1AHIAZQBtAGUAbgB0AC0AZABhAHQAZQAgAHAAYQB5AG0AZQBuAHQAIAByAGUAdAB1AHIAbgBzACAAbwBuAGUAIAB6AGUAcgBvACAAYwBvAGwAdQBtAG4ALgAgAFQAaABlALYAIAAgACAAIAAgACAAIAAgACAAIAAgACAAIAAgACAAkiFvAHAAZQBuAGkAbgBnACAAYgBhAGwAYQBuAGMAZQAgAGkAcwAgAEwAZQBhAHMAZQBMAGkAYQBiAGkAbABpAHQAeQC7AygAKQAgAG8AbgAgAHQAaABlACAAcwBhAG0AZQAgAGEAcgBnAHUAbQBlAG4AdABzAC4AIABQAGEAaQByACAAdABoAGkAcwC2ACAAIAAgACAAIAAgACAAIAAgACAAIAAgACAAIAAgAJIhdwBpAHQAaAAgAFIATwBVAFMAYwBoAGUAZAB1AGwAZQC7AygAKQAgAGYAbwByACAAdABoAGUAIABhAHMAcwBlAHQAIAB0AGgAYQB0ACAAcwBpAHQAcwAgAG8AcABwAG8AcwBpAHQAZQAgAGkAdAA6ACAAdABoAGUAIAB0AHcAbwC2ACAAIAAgACAAIAAgACAAIAAgACAAIAAgACAAIAAgAJIhdABvAGcAZQB0AGgAZQByACAAZwBpAHYAZQAgAHQAaABlACAAZgByAG8AbgB0AC0AbABvAGEAZABlAGQAIABlAHgAcABlAG4AcwBlACAAcAByAG8AZgBpAGwAZQAgAEEAQQBTAEIAIAAxADYAIABwAHIAbwBkAHUAYwBlAHMALgC2ACAAIAAgACAAIAAgACAAIAAgACAAIAAgACAAIAAgAJIhQQByAGkAdABoAG0AZQB0AGkAYwAgAG8AbgBsAHkALAAgAG8AbgAgAHQAaABlACAAcABhAHkAbQBlAG4AdABzACAAYQBuAGQAIAByAGEAdABlACAAeQBvAHUAIABzAHUAcABwAGwAe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NAAgAEEAdQBnACAAMgAwADIANgC2AFwAIgAgACYAXABuACAAIAAgACAAIAAgACAAIAAgACAAIAAgACAAIAAgACAAIAAgACAAIAAgACAAIAAgACAAIAAgACAAXAAiAFAAQQBSAEEATQBFAFQARQBSAFMAOgAgACAAIAAgAJIhtgBcACIAIAAmAFwAbgAgACAAIAAgACAAIAAgACAAIAAgACAAIAAgACAAIAAgACAAIAAgACAAIAAgACAAIAAgACAAIAAgAFwAIgBQAGEAeQBtAGUAbgB0AHMAIAAgACAAIAAgACAAIACSISgAUgBlAHEAdQBpAHIAZQBkACkAIABPAG4AZQAgAHIAbwB3ACAAbwByACAAbwBuAGUAIABjAG8AbAB1AG0AbgAgAG8AZgAgAGwAZQBhAHMAZQAgAHAAYQB5AG0AZQBuAHQAcwAsACAAbwBuAGUAIABwAGUAcgAgAHAAZQByAGkAbwBkACwAIABlAG4AdABlAHIAZQBkACAAcABvAHMAaQB0AGkAdgBlAC4AIABJAG4AYwBsAHUAZABlACAAdABoAGUAIABtAGUAYQBzAHUAcgBlAG0AZQBuAHQALQBkAGEAdABlACAAcABhAHkAbQBlAG4AdAAgAGYAaQByAHMAdAAgAHcAaABlAG4AIABJAG4AQQBkAHYAYQBuAGMAZQAgAGkAcwAgAFQAUgBVAEUALgC2AFwAIgAgACYAXABuACAAIAAgACAAIAAgACAAIAAgACAAIAAgACAAIAAgACAAIAAgACAAIAAgACAAIAAgACAAIAAgACAAXAAiAFIAYQB0AGUAIAAgACAAIAAgACAAIAAgACAAIAAgAJIhKABSAGUAcQB1AGkAcgBlAGQAKQAgAEQAaQBzAGMAbwB1AG4AdAAgAHIAYQB0AGUAIABwAGUAcgAgAHAAZQByAGkAbwBkACwAIABuAG8AdAAgAHAAZQByACAAeQBlAGEAcgAuALYAXAAiACAAJgBcAG4AIAAgACAAIAAgACAAIAAgACAAIAAgACAAIAAgACAAIAAgACAAIAAgACAAIAAgACAAIAAgACAAIABcACIASQBuAEEAZAB2AGEAbgBjAGUAIAAgACAAIAAgACAAkiEoAE8AcAB0AGkAbwBuAGEAbAA6ACAARABlAGYAYQB1AGwAdAAgAD0AIABGAEEATABTAEUAKQAgAFQAUgBVAEUAIAB3AGgAZQBuACAAdABoAGUAIABmAGkAcgBzAHQAIABzAHUAcABwAGwAaQBlAGQAIABwAGEAeQBtAGUAbgB0ACAAaQBzACAAcABhAGkAZAAgAGEAdAAgAHQAaABlACAAbQBlAGEAcwB1AHIAZQBtAGUAbgB0ACAAZABhAHQAZQ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wAZQBhAHMAZQBTAGMAaABlAGQAdQBsAGUAuwMoAHsAMQAwADAALAAxADAAMAAsADEAMAAwAH0ALAAgADAALgAwADUAKQC2AFwAIgAgACYAXABuACAAIAAgACAAIAAgACAAIAAgACAAIAAgACAAIAAgACAAIAAgACAAIAAgACAAIAAgACAAIAAgACAAXAAiAJIhUgBlAHMAdQBsAHQAtgBcACIAIAAmAFwAbgAgACAAIAAgACAAIAAgACAAIAAgACAAIAAgACAAIAAgACAAIAAgACAAIAAgACAAIAAgACAAIAAgAFwAIgCSITIANwAyAC4AMwAyACwAIAAxADgANQAuADkANAAsACAAIAA5ADUALgAyADQAtgBcACIAIAAmAFwAbgAgACAAIAAgACAAIAAgACAAIAAgACAAIAAgACAAIAAgACAAIAAgACAAIAAgACAAIAAgACAAIAAgAFwAIgCSITEAMAAwAC4AMAAwACwAIAAxADAAMAAuADAAMAAsACAAMQAwADAALgAwADAAtgBcACIAIAAmAFwAbgAgACAAIAAgACAAIAAgACAAIAAgACAAIAAgACAAIAAgACAAIAAgACAAIAAgACAAIAAgACAAIAAgAFwAIgCSISAAMQAzAC4ANgAyACwAIAAgACAAOQAuADMAMAAsACAAIAAgADQALgA3ADYAtgBcACIAIAAmAFwAbgAgACAAIAAgACAAIAAgACAAIAAgACAAIAAgACAAIAAgACAAIAAgACAAIAAgACAAIAAgACAAIAAgAFwAIgCSITEAOAA1AC4AOQA0ACwAIAAgADkANQAuADIANAAsACAAIAAg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AAYQB5AG0AZQBuAHQAcwApACwAIABJAFMATwBNAEkAVABUAEUARAAoAFIAYQB0AGUAKQApACwAXABuACAAIAAgACAALwAvACAAIABBACAAYgBsAGEAbgBrACAASQBuAEEAZAB2AGEAbgBjAGUAIABjAGUAbABsACAAaQBzACAAbgBvAHQAIABhAG4AIABvAG0AaQB0AHQAZQBkACAAYQByAGcAdQBtAGUAbgB0ACwAIABzAG8AIAB0AGUAcwB0ACAAZgBvAHIAIABiAG8AdABoAFwAbgAgACAAIAAgACAAIAAgACAAQQBkAHYAYQBuAGMAZQA/ACwAIAAgACAAIAAgACAAIABJAEYAKABPAFIAKABJAFMATwBNAEkAVABUAEUARAAoAEkAbgBBAGQAdgBhAG4AYwBlACkALAAgAFQAUgBJAE0AKABJAG4AQQBkAHYAYQBuAGMAZQAgACYAIABcACIAXAAiACkAPQBcACIAXAAiACkALAAgAEYAQQBMAFMARQAsACAASQBuAEEAZAB2AGEAbgBjAGUAKQAsAFwAbgAgACAAIAAgAC8ALwAgACAATwBuAGUAIABsAGUAYQBzAGUAIABhAHQAIABhACAAdABpAG0AZQAsACAAbABhAGkAZAAgAGEAbABvAG4AZwAgAGEAIAByAG8AdwAgAHQAaABlACAAdwBhAHkAIAB0AGgAZQAgAHQAaQBtAGUAbABpAG4AZQAgAGgAZQBsAHAAZQByAHMAIABlAHgAcABlAGMAdABcAG4AIAAgACAAIAAgACAAIAAgAEYAbABhAHQALAAgACAAIAAgACAAIAAgACAAIAAgACAASQBGACgAUgBPAFcAUwAoAFAAYQB5AG0AZQBuAHQAcwApACAAPQAgADEALAAgAFAAYQB5AG0AZQBuAHQAcwAsACAAVABSAEEATgBTAFAATwBTAEUAKABQAGEAeQBtAGUAbgB0AHMAKQApACwAXABuACAAIAAgACAAIAAgACAAIABJAG4AcAB1AHQAQwBvAHUAbgB0ACwAIAAgACAAIAAgAEMATwBMAFUATQBOAFMAKABGAGwAYQB0ACkALABcAG4AIAAgACAAIAAgACAAIAAgAEwAaQBhAGIAaQBsAGkAdAB5AFAAYQB5AG0AZQBuAHQAcwAsACAASQBGACgAQQBOAEQAKABBAGQAdgBhAG4AYwBlAD8ALAAgAEkAbgBwAHUAdABDAG8AdQBuAHQAIAA+ACAAMQApACwAXABuACAAIAAgACAAIAAgACAAIAAgACAAIAAgACAAIAAgACAAIAAgACAAIAAgACAAIAAgACAAIAAgACAAIAAgACAAIABEAFIATwBQACgARgBsAGEAdAAsACAALAAgADEAKQAsAFwAbgAgACAAIAAgACAAIAAgACAAIAAgACAAIAAgACAAIAAgACAAIAAgACAAIAAgACAAIAAgACAAIAAgACAAIAAgACAASQBGACgAQQBkAHYAYQBuAGMAZQA/ACwAIAAwACwAIABGAGwAYQB0ACkAKQAsAFwAbgAgACAAIAAgACAAIAAgACAAQwBvAHUAbgB0ACwAIAAgACAAIAAgACAAIAAgACAAIABDAE8ATABVAE0ATgBTACgATABpAGEAYgBpAGwAaQB0AHkAUABhAHkAbQBlAG4AdABzACkALABcAG4AIAAgACAAIAAgACAAIAAgAE8AcABlAG4AaQBuAGcAMQAsACAAIAAgACAAIAAgACAATABlAGEAcwBlAEwAaQBhAGIAaQBsAGkAdAB5ALsDKABGAGwAYQB0ACwAIABSAGEAdABlACwAIABBAGQAdgBhAG4AYwBlAD8AKQAsAFwAbgAgACAAIAAgAC8ALwAgACAARQB2AGUAcgB5ACAAcABhAHkAbQBlAG4AdAAgAGwAZQBmAHQAIABpAG4AIAB0AGgAZQAgAGwAaQBhAGIAaQBsAGkAdAB5ACAAdgBlAGMAdABvAHIAIABmAG8AbABsAG8AdwBzACAAbwBuAGUAIABwAGUAcgBpAG8AZAAgAG8AZgAgAGkAbgB0AGUAcgBlAHMAdABcAG4AIAAgACAAIAAgACAAIAAgAEMAbABvAHMAaQBuAGcAcwAsACAAIAAgACAAIAAgACAAUwBDAEEATgAoAE8AcABlAG4AaQBuAGcAMQAsACAATABpAGEAYgBpAGwAaQB0AHkAUABhAHkAbQBlAG4AdABzACwAIABMAEEATQBCAEQAQQAoAEIAYQBsAGEAbgBjAGUALAAgAFAAYQB5AG0AZQBuAHQALABcAG4AIAAgACAAIAAgACAAIAAgACAAIAAgACAAIAAgACAAIAAgACAAIAAgACAAIAAgACAAIAAgACAAIABCAGEAbABhAG4AYwBlACAAKgAgACgAMQAgACsAIABSAGEAdABlACkAIAAtACAAUABhAHkAbQBlAG4AdAApACkALABcAG4AIAAgACAAIAAvAC8AIAAgAEUAYQBjAGgAIABvAHAAZQBuAGkAbgBnACAAaQBzACAAdABoAGUAIABjAGwAbwBzAGkAbgBnACAAYgBlAGYAbwByAGUAIABpAHQALgAgAEEAIABvAG4AZQAtAHAAZQByAGkAbwBkACAAbABlAGEAcwBlACAAaABhAHMAIABuAG8AIABjAGwAbwBzAGkAbgBnACAAdABvACAAcwBoAGkAZgB0AC4AXABuACAAIAAgACAAIAAgACAAIABPAHAAZQBuAGkAbgBnAHMALAAgACAAIAAgACAAIAAgAEkARgAoAEMAbwB1AG4AdAAgAD0AIAAxACwAIABPAHAAZQBuAGkAbgBnADEALAAgAEgAUwBUAEEAQwBLACgATwBwAGUAbgBpAG4AZwAxACwAIABEAFIATwBQACgAQwBsAG8AcwBpAG4AZwBzACwAIAAsACAALQAxACkAKQApACwAXABuACAAIAAgACAAIAAgACAAIABJAG4AdABlAHIAZQBzAHQALAAgACAAIAAgACAAIAAgAE8AcABlAG4AaQBuAGcAcwAgACoAIABSAGEAdABlACwAXABuACAAIAAgACAAIAAgACAAIABSAGUAcwB1AGwAdAAsACAAIAAgACAAIAAgACAAIAAgAFYAUwBUAEEAQwBLACgATwBwAGUAbgBpAG4AZwBzACwAIABMAGkAYQBiAGkAbABpAHQAeQBQAGEAeQBtAGUAbgB0AHMALAAgAEkAbgB0AGUAcgBlAHMAdAAsACAAQwBsAG8AcwBpAG4AZwBz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TABlAGEAcwBlAFIAZQBtAGUAYQBzAHUAcgBlALsDXABuACAAIAAgACAARABFAFMAQwBSAEkAUABUAEkATwBOADoAKgAvAC8AKgAqAFIAZQBtAGUAYQBzAHUAcgBlAHMAIABhAG4AIABBAEEAUwBCACAAMQA2ACAAbABlAGEAcwBlACAAbABpAGEAYgBpAGwAaQB0AHkAIABmAG8AcgAgAHIAZQB2AGkAcwBlAGQAIABwAGEAeQBtAGUAbgB0AHMAIABhAG4AZAAgAGEAZABqAHUAcwB0AHMAIAB0AGgAZQAgAHIAaQBnAGgAdAAtAG8AZgAtAHUAcwBlACAAYQBzAHMAZQB0ACoALwBcAG4AXABuAEwAZQBhAHMAZQBSAGUAbQBlAGEAcwB1AHIAZQC7AyAAPQAgAEwAQQBNAEIARABBACgAXABuAC8ALwAgACAAUABhAHIAYQBtAGUAdABlAHIAIABEAGUAYwBsAGEAcgBhAHQAaQBvAG4AXABuACAAIAAgACAAWwBSAGUAdgBpAHMAZQBkAFAAYQB5AG0AZQBuAHQAcwBdACwAXABuACAAIAAgACAAWwBSAGEAdABlAF0ALABcAG4AIAAgACAAIABbAEMAYQByAHIAeQBpAG4AZwBMAGkAYQBiAGkAbABpAHQAeQBdACwAXABuACAAIAAgACAAWwBDAGEAcgByAHkAaQBuAGcAUgBPAFUAXQAsAFwAbgAgACAAIAAgAFsASQBuAEEAZAB2AGEAbgBj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MAGUAYQBzAGUAUgBlAG0AZQBhAHMAdQByAGUAuwMoAFIAZQB2AGkAcwBlAGQAUABhAHkAbQBlAG4AdABzACwAIABSAGEAdABlACwAIABDAGEAcgByAHkAaQBuAGcATABpAGEAYgBpAGwAaQB0AHkALAAgAEMAYQByAHIAeQBpAG4AZwBSAE8AVQAsACAAWwBJAG4AQQBkAHYAYQBuAGMAZQBdACkAtgBcACIAIAAmAFwAbgAgACAAIAAgACAAIAAgACAAIAAgACAAIAAgACAAIAAgACAAIAAgACAAIAAgACAAIAAgACAAIAAgAFwAIgBEAEUAUwBDAFIASQBQAFQASQBPAE4AOgAgACAAIACSIVIAZQBtAGUAYQBzAHUAcgBlAHMAIABhACAAbABlAGEAcwBlACAAbABpAGEAYgBpAGwAaQB0AHkAIABmAG8AcgAgAHIAZQB2AGkAcwBlAGQAIABwAGEAeQBtAGUAbgB0AHMAIABhAG4AZAAgAGEAZABqAHUAcwB0AHMAIAB0AGgAZQAgAGEAcwBzAGUAdAAuALYATgBPAFQARQBTACEAIAAgACAAIAAgACAAIAAgACAAkiFSAGUAdAB1AHIAbgBzACAAZgBvAHUAcgAgAHIAbwB3AHMAOgAgAHIAZQB2AGkAcwBlAGQAIABsAGUAYQBzAGUAIABsAGkAYQBiAGkAbABpAHQAeQAsACAAYQBkAGoAdQBzAHQAbQBlAG4AdAAsACAAcgBlAHYAaQBzAGUAZAC2ACAAIAAgACAAIAAgACAAIAAgACAAIAAgACAAIAAgAJIhcgBpAGcAaAB0AC0AbwBmAC0AdQBzAGUAIABhAHMAcwBlAHQALAAgAGEAbQBvAHUAbgB0ACAAcgBlAGMAbwBnAG4AaQBzAGUAZAAgAGkAbgAgAHAAcgBvAGYAaQB0ACAAbwByACAAbABvAHMAcwAuACAAQQBBAFMAQgAgADEANgC2ACAAIAAgACAAIAAgACAAIAAgACAAIAAgACAAIAAgAJIhcABhAHIAYQBnAHIAYQBwAGgAIAA0ADIAKABiACkAIAByAGUAbQBlAGEAcwB1AHIAZQBzACAAdABoAGUAIABsAGkAYQBiAGkAbABpAHQAeQAgAHcAaABlAHIAZQAgAGYAdQB0AHUAcgBlACAAcABhAHkAbQBlAG4AdABzACAAYwBoAGEAbgBnAGUAtgAgACAAIAAgACAAIAAgACAAIAAgACAAIAAgACAAIACSIWIAZQBjAGEAdQBzAGUAIABhAG4AIABpAG4AZABlAHgAIABvAHIAIABhACAAcgBhAHQAZQAgAHUAcwBlAGQAIAB0AG8AIABkAGUAdABlAHIAbQBpAG4AZQAgAHQAaABlAG0AIABoAGEAcwAgAGMAaABhAG4AZwBlAGQALAAgAGEAbgBkALYAIAAgACAAIAAgACAAIAAgACAAIAAgACAAIAAgACAAkiFvAG4AbAB5ACAAdwBoAGUAbgAgAHQAaABlACAAYwBhAHMAaAAgAGYAbABvAHcAcwAgAGMAaABhAG4AZwBlAC4AIABQAGEAcgBhAGcAcgBhAHAAaAAgADQAMwAgAGsAZQBlAHAAcwAgAHQAaABlACAAZABpAHMAYwBvAHUAbgB0ACAAcgBhAHQAZQC2ACAAIAAgACAAIAAgACAAIAAgACAAIAAgACAAIAAgAJIhdQBuAGMAaABhAG4AZwBlAGQAIABmAG8AcgAgAHQAaABhAHQAIAByAGUAdgBpAHMAaQBvAG4ALAAgAGEAbgBkACAAdQBzAGUAcwAgAGEAIAByAGUAdgBpAHMAZQBkACAAcgBhAHQAZQAgAG8AbgBsAHkAIAB3AGgAZQByAGUAIAB0AGgAZQC2ACAAIAAgACAAIAAgACAAIAAgACAAIAAgACAAIAAgAJIhYwBoAGEAbgBnAGUAIABhAHIAaQBzAGUAcwAgAGYAcgBvAG0AIABhACAAZgBsAG8AYQB0AGkAbgBnACAAaQBuAHQAZQByAGUAcwB0ACAAcgBhAHQAZQAsACAAcwBvACAAcABhAHMAcwAgAHQAaABlACAAbwByAGkAZwBpAG4AYQBsACAAcgBhAHQAZQC2ACAAIAAgACAAIAAgACAAIAAgACAAIAAgACAAIAAgAJIhdQBuAGwAZQBzAHMAIABpAHQAIABpAHMAIAB0AGgAZQAgAHIAYQB0AGUAIABpAHQAcwBlAGwAZgAgAHQAaABhAHQAIABtAG8AdgBlAGQALgAgAFcAaABlAG4AIABJAG4AQQBkAHYAYQBuAGMAZQAgAGkAcwAgAFQAUgBVAEUALAAgAHQAaABlALYAIAAgACAAIAAgACAAIAAgACAAIAAgACAAIAAgACAAkiFmAGkAcgBzAHQAIAByAGUAdgBpAHMAZQBkACAAcABhAHkAbQBlAG4AdAAgAGkAcwAgAHAAYQBpAGQAIABhAHQAIAB0AGgAZQAgAHIAZQBtAGUAYQBzAHUAcgBlAG0AZQBuAHQAIABkAGEAdABlACAAYQBuAGQAIABlAHgAYwBsAHUAZABlAGQAtgAgACAAIAAgACAAIAAgACAAIAAgACAAIAAgACAAIACSIWYAcgBvAG0AIAB0AGgAZQAgAHIAZQB2AGkAcwBlAGQAIABsAGkAYQBiAGkAbABpAHQAeQAuACAAUABhAHIAYQBnAHIAYQBwAGgAIAAzADkAIAB0AGEAawBlAHMAIAB0AGgAZQAgAHIAZQBtAGUAYQBzAHUAcgBlAG0AZQBuAHQAIAB0AG8AIAB0AGgAZQC2ACAAIAAgACAAIAAgACAAIAAgACAAIAAgACAAIAAgAJIhcgBpAGcAaAB0AC0AbwBmAC0AdQBzAGUAIABhAHMAcwBlAHQALAAgAGEAbgBkACAAdwBoAGUAcgBlACAAdABoAGEAdAAgAGEAcwBzAGUAdAAgAGkAcwAgAHIAZQBkAHUAYwBlAGQAIAB0AG8AIABuAGkAbAAgAGEAbgB5ACAAZgB1AHIAdABoAGUAcgC2ACAAIAAgACAAIAAgACAAIAAgACAAIAAgACAAIAAgAJIhcgBlAGQAdQBjAHQAaQBvAG4AIABnAG8AZQBzACAAdABvACAAcAByAG8AZgBpAHQAIABvAHIAIABsAG8AcwBzADoAIAByAG8AdwAgAGYAbwB1AHIAIABjAGEAcgByAGkAZQBzACAAdABoAGEAdAAgAHIAZQBtAGEAaQBuAGQAZQByACwAtgAgACAAIAAgACAAIAAgACAAIAAgACAAIAAgACAAIACSIW4AZQBnAGEAdABpAHYAZQAsACAAYgBlAGMAYQB1AHMAZQAgAGkAdAAgAGkAcwAgAGEAIABjAHIAZQBkAGkAdAAuACAAQQByAGkAdABoAG0AZQB0AGkAYwAgAG8AbgBsAHkALgC2ACAAIAAgACAAIAAgACAAIAAgACAAIAAgACAAIAAgAJIhQQBBAFMAQgAgADEANgAgAGMAbwBtAHAAaQBsAGEAdABpAG8AbgAgAGMAaABlAGMAawBlAGQAIAAyADQAIABBAHUAZwB1AHMAdAAgADIAMAAyADY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BAHUAZwAgADIAMAAyADYAtgBcACIAIAAmAFwAbgAgACAAIAAgACAAIAAgACAAIAAgACAAIAAgACAAIAAgACAAIAAgACAAIAAgACAAIAAgACAAIAAgAFwAIgBQAEEAUgBBAE0ARQBUAEUAUgBTADoAIAAgACAAIACSIbYAXAAiACAAJgBcAG4AIAAgACAAIAAgACAAIAAgACAAIAAgACAAIAAgACAAIAAgACAAIAAgACAAIAAgACAAIAAgACAAIABcACIAUgBlAHYAaQBzAGUAZABQAGEAeQBtAGUAbgB0AHMAkiEoAFIAZQBxAHUAaQByAGUAZAApACAAUgBlAHYAaQBzAGUAZAAgAGwAZQBhAHMAZQAgAHAAYQB5AG0AZQBuAHQAcwAgAGYAbwByACAAdABoAGUAIAByAGUAbQBhAGkAbgBpAG4AZwAgAHQAZQByAG0ALAAgAG8AbgBlACAAcABlAHIAIABwAGUAcgBpAG8AZAAsACAAcABvAHMAaQB0AGkAdgBlAC4AIABJAG4AYwBsAHUAZABlACAAYQAgAHAAYQB5AG0AZQBuAHQAIABtAGEAZABlACAAYQB0ACAAdABoAGUAIAByAGUAbQBlAGEAcwB1AHIAZQBtAGUAbgB0ACAAZABhAHQAZQAgAGYAaQByAHMAdAAgAHcAaABlAG4AIABJAG4AQQBkAHYAYQBuAGMAZQAgAGkAcwAgAFQAUgBVAEUALgC2AFwAIgAgACYAXABuACAAIAAgACAAIAAgACAAIAAgACAAIAAgACAAIAAgACAAIAAgACAAIAAgACAAIAAgACAAIAAgACAAXAAiAFIAYQB0AGUAIAAgACAAIAAgACAAIAAgACAAIAAgAJIhKABSAGUAcQB1AGkAcgBlAGQAKQAgAEQAaQBzAGMAbwB1AG4AdAAgAHIAYQB0AGUAIABwAGUAcgAgAHAAZQByAGkAbwBkAC4AIABVAG4AYwBoAGEAbgBnAGUAZAAsACAAdQBuAGwAZQBzAHMAIABhACAAZgBsAG8AYQB0AGkAbgBnACAAcgBhAHQAZQAgAG0AbwB2AGUAZAAuALYAXAAiACAAJgBcAG4AIAAgACAAIAAgACAAIAAgACAAIAAgACAAIAAgACAAIAAgACAAIAAgACAAIAAgACAAIAAgACAAIABcACIAQwBhAHIAcgB5AGkAbgBnAEwAaQBhAGIAaQBsAGkAdAB5AJIhKABSAGUAcQB1AGkAcgBlAGQAKQAgAEwAZQBhAHMAZQAgAGwAaQBhAGIAaQBsAGkAdAB5ACAAYwBhAHIAcgBpAGUAZAAgAGkAbQBtAGUAZABpAGEAdABlAGwAeQAgAGIAZQBmAG8AcgBlACAAdABoAGUAIAByAGUAbQBlAGEAcwB1AHIAZQBtAGUAbgB0AC4AtgBcACIAIAAmAFwAbgAgACAAIAAgACAAIAAgACAAIAAgACAAIAAgACAAIAAgACAAIAAgACAAIAAgACAAIAAgACAAIAAgAFwAIgBDAGEAcgByAHkAaQBuAGcAUgBPAFUAIAAgACAAIACSISgAUgBlAHEAdQBpAHIAZQBkACkAIABSAGkAZwBoAHQALQBvAGYALQB1AHMAZQAgAGEAcwBzAGUAdAAgAGMAYQByAHIAaQBlAGQAIABpAG0AbQBlAGQAaQBhAHQAZQBsAHkAIABiAGUAZgBvAHIAZQAgAHQAaABlACAAcgBlAG0AZQBhAHMAdQByAGUAbQBlAG4AdAAuALYAXAAiACAAJgBcAG4AIAAgACAAIAAgACAAIAAgACAAIAAgACAAIAAgACAAIAAgACAAIAAgACAAIAAgACAAIAAgACAAIABcACIASQBuAEEAZAB2AGEAbgBjAGUAIAAgACAAIAAgACAAkiEoAE8AcAB0AGkAbwBuAGEAbAA6ACAARABlAGYAYQB1AGwAdAAgAD0AIABGAEEATABTAEUAKQAgAFQAUgBVAEUAIAB3AGgAZQBuACAAdABoAGUAIABmAGkAcgBzAHQAIAByAGUAdgBpAHMAZQBkACAAcABhAHkAbQBlAG4AdAAgAGkAcwAgAHAAYQBpAGQAIABhAHQAIAB0AGgAZQAgAHIAZQBtAGUAYQBzAHUAcgBlAG0AZQBuAHQAIABkAGEAdABl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TABlAGEAcwBlAFIAZQBtAGUAYQBzAHUAcgBlALsDKAB7ADEAMQAwACwAMQAxADAAfQAsACAAMAAuADAANQAsACAAMQA4ADUALgA5ADQALAAgADEAOAAxAC4ANQA1ACkAtgBcACIAIAAmAFwAbgAgACAAIAAgACAAIAAgACAAIAAgACAAIAAgACAAIAAgACAAIAAgACAAIAAgACAAIAAgACAAIAAgAFwAIgCSIVIAZQBzAHUAbAB0ALYAXAAiACAAJgBcAG4AIAAgACAAIAAgACAAIAAgACAAIAAgACAAIAAgACAAIAAgACAAIAAgACAAIAAgACAAIAAgACAAIABcACIAkiEyADAANAAuADUANAC2AFwAIgAgACYAXABuACAAIAAgACAAIAAgACAAIAAgACAAIAAgACAAIAAgACAAIAAgACAAIAAgACAAIAAgACAAIAAgACAAXAAiAJIhIAAxADgALgA2ADAAtgBcACIAIAAmAFwAbgAgACAAIAAgACAAIAAgACAAIAAgACAAIAAgACAAIAAgACAAIAAgACAAIAAgACAAIAAgACAAIAAgAFwAIgCSITIAMAAwAC4AMQA1ALYAXAAiACAAJgBcAG4AIAAgACAAIAAgACAAIAAgACAAIAAgACAAIAAgACAAIAAgACAAIAAgACAAIAAgACAAIAAgACAAIABcACIAkiEgAC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UgBlAHYAaQBzAGUAZABQAGEAeQBtAGUAbgB0AHMAKQAsACAASQBTAE8ATQBJAFQAVABFAEQAKABSAGEAdABlACkALABcAG4AIAAgACAAIAAgACAAIAAgACAAIAAgACAAIAAgACAAIAAgACAAIAAgACAAIAAgACAAIAAgACAAIABJAFMATwBNAEkAVABUAEUARAAoAEMAYQByAHIAeQBpAG4AZwBMAGkAYQBiAGkAbABpAHQAeQApACwAIABJAFMATwBNAEkAVABUAEUARAAoAEMAYQByAHIAeQBpAG4AZwBSAE8AVQApACkALABcAG4AIAAgACAAIAAvAC8AIAAgAEEAIABiAGwAYQBuAGsAIABJAG4AQQBkAHYAYQBuAGMAZQAgAGMAZQBsAGwAIABpAHMAIABuAG8AdAAgAGEAbgAgAG8AbQBpAHQAdABlAGQAIABhAHIAZwB1AG0AZQBuAHQALAAgAHMAbwAgAHQAZQBzAHQAIABmAG8AcgAgAGIAbwB0AGgAXABuACAAIAAgACAAIAAgACAAIABBAGQAdgBhAG4AYwBlAD8ALAAgACAAIAAgACAAIAAgAEkARgAoAE8AUgAoAEkAUwBPAE0ASQBUAFQARQBEACgASQBuAEEAZAB2AGEAbgBjAGUAKQAsACAAVABSAEkATQAoAEkAbgBBAGQAdgBhAG4AYwBlACAAJgAgAFwAIgBcACIAKQA9AFwAIgBcACIAKQAsACAARgBBAEwAUwBFACwAIABJAG4AQQBkAHYAYQBuAGMAZQApACwAXABuACAAIAAgACAAIAAgACAAIABSAGUAdgBpAHMAZQBkACwAIAAgACAAIAAgACAAIAAgAEwAZQBhAHMAZQBMAGkAYQBiAGkAbABpAHQAeQC7AygAUgBlAHYAaQBzAGUAZABQAGEAeQBtAGUAbgB0AHMALAAgAFIAYQB0AGUALAAgAEEAZAB2AGEAbgBjAGUAPwApACwAXABuACAAIAAgACAAIAAgACAAIABBAGQAagB1AHMAdABtAGUAbgB0ACwAIAAgACAAIAAgAFIAZQB2AGkAcwBlAGQAIAAtACAAQwBhAHIAcgB5AGkAbgBnAEwAaQBhAGIAaQBsAGkAdAB5ACwAXABuACAAIAAgACAALwAvACAAIABUAGgAZQAgAGEAcwBzAGUAdAAgAGEAYgBzAG8AcgBiAHMAIAB0AGgAZQAgAGEAZABqAHUAcwB0AG0AZQBuAHQAIAB1AG4AdABpAGwAIABpAHQAIABpAHMAIABlAHgAaABhAHUAcwB0AGUAZAAsACAAYQBuAGQAIABuAG8AIABmAHUAcgB0AGgAZQByAFwAbgAgACAAIAAgACAAIAAgACAAUgBhAHcAQQBzAHMAZQB0ACwAIAAgACAAIAAgACAAIABDAGEAcgByAHkAaQBuAGcAUgBPAFUAIAArACAAQQBkAGoAdQBzAHQAbQBlAG4AdAAsAFwAbgAgACAAIAAgACAAIAAgACAAUgBlAHMAdQBsAHQALAAgACAAIAAgACAAIAAgACAAIABWAFMAVABBAEMASwAoAFIAZQB2AGkAcwBlAGQALAAgAEEAZABqAHUAcwB0AG0AZQBuAHQALAAgAE0AQQBYACgAUgBhAHcAQQBzAHMAZQB0ACwAIAAwACkALAAgAE0ASQBOACgAUgBhAHcAQQBzAHMAZQB0ACwAIAAwACk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SAE8AVQBTAGMAaABlAGQAdQBsAGUAuwNcAG4AIAAgACAAIABEAEUAUwBDAFIASQBQAFQASQBPAE4AOgAqAC8ALwAqACoAUwB0AHIAYQBpAGcAaAB0AC0AbABpAG4AZQAgAHIAaQBnAGgAdAAtAG8AZgAtAHUAcwBlACAAYQBzAHMAZQB0ACAAcwBjAGgAZQBkAHUAbABlADoAIABvAHAAZQBuAGkAbgBnACwAIABkAGUAcAByAGUAYwBpAGEAdABpAG8AbgAgAGEAbgBkACAAYwBsAG8AcwBpAG4AZwAgAGYAbwByACAAZQBhAGMAaAAgAHAAZQByAGkAbwBkACoALwBcAG4AXABuAFIATwBVAFMAYwBoAGUAZAB1AGwAZQC7AyAAPQAgAEwAQQBNAEIARABBACgAXABuAC8ALwAgACAAUABhAHIAYQBtAGUAdABlAHIAIABEAGUAYwBsAGEAcgBhAHQAaQBvAG4AXABuACAAIAAgACAAWwBDAG8AcwB0AF0ALABcAG4AIAAgACAAIABbAFAAZQByAGkAbwBk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SAE8AVQBTAGMAaABlAGQAdQBsAGUAuwMoAEMAbwBzAHQALAAgAFAAZQByAGkAbwBkAHMAKQC2AFwAIgAgACYAXABuACAAIAAgACAAIAAgACAAIAAgACAAIAAgACAAIAAgACAAIAAgACAAIAAgACAAIAAgACAAIAAgACAAXAAiAEQARQBTAEMAUgBJAFAAVABJAE8ATgA6ACAAIAAgAJIhRABlAHAAcgBlAGMAaQBhAHQAZQBzACAAYQAgAHIAaQBnAGgAdAAtAG8AZgAtAHUAcwBlACAAYQBzAHMAZQB0ACAAaQBuACAAYQAgAHMAdAByAGEAaQBnAGgAdAAgAGwAaQBuAGUAIABvAHYAZQByACAAdABoAGUAIABsAGUAYQBzAGUAIAB0AGUAcgBtAC4AtgBOAE8AVABFAFMAIQAgACAAIAAgACAAIAAgACAAIACSIVIAZQB0AHUAcgBuAHMAIAB0AGgAcgBlAGUAIAByAG8AdwBzADoAIABvAHAAZQBuAGkAbgBnACAAYwBhAHIAcgB5AGkAbgBnACAAYQBtAG8AdQBuAHQALAAgAGQAZQBwAHIAZQBjAGkAYQB0AGkAbwBuACwAIABjAGwAbwBzAGkAbgBnALYAIAAgACAAIAAgACAAIAAgACAAIAAgACAAIAAgACAAkiFjAGEAcgByAHkAaQBuAGcAIABhAG0AbwB1AG4AdAAuACAAQQBBAFMAQgAgADEANgAgAHAAYQByAGEAZwByAGEAcABoACAAMgA0ACAAbQBlAGEAcwB1AHIAZQBzACAAdABoAGUAIABhAHMAcwBlAHQAIABhAHQAIABjAG8AcwB0ACwAtgAgACAAIAAgACAAIAAgACAAIAAgACAAIAAgACAAIACSIWMAbwBtAHAAcgBpAHMAaQBuAGcAIAB0AGgAZQAgAGkAbgBpAHQAaQBhAGwAIABsAGUAYQBzAGUAIABsAGkAYQBiAGkAbABpAHQAeQAsACAAbABlAGEAcwBlACAAcABhAHkAbQBlAG4AdABzACAAbQBhAGQAZQAgAGEAdAAgAG8AcgC2ACAAIAAgACAAIAAgACAAIAAgACAAIAAgACAAIAAgAJIhYgBlAGYAbwByAGUAIAB0AGgAZQAgAGMAbwBtAG0AZQBuAGMAZQBtAGUAbgB0ACAAZABhAHQAZQAgAGwAZQBzAHMAIABpAG4AYwBlAG4AdABpAHYAZQBzACAAcgBlAGMAZQBpAHYAZQBkACwAIABpAG4AaQB0AGkAYQBsACAAZABpAHIAZQBjAHQAtgAgACAAIAAgACAAIAAgACAAIAAgACAAIAAgACAAIACSIWMAbwBzAHQAcwAsACAAYQBuAGQAIABhAG4AIABlAHMAdABpAG0AYQB0AGUAIABvAGYAIABkAGkAcwBtAGEAbgB0AGwAaQBuAGcAIABhAG4AZAAgAHIAZQBzAHQAbwByAGEAdABpAG8AbgAgAGMAbwBzAHQAcwAuACAAQQBkAGQAIAB0AGgAbwBzAGUAtgAgACAAIAAgACAAIAAgACAAIAAgACAAIAAgACAAIACSIXUAcAAgAHkAbwB1AHIAcwBlAGwAZgAgAGEAbgBkACAAcABhAHMAcwAgAHQAaABlACAAdABvAHQAYQBsACAAYQBzACAAQwBvAHMAdAAuACAARABlAHAAcgBlAGMAaQBhAHQAZQAgAG8AdgBlAHIAIAB0AGgAZQAgAGwAZQBhAHMAZQAgAHQAZQByAG0AtgAgACAAIAAgACAAIAAgACAAIAAgACAAIAAgACAAIACSIXcAaABlAHIAZQAgAG8AdwBuAGUAcgBzAGgAaQBwACAAZABvAGUAcwAgAG4AbwB0ACAAdAByAGEAbgBzAGYAZQByACwAIABhAG4AZAAgAG8AdgBlAHIAIAB0AGgAZQAgAHUAcwBlAGYAdQBsACAAbABpAGYAZQAgAHcAaABlAHIAZQAgAGkAdAC2ACAAIAAgACAAIAAgACAAIAAgACAAIAAgACAAIAAgAJIhZABvAGUAcwAuACAAQwBvAHMAdAAgAGEAbgBkACAAUABlAHIAaQBvAGQAcwAgAGEAcgBlACAAcwBpAG4AZwBsAGUAIAB2AGEAbAB1AGUAcwAsACAAbgBvAHQAIABhAHIAcgBhAHkAcwAuACAAQQByAGkAdABoAG0AZQB0AGkAYwAgAG8AbgBsAHkALgC2ACAAIAAgACAAIAAgACAAIAAgACAAIAAgACAAIAAgAJIhQQBBAFMAQgAgADEANgAgAGMAbwBtAHAAaQBsAGEAdABpAG8AbgAgAGMAaABlAGMAawBlAGQAIAAyADQAIABBAHUAZwB1AHMAdAAgADIAMAAyADY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SQBuAGkAdABpAGEAbAAgAGMAYQByAHIAeQBpAG4AZwAgAGEAbQBvAHUAbgB0ACAAbwBmACAAdABoAGUAIAByAGkAZwBoAHQALQBvAGYALQB1AHMAZQAgAGEAcwBzAGUAdAAuALYAXAAiACAAJgBcAG4AIAAgACAAIAAgACAAIAAgACAAIAAgACAAIAAgACAAIAAgACAAIAAgACAAIAAgACAAIAAgACAAIABcACIAUABlAHIAaQBvAGQAcwAgACAAIAAgACAAIAAgACAAkiEoAFIAZQBxAHUAaQByAGUAZAApACAATgB1AG0AYgBlAHIAIABvAGYAIABwAGUAcgBpAG8AZABzACAAdABvACAAZABlAHAAcgBlAGMAaQBhAHQAZQAgAG8AdgBlAHIALAAgAGEAdAAgAGwAZQBhAHMAdAAgADE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SAE8AVQBTAGMAaABlAGQAdQBsAGUAuwMoADMAMAAwACwAIAAzACkAtgBcACIAIAAmAFwAbgAgACAAIAAgACAAIAAgACAAIAAgACAAIAAgACAAIAAgACAAIAAgACAAIAAgACAAIAAgACAAIAAgAFwAIgCSIVIAZQBzAHUAbAB0ALYAXAAiACAAJgBcAG4AIAAgACAAIAAgACAAIAAgACAAIAAgACAAIAAgACAAIAAgACAAIAAgACAAIAAgACAAIAAgACAAIABcACIAkiEzADAAMAAsACAAMgAwADAALAAgADEAMAAwALYAXAAiACAAJgBcAG4AIAAgACAAIAAgACAAIAAgACAAIAAgACAAIAAgACAAIAAgACAAIAAgACAAIAAgACAAIAAgACAAIABcACIAkiExADAAMAAsACAAMQAwADAALAAgADEAMAAwALYAXAAiACAAJgBcAG4AIAAgACAAIAAgACAAIAAgACAAIAAgACAAIAAgACAAIAAgACAAIAAgACAAIAAgACAAIAAgACAAIABcACIAkiEyADAAMAAsACAAMQAwADAALAAgACAAI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UABlAHIAaQBvAGQAcwApACkALABcAG4AIAAgACAAIAAvAC8AIAAgAFIAZQBmAHUAcwBlACAAcgBhAHQAaABlAHIAIAB0AGgAYQBuACAAYgB1AGkAbABkACAAYQAgAHMAYwBoAGUAZAB1AGwAZQAgAGYAcgBvAG0AIABhAG4AIABhAHIAZwB1AG0AZQBuAHQAIAB0AGgAYQB0ACAAYwBhAG4AbgBvAHQAIABtAGEAawBlACAAbwBuAGUAXABuACAAIAAgACAAIAAgACAAIABWAGEAbABpAGQAPwAsACAAIAAgACAAIAAgACAAIAAgAEEATgBEACgASQBTAE4AVQBNAEIARQBSACgAQwBvAHMAdAApACwAIABJAFMATgBVAE0AQgBFAFIAKABQAGUAcgBpAG8AZABzACkALAAgAFAAZQByAGkAbwBkAHMAIAA+AD0AIAAxACkALABcAG4AIAAgACAAIAAgACAAIAAgAEMAbwB1AG4AdAAsACAAIAAgACAAIAAgACAAIAAgACAASQBGACgAVgBhAGwAaQBkAD8ALAAgAEkATgBUACgAUABlAHIAaQBvAGQAcwApACwAIAAxACkALABcAG4AIAAgACAAIAAgACAAIAAgAEMAaABhAHIAZwBlACwAIAAgACAAIAAgACAAIAAgACAASQBGACgAVgBhAGwAaQBkAD8ALAAgAEMAbwBzAHQAIAAvACAAQwBvAHUAbgB0ACwAIAAwACkALABcAG4AIAAgACAAIAAgACAAIAAgAEkAbgBkAGUAeAAsACAAIAAgACAAIAAgACAAIAAgACAAUwBFAFEAVQBFAE4AQwBFACgAMQAsACAAQwBvAHUAbgB0ACkALABcAG4AIAAgACAAIAAgACAAIAAgAFIAZQBzAHUAbAB0ACwAIAAgACAAIAAgACAAIAAgACAASQBGACgAVgBhAGwAaQBkAD8ALABcAG4AIAAgACAAIAAgACAAIAAgACAAIAAgACAAIAAgACAAIAAgACAAIAAgACAAIAAgACAAIAAgACAAIABWAFMAVABBAEMASwAoAFwAbgAgACAAIAAgACAAIAAgACAAIAAgACAAIAAgACAAIAAgACAAIAAgACAAIAAgACAAIAAgACAAIAAgACAAIAAgACAAQwBvAHMAdAAgAC0AIABDAGgAYQByAGcAZQAgACoAIAAoAEkAbgBkAGUAeAAgAC0AIAAxACkALABcAG4AIAAgACAAIAAgACAAIAAgACAAIAAgACAAIAAgACAAIAAgACAAIAAgACAAIAAgACAAIAAgACAAIAAgACAAIAAgAFMARQBRAFUARQBOAEMARQAoADEALAAgAEMAbwB1AG4AdAAsACAAQwBoAGEAcgBnAGUALAAgADAAKQAsAFwAbgAgACAAIAAgACAAIAAgACAAIAAgACAAIAAgACAAIAAgACAAIAAgACAAIAAgACAAIAAgACAAIAAgACAAIAAgACAAQwBvAHMAdAAgAC0AIABDAGgAYQByAGcAZQAgACoAIABJAG4AZABlAHgAKQAsAFwAbgAgACAAIAAgACAAIAAgACAAIAAgACAAIAAgACAAIAAgACAAIAAgACAAIAAgACAAIAAgACAAIAAgAFwAIgBSAE8AVQBTAGMAaABlAGQAdQBsAGUAuwMgAG4AZQBlAGQAcwAgAGEAIABuAHUAbQBlAHIAaQBjACAAQwBvAHMAdAAgAGEAbgBkACAAUABlAHIAaQBvAGQAcwAgAG8AZgAgAGEAdAAgAGwAZQBhAHMAdAAgADEAXAAi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SAGEAdABpAG8AcwAiACwAIgB0AGUAeAB0ACIAOgAiAC8AKgAgACAATQBvAGQAdQBsAGUAIABDAG8AbgB0AGEAaQBuAHMAIABhACAAbABpAGIAcgBhAHIAeQAgAG8AZgAgAEYAaQBuAGEAbgBjAGkAYQBsACAAUgBhAHQAaQBvAHMAIAAqAC8AXABuAFwAbgAvACoAIAAgAEYAVQBOAEMAVABJAE8ATgAgAE4AQQBNAEUAOgAgACAAQQBiAG8AdQB0AFIAYQB0AGkAbwBzALsDXABuACAAIAAgACAARABFAFMAQwBSAEkAUABUAEkATwBOADoAKgAvAC8AKgAqAEQAaQBzAHAAbABhAHkAcwAgAHQAaABpAHMAIABtAG8AZAB1AGwAZQAnAHMAIAByAGUAcABvAHMAaQB0AG8AcgB5ACAAVQBSAEwAIABhAG4AZAAgAGYAdQBuAGMAdABpAG8AbgAgAGwAaQBzAHQAKgAvAFwAbgBBAGIAbwB1AHQAUgBhAHQAaQBvAHMAuwMgAD0AIABUAFIASQBNACgAXABuACAAIAAgACAAVABFAFgAVABTAFAATABJAFQAKABcAG4AIAAgACAAIAAgACAAIAAgAFwAIgBBAGIAbwB1AHQAOgAgACAAIAAgACAAIAAgACAAIAAgACAAIAAgACAAIAAgACAAIAAgACAAIACSIUEAIABsAGkAYgByAGEAcgB5ACAAbwBmACAARgBpAG4AYQBuAGMAaQBhAGwAIABSAGEAdABpAG8AcwC2AFwAIgAgACYAXABuACAAIAAgACAAIAAgACAAIABcACIAVgBlAHIAcwBpAG8AbgA6ACAAIAAgACAAIAAgACAAIAAgACAAIAAgACAAIAAgACAAIAAgACAAkiEyADAAIABBAHUAZwAgADIAMAAyADYAtgBcACIAIAAmAFwAbgAgACAAIAAgACAAIAAgACAAXAAiAFIAZQBwAG8AcwBpAHQAbwByAHkAOgAgACAAIAAgACAAIAAgACAAIAAgACAAIAAgACAAIAAgACAAIACSIWgAdAB0AHAAcwA6AC8ALwBnAGkAdABoAHUAYgAuAGMAbwBtAC8AcgB5AGEAbgBkAHUAZwB1AGkAZAAvAE8AegB6AGkAdAAgALYAXAAiACAAJgBcAG4AIAAgACAAIAAgACAAIAAgAFwAIgBOAG8AdABlAHMAOgAgACAAIAAgACAAIAAgACAAIAAgACAAIAAgACAAIAAgACAAIAAgACAAIACSIVMAbwB1AHIAYwBlAHMAIABpAG4AYwBsAHUAZABlACAASQBuAHYAZQBzAHQAbwBwAGUAZABpAGEALgBjAG8AbQAsACAAQwBvAHIAcABvAHIAYQB0AGUAIABGAGkAbgBhAG4AYwBlACAAYQBuAGQAIABXAGEAbABsAFMAdAByAGUAZQB0AFAAcgBlAHAALgBjAG8AbQAuALYAXAAiACAAJgBcAG4AIAAgACAAIAAgACAAIAAgACAAIAAgACAAIAAgACAAIAAgACAAIAAgACAAIAAgACAAIAAgACAAIAAgACAAIAAgACAAIAAgAFwAIgCSIUMAbwBwAHkAcgBpAGcAaAB0ACAAYQBwAHAAbABpAGUAcwAgAHQAbwAgAEwAQQBNAEIARABBACAAYwBvAGQAaQBuAGcAtgBcACIAIAAmAFwAbgAgACAAIAAgACAAIAAgACAAXAAiAJIhtgBcACIAIAAmACAAXABuACAAIAAgACAAIAAgACAAIABcACIARgB1AG4AYwB0AGkAbwBuACAAIAAgACAAIAAgACAAIAAgACAAIAAgACAAIAAgACAAIAAgACAAkiFEAGUAcwBjAHIAaQBwAHQAaQBvAG4AtgBcACIAIAAmACAAXABuACAAIAAgACAAIAAgACAAIABcACIAQQBiAG8AdQB0AFIAYQB0AGkAbwBzALsDIAAgACAAIAAgACAAIAAgACAAIAAgACAAIAAgACAAIAAgACAAIAAgACAAkiFQAHIAbwBkAHUAYwBlAHMAIAB0AGgAaQBzACAAdABhAGIAbABlALYAXAAiACAAJgBcAG4AIAAgACAAIAAgACAAIAAgAFwAIgCSIbYAXAAiACAAJgAgAFwAbgAgACAAIAAgACAAIAAgACAAXAAiAEwAaQBxAHUAaQBkAGkAdAB5ACAAUgBhAHQAaQBvAHMAkiG2AFwAIgAgACYAXABuACAAIAAgACAAIAAgACAAIABcACIAQwB1AHIAcgBlAG4AdABSAGEAdABpAG8AuwMgACAAIAAgACAAIAAgACAAIAAgACAAIAAgACAAkiFNAGUAYQBzAHUAcgBlAHMAIABhAGIAaQBsAGkAdAB5ACAAdABvACAAcABhAHkAIABzAGgAbwByAHQALQB0AGUAcgBtACAAbwBiAGwAaQBnAGEAdABpAG8AbgBzALYAXAAiACAAJgBcAG4AIAAgACAAIAAgACAAIAAgAFwAIgBRAHUAaQBjAGsAUgBhAHQAaQBvALsDIAAgACAAIAAgACAAIAAgACAAIAAgACAAIAAgACAAIACSIU0AZQBhAHMAdQByAGUAcwAgAGEAYgBpAGwAaQB0AHkAIAB0AG8AIABtAGUAZQB0ACAAcwBoAG8AcgB0AC0AdABlAHIAbQAgAG8AYgBsAGkAZwBhAHQAaQBvAG4AcwC2AFwAIgAgACYAXABuACAAIAAgACAAIAAgACAAIABcACIAQwBhAHMAaABSAGEAdABpAG8AuwMgACAAIAAgACAAIAAgACAAIAAgACAAIAAgACAAIAAgACAAkiFFAHYAYQBsAHUAYQB0AGUAcwAgAGEAYgBpAGwAaQB0AHkAIAB0AG8AIAByAGUAcABhAHkAIABzAGgAbwByAHQALQB0AGUAcgBtACAAZABlAGIAdAAgAHcALwBjAGEAcwBoACAAbwByACAAbgBlAGEAcgAtAGMAYQBzAGgAIAByAGUAcwBvAHUAcgBjAGUAcwC2AFwAIgAgACYAXABuACAAIAAgACAAIAAgACAAIABcACIATwBwAGUAcgBhAHQAaQBuAGcAQwBhAHMAaABGAGwAbwB3AFIAYQB0AGkAbwC7AyAAIAAgACAAkiFNAGUAYQBzAHUAcgBlAHMAIABoAG8AdwAgAHIAZQBhAGQAaQBsAHkAIABjAHUAcgByAGUAbgB0ACAAbABpAGEAYgBpAGwAaQB0AGkAZQBzACAAYQByAGUAIABjAG8AdgBlAHIAZQBkACAAYgB5ACAAYwBhAHMAaAAgAGYAbABvAHcAcwAgAGcAZQBuAGUAcgBhAHQAZQBkACAAZgByAG8AbQAgAG8AcABlAHIAYQB0AGkAbwBuAHMALgAgALYAXAAiACAAJgBcAG4AIAAgACAAIAAgACAAIAAgAFwAIgBSAGUAYwBlAGkAdgBhAGIAbABlAHMAVAB1AHIAbgBvAHYAZQByAFIAYQB0AGkAbwC7AyAAIACSIUkAbgBkAGkAYwBhAHQAZQBzACAAZQBmAGYAZQBjAHQAaQB2AGUAbgBlAHMAcwAgAGkAbgAgAGMAbwBsAGwAZQBjAHQAaQBuAGcAIABvAHUAdABzAHQAYQBuAGQAaQBuAGcAIABiAGEAbABhAG4AYwBlAHMAIABmAHIAbwBtACAAYwBsAGkAZQBuAHQAcwAgAGEAbgBkACAAbQBhAG4AYQBnAGkAbgBnACAAbABpAG4AZQAgAG8AZgAgAGMAcgBlAGQAaQB0ACAAcAByAG8AYwBlAHMAcwC2AFwAIgAgACYAXABuACAAIAAgACAAIAAgACAAIABcACIASQBuAHYAZQBuAHQAbwByAHkAVAB1AHIAbgBvAHYAZQByAFIAYQB0AGkAbwC7AyAAIAAgACAAkiFTAGgAbwB3AHMAIABoAG8AdwAgAG0AYQBuAHkAIAB0AGkAbQBlAHMAIABhACAAYwBvAG0AcABhAG4AeQAgAHQAdQByAG4AZQBkACAAbwB2AGUAcgAgAGkAdABzACAAaQBuAHYAZQBuAHQAbwByAHkAIAByAGUAbABhAHQAaQB2AGUAIAAgAHQAbwAgAGkAdABzACAAYwBvAHMAdAAgAG8AZgAgAGcAbwBvAGQAcwAgAHMAbwBsAGQAtgBcACIAIAAmAFwAbgAgACAAIAAgACAAIAAgACAAXAAiAFcAbwByAGsAaQBuAGcAQwBhAHAAaQB0AGEAbABUAHUAcgBuAG8AdgBlAHIAUgBhAHQAaQBvALsDkiFXAG8AcgBrAGkAbgBnACAAQwBhAHAAaQB0AGEAbAAgAFQAdQByAG4AbwB2AGUAcgAgAFIAYQB0AGkAbwAgAG0AZQBhAHMAdQByAGUAcwAgAGgAbwB3ACAAZQBmAGYAaQBjAGkAZQBuAHQAbAB5ACAAYQAgAGMAbwBtAHAAYQBuAHkAIABpAHMAIAB1AHMAaQBuAGcAIABpAHQAcwAgAHcAbwByAGsAaQBuAGcAIABjAGEAcABpAHQAYQBsACAAdABvACAAcwB1AHAAcABvAHIAdAAgAHMAYQBsAGUAcwAgAGEAbgBkACAAZwByAG8AdwB0AGgAtgBcACIAIAAmAFwAbgAgACAAIAAgACAAIAAgACAAXAAiAJIhtgBcACIAIAAmACAAXABuACAAIAAgACAAIAAgACAAIABcACIATABlAHYAZQByAGEAZwBlACAAUgBhAHQAaQBvAHMAkiG2AFwAIgAgACYAXABuACAAIAAgACAAIAAgACAAIABcACIARABlAGIAdABSAGEAdABpAG8AuwMgACAAIAAgACAAIAAgACAAIAAgACAAIAAgACAAIAAgACAAkiFNAGUAYQBzAHUAcgBlAHMAIAB0AGgAZQAgAGUAeAB0AGUAbgB0ACAAbwBmACAAYQAgAGMAbwBtAHAAYQBuAHkAJwBzACAAbABlAHYAZQByAGEAZwBlALYAXAAiACAAJgBcAG4AIAAgACAAIAAgACAAIAAgAFwAIgBEAFMAQwBSALsDIAAgACAAIAAgACAAIAAgACAAIAAgACAAIAAgACAAIAAgACAAIAAgACAAIACSIUQAZQBiAHQAIABzAGUAcgB2AGkAYwBlACAAYwBvAHYAZQByAGEAZwBlACAAUgBhAHQAaQBvACAAbQBlAGEAcwB1AHIAZQBzACAAYQAgAGYAaQByAG0AGSBzACAAYQB2AGEAaQBsAGEAYgBsAGUAIABjAGEAcwBoACAAZgBsAG8AdwAgAHQAbwAgAHAAYQB5ACAAaQB0AHMAIABjAHUAcgByAGUAbgB0ACAAZABlAGIAdAAgAG8AYgBsAGkAZwBhAHQAaQBvAG4AcwC2AFwAIgAgACYAXABuACAAIAAgACAAIAAgACAAIABcACIARABlAGIAdABUAG8AQwBhAHAAaQB0AGEAbABSAGEAdABpAG8AuwMgACAAIAAgACAAIAAgACAAkiFHAGkAdgBlAHMAIABhAG4AYQBsAHkAcwB0AHMAIABhAG4AZAAgAGkAbgB2AGUAcwB0AG8AcgBzACAAYQAgAGIAZQB0AHQAZQByACAAaQBkAGUAYQAgAG8AZgAgAGEAIABjAG8AbQBwAGEAbgB5ACcAcwAgAGYAaQBuAGEAbgBjAGkAYQBsACAAcwB0AHIAdQBjAHQAdQByAGUAIABhAG4AZAAgAHcAaABlAHQAaABlAHIAIABvAHIAIABuAG8AdAAgAHQAaABlACAAYwBvAG0AcABhAG4AeQAgAGkAcwAgAGEAIABzAHUAaQB0AGEAYgBsAGUAIABpAG4AdgBlAHMAdABtAGUAbgB0ALYAXAAiACAAJgBcAG4AIAAgACAAIAAgACAAIAAgAFwAIgBFAHEAdQBpAHQAeQBNAHUAbAB0AGkAcABsAGkAZQByALsDIAAgACAAIAAgACAAIAAgACAAIACSIU0AZQBhAHMAdQByAGUAcwAgAHQAaABlACAAcABvAHIAdABpAG8AbgAgAG8AZgAgAGEAIABjAG8AbQBwAGEAbgB5ABkgcwAgAGEAcwBzAGUAdABzACAAZgBpAG4AYQBuAGMAZQBkACAAYgB5ACAAcwBoAGEAcgBlAGgAbwBsAGQAZQByAHMAJwBlAHEAdQBpAHQAeQAgAHIAYQB0AGgAZQByACAAdABoAGEAbgAgAGIAeQAgAGQAZQBiAHQAtgBcACIAIAAmAFwAbgAgACAAIAAgACAAIAAgACAAXAAiAJIhtgBcACIAIAAmACAAXABuACAAIAAgACAAIAAgACAAIABcACIAUwBvAGwAdgBlAG4AYwB5ACAAUgBhAHQAaQBvAHMAkiG2AFwAIgAgACYAXABuACAAIAAgACAAIAAgACAAIABcACIARABlAGIAdABUAG8ARQBxAHUAaQB0AHkAUgBhAHQAaQBvALsDIAAgACAAIAAgACAAIAAgACAAkiFNAGUAYQBzAHUAcgBlAHMAIAB0AGgAZQAgAGQAZQBnAHIAZQBlACAAdABvACAAdwBoAGkAYwBoACAAYQAgAGMAbwBtAHAAYQBuAHkAIABpAHMAIABmAGkAbgBhAG4AYwBpAG4AZwAgAG8AcABlAHIAYQB0AGkAbwBuAHMAIAB3AGkAdABoACAAZABlAGIAdAAgAHIAYQB0AGgAZQByACAAdABoAGEAbgAgAGkAdABzACAAbwB3AG4AIAByAGUAcwBvAHUAcgBjAGUAcwAuALYAXAAiACAAJgBcAG4AIAAgACAAIAAgACAAIAAgAFwAIgBEAGUAYgB0AFQAbwBBAHMAcwBlAHQAUgBhAHQAaQBvALsDIAAgACAAIAAgACAAIAAgACAAIACSIUEAbgBhAGwAeQBzAHQAcwAgAGMAYQBuACAAYwBvAG0AcABhAHIAZQAgAG8AbgBlACAAYwBvAG0AcABhAG4AeQAnAHMAIABsAGUAdgBlAHIAYQBnAGUAIAB3AGkAdABoACAAdABoAGEAdAAgAG8AZgAgAG8AdABoAGUAcgAgAGMAbwBtAHAAYQBuAGkAZQBzACAAaQBuACAAdABoAGUAIABzAGEAbQBlACAAaQBuAGQAdQBzAHQAcgB5AC4AtgBcACIAIAAmAFwAbgAgACAAIAAgACAAIAAgACAAXAAiAEkAbgB0AGUAcgBlAHMAdABDAG8AdgBlAHIAYQBnAGUAUgBhAHQAaQBvALsDIAAgACAAIAAgAJIhRABlAHQAZQByAG0AaQBuAGUAcwAgAGgAbwB3ACAAZQBhAHMAaQBsAHkAIABhACAAYwBvAG0AcABhAG4AeQAgAGMAYQBuACAAcABhAHkAIABpAG4AdABlAHIAZQBzAHQAIABvAG4AIABpAHQAcwAgAG8AdQB0AHMAdABhAG4AZABpAG4AZwAgAGQAZQBiAHQAtgBcACIAIAAmAFwAbgAgACAAIAAgACAAIAAgACAAXAAiAEUAcQB1AGkAdAB5AFIAYQB0AGkAbwC7AyAAIAAgACAAIAAgACAAIAAgACAAIAAgACAAIAAgAJIhTQBlAGEAcwB1AHIAZQBzACAAdABoAGUAIABsAG8AbgBnAC0AdABlAHIAbQAgAHMAbwBsAHYAZQBuAGMAeQAgAG8AZgAgAGEAIABjAG8AbQBwAGEAbgB5ACAAYgB5ACAAYwBvAG0AcABhAHIAaQBuAGcAIABpAHQAcwAgAHMAaABhAHIAZQBoAG8AbABkAGUAcgBzABkgIABlAHEAdQBpAHQAeQAgAHQAbwAgAGkAdABzACAAdABvAHQAYQBsACAAYQBzAHMAZQB0AHMAtgBcACIAIAAmAFwAbgAgACAAIAAgACAAIAAgACAAXAAiAJIhtgBcACIAIAAmACAAXABuACAAIAAgACAAIAAgACAAIABcACIARQBmAGYAaQBjAGkAZQBuAGMAeQAgAFIAYQB0AGkAbwBzAJIhtgBcACIAIAAmAFwAbgAgACAAIAAgACAAIAAgACAAXAAiAEEAcwBzAGUAdABUAHUAcgBuAG8AdgBlAHIAUgBhAHQAaQBvALsDIAAgACAAIAAg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BcACIARABTAEkAUgBhAHQAaQBvALsDIAAgACAAIAAgACAAIAAgACAAIAAgACAAIAAgACAAIAAgACAAkiFEAGEAeQBzACAAUwBhAGwAZQBzACAAaQBuACAASQBuAHYAZQBuAHQAbwByAHkAIABSAGEAdABpAG8AIAAoAGEAawBhACAAQQB2AGUAcgBhAGcAZQAgAGEAZwBlACAAbwBmACAAaQBuAHYAZQBuAHQAbwByAHkAIABpAG4AZABpAGMAYQB0AGUAcwAgAHQAaABlACAAYQB2AGUAcgBhAGcAZQAgAHQAaQBtAGUAIABpAG4AIABkAGEAeQBzACAAdABoAGEAdAAgAGEAIABjAG8AbQBwAGEAbgB5ACAAdABhAGsAZQBzACAAdABvACAAdAB1AHIAbgAgAGkAdABzACAAaQBuAHYAZQBuAHQAbwByAHkAtgBcACIAIAAmAFwAbgAgACAAIAAgACAAIAAgACAAXAAiAE8AcABlAHIAYQB0AGkAbgBnAFIAYQB0AGkAbwC7AyAAIAAgACAAIAAgACAAIAAgACAAIAAgAJIhUwBoAG8AdwBzACAAaABvAHcAIABlAGYAZgBpAGMAaQBlAG4AdAAgAG0AYQBuAGEAZwBlAG0AZQBuAHQAIABpAHMAIABhAHQAIABrAGUAZQBwAGkAbgBnACAAYwBvAHMAdABzACAAbABvAHcAIAB3AGgAaQBsAGUAIABnAGUAbgBlAHIAYQB0AGkAbgBnACAAcgBlAHYAZQBuAHUAZQC2AFwAIgAgACYAXABuACAAIAAgACAAIAAgACAAIABcACIAkiG2AFwAIgAgACYAIABcAG4AIAAgACAAIAAgACAAIAAgAFwAIgBQAHIAbwBmAGkAdABhAGIAaQBsAGkAdAB5ACAATQBhAHIAZwBpAG4AcwAgACYAIABSAGEAdABpAG8AcwCSIbYAXAAiACAAJgBcAG4AIAAgACAAIAAgACAAIAAgAFwAIgBHAHIAbwBzAHMATQBhAHIAZwBpAG4AuwMgACAAIAAgACAAIAAgACAAIAAgACAAIAAgACAAIACSIVMAaABvAHcAcwAgAGgAbwB3ACAAbQB1AGMAaAAgAHAAcgBvAGYAaQB0ACAAYQAgAGMAbwBtAHAAYQBuAHkAIABtAGEAawBlAHMAIABhAGYAdABlAHIAIABwAGEAeQBpAG4AZwAgAG8AZgBmACAAaQB0AHMAIABDAG8AcwB0ACAAbwBmACAARwBvAG8AZABzACAAUwBvAGwAZAC2AFwAIgAgACYAXABuACAAIAAgACAAIAAgACAAIABcACIARQBCAEkAVABEAEEATQBhAHIAZwBpAG4AuwMgACAAIAAgACAAIAAgACAAIAAgACAAIAAgACAAkiFNAGUAYQBzAHUAcgBlAHMAIABhACAAYwBvAG0AcABhAG4AeQAnAHMAIABvAHAAZQByAGEAdABpAG4AZwAgAHAAcgBvAGYAaQB0ACAAYQBzACAAYQAgAHAAZQByAGMAZQBuAHQAYQBnAGUAIABvAGYAIABpAHQAcwAgAHIAZQB2AGUAbgB1AGUAtgBcACIAIAAmAFwAbgAgACAAIAAgACAAIAAgACAAXAAiAE8AcABlAHIAYQB0AGkAbgBnAE0AYQByAGcAaQBuALsDIAAgACAAIAAgACAAIAAgACAAIAAgAJIhTQBlAGEAcwB1AHIAZQBzACAAaABvAHcAIABtAHUAYwBoACAAcAByAG8AZgBpAHQAIABhACAAYwBvAG0AcABhAG4AeQAgAG0AYQBrAGUAcwAgAG8AbgAgAGEAIABkAG8AbABsAGEAcgAgAG8AZgAgAHMAYQBsAGUAcwAgAGEAZgB0AGUAcgAgAHAAYQB5AGkAbgBnACAAZgBvAHIAIAB2AGEAcgBpAGEAYgBsAGUAIABjAG8AcwB0AHMAIABvAGYAIABwAHIAbwBkAHUAYwB0AGkAbwBuACwAIABzAHUAYwBoACAAYQBzACAAdwBhAGcAZQBzACAAYQBuAGQAIAByAGEAdwAgAG0AYQB0AGUAcgBpAGEAbABzACwAIABiAHUAdAAgAGIAZQBmAG8AcgBlACAAcABhAHkAaQBuAGcAIABpAG4AdABlAHIAZQBzAHQAIABvAHIAIAB0AGEAeAC2AFwAIgAgACYAXABuACAAIAAgACAAIAAgACAAIABcACIAUAByAGUAdABhAHgATQBhAHIAZwBpAG4AuwMgACAAIAAgACAAIAAgACAAIAAgACAAIAAgACAAkiFNAGUAYQBzAHUAcgBlAHMAIAB0AGgAZQAgAG8AcABlAHIAYQB0AGkAbgBnACAAZQBmAGYAaQBjAGkAZQBuAGMAeQAgAG8AZgAgAGEAIABjAG8AbQBwAGEAbgB5ACAAtgBcACIAIAAmAFwAbgAgACAAIAAgACAAIAAgACAAXAAiAE4AZQB0AFAAcgBvAGYAaQB0AE0AYQByAGcAaQBuALsDIAAgACAAIAAgACAAIAAgACAAIAAgAJIhTQBlAGEAcwB1AHIAZQBzACAAaABvAHcAIABtAHUAYwBoACAAbgBlAHQAIABpAG4AYwBvAG0AZQAgAG8AcgAgAHAAcgBvAGYAaQB0ACAAYQAgAGMAbwBtAHAAYQBuAHkAIABnAGUAbgBlAHIAYQB0AGUAcwAgAGEAcwAgAGEAIABwAGUAcgBjAGUAbgB0AGEAZwBlACAAbwBmACAAaQB0AHMAIAByAGUAdgBlAG4AdQBlAC4AtgBcACIAIAAmAFwAbgAgACAAIAAgACAAIAAgACAAXAAiAEMAYQBzAGgARgBsAG8AdwBNAGEAcgBnAGkAbgC7AyAAIAAgACAAIAAgACAAIAAgACAAIAAgAJIhQwBhAHMAaAAgAEYAbABvAHcAIABNAGEAcgBnAGkAbgAgAGkAcwAgAGEAIAB0AHIAdQBzAHQAZQBkACAAbQBlAHQAcgBpAGMAIABvAGYAIABhACAAYwBvAG0AcABhAG4AeQAZIHMAIABwAHIAbwBmAGkAdABhAGIAaQBsAGkAdAB5ACAAYQBuAGQAIABlAGYAZgBpAGMAaQBlAG4AYwB5ACAAYQBuAGQAIABpAHQAcwAgAGUAYQByAG4AaQBuAGcAcwAgAHEAdQBhAGwAaQB0AHkAtgBcACIAIAAmAFwAbgAgACAAIAAgACAAIAAgACAAXAAiAFIATwBBALsDIAAgACAAIAAgACAAIAAgACAAIAAgACAAIAAgACAAIAAgACAAIAAgACAAIAAgAJIhKgBSAGUAdAB1AHIAbgAgAG8AbgAgAEEAcwBzAGUAdABzACAASQBuAGQAaQBjAGEAdABlAHMAIABoAG8AdwAgAHAAcgBvAGYAaQB0AGEAYgBsAGUAIABhACAAYwBvAG0AcABhAG4AeQAgAGkAcwAgAGkAbgAgAHIAZQBsAGEAdABpAG8AbgAgAHQAbwAgAGkAdABzACAAdABvAHQAYQBsACAAYQBzAHMAZQB0AHMAtgBcACIAIAAmAFwAbgAgACAAIAAgACAAIAAgACAAXAAiAFIATwBFALsDIAAgACAAIAAgACAAIAAgACAAIAAgACAAIAAgACAAIAAgACAAIAAgACAAIAAgAJIhKgBSAGUAdAB1AHIAbgAgAG8AbgAgAGUAcQB1AGkAdAB5ACAAaQBzACAAYQAgAG0AZQBhAHMAdQByAGUAIABvAGYAIABmAGkAbgBhAG4AYwBpAGEAbAAgAHAAZQByAGYAbwByAG0AYQBuAGMAZQAgALYAXAAiACAAJgBcAG4AIAAgACAAIAAgACAAIAAgAFwAIgBSAE8ASQC7AyAAIAAgACAAIAAgACAAIAAgACAAIAAgACAAIAAgACAAIAAgACAAIAAgACAAIACSIVIAZQB0AHUAcgBuACAAbwBuACAASQBuAHYAZQBzAHQAbQBlAG4AdAAgAHIAYQB0AGkAbwAgACAAbQBlAGEAcwB1AHIAZQBzACAAdABoAGUAIABwAHIAbwBmAGkAdABhAGIAaQBsAGkAdAB5ACAAbwBmACAAYQBuACAAaQBuAHYAZQBzAHQAbQBlAG4AdAAgAGIAeQAgAGMAbwBtAHAAYQByAGkAbgBnACAAdABoAGUAIABnAGEAaQBuACAAbwByACAAbABvAHMAcwAgAHQAbwAgAGkAdABzACAAYwBvAHMAdAC2AFwAIgAgACYAXABuACAAIAAgACAAIAAgACAAIABcACIAUgBPAEkAQwC7AyAAIAAgACAAIAAgACAAIAAgACAAIAAgACAAIAAgACAAIAAgACAAIAAgACAAkiFSAGUAdAB1AHIAbgAgAG8AbgAgAEkAbgB2AGUAcwB0AGUAZAAgAGMAYQBwAGkAdABhAGwAIAAgAGEAcwBzAGUAcwBzAGUAcwAgAGEAIABjAG8AbQBwAGEAbgB5ABkgcwAgAGUAZgBmAGkAYwBpAGUAbgBjAHkAIABpAG4AIABhAGwAbABvAGMAYQB0AGkAbgBnACAAYwBhAHAAaQB0AGEAbAAgAHQAbwAgAHAAcgBvAGYAaQB0AGEAYgBsAGUAIABpAG4AdgBlAHMAdABtAGUAbgB0AHMAtgBcACIAIAAmAFwAbgAgACAAIAAgACAAIAAgACAAXAAiAJIhtgBcACIAIAAmACAAXABuACAAIAAgACAAIAAgACAAIABcACIATQBhAHIAawBlAHQAIABWAGEAbAB1AGUAIABSAGEAdABpAG8AcwCSIbYAXAAiACAAJgBcAG4AIAAgACAAIAAgACAAIAAgAFwAIgBQAHIAaQBjAGUARQBhAHIAbgBpAG4AZwBzAFIAYQB0AGkAbwC7AyAAIAAgACAAIAAgACAAIACSISoAUAByAGkAYwBlAC0AZQBhAHIAbgBpAG4AZwBzACAAUgBhAHQAaQBvACAAbQBlAGEAcwB1AHIAZQBzACAAYQAgAGMAbwBtAHAAYQBuAHkAJwBzACAAcwBoAGEAcgBlACAAcAByAGkAYwBlACAAcgBlAGwAYQB0AGkAdgBlACAAdABvACAAaQB0AHMAIABlAGEAcgBuAGkAbgBnAHMAIABwAGUAcgAgAHMAaABhAHIAZQC2AFwAIgAgACYAXABuACAAIAAgACAAIAAgACAAIABcACIAUAByAGkAYwBlAFQAbwBCAG8AbwBrAFIAYQB0AGkAbwC7AyAAIAAgACAAIAAgACAAIAAgACAAkiFNAGEAbgB5ACAAaQBuAHYAZQBzAHQAbwByAHMAIAB1AHMAZQAgAHQAaABlACAAcAByAGkAYwBlAC0AdABvAC0AYgBvAG8AawAgAHIAYQB0AGkAbwAgACgAUAAvAEIAIAByAGEAdABpAG8AKQAgAHQAbwAgAGMAbwBtAHAAYQByAGUAIABhACAAZgBpAHIAbQAnAHMAIABtAGEAcgBrAGUAdAAgAGMAYQBwAGkAdABhAGwAaQBzAGEAdABpAG8AbgAgAHQAbwAgAGkAdABzACAAYgBvAG8AawAgAHYAYQBsAHUAZQAgAGEAbgBkACAAbABvAGMAYQB0AGUAIAB1AG4AZABlAHIAdgBhAGwAdQBlAGQAIABjAG8AbQBwAGEAbgBpAGUAcwAuALYAXAAiACAAJgBcAG4AIAAgACAAIAAgACAAIAAgAFwAIgBQAHIAaQBjAGUAVABvAFMAYQBsAGUAcwBSAGEAdABpAG8AuwMgACAAIAAgACAAIAAgACAAIACSIVAAcgBpAGMAZQAgAHQAbwAgAFMAYQBsAGUAcwAgACgAUAAvAFMAKQAgAFIAYQB0AGkAbwAgAGkAcwAgAGEAbgAgAGkAbgBkAGkAYwBhAHQAbwByACAAbwBmACAAdABoAGUAIAB2AGEAbAB1AGUAIAB0AGgAYQB0ACAAZgBpAG4AYQBuAGMAaQBhAGwAIABtAGEAcgBrAGUAdABzACAAaABhAHYAZQAgAHAAbABhAGMAZQBkACAAbwBuACAAZQBhAGMAaAAgAGQAbwBsAGwAYQByACAAbwBmACAAYQAgAGMAbwBtAHAAYQBuAHkAJwBzACAAcwBhAGwAZQBzACAAbwByACAAcgBlAHYAZQBuAHUAZQBzALYAXAAiACAAJgBcAG4AIAAgACAAIAAgACAAIAAgAFwAIgBQAHIAaQBjAGUAVABvAEMAYQBzAGgAUgBhAHQAaQBvALsDIAAgACAAIAAgACAAIAAgACAAIACSIVAAcgBpAGMAZQAgAHQAbwAgAEMAYQBzAGgAIAAoAFAALwBDAEYAKQAgAFIAYQB0AGkAbwAgAGkAcwAgAGEAIABzAHQAbwBjAGsAIAB2AGEAbAB1AGEAdABpAG8AbgAgAGkAbgBkAGkAYwBhAHQAbwByACAAbwByACAAbQB1AGwAdABpAHAAbABlACAAdABoAGEAdAAgAG0AZQBhAHMAdQByAGUAcwAgAHQAaABlACAAdgBhAGwAdQBlACAAbwBmACAAYQAgAHMAdABvAGMAawAZIHMAIABwAHIAaQBjAGUAIAByAGUAbABhAHQAaQB2AGUAIAB0AG8AIABpAHQAcwAgAG8AcABlAHIAYQB0AGkAbgBnACAAYwBhAHMAaAAgAGYAbABvAHcAIABwAGUAcgAgAHMAaABhAHIAZQC2AFwAIgAgACYAXABuACAAIAAgACAAIAAgACAAIABcACIAQgBWAFAAUwC7AyAAIAAgACAAIAAgACAAIAAgACAAIAAgACAAIAAgACAAIAAgACAAIAAgACAAkiFCAG8AbwBrACAAdgBhAGwAdQBlACAAcABlAHIAIABzAGgAYQByAGUAIAByAGEAdABpAG8AIABpAHMAIABhAG4AIABpAG4AZABpAGMAYQB0AG8AcgAgAG8AZgAgAHQAaABlACAAdgBhAGwAdQBlACAAbwBmACAAYQAgAGMAbwBtAHAAYQBuAHkAGSBzACAAcwB0AG8AYwBrALYAXAAiACAAJgBcAG4AIAAgACAAIAAgACAAIAAgAFwAIgBDAEEAUABFAFIAYQB0AGkAbwC7AyAAIAAgACAAIAAgACAAIAAgACAAIAAgACAAIAAgACAAIACSIU0AZQBhAHMAdQByAGUAIAB0AGgAYQB0ACAAdQBzAGUAcwAgAHIAZQBhAGwAIABlAGEAcgBuAGkAbgBnAHMAIABwAGUAcgAgAHMAaABhAHIAZQAgACgARQBQAFMAKQAgAG8AdgBlAHIAIABhACAAMQAwAC0AeQBlAGEAcgAgAHAAZQByAGkAbwBkACAAdABvACAAcwBtAG8AbwB0AGgAIABvAHUAdAAgAGYAbAB1AGMAdAB1AGEAdABpAG8AbgBzACAAaQBuACAAYwBvAHIAcABvAHIAYQB0AGUAIABwAHIAbwBmAGkAdABzACAAdABoAGEAdAAgAG8AYwBjAHUAcgAgAG8AdgBlAHIAIABkAGkAZgBmAGUAcgBlAG4AdAAgAHAAZQByAGkAbwBkAHMAIABvAGYAIABhACAAYgB1AHMAaQBuAGUAcwBzACAAYwB5AGMAbABlACAAKABhAGsAYQAgAFMAaABpAGwAbABlAHIAIABQAEUAIABSAGEAdABpAG8AKQC2AFwAIgAgACYAXABuACAAIAAgACAAIAAgACAAIABcACIARABpAHYAaQBkAGUAbgBkAFAAYQB5AG8AdQB0AFIAYQB0AGkAbwC7AyAAIAAgACAAIAAgACAAkiFEAGkAdgBpAGQAZQBuAGQAIABQAGEAeQBvAHUAdAAgAFIAYQB0AGkAbwAgAGkAcwAgAHQAaABlACAAcABlAHIAYwBlAG4AdABhAGcAZQAgAG8AZgAgAGUAYQByAG4AaQBuAGcAcwAgAHAAYQBpAGQAIAB0AG8AIABzAGgAYQByAGUAaABvAGwAZABlAHIAcwAgAHYAaQBhACAAZABpAHYAaQBkAGUAbgBkAHMAtgBcACIAIAAmAFwAbgAgACAAIAAgACAAIAAgACAAXAAiAEQAaQB2AGkAZABlAG4AZABZAGkAZQBsAGQAUgBhAHQAaQBvALsDIAAgACAAIAAgACAAIAAgAJIhRABpAHYAaQBkAGUAbgBkACAAeQBpAGUAbABkACAAcgBhAHQAaQBvACAAcwBoAG8AdwBzACAAaABvAHcAIABtAHUAYwBoACAAYQAgAGMAbwBtAHAAYQBuAHkAIABwAGEAeQBzACAAbwB1AHQAIABpAG4AIABkAGkAdgBpAGQAZQBuAGQAcwC2AFwAIgAgACYAXABuACAAIAAgACAAIAAgACAAIABcACIARQBQAFMAuwMgACAAIAAgACAAIAAgACAAIAAgACAAIAAgACAAIAAgACAAIAAgACAAIAAgACAAkiFFAGEAcgBuAGkAbgBnAHMAIABwAGUAcgAgAHMAaABhAHIAZQAgAG0AZQBhAHMAdQByAGUAcwAgAHAAcgBvAGYAaQB0AGEAYgBpAGwAaQB0AHkAIABpAG4AZABpAGMAYQB0AGkAbgBnACAAaABvAHcAIABtAHUAYwBoACAAcAByAG8AZgBpAHQAIABlAGEAYwBoACAAbwB1AHQAcwB0AGEAbgBkAGkAbgBnACAAcwBoAGEAcgBlACAAbwBmACAAYwBvAG0AbQBvAG4AIABzAHQAbwBjAGsAIABoAGEAcwAgAGUAYQByAG4AZQBkACAAtgBcACIAIAAmAFwAbgAgACAAIAAgACAAIAAgACAAXAAiAFIAZQB0AGUAbgB0AGkAbwBuAFIAYQB0AGkAbwC7AyAAIAAgACAAIAAgACAAIAAgACAAIAAgAJIhUgBlAHQAZQBuAHQAaQBvAG4AIABSAGEAdABpAG8AIABpAHMAIAB0AGgAZQAgAHAAcgBvAHAAbwByAHQAaQBvAG4AIABvAGYAIABlAGEAcgBuAGkAbgBnAHMAIABrAGUAcAB0ACAAYgBhAGMAawAgAGkAbgAgAHQAaABlACAAYgB1AHMAaQBuAGUAcwBzACAAYQBzACAAcgBlAHQAYQBpAG4AZQBkACAAZQBhAHIAbgBpAG4AZwBzALYAXAAiACAAJgBcAG4AIAAgACAAIAAgACAAIAAgAFwAIgCSIbYAXAAiACAAJgAgAFwAbgAgACAAIAAgACAAIAAgACAAXAAiACoAIAAgACAAIAAgACAAIAAgACAAIAAgACAAIAAgACAAIAAgACAAIAAgACAAIAAgACAAIAAgAJIhVABoAGUAcwBlACAAYQByAGUAIABjAG8AbgBzAGkAZABlAHIAZQBkACAAJwBLAGUAeQAgAFIAYQB0AGkAbwBzACcAtgBcACIAIAAmAFwAbgAgACAAIAAgACAAIAAgACAAXAAiAJIhXAAiACwAIABcACIAkiFcACIALAAgAFwAIgC2AFwAIgBcAG4AIAAgACAAIAApAFwAbgApADsAXABuAFwAbgBcAG4AXABuAC8AKgAgACAARgBVAE4AQwBUAEkATwBOACAATgBBAE0ARQA6ACAAIABDAHUAcgByAGUAbgB0AFIAYQB0AGkAbwC7A1wAbgAgACAAIAAgAEQARQBTAEMAUgBJAFAAVABJAE8ATgA6ACoALwAvACoAKgBNAGUAYQBzAHUAcgBlAHMAIABhACAAYwBvAG0AcABhAG4AeQAZIHMAIABhAGIAaQBsAGkAdAB5ACAAdABvACAAcABhAHkAIABzAGgAbwByAHQALQB0AGUAcgBtACAAbwBiAGwAaQBnAGEAdABpAG8AbgBzACAAKABDAHUAcgByAGUAbgB0ACAAQQBzAHMAZQB0AHMALwBMAGkAYQBiAGkAbABpAHQAaQBlAHMAKQAqAC8AXABuAEMAdQByAHIAZQBuAHQAUgBhAHQAaQBvALsDIAA9ACAATABBAE0AQgBEAEEAKABcAG4ALwAvACAAIABQAGEAcgBhAG0AZQB0AGUAcgAgAEQAZQBjAGwAYQByAGEAdABpAG8AbgBzAFwAbgAgACAAIAAgACAAIAAgACAAWwBBAHMAcwBlAHQAc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HUAcgByAGUAbgB0AFIAYQB0AGkAbwC7AygAIABBAHMAcwBlAHQAcwAsACAATABpAGEAYgBpAGwAaQB0AGkAZQBzACkAtgBcACIAIAAmACAAXABuACAAIAAgACAAIAAgACAAIAAgACAAIAAgACAAIAAgACAAIAAgACAAIAAgACAAIAAgAFwAIgBEAEUAUwBDAFIASQBQAFQASQBPAE4AOgAgACAAIACSIU0AZQBhAHMAdQByAGUAcwAgAGEAIABjAG8AbQBwAGEAbgB5ABkgcwAgAGEAYgBpAGwAaQB0AHkAIAB0AG8AIABwAGEAeQAgAHMAaABvAHIAdAAtAHQAZQByAG0AIABvAGIAbABpAGcAYQB0AGkAbwBuAHMAIAAgALYAXAAiACAAJgAgAFwAbgAgACAAIAAgACAAIAAgACAAIAAgACAAIAAgACAAIAAgACAAIAAgACAAIAAgACAAIAAgACAAIAAgACAAIAAgACAAIAAgACAAIAAgACAAIABcACIAkiEoAEMAdQByAHIAZQBuAHQAIABBAHMAcwBlAHQAcwAvAEwAaQBhAGIAaQBsAGkAdABpAGUAcwApALYAXAAiACAAJgAgAFwAbgAgACAAIAAgACAAIAAgACAAIAAgACAAIAAgACAAIAAgACAAIAAgACAAIAAgACAAIABcACIAVwBFAEIAUABBAEcARQA6ACAAIAAgACAAIAAgACAAkiFoAHQAdABwAHMAOgAvAC8AdwB3AHcALgBpAG4AdgBlAHMAdABvAHAAZQBkAGkAYQAuAGMAbwBtAC8AdABlAHIAbQBzAC8AYwAvAGMAdQByAHIAZQBuAHQ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EAcwBzAGUAdABzACAAIAAgACAAIAAgACAAIAAgAJIhKABSAGUAcQB1AGkAcgBlAGQAKQAgAEMAdQByAHIAZQBuAHQAIABBAHMAcwBlAHQAcwAuACAASQBuAGMAbAB1AGMAZQBzADoAIAC2AFwAIgAgACYAIABcAG4AIAAgACAAIAAgACAAIAAgACAAIAAgACAAIAAgACAAIAAgACAAIAAgACAAIAAgACAAIAAgACAAIAAgACAAIAAgACAAIAAgACAAIAAgACAAXAAiAJIhQwBhAHMAaAAgALYAXAAiACAAJgAgAFwAbgAgACAAIAAgACAAIAAgACAAIAAgACAAIAAgACAAIAAgACAAIAAgACAAIAAgACAAIAAgACAAIAAgACAAIAAgACAAIAAgACAAIAAgACAAIABcACIAkiFBAGMAYwBvAHUAbgB0AHMAIAByAGUAYwBlAGkAdgBhAGIAbABlACAAtgBcACIAIAAmACAAXABuACAAIAAgACAAIAAgACAAIAAgACAAIAAgACAAIAAgACAAIAAgACAAIAAgACAAIAAgACAAIAAgACAAIAAgACAAIAAgACAAIAAgACAAIAAgAFwAIgCSIUkAbgB2AGUAbgB0AG8AcgB5ACAAtgBcACIAIAAmACAAXABuACAAIAAgACAAIAAgACAAIAAgACAAIAAgACAAIAAgACAAIAAgACAAIAAgACAAIAAgACAAIAAgACAAIAAgACAAIAAgACAAIAAgACAAIAAgAFwAIgCSIVYAZQBuAGQAbwByACAAbQBwAG0ALQB0AHIAYQBkAGUAIAByAGUAYwBlAG8AdgBhAGIAbA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QAHIAbwBwAGUAcgB0AHkALAAgAFAAbABhAG4AdAAgAGEAbgBkACAAZQBxAHUAaQBwAG0AZQBuAHQAIAAoAFAAUABFACk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LgAwADcANQAgACAAIAAgACAAIAAgACAAIAAgAJIhPQBvAHoALgBDAHUAcgByAGUAbgB0AFIAYQB0AGkAbwC7AygAIAAxADMANAAuADgAMwA2ACwAIAAxADIANQAuADQAOAAx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QB1AGkAYwBrAFIAYQB0AGkAbwC7A1wAbgAgACAAIAAgAEQARQBTAEMAUgBJAFAAVABJAE8ATgA6ACoALwAvACoAKgBNAGUAYQBzAHUAcgBlAHMAIABhAGIAaQBsAGkAdAB5ACAAdABvACAAbQBlAGUAdAAgAHMAaABvAHIAdAAtAHQAZQByAG0AIABvAGIAbABpAGcAYQB0AGkAbwBuAHMAIAAoAFEAdQBpAGMAawAgAEEAcwBzAGUAdABzAC8AQwB1AHIAcgBlAG4AdAAgAEwAaQBhAGIAaQBsAGkAdABpAGUAcwApACoALwBcAG4AUQB1AGkAYwBrAFIAYQB0AGkAbwC7AyAAPQAgAEwAQQBNAEIARABBACgAXABuAC8ALwAgACAAUABhAHIAYQBtAGUAdABlAHIAIABEAGUAYwBsAGEAcgBhAHQAaQBvAG4AcwBcAG4AIAAgACAAIAAgACAAIAAgAFsAUQB1AGkAYwBrAEEAcwBzAGUAdABzAF0ALAAgACAAXABuACAAIAAgACAAIAAgACAAIABbAEwAaQBhAGIAaQBsAGkAdABpAGUAcwBdACwAIAAgACAAIAAgACAAIABcAG4ALwAvACAAIABIAGUAbABwAFwAbgAgACAAIAAgAEwARQBUACgASABlAGwAcAAsACAAIAAgAFQAUgBJAE0AKABUAEUAWABUAFMAUABMAEkAVAAoACAAXABuACAAIAAgACAAIAAgACAAIAAgACAAIAAgACAAIAAgACAAIAAgACAAIAAgACAAIAAgAFwAIgBGAFUATgBDAFQASQBPAE4AOgAgACAAIAAgACAAIACSIVEAdQBpAGMAawBSAGEAdABpAG8AuwMoACAAUQB1AGkAYwBrAEEAcwBzAGUAdABzACwAIABMAGkAYQBiAGkAbABpAHQAaQBlAHMAKQC2AFwAIgAgACYAIABcAG4AIAAgACAAIAAgACAAIAAgACAAIAAgACAAIAAgACAAIAAgACAAIAAgACAAIAAgACAAXAAiAEQARQBTAEMAUgBJAFAAVABJAE8ATgA6ACAAIAAgAJIhTQBlAGEAcwB1AHIAZQBzACAAYQBiAGkAbABpAHQAeQAgAHQAbwAgAG0AZQBlAHQAIABzAGgAbwByAHQALQB0AGUAcgBtACAAbwBiAGwAaQBnAGEAdABpAG8AbgBzALYAXAAiACAAJgAgAFwAbgAgACAAIAAgACAAIAAgACAAIAAgACAAIAAgACAAIAAgACAAIAAgACAAIAAgACAAIAAgACAAIAAgACAAIAAgACAAIAAgACAAIAAgACAAIABcACIAkiEoAFEAdQBpAGMAawAgAEEAcwBzAGUAdABzAC8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cQAvAHEAdQBpAGMAaw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UQB1AGkAYwBrAEEAcwBzAGUAdABzACAAIACSISgAUgBlAHEAdQBpAHIAZQBkACkAIABRAHUAaQBjAGsAIABBAHMAcwBlAHQAcwAuACAASQBuAGMAbAB1AGQAZQBzADoAIAC2AFwAIgAgACYAIABcAG4AIAAgACAAIAAgACAAIAAgACAAIAAgACAAIAAgACAAIAAgACAAIAAgACAAIAAgACAAIAAgACAAIAAgACAAIAAgACAAIAAgACAAIAAgACAAXAAiAJIhIiAgAEMAYQBzAGgAIAAmACAAQwBhAHMAaAAgAGUAcQB1AGkAdgBhAGwAZQBuAHQAcwAgALYAXAAiACAAJgAgAFwAbgAgACAAIAAgACAAIAAgACAAIAAgACAAIAAgACAAIAAgACAAIAAgACAAIAAgACAAIAAgACAAIAAgACAAIAAgACAAIAAgACAAIAAgACAAIABcACIAkiEiICAATQBhAHIAawBlAHQAYQBiAGwAZQAgAHMAZQBjAHUAcgBpAHQAaQBlAHMAIAC2AFwAIgAgACYAIABcAG4AIAAgACAAIAAgACAAIAAgACAAIAAgACAAIAAgACAAIAAgACAAIAAgACAAIAAgACAAIAAgACAAIAAgACAAIAAgACAAIAAgACAAIAAgACAAXAAiAJIhIiAgAEEAYwBjAG8AdQBuAHQAcwAgAHIAZQBjAGUAaQB2AGEAYgBsAGUAIAC2AFwAIgAgACYAIABcAG4AIAAgACAAIAAgACAAIAAgACAAIAAgACAAIAAgACAAIAAgACAAIAAgACAAIAAgACAAIAAgACAAIAAgACAAIAAgACAAIAAgACAAIAAgACAAXAAiAJIhQQBsAHQAZQByAGEAbgB0AGkAdgBlAGwAeQAgAGkAdAAgAGkAbgBjAGwAdQBkAGUAcwA6ACAAtgBcACIAIAAmACAAXABuACAAIAAgACAAIAAgACAAIAAgACAAIAAgACAAIAAgACAAIAAgACAAIAAgACAAIAAgACAAIAAgACAAIAAgACAAIAAgACAAIAAgACAAIAAgAFwAIgCSISIgIABDAHUAcgByAGUAbgB0ACAAYQBzAHMAZQB0AHMAIAC2AFwAIgAgACYAIABcAG4AIAAgACAAIAAgACAAIAAgACAAIAAgACAAIAAgACAAIAAgACAAIAAgACAAIAAgACAAIAAgACAAIAAgACAAIAAgACAAIAAgACAAIAAgACAAXAAiAJIhIiAgAEwAZQBzAHMAIABpAG4AdgBlAG4AdABvAHIAeQAgALYAXAAiACAAJgAgAFwAbgAgACAAIAAgACAAIAAgACAAIAAgACAAIAAgACAAIAAgACAAIAAgACAAIAAgACAAIAAgACAAIAAgACAAIAAgACAAIAAgACAAIAAgACAAIABcACIAkiEiICAATABlAHMAcwAgAHAAcgBlAHAAYQBpAGQAIABlAHgAcABlAG4AcwBlAHM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C4AMgAgACAAIAAgACAAIAAgACAAIAAgACAAIACSIT0AbwB6AC4AUQB1AGkAYwBrAFIAYQB0AGkAbwC7AygAIAAxADYANQAwADAAMAAsACAAMQAzADcANQ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QB1AGkAYwBr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FEAdQBpAGMAaw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MAYQBzAGgAUgBhAHQAaQBvALsDXABuACAAIAAgACAARABFAFMAQwBSAEkAUABUAEkATwBOADoAKgAvAC8AKgAqAEUAdgBhAGwAdQBhAHQAZQBzACAAYQBiAGkAbABpAHQAeQAgAHQAbwAgAHIAZQBwAGEAeQAgAHMAaABvAHIAdAAtAHQAZQByAG0AIABkAGUAYgB0ACAAdwAvAGMAYQBzAGgAIABvAHIAIABuAGUAYQByAC0AYwBhAHMAaAAgAHIAZQBzAG8AdQByAGMAZQBzACAAXABuACAAIAAgACAAKABDAGEAcwBoACAAYQBuAGQAIABDAGEAcwBoACAARQBxAHUAaQB2AGEAbABlAG4AdABzACAALwAgAEMAdQByAHIAZQBuAHQAIABMAGkAYQBiAGkAbABpAHQAaQBlAHMAKQAqAC8AXABuAEMAYQBzAGgAUgBhAHQAaQBvALsDIAA9ACAATABBAE0AQgBEAEEAKABcAG4ALwAvACAAIABQAGEAcgBhAG0AZQB0AGUAcgAgAEQAZQBjAGwAYQByAGEAdABpAG8AbgBzAFwAbgAgACAAIAAgACAAIAAgACAAWwBDAGEAcwBo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YQBzAGgAUgBhAHQAaQBvALsDKAAgAEMAYQBzAGgALAAgAEwAaQBhAGIAaQBsAGkAdABpAGUAcwApALYAXAAiACAAJgAgAFwAbgAgACAAIAAgACAAIAAgACAAIAAgACAAIAAgACAAIAAgACAAIAAgACAAIAAgACAAIABcACIARABFAFMAQwBSAEkAUABUAEkATwBOADoAIAAgACAAkiFFAHYAYQBsAHUAYQB0AGUAcwAgAGEAYgBpAGwAaQB0AHkAIAB0AG8AIAByAGUAcABhAHkAIABzAGgAbwByAHQALQB0AGUAcgBtACAAZABlAGIAdAAgAHcALwBjAGEAcwBoACAAbwByACAAbgBlAGEAcgAtAGMAYQBzAGgAIAByAGUAcwBvAHUAcgBjAGUAcwBcACIAIAAmACAAXABuACAAIAAgACAAIAAgACAAIAAgACAAIAAgACAAIAAgACAAIAAgACAAIAAgACAAIAAgACAAIAAgACAAIAAgACAAIAAgACAAIAAgACAAIAAgAFwAIgCSISgAQwBhAHMAaAAgAGEAbgBkACAAQwBhAHMAaAAgAEUAcQB1AGkAdgBhAGwAZQBuAHQAcwAgAC8AIA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DAGEAcwBoACAAIAAgACAAIAAgACAAIAAgACAAIACSISgAUgBlAHEAdQBpAHIAZQBkACkAIABDAGEAcwBoACAAYQBuAGQAIABDAGEAcwBoACAARQBxAHUAaQB2AGEAbABlAG4AdABz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C4ANQAxADcANAAwADkAIAAgACAAIAAgACAAIAAgAJIhPQBvAHoALgBDAGEAcwBoAFIAYQB0AGkAbwC7AygAIAA2ADMAOQAwADAAMAAwADAALAAgADEAMgAzADUAMAAwADA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wBhAHMAaA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8AcABlAHIAYQB0AGkAbgBnAEMAYQBzAGgARgBsAG8AdwBSAGEAdABpAG8AuwNcAG4AIAAgACAAIABEAEUAUwBDAFIASQBQAFQASQBPAE4AOgAqAC8ALwAqACoATQBlAGEAcwB1AHIAZQBzACAAYQAgAGMAbwBtAHAAYQBuAHkAGSBzACAAYQBiAGkAbABpAHQAeQAgAHQAbwAgAHAAYQB5ACAAcwBoAG8AcgB0AC0AdABlAHIAbQAgAG8AYgBsAGkAZwBhAHQAaQBvAG4AcwAqAC8AXABuAE8AcABlAHIAYQB0AGkAbgBnAEMAYQBzAGgARgBsAG8AdwBSAGEAdABpAG8AuwMgAD0AIABMAEEATQBCAEQAQQAoAFwAbgAvAC8AIAAgAFAAYQByAGEAbQBlAHQAZQByACAARABlAGMAbABhAHIAYQB0AGkAbwBuAHMAXABuACAAIAAgACAAIAAgACAAIABbAE8AcABlAHIAYQB0AGkAbgBnAEMAYQBzAGgARgBsAG8Ad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MAYQBzAGgARgBsAG8AdwBSAGEAdABpAG8AuwMoACAATwBwAGUAcgBhAHQAaQBuAGcAQwBhAHMAaABGAGwAbwB3ACwAIABMAGkAYQBiAGkAbABpAHQAaQBlAHMAKQC2AFwAIgAgACYAIABcAG4AIAAgACAAIAAgACAAIAAgACAAIAAgACAAIAAgACAAIAAgACAAIAAgACAAIAAgACAAXAAiAEQARQBTAEMAUgBJAFAAVABJAE8ATgA6ACAAIAAgACAAIAAgACAAkiFNAGUAYQBzAHUAcgBlAHMAIABoAG8AdwAgAHIAZQBhAGQAaQBsAHkAIABjAHUAcgByAGUAbgB0ACAAbABpAGEAYgBpAGwAaQB0AGkAZQBzACAAYQByAGUAIABjAG8AdgBlAHIAZQBkACAAYgB5ACAAYwBhAHMAaAAgAGYAbABvAHcAcwAgAGcAZQBuAGUAcgBhAHQAZQBkACAAZgByAG8AbQAgAG8AcABlAHIAYQB0AGkAbwBuAHMALgC2AFwAIgAgACYAIABcAG4AIAAgACAAIAAgACAAIAAgACAAIAAgACAAIAAgACAAIAAgACAAIAAgACAAIAAgACAAIAAgACAAIAAgACAAIAAgACAAIAAgACAAIAAgACAAIAAgACAAIABcACIAkiEoAE8AcABlAHIAYQB0AGkAbgBnAEMAYQBzAGgARgBsAG8AdwAvAEwAaQBhAGIAaQBsAGkAdABpAGUAcwApALYAXAAiACAAJgAgAFwAbgAgACAAIAAgACAAIAAgACAAIAAgACAAIAAgACAAIAAgACAAIAAgACAAIAAgACAAIABcACIAVwBFAEIAUABBAEcARQA6ACAAIAAgACAAIAAgACAAIAAgACAAIACSIWgAdAB0AHAAcwA6AC8ALwB3AHcAdwAuAGkAbgB2AGUAcwB0AG8AcABlAGQAaQBhAC4AYwBvAG0ALwB0AGUAcgBtAHMALwBvAC8AbwBjAGY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MAYQBzAGgARgBsAG8AdwAgACAAkiEoAFIAZQBxAHUAaQByAGUAZAApACAATwBwAGUAcgBhAHQAaQBuAGcAIABjAGEAcwBoACAAZgBsAG8AdwAuACAAtgBcACIAIAAmACAAXABuACAAIAAgACAAIAAgACAAIAAgACAAIAAgACAAIAAgACAAIAAgACAAIAAgACAAIAAgACAAIAAgACAAIAAgACAAIAAgACAAIAAgACAAIAAgACAAIAAgACAAXAAiAJIhSQBuAGQAaQByAGUAYwB0ACAAbQBlAHQAaABvAGQAIABpAG4AYwBsAHUAZABlAHMAOgAgALYAXAAiACAAJgAgAFwAbgAgACAAIAAgACAAIAAgACAAIAAgACAAIAAgACAAIAAgACAAIAAgACAAIAAgACAAIAAgACAAIAAgACAAIAAgACAAIAAgACAAIAAgACAAIAAgACAAIAAgAFwAIgCSISIgIABOAGUAdAAgAEkAbgBjAG8AbQBlACAAtgBcACIAIAAmACAAXABuACAAIAAgACAAIAAgACAAIAAgACAAIAAgACAAIAAgACAAIAAgACAAIAAgACAAIAAgACAAIAAgACAAIAAgACAAIAAgACAAIAAgACAAIAAgACAAIAAgACAAXAAiAJIhIiAgAFAAbAB1AHMAIABkAGUAcAByAGUAYwBpAGEAdABpAG8AbgAgAGEAbgBkACAAYQBtAG8AcgB0AGkAcwBhAHQAaQBvAG4AIAC2AFwAIgAgACYAIABcAG4AIAAgACAAIAAgACAAIAAgACAAIAAgACAAIAAgACAAIAAgACAAIAAgACAAIAAgACAAIAAgACAAIAAgACAAIAAgACAAIAAgACAAIAAgACAAIAAgACAAIABcACIAkiEiICAATABlAHMAcwAgAGkAbgBjAHIAZQBhAHMAZQAgAGkAbgAgAG4AZQB0ACAAdwBvAHIAawBpAG4AZwAgAGMAYQBwAGkAdABhAGwAIAC2AFwAIgAgACYAIABcAG4AIAAgACAAIAAgACAAIAAgACAAIAAgACAAIAAgACAAIAAgACAAIAAgACAAIAAgACAAIAAgACAAIAAgACAAIAAgACAAIAAgACAAIAAgACAAIAAgACAAIABcACIAkiFEAGkAcgBlAGMAdAAgAG0AZQB0AGgAbwBkACAAaQBuAGMAbAB1AGQAZQBzADoAIAC2AFwAIgAgACYAIABcAG4AIAAgACAAIAAgACAAIAAgACAAIAAgACAAIAAgACAAIAAgACAAIAAgACAAIAAgACAAIAAgACAAIAAgACAAIAAgACAAIAAgACAAIAAgACAAIAAgACAAIABcACIAkiEiICAAQwBhAHMAaAAgAHIAZQB2AGUAbgB1AGUAIAC2AFwAIgAgACYAIABcAG4AIAAgACAAIAAgACAAIAAgACAAIAAgACAAIAAgACAAIAAgACAAIAAgACAAIAAgACAAIAAgACAAIAAgACAAIAAgACAAIAAgACAAIAAgACAAIAAgACAAIABcACIAkiEiICAATABlAHMAcwAgAE8AcABlAHIAYQB0AGkAbgBnACAAZQB4AHAAZQBuAHMAZQBzACAAcABhAGkAZAAgAGkAbgAgAGMAYQBzAGgAtgBcACIAIAAmACAAXABuACAAIAAgACAAIAAgACAAIAAgACAAIAAgACAAIAAgACAAIAAgACAAIAAgACAAIAAgAFwAIgBMAGkAYQBiAGkAbABpAHQAaQBlAHMAIAAgACAAIAAgACAAIAAgACAAkiEoAFIAZQBxAHUAaQByAGUAZAApACAAQwB1AHIAcgBlAG4AdAAgAEwAaQBhAGIAaQBsAGkAdABpAGUAcwAuACAASQBuAGMAbAB1AGQAZQBzADoAIAC2AFwAIgAgACYAIABcAG4AIAAgACAAIA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CAAIAAgACAAXAAiAJIhVwBhAGcAZQBzACAAtgBcACIAIAAmACAAXABuACAAIAAgACAAIAAgACAAIAAgACAAIAAgACAAIAAgACAAIAAgACAAIAAgACAAIAAgACAAIAAgACAAIAAgACAAIAAgACAAIAAgACAAIAAgACAAIAAgACAAXAAiAJIhVABhAHgAZQBzACAAcABhAHkAYQBiAGwAZQAgALYAXAAiACAAJgAgAFwAbgAgACAAIAAg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wAC4AMwA1ADgANwAxACAAIAAgACAAIAAgACAAIAAgACAAIAAgAJIhPQBvAHoALgBPAHAAZQByAGEAdABpAG4AZwBDAGEAcwBoAEYAbABvAHcAUgBhAHQAaQBvALsDKAAgADIANwAuADgALAAgADcANwAu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QwBhAHMAaABGAGwAbwB3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8AcABlAHIAYQB0AGkAbgBnAEMAYQBzAGgARgBsAG8Ad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IAZQBjAGUAaQB2AGEAYgBsAGUAcwBUAHUAcgBuAG8AdgBlAHIAUgBhAHQAaQBvALsDXABuACAAIAAgACAARABFAFMAQwBSAEkAUABUAEkATwBOADoAKgAvAC8AKgAqAEkAbgBkAGkAYwBhAHQAZQBzACAAZQBmAGYAZQBjAHQAaQB2AGUAbgBlAHMAcwAgAGkAbgAgAGMAbwBsAGwAZQBjAHQAaQBuAGcAIABvAHUAdABzAHQAYQBuAGQAaQBuAGcAIABiAGEAbABhAG4AYwBlAHMAIABmAHIAbwBtACAAYwBsAGkAZQBuAHQAcwAgAGEAbgBkACAAXABuAG0AYQBuAGEAZwBpAG4AZwAgAGwAaQBuAGUAIABvAGYAIABjAHIAZQBkAGkAdAAgAHAAcgBvAGMAZQBzAHMAIAAoAE4AZQB0ACAAQwByAGUAZABpAHQAIABTAGEAbABlAHMALwBBAHYAZQByAGEAZwBlACAAQQBjAGMAbwB1AG4AdABzACAAUgBlAGMAZQBpAHYAYQBiAGwAZQApACAAKgAvAFwAbgBSAGUAYwBlAGkAdgBhAGIAbABlAHMAVAB1AHIAbgBvAHYAZQByAFIAYQB0AGkAbwC7AyAAPQAgAEwAQQBNAEIARABBACgAXABuAC8ALwAgACAAUABhAHIAYQBtAGUAdABlAHIAIABEAGUAYwBsAGEAcgBhAHQAaQBvAG4AcwBcAG4AIAAgACAAIAAgACAAIAAgAFsATgBlAHQAQwByAGUAZABpAHQAUwBhAGwAZQBzAF0ALAAgACAAXABuACAAIAAgACAAIAAgACAAIABbAEEAdgBlAHIAYQBnAGUAQQBjAGMAbwB1AG4AdABzAFIAZQBjAGUAaQB2AGEAYgBsAGUAXQAsACAAIAAgACAAXABuAC8ALwAgACAASABlAGwAcABcAG4AIAAgACAAIABMAEUAVAAoAEgAZQBsAHAALAAgACAAIABUAFIASQBNACgAVABFAFgAVABTAFAATABJAFQAKAAgAFwAbgAgACAAIAAgACAAIAAgACAAIAAgACAAIAAgACAAIAAgACAAIAAgACAAIAAgACAAIABcACIARgBVAE4AQwBUAEkATwBOADoAIAAgACAAIAAgACAAkiFSAGUAYwBlAGkAdgBhAGIAbABlAHMAVAB1AHIAbgBvAHYAZQByAFIAYQB0AGkAbwC7AygAIABOAGUAdABDAHIAZQBkAGkAdABTAGEAbABlAHMALAAgAEEAdgBlAHIAYQBnAGUAQQBjAGMAbwB1AG4AdABzAFIAZQBjAGUAaQB2AGEAYgBsAGUAKQC2AFwAIgAgACYAIABcAG4AIAAgACAAIAAgACAAIAAgACAAIAAgACAAIAAgACAAIAAgACAAIAAgACAAIAAgACAAXAAiAEQARQBTAEMAUgBJAFAAVABJAE8ATgA6ACAAIAAgAJIhSQBuAGQAaQBjAGEAdABlAHMAIABlAGYAZgBlAGMAdABpAHYAZQBuAGUAcwBzACAAaQBuACAAYwBvAGwAbABlAGMAdABpAG4AZwAgAG8AdQB0AHMAdABhAG4AZABpAG4AZwAgAGIAYQBsAGEAbgBjAGUAcwAgAGYAcgBvAG0AIABjAGwAaQBlAG4AdABzACAAYQBuAGQAIAC2AFwAIgAgACYAXABuACAAIAAgACAAIAAgACAAIAAgACAAIAAgACAAIAAgACAAIAAgACAAIAAgACAAIAAgACAAIAAgACAAIAAgACAAIAAgACAAIAAgACAAIAAgAFwAIgCSIW0AYQBuAGEAZwBpAG4AZwAgAGwAaQBuAGUAIABvAGYAIABjAHIAZQBkAGkAdAAgAHAAcgBvAGMAZQBzAHMAIAAoAE4AZQB0ACAAQwByAGUAZABpAHQAIABTAGEAbABlAHMALwBBAHYAZQByAGEAZwBlACAAQQBjAGMAbwB1AG4AdABzACAAUgBlAGMAZQBpAHYAYQBiAGwAZQApALYAXAAiACAAJgAgAFwAbgAgACAAIAAgACAAIAAgACAAIAAgACAAIAAgACAAIAAgACAAIAAgACAAIAAgACAAIABcACIAVwBFAEIAUABBAEcARQA6ACAAIAAgACAAIAAgACAAkiFoAHQAdABwAHMAOgAvAC8AdwB3AHcALgBpAG4AdgBlAHMAdABvAHAAZQBkAGkAYQAuAGMAbwBtAC8AdABlAHIAbQBzAC8AcgAvAHIAZQBjAGUAaQB2AGEAYgBsAGUAdAB1AHIAbgBvAHYAZQBy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DAHIAZQBkAGkAdABTAGEAbABlAHMAIACSISgAUgBlAHEAdQBpAHIAZQBkACkAIABOAGUAdAAgAEMAcgBlAGQAaQB0ACAAUwBhAGwAZQBzAC4AIABBAG0AbwB1AG4AdAAgAG8AZgAgAHIAZQB2AGUAbgB1AGUAIABlAGEAcgBuAGUAZAAgAGIAeQAgAGEAIABjAG8AbQBwAGEAbgB5ACAAcABhAGkAZAAgAHYAaQBhACAAYwByAGUAZABpAHQAtgBcACIAIAAmACAAXABuACAAIAAgACAAIAAgACAAIAAgACAAIAAgACAAIAAgACAAIAAgACAAIAAgACAAIAAgAFwAIgBBAHYAZQByAGEAZwBlAEEAYwBjAG8AdQBuAHQAcwBSAGUAYwBlAGkAdgBhAGIAbABlAJIhKABSAGUAcQB1AGkAcgBlAGQAKQAgAEEAdgBlAHIAYQBnAGUAIABBAGMAYwBvAHUAbgB0AHMAIABSAGUAYwBlAGkAdgBhAGIAbABlAC4AIABBAHYAZQByAGEAZwBlACAAbwBmACAAcABlAHIAaQBvAGQAIABvAHAAZQBuAGkAbgBnACAAYQBuAGQAIABjAGwAbwBzAGkAbgBnACAAYgBhAGwAYQBuAGM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QAuADcANgA0ADcAMQAgACAAIAAgACAAIAAgAJIhPQBvAHoALgBSAGUAYwBlAGkAdgBhAGIAbABlAHMAVAB1AHIAbgBvAHYAZQByAFIAYQB0AGkAbwC7AygAIAA4ADAAMAAwADAAMAAsACAANgA4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wByAGUAZABpAHQAUwBhAGwAZQBzACkALABcAG4AIAAgACAAIAAgACAAIAAgACAAIAAgACAAIAAgACAAIAAgACAAIAAgACAAIAAgACAAIAAgACAAIABJAFMATwBNAEkAVABUAEUARAAoACAAQQB2AGUAcgBhAGcAZQBBAGMAYwBvAHUAbgB0AHMAUgBlAGMAZQBpAHYAYQBiAGwAZQApAFwAbgAgACAAIAAgACAAIAAgACAAIAAgACAAIAAgACAAIAAgACAAIAAgACAAIAAgACAAIAApACwAXABuACAAIAAgACAALwAvACAAIABQAHIAbwBjAGUAZAB1AHIAZQBcAG4AIAAgACAAIAAgACAAIAAgAFIAZQBzAHUAbAB0ACwAIAAgACAAIAAgACAAIAAgACAATgBlAHQAQwByAGUAZABpAHQAUwBhAGwAZQBzAC8AQQB2AGUAcgBhAGcAZQBBAGMAYwBvAHUAbgB0AHMAUgBlAGMAZQBpAHYAYQBiAGw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YAZQBuAHQAbwByAHkAVAB1AHIAbgBvAHYAZQByAFIAYQB0AGkAbwC7A1wAbgAgACAAIAAgAEQARQBTAEMAUgBJAFAAVABJAE8ATgA6ACoALwAvACoAKgBTAGgAbwB3AHMAIABoAG8AdwAgAG0AYQBuAHkAIAB0AGkAbQBlAHMAIABhACAAYwBvAG0AcABhAG4AeQAgAHQAdQByAG4AZQBkACAAbwB2AGUAcgAgAGkAdABzACAAaQBuAHYAZQBuAHQAbwByAHkAIAByAGUAbABhAHQAaQB2AGUAIABcAG4AIAAgACAAIAB0AG8AIABpAHQAcwAgAGMAbwBzAHQAIABvAGYAIABnAG8AbwBkAHMAIABzAG8AbABkACAAKABDAE8ARwBTACkAIAAoAEMATwBHAFMALwBBAHYAZQByAGEAZwBlACAASQBuAHYAZQBuAHQAbwByAHkAKQAgACoALwBcAG4ASQBuAHYAZQBuAHQAbwByAHkAVAB1AHIAbgBvAHYAZQByAFIAYQB0AGkAbwC7AyAAPQAgAEwAQQBNAEIARABBACgAXABuAC8ALwAgACAAUABhAHIAYQBtAGUAdABlAHIAIABEAGUAYwBsAGEAUgBhAHQAaQBvAG4AcwBcAG4AIAAgACAAIAAgACAAIAAgAFsAQwBvAHMAdABPAGYARwBvAG8AZABzAFMAbwBsAGQAXQAsACAAIABcAG4AIAAgACAAIAAgACAAIAAgAFsAQQB2AGUAcgBhAGcAZQBJAG4AdgBlAG4AdABvAHIAeQBdACwAIAAgACAAIABcAG4ALwAvACAAIABIAGUAbABwAFwAbgAgACAAIAAgAEwARQBUACgASABlAGwAcAAsACAAIAAgAFQAUgBJAE0AKABUAEUAWABUAFMAUABMAEkAVAAoACAAXABuACAAIAAgACAAIAAgACAAIAAgACAAIAAgACAAIAAgACAAIAAgACAAIAAgACAAIAAgAFwAIgBGAFUATgBDAFQASQBPAE4AOgAgACAAIAAgACAAIAAgACAAIAAgAJIhSQBuAHYAZQBuAHQAbwByAHkAVAB1AHIAbgBvAHYAZQByAFIAYQB0AGkAbwC7AygAIABDAG8AcwB0AE8AZgBHAG8AbwBkAHMAUwBvAGwAZAAsACAAQQB2AGUAcgBhAGcAZQBJAG4AdgBlAG4AdABvAHIAeQApALYAXAAiACAAJgAgAFwAbgAgACAAIAAgACAAIAAgACAAIAAgACAAIAAgACAAIAAgACAAIAAgACAAIAAgACAAIABcACIARABFAFMAQwBSAEkAUABUAEkATwBOADoAIAAgACAAIAAgACAAIACSIVMAaABvAHcAcwAgAGgAbwB3ACAAbQBhAG4AeQAgAHQAaQBtAGUAcwAgAGEAIABjAG8AbQBwAGEAbgB5ACAAdAB1AHIAbgBlAGQAIABvAHYAZQByACAAaQB0AHMAIABpAG4AdgBlAG4AdABvAHIAeQAgAHIAZQBsAGEAdABpAHYAZQAgALYAXAAiACAAJgBcAG4AIAAgACAAIAAgACAAIAAgACAAIAAgACAAIAAgACAAIAAgACAAIAAgACAAIAAgACAAIAAgACAAIAAgACAAIAAgACAAIAAgACAAIAAgACAAIAAgACAAIABcACIAkiF0AG8AIABpAHQAcwAgAGMAbwBzAHQAIABvAGYAIABnAG8AbwBkAHMAIABzAG8AbABkACAAKABDAE8ARwBTACkAIAAoAEMATwBHAFMALwBBAHYAZQByAGEAZwBlACAASQBuAHYAZQBuAHQAbwByAHkAKQC2AFwAIgAgACYAIABcAG4AIAAgACAAIAAgACAAIAAgACAAIAAgACAAIAAgACAAIAAgACAAIAAgACAAIAAgACAAXAAiAFcARQBCAFAAQQBHAEUAOgAgACAAIAAgACAAIAAgACAAIAAgACAAkiFoAHQAdABwAHMAOgAvAC8AdwB3AHcALgBpAG4AdgBlAHMAdABvAHAAZQBkAGkAYQAuAGMAbwBtAC8AdABlAHIAbQBzAC8AaQAvAGkAbgB2AGUAbgB0AG8AcgB5AHQAdQByAG4AbwB2AGU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EAdgBlAHIAYQBnAGUASQBuAHYAZQBuAHQAbwByAHkAIAAgACAAkiEoAFIAZQBxAHUAaQByAGUAZAApACAAQQB2AGUAcgBhAGcAZQAgAG8AZgAgAHAAZQByAGkAbwBkACAAbwBwAGUAbgAgAGEAbgBkACAAYwBsAG8AcwBlACAAaQBuAHYAZQBuAHQAbwByAH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OAAuADQANgAxADUAMwA4ACAAIAAgACAAIAAgACAAIAAgACAAIACSIT0AbwB6AC4ASQBuAHYAZQBuAHQAbwByAHkAVAB1AHIAbgBvAHYAZQByAFIAYQB0AGkAbwC7AygAIAA0ADIAOQAsACAANQAwAC4ANw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8AcwB0AE8AZgBHAG8AbwBkAHMAUwBvAGwAZAApACwAXABuACAAIAAgACAAIAAgACAAIAAgACAAIAAgACAAIAAgACAAIAAgACAAIAAgACAAIAAgACAAIAAgACAASQBTAE8ATQBJAFQAVABFAEQAKAAgAEEAdgBlAHIAYQBnAGUASQBuAHYAZQBuAHQAbwByAHkAKQBcAG4AIAAgACAAIAAgACAAIAAgACAAIAAgACAAIAAgACAAIAAgACAAIAAgACAAIAAgACAAKQAsAFwAbgAgACAAIAAgAC8ALwAgACAAUAByAG8AYwBlAGQAdQByAGUAXABuACAAIAAgACAAIAAgACAAIABSAGUAcwB1AGwAdAAsACAAIAAgACAAIAAgACAAIAAgAEMAbwBzAHQATwBmAEcAbwBvAGQAcwBTAG8AbABkAC8AQQB2AGUAcgBhAGcAZQBJAG4AdgBlAG4AdABvAHI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VwBvAHIAawBpAG4AZwBDAGEAcABpAHQAYQBsAFQAdQByAG4AbwB2AGUAcgBSAGEAdABpAG8AuwNcAG4AIAAgACAAIABEAEUAUwBDAFIASQBQAFQASQBPAE4AOgAqAC8ALwAqACoAVwBvAHIAawBpAG4AZwAgAEMAYQBwAGkAdABhAGwAIABUAHUAcgBuAG8AdgBlAHIAIABSAGEAdABpAG8AIABtAGUAYQBzAHUAcgBlAHMAIABoAG8AdwAgAGUAZgBmAGkAYwBpAGUAbgB0AGwAeQAgAGEAIABjAG8AbQBwAGEAbgB5ACAAaQBzACAAdQBzAGkAbgBnACAAaQB0AHMAIAB3AG8AcgBrAGkAbgBnACAAXABuAGMAYQBwAGkAdABhAGwAIAB0AG8AIABzAHUAcABwAG8AcgB0ACAAcwBhAGwAZQBzACAAYQBuAGQAIABnAHIAbwB3AHQAaAAgACgATgBlAHQAIABBAG4AbgB1AGEAbAAgAFMAYQBsAGUAcwAvAEEAdgBlAHIAYQBnAGUAIABXAG8AcgBrAGkAbgBnACAAQwBhAHAAaQB0AGEAbAApAC4AIAAqAC8AXABuAFcAbwByAGsAaQBuAGcAQwBhAHAAaQB0AGEAbABUAHUAcgBuAG8AdgBlAHIAUgBhAHQAaQBvALsDIAA9ACAATABBAE0AQgBEAEEAKABcAG4ALwAvACAAIABQAGEAcgBhAG0AZQB0AGUAcgAgAEQAZQBjAGwAYQBSAGEAdABpAG8AbgBzAFwAbgAgACAAIAAgACAAIAAgACAAWwBOAGUAdABBAG4AbgB1AGEAbABTAGEAbABlAHMAXQAsACAAIABcAG4AIAAgACAAIAAgACAAIAAgAFsAVwBvAHIAawBpAG4AZwBDAGEAcABpAHQAYQBsAF0ALAAgACAAIAAgAFwAbgAvAC8AIAAgAEgAZQBsAHAAXABuACAAIAAgACAATABFAFQAKABIAGUAbABwACwAIAAgACAAVABSAEkATQAoAFQARQBYAFQAUwBQAEwASQBUACgAIABcAG4AIAAgACAAIAAgACAAIAAgACAAIAAgACAAIAAgACAAIAAgACAAIAAgACAAIAAgACAAXAAiAEYAVQBOAEMAVABJAE8ATgA6ACAAIAAgACAAIAAgACAAIAAgAJIhVwBvAHIAawBpAG4AZwBDAGEAcABpAHQAYQBsAFQAdQByAG4AbwB2AGUAcgBSAGEAdABpAG8AuwMoACAATgBlAHQAQQBuAG4AdQBhAGwAUwBhAGwAZQBzACwAIABXAG8AcgBrAGkAbgBnAEMAYQBwAGkAdABhAGwAKQC2AFwAIgAgACYAIABcAG4AIAAgACAAIAAgACAAIAAgACAAIAAgACAAIAAgACAAIAAgACAAIAAgACAAIAAgACAAXAAiAEQARQBTAEMAUgBJAFAAVABJAE8ATgA6ACAAIAAgACAAIAAgAJIhVwBvAHIAawBpAG4AZwAgAEMAYQBwAGkAdABhAGwAIABUAHUAcgBuAG8AdgBlAHIAIABSAGEAdABpAG8AIABtAGUAYQBzAHUAcgBlAHMAIABoAG8AdwAgAGUAZgBmAGkAYwBpAGUAbgB0AGwAeQAgAGEAIABjAG8AbQBwAGEAbgB5ACAAtgBcACIAIAAmAFwAbgAgACAAIAAgACAAIAAgACAAIAAgACAAIAAgACAAIAAgACAAIAAgACAAIAAgACAAIAAgACAAIAAgACAAIAAgACAAIAAgACAAIAAgACAAIAAgACAAIABcACIAkiFpAHMAIAB1AHMAaQBuAGcAIABpAHQAcwAgAHcAbwByAGsAaQBuAGcAIABjAGEAcABpAHQAYQBsACAAdABvACAAcwB1AHAAcABvAHIAdAAgAHMAYQBsAGUAcwAgAGEAbgBkACAAZwByAG8AdwB0AGgAIAC2AFwAIgAgACYAXABuACAAIAAgACAAIAAgACAAIAAgACAAIAAgACAAIAAgACAAIAAgACAAIAAgACAAIAAgACAAIAAgACAAIAAgACAAIAAgACAAIAAgACAAIAAgACAAIAAgAFwAIgCSISgATgBlAHQAIABBAG4AbgB1AGEAbAAgAFMAYQBsAGUAcwAvAEEAdgBlAHIAYQBnAGUAIABXAG8AcgBrAGkAbgBnACAAQwBhAHAAaQB0AGEAbAApAC4AIAC2AFwAIgAgACYAXABuACAAIAAgACAAIAAgACAAIAAgACAAIAAgACAAIAAgACAAIAAgACAAIAAgACAAIAAgAFwAIgBXAEUAQgBQAEEARwBFADoAIAAgACAAIAAgACAAIAAgACAAIACSIWgAdAB0AHAAcwA6AC8ALwB3AHcAdwAuAGkAbgB2AGUAcwB0AG8AcABlAGQAaQBhAC4AYwBvAG0ALwB0AGUAcgBtAHMALwB3AC8AdwBvAHIAawBpAG4AZwBjAGEAcABpAHQAYQBsAHQAdQByAG4AbwB2AGUAcgAuAGEAcwBwACAAtgBcACIAIAAmAFwAbgAgACAAIAAgACAAIAAgACAAIAAgACAAIAAgACAAIAAgACAAIAAgACAAIAAgACAAIABcACIAVgBFAFIAUwBJAE8ATgA6ACAAIAAgACAAIAAgACAAIAAgACAAkiEyADAAIABBAHUAZwAgADIAMAAyADYAtgBcACIAIAAmAFwAbgAgACAAIAAgACAAIAAgACAAIAAgACAAIAAgACAAIAAgACAAIAAgACAAIAAgACAAIABcACIAUABBAFIAQQBNAEUAVABFAFIAUwA6AJIhtgBcACIAIAAmACAAXABuACAAIAAgACAAIAAgACAAIAAgACAAIAAgACAAIAAgACAAIAAgACAAIAAgACAAIAAgAFwAIgBOAGUAdABBAG4AbgB1AGEAbABTAGEAbABlAHMAIAAgACAAIACSISgAUgBlAHEAdQBpAHIAZQBkACkAIABOAGUAdAAgAEEAbgBuAHUAYQBsACAAUwBhAGwAZQBzACAAYwBhAG4AIABpAG4AYwBsAHUAZABlADoAtgBcACIAIAAmAFwAbgAgACAAIAAgACAAIAAgACAAIAAgACAAIAAgACAAIAAgACAAIAAgACAAIAAgACAAIAAgACAAIAAgACAAIAAgACAAIAAgACAAIAAgACAAIAAgACAAIABcACIAkiFHAHIAbwBzAHMAIABzAGEAbABlAHMAtgBcACIAIAAmAFwAbgAgACAAIAAgACAAIAAgACAAIAAgACAAIAAgACAAIAAgACAAIAAgACAAIAAgACAAIAAgACAAIAAgACAAIAAgACAAIAAgACAAIAAgACAAIAAgACAAIABcACIAkiFMAGUAcwBzACAAcgBlAHQAdQByAG4AcwC2AFwAIgAgACYAXABuACAAIAAgACAAIAAgACAAIAAgACAAIAAgACAAIAAgACAAIAAgACAAIAAgACAAIAAgACAAIAAgACAAIAAgACAAIAAgACAAIAAgACAAIAAgACAAIAAgAFwAIgCSIUwAZQBzAHMAIABhAGwAbABvAHcAYQBuAGMAZQBzALYAXAAiACAAJgBcAG4AIAAgACAAIAAgACAAIAAgACAAIAAgACAAIAAgACAAIAAgACAAIAAgACAAIAAgACAAIAAgACAAIAAgACAAIAAgACAAIAAgACAAIAAgACAAIAAgACAAXAAiAJIhTABlAHMAcwAgAGQAaQBzAGMAbwB1AG4AdABzALYAXAAiACAAJgAgAFwAbgAgACAAIAAgACAAIAAgACAAIAAgACAAIAAgACAAIAAgACAAIAAgACAAIAAgACAAIABcACIAVwBvAHIAawBpAG4AZwBDAGEAcABpAHQAYQBsACAAIAAgACAAkiEoAFIAZQBxAHUAaQByAGUAZAApACAAQQB2AGUAcgBhAGcAZQAgAG8AZgAgAHAAZQByAGkAbwBkACAAbwBwAGUAbgAgAGEAbgBkACAAYwBsAG8AcwBlACAAYwB1AHIAcgBlAG4AdAAgAGEAcwBzAHQAcwAgAGwAZQBzAHMAIABjAHUAcgByAGUAbgAgAGwAaQBhAGIAaQBsAGkAdABpAGUAcwAuALYAXAAiACAAJgAgAFwAbgAgACAAIAAgACAAIAAgACAAIAAgACAAIAAgACAAIAAgACAAIAAgACAAIAAgACAAIABcACIARQBYAEEATQBQAEwARQBTADoAIAAgACAAIAAgACAAIAAgACAAkiFGAG8AcgBtAHUAbABhACAAKABvAHoAIABpAHMAIABhAHMAcwB1AG0AZQBkACAAdABvACAAYgBlACAAdABoAGUAIABtAG8AZAB1AGwAZQAnAHMAIABuAGEAbQBlACkAtgBcACIAIAAmAFwAbgAgACAAIAAgACAAIAAgACAAIAAgACAAIAAgACAAIAAgACAAIAAgACAAIAAgACAAIABcACIANgAuADAAIAAgACAAIAAgACAAIAAgACAAIAAgACAAIAAgACAAkiE9AG8AegAuAFcAbwByAGsAaQBuAGcAQwBhAHAAaQB0AGEAbABUAHUAcgBuAG8AdgBlAHIAUgBhAHQAaQBvALsDKAAgADEAMgAuADAALAAgADI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EAbgBuAHUAYQBsAFMAYQBsAGUAcwApACwAXABuACAAIAAgACAAIAAgACAAIAAgACAAIAAgACAAIAAgACAAIAAgACAAIAAgACAAIAAgACAAIAAgACAASQBTAE8ATQBJAFQAVABFAEQAKAAgAFcAbwByAGsAaQBuAGcAQwBhAHAAaQB0AGEAbAApAFwAbgAgACAAIAAgACAAIAAgACAAIAAgACAAIAAgACAAIAAgACAAIAAgACAAIAAgACAAIAApACwAXABuACAAIAAgACAALwAvACAAIABQAHIAbwBjAGUAZAB1AHIAZQBcAG4AIAAgACAAIAAgACAAIAAgAFIAZQBzAHUAbAB0ACwAIAAgACAAIAAgACAAIAAgACAATgBlAHQAQQBuAG4AdQBhAGwAUwBhAGwAZQBzAC8AVwBvAHIAawBpAG4AZw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wAZQB2AGUAcgBhAGcAZQAgAFIAYQB0AGkAbwBzACAAKABhAGsAYQAgAFMAbwBsAHYAZQBuAGMAeQAgAFIAYQB0AGkAbwBzACkAXABuAFwAbgBcAG4AXABuAC8AKgAgACAARgBVAE4AQwBUAEkATwBOACAATgBBAE0ARQA6ACAAIABEAGUAYgB0AFIAYQB0AGkAbwC7A1wAbgAgACAAIAAgAEQARQBTAEMAUgBJAFAAVABJAE8ATgA6ACoALwAvACoAKgBNAGUAYQBzAHUAcgBlAHMAIAB0AGgAZQAgAGUAeAB0AGUAbgB0ACAAbwBmACAAYQAgAGMAbwBtAHAAYQBuAHkAGSBzACAAbABlAHYAZQByAGEAZwBlACAAKgAvAFwAbgBEAGUAYg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RABlAGIAdABSAGEAdABpAG8AuwMoACAAVABvAHQAYQBsAEQAZQBiAHQALAAgAFQAbwB0AGEAbABBAHMAcwBlAHQAcwApALYAXAAiACAAJgAgAFwAbgAgACAAIAAgACAAIAAgACAAIAAgACAAIAAgACAAIAAgACAAIAAgACAAIAAgACAAIABcACIARABFAFMAQwBSAEkAUABUAEkATwBOADoAIAAgACAAkiFNAGUAYQBzAHUAcgBlAHMAIAB0AGgAZQAgAGUAeAB0AGUAbgB0ACAAbwBmACAAYQAgAGMAbwBtAHAAYQBuAHkAGSBzACAAbABlAHYAZQByAGEAZwBlACAAKABUAG8AdABhAGwARABlAGIAdAAvAFQAbwB0AGEAbABBAHMAcwBlAHQAcwApALYAXAAiACAAJgAgAFwAbgAgACAAIAAgACAAIAAgACAAIAAgACAAIAAgACAAIAAgACAAIAAgACAAIAAgACAAIABcACIAVwBFAEIAUABBAEcARQA6ACAAIAAgACAAIAAgACAAkiFoAHQAdABwAHMAOgAvAC8AdwB3AHcALgBpAG4AdgBlAHMAdABvAHAAZQBkAGkAYQAuAGMAbwBtAC8AdABlAHIAbQBzAC8AZAAvAGQAZQBiAHQAcgBhAHQAaQBvAC4AYQBzAHAAIw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VABvAHQAYQBsAEQAZQBiAHQAIAAgACAAIAAgACAAkiEoAFIAZQBxAHUAaQByAGUAZAApACAAVABvAHQAYQBsACAARABlAGIAdAAgALYAXAAiACAAJgAgAFwAbgAgACAAIAAgACAAIAAgACAAIAAgACAAIAAgACAAIAAgACAAIAAgACAAIAAgACAAIABcACIAVABvAHQAYQBsAEEAcwBzAGUAdABzACAAIAAgACAAkiEoAFIAZQBxAHUAaQByAGUAZAApACAAVABvAHQAYQBsACAAQQBzAHMAZQB0AHM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C4AMwAgACAAIAAgACAAIAAgACAAIAAgACAAIAAgAJIhPQBvAHoALgBEAGUAYgB0AFIAYQB0AGkAbwC7AygAMwAwAC4AMAAsACAAMQAw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MAUgC7A1wAbgAgACAAIAAgAEQARQBTAEMAUgBJAFAAVABJAE8ATgA6ACoALwAvACoAKgBEAGUAYgB0ACAAcwBlAHIAdgBpAGMAZQAgAGMAbwB2AGUAcgBhAGcAZQAgAFIAYQB0AGkAbwAgAG0AZQBhAHMAdQByAGUAcwAgAGEAIABmAGkAcgBtABkgcwAgAGEAdgBhAGkAbABhAGIAbABlACAAYwBhAHMAaAAgAGYAbABvAHcAIAB0AG8AIABwAGEAeQAgAGkAdABzACAAXABuAGMAdQByAHIAZQBuAHQAIABkAGUAYgB0ACAAbwBiAGwAaQBnAGEAdABpAG8AbgBzACgATgBlAHQAIABPAHAAZQByAGEAdABpAG4AZwAgAEkAbgBjAG8AbQBlAC8AVABvAHQAYQBsACAARABlAGIAdAAgAFMAZQByAHYAaQBjAGUAKQAgACoALwBcAG4ARABTAEMAUgC7AyAAPQAgAEwAQQBNAEIARABBACgAXABuAC8ALwAgACAAUABhAHIAYQBtAGUAdABlAHIAIABEAGUAYwBsAGEAUgBhAHQAaQBvAG4AcwBcAG4AIAAgACAAIAAgACAAIAAgAFsATgBlAHQATwBwAGUAcgBhAHQAaQBuAGcASQBuAGMAbwBtAGUAXQAsACAAIABcAG4AIAAgACAAIAAgACAAIAAgAFsAVABvAHQAYQBsAEQAZQBiAHQAUwBlAHIAdgBpAGMAZQBdACwAIAAgACAAIABcAG4ALwAvACAAIABIAGUAbABwAFwAbgAgACAAIAAgAEwARQBUACgASABlAGwAcAAsACAAIAAgAFQAUgBJAE0AKABUAEUAWABUAFMAUABMAEkAVAAoACAAXABuACAAIAAgACAAIAAgACAAIAAgACAAIAAgACAAIAAgACAAIAAgACAAIAAgACAAIAAgAFwAIgBGAFUATgBDAFQASQBPAE4AOgAgACAAIAAgACAAIAAgACAAIAAgAJIhRABTAEMAUgC7AygAIABOAGUAdABPAHAAZQByAGEAdABpAG4AZwBJAG4AYwBvAG0AZQAsACAAVABvAHQAYQBsAEQAZQBiAHQAUwBlAHIAdgBpAGMAZQApALYAXAAiACAAJgAgAFwAbgAgACAAIAAgACAAIAAgACAAIAAgACAAIAAgACAAIAAgACAAIAAgACAAIAAgACAAIABcACIARABFAFMAQwBSAEkAUABUAEkATwBOADoAIAAgACAAIAAgACAAIACSIU0AZQBhAHMAdQByAGUAcwAgAGEAIABmAGkAcgBtABkgcwAgAGEAdgBhAGkAbABhAGIAbABlACAAYwBhAHMAaAAgAGYAbABvAHcAIAB0AG8AIABwAGEAeQAgAGkAdABzACAAYwB1AHIAcgBlAG4AdAAgAGQAZQBiAHQAIABvAGIAbABpAGcAYQB0AGkAbwBuAHMAtgBcACIAIAAmAFwAbgAgACAAIAAgACAAIAAgACAAIAAgACAAIAAgACAAIAAgACAAIAAgACAAIAAgACAAIAAgACAAIAAgACAAIAAgACAAIAAgACAAIAAgACAAIAAgACAAIAAgAFwAIgCSISgATgBlAHQAIABPAHAAZQByAGEAdABpAG4AZwAgAEkAbgBjAG8AbQBlAC8AVABvAHQAYQBsACAARABlAGIAdAAgAFMAZQByAHYAaQBjAGUAKQC2AFwAIgAgACYAIABcAG4AIAAgACAAIAAgACAAIAAgACAAIAAgACAAIAAgACAAIAAgACAAIAAgACAAIAAgACAAXAAiAFcARQBCAFAAQQBHAEUAOgAgACAAIAAgACAAIAAgACAAIAAgACAAkiFoAHQAdABwAHMAOgAvAC8AdwB3AHcALgBpAG4AdgBlAHMAdABvAHAAZQBkAGkAYQAuAGMAbwBtAC8AdABlAHIAbQBzAC8AZAAvAGQAcwBjAHI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PAHAAZQByAGEAdABpAG4AZwBJAG4AYwBvAG0AZQAgAJIhKABSAGUAcQB1AGkAcgBlAGQAKQAgAFIAZQB2AGUAbgB1AGUAIAAtACAAQwBlAHIAdABhAGkAbgAgAE8AcABlAHIAYQB0AGkAbgBnACAARQB4AHAAZQBuAHMAZQBzALYAXAAiACAAJgAgAFwAbgAgACAAIAAgACAAIAAgACAAIAAgACAAIAAgACAAIAAgACAAIAAgACAAIAAgACAAIABcACIAVABvAHQAYQBsAEQAZQBiAHQAUwBlAHIAdgBpAGMAZQAgACAAIACSISgAUgBlAHEAdQBpAHIAZQBkACkAIABJAG4AdABlAHIAZQBzAHQAIAAqACAAKAAxAC0AVABhAHgAIABSAGEAdABlACkALAAgAHAAcgBpAG4AYwBpAHAAYQBsACwAIABzAGkAbgBrAGkAbgBnACAAZgB1AG4AZAAsALYAXAAiACAAJgBcAG4AIAAgACAAIAAgACAAIAAgACAAIAAgACAAIAAgACAAIAAgACAAIAAgACAAIAAgACAAIAAgACAAIAAgACAAIAAgACAAIAAgACAAIAAgACAAIAAgACAAIABcACIAkiFhAG4AZAAgAGwAZQBhAHMAZQAgAHAAYQB5AG0AZQBuAHQAcwAgAGQAdQBlACAAaQBuACAAdABoAGUAIABjAG8AbQBpAG4AZwAgAHkAZQBhAHI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YALgAxADQAMgA4ADUANwAgACAAIAAgACAAIAAgACAAIAAgACAAkiE9AG8AegAuAEQAUwBDAFIAuwMoADIAMQA1ADAALgAwACwAIAAzADU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SQBuAGMAbwBtAGUAKQAsAFwAbgAgACAAIAAgACAAIAAgACAAIAAgACAAIAAgACAAIAAgACAAIAAgACAAIAAgACAAIAAgACAAIAAgAEkAUwBPAE0ASQBUAFQARQBEACgAIABUAG8AdABhAGwAZABlAGIAdABzAGUAcgB2AGkAYwBlACkAXABuACAAIAAgACAAIAAgACAAIAAgACAAIAAgACAAIAAgACAAIAAgACAAIAAgACAAIAAgACkALABcAG4AIAAgACAAIAAvAC8AIAAgAFAAcgBvAGMAZQBkAHUAcgBlAFwAbgAgACAAIAAgACAAIAAgACAAUgBlAHMAdQBsAHQALAAgACAAIAAgACAAIAAgACAAIABOAGUAdABPAHAAZQByAGEAdABpAG4AZwBJAG4AYwBvAG0AZQAvAFQAbwB0AGEAbABEAGUAYgB0AFMAZQByAHYAaQBj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MAYQBwAGkAdABhAGwAUgBhAHQAaQBvALsDXABuACAAIAAgACAARABFAFMAQwBSAEkAUABUAEkATwBOADoAKgAvAC8AKgAqAEcAaQB2AGUAcwAgAGEAbgBhAGwAeQBzAHQAcwAgAGEAbgBkACAAaQBuAHYAZQBzAHQAbwByAHMAIABhACAAYgBlAHQAdABlAHIAIABpAGQAZQBhACAAbwBmACAAYQAgAGMAbwBtAHAAYQBuAHkAJwBzACAAZgBpAG4AYQBuAGMAaQBhAGwAIABzAHQAcgB1AGMAdAB1AHIAZQBcAG4AYQBuAGQAIAB3AGgAZQB0AGgAZQByACAAbwByACAAbgBvAHQAIAB0AGgAZQAgAGMAbwBtAHAAYQBuAHkAIABpAHMAIABhACAAcwB1AGkAdABhAGIAbABlACAAaQBuAHYAZQBzAHQAbQBlAG4AdAAgACgARABlAGIAdAAvACgARABlAGIAdAAgACsAIABTAGgAYQByAGUAaABvAGwAZABlAHIAcwAnACAAZQBxAHUAaQB0AHkAKQAgACoALwBcAG4ARABlAGIAdABUAG8AQwBhAHAAaQB0AGEAbABSAGEAdABpAG8AuwMgAD0AIABMAEEATQBCAEQAQQAoAFwAbgAvAC8AIAAgAFAAYQByAGEAbQBlAHQAZQByACAARABlAGMAbABhAFIAYQB0AGkAbwBuAHMAXABuACAAIAAgACAAIAAgACAAIABbAEQAZQBiAHQ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MAYQBwAGkAdABhAGwAUgBhAHQAaQBvALsDKAAgAEQAZQBiAHQALAAgAFMAaABhAHIAZQBoAG8AbABkAGUAcgBzAEUAcQB1AGkAdAB5ACkAtgBcACIAIAAmACAAXABuACAAIAAgACAAIAAgACAAIAAgACAAIAAgACAAIAAgACAAIAAgACAAIAAgACAAIAAgAFwAIgBEAEUAUwBDAFIASQBQAFQASQBPAE4AOgAgACAAIAAgACAAIAAgAJIhRwBpAHYAZQBzACAAYQBuAGEAbAB5AHMAdABzACAAYQBuAGQAIABpAG4AdgBlAHMAdABvAHIAcwAgAGEAIABiAGUAdAB0AGUAcgAgAGkAZABlAGEAIABvAGYAIABhACAAYwBvAG0AcABhAG4AeQAnAHMAIABmAGkAbgBhAG4AYwBpAGEAbAAgAHMAdAByAHUAYwB0AHUAcgBlALYAXAAiACAAJgBcAG4AIAAgACAAIAAgACAAIAAgACAAIAAgACAAIAAgACAAIAAgACAAIAAgACAAIAAgACAAIAAgACAAIAAgACAAIAAgACAAIAAgACAAIAAgACAAIAAgACAAIABcACIAkiFhAG4AZAAgAHcAaABlAHQAaABlAHIAIABvAHIAIABuAG8AdAAgAHQAaABlACAAYwBvAG0AcABhAG4AeQAgAGkAcwAgAGEAIABzAHUAaQB0AGEAYgBsAGUAIABpAG4AdgBlAHMAdABtAGUAbgB0AC4AtgBcACIAIAAmACAAXABuACAAIAAgACAAIAAgACAAIAAgACAAIAAgACAAIAAgACAAIAAgACAAIAAgACAAIAAgACAAIAAgACAAIAAgACAAIAAgACAAIAAgACAAIAAgACAAIAAgACAAXAAiAJIhKABEAGUAYgB0AC8AKABEAGUAYgB0ACAAKwAgAFMAaABhAHIAZQBoAG8AbABkAGUAcgBzACcAIABlAHEAdQBpAHQAeQApALYAXAAiACAAJgAgAFwAbgAgACAAIAAgACAAIAAgACAAIAAgACAAIAAgACAAIAAgACAAIAAgACAAIAAgACAAIABcACIAVwBFAEIAUABBAEcARQA6ACAAIAAgACAAIAAgACAAIAAgACAAIACSIWgAdAB0AHAAcwA6AC8ALwB3AHcAdwAuAGkAbgB2AGUAcwB0AG8AcABlAGQAaQBhAC4AYwBvAG0ALwB0AGUAcgBtAHMALwBkAC8AZABlAGIAdAAtAHQAbwAtAGMAYQBwAGkAdABhAGw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RABlAGIAdAAgACAAIAAgACAAIAAgACAAIAAgACAAIAAgACAAIACSISgAUgBlAHEAdQBpAHIAZQBkACkAIABUAG8AdABhAGwAIABEAGUAYgB0ACAAdwBoAGkAYwBoACAAYwBhAG4AIABpAG4AYwBsAHUAZABlADoAIAC2AFwAIgAgACYAXABuACAAIAAgACAAIAAgACAAIAAgACAAIAAgACAAIAAgACAAIAAgACAAIAAgACAAIAAgACAAIAAgACAAIAAgACAAIAAgACAAIAAgACAAIAAgACAAIAAgACAAXAAiAJIhTgBvAHQAZQBzACAAcABhAHkAYQBiAGwAZQC2AFwAIgAgACYAXABuACAAIAAgACAAIAAgACAAIAAgACAAIAAgACAAIAAgACAAIAAgACAAIAAgACAAIAAgACAAIAAgACAAIAAgACAAIAAgACAAIAAgACAAIAAgACAAIAAgACAAXAAiAJIhQgBvAG4AZABzACAAcABhAHkAYQBiAGwAZQC2AFwAIgAgACYAXABuACAAIAAgACAAIAAgACAAIAAgACAAIAAgACAAIAAgACAAIAAgACAAIAAgACAAIAAgACAAIAAgACAAIAAgACAAIAAgACAAIAAgACAAIAAgACAAIAAgACAAXAAiAJIhTABvAG4AZwAtAHQAZQByAG0AIABsAGkAYQBiAGkAbABpAHQAaQBlAHMAtgBcACIAIAAm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NgAuADQAJQAgACAAIAAgACAAIAAgACAAIAAgACAAIAAgACAAkiE9AG8AegAuAEQAZQBiAHQAVABvAEMAYQBwAGkAdABhAGwAUgBhAHQAaQBvALsDKAAgADgAMAAuADAALAAgADIAMgAz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ZQBiAHQ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RABlAGIAdAAvACgARABlAGIAdAArAFMAaABhAHIAZQBoAG8AbABkAGUAcgBzAEUAcQB1AGkAdAB5AC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E0AdQBsAHQAaQBwAGwAaQBlAHIAuwNcAG4AIAAgACAAIABEAEUAUwBDAFIASQBQAFQASQBPAE4AOgAqAC8ALwAqACoATQBlAGEAcwB1AHIAZQBzACAAdABoAGUAIABwAG8AcgB0AGkAbwBuACAAbwBmACAAYQAgAGMAbwBtAHAAYQBuAHkAGSBzACAAYQBzAHMAZQB0AHMAIABmAGkAbgBhAG4AYwBlAGQAIABiAHkAIABzAGgAYQByAGUAaABvAGwAZABlAHIAcwAnAFwAbgBlAHEAdQBpAHQAeQAgAHIAYQB0AGgAZQByACAAdABoAGEAbgAgAGIAeQAgAGQAZQBiAHQAIAAoAFQAbwB0AGEAbABBAHMAcwBlAHQAcwAvAFQAbwB0AGEAbABTAGgAYQByAGUAaABvAGwAZABlAHIAcwBFAHEAdQBpAHQAeQApACAAKgAvAFwAbgBFAHEAdQBpAHQAeQBNAHUAbAB0AGkAcABsAGkAZQByALsDIAA9ACAATABBAE0AQgBEAEEAKABcAG4ALwAvACAAIABQAGEAcgBhAG0AZQB0AGUAcgAgAEQAZQBjAGwAYQBSAGEAdABpAG8AbgBzAFwAbgAgACAAIAAgACAAIAAgACAAWwBUAG8AdABhAGwAQQBzAHMAZQB0AHMAXQAsACAAIABcAG4AIAAgACAAIAAgACAAIAAgAFsAVABvAHQAYQBs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FAHEAdQBpAHQAeQBNAHUAbAB0AGkAcABsAGkAZQByALsDKAAgAFQAbwB0AGEAbABBAHMAcwBlAHQAcwAsACAAVABvAHQAYQBsAFMAaABhAHIAZQBoAG8AbABkAGUAcgBzAEUAcQB1AGkAdAB5ACkAtgBcACIAIAAmACAAXABuACAAIAAgACAAIAAgACAAIAAgACAAIAAgACAAIAAgACAAIAAgACAAIAAgACAAIAAgAFwAIgBEAEUAUwBDAFIASQBQAFQASQBPAE4AOgAgACAAIAAgACAAIAAgAJIhTQBlAGEAcwB1AHIAZQBzACAAdABoAGUAIABwAG8AcgB0AGkAbwBuACAAbwBmACAAYQAgAGMAbwBtAHAAYQBuAHkAGSBzACAAYQBzAHMAZQB0AHMAIABmAGkAbgBhAG4AYwBlAGQAIABiAHkAIABzAGgAYQByAGUAaABvAGwAZABlAHIAcwAnACAAtgBcACIAIAAmAFwAbgAgACAAIAAgACAAIAAgACAAIAAgACAAIAAgACAAIAAgACAAIAAgACAAIAAgACAAIAAgACAAIAAgACAAIAAgACAAIAAgACAAIAAgACAAIAAgACAAIAAgAFwAIgCSIWUAcQB1AGkAdAB5ACAAcgBhAHQAaABlAHIAIAB0AGgAYQBuACAAYgB5ACAAZABlAGIAdAAgACgAVABvAHQAYQBsAEEAcwBzAGUAdABzAC8AVABvAHQAYQBsAFMAaABhAHIAZQBoAG8AbABkAGUAcgBzAEUAcQB1AGkAdAB5ACkAtgBcACIAIAAmACAAXABuACAAIAAgACAAIAAgACAAIAAgACAAIAAgACAAIAAgACAAIAAgACAAIAAgACAAIAAgAFwAIgBXAEUAQgBQAEEARwBFADoAIAAgACAAIAAgACAAIAAgACAAIAAgAJIhaAB0AHQAcABzADoALwAvAHcAdwB3AC4AaQBuAHYAZQBzAHQAbwBwAGUAZABpAGEALgBjAG8AbQAvAHQAZQByAG0AcwAvAGUALwBlAHEAdQBpAHQAeQBtAHUAbAB0AGkAcABsAGkAZQBy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UAG8AdABhAGw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LgA0ADAANgAyADUAIAAgACAAIAAgACAAIAAgACAAIAAgACAAkiE9AG8AegAuAEUAcQB1AGkAdAB5AE0AdQBsAHQAaQBwAGwAaQBlAHIAuwMoADMANgA2AC4ANgAsACAAOAAzAC4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BAHMAcwBlAHQAcwApACwAXABuACAAIAAgACAAIAAgACAAIAAgACAAIAAgACAAIAAgACAAIAAgACAAIAAgACAAIAAgACAAIAAgACAASQBTAE8ATQBJAFQAVABFAEQAKAAgAFQAbwB0AGEAbABTAGgAYQByAGUAaABvAGwAZABlAHIAcwBFAHEAdQBpAHQAeQApAFwAbgAgACAAIAAgACAAIAAgACAAIAAgACAAIAAgACAAIAAgACAAIAAgACAAIAAgACAAIAApACwAXABuACAAIAAgACAALwAvACAAIABQAHIAbwBjAGUAZAB1AHIAZQBcAG4AIAAgACAAIAAgACAAIAAgAFIAZQBzAHUAbAB0ACwAIAAgACAAIAAgACAAIAAgACAAVABvAHQAYQBsAEEAcwBzAGUAdABzAC8AVABvAHQAYQBs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FwAbgBcAG4AXABuAFwAbgAvAC8AIAAgAFMAbwBsAHYAZQBuAGMAeQAgAFIAYQB0AGkAbwBzAFwAbgBcAG4AIABcAG4ALwAqACAAIABGAFUATgBDAFQASQBPAE4AIABOAEEATQBFADoAIAAgAEQAZQBiAHQAVABvAEUAcQB1AGkAdAB5AFIAYQB0AGkAbwC7A1wAbgAgACAAIAAgAEQARQBTAEMAUgBJAFAAVABJAE8ATgA6ACoALwAvACoAKgBNAGUAYQBzAHUAcgBlAHMAIAB0AGgAZQAgAGQAZQBnAHIAZQBlACAAdABvACAAdwBoAGkAYwBoACAAYQAgAGMAbwBtAHAAYQBuAHkAIABpAHMAIABmAGkAbgBhAG4AYwBpAG4AZwAgAG8AcABlAHIAYQB0AGkAbwBuAHMAXABuAHcAaQB0AGgAIABkAGUAYgB0ACAAcgBhAHQAaABlAHIAIAB0AGgAYQBuACAAaQB0AHMAIABvAHcAbgAgAHIAZQBzAG8AdQByAGMAZQBzAC4AIAAoAFQAbwB0AGEAbAAgAEwAaQBhAGIAaQBsAGkAdABpAGUAcwAvAFMAaABhAHIAZQBoAG8AbABkAGUAcgBzACcAIABFAHEAdQBpAHQAeQApACAAKgAvAFwAbgBEAGUAYgB0AFQAbwBFAHEAdQBpAHQAeQBSAGEAdABpAG8AuwMgAD0AIABMAEEATQBCAEQAQQAoAFwAbgAvAC8AIAAgAFAAYQByAGEAbQBlAHQAZQByACAARABlAGMAbABhAFIAYQB0AGkAbwBuAHMAXABuACAAIAAgACAAIAAgACAAIABbAFQAbwB0AGEAbABMAGkAYQBiAGkAbABpAHQAaQBlAHM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UAcQB1AGkAdAB5AFIAYQB0AGkAbwC7AygAIABUAG8AdABhAGwATABpAGEAYgBpAGwAaQB0AGkAZQBzACwAIABTAGgAYQByAGUAaABvAGwAZABlAHIAcwBFAHEAdQBpAHQAeQApALYAXAAiACAAJgAgAFwAbgAgACAAIAAgACAAIAAgACAAIAAgACAAIAAgACAAIAAgACAAIAAgACAAIAAgACAAIABcACIARABFAFMAQwBSAEkAUABUAEkATwBOADoAIAAgACAAIAAgACAAIACSIU0AZQBhAHMAdQByAGUAcwAgAHQAaABlACAAZABlAGcAcgBlAGUAIAB0AG8AIAB3AGgAaQBjAGgAIABhACAAYwBvAG0AcABhAG4AeQAgAGkAcwAgAGYAaQBuAGEAbgBjAGkAbgBnACAAbwBwAGUAcgBhAHQAaQBvAG4AcwC2AFwAIgAgACYAXABuACAAIAAgACAAIAAgACAAIAAgACAAIAAgACAAIAAgACAAIAAgACAAIAAgACAAIAAgACAAIAAgACAAIAAgACAAIAAgACAAIAAgACAAIAAgACAAIAAgACAAXAAiAJIhdwBpAHQAaAAgAGQAZQBiAHQAIAByAGEAdABoAGUAcgAgAHQAaABhAG4AIABpAHQAcwAgAG8AdwBuACAAcgBlAHMAbwB1AHIAYwBlAHMALgAgACgAVABvAHQAYQBsACAATABpAGEAYgBpAGwAaQB0AGkAZQBzAC8AUwBoAGEAcgBlAGgAbwBsAGQAZQByAHMAJwAgAEUAcQB1AGkAdAB5ACkAtgBcACIAIAAmACAAXABuACAAIAAgACAAIAAgACAAIAAgACAAIAAgACAAIAAgACAAIAAgACAAIAAgACAAIAAgAFwAIgBXAEUAQgBQAEEARwBFADoAIAAgACAAIAAgACAAIAAgACAAIAAgAJIhaAB0AHQAcABzADoALwAvAHcAdwB3AC4AaQBuAHYAZQBzAHQAbwBwAGUAZABpAGEALgBjAG8AbQAvAHQAZQByAG0AcwAvAGQALwBkAGUAYgB0AGUAcQB1AGkAdAB5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TABpAGEAYgBpAGwAaQB0AGkAZQBzACAAIAAgAJIhKABSAGUAcQB1AGkAcgBlAGQAKQAgAFQAbwB0AGEAbAAgAEwAaQBhAGIAaQBsAGkAdABpAGUAcwC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zAC4ANwA3ACAAIAAgACAAIAAgACAAIAAgACAAIAAgACAAIAAgAJIhPQBvAHoALgBEAGUAYgB0AFQAbwBFAHEAdQBpAHQAeQBSAGEAdABpAG8AuwMoADIANwA5AC4AMAAsACAANwA0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MAGkAYQBiAGkAbABpAHQAaQBlAHMAKQAsAFwAbgAgACAAIAAgACAAIAAgACAAIAAgACAAIAAgACAAIAAgACAAIAAgACAAIAAgACAAIAAgACAAIAAgAEkAUwBPAE0ASQBUAFQARQBEACgAIABTAGgAYQByAGUAaABvAGwAZABlAHIAcwBFAHEAdQBpAHQAeQApACwAXABuACAAIAAgACAAIAAgACAAIAAgACAAIAAgACAAIAAgACAAIAAgACAAIAAgACAAIAAgACkALABcAG4AIAAgACAAIAAvAC8AIAAgAFAAcgBvAGMAZQBkAHUAcgBlAFwAbgAgACAAIAAgACAAIAAgACAAUgBlAHMAdQBsAHQALAAgACAAIAAgACAAIAAgACAAIABUAG8AdABhAGwATABpAGEAYgBpAGwAaQB0AGkAZQBz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EAcwBzAGUAdABSAGEAdABpAG8AuwNcAG4AIAAgACAAIABEAEUAUwBDAFIASQBQAFQASQBPAE4AOgAqAC8ALwAqACoAQQBuAGEAbAB5AHMAdABzACAAYwBhAG4AIABjAG8AbQBwAGEAcgBlACAAbwBuAGUAIABjAG8AbQBwAGEAbgB5ACcAcwAgAGwAZQB2AGUAcgBhAGcAZQAgAHcAaQB0AGgAIAB0AGgAYQB0ACAAbwBmACAAbwB0AGgAZQByACAAXABuAGMAbwBtAHAAYQBuAGkAZQBzACAAaQBuACAAdABoAGUAIABzAGEAbQBlACAAaQBuAGQAdQBzAHQAcgB5AC4AIAAoAFQAbwB0AGEAbAAgAEQAZQBiAHQALwBUAG8AdABhAGwAIABBAHMAcwBlAHQAcwApACAAKgAvAFwAbgBEAGUAYgB0AFQAbwBBAHMAcwBl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IAAgACAAIACSIUQAZQBiAHQAVABvAEEAcwBzAGUAdABSAGEAdABpAG8AuwMoACAAVABvAHQAYQBsAEQAZQBiAHQALAAgAFQAbwB0AGEAbABBAHMAcwBlAHQAcwApALYAXAAiACAAJgAgAFwAbgAgACAAIAAgACAAIAAgACAAIAAgACAAIAAgACAAIAAgACAAIAAgACAAIAAgACAAIABcACIARABFAFMAQwBSAEkAUABUAEkATwBOADoAIAAgACAAIAAgACAAIACSIUEAbgBhAGwAeQBzAHQAcwAgAGMAYQBuACAAYwBvAG0AcABhAHIAZQAgAG8AbgBlACAAYwBvAG0AcABhAG4AeQAnAHMAIABsAGUAdgBlAHIAYQBnAGUAIAB3AGkAdABoACAAdABoAGEAdAAgAG8AZgAgAG8AdABoAGUAcgAgAHkAtgBcACIAIAAmAFwAbgAgACAAIAAgACAAIAAgACAAIAAgACAAIAAgACAAIAAgACAAIAAgACAAIAAgACAAIAAgACAAIAAgACAAIAAgACAAIAAgACAAIAAgACAAIAAgACAAIAAgAFwAIgCSIWMAbwBtAHAAYQBuAGkAZQBzACAAaQBuACAAdABoAGUAIABzAGEAbQBlACAAaQBuAGQAdQBzAHQAcgB5ACAAKABUAG8AdABhAGwAIABEAGUAYgB0AC8AVABvAHQAYQBsACAAQQBzAHMAZQB0AHMAKQC2AFwAIgAgACYAXABuACAAIAAgACAAIAAgACAAIAAgACAAIAAgACAAIAAgACAAIAAgACAAIAAgACAAIAAgAFwAIgBXAEUAQgBQAEEARwBFADoAIAAgACAAIAAgACAAIAAgACAAIAAgAJIhaAB0AHQAcABzADoALwAvAHcAdwB3AC4AaQBuAHYAZQBzAHQAbwBwAGUAZABpAGEALgBjAG8AbQAvAHQAZQByAG0AcwAvAHQALwB0AG8AdABhAGwAZABlAGIAdAB0AG8AdABvAHQAYQBsAGEAcwBzAGUAdABz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QAbwB0AGEAbABEAGUAYgB0ACAAIAAgACAAIAAgACAAIAAgACAAkiEoAFIAZQBxAHUAaQByAGUAZAApACAAVABvAHQAYQBsACAAZABlAGIAdAAgAGkAbgBjAGwAdQBkAGUAcwAgAHMAaABvAHIAdAB0AGUAcgBtACAAYQBuAGQAIABsAG8AbgBnAHQAZQByAG0AIABkAGUAYgB0ALYAXAAiACAAJgAgAFwAbgAgACAAIAAgACAAIAAgACAAIAAgACAAIAAgACAAIAAgACAAIAAgACAAIAAgACAAIABcACIAVABvAHQAYQBsAEEAcwBzAGUAdABzACAAIAAgACAAIAAgACA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C4ANAA5ADgANwAzACAAIAAgACAAIAAgACAAIAAgACAAIAAgACAAkiE9AG8AegAuAEQAZQBiAHQAVABvAEEAcwBzAGUAdABSAGEAdABpAG8AuwMoADMAMQAuADgANAA1ACwAIAA2ADMALgA4ADU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g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ABlAHIAZQBzAHQAQwBvAHYAZQByAGEAZwBlAFIAYQB0AGkAbwC7A1wAbgAgACAAIAAgAEQARQBTAEMAUgBJAFAAVABJAE8ATgA6ACoALwAvACoAKgBEAGUAdABlAHIAbQBpAG4AZQBzACAAaABvAHcAIABlAGEAcwBpAGwAeQAgAGEAIABjAG8AbQBwAGEAbgB5ACAAYwBhAG4AIABwAGEAeQAgAGkAbgB0AGUAcgBlAHMAdAAgAG8AbgAgAGkAdABzACAAbwB1AHQAcwB0AGEAbgBkAGkAbgBnACAAZABlAGIAdABcAG4AKABPAHAAZQByAGEAdABpAG4AZwAgAEkAbgBjAG8AbQBlAC8ASQBuAHQAZQByAGUAcwB0ACAARQB4AHAAZQBuAHMAZQBzACkAIAAqAC8AXABuAEkAbgB0AGUAcgBlAHMAdABDAG8AdgBlAHIAYQBnAGUAUgBhAHQAaQBvALsDIAA9ACAATABBAE0AQgBEAEEAKABcAG4ALwAvACAAIABQAGEAcgBhAG0AZQB0AGUAcgAgAEQAZQBjAGwAYQBSAGEAdABpAG8AbgBzAFwAbgAgACAAIAAgACAAIAAgACAAWwBPAHAAZQByAGEAdABpAG4AZwBJAG4AYwBvAG0AZQBdACwAIAAgAFwAbgAgACAAIAAgACAAIAAgACAAWwBJAG4AdABlAHIAZQBzAHQARQB4AHAAZQBuAHMAZQBzAF0ALAAgACAAIAAgAFwAbgAvAC8AIAAgAEgAZQBsAHAAXABuACAAIAAgACAATABFAFQAKABIAGUAbABwACwAIAAgACAAVABSAEkATQAoAFQARQBYAFQAUwBQAEwASQBUACgAIABcAG4AIAAgACAAIAAgACAAIAAgACAAIAAgACAAIAAgACAAIAAgACAAIAAgACAAIAAgACAAXAAiAEYAVQBOAEMAVABJAE8ATgA6ACAAIAAgACAAIAAgACAAIAAgACAAkiFJAG4AdABlAHIAZQBzAHQAQwBvAHYAZQByAGEAZwBlAFIAYQB0AGkAbwC7AygAIABPAHAAZQByAGEAdABpAG4AZwBJAG4AYwBvAG0AZQAsACAASQBuAHQAZQByAGUAcwB0AEUAeABwAGUAbgBzAGUAcwApALYAXAAiACAAJgAgAFwAbgAgACAAIAAgACAAIAAgACAAIAAgACAAIAAgACAAIAAgACAAIAAgACAAIAAgACAAIABcACIARABFAFMAQwBSAEkAUABUAEkATwBOADoAIAAgACAAIAAgACAAIACSIUQAZQB0AGUAcgBtAGkAbgBlAHMAIABoAG8AdwAgAGUAYQBzAGkAbAB5ACAAYQAgAGMAbwBtAHAAYQBuAHkAIABjAGEAbgAgAHAAYQB5ACAAaQBuAHQAZQByAGUAcwB0ACAAbwBuACAAaQB0AHMAIABvAHUAdABzAHQAYQBuAGQAaQBuAGcAIABkAGUAYgB0ALYAXAAiACAAJgBcAG4AIAAgACAAIAAgACAAIAAgACAAIAAgACAAIAAgACAAIAAgACAAIAAgACAAIAAgACAAIAAgACAAIAAgACAAIAAgACAAIAAgACAAIAAgACAAIAAgACAAIABcACIAkiEoAE8AcABlAHIAYQB0AGkAbgBnACAASQBuAGMAbwBtAGUALwBJAG4AdABlAHIAZQBzAHQAIABFAHgAcABlAG4AcwBlAHMAKQC2AFwAIgAgACYAIABcAG4AIAAgACAAIAAgACAAIAAgACAAIAAgACAAIAAgACAAIAAgACAAIAAgACAAIAAgACAAXAAiAFcARQBCAFAAQQBHAEUAOgAgACAAIAAgACAAIAAgACAAIAAgACAAkiFoAHQAdABwAHMAOgAvAC8AdwB3AHcALgBpAG4AdgBlAHMAdABvAHAAZQBkAGkAYQAuAGMAbwBtAC8AdABlAHIAbQBzAC8AaQAvAGkAbgB0AGUAcgBlAHMAdABjAG8AdgBlAHIAYQBnAGU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kAbgBjAG8AbQBlACAAIAAgACAAkiEoAFIAZQBxAHUAaQByAGUAZAApACAATwBwAGUAcgBhAHQAaQBuAGcAIABJAG4AYwBvAG0AZQAgACgARQBCAEkAVAApACAAtgBcACIAIAAmACAAXABuACAAIAAgACAAIAAgACAAIAAgACAAIAAgACAAIAAgACAAIAAgACAAIAAgACAAIAAgAFwAIgBJAG4AdABlAHIAZQBzAHQARQB4AHAAZQBuAHMAZQBzACAAIAAgAJIhKABSAGUAcQB1AGkAcgBlAGQAKQAgAEkAbgB0AGUAcgBlAHMAdAAgAEUAeABwAGUAbgBzAGU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gAuADkANAA0ADQANAA0ACAAIAAgACAAIAAgACAAIAAgACAAIACSIT0AbwB6AC4ASQBuAHQAZQByAGUAcwB0AEMAbwB2AGUAcgBhAGcAZQBSAGEAdABpAG8AuwMoACAANgAyADUALgAwACwAIAA5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SQBuAGMAbwBtAGUAKQAsAFwAbgAgACAAIAAgACAAIAAgACAAIAAgACAAIAAgACAAIAAgACAAIAAgACAAIAAgACAAIAAgACAAIAAgAEkAUwBPAE0ASQBUAFQARQBEACgAIABJAG4AdABlAHIAZQBzAHQARQB4AHAAZQBuAHMAZQBzACkAXABuACAAIAAgACAAIAAgACAAIAAgACAAIAAgACAAIAAgACAAIAAgACAAIAAgACAAIAAgACkALABcAG4AIAAgACAAIAAvAC8AIAAgAFAAcgBvAGMAZQBkAHUAcgBlAFwAbgAgACAAIAAgACAAIAAgACAAUgBlAHMAdQBsAHQALAAgACAAIAAgACAAIAAgACAAIABPAHAAZQByAGEAdABpAG4AZwBJAG4AYwBvAG0AZQAvAEkAbgB0AGUAcgBlAHMAdABFAHgAcABlAG4Acw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FIAYQB0AGkAbwC7A1wAbgAgACAAIAAgAEQARQBTAEMAUgBJAFAAVABJAE8ATgA6ACoALwAvACoAKgBNAGUAYQBzAHUAcgBlAHMAIAB0AGgAZQAgAGwAbwBuAGcALQB0AGUAcgBtACAAcwBvAGwAdgBlAG4AYwB5ACAAbwBmACAAYQAgAGMAbwBtAHAAYQBuAHkAIABiAHkAIABjAG8AbQBwAGEAcgBpAG4AZwAgAGkAdABzACAAcwBoAGEAcgBlAGgAbwBsAGQAZQByAHMAGSAgAGUAcQB1AGkAdAB5ACAAdABvACAAaQB0AHMAIABcAG4AdABvAHQAYQBsACAAYQBzAHMAZQB0AHMAIAAoAFMAaABhAHIAZQBoAG8AbABkAGUAcgAnAHMAIABFAHEAdQBpAHQAeQAvACgAVABvAHQAYQBsACAAQQBzAHMAZQB0AHMAIAAtACAASQBuAHQAYQBuAGcAaQBiAGwAZQAgAEEAcwBzAGUAdABzACkAKQAuACAAKgAvAFwAbgBFAHEAdQBpAHQAeQBSAGEAdABpAG8AuwMgAD0AIABMAEEATQBCAEQAQQAoAFwAbgAvAC8AIAAgAFAAYQByAGEAbQBlAHQAZQByACAARABlAGMAbABhAFIAYQB0AGkAbwBuAHMAXABuACAAIAAgACAAIAAgACAAIABbAFMAaABhAHIAZQBoAG8AbABkAGUAcgBzAEUAcQB1AGkAdAB5AF0ALAAgACAAXABuACAAIAAgACAAIAAgACAAIABbAFQAbwB0AGEAbABBAHMAcwBlAHQAcwBdACwAXABuACAAIAAgACAAIAAgACAAIABbAEkAbgB0AGEAbgBnAGkAYgBsAGUAQQBzAHMAZQB0AHMAXQAsAFwAbgAvAC8AIAAgAEgAZQBsAHAAXABuACAAIAAgACAATABFAFQAKABIAGUAbABwACwAIAAgACAAVABSAEkATQAoAFQARQBYAFQAUwBQAEwASQBUACgAIABcAG4AIAAgACAAIAAgACAAIAAgACAAIAAgACAAIAAgACAAIAAgACAAIAAgACAAIAAgACAAXAAiAEYAVQBOAEMAVABJAE8ATgA6ACAAIAAgACAAIAAgACAAIAAgACAAkiFFAHEAdQBpAHQAeQBSAGEAdABpAG8AuwMoACAAUwBoAGEAcgBlAGgAbwBsAGQAZQByAHMARQBxAHUAaQB0AHkALAAgAFQAbwB0AGEAbABBAHMAcwBlAHQAcwAsACAASQBuAHQAYQBuAGcAaQBiAGwAZQBBAHMAcwBlAHQAcwApALYAXAAiACAAJgAgAFwAbgAgACAAIAAgACAAIAAgACAAIAAgACAAIAAgACAAIAAgACAAIAAgACAAIAAgACAAIABcACIARABFAFMAQwBSAEkAUABUAEkATwBOADoAIAAgACAAIAAgACAAIACSIU0AZQBhAHMAdQByAGUAcwAgAHQAaABlACAAbABvAG4AZwAtAHQAZQByAG0AIABzAG8AbAB2AGUAbgBjAHkAIABvAGYAIABhACAAYwBvAG0AcABhAG4AeQAgAGIAeQAgAGMAbwBtAHAAYQByAGkAbgBnACAAaQB0AHMAIABzAGgAYQByAGUAaABvAGwAZABlAHIAcwAZICAAtgBcACIAIAAmAFwAbgAgACAAIAAgACAAIAAgACAAIAAgACAAIAAgACAAIAAgACAAIAAgACAAIAAgACAAIAAgACAAIAAgACAAIAAgACAAIAAgACAAIAAgACAAIAAgACAAIAAgAFwAIgCSIWUAcQB1AGkAdAB5ACAAdABvACAAaQB0AHMAIAB0AG8AdABhAGwAIABhAHMAcwBlAHQAcwAgACgAUwBoAGEAcgBlAGgAbwBsAGQAZQByACcAcwAgAEUAcQB1AGkAdAB5AC8AKABUAG8AdABhAGwAIABBAHMAcwBlAHQAcwAgAC0AIABJAG4AdABhAG4AZwBpAGIAbABlACAAQQBzAHMAZQB0AHMAKQApALYAXAAiACAAJgBcAG4AIAAgACAAIAAgACAAIAAgACAAIAAgACAAIAAgACAAIAAgACAAIAAgACAAIAAgACAAXAAiAFcARQBCAFAAQQBHAEUAOgAgACAAIAAgACAAIAAgACAAIAAgACAAkiFoAHQAdABwAHMAOgAvAC8AdwB3AHcALgB3AGEAbABsAHMAdAByAGUAZQB0AHAAcgBlAHAALgBjAG8AbQAvAGsAbgBvAHcAbABlAGQAZwBlAC8AZQBxAHUAaQB0AHkALQByAGEAdABpAG8ALw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SQBuAHQAYQBuAGcAaQBiAGwAZQBBAHMAcwBlAHQAcwAgACAAIACSISgAUgBlAHEAdQBpAHIAZQBkACkAIABEAGUAZAB1AGMAdABlAGQAIABmAHIAbwBtACAAdABvAHQAYQBsACAAYQBzAHMAZQB0AHMAIABiAGUAZgBvAHIAZQAgAHQAaABlACAAYwBvAG0AcABhAHIAaQBzAG8Abg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wACUAIAAgACAAIAAgACAAIAAgACAAIAAgACAAIAAgACAAIACSIT0AbwB6AC4ARQBxAHUAaQB0AHkAUgBhAHQAaQBvALsDKAAgADIAMAAuADAALAAgADYAMAAuADAALAAgADE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FQAbwB0AGEAbABBAHMAcwBlAHQAcwApACwAXABuACAAIAAgACAAIAAgACAAIAAgACAAIAAgACAAIAAgACAAIAAgACAAIAAgACAAIAAgACAAIAAgACAASQBTAE8ATQBJAFQAVABFAEQAKAAgAEkAbgB0AGEAbgBnAGkAYgBsAGUAQQBzAHMAZQB0AHMAKQBcAG4AIAAgACAAIAAgACAAIAAgACAAIAAgACAAIAAgACAAIAAgACAAIAAgACAAIAAgACAAKQAsAFwAbgAgACAAIAAgAC8ALwAgACAAUAByAG8AYwBlAGQAdQByAGUAXABuACAAIAAgACAAIAAgACAAIABSAGUAcwB1AGwAdAAsACAAIAAgACAAIAAgACAAIAAgAFMAaABhAHIAZQBoAG8AbABkAGUAcgBzAEUAcQB1AGkAdAB5AC8AKABUAG8AdABhAGwAQQBzAHMAZQB0AHMAIAAtACAASQBuAHQAYQBuAGcAaQBiAGwAZQBBAHMAcwBlAHQAcwApACwAXABuACAAIAAgACAALwAvACAAIABSAGUAdAB1AHIAbgAgAFIAZQBzAHUAbAB0AFwAbgAgACAAIAAgACAAIAAgACAAQwBIAE8ATwBTAEUAKABIAGUAbABwAD8AIAArACAAMQAsACAAUgBlAHMAdQBsAHQALAAgAEgAZQBsAHAAKQAgACAAIAAgACAAIAAgACAAXABuACAAIAAgACAAKQBcAG4AKQA7AFwAbgBcAG4AXABuAFwAbgBcAG4AXABuACAAXABuAC8ALwAgACAARQBmAGYAaQBjAGkAZQBuAGMAeQAgAFIAYQB0AGkAbwBzAFwAbgBcAG4AXABuAFwAbgAvACoAIAAgAEYAVQBOAEMAVABJAE8ATgAgAE4AQQBNAEUAOgAgACAAQQBzAHMAZQB0AFQAdQByAG4AbwB2AGUAcgBSAGEAdABpAG8AuwNcAG4AIAAgACAAIABEAEUAUwBDAFIASQBQAFQASQBPAE4AOgAqAC8ALwAqACoATQBlAGEAcwB1AHIAZQBzACAAdABoAGUAIAB2AGEAbAB1AGUAIABvAGYAIABhACAAYwBvAG0AcABhAG4AeQAnAHMAIABzAGEAbABlAHMAIABvAHIAIAByAGUAdgBlAG4AdQBlAHMAIAByAGUAbABhAHQAaQB2AGUAIAB0AG8AIAB0AGgAZQAgAHYAYQBsAHUAZQAgAG8AZgAgAGkAdABzACAAYQBzAHMAZQB0AHMALgBcAG4AKABOAGUAdAAgAFMAYQBsAGUAcwAvAFQAbwB0AGEAbAAgAEEAcwBzAGUAdABzACkAKgAvAFwAbgBBAHMAcwBlAHQAVAB1AHIAbgBvAHYAZQByAFIAYQB0AGkAbwC7AyAAPQAgAEwAQQBNAEIARABBACgAXABuAC8ALwAgACAAUABhAHIAYQBtAGUAdABlAHIAIABEAGUAYwBsAGEAUgBhAHQAaQBvAG4AcwBcAG4AIAAgACAAIAAgACAAIAAgAFsATgBlAHQAUwBhAGwAZQBz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EAcwBzAGUAdABUAHUAcgBuAG8AdgBlAHIAUgBhAHQAaQBvALsDKAAgAE4AZQB0AFMAYQBsAGUAcwAsACAAVABvAHQAYQBsAEEAcwBzAGUAdABzACkAtgBcACIAIAAmACAAXABuACAAIAAgACAAIAAgACAAIAAgACAAIAAgACAAIAAgACAAIAAgACAAIAAgACAAIAAgAFwAIgBEAEUAUwBDAFIASQBQAFQASQBPAE4AOg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IAAgACAAIAAgACAAIAAgACAAIAAgACAAIAAgACAAIAAgACAAIAAgACAAIAAgACAAIAAgACAAIAAgACAAIABcACIAkiEoAE4AZQB0ACAAUwBhAGwAZQBzAC8AVABvAHQAYQBsACAAQQBzAHMAZQB0AHMAKQC2AFwAIgAgACYAIABcAG4AIAAgACAAIAAgACAAIAAgACAAIAAgACAAIAAgACAAIAAgACAAIAAgACAAIAAgACAAXAAiAFcARQBCAFAAQQBHAEUAOgAgACAAIAAgACAAIAAgAJIhaAB0AHQAcABzADoALwAvAHcAdwB3AC4AaQBuAHYAZQBzAHQAbwBwAGUAZABpAGEALgBjAG8AbQAvAHQAZQByAG0AcwAvAGEALwBhAHMAcwBlAHQAdAB1AHIAbgBvAHYAZQBy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FMAYQBsAGUAcwAgACAAIAAgACAAIAAgAJIhKABSAGUAcQB1AGkAcgBlAGQAKQAgAHIAZQB2AGUAbgB1AGUAIABvAHIAIABuAGUAdAAgAHMAYQBsAGUAcwAuACAAtgBcACIAIAAmACAAXABuACAAIAAgACAAIAAgACAAIAAgACAAIAAgACAAIAAgACAAIAAgACAAIAAgACAAIAAgAFwAIgBUAG8AdABhAGwAQQBzAHMAZQB0AHMAIAAgACAAIACSISgAUgBlAHEAdQBpAHIAZQBkACkAIABBAHYAZQByAGEAZwBlACAAbwBmACAAQQBzAHMAZQB0AHMAIABhAG4AZAAgAHAAZQByAGkAbwBkACAAcwB0AGEAcgB0ACAAYQBuAGQAIABlAG4AZAAu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LgAzADIAeAAgACAAIAAgACAAIAAgACAAIAAgACAAkiE9AG8AegAuAEEAcwBzAGUAdABUAHUAcgBuAG8AdgBlAHIAUgBhAHQAaQBvALsDKAAgADEANwAxADcANgAwACwAIAA1ADMAOAA3ADE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MAYQBsAGUAcw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UwBhAGwAZQBz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SQC7A1wAbgAgACAAIAAgAEQARQBTAEMAUgBJAFAAVABJAE8ATgA6ACoALwAvACoAKgBEAGEAeQBzACAAUwBhAGwAZQBzACAAaQBuACAASQBuAHYAZQBuAHQAbwByAHkAIABSAGEAdABpAG8AIAAoAGEAawBhACAAQQB2AGUAcgBhAGcAZQAgAGEAZwBlACAAbwBmACAAaQBuAHYAZQBuAHQAbwByAHkAIABcAG4AaQBuAGQAaQBjAGEAdABlAHMAIAB0AGgAZQAgAGEAdgBlAHIAYQBnAGUAIAB0AGkAbQBlACAAaQBuACAAZABhAHkAcwAgAHQAaABhAHQAIABhACAAYwBvAG0AcABhAG4AeQAgAHQAYQBrAGUAcwAgAHQAbwAgAHQAdQByAG4AIABpAHQAcwAgAGkAbgB2AGUAbgB0AG8AcgB5ACAAXABuACgAQQB2AGUAcgBhAGcAZQAgAEkAbgB2AGUAbgB0AG8AcgB5AC8AIABDAG8AcwB0ACAAbwBmACAARwBvAG8AZABzACAAUwBvAGwAZAApACAAKgAvAFwAbgBEAFMASQC7AyAAPQAgAEwAQQBNAEIARABBACgAXABuAC8ALwAgACAAUABhAHIAYQBtAGUAdABlAHIAIABEAGUAYwBsAGEAUgBhAHQAaQBvAG4AcwBcAG4AIAAgACAAIAAgACAAIAAgAFsAQQB2AGUAcgBhAGcAZQBJAG4AdgBlAG4AdABvAHIAeQBdACwAIAAgAFwAbgAgACAAIAAgACAAIAAgACAAWwBDAG8AcwB0AE8AZgBHAG8AbwBkAHMAUwBvAGwAZABdACwAIAAgACAAIABcAG4ALwAvACAAIABIAGUAbABwAFwAbgAgACAAIAAgAEwARQBUACgASABlAGwAcAAsACAAIAAgAFQAUgBJAE0AKABUAEUAWABUAFMAUABMAEkAVAAoACAAXABuACAAIAAgACAAIAAgACAAIAAgACAAIAAgACAAIAAgACAAIAAgACAAIAAgACAAIAAgAFwAIgBGAFUATgBDAFQASQBPAE4AOgAgACAAIAAgACAAIAAgACAAIAAgAJIhRABTAEkAuwMoACAAQQB2AGUAcgBhAGcAZQBJAG4AdgBlAG4AdABvAHIAeQAsACAAQwBvAHMAdABPAGYARwBvAG8AZABzAFMAbwBsAGQAKQC2AFwAIgAgACYAIABcAG4AIAAgACAAIAAgACAAIAAgACAAIAAgACAAIAAgACAAIAAgACAAIAAgACAAIAAgACAAXAAiAEQARQBTAEMAUgBJAFAAVABJAE8ATgA6ACAAIAAgACAAIAAgACAAkiFEAGEAeQBzACAAUwBhAGwAZQBzACAAaQBuACAASQBuAHYAZQBuAHQAbwByAHkAIABSAGEAdABpAG8AIAAoAGEAawBhACAAQQB2AGUAcgBhAGcAZQAgAGEAZwBlACAAbwBmACAAaQBuAHYAZQBuAHQAbwByAHkAKQC2AFwAIgAgACYAIABcAG4AIAAgACAAIAAgACAAIAAgACAAIAAgACAAIAAgACAAIAAgACAAIAAgACAAIAAgACAAIAAgACAAIAAgACAAIAAgACAAIAAgACAAIAAgACAAIAAgACAAIABcACIAkiFpAG4AZABpAGMAYQB0AGUAcwAgAHQAaABlACAAYQB2AGUAcgBhAGcAZQAgAHQAaQBtAGUAIABpAG4AIABkAGEAeQBzACAAdABoAGEAdAAgAGEAIABjAG8AbQBwAGEAbgB5ACAAdABhAGsAZQBzACAAdABvACAAdAB1AHIAbgAgAGkAdABzACAAaQBuAHYAZQBuAHQAbwByAHkAtgBcACIAIAAmACAAXABuACAAIAAgACAAIAAgACAAIAAgACAAIAAgACAAIAAgACAAIAAgACAAIAAgACAAIAAgACAAIAAgACAAIAAgACAAIAAgACAAIAAgACAAIAAgACAAIAAgACAAXAAiAJIhKABBAHYAZQByAGEAZwBlACAASQBuAHYAZQBuAHQAbwByAHkALwAgAEMAbwBzAHQAIABvAGYAIABHAG8AbwBkAHMAIABTAG8AbABkACkAtgBcACIAIAAmACAAXABuACAAIAAgACAAIAAgACAAIAAgACAAIAAgACAAIAAgACAAIAAgACAAIAAgACAAIAAgAFwAIgBXAEUAQgBQAEEARwBFADoAIAAgACAAIAAgACAAIAAgACAAIAAgAJIhaAB0AHQAcABzADoALwAvAHcAdwB3AC4AaQBuAHYAZQBzAHQAbwBwAGUAZABpAGEALgBjAG8AbQAvAHQAZQByAG0AcwAvAGQALwBkAGEAeQBzAC0AcwBhAGwAZQBzAC0AaQBuAHYAZQBuAHQAbwByAHkALQBkAHMAaQ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EAdgBlAHIAYQBnAGUASQBuAHYAZQBuAHQAbwByAHkAkiEgACAAKABSAGUAcQB1AGkAcgBlAGQAKQAgAEEAdgBlAHIAYQBnAGUAIABvAGYAIABwAGUAcgBpAG8AZAAgAG8AcABlAG4AIABhAG4AZAAgAGMAbABvAHMAZQAgAEkAbgB2AGUAbgB0AG8AcgB5ALYAXAAiACAAJgAgAFwAbgAgACAAIAAgACAAIAAgACAAIAAgACAAIAAgACAAIAAgACAAIAAgACAAIAAgACAAIABcACIAQwBvAHMAdABPAGYARwBvAG8AZABzAFMAbwBsAGQAkiEgACAAIAAoAFIAZQBxAHUAaQByAGUAZAApACAAQwBvAHMAdAAgAG8AZgAgAEcAbwBvAGQAcwAgAFMAbwBsAGQAIAAoAEMATwBHAF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DAALgA4ADkANAA5ACAAZABhAHkAcwAgACAAIAAgACAAIAAgAJIhPQBvAHoALgBEAFMASQC7AygANQA0AC4AOQAsACAANAA5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YAZQByAGEAZwBlAEkAbgB2AGUAbgB0AG8AcgB5ACkALABcAG4AIAAgACAAIAAgACAAIAAgACAAIAAgACAAIAAgACAAIAAgACAAIAAgACAAIAAgACAAIAAgACAAIABJAFMATwBNAEkAVABUAEUARAAoACAAQwBvAHMAdABPAGYARwBvAG8AZABzAFMAbwBsAGQAKQBcAG4AIAAgACAAIAAgACAAIAAgACAAIAAgACAAIAAgACAAIAAgACAAIAAgACAAIAAgACAAKQAsAFwAbgAgACAAIAAgAC8ALwAgACAAQwBvAG4AcwB0AGEAbgB0AHMAXABuACAAIAAgACAAIAAgACAAIABEAHAAWQAsACAAIAAgACAAIAAgACAAIAAgACAAIAAgADMANgA1ACwAIAAvAC8ARABhAHkAcwAgAHAAZQByACAAWQBlAGEAcgBcAG4AIAAgACAAIAAvAC8AIAAgAFAAcgBvAGMAZQBkAHUAcgBlAFwAbgAgACAAIAAgACAAIAAgACAAUgBlAHMAdQBsAHQALAAgACAAIAAgACAAIAAgACAAIABBAHYAZQByAGEAZwBlAEkAbgB2AGUAbgB0AG8AcgB5AC8AQwBvAHMAdABPAGYARwBvAG8AZABzAFMAbwBsAGQAIAAqACAARABwAF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FIAYQB0AGkAbwC7A1wAbgAgACAAIAAgAEQARQBTAEMAUgBJAFAAVABJAE8ATgA6ACoALwAvACoAKgBTAGgAbwB3AHMAIABoAG8AdwAgAGUAZgBmAGkAYwBpAGUAbgB0ACAAbQBhAG4AYQBnAGUAbQBlAG4AdAAgAGkAcwAgAGEAdAAgAGsAZQBlAHAAaQBuAGcAIABjAG8AcwB0AHMAIABsAG8AdwAgAHcAaABpAGwAZQAgAGcAZQBuAGUAcgBhAHQAaQBuAGcAIAByAGUAdgBlAG4AdQBlACAAXABuACgATwBwAGUAcgBhAHQAaQBuAGcAIABFAHgAcABlAG4AcwBlAHMAIAArACAAQwBvAHMAdAAgAE8AZgAgAEcAbwBvAGQAcwAgAFMAbwBsAGQAKQAvAE4AZQB0ACAAUwBhAGwAZQBzACkAKgAvAFwAbgBPAHAAZQByAGEAdABpAG4AZwBSAGEAdABpAG8AuwMgAD0AIABMAEEATQBCAEQAQQAoAFwAbgAvAC8AIAAgAFAAYQByAGEAbQBlAHQAZQByACAARABlAGMAbABhAFIAYQB0AGkAbwBuAHMAXABuACAAIAAgACAAIAAgACAAIABbAE8AcABlAHIAYQB0AGkAbgBnAEUAeABwAGUAbgBzAGUAcwBdACwAIAAgAFwAbgAgACAAIAAgACAAIAAgACAAWwBDAG8AcwB0AE8AZgBHAG8AbwBkAHMAUwBvAGwAZABdACwAIAAg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SAGEAdABpAG8AuwMoACAATwBwAGUAcgBhAHQAaQBuAGcARQB4AHAAZQBuAHMAZQBzACwAIABDAG8AcwB0AE8AZgBHAG8AbwBkAHMAUwBvAGwAZAAsACAATgBlAHQAUwBhAGwAZQBzACkAtgBcACIAIAAmACAAXABuACAAIAAgACAAIAAgACAAIAAgACAAIAAgACAAIAAgACAAIAAgACAAIAAgACAAIAAgAFwAIgBEAEUAUwBDAFIASQBQAFQASQBPAE4AOgAgACAAIAAgACAAIAAgAJIhUwBoAG8AdwBzACAAaABvAHcAIABlAGYAZgBpAGMAaQBlAG4AdAAgAG0AYQBuAGEAZwBlAG0AZQBuAHQAIABpAHMAIABhAHQAIABrAGUAZQBwAGkAbgBnACAAYwBvAHMAdABzACAAbABvAHcAIAC2AFwAIgAgACYAXABuACAAIAAgACAAIAAgACAAIAAgACAAIAAgACAAIAAgACAAIAAgACAAIAAgACAAIAAgACAAIAAgACAAIAAgACAAIAAgACAAIAAgACAAIAAgACAAIAAgACAAXAAiAJIhdwBoAGkAbABlACAAZwBlAG4AZQByAGEAdABpAG4AZwAgAHIAZQB2AGUAbgB1AGUAtgBcACIAIAAmACAAXABuACAAIAAgACAAIAAgACAAIAAgACAAIAAgACAAIAAgACAAIAAgACAAIAAgACAAIAAgACAAIAAgACAAIAAgACAAIAAgACAAIAAgACAAIAAgACAAIAAgACAAXAAiAJIhKABPAHAAZQByAGEAdABpAG4AZwAgAEUAeABwAGUAbgBzAGUAcwAgACsAIABDAG8AcwB0ACAATwBmACAARwBvAG8AZABzACAAUwBvAGwAZAApAC8ATgBlAHQAIABTAGEAbABlAHMAKQC2AFwAIgAgACYAIABcAG4AIAAgACAAIAAgACAAIAAgACAAIAAgACAAIAAgACAAIAAgACAAIAAgACAAIAAgACAAXAAiAFcARQBCAFAAQQBHAEUAOgAgACAAIAAgACAAIAAgACAAIAAgACAAkiFoAHQAdABwAHMAOgAvAC8AdwB3AHcALgBpAG4AdgBlAHMAdABvAHAAZQBkAGkAYQAuAGMAbwBtAC8AdABlAHIAbQBzAC8AbwAvAG8AcABlAHIAYQB0AGkAbgBn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8AcABlAHIAYQB0AGkAbgBnAEUAeABwAGUAbgBzAGUAcwAgACAAkiEoAFIAZQBxAHUAaQByAGUAZAApACAATwBwAGUAcgBhAHQAaQBuAGcAIABFAHgAcABlAG4AcwBlAHMAIAB3AGgAaQBjAGgAIABjAGEAbgAgAGkAbgBjAGwAdQBkAGUAOgC2AFwAIgAgACYAXABuACAAIAAgACAAIAAgACAAIAAgACAAIAAgACAAIAAgACAAIAAgACAAIAAgACAAIAAgACAAIAAgACAAIAAgACAAIAAgACAAIAAgACAAIAAgACAAIAAgACAAXAAiAJIhQQBjAGMAbwB1AG4AdABpAG4AZwAgAGEAbgBkACAAbABlAGcAYQBsACAAZgBlAGUAcwC2AFwAIgAgACYAXABuACAAIAAgACAAIAAgACAAIAAgACAAIAAgACAAIAAgACAAIAAgACAAIAAgACAAIAAgACAAIAAgACAAIAAgACAAIAAgACAAIAAgACAAIAAgACAAIAAgACAAXAAiAJIhQgBhAG4AawAgAGMAaABhAHIAZwBlAHMAtgBcACIAIAAmAFwAbgAgACAAIAAgACAAIAAgACAAIAAgACAAIAAgACAAIAAgACAAIAAgACAAIAAgACAAIAAgACAAIAAgACAAIAAgACAAIAAgACAAIAAgACAAIAAgACAAIAAgAFwAIgCSIVMAYQBsAGUAcwAgAGEAbgBkACAAbQBhAHIAawBlAHQAaQBuAGcAIABjAG8AcwB0AHMAtgBcACIAIAAmAFwAbgAgACAAIAAgACAAIAAgACAAIAAgACAAIAAgACAAIAAgACAAIAAgACAAIAAgACAAIAAgACAAIAAgACAAIAAgACAAIAAgACAAIAAgACAAIAAgACAAIAAgAFwAIgCSIU4AbwBuAC0AYwBhAHAAaQB0AGEAbABpAHMAZQBkACAAcgBlAHMAZQBhAHIAYwBoALYAXAAiACAAJgBcAG4AIAAgACAAIAAgACAAIAAgACAAIAAgACAAIAAgACAAIAAgACAAIAAgACAAIAAgACAAIAAgACAAIAAgACAAIAAgACAAIAAgACAAIAAgACAAIAAgACAAIABcACIAkiFkAGUAdgBlAGwAbwBwAG0AZQBuAHQAIAAoAFIAJgBEACkAIABlAHgAcABlAG4AcwBlAHMAtgBcACIAIAAmAFwAbgAgACAAIAAgACAAIAAgACAAIAAgACAAIAAgACAAIAAgACAAIAAgACAAIAAgACAAIAAgACAAIAAgACAAIAAgACAAIAAgACAAIAAgACAAIAAgACAAIAAgAFwAIgCSIUMAbwBzAHQAIABvAGYAIABHAG8AbwBkAHMAIABTAG8AbABkACAAKABDAE8ARwBTACkAtgBcACIAIAAm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TgBlAHQAUwBhAGwAZQBzACAAIAAgACAAIAAgACAAIAAgACAAIACSISgAUgBlAHEAdQBpAHIAZQBkACkAIABOAGUAdAAgAFMAYQBsAGUAcwAgAG8AcgAgAFIAZQB2AGUAbgB1AGUALg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gA5ACUAIAAgACAAIAAgACAAIAAgACAAIAAgACAAIAAgACAAIACSIT0AbwB6AC4ATwBwAGUAcgBhAHQAaQBuAGcAUgBhAHQAaQBvALsDKAAgADEANAAuADMANwAsACAANAA4AC4ANAA4ACwAIAA5ADAALgA3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HgAcABlAG4AcwBlAHMAKQAsAFwAbgAgACAAIAAgACAAIAAgACAAIAAgACAAIAAgACAAIAAgACAAIAAgACAAIAAgACAAIAAgACAAIAAgAEkAUwBPAE0ASQBUAFQARQBEACgAIABDAG8AcwB0AE8AZgBHAG8AbwBkAHMAUwBvAGwAZ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KABPAHAAZQByAGEAdABpAG4AZwBFAHgAcABlAG4AcwBlAHMAKwBDAG8AcwB0AE8AZgBHAG8AbwBkAHMAUwBvAGwAZAApAC8ATgBlAHQAUwBhAGwAZQBzACwAXABuACAAIAAgACAALwAvACAAIABSAGUAdAB1AHIAbgAgAFIAZQBzAHUAbAB0AFwAbgAgACAAIAAgACAAIAAgACAAQwBIAE8ATwBTAEUAKABIAGUAbABwAD8AIAArACAAMQAsACAAUgBlAHMAdQBsAHQALAAgAEgAZQBsAHAAKQAgACAAIAAgACAAIAAgACAAXABuACAAIAAgACAAKQBcAG4AKQA7AFwAbgBcAG4AXABuAFwAbgBcAG4AXABuAFwAbgAvAC8AIAAgAFAAcgBvAGYAaQB0AGEAYgBpAGwAaQB0AHkAIABNAGEAcgBnAGkAbgBzACAAYQBuAGQAIABSAGEAdABpAG8AcwBcAG4AXABuAFwAbgAgAFwAbgAvACoAIAAgAEYAVQBOAEMAVABJAE8ATgAgAE4AQQBNAEUAOgAgACAARwByAG8AcwBzAE0AYQByAGcAaQBuALsDXABuACAAIAAgACAARABFAFMAQwBSAEkAUABUAEkATwBOADoAKgAvAC8AKgAqAFMAaABvAHcAcwAgAGgAbwB3ACAAbQB1AGMAaAAgAHAAcgBvAGYAaQB0ACAAYQAgAGMAbwBtAHAAYQBuAHkAIABtAGEAawBlAHMAIABhAGYAdABlAHIAIABwAGEAeQBpAG4AZwAgAG8AZgBmACAAaQB0AHMAIABDAG8AcwB0ACAAbwBmACAARwBvAG8AZABzACAAUwBvAGwAZAAgACoALwBcAG4ARwByAG8AcwBzAE0AYQByAGcAaQBuALsDIAA9ACAATABBAE0AQgBEAEEAKABcAG4ALwAvACAAIABQAGEAcgBhAG0AZQB0AGUAcgAgAEQAZQBjAGwAYQByAGEAdABpAG8AbgBzAFwAbgAgACAAIAAgACAAIAAgACAAWwBHAHIAbwBzAHMAUAByAG8AZgBpAHQAXQAs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JIhRwByAG8AcwBzAE0AYQByAGcAaQBuALsDKAAgAEcAcgBvAHMAcwBQAHIAbwBmAGkAdAAsACAATgBlAHQAUwBhAGwAZQBzACkAtgBcACIAIAAmACAAXABuACAAIAAgACAAIAAgACAAIAAgACAAIAAgACAAIAAgACAAIAAgACAAIAAgACAAIAAgAFwAIgBEAEUAUwBDAFIASQBQAFQASQBPAE4AOgAgACAAIACSIVMAaABvAHcAcwAgAGgAbwB3ACAAbQB1AGMAaAAgAHAAcgBvAGYAaQB0ACAAYQAgAGMAbwBtAHAAYQBuAHkAIABtAGEAawBlAHMAIABhAGYAdABlAHIAIABwAGEAeQBpAG4AZwAgAG8AZgBmACAAaQB0AHMAIABDAG8AcwB0ACAAbwBmACAARwBvAG8AZABzACAAUwBvAGwAZAAgACgAQwBPAEcAUwApAC4AtgBcACIAIAAmACAAXABuACAAIAAgACAAIAAgACAAIAAgACAAIAAgACAAIAAgACAAIAAgACAAIAAgACAAIAAgACAAIAAgACAAIAAgACAAIAAgACAAIAAgACAAIAAgAFwAIgCSISgARwByAG8AcwBzACAAUAByAG8AZgBpAHQALwBOAGUAdAAgAFMAYQBsAGUAcwApALYAXAAiACAAJgAgAFwAbgAgACAAIAAgACAAIAAgACAAIAAgACAAIAAgACAAIAAgACAAIAAgACAAIAAgACAAIABcACIAVwBFAEIAUABBAEcARQA6ACAAIAAgACAAIAAgACAAkiFoAHQAdABwAHMAOgAvAC8AYwBvAHIAcABvAHIAYQB0AGUAZgBpAG4AYQBuAGMAZQBpAG4AcwB0AGkAdAB1AHQAZQAuAGMAbwBtAC8AcgBlAHMAbwB1AHIAYwBlAHMALwBhAGMAYwBvAHUAbgB0AGkAbgBnAC8AZwByAG8AcwBzAC0AbQBhAHIAZwBpAG4ALQByAGEAdABpAG8ALw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RwByAG8AcwBzAFAAcgBvAGYAaQB0ACAAIAAgACAAkiEoAFIAZQBxAHUAaQByAGUAZAApACAARwByAG8AcwBzACAAUAByAG8AZgBpAHQAtgBcACIAIAAmACAAXABuACAAIAAgACAAIAAgACAAIAAgACAAIAAgACAAIAAgACAAIAAgACAAIAAgACAAIAAgAFwAIgBOAGUAdABTAGEAbABlAHMAIAAgACAAIAAgACAAIACSISgAUgBlAHEAdQBpAHIAZQBkACkAIABOAGUAdAAgAFMAYQBsAGUAcwAgAG8Acg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2ADEALgA3ADQANAA4ACUAIAAgACAAIAAgACAAIACSIT0AbwB6AC4ARwByAG8AcwBzAE0AYQByAGcAaQBuALsDKAAgADYAMgAuADkAOAA0ACwAIAAxADAAMgAuADAAMAA3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wByAG8AcwBzAFAAcgBvAGYAaQB0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BHAHIAbwBzAHMAUAByAG8AZgBpAHQALwBOAGUAdABTAGEAbA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QgBJAFQARABBAE0AYQByAGcAaQBuALsDXABuACAAIAAgACAARABFAFMAQwBSAEkAUABUAEkATwBOADoAKgAvAC8AKgAqAE0AZQBhAHMAdQByAGUAcwAgAGEAIABjAG8AbQBwAGEAbgB5ACcAcwAgAG8AcABlAHIAYQB0AGkAbgBnACAAcAByAG8AZgBpAHQAIABhAHMAIABhACAAcABlAHIAYwBlAG4AdABhAGcAZQAgAG8AZgAgAGkAdABzACAAcgBlAHYAZQBuAHUAZQAgACgARQBCAEkAVABEAEEALwBUAG8AdABhAGwAIABSAGUAdgBlAG4AdQBlACkALgAqAC8AXABuAEUAQgBJAFQARABBAE0AYQByAGcAaQBuALsDIAA9ACAATABBAE0AQgBEAEEAKABcAG4ALwAvACAAIABQAGEAcgBhAG0AZQB0AGUAcgAgAEQAZQBjAGwAYQByAGEAdABpAG8AbgBzAFwAbgAgACAAIAAgACAAIAAgACAAWwBFAEIASQBUAEQAQQBdACwAIAAgAFwAbgAgACAAIAAgACAAIAAgACAAWwBUAG8AdABhAGwAUgBlAHYAZQBuAHUAZQBdACwAIAAgACAAIABcAG4ALwAvACAAIABIAGUAbABwAFwAbgAgACAAIAAgAEwARQBUACgASABlAGwAcAAsACAAIAAgAFQAUgBJAE0AKABUAEUAWABUAFMAUABMAEkAVAAoACAAXABuACAAIAAgACAAIAAgACAAIAAgACAAIAAgACAAIAAgACAAIAAgACAAIAAgACAAIAAgAFwAIgBGAFUATgBDAFQASQBPAE4AOgAgACAAIAAgACAAIACSIUUAQgBJAFQARABBAE0AYQByAGcAaQBuALsDKAAgAEUAQgBJAFQARABBACwAIABUAG8AdABhAGwAUgBlAHYAZQBuAHUAZQApALYAXAAiACAAJgAgAFwAbgAgACAAIAAgACAAIAAgACAAIAAgACAAIAAgACAAIAAgACAAIAAgACAAIAAgACAAIABcACIARABFAFMAQwBSAEkAUABUAEkATwBOADoAIAAgACAAkiFNAGUAYQBzAHUAcgBlAHMAIABhACAAYwBvAG0AcABhAG4AeQAnAHMAIABvAHAAZQByAGEAdABpAG4AZwAgAHAAcgBvAGYAaQB0ACAAYQBzACAAYQAgAHAAZQByAGMAZQBuAHQAYQBnAGUAIABvAGYAIABpAHQAcwAgAHIAZQB2AGUAbgB1AGUALgC2AFwAIgAgACYAIABcAG4AIAAgACAAIAAgACAAIAAgACAAIAAgACAAIAAgACAAIAAgACAAIAAgACAAIAAgACAAIAAgACAAIAAgACAAIAAgACAAIAAgACAAIAAgACAAXAAiAJIhKABFAEIASQBUAEQAQQAvAFQAbwB0AGEAbAAgAFIAZQB2AGUAbgB1AGUAKQC2AFwAIgAgACYAIABcAG4AIAAgACAAIAAgACAAIAAgACAAIAAgACAAIAAgACAAIAAgACAAIAAgACAAIAAgACAAXAAiAFcARQBCAFAAQQBHAEUAOgAgACAAIAAgACAAIAAgAJIhaAB0AHQAcABzADoALwAvAHcAdwB3AC4AaQBuAHYAZQBzAHQAbwBwAGUAZABpAGEALgBjAG8AbQAvAHQAZQByAG0AcwAvAGUALwBlAGIAaQB0AGQAYQAt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UAQgBJAFQARABBACAAIAAgACAAIAAgACAAIAAgAJIhKABSAGUAcQB1AGkAcgBlAGQAKQAgAEUAYQByAG4AaQBuAGcAcwAgAEIAZQBmAG8AcgBlACAASQBuAHQAZQByAGUAcwB0ACwAIAB0AGEAeAAsACAAZABlAHAAcgBlAGMAaQBhAHQAaQBvAG4ALAAgAGEAbgBkACAAYQBtAG8AcgB0AGkAcwBhAHQAaQBvAG4AtgBcACIAIAAmACAAXABuACAAIAAgACAAIAAgACAAIAAgACAAIAAgACAAIAAgACAAIAAgACAAIAAgACAAIAAgAFwAIgBUAG8AdABhAGwAUgBlAHYAZQBuAHUAZQAgACAAIACSISgAUgBlAHEAdQBpAHIAZQBkACkAIABUAG8AdABhAGw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yACUAIAAgACAAIAAgACAAIAAgACAAIAAgACAAkiE9AG8AegAuAEUAQgBJAFQARABBAE0AYQByAGcAaQBuALsDKAAgADEANQAuADAALAAgADEAMgA1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UAQgBJAFQARABBACkALABcAG4AIAAgACAAIAAgACAAIAAgACAAIAAgACAAIAAgACAAIAAgACAAIAAgACAAIAAgACAAIAAgACAAIABJAFMATwBNAEkAVABUAEUARAAoACAAVABvAHQAYQBsAFIAZQB2AGUAbgB1AGUAKQBcAG4AIAAgACAAIAAgACAAIAAgACAAIAAgACAAIAAgACAAIAAgACAAIAAgACAAIAAgACAAKQAsAFwAbgAgACAAIAAgAC8ALwAgACAAUAByAG8AYwBlAGQAdQByAGUAXABuACAAIAAgACAAIAAgACAAIABSAGUAcwB1AGwAdAAsACAAIAAgACAAIAAgACAAIAAgAEUAQgBJAFQARABBAC8AVABvAHQAYQBs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E0AYQByAGcAaQBuALsDXABuACAAIAAgACAARABFAFMAQwBSAEkAUABUAEkATwBOADoAKgAvAC8AKgAqACAATQBlAGEAcwB1AHIAZQBzACAAaABvAHcAIABtAHUAYwBoACAAcAByAG8AZgBpAHQAIABhACAAYwBvAG0AcABhAG4AeQAgAG0AYQBrAGUAcwAgAG8AbgAgAGEAIABkAG8AbABsAGEAcgAgAG8AZgAgAHMAYQBsAGUAcwAgAGEAZgB0AGUAcgAgAHAAYQB5AGkAbgBnACAAZgBvAHIAIAB2AGEAcgBpAGEAYgBsAGUAIABjAG8AcwB0AHMAIABcAG4AbwBmACAAcAByAG8AZAB1AGMAdABpAG8AbgAsACAAcwB1AGMAaAAgAGEAcwAgAHcAYQBnAGUAcwAgAGEAbgBkACAAcgBhAHcAIABtAGEAdABlAHIAaQBhAGwAcwAsACAAYgB1AHQAIABiAGUAZgBvAHIAZQAgAHAAYQB5AGkAbgBnACAAaQBuAHQAZQByAGUAcwB0ACAAbwByACAAdABhAHgAIAAoAE8AcABlAHIAYQB0AGkAbgBnACAARQBhAHIAbgBpAG4AZwBzAC8AUgBlAHYAZQBuAHUAZQApAC4AKgAvAFwAbgBPAHAAZQByAGEAdABpAG4AZwBNAGEAcgBnAGkAbgC7AyAAPQAgAEwAQQBNAEIARABBACgAXABuAC8ALwAgACAAUABhAHIAYQBtAGUAdABlAHIAIABEAGUAYwBsAGEAcgBhAHQAaQBvAG4AcwBcAG4AIAAgACAAIAAgACAAIAAgAFsATwBwAGUAcgBhAHQAaQBuAGc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0AYQByAGcAaQBuALsDKAAgAE8AcABlAHIAYQB0AGkAbgBnAEUAYQByAG4AaQBuAGcAcwAsACAAUgBlAHYAZQBuAHUAZQApALYAXAAiACAAJgAgAFwAbgAgACAAIAAgACAAIAAgACAAIAAgACAAIAAgACAAIAAgACAAIAAgACAAIAAgACAAIABcACIARABFAFMAQwBSAEkAUABUAEkATwBOADoAIAAgACAAIAAgACAAIACSIU0AZQBhAHMAdQByAGUAcwAgAGgAbwB3ACAAbQB1AGMAaAAgAHAAcgBvAGYAaQB0ACAAYQAgAGMAbwBtAHAAYQBuAHkAIABtAGEAawBlAHMAIABvAG4AIABhACAAZABvAGwAbABhAHIAIABvAGYAIABzAGEAbABlAHMAIABhAGYAdABlAHIAIABwAGEAeQBpAG4AZwC2AFwAIgAgACYAIABcAG4AIAAgACAAIAAgACAAIAAgACAAIAAgACAAIAAgACAAIAAgACAAIAAgACAAIAAgACAAIAAgACAAIAAgACAAIAAgACAAIAAgACAAIAAgACAAIAAgACAAIABcACIAkiFmAG8AcgAgAHYAYQByAGkAYQBiAGwAZQAgAGMAbwBzAHQAcwAgAG8AZgAgAHAAcgBvAGQAdQBjAHQAaQBvAG4ALAAgAHMAdQBjAGgAIABhAHMAIAB3AGEAZwBlAHMAIABhAG4AZAAgAHIAYQB3ACAAbQBhAHQAZQByAGkAYQBsAHMALAAgAGIAdQB0ACAAtgBcACIAIAAmACAAXABuACAAIAAgACAAIAAgACAAIAAgACAAIAAgACAAIAAgACAAIAAgACAAIAAgACAAIAAgACAAIAAgACAAIAAgACAAIAAgACAAIAAgACAAIAAgACAAIAAgACAAXAAiAJIhYgBlAGYAbwByAGUAIABwAGEAeQBpAG4AZwAgAGkAbgB0AGUAcgBlAHMAdAAgAG8AcgAgAHQAYQB4ACAAKABPAHAAZQByAGEAdABpAG4AZwAgAEUAYQByAG4AaQBuAGcAcwAvAFIAZQB2AGUAbgB1AGUAKQAuALYAXAAiACAAJgAgAFwAbgAgACAAIAAgACAAIAAgACAAIAAgACAAIAAgACAAIAAgACAAIAAgACAAIAAgACAAIABcACIAVwBFAEIAUABBAEcARQA6ACAAIAAgACAAIAAgACAAIAAgACAAIACSIWgAdAB0AHAAcwA6AC8ALwB3AHcAdwAuAGkAbgB2AGUAcwB0AG8AcABlAGQAaQBhAC4AYwBvAG0ALwB0AGUAcgBtAHMALwBvAC8AbwBwAGUAcgBhAHQAaQBuAGcAbQBhAHIAZwBpAG4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PAHAAZQByAGEAdABpAG4AZwBFAGEAcgBuAGkAbgBnAHMAIAAgAJIhKABSAGUAcQB1AGkAcgBlAGQAKQAgAEUAYQByAG4AaQBuAGcAcwAgAEIAZQBmAG8AcgBlACAASQBuAHQAZQByAGUAcwB0ACAAYQBuAGQAIAB0AGEAeAAgACgARQBCAEkAVAApACAAdwBoAGkAYwBoACAAaQBzACAAcgBlAHYAZQBuAHUAZQAgAC0AIABDAE8ARwBTALYAXAAiACAAJgAgAFwAbgAgACAAIAAgACAAIAAgACAAIAAgACAAIAAgACAAIAAgACAAIAAgACAAIAAgACAAIABcACIAUgBlAHYAZQBuAHUAZQAgACAAIAAgACAAIAAgACAAIAAgACAAIACSISgAUgBlAHEAdQBpAHIAZQBkACkAIABSAGUAdgBlAG4AdQBl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DAAJQAgACAAIAAgACAAIAAgACAAIAAgACAAIAAgACAAIAAgAJIhPQBvAHoALgBPAHAAZQByAGEAdABpAG4AZwBNAGEAcgBnAGkAbgC7AygAIAAuADgALAAgADI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wBwAGUAcgBhAHQAaQBuAGc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UAdABhAHgATQBhAHIAZwBpAG4AuwNcAG4AIAAgACAAIABEAEUAUwBDAFIASQBQAFQASQBPAE4AOgAqAC8ALwAqACoATQBlAGEAcwB1AHIAZQBzACAAdABoAGUAIABvAHAAZQByAGEAdABpAG4AZwAgAGUAZgBmAGkAYwBpAGUAbgBjAHkAIABvAGYAIABhACAAYwBvAG0AcABhAG4AeQAgACgAUAByAGUAdABhAHgAIABFAGEAcgBuAGkAbgBnAHMALwBSAGUAdgBlAG4AdQBlACkALgAqAC8AXABuAFAAcgBlAHQAYQB4AE0AYQByAGcAaQBuALsDIAA9ACAATABBAE0AQgBEAEEAKABcAG4ALwAvACAAIABQAGEAcgBhAG0AZQB0AGUAcgAgAEQAZQBjAGwAYQByAGEAdABpAG8AbgBzAFwAbgAgACAAIAAgACAAIAAgACAAWwBQAHIAZQB0AGEAeA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VAAcgBlAHQAYQB4AE0AYQByAGcAaQBuALsDKAAgAFAAcgBlAHQAYQB4AEUAYQByAG4AaQBuAGcAcwAsACAAUgBlAHYAZQBuAHUAZQApALYAXAAiACAAJgAgAFwAbgAgACAAIAAgACAAIAAgACAAIAAgACAAIAAgACAAIAAgACAAIAAgACAAIAAgACAAIABcACIARABFAFMAQwBSAEkAUABUAEkATwBOADoAIAAgACAAkiFNAGUAYQBzAHUAcgBlAHMAIAB0AGgAZQAgAG8AcABlAHIAYQB0AGkAbgBnACAAZQBmAGYAaQBjAGkAZQBuAGMAeQAgAG8AZgAgAGEAIABjAG8AbQBwAGEAbgB5ACAAKABQAHIAZQB0AGEAeAAgAEUAYQByAG4AaQBuAGcAcwAvAFIAZQB2AGUAbgB1AGUAKQAuALYAXAAiACAAJgAgAFwAbgAgACAAIAAgACAAIAAgACAAIAAgACAAIAAgACAAIAAgACAAIAAgACAAIAAgACAAIABcACIAVwBFAEIAUABBAEcARQA6ACAAIAAgACAAIAAgACAAkiFoAHQAdABwAHMAOgAvAC8AdwB3AHcALgBpAG4AdgBlAHMAdABvAHAAZQBkAGkAYQAuAGMAbwBtAC8AdABlAHIAbQBzAC8AcAAvAHAAcgBlAHQAYQB4AC0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UAByAGUAdABhAHgARQBhAHIAbgBpAG4AZwBzACAAkiEoAFIAZQBxAHUAaQByAGUAZAApACAARQBhAHIAbgBpAG4AZwBzACAAYgBlAGYAbwByAGUAIAB0AGEAeAAgACgARQBCAFQAKQ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4ACUAIAAgACAAIAAgACAAIAAgACAAIAAgACAAIACSIT0AbwB6AC4AUAByAGUAdABhAHgATQBhAHIAZwBpAG4AuwMoACAANAAwAC4AMAAsACAAN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AByAGUAdABhAHg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UAByAGUAdABhAHg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gBlAHQAUAByAG8AZgBpAHQATQBhAHIAZwBpAG4AuwNcAG4AIAAgACAAIABEAEUAUwBDAFIASQBQAFQASQBPAE4AOgAqAC8ALwAqACoATQBlAGEAcwB1AHIAZQBzACAAaABvAHcAIABtAHUAYwBoACAAbgBlAHQAIABpAG4AYwBvAG0AZQAgAG8AcgAgAHAAcgBvAGYAaQB0ACAAYQAgAGMAbwBtAHAAYQBuAHkAIABnAGUAbgBlAHIAYQB0AGUAcwAgAGEAcwAgAGEAIABwAGUAcgBjAGUAbgB0AGEAZwBlACAAbwBmACAAaQB0AHMAIAByAGUAdgBlAG4AdQBlAC4AIABcAG4AKABOAGUAdAAgAEkAbgBjAG8AbQBlAC8AUgBlAHYAZQBuAHUAZQApAC4AKgAvAFwAbgBOAGUAdABQAHIAbwBmAGkAdABNAGEAcgBnAGkAbgC7AyAAPQAgAEwAQQBNAEIARABBACgAXABuAC8ALwAgACAAUABhAHIAYQBtAGUAdABlAHIAIABEAGUAYwBsAGEAcgBhAHQAaQBvAG4AcwBcAG4AIAAgACAAIAAgACAAIAAgAFsATgBlAHQASQBuAGMAbwBtAGU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4AZQB0AFAAcgBvAGYAaQB0AE0AYQByAGcAaQBuALsDKAAgAE4AZQB0AEkAbgBjAG8AbQBlACwAIABSAGUAdgBlAG4AdQBlACkAtgBcACIAIAAmACAAXABuACAAIAAgACAAIAAgACAAIAAgACAAIAAgACAAIAAgACAAIAAgACAAIAAgACAAIAAgAFwAIgBEAEUAUwBDAFIASQBQAFQASQBPAE4AOgAgACAAIACSIU0AZQBhAHMAdQByAGUAcwAgAGgAbwB3ACAAbQB1AGMAaAAgAG4AZQB0ACAAaQBuAGMAbwBtAGUAIABvAHIAIABwAHIAbwBmAGkAdAAgAGEAIABjAG8AbQBwAGEAbgB5ACAAZwBlAG4AZQByAGEAdABlAHMAIABhAHMAIABhACAAtgBcACIAIAAmACAAXABuACAAIAAgACAAIAAgACAAIAAgACAAIAAgACAAIAAgACAAIAAgACAAIAAgACAAIAAgACAAIAAgACAAIAAgACAAIAAgACAAIAAgACAAIAAgAFwAIgCSIXAAZQByAGMAZQBuAHQAYQBnAGUAIABvAGYAIABpAHQAcwAgAHIAZQB2AGUAbgB1AGUALgAgACgATgBlAHQAIABJAG4AYwBvAG0AZQAvAFIAZQB2AGUAbgB1AGUAKQC2AFwAIgAgACYAIABcAG4AIAAgACAAIAAgACAAIAAgACAAIAAgACAAIAAgACAAIAAgACAAIAAgACAAIAAgACAAXAAiAFcARQBCAFAAQQBHAEUAOgAgACAAIAAgACAAIAAgAJIhaAB0AHQAcABzADoALwAvAHcAdwB3AC4AaQBuAHYAZQBzAHQAbwBwAGUAZABpAGEALgBjAG8AbQAvAHQAZQByAG0AcwAvAG4ALwBuAGUAdABf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IABpAG4AYwBsAHUAZABlAHMAOgC2AFwAIgAgACYAIABcAG4AIAAgACAAIAAgACAAIAAgACAAIAAgACAAIAAgACAAIAAgACAAIAAgACAAIAAgACAAIAAgACAAIAAgACAAIAAgACAAIAAgACAAIAAgACAAXAAiAJIhUgBlAHYAZQBuAHUAZQC2AFwAIgAgACYAIABcAG4AIAAgACAAIAAgACAAIAAgACAAIAAgACAAIAAgACAAIAAgACAAIAAgACAAIAAgACAAIAAgACAAIAAgACAAIAAgACAAIAAgACAAIAAgACAAXAAiAJIhTABlAHMAcwAgAEMATwBHAFMAtgBcACIAIAAmACAAXABuACAAIAAgACAAIAAgACAAIAAgACAAIAAgACAAIAAgACAAIAAgACAAIAAgACAAIAAgACAAIAAgACAAIAAgACAAIAAgACAAIAAgACAAIAAgAFwAIgCSIUwAZQBzAHMAIABPAHAAZQByAGEAdABpAG4AZwAgAGEAbgBkACAAbwB0AGgAZQByACAAZQB4AHAAZQBuAHMAZQBzALYAXAAiACAAJgAgAFwAbgAgACAAIAAgACAAIAAgACAAIAAgACAAIAAgACAAIAAgACAAIAAgACAAIAAgACAAIAAgACAAIAAgACAAIAAgACAAIAAgACAAIAAgACAAIABcACIAkiFMAGUAcwBzACAASQBuAHQAZQByAGUAcwB0ALYAXAAiACAAJgAgAFwAbgAgACAAIAAgACAAIAAgACAAIAAgACAAIAAgACAAIAAgACAAIAAgACAAIAAgACAAIAAgACAAIAAgACAAIAAgACAAIAAgACAAIAAgACAAIABcACIAkiFMAGUAcwBzACAAVABhAHgAZQBz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UANgAlACAAIAAgACAAIAAgACAAIAAgACAAIAAgAJIhPQBvAHoALgBOAGUAdABQAHIAbwBmAGkAdABNAGEAcgBnAGkAbgC7AygAIAA1ADY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4AZQB0AEkAbgBjAG8AbQBl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EMAYQBzAGgARgBsAG8AdwBNAGEAcgBnAGkAbgC7A1wAbgAgACAAIAAgAEQARQBTAEMAUgBJAFAAVABJAE8ATgA6ACoALwAvACoAKgBDAGEAcwBoACAARgBsAG8AdwAgAE0AYQByAGcAaQBuACAAaQBzACAAYQAgAHQAcgB1AHMAdABlAGQAIABtAGUAdAByAGkAYwAgAG8AZgAgAGEAIABjAG8AbQBwAGEAbgB5ABkgcwAgAHAAcgBvAGYAaQB0AGEAYgBpAGwAaQB0AHkAIABhAG4AZAAgAGUAZgBmAGkAYwBpAGUAbgBjAHkAIABcAG4AYQBuAGQAIABpAHQAcwAgAGUAYQByAG4AaQBuAGcAcwAgAHEAdQBhAGwAaQB0AHkAIAAoAEMAYQBzAGgAIABGAGwAbwB3ACAARgByAG8AbQAgAE8AcABlAHIAYQB0AGkAbgBnACAAQQBjAHQAaQB2AGkAdABpAGUAcwAvAFIAZQB2AGUAbgB1AGUAKQAuACoALwBcAG4AQwBhAHMAaABGAGwAbwB3AE0AYQByAGcAaQBuALsDIAA9ACAATABBAE0AQgBEAEEAKABcAG4ALwAvACAAIABQAGEAcgBhAG0AZQB0AGUAcgAgAEQAZQBjAGwAYQByAGEAdABpAG8AbgBzAFwAbgAgACAAIAAgACAAIAAgACAAWwBDAGEAcwBoAEYAbABvAHcARgByAG8AbQBPAHAAZQByAGEAdABpAG4AZwBBAGMAdABpAHYAaQB0AGkAZQ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DAGEAcwBoAEYAbABvAHcATQBhAHIAZwBpAG4AuwMoACAAQwBhAHMAaABGAGwAbwB3AEYAcgBvAG0ATwBwAGUAcgBhAHQAaQBuAGcAQQBjAHQAaQB2AGkAdABpAGUAcwAsACAAUgBlAHYAZQBuAHUAZQApALYAXAAiACAAJgAgAFwAbgAgACAAIAAgACAAIAAgACAAIAAgACAAIAAgACAAIAAgACAAIAAgACAAIAAgACAAIABcACIARABFAFMAQwBSAEkAUABUAEkATwBOADoAIAAgACAAkiFDAGEAcwBoACAARgBsAG8AdwAgAE0AYQByAGcAaQBuACAAaQBzACAAYQAgAHQAcgB1AHMAdABlAGQAIABtAGUAdAByAGkAYwAgAG8AZgAgAGEAIABjAG8AbQBwAGEAbgB5ABkgcwAgAHAAcgBvAGYAaQB0AGEAYgBpAGwAaQB0AHkAIAC2AFwAIgAgACYAIABcAG4AIAAgACAAIAAgACAAIAAgACAAIAAgACAAIAAgACAAIAAgACAAIAAgACAAIAAgACAAIAAgACAAIAAgACAAIAAgACAAIAAgACAAIAAgACAAXAAiAJIhYQBuAGQAIABlAGYAZgBpAGMAaQBlAG4AYwB5ACAAYQBuAGQAIABpAHQAcwAgAGUAYQByAG4AaQBuAGcAcwAgAHEAdQBhAGwAaQB0AHkAIAC2AFwAIgAgACYAIABcAG4AIAAgACAAIAAgACAAIAAgACAAIAAgACAAIAAgACAAIAAgACAAIAAgACAAIAAgACAAIAAgACAAIAAgACAAIAAgACAAIAAgACAAIAAgACAAXAAiAJIhKABDAGEAcwBoACAARgBsAG8AdwAgAEYAcgBvAG0AIABPAHAAZQByAGEAdABpAG4AZwAgAEEAYwB0AGkAdgBpAHQAaQBlAHMALwBSAGUAdgBlAG4AdQBlACkALgC2AFwAIgAgACYAIABcAG4AIAAgACAAIAAgACAAIAAgACAAIAAgACAAIAAgACAAIAAgACAAIAAgACAAIAAgACAAXAAiAFcARQBCAFAAQQBHAEUAOgAgACAAIAAgACAAIAAgAJIhaAB0AHQAcABzADoALwAvAHcAdwB3AC4AaQBuAHYAZQBzAHQAbwBwAGUAZABpAGEALgBjAG8AbQAvAHQAZQByAG0AcwAvAG8ALwBvAHAAZQByAGEAdABpAG4AZwAtAGMAYQBzAGgALQBmAGwAbwB3AC0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wBhAHMAaABGAGwAbwB3AEYAcgBvAG0ATwBwAGUAcgBhAHQAaQBuAGcAQQBjAHQAaQB2AGkAdABpAGUAcwCSISgAUgBlAHEAdQBpAHIAZQBkACkAIABDAGEAcwBoACAARgBsAG8AdwAgAEYAcgBvAG0AIABPAHAAZQByAGEAdABpAG4AZwAgAEEAYwB0AGkAdgBpAHQAaQBlAHMAIABpAG4AYwBsAHUAZABlAHMAOgC2AFwAIgAgACYAIABcAG4AIAAgACAAIAAgACAAIAAgACAAIAAgACAAIAAgACAAIAAgACAAIAAgACAAIAAgACAAIAAgACAAIAAgACAAIAAgACAAIAAgACAAIAAgACAAXAAiAJIhTgBlAHQAIABJAG4AYwBvAG0AZQC2AFwAIgAgACYAIABcAG4AIAAgACAAIAAgACAAIAAgACAAIAAgACAAIAAgACAAIAAgACAAIAAgACAAIAAgACAAIAAgACAAIAAgACAAIAAgACAAIAAgACAAIAAgACAAXAAiAJIhTgBvAG4ALQBjAGEAcwBoACAARQB4AHAAZQBuAHMAZQBzACAAKABEAGUAcAByAGUAYwBpAGEAdABpAG8AbgAgAGEAbgBkACAAQQBtAG8AcgB0AGkAcwBhAHQAaQBvAG4AKQC2AFwAIgAgACYAIABcAG4AIAAgACAAIAAgACAAIAAgACAAIAAgACAAIAAgACAAIAAgACAAIAAgACAAIAAgACAAIAAgACAAIAAgACAAIAAgACAAIAAgACAAIAAgACAAXAAiAJIhQwBoAGEAbgBnAGUAIABpAG4AIABXAG8AcgBrAGkAbgBnACAAQwBhAHAAaQB0AGEAbA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1ADAALgA4ACUAIAAgACAAIAAgACAAIAAgACAAIACSIT0AbwB6AC4AQwBhAHMAaABGAGwAbwB3AE0AYQByAGcAaQBuALsDKAAgADIALgA2ADkANQAsACAANQAuADM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EYAbABvAHcARgByAG8AbQBPAHAAZQByAGEAdABpAG4AZwBBAGMAdABpAHYAaQB0AGkAZQ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QwBhAHMAaABGAGwAbwB3AEYAcgBvAG0ATwBwAGUAcgBhAHQAaQBuAGcAQQBjAHQAaQB2AGkAdABpAGU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BALsDXABuACAAIAAgACAARABFAFMAQwBSAEkAUABUAEkATwBOADoAKgAvAC8AKgAqAFIAZQB0AHUAcgBuACAAbwBuACAAYQBzAHMAZQB0AHMAIAAoAFIATwBBACkAIAByAGEAdABpAG8AIABpAG4AZABpAGMAYQB0AGUAcwAgAGgAbwB3ACAAcAByAG8AZgBpAHQAYQBiAGwAZQAgAGEAIABjAG8AbQBwAGEAbgB5ACAAaQBzACAAXABuAGkAbgAgAHIAZQBsAGEAdABpAG8AbgAgAHQAbwAgAGkAdABzACAAdABvAHQAYQBsACAAYQBzAHMAZQB0AHMAIAAoACAATgBlAHQAIABJAG4AYwBvAG0AZQAgAC8AIABUAG8AdABhAGwAIABBAHMAcwBlAHQAcwApACAAKgAvAFwAbgBSAE8AQQC7AyAAPQAgAEwAQQBNAEIARABBACgAXABuAC8ALwAgACAAUABhAHIAYQBtAGUAdABlAHIAIABEAGUAYwBsAGEAcgBhAHQAaQBvAG4AcwBcAG4AIAAgACAAIAAgACAAIAAgAFsATgBlAHQASQBuAGMAbwBtAGU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UgBPAEEAuwMoACAATgBlAHQASQBuAGMAbwBtAGUALAAgAFQAbwB0AGEAbABBAHMAcwBlAHQAcwApALYAXAAiACAAJgAgAFwAbgAgACAAIAAgACAAIAAgACAAIAAgACAAIAAgACAAIAAgACAAIAAgACAAIAAgACAAIABcACIARABFAFMAQwBSAEkAUABUAEkATwBOADoAIAAgACAAkiFSAGUAdAB1AHIAbgAgAG8AbgAgAGEAcwBzAGUAdABzACAAcgBhAHQAaQBvACAAaQBuAGQAaQBjAGEAdABlAHMAIABoAG8AdwAgAHAAcgBvAGYAaQB0AGEAYgBsAGUAIABhACAAYwBvAG0AcABhAG4AeQAgAGkAcwAgALYAXAAiACAAJgAgAFwAbgAgACAAIAAgACAAIAAgACAAIAAgACAAIAAgACAAIAAgACAAIAAgACAAIAAgACAAIAAgACAAIAAgACAAIAAgACAAIAAgACAAIAAgACAAIABcACIAkiFpAG4AIAByAGUAbABhAHQAaQBvAG4AIAB0AG8AIABpAHQAcwAgAHQAbwB0AGEAbAAgAGEAcwBzAGUAdABzACAAKAAgAE4AZQB0ACAASQBuAGMAbwBtAGUAIAAvACAAVABvAHQAYQBsACAAQQBzAHMAZQB0AHMAKQC2AFwAIgAgACYAIABcAG4AIAAgACAAIAAgACAAIAAgACAAIAAgACAAIAAgACAAIAAgACAAIAAgACAAIAAgACAAXAAiAFcARQBCAFAAQQBHAEUAOgAgACAAIAAgACAAIAAgAJIhaAB0AHQAcABzADoALwAvAHcAdwB3AC4AaQBuAHYAZQBzAHQAbwBwAGUAZABpAGEALgBjAG8AbQAvAHQAZQByAG0AcwAvAHIALwByAGUAdAB1AHIAbgBvAG4AYQBzAHMAZQB0AHM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C2AFwAIgAgACYAIABcAG4AIAAgACAAIAAgACAAIAAgACAAIAAgACAAIAAgACAAIAAgACAAIAAgACAAIAAgACAAXAAiAFQAbwB0AGEAbABBAHMAcwBlAHQAcwAgACAAIAAgAJIhKABSAGUAcQB1AGkAcgBlAGQAKQAgAFQAbwB0AGEAbAAgAEEAcwBzAGUAdABz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OAAlACAAIAAgACAAIAAgACAAIAAgACAAIAAgACAAkiE9AG8AegAuAFIATwBBALsDKAAxADIAMAAwACwAIAAxADU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SQBuAGMAbwBtAGU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FALsDXABuACAAIAAgACAARABFAFMAQwBSAEkAUABUAEkATwBOADoAKgAvAC8AKgAqAFIAZQB0AHUAcgBuACAAbwBuACAAZQBxAHUAaQB0AHkAIAAoAFIATwBFACkAIAByAGEAdABpAG8AIABpAHMAIABhACAAbQBlAGEAcwB1AHIAZQAgAG8AZgAgAGYAaQBuAGEAbgBjAGkAYQBsACAAcABlAHIAZgBvAHIAbQBhAG4AYwBlACAAKABOAGUAdAAgAEkAbgBjAG8AbQBlAC8AUwBoAGEAcgBlAGgAbwBsAGQAZQByAHMAIABFAHEAdQBpAHQAeQApACoALwBcAG4AUgBPAEUAuwMgAD0AIABMAEEATQBCAEQAQQAoAFwAbgAvAC8AIAAgAFAAYQByAGEAbQBlAHQAZQByACAARABlAGMAbABhAHIAYQB0AGkAbwBuAHMAXABuACAAIAAgACAAIAAgACAAIABbAE4AZQB0AEkAbgBjAG8AbQBl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SAE8ARQC7AygAIABOAGUAdABJAG4AYwBvAG0AZQAsACAAUwBoAGEAcgBlAGgAbwBsAGQAZQByAHMARQBxAHUAaQB0AHkAKQC2AFwAIgAgACYAIABcAG4AIAAgACAAIAAgACAAIAAgACAAIAAgACAAIAAgACAAIAAgACAAIAAgACAAIAAgACAAXAAiAEQARQBTAEMAUgBJAFAAVABJAE8ATgA6ACAAIAAgACAAIAAgACAAkiFSAGUAdAB1AHIAbgAgAG8AbgAgAGUAcQB1AGkAdAB5ACAAcgBhAHQAaQBvACAAaQBzACAAYwBvAG4AcwBpAGQAZQByAGUAZAAgAGEAIABnAGEAdQBnAGUAIABvAGYAIABhACAAYwBvAHIAcABvAHIAYQB0AGkAbwBuACcAcwAgALYAXAAiACAAJgAgAFwAbgAgACAAIAAgACAAIAAgACAAIAAgACAAIAAgACAAIAAgACAAIAAgACAAIAAgACAAIAAgACAAIAAgACAAIAAgACAAIAAgACAAIAAgACAAIAAgACAAIAAgAFwAIgCSIXAAcgBvAGYAaQB0AGEAYgBpAGwAaQB0AHkAIABhAG4AZAAgAGgAbwB3ACAAZQBmAGYAaQBjAGkAZQBuAHQAIABpAHQAIABpAHMAIABpAG4AIABnAGUAbgBlAHIAYQB0AGkAbgBnACAAcAByAG8AZgBpAHQAcwC2AFwAIgAgACYAIABcAG4AIAAgACAAIAAgACAAIAAgACAAIAAgACAAIAAgACAAIAAgACAAIAAgACAAIAAgACAAIAAgACAAIAAgACAAIAAgACAAIAAgACAAIAAgACAAIAAgACAAIABcACIAkiEoAE4AZQB0ACAASQBuAGMAbwBtAGUALwAgAEEAdgBlAHIAYQBnAGUAIABTAGgAYQByAGUAaABvAGwAZABlAHIAcwAnACAARQBxAHUAaQB0AHkAKQC2AFwAIgAgACYAXABuACAAIAAgACAAIAAgACAAIAAgACAAIAAgACAAIAAgACAAIAAgACAAIAAgACAAIAAgAFwAIgBXAEUAQgBQAEEARwBFADo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TAGgAYQByAGUAaABvAGwAZABlAHIAcwBFAHEAdQBpAHQAeQAgAJIhKABSAGUAcQB1AGkAcgBlAGQAKQAgAEEAdgBlAHIAYQBnAGUAIABTAGgAYQByAGUAaABvAGwAZABlAHIAcwAnACAARQBxAHUAaQB0AHkAIABmAHIAbwBtACAAcABlAHIAaQBvAGQAIABvAHAAZQBuACAAYQBuAGQAIABjAGwAbwBzAGU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zAC4ANgAyADEAMwAlACAAIAAgACAAIAAgACAAIAAgACAAIACSIT0AbwB6AC4AUgBPAEUAuwMoACAANQA5AC4AOQA3ADIALAAgAEEAVgBFAFIAQQBHAEUAKAAyADUAMQAuADYAMwA1ACwAIAAyADUANgAuADEANAA0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OAGUAdABJAG4AYwBvAG0AZQ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C7A1wAbgAgACAAIAAgAEQARQBTAEMAUgBJAFAAVABJAE8ATgA6ACoALwAvACoAKgBSAGUAdAB1AHIAbgAgAG8AbgAgAEkAbgB2AGUAcwB0AG0AZQBuAHQAIAAoAFIATwBJACkAIAByAGEAdABpAG8AIAAgAG0AZQBhAHMAdQByAGUAcwAgAHQAaABlACAAcAByAG8AZgBpAHQAYQBiAGkAbABpAHQAeQAgAG8AZgAgAGEAbgAgAGkAbgB2AGUAcwB0AG0AZQBuAHQAIABiAHkAIABjAG8AbQBwAGEAcgBpAG4AZwAgAFwAbgB0AGgAZQAgAGcAYQBpAG4AIABvAHIAIABsAG8AcwBzACAAdABvACAAaQB0AHMAIABjAG8AcwB0ACAAKABOAGUAdAAgAFIAZQB0AHUAcgBuACAAbwBuACAASQBuAHYAZQBzAHQAbQBlAG4AdAAvAEMAbwBzAHQAIABvAGYAIABJAG4AdgBlAHMAdABtAGUAbgB0ACkALgAqAC8AXABuAFIATwBJALsDIAA9ACAATABBAE0AQgBEAEEAKABcAG4ALwAvACAAIABQAGEAcgBhAG0AZQB0AGUAcgAgAEQAZQBjAGwAYQByAGEAdABpAG8AbgBzAFwAbgAgACAAIAAgACAAIAAgACAAWwBOAGUAdABSAGUAdAB1AHIAbgBvAG4ASQBuAHYAZQBzAHQAbQBlAG4AdABdACwAIAAgAFwAbgAgACAAIAAgACAAIAAgACAAWwBDAG8AcwB0AG8AZgBJAG4AdgBlAHMAdABtAGUAbgB0AF0ALAAgACAAIAAgAFwAbgAvAC8AIAAgAEgAZQBsAHAAXABuACAAIAAgACAATABFAFQAKABIAGUAbABwACwAIAAgACAAVABSAEkATQAoAFQARQBYAFQAUwBQAEwASQBUACgAIABcAG4AIAAgACAAIAAgACAAIAAgACAAIAAgACAAIAAgACAAIAAgACAAIAAgACAAIAAgACAAXAAiAEYAVQBOAEMAVABJAE8ATgA6ACAAIAAgACAAIAAgACAAIAAgACAAIAAgACAAIACSIVIATwBJALsDKAAgAE4AZQB0AFIAZQB0AHUAcgBuAG8AbgBJAG4AdgBlAHMAdABtAGUAbgB0ACwAIABDAG8AcwB0AG8AZgBJAG4AdgBlAHMAdABtAGUAbgB0ACkAtgBcACIAIAAmACAAXABuACAAIAAgACAAIAAgACAAIAAgACAAIAAgACAAIAAgACAAIAAgACAAIAAgACAAIAAgAFwAIgBEAEUAUwBDAFIASQBQAFQASQBPAE4AOgAgACAAIAAgACAAIAAgACAAIAAgACAAkiFSAGUAdAB1AHIAbgAgAG8AbgAgAEkAbgB2AGUAcwB0AG0AZQBuAHQAIAAoAFIATwBJACkAIAByAGEAdABpAG8AIAAgAG0AZQBhAHMAdQByAGUAcwAgAHQAaABlACAAcAByAG8AZgBpAHQAYQBiAGkAbABpAHQAeQAgAG8AZgC2AFwAIgAgACYAIABcAG4AIAAgACAAIAAgACAAIAAgACAAIAAgACAAIAAgACAAIAAgACAAIAAgACAAIAAgACAAIAAgACAAIAAgACAAIAAgACAAIAAgACAAIAAgACAAIAAgACAAIAAgACAAIAAgAFwAIgCSIWEAbgAgAGkAbgB2AGUAcwB0AG0AZQBuAHQAIABiAHkAIABjAG8AbQBwAGEAcgBpAG4AZwAgAHQAaABlACAAZwBhAGkAbgAgAG8AcgAgAGwAbwBzAHMAIAB0AG8AIABpAHQAcwAgAGMAbwBzAHQALgAgALYAXAAiACAAJgAgAFwAbgAgACAAIAAgACAAIAAgACAAIAAgACAAIAAgACAAIAAgACAAIAAgACAAIAAgACAAIAAgACAAIAAgACAAIAAgACAAIAAgACAAIAAgACAAIAAgACAAIAAgACAAIAAgACAAXAAiAJIhKABOAGUAdAAgAFIAZQB0AHUAcgBuACAAbwBuACAASQBuAHYAZQBzAHQAbQBlAG4AdAAvAEMAbwBzAHQAIABvAGYAIABJAG4AdgBlAHMAdABtAGUAbgB0ACkAtgBcACIAIAAmACAAXABuACAAIAAgACAAIAAgACAAIAAgACAAIAAgACAAIAAgACAAIAAgACAAIAAgACAAIAAgAFwAIgBXAEUAQgBQAEEARwBFADoAIAAgACAAIAAgACAAIAAgACAAIAAgACAAIAAgACAAkiFoAHQAdABwAHMAOgAvAC8AdwB3AHcALgBpAG4AdgBlAHMAdABvAHAAZQBkAGkAYQAuAGMAbwBtAC8AdABlAHIAbQBzAC8AcgAvAHIAZQB0AHUAcgBuAG8AbgBpAG4AdgBlAHMAdABtAGUAbgB0AC4AYQBzAHAAIAC2AFwAIgAgACYAXABuACAAIAAgACAAIAAgACAAIAAgACAAIAAgACAAIAAgACAAIAAgACAAIAAgACAAIAAgAFwAIgBWAEUAUgBTAEkATwBOADoAIAAgACAAIA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SAGUAdAB1AHIAbgBvAG4ASQBuAHYAZQBzAHQAbQBlAG4AdAAgACAAkiEoAFIAZQBxAHUAaQByAGUAZAApACAATgBlAHQAIABSAGUAdAB1AHIAbgAgAG8AbgAgAEkAbgB2AGUAcwB0AG0AZQBuAHQAIABpAHMAIAB0AGgAZQAgALYAXAAiACAAJgAgAFwAbgAgACAAIAAgACAAIAAgACAAIAAgACAAIAAgACAAIAAgACAAIAAgACAAIAAgACAAIAAgACAAIAAgACAAIAAgACAAIAAgACAAIAAgACAAIAAgACAAIAAgACAAIAAgACAAXAAiAJIhZgBpAG4AYQBsACAAdgBhAGwAdQBlACAAbwBmACAAaQBuAHYAZQBzAHQAbQBlAG4AdAAgAC0AIABpAG4AaQB0AGkAYQBsACAAdgBhAGwAdQBlACAAbwBmACAAaQBuAHYAZQBzAHQAbQBlAG4AdAC2AFwAIgAgACYAIABcAG4AIAAgACAAIAAgACAAIAAgACAAIAAgACAAIAAgACAAIAAgACAAIAAgACAAIAAgACAAXAAiAEMAbwBzAHQAbwBmAEkAbgB2AGUAcwB0AG0AZQBuAHQAIAAgACAAIAAgACAAIACSISgAUgBlAHEAdQBpAHIAZQBkACkAIABDAG8AcwB0ACAAbwBmACAASQBuAHYAZQBzAHQAbQBlAG4AdAAgALYAXAAiACAAJgAgAFwAbgAgACAAIAAgACAAIAAgACAAIAAgACAAIAAgACAAIAAgACAAIAAgACAAIAAgACAAIABcACIARQBYAEEATQBQAEwARQBTADoAIAAgACAAIAAgACAAIAAgACAAIAAgACAAIAAgAJIhRgBvAHIAbQB1AGwAYQAgACgAbwB6ACAAaQBzACAAYQBzAHMAdQBtAGUAZAAgAHQAbwAgAGIAZQAgAHQAaABlACAAbQBvAGQAdQBsAGUAJwBzACAAbgBhAG0AZQApALYAXAAiACAAJgBcAG4AIAAgACAAIAAgACAAIAAgACAAIAAgACAAIAAgACAAIAAgACAAIAAgACAAIAAgACAAXAAiADIAOAAuADcANQAlACAAIAAgACAAIAAgACAAIAAgACAAIAAgACAAIAAgACAAIACSIT0AbwB6AC4AUgBPAEkAuwMoACAAMgA4ADcANQAsACAAMQAw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gBlAHQAdQByAG4AbwBuAEkAbgB2AGUAcwB0AG0AZQBuAHQAKQAsAFwAbgAgACAAIAAgACAAIAAgACAAIAAgACAAIAAgACAAIAAgACAAIAAgACAAIAAgACAAIAAgACAAIAAgAEkAUwBPAE0ASQBUAFQARQBEACgAIABDAG8AcwB0AG8AZgBJAG4AdgBlAHMAdABtAGUAbgB0ACkAXABuACAAIAAgACAAIAAgACAAIAAgACAAIAAgACAAIAAgACAAIAAgACAAIAAgACAAIAAgACkALABcAG4AIAAgACAAIAAvAC8AIAAgAFAAcgBvAGMAZQBkAHUAcgBlAFwAbgAgACAAIAAgACAAIAAgACAAUgBlAHMAdQBsAHQALAAgACAAIAAgACAAIAAgACAAIABOAGUAdABSAGUAdAB1AHIAbgBvAG4ASQBuAHYAZQBzAHQAbQBlAG4AdAAvAEMAbwBzAHQAbwBmAEkAbgB2AGUAcwB0AG0AZQBuAH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EMAuwNcAG4AIAAgACAAIABEAEUAUwBDAFIASQBQAFQASQBPAE4AOgAqAC8ALwAqACoAUgBlAHQAdQByAG4AIABvAG4AIABJAG4AdgBlAHMAdABlAGQAIABjAGEAcABpAHQAYQBsACAAIABhAHMAcwBlAHMAcwBlAHMAIABhACAAYwBvAG0AcABhAG4AeQAZIHMAIABlAGYAZgBpAGMAaQBlAG4AYwB5ACAAaQBuACAAYQBsAGwAbwBjAGEAdABpAG4AZwAgAFwAbgBjAGEAcABpAHQAYQBsACAAdABvACAAcAByAG8AZgBpAHQAYQBiAGwAZQAgAGkAbgB2AGUAcwB0AG0AZQBuAHQAcwAgACgATgBlAHQAIABPAHAAZQByAGEAdABpAG4AZwAgAFAAcgBvAGYAaQB0ACAAQQBmAHQAZQByACAAVABhAHgALwBJAG4AdgBlAHMAdABlAGQAIABDAGEAcABpAHQAYQBsACkAIAAqAC8AXABuAFIATwBJAEMAuwMgAD0AIABMAEEATQBCAEQAQQAoAFwAbgAvAC8AIAAgAFAAYQByAGEAbQBlAHQAZQByACAARABlAGMAbABhAHIAYQB0AGkAbwBuAHMAXABuACAAIAAgACAAIAAgACAAIABbAE4AZQB0AE8AcABlAHIAYQB0AGkAbgBnAFAAcgBvAGYAaQB0AEEAZgB0AGUAcgBUAGEAeABdACwAIAAgAFwAbgAgACAAIAAgACAAIAAgACAAWwBJAG4AdgBlAHMAdABlAGQAQwBhAHAAaQB0AGEAbABdACwAIAAgACAAIABcAG4ALwAvACAAIABIAGUAbABwAFwAbgAgACAAIAAgAEwARQBUACgASABlAGwAcAAsACAAIAAgAFQAUgBJAE0AKABUAEUAWABUAFMAUABMAEkAVAAoACAAXABuACAAIAAgACAAIAAgACAAIAAgACAAIAAgACAAIAAgACAAIAAgACAAIAAgACAAIAAgAFwAIgBGAFUATgBDAFQASQBPAE4AOgAgACAAIAAgACAAIACSIVIATwBJAEMAuwMoACAATgBlAHQATwBwAGUAcgBhAHQAaQBuAGcAUAByAG8AZgBpAHQAQQBmAHQAZQByAFQAYQB4ACwAIABJAG4AdgBlAHMAdABlAGQAQwBhAHAAaQB0AGEAbAApALYAXAAiACAAJgAgAFwAbgAgACAAIAAgACAAIAAgACAAIAAgACAAIAAgACAAIAAgACAAIAAgACAAIAAgACAAIABcACIARABFAFMAQwBSAEkAUABUAEkATwBOADoAIAAgACAAkiFSAGUAdAB1AHIAbgAgAG8AbgAgAEkAbgB2AGUAcwB0AGUAZAAgAGMAYQBwAGkAdABhAGwAIAAgAGEAcwBzAGUAcwBzAGUAcwAgAGEAIABjAG8AbQBwAGEAbgB5ABkgcwAgAGUAZgBmAGkAYwBpAGUAbgBjAHkAIABpAG4AIABhAGwAbABvAGMAYQB0AGkAbgBnACAAtgBcACIAIAAmAFwAbgAgACAAIAAgACAAIAAgACAAIAAgACAAIAAgACAAIAAgACAAIAAgACAAIAAgACAAIAAgACAAIAAgACAAIAAgACAAIAAgACAAIAAgACAAIABcACIAkiFjAGEAcABpAHQAYQBsACAAdABvACAAcAByAG8AZgBpAHQAYQBiAGwAZQAgAGkAbgB2AGUAcwB0AG0AZQBuAHQAcwAgACgATgBlAHQAIABPAHAAZQByAGEAdABpAG4AZwAgAFAAcgBvAGYAaQB0ACAAQQBmAHQAZQByACAAVABhAHgALwBJAG4AdgBlAHMAdABlAGQAIABDAGEAcABpAHQAYQBsACkAtgBcACIAIAAmACAAXABuACAAIAAgACAAIAAgACAAIAAgACAAIAAgACAAIAAgACAAIAAgACAAIAAgACAAIAAgAFwAIgBXAEUAQgBQAEEARwBFADoAIAAgACAAIAAgACAAIACSIWgAdAB0AHAAcwA6AC8ALwB3AHcAdwAuAGkAbgB2AGUAcwB0AG8AcABlAGQAaQBhAC4AYwBvAG0ALwB0AGUAcgBtAHMALwByAC8AcgBlAHQAdQByAG4AbwBuAGkAbgB2AGUAcwB0AG0AZQBuAHQAYwBhAHAAaQB0AGEAbA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PAHAAZQByAGEAdABpAG4AZwBQAHIAbwBmAGkAdABBAGYAdABlAHIAVABhAHgAkiEoAFIAZQBxAHUAaQByAGUAZAApACAATgBlAHQAIABPAHAAZQByAGEAdABpAG4AZwAgAHAAcgBvAGYAaQB0ACAAYQBmAHQAZQByACAAVABhAHgAIABbACAAbwBwAGUAcgBhAHQAaQBuAGcAIABwAHIAbwBmAGkAdAAgAHgAIAAoADEAIAAtACAAZQBmAGYAZQBjAHQAaQB2AGUAIAB0AGEAeAAgAHIAYQB0AGUAKQAgAF0ALgC2AFwAIgAgACYAIABcAG4AIAAgACAAIAAgACAAIAAgACAAIAAgACAAIAAgACAAIAAgACAAIAAgACAAIAAgACAAXAAiAEkAbgB2AGUAcwB0AGUAZABDAGEAcABpAHQAYQBsAJIhKABSAGUAcQB1AGkAcgBlAGQAKQAgAEkAbgB2AGUAcwB0AGUAZAAgAEMAYQBwAGkAdABhAGwAIAAoAEQAZQBiAHQAIAArACAARQBxAHUAaQB0AHkAKQAu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yAC4ANgAxADIAMgAlACAAIAAgACAAIAAgACAAkiE9AG8AegAuAFIATwBJAEMAuwMoACAAMwAyADQANQAsACAAMgA1ADcAMgA5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UAByAG8AZgBpAHQAQQBmAHQAZQByAFQAYQB4ACkALABcAG4AIAAgACAAIAAgACAAIAAgACAAIAAgACAAIAAgACAAIAAgACAAIAAgACAAIAAgACAAIAAgACAAIABJAFMATwBNAEkAVABUAEUARAAoACAASQBuAHYAZQBzAHQAZQBkAEMAYQBwAGkAdABhAGwAKQBcAG4AIAAgACAAIAAgACAAIAAgACAAIAAgACAAIAAgACAAIAAgACAAIAAgACAAIAAgACAAKQAsAFwAbgAgACAAIAAgAC8ALwAgACAAUAByAG8AYwBlAGQAdQByAGUAXABuACAAIAAgACAAIAAgACAAIABSAGUAcwB1AGwAdAAsACAAIAAgACAAIAAgACAAIAAgAE4AZQB0AE8AcABlAHIAYQB0AGkAbgBnAFAAcgBvAGYAaQB0AEEAZgB0AGUAcgBUAGEAeAAvAEkAbgB2AGUAcwB0AGUAZA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0AYQByAGsAZQB0ACAAVgBhAGwAdQBlACAAUgBhAHQAaQBvAHMAXABuAFwAbgBcAG4AIABcAG4ALwAqACAAIABGAFUATgBDAFQASQBPAE4AIABOAEEATQBFADoAIAAgAFAAcgBpAGMAZQBFAGEAcgBuAGkAbgBnAHMAUgBhAHQAaQBvALsDXABuACAAIAAgACAARABFAFMAQwBSAEkAUABUAEkATwBOADoAKgAvAC8AKgAqAFAAcgBpAGMAZQAtAGUAYQByAG4AaQBuAGcAcwAgAFIAYQB0AGkAbwAgAG0AZQBhAHMAdQByAGUAcwAgAGEAIABjAG8AbQBwAGEAbgB5ACcAcwAgAHMAaABhAHIAZQAgAHAAcgBpAGMAZQAgAHIAZQBsAGEAdABpAHYAZQAgAHQAbwAgAFwAbgBpAHQAcwAgAGUAYQByAG4AaQBuAGcAcwAgAHAAZQByACAAcwBoAGEAcgBlACAAKABTAGgAYQByAGUAIABQAHIAaQBjAGUALwBFAGEAcgBuAGkAbgBnAHMAIABQAGUAcgAgAFMAaABhAHIAZQApAC4AKgAvAFwAbgBQAHIAaQBjAGUARQBhAHIAbgBpAG4AZwBzAFIAYQB0AGkAbwC7AyAAPQAgAEwAQQBNAEIARABBACgAXABuAC8ALwAgACAAUABhAHIAYQBtAGUAdABlAHIAIABEAGUAYwBsAGEAcgBhAHQAaQBvAG4AcwBcAG4AIAAgACAAIAAgACAAIAAgAFsAUwBoAGEAcgBlAFAAcgBpAGMAZQBdACwAIAAgAFwAbgAgACAAIAAgACAAIAAgACAAWwBFAGEAcgBuAGkAbgBn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RQBhAHIAbgBpAG4AZwBzAFIAYQB0AGkAbwC7AygAIABTAGgAYQByAGUAUAByAGkAYwBlACwAIABFAGEAcgBuAGkAbgBnAHMAUABlAHIAUwBoAGEAcgBlACkAtgBcACIAIAAmACAAXABuACAAIAAgACAAIAAgACAAIAAgACAAIAAgACAAIAAgACAAIAAgACAAIAAgACAAIAAgAFwAIgBEAEUAUwBDAFIASQBQAFQASQBPAE4AOgAgACAAIAAgACAAIAAgAJIhUAByAGkAYwBlAC0AZQBhAHIAbgBpAG4AZwBzACAAUgBhAHQAaQBvACAAbQBlAGEAcwB1AHIAZQBzACAAYQAgAGMAbwBtAHAAYQBuAHkAJwBzACAAcwBoAGEAcgBlACAAcAByAGkAYwBlACAAcgBlAGwAYQB0AGkAdgBlACAAdABvACAAtgBcACIAIAAmACAAXABuACAAIAAgACAAIAAgACAAIAAgACAAIAAgACAAIAAgACAAIAAgACAAIAAgACAAIAAgACAAIAAgACAAIAAgACAAIAAgACAAIAAgACAAIAAgACAAIAAgACAAXAAiAJIhaQB0AHMAIABlAGEAcgBuAGkAbgBnAHMAIABwAGUAcgAgAHMAaABhAHIAZQAgACgAUwBoAGEAcgBlACAAUAByAGkAYwBlAC8ARQBhAHIAbgBpAG4AZw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ZQBhAHIAbgBpAG4AZwBz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FMAaABhAHIAZQBQAHIAaQBjAGUAIAAgACAAIAAgACAAIAAgACAAkiEoAFIAZQBxAHUAaQByAGUAZAApACAAUwBoAGEAcgBlACAAUAByAGkAYwBlACAAKABNAGEAcgBrAGUAdAAgAFYAYQBsAHUAZQAgAFAAZQByACAAUwBoAGEAcgBlACkAIAC2AFwAIgAgACYAIABcAG4AIAAgACAAIAAgACAAIAAgACAAIAAgACAAIAAgACAAIAAgACAAIAAgACAAIAAgACAAXAAiAEUAYQByAG4AaQBuAGcAcwBQAGUAcgBTAGgAYQByAGUAIAAgACAAkiEoAFIAZQBxAHUAaQByAGUAZAApACAARQBhAHIAbgBpAG4AZwBzACAAUABlAHIAIABTAGgAYQBy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EANAAuADMAOQA4ADgAMQAgACAAIAAgACAAIAAgACAAIAAgACAAkiE9AG8AegAuAFAAcgBpAGMAZQBFAGEAcgBuAGkAbgBnAHMAUgBhAHQAaQBvALsDKAAgADIANAAyAC4ANgAyACwAIAAxADYALgA4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EUAYQByAG4AaQBuAGcAcwBQAGUAcgBTAGgAYQByAGUAKQBcAG4AIAAgACAAIAAgACAAIAAgACAAIAAgACAAIAAgACAAIAAgACAAIAAgACAAIAAgACAAKQAsAFwAbgAgACAAIAAgAC8ALwAgACAAUAByAG8AYwBlAGQAdQByAGUAXABuACAAIAAgACAAIAAgACAAIABSAGUAcwB1AGwAdAAsACAAIAAgACAAIAAgACAAIAAgAFMAaABhAHIAZQBQAHIAaQBjAGUALwBFAGEAcgBuAGkAbgBnAHMAUABlAHIAUwBoAGEAcg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aQBjAGUAVABvAEIAbwBvAGsAUgBhAHQAaQBvALsDXABuACAAIAAgACAARABFAFMAQwBSAEkAUABUAEkATwBOADoAKgAvAC8AKgAqAE0AYQBuAHkAIABpAG4AdgBlAHMAdABvAHIAcwAgAHUAcwBlACAAdABoAGUAIABwAHIAaQBjAGUALQB0AG8ALQBiAG8AbwBrACAAcgBhAHQAaQBvACAAKABQAC8AQgAgAHIAYQB0AGkAbwApACAAdABvACAAYwBvAG0AcABhAHIAZQAgAGEAIABmAGkAcgBtACcAcwAgAG0AYQByAGsAZQB0ACAAXABuAGMAYQBwAGkAdABhAGwAaQBzAGEAdABpAG8AbgAgAHQAbwAgAGkAdABzACAAYgBvAG8AawAgAHYAYQBsAHUAZQAgAGEAbgBkACAAbABvAGMAYQB0AGUAIAB1AG4AZABlAHIAdgBhAGwAdQBlAGQAIABjAG8AbQBwAGEAbgBpAGUAcwAuACAAKgAvAFwAbgBQAHIAaQBjAGUAVABvAEIAbwBvAGsAUgBhAHQAaQBvALsDIAA9ACAATABBAE0AQgBEAEEAKABcAG4ALwAvACAAIABQAGEAcgBhAG0AZQB0AGUAcgAgAEQAZQBjAGwAYQByAGEAdABpAG8AbgBzAFwAbgAgACAAIAAgACAAIAAgACAAWwBNAGEAcgBrAGUAdABQAHIAaQBjAGUAUABlAHIAUwBoAGEAcgBlAF0ALAAgACAAXABuACAAIAAgACAAIAAgACAAIABbAEIAbwBvAGsAVgBhAGwAdQBl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CAG8AbwBrAFIAYQB0AGkAbwC7AygAIABNAGEAcgBrAGUAdABQAHIAaQBjAGUAUABlAHIAUwBoAGEAcgBlACwAIABCAG8AbwBrAFYAYQBsAHUAZQBQAGUAcgBTAGgAYQByAGUAKQC2AFwAIgAgACYAIABcAG4AIAAgACAAIAAgACAAIAAgACAAIAAgACAAIAAgACAAIAAgACAAIAAgACAAIAAgACAAXAAiAEQARQBTAEMAUgBJAFAAVABJAE8ATgA6ACAAIAAgACAAIAAgACAAkiFNAGEAbgB5ACAAaQBuAHYAZQBzAHQAbwByAHMAIAB1AHMAZQAgAHQAaABlACAAcAByAGkAYwBlAC0AdABvAC0AYgBvAG8AawAgAHIAYQB0AGkAbwAgACgAUAAvAEIAIAByAGEAdABpAG8AKQAgAHQAbwAgAGMAbwBtAHAAYQByAGUAIABhACAAtgBcACIAIAAmACAAXABuACAAIAAgACAAIAAgACAAIAAgACAAIAAgACAAIAAgACAAIAAgACAAIAAgACAAIAAgACAAIAAgACAAIAAgACAAIAAgACAAIAAgACAAIAAgACAAIAAgACAAXAAiAJIhZgBpAHIAbQAnAHMAIABtAGEAcgBrAGUAdAAgAGMAYQBwAGkAdABhAGwAaQBzAGEAdABpAG8AbgAgAHQAbwAgAGkAdABzACAAYgBvAG8AawAgAHYAYQBsAHUAZQAgAGEAbgBkACAAbABvAGMAYQB0AGUAIAB1AG4AZABlAHIAdgBhAGwAdQBlAGQAIABjAG8AbQBwAGEAbgBpAGUAcwAuALYAXAAiACAAJgAgAFwAbgAgACAAIAAgACAAIAAgACAAIAAgACAAIAAgACAAIAAgACAAIAAgACAAIAAgACAAIAAgACAAIAAgACAAIAAgACAAIAAgACAAIAAgACAAIAAgACAAIAAgAFwAIgCSISgATQBhAHIAawBlAHQAIABQAHIAaQBjAGUAIABQAGUAcgAgAFMAaABhAHIAZQAvAEIAbwBvAGsAIABWAGEAbAB1AGUAIABQAGUAcgAgAFMAaABhAHIAZQApALYAXAAiACAAJgAgAFwAbgAgACAAIAAgACAAIAAgACAAIAAgACAAIAAgACAAIAAgACAAIAAgACAAIAAgACAAIABcACIAVwBFAEIAUABBAEcARQA6ACAAIAAgACAAIAAgACAAIAAgACAAIACSIWgAdAB0AHAAcwA6AC8ALwB3AHcAdwAuAGkAbgB2AGUAcwB0AG8AcABlAGQAaQBhAC4AYwBvAG0ALwB0AGUAcgBtAHMALwBwAC8AcAByAGkAYwBlAC0AdABvAC0AYgBvAG8Aa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CAG8AbwBrAFYAYQBsAHUAZQBQAGUAcgBTAGgAYQByAGUAIAAgAJIhKABSAGUAcQB1AGkAcgBlAGQAKQAgAEIAbwBvAGsAIABWAGEAbAB1AGUAIABQAGUAcgAgAHMAaABhAHIAZQAgALYAXAAiACAAJgAgAFwAbgAgACAAIAAgACAAIAAgACAAIAAgACAAIAAgACAAIAAgACAAIAAgACAAIAAgACAAIAAgACAAIAAgACAAIAAgACAAIAAgACAAIAAgACAAIAAgACAAIAAgAFwAIgCSISgAVABvAHQAYQBsACAAYQBzAHMAZQB0AHMAIAAtACAAaQBuAHQAYQBuAGcAaQBiAGwAZQAgAGEAcwBzAGUAdABzACAALQAgAHQAbwB0AGEAbAAgAGwAaQBhAGIAaQBsAGkAdABpAGUAcwApACAA9wAgAG4AdQBtAGIAZQByACAAbwBmACAAbwB1AHQAcwB0AGEAbgBkAGkAbgBnACAAcwBoAGEAcgBlAHM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uADAAIAAgACAAIAAgACAAIAAgACAAIAAgACAAIAAgACAAIACSIT0AbwB6AC4AUAByAGkAYwBlAFQAbwBCAG8AbwBrAFIAYQB0AGkAbwC7AygAIAA1ACwAIAAyAC4AN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IAbwBvAGsAVgBhAGwAdQBlAFAAZQByAFMAaABhAHIAZQApAFwAbgAgACAAIAAgACAAIAAgACAAIAAgACAAIAAgACAAIAAgACAAIAAgACAAIAAgACAAIAApACwAXABuACAAIAAgACAALwAvACAAIABQAHIAbwBjAGUAZAB1AHIAZQBcAG4AIAAgACAAIAAgACAAIAAgAFIAZQBzAHUAbAB0ACwAIAAgACAAIAAgACAAIAAgACAATQBhAHIAawBlAHQAUAByAGkAYwBlAFAAZQByAFMAaABhAHIAZQAvAEIAbwBvAGsAVgBhAGwAdQBl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UwBhAGwAZQBzAFIAYQB0AGkAbwC7A1wAbgAgACAAIAAgAEQARQBTAEMAUgBJAFAAVABJAE8ATgA6ACoALwAvACoAKgBQAHIAaQBjAGUAIAB0AG8AIABTAGEAbABlAHMAIAAoAFAALwBTACkAIABSAGEAdABpAG8AIABpAHMAIABhAG4AIABpAG4AZABpAGMAYQB0AG8AcgAgAG8AZgAgAHQAaABlACAAdgBhAGwAdQBlACAAdABoAGEAdAAgAGYAaQBuAGEAbgBjAGkAYQBsACAAbQBhAHIAawBlAHQAcwAgAGgAYQB2AGUAIABcAG4AcABsAGEAYwBlAGQAIABvAG4AIABlAGEAYwBoACAAZABvAGwAbABhAHIAIABvAGYAIABhACAAYwBvAG0AcABhAG4AeQAnAHMAIABzAGEAbABlAHMAIABvAHIAIAByAGUAdgBlAG4AdQBlAHMAIAAoAE0AYQByAGsAZQB0ACAAUAByAGkAYwBlACAAUABlAHIAIABTAGgAYQByAGUALwBTAGEAbABlAHMAIABQAGUAcgAgAFMAaABhAHIAZQApAC4AIAAqAC8AXABuAFAAcgBpAGMAZQBUAG8AUwBhAGwAZQBzAFIAYQB0AGkAbwC7AyAAPQAgAEwAQQBNAEIARABBACgAXABuAC8ALwAgACAAUABhAHIAYQBtAGUAdABlAHIAIABEAGUAYwBsAGEAcgBhAHQAaQBvAG4AcwBcAG4AIAAgACAAIAAgACAAIAAgAFsATQBhAHIAawBlAHQAUAByAGkAYwBlAFAAZQByAFMAaABhAHIAZQBdACwAIAAgAFwAbgAgACAAIAAgACAAIAAgACAAWwBTAGEAbABl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FMAYQBsAGUAcwBSAGEAdABpAG8AuwMoACAATQBhAHIAawBlAHQAUAByAGkAYwBlAFAAZQByAFMAaABhAHIAZQAsACAAUwBhAGwAZQBzAFAAZQByAFMAaABhAHIAZQApALYAXAAiACAAJgAgAFwAbgAgACAAIAAgACAAIAAgACAAIAAgACAAIAAgACAAIAAgACAAIAAgACAAIAAgACAAIABcACIARABFAFMAQwBSAEkAUABUAEkATwBOADoAIAAgACAAIAAgACAAIACSIVAAcgBpAGMAZQAgAHQAbwAgAFMAYQBsAGUAcwAgACgAUAAvAFMAKQAgAFIAYQB0AGkAbwAgAGkAcwAgAGEAbgAgAGkAbgBkAGkAYwBhAHQAbwByACAAbwBmACAAdABoAGUAIAB2AGEAbAB1AGUAIAB0AGgAYQB0ACAAZgBpAG4AYQBuAGMAaQBhAGwAIABtAGEAcgBrAGUAdABzACAAaABhAHYAZQC2AFwAIgAgACYAIABcAG4AIAAgACAAIAAgACAAIAAgACAAIAAgACAAIAAgACAAIAAgACAAIAAgACAAIAAgACAAIAAgACAAIAAgACAAIAAgACAAIAAgACAAIAAgACAAIAAgACAAIABcACIAkiFwAGwAYQBjAGUAZAAgAG8AbgAgAGUAYQBjAGgAIABkAG8AbABsAGEAcgAgAG8AZgAgAGEAIABjAG8AbQBwAGEAbgB5ACcAcwAgAHMAYQBsAGUAcwAgAG8AcgAgAHIAZQB2AGUAbgB1AGUAcwAgACgATQBhAHIAawBlAHQAIABQAHIAaQBjAGUAIABQAGUAcgAgAFMAaABhAHIAZQAvAFMAYQBsAGU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HMAYQBsAGUAc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TAGEAbABlAHMAUABlAHIAUwBoAGEAcgBlACAAIAAgACAAIAAgAJIhKABSAGUAcQB1AGkAcgBlAGQAKQAgAEEAbgBuAHUAYQBsACAAUwBhAGwAZQBzACAAUABlAHIAIABTAGgAYQByAGUAIAAoAFIAZQB2AGUAbgB1AGUAIABwAHIAaQBvAHIAIAAxADIAIABtAG8AbgB0AGg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LgA1ADUAIAAgACAAIAAgACAAIAAgACAAIAAgACAAIAAgACAAkiE9AG8AegAuAFAAcgBpAGMAZQBUAG8AUwBhAGwAZQBzAFIAYQB0AGkAbwC7AygAIAA0ADUANQ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TAGEAbABlAHMAUABlAHIAUwBoAGEAcgBlACkAXABuACAAIAAgACAAIAAgACAAIAAgACAAIAAgACAAIAAgACAAIAAgACAAIAAgACAAIAAgACkALABcAG4AIAAgACAAIAAvAC8AIAAgAFAAcgBvAGMAZQBkAHUAcgBlAFwAbgAgACAAIAAgACAAIAAgACAAUgBlAHMAdQBsAHQALAAgACAAIAAgACAAIAAgACAAIABNAGEAcgBrAGUAdABQAHIAaQBjAGUAUABlAHIAUwBoAGEAcgBlAC8AUwBhAGwAZQBz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QwBhAHMAaABSAGEAdABpAG8AuwNcAG4AIAAgACAAIABEAEUAUwBDAFIASQBQAFQASQBPAE4AOgAqAC8ALwAqACoAUAByAGkAYwBlACAAdABvACAAQwBhAHMAaAAgACgAUAAvAEMARgApACAAUgBhAHQAaQBvACAAaQBzACAAYQAgAHMAdABvAGMAawAgAHYAYQBsAHUAYQB0AGkAbwBuACAAaQBuAGQAaQBjAGEAdABvAHIAIABvAHIAIABtAHUAbAB0AGkAcABsAGUAIAB0AGgAYQB0ACAAbQBlAGEAcwB1AHIAZQBzACAAXABuAHQAaABlACAAdgBhAGwAdQBlACAAbwBmACAAYQAgAHMAdABvAGMAawAZIHMAIABwAHIAaQBjAGUAIAByAGUAbABhAHQAaQB2AGUAIAB0AG8AIABpAHQAcwAgAG8AcABlAHIAYQB0AGkAbgBnACAAYwBhAHMAaAAgAGYAbABvAHcAIABwAGUAcgAgAHMAaABhAHIAZQAgAFwAbgAoAE0AYQByAGsAZQB0ACAAUAByAGkAYwBlACAAUABlAHIAIABTAGgAYQByAGUALwBPAHAAZQByAGEAdABpAG4AZwAgAEMAYQBzAGgAIABGAGwAbwB3ACAAUABlAHIAIABTAGgAYQByAGUAKQAuACAAKgAvAFwAbgBQAHIAaQBjAGUAVABvAEMAYQBzAGgAUgBhAHQAaQBvALsDIAA9ACAATABBAE0AQgBEAEEAKABcAG4ALwAvACAAIABQAGEAcgBhAG0AZQB0AGUAcgAgAEQAZQBjAGwAYQByAGEAdABpAG8AbgBzAFwAbgAgACAAIAAgACAAIAAgACAAWwBNAGEAcgBrAGUAdABQAHIAaQBjAGUAUABlAHIAUwBoAGEAcgBlAF0ALAAgACAAXABuACAAIAAgACAAIAAgACAAIABbAE8AcABlAHIAYQB0AGkAbgBnAEMAYQBzAGgARgBsAG8Ad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wBhAHMAaABSAGEAdABpAG8AuwMoACAATQBhAHIAawBlAHQAUAByAGkAYwBlAFAAZQByAFMAaABhAHIAZQAsACAATwBwAGUAcgBhAHQAaQBuAGcAQwBhAHMAaABGAGwAbwB3AFAAZQByAFMAaABhAHIAZQApALYAXAAiACAAJgAgAFwAbgAgACAAIAAgACAAIAAgACAAIAAgACAAIAAgACAAIAAgACAAIAAgACAAIAAgACAAIABcACIARABFAFMAQwBSAEkAUABUAEkATwBOADoAIAAgACAAIAAgACAAIACSIVAAcgBpAGMAZQAgAHQAbwAgAEMAYQBzAGgAIAAoAFAALwBDAEYAKQAgAFIAYQB0AGkAbwAgACAAaQBzACAAYQAgAHMAdABvAGMAawAgAHYAYQBsAHUAYQB0AGkAbwBuACAAaQBuAGQAaQBjAGEAdABvAHIAIABvAHIAIABtAHUAbAB0AGkAcABsAGUAIAB0AGgAYQB0ACAAtgBcACIAIAAmACAAXABuACAAIAAgACAAIAAgACAAIAAgACAAIAAgACAAIAAgACAAIAAgACAAIAAgACAAIAAgACAAIAAgACAAIAAgACAAIAAgACAAIAAgACAAIAAgACAAIAAgACAAXAAiAJIhbQBlAGEAcwB1AHIAZQBzACAAdABoAGUAIAB2AGEAbAB1AGUAIABvAGYAIABhACAAcwB0AG8AYwBrABkgcwAgAHAAcgBpAGMAZQAgAHIAZQBsAGEAdABpAHYAZQAgAHQAbwAgAGkAdABzACAAbwBwAGUAcgBhAHQAaQBuAGcAIABjAGEAcwBoACAAZgBsAG8AdwAgALYAXAAiACAAJgAgAFwAbgAgACAAIAAgACAAIAAgACAAIAAgACAAIAAgACAAIAAgACAAIAAgACAAIAAgACAAIAAgACAAIAAgACAAIAAgACAAIAAgACAAIAAgACAAIAAgACAAIAAgAFwAIgCSIXAAZQByACAAcwBoAGEAcgBlACAAKABNAGEAcgBrAGUAdAAgAFAAcgBpAGMAZQAgAFAAZQByACAAUwBoAGEAcgBlAC8ATwBwAGUAcgBhAHQAaQBuAGcAIABDAGEAcwBoACAARgBsAG8Ad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GMAYQBzAGgALQBmAGwAbwB3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8AcABlAHIAYQB0AGkAbgBnAEMAYQBzAGgARgBsAG8AdwBQAGUAcgBTAGgAYQByAGUAkiEoAFIAZQBxAHUAaQByAGUAZAApACAATwBwAGUAcgBhAHQAaQBuAGcAIABDAGEAcwBoACAARgBsAG8AdwAgAGYAbwByACAAcAByAGkAbwByACAAMQAyACAAbQBvAG4AdABoAHMALwBTAGgAYQByAGUAcwAgAG8AdQB0AHMAdABhAG4AZABpAG4AZw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AgACAAIAAgAJIhPQBvAHoALgBQAHIAaQBjAGUAVABvAEMAYQBzAGgAUgBhAHQAaQBvALsDKAAgADIAMAAw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8AcABlAHIAYQB0AGkAbgBnAEMAYQBzAGgARgBsAG8AdwBQAGUAcgBTAGgAYQByAGUAKQBcAG4AIAAgACAAIAAgACAAIAAgACAAIAAgACAAIAAgACAAIAAgACAAIAAgACAAIAAgACAAKQAsAFwAbgAgACAAIAAgAC8ALwAgACAAUAByAG8AYwBlAGQAdQByAGUAXABuACAAIAAgACAAIAAgACAAIABSAGUAcwB1AGwAdAAsACAAIAAgACAAIAAgACAAIAAgAE0AYQByAGsAZQB0AFAAcgBpAGMAZQBQAGUAcgBTAGgAYQByAGUALwBPAHAAZQByAGEAdABpAG4AZwBDAGEAcwBoAEYAbABvAHc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gBWAFAAUwC7A1wAbgAgACAAIAAgAEQARQBTAEMAUgBJAFAAVABJAE8ATgA6ACoALwAvACoAKgBCAG8AbwBrACAAdgBhAGwAdQBlACAAcABlAHIAIABzAGgAYQByAGUAIAByAGEAdABpAG8AIABpAHMAIABhAG4AIABpAG4AZABpAGMAYQB0AG8AcgAgAG8AZgAgAHQAaABlACAAdgBhAGwAdQBlACAAbwBmACAAYQAgAGMAbwBtAHAAYQBuAHkAGSBzACAAcwB0AG8AYwBrACAAXABuACgAUwBoAGEAcgBlAGgAbwBsAGQAZQByAHMAJwAgAEUAcQB1AGkAdAB5ACAALQAgAFAAcgBlAGYAZQByAHIAZQBkACAAUwB0AG8AYwBrACkALwBBAHYAZQByAGEAZwBlACAAUwBoAGEAcgBlAHMAIABPAHUAdABzAHQAYQBuAGQAaQBuAGcAKQAgACoALwBcAG4AQgBWAFAAUwC7AyAAPQAgAEwAQQBNAEIARABBACgAXABuAC8ALwAgACAAUABhAHIAYQBtAGUAdABlAHIAIABEAGUAYwBsAGEAcgBhAHQAaQBvAG4AcwBcAG4AIAAgACAAIAAgACAAIAAgAFsAUwBoAGEAcgBlAGgAbwBsAGQAZQByAHMARQBxAHUAaQB0AHkAXQAsACAAXABuACAAIAAgACAAIAAgACAAIABbAFAAcgBlAGYAZQByAHIAZQBkAFMAdABvAGMAawBdACAALABcAG4AIAAgACAAIAAgACAAIAAgAFsAQQB2AGUAcgBhAGcAZQ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IAVgBQAFMAuwMoACAAUwBoAGEAcgBlAGgAbwBsAGQAZQByAHMARQBxAHUAaQB0AHkALAAgAFAAcgBlAGYAZQByAHIAZQBkAFMAdABvAGMAawAsACAAQQB2AGUAcgBhAGcAZQBTAGgAYQByAGUAcwBPAHUAdABzAHQAYQBuAGQAaQBuAGcAIAApALYAXAAiACAAJgAgAFwAbgAgACAAIAAgACAAIAAgACAAIAAgACAAIAAgACAAIAAgACAAIAAgACAAIAAgACAAIABcACIARABFAFMAQwBSAEkAUABUAEkATwBOADoAIAAgACAAIAAgACAAIACSIUIAbwBvAGsAIAB2AGEAbAB1AGUAIABwAGUAcgAgAHMAaABhAHIAZQAgAHIAYQB0AGkAbwAgAGkAcwAgAGEAbgAgAGkAbgBkAGkAYwBhAHQAbwByACAAbwBmACAAdABoAGUAIAB2AGEAbAB1AGUAIABvAGYAIABhACAAYwBvAG0AcABhAG4AeQAZIHMAIABzAHQAbwBjAGsAtgBcACIAIAAmACAAXABuACAAIAAgACAAIAAgACAAIAAgACAAIAAgACAAIAAgACAAIAAgACAAIAAgACAAIAAgACAAIAAgACAAIAAgACAAIAAgACAAIAAgACAAIAAgACAAIAAgACAAXAAiAJIhKABTAGgAYQByAGUAaABvAGwAZABlAHIAcwAnACAARQBxAHUAaQB0AHkAIAAtACAAUAByAGUAZgBlAHIAcgBlAGQAIABTAHQAbwBjAGsAKQAvAEEAdgBlAHIAYQBnAGUAIABTAGgAYQByAGUAcwAgAE8AdQB0AHMAdABhAG4AZABpAG4AZwApALYAXAAiACAAJgAgAFwAbgAgACAAIAAgACAAIAAgACAAIAAgACAAIAAgACAAIAAgACAAIAAgACAAIAAgACAAIABcACIAVwBFAEIAUABBAEcARQA6ACAAIAAgACAAIAAgACAAIAAgACAAIACSIWgAdAB0AHAAcwA6AC8ALwBjAG8AcgBwAG8AcgBhAHQAZQBmAGkAbgBhAG4AYwBlAGkAbgBzAHQAaQB0AHUAdABlAC4AYwBvAG0ALwByAGUAcwBvAHUAcgBjAGUAcwAvAHYAYQBsAHUAYQB0AGkAbwBuAC8AYgBvAG8AawAtAHYAYQBsAHUAZQAtAHAAZQByAC0AcwBoAGEAcgBlAC0AYgB2AHAAcwAv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UAByAGUAZgBlAHIAcgBlAGQAUwB0AG8AYwBrACAAIAAgACAAIACSISgAUgBlAHEAdQBpAHIAZQBkACkAIABQAHIAZQBmAGUAcgByAGUAZAAgAFMAdABvAGMAawAgACgAcwBlAGMAdQByAGkAdABpAGUAcwAgAHQAaABhAHQAIAByAGUAcAByAGUAcwBlAG4AdAAgAG8AdwBuAGUAcgBzAGgAaQBwACAAaQBuACAAYQAgAGMAbwByAHAAbwByAGEAdABpAG8AbgApAC4AtgBcACIAIAAmACAAXABuACAAIAAgACAAIAAgACAAIAAgACAAIAAgACAAIAAgACAAIAAgACAAIAAgACAAIAAgAFwAIgBBAHYAZQByAGEAZwBlAFMAaABhAHIAZQBzAE8AdQB0AHMAdABhAG4AZABpAG4AZwCSISgAUgBlAHEAdQBpAHIAZQBkACkAIABBAHYAZQByAGEAZwBlACAAUwBoAGEAcgBlAHMAIABPAHUAdAAgAFMAdABhAG4AZABpAG4AZw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1ACAAIAAgACAAIAAgACAAIAAgACAAIAAgACAAIAAgACAAIAAgAJIhPQBvAHoALgBCAFYAUABTALsDKAAyADAALgAwACwAIAA1AC4AMAAsACAAQQBWAEUAUgBBAEcARQAoACAAMgAuADkALAAgADMALgAx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EEAdgBlAHIAYQBnAGUAUwBoAGEAcgBlAHMATwB1AHQAcwB0AGEAbgBkAGkAbgBnACkAXABuACAAIAAgACAAIAAgACAAIAAgACAAIAAgACAAIAAgACAAIAAgACAAIAAgACAAIAAgACkALABcAG4AIAAgACAAIAAvAC8AIAAgAFAAcgBvAGMAZQBkAHUAcgBlAFwAbgAgACAAIAAgACAAIAAgACAAUgBlAHMAdQBsAHQALAAgACAAIAAgACAAIAAgACAAIAAoAFMAaABhAHIAZQBoAG8AbABkAGUAcgBzAEUAcQB1AGkAdAB5ACAALQAgAFAAcgBlAGYAZQByAHIAZQBkAFMAdABvAGMAawApAC8AQQB2AGUAcgBhAGcAZQ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MAQQBQAEUAUgBhAHQAaQBvALsDXABuACAAIAAgACAARABFAFMAQwBSAEkAUABUAEkATwBOADoAKgAvAC8AKgAqAEMAQQBQAEUAIABSAGEAdABpAG8AIABpAHMAIABhACAAdgBhAGwAdQBhAHQAaQBvAG4AIABtAGUAYQBzAHUAcgBlACAAdABoAGEAdAAgAHUAcwBlAHMAIAByAGUAYQBsACAAZQBhAHIAbgBpAG4AZwBzACAAcABlAHIAIABzAGgAYQByAGUAIAAoAEUAUABTACkAIABvAHYAZQByACAAYQAgADEAMAAtAHkAZQBhAHIAIABwAGUAcgBpAG8AZABcAG4AdABvACAAcwBtAG8AbwB0AGgAIABvAHUAdAAgAGYAbAB1AGMAdAB1AGEAdABpAG8AbgBzACAAaQBuACAAYwBvAHIAcABvAHIAYQB0AGUAIABwAHIAbwBmAGkAdABzACAAdABoAGEAdAAgAG8AYwBjAHUAcgAgAG8AdgBlAHIAIABkAGkAZgBmAGUAcgBlAG4AdAAgAHAAZQByAGkAbwBkAHMAIABvAGYAIABhACAAYgB1AHMAaQBuAGUAcwBzAFwAbgBjAHkAYwBsAGUAIAAoAGEAawBhACAAUwBoAGkAbABsAGUAcgAgAFAARQAgAFIAYQB0AGkAbwApACAAKABTAGgAYQByAGUAIABQAHIAaQBjAGUALwBUAGUAbgAgAFkAZQBhAHIAIABBAHYAZQByAGEAZwBlACAARQBhAHIAbgBpAG4AZwBzACAASQBuAGYAbABhAHQAaQBvAG4AIABBAGQAagB1AHMAdABlAGQAKQAgACoALwBcAG4AQwBBAFAARQBSAGEAdABpAG8AuwMgAD0AIABMAEEATQBCAEQAQQAoAFwAbgAvAC8AIAAgAFAAYQByAGEAbQBlAHQAZQByACAARABlAGMAbABhAHIAYQB0AGkAbwBuAHMAXABuACAAIAAgACAAIAAgACAAIABbAFMAaABhAHIAZQBQAHIAaQBjAGUAXQAsACAAIABcAG4AIAAgACAAIAAgACAAIAAgAFsAVABlAG4AWQBlAGEAcgBBAHYAZQByAGEAZwBlAEUAYQByAG4AaQBuAGcAcwBJAG4AZgBsAGEAdABpAG8AbgBBAGQAagB1AHMAdABlAGQAXQAsACAAIAAgACAAXABuAC8ALwAgACAASABlAGwAcABcAG4AIAAgACAAIABMAEUAVAAoAEgAZQBsAHAALAAgACAAIABUAFIASQBNACgAVABFAFgAVABTAFAATABJAFQAKAAgAFwAbgAgACAAIAAgACAAIAAgACAAIAAgACAAIAAgACAAIAAgACAAIAAgACAAIAAgACAAIABcACIARgBVAE4AQwBUAEkATwBOADoAIAAgACAAIAAgACAAkiFDAEEAUABFAFIAYQB0AGkAbwC7AygAIABTAGgAYQByAGUAUAByAGkAYwBlACwAIABUAGUAbgBZAGUAYQByAEEAdgBlAHIAYQBnAGUARQBhAHIAbgBpAG4AZwBzAEkAbgBmAGwAYQB0AGkAbwBuAEEAZABqAHUAcwB0AGUAZAAgACkAtgBcACIAIAAmACAAXABuACAAIAAgACAAIAAgACAAIAAgACAAIAAgACAAIAAgACAAIAAgACAAIAAgACAAIAAgAFwAIgBEAEUAUwBDAFIASQBQAFQASQBPAE4AOgAgACAAIACSIUMAQQBQAEUAIABSAGEAdABpAG8AIABpAHMAIABhACAAdgBhAGwAdQBhAHQAaQBvAG4AIABtAGUAYQBzAHUAcgBlACAAdABoAGEAdAAgAHUAcwBlAHMAIAByAGUAYQBsACAAZQBhAHIAbgBpAG4AZwBzACAAcABlAHIAIABzAGgAYQByAGUAIAAoAEUAUABTACkAIABvAHYAZQByACAAYQAgADEAMAAtAHkAZQBhAHIAIABwAGUAcgBpAG8AZAAgALYAXAAiACAAJgAgAFwAbgAgACAAIAAgACAAIAAgACAAIAAgACAAIAAgACAAIAAgACAAIAAgACAAIAAgACAAIAAgACAAIAAgACAAIAAgACAAIAAgACAAIAAgACAAIAAgAFwAIgCSIXQAbwAgAHMAbQBvAG8AdABoACAAbwB1AHQAIABmAGwAdQBjAHQAdQBhAHQAaQBvAG4AcwAgAGkAbgAgAGMAbwByAHAAbwByAGEAdABlACAAcAByAG8AZgBpAHQAcwAgAHQAaABhAHQAIABvAGMAYwB1AHIAIABvAHYAZQByACAAZABpAGYAZgBlAHIAZQBuAHQAIABwAGUAcgBpAG8AZABzACAAbwBmACAAYQAgAGIAdQBzAGkAbgBlAHMAcwAgALYAXAAiACAAJgAgAFwAbgAgACAAIAAgACAAIAAgACAAIAAgACAAIAAgACAAIAAgACAAIAAgACAAIAAgACAAIAAgACAAIAAgACAAIAAgACAAIAAgACAAIAAgACAAIAAgAFwAIgCSIWMAeQBjAGwAZQAgACgAYQBrAGEAIABTAGgAaQBsAGwAZQByACAAUABFACAAUgBhAHQAaQBvACkAIAAoAFMAaABhAHIAZQAgAFAAcgBpAGMAZQAvAFQAZQBuACAAWQBlAGEAcgAgAEEAdgBlAHIAYQBnAGUAIABFAGEAcgBuAGkAbgBnAHMAIABJAG4AZgBsAGEAdABpAG8AbgAgAEEAZABqAHUAcwB0AGUAZAApALYAXAAiACAAJgAgAFwAbgAgACAAIAAgACAAIAAgACAAIAAgACAAIAAgACAAIAAgACAAIAAgACAAIAAgACAAIABcACIAVwBFAEIAUABBAEcARQA6ACAAIAAgACAAIAAgACAAkiFoAHQAdABwAHMAOgAvAC8AdwB3AHcALgBpAG4AdgBlAHMAdABvAHAAZQBkAGkAYQAuAGMAbwBtAC8AdABlAHIAbQBzAC8AYwAvAGMAYQBwAGUALQ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UwBoAGEAcgBlAFAAcgBpAGMAZQAgACAAIAAgACAAkiEoAFIAZQBxAHUAaQByAGUAZAApACAAQwB1AHIAcgBlAG4AdAAgAHMAdABvAGMAawAgAHAAcgBpAGMAZQAgALYAXAAiACAAJgAgAFwAbgAgACAAIAAgACAAIAAgACAAIAAgACAAIAAgACAAIAAgACAAIAAgACAAIAAgACAAIABcACIAVABlAG4AWQBlAGEAcgBBAHYAZQByAGEAZwBlAEUAYQByAG4AaQBuAGcAcwBJAG4AZgBsAGEAdABpAG8AbgBBAGQAagB1AHMAdABlAGQAkiEoAFIAZQBxAHUAaQByAGUAZAApACAAQQB2AGUAcgBhAGcAZQAgAGUAYQByAG4AaQBuAGcAcwAgAHAAZQByACAAcwBoAGEAcgBlACAAZgBvAHIAIAAxADAAIAB5AGUAYQByAHMAIABhAGQAagB1AHMAdABlAGQAIABmAG8AcgAgAGkAbgBmAGwAYQB0AGkAbwBu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AAIAAgACAAIAAgACAAIAAgACAAIAAgACAAIACSIT0AbwB6AC4AQwBBAFAARQBSAGEAdABpAG8AuwMoACAAMQAwADAALgAwACwAIAAxADAALgAwAC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VABlAG4AWQBlAGEAcgBBAHYAZQByAGEAZwBlAEUAYQByAG4AaQBuAGcAcwBJAG4AZgBsAGEAdABpAG8AbgBBAGQAagB1AHMAdABlAGQAKQBcAG4AIAAgACAAIAAgACAAIAAgACAAIAAgACAAIAAgACAAIAAgACAAIAAgACAAIAAgACAAKQAsAFwAbgAgACAAIAAgAC8ALwAgACAAUAByAG8AYwBlAGQAdQByAGUAXABuACAAIAAgACAAIAAgACAAIABSAGUAcwB1AGwAdAAsACAAIAAgACAAIAAgACAAIAAgAFMAaABhAHIAZQBQAHIAaQBjAGUALwBUAGUAbgBZAGUAYQByAEEAdgBlAHIAYQBnAGUARQBhAHIAbgBpAG4AZwBzAEkAbgBmAGwAYQB0AGkAbwBuAEEAZABqAHUAcwB0AGUAZ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QAFIAuwNcAG4AIAAgACAAIABEAEUAUwBDAFIASQBQAFQASQBPAE4AOgAqAC8ALwAqACoARABpAHYAaQBkAGUAbgBkACAAUABhAHkAbwB1AHQAIABSAGEAdABpAG8AIABpAHMAIAB0AGgAZQAgAHAAZQByAGMAZQBuAHQAYQBnAGUAIABvAGYAIABlAGEAcgBuAGkAbgBnAHMAIABwAGEAaQBkACAAdABvACAAcwBoAGEAcgBlAGgAbwBsAGQAZQByAHMAIAB2AGkAYQAgAGQAaQB2AGkAZABlAG4AZABzAFwAbgAgACAAIAAgACgARABpAHYAaQBkAGUAbgBkAHMAUABhAGkAZAAvAE4AZQB0AEkAbgBjAG8AbQBlACkAIAAqAC8AXABuAEQAUABSALsDIAA9ACAATABBAE0AQgBEAEEAKABcAG4ALwAvACAAIABQAGEAcgBhAG0AZQB0AGUAcgAgAEQAZQBjAGwAYQByAGEAdABpAG8AbgBzAFwAbgAgACAAIAAgACAAIAAgACAAWwBEAGkAdgBpAGQAZQBuAGQAcwBQAGEAaQBk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JIhRABQAFIAuwMoACAARABpAHYAaQBkAGUAbgBkAHMAUABhAGkAZAAsACAATgBlAHQASQBuAGMAbwBtAGUAIAApALYAXAAiACAAJgAgAFwAbgAgACAAIAAgACAAIAAgACAAIAAgACAAIAAgACAAIAAgACAAIAAgACAAIAAgACAAIABcACIARABFAFMAQwBSAEkAUABUAEkATwBOADoAIAAgACAAkiFEAGkAdgBpAGQAZQBuAGQAIABQAGEAeQBvAHUAdAAgAFIAYQB0AGkAbwAgAGkAcwAgAHQAaABlACAAcABlAHIAYwBlAG4AdABhAGcAZQAgAG8AZgAgAGUAYQByAG4AaQBuAGcAcwAgAHAAYQBpAGQAIAB0AG8AIABzAGgAYQByAGUAaABvAGwAZABlAHIAcwAgAHYAaQBhACAAZABpAHYAaQBkAGUAbgBkAHMAtgBcACIAIAAmACAAXABuACAAIAAgACAAIAAgACAAIAAgACAAIAAgACAAIAAgACAAIAAgACAAIAAgACAAIAAgACAAIAAgACAAIAAgACAAIAAgACAAIAAgACAAIAAgAFwAIgCSISgARABpAHYAaQBkAGUAbgBkAHMAUABhAGkAZAAvAE4AZQB0AEkAbgBjAG8AbQBlACkAtgBcACIAIAAmACAAXABuACAAIAAgACAAIAAgACAAIAAgACAAIAAgACAAIAAgACAAIAAgACAAIAAgACAAIAAgAFwAIgBXAEUAQgBQAEEARwBFADoAIAAgACAAIAAgACAAIACSIWgAdAB0AHAAcwA6AC8ALwB3AHcAdwAuAGkAbgB2AGUAcwB0AG8AcABlAGQAaQBhAC4AYwBvAG0ALwB0AGUAcgBtAHMALwBkAC8AZABpAHYAaQBkAGUAbgBkAHAAYQB5AG8AdQB0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EAGkAdgBpAGQAZQBuAGQAcwBQAGEAaQBkACAAIACSISgAUgBlAHEAdQBpAHIAZQBkACkAIABEAGkAdgBpAGQAZQBuAGQAcwAgAHAAYQBpAGQAIAC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yADUAJQAgACAAIAAgACAAIAAgACAAIAAgACAAIACSIT0AbwB6AC4ARABQAFIAuwMoACAANQAuADAALAAgADI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kAdgBpAGQAZQBuAGQAcwBQAGEAaQBk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EQAaQB2AGkAZABlAG4AZABzAFAAYQBpAGQALwBOAGUAdABJAG4AYwBvAG0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pAHYAaQBkAGUAbgBkAFkAaQBlAGwAZABSAGEAdABpAG8AuwNcAG4AIAAgACAAIABEAEUAUwBDAFIASQBQAFQASQBPAE4AOgAqAC8ALwAqACoARABpAHYAaQBkAGUAbgBkACAAeQBpAGUAbABkACAAcgBhAHQAaQBvACAAcwBoAG8AdwBzACAAaABvAHcAIABtAHUAYwBoACAAYQAgAGMAbwBtAHAAYQBuAHkAIABwAGEAeQBzACAAbwB1AHQAIABpAG4AIABkAGkAdgBpAGQAZQBuAGQAcwAgAFwAbgBlAGEAYwBoACAAeQBlAGEAcgAgAHIAZQBsAGEAdABpAHYAZQAgAHQAbwAgAGkAdABzACAAcwB0AG8AYwBrACAAcAByAGkAYwBlACAAKABBAG4AbgB1AGEAbAAgAEQAaQB2AGkAZABlAG4AZABzACAAUABlACAAcgBTAGgAYQByAGUALwBTAGgAYQByAGUAIABQAHIAaQBjAGUAKQAgACoALwBcAG4ARABpAHYAaQBkAGUAbgBkAFkAaQBlAGwAZABSAGEAdABpAG8AuwMgAD0AIABMAEEATQBCAEQAQQAoAFwAbgAvAC8AIAAgAFAAYQByAGEAbQBlAHQAZQByACAARABlAGMAbABhAHIAYQB0AGkAbwBuAHMAXABuACAAIAAgACAAIAAgACAAIABbAEEAbgBuAHUAYQBsAEQAaQB2AGkAZABlAG4AZABzAFAAZQByAFMAaABhAHIAZQBdACwAIAAgAFwAbgAgACAAIAAgACAAIAAgACAAWwBTAGgAYQByAGUAUAByAGkAYwBlAF0ALAAgACAAIAAgAFwAbgAvAC8AIAAgAEgAZQBsAHAAXABuACAAIAAgACAATABFAFQAKABIAGUAbABwACwAIAAgACAAVABSAEkATQAoAFQARQBYAFQAUwBQAEwASQBUACgAIABcAG4AIAAgACAAIAAgACAAIAAgACAAIAAgACAAIAAgACAAIAAgACAAIAAgACAAIAAgACAAXAAiAEYAVQBOAEMAVABJAE8ATgA6ACAAIAAgACAAIAAgAJIhRABpAHYAaQBkAGUAbgBkAFkAaQBlAGwAZABSAGEAdABpAG8AuwMoACAAQQBuAG4AdQBhAGwARABpAHYAaQBkAGUAbgBkAHMAUABlAHIAUwBoAGEAcgBlACwAIABTAGgAYQByAGUAUAByAGkAYwBlACkAtgBcACIAIAAmACAAXABuACAAIAAgACAAIAAgACAAIAAgACAAIAAgACAAIAAgACAAIAAgACAAIAAgACAAIAAgAFwAIgBEAEUAUwBDAFIASQBQAFQASQBPAE4AOgAgACAAIACSIUQAaQB2AGkAZABlAG4AZAAgAHkAaQBlAGwAZAAgAHIAYQB0AGkAbwAgAHMAaABvAHcAcwAgAGgAbwB3ACAAbQB1AGMAaAAgAGEAIABjAG8AbQBwAGEAbgB5ACAAcABhAHkAcwAgAG8AdQB0ACAAaQBuACAAZABpAHYAaQBkAGUAbgBkAHMAIAC2AFwAIgAgACYAIABcAG4AIAAgACAAIAAgACAAIAAgACAAIAAgACAAIAAgACAAIAAgACAAIAAgACAAIAAgACAAIAAgACAAIAAgACAAIAAgACAAIAAgACAAIAAgACAAXAAiAJIhZQBhAGMAaAAgAHkAZQBhAHIAIAByAGUAbABhAHQAaQB2AGUAIAB0AG8AIABpAHQAcwAgAHMAdABvAGMAawAgAHAAcgBpAGMAZQAgACgAQQBuAG4AdQBhAGwAIABEAGkAdgBpAGQAZQBuAGQAcwAgAFAAZQAgAHIAUwBoAGEAcgBlAC8AUwBoAGEAcgBlACAAUAByAGkAYwBlACkAtgBcACIAIAAmACAAXABuACAAIAAgACAAIAAgACAAIAAgACAAIAAgACAAIAAgACAAIAAgACAAIAAgACAAIAAgAFwAIgBXAEUAQgBQAEEARwBFADoAIAAgACAAIAAgACAAIACSIWgAdAB0AHAAcwA6AC8ALwB3AHcAdwAuAGkAbgB2AGUAcwB0AG8AcABlAGQAaQBhAC4AYwBvAG0ALwB0AGUAcgBtAHMALwBkAC8AZABpAHYAaQBkAGUAbgBkAHkAaQBlAGwAZA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BAG4AbgB1AGEAbABEAGkAdgBpAGQAZQBuAGQAcwBQAGUAcgBTAGgAYQByAGUAkiEoAFIAZQBxAHUAaQByAGUAZAApACAAQQBuAG4AdQBhAGwAIABEAGkAdgBpAGQAZQBuAGQAcwAgAFAAZQByACAAUwBoAGEAcgBlACAAtgBcACIAIAAmACAAXABuACAAIAAgACAAIAAgACAAIAAgACAAIAAgACAAIAAgACAAIAAgACAAIAAgACAAIAAgAFwAIgBTAGgAYQByAGUAUAByAGkAYwBlACAAIAAgACAAIACSISgAUgBlAHEAdQBpAHIAZQBkACkAIABNAGEAcgBrAGUAdAAgAHYAYQBsAHUAZQAgAHAAZQByACAAcwBoAGEAcgBl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yAC4ANgA2ADYANwAlACAAIAAgACAAIAAgACAAIACSIT0AbwB6AC4ARABpAHYAaQBkAGUAbgBkAFkAaQBlAGwAZABSAGEAdABpAG8AuwMoACAAMQAuADIALAAgADQ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bgBuAHUAYQBsAEQAaQB2AGkAZABlAG4AZABzAFAAZQByAFMAaABhAHIAZQApACwAXABuACAAIAAgACAAIAAgACAAIAAgACAAIAAgACAAIAAgACAAIAAgACAAIAAgACAAIAAgACAAIAAgACAASQBTAE8ATQBJAFQAVABFAEQAKAAgAFMAaABhAHIAZQBQAHIAaQBjAGUAKQBcAG4AIAAgACAAIAAgACAAIAAgACAAIAAgACAAIAAgACAAIAAgACAAIAAgACAAIAAgACAAKQAsAFwAbgAgACAAIAAgAC8ALwAgACAAUAByAG8AYwBlAGQAdQByAGUAXABuACAAIAAgACAAIAAgACAAIABSAGUAcwB1AGwAdAAsACAAIAAgACAAIAAgACAAIAAgAEEAbgBuAHUAYQBsAEQAaQB2AGkAZABlAG4AZABzAFAAZQByAFMAaABhAHIAZQAvAFMAaABhAHIAZQBQAHIAaQBj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FAFAAUwC7A1wAbgAgACAAIAAgAEQARQBTAEMAUgBJAFAAVABJAE8ATgA6ACoALwAvACoAKgBFAGEAcgBuAGkAbgBnAHMAIABwAGUAcgAgAHMAaABhAHIAZQAgAG0AZQBhAHMAdQByAGUAcwAgAHAAcgBvAGYAaQB0AGEAYgBpAGwAaQB0AHkAIABpAG4AZABpAGMAYQB0AGkAbgBnACAAaABvAHcAIABtAHUAYwBoACAAcAByAG8AZgBpAHQAIABlAGEAYwBoACAAXABuAG8AdQB0AHMAdABhAG4AZABpAG4AZwAgAHMAaABhAHIAZQAgAG8AZgAgAGMAbwBtAG0AbwBuACAAcwB0AG8AYwBrACAAaABhAHMAIABlAGEAcgBuAGUAZAAgAFwAbgAgACAAIAAgACgATgBlAHQAIABJAG4AYwBvAG0AZQAgAC0AIABQAHIAZQBmAGUAcgByAGUAZAAgAEQAaQB2AGkAZABlAG4AZABzACkALwBFAG4AZAAgAE8AZgAgAFAAZQByAGkAbwBkACAAQwBvAG0AbQBvAG4AIABTAGgAYQByAGUAcwAgAE8AdQB0AHMAdABhAG4AZABpAG4AZwApACAAKgAvAFwAbgBFAFAAUwC7AyAAPQAgAEwAQQBNAEIARABBACgAXABuAC8ALwAgACAAUABhAHIAYQBtAGUAdABlAHIAIABEAGUAYwBsAGEAcgBhAHQAaQBvAG4AcwBcAG4AIAAgACAAIAAgACAAIAAgAFsATgBlAHQASQBuAGMAbwBtAGUAXQAsACAAIABcAG4AIAAgACAAIAAgACAAIAAgAFsAUAByAGUAZgBlAHIAcgBlAGQARABpAHYAaQBkAGUAbgBkAHMAXQAsACAAIAAgACAAXABuACAAIAAgACAAIAAgACAAIABbAEUAbgBkAE8AZgBQAGUAcgBpAG8AZABDAG8AbQBtAG8Abg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UAUABTALsDKAAgAE4AZQB0AEkAbgBjAG8AbQBlACwAIABQAHIAZQBmAGUAcgByAGUAZABEAGkAdgBpAGQAZQBuAGQAcwAsACAARQBuAGQATwBmAFAAZQByAGkAbwBkAEMAbwBtAG0AbwBuAFMAaABhAHIAZQBzAE8AdQB0AHMAdABhAG4AZABpAG4AZwApALYAXAAiACAAJgAgAFwAbgAgACAAIAAgACAAIAAgACAAIAAgACAAIAAgACAAIAAgACAAIAAgACAAIAAgACAAIABcACIARABFAFMAQwBSAEkAUABUAEkATwBOADoAIAAgACAAIAAgACAAIACSIUUAYQByAG4AaQBuAGcAcwAgAHAAZQByACAAcwBoAGEAcgBlACAAbQBlAGEAcwB1AHIAZQBzACAAcAByAG8AZgBpAHQAYQBiAGkAbABpAHQAeQAgAGkAbgBkAGkAYwBhAHQAaQBuAGcAIABoAG8AdwAgAG0AdQBjAGgAIABwAHIAbwBmAGkAdAAgAGUAYQBjAGgAIAC2AFwAIgAgACYAIABcAG4AIAAgACAAIAAgACAAIAAgACAAIAAgACAAIAAgACAAIAAgACAAIAAgACAAIAAgACAAIAAgACAAIAAgACAAIAAgACAAIAAgACAAIAAgACAAIAAgACAAIABcACIAkiFvAHUAdABzAHQAYQBuAGQAaQBuAGcAIABzAGgAYQByAGUAIABvAGYAIABjAG8AbQBtAG8AbgAgAHMAdABvAGMAawAgAGgAYQBzACAAZQBhAHIAbgBlAGQAIAC2AFwAIgAgACYAIABcAG4AIAAgACAAIAAgACAAIAAgACAAIAAgACAAIAAgACAAIAAgACAAIAAgACAAIAAgACAAIAAgACAAIAAgACAAIAAgACAAIAAgACAAIAAgACAAIAAgACAAIABcACIAkiEoAE4AZQB0ACAASQBuAGMAbwBtAGUAIAAtACAAUAByAGUAZgBlAHIAcgBlAGQAIABEAGkAdgBpAGQAZQBuAGQAcwApAC8ARQBuAGQAIABPAGYAIABQAGUAcgBpAG8AZAAgAEMAbwBtAG0AbwBuACAAUwBoAGEAcgBlAHMAIABPAHUAdABzAHQAYQBuAGQAaQBuAGcAKQC2AFwAIgAgACYAIABcAG4AIAAgACAAIAAgACAAIAAgACAAIAAgACAAIAAgACAAIAAgACAAIAAgACAAIAAgACAAXAAiAFcARQBCAFAAQQBHAEUAOgAgACAAIAAgACAAIAAgACAAIAAgACAAkiFoAHQAdABwAHMAOgAvAC8AdwB3AHcALgBpAG4AdgBlAHMAdABvAHAAZQBkAGkAYQAuAGMAbwBtAC8AdABlAHIAbQBzAC8AZQAvAGUAcABz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CAAtgBcACIAIAAmACAAXABuACAAIAAgACAAIAAgACAAIAAgACAAIAAgACAAIAAgACAAIAAgACAAIAAgACAAIAAgAFwAIgBQAHIAZQBmAGUAcgByAGUAZABEAGkAdgBpAGQAZQBuAGQAcwAgAJIhKABSAGUAcQB1AGkAcgBlAGQAKQAgAEQAaQB2AGkAZABlAG4AZABzACAAcABhAGkAZAAgAG8AbgAgAHAAcgBlAGYAZQByAGUAZAAgAHMAdABvAGMAawC2AFwAIgAgACYAIABcAG4AIAAgACAAIAAgACAAIAAgACAAIAAgACAAIAAgACAAIAAgACAAIAAgACAAIAAgACAAXAAiAEUAbgBkAE8AZgBQAGUAcgBpAG8AZABDAG8AbQBtAG8AbgBTAGgAYQByAGUAcwBPAHUAdABzAHQAYQBuAGQAaQBuAGcAkiEoAFIAZQBxAHUAaQByAGUAZAApACAARQBuAGQAIABvAGYAIABQAGUAcgBpAG8AZABzACAAQwBvAG0AbQBvAG4AIABTAGgAYQByAGUAcwAgAG8AdQB0AHMAdABhAG4AZABpAG4AZwAgAG8AcgAgALYAXAAiACAAJgAgAFwAbgAgACAAIAAgACAAIAAgACAAIAAgACAAIAAgACAAIAAgACAAIAAgACAAIAAgACAAIAAgACAAIAAgACAAIAAgACAAIAAgACAAIAAgACAAIAAgACAAIAAgAFwAIgCSIVcAZQBpAGcAaAB0AGUAZAAgAGEAdgBlAHIAYQBnAGUAIABuAHUAbQBiAGUAcgAgAG8AZgAgAHMAaABhAHIAZQBzACAAbwB1AHQAcwB0AGEAbgBkAGkAbgBn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xAC4AOQAwADkANQA0ADgAIAAgACAAIAAgACAAIAAgACAAIAAgAJIhPQBvAHoALgBFAFAAUwC7AygAIAA3AC4ANgAsACAAMAAsACAAMwAuADkAO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AByAGUAZgBlAHIAcgBlAGQARABpAHYAaQBkAGUAbgBkAHMAKQAsAFwAbgAgACAAIAAgACAAIAAgACAAIAAgACAAIAAgACAAIAAgACAAIAAgACAAIAAgACAAIAAgACAAIAAgAEkAUwBPAE0ASQBUAFQARQBEACgAIABFAG4AZABPAGYAUABlAHIAaQBvAGQAQwBvAG0AbQBvAG4AUwBoAGEAcgBlAHMATwB1AHQAcwB0AGEAbgBkAGkAbgBnACkAXABuACAAIAAgACAAIAAgACAAIAAgACAAIAAgACAAIAAgACAAIAAgACAAIAAgACAAIAAgACkALABcAG4AIAAgACAAIAAvAC8AIAAgAFAAcgBvAGMAZQBkAHUAcgBlAFwAbgAgACAAIAAgACAAIAAgACAAUgBlAHMAdQBsAHQALAAgACAAIAAgACAAIAAgACAAIAAoAE4AZQB0AEkAbgBjAG8AbQBlAC0AUAByAGUAZgBlAHIAcgBlAGQARABpAHYAaQBkAGUAbgBkAHMAKQAvAEUAbgBkAE8AZgBQAGUAcgBpAG8AZABDAG8AbQBtAG8Abg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ZQB0AGUAbgB0AGkAbwBuAFIAYQB0AGkAbwC7A1wAbgAgACAAIAAgAEQARQBTAEMAUgBJAFAAVABJAE8ATgA6ACoALwAvACoAKgBSAGUAdABlAG4AdABpAG8AbgAgAFIAYQB0AGkAbwAgAGkAcwAgAHQAaABlACAAcAByAG8AcABvAHIAdABpAG8AbgAgAG8AZgAgAGUAYQByAG4AaQBuAGcAcwAgAGsAZQBwAHQAIABiAGEAYwBrACAAaQBuACAAdABoAGUAIABcAG4AYgB1AHMAaQBuAGUAcwBzACAAYQBzACAAcgBlAHQAYQBpAG4AZQBkACAAZQBhAHIAbgBpAG4AZwBzACAAKABSAGUAdABhAGkAbgBlAGQAIABFAGEAcgBuAGkAbgBnAHMALwBOAGUAdAAgAEkAbgBjAG8AbQBlACkALgAgACoALwBcAG4AUgBlAHQAZQBuAHQAaQBvAG4AUgBhAHQAaQBvALsDIAA9ACAATABBAE0AQgBEAEEAKABcAG4ALwAvACAAIABQAGEAcgBhAG0AZQB0AGUAcgAgAEQAZQBjAGwAYQByAGEAdABpAG8AbgBzAFwAbgAgACAAIAAgACAAIAAgACAAWwBSAGUAdABhAGkAbgBlAGQARQBhAHIAbgBpAG4AZwBz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CAAIAAgACAAkiFSAGUAdABlAG4AdABpAG8AbgBSAGEAdABpAG8AuwMoACAAUgBlAHQAYQBpAG4AZQBkAEUAYQByAG4AaQBuAGcAcwAsACAATgBlAHQASQBuAGMAbwBtAGUAIAApALYAXAAiACAAJgAgAFwAbgAgACAAIAAgACAAIAAgACAAIAAgACAAIAAgACAAIAAgACAAIAAgACAAIAAgACAAIABcACIARABFAFMAQwBSAEkAUABUAEkATwBOADoAIAAgACAAIAAgACAAIACSIVIAZQB0AGUAbgB0AGkAbwBuACAAUgBhAHQAaQBvACAAaQBzACAAdABoAGUAIABwAHIAbwBwAG8AcgB0AGkAbwBuACAAbwBmACAAZQBhAHIAbgBpAG4AZwBzACAAawBlAHAAdAAgAGIAYQBjAGsAIABpAG4AIAB0AGgAZQAgALYAXAAiACAAJgAgAFwAbgAgACAAIAAgACAAIAAgACAAIAAgACAAIAAgACAAIAAgACAAIAAgACAAIAAgACAAIAAgACAAIAAgACAAIAAgACAAIAAgACAAIAAgACAAIAAgACAAIAAgAFwAIgCSIWIAdQBzAGkAbgBlAHMAcwAgAGEAcwAgAHIAZQB0AGEAaQBuAGUAZAAgAGUAYQByAG4AaQBuAGcAcwAgACgAUgBlAHQAYQBpAG4AZQBkACAARQBhAHIAbgBpAG4AZwBzAC8ATgBlAHQAIABJAG4AYwBvAG0AZQApAC4AtgBcACIAIAAmACAAXABuACAAIAAgACAAIAAgACAAIAAgACAAIAAgACAAIAAgACAAIAAgACAAIAAgACAAIAAgAFwAIgBXAEUAQgBQAEEARwBFADoAIAAgACAAIAAgACAAIAAgACAAIAAgAJIhaAB0AHQAcABzADoALwAvAHcAdwB3AC4AaQBuAHYAZQBzAHQAbwBwAGUAZABpAGEALgBjAG8AbQAvAHQAZQByAG0AcwAvAHIALwByAGUAdABlAG4AdABpAG8Abg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SAGUAdABhAGkAbgBlAGQARQBhAHIAbgBpAG4AZwBzACAAIAAgAJIhKABSAGUAcQB1AGkAcgBlAGQAKQAgAFIAZQB0AGEAaQBuAGUAZAAgAEUAYQByAG4AaQBuAGcAcwAgACgATgBlAHQAIABJAG4AYwBvAG0AZQAgAC0AIABwAGEAaQBkACAAZABpAHYAaQBkAGUAbgBkAHMAKQC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QA4ADkALgA5ACUAIAAgACAAIAAgACAAIAAgACAAIAAgACAAIACSIT0AbwB6AC4AUgBlAHQAZQBuAHQAaQBvAG4AUgBhAHQAaQBvALsDKAAgADQAMQAuADkAOAAxACwAIAAyADIALgAxADEAMg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SAGUAdABhAGkAbgBlAGQARQBhAHIAbgBpAG4AZwBz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FIAZQB0AGEAaQBuAGUAZABFAGEAcgBuAGkAbgBnAHMALwBOAGUAdABJAG4AYwBvAG0AZQAsAFwAbgAgACAAIAAgAC8ALwAgACAAUgBlAHQAdQByAG4AIABSAGUAcwB1AGwAdABcAG4AIAAgACAAIAAgACAAIAAgAEMASABPAE8AUwBFACgASABlAGwAcAA/ACAAKwAgADEALAAgAFIAZQBzAHUAbAB0ACwAIABIAGUAbABwACkAIAAgACAAIAAgACAAIAAgAFwAbgAgACAAIAAgACkAXABuACkAOwAiAH0ALAB7ACIAcABhAHQAaAAiADoAIgAvAHAAcgBvAGoAZQBjAHQAcwAvAFUAdABpAGwAaQB0AGkAZQBzACIALAAiAHQAZQB4AHQAIgA6ACIALwAqACAAIABGAFUATgBDAFQASQBPAE4AIABOAEEATQBFADoAIAAgAEEAYgBvAHUAdABVAHQAaQBsAGkAdABpAGUAcwC7A1wAbgAgACAAIAAgAEQARQBTAEMAUgBJAFAAVABJAE8ATgA6ACoALwAvACoAKgBEAGkAcwBwAGwAYQB5AHMAIAB0AGgAaQBzACAAbQBvAGQAdQBsAGUAJwBzACAAcgBlAHAAbwBzAGkAdABvAHIAeQAgAFUAUgBMACAAYQBuAGQAIABmAHUAbgBjAHQAaQBvAG4AIABsAGkAcwB0ACoALwBcAG4AXABuAEEAYgBvAHUAdABVAHQAaQBsAGkAdABpAGU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8AegC2AFwAIgAgACYAXABuACAAIAAgACAAXAAiAFYAZQByAHMAaQBvAG4AOgAgACAAIAAgACAAIAAgACAAIAAgACAAIAAgACAAIAAgACAAIAAgAJIhMgAwACAAQQB1AGcAIAAyADAAMgA2ALYAXAAiACAAJgBcAG4AIAAgACAAIABcACIAUgBlAHAAbwBzAGkAdABvAHIAeQA6ACAAIAAgACAAIAAgACAAIAAgACAAIAAgACAAIAAgACAAIAAgAJIhaAB0AHQAcABzADoALwAvAGcAaQB0AGgAdQBiAC4AYwBvAG0ALwByAHkAYQBuAGQAdQBnAHUAaQBkAC8ATwB6AHoAaQB0ACAAtgBcACIAIAAmAFwAbgAgACAAIAAgAFwAIgCSIbYAXAAiACAAJgBcAG4AIAAgACAAIABcACIARgB1AG4AYwB0AGkAbwBuACAAIAAgACAAIAAgACAAIAAgACAAIAAgACAAIAAgACAAIAAgACAAkiFEAGUAcwBjAHIAaQBwAHQAaQBvAG4AtgBcACIAIAAmACAAXABuACAAIAAgACAAXAAiAEEAYgBvAHUAdABVAHQAaQBsAGkAdABpAGUAcwC7AyAAIAAgACAAIAAgACAAIAAgACAAIAAgACAAIAAgACAAIAAgACAAIAAgAJIhUAByAG8AZAB1AGMAZQBzACAAdABoAGkAcwAgAHQAYQBiAGwAZQC2AFwAIgAgACYAIABcAG4AIAAgACAAIABcACIAQwBvAHUAbgB0AEMAVQC7AyAAIAAgACAAIAAgACAAIAAgACAAIAAgACAAIAAgACAAIAAgACAAIACSIUMAbwB1AG4AdAAgAGgAbwB3ACAAbQBhAG4AeQAgAG8AZgAgAG8AbgBlACAAbwByACAAbQBvAHIAZQAgAGMAaABhAHIAYQBjAHQAZQByAHMAIABhAHIAZQAgAGkAbgAgAGEAIAB0AGUAeAB0ACAAcwB0AHIAaQBuAGcAtgBcACIAIAAmAFwAbgAgACAAIAAgAFwAIgBTAHUAbQBDAG8AbABzAFUAuwMgACAAIAAgACAAIAAgACAAIAAgACAAIAAgACAAIAAgACAAIAAgAJIhRwBlAHQAIAB0AGgAZQAgAHQAbwB0AGEAbAAgAG8AZgAgAGUAYQBjAGgAIABjAG8AbAB1AG0AbgC2AFwAIgAgACYAIABcAG4AIAAgACAAIABcACIAUwB1AG0AUgBvAHcAcwBVALsDIAAgACAAIAAgACAAIAAgACAAIAAgACAAIAAgACAAIAAgACAAIACSIUcAZQB0ACAAdABoAGUAIAB0AG8AdABhAGwAIABvAGYAIABlAGEAYwBoACAAcgBvAHcAtgBcACIAIAAmACAAXABuACAAIAAgACAAXAAiAEEAdgBnAEMAbwBsAHMAVQC7AyAAIAAgACAAIAAgACAAIAAgACAAIAAgACAAIAAgACAAIAAgACAAkiFHAGUAdAAgAHQAaABlACAAYQB2AGUAcgBhAGcAZQAgAG8AZgAgAGUAYQBjAGgAIABjAG8AbAB1AG0AbgC2AFwAIgAgACYAIABcAG4AIAAgACAAIABcACIAQQB2AGcAUgBvAHcAcwBVALsDIAAgACAAIAAgACAAIAAgACAAIAAgACAAIAAgACAAIAAgACAAIACSIUcAZQB0ACAAdABoAGUAIABhAHYAZQByAGEAZwBlACAAbwBmACAAZQBhAGMAaAAgAHIAbwB3ALYAXAAiACAAJgAgAFwAbgAgACAAIAAgAFwAIgBNAGkAbgBDAG8AbABzAFUAuwMgACAAIAAgACAAIAAgACAAIAAgACAAIAAgACAAIAAgACAAIAAgAJIhRwBlAHQAIAB0AGgAZQAgAG0AaQBuAGkAbQB1AG0AIABvAGYAIABlAGEAYwBoACAAYwBvAGwAdQBtAG4AtgBcACIAIAAmACAAXABuACAAIAAgACAAXAAiAE0AaQBuAFIAbwB3AHMAVQC7AyAAIAAgACAAIAAgACAAIAAgACAAIAAgACAAIAAgACAAIAAgACAAkiFHAGUAdAAgAHQAaABlACAAbQBpAG4AaQBtAHUAbQAgAG8AZgAgAGUAYQBjAGgAIAByAG8AdwC2AFwAIgAgACYAIABcAG4AIAAgACAAIABcACIATQBhAHgAQwBvAGwAcwBVALsDIAAgACAAIAAgACAAIAAgACAAIAAgACAAIAAgACAAIAAgACAAIACSIUcAZQB0ACAAdABoAGUAIABtAGEAeABpAG0AdQBtACAAbwBmACAAZQBhAGMAaAAgAGMAbwBsAHUAbQBuALYAXAAiACAAJgAgAFwAbgAgACAAIAAgAFwAIgBNAGEAeABSAG8AdwBzAFUAuwMgACAAIAAgACAAIAAgACAAIAAgACAAIAAgACAAIAAgACAAIAAgAJIhRwBlAHQAIAB0AGgAZQAgAG0AYQB4AGkAbQB1AG0AIABvAGYAIABlAGEAYwBoACAAcgBvAHcAtgBcACIAIAAmACAAXABuACAAIAAgACAAXAAiAEMAbwB1AG4AdABDAG8AbABzAFUAuwMgACAAIAAgACAAIAAgACAAIAAgACAAIAAgACAAIAAgACAAkiFHAGUAdAAgAHQAaABlACAAYwBvAHUAbgB0ACAAbwBmACAAbgB1AG0AYgBlAHIAcwAgAGkAbgAgAGUAYQBjAGgAIABjAG8AbAB1AG0AbgC2AFwAIgAgACYAIABcAG4AIAAgACAAIABcACIAQwBvAHUAbgB0AFIAbwB3AHMAVQC7AyAAIAAgACAAIAAgACAAIAAgACAAIAAgACAAIAAgACAAIACSIUcAZQB0ACAAdABoAGUAIABjAG8AdQBuAHQAIABvAGYAIABuAHUAbQBiAGUAcgBzACAAaQBuACAAZQBhAGMAaAAgAHIAbwB3ALYAXAAiACAAJgAgAFwAbgAgACAAIAAgAFwAIgBDAG8AdQBuAHQAQQBDAG8AbABzAFUAuwMgACAAIAAgACAAIAAgACAAIAAgACAAIAAgACAAIAAgAJIhRwBlAHQAIAB0AGgAZQAgAGMAbwB1AG4AdAAgAG8AZgAgAGUAdgBlAHIAeQB0AGgAaQBuAGcAIABvAGYAIABlAGEAYwBoACAAYwBvAGwAdQBtAG4AtgBcACIAIAAmACAAXABuACAAIAAgACAAXAAiAEMAbwB1AG4AdABBAFIAbwB3AHMAVQC7AyAAIAAgACAAIAAgACAAIAAgACAAIAAgACAAIAAgACAAkiFHAGUAdAAgAHQAaABlACAAYwBvAHUAbgB0ACAAbwBmACAAZQB2AGUAcgB5AHQAaABpAG4AZwAgAG8AZgAgAGUAYQBjAGgAIAByAG8AdwC2AFwAIgAgACYAIABcAG4AIAAgACAAIABcACIASQBzAEIAZQB0AHcAZQBlAG4AVQC7AyAAIAAgACAAIAAgACAAIAAgACAAIAAgACAAIAAgACAAIACSIUQAZQB0AGUAcgBtAGkAbgBlACAAaQBmACAAYQAgAHYAYQBsAHUAZQAgAGkAcwAgAGIAZQB0AHcAZQBlAG4AIABhACAAbABvAHcAZQByACAAYQBuAGQAIAB1AHAAcABlAHIAIABsAGkAbQBpAHQALgC2AFwAIgAgACYAIABcAG4AIAAgACAAIABcACIASQBzAEkAbgBMAGkAcwB0AFUAuwMgACAAIAAgACAAIAAgACAAIAAgACAAIAAgACAAIAAgACAAIACSIUQAZQB0AGUAcgBtAGkAbgBlACAAaQBmACAAYQAgAHYAYQBsAHUAZQAgAGkAcwAgAG8AbgBlACAAbwBmACAAYQAgAGwAaQBzAHQAIABvAGYAIABpAHQAZQBtAHMALgC2AFwAIgAgACYAXABuACAAIAAgACAAXAAiAFIAYQBuAGcAZQBUAG8ARABBAF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VQC7A1wAbgAgACAAIAAgAEQARQBTAEMAUgBJAFAAVABJAE8ATgA6ACoALwAvACoAKgBDAG8AdQBuAHQAIABvAGMAYwB1AHIAcgBlAG4AYwBlAHMAIABvAGYAIABjAGgAYQByAGEAYwB0AGUAcgAoAHMAKQAgAGkAbgAgAGEAIABzAHQAcgBpAG4AZwAqAC8AXABuAEMAbwB1AG4AdABDAFU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BV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FwAbgAgACAAIAAgACAAIAAgACAAQwBoAGEAcgBhAGMAdABlAHIAcwAsACAAIAAgACAAIABUAEUAWABUAFMAUABMAEkAVAAoACAAQwBoAGEAcgBhAGMAdABlAHIAcwAsACAAXAAiACwAXAAiACAAKQAsAFwAbgAgACAAIAAgAC8ALwAgACAAUAByAG8AYwBlAGQAdQByAGUAXABuACAAIAAgACAAIAAgACAAIABSAGUAcwB1AGwAdAAsACAAIAAgACAAIAAgACAAIAAgAEwARQBOACgAVABlAHgAdAApACAALQAgAFMAVQBNACgATABFAE4AKABUAEUAWABUAFMAUABMAEkAVAAoACAAVABlAHgAdAAsACAAQwBoAGEAcgBhAGMAdABlAHIAcw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VQC7A1wAbgAgACAAIAAgAEQARQBTAEMAUgBJAFAAVABJAE8ATgA6ACoALwAvACoAKgBHAGUAdAAgAHQAaABlACAAdABvAHQAYQBsACAAZgBvAHIAIABlAGEAYwBoACAAcgBvAHcAKgAvAFwAbgBTAHUAb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VQ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BVALsDXABuACAAIAAgACAARABFAFMAQwBSAEkAUABUAEkATwBOADoAKgAvAC8AKgAqAEcAZQB0ACAAdABoAGUAIAB0AG8AdABhAGwAIABmAG8AcgAgAGUAYQBjAGgAIABDAG8AbAB1AG0AbgAqAC8AXABuAFMAdQBt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BV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FUAuwNcAG4AIAAgACAAIABEAEUAUwBDAFIASQBQAFQASQBPAE4AOgAqAC8ALwAqACoARwBlAHQAIAB0AGgAZQAgAGEAdgBlAHIAYQBnAGUAIABmAG8AcgAgAGUAYQBjAGgAIAByAG8AdwAqAC8AXABuAEEAdgBn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BV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FUAuwNcAG4AIAAgACAAIABEAEUAUwBDAFIASQBQAFQASQBPAE4AOgAqAC8ALwAqACoARwBlAHQAIAB0AGgAZQAgAGEAdgBlAHIAYQBnAGUAIABmAG8AcgAgAGUAYQBjAGgAIABDAG8AbAB1AG0AbgAqAC8AXABuAEEAdgBn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BV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VQC7A1wAbgAgACAAIAAgAEQARQBTAEMAUgBJAFAAVABJAE8ATgA6ACoALwAvACoAKgBHAGUAdAAgAHQAaABlACAAbQBpAG4AaQBtAHUAbQAgAGYAbwByACAAZQBhAGMAaAAgAHIAbwB3ACoALwBcAG4ATQBpAG4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FU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BVALsDXABuACAAIAAgACAARABFAFMAQwBSAEkAUABUAEkATwBOADoAKgAvAC8AKgAqAEcAZQB0ACAAdABoAGUAIABtAGkAbgBpAG0AdQBtACAAZgBvAHIAIABlAGEAYwBoACAAQwBvAGwAdQBtAG4AKgAvAFwAbgBNAGkAbg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VQ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VQC7A1wAbgAgACAAIAAgAEQARQBTAEMAUgBJAFAAVABJAE8ATgA6ACoALwAvACoAKgBHAGUAdAAgAHQAaABlACAAbQBhAHgAaQBtAHUAbQAgAGYAbwByACAAZQBhAGMAaAAgAHIAbwB3ACoALwBcAG4ATQBhAHg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FU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BVALsDXABuACAAIAAgACAARABFAFMAQwBSAEkAUABUAEkATwBOADoAKgAvAC8AKgAqAEcAZQB0ACAAdABoAGUAIABtAGEAeABpAG0AdQBtACAAZgBvAHIAIABlAGEAYwBoACAAQwBvAGwAdQBtAG4AKgAvAFwAbgBNAGEAe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VQC7AygAIABBAHIAcgBhAHkAKQC2AFwAIgAgACYAXABuACAAIAAgACAAIAAgACAAIAAgACAAIAAgACAAIAAgACAAIAAgACAAIAAgACAAIAAgACAAIAAgACAAXAAiAEQARQBTAEMAUgBJAFAAVABJAE8ATgA6ACAAIAAgAJIhRwBlAHQAIAB0AGgAZQAgAG0AYQB4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VQC7A1wAbgAgACAAIAAgAEQARQBTAEMAUgBJAFAAVABJAE8ATgA6ACoALwAvACoAKgBDAG8AdQBuAHQAIABlAHYAZQByAHkAdABoAGkAbgBnACAAaQBuACAAZQBhAGMAaAAgAHIAbwB3ACoALwBcAG4AQwBvAHUAbgB0AEE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FU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FIAbwB3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VQC7A1wAbgAgACAAIAAgAEQARQBTAEMAUgBJAFAAVABJAE8ATgA6ACoALwAvACoAKgBDAG8AdQBuAHQAIABlAHYAZQByAHkAdABoAGkAbgBnACAAaQBuACAAZQBhAGMAaAAgAGMAbwBsAHUAbQBuACoALwBcAG4AQwBvAHUAbgB0AEE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FU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VQC7A1wAbgAgACAAIAAgAEQARQBTAEMAUgBJAFAAVABJAE8ATgA6ACoALwAvACoAKgBDAG8AdQBuAHQAIABuAHUAbQBiAGUAcgBzACAAaQBuACAAZQBhAGMAaAAgAHIAbwB3ACoALwBcAG4AQwBvAHUAbgB0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VQ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FUAuwNcAG4AIAAgACAAIABEAEUAUwBDAFIASQBQAFQASQBPAE4AOgAqAC8ALwAqACoAQwBvAHUAbgB0ACAAbgB1AG0AYgBlAHIAcwAgAGkAbgAgAGUAYQBjAGgAIABjAG8AbAB1AG0AbgAqAC8AXABuAEMAbwB1AG4Ad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FUAuwMoACAAQQByAHIAYQB5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bwBs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FUAuwNcAG4AIAAgACAAIABEAEUAUwBDAFIASQBQAFQASQBPAE4AOgAqAC8ALwAqACoARABlAHQAZQByAG0AaQBuAGUAIABpAGYAIABhACAAdgBhAGwAdQBlACAAaQBzACAAYgBlAHQAdwBlAGUAbgAgAGEAIABsAG8AdwBlAHIAIABhAG4AZAAgAHUAcABwAGUAcgAgAGwAaQBtAGkAdAAqAC8AXABuAEkAcwBCAGUAdAB3AGUAZQBuAFU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FUAuwMoACAAVgBhAGwAdQBlACwAIABMAG8AdwAsACAASABpACwAIABbAEkAbgBjAGwAdQBzAGkAdgBlAF0AKQC2AFwAIgAgACYAXABuACAAIAAgACA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bwB3ACAAIAAgACAAIAAgACAAIAAgACAAIAAgAJIhKABSAGUAcQB1AGkAcgBlAGQAKQAgAFQAaABlACAAbABvAHcAZQByACAAbABpAG0AaQB0ACAAdABoAGEAdAAgAHQAaABlACAAdgBhAGwAdQBlACAAbQB1AHMAdAAgAGIAZQAgAGcAcgBlAGEAdABlAHIAIAB0AGgAYQBuALYAXAAiACAAJgBcAG4AIAAgACAAIAAgACAAIAAgACAAIAAgACAAIAAgACAAIAAgACAAIAAgACAAIAAgACAAIAAgACAAIABcACIASABpACAAIAAgACAAIAAgACAAIAAgACAAIAAgACAAkiEoAFIAZQBxAHUAaQByAGUAZAApACAAVABoAGUAIABoAGkAZwBo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B3ACAAYQBuAGQALwBvAHIAIABIAGk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FUAuwMoADEALAAgADIALAAgADQAKQC2AFwAIgAgACYAIABcAG4AIAAgACAAIAAgACAAIAAgACAAIAAgACAAIAAgACAAIAAgACAAIAAgACAAIAAgACAAIAAgACAAIABcACIAVABSAFUARQAgACAAIAAgACAAIAAgACAAIAAgACAAkiE9AEkAcwBCAGUAdAB3AGUAZQBuAFUAuwMoADIALAAgADIALAAgADQAKQC2AFwAIgAgACYAIABcAG4AIAAgACAAIAAgACAAIAAgACAAIAAgACAAIAAgACAAIAAgACAAIAAgACAAIAAgACAAIAAgACAAIABcACIARgBBAEwAUwBFACAAIAAgACAAIAAgACAAIAAgACAAkiE9AEkAcwBCAGUAdAB3AGUAZQBuAFU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BVALsDXABuACAAIAAgACAARABFAFMAQwBSAEkAUABUAEkATwBOADoAKgAvAC8AKgAqAEQAZQB0AGUAcgBtAGkAbgBlACAAdwBoAGUAdABoAGUAcgAgAGEAIAB2AGEAbAB1AGUAIABpAHMAIABvAG4AZQAgAG8AZgAgAGEAIABsAGkAcwB0ACAAbwBmACAAaQB0AGUAbQBzACoALwBcAG4ASQBzAEkAbgBMAGkAcwB0AFUAuwMgAD0AIABMAEEATQBCAEQAQQAoAFwAbgAvAC8AIAAgAFAAYQByAGEAbQBlAHQAZQByACAARABlAGMAbABhAHIAYQB0AGkAbwBuAHMAXABuACAAIAAgACAAWwBWAGEAbAB1AGUAXQAsAFwAbgAgACAAIAAgAFsATABpAHMAd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VQ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BVALsDKAAxACwAIAB7ADIALAAzACwANAB9ACkAtgBcACIAIAAmACAAXABuACAAIAAgACAAIAAgACAAIAAgACAAIAAgACAAIAAgACAAIAAgACAAIAAgACAAIAAgACAAIAAgACAAXAAiAFQAUgBVAEUAIAAgACAAIAAgACAAIAAgACAAIAAgAJIhPQBJAHMASQBuAEwAaQBzAHQAVQC7AygAMQAsACAAewAxACwAMwAsADUAfQApALYAXAAiACAAJgAgAFwAbgAgACAAIAAgACAAIAAgACAAIAAgACAAIAAgACAAIAAgACAAIAAgACAAIAAgACAAIAAgACAAIAAgAFwAIgCSIVwAIgAs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kAcwB0ACkAXABuACAAIAAgACAAIAAgACAAIAAgACAAIAAgACAAIAAgACAAIAAgACAAIAAgACAAIAAgACkALABcAG4AIAAgACAAIAAvAC8AIAAgAFAAcgBvAGMAZQBkAHUAcgBlAFwAbgAgACAAIAAgACAAIAAgACAAUgBlAHMAdQBsAHQALAAgACAAIAAgACAAIAAgACAAIABOAE8AVAAoACAASQBTAE4AQQAoACAATQBBAFQAQwBIACgAIABWAGEAbAB1AGUALAAgAEwAaQBzAHQALAAgADAAKQ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FUAuwNcAG4AIAAgACAAIABEAEUAUwBDAFIASQBQAFQASQBPAE4AOgAqAC8ALwAqACoAQwBvAG4AdgBlAHIAdAAgAGEAIAByAGEAbgBnAGUAIAByAGUAZgBlAHIAZQBuAGMAZQAgAHQAbwAgAGEAIABkAHkAbgBhAG0AaQBjACAAYQByAHIAYQB5ACAAcgBlAGYAZQByAGUAbgBjAGUAKgAvAFwAbgBSAGEAbgBnAGUAVABvAEQAQQBV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V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8AegB6AGkAdA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V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BdACwAIgBwAHIAbwBqAGUAYwB0AE4AYQBtAGUAcwAiADoAWwAiAG8AegAuAEEAYgBvAHUAdABEAGEAdABlAHMAuwMiACwAIgBvAHoALgBDAG8AdQBuAHQARABPAFcAuwMiACwAIgBvAHoALgBJAHMAQgBlAHQAdwBlAGUAbgC7AyIALAAiAG8AegAuAEkAcwBPAGMAYwB1AHIAcgBlAG4AYwBlAEQAYQB0AGUAuwMiACwAIgBvAHoALgBPAHYAZQByAEwAYQBwAEQAYQB5AHMAuwMiACwAIgBvAHoALgBQAGUAcgBpAG8AZABMAGEAYgBlAGwAuwMiACwAIgBvAHoALgBQAGUAcgBpAG8AZABzALsDIgAsACIAbwB6AC4AUwBjAGgAZQBkAHUAbABlAFIAYQB0AGUAcwC7AyIALAAiAG8AegAuAFMAYwBoAGUAZAB1AGwAZQBSAGEAdABlAHMAQgB5AEkAdABlAG0AcwC7AyIALAAiAG8AegAuAFMAYwBoAGUAZAB1AGwAZQBWAGEAbAB1AGUAcwC7AyIALAAiAG8AegAuAFMAYwBoAGUAZAB1AGwAZQBWAGEAbAB1AGUAcwBCAHkASQB0AGUAbQBzALsDIgAsACIAbwB6AC4AVABpAG0AZQBsAGkAbgBlALsDIgAsACIAbwB6AC4AQQBiAG8AdQB0AEUAcwBzAGUAbgB0AGkAYQBsAHMAuwMiACwAIgBvAHoALgBDAG8AdQBuAHQAQwC7AyIALAAiAG8AegAuAFMAdQBtAFIAbwB3AHMAuwMiACwAIgBvAHoALgBTAHUAbQBDAG8AbABzALsDIgAsACIAbwB6AC4AQQB2AGcAUgBvAHcAcwC7AyIALAAiAG8AegAuAEEAdgBnAEMAbwBsAHMAuwMiACwAIgBvAHoALgBNAGkAbgBSAG8AdwBzALsDIgAsACIAbwB6AC4ATQBpAG4AQwBvAGwAcwC7AyIALAAiAG8AegAuAE0AYQB4AFIAbwB3AHMAuwMiACwAIgBvAHoALgBNAGEAeABDAG8AbABzALsDIgAsACIAbwB6AC4AQwBvAHUAbgB0AEEAUgBvAHcAcwC7AyIALAAiAG8AegAuAEMAbwB1AG4AdABBAEMAbwBsAHMAuwMiACwAIgBvAHoALgBDAG8AdQBuAHQAUgBvAHcAcwC7AyIALAAiAG8AegAuAEMAbwB1AG4AdABDAG8AbABzALsDIgAsACIAbwB6AC4ASQBzAEIAZQB0AHcAZQBlAG4ARQC7AyIALAAiAG8AegAuAEkAcwBJAG4ATABpAHMAdAC7AyIALAAiAG8AegAuAFIAYQBuAGcAZQBUAG8ARABBAEUAuwMiACwAIgBvAHoALgBBAGIAbwB1AHQARgBpAG4AYQBuAGMAaQBhAGwAuwMiACwAIgBvAHoALgBDAG8AcgBrAHMAYwByAGUAdwC7AyIALAAiAG8AegAuAEMAbwByAGsAUwBjAHIAZQB3AFIAZQB2AGUAcgBzAGEAbAC7AyIALAAiAG8AegAuAEkAbgB0AE8AbgBJAG4AdAC7AyIALAAiAG8AegAuAEkAUgBSALsDIgAsACIAbwB6AC4ATQBvAHYAZQBtAGUAbgB0ALsDIgAsACIAbwB6AC4AUgBlAHYAZQByAHMAYQBsALsDIgAsACIAbwB6AC4AQwB1AG0AdQBsAGEAdABpAHYAZQC7AyIALAAiAG8AegAuAFIAbwBsAGwAaQBuAGcAQQB2AGcAuwMiACwAIgBvAHoALgBSAG8AbABsAGkAbgBnAE0AYQB4ALsDIgAsACIAbwB6AC4AUgBvAGwAbABpAG4AZwBNAGkAbgC7AyIALAAiAG8AegAuAFIAbwBsAGwAaQBuAGcAUwB1AG0AuwMiACwAIgBvAHoALgBTAHUAbQBDAG8AbgB0AGEAaQBuAHMAuwMiACwAIgBvAHoALgBTAHUAbQBQAGUAcgBpAG8AZABzALsDIgAsACIAbwB6AC4AQQBtAG8AcgB0AGkAcwBlALsDIgAsACIAbwB6AC4ATABhAGIAZQBsAEEAbQBvAHIAdABpAHMAZQC7AyIALAAiAG8AegAuAFMAdQBtAEEAbQBvAHIAdABpAHMAZQC7AyIALAAiAG8AegAuAEQAZQBwAHIAZQBjAGkAYQB0AGUAuwMiACwAIgBvAHoALgBMAGEAYgBlAGwARABlAHAAcgBlAGMAaQBhAHQAZQC7AyIALAAiAG8AegAuAEEAbABsAG8AYwBhAHQAZQC7AyIALAAiAG8AegAuAFAAZQByAGkAbwBkAEQAaQBmAGYAuwMiACwAIgBvAHoALgBTAEwATgC7AyIALAAiAG8AegAuAFMAWQBEALsDIgAsACIAbwB6AC4ARABCALsDIgAsACIAbwB6AC4ARABEAEIAuwMiACwAIgBvAHoALgBWAEQAQgC7AyIALAAiAG8AegAuAEEAbQBvAHIAdABpAHMAZQC7A0QAVgAiACwAIgBvAHoALgBDAG8AcgBrAHMAYwByAGUAdwC7A0QAVgAiACwAIgBvAHoALgBEAGUAcAByAGUAYwBpAGEAdABlALsDRABWACIALAAiAG8AegAuAFQAaQBtAGUAbABpAG4AZQBPAGYAZgBzAGUAdAC7AyIALAAiAG8AegAuAFQAaQBtAGUAbABpAG4AZQBQAG8AcwBpAHQAaQBvAG4AuwMiACwAIgBvAHoALgBGAGkAbAB0AGUAcgBDAG8AbgB0AGEAaQBuAHMAuwMiACwAIgBvAHoALgBSAGEAbgBnAGUAVABvAEQAQQC7AyIALAAiAG8AegAuAFAAZQByAGkAbwBkAFMAdABhAHIAdAC7AyIALAAiAG8AegAuAEEAYgBvAHUAdABSAGEAdABpAG8AcwC7AyIALAAiAG8AegAuAEMAdQByAHIAZQBuAHQAUgBhAHQAaQBvALsDIgAsACIAbwB6AC4AUQB1AGkAYwBrAFIAYQB0AGkAbwC7AyIALAAiAG8AegAuAEMAYQBzAGgAUgBhAHQAaQBvALsDIgAsACIAbwB6AC4ATwBwAGUAcgBhAHQAaQBuAGcAQwBhAHMAaABGAGwAbwB3AFIAYQB0AGkAbwC7AyIALAAiAG8AegAuAFIAZQBjAGUAaQB2AGEAYgBsAGUAcwBUAHUAcgBuAG8AdgBlAHIAUgBhAHQAaQBvALsDIgAsACIAbwB6AC4ASQBuAHYAZQBuAHQAbwByAHkAVAB1AHIAbgBvAHYAZQByAFIAYQB0AGkAbwC7AyIALAAiAG8AegAuAFcAbwByAGsAaQBuAGcAQwBhAHAAaQB0AGEAbABUAHUAcgBuAG8AdgBlAHIAUgBhAHQAaQBvALsDIgAsACIAbwB6AC4ARABlAGIAdABSAGEAdABpAG8AuwMiACwAIgBvAHoALgBEAFMAQwBSALsDIgAsACIAbwB6AC4ARABlAGIAdABUAG8AQwBhAHAAaQB0AGEAbABSAGEAdABpAG8AuwMiACwAIgBvAHoALgBFAHEAdQBpAHQAeQBNAHUAbAB0AGkAcABsAGkAZQByALsDIgAsACIAbwB6AC4ARABlAGIAdABUAG8ARQBxAHUAaQB0AHkAUgBhAHQAaQBvALsDIgAsACIAbwB6AC4ARABlAGIAdABUAG8AQQBzAHMAZQB0AFIAYQB0AGkAbwC7AyIALAAiAG8AegAuAEkAbgB0AGUAcgBlAHMAdABDAG8AdgBlAHIAYQBnAGUAUgBhAHQAaQBvALsDIgAsACIAbwB6AC4ARQBxAHUAaQB0AHkAUgBhAHQAaQBvALsDIgAsACIAbwB6AC4AQQBzAHMAZQB0AFQAdQByAG4AbwB2AGUAcgBSAGEAdABpAG8AuwMiACwAIgBvAHoALgBEAFMASQC7AyIALAAiAG8AegAuAE8AcABlAHIAYQB0AGkAbgBnAFIAYQB0AGkAbwC7AyIALAAiAG8AegAuAEcAcgBvAHMAcwBNAGEAcgBnAGkAbgC7AyIALAAiAG8AegAuAEUAQgBJAFQARABBAE0AYQByAGcAaQBuALsDIgAsACIAbwB6AC4ATwBwAGUAcgBhAHQAaQBuAGcATQBhAHIAZwBpAG4AuwMiACwAIgBvAHoALgBQAHIAZQB0AGEAeABNAGEAcgBnAGkAbgC7AyIALAAiAG8AegAuAE4AZQB0AFAAcgBvAGYAaQB0AE0AYQByAGcAaQBuALsDIgAsACIAbwB6AC4AQwBhAHMAaABGAGwAbwB3AE0AYQByAGcAaQBuALsDIgAsACIAbwB6AC4AUgBPAEEAuwMiACwAIgBvAHoALgBSAE8ARQC7AyIALAAiAG8AegAuAFIATwBJALsDIgAsACIAbwB6AC4AUgBPAEkAQwC7AyIALAAiAG8AegAuAFAAcgBpAGMAZQBFAGEAcgBuAGkAbgBnAHMAUgBhAHQAaQBvALsDIgAsACIAbwB6AC4AUAByAGkAYwBlAFQAbwBCAG8AbwBrAFIAYQB0AGkAbwC7AyIALAAiAG8AegAuAFAAcgBpAGMAZQBUAG8AUwBhAGwAZQBzAFIAYQB0AGkAbwC7AyIALAAiAG8AegAuAFAAcgBpAGMAZQBUAG8AQwBhAHMAaABSAGEAdABpAG8AuwMiACwAIgBvAHoALgBCAFYAUABTALsDIgAsACIAbwB6AC4AQwBBAFAARQBSAGEAdABpAG8AuwMiACwAIgBvAHoALgBEAFAAUgC7AyIALAAiAG8AegAuAEQAaQB2AGkAZABlAG4AZABZAGkAZQBsAGQAUgBhAHQAaQBvALsDIgAsACIAbwB6AC4ARQBQAFMAuwMiACwAIgBvAHoALgBSAGUAdABlAG4AdABpAG8AbgBSAGEAdABpAG8AuwMiACwAIgBvAHoALgBBAGIAbwB1AHQAVQB0AGkAbABpAHQAaQBlAHMAuwMiACwAIgBvAHoALgBDAG8AdQBuAHQAQwBVALsDIgAsACIAbwB6AC4AUwB1AG0AUgBvAHcAcwBVALsDIgAsACIAbwB6AC4AUwB1AG0AQwBvAGwAcwBVALsDIgAsACIAbwB6AC4AQQB2AGcAUgBvAHcAcwBVALsDIgAsACIAbwB6AC4AQQB2AGcAQwBvAGwAcwBVALsDIgAsACIAbwB6AC4ATQBpAG4AUgBvAHcAcwBVALsDIgAsACIAbwB6AC4ATQBpAG4AQwBvAGwAcwBVALsDIgAsACIAbwB6AC4ATQBhAHgAUgBvAHcAcwBVALsDIgAsACIAbwB6AC4ATQBhAHgAQwBvAGwAcwBVALsDIgAsACIAbwB6AC4AQwBvAHUAbgB0AEEAUgBvAHcAcwBVALsDIgAsACIAbwB6AC4AQwBvAHUAbgB0AEEAQwBvAGwAcwBVALsDIgAsACIAbwB6AC4AQwBvAHUAbgB0AFIAbwB3AHMAVQC7AyIALAAiAG8AegAuAEMAbwB1AG4AdABDAG8AbABzAFUAuwMiACwAIgBvAHoALgBJAHMAQgBlAHQAdwBlAGUAbgBVALsDIgAsACIAbwB6AC4ASQBzAEkAbgBMAGkAcwB0AFUAuwMiACwAIgBvAHoALgBSAGEAbgBnAGUAVABvAEQAQQBVALsDIgAsACIAbwB6AC4AUwB1AG0ARABlAHAAcgBlAGMAaQBhAHQAZQC7AyIALAAiAG8AegAuAEQAaQBtAGkAbgBpAHMAaABpAG4AZwBWAGEAbAB1AGUAuwMiACwAIgBvAHoALgBQAHIAaQBtAGUAQwBvAHMAdAC7AyIALAAiAG8AegAuAEcAUwBUAEEAZABkALsDIgAsACIAbwB6AC4ARwBTAFQARQB4AHQAcgBhAGMAdAC7AyIALAAiAG8AegAuAEwAZQBhAHMAZQBMAGkAYQBiAGkAbABpAHQAeQC7AyIALAAiAG8AegAuAEwAZQBhAHMAZQBSAGUAbQBlAGEAcwB1AHIAZQC7AyIALAAiAG8AegAuAEwAZQBhAHMAZQBTAGMAaABlAGQAdQBsAGUAuwMiACwAIgBvAHoALgBSAE8AVQBTAGMAaABlAGQAdQBsAGUAuwMiACwAIgBvAHoALgBGAGkAbgBhAG4AYwBpAGEAbABZAGUAYQBy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hAHUAIgB9AH0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50</vt:i4>
      </vt:variant>
      <vt:variant>
        <vt:lpstr>Named Ranges</vt:lpstr>
      </vt:variant>
      <vt:variant>
        <vt:i4>6</vt:i4>
      </vt:variant>
    </vt:vector>
  </HeadingPairs>
  <TitlesOfParts>
    <vt:vector size="56" baseType="lpstr">
      <vt:lpstr>Cover</vt:lpstr>
      <vt:lpstr>TOC</vt:lpstr>
      <vt:lpstr>Data Validation</vt:lpstr>
      <vt:lpstr>Australian tax</vt:lpstr>
      <vt:lpstr>FMTs</vt:lpstr>
      <vt:lpstr>oz.CountDOWλ</vt:lpstr>
      <vt:lpstr>oz.IsBetweenλ</vt:lpstr>
      <vt:lpstr>oz.IsOccurrenceDateλ</vt:lpstr>
      <vt:lpstr>oz.OverLapDaysλ</vt:lpstr>
      <vt:lpstr>oz.Periodsλ</vt:lpstr>
      <vt:lpstr>oz.PeriodLabelλ</vt:lpstr>
      <vt:lpstr>oz.ScheduleRatesλ</vt:lpstr>
      <vt:lpstr>oz.ScheduleRatesByItemsλ</vt:lpstr>
      <vt:lpstr>oz.ScheduleValuesλ</vt:lpstr>
      <vt:lpstr>oz.ScheduleValuesByItemsλ</vt:lpstr>
      <vt:lpstr>oz.Timelineλ</vt:lpstr>
      <vt:lpstr>oz.Amortiseλ</vt:lpstr>
      <vt:lpstr>oz.LabelAmortiseλ</vt:lpstr>
      <vt:lpstr>oz.SumAmortiseλ</vt:lpstr>
      <vt:lpstr>oz.Corkscrewλ</vt:lpstr>
      <vt:lpstr>oz.Cumulativeλ</vt:lpstr>
      <vt:lpstr>oz.Depreciateλ</vt:lpstr>
      <vt:lpstr>oz.LabelDepreciateλ</vt:lpstr>
      <vt:lpstr>oz.SumDepreciateλ</vt:lpstr>
      <vt:lpstr>oz.SumContainsλ</vt:lpstr>
      <vt:lpstr>oz.IntOnIntλ</vt:lpstr>
      <vt:lpstr>oz.IRRλ</vt:lpstr>
      <vt:lpstr>oz.Reversalλ</vt:lpstr>
      <vt:lpstr>oz.Movementλ</vt:lpstr>
      <vt:lpstr>oz.RollingSumλ</vt:lpstr>
      <vt:lpstr>oz.SumPeriodsλ</vt:lpstr>
      <vt:lpstr>oz.TimelineOffsetλ</vt:lpstr>
      <vt:lpstr>oz.TimelinePositionλ</vt:lpstr>
      <vt:lpstr>oz.AboutEssentialsλ</vt:lpstr>
      <vt:lpstr>oz.CountCλ</vt:lpstr>
      <vt:lpstr>oz.SumRowsλ</vt:lpstr>
      <vt:lpstr>oz.SumColsλ</vt:lpstr>
      <vt:lpstr>oz.AvgRowsλ</vt:lpstr>
      <vt:lpstr>oz.AvgColsλ</vt:lpstr>
      <vt:lpstr>oz.MinRowsλ</vt:lpstr>
      <vt:lpstr>oz.MinColsλ</vt:lpstr>
      <vt:lpstr>oz.MaxRowsλ</vt:lpstr>
      <vt:lpstr>oz.MaxColsλ</vt:lpstr>
      <vt:lpstr>oz.CountRowsλ</vt:lpstr>
      <vt:lpstr>oz.CountColsλ</vt:lpstr>
      <vt:lpstr>oz.CountARowsλ</vt:lpstr>
      <vt:lpstr>oz.CountAColsλ</vt:lpstr>
      <vt:lpstr>oz.IsBetweenEλ</vt:lpstr>
      <vt:lpstr>oz.RangeToDAEλ</vt:lpstr>
      <vt:lpstr>oz.FinancialRatios</vt:lpstr>
      <vt:lpstr>oz.Amortiseλ!Print_Area</vt:lpstr>
      <vt:lpstr>oz.Depreciateλ!Print_Area</vt:lpstr>
      <vt:lpstr>oz.IsOccurrenceDateλ!Print_Area</vt:lpstr>
      <vt:lpstr>oz.SumAmortiseλ!Print_Area</vt:lpstr>
      <vt:lpstr>oz.SumPeriodsλ!Print_Area</vt:lpstr>
      <vt:lpstr>oz.TimelineOffsetλ!Print_Area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Ozzit</dc:title>
  <dc:subject>LAMBDA function library for dynamic-array financial models</dc:subject>
  <dc:creator>Ozzit project</dc:creator>
  <cp:lastModifiedBy>Ryan Duguid</cp:lastModifiedBy>
  <dcterms:created xsi:type="dcterms:W3CDTF">2023-08-10T15:46:16Z</dcterms:created>
  <dcterms:modified xsi:type="dcterms:W3CDTF">2026-08-19T21:32:52Z</dcterms:modified>
</cp:coreProperties>
</file>