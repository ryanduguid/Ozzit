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dc28a18f5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ention reconciliation" sheetId="1" r:id="Rabc268110178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/m/yyyy"/>
    <x:numFmt numFmtId="201" formatCode="0.000"/>
    <x:numFmt numFmtId="202" formatCode="#,##0.00;(#,##0.00);&quot;-&quot;"/>
    <x:numFmt numFmtId="203" formatCode="#,##0.00;(#,##0.00);&quot;0.00&quot;"/>
    <x:numFmt numFmtId="204" formatCode="&quot;$&quot;#,##0.00;(&quot;$&quot;#,##0.00);&quot;-&quot;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i/>
      <x:sz val="10"/>
      <x:name val="Arial"/>
    </x:font>
    <x:font>
      <x:sz val="10"/>
      <x:color rgb="FF2455A4"/>
      <x:name val="Arial"/>
    </x:font>
    <x:font>
      <x:sz val="10"/>
      <x:color rgb="FFFFFFF0"/>
      <x:name val="Arial"/>
    </x:font>
    <x:font>
      <x:b/>
      <x:sz val="10"/>
      <x:color rgb="FFFFFFF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2">
    <x:border/>
    <x:border>
      <x:top style="thin">
        <x:color rgb="FF6E6862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203" fontId="2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horizontal="right" vertical="center"/>
    </x:xf>
    <x:xf numFmtId="203" fontId="9" fillId="0" borderId="0" xfId="0" applyNumberFormat="1" applyFont="1" applyFill="1" applyBorder="1" applyAlignment="1">
      <x:alignment horizontal="right" vertical="center"/>
    </x:xf>
    <x:xf numFmtId="0" fontId="9" fillId="0" borderId="1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horizontal="right" vertical="center"/>
    </x:xf>
    <x:xf numFmtId="203" fontId="9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color rgb="FF990024"/>
      </x:font>
      <x:fill>
        <x:patternFill patternType="solid">
          <x:bgColor rgb="FFF0D9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4dba7ec024369" /><Relationship Type="http://schemas.openxmlformats.org/officeDocument/2006/relationships/theme" Target="/xl/theme/theme1.xml" Id="Rac0d22dd98d7414c" /><Relationship Type="http://schemas.openxmlformats.org/officeDocument/2006/relationships/sharedStrings" Target="/xl/sharedStrings.xml" Id="R6bd01fae46a744d7" /><Relationship Type="http://schemas.openxmlformats.org/officeDocument/2006/relationships/worksheet" Target="/xl/worksheets/sheet1.xml" Id="Rabc268110178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00000"/>
      </a:dk2>
      <a:lt2>
        <a:srgbClr val="FFFFF0"/>
      </a:lt2>
      <a:accent1>
        <a:srgbClr val="66023C"/>
      </a:accent1>
      <a:accent2>
        <a:srgbClr val="990024"/>
      </a:accent2>
      <a:accent3>
        <a:srgbClr val="E5E4E2"/>
      </a:accent3>
      <a:accent4>
        <a:srgbClr val="6E6862"/>
      </a:accent4>
      <a:accent5>
        <a:srgbClr val="B1AFAD"/>
      </a:accent5>
      <a:accent6>
        <a:srgbClr val="DCDAD7"/>
      </a:accent6>
      <a:hlink>
        <a:srgbClr val="66023C"/>
      </a:hlink>
      <a:folHlink>
        <a:srgbClr val="990024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4" hidden="0" customWidth="1"/>
    <x:col min="8" max="8" width="25" hidden="0" customWidth="1"/>
    <x:col min="9" max="9" width="32" hidden="0" customWidth="1"/>
    <x:col min="10" max="10" width="19" hidden="0" customWidth="1"/>
  </x:cols>
  <x:sheetData>
    <x:row r="1">
      <x:c r="A1" s="5" t="str">
        <x:v>Retention reconciliation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Fabricated construction workpaper. AUD, GST-inclusive retained balances.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 t="str">
        <x:v>Period start</x:v>
      </x:c>
      <x:c r="B4" s="9" t="n">
        <x:v>46204</x:v>
      </x:c>
      <x:c r="C4" s="3"/>
      <x:c r="D4" s="3"/>
      <x:c r="E4" s="3" t="str">
        <x:v>Closing schedule</x:v>
      </x:c>
      <x:c r="F4" s="22" t="n">
        <x:f>E14</x:f>
        <x:v>58000</x:v>
      </x:c>
      <x:c r="G4" s="3"/>
      <x:c r="H4" s="3" t="str">
        <x:v>Rows to review</x:v>
      </x:c>
      <x:c r="I4" s="3"/>
      <x:c r="J4" s="3" t="n">
        <x:f>COUNTIFS(J10:J12,"&lt;&gt;Tied")</x:f>
        <x:v>1</x:v>
      </x:c>
    </x:row>
    <x:row r="5">
      <x:c r="A5" s="3" t="str">
        <x:v>Period end</x:v>
      </x:c>
      <x:c r="B5" s="9" t="n">
        <x:v>46295</x:v>
      </x:c>
      <x:c r="C5" s="3"/>
      <x:c r="D5" s="3"/>
      <x:c r="E5" s="3" t="str">
        <x:v>Ledger control</x:v>
      </x:c>
      <x:c r="F5" s="22" t="n">
        <x:f>F14</x:f>
        <x:v>57750</x:v>
      </x:c>
      <x:c r="G5" s="3"/>
      <x:c r="H5" s="3" t="str">
        <x:v>Missing inputs</x:v>
      </x:c>
      <x:c r="I5" s="3"/>
      <x:c r="J5" s="3" t="n">
        <x:f>COUNTIFS(J10:J12,"Missing input")+COUNTIFS(J10:J12,"Missing evidence")</x:f>
        <x:v>0</x:v>
      </x:c>
    </x:row>
    <x:row r="6">
      <x:c r="A6" s="3" t="str">
        <x:v>Tolerance (AUD)</x:v>
      </x:c>
      <x:c r="B6" s="10" t="n">
        <x:v>0.005</x:v>
      </x:c>
      <x:c r="C6" s="3"/>
      <x:c r="D6" s="3"/>
      <x:c r="E6" s="3"/>
      <x:c r="F6" s="3"/>
      <x:c r="G6" s="3"/>
      <x:c r="H6" s="3"/>
      <x:c r="I6" s="3"/>
      <x:c r="J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32" customHeight="1">
      <x:c r="A9" s="15" t="str">
        <x:v>Contract</x:v>
      </x:c>
      <x:c r="B9" s="15" t="str">
        <x:v>Opening</x:v>
      </x:c>
      <x:c r="C9" s="15" t="str">
        <x:v>Withheld</x:v>
      </x:c>
      <x:c r="D9" s="15" t="str">
        <x:v>Released</x:v>
      </x:c>
      <x:c r="E9" s="15" t="str">
        <x:v>Closing schedule</x:v>
      </x:c>
      <x:c r="F9" s="15" t="str">
        <x:v>Ledger closing</x:v>
      </x:c>
      <x:c r="G9" s="15" t="str">
        <x:v>Difference</x:v>
      </x:c>
      <x:c r="H9" s="15" t="str">
        <x:v>Source reference</x:v>
      </x:c>
      <x:c r="I9" s="15" t="str">
        <x:v>Review note</x:v>
      </x:c>
      <x:c r="J9" s="15" t="str">
        <x:v>Row result</x:v>
      </x:c>
    </x:row>
    <x:row r="10" ht="36" customHeight="1">
      <x:c r="A10" s="17" t="str">
        <x:v>JOB-01</x:v>
      </x:c>
      <x:c r="B10" s="23" t="n">
        <x:v>45000</x:v>
      </x:c>
      <x:c r="C10" s="23" t="n">
        <x:v>5000</x:v>
      </x:c>
      <x:c r="D10" s="23" t="n">
        <x:v>0</x:v>
      </x:c>
      <x:c r="E10" s="24" t="n">
        <x:f>IF(COUNT(B10:D10)=3,SUM(B10:C10)-D10,"Missing input")</x:f>
        <x:v>50000</x:v>
      </x:c>
      <x:c r="F10" s="23" t="n">
        <x:v>49750</x:v>
      </x:c>
      <x:c r="G10" s="25" t="n">
        <x:f>IF(COUNT(E10,F10)=2,E10-F10,"Missing input")</x:f>
        <x:v>250</x:v>
      </x:c>
      <x:c r="H10" s="18" t="str">
        <x:v>Fabricated cert A</x:v>
      </x:c>
      <x:c r="I10" s="18" t="str">
        <x:v>Explain the $250 difference</x:v>
      </x:c>
      <x:c r="J10" s="16" t="str">
        <x:f>IF(OR(A10="",COUNT(B10:D10,F10,$B$6)&lt;&gt;5,$B$6&lt;0,COUNT($B$4:$B$5)&lt;&gt;2,$B$4&gt;$B$5),"Missing input",IF(COUNTIFS($A$10:$A$12,A10)&gt;1,"Duplicate contract",IF(H10="","Missing evidence",IF(ABS(G10)&lt;=$B$6,"Tied","Review"))))</x:f>
        <x:v>Review</x:v>
      </x:c>
    </x:row>
    <x:row r="11" ht="36" customHeight="1">
      <x:c r="A11" s="17" t="str">
        <x:v>JOB-02</x:v>
      </x:c>
      <x:c r="B11" s="23" t="n">
        <x:v>10000</x:v>
      </x:c>
      <x:c r="C11" s="23" t="n">
        <x:v>2000</x:v>
      </x:c>
      <x:c r="D11" s="23" t="n">
        <x:v>4000</x:v>
      </x:c>
      <x:c r="E11" s="24" t="n">
        <x:f>IF(COUNT(B11:D11)=3,SUM(B11:C11)-D11,"Missing input")</x:f>
        <x:v>8000</x:v>
      </x:c>
      <x:c r="F11" s="23" t="n">
        <x:v>8000</x:v>
      </x:c>
      <x:c r="G11" s="25" t="n">
        <x:f>IF(COUNT(E11,F11)=2,E11-F11,"Missing input")</x:f>
        <x:v>0</x:v>
      </x:c>
      <x:c r="H11" s="18" t="str">
        <x:v>Fabricated cert B</x:v>
      </x:c>
      <x:c r="I11" s="18" t="str">
        <x:v>Matched to supplied ledger</x:v>
      </x:c>
      <x:c r="J11" s="16" t="str">
        <x:f>IF(OR(A11="",COUNT(B11:D11,F11,$B$6)&lt;&gt;5,$B$6&lt;0,COUNT($B$4:$B$5)&lt;&gt;2,$B$4&gt;$B$5),"Missing input",IF(COUNTIFS($A$10:$A$12,A11)&gt;1,"Duplicate contract",IF(H11="","Missing evidence",IF(ABS(G11)&lt;=$B$6,"Tied","Review"))))</x:f>
        <x:v>Tied</x:v>
      </x:c>
    </x:row>
    <x:row r="12" ht="36" customHeight="1">
      <x:c r="A12" s="17" t="str">
        <x:v>JOB-03</x:v>
      </x:c>
      <x:c r="B12" s="23" t="n">
        <x:v>0</x:v>
      </x:c>
      <x:c r="C12" s="23" t="n">
        <x:v>0</x:v>
      </x:c>
      <x:c r="D12" s="23" t="n">
        <x:v>0</x:v>
      </x:c>
      <x:c r="E12" s="24" t="n">
        <x:f>IF(COUNT(B12:D12)=3,SUM(B12:C12)-D12,"Missing input")</x:f>
        <x:v>0</x:v>
      </x:c>
      <x:c r="F12" s="23" t="n">
        <x:v>0</x:v>
      </x:c>
      <x:c r="G12" s="25" t="n">
        <x:f>IF(COUNT(E12,F12)=2,E12-F12,"Missing input")</x:f>
        <x:v>0</x:v>
      </x:c>
      <x:c r="H12" s="18" t="str">
        <x:v>Fabricated nil confirmation</x:v>
      </x:c>
      <x:c r="I12" s="18" t="str">
        <x:v>No retention this period</x:v>
      </x:c>
      <x:c r="J12" s="16" t="str">
        <x:f>IF(OR(A12="",COUNT(B12:D12,F12,$B$6)&lt;&gt;5,$B$6&lt;0,COUNT($B$4:$B$5)&lt;&gt;2,$B$4&gt;$B$5),"Missing input",IF(COUNTIFS($A$10:$A$12,A12)&gt;1,"Duplicate contract",IF(H12="","Missing evidence",IF(ABS(G12)&lt;=$B$6,"Tied","Review"))))</x:f>
        <x:v>Tied</x:v>
      </x:c>
    </x:row>
    <x:row r="13">
      <x:c r="A13" s="3"/>
      <x:c r="B13" s="24"/>
      <x:c r="C13" s="24"/>
      <x:c r="D13" s="24"/>
      <x:c r="E13" s="24"/>
      <x:c r="F13" s="24"/>
      <x:c r="G13" s="25"/>
      <x:c r="H13" s="3"/>
      <x:c r="I13" s="3"/>
      <x:c r="J13" s="3"/>
    </x:row>
    <x:row r="14">
      <x:c r="A14" s="29" t="str">
        <x:v>Total</x:v>
      </x:c>
      <x:c r="B14" s="30" t="n">
        <x:f>IF(COUNT(B10:B12)=3,SUM(B10:B12),"Missing input")</x:f>
        <x:v>55000</x:v>
      </x:c>
      <x:c r="C14" s="30" t="n">
        <x:f>IF(COUNT(C10:C12)=3,SUM(C10:C12),"Missing input")</x:f>
        <x:v>7000</x:v>
      </x:c>
      <x:c r="D14" s="30" t="n">
        <x:f>IF(COUNT(D10:D12)=3,SUM(D10:D12),"Missing input")</x:f>
        <x:v>4000</x:v>
      </x:c>
      <x:c r="E14" s="30" t="n">
        <x:f>IF(COUNT(E10:E12)=3,SUM(E10:E12),"Missing input")</x:f>
        <x:v>58000</x:v>
      </x:c>
      <x:c r="F14" s="30" t="n">
        <x:f>IF(COUNT(F10:F12)=3,SUM(F10:F12),"Missing input")</x:f>
        <x:v>57750</x:v>
      </x:c>
      <x:c r="G14" s="31" t="n">
        <x:f>IF(COUNT(G10:G12)=3,SUM(G10:G12),"Missing input")</x:f>
        <x:v>250</x:v>
      </x:c>
      <x:c r="H14" s="3"/>
      <x:c r="I14" s="3"/>
      <x:c r="J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>
      <x:c r="A17" s="6" t="str">
        <x:v>Blue cells are inputs. Replace the fabricated records and keep each source reference with its contract.</x:v>
      </x:c>
      <x:c r="B17" s="3"/>
      <x:c r="C17" s="3"/>
      <x:c r="D17" s="3"/>
      <x:c r="E17" s="3"/>
      <x:c r="F17" s="3"/>
      <x:c r="G17" s="3"/>
      <x:c r="H17" s="3"/>
      <x:c r="I17" s="3"/>
      <x:c r="J17" s="3"/>
    </x:row>
    <x:row r="18">
      <x:c r="A18" s="6" t="str">
        <x:v>A tied total cannot clear differences in individual contracts. Explain and resolve each row marked Review.</x:v>
      </x:c>
      <x:c r="B18" s="3"/>
      <x:c r="C18" s="3"/>
      <x:c r="D18" s="3"/>
      <x:c r="E18" s="3"/>
      <x:c r="F18" s="3"/>
      <x:c r="G18" s="3"/>
      <x:c r="H18" s="3"/>
      <x:c r="I18" s="3"/>
      <x:c r="J18" s="3"/>
    </x:row>
    <x:row r="19">
      <x:c r="A19" s="6" t="str">
        <x:v>Source: fabricated opening balances, certificates and ledger controls supplied in this workbook.</x:v>
      </x:c>
      <x:c r="B19" s="3"/>
      <x:c r="C19" s="3"/>
      <x:c r="D19" s="3"/>
      <x:c r="E19" s="3"/>
      <x:c r="F19" s="3"/>
      <x:c r="G19" s="3"/>
      <x:c r="H19" s="3"/>
      <x:c r="I19" s="3"/>
      <x:c r="J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</x:sheetData>
  <x:conditionalFormatting sqref="G10:G12">
    <x:cfRule type="expression" dxfId="0" priority="1">
      <x:formula>AND(ISNUMBER(G10),ABS(G10)&gt;$B$6)</x:formula>
    </x:cfRule>
  </x:conditionalFormatting>
  <x:conditionalFormatting sqref="J10:J12">
    <x:cfRule type="containsText" dxfId="1" priority="2" operator="containsText" text="Missing"/>
  </x:conditionalFormatting>
  <x:pageMargins left="0.7" right="0.7" top="0.75" bottom="0.75" header="0.3" footer="0.3"/>
</x:worksheet>
</file>