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a7afb8f1164f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e53cff34fb3404f"/>
    <x:sheet xmlns:r="http://schemas.openxmlformats.org/officeDocument/2006/relationships" name="Dashboard" sheetId="2" r:id="Ra5d9b34592c44d08"/>
    <x:sheet xmlns:r="http://schemas.openxmlformats.org/officeDocument/2006/relationships" name="Assumptions" sheetId="3" r:id="R02020629f966456b"/>
    <x:sheet xmlns:r="http://schemas.openxmlformats.org/officeDocument/2006/relationships" name="13-Week Forecast" sheetId="4" r:id="R9a98a45bf36543f2"/>
    <x:sheet xmlns:r="http://schemas.openxmlformats.org/officeDocument/2006/relationships" name="Weekly Review" sheetId="5" r:id="R4948e13d0d524a0f"/>
    <x:sheet xmlns:r="http://schemas.openxmlformats.org/officeDocument/2006/relationships" name="Checks &amp; Sources" sheetId="6" r:id="R758b2f2e63254719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tc={75DE23CE-A935-BFA0-98B0-716B59A88F03}</x:author>
    <x:author>tc={2E978C1C-A140-5B1A-8A5A-5E0CB2034512}</x:author>
    <x:author>tc={AB4F57D7-7C83-4B35-BCE8-54405C1832F3}</x:author>
    <x:author>tc={F00DFA9B-E108-DC3D-4302-EF7DC2B4B9ED}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 mmm yyyy"/>
    <x:numFmt numFmtId="201" formatCode="&quot;$&quot;#,##0;[Red](&quot;$&quot;#,##0);-"/>
    <x:numFmt numFmtId="202" formatCode="0.0%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1"/>
      <x:color rgb="FF008000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1" fontId="0" fillId="3" borderId="0" xfId="0" applyNumberFormat="1" applyFont="1" applyFill="1" applyBorder="1"/>
    <x:xf numFmtId="0" fontId="13" fillId="7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192966a4bf48fb" /><Relationship Type="http://schemas.openxmlformats.org/officeDocument/2006/relationships/theme" Target="/xl/theme/theme1.xml" Id="Ra72ff26ef699429e" /><Relationship Type="http://schemas.openxmlformats.org/officeDocument/2006/relationships/sharedStrings" Target="/xl/sharedStrings.xml" Id="R11d55ef525db48e9" /><Relationship Type="http://schemas.openxmlformats.org/officeDocument/2006/relationships/worksheet" Target="/xl/worksheets/sheet1.xml" Id="R3e53cff34fb3404f" /><Relationship Type="http://schemas.openxmlformats.org/officeDocument/2006/relationships/worksheet" Target="/xl/worksheets/sheet2.xml" Id="Ra5d9b34592c44d08" /><Relationship Type="http://schemas.openxmlformats.org/officeDocument/2006/relationships/worksheet" Target="/xl/worksheets/sheet3.xml" Id="R02020629f966456b" /><Relationship Type="http://schemas.openxmlformats.org/officeDocument/2006/relationships/worksheet" Target="/xl/worksheets/sheet4.xml" Id="R9a98a45bf36543f2" /><Relationship Type="http://schemas.openxmlformats.org/officeDocument/2006/relationships/worksheet" Target="/xl/worksheets/sheet5.xml" Id="R4948e13d0d524a0f" /><Relationship Type="http://schemas.openxmlformats.org/officeDocument/2006/relationships/worksheet" Target="/xl/worksheets/sheet6.xml" Id="R758b2f2e63254719" /><Relationship Type="http://schemas.microsoft.com/office/2017/10/relationships/person" Target="/xl/persons/person.xml" Id="R265465a6945746be" /></Relationships>
</file>

<file path=xl/persons/person.xml><?xml version="1.0" encoding="utf-8"?>
<xltc:personList xmlns:xltc="http://schemas.microsoft.com/office/spreadsheetml/2018/threadedcomments">
  <xltc:person displayName="User" id="{D45FE37B-BE5A-40E8-9106-C3ABA403F384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3:28:35.39" personId="{D45FE37B-BE5A-40E8-9106-C3ABA403F384}" id="{75DE23CE-A935-BFA0-98B0-716B59A88F03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3:28:35.391" personId="{D45FE37B-BE5A-40E8-9106-C3ABA403F384}" id="{2E978C1C-A140-5B1A-8A5A-5E0CB2034512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3:28:35.391" personId="{D45FE37B-BE5A-40E8-9106-C3ABA403F384}" id="{AB4F57D7-7C83-4B35-BCE8-54405C1832F3}">
    <xltc:text>GST / BAS cash timing is illustrative. Confirm your entity's reporting cycle, due date and payment arrangement before relying on this forecast.</xltc:text>
  </xltc:threadedComment>
  <xltc:threadedComment ref="B35" dT="2026-08-26T13:28:35.391" personId="{D45FE37B-BE5A-40E8-9106-C3ABA403F384}" id="{F00DFA9B-E108-DC3D-4302-EF7DC2B4B9ED}">
    <xltc:text>PAYG income-tax instalment timing and amount are illustrative. Confirm the applicable ATO notice and adviser instructions.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7bb4125062b14ae1" /><Relationship Type="http://schemas.openxmlformats.org/officeDocument/2006/relationships/vmlDrawing" Target="/xl/drawings/vmldrawing.vml" Id="Re5578828a6574f7e" /><Relationship Type="http://schemas.microsoft.com/office/2017/10/relationships/threadedComment" Target="/xl/threadedcomments/threadedcomment.xml" Id="R73715a9d059845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23" t="str">
        <x:v>Quick links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1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1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2" t="e">
        <x:f>HYPERLINK("#'Weekly Review'!A1","Weekly Review")</x:f>
        <x:v>HYPERLINK is not implemented. linkLocation=#'Weekly Review'!A1, friendlyName=Weekly Review</x:v>
      </x:c>
    </x:row>
    <x:row r="11">
      <x:c r="D11" s="1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Management view. Formula-linked KPI cards, charts and liquidity outlook are added in the dashboard build step.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</x:row>
    <x:row r="6" ht="32" customHeight="1">
      <x:c r="A6" s="28" t="str">
        <x:v>Selected scenario</x:v>
      </x:c>
      <x:c r="B6" s="28" t="str">
        <x:v>Week 13 closing cash</x:v>
      </x:c>
      <x:c r="C6" s="28" t="str">
        <x:v>Lowest closing cash</x:v>
      </x:c>
      <x:c r="D6" s="28" t="str">
        <x:v>Minimum buffer</x:v>
      </x:c>
      <x:c r="E6" s="28" t="str">
        <x:v>Minimum headroom</x:v>
      </x:c>
      <x:c r="F6" s="28" t="str">
        <x:v>Weeks below buffer</x:v>
      </x:c>
    </x:row>
    <x:row r="7">
      <x:c r="A7" t="str">
        <x:v>Linked in build 3</x:v>
      </x:c>
      <x:c r="B7" t="str">
        <x:v>Linked in build 3</x:v>
      </x:c>
      <x:c r="C7" t="str">
        <x:v>Linked in build 3</x:v>
      </x:c>
      <x:c r="D7" t="str">
        <x:v>Linked in build 3</x:v>
      </x:c>
      <x:c r="E7" t="str">
        <x:v>Linked in build 3</x:v>
      </x:c>
      <x:c r="F7" t="str">
        <x:v>Linked in build 3</x:v>
      </x:c>
    </x:row>
    <x:row r="9">
      <x:c r="A9" s="14" t="str">
        <x:v>Liquidity outlook</x:v>
      </x:c>
      <x:c r="B9" s="14" t="str">
        <x:v>Week ending</x:v>
      </x:c>
      <x:c r="C9" s="14" t="str">
        <x:v>Closing cash</x:v>
      </x:c>
      <x:c r="D9" s="14" t="str">
        <x:v>Headroom</x:v>
      </x:c>
    </x:row>
  </x:sheetData>
  <x:mergeCells>
    <x:mergeCell ref="A1:O1"/>
    <x:mergeCell ref="A2:O2"/>
    <x:mergeCell ref="A4:O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9" t="str">
        <x:v>Illustrative Australian business</x:v>
      </x:c>
    </x:row>
    <x:row r="6">
      <x:c r="A6" t="str">
        <x:v>Currency</x:v>
      </x:c>
      <x:c r="B6" s="29" t="str">
        <x:v>AUD</x:v>
      </x:c>
    </x:row>
    <x:row r="7">
      <x:c r="A7" t="str">
        <x:v>Units</x:v>
      </x:c>
      <x:c r="B7" s="29" t="str">
        <x:v>Whole dollars</x:v>
      </x:c>
    </x:row>
    <x:row r="8">
      <x:c r="A8" t="str">
        <x:v>Forecast start date</x:v>
      </x:c>
      <x:c r="B8" s="30" t="n">
        <x:v>46265</x:v>
      </x:c>
    </x:row>
    <x:row r="9">
      <x:c r="A9" t="str">
        <x:v>As-at date</x:v>
      </x:c>
      <x:c r="B9" s="30" t="n">
        <x:v>46271</x:v>
      </x:c>
    </x:row>
    <x:row r="10">
      <x:c r="A10" t="str">
        <x:v>Opening cash</x:v>
      </x:c>
      <x:c r="B10" s="31" t="n">
        <x:v>400000</x:v>
      </x:c>
    </x:row>
    <x:row r="11">
      <x:c r="A11" t="str">
        <x:v>Minimum cash buffer</x:v>
      </x:c>
      <x:c r="B11" s="31" t="n">
        <x:v>100000</x:v>
      </x:c>
    </x:row>
    <x:row r="12">
      <x:c r="A12" t="str">
        <x:v>Selected scenario</x:v>
      </x:c>
      <x:c r="B12" s="29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2" t="n">
        <x:v>1</x:v>
      </x:c>
      <x:c r="D15" s="32" t="n">
        <x:v>1</x:v>
      </x:c>
      <x:c r="E15" s="16" t="str">
        <x:v>Current operating expectation</x:v>
      </x:c>
    </x:row>
    <x:row r="16">
      <x:c r="B16" s="16" t="str">
        <x:v>Upside</x:v>
      </x:c>
      <x:c r="C16" s="32" t="n">
        <x:v>1.08</x:v>
      </x:c>
      <x:c r="D16" s="32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2" t="n">
        <x:v>0.85</x:v>
      </x:c>
      <x:c r="D17" s="32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4" t="n">
        <x:f>'Assumptions'!$B$8</x:f>
        <x:v>46265</x:v>
      </x:c>
      <x:c r="C5" s="34" t="n">
        <x:f>B5+7</x:f>
        <x:v>46272</x:v>
      </x:c>
      <x:c r="D5" s="34" t="n">
        <x:f>C5+7</x:f>
        <x:v>46279</x:v>
      </x:c>
      <x:c r="E5" s="34" t="n">
        <x:f>D5+7</x:f>
        <x:v>46286</x:v>
      </x:c>
      <x:c r="F5" s="34" t="n">
        <x:f>E5+7</x:f>
        <x:v>46293</x:v>
      </x:c>
      <x:c r="G5" s="34" t="n">
        <x:f>F5+7</x:f>
        <x:v>46300</x:v>
      </x:c>
      <x:c r="H5" s="34" t="n">
        <x:f>G5+7</x:f>
        <x:v>46307</x:v>
      </x:c>
      <x:c r="I5" s="34" t="n">
        <x:f>H5+7</x:f>
        <x:v>46314</x:v>
      </x:c>
      <x:c r="J5" s="34" t="n">
        <x:f>I5+7</x:f>
        <x:v>46321</x:v>
      </x:c>
      <x:c r="K5" s="34" t="n">
        <x:f>J5+7</x:f>
        <x:v>46328</x:v>
      </x:c>
      <x:c r="L5" s="34" t="n">
        <x:f>K5+7</x:f>
        <x:v>46335</x:v>
      </x:c>
      <x:c r="M5" s="34" t="n">
        <x:f>L5+7</x:f>
        <x:v>46342</x:v>
      </x:c>
      <x:c r="N5" s="34" t="n">
        <x:f>M5+7</x:f>
        <x:v>46349</x:v>
      </x:c>
      <x:c r="O5" t="str">
        <x:v>13-week total / terminal</x:v>
      </x:c>
    </x:row>
    <x:row r="6">
      <x:c r="A6" t="str">
        <x:v>Week ending</x:v>
      </x:c>
      <x:c r="B6" s="34" t="n">
        <x:f>B5+6</x:f>
        <x:v>46271</x:v>
      </x:c>
      <x:c r="C6" s="34" t="n">
        <x:f>C5+6</x:f>
        <x:v>46278</x:v>
      </x:c>
      <x:c r="D6" s="34" t="n">
        <x:f>D5+6</x:f>
        <x:v>46285</x:v>
      </x:c>
      <x:c r="E6" s="34" t="n">
        <x:f>E5+6</x:f>
        <x:v>46292</x:v>
      </x:c>
      <x:c r="F6" s="34" t="n">
        <x:f>F5+6</x:f>
        <x:v>46299</x:v>
      </x:c>
      <x:c r="G6" s="34" t="n">
        <x:f>G5+6</x:f>
        <x:v>46306</x:v>
      </x:c>
      <x:c r="H6" s="34" t="n">
        <x:f>H5+6</x:f>
        <x:v>46313</x:v>
      </x:c>
      <x:c r="I6" s="34" t="n">
        <x:f>I5+6</x:f>
        <x:v>46320</x:v>
      </x:c>
      <x:c r="J6" s="34" t="n">
        <x:f>J5+6</x:f>
        <x:v>46327</x:v>
      </x:c>
      <x:c r="K6" s="34" t="n">
        <x:f>K5+6</x:f>
        <x:v>46334</x:v>
      </x:c>
      <x:c r="L6" s="34" t="n">
        <x:f>L5+6</x:f>
        <x:v>46341</x:v>
      </x:c>
      <x:c r="M6" s="34" t="n">
        <x:f>M5+6</x:f>
        <x:v>46348</x:v>
      </x:c>
      <x:c r="N6" s="34" t="n">
        <x:f>N5+6</x:f>
        <x:v>46355</x:v>
      </x:c>
      <x:c r="O6" t="str">
        <x:v>Week 13 value</x:v>
      </x:c>
    </x:row>
    <x:row r="7">
      <x:c r="A7" t="str">
        <x:v>Actual / Forecast</x:v>
      </x:c>
      <x:c r="B7" s="35" t="str">
        <x:f>IF(B6&lt;='Assumptions'!$B$9,"Actual","Forecast")</x:f>
        <x:v>Actual</x:v>
      </x:c>
      <x:c r="C7" s="35" t="str">
        <x:f>IF(C6&lt;='Assumptions'!$B$9,"Actual","Forecast")</x:f>
        <x:v>Forecast</x:v>
      </x:c>
      <x:c r="D7" s="35" t="str">
        <x:f>IF(D6&lt;='Assumptions'!$B$9,"Actual","Forecast")</x:f>
        <x:v>Forecast</x:v>
      </x:c>
      <x:c r="E7" s="35" t="str">
        <x:f>IF(E6&lt;='Assumptions'!$B$9,"Actual","Forecast")</x:f>
        <x:v>Forecast</x:v>
      </x:c>
      <x:c r="F7" s="35" t="str">
        <x:f>IF(F6&lt;='Assumptions'!$B$9,"Actual","Forecast")</x:f>
        <x:v>Forecast</x:v>
      </x:c>
      <x:c r="G7" s="35" t="str">
        <x:f>IF(G6&lt;='Assumptions'!$B$9,"Actual","Forecast")</x:f>
        <x:v>Forecast</x:v>
      </x:c>
      <x:c r="H7" s="35" t="str">
        <x:f>IF(H6&lt;='Assumptions'!$B$9,"Actual","Forecast")</x:f>
        <x:v>Forecast</x:v>
      </x:c>
      <x:c r="I7" s="35" t="str">
        <x:f>IF(I6&lt;='Assumptions'!$B$9,"Actual","Forecast")</x:f>
        <x:v>Forecast</x:v>
      </x:c>
      <x:c r="J7" s="35" t="str">
        <x:f>IF(J6&lt;='Assumptions'!$B$9,"Actual","Forecast")</x:f>
        <x:v>Forecast</x:v>
      </x:c>
      <x:c r="K7" s="35" t="str">
        <x:f>IF(K6&lt;='Assumptions'!$B$9,"Actual","Forecast")</x:f>
        <x:v>Forecast</x:v>
      </x:c>
      <x:c r="L7" s="35" t="str">
        <x:f>IF(L6&lt;='Assumptions'!$B$9,"Actual","Forecast")</x:f>
        <x:v>Forecast</x:v>
      </x:c>
      <x:c r="M7" s="35" t="str">
        <x:f>IF(M6&lt;='Assumptions'!$B$9,"Actual","Forecast")</x:f>
        <x:v>Forecast</x:v>
      </x:c>
      <x:c r="N7" s="35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8" t="n">
        <x:v>118000</x:v>
      </x:c>
      <x:c r="C10" s="38" t="n">
        <x:v>125000</x:v>
      </x:c>
      <x:c r="D10" s="38" t="n">
        <x:v>120000</x:v>
      </x:c>
      <x:c r="E10" s="38" t="n">
        <x:v>115000</x:v>
      </x:c>
      <x:c r="F10" s="38" t="n">
        <x:v>110000</x:v>
      </x:c>
      <x:c r="G10" s="38" t="n">
        <x:v>112000</x:v>
      </x:c>
      <x:c r="H10" s="38" t="n">
        <x:v>105000</x:v>
      </x:c>
      <x:c r="I10" s="38" t="n">
        <x:v>108000</x:v>
      </x:c>
      <x:c r="J10" s="38" t="n">
        <x:v>110000</x:v>
      </x:c>
      <x:c r="K10" s="38" t="n">
        <x:v>116000</x:v>
      </x:c>
      <x:c r="L10" s="38" t="n">
        <x:v>120000</x:v>
      </x:c>
      <x:c r="M10" s="38" t="n">
        <x:v>125000</x:v>
      </x:c>
      <x:c r="N10" s="38" t="n">
        <x:v>130000</x:v>
      </x:c>
      <x:c r="O10" s="39" t="n">
        <x:f>SUM(B10:N10)</x:f>
        <x:v>1514000</x:v>
      </x:c>
    </x:row>
    <x:row r="11">
      <x:c r="A11" t="str">
        <x:v>Overdue receipts</x:v>
      </x:c>
      <x:c r="B11" s="38" t="n">
        <x:v>30000</x:v>
      </x:c>
      <x:c r="C11" s="38" t="n">
        <x:v>20000</x:v>
      </x:c>
      <x:c r="D11" s="38" t="n">
        <x:v>15000</x:v>
      </x:c>
      <x:c r="E11" s="38" t="n">
        <x:v>10000</x:v>
      </x:c>
      <x:c r="F11" s="38" t="n">
        <x:v>8000</x:v>
      </x:c>
      <x:c r="G11" s="38" t="n">
        <x:v>8000</x:v>
      </x:c>
      <x:c r="H11" s="38" t="n">
        <x:v>5000</x:v>
      </x:c>
      <x:c r="I11" s="38" t="n">
        <x:v>5000</x:v>
      </x:c>
      <x:c r="J11" s="38" t="n">
        <x:v>7000</x:v>
      </x:c>
      <x:c r="K11" s="38" t="n">
        <x:v>10000</x:v>
      </x:c>
      <x:c r="L11" s="38" t="n">
        <x:v>10000</x:v>
      </x:c>
      <x:c r="M11" s="38" t="n">
        <x:v>12000</x:v>
      </x:c>
      <x:c r="N11" s="38" t="n">
        <x:v>12000</x:v>
      </x:c>
      <x:c r="O11" s="39" t="n">
        <x:f>SUM(B11:N11)</x:f>
        <x:v>152000</x:v>
      </x:c>
    </x:row>
    <x:row r="12">
      <x:c r="A12" t="str">
        <x:v>Cash / EFTPOS sales</x:v>
      </x:c>
      <x:c r="B12" s="38" t="n">
        <x:v>18000</x:v>
      </x:c>
      <x:c r="C12" s="38" t="n">
        <x:v>20000</x:v>
      </x:c>
      <x:c r="D12" s="38" t="n">
        <x:v>19000</x:v>
      </x:c>
      <x:c r="E12" s="38" t="n">
        <x:v>18000</x:v>
      </x:c>
      <x:c r="F12" s="38" t="n">
        <x:v>18000</x:v>
      </x:c>
      <x:c r="G12" s="38" t="n">
        <x:v>17000</x:v>
      </x:c>
      <x:c r="H12" s="38" t="n">
        <x:v>17000</x:v>
      </x:c>
      <x:c r="I12" s="38" t="n">
        <x:v>18000</x:v>
      </x:c>
      <x:c r="J12" s="38" t="n">
        <x:v>18000</x:v>
      </x:c>
      <x:c r="K12" s="38" t="n">
        <x:v>19000</x:v>
      </x:c>
      <x:c r="L12" s="38" t="n">
        <x:v>20000</x:v>
      </x:c>
      <x:c r="M12" s="38" t="n">
        <x:v>21000</x:v>
      </x:c>
      <x:c r="N12" s="38" t="n">
        <x:v>22000</x:v>
      </x:c>
      <x:c r="O12" s="39" t="n">
        <x:f>SUM(B12:N12)</x:f>
        <x:v>245000</x:v>
      </x:c>
    </x:row>
    <x:row r="13">
      <x:c r="A13" t="str">
        <x:v>GST refunds / credits</x:v>
      </x:c>
      <x:c r="B13" s="38" t="n">
        <x:v>0</x:v>
      </x:c>
      <x:c r="C13" s="38" t="n">
        <x:v>0</x:v>
      </x:c>
      <x:c r="D13" s="38" t="n">
        <x:v>0</x:v>
      </x:c>
      <x:c r="E13" s="38" t="n">
        <x:v>0</x:v>
      </x:c>
      <x:c r="F13" s="38" t="n">
        <x:v>0</x:v>
      </x:c>
      <x:c r="G13" s="38" t="n">
        <x:v>0</x:v>
      </x:c>
      <x:c r="H13" s="38" t="n">
        <x:v>0</x:v>
      </x:c>
      <x:c r="I13" s="38" t="n">
        <x:v>0</x:v>
      </x:c>
      <x:c r="J13" s="38" t="n">
        <x:v>0</x:v>
      </x:c>
      <x:c r="K13" s="38" t="n">
        <x:v>0</x:v>
      </x:c>
      <x:c r="L13" s="38" t="n">
        <x:v>0</x:v>
      </x:c>
      <x:c r="M13" s="38" t="n">
        <x:v>0</x:v>
      </x:c>
      <x:c r="N13" s="38" t="n">
        <x:v>0</x:v>
      </x:c>
      <x:c r="O13" s="39" t="n">
        <x:f>SUM(B13:N13)</x:f>
        <x:v>0</x:v>
      </x:c>
    </x:row>
    <x:row r="14">
      <x:c r="A14" t="str">
        <x:v>Other operating</x:v>
      </x:c>
      <x:c r="B14" s="38" t="n">
        <x:v>4000</x:v>
      </x:c>
      <x:c r="C14" s="38" t="n">
        <x:v>4000</x:v>
      </x:c>
      <x:c r="D14" s="38" t="n">
        <x:v>4000</x:v>
      </x:c>
      <x:c r="E14" s="38" t="n">
        <x:v>4000</x:v>
      </x:c>
      <x:c r="F14" s="38" t="n">
        <x:v>4000</x:v>
      </x:c>
      <x:c r="G14" s="38" t="n">
        <x:v>4000</x:v>
      </x:c>
      <x:c r="H14" s="38" t="n">
        <x:v>4000</x:v>
      </x:c>
      <x:c r="I14" s="38" t="n">
        <x:v>4000</x:v>
      </x:c>
      <x:c r="J14" s="38" t="n">
        <x:v>4000</x:v>
      </x:c>
      <x:c r="K14" s="38" t="n">
        <x:v>4000</x:v>
      </x:c>
      <x:c r="L14" s="38" t="n">
        <x:v>4000</x:v>
      </x:c>
      <x:c r="M14" s="38" t="n">
        <x:v>4000</x:v>
      </x:c>
      <x:c r="N14" s="38" t="n">
        <x:v>4000</x:v>
      </x:c>
      <x:c r="O14" s="39" t="n">
        <x:f>SUM(B14:N14)</x:f>
        <x:v>52000</x:v>
      </x:c>
    </x:row>
    <x:row r="15">
      <x:c r="A15" t="str">
        <x:v>Asset sale proceeds</x:v>
      </x:c>
      <x:c r="B15" s="38" t="n">
        <x:v>0</x:v>
      </x:c>
      <x:c r="C15" s="38" t="n">
        <x:v>0</x:v>
      </x:c>
      <x:c r="D15" s="38" t="n">
        <x:v>0</x:v>
      </x:c>
      <x:c r="E15" s="38" t="n">
        <x:v>0</x:v>
      </x:c>
      <x:c r="F15" s="38" t="n">
        <x:v>0</x:v>
      </x:c>
      <x:c r="G15" s="38" t="n">
        <x:v>0</x:v>
      </x:c>
      <x:c r="H15" s="38" t="n">
        <x:v>0</x:v>
      </x:c>
      <x:c r="I15" s="38" t="n">
        <x:v>0</x:v>
      </x:c>
      <x:c r="J15" s="38" t="n">
        <x:v>0</x:v>
      </x:c>
      <x:c r="K15" s="38" t="n">
        <x:v>100000</x:v>
      </x:c>
      <x:c r="L15" s="38" t="n">
        <x:v>0</x:v>
      </x:c>
      <x:c r="M15" s="38" t="n">
        <x:v>0</x:v>
      </x:c>
      <x:c r="N15" s="38" t="n">
        <x:v>0</x:v>
      </x:c>
      <x:c r="O15" s="39" t="n">
        <x:f>SUM(B15:N15)</x:f>
        <x:v>100000</x:v>
      </x:c>
    </x:row>
    <x:row r="16">
      <x:c r="A16" t="str">
        <x:v>Equity / owner funding</x:v>
      </x:c>
      <x:c r="B16" s="38" t="n">
        <x:v>0</x:v>
      </x:c>
      <x:c r="C16" s="38" t="n">
        <x:v>0</x:v>
      </x:c>
      <x:c r="D16" s="38" t="n">
        <x:v>0</x:v>
      </x:c>
      <x:c r="E16" s="38" t="n">
        <x:v>0</x:v>
      </x:c>
      <x:c r="F16" s="38" t="n">
        <x:v>0</x:v>
      </x:c>
      <x:c r="G16" s="38" t="n">
        <x:v>0</x:v>
      </x:c>
      <x:c r="H16" s="38" t="n">
        <x:v>150000</x:v>
      </x:c>
      <x:c r="I16" s="38" t="n">
        <x:v>0</x:v>
      </x:c>
      <x:c r="J16" s="38" t="n">
        <x:v>0</x:v>
      </x:c>
      <x:c r="K16" s="38" t="n">
        <x:v>0</x:v>
      </x:c>
      <x:c r="L16" s="38" t="n">
        <x:v>0</x:v>
      </x:c>
      <x:c r="M16" s="38" t="n">
        <x:v>0</x:v>
      </x:c>
      <x:c r="N16" s="38" t="n">
        <x:v>0</x:v>
      </x:c>
      <x:c r="O16" s="39" t="n">
        <x:f>SUM(B16:N16)</x:f>
        <x:v>150000</x:v>
      </x:c>
    </x:row>
    <x:row r="17">
      <x:c r="A17" t="str">
        <x:v>Loan proceeds</x:v>
      </x:c>
      <x:c r="B17" s="38" t="n">
        <x:v>0</x:v>
      </x:c>
      <x:c r="C17" s="38" t="n">
        <x:v>0</x:v>
      </x:c>
      <x:c r="D17" s="38" t="n">
        <x:v>0</x:v>
      </x:c>
      <x:c r="E17" s="38" t="n">
        <x:v>0</x:v>
      </x:c>
      <x:c r="F17" s="38" t="n">
        <x:v>0</x:v>
      </x:c>
      <x:c r="G17" s="38" t="n">
        <x:v>0</x:v>
      </x:c>
      <x:c r="H17" s="38" t="n">
        <x:v>0</x:v>
      </x:c>
      <x:c r="I17" s="38" t="n">
        <x:v>0</x:v>
      </x:c>
      <x:c r="J17" s="38" t="n">
        <x:v>125000</x:v>
      </x:c>
      <x:c r="K17" s="38" t="n">
        <x:v>0</x:v>
      </x:c>
      <x:c r="L17" s="38" t="n">
        <x:v>0</x:v>
      </x:c>
      <x:c r="M17" s="38" t="n">
        <x:v>0</x:v>
      </x:c>
      <x:c r="N17" s="38" t="n">
        <x:v>0</x:v>
      </x:c>
      <x:c r="O17" s="39" t="n">
        <x:f>SUM(B17:N17)</x:f>
        <x:v>125000</x:v>
      </x:c>
    </x:row>
    <x:row r="18">
      <x:c r="A18" t="str">
        <x:v>Scenario receipt adjustment</x:v>
      </x:c>
      <x:c r="B18" s="42" t="n">
        <x:f>IF(B$7="Actual",0,SUM(B10:B12)*(INDEX(Assumptions!$C$15:$C$17,MATCH(Assumptions!$B$12,Assumptions!$B$15:$B$17,0))-1))</x:f>
        <x:v>0</x:v>
      </x:c>
      <x:c r="C18" s="42" t="n">
        <x:f>IF(C$7="Actual",0,SUM(C10:C12)*(INDEX(Assumptions!$C$15:$C$17,MATCH(Assumptions!$B$12,Assumptions!$B$15:$B$17,0))-1))</x:f>
        <x:v>0</x:v>
      </x:c>
      <x:c r="D18" s="42" t="n">
        <x:f>IF(D$7="Actual",0,SUM(D10:D12)*(INDEX(Assumptions!$C$15:$C$17,MATCH(Assumptions!$B$12,Assumptions!$B$15:$B$17,0))-1))</x:f>
        <x:v>0</x:v>
      </x:c>
      <x:c r="E18" s="42" t="n">
        <x:f>IF(E$7="Actual",0,SUM(E10:E12)*(INDEX(Assumptions!$C$15:$C$17,MATCH(Assumptions!$B$12,Assumptions!$B$15:$B$17,0))-1))</x:f>
        <x:v>0</x:v>
      </x:c>
      <x:c r="F18" s="42" t="n">
        <x:f>IF(F$7="Actual",0,SUM(F10:F12)*(INDEX(Assumptions!$C$15:$C$17,MATCH(Assumptions!$B$12,Assumptions!$B$15:$B$17,0))-1))</x:f>
        <x:v>0</x:v>
      </x:c>
      <x:c r="G18" s="42" t="n">
        <x:f>IF(G$7="Actual",0,SUM(G10:G12)*(INDEX(Assumptions!$C$15:$C$17,MATCH(Assumptions!$B$12,Assumptions!$B$15:$B$17,0))-1))</x:f>
        <x:v>0</x:v>
      </x:c>
      <x:c r="H18" s="42" t="n">
        <x:f>IF(H$7="Actual",0,SUM(H10:H12)*(INDEX(Assumptions!$C$15:$C$17,MATCH(Assumptions!$B$12,Assumptions!$B$15:$B$17,0))-1))</x:f>
        <x:v>0</x:v>
      </x:c>
      <x:c r="I18" s="42" t="n">
        <x:f>IF(I$7="Actual",0,SUM(I10:I12)*(INDEX(Assumptions!$C$15:$C$17,MATCH(Assumptions!$B$12,Assumptions!$B$15:$B$17,0))-1))</x:f>
        <x:v>0</x:v>
      </x:c>
      <x:c r="J18" s="42" t="n">
        <x:f>IF(J$7="Actual",0,SUM(J10:J12)*(INDEX(Assumptions!$C$15:$C$17,MATCH(Assumptions!$B$12,Assumptions!$B$15:$B$17,0))-1))</x:f>
        <x:v>0</x:v>
      </x:c>
      <x:c r="K18" s="42" t="n">
        <x:f>IF(K$7="Actual",0,SUM(K10:K12)*(INDEX(Assumptions!$C$15:$C$17,MATCH(Assumptions!$B$12,Assumptions!$B$15:$B$17,0))-1))</x:f>
        <x:v>0</x:v>
      </x:c>
      <x:c r="L18" s="42" t="n">
        <x:f>IF(L$7="Actual",0,SUM(L10:L12)*(INDEX(Assumptions!$C$15:$C$17,MATCH(Assumptions!$B$12,Assumptions!$B$15:$B$17,0))-1))</x:f>
        <x:v>0</x:v>
      </x:c>
      <x:c r="M18" s="42" t="n">
        <x:f>IF(M$7="Actual",0,SUM(M10:M12)*(INDEX(Assumptions!$C$15:$C$17,MATCH(Assumptions!$B$12,Assumptions!$B$15:$B$17,0))-1))</x:f>
        <x:v>0</x:v>
      </x:c>
      <x:c r="N18" s="42" t="n">
        <x:f>IF(N$7="Actual",0,SUM(N10:N12)*(INDEX(Assumptions!$C$15:$C$17,MATCH(Assumptions!$B$12,Assumptions!$B$15:$B$17,0))-1))</x:f>
        <x:v>0</x:v>
      </x:c>
      <x:c r="O18" s="39" t="n">
        <x:f>SUM(B18:N18)</x:f>
        <x:v>0</x:v>
      </x:c>
    </x:row>
    <x:row r="19">
      <x:c r="A19" s="37" t="str">
        <x:v>Total cash receipts</x:v>
      </x:c>
      <x:c r="B19" s="43" t="n">
        <x:f>SUM(B10:B18)</x:f>
        <x:v>170000</x:v>
      </x:c>
      <x:c r="C19" s="43" t="n">
        <x:f>SUM(C10:C18)</x:f>
        <x:v>169000</x:v>
      </x:c>
      <x:c r="D19" s="43" t="n">
        <x:f>SUM(D10:D18)</x:f>
        <x:v>158000</x:v>
      </x:c>
      <x:c r="E19" s="43" t="n">
        <x:f>SUM(E10:E18)</x:f>
        <x:v>147000</x:v>
      </x:c>
      <x:c r="F19" s="43" t="n">
        <x:f>SUM(F10:F18)</x:f>
        <x:v>140000</x:v>
      </x:c>
      <x:c r="G19" s="43" t="n">
        <x:f>SUM(G10:G18)</x:f>
        <x:v>141000</x:v>
      </x:c>
      <x:c r="H19" s="43" t="n">
        <x:f>SUM(H10:H18)</x:f>
        <x:v>281000</x:v>
      </x:c>
      <x:c r="I19" s="43" t="n">
        <x:f>SUM(I10:I18)</x:f>
        <x:v>135000</x:v>
      </x:c>
      <x:c r="J19" s="43" t="n">
        <x:f>SUM(J10:J18)</x:f>
        <x:v>264000</x:v>
      </x:c>
      <x:c r="K19" s="43" t="n">
        <x:f>SUM(K10:K18)</x:f>
        <x:v>249000</x:v>
      </x:c>
      <x:c r="L19" s="43" t="n">
        <x:f>SUM(L10:L18)</x:f>
        <x:v>154000</x:v>
      </x:c>
      <x:c r="M19" s="43" t="n">
        <x:f>SUM(M10:M18)</x:f>
        <x:v>162000</x:v>
      </x:c>
      <x:c r="N19" s="43" t="n">
        <x:f>SUM(N10:N18)</x:f>
        <x:v>168000</x:v>
      </x:c>
      <x:c r="O19" s="40" t="n">
        <x:f>SUM(B19:N19)</x:f>
        <x:v>2338000</x:v>
      </x:c>
    </x:row>
    <x:row r="20"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</x:row>
    <x:row r="21">
      <x:c r="A21" s="14" t="str">
        <x:v>CASH PAYMENTS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</x:row>
    <x:row r="22">
      <x:c r="A22" t="str">
        <x:v>Suppliers and inventory</x:v>
      </x:c>
      <x:c r="B22" s="38" t="n">
        <x:v>82000</x:v>
      </x:c>
      <x:c r="C22" s="38" t="n">
        <x:v>88000</x:v>
      </x:c>
      <x:c r="D22" s="38" t="n">
        <x:v>90000</x:v>
      </x:c>
      <x:c r="E22" s="38" t="n">
        <x:v>95000</x:v>
      </x:c>
      <x:c r="F22" s="38" t="n">
        <x:v>98000</x:v>
      </x:c>
      <x:c r="G22" s="38" t="n">
        <x:v>100000</x:v>
      </x:c>
      <x:c r="H22" s="38" t="n">
        <x:v>105000</x:v>
      </x:c>
      <x:c r="I22" s="38" t="n">
        <x:v>108000</x:v>
      </x:c>
      <x:c r="J22" s="38" t="n">
        <x:v>110000</x:v>
      </x:c>
      <x:c r="K22" s="38" t="n">
        <x:v>105000</x:v>
      </x:c>
      <x:c r="L22" s="38" t="n">
        <x:v>100000</x:v>
      </x:c>
      <x:c r="M22" s="38" t="n">
        <x:v>95000</x:v>
      </x:c>
      <x:c r="N22" s="38" t="n">
        <x:v>90000</x:v>
      </x:c>
      <x:c r="O22" s="39" t="n">
        <x:f>SUM(B22:N22)</x:f>
        <x:v>1266000</x:v>
      </x:c>
    </x:row>
    <x:row r="23">
      <x:c r="A23" t="str">
        <x:v>Net wages</x:v>
      </x:c>
      <x:c r="B23" s="38" t="n">
        <x:v>42000</x:v>
      </x:c>
      <x:c r="C23" s="38" t="n">
        <x:v>42000</x:v>
      </x:c>
      <x:c r="D23" s="38" t="n">
        <x:v>42000</x:v>
      </x:c>
      <x:c r="E23" s="38" t="n">
        <x:v>42000</x:v>
      </x:c>
      <x:c r="F23" s="38" t="n">
        <x:v>42000</x:v>
      </x:c>
      <x:c r="G23" s="38" t="n">
        <x:v>42000</x:v>
      </x:c>
      <x:c r="H23" s="38" t="n">
        <x:v>42000</x:v>
      </x:c>
      <x:c r="I23" s="38" t="n">
        <x:v>42000</x:v>
      </x:c>
      <x:c r="J23" s="38" t="n">
        <x:v>42000</x:v>
      </x:c>
      <x:c r="K23" s="38" t="n">
        <x:v>42000</x:v>
      </x:c>
      <x:c r="L23" s="38" t="n">
        <x:v>42000</x:v>
      </x:c>
      <x:c r="M23" s="38" t="n">
        <x:v>42000</x:v>
      </x:c>
      <x:c r="N23" s="38" t="n">
        <x:v>42000</x:v>
      </x:c>
      <x:c r="O23" s="39" t="n">
        <x:f>SUM(B23:N23)</x:f>
        <x:v>546000</x:v>
      </x:c>
    </x:row>
    <x:row r="24">
      <x:c r="A24" t="str">
        <x:v>PAYG withholding</x:v>
      </x:c>
      <x:c r="B24" s="38" t="n">
        <x:v>12000</x:v>
      </x:c>
      <x:c r="C24" s="38" t="n">
        <x:v>12000</x:v>
      </x:c>
      <x:c r="D24" s="38" t="n">
        <x:v>12000</x:v>
      </x:c>
      <x:c r="E24" s="38" t="n">
        <x:v>12000</x:v>
      </x:c>
      <x:c r="F24" s="38" t="n">
        <x:v>12000</x:v>
      </x:c>
      <x:c r="G24" s="38" t="n">
        <x:v>12000</x:v>
      </x:c>
      <x:c r="H24" s="38" t="n">
        <x:v>12000</x:v>
      </x:c>
      <x:c r="I24" s="38" t="n">
        <x:v>12000</x:v>
      </x:c>
      <x:c r="J24" s="38" t="n">
        <x:v>12000</x:v>
      </x:c>
      <x:c r="K24" s="38" t="n">
        <x:v>12000</x:v>
      </x:c>
      <x:c r="L24" s="38" t="n">
        <x:v>12000</x:v>
      </x:c>
      <x:c r="M24" s="38" t="n">
        <x:v>12000</x:v>
      </x:c>
      <x:c r="N24" s="38" t="n">
        <x:v>12000</x:v>
      </x:c>
      <x:c r="O24" s="39" t="n">
        <x:f>SUM(B24:N24)</x:f>
        <x:v>156000</x:v>
      </x:c>
    </x:row>
    <x:row r="25">
      <x:c r="A25" t="str">
        <x:v>Superannuation</x:v>
      </x:c>
      <x:c r="B25" s="38" t="n">
        <x:v>6000</x:v>
      </x:c>
      <x:c r="C25" s="38" t="n">
        <x:v>6000</x:v>
      </x:c>
      <x:c r="D25" s="38" t="n">
        <x:v>6000</x:v>
      </x:c>
      <x:c r="E25" s="38" t="n">
        <x:v>6000</x:v>
      </x:c>
      <x:c r="F25" s="38" t="n">
        <x:v>6000</x:v>
      </x:c>
      <x:c r="G25" s="38" t="n">
        <x:v>6000</x:v>
      </x:c>
      <x:c r="H25" s="38" t="n">
        <x:v>6000</x:v>
      </x:c>
      <x:c r="I25" s="38" t="n">
        <x:v>6000</x:v>
      </x:c>
      <x:c r="J25" s="38" t="n">
        <x:v>6000</x:v>
      </x:c>
      <x:c r="K25" s="38" t="n">
        <x:v>6000</x:v>
      </x:c>
      <x:c r="L25" s="38" t="n">
        <x:v>6000</x:v>
      </x:c>
      <x:c r="M25" s="38" t="n">
        <x:v>6000</x:v>
      </x:c>
      <x:c r="N25" s="38" t="n">
        <x:v>6000</x:v>
      </x:c>
      <x:c r="O25" s="39" t="n">
        <x:f>SUM(B25:N25)</x:f>
        <x:v>78000</x:v>
      </x:c>
    </x:row>
    <x:row r="26">
      <x:c r="A26" t="str">
        <x:v>Payroll tax / workers compensation</x:v>
      </x:c>
      <x:c r="B26" s="38" t="n">
        <x:v>5000</x:v>
      </x:c>
      <x:c r="C26" s="38" t="n">
        <x:v>0</x:v>
      </x:c>
      <x:c r="D26" s="38" t="n">
        <x:v>0</x:v>
      </x:c>
      <x:c r="E26" s="38" t="n">
        <x:v>0</x:v>
      </x:c>
      <x:c r="F26" s="38" t="n">
        <x:v>5000</x:v>
      </x:c>
      <x:c r="G26" s="38" t="n">
        <x:v>0</x:v>
      </x:c>
      <x:c r="H26" s="38" t="n">
        <x:v>0</x:v>
      </x:c>
      <x:c r="I26" s="38" t="n">
        <x:v>0</x:v>
      </x:c>
      <x:c r="J26" s="38" t="n">
        <x:v>5000</x:v>
      </x:c>
      <x:c r="K26" s="38" t="n">
        <x:v>0</x:v>
      </x:c>
      <x:c r="L26" s="38" t="n">
        <x:v>0</x:v>
      </x:c>
      <x:c r="M26" s="38" t="n">
        <x:v>0</x:v>
      </x:c>
      <x:c r="N26" s="38" t="n">
        <x:v>0</x:v>
      </x:c>
      <x:c r="O26" s="39" t="n">
        <x:f>SUM(B26:N26)</x:f>
        <x:v>15000</x:v>
      </x:c>
    </x:row>
    <x:row r="27">
      <x:c r="A27" t="str">
        <x:v>Rent</x:v>
      </x:c>
      <x:c r="B27" s="38" t="n">
        <x:v>25000</x:v>
      </x:c>
      <x:c r="C27" s="38" t="n">
        <x:v>0</x:v>
      </x:c>
      <x:c r="D27" s="38" t="n">
        <x:v>0</x:v>
      </x:c>
      <x:c r="E27" s="38" t="n">
        <x:v>0</x:v>
      </x:c>
      <x:c r="F27" s="38" t="n">
        <x:v>25000</x:v>
      </x:c>
      <x:c r="G27" s="38" t="n">
        <x:v>0</x:v>
      </x:c>
      <x:c r="H27" s="38" t="n">
        <x:v>0</x:v>
      </x:c>
      <x:c r="I27" s="38" t="n">
        <x:v>0</x:v>
      </x:c>
      <x:c r="J27" s="38" t="n">
        <x:v>25000</x:v>
      </x:c>
      <x:c r="K27" s="38" t="n">
        <x:v>0</x:v>
      </x:c>
      <x:c r="L27" s="38" t="n">
        <x:v>0</x:v>
      </x:c>
      <x:c r="M27" s="38" t="n">
        <x:v>0</x:v>
      </x:c>
      <x:c r="N27" s="38" t="n">
        <x:v>25000</x:v>
      </x:c>
      <x:c r="O27" s="39" t="n">
        <x:f>SUM(B27:N27)</x:f>
        <x:v>100000</x:v>
      </x:c>
    </x:row>
    <x:row r="28">
      <x:c r="A28" t="str">
        <x:v>Utilities</x:v>
      </x:c>
      <x:c r="B28" s="38" t="n">
        <x:v>0</x:v>
      </x:c>
      <x:c r="C28" s="38" t="n">
        <x:v>0</x:v>
      </x:c>
      <x:c r="D28" s="38" t="n">
        <x:v>0</x:v>
      </x:c>
      <x:c r="E28" s="38" t="n">
        <x:v>0</x:v>
      </x:c>
      <x:c r="F28" s="38" t="n">
        <x:v>4000</x:v>
      </x:c>
      <x:c r="G28" s="38" t="n">
        <x:v>0</x:v>
      </x:c>
      <x:c r="H28" s="38" t="n">
        <x:v>0</x:v>
      </x:c>
      <x:c r="I28" s="38" t="n">
        <x:v>0</x:v>
      </x:c>
      <x:c r="J28" s="38" t="n">
        <x:v>4000</x:v>
      </x:c>
      <x:c r="K28" s="38" t="n">
        <x:v>0</x:v>
      </x:c>
      <x:c r="L28" s="38" t="n">
        <x:v>0</x:v>
      </x:c>
      <x:c r="M28" s="38" t="n">
        <x:v>0</x:v>
      </x:c>
      <x:c r="N28" s="38" t="n">
        <x:v>4000</x:v>
      </x:c>
      <x:c r="O28" s="39" t="n">
        <x:f>SUM(B28:N28)</x:f>
        <x:v>12000</x:v>
      </x:c>
    </x:row>
    <x:row r="29">
      <x:c r="A29" t="str">
        <x:v>Insurance</x:v>
      </x:c>
      <x:c r="B29" s="38" t="n">
        <x:v>0</x:v>
      </x:c>
      <x:c r="C29" s="38" t="n">
        <x:v>6000</x:v>
      </x:c>
      <x:c r="D29" s="38" t="n">
        <x:v>0</x:v>
      </x:c>
      <x:c r="E29" s="38" t="n">
        <x:v>0</x:v>
      </x:c>
      <x:c r="F29" s="38" t="n">
        <x:v>0</x:v>
      </x:c>
      <x:c r="G29" s="38" t="n">
        <x:v>0</x:v>
      </x:c>
      <x:c r="H29" s="38" t="n">
        <x:v>0</x:v>
      </x:c>
      <x:c r="I29" s="38" t="n">
        <x:v>0</x:v>
      </x:c>
      <x:c r="J29" s="38" t="n">
        <x:v>0</x:v>
      </x:c>
      <x:c r="K29" s="38" t="n">
        <x:v>0</x:v>
      </x:c>
      <x:c r="L29" s="38" t="n">
        <x:v>0</x:v>
      </x:c>
      <x:c r="M29" s="38" t="n">
        <x:v>0</x:v>
      </x:c>
      <x:c r="N29" s="38" t="n">
        <x:v>0</x:v>
      </x:c>
      <x:c r="O29" s="39" t="n">
        <x:f>SUM(B29:N29)</x:f>
        <x:v>6000</x:v>
      </x:c>
    </x:row>
    <x:row r="30">
      <x:c r="A30" t="str">
        <x:v>Software and subscriptions</x:v>
      </x:c>
      <x:c r="B30" s="38" t="n">
        <x:v>3000</x:v>
      </x:c>
      <x:c r="C30" s="38" t="n">
        <x:v>3000</x:v>
      </x:c>
      <x:c r="D30" s="38" t="n">
        <x:v>3000</x:v>
      </x:c>
      <x:c r="E30" s="38" t="n">
        <x:v>3000</x:v>
      </x:c>
      <x:c r="F30" s="38" t="n">
        <x:v>3000</x:v>
      </x:c>
      <x:c r="G30" s="38" t="n">
        <x:v>3000</x:v>
      </x:c>
      <x:c r="H30" s="38" t="n">
        <x:v>3000</x:v>
      </x:c>
      <x:c r="I30" s="38" t="n">
        <x:v>3000</x:v>
      </x:c>
      <x:c r="J30" s="38" t="n">
        <x:v>3000</x:v>
      </x:c>
      <x:c r="K30" s="38" t="n">
        <x:v>3000</x:v>
      </x:c>
      <x:c r="L30" s="38" t="n">
        <x:v>3000</x:v>
      </x:c>
      <x:c r="M30" s="38" t="n">
        <x:v>3000</x:v>
      </x:c>
      <x:c r="N30" s="38" t="n">
        <x:v>3000</x:v>
      </x:c>
      <x:c r="O30" s="39" t="n">
        <x:f>SUM(B30:N30)</x:f>
        <x:v>39000</x:v>
      </x:c>
    </x:row>
    <x:row r="31">
      <x:c r="A31" t="str">
        <x:v>Marketing</x:v>
      </x:c>
      <x:c r="B31" s="38" t="n">
        <x:v>6000</x:v>
      </x:c>
      <x:c r="C31" s="38" t="n">
        <x:v>6000</x:v>
      </x:c>
      <x:c r="D31" s="38" t="n">
        <x:v>6000</x:v>
      </x:c>
      <x:c r="E31" s="38" t="n">
        <x:v>6000</x:v>
      </x:c>
      <x:c r="F31" s="38" t="n">
        <x:v>6000</x:v>
      </x:c>
      <x:c r="G31" s="38" t="n">
        <x:v>6000</x:v>
      </x:c>
      <x:c r="H31" s="38" t="n">
        <x:v>6000</x:v>
      </x:c>
      <x:c r="I31" s="38" t="n">
        <x:v>6000</x:v>
      </x:c>
      <x:c r="J31" s="38" t="n">
        <x:v>6000</x:v>
      </x:c>
      <x:c r="K31" s="38" t="n">
        <x:v>6000</x:v>
      </x:c>
      <x:c r="L31" s="38" t="n">
        <x:v>6000</x:v>
      </x:c>
      <x:c r="M31" s="38" t="n">
        <x:v>6000</x:v>
      </x:c>
      <x:c r="N31" s="38" t="n">
        <x:v>6000</x:v>
      </x:c>
      <x:c r="O31" s="39" t="n">
        <x:f>SUM(B31:N31)</x:f>
        <x:v>78000</x:v>
      </x:c>
    </x:row>
    <x:row r="32">
      <x:c r="A32" t="str">
        <x:v>Professional services</x:v>
      </x:c>
      <x:c r="B32" s="38" t="n">
        <x:v>0</x:v>
      </x:c>
      <x:c r="C32" s="38" t="n">
        <x:v>0</x:v>
      </x:c>
      <x:c r="D32" s="38" t="n">
        <x:v>8000</x:v>
      </x:c>
      <x:c r="E32" s="38" t="n">
        <x:v>0</x:v>
      </x:c>
      <x:c r="F32" s="38" t="n">
        <x:v>0</x:v>
      </x:c>
      <x:c r="G32" s="38" t="n">
        <x:v>0</x:v>
      </x:c>
      <x:c r="H32" s="38" t="n">
        <x:v>8000</x:v>
      </x:c>
      <x:c r="I32" s="38" t="n">
        <x:v>0</x:v>
      </x:c>
      <x:c r="J32" s="38" t="n">
        <x:v>0</x:v>
      </x:c>
      <x:c r="K32" s="38" t="n">
        <x:v>0</x:v>
      </x:c>
      <x:c r="L32" s="38" t="n">
        <x:v>8000</x:v>
      </x:c>
      <x:c r="M32" s="38" t="n">
        <x:v>0</x:v>
      </x:c>
      <x:c r="N32" s="38" t="n">
        <x:v>0</x:v>
      </x:c>
      <x:c r="O32" s="39" t="n">
        <x:f>SUM(B32:N32)</x:f>
        <x:v>24000</x:v>
      </x:c>
    </x:row>
    <x:row r="33">
      <x:c r="A33" t="str">
        <x:v>Freight, vehicles and travel</x:v>
      </x:c>
      <x:c r="B33" s="38" t="n">
        <x:v>10000</x:v>
      </x:c>
      <x:c r="C33" s="38" t="n">
        <x:v>10000</x:v>
      </x:c>
      <x:c r="D33" s="38" t="n">
        <x:v>10000</x:v>
      </x:c>
      <x:c r="E33" s="38" t="n">
        <x:v>10000</x:v>
      </x:c>
      <x:c r="F33" s="38" t="n">
        <x:v>10000</x:v>
      </x:c>
      <x:c r="G33" s="38" t="n">
        <x:v>10000</x:v>
      </x:c>
      <x:c r="H33" s="38" t="n">
        <x:v>10000</x:v>
      </x:c>
      <x:c r="I33" s="38" t="n">
        <x:v>10000</x:v>
      </x:c>
      <x:c r="J33" s="38" t="n">
        <x:v>10000</x:v>
      </x:c>
      <x:c r="K33" s="38" t="n">
        <x:v>10000</x:v>
      </x:c>
      <x:c r="L33" s="38" t="n">
        <x:v>10000</x:v>
      </x:c>
      <x:c r="M33" s="38" t="n">
        <x:v>10000</x:v>
      </x:c>
      <x:c r="N33" s="38" t="n">
        <x:v>10000</x:v>
      </x:c>
      <x:c r="O33" s="39" t="n">
        <x:f>SUM(B33:N33)</x:f>
        <x:v>130000</x:v>
      </x:c>
    </x:row>
    <x:row r="34">
      <x:c r="A34" t="str">
        <x:v>GST / BAS payments</x:v>
      </x:c>
      <x:c r="B34" s="38" t="n">
        <x:v>0</x:v>
      </x:c>
      <x:c r="C34" s="38" t="n">
        <x:v>0</x:v>
      </x:c>
      <x:c r="D34" s="38" t="n">
        <x:v>0</x:v>
      </x:c>
      <x:c r="E34" s="38" t="n">
        <x:v>0</x:v>
      </x:c>
      <x:c r="F34" s="38" t="n">
        <x:v>0</x:v>
      </x:c>
      <x:c r="G34" s="38" t="n">
        <x:v>0</x:v>
      </x:c>
      <x:c r="H34" s="38" t="n">
        <x:v>0</x:v>
      </x:c>
      <x:c r="I34" s="38" t="n">
        <x:v>0</x:v>
      </x:c>
      <x:c r="J34" s="38" t="n">
        <x:v>45000</x:v>
      </x:c>
      <x:c r="K34" s="38" t="n">
        <x:v>0</x:v>
      </x:c>
      <x:c r="L34" s="38" t="n">
        <x:v>0</x:v>
      </x:c>
      <x:c r="M34" s="38" t="n">
        <x:v>0</x:v>
      </x:c>
      <x:c r="N34" s="38" t="n">
        <x:v>0</x:v>
      </x:c>
      <x:c r="O34" s="39" t="n">
        <x:f>SUM(B34:N34)</x:f>
        <x:v>45000</x:v>
      </x:c>
    </x:row>
    <x:row r="35">
      <x:c r="A35" t="str">
        <x:v>PAYG income tax instalments</x:v>
      </x:c>
      <x:c r="B35" s="38" t="n">
        <x:v>0</x:v>
      </x:c>
      <x:c r="C35" s="38" t="n">
        <x:v>0</x:v>
      </x:c>
      <x:c r="D35" s="38" t="n">
        <x:v>0</x:v>
      </x:c>
      <x:c r="E35" s="38" t="n">
        <x:v>0</x:v>
      </x:c>
      <x:c r="F35" s="38" t="n">
        <x:v>0</x:v>
      </x:c>
      <x:c r="G35" s="38" t="n">
        <x:v>0</x:v>
      </x:c>
      <x:c r="H35" s="38" t="n">
        <x:v>0</x:v>
      </x:c>
      <x:c r="I35" s="38" t="n">
        <x:v>0</x:v>
      </x:c>
      <x:c r="J35" s="38" t="n">
        <x:v>18000</x:v>
      </x:c>
      <x:c r="K35" s="38" t="n">
        <x:v>0</x:v>
      </x:c>
      <x:c r="L35" s="38" t="n">
        <x:v>0</x:v>
      </x:c>
      <x:c r="M35" s="38" t="n">
        <x:v>0</x:v>
      </x:c>
      <x:c r="N35" s="38" t="n">
        <x:v>0</x:v>
      </x:c>
      <x:c r="O35" s="39" t="n">
        <x:f>SUM(B35:N35)</x:f>
        <x:v>18000</x:v>
      </x:c>
    </x:row>
    <x:row r="36">
      <x:c r="A36" t="str">
        <x:v>FBT / other tax</x:v>
      </x:c>
      <x:c r="B36" s="38" t="n">
        <x:v>0</x:v>
      </x:c>
      <x:c r="C36" s="38" t="n">
        <x:v>0</x:v>
      </x:c>
      <x:c r="D36" s="38" t="n">
        <x:v>0</x:v>
      </x:c>
      <x:c r="E36" s="38" t="n">
        <x:v>0</x:v>
      </x:c>
      <x:c r="F36" s="38" t="n">
        <x:v>0</x:v>
      </x:c>
      <x:c r="G36" s="38" t="n">
        <x:v>0</x:v>
      </x:c>
      <x:c r="H36" s="38" t="n">
        <x:v>0</x:v>
      </x:c>
      <x:c r="I36" s="38" t="n">
        <x:v>0</x:v>
      </x:c>
      <x:c r="J36" s="38" t="n">
        <x:v>0</x:v>
      </x:c>
      <x:c r="K36" s="38" t="n">
        <x:v>0</x:v>
      </x:c>
      <x:c r="L36" s="38" t="n">
        <x:v>0</x:v>
      </x:c>
      <x:c r="M36" s="38" t="n">
        <x:v>0</x:v>
      </x:c>
      <x:c r="N36" s="38" t="n">
        <x:v>0</x:v>
      </x:c>
      <x:c r="O36" s="39" t="n">
        <x:f>SUM(B36:N36)</x:f>
        <x:v>0</x:v>
      </x:c>
    </x:row>
    <x:row r="37">
      <x:c r="A37" t="str">
        <x:v>Interest and bank fees</x:v>
      </x:c>
      <x:c r="B37" s="38" t="n">
        <x:v>4000</x:v>
      </x:c>
      <x:c r="C37" s="38" t="n">
        <x:v>0</x:v>
      </x:c>
      <x:c r="D37" s="38" t="n">
        <x:v>0</x:v>
      </x:c>
      <x:c r="E37" s="38" t="n">
        <x:v>0</x:v>
      </x:c>
      <x:c r="F37" s="38" t="n">
        <x:v>4000</x:v>
      </x:c>
      <x:c r="G37" s="38" t="n">
        <x:v>0</x:v>
      </x:c>
      <x:c r="H37" s="38" t="n">
        <x:v>0</x:v>
      </x:c>
      <x:c r="I37" s="38" t="n">
        <x:v>0</x:v>
      </x:c>
      <x:c r="J37" s="38" t="n">
        <x:v>4000</x:v>
      </x:c>
      <x:c r="K37" s="38" t="n">
        <x:v>0</x:v>
      </x:c>
      <x:c r="L37" s="38" t="n">
        <x:v>0</x:v>
      </x:c>
      <x:c r="M37" s="38" t="n">
        <x:v>0</x:v>
      </x:c>
      <x:c r="N37" s="38" t="n">
        <x:v>4000</x:v>
      </x:c>
      <x:c r="O37" s="39" t="n">
        <x:f>SUM(B37:N37)</x:f>
        <x:v>16000</x:v>
      </x:c>
    </x:row>
    <x:row r="38">
      <x:c r="A38" t="str">
        <x:v>Loan principal</x:v>
      </x:c>
      <x:c r="B38" s="38" t="n">
        <x:v>12000</x:v>
      </x:c>
      <x:c r="C38" s="38" t="n">
        <x:v>0</x:v>
      </x:c>
      <x:c r="D38" s="38" t="n">
        <x:v>0</x:v>
      </x:c>
      <x:c r="E38" s="38" t="n">
        <x:v>0</x:v>
      </x:c>
      <x:c r="F38" s="38" t="n">
        <x:v>12000</x:v>
      </x:c>
      <x:c r="G38" s="38" t="n">
        <x:v>0</x:v>
      </x:c>
      <x:c r="H38" s="38" t="n">
        <x:v>0</x:v>
      </x:c>
      <x:c r="I38" s="38" t="n">
        <x:v>0</x:v>
      </x:c>
      <x:c r="J38" s="38" t="n">
        <x:v>12000</x:v>
      </x:c>
      <x:c r="K38" s="38" t="n">
        <x:v>0</x:v>
      </x:c>
      <x:c r="L38" s="38" t="n">
        <x:v>0</x:v>
      </x:c>
      <x:c r="M38" s="38" t="n">
        <x:v>0</x:v>
      </x:c>
      <x:c r="N38" s="38" t="n">
        <x:v>12000</x:v>
      </x:c>
      <x:c r="O38" s="39" t="n">
        <x:f>SUM(B38:N38)</x:f>
        <x:v>48000</x:v>
      </x:c>
    </x:row>
    <x:row r="39">
      <x:c r="A39" t="str">
        <x:v>Capital expenditure</x:v>
      </x:c>
      <x:c r="B39" s="38" t="n">
        <x:v>0</x:v>
      </x:c>
      <x:c r="C39" s="38" t="n">
        <x:v>0</x:v>
      </x:c>
      <x:c r="D39" s="38" t="n">
        <x:v>0</x:v>
      </x:c>
      <x:c r="E39" s="38" t="n">
        <x:v>0</x:v>
      </x:c>
      <x:c r="F39" s="38" t="n">
        <x:v>0</x:v>
      </x:c>
      <x:c r="G39" s="38" t="n">
        <x:v>25000</x:v>
      </x:c>
      <x:c r="H39" s="38" t="n">
        <x:v>0</x:v>
      </x:c>
      <x:c r="I39" s="38" t="n">
        <x:v>0</x:v>
      </x:c>
      <x:c r="J39" s="38" t="n">
        <x:v>0</x:v>
      </x:c>
      <x:c r="K39" s="38" t="n">
        <x:v>40000</x:v>
      </x:c>
      <x:c r="L39" s="38" t="n">
        <x:v>0</x:v>
      </x:c>
      <x:c r="M39" s="38" t="n">
        <x:v>0</x:v>
      </x:c>
      <x:c r="N39" s="38" t="n">
        <x:v>0</x:v>
      </x:c>
      <x:c r="O39" s="39" t="n">
        <x:f>SUM(B39:N39)</x:f>
        <x:v>65000</x:v>
      </x:c>
    </x:row>
    <x:row r="40">
      <x:c r="A40" t="str">
        <x:v>Dividends / distributions</x:v>
      </x:c>
      <x:c r="B40" s="38" t="n">
        <x:v>0</x:v>
      </x:c>
      <x:c r="C40" s="38" t="n">
        <x:v>0</x:v>
      </x:c>
      <x:c r="D40" s="38" t="n">
        <x:v>0</x:v>
      </x:c>
      <x:c r="E40" s="38" t="n">
        <x:v>0</x:v>
      </x:c>
      <x:c r="F40" s="38" t="n">
        <x:v>0</x:v>
      </x:c>
      <x:c r="G40" s="38" t="n">
        <x:v>0</x:v>
      </x:c>
      <x:c r="H40" s="38" t="n">
        <x:v>0</x:v>
      </x:c>
      <x:c r="I40" s="38" t="n">
        <x:v>0</x:v>
      </x:c>
      <x:c r="J40" s="38" t="n">
        <x:v>0</x:v>
      </x:c>
      <x:c r="K40" s="38" t="n">
        <x:v>0</x:v>
      </x:c>
      <x:c r="L40" s="38" t="n">
        <x:v>0</x:v>
      </x:c>
      <x:c r="M40" s="38" t="n">
        <x:v>0</x:v>
      </x:c>
      <x:c r="N40" s="38" t="n">
        <x:v>0</x:v>
      </x:c>
      <x:c r="O40" s="39" t="n">
        <x:f>SUM(B40:N40)</x:f>
        <x:v>0</x:v>
      </x:c>
    </x:row>
    <x:row r="41">
      <x:c r="A41" t="str">
        <x:v>Other operating</x:v>
      </x:c>
      <x:c r="B41" s="38" t="n">
        <x:v>5000</x:v>
      </x:c>
      <x:c r="C41" s="38" t="n">
        <x:v>5000</x:v>
      </x:c>
      <x:c r="D41" s="38" t="n">
        <x:v>5000</x:v>
      </x:c>
      <x:c r="E41" s="38" t="n">
        <x:v>5000</x:v>
      </x:c>
      <x:c r="F41" s="38" t="n">
        <x:v>5000</x:v>
      </x:c>
      <x:c r="G41" s="38" t="n">
        <x:v>5000</x:v>
      </x:c>
      <x:c r="H41" s="38" t="n">
        <x:v>5000</x:v>
      </x:c>
      <x:c r="I41" s="38" t="n">
        <x:v>5000</x:v>
      </x:c>
      <x:c r="J41" s="38" t="n">
        <x:v>5000</x:v>
      </x:c>
      <x:c r="K41" s="38" t="n">
        <x:v>5000</x:v>
      </x:c>
      <x:c r="L41" s="38" t="n">
        <x:v>5000</x:v>
      </x:c>
      <x:c r="M41" s="38" t="n">
        <x:v>5000</x:v>
      </x:c>
      <x:c r="N41" s="38" t="n">
        <x:v>5000</x:v>
      </x:c>
      <x:c r="O41" s="39" t="n">
        <x:f>SUM(B41:N41)</x:f>
        <x:v>65000</x:v>
      </x:c>
    </x:row>
    <x:row r="42">
      <x:c r="A42" t="str">
        <x:v>Scenario payment adjustment</x:v>
      </x:c>
      <x:c r="B42" s="42" t="n">
        <x:f>IF(B$7="Actual",0,SUM(B22,B31,B33,B41)*(INDEX(Assumptions!$D$15:$D$17,MATCH(Assumptions!$B$12,Assumptions!$B$15:$B$17,0))-1))</x:f>
        <x:v>0</x:v>
      </x:c>
      <x:c r="C42" s="42" t="n">
        <x:f>IF(C$7="Actual",0,SUM(C22,C31,C33,C41)*(INDEX(Assumptions!$D$15:$D$17,MATCH(Assumptions!$B$12,Assumptions!$B$15:$B$17,0))-1))</x:f>
        <x:v>0</x:v>
      </x:c>
      <x:c r="D42" s="42" t="n">
        <x:f>IF(D$7="Actual",0,SUM(D22,D31,D33,D41)*(INDEX(Assumptions!$D$15:$D$17,MATCH(Assumptions!$B$12,Assumptions!$B$15:$B$17,0))-1))</x:f>
        <x:v>0</x:v>
      </x:c>
      <x:c r="E42" s="42" t="n">
        <x:f>IF(E$7="Actual",0,SUM(E22,E31,E33,E41)*(INDEX(Assumptions!$D$15:$D$17,MATCH(Assumptions!$B$12,Assumptions!$B$15:$B$17,0))-1))</x:f>
        <x:v>0</x:v>
      </x:c>
      <x:c r="F42" s="42" t="n">
        <x:f>IF(F$7="Actual",0,SUM(F22,F31,F33,F41)*(INDEX(Assumptions!$D$15:$D$17,MATCH(Assumptions!$B$12,Assumptions!$B$15:$B$17,0))-1))</x:f>
        <x:v>0</x:v>
      </x:c>
      <x:c r="G42" s="42" t="n">
        <x:f>IF(G$7="Actual",0,SUM(G22,G31,G33,G41)*(INDEX(Assumptions!$D$15:$D$17,MATCH(Assumptions!$B$12,Assumptions!$B$15:$B$17,0))-1))</x:f>
        <x:v>0</x:v>
      </x:c>
      <x:c r="H42" s="42" t="n">
        <x:f>IF(H$7="Actual",0,SUM(H22,H31,H33,H41)*(INDEX(Assumptions!$D$15:$D$17,MATCH(Assumptions!$B$12,Assumptions!$B$15:$B$17,0))-1))</x:f>
        <x:v>0</x:v>
      </x:c>
      <x:c r="I42" s="42" t="n">
        <x:f>IF(I$7="Actual",0,SUM(I22,I31,I33,I41)*(INDEX(Assumptions!$D$15:$D$17,MATCH(Assumptions!$B$12,Assumptions!$B$15:$B$17,0))-1))</x:f>
        <x:v>0</x:v>
      </x:c>
      <x:c r="J42" s="42" t="n">
        <x:f>IF(J$7="Actual",0,SUM(J22,J31,J33,J41)*(INDEX(Assumptions!$D$15:$D$17,MATCH(Assumptions!$B$12,Assumptions!$B$15:$B$17,0))-1))</x:f>
        <x:v>0</x:v>
      </x:c>
      <x:c r="K42" s="42" t="n">
        <x:f>IF(K$7="Actual",0,SUM(K22,K31,K33,K41)*(INDEX(Assumptions!$D$15:$D$17,MATCH(Assumptions!$B$12,Assumptions!$B$15:$B$17,0))-1))</x:f>
        <x:v>0</x:v>
      </x:c>
      <x:c r="L42" s="42" t="n">
        <x:f>IF(L$7="Actual",0,SUM(L22,L31,L33,L41)*(INDEX(Assumptions!$D$15:$D$17,MATCH(Assumptions!$B$12,Assumptions!$B$15:$B$17,0))-1))</x:f>
        <x:v>0</x:v>
      </x:c>
      <x:c r="M42" s="42" t="n">
        <x:f>IF(M$7="Actual",0,SUM(M22,M31,M33,M41)*(INDEX(Assumptions!$D$15:$D$17,MATCH(Assumptions!$B$12,Assumptions!$B$15:$B$17,0))-1))</x:f>
        <x:v>0</x:v>
      </x:c>
      <x:c r="N42" s="42" t="n">
        <x:f>IF(N$7="Actual",0,SUM(N22,N31,N33,N41)*(INDEX(Assumptions!$D$15:$D$17,MATCH(Assumptions!$B$12,Assumptions!$B$15:$B$17,0))-1))</x:f>
        <x:v>0</x:v>
      </x:c>
      <x:c r="O42" s="39" t="n">
        <x:f>SUM(B42:N42)</x:f>
        <x:v>0</x:v>
      </x:c>
    </x:row>
    <x:row r="43">
      <x:c r="A43" s="37" t="str">
        <x:v>Total cash payments</x:v>
      </x:c>
      <x:c r="B43" s="43" t="n">
        <x:f>SUM(B22:B42)</x:f>
        <x:v>212000</x:v>
      </x:c>
      <x:c r="C43" s="43" t="n">
        <x:f>SUM(C22:C42)</x:f>
        <x:v>178000</x:v>
      </x:c>
      <x:c r="D43" s="43" t="n">
        <x:f>SUM(D22:D42)</x:f>
        <x:v>182000</x:v>
      </x:c>
      <x:c r="E43" s="43" t="n">
        <x:f>SUM(E22:E42)</x:f>
        <x:v>179000</x:v>
      </x:c>
      <x:c r="F43" s="43" t="n">
        <x:f>SUM(F22:F42)</x:f>
        <x:v>232000</x:v>
      </x:c>
      <x:c r="G43" s="43" t="n">
        <x:f>SUM(G22:G42)</x:f>
        <x:v>209000</x:v>
      </x:c>
      <x:c r="H43" s="43" t="n">
        <x:f>SUM(H22:H42)</x:f>
        <x:v>197000</x:v>
      </x:c>
      <x:c r="I43" s="43" t="n">
        <x:f>SUM(I22:I42)</x:f>
        <x:v>192000</x:v>
      </x:c>
      <x:c r="J43" s="43" t="n">
        <x:f>SUM(J22:J42)</x:f>
        <x:v>307000</x:v>
      </x:c>
      <x:c r="K43" s="43" t="n">
        <x:f>SUM(K22:K42)</x:f>
        <x:v>229000</x:v>
      </x:c>
      <x:c r="L43" s="43" t="n">
        <x:f>SUM(L22:L42)</x:f>
        <x:v>192000</x:v>
      </x:c>
      <x:c r="M43" s="43" t="n">
        <x:f>SUM(M22:M42)</x:f>
        <x:v>179000</x:v>
      </x:c>
      <x:c r="N43" s="43" t="n">
        <x:f>SUM(N22:N42)</x:f>
        <x:v>219000</x:v>
      </x:c>
      <x:c r="O43" s="40" t="n">
        <x:f>SUM(B43:N43)</x:f>
        <x:v>2707000</x:v>
      </x:c>
    </x:row>
    <x:row r="44"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</x:row>
    <x:row r="45">
      <x:c r="A45" s="14" t="str">
        <x:v>CASH POSITION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</x:row>
    <x:row r="46">
      <x:c r="A46" t="str">
        <x:v>Opening cash balance</x:v>
      </x:c>
      <x:c r="B46" s="44" t="n">
        <x:f>'Assumptions'!$B$10</x:f>
        <x:v>400000</x:v>
      </x:c>
      <x:c r="C46" s="44" t="n">
        <x:f>B48</x:f>
        <x:v>358000</x:v>
      </x:c>
      <x:c r="D46" s="44" t="n">
        <x:f>C48</x:f>
        <x:v>349000</x:v>
      </x:c>
      <x:c r="E46" s="44" t="n">
        <x:f>D48</x:f>
        <x:v>325000</x:v>
      </x:c>
      <x:c r="F46" s="44" t="n">
        <x:f>E48</x:f>
        <x:v>293000</x:v>
      </x:c>
      <x:c r="G46" s="44" t="n">
        <x:f>F48</x:f>
        <x:v>201000</x:v>
      </x:c>
      <x:c r="H46" s="44" t="n">
        <x:f>G48</x:f>
        <x:v>133000</x:v>
      </x:c>
      <x:c r="I46" s="44" t="n">
        <x:f>H48</x:f>
        <x:v>217000</x:v>
      </x:c>
      <x:c r="J46" s="44" t="n">
        <x:f>I48</x:f>
        <x:v>160000</x:v>
      </x:c>
      <x:c r="K46" s="44" t="n">
        <x:f>J48</x:f>
        <x:v>117000</x:v>
      </x:c>
      <x:c r="L46" s="44" t="n">
        <x:f>K48</x:f>
        <x:v>137000</x:v>
      </x:c>
      <x:c r="M46" s="44" t="n">
        <x:f>L48</x:f>
        <x:v>99000</x:v>
      </x:c>
      <x:c r="N46" s="44" t="n">
        <x:f>M48</x:f>
        <x:v>82000</x:v>
      </x:c>
      <x:c r="O46" s="39" t="n">
        <x:f>N46</x:f>
        <x:v>82000</x:v>
      </x:c>
    </x:row>
    <x:row r="47">
      <x:c r="A47" t="str">
        <x:v>Net cash movement</x:v>
      </x:c>
      <x:c r="B47" s="42" t="n">
        <x:f>B19-B43</x:f>
        <x:v>-42000</x:v>
      </x:c>
      <x:c r="C47" s="42" t="n">
        <x:f>C19-C43</x:f>
        <x:v>-9000</x:v>
      </x:c>
      <x:c r="D47" s="42" t="n">
        <x:f>D19-D43</x:f>
        <x:v>-24000</x:v>
      </x:c>
      <x:c r="E47" s="42" t="n">
        <x:f>E19-E43</x:f>
        <x:v>-32000</x:v>
      </x:c>
      <x:c r="F47" s="42" t="n">
        <x:f>F19-F43</x:f>
        <x:v>-92000</x:v>
      </x:c>
      <x:c r="G47" s="42" t="n">
        <x:f>G19-G43</x:f>
        <x:v>-68000</x:v>
      </x:c>
      <x:c r="H47" s="42" t="n">
        <x:f>H19-H43</x:f>
        <x:v>84000</x:v>
      </x:c>
      <x:c r="I47" s="42" t="n">
        <x:f>I19-I43</x:f>
        <x:v>-57000</x:v>
      </x:c>
      <x:c r="J47" s="42" t="n">
        <x:f>J19-J43</x:f>
        <x:v>-43000</x:v>
      </x:c>
      <x:c r="K47" s="42" t="n">
        <x:f>K19-K43</x:f>
        <x:v>20000</x:v>
      </x:c>
      <x:c r="L47" s="42" t="n">
        <x:f>L19-L43</x:f>
        <x:v>-38000</x:v>
      </x:c>
      <x:c r="M47" s="42" t="n">
        <x:f>M19-M43</x:f>
        <x:v>-17000</x:v>
      </x:c>
      <x:c r="N47" s="42" t="n">
        <x:f>N19-N43</x:f>
        <x:v>-51000</x:v>
      </x:c>
      <x:c r="O47" s="39" t="n">
        <x:f>N47</x:f>
        <x:v>-51000</x:v>
      </x:c>
    </x:row>
    <x:row r="48">
      <x:c r="A48" s="37" t="str">
        <x:v>Closing cash balance</x:v>
      </x:c>
      <x:c r="B48" s="43" t="n">
        <x:f>B46+B47</x:f>
        <x:v>358000</x:v>
      </x:c>
      <x:c r="C48" s="43" t="n">
        <x:f>C46+C47</x:f>
        <x:v>349000</x:v>
      </x:c>
      <x:c r="D48" s="43" t="n">
        <x:f>D46+D47</x:f>
        <x:v>325000</x:v>
      </x:c>
      <x:c r="E48" s="43" t="n">
        <x:f>E46+E47</x:f>
        <x:v>293000</x:v>
      </x:c>
      <x:c r="F48" s="43" t="n">
        <x:f>F46+F47</x:f>
        <x:v>201000</x:v>
      </x:c>
      <x:c r="G48" s="43" t="n">
        <x:f>G46+G47</x:f>
        <x:v>133000</x:v>
      </x:c>
      <x:c r="H48" s="43" t="n">
        <x:f>H46+H47</x:f>
        <x:v>217000</x:v>
      </x:c>
      <x:c r="I48" s="43" t="n">
        <x:f>I46+I47</x:f>
        <x:v>160000</x:v>
      </x:c>
      <x:c r="J48" s="43" t="n">
        <x:f>J46+J47</x:f>
        <x:v>117000</x:v>
      </x:c>
      <x:c r="K48" s="43" t="n">
        <x:f>K46+K47</x:f>
        <x:v>137000</x:v>
      </x:c>
      <x:c r="L48" s="43" t="n">
        <x:f>L46+L47</x:f>
        <x:v>99000</x:v>
      </x:c>
      <x:c r="M48" s="43" t="n">
        <x:f>M46+M47</x:f>
        <x:v>82000</x:v>
      </x:c>
      <x:c r="N48" s="43" t="n">
        <x:f>N46+N47</x:f>
        <x:v>31000</x:v>
      </x:c>
      <x:c r="O48" s="40" t="n">
        <x:f>N48</x:f>
        <x:v>31000</x:v>
      </x:c>
    </x:row>
    <x:row r="49">
      <x:c r="A49" t="str">
        <x:v>Minimum cash buffer</x:v>
      </x:c>
      <x:c r="B49" s="44" t="n">
        <x:f>'Assumptions'!$B$11</x:f>
        <x:v>100000</x:v>
      </x:c>
      <x:c r="C49" s="44" t="n">
        <x:f>'Assumptions'!$B$11</x:f>
        <x:v>100000</x:v>
      </x:c>
      <x:c r="D49" s="44" t="n">
        <x:f>'Assumptions'!$B$11</x:f>
        <x:v>100000</x:v>
      </x:c>
      <x:c r="E49" s="44" t="n">
        <x:f>'Assumptions'!$B$11</x:f>
        <x:v>100000</x:v>
      </x:c>
      <x:c r="F49" s="44" t="n">
        <x:f>'Assumptions'!$B$11</x:f>
        <x:v>100000</x:v>
      </x:c>
      <x:c r="G49" s="44" t="n">
        <x:f>'Assumptions'!$B$11</x:f>
        <x:v>100000</x:v>
      </x:c>
      <x:c r="H49" s="44" t="n">
        <x:f>'Assumptions'!$B$11</x:f>
        <x:v>100000</x:v>
      </x:c>
      <x:c r="I49" s="44" t="n">
        <x:f>'Assumptions'!$B$11</x:f>
        <x:v>100000</x:v>
      </x:c>
      <x:c r="J49" s="44" t="n">
        <x:f>'Assumptions'!$B$11</x:f>
        <x:v>100000</x:v>
      </x:c>
      <x:c r="K49" s="44" t="n">
        <x:f>'Assumptions'!$B$11</x:f>
        <x:v>100000</x:v>
      </x:c>
      <x:c r="L49" s="44" t="n">
        <x:f>'Assumptions'!$B$11</x:f>
        <x:v>100000</x:v>
      </x:c>
      <x:c r="M49" s="44" t="n">
        <x:f>'Assumptions'!$B$11</x:f>
        <x:v>100000</x:v>
      </x:c>
      <x:c r="N49" s="44" t="n">
        <x:f>'Assumptions'!$B$11</x:f>
        <x:v>100000</x:v>
      </x:c>
      <x:c r="O49" s="39" t="n">
        <x:f>N49</x:f>
        <x:v>100000</x:v>
      </x:c>
    </x:row>
    <x:row r="50">
      <x:c r="A50" s="37" t="str">
        <x:v>Headroom / (gap)</x:v>
      </x:c>
      <x:c r="B50" s="43" t="n">
        <x:f>B48-B49</x:f>
        <x:v>258000</x:v>
      </x:c>
      <x:c r="C50" s="43" t="n">
        <x:f>C48-C49</x:f>
        <x:v>249000</x:v>
      </x:c>
      <x:c r="D50" s="43" t="n">
        <x:f>D48-D49</x:f>
        <x:v>225000</x:v>
      </x:c>
      <x:c r="E50" s="43" t="n">
        <x:f>E48-E49</x:f>
        <x:v>193000</x:v>
      </x:c>
      <x:c r="F50" s="43" t="n">
        <x:f>F48-F49</x:f>
        <x:v>101000</x:v>
      </x:c>
      <x:c r="G50" s="43" t="n">
        <x:f>G48-G49</x:f>
        <x:v>33000</x:v>
      </x:c>
      <x:c r="H50" s="43" t="n">
        <x:f>H48-H49</x:f>
        <x:v>117000</x:v>
      </x:c>
      <x:c r="I50" s="43" t="n">
        <x:f>I48-I49</x:f>
        <x:v>60000</x:v>
      </x:c>
      <x:c r="J50" s="43" t="n">
        <x:f>J48-J49</x:f>
        <x:v>17000</x:v>
      </x:c>
      <x:c r="K50" s="43" t="n">
        <x:f>K48-K49</x:f>
        <x:v>37000</x:v>
      </x:c>
      <x:c r="L50" s="43" t="n">
        <x:f>L48-L49</x:f>
        <x:v>-1000</x:v>
      </x:c>
      <x:c r="M50" s="43" t="n">
        <x:f>M48-M49</x:f>
        <x:v>-18000</x:v>
      </x:c>
      <x:c r="N50" s="43" t="n">
        <x:f>N48-N49</x:f>
        <x:v>-69000</x:v>
      </x:c>
      <x:c r="O50" s="40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e5578828a6574f7e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9" hidden="0" customWidth="1"/>
    <x:col min="4" max="4" width="19" hidden="0" customWidth="1"/>
    <x:col min="5" max="5" width="19" hidden="0" customWidth="1"/>
    <x:col min="6" max="6" width="32" hidden="0" customWidth="1"/>
    <x:col min="7" max="7" width="16" hidden="0" customWidth="1"/>
    <x:col min="8" max="8" width="28" hidden="0" customWidth="1"/>
    <x:col min="9" max="9" width="16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8" t="str">
        <x:v>Record actual closing cash, actions and ownership each week. Variance remains blank until an actual is entered.</x:v>
      </x:c>
      <x:c r="B2" s="8"/>
      <x:c r="C2" s="8"/>
      <x:c r="D2" s="8"/>
      <x:c r="E2" s="8"/>
      <x:c r="F2" s="8"/>
      <x:c r="G2" s="8"/>
      <x:c r="H2" s="8"/>
      <x:c r="I2" s="8"/>
    </x:row>
    <x:row r="5" ht="32" customHeight="1">
      <x:c r="A5" s="28" t="str">
        <x:v>Week</x:v>
      </x:c>
      <x:c r="B5" s="28" t="str">
        <x:v>Week ending</x:v>
      </x:c>
      <x:c r="C5" s="28" t="str">
        <x:v>Forecast closing cash</x:v>
      </x:c>
      <x:c r="D5" s="28" t="str">
        <x:v>Actual closing cash</x:v>
      </x:c>
      <x:c r="E5" s="28" t="str">
        <x:v>Variance</x:v>
      </x:c>
      <x:c r="F5" s="28" t="str">
        <x:v>Rolling forecast note</x:v>
      </x:c>
      <x:c r="G5" s="28" t="str">
        <x:v>Owner</x:v>
      </x:c>
      <x:c r="H5" s="28" t="str">
        <x:v>Action</x:v>
      </x:c>
      <x:c r="I5" s="28" t="str">
        <x:v>Status</x:v>
      </x:c>
    </x:row>
    <x:row r="6">
      <x:c r="A6" t="n">
        <x:v>1</x:v>
      </x:c>
      <x:c r="B6" s="45" t="n">
        <x:f>'13-Week Forecast'!B$6</x:f>
        <x:v>46271</x:v>
      </x:c>
      <x:c r="C6" s="44" t="n">
        <x:f>'13-Week Forecast'!B$48</x:f>
        <x:v>358000</x:v>
      </x:c>
      <x:c r="D6" s="38"/>
      <x:c r="E6" s="42" t="str">
        <x:f>IF(D6="","",D6-C6)</x:f>
      </x:c>
      <x:c r="F6" s="16"/>
      <x:c r="G6" s="16"/>
      <x:c r="H6" s="16"/>
      <x:c r="I6" s="16"/>
    </x:row>
    <x:row r="7">
      <x:c r="A7" t="n">
        <x:v>2</x:v>
      </x:c>
      <x:c r="B7" s="45" t="n">
        <x:f>'13-Week Forecast'!C$6</x:f>
        <x:v>46278</x:v>
      </x:c>
      <x:c r="C7" s="44" t="n">
        <x:f>'13-Week Forecast'!C$48</x:f>
        <x:v>349000</x:v>
      </x:c>
      <x:c r="D7" s="38"/>
      <x:c r="E7" s="42" t="str">
        <x:f>IF(D7="","",D7-C7)</x:f>
      </x:c>
      <x:c r="F7" s="16"/>
      <x:c r="G7" s="16"/>
      <x:c r="H7" s="16"/>
      <x:c r="I7" s="16"/>
    </x:row>
    <x:row r="8">
      <x:c r="A8" t="n">
        <x:v>3</x:v>
      </x:c>
      <x:c r="B8" s="45" t="n">
        <x:f>'13-Week Forecast'!D$6</x:f>
        <x:v>46285</x:v>
      </x:c>
      <x:c r="C8" s="44" t="n">
        <x:f>'13-Week Forecast'!D$48</x:f>
        <x:v>325000</x:v>
      </x:c>
      <x:c r="D8" s="38"/>
      <x:c r="E8" s="42" t="str">
        <x:f>IF(D8="","",D8-C8)</x:f>
      </x:c>
      <x:c r="F8" s="16"/>
      <x:c r="G8" s="16"/>
      <x:c r="H8" s="16"/>
      <x:c r="I8" s="16"/>
    </x:row>
    <x:row r="9">
      <x:c r="A9" t="n">
        <x:v>4</x:v>
      </x:c>
      <x:c r="B9" s="45" t="n">
        <x:f>'13-Week Forecast'!E$6</x:f>
        <x:v>46292</x:v>
      </x:c>
      <x:c r="C9" s="44" t="n">
        <x:f>'13-Week Forecast'!E$48</x:f>
        <x:v>293000</x:v>
      </x:c>
      <x:c r="D9" s="38"/>
      <x:c r="E9" s="42" t="str">
        <x:f>IF(D9="","",D9-C9)</x:f>
      </x:c>
      <x:c r="F9" s="16"/>
      <x:c r="G9" s="16"/>
      <x:c r="H9" s="16"/>
      <x:c r="I9" s="16"/>
    </x:row>
    <x:row r="10">
      <x:c r="A10" t="n">
        <x:v>5</x:v>
      </x:c>
      <x:c r="B10" s="45" t="n">
        <x:f>'13-Week Forecast'!F$6</x:f>
        <x:v>46299</x:v>
      </x:c>
      <x:c r="C10" s="44" t="n">
        <x:f>'13-Week Forecast'!F$48</x:f>
        <x:v>201000</x:v>
      </x:c>
      <x:c r="D10" s="38"/>
      <x:c r="E10" s="42" t="str">
        <x:f>IF(D10="","",D10-C10)</x:f>
      </x:c>
      <x:c r="F10" s="16"/>
      <x:c r="G10" s="16"/>
      <x:c r="H10" s="16"/>
      <x:c r="I10" s="16"/>
    </x:row>
    <x:row r="11">
      <x:c r="A11" t="n">
        <x:v>6</x:v>
      </x:c>
      <x:c r="B11" s="45" t="n">
        <x:f>'13-Week Forecast'!G$6</x:f>
        <x:v>46306</x:v>
      </x:c>
      <x:c r="C11" s="44" t="n">
        <x:f>'13-Week Forecast'!G$48</x:f>
        <x:v>133000</x:v>
      </x:c>
      <x:c r="D11" s="38"/>
      <x:c r="E11" s="42" t="str">
        <x:f>IF(D11="","",D11-C11)</x:f>
      </x:c>
      <x:c r="F11" s="16"/>
      <x:c r="G11" s="16"/>
      <x:c r="H11" s="16"/>
      <x:c r="I11" s="16"/>
    </x:row>
    <x:row r="12">
      <x:c r="A12" t="n">
        <x:v>7</x:v>
      </x:c>
      <x:c r="B12" s="45" t="n">
        <x:f>'13-Week Forecast'!H$6</x:f>
        <x:v>46313</x:v>
      </x:c>
      <x:c r="C12" s="44" t="n">
        <x:f>'13-Week Forecast'!H$48</x:f>
        <x:v>217000</x:v>
      </x:c>
      <x:c r="D12" s="38"/>
      <x:c r="E12" s="42" t="str">
        <x:f>IF(D12="","",D12-C12)</x:f>
      </x:c>
      <x:c r="F12" s="16"/>
      <x:c r="G12" s="16"/>
      <x:c r="H12" s="16"/>
      <x:c r="I12" s="16"/>
    </x:row>
    <x:row r="13">
      <x:c r="A13" t="n">
        <x:v>8</x:v>
      </x:c>
      <x:c r="B13" s="45" t="n">
        <x:f>'13-Week Forecast'!I$6</x:f>
        <x:v>46320</x:v>
      </x:c>
      <x:c r="C13" s="44" t="n">
        <x:f>'13-Week Forecast'!I$48</x:f>
        <x:v>160000</x:v>
      </x:c>
      <x:c r="D13" s="38"/>
      <x:c r="E13" s="42" t="str">
        <x:f>IF(D13="","",D13-C13)</x:f>
      </x:c>
      <x:c r="F13" s="16"/>
      <x:c r="G13" s="16"/>
      <x:c r="H13" s="16"/>
      <x:c r="I13" s="16"/>
    </x:row>
    <x:row r="14">
      <x:c r="A14" t="n">
        <x:v>9</x:v>
      </x:c>
      <x:c r="B14" s="45" t="n">
        <x:f>'13-Week Forecast'!J$6</x:f>
        <x:v>46327</x:v>
      </x:c>
      <x:c r="C14" s="44" t="n">
        <x:f>'13-Week Forecast'!J$48</x:f>
        <x:v>117000</x:v>
      </x:c>
      <x:c r="D14" s="38"/>
      <x:c r="E14" s="42" t="str">
        <x:f>IF(D14="","",D14-C14)</x:f>
      </x:c>
      <x:c r="F14" s="16"/>
      <x:c r="G14" s="16"/>
      <x:c r="H14" s="16"/>
      <x:c r="I14" s="16"/>
    </x:row>
    <x:row r="15">
      <x:c r="A15" t="n">
        <x:v>10</x:v>
      </x:c>
      <x:c r="B15" s="45" t="n">
        <x:f>'13-Week Forecast'!K$6</x:f>
        <x:v>46334</x:v>
      </x:c>
      <x:c r="C15" s="44" t="n">
        <x:f>'13-Week Forecast'!K$48</x:f>
        <x:v>137000</x:v>
      </x:c>
      <x:c r="D15" s="38"/>
      <x:c r="E15" s="42" t="str">
        <x:f>IF(D15="","",D15-C15)</x:f>
      </x:c>
      <x:c r="F15" s="16"/>
      <x:c r="G15" s="16"/>
      <x:c r="H15" s="16"/>
      <x:c r="I15" s="16"/>
    </x:row>
    <x:row r="16">
      <x:c r="A16" t="n">
        <x:v>11</x:v>
      </x:c>
      <x:c r="B16" s="45" t="n">
        <x:f>'13-Week Forecast'!L$6</x:f>
        <x:v>46341</x:v>
      </x:c>
      <x:c r="C16" s="44" t="n">
        <x:f>'13-Week Forecast'!L$48</x:f>
        <x:v>99000</x:v>
      </x:c>
      <x:c r="D16" s="38"/>
      <x:c r="E16" s="42" t="str">
        <x:f>IF(D16="","",D16-C16)</x:f>
      </x:c>
      <x:c r="F16" s="16"/>
      <x:c r="G16" s="16"/>
      <x:c r="H16" s="16"/>
      <x:c r="I16" s="16"/>
    </x:row>
    <x:row r="17">
      <x:c r="A17" t="n">
        <x:v>12</x:v>
      </x:c>
      <x:c r="B17" s="45" t="n">
        <x:f>'13-Week Forecast'!M$6</x:f>
        <x:v>46348</x:v>
      </x:c>
      <x:c r="C17" s="44" t="n">
        <x:f>'13-Week Forecast'!M$48</x:f>
        <x:v>82000</x:v>
      </x:c>
      <x:c r="D17" s="38"/>
      <x:c r="E17" s="42" t="str">
        <x:f>IF(D17="","",D17-C17)</x:f>
      </x:c>
      <x:c r="F17" s="16"/>
      <x:c r="G17" s="16"/>
      <x:c r="H17" s="16"/>
      <x:c r="I17" s="16"/>
    </x:row>
    <x:row r="18">
      <x:c r="A18" t="n">
        <x:v>13</x:v>
      </x:c>
      <x:c r="B18" s="45" t="n">
        <x:f>'13-Week Forecast'!N$6</x:f>
        <x:v>46355</x:v>
      </x:c>
      <x:c r="C18" s="44" t="n">
        <x:f>'13-Week Forecast'!N$48</x:f>
        <x:v>31000</x:v>
      </x:c>
      <x:c r="D18" s="38"/>
      <x:c r="E18" s="42" t="str">
        <x:f>IF(D18="","",D18-C18)</x:f>
      </x:c>
      <x:c r="F18" s="16"/>
      <x:c r="G18" s="16"/>
      <x:c r="H18" s="16"/>
      <x:c r="I18" s="16"/>
    </x:row>
  </x:sheetData>
  <x:mergeCells>
    <x:mergeCell ref="A1:I1"/>
    <x:mergeCell ref="A2:I2"/>
  </x:mergeCells>
  <x:dataValidations count="1">
    <x:dataValidation type="list" sqref="I6:I18">
      <x:formula1>"Open,In progress,Complete"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Structural checks and Australian statutory-source log are added in the controls build step.</x:v>
      </x:c>
      <x:c r="B2" s="8"/>
      <x:c r="C2" s="8"/>
      <x:c r="D2" s="8"/>
      <x:c r="E2" s="8"/>
      <x:c r="F2" s="8"/>
      <x:c r="G2" s="8"/>
      <x:c r="H2" s="8"/>
    </x:row>
    <x:row r="4">
      <x:c r="A4" s="14" t="str">
        <x:v>Check</x:v>
      </x:c>
      <x:c r="B4" s="14" t="str">
        <x:v>Actual</x:v>
      </x:c>
      <x:c r="C4" s="14" t="str">
        <x:v>Expected</x:v>
      </x:c>
      <x:c r="D4" s="14" t="str">
        <x:v>Difference</x:v>
      </x:c>
      <x:c r="E4" s="14" t="str">
        <x:v>Tolerance</x:v>
      </x:c>
      <x:c r="F4" s="14" t="str">
        <x:v>Status</x:v>
      </x:c>
      <x:c r="G4" s="14" t="str">
        <x:v>Where to fix</x:v>
      </x:c>
      <x:c r="H4" s="14" t="str">
        <x:v>Notes</x:v>
      </x:c>
    </x:row>
    <x:row r="6">
      <x:c r="A6" s="47" t="str">
        <x:v>MODEL STATUS: prepared for formula-driven integrity checks</x:v>
      </x:c>
      <x:c r="B6" s="47"/>
      <x:c r="C6" s="47"/>
      <x:c r="D6" s="47"/>
      <x:c r="E6" s="47"/>
      <x:c r="F6" s="47"/>
      <x:c r="G6" s="47"/>
      <x:c r="H6" s="47"/>
    </x:row>
    <x:row r="9">
      <x:c r="A9" s="14" t="str">
        <x:v>Source item</x:v>
      </x:c>
      <x:c r="B9" s="14" t="str">
        <x:v>Official URL</x:v>
      </x:c>
      <x:c r="C9" s="14" t="str">
        <x:v>Scope</x:v>
      </x:c>
      <x:c r="D9" s="14" t="str">
        <x:v>As-at date</x:v>
      </x:c>
      <x:c r="E9" s="14" t="str">
        <x:v>Notes</x:v>
      </x:c>
      <x:c r="F9" s="14" t="str">
        <x:v>Owner</x:v>
      </x:c>
    </x:row>
    <x:row r="11">
      <x:c r="A11" s="49" t="str">
        <x:v>Statutory dates and classifications require confirmation for your entity, reporting cycle and agent arrangements.</x:v>
      </x:c>
      <x:c r="B11" s="49"/>
      <x:c r="C11" s="49"/>
      <x:c r="D11" s="49"/>
      <x:c r="E11" s="49"/>
      <x:c r="F11" s="49"/>
    </x:row>
    <x:row r="12">
      <x:c r="A12" s="49"/>
      <x:c r="B12" s="49"/>
      <x:c r="C12" s="49"/>
      <x:c r="D12" s="49"/>
      <x:c r="E12" s="49"/>
      <x:c r="F12" s="49"/>
    </x:row>
  </x:sheetData>
  <x:mergeCells>
    <x:mergeCell ref="A1:H1"/>
    <x:mergeCell ref="A2:H2"/>
    <x:mergeCell ref="A6:H6"/>
    <x:mergeCell ref="A11:F12"/>
  </x:mergeCells>
  <x:pageMargins left="0.7" right="0.7" top="0.75" bottom="0.75" header="0.3" footer="0.3"/>
</x:worksheet>
</file>