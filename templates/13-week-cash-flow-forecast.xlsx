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2297713c3b48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834f8b96e8664207"/>
    <x:sheet xmlns:r="http://schemas.openxmlformats.org/officeDocument/2006/relationships" name="Dashboard" sheetId="2" r:id="Rf5fef861a52348ba"/>
    <x:sheet xmlns:r="http://schemas.openxmlformats.org/officeDocument/2006/relationships" name="Assumptions" sheetId="3" r:id="Rb8d5dc6877cc48d5"/>
    <x:sheet xmlns:r="http://schemas.openxmlformats.org/officeDocument/2006/relationships" name="13-Week Forecast" sheetId="4" r:id="R18837502142343cd"/>
    <x:sheet xmlns:r="http://schemas.openxmlformats.org/officeDocument/2006/relationships" name="Weekly Review" sheetId="5" r:id="R9db952d3f83a468a"/>
    <x:sheet xmlns:r="http://schemas.openxmlformats.org/officeDocument/2006/relationships" name="Checks &amp; Sources" sheetId="6" r:id="R7240b13cab8948d0"/>
  </x:sheets>
  <x:definedNames>
    <x:definedName name="CashFlowSelectedScenario">'Assumptions'!$B$12</x:definedName>
    <x:definedName name="CashFlowScenarioList">'Assumptions'!$B$15:$B$17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 mmm yyyy"/>
    <x:numFmt numFmtId="201" formatCode="&quot;$&quot;#,##0;[Red](&quot;$&quot;#,##0);-"/>
    <x:numFmt numFmtId="202" formatCode="0.0%"/>
  </x:numFmts>
  <x:fonts count="14">
    <x:font>
      <x:sz val="11"/>
      <x:name val="Carlito"/>
    </x:font>
    <x:font>
      <x:sz val="11"/>
      <x:color rgb="FF2B2733"/>
      <x:name val="Aptos"/>
    </x:font>
    <x:font>
      <x:b/>
      <x:sz val="18"/>
      <x:color rgb="FFFFFFFF"/>
      <x:name val="Aptos Display"/>
    </x:font>
    <x:font>
      <x:sz val="10"/>
      <x:color rgb="FF2B2733"/>
      <x:name val="Aptos"/>
    </x:font>
    <x:font>
      <x:b/>
      <x:sz val="11"/>
      <x:color rgb="FFFFFFFF"/>
      <x:name val="Aptos"/>
    </x:font>
    <x:font>
      <x:sz val="11"/>
      <x:color rgb="FF008000"/>
      <x:name val="Aptos"/>
    </x:font>
    <x:font>
      <x:sz val="11"/>
      <x:color rgb="FF0000FF"/>
      <x:name val="Aptos"/>
    </x:font>
    <x:font>
      <x:sz val="11"/>
      <x:color rgb="FF000000"/>
      <x:name val="Aptos"/>
    </x:font>
    <x:font>
      <x:sz val="11"/>
      <x:color rgb="FFC00000"/>
      <x:name val="Aptos"/>
    </x:font>
    <x:font>
      <x:sz val="11"/>
      <x:color rgb="FF7A5AB5"/>
      <x:name val="Aptos"/>
    </x:font>
    <x:font>
      <x:sz val="11"/>
      <x:color rgb="FF4F485E"/>
      <x:name val="Aptos"/>
    </x:font>
    <x:font>
      <x:b/>
      <x:sz val="11"/>
      <x:color rgb="FF2B2733"/>
      <x:name val="Aptos"/>
    </x:font>
    <x:font>
      <x:b/>
      <x:sz val="11"/>
      <x:color rgb="FF04001F"/>
      <x:name val="Aptos"/>
    </x:font>
    <x:font>
      <x:b/>
      <x:sz val="11"/>
      <x:color rgb="FF008000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5C2D91"/>
      </x:patternFill>
    </x:fill>
    <x:fill>
      <x:patternFill patternType="solid">
        <x:fgColor rgb="FFF3F1F6"/>
      </x:patternFill>
    </x:fill>
    <x:fill>
      <x:patternFill patternType="solid">
        <x:fgColor rgb="FFC00000"/>
      </x:patternFill>
    </x:fill>
    <x:fill>
      <x:patternFill patternType="solid">
        <x:fgColor rgb="FF04001F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DED9E8"/>
      </x:patternFill>
    </x:fill>
    <x:fill>
      <x:patternFill patternType="solid">
        <x:fgColor rgb="FFB1AFAD"/>
      </x:patternFill>
    </x:fill>
  </x:fills>
  <x:borders count="2">
    <x:border/>
    <x:border>
      <x:bottom style="double">
        <x:color rgb="FF4F485E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0" fillId="0" borderId="0" xfId="0" applyNumberFormat="1" applyFont="1" applyFill="1" applyBorder="1"/>
    <x:xf numFmtId="0" fontId="5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9" fillId="0" borderId="0" xfId="0" applyNumberFormat="1" applyFont="1" applyFill="1" applyBorder="1"/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0" xfId="0" applyNumberFormat="1" applyFont="1" applyFill="1" applyBorder="1" applyAlignment="1">
      <x:alignment wrapText="1"/>
    </x:xf>
    <x:xf numFmtId="0" fontId="10" fillId="8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/>
    <x:xf numFmtId="200" fontId="6" fillId="9" borderId="0" xfId="0" applyNumberFormat="1" applyFont="1" applyFill="1" applyBorder="1"/>
    <x:xf numFmtId="201" fontId="6" fillId="9" borderId="0" xfId="0" applyNumberFormat="1" applyFont="1" applyFill="1" applyBorder="1"/>
    <x:xf numFmtId="202" fontId="6" fillId="3" borderId="0" xfId="0" applyNumberFormat="1" applyFont="1" applyFill="1" applyBorder="1"/>
    <x:xf numFmtId="200" fontId="0" fillId="8" borderId="0" xfId="0" applyNumberFormat="1" applyFont="1" applyFill="1" applyBorder="1"/>
    <x:xf numFmtId="200" fontId="11" fillId="8" borderId="0" xfId="0" applyNumberFormat="1" applyFont="1" applyFill="1" applyBorder="1"/>
    <x:xf numFmtId="0" fontId="11" fillId="8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1" xfId="0" applyNumberFormat="1" applyFont="1" applyFill="1" applyBorder="1"/>
    <x:xf numFmtId="201" fontId="0" fillId="0" borderId="0" xfId="0" applyNumberFormat="1" applyFont="1" applyFill="1" applyBorder="1"/>
    <x:xf numFmtId="201" fontId="12" fillId="0" borderId="1" xfId="0" applyNumberFormat="1" applyFont="1" applyFill="1" applyBorder="1"/>
    <x:xf numFmtId="201" fontId="4" fillId="5" borderId="0" xfId="0" applyNumberFormat="1" applyFont="1" applyFill="1" applyBorder="1"/>
    <x:xf numFmtId="0" fontId="13" fillId="7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7938572a4f4fae" /><Relationship Type="http://schemas.openxmlformats.org/officeDocument/2006/relationships/theme" Target="/xl/theme/theme1.xml" Id="Re19095880e7e458e" /><Relationship Type="http://schemas.openxmlformats.org/officeDocument/2006/relationships/sharedStrings" Target="/xl/sharedStrings.xml" Id="R363b93caec6d4133" /><Relationship Type="http://schemas.openxmlformats.org/officeDocument/2006/relationships/worksheet" Target="/xl/worksheets/sheet1.xml" Id="R834f8b96e8664207" /><Relationship Type="http://schemas.openxmlformats.org/officeDocument/2006/relationships/worksheet" Target="/xl/worksheets/sheet2.xml" Id="Rf5fef861a52348ba" /><Relationship Type="http://schemas.openxmlformats.org/officeDocument/2006/relationships/worksheet" Target="/xl/worksheets/sheet3.xml" Id="Rb8d5dc6877cc48d5" /><Relationship Type="http://schemas.openxmlformats.org/officeDocument/2006/relationships/worksheet" Target="/xl/worksheets/sheet4.xml" Id="R18837502142343cd" /><Relationship Type="http://schemas.openxmlformats.org/officeDocument/2006/relationships/worksheet" Target="/xl/worksheets/sheet5.xml" Id="R9db952d3f83a468a" /><Relationship Type="http://schemas.openxmlformats.org/officeDocument/2006/relationships/worksheet" Target="/xl/worksheets/sheet6.xml" Id="R7240b13cab8948d0" /></Relationships>
</file>

<file path=xl/theme/theme1.xml><?xml version="1.0" encoding="utf-8"?>
<a:theme xmlns:a="http://schemas.openxmlformats.org/drawingml/2006/main" name="ChatGPT">
  <a:themeElements>
    <a:clrScheme name="Ozzit">
      <a:dk1>
        <a:srgbClr val="04001F"/>
      </a:dk1>
      <a:lt1>
        <a:srgbClr val="FFFFFF"/>
      </a:lt1>
      <a:dk2>
        <a:srgbClr val="0E2841"/>
      </a:dk2>
      <a:lt2>
        <a:srgbClr val="F3F1F6"/>
      </a:lt2>
      <a:accent1>
        <a:srgbClr val="5C2D91"/>
      </a:accent1>
      <a:accent2>
        <a:srgbClr val="04001F"/>
      </a:accent2>
      <a:accent3>
        <a:srgbClr val="7A5AB5"/>
      </a:accent3>
      <a:accent4>
        <a:srgbClr val="4F485E"/>
      </a:accent4>
      <a:accent5>
        <a:srgbClr val="DED9E8"/>
      </a:accent5>
      <a:accent6>
        <a:srgbClr val="B1AFAD"/>
      </a:accent6>
      <a:hlink>
        <a:srgbClr val="7A5AB5"/>
      </a:hlink>
      <a:folHlink>
        <a:srgbClr val="4F485E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zzi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8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4" t="str">
        <x:v>Ozzit | 13-Week Cash-Flow Forecast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A practical weekly liquidity model for Australian finance teams and small-business operators.</x:v>
      </x:c>
      <x:c r="B2" s="8"/>
      <x:c r="C2" s="8"/>
      <x:c r="D2" s="8"/>
      <x:c r="E2" s="8"/>
      <x:c r="F2" s="8"/>
      <x:c r="G2" s="8"/>
      <x:c r="H2" s="8"/>
    </x:row>
    <x:row r="4">
      <x:c r="A4" s="10" t="str">
        <x:v>ILLUSTRATIVE DATA | Replace every blue input with your organisation's current cash-flow assumptions.</x:v>
      </x:c>
      <x:c r="B4" s="10"/>
      <x:c r="C4" s="10"/>
      <x:c r="D4" s="10"/>
      <x:c r="E4" s="10"/>
      <x:c r="F4" s="10"/>
      <x:c r="G4" s="10"/>
      <x:c r="H4" s="10"/>
    </x:row>
    <x:row r="6">
      <x:c r="A6" t="str">
        <x:v>Version</x:v>
      </x:c>
      <x:c r="B6" t="str">
        <x:v>1.0 scaffold</x:v>
      </x:c>
      <x:c r="D6" s="14" t="str">
        <x:v>Quick links</x:v>
      </x:c>
      <x:c r="E6" s="14"/>
      <x:c r="F6" s="14"/>
      <x:c r="G6" s="14"/>
      <x:c r="H6" s="14"/>
    </x:row>
    <x:row r="7">
      <x:c r="A7" t="str">
        <x:v>Prepared date</x:v>
      </x:c>
      <x:c r="B7" s="11" t="n">
        <x:v>46260</x:v>
      </x:c>
      <x:c r="D7" s="22" t="e">
        <x:f>HYPERLINK("#'Dashboard'!A1","Dashboard")</x:f>
        <x:v>HYPERLINK is not implemented. linkLocation=#'Dashboard'!A1, friendlyName=Dashboard</x:v>
      </x:c>
    </x:row>
    <x:row r="8">
      <x:c r="A8" t="str">
        <x:v>Currency</x:v>
      </x:c>
      <x:c r="B8" t="str">
        <x:v>AUD</x:v>
      </x:c>
      <x:c r="D8" s="22" t="e">
        <x:f>HYPERLINK("#'Assumptions'!A1","Assumptions")</x:f>
        <x:v>HYPERLINK is not implemented. linkLocation=#'Assumptions'!A1, friendlyName=Assumptions</x:v>
      </x:c>
    </x:row>
    <x:row r="9">
      <x:c r="A9" t="str">
        <x:v>Units</x:v>
      </x:c>
      <x:c r="B9" t="str">
        <x:v>Whole dollars</x:v>
      </x:c>
      <x:c r="D9" s="22" t="e">
        <x:f>HYPERLINK("#'13-Week Forecast'!A1","13-Week Forecast")</x:f>
        <x:v>HYPERLINK is not implemented. linkLocation=#'13-Week Forecast'!A1, friendlyName=13-Week Forecast</x:v>
      </x:c>
    </x:row>
    <x:row r="10">
      <x:c r="A10" t="str">
        <x:v>Selected scenario</x:v>
      </x:c>
      <x:c r="B10" s="12" t="str">
        <x:f>'Assumptions'!$B$12</x:f>
        <x:v>Base</x:v>
      </x:c>
      <x:c r="D10" s="22" t="e">
        <x:f>HYPERLINK("#'Weekly Review'!A1","Weekly Review")</x:f>
        <x:v>HYPERLINK is not implemented. linkLocation=#'Weekly Review'!A1, friendlyName=Weekly Review</x:v>
      </x:c>
    </x:row>
    <x:row r="11">
      <x:c r="D11" s="22" t="e">
        <x:f>HYPERLINK("#'Checks &amp; Sources'!A1","Checks &amp; Sources")</x:f>
        <x:v>HYPERLINK is not implemented. linkLocation=#'Checks &amp; Sources'!A1, friendlyName=Checks &amp; Sources</x:v>
      </x:c>
    </x:row>
    <x:row r="12">
      <x:c r="A12" s="14" t="str">
        <x:v>Five-step weekly update process</x:v>
      </x:c>
      <x:c r="B12" s="14"/>
      <x:c r="C12" s="14"/>
      <x:c r="D12" s="14"/>
      <x:c r="E12" s="14"/>
      <x:c r="F12" s="14"/>
      <x:c r="G12" s="14"/>
      <x:c r="H12" s="14"/>
    </x:row>
    <x:row r="13">
      <x:c r="A13" t="str">
        <x:v>1</x:v>
      </x:c>
      <x:c r="B13" s="15" t="str">
        <x:v>Update the Assumptions control panel and selected scenario.</x:v>
      </x:c>
    </x:row>
    <x:row r="14">
      <x:c r="A14" t="str">
        <x:v>2</x:v>
      </x:c>
      <x:c r="B14" s="15" t="str">
        <x:v>Replace blue cash-receipt and cash-payment inputs with the latest weekly view.</x:v>
      </x:c>
    </x:row>
    <x:row r="15">
      <x:c r="A15" t="str">
        <x:v>3</x:v>
      </x:c>
      <x:c r="B15" s="15" t="str">
        <x:v>Review closing cash, headroom and liquidity status in the 13-Week Forecast.</x:v>
      </x:c>
    </x:row>
    <x:row r="16">
      <x:c r="A16" t="str">
        <x:v>4</x:v>
      </x:c>
      <x:c r="B16" s="15" t="str">
        <x:v>Record actual results, actions and owners in Weekly Review.</x:v>
      </x:c>
    </x:row>
    <x:row r="17">
      <x:c r="A17" t="str">
        <x:v>5</x:v>
      </x:c>
      <x:c r="B17" s="15" t="str">
        <x:v>Resolve any control failure in Checks &amp; Sources before management review.</x:v>
      </x:c>
    </x:row>
    <x:row r="19">
      <x:c r="A19" s="14" t="str">
        <x:v>Colour legend</x:v>
      </x:c>
      <x:c r="B19" s="14"/>
      <x:c r="C19" s="14"/>
      <x:c r="D19" s="14"/>
      <x:c r="E19" s="14"/>
      <x:c r="F19" s="14"/>
      <x:c r="G19" s="14"/>
      <x:c r="H19" s="14"/>
    </x:row>
    <x:row r="20">
      <x:c r="A20" s="16" t="str">
        <x:v>Blue text / lavender fill</x:v>
      </x:c>
      <x:c r="B20" t="str">
        <x:v>Editable user input</x:v>
      </x:c>
    </x:row>
    <x:row r="21">
      <x:c r="A21" s="17" t="str">
        <x:v>Black text</x:v>
      </x:c>
      <x:c r="B21" t="str">
        <x:v>Formula or calculation</x:v>
      </x:c>
    </x:row>
    <x:row r="22">
      <x:c r="A22" s="12" t="str">
        <x:v>Green text</x:v>
      </x:c>
      <x:c r="B22" t="str">
        <x:v>Cross-sheet link</x:v>
      </x:c>
    </x:row>
    <x:row r="23">
      <x:c r="A23" s="19" t="str">
        <x:v>Red text / pale-red fill</x:v>
      </x:c>
      <x:c r="B23" t="str">
        <x:v>Warning or exception</x:v>
      </x:c>
    </x:row>
    <x:row r="24">
      <x:c r="A24" s="21" t="str">
        <x:v>Dark green / pale-green fill</x:v>
      </x:c>
      <x:c r="B24" t="str">
        <x:v>Passing check</x:v>
      </x:c>
    </x:row>
    <x:row r="27">
      <x:c r="A27" s="26" t="str">
        <x:v>Scope limit: this workbook supports short-term cash planning. It is illustrative only and is not tax, payroll, legal or financial advice. Confirm statutory dates and classifications with your adviser.</x:v>
      </x:c>
      <x:c r="B27" s="26"/>
      <x:c r="C27" s="26"/>
      <x:c r="D27" s="26"/>
      <x:c r="E27" s="26"/>
      <x:c r="F27" s="26"/>
      <x:c r="G27" s="26"/>
      <x:c r="H27" s="26"/>
    </x:row>
    <x:row r="28">
      <x:c r="A28" s="26"/>
      <x:c r="B28" s="26"/>
      <x:c r="C28" s="26"/>
      <x:c r="D28" s="26"/>
      <x:c r="E28" s="26"/>
      <x:c r="F28" s="26"/>
      <x:c r="G28" s="26"/>
      <x:c r="H28" s="26"/>
    </x:row>
  </x:sheetData>
  <x:mergeCells>
    <x:mergeCell ref="A1:H1"/>
    <x:mergeCell ref="A2:H2"/>
    <x:mergeCell ref="A4:H4"/>
    <x:mergeCell ref="A27:H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</x:cols>
  <x:sheetData>
    <x:row r="1" ht="28" customHeight="1">
      <x:c r="A1" s="4" t="str">
        <x:v>Dashboard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0" customHeight="1">
      <x:c r="A2" s="8" t="str">
        <x:v>Management view. Formula-linked KPI cards, charts and liquidity outlook are added in the dashboard build step.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4">
      <x:c r="A4" s="24" t="str">
        <x:v>No cash-flow inputs belong on this sheet. Update Assumptions and the 13-Week Forecast instead.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</x:row>
    <x:row r="6" ht="32" customHeight="1">
      <x:c r="A6" s="27" t="str">
        <x:v>Selected scenario</x:v>
      </x:c>
      <x:c r="B6" s="27" t="str">
        <x:v>Week 13 closing cash</x:v>
      </x:c>
      <x:c r="C6" s="27" t="str">
        <x:v>Lowest closing cash</x:v>
      </x:c>
      <x:c r="D6" s="27" t="str">
        <x:v>Minimum buffer</x:v>
      </x:c>
      <x:c r="E6" s="27" t="str">
        <x:v>Minimum headroom</x:v>
      </x:c>
      <x:c r="F6" s="27" t="str">
        <x:v>Weeks below buffer</x:v>
      </x:c>
    </x:row>
    <x:row r="7">
      <x:c r="A7" t="str">
        <x:v>Linked in build 3</x:v>
      </x:c>
      <x:c r="B7" t="str">
        <x:v>Linked in build 3</x:v>
      </x:c>
      <x:c r="C7" t="str">
        <x:v>Linked in build 3</x:v>
      </x:c>
      <x:c r="D7" t="str">
        <x:v>Linked in build 3</x:v>
      </x:c>
      <x:c r="E7" t="str">
        <x:v>Linked in build 3</x:v>
      </x:c>
      <x:c r="F7" t="str">
        <x:v>Linked in build 3</x:v>
      </x:c>
    </x:row>
    <x:row r="9">
      <x:c r="A9" s="14" t="str">
        <x:v>Liquidity outlook</x:v>
      </x:c>
      <x:c r="B9" s="14" t="str">
        <x:v>Week ending</x:v>
      </x:c>
      <x:c r="C9" s="14" t="str">
        <x:v>Closing cash</x:v>
      </x:c>
      <x:c r="D9" s="14" t="str">
        <x:v>Headroom</x:v>
      </x:c>
    </x:row>
  </x:sheetData>
  <x:mergeCells>
    <x:mergeCell ref="A1:O1"/>
    <x:mergeCell ref="A2:O2"/>
    <x:mergeCell ref="A4:O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48" hidden="0" customWidth="1"/>
    <x:col min="6" max="6" width="14" hidden="0" customWidth="1"/>
  </x:cols>
  <x:sheetData>
    <x:row r="1" ht="28" customHeight="1">
      <x:c r="A1" s="4" t="str">
        <x:v>Assumptions</x:v>
      </x:c>
      <x:c r="B1" s="4"/>
      <x:c r="C1" s="4"/>
      <x:c r="D1" s="4"/>
      <x:c r="E1" s="4"/>
      <x:c r="F1" s="4"/>
    </x:row>
    <x:row r="2" ht="30" customHeight="1">
      <x:c r="A2" s="8" t="str">
        <x:v>Single control panel. Blue values are the only model-wide inputs; all values are illustrative.</x:v>
      </x:c>
      <x:c r="B2" s="8"/>
      <x:c r="C2" s="8"/>
      <x:c r="D2" s="8"/>
      <x:c r="E2" s="8"/>
      <x:c r="F2" s="8"/>
    </x:row>
    <x:row r="4">
      <x:c r="A4" s="14" t="str">
        <x:v>Core controls</x:v>
      </x:c>
      <x:c r="B4" s="14" t="str">
        <x:v>Value</x:v>
      </x:c>
    </x:row>
    <x:row r="5">
      <x:c r="A5" t="str">
        <x:v>Business name</x:v>
      </x:c>
      <x:c r="B5" s="28" t="str">
        <x:v>Illustrative Australian business</x:v>
      </x:c>
    </x:row>
    <x:row r="6">
      <x:c r="A6" t="str">
        <x:v>Currency</x:v>
      </x:c>
      <x:c r="B6" s="28" t="str">
        <x:v>AUD</x:v>
      </x:c>
    </x:row>
    <x:row r="7">
      <x:c r="A7" t="str">
        <x:v>Units</x:v>
      </x:c>
      <x:c r="B7" s="28" t="str">
        <x:v>Whole dollars</x:v>
      </x:c>
    </x:row>
    <x:row r="8">
      <x:c r="A8" t="str">
        <x:v>Forecast start date</x:v>
      </x:c>
      <x:c r="B8" s="29" t="n">
        <x:v>46265</x:v>
      </x:c>
    </x:row>
    <x:row r="9">
      <x:c r="A9" t="str">
        <x:v>As-at date</x:v>
      </x:c>
      <x:c r="B9" s="29" t="n">
        <x:v>46271</x:v>
      </x:c>
    </x:row>
    <x:row r="10">
      <x:c r="A10" t="str">
        <x:v>Opening cash</x:v>
      </x:c>
      <x:c r="B10" s="30" t="n">
        <x:v>400000</x:v>
      </x:c>
    </x:row>
    <x:row r="11">
      <x:c r="A11" t="str">
        <x:v>Minimum cash buffer</x:v>
      </x:c>
      <x:c r="B11" s="30" t="n">
        <x:v>100000</x:v>
      </x:c>
    </x:row>
    <x:row r="12">
      <x:c r="A12" t="str">
        <x:v>Selected scenario</x:v>
      </x:c>
      <x:c r="B12" s="28" t="str">
        <x:v>Base</x:v>
      </x:c>
    </x:row>
    <x:row r="14">
      <x:c r="A14" s="14" t="str">
        <x:v>Scenario controls</x:v>
      </x:c>
      <x:c r="B14" s="14" t="str">
        <x:v>Scenario</x:v>
      </x:c>
      <x:c r="C14" s="14" t="str">
        <x:v>Receipt factor</x:v>
      </x:c>
      <x:c r="D14" s="14" t="str">
        <x:v>Variable-payment factor</x:v>
      </x:c>
      <x:c r="E14" s="14" t="str">
        <x:v>Description</x:v>
      </x:c>
    </x:row>
    <x:row r="15">
      <x:c r="B15" s="16" t="str">
        <x:v>Base</x:v>
      </x:c>
      <x:c r="C15" s="31" t="n">
        <x:v>1</x:v>
      </x:c>
      <x:c r="D15" s="31" t="n">
        <x:v>1</x:v>
      </x:c>
      <x:c r="E15" s="16" t="str">
        <x:v>Current operating expectation</x:v>
      </x:c>
    </x:row>
    <x:row r="16">
      <x:c r="B16" s="16" t="str">
        <x:v>Upside</x:v>
      </x:c>
      <x:c r="C16" s="31" t="n">
        <x:v>1.08</x:v>
      </x:c>
      <x:c r="D16" s="31" t="n">
        <x:v>0.98</x:v>
      </x:c>
      <x:c r="E16" s="16" t="str">
        <x:v>Stronger receipts and lower selected variable payments</x:v>
      </x:c>
    </x:row>
    <x:row r="17">
      <x:c r="B17" s="16" t="str">
        <x:v>Downside</x:v>
      </x:c>
      <x:c r="C17" s="31" t="n">
        <x:v>0.85</x:v>
      </x:c>
      <x:c r="D17" s="31" t="n">
        <x:v>1.05</x:v>
      </x:c>
      <x:c r="E17" s="16" t="str">
        <x:v>Softer receipts and higher selected variable payments</x:v>
      </x:c>
    </x:row>
    <x:row r="20">
      <x:c r="A20" s="14" t="str">
        <x:v>Data-quality notes</x:v>
      </x:c>
      <x:c r="B20" s="14"/>
      <x:c r="C20" s="14"/>
      <x:c r="D20" s="14"/>
      <x:c r="E20" s="14"/>
      <x:c r="F20" s="14"/>
    </x:row>
    <x:row r="21">
      <x:c r="A21" s="26" t="str">
        <x:v>Use a Monday forecast start. Keep the as-at date inside the 13-week horizon. Replace illustrative inputs before using this workbook for a decision. Statutory cash dates depend on your reporting cycle, agent concessions and entity circumstances.</x:v>
      </x:c>
      <x:c r="B21" s="26"/>
      <x:c r="C21" s="26"/>
      <x:c r="D21" s="26"/>
      <x:c r="E21" s="26"/>
      <x:c r="F21" s="26"/>
    </x:row>
    <x:row r="22">
      <x:c r="A22" s="26"/>
      <x:c r="B22" s="26"/>
      <x:c r="C22" s="26"/>
      <x:c r="D22" s="26"/>
      <x:c r="E22" s="26"/>
      <x:c r="F22" s="26"/>
    </x:row>
    <x:row r="23">
      <x:c r="A23" s="26"/>
      <x:c r="B23" s="26"/>
      <x:c r="C23" s="26"/>
      <x:c r="D23" s="26"/>
      <x:c r="E23" s="26"/>
      <x:c r="F23" s="26"/>
    </x:row>
  </x:sheetData>
  <x:mergeCells>
    <x:mergeCell ref="A1:F1"/>
    <x:mergeCell ref="A2:F2"/>
    <x:mergeCell ref="A20:F20"/>
    <x:mergeCell ref="A21:F23"/>
  </x:mergeCells>
  <x:dataValidations count="1">
    <x:dataValidation type="list" sqref="B12">
      <x:formula1>CashFlowScenarioList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23" hidden="0" customWidth="1"/>
  </x:cols>
  <x:sheetData>
    <x:row r="1" ht="28" customHeight="1">
      <x:c r="A1" s="4" t="str">
        <x:v>13-Week Forecast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0" customHeight="1">
      <x:c r="A2" s="8" t="str">
        <x:v>Weekly cash-flow structure. The forecast engine and editable operating inputs are added in the next build step.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5">
      <x:c r="A5" t="str">
        <x:v>Week commencing</x:v>
      </x:c>
      <x:c r="B5" s="33" t="n">
        <x:v>46265</x:v>
      </x:c>
      <x:c r="C5" s="33" t="n">
        <x:v>46272</x:v>
      </x:c>
      <x:c r="D5" s="33" t="n">
        <x:v>46279</x:v>
      </x:c>
      <x:c r="E5" s="33" t="n">
        <x:v>46286</x:v>
      </x:c>
      <x:c r="F5" s="33" t="n">
        <x:v>46293</x:v>
      </x:c>
      <x:c r="G5" s="33" t="n">
        <x:v>46300</x:v>
      </x:c>
      <x:c r="H5" s="33" t="n">
        <x:v>46307</x:v>
      </x:c>
      <x:c r="I5" s="33" t="n">
        <x:v>46314</x:v>
      </x:c>
      <x:c r="J5" s="33" t="n">
        <x:v>46321</x:v>
      </x:c>
      <x:c r="K5" s="33" t="n">
        <x:v>46328</x:v>
      </x:c>
      <x:c r="L5" s="33" t="n">
        <x:v>46335</x:v>
      </x:c>
      <x:c r="M5" s="33" t="n">
        <x:v>46342</x:v>
      </x:c>
      <x:c r="N5" s="33" t="n">
        <x:v>46349</x:v>
      </x:c>
      <x:c r="O5" t="str">
        <x:v>13-week total / terminal</x:v>
      </x:c>
    </x:row>
    <x:row r="6">
      <x:c r="A6" t="str">
        <x:v>Week ending</x:v>
      </x:c>
      <x:c r="B6" s="33" t="n">
        <x:v>46271</x:v>
      </x:c>
      <x:c r="C6" s="33" t="n">
        <x:v>46278</x:v>
      </x:c>
      <x:c r="D6" s="33" t="n">
        <x:v>46285</x:v>
      </x:c>
      <x:c r="E6" s="33" t="n">
        <x:v>46292</x:v>
      </x:c>
      <x:c r="F6" s="33" t="n">
        <x:v>46299</x:v>
      </x:c>
      <x:c r="G6" s="33" t="n">
        <x:v>46306</x:v>
      </x:c>
      <x:c r="H6" s="33" t="n">
        <x:v>46313</x:v>
      </x:c>
      <x:c r="I6" s="33" t="n">
        <x:v>46320</x:v>
      </x:c>
      <x:c r="J6" s="33" t="n">
        <x:v>46327</x:v>
      </x:c>
      <x:c r="K6" s="33" t="n">
        <x:v>46334</x:v>
      </x:c>
      <x:c r="L6" s="33" t="n">
        <x:v>46341</x:v>
      </x:c>
      <x:c r="M6" s="33" t="n">
        <x:v>46348</x:v>
      </x:c>
      <x:c r="N6" s="33" t="n">
        <x:v>46355</x:v>
      </x:c>
      <x:c r="O6" t="str">
        <x:v>Week 13 value</x:v>
      </x:c>
    </x:row>
    <x:row r="7">
      <x:c r="A7" t="str">
        <x:v>Actual / Forecast</x:v>
      </x:c>
      <x:c r="B7" s="34" t="str">
        <x:v>Forecast</x:v>
      </x:c>
      <x:c r="C7" s="34" t="str">
        <x:v>Forecast</x:v>
      </x:c>
      <x:c r="D7" s="34" t="str">
        <x:v>Forecast</x:v>
      </x:c>
      <x:c r="E7" s="34" t="str">
        <x:v>Forecast</x:v>
      </x:c>
      <x:c r="F7" s="34" t="str">
        <x:v>Forecast</x:v>
      </x:c>
      <x:c r="G7" s="34" t="str">
        <x:v>Forecast</x:v>
      </x:c>
      <x:c r="H7" s="34" t="str">
        <x:v>Forecast</x:v>
      </x:c>
      <x:c r="I7" s="34" t="str">
        <x:v>Forecast</x:v>
      </x:c>
      <x:c r="J7" s="34" t="str">
        <x:v>Forecast</x:v>
      </x:c>
      <x:c r="K7" s="34" t="str">
        <x:v>Forecast</x:v>
      </x:c>
      <x:c r="L7" s="34" t="str">
        <x:v>Forecast</x:v>
      </x:c>
      <x:c r="M7" s="34" t="str">
        <x:v>Forecast</x:v>
      </x:c>
      <x:c r="N7" s="34" t="str">
        <x:v>Forecast</x:v>
      </x:c>
      <x:c r="O7" t="str"/>
    </x:row>
    <x:row r="9">
      <x:c r="A9" s="14" t="str">
        <x:v>CASH RECEIPTS</x:v>
      </x:c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</x:row>
    <x:row r="10">
      <x:c r="A10" t="str">
        <x:v>Customer receipts</x:v>
      </x:c>
      <x:c r="B10" s="37"/>
      <x:c r="C10" s="37"/>
      <x:c r="D10" s="37"/>
      <x:c r="E10" s="37"/>
      <x:c r="F10" s="37"/>
      <x:c r="G10" s="37"/>
      <x:c r="H10" s="37"/>
      <x:c r="I10" s="37"/>
      <x:c r="J10" s="37"/>
      <x:c r="K10" s="37"/>
      <x:c r="L10" s="37"/>
      <x:c r="M10" s="37"/>
      <x:c r="N10" s="37"/>
      <x:c r="O10" s="37"/>
    </x:row>
    <x:row r="11">
      <x:c r="A11" t="str">
        <x:v>Overdue receipts</x:v>
      </x:c>
      <x:c r="B11" s="37"/>
      <x:c r="C11" s="37"/>
      <x:c r="D11" s="37"/>
      <x:c r="E11" s="37"/>
      <x:c r="F11" s="37"/>
      <x:c r="G11" s="37"/>
      <x:c r="H11" s="37"/>
      <x:c r="I11" s="37"/>
      <x:c r="J11" s="37"/>
      <x:c r="K11" s="37"/>
      <x:c r="L11" s="37"/>
      <x:c r="M11" s="37"/>
      <x:c r="N11" s="37"/>
      <x:c r="O11" s="37"/>
    </x:row>
    <x:row r="12">
      <x:c r="A12" t="str">
        <x:v>Cash / EFTPOS sales</x:v>
      </x:c>
      <x:c r="B12" s="37"/>
      <x:c r="C12" s="37"/>
      <x:c r="D12" s="37"/>
      <x:c r="E12" s="37"/>
      <x:c r="F12" s="37"/>
      <x:c r="G12" s="37"/>
      <x:c r="H12" s="37"/>
      <x:c r="I12" s="37"/>
      <x:c r="J12" s="37"/>
      <x:c r="K12" s="37"/>
      <x:c r="L12" s="37"/>
      <x:c r="M12" s="37"/>
      <x:c r="N12" s="37"/>
      <x:c r="O12" s="37"/>
    </x:row>
    <x:row r="13">
      <x:c r="A13" t="str">
        <x:v>GST refunds / credits</x:v>
      </x:c>
      <x:c r="B13" s="37"/>
      <x:c r="C13" s="37"/>
      <x:c r="D13" s="37"/>
      <x:c r="E13" s="37"/>
      <x:c r="F13" s="37"/>
      <x:c r="G13" s="37"/>
      <x:c r="H13" s="37"/>
      <x:c r="I13" s="37"/>
      <x:c r="J13" s="37"/>
      <x:c r="K13" s="37"/>
      <x:c r="L13" s="37"/>
      <x:c r="M13" s="37"/>
      <x:c r="N13" s="37"/>
      <x:c r="O13" s="37"/>
    </x:row>
    <x:row r="14">
      <x:c r="A14" t="str">
        <x:v>Other operating</x:v>
      </x:c>
      <x:c r="B14" s="37"/>
      <x:c r="C14" s="37"/>
      <x:c r="D14" s="37"/>
      <x:c r="E14" s="37"/>
      <x:c r="F14" s="37"/>
      <x:c r="G14" s="37"/>
      <x:c r="H14" s="37"/>
      <x:c r="I14" s="37"/>
      <x:c r="J14" s="37"/>
      <x:c r="K14" s="37"/>
      <x:c r="L14" s="37"/>
      <x:c r="M14" s="37"/>
      <x:c r="N14" s="37"/>
      <x:c r="O14" s="37"/>
    </x:row>
    <x:row r="15">
      <x:c r="A15" t="str">
        <x:v>Asset sale proceeds</x:v>
      </x:c>
      <x:c r="B15" s="37"/>
      <x:c r="C15" s="37"/>
      <x:c r="D15" s="37"/>
      <x:c r="E15" s="37"/>
      <x:c r="F15" s="37"/>
      <x:c r="G15" s="37"/>
      <x:c r="H15" s="37"/>
      <x:c r="I15" s="37"/>
      <x:c r="J15" s="37"/>
      <x:c r="K15" s="37"/>
      <x:c r="L15" s="37"/>
      <x:c r="M15" s="37"/>
      <x:c r="N15" s="37"/>
      <x:c r="O15" s="37"/>
    </x:row>
    <x:row r="16">
      <x:c r="A16" t="str">
        <x:v>Equity / owner funding</x:v>
      </x:c>
      <x:c r="B16" s="37"/>
      <x:c r="C16" s="37"/>
      <x:c r="D16" s="37"/>
      <x:c r="E16" s="37"/>
      <x:c r="F16" s="37"/>
      <x:c r="G16" s="37"/>
      <x:c r="H16" s="37"/>
      <x:c r="I16" s="37"/>
      <x:c r="J16" s="37"/>
      <x:c r="K16" s="37"/>
      <x:c r="L16" s="37"/>
      <x:c r="M16" s="37"/>
      <x:c r="N16" s="37"/>
      <x:c r="O16" s="37"/>
    </x:row>
    <x:row r="17">
      <x:c r="A17" t="str">
        <x:v>Loan proceeds</x:v>
      </x:c>
      <x:c r="B17" s="37"/>
      <x:c r="C17" s="37"/>
      <x:c r="D17" s="37"/>
      <x:c r="E17" s="37"/>
      <x:c r="F17" s="37"/>
      <x:c r="G17" s="37"/>
      <x:c r="H17" s="37"/>
      <x:c r="I17" s="37"/>
      <x:c r="J17" s="37"/>
      <x:c r="K17" s="37"/>
      <x:c r="L17" s="37"/>
      <x:c r="M17" s="37"/>
      <x:c r="N17" s="37"/>
      <x:c r="O17" s="37"/>
    </x:row>
    <x:row r="18">
      <x:c r="A18" t="str">
        <x:v>Scenario receipt adjustment</x:v>
      </x:c>
      <x:c r="B18" s="37"/>
      <x:c r="C18" s="37"/>
      <x:c r="D18" s="37"/>
      <x:c r="E18" s="37"/>
      <x:c r="F18" s="37"/>
      <x:c r="G18" s="37"/>
      <x:c r="H18" s="37"/>
      <x:c r="I18" s="37"/>
      <x:c r="J18" s="37"/>
      <x:c r="K18" s="37"/>
      <x:c r="L18" s="37"/>
      <x:c r="M18" s="37"/>
      <x:c r="N18" s="37"/>
      <x:c r="O18" s="37"/>
    </x:row>
    <x:row r="19">
      <x:c r="A19" s="36" t="str">
        <x:v>Total cash receipts</x:v>
      </x:c>
      <x:c r="B19" s="38"/>
      <x:c r="C19" s="38"/>
      <x:c r="D19" s="38"/>
      <x:c r="E19" s="38"/>
      <x:c r="F19" s="38"/>
      <x:c r="G19" s="38"/>
      <x:c r="H19" s="38"/>
      <x:c r="I19" s="38"/>
      <x:c r="J19" s="38"/>
      <x:c r="K19" s="38"/>
      <x:c r="L19" s="38"/>
      <x:c r="M19" s="38"/>
      <x:c r="N19" s="38"/>
      <x:c r="O19" s="38"/>
    </x:row>
    <x:row r="20">
      <x:c r="B20" s="37"/>
      <x:c r="C20" s="37"/>
      <x:c r="D20" s="37"/>
      <x:c r="E20" s="37"/>
      <x:c r="F20" s="37"/>
      <x:c r="G20" s="37"/>
      <x:c r="H20" s="37"/>
      <x:c r="I20" s="37"/>
      <x:c r="J20" s="37"/>
      <x:c r="K20" s="37"/>
      <x:c r="L20" s="37"/>
      <x:c r="M20" s="37"/>
      <x:c r="N20" s="37"/>
      <x:c r="O20" s="37"/>
    </x:row>
    <x:row r="21">
      <x:c r="A21" s="14" t="str">
        <x:v>CASH PAYMENTS</x:v>
      </x:c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</x:row>
    <x:row r="22">
      <x:c r="A22" t="str">
        <x:v>Suppliers and inventory</x:v>
      </x:c>
      <x:c r="B22" s="37"/>
      <x:c r="C22" s="37"/>
      <x:c r="D22" s="37"/>
      <x:c r="E22" s="37"/>
      <x:c r="F22" s="37"/>
      <x:c r="G22" s="37"/>
      <x:c r="H22" s="37"/>
      <x:c r="I22" s="37"/>
      <x:c r="J22" s="37"/>
      <x:c r="K22" s="37"/>
      <x:c r="L22" s="37"/>
      <x:c r="M22" s="37"/>
      <x:c r="N22" s="37"/>
      <x:c r="O22" s="37"/>
    </x:row>
    <x:row r="23">
      <x:c r="A23" t="str">
        <x:v>Net wages</x:v>
      </x:c>
      <x:c r="B23" s="37"/>
      <x:c r="C23" s="37"/>
      <x:c r="D23" s="37"/>
      <x:c r="E23" s="37"/>
      <x:c r="F23" s="37"/>
      <x:c r="G23" s="37"/>
      <x:c r="H23" s="37"/>
      <x:c r="I23" s="37"/>
      <x:c r="J23" s="37"/>
      <x:c r="K23" s="37"/>
      <x:c r="L23" s="37"/>
      <x:c r="M23" s="37"/>
      <x:c r="N23" s="37"/>
      <x:c r="O23" s="37"/>
    </x:row>
    <x:row r="24">
      <x:c r="A24" t="str">
        <x:v>PAYG withholding</x:v>
      </x:c>
      <x:c r="B24" s="37"/>
      <x:c r="C24" s="37"/>
      <x:c r="D24" s="37"/>
      <x:c r="E24" s="37"/>
      <x:c r="F24" s="37"/>
      <x:c r="G24" s="37"/>
      <x:c r="H24" s="37"/>
      <x:c r="I24" s="37"/>
      <x:c r="J24" s="37"/>
      <x:c r="K24" s="37"/>
      <x:c r="L24" s="37"/>
      <x:c r="M24" s="37"/>
      <x:c r="N24" s="37"/>
      <x:c r="O24" s="37"/>
    </x:row>
    <x:row r="25">
      <x:c r="A25" t="str">
        <x:v>Superannuation</x:v>
      </x:c>
      <x:c r="B25" s="37"/>
      <x:c r="C25" s="37"/>
      <x:c r="D25" s="37"/>
      <x:c r="E25" s="37"/>
      <x:c r="F25" s="37"/>
      <x:c r="G25" s="37"/>
      <x:c r="H25" s="37"/>
      <x:c r="I25" s="37"/>
      <x:c r="J25" s="37"/>
      <x:c r="K25" s="37"/>
      <x:c r="L25" s="37"/>
      <x:c r="M25" s="37"/>
      <x:c r="N25" s="37"/>
      <x:c r="O25" s="37"/>
    </x:row>
    <x:row r="26">
      <x:c r="A26" t="str">
        <x:v>Payroll tax / workers compensation</x:v>
      </x:c>
      <x:c r="B26" s="37"/>
      <x:c r="C26" s="37"/>
      <x:c r="D26" s="37"/>
      <x:c r="E26" s="37"/>
      <x:c r="F26" s="37"/>
      <x:c r="G26" s="37"/>
      <x:c r="H26" s="37"/>
      <x:c r="I26" s="37"/>
      <x:c r="J26" s="37"/>
      <x:c r="K26" s="37"/>
      <x:c r="L26" s="37"/>
      <x:c r="M26" s="37"/>
      <x:c r="N26" s="37"/>
      <x:c r="O26" s="37"/>
    </x:row>
    <x:row r="27">
      <x:c r="A27" t="str">
        <x:v>Rent</x:v>
      </x:c>
      <x:c r="B27" s="37"/>
      <x:c r="C27" s="37"/>
      <x:c r="D27" s="37"/>
      <x:c r="E27" s="37"/>
      <x:c r="F27" s="37"/>
      <x:c r="G27" s="37"/>
      <x:c r="H27" s="37"/>
      <x:c r="I27" s="37"/>
      <x:c r="J27" s="37"/>
      <x:c r="K27" s="37"/>
      <x:c r="L27" s="37"/>
      <x:c r="M27" s="37"/>
      <x:c r="N27" s="37"/>
      <x:c r="O27" s="37"/>
    </x:row>
    <x:row r="28">
      <x:c r="A28" t="str">
        <x:v>Utilities</x:v>
      </x:c>
      <x:c r="B28" s="37"/>
      <x:c r="C28" s="37"/>
      <x:c r="D28" s="37"/>
      <x:c r="E28" s="37"/>
      <x:c r="F28" s="37"/>
      <x:c r="G28" s="37"/>
      <x:c r="H28" s="37"/>
      <x:c r="I28" s="37"/>
      <x:c r="J28" s="37"/>
      <x:c r="K28" s="37"/>
      <x:c r="L28" s="37"/>
      <x:c r="M28" s="37"/>
      <x:c r="N28" s="37"/>
      <x:c r="O28" s="37"/>
    </x:row>
    <x:row r="29">
      <x:c r="A29" t="str">
        <x:v>Insurance</x:v>
      </x:c>
      <x:c r="B29" s="37"/>
      <x:c r="C29" s="37"/>
      <x:c r="D29" s="37"/>
      <x:c r="E29" s="37"/>
      <x:c r="F29" s="37"/>
      <x:c r="G29" s="37"/>
      <x:c r="H29" s="37"/>
      <x:c r="I29" s="37"/>
      <x:c r="J29" s="37"/>
      <x:c r="K29" s="37"/>
      <x:c r="L29" s="37"/>
      <x:c r="M29" s="37"/>
      <x:c r="N29" s="37"/>
      <x:c r="O29" s="37"/>
    </x:row>
    <x:row r="30">
      <x:c r="A30" t="str">
        <x:v>Software and subscriptions</x:v>
      </x:c>
      <x:c r="B30" s="37"/>
      <x:c r="C30" s="37"/>
      <x:c r="D30" s="37"/>
      <x:c r="E30" s="37"/>
      <x:c r="F30" s="37"/>
      <x:c r="G30" s="37"/>
      <x:c r="H30" s="37"/>
      <x:c r="I30" s="37"/>
      <x:c r="J30" s="37"/>
      <x:c r="K30" s="37"/>
      <x:c r="L30" s="37"/>
      <x:c r="M30" s="37"/>
      <x:c r="N30" s="37"/>
      <x:c r="O30" s="37"/>
    </x:row>
    <x:row r="31">
      <x:c r="A31" t="str">
        <x:v>Marketing</x:v>
      </x:c>
      <x:c r="B31" s="37"/>
      <x:c r="C31" s="37"/>
      <x:c r="D31" s="37"/>
      <x:c r="E31" s="37"/>
      <x:c r="F31" s="37"/>
      <x:c r="G31" s="37"/>
      <x:c r="H31" s="37"/>
      <x:c r="I31" s="37"/>
      <x:c r="J31" s="37"/>
      <x:c r="K31" s="37"/>
      <x:c r="L31" s="37"/>
      <x:c r="M31" s="37"/>
      <x:c r="N31" s="37"/>
      <x:c r="O31" s="37"/>
    </x:row>
    <x:row r="32">
      <x:c r="A32" t="str">
        <x:v>Professional services</x:v>
      </x:c>
      <x:c r="B32" s="37"/>
      <x:c r="C32" s="37"/>
      <x:c r="D32" s="37"/>
      <x:c r="E32" s="37"/>
      <x:c r="F32" s="37"/>
      <x:c r="G32" s="37"/>
      <x:c r="H32" s="37"/>
      <x:c r="I32" s="37"/>
      <x:c r="J32" s="37"/>
      <x:c r="K32" s="37"/>
      <x:c r="L32" s="37"/>
      <x:c r="M32" s="37"/>
      <x:c r="N32" s="37"/>
      <x:c r="O32" s="37"/>
    </x:row>
    <x:row r="33">
      <x:c r="A33" t="str">
        <x:v>Freight, vehicles and travel</x:v>
      </x:c>
      <x:c r="B33" s="37"/>
      <x:c r="C33" s="37"/>
      <x:c r="D33" s="37"/>
      <x:c r="E33" s="37"/>
      <x:c r="F33" s="37"/>
      <x:c r="G33" s="37"/>
      <x:c r="H33" s="37"/>
      <x:c r="I33" s="37"/>
      <x:c r="J33" s="37"/>
      <x:c r="K33" s="37"/>
      <x:c r="L33" s="37"/>
      <x:c r="M33" s="37"/>
      <x:c r="N33" s="37"/>
      <x:c r="O33" s="37"/>
    </x:row>
    <x:row r="34">
      <x:c r="A34" t="str">
        <x:v>GST / BAS payments</x:v>
      </x:c>
      <x:c r="B34" s="37"/>
      <x:c r="C34" s="37"/>
      <x:c r="D34" s="37"/>
      <x:c r="E34" s="37"/>
      <x:c r="F34" s="37"/>
      <x:c r="G34" s="37"/>
      <x:c r="H34" s="37"/>
      <x:c r="I34" s="37"/>
      <x:c r="J34" s="37"/>
      <x:c r="K34" s="37"/>
      <x:c r="L34" s="37"/>
      <x:c r="M34" s="37"/>
      <x:c r="N34" s="37"/>
      <x:c r="O34" s="37"/>
    </x:row>
    <x:row r="35">
      <x:c r="A35" t="str">
        <x:v>PAYG income tax instalments</x:v>
      </x:c>
      <x:c r="B35" s="37"/>
      <x:c r="C35" s="37"/>
      <x:c r="D35" s="37"/>
      <x:c r="E35" s="37"/>
      <x:c r="F35" s="37"/>
      <x:c r="G35" s="37"/>
      <x:c r="H35" s="37"/>
      <x:c r="I35" s="37"/>
      <x:c r="J35" s="37"/>
      <x:c r="K35" s="37"/>
      <x:c r="L35" s="37"/>
      <x:c r="M35" s="37"/>
      <x:c r="N35" s="37"/>
      <x:c r="O35" s="37"/>
    </x:row>
    <x:row r="36">
      <x:c r="A36" t="str">
        <x:v>FBT / other tax</x:v>
      </x:c>
      <x:c r="B36" s="37"/>
      <x:c r="C36" s="37"/>
      <x:c r="D36" s="37"/>
      <x:c r="E36" s="37"/>
      <x:c r="F36" s="37"/>
      <x:c r="G36" s="37"/>
      <x:c r="H36" s="37"/>
      <x:c r="I36" s="37"/>
      <x:c r="J36" s="37"/>
      <x:c r="K36" s="37"/>
      <x:c r="L36" s="37"/>
      <x:c r="M36" s="37"/>
      <x:c r="N36" s="37"/>
      <x:c r="O36" s="37"/>
    </x:row>
    <x:row r="37">
      <x:c r="A37" t="str">
        <x:v>Interest and bank fees</x:v>
      </x:c>
      <x:c r="B37" s="37"/>
      <x:c r="C37" s="37"/>
      <x:c r="D37" s="37"/>
      <x:c r="E37" s="37"/>
      <x:c r="F37" s="37"/>
      <x:c r="G37" s="37"/>
      <x:c r="H37" s="37"/>
      <x:c r="I37" s="37"/>
      <x:c r="J37" s="37"/>
      <x:c r="K37" s="37"/>
      <x:c r="L37" s="37"/>
      <x:c r="M37" s="37"/>
      <x:c r="N37" s="37"/>
      <x:c r="O37" s="37"/>
    </x:row>
    <x:row r="38">
      <x:c r="A38" t="str">
        <x:v>Loan principal</x:v>
      </x:c>
      <x:c r="B38" s="37"/>
      <x:c r="C38" s="37"/>
      <x:c r="D38" s="37"/>
      <x:c r="E38" s="37"/>
      <x:c r="F38" s="37"/>
      <x:c r="G38" s="37"/>
      <x:c r="H38" s="37"/>
      <x:c r="I38" s="37"/>
      <x:c r="J38" s="37"/>
      <x:c r="K38" s="37"/>
      <x:c r="L38" s="37"/>
      <x:c r="M38" s="37"/>
      <x:c r="N38" s="37"/>
      <x:c r="O38" s="37"/>
    </x:row>
    <x:row r="39">
      <x:c r="A39" t="str">
        <x:v>Capital expenditure</x:v>
      </x:c>
      <x:c r="B39" s="37"/>
      <x:c r="C39" s="37"/>
      <x:c r="D39" s="37"/>
      <x:c r="E39" s="37"/>
      <x:c r="F39" s="37"/>
      <x:c r="G39" s="37"/>
      <x:c r="H39" s="37"/>
      <x:c r="I39" s="37"/>
      <x:c r="J39" s="37"/>
      <x:c r="K39" s="37"/>
      <x:c r="L39" s="37"/>
      <x:c r="M39" s="37"/>
      <x:c r="N39" s="37"/>
      <x:c r="O39" s="37"/>
    </x:row>
    <x:row r="40">
      <x:c r="A40" t="str">
        <x:v>Dividends / distributions</x:v>
      </x:c>
      <x:c r="B40" s="37"/>
      <x:c r="C40" s="37"/>
      <x:c r="D40" s="37"/>
      <x:c r="E40" s="37"/>
      <x:c r="F40" s="37"/>
      <x:c r="G40" s="37"/>
      <x:c r="H40" s="37"/>
      <x:c r="I40" s="37"/>
      <x:c r="J40" s="37"/>
      <x:c r="K40" s="37"/>
      <x:c r="L40" s="37"/>
      <x:c r="M40" s="37"/>
      <x:c r="N40" s="37"/>
      <x:c r="O40" s="37"/>
    </x:row>
    <x:row r="41">
      <x:c r="A41" t="str">
        <x:v>Other operating</x:v>
      </x:c>
      <x:c r="B41" s="37"/>
      <x:c r="C41" s="37"/>
      <x:c r="D41" s="37"/>
      <x:c r="E41" s="37"/>
      <x:c r="F41" s="37"/>
      <x:c r="G41" s="37"/>
      <x:c r="H41" s="37"/>
      <x:c r="I41" s="37"/>
      <x:c r="J41" s="37"/>
      <x:c r="K41" s="37"/>
      <x:c r="L41" s="37"/>
      <x:c r="M41" s="37"/>
      <x:c r="N41" s="37"/>
      <x:c r="O41" s="37"/>
    </x:row>
    <x:row r="42">
      <x:c r="A42" t="str">
        <x:v>Scenario payment adjustment</x:v>
      </x:c>
      <x:c r="B42" s="37"/>
      <x:c r="C42" s="37"/>
      <x:c r="D42" s="37"/>
      <x:c r="E42" s="37"/>
      <x:c r="F42" s="37"/>
      <x:c r="G42" s="37"/>
      <x:c r="H42" s="37"/>
      <x:c r="I42" s="37"/>
      <x:c r="J42" s="37"/>
      <x:c r="K42" s="37"/>
      <x:c r="L42" s="37"/>
      <x:c r="M42" s="37"/>
      <x:c r="N42" s="37"/>
      <x:c r="O42" s="37"/>
    </x:row>
    <x:row r="43">
      <x:c r="A43" s="36" t="str">
        <x:v>Total cash payments</x:v>
      </x:c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38"/>
      <x:c r="N43" s="38"/>
      <x:c r="O43" s="38"/>
    </x:row>
    <x:row r="44">
      <x:c r="B44" s="37"/>
      <x:c r="C44" s="37"/>
      <x:c r="D44" s="37"/>
      <x:c r="E44" s="37"/>
      <x:c r="F44" s="37"/>
      <x:c r="G44" s="37"/>
      <x:c r="H44" s="37"/>
      <x:c r="I44" s="37"/>
      <x:c r="J44" s="37"/>
      <x:c r="K44" s="37"/>
      <x:c r="L44" s="37"/>
      <x:c r="M44" s="37"/>
      <x:c r="N44" s="37"/>
      <x:c r="O44" s="37"/>
    </x:row>
    <x:row r="45">
      <x:c r="A45" s="14" t="str">
        <x:v>CASH POSITION</x:v>
      </x:c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</x:row>
    <x:row r="46">
      <x:c r="A46" t="str">
        <x:v>Opening cash balance</x:v>
      </x:c>
      <x:c r="B46" s="37"/>
      <x:c r="C46" s="37"/>
      <x:c r="D46" s="37"/>
      <x:c r="E46" s="37"/>
      <x:c r="F46" s="37"/>
      <x:c r="G46" s="37"/>
      <x:c r="H46" s="37"/>
      <x:c r="I46" s="37"/>
      <x:c r="J46" s="37"/>
      <x:c r="K46" s="37"/>
      <x:c r="L46" s="37"/>
      <x:c r="M46" s="37"/>
      <x:c r="N46" s="37"/>
      <x:c r="O46" s="37"/>
    </x:row>
    <x:row r="47">
      <x:c r="A47" t="str">
        <x:v>Net cash movement</x:v>
      </x:c>
      <x:c r="B47" s="37"/>
      <x:c r="C47" s="37"/>
      <x:c r="D47" s="37"/>
      <x:c r="E47" s="37"/>
      <x:c r="F47" s="37"/>
      <x:c r="G47" s="37"/>
      <x:c r="H47" s="37"/>
      <x:c r="I47" s="37"/>
      <x:c r="J47" s="37"/>
      <x:c r="K47" s="37"/>
      <x:c r="L47" s="37"/>
      <x:c r="M47" s="37"/>
      <x:c r="N47" s="37"/>
      <x:c r="O47" s="37"/>
    </x:row>
    <x:row r="48">
      <x:c r="A48" s="36" t="str">
        <x:v>Closing cash balance</x:v>
      </x:c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8"/>
      <x:c r="N48" s="38"/>
      <x:c r="O48" s="38"/>
    </x:row>
    <x:row r="49">
      <x:c r="A49" t="str">
        <x:v>Minimum cash buffer</x:v>
      </x:c>
      <x:c r="B49" s="37"/>
      <x:c r="C49" s="37"/>
      <x:c r="D49" s="37"/>
      <x:c r="E49" s="37"/>
      <x:c r="F49" s="37"/>
      <x:c r="G49" s="37"/>
      <x:c r="H49" s="37"/>
      <x:c r="I49" s="37"/>
      <x:c r="J49" s="37"/>
      <x:c r="K49" s="37"/>
      <x:c r="L49" s="37"/>
      <x:c r="M49" s="37"/>
      <x:c r="N49" s="37"/>
      <x:c r="O49" s="37"/>
    </x:row>
    <x:row r="50">
      <x:c r="A50" s="36" t="str">
        <x:v>Headroom / (gap)</x:v>
      </x:c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8"/>
      <x:c r="N50" s="38"/>
      <x:c r="O50" s="38"/>
    </x:row>
    <x:row r="51">
      <x:c r="A51" t="str">
        <x:v>Liquidity status</x:v>
      </x:c>
    </x:row>
  </x:sheetData>
  <x:mergeCells>
    <x:mergeCell ref="A1:O1"/>
    <x:mergeCell ref="A2:O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6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6" hidden="0" customWidth="1"/>
    <x:col min="14" max="14" width="42" hidden="0" customWidth="1"/>
  </x:cols>
  <x:sheetData>
    <x:row r="1" ht="28" customHeight="1">
      <x:c r="A1" s="4" t="str">
        <x:v>Weekly Review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0" customHeight="1">
      <x:c r="A2" s="8" t="str">
        <x:v>Forecast accuracy review. Actuals, commentary, owners and actions are added with the forecast engine.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</x:row>
    <x:row r="5" ht="32" customHeight="1">
      <x:c r="A5" s="27" t="str">
        <x:v>Week</x:v>
      </x:c>
      <x:c r="B5" s="27" t="str">
        <x:v>Week commencing</x:v>
      </x:c>
      <x:c r="C5" s="27" t="str">
        <x:v>Week ending</x:v>
      </x:c>
      <x:c r="D5" s="27" t="str">
        <x:v>Forecast receipts</x:v>
      </x:c>
      <x:c r="E5" s="27" t="str">
        <x:v>Actual receipts</x:v>
      </x:c>
      <x:c r="F5" s="27" t="str">
        <x:v>Receipt variance</x:v>
      </x:c>
      <x:c r="G5" s="27" t="str">
        <x:v>Forecast payments</x:v>
      </x:c>
      <x:c r="H5" s="27" t="str">
        <x:v>Actual payments</x:v>
      </x:c>
      <x:c r="I5" s="27" t="str">
        <x:v>Payment variance</x:v>
      </x:c>
      <x:c r="J5" s="27" t="str">
        <x:v>Forecast closing cash</x:v>
      </x:c>
      <x:c r="K5" s="27" t="str">
        <x:v>Actual closing cash</x:v>
      </x:c>
      <x:c r="L5" s="27" t="str">
        <x:v>Cash variance</x:v>
      </x:c>
      <x:c r="M5" s="27" t="str">
        <x:v>Owner</x:v>
      </x:c>
      <x:c r="N5" s="27" t="str">
        <x:v>Commentary / action</x:v>
      </x:c>
    </x:row>
    <x:row r="6">
      <x:c r="A6" t="n">
        <x:v>1</x:v>
      </x:c>
    </x:row>
    <x:row r="7">
      <x:c r="A7" t="n">
        <x:v>2</x:v>
      </x:c>
    </x:row>
    <x:row r="8">
      <x:c r="A8" t="n">
        <x:v>3</x:v>
      </x:c>
    </x:row>
    <x:row r="9">
      <x:c r="A9" t="n">
        <x:v>4</x:v>
      </x:c>
    </x:row>
    <x:row r="10">
      <x:c r="A10" t="n">
        <x:v>5</x:v>
      </x:c>
    </x:row>
    <x:row r="11">
      <x:c r="A11" t="n">
        <x:v>6</x:v>
      </x:c>
    </x:row>
    <x:row r="12">
      <x:c r="A12" t="n">
        <x:v>7</x:v>
      </x:c>
    </x:row>
    <x:row r="13">
      <x:c r="A13" t="n">
        <x:v>8</x:v>
      </x:c>
    </x:row>
    <x:row r="14">
      <x:c r="A14" t="n">
        <x:v>9</x:v>
      </x:c>
    </x:row>
    <x:row r="15">
      <x:c r="A15" t="n">
        <x:v>10</x:v>
      </x:c>
    </x:row>
    <x:row r="16">
      <x:c r="A16" t="n">
        <x:v>11</x:v>
      </x:c>
    </x:row>
    <x:row r="17">
      <x:c r="A17" t="n">
        <x:v>12</x:v>
      </x:c>
    </x:row>
    <x:row r="18">
      <x:c r="A18" t="n">
        <x:v>13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4" t="str">
        <x:v>Checks &amp; Sources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Structural checks and Australian statutory-source log are added in the controls build step.</x:v>
      </x:c>
      <x:c r="B2" s="8"/>
      <x:c r="C2" s="8"/>
      <x:c r="D2" s="8"/>
      <x:c r="E2" s="8"/>
      <x:c r="F2" s="8"/>
      <x:c r="G2" s="8"/>
      <x:c r="H2" s="8"/>
    </x:row>
    <x:row r="4">
      <x:c r="A4" s="14" t="str">
        <x:v>Check</x:v>
      </x:c>
      <x:c r="B4" s="14" t="str">
        <x:v>Actual</x:v>
      </x:c>
      <x:c r="C4" s="14" t="str">
        <x:v>Expected</x:v>
      </x:c>
      <x:c r="D4" s="14" t="str">
        <x:v>Difference</x:v>
      </x:c>
      <x:c r="E4" s="14" t="str">
        <x:v>Tolerance</x:v>
      </x:c>
      <x:c r="F4" s="14" t="str">
        <x:v>Status</x:v>
      </x:c>
      <x:c r="G4" s="14" t="str">
        <x:v>Where to fix</x:v>
      </x:c>
      <x:c r="H4" s="14" t="str">
        <x:v>Notes</x:v>
      </x:c>
    </x:row>
    <x:row r="6">
      <x:c r="A6" s="40" t="str">
        <x:v>MODEL STATUS: prepared for formula-driven integrity checks</x:v>
      </x:c>
      <x:c r="B6" s="40"/>
      <x:c r="C6" s="40"/>
      <x:c r="D6" s="40"/>
      <x:c r="E6" s="40"/>
      <x:c r="F6" s="40"/>
      <x:c r="G6" s="40"/>
      <x:c r="H6" s="40"/>
    </x:row>
    <x:row r="9">
      <x:c r="A9" s="14" t="str">
        <x:v>Source item</x:v>
      </x:c>
      <x:c r="B9" s="14" t="str">
        <x:v>Official URL</x:v>
      </x:c>
      <x:c r="C9" s="14" t="str">
        <x:v>Scope</x:v>
      </x:c>
      <x:c r="D9" s="14" t="str">
        <x:v>As-at date</x:v>
      </x:c>
      <x:c r="E9" s="14" t="str">
        <x:v>Notes</x:v>
      </x:c>
      <x:c r="F9" s="14" t="str">
        <x:v>Owner</x:v>
      </x:c>
    </x:row>
    <x:row r="11">
      <x:c r="A11" s="42" t="str">
        <x:v>Statutory dates and classifications require confirmation for your entity, reporting cycle and agent arrangements.</x:v>
      </x:c>
      <x:c r="B11" s="42"/>
      <x:c r="C11" s="42"/>
      <x:c r="D11" s="42"/>
      <x:c r="E11" s="42"/>
      <x:c r="F11" s="42"/>
    </x:row>
    <x:row r="12">
      <x:c r="A12" s="42"/>
      <x:c r="B12" s="42"/>
      <x:c r="C12" s="42"/>
      <x:c r="D12" s="42"/>
      <x:c r="E12" s="42"/>
      <x:c r="F12" s="42"/>
    </x:row>
  </x:sheetData>
  <x:mergeCells>
    <x:mergeCell ref="A1:H1"/>
    <x:mergeCell ref="A2:H2"/>
    <x:mergeCell ref="A6:H6"/>
    <x:mergeCell ref="A11:F12"/>
  </x:mergeCells>
  <x:pageMargins left="0.7" right="0.7" top="0.75" bottom="0.75" header="0.3" footer="0.3"/>
</x:worksheet>
</file>