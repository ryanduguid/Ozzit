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38fdd0ebcf46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8422424ed3254cd8"/>
    <x:sheet xmlns:r="http://schemas.openxmlformats.org/officeDocument/2006/relationships" name="Dashboard" sheetId="2" r:id="R5c91082a1e444c94"/>
    <x:sheet xmlns:r="http://schemas.openxmlformats.org/officeDocument/2006/relationships" name="Assumptions" sheetId="3" r:id="R2078ee11a4bc45e2"/>
    <x:sheet xmlns:r="http://schemas.openxmlformats.org/officeDocument/2006/relationships" name="13-Week Forecast" sheetId="4" r:id="R257a5564b1894f69"/>
    <x:sheet xmlns:r="http://schemas.openxmlformats.org/officeDocument/2006/relationships" name="Weekly Review" sheetId="5" r:id="R6a0c7ecdfe164073"/>
    <x:sheet xmlns:r="http://schemas.openxmlformats.org/officeDocument/2006/relationships" name="Checks &amp; Sources" sheetId="6" r:id="R66855269f32c48a3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 mmm yyyy"/>
    <x:numFmt numFmtId="201" formatCode="&quot;$&quot;#,##0;[Red](&quot;$&quot;#,##0);-"/>
    <x:numFmt numFmtId="202" formatCode="0.0%"/>
  </x:numFmts>
  <x:fonts count="13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 Display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8000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B1AFAD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wrapText="1"/>
    </x:xf>
    <x:xf numFmtId="0" fontId="6" fillId="10" borderId="0" xfId="0" applyNumberFormat="1" applyFont="1" applyFill="1" applyBorder="1"/>
    <x:xf numFmtId="200" fontId="6" fillId="10" borderId="0" xfId="0" applyNumberFormat="1" applyFont="1" applyFill="1" applyBorder="1"/>
    <x:xf numFmtId="201" fontId="6" fillId="10" borderId="0" xfId="0" applyNumberFormat="1" applyFont="1" applyFill="1" applyBorder="1"/>
    <x:xf numFmtId="202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0" fillId="9" borderId="0" xfId="0" applyNumberFormat="1" applyFont="1" applyFill="1" applyBorder="1"/>
    <x:xf numFmtId="0" fontId="10" fillId="9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1" xfId="0" applyNumberFormat="1" applyFont="1" applyFill="1" applyBorder="1"/>
    <x:xf numFmtId="201" fontId="0" fillId="0" borderId="0" xfId="0" applyNumberFormat="1" applyFont="1" applyFill="1" applyBorder="1"/>
    <x:xf numFmtId="201" fontId="11" fillId="0" borderId="1" xfId="0" applyNumberFormat="1" applyFont="1" applyFill="1" applyBorder="1"/>
    <x:xf numFmtId="201" fontId="4" fillId="5" borderId="0" xfId="0" applyNumberFormat="1" applyFont="1" applyFill="1" applyBorder="1"/>
    <x:xf numFmtId="0" fontId="12" fillId="7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8c44d6ca5b4812" /><Relationship Type="http://schemas.openxmlformats.org/officeDocument/2006/relationships/theme" Target="/xl/theme/theme1.xml" Id="Rfbc4881ca6aa44dd" /><Relationship Type="http://schemas.openxmlformats.org/officeDocument/2006/relationships/sharedStrings" Target="/xl/sharedStrings.xml" Id="R6567077527224190" /><Relationship Type="http://schemas.openxmlformats.org/officeDocument/2006/relationships/worksheet" Target="/xl/worksheets/sheet1.xml" Id="R8422424ed3254cd8" /><Relationship Type="http://schemas.openxmlformats.org/officeDocument/2006/relationships/worksheet" Target="/xl/worksheets/sheet2.xml" Id="R5c91082a1e444c94" /><Relationship Type="http://schemas.openxmlformats.org/officeDocument/2006/relationships/worksheet" Target="/xl/worksheets/sheet3.xml" Id="R2078ee11a4bc45e2" /><Relationship Type="http://schemas.openxmlformats.org/officeDocument/2006/relationships/worksheet" Target="/xl/worksheets/sheet4.xml" Id="R257a5564b1894f69" /><Relationship Type="http://schemas.openxmlformats.org/officeDocument/2006/relationships/worksheet" Target="/xl/worksheets/sheet5.xml" Id="R6a0c7ecdfe164073" /><Relationship Type="http://schemas.openxmlformats.org/officeDocument/2006/relationships/worksheet" Target="/xl/worksheets/sheet6.xml" Id="R66855269f32c48a3" /></Relationships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6">
      <x:c r="A6" t="str">
        <x:v>Version</x:v>
      </x:c>
      <x:c r="B6" t="str">
        <x:v>1.0 scaffold</x:v>
      </x:c>
      <x:c r="D6" s="23" t="str">
        <x:v>Quick links</x:v>
      </x:c>
      <x:c r="E6" s="23"/>
      <x:c r="F6" s="23"/>
      <x:c r="G6" s="23"/>
      <x:c r="H6" s="23"/>
    </x:row>
    <x:row r="7">
      <x:c r="A7" t="str">
        <x:v>Prepared date</x:v>
      </x:c>
      <x:c r="B7" s="11" t="n">
        <x:v>46260</x:v>
      </x:c>
      <x:c r="D7" s="12" t="e">
        <x:f>HYPERLINK("#'Dashboard'!A1","Dashboard")</x:f>
        <x:v>HYPERLINK is not implemented. linkLocation=#'Dashboard'!A1, friendlyName=Dashboard</x:v>
      </x:c>
    </x:row>
    <x:row r="8">
      <x:c r="A8" t="str">
        <x:v>Currency</x:v>
      </x:c>
      <x:c r="B8" t="str">
        <x:v>AUD</x:v>
      </x:c>
      <x:c r="D8" s="12" t="e">
        <x:f>HYPERLINK("#'Assumptions'!A1","Assumptions")</x:f>
        <x:v>HYPERLINK is not implemented. linkLocation=#'Assumptions'!A1, friendlyName=Assumptions</x:v>
      </x:c>
    </x:row>
    <x:row r="9">
      <x:c r="A9" t="str">
        <x:v>Units</x:v>
      </x:c>
      <x:c r="B9" t="str">
        <x:v>Whole dollars</x:v>
      </x:c>
      <x:c r="D9" s="12" t="e">
        <x:f>HYPERLINK("#'13-Week Forecast'!A1","13-Week Forecast")</x:f>
        <x:v>HYPERLINK is not implemented. linkLocation=#'13-Week Forecast'!A1, friendlyName=13-Week Forecast</x:v>
      </x:c>
    </x:row>
    <x:row r="10">
      <x:c r="A10" t="str">
        <x:v>Selected scenario</x:v>
      </x:c>
      <x:c r="B10" s="12" t="str">
        <x:f>'Assumptions'!$B$12</x:f>
        <x:v>Base</x:v>
      </x:c>
      <x:c r="D10" s="12" t="e">
        <x:f>HYPERLINK("#'Weekly Review'!A1","Weekly Review")</x:f>
        <x:v>HYPERLINK is not implemented. linkLocation=#'Weekly Review'!A1, friendlyName=Weekly Review</x:v>
      </x:c>
    </x:row>
    <x:row r="11">
      <x:c r="D11" s="12" t="e">
        <x:f>HYPERLINK("#'Checks &amp; Sources'!A1","Checks &amp; Sources")</x:f>
        <x:v>HYPERLINK is not implemented. linkLocation=#'Checks &amp; Sources'!A1, friendlyName=Checks &amp; Sources</x:v>
      </x:c>
    </x:row>
    <x:row r="12">
      <x:c r="A12" s="14" t="str">
        <x:v>Five-step weekly update process</x:v>
      </x:c>
      <x:c r="B12" s="14"/>
      <x:c r="C12" s="14"/>
      <x:c r="D12" s="14"/>
      <x:c r="E12" s="14"/>
      <x:c r="F12" s="14"/>
      <x:c r="G12" s="14"/>
      <x:c r="H12" s="14"/>
    </x:row>
    <x:row r="13">
      <x:c r="A13" t="str">
        <x:v>1</x:v>
      </x:c>
      <x:c r="B13" s="15" t="str">
        <x:v>Update the Assumptions control panel and selected scenario.</x:v>
      </x:c>
    </x:row>
    <x:row r="14">
      <x:c r="A14" t="str">
        <x:v>2</x:v>
      </x:c>
      <x:c r="B14" s="15" t="str">
        <x:v>Replace blue cash-receipt and cash-payment inputs with the latest weekly view.</x:v>
      </x:c>
    </x:row>
    <x:row r="15">
      <x:c r="A15" t="str">
        <x:v>3</x:v>
      </x:c>
      <x:c r="B15" s="15" t="str">
        <x:v>Review closing cash, headroom and liquidity status in the 13-Week Forecast.</x:v>
      </x:c>
    </x:row>
    <x:row r="16">
      <x:c r="A16" t="str">
        <x:v>4</x:v>
      </x:c>
      <x:c r="B16" s="15" t="str">
        <x:v>Record actual results, actions and owners in Weekly Review.</x:v>
      </x:c>
    </x:row>
    <x:row r="17">
      <x:c r="A17" t="str">
        <x:v>5</x:v>
      </x:c>
      <x:c r="B17" s="15" t="str">
        <x:v>Resolve any control failure in Checks &amp; Sources before management review.</x:v>
      </x:c>
    </x:row>
    <x:row r="19">
      <x:c r="A19" s="14" t="str">
        <x:v>Colour legend</x:v>
      </x:c>
      <x:c r="B19" s="14"/>
      <x:c r="C19" s="14"/>
      <x:c r="D19" s="14"/>
      <x:c r="E19" s="14"/>
      <x:c r="F19" s="14"/>
      <x:c r="G19" s="14"/>
      <x:c r="H19" s="14"/>
    </x:row>
    <x:row r="20">
      <x:c r="A20" s="16" t="str">
        <x:v>Blue text / lavender fill</x:v>
      </x:c>
      <x:c r="B20" t="str">
        <x:v>Editable user input</x:v>
      </x:c>
    </x:row>
    <x:row r="21">
      <x:c r="A21" s="17" t="str">
        <x:v>Black text</x:v>
      </x:c>
      <x:c r="B21" t="str">
        <x:v>Formula or calculation</x:v>
      </x:c>
    </x:row>
    <x:row r="22">
      <x:c r="A22" s="12" t="str">
        <x:v>Green text</x:v>
      </x:c>
      <x:c r="B22" t="str">
        <x:v>Cross-sheet link</x:v>
      </x:c>
    </x:row>
    <x:row r="23">
      <x:c r="A23" s="19" t="str">
        <x:v>Red text / pale-red fill</x:v>
      </x:c>
      <x:c r="B23" t="str">
        <x:v>Warning or exception</x:v>
      </x:c>
    </x:row>
    <x:row r="24">
      <x:c r="A24" s="21" t="str">
        <x:v>Dark green / pale-green fill</x:v>
      </x:c>
      <x:c r="B24" t="str">
        <x:v>Passing check</x:v>
      </x:c>
    </x:row>
    <x:row r="27">
      <x:c r="A27" s="27" t="str">
        <x:v>Scope limit: this workbook supports short-term cash planning. It is illustrative only and is not tax, payroll, legal or financial advice. Confirm statutory dates and classifications with your adviser.</x:v>
      </x:c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</x:sheetData>
  <x:mergeCells>
    <x:mergeCell ref="A1:H1"/>
    <x:mergeCell ref="A2:H2"/>
    <x:mergeCell ref="A4:H4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Management view. Formula-linked KPI cards, charts and liquidity outlook are added in the dashboard build step.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4">
      <x:c r="A4" s="25" t="str">
        <x:v>No cash-flow inputs belong on this sheet. Update Assumptions and the 13-Week Forecast instead.</x:v>
      </x:c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</x:row>
    <x:row r="6" ht="32" customHeight="1">
      <x:c r="A6" s="28" t="str">
        <x:v>Selected scenario</x:v>
      </x:c>
      <x:c r="B6" s="28" t="str">
        <x:v>Week 13 closing cash</x:v>
      </x:c>
      <x:c r="C6" s="28" t="str">
        <x:v>Lowest closing cash</x:v>
      </x:c>
      <x:c r="D6" s="28" t="str">
        <x:v>Minimum buffer</x:v>
      </x:c>
      <x:c r="E6" s="28" t="str">
        <x:v>Minimum headroom</x:v>
      </x:c>
      <x:c r="F6" s="28" t="str">
        <x:v>Weeks below buffer</x:v>
      </x:c>
    </x:row>
    <x:row r="7">
      <x:c r="A7" t="str">
        <x:v>Linked in build 3</x:v>
      </x:c>
      <x:c r="B7" t="str">
        <x:v>Linked in build 3</x:v>
      </x:c>
      <x:c r="C7" t="str">
        <x:v>Linked in build 3</x:v>
      </x:c>
      <x:c r="D7" t="str">
        <x:v>Linked in build 3</x:v>
      </x:c>
      <x:c r="E7" t="str">
        <x:v>Linked in build 3</x:v>
      </x:c>
      <x:c r="F7" t="str">
        <x:v>Linked in build 3</x:v>
      </x:c>
    </x:row>
    <x:row r="9">
      <x:c r="A9" s="14" t="str">
        <x:v>Liquidity outlook</x:v>
      </x:c>
      <x:c r="B9" s="14" t="str">
        <x:v>Week ending</x:v>
      </x:c>
      <x:c r="C9" s="14" t="str">
        <x:v>Closing cash</x:v>
      </x:c>
      <x:c r="D9" s="14" t="str">
        <x:v>Headroom</x:v>
      </x:c>
    </x:row>
  </x:sheetData>
  <x:mergeCells>
    <x:mergeCell ref="A1:O1"/>
    <x:mergeCell ref="A2:O2"/>
    <x:mergeCell ref="A4:O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4">
      <x:c r="A4" s="14" t="str">
        <x:v>Core controls</x:v>
      </x:c>
      <x:c r="B4" s="14" t="str">
        <x:v>Value</x:v>
      </x:c>
    </x:row>
    <x:row r="5">
      <x:c r="A5" t="str">
        <x:v>Business name</x:v>
      </x:c>
      <x:c r="B5" s="29" t="str">
        <x:v>Illustrative Australian business</x:v>
      </x:c>
    </x:row>
    <x:row r="6">
      <x:c r="A6" t="str">
        <x:v>Currency</x:v>
      </x:c>
      <x:c r="B6" s="29" t="str">
        <x:v>AUD</x:v>
      </x:c>
    </x:row>
    <x:row r="7">
      <x:c r="A7" t="str">
        <x:v>Units</x:v>
      </x:c>
      <x:c r="B7" s="29" t="str">
        <x:v>Whole dollars</x:v>
      </x:c>
    </x:row>
    <x:row r="8">
      <x:c r="A8" t="str">
        <x:v>Forecast start date</x:v>
      </x:c>
      <x:c r="B8" s="30" t="n">
        <x:v>46265</x:v>
      </x:c>
    </x:row>
    <x:row r="9">
      <x:c r="A9" t="str">
        <x:v>As-at date</x:v>
      </x:c>
      <x:c r="B9" s="30" t="n">
        <x:v>46271</x:v>
      </x:c>
    </x:row>
    <x:row r="10">
      <x:c r="A10" t="str">
        <x:v>Opening cash</x:v>
      </x:c>
      <x:c r="B10" s="31" t="n">
        <x:v>400000</x:v>
      </x:c>
    </x:row>
    <x:row r="11">
      <x:c r="A11" t="str">
        <x:v>Minimum cash buffer</x:v>
      </x:c>
      <x:c r="B11" s="31" t="n">
        <x:v>100000</x:v>
      </x:c>
    </x:row>
    <x:row r="12">
      <x:c r="A12" t="str">
        <x:v>Selected scenario</x:v>
      </x:c>
      <x:c r="B12" s="29" t="str">
        <x:v>Base</x:v>
      </x:c>
    </x:row>
    <x:row r="14">
      <x:c r="A14" s="14" t="str">
        <x:v>Scenario controls</x:v>
      </x:c>
      <x:c r="B14" s="14" t="str">
        <x:v>Scenario</x:v>
      </x:c>
      <x:c r="C14" s="14" t="str">
        <x:v>Receipt factor</x:v>
      </x:c>
      <x:c r="D14" s="14" t="str">
        <x:v>Variable-payment factor</x:v>
      </x:c>
      <x:c r="E14" s="14" t="str">
        <x:v>Description</x:v>
      </x:c>
    </x:row>
    <x:row r="15">
      <x:c r="B15" s="16" t="str">
        <x:v>Base</x:v>
      </x:c>
      <x:c r="C15" s="32" t="n">
        <x:v>1</x:v>
      </x:c>
      <x:c r="D15" s="32" t="n">
        <x:v>1</x:v>
      </x:c>
      <x:c r="E15" s="16" t="str">
        <x:v>Current operating expectation</x:v>
      </x:c>
    </x:row>
    <x:row r="16">
      <x:c r="B16" s="16" t="str">
        <x:v>Upside</x:v>
      </x:c>
      <x:c r="C16" s="32" t="n">
        <x:v>1.08</x:v>
      </x:c>
      <x:c r="D16" s="32" t="n">
        <x:v>0.98</x:v>
      </x:c>
      <x:c r="E16" s="16" t="str">
        <x:v>Stronger receipts and lower selected variable payments</x:v>
      </x:c>
    </x:row>
    <x:row r="17">
      <x:c r="B17" s="16" t="str">
        <x:v>Downside</x:v>
      </x:c>
      <x:c r="C17" s="32" t="n">
        <x:v>0.85</x:v>
      </x:c>
      <x:c r="D17" s="32" t="n">
        <x:v>1.05</x:v>
      </x:c>
      <x:c r="E17" s="16" t="str">
        <x:v>Softer receipts and higher selected variable payments</x:v>
      </x:c>
    </x:row>
    <x:row r="20">
      <x:c r="A20" s="14" t="str">
        <x:v>Data-quality notes</x:v>
      </x:c>
      <x:c r="B20" s="14"/>
      <x:c r="C20" s="14"/>
      <x:c r="D20" s="14"/>
      <x:c r="E20" s="14"/>
      <x:c r="F20" s="14"/>
    </x:row>
    <x:row r="21">
      <x:c r="A21" s="27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</x:sheetData>
  <x:mergeCells>
    <x:mergeCell ref="A1:F1"/>
    <x:mergeCell ref="A2:F2"/>
    <x:mergeCell ref="A20:F20"/>
    <x:mergeCell ref="A21:F23"/>
  </x:mergeCells>
  <x:dataValidations count="1">
    <x:dataValidation type="list" sqref="B12">
      <x:formula1>CashFlowScenarioList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Weekly cash-flow structure. The forecast engine and editable operating inputs are added in the next build step.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5">
      <x:c r="A5" t="str">
        <x:v>Week commencing</x:v>
      </x:c>
      <x:c r="B5" s="34" t="n">
        <x:v>46265</x:v>
      </x:c>
      <x:c r="C5" s="34" t="n">
        <x:v>46272</x:v>
      </x:c>
      <x:c r="D5" s="34" t="n">
        <x:v>46279</x:v>
      </x:c>
      <x:c r="E5" s="34" t="n">
        <x:v>46286</x:v>
      </x:c>
      <x:c r="F5" s="34" t="n">
        <x:v>46293</x:v>
      </x:c>
      <x:c r="G5" s="34" t="n">
        <x:v>46300</x:v>
      </x:c>
      <x:c r="H5" s="34" t="n">
        <x:v>46307</x:v>
      </x:c>
      <x:c r="I5" s="34" t="n">
        <x:v>46314</x:v>
      </x:c>
      <x:c r="J5" s="34" t="n">
        <x:v>46321</x:v>
      </x:c>
      <x:c r="K5" s="34" t="n">
        <x:v>46328</x:v>
      </x:c>
      <x:c r="L5" s="34" t="n">
        <x:v>46335</x:v>
      </x:c>
      <x:c r="M5" s="34" t="n">
        <x:v>46342</x:v>
      </x:c>
      <x:c r="N5" s="34" t="n">
        <x:v>46349</x:v>
      </x:c>
      <x:c r="O5" t="str">
        <x:v>13-week total / terminal</x:v>
      </x:c>
    </x:row>
    <x:row r="6">
      <x:c r="A6" t="str">
        <x:v>Week ending</x:v>
      </x:c>
      <x:c r="B6" s="34" t="n">
        <x:v>46271</x:v>
      </x:c>
      <x:c r="C6" s="34" t="n">
        <x:v>46278</x:v>
      </x:c>
      <x:c r="D6" s="34" t="n">
        <x:v>46285</x:v>
      </x:c>
      <x:c r="E6" s="34" t="n">
        <x:v>46292</x:v>
      </x:c>
      <x:c r="F6" s="34" t="n">
        <x:v>46299</x:v>
      </x:c>
      <x:c r="G6" s="34" t="n">
        <x:v>46306</x:v>
      </x:c>
      <x:c r="H6" s="34" t="n">
        <x:v>46313</x:v>
      </x:c>
      <x:c r="I6" s="34" t="n">
        <x:v>46320</x:v>
      </x:c>
      <x:c r="J6" s="34" t="n">
        <x:v>46327</x:v>
      </x:c>
      <x:c r="K6" s="34" t="n">
        <x:v>46334</x:v>
      </x:c>
      <x:c r="L6" s="34" t="n">
        <x:v>46341</x:v>
      </x:c>
      <x:c r="M6" s="34" t="n">
        <x:v>46348</x:v>
      </x:c>
      <x:c r="N6" s="34" t="n">
        <x:v>46355</x:v>
      </x:c>
      <x:c r="O6" t="str">
        <x:v>Week 13 value</x:v>
      </x:c>
    </x:row>
    <x:row r="7">
      <x:c r="A7" t="str">
        <x:v>Actual / Forecast</x:v>
      </x:c>
      <x:c r="B7" s="35" t="str">
        <x:v>Forecast</x:v>
      </x:c>
      <x:c r="C7" s="35" t="str">
        <x:v>Forecast</x:v>
      </x:c>
      <x:c r="D7" s="35" t="str">
        <x:v>Forecast</x:v>
      </x:c>
      <x:c r="E7" s="35" t="str">
        <x:v>Forecast</x:v>
      </x:c>
      <x:c r="F7" s="35" t="str">
        <x:v>Forecast</x:v>
      </x:c>
      <x:c r="G7" s="35" t="str">
        <x:v>Forecast</x:v>
      </x:c>
      <x:c r="H7" s="35" t="str">
        <x:v>Forecast</x:v>
      </x:c>
      <x:c r="I7" s="35" t="str">
        <x:v>Forecast</x:v>
      </x:c>
      <x:c r="J7" s="35" t="str">
        <x:v>Forecast</x:v>
      </x:c>
      <x:c r="K7" s="35" t="str">
        <x:v>Forecast</x:v>
      </x:c>
      <x:c r="L7" s="35" t="str">
        <x:v>Forecast</x:v>
      </x:c>
      <x:c r="M7" s="35" t="str">
        <x:v>Forecast</x:v>
      </x:c>
      <x:c r="N7" s="35" t="str">
        <x:v>Forecast</x:v>
      </x:c>
      <x:c r="O7" t="str"/>
    </x:row>
    <x:row r="9">
      <x:c r="A9" s="14" t="str">
        <x:v>CASH RECEIPTS</x:v>
      </x:c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t="str">
        <x:v>Customer receipts</x:v>
      </x:c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</x:row>
    <x:row r="11">
      <x:c r="A11" t="str">
        <x:v>Overdue receipts</x:v>
      </x:c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</x:row>
    <x:row r="12">
      <x:c r="A12" t="str">
        <x:v>Cash / EFTPOS sales</x:v>
      </x:c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</x:row>
    <x:row r="13">
      <x:c r="A13" t="str">
        <x:v>GST refunds / credits</x:v>
      </x:c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</x:row>
    <x:row r="14">
      <x:c r="A14" t="str">
        <x:v>Other operating</x:v>
      </x:c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</x:row>
    <x:row r="15">
      <x:c r="A15" t="str">
        <x:v>Asset sale proceeds</x:v>
      </x:c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</x:row>
    <x:row r="16">
      <x:c r="A16" t="str">
        <x:v>Equity / owner funding</x:v>
      </x:c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</x:row>
    <x:row r="17">
      <x:c r="A17" t="str">
        <x:v>Loan proceeds</x:v>
      </x:c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</x:row>
    <x:row r="18">
      <x:c r="A18" t="str">
        <x:v>Scenario receipt adjustment</x:v>
      </x:c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</x:row>
    <x:row r="19">
      <x:c r="A19" s="37" t="str">
        <x:v>Total cash receipts</x:v>
      </x:c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</x:row>
    <x:row r="20"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</x:row>
    <x:row r="21">
      <x:c r="A21" s="14" t="str">
        <x:v>CASH PAYMENTS</x:v>
      </x:c>
      <x:c r="B21" s="40"/>
      <x:c r="C21" s="40"/>
      <x:c r="D21" s="40"/>
      <x:c r="E21" s="40"/>
      <x:c r="F21" s="40"/>
      <x:c r="G21" s="40"/>
      <x:c r="H21" s="40"/>
      <x:c r="I21" s="40"/>
      <x:c r="J21" s="40"/>
      <x:c r="K21" s="40"/>
      <x:c r="L21" s="40"/>
      <x:c r="M21" s="40"/>
      <x:c r="N21" s="40"/>
      <x:c r="O21" s="40"/>
    </x:row>
    <x:row r="22">
      <x:c r="A22" t="str">
        <x:v>Suppliers and inventory</x:v>
      </x:c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</x:row>
    <x:row r="23">
      <x:c r="A23" t="str">
        <x:v>Net wages</x:v>
      </x:c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</x:row>
    <x:row r="24">
      <x:c r="A24" t="str">
        <x:v>PAYG withholding</x:v>
      </x:c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</x:row>
    <x:row r="25">
      <x:c r="A25" t="str">
        <x:v>Superannuation</x:v>
      </x:c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</x:row>
    <x:row r="26">
      <x:c r="A26" t="str">
        <x:v>Payroll tax / workers compensation</x:v>
      </x:c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</x:row>
    <x:row r="27">
      <x:c r="A27" t="str">
        <x:v>Rent</x:v>
      </x:c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</x:row>
    <x:row r="28">
      <x:c r="A28" t="str">
        <x:v>Utilities</x:v>
      </x:c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</x:row>
    <x:row r="29">
      <x:c r="A29" t="str">
        <x:v>Insurance</x:v>
      </x:c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</x:row>
    <x:row r="30">
      <x:c r="A30" t="str">
        <x:v>Software and subscriptions</x:v>
      </x:c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</x:row>
    <x:row r="31">
      <x:c r="A31" t="str">
        <x:v>Marketing</x:v>
      </x:c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</x:row>
    <x:row r="32">
      <x:c r="A32" t="str">
        <x:v>Professional services</x:v>
      </x:c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</x:row>
    <x:row r="33">
      <x:c r="A33" t="str">
        <x:v>Freight, vehicles and travel</x:v>
      </x:c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</x:row>
    <x:row r="34">
      <x:c r="A34" t="str">
        <x:v>GST / BAS payments</x:v>
      </x:c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</x:row>
    <x:row r="35">
      <x:c r="A35" t="str">
        <x:v>PAYG income tax instalments</x:v>
      </x:c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</x:row>
    <x:row r="36">
      <x:c r="A36" t="str">
        <x:v>FBT / other tax</x:v>
      </x:c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</x:row>
    <x:row r="37">
      <x:c r="A37" t="str">
        <x:v>Interest and bank fees</x:v>
      </x:c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</x:row>
    <x:row r="38">
      <x:c r="A38" t="str">
        <x:v>Loan principal</x:v>
      </x:c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</x:row>
    <x:row r="39">
      <x:c r="A39" t="str">
        <x:v>Capital expenditure</x:v>
      </x:c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</x:row>
    <x:row r="40">
      <x:c r="A40" t="str">
        <x:v>Dividends / distributions</x:v>
      </x:c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</x:row>
    <x:row r="41">
      <x:c r="A41" t="str">
        <x:v>Other operating</x:v>
      </x:c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</x:row>
    <x:row r="42">
      <x:c r="A42" t="str">
        <x:v>Scenario payment adjustment</x:v>
      </x:c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</x:row>
    <x:row r="43">
      <x:c r="A43" s="37" t="str">
        <x:v>Total cash payments</x:v>
      </x:c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</x:row>
    <x:row r="44"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</x:row>
    <x:row r="45">
      <x:c r="A45" s="14" t="str">
        <x:v>CASH POSITION</x:v>
      </x:c>
      <x:c r="B45" s="40"/>
      <x:c r="C45" s="40"/>
      <x:c r="D45" s="40"/>
      <x:c r="E45" s="40"/>
      <x:c r="F45" s="40"/>
      <x:c r="G45" s="40"/>
      <x:c r="H45" s="40"/>
      <x:c r="I45" s="40"/>
      <x:c r="J45" s="40"/>
      <x:c r="K45" s="40"/>
      <x:c r="L45" s="40"/>
      <x:c r="M45" s="40"/>
      <x:c r="N45" s="40"/>
      <x:c r="O45" s="40"/>
    </x:row>
    <x:row r="46">
      <x:c r="A46" t="str">
        <x:v>Opening cash balance</x:v>
      </x:c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</x:row>
    <x:row r="47">
      <x:c r="A47" t="str">
        <x:v>Net cash movement</x:v>
      </x:c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</x:row>
    <x:row r="48">
      <x:c r="A48" s="37" t="str">
        <x:v>Closing cash balance</x:v>
      </x:c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</x:row>
    <x:row r="49">
      <x:c r="A49" t="str">
        <x:v>Minimum cash buffer</x:v>
      </x:c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</x:row>
    <x:row r="50">
      <x:c r="A50" s="37" t="str">
        <x:v>Headroom / (gap)</x:v>
      </x:c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</x:row>
    <x:row r="51">
      <x:c r="A51" t="str">
        <x:v>Liquidity status</x:v>
      </x:c>
    </x:row>
  </x:sheetData>
  <x:mergeCells>
    <x:mergeCell ref="A1:O1"/>
    <x:mergeCell ref="A2:O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6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6" hidden="0" customWidth="1"/>
    <x:col min="14" max="14" width="42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0" customHeight="1">
      <x:c r="A2" s="8" t="str">
        <x:v>Forecast accuracy review. Actuals, commentary, owners and actions are added with the forecast engine.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5" ht="32" customHeight="1">
      <x:c r="A5" s="28" t="str">
        <x:v>Week</x:v>
      </x:c>
      <x:c r="B5" s="28" t="str">
        <x:v>Week commencing</x:v>
      </x:c>
      <x:c r="C5" s="28" t="str">
        <x:v>Week ending</x:v>
      </x:c>
      <x:c r="D5" s="28" t="str">
        <x:v>Forecast receipts</x:v>
      </x:c>
      <x:c r="E5" s="28" t="str">
        <x:v>Actual receipts</x:v>
      </x:c>
      <x:c r="F5" s="28" t="str">
        <x:v>Receipt variance</x:v>
      </x:c>
      <x:c r="G5" s="28" t="str">
        <x:v>Forecast payments</x:v>
      </x:c>
      <x:c r="H5" s="28" t="str">
        <x:v>Actual payments</x:v>
      </x:c>
      <x:c r="I5" s="28" t="str">
        <x:v>Payment variance</x:v>
      </x:c>
      <x:c r="J5" s="28" t="str">
        <x:v>Forecast closing cash</x:v>
      </x:c>
      <x:c r="K5" s="28" t="str">
        <x:v>Actual closing cash</x:v>
      </x:c>
      <x:c r="L5" s="28" t="str">
        <x:v>Cash variance</x:v>
      </x:c>
      <x:c r="M5" s="28" t="str">
        <x:v>Owner</x:v>
      </x:c>
      <x:c r="N5" s="28" t="str">
        <x:v>Commentary / action</x:v>
      </x:c>
    </x:row>
    <x:row r="6">
      <x:c r="A6" t="n">
        <x:v>1</x:v>
      </x:c>
    </x:row>
    <x:row r="7">
      <x:c r="A7" t="n">
        <x:v>2</x:v>
      </x:c>
    </x:row>
    <x:row r="8">
      <x:c r="A8" t="n">
        <x:v>3</x:v>
      </x:c>
    </x:row>
    <x:row r="9">
      <x:c r="A9" t="n">
        <x:v>4</x:v>
      </x:c>
    </x:row>
    <x:row r="10">
      <x:c r="A10" t="n">
        <x:v>5</x:v>
      </x:c>
    </x:row>
    <x:row r="11">
      <x:c r="A11" t="n">
        <x:v>6</x:v>
      </x:c>
    </x:row>
    <x:row r="12">
      <x:c r="A12" t="n">
        <x:v>7</x:v>
      </x:c>
    </x:row>
    <x:row r="13">
      <x:c r="A13" t="n">
        <x:v>8</x:v>
      </x:c>
    </x:row>
    <x:row r="14">
      <x:c r="A14" t="n">
        <x:v>9</x:v>
      </x:c>
    </x:row>
    <x:row r="15">
      <x:c r="A15" t="n">
        <x:v>10</x:v>
      </x:c>
    </x:row>
    <x:row r="16">
      <x:c r="A16" t="n">
        <x:v>11</x:v>
      </x:c>
    </x:row>
    <x:row r="17">
      <x:c r="A17" t="n">
        <x:v>12</x:v>
      </x:c>
    </x:row>
    <x:row r="18">
      <x:c r="A18" t="n">
        <x:v>13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Structural checks and Australian statutory-source log are added in the controls build step.</x:v>
      </x:c>
      <x:c r="B2" s="8"/>
      <x:c r="C2" s="8"/>
      <x:c r="D2" s="8"/>
      <x:c r="E2" s="8"/>
      <x:c r="F2" s="8"/>
      <x:c r="G2" s="8"/>
      <x:c r="H2" s="8"/>
    </x:row>
    <x:row r="4">
      <x:c r="A4" s="14" t="str">
        <x:v>Check</x:v>
      </x:c>
      <x:c r="B4" s="14" t="str">
        <x:v>Actual</x:v>
      </x:c>
      <x:c r="C4" s="14" t="str">
        <x:v>Expected</x:v>
      </x:c>
      <x:c r="D4" s="14" t="str">
        <x:v>Difference</x:v>
      </x:c>
      <x:c r="E4" s="14" t="str">
        <x:v>Tolerance</x:v>
      </x:c>
      <x:c r="F4" s="14" t="str">
        <x:v>Status</x:v>
      </x:c>
      <x:c r="G4" s="14" t="str">
        <x:v>Where to fix</x:v>
      </x:c>
      <x:c r="H4" s="14" t="str">
        <x:v>Notes</x:v>
      </x:c>
    </x:row>
    <x:row r="6">
      <x:c r="A6" s="41" t="str">
        <x:v>MODEL STATUS: prepared for formula-driven integrity checks</x:v>
      </x:c>
      <x:c r="B6" s="41"/>
      <x:c r="C6" s="41"/>
      <x:c r="D6" s="41"/>
      <x:c r="E6" s="41"/>
      <x:c r="F6" s="41"/>
      <x:c r="G6" s="41"/>
      <x:c r="H6" s="41"/>
    </x:row>
    <x:row r="9">
      <x:c r="A9" s="14" t="str">
        <x:v>Source item</x:v>
      </x:c>
      <x:c r="B9" s="14" t="str">
        <x:v>Official URL</x:v>
      </x:c>
      <x:c r="C9" s="14" t="str">
        <x:v>Scope</x:v>
      </x:c>
      <x:c r="D9" s="14" t="str">
        <x:v>As-at date</x:v>
      </x:c>
      <x:c r="E9" s="14" t="str">
        <x:v>Notes</x:v>
      </x:c>
      <x:c r="F9" s="14" t="str">
        <x:v>Owner</x:v>
      </x:c>
    </x:row>
    <x:row r="11">
      <x:c r="A11" s="43" t="str">
        <x:v>Statutory dates and classifications require confirmation for your entity, reporting cycle and agent arrangements.</x:v>
      </x:c>
      <x:c r="B11" s="43"/>
      <x:c r="C11" s="43"/>
      <x:c r="D11" s="43"/>
      <x:c r="E11" s="43"/>
      <x:c r="F11" s="43"/>
    </x:row>
    <x:row r="12">
      <x:c r="A12" s="43"/>
      <x:c r="B12" s="43"/>
      <x:c r="C12" s="43"/>
      <x:c r="D12" s="43"/>
      <x:c r="E12" s="43"/>
      <x:c r="F12" s="43"/>
    </x:row>
  </x:sheetData>
  <x:mergeCells>
    <x:mergeCell ref="A1:H1"/>
    <x:mergeCell ref="A2:H2"/>
    <x:mergeCell ref="A6:H6"/>
    <x:mergeCell ref="A11:F12"/>
  </x:mergeCells>
  <x:pageMargins left="0.7" right="0.7" top="0.75" bottom="0.75" header="0.3" footer="0.3"/>
</x:worksheet>
</file>