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1eb0ff2b4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84e3a83283d4fd1"/>
    <x:sheet xmlns:r="http://schemas.openxmlformats.org/officeDocument/2006/relationships" name="Dashboard" sheetId="2" r:id="R7800141f1d67452c"/>
    <x:sheet xmlns:r="http://schemas.openxmlformats.org/officeDocument/2006/relationships" name="Assumptions" sheetId="3" r:id="Rd14f3bcb9f50434c"/>
    <x:sheet xmlns:r="http://schemas.openxmlformats.org/officeDocument/2006/relationships" name="13-Week Forecast" sheetId="4" r:id="R678c6243fa8c4a62"/>
    <x:sheet xmlns:r="http://schemas.openxmlformats.org/officeDocument/2006/relationships" name="Weekly Review" sheetId="5" r:id="R9058f1779f6646a2"/>
    <x:sheet xmlns:r="http://schemas.openxmlformats.org/officeDocument/2006/relationships" name="Checks &amp; Sources" sheetId="6" r:id="R79c588e19c574c44"/>
  </x:sheets>
  <x:definedNames>
    <x:definedName name="CashFlowScenario">'Assumptions'!$B$12</x:definedName>
    <x:definedName name="CashFlowSelectedScenario">'Assumptions'!$B$12</x:definedName>
    <x:definedName name="CashFlowScenarioList">'Assumptions'!$B$15:$B$17</x:definedName>
  </x:definedNames>
</x:workbook>
</file>

<file path=xl/comments1.xml><?xml version="1.0" encoding="utf-8"?>
<x:comments xmlns:x="http://schemas.openxmlformats.org/spreadsheetml/2006/main">
  <x:authors>
    <x:author>tc={1CA3A93B-3ADC-827F-8CEE-A811705E1D1F}</x:author>
    <x:author>tc={C97139E3-0479-A622-290F-CDB6923A5A0F}</x:author>
    <x:author>tc={D5F90669-03C7-33D3-694B-C09DFC28185D}</x:author>
    <x:author>tc={DBEFEBE9-FE43-5AD0-8C78-F63EFF1E6BF6}</x:author>
  </x:authors>
  <x:commentList>
    <x:comment ref="B1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Scenario receipt adjustment applies the selected scenario only to current customer receipts, overdue receipts and cash / EFTPOS sales. Week 1 is Actual, so the adjustment is zero.</x:t>
        </x:r>
      </x:text>
    </x:comment>
    <x:comment ref="B4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Scenario payment adjustment applies the selected scenario only to suppliers, marketing, freight / vehicles / travel and other operating payments. Week 1 is Actual, so the adjustment is zero.</x:t>
        </x:r>
      </x:text>
    </x:comment>
    <x:comment ref="B3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GST / BAS cash timing is illustrative. Confirm your entity's reporting cycle, due date and payment arrangement before relying on this forecast.</x:t>
        </x:r>
      </x:text>
    </x:comment>
    <x:comment ref="B3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PAYG income-tax instalment timing and amount are illustrative. Confirm the applicable ATO notice and adviser instructions.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 mmm yyyy"/>
    <x:numFmt numFmtId="201" formatCode="&quot;$&quot;#,##0;[Red](&quot;$&quot;#,##0);-"/>
    <x:numFmt numFmtId="202" formatCode="0.0%"/>
    <x:numFmt numFmtId="203" formatCode="0"/>
    <x:numFmt numFmtId="204" formatCode="#,##0;[Red](#,##0);-"/>
  </x:numFmts>
  <x:fonts count="16">
    <x:font>
      <x:sz val="11"/>
      <x:name val="Carlito"/>
    </x:font>
    <x:font>
      <x:sz val="11"/>
      <x:color rgb="FF000000"/>
      <x:name val="Aptos"/>
    </x:font>
    <x:font>
      <x:b/>
      <x:sz val="18"/>
      <x:color rgb="FFFFFFF0"/>
      <x:name val="Aptos"/>
    </x:font>
    <x:font>
      <x:sz val="10"/>
      <x:color rgb="FF000000"/>
      <x:name val="Aptos"/>
    </x:font>
    <x:font>
      <x:b/>
      <x:sz val="11"/>
      <x:color rgb="FFFFFFF0"/>
      <x:name val="Aptos"/>
    </x:font>
    <x:font>
      <x:sz val="11"/>
      <x:color rgb="FF008000"/>
      <x:name val="Aptos"/>
    </x:font>
    <x:font>
      <x:sz val="11"/>
      <x:color rgb="FF0000FF"/>
      <x:name val="Aptos"/>
    </x:font>
    <x:font>
      <x:sz val="11"/>
      <x:color rgb="FF000000"/>
      <x:name val="Aptos"/>
    </x:font>
    <x:font>
      <x:sz val="11"/>
      <x:color rgb="FF990024"/>
      <x:name val="Aptos"/>
    </x:font>
    <x:font>
      <x:sz val="11"/>
      <x:color rgb="FF66023C"/>
      <x:name val="Aptos"/>
    </x:font>
    <x:font>
      <x:b/>
      <x:sz val="11"/>
      <x:color rgb="FF000000"/>
      <x:name val="Aptos"/>
    </x:font>
    <x:font>
      <x:b/>
      <x:sz val="11"/>
      <x:color rgb="FF000000"/>
      <x:name val="Aptos"/>
    </x:font>
    <x:font>
      <x:b/>
      <x:sz val="11"/>
      <x:color rgb="FF000000"/>
      <x:name val="Aptos"/>
    </x:font>
    <x:font>
      <x:b/>
      <x:sz val="12"/>
      <x:color rgb="FF000000"/>
      <x:name val="Aptos"/>
    </x:font>
    <x:font>
      <x:sz val="11"/>
      <x:name val="Aptos"/>
    </x:font>
    <x:font>
      <x:sz val="11"/>
      <x:color rgb="FF0F4B32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66023C"/>
      </x:patternFill>
    </x:fill>
    <x:fill>
      <x:patternFill patternType="solid">
        <x:fgColor rgb="FFFFFFF0"/>
      </x:patternFill>
    </x:fill>
    <x:fill>
      <x:patternFill patternType="solid">
        <x:fgColor rgb="FF990024"/>
      </x:patternFill>
    </x:fill>
    <x:fill>
      <x:patternFill patternType="solid">
        <x:fgColor rgb="FF000000"/>
      </x:patternFill>
    </x:fill>
    <x:fill>
      <x:patternFill patternType="solid">
        <x:fgColor rgb="FFF0D9DE"/>
      </x:patternFill>
    </x:fill>
    <x:fill>
      <x:patternFill patternType="solid">
        <x:fgColor rgb="FFDBE4E0"/>
      </x:patternFill>
    </x:fill>
    <x:fill>
      <x:patternFill patternType="solid">
        <x:fgColor rgb="FF990024"/>
      </x:patternFill>
    </x:fill>
    <x:fill>
      <x:patternFill patternType="solid">
        <x:fgColor rgb="FFE8D9E2"/>
      </x:patternFill>
    </x:fill>
    <x:fill>
      <x:patternFill patternType="solid">
        <x:fgColor rgb="FFE5E4E2"/>
      </x:patternFill>
    </x:fill>
    <x:fill>
      <x:patternFill patternType="solid">
        <x:fgColor rgb="FFFFFFFF"/>
      </x:patternFill>
    </x:fill>
  </x:fills>
  <x:borders count="2">
    <x:border/>
    <x:border>
      <x:bottom style="double">
        <x:color rgb="FF66023C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7" borderId="0" xfId="0" applyNumberFormat="1" applyFont="1" applyFill="1" applyBorder="1"/>
    <x:xf numFmtId="0" fontId="15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/>
    <x:xf numFmtId="200" fontId="6" fillId="10" borderId="0" xfId="0" applyNumberFormat="1" applyFont="1" applyFill="1" applyBorder="1"/>
    <x:xf numFmtId="201" fontId="6" fillId="10" borderId="0" xfId="0" applyNumberFormat="1" applyFont="1" applyFill="1" applyBorder="1"/>
    <x:xf numFmtId="202" fontId="6" fillId="3" borderId="0" xfId="0" applyNumberFormat="1" applyFont="1" applyFill="1" applyBorder="1"/>
    <x:xf numFmtId="203" fontId="6" fillId="3" borderId="0" xfId="0" applyNumberFormat="1" applyFont="1" applyFill="1" applyBorder="1"/>
    <x:xf numFmtId="200" fontId="6" fillId="3" borderId="0" xfId="0" applyNumberFormat="1" applyFont="1" applyFill="1" applyBorder="1"/>
    <x:xf numFmtId="200" fontId="0" fillId="9" borderId="0" xfId="0" applyNumberFormat="1" applyFont="1" applyFill="1" applyBorder="1"/>
    <x:xf numFmtId="200" fontId="10" fillId="9" borderId="0" xfId="0" applyNumberFormat="1" applyFont="1" applyFill="1" applyBorder="1"/>
    <x:xf numFmtId="0" fontId="10" fillId="9" borderId="0" xfId="0" applyNumberFormat="1" applyFont="1" applyFill="1" applyBorder="1"/>
    <x:xf numFmtId="0" fontId="11" fillId="0" borderId="0" xfId="0" applyNumberFormat="1" applyFont="1" applyFill="1" applyBorder="1"/>
    <x:xf numFmtId="0" fontId="11" fillId="0" borderId="1" xfId="0" applyNumberFormat="1" applyFont="1" applyFill="1" applyBorder="1"/>
    <x:xf numFmtId="201" fontId="6" fillId="3" borderId="0" xfId="0" applyNumberFormat="1" applyFont="1" applyFill="1" applyBorder="1"/>
    <x:xf numFmtId="201" fontId="0" fillId="0" borderId="0" xfId="0" applyNumberFormat="1" applyFont="1" applyFill="1" applyBorder="1"/>
    <x:xf numFmtId="201" fontId="11" fillId="0" borderId="1" xfId="0" applyNumberFormat="1" applyFont="1" applyFill="1" applyBorder="1"/>
    <x:xf numFmtId="201" fontId="4" fillId="5" borderId="0" xfId="0" applyNumberFormat="1" applyFont="1" applyFill="1" applyBorder="1"/>
    <x:xf numFmtId="201" fontId="7" fillId="0" borderId="0" xfId="0" applyNumberFormat="1" applyFont="1" applyFill="1" applyBorder="1"/>
    <x:xf numFmtId="201" fontId="12" fillId="0" borderId="1" xfId="0" applyNumberFormat="1" applyFont="1" applyFill="1" applyBorder="1"/>
    <x:xf numFmtId="201" fontId="5" fillId="0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2" fontId="7" fillId="0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horizontal="center"/>
    </x:xf>
    <x:xf numFmtId="201" fontId="13" fillId="11" borderId="0" xfId="0" applyNumberFormat="1" applyFont="1" applyFill="1" applyBorder="1" applyAlignment="1">
      <x:alignment horizontal="center"/>
    </x:xf>
    <x:xf numFmtId="200" fontId="13" fillId="11" borderId="0" xfId="0" applyNumberFormat="1" applyFont="1" applyFill="1" applyBorder="1" applyAlignment="1">
      <x:alignment horizontal="center"/>
    </x:xf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horizontal="center"/>
    </x:xf>
    <x:xf numFmtId="200" fontId="11" fillId="11" borderId="0" xfId="0" applyNumberFormat="1" applyFont="1" applyFill="1" applyBorder="1" applyAlignment="1">
      <x:alignment horizontal="center"/>
    </x:xf>
    <x:xf numFmtId="201" fontId="11" fillId="11" borderId="0" xfId="0" applyNumberFormat="1" applyFont="1" applyFill="1" applyBorder="1" applyAlignment="1">
      <x:alignment horizontal="center"/>
    </x:xf>
    <x:xf numFmtId="202" fontId="11" fillId="11" borderId="0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20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201" fontId="14" fillId="0" borderId="0" xfId="0" applyNumberFormat="1" applyFont="1" applyFill="1" applyBorder="1"/>
    <x:xf numFmtId="204" fontId="14" fillId="0" borderId="0" xfId="0" applyNumberFormat="1" applyFont="1" applyFill="1" applyBorder="1" applyAlignment="1">
      <x:alignment wrapText="1"/>
    </x:xf>
    <x:xf numFmtId="201" fontId="1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4">
    <x:dxf>
      <x:font>
        <x:b/>
        <x:color rgb="FF990024"/>
      </x:font>
      <x:fill>
        <x:patternFill patternType="solid">
          <x:bgColor rgb="FFF0D9DE"/>
        </x:patternFill>
      </x:fill>
    </x:dxf>
    <x:dxf>
      <x:font>
        <x:b/>
        <x:color rgb="FF66023C"/>
      </x:font>
      <x:fill>
        <x:patternFill patternType="solid">
          <x:bgColor rgb="FFE8D9E2"/>
        </x:patternFill>
      </x:fill>
    </x:dxf>
    <x:dxf>
      <x:font>
        <x:b/>
        <x:color rgb="FF0F4B32"/>
      </x:font>
      <x:fill>
        <x:patternFill patternType="solid">
          <x:bgColor rgb="FFDBE4E0"/>
        </x:patternFill>
      </x:fill>
    </x:dxf>
    <x:dxf>
      <x:font>
        <x:color rgb="FF0F4B32"/>
      </x:font>
      <x:fill>
        <x:patternFill patternType="solid">
          <x:bgColor rgb="FFDBE4E0"/>
        </x:patternFill>
      </x:fill>
    </x:dxf>
    <x:dxf>
      <x:font>
        <x:color rgb="FF990024"/>
      </x:font>
      <x:fill>
        <x:patternFill patternType="solid">
          <x:bgColor rgb="FFF0D9DE"/>
        </x:patternFill>
      </x:fill>
    </x:dxf>
    <x:dxf>
      <x:font>
        <x:color rgb="FF0F4B32"/>
      </x:font>
      <x:fill>
        <x:patternFill patternType="solid">
          <x:bgColor rgb="FFDBE4E0"/>
        </x:patternFill>
      </x:fill>
    </x:dxf>
    <x:dxf>
      <x:font>
        <x:color rgb="FF990024"/>
      </x:font>
      <x:fill>
        <x:patternFill patternType="solid">
          <x:bgColor rgb="FFF0D9DE"/>
        </x:patternFill>
      </x:fill>
    </x:dxf>
    <x:dxf>
      <x:font>
        <x:color rgb="FF0F4B32"/>
      </x:font>
      <x:fill>
        <x:patternFill patternType="solid">
          <x:bgColor rgb="FFDBE4E0"/>
        </x:patternFill>
      </x:fill>
    </x:dxf>
    <x:dxf>
      <x:font>
        <x:color rgb="FF990024"/>
      </x:font>
      <x:fill>
        <x:patternFill patternType="solid">
          <x:bgColor rgb="FFF0D9DE"/>
        </x:patternFill>
      </x:fill>
    </x:dxf>
    <x:dxf>
      <x:font>
        <x:color rgb="FF0F4B32"/>
      </x:font>
      <x:fill>
        <x:patternFill patternType="solid">
          <x:bgColor rgb="FFDBE4E0"/>
        </x:patternFill>
      </x:fill>
    </x:dxf>
    <x:dxf>
      <x:font>
        <x:color rgb="FF990024"/>
      </x:font>
      <x:fill>
        <x:patternFill patternType="solid">
          <x:bgColor rgb="FFF0D9DE"/>
        </x:patternFill>
      </x:fill>
    </x:dxf>
    <x:dxf>
      <x:font>
        <x:color rgb="FF0F4B32"/>
      </x:font>
      <x:fill>
        <x:patternFill patternType="solid">
          <x:bgColor rgb="FFDBE4E0"/>
        </x:patternFill>
      </x:fill>
    </x:dxf>
    <x:dxf>
      <x:font>
        <x:color rgb="FF990024"/>
      </x:font>
      <x:fill>
        <x:patternFill patternType="solid">
          <x:bgColor rgb="FFF0D9DE"/>
        </x:patternFill>
      </x:fill>
    </x:dxf>
    <x:dxf>
      <x:font>
        <x:b/>
        <x:color rgb="FF0F4B32"/>
      </x:font>
      <x:fill>
        <x:patternFill patternType="solid">
          <x:bgColor rgb="FFDBE4E0"/>
        </x:patternFill>
      </x:fill>
    </x:dxf>
    <x:dxf>
      <x:font>
        <x:b/>
        <x:color rgb="FF990024"/>
      </x:font>
      <x:fill>
        <x:patternFill patternType="solid">
          <x:bgColor rgb="FFF0D9DE"/>
        </x:patternFill>
      </x:fill>
    </x:dxf>
    <x:dxf>
      <x:font>
        <x:b/>
        <x:color rgb="FF66023C"/>
      </x:font>
      <x:fill>
        <x:patternFill patternType="solid">
          <x:bgColor rgb="FFE8D9E2"/>
        </x:patternFill>
      </x:fill>
    </x:dxf>
    <x:dxf>
      <x:font>
        <x:b/>
        <x:color rgb="FF0F4B32"/>
      </x:font>
      <x:fill>
        <x:patternFill patternType="solid">
          <x:bgColor rgb="FFDBE4E0"/>
        </x:patternFill>
      </x:fill>
    </x:dxf>
    <x:dxf>
      <x:font>
        <x:b/>
        <x:color rgb="FF990024"/>
      </x:font>
      <x:fill>
        <x:patternFill patternType="solid">
          <x:bgColor rgb="FFF0D9DE"/>
        </x:patternFill>
      </x:fill>
    </x:dxf>
    <x:dxf>
      <x:font>
        <x:b/>
        <x:color rgb="FF990024"/>
      </x:font>
      <x:fill>
        <x:patternFill patternType="solid">
          <x:bgColor rgb="FFF0D9DE"/>
        </x:patternFill>
      </x:fill>
    </x:dxf>
    <x:dxf>
      <x:font>
        <x:b/>
        <x:color rgb="FF66023C"/>
      </x:font>
      <x:fill>
        <x:patternFill patternType="solid">
          <x:bgColor rgb="FFE8D9E2"/>
        </x:patternFill>
      </x:fill>
    </x:dxf>
    <x:dxf>
      <x:font>
        <x:b/>
        <x:color rgb="FF0F4B32"/>
      </x:font>
      <x:fill>
        <x:patternFill patternType="solid">
          <x:bgColor rgb="FFDBE4E0"/>
        </x:patternFill>
      </x:fill>
    </x:dxf>
    <x:dxf>
      <x:font>
        <x:b/>
        <x:color rgb="FF0F4B32"/>
      </x:font>
      <x:fill>
        <x:patternFill patternType="solid">
          <x:bgColor rgb="FFDBE4E0"/>
        </x:patternFill>
      </x:fill>
    </x:dxf>
    <x:dxf>
      <x:font>
        <x:b/>
        <x:color rgb="FF990024"/>
      </x:font>
      <x:fill>
        <x:patternFill patternType="solid">
          <x:bgColor rgb="FFF0D9DE"/>
        </x:patternFill>
      </x:fill>
    </x:dxf>
    <x:dxf>
      <x:font>
        <x:b/>
        <x:color rgb="FF0F4B32"/>
      </x:font>
      <x:fill>
        <x:patternFill patternType="solid">
          <x:bgColor rgb="FFDBE4E0"/>
        </x:patternFill>
      </x:fill>
    </x:dxf>
    <x:dxf>
      <x:font>
        <x:b/>
        <x:color rgb="FF990024"/>
      </x:font>
      <x:fill>
        <x:patternFill patternType="solid">
          <x:bgColor rgb="FFF0D9DE"/>
        </x:patternFill>
      </x:fill>
    </x:dxf>
    <x:dxf>
      <x:font>
        <x:b/>
        <x:color rgb="FF990024"/>
      </x:font>
      <x:fill>
        <x:patternFill patternType="solid">
          <x:bgColor rgb="FFF0D9DE"/>
        </x:patternFill>
      </x:fill>
    </x:dxf>
    <x:dxf>
      <x:font>
        <x:b/>
        <x:color rgb="FF66023C"/>
      </x:font>
      <x:fill>
        <x:patternFill patternType="solid">
          <x:bgColor rgb="FFE8D9E2"/>
        </x:patternFill>
      </x:fill>
    </x:dxf>
    <x:dxf>
      <x:font>
        <x:b/>
        <x:color rgb="FF0F4B32"/>
      </x:font>
      <x:fill>
        <x:patternFill patternType="solid">
          <x:bgColor rgb="FFDBE4E0"/>
        </x:patternFill>
      </x:fill>
    </x:dxf>
    <x:dxf>
      <x:font>
        <x:b/>
        <x:color rgb="FF990024"/>
      </x:font>
      <x:fill>
        <x:patternFill patternType="solid">
          <x:bgColor rgb="FFF0D9DE"/>
        </x:patternFill>
      </x:fill>
    </x:dxf>
    <x:dxf>
      <x:font>
        <x:b/>
        <x:color rgb="FF66023C"/>
      </x:font>
      <x:fill>
        <x:patternFill patternType="solid">
          <x:bgColor rgb="FFE8D9E2"/>
        </x:patternFill>
      </x:fill>
    </x:dxf>
    <x:dxf>
      <x:font>
        <x:b/>
        <x:color rgb="FF0F4B32"/>
      </x:font>
      <x:fill>
        <x:patternFill patternType="solid">
          <x:bgColor rgb="FFDBE4E0"/>
        </x:patternFill>
      </x:fill>
    </x:dxf>
    <x:dxf>
      <x:font>
        <x:b/>
        <x:color rgb="FF0F4B32"/>
      </x:font>
      <x:fill>
        <x:patternFill patternType="solid">
          <x:bgColor rgb="FFDBE4E0"/>
        </x:patternFill>
      </x:fill>
    </x:dxf>
    <x:dxf>
      <x:font>
        <x:b/>
        <x:color rgb="FF990024"/>
      </x:font>
      <x:fill>
        <x:patternFill patternType="solid">
          <x:bgColor rgb="FFF0D9DE"/>
        </x:patternFill>
      </x:fill>
    </x:dxf>
    <x:dxf>
      <x:font>
        <x:b/>
        <x:color rgb="FF66023C"/>
      </x:font>
      <x:fill>
        <x:patternFill patternType="solid">
          <x:bgColor rgb="FFE8D9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bdb4d6be1a40b2" /><Relationship Type="http://schemas.openxmlformats.org/officeDocument/2006/relationships/theme" Target="/xl/theme/theme1.xml" Id="R0f456c4199644691" /><Relationship Type="http://schemas.openxmlformats.org/officeDocument/2006/relationships/sharedStrings" Target="/xl/sharedStrings.xml" Id="R048e75428b2f45eb" /><Relationship Type="http://schemas.openxmlformats.org/officeDocument/2006/relationships/worksheet" Target="/xl/worksheets/sheet1.xml" Id="R684e3a83283d4fd1" /><Relationship Type="http://schemas.openxmlformats.org/officeDocument/2006/relationships/worksheet" Target="/xl/worksheets/sheet2.xml" Id="R7800141f1d67452c" /><Relationship Type="http://schemas.openxmlformats.org/officeDocument/2006/relationships/worksheet" Target="/xl/worksheets/sheet3.xml" Id="Rd14f3bcb9f50434c" /><Relationship Type="http://schemas.openxmlformats.org/officeDocument/2006/relationships/worksheet" Target="/xl/worksheets/sheet4.xml" Id="R678c6243fa8c4a62" /><Relationship Type="http://schemas.openxmlformats.org/officeDocument/2006/relationships/worksheet" Target="/xl/worksheets/sheet5.xml" Id="R9058f1779f6646a2" /><Relationship Type="http://schemas.openxmlformats.org/officeDocument/2006/relationships/worksheet" Target="/xl/worksheets/sheet6.xml" Id="R79c588e19c574c44" /><Relationship Type="http://schemas.microsoft.com/office/2017/10/relationships/person" Target="/xl/persons/person.xml" Id="R77b3d7b6f2b943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724ee4aaee4ff7" /><Relationship Type="http://schemas.openxmlformats.org/officeDocument/2006/relationships/chart" Target="/xl/drawings/charts/chart2.xml" Id="Rd9a64b3d5529453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Closing cash vs minimum buffer (AUD)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Closing cash</c:v>
          </c:tx>
          <c:marker>
            <c:symbol val="none"/>
          </c:marker>
          <c:cat>
            <c:strRef>
              <c:f>'Dashboard'!$P$5:$P$17</c:f>
              <c:strCache>
                <c:ptCount val="0"/>
              </c:strCache>
            </c:strRef>
          </c:cat>
          <c:val>
            <c:numRef>
              <c:f>'Dashboard'!$Q$5:$Q$17</c:f>
              <c:numCache>
                <c:formatCode>"$"#,##0;[Red]("$"#,##0);-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Minimum buffer</c:v>
          </c:tx>
          <c:marker>
            <c:symbol val="none"/>
          </c:marker>
          <c:cat>
            <c:strRef>
              <c:f>'Dashboard'!$P$5:$P$17</c:f>
              <c:strCache>
                <c:ptCount val="0"/>
              </c:strCache>
            </c:strRef>
          </c:cat>
          <c:val>
            <c:numRef>
              <c:f>'Dashboard'!$R$5:$R$17</c:f>
              <c:numCache>
                <c:formatCode>"$"#,##0;[Red]("$"#,##0);-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Weekly receipts vs payments (AUD)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Total cash receipts</c:v>
          </c:tx>
          <c:cat>
            <c:strRef>
              <c:f>'Dashboard'!$P$22:$P$34</c:f>
              <c:strCache>
                <c:ptCount val="0"/>
              </c:strCache>
            </c:strRef>
          </c:cat>
          <c:val>
            <c:numRef>
              <c:f>'Dashboard'!$Q$22:$Q$34</c:f>
              <c:numCache>
                <c:formatCode>"$"#,##0;[Red]("$"#,##0);-</c:formatCode>
                <c:ptCount val="0"/>
              </c:numCache>
            </c:numRef>
          </c:val>
        </c:ser>
        <c:ser>
          <c:idx val="1"/>
          <c:order val="1"/>
          <c:tx>
            <c:v>Total cash payments</c:v>
          </c:tx>
          <c:cat>
            <c:strRef>
              <c:f>'Dashboard'!$P$22:$P$34</c:f>
              <c:strCache>
                <c:ptCount val="0"/>
              </c:strCache>
            </c:strRef>
          </c:cat>
          <c:val>
            <c:numRef>
              <c:f>'Dashboard'!$R$22:$R$34</c:f>
              <c:numCache>
                <c:formatCode>"$"#,##0;[Red]("$"#,##0);-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724ee4aaee4ff7"/>
        </a:graphicData>
      </a:graphic>
    </xdr:graphicFrame>
    <xdr:clientData/>
  </xdr:twoCellAnchor>
  <xdr:twoCellAnchor>
    <xdr:from>
      <xdr:col>5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a64b3d55294531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D4177B1A-E9BC-42BA-BE25-E272547D6545}"/>
</xltc:personList>
</file>

<file path=xl/theme/theme1.xml><?xml version="1.0" encoding="utf-8"?>
<a:theme xmlns:a="http://schemas.openxmlformats.org/drawingml/2006/main" name="ChatGPT">
  <a:themeElements>
    <a:clrScheme name="Ozzit">
      <a:dk1>
        <a:srgbClr val="04001F"/>
      </a:dk1>
      <a:lt1>
        <a:srgbClr val="FFFFFF"/>
      </a:lt1>
      <a:dk2>
        <a:srgbClr val="000000"/>
      </a:dk2>
      <a:lt2>
        <a:srgbClr val="FFFFF0"/>
      </a:lt2>
      <a:accent1>
        <a:srgbClr val="66023C"/>
      </a:accent1>
      <a:accent2>
        <a:srgbClr val="990024"/>
      </a:accent2>
      <a:accent3>
        <a:srgbClr val="E5E4E2"/>
      </a:accent3>
      <a:accent4>
        <a:srgbClr val="6E6862"/>
      </a:accent4>
      <a:accent5>
        <a:srgbClr val="B1AFAD"/>
      </a:accent5>
      <a:accent6>
        <a:srgbClr val="DCDAD7"/>
      </a:accent6>
      <a:hlink>
        <a:srgbClr val="66023C"/>
      </a:hlink>
      <a:folHlink>
        <a:srgbClr val="990024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zzi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8" dT="2026-08-26T17:21:27.47" personId="{D4177B1A-E9BC-42BA-BE25-E272547D6545}" id="{1CA3A93B-3ADC-827F-8CEE-A811705E1D1F}">
    <xltc:text>Scenario receipt adjustment applies the selected scenario only to current customer receipts, overdue receipts and cash / EFTPOS sales. Week 1 is Actual, so the adjustment is zero.</xltc:text>
  </xltc:threadedComment>
  <xltc:threadedComment ref="B42" dT="2026-08-26T17:21:27.47" personId="{D4177B1A-E9BC-42BA-BE25-E272547D6545}" id="{C97139E3-0479-A622-290F-CDB6923A5A0F}">
    <xltc:text>Scenario payment adjustment applies the selected scenario only to suppliers, marketing, freight / vehicles / travel and other operating payments. Week 1 is Actual, so the adjustment is zero.</xltc:text>
  </xltc:threadedComment>
  <xltc:threadedComment ref="B34" dT="2026-08-26T17:21:27.47" personId="{D4177B1A-E9BC-42BA-BE25-E272547D6545}" id="{D5F90669-03C7-33D3-694B-C09DFC28185D}">
    <xltc:text>GST / BAS cash timing is illustrative. Confirm your entity's reporting cycle, due date and payment arrangement before relying on this forecast.</xltc:text>
  </xltc:threadedComment>
  <xltc:threadedComment ref="B35" dT="2026-08-26T17:21:27.47" personId="{D4177B1A-E9BC-42BA-BE25-E272547D6545}" id="{DBEFEBE9-FE43-5AD0-8C78-F63EFF1E6BF6}">
    <xltc:text>PAYG income-tax instalment timing and amount are illustrative. Confirm the applicable ATO notice and adviser instructions.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e5aa11df1394a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9bf2dbe61baa4bc6" /><Relationship Type="http://schemas.openxmlformats.org/officeDocument/2006/relationships/vmlDrawing" Target="/xl/drawings/vmldrawing.vml" Id="Rfa10216ceddb4f7b" /><Relationship Type="http://schemas.microsoft.com/office/2017/10/relationships/threadedComment" Target="/xl/threadedcomments/threadedcomment.xml" Id="R7f816a05ad4d4c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4" t="str">
        <x:v>Ozzit | 13-Week Cash-Flow Forecast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A practical weekly liquidity model for Australian finance teams and small-business operators.</x:v>
      </x:c>
      <x:c r="B2" s="8"/>
      <x:c r="C2" s="8"/>
      <x:c r="D2" s="8"/>
      <x:c r="E2" s="8"/>
      <x:c r="F2" s="8"/>
      <x:c r="G2" s="8"/>
      <x:c r="H2" s="8"/>
    </x:row>
    <x:row r="3">
      <x:c r="A3" s="75"/>
      <x:c r="B3" s="75"/>
      <x:c r="C3" s="75"/>
      <x:c r="D3" s="75"/>
      <x:c r="E3" s="75"/>
      <x:c r="F3" s="75"/>
      <x:c r="G3" s="75"/>
      <x:c r="H3" s="75"/>
    </x:row>
    <x:row r="4">
      <x:c r="A4" s="10" t="str">
        <x:v>ILLUSTRATIVE DATA | Replace every blue input with your organisation's current cash-flow assumptions.</x:v>
      </x:c>
      <x:c r="B4" s="10"/>
      <x:c r="C4" s="10"/>
      <x:c r="D4" s="10"/>
      <x:c r="E4" s="10"/>
      <x:c r="F4" s="10"/>
      <x:c r="G4" s="10"/>
      <x:c r="H4" s="10"/>
    </x:row>
    <x:row r="5">
      <x:c r="A5" s="75"/>
      <x:c r="B5" s="75"/>
      <x:c r="C5" s="75"/>
      <x:c r="D5" s="75"/>
      <x:c r="E5" s="75"/>
      <x:c r="F5" s="75"/>
      <x:c r="G5" s="75"/>
      <x:c r="H5" s="75"/>
    </x:row>
    <x:row r="6">
      <x:c r="A6" s="75" t="str">
        <x:v>Version</x:v>
      </x:c>
      <x:c r="B6" s="75" t="str">
        <x:v>Release 1.2</x:v>
      </x:c>
      <x:c r="C6" s="75"/>
      <x:c r="D6" s="24" t="str">
        <x:v>Workbook sheets</x:v>
      </x:c>
      <x:c r="E6" s="24"/>
      <x:c r="F6" s="24"/>
      <x:c r="G6" s="24"/>
      <x:c r="H6" s="24"/>
    </x:row>
    <x:row r="7">
      <x:c r="A7" s="75" t="str">
        <x:v>Prepared date</x:v>
      </x:c>
      <x:c r="B7" s="76" t="n">
        <x:v>46261</x:v>
      </x:c>
      <x:c r="C7" s="75"/>
      <x:c r="D7" s="1" t="str">
        <x:v>Dashboard</x:v>
      </x:c>
      <x:c r="E7" s="75"/>
      <x:c r="F7" s="75"/>
      <x:c r="G7" s="75"/>
      <x:c r="H7" s="75"/>
    </x:row>
    <x:row r="8">
      <x:c r="A8" s="75" t="str">
        <x:v>Prepared by</x:v>
      </x:c>
      <x:c r="B8" s="12" t="str">
        <x:f>'Assumptions'!$B$21</x:f>
        <x:v>Finance Manager</x:v>
      </x:c>
      <x:c r="C8" s="75"/>
      <x:c r="D8" s="1" t="str">
        <x:v>Assumptions</x:v>
      </x:c>
      <x:c r="E8" s="75"/>
      <x:c r="F8" s="75"/>
      <x:c r="G8" s="75"/>
      <x:c r="H8" s="75"/>
    </x:row>
    <x:row r="9">
      <x:c r="A9" s="75" t="str">
        <x:v>Reviewed by</x:v>
      </x:c>
      <x:c r="B9" s="12" t="str">
        <x:f>'Assumptions'!$B$22</x:f>
        <x:v>CFO / Business Owner</x:v>
      </x:c>
      <x:c r="C9" s="75"/>
      <x:c r="D9" s="1" t="str">
        <x:v>13-Week Forecast</x:v>
      </x:c>
      <x:c r="E9" s="75"/>
      <x:c r="F9" s="75"/>
      <x:c r="G9" s="75"/>
      <x:c r="H9" s="75"/>
    </x:row>
    <x:row r="10">
      <x:c r="A10" s="75" t="str">
        <x:v>Forecast owner</x:v>
      </x:c>
      <x:c r="B10" s="12" t="str">
        <x:f>'Assumptions'!$B$23</x:f>
        <x:v>Finance Manager</x:v>
      </x:c>
      <x:c r="C10" s="75"/>
      <x:c r="D10" s="1" t="str">
        <x:v>Weekly Review</x:v>
      </x:c>
      <x:c r="E10" s="75"/>
      <x:c r="F10" s="75"/>
      <x:c r="G10" s="75"/>
      <x:c r="H10" s="75"/>
    </x:row>
    <x:row r="11">
      <x:c r="A11" s="75" t="str">
        <x:v>Next review date</x:v>
      </x:c>
      <x:c r="B11" s="13" t="n">
        <x:f>'Assumptions'!$B$24</x:f>
        <x:v>46278</x:v>
      </x:c>
      <x:c r="C11" s="75"/>
      <x:c r="D11" s="1" t="str">
        <x:v>Checks &amp; Sources</x:v>
      </x:c>
      <x:c r="E11" s="75"/>
      <x:c r="F11" s="75"/>
      <x:c r="G11" s="75"/>
      <x:c r="H11" s="75"/>
    </x:row>
    <x:row r="12">
      <x:c r="A12" s="75" t="str">
        <x:v>Currency</x:v>
      </x:c>
      <x:c r="B12" s="75" t="str">
        <x:v>AUD</x:v>
      </x:c>
      <x:c r="C12" s="75"/>
      <x:c r="D12" s="75"/>
      <x:c r="E12" s="75"/>
      <x:c r="F12" s="75"/>
      <x:c r="G12" s="75"/>
      <x:c r="H12" s="75"/>
    </x:row>
    <x:row r="13">
      <x:c r="A13" s="75" t="str">
        <x:v>Units</x:v>
      </x:c>
      <x:c r="B13" s="75" t="str">
        <x:v>Whole dollars</x:v>
      </x:c>
      <x:c r="C13" s="75"/>
      <x:c r="D13" s="75"/>
      <x:c r="E13" s="75"/>
      <x:c r="F13" s="75"/>
      <x:c r="G13" s="75"/>
      <x:c r="H13" s="75"/>
    </x:row>
    <x:row r="14">
      <x:c r="A14" s="75" t="str">
        <x:v>Selected scenario</x:v>
      </x:c>
      <x:c r="B14" s="12" t="str">
        <x:f>'Assumptions'!$B$12</x:f>
        <x:v>Base</x:v>
      </x:c>
      <x:c r="C14" s="75"/>
      <x:c r="D14" s="75"/>
      <x:c r="E14" s="75"/>
      <x:c r="F14" s="75"/>
      <x:c r="G14" s="75"/>
      <x:c r="H14" s="75"/>
    </x:row>
    <x:row r="15">
      <x:c r="A15" s="75"/>
      <x:c r="B15" s="75"/>
      <x:c r="C15" s="75"/>
      <x:c r="D15" s="75"/>
      <x:c r="E15" s="75"/>
      <x:c r="F15" s="75"/>
      <x:c r="G15" s="75"/>
      <x:c r="H15" s="75"/>
    </x:row>
    <x:row r="16">
      <x:c r="A16" s="15" t="str">
        <x:v>Five-step weekly update process</x:v>
      </x:c>
      <x:c r="B16" s="15"/>
      <x:c r="C16" s="15"/>
      <x:c r="D16" s="15"/>
      <x:c r="E16" s="15"/>
      <x:c r="F16" s="15"/>
      <x:c r="G16" s="15"/>
      <x:c r="H16" s="15"/>
    </x:row>
    <x:row r="17">
      <x:c r="A17" s="75" t="str">
        <x:v>1</x:v>
      </x:c>
      <x:c r="B17" s="77" t="str">
        <x:v>Update the Assumptions control panel and selected scenario.</x:v>
      </x:c>
      <x:c r="C17" s="75"/>
      <x:c r="D17" s="75"/>
      <x:c r="E17" s="75"/>
      <x:c r="F17" s="75"/>
      <x:c r="G17" s="75"/>
      <x:c r="H17" s="75"/>
    </x:row>
    <x:row r="18">
      <x:c r="A18" s="75" t="str">
        <x:v>2</x:v>
      </x:c>
      <x:c r="B18" s="77" t="str">
        <x:v>Replace blue cash-receipt and cash-payment inputs with the latest weekly view.</x:v>
      </x:c>
      <x:c r="C18" s="75"/>
      <x:c r="D18" s="75"/>
      <x:c r="E18" s="75"/>
      <x:c r="F18" s="75"/>
      <x:c r="G18" s="75"/>
      <x:c r="H18" s="75"/>
    </x:row>
    <x:row r="19">
      <x:c r="A19" s="75" t="str">
        <x:v>3</x:v>
      </x:c>
      <x:c r="B19" s="77" t="str">
        <x:v>Review closing cash, headroom and liquidity status in the 13-Week Forecast.</x:v>
      </x:c>
      <x:c r="C19" s="75"/>
      <x:c r="D19" s="75"/>
      <x:c r="E19" s="75"/>
      <x:c r="F19" s="75"/>
      <x:c r="G19" s="75"/>
      <x:c r="H19" s="75"/>
    </x:row>
    <x:row r="20">
      <x:c r="A20" s="75" t="str">
        <x:v>4</x:v>
      </x:c>
      <x:c r="B20" s="77" t="str">
        <x:v>Snapshot the original forecast as values, then record actuals and owner commentary in Weekly Review.</x:v>
      </x:c>
      <x:c r="C20" s="75"/>
      <x:c r="D20" s="75"/>
      <x:c r="E20" s="75"/>
      <x:c r="F20" s="75"/>
      <x:c r="G20" s="75"/>
      <x:c r="H20" s="75"/>
    </x:row>
    <x:row r="21">
      <x:c r="A21" s="75" t="str">
        <x:v>5</x:v>
      </x:c>
      <x:c r="B21" s="77" t="str">
        <x:v>Resolve any control failure in Checks &amp; Sources before management review.</x:v>
      </x:c>
      <x:c r="C21" s="75"/>
      <x:c r="D21" s="75"/>
      <x:c r="E21" s="75"/>
      <x:c r="F21" s="75"/>
      <x:c r="G21" s="75"/>
      <x:c r="H21" s="75"/>
    </x:row>
    <x:row r="22">
      <x:c r="A22" s="75"/>
      <x:c r="B22" s="75"/>
      <x:c r="C22" s="75"/>
      <x:c r="D22" s="75"/>
      <x:c r="E22" s="75"/>
      <x:c r="F22" s="75"/>
      <x:c r="G22" s="75"/>
      <x:c r="H22" s="75"/>
    </x:row>
    <x:row r="23">
      <x:c r="A23" s="15" t="str">
        <x:v>Colour legend</x:v>
      </x:c>
      <x:c r="B23" s="15"/>
      <x:c r="C23" s="15"/>
      <x:c r="D23" s="15"/>
      <x:c r="E23" s="15"/>
      <x:c r="F23" s="15"/>
      <x:c r="G23" s="15"/>
      <x:c r="H23" s="15"/>
    </x:row>
    <x:row r="24">
      <x:c r="A24" s="17" t="str">
        <x:v>Blue text / ivory fill</x:v>
      </x:c>
      <x:c r="B24" s="75" t="str">
        <x:v>Editable user input</x:v>
      </x:c>
      <x:c r="C24" s="75"/>
      <x:c r="D24" s="75"/>
      <x:c r="E24" s="75"/>
      <x:c r="F24" s="75"/>
      <x:c r="G24" s="75"/>
      <x:c r="H24" s="75"/>
    </x:row>
    <x:row r="25">
      <x:c r="A25" s="18" t="str">
        <x:v>Black text</x:v>
      </x:c>
      <x:c r="B25" s="75" t="str">
        <x:v>Formula or calculation</x:v>
      </x:c>
      <x:c r="C25" s="75"/>
      <x:c r="D25" s="75"/>
      <x:c r="E25" s="75"/>
      <x:c r="F25" s="75"/>
      <x:c r="G25" s="75"/>
      <x:c r="H25" s="75"/>
    </x:row>
    <x:row r="26">
      <x:c r="A26" s="12" t="str">
        <x:v>Green text</x:v>
      </x:c>
      <x:c r="B26" s="75" t="str">
        <x:v>Cross-sheet link</x:v>
      </x:c>
      <x:c r="C26" s="75"/>
      <x:c r="D26" s="75"/>
      <x:c r="E26" s="75"/>
      <x:c r="F26" s="75"/>
      <x:c r="G26" s="75"/>
      <x:c r="H26" s="75"/>
    </x:row>
    <x:row r="27">
      <x:c r="A27" s="20" t="str">
        <x:v>Red text / pale-red fill</x:v>
      </x:c>
      <x:c r="B27" s="75" t="str">
        <x:v>Warning or exception</x:v>
      </x:c>
      <x:c r="C27" s="75"/>
      <x:c r="D27" s="75"/>
      <x:c r="E27" s="75"/>
      <x:c r="F27" s="75"/>
      <x:c r="G27" s="75"/>
      <x:c r="H27" s="75"/>
    </x:row>
    <x:row r="28">
      <x:c r="A28" s="22" t="str">
        <x:v>Dark green / pale-green fill</x:v>
      </x:c>
      <x:c r="B28" s="75" t="str">
        <x:v>Passing check</x:v>
      </x:c>
      <x:c r="C28" s="75"/>
      <x:c r="D28" s="75"/>
      <x:c r="E28" s="75"/>
      <x:c r="F28" s="75"/>
      <x:c r="G28" s="75"/>
      <x:c r="H28" s="75"/>
    </x:row>
    <x:row r="29">
      <x:c r="A29" s="75"/>
      <x:c r="B29" s="75"/>
      <x:c r="C29" s="75"/>
      <x:c r="D29" s="75"/>
      <x:c r="E29" s="75"/>
      <x:c r="F29" s="75"/>
      <x:c r="G29" s="75"/>
      <x:c r="H29" s="75"/>
    </x:row>
    <x:row r="30">
      <x:c r="A30" s="75"/>
      <x:c r="B30" s="75"/>
      <x:c r="C30" s="75"/>
      <x:c r="D30" s="75"/>
      <x:c r="E30" s="75"/>
      <x:c r="F30" s="75"/>
      <x:c r="G30" s="75"/>
      <x:c r="H30" s="75"/>
    </x:row>
    <x:row r="31">
      <x:c r="A31" s="28" t="str">
        <x:v>Scope limit: this workbook supports short-term cash planning. It is illustrative only and is not tax, payroll, legal or financial advice. Confirm statutory dates and classifications with your adviser.</x:v>
      </x:c>
      <x:c r="B31" s="28"/>
      <x:c r="C31" s="28"/>
      <x:c r="D31" s="28"/>
      <x:c r="E31" s="28"/>
      <x:c r="F31" s="28"/>
      <x:c r="G31" s="28"/>
      <x:c r="H31" s="28"/>
    </x:row>
    <x:row r="32">
      <x:c r="A32" s="28"/>
      <x:c r="B32" s="28"/>
      <x:c r="C32" s="28"/>
      <x:c r="D32" s="28"/>
      <x:c r="E32" s="28"/>
      <x:c r="F32" s="28"/>
      <x:c r="G32" s="28"/>
      <x:c r="H32" s="28"/>
    </x:row>
  </x:sheetData>
  <x:mergeCells>
    <x:mergeCell ref="A1:H1"/>
    <x:mergeCell ref="A2:H2"/>
    <x:mergeCell ref="A4:H4"/>
    <x:mergeCell ref="A31:H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28" customHeight="1">
      <x:c r="A1" s="4" t="str">
        <x:v>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30" customHeight="1">
      <x:c r="A2" s="8" t="str">
        <x:v>Management view. Formula-linked KPI cards, weekly liquidity outlook and native charts.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  <x:c r="P3" s="75"/>
      <x:c r="Q3" s="75"/>
      <x:c r="R3" s="75"/>
      <x:c r="S3" s="75"/>
    </x:row>
    <x:row r="4">
      <x:c r="A4" s="26" t="str">
        <x:v>No cash-flow inputs belong on this sheet. Update Assumptions and the 13-Week Forecast instead.</x:v>
      </x:c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15" t="str">
        <x:v>Week ending</x:v>
      </x:c>
      <x:c r="Q4" s="15" t="str">
        <x:v>Closing cash</x:v>
      </x:c>
      <x:c r="R4" s="15" t="str">
        <x:v>Minimum buffer</x:v>
      </x:c>
      <x:c r="S4" s="75"/>
    </x:row>
    <x:row r="5">
      <x:c r="A5" s="75"/>
      <x:c r="B5" s="75"/>
      <x:c r="C5" s="75"/>
      <x:c r="D5" s="75"/>
      <x:c r="E5" s="75"/>
      <x:c r="F5" s="75"/>
      <x:c r="G5" s="75"/>
      <x:c r="H5" s="75"/>
      <x:c r="I5" s="75"/>
      <x:c r="J5" s="75"/>
      <x:c r="K5" s="75"/>
      <x:c r="L5" s="75"/>
      <x:c r="M5" s="75"/>
      <x:c r="N5" s="75"/>
      <x:c r="O5" s="75"/>
      <x:c r="P5" s="76" t="str">
        <x:f>TEXT('13-Week Forecast'!B$6,"dd mmm")</x:f>
        <x:v>06 Sep</x:v>
      </x:c>
      <x:c r="Q5" s="78" t="n">
        <x:f>'13-Week Forecast'!B$48</x:f>
        <x:v>358000</x:v>
      </x:c>
      <x:c r="R5" s="78" t="n">
        <x:f>'13-Week Forecast'!B$49</x:f>
        <x:v>100000</x:v>
      </x:c>
      <x:c r="S5" s="75"/>
    </x:row>
    <x:row r="6" ht="42" customHeight="1">
      <x:c r="A6" s="61" t="str">
        <x:v>Selected scenario</x:v>
      </x:c>
      <x:c r="B6" s="61" t="str">
        <x:v>Week 13 closing cash</x:v>
      </x:c>
      <x:c r="C6" s="61" t="str">
        <x:v>Lowest closing cash</x:v>
      </x:c>
      <x:c r="D6" s="61" t="str">
        <x:v>Minimum cash buffer</x:v>
      </x:c>
      <x:c r="E6" s="61" t="str">
        <x:v>Minimum headroom</x:v>
      </x:c>
      <x:c r="F6" s="61" t="str">
        <x:v>Weeks below buffer</x:v>
      </x:c>
      <x:c r="G6" s="61" t="str">
        <x:v>13-week net cash change</x:v>
      </x:c>
      <x:c r="H6" s="61" t="str">
        <x:v>Week of lowest cash</x:v>
      </x:c>
      <x:c r="I6" s="61" t="str">
        <x:v>MODEL STATUS</x:v>
      </x:c>
      <x:c r="J6" s="61" t="str">
        <x:v>LIQUIDITY STATUS</x:v>
      </x:c>
      <x:c r="K6" s="75"/>
      <x:c r="L6" s="75"/>
      <x:c r="M6" s="75"/>
      <x:c r="N6" s="75"/>
      <x:c r="O6" s="75"/>
      <x:c r="P6" s="76" t="str">
        <x:f>TEXT('13-Week Forecast'!C$6,"dd mmm")</x:f>
        <x:v>13 Sep</x:v>
      </x:c>
      <x:c r="Q6" s="78" t="n">
        <x:f>'13-Week Forecast'!C$48</x:f>
        <x:v>349000</x:v>
      </x:c>
      <x:c r="R6" s="78" t="n">
        <x:f>'13-Week Forecast'!C$49</x:f>
        <x:v>100000</x:v>
      </x:c>
      <x:c r="S6" s="75"/>
    </x:row>
    <x:row r="7">
      <x:c r="A7" s="64" t="str">
        <x:f>'Assumptions'!$B$12</x:f>
        <x:v>Base</x:v>
      </x:c>
      <x:c r="B7" s="65" t="n">
        <x:f>'13-Week Forecast'!$N$48</x:f>
        <x:v>31000</x:v>
      </x:c>
      <x:c r="C7" s="65" t="n">
        <x:f>MIN('13-Week Forecast'!$B$48:$N$48)</x:f>
        <x:v>31000</x:v>
      </x:c>
      <x:c r="D7" s="65" t="n">
        <x:f>'Assumptions'!$B$11</x:f>
        <x:v>100000</x:v>
      </x:c>
      <x:c r="E7" s="65" t="n">
        <x:f>MIN('13-Week Forecast'!$B$50:$N$50)</x:f>
        <x:v>-69000</x:v>
      </x:c>
      <x:c r="F7" s="64" t="n">
        <x:f>COUNTIF('13-Week Forecast'!$B$50:$N$50,"&lt;0")</x:f>
        <x:v>3</x:v>
      </x:c>
      <x:c r="G7" s="65" t="n">
        <x:f>SUM('13-Week Forecast'!$B$47:$N$47)</x:f>
        <x:v>-369000</x:v>
      </x:c>
      <x:c r="H7" s="66" t="n">
        <x:f>INDEX('13-Week Forecast'!$B$6:$N$6,1,MATCH(C7,'13-Week Forecast'!$B$48:$N$48,0))</x:f>
        <x:v>46355</x:v>
      </x:c>
      <x:c r="I7" s="64" t="str">
        <x:f>'Checks &amp; Sources'!$B$4</x:f>
        <x:v>PASS</x:v>
      </x:c>
      <x:c r="J7" s="64" t="str">
        <x:f>'Checks &amp; Sources'!$E$4</x:f>
        <x:v>ACTION REQUIRED</x:v>
      </x:c>
      <x:c r="K7" s="75"/>
      <x:c r="L7" s="75"/>
      <x:c r="M7" s="75"/>
      <x:c r="N7" s="75"/>
      <x:c r="O7" s="75"/>
      <x:c r="P7" s="76" t="str">
        <x:f>TEXT('13-Week Forecast'!D$6,"dd mmm")</x:f>
        <x:v>20 Sep</x:v>
      </x:c>
      <x:c r="Q7" s="78" t="n">
        <x:f>'13-Week Forecast'!D$48</x:f>
        <x:v>325000</x:v>
      </x:c>
      <x:c r="R7" s="78" t="n">
        <x:f>'13-Week Forecast'!D$49</x:f>
        <x:v>100000</x:v>
      </x:c>
      <x:c r="S7" s="75"/>
    </x:row>
    <x:row r="8">
      <x:c r="A8" s="75"/>
      <x:c r="B8" s="75"/>
      <x:c r="C8" s="75"/>
      <x:c r="D8" s="75"/>
      <x:c r="E8" s="75"/>
      <x:c r="F8" s="75"/>
      <x:c r="G8" s="75"/>
      <x:c r="H8" s="75"/>
      <x:c r="I8" s="75"/>
      <x:c r="J8" s="75"/>
      <x:c r="K8" s="75"/>
      <x:c r="L8" s="75"/>
      <x:c r="M8" s="75"/>
      <x:c r="N8" s="75"/>
      <x:c r="O8" s="75"/>
      <x:c r="P8" s="76" t="str">
        <x:f>TEXT('13-Week Forecast'!E$6,"dd mmm")</x:f>
        <x:v>27 Sep</x:v>
      </x:c>
      <x:c r="Q8" s="78" t="n">
        <x:f>'13-Week Forecast'!E$48</x:f>
        <x:v>293000</x:v>
      </x:c>
      <x:c r="R8" s="78" t="n">
        <x:f>'13-Week Forecast'!E$49</x:f>
        <x:v>100000</x:v>
      </x:c>
      <x:c r="S8" s="75"/>
    </x:row>
    <x:row r="9">
      <x:c r="A9" s="60" t="str">
        <x:v>First buffer breach</x:v>
      </x:c>
      <x:c r="B9" s="60" t="str">
        <x:v>Weeks until breach</x:v>
      </x:c>
      <x:c r="C9" s="60" t="str">
        <x:v>Funding required</x:v>
      </x:c>
      <x:c r="D9" s="60" t="str">
        <x:v>Action deadline</x:v>
      </x:c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5"/>
      <x:c r="P9" s="76" t="str">
        <x:f>TEXT('13-Week Forecast'!F$6,"dd mmm")</x:f>
        <x:v>04 Oct</x:v>
      </x:c>
      <x:c r="Q9" s="78" t="n">
        <x:f>'13-Week Forecast'!F$48</x:f>
        <x:v>201000</x:v>
      </x:c>
      <x:c r="R9" s="78" t="n">
        <x:f>'13-Week Forecast'!F$49</x:f>
        <x:v>100000</x:v>
      </x:c>
      <x:c r="S9" s="75"/>
    </x:row>
    <x:row r="10">
      <x:c r="A10" s="69" t="n">
        <x:f>IF(COUNTIF('13-Week Forecast'!$B$51:$N$51,"BELOW BUFFER")=0,"None",INDEX('13-Week Forecast'!$B$6:$N$6,1,MATCH("BELOW BUFFER",'13-Week Forecast'!$B$51:$N$51,0)))</x:f>
        <x:v>46341</x:v>
      </x:c>
      <x:c r="B10" s="68" t="n">
        <x:f>IF(A10="None","13+",MAX(0,ROUNDUP((A10-'Assumptions'!$B$9)/7,0)))</x:f>
        <x:v>10</x:v>
      </x:c>
      <x:c r="C10" s="70" t="n">
        <x:f>MAX(0,-MIN('13-Week Forecast'!$B$50:$N$50))</x:f>
        <x:v>69000</x:v>
      </x:c>
      <x:c r="D10" s="69" t="n">
        <x:f>IF(A10="None","None",A10-7*'Assumptions'!$B$19)</x:f>
        <x:v>46327</x:v>
      </x:c>
      <x:c r="E10" s="75"/>
      <x:c r="F10" s="75"/>
      <x:c r="G10" s="75"/>
      <x:c r="H10" s="75"/>
      <x:c r="I10" s="75"/>
      <x:c r="J10" s="75"/>
      <x:c r="K10" s="75"/>
      <x:c r="L10" s="75"/>
      <x:c r="M10" s="75"/>
      <x:c r="N10" s="75"/>
      <x:c r="O10" s="75"/>
      <x:c r="P10" s="76" t="str">
        <x:f>TEXT('13-Week Forecast'!G$6,"dd mmm")</x:f>
        <x:v>11 Oct</x:v>
      </x:c>
      <x:c r="Q10" s="78" t="n">
        <x:f>'13-Week Forecast'!G$48</x:f>
        <x:v>133000</x:v>
      </x:c>
      <x:c r="R10" s="78" t="n">
        <x:f>'13-Week Forecast'!G$49</x:f>
        <x:v>100000</x:v>
      </x:c>
      <x:c r="S10" s="75"/>
    </x:row>
    <x:row r="11">
      <x:c r="A11" s="15" t="str">
        <x:v>Week</x:v>
      </x:c>
      <x:c r="B11" s="15" t="str">
        <x:v>Week ending</x:v>
      </x:c>
      <x:c r="C11" s="15" t="str">
        <x:v>Closing cash</x:v>
      </x:c>
      <x:c r="D11" s="15" t="str">
        <x:v>Headroom</x:v>
      </x:c>
      <x:c r="E11" s="15" t="str">
        <x:v>Liquidity status</x:v>
      </x:c>
      <x:c r="F11" s="75"/>
      <x:c r="G11" s="75"/>
      <x:c r="H11" s="75"/>
      <x:c r="I11" s="75"/>
      <x:c r="J11" s="75"/>
      <x:c r="K11" s="75"/>
      <x:c r="L11" s="75"/>
      <x:c r="M11" s="75"/>
      <x:c r="N11" s="75"/>
      <x:c r="O11" s="75"/>
      <x:c r="P11" s="76" t="str">
        <x:f>TEXT('13-Week Forecast'!H$6,"dd mmm")</x:f>
        <x:v>18 Oct</x:v>
      </x:c>
      <x:c r="Q11" s="78" t="n">
        <x:f>'13-Week Forecast'!H$48</x:f>
        <x:v>217000</x:v>
      </x:c>
      <x:c r="R11" s="78" t="n">
        <x:f>'13-Week Forecast'!H$49</x:f>
        <x:v>100000</x:v>
      </x:c>
      <x:c r="S11" s="75"/>
    </x:row>
    <x:row r="12">
      <x:c r="A12" s="75" t="n">
        <x:f>ROW()-11</x:f>
        <x:v>1</x:v>
      </x:c>
      <x:c r="B12" s="13" t="n">
        <x:f>'13-Week Forecast'!B$6</x:f>
        <x:v>46271</x:v>
      </x:c>
      <x:c r="C12" s="46" t="n">
        <x:f>'13-Week Forecast'!B$48</x:f>
        <x:v>358000</x:v>
      </x:c>
      <x:c r="D12" s="46" t="n">
        <x:f>'13-Week Forecast'!B$50</x:f>
        <x:v>258000</x:v>
      </x:c>
      <x:c r="E12" s="12" t="str">
        <x:f>'13-Week Forecast'!B$51</x:f>
        <x:v>OK</x:v>
      </x:c>
      <x:c r="F12" s="75"/>
      <x:c r="G12" s="75"/>
      <x:c r="H12" s="75"/>
      <x:c r="I12" s="75"/>
      <x:c r="J12" s="75"/>
      <x:c r="K12" s="75"/>
      <x:c r="L12" s="75"/>
      <x:c r="M12" s="75"/>
      <x:c r="N12" s="75"/>
      <x:c r="O12" s="75"/>
      <x:c r="P12" s="76" t="str">
        <x:f>TEXT('13-Week Forecast'!I$6,"dd mmm")</x:f>
        <x:v>25 Oct</x:v>
      </x:c>
      <x:c r="Q12" s="78" t="n">
        <x:f>'13-Week Forecast'!I$48</x:f>
        <x:v>160000</x:v>
      </x:c>
      <x:c r="R12" s="78" t="n">
        <x:f>'13-Week Forecast'!I$49</x:f>
        <x:v>100000</x:v>
      </x:c>
      <x:c r="S12" s="75"/>
    </x:row>
    <x:row r="13">
      <x:c r="A13" s="75" t="n">
        <x:f>ROW()-11</x:f>
        <x:v>2</x:v>
      </x:c>
      <x:c r="B13" s="13" t="n">
        <x:f>'13-Week Forecast'!C$6</x:f>
        <x:v>46278</x:v>
      </x:c>
      <x:c r="C13" s="46" t="n">
        <x:f>'13-Week Forecast'!C$48</x:f>
        <x:v>349000</x:v>
      </x:c>
      <x:c r="D13" s="46" t="n">
        <x:f>'13-Week Forecast'!C$50</x:f>
        <x:v>249000</x:v>
      </x:c>
      <x:c r="E13" s="12" t="str">
        <x:f>'13-Week Forecast'!C$51</x:f>
        <x:v>OK</x:v>
      </x:c>
      <x:c r="F13" s="75"/>
      <x:c r="G13" s="75"/>
      <x:c r="H13" s="75"/>
      <x:c r="I13" s="75"/>
      <x:c r="J13" s="75"/>
      <x:c r="K13" s="75"/>
      <x:c r="L13" s="75"/>
      <x:c r="M13" s="75"/>
      <x:c r="N13" s="75"/>
      <x:c r="O13" s="75"/>
      <x:c r="P13" s="76" t="str">
        <x:f>TEXT('13-Week Forecast'!J$6,"dd mmm")</x:f>
        <x:v>01 Nov</x:v>
      </x:c>
      <x:c r="Q13" s="78" t="n">
        <x:f>'13-Week Forecast'!J$48</x:f>
        <x:v>117000</x:v>
      </x:c>
      <x:c r="R13" s="78" t="n">
        <x:f>'13-Week Forecast'!J$49</x:f>
        <x:v>100000</x:v>
      </x:c>
      <x:c r="S13" s="75"/>
    </x:row>
    <x:row r="14">
      <x:c r="A14" s="75" t="n">
        <x:f>ROW()-11</x:f>
        <x:v>3</x:v>
      </x:c>
      <x:c r="B14" s="13" t="n">
        <x:f>'13-Week Forecast'!D$6</x:f>
        <x:v>46285</x:v>
      </x:c>
      <x:c r="C14" s="46" t="n">
        <x:f>'13-Week Forecast'!D$48</x:f>
        <x:v>325000</x:v>
      </x:c>
      <x:c r="D14" s="46" t="n">
        <x:f>'13-Week Forecast'!D$50</x:f>
        <x:v>225000</x:v>
      </x:c>
      <x:c r="E14" s="12" t="str">
        <x:f>'13-Week Forecast'!D$51</x:f>
        <x:v>OK</x:v>
      </x:c>
      <x:c r="F14" s="75"/>
      <x:c r="G14" s="75"/>
      <x:c r="H14" s="75"/>
      <x:c r="I14" s="75"/>
      <x:c r="J14" s="75"/>
      <x:c r="K14" s="75"/>
      <x:c r="L14" s="75"/>
      <x:c r="M14" s="75"/>
      <x:c r="N14" s="75"/>
      <x:c r="O14" s="75"/>
      <x:c r="P14" s="76" t="str">
        <x:f>TEXT('13-Week Forecast'!K$6,"dd mmm")</x:f>
        <x:v>08 Nov</x:v>
      </x:c>
      <x:c r="Q14" s="78" t="n">
        <x:f>'13-Week Forecast'!K$48</x:f>
        <x:v>137000</x:v>
      </x:c>
      <x:c r="R14" s="78" t="n">
        <x:f>'13-Week Forecast'!K$49</x:f>
        <x:v>100000</x:v>
      </x:c>
      <x:c r="S14" s="75"/>
    </x:row>
    <x:row r="15">
      <x:c r="A15" s="75" t="n">
        <x:f>ROW()-11</x:f>
        <x:v>4</x:v>
      </x:c>
      <x:c r="B15" s="13" t="n">
        <x:f>'13-Week Forecast'!E$6</x:f>
        <x:v>46292</x:v>
      </x:c>
      <x:c r="C15" s="46" t="n">
        <x:f>'13-Week Forecast'!E$48</x:f>
        <x:v>293000</x:v>
      </x:c>
      <x:c r="D15" s="46" t="n">
        <x:f>'13-Week Forecast'!E$50</x:f>
        <x:v>193000</x:v>
      </x:c>
      <x:c r="E15" s="12" t="str">
        <x:f>'13-Week Forecast'!E$51</x:f>
        <x:v>OK</x:v>
      </x:c>
      <x:c r="F15" s="75"/>
      <x:c r="G15" s="75"/>
      <x:c r="H15" s="75"/>
      <x:c r="I15" s="75"/>
      <x:c r="J15" s="75"/>
      <x:c r="K15" s="75"/>
      <x:c r="L15" s="75"/>
      <x:c r="M15" s="75"/>
      <x:c r="N15" s="75"/>
      <x:c r="O15" s="75"/>
      <x:c r="P15" s="76" t="str">
        <x:f>TEXT('13-Week Forecast'!L$6,"dd mmm")</x:f>
        <x:v>15 Nov</x:v>
      </x:c>
      <x:c r="Q15" s="78" t="n">
        <x:f>'13-Week Forecast'!L$48</x:f>
        <x:v>99000</x:v>
      </x:c>
      <x:c r="R15" s="78" t="n">
        <x:f>'13-Week Forecast'!L$49</x:f>
        <x:v>100000</x:v>
      </x:c>
      <x:c r="S15" s="75"/>
    </x:row>
    <x:row r="16">
      <x:c r="A16" s="75" t="n">
        <x:f>ROW()-11</x:f>
        <x:v>5</x:v>
      </x:c>
      <x:c r="B16" s="13" t="n">
        <x:f>'13-Week Forecast'!F$6</x:f>
        <x:v>46299</x:v>
      </x:c>
      <x:c r="C16" s="46" t="n">
        <x:f>'13-Week Forecast'!F$48</x:f>
        <x:v>201000</x:v>
      </x:c>
      <x:c r="D16" s="46" t="n">
        <x:f>'13-Week Forecast'!F$50</x:f>
        <x:v>101000</x:v>
      </x:c>
      <x:c r="E16" s="12" t="str">
        <x:f>'13-Week Forecast'!F$51</x:f>
        <x:v>OK</x:v>
      </x:c>
      <x:c r="F16" s="75"/>
      <x:c r="G16" s="75"/>
      <x:c r="H16" s="75"/>
      <x:c r="I16" s="75"/>
      <x:c r="J16" s="75"/>
      <x:c r="K16" s="75"/>
      <x:c r="L16" s="75"/>
      <x:c r="M16" s="75"/>
      <x:c r="N16" s="75"/>
      <x:c r="O16" s="75"/>
      <x:c r="P16" s="76" t="str">
        <x:f>TEXT('13-Week Forecast'!M$6,"dd mmm")</x:f>
        <x:v>22 Nov</x:v>
      </x:c>
      <x:c r="Q16" s="78" t="n">
        <x:f>'13-Week Forecast'!M$48</x:f>
        <x:v>82000</x:v>
      </x:c>
      <x:c r="R16" s="78" t="n">
        <x:f>'13-Week Forecast'!M$49</x:f>
        <x:v>100000</x:v>
      </x:c>
      <x:c r="S16" s="75"/>
    </x:row>
    <x:row r="17">
      <x:c r="A17" s="75" t="n">
        <x:f>ROW()-11</x:f>
        <x:v>6</x:v>
      </x:c>
      <x:c r="B17" s="13" t="n">
        <x:f>'13-Week Forecast'!G$6</x:f>
        <x:v>46306</x:v>
      </x:c>
      <x:c r="C17" s="46" t="n">
        <x:f>'13-Week Forecast'!G$48</x:f>
        <x:v>133000</x:v>
      </x:c>
      <x:c r="D17" s="46" t="n">
        <x:f>'13-Week Forecast'!G$50</x:f>
        <x:v>33000</x:v>
      </x:c>
      <x:c r="E17" s="12" t="str">
        <x:f>'13-Week Forecast'!G$51</x:f>
        <x:v>OK</x:v>
      </x:c>
      <x:c r="F17" s="75"/>
      <x:c r="G17" s="75"/>
      <x:c r="H17" s="75"/>
      <x:c r="I17" s="75"/>
      <x:c r="J17" s="75"/>
      <x:c r="K17" s="75"/>
      <x:c r="L17" s="75"/>
      <x:c r="M17" s="75"/>
      <x:c r="N17" s="75"/>
      <x:c r="O17" s="75"/>
      <x:c r="P17" s="76" t="str">
        <x:f>TEXT('13-Week Forecast'!N$6,"dd mmm")</x:f>
        <x:v>29 Nov</x:v>
      </x:c>
      <x:c r="Q17" s="78" t="n">
        <x:f>'13-Week Forecast'!N$48</x:f>
        <x:v>31000</x:v>
      </x:c>
      <x:c r="R17" s="78" t="n">
        <x:f>'13-Week Forecast'!N$49</x:f>
        <x:v>100000</x:v>
      </x:c>
      <x:c r="S17" s="75"/>
    </x:row>
    <x:row r="18">
      <x:c r="A18" s="75" t="n">
        <x:f>ROW()-11</x:f>
        <x:v>7</x:v>
      </x:c>
      <x:c r="B18" s="13" t="n">
        <x:f>'13-Week Forecast'!H$6</x:f>
        <x:v>46313</x:v>
      </x:c>
      <x:c r="C18" s="46" t="n">
        <x:f>'13-Week Forecast'!H$48</x:f>
        <x:v>217000</x:v>
      </x:c>
      <x:c r="D18" s="46" t="n">
        <x:f>'13-Week Forecast'!H$50</x:f>
        <x:v>117000</x:v>
      </x:c>
      <x:c r="E18" s="12" t="str">
        <x:f>'13-Week Forecast'!H$51</x:f>
        <x:v>OK</x:v>
      </x:c>
      <x:c r="F18" s="75"/>
      <x:c r="G18" s="75"/>
      <x:c r="H18" s="75"/>
      <x:c r="I18" s="75"/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</x:row>
    <x:row r="19">
      <x:c r="A19" s="75" t="n">
        <x:f>ROW()-11</x:f>
        <x:v>8</x:v>
      </x:c>
      <x:c r="B19" s="13" t="n">
        <x:f>'13-Week Forecast'!I$6</x:f>
        <x:v>46320</x:v>
      </x:c>
      <x:c r="C19" s="46" t="n">
        <x:f>'13-Week Forecast'!I$48</x:f>
        <x:v>160000</x:v>
      </x:c>
      <x:c r="D19" s="46" t="n">
        <x:f>'13-Week Forecast'!I$50</x:f>
        <x:v>60000</x:v>
      </x:c>
      <x:c r="E19" s="12" t="str">
        <x:f>'13-Week Forecast'!I$51</x:f>
        <x:v>OK</x:v>
      </x:c>
      <x:c r="F19" s="75"/>
      <x:c r="G19" s="75"/>
      <x:c r="H19" s="75"/>
      <x:c r="I19" s="75"/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</x:row>
    <x:row r="20">
      <x:c r="A20" s="75" t="n">
        <x:f>ROW()-11</x:f>
        <x:v>9</x:v>
      </x:c>
      <x:c r="B20" s="13" t="n">
        <x:f>'13-Week Forecast'!J$6</x:f>
        <x:v>46327</x:v>
      </x:c>
      <x:c r="C20" s="46" t="n">
        <x:f>'13-Week Forecast'!J$48</x:f>
        <x:v>117000</x:v>
      </x:c>
      <x:c r="D20" s="46" t="n">
        <x:f>'13-Week Forecast'!J$50</x:f>
        <x:v>17000</x:v>
      </x:c>
      <x:c r="E20" s="12" t="str">
        <x:f>'13-Week Forecast'!J$51</x:f>
        <x:v>WATCH</x:v>
      </x:c>
      <x:c r="F20" s="75"/>
      <x:c r="G20" s="75"/>
      <x:c r="H20" s="75"/>
      <x:c r="I20" s="75"/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</x:row>
    <x:row r="21">
      <x:c r="A21" s="75" t="n">
        <x:f>ROW()-11</x:f>
        <x:v>10</x:v>
      </x:c>
      <x:c r="B21" s="13" t="n">
        <x:f>'13-Week Forecast'!K$6</x:f>
        <x:v>46334</x:v>
      </x:c>
      <x:c r="C21" s="46" t="n">
        <x:f>'13-Week Forecast'!K$48</x:f>
        <x:v>137000</x:v>
      </x:c>
      <x:c r="D21" s="46" t="n">
        <x:f>'13-Week Forecast'!K$50</x:f>
        <x:v>37000</x:v>
      </x:c>
      <x:c r="E21" s="12" t="str">
        <x:f>'13-Week Forecast'!K$51</x:f>
        <x:v>OK</x:v>
      </x:c>
      <x:c r="F21" s="75"/>
      <x:c r="G21" s="75"/>
      <x:c r="H21" s="75"/>
      <x:c r="I21" s="75"/>
      <x:c r="J21" s="75"/>
      <x:c r="K21" s="75"/>
      <x:c r="L21" s="75"/>
      <x:c r="M21" s="75"/>
      <x:c r="N21" s="75"/>
      <x:c r="O21" s="75"/>
      <x:c r="P21" s="15" t="str">
        <x:v>Week ending</x:v>
      </x:c>
      <x:c r="Q21" s="15" t="str">
        <x:v>Total cash receipts</x:v>
      </x:c>
      <x:c r="R21" s="15" t="str">
        <x:v>Total cash payments</x:v>
      </x:c>
      <x:c r="S21" s="75"/>
    </x:row>
    <x:row r="22">
      <x:c r="A22" s="75" t="n">
        <x:f>ROW()-11</x:f>
        <x:v>11</x:v>
      </x:c>
      <x:c r="B22" s="13" t="n">
        <x:f>'13-Week Forecast'!L$6</x:f>
        <x:v>46341</x:v>
      </x:c>
      <x:c r="C22" s="46" t="n">
        <x:f>'13-Week Forecast'!L$48</x:f>
        <x:v>99000</x:v>
      </x:c>
      <x:c r="D22" s="46" t="n">
        <x:f>'13-Week Forecast'!L$50</x:f>
        <x:v>-1000</x:v>
      </x:c>
      <x:c r="E22" s="12" t="str">
        <x:f>'13-Week Forecast'!L$51</x:f>
        <x:v>BELOW BUFFER</x:v>
      </x:c>
      <x:c r="F22" s="75"/>
      <x:c r="G22" s="75"/>
      <x:c r="H22" s="75"/>
      <x:c r="I22" s="75"/>
      <x:c r="J22" s="75"/>
      <x:c r="K22" s="75"/>
      <x:c r="L22" s="75"/>
      <x:c r="M22" s="75"/>
      <x:c r="N22" s="75"/>
      <x:c r="O22" s="75"/>
      <x:c r="P22" s="76" t="str">
        <x:f>TEXT('13-Week Forecast'!B$6,"dd mmm")</x:f>
        <x:v>06 Sep</x:v>
      </x:c>
      <x:c r="Q22" s="78" t="n">
        <x:f>'13-Week Forecast'!B$19</x:f>
        <x:v>170000</x:v>
      </x:c>
      <x:c r="R22" s="78" t="n">
        <x:f>'13-Week Forecast'!B$43</x:f>
        <x:v>212000</x:v>
      </x:c>
      <x:c r="S22" s="75"/>
    </x:row>
    <x:row r="23">
      <x:c r="A23" s="75" t="n">
        <x:f>ROW()-11</x:f>
        <x:v>12</x:v>
      </x:c>
      <x:c r="B23" s="13" t="n">
        <x:f>'13-Week Forecast'!M$6</x:f>
        <x:v>46348</x:v>
      </x:c>
      <x:c r="C23" s="46" t="n">
        <x:f>'13-Week Forecast'!M$48</x:f>
        <x:v>82000</x:v>
      </x:c>
      <x:c r="D23" s="46" t="n">
        <x:f>'13-Week Forecast'!M$50</x:f>
        <x:v>-18000</x:v>
      </x:c>
      <x:c r="E23" s="12" t="str">
        <x:f>'13-Week Forecast'!M$51</x:f>
        <x:v>BELOW BUFFER</x:v>
      </x:c>
      <x:c r="F23" s="75"/>
      <x:c r="G23" s="75"/>
      <x:c r="H23" s="75"/>
      <x:c r="I23" s="75"/>
      <x:c r="J23" s="75"/>
      <x:c r="K23" s="75"/>
      <x:c r="L23" s="75"/>
      <x:c r="M23" s="75"/>
      <x:c r="N23" s="75"/>
      <x:c r="O23" s="75"/>
      <x:c r="P23" s="76" t="str">
        <x:f>TEXT('13-Week Forecast'!C$6,"dd mmm")</x:f>
        <x:v>13 Sep</x:v>
      </x:c>
      <x:c r="Q23" s="78" t="n">
        <x:f>'13-Week Forecast'!C$19</x:f>
        <x:v>169000</x:v>
      </x:c>
      <x:c r="R23" s="78" t="n">
        <x:f>'13-Week Forecast'!C$43</x:f>
        <x:v>178000</x:v>
      </x:c>
      <x:c r="S23" s="75"/>
    </x:row>
    <x:row r="24">
      <x:c r="A24" s="75" t="n">
        <x:f>ROW()-11</x:f>
        <x:v>13</x:v>
      </x:c>
      <x:c r="B24" s="13" t="n">
        <x:f>'13-Week Forecast'!N$6</x:f>
        <x:v>46355</x:v>
      </x:c>
      <x:c r="C24" s="46" t="n">
        <x:f>'13-Week Forecast'!N$48</x:f>
        <x:v>31000</x:v>
      </x:c>
      <x:c r="D24" s="46" t="n">
        <x:f>'13-Week Forecast'!N$50</x:f>
        <x:v>-69000</x:v>
      </x:c>
      <x:c r="E24" s="12" t="str">
        <x:f>'13-Week Forecast'!N$51</x:f>
        <x:v>BELOW BUFFER</x:v>
      </x:c>
      <x:c r="F24" s="75"/>
      <x:c r="G24" s="75"/>
      <x:c r="H24" s="75"/>
      <x:c r="I24" s="75"/>
      <x:c r="J24" s="75"/>
      <x:c r="K24" s="75"/>
      <x:c r="L24" s="75"/>
      <x:c r="M24" s="75"/>
      <x:c r="N24" s="75"/>
      <x:c r="O24" s="75"/>
      <x:c r="P24" s="76" t="str">
        <x:f>TEXT('13-Week Forecast'!D$6,"dd mmm")</x:f>
        <x:v>20 Sep</x:v>
      </x:c>
      <x:c r="Q24" s="78" t="n">
        <x:f>'13-Week Forecast'!D$19</x:f>
        <x:v>158000</x:v>
      </x:c>
      <x:c r="R24" s="78" t="n">
        <x:f>'13-Week Forecast'!D$43</x:f>
        <x:v>182000</x:v>
      </x:c>
      <x:c r="S24" s="75"/>
    </x:row>
    <x:row r="25">
      <x:c r="A25" s="75"/>
      <x:c r="B25" s="75"/>
      <x:c r="C25" s="75"/>
      <x:c r="D25" s="75"/>
      <x:c r="E25" s="75"/>
      <x:c r="F25" s="75"/>
      <x:c r="G25" s="75"/>
      <x:c r="H25" s="75"/>
      <x:c r="I25" s="75"/>
      <x:c r="J25" s="75"/>
      <x:c r="K25" s="75"/>
      <x:c r="L25" s="75"/>
      <x:c r="M25" s="75"/>
      <x:c r="N25" s="75"/>
      <x:c r="O25" s="75"/>
      <x:c r="P25" s="76" t="str">
        <x:f>TEXT('13-Week Forecast'!E$6,"dd mmm")</x:f>
        <x:v>27 Sep</x:v>
      </x:c>
      <x:c r="Q25" s="78" t="n">
        <x:f>'13-Week Forecast'!E$19</x:f>
        <x:v>147000</x:v>
      </x:c>
      <x:c r="R25" s="78" t="n">
        <x:f>'13-Week Forecast'!E$43</x:f>
        <x:v>179000</x:v>
      </x:c>
      <x:c r="S25" s="75"/>
    </x:row>
    <x:row r="26">
      <x:c r="A26" s="75"/>
      <x:c r="B26" s="75"/>
      <x:c r="C26" s="75"/>
      <x:c r="D26" s="75"/>
      <x:c r="E26" s="75"/>
      <x:c r="F26" s="75"/>
      <x:c r="G26" s="75"/>
      <x:c r="H26" s="75"/>
      <x:c r="I26" s="75"/>
      <x:c r="J26" s="75"/>
      <x:c r="K26" s="75"/>
      <x:c r="L26" s="75"/>
      <x:c r="M26" s="75"/>
      <x:c r="N26" s="75"/>
      <x:c r="O26" s="75"/>
      <x:c r="P26" s="76" t="str">
        <x:f>TEXT('13-Week Forecast'!F$6,"dd mmm")</x:f>
        <x:v>04 Oct</x:v>
      </x:c>
      <x:c r="Q26" s="78" t="n">
        <x:f>'13-Week Forecast'!F$19</x:f>
        <x:v>140000</x:v>
      </x:c>
      <x:c r="R26" s="78" t="n">
        <x:f>'13-Week Forecast'!F$43</x:f>
        <x:v>232000</x:v>
      </x:c>
      <x:c r="S26" s="75"/>
    </x:row>
    <x:row r="27">
      <x:c r="A27" s="47" t="str">
        <x:v>Scenario</x:v>
      </x:c>
      <x:c r="B27" s="47" t="str">
        <x:v>Week 13 cash</x:v>
      </x:c>
      <x:c r="C27" s="47" t="str">
        <x:v>Minimum cash</x:v>
      </x:c>
      <x:c r="D27" s="47" t="str">
        <x:v>First buffer breach</x:v>
      </x:c>
      <x:c r="E27" s="47" t="str">
        <x:v>Funding required</x:v>
      </x:c>
      <x:c r="F27" s="75"/>
      <x:c r="G27" s="75"/>
      <x:c r="H27" s="75"/>
      <x:c r="I27" s="75"/>
      <x:c r="J27" s="75"/>
      <x:c r="K27" s="75"/>
      <x:c r="L27" s="75"/>
      <x:c r="M27" s="75"/>
      <x:c r="N27" s="75"/>
      <x:c r="O27" s="75"/>
      <x:c r="P27" s="76" t="str">
        <x:f>TEXT('13-Week Forecast'!G$6,"dd mmm")</x:f>
        <x:v>11 Oct</x:v>
      </x:c>
      <x:c r="Q27" s="78" t="n">
        <x:f>'13-Week Forecast'!G$19</x:f>
        <x:v>141000</x:v>
      </x:c>
      <x:c r="R27" s="78" t="n">
        <x:f>'13-Week Forecast'!G$43</x:f>
        <x:v>209000</x:v>
      </x:c>
      <x:c r="S27" s="75"/>
    </x:row>
    <x:row r="28">
      <x:c r="A28" s="12" t="str">
        <x:f>'Assumptions'!$B$15</x:f>
        <x:v>Base</x:v>
      </x:c>
      <x:c r="B28" s="78" t="n">
        <x:f>Q49</x:f>
        <x:v>31000</x:v>
      </x:c>
      <x:c r="C28" s="78" t="n">
        <x:f>MIN(Q37:Q49)</x:f>
        <x:v>31000</x:v>
      </x:c>
      <x:c r="D28" s="76" t="n">
        <x:f>IF(Q37&lt;'Assumptions'!$B$11,P37,IF(Q38&lt;'Assumptions'!$B$11,P38,IF(Q39&lt;'Assumptions'!$B$11,P39,IF(Q40&lt;'Assumptions'!$B$11,P40,IF(Q41&lt;'Assumptions'!$B$11,P41,IF(Q42&lt;'Assumptions'!$B$11,P42,IF(Q43&lt;'Assumptions'!$B$11,P43,IF(Q44&lt;'Assumptions'!$B$11,P44,IF(Q45&lt;'Assumptions'!$B$11,P45,IF(Q46&lt;'Assumptions'!$B$11,P46,IF(Q47&lt;'Assumptions'!$B$11,P47,IF(Q48&lt;'Assumptions'!$B$11,P48,IF(Q49&lt;'Assumptions'!$B$11,P49,"None")))))))))))))</x:f>
        <x:v>46341</x:v>
      </x:c>
      <x:c r="E28" s="78" t="n">
        <x:f>MAX(0,'Assumptions'!$B$11-MIN(Q37:Q49))</x:f>
        <x:v>69000</x:v>
      </x:c>
      <x:c r="F28" s="75"/>
      <x:c r="G28" s="75"/>
      <x:c r="H28" s="75"/>
      <x:c r="I28" s="75"/>
      <x:c r="J28" s="75"/>
      <x:c r="K28" s="75"/>
      <x:c r="L28" s="75"/>
      <x:c r="M28" s="75"/>
      <x:c r="N28" s="75"/>
      <x:c r="O28" s="75"/>
      <x:c r="P28" s="76" t="str">
        <x:f>TEXT('13-Week Forecast'!H$6,"dd mmm")</x:f>
        <x:v>18 Oct</x:v>
      </x:c>
      <x:c r="Q28" s="78" t="n">
        <x:f>'13-Week Forecast'!H$19</x:f>
        <x:v>281000</x:v>
      </x:c>
      <x:c r="R28" s="78" t="n">
        <x:f>'13-Week Forecast'!H$43</x:f>
        <x:v>197000</x:v>
      </x:c>
      <x:c r="S28" s="75"/>
    </x:row>
    <x:row r="29">
      <x:c r="A29" s="12" t="str">
        <x:f>'Assumptions'!$B$16</x:f>
        <x:v>Upside</x:v>
      </x:c>
      <x:c r="B29" s="78" t="n">
        <x:f>R49</x:f>
        <x:v>199320</x:v>
      </x:c>
      <x:c r="C29" s="78" t="n">
        <x:f>MIN(R37:R49)</x:f>
        <x:v>199320</x:v>
      </x:c>
      <x:c r="D29" s="76" t="str">
        <x:f>IF(R37&lt;'Assumptions'!$B$11,P37,IF(R38&lt;'Assumptions'!$B$11,P38,IF(R39&lt;'Assumptions'!$B$11,P39,IF(R40&lt;'Assumptions'!$B$11,P40,IF(R41&lt;'Assumptions'!$B$11,P41,IF(R42&lt;'Assumptions'!$B$11,P42,IF(R43&lt;'Assumptions'!$B$11,P43,IF(R44&lt;'Assumptions'!$B$11,P44,IF(R45&lt;'Assumptions'!$B$11,P45,IF(R46&lt;'Assumptions'!$B$11,P46,IF(R47&lt;'Assumptions'!$B$11,P47,IF(R48&lt;'Assumptions'!$B$11,P48,IF(R49&lt;'Assumptions'!$B$11,P49,"None")))))))))))))</x:f>
        <x:v>None</x:v>
      </x:c>
      <x:c r="E29" s="78" t="n">
        <x:f>MAX(0,'Assumptions'!$B$11-MIN(R37:R49))</x:f>
        <x:v>0</x:v>
      </x:c>
      <x:c r="F29" s="75"/>
      <x:c r="G29" s="75"/>
      <x:c r="H29" s="75"/>
      <x:c r="I29" s="75"/>
      <x:c r="J29" s="75"/>
      <x:c r="K29" s="75"/>
      <x:c r="L29" s="75"/>
      <x:c r="M29" s="75"/>
      <x:c r="N29" s="75"/>
      <x:c r="O29" s="75"/>
      <x:c r="P29" s="76" t="str">
        <x:f>TEXT('13-Week Forecast'!I$6,"dd mmm")</x:f>
        <x:v>25 Oct</x:v>
      </x:c>
      <x:c r="Q29" s="78" t="n">
        <x:f>'13-Week Forecast'!I$19</x:f>
        <x:v>135000</x:v>
      </x:c>
      <x:c r="R29" s="78" t="n">
        <x:f>'13-Week Forecast'!I$43</x:f>
        <x:v>192000</x:v>
      </x:c>
      <x:c r="S29" s="75"/>
    </x:row>
    <x:row r="30">
      <x:c r="A30" s="12" t="str">
        <x:f>'Assumptions'!$B$17</x:f>
        <x:v>Downside</x:v>
      </x:c>
      <x:c r="B30" s="78" t="n">
        <x:f>S49</x:f>
        <x:v>-302550</x:v>
      </x:c>
      <x:c r="C30" s="78" t="n">
        <x:f>MIN(S37:S49)</x:f>
        <x:v>-302550</x:v>
      </x:c>
      <x:c r="D30" s="76" t="n">
        <x:f>IF(S37&lt;'Assumptions'!$B$11,P37,IF(S38&lt;'Assumptions'!$B$11,P38,IF(S39&lt;'Assumptions'!$B$11,P39,IF(S40&lt;'Assumptions'!$B$11,P40,IF(S41&lt;'Assumptions'!$B$11,P41,IF(S42&lt;'Assumptions'!$B$11,P42,IF(S43&lt;'Assumptions'!$B$11,P43,IF(S44&lt;'Assumptions'!$B$11,P44,IF(S45&lt;'Assumptions'!$B$11,P45,IF(S46&lt;'Assumptions'!$B$11,P46,IF(S47&lt;'Assumptions'!$B$11,P47,IF(S48&lt;'Assumptions'!$B$11,P48,IF(S49&lt;'Assumptions'!$B$11,P49,"None")))))))))))))</x:f>
        <x:v>46299</x:v>
      </x:c>
      <x:c r="E30" s="78" t="n">
        <x:f>MAX(0,'Assumptions'!$B$11-MIN(S37:S49))</x:f>
        <x:v>402550</x:v>
      </x:c>
      <x:c r="F30" s="75"/>
      <x:c r="G30" s="75"/>
      <x:c r="H30" s="75"/>
      <x:c r="I30" s="75"/>
      <x:c r="J30" s="75"/>
      <x:c r="K30" s="75"/>
      <x:c r="L30" s="75"/>
      <x:c r="M30" s="75"/>
      <x:c r="N30" s="75"/>
      <x:c r="O30" s="75"/>
      <x:c r="P30" s="76" t="str">
        <x:f>TEXT('13-Week Forecast'!J$6,"dd mmm")</x:f>
        <x:v>01 Nov</x:v>
      </x:c>
      <x:c r="Q30" s="78" t="n">
        <x:f>'13-Week Forecast'!J$19</x:f>
        <x:v>264000</x:v>
      </x:c>
      <x:c r="R30" s="78" t="n">
        <x:f>'13-Week Forecast'!J$43</x:f>
        <x:v>307000</x:v>
      </x:c>
      <x:c r="S30" s="75"/>
    </x:row>
    <x:row r="31">
      <x:c r="A31" s="75"/>
      <x:c r="B31" s="75"/>
      <x:c r="C31" s="75"/>
      <x:c r="D31" s="75"/>
      <x:c r="E31" s="75"/>
      <x:c r="F31" s="75"/>
      <x:c r="G31" s="75"/>
      <x:c r="H31" s="75"/>
      <x:c r="I31" s="75"/>
      <x:c r="J31" s="75"/>
      <x:c r="K31" s="75"/>
      <x:c r="L31" s="75"/>
      <x:c r="M31" s="75"/>
      <x:c r="N31" s="75"/>
      <x:c r="O31" s="75"/>
      <x:c r="P31" s="76" t="str">
        <x:f>TEXT('13-Week Forecast'!K$6,"dd mmm")</x:f>
        <x:v>08 Nov</x:v>
      </x:c>
      <x:c r="Q31" s="78" t="n">
        <x:f>'13-Week Forecast'!K$19</x:f>
        <x:v>249000</x:v>
      </x:c>
      <x:c r="R31" s="78" t="n">
        <x:f>'13-Week Forecast'!K$43</x:f>
        <x:v>229000</x:v>
      </x:c>
      <x:c r="S31" s="75"/>
    </x:row>
    <x:row r="32" ht="34" customHeight="1">
      <x:c r="A32" s="61" t="str">
        <x:v>Weeks actualised</x:v>
      </x:c>
      <x:c r="B32" s="61" t="str">
        <x:v>Receipt variance %</x:v>
      </x:c>
      <x:c r="C32" s="61" t="str">
        <x:v>Payment variance %</x:v>
      </x:c>
      <x:c r="D32" s="61" t="str">
        <x:v>Closing-cash bias</x:v>
      </x:c>
      <x:c r="E32" s="61" t="str">
        <x:v>Review completeness</x:v>
      </x:c>
      <x:c r="F32" s="75"/>
      <x:c r="G32" s="75"/>
      <x:c r="H32" s="75"/>
      <x:c r="I32" s="75"/>
      <x:c r="J32" s="75"/>
      <x:c r="K32" s="75"/>
      <x:c r="L32" s="75"/>
      <x:c r="M32" s="75"/>
      <x:c r="N32" s="75"/>
      <x:c r="O32" s="75"/>
      <x:c r="P32" s="76" t="str">
        <x:f>TEXT('13-Week Forecast'!L$6,"dd mmm")</x:f>
        <x:v>15 Nov</x:v>
      </x:c>
      <x:c r="Q32" s="78" t="n">
        <x:f>'13-Week Forecast'!L$19</x:f>
        <x:v>154000</x:v>
      </x:c>
      <x:c r="R32" s="78" t="n">
        <x:f>'13-Week Forecast'!L$43</x:f>
        <x:v>192000</x:v>
      </x:c>
      <x:c r="S32" s="75"/>
    </x:row>
    <x:row r="33">
      <x:c r="A33" s="68" t="n">
        <x:f>COUNTIFS('Weekly Review'!$D$6:$D$18,"&lt;&gt;",'Weekly Review'!$H$6:$H$18,"&lt;&gt;",'Weekly Review'!$L$6:$L$18,"&lt;&gt;")</x:f>
        <x:v>0</x:v>
      </x:c>
      <x:c r="B33" s="71" t="str">
        <x:f>IF(A33=0,"",IF(SUMIF('Weekly Review'!$D$6:$D$18,"&lt;&gt;",'Weekly Review'!$C$6:$C$18)=0,"",SUM('Weekly Review'!$E$6:$E$18)/SUMIF('Weekly Review'!$D$6:$D$18,"&lt;&gt;",'Weekly Review'!$C$6:$C$18)))</x:f>
      </x:c>
      <x:c r="C33" s="71" t="str">
        <x:f>IF(A33=0,"",IF(SUMIF('Weekly Review'!$H$6:$H$18,"&lt;&gt;",'Weekly Review'!$G$6:$G$18)=0,"",SUM('Weekly Review'!$I$6:$I$18)/SUMIF('Weekly Review'!$H$6:$H$18,"&lt;&gt;",'Weekly Review'!$G$6:$G$18)))</x:f>
      </x:c>
      <x:c r="D33" s="70" t="str">
        <x:f>IF(A33=0,"",SUMIFS('Weekly Review'!$M$6:$M$18,'Weekly Review'!$D$6:$D$18,"&lt;&gt;",'Weekly Review'!$H$6:$H$18,"&lt;&gt;",'Weekly Review'!$L$6:$L$18,"&lt;&gt;")/A33)</x:f>
      </x:c>
      <x:c r="E33" s="68" t="str">
        <x:f>IF(COUNTIF('Weekly Review'!$O$6:$O$18,"INCOMPLETE")&gt;0,"INCOMPLETE",IF(COUNTIF('Weekly Review'!$O$6:$O$18,"COMPLETE")&gt;0,"COMPLETE","NOT STARTED"))</x:f>
        <x:v>NOT STARTED</x:v>
      </x:c>
      <x:c r="F33" s="75"/>
      <x:c r="G33" s="75"/>
      <x:c r="H33" s="75"/>
      <x:c r="I33" s="75"/>
      <x:c r="J33" s="75"/>
      <x:c r="K33" s="75"/>
      <x:c r="L33" s="75"/>
      <x:c r="M33" s="75"/>
      <x:c r="N33" s="75"/>
      <x:c r="O33" s="75"/>
      <x:c r="P33" s="76" t="str">
        <x:f>TEXT('13-Week Forecast'!M$6,"dd mmm")</x:f>
        <x:v>22 Nov</x:v>
      </x:c>
      <x:c r="Q33" s="78" t="n">
        <x:f>'13-Week Forecast'!M$19</x:f>
        <x:v>162000</x:v>
      </x:c>
      <x:c r="R33" s="78" t="n">
        <x:f>'13-Week Forecast'!M$43</x:f>
        <x:v>179000</x:v>
      </x:c>
      <x:c r="S33" s="75"/>
    </x:row>
    <x:row r="34">
      <x:c r="A34" s="75"/>
      <x:c r="B34" s="75"/>
      <x:c r="C34" s="75"/>
      <x:c r="D34" s="75"/>
      <x:c r="E34" s="75"/>
      <x:c r="F34" s="75"/>
      <x:c r="G34" s="75"/>
      <x:c r="H34" s="75"/>
      <x:c r="I34" s="75"/>
      <x:c r="J34" s="75"/>
      <x:c r="K34" s="75"/>
      <x:c r="L34" s="75"/>
      <x:c r="M34" s="75"/>
      <x:c r="N34" s="75"/>
      <x:c r="O34" s="75"/>
      <x:c r="P34" s="76" t="str">
        <x:f>TEXT('13-Week Forecast'!N$6,"dd mmm")</x:f>
        <x:v>29 Nov</x:v>
      </x:c>
      <x:c r="Q34" s="78" t="n">
        <x:f>'13-Week Forecast'!N$19</x:f>
        <x:v>168000</x:v>
      </x:c>
      <x:c r="R34" s="78" t="n">
        <x:f>'13-Week Forecast'!N$43</x:f>
        <x:v>219000</x:v>
      </x:c>
      <x:c r="S34" s="75"/>
    </x:row>
    <x:row r="35">
      <x:c r="A35" s="74" t="str">
        <x:v>Accuracy measures remain blank until actuals are entered. Positive receipt and payment variance is favourable; positive closing-cash bias means actual cash exceeded forecast.</x:v>
      </x:c>
      <x:c r="B35" s="74"/>
      <x:c r="C35" s="74"/>
      <x:c r="D35" s="74"/>
      <x:c r="E35" s="74"/>
      <x:c r="F35" s="75"/>
      <x:c r="G35" s="75"/>
      <x:c r="H35" s="75"/>
      <x:c r="I35" s="75"/>
      <x:c r="J35" s="75"/>
      <x:c r="K35" s="75"/>
      <x:c r="L35" s="75"/>
      <x:c r="M35" s="75"/>
      <x:c r="N35" s="75"/>
      <x:c r="O35" s="75"/>
      <x:c r="P35" s="75"/>
      <x:c r="Q35" s="75"/>
      <x:c r="R35" s="75"/>
      <x:c r="S35" s="75"/>
    </x:row>
    <x:row r="36">
      <x:c r="A36" s="74"/>
      <x:c r="B36" s="74"/>
      <x:c r="C36" s="74"/>
      <x:c r="D36" s="74"/>
      <x:c r="E36" s="74"/>
      <x:c r="F36" s="75"/>
      <x:c r="G36" s="75"/>
      <x:c r="H36" s="75"/>
      <x:c r="I36" s="75"/>
      <x:c r="J36" s="75"/>
      <x:c r="K36" s="75"/>
      <x:c r="L36" s="75"/>
      <x:c r="M36" s="75"/>
      <x:c r="N36" s="75"/>
      <x:c r="O36" s="75"/>
      <x:c r="P36" s="15" t="str">
        <x:v>Week ending</x:v>
      </x:c>
      <x:c r="Q36" s="15" t="str">
        <x:v>Base closing cash</x:v>
      </x:c>
      <x:c r="R36" s="15" t="str">
        <x:v>Upside closing cash</x:v>
      </x:c>
      <x:c r="S36" s="15" t="str">
        <x:v>Downside closing cash</x:v>
      </x:c>
    </x:row>
    <x:row r="37">
      <x:c r="A37" s="75"/>
      <x:c r="B37" s="75"/>
      <x:c r="C37" s="75"/>
      <x:c r="D37" s="75"/>
      <x:c r="E37" s="75"/>
      <x:c r="F37" s="75"/>
      <x:c r="G37" s="75"/>
      <x:c r="H37" s="75"/>
      <x:c r="I37" s="75"/>
      <x:c r="J37" s="75"/>
      <x:c r="K37" s="75"/>
      <x:c r="L37" s="75"/>
      <x:c r="M37" s="75"/>
      <x:c r="N37" s="75"/>
      <x:c r="O37" s="75"/>
      <x:c r="P37" s="76" t="n">
        <x:f>'13-Week Forecast'!B$6</x:f>
        <x:v>46271</x:v>
      </x:c>
      <x:c r="Q37" s="78" t="n">
        <x:f>'Assumptions'!$B$10+SUM('13-Week Forecast'!B10:B17)+IF('13-Week Forecast'!B$7="Actual",0,SUM('13-Week Forecast'!B10:B12)*('Assumptions'!$C$15-1))-(SUM('13-Week Forecast'!B22:B41)+IF('13-Week Forecast'!B$7="Actual",0,SUM('13-Week Forecast'!B22,'13-Week Forecast'!B31,'13-Week Forecast'!B33,'13-Week Forecast'!B41)*('Assumptions'!$D$15-1)))</x:f>
        <x:v>358000</x:v>
      </x:c>
      <x:c r="R37" s="78" t="n">
        <x:f>'Assumptions'!$B$10+SUM('13-Week Forecast'!B10:B17)+IF('13-Week Forecast'!B$7="Actual",0,SUM('13-Week Forecast'!B10:B12)*('Assumptions'!$C$16-1))-(SUM('13-Week Forecast'!B22:B41)+IF('13-Week Forecast'!B$7="Actual",0,SUM('13-Week Forecast'!B22,'13-Week Forecast'!B31,'13-Week Forecast'!B33,'13-Week Forecast'!B41)*('Assumptions'!$D$16-1)))</x:f>
        <x:v>358000</x:v>
      </x:c>
      <x:c r="S37" s="78" t="n">
        <x:f>'Assumptions'!$B$10+SUM('13-Week Forecast'!B10:B17)+IF('13-Week Forecast'!B$7="Actual",0,SUM('13-Week Forecast'!B10:B12)*('Assumptions'!$C$17-1))-(SUM('13-Week Forecast'!B22:B41)+IF('13-Week Forecast'!B$7="Actual",0,SUM('13-Week Forecast'!B22,'13-Week Forecast'!B31,'13-Week Forecast'!B33,'13-Week Forecast'!B41)*('Assumptions'!$D$17-1)))</x:f>
        <x:v>358000</x:v>
      </x:c>
    </x:row>
    <x:row r="38">
      <x:c r="A38" s="75"/>
      <x:c r="B38" s="75"/>
      <x:c r="C38" s="75"/>
      <x:c r="D38" s="75"/>
      <x:c r="E38" s="75"/>
      <x:c r="F38" s="75"/>
      <x:c r="G38" s="75"/>
      <x:c r="H38" s="75"/>
      <x:c r="I38" s="75"/>
      <x:c r="J38" s="75"/>
      <x:c r="K38" s="75"/>
      <x:c r="L38" s="75"/>
      <x:c r="M38" s="75"/>
      <x:c r="N38" s="75"/>
      <x:c r="O38" s="75"/>
      <x:c r="P38" s="76" t="n">
        <x:f>'13-Week Forecast'!C$6</x:f>
        <x:v>46278</x:v>
      </x:c>
      <x:c r="Q38" s="78" t="n">
        <x:f>Q37+SUM('13-Week Forecast'!C10:C17)+IF('13-Week Forecast'!C$7="Actual",0,SUM('13-Week Forecast'!C10:C12)*('Assumptions'!$C$15-1))-(SUM('13-Week Forecast'!C22:C41)+IF('13-Week Forecast'!C$7="Actual",0,SUM('13-Week Forecast'!C22,'13-Week Forecast'!C31,'13-Week Forecast'!C33,'13-Week Forecast'!C41)*('Assumptions'!$D$15-1)))</x:f>
        <x:v>349000</x:v>
      </x:c>
      <x:c r="R38" s="78" t="n">
        <x:f>R37+SUM('13-Week Forecast'!C10:C17)+IF('13-Week Forecast'!C$7="Actual",0,SUM('13-Week Forecast'!C10:C12)*('Assumptions'!$C$16-1))-(SUM('13-Week Forecast'!C22:C41)+IF('13-Week Forecast'!C$7="Actual",0,SUM('13-Week Forecast'!C22,'13-Week Forecast'!C31,'13-Week Forecast'!C33,'13-Week Forecast'!C41)*('Assumptions'!$D$16-1)))</x:f>
        <x:v>364380</x:v>
      </x:c>
      <x:c r="S38" s="78" t="n">
        <x:f>S37+SUM('13-Week Forecast'!C10:C17)+IF('13-Week Forecast'!C$7="Actual",0,SUM('13-Week Forecast'!C10:C12)*('Assumptions'!$C$17-1))-(SUM('13-Week Forecast'!C22:C41)+IF('13-Week Forecast'!C$7="Actual",0,SUM('13-Week Forecast'!C22,'13-Week Forecast'!C31,'13-Week Forecast'!C33,'13-Week Forecast'!C41)*('Assumptions'!$D$17-1)))</x:f>
        <x:v>318800</x:v>
      </x:c>
    </x:row>
    <x:row r="39">
      <x:c r="A39" s="75"/>
      <x:c r="B39" s="75"/>
      <x:c r="C39" s="75"/>
      <x:c r="D39" s="75"/>
      <x:c r="E39" s="75"/>
      <x:c r="F39" s="75"/>
      <x:c r="G39" s="75"/>
      <x:c r="H39" s="75"/>
      <x:c r="I39" s="75"/>
      <x:c r="J39" s="75"/>
      <x:c r="K39" s="75"/>
      <x:c r="L39" s="75"/>
      <x:c r="M39" s="75"/>
      <x:c r="N39" s="75"/>
      <x:c r="O39" s="75"/>
      <x:c r="P39" s="76" t="n">
        <x:f>'13-Week Forecast'!D$6</x:f>
        <x:v>46285</x:v>
      </x:c>
      <x:c r="Q39" s="78" t="n">
        <x:f>Q38+SUM('13-Week Forecast'!D10:D17)+IF('13-Week Forecast'!D$7="Actual",0,SUM('13-Week Forecast'!D10:D12)*('Assumptions'!$C$15-1))-(SUM('13-Week Forecast'!D22:D41)+IF('13-Week Forecast'!D$7="Actual",0,SUM('13-Week Forecast'!D22,'13-Week Forecast'!D31,'13-Week Forecast'!D33,'13-Week Forecast'!D41)*('Assumptions'!$D$15-1)))</x:f>
        <x:v>325000</x:v>
      </x:c>
      <x:c r="R39" s="78" t="n">
        <x:f>R38+SUM('13-Week Forecast'!D10:D17)+IF('13-Week Forecast'!D$7="Actual",0,SUM('13-Week Forecast'!D10:D12)*('Assumptions'!$C$16-1))-(SUM('13-Week Forecast'!D22:D41)+IF('13-Week Forecast'!D$7="Actual",0,SUM('13-Week Forecast'!D22,'13-Week Forecast'!D31,'13-Week Forecast'!D33,'13-Week Forecast'!D41)*('Assumptions'!$D$16-1)))</x:f>
        <x:v>354920</x:v>
      </x:c>
      <x:c r="S39" s="78" t="n">
        <x:f>S38+SUM('13-Week Forecast'!D10:D17)+IF('13-Week Forecast'!D$7="Actual",0,SUM('13-Week Forecast'!D10:D12)*('Assumptions'!$C$17-1))-(SUM('13-Week Forecast'!D22:D41)+IF('13-Week Forecast'!D$7="Actual",0,SUM('13-Week Forecast'!D22,'13-Week Forecast'!D31,'13-Week Forecast'!D33,'13-Week Forecast'!D41)*('Assumptions'!$D$17-1)))</x:f>
        <x:v>266150</x:v>
      </x:c>
    </x:row>
    <x:row r="40">
      <x:c r="A40" s="75"/>
      <x:c r="B40" s="75"/>
      <x:c r="C40" s="75"/>
      <x:c r="D40" s="75"/>
      <x:c r="E40" s="75"/>
      <x:c r="F40" s="75"/>
      <x:c r="G40" s="75"/>
      <x:c r="H40" s="75"/>
      <x:c r="I40" s="75"/>
      <x:c r="J40" s="75"/>
      <x:c r="K40" s="75"/>
      <x:c r="L40" s="75"/>
      <x:c r="M40" s="75"/>
      <x:c r="N40" s="75"/>
      <x:c r="O40" s="75"/>
      <x:c r="P40" s="76" t="n">
        <x:f>'13-Week Forecast'!E$6</x:f>
        <x:v>46292</x:v>
      </x:c>
      <x:c r="Q40" s="78" t="n">
        <x:f>Q39+SUM('13-Week Forecast'!E10:E17)+IF('13-Week Forecast'!E$7="Actual",0,SUM('13-Week Forecast'!E10:E12)*('Assumptions'!$C$15-1))-(SUM('13-Week Forecast'!E22:E41)+IF('13-Week Forecast'!E$7="Actual",0,SUM('13-Week Forecast'!E22,'13-Week Forecast'!E31,'13-Week Forecast'!E33,'13-Week Forecast'!E41)*('Assumptions'!$D$15-1)))</x:f>
        <x:v>293000</x:v>
      </x:c>
      <x:c r="R40" s="78" t="n">
        <x:f>R39+SUM('13-Week Forecast'!E10:E17)+IF('13-Week Forecast'!E$7="Actual",0,SUM('13-Week Forecast'!E10:E12)*('Assumptions'!$C$16-1))-(SUM('13-Week Forecast'!E22:E41)+IF('13-Week Forecast'!E$7="Actual",0,SUM('13-Week Forecast'!E22,'13-Week Forecast'!E31,'13-Week Forecast'!E33,'13-Week Forecast'!E41)*('Assumptions'!$D$16-1)))</x:f>
        <x:v>336680</x:v>
      </x:c>
      <x:c r="S40" s="78" t="n">
        <x:f>S39+SUM('13-Week Forecast'!E10:E17)+IF('13-Week Forecast'!E$7="Actual",0,SUM('13-Week Forecast'!E10:E12)*('Assumptions'!$C$17-1))-(SUM('13-Week Forecast'!E22:E41)+IF('13-Week Forecast'!E$7="Actual",0,SUM('13-Week Forecast'!E22,'13-Week Forecast'!E31,'13-Week Forecast'!E33,'13-Week Forecast'!E41)*('Assumptions'!$D$17-1)))</x:f>
        <x:v>206900</x:v>
      </x:c>
    </x:row>
    <x:row r="41">
      <x:c r="A41" s="75"/>
      <x:c r="B41" s="75"/>
      <x:c r="C41" s="75"/>
      <x:c r="D41" s="75"/>
      <x:c r="E41" s="75"/>
      <x:c r="F41" s="75"/>
      <x:c r="G41" s="75"/>
      <x:c r="H41" s="75"/>
      <x:c r="I41" s="75"/>
      <x:c r="J41" s="75"/>
      <x:c r="K41" s="75"/>
      <x:c r="L41" s="75"/>
      <x:c r="M41" s="75"/>
      <x:c r="N41" s="75"/>
      <x:c r="O41" s="75"/>
      <x:c r="P41" s="76" t="n">
        <x:f>'13-Week Forecast'!F$6</x:f>
        <x:v>46299</x:v>
      </x:c>
      <x:c r="Q41" s="78" t="n">
        <x:f>Q40+SUM('13-Week Forecast'!F10:F17)+IF('13-Week Forecast'!F$7="Actual",0,SUM('13-Week Forecast'!F10:F12)*('Assumptions'!$C$15-1))-(SUM('13-Week Forecast'!F22:F41)+IF('13-Week Forecast'!F$7="Actual",0,SUM('13-Week Forecast'!F22,'13-Week Forecast'!F31,'13-Week Forecast'!F33,'13-Week Forecast'!F41)*('Assumptions'!$D$15-1)))</x:f>
        <x:v>201000</x:v>
      </x:c>
      <x:c r="R41" s="78" t="n">
        <x:f>R40+SUM('13-Week Forecast'!F10:F17)+IF('13-Week Forecast'!F$7="Actual",0,SUM('13-Week Forecast'!F10:F12)*('Assumptions'!$C$16-1))-(SUM('13-Week Forecast'!F22:F41)+IF('13-Week Forecast'!F$7="Actual",0,SUM('13-Week Forecast'!F22,'13-Week Forecast'!F31,'13-Week Forecast'!F33,'13-Week Forecast'!F41)*('Assumptions'!$D$16-1)))</x:f>
        <x:v>257940</x:v>
      </x:c>
      <x:c r="S41" s="78" t="n">
        <x:f>S40+SUM('13-Week Forecast'!F10:F17)+IF('13-Week Forecast'!F$7="Actual",0,SUM('13-Week Forecast'!F10:F12)*('Assumptions'!$C$17-1))-(SUM('13-Week Forecast'!F22:F41)+IF('13-Week Forecast'!F$7="Actual",0,SUM('13-Week Forecast'!F22,'13-Week Forecast'!F31,'13-Week Forecast'!F33,'13-Week Forecast'!F41)*('Assumptions'!$D$17-1)))</x:f>
        <x:v>88550</x:v>
      </x:c>
    </x:row>
    <x:row r="42">
      <x:c r="A42" s="75"/>
      <x:c r="B42" s="75"/>
      <x:c r="C42" s="75"/>
      <x:c r="D42" s="75"/>
      <x:c r="E42" s="75"/>
      <x:c r="F42" s="75"/>
      <x:c r="G42" s="75"/>
      <x:c r="H42" s="75"/>
      <x:c r="I42" s="75"/>
      <x:c r="J42" s="75"/>
      <x:c r="K42" s="75"/>
      <x:c r="L42" s="75"/>
      <x:c r="M42" s="75"/>
      <x:c r="N42" s="75"/>
      <x:c r="O42" s="75"/>
      <x:c r="P42" s="76" t="n">
        <x:f>'13-Week Forecast'!G$6</x:f>
        <x:v>46306</x:v>
      </x:c>
      <x:c r="Q42" s="78" t="n">
        <x:f>Q41+SUM('13-Week Forecast'!G10:G17)+IF('13-Week Forecast'!G$7="Actual",0,SUM('13-Week Forecast'!G10:G12)*('Assumptions'!$C$15-1))-(SUM('13-Week Forecast'!G22:G41)+IF('13-Week Forecast'!G$7="Actual",0,SUM('13-Week Forecast'!G22,'13-Week Forecast'!G31,'13-Week Forecast'!G33,'13-Week Forecast'!G41)*('Assumptions'!$D$15-1)))</x:f>
        <x:v>133000</x:v>
      </x:c>
      <x:c r="R42" s="78" t="n">
        <x:f>R41+SUM('13-Week Forecast'!G10:G17)+IF('13-Week Forecast'!G$7="Actual",0,SUM('13-Week Forecast'!G10:G12)*('Assumptions'!$C$16-1))-(SUM('13-Week Forecast'!G22:G41)+IF('13-Week Forecast'!G$7="Actual",0,SUM('13-Week Forecast'!G22,'13-Week Forecast'!G31,'13-Week Forecast'!G33,'13-Week Forecast'!G41)*('Assumptions'!$D$16-1)))</x:f>
        <x:v>203320</x:v>
      </x:c>
      <x:c r="S42" s="78" t="n">
        <x:f>S41+SUM('13-Week Forecast'!G10:G17)+IF('13-Week Forecast'!G$7="Actual",0,SUM('13-Week Forecast'!G10:G12)*('Assumptions'!$C$17-1))-(SUM('13-Week Forecast'!G22:G41)+IF('13-Week Forecast'!G$7="Actual",0,SUM('13-Week Forecast'!G22,'13-Week Forecast'!G31,'13-Week Forecast'!G33,'13-Week Forecast'!G41)*('Assumptions'!$D$17-1)))</x:f>
        <x:v>-6050</x:v>
      </x:c>
    </x:row>
    <x:row r="43">
      <x:c r="A43" s="75"/>
      <x:c r="B43" s="75"/>
      <x:c r="C43" s="75"/>
      <x:c r="D43" s="75"/>
      <x:c r="E43" s="75"/>
      <x:c r="F43" s="75"/>
      <x:c r="G43" s="75"/>
      <x:c r="H43" s="75"/>
      <x:c r="I43" s="75"/>
      <x:c r="J43" s="75"/>
      <x:c r="K43" s="75"/>
      <x:c r="L43" s="75"/>
      <x:c r="M43" s="75"/>
      <x:c r="N43" s="75"/>
      <x:c r="O43" s="75"/>
      <x:c r="P43" s="76" t="n">
        <x:f>'13-Week Forecast'!H$6</x:f>
        <x:v>46313</x:v>
      </x:c>
      <x:c r="Q43" s="78" t="n">
        <x:f>Q42+SUM('13-Week Forecast'!H10:H17)+IF('13-Week Forecast'!H$7="Actual",0,SUM('13-Week Forecast'!H10:H12)*('Assumptions'!$C$15-1))-(SUM('13-Week Forecast'!H22:H41)+IF('13-Week Forecast'!H$7="Actual",0,SUM('13-Week Forecast'!H22,'13-Week Forecast'!H31,'13-Week Forecast'!H33,'13-Week Forecast'!H41)*('Assumptions'!$D$15-1)))</x:f>
        <x:v>217000</x:v>
      </x:c>
      <x:c r="R43" s="78" t="n">
        <x:f>R42+SUM('13-Week Forecast'!H10:H17)+IF('13-Week Forecast'!H$7="Actual",0,SUM('13-Week Forecast'!H10:H12)*('Assumptions'!$C$16-1))-(SUM('13-Week Forecast'!H22:H41)+IF('13-Week Forecast'!H$7="Actual",0,SUM('13-Week Forecast'!H22,'13-Week Forecast'!H31,'13-Week Forecast'!H33,'13-Week Forecast'!H41)*('Assumptions'!$D$16-1)))</x:f>
        <x:v>300000</x:v>
      </x:c>
      <x:c r="S43" s="78" t="n">
        <x:f>S42+SUM('13-Week Forecast'!H10:H17)+IF('13-Week Forecast'!H$7="Actual",0,SUM('13-Week Forecast'!H10:H12)*('Assumptions'!$C$17-1))-(SUM('13-Week Forecast'!H22:H41)+IF('13-Week Forecast'!H$7="Actual",0,SUM('13-Week Forecast'!H22,'13-Week Forecast'!H31,'13-Week Forecast'!H33,'13-Week Forecast'!H41)*('Assumptions'!$D$17-1)))</x:f>
        <x:v>52600</x:v>
      </x:c>
    </x:row>
    <x:row r="44">
      <x:c r="A44" s="75"/>
      <x:c r="B44" s="75"/>
      <x:c r="C44" s="75"/>
      <x:c r="D44" s="75"/>
      <x:c r="E44" s="75"/>
      <x:c r="F44" s="75"/>
      <x:c r="G44" s="75"/>
      <x:c r="H44" s="75"/>
      <x:c r="I44" s="75"/>
      <x:c r="J44" s="75"/>
      <x:c r="K44" s="75"/>
      <x:c r="L44" s="75"/>
      <x:c r="M44" s="75"/>
      <x:c r="N44" s="75"/>
      <x:c r="O44" s="75"/>
      <x:c r="P44" s="76" t="n">
        <x:f>'13-Week Forecast'!I$6</x:f>
        <x:v>46320</x:v>
      </x:c>
      <x:c r="Q44" s="78" t="n">
        <x:f>Q43+SUM('13-Week Forecast'!I10:I17)+IF('13-Week Forecast'!I$7="Actual",0,SUM('13-Week Forecast'!I10:I12)*('Assumptions'!$C$15-1))-(SUM('13-Week Forecast'!I22:I41)+IF('13-Week Forecast'!I$7="Actual",0,SUM('13-Week Forecast'!I22,'13-Week Forecast'!I31,'13-Week Forecast'!I33,'13-Week Forecast'!I41)*('Assumptions'!$D$15-1)))</x:f>
        <x:v>160000</x:v>
      </x:c>
      <x:c r="R44" s="78" t="n">
        <x:f>R43+SUM('13-Week Forecast'!I10:I17)+IF('13-Week Forecast'!I$7="Actual",0,SUM('13-Week Forecast'!I10:I12)*('Assumptions'!$C$16-1))-(SUM('13-Week Forecast'!I22:I41)+IF('13-Week Forecast'!I$7="Actual",0,SUM('13-Week Forecast'!I22,'13-Week Forecast'!I31,'13-Week Forecast'!I33,'13-Week Forecast'!I41)*('Assumptions'!$D$16-1)))</x:f>
        <x:v>256060</x:v>
      </x:c>
      <x:c r="S44" s="78" t="n">
        <x:f>S43+SUM('13-Week Forecast'!I10:I17)+IF('13-Week Forecast'!I$7="Actual",0,SUM('13-Week Forecast'!I10:I12)*('Assumptions'!$C$17-1))-(SUM('13-Week Forecast'!I22:I41)+IF('13-Week Forecast'!I$7="Actual",0,SUM('13-Week Forecast'!I22,'13-Week Forecast'!I31,'13-Week Forecast'!I33,'13-Week Forecast'!I41)*('Assumptions'!$D$17-1)))</x:f>
        <x:v>-30500</x:v>
      </x:c>
    </x:row>
    <x:row r="45">
      <x:c r="A45" s="75"/>
      <x:c r="B45" s="75"/>
      <x:c r="C45" s="75"/>
      <x:c r="D45" s="75"/>
      <x:c r="E45" s="75"/>
      <x:c r="F45" s="75"/>
      <x:c r="G45" s="75"/>
      <x:c r="H45" s="75"/>
      <x:c r="I45" s="75"/>
      <x:c r="J45" s="75"/>
      <x:c r="K45" s="75"/>
      <x:c r="L45" s="75"/>
      <x:c r="M45" s="75"/>
      <x:c r="N45" s="75"/>
      <x:c r="O45" s="75"/>
      <x:c r="P45" s="76" t="n">
        <x:f>'13-Week Forecast'!J$6</x:f>
        <x:v>46327</x:v>
      </x:c>
      <x:c r="Q45" s="78" t="n">
        <x:f>Q44+SUM('13-Week Forecast'!J10:J17)+IF('13-Week Forecast'!J$7="Actual",0,SUM('13-Week Forecast'!J10:J12)*('Assumptions'!$C$15-1))-(SUM('13-Week Forecast'!J22:J41)+IF('13-Week Forecast'!J$7="Actual",0,SUM('13-Week Forecast'!J22,'13-Week Forecast'!J31,'13-Week Forecast'!J33,'13-Week Forecast'!J41)*('Assumptions'!$D$15-1)))</x:f>
        <x:v>117000</x:v>
      </x:c>
      <x:c r="R45" s="78" t="n">
        <x:f>R44+SUM('13-Week Forecast'!J10:J17)+IF('13-Week Forecast'!J$7="Actual",0,SUM('13-Week Forecast'!J10:J12)*('Assumptions'!$C$16-1))-(SUM('13-Week Forecast'!J22:J41)+IF('13-Week Forecast'!J$7="Actual",0,SUM('13-Week Forecast'!J22,'13-Week Forecast'!J31,'13-Week Forecast'!J33,'13-Week Forecast'!J41)*('Assumptions'!$D$16-1)))</x:f>
        <x:v>226480</x:v>
      </x:c>
      <x:c r="S45" s="78" t="n">
        <x:f>S44+SUM('13-Week Forecast'!J10:J17)+IF('13-Week Forecast'!J$7="Actual",0,SUM('13-Week Forecast'!J10:J12)*('Assumptions'!$C$17-1))-(SUM('13-Week Forecast'!J22:J41)+IF('13-Week Forecast'!J$7="Actual",0,SUM('13-Week Forecast'!J22,'13-Week Forecast'!J31,'13-Week Forecast'!J33,'13-Week Forecast'!J41)*('Assumptions'!$D$17-1)))</x:f>
        <x:v>-100300</x:v>
      </x:c>
    </x:row>
    <x:row r="46">
      <x:c r="A46" s="75"/>
      <x:c r="B46" s="75"/>
      <x:c r="C46" s="75"/>
      <x:c r="D46" s="75"/>
      <x:c r="E46" s="75"/>
      <x:c r="F46" s="75"/>
      <x:c r="G46" s="75"/>
      <x:c r="H46" s="75"/>
      <x:c r="I46" s="75"/>
      <x:c r="J46" s="75"/>
      <x:c r="K46" s="75"/>
      <x:c r="L46" s="75"/>
      <x:c r="M46" s="75"/>
      <x:c r="N46" s="75"/>
      <x:c r="O46" s="75"/>
      <x:c r="P46" s="76" t="n">
        <x:f>'13-Week Forecast'!K$6</x:f>
        <x:v>46334</x:v>
      </x:c>
      <x:c r="Q46" s="78" t="n">
        <x:f>Q45+SUM('13-Week Forecast'!K10:K17)+IF('13-Week Forecast'!K$7="Actual",0,SUM('13-Week Forecast'!K10:K12)*('Assumptions'!$C$15-1))-(SUM('13-Week Forecast'!K22:K41)+IF('13-Week Forecast'!K$7="Actual",0,SUM('13-Week Forecast'!K22,'13-Week Forecast'!K31,'13-Week Forecast'!K33,'13-Week Forecast'!K41)*('Assumptions'!$D$15-1)))</x:f>
        <x:v>137000</x:v>
      </x:c>
      <x:c r="R46" s="78" t="n">
        <x:f>R45+SUM('13-Week Forecast'!K10:K17)+IF('13-Week Forecast'!K$7="Actual",0,SUM('13-Week Forecast'!K10:K12)*('Assumptions'!$C$16-1))-(SUM('13-Week Forecast'!K22:K41)+IF('13-Week Forecast'!K$7="Actual",0,SUM('13-Week Forecast'!K22,'13-Week Forecast'!K31,'13-Week Forecast'!K33,'13-Week Forecast'!K41)*('Assumptions'!$D$16-1)))</x:f>
        <x:v>260600</x:v>
      </x:c>
      <x:c r="S46" s="78" t="n">
        <x:f>S45+SUM('13-Week Forecast'!K10:K17)+IF('13-Week Forecast'!K$7="Actual",0,SUM('13-Week Forecast'!K10:K12)*('Assumptions'!$C$17-1))-(SUM('13-Week Forecast'!K22:K41)+IF('13-Week Forecast'!K$7="Actual",0,SUM('13-Week Forecast'!K22,'13-Week Forecast'!K31,'13-Week Forecast'!K33,'13-Week Forecast'!K41)*('Assumptions'!$D$17-1)))</x:f>
        <x:v>-108350</x:v>
      </x:c>
    </x:row>
    <x:row r="47">
      <x:c r="A47" s="75"/>
      <x:c r="B47" s="75"/>
      <x:c r="C47" s="75"/>
      <x:c r="D47" s="75"/>
      <x:c r="E47" s="75"/>
      <x:c r="F47" s="75"/>
      <x:c r="G47" s="75"/>
      <x:c r="H47" s="75"/>
      <x:c r="I47" s="75"/>
      <x:c r="J47" s="75"/>
      <x:c r="K47" s="75"/>
      <x:c r="L47" s="75"/>
      <x:c r="M47" s="75"/>
      <x:c r="N47" s="75"/>
      <x:c r="O47" s="75"/>
      <x:c r="P47" s="76" t="n">
        <x:f>'13-Week Forecast'!L$6</x:f>
        <x:v>46341</x:v>
      </x:c>
      <x:c r="Q47" s="78" t="n">
        <x:f>Q46+SUM('13-Week Forecast'!L10:L17)+IF('13-Week Forecast'!L$7="Actual",0,SUM('13-Week Forecast'!L10:L12)*('Assumptions'!$C$15-1))-(SUM('13-Week Forecast'!L22:L41)+IF('13-Week Forecast'!L$7="Actual",0,SUM('13-Week Forecast'!L22,'13-Week Forecast'!L31,'13-Week Forecast'!L33,'13-Week Forecast'!L41)*('Assumptions'!$D$15-1)))</x:f>
        <x:v>99000</x:v>
      </x:c>
      <x:c r="R47" s="78" t="n">
        <x:f>R46+SUM('13-Week Forecast'!L10:L17)+IF('13-Week Forecast'!L$7="Actual",0,SUM('13-Week Forecast'!L10:L12)*('Assumptions'!$C$16-1))-(SUM('13-Week Forecast'!L22:L41)+IF('13-Week Forecast'!L$7="Actual",0,SUM('13-Week Forecast'!L22,'13-Week Forecast'!L31,'13-Week Forecast'!L33,'13-Week Forecast'!L41)*('Assumptions'!$D$16-1)))</x:f>
        <x:v>237020</x:v>
      </x:c>
      <x:c r="S47" s="78" t="n">
        <x:f>S46+SUM('13-Week Forecast'!L10:L17)+IF('13-Week Forecast'!L$7="Actual",0,SUM('13-Week Forecast'!L10:L12)*('Assumptions'!$C$17-1))-(SUM('13-Week Forecast'!L22:L41)+IF('13-Week Forecast'!L$7="Actual",0,SUM('13-Week Forecast'!L22,'13-Week Forecast'!L31,'13-Week Forecast'!L33,'13-Week Forecast'!L41)*('Assumptions'!$D$17-1)))</x:f>
        <x:v>-174900</x:v>
      </x:c>
    </x:row>
    <x:row r="48">
      <x:c r="A48" s="75"/>
      <x:c r="B48" s="75"/>
      <x:c r="C48" s="75"/>
      <x:c r="D48" s="75"/>
      <x:c r="E48" s="75"/>
      <x:c r="F48" s="75"/>
      <x:c r="G48" s="75"/>
      <x:c r="H48" s="75"/>
      <x:c r="I48" s="75"/>
      <x:c r="J48" s="75"/>
      <x:c r="K48" s="75"/>
      <x:c r="L48" s="75"/>
      <x:c r="M48" s="75"/>
      <x:c r="N48" s="75"/>
      <x:c r="O48" s="75"/>
      <x:c r="P48" s="76" t="n">
        <x:f>'13-Week Forecast'!M$6</x:f>
        <x:v>46348</x:v>
      </x:c>
      <x:c r="Q48" s="78" t="n">
        <x:f>Q47+SUM('13-Week Forecast'!M10:M17)+IF('13-Week Forecast'!M$7="Actual",0,SUM('13-Week Forecast'!M10:M12)*('Assumptions'!$C$15-1))-(SUM('13-Week Forecast'!M22:M41)+IF('13-Week Forecast'!M$7="Actual",0,SUM('13-Week Forecast'!M22,'13-Week Forecast'!M31,'13-Week Forecast'!M33,'13-Week Forecast'!M41)*('Assumptions'!$D$15-1)))</x:f>
        <x:v>82000</x:v>
      </x:c>
      <x:c r="R48" s="78" t="n">
        <x:f>R47+SUM('13-Week Forecast'!M10:M17)+IF('13-Week Forecast'!M$7="Actual",0,SUM('13-Week Forecast'!M10:M12)*('Assumptions'!$C$16-1))-(SUM('13-Week Forecast'!M22:M41)+IF('13-Week Forecast'!M$7="Actual",0,SUM('13-Week Forecast'!M22,'13-Week Forecast'!M31,'13-Week Forecast'!M33,'13-Week Forecast'!M41)*('Assumptions'!$D$16-1)))</x:f>
        <x:v>234980</x:v>
      </x:c>
      <x:c r="S48" s="78" t="n">
        <x:f>S47+SUM('13-Week Forecast'!M10:M17)+IF('13-Week Forecast'!M$7="Actual",0,SUM('13-Week Forecast'!M10:M12)*('Assumptions'!$C$17-1))-(SUM('13-Week Forecast'!M22:M41)+IF('13-Week Forecast'!M$7="Actual",0,SUM('13-Week Forecast'!M22,'13-Week Forecast'!M31,'13-Week Forecast'!M33,'13-Week Forecast'!M41)*('Assumptions'!$D$17-1)))</x:f>
        <x:v>-221400</x:v>
      </x:c>
    </x:row>
    <x:row r="49">
      <x:c r="A49" s="75"/>
      <x:c r="B49" s="75"/>
      <x:c r="C49" s="75"/>
      <x:c r="D49" s="75"/>
      <x:c r="E49" s="75"/>
      <x:c r="F49" s="75"/>
      <x:c r="G49" s="75"/>
      <x:c r="H49" s="75"/>
      <x:c r="I49" s="75"/>
      <x:c r="J49" s="75"/>
      <x:c r="K49" s="75"/>
      <x:c r="L49" s="75"/>
      <x:c r="M49" s="75"/>
      <x:c r="N49" s="75"/>
      <x:c r="O49" s="75"/>
      <x:c r="P49" s="76" t="n">
        <x:f>'13-Week Forecast'!N$6</x:f>
        <x:v>46355</x:v>
      </x:c>
      <x:c r="Q49" s="78" t="n">
        <x:f>Q48+SUM('13-Week Forecast'!N10:N17)+IF('13-Week Forecast'!N$7="Actual",0,SUM('13-Week Forecast'!N10:N12)*('Assumptions'!$C$15-1))-(SUM('13-Week Forecast'!N22:N41)+IF('13-Week Forecast'!N$7="Actual",0,SUM('13-Week Forecast'!N22,'13-Week Forecast'!N31,'13-Week Forecast'!N33,'13-Week Forecast'!N41)*('Assumptions'!$D$15-1)))</x:f>
        <x:v>31000</x:v>
      </x:c>
      <x:c r="R49" s="78" t="n">
        <x:f>R48+SUM('13-Week Forecast'!N10:N17)+IF('13-Week Forecast'!N$7="Actual",0,SUM('13-Week Forecast'!N10:N12)*('Assumptions'!$C$16-1))-(SUM('13-Week Forecast'!N22:N41)+IF('13-Week Forecast'!N$7="Actual",0,SUM('13-Week Forecast'!N22,'13-Week Forecast'!N31,'13-Week Forecast'!N33,'13-Week Forecast'!N41)*('Assumptions'!$D$16-1)))</x:f>
        <x:v>199320</x:v>
      </x:c>
      <x:c r="S49" s="78" t="n">
        <x:f>S48+SUM('13-Week Forecast'!N10:N17)+IF('13-Week Forecast'!N$7="Actual",0,SUM('13-Week Forecast'!N10:N12)*('Assumptions'!$C$17-1))-(SUM('13-Week Forecast'!N22:N41)+IF('13-Week Forecast'!N$7="Actual",0,SUM('13-Week Forecast'!N22,'13-Week Forecast'!N31,'13-Week Forecast'!N33,'13-Week Forecast'!N41)*('Assumptions'!$D$17-1)))</x:f>
        <x:v>-302550</x:v>
      </x:c>
    </x:row>
  </x:sheetData>
  <x:mergeCells>
    <x:mergeCell ref="A1:S1"/>
    <x:mergeCell ref="A2:S2"/>
    <x:mergeCell ref="A4:O4"/>
    <x:mergeCell ref="A35:E36"/>
  </x:mergeCells>
  <x:conditionalFormatting sqref="I7:I7">
    <x:cfRule type="expression" dxfId="23" priority="1">
      <x:formula>I7="PASS"</x:formula>
    </x:cfRule>
    <x:cfRule type="expression" dxfId="24" priority="2">
      <x:formula>I7="FAIL"</x:formula>
    </x:cfRule>
  </x:conditionalFormatting>
  <x:conditionalFormatting sqref="J7:J7">
    <x:cfRule type="expression" dxfId="25" priority="3">
      <x:formula>J7="ACTION REQUIRED"</x:formula>
    </x:cfRule>
    <x:cfRule type="expression" dxfId="26" priority="4">
      <x:formula>J7="WATCH"</x:formula>
    </x:cfRule>
    <x:cfRule type="expression" dxfId="27" priority="5">
      <x:formula>J7="OK"</x:formula>
    </x:cfRule>
  </x:conditionalFormatting>
  <x:conditionalFormatting sqref="E12:E24">
    <x:cfRule type="expression" dxfId="28" priority="6">
      <x:formula>E12="BELOW BUFFER"</x:formula>
    </x:cfRule>
    <x:cfRule type="expression" dxfId="29" priority="7">
      <x:formula>E12="WATCH"</x:formula>
    </x:cfRule>
    <x:cfRule type="expression" dxfId="30" priority="8">
      <x:formula>E12="OK"</x:formula>
    </x:cfRule>
  </x:conditionalFormatting>
  <x:conditionalFormatting sqref="E33:E33">
    <x:cfRule type="expression" dxfId="31" priority="9">
      <x:formula>E33="COMPLETE"</x:formula>
    </x:cfRule>
    <x:cfRule type="expression" dxfId="32" priority="10">
      <x:formula>E33="INCOMPLETE"</x:formula>
    </x:cfRule>
    <x:cfRule type="expression" dxfId="33" priority="11">
      <x:formula>E33="NOT STARTED"</x:formula>
    </x:cfRule>
  </x:conditionalFormatting>
  <x:pageMargins left="0.7" right="0.7" top="0.75" bottom="0.75" header="0.3" footer="0.3"/>
  <x:drawing xmlns:r="http://schemas.openxmlformats.org/officeDocument/2006/relationships" r:id="Rce5aa11df1394a6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22" hidden="0" customWidth="1"/>
    <x:col min="5" max="5" width="48" hidden="0" customWidth="1"/>
    <x:col min="6" max="6" width="14" hidden="0" customWidth="1"/>
  </x:cols>
  <x:sheetData>
    <x:row r="1" ht="28" customHeight="1">
      <x:c r="A1" s="4" t="str">
        <x:v>Assumptions</x:v>
      </x:c>
      <x:c r="B1" s="4"/>
      <x:c r="C1" s="4"/>
      <x:c r="D1" s="4"/>
      <x:c r="E1" s="4"/>
      <x:c r="F1" s="4"/>
    </x:row>
    <x:row r="2" ht="30" customHeight="1">
      <x:c r="A2" s="8" t="str">
        <x:v>Single control panel. Blue values are the only model-wide inputs; all values are illustrative.</x:v>
      </x:c>
      <x:c r="B2" s="8"/>
      <x:c r="C2" s="8"/>
      <x:c r="D2" s="8"/>
      <x:c r="E2" s="8"/>
      <x:c r="F2" s="8"/>
    </x:row>
    <x:row r="3">
      <x:c r="A3" s="75"/>
      <x:c r="B3" s="75"/>
      <x:c r="C3" s="75"/>
      <x:c r="D3" s="75"/>
      <x:c r="E3" s="75"/>
      <x:c r="F3" s="75"/>
    </x:row>
    <x:row r="4">
      <x:c r="A4" s="15" t="str">
        <x:v>Core controls</x:v>
      </x:c>
      <x:c r="B4" s="15" t="str">
        <x:v>Value</x:v>
      </x:c>
      <x:c r="C4" s="75"/>
      <x:c r="D4" s="75"/>
      <x:c r="E4" s="75"/>
      <x:c r="F4" s="75"/>
    </x:row>
    <x:row r="5">
      <x:c r="A5" s="75" t="str">
        <x:v>Business name</x:v>
      </x:c>
      <x:c r="B5" s="29" t="str">
        <x:v>Illustrative Australian business</x:v>
      </x:c>
      <x:c r="C5" s="75"/>
      <x:c r="D5" s="75"/>
      <x:c r="E5" s="75"/>
      <x:c r="F5" s="75"/>
    </x:row>
    <x:row r="6">
      <x:c r="A6" s="75" t="str">
        <x:v>Currency</x:v>
      </x:c>
      <x:c r="B6" s="29" t="str">
        <x:v>AUD</x:v>
      </x:c>
      <x:c r="C6" s="75"/>
      <x:c r="D6" s="75"/>
      <x:c r="E6" s="75"/>
      <x:c r="F6" s="75"/>
    </x:row>
    <x:row r="7">
      <x:c r="A7" s="75" t="str">
        <x:v>Units</x:v>
      </x:c>
      <x:c r="B7" s="29" t="str">
        <x:v>Whole dollars</x:v>
      </x:c>
      <x:c r="C7" s="75"/>
      <x:c r="D7" s="75"/>
      <x:c r="E7" s="75"/>
      <x:c r="F7" s="75"/>
    </x:row>
    <x:row r="8">
      <x:c r="A8" s="75" t="str">
        <x:v>Forecast start date</x:v>
      </x:c>
      <x:c r="B8" s="30" t="n">
        <x:v>46265</x:v>
      </x:c>
      <x:c r="C8" s="75"/>
      <x:c r="D8" s="75"/>
      <x:c r="E8" s="75"/>
      <x:c r="F8" s="75"/>
    </x:row>
    <x:row r="9">
      <x:c r="A9" s="75" t="str">
        <x:v>As-at date</x:v>
      </x:c>
      <x:c r="B9" s="30" t="n">
        <x:v>46271</x:v>
      </x:c>
      <x:c r="C9" s="75"/>
      <x:c r="D9" s="75"/>
      <x:c r="E9" s="75"/>
      <x:c r="F9" s="75"/>
    </x:row>
    <x:row r="10">
      <x:c r="A10" s="75" t="str">
        <x:v>Opening cash</x:v>
      </x:c>
      <x:c r="B10" s="31" t="n">
        <x:v>400000</x:v>
      </x:c>
      <x:c r="C10" s="75"/>
      <x:c r="D10" s="75"/>
      <x:c r="E10" s="75"/>
      <x:c r="F10" s="75"/>
    </x:row>
    <x:row r="11">
      <x:c r="A11" s="75" t="str">
        <x:v>Minimum cash buffer</x:v>
      </x:c>
      <x:c r="B11" s="31" t="n">
        <x:v>100000</x:v>
      </x:c>
      <x:c r="C11" s="75"/>
      <x:c r="D11" s="75"/>
      <x:c r="E11" s="75"/>
      <x:c r="F11" s="75"/>
    </x:row>
    <x:row r="12">
      <x:c r="A12" s="75" t="str">
        <x:v>Selected scenario</x:v>
      </x:c>
      <x:c r="B12" s="29" t="str">
        <x:v>Base</x:v>
      </x:c>
      <x:c r="C12" s="75"/>
      <x:c r="D12" s="75"/>
      <x:c r="E12" s="75"/>
      <x:c r="F12" s="75"/>
    </x:row>
    <x:row r="13">
      <x:c r="A13" s="75"/>
      <x:c r="B13" s="75"/>
      <x:c r="C13" s="75"/>
      <x:c r="D13" s="75"/>
      <x:c r="E13" s="75"/>
      <x:c r="F13" s="75"/>
    </x:row>
    <x:row r="14">
      <x:c r="A14" s="15" t="str">
        <x:v>Scenario controls</x:v>
      </x:c>
      <x:c r="B14" s="15" t="str">
        <x:v>Scenario</x:v>
      </x:c>
      <x:c r="C14" s="15" t="str">
        <x:v>Receipt factor</x:v>
      </x:c>
      <x:c r="D14" s="15" t="str">
        <x:v>Variable-payment factor</x:v>
      </x:c>
      <x:c r="E14" s="15" t="str">
        <x:v>Description</x:v>
      </x:c>
      <x:c r="F14" s="75"/>
    </x:row>
    <x:row r="15">
      <x:c r="A15" s="75"/>
      <x:c r="B15" s="17" t="str">
        <x:v>Base</x:v>
      </x:c>
      <x:c r="C15" s="32" t="n">
        <x:v>1</x:v>
      </x:c>
      <x:c r="D15" s="32" t="n">
        <x:v>1</x:v>
      </x:c>
      <x:c r="E15" s="17" t="str">
        <x:v>Current operating expectation</x:v>
      </x:c>
      <x:c r="F15" s="75"/>
    </x:row>
    <x:row r="16">
      <x:c r="A16" s="75"/>
      <x:c r="B16" s="17" t="str">
        <x:v>Upside</x:v>
      </x:c>
      <x:c r="C16" s="32" t="n">
        <x:v>1.08</x:v>
      </x:c>
      <x:c r="D16" s="32" t="n">
        <x:v>0.98</x:v>
      </x:c>
      <x:c r="E16" s="17" t="str">
        <x:v>Stronger receipts and lower selected variable payments</x:v>
      </x:c>
      <x:c r="F16" s="75"/>
    </x:row>
    <x:row r="17">
      <x:c r="A17" s="75"/>
      <x:c r="B17" s="17" t="str">
        <x:v>Downside</x:v>
      </x:c>
      <x:c r="C17" s="32" t="n">
        <x:v>0.85</x:v>
      </x:c>
      <x:c r="D17" s="32" t="n">
        <x:v>1.05</x:v>
      </x:c>
      <x:c r="E17" s="17" t="str">
        <x:v>Softer receipts and higher selected variable payments</x:v>
      </x:c>
      <x:c r="F17" s="75"/>
    </x:row>
    <x:row r="18">
      <x:c r="A18" s="75"/>
      <x:c r="B18" s="75"/>
      <x:c r="C18" s="75"/>
      <x:c r="D18" s="75"/>
      <x:c r="E18" s="75"/>
      <x:c r="F18" s="75"/>
    </x:row>
    <x:row r="19">
      <x:c r="A19" s="75" t="str">
        <x:v>Liquidity action lead time (weeks)</x:v>
      </x:c>
      <x:c r="B19" s="33" t="n">
        <x:v>2</x:v>
      </x:c>
      <x:c r="C19" s="75"/>
      <x:c r="D19" s="75"/>
      <x:c r="E19" s="75"/>
      <x:c r="F19" s="75"/>
    </x:row>
    <x:row r="20">
      <x:c r="A20" s="15" t="str">
        <x:v>Forecast governance</x:v>
      </x:c>
      <x:c r="B20" s="15"/>
      <x:c r="C20" s="15"/>
      <x:c r="D20" s="15"/>
      <x:c r="E20" s="15"/>
      <x:c r="F20" s="15"/>
    </x:row>
    <x:row r="21">
      <x:c r="A21" s="75" t="str">
        <x:v>Prepared by</x:v>
      </x:c>
      <x:c r="B21" s="17" t="str">
        <x:v>Finance Manager</x:v>
      </x:c>
      <x:c r="C21" s="75"/>
      <x:c r="D21" s="75"/>
      <x:c r="E21" s="75"/>
      <x:c r="F21" s="75"/>
    </x:row>
    <x:row r="22">
      <x:c r="A22" s="75" t="str">
        <x:v>Reviewed by</x:v>
      </x:c>
      <x:c r="B22" s="17" t="str">
        <x:v>CFO / Business Owner</x:v>
      </x:c>
      <x:c r="C22" s="75"/>
      <x:c r="D22" s="75"/>
      <x:c r="E22" s="75"/>
      <x:c r="F22" s="75"/>
    </x:row>
    <x:row r="23">
      <x:c r="A23" s="75" t="str">
        <x:v>Forecast owner</x:v>
      </x:c>
      <x:c r="B23" s="17" t="str">
        <x:v>Finance Manager</x:v>
      </x:c>
      <x:c r="C23" s="75"/>
      <x:c r="D23" s="75"/>
      <x:c r="E23" s="75"/>
      <x:c r="F23" s="75"/>
    </x:row>
    <x:row r="24">
      <x:c r="A24" s="75" t="str">
        <x:v>Next review date</x:v>
      </x:c>
      <x:c r="B24" s="34" t="n">
        <x:v>46278</x:v>
      </x:c>
      <x:c r="C24" s="75"/>
      <x:c r="D24" s="75"/>
      <x:c r="E24" s="75"/>
      <x:c r="F24" s="75"/>
    </x:row>
    <x:row r="25">
      <x:c r="A25" s="75"/>
      <x:c r="B25" s="75"/>
      <x:c r="C25" s="75"/>
      <x:c r="D25" s="75"/>
      <x:c r="E25" s="75"/>
      <x:c r="F25" s="75"/>
    </x:row>
    <x:row r="26">
      <x:c r="A26" s="15" t="str">
        <x:v>Data-quality notes</x:v>
      </x:c>
      <x:c r="B26" s="15"/>
      <x:c r="C26" s="15"/>
      <x:c r="D26" s="15"/>
      <x:c r="E26" s="15"/>
      <x:c r="F26" s="15"/>
    </x:row>
    <x:row r="27">
      <x:c r="A27" s="28" t="str">
        <x:v>Use a Monday forecast start. Keep the as-at date inside the 13-week horizon. Replace illustrative inputs before using this workbook for a decision. Statutory cash dates depend on your reporting cycle, agent concessions and entity circumstances.</x:v>
      </x:c>
      <x:c r="B27" s="28"/>
      <x:c r="C27" s="28"/>
      <x:c r="D27" s="28"/>
      <x:c r="E27" s="28"/>
      <x:c r="F27" s="28"/>
    </x:row>
    <x:row r="28">
      <x:c r="A28" s="28"/>
      <x:c r="B28" s="28"/>
      <x:c r="C28" s="28"/>
      <x:c r="D28" s="28"/>
      <x:c r="E28" s="28"/>
      <x:c r="F28" s="28"/>
    </x:row>
    <x:row r="29">
      <x:c r="A29" s="28"/>
      <x:c r="B29" s="28"/>
      <x:c r="C29" s="28"/>
      <x:c r="D29" s="28"/>
      <x:c r="E29" s="28"/>
      <x:c r="F29" s="28"/>
    </x:row>
  </x:sheetData>
  <x:mergeCells>
    <x:mergeCell ref="A1:F1"/>
    <x:mergeCell ref="A2:F2"/>
    <x:mergeCell ref="A20:F20"/>
    <x:mergeCell ref="A26:F26"/>
    <x:mergeCell ref="A27:F29"/>
  </x:mergeCells>
  <x:dataValidations count="2">
    <x:dataValidation type="list" sqref="B12">
      <x:formula1>CashFlowScenarioList</x:formula1>
    </x:dataValidation>
    <x:dataValidation type="whole" operator="between" sqref="B19">
      <x:formula1>0</x:formula1>
      <x:formula2>13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3" hidden="0" customWidth="1"/>
  </x:cols>
  <x:sheetData>
    <x:row r="1" ht="28" customHeight="1">
      <x:c r="A1" s="4" t="str">
        <x:v>13-Week Forecast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0" customHeight="1">
      <x:c r="A2" s="8" t="str">
        <x:v>Blue cells are illustrative weekly inputs. Formula and linked cells update automatically from the Assumptions control panel.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</x:row>
    <x:row r="4">
      <x:c r="A4" s="75"/>
      <x:c r="B4" s="75"/>
      <x:c r="C4" s="75"/>
      <x:c r="D4" s="75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</x:row>
    <x:row r="5">
      <x:c r="A5" s="75" t="str">
        <x:v>Week commencing</x:v>
      </x:c>
      <x:c r="B5" s="36" t="n">
        <x:f>'Assumptions'!$B$8</x:f>
        <x:v>46265</x:v>
      </x:c>
      <x:c r="C5" s="36" t="n">
        <x:f>B5+7</x:f>
        <x:v>46272</x:v>
      </x:c>
      <x:c r="D5" s="36" t="n">
        <x:f>C5+7</x:f>
        <x:v>46279</x:v>
      </x:c>
      <x:c r="E5" s="36" t="n">
        <x:f>D5+7</x:f>
        <x:v>46286</x:v>
      </x:c>
      <x:c r="F5" s="36" t="n">
        <x:f>E5+7</x:f>
        <x:v>46293</x:v>
      </x:c>
      <x:c r="G5" s="36" t="n">
        <x:f>F5+7</x:f>
        <x:v>46300</x:v>
      </x:c>
      <x:c r="H5" s="36" t="n">
        <x:f>G5+7</x:f>
        <x:v>46307</x:v>
      </x:c>
      <x:c r="I5" s="36" t="n">
        <x:f>H5+7</x:f>
        <x:v>46314</x:v>
      </x:c>
      <x:c r="J5" s="36" t="n">
        <x:f>I5+7</x:f>
        <x:v>46321</x:v>
      </x:c>
      <x:c r="K5" s="36" t="n">
        <x:f>J5+7</x:f>
        <x:v>46328</x:v>
      </x:c>
      <x:c r="L5" s="36" t="n">
        <x:f>K5+7</x:f>
        <x:v>46335</x:v>
      </x:c>
      <x:c r="M5" s="36" t="n">
        <x:f>L5+7</x:f>
        <x:v>46342</x:v>
      </x:c>
      <x:c r="N5" s="36" t="n">
        <x:f>M5+7</x:f>
        <x:v>46349</x:v>
      </x:c>
      <x:c r="O5" s="75" t="str">
        <x:v>13-week total / terminal</x:v>
      </x:c>
    </x:row>
    <x:row r="6">
      <x:c r="A6" s="75" t="str">
        <x:v>Week ending</x:v>
      </x:c>
      <x:c r="B6" s="36" t="n">
        <x:f>B5+6</x:f>
        <x:v>46271</x:v>
      </x:c>
      <x:c r="C6" s="36" t="n">
        <x:f>C5+6</x:f>
        <x:v>46278</x:v>
      </x:c>
      <x:c r="D6" s="36" t="n">
        <x:f>D5+6</x:f>
        <x:v>46285</x:v>
      </x:c>
      <x:c r="E6" s="36" t="n">
        <x:f>E5+6</x:f>
        <x:v>46292</x:v>
      </x:c>
      <x:c r="F6" s="36" t="n">
        <x:f>F5+6</x:f>
        <x:v>46299</x:v>
      </x:c>
      <x:c r="G6" s="36" t="n">
        <x:f>G5+6</x:f>
        <x:v>46306</x:v>
      </x:c>
      <x:c r="H6" s="36" t="n">
        <x:f>H5+6</x:f>
        <x:v>46313</x:v>
      </x:c>
      <x:c r="I6" s="36" t="n">
        <x:f>I5+6</x:f>
        <x:v>46320</x:v>
      </x:c>
      <x:c r="J6" s="36" t="n">
        <x:f>J5+6</x:f>
        <x:v>46327</x:v>
      </x:c>
      <x:c r="K6" s="36" t="n">
        <x:f>K5+6</x:f>
        <x:v>46334</x:v>
      </x:c>
      <x:c r="L6" s="36" t="n">
        <x:f>L5+6</x:f>
        <x:v>46341</x:v>
      </x:c>
      <x:c r="M6" s="36" t="n">
        <x:f>M5+6</x:f>
        <x:v>46348</x:v>
      </x:c>
      <x:c r="N6" s="36" t="n">
        <x:f>N5+6</x:f>
        <x:v>46355</x:v>
      </x:c>
      <x:c r="O6" s="75" t="str">
        <x:v>Week 13 value</x:v>
      </x:c>
    </x:row>
    <x:row r="7">
      <x:c r="A7" s="75" t="str">
        <x:v>Actual / Forecast</x:v>
      </x:c>
      <x:c r="B7" s="37" t="str">
        <x:f>IF(B6&lt;='Assumptions'!$B$9,"Actual","Forecast")</x:f>
        <x:v>Actual</x:v>
      </x:c>
      <x:c r="C7" s="37" t="str">
        <x:f>IF(C6&lt;='Assumptions'!$B$9,"Actual","Forecast")</x:f>
        <x:v>Forecast</x:v>
      </x:c>
      <x:c r="D7" s="37" t="str">
        <x:f>IF(D6&lt;='Assumptions'!$B$9,"Actual","Forecast")</x:f>
        <x:v>Forecast</x:v>
      </x:c>
      <x:c r="E7" s="37" t="str">
        <x:f>IF(E6&lt;='Assumptions'!$B$9,"Actual","Forecast")</x:f>
        <x:v>Forecast</x:v>
      </x:c>
      <x:c r="F7" s="37" t="str">
        <x:f>IF(F6&lt;='Assumptions'!$B$9,"Actual","Forecast")</x:f>
        <x:v>Forecast</x:v>
      </x:c>
      <x:c r="G7" s="37" t="str">
        <x:f>IF(G6&lt;='Assumptions'!$B$9,"Actual","Forecast")</x:f>
        <x:v>Forecast</x:v>
      </x:c>
      <x:c r="H7" s="37" t="str">
        <x:f>IF(H6&lt;='Assumptions'!$B$9,"Actual","Forecast")</x:f>
        <x:v>Forecast</x:v>
      </x:c>
      <x:c r="I7" s="37" t="str">
        <x:f>IF(I6&lt;='Assumptions'!$B$9,"Actual","Forecast")</x:f>
        <x:v>Forecast</x:v>
      </x:c>
      <x:c r="J7" s="37" t="str">
        <x:f>IF(J6&lt;='Assumptions'!$B$9,"Actual","Forecast")</x:f>
        <x:v>Forecast</x:v>
      </x:c>
      <x:c r="K7" s="37" t="str">
        <x:f>IF(K6&lt;='Assumptions'!$B$9,"Actual","Forecast")</x:f>
        <x:v>Forecast</x:v>
      </x:c>
      <x:c r="L7" s="37" t="str">
        <x:f>IF(L6&lt;='Assumptions'!$B$9,"Actual","Forecast")</x:f>
        <x:v>Forecast</x:v>
      </x:c>
      <x:c r="M7" s="37" t="str">
        <x:f>IF(M6&lt;='Assumptions'!$B$9,"Actual","Forecast")</x:f>
        <x:v>Forecast</x:v>
      </x:c>
      <x:c r="N7" s="37" t="str">
        <x:f>IF(N6&lt;='Assumptions'!$B$9,"Actual","Forecast")</x:f>
        <x:v>Forecast</x:v>
      </x:c>
      <x:c r="O7" s="75" t="str"/>
    </x:row>
    <x:row r="8">
      <x:c r="A8" s="75"/>
      <x:c r="B8" s="75"/>
      <x:c r="C8" s="75"/>
      <x:c r="D8" s="75"/>
      <x:c r="E8" s="75"/>
      <x:c r="F8" s="75"/>
      <x:c r="G8" s="75"/>
      <x:c r="H8" s="75"/>
      <x:c r="I8" s="75"/>
      <x:c r="J8" s="75"/>
      <x:c r="K8" s="75"/>
      <x:c r="L8" s="75"/>
      <x:c r="M8" s="75"/>
      <x:c r="N8" s="75"/>
      <x:c r="O8" s="75"/>
    </x:row>
    <x:row r="9">
      <x:c r="A9" s="15" t="str">
        <x:v>CASH RECEIPTS</x:v>
      </x:c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</x:row>
    <x:row r="10">
      <x:c r="A10" s="75" t="str">
        <x:v>Customer receipts</x:v>
      </x:c>
      <x:c r="B10" s="40" t="n">
        <x:v>118000</x:v>
      </x:c>
      <x:c r="C10" s="40" t="n">
        <x:v>125000</x:v>
      </x:c>
      <x:c r="D10" s="40" t="n">
        <x:v>120000</x:v>
      </x:c>
      <x:c r="E10" s="40" t="n">
        <x:v>115000</x:v>
      </x:c>
      <x:c r="F10" s="40" t="n">
        <x:v>110000</x:v>
      </x:c>
      <x:c r="G10" s="40" t="n">
        <x:v>112000</x:v>
      </x:c>
      <x:c r="H10" s="40" t="n">
        <x:v>105000</x:v>
      </x:c>
      <x:c r="I10" s="40" t="n">
        <x:v>108000</x:v>
      </x:c>
      <x:c r="J10" s="40" t="n">
        <x:v>110000</x:v>
      </x:c>
      <x:c r="K10" s="40" t="n">
        <x:v>116000</x:v>
      </x:c>
      <x:c r="L10" s="40" t="n">
        <x:v>120000</x:v>
      </x:c>
      <x:c r="M10" s="40" t="n">
        <x:v>125000</x:v>
      </x:c>
      <x:c r="N10" s="40" t="n">
        <x:v>130000</x:v>
      </x:c>
      <x:c r="O10" s="78" t="n">
        <x:f>SUM(B10:N10)</x:f>
        <x:v>1514000</x:v>
      </x:c>
    </x:row>
    <x:row r="11">
      <x:c r="A11" s="75" t="str">
        <x:v>Overdue receipts</x:v>
      </x:c>
      <x:c r="B11" s="40" t="n">
        <x:v>30000</x:v>
      </x:c>
      <x:c r="C11" s="40" t="n">
        <x:v>20000</x:v>
      </x:c>
      <x:c r="D11" s="40" t="n">
        <x:v>15000</x:v>
      </x:c>
      <x:c r="E11" s="40" t="n">
        <x:v>10000</x:v>
      </x:c>
      <x:c r="F11" s="40" t="n">
        <x:v>8000</x:v>
      </x:c>
      <x:c r="G11" s="40" t="n">
        <x:v>8000</x:v>
      </x:c>
      <x:c r="H11" s="40" t="n">
        <x:v>5000</x:v>
      </x:c>
      <x:c r="I11" s="40" t="n">
        <x:v>5000</x:v>
      </x:c>
      <x:c r="J11" s="40" t="n">
        <x:v>7000</x:v>
      </x:c>
      <x:c r="K11" s="40" t="n">
        <x:v>10000</x:v>
      </x:c>
      <x:c r="L11" s="40" t="n">
        <x:v>10000</x:v>
      </x:c>
      <x:c r="M11" s="40" t="n">
        <x:v>12000</x:v>
      </x:c>
      <x:c r="N11" s="40" t="n">
        <x:v>12000</x:v>
      </x:c>
      <x:c r="O11" s="78" t="n">
        <x:f>SUM(B11:N11)</x:f>
        <x:v>152000</x:v>
      </x:c>
    </x:row>
    <x:row r="12">
      <x:c r="A12" s="75" t="str">
        <x:v>Cash / EFTPOS sales</x:v>
      </x:c>
      <x:c r="B12" s="40" t="n">
        <x:v>18000</x:v>
      </x:c>
      <x:c r="C12" s="40" t="n">
        <x:v>20000</x:v>
      </x:c>
      <x:c r="D12" s="40" t="n">
        <x:v>19000</x:v>
      </x:c>
      <x:c r="E12" s="40" t="n">
        <x:v>18000</x:v>
      </x:c>
      <x:c r="F12" s="40" t="n">
        <x:v>18000</x:v>
      </x:c>
      <x:c r="G12" s="40" t="n">
        <x:v>17000</x:v>
      </x:c>
      <x:c r="H12" s="40" t="n">
        <x:v>17000</x:v>
      </x:c>
      <x:c r="I12" s="40" t="n">
        <x:v>18000</x:v>
      </x:c>
      <x:c r="J12" s="40" t="n">
        <x:v>18000</x:v>
      </x:c>
      <x:c r="K12" s="40" t="n">
        <x:v>19000</x:v>
      </x:c>
      <x:c r="L12" s="40" t="n">
        <x:v>20000</x:v>
      </x:c>
      <x:c r="M12" s="40" t="n">
        <x:v>21000</x:v>
      </x:c>
      <x:c r="N12" s="40" t="n">
        <x:v>22000</x:v>
      </x:c>
      <x:c r="O12" s="78" t="n">
        <x:f>SUM(B12:N12)</x:f>
        <x:v>245000</x:v>
      </x:c>
    </x:row>
    <x:row r="13">
      <x:c r="A13" s="75" t="str">
        <x:v>GST refunds / credits</x:v>
      </x:c>
      <x:c r="B13" s="40" t="n">
        <x:v>0</x:v>
      </x:c>
      <x:c r="C13" s="40" t="n">
        <x:v>0</x:v>
      </x:c>
      <x:c r="D13" s="40" t="n">
        <x:v>0</x:v>
      </x:c>
      <x:c r="E13" s="40" t="n">
        <x:v>0</x:v>
      </x:c>
      <x:c r="F13" s="40" t="n">
        <x:v>0</x:v>
      </x:c>
      <x:c r="G13" s="40" t="n">
        <x:v>0</x:v>
      </x:c>
      <x:c r="H13" s="40" t="n">
        <x:v>0</x:v>
      </x:c>
      <x:c r="I13" s="40" t="n">
        <x:v>0</x:v>
      </x:c>
      <x:c r="J13" s="40" t="n">
        <x:v>0</x:v>
      </x:c>
      <x:c r="K13" s="40" t="n">
        <x:v>0</x:v>
      </x:c>
      <x:c r="L13" s="40" t="n">
        <x:v>0</x:v>
      </x:c>
      <x:c r="M13" s="40" t="n">
        <x:v>0</x:v>
      </x:c>
      <x:c r="N13" s="40" t="n">
        <x:v>0</x:v>
      </x:c>
      <x:c r="O13" s="78" t="n">
        <x:f>SUM(B13:N13)</x:f>
        <x:v>0</x:v>
      </x:c>
    </x:row>
    <x:row r="14">
      <x:c r="A14" s="75" t="str">
        <x:v>Other operating</x:v>
      </x:c>
      <x:c r="B14" s="40" t="n">
        <x:v>4000</x:v>
      </x:c>
      <x:c r="C14" s="40" t="n">
        <x:v>4000</x:v>
      </x:c>
      <x:c r="D14" s="40" t="n">
        <x:v>4000</x:v>
      </x:c>
      <x:c r="E14" s="40" t="n">
        <x:v>4000</x:v>
      </x:c>
      <x:c r="F14" s="40" t="n">
        <x:v>4000</x:v>
      </x:c>
      <x:c r="G14" s="40" t="n">
        <x:v>4000</x:v>
      </x:c>
      <x:c r="H14" s="40" t="n">
        <x:v>4000</x:v>
      </x:c>
      <x:c r="I14" s="40" t="n">
        <x:v>4000</x:v>
      </x:c>
      <x:c r="J14" s="40" t="n">
        <x:v>4000</x:v>
      </x:c>
      <x:c r="K14" s="40" t="n">
        <x:v>4000</x:v>
      </x:c>
      <x:c r="L14" s="40" t="n">
        <x:v>4000</x:v>
      </x:c>
      <x:c r="M14" s="40" t="n">
        <x:v>4000</x:v>
      </x:c>
      <x:c r="N14" s="40" t="n">
        <x:v>4000</x:v>
      </x:c>
      <x:c r="O14" s="78" t="n">
        <x:f>SUM(B14:N14)</x:f>
        <x:v>52000</x:v>
      </x:c>
    </x:row>
    <x:row r="15">
      <x:c r="A15" s="75" t="str">
        <x:v>Asset sale proceeds</x:v>
      </x:c>
      <x:c r="B15" s="40" t="n">
        <x:v>0</x:v>
      </x:c>
      <x:c r="C15" s="40" t="n">
        <x:v>0</x:v>
      </x:c>
      <x:c r="D15" s="40" t="n">
        <x:v>0</x:v>
      </x:c>
      <x:c r="E15" s="40" t="n">
        <x:v>0</x:v>
      </x:c>
      <x:c r="F15" s="40" t="n">
        <x:v>0</x:v>
      </x:c>
      <x:c r="G15" s="40" t="n">
        <x:v>0</x:v>
      </x:c>
      <x:c r="H15" s="40" t="n">
        <x:v>0</x:v>
      </x:c>
      <x:c r="I15" s="40" t="n">
        <x:v>0</x:v>
      </x:c>
      <x:c r="J15" s="40" t="n">
        <x:v>0</x:v>
      </x:c>
      <x:c r="K15" s="40" t="n">
        <x:v>100000</x:v>
      </x:c>
      <x:c r="L15" s="40" t="n">
        <x:v>0</x:v>
      </x:c>
      <x:c r="M15" s="40" t="n">
        <x:v>0</x:v>
      </x:c>
      <x:c r="N15" s="40" t="n">
        <x:v>0</x:v>
      </x:c>
      <x:c r="O15" s="78" t="n">
        <x:f>SUM(B15:N15)</x:f>
        <x:v>100000</x:v>
      </x:c>
    </x:row>
    <x:row r="16">
      <x:c r="A16" s="75" t="str">
        <x:v>Equity / owner funding</x:v>
      </x:c>
      <x:c r="B16" s="40" t="n">
        <x:v>0</x:v>
      </x:c>
      <x:c r="C16" s="40" t="n">
        <x:v>0</x:v>
      </x:c>
      <x:c r="D16" s="40" t="n">
        <x:v>0</x:v>
      </x:c>
      <x:c r="E16" s="40" t="n">
        <x:v>0</x:v>
      </x:c>
      <x:c r="F16" s="40" t="n">
        <x:v>0</x:v>
      </x:c>
      <x:c r="G16" s="40" t="n">
        <x:v>0</x:v>
      </x:c>
      <x:c r="H16" s="40" t="n">
        <x:v>150000</x:v>
      </x:c>
      <x:c r="I16" s="40" t="n">
        <x:v>0</x:v>
      </x:c>
      <x:c r="J16" s="40" t="n">
        <x:v>0</x:v>
      </x:c>
      <x:c r="K16" s="40" t="n">
        <x:v>0</x:v>
      </x:c>
      <x:c r="L16" s="40" t="n">
        <x:v>0</x:v>
      </x:c>
      <x:c r="M16" s="40" t="n">
        <x:v>0</x:v>
      </x:c>
      <x:c r="N16" s="40" t="n">
        <x:v>0</x:v>
      </x:c>
      <x:c r="O16" s="78" t="n">
        <x:f>SUM(B16:N16)</x:f>
        <x:v>150000</x:v>
      </x:c>
    </x:row>
    <x:row r="17">
      <x:c r="A17" s="75" t="str">
        <x:v>Loan proceeds</x:v>
      </x:c>
      <x:c r="B17" s="40" t="n">
        <x:v>0</x:v>
      </x:c>
      <x:c r="C17" s="40" t="n">
        <x:v>0</x:v>
      </x:c>
      <x:c r="D17" s="40" t="n">
        <x:v>0</x:v>
      </x:c>
      <x:c r="E17" s="40" t="n">
        <x:v>0</x:v>
      </x:c>
      <x:c r="F17" s="40" t="n">
        <x:v>0</x:v>
      </x:c>
      <x:c r="G17" s="40" t="n">
        <x:v>0</x:v>
      </x:c>
      <x:c r="H17" s="40" t="n">
        <x:v>0</x:v>
      </x:c>
      <x:c r="I17" s="40" t="n">
        <x:v>0</x:v>
      </x:c>
      <x:c r="J17" s="40" t="n">
        <x:v>125000</x:v>
      </x:c>
      <x:c r="K17" s="40" t="n">
        <x:v>0</x:v>
      </x:c>
      <x:c r="L17" s="40" t="n">
        <x:v>0</x:v>
      </x:c>
      <x:c r="M17" s="40" t="n">
        <x:v>0</x:v>
      </x:c>
      <x:c r="N17" s="40" t="n">
        <x:v>0</x:v>
      </x:c>
      <x:c r="O17" s="78" t="n">
        <x:f>SUM(B17:N17)</x:f>
        <x:v>125000</x:v>
      </x:c>
    </x:row>
    <x:row r="18">
      <x:c r="A18" s="75" t="str">
        <x:v>Scenario receipt adjustment</x:v>
      </x:c>
      <x:c r="B18" s="44" t="n">
        <x:f>IF(B$7="Actual",0,SUM(B10:B12)*(INDEX(Assumptions!$C$15:$C$17,MATCH(Assumptions!$B$12,Assumptions!$B$15:$B$17,0))-1))</x:f>
        <x:v>0</x:v>
      </x:c>
      <x:c r="C18" s="44" t="n">
        <x:f>IF(C$7="Actual",0,SUM(C10:C12)*(INDEX(Assumptions!$C$15:$C$17,MATCH(Assumptions!$B$12,Assumptions!$B$15:$B$17,0))-1))</x:f>
        <x:v>0</x:v>
      </x:c>
      <x:c r="D18" s="44" t="n">
        <x:f>IF(D$7="Actual",0,SUM(D10:D12)*(INDEX(Assumptions!$C$15:$C$17,MATCH(Assumptions!$B$12,Assumptions!$B$15:$B$17,0))-1))</x:f>
        <x:v>0</x:v>
      </x:c>
      <x:c r="E18" s="44" t="n">
        <x:f>IF(E$7="Actual",0,SUM(E10:E12)*(INDEX(Assumptions!$C$15:$C$17,MATCH(Assumptions!$B$12,Assumptions!$B$15:$B$17,0))-1))</x:f>
        <x:v>0</x:v>
      </x:c>
      <x:c r="F18" s="44" t="n">
        <x:f>IF(F$7="Actual",0,SUM(F10:F12)*(INDEX(Assumptions!$C$15:$C$17,MATCH(Assumptions!$B$12,Assumptions!$B$15:$B$17,0))-1))</x:f>
        <x:v>0</x:v>
      </x:c>
      <x:c r="G18" s="44" t="n">
        <x:f>IF(G$7="Actual",0,SUM(G10:G12)*(INDEX(Assumptions!$C$15:$C$17,MATCH(Assumptions!$B$12,Assumptions!$B$15:$B$17,0))-1))</x:f>
        <x:v>0</x:v>
      </x:c>
      <x:c r="H18" s="44" t="n">
        <x:f>IF(H$7="Actual",0,SUM(H10:H12)*(INDEX(Assumptions!$C$15:$C$17,MATCH(Assumptions!$B$12,Assumptions!$B$15:$B$17,0))-1))</x:f>
        <x:v>0</x:v>
      </x:c>
      <x:c r="I18" s="44" t="n">
        <x:f>IF(I$7="Actual",0,SUM(I10:I12)*(INDEX(Assumptions!$C$15:$C$17,MATCH(Assumptions!$B$12,Assumptions!$B$15:$B$17,0))-1))</x:f>
        <x:v>0</x:v>
      </x:c>
      <x:c r="J18" s="44" t="n">
        <x:f>IF(J$7="Actual",0,SUM(J10:J12)*(INDEX(Assumptions!$C$15:$C$17,MATCH(Assumptions!$B$12,Assumptions!$B$15:$B$17,0))-1))</x:f>
        <x:v>0</x:v>
      </x:c>
      <x:c r="K18" s="44" t="n">
        <x:f>IF(K$7="Actual",0,SUM(K10:K12)*(INDEX(Assumptions!$C$15:$C$17,MATCH(Assumptions!$B$12,Assumptions!$B$15:$B$17,0))-1))</x:f>
        <x:v>0</x:v>
      </x:c>
      <x:c r="L18" s="44" t="n">
        <x:f>IF(L$7="Actual",0,SUM(L10:L12)*(INDEX(Assumptions!$C$15:$C$17,MATCH(Assumptions!$B$12,Assumptions!$B$15:$B$17,0))-1))</x:f>
        <x:v>0</x:v>
      </x:c>
      <x:c r="M18" s="44" t="n">
        <x:f>IF(M$7="Actual",0,SUM(M10:M12)*(INDEX(Assumptions!$C$15:$C$17,MATCH(Assumptions!$B$12,Assumptions!$B$15:$B$17,0))-1))</x:f>
        <x:v>0</x:v>
      </x:c>
      <x:c r="N18" s="44" t="n">
        <x:f>IF(N$7="Actual",0,SUM(N10:N12)*(INDEX(Assumptions!$C$15:$C$17,MATCH(Assumptions!$B$12,Assumptions!$B$15:$B$17,0))-1))</x:f>
        <x:v>0</x:v>
      </x:c>
      <x:c r="O18" s="78" t="n">
        <x:f>SUM(B18:N18)</x:f>
        <x:v>0</x:v>
      </x:c>
    </x:row>
    <x:row r="19">
      <x:c r="A19" s="39" t="str">
        <x:v>Total cash receipts</x:v>
      </x:c>
      <x:c r="B19" s="45" t="n">
        <x:f>SUM(B10:B18)</x:f>
        <x:v>170000</x:v>
      </x:c>
      <x:c r="C19" s="45" t="n">
        <x:f>SUM(C10:C18)</x:f>
        <x:v>169000</x:v>
      </x:c>
      <x:c r="D19" s="45" t="n">
        <x:f>SUM(D10:D18)</x:f>
        <x:v>158000</x:v>
      </x:c>
      <x:c r="E19" s="45" t="n">
        <x:f>SUM(E10:E18)</x:f>
        <x:v>147000</x:v>
      </x:c>
      <x:c r="F19" s="45" t="n">
        <x:f>SUM(F10:F18)</x:f>
        <x:v>140000</x:v>
      </x:c>
      <x:c r="G19" s="45" t="n">
        <x:f>SUM(G10:G18)</x:f>
        <x:v>141000</x:v>
      </x:c>
      <x:c r="H19" s="45" t="n">
        <x:f>SUM(H10:H18)</x:f>
        <x:v>281000</x:v>
      </x:c>
      <x:c r="I19" s="45" t="n">
        <x:f>SUM(I10:I18)</x:f>
        <x:v>135000</x:v>
      </x:c>
      <x:c r="J19" s="45" t="n">
        <x:f>SUM(J10:J18)</x:f>
        <x:v>264000</x:v>
      </x:c>
      <x:c r="K19" s="45" t="n">
        <x:f>SUM(K10:K18)</x:f>
        <x:v>249000</x:v>
      </x:c>
      <x:c r="L19" s="45" t="n">
        <x:f>SUM(L10:L18)</x:f>
        <x:v>154000</x:v>
      </x:c>
      <x:c r="M19" s="45" t="n">
        <x:f>SUM(M10:M18)</x:f>
        <x:v>162000</x:v>
      </x:c>
      <x:c r="N19" s="45" t="n">
        <x:f>SUM(N10:N18)</x:f>
        <x:v>168000</x:v>
      </x:c>
      <x:c r="O19" s="42" t="n">
        <x:f>SUM(B19:N19)</x:f>
        <x:v>2338000</x:v>
      </x:c>
    </x:row>
    <x:row r="20">
      <x:c r="A20" s="75"/>
      <x:c r="B20" s="78"/>
      <x:c r="C20" s="78"/>
      <x:c r="D20" s="78"/>
      <x:c r="E20" s="78"/>
      <x:c r="F20" s="78"/>
      <x:c r="G20" s="78"/>
      <x:c r="H20" s="78"/>
      <x:c r="I20" s="78"/>
      <x:c r="J20" s="78"/>
      <x:c r="K20" s="78"/>
      <x:c r="L20" s="78"/>
      <x:c r="M20" s="78"/>
      <x:c r="N20" s="78"/>
      <x:c r="O20" s="78"/>
    </x:row>
    <x:row r="21">
      <x:c r="A21" s="15" t="str">
        <x:v>CASH PAYMENTS</x:v>
      </x:c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</x:row>
    <x:row r="22">
      <x:c r="A22" s="75" t="str">
        <x:v>Suppliers and inventory</x:v>
      </x:c>
      <x:c r="B22" s="40" t="n">
        <x:v>82000</x:v>
      </x:c>
      <x:c r="C22" s="40" t="n">
        <x:v>88000</x:v>
      </x:c>
      <x:c r="D22" s="40" t="n">
        <x:v>90000</x:v>
      </x:c>
      <x:c r="E22" s="40" t="n">
        <x:v>95000</x:v>
      </x:c>
      <x:c r="F22" s="40" t="n">
        <x:v>98000</x:v>
      </x:c>
      <x:c r="G22" s="40" t="n">
        <x:v>100000</x:v>
      </x:c>
      <x:c r="H22" s="40" t="n">
        <x:v>105000</x:v>
      </x:c>
      <x:c r="I22" s="40" t="n">
        <x:v>108000</x:v>
      </x:c>
      <x:c r="J22" s="40" t="n">
        <x:v>110000</x:v>
      </x:c>
      <x:c r="K22" s="40" t="n">
        <x:v>105000</x:v>
      </x:c>
      <x:c r="L22" s="40" t="n">
        <x:v>100000</x:v>
      </x:c>
      <x:c r="M22" s="40" t="n">
        <x:v>95000</x:v>
      </x:c>
      <x:c r="N22" s="40" t="n">
        <x:v>90000</x:v>
      </x:c>
      <x:c r="O22" s="78" t="n">
        <x:f>SUM(B22:N22)</x:f>
        <x:v>1266000</x:v>
      </x:c>
    </x:row>
    <x:row r="23">
      <x:c r="A23" s="75" t="str">
        <x:v>Net wages</x:v>
      </x:c>
      <x:c r="B23" s="40" t="n">
        <x:v>42000</x:v>
      </x:c>
      <x:c r="C23" s="40" t="n">
        <x:v>42000</x:v>
      </x:c>
      <x:c r="D23" s="40" t="n">
        <x:v>42000</x:v>
      </x:c>
      <x:c r="E23" s="40" t="n">
        <x:v>42000</x:v>
      </x:c>
      <x:c r="F23" s="40" t="n">
        <x:v>42000</x:v>
      </x:c>
      <x:c r="G23" s="40" t="n">
        <x:v>42000</x:v>
      </x:c>
      <x:c r="H23" s="40" t="n">
        <x:v>42000</x:v>
      </x:c>
      <x:c r="I23" s="40" t="n">
        <x:v>42000</x:v>
      </x:c>
      <x:c r="J23" s="40" t="n">
        <x:v>42000</x:v>
      </x:c>
      <x:c r="K23" s="40" t="n">
        <x:v>42000</x:v>
      </x:c>
      <x:c r="L23" s="40" t="n">
        <x:v>42000</x:v>
      </x:c>
      <x:c r="M23" s="40" t="n">
        <x:v>42000</x:v>
      </x:c>
      <x:c r="N23" s="40" t="n">
        <x:v>42000</x:v>
      </x:c>
      <x:c r="O23" s="78" t="n">
        <x:f>SUM(B23:N23)</x:f>
        <x:v>546000</x:v>
      </x:c>
    </x:row>
    <x:row r="24">
      <x:c r="A24" s="75" t="str">
        <x:v>PAYG withholding</x:v>
      </x:c>
      <x:c r="B24" s="40" t="n">
        <x:v>12000</x:v>
      </x:c>
      <x:c r="C24" s="40" t="n">
        <x:v>12000</x:v>
      </x:c>
      <x:c r="D24" s="40" t="n">
        <x:v>12000</x:v>
      </x:c>
      <x:c r="E24" s="40" t="n">
        <x:v>12000</x:v>
      </x:c>
      <x:c r="F24" s="40" t="n">
        <x:v>12000</x:v>
      </x:c>
      <x:c r="G24" s="40" t="n">
        <x:v>12000</x:v>
      </x:c>
      <x:c r="H24" s="40" t="n">
        <x:v>12000</x:v>
      </x:c>
      <x:c r="I24" s="40" t="n">
        <x:v>12000</x:v>
      </x:c>
      <x:c r="J24" s="40" t="n">
        <x:v>12000</x:v>
      </x:c>
      <x:c r="K24" s="40" t="n">
        <x:v>12000</x:v>
      </x:c>
      <x:c r="L24" s="40" t="n">
        <x:v>12000</x:v>
      </x:c>
      <x:c r="M24" s="40" t="n">
        <x:v>12000</x:v>
      </x:c>
      <x:c r="N24" s="40" t="n">
        <x:v>12000</x:v>
      </x:c>
      <x:c r="O24" s="78" t="n">
        <x:f>SUM(B24:N24)</x:f>
        <x:v>156000</x:v>
      </x:c>
    </x:row>
    <x:row r="25">
      <x:c r="A25" s="75" t="str">
        <x:v>Superannuation</x:v>
      </x:c>
      <x:c r="B25" s="40" t="n">
        <x:v>6000</x:v>
      </x:c>
      <x:c r="C25" s="40" t="n">
        <x:v>6000</x:v>
      </x:c>
      <x:c r="D25" s="40" t="n">
        <x:v>6000</x:v>
      </x:c>
      <x:c r="E25" s="40" t="n">
        <x:v>6000</x:v>
      </x:c>
      <x:c r="F25" s="40" t="n">
        <x:v>6000</x:v>
      </x:c>
      <x:c r="G25" s="40" t="n">
        <x:v>6000</x:v>
      </x:c>
      <x:c r="H25" s="40" t="n">
        <x:v>6000</x:v>
      </x:c>
      <x:c r="I25" s="40" t="n">
        <x:v>6000</x:v>
      </x:c>
      <x:c r="J25" s="40" t="n">
        <x:v>6000</x:v>
      </x:c>
      <x:c r="K25" s="40" t="n">
        <x:v>6000</x:v>
      </x:c>
      <x:c r="L25" s="40" t="n">
        <x:v>6000</x:v>
      </x:c>
      <x:c r="M25" s="40" t="n">
        <x:v>6000</x:v>
      </x:c>
      <x:c r="N25" s="40" t="n">
        <x:v>6000</x:v>
      </x:c>
      <x:c r="O25" s="78" t="n">
        <x:f>SUM(B25:N25)</x:f>
        <x:v>78000</x:v>
      </x:c>
    </x:row>
    <x:row r="26">
      <x:c r="A26" s="75" t="str">
        <x:v>Payroll tax / workers compensation</x:v>
      </x:c>
      <x:c r="B26" s="40" t="n">
        <x:v>5000</x:v>
      </x:c>
      <x:c r="C26" s="40" t="n">
        <x:v>0</x:v>
      </x:c>
      <x:c r="D26" s="40" t="n">
        <x:v>0</x:v>
      </x:c>
      <x:c r="E26" s="40" t="n">
        <x:v>0</x:v>
      </x:c>
      <x:c r="F26" s="40" t="n">
        <x:v>5000</x:v>
      </x:c>
      <x:c r="G26" s="40" t="n">
        <x:v>0</x:v>
      </x:c>
      <x:c r="H26" s="40" t="n">
        <x:v>0</x:v>
      </x:c>
      <x:c r="I26" s="40" t="n">
        <x:v>0</x:v>
      </x:c>
      <x:c r="J26" s="40" t="n">
        <x:v>5000</x:v>
      </x:c>
      <x:c r="K26" s="40" t="n">
        <x:v>0</x:v>
      </x:c>
      <x:c r="L26" s="40" t="n">
        <x:v>0</x:v>
      </x:c>
      <x:c r="M26" s="40" t="n">
        <x:v>0</x:v>
      </x:c>
      <x:c r="N26" s="40" t="n">
        <x:v>0</x:v>
      </x:c>
      <x:c r="O26" s="78" t="n">
        <x:f>SUM(B26:N26)</x:f>
        <x:v>15000</x:v>
      </x:c>
    </x:row>
    <x:row r="27">
      <x:c r="A27" s="75" t="str">
        <x:v>Rent</x:v>
      </x:c>
      <x:c r="B27" s="40" t="n">
        <x:v>25000</x:v>
      </x:c>
      <x:c r="C27" s="40" t="n">
        <x:v>0</x:v>
      </x:c>
      <x:c r="D27" s="40" t="n">
        <x:v>0</x:v>
      </x:c>
      <x:c r="E27" s="40" t="n">
        <x:v>0</x:v>
      </x:c>
      <x:c r="F27" s="40" t="n">
        <x:v>25000</x:v>
      </x:c>
      <x:c r="G27" s="40" t="n">
        <x:v>0</x:v>
      </x:c>
      <x:c r="H27" s="40" t="n">
        <x:v>0</x:v>
      </x:c>
      <x:c r="I27" s="40" t="n">
        <x:v>0</x:v>
      </x:c>
      <x:c r="J27" s="40" t="n">
        <x:v>25000</x:v>
      </x:c>
      <x:c r="K27" s="40" t="n">
        <x:v>0</x:v>
      </x:c>
      <x:c r="L27" s="40" t="n">
        <x:v>0</x:v>
      </x:c>
      <x:c r="M27" s="40" t="n">
        <x:v>0</x:v>
      </x:c>
      <x:c r="N27" s="40" t="n">
        <x:v>25000</x:v>
      </x:c>
      <x:c r="O27" s="78" t="n">
        <x:f>SUM(B27:N27)</x:f>
        <x:v>100000</x:v>
      </x:c>
    </x:row>
    <x:row r="28">
      <x:c r="A28" s="75" t="str">
        <x:v>Utilities</x:v>
      </x:c>
      <x:c r="B28" s="40" t="n">
        <x:v>0</x:v>
      </x:c>
      <x:c r="C28" s="40" t="n">
        <x:v>0</x:v>
      </x:c>
      <x:c r="D28" s="40" t="n">
        <x:v>0</x:v>
      </x:c>
      <x:c r="E28" s="40" t="n">
        <x:v>0</x:v>
      </x:c>
      <x:c r="F28" s="40" t="n">
        <x:v>4000</x:v>
      </x:c>
      <x:c r="G28" s="40" t="n">
        <x:v>0</x:v>
      </x:c>
      <x:c r="H28" s="40" t="n">
        <x:v>0</x:v>
      </x:c>
      <x:c r="I28" s="40" t="n">
        <x:v>0</x:v>
      </x:c>
      <x:c r="J28" s="40" t="n">
        <x:v>4000</x:v>
      </x:c>
      <x:c r="K28" s="40" t="n">
        <x:v>0</x:v>
      </x:c>
      <x:c r="L28" s="40" t="n">
        <x:v>0</x:v>
      </x:c>
      <x:c r="M28" s="40" t="n">
        <x:v>0</x:v>
      </x:c>
      <x:c r="N28" s="40" t="n">
        <x:v>4000</x:v>
      </x:c>
      <x:c r="O28" s="78" t="n">
        <x:f>SUM(B28:N28)</x:f>
        <x:v>12000</x:v>
      </x:c>
    </x:row>
    <x:row r="29">
      <x:c r="A29" s="75" t="str">
        <x:v>Insurance</x:v>
      </x:c>
      <x:c r="B29" s="40" t="n">
        <x:v>0</x:v>
      </x:c>
      <x:c r="C29" s="40" t="n">
        <x:v>6000</x:v>
      </x:c>
      <x:c r="D29" s="40" t="n">
        <x:v>0</x:v>
      </x:c>
      <x:c r="E29" s="40" t="n">
        <x:v>0</x:v>
      </x:c>
      <x:c r="F29" s="40" t="n">
        <x:v>0</x:v>
      </x:c>
      <x:c r="G29" s="40" t="n">
        <x:v>0</x:v>
      </x:c>
      <x:c r="H29" s="40" t="n">
        <x:v>0</x:v>
      </x:c>
      <x:c r="I29" s="40" t="n">
        <x:v>0</x:v>
      </x:c>
      <x:c r="J29" s="40" t="n">
        <x:v>0</x:v>
      </x:c>
      <x:c r="K29" s="40" t="n">
        <x:v>0</x:v>
      </x:c>
      <x:c r="L29" s="40" t="n">
        <x:v>0</x:v>
      </x:c>
      <x:c r="M29" s="40" t="n">
        <x:v>0</x:v>
      </x:c>
      <x:c r="N29" s="40" t="n">
        <x:v>0</x:v>
      </x:c>
      <x:c r="O29" s="78" t="n">
        <x:f>SUM(B29:N29)</x:f>
        <x:v>6000</x:v>
      </x:c>
    </x:row>
    <x:row r="30">
      <x:c r="A30" s="75" t="str">
        <x:v>Software and subscriptions</x:v>
      </x:c>
      <x:c r="B30" s="40" t="n">
        <x:v>3000</x:v>
      </x:c>
      <x:c r="C30" s="40" t="n">
        <x:v>3000</x:v>
      </x:c>
      <x:c r="D30" s="40" t="n">
        <x:v>3000</x:v>
      </x:c>
      <x:c r="E30" s="40" t="n">
        <x:v>3000</x:v>
      </x:c>
      <x:c r="F30" s="40" t="n">
        <x:v>3000</x:v>
      </x:c>
      <x:c r="G30" s="40" t="n">
        <x:v>3000</x:v>
      </x:c>
      <x:c r="H30" s="40" t="n">
        <x:v>3000</x:v>
      </x:c>
      <x:c r="I30" s="40" t="n">
        <x:v>3000</x:v>
      </x:c>
      <x:c r="J30" s="40" t="n">
        <x:v>3000</x:v>
      </x:c>
      <x:c r="K30" s="40" t="n">
        <x:v>3000</x:v>
      </x:c>
      <x:c r="L30" s="40" t="n">
        <x:v>3000</x:v>
      </x:c>
      <x:c r="M30" s="40" t="n">
        <x:v>3000</x:v>
      </x:c>
      <x:c r="N30" s="40" t="n">
        <x:v>3000</x:v>
      </x:c>
      <x:c r="O30" s="78" t="n">
        <x:f>SUM(B30:N30)</x:f>
        <x:v>39000</x:v>
      </x:c>
    </x:row>
    <x:row r="31">
      <x:c r="A31" s="75" t="str">
        <x:v>Marketing</x:v>
      </x:c>
      <x:c r="B31" s="40" t="n">
        <x:v>6000</x:v>
      </x:c>
      <x:c r="C31" s="40" t="n">
        <x:v>6000</x:v>
      </x:c>
      <x:c r="D31" s="40" t="n">
        <x:v>6000</x:v>
      </x:c>
      <x:c r="E31" s="40" t="n">
        <x:v>6000</x:v>
      </x:c>
      <x:c r="F31" s="40" t="n">
        <x:v>6000</x:v>
      </x:c>
      <x:c r="G31" s="40" t="n">
        <x:v>6000</x:v>
      </x:c>
      <x:c r="H31" s="40" t="n">
        <x:v>6000</x:v>
      </x:c>
      <x:c r="I31" s="40" t="n">
        <x:v>6000</x:v>
      </x:c>
      <x:c r="J31" s="40" t="n">
        <x:v>6000</x:v>
      </x:c>
      <x:c r="K31" s="40" t="n">
        <x:v>6000</x:v>
      </x:c>
      <x:c r="L31" s="40" t="n">
        <x:v>6000</x:v>
      </x:c>
      <x:c r="M31" s="40" t="n">
        <x:v>6000</x:v>
      </x:c>
      <x:c r="N31" s="40" t="n">
        <x:v>6000</x:v>
      </x:c>
      <x:c r="O31" s="78" t="n">
        <x:f>SUM(B31:N31)</x:f>
        <x:v>78000</x:v>
      </x:c>
    </x:row>
    <x:row r="32">
      <x:c r="A32" s="75" t="str">
        <x:v>Professional services</x:v>
      </x:c>
      <x:c r="B32" s="40" t="n">
        <x:v>0</x:v>
      </x:c>
      <x:c r="C32" s="40" t="n">
        <x:v>0</x:v>
      </x:c>
      <x:c r="D32" s="40" t="n">
        <x:v>8000</x:v>
      </x:c>
      <x:c r="E32" s="40" t="n">
        <x:v>0</x:v>
      </x:c>
      <x:c r="F32" s="40" t="n">
        <x:v>0</x:v>
      </x:c>
      <x:c r="G32" s="40" t="n">
        <x:v>0</x:v>
      </x:c>
      <x:c r="H32" s="40" t="n">
        <x:v>8000</x:v>
      </x:c>
      <x:c r="I32" s="40" t="n">
        <x:v>0</x:v>
      </x:c>
      <x:c r="J32" s="40" t="n">
        <x:v>0</x:v>
      </x:c>
      <x:c r="K32" s="40" t="n">
        <x:v>0</x:v>
      </x:c>
      <x:c r="L32" s="40" t="n">
        <x:v>8000</x:v>
      </x:c>
      <x:c r="M32" s="40" t="n">
        <x:v>0</x:v>
      </x:c>
      <x:c r="N32" s="40" t="n">
        <x:v>0</x:v>
      </x:c>
      <x:c r="O32" s="78" t="n">
        <x:f>SUM(B32:N32)</x:f>
        <x:v>24000</x:v>
      </x:c>
    </x:row>
    <x:row r="33">
      <x:c r="A33" s="75" t="str">
        <x:v>Freight, vehicles and travel</x:v>
      </x:c>
      <x:c r="B33" s="40" t="n">
        <x:v>10000</x:v>
      </x:c>
      <x:c r="C33" s="40" t="n">
        <x:v>10000</x:v>
      </x:c>
      <x:c r="D33" s="40" t="n">
        <x:v>10000</x:v>
      </x:c>
      <x:c r="E33" s="40" t="n">
        <x:v>10000</x:v>
      </x:c>
      <x:c r="F33" s="40" t="n">
        <x:v>10000</x:v>
      </x:c>
      <x:c r="G33" s="40" t="n">
        <x:v>10000</x:v>
      </x:c>
      <x:c r="H33" s="40" t="n">
        <x:v>10000</x:v>
      </x:c>
      <x:c r="I33" s="40" t="n">
        <x:v>10000</x:v>
      </x:c>
      <x:c r="J33" s="40" t="n">
        <x:v>10000</x:v>
      </x:c>
      <x:c r="K33" s="40" t="n">
        <x:v>10000</x:v>
      </x:c>
      <x:c r="L33" s="40" t="n">
        <x:v>10000</x:v>
      </x:c>
      <x:c r="M33" s="40" t="n">
        <x:v>10000</x:v>
      </x:c>
      <x:c r="N33" s="40" t="n">
        <x:v>10000</x:v>
      </x:c>
      <x:c r="O33" s="78" t="n">
        <x:f>SUM(B33:N33)</x:f>
        <x:v>130000</x:v>
      </x:c>
    </x:row>
    <x:row r="34">
      <x:c r="A34" s="75" t="str">
        <x:v>GST / BAS payments</x:v>
      </x:c>
      <x:c r="B34" s="40" t="n">
        <x:v>0</x:v>
      </x:c>
      <x:c r="C34" s="40" t="n">
        <x:v>0</x:v>
      </x:c>
      <x:c r="D34" s="40" t="n">
        <x:v>0</x:v>
      </x:c>
      <x:c r="E34" s="40" t="n">
        <x:v>0</x:v>
      </x:c>
      <x:c r="F34" s="40" t="n">
        <x:v>0</x:v>
      </x:c>
      <x:c r="G34" s="40" t="n">
        <x:v>0</x:v>
      </x:c>
      <x:c r="H34" s="40" t="n">
        <x:v>0</x:v>
      </x:c>
      <x:c r="I34" s="40" t="n">
        <x:v>0</x:v>
      </x:c>
      <x:c r="J34" s="40" t="n">
        <x:v>45000</x:v>
      </x:c>
      <x:c r="K34" s="40" t="n">
        <x:v>0</x:v>
      </x:c>
      <x:c r="L34" s="40" t="n">
        <x:v>0</x:v>
      </x:c>
      <x:c r="M34" s="40" t="n">
        <x:v>0</x:v>
      </x:c>
      <x:c r="N34" s="40" t="n">
        <x:v>0</x:v>
      </x:c>
      <x:c r="O34" s="78" t="n">
        <x:f>SUM(B34:N34)</x:f>
        <x:v>45000</x:v>
      </x:c>
    </x:row>
    <x:row r="35">
      <x:c r="A35" s="75" t="str">
        <x:v>PAYG income tax instalments</x:v>
      </x:c>
      <x:c r="B35" s="40" t="n">
        <x:v>0</x:v>
      </x:c>
      <x:c r="C35" s="40" t="n">
        <x:v>0</x:v>
      </x:c>
      <x:c r="D35" s="40" t="n">
        <x:v>0</x:v>
      </x:c>
      <x:c r="E35" s="40" t="n">
        <x:v>0</x:v>
      </x:c>
      <x:c r="F35" s="40" t="n">
        <x:v>0</x:v>
      </x:c>
      <x:c r="G35" s="40" t="n">
        <x:v>0</x:v>
      </x:c>
      <x:c r="H35" s="40" t="n">
        <x:v>0</x:v>
      </x:c>
      <x:c r="I35" s="40" t="n">
        <x:v>0</x:v>
      </x:c>
      <x:c r="J35" s="40" t="n">
        <x:v>18000</x:v>
      </x:c>
      <x:c r="K35" s="40" t="n">
        <x:v>0</x:v>
      </x:c>
      <x:c r="L35" s="40" t="n">
        <x:v>0</x:v>
      </x:c>
      <x:c r="M35" s="40" t="n">
        <x:v>0</x:v>
      </x:c>
      <x:c r="N35" s="40" t="n">
        <x:v>0</x:v>
      </x:c>
      <x:c r="O35" s="78" t="n">
        <x:f>SUM(B35:N35)</x:f>
        <x:v>18000</x:v>
      </x:c>
    </x:row>
    <x:row r="36">
      <x:c r="A36" s="75" t="str">
        <x:v>FBT / other tax</x:v>
      </x:c>
      <x:c r="B36" s="40" t="n">
        <x:v>0</x:v>
      </x:c>
      <x:c r="C36" s="40" t="n">
        <x:v>0</x:v>
      </x:c>
      <x:c r="D36" s="40" t="n">
        <x:v>0</x:v>
      </x:c>
      <x:c r="E36" s="40" t="n">
        <x:v>0</x:v>
      </x:c>
      <x:c r="F36" s="40" t="n">
        <x:v>0</x:v>
      </x:c>
      <x:c r="G36" s="40" t="n">
        <x:v>0</x:v>
      </x:c>
      <x:c r="H36" s="40" t="n">
        <x:v>0</x:v>
      </x:c>
      <x:c r="I36" s="40" t="n">
        <x:v>0</x:v>
      </x:c>
      <x:c r="J36" s="40" t="n">
        <x:v>0</x:v>
      </x:c>
      <x:c r="K36" s="40" t="n">
        <x:v>0</x:v>
      </x:c>
      <x:c r="L36" s="40" t="n">
        <x:v>0</x:v>
      </x:c>
      <x:c r="M36" s="40" t="n">
        <x:v>0</x:v>
      </x:c>
      <x:c r="N36" s="40" t="n">
        <x:v>0</x:v>
      </x:c>
      <x:c r="O36" s="78" t="n">
        <x:f>SUM(B36:N36)</x:f>
        <x:v>0</x:v>
      </x:c>
    </x:row>
    <x:row r="37">
      <x:c r="A37" s="75" t="str">
        <x:v>Interest and bank fees</x:v>
      </x:c>
      <x:c r="B37" s="40" t="n">
        <x:v>4000</x:v>
      </x:c>
      <x:c r="C37" s="40" t="n">
        <x:v>0</x:v>
      </x:c>
      <x:c r="D37" s="40" t="n">
        <x:v>0</x:v>
      </x:c>
      <x:c r="E37" s="40" t="n">
        <x:v>0</x:v>
      </x:c>
      <x:c r="F37" s="40" t="n">
        <x:v>4000</x:v>
      </x:c>
      <x:c r="G37" s="40" t="n">
        <x:v>0</x:v>
      </x:c>
      <x:c r="H37" s="40" t="n">
        <x:v>0</x:v>
      </x:c>
      <x:c r="I37" s="40" t="n">
        <x:v>0</x:v>
      </x:c>
      <x:c r="J37" s="40" t="n">
        <x:v>4000</x:v>
      </x:c>
      <x:c r="K37" s="40" t="n">
        <x:v>0</x:v>
      </x:c>
      <x:c r="L37" s="40" t="n">
        <x:v>0</x:v>
      </x:c>
      <x:c r="M37" s="40" t="n">
        <x:v>0</x:v>
      </x:c>
      <x:c r="N37" s="40" t="n">
        <x:v>4000</x:v>
      </x:c>
      <x:c r="O37" s="78" t="n">
        <x:f>SUM(B37:N37)</x:f>
        <x:v>16000</x:v>
      </x:c>
    </x:row>
    <x:row r="38">
      <x:c r="A38" s="75" t="str">
        <x:v>Loan principal</x:v>
      </x:c>
      <x:c r="B38" s="40" t="n">
        <x:v>12000</x:v>
      </x:c>
      <x:c r="C38" s="40" t="n">
        <x:v>0</x:v>
      </x:c>
      <x:c r="D38" s="40" t="n">
        <x:v>0</x:v>
      </x:c>
      <x:c r="E38" s="40" t="n">
        <x:v>0</x:v>
      </x:c>
      <x:c r="F38" s="40" t="n">
        <x:v>12000</x:v>
      </x:c>
      <x:c r="G38" s="40" t="n">
        <x:v>0</x:v>
      </x:c>
      <x:c r="H38" s="40" t="n">
        <x:v>0</x:v>
      </x:c>
      <x:c r="I38" s="40" t="n">
        <x:v>0</x:v>
      </x:c>
      <x:c r="J38" s="40" t="n">
        <x:v>12000</x:v>
      </x:c>
      <x:c r="K38" s="40" t="n">
        <x:v>0</x:v>
      </x:c>
      <x:c r="L38" s="40" t="n">
        <x:v>0</x:v>
      </x:c>
      <x:c r="M38" s="40" t="n">
        <x:v>0</x:v>
      </x:c>
      <x:c r="N38" s="40" t="n">
        <x:v>12000</x:v>
      </x:c>
      <x:c r="O38" s="78" t="n">
        <x:f>SUM(B38:N38)</x:f>
        <x:v>48000</x:v>
      </x:c>
    </x:row>
    <x:row r="39">
      <x:c r="A39" s="75" t="str">
        <x:v>Capital expenditure</x:v>
      </x:c>
      <x:c r="B39" s="40" t="n">
        <x:v>0</x:v>
      </x:c>
      <x:c r="C39" s="40" t="n">
        <x:v>0</x:v>
      </x:c>
      <x:c r="D39" s="40" t="n">
        <x:v>0</x:v>
      </x:c>
      <x:c r="E39" s="40" t="n">
        <x:v>0</x:v>
      </x:c>
      <x:c r="F39" s="40" t="n">
        <x:v>0</x:v>
      </x:c>
      <x:c r="G39" s="40" t="n">
        <x:v>25000</x:v>
      </x:c>
      <x:c r="H39" s="40" t="n">
        <x:v>0</x:v>
      </x:c>
      <x:c r="I39" s="40" t="n">
        <x:v>0</x:v>
      </x:c>
      <x:c r="J39" s="40" t="n">
        <x:v>0</x:v>
      </x:c>
      <x:c r="K39" s="40" t="n">
        <x:v>40000</x:v>
      </x:c>
      <x:c r="L39" s="40" t="n">
        <x:v>0</x:v>
      </x:c>
      <x:c r="M39" s="40" t="n">
        <x:v>0</x:v>
      </x:c>
      <x:c r="N39" s="40" t="n">
        <x:v>0</x:v>
      </x:c>
      <x:c r="O39" s="78" t="n">
        <x:f>SUM(B39:N39)</x:f>
        <x:v>65000</x:v>
      </x:c>
    </x:row>
    <x:row r="40">
      <x:c r="A40" s="75" t="str">
        <x:v>Dividends / distributions</x:v>
      </x:c>
      <x:c r="B40" s="40" t="n">
        <x:v>0</x:v>
      </x:c>
      <x:c r="C40" s="40" t="n">
        <x:v>0</x:v>
      </x:c>
      <x:c r="D40" s="40" t="n">
        <x:v>0</x:v>
      </x:c>
      <x:c r="E40" s="40" t="n">
        <x:v>0</x:v>
      </x:c>
      <x:c r="F40" s="40" t="n">
        <x:v>0</x:v>
      </x:c>
      <x:c r="G40" s="40" t="n">
        <x:v>0</x:v>
      </x:c>
      <x:c r="H40" s="40" t="n">
        <x:v>0</x:v>
      </x:c>
      <x:c r="I40" s="40" t="n">
        <x:v>0</x:v>
      </x:c>
      <x:c r="J40" s="40" t="n">
        <x:v>0</x:v>
      </x:c>
      <x:c r="K40" s="40" t="n">
        <x:v>0</x:v>
      </x:c>
      <x:c r="L40" s="40" t="n">
        <x:v>0</x:v>
      </x:c>
      <x:c r="M40" s="40" t="n">
        <x:v>0</x:v>
      </x:c>
      <x:c r="N40" s="40" t="n">
        <x:v>0</x:v>
      </x:c>
      <x:c r="O40" s="78" t="n">
        <x:f>SUM(B40:N40)</x:f>
        <x:v>0</x:v>
      </x:c>
    </x:row>
    <x:row r="41">
      <x:c r="A41" s="75" t="str">
        <x:v>Other operating</x:v>
      </x:c>
      <x:c r="B41" s="40" t="n">
        <x:v>5000</x:v>
      </x:c>
      <x:c r="C41" s="40" t="n">
        <x:v>5000</x:v>
      </x:c>
      <x:c r="D41" s="40" t="n">
        <x:v>5000</x:v>
      </x:c>
      <x:c r="E41" s="40" t="n">
        <x:v>5000</x:v>
      </x:c>
      <x:c r="F41" s="40" t="n">
        <x:v>5000</x:v>
      </x:c>
      <x:c r="G41" s="40" t="n">
        <x:v>5000</x:v>
      </x:c>
      <x:c r="H41" s="40" t="n">
        <x:v>5000</x:v>
      </x:c>
      <x:c r="I41" s="40" t="n">
        <x:v>5000</x:v>
      </x:c>
      <x:c r="J41" s="40" t="n">
        <x:v>5000</x:v>
      </x:c>
      <x:c r="K41" s="40" t="n">
        <x:v>5000</x:v>
      </x:c>
      <x:c r="L41" s="40" t="n">
        <x:v>5000</x:v>
      </x:c>
      <x:c r="M41" s="40" t="n">
        <x:v>5000</x:v>
      </x:c>
      <x:c r="N41" s="40" t="n">
        <x:v>5000</x:v>
      </x:c>
      <x:c r="O41" s="78" t="n">
        <x:f>SUM(B41:N41)</x:f>
        <x:v>65000</x:v>
      </x:c>
    </x:row>
    <x:row r="42">
      <x:c r="A42" s="75" t="str">
        <x:v>Scenario payment adjustment</x:v>
      </x:c>
      <x:c r="B42" s="44" t="n">
        <x:f>IF(B$7="Actual",0,SUM(B22,B31,B33,B41)*(INDEX(Assumptions!$D$15:$D$17,MATCH(Assumptions!$B$12,Assumptions!$B$15:$B$17,0))-1))</x:f>
        <x:v>0</x:v>
      </x:c>
      <x:c r="C42" s="44" t="n">
        <x:f>IF(C$7="Actual",0,SUM(C22,C31,C33,C41)*(INDEX(Assumptions!$D$15:$D$17,MATCH(Assumptions!$B$12,Assumptions!$B$15:$B$17,0))-1))</x:f>
        <x:v>0</x:v>
      </x:c>
      <x:c r="D42" s="44" t="n">
        <x:f>IF(D$7="Actual",0,SUM(D22,D31,D33,D41)*(INDEX(Assumptions!$D$15:$D$17,MATCH(Assumptions!$B$12,Assumptions!$B$15:$B$17,0))-1))</x:f>
        <x:v>0</x:v>
      </x:c>
      <x:c r="E42" s="44" t="n">
        <x:f>IF(E$7="Actual",0,SUM(E22,E31,E33,E41)*(INDEX(Assumptions!$D$15:$D$17,MATCH(Assumptions!$B$12,Assumptions!$B$15:$B$17,0))-1))</x:f>
        <x:v>0</x:v>
      </x:c>
      <x:c r="F42" s="44" t="n">
        <x:f>IF(F$7="Actual",0,SUM(F22,F31,F33,F41)*(INDEX(Assumptions!$D$15:$D$17,MATCH(Assumptions!$B$12,Assumptions!$B$15:$B$17,0))-1))</x:f>
        <x:v>0</x:v>
      </x:c>
      <x:c r="G42" s="44" t="n">
        <x:f>IF(G$7="Actual",0,SUM(G22,G31,G33,G41)*(INDEX(Assumptions!$D$15:$D$17,MATCH(Assumptions!$B$12,Assumptions!$B$15:$B$17,0))-1))</x:f>
        <x:v>0</x:v>
      </x:c>
      <x:c r="H42" s="44" t="n">
        <x:f>IF(H$7="Actual",0,SUM(H22,H31,H33,H41)*(INDEX(Assumptions!$D$15:$D$17,MATCH(Assumptions!$B$12,Assumptions!$B$15:$B$17,0))-1))</x:f>
        <x:v>0</x:v>
      </x:c>
      <x:c r="I42" s="44" t="n">
        <x:f>IF(I$7="Actual",0,SUM(I22,I31,I33,I41)*(INDEX(Assumptions!$D$15:$D$17,MATCH(Assumptions!$B$12,Assumptions!$B$15:$B$17,0))-1))</x:f>
        <x:v>0</x:v>
      </x:c>
      <x:c r="J42" s="44" t="n">
        <x:f>IF(J$7="Actual",0,SUM(J22,J31,J33,J41)*(INDEX(Assumptions!$D$15:$D$17,MATCH(Assumptions!$B$12,Assumptions!$B$15:$B$17,0))-1))</x:f>
        <x:v>0</x:v>
      </x:c>
      <x:c r="K42" s="44" t="n">
        <x:f>IF(K$7="Actual",0,SUM(K22,K31,K33,K41)*(INDEX(Assumptions!$D$15:$D$17,MATCH(Assumptions!$B$12,Assumptions!$B$15:$B$17,0))-1))</x:f>
        <x:v>0</x:v>
      </x:c>
      <x:c r="L42" s="44" t="n">
        <x:f>IF(L$7="Actual",0,SUM(L22,L31,L33,L41)*(INDEX(Assumptions!$D$15:$D$17,MATCH(Assumptions!$B$12,Assumptions!$B$15:$B$17,0))-1))</x:f>
        <x:v>0</x:v>
      </x:c>
      <x:c r="M42" s="44" t="n">
        <x:f>IF(M$7="Actual",0,SUM(M22,M31,M33,M41)*(INDEX(Assumptions!$D$15:$D$17,MATCH(Assumptions!$B$12,Assumptions!$B$15:$B$17,0))-1))</x:f>
        <x:v>0</x:v>
      </x:c>
      <x:c r="N42" s="44" t="n">
        <x:f>IF(N$7="Actual",0,SUM(N22,N31,N33,N41)*(INDEX(Assumptions!$D$15:$D$17,MATCH(Assumptions!$B$12,Assumptions!$B$15:$B$17,0))-1))</x:f>
        <x:v>0</x:v>
      </x:c>
      <x:c r="O42" s="78" t="n">
        <x:f>SUM(B42:N42)</x:f>
        <x:v>0</x:v>
      </x:c>
    </x:row>
    <x:row r="43">
      <x:c r="A43" s="39" t="str">
        <x:v>Total cash payments</x:v>
      </x:c>
      <x:c r="B43" s="45" t="n">
        <x:f>SUM(B22:B42)</x:f>
        <x:v>212000</x:v>
      </x:c>
      <x:c r="C43" s="45" t="n">
        <x:f>SUM(C22:C42)</x:f>
        <x:v>178000</x:v>
      </x:c>
      <x:c r="D43" s="45" t="n">
        <x:f>SUM(D22:D42)</x:f>
        <x:v>182000</x:v>
      </x:c>
      <x:c r="E43" s="45" t="n">
        <x:f>SUM(E22:E42)</x:f>
        <x:v>179000</x:v>
      </x:c>
      <x:c r="F43" s="45" t="n">
        <x:f>SUM(F22:F42)</x:f>
        <x:v>232000</x:v>
      </x:c>
      <x:c r="G43" s="45" t="n">
        <x:f>SUM(G22:G42)</x:f>
        <x:v>209000</x:v>
      </x:c>
      <x:c r="H43" s="45" t="n">
        <x:f>SUM(H22:H42)</x:f>
        <x:v>197000</x:v>
      </x:c>
      <x:c r="I43" s="45" t="n">
        <x:f>SUM(I22:I42)</x:f>
        <x:v>192000</x:v>
      </x:c>
      <x:c r="J43" s="45" t="n">
        <x:f>SUM(J22:J42)</x:f>
        <x:v>307000</x:v>
      </x:c>
      <x:c r="K43" s="45" t="n">
        <x:f>SUM(K22:K42)</x:f>
        <x:v>229000</x:v>
      </x:c>
      <x:c r="L43" s="45" t="n">
        <x:f>SUM(L22:L42)</x:f>
        <x:v>192000</x:v>
      </x:c>
      <x:c r="M43" s="45" t="n">
        <x:f>SUM(M22:M42)</x:f>
        <x:v>179000</x:v>
      </x:c>
      <x:c r="N43" s="45" t="n">
        <x:f>SUM(N22:N42)</x:f>
        <x:v>219000</x:v>
      </x:c>
      <x:c r="O43" s="42" t="n">
        <x:f>SUM(B43:N43)</x:f>
        <x:v>2707000</x:v>
      </x:c>
    </x:row>
    <x:row r="44">
      <x:c r="A44" s="75"/>
      <x:c r="B44" s="78"/>
      <x:c r="C44" s="78"/>
      <x:c r="D44" s="78"/>
      <x:c r="E44" s="78"/>
      <x:c r="F44" s="78"/>
      <x:c r="G44" s="78"/>
      <x:c r="H44" s="78"/>
      <x:c r="I44" s="78"/>
      <x:c r="J44" s="78"/>
      <x:c r="K44" s="78"/>
      <x:c r="L44" s="78"/>
      <x:c r="M44" s="78"/>
      <x:c r="N44" s="78"/>
      <x:c r="O44" s="78"/>
    </x:row>
    <x:row r="45">
      <x:c r="A45" s="15" t="str">
        <x:v>CASH POSITION</x:v>
      </x:c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</x:row>
    <x:row r="46">
      <x:c r="A46" s="75" t="str">
        <x:v>Opening cash balance</x:v>
      </x:c>
      <x:c r="B46" s="46" t="n">
        <x:f>'Assumptions'!$B$10</x:f>
        <x:v>400000</x:v>
      </x:c>
      <x:c r="C46" s="46" t="n">
        <x:f>B48</x:f>
        <x:v>358000</x:v>
      </x:c>
      <x:c r="D46" s="46" t="n">
        <x:f>C48</x:f>
        <x:v>349000</x:v>
      </x:c>
      <x:c r="E46" s="46" t="n">
        <x:f>D48</x:f>
        <x:v>325000</x:v>
      </x:c>
      <x:c r="F46" s="46" t="n">
        <x:f>E48</x:f>
        <x:v>293000</x:v>
      </x:c>
      <x:c r="G46" s="46" t="n">
        <x:f>F48</x:f>
        <x:v>201000</x:v>
      </x:c>
      <x:c r="H46" s="46" t="n">
        <x:f>G48</x:f>
        <x:v>133000</x:v>
      </x:c>
      <x:c r="I46" s="46" t="n">
        <x:f>H48</x:f>
        <x:v>217000</x:v>
      </x:c>
      <x:c r="J46" s="46" t="n">
        <x:f>I48</x:f>
        <x:v>160000</x:v>
      </x:c>
      <x:c r="K46" s="46" t="n">
        <x:f>J48</x:f>
        <x:v>117000</x:v>
      </x:c>
      <x:c r="L46" s="46" t="n">
        <x:f>K48</x:f>
        <x:v>137000</x:v>
      </x:c>
      <x:c r="M46" s="46" t="n">
        <x:f>L48</x:f>
        <x:v>99000</x:v>
      </x:c>
      <x:c r="N46" s="46" t="n">
        <x:f>M48</x:f>
        <x:v>82000</x:v>
      </x:c>
      <x:c r="O46" s="78" t="n">
        <x:f>N46</x:f>
        <x:v>82000</x:v>
      </x:c>
    </x:row>
    <x:row r="47">
      <x:c r="A47" s="75" t="str">
        <x:v>Net cash movement</x:v>
      </x:c>
      <x:c r="B47" s="44" t="n">
        <x:f>B19-B43</x:f>
        <x:v>-42000</x:v>
      </x:c>
      <x:c r="C47" s="44" t="n">
        <x:f>C19-C43</x:f>
        <x:v>-9000</x:v>
      </x:c>
      <x:c r="D47" s="44" t="n">
        <x:f>D19-D43</x:f>
        <x:v>-24000</x:v>
      </x:c>
      <x:c r="E47" s="44" t="n">
        <x:f>E19-E43</x:f>
        <x:v>-32000</x:v>
      </x:c>
      <x:c r="F47" s="44" t="n">
        <x:f>F19-F43</x:f>
        <x:v>-92000</x:v>
      </x:c>
      <x:c r="G47" s="44" t="n">
        <x:f>G19-G43</x:f>
        <x:v>-68000</x:v>
      </x:c>
      <x:c r="H47" s="44" t="n">
        <x:f>H19-H43</x:f>
        <x:v>84000</x:v>
      </x:c>
      <x:c r="I47" s="44" t="n">
        <x:f>I19-I43</x:f>
        <x:v>-57000</x:v>
      </x:c>
      <x:c r="J47" s="44" t="n">
        <x:f>J19-J43</x:f>
        <x:v>-43000</x:v>
      </x:c>
      <x:c r="K47" s="44" t="n">
        <x:f>K19-K43</x:f>
        <x:v>20000</x:v>
      </x:c>
      <x:c r="L47" s="44" t="n">
        <x:f>L19-L43</x:f>
        <x:v>-38000</x:v>
      </x:c>
      <x:c r="M47" s="44" t="n">
        <x:f>M19-M43</x:f>
        <x:v>-17000</x:v>
      </x:c>
      <x:c r="N47" s="44" t="n">
        <x:f>N19-N43</x:f>
        <x:v>-51000</x:v>
      </x:c>
      <x:c r="O47" s="78" t="n">
        <x:f>SUM(B47:N47)</x:f>
        <x:v>-369000</x:v>
      </x:c>
    </x:row>
    <x:row r="48">
      <x:c r="A48" s="39" t="str">
        <x:v>Closing cash balance</x:v>
      </x:c>
      <x:c r="B48" s="45" t="n">
        <x:f>B46+B47</x:f>
        <x:v>358000</x:v>
      </x:c>
      <x:c r="C48" s="45" t="n">
        <x:f>C46+C47</x:f>
        <x:v>349000</x:v>
      </x:c>
      <x:c r="D48" s="45" t="n">
        <x:f>D46+D47</x:f>
        <x:v>325000</x:v>
      </x:c>
      <x:c r="E48" s="45" t="n">
        <x:f>E46+E47</x:f>
        <x:v>293000</x:v>
      </x:c>
      <x:c r="F48" s="45" t="n">
        <x:f>F46+F47</x:f>
        <x:v>201000</x:v>
      </x:c>
      <x:c r="G48" s="45" t="n">
        <x:f>G46+G47</x:f>
        <x:v>133000</x:v>
      </x:c>
      <x:c r="H48" s="45" t="n">
        <x:f>H46+H47</x:f>
        <x:v>217000</x:v>
      </x:c>
      <x:c r="I48" s="45" t="n">
        <x:f>I46+I47</x:f>
        <x:v>160000</x:v>
      </x:c>
      <x:c r="J48" s="45" t="n">
        <x:f>J46+J47</x:f>
        <x:v>117000</x:v>
      </x:c>
      <x:c r="K48" s="45" t="n">
        <x:f>K46+K47</x:f>
        <x:v>137000</x:v>
      </x:c>
      <x:c r="L48" s="45" t="n">
        <x:f>L46+L47</x:f>
        <x:v>99000</x:v>
      </x:c>
      <x:c r="M48" s="45" t="n">
        <x:f>M46+M47</x:f>
        <x:v>82000</x:v>
      </x:c>
      <x:c r="N48" s="45" t="n">
        <x:f>N46+N47</x:f>
        <x:v>31000</x:v>
      </x:c>
      <x:c r="O48" s="42" t="n">
        <x:f>N48</x:f>
        <x:v>31000</x:v>
      </x:c>
    </x:row>
    <x:row r="49">
      <x:c r="A49" s="75" t="str">
        <x:v>Minimum cash buffer</x:v>
      </x:c>
      <x:c r="B49" s="46" t="n">
        <x:f>'Assumptions'!$B$11</x:f>
        <x:v>100000</x:v>
      </x:c>
      <x:c r="C49" s="46" t="n">
        <x:f>'Assumptions'!$B$11</x:f>
        <x:v>100000</x:v>
      </x:c>
      <x:c r="D49" s="46" t="n">
        <x:f>'Assumptions'!$B$11</x:f>
        <x:v>100000</x:v>
      </x:c>
      <x:c r="E49" s="46" t="n">
        <x:f>'Assumptions'!$B$11</x:f>
        <x:v>100000</x:v>
      </x:c>
      <x:c r="F49" s="46" t="n">
        <x:f>'Assumptions'!$B$11</x:f>
        <x:v>100000</x:v>
      </x:c>
      <x:c r="G49" s="46" t="n">
        <x:f>'Assumptions'!$B$11</x:f>
        <x:v>100000</x:v>
      </x:c>
      <x:c r="H49" s="46" t="n">
        <x:f>'Assumptions'!$B$11</x:f>
        <x:v>100000</x:v>
      </x:c>
      <x:c r="I49" s="46" t="n">
        <x:f>'Assumptions'!$B$11</x:f>
        <x:v>100000</x:v>
      </x:c>
      <x:c r="J49" s="46" t="n">
        <x:f>'Assumptions'!$B$11</x:f>
        <x:v>100000</x:v>
      </x:c>
      <x:c r="K49" s="46" t="n">
        <x:f>'Assumptions'!$B$11</x:f>
        <x:v>100000</x:v>
      </x:c>
      <x:c r="L49" s="46" t="n">
        <x:f>'Assumptions'!$B$11</x:f>
        <x:v>100000</x:v>
      </x:c>
      <x:c r="M49" s="46" t="n">
        <x:f>'Assumptions'!$B$11</x:f>
        <x:v>100000</x:v>
      </x:c>
      <x:c r="N49" s="46" t="n">
        <x:f>'Assumptions'!$B$11</x:f>
        <x:v>100000</x:v>
      </x:c>
      <x:c r="O49" s="78" t="n">
        <x:f>N49</x:f>
        <x:v>100000</x:v>
      </x:c>
    </x:row>
    <x:row r="50">
      <x:c r="A50" s="39" t="str">
        <x:v>Headroom / (gap)</x:v>
      </x:c>
      <x:c r="B50" s="45" t="n">
        <x:f>B48-B49</x:f>
        <x:v>258000</x:v>
      </x:c>
      <x:c r="C50" s="45" t="n">
        <x:f>C48-C49</x:f>
        <x:v>249000</x:v>
      </x:c>
      <x:c r="D50" s="45" t="n">
        <x:f>D48-D49</x:f>
        <x:v>225000</x:v>
      </x:c>
      <x:c r="E50" s="45" t="n">
        <x:f>E48-E49</x:f>
        <x:v>193000</x:v>
      </x:c>
      <x:c r="F50" s="45" t="n">
        <x:f>F48-F49</x:f>
        <x:v>101000</x:v>
      </x:c>
      <x:c r="G50" s="45" t="n">
        <x:f>G48-G49</x:f>
        <x:v>33000</x:v>
      </x:c>
      <x:c r="H50" s="45" t="n">
        <x:f>H48-H49</x:f>
        <x:v>117000</x:v>
      </x:c>
      <x:c r="I50" s="45" t="n">
        <x:f>I48-I49</x:f>
        <x:v>60000</x:v>
      </x:c>
      <x:c r="J50" s="45" t="n">
        <x:f>J48-J49</x:f>
        <x:v>17000</x:v>
      </x:c>
      <x:c r="K50" s="45" t="n">
        <x:f>K48-K49</x:f>
        <x:v>37000</x:v>
      </x:c>
      <x:c r="L50" s="45" t="n">
        <x:f>L48-L49</x:f>
        <x:v>-1000</x:v>
      </x:c>
      <x:c r="M50" s="45" t="n">
        <x:f>M48-M49</x:f>
        <x:v>-18000</x:v>
      </x:c>
      <x:c r="N50" s="45" t="n">
        <x:f>N48-N49</x:f>
        <x:v>-69000</x:v>
      </x:c>
      <x:c r="O50" s="42" t="n">
        <x:f>N50</x:f>
        <x:v>-69000</x:v>
      </x:c>
    </x:row>
    <x:row r="51">
      <x:c r="A51" s="75" t="str">
        <x:v>Liquidity status</x:v>
      </x:c>
      <x:c r="B51" s="18" t="str">
        <x:f>IF(B48&lt;B49,"BELOW BUFFER",IF(B48&lt;=B49*1.25,"WATCH","OK"))</x:f>
        <x:v>OK</x:v>
      </x:c>
      <x:c r="C51" s="18" t="str">
        <x:f>IF(C48&lt;C49,"BELOW BUFFER",IF(C48&lt;=C49*1.25,"WATCH","OK"))</x:f>
        <x:v>OK</x:v>
      </x:c>
      <x:c r="D51" s="18" t="str">
        <x:f>IF(D48&lt;D49,"BELOW BUFFER",IF(D48&lt;=D49*1.25,"WATCH","OK"))</x:f>
        <x:v>OK</x:v>
      </x:c>
      <x:c r="E51" s="18" t="str">
        <x:f>IF(E48&lt;E49,"BELOW BUFFER",IF(E48&lt;=E49*1.25,"WATCH","OK"))</x:f>
        <x:v>OK</x:v>
      </x:c>
      <x:c r="F51" s="18" t="str">
        <x:f>IF(F48&lt;F49,"BELOW BUFFER",IF(F48&lt;=F49*1.25,"WATCH","OK"))</x:f>
        <x:v>OK</x:v>
      </x:c>
      <x:c r="G51" s="18" t="str">
        <x:f>IF(G48&lt;G49,"BELOW BUFFER",IF(G48&lt;=G49*1.25,"WATCH","OK"))</x:f>
        <x:v>OK</x:v>
      </x:c>
      <x:c r="H51" s="18" t="str">
        <x:f>IF(H48&lt;H49,"BELOW BUFFER",IF(H48&lt;=H49*1.25,"WATCH","OK"))</x:f>
        <x:v>OK</x:v>
      </x:c>
      <x:c r="I51" s="18" t="str">
        <x:f>IF(I48&lt;I49,"BELOW BUFFER",IF(I48&lt;=I49*1.25,"WATCH","OK"))</x:f>
        <x:v>OK</x:v>
      </x:c>
      <x:c r="J51" s="18" t="str">
        <x:f>IF(J48&lt;J49,"BELOW BUFFER",IF(J48&lt;=J49*1.25,"WATCH","OK"))</x:f>
        <x:v>WATCH</x:v>
      </x:c>
      <x:c r="K51" s="18" t="str">
        <x:f>IF(K48&lt;K49,"BELOW BUFFER",IF(K48&lt;=K49*1.25,"WATCH","OK"))</x:f>
        <x:v>OK</x:v>
      </x:c>
      <x:c r="L51" s="18" t="str">
        <x:f>IF(L48&lt;L49,"BELOW BUFFER",IF(L48&lt;=L49*1.25,"WATCH","OK"))</x:f>
        <x:v>BELOW BUFFER</x:v>
      </x:c>
      <x:c r="M51" s="18" t="str">
        <x:f>IF(M48&lt;M49,"BELOW BUFFER",IF(M48&lt;=M49*1.25,"WATCH","OK"))</x:f>
        <x:v>BELOW BUFFER</x:v>
      </x:c>
      <x:c r="N51" s="18" t="str">
        <x:f>IF(N48&lt;N49,"BELOW BUFFER",IF(N48&lt;=N49*1.25,"WATCH","OK"))</x:f>
        <x:v>BELOW BUFFER</x:v>
      </x:c>
      <x:c r="O51" s="75" t="str">
        <x:f>N51</x:f>
        <x:v>BELOW BUFFER</x:v>
      </x:c>
    </x:row>
  </x:sheetData>
  <x:mergeCells>
    <x:mergeCell ref="A1:O1"/>
    <x:mergeCell ref="A2:O2"/>
  </x:mergeCells>
  <x:conditionalFormatting sqref="B51:N51">
    <x:cfRule type="expression" dxfId="0" priority="1">
      <x:formula>B51="BELOW BUFFER"</x:formula>
    </x:cfRule>
    <x:cfRule type="expression" dxfId="1" priority="2">
      <x:formula>B51="WATCH"</x:formula>
    </x:cfRule>
    <x:cfRule type="expression" dxfId="2" priority="3">
      <x:formula>B51="OK"</x:formula>
    </x:cfRule>
  </x:conditionalFormatting>
  <x:pageMargins left="0.7" right="0.7" top="0.75" bottom="0.75" header="0.3" footer="0.3"/>
  <x:legacyDrawing xmlns:r="http://schemas.openxmlformats.org/officeDocument/2006/relationships" r:id="Rfa10216ceddb4f7b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19" hidden="0" customWidth="1"/>
    <x:col min="12" max="12" width="19" hidden="0" customWidth="1"/>
    <x:col min="13" max="13" width="19" hidden="0" customWidth="1"/>
    <x:col min="14" max="14" width="34" hidden="0" customWidth="1"/>
    <x:col min="15" max="15" width="18" hidden="0" customWidth="1"/>
  </x:cols>
  <x:sheetData>
    <x:row r="1" ht="28" customHeight="1">
      <x:c r="A1" s="4" t="str">
        <x:v>Weekly Review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0" customHeight="1">
      <x:c r="A2" s="8" t="str">
        <x:v>Preserve the original forecast as values, then compare it with actual receipts, payments and closing cash.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</x:row>
    <x:row r="4" ht="34" customHeight="1">
      <x:c r="A4" s="28" t="str">
        <x:v>Before updating the live forecast, paste the week's original period dates, receipts, payments and closing cash here as values. Snapshot cells must not link back to the live forecast.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 ht="42" customHeight="1">
      <x:c r="A5" s="47" t="str">
        <x:v>Snapshot week start</x:v>
      </x:c>
      <x:c r="B5" s="47" t="str">
        <x:v>Snapshot week end</x:v>
      </x:c>
      <x:c r="C5" s="47" t="str">
        <x:v>Forecast snapshot receipts</x:v>
      </x:c>
      <x:c r="D5" s="47" t="str">
        <x:v>Actual receipts</x:v>
      </x:c>
      <x:c r="E5" s="47" t="str">
        <x:v>Receipt variance $</x:v>
      </x:c>
      <x:c r="F5" s="47" t="str">
        <x:v>Receipt variance %</x:v>
      </x:c>
      <x:c r="G5" s="47" t="str">
        <x:v>Forecast snapshot payments</x:v>
      </x:c>
      <x:c r="H5" s="47" t="str">
        <x:v>Actual payments</x:v>
      </x:c>
      <x:c r="I5" s="47" t="str">
        <x:v>Payment variance $</x:v>
      </x:c>
      <x:c r="J5" s="47" t="str">
        <x:v>Payment variance %</x:v>
      </x:c>
      <x:c r="K5" s="47" t="str">
        <x:v>Forecast snapshot closing cash</x:v>
      </x:c>
      <x:c r="L5" s="47" t="str">
        <x:v>Actual closing cash</x:v>
      </x:c>
      <x:c r="M5" s="47" t="str">
        <x:v>Closing-cash variance</x:v>
      </x:c>
      <x:c r="N5" s="47" t="str">
        <x:v>Owner commentary</x:v>
      </x:c>
      <x:c r="O5" s="47" t="str">
        <x:v>Review status</x:v>
      </x:c>
    </x:row>
    <x:row r="6">
      <x:c r="A6" s="34" t="n">
        <x:v>46265</x:v>
      </x:c>
      <x:c r="B6" s="34" t="n">
        <x:v>46271</x:v>
      </x:c>
      <x:c r="C6" s="40" t="n">
        <x:v>170000</x:v>
      </x:c>
      <x:c r="D6" s="40"/>
      <x:c r="E6" s="44" t="str">
        <x:f>IF(D6="","",D6-C6)</x:f>
      </x:c>
      <x:c r="F6" s="51" t="str">
        <x:f>IF(OR(D6="",C6=0),"",(D6-C6)/C6)</x:f>
      </x:c>
      <x:c r="G6" s="40" t="n">
        <x:v>212000</x:v>
      </x:c>
      <x:c r="H6" s="40"/>
      <x:c r="I6" s="44" t="str">
        <x:f>IF(H6="","",G6-H6)</x:f>
      </x:c>
      <x:c r="J6" s="51" t="str">
        <x:f>IF(OR(H6="",G6=0),"",(G6-H6)/G6)</x:f>
      </x:c>
      <x:c r="K6" s="40" t="n">
        <x:v>358000</x:v>
      </x:c>
      <x:c r="L6" s="40"/>
      <x:c r="M6" s="44" t="str">
        <x:f>IF(L6="","",L6-K6)</x:f>
      </x:c>
      <x:c r="N6" s="17"/>
      <x:c r="O6" s="75" t="str">
        <x:f>IF(COUNTA(D6,H6,L6,N6)=0,"NOT STARTED",IF(AND(A6&lt;&gt;"",B6&lt;&gt;"",C6&lt;&gt;"",D6&lt;&gt;"",G6&lt;&gt;"",H6&lt;&gt;"",K6&lt;&gt;"",L6&lt;&gt;"",N6&lt;&gt;""),"COMPLETE","INCOMPLETE"))</x:f>
        <x:v>NOT STARTED</x:v>
      </x:c>
    </x:row>
    <x:row r="7">
      <x:c r="A7" s="34" t="n">
        <x:v>46272</x:v>
      </x:c>
      <x:c r="B7" s="34" t="n">
        <x:v>46278</x:v>
      </x:c>
      <x:c r="C7" s="40" t="n">
        <x:v>169000</x:v>
      </x:c>
      <x:c r="D7" s="40"/>
      <x:c r="E7" s="44" t="str">
        <x:f>IF(D7="","",D7-C7)</x:f>
      </x:c>
      <x:c r="F7" s="51" t="str">
        <x:f>IF(OR(D7="",C7=0),"",(D7-C7)/C7)</x:f>
      </x:c>
      <x:c r="G7" s="40" t="n">
        <x:v>178000</x:v>
      </x:c>
      <x:c r="H7" s="40"/>
      <x:c r="I7" s="44" t="str">
        <x:f>IF(H7="","",G7-H7)</x:f>
      </x:c>
      <x:c r="J7" s="51" t="str">
        <x:f>IF(OR(H7="",G7=0),"",(G7-H7)/G7)</x:f>
      </x:c>
      <x:c r="K7" s="40" t="n">
        <x:v>349000</x:v>
      </x:c>
      <x:c r="L7" s="40"/>
      <x:c r="M7" s="44" t="str">
        <x:f>IF(L7="","",L7-K7)</x:f>
      </x:c>
      <x:c r="N7" s="17"/>
      <x:c r="O7" s="75" t="str">
        <x:f>IF(COUNTA(D7,H7,L7,N7)=0,"NOT STARTED",IF(AND(A7&lt;&gt;"",B7&lt;&gt;"",C7&lt;&gt;"",D7&lt;&gt;"",G7&lt;&gt;"",H7&lt;&gt;"",K7&lt;&gt;"",L7&lt;&gt;"",N7&lt;&gt;""),"COMPLETE","INCOMPLETE"))</x:f>
        <x:v>NOT STARTED</x:v>
      </x:c>
    </x:row>
    <x:row r="8">
      <x:c r="A8" s="34" t="n">
        <x:v>46279</x:v>
      </x:c>
      <x:c r="B8" s="34" t="n">
        <x:v>46285</x:v>
      </x:c>
      <x:c r="C8" s="40" t="n">
        <x:v>158000</x:v>
      </x:c>
      <x:c r="D8" s="40"/>
      <x:c r="E8" s="44" t="str">
        <x:f>IF(D8="","",D8-C8)</x:f>
      </x:c>
      <x:c r="F8" s="51" t="str">
        <x:f>IF(OR(D8="",C8=0),"",(D8-C8)/C8)</x:f>
      </x:c>
      <x:c r="G8" s="40" t="n">
        <x:v>182000</x:v>
      </x:c>
      <x:c r="H8" s="40"/>
      <x:c r="I8" s="44" t="str">
        <x:f>IF(H8="","",G8-H8)</x:f>
      </x:c>
      <x:c r="J8" s="51" t="str">
        <x:f>IF(OR(H8="",G8=0),"",(G8-H8)/G8)</x:f>
      </x:c>
      <x:c r="K8" s="40" t="n">
        <x:v>325000</x:v>
      </x:c>
      <x:c r="L8" s="40"/>
      <x:c r="M8" s="44" t="str">
        <x:f>IF(L8="","",L8-K8)</x:f>
      </x:c>
      <x:c r="N8" s="17"/>
      <x:c r="O8" s="75" t="str">
        <x:f>IF(COUNTA(D8,H8,L8,N8)=0,"NOT STARTED",IF(AND(A8&lt;&gt;"",B8&lt;&gt;"",C8&lt;&gt;"",D8&lt;&gt;"",G8&lt;&gt;"",H8&lt;&gt;"",K8&lt;&gt;"",L8&lt;&gt;"",N8&lt;&gt;""),"COMPLETE","INCOMPLETE"))</x:f>
        <x:v>NOT STARTED</x:v>
      </x:c>
    </x:row>
    <x:row r="9">
      <x:c r="A9" s="34" t="n">
        <x:v>46286</x:v>
      </x:c>
      <x:c r="B9" s="34" t="n">
        <x:v>46292</x:v>
      </x:c>
      <x:c r="C9" s="40" t="n">
        <x:v>147000</x:v>
      </x:c>
      <x:c r="D9" s="40"/>
      <x:c r="E9" s="44" t="str">
        <x:f>IF(D9="","",D9-C9)</x:f>
      </x:c>
      <x:c r="F9" s="51" t="str">
        <x:f>IF(OR(D9="",C9=0),"",(D9-C9)/C9)</x:f>
      </x:c>
      <x:c r="G9" s="40" t="n">
        <x:v>179000</x:v>
      </x:c>
      <x:c r="H9" s="40"/>
      <x:c r="I9" s="44" t="str">
        <x:f>IF(H9="","",G9-H9)</x:f>
      </x:c>
      <x:c r="J9" s="51" t="str">
        <x:f>IF(OR(H9="",G9=0),"",(G9-H9)/G9)</x:f>
      </x:c>
      <x:c r="K9" s="40" t="n">
        <x:v>293000</x:v>
      </x:c>
      <x:c r="L9" s="40"/>
      <x:c r="M9" s="44" t="str">
        <x:f>IF(L9="","",L9-K9)</x:f>
      </x:c>
      <x:c r="N9" s="17"/>
      <x:c r="O9" s="75" t="str">
        <x:f>IF(COUNTA(D9,H9,L9,N9)=0,"NOT STARTED",IF(AND(A9&lt;&gt;"",B9&lt;&gt;"",C9&lt;&gt;"",D9&lt;&gt;"",G9&lt;&gt;"",H9&lt;&gt;"",K9&lt;&gt;"",L9&lt;&gt;"",N9&lt;&gt;""),"COMPLETE","INCOMPLETE"))</x:f>
        <x:v>NOT STARTED</x:v>
      </x:c>
    </x:row>
    <x:row r="10">
      <x:c r="A10" s="34" t="n">
        <x:v>46293</x:v>
      </x:c>
      <x:c r="B10" s="34" t="n">
        <x:v>46299</x:v>
      </x:c>
      <x:c r="C10" s="40" t="n">
        <x:v>140000</x:v>
      </x:c>
      <x:c r="D10" s="40"/>
      <x:c r="E10" s="44" t="str">
        <x:f>IF(D10="","",D10-C10)</x:f>
      </x:c>
      <x:c r="F10" s="51" t="str">
        <x:f>IF(OR(D10="",C10=0),"",(D10-C10)/C10)</x:f>
      </x:c>
      <x:c r="G10" s="40" t="n">
        <x:v>232000</x:v>
      </x:c>
      <x:c r="H10" s="40"/>
      <x:c r="I10" s="44" t="str">
        <x:f>IF(H10="","",G10-H10)</x:f>
      </x:c>
      <x:c r="J10" s="51" t="str">
        <x:f>IF(OR(H10="",G10=0),"",(G10-H10)/G10)</x:f>
      </x:c>
      <x:c r="K10" s="40" t="n">
        <x:v>201000</x:v>
      </x:c>
      <x:c r="L10" s="40"/>
      <x:c r="M10" s="44" t="str">
        <x:f>IF(L10="","",L10-K10)</x:f>
      </x:c>
      <x:c r="N10" s="17"/>
      <x:c r="O10" s="75" t="str">
        <x:f>IF(COUNTA(D10,H10,L10,N10)=0,"NOT STARTED",IF(AND(A10&lt;&gt;"",B10&lt;&gt;"",C10&lt;&gt;"",D10&lt;&gt;"",G10&lt;&gt;"",H10&lt;&gt;"",K10&lt;&gt;"",L10&lt;&gt;"",N10&lt;&gt;""),"COMPLETE","INCOMPLETE"))</x:f>
        <x:v>NOT STARTED</x:v>
      </x:c>
    </x:row>
    <x:row r="11">
      <x:c r="A11" s="34" t="n">
        <x:v>46300</x:v>
      </x:c>
      <x:c r="B11" s="34" t="n">
        <x:v>46306</x:v>
      </x:c>
      <x:c r="C11" s="40" t="n">
        <x:v>141000</x:v>
      </x:c>
      <x:c r="D11" s="40"/>
      <x:c r="E11" s="44" t="str">
        <x:f>IF(D11="","",D11-C11)</x:f>
      </x:c>
      <x:c r="F11" s="51" t="str">
        <x:f>IF(OR(D11="",C11=0),"",(D11-C11)/C11)</x:f>
      </x:c>
      <x:c r="G11" s="40" t="n">
        <x:v>209000</x:v>
      </x:c>
      <x:c r="H11" s="40"/>
      <x:c r="I11" s="44" t="str">
        <x:f>IF(H11="","",G11-H11)</x:f>
      </x:c>
      <x:c r="J11" s="51" t="str">
        <x:f>IF(OR(H11="",G11=0),"",(G11-H11)/G11)</x:f>
      </x:c>
      <x:c r="K11" s="40" t="n">
        <x:v>133000</x:v>
      </x:c>
      <x:c r="L11" s="40"/>
      <x:c r="M11" s="44" t="str">
        <x:f>IF(L11="","",L11-K11)</x:f>
      </x:c>
      <x:c r="N11" s="17"/>
      <x:c r="O11" s="75" t="str">
        <x:f>IF(COUNTA(D11,H11,L11,N11)=0,"NOT STARTED",IF(AND(A11&lt;&gt;"",B11&lt;&gt;"",C11&lt;&gt;"",D11&lt;&gt;"",G11&lt;&gt;"",H11&lt;&gt;"",K11&lt;&gt;"",L11&lt;&gt;"",N11&lt;&gt;""),"COMPLETE","INCOMPLETE"))</x:f>
        <x:v>NOT STARTED</x:v>
      </x:c>
    </x:row>
    <x:row r="12">
      <x:c r="A12" s="34" t="n">
        <x:v>46307</x:v>
      </x:c>
      <x:c r="B12" s="34" t="n">
        <x:v>46313</x:v>
      </x:c>
      <x:c r="C12" s="40" t="n">
        <x:v>281000</x:v>
      </x:c>
      <x:c r="D12" s="40"/>
      <x:c r="E12" s="44" t="str">
        <x:f>IF(D12="","",D12-C12)</x:f>
      </x:c>
      <x:c r="F12" s="51" t="str">
        <x:f>IF(OR(D12="",C12=0),"",(D12-C12)/C12)</x:f>
      </x:c>
      <x:c r="G12" s="40" t="n">
        <x:v>197000</x:v>
      </x:c>
      <x:c r="H12" s="40"/>
      <x:c r="I12" s="44" t="str">
        <x:f>IF(H12="","",G12-H12)</x:f>
      </x:c>
      <x:c r="J12" s="51" t="str">
        <x:f>IF(OR(H12="",G12=0),"",(G12-H12)/G12)</x:f>
      </x:c>
      <x:c r="K12" s="40" t="n">
        <x:v>217000</x:v>
      </x:c>
      <x:c r="L12" s="40"/>
      <x:c r="M12" s="44" t="str">
        <x:f>IF(L12="","",L12-K12)</x:f>
      </x:c>
      <x:c r="N12" s="17"/>
      <x:c r="O12" s="75" t="str">
        <x:f>IF(COUNTA(D12,H12,L12,N12)=0,"NOT STARTED",IF(AND(A12&lt;&gt;"",B12&lt;&gt;"",C12&lt;&gt;"",D12&lt;&gt;"",G12&lt;&gt;"",H12&lt;&gt;"",K12&lt;&gt;"",L12&lt;&gt;"",N12&lt;&gt;""),"COMPLETE","INCOMPLETE"))</x:f>
        <x:v>NOT STARTED</x:v>
      </x:c>
    </x:row>
    <x:row r="13">
      <x:c r="A13" s="34" t="n">
        <x:v>46314</x:v>
      </x:c>
      <x:c r="B13" s="34" t="n">
        <x:v>46320</x:v>
      </x:c>
      <x:c r="C13" s="40" t="n">
        <x:v>135000</x:v>
      </x:c>
      <x:c r="D13" s="40"/>
      <x:c r="E13" s="44" t="str">
        <x:f>IF(D13="","",D13-C13)</x:f>
      </x:c>
      <x:c r="F13" s="51" t="str">
        <x:f>IF(OR(D13="",C13=0),"",(D13-C13)/C13)</x:f>
      </x:c>
      <x:c r="G13" s="40" t="n">
        <x:v>192000</x:v>
      </x:c>
      <x:c r="H13" s="40"/>
      <x:c r="I13" s="44" t="str">
        <x:f>IF(H13="","",G13-H13)</x:f>
      </x:c>
      <x:c r="J13" s="51" t="str">
        <x:f>IF(OR(H13="",G13=0),"",(G13-H13)/G13)</x:f>
      </x:c>
      <x:c r="K13" s="40" t="n">
        <x:v>160000</x:v>
      </x:c>
      <x:c r="L13" s="40"/>
      <x:c r="M13" s="44" t="str">
        <x:f>IF(L13="","",L13-K13)</x:f>
      </x:c>
      <x:c r="N13" s="17"/>
      <x:c r="O13" s="75" t="str">
        <x:f>IF(COUNTA(D13,H13,L13,N13)=0,"NOT STARTED",IF(AND(A13&lt;&gt;"",B13&lt;&gt;"",C13&lt;&gt;"",D13&lt;&gt;"",G13&lt;&gt;"",H13&lt;&gt;"",K13&lt;&gt;"",L13&lt;&gt;"",N13&lt;&gt;""),"COMPLETE","INCOMPLETE"))</x:f>
        <x:v>NOT STARTED</x:v>
      </x:c>
    </x:row>
    <x:row r="14">
      <x:c r="A14" s="34" t="n">
        <x:v>46321</x:v>
      </x:c>
      <x:c r="B14" s="34" t="n">
        <x:v>46327</x:v>
      </x:c>
      <x:c r="C14" s="40" t="n">
        <x:v>264000</x:v>
      </x:c>
      <x:c r="D14" s="40"/>
      <x:c r="E14" s="44" t="str">
        <x:f>IF(D14="","",D14-C14)</x:f>
      </x:c>
      <x:c r="F14" s="51" t="str">
        <x:f>IF(OR(D14="",C14=0),"",(D14-C14)/C14)</x:f>
      </x:c>
      <x:c r="G14" s="40" t="n">
        <x:v>307000</x:v>
      </x:c>
      <x:c r="H14" s="40"/>
      <x:c r="I14" s="44" t="str">
        <x:f>IF(H14="","",G14-H14)</x:f>
      </x:c>
      <x:c r="J14" s="51" t="str">
        <x:f>IF(OR(H14="",G14=0),"",(G14-H14)/G14)</x:f>
      </x:c>
      <x:c r="K14" s="40" t="n">
        <x:v>117000</x:v>
      </x:c>
      <x:c r="L14" s="40"/>
      <x:c r="M14" s="44" t="str">
        <x:f>IF(L14="","",L14-K14)</x:f>
      </x:c>
      <x:c r="N14" s="17"/>
      <x:c r="O14" s="75" t="str">
        <x:f>IF(COUNTA(D14,H14,L14,N14)=0,"NOT STARTED",IF(AND(A14&lt;&gt;"",B14&lt;&gt;"",C14&lt;&gt;"",D14&lt;&gt;"",G14&lt;&gt;"",H14&lt;&gt;"",K14&lt;&gt;"",L14&lt;&gt;"",N14&lt;&gt;""),"COMPLETE","INCOMPLETE"))</x:f>
        <x:v>NOT STARTED</x:v>
      </x:c>
    </x:row>
    <x:row r="15">
      <x:c r="A15" s="34" t="n">
        <x:v>46328</x:v>
      </x:c>
      <x:c r="B15" s="34" t="n">
        <x:v>46334</x:v>
      </x:c>
      <x:c r="C15" s="40" t="n">
        <x:v>249000</x:v>
      </x:c>
      <x:c r="D15" s="40"/>
      <x:c r="E15" s="44" t="str">
        <x:f>IF(D15="","",D15-C15)</x:f>
      </x:c>
      <x:c r="F15" s="51" t="str">
        <x:f>IF(OR(D15="",C15=0),"",(D15-C15)/C15)</x:f>
      </x:c>
      <x:c r="G15" s="40" t="n">
        <x:v>229000</x:v>
      </x:c>
      <x:c r="H15" s="40"/>
      <x:c r="I15" s="44" t="str">
        <x:f>IF(H15="","",G15-H15)</x:f>
      </x:c>
      <x:c r="J15" s="51" t="str">
        <x:f>IF(OR(H15="",G15=0),"",(G15-H15)/G15)</x:f>
      </x:c>
      <x:c r="K15" s="40" t="n">
        <x:v>137000</x:v>
      </x:c>
      <x:c r="L15" s="40"/>
      <x:c r="M15" s="44" t="str">
        <x:f>IF(L15="","",L15-K15)</x:f>
      </x:c>
      <x:c r="N15" s="17"/>
      <x:c r="O15" s="75" t="str">
        <x:f>IF(COUNTA(D15,H15,L15,N15)=0,"NOT STARTED",IF(AND(A15&lt;&gt;"",B15&lt;&gt;"",C15&lt;&gt;"",D15&lt;&gt;"",G15&lt;&gt;"",H15&lt;&gt;"",K15&lt;&gt;"",L15&lt;&gt;"",N15&lt;&gt;""),"COMPLETE","INCOMPLETE"))</x:f>
        <x:v>NOT STARTED</x:v>
      </x:c>
    </x:row>
    <x:row r="16">
      <x:c r="A16" s="34" t="n">
        <x:v>46335</x:v>
      </x:c>
      <x:c r="B16" s="34" t="n">
        <x:v>46341</x:v>
      </x:c>
      <x:c r="C16" s="40" t="n">
        <x:v>154000</x:v>
      </x:c>
      <x:c r="D16" s="40"/>
      <x:c r="E16" s="44" t="str">
        <x:f>IF(D16="","",D16-C16)</x:f>
      </x:c>
      <x:c r="F16" s="51" t="str">
        <x:f>IF(OR(D16="",C16=0),"",(D16-C16)/C16)</x:f>
      </x:c>
      <x:c r="G16" s="40" t="n">
        <x:v>192000</x:v>
      </x:c>
      <x:c r="H16" s="40"/>
      <x:c r="I16" s="44" t="str">
        <x:f>IF(H16="","",G16-H16)</x:f>
      </x:c>
      <x:c r="J16" s="51" t="str">
        <x:f>IF(OR(H16="",G16=0),"",(G16-H16)/G16)</x:f>
      </x:c>
      <x:c r="K16" s="40" t="n">
        <x:v>99000</x:v>
      </x:c>
      <x:c r="L16" s="40"/>
      <x:c r="M16" s="44" t="str">
        <x:f>IF(L16="","",L16-K16)</x:f>
      </x:c>
      <x:c r="N16" s="17"/>
      <x:c r="O16" s="75" t="str">
        <x:f>IF(COUNTA(D16,H16,L16,N16)=0,"NOT STARTED",IF(AND(A16&lt;&gt;"",B16&lt;&gt;"",C16&lt;&gt;"",D16&lt;&gt;"",G16&lt;&gt;"",H16&lt;&gt;"",K16&lt;&gt;"",L16&lt;&gt;"",N16&lt;&gt;""),"COMPLETE","INCOMPLETE"))</x:f>
        <x:v>NOT STARTED</x:v>
      </x:c>
    </x:row>
    <x:row r="17">
      <x:c r="A17" s="34" t="n">
        <x:v>46342</x:v>
      </x:c>
      <x:c r="B17" s="34" t="n">
        <x:v>46348</x:v>
      </x:c>
      <x:c r="C17" s="40" t="n">
        <x:v>162000</x:v>
      </x:c>
      <x:c r="D17" s="40"/>
      <x:c r="E17" s="44" t="str">
        <x:f>IF(D17="","",D17-C17)</x:f>
      </x:c>
      <x:c r="F17" s="51" t="str">
        <x:f>IF(OR(D17="",C17=0),"",(D17-C17)/C17)</x:f>
      </x:c>
      <x:c r="G17" s="40" t="n">
        <x:v>179000</x:v>
      </x:c>
      <x:c r="H17" s="40"/>
      <x:c r="I17" s="44" t="str">
        <x:f>IF(H17="","",G17-H17)</x:f>
      </x:c>
      <x:c r="J17" s="51" t="str">
        <x:f>IF(OR(H17="",G17=0),"",(G17-H17)/G17)</x:f>
      </x:c>
      <x:c r="K17" s="40" t="n">
        <x:v>82000</x:v>
      </x:c>
      <x:c r="L17" s="40"/>
      <x:c r="M17" s="44" t="str">
        <x:f>IF(L17="","",L17-K17)</x:f>
      </x:c>
      <x:c r="N17" s="17"/>
      <x:c r="O17" s="75" t="str">
        <x:f>IF(COUNTA(D17,H17,L17,N17)=0,"NOT STARTED",IF(AND(A17&lt;&gt;"",B17&lt;&gt;"",C17&lt;&gt;"",D17&lt;&gt;"",G17&lt;&gt;"",H17&lt;&gt;"",K17&lt;&gt;"",L17&lt;&gt;"",N17&lt;&gt;""),"COMPLETE","INCOMPLETE"))</x:f>
        <x:v>NOT STARTED</x:v>
      </x:c>
    </x:row>
    <x:row r="18">
      <x:c r="A18" s="34" t="n">
        <x:v>46349</x:v>
      </x:c>
      <x:c r="B18" s="34" t="n">
        <x:v>46355</x:v>
      </x:c>
      <x:c r="C18" s="40" t="n">
        <x:v>168000</x:v>
      </x:c>
      <x:c r="D18" s="40"/>
      <x:c r="E18" s="44" t="str">
        <x:f>IF(D18="","",D18-C18)</x:f>
      </x:c>
      <x:c r="F18" s="51" t="str">
        <x:f>IF(OR(D18="",C18=0),"",(D18-C18)/C18)</x:f>
      </x:c>
      <x:c r="G18" s="40" t="n">
        <x:v>219000</x:v>
      </x:c>
      <x:c r="H18" s="40"/>
      <x:c r="I18" s="44" t="str">
        <x:f>IF(H18="","",G18-H18)</x:f>
      </x:c>
      <x:c r="J18" s="51" t="str">
        <x:f>IF(OR(H18="",G18=0),"",(G18-H18)/G18)</x:f>
      </x:c>
      <x:c r="K18" s="40" t="n">
        <x:v>31000</x:v>
      </x:c>
      <x:c r="L18" s="40"/>
      <x:c r="M18" s="44" t="str">
        <x:f>IF(L18="","",L18-K18)</x:f>
      </x:c>
      <x:c r="N18" s="17"/>
      <x:c r="O18" s="75" t="str">
        <x:f>IF(COUNTA(D18,H18,L18,N18)=0,"NOT STARTED",IF(AND(A18&lt;&gt;"",B18&lt;&gt;"",C18&lt;&gt;"",D18&lt;&gt;"",G18&lt;&gt;"",H18&lt;&gt;"",K18&lt;&gt;"",L18&lt;&gt;"",N18&lt;&gt;""),"COMPLETE","INCOMPLETE"))</x:f>
        <x:v>NOT STARTED</x:v>
      </x:c>
    </x:row>
  </x:sheetData>
  <x:mergeCells>
    <x:mergeCell ref="A1:O1"/>
    <x:mergeCell ref="A2:O2"/>
    <x:mergeCell ref="A4:O4"/>
  </x:mergeCells>
  <x:conditionalFormatting sqref="E6:E18">
    <x:cfRule type="expression" dxfId="3" priority="1">
      <x:formula>E6&gt;0</x:formula>
    </x:cfRule>
    <x:cfRule type="expression" dxfId="4" priority="2">
      <x:formula>E6&lt;0</x:formula>
    </x:cfRule>
  </x:conditionalFormatting>
  <x:conditionalFormatting sqref="I6:I18">
    <x:cfRule type="expression" dxfId="5" priority="3">
      <x:formula>I6&gt;0</x:formula>
    </x:cfRule>
    <x:cfRule type="expression" dxfId="6" priority="4">
      <x:formula>I6&lt;0</x:formula>
    </x:cfRule>
  </x:conditionalFormatting>
  <x:conditionalFormatting sqref="M6:M18">
    <x:cfRule type="expression" dxfId="7" priority="5">
      <x:formula>M6&gt;0</x:formula>
    </x:cfRule>
    <x:cfRule type="expression" dxfId="8" priority="6">
      <x:formula>M6&lt;0</x:formula>
    </x:cfRule>
  </x:conditionalFormatting>
  <x:conditionalFormatting sqref="F6:F18">
    <x:cfRule type="expression" dxfId="9" priority="7">
      <x:formula>F6&gt;0</x:formula>
    </x:cfRule>
    <x:cfRule type="expression" dxfId="10" priority="8">
      <x:formula>F6&lt;0</x:formula>
    </x:cfRule>
  </x:conditionalFormatting>
  <x:conditionalFormatting sqref="J6:J18">
    <x:cfRule type="expression" dxfId="11" priority="9">
      <x:formula>J6&gt;0</x:formula>
    </x:cfRule>
    <x:cfRule type="expression" dxfId="12" priority="10">
      <x:formula>J6&lt;0</x:formula>
    </x:cfRule>
  </x:conditionalFormatting>
  <x:conditionalFormatting sqref="O6:O18">
    <x:cfRule type="expression" dxfId="13" priority="11">
      <x:formula>O6="COMPLETE"</x:formula>
    </x:cfRule>
    <x:cfRule type="expression" dxfId="14" priority="12">
      <x:formula>O6="INCOMPLETE"</x:formula>
    </x:cfRule>
    <x:cfRule type="expression" dxfId="15" priority="13">
      <x:formula>O6="NOT STARTED"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8" hidden="0" customWidth="1"/>
    <x:col min="8" max="8" width="54" hidden="0" customWidth="1"/>
  </x:cols>
  <x:sheetData>
    <x:row r="1" ht="28" customHeight="1">
      <x:c r="A1" s="4" t="str">
        <x:v>Checks &amp; Sources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Formula-driven integrity controls and official Australian planning sources checked 26 August 2026.</x:v>
      </x:c>
      <x:c r="B2" s="8"/>
      <x:c r="C2" s="8"/>
      <x:c r="D2" s="8"/>
      <x:c r="E2" s="8"/>
      <x:c r="F2" s="8"/>
      <x:c r="G2" s="8"/>
      <x:c r="H2" s="8"/>
    </x:row>
    <x:row r="3">
      <x:c r="A3" s="75"/>
      <x:c r="B3" s="75"/>
      <x:c r="C3" s="75"/>
      <x:c r="D3" s="75"/>
      <x:c r="E3" s="75"/>
      <x:c r="F3" s="75"/>
      <x:c r="G3" s="75"/>
      <x:c r="H3" s="75"/>
    </x:row>
    <x:row r="4">
      <x:c r="A4" s="52" t="str">
        <x:v>MODEL STATUS</x:v>
      </x:c>
      <x:c r="B4" s="52" t="str">
        <x:f>IF(COUNTIF(F8:F16,"PASS")=9,"PASS","FAIL")</x:f>
        <x:v>PASS</x:v>
      </x:c>
      <x:c r="C4" s="52"/>
      <x:c r="D4" s="52" t="str">
        <x:v>LIQUIDITY STATUS</x:v>
      </x:c>
      <x:c r="E4" s="52" t="str">
        <x:f>IF(COUNTIF('13-Week Forecast'!$B$51:$N$51,"BELOW BUFFER")&gt;0,"ACTION REQUIRED",IF(COUNTIF('13-Week Forecast'!$B$51:$N$51,"WATCH")&gt;0,"WATCH","OK"))</x:f>
        <x:v>ACTION REQUIRED</x:v>
      </x:c>
      <x:c r="F4" s="75"/>
      <x:c r="G4" s="75"/>
      <x:c r="H4" s="75"/>
    </x:row>
    <x:row r="5">
      <x:c r="A5" s="75"/>
      <x:c r="B5" s="75"/>
      <x:c r="C5" s="75"/>
      <x:c r="D5" s="75"/>
      <x:c r="E5" s="75"/>
      <x:c r="F5" s="75"/>
      <x:c r="G5" s="75"/>
      <x:c r="H5" s="75"/>
    </x:row>
    <x:row r="6">
      <x:c r="A6" s="75"/>
      <x:c r="B6" s="75"/>
      <x:c r="C6" s="75"/>
      <x:c r="D6" s="75"/>
      <x:c r="E6" s="75"/>
      <x:c r="F6" s="75"/>
      <x:c r="G6" s="75"/>
      <x:c r="H6" s="75"/>
    </x:row>
    <x:row r="7">
      <x:c r="A7" s="15" t="str">
        <x:v>Check</x:v>
      </x:c>
      <x:c r="B7" s="15" t="str">
        <x:v>Actual</x:v>
      </x:c>
      <x:c r="C7" s="15" t="str">
        <x:v>Expected</x:v>
      </x:c>
      <x:c r="D7" s="15" t="str">
        <x:v>Difference</x:v>
      </x:c>
      <x:c r="E7" s="15" t="str">
        <x:v>Tolerance</x:v>
      </x:c>
      <x:c r="F7" s="15" t="str">
        <x:v>Status</x:v>
      </x:c>
      <x:c r="G7" s="15" t="str">
        <x:v>Where to fix</x:v>
      </x:c>
      <x:c r="H7" s="15" t="str">
        <x:v>Notes</x:v>
      </x:c>
    </x:row>
    <x:row r="8">
      <x:c r="A8" s="77" t="str">
        <x:v>Exactly 13 forecast weeks</x:v>
      </x:c>
      <x:c r="B8" s="79" t="n">
        <x:f>COLUMNS('13-Week Forecast'!$B$5:$N$5)</x:f>
        <x:v>13</x:v>
      </x:c>
      <x:c r="C8" s="79" t="n">
        <x:f>13</x:f>
        <x:v>13</x:v>
      </x:c>
      <x:c r="D8" s="79" t="n">
        <x:f>B8-C8</x:f>
        <x:v>0</x:v>
      </x:c>
      <x:c r="E8" s="79" t="n">
        <x:v>0</x:v>
      </x:c>
      <x:c r="F8" s="77" t="str">
        <x:f>IF(ABS(D8)&lt;=E8,"PASS","FAIL")</x:f>
        <x:v>PASS</x:v>
      </x:c>
      <x:c r="G8" s="77" t="str">
        <x:v>13-Week Forecast!B5:N5</x:v>
      </x:c>
      <x:c r="H8" s="77" t="str">
        <x:v>The weekly horizon must contain exactly 13 columns.</x:v>
      </x:c>
    </x:row>
    <x:row r="9">
      <x:c r="A9" s="77" t="str">
        <x:v>Forecast starts Monday</x:v>
      </x:c>
      <x:c r="B9" s="79" t="n">
        <x:f>WEEKDAY('Assumptions'!$B$8,2)</x:f>
        <x:v>1</x:v>
      </x:c>
      <x:c r="C9" s="79" t="n">
        <x:f>1</x:f>
        <x:v>1</x:v>
      </x:c>
      <x:c r="D9" s="79" t="n">
        <x:f>B9-C9</x:f>
        <x:v>0</x:v>
      </x:c>
      <x:c r="E9" s="79" t="n">
        <x:v>0</x:v>
      </x:c>
      <x:c r="F9" s="77" t="str">
        <x:f>IF(ABS(D9)&lt;=E9,"PASS","FAIL")</x:f>
        <x:v>PASS</x:v>
      </x:c>
      <x:c r="G9" s="77" t="str">
        <x:v>Assumptions!B8</x:v>
      </x:c>
      <x:c r="H9" s="77" t="str">
        <x:v>Forecast start date must be a Monday.</x:v>
      </x:c>
    </x:row>
    <x:row r="10">
      <x:c r="A10" s="77" t="str">
        <x:v>Selected scenario recognised</x:v>
      </x:c>
      <x:c r="B10" s="79" t="n">
        <x:f>COUNTIF('Assumptions'!$B$15:$B$17,'Assumptions'!$B$12)</x:f>
        <x:v>1</x:v>
      </x:c>
      <x:c r="C10" s="79" t="n">
        <x:f>1</x:f>
        <x:v>1</x:v>
      </x:c>
      <x:c r="D10" s="79" t="n">
        <x:f>B10-C10</x:f>
        <x:v>0</x:v>
      </x:c>
      <x:c r="E10" s="79" t="n">
        <x:v>0</x:v>
      </x:c>
      <x:c r="F10" s="77" t="str">
        <x:f>IF(ABS(D10)&lt;=E10,"PASS","FAIL")</x:f>
        <x:v>PASS</x:v>
      </x:c>
      <x:c r="G10" s="77" t="str">
        <x:v>Assumptions!B12</x:v>
      </x:c>
      <x:c r="H10" s="77" t="str">
        <x:v>Select Base, Upside or Downside.</x:v>
      </x:c>
    </x:row>
    <x:row r="11">
      <x:c r="A11" s="77" t="str">
        <x:v>Week 1 opening cash ties</x:v>
      </x:c>
      <x:c r="B11" s="80" t="n">
        <x:f>'13-Week Forecast'!$B$46</x:f>
        <x:v>400000</x:v>
      </x:c>
      <x:c r="C11" s="80" t="n">
        <x:f>'Assumptions'!$B$10</x:f>
        <x:v>400000</x:v>
      </x:c>
      <x:c r="D11" s="79" t="n">
        <x:f>B11-C11</x:f>
        <x:v>0</x:v>
      </x:c>
      <x:c r="E11" s="79" t="n">
        <x:v>0</x:v>
      </x:c>
      <x:c r="F11" s="77" t="str">
        <x:f>IF(ABS(D11)&lt;=E11,"PASS","FAIL")</x:f>
        <x:v>PASS</x:v>
      </x:c>
      <x:c r="G11" s="77" t="str">
        <x:v>13-Week Forecast!B46</x:v>
      </x:c>
      <x:c r="H11" s="77" t="str">
        <x:v>Week 1 opening cash must link to the control panel.</x:v>
      </x:c>
    </x:row>
    <x:row r="12">
      <x:c r="A12" s="77" t="str">
        <x:v>Weekly cash roll-forward equations</x:v>
      </x:c>
      <x:c r="B12" s="79" t="n">
        <x:f>MAX(ABS('13-Week Forecast'!$B$48-'13-Week Forecast'!$B$46-'13-Week Forecast'!$B$47),ABS('13-Week Forecast'!$C$48-'13-Week Forecast'!$C$46-'13-Week Forecast'!$C$47),ABS('13-Week Forecast'!$D$48-'13-Week Forecast'!$D$46-'13-Week Forecast'!$D$47),ABS('13-Week Forecast'!$E$48-'13-Week Forecast'!$E$46-'13-Week Forecast'!$E$47),ABS('13-Week Forecast'!$F$48-'13-Week Forecast'!$F$46-'13-Week Forecast'!$F$47),ABS('13-Week Forecast'!$G$48-'13-Week Forecast'!$G$46-'13-Week Forecast'!$G$47),ABS('13-Week Forecast'!$H$48-'13-Week Forecast'!$H$46-'13-Week Forecast'!$H$47),ABS('13-Week Forecast'!$I$48-'13-Week Forecast'!$I$46-'13-Week Forecast'!$I$47),ABS('13-Week Forecast'!$J$48-'13-Week Forecast'!$J$46-'13-Week Forecast'!$J$47),ABS('13-Week Forecast'!$K$48-'13-Week Forecast'!$K$46-'13-Week Forecast'!$K$47),ABS('13-Week Forecast'!$L$48-'13-Week Forecast'!$L$46-'13-Week Forecast'!$L$47),ABS('13-Week Forecast'!$M$48-'13-Week Forecast'!$M$46-'13-Week Forecast'!$M$47),ABS('13-Week Forecast'!$N$48-'13-Week Forecast'!$N$46-'13-Week Forecast'!$N$47),ABS('13-Week Forecast'!$C$46-'13-Week Forecast'!$B$48),ABS('13-Week Forecast'!$D$46-'13-Week Forecast'!$C$48),ABS('13-Week Forecast'!$E$46-'13-Week Forecast'!$D$48),ABS('13-Week Forecast'!$F$46-'13-Week Forecast'!$E$48),ABS('13-Week Forecast'!$G$46-'13-Week Forecast'!$F$48),ABS('13-Week Forecast'!$H$46-'13-Week Forecast'!$G$48),ABS('13-Week Forecast'!$I$46-'13-Week Forecast'!$H$48),ABS('13-Week Forecast'!$J$46-'13-Week Forecast'!$I$48),ABS('13-Week Forecast'!$K$46-'13-Week Forecast'!$J$48),ABS('13-Week Forecast'!$L$46-'13-Week Forecast'!$K$48),ABS('13-Week Forecast'!$M$46-'13-Week Forecast'!$L$48),ABS('13-Week Forecast'!$N$46-'13-Week Forecast'!$M$48))</x:f>
        <x:v>0</x:v>
      </x:c>
      <x:c r="C12" s="79" t="n">
        <x:f>0</x:f>
        <x:v>0</x:v>
      </x:c>
      <x:c r="D12" s="79" t="n">
        <x:f>B12-C12</x:f>
        <x:v>0</x:v>
      </x:c>
      <x:c r="E12" s="79" t="n">
        <x:v>0</x:v>
      </x:c>
      <x:c r="F12" s="77" t="str">
        <x:f>IF(ABS(D12)&lt;=E12,"PASS","FAIL")</x:f>
        <x:v>PASS</x:v>
      </x:c>
      <x:c r="G12" s="77" t="str">
        <x:v>13-Week Forecast!B46:N48</x:v>
      </x:c>
      <x:c r="H12" s="77" t="str">
        <x:v>Each close must equal opening plus net movement; each opening after Week 1 must equal the prior close.</x:v>
      </x:c>
    </x:row>
    <x:row r="13">
      <x:c r="A13" s="77" t="str">
        <x:v>Cash receipt totals reconcile</x:v>
      </x:c>
      <x:c r="B13" s="79" t="n">
        <x:f>MAX(ABS('13-Week Forecast'!$B$19-SUM('13-Week Forecast'!$B$10:$B$18)),ABS('13-Week Forecast'!$C$19-SUM('13-Week Forecast'!$C$10:$C$18)),ABS('13-Week Forecast'!$D$19-SUM('13-Week Forecast'!$D$10:$D$18)),ABS('13-Week Forecast'!$E$19-SUM('13-Week Forecast'!$E$10:$E$18)),ABS('13-Week Forecast'!$F$19-SUM('13-Week Forecast'!$F$10:$F$18)),ABS('13-Week Forecast'!$G$19-SUM('13-Week Forecast'!$G$10:$G$18)),ABS('13-Week Forecast'!$H$19-SUM('13-Week Forecast'!$H$10:$H$18)),ABS('13-Week Forecast'!$I$19-SUM('13-Week Forecast'!$I$10:$I$18)),ABS('13-Week Forecast'!$J$19-SUM('13-Week Forecast'!$J$10:$J$18)),ABS('13-Week Forecast'!$K$19-SUM('13-Week Forecast'!$K$10:$K$18)),ABS('13-Week Forecast'!$L$19-SUM('13-Week Forecast'!$L$10:$L$18)),ABS('13-Week Forecast'!$M$19-SUM('13-Week Forecast'!$M$10:$M$18)),ABS('13-Week Forecast'!$N$19-SUM('13-Week Forecast'!$N$10:$N$18)))</x:f>
        <x:v>0</x:v>
      </x:c>
      <x:c r="C13" s="79" t="n">
        <x:f>0</x:f>
        <x:v>0</x:v>
      </x:c>
      <x:c r="D13" s="79" t="n">
        <x:f>B13-C13</x:f>
        <x:v>0</x:v>
      </x:c>
      <x:c r="E13" s="79" t="n">
        <x:v>0</x:v>
      </x:c>
      <x:c r="F13" s="77" t="str">
        <x:f>IF(ABS(D13)&lt;=E13,"PASS","FAIL")</x:f>
        <x:v>PASS</x:v>
      </x:c>
      <x:c r="G13" s="77" t="str">
        <x:v>13-Week Forecast!B19:N19</x:v>
      </x:c>
      <x:c r="H13" s="77" t="str">
        <x:v>Maximum weekly difference; includes the selected-scenario receipt adjustment.</x:v>
      </x:c>
    </x:row>
    <x:row r="14">
      <x:c r="A14" s="77" t="str">
        <x:v>Cash payment totals reconcile</x:v>
      </x:c>
      <x:c r="B14" s="79" t="n">
        <x:f>MAX(ABS('13-Week Forecast'!$B$43-SUM('13-Week Forecast'!$B$22:$B$42)),ABS('13-Week Forecast'!$C$43-SUM('13-Week Forecast'!$C$22:$C$42)),ABS('13-Week Forecast'!$D$43-SUM('13-Week Forecast'!$D$22:$D$42)),ABS('13-Week Forecast'!$E$43-SUM('13-Week Forecast'!$E$22:$E$42)),ABS('13-Week Forecast'!$F$43-SUM('13-Week Forecast'!$F$22:$F$42)),ABS('13-Week Forecast'!$G$43-SUM('13-Week Forecast'!$G$22:$G$42)),ABS('13-Week Forecast'!$H$43-SUM('13-Week Forecast'!$H$22:$H$42)),ABS('13-Week Forecast'!$I$43-SUM('13-Week Forecast'!$I$22:$I$42)),ABS('13-Week Forecast'!$J$43-SUM('13-Week Forecast'!$J$22:$J$42)),ABS('13-Week Forecast'!$K$43-SUM('13-Week Forecast'!$K$22:$K$42)),ABS('13-Week Forecast'!$L$43-SUM('13-Week Forecast'!$L$22:$L$42)),ABS('13-Week Forecast'!$M$43-SUM('13-Week Forecast'!$M$22:$M$42)),ABS('13-Week Forecast'!$N$43-SUM('13-Week Forecast'!$N$22:$N$42)))</x:f>
        <x:v>0</x:v>
      </x:c>
      <x:c r="C14" s="79" t="n">
        <x:f>0</x:f>
        <x:v>0</x:v>
      </x:c>
      <x:c r="D14" s="79" t="n">
        <x:f>B14-C14</x:f>
        <x:v>0</x:v>
      </x:c>
      <x:c r="E14" s="79" t="n">
        <x:v>0</x:v>
      </x:c>
      <x:c r="F14" s="77" t="str">
        <x:f>IF(ABS(D14)&lt;=E14,"PASS","FAIL")</x:f>
        <x:v>PASS</x:v>
      </x:c>
      <x:c r="G14" s="77" t="str">
        <x:v>13-Week Forecast!B43:N43</x:v>
      </x:c>
      <x:c r="H14" s="77" t="str">
        <x:v>Maximum weekly difference; includes the selected-scenario payment adjustment.</x:v>
      </x:c>
    </x:row>
    <x:row r="15">
      <x:c r="A15" s="77" t="str">
        <x:v>Week 13 closing cash equation</x:v>
      </x:c>
      <x:c r="B15" s="80" t="n">
        <x:f>'13-Week Forecast'!$N$48</x:f>
        <x:v>31000</x:v>
      </x:c>
      <x:c r="C15" s="80" t="n">
        <x:f>'Assumptions'!$B$10+SUM('13-Week Forecast'!$B$47:$N$47)</x:f>
        <x:v>31000</x:v>
      </x:c>
      <x:c r="D15" s="79" t="n">
        <x:f>B15-C15</x:f>
        <x:v>0</x:v>
      </x:c>
      <x:c r="E15" s="79" t="n">
        <x:v>0</x:v>
      </x:c>
      <x:c r="F15" s="77" t="str">
        <x:f>IF(ABS(D15)&lt;=E15,"PASS","FAIL")</x:f>
        <x:v>PASS</x:v>
      </x:c>
      <x:c r="G15" s="77" t="str">
        <x:v>13-Week Forecast!N48</x:v>
      </x:c>
      <x:c r="H15" s="77" t="str">
        <x:v>Week 13 close must equal opening cash plus cumulative net movement.</x:v>
      </x:c>
    </x:row>
    <x:row r="16">
      <x:c r="A16" s="77" t="str">
        <x:v>Formula-error count</x:v>
      </x:c>
      <x:c r="B16" s="79" t="n">
        <x:f>SUMPRODUCT(--ISERROR('Assumptions'!$B$5:$E$24))+SUMPRODUCT(--ISERROR('13-Week Forecast'!$B$5:$O$51))+SUMPRODUCT(--ISERROR('Weekly Review'!$A$4:$O$18))+SUMPRODUCT(--ISERROR('Dashboard'!$A$6:$J$36))+SUMPRODUCT(--ISERROR('Dashboard'!$P$4:$S$49))</x:f>
        <x:v>0</x:v>
      </x:c>
      <x:c r="C16" s="79" t="n">
        <x:f>0</x:f>
        <x:v>0</x:v>
      </x:c>
      <x:c r="D16" s="79" t="n">
        <x:f>B16-C16</x:f>
        <x:v>0</x:v>
      </x:c>
      <x:c r="E16" s="79" t="n">
        <x:v>0</x:v>
      </x:c>
      <x:c r="F16" s="77" t="str">
        <x:f>IF(ABS(D16)&lt;=E16,"PASS","FAIL")</x:f>
        <x:v>PASS</x:v>
      </x:c>
      <x:c r="G16" s="77" t="str">
        <x:v>Assumptions, Forecast, Weekly Review and Dashboard</x:v>
      </x:c>
      <x:c r="H16" s="77" t="str">
        <x:v>Any formula error in the model ranges fails this check.</x:v>
      </x:c>
    </x:row>
    <x:row r="17">
      <x:c r="A17" s="75"/>
      <x:c r="B17" s="75"/>
      <x:c r="C17" s="75"/>
      <x:c r="D17" s="75"/>
      <x:c r="E17" s="75"/>
      <x:c r="F17" s="75"/>
      <x:c r="G17" s="75"/>
      <x:c r="H17" s="75"/>
    </x:row>
    <x:row r="18">
      <x:c r="A18" s="75"/>
      <x:c r="B18" s="75"/>
      <x:c r="C18" s="75"/>
      <x:c r="D18" s="75"/>
      <x:c r="E18" s="75"/>
      <x:c r="F18" s="75"/>
      <x:c r="G18" s="75"/>
      <x:c r="H18" s="75"/>
    </x:row>
    <x:row r="19">
      <x:c r="A19" s="75"/>
      <x:c r="B19" s="75"/>
      <x:c r="C19" s="75"/>
      <x:c r="D19" s="75"/>
      <x:c r="E19" s="75"/>
      <x:c r="F19" s="75"/>
      <x:c r="G19" s="75"/>
      <x:c r="H19" s="75"/>
    </x:row>
    <x:row r="20">
      <x:c r="A20" s="75"/>
      <x:c r="B20" s="75"/>
      <x:c r="C20" s="75"/>
      <x:c r="D20" s="75"/>
      <x:c r="E20" s="75"/>
      <x:c r="F20" s="75"/>
      <x:c r="G20" s="75"/>
      <x:c r="H20" s="75"/>
    </x:row>
    <x:row r="21">
      <x:c r="A21" s="15" t="str">
        <x:v>Source item</x:v>
      </x:c>
      <x:c r="B21" s="15" t="str">
        <x:v>Official URL</x:v>
      </x:c>
      <x:c r="C21" s="15" t="str">
        <x:v>Scope</x:v>
      </x:c>
      <x:c r="D21" s="15" t="str">
        <x:v>Checked</x:v>
      </x:c>
      <x:c r="E21" s="15" t="str">
        <x:v>Notes</x:v>
      </x:c>
      <x:c r="F21" s="15" t="str">
        <x:v>Planning treatment</x:v>
      </x:c>
      <x:c r="G21" s="75"/>
      <x:c r="H21" s="75"/>
    </x:row>
    <x:row r="22">
      <x:c r="A22" s="56" t="str">
        <x:v>GST standard rate</x:v>
      </x:c>
      <x:c r="B22" s="57" t="str">
        <x:v>https://www.legislation.gov.au/C2004A00446/latest/text</x:v>
      </x:c>
      <x:c r="C22" s="56" t="str">
        <x:v>GST default: 10% of the value of a taxable supply.</x:v>
      </x:c>
      <x:c r="D22" s="56" t="str">
        <x:v>26 August 2026</x:v>
      </x:c>
      <x:c r="E22" s="56" t="str">
        <x:v>The 10% default does not decide whether a transaction is taxable, GST-free, input taxed or outside the GST system.</x:v>
      </x:c>
      <x:c r="F22" s="56" t="str">
        <x:v>Keep tax classifications user-confirmed.</x:v>
      </x:c>
      <x:c r="G22" s="75"/>
      <x:c r="H22" s="75"/>
    </x:row>
    <x:row r="23">
      <x:c r="A23" s="56" t="str">
        <x:v>BAS due dates</x:v>
      </x:c>
      <x:c r="B23" s="57" t="str">
        <x:v>https://www.ato.gov.au/businesses-and-organisations/preparing-lodging-and-paying/business-activity-statements-bas/due-dates-for-lodging-and-paying-your-bas</x:v>
      </x:c>
      <x:c r="C23" s="56" t="str">
        <x:v>Monthly BAS planning pattern is generally the 21st day after the taxable period; quarterly dates are planning patterns only.</x:v>
      </x:c>
      <x:c r="D23" s="56" t="str">
        <x:v>26 August 2026</x:v>
      </x:c>
      <x:c r="E23" s="56" t="str">
        <x:v>The issued or entity-specific BAS due date controls. Online lodgement, registered-agent arrangements, holidays and entity circumstances can change the date.</x:v>
      </x:c>
      <x:c r="F23" s="56" t="str">
        <x:v>Use issued BAS and user-entered dates.</x:v>
      </x:c>
      <x:c r="G23" s="75"/>
      <x:c r="H23" s="75"/>
    </x:row>
    <x:row r="24">
      <x:c r="A24" s="56" t="str">
        <x:v>PAYG withholding</x:v>
      </x:c>
      <x:c r="B24" s="57" t="str">
        <x:v>https://www.ato.gov.au/businesses-and-organisations/hiring-and-paying-your-workers/payg-withholding</x:v>
      </x:c>
      <x:c r="C24" s="56" t="str">
        <x:v>PAYG withholding payment and reporting due dates vary with business size and circumstances.</x:v>
      </x:c>
      <x:c r="D24" s="56" t="str">
        <x:v>26 August 2026</x:v>
      </x:c>
      <x:c r="E24" s="56" t="str">
        <x:v>Confirm the applicable due date for the entity and reporting cycle.</x:v>
      </x:c>
      <x:c r="F24" s="56" t="str">
        <x:v>Keep payment dates user-entered and confirmed.</x:v>
      </x:c>
      <x:c r="G24" s="75"/>
      <x:c r="H24" s="75"/>
    </x:row>
    <x:row r="25">
      <x:c r="A25" s="56" t="str">
        <x:v>Super guarantee</x:v>
      </x:c>
      <x:c r="B25" s="57" t="str">
        <x:v>https://www.ato.gov.au/tax-rates-and-codes/key-superannuation-rates-and-thresholds/super-guarantee</x:v>
      </x:c>
      <x:c r="C25" s="56" t="str">
        <x:v>Default SG rate: 12.0% from 1 July 2025, including 1 July 2026 to 30 June 2027.</x:v>
      </x:c>
      <x:c r="D25" s="56" t="str">
        <x:v>26 August 2026</x:v>
      </x:c>
      <x:c r="E25" s="56" t="str">
        <x:v>Apply only after checking worker eligibility, earnings base and special rules.</x:v>
      </x:c>
      <x:c r="F25" s="56" t="str">
        <x:v>Weekly super is illustrative FP&amp;A input.</x:v>
      </x:c>
      <x:c r="G25" s="75"/>
      <x:c r="H25" s="75"/>
    </x:row>
    <x:row r="26">
      <x:c r="A26" s="56" t="str">
        <x:v>Payday Super</x:v>
      </x:c>
      <x:c r="B26" s="57" t="str">
        <x:v>https://softwaredevelopers.ato.gov.au/PaydaySuper</x:v>
      </x:c>
      <x:c r="C26" s="56" t="str">
        <x:v>From 1 July 2026, pay SG with each pay cycle. The fund must generally receive it by the seventh business day after payday.</x:v>
      </x:c>
      <x:c r="D26" s="56" t="str">
        <x:v>26 August 2026</x:v>
      </x:c>
      <x:c r="E26" s="56" t="str">
        <x:v>Fund receipt, not employer submission, is the statutory timing anchor. Allow for eligible longer periods.</x:v>
      </x:c>
      <x:c r="F26" s="56" t="str">
        <x:v>Illustrative forecast starts after the July 2026 transition.</x:v>
      </x:c>
      <x:c r="G26" s="75"/>
      <x:c r="H26" s="75"/>
    </x:row>
    <x:row r="27">
      <x:c r="A27" s="75"/>
      <x:c r="B27" s="75"/>
      <x:c r="C27" s="75"/>
      <x:c r="D27" s="75"/>
      <x:c r="E27" s="75"/>
      <x:c r="F27" s="75"/>
      <x:c r="G27" s="75"/>
      <x:c r="H27" s="75"/>
    </x:row>
    <x:row r="28">
      <x:c r="A28" s="59" t="str">
        <x:v>Disclaimer: Illustrative FP&amp;A cash-planning model only. Statutory amounts and dates are indicative assumptions, not tax, BAS, payroll, superannuation or legal advice. Entity-specific lodgement dates and tax classifications must be confirmed by the user or adviser before relying on the model or lodging or paying.</x:v>
      </x:c>
      <x:c r="B28" s="59"/>
      <x:c r="C28" s="59"/>
      <x:c r="D28" s="59"/>
      <x:c r="E28" s="59"/>
      <x:c r="F28" s="59"/>
      <x:c r="G28" s="59"/>
      <x:c r="H28" s="59"/>
    </x:row>
    <x:row r="29">
      <x:c r="A29" s="59"/>
      <x:c r="B29" s="59"/>
      <x:c r="C29" s="59"/>
      <x:c r="D29" s="59"/>
      <x:c r="E29" s="59"/>
      <x:c r="F29" s="59"/>
      <x:c r="G29" s="59"/>
      <x:c r="H29" s="59"/>
    </x:row>
    <x:row r="30">
      <x:c r="A30" s="59"/>
      <x:c r="B30" s="59"/>
      <x:c r="C30" s="59"/>
      <x:c r="D30" s="59"/>
      <x:c r="E30" s="59"/>
      <x:c r="F30" s="59"/>
      <x:c r="G30" s="59"/>
      <x:c r="H30" s="59"/>
    </x:row>
  </x:sheetData>
  <x:mergeCells>
    <x:mergeCell ref="A1:H1"/>
    <x:mergeCell ref="A2:H2"/>
    <x:mergeCell ref="A28:H30"/>
  </x:mergeCells>
  <x:conditionalFormatting sqref="B4:B4">
    <x:cfRule type="expression" dxfId="16" priority="1">
      <x:formula>B4="PASS"</x:formula>
    </x:cfRule>
    <x:cfRule type="expression" dxfId="17" priority="2">
      <x:formula>B4="FAIL"</x:formula>
    </x:cfRule>
  </x:conditionalFormatting>
  <x:conditionalFormatting sqref="E4:E4">
    <x:cfRule type="expression" dxfId="18" priority="3">
      <x:formula>E4="ACTION REQUIRED"</x:formula>
    </x:cfRule>
    <x:cfRule type="expression" dxfId="19" priority="4">
      <x:formula>E4="WATCH"</x:formula>
    </x:cfRule>
    <x:cfRule type="expression" dxfId="20" priority="5">
      <x:formula>E4="OK"</x:formula>
    </x:cfRule>
  </x:conditionalFormatting>
  <x:conditionalFormatting sqref="F8:F16">
    <x:cfRule type="expression" dxfId="21" priority="6">
      <x:formula>F8="PASS"</x:formula>
    </x:cfRule>
    <x:cfRule type="expression" dxfId="22" priority="7">
      <x:formula>F8="FAIL"</x:formula>
    </x:cfRule>
  </x:conditionalFormatting>
  <x:pageMargins left="0.7" right="0.7" top="0.75" bottom="0.75" header="0.3" footer="0.3"/>
</x:worksheet>
</file>