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43c48add1d42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c6463e792faf46f4"/>
    <x:sheet xmlns:r="http://schemas.openxmlformats.org/officeDocument/2006/relationships" name="Dashboard" sheetId="2" r:id="Ra5bf1840a7a849d6"/>
    <x:sheet xmlns:r="http://schemas.openxmlformats.org/officeDocument/2006/relationships" name="Assumptions" sheetId="3" r:id="R569615fbea9c4417"/>
    <x:sheet xmlns:r="http://schemas.openxmlformats.org/officeDocument/2006/relationships" name="13-Week Forecast" sheetId="4" r:id="R8549e76a58c646a3"/>
    <x:sheet xmlns:r="http://schemas.openxmlformats.org/officeDocument/2006/relationships" name="Weekly Review" sheetId="5" r:id="R4b268d1345624768"/>
    <x:sheet xmlns:r="http://schemas.openxmlformats.org/officeDocument/2006/relationships" name="Checks &amp; Sources" sheetId="6" r:id="R7ad570235965495b"/>
  </x:sheets>
  <x:definedNames>
    <x:definedName name="CashFlowScenario">'Assumptions'!$B$12</x:definedName>
    <x:definedName name="CashFlowSelectedScenario">'Assumptions'!$B$12</x:definedName>
    <x:definedName name="CashFlowScenarioList">'Assumptions'!$B$15:$B$17</x:definedName>
  </x:definedNames>
</x:workbook>
</file>

<file path=xl/comments1.xml><?xml version="1.0" encoding="utf-8"?>
<x:comments xmlns:x="http://schemas.openxmlformats.org/spreadsheetml/2006/main">
  <x:authors>
    <x:author>tc={6150C06D-0457-5C86-C3C0-AE0049FE548F}</x:author>
    <x:author>tc={10FFFD00-D8ED-6C1E-A4F9-A29DB51051D7}</x:author>
    <x:author>tc={BDF069F6-163C-548D-0C24-D5CD3190C6B0}</x:author>
    <x:author>tc={31BA30AE-D302-55C2-C616-5D8A9C3C43C7}</x:author>
  </x:authors>
  <x:commentList>
    <x:comment ref="B1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receipt adjustment applies the selected scenario only to current customer receipts, overdue receipts and cash / EFTPOS sales. Week 1 is Actual, so the adjustment is zero.</x:t>
        </x:r>
      </x:text>
    </x:comment>
    <x:comment ref="B42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Scenario payment adjustment applies the selected scenario only to suppliers, marketing, freight / vehicles / travel and other operating payments. Week 1 is Actual, so the adjustment is zero.</x:t>
        </x:r>
      </x:text>
    </x:comment>
    <x:comment ref="B34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GST / BAS cash timing is illustrative. Confirm your entity's reporting cycle, due date and payment arrangement before relying on this forecast.</x:t>
        </x:r>
      </x:text>
    </x:comment>
    <x:comment ref="B35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PAYG income-tax instalment timing and amount are illustrative. Confirm the applicable ATO notice and adviser instructions.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dd mmm yyyy"/>
    <x:numFmt numFmtId="201" formatCode="&quot;$&quot;#,##0;[Red](&quot;$&quot;#,##0);-"/>
    <x:numFmt numFmtId="202" formatCode="0.0%"/>
    <x:numFmt numFmtId="203" formatCode="#,##0;[Red](#,##0);-"/>
  </x:numFmts>
  <x:fonts count="14">
    <x:font>
      <x:sz val="11"/>
      <x:name val="Carlito"/>
    </x:font>
    <x:font>
      <x:sz val="11"/>
      <x:color rgb="FF2B2733"/>
      <x:name val="Aptos"/>
    </x:font>
    <x:font>
      <x:b/>
      <x:sz val="18"/>
      <x:color rgb="FFFFFFFF"/>
      <x:name val="Aptos Display"/>
    </x:font>
    <x:font>
      <x:sz val="10"/>
      <x:color rgb="FF2B2733"/>
      <x:name val="Aptos"/>
    </x:font>
    <x:font>
      <x:b/>
      <x:sz val="11"/>
      <x:color rgb="FFFFFFFF"/>
      <x:name val="Aptos"/>
    </x:font>
    <x:font>
      <x:sz val="11"/>
      <x:color rgb="FF008000"/>
      <x:name val="Aptos"/>
    </x:font>
    <x:font>
      <x:sz val="11"/>
      <x:color rgb="FF0000FF"/>
      <x:name val="Aptos"/>
    </x:font>
    <x:font>
      <x:sz val="11"/>
      <x:color rgb="FF000000"/>
      <x:name val="Aptos"/>
    </x:font>
    <x:font>
      <x:sz val="11"/>
      <x:color rgb="FFC00000"/>
      <x:name val="Aptos"/>
    </x:font>
    <x:font>
      <x:sz val="11"/>
      <x:color rgb="FF4F485E"/>
      <x:name val="Aptos"/>
    </x:font>
    <x:font>
      <x:b/>
      <x:sz val="12"/>
      <x:color rgb="FF04001F"/>
      <x:name val="Aptos"/>
    </x:font>
    <x:font>
      <x:b/>
      <x:sz val="11"/>
      <x:color rgb="FF2B2733"/>
      <x:name val="Aptos"/>
    </x:font>
    <x:font>
      <x:b/>
      <x:sz val="11"/>
      <x:color rgb="FF04001F"/>
      <x:name val="Aptos"/>
    </x:font>
    <x:font>
      <x:b/>
      <x:sz val="11"/>
      <x:color rgb="FF000000"/>
      <x:name val="Aptos"/>
    </x:font>
  </x:fonts>
  <x:fills count="12">
    <x:fill>
      <x:patternFill patternType="none"/>
    </x:fill>
    <x:fill>
      <x:patternFill patternType="gray125"/>
    </x:fill>
    <x:fill>
      <x:patternFill patternType="solid">
        <x:fgColor rgb="FF5C2D91"/>
      </x:patternFill>
    </x:fill>
    <x:fill>
      <x:patternFill patternType="solid">
        <x:fgColor rgb="FFF3F1F6"/>
      </x:patternFill>
    </x:fill>
    <x:fill>
      <x:patternFill patternType="solid">
        <x:fgColor rgb="FFC00000"/>
      </x:patternFill>
    </x:fill>
    <x:fill>
      <x:patternFill patternType="solid">
        <x:fgColor rgb="FF04001F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7A5AB5"/>
      </x:patternFill>
    </x:fill>
    <x:fill>
      <x:patternFill patternType="solid">
        <x:fgColor rgb="FFDED9E8"/>
      </x:patternFill>
    </x:fill>
    <x:fill>
      <x:patternFill patternType="solid">
        <x:fgColor rgb="FFFFFFFF"/>
      </x:patternFill>
    </x:fill>
    <x:fill>
      <x:patternFill patternType="solid">
        <x:fgColor rgb="FFB1AFAD"/>
      </x:patternFill>
    </x:fill>
  </x:fills>
  <x:borders count="2">
    <x:border/>
    <x:border>
      <x:bottom style="double">
        <x:color rgb="FF4F485E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200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0" xfId="0" applyNumberFormat="1" applyFont="1" applyFill="1" applyBorder="1" applyAlignment="1">
      <x:alignment horizontal="center"/>
    </x:xf>
    <x:xf numFmtId="201" fontId="10" fillId="10" borderId="0" xfId="0" applyNumberFormat="1" applyFont="1" applyFill="1" applyBorder="1" applyAlignment="1">
      <x:alignment horizontal="center"/>
    </x:xf>
    <x:xf numFmtId="200" fontId="10" fillId="10" borderId="0" xfId="0" applyNumberFormat="1" applyFont="1" applyFill="1" applyBorder="1" applyAlignment="1">
      <x:alignment horizontal="center"/>
    </x:xf>
    <x:xf numFmtId="201" fontId="0" fillId="0" borderId="0" xfId="0" applyNumberFormat="1" applyFont="1" applyFill="1" applyBorder="1"/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0" fontId="9" fillId="5" borderId="0" xfId="0" applyNumberFormat="1" applyFont="1" applyFill="1" applyBorder="1"/>
    <x:xf numFmtId="0" fontId="6" fillId="11" borderId="0" xfId="0" applyNumberFormat="1" applyFont="1" applyFill="1" applyBorder="1"/>
    <x:xf numFmtId="200" fontId="6" fillId="11" borderId="0" xfId="0" applyNumberFormat="1" applyFont="1" applyFill="1" applyBorder="1"/>
    <x:xf numFmtId="201" fontId="6" fillId="11" borderId="0" xfId="0" applyNumberFormat="1" applyFont="1" applyFill="1" applyBorder="1"/>
    <x:xf numFmtId="202" fontId="6" fillId="3" borderId="0" xfId="0" applyNumberFormat="1" applyFont="1" applyFill="1" applyBorder="1"/>
    <x:xf numFmtId="200" fontId="0" fillId="9" borderId="0" xfId="0" applyNumberFormat="1" applyFont="1" applyFill="1" applyBorder="1"/>
    <x:xf numFmtId="200" fontId="11" fillId="9" borderId="0" xfId="0" applyNumberFormat="1" applyFont="1" applyFill="1" applyBorder="1"/>
    <x:xf numFmtId="0" fontId="11" fillId="9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1" xfId="0" applyNumberFormat="1" applyFont="1" applyFill="1" applyBorder="1"/>
    <x:xf numFmtId="201" fontId="6" fillId="3" borderId="0" xfId="0" applyNumberFormat="1" applyFont="1" applyFill="1" applyBorder="1"/>
    <x:xf numFmtId="201" fontId="12" fillId="0" borderId="1" xfId="0" applyNumberFormat="1" applyFont="1" applyFill="1" applyBorder="1"/>
    <x:xf numFmtId="201" fontId="4" fillId="5" borderId="0" xfId="0" applyNumberFormat="1" applyFont="1" applyFill="1" applyBorder="1"/>
    <x:xf numFmtId="201" fontId="7" fillId="0" borderId="0" xfId="0" applyNumberFormat="1" applyFont="1" applyFill="1" applyBorder="1"/>
    <x:xf numFmtId="201" fontId="13" fillId="0" borderId="1" xfId="0" applyNumberFormat="1" applyFont="1" applyFill="1" applyBorder="1"/>
    <x:xf numFmtId="201" fontId="0" fillId="3" borderId="0" xfId="0" applyNumberFormat="1" applyFont="1" applyFill="1" applyBorder="1"/>
    <x:xf numFmtId="0" fontId="4" fillId="5" borderId="0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8"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5C2D91"/>
      </x:font>
      <x:fill>
        <x:patternFill patternType="solid">
          <x:bgColor rgb="FFDED9E8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0080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1c909cec90468e" /><Relationship Type="http://schemas.openxmlformats.org/officeDocument/2006/relationships/theme" Target="/xl/theme/theme1.xml" Id="R9e614d94fb8c479b" /><Relationship Type="http://schemas.openxmlformats.org/officeDocument/2006/relationships/sharedStrings" Target="/xl/sharedStrings.xml" Id="R24f6dd147f2c40a2" /><Relationship Type="http://schemas.openxmlformats.org/officeDocument/2006/relationships/worksheet" Target="/xl/worksheets/sheet1.xml" Id="Rc6463e792faf46f4" /><Relationship Type="http://schemas.openxmlformats.org/officeDocument/2006/relationships/worksheet" Target="/xl/worksheets/sheet2.xml" Id="Ra5bf1840a7a849d6" /><Relationship Type="http://schemas.openxmlformats.org/officeDocument/2006/relationships/worksheet" Target="/xl/worksheets/sheet3.xml" Id="R569615fbea9c4417" /><Relationship Type="http://schemas.openxmlformats.org/officeDocument/2006/relationships/worksheet" Target="/xl/worksheets/sheet4.xml" Id="R8549e76a58c646a3" /><Relationship Type="http://schemas.openxmlformats.org/officeDocument/2006/relationships/worksheet" Target="/xl/worksheets/sheet5.xml" Id="R4b268d1345624768" /><Relationship Type="http://schemas.openxmlformats.org/officeDocument/2006/relationships/worksheet" Target="/xl/worksheets/sheet6.xml" Id="R7ad570235965495b" /><Relationship Type="http://schemas.microsoft.com/office/2017/10/relationships/person" Target="/xl/persons/person.xml" Id="Rbe14035c44da48a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4d8477e6a94356" /><Relationship Type="http://schemas.openxmlformats.org/officeDocument/2006/relationships/chart" Target="/xl/drawings/charts/chart2.xml" Id="R496d2c41286a4ac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Closing cash vs minimum buffer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lineChart>
        <c:grouping val="standard"/>
        <c:varyColors val="0"/>
        <c:ser>
          <c:idx val="0"/>
          <c:order val="0"/>
          <c:tx>
            <c:v>Closing cash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'Dashboard'!$Q$5:$Q$17</c:f>
              <c:numCache>
                <c:formatCode>"$"#,##0;[Red]("$"#,##0);-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Minimum buffer</c:v>
          </c:tx>
          <c:marker>
            <c:symbol val="none"/>
          </c:marker>
          <c:cat>
            <c:strRef>
              <c:f>'Dashboard'!$P$5:$P$17</c:f>
              <c:strCache>
                <c:ptCount val="0"/>
              </c:strCache>
            </c:strRef>
          </c:cat>
          <c:val>
            <c:numRef>
              <c:f>'Dashboard'!$R$5:$R$17</c:f>
              <c:numCache>
                <c:formatCode>"$"#,##0;[Red]("$"#,##0);-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/>
              <a:t>Weekly receipts vs payments (AUD)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/>
          </a:pPr>
        </a:p>
      </c:txPr>
    </c:title>
    <c:plotArea>
      <c:barChart>
        <c:barDir val="col"/>
        <c:grouping val="clustered"/>
        <c:varyColors val="0"/>
        <c:ser>
          <c:idx val="0"/>
          <c:order val="0"/>
          <c:tx>
            <c:v>Total cash receipts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'Dashboard'!$Q$22:$Q$34</c:f>
              <c:numCache>
                <c:formatCode>"$"#,##0;[Red]("$"#,##0);-</c:formatCode>
                <c:ptCount val="0"/>
              </c:numCache>
            </c:numRef>
          </c:val>
        </c:ser>
        <c:ser>
          <c:idx val="1"/>
          <c:order val="1"/>
          <c:tx>
            <c:v>Total cash payments</c:v>
          </c:tx>
          <c:cat>
            <c:strRef>
              <c:f>'Dashboard'!$P$22:$P$34</c:f>
              <c:strCache>
                <c:ptCount val="0"/>
              </c:strCache>
            </c:strRef>
          </c:cat>
          <c:val>
            <c:numRef>
              <c:f>'Dashboard'!$R$22:$R$34</c:f>
              <c:numCache>
                <c:formatCode>"$"#,##0;[Red]("$"#,##0);-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4d8477e6a94356"/>
        </a:graphicData>
      </a:graphic>
    </xdr:graphicFrame>
    <xdr:clientData/>
  </xdr:twoCellAnchor>
  <xdr:twoCellAnchor>
    <xdr:from>
      <xdr:col>5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96d2c41286a4acb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ser" id="{1DA5EA16-2278-4414-9D93-50966BD9A7B8}"/>
</xltc:personList>
</file>

<file path=xl/theme/theme1.xml><?xml version="1.0" encoding="utf-8"?>
<a:theme xmlns:a="http://schemas.openxmlformats.org/drawingml/2006/main" name="ChatGPT">
  <a:themeElements>
    <a:clrScheme name="Ozzit">
      <a:dk1>
        <a:srgbClr val="04001F"/>
      </a:dk1>
      <a:lt1>
        <a:srgbClr val="FFFFFF"/>
      </a:lt1>
      <a:dk2>
        <a:srgbClr val="0E2841"/>
      </a:dk2>
      <a:lt2>
        <a:srgbClr val="F3F1F6"/>
      </a:lt2>
      <a:accent1>
        <a:srgbClr val="5C2D91"/>
      </a:accent1>
      <a:accent2>
        <a:srgbClr val="04001F"/>
      </a:accent2>
      <a:accent3>
        <a:srgbClr val="7A5AB5"/>
      </a:accent3>
      <a:accent4>
        <a:srgbClr val="4F485E"/>
      </a:accent4>
      <a:accent5>
        <a:srgbClr val="DED9E8"/>
      </a:accent5>
      <a:accent6>
        <a:srgbClr val="B1AFAD"/>
      </a:accent6>
      <a:hlink>
        <a:srgbClr val="7A5AB5"/>
      </a:hlink>
      <a:folHlink>
        <a:srgbClr val="4F485E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zzi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18" dT="2026-08-26T14:16:10.492" personId="{1DA5EA16-2278-4414-9D93-50966BD9A7B8}" id="{6150C06D-0457-5C86-C3C0-AE0049FE548F}">
    <xltc:text>Scenario receipt adjustment applies the selected scenario only to current customer receipts, overdue receipts and cash / EFTPOS sales. Week 1 is Actual, so the adjustment is zero.</xltc:text>
  </xltc:threadedComment>
  <xltc:threadedComment ref="B42" dT="2026-08-26T14:16:10.492" personId="{1DA5EA16-2278-4414-9D93-50966BD9A7B8}" id="{10FFFD00-D8ED-6C1E-A4F9-A29DB51051D7}">
    <xltc:text>Scenario payment adjustment applies the selected scenario only to suppliers, marketing, freight / vehicles / travel and other operating payments. Week 1 is Actual, so the adjustment is zero.</xltc:text>
  </xltc:threadedComment>
  <xltc:threadedComment ref="B34" dT="2026-08-26T14:16:10.492" personId="{1DA5EA16-2278-4414-9D93-50966BD9A7B8}" id="{BDF069F6-163C-548D-0C24-D5CD3190C6B0}">
    <xltc:text>GST / BAS cash timing is illustrative. Confirm your entity's reporting cycle, due date and payment arrangement before relying on this forecast.</xltc:text>
  </xltc:threadedComment>
  <xltc:threadedComment ref="B35" dT="2026-08-26T14:16:10.492" personId="{1DA5EA16-2278-4414-9D93-50966BD9A7B8}" id="{31BA30AE-D302-55C2-C616-5D8A9C3C43C7}">
    <xltc:text>PAYG income-tax instalment timing and amount are illustrative. Confirm the applicable ATO notice and adviser instructions.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4b1483b845a4cf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0f5168234f984d36" /><Relationship Type="http://schemas.openxmlformats.org/officeDocument/2006/relationships/vmlDrawing" Target="/xl/drawings/vmldrawing.vml" Id="R03cec6b27bdd4e44" /><Relationship Type="http://schemas.microsoft.com/office/2017/10/relationships/threadedComment" Target="/xl/threadedcomments/threadedcomment.xml" Id="Rc4079e003c1949c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8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4" t="str">
        <x:v>Ozzit | 13-Week Cash-Flow Forecast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A practical weekly liquidity model for Australian finance teams and small-business operators.</x:v>
      </x:c>
      <x:c r="B2" s="8"/>
      <x:c r="C2" s="8"/>
      <x:c r="D2" s="8"/>
      <x:c r="E2" s="8"/>
      <x:c r="F2" s="8"/>
      <x:c r="G2" s="8"/>
      <x:c r="H2" s="8"/>
    </x:row>
    <x:row r="4">
      <x:c r="A4" s="10" t="str">
        <x:v>ILLUSTRATIVE DATA | Replace every blue input with your organisation's current cash-flow assumptions.</x:v>
      </x:c>
      <x:c r="B4" s="10"/>
      <x:c r="C4" s="10"/>
      <x:c r="D4" s="10"/>
      <x:c r="E4" s="10"/>
      <x:c r="F4" s="10"/>
      <x:c r="G4" s="10"/>
      <x:c r="H4" s="10"/>
    </x:row>
    <x:row r="6">
      <x:c r="A6" t="str">
        <x:v>Version</x:v>
      </x:c>
      <x:c r="B6" t="str">
        <x:v>1.0 scaffold</x:v>
      </x:c>
      <x:c r="D6" s="23" t="str">
        <x:v>Quick links</x:v>
      </x:c>
      <x:c r="E6" s="23"/>
      <x:c r="F6" s="23"/>
      <x:c r="G6" s="23"/>
      <x:c r="H6" s="23"/>
    </x:row>
    <x:row r="7">
      <x:c r="A7" t="str">
        <x:v>Prepared date</x:v>
      </x:c>
      <x:c r="B7" s="11" t="n">
        <x:v>46260</x:v>
      </x:c>
      <x:c r="D7" s="12" t="e">
        <x:f>HYPERLINK("#'Dashboard'!A1","Dashboard")</x:f>
        <x:v>HYPERLINK is not implemented. linkLocation=#'Dashboard'!A1, friendlyName=Dashboard</x:v>
      </x:c>
    </x:row>
    <x:row r="8">
      <x:c r="A8" t="str">
        <x:v>Currency</x:v>
      </x:c>
      <x:c r="B8" t="str">
        <x:v>AUD</x:v>
      </x:c>
      <x:c r="D8" s="12" t="e">
        <x:f>HYPERLINK("#'Assumptions'!A1","Assumptions")</x:f>
        <x:v>HYPERLINK is not implemented. linkLocation=#'Assumptions'!A1, friendlyName=Assumptions</x:v>
      </x:c>
    </x:row>
    <x:row r="9">
      <x:c r="A9" t="str">
        <x:v>Units</x:v>
      </x:c>
      <x:c r="B9" t="str">
        <x:v>Whole dollars</x:v>
      </x:c>
      <x:c r="D9" s="12" t="e">
        <x:f>HYPERLINK("#'13-Week Forecast'!A1","13-Week Forecast")</x:f>
        <x:v>HYPERLINK is not implemented. linkLocation=#'13-Week Forecast'!A1, friendlyName=13-Week Forecast</x:v>
      </x:c>
    </x:row>
    <x:row r="10">
      <x:c r="A10" t="str">
        <x:v>Selected scenario</x:v>
      </x:c>
      <x:c r="B10" s="12" t="str">
        <x:f>'Assumptions'!$B$12</x:f>
        <x:v>Base</x:v>
      </x:c>
      <x:c r="D10" s="12" t="e">
        <x:f>HYPERLINK("#'Weekly Review'!A1","Weekly Review")</x:f>
        <x:v>HYPERLINK is not implemented. linkLocation=#'Weekly Review'!A1, friendlyName=Weekly Review</x:v>
      </x:c>
    </x:row>
    <x:row r="11">
      <x:c r="D11" s="12" t="e">
        <x:f>HYPERLINK("#'Checks &amp; Sources'!A1","Checks &amp; Sources")</x:f>
        <x:v>HYPERLINK is not implemented. linkLocation=#'Checks &amp; Sources'!A1, friendlyName=Checks &amp; Sources</x:v>
      </x:c>
    </x:row>
    <x:row r="12">
      <x:c r="A12" s="14" t="str">
        <x:v>Five-step weekly update process</x:v>
      </x:c>
      <x:c r="B12" s="14"/>
      <x:c r="C12" s="14"/>
      <x:c r="D12" s="14"/>
      <x:c r="E12" s="14"/>
      <x:c r="F12" s="14"/>
      <x:c r="G12" s="14"/>
      <x:c r="H12" s="14"/>
    </x:row>
    <x:row r="13">
      <x:c r="A13" t="str">
        <x:v>1</x:v>
      </x:c>
      <x:c r="B13" s="15" t="str">
        <x:v>Update the Assumptions control panel and selected scenario.</x:v>
      </x:c>
    </x:row>
    <x:row r="14">
      <x:c r="A14" t="str">
        <x:v>2</x:v>
      </x:c>
      <x:c r="B14" s="15" t="str">
        <x:v>Replace blue cash-receipt and cash-payment inputs with the latest weekly view.</x:v>
      </x:c>
    </x:row>
    <x:row r="15">
      <x:c r="A15" t="str">
        <x:v>3</x:v>
      </x:c>
      <x:c r="B15" s="15" t="str">
        <x:v>Review closing cash, headroom and liquidity status in the 13-Week Forecast.</x:v>
      </x:c>
    </x:row>
    <x:row r="16">
      <x:c r="A16" t="str">
        <x:v>4</x:v>
      </x:c>
      <x:c r="B16" s="15" t="str">
        <x:v>Record actual results, actions and owners in Weekly Review.</x:v>
      </x:c>
    </x:row>
    <x:row r="17">
      <x:c r="A17" t="str">
        <x:v>5</x:v>
      </x:c>
      <x:c r="B17" s="15" t="str">
        <x:v>Resolve any control failure in Checks &amp; Sources before management review.</x:v>
      </x:c>
    </x:row>
    <x:row r="19">
      <x:c r="A19" s="14" t="str">
        <x:v>Colour legend</x:v>
      </x:c>
      <x:c r="B19" s="14"/>
      <x:c r="C19" s="14"/>
      <x:c r="D19" s="14"/>
      <x:c r="E19" s="14"/>
      <x:c r="F19" s="14"/>
      <x:c r="G19" s="14"/>
      <x:c r="H19" s="14"/>
    </x:row>
    <x:row r="20">
      <x:c r="A20" s="16" t="str">
        <x:v>Blue text / lavender fill</x:v>
      </x:c>
      <x:c r="B20" t="str">
        <x:v>Editable user input</x:v>
      </x:c>
    </x:row>
    <x:row r="21">
      <x:c r="A21" s="17" t="str">
        <x:v>Black text</x:v>
      </x:c>
      <x:c r="B21" t="str">
        <x:v>Formula or calculation</x:v>
      </x:c>
    </x:row>
    <x:row r="22">
      <x:c r="A22" s="12" t="str">
        <x:v>Green text</x:v>
      </x:c>
      <x:c r="B22" t="str">
        <x:v>Cross-sheet link</x:v>
      </x:c>
    </x:row>
    <x:row r="23">
      <x:c r="A23" s="19" t="str">
        <x:v>Red text / pale-red fill</x:v>
      </x:c>
      <x:c r="B23" t="str">
        <x:v>Warning or exception</x:v>
      </x:c>
    </x:row>
    <x:row r="24">
      <x:c r="A24" s="21" t="str">
        <x:v>Dark green / pale-green fill</x:v>
      </x:c>
      <x:c r="B24" t="str">
        <x:v>Passing check</x:v>
      </x:c>
    </x:row>
    <x:row r="27">
      <x:c r="A27" s="27" t="str">
        <x:v>Scope limit: this workbook supports short-term cash planning. It is illustrative only and is not tax, payroll, legal or financial advice. Confirm statutory dates and classifications with your adviser.</x:v>
      </x:c>
      <x:c r="B27" s="27"/>
      <x:c r="C27" s="27"/>
      <x:c r="D27" s="27"/>
      <x:c r="E27" s="27"/>
      <x:c r="F27" s="27"/>
      <x:c r="G27" s="27"/>
      <x:c r="H27" s="27"/>
    </x:row>
    <x:row r="28">
      <x:c r="A28" s="27"/>
      <x:c r="B28" s="27"/>
      <x:c r="C28" s="27"/>
      <x:c r="D28" s="27"/>
      <x:c r="E28" s="27"/>
      <x:c r="F28" s="27"/>
      <x:c r="G28" s="27"/>
      <x:c r="H28" s="27"/>
    </x:row>
  </x:sheetData>
  <x:mergeCells>
    <x:mergeCell ref="A1:H1"/>
    <x:mergeCell ref="A2:H2"/>
    <x:mergeCell ref="A4:H4"/>
    <x:mergeCell ref="A27:H2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8" hidden="0" customWidth="1"/>
    <x:col min="17" max="17" width="18" hidden="0" customWidth="1"/>
    <x:col min="18" max="18" width="18" hidden="0" customWidth="1"/>
  </x:cols>
  <x:sheetData>
    <x:row r="1" ht="28" customHeight="1">
      <x:c r="A1" s="4" t="str">
        <x:v>Dashboard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30" customHeight="1">
      <x:c r="A2" s="8" t="str">
        <x:v>Management view. Formula-linked KPI cards, weekly liquidity outlook and native charts.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</x:row>
    <x:row r="4">
      <x:c r="A4" s="25" t="str">
        <x:v>No cash-flow inputs belong on this sheet. Update Assumptions and the 13-Week Forecast instead.</x:v>
      </x:c>
      <x:c r="B4" s="25"/>
      <x:c r="C4" s="25"/>
      <x:c r="D4" s="25"/>
      <x:c r="E4" s="25"/>
      <x:c r="F4" s="25"/>
      <x:c r="G4" s="25"/>
      <x:c r="H4" s="25"/>
      <x:c r="I4" s="25"/>
      <x:c r="J4" s="25"/>
      <x:c r="K4" s="25"/>
      <x:c r="L4" s="25"/>
      <x:c r="M4" s="25"/>
      <x:c r="N4" s="25"/>
      <x:c r="O4" s="25"/>
      <x:c r="P4" s="14" t="str">
        <x:v>Week ending</x:v>
      </x:c>
      <x:c r="Q4" s="14" t="str">
        <x:v>Closing cash</x:v>
      </x:c>
      <x:c r="R4" s="14" t="str">
        <x:v>Minimum buffer</x:v>
      </x:c>
    </x:row>
    <x:row r="5">
      <x:c r="P5" s="11" t="str">
        <x:f>TEXT('13-Week Forecast'!B$6,"dd mmm")</x:f>
        <x:v>06 Sep</x:v>
      </x:c>
      <x:c r="Q5" s="36" t="n">
        <x:f>'13-Week Forecast'!B$48</x:f>
        <x:v>358000</x:v>
      </x:c>
      <x:c r="R5" s="36" t="n">
        <x:f>'13-Week Forecast'!B$49</x:f>
        <x:v>100000</x:v>
      </x:c>
    </x:row>
    <x:row r="6" ht="32" customHeight="1">
      <x:c r="A6" s="30" t="str">
        <x:v>Selected scenario</x:v>
      </x:c>
      <x:c r="B6" s="30" t="str">
        <x:v>Opening cash</x:v>
      </x:c>
      <x:c r="C6" s="30" t="str">
        <x:v>Lowest closing cash</x:v>
      </x:c>
      <x:c r="D6" s="30" t="str">
        <x:v>Minimum headroom</x:v>
      </x:c>
      <x:c r="E6" s="30" t="str">
        <x:v>Weeks below buffer</x:v>
      </x:c>
      <x:c r="F6" s="30" t="str">
        <x:v>Week of lowest cash</x:v>
      </x:c>
      <x:c r="G6" s="30" t="str">
        <x:v>MODEL STATUS</x:v>
      </x:c>
      <x:c r="H6" s="30" t="str">
        <x:v>LIQUIDITY STATUS</x:v>
      </x:c>
      <x:c r="P6" s="11" t="str">
        <x:f>TEXT('13-Week Forecast'!C$6,"dd mmm")</x:f>
        <x:v>13 Sep</x:v>
      </x:c>
      <x:c r="Q6" s="36" t="n">
        <x:f>'13-Week Forecast'!C$48</x:f>
        <x:v>349000</x:v>
      </x:c>
      <x:c r="R6" s="36" t="n">
        <x:f>'13-Week Forecast'!C$49</x:f>
        <x:v>100000</x:v>
      </x:c>
    </x:row>
    <x:row r="7">
      <x:c r="A7" s="33" t="str">
        <x:f>'Assumptions'!$B$12</x:f>
        <x:v>Base</x:v>
      </x:c>
      <x:c r="B7" s="34" t="n">
        <x:f>'Assumptions'!$B$10</x:f>
        <x:v>400000</x:v>
      </x:c>
      <x:c r="C7" s="34" t="n">
        <x:f>MIN('13-Week Forecast'!$B$48:$N$48)</x:f>
        <x:v>31000</x:v>
      </x:c>
      <x:c r="D7" s="34" t="n">
        <x:f>MIN('13-Week Forecast'!$B$50:$N$50)</x:f>
        <x:v>-69000</x:v>
      </x:c>
      <x:c r="E7" s="33" t="n">
        <x:f>COUNTIF('13-Week Forecast'!$B$50:$N$50,"&lt;0")</x:f>
        <x:v>3</x:v>
      </x:c>
      <x:c r="F7" s="35" t="n">
        <x:f>INDEX('13-Week Forecast'!$B$6:$N$6,1,MATCH(C7,'13-Week Forecast'!$B$48:$N$48,0))</x:f>
        <x:v>46355</x:v>
      </x:c>
      <x:c r="G7" s="33" t="str">
        <x:f>'Checks &amp; Sources'!$B$4</x:f>
        <x:v>PASS</x:v>
      </x:c>
      <x:c r="H7" s="33" t="str">
        <x:f>'Checks &amp; Sources'!$E$4</x:f>
        <x:v>ACTION REQUIRED</x:v>
      </x:c>
      <x:c r="P7" s="11" t="str">
        <x:f>TEXT('13-Week Forecast'!D$6,"dd mmm")</x:f>
        <x:v>20 Sep</x:v>
      </x:c>
      <x:c r="Q7" s="36" t="n">
        <x:f>'13-Week Forecast'!D$48</x:f>
        <x:v>325000</x:v>
      </x:c>
      <x:c r="R7" s="36" t="n">
        <x:f>'13-Week Forecast'!D$49</x:f>
        <x:v>100000</x:v>
      </x:c>
    </x:row>
    <x:row r="8">
      <x:c r="P8" s="11" t="str">
        <x:f>TEXT('13-Week Forecast'!E$6,"dd mmm")</x:f>
        <x:v>27 Sep</x:v>
      </x:c>
      <x:c r="Q8" s="36" t="n">
        <x:f>'13-Week Forecast'!E$48</x:f>
        <x:v>293000</x:v>
      </x:c>
      <x:c r="R8" s="36" t="n">
        <x:f>'13-Week Forecast'!E$49</x:f>
        <x:v>100000</x:v>
      </x:c>
    </x:row>
    <x:row r="9">
      <x:c r="P9" s="11" t="str">
        <x:f>TEXT('13-Week Forecast'!F$6,"dd mmm")</x:f>
        <x:v>04 Oct</x:v>
      </x:c>
      <x:c r="Q9" s="36" t="n">
        <x:f>'13-Week Forecast'!F$48</x:f>
        <x:v>201000</x:v>
      </x:c>
      <x:c r="R9" s="36" t="n">
        <x:f>'13-Week Forecast'!F$49</x:f>
        <x:v>100000</x:v>
      </x:c>
    </x:row>
    <x:row r="10">
      <x:c r="P10" s="11" t="str">
        <x:f>TEXT('13-Week Forecast'!G$6,"dd mmm")</x:f>
        <x:v>11 Oct</x:v>
      </x:c>
      <x:c r="Q10" s="36" t="n">
        <x:f>'13-Week Forecast'!G$48</x:f>
        <x:v>133000</x:v>
      </x:c>
      <x:c r="R10" s="36" t="n">
        <x:f>'13-Week Forecast'!G$49</x:f>
        <x:v>100000</x:v>
      </x:c>
    </x:row>
    <x:row r="11">
      <x:c r="A11" s="14" t="str">
        <x:v>Week</x:v>
      </x:c>
      <x:c r="B11" s="14" t="str">
        <x:v>Week ending</x:v>
      </x:c>
      <x:c r="C11" s="14" t="str">
        <x:v>Closing cash</x:v>
      </x:c>
      <x:c r="D11" s="14" t="str">
        <x:v>Headroom</x:v>
      </x:c>
      <x:c r="E11" s="14" t="str">
        <x:v>Liquidity status</x:v>
      </x:c>
      <x:c r="P11" s="11" t="str">
        <x:f>TEXT('13-Week Forecast'!H$6,"dd mmm")</x:f>
        <x:v>18 Oct</x:v>
      </x:c>
      <x:c r="Q11" s="36" t="n">
        <x:f>'13-Week Forecast'!H$48</x:f>
        <x:v>217000</x:v>
      </x:c>
      <x:c r="R11" s="36" t="n">
        <x:f>'13-Week Forecast'!H$49</x:f>
        <x:v>100000</x:v>
      </x:c>
    </x:row>
    <x:row r="12">
      <x:c r="A12" t="n">
        <x:f>ROW()-11</x:f>
        <x:v>1</x:v>
      </x:c>
      <x:c r="B12" s="37" t="n">
        <x:f>'13-Week Forecast'!B$6</x:f>
        <x:v>46271</x:v>
      </x:c>
      <x:c r="C12" s="38" t="n">
        <x:f>'13-Week Forecast'!B$48</x:f>
        <x:v>358000</x:v>
      </x:c>
      <x:c r="D12" s="38" t="n">
        <x:f>'13-Week Forecast'!B$50</x:f>
        <x:v>258000</x:v>
      </x:c>
      <x:c r="E12" s="12" t="str">
        <x:f>'13-Week Forecast'!B$51</x:f>
        <x:v>OK</x:v>
      </x:c>
      <x:c r="P12" s="11" t="str">
        <x:f>TEXT('13-Week Forecast'!I$6,"dd mmm")</x:f>
        <x:v>25 Oct</x:v>
      </x:c>
      <x:c r="Q12" s="36" t="n">
        <x:f>'13-Week Forecast'!I$48</x:f>
        <x:v>160000</x:v>
      </x:c>
      <x:c r="R12" s="36" t="n">
        <x:f>'13-Week Forecast'!I$49</x:f>
        <x:v>100000</x:v>
      </x:c>
    </x:row>
    <x:row r="13">
      <x:c r="A13" t="n">
        <x:f>ROW()-11</x:f>
        <x:v>2</x:v>
      </x:c>
      <x:c r="B13" s="37" t="n">
        <x:f>'13-Week Forecast'!C$6</x:f>
        <x:v>46278</x:v>
      </x:c>
      <x:c r="C13" s="38" t="n">
        <x:f>'13-Week Forecast'!C$48</x:f>
        <x:v>349000</x:v>
      </x:c>
      <x:c r="D13" s="38" t="n">
        <x:f>'13-Week Forecast'!C$50</x:f>
        <x:v>249000</x:v>
      </x:c>
      <x:c r="E13" s="12" t="str">
        <x:f>'13-Week Forecast'!C$51</x:f>
        <x:v>OK</x:v>
      </x:c>
      <x:c r="P13" s="11" t="str">
        <x:f>TEXT('13-Week Forecast'!J$6,"dd mmm")</x:f>
        <x:v>01 Nov</x:v>
      </x:c>
      <x:c r="Q13" s="36" t="n">
        <x:f>'13-Week Forecast'!J$48</x:f>
        <x:v>117000</x:v>
      </x:c>
      <x:c r="R13" s="36" t="n">
        <x:f>'13-Week Forecast'!J$49</x:f>
        <x:v>100000</x:v>
      </x:c>
    </x:row>
    <x:row r="14">
      <x:c r="A14" t="n">
        <x:f>ROW()-11</x:f>
        <x:v>3</x:v>
      </x:c>
      <x:c r="B14" s="37" t="n">
        <x:f>'13-Week Forecast'!D$6</x:f>
        <x:v>46285</x:v>
      </x:c>
      <x:c r="C14" s="38" t="n">
        <x:f>'13-Week Forecast'!D$48</x:f>
        <x:v>325000</x:v>
      </x:c>
      <x:c r="D14" s="38" t="n">
        <x:f>'13-Week Forecast'!D$50</x:f>
        <x:v>225000</x:v>
      </x:c>
      <x:c r="E14" s="12" t="str">
        <x:f>'13-Week Forecast'!D$51</x:f>
        <x:v>OK</x:v>
      </x:c>
      <x:c r="P14" s="11" t="str">
        <x:f>TEXT('13-Week Forecast'!K$6,"dd mmm")</x:f>
        <x:v>08 Nov</x:v>
      </x:c>
      <x:c r="Q14" s="36" t="n">
        <x:f>'13-Week Forecast'!K$48</x:f>
        <x:v>137000</x:v>
      </x:c>
      <x:c r="R14" s="36" t="n">
        <x:f>'13-Week Forecast'!K$49</x:f>
        <x:v>100000</x:v>
      </x:c>
    </x:row>
    <x:row r="15">
      <x:c r="A15" t="n">
        <x:f>ROW()-11</x:f>
        <x:v>4</x:v>
      </x:c>
      <x:c r="B15" s="37" t="n">
        <x:f>'13-Week Forecast'!E$6</x:f>
        <x:v>46292</x:v>
      </x:c>
      <x:c r="C15" s="38" t="n">
        <x:f>'13-Week Forecast'!E$48</x:f>
        <x:v>293000</x:v>
      </x:c>
      <x:c r="D15" s="38" t="n">
        <x:f>'13-Week Forecast'!E$50</x:f>
        <x:v>193000</x:v>
      </x:c>
      <x:c r="E15" s="12" t="str">
        <x:f>'13-Week Forecast'!E$51</x:f>
        <x:v>OK</x:v>
      </x:c>
      <x:c r="P15" s="11" t="str">
        <x:f>TEXT('13-Week Forecast'!L$6,"dd mmm")</x:f>
        <x:v>15 Nov</x:v>
      </x:c>
      <x:c r="Q15" s="36" t="n">
        <x:f>'13-Week Forecast'!L$48</x:f>
        <x:v>99000</x:v>
      </x:c>
      <x:c r="R15" s="36" t="n">
        <x:f>'13-Week Forecast'!L$49</x:f>
        <x:v>100000</x:v>
      </x:c>
    </x:row>
    <x:row r="16">
      <x:c r="A16" t="n">
        <x:f>ROW()-11</x:f>
        <x:v>5</x:v>
      </x:c>
      <x:c r="B16" s="37" t="n">
        <x:f>'13-Week Forecast'!F$6</x:f>
        <x:v>46299</x:v>
      </x:c>
      <x:c r="C16" s="38" t="n">
        <x:f>'13-Week Forecast'!F$48</x:f>
        <x:v>201000</x:v>
      </x:c>
      <x:c r="D16" s="38" t="n">
        <x:f>'13-Week Forecast'!F$50</x:f>
        <x:v>101000</x:v>
      </x:c>
      <x:c r="E16" s="12" t="str">
        <x:f>'13-Week Forecast'!F$51</x:f>
        <x:v>OK</x:v>
      </x:c>
      <x:c r="P16" s="11" t="str">
        <x:f>TEXT('13-Week Forecast'!M$6,"dd mmm")</x:f>
        <x:v>22 Nov</x:v>
      </x:c>
      <x:c r="Q16" s="36" t="n">
        <x:f>'13-Week Forecast'!M$48</x:f>
        <x:v>82000</x:v>
      </x:c>
      <x:c r="R16" s="36" t="n">
        <x:f>'13-Week Forecast'!M$49</x:f>
        <x:v>100000</x:v>
      </x:c>
    </x:row>
    <x:row r="17">
      <x:c r="A17" t="n">
        <x:f>ROW()-11</x:f>
        <x:v>6</x:v>
      </x:c>
      <x:c r="B17" s="37" t="n">
        <x:f>'13-Week Forecast'!G$6</x:f>
        <x:v>46306</x:v>
      </x:c>
      <x:c r="C17" s="38" t="n">
        <x:f>'13-Week Forecast'!G$48</x:f>
        <x:v>133000</x:v>
      </x:c>
      <x:c r="D17" s="38" t="n">
        <x:f>'13-Week Forecast'!G$50</x:f>
        <x:v>33000</x:v>
      </x:c>
      <x:c r="E17" s="12" t="str">
        <x:f>'13-Week Forecast'!G$51</x:f>
        <x:v>OK</x:v>
      </x:c>
      <x:c r="P17" s="11" t="str">
        <x:f>TEXT('13-Week Forecast'!N$6,"dd mmm")</x:f>
        <x:v>29 Nov</x:v>
      </x:c>
      <x:c r="Q17" s="36" t="n">
        <x:f>'13-Week Forecast'!N$48</x:f>
        <x:v>31000</x:v>
      </x:c>
      <x:c r="R17" s="36" t="n">
        <x:f>'13-Week Forecast'!N$49</x:f>
        <x:v>100000</x:v>
      </x:c>
    </x:row>
    <x:row r="18">
      <x:c r="A18" t="n">
        <x:f>ROW()-11</x:f>
        <x:v>7</x:v>
      </x:c>
      <x:c r="B18" s="37" t="n">
        <x:f>'13-Week Forecast'!H$6</x:f>
        <x:v>46313</x:v>
      </x:c>
      <x:c r="C18" s="38" t="n">
        <x:f>'13-Week Forecast'!H$48</x:f>
        <x:v>217000</x:v>
      </x:c>
      <x:c r="D18" s="38" t="n">
        <x:f>'13-Week Forecast'!H$50</x:f>
        <x:v>117000</x:v>
      </x:c>
      <x:c r="E18" s="12" t="str">
        <x:f>'13-Week Forecast'!H$51</x:f>
        <x:v>OK</x:v>
      </x:c>
    </x:row>
    <x:row r="19">
      <x:c r="A19" t="n">
        <x:f>ROW()-11</x:f>
        <x:v>8</x:v>
      </x:c>
      <x:c r="B19" s="37" t="n">
        <x:f>'13-Week Forecast'!I$6</x:f>
        <x:v>46320</x:v>
      </x:c>
      <x:c r="C19" s="38" t="n">
        <x:f>'13-Week Forecast'!I$48</x:f>
        <x:v>160000</x:v>
      </x:c>
      <x:c r="D19" s="38" t="n">
        <x:f>'13-Week Forecast'!I$50</x:f>
        <x:v>60000</x:v>
      </x:c>
      <x:c r="E19" s="12" t="str">
        <x:f>'13-Week Forecast'!I$51</x:f>
        <x:v>OK</x:v>
      </x:c>
    </x:row>
    <x:row r="20">
      <x:c r="A20" t="n">
        <x:f>ROW()-11</x:f>
        <x:v>9</x:v>
      </x:c>
      <x:c r="B20" s="37" t="n">
        <x:f>'13-Week Forecast'!J$6</x:f>
        <x:v>46327</x:v>
      </x:c>
      <x:c r="C20" s="38" t="n">
        <x:f>'13-Week Forecast'!J$48</x:f>
        <x:v>117000</x:v>
      </x:c>
      <x:c r="D20" s="38" t="n">
        <x:f>'13-Week Forecast'!J$50</x:f>
        <x:v>17000</x:v>
      </x:c>
      <x:c r="E20" s="12" t="str">
        <x:f>'13-Week Forecast'!J$51</x:f>
        <x:v>WATCH</x:v>
      </x:c>
    </x:row>
    <x:row r="21">
      <x:c r="A21" t="n">
        <x:f>ROW()-11</x:f>
        <x:v>10</x:v>
      </x:c>
      <x:c r="B21" s="37" t="n">
        <x:f>'13-Week Forecast'!K$6</x:f>
        <x:v>46334</x:v>
      </x:c>
      <x:c r="C21" s="38" t="n">
        <x:f>'13-Week Forecast'!K$48</x:f>
        <x:v>137000</x:v>
      </x:c>
      <x:c r="D21" s="38" t="n">
        <x:f>'13-Week Forecast'!K$50</x:f>
        <x:v>37000</x:v>
      </x:c>
      <x:c r="E21" s="12" t="str">
        <x:f>'13-Week Forecast'!K$51</x:f>
        <x:v>OK</x:v>
      </x:c>
      <x:c r="P21" s="14" t="str">
        <x:v>Week ending</x:v>
      </x:c>
      <x:c r="Q21" s="14" t="str">
        <x:v>Total cash receipts</x:v>
      </x:c>
      <x:c r="R21" s="14" t="str">
        <x:v>Total cash payments</x:v>
      </x:c>
    </x:row>
    <x:row r="22">
      <x:c r="A22" t="n">
        <x:f>ROW()-11</x:f>
        <x:v>11</x:v>
      </x:c>
      <x:c r="B22" s="37" t="n">
        <x:f>'13-Week Forecast'!L$6</x:f>
        <x:v>46341</x:v>
      </x:c>
      <x:c r="C22" s="38" t="n">
        <x:f>'13-Week Forecast'!L$48</x:f>
        <x:v>99000</x:v>
      </x:c>
      <x:c r="D22" s="38" t="n">
        <x:f>'13-Week Forecast'!L$50</x:f>
        <x:v>-1000</x:v>
      </x:c>
      <x:c r="E22" s="12" t="str">
        <x:f>'13-Week Forecast'!L$51</x:f>
        <x:v>BELOW BUFFER</x:v>
      </x:c>
      <x:c r="P22" s="11" t="str">
        <x:f>TEXT('13-Week Forecast'!B$6,"dd mmm")</x:f>
        <x:v>06 Sep</x:v>
      </x:c>
      <x:c r="Q22" s="36" t="n">
        <x:f>'13-Week Forecast'!B$19</x:f>
        <x:v>170000</x:v>
      </x:c>
      <x:c r="R22" s="36" t="n">
        <x:f>'13-Week Forecast'!B$43</x:f>
        <x:v>212000</x:v>
      </x:c>
    </x:row>
    <x:row r="23">
      <x:c r="A23" t="n">
        <x:f>ROW()-11</x:f>
        <x:v>12</x:v>
      </x:c>
      <x:c r="B23" s="37" t="n">
        <x:f>'13-Week Forecast'!M$6</x:f>
        <x:v>46348</x:v>
      </x:c>
      <x:c r="C23" s="38" t="n">
        <x:f>'13-Week Forecast'!M$48</x:f>
        <x:v>82000</x:v>
      </x:c>
      <x:c r="D23" s="38" t="n">
        <x:f>'13-Week Forecast'!M$50</x:f>
        <x:v>-18000</x:v>
      </x:c>
      <x:c r="E23" s="12" t="str">
        <x:f>'13-Week Forecast'!M$51</x:f>
        <x:v>BELOW BUFFER</x:v>
      </x:c>
      <x:c r="P23" s="11" t="str">
        <x:f>TEXT('13-Week Forecast'!C$6,"dd mmm")</x:f>
        <x:v>13 Sep</x:v>
      </x:c>
      <x:c r="Q23" s="36" t="n">
        <x:f>'13-Week Forecast'!C$19</x:f>
        <x:v>169000</x:v>
      </x:c>
      <x:c r="R23" s="36" t="n">
        <x:f>'13-Week Forecast'!C$43</x:f>
        <x:v>178000</x:v>
      </x:c>
    </x:row>
    <x:row r="24">
      <x:c r="A24" t="n">
        <x:f>ROW()-11</x:f>
        <x:v>13</x:v>
      </x:c>
      <x:c r="B24" s="37" t="n">
        <x:f>'13-Week Forecast'!N$6</x:f>
        <x:v>46355</x:v>
      </x:c>
      <x:c r="C24" s="38" t="n">
        <x:f>'13-Week Forecast'!N$48</x:f>
        <x:v>31000</x:v>
      </x:c>
      <x:c r="D24" s="38" t="n">
        <x:f>'13-Week Forecast'!N$50</x:f>
        <x:v>-69000</x:v>
      </x:c>
      <x:c r="E24" s="12" t="str">
        <x:f>'13-Week Forecast'!N$51</x:f>
        <x:v>BELOW BUFFER</x:v>
      </x:c>
      <x:c r="P24" s="11" t="str">
        <x:f>TEXT('13-Week Forecast'!D$6,"dd mmm")</x:f>
        <x:v>20 Sep</x:v>
      </x:c>
      <x:c r="Q24" s="36" t="n">
        <x:f>'13-Week Forecast'!D$19</x:f>
        <x:v>158000</x:v>
      </x:c>
      <x:c r="R24" s="36" t="n">
        <x:f>'13-Week Forecast'!D$43</x:f>
        <x:v>182000</x:v>
      </x:c>
    </x:row>
    <x:row r="25">
      <x:c r="P25" s="11" t="str">
        <x:f>TEXT('13-Week Forecast'!E$6,"dd mmm")</x:f>
        <x:v>27 Sep</x:v>
      </x:c>
      <x:c r="Q25" s="36" t="n">
        <x:f>'13-Week Forecast'!E$19</x:f>
        <x:v>147000</x:v>
      </x:c>
      <x:c r="R25" s="36" t="n">
        <x:f>'13-Week Forecast'!E$43</x:f>
        <x:v>179000</x:v>
      </x:c>
    </x:row>
    <x:row r="26">
      <x:c r="P26" s="11" t="str">
        <x:f>TEXT('13-Week Forecast'!F$6,"dd mmm")</x:f>
        <x:v>04 Oct</x:v>
      </x:c>
      <x:c r="Q26" s="36" t="n">
        <x:f>'13-Week Forecast'!F$19</x:f>
        <x:v>140000</x:v>
      </x:c>
      <x:c r="R26" s="36" t="n">
        <x:f>'13-Week Forecast'!F$43</x:f>
        <x:v>232000</x:v>
      </x:c>
    </x:row>
    <x:row r="27">
      <x:c r="P27" s="11" t="str">
        <x:f>TEXT('13-Week Forecast'!G$6,"dd mmm")</x:f>
        <x:v>11 Oct</x:v>
      </x:c>
      <x:c r="Q27" s="36" t="n">
        <x:f>'13-Week Forecast'!G$19</x:f>
        <x:v>141000</x:v>
      </x:c>
      <x:c r="R27" s="36" t="n">
        <x:f>'13-Week Forecast'!G$43</x:f>
        <x:v>209000</x:v>
      </x:c>
    </x:row>
    <x:row r="28">
      <x:c r="P28" s="11" t="str">
        <x:f>TEXT('13-Week Forecast'!H$6,"dd mmm")</x:f>
        <x:v>18 Oct</x:v>
      </x:c>
      <x:c r="Q28" s="36" t="n">
        <x:f>'13-Week Forecast'!H$19</x:f>
        <x:v>281000</x:v>
      </x:c>
      <x:c r="R28" s="36" t="n">
        <x:f>'13-Week Forecast'!H$43</x:f>
        <x:v>197000</x:v>
      </x:c>
    </x:row>
    <x:row r="29">
      <x:c r="P29" s="11" t="str">
        <x:f>TEXT('13-Week Forecast'!I$6,"dd mmm")</x:f>
        <x:v>25 Oct</x:v>
      </x:c>
      <x:c r="Q29" s="36" t="n">
        <x:f>'13-Week Forecast'!I$19</x:f>
        <x:v>135000</x:v>
      </x:c>
      <x:c r="R29" s="36" t="n">
        <x:f>'13-Week Forecast'!I$43</x:f>
        <x:v>192000</x:v>
      </x:c>
    </x:row>
    <x:row r="30">
      <x:c r="P30" s="11" t="str">
        <x:f>TEXT('13-Week Forecast'!J$6,"dd mmm")</x:f>
        <x:v>01 Nov</x:v>
      </x:c>
      <x:c r="Q30" s="36" t="n">
        <x:f>'13-Week Forecast'!J$19</x:f>
        <x:v>264000</x:v>
      </x:c>
      <x:c r="R30" s="36" t="n">
        <x:f>'13-Week Forecast'!J$43</x:f>
        <x:v>307000</x:v>
      </x:c>
    </x:row>
    <x:row r="31">
      <x:c r="P31" s="11" t="str">
        <x:f>TEXT('13-Week Forecast'!K$6,"dd mmm")</x:f>
        <x:v>08 Nov</x:v>
      </x:c>
      <x:c r="Q31" s="36" t="n">
        <x:f>'13-Week Forecast'!K$19</x:f>
        <x:v>249000</x:v>
      </x:c>
      <x:c r="R31" s="36" t="n">
        <x:f>'13-Week Forecast'!K$43</x:f>
        <x:v>229000</x:v>
      </x:c>
    </x:row>
    <x:row r="32">
      <x:c r="P32" s="11" t="str">
        <x:f>TEXT('13-Week Forecast'!L$6,"dd mmm")</x:f>
        <x:v>15 Nov</x:v>
      </x:c>
      <x:c r="Q32" s="36" t="n">
        <x:f>'13-Week Forecast'!L$19</x:f>
        <x:v>154000</x:v>
      </x:c>
      <x:c r="R32" s="36" t="n">
        <x:f>'13-Week Forecast'!L$43</x:f>
        <x:v>192000</x:v>
      </x:c>
    </x:row>
    <x:row r="33">
      <x:c r="P33" s="11" t="str">
        <x:f>TEXT('13-Week Forecast'!M$6,"dd mmm")</x:f>
        <x:v>22 Nov</x:v>
      </x:c>
      <x:c r="Q33" s="36" t="n">
        <x:f>'13-Week Forecast'!M$19</x:f>
        <x:v>162000</x:v>
      </x:c>
      <x:c r="R33" s="36" t="n">
        <x:f>'13-Week Forecast'!M$43</x:f>
        <x:v>179000</x:v>
      </x:c>
    </x:row>
    <x:row r="34">
      <x:c r="P34" s="11" t="str">
        <x:f>TEXT('13-Week Forecast'!N$6,"dd mmm")</x:f>
        <x:v>29 Nov</x:v>
      </x:c>
      <x:c r="Q34" s="36" t="n">
        <x:f>'13-Week Forecast'!N$19</x:f>
        <x:v>168000</x:v>
      </x:c>
      <x:c r="R34" s="36" t="n">
        <x:f>'13-Week Forecast'!N$43</x:f>
        <x:v>219000</x:v>
      </x:c>
    </x:row>
  </x:sheetData>
  <x:mergeCells>
    <x:mergeCell ref="A1:R1"/>
    <x:mergeCell ref="A2:R2"/>
    <x:mergeCell ref="A4:R4"/>
  </x:mergeCells>
  <x:conditionalFormatting sqref="G7:G7">
    <x:cfRule type="expression" dxfId="0" priority="1">
      <x:formula>G7="PASS"</x:formula>
    </x:cfRule>
    <x:cfRule type="expression" dxfId="1" priority="2">
      <x:formula>G7="FAIL"</x:formula>
    </x:cfRule>
  </x:conditionalFormatting>
  <x:conditionalFormatting sqref="H7:H7">
    <x:cfRule type="expression" dxfId="2" priority="3">
      <x:formula>H7="ACTION REQUIRED"</x:formula>
    </x:cfRule>
    <x:cfRule type="expression" dxfId="3" priority="4">
      <x:formula>H7="WATCH"</x:formula>
    </x:cfRule>
    <x:cfRule type="expression" dxfId="4" priority="5">
      <x:formula>H7="HEALTHY"</x:formula>
    </x:cfRule>
  </x:conditionalFormatting>
  <x:conditionalFormatting sqref="E12:E24">
    <x:cfRule type="expression" dxfId="5" priority="6">
      <x:formula>E12="BELOW BUFFER"</x:formula>
    </x:cfRule>
    <x:cfRule type="expression" dxfId="6" priority="7">
      <x:formula>E12="WATCH"</x:formula>
    </x:cfRule>
    <x:cfRule type="expression" dxfId="7" priority="8">
      <x:formula>E12="OK"</x:formula>
    </x:cfRule>
  </x:conditionalFormatting>
  <x:pageMargins left="0.7" right="0.7" top="0.75" bottom="0.75" header="0.3" footer="0.3"/>
  <x:drawing xmlns:r="http://schemas.openxmlformats.org/officeDocument/2006/relationships" r:id="R64b1483b845a4cf9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22" hidden="0" customWidth="1"/>
    <x:col min="5" max="5" width="48" hidden="0" customWidth="1"/>
    <x:col min="6" max="6" width="14" hidden="0" customWidth="1"/>
  </x:cols>
  <x:sheetData>
    <x:row r="1" ht="28" customHeight="1">
      <x:c r="A1" s="4" t="str">
        <x:v>Assumptions</x:v>
      </x:c>
      <x:c r="B1" s="4"/>
      <x:c r="C1" s="4"/>
      <x:c r="D1" s="4"/>
      <x:c r="E1" s="4"/>
      <x:c r="F1" s="4"/>
    </x:row>
    <x:row r="2" ht="30" customHeight="1">
      <x:c r="A2" s="8" t="str">
        <x:v>Single control panel. Blue values are the only model-wide inputs; all values are illustrative.</x:v>
      </x:c>
      <x:c r="B2" s="8"/>
      <x:c r="C2" s="8"/>
      <x:c r="D2" s="8"/>
      <x:c r="E2" s="8"/>
      <x:c r="F2" s="8"/>
    </x:row>
    <x:row r="4">
      <x:c r="A4" s="14" t="str">
        <x:v>Core controls</x:v>
      </x:c>
      <x:c r="B4" s="14" t="str">
        <x:v>Value</x:v>
      </x:c>
    </x:row>
    <x:row r="5">
      <x:c r="A5" t="str">
        <x:v>Business name</x:v>
      </x:c>
      <x:c r="B5" s="40" t="str">
        <x:v>Illustrative Australian business</x:v>
      </x:c>
    </x:row>
    <x:row r="6">
      <x:c r="A6" t="str">
        <x:v>Currency</x:v>
      </x:c>
      <x:c r="B6" s="40" t="str">
        <x:v>AUD</x:v>
      </x:c>
    </x:row>
    <x:row r="7">
      <x:c r="A7" t="str">
        <x:v>Units</x:v>
      </x:c>
      <x:c r="B7" s="40" t="str">
        <x:v>Whole dollars</x:v>
      </x:c>
    </x:row>
    <x:row r="8">
      <x:c r="A8" t="str">
        <x:v>Forecast start date</x:v>
      </x:c>
      <x:c r="B8" s="41" t="n">
        <x:v>46265</x:v>
      </x:c>
    </x:row>
    <x:row r="9">
      <x:c r="A9" t="str">
        <x:v>As-at date</x:v>
      </x:c>
      <x:c r="B9" s="41" t="n">
        <x:v>46271</x:v>
      </x:c>
    </x:row>
    <x:row r="10">
      <x:c r="A10" t="str">
        <x:v>Opening cash</x:v>
      </x:c>
      <x:c r="B10" s="42" t="n">
        <x:v>400000</x:v>
      </x:c>
    </x:row>
    <x:row r="11">
      <x:c r="A11" t="str">
        <x:v>Minimum cash buffer</x:v>
      </x:c>
      <x:c r="B11" s="42" t="n">
        <x:v>100000</x:v>
      </x:c>
    </x:row>
    <x:row r="12">
      <x:c r="A12" t="str">
        <x:v>Selected scenario</x:v>
      </x:c>
      <x:c r="B12" s="40" t="str">
        <x:v>Base</x:v>
      </x:c>
    </x:row>
    <x:row r="14">
      <x:c r="A14" s="14" t="str">
        <x:v>Scenario controls</x:v>
      </x:c>
      <x:c r="B14" s="14" t="str">
        <x:v>Scenario</x:v>
      </x:c>
      <x:c r="C14" s="14" t="str">
        <x:v>Receipt factor</x:v>
      </x:c>
      <x:c r="D14" s="14" t="str">
        <x:v>Variable-payment factor</x:v>
      </x:c>
      <x:c r="E14" s="14" t="str">
        <x:v>Description</x:v>
      </x:c>
    </x:row>
    <x:row r="15">
      <x:c r="B15" s="16" t="str">
        <x:v>Base</x:v>
      </x:c>
      <x:c r="C15" s="43" t="n">
        <x:v>1</x:v>
      </x:c>
      <x:c r="D15" s="43" t="n">
        <x:v>1</x:v>
      </x:c>
      <x:c r="E15" s="16" t="str">
        <x:v>Current operating expectation</x:v>
      </x:c>
    </x:row>
    <x:row r="16">
      <x:c r="B16" s="16" t="str">
        <x:v>Upside</x:v>
      </x:c>
      <x:c r="C16" s="43" t="n">
        <x:v>1.08</x:v>
      </x:c>
      <x:c r="D16" s="43" t="n">
        <x:v>0.98</x:v>
      </x:c>
      <x:c r="E16" s="16" t="str">
        <x:v>Stronger receipts and lower selected variable payments</x:v>
      </x:c>
    </x:row>
    <x:row r="17">
      <x:c r="B17" s="16" t="str">
        <x:v>Downside</x:v>
      </x:c>
      <x:c r="C17" s="43" t="n">
        <x:v>0.85</x:v>
      </x:c>
      <x:c r="D17" s="43" t="n">
        <x:v>1.05</x:v>
      </x:c>
      <x:c r="E17" s="16" t="str">
        <x:v>Softer receipts and higher selected variable payments</x:v>
      </x:c>
    </x:row>
    <x:row r="20">
      <x:c r="A20" s="14" t="str">
        <x:v>Data-quality notes</x:v>
      </x:c>
      <x:c r="B20" s="14"/>
      <x:c r="C20" s="14"/>
      <x:c r="D20" s="14"/>
      <x:c r="E20" s="14"/>
      <x:c r="F20" s="14"/>
    </x:row>
    <x:row r="21">
      <x:c r="A21" s="27" t="str">
        <x:v>Use a Monday forecast start. Keep the as-at date inside the 13-week horizon. Replace illustrative inputs before using this workbook for a decision. Statutory cash dates depend on your reporting cycle, agent concessions and entity circumstances.</x:v>
      </x:c>
      <x:c r="B21" s="27"/>
      <x:c r="C21" s="27"/>
      <x:c r="D21" s="27"/>
      <x:c r="E21" s="27"/>
      <x:c r="F21" s="27"/>
    </x:row>
    <x:row r="22">
      <x:c r="A22" s="27"/>
      <x:c r="B22" s="27"/>
      <x:c r="C22" s="27"/>
      <x:c r="D22" s="27"/>
      <x:c r="E22" s="27"/>
      <x:c r="F22" s="27"/>
    </x:row>
    <x:row r="23">
      <x:c r="A23" s="27"/>
      <x:c r="B23" s="27"/>
      <x:c r="C23" s="27"/>
      <x:c r="D23" s="27"/>
      <x:c r="E23" s="27"/>
      <x:c r="F23" s="27"/>
    </x:row>
  </x:sheetData>
  <x:mergeCells>
    <x:mergeCell ref="A1:F1"/>
    <x:mergeCell ref="A2:F2"/>
    <x:mergeCell ref="A20:F20"/>
    <x:mergeCell ref="A21:F23"/>
  </x:mergeCells>
  <x:dataValidations count="1">
    <x:dataValidation type="list" sqref="B12">
      <x:formula1>CashFlowScenarioList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23" hidden="0" customWidth="1"/>
  </x:cols>
  <x:sheetData>
    <x:row r="1" ht="28" customHeight="1">
      <x:c r="A1" s="4" t="str">
        <x:v>13-Week Forecast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</x:row>
    <x:row r="2" ht="30" customHeight="1">
      <x:c r="A2" s="8" t="str">
        <x:v>Blue cells are illustrative weekly inputs. Formula and linked cells update automatically from the Assumptions control panel.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</x:row>
    <x:row r="5">
      <x:c r="A5" t="str">
        <x:v>Week commencing</x:v>
      </x:c>
      <x:c r="B5" s="45" t="n">
        <x:f>'Assumptions'!$B$8</x:f>
        <x:v>46265</x:v>
      </x:c>
      <x:c r="C5" s="45" t="n">
        <x:f>B5+7</x:f>
        <x:v>46272</x:v>
      </x:c>
      <x:c r="D5" s="45" t="n">
        <x:f>C5+7</x:f>
        <x:v>46279</x:v>
      </x:c>
      <x:c r="E5" s="45" t="n">
        <x:f>D5+7</x:f>
        <x:v>46286</x:v>
      </x:c>
      <x:c r="F5" s="45" t="n">
        <x:f>E5+7</x:f>
        <x:v>46293</x:v>
      </x:c>
      <x:c r="G5" s="45" t="n">
        <x:f>F5+7</x:f>
        <x:v>46300</x:v>
      </x:c>
      <x:c r="H5" s="45" t="n">
        <x:f>G5+7</x:f>
        <x:v>46307</x:v>
      </x:c>
      <x:c r="I5" s="45" t="n">
        <x:f>H5+7</x:f>
        <x:v>46314</x:v>
      </x:c>
      <x:c r="J5" s="45" t="n">
        <x:f>I5+7</x:f>
        <x:v>46321</x:v>
      </x:c>
      <x:c r="K5" s="45" t="n">
        <x:f>J5+7</x:f>
        <x:v>46328</x:v>
      </x:c>
      <x:c r="L5" s="45" t="n">
        <x:f>K5+7</x:f>
        <x:v>46335</x:v>
      </x:c>
      <x:c r="M5" s="45" t="n">
        <x:f>L5+7</x:f>
        <x:v>46342</x:v>
      </x:c>
      <x:c r="N5" s="45" t="n">
        <x:f>M5+7</x:f>
        <x:v>46349</x:v>
      </x:c>
      <x:c r="O5" t="str">
        <x:v>13-week total / terminal</x:v>
      </x:c>
    </x:row>
    <x:row r="6">
      <x:c r="A6" t="str">
        <x:v>Week ending</x:v>
      </x:c>
      <x:c r="B6" s="45" t="n">
        <x:f>B5+6</x:f>
        <x:v>46271</x:v>
      </x:c>
      <x:c r="C6" s="45" t="n">
        <x:f>C5+6</x:f>
        <x:v>46278</x:v>
      </x:c>
      <x:c r="D6" s="45" t="n">
        <x:f>D5+6</x:f>
        <x:v>46285</x:v>
      </x:c>
      <x:c r="E6" s="45" t="n">
        <x:f>E5+6</x:f>
        <x:v>46292</x:v>
      </x:c>
      <x:c r="F6" s="45" t="n">
        <x:f>F5+6</x:f>
        <x:v>46299</x:v>
      </x:c>
      <x:c r="G6" s="45" t="n">
        <x:f>G5+6</x:f>
        <x:v>46306</x:v>
      </x:c>
      <x:c r="H6" s="45" t="n">
        <x:f>H5+6</x:f>
        <x:v>46313</x:v>
      </x:c>
      <x:c r="I6" s="45" t="n">
        <x:f>I5+6</x:f>
        <x:v>46320</x:v>
      </x:c>
      <x:c r="J6" s="45" t="n">
        <x:f>J5+6</x:f>
        <x:v>46327</x:v>
      </x:c>
      <x:c r="K6" s="45" t="n">
        <x:f>K5+6</x:f>
        <x:v>46334</x:v>
      </x:c>
      <x:c r="L6" s="45" t="n">
        <x:f>L5+6</x:f>
        <x:v>46341</x:v>
      </x:c>
      <x:c r="M6" s="45" t="n">
        <x:f>M5+6</x:f>
        <x:v>46348</x:v>
      </x:c>
      <x:c r="N6" s="45" t="n">
        <x:f>N5+6</x:f>
        <x:v>46355</x:v>
      </x:c>
      <x:c r="O6" t="str">
        <x:v>Week 13 value</x:v>
      </x:c>
    </x:row>
    <x:row r="7">
      <x:c r="A7" t="str">
        <x:v>Actual / Forecast</x:v>
      </x:c>
      <x:c r="B7" s="46" t="str">
        <x:f>IF(B6&lt;='Assumptions'!$B$9,"Actual","Forecast")</x:f>
        <x:v>Actual</x:v>
      </x:c>
      <x:c r="C7" s="46" t="str">
        <x:f>IF(C6&lt;='Assumptions'!$B$9,"Actual","Forecast")</x:f>
        <x:v>Forecast</x:v>
      </x:c>
      <x:c r="D7" s="46" t="str">
        <x:f>IF(D6&lt;='Assumptions'!$B$9,"Actual","Forecast")</x:f>
        <x:v>Forecast</x:v>
      </x:c>
      <x:c r="E7" s="46" t="str">
        <x:f>IF(E6&lt;='Assumptions'!$B$9,"Actual","Forecast")</x:f>
        <x:v>Forecast</x:v>
      </x:c>
      <x:c r="F7" s="46" t="str">
        <x:f>IF(F6&lt;='Assumptions'!$B$9,"Actual","Forecast")</x:f>
        <x:v>Forecast</x:v>
      </x:c>
      <x:c r="G7" s="46" t="str">
        <x:f>IF(G6&lt;='Assumptions'!$B$9,"Actual","Forecast")</x:f>
        <x:v>Forecast</x:v>
      </x:c>
      <x:c r="H7" s="46" t="str">
        <x:f>IF(H6&lt;='Assumptions'!$B$9,"Actual","Forecast")</x:f>
        <x:v>Forecast</x:v>
      </x:c>
      <x:c r="I7" s="46" t="str">
        <x:f>IF(I6&lt;='Assumptions'!$B$9,"Actual","Forecast")</x:f>
        <x:v>Forecast</x:v>
      </x:c>
      <x:c r="J7" s="46" t="str">
        <x:f>IF(J6&lt;='Assumptions'!$B$9,"Actual","Forecast")</x:f>
        <x:v>Forecast</x:v>
      </x:c>
      <x:c r="K7" s="46" t="str">
        <x:f>IF(K6&lt;='Assumptions'!$B$9,"Actual","Forecast")</x:f>
        <x:v>Forecast</x:v>
      </x:c>
      <x:c r="L7" s="46" t="str">
        <x:f>IF(L6&lt;='Assumptions'!$B$9,"Actual","Forecast")</x:f>
        <x:v>Forecast</x:v>
      </x:c>
      <x:c r="M7" s="46" t="str">
        <x:f>IF(M6&lt;='Assumptions'!$B$9,"Actual","Forecast")</x:f>
        <x:v>Forecast</x:v>
      </x:c>
      <x:c r="N7" s="46" t="str">
        <x:f>IF(N6&lt;='Assumptions'!$B$9,"Actual","Forecast")</x:f>
        <x:v>Forecast</x:v>
      </x:c>
      <x:c r="O7" t="str"/>
    </x:row>
    <x:row r="9">
      <x:c r="A9" s="14" t="str">
        <x:v>CASH RECEIPTS</x:v>
      </x:c>
      <x:c r="B9" s="14"/>
      <x:c r="C9" s="14"/>
      <x:c r="D9" s="14"/>
      <x:c r="E9" s="14"/>
      <x:c r="F9" s="14"/>
      <x:c r="G9" s="14"/>
      <x:c r="H9" s="14"/>
      <x:c r="I9" s="14"/>
      <x:c r="J9" s="14"/>
      <x:c r="K9" s="14"/>
      <x:c r="L9" s="14"/>
      <x:c r="M9" s="14"/>
      <x:c r="N9" s="14"/>
      <x:c r="O9" s="14"/>
    </x:row>
    <x:row r="10">
      <x:c r="A10" t="str">
        <x:v>Customer receipts</x:v>
      </x:c>
      <x:c r="B10" s="49" t="n">
        <x:v>118000</x:v>
      </x:c>
      <x:c r="C10" s="49" t="n">
        <x:v>125000</x:v>
      </x:c>
      <x:c r="D10" s="49" t="n">
        <x:v>120000</x:v>
      </x:c>
      <x:c r="E10" s="49" t="n">
        <x:v>115000</x:v>
      </x:c>
      <x:c r="F10" s="49" t="n">
        <x:v>110000</x:v>
      </x:c>
      <x:c r="G10" s="49" t="n">
        <x:v>112000</x:v>
      </x:c>
      <x:c r="H10" s="49" t="n">
        <x:v>105000</x:v>
      </x:c>
      <x:c r="I10" s="49" t="n">
        <x:v>108000</x:v>
      </x:c>
      <x:c r="J10" s="49" t="n">
        <x:v>110000</x:v>
      </x:c>
      <x:c r="K10" s="49" t="n">
        <x:v>116000</x:v>
      </x:c>
      <x:c r="L10" s="49" t="n">
        <x:v>120000</x:v>
      </x:c>
      <x:c r="M10" s="49" t="n">
        <x:v>125000</x:v>
      </x:c>
      <x:c r="N10" s="49" t="n">
        <x:v>130000</x:v>
      </x:c>
      <x:c r="O10" s="36" t="n">
        <x:f>SUM(B10:N10)</x:f>
        <x:v>1514000</x:v>
      </x:c>
    </x:row>
    <x:row r="11">
      <x:c r="A11" t="str">
        <x:v>Overdue receipts</x:v>
      </x:c>
      <x:c r="B11" s="49" t="n">
        <x:v>30000</x:v>
      </x:c>
      <x:c r="C11" s="49" t="n">
        <x:v>20000</x:v>
      </x:c>
      <x:c r="D11" s="49" t="n">
        <x:v>15000</x:v>
      </x:c>
      <x:c r="E11" s="49" t="n">
        <x:v>10000</x:v>
      </x:c>
      <x:c r="F11" s="49" t="n">
        <x:v>8000</x:v>
      </x:c>
      <x:c r="G11" s="49" t="n">
        <x:v>8000</x:v>
      </x:c>
      <x:c r="H11" s="49" t="n">
        <x:v>5000</x:v>
      </x:c>
      <x:c r="I11" s="49" t="n">
        <x:v>5000</x:v>
      </x:c>
      <x:c r="J11" s="49" t="n">
        <x:v>7000</x:v>
      </x:c>
      <x:c r="K11" s="49" t="n">
        <x:v>10000</x:v>
      </x:c>
      <x:c r="L11" s="49" t="n">
        <x:v>10000</x:v>
      </x:c>
      <x:c r="M11" s="49" t="n">
        <x:v>12000</x:v>
      </x:c>
      <x:c r="N11" s="49" t="n">
        <x:v>12000</x:v>
      </x:c>
      <x:c r="O11" s="36" t="n">
        <x:f>SUM(B11:N11)</x:f>
        <x:v>152000</x:v>
      </x:c>
    </x:row>
    <x:row r="12">
      <x:c r="A12" t="str">
        <x:v>Cash / EFTPOS sales</x:v>
      </x:c>
      <x:c r="B12" s="49" t="n">
        <x:v>18000</x:v>
      </x:c>
      <x:c r="C12" s="49" t="n">
        <x:v>20000</x:v>
      </x:c>
      <x:c r="D12" s="49" t="n">
        <x:v>19000</x:v>
      </x:c>
      <x:c r="E12" s="49" t="n">
        <x:v>18000</x:v>
      </x:c>
      <x:c r="F12" s="49" t="n">
        <x:v>18000</x:v>
      </x:c>
      <x:c r="G12" s="49" t="n">
        <x:v>17000</x:v>
      </x:c>
      <x:c r="H12" s="49" t="n">
        <x:v>17000</x:v>
      </x:c>
      <x:c r="I12" s="49" t="n">
        <x:v>18000</x:v>
      </x:c>
      <x:c r="J12" s="49" t="n">
        <x:v>18000</x:v>
      </x:c>
      <x:c r="K12" s="49" t="n">
        <x:v>19000</x:v>
      </x:c>
      <x:c r="L12" s="49" t="n">
        <x:v>20000</x:v>
      </x:c>
      <x:c r="M12" s="49" t="n">
        <x:v>21000</x:v>
      </x:c>
      <x:c r="N12" s="49" t="n">
        <x:v>22000</x:v>
      </x:c>
      <x:c r="O12" s="36" t="n">
        <x:f>SUM(B12:N12)</x:f>
        <x:v>245000</x:v>
      </x:c>
    </x:row>
    <x:row r="13">
      <x:c r="A13" t="str">
        <x:v>GST refunds / credits</x:v>
      </x:c>
      <x:c r="B13" s="49" t="n">
        <x:v>0</x:v>
      </x:c>
      <x:c r="C13" s="49" t="n">
        <x:v>0</x:v>
      </x:c>
      <x:c r="D13" s="49" t="n">
        <x:v>0</x:v>
      </x:c>
      <x:c r="E13" s="49" t="n">
        <x:v>0</x:v>
      </x:c>
      <x:c r="F13" s="49" t="n">
        <x:v>0</x:v>
      </x:c>
      <x:c r="G13" s="49" t="n">
        <x:v>0</x:v>
      </x:c>
      <x:c r="H13" s="49" t="n">
        <x:v>0</x:v>
      </x:c>
      <x:c r="I13" s="49" t="n">
        <x:v>0</x:v>
      </x:c>
      <x:c r="J13" s="49" t="n">
        <x:v>0</x:v>
      </x:c>
      <x:c r="K13" s="49" t="n">
        <x:v>0</x:v>
      </x:c>
      <x:c r="L13" s="49" t="n">
        <x:v>0</x:v>
      </x:c>
      <x:c r="M13" s="49" t="n">
        <x:v>0</x:v>
      </x:c>
      <x:c r="N13" s="49" t="n">
        <x:v>0</x:v>
      </x:c>
      <x:c r="O13" s="36" t="n">
        <x:f>SUM(B13:N13)</x:f>
        <x:v>0</x:v>
      </x:c>
    </x:row>
    <x:row r="14">
      <x:c r="A14" t="str">
        <x:v>Other operating</x:v>
      </x:c>
      <x:c r="B14" s="49" t="n">
        <x:v>4000</x:v>
      </x:c>
      <x:c r="C14" s="49" t="n">
        <x:v>4000</x:v>
      </x:c>
      <x:c r="D14" s="49" t="n">
        <x:v>4000</x:v>
      </x:c>
      <x:c r="E14" s="49" t="n">
        <x:v>4000</x:v>
      </x:c>
      <x:c r="F14" s="49" t="n">
        <x:v>4000</x:v>
      </x:c>
      <x:c r="G14" s="49" t="n">
        <x:v>4000</x:v>
      </x:c>
      <x:c r="H14" s="49" t="n">
        <x:v>4000</x:v>
      </x:c>
      <x:c r="I14" s="49" t="n">
        <x:v>4000</x:v>
      </x:c>
      <x:c r="J14" s="49" t="n">
        <x:v>4000</x:v>
      </x:c>
      <x:c r="K14" s="49" t="n">
        <x:v>4000</x:v>
      </x:c>
      <x:c r="L14" s="49" t="n">
        <x:v>4000</x:v>
      </x:c>
      <x:c r="M14" s="49" t="n">
        <x:v>4000</x:v>
      </x:c>
      <x:c r="N14" s="49" t="n">
        <x:v>4000</x:v>
      </x:c>
      <x:c r="O14" s="36" t="n">
        <x:f>SUM(B14:N14)</x:f>
        <x:v>52000</x:v>
      </x:c>
    </x:row>
    <x:row r="15">
      <x:c r="A15" t="str">
        <x:v>Asset sale proceeds</x:v>
      </x:c>
      <x:c r="B15" s="49" t="n">
        <x:v>0</x:v>
      </x:c>
      <x:c r="C15" s="49" t="n">
        <x:v>0</x:v>
      </x:c>
      <x:c r="D15" s="49" t="n">
        <x:v>0</x:v>
      </x:c>
      <x:c r="E15" s="49" t="n">
        <x:v>0</x:v>
      </x:c>
      <x:c r="F15" s="49" t="n">
        <x:v>0</x:v>
      </x:c>
      <x:c r="G15" s="49" t="n">
        <x:v>0</x:v>
      </x:c>
      <x:c r="H15" s="49" t="n">
        <x:v>0</x:v>
      </x:c>
      <x:c r="I15" s="49" t="n">
        <x:v>0</x:v>
      </x:c>
      <x:c r="J15" s="49" t="n">
        <x:v>0</x:v>
      </x:c>
      <x:c r="K15" s="49" t="n">
        <x:v>100000</x:v>
      </x:c>
      <x:c r="L15" s="49" t="n">
        <x:v>0</x:v>
      </x:c>
      <x:c r="M15" s="49" t="n">
        <x:v>0</x:v>
      </x:c>
      <x:c r="N15" s="49" t="n">
        <x:v>0</x:v>
      </x:c>
      <x:c r="O15" s="36" t="n">
        <x:f>SUM(B15:N15)</x:f>
        <x:v>100000</x:v>
      </x:c>
    </x:row>
    <x:row r="16">
      <x:c r="A16" t="str">
        <x:v>Equity / owner funding</x:v>
      </x:c>
      <x:c r="B16" s="49" t="n">
        <x:v>0</x:v>
      </x:c>
      <x:c r="C16" s="49" t="n">
        <x:v>0</x:v>
      </x:c>
      <x:c r="D16" s="49" t="n">
        <x:v>0</x:v>
      </x:c>
      <x:c r="E16" s="49" t="n">
        <x:v>0</x:v>
      </x:c>
      <x:c r="F16" s="49" t="n">
        <x:v>0</x:v>
      </x:c>
      <x:c r="G16" s="49" t="n">
        <x:v>0</x:v>
      </x:c>
      <x:c r="H16" s="49" t="n">
        <x:v>150000</x:v>
      </x:c>
      <x:c r="I16" s="49" t="n">
        <x:v>0</x:v>
      </x:c>
      <x:c r="J16" s="49" t="n">
        <x:v>0</x:v>
      </x:c>
      <x:c r="K16" s="49" t="n">
        <x:v>0</x:v>
      </x:c>
      <x:c r="L16" s="49" t="n">
        <x:v>0</x:v>
      </x:c>
      <x:c r="M16" s="49" t="n">
        <x:v>0</x:v>
      </x:c>
      <x:c r="N16" s="49" t="n">
        <x:v>0</x:v>
      </x:c>
      <x:c r="O16" s="36" t="n">
        <x:f>SUM(B16:N16)</x:f>
        <x:v>150000</x:v>
      </x:c>
    </x:row>
    <x:row r="17">
      <x:c r="A17" t="str">
        <x:v>Loan proceeds</x:v>
      </x:c>
      <x:c r="B17" s="49" t="n">
        <x:v>0</x:v>
      </x:c>
      <x:c r="C17" s="49" t="n">
        <x:v>0</x:v>
      </x:c>
      <x:c r="D17" s="49" t="n">
        <x:v>0</x:v>
      </x:c>
      <x:c r="E17" s="49" t="n">
        <x:v>0</x:v>
      </x:c>
      <x:c r="F17" s="49" t="n">
        <x:v>0</x:v>
      </x:c>
      <x:c r="G17" s="49" t="n">
        <x:v>0</x:v>
      </x:c>
      <x:c r="H17" s="49" t="n">
        <x:v>0</x:v>
      </x:c>
      <x:c r="I17" s="49" t="n">
        <x:v>0</x:v>
      </x:c>
      <x:c r="J17" s="49" t="n">
        <x:v>125000</x:v>
      </x:c>
      <x:c r="K17" s="49" t="n">
        <x:v>0</x:v>
      </x:c>
      <x:c r="L17" s="49" t="n">
        <x:v>0</x:v>
      </x:c>
      <x:c r="M17" s="49" t="n">
        <x:v>0</x:v>
      </x:c>
      <x:c r="N17" s="49" t="n">
        <x:v>0</x:v>
      </x:c>
      <x:c r="O17" s="36" t="n">
        <x:f>SUM(B17:N17)</x:f>
        <x:v>125000</x:v>
      </x:c>
    </x:row>
    <x:row r="18">
      <x:c r="A18" t="str">
        <x:v>Scenario receipt adjustment</x:v>
      </x:c>
      <x:c r="B18" s="52" t="n">
        <x:f>IF(B$7="Actual",0,SUM(B10:B12)*(INDEX(Assumptions!$C$15:$C$17,MATCH(Assumptions!$B$12,Assumptions!$B$15:$B$17,0))-1))</x:f>
        <x:v>0</x:v>
      </x:c>
      <x:c r="C18" s="52" t="n">
        <x:f>IF(C$7="Actual",0,SUM(C10:C12)*(INDEX(Assumptions!$C$15:$C$17,MATCH(Assumptions!$B$12,Assumptions!$B$15:$B$17,0))-1))</x:f>
        <x:v>0</x:v>
      </x:c>
      <x:c r="D18" s="52" t="n">
        <x:f>IF(D$7="Actual",0,SUM(D10:D12)*(INDEX(Assumptions!$C$15:$C$17,MATCH(Assumptions!$B$12,Assumptions!$B$15:$B$17,0))-1))</x:f>
        <x:v>0</x:v>
      </x:c>
      <x:c r="E18" s="52" t="n">
        <x:f>IF(E$7="Actual",0,SUM(E10:E12)*(INDEX(Assumptions!$C$15:$C$17,MATCH(Assumptions!$B$12,Assumptions!$B$15:$B$17,0))-1))</x:f>
        <x:v>0</x:v>
      </x:c>
      <x:c r="F18" s="52" t="n">
        <x:f>IF(F$7="Actual",0,SUM(F10:F12)*(INDEX(Assumptions!$C$15:$C$17,MATCH(Assumptions!$B$12,Assumptions!$B$15:$B$17,0))-1))</x:f>
        <x:v>0</x:v>
      </x:c>
      <x:c r="G18" s="52" t="n">
        <x:f>IF(G$7="Actual",0,SUM(G10:G12)*(INDEX(Assumptions!$C$15:$C$17,MATCH(Assumptions!$B$12,Assumptions!$B$15:$B$17,0))-1))</x:f>
        <x:v>0</x:v>
      </x:c>
      <x:c r="H18" s="52" t="n">
        <x:f>IF(H$7="Actual",0,SUM(H10:H12)*(INDEX(Assumptions!$C$15:$C$17,MATCH(Assumptions!$B$12,Assumptions!$B$15:$B$17,0))-1))</x:f>
        <x:v>0</x:v>
      </x:c>
      <x:c r="I18" s="52" t="n">
        <x:f>IF(I$7="Actual",0,SUM(I10:I12)*(INDEX(Assumptions!$C$15:$C$17,MATCH(Assumptions!$B$12,Assumptions!$B$15:$B$17,0))-1))</x:f>
        <x:v>0</x:v>
      </x:c>
      <x:c r="J18" s="52" t="n">
        <x:f>IF(J$7="Actual",0,SUM(J10:J12)*(INDEX(Assumptions!$C$15:$C$17,MATCH(Assumptions!$B$12,Assumptions!$B$15:$B$17,0))-1))</x:f>
        <x:v>0</x:v>
      </x:c>
      <x:c r="K18" s="52" t="n">
        <x:f>IF(K$7="Actual",0,SUM(K10:K12)*(INDEX(Assumptions!$C$15:$C$17,MATCH(Assumptions!$B$12,Assumptions!$B$15:$B$17,0))-1))</x:f>
        <x:v>0</x:v>
      </x:c>
      <x:c r="L18" s="52" t="n">
        <x:f>IF(L$7="Actual",0,SUM(L10:L12)*(INDEX(Assumptions!$C$15:$C$17,MATCH(Assumptions!$B$12,Assumptions!$B$15:$B$17,0))-1))</x:f>
        <x:v>0</x:v>
      </x:c>
      <x:c r="M18" s="52" t="n">
        <x:f>IF(M$7="Actual",0,SUM(M10:M12)*(INDEX(Assumptions!$C$15:$C$17,MATCH(Assumptions!$B$12,Assumptions!$B$15:$B$17,0))-1))</x:f>
        <x:v>0</x:v>
      </x:c>
      <x:c r="N18" s="52" t="n">
        <x:f>IF(N$7="Actual",0,SUM(N10:N12)*(INDEX(Assumptions!$C$15:$C$17,MATCH(Assumptions!$B$12,Assumptions!$B$15:$B$17,0))-1))</x:f>
        <x:v>0</x:v>
      </x:c>
      <x:c r="O18" s="36" t="n">
        <x:f>SUM(B18:N18)</x:f>
        <x:v>0</x:v>
      </x:c>
    </x:row>
    <x:row r="19">
      <x:c r="A19" s="48" t="str">
        <x:v>Total cash receipts</x:v>
      </x:c>
      <x:c r="B19" s="53" t="n">
        <x:f>SUM(B10:B18)</x:f>
        <x:v>170000</x:v>
      </x:c>
      <x:c r="C19" s="53" t="n">
        <x:f>SUM(C10:C18)</x:f>
        <x:v>169000</x:v>
      </x:c>
      <x:c r="D19" s="53" t="n">
        <x:f>SUM(D10:D18)</x:f>
        <x:v>158000</x:v>
      </x:c>
      <x:c r="E19" s="53" t="n">
        <x:f>SUM(E10:E18)</x:f>
        <x:v>147000</x:v>
      </x:c>
      <x:c r="F19" s="53" t="n">
        <x:f>SUM(F10:F18)</x:f>
        <x:v>140000</x:v>
      </x:c>
      <x:c r="G19" s="53" t="n">
        <x:f>SUM(G10:G18)</x:f>
        <x:v>141000</x:v>
      </x:c>
      <x:c r="H19" s="53" t="n">
        <x:f>SUM(H10:H18)</x:f>
        <x:v>281000</x:v>
      </x:c>
      <x:c r="I19" s="53" t="n">
        <x:f>SUM(I10:I18)</x:f>
        <x:v>135000</x:v>
      </x:c>
      <x:c r="J19" s="53" t="n">
        <x:f>SUM(J10:J18)</x:f>
        <x:v>264000</x:v>
      </x:c>
      <x:c r="K19" s="53" t="n">
        <x:f>SUM(K10:K18)</x:f>
        <x:v>249000</x:v>
      </x:c>
      <x:c r="L19" s="53" t="n">
        <x:f>SUM(L10:L18)</x:f>
        <x:v>154000</x:v>
      </x:c>
      <x:c r="M19" s="53" t="n">
        <x:f>SUM(M10:M18)</x:f>
        <x:v>162000</x:v>
      </x:c>
      <x:c r="N19" s="53" t="n">
        <x:f>SUM(N10:N18)</x:f>
        <x:v>168000</x:v>
      </x:c>
      <x:c r="O19" s="50" t="n">
        <x:f>SUM(B19:N19)</x:f>
        <x:v>2338000</x:v>
      </x:c>
    </x:row>
    <x:row r="20">
      <x:c r="B20" s="36"/>
      <x:c r="C20" s="36"/>
      <x:c r="D20" s="36"/>
      <x:c r="E20" s="36"/>
      <x:c r="F20" s="36"/>
      <x:c r="G20" s="36"/>
      <x:c r="H20" s="36"/>
      <x:c r="I20" s="36"/>
      <x:c r="J20" s="36"/>
      <x:c r="K20" s="36"/>
      <x:c r="L20" s="36"/>
      <x:c r="M20" s="36"/>
      <x:c r="N20" s="36"/>
      <x:c r="O20" s="36"/>
    </x:row>
    <x:row r="21">
      <x:c r="A21" s="14" t="str">
        <x:v>CASH PAYMENTS</x:v>
      </x:c>
      <x:c r="B21" s="51"/>
      <x:c r="C21" s="51"/>
      <x:c r="D21" s="51"/>
      <x:c r="E21" s="51"/>
      <x:c r="F21" s="51"/>
      <x:c r="G21" s="51"/>
      <x:c r="H21" s="51"/>
      <x:c r="I21" s="51"/>
      <x:c r="J21" s="51"/>
      <x:c r="K21" s="51"/>
      <x:c r="L21" s="51"/>
      <x:c r="M21" s="51"/>
      <x:c r="N21" s="51"/>
      <x:c r="O21" s="51"/>
    </x:row>
    <x:row r="22">
      <x:c r="A22" t="str">
        <x:v>Suppliers and inventory</x:v>
      </x:c>
      <x:c r="B22" s="49" t="n">
        <x:v>82000</x:v>
      </x:c>
      <x:c r="C22" s="49" t="n">
        <x:v>88000</x:v>
      </x:c>
      <x:c r="D22" s="49" t="n">
        <x:v>90000</x:v>
      </x:c>
      <x:c r="E22" s="49" t="n">
        <x:v>95000</x:v>
      </x:c>
      <x:c r="F22" s="49" t="n">
        <x:v>98000</x:v>
      </x:c>
      <x:c r="G22" s="49" t="n">
        <x:v>100000</x:v>
      </x:c>
      <x:c r="H22" s="49" t="n">
        <x:v>105000</x:v>
      </x:c>
      <x:c r="I22" s="49" t="n">
        <x:v>108000</x:v>
      </x:c>
      <x:c r="J22" s="49" t="n">
        <x:v>110000</x:v>
      </x:c>
      <x:c r="K22" s="49" t="n">
        <x:v>105000</x:v>
      </x:c>
      <x:c r="L22" s="49" t="n">
        <x:v>100000</x:v>
      </x:c>
      <x:c r="M22" s="49" t="n">
        <x:v>95000</x:v>
      </x:c>
      <x:c r="N22" s="49" t="n">
        <x:v>90000</x:v>
      </x:c>
      <x:c r="O22" s="36" t="n">
        <x:f>SUM(B22:N22)</x:f>
        <x:v>1266000</x:v>
      </x:c>
    </x:row>
    <x:row r="23">
      <x:c r="A23" t="str">
        <x:v>Net wages</x:v>
      </x:c>
      <x:c r="B23" s="49" t="n">
        <x:v>42000</x:v>
      </x:c>
      <x:c r="C23" s="49" t="n">
        <x:v>42000</x:v>
      </x:c>
      <x:c r="D23" s="49" t="n">
        <x:v>42000</x:v>
      </x:c>
      <x:c r="E23" s="49" t="n">
        <x:v>42000</x:v>
      </x:c>
      <x:c r="F23" s="49" t="n">
        <x:v>42000</x:v>
      </x:c>
      <x:c r="G23" s="49" t="n">
        <x:v>42000</x:v>
      </x:c>
      <x:c r="H23" s="49" t="n">
        <x:v>42000</x:v>
      </x:c>
      <x:c r="I23" s="49" t="n">
        <x:v>42000</x:v>
      </x:c>
      <x:c r="J23" s="49" t="n">
        <x:v>42000</x:v>
      </x:c>
      <x:c r="K23" s="49" t="n">
        <x:v>42000</x:v>
      </x:c>
      <x:c r="L23" s="49" t="n">
        <x:v>42000</x:v>
      </x:c>
      <x:c r="M23" s="49" t="n">
        <x:v>42000</x:v>
      </x:c>
      <x:c r="N23" s="49" t="n">
        <x:v>42000</x:v>
      </x:c>
      <x:c r="O23" s="36" t="n">
        <x:f>SUM(B23:N23)</x:f>
        <x:v>546000</x:v>
      </x:c>
    </x:row>
    <x:row r="24">
      <x:c r="A24" t="str">
        <x:v>PAYG withholding</x:v>
      </x:c>
      <x:c r="B24" s="49" t="n">
        <x:v>12000</x:v>
      </x:c>
      <x:c r="C24" s="49" t="n">
        <x:v>12000</x:v>
      </x:c>
      <x:c r="D24" s="49" t="n">
        <x:v>12000</x:v>
      </x:c>
      <x:c r="E24" s="49" t="n">
        <x:v>12000</x:v>
      </x:c>
      <x:c r="F24" s="49" t="n">
        <x:v>12000</x:v>
      </x:c>
      <x:c r="G24" s="49" t="n">
        <x:v>12000</x:v>
      </x:c>
      <x:c r="H24" s="49" t="n">
        <x:v>12000</x:v>
      </x:c>
      <x:c r="I24" s="49" t="n">
        <x:v>12000</x:v>
      </x:c>
      <x:c r="J24" s="49" t="n">
        <x:v>12000</x:v>
      </x:c>
      <x:c r="K24" s="49" t="n">
        <x:v>12000</x:v>
      </x:c>
      <x:c r="L24" s="49" t="n">
        <x:v>12000</x:v>
      </x:c>
      <x:c r="M24" s="49" t="n">
        <x:v>12000</x:v>
      </x:c>
      <x:c r="N24" s="49" t="n">
        <x:v>12000</x:v>
      </x:c>
      <x:c r="O24" s="36" t="n">
        <x:f>SUM(B24:N24)</x:f>
        <x:v>156000</x:v>
      </x:c>
    </x:row>
    <x:row r="25">
      <x:c r="A25" t="str">
        <x:v>Superannuation</x:v>
      </x:c>
      <x:c r="B25" s="49" t="n">
        <x:v>6000</x:v>
      </x:c>
      <x:c r="C25" s="49" t="n">
        <x:v>6000</x:v>
      </x:c>
      <x:c r="D25" s="49" t="n">
        <x:v>6000</x:v>
      </x:c>
      <x:c r="E25" s="49" t="n">
        <x:v>6000</x:v>
      </x:c>
      <x:c r="F25" s="49" t="n">
        <x:v>6000</x:v>
      </x:c>
      <x:c r="G25" s="49" t="n">
        <x:v>6000</x:v>
      </x:c>
      <x:c r="H25" s="49" t="n">
        <x:v>6000</x:v>
      </x:c>
      <x:c r="I25" s="49" t="n">
        <x:v>6000</x:v>
      </x:c>
      <x:c r="J25" s="49" t="n">
        <x:v>6000</x:v>
      </x:c>
      <x:c r="K25" s="49" t="n">
        <x:v>6000</x:v>
      </x:c>
      <x:c r="L25" s="49" t="n">
        <x:v>6000</x:v>
      </x:c>
      <x:c r="M25" s="49" t="n">
        <x:v>6000</x:v>
      </x:c>
      <x:c r="N25" s="49" t="n">
        <x:v>6000</x:v>
      </x:c>
      <x:c r="O25" s="36" t="n">
        <x:f>SUM(B25:N25)</x:f>
        <x:v>78000</x:v>
      </x:c>
    </x:row>
    <x:row r="26">
      <x:c r="A26" t="str">
        <x:v>Payroll tax / workers compensation</x:v>
      </x:c>
      <x:c r="B26" s="49" t="n">
        <x:v>5000</x:v>
      </x:c>
      <x:c r="C26" s="49" t="n">
        <x:v>0</x:v>
      </x:c>
      <x:c r="D26" s="49" t="n">
        <x:v>0</x:v>
      </x:c>
      <x:c r="E26" s="49" t="n">
        <x:v>0</x:v>
      </x:c>
      <x:c r="F26" s="49" t="n">
        <x:v>5000</x:v>
      </x:c>
      <x:c r="G26" s="49" t="n">
        <x:v>0</x:v>
      </x:c>
      <x:c r="H26" s="49" t="n">
        <x:v>0</x:v>
      </x:c>
      <x:c r="I26" s="49" t="n">
        <x:v>0</x:v>
      </x:c>
      <x:c r="J26" s="49" t="n">
        <x:v>5000</x:v>
      </x:c>
      <x:c r="K26" s="49" t="n">
        <x:v>0</x:v>
      </x:c>
      <x:c r="L26" s="49" t="n">
        <x:v>0</x:v>
      </x:c>
      <x:c r="M26" s="49" t="n">
        <x:v>0</x:v>
      </x:c>
      <x:c r="N26" s="49" t="n">
        <x:v>0</x:v>
      </x:c>
      <x:c r="O26" s="36" t="n">
        <x:f>SUM(B26:N26)</x:f>
        <x:v>15000</x:v>
      </x:c>
    </x:row>
    <x:row r="27">
      <x:c r="A27" t="str">
        <x:v>Rent</x:v>
      </x:c>
      <x:c r="B27" s="49" t="n">
        <x:v>25000</x:v>
      </x:c>
      <x:c r="C27" s="49" t="n">
        <x:v>0</x:v>
      </x:c>
      <x:c r="D27" s="49" t="n">
        <x:v>0</x:v>
      </x:c>
      <x:c r="E27" s="49" t="n">
        <x:v>0</x:v>
      </x:c>
      <x:c r="F27" s="49" t="n">
        <x:v>25000</x:v>
      </x:c>
      <x:c r="G27" s="49" t="n">
        <x:v>0</x:v>
      </x:c>
      <x:c r="H27" s="49" t="n">
        <x:v>0</x:v>
      </x:c>
      <x:c r="I27" s="49" t="n">
        <x:v>0</x:v>
      </x:c>
      <x:c r="J27" s="49" t="n">
        <x:v>25000</x:v>
      </x:c>
      <x:c r="K27" s="49" t="n">
        <x:v>0</x:v>
      </x:c>
      <x:c r="L27" s="49" t="n">
        <x:v>0</x:v>
      </x:c>
      <x:c r="M27" s="49" t="n">
        <x:v>0</x:v>
      </x:c>
      <x:c r="N27" s="49" t="n">
        <x:v>25000</x:v>
      </x:c>
      <x:c r="O27" s="36" t="n">
        <x:f>SUM(B27:N27)</x:f>
        <x:v>100000</x:v>
      </x:c>
    </x:row>
    <x:row r="28">
      <x:c r="A28" t="str">
        <x:v>Utilities</x:v>
      </x:c>
      <x:c r="B28" s="49" t="n">
        <x:v>0</x:v>
      </x:c>
      <x:c r="C28" s="49" t="n">
        <x:v>0</x:v>
      </x:c>
      <x:c r="D28" s="49" t="n">
        <x:v>0</x:v>
      </x:c>
      <x:c r="E28" s="49" t="n">
        <x:v>0</x:v>
      </x:c>
      <x:c r="F28" s="49" t="n">
        <x:v>4000</x:v>
      </x:c>
      <x:c r="G28" s="49" t="n">
        <x:v>0</x:v>
      </x:c>
      <x:c r="H28" s="49" t="n">
        <x:v>0</x:v>
      </x:c>
      <x:c r="I28" s="49" t="n">
        <x:v>0</x:v>
      </x:c>
      <x:c r="J28" s="49" t="n">
        <x:v>4000</x:v>
      </x:c>
      <x:c r="K28" s="49" t="n">
        <x:v>0</x:v>
      </x:c>
      <x:c r="L28" s="49" t="n">
        <x:v>0</x:v>
      </x:c>
      <x:c r="M28" s="49" t="n">
        <x:v>0</x:v>
      </x:c>
      <x:c r="N28" s="49" t="n">
        <x:v>4000</x:v>
      </x:c>
      <x:c r="O28" s="36" t="n">
        <x:f>SUM(B28:N28)</x:f>
        <x:v>12000</x:v>
      </x:c>
    </x:row>
    <x:row r="29">
      <x:c r="A29" t="str">
        <x:v>Insurance</x:v>
      </x:c>
      <x:c r="B29" s="49" t="n">
        <x:v>0</x:v>
      </x:c>
      <x:c r="C29" s="49" t="n">
        <x:v>6000</x:v>
      </x:c>
      <x:c r="D29" s="49" t="n">
        <x:v>0</x:v>
      </x:c>
      <x:c r="E29" s="49" t="n">
        <x:v>0</x:v>
      </x:c>
      <x:c r="F29" s="49" t="n">
        <x:v>0</x:v>
      </x:c>
      <x:c r="G29" s="49" t="n">
        <x:v>0</x:v>
      </x:c>
      <x:c r="H29" s="49" t="n">
        <x:v>0</x:v>
      </x:c>
      <x:c r="I29" s="49" t="n">
        <x:v>0</x:v>
      </x:c>
      <x:c r="J29" s="49" t="n">
        <x:v>0</x:v>
      </x:c>
      <x:c r="K29" s="49" t="n">
        <x:v>0</x:v>
      </x:c>
      <x:c r="L29" s="49" t="n">
        <x:v>0</x:v>
      </x:c>
      <x:c r="M29" s="49" t="n">
        <x:v>0</x:v>
      </x:c>
      <x:c r="N29" s="49" t="n">
        <x:v>0</x:v>
      </x:c>
      <x:c r="O29" s="36" t="n">
        <x:f>SUM(B29:N29)</x:f>
        <x:v>6000</x:v>
      </x:c>
    </x:row>
    <x:row r="30">
      <x:c r="A30" t="str">
        <x:v>Software and subscriptions</x:v>
      </x:c>
      <x:c r="B30" s="49" t="n">
        <x:v>3000</x:v>
      </x:c>
      <x:c r="C30" s="49" t="n">
        <x:v>3000</x:v>
      </x:c>
      <x:c r="D30" s="49" t="n">
        <x:v>3000</x:v>
      </x:c>
      <x:c r="E30" s="49" t="n">
        <x:v>3000</x:v>
      </x:c>
      <x:c r="F30" s="49" t="n">
        <x:v>3000</x:v>
      </x:c>
      <x:c r="G30" s="49" t="n">
        <x:v>3000</x:v>
      </x:c>
      <x:c r="H30" s="49" t="n">
        <x:v>3000</x:v>
      </x:c>
      <x:c r="I30" s="49" t="n">
        <x:v>3000</x:v>
      </x:c>
      <x:c r="J30" s="49" t="n">
        <x:v>3000</x:v>
      </x:c>
      <x:c r="K30" s="49" t="n">
        <x:v>3000</x:v>
      </x:c>
      <x:c r="L30" s="49" t="n">
        <x:v>3000</x:v>
      </x:c>
      <x:c r="M30" s="49" t="n">
        <x:v>3000</x:v>
      </x:c>
      <x:c r="N30" s="49" t="n">
        <x:v>3000</x:v>
      </x:c>
      <x:c r="O30" s="36" t="n">
        <x:f>SUM(B30:N30)</x:f>
        <x:v>39000</x:v>
      </x:c>
    </x:row>
    <x:row r="31">
      <x:c r="A31" t="str">
        <x:v>Marketing</x:v>
      </x:c>
      <x:c r="B31" s="49" t="n">
        <x:v>6000</x:v>
      </x:c>
      <x:c r="C31" s="49" t="n">
        <x:v>6000</x:v>
      </x:c>
      <x:c r="D31" s="49" t="n">
        <x:v>6000</x:v>
      </x:c>
      <x:c r="E31" s="49" t="n">
        <x:v>6000</x:v>
      </x:c>
      <x:c r="F31" s="49" t="n">
        <x:v>6000</x:v>
      </x:c>
      <x:c r="G31" s="49" t="n">
        <x:v>6000</x:v>
      </x:c>
      <x:c r="H31" s="49" t="n">
        <x:v>6000</x:v>
      </x:c>
      <x:c r="I31" s="49" t="n">
        <x:v>6000</x:v>
      </x:c>
      <x:c r="J31" s="49" t="n">
        <x:v>6000</x:v>
      </x:c>
      <x:c r="K31" s="49" t="n">
        <x:v>6000</x:v>
      </x:c>
      <x:c r="L31" s="49" t="n">
        <x:v>6000</x:v>
      </x:c>
      <x:c r="M31" s="49" t="n">
        <x:v>6000</x:v>
      </x:c>
      <x:c r="N31" s="49" t="n">
        <x:v>6000</x:v>
      </x:c>
      <x:c r="O31" s="36" t="n">
        <x:f>SUM(B31:N31)</x:f>
        <x:v>78000</x:v>
      </x:c>
    </x:row>
    <x:row r="32">
      <x:c r="A32" t="str">
        <x:v>Professional services</x:v>
      </x:c>
      <x:c r="B32" s="49" t="n">
        <x:v>0</x:v>
      </x:c>
      <x:c r="C32" s="49" t="n">
        <x:v>0</x:v>
      </x:c>
      <x:c r="D32" s="49" t="n">
        <x:v>8000</x:v>
      </x:c>
      <x:c r="E32" s="49" t="n">
        <x:v>0</x:v>
      </x:c>
      <x:c r="F32" s="49" t="n">
        <x:v>0</x:v>
      </x:c>
      <x:c r="G32" s="49" t="n">
        <x:v>0</x:v>
      </x:c>
      <x:c r="H32" s="49" t="n">
        <x:v>8000</x:v>
      </x:c>
      <x:c r="I32" s="49" t="n">
        <x:v>0</x:v>
      </x:c>
      <x:c r="J32" s="49" t="n">
        <x:v>0</x:v>
      </x:c>
      <x:c r="K32" s="49" t="n">
        <x:v>0</x:v>
      </x:c>
      <x:c r="L32" s="49" t="n">
        <x:v>8000</x:v>
      </x:c>
      <x:c r="M32" s="49" t="n">
        <x:v>0</x:v>
      </x:c>
      <x:c r="N32" s="49" t="n">
        <x:v>0</x:v>
      </x:c>
      <x:c r="O32" s="36" t="n">
        <x:f>SUM(B32:N32)</x:f>
        <x:v>24000</x:v>
      </x:c>
    </x:row>
    <x:row r="33">
      <x:c r="A33" t="str">
        <x:v>Freight, vehicles and travel</x:v>
      </x:c>
      <x:c r="B33" s="49" t="n">
        <x:v>10000</x:v>
      </x:c>
      <x:c r="C33" s="49" t="n">
        <x:v>10000</x:v>
      </x:c>
      <x:c r="D33" s="49" t="n">
        <x:v>10000</x:v>
      </x:c>
      <x:c r="E33" s="49" t="n">
        <x:v>10000</x:v>
      </x:c>
      <x:c r="F33" s="49" t="n">
        <x:v>10000</x:v>
      </x:c>
      <x:c r="G33" s="49" t="n">
        <x:v>10000</x:v>
      </x:c>
      <x:c r="H33" s="49" t="n">
        <x:v>10000</x:v>
      </x:c>
      <x:c r="I33" s="49" t="n">
        <x:v>10000</x:v>
      </x:c>
      <x:c r="J33" s="49" t="n">
        <x:v>10000</x:v>
      </x:c>
      <x:c r="K33" s="49" t="n">
        <x:v>10000</x:v>
      </x:c>
      <x:c r="L33" s="49" t="n">
        <x:v>10000</x:v>
      </x:c>
      <x:c r="M33" s="49" t="n">
        <x:v>10000</x:v>
      </x:c>
      <x:c r="N33" s="49" t="n">
        <x:v>10000</x:v>
      </x:c>
      <x:c r="O33" s="36" t="n">
        <x:f>SUM(B33:N33)</x:f>
        <x:v>130000</x:v>
      </x:c>
    </x:row>
    <x:row r="34">
      <x:c r="A34" t="str">
        <x:v>GST / BAS payments</x:v>
      </x:c>
      <x:c r="B34" s="49" t="n">
        <x:v>0</x:v>
      </x:c>
      <x:c r="C34" s="49" t="n">
        <x:v>0</x:v>
      </x:c>
      <x:c r="D34" s="49" t="n">
        <x:v>0</x:v>
      </x:c>
      <x:c r="E34" s="49" t="n">
        <x:v>0</x:v>
      </x:c>
      <x:c r="F34" s="49" t="n">
        <x:v>0</x:v>
      </x:c>
      <x:c r="G34" s="49" t="n">
        <x:v>0</x:v>
      </x:c>
      <x:c r="H34" s="49" t="n">
        <x:v>0</x:v>
      </x:c>
      <x:c r="I34" s="49" t="n">
        <x:v>0</x:v>
      </x:c>
      <x:c r="J34" s="49" t="n">
        <x:v>45000</x:v>
      </x:c>
      <x:c r="K34" s="49" t="n">
        <x:v>0</x:v>
      </x:c>
      <x:c r="L34" s="49" t="n">
        <x:v>0</x:v>
      </x:c>
      <x:c r="M34" s="49" t="n">
        <x:v>0</x:v>
      </x:c>
      <x:c r="N34" s="49" t="n">
        <x:v>0</x:v>
      </x:c>
      <x:c r="O34" s="36" t="n">
        <x:f>SUM(B34:N34)</x:f>
        <x:v>45000</x:v>
      </x:c>
    </x:row>
    <x:row r="35">
      <x:c r="A35" t="str">
        <x:v>PAYG income tax instalments</x:v>
      </x:c>
      <x:c r="B35" s="49" t="n">
        <x:v>0</x:v>
      </x:c>
      <x:c r="C35" s="49" t="n">
        <x:v>0</x:v>
      </x:c>
      <x:c r="D35" s="49" t="n">
        <x:v>0</x:v>
      </x:c>
      <x:c r="E35" s="49" t="n">
        <x:v>0</x:v>
      </x:c>
      <x:c r="F35" s="49" t="n">
        <x:v>0</x:v>
      </x:c>
      <x:c r="G35" s="49" t="n">
        <x:v>0</x:v>
      </x:c>
      <x:c r="H35" s="49" t="n">
        <x:v>0</x:v>
      </x:c>
      <x:c r="I35" s="49" t="n">
        <x:v>0</x:v>
      </x:c>
      <x:c r="J35" s="49" t="n">
        <x:v>18000</x:v>
      </x:c>
      <x:c r="K35" s="49" t="n">
        <x:v>0</x:v>
      </x:c>
      <x:c r="L35" s="49" t="n">
        <x:v>0</x:v>
      </x:c>
      <x:c r="M35" s="49" t="n">
        <x:v>0</x:v>
      </x:c>
      <x:c r="N35" s="49" t="n">
        <x:v>0</x:v>
      </x:c>
      <x:c r="O35" s="36" t="n">
        <x:f>SUM(B35:N35)</x:f>
        <x:v>18000</x:v>
      </x:c>
    </x:row>
    <x:row r="36">
      <x:c r="A36" t="str">
        <x:v>FBT / other tax</x:v>
      </x:c>
      <x:c r="B36" s="49" t="n">
        <x:v>0</x:v>
      </x:c>
      <x:c r="C36" s="49" t="n">
        <x:v>0</x:v>
      </x:c>
      <x:c r="D36" s="49" t="n">
        <x:v>0</x:v>
      </x:c>
      <x:c r="E36" s="49" t="n">
        <x:v>0</x:v>
      </x:c>
      <x:c r="F36" s="49" t="n">
        <x:v>0</x:v>
      </x:c>
      <x:c r="G36" s="49" t="n">
        <x:v>0</x:v>
      </x:c>
      <x:c r="H36" s="49" t="n">
        <x:v>0</x:v>
      </x:c>
      <x:c r="I36" s="49" t="n">
        <x:v>0</x:v>
      </x:c>
      <x:c r="J36" s="49" t="n">
        <x:v>0</x:v>
      </x:c>
      <x:c r="K36" s="49" t="n">
        <x:v>0</x:v>
      </x:c>
      <x:c r="L36" s="49" t="n">
        <x:v>0</x:v>
      </x:c>
      <x:c r="M36" s="49" t="n">
        <x:v>0</x:v>
      </x:c>
      <x:c r="N36" s="49" t="n">
        <x:v>0</x:v>
      </x:c>
      <x:c r="O36" s="36" t="n">
        <x:f>SUM(B36:N36)</x:f>
        <x:v>0</x:v>
      </x:c>
    </x:row>
    <x:row r="37">
      <x:c r="A37" t="str">
        <x:v>Interest and bank fees</x:v>
      </x:c>
      <x:c r="B37" s="49" t="n">
        <x:v>4000</x:v>
      </x:c>
      <x:c r="C37" s="49" t="n">
        <x:v>0</x:v>
      </x:c>
      <x:c r="D37" s="49" t="n">
        <x:v>0</x:v>
      </x:c>
      <x:c r="E37" s="49" t="n">
        <x:v>0</x:v>
      </x:c>
      <x:c r="F37" s="49" t="n">
        <x:v>4000</x:v>
      </x:c>
      <x:c r="G37" s="49" t="n">
        <x:v>0</x:v>
      </x:c>
      <x:c r="H37" s="49" t="n">
        <x:v>0</x:v>
      </x:c>
      <x:c r="I37" s="49" t="n">
        <x:v>0</x:v>
      </x:c>
      <x:c r="J37" s="49" t="n">
        <x:v>4000</x:v>
      </x:c>
      <x:c r="K37" s="49" t="n">
        <x:v>0</x:v>
      </x:c>
      <x:c r="L37" s="49" t="n">
        <x:v>0</x:v>
      </x:c>
      <x:c r="M37" s="49" t="n">
        <x:v>0</x:v>
      </x:c>
      <x:c r="N37" s="49" t="n">
        <x:v>4000</x:v>
      </x:c>
      <x:c r="O37" s="36" t="n">
        <x:f>SUM(B37:N37)</x:f>
        <x:v>16000</x:v>
      </x:c>
    </x:row>
    <x:row r="38">
      <x:c r="A38" t="str">
        <x:v>Loan principal</x:v>
      </x:c>
      <x:c r="B38" s="49" t="n">
        <x:v>12000</x:v>
      </x:c>
      <x:c r="C38" s="49" t="n">
        <x:v>0</x:v>
      </x:c>
      <x:c r="D38" s="49" t="n">
        <x:v>0</x:v>
      </x:c>
      <x:c r="E38" s="49" t="n">
        <x:v>0</x:v>
      </x:c>
      <x:c r="F38" s="49" t="n">
        <x:v>12000</x:v>
      </x:c>
      <x:c r="G38" s="49" t="n">
        <x:v>0</x:v>
      </x:c>
      <x:c r="H38" s="49" t="n">
        <x:v>0</x:v>
      </x:c>
      <x:c r="I38" s="49" t="n">
        <x:v>0</x:v>
      </x:c>
      <x:c r="J38" s="49" t="n">
        <x:v>12000</x:v>
      </x:c>
      <x:c r="K38" s="49" t="n">
        <x:v>0</x:v>
      </x:c>
      <x:c r="L38" s="49" t="n">
        <x:v>0</x:v>
      </x:c>
      <x:c r="M38" s="49" t="n">
        <x:v>0</x:v>
      </x:c>
      <x:c r="N38" s="49" t="n">
        <x:v>12000</x:v>
      </x:c>
      <x:c r="O38" s="36" t="n">
        <x:f>SUM(B38:N38)</x:f>
        <x:v>48000</x:v>
      </x:c>
    </x:row>
    <x:row r="39">
      <x:c r="A39" t="str">
        <x:v>Capital expenditure</x:v>
      </x:c>
      <x:c r="B39" s="49" t="n">
        <x:v>0</x:v>
      </x:c>
      <x:c r="C39" s="49" t="n">
        <x:v>0</x:v>
      </x:c>
      <x:c r="D39" s="49" t="n">
        <x:v>0</x:v>
      </x:c>
      <x:c r="E39" s="49" t="n">
        <x:v>0</x:v>
      </x:c>
      <x:c r="F39" s="49" t="n">
        <x:v>0</x:v>
      </x:c>
      <x:c r="G39" s="49" t="n">
        <x:v>25000</x:v>
      </x:c>
      <x:c r="H39" s="49" t="n">
        <x:v>0</x:v>
      </x:c>
      <x:c r="I39" s="49" t="n">
        <x:v>0</x:v>
      </x:c>
      <x:c r="J39" s="49" t="n">
        <x:v>0</x:v>
      </x:c>
      <x:c r="K39" s="49" t="n">
        <x:v>40000</x:v>
      </x:c>
      <x:c r="L39" s="49" t="n">
        <x:v>0</x:v>
      </x:c>
      <x:c r="M39" s="49" t="n">
        <x:v>0</x:v>
      </x:c>
      <x:c r="N39" s="49" t="n">
        <x:v>0</x:v>
      </x:c>
      <x:c r="O39" s="36" t="n">
        <x:f>SUM(B39:N39)</x:f>
        <x:v>65000</x:v>
      </x:c>
    </x:row>
    <x:row r="40">
      <x:c r="A40" t="str">
        <x:v>Dividends / distributions</x:v>
      </x:c>
      <x:c r="B40" s="49" t="n">
        <x:v>0</x:v>
      </x:c>
      <x:c r="C40" s="49" t="n">
        <x:v>0</x:v>
      </x:c>
      <x:c r="D40" s="49" t="n">
        <x:v>0</x:v>
      </x:c>
      <x:c r="E40" s="49" t="n">
        <x:v>0</x:v>
      </x:c>
      <x:c r="F40" s="49" t="n">
        <x:v>0</x:v>
      </x:c>
      <x:c r="G40" s="49" t="n">
        <x:v>0</x:v>
      </x:c>
      <x:c r="H40" s="49" t="n">
        <x:v>0</x:v>
      </x:c>
      <x:c r="I40" s="49" t="n">
        <x:v>0</x:v>
      </x:c>
      <x:c r="J40" s="49" t="n">
        <x:v>0</x:v>
      </x:c>
      <x:c r="K40" s="49" t="n">
        <x:v>0</x:v>
      </x:c>
      <x:c r="L40" s="49" t="n">
        <x:v>0</x:v>
      </x:c>
      <x:c r="M40" s="49" t="n">
        <x:v>0</x:v>
      </x:c>
      <x:c r="N40" s="49" t="n">
        <x:v>0</x:v>
      </x:c>
      <x:c r="O40" s="36" t="n">
        <x:f>SUM(B40:N40)</x:f>
        <x:v>0</x:v>
      </x:c>
    </x:row>
    <x:row r="41">
      <x:c r="A41" t="str">
        <x:v>Other operating</x:v>
      </x:c>
      <x:c r="B41" s="49" t="n">
        <x:v>5000</x:v>
      </x:c>
      <x:c r="C41" s="49" t="n">
        <x:v>5000</x:v>
      </x:c>
      <x:c r="D41" s="49" t="n">
        <x:v>5000</x:v>
      </x:c>
      <x:c r="E41" s="49" t="n">
        <x:v>5000</x:v>
      </x:c>
      <x:c r="F41" s="49" t="n">
        <x:v>5000</x:v>
      </x:c>
      <x:c r="G41" s="49" t="n">
        <x:v>5000</x:v>
      </x:c>
      <x:c r="H41" s="49" t="n">
        <x:v>5000</x:v>
      </x:c>
      <x:c r="I41" s="49" t="n">
        <x:v>5000</x:v>
      </x:c>
      <x:c r="J41" s="49" t="n">
        <x:v>5000</x:v>
      </x:c>
      <x:c r="K41" s="49" t="n">
        <x:v>5000</x:v>
      </x:c>
      <x:c r="L41" s="49" t="n">
        <x:v>5000</x:v>
      </x:c>
      <x:c r="M41" s="49" t="n">
        <x:v>5000</x:v>
      </x:c>
      <x:c r="N41" s="49" t="n">
        <x:v>5000</x:v>
      </x:c>
      <x:c r="O41" s="36" t="n">
        <x:f>SUM(B41:N41)</x:f>
        <x:v>65000</x:v>
      </x:c>
    </x:row>
    <x:row r="42">
      <x:c r="A42" t="str">
        <x:v>Scenario payment adjustment</x:v>
      </x:c>
      <x:c r="B42" s="52" t="n">
        <x:f>IF(B$7="Actual",0,SUM(B22,B31,B33,B41)*(INDEX(Assumptions!$D$15:$D$17,MATCH(Assumptions!$B$12,Assumptions!$B$15:$B$17,0))-1))</x:f>
        <x:v>0</x:v>
      </x:c>
      <x:c r="C42" s="52" t="n">
        <x:f>IF(C$7="Actual",0,SUM(C22,C31,C33,C41)*(INDEX(Assumptions!$D$15:$D$17,MATCH(Assumptions!$B$12,Assumptions!$B$15:$B$17,0))-1))</x:f>
        <x:v>0</x:v>
      </x:c>
      <x:c r="D42" s="52" t="n">
        <x:f>IF(D$7="Actual",0,SUM(D22,D31,D33,D41)*(INDEX(Assumptions!$D$15:$D$17,MATCH(Assumptions!$B$12,Assumptions!$B$15:$B$17,0))-1))</x:f>
        <x:v>0</x:v>
      </x:c>
      <x:c r="E42" s="52" t="n">
        <x:f>IF(E$7="Actual",0,SUM(E22,E31,E33,E41)*(INDEX(Assumptions!$D$15:$D$17,MATCH(Assumptions!$B$12,Assumptions!$B$15:$B$17,0))-1))</x:f>
        <x:v>0</x:v>
      </x:c>
      <x:c r="F42" s="52" t="n">
        <x:f>IF(F$7="Actual",0,SUM(F22,F31,F33,F41)*(INDEX(Assumptions!$D$15:$D$17,MATCH(Assumptions!$B$12,Assumptions!$B$15:$B$17,0))-1))</x:f>
        <x:v>0</x:v>
      </x:c>
      <x:c r="G42" s="52" t="n">
        <x:f>IF(G$7="Actual",0,SUM(G22,G31,G33,G41)*(INDEX(Assumptions!$D$15:$D$17,MATCH(Assumptions!$B$12,Assumptions!$B$15:$B$17,0))-1))</x:f>
        <x:v>0</x:v>
      </x:c>
      <x:c r="H42" s="52" t="n">
        <x:f>IF(H$7="Actual",0,SUM(H22,H31,H33,H41)*(INDEX(Assumptions!$D$15:$D$17,MATCH(Assumptions!$B$12,Assumptions!$B$15:$B$17,0))-1))</x:f>
        <x:v>0</x:v>
      </x:c>
      <x:c r="I42" s="52" t="n">
        <x:f>IF(I$7="Actual",0,SUM(I22,I31,I33,I41)*(INDEX(Assumptions!$D$15:$D$17,MATCH(Assumptions!$B$12,Assumptions!$B$15:$B$17,0))-1))</x:f>
        <x:v>0</x:v>
      </x:c>
      <x:c r="J42" s="52" t="n">
        <x:f>IF(J$7="Actual",0,SUM(J22,J31,J33,J41)*(INDEX(Assumptions!$D$15:$D$17,MATCH(Assumptions!$B$12,Assumptions!$B$15:$B$17,0))-1))</x:f>
        <x:v>0</x:v>
      </x:c>
      <x:c r="K42" s="52" t="n">
        <x:f>IF(K$7="Actual",0,SUM(K22,K31,K33,K41)*(INDEX(Assumptions!$D$15:$D$17,MATCH(Assumptions!$B$12,Assumptions!$B$15:$B$17,0))-1))</x:f>
        <x:v>0</x:v>
      </x:c>
      <x:c r="L42" s="52" t="n">
        <x:f>IF(L$7="Actual",0,SUM(L22,L31,L33,L41)*(INDEX(Assumptions!$D$15:$D$17,MATCH(Assumptions!$B$12,Assumptions!$B$15:$B$17,0))-1))</x:f>
        <x:v>0</x:v>
      </x:c>
      <x:c r="M42" s="52" t="n">
        <x:f>IF(M$7="Actual",0,SUM(M22,M31,M33,M41)*(INDEX(Assumptions!$D$15:$D$17,MATCH(Assumptions!$B$12,Assumptions!$B$15:$B$17,0))-1))</x:f>
        <x:v>0</x:v>
      </x:c>
      <x:c r="N42" s="52" t="n">
        <x:f>IF(N$7="Actual",0,SUM(N22,N31,N33,N41)*(INDEX(Assumptions!$D$15:$D$17,MATCH(Assumptions!$B$12,Assumptions!$B$15:$B$17,0))-1))</x:f>
        <x:v>0</x:v>
      </x:c>
      <x:c r="O42" s="36" t="n">
        <x:f>SUM(B42:N42)</x:f>
        <x:v>0</x:v>
      </x:c>
    </x:row>
    <x:row r="43">
      <x:c r="A43" s="48" t="str">
        <x:v>Total cash payments</x:v>
      </x:c>
      <x:c r="B43" s="53" t="n">
        <x:f>SUM(B22:B42)</x:f>
        <x:v>212000</x:v>
      </x:c>
      <x:c r="C43" s="53" t="n">
        <x:f>SUM(C22:C42)</x:f>
        <x:v>178000</x:v>
      </x:c>
      <x:c r="D43" s="53" t="n">
        <x:f>SUM(D22:D42)</x:f>
        <x:v>182000</x:v>
      </x:c>
      <x:c r="E43" s="53" t="n">
        <x:f>SUM(E22:E42)</x:f>
        <x:v>179000</x:v>
      </x:c>
      <x:c r="F43" s="53" t="n">
        <x:f>SUM(F22:F42)</x:f>
        <x:v>232000</x:v>
      </x:c>
      <x:c r="G43" s="53" t="n">
        <x:f>SUM(G22:G42)</x:f>
        <x:v>209000</x:v>
      </x:c>
      <x:c r="H43" s="53" t="n">
        <x:f>SUM(H22:H42)</x:f>
        <x:v>197000</x:v>
      </x:c>
      <x:c r="I43" s="53" t="n">
        <x:f>SUM(I22:I42)</x:f>
        <x:v>192000</x:v>
      </x:c>
      <x:c r="J43" s="53" t="n">
        <x:f>SUM(J22:J42)</x:f>
        <x:v>307000</x:v>
      </x:c>
      <x:c r="K43" s="53" t="n">
        <x:f>SUM(K22:K42)</x:f>
        <x:v>229000</x:v>
      </x:c>
      <x:c r="L43" s="53" t="n">
        <x:f>SUM(L22:L42)</x:f>
        <x:v>192000</x:v>
      </x:c>
      <x:c r="M43" s="53" t="n">
        <x:f>SUM(M22:M42)</x:f>
        <x:v>179000</x:v>
      </x:c>
      <x:c r="N43" s="53" t="n">
        <x:f>SUM(N22:N42)</x:f>
        <x:v>219000</x:v>
      </x:c>
      <x:c r="O43" s="50" t="n">
        <x:f>SUM(B43:N43)</x:f>
        <x:v>2707000</x:v>
      </x:c>
    </x:row>
    <x:row r="44">
      <x:c r="B44" s="36"/>
      <x:c r="C44" s="36"/>
      <x:c r="D44" s="36"/>
      <x:c r="E44" s="36"/>
      <x:c r="F44" s="36"/>
      <x:c r="G44" s="36"/>
      <x:c r="H44" s="36"/>
      <x:c r="I44" s="36"/>
      <x:c r="J44" s="36"/>
      <x:c r="K44" s="36"/>
      <x:c r="L44" s="36"/>
      <x:c r="M44" s="36"/>
      <x:c r="N44" s="36"/>
      <x:c r="O44" s="36"/>
    </x:row>
    <x:row r="45">
      <x:c r="A45" s="14" t="str">
        <x:v>CASH POSITION</x:v>
      </x:c>
      <x:c r="B45" s="51"/>
      <x:c r="C45" s="51"/>
      <x:c r="D45" s="51"/>
      <x:c r="E45" s="51"/>
      <x:c r="F45" s="51"/>
      <x:c r="G45" s="51"/>
      <x:c r="H45" s="51"/>
      <x:c r="I45" s="51"/>
      <x:c r="J45" s="51"/>
      <x:c r="K45" s="51"/>
      <x:c r="L45" s="51"/>
      <x:c r="M45" s="51"/>
      <x:c r="N45" s="51"/>
      <x:c r="O45" s="51"/>
    </x:row>
    <x:row r="46">
      <x:c r="A46" t="str">
        <x:v>Opening cash balance</x:v>
      </x:c>
      <x:c r="B46" s="38" t="n">
        <x:f>'Assumptions'!$B$10</x:f>
        <x:v>400000</x:v>
      </x:c>
      <x:c r="C46" s="38" t="n">
        <x:f>B48</x:f>
        <x:v>358000</x:v>
      </x:c>
      <x:c r="D46" s="38" t="n">
        <x:f>C48</x:f>
        <x:v>349000</x:v>
      </x:c>
      <x:c r="E46" s="38" t="n">
        <x:f>D48</x:f>
        <x:v>325000</x:v>
      </x:c>
      <x:c r="F46" s="38" t="n">
        <x:f>E48</x:f>
        <x:v>293000</x:v>
      </x:c>
      <x:c r="G46" s="38" t="n">
        <x:f>F48</x:f>
        <x:v>201000</x:v>
      </x:c>
      <x:c r="H46" s="38" t="n">
        <x:f>G48</x:f>
        <x:v>133000</x:v>
      </x:c>
      <x:c r="I46" s="38" t="n">
        <x:f>H48</x:f>
        <x:v>217000</x:v>
      </x:c>
      <x:c r="J46" s="38" t="n">
        <x:f>I48</x:f>
        <x:v>160000</x:v>
      </x:c>
      <x:c r="K46" s="38" t="n">
        <x:f>J48</x:f>
        <x:v>117000</x:v>
      </x:c>
      <x:c r="L46" s="38" t="n">
        <x:f>K48</x:f>
        <x:v>137000</x:v>
      </x:c>
      <x:c r="M46" s="38" t="n">
        <x:f>L48</x:f>
        <x:v>99000</x:v>
      </x:c>
      <x:c r="N46" s="38" t="n">
        <x:f>M48</x:f>
        <x:v>82000</x:v>
      </x:c>
      <x:c r="O46" s="36" t="n">
        <x:f>N46</x:f>
        <x:v>82000</x:v>
      </x:c>
    </x:row>
    <x:row r="47">
      <x:c r="A47" t="str">
        <x:v>Net cash movement</x:v>
      </x:c>
      <x:c r="B47" s="52" t="n">
        <x:f>B19-B43</x:f>
        <x:v>-42000</x:v>
      </x:c>
      <x:c r="C47" s="52" t="n">
        <x:f>C19-C43</x:f>
        <x:v>-9000</x:v>
      </x:c>
      <x:c r="D47" s="52" t="n">
        <x:f>D19-D43</x:f>
        <x:v>-24000</x:v>
      </x:c>
      <x:c r="E47" s="52" t="n">
        <x:f>E19-E43</x:f>
        <x:v>-32000</x:v>
      </x:c>
      <x:c r="F47" s="52" t="n">
        <x:f>F19-F43</x:f>
        <x:v>-92000</x:v>
      </x:c>
      <x:c r="G47" s="52" t="n">
        <x:f>G19-G43</x:f>
        <x:v>-68000</x:v>
      </x:c>
      <x:c r="H47" s="52" t="n">
        <x:f>H19-H43</x:f>
        <x:v>84000</x:v>
      </x:c>
      <x:c r="I47" s="52" t="n">
        <x:f>I19-I43</x:f>
        <x:v>-57000</x:v>
      </x:c>
      <x:c r="J47" s="52" t="n">
        <x:f>J19-J43</x:f>
        <x:v>-43000</x:v>
      </x:c>
      <x:c r="K47" s="52" t="n">
        <x:f>K19-K43</x:f>
        <x:v>20000</x:v>
      </x:c>
      <x:c r="L47" s="52" t="n">
        <x:f>L19-L43</x:f>
        <x:v>-38000</x:v>
      </x:c>
      <x:c r="M47" s="52" t="n">
        <x:f>M19-M43</x:f>
        <x:v>-17000</x:v>
      </x:c>
      <x:c r="N47" s="52" t="n">
        <x:f>N19-N43</x:f>
        <x:v>-51000</x:v>
      </x:c>
      <x:c r="O47" s="36" t="n">
        <x:f>N47</x:f>
        <x:v>-51000</x:v>
      </x:c>
    </x:row>
    <x:row r="48">
      <x:c r="A48" s="48" t="str">
        <x:v>Closing cash balance</x:v>
      </x:c>
      <x:c r="B48" s="53" t="n">
        <x:f>B46+B47</x:f>
        <x:v>358000</x:v>
      </x:c>
      <x:c r="C48" s="53" t="n">
        <x:f>C46+C47</x:f>
        <x:v>349000</x:v>
      </x:c>
      <x:c r="D48" s="53" t="n">
        <x:f>D46+D47</x:f>
        <x:v>325000</x:v>
      </x:c>
      <x:c r="E48" s="53" t="n">
        <x:f>E46+E47</x:f>
        <x:v>293000</x:v>
      </x:c>
      <x:c r="F48" s="53" t="n">
        <x:f>F46+F47</x:f>
        <x:v>201000</x:v>
      </x:c>
      <x:c r="G48" s="53" t="n">
        <x:f>G46+G47</x:f>
        <x:v>133000</x:v>
      </x:c>
      <x:c r="H48" s="53" t="n">
        <x:f>H46+H47</x:f>
        <x:v>217000</x:v>
      </x:c>
      <x:c r="I48" s="53" t="n">
        <x:f>I46+I47</x:f>
        <x:v>160000</x:v>
      </x:c>
      <x:c r="J48" s="53" t="n">
        <x:f>J46+J47</x:f>
        <x:v>117000</x:v>
      </x:c>
      <x:c r="K48" s="53" t="n">
        <x:f>K46+K47</x:f>
        <x:v>137000</x:v>
      </x:c>
      <x:c r="L48" s="53" t="n">
        <x:f>L46+L47</x:f>
        <x:v>99000</x:v>
      </x:c>
      <x:c r="M48" s="53" t="n">
        <x:f>M46+M47</x:f>
        <x:v>82000</x:v>
      </x:c>
      <x:c r="N48" s="53" t="n">
        <x:f>N46+N47</x:f>
        <x:v>31000</x:v>
      </x:c>
      <x:c r="O48" s="50" t="n">
        <x:f>N48</x:f>
        <x:v>31000</x:v>
      </x:c>
    </x:row>
    <x:row r="49">
      <x:c r="A49" t="str">
        <x:v>Minimum cash buffer</x:v>
      </x:c>
      <x:c r="B49" s="38" t="n">
        <x:f>'Assumptions'!$B$11</x:f>
        <x:v>100000</x:v>
      </x:c>
      <x:c r="C49" s="38" t="n">
        <x:f>'Assumptions'!$B$11</x:f>
        <x:v>100000</x:v>
      </x:c>
      <x:c r="D49" s="38" t="n">
        <x:f>'Assumptions'!$B$11</x:f>
        <x:v>100000</x:v>
      </x:c>
      <x:c r="E49" s="38" t="n">
        <x:f>'Assumptions'!$B$11</x:f>
        <x:v>100000</x:v>
      </x:c>
      <x:c r="F49" s="38" t="n">
        <x:f>'Assumptions'!$B$11</x:f>
        <x:v>100000</x:v>
      </x:c>
      <x:c r="G49" s="38" t="n">
        <x:f>'Assumptions'!$B$11</x:f>
        <x:v>100000</x:v>
      </x:c>
      <x:c r="H49" s="38" t="n">
        <x:f>'Assumptions'!$B$11</x:f>
        <x:v>100000</x:v>
      </x:c>
      <x:c r="I49" s="38" t="n">
        <x:f>'Assumptions'!$B$11</x:f>
        <x:v>100000</x:v>
      </x:c>
      <x:c r="J49" s="38" t="n">
        <x:f>'Assumptions'!$B$11</x:f>
        <x:v>100000</x:v>
      </x:c>
      <x:c r="K49" s="38" t="n">
        <x:f>'Assumptions'!$B$11</x:f>
        <x:v>100000</x:v>
      </x:c>
      <x:c r="L49" s="38" t="n">
        <x:f>'Assumptions'!$B$11</x:f>
        <x:v>100000</x:v>
      </x:c>
      <x:c r="M49" s="38" t="n">
        <x:f>'Assumptions'!$B$11</x:f>
        <x:v>100000</x:v>
      </x:c>
      <x:c r="N49" s="38" t="n">
        <x:f>'Assumptions'!$B$11</x:f>
        <x:v>100000</x:v>
      </x:c>
      <x:c r="O49" s="36" t="n">
        <x:f>N49</x:f>
        <x:v>100000</x:v>
      </x:c>
    </x:row>
    <x:row r="50">
      <x:c r="A50" s="48" t="str">
        <x:v>Headroom / (gap)</x:v>
      </x:c>
      <x:c r="B50" s="53" t="n">
        <x:f>B48-B49</x:f>
        <x:v>258000</x:v>
      </x:c>
      <x:c r="C50" s="53" t="n">
        <x:f>C48-C49</x:f>
        <x:v>249000</x:v>
      </x:c>
      <x:c r="D50" s="53" t="n">
        <x:f>D48-D49</x:f>
        <x:v>225000</x:v>
      </x:c>
      <x:c r="E50" s="53" t="n">
        <x:f>E48-E49</x:f>
        <x:v>193000</x:v>
      </x:c>
      <x:c r="F50" s="53" t="n">
        <x:f>F48-F49</x:f>
        <x:v>101000</x:v>
      </x:c>
      <x:c r="G50" s="53" t="n">
        <x:f>G48-G49</x:f>
        <x:v>33000</x:v>
      </x:c>
      <x:c r="H50" s="53" t="n">
        <x:f>H48-H49</x:f>
        <x:v>117000</x:v>
      </x:c>
      <x:c r="I50" s="53" t="n">
        <x:f>I48-I49</x:f>
        <x:v>60000</x:v>
      </x:c>
      <x:c r="J50" s="53" t="n">
        <x:f>J48-J49</x:f>
        <x:v>17000</x:v>
      </x:c>
      <x:c r="K50" s="53" t="n">
        <x:f>K48-K49</x:f>
        <x:v>37000</x:v>
      </x:c>
      <x:c r="L50" s="53" t="n">
        <x:f>L48-L49</x:f>
        <x:v>-1000</x:v>
      </x:c>
      <x:c r="M50" s="53" t="n">
        <x:f>M48-M49</x:f>
        <x:v>-18000</x:v>
      </x:c>
      <x:c r="N50" s="53" t="n">
        <x:f>N48-N49</x:f>
        <x:v>-69000</x:v>
      </x:c>
      <x:c r="O50" s="50" t="n">
        <x:f>N50</x:f>
        <x:v>-69000</x:v>
      </x:c>
    </x:row>
    <x:row r="51">
      <x:c r="A51" t="str">
        <x:v>Liquidity status</x:v>
      </x:c>
      <x:c r="B51" s="17" t="str">
        <x:f>IF(B48&lt;B49,"BELOW BUFFER",IF(B48&lt;=B49*1.25,"WATCH","OK"))</x:f>
        <x:v>OK</x:v>
      </x:c>
      <x:c r="C51" s="17" t="str">
        <x:f>IF(C48&lt;C49,"BELOW BUFFER",IF(C48&lt;=C49*1.25,"WATCH","OK"))</x:f>
        <x:v>OK</x:v>
      </x:c>
      <x:c r="D51" s="17" t="str">
        <x:f>IF(D48&lt;D49,"BELOW BUFFER",IF(D48&lt;=D49*1.25,"WATCH","OK"))</x:f>
        <x:v>OK</x:v>
      </x:c>
      <x:c r="E51" s="17" t="str">
        <x:f>IF(E48&lt;E49,"BELOW BUFFER",IF(E48&lt;=E49*1.25,"WATCH","OK"))</x:f>
        <x:v>OK</x:v>
      </x:c>
      <x:c r="F51" s="17" t="str">
        <x:f>IF(F48&lt;F49,"BELOW BUFFER",IF(F48&lt;=F49*1.25,"WATCH","OK"))</x:f>
        <x:v>OK</x:v>
      </x:c>
      <x:c r="G51" s="17" t="str">
        <x:f>IF(G48&lt;G49,"BELOW BUFFER",IF(G48&lt;=G49*1.25,"WATCH","OK"))</x:f>
        <x:v>OK</x:v>
      </x:c>
      <x:c r="H51" s="17" t="str">
        <x:f>IF(H48&lt;H49,"BELOW BUFFER",IF(H48&lt;=H49*1.25,"WATCH","OK"))</x:f>
        <x:v>OK</x:v>
      </x:c>
      <x:c r="I51" s="17" t="str">
        <x:f>IF(I48&lt;I49,"BELOW BUFFER",IF(I48&lt;=I49*1.25,"WATCH","OK"))</x:f>
        <x:v>OK</x:v>
      </x:c>
      <x:c r="J51" s="17" t="str">
        <x:f>IF(J48&lt;J49,"BELOW BUFFER",IF(J48&lt;=J49*1.25,"WATCH","OK"))</x:f>
        <x:v>WATCH</x:v>
      </x:c>
      <x:c r="K51" s="17" t="str">
        <x:f>IF(K48&lt;K49,"BELOW BUFFER",IF(K48&lt;=K49*1.25,"WATCH","OK"))</x:f>
        <x:v>OK</x:v>
      </x:c>
      <x:c r="L51" s="17" t="str">
        <x:f>IF(L48&lt;L49,"BELOW BUFFER",IF(L48&lt;=L49*1.25,"WATCH","OK"))</x:f>
        <x:v>BELOW BUFFER</x:v>
      </x:c>
      <x:c r="M51" s="17" t="str">
        <x:f>IF(M48&lt;M49,"BELOW BUFFER",IF(M48&lt;=M49*1.25,"WATCH","OK"))</x:f>
        <x:v>BELOW BUFFER</x:v>
      </x:c>
      <x:c r="N51" s="17" t="str">
        <x:f>IF(N48&lt;N49,"BELOW BUFFER",IF(N48&lt;=N49*1.25,"WATCH","OK"))</x:f>
        <x:v>BELOW BUFFER</x:v>
      </x:c>
      <x:c r="O51" t="str">
        <x:f>N51</x:f>
        <x:v>BELOW BUFFER</x:v>
      </x:c>
    </x:row>
  </x:sheetData>
  <x:mergeCells>
    <x:mergeCell ref="A1:O1"/>
    <x:mergeCell ref="A2:O2"/>
  </x:mergeCells>
  <x:conditionalFormatting sqref="B51:N51">
    <x:cfRule type="expression" dxfId="8" priority="1">
      <x:formula>B51="BELOW BUFFER"</x:formula>
    </x:cfRule>
    <x:cfRule type="expression" dxfId="9" priority="2">
      <x:formula>B51="WATCH"</x:formula>
    </x:cfRule>
    <x:cfRule type="expression" dxfId="10" priority="3">
      <x:formula>B51="OK"</x:formula>
    </x:cfRule>
  </x:conditionalFormatting>
  <x:pageMargins left="0.7" right="0.7" top="0.75" bottom="0.75" header="0.3" footer="0.3"/>
  <x:legacyDrawing xmlns:r="http://schemas.openxmlformats.org/officeDocument/2006/relationships" r:id="R03cec6b27bdd4e44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9" hidden="0" customWidth="1"/>
    <x:col min="4" max="4" width="19" hidden="0" customWidth="1"/>
    <x:col min="5" max="5" width="19" hidden="0" customWidth="1"/>
    <x:col min="6" max="6" width="32" hidden="0" customWidth="1"/>
    <x:col min="7" max="7" width="16" hidden="0" customWidth="1"/>
    <x:col min="8" max="8" width="28" hidden="0" customWidth="1"/>
    <x:col min="9" max="9" width="16" hidden="0" customWidth="1"/>
  </x:cols>
  <x:sheetData>
    <x:row r="1" ht="28" customHeight="1">
      <x:c r="A1" s="4" t="str">
        <x:v>Weekly Review</x:v>
      </x:c>
      <x:c r="B1" s="4"/>
      <x:c r="C1" s="4"/>
      <x:c r="D1" s="4"/>
      <x:c r="E1" s="4"/>
      <x:c r="F1" s="4"/>
      <x:c r="G1" s="4"/>
      <x:c r="H1" s="4"/>
      <x:c r="I1" s="4"/>
    </x:row>
    <x:row r="2" ht="30" customHeight="1">
      <x:c r="A2" s="8" t="str">
        <x:v>Record actual closing cash, actions and ownership each week. Variance remains blank until an actual is entered.</x:v>
      </x:c>
      <x:c r="B2" s="8"/>
      <x:c r="C2" s="8"/>
      <x:c r="D2" s="8"/>
      <x:c r="E2" s="8"/>
      <x:c r="F2" s="8"/>
      <x:c r="G2" s="8"/>
      <x:c r="H2" s="8"/>
      <x:c r="I2" s="8"/>
    </x:row>
    <x:row r="5" ht="32" customHeight="1">
      <x:c r="A5" s="28" t="str">
        <x:v>Week</x:v>
      </x:c>
      <x:c r="B5" s="28" t="str">
        <x:v>Week ending</x:v>
      </x:c>
      <x:c r="C5" s="28" t="str">
        <x:v>Forecast closing cash</x:v>
      </x:c>
      <x:c r="D5" s="28" t="str">
        <x:v>Actual closing cash</x:v>
      </x:c>
      <x:c r="E5" s="28" t="str">
        <x:v>Variance</x:v>
      </x:c>
      <x:c r="F5" s="28" t="str">
        <x:v>Rolling forecast note</x:v>
      </x:c>
      <x:c r="G5" s="28" t="str">
        <x:v>Owner</x:v>
      </x:c>
      <x:c r="H5" s="28" t="str">
        <x:v>Action</x:v>
      </x:c>
      <x:c r="I5" s="28" t="str">
        <x:v>Status</x:v>
      </x:c>
    </x:row>
    <x:row r="6">
      <x:c r="A6" t="n">
        <x:v>1</x:v>
      </x:c>
      <x:c r="B6" s="37" t="n">
        <x:f>'13-Week Forecast'!B$6</x:f>
        <x:v>46271</x:v>
      </x:c>
      <x:c r="C6" s="38" t="n">
        <x:f>'13-Week Forecast'!B$48</x:f>
        <x:v>358000</x:v>
      </x:c>
      <x:c r="D6" s="49"/>
      <x:c r="E6" s="52" t="str">
        <x:f>IF(D6="","",D6-C6)</x:f>
      </x:c>
      <x:c r="F6" s="16"/>
      <x:c r="G6" s="16"/>
      <x:c r="H6" s="16"/>
      <x:c r="I6" s="16"/>
    </x:row>
    <x:row r="7">
      <x:c r="A7" t="n">
        <x:v>2</x:v>
      </x:c>
      <x:c r="B7" s="37" t="n">
        <x:f>'13-Week Forecast'!C$6</x:f>
        <x:v>46278</x:v>
      </x:c>
      <x:c r="C7" s="38" t="n">
        <x:f>'13-Week Forecast'!C$48</x:f>
        <x:v>349000</x:v>
      </x:c>
      <x:c r="D7" s="49"/>
      <x:c r="E7" s="52" t="str">
        <x:f>IF(D7="","",D7-C7)</x:f>
      </x:c>
      <x:c r="F7" s="16"/>
      <x:c r="G7" s="16"/>
      <x:c r="H7" s="16"/>
      <x:c r="I7" s="16"/>
    </x:row>
    <x:row r="8">
      <x:c r="A8" t="n">
        <x:v>3</x:v>
      </x:c>
      <x:c r="B8" s="37" t="n">
        <x:f>'13-Week Forecast'!D$6</x:f>
        <x:v>46285</x:v>
      </x:c>
      <x:c r="C8" s="38" t="n">
        <x:f>'13-Week Forecast'!D$48</x:f>
        <x:v>325000</x:v>
      </x:c>
      <x:c r="D8" s="49"/>
      <x:c r="E8" s="52" t="str">
        <x:f>IF(D8="","",D8-C8)</x:f>
      </x:c>
      <x:c r="F8" s="16"/>
      <x:c r="G8" s="16"/>
      <x:c r="H8" s="16"/>
      <x:c r="I8" s="16"/>
    </x:row>
    <x:row r="9">
      <x:c r="A9" t="n">
        <x:v>4</x:v>
      </x:c>
      <x:c r="B9" s="37" t="n">
        <x:f>'13-Week Forecast'!E$6</x:f>
        <x:v>46292</x:v>
      </x:c>
      <x:c r="C9" s="38" t="n">
        <x:f>'13-Week Forecast'!E$48</x:f>
        <x:v>293000</x:v>
      </x:c>
      <x:c r="D9" s="49"/>
      <x:c r="E9" s="52" t="str">
        <x:f>IF(D9="","",D9-C9)</x:f>
      </x:c>
      <x:c r="F9" s="16"/>
      <x:c r="G9" s="16"/>
      <x:c r="H9" s="16"/>
      <x:c r="I9" s="16"/>
    </x:row>
    <x:row r="10">
      <x:c r="A10" t="n">
        <x:v>5</x:v>
      </x:c>
      <x:c r="B10" s="37" t="n">
        <x:f>'13-Week Forecast'!F$6</x:f>
        <x:v>46299</x:v>
      </x:c>
      <x:c r="C10" s="38" t="n">
        <x:f>'13-Week Forecast'!F$48</x:f>
        <x:v>201000</x:v>
      </x:c>
      <x:c r="D10" s="49"/>
      <x:c r="E10" s="52" t="str">
        <x:f>IF(D10="","",D10-C10)</x:f>
      </x:c>
      <x:c r="F10" s="16"/>
      <x:c r="G10" s="16"/>
      <x:c r="H10" s="16"/>
      <x:c r="I10" s="16"/>
    </x:row>
    <x:row r="11">
      <x:c r="A11" t="n">
        <x:v>6</x:v>
      </x:c>
      <x:c r="B11" s="37" t="n">
        <x:f>'13-Week Forecast'!G$6</x:f>
        <x:v>46306</x:v>
      </x:c>
      <x:c r="C11" s="38" t="n">
        <x:f>'13-Week Forecast'!G$48</x:f>
        <x:v>133000</x:v>
      </x:c>
      <x:c r="D11" s="49"/>
      <x:c r="E11" s="52" t="str">
        <x:f>IF(D11="","",D11-C11)</x:f>
      </x:c>
      <x:c r="F11" s="16"/>
      <x:c r="G11" s="16"/>
      <x:c r="H11" s="16"/>
      <x:c r="I11" s="16"/>
    </x:row>
    <x:row r="12">
      <x:c r="A12" t="n">
        <x:v>7</x:v>
      </x:c>
      <x:c r="B12" s="37" t="n">
        <x:f>'13-Week Forecast'!H$6</x:f>
        <x:v>46313</x:v>
      </x:c>
      <x:c r="C12" s="38" t="n">
        <x:f>'13-Week Forecast'!H$48</x:f>
        <x:v>217000</x:v>
      </x:c>
      <x:c r="D12" s="49"/>
      <x:c r="E12" s="52" t="str">
        <x:f>IF(D12="","",D12-C12)</x:f>
      </x:c>
      <x:c r="F12" s="16"/>
      <x:c r="G12" s="16"/>
      <x:c r="H12" s="16"/>
      <x:c r="I12" s="16"/>
    </x:row>
    <x:row r="13">
      <x:c r="A13" t="n">
        <x:v>8</x:v>
      </x:c>
      <x:c r="B13" s="37" t="n">
        <x:f>'13-Week Forecast'!I$6</x:f>
        <x:v>46320</x:v>
      </x:c>
      <x:c r="C13" s="38" t="n">
        <x:f>'13-Week Forecast'!I$48</x:f>
        <x:v>160000</x:v>
      </x:c>
      <x:c r="D13" s="49"/>
      <x:c r="E13" s="52" t="str">
        <x:f>IF(D13="","",D13-C13)</x:f>
      </x:c>
      <x:c r="F13" s="16"/>
      <x:c r="G13" s="16"/>
      <x:c r="H13" s="16"/>
      <x:c r="I13" s="16"/>
    </x:row>
    <x:row r="14">
      <x:c r="A14" t="n">
        <x:v>9</x:v>
      </x:c>
      <x:c r="B14" s="37" t="n">
        <x:f>'13-Week Forecast'!J$6</x:f>
        <x:v>46327</x:v>
      </x:c>
      <x:c r="C14" s="38" t="n">
        <x:f>'13-Week Forecast'!J$48</x:f>
        <x:v>117000</x:v>
      </x:c>
      <x:c r="D14" s="49"/>
      <x:c r="E14" s="52" t="str">
        <x:f>IF(D14="","",D14-C14)</x:f>
      </x:c>
      <x:c r="F14" s="16"/>
      <x:c r="G14" s="16"/>
      <x:c r="H14" s="16"/>
      <x:c r="I14" s="16"/>
    </x:row>
    <x:row r="15">
      <x:c r="A15" t="n">
        <x:v>10</x:v>
      </x:c>
      <x:c r="B15" s="37" t="n">
        <x:f>'13-Week Forecast'!K$6</x:f>
        <x:v>46334</x:v>
      </x:c>
      <x:c r="C15" s="38" t="n">
        <x:f>'13-Week Forecast'!K$48</x:f>
        <x:v>137000</x:v>
      </x:c>
      <x:c r="D15" s="49"/>
      <x:c r="E15" s="52" t="str">
        <x:f>IF(D15="","",D15-C15)</x:f>
      </x:c>
      <x:c r="F15" s="16"/>
      <x:c r="G15" s="16"/>
      <x:c r="H15" s="16"/>
      <x:c r="I15" s="16"/>
    </x:row>
    <x:row r="16">
      <x:c r="A16" t="n">
        <x:v>11</x:v>
      </x:c>
      <x:c r="B16" s="37" t="n">
        <x:f>'13-Week Forecast'!L$6</x:f>
        <x:v>46341</x:v>
      </x:c>
      <x:c r="C16" s="38" t="n">
        <x:f>'13-Week Forecast'!L$48</x:f>
        <x:v>99000</x:v>
      </x:c>
      <x:c r="D16" s="49"/>
      <x:c r="E16" s="52" t="str">
        <x:f>IF(D16="","",D16-C16)</x:f>
      </x:c>
      <x:c r="F16" s="16"/>
      <x:c r="G16" s="16"/>
      <x:c r="H16" s="16"/>
      <x:c r="I16" s="16"/>
    </x:row>
    <x:row r="17">
      <x:c r="A17" t="n">
        <x:v>12</x:v>
      </x:c>
      <x:c r="B17" s="37" t="n">
        <x:f>'13-Week Forecast'!M$6</x:f>
        <x:v>46348</x:v>
      </x:c>
      <x:c r="C17" s="38" t="n">
        <x:f>'13-Week Forecast'!M$48</x:f>
        <x:v>82000</x:v>
      </x:c>
      <x:c r="D17" s="49"/>
      <x:c r="E17" s="52" t="str">
        <x:f>IF(D17="","",D17-C17)</x:f>
      </x:c>
      <x:c r="F17" s="16"/>
      <x:c r="G17" s="16"/>
      <x:c r="H17" s="16"/>
      <x:c r="I17" s="16"/>
    </x:row>
    <x:row r="18">
      <x:c r="A18" t="n">
        <x:v>13</x:v>
      </x:c>
      <x:c r="B18" s="37" t="n">
        <x:f>'13-Week Forecast'!N$6</x:f>
        <x:v>46355</x:v>
      </x:c>
      <x:c r="C18" s="38" t="n">
        <x:f>'13-Week Forecast'!N$48</x:f>
        <x:v>31000</x:v>
      </x:c>
      <x:c r="D18" s="49"/>
      <x:c r="E18" s="52" t="str">
        <x:f>IF(D18="","",D18-C18)</x:f>
      </x:c>
      <x:c r="F18" s="16"/>
      <x:c r="G18" s="16"/>
      <x:c r="H18" s="16"/>
      <x:c r="I18" s="16"/>
    </x:row>
  </x:sheetData>
  <x:mergeCells>
    <x:mergeCell ref="A1:I1"/>
    <x:mergeCell ref="A2:I2"/>
  </x:mergeCells>
  <x:dataValidations count="1">
    <x:dataValidation type="list" sqref="I6:I18">
      <x:formula1>"Open,In progress,Complete"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0" hidden="0" customWidth="1"/>
    <x:col min="7" max="7" width="28" hidden="0" customWidth="1"/>
    <x:col min="8" max="8" width="54" hidden="0" customWidth="1"/>
  </x:cols>
  <x:sheetData>
    <x:row r="1" ht="28" customHeight="1">
      <x:c r="A1" s="4" t="str">
        <x:v>Checks &amp; Sources</x:v>
      </x:c>
      <x:c r="B1" s="4"/>
      <x:c r="C1" s="4"/>
      <x:c r="D1" s="4"/>
      <x:c r="E1" s="4"/>
      <x:c r="F1" s="4"/>
      <x:c r="G1" s="4"/>
      <x:c r="H1" s="4"/>
    </x:row>
    <x:row r="2" ht="30" customHeight="1">
      <x:c r="A2" s="8" t="str">
        <x:v>Formula-driven integrity controls and official Australian planning sources checked 26 August 2026.</x:v>
      </x:c>
      <x:c r="B2" s="8"/>
      <x:c r="C2" s="8"/>
      <x:c r="D2" s="8"/>
      <x:c r="E2" s="8"/>
      <x:c r="F2" s="8"/>
      <x:c r="G2" s="8"/>
      <x:c r="H2" s="8"/>
    </x:row>
    <x:row r="4">
      <x:c r="A4" s="55" t="str">
        <x:v>MODEL STATUS</x:v>
      </x:c>
      <x:c r="B4" s="55" t="str">
        <x:f>IF(COUNTIF(F8:F16,"PASS")=9,"PASS","FAIL")</x:f>
        <x:v>PASS</x:v>
      </x:c>
      <x:c r="C4" s="55"/>
      <x:c r="D4" s="55" t="str">
        <x:v>LIQUIDITY STATUS</x:v>
      </x:c>
      <x:c r="E4" s="55" t="str">
        <x:f>IF(COUNTIF('13-Week Forecast'!$B$51:$N$51,"BELOW BUFFER")&gt;0,"ACTION REQUIRED",IF(COUNTIF('13-Week Forecast'!$B$51:$N$51,"WATCH")&gt;0,"WATCH","HEALTHY"))</x:f>
        <x:v>ACTION REQUIRED</x:v>
      </x:c>
    </x:row>
    <x:row r="7">
      <x:c r="A7" s="14" t="str">
        <x:v>Check</x:v>
      </x:c>
      <x:c r="B7" s="14" t="str">
        <x:v>Actual</x:v>
      </x:c>
      <x:c r="C7" s="14" t="str">
        <x:v>Expected</x:v>
      </x:c>
      <x:c r="D7" s="14" t="str">
        <x:v>Difference</x:v>
      </x:c>
      <x:c r="E7" s="14" t="str">
        <x:v>Tolerance</x:v>
      </x:c>
      <x:c r="F7" s="14" t="str">
        <x:v>Status</x:v>
      </x:c>
      <x:c r="G7" s="14" t="str">
        <x:v>Where to fix</x:v>
      </x:c>
      <x:c r="H7" s="14" t="str">
        <x:v>Notes</x:v>
      </x:c>
    </x:row>
    <x:row r="8">
      <x:c r="A8" s="15" t="str">
        <x:v>Forecast starts Monday</x:v>
      </x:c>
      <x:c r="B8" s="56" t="n">
        <x:f>WEEKDAY('Assumptions'!$B$8,2)</x:f>
        <x:v>1</x:v>
      </x:c>
      <x:c r="C8" s="56" t="n">
        <x:f>1</x:f>
        <x:v>1</x:v>
      </x:c>
      <x:c r="D8" s="56" t="n">
        <x:f>B8-C8</x:f>
        <x:v>0</x:v>
      </x:c>
      <x:c r="E8" s="56" t="n">
        <x:v>0</x:v>
      </x:c>
      <x:c r="F8" s="15" t="str">
        <x:f>IF(ABS(D8)&lt;=E8,"PASS","FAIL")</x:f>
        <x:v>PASS</x:v>
      </x:c>
      <x:c r="G8" s="15" t="str">
        <x:v>Assumptions!B8</x:v>
      </x:c>
      <x:c r="H8" s="15" t="str">
        <x:v>Forecast start date must be a Monday.</x:v>
      </x:c>
    </x:row>
    <x:row r="9">
      <x:c r="A9" s="15" t="str">
        <x:v>As-at date in forecast horizon</x:v>
      </x:c>
      <x:c r="B9" s="56" t="n">
        <x:f>--AND('Assumptions'!$B$9&gt;='13-Week Forecast'!$B$5,'Assumptions'!$B$9&lt;='13-Week Forecast'!$N$6)</x:f>
        <x:v>1</x:v>
      </x:c>
      <x:c r="C9" s="56" t="n">
        <x:f>1</x:f>
        <x:v>1</x:v>
      </x:c>
      <x:c r="D9" s="56" t="n">
        <x:f>B9-C9</x:f>
        <x:v>0</x:v>
      </x:c>
      <x:c r="E9" s="56" t="n">
        <x:v>0</x:v>
      </x:c>
      <x:c r="F9" s="15" t="str">
        <x:f>IF(ABS(D9)&lt;=E9,"PASS","FAIL")</x:f>
        <x:v>PASS</x:v>
      </x:c>
      <x:c r="G9" s="15" t="str">
        <x:v>Assumptions!B9</x:v>
      </x:c>
      <x:c r="H9" s="15" t="str">
        <x:v>Keep the as-at date inside the displayed 13 weeks.</x:v>
      </x:c>
    </x:row>
    <x:row r="10">
      <x:c r="A10" s="15" t="str">
        <x:v>Selected scenario recognised</x:v>
      </x:c>
      <x:c r="B10" s="56" t="n">
        <x:f>COUNTIF('Assumptions'!$B$15:$B$17,'Assumptions'!$B$12)</x:f>
        <x:v>1</x:v>
      </x:c>
      <x:c r="C10" s="56" t="n">
        <x:f>1</x:f>
        <x:v>1</x:v>
      </x:c>
      <x:c r="D10" s="56" t="n">
        <x:f>B10-C10</x:f>
        <x:v>0</x:v>
      </x:c>
      <x:c r="E10" s="56" t="n">
        <x:v>0</x:v>
      </x:c>
      <x:c r="F10" s="15" t="str">
        <x:f>IF(ABS(D10)&lt;=E10,"PASS","FAIL")</x:f>
        <x:v>PASS</x:v>
      </x:c>
      <x:c r="G10" s="15" t="str">
        <x:v>Assumptions!B12</x:v>
      </x:c>
      <x:c r="H10" s="15" t="str">
        <x:v>Select Base, Upside or Downside.</x:v>
      </x:c>
    </x:row>
    <x:row r="11">
      <x:c r="A11" s="15" t="str">
        <x:v>Week 1 opening cash ties</x:v>
      </x:c>
      <x:c r="B11" s="57" t="n">
        <x:f>'13-Week Forecast'!$B$46</x:f>
        <x:v>400000</x:v>
      </x:c>
      <x:c r="C11" s="57" t="n">
        <x:f>'Assumptions'!$B$10</x:f>
        <x:v>400000</x:v>
      </x:c>
      <x:c r="D11" s="56" t="n">
        <x:f>B11-C11</x:f>
        <x:v>0</x:v>
      </x:c>
      <x:c r="E11" s="56" t="n">
        <x:v>0</x:v>
      </x:c>
      <x:c r="F11" s="15" t="str">
        <x:f>IF(ABS(D11)&lt;=E11,"PASS","FAIL")</x:f>
        <x:v>PASS</x:v>
      </x:c>
      <x:c r="G11" s="15" t="str">
        <x:v>13-Week Forecast!B46</x:v>
      </x:c>
      <x:c r="H11" s="15" t="str">
        <x:v>Week 1 opening cash must link to the control panel.</x:v>
      </x:c>
    </x:row>
    <x:row r="12">
      <x:c r="A12" s="15" t="str">
        <x:v>Opening cash roll-forward continuity</x:v>
      </x:c>
      <x:c r="B12" s="56" t="n">
        <x:f>ABS('13-Week Forecast'!$C$46-'13-Week Forecast'!$B$48)+ABS('13-Week Forecast'!$D$46-'13-Week Forecast'!$C$48)+ABS('13-Week Forecast'!$E$46-'13-Week Forecast'!$D$48)+ABS('13-Week Forecast'!$F$46-'13-Week Forecast'!$E$48)+ABS('13-Week Forecast'!$G$46-'13-Week Forecast'!$F$48)+ABS('13-Week Forecast'!$H$46-'13-Week Forecast'!$G$48)+ABS('13-Week Forecast'!$I$46-'13-Week Forecast'!$H$48)+ABS('13-Week Forecast'!$J$46-'13-Week Forecast'!$I$48)+ABS('13-Week Forecast'!$K$46-'13-Week Forecast'!$J$48)+ABS('13-Week Forecast'!$L$46-'13-Week Forecast'!$K$48)+ABS('13-Week Forecast'!$M$46-'13-Week Forecast'!$L$48)+ABS('13-Week Forecast'!$N$46-'13-Week Forecast'!$M$48)</x:f>
        <x:v>0</x:v>
      </x:c>
      <x:c r="C12" s="56" t="n">
        <x:f>0</x:f>
        <x:v>0</x:v>
      </x:c>
      <x:c r="D12" s="56" t="n">
        <x:f>B12-C12</x:f>
        <x:v>0</x:v>
      </x:c>
      <x:c r="E12" s="56" t="n">
        <x:v>0</x:v>
      </x:c>
      <x:c r="F12" s="15" t="str">
        <x:f>IF(ABS(D12)&lt;=E12,"PASS","FAIL")</x:f>
        <x:v>PASS</x:v>
      </x:c>
      <x:c r="G12" s="15" t="str">
        <x:v>13-Week Forecast!C46:N46</x:v>
      </x:c>
      <x:c r="H12" s="15" t="str">
        <x:v>Each weekly opening cash balance must equal the prior close.</x:v>
      </x:c>
    </x:row>
    <x:row r="13">
      <x:c r="A13" s="15" t="str">
        <x:v>Cash receipt totals reconcile</x:v>
      </x:c>
      <x:c r="B13" s="57" t="n">
        <x:f>SUM('13-Week Forecast'!$B$19:$N$19)</x:f>
        <x:v>2338000</x:v>
      </x:c>
      <x:c r="C13" s="57" t="n">
        <x:f>SUM('13-Week Forecast'!$B$10:$N$18)</x:f>
        <x:v>2338000</x:v>
      </x:c>
      <x:c r="D13" s="56" t="n">
        <x:f>B13-C13</x:f>
        <x:v>0</x:v>
      </x:c>
      <x:c r="E13" s="56" t="n">
        <x:v>0</x:v>
      </x:c>
      <x:c r="F13" s="15" t="str">
        <x:f>IF(ABS(D13)&lt;=E13,"PASS","FAIL")</x:f>
        <x:v>PASS</x:v>
      </x:c>
      <x:c r="G13" s="15" t="str">
        <x:v>13-Week Forecast!B19:N19</x:v>
      </x:c>
      <x:c r="H13" s="15" t="str">
        <x:v>Includes the selected-scenario receipt adjustment.</x:v>
      </x:c>
    </x:row>
    <x:row r="14">
      <x:c r="A14" s="15" t="str">
        <x:v>Cash payment totals reconcile</x:v>
      </x:c>
      <x:c r="B14" s="57" t="n">
        <x:f>SUM('13-Week Forecast'!$B$43:$N$43)</x:f>
        <x:v>2707000</x:v>
      </x:c>
      <x:c r="C14" s="57" t="n">
        <x:f>SUM('13-Week Forecast'!$B$22:$N$42)</x:f>
        <x:v>2707000</x:v>
      </x:c>
      <x:c r="D14" s="56" t="n">
        <x:f>B14-C14</x:f>
        <x:v>0</x:v>
      </x:c>
      <x:c r="E14" s="56" t="n">
        <x:v>0</x:v>
      </x:c>
      <x:c r="F14" s="15" t="str">
        <x:f>IF(ABS(D14)&lt;=E14,"PASS","FAIL")</x:f>
        <x:v>PASS</x:v>
      </x:c>
      <x:c r="G14" s="15" t="str">
        <x:v>13-Week Forecast!B43:N43</x:v>
      </x:c>
      <x:c r="H14" s="15" t="str">
        <x:v>Includes the selected-scenario payment adjustment.</x:v>
      </x:c>
    </x:row>
    <x:row r="15">
      <x:c r="A15" s="15" t="str">
        <x:v>Closing cash equation</x:v>
      </x:c>
      <x:c r="B15" s="57" t="n">
        <x:f>'13-Week Forecast'!$N$48</x:f>
        <x:v>31000</x:v>
      </x:c>
      <x:c r="C15" s="57" t="n">
        <x:f>'Assumptions'!$B$10+SUM('13-Week Forecast'!$B$47:$N$47)</x:f>
        <x:v>31000</x:v>
      </x:c>
      <x:c r="D15" s="56" t="n">
        <x:f>B15-C15</x:f>
        <x:v>0</x:v>
      </x:c>
      <x:c r="E15" s="56" t="n">
        <x:v>0</x:v>
      </x:c>
      <x:c r="F15" s="15" t="str">
        <x:f>IF(ABS(D15)&lt;=E15,"PASS","FAIL")</x:f>
        <x:v>PASS</x:v>
      </x:c>
      <x:c r="G15" s="15" t="str">
        <x:v>13-Week Forecast!N48</x:v>
      </x:c>
      <x:c r="H15" s="15" t="str">
        <x:v>Terminal cash must equal opening cash plus cumulative movement.</x:v>
      </x:c>
    </x:row>
    <x:row r="16">
      <x:c r="A16" s="15" t="str">
        <x:v>Weekly Review linkage</x:v>
      </x:c>
      <x:c r="B16" s="56" t="n">
        <x:f>ABS('Weekly Review'!$C$6-'13-Week Forecast'!$B$48)+ABS('Weekly Review'!$C$7-'13-Week Forecast'!$C$48)+ABS('Weekly Review'!$C$8-'13-Week Forecast'!$D$48)+ABS('Weekly Review'!$C$9-'13-Week Forecast'!$E$48)+ABS('Weekly Review'!$C$10-'13-Week Forecast'!$F$48)+ABS('Weekly Review'!$C$11-'13-Week Forecast'!$G$48)+ABS('Weekly Review'!$C$12-'13-Week Forecast'!$H$48)+ABS('Weekly Review'!$C$13-'13-Week Forecast'!$I$48)+ABS('Weekly Review'!$C$14-'13-Week Forecast'!$J$48)+ABS('Weekly Review'!$C$15-'13-Week Forecast'!$K$48)+ABS('Weekly Review'!$C$16-'13-Week Forecast'!$L$48)+ABS('Weekly Review'!$C$17-'13-Week Forecast'!$M$48)+ABS('Weekly Review'!$C$18-'13-Week Forecast'!$N$48)</x:f>
        <x:v>0</x:v>
      </x:c>
      <x:c r="C16" s="56" t="n">
        <x:f>0</x:f>
        <x:v>0</x:v>
      </x:c>
      <x:c r="D16" s="56" t="n">
        <x:f>B16-C16</x:f>
        <x:v>0</x:v>
      </x:c>
      <x:c r="E16" s="56" t="n">
        <x:v>0</x:v>
      </x:c>
      <x:c r="F16" s="15" t="str">
        <x:f>IF(ABS(D16)&lt;=E16,"PASS","FAIL")</x:f>
        <x:v>PASS</x:v>
      </x:c>
      <x:c r="G16" s="15" t="str">
        <x:v>Weekly Review!C6:C18</x:v>
      </x:c>
      <x:c r="H16" s="15" t="str">
        <x:v>All 13 forecast closing-cash values must link to Weekly Review.</x:v>
      </x:c>
    </x:row>
    <x:row r="21">
      <x:c r="A21" s="14" t="str">
        <x:v>Source item</x:v>
      </x:c>
      <x:c r="B21" s="14" t="str">
        <x:v>Official URL</x:v>
      </x:c>
      <x:c r="C21" s="14" t="str">
        <x:v>Scope</x:v>
      </x:c>
      <x:c r="D21" s="14" t="str">
        <x:v>Checked</x:v>
      </x:c>
      <x:c r="E21" s="14" t="str">
        <x:v>Notes</x:v>
      </x:c>
      <x:c r="F21" s="14" t="str">
        <x:v>Planning treatment</x:v>
      </x:c>
    </x:row>
    <x:row r="22">
      <x:c r="A22" s="59" t="str">
        <x:v>GST standard rate</x:v>
      </x:c>
      <x:c r="B22" s="60" t="str">
        <x:v>https://www.legislation.gov.au/C2004A00446/latest/text</x:v>
      </x:c>
      <x:c r="C22" s="59" t="str">
        <x:v>GST default: 10% of the value of a taxable supply.</x:v>
      </x:c>
      <x:c r="D22" s="59" t="str">
        <x:v>26 August 2026</x:v>
      </x:c>
      <x:c r="E22" s="59" t="str">
        <x:v>The 10% default does not decide whether a transaction is taxable, GST-free, input taxed or outside the GST system.</x:v>
      </x:c>
      <x:c r="F22" s="59" t="str">
        <x:v>Keep tax classifications user-confirmed.</x:v>
      </x:c>
    </x:row>
    <x:row r="23">
      <x:c r="A23" s="59" t="str">
        <x:v>BAS due dates</x:v>
      </x:c>
      <x:c r="B23" s="60" t="str">
        <x:v>https://www.ato.gov.au/businesses-and-organisations/preparing-lodging-and-paying/business-activity-statements-bas/due-dates-for-lodging-and-paying-your-bas</x:v>
      </x:c>
      <x:c r="C23" s="59" t="str">
        <x:v>Monthly BAS planning pattern is generally the 21st day after the taxable period; quarterly dates are planning patterns only.</x:v>
      </x:c>
      <x:c r="D23" s="59" t="str">
        <x:v>26 August 2026</x:v>
      </x:c>
      <x:c r="E23" s="59" t="str">
        <x:v>The issued or entity-specific BAS due date controls. Online lodgement, registered-agent arrangements, holidays and entity circumstances can change the date.</x:v>
      </x:c>
      <x:c r="F23" s="59" t="str">
        <x:v>Use issued BAS and user-entered dates.</x:v>
      </x:c>
    </x:row>
    <x:row r="24">
      <x:c r="A24" s="59" t="str">
        <x:v>Super guarantee</x:v>
      </x:c>
      <x:c r="B24" s="60" t="str">
        <x:v>https://www.ato.gov.au/tax-rates-and-codes/key-superannuation-rates-and-thresholds/super-guarantee</x:v>
      </x:c>
      <x:c r="C24" s="59" t="str">
        <x:v>Default SG rate: 12.0% from 1 July 2025, including 1 July 2026 to 30 June 2027.</x:v>
      </x:c>
      <x:c r="D24" s="59" t="str">
        <x:v>26 August 2026</x:v>
      </x:c>
      <x:c r="E24" s="59" t="str">
        <x:v>Apply only after checking worker eligibility, earnings base and special rules.</x:v>
      </x:c>
      <x:c r="F24" s="59" t="str">
        <x:v>Weekly super is illustrative FP&amp;A input.</x:v>
      </x:c>
    </x:row>
    <x:row r="25">
      <x:c r="A25" s="59" t="str">
        <x:v>Payday Super</x:v>
      </x:c>
      <x:c r="B25" s="60" t="str">
        <x:v>https://softwaredevelopers.ato.gov.au/PaydaySuper</x:v>
      </x:c>
      <x:c r="C25" s="59" t="str">
        <x:v>From 1 July 2026, pay SG with each pay cycle. The fund must generally receive it by the seventh business day after payday.</x:v>
      </x:c>
      <x:c r="D25" s="59" t="str">
        <x:v>26 August 2026</x:v>
      </x:c>
      <x:c r="E25" s="59" t="str">
        <x:v>Fund receipt, not employer submission, is the statutory timing anchor. Allow for eligible longer periods.</x:v>
      </x:c>
      <x:c r="F25" s="59" t="str">
        <x:v>Illustrative forecast starts after the July 2026 transition.</x:v>
      </x:c>
    </x:row>
    <x:row r="27">
      <x:c r="A27" s="62" t="str">
        <x:v>Disclaimer: Illustrative FP&amp;A cash-planning model only. Statutory amounts and dates are indicative assumptions, not tax, BAS, payroll, superannuation or legal advice. Entity-specific lodgement dates and tax classifications must be confirmed by the user or adviser before relying on the model or lodging or paying.</x:v>
      </x:c>
      <x:c r="B27" s="62"/>
      <x:c r="C27" s="62"/>
      <x:c r="D27" s="62"/>
      <x:c r="E27" s="62"/>
      <x:c r="F27" s="62"/>
      <x:c r="G27" s="62"/>
      <x:c r="H27" s="62"/>
    </x:row>
    <x:row r="28">
      <x:c r="A28" s="62"/>
      <x:c r="B28" s="62"/>
      <x:c r="C28" s="62"/>
      <x:c r="D28" s="62"/>
      <x:c r="E28" s="62"/>
      <x:c r="F28" s="62"/>
      <x:c r="G28" s="62"/>
      <x:c r="H28" s="62"/>
    </x:row>
    <x:row r="29">
      <x:c r="A29" s="62"/>
      <x:c r="B29" s="62"/>
      <x:c r="C29" s="62"/>
      <x:c r="D29" s="62"/>
      <x:c r="E29" s="62"/>
      <x:c r="F29" s="62"/>
      <x:c r="G29" s="62"/>
      <x:c r="H29" s="62"/>
    </x:row>
  </x:sheetData>
  <x:mergeCells>
    <x:mergeCell ref="A1:H1"/>
    <x:mergeCell ref="A2:H2"/>
    <x:mergeCell ref="A27:H29"/>
  </x:mergeCells>
  <x:conditionalFormatting sqref="B4:B4">
    <x:cfRule type="expression" dxfId="11" priority="1">
      <x:formula>B4="PASS"</x:formula>
    </x:cfRule>
    <x:cfRule type="expression" dxfId="12" priority="2">
      <x:formula>B4="FAIL"</x:formula>
    </x:cfRule>
  </x:conditionalFormatting>
  <x:conditionalFormatting sqref="E4:E4">
    <x:cfRule type="expression" dxfId="13" priority="3">
      <x:formula>E4="ACTION REQUIRED"</x:formula>
    </x:cfRule>
    <x:cfRule type="expression" dxfId="14" priority="4">
      <x:formula>E4="WATCH"</x:formula>
    </x:cfRule>
    <x:cfRule type="expression" dxfId="15" priority="5">
      <x:formula>E4="HEALTHY"</x:formula>
    </x:cfRule>
  </x:conditionalFormatting>
  <x:conditionalFormatting sqref="F8:F16">
    <x:cfRule type="expression" dxfId="16" priority="6">
      <x:formula>F8="PASS"</x:formula>
    </x:cfRule>
    <x:cfRule type="expression" dxfId="17" priority="7">
      <x:formula>F8="FAIL"</x:formula>
    </x:cfRule>
  </x:conditionalFormatting>
  <x:pageMargins left="0.7" right="0.7" top="0.75" bottom="0.75" header="0.3" footer="0.3"/>
</x:worksheet>
</file>