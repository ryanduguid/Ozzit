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/>
  <workbookPr/>
  <bookViews>
    <workbookView xWindow="0" yWindow="0" windowWidth="28800" windowHeight="16000" xr2:uid="{00000000-000D-0000-FFFF-FFFF00000000}"/>
  </bookViews>
  <sheets>
    <sheet name="Read me" sheetId="1" r:id="rId1"/>
    <sheet name="Allocation" sheetId="2" r:id="rId2"/>
    <sheet name="Contractor" sheetId="3" r:id="rId3"/>
    <sheet name="Vendor finance" sheetId="4" r:id="rId4"/>
    <sheet name="Mixed loan" sheetId="5" r:id="rId5"/>
    <sheet name="Rental" sheetId="6" r:id="rId6"/>
    <sheet name="Packaging" sheetId="7" r:id="rId7"/>
    <sheet name="Amortisation" sheetId="8" r:id="rId8"/>
    <sheet name="Timeline" sheetId="9" r:id="rId9"/>
    <sheet name="Deed register" sheetId="10" r:id="rId10"/>
    <sheet name="Carry forward" sheetId="11" r:id="rId11"/>
    <sheet name="Loan offers" sheetId="12" r:id="rId12"/>
    <sheet name="Break even" sheetId="13" r:id="rId13"/>
    <sheet name="Working capital" sheetId="14" r:id="rId14"/>
    <sheet name="Construction WIP" sheetId="15" r:id="rId15"/>
    <sheet name="KPI awards" sheetId="16" r:id="rId16"/>
    <sheet name="Asset disposal" sheetId="17" r:id="rId17"/>
    <sheet name="Exit pay" sheetId="18" r:id="rId18"/>
    <sheet name="Tax cash" sheetId="19" r:id="rId19"/>
    <sheet name="Investment" sheetId="20" r:id="rId20"/>
    <sheet name="Action register" sheetId="21" r:id="rId21"/>
    <sheet name="Benefit totals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22" l="1"/>
  <c r="H33" i="22"/>
  <c r="G33" i="22"/>
  <c r="F33" i="22"/>
  <c r="E33" i="22"/>
  <c r="I32" i="22"/>
  <c r="H32" i="22"/>
  <c r="G32" i="22"/>
  <c r="F32" i="22"/>
  <c r="E32" i="22"/>
  <c r="I31" i="22"/>
  <c r="H31" i="22"/>
  <c r="G31" i="22"/>
  <c r="F31" i="22"/>
  <c r="E31" i="22"/>
  <c r="I30" i="22"/>
  <c r="H30" i="22"/>
  <c r="G30" i="22"/>
  <c r="F30" i="22"/>
  <c r="E30" i="22"/>
  <c r="I29" i="22"/>
  <c r="H29" i="22"/>
  <c r="G29" i="22"/>
  <c r="F29" i="22"/>
  <c r="E29" i="22"/>
  <c r="I28" i="22"/>
  <c r="H28" i="22"/>
  <c r="G28" i="22"/>
  <c r="F28" i="22"/>
  <c r="E28" i="22"/>
  <c r="I27" i="22"/>
  <c r="H27" i="22"/>
  <c r="G27" i="22"/>
  <c r="F27" i="22"/>
  <c r="E27" i="22"/>
  <c r="I26" i="22"/>
  <c r="H26" i="22"/>
  <c r="G26" i="22"/>
  <c r="F26" i="22"/>
  <c r="E26" i="22"/>
  <c r="I25" i="22"/>
  <c r="H25" i="22"/>
  <c r="G25" i="22"/>
  <c r="F25" i="22"/>
  <c r="E25" i="22"/>
  <c r="I24" i="22"/>
  <c r="H24" i="22"/>
  <c r="G24" i="22"/>
  <c r="F24" i="22"/>
  <c r="E24" i="22"/>
  <c r="I23" i="22"/>
  <c r="H23" i="22"/>
  <c r="G23" i="22"/>
  <c r="F23" i="22"/>
  <c r="E23" i="22"/>
  <c r="I22" i="22"/>
  <c r="H22" i="22"/>
  <c r="G22" i="22"/>
  <c r="F22" i="22"/>
  <c r="E22" i="22"/>
  <c r="I21" i="22"/>
  <c r="H21" i="22"/>
  <c r="G21" i="22"/>
  <c r="F21" i="22"/>
  <c r="E21" i="22"/>
  <c r="I20" i="22"/>
  <c r="H20" i="22"/>
  <c r="G20" i="22"/>
  <c r="F20" i="22"/>
  <c r="E20" i="22"/>
  <c r="I19" i="22"/>
  <c r="H19" i="22"/>
  <c r="G19" i="22"/>
  <c r="F19" i="22"/>
  <c r="E19" i="22"/>
  <c r="I18" i="22"/>
  <c r="H18" i="22"/>
  <c r="G18" i="22"/>
  <c r="F18" i="22"/>
  <c r="E18" i="22"/>
  <c r="I17" i="22"/>
  <c r="H17" i="22"/>
  <c r="G17" i="22"/>
  <c r="F17" i="22"/>
  <c r="E17" i="22"/>
  <c r="I16" i="22"/>
  <c r="H16" i="22"/>
  <c r="G16" i="22"/>
  <c r="F16" i="22"/>
  <c r="E16" i="22"/>
  <c r="I15" i="22"/>
  <c r="H15" i="22"/>
  <c r="G15" i="22"/>
  <c r="F15" i="22"/>
  <c r="E15" i="22"/>
  <c r="I14" i="22"/>
  <c r="D10" i="22"/>
  <c r="D9" i="22"/>
  <c r="L33" i="21"/>
  <c r="K33" i="21"/>
  <c r="J33" i="21"/>
  <c r="L32" i="21"/>
  <c r="K32" i="21"/>
  <c r="J32" i="21"/>
  <c r="L31" i="21"/>
  <c r="K31" i="21"/>
  <c r="J31" i="21"/>
  <c r="L30" i="21"/>
  <c r="K30" i="21"/>
  <c r="J30" i="21"/>
  <c r="L29" i="21"/>
  <c r="K29" i="21"/>
  <c r="J29" i="21"/>
  <c r="L28" i="21"/>
  <c r="K28" i="21"/>
  <c r="J28" i="21"/>
  <c r="L27" i="21"/>
  <c r="K27" i="21"/>
  <c r="J27" i="21"/>
  <c r="L26" i="21"/>
  <c r="K26" i="21"/>
  <c r="J26" i="21"/>
  <c r="L25" i="21"/>
  <c r="K25" i="21"/>
  <c r="J25" i="21"/>
  <c r="L24" i="21"/>
  <c r="K24" i="21"/>
  <c r="J24" i="21"/>
  <c r="L23" i="21"/>
  <c r="K23" i="21"/>
  <c r="J23" i="21"/>
  <c r="L22" i="21"/>
  <c r="K22" i="21"/>
  <c r="J22" i="21"/>
  <c r="L21" i="21"/>
  <c r="K21" i="21"/>
  <c r="J21" i="21"/>
  <c r="L20" i="21"/>
  <c r="K20" i="21"/>
  <c r="J20" i="21"/>
  <c r="L19" i="21"/>
  <c r="K19" i="21"/>
  <c r="J19" i="21"/>
  <c r="L18" i="21"/>
  <c r="K18" i="21"/>
  <c r="J18" i="21"/>
  <c r="L17" i="21"/>
  <c r="K17" i="21"/>
  <c r="J17" i="21"/>
  <c r="L16" i="21"/>
  <c r="K16" i="21"/>
  <c r="J16" i="21"/>
  <c r="L15" i="21"/>
  <c r="K15" i="21"/>
  <c r="J15" i="21"/>
  <c r="J14" i="21"/>
  <c r="D7" i="21"/>
  <c r="B23" i="20"/>
  <c r="B22" i="20"/>
  <c r="B21" i="20"/>
  <c r="B20" i="20"/>
  <c r="B19" i="20"/>
  <c r="B18" i="20"/>
  <c r="B17" i="20"/>
  <c r="B16" i="20"/>
  <c r="B15" i="20"/>
  <c r="I14" i="20"/>
  <c r="C14" i="20"/>
  <c r="R14" i="20" s="1"/>
  <c r="B14" i="20"/>
  <c r="L25" i="19"/>
  <c r="K25" i="19"/>
  <c r="J25" i="19"/>
  <c r="I25" i="19"/>
  <c r="L24" i="19"/>
  <c r="K24" i="19"/>
  <c r="J24" i="19"/>
  <c r="I24" i="19"/>
  <c r="L23" i="19"/>
  <c r="K23" i="19"/>
  <c r="J23" i="19"/>
  <c r="I23" i="19"/>
  <c r="L22" i="19"/>
  <c r="K22" i="19"/>
  <c r="J22" i="19"/>
  <c r="I22" i="19"/>
  <c r="L21" i="19"/>
  <c r="K21" i="19"/>
  <c r="J21" i="19"/>
  <c r="I21" i="19"/>
  <c r="L20" i="19"/>
  <c r="K20" i="19"/>
  <c r="J20" i="19"/>
  <c r="I20" i="19"/>
  <c r="L19" i="19"/>
  <c r="K19" i="19"/>
  <c r="J19" i="19"/>
  <c r="I19" i="19"/>
  <c r="L18" i="19"/>
  <c r="K18" i="19"/>
  <c r="J18" i="19"/>
  <c r="I18" i="19"/>
  <c r="L17" i="19"/>
  <c r="K17" i="19"/>
  <c r="J17" i="19"/>
  <c r="I17" i="19"/>
  <c r="L16" i="19"/>
  <c r="K16" i="19"/>
  <c r="J16" i="19"/>
  <c r="I16" i="19"/>
  <c r="L15" i="19"/>
  <c r="K15" i="19"/>
  <c r="J15" i="19"/>
  <c r="I15" i="19"/>
  <c r="L14" i="19"/>
  <c r="T23" i="18"/>
  <c r="S23" i="18"/>
  <c r="R23" i="18"/>
  <c r="Q23" i="18"/>
  <c r="P23" i="18"/>
  <c r="O23" i="18"/>
  <c r="N23" i="18"/>
  <c r="T22" i="18"/>
  <c r="S22" i="18"/>
  <c r="R22" i="18"/>
  <c r="Q22" i="18"/>
  <c r="P22" i="18"/>
  <c r="O22" i="18"/>
  <c r="N22" i="18"/>
  <c r="T21" i="18"/>
  <c r="S21" i="18"/>
  <c r="R21" i="18"/>
  <c r="Q21" i="18"/>
  <c r="P21" i="18"/>
  <c r="O21" i="18"/>
  <c r="N21" i="18"/>
  <c r="T20" i="18"/>
  <c r="S20" i="18"/>
  <c r="R20" i="18"/>
  <c r="Q20" i="18"/>
  <c r="P20" i="18"/>
  <c r="O20" i="18"/>
  <c r="N20" i="18"/>
  <c r="T19" i="18"/>
  <c r="S19" i="18"/>
  <c r="R19" i="18"/>
  <c r="Q19" i="18"/>
  <c r="P19" i="18"/>
  <c r="O19" i="18"/>
  <c r="N19" i="18"/>
  <c r="T18" i="18"/>
  <c r="S18" i="18"/>
  <c r="R18" i="18"/>
  <c r="Q18" i="18"/>
  <c r="P18" i="18"/>
  <c r="O18" i="18"/>
  <c r="N18" i="18"/>
  <c r="T17" i="18"/>
  <c r="S17" i="18"/>
  <c r="R17" i="18"/>
  <c r="Q17" i="18"/>
  <c r="P17" i="18"/>
  <c r="O17" i="18"/>
  <c r="N17" i="18"/>
  <c r="T16" i="18"/>
  <c r="S16" i="18"/>
  <c r="R16" i="18"/>
  <c r="Q16" i="18"/>
  <c r="P16" i="18"/>
  <c r="O16" i="18"/>
  <c r="N16" i="18"/>
  <c r="T15" i="18"/>
  <c r="S15" i="18"/>
  <c r="R15" i="18"/>
  <c r="Q15" i="18"/>
  <c r="P15" i="18"/>
  <c r="O15" i="18"/>
  <c r="N15" i="18"/>
  <c r="T14" i="18"/>
  <c r="P25" i="17"/>
  <c r="O25" i="17"/>
  <c r="N25" i="17"/>
  <c r="M25" i="17"/>
  <c r="L25" i="17"/>
  <c r="K25" i="17"/>
  <c r="P24" i="17"/>
  <c r="O24" i="17"/>
  <c r="N24" i="17"/>
  <c r="M24" i="17"/>
  <c r="L24" i="17"/>
  <c r="K24" i="17"/>
  <c r="P23" i="17"/>
  <c r="O23" i="17"/>
  <c r="N23" i="17"/>
  <c r="M23" i="17"/>
  <c r="L23" i="17"/>
  <c r="K23" i="17"/>
  <c r="P22" i="17"/>
  <c r="O22" i="17"/>
  <c r="N22" i="17"/>
  <c r="M22" i="17"/>
  <c r="L22" i="17"/>
  <c r="K22" i="17"/>
  <c r="P21" i="17"/>
  <c r="O21" i="17"/>
  <c r="N21" i="17"/>
  <c r="M21" i="17"/>
  <c r="L21" i="17"/>
  <c r="K21" i="17"/>
  <c r="P20" i="17"/>
  <c r="O20" i="17"/>
  <c r="N20" i="17"/>
  <c r="M20" i="17"/>
  <c r="L20" i="17"/>
  <c r="K20" i="17"/>
  <c r="P19" i="17"/>
  <c r="O19" i="17"/>
  <c r="N19" i="17"/>
  <c r="M19" i="17"/>
  <c r="L19" i="17"/>
  <c r="K19" i="17"/>
  <c r="P18" i="17"/>
  <c r="O18" i="17"/>
  <c r="N18" i="17"/>
  <c r="M18" i="17"/>
  <c r="L18" i="17"/>
  <c r="K18" i="17"/>
  <c r="P17" i="17"/>
  <c r="O17" i="17"/>
  <c r="N17" i="17"/>
  <c r="M17" i="17"/>
  <c r="L17" i="17"/>
  <c r="K17" i="17"/>
  <c r="P16" i="17"/>
  <c r="O16" i="17"/>
  <c r="N16" i="17"/>
  <c r="M16" i="17"/>
  <c r="L16" i="17"/>
  <c r="K16" i="17"/>
  <c r="P15" i="17"/>
  <c r="O15" i="17"/>
  <c r="N15" i="17"/>
  <c r="M15" i="17"/>
  <c r="L15" i="17"/>
  <c r="K15" i="17"/>
  <c r="P14" i="17"/>
  <c r="L33" i="16"/>
  <c r="K33" i="16"/>
  <c r="J33" i="16"/>
  <c r="I33" i="16"/>
  <c r="H33" i="16"/>
  <c r="L32" i="16"/>
  <c r="K32" i="16"/>
  <c r="J32" i="16"/>
  <c r="I32" i="16"/>
  <c r="H32" i="16"/>
  <c r="L31" i="16"/>
  <c r="K31" i="16"/>
  <c r="J31" i="16"/>
  <c r="I31" i="16"/>
  <c r="H31" i="16"/>
  <c r="L30" i="16"/>
  <c r="K30" i="16"/>
  <c r="J30" i="16"/>
  <c r="I30" i="16"/>
  <c r="H30" i="16"/>
  <c r="L29" i="16"/>
  <c r="K29" i="16"/>
  <c r="J29" i="16"/>
  <c r="I29" i="16"/>
  <c r="H29" i="16"/>
  <c r="L28" i="16"/>
  <c r="K28" i="16"/>
  <c r="J28" i="16"/>
  <c r="I28" i="16"/>
  <c r="H28" i="16"/>
  <c r="L27" i="16"/>
  <c r="K27" i="16"/>
  <c r="J27" i="16"/>
  <c r="I27" i="16"/>
  <c r="H27" i="16"/>
  <c r="L26" i="16"/>
  <c r="K26" i="16"/>
  <c r="J26" i="16"/>
  <c r="I26" i="16"/>
  <c r="H26" i="16"/>
  <c r="L25" i="16"/>
  <c r="K25" i="16"/>
  <c r="J25" i="16"/>
  <c r="I25" i="16"/>
  <c r="H25" i="16"/>
  <c r="L24" i="16"/>
  <c r="K24" i="16"/>
  <c r="J24" i="16"/>
  <c r="I24" i="16"/>
  <c r="H24" i="16"/>
  <c r="L23" i="16"/>
  <c r="K23" i="16"/>
  <c r="J23" i="16"/>
  <c r="I23" i="16"/>
  <c r="H23" i="16"/>
  <c r="L22" i="16"/>
  <c r="K22" i="16"/>
  <c r="J22" i="16"/>
  <c r="I22" i="16"/>
  <c r="H22" i="16"/>
  <c r="L21" i="16"/>
  <c r="K21" i="16"/>
  <c r="J21" i="16"/>
  <c r="I21" i="16"/>
  <c r="H21" i="16"/>
  <c r="L20" i="16"/>
  <c r="K20" i="16"/>
  <c r="J20" i="16"/>
  <c r="I20" i="16"/>
  <c r="H20" i="16"/>
  <c r="L19" i="16"/>
  <c r="K19" i="16"/>
  <c r="J19" i="16"/>
  <c r="I19" i="16"/>
  <c r="H19" i="16"/>
  <c r="L18" i="16"/>
  <c r="K18" i="16"/>
  <c r="J18" i="16"/>
  <c r="I18" i="16"/>
  <c r="H18" i="16"/>
  <c r="L17" i="16"/>
  <c r="K17" i="16"/>
  <c r="J17" i="16"/>
  <c r="I17" i="16"/>
  <c r="H17" i="16"/>
  <c r="L16" i="16"/>
  <c r="K16" i="16"/>
  <c r="J16" i="16"/>
  <c r="I16" i="16"/>
  <c r="H16" i="16"/>
  <c r="L15" i="16"/>
  <c r="K15" i="16"/>
  <c r="J15" i="16"/>
  <c r="I15" i="16"/>
  <c r="H15" i="16"/>
  <c r="L14" i="16"/>
  <c r="H9" i="16"/>
  <c r="Q25" i="15"/>
  <c r="P25" i="15"/>
  <c r="O25" i="15"/>
  <c r="N25" i="15"/>
  <c r="M25" i="15"/>
  <c r="L25" i="15"/>
  <c r="K25" i="15"/>
  <c r="J25" i="15"/>
  <c r="Q24" i="15"/>
  <c r="P24" i="15"/>
  <c r="O24" i="15"/>
  <c r="N24" i="15"/>
  <c r="M24" i="15"/>
  <c r="L24" i="15"/>
  <c r="K24" i="15"/>
  <c r="J24" i="15"/>
  <c r="Q23" i="15"/>
  <c r="P23" i="15"/>
  <c r="O23" i="15"/>
  <c r="N23" i="15"/>
  <c r="M23" i="15"/>
  <c r="L23" i="15"/>
  <c r="K23" i="15"/>
  <c r="J23" i="15"/>
  <c r="Q22" i="15"/>
  <c r="P22" i="15"/>
  <c r="O22" i="15"/>
  <c r="N22" i="15"/>
  <c r="M22" i="15"/>
  <c r="L22" i="15"/>
  <c r="K22" i="15"/>
  <c r="J22" i="15"/>
  <c r="Q21" i="15"/>
  <c r="P21" i="15"/>
  <c r="O21" i="15"/>
  <c r="N21" i="15"/>
  <c r="M21" i="15"/>
  <c r="L21" i="15"/>
  <c r="K21" i="15"/>
  <c r="J21" i="15"/>
  <c r="Q20" i="15"/>
  <c r="P20" i="15"/>
  <c r="O20" i="15"/>
  <c r="N20" i="15"/>
  <c r="M20" i="15"/>
  <c r="L20" i="15"/>
  <c r="K20" i="15"/>
  <c r="J20" i="15"/>
  <c r="Q19" i="15"/>
  <c r="P19" i="15"/>
  <c r="O19" i="15"/>
  <c r="N19" i="15"/>
  <c r="M19" i="15"/>
  <c r="L19" i="15"/>
  <c r="K19" i="15"/>
  <c r="J19" i="15"/>
  <c r="Q18" i="15"/>
  <c r="P18" i="15"/>
  <c r="O18" i="15"/>
  <c r="N18" i="15"/>
  <c r="M18" i="15"/>
  <c r="L18" i="15"/>
  <c r="K18" i="15"/>
  <c r="J18" i="15"/>
  <c r="Q17" i="15"/>
  <c r="P17" i="15"/>
  <c r="O17" i="15"/>
  <c r="N17" i="15"/>
  <c r="M17" i="15"/>
  <c r="L17" i="15"/>
  <c r="K17" i="15"/>
  <c r="J17" i="15"/>
  <c r="Q16" i="15"/>
  <c r="P16" i="15"/>
  <c r="O16" i="15"/>
  <c r="N16" i="15"/>
  <c r="M16" i="15"/>
  <c r="L16" i="15"/>
  <c r="K16" i="15"/>
  <c r="J16" i="15"/>
  <c r="Q15" i="15"/>
  <c r="P15" i="15"/>
  <c r="O15" i="15"/>
  <c r="N15" i="15"/>
  <c r="M15" i="15"/>
  <c r="L15" i="15"/>
  <c r="K15" i="15"/>
  <c r="J15" i="15"/>
  <c r="Q14" i="15"/>
  <c r="D10" i="14"/>
  <c r="D12" i="13"/>
  <c r="N17" i="12"/>
  <c r="M17" i="12"/>
  <c r="L17" i="12"/>
  <c r="K17" i="12"/>
  <c r="J17" i="12"/>
  <c r="I17" i="12"/>
  <c r="N16" i="12"/>
  <c r="M16" i="12"/>
  <c r="L16" i="12"/>
  <c r="K16" i="12"/>
  <c r="J16" i="12"/>
  <c r="I16" i="12"/>
  <c r="N15" i="12"/>
  <c r="M15" i="12"/>
  <c r="L15" i="12"/>
  <c r="K15" i="12"/>
  <c r="J15" i="12"/>
  <c r="I15" i="12"/>
  <c r="N14" i="12"/>
  <c r="M14" i="12"/>
  <c r="L14" i="12"/>
  <c r="K14" i="12"/>
  <c r="J14" i="12"/>
  <c r="I14" i="12"/>
  <c r="N13" i="12"/>
  <c r="M13" i="12"/>
  <c r="L13" i="12"/>
  <c r="K13" i="12"/>
  <c r="J13" i="12"/>
  <c r="I13" i="12"/>
  <c r="N12" i="12"/>
  <c r="M12" i="12"/>
  <c r="L12" i="12"/>
  <c r="K12" i="12"/>
  <c r="J12" i="12"/>
  <c r="I12" i="12"/>
  <c r="N11" i="12"/>
  <c r="M11" i="12"/>
  <c r="K11" i="12"/>
  <c r="I11" i="12"/>
  <c r="N10" i="12"/>
  <c r="K10" i="12"/>
  <c r="H22" i="11"/>
  <c r="H21" i="11"/>
  <c r="H20" i="11"/>
  <c r="H19" i="11"/>
  <c r="H18" i="11"/>
  <c r="D11" i="11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F21" i="9"/>
  <c r="E21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F20" i="9"/>
  <c r="E20" i="9"/>
  <c r="AF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F19" i="9"/>
  <c r="E19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F18" i="9"/>
  <c r="E18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F17" i="9"/>
  <c r="E17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F16" i="9"/>
  <c r="E16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F15" i="9"/>
  <c r="E15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F14" i="9"/>
  <c r="E14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F13" i="9"/>
  <c r="E13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F12" i="9"/>
  <c r="E12" i="9"/>
  <c r="F11" i="9"/>
  <c r="E11" i="9"/>
  <c r="F10" i="9"/>
  <c r="E10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U19" i="8"/>
  <c r="U18" i="8"/>
  <c r="U17" i="8"/>
  <c r="U16" i="8"/>
  <c r="U15" i="8"/>
  <c r="U14" i="8"/>
  <c r="U13" i="8"/>
  <c r="U12" i="8"/>
  <c r="U11" i="8"/>
  <c r="U10" i="8"/>
  <c r="U9" i="8"/>
  <c r="R8" i="8"/>
  <c r="Q8" i="8"/>
  <c r="P8" i="8"/>
  <c r="O8" i="8"/>
  <c r="N8" i="8"/>
  <c r="M8" i="8"/>
  <c r="L8" i="8"/>
  <c r="K8" i="8"/>
  <c r="J8" i="8"/>
  <c r="I8" i="8"/>
  <c r="H8" i="8"/>
  <c r="F31" i="7"/>
  <c r="E31" i="7"/>
  <c r="B31" i="7"/>
  <c r="F30" i="7"/>
  <c r="E30" i="7"/>
  <c r="B30" i="7"/>
  <c r="F29" i="7"/>
  <c r="E29" i="7"/>
  <c r="B29" i="7"/>
  <c r="F28" i="7"/>
  <c r="E28" i="7"/>
  <c r="B28" i="7"/>
  <c r="F27" i="7"/>
  <c r="E27" i="7"/>
  <c r="B27" i="7"/>
  <c r="D11" i="7"/>
  <c r="F43" i="6"/>
  <c r="E43" i="6"/>
  <c r="D43" i="6"/>
  <c r="F42" i="6"/>
  <c r="E42" i="6"/>
  <c r="D42" i="6"/>
  <c r="F41" i="6"/>
  <c r="E41" i="6"/>
  <c r="D41" i="6"/>
  <c r="F40" i="6"/>
  <c r="D13" i="6" s="1"/>
  <c r="F39" i="6"/>
  <c r="F28" i="6"/>
  <c r="F27" i="6"/>
  <c r="F26" i="6"/>
  <c r="F25" i="6"/>
  <c r="F24" i="6"/>
  <c r="F23" i="6"/>
  <c r="F22" i="6"/>
  <c r="F21" i="6"/>
  <c r="F20" i="6"/>
  <c r="F19" i="6"/>
  <c r="F18" i="6"/>
  <c r="F17" i="6"/>
  <c r="D11" i="6"/>
  <c r="D12" i="6" s="1"/>
  <c r="Q16" i="5"/>
  <c r="P16" i="5"/>
  <c r="O16" i="5"/>
  <c r="N16" i="5"/>
  <c r="M16" i="5"/>
  <c r="L16" i="5"/>
  <c r="AQ16" i="5" s="1"/>
  <c r="M11" i="4"/>
  <c r="C11" i="4"/>
  <c r="D14" i="3"/>
  <c r="R35" i="2"/>
  <c r="T33" i="2"/>
  <c r="S33" i="2"/>
  <c r="Q33" i="2"/>
  <c r="P33" i="2"/>
  <c r="O33" i="2"/>
  <c r="N33" i="2"/>
  <c r="M33" i="2"/>
  <c r="L33" i="2"/>
  <c r="T32" i="2"/>
  <c r="S32" i="2"/>
  <c r="Q32" i="2"/>
  <c r="P32" i="2"/>
  <c r="O32" i="2"/>
  <c r="N32" i="2"/>
  <c r="M32" i="2"/>
  <c r="L32" i="2"/>
  <c r="T31" i="2"/>
  <c r="S31" i="2"/>
  <c r="Q31" i="2"/>
  <c r="P31" i="2"/>
  <c r="O31" i="2"/>
  <c r="N31" i="2"/>
  <c r="M31" i="2"/>
  <c r="L31" i="2"/>
  <c r="T30" i="2"/>
  <c r="S30" i="2"/>
  <c r="Q30" i="2"/>
  <c r="P30" i="2"/>
  <c r="O30" i="2"/>
  <c r="N30" i="2"/>
  <c r="M30" i="2"/>
  <c r="L30" i="2"/>
  <c r="T29" i="2"/>
  <c r="S29" i="2"/>
  <c r="Q29" i="2"/>
  <c r="P29" i="2"/>
  <c r="O29" i="2"/>
  <c r="N29" i="2"/>
  <c r="M29" i="2"/>
  <c r="L29" i="2"/>
  <c r="T28" i="2"/>
  <c r="S28" i="2"/>
  <c r="Q28" i="2"/>
  <c r="P28" i="2"/>
  <c r="O28" i="2"/>
  <c r="N28" i="2"/>
  <c r="M28" i="2"/>
  <c r="L28" i="2"/>
  <c r="T27" i="2"/>
  <c r="S27" i="2"/>
  <c r="Q27" i="2"/>
  <c r="P27" i="2"/>
  <c r="O27" i="2"/>
  <c r="N27" i="2"/>
  <c r="M27" i="2"/>
  <c r="L27" i="2"/>
  <c r="T26" i="2"/>
  <c r="S26" i="2"/>
  <c r="Q26" i="2"/>
  <c r="P26" i="2"/>
  <c r="O26" i="2"/>
  <c r="N26" i="2"/>
  <c r="M26" i="2"/>
  <c r="L26" i="2"/>
  <c r="T25" i="2"/>
  <c r="S25" i="2"/>
  <c r="Q25" i="2"/>
  <c r="P25" i="2"/>
  <c r="O25" i="2"/>
  <c r="N25" i="2"/>
  <c r="M25" i="2"/>
  <c r="L25" i="2"/>
  <c r="T24" i="2"/>
  <c r="S24" i="2"/>
  <c r="Q24" i="2"/>
  <c r="P24" i="2"/>
  <c r="O24" i="2"/>
  <c r="N24" i="2"/>
  <c r="M24" i="2"/>
  <c r="L24" i="2"/>
  <c r="T23" i="2"/>
  <c r="S23" i="2"/>
  <c r="Q23" i="2"/>
  <c r="P23" i="2"/>
  <c r="O23" i="2"/>
  <c r="N23" i="2"/>
  <c r="M23" i="2"/>
  <c r="L23" i="2"/>
  <c r="T22" i="2"/>
  <c r="S22" i="2"/>
  <c r="Q22" i="2"/>
  <c r="P22" i="2"/>
  <c r="O22" i="2"/>
  <c r="N22" i="2"/>
  <c r="M22" i="2"/>
  <c r="L22" i="2"/>
  <c r="T21" i="2"/>
  <c r="S21" i="2"/>
  <c r="Q21" i="2"/>
  <c r="P21" i="2"/>
  <c r="O21" i="2"/>
  <c r="N21" i="2"/>
  <c r="M21" i="2"/>
  <c r="L21" i="2"/>
  <c r="T20" i="2"/>
  <c r="S20" i="2"/>
  <c r="Q20" i="2"/>
  <c r="P20" i="2"/>
  <c r="O20" i="2"/>
  <c r="N20" i="2"/>
  <c r="M20" i="2"/>
  <c r="L20" i="2"/>
  <c r="T19" i="2"/>
  <c r="S19" i="2"/>
  <c r="Q19" i="2"/>
  <c r="P19" i="2"/>
  <c r="O19" i="2"/>
  <c r="N19" i="2"/>
  <c r="M19" i="2"/>
  <c r="L19" i="2"/>
  <c r="T18" i="2"/>
  <c r="S18" i="2"/>
  <c r="Q18" i="2"/>
  <c r="P18" i="2"/>
  <c r="O18" i="2"/>
  <c r="N18" i="2"/>
  <c r="M18" i="2"/>
  <c r="L18" i="2"/>
  <c r="T17" i="2"/>
  <c r="S17" i="2"/>
  <c r="Q17" i="2"/>
  <c r="P17" i="2"/>
  <c r="O17" i="2"/>
  <c r="N17" i="2"/>
  <c r="M17" i="2"/>
  <c r="L17" i="2"/>
  <c r="T16" i="2"/>
  <c r="T15" i="2"/>
  <c r="T14" i="2"/>
  <c r="D5" i="17" l="1"/>
  <c r="D5" i="19"/>
  <c r="F14" i="22"/>
  <c r="E14" i="22"/>
  <c r="G14" i="22" s="1"/>
  <c r="H14" i="22" s="1"/>
  <c r="D11" i="22" s="1"/>
  <c r="L14" i="21"/>
  <c r="K14" i="21"/>
  <c r="N14" i="20"/>
  <c r="I15" i="20" s="1"/>
  <c r="K14" i="20"/>
  <c r="P14" i="20"/>
  <c r="H14" i="20"/>
  <c r="I14" i="19"/>
  <c r="K14" i="19"/>
  <c r="J14" i="19"/>
  <c r="N14" i="18"/>
  <c r="O14" i="18"/>
  <c r="D5" i="18"/>
  <c r="P14" i="18"/>
  <c r="Q14" i="18"/>
  <c r="S14" i="18" s="1"/>
  <c r="R14" i="18"/>
  <c r="M14" i="17"/>
  <c r="K14" i="17"/>
  <c r="L14" i="17" s="1"/>
  <c r="N14" i="17"/>
  <c r="O14" i="17" s="1"/>
  <c r="D9" i="17" s="1"/>
  <c r="H14" i="16"/>
  <c r="D8" i="16"/>
  <c r="I14" i="16"/>
  <c r="D5" i="15"/>
  <c r="J14" i="15"/>
  <c r="P14" i="15"/>
  <c r="K14" i="15"/>
  <c r="L14" i="15"/>
  <c r="E17" i="14"/>
  <c r="F15" i="14"/>
  <c r="F16" i="14"/>
  <c r="E15" i="14"/>
  <c r="G15" i="14" s="1"/>
  <c r="E16" i="14"/>
  <c r="G16" i="14" s="1"/>
  <c r="F17" i="14"/>
  <c r="G17" i="14" s="1"/>
  <c r="D13" i="13"/>
  <c r="D19" i="13"/>
  <c r="J11" i="12"/>
  <c r="L11" i="12"/>
  <c r="M10" i="12"/>
  <c r="I10" i="12"/>
  <c r="E22" i="11"/>
  <c r="D12" i="11"/>
  <c r="D13" i="11" s="1"/>
  <c r="E20" i="11"/>
  <c r="E18" i="11"/>
  <c r="E21" i="11"/>
  <c r="E19" i="11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M11" i="9"/>
  <c r="L11" i="9"/>
  <c r="K11" i="9"/>
  <c r="J11" i="9"/>
  <c r="I11" i="9"/>
  <c r="N11" i="9"/>
  <c r="AF10" i="9"/>
  <c r="AE10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Q10" i="8"/>
  <c r="R10" i="8"/>
  <c r="H10" i="8"/>
  <c r="K10" i="8"/>
  <c r="I10" i="8"/>
  <c r="J10" i="8" s="1"/>
  <c r="L10" i="8"/>
  <c r="M10" i="8"/>
  <c r="N10" i="8"/>
  <c r="O10" i="8"/>
  <c r="P10" i="8"/>
  <c r="H9" i="8"/>
  <c r="R9" i="8"/>
  <c r="Q9" i="8"/>
  <c r="P9" i="8"/>
  <c r="O9" i="8"/>
  <c r="N9" i="8"/>
  <c r="R18" i="8"/>
  <c r="R12" i="8"/>
  <c r="R11" i="8"/>
  <c r="R17" i="8"/>
  <c r="R13" i="8"/>
  <c r="R19" i="8"/>
  <c r="R14" i="8"/>
  <c r="R16" i="8"/>
  <c r="R15" i="8"/>
  <c r="Q12" i="8"/>
  <c r="Q15" i="8"/>
  <c r="Q16" i="8"/>
  <c r="Q11" i="8"/>
  <c r="Q18" i="8"/>
  <c r="Q19" i="8"/>
  <c r="Q17" i="8"/>
  <c r="Q14" i="8"/>
  <c r="Q13" i="8"/>
  <c r="P18" i="8"/>
  <c r="P15" i="8"/>
  <c r="P13" i="8"/>
  <c r="P11" i="8"/>
  <c r="P16" i="8"/>
  <c r="P14" i="8"/>
  <c r="P12" i="8"/>
  <c r="P17" i="8"/>
  <c r="P19" i="8"/>
  <c r="O15" i="8"/>
  <c r="O17" i="8"/>
  <c r="O13" i="8"/>
  <c r="O19" i="8"/>
  <c r="O18" i="8"/>
  <c r="O12" i="8"/>
  <c r="O14" i="8"/>
  <c r="O11" i="8"/>
  <c r="O16" i="8"/>
  <c r="N11" i="8"/>
  <c r="N19" i="8"/>
  <c r="N15" i="8"/>
  <c r="N13" i="8"/>
  <c r="N14" i="8"/>
  <c r="N16" i="8"/>
  <c r="N17" i="8"/>
  <c r="N18" i="8"/>
  <c r="N12" i="8"/>
  <c r="M19" i="8"/>
  <c r="M15" i="8"/>
  <c r="M14" i="8"/>
  <c r="M13" i="8"/>
  <c r="M16" i="8"/>
  <c r="M18" i="8"/>
  <c r="M12" i="8"/>
  <c r="M17" i="8"/>
  <c r="L19" i="8"/>
  <c r="L15" i="8"/>
  <c r="L12" i="8"/>
  <c r="L16" i="8"/>
  <c r="L13" i="8"/>
  <c r="L18" i="8"/>
  <c r="L17" i="8"/>
  <c r="L14" i="8"/>
  <c r="I11" i="8"/>
  <c r="H19" i="8"/>
  <c r="H13" i="8"/>
  <c r="H16" i="8"/>
  <c r="H14" i="8"/>
  <c r="H15" i="8"/>
  <c r="H18" i="8"/>
  <c r="H17" i="8"/>
  <c r="H11" i="8"/>
  <c r="H12" i="8"/>
  <c r="D12" i="7"/>
  <c r="D13" i="7"/>
  <c r="D14" i="7"/>
  <c r="D15" i="7"/>
  <c r="E39" i="6"/>
  <c r="D39" i="6"/>
  <c r="D40" i="6"/>
  <c r="E40" i="6"/>
  <c r="K16" i="5"/>
  <c r="AO16" i="5"/>
  <c r="AC16" i="5" s="1"/>
  <c r="Q17" i="5" s="1"/>
  <c r="AM16" i="5"/>
  <c r="AL16" i="5"/>
  <c r="Z16" i="5" s="1"/>
  <c r="N17" i="5" s="1"/>
  <c r="AK16" i="5"/>
  <c r="Y16" i="5" s="1"/>
  <c r="M17" i="5" s="1"/>
  <c r="AJ16" i="5"/>
  <c r="X16" i="5" s="1"/>
  <c r="L17" i="5" s="1"/>
  <c r="AI16" i="5"/>
  <c r="AH16" i="5"/>
  <c r="AG16" i="5"/>
  <c r="AF16" i="5"/>
  <c r="AE16" i="5"/>
  <c r="AD16" i="5"/>
  <c r="AN16" i="5"/>
  <c r="AB16" i="5" s="1"/>
  <c r="P17" i="5" s="1"/>
  <c r="AA16" i="5"/>
  <c r="O17" i="5" s="1"/>
  <c r="E11" i="4"/>
  <c r="I11" i="4"/>
  <c r="M12" i="4"/>
  <c r="D16" i="3"/>
  <c r="D17" i="3"/>
  <c r="D18" i="3" s="1"/>
  <c r="D19" i="3" s="1"/>
  <c r="L16" i="2"/>
  <c r="M16" i="2" s="1"/>
  <c r="L15" i="2"/>
  <c r="M15" i="2" s="1"/>
  <c r="D9" i="2" s="1"/>
  <c r="L14" i="2"/>
  <c r="M14" i="2"/>
  <c r="D8" i="19" l="1"/>
  <c r="D7" i="19"/>
  <c r="D6" i="19"/>
  <c r="D7" i="17"/>
  <c r="D6" i="17"/>
  <c r="D8" i="17"/>
  <c r="D11" i="14"/>
  <c r="AP16" i="5"/>
  <c r="D9" i="21"/>
  <c r="D10" i="21"/>
  <c r="D8" i="21"/>
  <c r="W16" i="5"/>
  <c r="V16" i="5"/>
  <c r="U16" i="5"/>
  <c r="T16" i="5"/>
  <c r="S16" i="5"/>
  <c r="R16" i="5"/>
  <c r="AQ17" i="5"/>
  <c r="D7" i="18"/>
  <c r="D6" i="18"/>
  <c r="D8" i="18"/>
  <c r="J14" i="16"/>
  <c r="D9" i="16" s="1"/>
  <c r="K14" i="16"/>
  <c r="D10" i="16"/>
  <c r="D9" i="15"/>
  <c r="D6" i="15"/>
  <c r="J10" i="12"/>
  <c r="L10" i="12"/>
  <c r="F18" i="11"/>
  <c r="F19" i="11"/>
  <c r="M13" i="4"/>
  <c r="I12" i="4"/>
  <c r="D10" i="2"/>
  <c r="N16" i="2"/>
  <c r="S10" i="8"/>
  <c r="T10" i="8" s="1"/>
  <c r="C15" i="20"/>
  <c r="R15" i="20" s="1"/>
  <c r="Q14" i="20"/>
  <c r="O14" i="15"/>
  <c r="D8" i="15" s="1"/>
  <c r="N14" i="15"/>
  <c r="D7" i="15" s="1"/>
  <c r="M14" i="15"/>
  <c r="D14" i="13"/>
  <c r="D17" i="13" s="1"/>
  <c r="D15" i="13"/>
  <c r="D18" i="13" s="1"/>
  <c r="D16" i="13"/>
  <c r="I9" i="8"/>
  <c r="I19" i="8"/>
  <c r="J19" i="8"/>
  <c r="I13" i="8"/>
  <c r="I16" i="8"/>
  <c r="J16" i="8" s="1"/>
  <c r="I14" i="8"/>
  <c r="J14" i="8" s="1"/>
  <c r="I15" i="8"/>
  <c r="I18" i="8"/>
  <c r="I17" i="8"/>
  <c r="J17" i="8"/>
  <c r="J11" i="8"/>
  <c r="K11" i="8" s="1"/>
  <c r="I12" i="8"/>
  <c r="J11" i="4"/>
  <c r="K19" i="8" l="1"/>
  <c r="S19" i="8" s="1"/>
  <c r="T19" i="8" s="1"/>
  <c r="K17" i="8"/>
  <c r="S17" i="8" s="1"/>
  <c r="T17" i="8" s="1"/>
  <c r="K17" i="5"/>
  <c r="R17" i="5" s="1"/>
  <c r="S17" i="5"/>
  <c r="T17" i="5"/>
  <c r="U17" i="5"/>
  <c r="V17" i="5"/>
  <c r="W17" i="5"/>
  <c r="AD17" i="5"/>
  <c r="AE17" i="5"/>
  <c r="AF17" i="5"/>
  <c r="AG17" i="5"/>
  <c r="AH17" i="5"/>
  <c r="AI17" i="5"/>
  <c r="AJ17" i="5"/>
  <c r="AK17" i="5"/>
  <c r="Y17" i="5" s="1"/>
  <c r="M18" i="5" s="1"/>
  <c r="AL17" i="5"/>
  <c r="Z17" i="5" s="1"/>
  <c r="N18" i="5" s="1"/>
  <c r="AM17" i="5"/>
  <c r="AN17" i="5"/>
  <c r="AB17" i="5" s="1"/>
  <c r="P18" i="5" s="1"/>
  <c r="AO17" i="5"/>
  <c r="AC17" i="5" s="1"/>
  <c r="Q18" i="5" s="1"/>
  <c r="N14" i="2"/>
  <c r="N15" i="2"/>
  <c r="J12" i="8"/>
  <c r="S12" i="8" s="1"/>
  <c r="T12" i="8" s="1"/>
  <c r="K12" i="8"/>
  <c r="G18" i="11"/>
  <c r="M14" i="4"/>
  <c r="I13" i="4"/>
  <c r="O14" i="2"/>
  <c r="Q14" i="2" s="1"/>
  <c r="P14" i="2"/>
  <c r="S14" i="2"/>
  <c r="N35" i="2"/>
  <c r="O16" i="2"/>
  <c r="P16" i="2"/>
  <c r="Q16" i="2"/>
  <c r="S16" i="2"/>
  <c r="K15" i="20"/>
  <c r="P15" i="20" s="1"/>
  <c r="H15" i="20"/>
  <c r="N15" i="20"/>
  <c r="I16" i="20" s="1"/>
  <c r="G19" i="11"/>
  <c r="F20" i="11"/>
  <c r="AA17" i="5"/>
  <c r="O18" i="5" s="1"/>
  <c r="J9" i="8"/>
  <c r="K9" i="8" s="1"/>
  <c r="L9" i="8" s="1"/>
  <c r="J13" i="8"/>
  <c r="K13" i="8" s="1"/>
  <c r="K16" i="8"/>
  <c r="S16" i="8"/>
  <c r="T16" i="8" s="1"/>
  <c r="K14" i="8"/>
  <c r="S14" i="8"/>
  <c r="T14" i="8" s="1"/>
  <c r="J15" i="8"/>
  <c r="K15" i="8" s="1"/>
  <c r="S15" i="8" s="1"/>
  <c r="T15" i="8" s="1"/>
  <c r="J18" i="8"/>
  <c r="K18" i="8"/>
  <c r="L11" i="8"/>
  <c r="L11" i="4"/>
  <c r="K11" i="4"/>
  <c r="C12" i="4" s="1"/>
  <c r="X17" i="5" l="1"/>
  <c r="L18" i="5" s="1"/>
  <c r="AQ18" i="5" s="1"/>
  <c r="AP17" i="5"/>
  <c r="O15" i="2"/>
  <c r="O35" i="2" s="1"/>
  <c r="P15" i="2"/>
  <c r="P35" i="2" s="1"/>
  <c r="Q15" i="2"/>
  <c r="Q35" i="2" s="1"/>
  <c r="S15" i="2"/>
  <c r="S35" i="2" s="1"/>
  <c r="M15" i="4"/>
  <c r="I14" i="4"/>
  <c r="G20" i="11"/>
  <c r="M9" i="8"/>
  <c r="S9" i="8" s="1"/>
  <c r="T9" i="8" s="1"/>
  <c r="E12" i="4"/>
  <c r="S13" i="8"/>
  <c r="T13" i="8" s="1"/>
  <c r="S18" i="8"/>
  <c r="T18" i="8" s="1"/>
  <c r="C16" i="20"/>
  <c r="R16" i="20" s="1"/>
  <c r="Q15" i="20"/>
  <c r="F21" i="11"/>
  <c r="M11" i="8"/>
  <c r="S11" i="8" s="1"/>
  <c r="T11" i="8" s="1"/>
  <c r="AO18" i="5" l="1"/>
  <c r="AC18" i="5" s="1"/>
  <c r="Q19" i="5" s="1"/>
  <c r="AN18" i="5"/>
  <c r="AB18" i="5" s="1"/>
  <c r="P19" i="5" s="1"/>
  <c r="AM18" i="5"/>
  <c r="AA18" i="5" s="1"/>
  <c r="O19" i="5" s="1"/>
  <c r="AL18" i="5"/>
  <c r="Z18" i="5" s="1"/>
  <c r="N19" i="5" s="1"/>
  <c r="AK18" i="5"/>
  <c r="Y18" i="5" s="1"/>
  <c r="M19" i="5" s="1"/>
  <c r="AJ18" i="5"/>
  <c r="AI18" i="5"/>
  <c r="AH18" i="5"/>
  <c r="AG18" i="5"/>
  <c r="AF18" i="5"/>
  <c r="AE18" i="5"/>
  <c r="AD18" i="5"/>
  <c r="K18" i="5"/>
  <c r="H16" i="20"/>
  <c r="C17" i="20" s="1"/>
  <c r="N16" i="20"/>
  <c r="K16" i="20"/>
  <c r="P16" i="20" s="1"/>
  <c r="M16" i="4"/>
  <c r="I15" i="4"/>
  <c r="J12" i="4"/>
  <c r="W18" i="5"/>
  <c r="V18" i="5"/>
  <c r="U18" i="5"/>
  <c r="T18" i="5"/>
  <c r="G21" i="11"/>
  <c r="F22" i="11"/>
  <c r="G22" i="11" s="1"/>
  <c r="D14" i="11"/>
  <c r="AP18" i="5" l="1"/>
  <c r="X18" i="5"/>
  <c r="L19" i="5" s="1"/>
  <c r="AQ19" i="5" s="1"/>
  <c r="S18" i="5"/>
  <c r="R18" i="5"/>
  <c r="I17" i="20"/>
  <c r="R17" i="20" s="1"/>
  <c r="Q16" i="20"/>
  <c r="L12" i="4"/>
  <c r="K12" i="4"/>
  <c r="C13" i="4" s="1"/>
  <c r="M17" i="4"/>
  <c r="I16" i="4"/>
  <c r="E13" i="4"/>
  <c r="N17" i="20" l="1"/>
  <c r="I18" i="20" s="1"/>
  <c r="K17" i="20"/>
  <c r="P17" i="20" s="1"/>
  <c r="H17" i="20"/>
  <c r="AM19" i="5"/>
  <c r="AA19" i="5" s="1"/>
  <c r="O20" i="5" s="1"/>
  <c r="AO19" i="5"/>
  <c r="AC19" i="5" s="1"/>
  <c r="Q20" i="5" s="1"/>
  <c r="AN19" i="5"/>
  <c r="AB19" i="5" s="1"/>
  <c r="P20" i="5" s="1"/>
  <c r="AL19" i="5"/>
  <c r="Z19" i="5" s="1"/>
  <c r="N20" i="5" s="1"/>
  <c r="AK19" i="5"/>
  <c r="AJ19" i="5"/>
  <c r="AI19" i="5"/>
  <c r="AH19" i="5"/>
  <c r="AG19" i="5"/>
  <c r="AF19" i="5"/>
  <c r="AE19" i="5"/>
  <c r="AD19" i="5"/>
  <c r="K19" i="5"/>
  <c r="M18" i="4"/>
  <c r="I17" i="4"/>
  <c r="J13" i="4"/>
  <c r="L13" i="4" s="1"/>
  <c r="K13" i="4"/>
  <c r="C14" i="4" s="1"/>
  <c r="X19" i="5"/>
  <c r="L20" i="5" s="1"/>
  <c r="U19" i="5"/>
  <c r="T19" i="5"/>
  <c r="S19" i="5"/>
  <c r="R19" i="5"/>
  <c r="Q17" i="20" l="1"/>
  <c r="C18" i="20"/>
  <c r="R18" i="20" s="1"/>
  <c r="Y19" i="5"/>
  <c r="M20" i="5" s="1"/>
  <c r="AQ20" i="5" s="1"/>
  <c r="AP19" i="5"/>
  <c r="W19" i="5"/>
  <c r="V19" i="5"/>
  <c r="I18" i="4"/>
  <c r="M19" i="4"/>
  <c r="E14" i="4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Q21" i="5" s="1"/>
  <c r="AB20" i="5"/>
  <c r="P21" i="5" s="1"/>
  <c r="AA20" i="5"/>
  <c r="O21" i="5" s="1"/>
  <c r="Z20" i="5"/>
  <c r="N21" i="5" s="1"/>
  <c r="Y20" i="5"/>
  <c r="M21" i="5" s="1"/>
  <c r="X20" i="5"/>
  <c r="L21" i="5" s="1"/>
  <c r="H18" i="20" l="1"/>
  <c r="C19" i="20" s="1"/>
  <c r="K18" i="20"/>
  <c r="P18" i="20" s="1"/>
  <c r="N18" i="20"/>
  <c r="I19" i="20" s="1"/>
  <c r="R19" i="20"/>
  <c r="Q18" i="20"/>
  <c r="AP20" i="5"/>
  <c r="K20" i="5"/>
  <c r="AQ21" i="5"/>
  <c r="I19" i="4"/>
  <c r="M20" i="4"/>
  <c r="AO21" i="5"/>
  <c r="AD21" i="5"/>
  <c r="AN21" i="5"/>
  <c r="AB21" i="5" s="1"/>
  <c r="P22" i="5" s="1"/>
  <c r="J14" i="4"/>
  <c r="N19" i="20" l="1"/>
  <c r="I20" i="20" s="1"/>
  <c r="K19" i="20"/>
  <c r="P19" i="20" s="1"/>
  <c r="H19" i="20"/>
  <c r="W20" i="5"/>
  <c r="T20" i="5"/>
  <c r="R20" i="5"/>
  <c r="V20" i="5"/>
  <c r="S20" i="5"/>
  <c r="U20" i="5"/>
  <c r="AJ21" i="5"/>
  <c r="AF21" i="5"/>
  <c r="AI21" i="5"/>
  <c r="AH21" i="5"/>
  <c r="AL21" i="5"/>
  <c r="Z21" i="5" s="1"/>
  <c r="N22" i="5" s="1"/>
  <c r="AM21" i="5"/>
  <c r="AA21" i="5" s="1"/>
  <c r="O22" i="5" s="1"/>
  <c r="AE21" i="5"/>
  <c r="AG21" i="5"/>
  <c r="AK21" i="5"/>
  <c r="Y21" i="5" s="1"/>
  <c r="M22" i="5" s="1"/>
  <c r="AQ22" i="5" s="1"/>
  <c r="K21" i="5"/>
  <c r="U21" i="5"/>
  <c r="AC21" i="5"/>
  <c r="Q22" i="5" s="1"/>
  <c r="I20" i="4"/>
  <c r="L14" i="4"/>
  <c r="K14" i="4"/>
  <c r="C15" i="4" s="1"/>
  <c r="C20" i="20" l="1"/>
  <c r="R20" i="20" s="1"/>
  <c r="Q19" i="20"/>
  <c r="X21" i="5"/>
  <c r="L22" i="5" s="1"/>
  <c r="AP21" i="5"/>
  <c r="R21" i="5"/>
  <c r="W21" i="5"/>
  <c r="V21" i="5"/>
  <c r="T21" i="5"/>
  <c r="S21" i="5"/>
  <c r="AJ22" i="5"/>
  <c r="AE22" i="5"/>
  <c r="T22" i="5"/>
  <c r="AN22" i="5"/>
  <c r="AB22" i="5" s="1"/>
  <c r="P23" i="5" s="1"/>
  <c r="AH22" i="5"/>
  <c r="AD22" i="5"/>
  <c r="V22" i="5"/>
  <c r="AL22" i="5"/>
  <c r="Z22" i="5" s="1"/>
  <c r="N23" i="5" s="1"/>
  <c r="AI22" i="5"/>
  <c r="AK22" i="5"/>
  <c r="Y22" i="5" s="1"/>
  <c r="M23" i="5" s="1"/>
  <c r="AO22" i="5"/>
  <c r="AC22" i="5" s="1"/>
  <c r="Q23" i="5" s="1"/>
  <c r="AF22" i="5"/>
  <c r="AM22" i="5"/>
  <c r="AA22" i="5" s="1"/>
  <c r="O23" i="5" s="1"/>
  <c r="AG22" i="5"/>
  <c r="K22" i="5"/>
  <c r="E15" i="4"/>
  <c r="H20" i="20" l="1"/>
  <c r="C21" i="20" s="1"/>
  <c r="N20" i="20"/>
  <c r="I21" i="20" s="1"/>
  <c r="Q20" i="20"/>
  <c r="R21" i="20"/>
  <c r="K20" i="20"/>
  <c r="P20" i="20" s="1"/>
  <c r="X22" i="5"/>
  <c r="L23" i="5" s="1"/>
  <c r="AQ23" i="5" s="1"/>
  <c r="AP22" i="5"/>
  <c r="U22" i="5"/>
  <c r="S22" i="5"/>
  <c r="W22" i="5"/>
  <c r="R22" i="5"/>
  <c r="J15" i="4"/>
  <c r="N21" i="20" l="1"/>
  <c r="I22" i="20" s="1"/>
  <c r="K21" i="20"/>
  <c r="P21" i="20" s="1"/>
  <c r="H21" i="20"/>
  <c r="L15" i="4"/>
  <c r="K15" i="4"/>
  <c r="C16" i="4" s="1"/>
  <c r="E16" i="4" s="1"/>
  <c r="AI23" i="5"/>
  <c r="V23" i="5"/>
  <c r="AM23" i="5"/>
  <c r="AA23" i="5" s="1"/>
  <c r="O24" i="5" s="1"/>
  <c r="AH23" i="5"/>
  <c r="AE23" i="5"/>
  <c r="AN23" i="5"/>
  <c r="AB23" i="5" s="1"/>
  <c r="P24" i="5" s="1"/>
  <c r="AG23" i="5"/>
  <c r="AL23" i="5"/>
  <c r="Z23" i="5" s="1"/>
  <c r="N24" i="5" s="1"/>
  <c r="AD23" i="5"/>
  <c r="AK23" i="5"/>
  <c r="Y23" i="5" s="1"/>
  <c r="M24" i="5" s="1"/>
  <c r="AO23" i="5"/>
  <c r="AC23" i="5" s="1"/>
  <c r="Q24" i="5" s="1"/>
  <c r="AJ23" i="5"/>
  <c r="AF23" i="5"/>
  <c r="K23" i="5"/>
  <c r="C22" i="20" l="1"/>
  <c r="R22" i="20" s="1"/>
  <c r="Q21" i="20"/>
  <c r="X23" i="5"/>
  <c r="L24" i="5" s="1"/>
  <c r="AQ24" i="5" s="1"/>
  <c r="AP23" i="5"/>
  <c r="S23" i="5"/>
  <c r="U23" i="5"/>
  <c r="R23" i="5"/>
  <c r="W23" i="5"/>
  <c r="T23" i="5"/>
  <c r="J16" i="4"/>
  <c r="H22" i="20" l="1"/>
  <c r="C23" i="20" s="1"/>
  <c r="R23" i="20" s="1"/>
  <c r="K22" i="20"/>
  <c r="N22" i="20"/>
  <c r="I23" i="20" s="1"/>
  <c r="P22" i="20"/>
  <c r="Q22" i="20"/>
  <c r="AA24" i="5"/>
  <c r="O25" i="5" s="1"/>
  <c r="W24" i="5"/>
  <c r="T24" i="5"/>
  <c r="AO24" i="5"/>
  <c r="AH24" i="5"/>
  <c r="AN24" i="5"/>
  <c r="AJ24" i="5"/>
  <c r="X24" i="5" s="1"/>
  <c r="L25" i="5" s="1"/>
  <c r="AG24" i="5"/>
  <c r="AD24" i="5"/>
  <c r="AL24" i="5"/>
  <c r="AI24" i="5"/>
  <c r="AF24" i="5"/>
  <c r="AC24" i="5"/>
  <c r="Q25" i="5" s="1"/>
  <c r="AM24" i="5"/>
  <c r="AK24" i="5"/>
  <c r="Y24" i="5" s="1"/>
  <c r="M25" i="5" s="1"/>
  <c r="AE24" i="5"/>
  <c r="AB24" i="5"/>
  <c r="P25" i="5" s="1"/>
  <c r="K24" i="5"/>
  <c r="L16" i="4"/>
  <c r="K16" i="4"/>
  <c r="C17" i="4" s="1"/>
  <c r="N23" i="20" l="1"/>
  <c r="K23" i="20"/>
  <c r="P23" i="20" s="1"/>
  <c r="D10" i="20" s="1"/>
  <c r="H23" i="20"/>
  <c r="Q23" i="20" s="1"/>
  <c r="D9" i="20" s="1"/>
  <c r="AP24" i="5"/>
  <c r="Z24" i="5"/>
  <c r="N25" i="5" s="1"/>
  <c r="AQ25" i="5" s="1"/>
  <c r="E17" i="4"/>
  <c r="J17" i="4"/>
  <c r="U24" i="5"/>
  <c r="V24" i="5"/>
  <c r="R24" i="5"/>
  <c r="S24" i="5"/>
  <c r="AI25" i="5" l="1"/>
  <c r="AJ25" i="5"/>
  <c r="X25" i="5" s="1"/>
  <c r="L26" i="5" s="1"/>
  <c r="AK25" i="5"/>
  <c r="Y25" i="5" s="1"/>
  <c r="M26" i="5" s="1"/>
  <c r="AL25" i="5"/>
  <c r="Z25" i="5" s="1"/>
  <c r="N26" i="5" s="1"/>
  <c r="AM25" i="5"/>
  <c r="AA25" i="5" s="1"/>
  <c r="O26" i="5" s="1"/>
  <c r="AN25" i="5"/>
  <c r="AB25" i="5" s="1"/>
  <c r="P26" i="5" s="1"/>
  <c r="AO25" i="5"/>
  <c r="AC25" i="5" s="1"/>
  <c r="Q26" i="5" s="1"/>
  <c r="K25" i="5"/>
  <c r="AD25" i="5"/>
  <c r="AE25" i="5"/>
  <c r="AF25" i="5"/>
  <c r="AG25" i="5"/>
  <c r="AH25" i="5"/>
  <c r="D11" i="20"/>
  <c r="V25" i="5"/>
  <c r="U25" i="5"/>
  <c r="R25" i="5"/>
  <c r="S25" i="5"/>
  <c r="W25" i="5"/>
  <c r="T25" i="5"/>
  <c r="L17" i="4"/>
  <c r="K17" i="4"/>
  <c r="C18" i="4" s="1"/>
  <c r="AP25" i="5" l="1"/>
  <c r="AQ26" i="5"/>
  <c r="E18" i="4"/>
  <c r="J18" i="4" s="1"/>
  <c r="L18" i="4" s="1"/>
  <c r="K26" i="5" l="1"/>
  <c r="R26" i="5"/>
  <c r="S26" i="5"/>
  <c r="AD26" i="5"/>
  <c r="AE26" i="5"/>
  <c r="AF26" i="5"/>
  <c r="AG26" i="5"/>
  <c r="AH26" i="5"/>
  <c r="AI26" i="5"/>
  <c r="AJ26" i="5"/>
  <c r="AK26" i="5"/>
  <c r="Y26" i="5" s="1"/>
  <c r="M27" i="5" s="1"/>
  <c r="AL26" i="5"/>
  <c r="Z26" i="5" s="1"/>
  <c r="N27" i="5" s="1"/>
  <c r="AM26" i="5"/>
  <c r="AA26" i="5" s="1"/>
  <c r="O27" i="5" s="1"/>
  <c r="AN26" i="5"/>
  <c r="AB26" i="5" s="1"/>
  <c r="P27" i="5" s="1"/>
  <c r="AO26" i="5"/>
  <c r="AC26" i="5" s="1"/>
  <c r="Q27" i="5" s="1"/>
  <c r="K18" i="4"/>
  <c r="C19" i="4" s="1"/>
  <c r="T26" i="5" l="1"/>
  <c r="W26" i="5"/>
  <c r="U26" i="5"/>
  <c r="V26" i="5"/>
  <c r="AP26" i="5"/>
  <c r="X26" i="5"/>
  <c r="L27" i="5" s="1"/>
  <c r="AQ27" i="5" s="1"/>
  <c r="E19" i="4"/>
  <c r="J19" i="4"/>
  <c r="AK27" i="5" l="1"/>
  <c r="AL27" i="5"/>
  <c r="Z27" i="5" s="1"/>
  <c r="N28" i="5" s="1"/>
  <c r="AM27" i="5"/>
  <c r="AA27" i="5" s="1"/>
  <c r="O28" i="5" s="1"/>
  <c r="AN27" i="5"/>
  <c r="AB27" i="5" s="1"/>
  <c r="P28" i="5" s="1"/>
  <c r="AO27" i="5"/>
  <c r="AC27" i="5" s="1"/>
  <c r="Q28" i="5" s="1"/>
  <c r="AQ28" i="5" s="1"/>
  <c r="X27" i="5"/>
  <c r="L28" i="5" s="1"/>
  <c r="W27" i="5"/>
  <c r="V27" i="5"/>
  <c r="U27" i="5"/>
  <c r="T27" i="5"/>
  <c r="K27" i="5"/>
  <c r="AD27" i="5"/>
  <c r="AE27" i="5"/>
  <c r="AF27" i="5"/>
  <c r="AG27" i="5"/>
  <c r="AH27" i="5"/>
  <c r="AI27" i="5"/>
  <c r="AJ27" i="5"/>
  <c r="L19" i="4"/>
  <c r="K19" i="4"/>
  <c r="C20" i="4" s="1"/>
  <c r="E20" i="4"/>
  <c r="Y27" i="5" l="1"/>
  <c r="M28" i="5" s="1"/>
  <c r="AP27" i="5"/>
  <c r="K28" i="5"/>
  <c r="AD28" i="5"/>
  <c r="AE28" i="5"/>
  <c r="AF28" i="5"/>
  <c r="AK28" i="5"/>
  <c r="Y28" i="5" s="1"/>
  <c r="M29" i="5" s="1"/>
  <c r="AG28" i="5"/>
  <c r="AH28" i="5"/>
  <c r="AI28" i="5"/>
  <c r="AJ28" i="5"/>
  <c r="AL28" i="5"/>
  <c r="Z28" i="5" s="1"/>
  <c r="N29" i="5" s="1"/>
  <c r="AM28" i="5"/>
  <c r="AA28" i="5" s="1"/>
  <c r="O29" i="5" s="1"/>
  <c r="AN28" i="5"/>
  <c r="AB28" i="5" s="1"/>
  <c r="P29" i="5" s="1"/>
  <c r="AO28" i="5"/>
  <c r="AC28" i="5" s="1"/>
  <c r="Q29" i="5" s="1"/>
  <c r="AQ29" i="5" s="1"/>
  <c r="S27" i="5"/>
  <c r="R27" i="5"/>
  <c r="J20" i="4"/>
  <c r="X28" i="5"/>
  <c r="L29" i="5" s="1"/>
  <c r="AP28" i="5"/>
  <c r="S28" i="5"/>
  <c r="R28" i="5"/>
  <c r="V28" i="5" l="1"/>
  <c r="U28" i="5"/>
  <c r="T28" i="5"/>
  <c r="W28" i="5"/>
  <c r="L20" i="4"/>
  <c r="K20" i="4"/>
  <c r="D23" i="4" s="1"/>
  <c r="AO29" i="5"/>
  <c r="AN29" i="5"/>
  <c r="AB29" i="5" s="1"/>
  <c r="P30" i="5" s="1"/>
  <c r="AM29" i="5"/>
  <c r="AL29" i="5"/>
  <c r="Z29" i="5" s="1"/>
  <c r="N30" i="5" s="1"/>
  <c r="AK29" i="5"/>
  <c r="Y29" i="5" s="1"/>
  <c r="M30" i="5" s="1"/>
  <c r="AJ29" i="5"/>
  <c r="AI29" i="5"/>
  <c r="AH29" i="5"/>
  <c r="AG29" i="5"/>
  <c r="AF29" i="5"/>
  <c r="AE29" i="5"/>
  <c r="AD29" i="5"/>
  <c r="AC29" i="5"/>
  <c r="Q30" i="5" s="1"/>
  <c r="AA29" i="5"/>
  <c r="O30" i="5" s="1"/>
  <c r="K29" i="5"/>
  <c r="AP29" i="5" l="1"/>
  <c r="X29" i="5"/>
  <c r="L30" i="5" s="1"/>
  <c r="AQ30" i="5" s="1"/>
  <c r="W29" i="5"/>
  <c r="V29" i="5"/>
  <c r="U29" i="5"/>
  <c r="T29" i="5"/>
  <c r="S29" i="5"/>
  <c r="R29" i="5"/>
  <c r="AO30" i="5" l="1"/>
  <c r="AC30" i="5" s="1"/>
  <c r="Q31" i="5" s="1"/>
  <c r="AN30" i="5"/>
  <c r="AB30" i="5" s="1"/>
  <c r="P31" i="5" s="1"/>
  <c r="AM30" i="5"/>
  <c r="AA30" i="5" s="1"/>
  <c r="O31" i="5" s="1"/>
  <c r="AL30" i="5"/>
  <c r="Z30" i="5" s="1"/>
  <c r="N31" i="5" s="1"/>
  <c r="AK30" i="5"/>
  <c r="Y30" i="5" s="1"/>
  <c r="M31" i="5" s="1"/>
  <c r="AJ30" i="5"/>
  <c r="AI30" i="5"/>
  <c r="AH30" i="5"/>
  <c r="AG30" i="5"/>
  <c r="AF30" i="5"/>
  <c r="AE30" i="5"/>
  <c r="AD30" i="5"/>
  <c r="K30" i="5"/>
  <c r="AP30" i="5" l="1"/>
  <c r="X30" i="5"/>
  <c r="L31" i="5" s="1"/>
  <c r="AQ31" i="5" s="1"/>
  <c r="S30" i="5"/>
  <c r="W30" i="5"/>
  <c r="V30" i="5"/>
  <c r="U30" i="5"/>
  <c r="T30" i="5"/>
  <c r="R30" i="5"/>
  <c r="AO31" i="5" l="1"/>
  <c r="AC31" i="5" s="1"/>
  <c r="Q32" i="5" s="1"/>
  <c r="AN31" i="5"/>
  <c r="AB31" i="5" s="1"/>
  <c r="P32" i="5" s="1"/>
  <c r="AM31" i="5"/>
  <c r="AA31" i="5" s="1"/>
  <c r="O32" i="5" s="1"/>
  <c r="AL31" i="5"/>
  <c r="Z31" i="5" s="1"/>
  <c r="N32" i="5" s="1"/>
  <c r="AK31" i="5"/>
  <c r="Y31" i="5" s="1"/>
  <c r="M32" i="5" s="1"/>
  <c r="AJ31" i="5"/>
  <c r="AI31" i="5"/>
  <c r="AH31" i="5"/>
  <c r="AG31" i="5"/>
  <c r="AF31" i="5"/>
  <c r="AE31" i="5"/>
  <c r="AD31" i="5"/>
  <c r="K31" i="5"/>
  <c r="W31" i="5" s="1"/>
  <c r="X31" i="5" l="1"/>
  <c r="L32" i="5" s="1"/>
  <c r="AQ32" i="5" s="1"/>
  <c r="AP31" i="5"/>
  <c r="V31" i="5"/>
  <c r="U31" i="5"/>
  <c r="T31" i="5"/>
  <c r="S31" i="5"/>
  <c r="R31" i="5"/>
  <c r="AO32" i="5" l="1"/>
  <c r="AC32" i="5" s="1"/>
  <c r="Q33" i="5" s="1"/>
  <c r="AN32" i="5"/>
  <c r="AM32" i="5"/>
  <c r="AL32" i="5"/>
  <c r="AK32" i="5"/>
  <c r="AJ32" i="5"/>
  <c r="X32" i="5" s="1"/>
  <c r="L33" i="5" s="1"/>
  <c r="AI32" i="5"/>
  <c r="AH32" i="5"/>
  <c r="AG32" i="5"/>
  <c r="AF32" i="5"/>
  <c r="AE32" i="5"/>
  <c r="AD32" i="5"/>
  <c r="AA32" i="5"/>
  <c r="O33" i="5" s="1"/>
  <c r="Z32" i="5"/>
  <c r="N33" i="5" s="1"/>
  <c r="Y32" i="5"/>
  <c r="M33" i="5" s="1"/>
  <c r="K32" i="5"/>
  <c r="W32" i="5" s="1"/>
  <c r="AB32" i="5" l="1"/>
  <c r="P33" i="5" s="1"/>
  <c r="AQ33" i="5" s="1"/>
  <c r="AP32" i="5"/>
  <c r="V32" i="5"/>
  <c r="U32" i="5"/>
  <c r="T32" i="5"/>
  <c r="S32" i="5"/>
  <c r="R32" i="5"/>
  <c r="AL33" i="5" l="1"/>
  <c r="Z33" i="5" s="1"/>
  <c r="N34" i="5" s="1"/>
  <c r="AF33" i="5"/>
  <c r="AK33" i="5"/>
  <c r="Y33" i="5" s="1"/>
  <c r="M34" i="5" s="1"/>
  <c r="AI33" i="5"/>
  <c r="AO33" i="5"/>
  <c r="AC33" i="5" s="1"/>
  <c r="Q34" i="5" s="1"/>
  <c r="AM33" i="5"/>
  <c r="AA33" i="5" s="1"/>
  <c r="O34" i="5" s="1"/>
  <c r="AJ33" i="5"/>
  <c r="AG33" i="5"/>
  <c r="AN33" i="5"/>
  <c r="AB33" i="5" s="1"/>
  <c r="P34" i="5" s="1"/>
  <c r="AH33" i="5"/>
  <c r="AE33" i="5"/>
  <c r="AD33" i="5"/>
  <c r="K33" i="5"/>
  <c r="AP33" i="5" l="1"/>
  <c r="X33" i="5"/>
  <c r="L34" i="5" s="1"/>
  <c r="AQ34" i="5" s="1"/>
  <c r="S33" i="5"/>
  <c r="W33" i="5"/>
  <c r="V33" i="5"/>
  <c r="U33" i="5"/>
  <c r="T33" i="5"/>
  <c r="R33" i="5"/>
  <c r="AO34" i="5" l="1"/>
  <c r="AC34" i="5" s="1"/>
  <c r="Q35" i="5" s="1"/>
  <c r="AN34" i="5"/>
  <c r="AB34" i="5" s="1"/>
  <c r="P35" i="5" s="1"/>
  <c r="AM34" i="5"/>
  <c r="AA34" i="5" s="1"/>
  <c r="O35" i="5" s="1"/>
  <c r="AL34" i="5"/>
  <c r="Z34" i="5" s="1"/>
  <c r="N35" i="5" s="1"/>
  <c r="AK34" i="5"/>
  <c r="Y34" i="5" s="1"/>
  <c r="M35" i="5" s="1"/>
  <c r="AJ34" i="5"/>
  <c r="AI34" i="5"/>
  <c r="AH34" i="5"/>
  <c r="AG34" i="5"/>
  <c r="AF34" i="5"/>
  <c r="AE34" i="5"/>
  <c r="AD34" i="5"/>
  <c r="K34" i="5"/>
  <c r="X34" i="5" l="1"/>
  <c r="L35" i="5" s="1"/>
  <c r="AQ35" i="5" s="1"/>
  <c r="AP34" i="5"/>
  <c r="W34" i="5"/>
  <c r="V34" i="5"/>
  <c r="U34" i="5"/>
  <c r="T34" i="5"/>
  <c r="S34" i="5"/>
  <c r="R34" i="5"/>
  <c r="AO35" i="5" l="1"/>
  <c r="AC35" i="5" s="1"/>
  <c r="Q36" i="5" s="1"/>
  <c r="AN35" i="5"/>
  <c r="AB35" i="5" s="1"/>
  <c r="P36" i="5" s="1"/>
  <c r="AM35" i="5"/>
  <c r="AA35" i="5" s="1"/>
  <c r="O36" i="5" s="1"/>
  <c r="AL35" i="5"/>
  <c r="Z35" i="5" s="1"/>
  <c r="N36" i="5" s="1"/>
  <c r="AK35" i="5"/>
  <c r="Y35" i="5" s="1"/>
  <c r="M36" i="5" s="1"/>
  <c r="AJ35" i="5"/>
  <c r="AI35" i="5"/>
  <c r="AH35" i="5"/>
  <c r="AG35" i="5"/>
  <c r="AF35" i="5"/>
  <c r="AE35" i="5"/>
  <c r="AD35" i="5"/>
  <c r="K35" i="5"/>
  <c r="X35" i="5" l="1"/>
  <c r="L36" i="5" s="1"/>
  <c r="AQ36" i="5" s="1"/>
  <c r="AP35" i="5"/>
  <c r="W35" i="5"/>
  <c r="V35" i="5"/>
  <c r="U35" i="5"/>
  <c r="T35" i="5"/>
  <c r="S35" i="5"/>
  <c r="R35" i="5"/>
  <c r="AO36" i="5" l="1"/>
  <c r="AC36" i="5" s="1"/>
  <c r="Q37" i="5" s="1"/>
  <c r="AN36" i="5"/>
  <c r="AB36" i="5" s="1"/>
  <c r="P37" i="5" s="1"/>
  <c r="AM36" i="5"/>
  <c r="AL36" i="5"/>
  <c r="Z36" i="5" s="1"/>
  <c r="N37" i="5" s="1"/>
  <c r="AK36" i="5"/>
  <c r="Y36" i="5" s="1"/>
  <c r="M37" i="5" s="1"/>
  <c r="AJ36" i="5"/>
  <c r="AI36" i="5"/>
  <c r="AH36" i="5"/>
  <c r="AG36" i="5"/>
  <c r="AF36" i="5"/>
  <c r="AE36" i="5"/>
  <c r="AD36" i="5"/>
  <c r="AA36" i="5"/>
  <c r="O37" i="5" s="1"/>
  <c r="K36" i="5"/>
  <c r="W36" i="5" s="1"/>
  <c r="X36" i="5" l="1"/>
  <c r="L37" i="5" s="1"/>
  <c r="AQ37" i="5" s="1"/>
  <c r="AP36" i="5"/>
  <c r="V36" i="5"/>
  <c r="U36" i="5"/>
  <c r="T36" i="5"/>
  <c r="R36" i="5"/>
  <c r="S36" i="5"/>
  <c r="AO37" i="5" l="1"/>
  <c r="AC37" i="5" s="1"/>
  <c r="Q38" i="5" s="1"/>
  <c r="AN37" i="5"/>
  <c r="AB37" i="5" s="1"/>
  <c r="P38" i="5" s="1"/>
  <c r="AM37" i="5"/>
  <c r="AL37" i="5"/>
  <c r="Z37" i="5" s="1"/>
  <c r="N38" i="5" s="1"/>
  <c r="AK37" i="5"/>
  <c r="AJ37" i="5"/>
  <c r="X37" i="5" s="1"/>
  <c r="L38" i="5" s="1"/>
  <c r="AI37" i="5"/>
  <c r="AH37" i="5"/>
  <c r="AG37" i="5"/>
  <c r="AF37" i="5"/>
  <c r="AE37" i="5"/>
  <c r="AD37" i="5"/>
  <c r="Y37" i="5"/>
  <c r="M38" i="5" s="1"/>
  <c r="K37" i="5"/>
  <c r="W37" i="5" l="1"/>
  <c r="V37" i="5"/>
  <c r="U37" i="5"/>
  <c r="T37" i="5"/>
  <c r="AA37" i="5"/>
  <c r="O38" i="5" s="1"/>
  <c r="AQ38" i="5" s="1"/>
  <c r="AP37" i="5"/>
  <c r="S37" i="5"/>
  <c r="R37" i="5"/>
  <c r="AO38" i="5" l="1"/>
  <c r="AN38" i="5"/>
  <c r="AM38" i="5"/>
  <c r="AL38" i="5"/>
  <c r="Z38" i="5" s="1"/>
  <c r="N39" i="5" s="1"/>
  <c r="AK38" i="5"/>
  <c r="Y38" i="5" s="1"/>
  <c r="M39" i="5" s="1"/>
  <c r="AJ38" i="5"/>
  <c r="AI38" i="5"/>
  <c r="AH38" i="5"/>
  <c r="AG38" i="5"/>
  <c r="AF38" i="5"/>
  <c r="AE38" i="5"/>
  <c r="AD38" i="5"/>
  <c r="AC38" i="5"/>
  <c r="Q39" i="5" s="1"/>
  <c r="AB38" i="5"/>
  <c r="P39" i="5" s="1"/>
  <c r="AA38" i="5"/>
  <c r="O39" i="5" s="1"/>
  <c r="K38" i="5"/>
  <c r="W38" i="5" l="1"/>
  <c r="V38" i="5"/>
  <c r="U38" i="5"/>
  <c r="T38" i="5"/>
  <c r="X38" i="5"/>
  <c r="L39" i="5" s="1"/>
  <c r="AQ39" i="5" s="1"/>
  <c r="AP38" i="5"/>
  <c r="S38" i="5"/>
  <c r="R38" i="5"/>
  <c r="AO39" i="5" l="1"/>
  <c r="AC39" i="5" s="1"/>
  <c r="Q40" i="5" s="1"/>
  <c r="AN39" i="5"/>
  <c r="AB39" i="5" s="1"/>
  <c r="P40" i="5" s="1"/>
  <c r="AM39" i="5"/>
  <c r="AA39" i="5" s="1"/>
  <c r="O40" i="5" s="1"/>
  <c r="AL39" i="5"/>
  <c r="Z39" i="5" s="1"/>
  <c r="N40" i="5" s="1"/>
  <c r="AK39" i="5"/>
  <c r="Y39" i="5" s="1"/>
  <c r="M40" i="5" s="1"/>
  <c r="AJ39" i="5"/>
  <c r="AI39" i="5"/>
  <c r="AH39" i="5"/>
  <c r="AG39" i="5"/>
  <c r="AF39" i="5"/>
  <c r="AE39" i="5"/>
  <c r="AD39" i="5"/>
  <c r="K39" i="5"/>
  <c r="X39" i="5" l="1"/>
  <c r="L40" i="5" s="1"/>
  <c r="AQ40" i="5" s="1"/>
  <c r="AP39" i="5"/>
  <c r="W39" i="5"/>
  <c r="U39" i="5"/>
  <c r="T39" i="5"/>
  <c r="S39" i="5"/>
  <c r="R39" i="5"/>
  <c r="V39" i="5"/>
  <c r="AO40" i="5" l="1"/>
  <c r="AC40" i="5" s="1"/>
  <c r="Q41" i="5" s="1"/>
  <c r="AN40" i="5"/>
  <c r="AB40" i="5" s="1"/>
  <c r="P41" i="5" s="1"/>
  <c r="AM40" i="5"/>
  <c r="AA40" i="5" s="1"/>
  <c r="O41" i="5" s="1"/>
  <c r="AL40" i="5"/>
  <c r="Z40" i="5" s="1"/>
  <c r="N41" i="5" s="1"/>
  <c r="AK40" i="5"/>
  <c r="Y40" i="5" s="1"/>
  <c r="M41" i="5" s="1"/>
  <c r="AJ40" i="5"/>
  <c r="AI40" i="5"/>
  <c r="AH40" i="5"/>
  <c r="AG40" i="5"/>
  <c r="AF40" i="5"/>
  <c r="AE40" i="5"/>
  <c r="AD40" i="5"/>
  <c r="K40" i="5"/>
  <c r="X40" i="5" l="1"/>
  <c r="L41" i="5" s="1"/>
  <c r="AQ41" i="5" s="1"/>
  <c r="AP40" i="5"/>
  <c r="W40" i="5"/>
  <c r="V40" i="5"/>
  <c r="U40" i="5"/>
  <c r="T40" i="5"/>
  <c r="S40" i="5"/>
  <c r="R40" i="5"/>
  <c r="AO41" i="5" l="1"/>
  <c r="AC41" i="5" s="1"/>
  <c r="Q42" i="5" s="1"/>
  <c r="AN41" i="5"/>
  <c r="AB41" i="5" s="1"/>
  <c r="P42" i="5" s="1"/>
  <c r="AM41" i="5"/>
  <c r="AA41" i="5" s="1"/>
  <c r="O42" i="5" s="1"/>
  <c r="AL41" i="5"/>
  <c r="Z41" i="5" s="1"/>
  <c r="N42" i="5" s="1"/>
  <c r="AK41" i="5"/>
  <c r="Y41" i="5" s="1"/>
  <c r="M42" i="5" s="1"/>
  <c r="AJ41" i="5"/>
  <c r="AI41" i="5"/>
  <c r="AH41" i="5"/>
  <c r="AG41" i="5"/>
  <c r="AF41" i="5"/>
  <c r="AE41" i="5"/>
  <c r="AD41" i="5"/>
  <c r="K41" i="5"/>
  <c r="W41" i="5" s="1"/>
  <c r="X41" i="5" l="1"/>
  <c r="L42" i="5" s="1"/>
  <c r="AQ42" i="5" s="1"/>
  <c r="AP41" i="5"/>
  <c r="V41" i="5"/>
  <c r="U41" i="5"/>
  <c r="T41" i="5"/>
  <c r="S41" i="5"/>
  <c r="R41" i="5"/>
  <c r="AO42" i="5" l="1"/>
  <c r="AC42" i="5" s="1"/>
  <c r="Q43" i="5" s="1"/>
  <c r="AN42" i="5"/>
  <c r="AB42" i="5" s="1"/>
  <c r="P43" i="5" s="1"/>
  <c r="AM42" i="5"/>
  <c r="AL42" i="5"/>
  <c r="Z42" i="5" s="1"/>
  <c r="N43" i="5" s="1"/>
  <c r="AK42" i="5"/>
  <c r="AJ42" i="5"/>
  <c r="X42" i="5" s="1"/>
  <c r="L43" i="5" s="1"/>
  <c r="AI42" i="5"/>
  <c r="AH42" i="5"/>
  <c r="AG42" i="5"/>
  <c r="AF42" i="5"/>
  <c r="AE42" i="5"/>
  <c r="AD42" i="5"/>
  <c r="AA42" i="5"/>
  <c r="O43" i="5" s="1"/>
  <c r="K42" i="5"/>
  <c r="AP42" i="5" l="1"/>
  <c r="Y42" i="5"/>
  <c r="M43" i="5" s="1"/>
  <c r="AQ43" i="5" s="1"/>
  <c r="W42" i="5"/>
  <c r="U42" i="5"/>
  <c r="T42" i="5"/>
  <c r="R42" i="5"/>
  <c r="V42" i="5"/>
  <c r="S42" i="5"/>
  <c r="AO43" i="5" l="1"/>
  <c r="AN43" i="5"/>
  <c r="AM43" i="5"/>
  <c r="AL43" i="5"/>
  <c r="AK43" i="5"/>
  <c r="AJ43" i="5"/>
  <c r="X43" i="5" s="1"/>
  <c r="L44" i="5" s="1"/>
  <c r="AQ44" i="5" s="1"/>
  <c r="AI43" i="5"/>
  <c r="AH43" i="5"/>
  <c r="AG43" i="5"/>
  <c r="AF43" i="5"/>
  <c r="AE43" i="5"/>
  <c r="AD43" i="5"/>
  <c r="AC43" i="5"/>
  <c r="Q44" i="5" s="1"/>
  <c r="AB43" i="5"/>
  <c r="P44" i="5" s="1"/>
  <c r="AA43" i="5"/>
  <c r="O44" i="5" s="1"/>
  <c r="Z43" i="5"/>
  <c r="N44" i="5" s="1"/>
  <c r="Y43" i="5"/>
  <c r="M44" i="5" s="1"/>
  <c r="W43" i="5"/>
  <c r="V43" i="5"/>
  <c r="K43" i="5"/>
  <c r="AP43" i="5" l="1"/>
  <c r="U43" i="5"/>
  <c r="T43" i="5"/>
  <c r="S43" i="5"/>
  <c r="R43" i="5"/>
  <c r="K44" i="5"/>
  <c r="R44" i="5"/>
  <c r="S44" i="5"/>
  <c r="AD44" i="5"/>
  <c r="AE44" i="5"/>
  <c r="AF44" i="5"/>
  <c r="AG44" i="5"/>
  <c r="AH44" i="5"/>
  <c r="AI44" i="5"/>
  <c r="AJ44" i="5"/>
  <c r="X44" i="5" s="1"/>
  <c r="L45" i="5" s="1"/>
  <c r="AK44" i="5"/>
  <c r="Y44" i="5" s="1"/>
  <c r="M45" i="5" s="1"/>
  <c r="AL44" i="5"/>
  <c r="AM44" i="5"/>
  <c r="AA44" i="5" s="1"/>
  <c r="O45" i="5" s="1"/>
  <c r="AN44" i="5"/>
  <c r="AB44" i="5" s="1"/>
  <c r="P45" i="5" s="1"/>
  <c r="AO44" i="5"/>
  <c r="AC44" i="5" s="1"/>
  <c r="Q45" i="5" s="1"/>
  <c r="T44" i="5" l="1"/>
  <c r="U44" i="5"/>
  <c r="V44" i="5"/>
  <c r="W44" i="5"/>
  <c r="Z44" i="5"/>
  <c r="N45" i="5" s="1"/>
  <c r="AQ45" i="5" s="1"/>
  <c r="AP44" i="5"/>
  <c r="AO45" i="5" l="1"/>
  <c r="AC45" i="5" s="1"/>
  <c r="Q46" i="5" s="1"/>
  <c r="AN45" i="5"/>
  <c r="AB45" i="5" s="1"/>
  <c r="P46" i="5" s="1"/>
  <c r="AM45" i="5"/>
  <c r="AA45" i="5" s="1"/>
  <c r="O46" i="5" s="1"/>
  <c r="AL45" i="5"/>
  <c r="Z45" i="5" s="1"/>
  <c r="N46" i="5" s="1"/>
  <c r="AK45" i="5"/>
  <c r="Y45" i="5" s="1"/>
  <c r="M46" i="5" s="1"/>
  <c r="AJ45" i="5"/>
  <c r="AI45" i="5"/>
  <c r="AH45" i="5"/>
  <c r="AG45" i="5"/>
  <c r="AF45" i="5"/>
  <c r="AE45" i="5"/>
  <c r="AD45" i="5"/>
  <c r="K45" i="5"/>
  <c r="AP45" i="5" l="1"/>
  <c r="X45" i="5"/>
  <c r="L46" i="5" s="1"/>
  <c r="AQ46" i="5" s="1"/>
  <c r="W45" i="5"/>
  <c r="V45" i="5"/>
  <c r="U45" i="5"/>
  <c r="T45" i="5"/>
  <c r="S45" i="5"/>
  <c r="R45" i="5"/>
  <c r="AO46" i="5" l="1"/>
  <c r="AC46" i="5" s="1"/>
  <c r="Q47" i="5" s="1"/>
  <c r="AN46" i="5"/>
  <c r="AB46" i="5" s="1"/>
  <c r="P47" i="5" s="1"/>
  <c r="AM46" i="5"/>
  <c r="AL46" i="5"/>
  <c r="Z46" i="5" s="1"/>
  <c r="N47" i="5" s="1"/>
  <c r="AK46" i="5"/>
  <c r="Y46" i="5" s="1"/>
  <c r="M47" i="5" s="1"/>
  <c r="AJ46" i="5"/>
  <c r="AI46" i="5"/>
  <c r="AH46" i="5"/>
  <c r="AG46" i="5"/>
  <c r="AF46" i="5"/>
  <c r="AE46" i="5"/>
  <c r="AD46" i="5"/>
  <c r="X46" i="5"/>
  <c r="L47" i="5" s="1"/>
  <c r="K46" i="5"/>
  <c r="AP46" i="5" l="1"/>
  <c r="AA46" i="5"/>
  <c r="O47" i="5" s="1"/>
  <c r="AQ47" i="5" s="1"/>
  <c r="W46" i="5"/>
  <c r="V46" i="5"/>
  <c r="U46" i="5"/>
  <c r="T46" i="5"/>
  <c r="S46" i="5"/>
  <c r="R46" i="5"/>
  <c r="AO47" i="5" l="1"/>
  <c r="AC47" i="5" s="1"/>
  <c r="Q48" i="5" s="1"/>
  <c r="AN47" i="5"/>
  <c r="AB47" i="5" s="1"/>
  <c r="P48" i="5" s="1"/>
  <c r="AM47" i="5"/>
  <c r="AA47" i="5" s="1"/>
  <c r="O48" i="5" s="1"/>
  <c r="AL47" i="5"/>
  <c r="Z47" i="5" s="1"/>
  <c r="N48" i="5" s="1"/>
  <c r="AK47" i="5"/>
  <c r="AJ47" i="5"/>
  <c r="X47" i="5" s="1"/>
  <c r="L48" i="5" s="1"/>
  <c r="AI47" i="5"/>
  <c r="AH47" i="5"/>
  <c r="AG47" i="5"/>
  <c r="AF47" i="5"/>
  <c r="AE47" i="5"/>
  <c r="AD47" i="5"/>
  <c r="K47" i="5"/>
  <c r="Y47" i="5" l="1"/>
  <c r="M48" i="5" s="1"/>
  <c r="AQ48" i="5" s="1"/>
  <c r="AP47" i="5"/>
  <c r="W47" i="5"/>
  <c r="V47" i="5"/>
  <c r="U47" i="5"/>
  <c r="T47" i="5"/>
  <c r="R47" i="5"/>
  <c r="S47" i="5"/>
  <c r="AO48" i="5" l="1"/>
  <c r="AC48" i="5" s="1"/>
  <c r="Q49" i="5" s="1"/>
  <c r="AN48" i="5"/>
  <c r="AB48" i="5" s="1"/>
  <c r="P49" i="5" s="1"/>
  <c r="AM48" i="5"/>
  <c r="AA48" i="5" s="1"/>
  <c r="O49" i="5" s="1"/>
  <c r="AL48" i="5"/>
  <c r="Z48" i="5" s="1"/>
  <c r="N49" i="5" s="1"/>
  <c r="AK48" i="5"/>
  <c r="Y48" i="5" s="1"/>
  <c r="M49" i="5" s="1"/>
  <c r="AJ48" i="5"/>
  <c r="AI48" i="5"/>
  <c r="AH48" i="5"/>
  <c r="AG48" i="5"/>
  <c r="AF48" i="5"/>
  <c r="AE48" i="5"/>
  <c r="AD48" i="5"/>
  <c r="K48" i="5"/>
  <c r="X48" i="5" l="1"/>
  <c r="L49" i="5" s="1"/>
  <c r="AQ49" i="5" s="1"/>
  <c r="AP48" i="5"/>
  <c r="W48" i="5"/>
  <c r="V48" i="5"/>
  <c r="U48" i="5"/>
  <c r="T48" i="5"/>
  <c r="S48" i="5"/>
  <c r="R48" i="5"/>
  <c r="AO49" i="5" l="1"/>
  <c r="AC49" i="5" s="1"/>
  <c r="Q50" i="5" s="1"/>
  <c r="AN49" i="5"/>
  <c r="AB49" i="5" s="1"/>
  <c r="P50" i="5" s="1"/>
  <c r="AM49" i="5"/>
  <c r="AL49" i="5"/>
  <c r="Z49" i="5" s="1"/>
  <c r="N50" i="5" s="1"/>
  <c r="AK49" i="5"/>
  <c r="Y49" i="5" s="1"/>
  <c r="M50" i="5" s="1"/>
  <c r="AJ49" i="5"/>
  <c r="X49" i="5" s="1"/>
  <c r="L50" i="5" s="1"/>
  <c r="AI49" i="5"/>
  <c r="AH49" i="5"/>
  <c r="AG49" i="5"/>
  <c r="AF49" i="5"/>
  <c r="AE49" i="5"/>
  <c r="AD49" i="5"/>
  <c r="U49" i="5"/>
  <c r="K49" i="5"/>
  <c r="W49" i="5" l="1"/>
  <c r="V49" i="5"/>
  <c r="AA49" i="5"/>
  <c r="O50" i="5" s="1"/>
  <c r="AQ50" i="5" s="1"/>
  <c r="AP49" i="5"/>
  <c r="T49" i="5"/>
  <c r="S49" i="5"/>
  <c r="R49" i="5"/>
  <c r="AO50" i="5" l="1"/>
  <c r="AC50" i="5" s="1"/>
  <c r="Q51" i="5" s="1"/>
  <c r="AN50" i="5"/>
  <c r="AB50" i="5" s="1"/>
  <c r="P51" i="5" s="1"/>
  <c r="AM50" i="5"/>
  <c r="AA50" i="5" s="1"/>
  <c r="O51" i="5" s="1"/>
  <c r="AL50" i="5"/>
  <c r="Z50" i="5" s="1"/>
  <c r="N51" i="5" s="1"/>
  <c r="AK50" i="5"/>
  <c r="Y50" i="5" s="1"/>
  <c r="M51" i="5" s="1"/>
  <c r="AJ50" i="5"/>
  <c r="AI50" i="5"/>
  <c r="AH50" i="5"/>
  <c r="AG50" i="5"/>
  <c r="AF50" i="5"/>
  <c r="AE50" i="5"/>
  <c r="AD50" i="5"/>
  <c r="W50" i="5"/>
  <c r="V50" i="5"/>
  <c r="U50" i="5"/>
  <c r="T50" i="5"/>
  <c r="S50" i="5"/>
  <c r="K50" i="5"/>
  <c r="R50" i="5" s="1"/>
  <c r="X50" i="5" l="1"/>
  <c r="L51" i="5" s="1"/>
  <c r="AQ51" i="5" s="1"/>
  <c r="AP50" i="5"/>
  <c r="AO51" i="5" l="1"/>
  <c r="AC51" i="5" s="1"/>
  <c r="AN51" i="5"/>
  <c r="AB51" i="5" s="1"/>
  <c r="AM51" i="5"/>
  <c r="AA51" i="5" s="1"/>
  <c r="AL51" i="5"/>
  <c r="Z51" i="5" s="1"/>
  <c r="AK51" i="5"/>
  <c r="AJ51" i="5"/>
  <c r="X51" i="5" s="1"/>
  <c r="AI51" i="5"/>
  <c r="AH51" i="5"/>
  <c r="AG51" i="5"/>
  <c r="AF51" i="5"/>
  <c r="AE51" i="5"/>
  <c r="AD51" i="5"/>
  <c r="W51" i="5"/>
  <c r="V51" i="5"/>
  <c r="K51" i="5"/>
  <c r="H12" i="5"/>
  <c r="Y51" i="5" l="1"/>
  <c r="D12" i="5" s="1"/>
  <c r="AP51" i="5"/>
  <c r="H13" i="5" s="1"/>
  <c r="U51" i="5"/>
  <c r="T51" i="5"/>
  <c r="S51" i="5"/>
  <c r="R51" i="5"/>
  <c r="D13" i="5" l="1"/>
</calcChain>
</file>

<file path=xl/sharedStrings.xml><?xml version="1.0" encoding="utf-8"?>
<sst xmlns="http://schemas.openxmlformats.org/spreadsheetml/2006/main" count="637" uniqueCount="531">
  <si>
    <t>Ozzit practice calculators</t>
  </si>
  <si>
    <t>Illustrative AUD inputs. Blue cells are editable. Replace examples before use.</t>
  </si>
  <si>
    <t>Twenty-one standalone modelling workflows using ordinary Excel formulas.</t>
  </si>
  <si>
    <t>Open a tab and replace its fabricated inputs. No Ozzit LAMBDA import is needed.</t>
  </si>
  <si>
    <t>Tax treatment, rates, eligibility and legal deadlines must be supplied by the reviewer.</t>
  </si>
  <si>
    <t>This workbook does not reproduce the purchased BTS workbooks or their hidden rules.</t>
  </si>
  <si>
    <t>Calculator</t>
  </si>
  <si>
    <t>What it calculates</t>
  </si>
  <si>
    <t>Allocation</t>
  </si>
  <si>
    <t>Allocate one budget across 20 people or jobs equally, by salary, or by eight weighted factors.</t>
  </si>
  <si>
    <t>Contractor</t>
  </si>
  <si>
    <t>Compare employer cost with contractor revenue per billable week and hour.</t>
  </si>
  <si>
    <t>Vendor finance</t>
  </si>
  <si>
    <t>Roll annual vendor debt forward using dividends, a cash reserve and own funds.</t>
  </si>
  <si>
    <t>Mixed loan</t>
  </si>
  <si>
    <t>Allocate interest, fees and repayments across six uses and 36 dated events.</t>
  </si>
  <si>
    <t>Rental</t>
  </si>
  <si>
    <t>Reconcile rent, operating costs, capital spending, three loans and up to five owners.</t>
  </si>
  <si>
    <t>Packaging</t>
  </si>
  <si>
    <t>Compare employee cash pay and employer cost for up to five benefits, using supplied tax amounts.</t>
  </si>
  <si>
    <t>Amortisation</t>
  </si>
  <si>
    <t>Allocate 11 cost cohorts across 11 annual periods with a supplied early write-off year.</t>
  </si>
  <si>
    <t>Timeline</t>
  </si>
  <si>
    <t>Show 12 dated intervals across 24 months and measure overlap with a reporting window.</t>
  </si>
  <si>
    <t>Deed register</t>
  </si>
  <si>
    <t>Record deed evidence for 20 trusts and flag vesting dates within five calendar years.</t>
  </si>
  <si>
    <t>Carry forward</t>
  </si>
  <si>
    <t>Consume supplied annual capacity and five expiring buckets, oldest first.</t>
  </si>
  <si>
    <t>Loan offers</t>
  </si>
  <si>
    <t>Compare eight fixed-rate offers including balloons, fees and a supplied rate shock.</t>
  </si>
  <si>
    <t>Break even</t>
  </si>
  <si>
    <t>Calculate contribution, break-even units, target profit and capacity constraints.</t>
  </si>
  <si>
    <t>Working capital</t>
  </si>
  <si>
    <t>Estimate cash released by changes in receivable, inventory and payable days.</t>
  </si>
  <si>
    <t>Construction WIP</t>
  </si>
  <si>
    <t>Reconcile approved project progress, forecast costs, billings and collections.</t>
  </si>
  <si>
    <t>KPI awards</t>
  </si>
  <si>
    <t>Calculate individual target bonuses using supplied scores, thresholds and caps.</t>
  </si>
  <si>
    <t>Asset disposal</t>
  </si>
  <si>
    <t>Bridge supplied sale, book-value, replacement and GST amounts to profit and cash.</t>
  </si>
  <si>
    <t>Exit pay</t>
  </si>
  <si>
    <t>Calculate gross and net pay from approved leave, notice and other entitlement inputs.</t>
  </si>
  <si>
    <t>Tax cash</t>
  </si>
  <si>
    <t>Track assessed liabilities, payments, refunds and credits across twelve entities.</t>
  </si>
  <si>
    <t>Investment</t>
  </si>
  <si>
    <t>Project ten annual periods of investment value, debt and after-tax cash flows.</t>
  </si>
  <si>
    <t>Action register</t>
  </si>
  <si>
    <t>Track owners, supplied deadlines, evidence and completion of review actions.</t>
  </si>
  <si>
    <t>Benefit totals</t>
  </si>
  <si>
    <t>Gross up reviewer-classified type 1 and type 2 taxable values using supplied FBT rates.</t>
  </si>
  <si>
    <t>Sources and coverage: docs/between-spreadsheets.md and docs/practice-improvements.md.</t>
  </si>
  <si>
    <t>Sample rates and capacities are modelling assumptions, not statutory rates or limits.</t>
  </si>
  <si>
    <t>Fixed ranges: extend formulas and native checks if you add rows. Inputs remain unrounded.</t>
  </si>
  <si>
    <t>Contents</t>
  </si>
  <si>
    <t>Total employer budget</t>
  </si>
  <si>
    <t>Factor 1</t>
  </si>
  <si>
    <t>Factor 2</t>
  </si>
  <si>
    <t>Factor 3</t>
  </si>
  <si>
    <t>Factor 4</t>
  </si>
  <si>
    <t>Factor 5</t>
  </si>
  <si>
    <t>Factor 6</t>
  </si>
  <si>
    <t>Factor 7</t>
  </si>
  <si>
    <t>Factor 8</t>
  </si>
  <si>
    <t>Super cost / cash bonus</t>
  </si>
  <si>
    <t>Payroll cost / bonus + super</t>
  </si>
  <si>
    <t>Method: 1 equal, 2 salary, 3 score</t>
  </si>
  <si>
    <t>Scores use a common scale. Factor weights are relative, nonnegative inputs.</t>
  </si>
  <si>
    <t>Input status</t>
  </si>
  <si>
    <t>Cash bonus pool</t>
  </si>
  <si>
    <t>Person / job</t>
  </si>
  <si>
    <t>Salary / base</t>
  </si>
  <si>
    <t>Score 1</t>
  </si>
  <si>
    <t>Score 2</t>
  </si>
  <si>
    <t>Score 3</t>
  </si>
  <si>
    <t>Score 4</t>
  </si>
  <si>
    <t>Score 5</t>
  </si>
  <si>
    <t>Score 6</t>
  </si>
  <si>
    <t>Score 7</t>
  </si>
  <si>
    <t>Score 8</t>
  </si>
  <si>
    <t>Weighted score</t>
  </si>
  <si>
    <t>Allocation weight</t>
  </si>
  <si>
    <t>Cash bonus</t>
  </si>
  <si>
    <t>Super cost</t>
  </si>
  <si>
    <t>Payroll cost</t>
  </si>
  <si>
    <t>Total cost</t>
  </si>
  <si>
    <t>Withholding</t>
  </si>
  <si>
    <t>Net bonus</t>
  </si>
  <si>
    <t>Example 1</t>
  </si>
  <si>
    <t>Example 2</t>
  </si>
  <si>
    <t>Example 3</t>
  </si>
  <si>
    <t>Total</t>
  </si>
  <si>
    <t>Set both on-cost rates to zero for ordinary overhead allocations. Withholding is supplied, not calculated.</t>
  </si>
  <si>
    <t>Employee cash salary</t>
  </si>
  <si>
    <t>Amounts exclude GST and personal income tax.</t>
  </si>
  <si>
    <t>Employee employer super</t>
  </si>
  <si>
    <t>Employee other on-costs</t>
  </si>
  <si>
    <t>Retirement saving is entered separately for each arrangement.</t>
  </si>
  <si>
    <t>Contractor retirement saving</t>
  </si>
  <si>
    <t>Contractor annual overheads</t>
  </si>
  <si>
    <t>Billable weeks exclude leave and time that cannot be invoiced.</t>
  </si>
  <si>
    <t>Contractor insurance</t>
  </si>
  <si>
    <t>Billable weeks per year</t>
  </si>
  <si>
    <t>This comparison does not determine employment status.</t>
  </si>
  <si>
    <t>Billable hours per week</t>
  </si>
  <si>
    <t>Annual employer cost</t>
  </si>
  <si>
    <t>Contractor annual revenue</t>
  </si>
  <si>
    <t>Revenue per billable week</t>
  </si>
  <si>
    <t>Revenue per billable hour</t>
  </si>
  <si>
    <t>Initial vendor debt</t>
  </si>
  <si>
    <t>Annual interest is charged on opening debt. Cash is paid at year end.</t>
  </si>
  <si>
    <t>The reserve is a supplied cash amount, not an income tax calculation.</t>
  </si>
  <si>
    <t>Year</t>
  </si>
  <si>
    <t>Opening debt</t>
  </si>
  <si>
    <t>Annual rate</t>
  </si>
  <si>
    <t>Interest</t>
  </si>
  <si>
    <t>Dividends</t>
  </si>
  <si>
    <t>Cash reserve</t>
  </si>
  <si>
    <t>Own funds</t>
  </si>
  <si>
    <t>Cash available</t>
  </si>
  <si>
    <t>Debt payment</t>
  </si>
  <si>
    <t>Closing debt</t>
  </si>
  <si>
    <t>Excess cash</t>
  </si>
  <si>
    <t>Debt after ten years</t>
  </si>
  <si>
    <t>Opening date</t>
  </si>
  <si>
    <t>Use 1</t>
  </si>
  <si>
    <t>Use 2</t>
  </si>
  <si>
    <t>Use 3</t>
  </si>
  <si>
    <t>Use 4</t>
  </si>
  <si>
    <t>Use 5</t>
  </si>
  <si>
    <t>Use 6</t>
  </si>
  <si>
    <t>Annual simple interest rate</t>
  </si>
  <si>
    <t>Days per interest year</t>
  </si>
  <si>
    <t>Six opening balances above. Uses are labels, not tax classifications.</t>
  </si>
  <si>
    <t>Interest accrues first. Draws and signed purpose adjustments precede proportional repayments and fee allocation.</t>
  </si>
  <si>
    <t>Interest and fees are reported separately and are not capitalised. Same-day events accrue zero days.</t>
  </si>
  <si>
    <t>Final principal</t>
  </si>
  <si>
    <t>Total allocated interest</t>
  </si>
  <si>
    <t>Unapplied repayments</t>
  </si>
  <si>
    <t>Interest stops at the final event. AR:AW are principal adjustments, not cash flows. Use zero-sum entries for transfers between uses.</t>
  </si>
  <si>
    <t>Event date</t>
  </si>
  <si>
    <t>Repayment</t>
  </si>
  <si>
    <t>Draw 1</t>
  </si>
  <si>
    <t>Draw 2</t>
  </si>
  <si>
    <t>Draw 3</t>
  </si>
  <si>
    <t>Draw 4</t>
  </si>
  <si>
    <t>Draw 5</t>
  </si>
  <si>
    <t>Draw 6</t>
  </si>
  <si>
    <t>Fee</t>
  </si>
  <si>
    <t>Days</t>
  </si>
  <si>
    <t>Opening 1</t>
  </si>
  <si>
    <t>Opening 2</t>
  </si>
  <si>
    <t>Opening 3</t>
  </si>
  <si>
    <t>Opening 4</t>
  </si>
  <si>
    <t>Opening 5</t>
  </si>
  <si>
    <t>Opening 6</t>
  </si>
  <si>
    <t>Interest 1</t>
  </si>
  <si>
    <t>Interest 2</t>
  </si>
  <si>
    <t>Interest 3</t>
  </si>
  <si>
    <t>Interest 4</t>
  </si>
  <si>
    <t>Interest 5</t>
  </si>
  <si>
    <t>Interest 6</t>
  </si>
  <si>
    <t>Closing 1</t>
  </si>
  <si>
    <t>Closing 2</t>
  </si>
  <si>
    <t>Closing 3</t>
  </si>
  <si>
    <t>Closing 4</t>
  </si>
  <si>
    <t>Closing 5</t>
  </si>
  <si>
    <t>Closing 6</t>
  </si>
  <si>
    <t>Fee share 1</t>
  </si>
  <si>
    <t>Fee share 2</t>
  </si>
  <si>
    <t>Fee share 3</t>
  </si>
  <si>
    <t>Fee share 4</t>
  </si>
  <si>
    <t>Fee share 5</t>
  </si>
  <si>
    <t>Fee share 6</t>
  </si>
  <si>
    <t>Repayment share 1</t>
  </si>
  <si>
    <t>Repayment share 2</t>
  </si>
  <si>
    <t>Repayment share 3</t>
  </si>
  <si>
    <t>Repayment share 4</t>
  </si>
  <si>
    <t>Repayment share 5</t>
  </si>
  <si>
    <t>Repayment share 6</t>
  </si>
  <si>
    <t>Unapplied cash</t>
  </si>
  <si>
    <t>Adjustment 1</t>
  </si>
  <si>
    <t>Adjustment 2</t>
  </si>
  <si>
    <t>Adjustment 3</t>
  </si>
  <si>
    <t>Adjustment 4</t>
  </si>
  <si>
    <t>Adjustment 5</t>
  </si>
  <si>
    <t>Adjustment 6</t>
  </si>
  <si>
    <t>Gross cash rent</t>
  </si>
  <si>
    <t>GST assessed on rent</t>
  </si>
  <si>
    <t>Opening funds held by agent</t>
  </si>
  <si>
    <t>Closing funds held by agent</t>
  </si>
  <si>
    <t>Other net cash receipts</t>
  </si>
  <si>
    <t>GST cash paid / (refund)</t>
  </si>
  <si>
    <t>Net operating result</t>
  </si>
  <si>
    <t>Cash before income tax</t>
  </si>
  <si>
    <t>Ownership share status</t>
  </si>
  <si>
    <t>Expense</t>
  </si>
  <si>
    <t>Cash paid</t>
  </si>
  <si>
    <t>Capital portion</t>
  </si>
  <si>
    <t>Operating GST credit</t>
  </si>
  <si>
    <t>Operating cost</t>
  </si>
  <si>
    <t>Agent costs</t>
  </si>
  <si>
    <t>Capital portions include their GST.</t>
  </si>
  <si>
    <t>Repairs</t>
  </si>
  <si>
    <t>Column E: GST credits on operating costs only.</t>
  </si>
  <si>
    <t>Other costs</t>
  </si>
  <si>
    <t>Expense 4</t>
  </si>
  <si>
    <t>The result excludes depreciation and tax adjustments.</t>
  </si>
  <si>
    <t>Expense 5</t>
  </si>
  <si>
    <t>Supply the GST and expense treatment.</t>
  </si>
  <si>
    <t>Expense 6</t>
  </si>
  <si>
    <t>Expense 7</t>
  </si>
  <si>
    <t>Principal affects cash only.</t>
  </si>
  <si>
    <t>Expense 8</t>
  </si>
  <si>
    <t>Funds held bridge cash; they are not an expense.</t>
  </si>
  <si>
    <t>Expense 9</t>
  </si>
  <si>
    <t>Expense 10</t>
  </si>
  <si>
    <t>GST settlements affect cash, not operating profit.</t>
  </si>
  <si>
    <t>Expense 11</t>
  </si>
  <si>
    <t>Expense 12</t>
  </si>
  <si>
    <t>Loan</t>
  </si>
  <si>
    <t>Interest cash paid</t>
  </si>
  <si>
    <t>Principal cash paid</t>
  </si>
  <si>
    <t>Loan 1</t>
  </si>
  <si>
    <t>Loan 2</t>
  </si>
  <si>
    <t>Loan 3</t>
  </si>
  <si>
    <t>Owner</t>
  </si>
  <si>
    <t>Ownership share</t>
  </si>
  <si>
    <t>Operating allocation</t>
  </si>
  <si>
    <t>Cash allocation</t>
  </si>
  <si>
    <t>Example owner 1</t>
  </si>
  <si>
    <t>Example owner 2</t>
  </si>
  <si>
    <t>Cash salary before packaging</t>
  </si>
  <si>
    <t>Supply assessed tax and total on-costs for each arrangement. No tax or FBT rates are inferred.</t>
  </si>
  <si>
    <t>Assessed tax before packaging</t>
  </si>
  <si>
    <t>Employer on-costs before</t>
  </si>
  <si>
    <t>Employer benefit costs must use one consistent GST basis.</t>
  </si>
  <si>
    <t>Assessed tax after packaging</t>
  </si>
  <si>
    <t>Employer on-costs after</t>
  </si>
  <si>
    <t>Post-tax employee contributions are cash received by the employer.</t>
  </si>
  <si>
    <t>Review date</t>
  </si>
  <si>
    <t>Employee cash before</t>
  </si>
  <si>
    <t>Employee cash after</t>
  </si>
  <si>
    <t>Employer cost before</t>
  </si>
  <si>
    <t>Employer cost after</t>
  </si>
  <si>
    <t>Benefit</t>
  </si>
  <si>
    <t>Employer cash cost</t>
  </si>
  <si>
    <t>Pre-tax salary reduction</t>
  </si>
  <si>
    <t>Post-tax contribution</t>
  </si>
  <si>
    <t>Example lease</t>
  </si>
  <si>
    <t>Benefit 2</t>
  </si>
  <si>
    <t>Benefit 3</t>
  </si>
  <si>
    <t>Benefit 4</t>
  </si>
  <si>
    <t>Benefit 5</t>
  </si>
  <si>
    <t>Commencement</t>
  </si>
  <si>
    <t>Cessation</t>
  </si>
  <si>
    <t>Days remaining</t>
  </si>
  <si>
    <t>Timing reminder</t>
  </si>
  <si>
    <t>Supplied dates create diary reminders only. Annual amounts above are not automatically prorated.</t>
  </si>
  <si>
    <t>First annual period</t>
  </si>
  <si>
    <t>Supply the life, first-period fraction in V and any early write-off year. A partial first period extends recovery into a final period.</t>
  </si>
  <si>
    <t>Cost cohort</t>
  </si>
  <si>
    <t>Cost</t>
  </si>
  <si>
    <t>Residual</t>
  </si>
  <si>
    <t>Life in years</t>
  </si>
  <si>
    <t>First period</t>
  </si>
  <si>
    <t>Early write-off year</t>
  </si>
  <si>
    <t>Allocated in horizon</t>
  </si>
  <si>
    <t>Closing book value</t>
  </si>
  <si>
    <t>First period fraction</t>
  </si>
  <si>
    <t>Example cohort 1</t>
  </si>
  <si>
    <t>Example cohort 2</t>
  </si>
  <si>
    <t>Example cohort 3</t>
  </si>
  <si>
    <t>Example cohort 4</t>
  </si>
  <si>
    <t>Example cohort 5</t>
  </si>
  <si>
    <t>Example cohort 6</t>
  </si>
  <si>
    <t>Example cohort 7</t>
  </si>
  <si>
    <t>Example cohort 8</t>
  </si>
  <si>
    <t>Example cohort 9</t>
  </si>
  <si>
    <t>Example cohort 10</t>
  </si>
  <si>
    <t>Example cohort 11</t>
  </si>
  <si>
    <t>Reporting window start</t>
  </si>
  <si>
    <t>Reporting window end</t>
  </si>
  <si>
    <t>Interval</t>
  </si>
  <si>
    <t>Start</t>
  </si>
  <si>
    <t>End</t>
  </si>
  <si>
    <t>Inclusive days</t>
  </si>
  <si>
    <t>Days in window</t>
  </si>
  <si>
    <t>Purpose / note</t>
  </si>
  <si>
    <t>Evidence</t>
  </si>
  <si>
    <t>Example occupation</t>
  </si>
  <si>
    <t>Example rental</t>
  </si>
  <si>
    <t>Intervals and overlap use inclusive calendar days. Overlapping intervals are not automatically combined.</t>
  </si>
  <si>
    <t>No residence exemption, CGT choice, estate obligation or statutory deadline is determined.</t>
  </si>
  <si>
    <t>Trust</t>
  </si>
  <si>
    <t>Deed held</t>
  </si>
  <si>
    <t>Signed</t>
  </si>
  <si>
    <t>Stamped</t>
  </si>
  <si>
    <t>Trustee</t>
  </si>
  <si>
    <t>Appointor</t>
  </si>
  <si>
    <t>Vesting date</t>
  </si>
  <si>
    <t>Vesting review</t>
  </si>
  <si>
    <t>FTE record</t>
  </si>
  <si>
    <t>IEE record</t>
  </si>
  <si>
    <t>NSW amendment record</t>
  </si>
  <si>
    <t>Example trust</t>
  </si>
  <si>
    <t>The five-year flag is a diary prompt. The deed and relevant law determine vesting and amendment requirements.</t>
  </si>
  <si>
    <t>Eligibility supplied by reviewer</t>
  </si>
  <si>
    <t>Yes</t>
  </si>
  <si>
    <t>Current annual capacity</t>
  </si>
  <si>
    <t>Already used this year</t>
  </si>
  <si>
    <t>Proposed additional use</t>
  </si>
  <si>
    <t>Current period label</t>
  </si>
  <si>
    <t>Current capacity left</t>
  </si>
  <si>
    <t>Current capacity applied</t>
  </si>
  <si>
    <t>Proposal above all capacity</t>
  </si>
  <si>
    <t>Origin period</t>
  </si>
  <si>
    <t>Last usable period</t>
  </si>
  <si>
    <t>Remaining bucket</t>
  </si>
  <si>
    <t>Available now</t>
  </si>
  <si>
    <t>Applied to proposal</t>
  </si>
  <si>
    <t>Usable after</t>
  </si>
  <si>
    <t>Enter remaining buckets after all earlier use. Rows must be oldest first, with nondecreasing expiry.</t>
  </si>
  <si>
    <t>Examples are arbitrary capacity figures. This sheet does not determine super eligibility, caps or deductibility.</t>
  </si>
  <si>
    <t>Annual rate shock</t>
  </si>
  <si>
    <t>Nominal annual rates, monthly compounding, end-of-month payments. Fees are paid in cash.</t>
  </si>
  <si>
    <t>Compare offers with the same principal and term. Total outlay includes regular payments, balloon and fees.</t>
  </si>
  <si>
    <t>Offer</t>
  </si>
  <si>
    <t>Principal</t>
  </si>
  <si>
    <t>Months</t>
  </si>
  <si>
    <t>Final balloon</t>
  </si>
  <si>
    <t>Upfront fee</t>
  </si>
  <si>
    <t>Monthly fee</t>
  </si>
  <si>
    <t>Loan payment</t>
  </si>
  <si>
    <t>Total interest</t>
  </si>
  <si>
    <t>Total fees</t>
  </si>
  <si>
    <t>Total outlay</t>
  </si>
  <si>
    <t>Stressed payment</t>
  </si>
  <si>
    <t>Loan payment excludes fees; stressed payment includes the monthly fee. Fixed-rate assumptions do not forecast a lender.</t>
  </si>
  <si>
    <t>No extra payments, rate resets, offset account, break costs or borrowing-capacity decision.</t>
  </si>
  <si>
    <t>Fixed costs per period</t>
  </si>
  <si>
    <t>One common period for costs, volume, capacity and target profit.</t>
  </si>
  <si>
    <t>Selling price per unit</t>
  </si>
  <si>
    <t>Variable cost per unit</t>
  </si>
  <si>
    <t>Price and variable cost are constant. Supply amounts on a consistent GST basis.</t>
  </si>
  <si>
    <t>Expected units sold</t>
  </si>
  <si>
    <t>Target profit per period</t>
  </si>
  <si>
    <t>Whole break-even/target units round upwards; other stored values remain unrounded.</t>
  </si>
  <si>
    <t>Maximum units per period</t>
  </si>
  <si>
    <t>Losses and capacity shortfalls remain visible. This model excludes financing and income tax.</t>
  </si>
  <si>
    <t>Contribution per unit</t>
  </si>
  <si>
    <t>Break-even units</t>
  </si>
  <si>
    <t>Units for target profit</t>
  </si>
  <si>
    <t>Expected profit</t>
  </si>
  <si>
    <t>Units above break even</t>
  </si>
  <si>
    <t>Target capacity status</t>
  </si>
  <si>
    <t>Price for target at capacity</t>
  </si>
  <si>
    <t>Credit sales for period</t>
  </si>
  <si>
    <t>Cost of sales for period</t>
  </si>
  <si>
    <t>Credit purchases for period</t>
  </si>
  <si>
    <t>Days in reporting period</t>
  </si>
  <si>
    <t>Cash released / (invested)</t>
  </si>
  <si>
    <t>Balance</t>
  </si>
  <si>
    <t>Current days</t>
  </si>
  <si>
    <t>Target days</t>
  </si>
  <si>
    <t>Current balance</t>
  </si>
  <si>
    <t>Target balance</t>
  </si>
  <si>
    <t>Cash released</t>
  </si>
  <si>
    <t>Receivables</t>
  </si>
  <si>
    <t>Inventory</t>
  </si>
  <si>
    <t>Payables</t>
  </si>
  <si>
    <t>Use credit sales for receivables, cost of sales for inventory and credit purchases for payables.</t>
  </si>
  <si>
    <t>Keep balance and flow valuations consistent, including GST. Amounts are steady-state estimates, not a dated cash forecast.</t>
  </si>
  <si>
    <t>Negative cash release means more cash is tied up. Supplier terms and feasible targets require business review.</t>
  </si>
  <si>
    <t>Progress is approved by the reviewer. It is not a revenue-recognition or tax decision.</t>
  </si>
  <si>
    <t>Forecast project profit</t>
  </si>
  <si>
    <t>Unbilled modelled revenue</t>
  </si>
  <si>
    <t>Costs include the allocated overheads from Allocation. Use one consistent GST basis.</t>
  </si>
  <si>
    <t>Billings in advance</t>
  </si>
  <si>
    <t>Outstanding billings</t>
  </si>
  <si>
    <t>Project</t>
  </si>
  <si>
    <t>Contract amount</t>
  </si>
  <si>
    <t>Costs to date</t>
  </si>
  <si>
    <t>Remaining costs</t>
  </si>
  <si>
    <t>Approved progress</t>
  </si>
  <si>
    <t>Prior modelled revenue</t>
  </si>
  <si>
    <t>Billings to date</t>
  </si>
  <si>
    <t>Cash collected</t>
  </si>
  <si>
    <t>Forecast cost</t>
  </si>
  <si>
    <t>Forecast profit</t>
  </si>
  <si>
    <t>Modelled revenue</t>
  </si>
  <si>
    <t>Current revenue</t>
  </si>
  <si>
    <t>Unbilled revenue</t>
  </si>
  <si>
    <t>Debtors</t>
  </si>
  <si>
    <t>Example project</t>
  </si>
  <si>
    <t>A revised approved progress can produce negative current revenue. Forecast losses are preserved.</t>
  </si>
  <si>
    <t>Super cost / cash award</t>
  </si>
  <si>
    <t>Award = target cash × capped score, only when the supplied threshold is reached.</t>
  </si>
  <si>
    <t>Payroll cost / award + super</t>
  </si>
  <si>
    <t>Scores, thresholds and caps are ratios. The independent rule here does not reproduce the private vendor rule.</t>
  </si>
  <si>
    <t>Award inputs</t>
  </si>
  <si>
    <t>Total employer cost</t>
  </si>
  <si>
    <t>Cost rates</t>
  </si>
  <si>
    <t>Total net awards</t>
  </si>
  <si>
    <t>Person</t>
  </si>
  <si>
    <t>Target cash award</t>
  </si>
  <si>
    <t>Achievement score</t>
  </si>
  <si>
    <t>Minimum score</t>
  </si>
  <si>
    <t>Maximum paid score</t>
  </si>
  <si>
    <t>Cash award</t>
  </si>
  <si>
    <t>Employer on-costs</t>
  </si>
  <si>
    <t>Employer total</t>
  </si>
  <si>
    <t>Net cash</t>
  </si>
  <si>
    <t>Example employee</t>
  </si>
  <si>
    <t>Individual awards do not redistribute a fixed pool. Use Allocation when total spending must equal one budget.</t>
  </si>
  <si>
    <t>Book values, depreciation and GST are supplied amounts. No tax balancing adjustment is calculated.</t>
  </si>
  <si>
    <t>Book profit / (loss)</t>
  </si>
  <si>
    <t>Cash before GST settlement</t>
  </si>
  <si>
    <t>Cash after GST assumes all entered GST is settled in this modelling period.</t>
  </si>
  <si>
    <t>Supplied net GST / (credit)</t>
  </si>
  <si>
    <t>Cash after supplied GST</t>
  </si>
  <si>
    <t>Asset</t>
  </si>
  <si>
    <t>Opening book value</t>
  </si>
  <si>
    <t>Depreciation to sale</t>
  </si>
  <si>
    <t>Gross sale proceeds</t>
  </si>
  <si>
    <t>Sale GST assessed</t>
  </si>
  <si>
    <t>Disposal cash costs</t>
  </si>
  <si>
    <t>Disposal GST credit</t>
  </si>
  <si>
    <t>Replacement cash cost</t>
  </si>
  <si>
    <t>Replacement GST credit</t>
  </si>
  <si>
    <t>Book value at disposal</t>
  </si>
  <si>
    <t>Cash before GST</t>
  </si>
  <si>
    <t>Net GST / (credit)</t>
  </si>
  <si>
    <t>Cash after GST</t>
  </si>
  <si>
    <t>Example asset</t>
  </si>
  <si>
    <t>Enter approved entitlements and assessed withholding/super. No award, ETP cap, tax label or legal entitlement is inferred.</t>
  </si>
  <si>
    <t>Total approved gross pay</t>
  </si>
  <si>
    <t>Total net pay</t>
  </si>
  <si>
    <t>Employee</t>
  </si>
  <si>
    <t>Annual leave hours</t>
  </si>
  <si>
    <t>Annual leave rate</t>
  </si>
  <si>
    <t>Leave loading ratio</t>
  </si>
  <si>
    <t>Other leave hours</t>
  </si>
  <si>
    <t>Other leave rate</t>
  </si>
  <si>
    <t>Notice weeks</t>
  </si>
  <si>
    <t>Weekly notice pay</t>
  </si>
  <si>
    <t>Approved redundancy</t>
  </si>
  <si>
    <t>Other gross payments</t>
  </si>
  <si>
    <t>Employer super</t>
  </si>
  <si>
    <t>Annual leave pay</t>
  </si>
  <si>
    <t>Other leave pay</t>
  </si>
  <si>
    <t>Notice pay</t>
  </si>
  <si>
    <t>Gross pay</t>
  </si>
  <si>
    <t>Net pay</t>
  </si>
  <si>
    <t>Employer cost</t>
  </si>
  <si>
    <t>Positive balances are liabilities. Negative balances are credits. Payments include cash instalments.</t>
  </si>
  <si>
    <t>Total payable balances</t>
  </si>
  <si>
    <t>Total refund balances</t>
  </si>
  <si>
    <t>Assessed tax and signed adjustments are supplied. Balances are not legally offset between entities.</t>
  </si>
  <si>
    <t>Net closing liability</t>
  </si>
  <si>
    <t>Entity / account</t>
  </si>
  <si>
    <t>Opening liability / (credit)</t>
  </si>
  <si>
    <t>Assessed tax expense</t>
  </si>
  <si>
    <t>Signed adjustments</t>
  </si>
  <si>
    <t>Cash payments</t>
  </si>
  <si>
    <t>Cash refunds</t>
  </si>
  <si>
    <t>Noncash credits</t>
  </si>
  <si>
    <t>Closing liability / (credit)</t>
  </si>
  <si>
    <t>Payable</t>
  </si>
  <si>
    <t>Refund balance</t>
  </si>
  <si>
    <t>Example entity</t>
  </si>
  <si>
    <t>Cash refunds consume credit balances. Due dates can be recorded in Action register. No tax rate or distribution is optimised.</t>
  </si>
  <si>
    <t>Opening investment value</t>
  </si>
  <si>
    <t>Growth changes value. Distributions are separate cash income. Capital flows and debt payments occur at year end.</t>
  </si>
  <si>
    <t>First period label</t>
  </si>
  <si>
    <t>Supply assessed tax (negative for refunds). No unit-trust, super, franking or deductibility rules are inferred.</t>
  </si>
  <si>
    <t>Ending net equity</t>
  </si>
  <si>
    <t>Total net cash flow</t>
  </si>
  <si>
    <t>Cash plus equity return</t>
  </si>
  <si>
    <t>Period</t>
  </si>
  <si>
    <t>Opening investment</t>
  </si>
  <si>
    <t>Capital growth ratio</t>
  </si>
  <si>
    <t>Cash distributions</t>
  </si>
  <si>
    <t>Capital withdrawals</t>
  </si>
  <si>
    <t>Capital additions</t>
  </si>
  <si>
    <t>Closing investment</t>
  </si>
  <si>
    <t>Interest ratio</t>
  </si>
  <si>
    <t>Interest cost</t>
  </si>
  <si>
    <t>Principal paid</t>
  </si>
  <si>
    <t>New borrowing</t>
  </si>
  <si>
    <t>Assessed tax / (refund)</t>
  </si>
  <si>
    <t>Net cash flow</t>
  </si>
  <si>
    <t>Net equity</t>
  </si>
  <si>
    <t>Net return is undiscounted cash plus ending equity less opening equity. It is not an annualised return or an investment recommendation.</t>
  </si>
  <si>
    <t>Record reviewer-selected AML, corporate, SMSF, packaging or other actions. All legal scope and due dates are supplied.</t>
  </si>
  <si>
    <t>Reminder window in days</t>
  </si>
  <si>
    <t>Recorded complete requires an owner, completion date and evidence. It is an administrative status, not a legal conclusion.</t>
  </si>
  <si>
    <t>Open actions</t>
  </si>
  <si>
    <t>Overdue actions</t>
  </si>
  <si>
    <t>Due soon</t>
  </si>
  <si>
    <t>Action ID</t>
  </si>
  <si>
    <t>Workflow</t>
  </si>
  <si>
    <t>Action</t>
  </si>
  <si>
    <t>Due date</t>
  </si>
  <si>
    <t>Complete: Yes / No</t>
  </si>
  <si>
    <t>Completed date</t>
  </si>
  <si>
    <t>Evidence / reference</t>
  </si>
  <si>
    <t>Action status</t>
  </si>
  <si>
    <t>Days overdue</t>
  </si>
  <si>
    <t>EXAMPLE-01</t>
  </si>
  <si>
    <t>Other</t>
  </si>
  <si>
    <t>Confirm supplied scope</t>
  </si>
  <si>
    <t>Example reviewer</t>
  </si>
  <si>
    <t>No</t>
  </si>
  <si>
    <t>Type 1 gross-up multiplier</t>
  </si>
  <si>
    <t>Enter final taxable values after reviewer classification and adjustments. No exemptions, rebates or reportability decisions are made.</t>
  </si>
  <si>
    <t>Type 2 gross-up multiplier</t>
  </si>
  <si>
    <t>FBT rate</t>
  </si>
  <si>
    <t>Illustrative rates checked 19 Oct 2026. Confirm the applicable period and employer treatment.</t>
  </si>
  <si>
    <t>Rate inputs</t>
  </si>
  <si>
    <t>Benefit inputs</t>
  </si>
  <si>
    <t>Modelled FBT</t>
  </si>
  <si>
    <t>Benefit / employee</t>
  </si>
  <si>
    <t>Final type 1 taxable value</t>
  </si>
  <si>
    <t>Final type 2 taxable value</t>
  </si>
  <si>
    <t>Type 1 grossed up</t>
  </si>
  <si>
    <t>Type 2 grossed up</t>
  </si>
  <si>
    <t>Grossed-up total</t>
  </si>
  <si>
    <t>Example benefits</t>
  </si>
  <si>
    <t>Source: ATO, Calculating your FBT, basic business/government gross-up steps.</t>
  </si>
  <si>
    <t>https://www.ato.gov.au/businesses-and-organisations/hiring-and-paying-your-workers/fringe-benefits-tax/calculating-your-fbt</t>
  </si>
  <si>
    <t>No statutory rates are selected automatically. No whole-dollar return rounding is applied.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</si>
</sst>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;&quot;-&quot;"/>
    <numFmt numFmtId="165" formatCode="0.0%;\(0.0%\);&quot;-&quot;"/>
    <numFmt numFmtId="166" formatCode="d\-mmm\-yyyy"/>
    <numFmt numFmtId="167" formatCode="0.0000"/>
  </numFmts>
  <fonts count="9" x14ac:knownFonts="1">
    <font>
      <sz val="11"/>
      <name val="Carlito"/>
    </font>
    <font>
      <sz val="10"/>
      <color rgb="FF000000"/>
      <name val="Arial"/>
    </font>
    <font>
      <b/>
      <sz val="15"/>
      <color rgb="FF66023C"/>
      <name val="Arial"/>
    </font>
    <font>
      <i/>
      <sz val="10"/>
      <color rgb="FF000000"/>
      <name val="Arial"/>
    </font>
    <font>
      <b/>
      <sz val="10"/>
      <color rgb="FFFFFFF0"/>
      <name val="Arial"/>
    </font>
    <font>
      <sz val="10"/>
      <color rgb="FF2455A4"/>
      <name val="Arial"/>
    </font>
    <font>
      <b/>
      <sz val="10"/>
      <color rgb="FF000000"/>
      <name val="Arial"/>
    </font>
    <font>
      <u/>
      <sz val="11"/>
      <color theme="10"/>
      <name val="Carlito"/>
    </font>
    <font>
      <u/>
      <sz val="11"/>
      <color rgb="FF66023C"/>
      <name val="Carlito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66023C"/>
      </patternFill>
    </fill>
    <fill>
      <patternFill patternType="solid">
        <fgColor rgb="FFE5E4E2"/>
      </patternFill>
    </fill>
    <fill>
      <patternFill patternType="solid">
        <fgColor rgb="FFE8D9E2"/>
      </patternFill>
    </fill>
  </fills>
  <borders count="2">
    <border>
      <left/>
      <right/>
      <top/>
      <bottom/>
      <diagonal/>
    </border>
    <border>
      <left/>
      <right/>
      <top/>
      <bottom style="thin">
        <color rgb="FF66023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164" fontId="5" fillId="4" borderId="0" xfId="0" applyNumberFormat="1" applyFont="1" applyFill="1" applyAlignment="1">
      <alignment vertical="center"/>
    </xf>
    <xf numFmtId="165" fontId="5" fillId="4" borderId="0" xfId="0" applyNumberFormat="1" applyFont="1" applyFill="1" applyAlignment="1">
      <alignment vertical="center"/>
    </xf>
    <xf numFmtId="1" fontId="5" fillId="4" borderId="0" xfId="0" applyNumberFormat="1" applyFont="1" applyFill="1" applyAlignment="1">
      <alignment vertical="center"/>
    </xf>
    <xf numFmtId="2" fontId="5" fillId="4" borderId="0" xfId="0" applyNumberFormat="1" applyFont="1" applyFill="1" applyAlignment="1">
      <alignment vertical="center"/>
    </xf>
    <xf numFmtId="0" fontId="6" fillId="5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4" fontId="6" fillId="5" borderId="0" xfId="0" applyNumberFormat="1" applyFont="1" applyFill="1" applyAlignment="1">
      <alignment vertical="center"/>
    </xf>
    <xf numFmtId="49" fontId="5" fillId="4" borderId="0" xfId="0" applyNumberFormat="1" applyFont="1" applyFill="1" applyAlignment="1">
      <alignment vertical="center"/>
    </xf>
    <xf numFmtId="49" fontId="6" fillId="5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6" fontId="5" fillId="4" borderId="0" xfId="0" applyNumberFormat="1" applyFont="1" applyFill="1" applyAlignment="1">
      <alignment vertical="center"/>
    </xf>
    <xf numFmtId="1" fontId="1" fillId="2" borderId="0" xfId="0" applyNumberFormat="1" applyFont="1" applyFill="1" applyAlignment="1">
      <alignment vertical="center"/>
    </xf>
    <xf numFmtId="17" fontId="4" fillId="3" borderId="0" xfId="0" applyNumberFormat="1" applyFont="1" applyFill="1" applyAlignment="1">
      <alignment horizontal="center" vertical="center" wrapText="1"/>
    </xf>
    <xf numFmtId="1" fontId="6" fillId="5" borderId="0" xfId="0" applyNumberFormat="1" applyFont="1" applyFill="1" applyAlignment="1">
      <alignment vertical="center"/>
    </xf>
    <xf numFmtId="2" fontId="6" fillId="5" borderId="0" xfId="0" applyNumberFormat="1" applyFont="1" applyFill="1" applyAlignment="1">
      <alignment vertical="center"/>
    </xf>
    <xf numFmtId="49" fontId="5" fillId="4" borderId="0" xfId="0" applyNumberFormat="1" applyFont="1" applyFill="1" applyAlignment="1">
      <alignment horizontal="center" vertical="center"/>
    </xf>
    <xf numFmtId="167" fontId="5" fillId="4" borderId="0" xfId="0" applyNumberFormat="1" applyFont="1" applyFill="1" applyAlignment="1">
      <alignment vertical="center"/>
    </xf>
    <xf numFmtId="0" fontId="8" fillId="2" borderId="0" xfId="1" applyFont="1" applyFill="1" applyAlignment="1">
      <alignment vertical="center"/>
    </xf>
    <xf numFmtId="0" fontId="8" fillId="0" borderId="0" xfId="1" applyFont="1"/>
  </cellXfs>
  <cellStyles count="2">
    <cellStyle name="Hyperlink" xfId="1" builtinId="8"/>
    <cellStyle name="Normal" xfId="0" builtinId="0"/>
  </cellStyles>
  <dxfs count="37"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0F4B32"/>
      </font>
      <fill>
        <patternFill patternType="solid">
          <bgColor rgb="FFDBE4E0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color rgb="FF66023C"/>
      </font>
      <fill>
        <patternFill patternType="solid">
          <bgColor rgb="FFE8D9E2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  <dxf>
      <font>
        <b/>
        <color rgb="FF990024"/>
      </font>
      <fill>
        <patternFill patternType="solid">
          <bgColor rgb="FFF0D9D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ChatGPT">
  <a:themeElements>
    <a:clrScheme name="Ozzit">
      <a:dk1>
        <a:srgbClr val="000000"/>
      </a:dk1>
      <a:lt1>
        <a:srgbClr val="FFFFFF"/>
      </a:lt1>
      <a:dk2>
        <a:srgbClr val="000000"/>
      </a:dk2>
      <a:lt2>
        <a:srgbClr val="FFFFF0"/>
      </a:lt2>
      <a:accent1>
        <a:srgbClr val="66023C"/>
      </a:accent1>
      <a:accent2>
        <a:srgbClr val="990024"/>
      </a:accent2>
      <a:accent3>
        <a:srgbClr val="0F4B32"/>
      </a:accent3>
      <a:accent4>
        <a:srgbClr val="E5E4E2"/>
      </a:accent4>
      <a:accent5>
        <a:srgbClr val="6E6862"/>
      </a:accent5>
      <a:accent6>
        <a:srgbClr val="DCDAD7"/>
      </a:accent6>
      <a:hlink>
        <a:srgbClr val="66023C"/>
      </a:hlink>
      <a:folHlink>
        <a:srgbClr val="990024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zzi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5E4E2"/>
  </sheetPr>
  <dimension ref="B2:N48"/>
  <sheetViews>
    <sheetView showGridLines="0" tabSelected="1" workbookViewId="0"/>
  </sheetViews>
  <sheetFormatPr defaultRowHeight="15" x14ac:dyDescent="0.25"/>
  <cols>
    <col min="2" max="2" width="30" customWidth="1"/>
    <col min="3" max="3" width="100" customWidth="1"/>
    <col min="4" max="14" width="15" customWidth="1"/>
  </cols>
  <sheetData>
    <row r="2" spans="2:14" ht="21" customHeight="1" x14ac:dyDescent="0.25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21" customHeight="1" x14ac:dyDescent="0.25"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 ht="2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21" customHeight="1" x14ac:dyDescent="0.25">
      <c r="B5" s="1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2:14" ht="21" customHeight="1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2:14" ht="21" customHeight="1" x14ac:dyDescent="0.25">
      <c r="B7" s="1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2:14" ht="21" customHeight="1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2:14" ht="21" customHeight="1" x14ac:dyDescent="0.25">
      <c r="B9" s="1" t="s">
        <v>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 ht="21" customHeight="1" x14ac:dyDescent="0.25">
      <c r="B10" s="1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ht="21" customHeight="1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2:14" ht="21" customHeight="1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2:14" ht="56.1" customHeight="1" x14ac:dyDescent="0.25">
      <c r="B13" s="5" t="s">
        <v>6</v>
      </c>
      <c r="C13" s="5" t="s">
        <v>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2:14" ht="21" customHeight="1" x14ac:dyDescent="0.25">
      <c r="B14" s="23" t="s">
        <v>8</v>
      </c>
      <c r="C14" s="1" t="s">
        <v>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2:14" ht="21" customHeight="1" x14ac:dyDescent="0.25">
      <c r="B15" s="23" t="s">
        <v>10</v>
      </c>
      <c r="C15" s="1" t="s">
        <v>11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2:14" ht="21" customHeight="1" x14ac:dyDescent="0.25">
      <c r="B16" s="23" t="s">
        <v>12</v>
      </c>
      <c r="C16" s="1" t="s">
        <v>13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ht="21" customHeight="1" x14ac:dyDescent="0.25">
      <c r="B17" s="23" t="s">
        <v>14</v>
      </c>
      <c r="C17" s="1" t="s">
        <v>15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ht="21" customHeight="1" x14ac:dyDescent="0.25">
      <c r="B18" s="23" t="s">
        <v>16</v>
      </c>
      <c r="C18" s="1" t="s">
        <v>17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ht="21" customHeight="1" x14ac:dyDescent="0.25">
      <c r="B19" s="23" t="s">
        <v>18</v>
      </c>
      <c r="C19" s="1" t="s">
        <v>19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 ht="21" customHeight="1" x14ac:dyDescent="0.25">
      <c r="B20" s="23" t="s">
        <v>20</v>
      </c>
      <c r="C20" s="1" t="s">
        <v>21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 ht="21" customHeight="1" x14ac:dyDescent="0.25">
      <c r="B21" s="23" t="s">
        <v>22</v>
      </c>
      <c r="C21" s="1" t="s">
        <v>23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ht="21" customHeight="1" x14ac:dyDescent="0.25">
      <c r="B22" s="23" t="s">
        <v>24</v>
      </c>
      <c r="C22" s="1" t="s">
        <v>25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2:14" ht="21" customHeight="1" x14ac:dyDescent="0.25">
      <c r="B23" s="23" t="s">
        <v>26</v>
      </c>
      <c r="C23" s="1" t="s">
        <v>27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ht="21" customHeight="1" x14ac:dyDescent="0.25">
      <c r="B24" s="23" t="s">
        <v>28</v>
      </c>
      <c r="C24" s="1" t="s">
        <v>29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 ht="21" customHeight="1" x14ac:dyDescent="0.25">
      <c r="B25" s="23" t="s">
        <v>30</v>
      </c>
      <c r="C25" s="1" t="s">
        <v>31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4" ht="21" customHeight="1" x14ac:dyDescent="0.25">
      <c r="B26" s="23" t="s">
        <v>32</v>
      </c>
      <c r="C26" s="1" t="s">
        <v>33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2:14" ht="21" customHeight="1" x14ac:dyDescent="0.25">
      <c r="B27" s="23" t="s">
        <v>34</v>
      </c>
      <c r="C27" s="1" t="s">
        <v>35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2:14" ht="21" customHeight="1" x14ac:dyDescent="0.25">
      <c r="B28" s="23" t="s">
        <v>36</v>
      </c>
      <c r="C28" s="1" t="s">
        <v>37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ht="21" customHeight="1" x14ac:dyDescent="0.25">
      <c r="B29" s="23" t="s">
        <v>38</v>
      </c>
      <c r="C29" s="1" t="s">
        <v>39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2:14" ht="21" customHeight="1" x14ac:dyDescent="0.25">
      <c r="B30" s="23" t="s">
        <v>40</v>
      </c>
      <c r="C30" s="1" t="s">
        <v>41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2:14" ht="21" customHeight="1" x14ac:dyDescent="0.25">
      <c r="B31" s="23" t="s">
        <v>42</v>
      </c>
      <c r="C31" s="1" t="s">
        <v>43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2:14" ht="21" customHeight="1" x14ac:dyDescent="0.25">
      <c r="B32" s="23" t="s">
        <v>44</v>
      </c>
      <c r="C32" s="1" t="s">
        <v>45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ht="21" customHeight="1" x14ac:dyDescent="0.25">
      <c r="B33" s="23" t="s">
        <v>46</v>
      </c>
      <c r="C33" s="1" t="s">
        <v>47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 ht="21" customHeight="1" x14ac:dyDescent="0.25">
      <c r="B34" s="23" t="s">
        <v>48</v>
      </c>
      <c r="C34" s="1" t="s">
        <v>49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ht="21" customHeight="1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2:14" ht="21" customHeight="1" x14ac:dyDescent="0.25">
      <c r="B36" s="2" t="s">
        <v>50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2:14" ht="21" customHeight="1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4" ht="21" customHeight="1" x14ac:dyDescent="0.25">
      <c r="B38" s="2" t="s">
        <v>51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2:14" ht="21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 ht="21" customHeight="1" x14ac:dyDescent="0.25">
      <c r="B40" s="2" t="s">
        <v>52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 ht="21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2:14" ht="21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2:14" ht="21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2:14" ht="21" customHeight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2:14" ht="21" customHeight="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2:14" ht="21" customHeight="1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2:14" ht="21" customHeight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2:14" ht="21" customHeight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</sheetData>
  <hyperlinks>
    <hyperlink ref="B14" location="'Allocation'!B2" display="Allocation" xr:uid="{3FE609D7-8553-4F2E-99A3-3C8EC37128C3}"/>
    <hyperlink ref="B15" location="'Contractor'!B2" display="Contractor" xr:uid="{CAF55CEC-B555-4E71-B29E-FC927A85E1AA}"/>
    <hyperlink ref="B16" location="'Vendor finance'!B2" display="Vendor finance" xr:uid="{CA4E9E5A-F3A5-4DA4-932E-0345D02C00A0}"/>
    <hyperlink ref="B17" location="'Mixed loan'!B2" display="Mixed loan" xr:uid="{A070C0F5-15BC-4E98-AE60-375A4901B89C}"/>
    <hyperlink ref="B18" location="'Rental'!B2" display="Rental" xr:uid="{9D0358A1-5211-4892-8D40-E8DFDB960539}"/>
    <hyperlink ref="B19" location="'Packaging'!B2" display="Packaging" xr:uid="{BB774975-61C5-4D18-9E5E-1217A293AA3B}"/>
    <hyperlink ref="B20" location="'Amortisation'!B2" display="Amortisation" xr:uid="{CF8A7C6C-65DB-4BA5-86C9-2E8086138FBA}"/>
    <hyperlink ref="B21" location="'Timeline'!B2" display="Timeline" xr:uid="{A1530804-50A1-4D01-B0CB-85240E4B8644}"/>
    <hyperlink ref="B22" location="'Deed register'!B2" display="Deed register" xr:uid="{5F809364-0440-49CC-82A4-6615E1F1792D}"/>
    <hyperlink ref="B23" location="'Carry forward'!B2" display="Carry forward" xr:uid="{6A55D44C-5BA7-4958-BD24-A805D485AB45}"/>
    <hyperlink ref="B24" location="'Loan offers'!B2" display="Loan offers" xr:uid="{0D13FAFC-8891-48CF-A1C8-8E4175F3EFA3}"/>
    <hyperlink ref="B25" location="'Break even'!B2" display="Break even" xr:uid="{6748D6C6-8451-4E72-97E0-68A10B3C4040}"/>
    <hyperlink ref="B26" location="'Working capital'!B2" display="Working capital" xr:uid="{E420C37A-7CA0-4A7E-832B-AE567A6DC078}"/>
    <hyperlink ref="B27" location="'Construction WIP'!B2" display="Construction WIP" xr:uid="{3F837D17-0EE6-460E-8427-E45BC9ACE8C0}"/>
    <hyperlink ref="B28" location="'KPI awards'!B2" display="KPI awards" xr:uid="{86603040-F2FF-40E0-BA6D-EE683E42F5A0}"/>
    <hyperlink ref="B29" location="'Asset disposal'!B2" display="Asset disposal" xr:uid="{BC424518-E52A-4689-A70E-83C87981E4AD}"/>
    <hyperlink ref="B30" location="'Exit pay'!B2" display="Exit pay" xr:uid="{D26C7F8F-6153-4613-883B-6B6E6F836279}"/>
    <hyperlink ref="B31" location="'Tax cash'!B2" display="Tax cash" xr:uid="{12E3FE37-8EA9-48FF-862E-5858C6C81C6E}"/>
    <hyperlink ref="B32" location="'Investment'!B2" display="Investment" xr:uid="{C8E998DC-18F6-48D9-81C5-12859AFE206B}"/>
    <hyperlink ref="B33" location="'Action register'!B2" display="Action register" xr:uid="{E457A552-3DBD-4F78-B64E-8D0C99421EE9}"/>
    <hyperlink ref="B34" location="'Benefit totals'!B2" display="Benefit totals" xr:uid="{719A1D23-747D-45C4-A685-2EC41AD9D20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6023C"/>
  </sheetPr>
  <dimension ref="B1:T48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C14" sqref="C14"/>
    </sheetView>
  </sheetViews>
  <sheetFormatPr defaultRowHeight="15" x14ac:dyDescent="0.25"/>
  <cols>
    <col min="2" max="2" width="30" customWidth="1"/>
    <col min="3" max="20" width="15" customWidth="1"/>
  </cols>
  <sheetData>
    <row r="1" spans="2:20" x14ac:dyDescent="0.25">
      <c r="B1" s="24" t="s">
        <v>53</v>
      </c>
    </row>
    <row r="2" spans="2:20" ht="21" customHeight="1" x14ac:dyDescent="0.25">
      <c r="B2" s="3" t="s">
        <v>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21" customHeight="1" x14ac:dyDescent="0.25"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2:20" ht="2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2:20" ht="56.1" customHeight="1" x14ac:dyDescent="0.25">
      <c r="B5" s="1" t="s">
        <v>54</v>
      </c>
      <c r="C5" s="1"/>
      <c r="D5" s="6">
        <v>12000</v>
      </c>
      <c r="E5" s="1"/>
      <c r="F5" s="1"/>
      <c r="G5" s="1"/>
      <c r="H5" s="1"/>
      <c r="I5" s="1"/>
      <c r="J5" s="5" t="s">
        <v>55</v>
      </c>
      <c r="K5" s="5" t="s">
        <v>56</v>
      </c>
      <c r="L5" s="5" t="s">
        <v>57</v>
      </c>
      <c r="M5" s="5" t="s">
        <v>58</v>
      </c>
      <c r="N5" s="5" t="s">
        <v>59</v>
      </c>
      <c r="O5" s="5" t="s">
        <v>60</v>
      </c>
      <c r="P5" s="5" t="s">
        <v>61</v>
      </c>
      <c r="Q5" s="5" t="s">
        <v>62</v>
      </c>
      <c r="R5" s="1"/>
      <c r="S5" s="1"/>
      <c r="T5" s="1"/>
    </row>
    <row r="6" spans="2:20" ht="21" customHeight="1" x14ac:dyDescent="0.25">
      <c r="B6" s="1" t="s">
        <v>63</v>
      </c>
      <c r="C6" s="1"/>
      <c r="D6" s="7">
        <v>0.12</v>
      </c>
      <c r="E6" s="1"/>
      <c r="F6" s="1"/>
      <c r="G6" s="1"/>
      <c r="H6" s="1"/>
      <c r="I6" s="1"/>
      <c r="J6" s="9">
        <v>1</v>
      </c>
      <c r="K6" s="9">
        <v>1</v>
      </c>
      <c r="L6" s="9">
        <v>1</v>
      </c>
      <c r="M6" s="9">
        <v>1</v>
      </c>
      <c r="N6" s="9">
        <v>1</v>
      </c>
      <c r="O6" s="9">
        <v>1</v>
      </c>
      <c r="P6" s="9">
        <v>1</v>
      </c>
      <c r="Q6" s="9">
        <v>1</v>
      </c>
      <c r="R6" s="1"/>
      <c r="S6" s="1"/>
      <c r="T6" s="1"/>
    </row>
    <row r="7" spans="2:20" ht="21" customHeight="1" x14ac:dyDescent="0.25">
      <c r="B7" s="1" t="s">
        <v>64</v>
      </c>
      <c r="C7" s="1"/>
      <c r="D7" s="7">
        <v>0.05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2:20" ht="21" customHeight="1" x14ac:dyDescent="0.25">
      <c r="B8" s="1" t="s">
        <v>65</v>
      </c>
      <c r="C8" s="1"/>
      <c r="D8" s="8">
        <v>3</v>
      </c>
      <c r="E8" s="1"/>
      <c r="F8" s="1"/>
      <c r="G8" s="1"/>
      <c r="H8" s="1"/>
      <c r="I8" s="1"/>
      <c r="J8" s="2" t="s">
        <v>66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2:20" ht="21" customHeight="1" x14ac:dyDescent="0.25">
      <c r="B9" s="10" t="s">
        <v>67</v>
      </c>
      <c r="C9" s="10"/>
      <c r="D9" s="14" t="str">
        <f>IF(AND(COUNT(D5:D8)=4,MIN(D5:D7)&gt;=0,D8=INT(D8),D8&gt;=1,D8&lt;=3,OR(D8&lt;&gt;3,AND(COUNT(J6:Q6)=8,MIN(J6:Q6)&gt;=0)),COUNTA(B14:B33)&gt;0,COUNTIF(T14:T33,"Ready")=COUNTA(B14:B33)),IF(SUM(M14:M33)&gt;0,"Ready","Zero allocation weight"),"Check inputs")</f>
        <v>Ready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2:20" ht="21" customHeight="1" x14ac:dyDescent="0.25">
      <c r="B10" s="10" t="s">
        <v>68</v>
      </c>
      <c r="C10" s="10"/>
      <c r="D10" s="12">
        <f>IF(D9="Ready",D5/((1+D6)*(1+D7)),NA())</f>
        <v>10204.08163265306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2:20" ht="21" customHeight="1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2:20" ht="21" customHeight="1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2:20" ht="56.1" customHeight="1" x14ac:dyDescent="0.25">
      <c r="B13" s="5" t="s">
        <v>69</v>
      </c>
      <c r="C13" s="5" t="s">
        <v>70</v>
      </c>
      <c r="D13" s="5" t="s">
        <v>71</v>
      </c>
      <c r="E13" s="5" t="s">
        <v>72</v>
      </c>
      <c r="F13" s="5" t="s">
        <v>73</v>
      </c>
      <c r="G13" s="5" t="s">
        <v>74</v>
      </c>
      <c r="H13" s="5" t="s">
        <v>75</v>
      </c>
      <c r="I13" s="5" t="s">
        <v>76</v>
      </c>
      <c r="J13" s="5" t="s">
        <v>77</v>
      </c>
      <c r="K13" s="5" t="s">
        <v>78</v>
      </c>
      <c r="L13" s="5" t="s">
        <v>79</v>
      </c>
      <c r="M13" s="5" t="s">
        <v>80</v>
      </c>
      <c r="N13" s="5" t="s">
        <v>81</v>
      </c>
      <c r="O13" s="5" t="s">
        <v>82</v>
      </c>
      <c r="P13" s="5" t="s">
        <v>83</v>
      </c>
      <c r="Q13" s="5" t="s">
        <v>84</v>
      </c>
      <c r="R13" s="5" t="s">
        <v>85</v>
      </c>
      <c r="S13" s="5" t="s">
        <v>86</v>
      </c>
      <c r="T13" s="5" t="s">
        <v>67</v>
      </c>
    </row>
    <row r="14" spans="2:20" ht="21" customHeight="1" x14ac:dyDescent="0.25">
      <c r="B14" s="13" t="s">
        <v>87</v>
      </c>
      <c r="C14" s="6">
        <v>50000</v>
      </c>
      <c r="D14" s="9">
        <v>1</v>
      </c>
      <c r="E14" s="9">
        <v>1</v>
      </c>
      <c r="F14" s="9">
        <v>1</v>
      </c>
      <c r="G14" s="9">
        <v>1</v>
      </c>
      <c r="H14" s="9">
        <v>1</v>
      </c>
      <c r="I14" s="9">
        <v>1</v>
      </c>
      <c r="J14" s="9">
        <v>1</v>
      </c>
      <c r="K14" s="9">
        <v>1</v>
      </c>
      <c r="L14" s="1">
        <f t="shared" ref="L14:L33" si="0">IF(B14="","",IF($D$8=3,IF(T14="Ready",SUMPRODUCT(D14:K14,$J$6:$Q$6),NA()),""))</f>
        <v>8</v>
      </c>
      <c r="M14" s="1">
        <f t="shared" ref="M14:M33" si="1">IF(B14="","",IF(AND(T14="Ready",$D$8&gt;=1,$D$8&lt;=3,$D$8=INT($D$8)),CHOOSE($D$8,1,C14,L14),NA()))</f>
        <v>8</v>
      </c>
      <c r="N14" s="11">
        <f t="shared" ref="N14:N33" si="2">IF(B14="","",IF($D$9="Ready",$D$10*M14/SUM($M$14:$M$33),NA()))</f>
        <v>1700.6802721088434</v>
      </c>
      <c r="O14" s="11">
        <f t="shared" ref="O14:O33" si="3">IF(B14="","",N14*$D$6)</f>
        <v>204.08163265306121</v>
      </c>
      <c r="P14" s="11">
        <f t="shared" ref="P14:P33" si="4">IF(B14="","",(N14+O14)*$D$7)</f>
        <v>95.238095238095241</v>
      </c>
      <c r="Q14" s="11">
        <f t="shared" ref="Q14:Q33" si="5">IF(B14="","",SUM(N14:P14))</f>
        <v>1999.9999999999998</v>
      </c>
      <c r="R14" s="6">
        <v>0</v>
      </c>
      <c r="S14" s="11">
        <f t="shared" ref="S14:S33" si="6">IF(B14="","",IF(R14&lt;=N14,N14-R14,NA()))</f>
        <v>1700.6802721088434</v>
      </c>
      <c r="T14" s="15" t="str">
        <f t="shared" ref="T14:T33" si="7">IF(B14="","",IF(AND(OR($D$8=1,AND($D$8=2,COUNT(C14)=1,C14&gt;=0),AND($D$8=3,COUNT(D14:K14)=8,MIN(D14:K14)&gt;=0)),COUNT(R14)=1,R14&gt;=0,SUMPRODUCT(--($B$14:$B$33=B14))=1),"Ready","Check inputs"))</f>
        <v>Ready</v>
      </c>
    </row>
    <row r="15" spans="2:20" ht="21" customHeight="1" x14ac:dyDescent="0.25">
      <c r="B15" s="13" t="s">
        <v>88</v>
      </c>
      <c r="C15" s="6">
        <v>100000</v>
      </c>
      <c r="D15" s="9">
        <v>2</v>
      </c>
      <c r="E15" s="9">
        <v>2</v>
      </c>
      <c r="F15" s="9">
        <v>2</v>
      </c>
      <c r="G15" s="9">
        <v>2</v>
      </c>
      <c r="H15" s="9">
        <v>2</v>
      </c>
      <c r="I15" s="9">
        <v>2</v>
      </c>
      <c r="J15" s="9">
        <v>2</v>
      </c>
      <c r="K15" s="9">
        <v>2</v>
      </c>
      <c r="L15" s="1">
        <f t="shared" si="0"/>
        <v>16</v>
      </c>
      <c r="M15" s="1">
        <f t="shared" si="1"/>
        <v>16</v>
      </c>
      <c r="N15" s="11">
        <f t="shared" si="2"/>
        <v>3401.3605442176868</v>
      </c>
      <c r="O15" s="11">
        <f t="shared" si="3"/>
        <v>408.16326530612241</v>
      </c>
      <c r="P15" s="11">
        <f t="shared" si="4"/>
        <v>190.47619047619048</v>
      </c>
      <c r="Q15" s="11">
        <f t="shared" si="5"/>
        <v>3999.9999999999995</v>
      </c>
      <c r="R15" s="6">
        <v>0</v>
      </c>
      <c r="S15" s="11">
        <f t="shared" si="6"/>
        <v>3401.3605442176868</v>
      </c>
      <c r="T15" s="15" t="str">
        <f t="shared" si="7"/>
        <v>Ready</v>
      </c>
    </row>
    <row r="16" spans="2:20" ht="21" customHeight="1" x14ac:dyDescent="0.25">
      <c r="B16" s="13" t="s">
        <v>89</v>
      </c>
      <c r="C16" s="6">
        <v>150000</v>
      </c>
      <c r="D16" s="9">
        <v>3</v>
      </c>
      <c r="E16" s="9">
        <v>3</v>
      </c>
      <c r="F16" s="9">
        <v>3</v>
      </c>
      <c r="G16" s="9">
        <v>3</v>
      </c>
      <c r="H16" s="9">
        <v>3</v>
      </c>
      <c r="I16" s="9">
        <v>3</v>
      </c>
      <c r="J16" s="9">
        <v>3</v>
      </c>
      <c r="K16" s="9">
        <v>3</v>
      </c>
      <c r="L16" s="1">
        <f t="shared" si="0"/>
        <v>24</v>
      </c>
      <c r="M16" s="1">
        <f t="shared" si="1"/>
        <v>24</v>
      </c>
      <c r="N16" s="11">
        <f t="shared" si="2"/>
        <v>5102.0408163265301</v>
      </c>
      <c r="O16" s="11">
        <f t="shared" si="3"/>
        <v>612.24489795918362</v>
      </c>
      <c r="P16" s="11">
        <f t="shared" si="4"/>
        <v>285.71428571428572</v>
      </c>
      <c r="Q16" s="11">
        <f t="shared" si="5"/>
        <v>5999.9999999999991</v>
      </c>
      <c r="R16" s="6">
        <v>0</v>
      </c>
      <c r="S16" s="11">
        <f t="shared" si="6"/>
        <v>5102.0408163265301</v>
      </c>
      <c r="T16" s="15" t="str">
        <f t="shared" si="7"/>
        <v>Ready</v>
      </c>
    </row>
    <row r="17" spans="2:20" ht="21" customHeight="1" x14ac:dyDescent="0.25">
      <c r="B17" s="13"/>
      <c r="C17" s="6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1" t="str">
        <f t="shared" si="0"/>
        <v/>
      </c>
      <c r="M17" s="1" t="str">
        <f t="shared" si="1"/>
        <v/>
      </c>
      <c r="N17" s="11" t="str">
        <f t="shared" si="2"/>
        <v/>
      </c>
      <c r="O17" s="11" t="str">
        <f t="shared" si="3"/>
        <v/>
      </c>
      <c r="P17" s="11" t="str">
        <f t="shared" si="4"/>
        <v/>
      </c>
      <c r="Q17" s="11" t="str">
        <f t="shared" si="5"/>
        <v/>
      </c>
      <c r="R17" s="6">
        <v>0</v>
      </c>
      <c r="S17" s="11" t="str">
        <f t="shared" si="6"/>
        <v/>
      </c>
      <c r="T17" s="15" t="str">
        <f t="shared" si="7"/>
        <v/>
      </c>
    </row>
    <row r="18" spans="2:20" ht="21" customHeight="1" x14ac:dyDescent="0.25">
      <c r="B18" s="13"/>
      <c r="C18" s="6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1" t="str">
        <f t="shared" si="0"/>
        <v/>
      </c>
      <c r="M18" s="1" t="str">
        <f t="shared" si="1"/>
        <v/>
      </c>
      <c r="N18" s="11" t="str">
        <f t="shared" si="2"/>
        <v/>
      </c>
      <c r="O18" s="11" t="str">
        <f t="shared" si="3"/>
        <v/>
      </c>
      <c r="P18" s="11" t="str">
        <f t="shared" si="4"/>
        <v/>
      </c>
      <c r="Q18" s="11" t="str">
        <f t="shared" si="5"/>
        <v/>
      </c>
      <c r="R18" s="6">
        <v>0</v>
      </c>
      <c r="S18" s="11" t="str">
        <f t="shared" si="6"/>
        <v/>
      </c>
      <c r="T18" s="15" t="str">
        <f t="shared" si="7"/>
        <v/>
      </c>
    </row>
    <row r="19" spans="2:20" ht="21" customHeight="1" x14ac:dyDescent="0.25">
      <c r="B19" s="13"/>
      <c r="C19" s="6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1" t="str">
        <f t="shared" si="0"/>
        <v/>
      </c>
      <c r="M19" s="1" t="str">
        <f t="shared" si="1"/>
        <v/>
      </c>
      <c r="N19" s="11" t="str">
        <f t="shared" si="2"/>
        <v/>
      </c>
      <c r="O19" s="11" t="str">
        <f t="shared" si="3"/>
        <v/>
      </c>
      <c r="P19" s="11" t="str">
        <f t="shared" si="4"/>
        <v/>
      </c>
      <c r="Q19" s="11" t="str">
        <f t="shared" si="5"/>
        <v/>
      </c>
      <c r="R19" s="6">
        <v>0</v>
      </c>
      <c r="S19" s="11" t="str">
        <f t="shared" si="6"/>
        <v/>
      </c>
      <c r="T19" s="15" t="str">
        <f t="shared" si="7"/>
        <v/>
      </c>
    </row>
    <row r="20" spans="2:20" ht="21" customHeight="1" x14ac:dyDescent="0.25">
      <c r="B20" s="13"/>
      <c r="C20" s="6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1" t="str">
        <f t="shared" si="0"/>
        <v/>
      </c>
      <c r="M20" s="1" t="str">
        <f t="shared" si="1"/>
        <v/>
      </c>
      <c r="N20" s="11" t="str">
        <f t="shared" si="2"/>
        <v/>
      </c>
      <c r="O20" s="11" t="str">
        <f t="shared" si="3"/>
        <v/>
      </c>
      <c r="P20" s="11" t="str">
        <f t="shared" si="4"/>
        <v/>
      </c>
      <c r="Q20" s="11" t="str">
        <f t="shared" si="5"/>
        <v/>
      </c>
      <c r="R20" s="6">
        <v>0</v>
      </c>
      <c r="S20" s="11" t="str">
        <f t="shared" si="6"/>
        <v/>
      </c>
      <c r="T20" s="15" t="str">
        <f t="shared" si="7"/>
        <v/>
      </c>
    </row>
    <row r="21" spans="2:20" ht="21" customHeight="1" x14ac:dyDescent="0.25">
      <c r="B21" s="13"/>
      <c r="C21" s="6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1" t="str">
        <f t="shared" si="0"/>
        <v/>
      </c>
      <c r="M21" s="1" t="str">
        <f t="shared" si="1"/>
        <v/>
      </c>
      <c r="N21" s="11" t="str">
        <f t="shared" si="2"/>
        <v/>
      </c>
      <c r="O21" s="11" t="str">
        <f t="shared" si="3"/>
        <v/>
      </c>
      <c r="P21" s="11" t="str">
        <f t="shared" si="4"/>
        <v/>
      </c>
      <c r="Q21" s="11" t="str">
        <f t="shared" si="5"/>
        <v/>
      </c>
      <c r="R21" s="6">
        <v>0</v>
      </c>
      <c r="S21" s="11" t="str">
        <f t="shared" si="6"/>
        <v/>
      </c>
      <c r="T21" s="15" t="str">
        <f t="shared" si="7"/>
        <v/>
      </c>
    </row>
    <row r="22" spans="2:20" ht="21" customHeight="1" x14ac:dyDescent="0.25">
      <c r="B22" s="13"/>
      <c r="C22" s="6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1" t="str">
        <f t="shared" si="0"/>
        <v/>
      </c>
      <c r="M22" s="1" t="str">
        <f t="shared" si="1"/>
        <v/>
      </c>
      <c r="N22" s="11" t="str">
        <f t="shared" si="2"/>
        <v/>
      </c>
      <c r="O22" s="11" t="str">
        <f t="shared" si="3"/>
        <v/>
      </c>
      <c r="P22" s="11" t="str">
        <f t="shared" si="4"/>
        <v/>
      </c>
      <c r="Q22" s="11" t="str">
        <f t="shared" si="5"/>
        <v/>
      </c>
      <c r="R22" s="6">
        <v>0</v>
      </c>
      <c r="S22" s="11" t="str">
        <f t="shared" si="6"/>
        <v/>
      </c>
      <c r="T22" s="15" t="str">
        <f t="shared" si="7"/>
        <v/>
      </c>
    </row>
    <row r="23" spans="2:20" ht="21" customHeight="1" x14ac:dyDescent="0.25">
      <c r="B23" s="13"/>
      <c r="C23" s="6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1" t="str">
        <f t="shared" si="0"/>
        <v/>
      </c>
      <c r="M23" s="1" t="str">
        <f t="shared" si="1"/>
        <v/>
      </c>
      <c r="N23" s="11" t="str">
        <f t="shared" si="2"/>
        <v/>
      </c>
      <c r="O23" s="11" t="str">
        <f t="shared" si="3"/>
        <v/>
      </c>
      <c r="P23" s="11" t="str">
        <f t="shared" si="4"/>
        <v/>
      </c>
      <c r="Q23" s="11" t="str">
        <f t="shared" si="5"/>
        <v/>
      </c>
      <c r="R23" s="6">
        <v>0</v>
      </c>
      <c r="S23" s="11" t="str">
        <f t="shared" si="6"/>
        <v/>
      </c>
      <c r="T23" s="15" t="str">
        <f t="shared" si="7"/>
        <v/>
      </c>
    </row>
    <row r="24" spans="2:20" ht="21" customHeight="1" x14ac:dyDescent="0.25">
      <c r="B24" s="13"/>
      <c r="C24" s="6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1" t="str">
        <f t="shared" si="0"/>
        <v/>
      </c>
      <c r="M24" s="1" t="str">
        <f t="shared" si="1"/>
        <v/>
      </c>
      <c r="N24" s="11" t="str">
        <f t="shared" si="2"/>
        <v/>
      </c>
      <c r="O24" s="11" t="str">
        <f t="shared" si="3"/>
        <v/>
      </c>
      <c r="P24" s="11" t="str">
        <f t="shared" si="4"/>
        <v/>
      </c>
      <c r="Q24" s="11" t="str">
        <f t="shared" si="5"/>
        <v/>
      </c>
      <c r="R24" s="6">
        <v>0</v>
      </c>
      <c r="S24" s="11" t="str">
        <f t="shared" si="6"/>
        <v/>
      </c>
      <c r="T24" s="15" t="str">
        <f t="shared" si="7"/>
        <v/>
      </c>
    </row>
    <row r="25" spans="2:20" ht="21" customHeight="1" x14ac:dyDescent="0.25">
      <c r="B25" s="13"/>
      <c r="C25" s="6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1" t="str">
        <f t="shared" si="0"/>
        <v/>
      </c>
      <c r="M25" s="1" t="str">
        <f t="shared" si="1"/>
        <v/>
      </c>
      <c r="N25" s="11" t="str">
        <f t="shared" si="2"/>
        <v/>
      </c>
      <c r="O25" s="11" t="str">
        <f t="shared" si="3"/>
        <v/>
      </c>
      <c r="P25" s="11" t="str">
        <f t="shared" si="4"/>
        <v/>
      </c>
      <c r="Q25" s="11" t="str">
        <f t="shared" si="5"/>
        <v/>
      </c>
      <c r="R25" s="6">
        <v>0</v>
      </c>
      <c r="S25" s="11" t="str">
        <f t="shared" si="6"/>
        <v/>
      </c>
      <c r="T25" s="15" t="str">
        <f t="shared" si="7"/>
        <v/>
      </c>
    </row>
    <row r="26" spans="2:20" ht="21" customHeight="1" x14ac:dyDescent="0.25">
      <c r="B26" s="13"/>
      <c r="C26" s="6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1" t="str">
        <f t="shared" si="0"/>
        <v/>
      </c>
      <c r="M26" s="1" t="str">
        <f t="shared" si="1"/>
        <v/>
      </c>
      <c r="N26" s="11" t="str">
        <f t="shared" si="2"/>
        <v/>
      </c>
      <c r="O26" s="11" t="str">
        <f t="shared" si="3"/>
        <v/>
      </c>
      <c r="P26" s="11" t="str">
        <f t="shared" si="4"/>
        <v/>
      </c>
      <c r="Q26" s="11" t="str">
        <f t="shared" si="5"/>
        <v/>
      </c>
      <c r="R26" s="6">
        <v>0</v>
      </c>
      <c r="S26" s="11" t="str">
        <f t="shared" si="6"/>
        <v/>
      </c>
      <c r="T26" s="15" t="str">
        <f t="shared" si="7"/>
        <v/>
      </c>
    </row>
    <row r="27" spans="2:20" ht="21" customHeight="1" x14ac:dyDescent="0.25">
      <c r="B27" s="13"/>
      <c r="C27" s="6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1" t="str">
        <f t="shared" si="0"/>
        <v/>
      </c>
      <c r="M27" s="1" t="str">
        <f t="shared" si="1"/>
        <v/>
      </c>
      <c r="N27" s="11" t="str">
        <f t="shared" si="2"/>
        <v/>
      </c>
      <c r="O27" s="11" t="str">
        <f t="shared" si="3"/>
        <v/>
      </c>
      <c r="P27" s="11" t="str">
        <f t="shared" si="4"/>
        <v/>
      </c>
      <c r="Q27" s="11" t="str">
        <f t="shared" si="5"/>
        <v/>
      </c>
      <c r="R27" s="6">
        <v>0</v>
      </c>
      <c r="S27" s="11" t="str">
        <f t="shared" si="6"/>
        <v/>
      </c>
      <c r="T27" s="15" t="str">
        <f t="shared" si="7"/>
        <v/>
      </c>
    </row>
    <row r="28" spans="2:20" ht="21" customHeight="1" x14ac:dyDescent="0.25">
      <c r="B28" s="13"/>
      <c r="C28" s="6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1" t="str">
        <f t="shared" si="0"/>
        <v/>
      </c>
      <c r="M28" s="1" t="str">
        <f t="shared" si="1"/>
        <v/>
      </c>
      <c r="N28" s="11" t="str">
        <f t="shared" si="2"/>
        <v/>
      </c>
      <c r="O28" s="11" t="str">
        <f t="shared" si="3"/>
        <v/>
      </c>
      <c r="P28" s="11" t="str">
        <f t="shared" si="4"/>
        <v/>
      </c>
      <c r="Q28" s="11" t="str">
        <f t="shared" si="5"/>
        <v/>
      </c>
      <c r="R28" s="6">
        <v>0</v>
      </c>
      <c r="S28" s="11" t="str">
        <f t="shared" si="6"/>
        <v/>
      </c>
      <c r="T28" s="15" t="str">
        <f t="shared" si="7"/>
        <v/>
      </c>
    </row>
    <row r="29" spans="2:20" ht="21" customHeight="1" x14ac:dyDescent="0.25">
      <c r="B29" s="13"/>
      <c r="C29" s="6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1" t="str">
        <f t="shared" si="0"/>
        <v/>
      </c>
      <c r="M29" s="1" t="str">
        <f t="shared" si="1"/>
        <v/>
      </c>
      <c r="N29" s="11" t="str">
        <f t="shared" si="2"/>
        <v/>
      </c>
      <c r="O29" s="11" t="str">
        <f t="shared" si="3"/>
        <v/>
      </c>
      <c r="P29" s="11" t="str">
        <f t="shared" si="4"/>
        <v/>
      </c>
      <c r="Q29" s="11" t="str">
        <f t="shared" si="5"/>
        <v/>
      </c>
      <c r="R29" s="6">
        <v>0</v>
      </c>
      <c r="S29" s="11" t="str">
        <f t="shared" si="6"/>
        <v/>
      </c>
      <c r="T29" s="15" t="str">
        <f t="shared" si="7"/>
        <v/>
      </c>
    </row>
    <row r="30" spans="2:20" ht="21" customHeight="1" x14ac:dyDescent="0.25">
      <c r="B30" s="13"/>
      <c r="C30" s="6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1" t="str">
        <f t="shared" si="0"/>
        <v/>
      </c>
      <c r="M30" s="1" t="str">
        <f t="shared" si="1"/>
        <v/>
      </c>
      <c r="N30" s="11" t="str">
        <f t="shared" si="2"/>
        <v/>
      </c>
      <c r="O30" s="11" t="str">
        <f t="shared" si="3"/>
        <v/>
      </c>
      <c r="P30" s="11" t="str">
        <f t="shared" si="4"/>
        <v/>
      </c>
      <c r="Q30" s="11" t="str">
        <f t="shared" si="5"/>
        <v/>
      </c>
      <c r="R30" s="6">
        <v>0</v>
      </c>
      <c r="S30" s="11" t="str">
        <f t="shared" si="6"/>
        <v/>
      </c>
      <c r="T30" s="15" t="str">
        <f t="shared" si="7"/>
        <v/>
      </c>
    </row>
    <row r="31" spans="2:20" ht="21" customHeight="1" x14ac:dyDescent="0.25">
      <c r="B31" s="13"/>
      <c r="C31" s="6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1" t="str">
        <f t="shared" si="0"/>
        <v/>
      </c>
      <c r="M31" s="1" t="str">
        <f t="shared" si="1"/>
        <v/>
      </c>
      <c r="N31" s="11" t="str">
        <f t="shared" si="2"/>
        <v/>
      </c>
      <c r="O31" s="11" t="str">
        <f t="shared" si="3"/>
        <v/>
      </c>
      <c r="P31" s="11" t="str">
        <f t="shared" si="4"/>
        <v/>
      </c>
      <c r="Q31" s="11" t="str">
        <f t="shared" si="5"/>
        <v/>
      </c>
      <c r="R31" s="6">
        <v>0</v>
      </c>
      <c r="S31" s="11" t="str">
        <f t="shared" si="6"/>
        <v/>
      </c>
      <c r="T31" s="15" t="str">
        <f t="shared" si="7"/>
        <v/>
      </c>
    </row>
    <row r="32" spans="2:20" ht="21" customHeight="1" x14ac:dyDescent="0.25">
      <c r="B32" s="13"/>
      <c r="C32" s="6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1" t="str">
        <f t="shared" si="0"/>
        <v/>
      </c>
      <c r="M32" s="1" t="str">
        <f t="shared" si="1"/>
        <v/>
      </c>
      <c r="N32" s="11" t="str">
        <f t="shared" si="2"/>
        <v/>
      </c>
      <c r="O32" s="11" t="str">
        <f t="shared" si="3"/>
        <v/>
      </c>
      <c r="P32" s="11" t="str">
        <f t="shared" si="4"/>
        <v/>
      </c>
      <c r="Q32" s="11" t="str">
        <f t="shared" si="5"/>
        <v/>
      </c>
      <c r="R32" s="6">
        <v>0</v>
      </c>
      <c r="S32" s="11" t="str">
        <f t="shared" si="6"/>
        <v/>
      </c>
      <c r="T32" s="15" t="str">
        <f t="shared" si="7"/>
        <v/>
      </c>
    </row>
    <row r="33" spans="2:20" ht="21" customHeight="1" x14ac:dyDescent="0.25">
      <c r="B33" s="13"/>
      <c r="C33" s="6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1" t="str">
        <f t="shared" si="0"/>
        <v/>
      </c>
      <c r="M33" s="1" t="str">
        <f t="shared" si="1"/>
        <v/>
      </c>
      <c r="N33" s="11" t="str">
        <f t="shared" si="2"/>
        <v/>
      </c>
      <c r="O33" s="11" t="str">
        <f t="shared" si="3"/>
        <v/>
      </c>
      <c r="P33" s="11" t="str">
        <f t="shared" si="4"/>
        <v/>
      </c>
      <c r="Q33" s="11" t="str">
        <f t="shared" si="5"/>
        <v/>
      </c>
      <c r="R33" s="6">
        <v>0</v>
      </c>
      <c r="S33" s="11" t="str">
        <f t="shared" si="6"/>
        <v/>
      </c>
      <c r="T33" s="15" t="str">
        <f t="shared" si="7"/>
        <v/>
      </c>
    </row>
    <row r="34" spans="2:20" ht="21" customHeight="1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1"/>
      <c r="O34" s="11"/>
      <c r="P34" s="11"/>
      <c r="Q34" s="11"/>
      <c r="R34" s="11"/>
      <c r="S34" s="11"/>
      <c r="T34" s="1"/>
    </row>
    <row r="35" spans="2:20" ht="21" customHeight="1" x14ac:dyDescent="0.25">
      <c r="B35" s="1" t="s">
        <v>90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1">
        <f t="shared" ref="N35:S35" si="8">SUM(N14:N33)</f>
        <v>10204.08163265306</v>
      </c>
      <c r="O35" s="11">
        <f t="shared" si="8"/>
        <v>1224.4897959183672</v>
      </c>
      <c r="P35" s="11">
        <f t="shared" si="8"/>
        <v>571.42857142857144</v>
      </c>
      <c r="Q35" s="11">
        <f t="shared" si="8"/>
        <v>11999.999999999998</v>
      </c>
      <c r="R35" s="11">
        <f t="shared" si="8"/>
        <v>0</v>
      </c>
      <c r="S35" s="11">
        <f t="shared" si="8"/>
        <v>10204.08163265306</v>
      </c>
      <c r="T35" s="1"/>
    </row>
    <row r="36" spans="2:20" ht="21" customHeight="1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2:20" ht="21" customHeight="1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2:20" ht="21" customHeight="1" x14ac:dyDescent="0.25">
      <c r="B38" s="2" t="s">
        <v>91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2:20" ht="21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2:20" ht="21" customHeigh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2:20" ht="21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2:20" ht="21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2:20" ht="21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2:20" ht="21" customHeight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2:20" ht="21" customHeight="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2:20" ht="21" customHeight="1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2:20" ht="21" customHeight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2:20" ht="21" customHeight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</sheetData>
  <conditionalFormatting sqref="D9">
    <cfRule type="expression" dxfId="36" priority="1">
      <formula>AND(D9&lt;&gt;"",D9&lt;&gt;"Ready")</formula>
    </cfRule>
  </conditionalFormatting>
  <conditionalFormatting sqref="T14:T33">
    <cfRule type="expression" dxfId="35" priority="2">
      <formula>AND(T14&lt;&gt;"",T14&lt;&gt;"Ready")</formula>
    </cfRule>
  </conditionalFormatting>
  <dataValidations count="1">
    <dataValidation type="list" sqref="D8" xr:uid="{00000000-0002-0000-0100-000000000000}">
      <formula1>"1,2,3"</formula1>
    </dataValidation>
  </dataValidations>
  <hyperlinks>
    <hyperlink ref="B1" location="'Read me'!B2" display="Contents" xr:uid="{A483909F-9F74-4853-9868-8D12D497BA5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6023C"/>
  </sheetPr>
  <dimension ref="B1:N48"/>
  <sheetViews>
    <sheetView showGridLines="0" workbookViewId="0"/>
  </sheetViews>
  <sheetFormatPr defaultRowHeight="15" x14ac:dyDescent="0.25"/>
  <cols>
    <col min="2" max="2" width="30" customWidth="1"/>
    <col min="3" max="14" width="15" customWidth="1"/>
  </cols>
  <sheetData>
    <row r="1" spans="2:14" x14ac:dyDescent="0.25">
      <c r="B1" s="24" t="s">
        <v>53</v>
      </c>
    </row>
    <row r="2" spans="2:14" ht="21" customHeight="1" x14ac:dyDescent="0.25">
      <c r="B2" s="3" t="s">
        <v>10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21" customHeight="1" x14ac:dyDescent="0.25"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 ht="2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21" customHeight="1" x14ac:dyDescent="0.25">
      <c r="B5" s="1" t="s">
        <v>92</v>
      </c>
      <c r="C5" s="1"/>
      <c r="D5" s="6">
        <v>100000</v>
      </c>
      <c r="E5" s="1"/>
      <c r="F5" s="2" t="s">
        <v>93</v>
      </c>
      <c r="G5" s="1"/>
      <c r="H5" s="1"/>
      <c r="I5" s="1"/>
      <c r="J5" s="1"/>
      <c r="K5" s="1"/>
      <c r="L5" s="1"/>
      <c r="M5" s="1"/>
      <c r="N5" s="1"/>
    </row>
    <row r="6" spans="2:14" ht="21" customHeight="1" x14ac:dyDescent="0.25">
      <c r="B6" s="1" t="s">
        <v>94</v>
      </c>
      <c r="C6" s="1"/>
      <c r="D6" s="6">
        <v>12000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2:14" ht="21" customHeight="1" x14ac:dyDescent="0.25">
      <c r="B7" s="1" t="s">
        <v>95</v>
      </c>
      <c r="C7" s="1"/>
      <c r="D7" s="6">
        <v>8000</v>
      </c>
      <c r="E7" s="1"/>
      <c r="F7" s="2" t="s">
        <v>96</v>
      </c>
      <c r="G7" s="1"/>
      <c r="H7" s="1"/>
      <c r="I7" s="1"/>
      <c r="J7" s="1"/>
      <c r="K7" s="1"/>
      <c r="L7" s="1"/>
      <c r="M7" s="1"/>
      <c r="N7" s="1"/>
    </row>
    <row r="8" spans="2:14" ht="21" customHeight="1" x14ac:dyDescent="0.25">
      <c r="B8" s="1" t="s">
        <v>97</v>
      </c>
      <c r="C8" s="1"/>
      <c r="D8" s="6">
        <v>12000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2:14" ht="21" customHeight="1" x14ac:dyDescent="0.25">
      <c r="B9" s="1" t="s">
        <v>98</v>
      </c>
      <c r="C9" s="1"/>
      <c r="D9" s="6">
        <v>10000</v>
      </c>
      <c r="E9" s="1"/>
      <c r="F9" s="2" t="s">
        <v>99</v>
      </c>
      <c r="G9" s="1"/>
      <c r="H9" s="1"/>
      <c r="I9" s="1"/>
      <c r="J9" s="1"/>
      <c r="K9" s="1"/>
      <c r="L9" s="1"/>
      <c r="M9" s="1"/>
      <c r="N9" s="1"/>
    </row>
    <row r="10" spans="2:14" ht="21" customHeight="1" x14ac:dyDescent="0.25">
      <c r="B10" s="1" t="s">
        <v>100</v>
      </c>
      <c r="C10" s="1"/>
      <c r="D10" s="6">
        <v>2000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ht="21" customHeight="1" x14ac:dyDescent="0.25">
      <c r="B11" s="1" t="s">
        <v>101</v>
      </c>
      <c r="C11" s="1"/>
      <c r="D11" s="9">
        <v>42</v>
      </c>
      <c r="E11" s="1"/>
      <c r="F11" s="2" t="s">
        <v>102</v>
      </c>
      <c r="G11" s="1"/>
      <c r="H11" s="1"/>
      <c r="I11" s="1"/>
      <c r="J11" s="1"/>
      <c r="K11" s="1"/>
      <c r="L11" s="1"/>
      <c r="M11" s="1"/>
      <c r="N11" s="1"/>
    </row>
    <row r="12" spans="2:14" ht="21" customHeight="1" x14ac:dyDescent="0.25">
      <c r="B12" s="1" t="s">
        <v>103</v>
      </c>
      <c r="C12" s="1"/>
      <c r="D12" s="9">
        <v>35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2:14" ht="2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2:14" ht="21" customHeight="1" x14ac:dyDescent="0.25">
      <c r="B14" s="10" t="s">
        <v>67</v>
      </c>
      <c r="C14" s="10"/>
      <c r="D14" s="14" t="str">
        <f>IF(AND(COUNT(D5:D12)=8,MIN(D5:D10)&gt;=0,D11&gt;0,D12&gt;0),"Ready","Check inputs")</f>
        <v>Ready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2:14" ht="21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2:14" ht="21" customHeight="1" x14ac:dyDescent="0.25">
      <c r="B16" s="10" t="s">
        <v>104</v>
      </c>
      <c r="C16" s="10"/>
      <c r="D16" s="12">
        <f>IF(D14="Ready",SUM(D5:D7),NA())</f>
        <v>120000</v>
      </c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ht="21" customHeight="1" x14ac:dyDescent="0.25">
      <c r="B17" s="10" t="s">
        <v>105</v>
      </c>
      <c r="C17" s="10"/>
      <c r="D17" s="12">
        <f>IF(D14="Ready",D5+SUM(D8:D10),NA())</f>
        <v>124000</v>
      </c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ht="21" customHeight="1" x14ac:dyDescent="0.25">
      <c r="B18" s="10" t="s">
        <v>106</v>
      </c>
      <c r="C18" s="10"/>
      <c r="D18" s="12">
        <f>D17/D11</f>
        <v>2952.3809523809523</v>
      </c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ht="21" customHeight="1" x14ac:dyDescent="0.25">
      <c r="B19" s="10" t="s">
        <v>107</v>
      </c>
      <c r="C19" s="10"/>
      <c r="D19" s="12">
        <f>D18/D12</f>
        <v>84.35374149659863</v>
      </c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 ht="21" customHeight="1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 ht="21" customHeight="1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ht="21" customHeight="1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2:14" ht="21" customHeight="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ht="21" customHeight="1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 ht="21" customHeight="1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4" ht="21" customHeight="1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2:14" ht="21" customHeight="1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2:14" ht="21" customHeight="1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ht="21" customHeight="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2:14" ht="21" customHeight="1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2:14" ht="21" customHeight="1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2:14" ht="21" customHeight="1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ht="21" customHeight="1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 ht="21" customHeight="1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ht="21" customHeight="1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2:14" ht="21" customHeight="1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2:14" ht="21" customHeight="1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4" ht="21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2:14" ht="21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 ht="21" customHeigh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 ht="21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2:14" ht="21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2:14" ht="21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2:14" ht="21" customHeight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2:14" ht="21" customHeight="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2:14" ht="21" customHeight="1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2:14" ht="21" customHeight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2:14" ht="21" customHeight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</sheetData>
  <conditionalFormatting sqref="D14">
    <cfRule type="expression" dxfId="34" priority="1">
      <formula>AND(D14&lt;&gt;"",D14&lt;&gt;"Ready")</formula>
    </cfRule>
  </conditionalFormatting>
  <hyperlinks>
    <hyperlink ref="B1" location="'Read me'!B2" display="Contents" xr:uid="{71DF8DF0-CEDA-457B-9F18-7DEDB2683EB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023C"/>
  </sheetPr>
  <dimension ref="B1:N48"/>
  <sheetViews>
    <sheetView showGridLines="0" workbookViewId="0"/>
  </sheetViews>
  <sheetFormatPr defaultRowHeight="15" x14ac:dyDescent="0.25"/>
  <cols>
    <col min="2" max="2" width="30" customWidth="1"/>
    <col min="3" max="14" width="15" customWidth="1"/>
  </cols>
  <sheetData>
    <row r="1" spans="2:14" x14ac:dyDescent="0.25">
      <c r="B1" s="24" t="s">
        <v>53</v>
      </c>
    </row>
    <row r="2" spans="2:14" ht="21" customHeight="1" x14ac:dyDescent="0.25">
      <c r="B2" s="3" t="s">
        <v>12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21" customHeight="1" x14ac:dyDescent="0.25"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 ht="2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21" customHeight="1" x14ac:dyDescent="0.25">
      <c r="B5" s="1" t="s">
        <v>108</v>
      </c>
      <c r="C5" s="1"/>
      <c r="D5" s="6">
        <v>100000</v>
      </c>
      <c r="E5" s="1"/>
      <c r="F5" s="2" t="s">
        <v>109</v>
      </c>
      <c r="G5" s="1"/>
      <c r="H5" s="1"/>
      <c r="I5" s="1"/>
      <c r="J5" s="1"/>
      <c r="K5" s="1"/>
      <c r="L5" s="1"/>
      <c r="M5" s="1"/>
      <c r="N5" s="1"/>
    </row>
    <row r="6" spans="2:14" ht="21" customHeight="1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2:14" ht="21" customHeight="1" x14ac:dyDescent="0.25">
      <c r="B7" s="1"/>
      <c r="C7" s="1"/>
      <c r="D7" s="1"/>
      <c r="E7" s="1"/>
      <c r="F7" s="2" t="s">
        <v>110</v>
      </c>
      <c r="G7" s="1"/>
      <c r="H7" s="1"/>
      <c r="I7" s="1"/>
      <c r="J7" s="1"/>
      <c r="K7" s="1"/>
      <c r="L7" s="1"/>
      <c r="M7" s="1"/>
      <c r="N7" s="1"/>
    </row>
    <row r="8" spans="2:14" ht="21" customHeight="1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2:14" ht="21" customHeight="1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 ht="56.1" customHeight="1" x14ac:dyDescent="0.25">
      <c r="B10" s="5" t="s">
        <v>111</v>
      </c>
      <c r="C10" s="5" t="s">
        <v>112</v>
      </c>
      <c r="D10" s="5" t="s">
        <v>113</v>
      </c>
      <c r="E10" s="5" t="s">
        <v>114</v>
      </c>
      <c r="F10" s="5" t="s">
        <v>115</v>
      </c>
      <c r="G10" s="5" t="s">
        <v>116</v>
      </c>
      <c r="H10" s="5" t="s">
        <v>117</v>
      </c>
      <c r="I10" s="5" t="s">
        <v>118</v>
      </c>
      <c r="J10" s="5" t="s">
        <v>119</v>
      </c>
      <c r="K10" s="5" t="s">
        <v>120</v>
      </c>
      <c r="L10" s="5" t="s">
        <v>121</v>
      </c>
      <c r="M10" s="5" t="s">
        <v>67</v>
      </c>
      <c r="N10" s="1"/>
    </row>
    <row r="11" spans="2:14" ht="21" customHeight="1" x14ac:dyDescent="0.25">
      <c r="B11" s="1">
        <v>1</v>
      </c>
      <c r="C11" s="11">
        <f>$D$5</f>
        <v>100000</v>
      </c>
      <c r="D11" s="7">
        <v>0.06</v>
      </c>
      <c r="E11" s="11">
        <f t="shared" ref="E11:E20" si="0">IF(M11="Ready",C11*D11,NA())</f>
        <v>6000</v>
      </c>
      <c r="F11" s="6">
        <v>14000</v>
      </c>
      <c r="G11" s="6">
        <v>3500</v>
      </c>
      <c r="H11" s="6">
        <v>2000</v>
      </c>
      <c r="I11" s="11">
        <f t="shared" ref="I11:I20" si="1">IF(M11="Ready",F11-G11+H11,NA())</f>
        <v>12500</v>
      </c>
      <c r="J11" s="11">
        <f t="shared" ref="J11:J20" si="2">MIN(C11+E11,I11)</f>
        <v>12500</v>
      </c>
      <c r="K11" s="11">
        <f t="shared" ref="K11:K20" si="3">C11+E11-J11</f>
        <v>93500</v>
      </c>
      <c r="L11" s="11">
        <f t="shared" ref="L11:L20" si="4">I11-J11</f>
        <v>0</v>
      </c>
      <c r="M11" s="15" t="str">
        <f>IF(AND(COUNT(D11,F11:H11,$D$5)=5,MIN(D11,F11:H11,$D$5)&gt;=0,G11&lt;=F11),"Ready","Check inputs")</f>
        <v>Ready</v>
      </c>
      <c r="N11" s="1"/>
    </row>
    <row r="12" spans="2:14" ht="21" customHeight="1" x14ac:dyDescent="0.25">
      <c r="B12" s="1">
        <v>2</v>
      </c>
      <c r="C12" s="11">
        <f t="shared" ref="C12:C20" si="5">K11</f>
        <v>93500</v>
      </c>
      <c r="D12" s="7">
        <v>0.06</v>
      </c>
      <c r="E12" s="11">
        <f t="shared" si="0"/>
        <v>5610</v>
      </c>
      <c r="F12" s="6">
        <v>14000</v>
      </c>
      <c r="G12" s="6">
        <v>3500</v>
      </c>
      <c r="H12" s="6">
        <v>2000</v>
      </c>
      <c r="I12" s="11">
        <f t="shared" si="1"/>
        <v>12500</v>
      </c>
      <c r="J12" s="11">
        <f t="shared" si="2"/>
        <v>12500</v>
      </c>
      <c r="K12" s="11">
        <f t="shared" si="3"/>
        <v>86610</v>
      </c>
      <c r="L12" s="11">
        <f t="shared" si="4"/>
        <v>0</v>
      </c>
      <c r="M12" s="15" t="str">
        <f t="shared" ref="M12:M20" si="6">IF(AND(COUNT(D12,F12:H12,$D$5)=5,MIN(D12,F12:H12,$D$5)&gt;=0,G12&lt;=F12,M11="Ready"),"Ready","Check inputs")</f>
        <v>Ready</v>
      </c>
      <c r="N12" s="1"/>
    </row>
    <row r="13" spans="2:14" ht="21" customHeight="1" x14ac:dyDescent="0.25">
      <c r="B13" s="1">
        <v>3</v>
      </c>
      <c r="C13" s="11">
        <f t="shared" si="5"/>
        <v>86610</v>
      </c>
      <c r="D13" s="7">
        <v>0.06</v>
      </c>
      <c r="E13" s="11">
        <f t="shared" si="0"/>
        <v>5196.5999999999995</v>
      </c>
      <c r="F13" s="6">
        <v>14000</v>
      </c>
      <c r="G13" s="6">
        <v>3500</v>
      </c>
      <c r="H13" s="6">
        <v>2000</v>
      </c>
      <c r="I13" s="11">
        <f t="shared" si="1"/>
        <v>12500</v>
      </c>
      <c r="J13" s="11">
        <f t="shared" si="2"/>
        <v>12500</v>
      </c>
      <c r="K13" s="11">
        <f t="shared" si="3"/>
        <v>79306.600000000006</v>
      </c>
      <c r="L13" s="11">
        <f t="shared" si="4"/>
        <v>0</v>
      </c>
      <c r="M13" s="15" t="str">
        <f t="shared" si="6"/>
        <v>Ready</v>
      </c>
      <c r="N13" s="1"/>
    </row>
    <row r="14" spans="2:14" ht="21" customHeight="1" x14ac:dyDescent="0.25">
      <c r="B14" s="1">
        <v>4</v>
      </c>
      <c r="C14" s="11">
        <f t="shared" si="5"/>
        <v>79306.600000000006</v>
      </c>
      <c r="D14" s="7">
        <v>0.06</v>
      </c>
      <c r="E14" s="11">
        <f t="shared" si="0"/>
        <v>4758.3959999999997</v>
      </c>
      <c r="F14" s="6">
        <v>14000</v>
      </c>
      <c r="G14" s="6">
        <v>3500</v>
      </c>
      <c r="H14" s="6">
        <v>2000</v>
      </c>
      <c r="I14" s="11">
        <f t="shared" si="1"/>
        <v>12500</v>
      </c>
      <c r="J14" s="11">
        <f t="shared" si="2"/>
        <v>12500</v>
      </c>
      <c r="K14" s="11">
        <f t="shared" si="3"/>
        <v>71564.995999999999</v>
      </c>
      <c r="L14" s="11">
        <f t="shared" si="4"/>
        <v>0</v>
      </c>
      <c r="M14" s="15" t="str">
        <f t="shared" si="6"/>
        <v>Ready</v>
      </c>
      <c r="N14" s="1"/>
    </row>
    <row r="15" spans="2:14" ht="21" customHeight="1" x14ac:dyDescent="0.25">
      <c r="B15" s="1">
        <v>5</v>
      </c>
      <c r="C15" s="11">
        <f t="shared" si="5"/>
        <v>71564.995999999999</v>
      </c>
      <c r="D15" s="7">
        <v>0.06</v>
      </c>
      <c r="E15" s="11">
        <f t="shared" si="0"/>
        <v>4293.8997600000002</v>
      </c>
      <c r="F15" s="6">
        <v>14000</v>
      </c>
      <c r="G15" s="6">
        <v>3500</v>
      </c>
      <c r="H15" s="6">
        <v>2000</v>
      </c>
      <c r="I15" s="11">
        <f t="shared" si="1"/>
        <v>12500</v>
      </c>
      <c r="J15" s="11">
        <f t="shared" si="2"/>
        <v>12500</v>
      </c>
      <c r="K15" s="11">
        <f t="shared" si="3"/>
        <v>63358.895759999999</v>
      </c>
      <c r="L15" s="11">
        <f t="shared" si="4"/>
        <v>0</v>
      </c>
      <c r="M15" s="15" t="str">
        <f t="shared" si="6"/>
        <v>Ready</v>
      </c>
      <c r="N15" s="1"/>
    </row>
    <row r="16" spans="2:14" ht="21" customHeight="1" x14ac:dyDescent="0.25">
      <c r="B16" s="1">
        <v>6</v>
      </c>
      <c r="C16" s="11">
        <f t="shared" si="5"/>
        <v>63358.895759999999</v>
      </c>
      <c r="D16" s="7">
        <v>0.06</v>
      </c>
      <c r="E16" s="11">
        <f t="shared" si="0"/>
        <v>3801.5337455999997</v>
      </c>
      <c r="F16" s="6">
        <v>14000</v>
      </c>
      <c r="G16" s="6">
        <v>3500</v>
      </c>
      <c r="H16" s="6">
        <v>2000</v>
      </c>
      <c r="I16" s="11">
        <f t="shared" si="1"/>
        <v>12500</v>
      </c>
      <c r="J16" s="11">
        <f t="shared" si="2"/>
        <v>12500</v>
      </c>
      <c r="K16" s="11">
        <f t="shared" si="3"/>
        <v>54660.429505599997</v>
      </c>
      <c r="L16" s="11">
        <f t="shared" si="4"/>
        <v>0</v>
      </c>
      <c r="M16" s="15" t="str">
        <f t="shared" si="6"/>
        <v>Ready</v>
      </c>
      <c r="N16" s="1"/>
    </row>
    <row r="17" spans="2:14" ht="21" customHeight="1" x14ac:dyDescent="0.25">
      <c r="B17" s="1">
        <v>7</v>
      </c>
      <c r="C17" s="11">
        <f t="shared" si="5"/>
        <v>54660.429505599997</v>
      </c>
      <c r="D17" s="7">
        <v>0.06</v>
      </c>
      <c r="E17" s="11">
        <f t="shared" si="0"/>
        <v>3279.6257703359997</v>
      </c>
      <c r="F17" s="6">
        <v>14000</v>
      </c>
      <c r="G17" s="6">
        <v>3500</v>
      </c>
      <c r="H17" s="6">
        <v>2000</v>
      </c>
      <c r="I17" s="11">
        <f t="shared" si="1"/>
        <v>12500</v>
      </c>
      <c r="J17" s="11">
        <f t="shared" si="2"/>
        <v>12500</v>
      </c>
      <c r="K17" s="11">
        <f t="shared" si="3"/>
        <v>45440.055275936</v>
      </c>
      <c r="L17" s="11">
        <f t="shared" si="4"/>
        <v>0</v>
      </c>
      <c r="M17" s="15" t="str">
        <f t="shared" si="6"/>
        <v>Ready</v>
      </c>
      <c r="N17" s="1"/>
    </row>
    <row r="18" spans="2:14" ht="21" customHeight="1" x14ac:dyDescent="0.25">
      <c r="B18" s="1">
        <v>8</v>
      </c>
      <c r="C18" s="11">
        <f t="shared" si="5"/>
        <v>45440.055275936</v>
      </c>
      <c r="D18" s="7">
        <v>0.06</v>
      </c>
      <c r="E18" s="11">
        <f t="shared" si="0"/>
        <v>2726.40331655616</v>
      </c>
      <c r="F18" s="6">
        <v>14000</v>
      </c>
      <c r="G18" s="6">
        <v>3500</v>
      </c>
      <c r="H18" s="6">
        <v>2000</v>
      </c>
      <c r="I18" s="11">
        <f t="shared" si="1"/>
        <v>12500</v>
      </c>
      <c r="J18" s="11">
        <f t="shared" si="2"/>
        <v>12500</v>
      </c>
      <c r="K18" s="11">
        <f t="shared" si="3"/>
        <v>35666.458592492163</v>
      </c>
      <c r="L18" s="11">
        <f t="shared" si="4"/>
        <v>0</v>
      </c>
      <c r="M18" s="15" t="str">
        <f t="shared" si="6"/>
        <v>Ready</v>
      </c>
      <c r="N18" s="1"/>
    </row>
    <row r="19" spans="2:14" ht="21" customHeight="1" x14ac:dyDescent="0.25">
      <c r="B19" s="1">
        <v>9</v>
      </c>
      <c r="C19" s="11">
        <f t="shared" si="5"/>
        <v>35666.458592492163</v>
      </c>
      <c r="D19" s="7">
        <v>0.06</v>
      </c>
      <c r="E19" s="11">
        <f t="shared" si="0"/>
        <v>2139.9875155495297</v>
      </c>
      <c r="F19" s="6">
        <v>14000</v>
      </c>
      <c r="G19" s="6">
        <v>3500</v>
      </c>
      <c r="H19" s="6">
        <v>2000</v>
      </c>
      <c r="I19" s="11">
        <f t="shared" si="1"/>
        <v>12500</v>
      </c>
      <c r="J19" s="11">
        <f t="shared" si="2"/>
        <v>12500</v>
      </c>
      <c r="K19" s="11">
        <f t="shared" si="3"/>
        <v>25306.446108041695</v>
      </c>
      <c r="L19" s="11">
        <f t="shared" si="4"/>
        <v>0</v>
      </c>
      <c r="M19" s="15" t="str">
        <f t="shared" si="6"/>
        <v>Ready</v>
      </c>
      <c r="N19" s="1"/>
    </row>
    <row r="20" spans="2:14" ht="21" customHeight="1" x14ac:dyDescent="0.25">
      <c r="B20" s="1">
        <v>10</v>
      </c>
      <c r="C20" s="11">
        <f t="shared" si="5"/>
        <v>25306.446108041695</v>
      </c>
      <c r="D20" s="7">
        <v>0.06</v>
      </c>
      <c r="E20" s="11">
        <f t="shared" si="0"/>
        <v>1518.3867664825016</v>
      </c>
      <c r="F20" s="6">
        <v>14000</v>
      </c>
      <c r="G20" s="6">
        <v>3500</v>
      </c>
      <c r="H20" s="6">
        <v>2000</v>
      </c>
      <c r="I20" s="11">
        <f t="shared" si="1"/>
        <v>12500</v>
      </c>
      <c r="J20" s="11">
        <f t="shared" si="2"/>
        <v>12500</v>
      </c>
      <c r="K20" s="11">
        <f t="shared" si="3"/>
        <v>14324.832874524196</v>
      </c>
      <c r="L20" s="11">
        <f t="shared" si="4"/>
        <v>0</v>
      </c>
      <c r="M20" s="15" t="str">
        <f t="shared" si="6"/>
        <v>Ready</v>
      </c>
      <c r="N20" s="1"/>
    </row>
    <row r="21" spans="2:14" ht="21" customHeight="1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ht="21" customHeight="1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2:14" ht="21" customHeight="1" x14ac:dyDescent="0.25">
      <c r="B23" s="10" t="s">
        <v>122</v>
      </c>
      <c r="C23" s="10"/>
      <c r="D23" s="12">
        <f>K20</f>
        <v>14324.832874524196</v>
      </c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ht="21" customHeight="1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 ht="21" customHeight="1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4" ht="21" customHeight="1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2:14" ht="21" customHeight="1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2:14" ht="21" customHeight="1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ht="21" customHeight="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2:14" ht="21" customHeight="1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2:14" ht="21" customHeight="1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2:14" ht="21" customHeight="1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ht="21" customHeight="1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 ht="21" customHeight="1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ht="21" customHeight="1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2:14" ht="21" customHeight="1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2:14" ht="21" customHeight="1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4" ht="21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2:14" ht="21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 ht="21" customHeigh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 ht="21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2:14" ht="21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2:14" ht="21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2:14" ht="21" customHeight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2:14" ht="21" customHeight="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2:14" ht="21" customHeight="1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2:14" ht="21" customHeight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2:14" ht="21" customHeight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</sheetData>
  <conditionalFormatting sqref="M11:M20">
    <cfRule type="expression" dxfId="33" priority="1">
      <formula>AND(M11&lt;&gt;"",M11&lt;&gt;"Ready")</formula>
    </cfRule>
  </conditionalFormatting>
  <hyperlinks>
    <hyperlink ref="B1" location="'Read me'!B2" display="Contents" xr:uid="{0F328A3D-9ADF-4056-ADBC-95AFD83071A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6023C"/>
  </sheetPr>
  <dimension ref="B1:AW54"/>
  <sheetViews>
    <sheetView showGridLines="0" workbookViewId="0">
      <pane xSplit="3" ySplit="15" topLeftCell="D16" activePane="bottomRight" state="frozen"/>
      <selection pane="topRight"/>
      <selection pane="bottomLeft"/>
      <selection pane="bottomRight" activeCell="D16" sqref="D16"/>
    </sheetView>
  </sheetViews>
  <sheetFormatPr defaultRowHeight="15" x14ac:dyDescent="0.25"/>
  <cols>
    <col min="2" max="2" width="30" customWidth="1"/>
    <col min="3" max="49" width="15" customWidth="1"/>
  </cols>
  <sheetData>
    <row r="1" spans="2:49" x14ac:dyDescent="0.25">
      <c r="B1" s="24" t="s">
        <v>53</v>
      </c>
    </row>
    <row r="2" spans="2:49" ht="21" customHeight="1" x14ac:dyDescent="0.25">
      <c r="B2" s="3" t="s">
        <v>14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</row>
    <row r="3" spans="2:49" ht="21" customHeight="1" x14ac:dyDescent="0.25"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2:49" ht="2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2:49" ht="56.1" customHeight="1" x14ac:dyDescent="0.25">
      <c r="B5" s="1" t="s">
        <v>123</v>
      </c>
      <c r="C5" s="1"/>
      <c r="D5" s="16">
        <v>46204</v>
      </c>
      <c r="E5" s="1"/>
      <c r="F5" s="5" t="s">
        <v>124</v>
      </c>
      <c r="G5" s="5" t="s">
        <v>125</v>
      </c>
      <c r="H5" s="5" t="s">
        <v>126</v>
      </c>
      <c r="I5" s="5" t="s">
        <v>127</v>
      </c>
      <c r="J5" s="5" t="s">
        <v>128</v>
      </c>
      <c r="K5" s="5" t="s">
        <v>129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2:49" ht="21" customHeight="1" x14ac:dyDescent="0.25">
      <c r="B6" s="1" t="s">
        <v>130</v>
      </c>
      <c r="C6" s="1"/>
      <c r="D6" s="7">
        <v>0.06</v>
      </c>
      <c r="E6" s="1"/>
      <c r="F6" s="6">
        <v>60000</v>
      </c>
      <c r="G6" s="6">
        <v>40000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2:49" ht="21" customHeight="1" x14ac:dyDescent="0.25">
      <c r="B7" s="1" t="s">
        <v>131</v>
      </c>
      <c r="C7" s="1"/>
      <c r="D7" s="8">
        <v>365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2:49" ht="21" customHeight="1" x14ac:dyDescent="0.25">
      <c r="B8" s="1"/>
      <c r="C8" s="1"/>
      <c r="D8" s="1"/>
      <c r="E8" s="1"/>
      <c r="F8" s="2" t="s">
        <v>132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2:49" ht="21" customHeight="1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2:49" ht="21" customHeight="1" x14ac:dyDescent="0.25">
      <c r="B10" s="2" t="s">
        <v>133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2:49" ht="21" customHeight="1" x14ac:dyDescent="0.25">
      <c r="B11" s="2" t="s">
        <v>134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2:49" ht="21" customHeight="1" x14ac:dyDescent="0.25">
      <c r="B12" s="10" t="s">
        <v>135</v>
      </c>
      <c r="C12" s="10"/>
      <c r="D12" s="12">
        <f>SUM(X51:AC51)</f>
        <v>100000</v>
      </c>
      <c r="E12" s="1"/>
      <c r="F12" s="1" t="s">
        <v>67</v>
      </c>
      <c r="G12" s="1"/>
      <c r="H12" s="15" t="str">
        <f>IF(COUNTIF(AQ16:AQ51,"Ready")=36,"Ready","Check events")</f>
        <v>Ready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2:49" ht="21" customHeight="1" x14ac:dyDescent="0.25">
      <c r="B13" s="10" t="s">
        <v>136</v>
      </c>
      <c r="C13" s="10"/>
      <c r="D13" s="12">
        <f>SUM(R16:W51)</f>
        <v>5819.1780821917819</v>
      </c>
      <c r="E13" s="1"/>
      <c r="F13" s="1" t="s">
        <v>137</v>
      </c>
      <c r="G13" s="1"/>
      <c r="H13" s="11">
        <f>SUM(AP16:AP51)</f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2:49" ht="21" customHeight="1" x14ac:dyDescent="0.25">
      <c r="B14" s="2" t="s">
        <v>138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2:49" ht="56.1" customHeight="1" x14ac:dyDescent="0.25">
      <c r="B15" s="5" t="s">
        <v>139</v>
      </c>
      <c r="C15" s="5" t="s">
        <v>140</v>
      </c>
      <c r="D15" s="5" t="s">
        <v>141</v>
      </c>
      <c r="E15" s="5" t="s">
        <v>142</v>
      </c>
      <c r="F15" s="5" t="s">
        <v>143</v>
      </c>
      <c r="G15" s="5" t="s">
        <v>144</v>
      </c>
      <c r="H15" s="5" t="s">
        <v>145</v>
      </c>
      <c r="I15" s="5" t="s">
        <v>146</v>
      </c>
      <c r="J15" s="5" t="s">
        <v>147</v>
      </c>
      <c r="K15" s="5" t="s">
        <v>148</v>
      </c>
      <c r="L15" s="5" t="s">
        <v>149</v>
      </c>
      <c r="M15" s="5" t="s">
        <v>150</v>
      </c>
      <c r="N15" s="5" t="s">
        <v>151</v>
      </c>
      <c r="O15" s="5" t="s">
        <v>152</v>
      </c>
      <c r="P15" s="5" t="s">
        <v>153</v>
      </c>
      <c r="Q15" s="5" t="s">
        <v>154</v>
      </c>
      <c r="R15" s="5" t="s">
        <v>155</v>
      </c>
      <c r="S15" s="5" t="s">
        <v>156</v>
      </c>
      <c r="T15" s="5" t="s">
        <v>157</v>
      </c>
      <c r="U15" s="5" t="s">
        <v>158</v>
      </c>
      <c r="V15" s="5" t="s">
        <v>159</v>
      </c>
      <c r="W15" s="5" t="s">
        <v>160</v>
      </c>
      <c r="X15" s="5" t="s">
        <v>161</v>
      </c>
      <c r="Y15" s="5" t="s">
        <v>162</v>
      </c>
      <c r="Z15" s="5" t="s">
        <v>163</v>
      </c>
      <c r="AA15" s="5" t="s">
        <v>164</v>
      </c>
      <c r="AB15" s="5" t="s">
        <v>165</v>
      </c>
      <c r="AC15" s="5" t="s">
        <v>166</v>
      </c>
      <c r="AD15" s="5" t="s">
        <v>167</v>
      </c>
      <c r="AE15" s="5" t="s">
        <v>168</v>
      </c>
      <c r="AF15" s="5" t="s">
        <v>169</v>
      </c>
      <c r="AG15" s="5" t="s">
        <v>170</v>
      </c>
      <c r="AH15" s="5" t="s">
        <v>171</v>
      </c>
      <c r="AI15" s="5" t="s">
        <v>172</v>
      </c>
      <c r="AJ15" s="5" t="s">
        <v>173</v>
      </c>
      <c r="AK15" s="5" t="s">
        <v>174</v>
      </c>
      <c r="AL15" s="5" t="s">
        <v>175</v>
      </c>
      <c r="AM15" s="5" t="s">
        <v>176</v>
      </c>
      <c r="AN15" s="5" t="s">
        <v>177</v>
      </c>
      <c r="AO15" s="5" t="s">
        <v>178</v>
      </c>
      <c r="AP15" s="5" t="s">
        <v>179</v>
      </c>
      <c r="AQ15" s="5" t="s">
        <v>67</v>
      </c>
      <c r="AR15" s="5" t="s">
        <v>180</v>
      </c>
      <c r="AS15" s="5" t="s">
        <v>181</v>
      </c>
      <c r="AT15" s="5" t="s">
        <v>182</v>
      </c>
      <c r="AU15" s="5" t="s">
        <v>183</v>
      </c>
      <c r="AV15" s="5" t="s">
        <v>184</v>
      </c>
      <c r="AW15" s="5" t="s">
        <v>185</v>
      </c>
    </row>
    <row r="16" spans="2:49" ht="21" customHeight="1" x14ac:dyDescent="0.25">
      <c r="B16" s="16">
        <v>46204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17">
        <f>IF(AQ16="Ready",B16-$D$5,NA())</f>
        <v>0</v>
      </c>
      <c r="L16" s="11">
        <f t="shared" ref="L16:Q16" si="0">F6</f>
        <v>60000</v>
      </c>
      <c r="M16" s="11">
        <f t="shared" si="0"/>
        <v>40000</v>
      </c>
      <c r="N16" s="11">
        <f t="shared" si="0"/>
        <v>0</v>
      </c>
      <c r="O16" s="11">
        <f t="shared" si="0"/>
        <v>0</v>
      </c>
      <c r="P16" s="11">
        <f t="shared" si="0"/>
        <v>0</v>
      </c>
      <c r="Q16" s="11">
        <f t="shared" si="0"/>
        <v>0</v>
      </c>
      <c r="R16" s="11">
        <f t="shared" ref="R16:R51" si="1">IF(AQ16="Ready",L16*$D$6*K16/$D$7,NA())</f>
        <v>0</v>
      </c>
      <c r="S16" s="11">
        <f t="shared" ref="S16:S51" si="2">IF(AQ16="Ready",M16*$D$6*K16/$D$7,NA())</f>
        <v>0</v>
      </c>
      <c r="T16" s="11">
        <f t="shared" ref="T16:T51" si="3">IF(AQ16="Ready",N16*$D$6*K16/$D$7,NA())</f>
        <v>0</v>
      </c>
      <c r="U16" s="11">
        <f t="shared" ref="U16:U51" si="4">IF(AQ16="Ready",O16*$D$6*K16/$D$7,NA())</f>
        <v>0</v>
      </c>
      <c r="V16" s="11">
        <f t="shared" ref="V16:V51" si="5">IF(AQ16="Ready",P16*$D$6*K16/$D$7,NA())</f>
        <v>0</v>
      </c>
      <c r="W16" s="11">
        <f t="shared" ref="W16:W51" si="6">IF(AQ16="Ready",Q16*$D$6*K16/$D$7,NA())</f>
        <v>0</v>
      </c>
      <c r="X16" s="11">
        <f t="shared" ref="X16:X51" si="7">IF(AQ16="Ready",L16+D16+AR16-AJ16,NA())</f>
        <v>60000</v>
      </c>
      <c r="Y16" s="11">
        <f t="shared" ref="Y16:Y51" si="8">IF(AQ16="Ready",M16+E16+AS16-AK16,NA())</f>
        <v>40000</v>
      </c>
      <c r="Z16" s="11">
        <f t="shared" ref="Z16:Z51" si="9">IF(AQ16="Ready",N16+F16+AT16-AL16,NA())</f>
        <v>0</v>
      </c>
      <c r="AA16" s="11">
        <f t="shared" ref="AA16:AA51" si="10">IF(AQ16="Ready",O16+G16+AU16-AM16,NA())</f>
        <v>0</v>
      </c>
      <c r="AB16" s="11">
        <f t="shared" ref="AB16:AB51" si="11">IF(AQ16="Ready",P16+H16+AV16-AN16,NA())</f>
        <v>0</v>
      </c>
      <c r="AC16" s="11">
        <f t="shared" ref="AC16:AC51" si="12">IF(AQ16="Ready",Q16+I16+AW16-AO16,NA())</f>
        <v>0</v>
      </c>
      <c r="AD16" s="11">
        <f t="shared" ref="AD16:AD51" si="13">IF(AQ16="Ready",IF(SUM(L16:Q16,D16:I16,AR16:AW16)=0,IF(J16=0,0,NA()),J16*(L16+D16+AR16)/SUM(L16:Q16,D16:I16,AR16:AW16)),NA())</f>
        <v>0</v>
      </c>
      <c r="AE16" s="11">
        <f t="shared" ref="AE16:AE51" si="14">IF(AQ16="Ready",IF(SUM(L16:Q16,D16:I16,AR16:AW16)=0,IF(J16=0,0,NA()),J16*(M16+E16+AS16)/SUM(L16:Q16,D16:I16,AR16:AW16)),NA())</f>
        <v>0</v>
      </c>
      <c r="AF16" s="11">
        <f t="shared" ref="AF16:AF51" si="15">IF(AQ16="Ready",IF(SUM(L16:Q16,D16:I16,AR16:AW16)=0,IF(J16=0,0,NA()),J16*(N16+F16+AT16)/SUM(L16:Q16,D16:I16,AR16:AW16)),NA())</f>
        <v>0</v>
      </c>
      <c r="AG16" s="11">
        <f t="shared" ref="AG16:AG51" si="16">IF(AQ16="Ready",IF(SUM(L16:Q16,D16:I16,AR16:AW16)=0,IF(J16=0,0,NA()),J16*(O16+G16+AU16)/SUM(L16:Q16,D16:I16,AR16:AW16)),NA())</f>
        <v>0</v>
      </c>
      <c r="AH16" s="11">
        <f t="shared" ref="AH16:AH51" si="17">IF(AQ16="Ready",IF(SUM(L16:Q16,D16:I16,AR16:AW16)=0,IF(J16=0,0,NA()),J16*(P16+H16+AV16)/SUM(L16:Q16,D16:I16,AR16:AW16)),NA())</f>
        <v>0</v>
      </c>
      <c r="AI16" s="11">
        <f t="shared" ref="AI16:AI51" si="18">IF(AQ16="Ready",IF(SUM(L16:Q16,D16:I16,AR16:AW16)=0,IF(J16=0,0,NA()),J16*(Q16+I16+AW16)/SUM(L16:Q16,D16:I16,AR16:AW16)),NA())</f>
        <v>0</v>
      </c>
      <c r="AJ16" s="11">
        <f t="shared" ref="AJ16:AJ51" si="19">IF(AQ16="Ready",IF(SUM(L16:Q16,D16:I16,AR16:AW16)=0,0,MIN(C16,SUM(L16:Q16,D16:I16,AR16:AW16))*(L16+D16+AR16)/SUM(L16:Q16,D16:I16,AR16:AW16)),NA())</f>
        <v>0</v>
      </c>
      <c r="AK16" s="11">
        <f t="shared" ref="AK16:AK51" si="20">IF(AQ16="Ready",IF(SUM(L16:Q16,D16:I16,AR16:AW16)=0,0,MIN(C16,SUM(L16:Q16,D16:I16,AR16:AW16))*(M16+E16+AS16)/SUM(L16:Q16,D16:I16,AR16:AW16)),NA())</f>
        <v>0</v>
      </c>
      <c r="AL16" s="11">
        <f t="shared" ref="AL16:AL51" si="21">IF(AQ16="Ready",IF(SUM(L16:Q16,D16:I16,AR16:AW16)=0,0,MIN(C16,SUM(L16:Q16,D16:I16,AR16:AW16))*(N16+F16+AT16)/SUM(L16:Q16,D16:I16,AR16:AW16)),NA())</f>
        <v>0</v>
      </c>
      <c r="AM16" s="11">
        <f t="shared" ref="AM16:AM51" si="22">IF(AQ16="Ready",IF(SUM(L16:Q16,D16:I16,AR16:AW16)=0,0,MIN(C16,SUM(L16:Q16,D16:I16,AR16:AW16))*(O16+G16+AU16)/SUM(L16:Q16,D16:I16,AR16:AW16)),NA())</f>
        <v>0</v>
      </c>
      <c r="AN16" s="11">
        <f t="shared" ref="AN16:AN51" si="23">IF(AQ16="Ready",IF(SUM(L16:Q16,D16:I16,AR16:AW16)=0,0,MIN(C16,SUM(L16:Q16,D16:I16,AR16:AW16))*(P16+H16+AV16)/SUM(L16:Q16,D16:I16,AR16:AW16)),NA())</f>
        <v>0</v>
      </c>
      <c r="AO16" s="11">
        <f t="shared" ref="AO16:AO51" si="24">IF(AQ16="Ready",IF(SUM(L16:Q16,D16:I16,AR16:AW16)=0,0,MIN(C16,SUM(L16:Q16,D16:I16,AR16:AW16))*(Q16+I16+AW16)/SUM(L16:Q16,D16:I16,AR16:AW16)),NA())</f>
        <v>0</v>
      </c>
      <c r="AP16" s="11">
        <f t="shared" ref="AP16:AP51" si="25">IF(AQ16="Ready",C16-SUM(AJ16:AO16),NA())</f>
        <v>0</v>
      </c>
      <c r="AQ16" s="15" t="str">
        <f>IF(OR(COUNT(B16:J16,AR16:AW16)&lt;&gt;15,COUNT($D$5:$D$7)&lt;&gt;3,COUNT($F$6:$K$6)&lt;&gt;6),"Check inputs",IF(AND(MIN(C16:J16,$D$6,$F$6:$K$6)&gt;=0,MIN(L16+D16+AR16,M16+E16+AS16,N16+F16+AT16,O16+G16+AU16,P16+H16+AV16,Q16+I16+AW16)&gt;=0,$D$7&gt;0,B16&gt;=$D$5,B16=INT(B16),$D$5=INT($D$5),OR(SUM(L16:Q16,D16:I16,AR16:AW16)&gt;0,J16=0)),"Ready","Check inputs"))</f>
        <v>Ready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</row>
    <row r="17" spans="2:49" ht="21" customHeight="1" x14ac:dyDescent="0.25">
      <c r="B17" s="16">
        <v>46214</v>
      </c>
      <c r="C17" s="6">
        <v>10000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100</v>
      </c>
      <c r="K17" s="17">
        <f t="shared" ref="K17:K51" si="26">IF(AQ17="Ready",B17-B16,NA())</f>
        <v>10</v>
      </c>
      <c r="L17" s="11">
        <f t="shared" ref="L17:L51" si="27">X16</f>
        <v>60000</v>
      </c>
      <c r="M17" s="11">
        <f t="shared" ref="M17:M51" si="28">Y16</f>
        <v>40000</v>
      </c>
      <c r="N17" s="11">
        <f t="shared" ref="N17:N51" si="29">Z16</f>
        <v>0</v>
      </c>
      <c r="O17" s="11">
        <f t="shared" ref="O17:O51" si="30">AA16</f>
        <v>0</v>
      </c>
      <c r="P17" s="11">
        <f t="shared" ref="P17:P51" si="31">AB16</f>
        <v>0</v>
      </c>
      <c r="Q17" s="11">
        <f t="shared" ref="Q17:Q51" si="32">AC16</f>
        <v>0</v>
      </c>
      <c r="R17" s="11">
        <f t="shared" si="1"/>
        <v>98.630136986301366</v>
      </c>
      <c r="S17" s="11">
        <f t="shared" si="2"/>
        <v>65.753424657534254</v>
      </c>
      <c r="T17" s="11">
        <f t="shared" si="3"/>
        <v>0</v>
      </c>
      <c r="U17" s="11">
        <f t="shared" si="4"/>
        <v>0</v>
      </c>
      <c r="V17" s="11">
        <f t="shared" si="5"/>
        <v>0</v>
      </c>
      <c r="W17" s="11">
        <f t="shared" si="6"/>
        <v>0</v>
      </c>
      <c r="X17" s="11">
        <f t="shared" si="7"/>
        <v>54000</v>
      </c>
      <c r="Y17" s="11">
        <f t="shared" si="8"/>
        <v>36000</v>
      </c>
      <c r="Z17" s="11">
        <f t="shared" si="9"/>
        <v>0</v>
      </c>
      <c r="AA17" s="11">
        <f t="shared" si="10"/>
        <v>0</v>
      </c>
      <c r="AB17" s="11">
        <f t="shared" si="11"/>
        <v>0</v>
      </c>
      <c r="AC17" s="11">
        <f t="shared" si="12"/>
        <v>0</v>
      </c>
      <c r="AD17" s="11">
        <f t="shared" si="13"/>
        <v>60</v>
      </c>
      <c r="AE17" s="11">
        <f t="shared" si="14"/>
        <v>40</v>
      </c>
      <c r="AF17" s="11">
        <f t="shared" si="15"/>
        <v>0</v>
      </c>
      <c r="AG17" s="11">
        <f t="shared" si="16"/>
        <v>0</v>
      </c>
      <c r="AH17" s="11">
        <f t="shared" si="17"/>
        <v>0</v>
      </c>
      <c r="AI17" s="11">
        <f t="shared" si="18"/>
        <v>0</v>
      </c>
      <c r="AJ17" s="11">
        <f t="shared" si="19"/>
        <v>6000</v>
      </c>
      <c r="AK17" s="11">
        <f t="shared" si="20"/>
        <v>4000</v>
      </c>
      <c r="AL17" s="11">
        <f t="shared" si="21"/>
        <v>0</v>
      </c>
      <c r="AM17" s="11">
        <f t="shared" si="22"/>
        <v>0</v>
      </c>
      <c r="AN17" s="11">
        <f t="shared" si="23"/>
        <v>0</v>
      </c>
      <c r="AO17" s="11">
        <f t="shared" si="24"/>
        <v>0</v>
      </c>
      <c r="AP17" s="11">
        <f t="shared" si="25"/>
        <v>0</v>
      </c>
      <c r="AQ17" s="15" t="str">
        <f t="shared" ref="AQ17:AQ51" si="33">IF(OR(COUNT(B17:J17,AR17:AW17)&lt;&gt;15,COUNT($D$5:$D$7)&lt;&gt;3,COUNT($F$6:$K$6)&lt;&gt;6,AQ16&lt;&gt;"Ready"),"Check inputs",IF(AND(MIN(C17:J17,$D$6,$F$6:$K$6)&gt;=0,MIN(L17+D17+AR17,M17+E17+AS17,N17+F17+AT17,O17+G17+AU17,P17+H17+AV17,Q17+I17+AW17)&gt;=0,$D$7&gt;0,B17&gt;=B16,B17=INT(B17),$D$5=INT($D$5),OR(SUM(L17:Q17,D17:I17,AR17:AW17)&gt;0,J17=0)),"Ready","Check inputs"))</f>
        <v>Ready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</row>
    <row r="18" spans="2:49" ht="21" customHeight="1" x14ac:dyDescent="0.25">
      <c r="B18" s="16">
        <v>46224</v>
      </c>
      <c r="C18" s="6">
        <v>0</v>
      </c>
      <c r="D18" s="6">
        <v>0</v>
      </c>
      <c r="E18" s="6">
        <v>10000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17">
        <f t="shared" si="26"/>
        <v>10</v>
      </c>
      <c r="L18" s="11">
        <f t="shared" si="27"/>
        <v>54000</v>
      </c>
      <c r="M18" s="11">
        <f t="shared" si="28"/>
        <v>36000</v>
      </c>
      <c r="N18" s="11">
        <f t="shared" si="29"/>
        <v>0</v>
      </c>
      <c r="O18" s="11">
        <f t="shared" si="30"/>
        <v>0</v>
      </c>
      <c r="P18" s="11">
        <f t="shared" si="31"/>
        <v>0</v>
      </c>
      <c r="Q18" s="11">
        <f t="shared" si="32"/>
        <v>0</v>
      </c>
      <c r="R18" s="11">
        <f t="shared" si="1"/>
        <v>88.767123287671239</v>
      </c>
      <c r="S18" s="11">
        <f t="shared" si="2"/>
        <v>59.178082191780824</v>
      </c>
      <c r="T18" s="11">
        <f t="shared" si="3"/>
        <v>0</v>
      </c>
      <c r="U18" s="11">
        <f t="shared" si="4"/>
        <v>0</v>
      </c>
      <c r="V18" s="11">
        <f t="shared" si="5"/>
        <v>0</v>
      </c>
      <c r="W18" s="11">
        <f t="shared" si="6"/>
        <v>0</v>
      </c>
      <c r="X18" s="11">
        <f t="shared" si="7"/>
        <v>54000</v>
      </c>
      <c r="Y18" s="11">
        <f t="shared" si="8"/>
        <v>46000</v>
      </c>
      <c r="Z18" s="11">
        <f t="shared" si="9"/>
        <v>0</v>
      </c>
      <c r="AA18" s="11">
        <f t="shared" si="10"/>
        <v>0</v>
      </c>
      <c r="AB18" s="11">
        <f t="shared" si="11"/>
        <v>0</v>
      </c>
      <c r="AC18" s="11">
        <f t="shared" si="12"/>
        <v>0</v>
      </c>
      <c r="AD18" s="11">
        <f t="shared" si="13"/>
        <v>0</v>
      </c>
      <c r="AE18" s="11">
        <f t="shared" si="14"/>
        <v>0</v>
      </c>
      <c r="AF18" s="11">
        <f t="shared" si="15"/>
        <v>0</v>
      </c>
      <c r="AG18" s="11">
        <f t="shared" si="16"/>
        <v>0</v>
      </c>
      <c r="AH18" s="11">
        <f t="shared" si="17"/>
        <v>0</v>
      </c>
      <c r="AI18" s="11">
        <f t="shared" si="18"/>
        <v>0</v>
      </c>
      <c r="AJ18" s="11">
        <f t="shared" si="19"/>
        <v>0</v>
      </c>
      <c r="AK18" s="11">
        <f t="shared" si="20"/>
        <v>0</v>
      </c>
      <c r="AL18" s="11">
        <f t="shared" si="21"/>
        <v>0</v>
      </c>
      <c r="AM18" s="11">
        <f t="shared" si="22"/>
        <v>0</v>
      </c>
      <c r="AN18" s="11">
        <f t="shared" si="23"/>
        <v>0</v>
      </c>
      <c r="AO18" s="11">
        <f t="shared" si="24"/>
        <v>0</v>
      </c>
      <c r="AP18" s="11">
        <f t="shared" si="25"/>
        <v>0</v>
      </c>
      <c r="AQ18" s="15" t="str">
        <f t="shared" si="33"/>
        <v>Ready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</row>
    <row r="19" spans="2:49" ht="21" customHeight="1" x14ac:dyDescent="0.25">
      <c r="B19" s="16">
        <v>46235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17">
        <f t="shared" si="26"/>
        <v>11</v>
      </c>
      <c r="L19" s="11">
        <f t="shared" si="27"/>
        <v>54000</v>
      </c>
      <c r="M19" s="11">
        <f t="shared" si="28"/>
        <v>46000</v>
      </c>
      <c r="N19" s="11">
        <f t="shared" si="29"/>
        <v>0</v>
      </c>
      <c r="O19" s="11">
        <f t="shared" si="30"/>
        <v>0</v>
      </c>
      <c r="P19" s="11">
        <f t="shared" si="31"/>
        <v>0</v>
      </c>
      <c r="Q19" s="11">
        <f t="shared" si="32"/>
        <v>0</v>
      </c>
      <c r="R19" s="11">
        <f t="shared" si="1"/>
        <v>97.643835616438352</v>
      </c>
      <c r="S19" s="11">
        <f t="shared" si="2"/>
        <v>83.178082191780817</v>
      </c>
      <c r="T19" s="11">
        <f t="shared" si="3"/>
        <v>0</v>
      </c>
      <c r="U19" s="11">
        <f t="shared" si="4"/>
        <v>0</v>
      </c>
      <c r="V19" s="11">
        <f t="shared" si="5"/>
        <v>0</v>
      </c>
      <c r="W19" s="11">
        <f t="shared" si="6"/>
        <v>0</v>
      </c>
      <c r="X19" s="11">
        <f t="shared" si="7"/>
        <v>54000</v>
      </c>
      <c r="Y19" s="11">
        <f t="shared" si="8"/>
        <v>46000</v>
      </c>
      <c r="Z19" s="11">
        <f t="shared" si="9"/>
        <v>0</v>
      </c>
      <c r="AA19" s="11">
        <f t="shared" si="10"/>
        <v>0</v>
      </c>
      <c r="AB19" s="11">
        <f t="shared" si="11"/>
        <v>0</v>
      </c>
      <c r="AC19" s="11">
        <f t="shared" si="12"/>
        <v>0</v>
      </c>
      <c r="AD19" s="11">
        <f t="shared" si="13"/>
        <v>0</v>
      </c>
      <c r="AE19" s="11">
        <f t="shared" si="14"/>
        <v>0</v>
      </c>
      <c r="AF19" s="11">
        <f t="shared" si="15"/>
        <v>0</v>
      </c>
      <c r="AG19" s="11">
        <f t="shared" si="16"/>
        <v>0</v>
      </c>
      <c r="AH19" s="11">
        <f t="shared" si="17"/>
        <v>0</v>
      </c>
      <c r="AI19" s="11">
        <f t="shared" si="18"/>
        <v>0</v>
      </c>
      <c r="AJ19" s="11">
        <f t="shared" si="19"/>
        <v>0</v>
      </c>
      <c r="AK19" s="11">
        <f t="shared" si="20"/>
        <v>0</v>
      </c>
      <c r="AL19" s="11">
        <f t="shared" si="21"/>
        <v>0</v>
      </c>
      <c r="AM19" s="11">
        <f t="shared" si="22"/>
        <v>0</v>
      </c>
      <c r="AN19" s="11">
        <f t="shared" si="23"/>
        <v>0</v>
      </c>
      <c r="AO19" s="11">
        <f t="shared" si="24"/>
        <v>0</v>
      </c>
      <c r="AP19" s="11">
        <f t="shared" si="25"/>
        <v>0</v>
      </c>
      <c r="AQ19" s="15" t="str">
        <f t="shared" si="33"/>
        <v>Ready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</row>
    <row r="20" spans="2:49" ht="21" customHeight="1" x14ac:dyDescent="0.25">
      <c r="B20" s="16">
        <v>46245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17">
        <f t="shared" si="26"/>
        <v>10</v>
      </c>
      <c r="L20" s="11">
        <f t="shared" si="27"/>
        <v>54000</v>
      </c>
      <c r="M20" s="11">
        <f t="shared" si="28"/>
        <v>46000</v>
      </c>
      <c r="N20" s="11">
        <f t="shared" si="29"/>
        <v>0</v>
      </c>
      <c r="O20" s="11">
        <f t="shared" si="30"/>
        <v>0</v>
      </c>
      <c r="P20" s="11">
        <f t="shared" si="31"/>
        <v>0</v>
      </c>
      <c r="Q20" s="11">
        <f t="shared" si="32"/>
        <v>0</v>
      </c>
      <c r="R20" s="11">
        <f t="shared" si="1"/>
        <v>88.767123287671239</v>
      </c>
      <c r="S20" s="11">
        <f t="shared" si="2"/>
        <v>75.61643835616438</v>
      </c>
      <c r="T20" s="11">
        <f t="shared" si="3"/>
        <v>0</v>
      </c>
      <c r="U20" s="11">
        <f t="shared" si="4"/>
        <v>0</v>
      </c>
      <c r="V20" s="11">
        <f t="shared" si="5"/>
        <v>0</v>
      </c>
      <c r="W20" s="11">
        <f t="shared" si="6"/>
        <v>0</v>
      </c>
      <c r="X20" s="11">
        <f t="shared" si="7"/>
        <v>54000</v>
      </c>
      <c r="Y20" s="11">
        <f t="shared" si="8"/>
        <v>46000</v>
      </c>
      <c r="Z20" s="11">
        <f t="shared" si="9"/>
        <v>0</v>
      </c>
      <c r="AA20" s="11">
        <f t="shared" si="10"/>
        <v>0</v>
      </c>
      <c r="AB20" s="11">
        <f t="shared" si="11"/>
        <v>0</v>
      </c>
      <c r="AC20" s="11">
        <f t="shared" si="12"/>
        <v>0</v>
      </c>
      <c r="AD20" s="11">
        <f t="shared" si="13"/>
        <v>0</v>
      </c>
      <c r="AE20" s="11">
        <f t="shared" si="14"/>
        <v>0</v>
      </c>
      <c r="AF20" s="11">
        <f t="shared" si="15"/>
        <v>0</v>
      </c>
      <c r="AG20" s="11">
        <f t="shared" si="16"/>
        <v>0</v>
      </c>
      <c r="AH20" s="11">
        <f t="shared" si="17"/>
        <v>0</v>
      </c>
      <c r="AI20" s="11">
        <f t="shared" si="18"/>
        <v>0</v>
      </c>
      <c r="AJ20" s="11">
        <f t="shared" si="19"/>
        <v>0</v>
      </c>
      <c r="AK20" s="11">
        <f t="shared" si="20"/>
        <v>0</v>
      </c>
      <c r="AL20" s="11">
        <f t="shared" si="21"/>
        <v>0</v>
      </c>
      <c r="AM20" s="11">
        <f t="shared" si="22"/>
        <v>0</v>
      </c>
      <c r="AN20" s="11">
        <f t="shared" si="23"/>
        <v>0</v>
      </c>
      <c r="AO20" s="11">
        <f t="shared" si="24"/>
        <v>0</v>
      </c>
      <c r="AP20" s="11">
        <f t="shared" si="25"/>
        <v>0</v>
      </c>
      <c r="AQ20" s="15" t="str">
        <f t="shared" si="33"/>
        <v>Ready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</row>
    <row r="21" spans="2:49" ht="21" customHeight="1" x14ac:dyDescent="0.25">
      <c r="B21" s="16">
        <v>46255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17">
        <f t="shared" si="26"/>
        <v>10</v>
      </c>
      <c r="L21" s="11">
        <f t="shared" si="27"/>
        <v>54000</v>
      </c>
      <c r="M21" s="11">
        <f t="shared" si="28"/>
        <v>46000</v>
      </c>
      <c r="N21" s="11">
        <f t="shared" si="29"/>
        <v>0</v>
      </c>
      <c r="O21" s="11">
        <f t="shared" si="30"/>
        <v>0</v>
      </c>
      <c r="P21" s="11">
        <f t="shared" si="31"/>
        <v>0</v>
      </c>
      <c r="Q21" s="11">
        <f t="shared" si="32"/>
        <v>0</v>
      </c>
      <c r="R21" s="11">
        <f t="shared" si="1"/>
        <v>88.767123287671239</v>
      </c>
      <c r="S21" s="11">
        <f t="shared" si="2"/>
        <v>75.61643835616438</v>
      </c>
      <c r="T21" s="11">
        <f t="shared" si="3"/>
        <v>0</v>
      </c>
      <c r="U21" s="11">
        <f t="shared" si="4"/>
        <v>0</v>
      </c>
      <c r="V21" s="11">
        <f t="shared" si="5"/>
        <v>0</v>
      </c>
      <c r="W21" s="11">
        <f t="shared" si="6"/>
        <v>0</v>
      </c>
      <c r="X21" s="11">
        <f t="shared" si="7"/>
        <v>54000</v>
      </c>
      <c r="Y21" s="11">
        <f t="shared" si="8"/>
        <v>46000</v>
      </c>
      <c r="Z21" s="11">
        <f t="shared" si="9"/>
        <v>0</v>
      </c>
      <c r="AA21" s="11">
        <f t="shared" si="10"/>
        <v>0</v>
      </c>
      <c r="AB21" s="11">
        <f t="shared" si="11"/>
        <v>0</v>
      </c>
      <c r="AC21" s="11">
        <f t="shared" si="12"/>
        <v>0</v>
      </c>
      <c r="AD21" s="11">
        <f t="shared" si="13"/>
        <v>0</v>
      </c>
      <c r="AE21" s="11">
        <f t="shared" si="14"/>
        <v>0</v>
      </c>
      <c r="AF21" s="11">
        <f t="shared" si="15"/>
        <v>0</v>
      </c>
      <c r="AG21" s="11">
        <f t="shared" si="16"/>
        <v>0</v>
      </c>
      <c r="AH21" s="11">
        <f t="shared" si="17"/>
        <v>0</v>
      </c>
      <c r="AI21" s="11">
        <f t="shared" si="18"/>
        <v>0</v>
      </c>
      <c r="AJ21" s="11">
        <f t="shared" si="19"/>
        <v>0</v>
      </c>
      <c r="AK21" s="11">
        <f t="shared" si="20"/>
        <v>0</v>
      </c>
      <c r="AL21" s="11">
        <f t="shared" si="21"/>
        <v>0</v>
      </c>
      <c r="AM21" s="11">
        <f t="shared" si="22"/>
        <v>0</v>
      </c>
      <c r="AN21" s="11">
        <f t="shared" si="23"/>
        <v>0</v>
      </c>
      <c r="AO21" s="11">
        <f t="shared" si="24"/>
        <v>0</v>
      </c>
      <c r="AP21" s="11">
        <f t="shared" si="25"/>
        <v>0</v>
      </c>
      <c r="AQ21" s="15" t="str">
        <f t="shared" si="33"/>
        <v>Ready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</row>
    <row r="22" spans="2:49" ht="21" customHeight="1" x14ac:dyDescent="0.25">
      <c r="B22" s="16">
        <v>46266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17">
        <f t="shared" si="26"/>
        <v>11</v>
      </c>
      <c r="L22" s="11">
        <f t="shared" si="27"/>
        <v>54000</v>
      </c>
      <c r="M22" s="11">
        <f t="shared" si="28"/>
        <v>46000</v>
      </c>
      <c r="N22" s="11">
        <f t="shared" si="29"/>
        <v>0</v>
      </c>
      <c r="O22" s="11">
        <f t="shared" si="30"/>
        <v>0</v>
      </c>
      <c r="P22" s="11">
        <f t="shared" si="31"/>
        <v>0</v>
      </c>
      <c r="Q22" s="11">
        <f t="shared" si="32"/>
        <v>0</v>
      </c>
      <c r="R22" s="11">
        <f t="shared" si="1"/>
        <v>97.643835616438352</v>
      </c>
      <c r="S22" s="11">
        <f t="shared" si="2"/>
        <v>83.178082191780817</v>
      </c>
      <c r="T22" s="11">
        <f t="shared" si="3"/>
        <v>0</v>
      </c>
      <c r="U22" s="11">
        <f t="shared" si="4"/>
        <v>0</v>
      </c>
      <c r="V22" s="11">
        <f t="shared" si="5"/>
        <v>0</v>
      </c>
      <c r="W22" s="11">
        <f t="shared" si="6"/>
        <v>0</v>
      </c>
      <c r="X22" s="11">
        <f t="shared" si="7"/>
        <v>54000</v>
      </c>
      <c r="Y22" s="11">
        <f t="shared" si="8"/>
        <v>46000</v>
      </c>
      <c r="Z22" s="11">
        <f t="shared" si="9"/>
        <v>0</v>
      </c>
      <c r="AA22" s="11">
        <f t="shared" si="10"/>
        <v>0</v>
      </c>
      <c r="AB22" s="11">
        <f t="shared" si="11"/>
        <v>0</v>
      </c>
      <c r="AC22" s="11">
        <f t="shared" si="12"/>
        <v>0</v>
      </c>
      <c r="AD22" s="11">
        <f t="shared" si="13"/>
        <v>0</v>
      </c>
      <c r="AE22" s="11">
        <f t="shared" si="14"/>
        <v>0</v>
      </c>
      <c r="AF22" s="11">
        <f t="shared" si="15"/>
        <v>0</v>
      </c>
      <c r="AG22" s="11">
        <f t="shared" si="16"/>
        <v>0</v>
      </c>
      <c r="AH22" s="11">
        <f t="shared" si="17"/>
        <v>0</v>
      </c>
      <c r="AI22" s="11">
        <f t="shared" si="18"/>
        <v>0</v>
      </c>
      <c r="AJ22" s="11">
        <f t="shared" si="19"/>
        <v>0</v>
      </c>
      <c r="AK22" s="11">
        <f t="shared" si="20"/>
        <v>0</v>
      </c>
      <c r="AL22" s="11">
        <f t="shared" si="21"/>
        <v>0</v>
      </c>
      <c r="AM22" s="11">
        <f t="shared" si="22"/>
        <v>0</v>
      </c>
      <c r="AN22" s="11">
        <f t="shared" si="23"/>
        <v>0</v>
      </c>
      <c r="AO22" s="11">
        <f t="shared" si="24"/>
        <v>0</v>
      </c>
      <c r="AP22" s="11">
        <f t="shared" si="25"/>
        <v>0</v>
      </c>
      <c r="AQ22" s="15" t="str">
        <f t="shared" si="33"/>
        <v>Ready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</row>
    <row r="23" spans="2:49" ht="21" customHeight="1" x14ac:dyDescent="0.25">
      <c r="B23" s="16">
        <v>46276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17">
        <f t="shared" si="26"/>
        <v>10</v>
      </c>
      <c r="L23" s="11">
        <f t="shared" si="27"/>
        <v>54000</v>
      </c>
      <c r="M23" s="11">
        <f t="shared" si="28"/>
        <v>46000</v>
      </c>
      <c r="N23" s="11">
        <f t="shared" si="29"/>
        <v>0</v>
      </c>
      <c r="O23" s="11">
        <f t="shared" si="30"/>
        <v>0</v>
      </c>
      <c r="P23" s="11">
        <f t="shared" si="31"/>
        <v>0</v>
      </c>
      <c r="Q23" s="11">
        <f t="shared" si="32"/>
        <v>0</v>
      </c>
      <c r="R23" s="11">
        <f t="shared" si="1"/>
        <v>88.767123287671239</v>
      </c>
      <c r="S23" s="11">
        <f t="shared" si="2"/>
        <v>75.61643835616438</v>
      </c>
      <c r="T23" s="11">
        <f t="shared" si="3"/>
        <v>0</v>
      </c>
      <c r="U23" s="11">
        <f t="shared" si="4"/>
        <v>0</v>
      </c>
      <c r="V23" s="11">
        <f t="shared" si="5"/>
        <v>0</v>
      </c>
      <c r="W23" s="11">
        <f t="shared" si="6"/>
        <v>0</v>
      </c>
      <c r="X23" s="11">
        <f t="shared" si="7"/>
        <v>54000</v>
      </c>
      <c r="Y23" s="11">
        <f t="shared" si="8"/>
        <v>46000</v>
      </c>
      <c r="Z23" s="11">
        <f t="shared" si="9"/>
        <v>0</v>
      </c>
      <c r="AA23" s="11">
        <f t="shared" si="10"/>
        <v>0</v>
      </c>
      <c r="AB23" s="11">
        <f t="shared" si="11"/>
        <v>0</v>
      </c>
      <c r="AC23" s="11">
        <f t="shared" si="12"/>
        <v>0</v>
      </c>
      <c r="AD23" s="11">
        <f t="shared" si="13"/>
        <v>0</v>
      </c>
      <c r="AE23" s="11">
        <f t="shared" si="14"/>
        <v>0</v>
      </c>
      <c r="AF23" s="11">
        <f t="shared" si="15"/>
        <v>0</v>
      </c>
      <c r="AG23" s="11">
        <f t="shared" si="16"/>
        <v>0</v>
      </c>
      <c r="AH23" s="11">
        <f t="shared" si="17"/>
        <v>0</v>
      </c>
      <c r="AI23" s="11">
        <f t="shared" si="18"/>
        <v>0</v>
      </c>
      <c r="AJ23" s="11">
        <f t="shared" si="19"/>
        <v>0</v>
      </c>
      <c r="AK23" s="11">
        <f t="shared" si="20"/>
        <v>0</v>
      </c>
      <c r="AL23" s="11">
        <f t="shared" si="21"/>
        <v>0</v>
      </c>
      <c r="AM23" s="11">
        <f t="shared" si="22"/>
        <v>0</v>
      </c>
      <c r="AN23" s="11">
        <f t="shared" si="23"/>
        <v>0</v>
      </c>
      <c r="AO23" s="11">
        <f t="shared" si="24"/>
        <v>0</v>
      </c>
      <c r="AP23" s="11">
        <f t="shared" si="25"/>
        <v>0</v>
      </c>
      <c r="AQ23" s="15" t="str">
        <f t="shared" si="33"/>
        <v>Ready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</row>
    <row r="24" spans="2:49" ht="21" customHeight="1" x14ac:dyDescent="0.25">
      <c r="B24" s="16">
        <v>46286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17">
        <f t="shared" si="26"/>
        <v>10</v>
      </c>
      <c r="L24" s="11">
        <f t="shared" si="27"/>
        <v>54000</v>
      </c>
      <c r="M24" s="11">
        <f t="shared" si="28"/>
        <v>46000</v>
      </c>
      <c r="N24" s="11">
        <f t="shared" si="29"/>
        <v>0</v>
      </c>
      <c r="O24" s="11">
        <f t="shared" si="30"/>
        <v>0</v>
      </c>
      <c r="P24" s="11">
        <f t="shared" si="31"/>
        <v>0</v>
      </c>
      <c r="Q24" s="11">
        <f t="shared" si="32"/>
        <v>0</v>
      </c>
      <c r="R24" s="11">
        <f t="shared" si="1"/>
        <v>88.767123287671239</v>
      </c>
      <c r="S24" s="11">
        <f t="shared" si="2"/>
        <v>75.61643835616438</v>
      </c>
      <c r="T24" s="11">
        <f t="shared" si="3"/>
        <v>0</v>
      </c>
      <c r="U24" s="11">
        <f t="shared" si="4"/>
        <v>0</v>
      </c>
      <c r="V24" s="11">
        <f t="shared" si="5"/>
        <v>0</v>
      </c>
      <c r="W24" s="11">
        <f t="shared" si="6"/>
        <v>0</v>
      </c>
      <c r="X24" s="11">
        <f t="shared" si="7"/>
        <v>54000</v>
      </c>
      <c r="Y24" s="11">
        <f t="shared" si="8"/>
        <v>46000</v>
      </c>
      <c r="Z24" s="11">
        <f t="shared" si="9"/>
        <v>0</v>
      </c>
      <c r="AA24" s="11">
        <f t="shared" si="10"/>
        <v>0</v>
      </c>
      <c r="AB24" s="11">
        <f t="shared" si="11"/>
        <v>0</v>
      </c>
      <c r="AC24" s="11">
        <f t="shared" si="12"/>
        <v>0</v>
      </c>
      <c r="AD24" s="11">
        <f t="shared" si="13"/>
        <v>0</v>
      </c>
      <c r="AE24" s="11">
        <f t="shared" si="14"/>
        <v>0</v>
      </c>
      <c r="AF24" s="11">
        <f t="shared" si="15"/>
        <v>0</v>
      </c>
      <c r="AG24" s="11">
        <f t="shared" si="16"/>
        <v>0</v>
      </c>
      <c r="AH24" s="11">
        <f t="shared" si="17"/>
        <v>0</v>
      </c>
      <c r="AI24" s="11">
        <f t="shared" si="18"/>
        <v>0</v>
      </c>
      <c r="AJ24" s="11">
        <f t="shared" si="19"/>
        <v>0</v>
      </c>
      <c r="AK24" s="11">
        <f t="shared" si="20"/>
        <v>0</v>
      </c>
      <c r="AL24" s="11">
        <f t="shared" si="21"/>
        <v>0</v>
      </c>
      <c r="AM24" s="11">
        <f t="shared" si="22"/>
        <v>0</v>
      </c>
      <c r="AN24" s="11">
        <f t="shared" si="23"/>
        <v>0</v>
      </c>
      <c r="AO24" s="11">
        <f t="shared" si="24"/>
        <v>0</v>
      </c>
      <c r="AP24" s="11">
        <f t="shared" si="25"/>
        <v>0</v>
      </c>
      <c r="AQ24" s="15" t="str">
        <f t="shared" si="33"/>
        <v>Ready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</row>
    <row r="25" spans="2:49" ht="21" customHeight="1" x14ac:dyDescent="0.25">
      <c r="B25" s="16">
        <v>46296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17">
        <f t="shared" si="26"/>
        <v>10</v>
      </c>
      <c r="L25" s="11">
        <f t="shared" si="27"/>
        <v>54000</v>
      </c>
      <c r="M25" s="11">
        <f t="shared" si="28"/>
        <v>46000</v>
      </c>
      <c r="N25" s="11">
        <f t="shared" si="29"/>
        <v>0</v>
      </c>
      <c r="O25" s="11">
        <f t="shared" si="30"/>
        <v>0</v>
      </c>
      <c r="P25" s="11">
        <f t="shared" si="31"/>
        <v>0</v>
      </c>
      <c r="Q25" s="11">
        <f t="shared" si="32"/>
        <v>0</v>
      </c>
      <c r="R25" s="11">
        <f t="shared" si="1"/>
        <v>88.767123287671239</v>
      </c>
      <c r="S25" s="11">
        <f t="shared" si="2"/>
        <v>75.61643835616438</v>
      </c>
      <c r="T25" s="11">
        <f t="shared" si="3"/>
        <v>0</v>
      </c>
      <c r="U25" s="11">
        <f t="shared" si="4"/>
        <v>0</v>
      </c>
      <c r="V25" s="11">
        <f t="shared" si="5"/>
        <v>0</v>
      </c>
      <c r="W25" s="11">
        <f t="shared" si="6"/>
        <v>0</v>
      </c>
      <c r="X25" s="11">
        <f t="shared" si="7"/>
        <v>54000</v>
      </c>
      <c r="Y25" s="11">
        <f t="shared" si="8"/>
        <v>46000</v>
      </c>
      <c r="Z25" s="11">
        <f t="shared" si="9"/>
        <v>0</v>
      </c>
      <c r="AA25" s="11">
        <f t="shared" si="10"/>
        <v>0</v>
      </c>
      <c r="AB25" s="11">
        <f t="shared" si="11"/>
        <v>0</v>
      </c>
      <c r="AC25" s="11">
        <f t="shared" si="12"/>
        <v>0</v>
      </c>
      <c r="AD25" s="11">
        <f t="shared" si="13"/>
        <v>0</v>
      </c>
      <c r="AE25" s="11">
        <f t="shared" si="14"/>
        <v>0</v>
      </c>
      <c r="AF25" s="11">
        <f t="shared" si="15"/>
        <v>0</v>
      </c>
      <c r="AG25" s="11">
        <f t="shared" si="16"/>
        <v>0</v>
      </c>
      <c r="AH25" s="11">
        <f t="shared" si="17"/>
        <v>0</v>
      </c>
      <c r="AI25" s="11">
        <f t="shared" si="18"/>
        <v>0</v>
      </c>
      <c r="AJ25" s="11">
        <f t="shared" si="19"/>
        <v>0</v>
      </c>
      <c r="AK25" s="11">
        <f t="shared" si="20"/>
        <v>0</v>
      </c>
      <c r="AL25" s="11">
        <f t="shared" si="21"/>
        <v>0</v>
      </c>
      <c r="AM25" s="11">
        <f t="shared" si="22"/>
        <v>0</v>
      </c>
      <c r="AN25" s="11">
        <f t="shared" si="23"/>
        <v>0</v>
      </c>
      <c r="AO25" s="11">
        <f t="shared" si="24"/>
        <v>0</v>
      </c>
      <c r="AP25" s="11">
        <f t="shared" si="25"/>
        <v>0</v>
      </c>
      <c r="AQ25" s="15" t="str">
        <f t="shared" si="33"/>
        <v>Ready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</row>
    <row r="26" spans="2:49" ht="21" customHeight="1" x14ac:dyDescent="0.25">
      <c r="B26" s="16">
        <v>46306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17">
        <f t="shared" si="26"/>
        <v>10</v>
      </c>
      <c r="L26" s="11">
        <f t="shared" si="27"/>
        <v>54000</v>
      </c>
      <c r="M26" s="11">
        <f t="shared" si="28"/>
        <v>46000</v>
      </c>
      <c r="N26" s="11">
        <f t="shared" si="29"/>
        <v>0</v>
      </c>
      <c r="O26" s="11">
        <f t="shared" si="30"/>
        <v>0</v>
      </c>
      <c r="P26" s="11">
        <f t="shared" si="31"/>
        <v>0</v>
      </c>
      <c r="Q26" s="11">
        <f t="shared" si="32"/>
        <v>0</v>
      </c>
      <c r="R26" s="11">
        <f t="shared" si="1"/>
        <v>88.767123287671239</v>
      </c>
      <c r="S26" s="11">
        <f t="shared" si="2"/>
        <v>75.61643835616438</v>
      </c>
      <c r="T26" s="11">
        <f t="shared" si="3"/>
        <v>0</v>
      </c>
      <c r="U26" s="11">
        <f t="shared" si="4"/>
        <v>0</v>
      </c>
      <c r="V26" s="11">
        <f t="shared" si="5"/>
        <v>0</v>
      </c>
      <c r="W26" s="11">
        <f t="shared" si="6"/>
        <v>0</v>
      </c>
      <c r="X26" s="11">
        <f t="shared" si="7"/>
        <v>54000</v>
      </c>
      <c r="Y26" s="11">
        <f t="shared" si="8"/>
        <v>46000</v>
      </c>
      <c r="Z26" s="11">
        <f t="shared" si="9"/>
        <v>0</v>
      </c>
      <c r="AA26" s="11">
        <f t="shared" si="10"/>
        <v>0</v>
      </c>
      <c r="AB26" s="11">
        <f t="shared" si="11"/>
        <v>0</v>
      </c>
      <c r="AC26" s="11">
        <f t="shared" si="12"/>
        <v>0</v>
      </c>
      <c r="AD26" s="11">
        <f t="shared" si="13"/>
        <v>0</v>
      </c>
      <c r="AE26" s="11">
        <f t="shared" si="14"/>
        <v>0</v>
      </c>
      <c r="AF26" s="11">
        <f t="shared" si="15"/>
        <v>0</v>
      </c>
      <c r="AG26" s="11">
        <f t="shared" si="16"/>
        <v>0</v>
      </c>
      <c r="AH26" s="11">
        <f t="shared" si="17"/>
        <v>0</v>
      </c>
      <c r="AI26" s="11">
        <f t="shared" si="18"/>
        <v>0</v>
      </c>
      <c r="AJ26" s="11">
        <f t="shared" si="19"/>
        <v>0</v>
      </c>
      <c r="AK26" s="11">
        <f t="shared" si="20"/>
        <v>0</v>
      </c>
      <c r="AL26" s="11">
        <f t="shared" si="21"/>
        <v>0</v>
      </c>
      <c r="AM26" s="11">
        <f t="shared" si="22"/>
        <v>0</v>
      </c>
      <c r="AN26" s="11">
        <f t="shared" si="23"/>
        <v>0</v>
      </c>
      <c r="AO26" s="11">
        <f t="shared" si="24"/>
        <v>0</v>
      </c>
      <c r="AP26" s="11">
        <f t="shared" si="25"/>
        <v>0</v>
      </c>
      <c r="AQ26" s="15" t="str">
        <f t="shared" si="33"/>
        <v>Ready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</row>
    <row r="27" spans="2:49" ht="21" customHeight="1" x14ac:dyDescent="0.25">
      <c r="B27" s="16">
        <v>46316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17">
        <f t="shared" si="26"/>
        <v>10</v>
      </c>
      <c r="L27" s="11">
        <f t="shared" si="27"/>
        <v>54000</v>
      </c>
      <c r="M27" s="11">
        <f t="shared" si="28"/>
        <v>46000</v>
      </c>
      <c r="N27" s="11">
        <f t="shared" si="29"/>
        <v>0</v>
      </c>
      <c r="O27" s="11">
        <f t="shared" si="30"/>
        <v>0</v>
      </c>
      <c r="P27" s="11">
        <f t="shared" si="31"/>
        <v>0</v>
      </c>
      <c r="Q27" s="11">
        <f t="shared" si="32"/>
        <v>0</v>
      </c>
      <c r="R27" s="11">
        <f t="shared" si="1"/>
        <v>88.767123287671239</v>
      </c>
      <c r="S27" s="11">
        <f t="shared" si="2"/>
        <v>75.61643835616438</v>
      </c>
      <c r="T27" s="11">
        <f t="shared" si="3"/>
        <v>0</v>
      </c>
      <c r="U27" s="11">
        <f t="shared" si="4"/>
        <v>0</v>
      </c>
      <c r="V27" s="11">
        <f t="shared" si="5"/>
        <v>0</v>
      </c>
      <c r="W27" s="11">
        <f t="shared" si="6"/>
        <v>0</v>
      </c>
      <c r="X27" s="11">
        <f t="shared" si="7"/>
        <v>54000</v>
      </c>
      <c r="Y27" s="11">
        <f t="shared" si="8"/>
        <v>46000</v>
      </c>
      <c r="Z27" s="11">
        <f t="shared" si="9"/>
        <v>0</v>
      </c>
      <c r="AA27" s="11">
        <f t="shared" si="10"/>
        <v>0</v>
      </c>
      <c r="AB27" s="11">
        <f t="shared" si="11"/>
        <v>0</v>
      </c>
      <c r="AC27" s="11">
        <f t="shared" si="12"/>
        <v>0</v>
      </c>
      <c r="AD27" s="11">
        <f t="shared" si="13"/>
        <v>0</v>
      </c>
      <c r="AE27" s="11">
        <f t="shared" si="14"/>
        <v>0</v>
      </c>
      <c r="AF27" s="11">
        <f t="shared" si="15"/>
        <v>0</v>
      </c>
      <c r="AG27" s="11">
        <f t="shared" si="16"/>
        <v>0</v>
      </c>
      <c r="AH27" s="11">
        <f t="shared" si="17"/>
        <v>0</v>
      </c>
      <c r="AI27" s="11">
        <f t="shared" si="18"/>
        <v>0</v>
      </c>
      <c r="AJ27" s="11">
        <f t="shared" si="19"/>
        <v>0</v>
      </c>
      <c r="AK27" s="11">
        <f t="shared" si="20"/>
        <v>0</v>
      </c>
      <c r="AL27" s="11">
        <f t="shared" si="21"/>
        <v>0</v>
      </c>
      <c r="AM27" s="11">
        <f t="shared" si="22"/>
        <v>0</v>
      </c>
      <c r="AN27" s="11">
        <f t="shared" si="23"/>
        <v>0</v>
      </c>
      <c r="AO27" s="11">
        <f t="shared" si="24"/>
        <v>0</v>
      </c>
      <c r="AP27" s="11">
        <f t="shared" si="25"/>
        <v>0</v>
      </c>
      <c r="AQ27" s="15" t="str">
        <f t="shared" si="33"/>
        <v>Ready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</row>
    <row r="28" spans="2:49" ht="21" customHeight="1" x14ac:dyDescent="0.25">
      <c r="B28" s="16">
        <v>46327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17">
        <f t="shared" si="26"/>
        <v>11</v>
      </c>
      <c r="L28" s="11">
        <f t="shared" si="27"/>
        <v>54000</v>
      </c>
      <c r="M28" s="11">
        <f t="shared" si="28"/>
        <v>46000</v>
      </c>
      <c r="N28" s="11">
        <f t="shared" si="29"/>
        <v>0</v>
      </c>
      <c r="O28" s="11">
        <f t="shared" si="30"/>
        <v>0</v>
      </c>
      <c r="P28" s="11">
        <f t="shared" si="31"/>
        <v>0</v>
      </c>
      <c r="Q28" s="11">
        <f t="shared" si="32"/>
        <v>0</v>
      </c>
      <c r="R28" s="11">
        <f t="shared" si="1"/>
        <v>97.643835616438352</v>
      </c>
      <c r="S28" s="11">
        <f t="shared" si="2"/>
        <v>83.178082191780817</v>
      </c>
      <c r="T28" s="11">
        <f t="shared" si="3"/>
        <v>0</v>
      </c>
      <c r="U28" s="11">
        <f t="shared" si="4"/>
        <v>0</v>
      </c>
      <c r="V28" s="11">
        <f t="shared" si="5"/>
        <v>0</v>
      </c>
      <c r="W28" s="11">
        <f t="shared" si="6"/>
        <v>0</v>
      </c>
      <c r="X28" s="11">
        <f t="shared" si="7"/>
        <v>54000</v>
      </c>
      <c r="Y28" s="11">
        <f t="shared" si="8"/>
        <v>46000</v>
      </c>
      <c r="Z28" s="11">
        <f t="shared" si="9"/>
        <v>0</v>
      </c>
      <c r="AA28" s="11">
        <f t="shared" si="10"/>
        <v>0</v>
      </c>
      <c r="AB28" s="11">
        <f t="shared" si="11"/>
        <v>0</v>
      </c>
      <c r="AC28" s="11">
        <f t="shared" si="12"/>
        <v>0</v>
      </c>
      <c r="AD28" s="11">
        <f t="shared" si="13"/>
        <v>0</v>
      </c>
      <c r="AE28" s="11">
        <f t="shared" si="14"/>
        <v>0</v>
      </c>
      <c r="AF28" s="11">
        <f t="shared" si="15"/>
        <v>0</v>
      </c>
      <c r="AG28" s="11">
        <f t="shared" si="16"/>
        <v>0</v>
      </c>
      <c r="AH28" s="11">
        <f t="shared" si="17"/>
        <v>0</v>
      </c>
      <c r="AI28" s="11">
        <f t="shared" si="18"/>
        <v>0</v>
      </c>
      <c r="AJ28" s="11">
        <f t="shared" si="19"/>
        <v>0</v>
      </c>
      <c r="AK28" s="11">
        <f t="shared" si="20"/>
        <v>0</v>
      </c>
      <c r="AL28" s="11">
        <f t="shared" si="21"/>
        <v>0</v>
      </c>
      <c r="AM28" s="11">
        <f t="shared" si="22"/>
        <v>0</v>
      </c>
      <c r="AN28" s="11">
        <f t="shared" si="23"/>
        <v>0</v>
      </c>
      <c r="AO28" s="11">
        <f t="shared" si="24"/>
        <v>0</v>
      </c>
      <c r="AP28" s="11">
        <f t="shared" si="25"/>
        <v>0</v>
      </c>
      <c r="AQ28" s="15" t="str">
        <f t="shared" si="33"/>
        <v>Ready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</row>
    <row r="29" spans="2:49" ht="21" customHeight="1" x14ac:dyDescent="0.25">
      <c r="B29" s="16">
        <v>46337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17">
        <f t="shared" si="26"/>
        <v>10</v>
      </c>
      <c r="L29" s="11">
        <f t="shared" si="27"/>
        <v>54000</v>
      </c>
      <c r="M29" s="11">
        <f t="shared" si="28"/>
        <v>46000</v>
      </c>
      <c r="N29" s="11">
        <f t="shared" si="29"/>
        <v>0</v>
      </c>
      <c r="O29" s="11">
        <f t="shared" si="30"/>
        <v>0</v>
      </c>
      <c r="P29" s="11">
        <f t="shared" si="31"/>
        <v>0</v>
      </c>
      <c r="Q29" s="11">
        <f t="shared" si="32"/>
        <v>0</v>
      </c>
      <c r="R29" s="11">
        <f t="shared" si="1"/>
        <v>88.767123287671239</v>
      </c>
      <c r="S29" s="11">
        <f t="shared" si="2"/>
        <v>75.61643835616438</v>
      </c>
      <c r="T29" s="11">
        <f t="shared" si="3"/>
        <v>0</v>
      </c>
      <c r="U29" s="11">
        <f t="shared" si="4"/>
        <v>0</v>
      </c>
      <c r="V29" s="11">
        <f t="shared" si="5"/>
        <v>0</v>
      </c>
      <c r="W29" s="11">
        <f t="shared" si="6"/>
        <v>0</v>
      </c>
      <c r="X29" s="11">
        <f t="shared" si="7"/>
        <v>54000</v>
      </c>
      <c r="Y29" s="11">
        <f t="shared" si="8"/>
        <v>46000</v>
      </c>
      <c r="Z29" s="11">
        <f t="shared" si="9"/>
        <v>0</v>
      </c>
      <c r="AA29" s="11">
        <f t="shared" si="10"/>
        <v>0</v>
      </c>
      <c r="AB29" s="11">
        <f t="shared" si="11"/>
        <v>0</v>
      </c>
      <c r="AC29" s="11">
        <f t="shared" si="12"/>
        <v>0</v>
      </c>
      <c r="AD29" s="11">
        <f t="shared" si="13"/>
        <v>0</v>
      </c>
      <c r="AE29" s="11">
        <f t="shared" si="14"/>
        <v>0</v>
      </c>
      <c r="AF29" s="11">
        <f t="shared" si="15"/>
        <v>0</v>
      </c>
      <c r="AG29" s="11">
        <f t="shared" si="16"/>
        <v>0</v>
      </c>
      <c r="AH29" s="11">
        <f t="shared" si="17"/>
        <v>0</v>
      </c>
      <c r="AI29" s="11">
        <f t="shared" si="18"/>
        <v>0</v>
      </c>
      <c r="AJ29" s="11">
        <f t="shared" si="19"/>
        <v>0</v>
      </c>
      <c r="AK29" s="11">
        <f t="shared" si="20"/>
        <v>0</v>
      </c>
      <c r="AL29" s="11">
        <f t="shared" si="21"/>
        <v>0</v>
      </c>
      <c r="AM29" s="11">
        <f t="shared" si="22"/>
        <v>0</v>
      </c>
      <c r="AN29" s="11">
        <f t="shared" si="23"/>
        <v>0</v>
      </c>
      <c r="AO29" s="11">
        <f t="shared" si="24"/>
        <v>0</v>
      </c>
      <c r="AP29" s="11">
        <f t="shared" si="25"/>
        <v>0</v>
      </c>
      <c r="AQ29" s="15" t="str">
        <f t="shared" si="33"/>
        <v>Ready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</row>
    <row r="30" spans="2:49" ht="21" customHeight="1" x14ac:dyDescent="0.25">
      <c r="B30" s="16">
        <v>46347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17">
        <f t="shared" si="26"/>
        <v>10</v>
      </c>
      <c r="L30" s="11">
        <f t="shared" si="27"/>
        <v>54000</v>
      </c>
      <c r="M30" s="11">
        <f t="shared" si="28"/>
        <v>46000</v>
      </c>
      <c r="N30" s="11">
        <f t="shared" si="29"/>
        <v>0</v>
      </c>
      <c r="O30" s="11">
        <f t="shared" si="30"/>
        <v>0</v>
      </c>
      <c r="P30" s="11">
        <f t="shared" si="31"/>
        <v>0</v>
      </c>
      <c r="Q30" s="11">
        <f t="shared" si="32"/>
        <v>0</v>
      </c>
      <c r="R30" s="11">
        <f t="shared" si="1"/>
        <v>88.767123287671239</v>
      </c>
      <c r="S30" s="11">
        <f t="shared" si="2"/>
        <v>75.61643835616438</v>
      </c>
      <c r="T30" s="11">
        <f t="shared" si="3"/>
        <v>0</v>
      </c>
      <c r="U30" s="11">
        <f t="shared" si="4"/>
        <v>0</v>
      </c>
      <c r="V30" s="11">
        <f t="shared" si="5"/>
        <v>0</v>
      </c>
      <c r="W30" s="11">
        <f t="shared" si="6"/>
        <v>0</v>
      </c>
      <c r="X30" s="11">
        <f t="shared" si="7"/>
        <v>54000</v>
      </c>
      <c r="Y30" s="11">
        <f t="shared" si="8"/>
        <v>46000</v>
      </c>
      <c r="Z30" s="11">
        <f t="shared" si="9"/>
        <v>0</v>
      </c>
      <c r="AA30" s="11">
        <f t="shared" si="10"/>
        <v>0</v>
      </c>
      <c r="AB30" s="11">
        <f t="shared" si="11"/>
        <v>0</v>
      </c>
      <c r="AC30" s="11">
        <f t="shared" si="12"/>
        <v>0</v>
      </c>
      <c r="AD30" s="11">
        <f t="shared" si="13"/>
        <v>0</v>
      </c>
      <c r="AE30" s="11">
        <f t="shared" si="14"/>
        <v>0</v>
      </c>
      <c r="AF30" s="11">
        <f t="shared" si="15"/>
        <v>0</v>
      </c>
      <c r="AG30" s="11">
        <f t="shared" si="16"/>
        <v>0</v>
      </c>
      <c r="AH30" s="11">
        <f t="shared" si="17"/>
        <v>0</v>
      </c>
      <c r="AI30" s="11">
        <f t="shared" si="18"/>
        <v>0</v>
      </c>
      <c r="AJ30" s="11">
        <f t="shared" si="19"/>
        <v>0</v>
      </c>
      <c r="AK30" s="11">
        <f t="shared" si="20"/>
        <v>0</v>
      </c>
      <c r="AL30" s="11">
        <f t="shared" si="21"/>
        <v>0</v>
      </c>
      <c r="AM30" s="11">
        <f t="shared" si="22"/>
        <v>0</v>
      </c>
      <c r="AN30" s="11">
        <f t="shared" si="23"/>
        <v>0</v>
      </c>
      <c r="AO30" s="11">
        <f t="shared" si="24"/>
        <v>0</v>
      </c>
      <c r="AP30" s="11">
        <f t="shared" si="25"/>
        <v>0</v>
      </c>
      <c r="AQ30" s="15" t="str">
        <f t="shared" si="33"/>
        <v>Ready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</row>
    <row r="31" spans="2:49" ht="21" customHeight="1" x14ac:dyDescent="0.25">
      <c r="B31" s="16">
        <v>46357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17">
        <f t="shared" si="26"/>
        <v>10</v>
      </c>
      <c r="L31" s="11">
        <f t="shared" si="27"/>
        <v>54000</v>
      </c>
      <c r="M31" s="11">
        <f t="shared" si="28"/>
        <v>46000</v>
      </c>
      <c r="N31" s="11">
        <f t="shared" si="29"/>
        <v>0</v>
      </c>
      <c r="O31" s="11">
        <f t="shared" si="30"/>
        <v>0</v>
      </c>
      <c r="P31" s="11">
        <f t="shared" si="31"/>
        <v>0</v>
      </c>
      <c r="Q31" s="11">
        <f t="shared" si="32"/>
        <v>0</v>
      </c>
      <c r="R31" s="11">
        <f t="shared" si="1"/>
        <v>88.767123287671239</v>
      </c>
      <c r="S31" s="11">
        <f t="shared" si="2"/>
        <v>75.61643835616438</v>
      </c>
      <c r="T31" s="11">
        <f t="shared" si="3"/>
        <v>0</v>
      </c>
      <c r="U31" s="11">
        <f t="shared" si="4"/>
        <v>0</v>
      </c>
      <c r="V31" s="11">
        <f t="shared" si="5"/>
        <v>0</v>
      </c>
      <c r="W31" s="11">
        <f t="shared" si="6"/>
        <v>0</v>
      </c>
      <c r="X31" s="11">
        <f t="shared" si="7"/>
        <v>54000</v>
      </c>
      <c r="Y31" s="11">
        <f t="shared" si="8"/>
        <v>46000</v>
      </c>
      <c r="Z31" s="11">
        <f t="shared" si="9"/>
        <v>0</v>
      </c>
      <c r="AA31" s="11">
        <f t="shared" si="10"/>
        <v>0</v>
      </c>
      <c r="AB31" s="11">
        <f t="shared" si="11"/>
        <v>0</v>
      </c>
      <c r="AC31" s="11">
        <f t="shared" si="12"/>
        <v>0</v>
      </c>
      <c r="AD31" s="11">
        <f t="shared" si="13"/>
        <v>0</v>
      </c>
      <c r="AE31" s="11">
        <f t="shared" si="14"/>
        <v>0</v>
      </c>
      <c r="AF31" s="11">
        <f t="shared" si="15"/>
        <v>0</v>
      </c>
      <c r="AG31" s="11">
        <f t="shared" si="16"/>
        <v>0</v>
      </c>
      <c r="AH31" s="11">
        <f t="shared" si="17"/>
        <v>0</v>
      </c>
      <c r="AI31" s="11">
        <f t="shared" si="18"/>
        <v>0</v>
      </c>
      <c r="AJ31" s="11">
        <f t="shared" si="19"/>
        <v>0</v>
      </c>
      <c r="AK31" s="11">
        <f t="shared" si="20"/>
        <v>0</v>
      </c>
      <c r="AL31" s="11">
        <f t="shared" si="21"/>
        <v>0</v>
      </c>
      <c r="AM31" s="11">
        <f t="shared" si="22"/>
        <v>0</v>
      </c>
      <c r="AN31" s="11">
        <f t="shared" si="23"/>
        <v>0</v>
      </c>
      <c r="AO31" s="11">
        <f t="shared" si="24"/>
        <v>0</v>
      </c>
      <c r="AP31" s="11">
        <f t="shared" si="25"/>
        <v>0</v>
      </c>
      <c r="AQ31" s="15" t="str">
        <f t="shared" si="33"/>
        <v>Ready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</row>
    <row r="32" spans="2:49" ht="21" customHeight="1" x14ac:dyDescent="0.25">
      <c r="B32" s="16">
        <v>46367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17">
        <f t="shared" si="26"/>
        <v>10</v>
      </c>
      <c r="L32" s="11">
        <f t="shared" si="27"/>
        <v>54000</v>
      </c>
      <c r="M32" s="11">
        <f t="shared" si="28"/>
        <v>46000</v>
      </c>
      <c r="N32" s="11">
        <f t="shared" si="29"/>
        <v>0</v>
      </c>
      <c r="O32" s="11">
        <f t="shared" si="30"/>
        <v>0</v>
      </c>
      <c r="P32" s="11">
        <f t="shared" si="31"/>
        <v>0</v>
      </c>
      <c r="Q32" s="11">
        <f t="shared" si="32"/>
        <v>0</v>
      </c>
      <c r="R32" s="11">
        <f t="shared" si="1"/>
        <v>88.767123287671239</v>
      </c>
      <c r="S32" s="11">
        <f t="shared" si="2"/>
        <v>75.61643835616438</v>
      </c>
      <c r="T32" s="11">
        <f t="shared" si="3"/>
        <v>0</v>
      </c>
      <c r="U32" s="11">
        <f t="shared" si="4"/>
        <v>0</v>
      </c>
      <c r="V32" s="11">
        <f t="shared" si="5"/>
        <v>0</v>
      </c>
      <c r="W32" s="11">
        <f t="shared" si="6"/>
        <v>0</v>
      </c>
      <c r="X32" s="11">
        <f t="shared" si="7"/>
        <v>54000</v>
      </c>
      <c r="Y32" s="11">
        <f t="shared" si="8"/>
        <v>46000</v>
      </c>
      <c r="Z32" s="11">
        <f t="shared" si="9"/>
        <v>0</v>
      </c>
      <c r="AA32" s="11">
        <f t="shared" si="10"/>
        <v>0</v>
      </c>
      <c r="AB32" s="11">
        <f t="shared" si="11"/>
        <v>0</v>
      </c>
      <c r="AC32" s="11">
        <f t="shared" si="12"/>
        <v>0</v>
      </c>
      <c r="AD32" s="11">
        <f t="shared" si="13"/>
        <v>0</v>
      </c>
      <c r="AE32" s="11">
        <f t="shared" si="14"/>
        <v>0</v>
      </c>
      <c r="AF32" s="11">
        <f t="shared" si="15"/>
        <v>0</v>
      </c>
      <c r="AG32" s="11">
        <f t="shared" si="16"/>
        <v>0</v>
      </c>
      <c r="AH32" s="11">
        <f t="shared" si="17"/>
        <v>0</v>
      </c>
      <c r="AI32" s="11">
        <f t="shared" si="18"/>
        <v>0</v>
      </c>
      <c r="AJ32" s="11">
        <f t="shared" si="19"/>
        <v>0</v>
      </c>
      <c r="AK32" s="11">
        <f t="shared" si="20"/>
        <v>0</v>
      </c>
      <c r="AL32" s="11">
        <f t="shared" si="21"/>
        <v>0</v>
      </c>
      <c r="AM32" s="11">
        <f t="shared" si="22"/>
        <v>0</v>
      </c>
      <c r="AN32" s="11">
        <f t="shared" si="23"/>
        <v>0</v>
      </c>
      <c r="AO32" s="11">
        <f t="shared" si="24"/>
        <v>0</v>
      </c>
      <c r="AP32" s="11">
        <f t="shared" si="25"/>
        <v>0</v>
      </c>
      <c r="AQ32" s="15" t="str">
        <f t="shared" si="33"/>
        <v>Ready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</row>
    <row r="33" spans="2:49" ht="21" customHeight="1" x14ac:dyDescent="0.25">
      <c r="B33" s="16">
        <v>46377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17">
        <f t="shared" si="26"/>
        <v>10</v>
      </c>
      <c r="L33" s="11">
        <f t="shared" si="27"/>
        <v>54000</v>
      </c>
      <c r="M33" s="11">
        <f t="shared" si="28"/>
        <v>46000</v>
      </c>
      <c r="N33" s="11">
        <f t="shared" si="29"/>
        <v>0</v>
      </c>
      <c r="O33" s="11">
        <f t="shared" si="30"/>
        <v>0</v>
      </c>
      <c r="P33" s="11">
        <f t="shared" si="31"/>
        <v>0</v>
      </c>
      <c r="Q33" s="11">
        <f t="shared" si="32"/>
        <v>0</v>
      </c>
      <c r="R33" s="11">
        <f t="shared" si="1"/>
        <v>88.767123287671239</v>
      </c>
      <c r="S33" s="11">
        <f t="shared" si="2"/>
        <v>75.61643835616438</v>
      </c>
      <c r="T33" s="11">
        <f t="shared" si="3"/>
        <v>0</v>
      </c>
      <c r="U33" s="11">
        <f t="shared" si="4"/>
        <v>0</v>
      </c>
      <c r="V33" s="11">
        <f t="shared" si="5"/>
        <v>0</v>
      </c>
      <c r="W33" s="11">
        <f t="shared" si="6"/>
        <v>0</v>
      </c>
      <c r="X33" s="11">
        <f t="shared" si="7"/>
        <v>54000</v>
      </c>
      <c r="Y33" s="11">
        <f t="shared" si="8"/>
        <v>46000</v>
      </c>
      <c r="Z33" s="11">
        <f t="shared" si="9"/>
        <v>0</v>
      </c>
      <c r="AA33" s="11">
        <f t="shared" si="10"/>
        <v>0</v>
      </c>
      <c r="AB33" s="11">
        <f t="shared" si="11"/>
        <v>0</v>
      </c>
      <c r="AC33" s="11">
        <f t="shared" si="12"/>
        <v>0</v>
      </c>
      <c r="AD33" s="11">
        <f t="shared" si="13"/>
        <v>0</v>
      </c>
      <c r="AE33" s="11">
        <f t="shared" si="14"/>
        <v>0</v>
      </c>
      <c r="AF33" s="11">
        <f t="shared" si="15"/>
        <v>0</v>
      </c>
      <c r="AG33" s="11">
        <f t="shared" si="16"/>
        <v>0</v>
      </c>
      <c r="AH33" s="11">
        <f t="shared" si="17"/>
        <v>0</v>
      </c>
      <c r="AI33" s="11">
        <f t="shared" si="18"/>
        <v>0</v>
      </c>
      <c r="AJ33" s="11">
        <f t="shared" si="19"/>
        <v>0</v>
      </c>
      <c r="AK33" s="11">
        <f t="shared" si="20"/>
        <v>0</v>
      </c>
      <c r="AL33" s="11">
        <f t="shared" si="21"/>
        <v>0</v>
      </c>
      <c r="AM33" s="11">
        <f t="shared" si="22"/>
        <v>0</v>
      </c>
      <c r="AN33" s="11">
        <f t="shared" si="23"/>
        <v>0</v>
      </c>
      <c r="AO33" s="11">
        <f t="shared" si="24"/>
        <v>0</v>
      </c>
      <c r="AP33" s="11">
        <f t="shared" si="25"/>
        <v>0</v>
      </c>
      <c r="AQ33" s="15" t="str">
        <f t="shared" si="33"/>
        <v>Ready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</row>
    <row r="34" spans="2:49" ht="21" customHeight="1" x14ac:dyDescent="0.25">
      <c r="B34" s="16">
        <v>46388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17">
        <f t="shared" si="26"/>
        <v>11</v>
      </c>
      <c r="L34" s="11">
        <f t="shared" si="27"/>
        <v>54000</v>
      </c>
      <c r="M34" s="11">
        <f t="shared" si="28"/>
        <v>46000</v>
      </c>
      <c r="N34" s="11">
        <f t="shared" si="29"/>
        <v>0</v>
      </c>
      <c r="O34" s="11">
        <f t="shared" si="30"/>
        <v>0</v>
      </c>
      <c r="P34" s="11">
        <f t="shared" si="31"/>
        <v>0</v>
      </c>
      <c r="Q34" s="11">
        <f t="shared" si="32"/>
        <v>0</v>
      </c>
      <c r="R34" s="11">
        <f t="shared" si="1"/>
        <v>97.643835616438352</v>
      </c>
      <c r="S34" s="11">
        <f t="shared" si="2"/>
        <v>83.178082191780817</v>
      </c>
      <c r="T34" s="11">
        <f t="shared" si="3"/>
        <v>0</v>
      </c>
      <c r="U34" s="11">
        <f t="shared" si="4"/>
        <v>0</v>
      </c>
      <c r="V34" s="11">
        <f t="shared" si="5"/>
        <v>0</v>
      </c>
      <c r="W34" s="11">
        <f t="shared" si="6"/>
        <v>0</v>
      </c>
      <c r="X34" s="11">
        <f t="shared" si="7"/>
        <v>54000</v>
      </c>
      <c r="Y34" s="11">
        <f t="shared" si="8"/>
        <v>46000</v>
      </c>
      <c r="Z34" s="11">
        <f t="shared" si="9"/>
        <v>0</v>
      </c>
      <c r="AA34" s="11">
        <f t="shared" si="10"/>
        <v>0</v>
      </c>
      <c r="AB34" s="11">
        <f t="shared" si="11"/>
        <v>0</v>
      </c>
      <c r="AC34" s="11">
        <f t="shared" si="12"/>
        <v>0</v>
      </c>
      <c r="AD34" s="11">
        <f t="shared" si="13"/>
        <v>0</v>
      </c>
      <c r="AE34" s="11">
        <f t="shared" si="14"/>
        <v>0</v>
      </c>
      <c r="AF34" s="11">
        <f t="shared" si="15"/>
        <v>0</v>
      </c>
      <c r="AG34" s="11">
        <f t="shared" si="16"/>
        <v>0</v>
      </c>
      <c r="AH34" s="11">
        <f t="shared" si="17"/>
        <v>0</v>
      </c>
      <c r="AI34" s="11">
        <f t="shared" si="18"/>
        <v>0</v>
      </c>
      <c r="AJ34" s="11">
        <f t="shared" si="19"/>
        <v>0</v>
      </c>
      <c r="AK34" s="11">
        <f t="shared" si="20"/>
        <v>0</v>
      </c>
      <c r="AL34" s="11">
        <f t="shared" si="21"/>
        <v>0</v>
      </c>
      <c r="AM34" s="11">
        <f t="shared" si="22"/>
        <v>0</v>
      </c>
      <c r="AN34" s="11">
        <f t="shared" si="23"/>
        <v>0</v>
      </c>
      <c r="AO34" s="11">
        <f t="shared" si="24"/>
        <v>0</v>
      </c>
      <c r="AP34" s="11">
        <f t="shared" si="25"/>
        <v>0</v>
      </c>
      <c r="AQ34" s="15" t="str">
        <f t="shared" si="33"/>
        <v>Ready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</row>
    <row r="35" spans="2:49" ht="21" customHeight="1" x14ac:dyDescent="0.25">
      <c r="B35" s="16">
        <v>46398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17">
        <f t="shared" si="26"/>
        <v>10</v>
      </c>
      <c r="L35" s="11">
        <f t="shared" si="27"/>
        <v>54000</v>
      </c>
      <c r="M35" s="11">
        <f t="shared" si="28"/>
        <v>46000</v>
      </c>
      <c r="N35" s="11">
        <f t="shared" si="29"/>
        <v>0</v>
      </c>
      <c r="O35" s="11">
        <f t="shared" si="30"/>
        <v>0</v>
      </c>
      <c r="P35" s="11">
        <f t="shared" si="31"/>
        <v>0</v>
      </c>
      <c r="Q35" s="11">
        <f t="shared" si="32"/>
        <v>0</v>
      </c>
      <c r="R35" s="11">
        <f t="shared" si="1"/>
        <v>88.767123287671239</v>
      </c>
      <c r="S35" s="11">
        <f t="shared" si="2"/>
        <v>75.61643835616438</v>
      </c>
      <c r="T35" s="11">
        <f t="shared" si="3"/>
        <v>0</v>
      </c>
      <c r="U35" s="11">
        <f t="shared" si="4"/>
        <v>0</v>
      </c>
      <c r="V35" s="11">
        <f t="shared" si="5"/>
        <v>0</v>
      </c>
      <c r="W35" s="11">
        <f t="shared" si="6"/>
        <v>0</v>
      </c>
      <c r="X35" s="11">
        <f t="shared" si="7"/>
        <v>54000</v>
      </c>
      <c r="Y35" s="11">
        <f t="shared" si="8"/>
        <v>46000</v>
      </c>
      <c r="Z35" s="11">
        <f t="shared" si="9"/>
        <v>0</v>
      </c>
      <c r="AA35" s="11">
        <f t="shared" si="10"/>
        <v>0</v>
      </c>
      <c r="AB35" s="11">
        <f t="shared" si="11"/>
        <v>0</v>
      </c>
      <c r="AC35" s="11">
        <f t="shared" si="12"/>
        <v>0</v>
      </c>
      <c r="AD35" s="11">
        <f t="shared" si="13"/>
        <v>0</v>
      </c>
      <c r="AE35" s="11">
        <f t="shared" si="14"/>
        <v>0</v>
      </c>
      <c r="AF35" s="11">
        <f t="shared" si="15"/>
        <v>0</v>
      </c>
      <c r="AG35" s="11">
        <f t="shared" si="16"/>
        <v>0</v>
      </c>
      <c r="AH35" s="11">
        <f t="shared" si="17"/>
        <v>0</v>
      </c>
      <c r="AI35" s="11">
        <f t="shared" si="18"/>
        <v>0</v>
      </c>
      <c r="AJ35" s="11">
        <f t="shared" si="19"/>
        <v>0</v>
      </c>
      <c r="AK35" s="11">
        <f t="shared" si="20"/>
        <v>0</v>
      </c>
      <c r="AL35" s="11">
        <f t="shared" si="21"/>
        <v>0</v>
      </c>
      <c r="AM35" s="11">
        <f t="shared" si="22"/>
        <v>0</v>
      </c>
      <c r="AN35" s="11">
        <f t="shared" si="23"/>
        <v>0</v>
      </c>
      <c r="AO35" s="11">
        <f t="shared" si="24"/>
        <v>0</v>
      </c>
      <c r="AP35" s="11">
        <f t="shared" si="25"/>
        <v>0</v>
      </c>
      <c r="AQ35" s="15" t="str">
        <f t="shared" si="33"/>
        <v>Ready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</row>
    <row r="36" spans="2:49" ht="21" customHeight="1" x14ac:dyDescent="0.25">
      <c r="B36" s="16">
        <v>46408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17">
        <f t="shared" si="26"/>
        <v>10</v>
      </c>
      <c r="L36" s="11">
        <f t="shared" si="27"/>
        <v>54000</v>
      </c>
      <c r="M36" s="11">
        <f t="shared" si="28"/>
        <v>46000</v>
      </c>
      <c r="N36" s="11">
        <f t="shared" si="29"/>
        <v>0</v>
      </c>
      <c r="O36" s="11">
        <f t="shared" si="30"/>
        <v>0</v>
      </c>
      <c r="P36" s="11">
        <f t="shared" si="31"/>
        <v>0</v>
      </c>
      <c r="Q36" s="11">
        <f t="shared" si="32"/>
        <v>0</v>
      </c>
      <c r="R36" s="11">
        <f t="shared" si="1"/>
        <v>88.767123287671239</v>
      </c>
      <c r="S36" s="11">
        <f t="shared" si="2"/>
        <v>75.61643835616438</v>
      </c>
      <c r="T36" s="11">
        <f t="shared" si="3"/>
        <v>0</v>
      </c>
      <c r="U36" s="11">
        <f t="shared" si="4"/>
        <v>0</v>
      </c>
      <c r="V36" s="11">
        <f t="shared" si="5"/>
        <v>0</v>
      </c>
      <c r="W36" s="11">
        <f t="shared" si="6"/>
        <v>0</v>
      </c>
      <c r="X36" s="11">
        <f t="shared" si="7"/>
        <v>54000</v>
      </c>
      <c r="Y36" s="11">
        <f t="shared" si="8"/>
        <v>46000</v>
      </c>
      <c r="Z36" s="11">
        <f t="shared" si="9"/>
        <v>0</v>
      </c>
      <c r="AA36" s="11">
        <f t="shared" si="10"/>
        <v>0</v>
      </c>
      <c r="AB36" s="11">
        <f t="shared" si="11"/>
        <v>0</v>
      </c>
      <c r="AC36" s="11">
        <f t="shared" si="12"/>
        <v>0</v>
      </c>
      <c r="AD36" s="11">
        <f t="shared" si="13"/>
        <v>0</v>
      </c>
      <c r="AE36" s="11">
        <f t="shared" si="14"/>
        <v>0</v>
      </c>
      <c r="AF36" s="11">
        <f t="shared" si="15"/>
        <v>0</v>
      </c>
      <c r="AG36" s="11">
        <f t="shared" si="16"/>
        <v>0</v>
      </c>
      <c r="AH36" s="11">
        <f t="shared" si="17"/>
        <v>0</v>
      </c>
      <c r="AI36" s="11">
        <f t="shared" si="18"/>
        <v>0</v>
      </c>
      <c r="AJ36" s="11">
        <f t="shared" si="19"/>
        <v>0</v>
      </c>
      <c r="AK36" s="11">
        <f t="shared" si="20"/>
        <v>0</v>
      </c>
      <c r="AL36" s="11">
        <f t="shared" si="21"/>
        <v>0</v>
      </c>
      <c r="AM36" s="11">
        <f t="shared" si="22"/>
        <v>0</v>
      </c>
      <c r="AN36" s="11">
        <f t="shared" si="23"/>
        <v>0</v>
      </c>
      <c r="AO36" s="11">
        <f t="shared" si="24"/>
        <v>0</v>
      </c>
      <c r="AP36" s="11">
        <f t="shared" si="25"/>
        <v>0</v>
      </c>
      <c r="AQ36" s="15" t="str">
        <f t="shared" si="33"/>
        <v>Ready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</row>
    <row r="37" spans="2:49" ht="21" customHeight="1" x14ac:dyDescent="0.25">
      <c r="B37" s="16">
        <v>46419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17">
        <f t="shared" si="26"/>
        <v>11</v>
      </c>
      <c r="L37" s="11">
        <f t="shared" si="27"/>
        <v>54000</v>
      </c>
      <c r="M37" s="11">
        <f t="shared" si="28"/>
        <v>46000</v>
      </c>
      <c r="N37" s="11">
        <f t="shared" si="29"/>
        <v>0</v>
      </c>
      <c r="O37" s="11">
        <f t="shared" si="30"/>
        <v>0</v>
      </c>
      <c r="P37" s="11">
        <f t="shared" si="31"/>
        <v>0</v>
      </c>
      <c r="Q37" s="11">
        <f t="shared" si="32"/>
        <v>0</v>
      </c>
      <c r="R37" s="11">
        <f t="shared" si="1"/>
        <v>97.643835616438352</v>
      </c>
      <c r="S37" s="11">
        <f t="shared" si="2"/>
        <v>83.178082191780817</v>
      </c>
      <c r="T37" s="11">
        <f t="shared" si="3"/>
        <v>0</v>
      </c>
      <c r="U37" s="11">
        <f t="shared" si="4"/>
        <v>0</v>
      </c>
      <c r="V37" s="11">
        <f t="shared" si="5"/>
        <v>0</v>
      </c>
      <c r="W37" s="11">
        <f t="shared" si="6"/>
        <v>0</v>
      </c>
      <c r="X37" s="11">
        <f t="shared" si="7"/>
        <v>54000</v>
      </c>
      <c r="Y37" s="11">
        <f t="shared" si="8"/>
        <v>46000</v>
      </c>
      <c r="Z37" s="11">
        <f t="shared" si="9"/>
        <v>0</v>
      </c>
      <c r="AA37" s="11">
        <f t="shared" si="10"/>
        <v>0</v>
      </c>
      <c r="AB37" s="11">
        <f t="shared" si="11"/>
        <v>0</v>
      </c>
      <c r="AC37" s="11">
        <f t="shared" si="12"/>
        <v>0</v>
      </c>
      <c r="AD37" s="11">
        <f t="shared" si="13"/>
        <v>0</v>
      </c>
      <c r="AE37" s="11">
        <f t="shared" si="14"/>
        <v>0</v>
      </c>
      <c r="AF37" s="11">
        <f t="shared" si="15"/>
        <v>0</v>
      </c>
      <c r="AG37" s="11">
        <f t="shared" si="16"/>
        <v>0</v>
      </c>
      <c r="AH37" s="11">
        <f t="shared" si="17"/>
        <v>0</v>
      </c>
      <c r="AI37" s="11">
        <f t="shared" si="18"/>
        <v>0</v>
      </c>
      <c r="AJ37" s="11">
        <f t="shared" si="19"/>
        <v>0</v>
      </c>
      <c r="AK37" s="11">
        <f t="shared" si="20"/>
        <v>0</v>
      </c>
      <c r="AL37" s="11">
        <f t="shared" si="21"/>
        <v>0</v>
      </c>
      <c r="AM37" s="11">
        <f t="shared" si="22"/>
        <v>0</v>
      </c>
      <c r="AN37" s="11">
        <f t="shared" si="23"/>
        <v>0</v>
      </c>
      <c r="AO37" s="11">
        <f t="shared" si="24"/>
        <v>0</v>
      </c>
      <c r="AP37" s="11">
        <f t="shared" si="25"/>
        <v>0</v>
      </c>
      <c r="AQ37" s="15" t="str">
        <f t="shared" si="33"/>
        <v>Ready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</row>
    <row r="38" spans="2:49" ht="21" customHeight="1" x14ac:dyDescent="0.25">
      <c r="B38" s="16">
        <v>46429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17">
        <f t="shared" si="26"/>
        <v>10</v>
      </c>
      <c r="L38" s="11">
        <f t="shared" si="27"/>
        <v>54000</v>
      </c>
      <c r="M38" s="11">
        <f t="shared" si="28"/>
        <v>46000</v>
      </c>
      <c r="N38" s="11">
        <f t="shared" si="29"/>
        <v>0</v>
      </c>
      <c r="O38" s="11">
        <f t="shared" si="30"/>
        <v>0</v>
      </c>
      <c r="P38" s="11">
        <f t="shared" si="31"/>
        <v>0</v>
      </c>
      <c r="Q38" s="11">
        <f t="shared" si="32"/>
        <v>0</v>
      </c>
      <c r="R38" s="11">
        <f t="shared" si="1"/>
        <v>88.767123287671239</v>
      </c>
      <c r="S38" s="11">
        <f t="shared" si="2"/>
        <v>75.61643835616438</v>
      </c>
      <c r="T38" s="11">
        <f t="shared" si="3"/>
        <v>0</v>
      </c>
      <c r="U38" s="11">
        <f t="shared" si="4"/>
        <v>0</v>
      </c>
      <c r="V38" s="11">
        <f t="shared" si="5"/>
        <v>0</v>
      </c>
      <c r="W38" s="11">
        <f t="shared" si="6"/>
        <v>0</v>
      </c>
      <c r="X38" s="11">
        <f t="shared" si="7"/>
        <v>54000</v>
      </c>
      <c r="Y38" s="11">
        <f t="shared" si="8"/>
        <v>46000</v>
      </c>
      <c r="Z38" s="11">
        <f t="shared" si="9"/>
        <v>0</v>
      </c>
      <c r="AA38" s="11">
        <f t="shared" si="10"/>
        <v>0</v>
      </c>
      <c r="AB38" s="11">
        <f t="shared" si="11"/>
        <v>0</v>
      </c>
      <c r="AC38" s="11">
        <f t="shared" si="12"/>
        <v>0</v>
      </c>
      <c r="AD38" s="11">
        <f t="shared" si="13"/>
        <v>0</v>
      </c>
      <c r="AE38" s="11">
        <f t="shared" si="14"/>
        <v>0</v>
      </c>
      <c r="AF38" s="11">
        <f t="shared" si="15"/>
        <v>0</v>
      </c>
      <c r="AG38" s="11">
        <f t="shared" si="16"/>
        <v>0</v>
      </c>
      <c r="AH38" s="11">
        <f t="shared" si="17"/>
        <v>0</v>
      </c>
      <c r="AI38" s="11">
        <f t="shared" si="18"/>
        <v>0</v>
      </c>
      <c r="AJ38" s="11">
        <f t="shared" si="19"/>
        <v>0</v>
      </c>
      <c r="AK38" s="11">
        <f t="shared" si="20"/>
        <v>0</v>
      </c>
      <c r="AL38" s="11">
        <f t="shared" si="21"/>
        <v>0</v>
      </c>
      <c r="AM38" s="11">
        <f t="shared" si="22"/>
        <v>0</v>
      </c>
      <c r="AN38" s="11">
        <f t="shared" si="23"/>
        <v>0</v>
      </c>
      <c r="AO38" s="11">
        <f t="shared" si="24"/>
        <v>0</v>
      </c>
      <c r="AP38" s="11">
        <f t="shared" si="25"/>
        <v>0</v>
      </c>
      <c r="AQ38" s="15" t="str">
        <f t="shared" si="33"/>
        <v>Ready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</row>
    <row r="39" spans="2:49" ht="21" customHeight="1" x14ac:dyDescent="0.25">
      <c r="B39" s="16">
        <v>46439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17">
        <f t="shared" si="26"/>
        <v>10</v>
      </c>
      <c r="L39" s="11">
        <f t="shared" si="27"/>
        <v>54000</v>
      </c>
      <c r="M39" s="11">
        <f t="shared" si="28"/>
        <v>46000</v>
      </c>
      <c r="N39" s="11">
        <f t="shared" si="29"/>
        <v>0</v>
      </c>
      <c r="O39" s="11">
        <f t="shared" si="30"/>
        <v>0</v>
      </c>
      <c r="P39" s="11">
        <f t="shared" si="31"/>
        <v>0</v>
      </c>
      <c r="Q39" s="11">
        <f t="shared" si="32"/>
        <v>0</v>
      </c>
      <c r="R39" s="11">
        <f t="shared" si="1"/>
        <v>88.767123287671239</v>
      </c>
      <c r="S39" s="11">
        <f t="shared" si="2"/>
        <v>75.61643835616438</v>
      </c>
      <c r="T39" s="11">
        <f t="shared" si="3"/>
        <v>0</v>
      </c>
      <c r="U39" s="11">
        <f t="shared" si="4"/>
        <v>0</v>
      </c>
      <c r="V39" s="11">
        <f t="shared" si="5"/>
        <v>0</v>
      </c>
      <c r="W39" s="11">
        <f t="shared" si="6"/>
        <v>0</v>
      </c>
      <c r="X39" s="11">
        <f t="shared" si="7"/>
        <v>54000</v>
      </c>
      <c r="Y39" s="11">
        <f t="shared" si="8"/>
        <v>46000</v>
      </c>
      <c r="Z39" s="11">
        <f t="shared" si="9"/>
        <v>0</v>
      </c>
      <c r="AA39" s="11">
        <f t="shared" si="10"/>
        <v>0</v>
      </c>
      <c r="AB39" s="11">
        <f t="shared" si="11"/>
        <v>0</v>
      </c>
      <c r="AC39" s="11">
        <f t="shared" si="12"/>
        <v>0</v>
      </c>
      <c r="AD39" s="11">
        <f t="shared" si="13"/>
        <v>0</v>
      </c>
      <c r="AE39" s="11">
        <f t="shared" si="14"/>
        <v>0</v>
      </c>
      <c r="AF39" s="11">
        <f t="shared" si="15"/>
        <v>0</v>
      </c>
      <c r="AG39" s="11">
        <f t="shared" si="16"/>
        <v>0</v>
      </c>
      <c r="AH39" s="11">
        <f t="shared" si="17"/>
        <v>0</v>
      </c>
      <c r="AI39" s="11">
        <f t="shared" si="18"/>
        <v>0</v>
      </c>
      <c r="AJ39" s="11">
        <f t="shared" si="19"/>
        <v>0</v>
      </c>
      <c r="AK39" s="11">
        <f t="shared" si="20"/>
        <v>0</v>
      </c>
      <c r="AL39" s="11">
        <f t="shared" si="21"/>
        <v>0</v>
      </c>
      <c r="AM39" s="11">
        <f t="shared" si="22"/>
        <v>0</v>
      </c>
      <c r="AN39" s="11">
        <f t="shared" si="23"/>
        <v>0</v>
      </c>
      <c r="AO39" s="11">
        <f t="shared" si="24"/>
        <v>0</v>
      </c>
      <c r="AP39" s="11">
        <f t="shared" si="25"/>
        <v>0</v>
      </c>
      <c r="AQ39" s="15" t="str">
        <f t="shared" si="33"/>
        <v>Ready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</row>
    <row r="40" spans="2:49" ht="21" customHeight="1" x14ac:dyDescent="0.25">
      <c r="B40" s="16">
        <v>46447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17">
        <f t="shared" si="26"/>
        <v>8</v>
      </c>
      <c r="L40" s="11">
        <f t="shared" si="27"/>
        <v>54000</v>
      </c>
      <c r="M40" s="11">
        <f t="shared" si="28"/>
        <v>46000</v>
      </c>
      <c r="N40" s="11">
        <f t="shared" si="29"/>
        <v>0</v>
      </c>
      <c r="O40" s="11">
        <f t="shared" si="30"/>
        <v>0</v>
      </c>
      <c r="P40" s="11">
        <f t="shared" si="31"/>
        <v>0</v>
      </c>
      <c r="Q40" s="11">
        <f t="shared" si="32"/>
        <v>0</v>
      </c>
      <c r="R40" s="11">
        <f t="shared" si="1"/>
        <v>71.013698630136986</v>
      </c>
      <c r="S40" s="11">
        <f t="shared" si="2"/>
        <v>60.493150684931507</v>
      </c>
      <c r="T40" s="11">
        <f t="shared" si="3"/>
        <v>0</v>
      </c>
      <c r="U40" s="11">
        <f t="shared" si="4"/>
        <v>0</v>
      </c>
      <c r="V40" s="11">
        <f t="shared" si="5"/>
        <v>0</v>
      </c>
      <c r="W40" s="11">
        <f t="shared" si="6"/>
        <v>0</v>
      </c>
      <c r="X40" s="11">
        <f t="shared" si="7"/>
        <v>54000</v>
      </c>
      <c r="Y40" s="11">
        <f t="shared" si="8"/>
        <v>46000</v>
      </c>
      <c r="Z40" s="11">
        <f t="shared" si="9"/>
        <v>0</v>
      </c>
      <c r="AA40" s="11">
        <f t="shared" si="10"/>
        <v>0</v>
      </c>
      <c r="AB40" s="11">
        <f t="shared" si="11"/>
        <v>0</v>
      </c>
      <c r="AC40" s="11">
        <f t="shared" si="12"/>
        <v>0</v>
      </c>
      <c r="AD40" s="11">
        <f t="shared" si="13"/>
        <v>0</v>
      </c>
      <c r="AE40" s="11">
        <f t="shared" si="14"/>
        <v>0</v>
      </c>
      <c r="AF40" s="11">
        <f t="shared" si="15"/>
        <v>0</v>
      </c>
      <c r="AG40" s="11">
        <f t="shared" si="16"/>
        <v>0</v>
      </c>
      <c r="AH40" s="11">
        <f t="shared" si="17"/>
        <v>0</v>
      </c>
      <c r="AI40" s="11">
        <f t="shared" si="18"/>
        <v>0</v>
      </c>
      <c r="AJ40" s="11">
        <f t="shared" si="19"/>
        <v>0</v>
      </c>
      <c r="AK40" s="11">
        <f t="shared" si="20"/>
        <v>0</v>
      </c>
      <c r="AL40" s="11">
        <f t="shared" si="21"/>
        <v>0</v>
      </c>
      <c r="AM40" s="11">
        <f t="shared" si="22"/>
        <v>0</v>
      </c>
      <c r="AN40" s="11">
        <f t="shared" si="23"/>
        <v>0</v>
      </c>
      <c r="AO40" s="11">
        <f t="shared" si="24"/>
        <v>0</v>
      </c>
      <c r="AP40" s="11">
        <f t="shared" si="25"/>
        <v>0</v>
      </c>
      <c r="AQ40" s="15" t="str">
        <f t="shared" si="33"/>
        <v>Ready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</row>
    <row r="41" spans="2:49" ht="21" customHeight="1" x14ac:dyDescent="0.25">
      <c r="B41" s="16">
        <v>46457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17">
        <f t="shared" si="26"/>
        <v>10</v>
      </c>
      <c r="L41" s="11">
        <f t="shared" si="27"/>
        <v>54000</v>
      </c>
      <c r="M41" s="11">
        <f t="shared" si="28"/>
        <v>46000</v>
      </c>
      <c r="N41" s="11">
        <f t="shared" si="29"/>
        <v>0</v>
      </c>
      <c r="O41" s="11">
        <f t="shared" si="30"/>
        <v>0</v>
      </c>
      <c r="P41" s="11">
        <f t="shared" si="31"/>
        <v>0</v>
      </c>
      <c r="Q41" s="11">
        <f t="shared" si="32"/>
        <v>0</v>
      </c>
      <c r="R41" s="11">
        <f t="shared" si="1"/>
        <v>88.767123287671239</v>
      </c>
      <c r="S41" s="11">
        <f t="shared" si="2"/>
        <v>75.61643835616438</v>
      </c>
      <c r="T41" s="11">
        <f t="shared" si="3"/>
        <v>0</v>
      </c>
      <c r="U41" s="11">
        <f t="shared" si="4"/>
        <v>0</v>
      </c>
      <c r="V41" s="11">
        <f t="shared" si="5"/>
        <v>0</v>
      </c>
      <c r="W41" s="11">
        <f t="shared" si="6"/>
        <v>0</v>
      </c>
      <c r="X41" s="11">
        <f t="shared" si="7"/>
        <v>54000</v>
      </c>
      <c r="Y41" s="11">
        <f t="shared" si="8"/>
        <v>46000</v>
      </c>
      <c r="Z41" s="11">
        <f t="shared" si="9"/>
        <v>0</v>
      </c>
      <c r="AA41" s="11">
        <f t="shared" si="10"/>
        <v>0</v>
      </c>
      <c r="AB41" s="11">
        <f t="shared" si="11"/>
        <v>0</v>
      </c>
      <c r="AC41" s="11">
        <f t="shared" si="12"/>
        <v>0</v>
      </c>
      <c r="AD41" s="11">
        <f t="shared" si="13"/>
        <v>0</v>
      </c>
      <c r="AE41" s="11">
        <f t="shared" si="14"/>
        <v>0</v>
      </c>
      <c r="AF41" s="11">
        <f t="shared" si="15"/>
        <v>0</v>
      </c>
      <c r="AG41" s="11">
        <f t="shared" si="16"/>
        <v>0</v>
      </c>
      <c r="AH41" s="11">
        <f t="shared" si="17"/>
        <v>0</v>
      </c>
      <c r="AI41" s="11">
        <f t="shared" si="18"/>
        <v>0</v>
      </c>
      <c r="AJ41" s="11">
        <f t="shared" si="19"/>
        <v>0</v>
      </c>
      <c r="AK41" s="11">
        <f t="shared" si="20"/>
        <v>0</v>
      </c>
      <c r="AL41" s="11">
        <f t="shared" si="21"/>
        <v>0</v>
      </c>
      <c r="AM41" s="11">
        <f t="shared" si="22"/>
        <v>0</v>
      </c>
      <c r="AN41" s="11">
        <f t="shared" si="23"/>
        <v>0</v>
      </c>
      <c r="AO41" s="11">
        <f t="shared" si="24"/>
        <v>0</v>
      </c>
      <c r="AP41" s="11">
        <f t="shared" si="25"/>
        <v>0</v>
      </c>
      <c r="AQ41" s="15" t="str">
        <f t="shared" si="33"/>
        <v>Ready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</row>
    <row r="42" spans="2:49" ht="21" customHeight="1" x14ac:dyDescent="0.25">
      <c r="B42" s="16">
        <v>46467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17">
        <f t="shared" si="26"/>
        <v>10</v>
      </c>
      <c r="L42" s="11">
        <f t="shared" si="27"/>
        <v>54000</v>
      </c>
      <c r="M42" s="11">
        <f t="shared" si="28"/>
        <v>46000</v>
      </c>
      <c r="N42" s="11">
        <f t="shared" si="29"/>
        <v>0</v>
      </c>
      <c r="O42" s="11">
        <f t="shared" si="30"/>
        <v>0</v>
      </c>
      <c r="P42" s="11">
        <f t="shared" si="31"/>
        <v>0</v>
      </c>
      <c r="Q42" s="11">
        <f t="shared" si="32"/>
        <v>0</v>
      </c>
      <c r="R42" s="11">
        <f t="shared" si="1"/>
        <v>88.767123287671239</v>
      </c>
      <c r="S42" s="11">
        <f t="shared" si="2"/>
        <v>75.61643835616438</v>
      </c>
      <c r="T42" s="11">
        <f t="shared" si="3"/>
        <v>0</v>
      </c>
      <c r="U42" s="11">
        <f t="shared" si="4"/>
        <v>0</v>
      </c>
      <c r="V42" s="11">
        <f t="shared" si="5"/>
        <v>0</v>
      </c>
      <c r="W42" s="11">
        <f t="shared" si="6"/>
        <v>0</v>
      </c>
      <c r="X42" s="11">
        <f t="shared" si="7"/>
        <v>54000</v>
      </c>
      <c r="Y42" s="11">
        <f t="shared" si="8"/>
        <v>46000</v>
      </c>
      <c r="Z42" s="11">
        <f t="shared" si="9"/>
        <v>0</v>
      </c>
      <c r="AA42" s="11">
        <f t="shared" si="10"/>
        <v>0</v>
      </c>
      <c r="AB42" s="11">
        <f t="shared" si="11"/>
        <v>0</v>
      </c>
      <c r="AC42" s="11">
        <f t="shared" si="12"/>
        <v>0</v>
      </c>
      <c r="AD42" s="11">
        <f t="shared" si="13"/>
        <v>0</v>
      </c>
      <c r="AE42" s="11">
        <f t="shared" si="14"/>
        <v>0</v>
      </c>
      <c r="AF42" s="11">
        <f t="shared" si="15"/>
        <v>0</v>
      </c>
      <c r="AG42" s="11">
        <f t="shared" si="16"/>
        <v>0</v>
      </c>
      <c r="AH42" s="11">
        <f t="shared" si="17"/>
        <v>0</v>
      </c>
      <c r="AI42" s="11">
        <f t="shared" si="18"/>
        <v>0</v>
      </c>
      <c r="AJ42" s="11">
        <f t="shared" si="19"/>
        <v>0</v>
      </c>
      <c r="AK42" s="11">
        <f t="shared" si="20"/>
        <v>0</v>
      </c>
      <c r="AL42" s="11">
        <f t="shared" si="21"/>
        <v>0</v>
      </c>
      <c r="AM42" s="11">
        <f t="shared" si="22"/>
        <v>0</v>
      </c>
      <c r="AN42" s="11">
        <f t="shared" si="23"/>
        <v>0</v>
      </c>
      <c r="AO42" s="11">
        <f t="shared" si="24"/>
        <v>0</v>
      </c>
      <c r="AP42" s="11">
        <f t="shared" si="25"/>
        <v>0</v>
      </c>
      <c r="AQ42" s="15" t="str">
        <f t="shared" si="33"/>
        <v>Ready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</row>
    <row r="43" spans="2:49" ht="21" customHeight="1" x14ac:dyDescent="0.25">
      <c r="B43" s="16">
        <v>46478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17">
        <f t="shared" si="26"/>
        <v>11</v>
      </c>
      <c r="L43" s="11">
        <f t="shared" si="27"/>
        <v>54000</v>
      </c>
      <c r="M43" s="11">
        <f t="shared" si="28"/>
        <v>46000</v>
      </c>
      <c r="N43" s="11">
        <f t="shared" si="29"/>
        <v>0</v>
      </c>
      <c r="O43" s="11">
        <f t="shared" si="30"/>
        <v>0</v>
      </c>
      <c r="P43" s="11">
        <f t="shared" si="31"/>
        <v>0</v>
      </c>
      <c r="Q43" s="11">
        <f t="shared" si="32"/>
        <v>0</v>
      </c>
      <c r="R43" s="11">
        <f t="shared" si="1"/>
        <v>97.643835616438352</v>
      </c>
      <c r="S43" s="11">
        <f t="shared" si="2"/>
        <v>83.178082191780817</v>
      </c>
      <c r="T43" s="11">
        <f t="shared" si="3"/>
        <v>0</v>
      </c>
      <c r="U43" s="11">
        <f t="shared" si="4"/>
        <v>0</v>
      </c>
      <c r="V43" s="11">
        <f t="shared" si="5"/>
        <v>0</v>
      </c>
      <c r="W43" s="11">
        <f t="shared" si="6"/>
        <v>0</v>
      </c>
      <c r="X43" s="11">
        <f t="shared" si="7"/>
        <v>54000</v>
      </c>
      <c r="Y43" s="11">
        <f t="shared" si="8"/>
        <v>46000</v>
      </c>
      <c r="Z43" s="11">
        <f t="shared" si="9"/>
        <v>0</v>
      </c>
      <c r="AA43" s="11">
        <f t="shared" si="10"/>
        <v>0</v>
      </c>
      <c r="AB43" s="11">
        <f t="shared" si="11"/>
        <v>0</v>
      </c>
      <c r="AC43" s="11">
        <f t="shared" si="12"/>
        <v>0</v>
      </c>
      <c r="AD43" s="11">
        <f t="shared" si="13"/>
        <v>0</v>
      </c>
      <c r="AE43" s="11">
        <f t="shared" si="14"/>
        <v>0</v>
      </c>
      <c r="AF43" s="11">
        <f t="shared" si="15"/>
        <v>0</v>
      </c>
      <c r="AG43" s="11">
        <f t="shared" si="16"/>
        <v>0</v>
      </c>
      <c r="AH43" s="11">
        <f t="shared" si="17"/>
        <v>0</v>
      </c>
      <c r="AI43" s="11">
        <f t="shared" si="18"/>
        <v>0</v>
      </c>
      <c r="AJ43" s="11">
        <f t="shared" si="19"/>
        <v>0</v>
      </c>
      <c r="AK43" s="11">
        <f t="shared" si="20"/>
        <v>0</v>
      </c>
      <c r="AL43" s="11">
        <f t="shared" si="21"/>
        <v>0</v>
      </c>
      <c r="AM43" s="11">
        <f t="shared" si="22"/>
        <v>0</v>
      </c>
      <c r="AN43" s="11">
        <f t="shared" si="23"/>
        <v>0</v>
      </c>
      <c r="AO43" s="11">
        <f t="shared" si="24"/>
        <v>0</v>
      </c>
      <c r="AP43" s="11">
        <f t="shared" si="25"/>
        <v>0</v>
      </c>
      <c r="AQ43" s="15" t="str">
        <f t="shared" si="33"/>
        <v>Ready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</row>
    <row r="44" spans="2:49" ht="21" customHeight="1" x14ac:dyDescent="0.25">
      <c r="B44" s="16">
        <v>46488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17">
        <f t="shared" si="26"/>
        <v>10</v>
      </c>
      <c r="L44" s="11">
        <f t="shared" si="27"/>
        <v>54000</v>
      </c>
      <c r="M44" s="11">
        <f t="shared" si="28"/>
        <v>46000</v>
      </c>
      <c r="N44" s="11">
        <f t="shared" si="29"/>
        <v>0</v>
      </c>
      <c r="O44" s="11">
        <f t="shared" si="30"/>
        <v>0</v>
      </c>
      <c r="P44" s="11">
        <f t="shared" si="31"/>
        <v>0</v>
      </c>
      <c r="Q44" s="11">
        <f t="shared" si="32"/>
        <v>0</v>
      </c>
      <c r="R44" s="11">
        <f t="shared" si="1"/>
        <v>88.767123287671239</v>
      </c>
      <c r="S44" s="11">
        <f t="shared" si="2"/>
        <v>75.61643835616438</v>
      </c>
      <c r="T44" s="11">
        <f t="shared" si="3"/>
        <v>0</v>
      </c>
      <c r="U44" s="11">
        <f t="shared" si="4"/>
        <v>0</v>
      </c>
      <c r="V44" s="11">
        <f t="shared" si="5"/>
        <v>0</v>
      </c>
      <c r="W44" s="11">
        <f t="shared" si="6"/>
        <v>0</v>
      </c>
      <c r="X44" s="11">
        <f t="shared" si="7"/>
        <v>54000</v>
      </c>
      <c r="Y44" s="11">
        <f t="shared" si="8"/>
        <v>46000</v>
      </c>
      <c r="Z44" s="11">
        <f t="shared" si="9"/>
        <v>0</v>
      </c>
      <c r="AA44" s="11">
        <f t="shared" si="10"/>
        <v>0</v>
      </c>
      <c r="AB44" s="11">
        <f t="shared" si="11"/>
        <v>0</v>
      </c>
      <c r="AC44" s="11">
        <f t="shared" si="12"/>
        <v>0</v>
      </c>
      <c r="AD44" s="11">
        <f t="shared" si="13"/>
        <v>0</v>
      </c>
      <c r="AE44" s="11">
        <f t="shared" si="14"/>
        <v>0</v>
      </c>
      <c r="AF44" s="11">
        <f t="shared" si="15"/>
        <v>0</v>
      </c>
      <c r="AG44" s="11">
        <f t="shared" si="16"/>
        <v>0</v>
      </c>
      <c r="AH44" s="11">
        <f t="shared" si="17"/>
        <v>0</v>
      </c>
      <c r="AI44" s="11">
        <f t="shared" si="18"/>
        <v>0</v>
      </c>
      <c r="AJ44" s="11">
        <f t="shared" si="19"/>
        <v>0</v>
      </c>
      <c r="AK44" s="11">
        <f t="shared" si="20"/>
        <v>0</v>
      </c>
      <c r="AL44" s="11">
        <f t="shared" si="21"/>
        <v>0</v>
      </c>
      <c r="AM44" s="11">
        <f t="shared" si="22"/>
        <v>0</v>
      </c>
      <c r="AN44" s="11">
        <f t="shared" si="23"/>
        <v>0</v>
      </c>
      <c r="AO44" s="11">
        <f t="shared" si="24"/>
        <v>0</v>
      </c>
      <c r="AP44" s="11">
        <f t="shared" si="25"/>
        <v>0</v>
      </c>
      <c r="AQ44" s="15" t="str">
        <f t="shared" si="33"/>
        <v>Ready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</row>
    <row r="45" spans="2:49" ht="21" customHeight="1" x14ac:dyDescent="0.25">
      <c r="B45" s="16">
        <v>46498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17">
        <f t="shared" si="26"/>
        <v>10</v>
      </c>
      <c r="L45" s="11">
        <f t="shared" si="27"/>
        <v>54000</v>
      </c>
      <c r="M45" s="11">
        <f t="shared" si="28"/>
        <v>46000</v>
      </c>
      <c r="N45" s="11">
        <f t="shared" si="29"/>
        <v>0</v>
      </c>
      <c r="O45" s="11">
        <f t="shared" si="30"/>
        <v>0</v>
      </c>
      <c r="P45" s="11">
        <f t="shared" si="31"/>
        <v>0</v>
      </c>
      <c r="Q45" s="11">
        <f t="shared" si="32"/>
        <v>0</v>
      </c>
      <c r="R45" s="11">
        <f t="shared" si="1"/>
        <v>88.767123287671239</v>
      </c>
      <c r="S45" s="11">
        <f t="shared" si="2"/>
        <v>75.61643835616438</v>
      </c>
      <c r="T45" s="11">
        <f t="shared" si="3"/>
        <v>0</v>
      </c>
      <c r="U45" s="11">
        <f t="shared" si="4"/>
        <v>0</v>
      </c>
      <c r="V45" s="11">
        <f t="shared" si="5"/>
        <v>0</v>
      </c>
      <c r="W45" s="11">
        <f t="shared" si="6"/>
        <v>0</v>
      </c>
      <c r="X45" s="11">
        <f t="shared" si="7"/>
        <v>54000</v>
      </c>
      <c r="Y45" s="11">
        <f t="shared" si="8"/>
        <v>46000</v>
      </c>
      <c r="Z45" s="11">
        <f t="shared" si="9"/>
        <v>0</v>
      </c>
      <c r="AA45" s="11">
        <f t="shared" si="10"/>
        <v>0</v>
      </c>
      <c r="AB45" s="11">
        <f t="shared" si="11"/>
        <v>0</v>
      </c>
      <c r="AC45" s="11">
        <f t="shared" si="12"/>
        <v>0</v>
      </c>
      <c r="AD45" s="11">
        <f t="shared" si="13"/>
        <v>0</v>
      </c>
      <c r="AE45" s="11">
        <f t="shared" si="14"/>
        <v>0</v>
      </c>
      <c r="AF45" s="11">
        <f t="shared" si="15"/>
        <v>0</v>
      </c>
      <c r="AG45" s="11">
        <f t="shared" si="16"/>
        <v>0</v>
      </c>
      <c r="AH45" s="11">
        <f t="shared" si="17"/>
        <v>0</v>
      </c>
      <c r="AI45" s="11">
        <f t="shared" si="18"/>
        <v>0</v>
      </c>
      <c r="AJ45" s="11">
        <f t="shared" si="19"/>
        <v>0</v>
      </c>
      <c r="AK45" s="11">
        <f t="shared" si="20"/>
        <v>0</v>
      </c>
      <c r="AL45" s="11">
        <f t="shared" si="21"/>
        <v>0</v>
      </c>
      <c r="AM45" s="11">
        <f t="shared" si="22"/>
        <v>0</v>
      </c>
      <c r="AN45" s="11">
        <f t="shared" si="23"/>
        <v>0</v>
      </c>
      <c r="AO45" s="11">
        <f t="shared" si="24"/>
        <v>0</v>
      </c>
      <c r="AP45" s="11">
        <f t="shared" si="25"/>
        <v>0</v>
      </c>
      <c r="AQ45" s="15" t="str">
        <f t="shared" si="33"/>
        <v>Ready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</row>
    <row r="46" spans="2:49" ht="21" customHeight="1" x14ac:dyDescent="0.25">
      <c r="B46" s="16">
        <v>46508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17">
        <f t="shared" si="26"/>
        <v>10</v>
      </c>
      <c r="L46" s="11">
        <f t="shared" si="27"/>
        <v>54000</v>
      </c>
      <c r="M46" s="11">
        <f t="shared" si="28"/>
        <v>46000</v>
      </c>
      <c r="N46" s="11">
        <f t="shared" si="29"/>
        <v>0</v>
      </c>
      <c r="O46" s="11">
        <f t="shared" si="30"/>
        <v>0</v>
      </c>
      <c r="P46" s="11">
        <f t="shared" si="31"/>
        <v>0</v>
      </c>
      <c r="Q46" s="11">
        <f t="shared" si="32"/>
        <v>0</v>
      </c>
      <c r="R46" s="11">
        <f t="shared" si="1"/>
        <v>88.767123287671239</v>
      </c>
      <c r="S46" s="11">
        <f t="shared" si="2"/>
        <v>75.61643835616438</v>
      </c>
      <c r="T46" s="11">
        <f t="shared" si="3"/>
        <v>0</v>
      </c>
      <c r="U46" s="11">
        <f t="shared" si="4"/>
        <v>0</v>
      </c>
      <c r="V46" s="11">
        <f t="shared" si="5"/>
        <v>0</v>
      </c>
      <c r="W46" s="11">
        <f t="shared" si="6"/>
        <v>0</v>
      </c>
      <c r="X46" s="11">
        <f t="shared" si="7"/>
        <v>54000</v>
      </c>
      <c r="Y46" s="11">
        <f t="shared" si="8"/>
        <v>46000</v>
      </c>
      <c r="Z46" s="11">
        <f t="shared" si="9"/>
        <v>0</v>
      </c>
      <c r="AA46" s="11">
        <f t="shared" si="10"/>
        <v>0</v>
      </c>
      <c r="AB46" s="11">
        <f t="shared" si="11"/>
        <v>0</v>
      </c>
      <c r="AC46" s="11">
        <f t="shared" si="12"/>
        <v>0</v>
      </c>
      <c r="AD46" s="11">
        <f t="shared" si="13"/>
        <v>0</v>
      </c>
      <c r="AE46" s="11">
        <f t="shared" si="14"/>
        <v>0</v>
      </c>
      <c r="AF46" s="11">
        <f t="shared" si="15"/>
        <v>0</v>
      </c>
      <c r="AG46" s="11">
        <f t="shared" si="16"/>
        <v>0</v>
      </c>
      <c r="AH46" s="11">
        <f t="shared" si="17"/>
        <v>0</v>
      </c>
      <c r="AI46" s="11">
        <f t="shared" si="18"/>
        <v>0</v>
      </c>
      <c r="AJ46" s="11">
        <f t="shared" si="19"/>
        <v>0</v>
      </c>
      <c r="AK46" s="11">
        <f t="shared" si="20"/>
        <v>0</v>
      </c>
      <c r="AL46" s="11">
        <f t="shared" si="21"/>
        <v>0</v>
      </c>
      <c r="AM46" s="11">
        <f t="shared" si="22"/>
        <v>0</v>
      </c>
      <c r="AN46" s="11">
        <f t="shared" si="23"/>
        <v>0</v>
      </c>
      <c r="AO46" s="11">
        <f t="shared" si="24"/>
        <v>0</v>
      </c>
      <c r="AP46" s="11">
        <f t="shared" si="25"/>
        <v>0</v>
      </c>
      <c r="AQ46" s="15" t="str">
        <f t="shared" si="33"/>
        <v>Ready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</row>
    <row r="47" spans="2:49" ht="21" customHeight="1" x14ac:dyDescent="0.25">
      <c r="B47" s="16">
        <v>46518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17">
        <f t="shared" si="26"/>
        <v>10</v>
      </c>
      <c r="L47" s="11">
        <f t="shared" si="27"/>
        <v>54000</v>
      </c>
      <c r="M47" s="11">
        <f t="shared" si="28"/>
        <v>46000</v>
      </c>
      <c r="N47" s="11">
        <f t="shared" si="29"/>
        <v>0</v>
      </c>
      <c r="O47" s="11">
        <f t="shared" si="30"/>
        <v>0</v>
      </c>
      <c r="P47" s="11">
        <f t="shared" si="31"/>
        <v>0</v>
      </c>
      <c r="Q47" s="11">
        <f t="shared" si="32"/>
        <v>0</v>
      </c>
      <c r="R47" s="11">
        <f t="shared" si="1"/>
        <v>88.767123287671239</v>
      </c>
      <c r="S47" s="11">
        <f t="shared" si="2"/>
        <v>75.61643835616438</v>
      </c>
      <c r="T47" s="11">
        <f t="shared" si="3"/>
        <v>0</v>
      </c>
      <c r="U47" s="11">
        <f t="shared" si="4"/>
        <v>0</v>
      </c>
      <c r="V47" s="11">
        <f t="shared" si="5"/>
        <v>0</v>
      </c>
      <c r="W47" s="11">
        <f t="shared" si="6"/>
        <v>0</v>
      </c>
      <c r="X47" s="11">
        <f t="shared" si="7"/>
        <v>54000</v>
      </c>
      <c r="Y47" s="11">
        <f t="shared" si="8"/>
        <v>46000</v>
      </c>
      <c r="Z47" s="11">
        <f t="shared" si="9"/>
        <v>0</v>
      </c>
      <c r="AA47" s="11">
        <f t="shared" si="10"/>
        <v>0</v>
      </c>
      <c r="AB47" s="11">
        <f t="shared" si="11"/>
        <v>0</v>
      </c>
      <c r="AC47" s="11">
        <f t="shared" si="12"/>
        <v>0</v>
      </c>
      <c r="AD47" s="11">
        <f t="shared" si="13"/>
        <v>0</v>
      </c>
      <c r="AE47" s="11">
        <f t="shared" si="14"/>
        <v>0</v>
      </c>
      <c r="AF47" s="11">
        <f t="shared" si="15"/>
        <v>0</v>
      </c>
      <c r="AG47" s="11">
        <f t="shared" si="16"/>
        <v>0</v>
      </c>
      <c r="AH47" s="11">
        <f t="shared" si="17"/>
        <v>0</v>
      </c>
      <c r="AI47" s="11">
        <f t="shared" si="18"/>
        <v>0</v>
      </c>
      <c r="AJ47" s="11">
        <f t="shared" si="19"/>
        <v>0</v>
      </c>
      <c r="AK47" s="11">
        <f t="shared" si="20"/>
        <v>0</v>
      </c>
      <c r="AL47" s="11">
        <f t="shared" si="21"/>
        <v>0</v>
      </c>
      <c r="AM47" s="11">
        <f t="shared" si="22"/>
        <v>0</v>
      </c>
      <c r="AN47" s="11">
        <f t="shared" si="23"/>
        <v>0</v>
      </c>
      <c r="AO47" s="11">
        <f t="shared" si="24"/>
        <v>0</v>
      </c>
      <c r="AP47" s="11">
        <f t="shared" si="25"/>
        <v>0</v>
      </c>
      <c r="AQ47" s="15" t="str">
        <f t="shared" si="33"/>
        <v>Ready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</row>
    <row r="48" spans="2:49" ht="21" customHeight="1" x14ac:dyDescent="0.25">
      <c r="B48" s="16">
        <v>46528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17">
        <f t="shared" si="26"/>
        <v>10</v>
      </c>
      <c r="L48" s="11">
        <f t="shared" si="27"/>
        <v>54000</v>
      </c>
      <c r="M48" s="11">
        <f t="shared" si="28"/>
        <v>46000</v>
      </c>
      <c r="N48" s="11">
        <f t="shared" si="29"/>
        <v>0</v>
      </c>
      <c r="O48" s="11">
        <f t="shared" si="30"/>
        <v>0</v>
      </c>
      <c r="P48" s="11">
        <f t="shared" si="31"/>
        <v>0</v>
      </c>
      <c r="Q48" s="11">
        <f t="shared" si="32"/>
        <v>0</v>
      </c>
      <c r="R48" s="11">
        <f t="shared" si="1"/>
        <v>88.767123287671239</v>
      </c>
      <c r="S48" s="11">
        <f t="shared" si="2"/>
        <v>75.61643835616438</v>
      </c>
      <c r="T48" s="11">
        <f t="shared" si="3"/>
        <v>0</v>
      </c>
      <c r="U48" s="11">
        <f t="shared" si="4"/>
        <v>0</v>
      </c>
      <c r="V48" s="11">
        <f t="shared" si="5"/>
        <v>0</v>
      </c>
      <c r="W48" s="11">
        <f t="shared" si="6"/>
        <v>0</v>
      </c>
      <c r="X48" s="11">
        <f t="shared" si="7"/>
        <v>54000</v>
      </c>
      <c r="Y48" s="11">
        <f t="shared" si="8"/>
        <v>46000</v>
      </c>
      <c r="Z48" s="11">
        <f t="shared" si="9"/>
        <v>0</v>
      </c>
      <c r="AA48" s="11">
        <f t="shared" si="10"/>
        <v>0</v>
      </c>
      <c r="AB48" s="11">
        <f t="shared" si="11"/>
        <v>0</v>
      </c>
      <c r="AC48" s="11">
        <f t="shared" si="12"/>
        <v>0</v>
      </c>
      <c r="AD48" s="11">
        <f t="shared" si="13"/>
        <v>0</v>
      </c>
      <c r="AE48" s="11">
        <f t="shared" si="14"/>
        <v>0</v>
      </c>
      <c r="AF48" s="11">
        <f t="shared" si="15"/>
        <v>0</v>
      </c>
      <c r="AG48" s="11">
        <f t="shared" si="16"/>
        <v>0</v>
      </c>
      <c r="AH48" s="11">
        <f t="shared" si="17"/>
        <v>0</v>
      </c>
      <c r="AI48" s="11">
        <f t="shared" si="18"/>
        <v>0</v>
      </c>
      <c r="AJ48" s="11">
        <f t="shared" si="19"/>
        <v>0</v>
      </c>
      <c r="AK48" s="11">
        <f t="shared" si="20"/>
        <v>0</v>
      </c>
      <c r="AL48" s="11">
        <f t="shared" si="21"/>
        <v>0</v>
      </c>
      <c r="AM48" s="11">
        <f t="shared" si="22"/>
        <v>0</v>
      </c>
      <c r="AN48" s="11">
        <f t="shared" si="23"/>
        <v>0</v>
      </c>
      <c r="AO48" s="11">
        <f t="shared" si="24"/>
        <v>0</v>
      </c>
      <c r="AP48" s="11">
        <f t="shared" si="25"/>
        <v>0</v>
      </c>
      <c r="AQ48" s="15" t="str">
        <f t="shared" si="33"/>
        <v>Ready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</row>
    <row r="49" spans="2:49" ht="21" customHeight="1" x14ac:dyDescent="0.25">
      <c r="B49" s="16">
        <v>46539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17">
        <f t="shared" si="26"/>
        <v>11</v>
      </c>
      <c r="L49" s="11">
        <f t="shared" si="27"/>
        <v>54000</v>
      </c>
      <c r="M49" s="11">
        <f t="shared" si="28"/>
        <v>46000</v>
      </c>
      <c r="N49" s="11">
        <f t="shared" si="29"/>
        <v>0</v>
      </c>
      <c r="O49" s="11">
        <f t="shared" si="30"/>
        <v>0</v>
      </c>
      <c r="P49" s="11">
        <f t="shared" si="31"/>
        <v>0</v>
      </c>
      <c r="Q49" s="11">
        <f t="shared" si="32"/>
        <v>0</v>
      </c>
      <c r="R49" s="11">
        <f t="shared" si="1"/>
        <v>97.643835616438352</v>
      </c>
      <c r="S49" s="11">
        <f t="shared" si="2"/>
        <v>83.178082191780817</v>
      </c>
      <c r="T49" s="11">
        <f t="shared" si="3"/>
        <v>0</v>
      </c>
      <c r="U49" s="11">
        <f t="shared" si="4"/>
        <v>0</v>
      </c>
      <c r="V49" s="11">
        <f t="shared" si="5"/>
        <v>0</v>
      </c>
      <c r="W49" s="11">
        <f t="shared" si="6"/>
        <v>0</v>
      </c>
      <c r="X49" s="11">
        <f t="shared" si="7"/>
        <v>54000</v>
      </c>
      <c r="Y49" s="11">
        <f t="shared" si="8"/>
        <v>46000</v>
      </c>
      <c r="Z49" s="11">
        <f t="shared" si="9"/>
        <v>0</v>
      </c>
      <c r="AA49" s="11">
        <f t="shared" si="10"/>
        <v>0</v>
      </c>
      <c r="AB49" s="11">
        <f t="shared" si="11"/>
        <v>0</v>
      </c>
      <c r="AC49" s="11">
        <f t="shared" si="12"/>
        <v>0</v>
      </c>
      <c r="AD49" s="11">
        <f t="shared" si="13"/>
        <v>0</v>
      </c>
      <c r="AE49" s="11">
        <f t="shared" si="14"/>
        <v>0</v>
      </c>
      <c r="AF49" s="11">
        <f t="shared" si="15"/>
        <v>0</v>
      </c>
      <c r="AG49" s="11">
        <f t="shared" si="16"/>
        <v>0</v>
      </c>
      <c r="AH49" s="11">
        <f t="shared" si="17"/>
        <v>0</v>
      </c>
      <c r="AI49" s="11">
        <f t="shared" si="18"/>
        <v>0</v>
      </c>
      <c r="AJ49" s="11">
        <f t="shared" si="19"/>
        <v>0</v>
      </c>
      <c r="AK49" s="11">
        <f t="shared" si="20"/>
        <v>0</v>
      </c>
      <c r="AL49" s="11">
        <f t="shared" si="21"/>
        <v>0</v>
      </c>
      <c r="AM49" s="11">
        <f t="shared" si="22"/>
        <v>0</v>
      </c>
      <c r="AN49" s="11">
        <f t="shared" si="23"/>
        <v>0</v>
      </c>
      <c r="AO49" s="11">
        <f t="shared" si="24"/>
        <v>0</v>
      </c>
      <c r="AP49" s="11">
        <f t="shared" si="25"/>
        <v>0</v>
      </c>
      <c r="AQ49" s="15" t="str">
        <f t="shared" si="33"/>
        <v>Ready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</row>
    <row r="50" spans="2:49" ht="21" customHeight="1" x14ac:dyDescent="0.25">
      <c r="B50" s="16">
        <v>46549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17">
        <f t="shared" si="26"/>
        <v>10</v>
      </c>
      <c r="L50" s="11">
        <f t="shared" si="27"/>
        <v>54000</v>
      </c>
      <c r="M50" s="11">
        <f t="shared" si="28"/>
        <v>46000</v>
      </c>
      <c r="N50" s="11">
        <f t="shared" si="29"/>
        <v>0</v>
      </c>
      <c r="O50" s="11">
        <f t="shared" si="30"/>
        <v>0</v>
      </c>
      <c r="P50" s="11">
        <f t="shared" si="31"/>
        <v>0</v>
      </c>
      <c r="Q50" s="11">
        <f t="shared" si="32"/>
        <v>0</v>
      </c>
      <c r="R50" s="11">
        <f t="shared" si="1"/>
        <v>88.767123287671239</v>
      </c>
      <c r="S50" s="11">
        <f t="shared" si="2"/>
        <v>75.61643835616438</v>
      </c>
      <c r="T50" s="11">
        <f t="shared" si="3"/>
        <v>0</v>
      </c>
      <c r="U50" s="11">
        <f t="shared" si="4"/>
        <v>0</v>
      </c>
      <c r="V50" s="11">
        <f t="shared" si="5"/>
        <v>0</v>
      </c>
      <c r="W50" s="11">
        <f t="shared" si="6"/>
        <v>0</v>
      </c>
      <c r="X50" s="11">
        <f t="shared" si="7"/>
        <v>54000</v>
      </c>
      <c r="Y50" s="11">
        <f t="shared" si="8"/>
        <v>46000</v>
      </c>
      <c r="Z50" s="11">
        <f t="shared" si="9"/>
        <v>0</v>
      </c>
      <c r="AA50" s="11">
        <f t="shared" si="10"/>
        <v>0</v>
      </c>
      <c r="AB50" s="11">
        <f t="shared" si="11"/>
        <v>0</v>
      </c>
      <c r="AC50" s="11">
        <f t="shared" si="12"/>
        <v>0</v>
      </c>
      <c r="AD50" s="11">
        <f t="shared" si="13"/>
        <v>0</v>
      </c>
      <c r="AE50" s="11">
        <f t="shared" si="14"/>
        <v>0</v>
      </c>
      <c r="AF50" s="11">
        <f t="shared" si="15"/>
        <v>0</v>
      </c>
      <c r="AG50" s="11">
        <f t="shared" si="16"/>
        <v>0</v>
      </c>
      <c r="AH50" s="11">
        <f t="shared" si="17"/>
        <v>0</v>
      </c>
      <c r="AI50" s="11">
        <f t="shared" si="18"/>
        <v>0</v>
      </c>
      <c r="AJ50" s="11">
        <f t="shared" si="19"/>
        <v>0</v>
      </c>
      <c r="AK50" s="11">
        <f t="shared" si="20"/>
        <v>0</v>
      </c>
      <c r="AL50" s="11">
        <f t="shared" si="21"/>
        <v>0</v>
      </c>
      <c r="AM50" s="11">
        <f t="shared" si="22"/>
        <v>0</v>
      </c>
      <c r="AN50" s="11">
        <f t="shared" si="23"/>
        <v>0</v>
      </c>
      <c r="AO50" s="11">
        <f t="shared" si="24"/>
        <v>0</v>
      </c>
      <c r="AP50" s="11">
        <f t="shared" si="25"/>
        <v>0</v>
      </c>
      <c r="AQ50" s="15" t="str">
        <f t="shared" si="33"/>
        <v>Ready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</row>
    <row r="51" spans="2:49" ht="21" customHeight="1" x14ac:dyDescent="0.25">
      <c r="B51" s="16">
        <v>46559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17">
        <f t="shared" si="26"/>
        <v>10</v>
      </c>
      <c r="L51" s="11">
        <f t="shared" si="27"/>
        <v>54000</v>
      </c>
      <c r="M51" s="11">
        <f t="shared" si="28"/>
        <v>46000</v>
      </c>
      <c r="N51" s="11">
        <f t="shared" si="29"/>
        <v>0</v>
      </c>
      <c r="O51" s="11">
        <f t="shared" si="30"/>
        <v>0</v>
      </c>
      <c r="P51" s="11">
        <f t="shared" si="31"/>
        <v>0</v>
      </c>
      <c r="Q51" s="11">
        <f t="shared" si="32"/>
        <v>0</v>
      </c>
      <c r="R51" s="11">
        <f t="shared" si="1"/>
        <v>88.767123287671239</v>
      </c>
      <c r="S51" s="11">
        <f t="shared" si="2"/>
        <v>75.61643835616438</v>
      </c>
      <c r="T51" s="11">
        <f t="shared" si="3"/>
        <v>0</v>
      </c>
      <c r="U51" s="11">
        <f t="shared" si="4"/>
        <v>0</v>
      </c>
      <c r="V51" s="11">
        <f t="shared" si="5"/>
        <v>0</v>
      </c>
      <c r="W51" s="11">
        <f t="shared" si="6"/>
        <v>0</v>
      </c>
      <c r="X51" s="11">
        <f t="shared" si="7"/>
        <v>54000</v>
      </c>
      <c r="Y51" s="11">
        <f t="shared" si="8"/>
        <v>46000</v>
      </c>
      <c r="Z51" s="11">
        <f t="shared" si="9"/>
        <v>0</v>
      </c>
      <c r="AA51" s="11">
        <f t="shared" si="10"/>
        <v>0</v>
      </c>
      <c r="AB51" s="11">
        <f t="shared" si="11"/>
        <v>0</v>
      </c>
      <c r="AC51" s="11">
        <f t="shared" si="12"/>
        <v>0</v>
      </c>
      <c r="AD51" s="11">
        <f t="shared" si="13"/>
        <v>0</v>
      </c>
      <c r="AE51" s="11">
        <f t="shared" si="14"/>
        <v>0</v>
      </c>
      <c r="AF51" s="11">
        <f t="shared" si="15"/>
        <v>0</v>
      </c>
      <c r="AG51" s="11">
        <f t="shared" si="16"/>
        <v>0</v>
      </c>
      <c r="AH51" s="11">
        <f t="shared" si="17"/>
        <v>0</v>
      </c>
      <c r="AI51" s="11">
        <f t="shared" si="18"/>
        <v>0</v>
      </c>
      <c r="AJ51" s="11">
        <f t="shared" si="19"/>
        <v>0</v>
      </c>
      <c r="AK51" s="11">
        <f t="shared" si="20"/>
        <v>0</v>
      </c>
      <c r="AL51" s="11">
        <f t="shared" si="21"/>
        <v>0</v>
      </c>
      <c r="AM51" s="11">
        <f t="shared" si="22"/>
        <v>0</v>
      </c>
      <c r="AN51" s="11">
        <f t="shared" si="23"/>
        <v>0</v>
      </c>
      <c r="AO51" s="11">
        <f t="shared" si="24"/>
        <v>0</v>
      </c>
      <c r="AP51" s="11">
        <f t="shared" si="25"/>
        <v>0</v>
      </c>
      <c r="AQ51" s="15" t="str">
        <f t="shared" si="33"/>
        <v>Ready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</row>
    <row r="52" spans="2:49" ht="21" customHeight="1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2:49" ht="21" customHeight="1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2:49" ht="21" customHeight="1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</sheetData>
  <conditionalFormatting sqref="H12">
    <cfRule type="expression" dxfId="32" priority="1">
      <formula>AND(H12&lt;&gt;"",H12&lt;&gt;"Ready")</formula>
    </cfRule>
  </conditionalFormatting>
  <conditionalFormatting sqref="AQ16:AQ51">
    <cfRule type="expression" dxfId="31" priority="2">
      <formula>AND(AQ16&lt;&gt;"",AQ16&lt;&gt;"Ready")</formula>
    </cfRule>
  </conditionalFormatting>
  <hyperlinks>
    <hyperlink ref="B1" location="'Read me'!B2" display="Contents" xr:uid="{205B15FB-724B-42E3-86C8-CDE279121AE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6023C"/>
  </sheetPr>
  <dimension ref="B1:N48"/>
  <sheetViews>
    <sheetView showGridLines="0" workbookViewId="0"/>
  </sheetViews>
  <sheetFormatPr defaultRowHeight="15" x14ac:dyDescent="0.25"/>
  <cols>
    <col min="2" max="2" width="30" customWidth="1"/>
    <col min="3" max="14" width="15" customWidth="1"/>
  </cols>
  <sheetData>
    <row r="1" spans="2:14" x14ac:dyDescent="0.25">
      <c r="B1" s="24" t="s">
        <v>53</v>
      </c>
    </row>
    <row r="2" spans="2:14" ht="21" customHeight="1" x14ac:dyDescent="0.25">
      <c r="B2" s="3" t="s">
        <v>16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21" customHeight="1" x14ac:dyDescent="0.25"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 ht="2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21" customHeight="1" x14ac:dyDescent="0.25">
      <c r="B5" s="1" t="s">
        <v>186</v>
      </c>
      <c r="C5" s="1"/>
      <c r="D5" s="6">
        <v>50000</v>
      </c>
      <c r="E5" s="1"/>
      <c r="F5" s="1"/>
      <c r="G5" s="1"/>
      <c r="H5" s="1"/>
      <c r="I5" s="1"/>
      <c r="J5" s="1"/>
      <c r="K5" s="1"/>
      <c r="L5" s="1"/>
      <c r="M5" s="1"/>
      <c r="N5" s="1"/>
    </row>
    <row r="6" spans="2:14" ht="21" customHeight="1" x14ac:dyDescent="0.25">
      <c r="B6" s="1" t="s">
        <v>187</v>
      </c>
      <c r="C6" s="1"/>
      <c r="D6" s="6">
        <v>0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2:14" ht="21" customHeight="1" x14ac:dyDescent="0.25">
      <c r="B7" s="1" t="s">
        <v>188</v>
      </c>
      <c r="C7" s="1"/>
      <c r="D7" s="6">
        <v>1000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spans="2:14" ht="21" customHeight="1" x14ac:dyDescent="0.25">
      <c r="B8" s="1" t="s">
        <v>189</v>
      </c>
      <c r="C8" s="1"/>
      <c r="D8" s="6">
        <v>3500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2:14" ht="21" customHeight="1" x14ac:dyDescent="0.25">
      <c r="B9" s="1" t="s">
        <v>190</v>
      </c>
      <c r="C9" s="1"/>
      <c r="D9" s="6">
        <v>0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 ht="21" customHeight="1" x14ac:dyDescent="0.25">
      <c r="B10" s="1" t="s">
        <v>191</v>
      </c>
      <c r="C10" s="1"/>
      <c r="D10" s="6"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ht="21" customHeight="1" x14ac:dyDescent="0.25">
      <c r="B11" s="10" t="s">
        <v>192</v>
      </c>
      <c r="C11" s="10"/>
      <c r="D11" s="12">
        <f>IF(AND(COUNT(D5:D6)=2,MIN(D5:D6)&gt;=0,D6&lt;=D5,COUNT(C32:C34)=3,MIN(C32:C34)&gt;=0),D5-D6-SUM(F17:F28)-SUM(C32:C34),NA())</f>
        <v>37500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2:14" ht="21" customHeight="1" x14ac:dyDescent="0.25">
      <c r="B12" s="10" t="s">
        <v>193</v>
      </c>
      <c r="C12" s="10"/>
      <c r="D12" s="12">
        <f>IF(AND(ISNUMBER(D11),COUNT(D7:D10)=4,MIN(D7:D8)&gt;=0,COUNT(D32:D34)=3,MIN(D32:D34)&gt;=0),D5-SUM(C17:C28)-SUM(C32:D34)-(D8-D7)+D9-D10,NA())</f>
        <v>27500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2:14" ht="21" customHeight="1" x14ac:dyDescent="0.25">
      <c r="B13" s="10" t="s">
        <v>194</v>
      </c>
      <c r="C13" s="10"/>
      <c r="D13" s="14" t="str">
        <f>IF(AND(COUNTA(B39:B43)&gt;0,COUNT(C39:C43)=COUNTA(B39:B43),MIN(C39:C43)&gt;=0,ABS(SUM(C39:C43)-1)&lt;0.00000001,COUNTIF(F39:F43,"Ready")=COUNTA(B39:B43)),"Ready","Check shares")</f>
        <v>Ready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2:14" ht="21" customHeight="1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2:14" ht="21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2:14" ht="56.1" customHeight="1" x14ac:dyDescent="0.25">
      <c r="B16" s="5" t="s">
        <v>195</v>
      </c>
      <c r="C16" s="5" t="s">
        <v>196</v>
      </c>
      <c r="D16" s="5" t="s">
        <v>197</v>
      </c>
      <c r="E16" s="5" t="s">
        <v>198</v>
      </c>
      <c r="F16" s="5" t="s">
        <v>199</v>
      </c>
      <c r="G16" s="1"/>
      <c r="H16" s="1"/>
      <c r="I16" s="1"/>
      <c r="J16" s="1"/>
      <c r="K16" s="1"/>
      <c r="L16" s="1"/>
      <c r="M16" s="1"/>
      <c r="N16" s="1"/>
    </row>
    <row r="17" spans="2:14" ht="21" customHeight="1" x14ac:dyDescent="0.25">
      <c r="B17" s="13" t="s">
        <v>200</v>
      </c>
      <c r="C17" s="6">
        <v>5000</v>
      </c>
      <c r="D17" s="6">
        <v>0</v>
      </c>
      <c r="E17" s="6">
        <v>400</v>
      </c>
      <c r="F17" s="11">
        <f t="shared" ref="F17:F28" si="0">IF(AND(COUNT(C17:E17)=3,MIN(C17:E17)&gt;=0,SUM(D17:E17)&lt;=C17),C17-SUM(D17:E17),NA())</f>
        <v>4600</v>
      </c>
      <c r="G17" s="1"/>
      <c r="H17" s="2" t="s">
        <v>201</v>
      </c>
      <c r="I17" s="1"/>
      <c r="J17" s="1"/>
      <c r="K17" s="1"/>
      <c r="L17" s="1"/>
      <c r="M17" s="1"/>
      <c r="N17" s="1"/>
    </row>
    <row r="18" spans="2:14" ht="21" customHeight="1" x14ac:dyDescent="0.25">
      <c r="B18" s="13" t="s">
        <v>202</v>
      </c>
      <c r="C18" s="6">
        <v>3000</v>
      </c>
      <c r="D18" s="6">
        <v>1000</v>
      </c>
      <c r="E18" s="6">
        <v>100</v>
      </c>
      <c r="F18" s="11">
        <f t="shared" si="0"/>
        <v>1900</v>
      </c>
      <c r="G18" s="1"/>
      <c r="H18" s="2" t="s">
        <v>203</v>
      </c>
      <c r="I18" s="1"/>
      <c r="J18" s="1"/>
      <c r="K18" s="1"/>
      <c r="L18" s="1"/>
      <c r="M18" s="1"/>
      <c r="N18" s="1"/>
    </row>
    <row r="19" spans="2:14" ht="21" customHeight="1" x14ac:dyDescent="0.25">
      <c r="B19" s="13" t="s">
        <v>204</v>
      </c>
      <c r="C19" s="6">
        <v>2000</v>
      </c>
      <c r="D19" s="6">
        <v>0</v>
      </c>
      <c r="E19" s="6">
        <v>0</v>
      </c>
      <c r="F19" s="11">
        <f t="shared" si="0"/>
        <v>2000</v>
      </c>
      <c r="G19" s="1"/>
      <c r="H19" s="1"/>
      <c r="I19" s="1"/>
      <c r="J19" s="1"/>
      <c r="K19" s="1"/>
      <c r="L19" s="1"/>
      <c r="M19" s="1"/>
      <c r="N19" s="1"/>
    </row>
    <row r="20" spans="2:14" ht="21" customHeight="1" x14ac:dyDescent="0.25">
      <c r="B20" s="13" t="s">
        <v>205</v>
      </c>
      <c r="C20" s="6">
        <v>0</v>
      </c>
      <c r="D20" s="6">
        <v>0</v>
      </c>
      <c r="E20" s="6">
        <v>0</v>
      </c>
      <c r="F20" s="11">
        <f t="shared" si="0"/>
        <v>0</v>
      </c>
      <c r="G20" s="1"/>
      <c r="H20" s="2" t="s">
        <v>206</v>
      </c>
      <c r="I20" s="1"/>
      <c r="J20" s="1"/>
      <c r="K20" s="1"/>
      <c r="L20" s="1"/>
      <c r="M20" s="1"/>
      <c r="N20" s="1"/>
    </row>
    <row r="21" spans="2:14" ht="21" customHeight="1" x14ac:dyDescent="0.25">
      <c r="B21" s="13" t="s">
        <v>207</v>
      </c>
      <c r="C21" s="6">
        <v>0</v>
      </c>
      <c r="D21" s="6">
        <v>0</v>
      </c>
      <c r="E21" s="6">
        <v>0</v>
      </c>
      <c r="F21" s="11">
        <f t="shared" si="0"/>
        <v>0</v>
      </c>
      <c r="G21" s="1"/>
      <c r="H21" s="2" t="s">
        <v>208</v>
      </c>
      <c r="I21" s="1"/>
      <c r="J21" s="1"/>
      <c r="K21" s="1"/>
      <c r="L21" s="1"/>
      <c r="M21" s="1"/>
      <c r="N21" s="1"/>
    </row>
    <row r="22" spans="2:14" ht="21" customHeight="1" x14ac:dyDescent="0.25">
      <c r="B22" s="13" t="s">
        <v>209</v>
      </c>
      <c r="C22" s="6">
        <v>0</v>
      </c>
      <c r="D22" s="6">
        <v>0</v>
      </c>
      <c r="E22" s="6">
        <v>0</v>
      </c>
      <c r="F22" s="11">
        <f t="shared" si="0"/>
        <v>0</v>
      </c>
      <c r="G22" s="1"/>
      <c r="H22" s="1"/>
      <c r="I22" s="1"/>
      <c r="J22" s="1"/>
      <c r="K22" s="1"/>
      <c r="L22" s="1"/>
      <c r="M22" s="1"/>
      <c r="N22" s="1"/>
    </row>
    <row r="23" spans="2:14" ht="21" customHeight="1" x14ac:dyDescent="0.25">
      <c r="B23" s="13" t="s">
        <v>210</v>
      </c>
      <c r="C23" s="6">
        <v>0</v>
      </c>
      <c r="D23" s="6">
        <v>0</v>
      </c>
      <c r="E23" s="6">
        <v>0</v>
      </c>
      <c r="F23" s="11">
        <f t="shared" si="0"/>
        <v>0</v>
      </c>
      <c r="G23" s="1"/>
      <c r="H23" s="2" t="s">
        <v>211</v>
      </c>
      <c r="I23" s="1"/>
      <c r="J23" s="1"/>
      <c r="K23" s="1"/>
      <c r="L23" s="1"/>
      <c r="M23" s="1"/>
      <c r="N23" s="1"/>
    </row>
    <row r="24" spans="2:14" ht="21" customHeight="1" x14ac:dyDescent="0.25">
      <c r="B24" s="13" t="s">
        <v>212</v>
      </c>
      <c r="C24" s="6">
        <v>0</v>
      </c>
      <c r="D24" s="6">
        <v>0</v>
      </c>
      <c r="E24" s="6">
        <v>0</v>
      </c>
      <c r="F24" s="11">
        <f t="shared" si="0"/>
        <v>0</v>
      </c>
      <c r="G24" s="1"/>
      <c r="H24" s="2" t="s">
        <v>213</v>
      </c>
      <c r="I24" s="1"/>
      <c r="J24" s="1"/>
      <c r="K24" s="1"/>
      <c r="L24" s="1"/>
      <c r="M24" s="1"/>
      <c r="N24" s="1"/>
    </row>
    <row r="25" spans="2:14" ht="21" customHeight="1" x14ac:dyDescent="0.25">
      <c r="B25" s="13" t="s">
        <v>214</v>
      </c>
      <c r="C25" s="6">
        <v>0</v>
      </c>
      <c r="D25" s="6">
        <v>0</v>
      </c>
      <c r="E25" s="6">
        <v>0</v>
      </c>
      <c r="F25" s="11">
        <f t="shared" si="0"/>
        <v>0</v>
      </c>
      <c r="G25" s="1"/>
      <c r="H25" s="1"/>
      <c r="I25" s="1"/>
      <c r="J25" s="1"/>
      <c r="K25" s="1"/>
      <c r="L25" s="1"/>
      <c r="M25" s="1"/>
      <c r="N25" s="1"/>
    </row>
    <row r="26" spans="2:14" ht="21" customHeight="1" x14ac:dyDescent="0.25">
      <c r="B26" s="13" t="s">
        <v>215</v>
      </c>
      <c r="C26" s="6">
        <v>0</v>
      </c>
      <c r="D26" s="6">
        <v>0</v>
      </c>
      <c r="E26" s="6">
        <v>0</v>
      </c>
      <c r="F26" s="11">
        <f t="shared" si="0"/>
        <v>0</v>
      </c>
      <c r="G26" s="1"/>
      <c r="H26" s="2" t="s">
        <v>216</v>
      </c>
      <c r="I26" s="1"/>
      <c r="J26" s="1"/>
      <c r="K26" s="1"/>
      <c r="L26" s="1"/>
      <c r="M26" s="1"/>
      <c r="N26" s="1"/>
    </row>
    <row r="27" spans="2:14" ht="21" customHeight="1" x14ac:dyDescent="0.25">
      <c r="B27" s="13" t="s">
        <v>217</v>
      </c>
      <c r="C27" s="6">
        <v>0</v>
      </c>
      <c r="D27" s="6">
        <v>0</v>
      </c>
      <c r="E27" s="6">
        <v>0</v>
      </c>
      <c r="F27" s="11">
        <f t="shared" si="0"/>
        <v>0</v>
      </c>
      <c r="G27" s="1"/>
      <c r="H27" s="1"/>
      <c r="I27" s="1"/>
      <c r="J27" s="1"/>
      <c r="K27" s="1"/>
      <c r="L27" s="1"/>
      <c r="M27" s="1"/>
      <c r="N27" s="1"/>
    </row>
    <row r="28" spans="2:14" ht="21" customHeight="1" x14ac:dyDescent="0.25">
      <c r="B28" s="13" t="s">
        <v>218</v>
      </c>
      <c r="C28" s="6">
        <v>0</v>
      </c>
      <c r="D28" s="6">
        <v>0</v>
      </c>
      <c r="E28" s="6">
        <v>0</v>
      </c>
      <c r="F28" s="11">
        <f t="shared" si="0"/>
        <v>0</v>
      </c>
      <c r="G28" s="1"/>
      <c r="H28" s="1"/>
      <c r="I28" s="1"/>
      <c r="J28" s="1"/>
      <c r="K28" s="1"/>
      <c r="L28" s="1"/>
      <c r="M28" s="1"/>
      <c r="N28" s="1"/>
    </row>
    <row r="29" spans="2:14" ht="21" customHeight="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2:14" ht="21" customHeight="1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2:14" ht="56.1" customHeight="1" x14ac:dyDescent="0.25">
      <c r="B31" s="5" t="s">
        <v>219</v>
      </c>
      <c r="C31" s="5" t="s">
        <v>220</v>
      </c>
      <c r="D31" s="5" t="s">
        <v>221</v>
      </c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2:14" ht="21" customHeight="1" x14ac:dyDescent="0.25">
      <c r="B32" s="13" t="s">
        <v>222</v>
      </c>
      <c r="C32" s="6">
        <v>4000</v>
      </c>
      <c r="D32" s="6">
        <v>6000</v>
      </c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ht="21" customHeight="1" x14ac:dyDescent="0.25">
      <c r="B33" s="13" t="s">
        <v>223</v>
      </c>
      <c r="C33" s="6">
        <v>0</v>
      </c>
      <c r="D33" s="6">
        <v>0</v>
      </c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 ht="21" customHeight="1" x14ac:dyDescent="0.25">
      <c r="B34" s="13" t="s">
        <v>224</v>
      </c>
      <c r="C34" s="6">
        <v>0</v>
      </c>
      <c r="D34" s="6"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ht="21" customHeight="1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2:14" ht="21" customHeight="1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2:14" ht="21" customHeight="1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4" ht="56.1" customHeight="1" x14ac:dyDescent="0.25">
      <c r="B38" s="5" t="s">
        <v>225</v>
      </c>
      <c r="C38" s="5" t="s">
        <v>226</v>
      </c>
      <c r="D38" s="5" t="s">
        <v>227</v>
      </c>
      <c r="E38" s="5" t="s">
        <v>228</v>
      </c>
      <c r="F38" s="5" t="s">
        <v>67</v>
      </c>
      <c r="G38" s="1"/>
      <c r="H38" s="1"/>
      <c r="I38" s="1"/>
      <c r="J38" s="1"/>
      <c r="K38" s="1"/>
      <c r="L38" s="1"/>
      <c r="M38" s="1"/>
      <c r="N38" s="1"/>
    </row>
    <row r="39" spans="2:14" ht="21" customHeight="1" x14ac:dyDescent="0.25">
      <c r="B39" s="13" t="s">
        <v>229</v>
      </c>
      <c r="C39" s="7">
        <v>0.6</v>
      </c>
      <c r="D39" s="11">
        <f>IF(B39="","",IF($D$13="Ready",$D$11*C39,NA()))</f>
        <v>22500</v>
      </c>
      <c r="E39" s="11">
        <f>IF(B39="","",IF($D$13="Ready",$D$12*C39,NA()))</f>
        <v>16500</v>
      </c>
      <c r="F39" s="15" t="str">
        <f>IF(B39="",IF(C39="","","Missing owner"),IF(AND(ISNUMBER(C39),C39&gt;=0,SUMPRODUCT(--($B$39:$B$43=B39))=1),"Ready","Check shares"))</f>
        <v>Ready</v>
      </c>
      <c r="G39" s="1"/>
      <c r="H39" s="1"/>
      <c r="I39" s="1"/>
      <c r="J39" s="1"/>
      <c r="K39" s="1"/>
      <c r="L39" s="1"/>
      <c r="M39" s="1"/>
      <c r="N39" s="1"/>
    </row>
    <row r="40" spans="2:14" ht="21" customHeight="1" x14ac:dyDescent="0.25">
      <c r="B40" s="13" t="s">
        <v>230</v>
      </c>
      <c r="C40" s="7">
        <v>0.4</v>
      </c>
      <c r="D40" s="11">
        <f>IF(B40="","",IF($D$13="Ready",$D$11*C40,NA()))</f>
        <v>15000</v>
      </c>
      <c r="E40" s="11">
        <f>IF(B40="","",IF($D$13="Ready",$D$12*C40,NA()))</f>
        <v>11000</v>
      </c>
      <c r="F40" s="15" t="str">
        <f>IF(B40="",IF(C40="","","Missing owner"),IF(AND(ISNUMBER(C40),C40&gt;=0,SUMPRODUCT(--($B$39:$B$43=B40))=1),"Ready","Check shares"))</f>
        <v>Ready</v>
      </c>
      <c r="G40" s="1"/>
      <c r="H40" s="1"/>
      <c r="I40" s="1"/>
      <c r="J40" s="1"/>
      <c r="K40" s="1"/>
      <c r="L40" s="1"/>
      <c r="M40" s="1"/>
      <c r="N40" s="1"/>
    </row>
    <row r="41" spans="2:14" ht="21" customHeight="1" x14ac:dyDescent="0.25">
      <c r="B41" s="13"/>
      <c r="C41" s="7"/>
      <c r="D41" s="11" t="str">
        <f>IF(B41="","",IF($D$13="Ready",$D$11*C41,NA()))</f>
        <v/>
      </c>
      <c r="E41" s="11" t="str">
        <f>IF(B41="","",IF($D$13="Ready",$D$12*C41,NA()))</f>
        <v/>
      </c>
      <c r="F41" s="15" t="str">
        <f>IF(B41="",IF(C41="","","Missing owner"),IF(AND(ISNUMBER(C41),C41&gt;=0,SUMPRODUCT(--($B$39:$B$43=B41))=1),"Ready","Check shares"))</f>
        <v/>
      </c>
      <c r="G41" s="1"/>
      <c r="H41" s="1"/>
      <c r="I41" s="1"/>
      <c r="J41" s="1"/>
      <c r="K41" s="1"/>
      <c r="L41" s="1"/>
      <c r="M41" s="1"/>
      <c r="N41" s="1"/>
    </row>
    <row r="42" spans="2:14" ht="21" customHeight="1" x14ac:dyDescent="0.25">
      <c r="B42" s="13"/>
      <c r="C42" s="7"/>
      <c r="D42" s="11" t="str">
        <f>IF(B42="","",IF($D$13="Ready",$D$11*C42,NA()))</f>
        <v/>
      </c>
      <c r="E42" s="11" t="str">
        <f>IF(B42="","",IF($D$13="Ready",$D$12*C42,NA()))</f>
        <v/>
      </c>
      <c r="F42" s="15" t="str">
        <f>IF(B42="",IF(C42="","","Missing owner"),IF(AND(ISNUMBER(C42),C42&gt;=0,SUMPRODUCT(--($B$39:$B$43=B42))=1),"Ready","Check shares"))</f>
        <v/>
      </c>
      <c r="G42" s="1"/>
      <c r="H42" s="1"/>
      <c r="I42" s="1"/>
      <c r="J42" s="1"/>
      <c r="K42" s="1"/>
      <c r="L42" s="1"/>
      <c r="M42" s="1"/>
      <c r="N42" s="1"/>
    </row>
    <row r="43" spans="2:14" ht="21" customHeight="1" x14ac:dyDescent="0.25">
      <c r="B43" s="13"/>
      <c r="C43" s="7"/>
      <c r="D43" s="11" t="str">
        <f>IF(B43="","",IF($D$13="Ready",$D$11*C43,NA()))</f>
        <v/>
      </c>
      <c r="E43" s="11" t="str">
        <f>IF(B43="","",IF($D$13="Ready",$D$12*C43,NA()))</f>
        <v/>
      </c>
      <c r="F43" s="15" t="str">
        <f>IF(B43="",IF(C43="","","Missing owner"),IF(AND(ISNUMBER(C43),C43&gt;=0,SUMPRODUCT(--($B$39:$B$43=B43))=1),"Ready","Check shares"))</f>
        <v/>
      </c>
      <c r="G43" s="1"/>
      <c r="H43" s="1"/>
      <c r="I43" s="1"/>
      <c r="J43" s="1"/>
      <c r="K43" s="1"/>
      <c r="L43" s="1"/>
      <c r="M43" s="1"/>
      <c r="N43" s="1"/>
    </row>
    <row r="44" spans="2:14" ht="21" customHeight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2:14" ht="21" customHeight="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2:14" ht="21" customHeight="1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2:14" ht="21" customHeight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2:14" ht="21" customHeight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</sheetData>
  <conditionalFormatting sqref="D13">
    <cfRule type="expression" dxfId="30" priority="1">
      <formula>AND(D13&lt;&gt;"",D13&lt;&gt;"Ready")</formula>
    </cfRule>
  </conditionalFormatting>
  <conditionalFormatting sqref="F39:F43">
    <cfRule type="expression" dxfId="29" priority="2">
      <formula>AND(F39&lt;&gt;"",F39&lt;&gt;"Ready")</formula>
    </cfRule>
  </conditionalFormatting>
  <hyperlinks>
    <hyperlink ref="B1" location="'Read me'!B2" display="Contents" xr:uid="{4AD993B1-62E9-4E96-8739-5219E089DFD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6023C"/>
  </sheetPr>
  <dimension ref="B1:N48"/>
  <sheetViews>
    <sheetView showGridLines="0" workbookViewId="0"/>
  </sheetViews>
  <sheetFormatPr defaultRowHeight="15" x14ac:dyDescent="0.25"/>
  <cols>
    <col min="2" max="2" width="30" customWidth="1"/>
    <col min="3" max="4" width="18" customWidth="1"/>
    <col min="5" max="5" width="15" customWidth="1"/>
    <col min="6" max="6" width="24" customWidth="1"/>
    <col min="7" max="14" width="15" customWidth="1"/>
  </cols>
  <sheetData>
    <row r="1" spans="2:14" x14ac:dyDescent="0.25">
      <c r="B1" s="24" t="s">
        <v>53</v>
      </c>
    </row>
    <row r="2" spans="2:14" ht="21" customHeight="1" x14ac:dyDescent="0.25">
      <c r="B2" s="3" t="s">
        <v>18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21" customHeight="1" x14ac:dyDescent="0.25"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 ht="2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21" customHeight="1" x14ac:dyDescent="0.25">
      <c r="B5" s="1" t="s">
        <v>231</v>
      </c>
      <c r="C5" s="1"/>
      <c r="D5" s="6">
        <v>100000</v>
      </c>
      <c r="E5" s="1"/>
      <c r="F5" s="2" t="s">
        <v>232</v>
      </c>
      <c r="G5" s="1"/>
      <c r="H5" s="1"/>
      <c r="I5" s="1"/>
      <c r="J5" s="1"/>
      <c r="K5" s="1"/>
      <c r="L5" s="1"/>
      <c r="M5" s="1"/>
      <c r="N5" s="1"/>
    </row>
    <row r="6" spans="2:14" ht="21" customHeight="1" x14ac:dyDescent="0.25">
      <c r="B6" s="1" t="s">
        <v>233</v>
      </c>
      <c r="C6" s="1"/>
      <c r="D6" s="6">
        <v>25000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2:14" ht="21" customHeight="1" x14ac:dyDescent="0.25">
      <c r="B7" s="1" t="s">
        <v>234</v>
      </c>
      <c r="C7" s="1"/>
      <c r="D7" s="6">
        <v>20000</v>
      </c>
      <c r="E7" s="1"/>
      <c r="F7" s="2" t="s">
        <v>235</v>
      </c>
      <c r="G7" s="1"/>
      <c r="H7" s="1"/>
      <c r="I7" s="1"/>
      <c r="J7" s="1"/>
      <c r="K7" s="1"/>
      <c r="L7" s="1"/>
      <c r="M7" s="1"/>
      <c r="N7" s="1"/>
    </row>
    <row r="8" spans="2:14" ht="21" customHeight="1" x14ac:dyDescent="0.25">
      <c r="B8" s="1" t="s">
        <v>236</v>
      </c>
      <c r="C8" s="1"/>
      <c r="D8" s="6">
        <v>22000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2:14" ht="21" customHeight="1" x14ac:dyDescent="0.25">
      <c r="B9" s="1" t="s">
        <v>237</v>
      </c>
      <c r="C9" s="1"/>
      <c r="D9" s="6">
        <v>18000</v>
      </c>
      <c r="E9" s="1"/>
      <c r="F9" s="2" t="s">
        <v>238</v>
      </c>
      <c r="G9" s="1"/>
      <c r="H9" s="1"/>
      <c r="I9" s="1"/>
      <c r="J9" s="1"/>
      <c r="K9" s="1"/>
      <c r="L9" s="1"/>
      <c r="M9" s="1"/>
      <c r="N9" s="1"/>
    </row>
    <row r="10" spans="2:14" ht="21" customHeight="1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ht="21" customHeight="1" x14ac:dyDescent="0.25">
      <c r="B11" s="10" t="s">
        <v>67</v>
      </c>
      <c r="C11" s="10"/>
      <c r="D11" s="14" t="str">
        <f>IF(AND(COUNT(D5:D9)=5,MIN(D5:D9)&gt;=0,COUNT(C19:E23)=15,MIN(C19:E23)&gt;=0,SUM(D19:D23)&lt;=D5,D6&lt;=D5,D8+SUM(E19:E23)&lt;=D5-SUM(D19:D23)),"Ready","Check inputs")</f>
        <v>Ready</v>
      </c>
      <c r="E11" s="1"/>
      <c r="F11" s="1" t="s">
        <v>239</v>
      </c>
      <c r="G11" s="1"/>
      <c r="H11" s="16">
        <v>46314</v>
      </c>
      <c r="I11" s="1"/>
      <c r="J11" s="1"/>
      <c r="K11" s="1"/>
      <c r="L11" s="1"/>
      <c r="M11" s="1"/>
      <c r="N11" s="1"/>
    </row>
    <row r="12" spans="2:14" ht="21" customHeight="1" x14ac:dyDescent="0.25">
      <c r="B12" s="10" t="s">
        <v>240</v>
      </c>
      <c r="C12" s="10"/>
      <c r="D12" s="12">
        <f>IF(D11="Ready",D5-D6,NA())</f>
        <v>75000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2:14" ht="21" customHeight="1" x14ac:dyDescent="0.25">
      <c r="B13" s="10" t="s">
        <v>241</v>
      </c>
      <c r="C13" s="10"/>
      <c r="D13" s="12">
        <f>IF(D11="Ready",D5-SUM(D19:D23)-D8-SUM(E19:E23),NA())</f>
        <v>66000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2:14" ht="21" customHeight="1" x14ac:dyDescent="0.25">
      <c r="B14" s="10" t="s">
        <v>242</v>
      </c>
      <c r="C14" s="10"/>
      <c r="D14" s="12">
        <f>IF(D11="Ready",D5+D7,NA())</f>
        <v>120000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2:14" ht="21" customHeight="1" x14ac:dyDescent="0.25">
      <c r="B15" s="10" t="s">
        <v>243</v>
      </c>
      <c r="C15" s="10"/>
      <c r="D15" s="12">
        <f>IF(D11="Ready",D5-SUM(D19:D23)+SUM(C19:C23)+D9-SUM(E19:E23),NA())</f>
        <v>116000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2:14" ht="21" customHeight="1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ht="21" customHeight="1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ht="56.1" customHeight="1" x14ac:dyDescent="0.25">
      <c r="B18" s="5" t="s">
        <v>244</v>
      </c>
      <c r="C18" s="5" t="s">
        <v>245</v>
      </c>
      <c r="D18" s="5" t="s">
        <v>246</v>
      </c>
      <c r="E18" s="5" t="s">
        <v>247</v>
      </c>
      <c r="F18" s="1"/>
      <c r="G18" s="1"/>
      <c r="H18" s="1"/>
      <c r="I18" s="1"/>
      <c r="J18" s="1"/>
      <c r="K18" s="1"/>
      <c r="L18" s="1"/>
      <c r="M18" s="1"/>
      <c r="N18" s="1"/>
    </row>
    <row r="19" spans="2:14" ht="21" customHeight="1" x14ac:dyDescent="0.25">
      <c r="B19" s="13" t="s">
        <v>248</v>
      </c>
      <c r="C19" s="6">
        <v>10000</v>
      </c>
      <c r="D19" s="6">
        <v>10000</v>
      </c>
      <c r="E19" s="6">
        <v>2000</v>
      </c>
      <c r="F19" s="1"/>
      <c r="G19" s="1"/>
      <c r="H19" s="1"/>
      <c r="I19" s="1"/>
      <c r="J19" s="1"/>
      <c r="K19" s="1"/>
      <c r="L19" s="1"/>
      <c r="M19" s="1"/>
      <c r="N19" s="1"/>
    </row>
    <row r="20" spans="2:14" ht="21" customHeight="1" x14ac:dyDescent="0.25">
      <c r="B20" s="13" t="s">
        <v>249</v>
      </c>
      <c r="C20" s="6">
        <v>0</v>
      </c>
      <c r="D20" s="6">
        <v>0</v>
      </c>
      <c r="E20" s="6">
        <v>0</v>
      </c>
      <c r="F20" s="1"/>
      <c r="G20" s="1"/>
      <c r="H20" s="1"/>
      <c r="I20" s="1"/>
      <c r="J20" s="1"/>
      <c r="K20" s="1"/>
      <c r="L20" s="1"/>
      <c r="M20" s="1"/>
      <c r="N20" s="1"/>
    </row>
    <row r="21" spans="2:14" ht="21" customHeight="1" x14ac:dyDescent="0.25">
      <c r="B21" s="13" t="s">
        <v>250</v>
      </c>
      <c r="C21" s="6">
        <v>0</v>
      </c>
      <c r="D21" s="6">
        <v>0</v>
      </c>
      <c r="E21" s="6">
        <v>0</v>
      </c>
      <c r="F21" s="1"/>
      <c r="G21" s="1"/>
      <c r="H21" s="1"/>
      <c r="I21" s="1"/>
      <c r="J21" s="1"/>
      <c r="K21" s="1"/>
      <c r="L21" s="1"/>
      <c r="M21" s="1"/>
      <c r="N21" s="1"/>
    </row>
    <row r="22" spans="2:14" ht="21" customHeight="1" x14ac:dyDescent="0.25">
      <c r="B22" s="13" t="s">
        <v>251</v>
      </c>
      <c r="C22" s="6">
        <v>0</v>
      </c>
      <c r="D22" s="6">
        <v>0</v>
      </c>
      <c r="E22" s="6">
        <v>0</v>
      </c>
      <c r="F22" s="1"/>
      <c r="G22" s="1"/>
      <c r="H22" s="1"/>
      <c r="I22" s="1"/>
      <c r="J22" s="1"/>
      <c r="K22" s="1"/>
      <c r="L22" s="1"/>
      <c r="M22" s="1"/>
      <c r="N22" s="1"/>
    </row>
    <row r="23" spans="2:14" ht="21" customHeight="1" x14ac:dyDescent="0.25">
      <c r="B23" s="13" t="s">
        <v>252</v>
      </c>
      <c r="C23" s="6">
        <v>0</v>
      </c>
      <c r="D23" s="6">
        <v>0</v>
      </c>
      <c r="E23" s="6">
        <v>0</v>
      </c>
      <c r="F23" s="1"/>
      <c r="G23" s="1"/>
      <c r="H23" s="1"/>
      <c r="I23" s="1"/>
      <c r="J23" s="1"/>
      <c r="K23" s="1"/>
      <c r="L23" s="1"/>
      <c r="M23" s="1"/>
      <c r="N23" s="1"/>
    </row>
    <row r="24" spans="2:14" ht="21" customHeight="1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 ht="21" customHeight="1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4" ht="56.1" customHeight="1" x14ac:dyDescent="0.25">
      <c r="B26" s="5" t="s">
        <v>244</v>
      </c>
      <c r="C26" s="5" t="s">
        <v>253</v>
      </c>
      <c r="D26" s="5" t="s">
        <v>254</v>
      </c>
      <c r="E26" s="5" t="s">
        <v>255</v>
      </c>
      <c r="F26" s="5" t="s">
        <v>256</v>
      </c>
      <c r="G26" s="1"/>
      <c r="H26" s="1"/>
      <c r="I26" s="1"/>
      <c r="J26" s="1"/>
      <c r="K26" s="1"/>
      <c r="L26" s="1"/>
      <c r="M26" s="1"/>
      <c r="N26" s="1"/>
    </row>
    <row r="27" spans="2:14" ht="21" customHeight="1" x14ac:dyDescent="0.25">
      <c r="B27" s="1" t="str">
        <f>B19</f>
        <v>Example lease</v>
      </c>
      <c r="C27" s="16">
        <v>46204</v>
      </c>
      <c r="D27" s="16">
        <v>46568</v>
      </c>
      <c r="E27" s="1">
        <f>IF(IF(COUNT(C27:D27,$H$11)=3,AND(MIN(C27:D27,$H$11)&gt;0,C27=INT(C27),D27=INT(D27),$H$11=INT($H$11),D27&gt;=C27),FALSE),MAX(0,D27-$H$11),NA())</f>
        <v>254</v>
      </c>
      <c r="F27" s="15" t="str">
        <f>IF(IF(COUNT(C27:D27,$H$11)=3,AND(MIN(C27:D27,$H$11)&gt;0,C27=INT(C27),D27=INT(D27),$H$11=INT($H$11),D27&gt;=C27),FALSE),IF($H$11&gt;D27,"Cease date passed",IF($H$11&lt;C27,"Not started",IF(D27-$H$11&lt;=30,"Ends within 30 days","Active"))),"Check dates")</f>
        <v>Active</v>
      </c>
      <c r="G27" s="1"/>
      <c r="H27" s="1"/>
      <c r="I27" s="1"/>
      <c r="J27" s="1"/>
      <c r="K27" s="1"/>
      <c r="L27" s="1"/>
      <c r="M27" s="1"/>
      <c r="N27" s="1"/>
    </row>
    <row r="28" spans="2:14" ht="21" customHeight="1" x14ac:dyDescent="0.25">
      <c r="B28" s="1" t="str">
        <f>B20</f>
        <v>Benefit 2</v>
      </c>
      <c r="C28" s="16">
        <v>46204</v>
      </c>
      <c r="D28" s="16">
        <v>46568</v>
      </c>
      <c r="E28" s="1">
        <f>IF(IF(COUNT(C28:D28,$H$11)=3,AND(MIN(C28:D28,$H$11)&gt;0,C28=INT(C28),D28=INT(D28),$H$11=INT($H$11),D28&gt;=C28),FALSE),MAX(0,D28-$H$11),NA())</f>
        <v>254</v>
      </c>
      <c r="F28" s="15" t="str">
        <f>IF(IF(COUNT(C28:D28,$H$11)=3,AND(MIN(C28:D28,$H$11)&gt;0,C28=INT(C28),D28=INT(D28),$H$11=INT($H$11),D28&gt;=C28),FALSE),IF($H$11&gt;D28,"Cease date passed",IF($H$11&lt;C28,"Not started",IF(D28-$H$11&lt;=30,"Ends within 30 days","Active"))),"Check dates")</f>
        <v>Active</v>
      </c>
      <c r="G28" s="1"/>
      <c r="H28" s="1"/>
      <c r="I28" s="1"/>
      <c r="J28" s="1"/>
      <c r="K28" s="1"/>
      <c r="L28" s="1"/>
      <c r="M28" s="1"/>
      <c r="N28" s="1"/>
    </row>
    <row r="29" spans="2:14" ht="21" customHeight="1" x14ac:dyDescent="0.25">
      <c r="B29" s="1" t="str">
        <f>B21</f>
        <v>Benefit 3</v>
      </c>
      <c r="C29" s="16">
        <v>46204</v>
      </c>
      <c r="D29" s="16">
        <v>46568</v>
      </c>
      <c r="E29" s="1">
        <f>IF(IF(COUNT(C29:D29,$H$11)=3,AND(MIN(C29:D29,$H$11)&gt;0,C29=INT(C29),D29=INT(D29),$H$11=INT($H$11),D29&gt;=C29),FALSE),MAX(0,D29-$H$11),NA())</f>
        <v>254</v>
      </c>
      <c r="F29" s="15" t="str">
        <f>IF(IF(COUNT(C29:D29,$H$11)=3,AND(MIN(C29:D29,$H$11)&gt;0,C29=INT(C29),D29=INT(D29),$H$11=INT($H$11),D29&gt;=C29),FALSE),IF($H$11&gt;D29,"Cease date passed",IF($H$11&lt;C29,"Not started",IF(D29-$H$11&lt;=30,"Ends within 30 days","Active"))),"Check dates")</f>
        <v>Active</v>
      </c>
      <c r="G29" s="1"/>
      <c r="H29" s="1"/>
      <c r="I29" s="1"/>
      <c r="J29" s="1"/>
      <c r="K29" s="1"/>
      <c r="L29" s="1"/>
      <c r="M29" s="1"/>
      <c r="N29" s="1"/>
    </row>
    <row r="30" spans="2:14" ht="21" customHeight="1" x14ac:dyDescent="0.25">
      <c r="B30" s="1" t="str">
        <f>B22</f>
        <v>Benefit 4</v>
      </c>
      <c r="C30" s="16">
        <v>46204</v>
      </c>
      <c r="D30" s="16">
        <v>46568</v>
      </c>
      <c r="E30" s="1">
        <f>IF(IF(COUNT(C30:D30,$H$11)=3,AND(MIN(C30:D30,$H$11)&gt;0,C30=INT(C30),D30=INT(D30),$H$11=INT($H$11),D30&gt;=C30),FALSE),MAX(0,D30-$H$11),NA())</f>
        <v>254</v>
      </c>
      <c r="F30" s="15" t="str">
        <f>IF(IF(COUNT(C30:D30,$H$11)=3,AND(MIN(C30:D30,$H$11)&gt;0,C30=INT(C30),D30=INT(D30),$H$11=INT($H$11),D30&gt;=C30),FALSE),IF($H$11&gt;D30,"Cease date passed",IF($H$11&lt;C30,"Not started",IF(D30-$H$11&lt;=30,"Ends within 30 days","Active"))),"Check dates")</f>
        <v>Active</v>
      </c>
      <c r="G30" s="1"/>
      <c r="H30" s="1"/>
      <c r="I30" s="1"/>
      <c r="J30" s="1"/>
      <c r="K30" s="1"/>
      <c r="L30" s="1"/>
      <c r="M30" s="1"/>
      <c r="N30" s="1"/>
    </row>
    <row r="31" spans="2:14" ht="21" customHeight="1" x14ac:dyDescent="0.25">
      <c r="B31" s="1" t="str">
        <f>B23</f>
        <v>Benefit 5</v>
      </c>
      <c r="C31" s="16">
        <v>46204</v>
      </c>
      <c r="D31" s="16">
        <v>46568</v>
      </c>
      <c r="E31" s="1">
        <f>IF(IF(COUNT(C31:D31,$H$11)=3,AND(MIN(C31:D31,$H$11)&gt;0,C31=INT(C31),D31=INT(D31),$H$11=INT($H$11),D31&gt;=C31),FALSE),MAX(0,D31-$H$11),NA())</f>
        <v>254</v>
      </c>
      <c r="F31" s="15" t="str">
        <f>IF(IF(COUNT(C31:D31,$H$11)=3,AND(MIN(C31:D31,$H$11)&gt;0,C31=INT(C31),D31=INT(D31),$H$11=INT($H$11),D31&gt;=C31),FALSE),IF($H$11&gt;D31,"Cease date passed",IF($H$11&lt;C31,"Not started",IF(D31-$H$11&lt;=30,"Ends within 30 days","Active"))),"Check dates")</f>
        <v>Active</v>
      </c>
      <c r="G31" s="1"/>
      <c r="H31" s="1"/>
      <c r="I31" s="1"/>
      <c r="J31" s="1"/>
      <c r="K31" s="1"/>
      <c r="L31" s="1"/>
      <c r="M31" s="1"/>
      <c r="N31" s="1"/>
    </row>
    <row r="32" spans="2:14" ht="21" customHeight="1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ht="21" customHeight="1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 ht="21" customHeight="1" x14ac:dyDescent="0.25">
      <c r="B34" s="2" t="s">
        <v>257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ht="21" customHeight="1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2:14" ht="21" customHeight="1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2:14" ht="21" customHeight="1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4" ht="21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2:14" ht="21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 ht="21" customHeigh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 ht="21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2:14" ht="21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2:14" ht="21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2:14" ht="21" customHeight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2:14" ht="21" customHeight="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2:14" ht="21" customHeight="1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2:14" ht="21" customHeight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2:14" ht="21" customHeight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</sheetData>
  <conditionalFormatting sqref="D11">
    <cfRule type="expression" dxfId="28" priority="1">
      <formula>AND(D11&lt;&gt;"",D11&lt;&gt;"Ready")</formula>
    </cfRule>
  </conditionalFormatting>
  <conditionalFormatting sqref="F27:F31">
    <cfRule type="expression" dxfId="27" priority="2">
      <formula>OR(F27="Check dates",F27="Cease date passed",F27="Ends within 30 days")</formula>
    </cfRule>
  </conditionalFormatting>
  <hyperlinks>
    <hyperlink ref="B1" location="'Read me'!B2" display="Contents" xr:uid="{7968F7B8-8A1D-4D80-A4F4-DF3A8DA18A9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6023C"/>
  </sheetPr>
  <dimension ref="B1:V4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C9" sqref="C9"/>
    </sheetView>
  </sheetViews>
  <sheetFormatPr defaultRowHeight="15" x14ac:dyDescent="0.25"/>
  <cols>
    <col min="2" max="2" width="30" customWidth="1"/>
    <col min="3" max="22" width="15" customWidth="1"/>
  </cols>
  <sheetData>
    <row r="1" spans="2:22" x14ac:dyDescent="0.25">
      <c r="B1" s="24" t="s">
        <v>53</v>
      </c>
    </row>
    <row r="2" spans="2:22" ht="21" customHeight="1" x14ac:dyDescent="0.25">
      <c r="B2" s="3" t="s">
        <v>20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2:22" ht="21" customHeight="1" x14ac:dyDescent="0.25"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2:22" ht="2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2:22" ht="21" customHeight="1" x14ac:dyDescent="0.25">
      <c r="B5" s="1" t="s">
        <v>258</v>
      </c>
      <c r="C5" s="1"/>
      <c r="D5" s="8">
        <v>2026</v>
      </c>
      <c r="E5" s="1"/>
      <c r="F5" s="2" t="s">
        <v>259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2:22" ht="21" customHeight="1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2:22" ht="21" customHeight="1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2:22" ht="56.1" customHeight="1" x14ac:dyDescent="0.25">
      <c r="B8" s="5" t="s">
        <v>260</v>
      </c>
      <c r="C8" s="5" t="s">
        <v>261</v>
      </c>
      <c r="D8" s="5" t="s">
        <v>262</v>
      </c>
      <c r="E8" s="5" t="s">
        <v>263</v>
      </c>
      <c r="F8" s="5" t="s">
        <v>264</v>
      </c>
      <c r="G8" s="5" t="s">
        <v>265</v>
      </c>
      <c r="H8" s="5">
        <f>$D$5+0</f>
        <v>2026</v>
      </c>
      <c r="I8" s="5">
        <f>$D$5+1</f>
        <v>2027</v>
      </c>
      <c r="J8" s="5">
        <f>$D$5+2</f>
        <v>2028</v>
      </c>
      <c r="K8" s="5">
        <f>$D$5+3</f>
        <v>2029</v>
      </c>
      <c r="L8" s="5">
        <f>$D$5+4</f>
        <v>2030</v>
      </c>
      <c r="M8" s="5">
        <f>$D$5+5</f>
        <v>2031</v>
      </c>
      <c r="N8" s="5">
        <f>$D$5+6</f>
        <v>2032</v>
      </c>
      <c r="O8" s="5">
        <f>$D$5+7</f>
        <v>2033</v>
      </c>
      <c r="P8" s="5">
        <f>$D$5+8</f>
        <v>2034</v>
      </c>
      <c r="Q8" s="5">
        <f>$D$5+9</f>
        <v>2035</v>
      </c>
      <c r="R8" s="5">
        <f>$D$5+10</f>
        <v>2036</v>
      </c>
      <c r="S8" s="5" t="s">
        <v>266</v>
      </c>
      <c r="T8" s="5" t="s">
        <v>267</v>
      </c>
      <c r="U8" s="5" t="s">
        <v>67</v>
      </c>
      <c r="V8" s="5" t="s">
        <v>268</v>
      </c>
    </row>
    <row r="9" spans="2:22" ht="21" customHeight="1" x14ac:dyDescent="0.25">
      <c r="B9" s="13" t="s">
        <v>269</v>
      </c>
      <c r="C9" s="6">
        <v>5000</v>
      </c>
      <c r="D9" s="6">
        <v>0</v>
      </c>
      <c r="E9" s="8">
        <v>5</v>
      </c>
      <c r="F9" s="8">
        <v>2026</v>
      </c>
      <c r="G9" s="8">
        <v>0</v>
      </c>
      <c r="H9" s="11">
        <f t="shared" ref="H9:H19" si="0">IF($U9="Ready",IF(OR(H$8&lt;$F9,H$8&gt;$F9+$E9,AND($G9&gt;0,H$8&gt;$G9)),0,IF(AND($G9&gt;0,H$8=$G9),MAX(0,$C9-$D9-0),MIN(MAX(0,$C9-$D9-0),($C9-$D9)/$E9*IF(H$8=$F9,$V9,1)))),NA())</f>
        <v>1000</v>
      </c>
      <c r="I9" s="11">
        <f t="shared" ref="I9:I19" si="1">IF($U9="Ready",IF(OR(I$8&lt;$F9,I$8&gt;$F9+$E9,AND($G9&gt;0,I$8&gt;$G9)),0,IF(AND($G9&gt;0,I$8=$G9),MAX(0,$C9-$D9-SUM(H9:H9)),MIN(MAX(0,$C9-$D9-SUM(H9:H9)),($C9-$D9)/$E9*IF(I$8=$F9,$V9,1)))),NA())</f>
        <v>1000</v>
      </c>
      <c r="J9" s="11">
        <f t="shared" ref="J9:J19" si="2">IF($U9="Ready",IF(OR(J$8&lt;$F9,J$8&gt;$F9+$E9,AND($G9&gt;0,J$8&gt;$G9)),0,IF(AND($G9&gt;0,J$8=$G9),MAX(0,$C9-$D9-SUM(H9:I9)),MIN(MAX(0,$C9-$D9-SUM(H9:I9)),($C9-$D9)/$E9*IF(J$8=$F9,$V9,1)))),NA())</f>
        <v>1000</v>
      </c>
      <c r="K9" s="11">
        <f t="shared" ref="K9:K19" si="3">IF($U9="Ready",IF(OR(K$8&lt;$F9,K$8&gt;$F9+$E9,AND($G9&gt;0,K$8&gt;$G9)),0,IF(AND($G9&gt;0,K$8=$G9),MAX(0,$C9-$D9-SUM(H9:J9)),MIN(MAX(0,$C9-$D9-SUM(H9:J9)),($C9-$D9)/$E9*IF(K$8=$F9,$V9,1)))),NA())</f>
        <v>1000</v>
      </c>
      <c r="L9" s="11">
        <f t="shared" ref="L9:L19" si="4">IF($U9="Ready",IF(OR(L$8&lt;$F9,L$8&gt;$F9+$E9,AND($G9&gt;0,L$8&gt;$G9)),0,IF(AND($G9&gt;0,L$8=$G9),MAX(0,$C9-$D9-SUM(H9:K9)),MIN(MAX(0,$C9-$D9-SUM(H9:K9)),($C9-$D9)/$E9*IF(L$8=$F9,$V9,1)))),NA())</f>
        <v>1000</v>
      </c>
      <c r="M9" s="11">
        <f t="shared" ref="M9:M19" si="5">IF($U9="Ready",IF(OR(M$8&lt;$F9,M$8&gt;$F9+$E9,AND($G9&gt;0,M$8&gt;$G9)),0,IF(AND($G9&gt;0,M$8=$G9),MAX(0,$C9-$D9-SUM(H9:L9)),MIN(MAX(0,$C9-$D9-SUM(H9:L9)),($C9-$D9)/$E9*IF(M$8=$F9,$V9,1)))),NA())</f>
        <v>0</v>
      </c>
      <c r="N9" s="11">
        <f t="shared" ref="N9:N19" si="6">IF($U9="Ready",IF(OR(N$8&lt;$F9,N$8&gt;$F9+$E9,AND($G9&gt;0,N$8&gt;$G9)),0,IF(AND($G9&gt;0,N$8=$G9),MAX(0,$C9-$D9-SUM(H9:M9)),MIN(MAX(0,$C9-$D9-SUM(H9:M9)),($C9-$D9)/$E9*IF(N$8=$F9,$V9,1)))),NA())</f>
        <v>0</v>
      </c>
      <c r="O9" s="11">
        <f t="shared" ref="O9:O19" si="7">IF($U9="Ready",IF(OR(O$8&lt;$F9,O$8&gt;$F9+$E9,AND($G9&gt;0,O$8&gt;$G9)),0,IF(AND($G9&gt;0,O$8=$G9),MAX(0,$C9-$D9-SUM(H9:N9)),MIN(MAX(0,$C9-$D9-SUM(H9:N9)),($C9-$D9)/$E9*IF(O$8=$F9,$V9,1)))),NA())</f>
        <v>0</v>
      </c>
      <c r="P9" s="11">
        <f t="shared" ref="P9:P19" si="8">IF($U9="Ready",IF(OR(P$8&lt;$F9,P$8&gt;$F9+$E9,AND($G9&gt;0,P$8&gt;$G9)),0,IF(AND($G9&gt;0,P$8=$G9),MAX(0,$C9-$D9-SUM(H9:O9)),MIN(MAX(0,$C9-$D9-SUM(H9:O9)),($C9-$D9)/$E9*IF(P$8=$F9,$V9,1)))),NA())</f>
        <v>0</v>
      </c>
      <c r="Q9" s="11">
        <f t="shared" ref="Q9:Q19" si="9">IF($U9="Ready",IF(OR(Q$8&lt;$F9,Q$8&gt;$F9+$E9,AND($G9&gt;0,Q$8&gt;$G9)),0,IF(AND($G9&gt;0,Q$8=$G9),MAX(0,$C9-$D9-SUM(H9:P9)),MIN(MAX(0,$C9-$D9-SUM(H9:P9)),($C9-$D9)/$E9*IF(Q$8=$F9,$V9,1)))),NA())</f>
        <v>0</v>
      </c>
      <c r="R9" s="11">
        <f t="shared" ref="R9:R19" si="10">IF($U9="Ready",IF(OR(R$8&lt;$F9,R$8&gt;$F9+$E9,AND($G9&gt;0,R$8&gt;$G9)),0,IF(AND($G9&gt;0,R$8=$G9),MAX(0,$C9-$D9-SUM(H9:Q9)),MIN(MAX(0,$C9-$D9-SUM(H9:Q9)),($C9-$D9)/$E9*IF(R$8=$F9,$V9,1)))),NA())</f>
        <v>0</v>
      </c>
      <c r="S9" s="11">
        <f t="shared" ref="S9:S19" si="11">SUM(H9:R9)</f>
        <v>5000</v>
      </c>
      <c r="T9" s="11">
        <f t="shared" ref="T9:T19" si="12">MAX(D9,C9-S9)</f>
        <v>0</v>
      </c>
      <c r="U9" s="15" t="str">
        <f t="shared" ref="U9:U19" si="13">IF(AND(COUNT(C9:G9,V9)=6,MIN(C9:E9)&gt;=0,E9&gt;0,E9=INT(E9),D9&lt;=C9,F9=INT(F9),G9=INT(G9),OR(G9=0,G9&gt;=F9),COUNT($D$5)=1,$D$5=INT($D$5),F9&gt;=$D$5,F9&lt;=$D$5+10,V9&gt;=0,V9&lt;=1),"Ready","Check inputs")</f>
        <v>Ready</v>
      </c>
      <c r="V9" s="7">
        <v>1</v>
      </c>
    </row>
    <row r="10" spans="2:22" ht="21" customHeight="1" x14ac:dyDescent="0.25">
      <c r="B10" s="13" t="s">
        <v>270</v>
      </c>
      <c r="C10" s="6">
        <v>2000</v>
      </c>
      <c r="D10" s="6">
        <v>0</v>
      </c>
      <c r="E10" s="8">
        <v>4</v>
      </c>
      <c r="F10" s="8">
        <v>2026</v>
      </c>
      <c r="G10" s="8">
        <v>2028</v>
      </c>
      <c r="H10" s="11">
        <f t="shared" si="0"/>
        <v>500</v>
      </c>
      <c r="I10" s="11">
        <f t="shared" si="1"/>
        <v>500</v>
      </c>
      <c r="J10" s="11">
        <f t="shared" si="2"/>
        <v>1000</v>
      </c>
      <c r="K10" s="11">
        <f t="shared" si="3"/>
        <v>0</v>
      </c>
      <c r="L10" s="11">
        <f t="shared" si="4"/>
        <v>0</v>
      </c>
      <c r="M10" s="11">
        <f t="shared" si="5"/>
        <v>0</v>
      </c>
      <c r="N10" s="11">
        <f t="shared" si="6"/>
        <v>0</v>
      </c>
      <c r="O10" s="11">
        <f t="shared" si="7"/>
        <v>0</v>
      </c>
      <c r="P10" s="11">
        <f t="shared" si="8"/>
        <v>0</v>
      </c>
      <c r="Q10" s="11">
        <f t="shared" si="9"/>
        <v>0</v>
      </c>
      <c r="R10" s="11">
        <f t="shared" si="10"/>
        <v>0</v>
      </c>
      <c r="S10" s="11">
        <f t="shared" si="11"/>
        <v>2000</v>
      </c>
      <c r="T10" s="11">
        <f t="shared" si="12"/>
        <v>0</v>
      </c>
      <c r="U10" s="15" t="str">
        <f t="shared" si="13"/>
        <v>Ready</v>
      </c>
      <c r="V10" s="7">
        <v>1</v>
      </c>
    </row>
    <row r="11" spans="2:22" ht="21" customHeight="1" x14ac:dyDescent="0.25">
      <c r="B11" s="13" t="s">
        <v>271</v>
      </c>
      <c r="C11" s="6">
        <v>9000</v>
      </c>
      <c r="D11" s="6">
        <v>0</v>
      </c>
      <c r="E11" s="8">
        <v>3</v>
      </c>
      <c r="F11" s="8">
        <v>2028</v>
      </c>
      <c r="G11" s="8">
        <v>0</v>
      </c>
      <c r="H11" s="11">
        <f t="shared" si="0"/>
        <v>0</v>
      </c>
      <c r="I11" s="11">
        <f t="shared" si="1"/>
        <v>0</v>
      </c>
      <c r="J11" s="11">
        <f t="shared" si="2"/>
        <v>3000</v>
      </c>
      <c r="K11" s="11">
        <f t="shared" si="3"/>
        <v>3000</v>
      </c>
      <c r="L11" s="11">
        <f t="shared" si="4"/>
        <v>3000</v>
      </c>
      <c r="M11" s="11">
        <f t="shared" si="5"/>
        <v>0</v>
      </c>
      <c r="N11" s="11">
        <f t="shared" si="6"/>
        <v>0</v>
      </c>
      <c r="O11" s="11">
        <f t="shared" si="7"/>
        <v>0</v>
      </c>
      <c r="P11" s="11">
        <f t="shared" si="8"/>
        <v>0</v>
      </c>
      <c r="Q11" s="11">
        <f t="shared" si="9"/>
        <v>0</v>
      </c>
      <c r="R11" s="11">
        <f t="shared" si="10"/>
        <v>0</v>
      </c>
      <c r="S11" s="11">
        <f t="shared" si="11"/>
        <v>9000</v>
      </c>
      <c r="T11" s="11">
        <f t="shared" si="12"/>
        <v>0</v>
      </c>
      <c r="U11" s="15" t="str">
        <f t="shared" si="13"/>
        <v>Ready</v>
      </c>
      <c r="V11" s="7">
        <v>1</v>
      </c>
    </row>
    <row r="12" spans="2:22" ht="21" customHeight="1" x14ac:dyDescent="0.25">
      <c r="B12" s="13" t="s">
        <v>272</v>
      </c>
      <c r="C12" s="6">
        <v>0</v>
      </c>
      <c r="D12" s="6">
        <v>0</v>
      </c>
      <c r="E12" s="8">
        <v>3</v>
      </c>
      <c r="F12" s="8">
        <v>2026</v>
      </c>
      <c r="G12" s="8">
        <v>0</v>
      </c>
      <c r="H12" s="11">
        <f t="shared" si="0"/>
        <v>0</v>
      </c>
      <c r="I12" s="11">
        <f t="shared" si="1"/>
        <v>0</v>
      </c>
      <c r="J12" s="11">
        <f t="shared" si="2"/>
        <v>0</v>
      </c>
      <c r="K12" s="11">
        <f t="shared" si="3"/>
        <v>0</v>
      </c>
      <c r="L12" s="11">
        <f t="shared" si="4"/>
        <v>0</v>
      </c>
      <c r="M12" s="11">
        <f t="shared" si="5"/>
        <v>0</v>
      </c>
      <c r="N12" s="11">
        <f t="shared" si="6"/>
        <v>0</v>
      </c>
      <c r="O12" s="11">
        <f t="shared" si="7"/>
        <v>0</v>
      </c>
      <c r="P12" s="11">
        <f t="shared" si="8"/>
        <v>0</v>
      </c>
      <c r="Q12" s="11">
        <f t="shared" si="9"/>
        <v>0</v>
      </c>
      <c r="R12" s="11">
        <f t="shared" si="10"/>
        <v>0</v>
      </c>
      <c r="S12" s="11">
        <f t="shared" si="11"/>
        <v>0</v>
      </c>
      <c r="T12" s="11">
        <f t="shared" si="12"/>
        <v>0</v>
      </c>
      <c r="U12" s="15" t="str">
        <f t="shared" si="13"/>
        <v>Ready</v>
      </c>
      <c r="V12" s="7">
        <v>1</v>
      </c>
    </row>
    <row r="13" spans="2:22" ht="21" customHeight="1" x14ac:dyDescent="0.25">
      <c r="B13" s="13" t="s">
        <v>273</v>
      </c>
      <c r="C13" s="6">
        <v>0</v>
      </c>
      <c r="D13" s="6">
        <v>0</v>
      </c>
      <c r="E13" s="8">
        <v>3</v>
      </c>
      <c r="F13" s="8">
        <v>2026</v>
      </c>
      <c r="G13" s="8">
        <v>0</v>
      </c>
      <c r="H13" s="11">
        <f t="shared" si="0"/>
        <v>0</v>
      </c>
      <c r="I13" s="11">
        <f t="shared" si="1"/>
        <v>0</v>
      </c>
      <c r="J13" s="11">
        <f t="shared" si="2"/>
        <v>0</v>
      </c>
      <c r="K13" s="11">
        <f t="shared" si="3"/>
        <v>0</v>
      </c>
      <c r="L13" s="11">
        <f t="shared" si="4"/>
        <v>0</v>
      </c>
      <c r="M13" s="11">
        <f t="shared" si="5"/>
        <v>0</v>
      </c>
      <c r="N13" s="11">
        <f t="shared" si="6"/>
        <v>0</v>
      </c>
      <c r="O13" s="11">
        <f t="shared" si="7"/>
        <v>0</v>
      </c>
      <c r="P13" s="11">
        <f t="shared" si="8"/>
        <v>0</v>
      </c>
      <c r="Q13" s="11">
        <f t="shared" si="9"/>
        <v>0</v>
      </c>
      <c r="R13" s="11">
        <f t="shared" si="10"/>
        <v>0</v>
      </c>
      <c r="S13" s="11">
        <f t="shared" si="11"/>
        <v>0</v>
      </c>
      <c r="T13" s="11">
        <f t="shared" si="12"/>
        <v>0</v>
      </c>
      <c r="U13" s="15" t="str">
        <f t="shared" si="13"/>
        <v>Ready</v>
      </c>
      <c r="V13" s="7">
        <v>1</v>
      </c>
    </row>
    <row r="14" spans="2:22" ht="21" customHeight="1" x14ac:dyDescent="0.25">
      <c r="B14" s="13" t="s">
        <v>274</v>
      </c>
      <c r="C14" s="6">
        <v>0</v>
      </c>
      <c r="D14" s="6">
        <v>0</v>
      </c>
      <c r="E14" s="8">
        <v>3</v>
      </c>
      <c r="F14" s="8">
        <v>2026</v>
      </c>
      <c r="G14" s="8">
        <v>0</v>
      </c>
      <c r="H14" s="11">
        <f t="shared" si="0"/>
        <v>0</v>
      </c>
      <c r="I14" s="11">
        <f t="shared" si="1"/>
        <v>0</v>
      </c>
      <c r="J14" s="11">
        <f t="shared" si="2"/>
        <v>0</v>
      </c>
      <c r="K14" s="11">
        <f t="shared" si="3"/>
        <v>0</v>
      </c>
      <c r="L14" s="11">
        <f t="shared" si="4"/>
        <v>0</v>
      </c>
      <c r="M14" s="11">
        <f t="shared" si="5"/>
        <v>0</v>
      </c>
      <c r="N14" s="11">
        <f t="shared" si="6"/>
        <v>0</v>
      </c>
      <c r="O14" s="11">
        <f t="shared" si="7"/>
        <v>0</v>
      </c>
      <c r="P14" s="11">
        <f t="shared" si="8"/>
        <v>0</v>
      </c>
      <c r="Q14" s="11">
        <f t="shared" si="9"/>
        <v>0</v>
      </c>
      <c r="R14" s="11">
        <f t="shared" si="10"/>
        <v>0</v>
      </c>
      <c r="S14" s="11">
        <f t="shared" si="11"/>
        <v>0</v>
      </c>
      <c r="T14" s="11">
        <f t="shared" si="12"/>
        <v>0</v>
      </c>
      <c r="U14" s="15" t="str">
        <f t="shared" si="13"/>
        <v>Ready</v>
      </c>
      <c r="V14" s="7">
        <v>1</v>
      </c>
    </row>
    <row r="15" spans="2:22" ht="21" customHeight="1" x14ac:dyDescent="0.25">
      <c r="B15" s="13" t="s">
        <v>275</v>
      </c>
      <c r="C15" s="6">
        <v>0</v>
      </c>
      <c r="D15" s="6">
        <v>0</v>
      </c>
      <c r="E15" s="8">
        <v>3</v>
      </c>
      <c r="F15" s="8">
        <v>2026</v>
      </c>
      <c r="G15" s="8">
        <v>0</v>
      </c>
      <c r="H15" s="11">
        <f t="shared" si="0"/>
        <v>0</v>
      </c>
      <c r="I15" s="11">
        <f t="shared" si="1"/>
        <v>0</v>
      </c>
      <c r="J15" s="11">
        <f t="shared" si="2"/>
        <v>0</v>
      </c>
      <c r="K15" s="11">
        <f t="shared" si="3"/>
        <v>0</v>
      </c>
      <c r="L15" s="11">
        <f t="shared" si="4"/>
        <v>0</v>
      </c>
      <c r="M15" s="11">
        <f t="shared" si="5"/>
        <v>0</v>
      </c>
      <c r="N15" s="11">
        <f t="shared" si="6"/>
        <v>0</v>
      </c>
      <c r="O15" s="11">
        <f t="shared" si="7"/>
        <v>0</v>
      </c>
      <c r="P15" s="11">
        <f t="shared" si="8"/>
        <v>0</v>
      </c>
      <c r="Q15" s="11">
        <f t="shared" si="9"/>
        <v>0</v>
      </c>
      <c r="R15" s="11">
        <f t="shared" si="10"/>
        <v>0</v>
      </c>
      <c r="S15" s="11">
        <f t="shared" si="11"/>
        <v>0</v>
      </c>
      <c r="T15" s="11">
        <f t="shared" si="12"/>
        <v>0</v>
      </c>
      <c r="U15" s="15" t="str">
        <f t="shared" si="13"/>
        <v>Ready</v>
      </c>
      <c r="V15" s="7">
        <v>1</v>
      </c>
    </row>
    <row r="16" spans="2:22" ht="21" customHeight="1" x14ac:dyDescent="0.25">
      <c r="B16" s="13" t="s">
        <v>276</v>
      </c>
      <c r="C16" s="6">
        <v>0</v>
      </c>
      <c r="D16" s="6">
        <v>0</v>
      </c>
      <c r="E16" s="8">
        <v>3</v>
      </c>
      <c r="F16" s="8">
        <v>2026</v>
      </c>
      <c r="G16" s="8">
        <v>0</v>
      </c>
      <c r="H16" s="11">
        <f t="shared" si="0"/>
        <v>0</v>
      </c>
      <c r="I16" s="11">
        <f t="shared" si="1"/>
        <v>0</v>
      </c>
      <c r="J16" s="11">
        <f t="shared" si="2"/>
        <v>0</v>
      </c>
      <c r="K16" s="11">
        <f t="shared" si="3"/>
        <v>0</v>
      </c>
      <c r="L16" s="11">
        <f t="shared" si="4"/>
        <v>0</v>
      </c>
      <c r="M16" s="11">
        <f t="shared" si="5"/>
        <v>0</v>
      </c>
      <c r="N16" s="11">
        <f t="shared" si="6"/>
        <v>0</v>
      </c>
      <c r="O16" s="11">
        <f t="shared" si="7"/>
        <v>0</v>
      </c>
      <c r="P16" s="11">
        <f t="shared" si="8"/>
        <v>0</v>
      </c>
      <c r="Q16" s="11">
        <f t="shared" si="9"/>
        <v>0</v>
      </c>
      <c r="R16" s="11">
        <f t="shared" si="10"/>
        <v>0</v>
      </c>
      <c r="S16" s="11">
        <f t="shared" si="11"/>
        <v>0</v>
      </c>
      <c r="T16" s="11">
        <f t="shared" si="12"/>
        <v>0</v>
      </c>
      <c r="U16" s="15" t="str">
        <f t="shared" si="13"/>
        <v>Ready</v>
      </c>
      <c r="V16" s="7">
        <v>1</v>
      </c>
    </row>
    <row r="17" spans="2:22" ht="21" customHeight="1" x14ac:dyDescent="0.25">
      <c r="B17" s="13" t="s">
        <v>277</v>
      </c>
      <c r="C17" s="6">
        <v>0</v>
      </c>
      <c r="D17" s="6">
        <v>0</v>
      </c>
      <c r="E17" s="8">
        <v>3</v>
      </c>
      <c r="F17" s="8">
        <v>2026</v>
      </c>
      <c r="G17" s="8">
        <v>0</v>
      </c>
      <c r="H17" s="11">
        <f t="shared" si="0"/>
        <v>0</v>
      </c>
      <c r="I17" s="11">
        <f t="shared" si="1"/>
        <v>0</v>
      </c>
      <c r="J17" s="11">
        <f t="shared" si="2"/>
        <v>0</v>
      </c>
      <c r="K17" s="11">
        <f t="shared" si="3"/>
        <v>0</v>
      </c>
      <c r="L17" s="11">
        <f t="shared" si="4"/>
        <v>0</v>
      </c>
      <c r="M17" s="11">
        <f t="shared" si="5"/>
        <v>0</v>
      </c>
      <c r="N17" s="11">
        <f t="shared" si="6"/>
        <v>0</v>
      </c>
      <c r="O17" s="11">
        <f t="shared" si="7"/>
        <v>0</v>
      </c>
      <c r="P17" s="11">
        <f t="shared" si="8"/>
        <v>0</v>
      </c>
      <c r="Q17" s="11">
        <f t="shared" si="9"/>
        <v>0</v>
      </c>
      <c r="R17" s="11">
        <f t="shared" si="10"/>
        <v>0</v>
      </c>
      <c r="S17" s="11">
        <f t="shared" si="11"/>
        <v>0</v>
      </c>
      <c r="T17" s="11">
        <f t="shared" si="12"/>
        <v>0</v>
      </c>
      <c r="U17" s="15" t="str">
        <f t="shared" si="13"/>
        <v>Ready</v>
      </c>
      <c r="V17" s="7">
        <v>1</v>
      </c>
    </row>
    <row r="18" spans="2:22" ht="21" customHeight="1" x14ac:dyDescent="0.25">
      <c r="B18" s="13" t="s">
        <v>278</v>
      </c>
      <c r="C18" s="6">
        <v>0</v>
      </c>
      <c r="D18" s="6">
        <v>0</v>
      </c>
      <c r="E18" s="8">
        <v>3</v>
      </c>
      <c r="F18" s="8">
        <v>2026</v>
      </c>
      <c r="G18" s="8">
        <v>0</v>
      </c>
      <c r="H18" s="11">
        <f t="shared" si="0"/>
        <v>0</v>
      </c>
      <c r="I18" s="11">
        <f t="shared" si="1"/>
        <v>0</v>
      </c>
      <c r="J18" s="11">
        <f t="shared" si="2"/>
        <v>0</v>
      </c>
      <c r="K18" s="11">
        <f t="shared" si="3"/>
        <v>0</v>
      </c>
      <c r="L18" s="11">
        <f t="shared" si="4"/>
        <v>0</v>
      </c>
      <c r="M18" s="11">
        <f t="shared" si="5"/>
        <v>0</v>
      </c>
      <c r="N18" s="11">
        <f t="shared" si="6"/>
        <v>0</v>
      </c>
      <c r="O18" s="11">
        <f t="shared" si="7"/>
        <v>0</v>
      </c>
      <c r="P18" s="11">
        <f t="shared" si="8"/>
        <v>0</v>
      </c>
      <c r="Q18" s="11">
        <f t="shared" si="9"/>
        <v>0</v>
      </c>
      <c r="R18" s="11">
        <f t="shared" si="10"/>
        <v>0</v>
      </c>
      <c r="S18" s="11">
        <f t="shared" si="11"/>
        <v>0</v>
      </c>
      <c r="T18" s="11">
        <f t="shared" si="12"/>
        <v>0</v>
      </c>
      <c r="U18" s="15" t="str">
        <f t="shared" si="13"/>
        <v>Ready</v>
      </c>
      <c r="V18" s="7">
        <v>1</v>
      </c>
    </row>
    <row r="19" spans="2:22" ht="21" customHeight="1" x14ac:dyDescent="0.25">
      <c r="B19" s="13" t="s">
        <v>279</v>
      </c>
      <c r="C19" s="6">
        <v>0</v>
      </c>
      <c r="D19" s="6">
        <v>0</v>
      </c>
      <c r="E19" s="8">
        <v>3</v>
      </c>
      <c r="F19" s="8">
        <v>2026</v>
      </c>
      <c r="G19" s="8">
        <v>0</v>
      </c>
      <c r="H19" s="11">
        <f t="shared" si="0"/>
        <v>0</v>
      </c>
      <c r="I19" s="11">
        <f t="shared" si="1"/>
        <v>0</v>
      </c>
      <c r="J19" s="11">
        <f t="shared" si="2"/>
        <v>0</v>
      </c>
      <c r="K19" s="11">
        <f t="shared" si="3"/>
        <v>0</v>
      </c>
      <c r="L19" s="11">
        <f t="shared" si="4"/>
        <v>0</v>
      </c>
      <c r="M19" s="11">
        <f t="shared" si="5"/>
        <v>0</v>
      </c>
      <c r="N19" s="11">
        <f t="shared" si="6"/>
        <v>0</v>
      </c>
      <c r="O19" s="11">
        <f t="shared" si="7"/>
        <v>0</v>
      </c>
      <c r="P19" s="11">
        <f t="shared" si="8"/>
        <v>0</v>
      </c>
      <c r="Q19" s="11">
        <f t="shared" si="9"/>
        <v>0</v>
      </c>
      <c r="R19" s="11">
        <f t="shared" si="10"/>
        <v>0</v>
      </c>
      <c r="S19" s="11">
        <f t="shared" si="11"/>
        <v>0</v>
      </c>
      <c r="T19" s="11">
        <f t="shared" si="12"/>
        <v>0</v>
      </c>
      <c r="U19" s="15" t="str">
        <f t="shared" si="13"/>
        <v>Ready</v>
      </c>
      <c r="V19" s="7">
        <v>1</v>
      </c>
    </row>
    <row r="20" spans="2:22" ht="21" customHeight="1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2:22" ht="21" customHeight="1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2:22" ht="21" customHeight="1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2:22" ht="21" customHeight="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2:22" ht="21" customHeight="1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2:22" ht="21" customHeight="1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2:22" ht="21" customHeight="1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2:22" ht="21" customHeight="1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2:22" ht="21" customHeight="1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2:22" ht="21" customHeight="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2:22" ht="21" customHeight="1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2:22" ht="21" customHeight="1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2:22" ht="21" customHeight="1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2:22" ht="21" customHeight="1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2:22" ht="21" customHeight="1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2:22" ht="21" customHeight="1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2:22" ht="21" customHeight="1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2:22" ht="21" customHeight="1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2:22" ht="21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2:22" ht="21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2:22" ht="21" customHeigh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2:22" ht="21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2:22" ht="21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2:22" ht="21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2:22" ht="21" customHeight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2:22" ht="21" customHeight="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2:22" ht="21" customHeight="1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2:22" ht="21" customHeight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2:22" ht="21" customHeight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</sheetData>
  <conditionalFormatting sqref="U9:U19">
    <cfRule type="expression" dxfId="26" priority="1">
      <formula>AND(U9&lt;&gt;"",U9&lt;&gt;"Ready")</formula>
    </cfRule>
  </conditionalFormatting>
  <hyperlinks>
    <hyperlink ref="B1" location="'Read me'!B2" display="Contents" xr:uid="{9C26F549-9EEB-4AEB-802B-0CE7194A213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00"/>
  </sheetPr>
  <dimension ref="B1:AF48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C10" sqref="C10"/>
    </sheetView>
  </sheetViews>
  <sheetFormatPr defaultRowHeight="15" x14ac:dyDescent="0.25"/>
  <cols>
    <col min="2" max="2" width="30" customWidth="1"/>
    <col min="3" max="8" width="15" customWidth="1"/>
    <col min="9" max="32" width="9" customWidth="1"/>
  </cols>
  <sheetData>
    <row r="1" spans="2:32" x14ac:dyDescent="0.25">
      <c r="B1" s="24" t="s">
        <v>53</v>
      </c>
    </row>
    <row r="2" spans="2:32" ht="21" customHeight="1" x14ac:dyDescent="0.25">
      <c r="B2" s="3" t="s">
        <v>22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2:32" ht="21" customHeight="1" x14ac:dyDescent="0.25"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2:32" ht="2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2:32" ht="21" customHeight="1" x14ac:dyDescent="0.25">
      <c r="B5" s="1" t="s">
        <v>280</v>
      </c>
      <c r="C5" s="1"/>
      <c r="D5" s="16">
        <v>46204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2:32" ht="21" customHeight="1" x14ac:dyDescent="0.25">
      <c r="B6" s="1" t="s">
        <v>281</v>
      </c>
      <c r="C6" s="1"/>
      <c r="D6" s="16">
        <v>46568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2:32" ht="21" customHeight="1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2:32" ht="21" customHeight="1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2:32" ht="56.1" customHeight="1" x14ac:dyDescent="0.25">
      <c r="B9" s="5" t="s">
        <v>282</v>
      </c>
      <c r="C9" s="5" t="s">
        <v>283</v>
      </c>
      <c r="D9" s="5" t="s">
        <v>284</v>
      </c>
      <c r="E9" s="5" t="s">
        <v>285</v>
      </c>
      <c r="F9" s="5" t="s">
        <v>286</v>
      </c>
      <c r="G9" s="5" t="s">
        <v>287</v>
      </c>
      <c r="H9" s="5" t="s">
        <v>288</v>
      </c>
      <c r="I9" s="18">
        <f>EDATE(DATE(YEAR($D$5),MONTH($D$5),1),0)</f>
        <v>46204</v>
      </c>
      <c r="J9" s="18">
        <f>EDATE(DATE(YEAR($D$5),MONTH($D$5),1),1)</f>
        <v>46235</v>
      </c>
      <c r="K9" s="18">
        <f>EDATE(DATE(YEAR($D$5),MONTH($D$5),1),2)</f>
        <v>46266</v>
      </c>
      <c r="L9" s="18">
        <f>EDATE(DATE(YEAR($D$5),MONTH($D$5),1),3)</f>
        <v>46296</v>
      </c>
      <c r="M9" s="18">
        <f>EDATE(DATE(YEAR($D$5),MONTH($D$5),1),4)</f>
        <v>46327</v>
      </c>
      <c r="N9" s="18">
        <f>EDATE(DATE(YEAR($D$5),MONTH($D$5),1),5)</f>
        <v>46357</v>
      </c>
      <c r="O9" s="18">
        <f>EDATE(DATE(YEAR($D$5),MONTH($D$5),1),6)</f>
        <v>46388</v>
      </c>
      <c r="P9" s="18">
        <f>EDATE(DATE(YEAR($D$5),MONTH($D$5),1),7)</f>
        <v>46419</v>
      </c>
      <c r="Q9" s="18">
        <f>EDATE(DATE(YEAR($D$5),MONTH($D$5),1),8)</f>
        <v>46447</v>
      </c>
      <c r="R9" s="18">
        <f>EDATE(DATE(YEAR($D$5),MONTH($D$5),1),9)</f>
        <v>46478</v>
      </c>
      <c r="S9" s="18">
        <f>EDATE(DATE(YEAR($D$5),MONTH($D$5),1),10)</f>
        <v>46508</v>
      </c>
      <c r="T9" s="18">
        <f>EDATE(DATE(YEAR($D$5),MONTH($D$5),1),11)</f>
        <v>46539</v>
      </c>
      <c r="U9" s="18">
        <f>EDATE(DATE(YEAR($D$5),MONTH($D$5),1),12)</f>
        <v>46569</v>
      </c>
      <c r="V9" s="18">
        <f>EDATE(DATE(YEAR($D$5),MONTH($D$5),1),13)</f>
        <v>46600</v>
      </c>
      <c r="W9" s="18">
        <f>EDATE(DATE(YEAR($D$5),MONTH($D$5),1),14)</f>
        <v>46631</v>
      </c>
      <c r="X9" s="18">
        <f>EDATE(DATE(YEAR($D$5),MONTH($D$5),1),15)</f>
        <v>46661</v>
      </c>
      <c r="Y9" s="18">
        <f>EDATE(DATE(YEAR($D$5),MONTH($D$5),1),16)</f>
        <v>46692</v>
      </c>
      <c r="Z9" s="18">
        <f>EDATE(DATE(YEAR($D$5),MONTH($D$5),1),17)</f>
        <v>46722</v>
      </c>
      <c r="AA9" s="18">
        <f>EDATE(DATE(YEAR($D$5),MONTH($D$5),1),18)</f>
        <v>46753</v>
      </c>
      <c r="AB9" s="18">
        <f>EDATE(DATE(YEAR($D$5),MONTH($D$5),1),19)</f>
        <v>46784</v>
      </c>
      <c r="AC9" s="18">
        <f>EDATE(DATE(YEAR($D$5),MONTH($D$5),1),20)</f>
        <v>46813</v>
      </c>
      <c r="AD9" s="18">
        <f>EDATE(DATE(YEAR($D$5),MONTH($D$5),1),21)</f>
        <v>46844</v>
      </c>
      <c r="AE9" s="18">
        <f>EDATE(DATE(YEAR($D$5),MONTH($D$5),1),22)</f>
        <v>46874</v>
      </c>
      <c r="AF9" s="18">
        <f>EDATE(DATE(YEAR($D$5),MONTH($D$5),1),23)</f>
        <v>46905</v>
      </c>
    </row>
    <row r="10" spans="2:32" ht="21" customHeight="1" x14ac:dyDescent="0.25">
      <c r="B10" s="13" t="s">
        <v>289</v>
      </c>
      <c r="C10" s="16">
        <v>46023</v>
      </c>
      <c r="D10" s="16">
        <v>46295</v>
      </c>
      <c r="E10" s="1">
        <f t="shared" ref="E10:E21" si="0">IF(B10="","",IF(AND(COUNT(C10:D10,$D$5:$D$6)=4,D10&gt;=C10,$D$6&gt;=$D$5),D10-C10+1,NA()))</f>
        <v>273</v>
      </c>
      <c r="F10" s="1">
        <f t="shared" ref="F10:F21" si="1">IF(B10="","",IF(AND(COUNT(C10:D10,$D$5:$D$6)=4,D10&gt;=C10,$D$6&gt;=$D$5),MAX(0,MIN(D10,$D$6)-MAX(C10,$D$5)+1),NA()))</f>
        <v>92</v>
      </c>
      <c r="G10" s="13"/>
      <c r="H10" s="13"/>
      <c r="I10" s="1">
        <f t="shared" ref="I10:R21" si="2">IF($B10="","",IF(ISNUMBER($E10),IF(AND($C10&lt;=EOMONTH(I$9,0),$D10&gt;=I$9),1,""),NA()))</f>
        <v>1</v>
      </c>
      <c r="J10" s="1">
        <f t="shared" si="2"/>
        <v>1</v>
      </c>
      <c r="K10" s="1">
        <f t="shared" si="2"/>
        <v>1</v>
      </c>
      <c r="L10" s="1" t="str">
        <f t="shared" si="2"/>
        <v/>
      </c>
      <c r="M10" s="1" t="str">
        <f t="shared" si="2"/>
        <v/>
      </c>
      <c r="N10" s="1" t="str">
        <f t="shared" si="2"/>
        <v/>
      </c>
      <c r="O10" s="1" t="str">
        <f t="shared" si="2"/>
        <v/>
      </c>
      <c r="P10" s="1" t="str">
        <f t="shared" si="2"/>
        <v/>
      </c>
      <c r="Q10" s="1" t="str">
        <f t="shared" si="2"/>
        <v/>
      </c>
      <c r="R10" s="1" t="str">
        <f t="shared" si="2"/>
        <v/>
      </c>
      <c r="S10" s="1" t="str">
        <f t="shared" ref="S10:AF21" si="3">IF($B10="","",IF(ISNUMBER($E10),IF(AND($C10&lt;=EOMONTH(S$9,0),$D10&gt;=S$9),1,""),NA()))</f>
        <v/>
      </c>
      <c r="T10" s="1" t="str">
        <f t="shared" si="3"/>
        <v/>
      </c>
      <c r="U10" s="1" t="str">
        <f t="shared" si="3"/>
        <v/>
      </c>
      <c r="V10" s="1" t="str">
        <f t="shared" si="3"/>
        <v/>
      </c>
      <c r="W10" s="1" t="str">
        <f t="shared" si="3"/>
        <v/>
      </c>
      <c r="X10" s="1" t="str">
        <f t="shared" si="3"/>
        <v/>
      </c>
      <c r="Y10" s="1" t="str">
        <f t="shared" si="3"/>
        <v/>
      </c>
      <c r="Z10" s="1" t="str">
        <f t="shared" si="3"/>
        <v/>
      </c>
      <c r="AA10" s="1" t="str">
        <f t="shared" si="3"/>
        <v/>
      </c>
      <c r="AB10" s="1" t="str">
        <f t="shared" si="3"/>
        <v/>
      </c>
      <c r="AC10" s="1" t="str">
        <f t="shared" si="3"/>
        <v/>
      </c>
      <c r="AD10" s="1" t="str">
        <f t="shared" si="3"/>
        <v/>
      </c>
      <c r="AE10" s="1" t="str">
        <f t="shared" si="3"/>
        <v/>
      </c>
      <c r="AF10" s="1" t="str">
        <f t="shared" si="3"/>
        <v/>
      </c>
    </row>
    <row r="11" spans="2:32" ht="21" customHeight="1" x14ac:dyDescent="0.25">
      <c r="B11" s="13" t="s">
        <v>290</v>
      </c>
      <c r="C11" s="16">
        <v>46296</v>
      </c>
      <c r="D11" s="16">
        <v>46660</v>
      </c>
      <c r="E11" s="1">
        <f t="shared" si="0"/>
        <v>365</v>
      </c>
      <c r="F11" s="1">
        <f t="shared" si="1"/>
        <v>273</v>
      </c>
      <c r="G11" s="13"/>
      <c r="H11" s="13"/>
      <c r="I11" s="1" t="str">
        <f t="shared" si="2"/>
        <v/>
      </c>
      <c r="J11" s="1" t="str">
        <f t="shared" si="2"/>
        <v/>
      </c>
      <c r="K11" s="1" t="str">
        <f t="shared" si="2"/>
        <v/>
      </c>
      <c r="L11" s="1">
        <f t="shared" si="2"/>
        <v>1</v>
      </c>
      <c r="M11" s="1">
        <f t="shared" si="2"/>
        <v>1</v>
      </c>
      <c r="N11" s="1">
        <f t="shared" si="2"/>
        <v>1</v>
      </c>
      <c r="O11" s="1">
        <f t="shared" si="2"/>
        <v>1</v>
      </c>
      <c r="P11" s="1">
        <f t="shared" si="2"/>
        <v>1</v>
      </c>
      <c r="Q11" s="1">
        <f t="shared" si="2"/>
        <v>1</v>
      </c>
      <c r="R11" s="1">
        <f t="shared" si="2"/>
        <v>1</v>
      </c>
      <c r="S11" s="1">
        <f t="shared" si="3"/>
        <v>1</v>
      </c>
      <c r="T11" s="1">
        <f t="shared" si="3"/>
        <v>1</v>
      </c>
      <c r="U11" s="1">
        <f t="shared" si="3"/>
        <v>1</v>
      </c>
      <c r="V11" s="1">
        <f t="shared" si="3"/>
        <v>1</v>
      </c>
      <c r="W11" s="1">
        <f t="shared" si="3"/>
        <v>1</v>
      </c>
      <c r="X11" s="1" t="str">
        <f t="shared" si="3"/>
        <v/>
      </c>
      <c r="Y11" s="1" t="str">
        <f t="shared" si="3"/>
        <v/>
      </c>
      <c r="Z11" s="1" t="str">
        <f t="shared" si="3"/>
        <v/>
      </c>
      <c r="AA11" s="1" t="str">
        <f t="shared" si="3"/>
        <v/>
      </c>
      <c r="AB11" s="1" t="str">
        <f t="shared" si="3"/>
        <v/>
      </c>
      <c r="AC11" s="1" t="str">
        <f t="shared" si="3"/>
        <v/>
      </c>
      <c r="AD11" s="1" t="str">
        <f t="shared" si="3"/>
        <v/>
      </c>
      <c r="AE11" s="1" t="str">
        <f t="shared" si="3"/>
        <v/>
      </c>
      <c r="AF11" s="1" t="str">
        <f t="shared" si="3"/>
        <v/>
      </c>
    </row>
    <row r="12" spans="2:32" ht="21" customHeight="1" x14ac:dyDescent="0.25">
      <c r="B12" s="13"/>
      <c r="C12" s="16"/>
      <c r="D12" s="16"/>
      <c r="E12" s="1" t="str">
        <f t="shared" si="0"/>
        <v/>
      </c>
      <c r="F12" s="1" t="str">
        <f t="shared" si="1"/>
        <v/>
      </c>
      <c r="G12" s="13"/>
      <c r="H12" s="13"/>
      <c r="I12" s="1" t="str">
        <f t="shared" si="2"/>
        <v/>
      </c>
      <c r="J12" s="1" t="str">
        <f t="shared" si="2"/>
        <v/>
      </c>
      <c r="K12" s="1" t="str">
        <f t="shared" si="2"/>
        <v/>
      </c>
      <c r="L12" s="1" t="str">
        <f t="shared" si="2"/>
        <v/>
      </c>
      <c r="M12" s="1" t="str">
        <f t="shared" si="2"/>
        <v/>
      </c>
      <c r="N12" s="1" t="str">
        <f t="shared" si="2"/>
        <v/>
      </c>
      <c r="O12" s="1" t="str">
        <f t="shared" si="2"/>
        <v/>
      </c>
      <c r="P12" s="1" t="str">
        <f t="shared" si="2"/>
        <v/>
      </c>
      <c r="Q12" s="1" t="str">
        <f t="shared" si="2"/>
        <v/>
      </c>
      <c r="R12" s="1" t="str">
        <f t="shared" si="2"/>
        <v/>
      </c>
      <c r="S12" s="1" t="str">
        <f t="shared" si="3"/>
        <v/>
      </c>
      <c r="T12" s="1" t="str">
        <f t="shared" si="3"/>
        <v/>
      </c>
      <c r="U12" s="1" t="str">
        <f t="shared" si="3"/>
        <v/>
      </c>
      <c r="V12" s="1" t="str">
        <f t="shared" si="3"/>
        <v/>
      </c>
      <c r="W12" s="1" t="str">
        <f t="shared" si="3"/>
        <v/>
      </c>
      <c r="X12" s="1" t="str">
        <f t="shared" si="3"/>
        <v/>
      </c>
      <c r="Y12" s="1" t="str">
        <f t="shared" si="3"/>
        <v/>
      </c>
      <c r="Z12" s="1" t="str">
        <f t="shared" si="3"/>
        <v/>
      </c>
      <c r="AA12" s="1" t="str">
        <f t="shared" si="3"/>
        <v/>
      </c>
      <c r="AB12" s="1" t="str">
        <f t="shared" si="3"/>
        <v/>
      </c>
      <c r="AC12" s="1" t="str">
        <f t="shared" si="3"/>
        <v/>
      </c>
      <c r="AD12" s="1" t="str">
        <f t="shared" si="3"/>
        <v/>
      </c>
      <c r="AE12" s="1" t="str">
        <f t="shared" si="3"/>
        <v/>
      </c>
      <c r="AF12" s="1" t="str">
        <f t="shared" si="3"/>
        <v/>
      </c>
    </row>
    <row r="13" spans="2:32" ht="21" customHeight="1" x14ac:dyDescent="0.25">
      <c r="B13" s="13"/>
      <c r="C13" s="16"/>
      <c r="D13" s="16"/>
      <c r="E13" s="1" t="str">
        <f t="shared" si="0"/>
        <v/>
      </c>
      <c r="F13" s="1" t="str">
        <f t="shared" si="1"/>
        <v/>
      </c>
      <c r="G13" s="13"/>
      <c r="H13" s="13"/>
      <c r="I13" s="1" t="str">
        <f t="shared" si="2"/>
        <v/>
      </c>
      <c r="J13" s="1" t="str">
        <f t="shared" si="2"/>
        <v/>
      </c>
      <c r="K13" s="1" t="str">
        <f t="shared" si="2"/>
        <v/>
      </c>
      <c r="L13" s="1" t="str">
        <f t="shared" si="2"/>
        <v/>
      </c>
      <c r="M13" s="1" t="str">
        <f t="shared" si="2"/>
        <v/>
      </c>
      <c r="N13" s="1" t="str">
        <f t="shared" si="2"/>
        <v/>
      </c>
      <c r="O13" s="1" t="str">
        <f t="shared" si="2"/>
        <v/>
      </c>
      <c r="P13" s="1" t="str">
        <f t="shared" si="2"/>
        <v/>
      </c>
      <c r="Q13" s="1" t="str">
        <f t="shared" si="2"/>
        <v/>
      </c>
      <c r="R13" s="1" t="str">
        <f t="shared" si="2"/>
        <v/>
      </c>
      <c r="S13" s="1" t="str">
        <f t="shared" si="3"/>
        <v/>
      </c>
      <c r="T13" s="1" t="str">
        <f t="shared" si="3"/>
        <v/>
      </c>
      <c r="U13" s="1" t="str">
        <f t="shared" si="3"/>
        <v/>
      </c>
      <c r="V13" s="1" t="str">
        <f t="shared" si="3"/>
        <v/>
      </c>
      <c r="W13" s="1" t="str">
        <f t="shared" si="3"/>
        <v/>
      </c>
      <c r="X13" s="1" t="str">
        <f t="shared" si="3"/>
        <v/>
      </c>
      <c r="Y13" s="1" t="str">
        <f t="shared" si="3"/>
        <v/>
      </c>
      <c r="Z13" s="1" t="str">
        <f t="shared" si="3"/>
        <v/>
      </c>
      <c r="AA13" s="1" t="str">
        <f t="shared" si="3"/>
        <v/>
      </c>
      <c r="AB13" s="1" t="str">
        <f t="shared" si="3"/>
        <v/>
      </c>
      <c r="AC13" s="1" t="str">
        <f t="shared" si="3"/>
        <v/>
      </c>
      <c r="AD13" s="1" t="str">
        <f t="shared" si="3"/>
        <v/>
      </c>
      <c r="AE13" s="1" t="str">
        <f t="shared" si="3"/>
        <v/>
      </c>
      <c r="AF13" s="1" t="str">
        <f t="shared" si="3"/>
        <v/>
      </c>
    </row>
    <row r="14" spans="2:32" ht="21" customHeight="1" x14ac:dyDescent="0.25">
      <c r="B14" s="13"/>
      <c r="C14" s="16"/>
      <c r="D14" s="16"/>
      <c r="E14" s="1" t="str">
        <f t="shared" si="0"/>
        <v/>
      </c>
      <c r="F14" s="1" t="str">
        <f t="shared" si="1"/>
        <v/>
      </c>
      <c r="G14" s="13"/>
      <c r="H14" s="13"/>
      <c r="I14" s="1" t="str">
        <f t="shared" si="2"/>
        <v/>
      </c>
      <c r="J14" s="1" t="str">
        <f t="shared" si="2"/>
        <v/>
      </c>
      <c r="K14" s="1" t="str">
        <f t="shared" si="2"/>
        <v/>
      </c>
      <c r="L14" s="1" t="str">
        <f t="shared" si="2"/>
        <v/>
      </c>
      <c r="M14" s="1" t="str">
        <f t="shared" si="2"/>
        <v/>
      </c>
      <c r="N14" s="1" t="str">
        <f t="shared" si="2"/>
        <v/>
      </c>
      <c r="O14" s="1" t="str">
        <f t="shared" si="2"/>
        <v/>
      </c>
      <c r="P14" s="1" t="str">
        <f t="shared" si="2"/>
        <v/>
      </c>
      <c r="Q14" s="1" t="str">
        <f t="shared" si="2"/>
        <v/>
      </c>
      <c r="R14" s="1" t="str">
        <f t="shared" si="2"/>
        <v/>
      </c>
      <c r="S14" s="1" t="str">
        <f t="shared" si="3"/>
        <v/>
      </c>
      <c r="T14" s="1" t="str">
        <f t="shared" si="3"/>
        <v/>
      </c>
      <c r="U14" s="1" t="str">
        <f t="shared" si="3"/>
        <v/>
      </c>
      <c r="V14" s="1" t="str">
        <f t="shared" si="3"/>
        <v/>
      </c>
      <c r="W14" s="1" t="str">
        <f t="shared" si="3"/>
        <v/>
      </c>
      <c r="X14" s="1" t="str">
        <f t="shared" si="3"/>
        <v/>
      </c>
      <c r="Y14" s="1" t="str">
        <f t="shared" si="3"/>
        <v/>
      </c>
      <c r="Z14" s="1" t="str">
        <f t="shared" si="3"/>
        <v/>
      </c>
      <c r="AA14" s="1" t="str">
        <f t="shared" si="3"/>
        <v/>
      </c>
      <c r="AB14" s="1" t="str">
        <f t="shared" si="3"/>
        <v/>
      </c>
      <c r="AC14" s="1" t="str">
        <f t="shared" si="3"/>
        <v/>
      </c>
      <c r="AD14" s="1" t="str">
        <f t="shared" si="3"/>
        <v/>
      </c>
      <c r="AE14" s="1" t="str">
        <f t="shared" si="3"/>
        <v/>
      </c>
      <c r="AF14" s="1" t="str">
        <f t="shared" si="3"/>
        <v/>
      </c>
    </row>
    <row r="15" spans="2:32" ht="21" customHeight="1" x14ac:dyDescent="0.25">
      <c r="B15" s="13"/>
      <c r="C15" s="16"/>
      <c r="D15" s="16"/>
      <c r="E15" s="1" t="str">
        <f t="shared" si="0"/>
        <v/>
      </c>
      <c r="F15" s="1" t="str">
        <f t="shared" si="1"/>
        <v/>
      </c>
      <c r="G15" s="13"/>
      <c r="H15" s="13"/>
      <c r="I15" s="1" t="str">
        <f t="shared" si="2"/>
        <v/>
      </c>
      <c r="J15" s="1" t="str">
        <f t="shared" si="2"/>
        <v/>
      </c>
      <c r="K15" s="1" t="str">
        <f t="shared" si="2"/>
        <v/>
      </c>
      <c r="L15" s="1" t="str">
        <f t="shared" si="2"/>
        <v/>
      </c>
      <c r="M15" s="1" t="str">
        <f t="shared" si="2"/>
        <v/>
      </c>
      <c r="N15" s="1" t="str">
        <f t="shared" si="2"/>
        <v/>
      </c>
      <c r="O15" s="1" t="str">
        <f t="shared" si="2"/>
        <v/>
      </c>
      <c r="P15" s="1" t="str">
        <f t="shared" si="2"/>
        <v/>
      </c>
      <c r="Q15" s="1" t="str">
        <f t="shared" si="2"/>
        <v/>
      </c>
      <c r="R15" s="1" t="str">
        <f t="shared" si="2"/>
        <v/>
      </c>
      <c r="S15" s="1" t="str">
        <f t="shared" si="3"/>
        <v/>
      </c>
      <c r="T15" s="1" t="str">
        <f t="shared" si="3"/>
        <v/>
      </c>
      <c r="U15" s="1" t="str">
        <f t="shared" si="3"/>
        <v/>
      </c>
      <c r="V15" s="1" t="str">
        <f t="shared" si="3"/>
        <v/>
      </c>
      <c r="W15" s="1" t="str">
        <f t="shared" si="3"/>
        <v/>
      </c>
      <c r="X15" s="1" t="str">
        <f t="shared" si="3"/>
        <v/>
      </c>
      <c r="Y15" s="1" t="str">
        <f t="shared" si="3"/>
        <v/>
      </c>
      <c r="Z15" s="1" t="str">
        <f t="shared" si="3"/>
        <v/>
      </c>
      <c r="AA15" s="1" t="str">
        <f t="shared" si="3"/>
        <v/>
      </c>
      <c r="AB15" s="1" t="str">
        <f t="shared" si="3"/>
        <v/>
      </c>
      <c r="AC15" s="1" t="str">
        <f t="shared" si="3"/>
        <v/>
      </c>
      <c r="AD15" s="1" t="str">
        <f t="shared" si="3"/>
        <v/>
      </c>
      <c r="AE15" s="1" t="str">
        <f t="shared" si="3"/>
        <v/>
      </c>
      <c r="AF15" s="1" t="str">
        <f t="shared" si="3"/>
        <v/>
      </c>
    </row>
    <row r="16" spans="2:32" ht="21" customHeight="1" x14ac:dyDescent="0.25">
      <c r="B16" s="13"/>
      <c r="C16" s="16"/>
      <c r="D16" s="16"/>
      <c r="E16" s="1" t="str">
        <f t="shared" si="0"/>
        <v/>
      </c>
      <c r="F16" s="1" t="str">
        <f t="shared" si="1"/>
        <v/>
      </c>
      <c r="G16" s="13"/>
      <c r="H16" s="13"/>
      <c r="I16" s="1" t="str">
        <f t="shared" si="2"/>
        <v/>
      </c>
      <c r="J16" s="1" t="str">
        <f t="shared" si="2"/>
        <v/>
      </c>
      <c r="K16" s="1" t="str">
        <f t="shared" si="2"/>
        <v/>
      </c>
      <c r="L16" s="1" t="str">
        <f t="shared" si="2"/>
        <v/>
      </c>
      <c r="M16" s="1" t="str">
        <f t="shared" si="2"/>
        <v/>
      </c>
      <c r="N16" s="1" t="str">
        <f t="shared" si="2"/>
        <v/>
      </c>
      <c r="O16" s="1" t="str">
        <f t="shared" si="2"/>
        <v/>
      </c>
      <c r="P16" s="1" t="str">
        <f t="shared" si="2"/>
        <v/>
      </c>
      <c r="Q16" s="1" t="str">
        <f t="shared" si="2"/>
        <v/>
      </c>
      <c r="R16" s="1" t="str">
        <f t="shared" si="2"/>
        <v/>
      </c>
      <c r="S16" s="1" t="str">
        <f t="shared" si="3"/>
        <v/>
      </c>
      <c r="T16" s="1" t="str">
        <f t="shared" si="3"/>
        <v/>
      </c>
      <c r="U16" s="1" t="str">
        <f t="shared" si="3"/>
        <v/>
      </c>
      <c r="V16" s="1" t="str">
        <f t="shared" si="3"/>
        <v/>
      </c>
      <c r="W16" s="1" t="str">
        <f t="shared" si="3"/>
        <v/>
      </c>
      <c r="X16" s="1" t="str">
        <f t="shared" si="3"/>
        <v/>
      </c>
      <c r="Y16" s="1" t="str">
        <f t="shared" si="3"/>
        <v/>
      </c>
      <c r="Z16" s="1" t="str">
        <f t="shared" si="3"/>
        <v/>
      </c>
      <c r="AA16" s="1" t="str">
        <f t="shared" si="3"/>
        <v/>
      </c>
      <c r="AB16" s="1" t="str">
        <f t="shared" si="3"/>
        <v/>
      </c>
      <c r="AC16" s="1" t="str">
        <f t="shared" si="3"/>
        <v/>
      </c>
      <c r="AD16" s="1" t="str">
        <f t="shared" si="3"/>
        <v/>
      </c>
      <c r="AE16" s="1" t="str">
        <f t="shared" si="3"/>
        <v/>
      </c>
      <c r="AF16" s="1" t="str">
        <f t="shared" si="3"/>
        <v/>
      </c>
    </row>
    <row r="17" spans="2:32" ht="21" customHeight="1" x14ac:dyDescent="0.25">
      <c r="B17" s="13"/>
      <c r="C17" s="16"/>
      <c r="D17" s="16"/>
      <c r="E17" s="1" t="str">
        <f t="shared" si="0"/>
        <v/>
      </c>
      <c r="F17" s="1" t="str">
        <f t="shared" si="1"/>
        <v/>
      </c>
      <c r="G17" s="13"/>
      <c r="H17" s="13"/>
      <c r="I17" s="1" t="str">
        <f t="shared" si="2"/>
        <v/>
      </c>
      <c r="J17" s="1" t="str">
        <f t="shared" si="2"/>
        <v/>
      </c>
      <c r="K17" s="1" t="str">
        <f t="shared" si="2"/>
        <v/>
      </c>
      <c r="L17" s="1" t="str">
        <f t="shared" si="2"/>
        <v/>
      </c>
      <c r="M17" s="1" t="str">
        <f t="shared" si="2"/>
        <v/>
      </c>
      <c r="N17" s="1" t="str">
        <f t="shared" si="2"/>
        <v/>
      </c>
      <c r="O17" s="1" t="str">
        <f t="shared" si="2"/>
        <v/>
      </c>
      <c r="P17" s="1" t="str">
        <f t="shared" si="2"/>
        <v/>
      </c>
      <c r="Q17" s="1" t="str">
        <f t="shared" si="2"/>
        <v/>
      </c>
      <c r="R17" s="1" t="str">
        <f t="shared" si="2"/>
        <v/>
      </c>
      <c r="S17" s="1" t="str">
        <f t="shared" si="3"/>
        <v/>
      </c>
      <c r="T17" s="1" t="str">
        <f t="shared" si="3"/>
        <v/>
      </c>
      <c r="U17" s="1" t="str">
        <f t="shared" si="3"/>
        <v/>
      </c>
      <c r="V17" s="1" t="str">
        <f t="shared" si="3"/>
        <v/>
      </c>
      <c r="W17" s="1" t="str">
        <f t="shared" si="3"/>
        <v/>
      </c>
      <c r="X17" s="1" t="str">
        <f t="shared" si="3"/>
        <v/>
      </c>
      <c r="Y17" s="1" t="str">
        <f t="shared" si="3"/>
        <v/>
      </c>
      <c r="Z17" s="1" t="str">
        <f t="shared" si="3"/>
        <v/>
      </c>
      <c r="AA17" s="1" t="str">
        <f t="shared" si="3"/>
        <v/>
      </c>
      <c r="AB17" s="1" t="str">
        <f t="shared" si="3"/>
        <v/>
      </c>
      <c r="AC17" s="1" t="str">
        <f t="shared" si="3"/>
        <v/>
      </c>
      <c r="AD17" s="1" t="str">
        <f t="shared" si="3"/>
        <v/>
      </c>
      <c r="AE17" s="1" t="str">
        <f t="shared" si="3"/>
        <v/>
      </c>
      <c r="AF17" s="1" t="str">
        <f t="shared" si="3"/>
        <v/>
      </c>
    </row>
    <row r="18" spans="2:32" ht="21" customHeight="1" x14ac:dyDescent="0.25">
      <c r="B18" s="13"/>
      <c r="C18" s="16"/>
      <c r="D18" s="16"/>
      <c r="E18" s="1" t="str">
        <f t="shared" si="0"/>
        <v/>
      </c>
      <c r="F18" s="1" t="str">
        <f t="shared" si="1"/>
        <v/>
      </c>
      <c r="G18" s="13"/>
      <c r="H18" s="13"/>
      <c r="I18" s="1" t="str">
        <f t="shared" si="2"/>
        <v/>
      </c>
      <c r="J18" s="1" t="str">
        <f t="shared" si="2"/>
        <v/>
      </c>
      <c r="K18" s="1" t="str">
        <f t="shared" si="2"/>
        <v/>
      </c>
      <c r="L18" s="1" t="str">
        <f t="shared" si="2"/>
        <v/>
      </c>
      <c r="M18" s="1" t="str">
        <f t="shared" si="2"/>
        <v/>
      </c>
      <c r="N18" s="1" t="str">
        <f t="shared" si="2"/>
        <v/>
      </c>
      <c r="O18" s="1" t="str">
        <f t="shared" si="2"/>
        <v/>
      </c>
      <c r="P18" s="1" t="str">
        <f t="shared" si="2"/>
        <v/>
      </c>
      <c r="Q18" s="1" t="str">
        <f t="shared" si="2"/>
        <v/>
      </c>
      <c r="R18" s="1" t="str">
        <f t="shared" si="2"/>
        <v/>
      </c>
      <c r="S18" s="1" t="str">
        <f t="shared" si="3"/>
        <v/>
      </c>
      <c r="T18" s="1" t="str">
        <f t="shared" si="3"/>
        <v/>
      </c>
      <c r="U18" s="1" t="str">
        <f t="shared" si="3"/>
        <v/>
      </c>
      <c r="V18" s="1" t="str">
        <f t="shared" si="3"/>
        <v/>
      </c>
      <c r="W18" s="1" t="str">
        <f t="shared" si="3"/>
        <v/>
      </c>
      <c r="X18" s="1" t="str">
        <f t="shared" si="3"/>
        <v/>
      </c>
      <c r="Y18" s="1" t="str">
        <f t="shared" si="3"/>
        <v/>
      </c>
      <c r="Z18" s="1" t="str">
        <f t="shared" si="3"/>
        <v/>
      </c>
      <c r="AA18" s="1" t="str">
        <f t="shared" si="3"/>
        <v/>
      </c>
      <c r="AB18" s="1" t="str">
        <f t="shared" si="3"/>
        <v/>
      </c>
      <c r="AC18" s="1" t="str">
        <f t="shared" si="3"/>
        <v/>
      </c>
      <c r="AD18" s="1" t="str">
        <f t="shared" si="3"/>
        <v/>
      </c>
      <c r="AE18" s="1" t="str">
        <f t="shared" si="3"/>
        <v/>
      </c>
      <c r="AF18" s="1" t="str">
        <f t="shared" si="3"/>
        <v/>
      </c>
    </row>
    <row r="19" spans="2:32" ht="21" customHeight="1" x14ac:dyDescent="0.25">
      <c r="B19" s="13"/>
      <c r="C19" s="16"/>
      <c r="D19" s="16"/>
      <c r="E19" s="1" t="str">
        <f t="shared" si="0"/>
        <v/>
      </c>
      <c r="F19" s="1" t="str">
        <f t="shared" si="1"/>
        <v/>
      </c>
      <c r="G19" s="13"/>
      <c r="H19" s="13"/>
      <c r="I19" s="1" t="str">
        <f t="shared" si="2"/>
        <v/>
      </c>
      <c r="J19" s="1" t="str">
        <f t="shared" si="2"/>
        <v/>
      </c>
      <c r="K19" s="1" t="str">
        <f t="shared" si="2"/>
        <v/>
      </c>
      <c r="L19" s="1" t="str">
        <f t="shared" si="2"/>
        <v/>
      </c>
      <c r="M19" s="1" t="str">
        <f t="shared" si="2"/>
        <v/>
      </c>
      <c r="N19" s="1" t="str">
        <f t="shared" si="2"/>
        <v/>
      </c>
      <c r="O19" s="1" t="str">
        <f t="shared" si="2"/>
        <v/>
      </c>
      <c r="P19" s="1" t="str">
        <f t="shared" si="2"/>
        <v/>
      </c>
      <c r="Q19" s="1" t="str">
        <f t="shared" si="2"/>
        <v/>
      </c>
      <c r="R19" s="1" t="str">
        <f t="shared" si="2"/>
        <v/>
      </c>
      <c r="S19" s="1" t="str">
        <f t="shared" si="3"/>
        <v/>
      </c>
      <c r="T19" s="1" t="str">
        <f t="shared" si="3"/>
        <v/>
      </c>
      <c r="U19" s="1" t="str">
        <f t="shared" si="3"/>
        <v/>
      </c>
      <c r="V19" s="1" t="str">
        <f t="shared" si="3"/>
        <v/>
      </c>
      <c r="W19" s="1" t="str">
        <f t="shared" si="3"/>
        <v/>
      </c>
      <c r="X19" s="1" t="str">
        <f t="shared" si="3"/>
        <v/>
      </c>
      <c r="Y19" s="1" t="str">
        <f t="shared" si="3"/>
        <v/>
      </c>
      <c r="Z19" s="1" t="str">
        <f t="shared" si="3"/>
        <v/>
      </c>
      <c r="AA19" s="1" t="str">
        <f t="shared" si="3"/>
        <v/>
      </c>
      <c r="AB19" s="1" t="str">
        <f t="shared" si="3"/>
        <v/>
      </c>
      <c r="AC19" s="1" t="str">
        <f t="shared" si="3"/>
        <v/>
      </c>
      <c r="AD19" s="1" t="str">
        <f t="shared" si="3"/>
        <v/>
      </c>
      <c r="AE19" s="1" t="str">
        <f t="shared" si="3"/>
        <v/>
      </c>
      <c r="AF19" s="1" t="str">
        <f t="shared" si="3"/>
        <v/>
      </c>
    </row>
    <row r="20" spans="2:32" ht="21" customHeight="1" x14ac:dyDescent="0.25">
      <c r="B20" s="13"/>
      <c r="C20" s="16"/>
      <c r="D20" s="16"/>
      <c r="E20" s="1" t="str">
        <f t="shared" si="0"/>
        <v/>
      </c>
      <c r="F20" s="1" t="str">
        <f t="shared" si="1"/>
        <v/>
      </c>
      <c r="G20" s="13"/>
      <c r="H20" s="13"/>
      <c r="I20" s="1" t="str">
        <f t="shared" si="2"/>
        <v/>
      </c>
      <c r="J20" s="1" t="str">
        <f t="shared" si="2"/>
        <v/>
      </c>
      <c r="K20" s="1" t="str">
        <f t="shared" si="2"/>
        <v/>
      </c>
      <c r="L20" s="1" t="str">
        <f t="shared" si="2"/>
        <v/>
      </c>
      <c r="M20" s="1" t="str">
        <f t="shared" si="2"/>
        <v/>
      </c>
      <c r="N20" s="1" t="str">
        <f t="shared" si="2"/>
        <v/>
      </c>
      <c r="O20" s="1" t="str">
        <f t="shared" si="2"/>
        <v/>
      </c>
      <c r="P20" s="1" t="str">
        <f t="shared" si="2"/>
        <v/>
      </c>
      <c r="Q20" s="1" t="str">
        <f t="shared" si="2"/>
        <v/>
      </c>
      <c r="R20" s="1" t="str">
        <f t="shared" si="2"/>
        <v/>
      </c>
      <c r="S20" s="1" t="str">
        <f t="shared" si="3"/>
        <v/>
      </c>
      <c r="T20" s="1" t="str">
        <f t="shared" si="3"/>
        <v/>
      </c>
      <c r="U20" s="1" t="str">
        <f t="shared" si="3"/>
        <v/>
      </c>
      <c r="V20" s="1" t="str">
        <f t="shared" si="3"/>
        <v/>
      </c>
      <c r="W20" s="1" t="str">
        <f t="shared" si="3"/>
        <v/>
      </c>
      <c r="X20" s="1" t="str">
        <f t="shared" si="3"/>
        <v/>
      </c>
      <c r="Y20" s="1" t="str">
        <f t="shared" si="3"/>
        <v/>
      </c>
      <c r="Z20" s="1" t="str">
        <f t="shared" si="3"/>
        <v/>
      </c>
      <c r="AA20" s="1" t="str">
        <f t="shared" si="3"/>
        <v/>
      </c>
      <c r="AB20" s="1" t="str">
        <f t="shared" si="3"/>
        <v/>
      </c>
      <c r="AC20" s="1" t="str">
        <f t="shared" si="3"/>
        <v/>
      </c>
      <c r="AD20" s="1" t="str">
        <f t="shared" si="3"/>
        <v/>
      </c>
      <c r="AE20" s="1" t="str">
        <f t="shared" si="3"/>
        <v/>
      </c>
      <c r="AF20" s="1" t="str">
        <f t="shared" si="3"/>
        <v/>
      </c>
    </row>
    <row r="21" spans="2:32" ht="21" customHeight="1" x14ac:dyDescent="0.25">
      <c r="B21" s="13"/>
      <c r="C21" s="16"/>
      <c r="D21" s="16"/>
      <c r="E21" s="1" t="str">
        <f t="shared" si="0"/>
        <v/>
      </c>
      <c r="F21" s="1" t="str">
        <f t="shared" si="1"/>
        <v/>
      </c>
      <c r="G21" s="13"/>
      <c r="H21" s="13"/>
      <c r="I21" s="1" t="str">
        <f t="shared" si="2"/>
        <v/>
      </c>
      <c r="J21" s="1" t="str">
        <f t="shared" si="2"/>
        <v/>
      </c>
      <c r="K21" s="1" t="str">
        <f t="shared" si="2"/>
        <v/>
      </c>
      <c r="L21" s="1" t="str">
        <f t="shared" si="2"/>
        <v/>
      </c>
      <c r="M21" s="1" t="str">
        <f t="shared" si="2"/>
        <v/>
      </c>
      <c r="N21" s="1" t="str">
        <f t="shared" si="2"/>
        <v/>
      </c>
      <c r="O21" s="1" t="str">
        <f t="shared" si="2"/>
        <v/>
      </c>
      <c r="P21" s="1" t="str">
        <f t="shared" si="2"/>
        <v/>
      </c>
      <c r="Q21" s="1" t="str">
        <f t="shared" si="2"/>
        <v/>
      </c>
      <c r="R21" s="1" t="str">
        <f t="shared" si="2"/>
        <v/>
      </c>
      <c r="S21" s="1" t="str">
        <f t="shared" si="3"/>
        <v/>
      </c>
      <c r="T21" s="1" t="str">
        <f t="shared" si="3"/>
        <v/>
      </c>
      <c r="U21" s="1" t="str">
        <f t="shared" si="3"/>
        <v/>
      </c>
      <c r="V21" s="1" t="str">
        <f t="shared" si="3"/>
        <v/>
      </c>
      <c r="W21" s="1" t="str">
        <f t="shared" si="3"/>
        <v/>
      </c>
      <c r="X21" s="1" t="str">
        <f t="shared" si="3"/>
        <v/>
      </c>
      <c r="Y21" s="1" t="str">
        <f t="shared" si="3"/>
        <v/>
      </c>
      <c r="Z21" s="1" t="str">
        <f t="shared" si="3"/>
        <v/>
      </c>
      <c r="AA21" s="1" t="str">
        <f t="shared" si="3"/>
        <v/>
      </c>
      <c r="AB21" s="1" t="str">
        <f t="shared" si="3"/>
        <v/>
      </c>
      <c r="AC21" s="1" t="str">
        <f t="shared" si="3"/>
        <v/>
      </c>
      <c r="AD21" s="1" t="str">
        <f t="shared" si="3"/>
        <v/>
      </c>
      <c r="AE21" s="1" t="str">
        <f t="shared" si="3"/>
        <v/>
      </c>
      <c r="AF21" s="1" t="str">
        <f t="shared" si="3"/>
        <v/>
      </c>
    </row>
    <row r="22" spans="2:32" ht="21" customHeight="1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2:32" ht="21" customHeight="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2:32" ht="21" customHeight="1" x14ac:dyDescent="0.25">
      <c r="B24" s="2" t="s">
        <v>291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2:32" ht="21" customHeight="1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2:32" ht="21" customHeight="1" x14ac:dyDescent="0.25">
      <c r="B26" s="2" t="s">
        <v>292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2:32" ht="21" customHeight="1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2:32" ht="21" customHeight="1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2:32" ht="21" customHeight="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2:32" ht="21" customHeight="1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2:32" ht="21" customHeight="1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2:32" ht="21" customHeight="1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2:32" ht="21" customHeight="1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2:32" ht="21" customHeight="1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2:32" ht="21" customHeight="1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2:32" ht="21" customHeight="1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2:32" ht="21" customHeight="1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2:32" ht="21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2:32" ht="21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2:32" ht="21" customHeigh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2:32" ht="21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2:32" ht="21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2:32" ht="21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2:32" ht="21" customHeight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2:32" ht="21" customHeight="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2:32" ht="21" customHeight="1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2:32" ht="21" customHeight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2:32" ht="21" customHeight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</sheetData>
  <conditionalFormatting sqref="I10:AF21">
    <cfRule type="cellIs" dxfId="25" priority="1" operator="equal">
      <formula>1</formula>
    </cfRule>
  </conditionalFormatting>
  <hyperlinks>
    <hyperlink ref="B1" location="'Read me'!B2" display="Contents" xr:uid="{FAD946A8-5E8E-4ACB-9F3B-BD75668A6D8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0000"/>
  </sheetPr>
  <dimension ref="B1:N4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C9" sqref="C9"/>
    </sheetView>
  </sheetViews>
  <sheetFormatPr defaultRowHeight="15" x14ac:dyDescent="0.25"/>
  <cols>
    <col min="2" max="2" width="30" customWidth="1"/>
    <col min="3" max="8" width="15" customWidth="1"/>
    <col min="9" max="9" width="22" customWidth="1"/>
    <col min="10" max="14" width="15" customWidth="1"/>
  </cols>
  <sheetData>
    <row r="1" spans="2:14" x14ac:dyDescent="0.25">
      <c r="B1" s="24" t="s">
        <v>53</v>
      </c>
    </row>
    <row r="2" spans="2:14" ht="21" customHeight="1" x14ac:dyDescent="0.25">
      <c r="B2" s="3" t="s">
        <v>24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21" customHeight="1" x14ac:dyDescent="0.25"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 ht="2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21" customHeight="1" x14ac:dyDescent="0.25">
      <c r="B5" s="1" t="s">
        <v>239</v>
      </c>
      <c r="C5" s="1"/>
      <c r="D5" s="16">
        <v>46313</v>
      </c>
      <c r="E5" s="1"/>
      <c r="F5" s="1"/>
      <c r="G5" s="1"/>
      <c r="H5" s="1"/>
      <c r="I5" s="1"/>
      <c r="J5" s="1"/>
      <c r="K5" s="1"/>
      <c r="L5" s="1"/>
      <c r="M5" s="1"/>
      <c r="N5" s="1"/>
    </row>
    <row r="6" spans="2:14" ht="21" customHeight="1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2:14" ht="21" customHeight="1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2:14" ht="56.1" customHeight="1" x14ac:dyDescent="0.25">
      <c r="B8" s="5" t="s">
        <v>293</v>
      </c>
      <c r="C8" s="5" t="s">
        <v>294</v>
      </c>
      <c r="D8" s="5" t="s">
        <v>295</v>
      </c>
      <c r="E8" s="5" t="s">
        <v>296</v>
      </c>
      <c r="F8" s="5" t="s">
        <v>297</v>
      </c>
      <c r="G8" s="5" t="s">
        <v>298</v>
      </c>
      <c r="H8" s="5" t="s">
        <v>299</v>
      </c>
      <c r="I8" s="5" t="s">
        <v>300</v>
      </c>
      <c r="J8" s="5" t="s">
        <v>301</v>
      </c>
      <c r="K8" s="5" t="s">
        <v>302</v>
      </c>
      <c r="L8" s="5" t="s">
        <v>303</v>
      </c>
      <c r="M8" s="5" t="s">
        <v>288</v>
      </c>
      <c r="N8" s="1"/>
    </row>
    <row r="9" spans="2:14" ht="21" customHeight="1" x14ac:dyDescent="0.25">
      <c r="B9" s="13" t="s">
        <v>304</v>
      </c>
      <c r="C9" s="13"/>
      <c r="D9" s="13"/>
      <c r="E9" s="13"/>
      <c r="F9" s="13"/>
      <c r="G9" s="13"/>
      <c r="H9" s="16">
        <v>47774</v>
      </c>
      <c r="I9" s="15" t="str">
        <f t="shared" ref="I9:I28" si="0">IF(B9="","",IF(AND(ISNUMBER(H9),ISNUMBER($D$5)),IF(H9&lt;$D$5,"Past vesting date",IF(H9&lt;=EDATE($D$5,60),"Within five years","Later")),"Missing date"))</f>
        <v>Within five years</v>
      </c>
      <c r="J9" s="13"/>
      <c r="K9" s="13"/>
      <c r="L9" s="13"/>
      <c r="M9" s="13"/>
      <c r="N9" s="1"/>
    </row>
    <row r="10" spans="2:14" ht="21" customHeight="1" x14ac:dyDescent="0.25">
      <c r="B10" s="13"/>
      <c r="C10" s="13"/>
      <c r="D10" s="13"/>
      <c r="E10" s="13"/>
      <c r="F10" s="13"/>
      <c r="G10" s="13"/>
      <c r="H10" s="16"/>
      <c r="I10" s="15" t="str">
        <f t="shared" si="0"/>
        <v/>
      </c>
      <c r="J10" s="13"/>
      <c r="K10" s="13"/>
      <c r="L10" s="13"/>
      <c r="M10" s="13"/>
      <c r="N10" s="1"/>
    </row>
    <row r="11" spans="2:14" ht="21" customHeight="1" x14ac:dyDescent="0.25">
      <c r="B11" s="13"/>
      <c r="C11" s="13"/>
      <c r="D11" s="13"/>
      <c r="E11" s="13"/>
      <c r="F11" s="13"/>
      <c r="G11" s="13"/>
      <c r="H11" s="16"/>
      <c r="I11" s="15" t="str">
        <f t="shared" si="0"/>
        <v/>
      </c>
      <c r="J11" s="13"/>
      <c r="K11" s="13"/>
      <c r="L11" s="13"/>
      <c r="M11" s="13"/>
      <c r="N11" s="1"/>
    </row>
    <row r="12" spans="2:14" ht="21" customHeight="1" x14ac:dyDescent="0.25">
      <c r="B12" s="13"/>
      <c r="C12" s="13"/>
      <c r="D12" s="13"/>
      <c r="E12" s="13"/>
      <c r="F12" s="13"/>
      <c r="G12" s="13"/>
      <c r="H12" s="16"/>
      <c r="I12" s="15" t="str">
        <f t="shared" si="0"/>
        <v/>
      </c>
      <c r="J12" s="13"/>
      <c r="K12" s="13"/>
      <c r="L12" s="13"/>
      <c r="M12" s="13"/>
      <c r="N12" s="1"/>
    </row>
    <row r="13" spans="2:14" ht="21" customHeight="1" x14ac:dyDescent="0.25">
      <c r="B13" s="13"/>
      <c r="C13" s="13"/>
      <c r="D13" s="13"/>
      <c r="E13" s="13"/>
      <c r="F13" s="13"/>
      <c r="G13" s="13"/>
      <c r="H13" s="16"/>
      <c r="I13" s="15" t="str">
        <f t="shared" si="0"/>
        <v/>
      </c>
      <c r="J13" s="13"/>
      <c r="K13" s="13"/>
      <c r="L13" s="13"/>
      <c r="M13" s="13"/>
      <c r="N13" s="1"/>
    </row>
    <row r="14" spans="2:14" ht="21" customHeight="1" x14ac:dyDescent="0.25">
      <c r="B14" s="13"/>
      <c r="C14" s="13"/>
      <c r="D14" s="13"/>
      <c r="E14" s="13"/>
      <c r="F14" s="13"/>
      <c r="G14" s="13"/>
      <c r="H14" s="16"/>
      <c r="I14" s="15" t="str">
        <f t="shared" si="0"/>
        <v/>
      </c>
      <c r="J14" s="13"/>
      <c r="K14" s="13"/>
      <c r="L14" s="13"/>
      <c r="M14" s="13"/>
      <c r="N14" s="1"/>
    </row>
    <row r="15" spans="2:14" ht="21" customHeight="1" x14ac:dyDescent="0.25">
      <c r="B15" s="13"/>
      <c r="C15" s="13"/>
      <c r="D15" s="13"/>
      <c r="E15" s="13"/>
      <c r="F15" s="13"/>
      <c r="G15" s="13"/>
      <c r="H15" s="16"/>
      <c r="I15" s="15" t="str">
        <f t="shared" si="0"/>
        <v/>
      </c>
      <c r="J15" s="13"/>
      <c r="K15" s="13"/>
      <c r="L15" s="13"/>
      <c r="M15" s="13"/>
      <c r="N15" s="1"/>
    </row>
    <row r="16" spans="2:14" ht="21" customHeight="1" x14ac:dyDescent="0.25">
      <c r="B16" s="13"/>
      <c r="C16" s="13"/>
      <c r="D16" s="13"/>
      <c r="E16" s="13"/>
      <c r="F16" s="13"/>
      <c r="G16" s="13"/>
      <c r="H16" s="16"/>
      <c r="I16" s="15" t="str">
        <f t="shared" si="0"/>
        <v/>
      </c>
      <c r="J16" s="13"/>
      <c r="K16" s="13"/>
      <c r="L16" s="13"/>
      <c r="M16" s="13"/>
      <c r="N16" s="1"/>
    </row>
    <row r="17" spans="2:14" ht="21" customHeight="1" x14ac:dyDescent="0.25">
      <c r="B17" s="13"/>
      <c r="C17" s="13"/>
      <c r="D17" s="13"/>
      <c r="E17" s="13"/>
      <c r="F17" s="13"/>
      <c r="G17" s="13"/>
      <c r="H17" s="16"/>
      <c r="I17" s="15" t="str">
        <f t="shared" si="0"/>
        <v/>
      </c>
      <c r="J17" s="13"/>
      <c r="K17" s="13"/>
      <c r="L17" s="13"/>
      <c r="M17" s="13"/>
      <c r="N17" s="1"/>
    </row>
    <row r="18" spans="2:14" ht="21" customHeight="1" x14ac:dyDescent="0.25">
      <c r="B18" s="13"/>
      <c r="C18" s="13"/>
      <c r="D18" s="13"/>
      <c r="E18" s="13"/>
      <c r="F18" s="13"/>
      <c r="G18" s="13"/>
      <c r="H18" s="16"/>
      <c r="I18" s="15" t="str">
        <f t="shared" si="0"/>
        <v/>
      </c>
      <c r="J18" s="13"/>
      <c r="K18" s="13"/>
      <c r="L18" s="13"/>
      <c r="M18" s="13"/>
      <c r="N18" s="1"/>
    </row>
    <row r="19" spans="2:14" ht="21" customHeight="1" x14ac:dyDescent="0.25">
      <c r="B19" s="13"/>
      <c r="C19" s="13"/>
      <c r="D19" s="13"/>
      <c r="E19" s="13"/>
      <c r="F19" s="13"/>
      <c r="G19" s="13"/>
      <c r="H19" s="16"/>
      <c r="I19" s="15" t="str">
        <f t="shared" si="0"/>
        <v/>
      </c>
      <c r="J19" s="13"/>
      <c r="K19" s="13"/>
      <c r="L19" s="13"/>
      <c r="M19" s="13"/>
      <c r="N19" s="1"/>
    </row>
    <row r="20" spans="2:14" ht="21" customHeight="1" x14ac:dyDescent="0.25">
      <c r="B20" s="13"/>
      <c r="C20" s="13"/>
      <c r="D20" s="13"/>
      <c r="E20" s="13"/>
      <c r="F20" s="13"/>
      <c r="G20" s="13"/>
      <c r="H20" s="16"/>
      <c r="I20" s="15" t="str">
        <f t="shared" si="0"/>
        <v/>
      </c>
      <c r="J20" s="13"/>
      <c r="K20" s="13"/>
      <c r="L20" s="13"/>
      <c r="M20" s="13"/>
      <c r="N20" s="1"/>
    </row>
    <row r="21" spans="2:14" ht="21" customHeight="1" x14ac:dyDescent="0.25">
      <c r="B21" s="13"/>
      <c r="C21" s="13"/>
      <c r="D21" s="13"/>
      <c r="E21" s="13"/>
      <c r="F21" s="13"/>
      <c r="G21" s="13"/>
      <c r="H21" s="16"/>
      <c r="I21" s="15" t="str">
        <f t="shared" si="0"/>
        <v/>
      </c>
      <c r="J21" s="13"/>
      <c r="K21" s="13"/>
      <c r="L21" s="13"/>
      <c r="M21" s="13"/>
      <c r="N21" s="1"/>
    </row>
    <row r="22" spans="2:14" ht="21" customHeight="1" x14ac:dyDescent="0.25">
      <c r="B22" s="13"/>
      <c r="C22" s="13"/>
      <c r="D22" s="13"/>
      <c r="E22" s="13"/>
      <c r="F22" s="13"/>
      <c r="G22" s="13"/>
      <c r="H22" s="16"/>
      <c r="I22" s="15" t="str">
        <f t="shared" si="0"/>
        <v/>
      </c>
      <c r="J22" s="13"/>
      <c r="K22" s="13"/>
      <c r="L22" s="13"/>
      <c r="M22" s="13"/>
      <c r="N22" s="1"/>
    </row>
    <row r="23" spans="2:14" ht="21" customHeight="1" x14ac:dyDescent="0.25">
      <c r="B23" s="13"/>
      <c r="C23" s="13"/>
      <c r="D23" s="13"/>
      <c r="E23" s="13"/>
      <c r="F23" s="13"/>
      <c r="G23" s="13"/>
      <c r="H23" s="16"/>
      <c r="I23" s="15" t="str">
        <f t="shared" si="0"/>
        <v/>
      </c>
      <c r="J23" s="13"/>
      <c r="K23" s="13"/>
      <c r="L23" s="13"/>
      <c r="M23" s="13"/>
      <c r="N23" s="1"/>
    </row>
    <row r="24" spans="2:14" ht="21" customHeight="1" x14ac:dyDescent="0.25">
      <c r="B24" s="13"/>
      <c r="C24" s="13"/>
      <c r="D24" s="13"/>
      <c r="E24" s="13"/>
      <c r="F24" s="13"/>
      <c r="G24" s="13"/>
      <c r="H24" s="16"/>
      <c r="I24" s="15" t="str">
        <f t="shared" si="0"/>
        <v/>
      </c>
      <c r="J24" s="13"/>
      <c r="K24" s="13"/>
      <c r="L24" s="13"/>
      <c r="M24" s="13"/>
      <c r="N24" s="1"/>
    </row>
    <row r="25" spans="2:14" ht="21" customHeight="1" x14ac:dyDescent="0.25">
      <c r="B25" s="13"/>
      <c r="C25" s="13"/>
      <c r="D25" s="13"/>
      <c r="E25" s="13"/>
      <c r="F25" s="13"/>
      <c r="G25" s="13"/>
      <c r="H25" s="16"/>
      <c r="I25" s="15" t="str">
        <f t="shared" si="0"/>
        <v/>
      </c>
      <c r="J25" s="13"/>
      <c r="K25" s="13"/>
      <c r="L25" s="13"/>
      <c r="M25" s="13"/>
      <c r="N25" s="1"/>
    </row>
    <row r="26" spans="2:14" ht="21" customHeight="1" x14ac:dyDescent="0.25">
      <c r="B26" s="13"/>
      <c r="C26" s="13"/>
      <c r="D26" s="13"/>
      <c r="E26" s="13"/>
      <c r="F26" s="13"/>
      <c r="G26" s="13"/>
      <c r="H26" s="16"/>
      <c r="I26" s="15" t="str">
        <f t="shared" si="0"/>
        <v/>
      </c>
      <c r="J26" s="13"/>
      <c r="K26" s="13"/>
      <c r="L26" s="13"/>
      <c r="M26" s="13"/>
      <c r="N26" s="1"/>
    </row>
    <row r="27" spans="2:14" ht="21" customHeight="1" x14ac:dyDescent="0.25">
      <c r="B27" s="13"/>
      <c r="C27" s="13"/>
      <c r="D27" s="13"/>
      <c r="E27" s="13"/>
      <c r="F27" s="13"/>
      <c r="G27" s="13"/>
      <c r="H27" s="16"/>
      <c r="I27" s="15" t="str">
        <f t="shared" si="0"/>
        <v/>
      </c>
      <c r="J27" s="13"/>
      <c r="K27" s="13"/>
      <c r="L27" s="13"/>
      <c r="M27" s="13"/>
      <c r="N27" s="1"/>
    </row>
    <row r="28" spans="2:14" ht="21" customHeight="1" x14ac:dyDescent="0.25">
      <c r="B28" s="13"/>
      <c r="C28" s="13"/>
      <c r="D28" s="13"/>
      <c r="E28" s="13"/>
      <c r="F28" s="13"/>
      <c r="G28" s="13"/>
      <c r="H28" s="16"/>
      <c r="I28" s="15" t="str">
        <f t="shared" si="0"/>
        <v/>
      </c>
      <c r="J28" s="13"/>
      <c r="K28" s="13"/>
      <c r="L28" s="13"/>
      <c r="M28" s="13"/>
      <c r="N28" s="1"/>
    </row>
    <row r="29" spans="2:14" ht="21" customHeight="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2:14" ht="21" customHeight="1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2:14" ht="21" customHeight="1" x14ac:dyDescent="0.25">
      <c r="B31" s="2" t="s">
        <v>305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2:14" ht="21" customHeight="1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ht="21" customHeight="1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 ht="21" customHeight="1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ht="21" customHeight="1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2:14" ht="21" customHeight="1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2:14" ht="21" customHeight="1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4" ht="21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2:14" ht="21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 ht="21" customHeigh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 ht="21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2:14" ht="21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2:14" ht="21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2:14" ht="21" customHeight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2:14" ht="21" customHeight="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2:14" ht="21" customHeight="1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2:14" ht="21" customHeight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2:14" ht="21" customHeight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</sheetData>
  <conditionalFormatting sqref="I9:I28">
    <cfRule type="expression" dxfId="24" priority="1">
      <formula>AND(I9&lt;&gt;"",I9&lt;&gt;"Later")</formula>
    </cfRule>
  </conditionalFormatting>
  <hyperlinks>
    <hyperlink ref="B1" location="'Read me'!B2" display="Contents" xr:uid="{E23E7871-715F-4B92-A1CD-D1F51F5D8A04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66023C"/>
  </sheetPr>
  <dimension ref="B1:N48"/>
  <sheetViews>
    <sheetView showGridLines="0" workbookViewId="0"/>
  </sheetViews>
  <sheetFormatPr defaultRowHeight="15" x14ac:dyDescent="0.25"/>
  <cols>
    <col min="2" max="2" width="30" customWidth="1"/>
    <col min="3" max="14" width="15" customWidth="1"/>
  </cols>
  <sheetData>
    <row r="1" spans="2:14" x14ac:dyDescent="0.25">
      <c r="B1" s="24" t="s">
        <v>53</v>
      </c>
    </row>
    <row r="2" spans="2:14" ht="21" customHeight="1" x14ac:dyDescent="0.25">
      <c r="B2" s="3" t="s">
        <v>26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21" customHeight="1" x14ac:dyDescent="0.25"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 ht="2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21" customHeight="1" x14ac:dyDescent="0.25">
      <c r="B5" s="1" t="s">
        <v>306</v>
      </c>
      <c r="C5" s="1"/>
      <c r="D5" s="13" t="s">
        <v>307</v>
      </c>
      <c r="E5" s="1"/>
      <c r="F5" s="1"/>
      <c r="G5" s="1"/>
      <c r="H5" s="1"/>
      <c r="I5" s="1"/>
      <c r="J5" s="1"/>
      <c r="K5" s="1"/>
      <c r="L5" s="1"/>
      <c r="M5" s="1"/>
      <c r="N5" s="1"/>
    </row>
    <row r="6" spans="2:14" ht="21" customHeight="1" x14ac:dyDescent="0.25">
      <c r="B6" s="1" t="s">
        <v>308</v>
      </c>
      <c r="C6" s="1"/>
      <c r="D6" s="6">
        <v>30000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2:14" ht="21" customHeight="1" x14ac:dyDescent="0.25">
      <c r="B7" s="1" t="s">
        <v>309</v>
      </c>
      <c r="C7" s="1"/>
      <c r="D7" s="6">
        <v>20000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spans="2:14" ht="21" customHeight="1" x14ac:dyDescent="0.25">
      <c r="B8" s="1" t="s">
        <v>310</v>
      </c>
      <c r="C8" s="1"/>
      <c r="D8" s="6">
        <v>25000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2:14" ht="21" customHeight="1" x14ac:dyDescent="0.25">
      <c r="B9" s="1" t="s">
        <v>311</v>
      </c>
      <c r="C9" s="1"/>
      <c r="D9" s="8">
        <v>2027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 ht="21" customHeight="1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ht="21" customHeight="1" x14ac:dyDescent="0.25">
      <c r="B11" s="10" t="s">
        <v>67</v>
      </c>
      <c r="C11" s="10"/>
      <c r="D11" s="14" t="str">
        <f>IF(AND(OR(D5="Yes",D5="No"),COUNT(D6:D9)=4,MIN(D6:D8)&gt;=0,D9=INT(D9),COUNT(B18:D22)=15,MIN(D18:D22)&gt;=0,COUNTIF(H18:H22,"Ready")=5),"Ready","Check inputs")</f>
        <v>Ready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2:14" ht="21" customHeight="1" x14ac:dyDescent="0.25">
      <c r="B12" s="10" t="s">
        <v>312</v>
      </c>
      <c r="C12" s="10"/>
      <c r="D12" s="12">
        <f>IF(D11="Ready",MAX(0,D6-D7),NA())</f>
        <v>10000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2:14" ht="21" customHeight="1" x14ac:dyDescent="0.25">
      <c r="B13" s="10" t="s">
        <v>313</v>
      </c>
      <c r="C13" s="10"/>
      <c r="D13" s="12">
        <f>MIN(D8,D12)</f>
        <v>10000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2:14" ht="21" customHeight="1" x14ac:dyDescent="0.25">
      <c r="B14" s="10" t="s">
        <v>314</v>
      </c>
      <c r="C14" s="10"/>
      <c r="D14" s="12">
        <f>IF(D11="Ready",MAX(0,D8-D13-SUM(F18:F22)),NA())</f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2:14" ht="21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2:14" ht="21" customHeight="1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ht="56.1" customHeight="1" x14ac:dyDescent="0.25">
      <c r="B17" s="5" t="s">
        <v>315</v>
      </c>
      <c r="C17" s="5" t="s">
        <v>316</v>
      </c>
      <c r="D17" s="5" t="s">
        <v>317</v>
      </c>
      <c r="E17" s="5" t="s">
        <v>318</v>
      </c>
      <c r="F17" s="5" t="s">
        <v>319</v>
      </c>
      <c r="G17" s="5" t="s">
        <v>320</v>
      </c>
      <c r="H17" s="5" t="s">
        <v>67</v>
      </c>
      <c r="I17" s="1"/>
      <c r="J17" s="1"/>
      <c r="K17" s="1"/>
      <c r="L17" s="1"/>
      <c r="M17" s="1"/>
      <c r="N17" s="1"/>
    </row>
    <row r="18" spans="2:14" ht="21" customHeight="1" x14ac:dyDescent="0.25">
      <c r="B18" s="8">
        <v>2022</v>
      </c>
      <c r="C18" s="8">
        <v>2027</v>
      </c>
      <c r="D18" s="6">
        <v>5000</v>
      </c>
      <c r="E18" s="11">
        <f>IF($D$11="Ready",IF(AND($D$5="Yes",C18&gt;=$D$9,B18&lt;$D$9),D18,0),NA())</f>
        <v>5000</v>
      </c>
      <c r="F18" s="11">
        <f>MIN(E18,MAX(0,$D$8-$D$13-0))</f>
        <v>5000</v>
      </c>
      <c r="G18" s="11">
        <f>E18-F18</f>
        <v>0</v>
      </c>
      <c r="H18" s="15" t="str">
        <f>IF(AND(COUNT(B18:D18)=3,B18=INT(B18),C18=INT(C18),C18&gt;=B18,D18&gt;=0),"Ready","Check buckets")</f>
        <v>Ready</v>
      </c>
      <c r="I18" s="1"/>
      <c r="J18" s="1"/>
      <c r="K18" s="1"/>
      <c r="L18" s="1"/>
      <c r="M18" s="1"/>
      <c r="N18" s="1"/>
    </row>
    <row r="19" spans="2:14" ht="21" customHeight="1" x14ac:dyDescent="0.25">
      <c r="B19" s="8">
        <v>2023</v>
      </c>
      <c r="C19" s="8">
        <v>2028</v>
      </c>
      <c r="D19" s="6">
        <v>5000</v>
      </c>
      <c r="E19" s="11">
        <f>IF($D$11="Ready",IF(AND($D$5="Yes",C19&gt;=$D$9,B19&lt;$D$9),D19,0),NA())</f>
        <v>5000</v>
      </c>
      <c r="F19" s="11">
        <f>MIN(E19,MAX(0,$D$8-$D$13-SUM($F$18:F18)))</f>
        <v>5000</v>
      </c>
      <c r="G19" s="11">
        <f>E19-F19</f>
        <v>0</v>
      </c>
      <c r="H19" s="15" t="str">
        <f>IF(AND(COUNT(B19:D19)=3,B19=INT(B19),C19=INT(C19),C19&gt;=B19,D19&gt;=0,B19&gt;B18,C19&gt;=C18),"Ready","Check buckets")</f>
        <v>Ready</v>
      </c>
      <c r="I19" s="1"/>
      <c r="J19" s="1"/>
      <c r="K19" s="1"/>
      <c r="L19" s="1"/>
      <c r="M19" s="1"/>
      <c r="N19" s="1"/>
    </row>
    <row r="20" spans="2:14" ht="21" customHeight="1" x14ac:dyDescent="0.25">
      <c r="B20" s="8">
        <v>2024</v>
      </c>
      <c r="C20" s="8">
        <v>2029</v>
      </c>
      <c r="D20" s="6">
        <v>5000</v>
      </c>
      <c r="E20" s="11">
        <f>IF($D$11="Ready",IF(AND($D$5="Yes",C20&gt;=$D$9,B20&lt;$D$9),D20,0),NA())</f>
        <v>5000</v>
      </c>
      <c r="F20" s="11">
        <f>MIN(E20,MAX(0,$D$8-$D$13-SUM($F$18:F19)))</f>
        <v>5000</v>
      </c>
      <c r="G20" s="11">
        <f>E20-F20</f>
        <v>0</v>
      </c>
      <c r="H20" s="15" t="str">
        <f>IF(AND(COUNT(B20:D20)=3,B20=INT(B20),C20=INT(C20),C20&gt;=B20,D20&gt;=0,B20&gt;B19,C20&gt;=C19),"Ready","Check buckets")</f>
        <v>Ready</v>
      </c>
      <c r="I20" s="1"/>
      <c r="J20" s="1"/>
      <c r="K20" s="1"/>
      <c r="L20" s="1"/>
      <c r="M20" s="1"/>
      <c r="N20" s="1"/>
    </row>
    <row r="21" spans="2:14" ht="21" customHeight="1" x14ac:dyDescent="0.25">
      <c r="B21" s="8">
        <v>2025</v>
      </c>
      <c r="C21" s="8">
        <v>2030</v>
      </c>
      <c r="D21" s="6">
        <v>5000</v>
      </c>
      <c r="E21" s="11">
        <f>IF($D$11="Ready",IF(AND($D$5="Yes",C21&gt;=$D$9,B21&lt;$D$9),D21,0),NA())</f>
        <v>5000</v>
      </c>
      <c r="F21" s="11">
        <f>MIN(E21,MAX(0,$D$8-$D$13-SUM($F$18:F20)))</f>
        <v>0</v>
      </c>
      <c r="G21" s="11">
        <f>E21-F21</f>
        <v>5000</v>
      </c>
      <c r="H21" s="15" t="str">
        <f>IF(AND(COUNT(B21:D21)=3,B21=INT(B21),C21=INT(C21),C21&gt;=B21,D21&gt;=0,B21&gt;B20,C21&gt;=C20),"Ready","Check buckets")</f>
        <v>Ready</v>
      </c>
      <c r="I21" s="1"/>
      <c r="J21" s="1"/>
      <c r="K21" s="1"/>
      <c r="L21" s="1"/>
      <c r="M21" s="1"/>
      <c r="N21" s="1"/>
    </row>
    <row r="22" spans="2:14" ht="21" customHeight="1" x14ac:dyDescent="0.25">
      <c r="B22" s="8">
        <v>2026</v>
      </c>
      <c r="C22" s="8">
        <v>2031</v>
      </c>
      <c r="D22" s="6">
        <v>5000</v>
      </c>
      <c r="E22" s="11">
        <f>IF($D$11="Ready",IF(AND($D$5="Yes",C22&gt;=$D$9,B22&lt;$D$9),D22,0),NA())</f>
        <v>5000</v>
      </c>
      <c r="F22" s="11">
        <f>MIN(E22,MAX(0,$D$8-$D$13-SUM($F$18:F21)))</f>
        <v>0</v>
      </c>
      <c r="G22" s="11">
        <f>E22-F22</f>
        <v>5000</v>
      </c>
      <c r="H22" s="15" t="str">
        <f>IF(AND(COUNT(B22:D22)=3,B22=INT(B22),C22=INT(C22),C22&gt;=B22,D22&gt;=0,B22&gt;B21,C22&gt;=C21),"Ready","Check buckets")</f>
        <v>Ready</v>
      </c>
      <c r="I22" s="1"/>
      <c r="J22" s="1"/>
      <c r="K22" s="1"/>
      <c r="L22" s="1"/>
      <c r="M22" s="1"/>
      <c r="N22" s="1"/>
    </row>
    <row r="23" spans="2:14" ht="21" customHeight="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ht="21" customHeight="1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 ht="21" customHeight="1" x14ac:dyDescent="0.25">
      <c r="B25" s="2" t="s">
        <v>321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4" ht="21" customHeight="1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2:14" ht="21" customHeight="1" x14ac:dyDescent="0.25">
      <c r="B27" s="2" t="s">
        <v>322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2:14" ht="21" customHeight="1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ht="21" customHeight="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2:14" ht="21" customHeight="1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2:14" ht="21" customHeight="1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2:14" ht="21" customHeight="1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ht="21" customHeight="1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 ht="21" customHeight="1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ht="21" customHeight="1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2:14" ht="21" customHeight="1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2:14" ht="21" customHeight="1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4" ht="21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2:14" ht="21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 ht="21" customHeigh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 ht="21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2:14" ht="21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2:14" ht="21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2:14" ht="21" customHeight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2:14" ht="21" customHeight="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2:14" ht="21" customHeight="1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2:14" ht="21" customHeight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2:14" ht="21" customHeight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</sheetData>
  <conditionalFormatting sqref="D11">
    <cfRule type="expression" dxfId="23" priority="1">
      <formula>AND(D11&lt;&gt;"",D11&lt;&gt;"Ready")</formula>
    </cfRule>
  </conditionalFormatting>
  <conditionalFormatting sqref="H18:H22">
    <cfRule type="expression" dxfId="22" priority="2">
      <formula>AND(H18&lt;&gt;"",H18&lt;&gt;"Ready")</formula>
    </cfRule>
  </conditionalFormatting>
  <dataValidations count="1">
    <dataValidation type="list" sqref="D5" xr:uid="{00000000-0002-0000-0A00-000000000000}">
      <formula1>"Yes,No"</formula1>
    </dataValidation>
  </dataValidations>
  <hyperlinks>
    <hyperlink ref="B1" location="'Read me'!B2" display="Contents" xr:uid="{80F438BC-5718-47C2-B4B9-FDBF7568D5C1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6023C"/>
  </sheetPr>
  <dimension ref="B1:N48"/>
  <sheetViews>
    <sheetView showGridLines="0" workbookViewId="0"/>
  </sheetViews>
  <sheetFormatPr defaultRowHeight="15" x14ac:dyDescent="0.25"/>
  <cols>
    <col min="2" max="2" width="30" customWidth="1"/>
    <col min="3" max="14" width="15" customWidth="1"/>
  </cols>
  <sheetData>
    <row r="1" spans="2:14" x14ac:dyDescent="0.25">
      <c r="B1" s="24" t="s">
        <v>53</v>
      </c>
    </row>
    <row r="2" spans="2:14" ht="21" customHeight="1" x14ac:dyDescent="0.25">
      <c r="B2" s="3" t="s">
        <v>28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21" customHeight="1" x14ac:dyDescent="0.25"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 ht="2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21" customHeight="1" x14ac:dyDescent="0.25">
      <c r="B5" s="1" t="s">
        <v>323</v>
      </c>
      <c r="C5" s="1"/>
      <c r="D5" s="7">
        <v>0.02</v>
      </c>
      <c r="E5" s="1"/>
      <c r="F5" s="2" t="s">
        <v>324</v>
      </c>
      <c r="G5" s="1"/>
      <c r="H5" s="1"/>
      <c r="I5" s="1"/>
      <c r="J5" s="1"/>
      <c r="K5" s="1"/>
      <c r="L5" s="1"/>
      <c r="M5" s="1"/>
      <c r="N5" s="1"/>
    </row>
    <row r="6" spans="2:14" ht="21" customHeight="1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2:14" ht="21" customHeight="1" x14ac:dyDescent="0.25">
      <c r="B7" s="2" t="s">
        <v>325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2:14" ht="21" customHeight="1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2:14" ht="56.1" customHeight="1" x14ac:dyDescent="0.25">
      <c r="B9" s="5" t="s">
        <v>326</v>
      </c>
      <c r="C9" s="5" t="s">
        <v>327</v>
      </c>
      <c r="D9" s="5" t="s">
        <v>113</v>
      </c>
      <c r="E9" s="5" t="s">
        <v>328</v>
      </c>
      <c r="F9" s="5" t="s">
        <v>329</v>
      </c>
      <c r="G9" s="5" t="s">
        <v>330</v>
      </c>
      <c r="H9" s="5" t="s">
        <v>331</v>
      </c>
      <c r="I9" s="5" t="s">
        <v>332</v>
      </c>
      <c r="J9" s="5" t="s">
        <v>333</v>
      </c>
      <c r="K9" s="5" t="s">
        <v>334</v>
      </c>
      <c r="L9" s="5" t="s">
        <v>335</v>
      </c>
      <c r="M9" s="5" t="s">
        <v>336</v>
      </c>
      <c r="N9" s="5" t="s">
        <v>67</v>
      </c>
    </row>
    <row r="10" spans="2:14" ht="21" customHeight="1" x14ac:dyDescent="0.25">
      <c r="B10" s="13" t="s">
        <v>87</v>
      </c>
      <c r="C10" s="6">
        <v>100000</v>
      </c>
      <c r="D10" s="7">
        <v>0.06</v>
      </c>
      <c r="E10" s="8">
        <v>60</v>
      </c>
      <c r="F10" s="6">
        <v>0</v>
      </c>
      <c r="G10" s="6">
        <v>500</v>
      </c>
      <c r="H10" s="6">
        <v>10</v>
      </c>
      <c r="I10" s="11">
        <f t="shared" ref="I10:I17" si="0">IF(B10="","",IF(N10="Ready",IF(D10=0,(C10-F10)/E10,-PMT(D10/12,E10,C10,-F10)),NA()))</f>
        <v>1933.2801529427916</v>
      </c>
      <c r="J10" s="11">
        <f t="shared" ref="J10:J17" si="1">IF(B10="","",I10*E10+F10-C10)</f>
        <v>15996.809176567491</v>
      </c>
      <c r="K10" s="11">
        <f t="shared" ref="K10:K17" si="2">IF(B10="","",G10+H10*E10)</f>
        <v>1100</v>
      </c>
      <c r="L10" s="11">
        <f t="shared" ref="L10:L17" si="3">IF(B10="","",I10*E10+F10+K10)</f>
        <v>117096.80917656749</v>
      </c>
      <c r="M10" s="11">
        <f t="shared" ref="M10:M17" si="4">IF(B10="","",IF(N10="Ready",IF(D10+$D$5=0,(C10-F10)/E10,-PMT((D10+$D$5)/12,E10,C10,-F10))+H10,NA()))</f>
        <v>2037.6394288413683</v>
      </c>
      <c r="N10" s="15" t="str">
        <f t="shared" ref="N10:N17" si="5">IF(B10="","",IF(AND(COUNT(C10:H10)=6,C10&gt;0,MIN(D10:H10)&gt;=0,E10&gt;0,E10=INT(E10),F10&lt;=C10,ISNUMBER($D$5),D10+$D$5&gt;=0,SUMPRODUCT(--($B$10:$B$17=B10))=1),"Ready","Check inputs"))</f>
        <v>Ready</v>
      </c>
    </row>
    <row r="11" spans="2:14" ht="21" customHeight="1" x14ac:dyDescent="0.25">
      <c r="B11" s="13" t="s">
        <v>88</v>
      </c>
      <c r="C11" s="6">
        <v>100000</v>
      </c>
      <c r="D11" s="7">
        <v>6.5000000000000002E-2</v>
      </c>
      <c r="E11" s="8">
        <v>60</v>
      </c>
      <c r="F11" s="6">
        <v>0</v>
      </c>
      <c r="G11" s="6">
        <v>0</v>
      </c>
      <c r="H11" s="6">
        <v>0</v>
      </c>
      <c r="I11" s="11">
        <f t="shared" si="0"/>
        <v>1956.6148218728542</v>
      </c>
      <c r="J11" s="11">
        <f t="shared" si="1"/>
        <v>17396.889312371248</v>
      </c>
      <c r="K11" s="11">
        <f t="shared" si="2"/>
        <v>0</v>
      </c>
      <c r="L11" s="11">
        <f t="shared" si="3"/>
        <v>117396.88931237125</v>
      </c>
      <c r="M11" s="11">
        <f t="shared" si="4"/>
        <v>2051.6531327051252</v>
      </c>
      <c r="N11" s="15" t="str">
        <f t="shared" si="5"/>
        <v>Ready</v>
      </c>
    </row>
    <row r="12" spans="2:14" ht="21" customHeight="1" x14ac:dyDescent="0.25">
      <c r="B12" s="13"/>
      <c r="C12" s="6">
        <v>0</v>
      </c>
      <c r="D12" s="7">
        <v>6.5000000000000002E-2</v>
      </c>
      <c r="E12" s="8">
        <v>60</v>
      </c>
      <c r="F12" s="6">
        <v>0</v>
      </c>
      <c r="G12" s="6">
        <v>0</v>
      </c>
      <c r="H12" s="6">
        <v>0</v>
      </c>
      <c r="I12" s="11" t="str">
        <f t="shared" si="0"/>
        <v/>
      </c>
      <c r="J12" s="11" t="str">
        <f t="shared" si="1"/>
        <v/>
      </c>
      <c r="K12" s="11" t="str">
        <f t="shared" si="2"/>
        <v/>
      </c>
      <c r="L12" s="11" t="str">
        <f t="shared" si="3"/>
        <v/>
      </c>
      <c r="M12" s="11" t="str">
        <f t="shared" si="4"/>
        <v/>
      </c>
      <c r="N12" s="15" t="str">
        <f t="shared" si="5"/>
        <v/>
      </c>
    </row>
    <row r="13" spans="2:14" ht="21" customHeight="1" x14ac:dyDescent="0.25">
      <c r="B13" s="13"/>
      <c r="C13" s="6">
        <v>0</v>
      </c>
      <c r="D13" s="7">
        <v>6.5000000000000002E-2</v>
      </c>
      <c r="E13" s="8">
        <v>60</v>
      </c>
      <c r="F13" s="6">
        <v>0</v>
      </c>
      <c r="G13" s="6">
        <v>0</v>
      </c>
      <c r="H13" s="6">
        <v>0</v>
      </c>
      <c r="I13" s="11" t="str">
        <f t="shared" si="0"/>
        <v/>
      </c>
      <c r="J13" s="11" t="str">
        <f t="shared" si="1"/>
        <v/>
      </c>
      <c r="K13" s="11" t="str">
        <f t="shared" si="2"/>
        <v/>
      </c>
      <c r="L13" s="11" t="str">
        <f t="shared" si="3"/>
        <v/>
      </c>
      <c r="M13" s="11" t="str">
        <f t="shared" si="4"/>
        <v/>
      </c>
      <c r="N13" s="15" t="str">
        <f t="shared" si="5"/>
        <v/>
      </c>
    </row>
    <row r="14" spans="2:14" ht="21" customHeight="1" x14ac:dyDescent="0.25">
      <c r="B14" s="13"/>
      <c r="C14" s="6">
        <v>0</v>
      </c>
      <c r="D14" s="7">
        <v>6.5000000000000002E-2</v>
      </c>
      <c r="E14" s="8">
        <v>60</v>
      </c>
      <c r="F14" s="6">
        <v>0</v>
      </c>
      <c r="G14" s="6">
        <v>0</v>
      </c>
      <c r="H14" s="6">
        <v>0</v>
      </c>
      <c r="I14" s="11" t="str">
        <f t="shared" si="0"/>
        <v/>
      </c>
      <c r="J14" s="11" t="str">
        <f t="shared" si="1"/>
        <v/>
      </c>
      <c r="K14" s="11" t="str">
        <f t="shared" si="2"/>
        <v/>
      </c>
      <c r="L14" s="11" t="str">
        <f t="shared" si="3"/>
        <v/>
      </c>
      <c r="M14" s="11" t="str">
        <f t="shared" si="4"/>
        <v/>
      </c>
      <c r="N14" s="15" t="str">
        <f t="shared" si="5"/>
        <v/>
      </c>
    </row>
    <row r="15" spans="2:14" ht="21" customHeight="1" x14ac:dyDescent="0.25">
      <c r="B15" s="13"/>
      <c r="C15" s="6">
        <v>0</v>
      </c>
      <c r="D15" s="7">
        <v>6.5000000000000002E-2</v>
      </c>
      <c r="E15" s="8">
        <v>60</v>
      </c>
      <c r="F15" s="6">
        <v>0</v>
      </c>
      <c r="G15" s="6">
        <v>0</v>
      </c>
      <c r="H15" s="6">
        <v>0</v>
      </c>
      <c r="I15" s="11" t="str">
        <f t="shared" si="0"/>
        <v/>
      </c>
      <c r="J15" s="11" t="str">
        <f t="shared" si="1"/>
        <v/>
      </c>
      <c r="K15" s="11" t="str">
        <f t="shared" si="2"/>
        <v/>
      </c>
      <c r="L15" s="11" t="str">
        <f t="shared" si="3"/>
        <v/>
      </c>
      <c r="M15" s="11" t="str">
        <f t="shared" si="4"/>
        <v/>
      </c>
      <c r="N15" s="15" t="str">
        <f t="shared" si="5"/>
        <v/>
      </c>
    </row>
    <row r="16" spans="2:14" ht="21" customHeight="1" x14ac:dyDescent="0.25">
      <c r="B16" s="13"/>
      <c r="C16" s="6">
        <v>0</v>
      </c>
      <c r="D16" s="7">
        <v>6.5000000000000002E-2</v>
      </c>
      <c r="E16" s="8">
        <v>60</v>
      </c>
      <c r="F16" s="6">
        <v>0</v>
      </c>
      <c r="G16" s="6">
        <v>0</v>
      </c>
      <c r="H16" s="6">
        <v>0</v>
      </c>
      <c r="I16" s="11" t="str">
        <f t="shared" si="0"/>
        <v/>
      </c>
      <c r="J16" s="11" t="str">
        <f t="shared" si="1"/>
        <v/>
      </c>
      <c r="K16" s="11" t="str">
        <f t="shared" si="2"/>
        <v/>
      </c>
      <c r="L16" s="11" t="str">
        <f t="shared" si="3"/>
        <v/>
      </c>
      <c r="M16" s="11" t="str">
        <f t="shared" si="4"/>
        <v/>
      </c>
      <c r="N16" s="15" t="str">
        <f t="shared" si="5"/>
        <v/>
      </c>
    </row>
    <row r="17" spans="2:14" ht="21" customHeight="1" x14ac:dyDescent="0.25">
      <c r="B17" s="13"/>
      <c r="C17" s="6">
        <v>0</v>
      </c>
      <c r="D17" s="7">
        <v>6.5000000000000002E-2</v>
      </c>
      <c r="E17" s="8">
        <v>60</v>
      </c>
      <c r="F17" s="6">
        <v>0</v>
      </c>
      <c r="G17" s="6">
        <v>0</v>
      </c>
      <c r="H17" s="6">
        <v>0</v>
      </c>
      <c r="I17" s="11" t="str">
        <f t="shared" si="0"/>
        <v/>
      </c>
      <c r="J17" s="11" t="str">
        <f t="shared" si="1"/>
        <v/>
      </c>
      <c r="K17" s="11" t="str">
        <f t="shared" si="2"/>
        <v/>
      </c>
      <c r="L17" s="11" t="str">
        <f t="shared" si="3"/>
        <v/>
      </c>
      <c r="M17" s="11" t="str">
        <f t="shared" si="4"/>
        <v/>
      </c>
      <c r="N17" s="15" t="str">
        <f t="shared" si="5"/>
        <v/>
      </c>
    </row>
    <row r="18" spans="2:14" ht="21" customHeight="1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ht="21" customHeight="1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 ht="21" customHeight="1" x14ac:dyDescent="0.25">
      <c r="B20" s="2" t="s">
        <v>337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 ht="21" customHeight="1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ht="21" customHeight="1" x14ac:dyDescent="0.25">
      <c r="B22" s="2" t="s">
        <v>338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2:14" ht="21" customHeight="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ht="21" customHeight="1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 ht="21" customHeight="1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4" ht="21" customHeight="1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2:14" ht="21" customHeight="1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2:14" ht="21" customHeight="1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ht="21" customHeight="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2:14" ht="21" customHeight="1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2:14" ht="21" customHeight="1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2:14" ht="21" customHeight="1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ht="21" customHeight="1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 ht="21" customHeight="1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ht="21" customHeight="1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2:14" ht="21" customHeight="1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2:14" ht="21" customHeight="1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4" ht="21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2:14" ht="21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 ht="21" customHeigh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 ht="21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2:14" ht="21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2:14" ht="21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2:14" ht="21" customHeight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2:14" ht="21" customHeight="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2:14" ht="21" customHeight="1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2:14" ht="21" customHeight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2:14" ht="21" customHeight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</sheetData>
  <conditionalFormatting sqref="N10:N17">
    <cfRule type="expression" dxfId="21" priority="1">
      <formula>AND(N10&lt;&gt;"",N10&lt;&gt;"Ready")</formula>
    </cfRule>
  </conditionalFormatting>
  <hyperlinks>
    <hyperlink ref="B1" location="'Read me'!B2" display="Contents" xr:uid="{E6CFC8B1-9D51-4631-8766-3728D7B1DF9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66023C"/>
  </sheetPr>
  <dimension ref="B1:N48"/>
  <sheetViews>
    <sheetView showGridLines="0" workbookViewId="0"/>
  </sheetViews>
  <sheetFormatPr defaultRowHeight="15" x14ac:dyDescent="0.25"/>
  <cols>
    <col min="2" max="2" width="30" customWidth="1"/>
    <col min="3" max="14" width="15" customWidth="1"/>
  </cols>
  <sheetData>
    <row r="1" spans="2:14" x14ac:dyDescent="0.25">
      <c r="B1" s="24" t="s">
        <v>53</v>
      </c>
    </row>
    <row r="2" spans="2:14" ht="21" customHeight="1" x14ac:dyDescent="0.25">
      <c r="B2" s="3" t="s">
        <v>30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21" customHeight="1" x14ac:dyDescent="0.25"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 ht="2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21" customHeight="1" x14ac:dyDescent="0.25">
      <c r="B5" s="1" t="s">
        <v>339</v>
      </c>
      <c r="C5" s="1"/>
      <c r="D5" s="6">
        <v>60000</v>
      </c>
      <c r="E5" s="1"/>
      <c r="F5" s="2" t="s">
        <v>340</v>
      </c>
      <c r="G5" s="1"/>
      <c r="H5" s="1"/>
      <c r="I5" s="1"/>
      <c r="J5" s="1"/>
      <c r="K5" s="1"/>
      <c r="L5" s="1"/>
      <c r="M5" s="1"/>
      <c r="N5" s="1"/>
    </row>
    <row r="6" spans="2:14" ht="21" customHeight="1" x14ac:dyDescent="0.25">
      <c r="B6" s="1" t="s">
        <v>341</v>
      </c>
      <c r="C6" s="1"/>
      <c r="D6" s="6">
        <v>100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2:14" ht="21" customHeight="1" x14ac:dyDescent="0.25">
      <c r="B7" s="1" t="s">
        <v>342</v>
      </c>
      <c r="C7" s="1"/>
      <c r="D7" s="6">
        <v>40</v>
      </c>
      <c r="E7" s="1"/>
      <c r="F7" s="2" t="s">
        <v>343</v>
      </c>
      <c r="G7" s="1"/>
      <c r="H7" s="1"/>
      <c r="I7" s="1"/>
      <c r="J7" s="1"/>
      <c r="K7" s="1"/>
      <c r="L7" s="1"/>
      <c r="M7" s="1"/>
      <c r="N7" s="1"/>
    </row>
    <row r="8" spans="2:14" ht="21" customHeight="1" x14ac:dyDescent="0.25">
      <c r="B8" s="1" t="s">
        <v>344</v>
      </c>
      <c r="C8" s="1"/>
      <c r="D8" s="9">
        <v>1500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2:14" ht="21" customHeight="1" x14ac:dyDescent="0.25">
      <c r="B9" s="1" t="s">
        <v>345</v>
      </c>
      <c r="C9" s="1"/>
      <c r="D9" s="9">
        <v>30000</v>
      </c>
      <c r="E9" s="1"/>
      <c r="F9" s="2" t="s">
        <v>346</v>
      </c>
      <c r="G9" s="1"/>
      <c r="H9" s="1"/>
      <c r="I9" s="1"/>
      <c r="J9" s="1"/>
      <c r="K9" s="1"/>
      <c r="L9" s="1"/>
      <c r="M9" s="1"/>
      <c r="N9" s="1"/>
    </row>
    <row r="10" spans="2:14" ht="21" customHeight="1" x14ac:dyDescent="0.25">
      <c r="B10" s="1" t="s">
        <v>347</v>
      </c>
      <c r="C10" s="1"/>
      <c r="D10" s="9">
        <v>1800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ht="21" customHeight="1" x14ac:dyDescent="0.25">
      <c r="B11" s="1"/>
      <c r="C11" s="1"/>
      <c r="D11" s="1"/>
      <c r="E11" s="1"/>
      <c r="F11" s="2" t="s">
        <v>348</v>
      </c>
      <c r="G11" s="1"/>
      <c r="H11" s="1"/>
      <c r="I11" s="1"/>
      <c r="J11" s="1"/>
      <c r="K11" s="1"/>
      <c r="L11" s="1"/>
      <c r="M11" s="1"/>
      <c r="N11" s="1"/>
    </row>
    <row r="12" spans="2:14" ht="21" customHeight="1" x14ac:dyDescent="0.25">
      <c r="B12" s="10" t="s">
        <v>67</v>
      </c>
      <c r="C12" s="10"/>
      <c r="D12" s="14" t="str">
        <f>IF(AND(COUNT(D5:D10)=6,MIN(D5:D10)&gt;=0,D6&gt;D7),"Ready","Check costs or inputs")</f>
        <v>Ready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2:14" ht="21" customHeight="1" x14ac:dyDescent="0.25">
      <c r="B13" s="10" t="s">
        <v>349</v>
      </c>
      <c r="C13" s="10"/>
      <c r="D13" s="12">
        <f>IF(D12="Ready",D6-D7,NA())</f>
        <v>60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2:14" ht="21" customHeight="1" x14ac:dyDescent="0.25">
      <c r="B14" s="10" t="s">
        <v>350</v>
      </c>
      <c r="C14" s="10"/>
      <c r="D14" s="19">
        <f>IF(D12="Ready",ROUNDUP(D5/D13,0),NA())</f>
        <v>1000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2:14" ht="21" customHeight="1" x14ac:dyDescent="0.25">
      <c r="B15" s="10" t="s">
        <v>351</v>
      </c>
      <c r="C15" s="10"/>
      <c r="D15" s="19">
        <f>IF(D12="Ready",ROUNDUP((D5+D9)/D13,0),NA())</f>
        <v>1500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2:14" ht="21" customHeight="1" x14ac:dyDescent="0.25">
      <c r="B16" s="10" t="s">
        <v>352</v>
      </c>
      <c r="C16" s="10"/>
      <c r="D16" s="12">
        <f>IF(D12="Ready",D8*D13-D5,NA())</f>
        <v>30000</v>
      </c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ht="21" customHeight="1" x14ac:dyDescent="0.25">
      <c r="B17" s="10" t="s">
        <v>353</v>
      </c>
      <c r="C17" s="10"/>
      <c r="D17" s="20">
        <f>IF(D12="Ready",D8-D14,NA())</f>
        <v>500</v>
      </c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ht="21" customHeight="1" x14ac:dyDescent="0.25">
      <c r="B18" s="10" t="s">
        <v>354</v>
      </c>
      <c r="C18" s="10"/>
      <c r="D18" s="14" t="str">
        <f>IF(D12&lt;&gt;"Ready","Check inputs",IF(D15&gt;D10,"Above capacity","Within capacity"))</f>
        <v>Within capacity</v>
      </c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ht="21" customHeight="1" x14ac:dyDescent="0.25">
      <c r="B19" s="10" t="s">
        <v>355</v>
      </c>
      <c r="C19" s="10"/>
      <c r="D19" s="12">
        <f>IF(D12="Ready",IF(D10&gt;0,(D5+D9)/D10+D7,NA()),NA())</f>
        <v>90</v>
      </c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 ht="21" customHeight="1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 ht="21" customHeight="1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ht="21" customHeight="1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2:14" ht="21" customHeight="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ht="21" customHeight="1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 ht="21" customHeight="1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4" ht="21" customHeight="1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2:14" ht="21" customHeight="1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2:14" ht="21" customHeight="1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ht="21" customHeight="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2:14" ht="21" customHeight="1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2:14" ht="21" customHeight="1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2:14" ht="21" customHeight="1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ht="21" customHeight="1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 ht="21" customHeight="1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ht="21" customHeight="1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2:14" ht="21" customHeight="1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2:14" ht="21" customHeight="1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4" ht="21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2:14" ht="21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 ht="21" customHeigh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 ht="21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2:14" ht="21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2:14" ht="21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2:14" ht="21" customHeight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2:14" ht="21" customHeight="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2:14" ht="21" customHeight="1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2:14" ht="21" customHeight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2:14" ht="21" customHeight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</sheetData>
  <conditionalFormatting sqref="D12">
    <cfRule type="expression" dxfId="20" priority="1">
      <formula>AND(D12&lt;&gt;"",D12&lt;&gt;"Ready")</formula>
    </cfRule>
  </conditionalFormatting>
  <conditionalFormatting sqref="D18">
    <cfRule type="expression" dxfId="19" priority="2">
      <formula>AND(D18&lt;&gt;"",D18&lt;&gt;"Within capacity")</formula>
    </cfRule>
  </conditionalFormatting>
  <hyperlinks>
    <hyperlink ref="B1" location="'Read me'!B2" display="Contents" xr:uid="{44334D9B-B72D-4041-AEAE-7B0D40F9DA9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66023C"/>
  </sheetPr>
  <dimension ref="B1:N48"/>
  <sheetViews>
    <sheetView showGridLines="0" workbookViewId="0"/>
  </sheetViews>
  <sheetFormatPr defaultRowHeight="15" x14ac:dyDescent="0.25"/>
  <cols>
    <col min="2" max="2" width="30" customWidth="1"/>
    <col min="3" max="14" width="15" customWidth="1"/>
  </cols>
  <sheetData>
    <row r="1" spans="2:14" x14ac:dyDescent="0.25">
      <c r="B1" s="24" t="s">
        <v>53</v>
      </c>
    </row>
    <row r="2" spans="2:14" ht="21" customHeight="1" x14ac:dyDescent="0.25">
      <c r="B2" s="3" t="s">
        <v>32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21" customHeight="1" x14ac:dyDescent="0.25"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 ht="2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21" customHeight="1" x14ac:dyDescent="0.25">
      <c r="B5" s="1" t="s">
        <v>356</v>
      </c>
      <c r="C5" s="1"/>
      <c r="D5" s="6">
        <v>1200000</v>
      </c>
      <c r="E5" s="1"/>
      <c r="F5" s="1"/>
      <c r="G5" s="1"/>
      <c r="H5" s="1"/>
      <c r="I5" s="1"/>
      <c r="J5" s="1"/>
      <c r="K5" s="1"/>
      <c r="L5" s="1"/>
      <c r="M5" s="1"/>
      <c r="N5" s="1"/>
    </row>
    <row r="6" spans="2:14" ht="21" customHeight="1" x14ac:dyDescent="0.25">
      <c r="B6" s="1" t="s">
        <v>357</v>
      </c>
      <c r="C6" s="1"/>
      <c r="D6" s="6">
        <v>600000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2:14" ht="21" customHeight="1" x14ac:dyDescent="0.25">
      <c r="B7" s="1" t="s">
        <v>358</v>
      </c>
      <c r="C7" s="1"/>
      <c r="D7" s="6">
        <v>720000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spans="2:14" ht="21" customHeight="1" x14ac:dyDescent="0.25">
      <c r="B8" s="1" t="s">
        <v>359</v>
      </c>
      <c r="C8" s="1"/>
      <c r="D8" s="8">
        <v>365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2:14" ht="21" customHeight="1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 ht="21" customHeight="1" x14ac:dyDescent="0.25">
      <c r="B10" s="10" t="s">
        <v>67</v>
      </c>
      <c r="C10" s="10"/>
      <c r="D10" s="14" t="str">
        <f>IF(AND(COUNT(D5:D8)=4,MIN(D5:D7)&gt;=0,D8&gt;0,COUNT(C15:D17)=6,MIN(C15:D17)&gt;=0),"Ready","Check inputs")</f>
        <v>Ready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ht="21" customHeight="1" x14ac:dyDescent="0.25">
      <c r="B11" s="10" t="s">
        <v>360</v>
      </c>
      <c r="C11" s="10"/>
      <c r="D11" s="12">
        <f>IF(D10="Ready",SUM(G15:G17),NA())</f>
        <v>95342.465753424651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2:14" ht="21" customHeight="1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2:14" ht="2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2:14" ht="56.1" customHeight="1" x14ac:dyDescent="0.25">
      <c r="B14" s="5" t="s">
        <v>361</v>
      </c>
      <c r="C14" s="5" t="s">
        <v>362</v>
      </c>
      <c r="D14" s="5" t="s">
        <v>363</v>
      </c>
      <c r="E14" s="5" t="s">
        <v>364</v>
      </c>
      <c r="F14" s="5" t="s">
        <v>365</v>
      </c>
      <c r="G14" s="5" t="s">
        <v>366</v>
      </c>
      <c r="H14" s="1"/>
      <c r="I14" s="1"/>
      <c r="J14" s="1"/>
      <c r="K14" s="1"/>
      <c r="L14" s="1"/>
      <c r="M14" s="1"/>
      <c r="N14" s="1"/>
    </row>
    <row r="15" spans="2:14" ht="21" customHeight="1" x14ac:dyDescent="0.25">
      <c r="B15" s="1" t="s">
        <v>367</v>
      </c>
      <c r="C15" s="9">
        <v>45</v>
      </c>
      <c r="D15" s="9">
        <v>30</v>
      </c>
      <c r="E15" s="11">
        <f>IF($D$10="Ready",$D$5/$D$8*C15,NA())</f>
        <v>147945.20547945204</v>
      </c>
      <c r="F15" s="11">
        <f>IF($D$10="Ready",$D$5/$D$8*D15,NA())</f>
        <v>98630.136986301368</v>
      </c>
      <c r="G15" s="11">
        <f>E15-F15</f>
        <v>49315.068493150669</v>
      </c>
      <c r="H15" s="1"/>
      <c r="I15" s="1"/>
      <c r="J15" s="1"/>
      <c r="K15" s="1"/>
      <c r="L15" s="1"/>
      <c r="M15" s="1"/>
      <c r="N15" s="1"/>
    </row>
    <row r="16" spans="2:14" ht="21" customHeight="1" x14ac:dyDescent="0.25">
      <c r="B16" s="1" t="s">
        <v>368</v>
      </c>
      <c r="C16" s="9">
        <v>60</v>
      </c>
      <c r="D16" s="9">
        <v>50</v>
      </c>
      <c r="E16" s="11">
        <f>IF($D$10="Ready",$D$6/$D$8*C16,NA())</f>
        <v>98630.136986301368</v>
      </c>
      <c r="F16" s="11">
        <f>IF($D$10="Ready",$D$6/$D$8*D16,NA())</f>
        <v>82191.780821917797</v>
      </c>
      <c r="G16" s="11">
        <f>E16-F16</f>
        <v>16438.356164383571</v>
      </c>
      <c r="H16" s="1"/>
      <c r="I16" s="1"/>
      <c r="J16" s="1"/>
      <c r="K16" s="1"/>
      <c r="L16" s="1"/>
      <c r="M16" s="1"/>
      <c r="N16" s="1"/>
    </row>
    <row r="17" spans="2:14" ht="21" customHeight="1" x14ac:dyDescent="0.25">
      <c r="B17" s="1" t="s">
        <v>369</v>
      </c>
      <c r="C17" s="9">
        <v>30</v>
      </c>
      <c r="D17" s="9">
        <v>45</v>
      </c>
      <c r="E17" s="11">
        <f>IF($D$10="Ready",$D$7/$D$8*C17,NA())</f>
        <v>59178.082191780828</v>
      </c>
      <c r="F17" s="11">
        <f>IF($D$10="Ready",$D$7/$D$8*D17,NA())</f>
        <v>88767.123287671231</v>
      </c>
      <c r="G17" s="11">
        <f>F17-E17</f>
        <v>29589.041095890403</v>
      </c>
      <c r="H17" s="1"/>
      <c r="I17" s="1"/>
      <c r="J17" s="1"/>
      <c r="K17" s="1"/>
      <c r="L17" s="1"/>
      <c r="M17" s="1"/>
      <c r="N17" s="1"/>
    </row>
    <row r="18" spans="2:14" ht="21" customHeight="1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ht="21" customHeight="1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 ht="21" customHeight="1" x14ac:dyDescent="0.25">
      <c r="B20" s="2" t="s">
        <v>370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 ht="21" customHeight="1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ht="21" customHeight="1" x14ac:dyDescent="0.25">
      <c r="B22" s="2" t="s">
        <v>371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2:14" ht="21" customHeight="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ht="21" customHeight="1" x14ac:dyDescent="0.25">
      <c r="B24" s="2" t="s">
        <v>372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 ht="21" customHeight="1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4" ht="21" customHeight="1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2:14" ht="21" customHeight="1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2:14" ht="21" customHeight="1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ht="21" customHeight="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2:14" ht="21" customHeight="1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2:14" ht="21" customHeight="1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2:14" ht="21" customHeight="1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ht="21" customHeight="1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 ht="21" customHeight="1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ht="21" customHeight="1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2:14" ht="21" customHeight="1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2:14" ht="21" customHeight="1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4" ht="21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2:14" ht="21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 ht="21" customHeigh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 ht="21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2:14" ht="21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2:14" ht="21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2:14" ht="21" customHeight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2:14" ht="21" customHeight="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2:14" ht="21" customHeight="1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2:14" ht="21" customHeight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2:14" ht="21" customHeight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</sheetData>
  <conditionalFormatting sqref="D10">
    <cfRule type="expression" dxfId="18" priority="1">
      <formula>AND(D10&lt;&gt;"",D10&lt;&gt;"Ready")</formula>
    </cfRule>
  </conditionalFormatting>
  <hyperlinks>
    <hyperlink ref="B1" location="'Read me'!B2" display="Contents" xr:uid="{E07D696D-3470-4B35-9D01-2497BC7D03EA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66023C"/>
  </sheetPr>
  <dimension ref="B1:Q48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C14" sqref="C14"/>
    </sheetView>
  </sheetViews>
  <sheetFormatPr defaultRowHeight="15" x14ac:dyDescent="0.25"/>
  <cols>
    <col min="2" max="2" width="30" customWidth="1"/>
    <col min="3" max="17" width="15" customWidth="1"/>
  </cols>
  <sheetData>
    <row r="1" spans="2:17" x14ac:dyDescent="0.25">
      <c r="B1" s="24" t="s">
        <v>53</v>
      </c>
    </row>
    <row r="2" spans="2:17" ht="21" customHeight="1" x14ac:dyDescent="0.25">
      <c r="B2" s="3" t="s">
        <v>34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21" customHeight="1" x14ac:dyDescent="0.25"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 ht="2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2:17" ht="21" customHeight="1" x14ac:dyDescent="0.25">
      <c r="B5" s="10" t="s">
        <v>67</v>
      </c>
      <c r="C5" s="10"/>
      <c r="D5" s="14" t="str">
        <f>IF(AND(COUNTA(B14:B25)&gt;0,COUNTIF(Q14:Q25,"Ready")=COUNTA(B14:B25),COUNTIF(Q14:Q25,"Missing name")=0),"Ready","Check rows")</f>
        <v>Ready</v>
      </c>
      <c r="E5" s="1"/>
      <c r="F5" s="2" t="s">
        <v>373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2:17" ht="21" customHeight="1" x14ac:dyDescent="0.25">
      <c r="B6" s="10" t="s">
        <v>374</v>
      </c>
      <c r="C6" s="10"/>
      <c r="D6" s="12">
        <f>IF(D5="Ready",SUM(K14:K25),NA())</f>
        <v>100000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2:17" ht="21" customHeight="1" x14ac:dyDescent="0.25">
      <c r="B7" s="10" t="s">
        <v>375</v>
      </c>
      <c r="C7" s="10"/>
      <c r="D7" s="12">
        <f>IF(D5="Ready",SUM(N14:N25),NA())</f>
        <v>20000</v>
      </c>
      <c r="E7" s="1"/>
      <c r="F7" s="2" t="s">
        <v>376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2:17" ht="21" customHeight="1" x14ac:dyDescent="0.25">
      <c r="B8" s="10" t="s">
        <v>377</v>
      </c>
      <c r="C8" s="10"/>
      <c r="D8" s="12">
        <f>IF(D5="Ready",SUM(O14:O25),NA())</f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2:17" ht="21" customHeight="1" x14ac:dyDescent="0.25">
      <c r="B9" s="10" t="s">
        <v>378</v>
      </c>
      <c r="C9" s="10"/>
      <c r="D9" s="12">
        <f>IF(D5="Ready",SUM(P14:P25),NA())</f>
        <v>20000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2:17" ht="21" customHeight="1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2:17" ht="21" customHeight="1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2:17" ht="21" customHeight="1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2:17" ht="56.1" customHeight="1" x14ac:dyDescent="0.25">
      <c r="B13" s="5" t="s">
        <v>379</v>
      </c>
      <c r="C13" s="5" t="s">
        <v>380</v>
      </c>
      <c r="D13" s="5" t="s">
        <v>381</v>
      </c>
      <c r="E13" s="5" t="s">
        <v>382</v>
      </c>
      <c r="F13" s="5" t="s">
        <v>383</v>
      </c>
      <c r="G13" s="5" t="s">
        <v>384</v>
      </c>
      <c r="H13" s="5" t="s">
        <v>385</v>
      </c>
      <c r="I13" s="5" t="s">
        <v>386</v>
      </c>
      <c r="J13" s="5" t="s">
        <v>387</v>
      </c>
      <c r="K13" s="5" t="s">
        <v>388</v>
      </c>
      <c r="L13" s="5" t="s">
        <v>389</v>
      </c>
      <c r="M13" s="5" t="s">
        <v>390</v>
      </c>
      <c r="N13" s="5" t="s">
        <v>391</v>
      </c>
      <c r="O13" s="5" t="s">
        <v>377</v>
      </c>
      <c r="P13" s="5" t="s">
        <v>392</v>
      </c>
      <c r="Q13" s="5" t="s">
        <v>67</v>
      </c>
    </row>
    <row r="14" spans="2:17" ht="21" customHeight="1" x14ac:dyDescent="0.25">
      <c r="B14" s="13" t="s">
        <v>393</v>
      </c>
      <c r="C14" s="6">
        <v>200000</v>
      </c>
      <c r="D14" s="6">
        <v>60000</v>
      </c>
      <c r="E14" s="6">
        <v>40000</v>
      </c>
      <c r="F14" s="7">
        <v>0.6</v>
      </c>
      <c r="G14" s="6">
        <v>50000</v>
      </c>
      <c r="H14" s="6">
        <v>100000</v>
      </c>
      <c r="I14" s="6">
        <v>80000</v>
      </c>
      <c r="J14" s="11">
        <f t="shared" ref="J14:J25" si="0">IF(B14="","",IF(Q14="Ready",D14+E14,NA()))</f>
        <v>100000</v>
      </c>
      <c r="K14" s="11">
        <f t="shared" ref="K14:K25" si="1">IF(B14="","",IF(Q14="Ready",C14-J14,NA()))</f>
        <v>100000</v>
      </c>
      <c r="L14" s="11">
        <f t="shared" ref="L14:L25" si="2">IF(B14="","",IF(Q14="Ready",C14*F14,NA()))</f>
        <v>120000</v>
      </c>
      <c r="M14" s="11">
        <f t="shared" ref="M14:M25" si="3">IF(B14="","",IF(Q14="Ready",L14-G14,NA()))</f>
        <v>70000</v>
      </c>
      <c r="N14" s="11">
        <f t="shared" ref="N14:N25" si="4">IF(B14="","",IF(Q14="Ready",MAX(0,L14-H14),NA()))</f>
        <v>20000</v>
      </c>
      <c r="O14" s="11">
        <f t="shared" ref="O14:O25" si="5">IF(B14="","",IF(Q14="Ready",MAX(0,H14-L14),NA()))</f>
        <v>0</v>
      </c>
      <c r="P14" s="11">
        <f t="shared" ref="P14:P25" si="6">IF(B14="","",IF(Q14="Ready",H14-I14,NA()))</f>
        <v>20000</v>
      </c>
      <c r="Q14" s="15" t="str">
        <f t="shared" ref="Q14:Q25" si="7">IF(B14="",IF(COUNTA(C14:I14)=0,"","Missing name"),IF(COUNT(C14:I14)&lt;&gt;7,"Check inputs",IF(AND(MIN(C14:I14)&gt;=0,F14&lt;=1,I14&lt;=H14,SUMPRODUCT(--($B$14:$B$25=B14))=1),"Ready","Check inputs")))</f>
        <v>Ready</v>
      </c>
    </row>
    <row r="15" spans="2:17" ht="21" customHeight="1" x14ac:dyDescent="0.25">
      <c r="B15" s="13"/>
      <c r="C15" s="6"/>
      <c r="D15" s="6"/>
      <c r="E15" s="6"/>
      <c r="F15" s="7"/>
      <c r="G15" s="6"/>
      <c r="H15" s="6"/>
      <c r="I15" s="6"/>
      <c r="J15" s="11" t="str">
        <f t="shared" si="0"/>
        <v/>
      </c>
      <c r="K15" s="11" t="str">
        <f t="shared" si="1"/>
        <v/>
      </c>
      <c r="L15" s="11" t="str">
        <f t="shared" si="2"/>
        <v/>
      </c>
      <c r="M15" s="11" t="str">
        <f t="shared" si="3"/>
        <v/>
      </c>
      <c r="N15" s="11" t="str">
        <f t="shared" si="4"/>
        <v/>
      </c>
      <c r="O15" s="11" t="str">
        <f t="shared" si="5"/>
        <v/>
      </c>
      <c r="P15" s="11" t="str">
        <f t="shared" si="6"/>
        <v/>
      </c>
      <c r="Q15" s="15" t="str">
        <f t="shared" si="7"/>
        <v/>
      </c>
    </row>
    <row r="16" spans="2:17" ht="21" customHeight="1" x14ac:dyDescent="0.25">
      <c r="B16" s="13"/>
      <c r="C16" s="6"/>
      <c r="D16" s="6"/>
      <c r="E16" s="6"/>
      <c r="F16" s="7"/>
      <c r="G16" s="6"/>
      <c r="H16" s="6"/>
      <c r="I16" s="6"/>
      <c r="J16" s="11" t="str">
        <f t="shared" si="0"/>
        <v/>
      </c>
      <c r="K16" s="11" t="str">
        <f t="shared" si="1"/>
        <v/>
      </c>
      <c r="L16" s="11" t="str">
        <f t="shared" si="2"/>
        <v/>
      </c>
      <c r="M16" s="11" t="str">
        <f t="shared" si="3"/>
        <v/>
      </c>
      <c r="N16" s="11" t="str">
        <f t="shared" si="4"/>
        <v/>
      </c>
      <c r="O16" s="11" t="str">
        <f t="shared" si="5"/>
        <v/>
      </c>
      <c r="P16" s="11" t="str">
        <f t="shared" si="6"/>
        <v/>
      </c>
      <c r="Q16" s="15" t="str">
        <f t="shared" si="7"/>
        <v/>
      </c>
    </row>
    <row r="17" spans="2:17" ht="21" customHeight="1" x14ac:dyDescent="0.25">
      <c r="B17" s="13"/>
      <c r="C17" s="6"/>
      <c r="D17" s="6"/>
      <c r="E17" s="6"/>
      <c r="F17" s="7"/>
      <c r="G17" s="6"/>
      <c r="H17" s="6"/>
      <c r="I17" s="6"/>
      <c r="J17" s="11" t="str">
        <f t="shared" si="0"/>
        <v/>
      </c>
      <c r="K17" s="11" t="str">
        <f t="shared" si="1"/>
        <v/>
      </c>
      <c r="L17" s="11" t="str">
        <f t="shared" si="2"/>
        <v/>
      </c>
      <c r="M17" s="11" t="str">
        <f t="shared" si="3"/>
        <v/>
      </c>
      <c r="N17" s="11" t="str">
        <f t="shared" si="4"/>
        <v/>
      </c>
      <c r="O17" s="11" t="str">
        <f t="shared" si="5"/>
        <v/>
      </c>
      <c r="P17" s="11" t="str">
        <f t="shared" si="6"/>
        <v/>
      </c>
      <c r="Q17" s="15" t="str">
        <f t="shared" si="7"/>
        <v/>
      </c>
    </row>
    <row r="18" spans="2:17" ht="21" customHeight="1" x14ac:dyDescent="0.25">
      <c r="B18" s="13"/>
      <c r="C18" s="6"/>
      <c r="D18" s="6"/>
      <c r="E18" s="6"/>
      <c r="F18" s="7"/>
      <c r="G18" s="6"/>
      <c r="H18" s="6"/>
      <c r="I18" s="6"/>
      <c r="J18" s="11" t="str">
        <f t="shared" si="0"/>
        <v/>
      </c>
      <c r="K18" s="11" t="str">
        <f t="shared" si="1"/>
        <v/>
      </c>
      <c r="L18" s="11" t="str">
        <f t="shared" si="2"/>
        <v/>
      </c>
      <c r="M18" s="11" t="str">
        <f t="shared" si="3"/>
        <v/>
      </c>
      <c r="N18" s="11" t="str">
        <f t="shared" si="4"/>
        <v/>
      </c>
      <c r="O18" s="11" t="str">
        <f t="shared" si="5"/>
        <v/>
      </c>
      <c r="P18" s="11" t="str">
        <f t="shared" si="6"/>
        <v/>
      </c>
      <c r="Q18" s="15" t="str">
        <f t="shared" si="7"/>
        <v/>
      </c>
    </row>
    <row r="19" spans="2:17" ht="21" customHeight="1" x14ac:dyDescent="0.25">
      <c r="B19" s="13"/>
      <c r="C19" s="6"/>
      <c r="D19" s="6"/>
      <c r="E19" s="6"/>
      <c r="F19" s="7"/>
      <c r="G19" s="6"/>
      <c r="H19" s="6"/>
      <c r="I19" s="6"/>
      <c r="J19" s="11" t="str">
        <f t="shared" si="0"/>
        <v/>
      </c>
      <c r="K19" s="11" t="str">
        <f t="shared" si="1"/>
        <v/>
      </c>
      <c r="L19" s="11" t="str">
        <f t="shared" si="2"/>
        <v/>
      </c>
      <c r="M19" s="11" t="str">
        <f t="shared" si="3"/>
        <v/>
      </c>
      <c r="N19" s="11" t="str">
        <f t="shared" si="4"/>
        <v/>
      </c>
      <c r="O19" s="11" t="str">
        <f t="shared" si="5"/>
        <v/>
      </c>
      <c r="P19" s="11" t="str">
        <f t="shared" si="6"/>
        <v/>
      </c>
      <c r="Q19" s="15" t="str">
        <f t="shared" si="7"/>
        <v/>
      </c>
    </row>
    <row r="20" spans="2:17" ht="21" customHeight="1" x14ac:dyDescent="0.25">
      <c r="B20" s="13"/>
      <c r="C20" s="6"/>
      <c r="D20" s="6"/>
      <c r="E20" s="6"/>
      <c r="F20" s="7"/>
      <c r="G20" s="6"/>
      <c r="H20" s="6"/>
      <c r="I20" s="6"/>
      <c r="J20" s="11" t="str">
        <f t="shared" si="0"/>
        <v/>
      </c>
      <c r="K20" s="11" t="str">
        <f t="shared" si="1"/>
        <v/>
      </c>
      <c r="L20" s="11" t="str">
        <f t="shared" si="2"/>
        <v/>
      </c>
      <c r="M20" s="11" t="str">
        <f t="shared" si="3"/>
        <v/>
      </c>
      <c r="N20" s="11" t="str">
        <f t="shared" si="4"/>
        <v/>
      </c>
      <c r="O20" s="11" t="str">
        <f t="shared" si="5"/>
        <v/>
      </c>
      <c r="P20" s="11" t="str">
        <f t="shared" si="6"/>
        <v/>
      </c>
      <c r="Q20" s="15" t="str">
        <f t="shared" si="7"/>
        <v/>
      </c>
    </row>
    <row r="21" spans="2:17" ht="21" customHeight="1" x14ac:dyDescent="0.25">
      <c r="B21" s="13"/>
      <c r="C21" s="6"/>
      <c r="D21" s="6"/>
      <c r="E21" s="6"/>
      <c r="F21" s="7"/>
      <c r="G21" s="6"/>
      <c r="H21" s="6"/>
      <c r="I21" s="6"/>
      <c r="J21" s="11" t="str">
        <f t="shared" si="0"/>
        <v/>
      </c>
      <c r="K21" s="11" t="str">
        <f t="shared" si="1"/>
        <v/>
      </c>
      <c r="L21" s="11" t="str">
        <f t="shared" si="2"/>
        <v/>
      </c>
      <c r="M21" s="11" t="str">
        <f t="shared" si="3"/>
        <v/>
      </c>
      <c r="N21" s="11" t="str">
        <f t="shared" si="4"/>
        <v/>
      </c>
      <c r="O21" s="11" t="str">
        <f t="shared" si="5"/>
        <v/>
      </c>
      <c r="P21" s="11" t="str">
        <f t="shared" si="6"/>
        <v/>
      </c>
      <c r="Q21" s="15" t="str">
        <f t="shared" si="7"/>
        <v/>
      </c>
    </row>
    <row r="22" spans="2:17" ht="21" customHeight="1" x14ac:dyDescent="0.25">
      <c r="B22" s="13"/>
      <c r="C22" s="6"/>
      <c r="D22" s="6"/>
      <c r="E22" s="6"/>
      <c r="F22" s="7"/>
      <c r="G22" s="6"/>
      <c r="H22" s="6"/>
      <c r="I22" s="6"/>
      <c r="J22" s="11" t="str">
        <f t="shared" si="0"/>
        <v/>
      </c>
      <c r="K22" s="11" t="str">
        <f t="shared" si="1"/>
        <v/>
      </c>
      <c r="L22" s="11" t="str">
        <f t="shared" si="2"/>
        <v/>
      </c>
      <c r="M22" s="11" t="str">
        <f t="shared" si="3"/>
        <v/>
      </c>
      <c r="N22" s="11" t="str">
        <f t="shared" si="4"/>
        <v/>
      </c>
      <c r="O22" s="11" t="str">
        <f t="shared" si="5"/>
        <v/>
      </c>
      <c r="P22" s="11" t="str">
        <f t="shared" si="6"/>
        <v/>
      </c>
      <c r="Q22" s="15" t="str">
        <f t="shared" si="7"/>
        <v/>
      </c>
    </row>
    <row r="23" spans="2:17" ht="21" customHeight="1" x14ac:dyDescent="0.25">
      <c r="B23" s="13"/>
      <c r="C23" s="6"/>
      <c r="D23" s="6"/>
      <c r="E23" s="6"/>
      <c r="F23" s="7"/>
      <c r="G23" s="6"/>
      <c r="H23" s="6"/>
      <c r="I23" s="6"/>
      <c r="J23" s="11" t="str">
        <f t="shared" si="0"/>
        <v/>
      </c>
      <c r="K23" s="11" t="str">
        <f t="shared" si="1"/>
        <v/>
      </c>
      <c r="L23" s="11" t="str">
        <f t="shared" si="2"/>
        <v/>
      </c>
      <c r="M23" s="11" t="str">
        <f t="shared" si="3"/>
        <v/>
      </c>
      <c r="N23" s="11" t="str">
        <f t="shared" si="4"/>
        <v/>
      </c>
      <c r="O23" s="11" t="str">
        <f t="shared" si="5"/>
        <v/>
      </c>
      <c r="P23" s="11" t="str">
        <f t="shared" si="6"/>
        <v/>
      </c>
      <c r="Q23" s="15" t="str">
        <f t="shared" si="7"/>
        <v/>
      </c>
    </row>
    <row r="24" spans="2:17" ht="21" customHeight="1" x14ac:dyDescent="0.25">
      <c r="B24" s="13"/>
      <c r="C24" s="6"/>
      <c r="D24" s="6"/>
      <c r="E24" s="6"/>
      <c r="F24" s="7"/>
      <c r="G24" s="6"/>
      <c r="H24" s="6"/>
      <c r="I24" s="6"/>
      <c r="J24" s="11" t="str">
        <f t="shared" si="0"/>
        <v/>
      </c>
      <c r="K24" s="11" t="str">
        <f t="shared" si="1"/>
        <v/>
      </c>
      <c r="L24" s="11" t="str">
        <f t="shared" si="2"/>
        <v/>
      </c>
      <c r="M24" s="11" t="str">
        <f t="shared" si="3"/>
        <v/>
      </c>
      <c r="N24" s="11" t="str">
        <f t="shared" si="4"/>
        <v/>
      </c>
      <c r="O24" s="11" t="str">
        <f t="shared" si="5"/>
        <v/>
      </c>
      <c r="P24" s="11" t="str">
        <f t="shared" si="6"/>
        <v/>
      </c>
      <c r="Q24" s="15" t="str">
        <f t="shared" si="7"/>
        <v/>
      </c>
    </row>
    <row r="25" spans="2:17" ht="21" customHeight="1" x14ac:dyDescent="0.25">
      <c r="B25" s="13"/>
      <c r="C25" s="6"/>
      <c r="D25" s="6"/>
      <c r="E25" s="6"/>
      <c r="F25" s="7"/>
      <c r="G25" s="6"/>
      <c r="H25" s="6"/>
      <c r="I25" s="6"/>
      <c r="J25" s="11" t="str">
        <f t="shared" si="0"/>
        <v/>
      </c>
      <c r="K25" s="11" t="str">
        <f t="shared" si="1"/>
        <v/>
      </c>
      <c r="L25" s="11" t="str">
        <f t="shared" si="2"/>
        <v/>
      </c>
      <c r="M25" s="11" t="str">
        <f t="shared" si="3"/>
        <v/>
      </c>
      <c r="N25" s="11" t="str">
        <f t="shared" si="4"/>
        <v/>
      </c>
      <c r="O25" s="11" t="str">
        <f t="shared" si="5"/>
        <v/>
      </c>
      <c r="P25" s="11" t="str">
        <f t="shared" si="6"/>
        <v/>
      </c>
      <c r="Q25" s="15" t="str">
        <f t="shared" si="7"/>
        <v/>
      </c>
    </row>
    <row r="26" spans="2:17" ht="21" customHeight="1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2:17" ht="21" customHeight="1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2:17" ht="21" customHeight="1" x14ac:dyDescent="0.25">
      <c r="B28" s="2" t="s">
        <v>394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2:17" ht="21" customHeight="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2:17" ht="21" customHeight="1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2:17" ht="21" customHeight="1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2:17" ht="21" customHeight="1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2:17" ht="21" customHeight="1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2:17" ht="21" customHeight="1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2:17" ht="21" customHeight="1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2:17" ht="21" customHeight="1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2:17" ht="21" customHeight="1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2:17" ht="21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2:17" ht="21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2:17" ht="21" customHeigh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2:17" ht="21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2:17" ht="21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2:17" ht="21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2:17" ht="21" customHeight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2:17" ht="21" customHeight="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2:17" ht="21" customHeight="1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2:17" ht="21" customHeight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2:17" ht="21" customHeight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</sheetData>
  <conditionalFormatting sqref="D5">
    <cfRule type="expression" dxfId="17" priority="1">
      <formula>AND(D5&lt;&gt;"",D5&lt;&gt;"Ready")</formula>
    </cfRule>
  </conditionalFormatting>
  <conditionalFormatting sqref="Q14:Q25">
    <cfRule type="expression" dxfId="16" priority="2">
      <formula>AND(Q14&lt;&gt;"",Q14&lt;&gt;"Ready")</formula>
    </cfRule>
  </conditionalFormatting>
  <hyperlinks>
    <hyperlink ref="B1" location="'Read me'!B2" display="Contents" xr:uid="{1E73D2C2-20CB-4D41-88B0-602DBE2B241C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66023C"/>
  </sheetPr>
  <dimension ref="B1:N48"/>
  <sheetViews>
    <sheetView showGridLines="0" workbookViewId="0"/>
  </sheetViews>
  <sheetFormatPr defaultRowHeight="15" x14ac:dyDescent="0.25"/>
  <cols>
    <col min="2" max="2" width="30" customWidth="1"/>
    <col min="3" max="14" width="15" customWidth="1"/>
  </cols>
  <sheetData>
    <row r="1" spans="2:14" x14ac:dyDescent="0.25">
      <c r="B1" s="24" t="s">
        <v>53</v>
      </c>
    </row>
    <row r="2" spans="2:14" ht="21" customHeight="1" x14ac:dyDescent="0.25">
      <c r="B2" s="3" t="s">
        <v>36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21" customHeight="1" x14ac:dyDescent="0.25"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 ht="2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21" customHeight="1" x14ac:dyDescent="0.25">
      <c r="B5" s="1" t="s">
        <v>395</v>
      </c>
      <c r="C5" s="1"/>
      <c r="D5" s="7">
        <v>0.12</v>
      </c>
      <c r="E5" s="1"/>
      <c r="F5" s="2" t="s">
        <v>396</v>
      </c>
      <c r="G5" s="1"/>
      <c r="H5" s="1"/>
      <c r="I5" s="1"/>
      <c r="J5" s="1"/>
      <c r="K5" s="1"/>
      <c r="L5" s="1"/>
      <c r="M5" s="1"/>
      <c r="N5" s="1"/>
    </row>
    <row r="6" spans="2:14" ht="21" customHeight="1" x14ac:dyDescent="0.25">
      <c r="B6" s="1" t="s">
        <v>397</v>
      </c>
      <c r="C6" s="1"/>
      <c r="D6" s="7">
        <v>0.05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2:14" ht="21" customHeight="1" x14ac:dyDescent="0.25">
      <c r="B7" s="1"/>
      <c r="C7" s="1"/>
      <c r="D7" s="1"/>
      <c r="E7" s="1"/>
      <c r="F7" s="2" t="s">
        <v>398</v>
      </c>
      <c r="G7" s="1"/>
      <c r="H7" s="1"/>
      <c r="I7" s="1"/>
      <c r="J7" s="1"/>
      <c r="K7" s="1"/>
      <c r="L7" s="1"/>
      <c r="M7" s="1"/>
      <c r="N7" s="1"/>
    </row>
    <row r="8" spans="2:14" ht="21" customHeight="1" x14ac:dyDescent="0.25">
      <c r="B8" s="10" t="s">
        <v>399</v>
      </c>
      <c r="C8" s="10"/>
      <c r="D8" s="14" t="str">
        <f>IF(AND(COUNTA(B14:B33)&gt;0,COUNTIF(L14:L33,"Ready")=COUNTA(B14:B33),COUNTIF(L14:L33,"Missing name")=0),"Ready","Check rows")</f>
        <v>Ready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2:14" ht="21" customHeight="1" x14ac:dyDescent="0.25">
      <c r="B9" s="10" t="s">
        <v>400</v>
      </c>
      <c r="C9" s="10"/>
      <c r="D9" s="12">
        <f>IF(AND(D8="Ready",H9="Ready"),SUM(J14:J33),NA())</f>
        <v>14112.000000000002</v>
      </c>
      <c r="E9" s="1"/>
      <c r="F9" s="1" t="s">
        <v>401</v>
      </c>
      <c r="G9" s="1"/>
      <c r="H9" s="15" t="str">
        <f>IF(AND(COUNT(D5:D6)=2,MIN(D5:D6)&gt;=0),"Ready","Check cost rates")</f>
        <v>Ready</v>
      </c>
      <c r="I9" s="1"/>
      <c r="J9" s="1"/>
      <c r="K9" s="1"/>
      <c r="L9" s="1"/>
      <c r="M9" s="1"/>
      <c r="N9" s="1"/>
    </row>
    <row r="10" spans="2:14" ht="21" customHeight="1" x14ac:dyDescent="0.25">
      <c r="B10" s="10" t="s">
        <v>402</v>
      </c>
      <c r="C10" s="10"/>
      <c r="D10" s="12">
        <f>IF(D8="Ready",SUM(K14:K33),NA())</f>
        <v>10000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ht="21" customHeight="1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2:14" ht="21" customHeight="1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2:14" ht="56.1" customHeight="1" x14ac:dyDescent="0.25">
      <c r="B13" s="5" t="s">
        <v>403</v>
      </c>
      <c r="C13" s="5" t="s">
        <v>404</v>
      </c>
      <c r="D13" s="5" t="s">
        <v>405</v>
      </c>
      <c r="E13" s="5" t="s">
        <v>406</v>
      </c>
      <c r="F13" s="5" t="s">
        <v>407</v>
      </c>
      <c r="G13" s="5" t="s">
        <v>85</v>
      </c>
      <c r="H13" s="5" t="s">
        <v>408</v>
      </c>
      <c r="I13" s="5" t="s">
        <v>409</v>
      </c>
      <c r="J13" s="5" t="s">
        <v>410</v>
      </c>
      <c r="K13" s="5" t="s">
        <v>411</v>
      </c>
      <c r="L13" s="5" t="s">
        <v>67</v>
      </c>
      <c r="M13" s="1"/>
      <c r="N13" s="1"/>
    </row>
    <row r="14" spans="2:14" ht="21" customHeight="1" x14ac:dyDescent="0.25">
      <c r="B14" s="13" t="s">
        <v>412</v>
      </c>
      <c r="C14" s="6">
        <v>10000</v>
      </c>
      <c r="D14" s="7">
        <v>1.2</v>
      </c>
      <c r="E14" s="7">
        <v>0.8</v>
      </c>
      <c r="F14" s="7">
        <v>1.5</v>
      </c>
      <c r="G14" s="6">
        <v>2000</v>
      </c>
      <c r="H14" s="11">
        <f t="shared" ref="H14:H33" si="0">IF(B14="","",IF(L14="Ready",IF(D14&lt;E14,0,C14*MIN(D14,F14)),NA()))</f>
        <v>12000</v>
      </c>
      <c r="I14" s="11">
        <f t="shared" ref="I14:I33" si="1">IF(B14="","",IF(AND(L14="Ready",$H$9="Ready"),H14*((1+$D$5)*(1+$D$6)-1),NA()))</f>
        <v>2112.0000000000018</v>
      </c>
      <c r="J14" s="11">
        <f t="shared" ref="J14:J33" si="2">IF(B14="","",SUM(H14:I14))</f>
        <v>14112.000000000002</v>
      </c>
      <c r="K14" s="11">
        <f t="shared" ref="K14:K33" si="3">IF(B14="","",H14-G14)</f>
        <v>10000</v>
      </c>
      <c r="L14" s="15" t="str">
        <f t="shared" ref="L14:L33" si="4">IF(B14="",IF(COUNTA(C14:G14)=0,"","Missing name"),IF(COUNT(C14:G14)&lt;&gt;5,"Check inputs",IF(AND(MIN(C14:G14)&gt;=0,E14&lt;=F14,G14&lt;=IF(D14&lt;E14,0,C14*MIN(D14,F14)),SUMPRODUCT(--($B$14:$B$33=B14))=1),"Ready","Check inputs")))</f>
        <v>Ready</v>
      </c>
      <c r="M14" s="1"/>
      <c r="N14" s="1"/>
    </row>
    <row r="15" spans="2:14" ht="21" customHeight="1" x14ac:dyDescent="0.25">
      <c r="B15" s="13"/>
      <c r="C15" s="6"/>
      <c r="D15" s="7"/>
      <c r="E15" s="7"/>
      <c r="F15" s="7"/>
      <c r="G15" s="6"/>
      <c r="H15" s="11" t="str">
        <f t="shared" si="0"/>
        <v/>
      </c>
      <c r="I15" s="11" t="str">
        <f t="shared" si="1"/>
        <v/>
      </c>
      <c r="J15" s="11" t="str">
        <f t="shared" si="2"/>
        <v/>
      </c>
      <c r="K15" s="11" t="str">
        <f t="shared" si="3"/>
        <v/>
      </c>
      <c r="L15" s="15" t="str">
        <f t="shared" si="4"/>
        <v/>
      </c>
      <c r="M15" s="1"/>
      <c r="N15" s="1"/>
    </row>
    <row r="16" spans="2:14" ht="21" customHeight="1" x14ac:dyDescent="0.25">
      <c r="B16" s="13"/>
      <c r="C16" s="6"/>
      <c r="D16" s="7"/>
      <c r="E16" s="7"/>
      <c r="F16" s="7"/>
      <c r="G16" s="6"/>
      <c r="H16" s="11" t="str">
        <f t="shared" si="0"/>
        <v/>
      </c>
      <c r="I16" s="11" t="str">
        <f t="shared" si="1"/>
        <v/>
      </c>
      <c r="J16" s="11" t="str">
        <f t="shared" si="2"/>
        <v/>
      </c>
      <c r="K16" s="11" t="str">
        <f t="shared" si="3"/>
        <v/>
      </c>
      <c r="L16" s="15" t="str">
        <f t="shared" si="4"/>
        <v/>
      </c>
      <c r="M16" s="1"/>
      <c r="N16" s="1"/>
    </row>
    <row r="17" spans="2:14" ht="21" customHeight="1" x14ac:dyDescent="0.25">
      <c r="B17" s="13"/>
      <c r="C17" s="6"/>
      <c r="D17" s="7"/>
      <c r="E17" s="7"/>
      <c r="F17" s="7"/>
      <c r="G17" s="6"/>
      <c r="H17" s="11" t="str">
        <f t="shared" si="0"/>
        <v/>
      </c>
      <c r="I17" s="11" t="str">
        <f t="shared" si="1"/>
        <v/>
      </c>
      <c r="J17" s="11" t="str">
        <f t="shared" si="2"/>
        <v/>
      </c>
      <c r="K17" s="11" t="str">
        <f t="shared" si="3"/>
        <v/>
      </c>
      <c r="L17" s="15" t="str">
        <f t="shared" si="4"/>
        <v/>
      </c>
      <c r="M17" s="1"/>
      <c r="N17" s="1"/>
    </row>
    <row r="18" spans="2:14" ht="21" customHeight="1" x14ac:dyDescent="0.25">
      <c r="B18" s="13"/>
      <c r="C18" s="6"/>
      <c r="D18" s="7"/>
      <c r="E18" s="7"/>
      <c r="F18" s="7"/>
      <c r="G18" s="6"/>
      <c r="H18" s="11" t="str">
        <f t="shared" si="0"/>
        <v/>
      </c>
      <c r="I18" s="11" t="str">
        <f t="shared" si="1"/>
        <v/>
      </c>
      <c r="J18" s="11" t="str">
        <f t="shared" si="2"/>
        <v/>
      </c>
      <c r="K18" s="11" t="str">
        <f t="shared" si="3"/>
        <v/>
      </c>
      <c r="L18" s="15" t="str">
        <f t="shared" si="4"/>
        <v/>
      </c>
      <c r="M18" s="1"/>
      <c r="N18" s="1"/>
    </row>
    <row r="19" spans="2:14" ht="21" customHeight="1" x14ac:dyDescent="0.25">
      <c r="B19" s="13"/>
      <c r="C19" s="6"/>
      <c r="D19" s="7"/>
      <c r="E19" s="7"/>
      <c r="F19" s="7"/>
      <c r="G19" s="6"/>
      <c r="H19" s="11" t="str">
        <f t="shared" si="0"/>
        <v/>
      </c>
      <c r="I19" s="11" t="str">
        <f t="shared" si="1"/>
        <v/>
      </c>
      <c r="J19" s="11" t="str">
        <f t="shared" si="2"/>
        <v/>
      </c>
      <c r="K19" s="11" t="str">
        <f t="shared" si="3"/>
        <v/>
      </c>
      <c r="L19" s="15" t="str">
        <f t="shared" si="4"/>
        <v/>
      </c>
      <c r="M19" s="1"/>
      <c r="N19" s="1"/>
    </row>
    <row r="20" spans="2:14" ht="21" customHeight="1" x14ac:dyDescent="0.25">
      <c r="B20" s="13"/>
      <c r="C20" s="6"/>
      <c r="D20" s="7"/>
      <c r="E20" s="7"/>
      <c r="F20" s="7"/>
      <c r="G20" s="6"/>
      <c r="H20" s="11" t="str">
        <f t="shared" si="0"/>
        <v/>
      </c>
      <c r="I20" s="11" t="str">
        <f t="shared" si="1"/>
        <v/>
      </c>
      <c r="J20" s="11" t="str">
        <f t="shared" si="2"/>
        <v/>
      </c>
      <c r="K20" s="11" t="str">
        <f t="shared" si="3"/>
        <v/>
      </c>
      <c r="L20" s="15" t="str">
        <f t="shared" si="4"/>
        <v/>
      </c>
      <c r="M20" s="1"/>
      <c r="N20" s="1"/>
    </row>
    <row r="21" spans="2:14" ht="21" customHeight="1" x14ac:dyDescent="0.25">
      <c r="B21" s="13"/>
      <c r="C21" s="6"/>
      <c r="D21" s="7"/>
      <c r="E21" s="7"/>
      <c r="F21" s="7"/>
      <c r="G21" s="6"/>
      <c r="H21" s="11" t="str">
        <f t="shared" si="0"/>
        <v/>
      </c>
      <c r="I21" s="11" t="str">
        <f t="shared" si="1"/>
        <v/>
      </c>
      <c r="J21" s="11" t="str">
        <f t="shared" si="2"/>
        <v/>
      </c>
      <c r="K21" s="11" t="str">
        <f t="shared" si="3"/>
        <v/>
      </c>
      <c r="L21" s="15" t="str">
        <f t="shared" si="4"/>
        <v/>
      </c>
      <c r="M21" s="1"/>
      <c r="N21" s="1"/>
    </row>
    <row r="22" spans="2:14" ht="21" customHeight="1" x14ac:dyDescent="0.25">
      <c r="B22" s="13"/>
      <c r="C22" s="6"/>
      <c r="D22" s="7"/>
      <c r="E22" s="7"/>
      <c r="F22" s="7"/>
      <c r="G22" s="6"/>
      <c r="H22" s="11" t="str">
        <f t="shared" si="0"/>
        <v/>
      </c>
      <c r="I22" s="11" t="str">
        <f t="shared" si="1"/>
        <v/>
      </c>
      <c r="J22" s="11" t="str">
        <f t="shared" si="2"/>
        <v/>
      </c>
      <c r="K22" s="11" t="str">
        <f t="shared" si="3"/>
        <v/>
      </c>
      <c r="L22" s="15" t="str">
        <f t="shared" si="4"/>
        <v/>
      </c>
      <c r="M22" s="1"/>
      <c r="N22" s="1"/>
    </row>
    <row r="23" spans="2:14" ht="21" customHeight="1" x14ac:dyDescent="0.25">
      <c r="B23" s="13"/>
      <c r="C23" s="6"/>
      <c r="D23" s="7"/>
      <c r="E23" s="7"/>
      <c r="F23" s="7"/>
      <c r="G23" s="6"/>
      <c r="H23" s="11" t="str">
        <f t="shared" si="0"/>
        <v/>
      </c>
      <c r="I23" s="11" t="str">
        <f t="shared" si="1"/>
        <v/>
      </c>
      <c r="J23" s="11" t="str">
        <f t="shared" si="2"/>
        <v/>
      </c>
      <c r="K23" s="11" t="str">
        <f t="shared" si="3"/>
        <v/>
      </c>
      <c r="L23" s="15" t="str">
        <f t="shared" si="4"/>
        <v/>
      </c>
      <c r="M23" s="1"/>
      <c r="N23" s="1"/>
    </row>
    <row r="24" spans="2:14" ht="21" customHeight="1" x14ac:dyDescent="0.25">
      <c r="B24" s="13"/>
      <c r="C24" s="6"/>
      <c r="D24" s="7"/>
      <c r="E24" s="7"/>
      <c r="F24" s="7"/>
      <c r="G24" s="6"/>
      <c r="H24" s="11" t="str">
        <f t="shared" si="0"/>
        <v/>
      </c>
      <c r="I24" s="11" t="str">
        <f t="shared" si="1"/>
        <v/>
      </c>
      <c r="J24" s="11" t="str">
        <f t="shared" si="2"/>
        <v/>
      </c>
      <c r="K24" s="11" t="str">
        <f t="shared" si="3"/>
        <v/>
      </c>
      <c r="L24" s="15" t="str">
        <f t="shared" si="4"/>
        <v/>
      </c>
      <c r="M24" s="1"/>
      <c r="N24" s="1"/>
    </row>
    <row r="25" spans="2:14" ht="21" customHeight="1" x14ac:dyDescent="0.25">
      <c r="B25" s="13"/>
      <c r="C25" s="6"/>
      <c r="D25" s="7"/>
      <c r="E25" s="7"/>
      <c r="F25" s="7"/>
      <c r="G25" s="6"/>
      <c r="H25" s="11" t="str">
        <f t="shared" si="0"/>
        <v/>
      </c>
      <c r="I25" s="11" t="str">
        <f t="shared" si="1"/>
        <v/>
      </c>
      <c r="J25" s="11" t="str">
        <f t="shared" si="2"/>
        <v/>
      </c>
      <c r="K25" s="11" t="str">
        <f t="shared" si="3"/>
        <v/>
      </c>
      <c r="L25" s="15" t="str">
        <f t="shared" si="4"/>
        <v/>
      </c>
      <c r="M25" s="1"/>
      <c r="N25" s="1"/>
    </row>
    <row r="26" spans="2:14" ht="21" customHeight="1" x14ac:dyDescent="0.25">
      <c r="B26" s="13"/>
      <c r="C26" s="6"/>
      <c r="D26" s="7"/>
      <c r="E26" s="7"/>
      <c r="F26" s="7"/>
      <c r="G26" s="6"/>
      <c r="H26" s="11" t="str">
        <f t="shared" si="0"/>
        <v/>
      </c>
      <c r="I26" s="11" t="str">
        <f t="shared" si="1"/>
        <v/>
      </c>
      <c r="J26" s="11" t="str">
        <f t="shared" si="2"/>
        <v/>
      </c>
      <c r="K26" s="11" t="str">
        <f t="shared" si="3"/>
        <v/>
      </c>
      <c r="L26" s="15" t="str">
        <f t="shared" si="4"/>
        <v/>
      </c>
      <c r="M26" s="1"/>
      <c r="N26" s="1"/>
    </row>
    <row r="27" spans="2:14" ht="21" customHeight="1" x14ac:dyDescent="0.25">
      <c r="B27" s="13"/>
      <c r="C27" s="6"/>
      <c r="D27" s="7"/>
      <c r="E27" s="7"/>
      <c r="F27" s="7"/>
      <c r="G27" s="6"/>
      <c r="H27" s="11" t="str">
        <f t="shared" si="0"/>
        <v/>
      </c>
      <c r="I27" s="11" t="str">
        <f t="shared" si="1"/>
        <v/>
      </c>
      <c r="J27" s="11" t="str">
        <f t="shared" si="2"/>
        <v/>
      </c>
      <c r="K27" s="11" t="str">
        <f t="shared" si="3"/>
        <v/>
      </c>
      <c r="L27" s="15" t="str">
        <f t="shared" si="4"/>
        <v/>
      </c>
      <c r="M27" s="1"/>
      <c r="N27" s="1"/>
    </row>
    <row r="28" spans="2:14" ht="21" customHeight="1" x14ac:dyDescent="0.25">
      <c r="B28" s="13"/>
      <c r="C28" s="6"/>
      <c r="D28" s="7"/>
      <c r="E28" s="7"/>
      <c r="F28" s="7"/>
      <c r="G28" s="6"/>
      <c r="H28" s="11" t="str">
        <f t="shared" si="0"/>
        <v/>
      </c>
      <c r="I28" s="11" t="str">
        <f t="shared" si="1"/>
        <v/>
      </c>
      <c r="J28" s="11" t="str">
        <f t="shared" si="2"/>
        <v/>
      </c>
      <c r="K28" s="11" t="str">
        <f t="shared" si="3"/>
        <v/>
      </c>
      <c r="L28" s="15" t="str">
        <f t="shared" si="4"/>
        <v/>
      </c>
      <c r="M28" s="1"/>
      <c r="N28" s="1"/>
    </row>
    <row r="29" spans="2:14" ht="21" customHeight="1" x14ac:dyDescent="0.25">
      <c r="B29" s="13"/>
      <c r="C29" s="6"/>
      <c r="D29" s="7"/>
      <c r="E29" s="7"/>
      <c r="F29" s="7"/>
      <c r="G29" s="6"/>
      <c r="H29" s="11" t="str">
        <f t="shared" si="0"/>
        <v/>
      </c>
      <c r="I29" s="11" t="str">
        <f t="shared" si="1"/>
        <v/>
      </c>
      <c r="J29" s="11" t="str">
        <f t="shared" si="2"/>
        <v/>
      </c>
      <c r="K29" s="11" t="str">
        <f t="shared" si="3"/>
        <v/>
      </c>
      <c r="L29" s="15" t="str">
        <f t="shared" si="4"/>
        <v/>
      </c>
      <c r="M29" s="1"/>
      <c r="N29" s="1"/>
    </row>
    <row r="30" spans="2:14" ht="21" customHeight="1" x14ac:dyDescent="0.25">
      <c r="B30" s="13"/>
      <c r="C30" s="6"/>
      <c r="D30" s="7"/>
      <c r="E30" s="7"/>
      <c r="F30" s="7"/>
      <c r="G30" s="6"/>
      <c r="H30" s="11" t="str">
        <f t="shared" si="0"/>
        <v/>
      </c>
      <c r="I30" s="11" t="str">
        <f t="shared" si="1"/>
        <v/>
      </c>
      <c r="J30" s="11" t="str">
        <f t="shared" si="2"/>
        <v/>
      </c>
      <c r="K30" s="11" t="str">
        <f t="shared" si="3"/>
        <v/>
      </c>
      <c r="L30" s="15" t="str">
        <f t="shared" si="4"/>
        <v/>
      </c>
      <c r="M30" s="1"/>
      <c r="N30" s="1"/>
    </row>
    <row r="31" spans="2:14" ht="21" customHeight="1" x14ac:dyDescent="0.25">
      <c r="B31" s="13"/>
      <c r="C31" s="6"/>
      <c r="D31" s="7"/>
      <c r="E31" s="7"/>
      <c r="F31" s="7"/>
      <c r="G31" s="6"/>
      <c r="H31" s="11" t="str">
        <f t="shared" si="0"/>
        <v/>
      </c>
      <c r="I31" s="11" t="str">
        <f t="shared" si="1"/>
        <v/>
      </c>
      <c r="J31" s="11" t="str">
        <f t="shared" si="2"/>
        <v/>
      </c>
      <c r="K31" s="11" t="str">
        <f t="shared" si="3"/>
        <v/>
      </c>
      <c r="L31" s="15" t="str">
        <f t="shared" si="4"/>
        <v/>
      </c>
      <c r="M31" s="1"/>
      <c r="N31" s="1"/>
    </row>
    <row r="32" spans="2:14" ht="21" customHeight="1" x14ac:dyDescent="0.25">
      <c r="B32" s="13"/>
      <c r="C32" s="6"/>
      <c r="D32" s="7"/>
      <c r="E32" s="7"/>
      <c r="F32" s="7"/>
      <c r="G32" s="6"/>
      <c r="H32" s="11" t="str">
        <f t="shared" si="0"/>
        <v/>
      </c>
      <c r="I32" s="11" t="str">
        <f t="shared" si="1"/>
        <v/>
      </c>
      <c r="J32" s="11" t="str">
        <f t="shared" si="2"/>
        <v/>
      </c>
      <c r="K32" s="11" t="str">
        <f t="shared" si="3"/>
        <v/>
      </c>
      <c r="L32" s="15" t="str">
        <f t="shared" si="4"/>
        <v/>
      </c>
      <c r="M32" s="1"/>
      <c r="N32" s="1"/>
    </row>
    <row r="33" spans="2:14" ht="21" customHeight="1" x14ac:dyDescent="0.25">
      <c r="B33" s="13"/>
      <c r="C33" s="6"/>
      <c r="D33" s="7"/>
      <c r="E33" s="7"/>
      <c r="F33" s="7"/>
      <c r="G33" s="6"/>
      <c r="H33" s="11" t="str">
        <f t="shared" si="0"/>
        <v/>
      </c>
      <c r="I33" s="11" t="str">
        <f t="shared" si="1"/>
        <v/>
      </c>
      <c r="J33" s="11" t="str">
        <f t="shared" si="2"/>
        <v/>
      </c>
      <c r="K33" s="11" t="str">
        <f t="shared" si="3"/>
        <v/>
      </c>
      <c r="L33" s="15" t="str">
        <f t="shared" si="4"/>
        <v/>
      </c>
      <c r="M33" s="1"/>
      <c r="N33" s="1"/>
    </row>
    <row r="34" spans="2:14" ht="21" customHeight="1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ht="21" customHeight="1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2:14" ht="21" customHeight="1" x14ac:dyDescent="0.25">
      <c r="B36" s="2" t="s">
        <v>413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2:14" ht="21" customHeight="1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4" ht="21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2:14" ht="21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 ht="21" customHeigh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 ht="21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2:14" ht="21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2:14" ht="21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2:14" ht="21" customHeight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2:14" ht="21" customHeight="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2:14" ht="21" customHeight="1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2:14" ht="21" customHeight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2:14" ht="21" customHeight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</sheetData>
  <conditionalFormatting sqref="D8">
    <cfRule type="expression" dxfId="15" priority="1">
      <formula>AND(D8&lt;&gt;"",D8&lt;&gt;"Ready")</formula>
    </cfRule>
  </conditionalFormatting>
  <conditionalFormatting sqref="H9">
    <cfRule type="expression" dxfId="14" priority="3">
      <formula>AND(H9&lt;&gt;"",H9&lt;&gt;"Ready")</formula>
    </cfRule>
  </conditionalFormatting>
  <conditionalFormatting sqref="L14:L33">
    <cfRule type="expression" dxfId="13" priority="2">
      <formula>AND(L14&lt;&gt;"",L14&lt;&gt;"Ready")</formula>
    </cfRule>
  </conditionalFormatting>
  <hyperlinks>
    <hyperlink ref="B1" location="'Read me'!B2" display="Contents" xr:uid="{5890494A-282B-4909-8B5C-0EE2E76735C8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66023C"/>
  </sheetPr>
  <dimension ref="B1:P48"/>
  <sheetViews>
    <sheetView showGridLines="0" workbookViewId="0">
      <pane ySplit="13" topLeftCell="A14" activePane="bottomLeft" state="frozen"/>
      <selection pane="bottomLeft"/>
    </sheetView>
  </sheetViews>
  <sheetFormatPr defaultRowHeight="15" x14ac:dyDescent="0.25"/>
  <cols>
    <col min="2" max="2" width="30" customWidth="1"/>
    <col min="3" max="16" width="15" customWidth="1"/>
  </cols>
  <sheetData>
    <row r="1" spans="2:16" x14ac:dyDescent="0.25">
      <c r="B1" s="24" t="s">
        <v>53</v>
      </c>
    </row>
    <row r="2" spans="2:16" ht="21" customHeight="1" x14ac:dyDescent="0.25">
      <c r="B2" s="3" t="s">
        <v>38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21" customHeight="1" x14ac:dyDescent="0.25"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2:16" ht="2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16" ht="21" customHeight="1" x14ac:dyDescent="0.25">
      <c r="B5" s="10" t="s">
        <v>67</v>
      </c>
      <c r="C5" s="10"/>
      <c r="D5" s="14" t="str">
        <f>IF(AND(COUNTA(B14:B25)&gt;0,COUNTIF(P14:P25,"Ready")=COUNTA(B14:B25),COUNTIF(P14:P25,"Missing name")=0),"Ready","Check rows")</f>
        <v>Ready</v>
      </c>
      <c r="E5" s="1"/>
      <c r="F5" s="2" t="s">
        <v>414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2:16" ht="21" customHeight="1" x14ac:dyDescent="0.25">
      <c r="B6" s="10" t="s">
        <v>415</v>
      </c>
      <c r="C6" s="10"/>
      <c r="D6" s="12">
        <f>IF(D5="Ready",SUM(L14:L25),NA())</f>
        <v>1000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21" customHeight="1" x14ac:dyDescent="0.25">
      <c r="B7" s="10" t="s">
        <v>416</v>
      </c>
      <c r="C7" s="10"/>
      <c r="D7" s="12">
        <f>IF(D5="Ready",SUM(M14:M25),NA())</f>
        <v>-12100</v>
      </c>
      <c r="E7" s="1"/>
      <c r="F7" s="2" t="s">
        <v>417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2:16" ht="21" customHeight="1" x14ac:dyDescent="0.25">
      <c r="B8" s="10" t="s">
        <v>418</v>
      </c>
      <c r="C8" s="10"/>
      <c r="D8" s="12">
        <f>IF(D5="Ready",SUM(N14:N25),NA())</f>
        <v>-1100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2:16" ht="21" customHeight="1" x14ac:dyDescent="0.25">
      <c r="B9" s="10" t="s">
        <v>419</v>
      </c>
      <c r="C9" s="10"/>
      <c r="D9" s="12">
        <f>IF(D5="Ready",SUM(O14:O25),NA())</f>
        <v>-11000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2:16" ht="21" customHeight="1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2:16" ht="21" customHeight="1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2:16" ht="21" customHeight="1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2:16" ht="56.1" customHeight="1" x14ac:dyDescent="0.25">
      <c r="B13" s="5" t="s">
        <v>420</v>
      </c>
      <c r="C13" s="5" t="s">
        <v>421</v>
      </c>
      <c r="D13" s="5" t="s">
        <v>422</v>
      </c>
      <c r="E13" s="5" t="s">
        <v>423</v>
      </c>
      <c r="F13" s="5" t="s">
        <v>424</v>
      </c>
      <c r="G13" s="5" t="s">
        <v>425</v>
      </c>
      <c r="H13" s="5" t="s">
        <v>426</v>
      </c>
      <c r="I13" s="5" t="s">
        <v>427</v>
      </c>
      <c r="J13" s="5" t="s">
        <v>428</v>
      </c>
      <c r="K13" s="5" t="s">
        <v>429</v>
      </c>
      <c r="L13" s="5" t="s">
        <v>415</v>
      </c>
      <c r="M13" s="5" t="s">
        <v>430</v>
      </c>
      <c r="N13" s="5" t="s">
        <v>431</v>
      </c>
      <c r="O13" s="5" t="s">
        <v>432</v>
      </c>
      <c r="P13" s="5" t="s">
        <v>67</v>
      </c>
    </row>
    <row r="14" spans="2:16" ht="21" customHeight="1" x14ac:dyDescent="0.25">
      <c r="B14" s="13" t="s">
        <v>433</v>
      </c>
      <c r="C14" s="6">
        <v>20000</v>
      </c>
      <c r="D14" s="6">
        <v>2000</v>
      </c>
      <c r="E14" s="6">
        <v>22000</v>
      </c>
      <c r="F14" s="6">
        <v>2000</v>
      </c>
      <c r="G14" s="6">
        <v>1100</v>
      </c>
      <c r="H14" s="6">
        <v>100</v>
      </c>
      <c r="I14" s="6">
        <v>33000</v>
      </c>
      <c r="J14" s="6">
        <v>3000</v>
      </c>
      <c r="K14" s="11">
        <f t="shared" ref="K14:K25" si="0">IF(B14="","",IF(P14="Ready",C14-D14,NA()))</f>
        <v>18000</v>
      </c>
      <c r="L14" s="11">
        <f t="shared" ref="L14:L25" si="1">IF(B14="","",IF(P14="Ready",E14-F14-G14+H14-K14,NA()))</f>
        <v>1000</v>
      </c>
      <c r="M14" s="11">
        <f t="shared" ref="M14:M25" si="2">IF(B14="","",IF(P14="Ready",E14-G14-I14,NA()))</f>
        <v>-12100</v>
      </c>
      <c r="N14" s="11">
        <f t="shared" ref="N14:N25" si="3">IF(B14="","",IF(P14="Ready",F14-H14-J14,NA()))</f>
        <v>-1100</v>
      </c>
      <c r="O14" s="11">
        <f t="shared" ref="O14:O25" si="4">IF(B14="","",IF(P14="Ready",M14-N14,NA()))</f>
        <v>-11000</v>
      </c>
      <c r="P14" s="15" t="str">
        <f t="shared" ref="P14:P25" si="5">IF(B14="",IF(COUNTA(C14:J14)=0,"","Missing name"),IF(COUNT(C14:J14)&lt;&gt;8,"Check inputs",IF(AND(MIN(C14:J14)&gt;=0,D14&lt;=C14,F14&lt;=E14,H14&lt;=G14,J14&lt;=I14,SUMPRODUCT(--($B$14:$B$25=B14))=1),"Ready","Check inputs")))</f>
        <v>Ready</v>
      </c>
    </row>
    <row r="15" spans="2:16" ht="21" customHeight="1" x14ac:dyDescent="0.25">
      <c r="B15" s="13"/>
      <c r="C15" s="6"/>
      <c r="D15" s="6"/>
      <c r="E15" s="6"/>
      <c r="F15" s="6"/>
      <c r="G15" s="6"/>
      <c r="H15" s="6"/>
      <c r="I15" s="6"/>
      <c r="J15" s="6"/>
      <c r="K15" s="11" t="str">
        <f t="shared" si="0"/>
        <v/>
      </c>
      <c r="L15" s="11" t="str">
        <f t="shared" si="1"/>
        <v/>
      </c>
      <c r="M15" s="11" t="str">
        <f t="shared" si="2"/>
        <v/>
      </c>
      <c r="N15" s="11" t="str">
        <f t="shared" si="3"/>
        <v/>
      </c>
      <c r="O15" s="11" t="str">
        <f t="shared" si="4"/>
        <v/>
      </c>
      <c r="P15" s="15" t="str">
        <f t="shared" si="5"/>
        <v/>
      </c>
    </row>
    <row r="16" spans="2:16" ht="21" customHeight="1" x14ac:dyDescent="0.25">
      <c r="B16" s="13"/>
      <c r="C16" s="6"/>
      <c r="D16" s="6"/>
      <c r="E16" s="6"/>
      <c r="F16" s="6"/>
      <c r="G16" s="6"/>
      <c r="H16" s="6"/>
      <c r="I16" s="6"/>
      <c r="J16" s="6"/>
      <c r="K16" s="11" t="str">
        <f t="shared" si="0"/>
        <v/>
      </c>
      <c r="L16" s="11" t="str">
        <f t="shared" si="1"/>
        <v/>
      </c>
      <c r="M16" s="11" t="str">
        <f t="shared" si="2"/>
        <v/>
      </c>
      <c r="N16" s="11" t="str">
        <f t="shared" si="3"/>
        <v/>
      </c>
      <c r="O16" s="11" t="str">
        <f t="shared" si="4"/>
        <v/>
      </c>
      <c r="P16" s="15" t="str">
        <f t="shared" si="5"/>
        <v/>
      </c>
    </row>
    <row r="17" spans="2:16" ht="21" customHeight="1" x14ac:dyDescent="0.25">
      <c r="B17" s="13"/>
      <c r="C17" s="6"/>
      <c r="D17" s="6"/>
      <c r="E17" s="6"/>
      <c r="F17" s="6"/>
      <c r="G17" s="6"/>
      <c r="H17" s="6"/>
      <c r="I17" s="6"/>
      <c r="J17" s="6"/>
      <c r="K17" s="11" t="str">
        <f t="shared" si="0"/>
        <v/>
      </c>
      <c r="L17" s="11" t="str">
        <f t="shared" si="1"/>
        <v/>
      </c>
      <c r="M17" s="11" t="str">
        <f t="shared" si="2"/>
        <v/>
      </c>
      <c r="N17" s="11" t="str">
        <f t="shared" si="3"/>
        <v/>
      </c>
      <c r="O17" s="11" t="str">
        <f t="shared" si="4"/>
        <v/>
      </c>
      <c r="P17" s="15" t="str">
        <f t="shared" si="5"/>
        <v/>
      </c>
    </row>
    <row r="18" spans="2:16" ht="21" customHeight="1" x14ac:dyDescent="0.25">
      <c r="B18" s="13"/>
      <c r="C18" s="6"/>
      <c r="D18" s="6"/>
      <c r="E18" s="6"/>
      <c r="F18" s="6"/>
      <c r="G18" s="6"/>
      <c r="H18" s="6"/>
      <c r="I18" s="6"/>
      <c r="J18" s="6"/>
      <c r="K18" s="11" t="str">
        <f t="shared" si="0"/>
        <v/>
      </c>
      <c r="L18" s="11" t="str">
        <f t="shared" si="1"/>
        <v/>
      </c>
      <c r="M18" s="11" t="str">
        <f t="shared" si="2"/>
        <v/>
      </c>
      <c r="N18" s="11" t="str">
        <f t="shared" si="3"/>
        <v/>
      </c>
      <c r="O18" s="11" t="str">
        <f t="shared" si="4"/>
        <v/>
      </c>
      <c r="P18" s="15" t="str">
        <f t="shared" si="5"/>
        <v/>
      </c>
    </row>
    <row r="19" spans="2:16" ht="21" customHeight="1" x14ac:dyDescent="0.25">
      <c r="B19" s="13"/>
      <c r="C19" s="6"/>
      <c r="D19" s="6"/>
      <c r="E19" s="6"/>
      <c r="F19" s="6"/>
      <c r="G19" s="6"/>
      <c r="H19" s="6"/>
      <c r="I19" s="6"/>
      <c r="J19" s="6"/>
      <c r="K19" s="11" t="str">
        <f t="shared" si="0"/>
        <v/>
      </c>
      <c r="L19" s="11" t="str">
        <f t="shared" si="1"/>
        <v/>
      </c>
      <c r="M19" s="11" t="str">
        <f t="shared" si="2"/>
        <v/>
      </c>
      <c r="N19" s="11" t="str">
        <f t="shared" si="3"/>
        <v/>
      </c>
      <c r="O19" s="11" t="str">
        <f t="shared" si="4"/>
        <v/>
      </c>
      <c r="P19" s="15" t="str">
        <f t="shared" si="5"/>
        <v/>
      </c>
    </row>
    <row r="20" spans="2:16" ht="21" customHeight="1" x14ac:dyDescent="0.25">
      <c r="B20" s="13"/>
      <c r="C20" s="6"/>
      <c r="D20" s="6"/>
      <c r="E20" s="6"/>
      <c r="F20" s="6"/>
      <c r="G20" s="6"/>
      <c r="H20" s="6"/>
      <c r="I20" s="6"/>
      <c r="J20" s="6"/>
      <c r="K20" s="11" t="str">
        <f t="shared" si="0"/>
        <v/>
      </c>
      <c r="L20" s="11" t="str">
        <f t="shared" si="1"/>
        <v/>
      </c>
      <c r="M20" s="11" t="str">
        <f t="shared" si="2"/>
        <v/>
      </c>
      <c r="N20" s="11" t="str">
        <f t="shared" si="3"/>
        <v/>
      </c>
      <c r="O20" s="11" t="str">
        <f t="shared" si="4"/>
        <v/>
      </c>
      <c r="P20" s="15" t="str">
        <f t="shared" si="5"/>
        <v/>
      </c>
    </row>
    <row r="21" spans="2:16" ht="21" customHeight="1" x14ac:dyDescent="0.25">
      <c r="B21" s="13"/>
      <c r="C21" s="6"/>
      <c r="D21" s="6"/>
      <c r="E21" s="6"/>
      <c r="F21" s="6"/>
      <c r="G21" s="6"/>
      <c r="H21" s="6"/>
      <c r="I21" s="6"/>
      <c r="J21" s="6"/>
      <c r="K21" s="11" t="str">
        <f t="shared" si="0"/>
        <v/>
      </c>
      <c r="L21" s="11" t="str">
        <f t="shared" si="1"/>
        <v/>
      </c>
      <c r="M21" s="11" t="str">
        <f t="shared" si="2"/>
        <v/>
      </c>
      <c r="N21" s="11" t="str">
        <f t="shared" si="3"/>
        <v/>
      </c>
      <c r="O21" s="11" t="str">
        <f t="shared" si="4"/>
        <v/>
      </c>
      <c r="P21" s="15" t="str">
        <f t="shared" si="5"/>
        <v/>
      </c>
    </row>
    <row r="22" spans="2:16" ht="21" customHeight="1" x14ac:dyDescent="0.25">
      <c r="B22" s="13"/>
      <c r="C22" s="6"/>
      <c r="D22" s="6"/>
      <c r="E22" s="6"/>
      <c r="F22" s="6"/>
      <c r="G22" s="6"/>
      <c r="H22" s="6"/>
      <c r="I22" s="6"/>
      <c r="J22" s="6"/>
      <c r="K22" s="11" t="str">
        <f t="shared" si="0"/>
        <v/>
      </c>
      <c r="L22" s="11" t="str">
        <f t="shared" si="1"/>
        <v/>
      </c>
      <c r="M22" s="11" t="str">
        <f t="shared" si="2"/>
        <v/>
      </c>
      <c r="N22" s="11" t="str">
        <f t="shared" si="3"/>
        <v/>
      </c>
      <c r="O22" s="11" t="str">
        <f t="shared" si="4"/>
        <v/>
      </c>
      <c r="P22" s="15" t="str">
        <f t="shared" si="5"/>
        <v/>
      </c>
    </row>
    <row r="23" spans="2:16" ht="21" customHeight="1" x14ac:dyDescent="0.25">
      <c r="B23" s="13"/>
      <c r="C23" s="6"/>
      <c r="D23" s="6"/>
      <c r="E23" s="6"/>
      <c r="F23" s="6"/>
      <c r="G23" s="6"/>
      <c r="H23" s="6"/>
      <c r="I23" s="6"/>
      <c r="J23" s="6"/>
      <c r="K23" s="11" t="str">
        <f t="shared" si="0"/>
        <v/>
      </c>
      <c r="L23" s="11" t="str">
        <f t="shared" si="1"/>
        <v/>
      </c>
      <c r="M23" s="11" t="str">
        <f t="shared" si="2"/>
        <v/>
      </c>
      <c r="N23" s="11" t="str">
        <f t="shared" si="3"/>
        <v/>
      </c>
      <c r="O23" s="11" t="str">
        <f t="shared" si="4"/>
        <v/>
      </c>
      <c r="P23" s="15" t="str">
        <f t="shared" si="5"/>
        <v/>
      </c>
    </row>
    <row r="24" spans="2:16" ht="21" customHeight="1" x14ac:dyDescent="0.25">
      <c r="B24" s="13"/>
      <c r="C24" s="6"/>
      <c r="D24" s="6"/>
      <c r="E24" s="6"/>
      <c r="F24" s="6"/>
      <c r="G24" s="6"/>
      <c r="H24" s="6"/>
      <c r="I24" s="6"/>
      <c r="J24" s="6"/>
      <c r="K24" s="11" t="str">
        <f t="shared" si="0"/>
        <v/>
      </c>
      <c r="L24" s="11" t="str">
        <f t="shared" si="1"/>
        <v/>
      </c>
      <c r="M24" s="11" t="str">
        <f t="shared" si="2"/>
        <v/>
      </c>
      <c r="N24" s="11" t="str">
        <f t="shared" si="3"/>
        <v/>
      </c>
      <c r="O24" s="11" t="str">
        <f t="shared" si="4"/>
        <v/>
      </c>
      <c r="P24" s="15" t="str">
        <f t="shared" si="5"/>
        <v/>
      </c>
    </row>
    <row r="25" spans="2:16" ht="21" customHeight="1" x14ac:dyDescent="0.25">
      <c r="B25" s="13"/>
      <c r="C25" s="6"/>
      <c r="D25" s="6"/>
      <c r="E25" s="6"/>
      <c r="F25" s="6"/>
      <c r="G25" s="6"/>
      <c r="H25" s="6"/>
      <c r="I25" s="6"/>
      <c r="J25" s="6"/>
      <c r="K25" s="11" t="str">
        <f t="shared" si="0"/>
        <v/>
      </c>
      <c r="L25" s="11" t="str">
        <f t="shared" si="1"/>
        <v/>
      </c>
      <c r="M25" s="11" t="str">
        <f t="shared" si="2"/>
        <v/>
      </c>
      <c r="N25" s="11" t="str">
        <f t="shared" si="3"/>
        <v/>
      </c>
      <c r="O25" s="11" t="str">
        <f t="shared" si="4"/>
        <v/>
      </c>
      <c r="P25" s="15" t="str">
        <f t="shared" si="5"/>
        <v/>
      </c>
    </row>
    <row r="26" spans="2:16" ht="21" customHeight="1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2:16" ht="21" customHeight="1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2:16" ht="21" customHeight="1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2:16" ht="21" customHeight="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2:16" ht="21" customHeight="1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2:16" ht="21" customHeight="1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2:16" ht="21" customHeight="1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2:16" ht="21" customHeight="1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2:16" ht="21" customHeight="1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2:16" ht="21" customHeight="1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2:16" ht="21" customHeight="1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2:16" ht="21" customHeight="1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2:16" ht="21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2:16" ht="21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2:16" ht="21" customHeigh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2:16" ht="21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2:16" ht="21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2:16" ht="21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2:16" ht="21" customHeight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2:16" ht="21" customHeight="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2:16" ht="21" customHeight="1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2:16" ht="21" customHeight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2:16" ht="21" customHeight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</sheetData>
  <conditionalFormatting sqref="D5">
    <cfRule type="expression" dxfId="12" priority="1">
      <formula>AND(D5&lt;&gt;"",D5&lt;&gt;"Ready")</formula>
    </cfRule>
  </conditionalFormatting>
  <conditionalFormatting sqref="P14:P25">
    <cfRule type="expression" dxfId="11" priority="2">
      <formula>AND(P14&lt;&gt;"",P14&lt;&gt;"Ready")</formula>
    </cfRule>
  </conditionalFormatting>
  <hyperlinks>
    <hyperlink ref="B1" location="'Read me'!B2" display="Contents" xr:uid="{DDAE00C7-7FCE-4461-A2A3-9B4C03F421C3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66023C"/>
  </sheetPr>
  <dimension ref="B1:T48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C14" sqref="C14"/>
    </sheetView>
  </sheetViews>
  <sheetFormatPr defaultRowHeight="15" x14ac:dyDescent="0.25"/>
  <cols>
    <col min="2" max="2" width="30" customWidth="1"/>
    <col min="3" max="20" width="15" customWidth="1"/>
  </cols>
  <sheetData>
    <row r="1" spans="2:20" x14ac:dyDescent="0.25">
      <c r="B1" s="24" t="s">
        <v>53</v>
      </c>
    </row>
    <row r="2" spans="2:20" ht="21" customHeight="1" x14ac:dyDescent="0.25">
      <c r="B2" s="3" t="s">
        <v>40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21" customHeight="1" x14ac:dyDescent="0.25"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2:20" ht="2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2:20" ht="21" customHeight="1" x14ac:dyDescent="0.25">
      <c r="B5" s="10" t="s">
        <v>67</v>
      </c>
      <c r="C5" s="10"/>
      <c r="D5" s="14" t="str">
        <f>IF(AND(COUNTA(B14:B23)&gt;0,COUNTIF(T14:T23,"Ready")=COUNTA(B14:B23),COUNTIF(T14:T23,"Missing name")=0),"Ready","Check rows")</f>
        <v>Ready</v>
      </c>
      <c r="E5" s="1"/>
      <c r="F5" s="2" t="s">
        <v>434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2:20" ht="21" customHeight="1" x14ac:dyDescent="0.25">
      <c r="B6" s="10" t="s">
        <v>435</v>
      </c>
      <c r="C6" s="10"/>
      <c r="D6" s="12">
        <f>IF(D5="Ready",SUM(Q14:Q23),NA())</f>
        <v>21000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2:20" ht="21" customHeight="1" x14ac:dyDescent="0.25">
      <c r="B7" s="10" t="s">
        <v>436</v>
      </c>
      <c r="C7" s="10"/>
      <c r="D7" s="12">
        <f>IF(D5="Ready",SUM(R14:R23),NA())</f>
        <v>17000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2:20" ht="21" customHeight="1" x14ac:dyDescent="0.25">
      <c r="B8" s="10" t="s">
        <v>400</v>
      </c>
      <c r="C8" s="10"/>
      <c r="D8" s="12">
        <f>IF(D5="Ready",SUM(S14:S23),NA())</f>
        <v>21300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2:20" ht="21" customHeight="1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2:20" ht="21" customHeight="1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2:20" ht="21" customHeight="1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2:20" ht="21" customHeight="1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2:20" ht="56.1" customHeight="1" x14ac:dyDescent="0.25">
      <c r="B13" s="5" t="s">
        <v>437</v>
      </c>
      <c r="C13" s="5" t="s">
        <v>438</v>
      </c>
      <c r="D13" s="5" t="s">
        <v>439</v>
      </c>
      <c r="E13" s="5" t="s">
        <v>440</v>
      </c>
      <c r="F13" s="5" t="s">
        <v>441</v>
      </c>
      <c r="G13" s="5" t="s">
        <v>442</v>
      </c>
      <c r="H13" s="5" t="s">
        <v>443</v>
      </c>
      <c r="I13" s="5" t="s">
        <v>444</v>
      </c>
      <c r="J13" s="5" t="s">
        <v>445</v>
      </c>
      <c r="K13" s="5" t="s">
        <v>446</v>
      </c>
      <c r="L13" s="5" t="s">
        <v>85</v>
      </c>
      <c r="M13" s="5" t="s">
        <v>447</v>
      </c>
      <c r="N13" s="5" t="s">
        <v>448</v>
      </c>
      <c r="O13" s="5" t="s">
        <v>449</v>
      </c>
      <c r="P13" s="5" t="s">
        <v>450</v>
      </c>
      <c r="Q13" s="5" t="s">
        <v>451</v>
      </c>
      <c r="R13" s="5" t="s">
        <v>452</v>
      </c>
      <c r="S13" s="5" t="s">
        <v>453</v>
      </c>
      <c r="T13" s="5" t="s">
        <v>67</v>
      </c>
    </row>
    <row r="14" spans="2:20" ht="21" customHeight="1" x14ac:dyDescent="0.25">
      <c r="B14" s="13" t="s">
        <v>412</v>
      </c>
      <c r="C14" s="6">
        <v>80</v>
      </c>
      <c r="D14" s="6">
        <v>50</v>
      </c>
      <c r="E14" s="7">
        <v>0.17499999999999999</v>
      </c>
      <c r="F14" s="6">
        <v>40</v>
      </c>
      <c r="G14" s="6">
        <v>50</v>
      </c>
      <c r="H14" s="6">
        <v>2</v>
      </c>
      <c r="I14" s="6">
        <v>1900</v>
      </c>
      <c r="J14" s="6">
        <v>10000</v>
      </c>
      <c r="K14" s="6">
        <v>500</v>
      </c>
      <c r="L14" s="6">
        <v>4000</v>
      </c>
      <c r="M14" s="6">
        <v>300</v>
      </c>
      <c r="N14" s="11">
        <f t="shared" ref="N14:N23" si="0">IF(B14="","",IF(T14="Ready",C14*D14*(1+E14),NA()))</f>
        <v>4700</v>
      </c>
      <c r="O14" s="11">
        <f t="shared" ref="O14:O23" si="1">IF(B14="","",IF(T14="Ready",F14*G14,NA()))</f>
        <v>2000</v>
      </c>
      <c r="P14" s="11">
        <f t="shared" ref="P14:P23" si="2">IF(B14="","",IF(T14="Ready",H14*I14,NA()))</f>
        <v>3800</v>
      </c>
      <c r="Q14" s="11">
        <f t="shared" ref="Q14:Q23" si="3">IF(B14="","",IF(T14="Ready",SUM(N14:P14,J14:K14),NA()))</f>
        <v>21000</v>
      </c>
      <c r="R14" s="11">
        <f t="shared" ref="R14:R23" si="4">IF(B14="","",IF(T14="Ready",Q14-L14,NA()))</f>
        <v>17000</v>
      </c>
      <c r="S14" s="11">
        <f t="shared" ref="S14:S23" si="5">IF(B14="","",IF(T14="Ready",Q14+M14,NA()))</f>
        <v>21300</v>
      </c>
      <c r="T14" s="15" t="str">
        <f t="shared" ref="T14:T23" si="6">IF(B14="",IF(COUNTA(C14:M14)=0,"","Missing name"),IF(COUNT(C14:M14)&lt;&gt;11,"Check inputs",IF(AND(MIN(C14:M14)&gt;=0,L14&lt;=C14*D14*(1+E14)+F14*G14+H14*I14+J14+K14,SUMPRODUCT(--($B$14:$B$23=B14))=1),"Ready","Check inputs")))</f>
        <v>Ready</v>
      </c>
    </row>
    <row r="15" spans="2:20" ht="21" customHeight="1" x14ac:dyDescent="0.25">
      <c r="B15" s="13"/>
      <c r="C15" s="6"/>
      <c r="D15" s="6"/>
      <c r="E15" s="7"/>
      <c r="F15" s="6"/>
      <c r="G15" s="6"/>
      <c r="H15" s="6"/>
      <c r="I15" s="6"/>
      <c r="J15" s="6"/>
      <c r="K15" s="6"/>
      <c r="L15" s="6"/>
      <c r="M15" s="6"/>
      <c r="N15" s="11" t="str">
        <f t="shared" si="0"/>
        <v/>
      </c>
      <c r="O15" s="11" t="str">
        <f t="shared" si="1"/>
        <v/>
      </c>
      <c r="P15" s="11" t="str">
        <f t="shared" si="2"/>
        <v/>
      </c>
      <c r="Q15" s="11" t="str">
        <f t="shared" si="3"/>
        <v/>
      </c>
      <c r="R15" s="11" t="str">
        <f t="shared" si="4"/>
        <v/>
      </c>
      <c r="S15" s="11" t="str">
        <f t="shared" si="5"/>
        <v/>
      </c>
      <c r="T15" s="15" t="str">
        <f t="shared" si="6"/>
        <v/>
      </c>
    </row>
    <row r="16" spans="2:20" ht="21" customHeight="1" x14ac:dyDescent="0.25">
      <c r="B16" s="13"/>
      <c r="C16" s="6"/>
      <c r="D16" s="6"/>
      <c r="E16" s="7"/>
      <c r="F16" s="6"/>
      <c r="G16" s="6"/>
      <c r="H16" s="6"/>
      <c r="I16" s="6"/>
      <c r="J16" s="6"/>
      <c r="K16" s="6"/>
      <c r="L16" s="6"/>
      <c r="M16" s="6"/>
      <c r="N16" s="11" t="str">
        <f t="shared" si="0"/>
        <v/>
      </c>
      <c r="O16" s="11" t="str">
        <f t="shared" si="1"/>
        <v/>
      </c>
      <c r="P16" s="11" t="str">
        <f t="shared" si="2"/>
        <v/>
      </c>
      <c r="Q16" s="11" t="str">
        <f t="shared" si="3"/>
        <v/>
      </c>
      <c r="R16" s="11" t="str">
        <f t="shared" si="4"/>
        <v/>
      </c>
      <c r="S16" s="11" t="str">
        <f t="shared" si="5"/>
        <v/>
      </c>
      <c r="T16" s="15" t="str">
        <f t="shared" si="6"/>
        <v/>
      </c>
    </row>
    <row r="17" spans="2:20" ht="21" customHeight="1" x14ac:dyDescent="0.25">
      <c r="B17" s="13"/>
      <c r="C17" s="6"/>
      <c r="D17" s="6"/>
      <c r="E17" s="7"/>
      <c r="F17" s="6"/>
      <c r="G17" s="6"/>
      <c r="H17" s="6"/>
      <c r="I17" s="6"/>
      <c r="J17" s="6"/>
      <c r="K17" s="6"/>
      <c r="L17" s="6"/>
      <c r="M17" s="6"/>
      <c r="N17" s="11" t="str">
        <f t="shared" si="0"/>
        <v/>
      </c>
      <c r="O17" s="11" t="str">
        <f t="shared" si="1"/>
        <v/>
      </c>
      <c r="P17" s="11" t="str">
        <f t="shared" si="2"/>
        <v/>
      </c>
      <c r="Q17" s="11" t="str">
        <f t="shared" si="3"/>
        <v/>
      </c>
      <c r="R17" s="11" t="str">
        <f t="shared" si="4"/>
        <v/>
      </c>
      <c r="S17" s="11" t="str">
        <f t="shared" si="5"/>
        <v/>
      </c>
      <c r="T17" s="15" t="str">
        <f t="shared" si="6"/>
        <v/>
      </c>
    </row>
    <row r="18" spans="2:20" ht="21" customHeight="1" x14ac:dyDescent="0.25">
      <c r="B18" s="13"/>
      <c r="C18" s="6"/>
      <c r="D18" s="6"/>
      <c r="E18" s="7"/>
      <c r="F18" s="6"/>
      <c r="G18" s="6"/>
      <c r="H18" s="6"/>
      <c r="I18" s="6"/>
      <c r="J18" s="6"/>
      <c r="K18" s="6"/>
      <c r="L18" s="6"/>
      <c r="M18" s="6"/>
      <c r="N18" s="11" t="str">
        <f t="shared" si="0"/>
        <v/>
      </c>
      <c r="O18" s="11" t="str">
        <f t="shared" si="1"/>
        <v/>
      </c>
      <c r="P18" s="11" t="str">
        <f t="shared" si="2"/>
        <v/>
      </c>
      <c r="Q18" s="11" t="str">
        <f t="shared" si="3"/>
        <v/>
      </c>
      <c r="R18" s="11" t="str">
        <f t="shared" si="4"/>
        <v/>
      </c>
      <c r="S18" s="11" t="str">
        <f t="shared" si="5"/>
        <v/>
      </c>
      <c r="T18" s="15" t="str">
        <f t="shared" si="6"/>
        <v/>
      </c>
    </row>
    <row r="19" spans="2:20" ht="21" customHeight="1" x14ac:dyDescent="0.25">
      <c r="B19" s="13"/>
      <c r="C19" s="6"/>
      <c r="D19" s="6"/>
      <c r="E19" s="7"/>
      <c r="F19" s="6"/>
      <c r="G19" s="6"/>
      <c r="H19" s="6"/>
      <c r="I19" s="6"/>
      <c r="J19" s="6"/>
      <c r="K19" s="6"/>
      <c r="L19" s="6"/>
      <c r="M19" s="6"/>
      <c r="N19" s="11" t="str">
        <f t="shared" si="0"/>
        <v/>
      </c>
      <c r="O19" s="11" t="str">
        <f t="shared" si="1"/>
        <v/>
      </c>
      <c r="P19" s="11" t="str">
        <f t="shared" si="2"/>
        <v/>
      </c>
      <c r="Q19" s="11" t="str">
        <f t="shared" si="3"/>
        <v/>
      </c>
      <c r="R19" s="11" t="str">
        <f t="shared" si="4"/>
        <v/>
      </c>
      <c r="S19" s="11" t="str">
        <f t="shared" si="5"/>
        <v/>
      </c>
      <c r="T19" s="15" t="str">
        <f t="shared" si="6"/>
        <v/>
      </c>
    </row>
    <row r="20" spans="2:20" ht="21" customHeight="1" x14ac:dyDescent="0.25">
      <c r="B20" s="13"/>
      <c r="C20" s="6"/>
      <c r="D20" s="6"/>
      <c r="E20" s="7"/>
      <c r="F20" s="6"/>
      <c r="G20" s="6"/>
      <c r="H20" s="6"/>
      <c r="I20" s="6"/>
      <c r="J20" s="6"/>
      <c r="K20" s="6"/>
      <c r="L20" s="6"/>
      <c r="M20" s="6"/>
      <c r="N20" s="11" t="str">
        <f t="shared" si="0"/>
        <v/>
      </c>
      <c r="O20" s="11" t="str">
        <f t="shared" si="1"/>
        <v/>
      </c>
      <c r="P20" s="11" t="str">
        <f t="shared" si="2"/>
        <v/>
      </c>
      <c r="Q20" s="11" t="str">
        <f t="shared" si="3"/>
        <v/>
      </c>
      <c r="R20" s="11" t="str">
        <f t="shared" si="4"/>
        <v/>
      </c>
      <c r="S20" s="11" t="str">
        <f t="shared" si="5"/>
        <v/>
      </c>
      <c r="T20" s="15" t="str">
        <f t="shared" si="6"/>
        <v/>
      </c>
    </row>
    <row r="21" spans="2:20" ht="21" customHeight="1" x14ac:dyDescent="0.25">
      <c r="B21" s="13"/>
      <c r="C21" s="6"/>
      <c r="D21" s="6"/>
      <c r="E21" s="7"/>
      <c r="F21" s="6"/>
      <c r="G21" s="6"/>
      <c r="H21" s="6"/>
      <c r="I21" s="6"/>
      <c r="J21" s="6"/>
      <c r="K21" s="6"/>
      <c r="L21" s="6"/>
      <c r="M21" s="6"/>
      <c r="N21" s="11" t="str">
        <f t="shared" si="0"/>
        <v/>
      </c>
      <c r="O21" s="11" t="str">
        <f t="shared" si="1"/>
        <v/>
      </c>
      <c r="P21" s="11" t="str">
        <f t="shared" si="2"/>
        <v/>
      </c>
      <c r="Q21" s="11" t="str">
        <f t="shared" si="3"/>
        <v/>
      </c>
      <c r="R21" s="11" t="str">
        <f t="shared" si="4"/>
        <v/>
      </c>
      <c r="S21" s="11" t="str">
        <f t="shared" si="5"/>
        <v/>
      </c>
      <c r="T21" s="15" t="str">
        <f t="shared" si="6"/>
        <v/>
      </c>
    </row>
    <row r="22" spans="2:20" ht="21" customHeight="1" x14ac:dyDescent="0.25">
      <c r="B22" s="13"/>
      <c r="C22" s="6"/>
      <c r="D22" s="6"/>
      <c r="E22" s="7"/>
      <c r="F22" s="6"/>
      <c r="G22" s="6"/>
      <c r="H22" s="6"/>
      <c r="I22" s="6"/>
      <c r="J22" s="6"/>
      <c r="K22" s="6"/>
      <c r="L22" s="6"/>
      <c r="M22" s="6"/>
      <c r="N22" s="11" t="str">
        <f t="shared" si="0"/>
        <v/>
      </c>
      <c r="O22" s="11" t="str">
        <f t="shared" si="1"/>
        <v/>
      </c>
      <c r="P22" s="11" t="str">
        <f t="shared" si="2"/>
        <v/>
      </c>
      <c r="Q22" s="11" t="str">
        <f t="shared" si="3"/>
        <v/>
      </c>
      <c r="R22" s="11" t="str">
        <f t="shared" si="4"/>
        <v/>
      </c>
      <c r="S22" s="11" t="str">
        <f t="shared" si="5"/>
        <v/>
      </c>
      <c r="T22" s="15" t="str">
        <f t="shared" si="6"/>
        <v/>
      </c>
    </row>
    <row r="23" spans="2:20" ht="21" customHeight="1" x14ac:dyDescent="0.25">
      <c r="B23" s="13"/>
      <c r="C23" s="6"/>
      <c r="D23" s="6"/>
      <c r="E23" s="7"/>
      <c r="F23" s="6"/>
      <c r="G23" s="6"/>
      <c r="H23" s="6"/>
      <c r="I23" s="6"/>
      <c r="J23" s="6"/>
      <c r="K23" s="6"/>
      <c r="L23" s="6"/>
      <c r="M23" s="6"/>
      <c r="N23" s="11" t="str">
        <f t="shared" si="0"/>
        <v/>
      </c>
      <c r="O23" s="11" t="str">
        <f t="shared" si="1"/>
        <v/>
      </c>
      <c r="P23" s="11" t="str">
        <f t="shared" si="2"/>
        <v/>
      </c>
      <c r="Q23" s="11" t="str">
        <f t="shared" si="3"/>
        <v/>
      </c>
      <c r="R23" s="11" t="str">
        <f t="shared" si="4"/>
        <v/>
      </c>
      <c r="S23" s="11" t="str">
        <f t="shared" si="5"/>
        <v/>
      </c>
      <c r="T23" s="15" t="str">
        <f t="shared" si="6"/>
        <v/>
      </c>
    </row>
    <row r="24" spans="2:20" ht="21" customHeight="1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2:20" ht="21" customHeight="1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2:20" ht="21" customHeight="1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2:20" ht="21" customHeight="1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2:20" ht="21" customHeight="1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2:20" ht="21" customHeight="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2:20" ht="21" customHeight="1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2:20" ht="21" customHeight="1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2:20" ht="21" customHeight="1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2:20" ht="21" customHeight="1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2:20" ht="21" customHeight="1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2:20" ht="21" customHeight="1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2:20" ht="21" customHeight="1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2:20" ht="21" customHeight="1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2:20" ht="21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2:20" ht="21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2:20" ht="21" customHeigh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2:20" ht="21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2:20" ht="21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2:20" ht="21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2:20" ht="21" customHeight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2:20" ht="21" customHeight="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2:20" ht="21" customHeight="1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2:20" ht="21" customHeight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2:20" ht="21" customHeight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</sheetData>
  <conditionalFormatting sqref="D5">
    <cfRule type="expression" dxfId="10" priority="1">
      <formula>AND(D5&lt;&gt;"",D5&lt;&gt;"Ready")</formula>
    </cfRule>
  </conditionalFormatting>
  <conditionalFormatting sqref="T14:T23">
    <cfRule type="expression" dxfId="9" priority="2">
      <formula>AND(T14&lt;&gt;"",T14&lt;&gt;"Ready")</formula>
    </cfRule>
  </conditionalFormatting>
  <hyperlinks>
    <hyperlink ref="B1" location="'Read me'!B2" display="Contents" xr:uid="{0FB92FCC-0DCB-49E8-93BD-0271002F2879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66023C"/>
  </sheetPr>
  <dimension ref="B1:N48"/>
  <sheetViews>
    <sheetView showGridLines="0" workbookViewId="0"/>
  </sheetViews>
  <sheetFormatPr defaultRowHeight="15" x14ac:dyDescent="0.25"/>
  <cols>
    <col min="2" max="2" width="30" customWidth="1"/>
    <col min="3" max="14" width="15" customWidth="1"/>
  </cols>
  <sheetData>
    <row r="1" spans="2:14" x14ac:dyDescent="0.25">
      <c r="B1" s="24" t="s">
        <v>53</v>
      </c>
    </row>
    <row r="2" spans="2:14" ht="21" customHeight="1" x14ac:dyDescent="0.25">
      <c r="B2" s="3" t="s">
        <v>42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21" customHeight="1" x14ac:dyDescent="0.25"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 ht="2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21" customHeight="1" x14ac:dyDescent="0.25">
      <c r="B5" s="10" t="s">
        <v>67</v>
      </c>
      <c r="C5" s="10"/>
      <c r="D5" s="14" t="str">
        <f>IF(AND(COUNTA(B14:B25)&gt;0,COUNTIF(L14:L25,"Ready")=COUNTA(B14:B25),COUNTIF(L14:L25,"Missing name")=0),"Ready","Check rows")</f>
        <v>Ready</v>
      </c>
      <c r="E5" s="1"/>
      <c r="F5" s="2" t="s">
        <v>454</v>
      </c>
      <c r="G5" s="1"/>
      <c r="H5" s="1"/>
      <c r="I5" s="1"/>
      <c r="J5" s="1"/>
      <c r="K5" s="1"/>
      <c r="L5" s="1"/>
      <c r="M5" s="1"/>
      <c r="N5" s="1"/>
    </row>
    <row r="6" spans="2:14" ht="21" customHeight="1" x14ac:dyDescent="0.25">
      <c r="B6" s="10" t="s">
        <v>455</v>
      </c>
      <c r="C6" s="10"/>
      <c r="D6" s="12">
        <f>IF(D5="Ready",SUM(J14:J25),NA())</f>
        <v>4500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2:14" ht="21" customHeight="1" x14ac:dyDescent="0.25">
      <c r="B7" s="10" t="s">
        <v>456</v>
      </c>
      <c r="C7" s="10"/>
      <c r="D7" s="12">
        <f>IF(D5="Ready",SUM(K14:K25),NA())</f>
        <v>0</v>
      </c>
      <c r="E7" s="1"/>
      <c r="F7" s="2" t="s">
        <v>457</v>
      </c>
      <c r="G7" s="1"/>
      <c r="H7" s="1"/>
      <c r="I7" s="1"/>
      <c r="J7" s="1"/>
      <c r="K7" s="1"/>
      <c r="L7" s="1"/>
      <c r="M7" s="1"/>
      <c r="N7" s="1"/>
    </row>
    <row r="8" spans="2:14" ht="21" customHeight="1" x14ac:dyDescent="0.25">
      <c r="B8" s="10" t="s">
        <v>458</v>
      </c>
      <c r="C8" s="10"/>
      <c r="D8" s="12">
        <f>IF(D5="Ready",SUM(I14:I25),NA())</f>
        <v>4500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2:14" ht="21" customHeight="1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 ht="21" customHeight="1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ht="21" customHeight="1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2:14" ht="21" customHeight="1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2:14" ht="56.1" customHeight="1" x14ac:dyDescent="0.25">
      <c r="B13" s="5" t="s">
        <v>459</v>
      </c>
      <c r="C13" s="5" t="s">
        <v>460</v>
      </c>
      <c r="D13" s="5" t="s">
        <v>461</v>
      </c>
      <c r="E13" s="5" t="s">
        <v>462</v>
      </c>
      <c r="F13" s="5" t="s">
        <v>463</v>
      </c>
      <c r="G13" s="5" t="s">
        <v>464</v>
      </c>
      <c r="H13" s="5" t="s">
        <v>465</v>
      </c>
      <c r="I13" s="5" t="s">
        <v>466</v>
      </c>
      <c r="J13" s="5" t="s">
        <v>467</v>
      </c>
      <c r="K13" s="5" t="s">
        <v>468</v>
      </c>
      <c r="L13" s="5" t="s">
        <v>67</v>
      </c>
      <c r="M13" s="1"/>
      <c r="N13" s="1"/>
    </row>
    <row r="14" spans="2:14" ht="21" customHeight="1" x14ac:dyDescent="0.25">
      <c r="B14" s="13" t="s">
        <v>469</v>
      </c>
      <c r="C14" s="6">
        <v>1000</v>
      </c>
      <c r="D14" s="6">
        <v>25000</v>
      </c>
      <c r="E14" s="6">
        <v>-500</v>
      </c>
      <c r="F14" s="6">
        <v>20000</v>
      </c>
      <c r="G14" s="6">
        <v>0</v>
      </c>
      <c r="H14" s="6">
        <v>1000</v>
      </c>
      <c r="I14" s="11">
        <f t="shared" ref="I14:I25" si="0">IF(B14="","",IF(L14="Ready",SUM(C14:E14)-F14+G14-H14,NA()))</f>
        <v>4500</v>
      </c>
      <c r="J14" s="11">
        <f t="shared" ref="J14:J25" si="1">IF(B14="","",IF(L14="Ready",MAX(0,I14),NA()))</f>
        <v>4500</v>
      </c>
      <c r="K14" s="11">
        <f t="shared" ref="K14:K25" si="2">IF(B14="","",IF(L14="Ready",MAX(0,-I14),NA()))</f>
        <v>0</v>
      </c>
      <c r="L14" s="15" t="str">
        <f t="shared" ref="L14:L25" si="3">IF(B14="",IF(COUNTA(C14:H14)=0,"","Missing name"),IF(COUNT(C14:H14)&lt;&gt;6,"Check inputs",IF(AND(MIN(F14:H14)&gt;=0,SUMPRODUCT(--($B$14:$B$25=B14))=1),"Ready","Check inputs")))</f>
        <v>Ready</v>
      </c>
      <c r="M14" s="1"/>
      <c r="N14" s="1"/>
    </row>
    <row r="15" spans="2:14" ht="21" customHeight="1" x14ac:dyDescent="0.25">
      <c r="B15" s="13"/>
      <c r="C15" s="6"/>
      <c r="D15" s="6"/>
      <c r="E15" s="6"/>
      <c r="F15" s="6"/>
      <c r="G15" s="6"/>
      <c r="H15" s="6"/>
      <c r="I15" s="11" t="str">
        <f t="shared" si="0"/>
        <v/>
      </c>
      <c r="J15" s="11" t="str">
        <f t="shared" si="1"/>
        <v/>
      </c>
      <c r="K15" s="11" t="str">
        <f t="shared" si="2"/>
        <v/>
      </c>
      <c r="L15" s="15" t="str">
        <f t="shared" si="3"/>
        <v/>
      </c>
      <c r="M15" s="1"/>
      <c r="N15" s="1"/>
    </row>
    <row r="16" spans="2:14" ht="21" customHeight="1" x14ac:dyDescent="0.25">
      <c r="B16" s="13"/>
      <c r="C16" s="6"/>
      <c r="D16" s="6"/>
      <c r="E16" s="6"/>
      <c r="F16" s="6"/>
      <c r="G16" s="6"/>
      <c r="H16" s="6"/>
      <c r="I16" s="11" t="str">
        <f t="shared" si="0"/>
        <v/>
      </c>
      <c r="J16" s="11" t="str">
        <f t="shared" si="1"/>
        <v/>
      </c>
      <c r="K16" s="11" t="str">
        <f t="shared" si="2"/>
        <v/>
      </c>
      <c r="L16" s="15" t="str">
        <f t="shared" si="3"/>
        <v/>
      </c>
      <c r="M16" s="1"/>
      <c r="N16" s="1"/>
    </row>
    <row r="17" spans="2:14" ht="21" customHeight="1" x14ac:dyDescent="0.25">
      <c r="B17" s="13"/>
      <c r="C17" s="6"/>
      <c r="D17" s="6"/>
      <c r="E17" s="6"/>
      <c r="F17" s="6"/>
      <c r="G17" s="6"/>
      <c r="H17" s="6"/>
      <c r="I17" s="11" t="str">
        <f t="shared" si="0"/>
        <v/>
      </c>
      <c r="J17" s="11" t="str">
        <f t="shared" si="1"/>
        <v/>
      </c>
      <c r="K17" s="11" t="str">
        <f t="shared" si="2"/>
        <v/>
      </c>
      <c r="L17" s="15" t="str">
        <f t="shared" si="3"/>
        <v/>
      </c>
      <c r="M17" s="1"/>
      <c r="N17" s="1"/>
    </row>
    <row r="18" spans="2:14" ht="21" customHeight="1" x14ac:dyDescent="0.25">
      <c r="B18" s="13"/>
      <c r="C18" s="6"/>
      <c r="D18" s="6"/>
      <c r="E18" s="6"/>
      <c r="F18" s="6"/>
      <c r="G18" s="6"/>
      <c r="H18" s="6"/>
      <c r="I18" s="11" t="str">
        <f t="shared" si="0"/>
        <v/>
      </c>
      <c r="J18" s="11" t="str">
        <f t="shared" si="1"/>
        <v/>
      </c>
      <c r="K18" s="11" t="str">
        <f t="shared" si="2"/>
        <v/>
      </c>
      <c r="L18" s="15" t="str">
        <f t="shared" si="3"/>
        <v/>
      </c>
      <c r="M18" s="1"/>
      <c r="N18" s="1"/>
    </row>
    <row r="19" spans="2:14" ht="21" customHeight="1" x14ac:dyDescent="0.25">
      <c r="B19" s="13"/>
      <c r="C19" s="6"/>
      <c r="D19" s="6"/>
      <c r="E19" s="6"/>
      <c r="F19" s="6"/>
      <c r="G19" s="6"/>
      <c r="H19" s="6"/>
      <c r="I19" s="11" t="str">
        <f t="shared" si="0"/>
        <v/>
      </c>
      <c r="J19" s="11" t="str">
        <f t="shared" si="1"/>
        <v/>
      </c>
      <c r="K19" s="11" t="str">
        <f t="shared" si="2"/>
        <v/>
      </c>
      <c r="L19" s="15" t="str">
        <f t="shared" si="3"/>
        <v/>
      </c>
      <c r="M19" s="1"/>
      <c r="N19" s="1"/>
    </row>
    <row r="20" spans="2:14" ht="21" customHeight="1" x14ac:dyDescent="0.25">
      <c r="B20" s="13"/>
      <c r="C20" s="6"/>
      <c r="D20" s="6"/>
      <c r="E20" s="6"/>
      <c r="F20" s="6"/>
      <c r="G20" s="6"/>
      <c r="H20" s="6"/>
      <c r="I20" s="11" t="str">
        <f t="shared" si="0"/>
        <v/>
      </c>
      <c r="J20" s="11" t="str">
        <f t="shared" si="1"/>
        <v/>
      </c>
      <c r="K20" s="11" t="str">
        <f t="shared" si="2"/>
        <v/>
      </c>
      <c r="L20" s="15" t="str">
        <f t="shared" si="3"/>
        <v/>
      </c>
      <c r="M20" s="1"/>
      <c r="N20" s="1"/>
    </row>
    <row r="21" spans="2:14" ht="21" customHeight="1" x14ac:dyDescent="0.25">
      <c r="B21" s="13"/>
      <c r="C21" s="6"/>
      <c r="D21" s="6"/>
      <c r="E21" s="6"/>
      <c r="F21" s="6"/>
      <c r="G21" s="6"/>
      <c r="H21" s="6"/>
      <c r="I21" s="11" t="str">
        <f t="shared" si="0"/>
        <v/>
      </c>
      <c r="J21" s="11" t="str">
        <f t="shared" si="1"/>
        <v/>
      </c>
      <c r="K21" s="11" t="str">
        <f t="shared" si="2"/>
        <v/>
      </c>
      <c r="L21" s="15" t="str">
        <f t="shared" si="3"/>
        <v/>
      </c>
      <c r="M21" s="1"/>
      <c r="N21" s="1"/>
    </row>
    <row r="22" spans="2:14" ht="21" customHeight="1" x14ac:dyDescent="0.25">
      <c r="B22" s="13"/>
      <c r="C22" s="6"/>
      <c r="D22" s="6"/>
      <c r="E22" s="6"/>
      <c r="F22" s="6"/>
      <c r="G22" s="6"/>
      <c r="H22" s="6"/>
      <c r="I22" s="11" t="str">
        <f t="shared" si="0"/>
        <v/>
      </c>
      <c r="J22" s="11" t="str">
        <f t="shared" si="1"/>
        <v/>
      </c>
      <c r="K22" s="11" t="str">
        <f t="shared" si="2"/>
        <v/>
      </c>
      <c r="L22" s="15" t="str">
        <f t="shared" si="3"/>
        <v/>
      </c>
      <c r="M22" s="1"/>
      <c r="N22" s="1"/>
    </row>
    <row r="23" spans="2:14" ht="21" customHeight="1" x14ac:dyDescent="0.25">
      <c r="B23" s="13"/>
      <c r="C23" s="6"/>
      <c r="D23" s="6"/>
      <c r="E23" s="6"/>
      <c r="F23" s="6"/>
      <c r="G23" s="6"/>
      <c r="H23" s="6"/>
      <c r="I23" s="11" t="str">
        <f t="shared" si="0"/>
        <v/>
      </c>
      <c r="J23" s="11" t="str">
        <f t="shared" si="1"/>
        <v/>
      </c>
      <c r="K23" s="11" t="str">
        <f t="shared" si="2"/>
        <v/>
      </c>
      <c r="L23" s="15" t="str">
        <f t="shared" si="3"/>
        <v/>
      </c>
      <c r="M23" s="1"/>
      <c r="N23" s="1"/>
    </row>
    <row r="24" spans="2:14" ht="21" customHeight="1" x14ac:dyDescent="0.25">
      <c r="B24" s="13"/>
      <c r="C24" s="6"/>
      <c r="D24" s="6"/>
      <c r="E24" s="6"/>
      <c r="F24" s="6"/>
      <c r="G24" s="6"/>
      <c r="H24" s="6"/>
      <c r="I24" s="11" t="str">
        <f t="shared" si="0"/>
        <v/>
      </c>
      <c r="J24" s="11" t="str">
        <f t="shared" si="1"/>
        <v/>
      </c>
      <c r="K24" s="11" t="str">
        <f t="shared" si="2"/>
        <v/>
      </c>
      <c r="L24" s="15" t="str">
        <f t="shared" si="3"/>
        <v/>
      </c>
      <c r="M24" s="1"/>
      <c r="N24" s="1"/>
    </row>
    <row r="25" spans="2:14" ht="21" customHeight="1" x14ac:dyDescent="0.25">
      <c r="B25" s="13"/>
      <c r="C25" s="6"/>
      <c r="D25" s="6"/>
      <c r="E25" s="6"/>
      <c r="F25" s="6"/>
      <c r="G25" s="6"/>
      <c r="H25" s="6"/>
      <c r="I25" s="11" t="str">
        <f t="shared" si="0"/>
        <v/>
      </c>
      <c r="J25" s="11" t="str">
        <f t="shared" si="1"/>
        <v/>
      </c>
      <c r="K25" s="11" t="str">
        <f t="shared" si="2"/>
        <v/>
      </c>
      <c r="L25" s="15" t="str">
        <f t="shared" si="3"/>
        <v/>
      </c>
      <c r="M25" s="1"/>
      <c r="N25" s="1"/>
    </row>
    <row r="26" spans="2:14" ht="21" customHeight="1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2:14" ht="21" customHeight="1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2:14" ht="21" customHeight="1" x14ac:dyDescent="0.25">
      <c r="B28" s="2" t="s">
        <v>470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ht="21" customHeight="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2:14" ht="21" customHeight="1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2:14" ht="21" customHeight="1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2:14" ht="21" customHeight="1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ht="21" customHeight="1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 ht="21" customHeight="1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ht="21" customHeight="1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2:14" ht="21" customHeight="1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2:14" ht="21" customHeight="1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4" ht="21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2:14" ht="21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 ht="21" customHeigh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 ht="21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2:14" ht="21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2:14" ht="21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2:14" ht="21" customHeight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2:14" ht="21" customHeight="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2:14" ht="21" customHeight="1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2:14" ht="21" customHeight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2:14" ht="21" customHeight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</sheetData>
  <conditionalFormatting sqref="D5">
    <cfRule type="expression" dxfId="8" priority="1">
      <formula>AND(D5&lt;&gt;"",D5&lt;&gt;"Ready")</formula>
    </cfRule>
  </conditionalFormatting>
  <conditionalFormatting sqref="L14:L25">
    <cfRule type="expression" dxfId="7" priority="2">
      <formula>AND(L14&lt;&gt;"",L14&lt;&gt;"Ready")</formula>
    </cfRule>
  </conditionalFormatting>
  <hyperlinks>
    <hyperlink ref="B1" location="'Read me'!B2" display="Contents" xr:uid="{90410787-1E5B-4FB5-80A2-C69F8F0EA28E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66023C"/>
  </sheetPr>
  <dimension ref="B1:R48"/>
  <sheetViews>
    <sheetView showGridLines="0" workbookViewId="0">
      <pane ySplit="13" topLeftCell="A14" activePane="bottomLeft" state="frozen"/>
      <selection pane="bottomLeft"/>
    </sheetView>
  </sheetViews>
  <sheetFormatPr defaultRowHeight="15" x14ac:dyDescent="0.25"/>
  <cols>
    <col min="2" max="2" width="30" customWidth="1"/>
    <col min="3" max="18" width="15" customWidth="1"/>
  </cols>
  <sheetData>
    <row r="1" spans="2:18" x14ac:dyDescent="0.25">
      <c r="B1" s="24" t="s">
        <v>53</v>
      </c>
    </row>
    <row r="2" spans="2:18" ht="21" customHeight="1" x14ac:dyDescent="0.25">
      <c r="B2" s="3" t="s">
        <v>44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21" customHeight="1" x14ac:dyDescent="0.25"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2:18" ht="2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2:18" ht="21" customHeight="1" x14ac:dyDescent="0.25">
      <c r="B5" s="1" t="s">
        <v>471</v>
      </c>
      <c r="C5" s="1"/>
      <c r="D5" s="6">
        <v>100000</v>
      </c>
      <c r="E5" s="1"/>
      <c r="F5" s="2" t="s">
        <v>472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2:18" ht="21" customHeight="1" x14ac:dyDescent="0.25">
      <c r="B6" s="1" t="s">
        <v>112</v>
      </c>
      <c r="C6" s="1"/>
      <c r="D6" s="6">
        <v>60000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2:18" ht="21" customHeight="1" x14ac:dyDescent="0.25">
      <c r="B7" s="1" t="s">
        <v>473</v>
      </c>
      <c r="C7" s="1"/>
      <c r="D7" s="8">
        <v>2027</v>
      </c>
      <c r="E7" s="1"/>
      <c r="F7" s="2" t="s">
        <v>474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2:18" ht="21" customHeight="1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2:18" ht="21" customHeight="1" x14ac:dyDescent="0.25">
      <c r="B9" s="10" t="s">
        <v>475</v>
      </c>
      <c r="C9" s="10"/>
      <c r="D9" s="12">
        <f>Q23</f>
        <v>214865.62465909857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2:18" ht="21" customHeight="1" x14ac:dyDescent="0.25">
      <c r="B10" s="10" t="s">
        <v>476</v>
      </c>
      <c r="C10" s="10"/>
      <c r="D10" s="12">
        <f>SUM(P14:P23)</f>
        <v>-27900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2:18" ht="21" customHeight="1" x14ac:dyDescent="0.25">
      <c r="B11" s="10" t="s">
        <v>477</v>
      </c>
      <c r="C11" s="10"/>
      <c r="D11" s="12">
        <f>D10+D9-(D5-D6)</f>
        <v>146965.62465909857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2:18" ht="21" customHeight="1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2:18" ht="56.1" customHeight="1" x14ac:dyDescent="0.25">
      <c r="B13" s="5" t="s">
        <v>478</v>
      </c>
      <c r="C13" s="5" t="s">
        <v>479</v>
      </c>
      <c r="D13" s="5" t="s">
        <v>480</v>
      </c>
      <c r="E13" s="5" t="s">
        <v>481</v>
      </c>
      <c r="F13" s="5" t="s">
        <v>482</v>
      </c>
      <c r="G13" s="5" t="s">
        <v>483</v>
      </c>
      <c r="H13" s="5" t="s">
        <v>484</v>
      </c>
      <c r="I13" s="5" t="s">
        <v>112</v>
      </c>
      <c r="J13" s="5" t="s">
        <v>485</v>
      </c>
      <c r="K13" s="5" t="s">
        <v>486</v>
      </c>
      <c r="L13" s="5" t="s">
        <v>487</v>
      </c>
      <c r="M13" s="5" t="s">
        <v>488</v>
      </c>
      <c r="N13" s="5" t="s">
        <v>120</v>
      </c>
      <c r="O13" s="5" t="s">
        <v>489</v>
      </c>
      <c r="P13" s="5" t="s">
        <v>490</v>
      </c>
      <c r="Q13" s="5" t="s">
        <v>491</v>
      </c>
      <c r="R13" s="5" t="s">
        <v>67</v>
      </c>
    </row>
    <row r="14" spans="2:18" ht="21" customHeight="1" x14ac:dyDescent="0.25">
      <c r="B14" s="1">
        <f>$D$7+0</f>
        <v>2027</v>
      </c>
      <c r="C14" s="11">
        <f>$D$5</f>
        <v>100000</v>
      </c>
      <c r="D14" s="7">
        <v>0.08</v>
      </c>
      <c r="E14" s="6">
        <v>6000</v>
      </c>
      <c r="F14" s="6">
        <v>0</v>
      </c>
      <c r="G14" s="6">
        <v>2000</v>
      </c>
      <c r="H14" s="11">
        <f t="shared" ref="H14:H23" si="0">IF(R14="Ready",C14*(1+D14)+G14-F14,NA())</f>
        <v>110000</v>
      </c>
      <c r="I14" s="11">
        <f>$D$6</f>
        <v>60000</v>
      </c>
      <c r="J14" s="7">
        <v>0.06</v>
      </c>
      <c r="K14" s="11">
        <f t="shared" ref="K14:K23" si="1">IF(R14="Ready",I14*J14,NA())</f>
        <v>3600</v>
      </c>
      <c r="L14" s="6">
        <v>3000</v>
      </c>
      <c r="M14" s="6">
        <v>0</v>
      </c>
      <c r="N14" s="11">
        <f t="shared" ref="N14:N23" si="2">IF(R14="Ready",I14+M14-L14,NA())</f>
        <v>57000</v>
      </c>
      <c r="O14" s="6">
        <v>1000</v>
      </c>
      <c r="P14" s="11">
        <f t="shared" ref="P14:P23" si="3">IF(R14="Ready",E14+F14-G14-K14-L14+M14-O14,NA())</f>
        <v>-3600</v>
      </c>
      <c r="Q14" s="11">
        <f t="shared" ref="Q14:Q23" si="4">IF(R14="Ready",H14-N14,NA())</f>
        <v>53000</v>
      </c>
      <c r="R14" s="15" t="str">
        <f>IF(TRUE,IF(IF(COUNT(D14:G14,J14,L14:M14,O14,$D$5:$D$7)=11,AND(MIN(E14:G14,J14,L14:M14,$D$5:$D$6)&gt;=0,$D$7=INT($D$7),D14&gt;=-1,F14&lt;=C14*(1+D14)+G14,L14&lt;=I14+M14),FALSE),"Ready","Check inputs"),"Check prior year")</f>
        <v>Ready</v>
      </c>
    </row>
    <row r="15" spans="2:18" ht="21" customHeight="1" x14ac:dyDescent="0.25">
      <c r="B15" s="1">
        <f>$D$7+1</f>
        <v>2028</v>
      </c>
      <c r="C15" s="11">
        <f t="shared" ref="C15:C23" si="5">H14</f>
        <v>110000</v>
      </c>
      <c r="D15" s="7">
        <v>0.08</v>
      </c>
      <c r="E15" s="6">
        <v>6000</v>
      </c>
      <c r="F15" s="6">
        <v>0</v>
      </c>
      <c r="G15" s="6">
        <v>2000</v>
      </c>
      <c r="H15" s="11">
        <f t="shared" si="0"/>
        <v>120800.00000000001</v>
      </c>
      <c r="I15" s="11">
        <f t="shared" ref="I15:I23" si="6">N14</f>
        <v>57000</v>
      </c>
      <c r="J15" s="7">
        <v>0.06</v>
      </c>
      <c r="K15" s="11">
        <f t="shared" si="1"/>
        <v>3420</v>
      </c>
      <c r="L15" s="6">
        <v>3000</v>
      </c>
      <c r="M15" s="6">
        <v>0</v>
      </c>
      <c r="N15" s="11">
        <f t="shared" si="2"/>
        <v>54000</v>
      </c>
      <c r="O15" s="6">
        <v>1000</v>
      </c>
      <c r="P15" s="11">
        <f t="shared" si="3"/>
        <v>-3420</v>
      </c>
      <c r="Q15" s="11">
        <f t="shared" si="4"/>
        <v>66800.000000000015</v>
      </c>
      <c r="R15" s="15" t="str">
        <f t="shared" ref="R15:R23" si="7">IF(R14="Ready",IF(IF(COUNT(D15:G15,J15,L15:M15,O15,$D$5:$D$7)=11,AND(MIN(E15:G15,J15,L15:M15,$D$5:$D$6)&gt;=0,$D$7=INT($D$7),D15&gt;=-1,F15&lt;=C15*(1+D15)+G15,L15&lt;=I15+M15),FALSE),"Ready","Check inputs"),"Check prior year")</f>
        <v>Ready</v>
      </c>
    </row>
    <row r="16" spans="2:18" ht="21" customHeight="1" x14ac:dyDescent="0.25">
      <c r="B16" s="1">
        <f>$D$7+2</f>
        <v>2029</v>
      </c>
      <c r="C16" s="11">
        <f t="shared" si="5"/>
        <v>120800.00000000001</v>
      </c>
      <c r="D16" s="7">
        <v>0.08</v>
      </c>
      <c r="E16" s="6">
        <v>6000</v>
      </c>
      <c r="F16" s="6">
        <v>0</v>
      </c>
      <c r="G16" s="6">
        <v>2000</v>
      </c>
      <c r="H16" s="11">
        <f t="shared" si="0"/>
        <v>132464.00000000003</v>
      </c>
      <c r="I16" s="11">
        <f t="shared" si="6"/>
        <v>54000</v>
      </c>
      <c r="J16" s="7">
        <v>0.06</v>
      </c>
      <c r="K16" s="11">
        <f t="shared" si="1"/>
        <v>3240</v>
      </c>
      <c r="L16" s="6">
        <v>3000</v>
      </c>
      <c r="M16" s="6">
        <v>0</v>
      </c>
      <c r="N16" s="11">
        <f t="shared" si="2"/>
        <v>51000</v>
      </c>
      <c r="O16" s="6">
        <v>1000</v>
      </c>
      <c r="P16" s="11">
        <f t="shared" si="3"/>
        <v>-3240</v>
      </c>
      <c r="Q16" s="11">
        <f t="shared" si="4"/>
        <v>81464.000000000029</v>
      </c>
      <c r="R16" s="15" t="str">
        <f t="shared" si="7"/>
        <v>Ready</v>
      </c>
    </row>
    <row r="17" spans="2:18" ht="21" customHeight="1" x14ac:dyDescent="0.25">
      <c r="B17" s="1">
        <f>$D$7+3</f>
        <v>2030</v>
      </c>
      <c r="C17" s="11">
        <f t="shared" si="5"/>
        <v>132464.00000000003</v>
      </c>
      <c r="D17" s="7">
        <v>0.08</v>
      </c>
      <c r="E17" s="6">
        <v>6000</v>
      </c>
      <c r="F17" s="6">
        <v>0</v>
      </c>
      <c r="G17" s="6">
        <v>2000</v>
      </c>
      <c r="H17" s="11">
        <f t="shared" si="0"/>
        <v>145061.12000000005</v>
      </c>
      <c r="I17" s="11">
        <f t="shared" si="6"/>
        <v>51000</v>
      </c>
      <c r="J17" s="7">
        <v>0.06</v>
      </c>
      <c r="K17" s="11">
        <f t="shared" si="1"/>
        <v>3060</v>
      </c>
      <c r="L17" s="6">
        <v>3000</v>
      </c>
      <c r="M17" s="6">
        <v>0</v>
      </c>
      <c r="N17" s="11">
        <f t="shared" si="2"/>
        <v>48000</v>
      </c>
      <c r="O17" s="6">
        <v>1000</v>
      </c>
      <c r="P17" s="11">
        <f t="shared" si="3"/>
        <v>-3060</v>
      </c>
      <c r="Q17" s="11">
        <f t="shared" si="4"/>
        <v>97061.120000000054</v>
      </c>
      <c r="R17" s="15" t="str">
        <f t="shared" si="7"/>
        <v>Ready</v>
      </c>
    </row>
    <row r="18" spans="2:18" ht="21" customHeight="1" x14ac:dyDescent="0.25">
      <c r="B18" s="1">
        <f>$D$7+4</f>
        <v>2031</v>
      </c>
      <c r="C18" s="11">
        <f t="shared" si="5"/>
        <v>145061.12000000005</v>
      </c>
      <c r="D18" s="7">
        <v>0.08</v>
      </c>
      <c r="E18" s="6">
        <v>6000</v>
      </c>
      <c r="F18" s="6">
        <v>0</v>
      </c>
      <c r="G18" s="6">
        <v>2000</v>
      </c>
      <c r="H18" s="11">
        <f t="shared" si="0"/>
        <v>158666.00960000008</v>
      </c>
      <c r="I18" s="11">
        <f t="shared" si="6"/>
        <v>48000</v>
      </c>
      <c r="J18" s="7">
        <v>0.06</v>
      </c>
      <c r="K18" s="11">
        <f t="shared" si="1"/>
        <v>2880</v>
      </c>
      <c r="L18" s="6">
        <v>3000</v>
      </c>
      <c r="M18" s="6">
        <v>0</v>
      </c>
      <c r="N18" s="11">
        <f t="shared" si="2"/>
        <v>45000</v>
      </c>
      <c r="O18" s="6">
        <v>1000</v>
      </c>
      <c r="P18" s="11">
        <f t="shared" si="3"/>
        <v>-2880</v>
      </c>
      <c r="Q18" s="11">
        <f t="shared" si="4"/>
        <v>113666.00960000008</v>
      </c>
      <c r="R18" s="15" t="str">
        <f t="shared" si="7"/>
        <v>Ready</v>
      </c>
    </row>
    <row r="19" spans="2:18" ht="21" customHeight="1" x14ac:dyDescent="0.25">
      <c r="B19" s="1">
        <f>$D$7+5</f>
        <v>2032</v>
      </c>
      <c r="C19" s="11">
        <f t="shared" si="5"/>
        <v>158666.00960000008</v>
      </c>
      <c r="D19" s="7">
        <v>0.08</v>
      </c>
      <c r="E19" s="6">
        <v>6000</v>
      </c>
      <c r="F19" s="6">
        <v>0</v>
      </c>
      <c r="G19" s="6">
        <v>2000</v>
      </c>
      <c r="H19" s="11">
        <f t="shared" si="0"/>
        <v>173359.2903680001</v>
      </c>
      <c r="I19" s="11">
        <f t="shared" si="6"/>
        <v>45000</v>
      </c>
      <c r="J19" s="7">
        <v>0.06</v>
      </c>
      <c r="K19" s="11">
        <f t="shared" si="1"/>
        <v>2700</v>
      </c>
      <c r="L19" s="6">
        <v>3000</v>
      </c>
      <c r="M19" s="6">
        <v>0</v>
      </c>
      <c r="N19" s="11">
        <f t="shared" si="2"/>
        <v>42000</v>
      </c>
      <c r="O19" s="6">
        <v>1000</v>
      </c>
      <c r="P19" s="11">
        <f t="shared" si="3"/>
        <v>-2700</v>
      </c>
      <c r="Q19" s="11">
        <f t="shared" si="4"/>
        <v>131359.2903680001</v>
      </c>
      <c r="R19" s="15" t="str">
        <f t="shared" si="7"/>
        <v>Ready</v>
      </c>
    </row>
    <row r="20" spans="2:18" ht="21" customHeight="1" x14ac:dyDescent="0.25">
      <c r="B20" s="1">
        <f>$D$7+6</f>
        <v>2033</v>
      </c>
      <c r="C20" s="11">
        <f t="shared" si="5"/>
        <v>173359.2903680001</v>
      </c>
      <c r="D20" s="7">
        <v>0.08</v>
      </c>
      <c r="E20" s="6">
        <v>6000</v>
      </c>
      <c r="F20" s="6">
        <v>0</v>
      </c>
      <c r="G20" s="6">
        <v>2000</v>
      </c>
      <c r="H20" s="11">
        <f t="shared" si="0"/>
        <v>189228.03359744014</v>
      </c>
      <c r="I20" s="11">
        <f t="shared" si="6"/>
        <v>42000</v>
      </c>
      <c r="J20" s="7">
        <v>0.06</v>
      </c>
      <c r="K20" s="11">
        <f t="shared" si="1"/>
        <v>2520</v>
      </c>
      <c r="L20" s="6">
        <v>3000</v>
      </c>
      <c r="M20" s="6">
        <v>0</v>
      </c>
      <c r="N20" s="11">
        <f t="shared" si="2"/>
        <v>39000</v>
      </c>
      <c r="O20" s="6">
        <v>1000</v>
      </c>
      <c r="P20" s="11">
        <f t="shared" si="3"/>
        <v>-2520</v>
      </c>
      <c r="Q20" s="11">
        <f t="shared" si="4"/>
        <v>150228.03359744014</v>
      </c>
      <c r="R20" s="15" t="str">
        <f t="shared" si="7"/>
        <v>Ready</v>
      </c>
    </row>
    <row r="21" spans="2:18" ht="21" customHeight="1" x14ac:dyDescent="0.25">
      <c r="B21" s="1">
        <f>$D$7+7</f>
        <v>2034</v>
      </c>
      <c r="C21" s="11">
        <f t="shared" si="5"/>
        <v>189228.03359744014</v>
      </c>
      <c r="D21" s="7">
        <v>0.08</v>
      </c>
      <c r="E21" s="6">
        <v>6000</v>
      </c>
      <c r="F21" s="6">
        <v>0</v>
      </c>
      <c r="G21" s="6">
        <v>2000</v>
      </c>
      <c r="H21" s="11">
        <f t="shared" si="0"/>
        <v>206366.27628523536</v>
      </c>
      <c r="I21" s="11">
        <f t="shared" si="6"/>
        <v>39000</v>
      </c>
      <c r="J21" s="7">
        <v>0.06</v>
      </c>
      <c r="K21" s="11">
        <f t="shared" si="1"/>
        <v>2340</v>
      </c>
      <c r="L21" s="6">
        <v>3000</v>
      </c>
      <c r="M21" s="6">
        <v>0</v>
      </c>
      <c r="N21" s="11">
        <f t="shared" si="2"/>
        <v>36000</v>
      </c>
      <c r="O21" s="6">
        <v>1000</v>
      </c>
      <c r="P21" s="11">
        <f t="shared" si="3"/>
        <v>-2340</v>
      </c>
      <c r="Q21" s="11">
        <f t="shared" si="4"/>
        <v>170366.27628523536</v>
      </c>
      <c r="R21" s="15" t="str">
        <f t="shared" si="7"/>
        <v>Ready</v>
      </c>
    </row>
    <row r="22" spans="2:18" ht="21" customHeight="1" x14ac:dyDescent="0.25">
      <c r="B22" s="1">
        <f>$D$7+8</f>
        <v>2035</v>
      </c>
      <c r="C22" s="11">
        <f t="shared" si="5"/>
        <v>206366.27628523536</v>
      </c>
      <c r="D22" s="7">
        <v>0.08</v>
      </c>
      <c r="E22" s="6">
        <v>6000</v>
      </c>
      <c r="F22" s="6">
        <v>0</v>
      </c>
      <c r="G22" s="6">
        <v>2000</v>
      </c>
      <c r="H22" s="11">
        <f t="shared" si="0"/>
        <v>224875.57838805421</v>
      </c>
      <c r="I22" s="11">
        <f t="shared" si="6"/>
        <v>36000</v>
      </c>
      <c r="J22" s="7">
        <v>0.06</v>
      </c>
      <c r="K22" s="11">
        <f t="shared" si="1"/>
        <v>2160</v>
      </c>
      <c r="L22" s="6">
        <v>3000</v>
      </c>
      <c r="M22" s="6">
        <v>0</v>
      </c>
      <c r="N22" s="11">
        <f t="shared" si="2"/>
        <v>33000</v>
      </c>
      <c r="O22" s="6">
        <v>1000</v>
      </c>
      <c r="P22" s="11">
        <f t="shared" si="3"/>
        <v>-2160</v>
      </c>
      <c r="Q22" s="11">
        <f t="shared" si="4"/>
        <v>191875.57838805421</v>
      </c>
      <c r="R22" s="15" t="str">
        <f t="shared" si="7"/>
        <v>Ready</v>
      </c>
    </row>
    <row r="23" spans="2:18" ht="21" customHeight="1" x14ac:dyDescent="0.25">
      <c r="B23" s="1">
        <f>$D$7+9</f>
        <v>2036</v>
      </c>
      <c r="C23" s="11">
        <f t="shared" si="5"/>
        <v>224875.57838805421</v>
      </c>
      <c r="D23" s="7">
        <v>0.08</v>
      </c>
      <c r="E23" s="6">
        <v>6000</v>
      </c>
      <c r="F23" s="6">
        <v>0</v>
      </c>
      <c r="G23" s="6">
        <v>2000</v>
      </c>
      <c r="H23" s="11">
        <f t="shared" si="0"/>
        <v>244865.62465909857</v>
      </c>
      <c r="I23" s="11">
        <f t="shared" si="6"/>
        <v>33000</v>
      </c>
      <c r="J23" s="7">
        <v>0.06</v>
      </c>
      <c r="K23" s="11">
        <f t="shared" si="1"/>
        <v>1980</v>
      </c>
      <c r="L23" s="6">
        <v>3000</v>
      </c>
      <c r="M23" s="6">
        <v>0</v>
      </c>
      <c r="N23" s="11">
        <f t="shared" si="2"/>
        <v>30000</v>
      </c>
      <c r="O23" s="6">
        <v>1000</v>
      </c>
      <c r="P23" s="11">
        <f t="shared" si="3"/>
        <v>-1980</v>
      </c>
      <c r="Q23" s="11">
        <f t="shared" si="4"/>
        <v>214865.62465909857</v>
      </c>
      <c r="R23" s="15" t="str">
        <f t="shared" si="7"/>
        <v>Ready</v>
      </c>
    </row>
    <row r="24" spans="2:18" ht="21" customHeight="1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2:18" ht="21" customHeight="1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2:18" ht="21" customHeight="1" x14ac:dyDescent="0.25">
      <c r="B26" s="2" t="s">
        <v>492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2:18" ht="21" customHeight="1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2:18" ht="21" customHeight="1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2:18" ht="21" customHeight="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2:18" ht="21" customHeight="1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2:18" ht="21" customHeight="1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2:18" ht="21" customHeight="1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2:18" ht="21" customHeight="1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2:18" ht="21" customHeight="1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2:18" ht="21" customHeight="1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2:18" ht="21" customHeight="1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2:18" ht="21" customHeight="1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2:18" ht="21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2:18" ht="21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2:18" ht="21" customHeigh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2:18" ht="21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2:18" ht="21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2:18" ht="21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2:18" ht="21" customHeight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2:18" ht="21" customHeight="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2:18" ht="21" customHeight="1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2:18" ht="21" customHeight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2:18" ht="21" customHeight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</sheetData>
  <conditionalFormatting sqref="R14:R23">
    <cfRule type="expression" dxfId="6" priority="1">
      <formula>AND(R14&lt;&gt;"",R14&lt;&gt;"Ready")</formula>
    </cfRule>
  </conditionalFormatting>
  <hyperlinks>
    <hyperlink ref="B1" location="'Read me'!B2" display="Contents" xr:uid="{E3CA1F1E-F71B-452B-BE63-DB979921BEE6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0000"/>
  </sheetPr>
  <dimension ref="B1:N48"/>
  <sheetViews>
    <sheetView showGridLines="0" workbookViewId="0">
      <pane ySplit="13" topLeftCell="A14" activePane="bottomLeft" state="frozen"/>
      <selection pane="bottomLeft"/>
    </sheetView>
  </sheetViews>
  <sheetFormatPr defaultRowHeight="15" x14ac:dyDescent="0.25"/>
  <cols>
    <col min="2" max="2" width="30" customWidth="1"/>
    <col min="3" max="3" width="21" customWidth="1"/>
    <col min="4" max="4" width="30" customWidth="1"/>
    <col min="5" max="5" width="22" customWidth="1"/>
    <col min="6" max="6" width="18" customWidth="1"/>
    <col min="7" max="7" width="15" customWidth="1"/>
    <col min="8" max="8" width="18" customWidth="1"/>
    <col min="9" max="9" width="30" customWidth="1"/>
    <col min="10" max="10" width="15" customWidth="1"/>
    <col min="11" max="11" width="24" customWidth="1"/>
    <col min="12" max="14" width="15" customWidth="1"/>
  </cols>
  <sheetData>
    <row r="1" spans="2:14" x14ac:dyDescent="0.25">
      <c r="B1" s="24" t="s">
        <v>53</v>
      </c>
    </row>
    <row r="2" spans="2:14" ht="21" customHeight="1" x14ac:dyDescent="0.25">
      <c r="B2" s="3" t="s">
        <v>46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21" customHeight="1" x14ac:dyDescent="0.25"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 ht="2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21" customHeight="1" x14ac:dyDescent="0.25">
      <c r="B5" s="1" t="s">
        <v>239</v>
      </c>
      <c r="C5" s="1"/>
      <c r="D5" s="16">
        <v>46314</v>
      </c>
      <c r="E5" s="1"/>
      <c r="F5" s="2" t="s">
        <v>493</v>
      </c>
      <c r="G5" s="1"/>
      <c r="H5" s="1"/>
      <c r="I5" s="1"/>
      <c r="J5" s="1"/>
      <c r="K5" s="1"/>
      <c r="L5" s="1"/>
      <c r="M5" s="1"/>
      <c r="N5" s="1"/>
    </row>
    <row r="6" spans="2:14" ht="21" customHeight="1" x14ac:dyDescent="0.25">
      <c r="B6" s="1" t="s">
        <v>494</v>
      </c>
      <c r="C6" s="1"/>
      <c r="D6" s="8">
        <v>30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2:14" ht="21" customHeight="1" x14ac:dyDescent="0.25">
      <c r="B7" s="10" t="s">
        <v>67</v>
      </c>
      <c r="C7" s="10"/>
      <c r="D7" s="14" t="str">
        <f>IF(AND(COUNTA(B14:B33)&gt;0,COUNTIF(J14:J33,"Ready")=COUNTA(B14:B33),COUNTIF(J14:J33,"Missing name")=0),"Ready","Check rows")</f>
        <v>Ready</v>
      </c>
      <c r="E7" s="1"/>
      <c r="F7" s="2" t="s">
        <v>495</v>
      </c>
      <c r="G7" s="1"/>
      <c r="H7" s="1"/>
      <c r="I7" s="1"/>
      <c r="J7" s="1"/>
      <c r="K7" s="1"/>
      <c r="L7" s="1"/>
      <c r="M7" s="1"/>
      <c r="N7" s="1"/>
    </row>
    <row r="8" spans="2:14" ht="21" customHeight="1" x14ac:dyDescent="0.25">
      <c r="B8" s="10" t="s">
        <v>496</v>
      </c>
      <c r="C8" s="10"/>
      <c r="D8" s="19">
        <f>IF(D7="Ready",COUNTIF(K14:K33,"Open")+COUNTIF(K14:K33,"Overdue")+COUNTIF(K14:K33,"Due soon"),NA())</f>
        <v>1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2:14" ht="21" customHeight="1" x14ac:dyDescent="0.25">
      <c r="B9" s="10" t="s">
        <v>497</v>
      </c>
      <c r="C9" s="10"/>
      <c r="D9" s="19">
        <f>IF(D7="Ready",COUNTIF(K14:K33,"Overdue"),NA())</f>
        <v>0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 ht="21" customHeight="1" x14ac:dyDescent="0.25">
      <c r="B10" s="10" t="s">
        <v>498</v>
      </c>
      <c r="C10" s="10"/>
      <c r="D10" s="19">
        <f>IF(D7="Ready",COUNTIF(K14:K33,"Due soon"),NA())</f>
        <v>1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ht="21" customHeight="1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2:14" ht="21" customHeight="1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2:14" ht="56.1" customHeight="1" x14ac:dyDescent="0.25">
      <c r="B13" s="5" t="s">
        <v>499</v>
      </c>
      <c r="C13" s="5" t="s">
        <v>500</v>
      </c>
      <c r="D13" s="5" t="s">
        <v>501</v>
      </c>
      <c r="E13" s="5" t="s">
        <v>225</v>
      </c>
      <c r="F13" s="5" t="s">
        <v>502</v>
      </c>
      <c r="G13" s="5" t="s">
        <v>503</v>
      </c>
      <c r="H13" s="5" t="s">
        <v>504</v>
      </c>
      <c r="I13" s="5" t="s">
        <v>505</v>
      </c>
      <c r="J13" s="5" t="s">
        <v>67</v>
      </c>
      <c r="K13" s="5" t="s">
        <v>506</v>
      </c>
      <c r="L13" s="5" t="s">
        <v>507</v>
      </c>
      <c r="M13" s="1"/>
      <c r="N13" s="1"/>
    </row>
    <row r="14" spans="2:14" ht="21" customHeight="1" x14ac:dyDescent="0.25">
      <c r="B14" s="13" t="s">
        <v>508</v>
      </c>
      <c r="C14" s="13" t="s">
        <v>509</v>
      </c>
      <c r="D14" s="13" t="s">
        <v>510</v>
      </c>
      <c r="E14" s="13" t="s">
        <v>511</v>
      </c>
      <c r="F14" s="16">
        <v>46327</v>
      </c>
      <c r="G14" s="21" t="s">
        <v>512</v>
      </c>
      <c r="H14" s="16"/>
      <c r="I14" s="13"/>
      <c r="J14" s="15" t="str">
        <f t="shared" ref="J14:J33" si="0">IF(B14="",IF(COUNTA(C14:I14)=0,"","Missing name"),IF(OR(COUNT(F14,$D$5:$D$6)&lt;&gt;3,AND(H14&lt;&gt;"",NOT(ISNUMBER(H14)))),"Check inputs",IF(AND(C14&lt;&gt;"",D14&lt;&gt;"",E14&lt;&gt;"",COUNT(F14,$D$5:$D$6)=3,F14&gt;0,F14=INT(F14),$D$5&gt;0,$D$5=INT($D$5),$D$6&gt;=0,$D$6=INT($D$6),OR(AND(G14="No",H14=""),AND(G14="Yes",ISNUMBER(H14),H14&gt;0,H14=INT(H14),H14&lt;=$D$5,I14&lt;&gt;"")),SUMPRODUCT(--($B$14:$B$33=B14))=1),"Ready","Check inputs")))</f>
        <v>Ready</v>
      </c>
      <c r="K14" s="1" t="str">
        <f t="shared" ref="K14:K33" si="1">IF(B14="","",IF(J14="Ready",IF(G14="Yes","Recorded complete",IF(F14&lt;$D$5,"Overdue",IF(F14&lt;=$D$5+$D$6,"Due soon","Open"))),"Check inputs"))</f>
        <v>Due soon</v>
      </c>
      <c r="L14" s="17">
        <f t="shared" ref="L14:L33" si="2">IF(B14="","",IF(J14="Ready",IF(G14="Yes",0,MAX(0,$D$5-F14)),NA()))</f>
        <v>0</v>
      </c>
      <c r="M14" s="1"/>
      <c r="N14" s="1"/>
    </row>
    <row r="15" spans="2:14" ht="21" customHeight="1" x14ac:dyDescent="0.25">
      <c r="B15" s="13"/>
      <c r="C15" s="13"/>
      <c r="D15" s="13"/>
      <c r="E15" s="13"/>
      <c r="F15" s="16"/>
      <c r="G15" s="21"/>
      <c r="H15" s="16"/>
      <c r="I15" s="13"/>
      <c r="J15" s="15" t="str">
        <f t="shared" si="0"/>
        <v/>
      </c>
      <c r="K15" s="1" t="str">
        <f t="shared" si="1"/>
        <v/>
      </c>
      <c r="L15" s="17" t="str">
        <f t="shared" si="2"/>
        <v/>
      </c>
      <c r="M15" s="1"/>
      <c r="N15" s="1"/>
    </row>
    <row r="16" spans="2:14" ht="21" customHeight="1" x14ac:dyDescent="0.25">
      <c r="B16" s="13"/>
      <c r="C16" s="13"/>
      <c r="D16" s="13"/>
      <c r="E16" s="13"/>
      <c r="F16" s="16"/>
      <c r="G16" s="21"/>
      <c r="H16" s="16"/>
      <c r="I16" s="13"/>
      <c r="J16" s="15" t="str">
        <f t="shared" si="0"/>
        <v/>
      </c>
      <c r="K16" s="1" t="str">
        <f t="shared" si="1"/>
        <v/>
      </c>
      <c r="L16" s="17" t="str">
        <f t="shared" si="2"/>
        <v/>
      </c>
      <c r="M16" s="1"/>
      <c r="N16" s="1"/>
    </row>
    <row r="17" spans="2:14" ht="21" customHeight="1" x14ac:dyDescent="0.25">
      <c r="B17" s="13"/>
      <c r="C17" s="13"/>
      <c r="D17" s="13"/>
      <c r="E17" s="13"/>
      <c r="F17" s="16"/>
      <c r="G17" s="21"/>
      <c r="H17" s="16"/>
      <c r="I17" s="13"/>
      <c r="J17" s="15" t="str">
        <f t="shared" si="0"/>
        <v/>
      </c>
      <c r="K17" s="1" t="str">
        <f t="shared" si="1"/>
        <v/>
      </c>
      <c r="L17" s="17" t="str">
        <f t="shared" si="2"/>
        <v/>
      </c>
      <c r="M17" s="1"/>
      <c r="N17" s="1"/>
    </row>
    <row r="18" spans="2:14" ht="21" customHeight="1" x14ac:dyDescent="0.25">
      <c r="B18" s="13"/>
      <c r="C18" s="13"/>
      <c r="D18" s="13"/>
      <c r="E18" s="13"/>
      <c r="F18" s="16"/>
      <c r="G18" s="21"/>
      <c r="H18" s="16"/>
      <c r="I18" s="13"/>
      <c r="J18" s="15" t="str">
        <f t="shared" si="0"/>
        <v/>
      </c>
      <c r="K18" s="1" t="str">
        <f t="shared" si="1"/>
        <v/>
      </c>
      <c r="L18" s="17" t="str">
        <f t="shared" si="2"/>
        <v/>
      </c>
      <c r="M18" s="1"/>
      <c r="N18" s="1"/>
    </row>
    <row r="19" spans="2:14" ht="21" customHeight="1" x14ac:dyDescent="0.25">
      <c r="B19" s="13"/>
      <c r="C19" s="13"/>
      <c r="D19" s="13"/>
      <c r="E19" s="13"/>
      <c r="F19" s="16"/>
      <c r="G19" s="21"/>
      <c r="H19" s="16"/>
      <c r="I19" s="13"/>
      <c r="J19" s="15" t="str">
        <f t="shared" si="0"/>
        <v/>
      </c>
      <c r="K19" s="1" t="str">
        <f t="shared" si="1"/>
        <v/>
      </c>
      <c r="L19" s="17" t="str">
        <f t="shared" si="2"/>
        <v/>
      </c>
      <c r="M19" s="1"/>
      <c r="N19" s="1"/>
    </row>
    <row r="20" spans="2:14" ht="21" customHeight="1" x14ac:dyDescent="0.25">
      <c r="B20" s="13"/>
      <c r="C20" s="13"/>
      <c r="D20" s="13"/>
      <c r="E20" s="13"/>
      <c r="F20" s="16"/>
      <c r="G20" s="21"/>
      <c r="H20" s="16"/>
      <c r="I20" s="13"/>
      <c r="J20" s="15" t="str">
        <f t="shared" si="0"/>
        <v/>
      </c>
      <c r="K20" s="1" t="str">
        <f t="shared" si="1"/>
        <v/>
      </c>
      <c r="L20" s="17" t="str">
        <f t="shared" si="2"/>
        <v/>
      </c>
      <c r="M20" s="1"/>
      <c r="N20" s="1"/>
    </row>
    <row r="21" spans="2:14" ht="21" customHeight="1" x14ac:dyDescent="0.25">
      <c r="B21" s="13"/>
      <c r="C21" s="13"/>
      <c r="D21" s="13"/>
      <c r="E21" s="13"/>
      <c r="F21" s="16"/>
      <c r="G21" s="21"/>
      <c r="H21" s="16"/>
      <c r="I21" s="13"/>
      <c r="J21" s="15" t="str">
        <f t="shared" si="0"/>
        <v/>
      </c>
      <c r="K21" s="1" t="str">
        <f t="shared" si="1"/>
        <v/>
      </c>
      <c r="L21" s="17" t="str">
        <f t="shared" si="2"/>
        <v/>
      </c>
      <c r="M21" s="1"/>
      <c r="N21" s="1"/>
    </row>
    <row r="22" spans="2:14" ht="21" customHeight="1" x14ac:dyDescent="0.25">
      <c r="B22" s="13"/>
      <c r="C22" s="13"/>
      <c r="D22" s="13"/>
      <c r="E22" s="13"/>
      <c r="F22" s="16"/>
      <c r="G22" s="21"/>
      <c r="H22" s="16"/>
      <c r="I22" s="13"/>
      <c r="J22" s="15" t="str">
        <f t="shared" si="0"/>
        <v/>
      </c>
      <c r="K22" s="1" t="str">
        <f t="shared" si="1"/>
        <v/>
      </c>
      <c r="L22" s="17" t="str">
        <f t="shared" si="2"/>
        <v/>
      </c>
      <c r="M22" s="1"/>
      <c r="N22" s="1"/>
    </row>
    <row r="23" spans="2:14" ht="21" customHeight="1" x14ac:dyDescent="0.25">
      <c r="B23" s="13"/>
      <c r="C23" s="13"/>
      <c r="D23" s="13"/>
      <c r="E23" s="13"/>
      <c r="F23" s="16"/>
      <c r="G23" s="21"/>
      <c r="H23" s="16"/>
      <c r="I23" s="13"/>
      <c r="J23" s="15" t="str">
        <f t="shared" si="0"/>
        <v/>
      </c>
      <c r="K23" s="1" t="str">
        <f t="shared" si="1"/>
        <v/>
      </c>
      <c r="L23" s="17" t="str">
        <f t="shared" si="2"/>
        <v/>
      </c>
      <c r="M23" s="1"/>
      <c r="N23" s="1"/>
    </row>
    <row r="24" spans="2:14" ht="21" customHeight="1" x14ac:dyDescent="0.25">
      <c r="B24" s="13"/>
      <c r="C24" s="13"/>
      <c r="D24" s="13"/>
      <c r="E24" s="13"/>
      <c r="F24" s="16"/>
      <c r="G24" s="21"/>
      <c r="H24" s="16"/>
      <c r="I24" s="13"/>
      <c r="J24" s="15" t="str">
        <f t="shared" si="0"/>
        <v/>
      </c>
      <c r="K24" s="1" t="str">
        <f t="shared" si="1"/>
        <v/>
      </c>
      <c r="L24" s="17" t="str">
        <f t="shared" si="2"/>
        <v/>
      </c>
      <c r="M24" s="1"/>
      <c r="N24" s="1"/>
    </row>
    <row r="25" spans="2:14" ht="21" customHeight="1" x14ac:dyDescent="0.25">
      <c r="B25" s="13"/>
      <c r="C25" s="13"/>
      <c r="D25" s="13"/>
      <c r="E25" s="13"/>
      <c r="F25" s="16"/>
      <c r="G25" s="21"/>
      <c r="H25" s="16"/>
      <c r="I25" s="13"/>
      <c r="J25" s="15" t="str">
        <f t="shared" si="0"/>
        <v/>
      </c>
      <c r="K25" s="1" t="str">
        <f t="shared" si="1"/>
        <v/>
      </c>
      <c r="L25" s="17" t="str">
        <f t="shared" si="2"/>
        <v/>
      </c>
      <c r="M25" s="1"/>
      <c r="N25" s="1"/>
    </row>
    <row r="26" spans="2:14" ht="21" customHeight="1" x14ac:dyDescent="0.25">
      <c r="B26" s="13"/>
      <c r="C26" s="13"/>
      <c r="D26" s="13"/>
      <c r="E26" s="13"/>
      <c r="F26" s="16"/>
      <c r="G26" s="21"/>
      <c r="H26" s="16"/>
      <c r="I26" s="13"/>
      <c r="J26" s="15" t="str">
        <f t="shared" si="0"/>
        <v/>
      </c>
      <c r="K26" s="1" t="str">
        <f t="shared" si="1"/>
        <v/>
      </c>
      <c r="L26" s="17" t="str">
        <f t="shared" si="2"/>
        <v/>
      </c>
      <c r="M26" s="1"/>
      <c r="N26" s="1"/>
    </row>
    <row r="27" spans="2:14" ht="21" customHeight="1" x14ac:dyDescent="0.25">
      <c r="B27" s="13"/>
      <c r="C27" s="13"/>
      <c r="D27" s="13"/>
      <c r="E27" s="13"/>
      <c r="F27" s="16"/>
      <c r="G27" s="21"/>
      <c r="H27" s="16"/>
      <c r="I27" s="13"/>
      <c r="J27" s="15" t="str">
        <f t="shared" si="0"/>
        <v/>
      </c>
      <c r="K27" s="1" t="str">
        <f t="shared" si="1"/>
        <v/>
      </c>
      <c r="L27" s="17" t="str">
        <f t="shared" si="2"/>
        <v/>
      </c>
      <c r="M27" s="1"/>
      <c r="N27" s="1"/>
    </row>
    <row r="28" spans="2:14" ht="21" customHeight="1" x14ac:dyDescent="0.25">
      <c r="B28" s="13"/>
      <c r="C28" s="13"/>
      <c r="D28" s="13"/>
      <c r="E28" s="13"/>
      <c r="F28" s="16"/>
      <c r="G28" s="21"/>
      <c r="H28" s="16"/>
      <c r="I28" s="13"/>
      <c r="J28" s="15" t="str">
        <f t="shared" si="0"/>
        <v/>
      </c>
      <c r="K28" s="1" t="str">
        <f t="shared" si="1"/>
        <v/>
      </c>
      <c r="L28" s="17" t="str">
        <f t="shared" si="2"/>
        <v/>
      </c>
      <c r="M28" s="1"/>
      <c r="N28" s="1"/>
    </row>
    <row r="29" spans="2:14" ht="21" customHeight="1" x14ac:dyDescent="0.25">
      <c r="B29" s="13"/>
      <c r="C29" s="13"/>
      <c r="D29" s="13"/>
      <c r="E29" s="13"/>
      <c r="F29" s="16"/>
      <c r="G29" s="21"/>
      <c r="H29" s="16"/>
      <c r="I29" s="13"/>
      <c r="J29" s="15" t="str">
        <f t="shared" si="0"/>
        <v/>
      </c>
      <c r="K29" s="1" t="str">
        <f t="shared" si="1"/>
        <v/>
      </c>
      <c r="L29" s="17" t="str">
        <f t="shared" si="2"/>
        <v/>
      </c>
      <c r="M29" s="1"/>
      <c r="N29" s="1"/>
    </row>
    <row r="30" spans="2:14" ht="21" customHeight="1" x14ac:dyDescent="0.25">
      <c r="B30" s="13"/>
      <c r="C30" s="13"/>
      <c r="D30" s="13"/>
      <c r="E30" s="13"/>
      <c r="F30" s="16"/>
      <c r="G30" s="21"/>
      <c r="H30" s="16"/>
      <c r="I30" s="13"/>
      <c r="J30" s="15" t="str">
        <f t="shared" si="0"/>
        <v/>
      </c>
      <c r="K30" s="1" t="str">
        <f t="shared" si="1"/>
        <v/>
      </c>
      <c r="L30" s="17" t="str">
        <f t="shared" si="2"/>
        <v/>
      </c>
      <c r="M30" s="1"/>
      <c r="N30" s="1"/>
    </row>
    <row r="31" spans="2:14" ht="21" customHeight="1" x14ac:dyDescent="0.25">
      <c r="B31" s="13"/>
      <c r="C31" s="13"/>
      <c r="D31" s="13"/>
      <c r="E31" s="13"/>
      <c r="F31" s="16"/>
      <c r="G31" s="21"/>
      <c r="H31" s="16"/>
      <c r="I31" s="13"/>
      <c r="J31" s="15" t="str">
        <f t="shared" si="0"/>
        <v/>
      </c>
      <c r="K31" s="1" t="str">
        <f t="shared" si="1"/>
        <v/>
      </c>
      <c r="L31" s="17" t="str">
        <f t="shared" si="2"/>
        <v/>
      </c>
      <c r="M31" s="1"/>
      <c r="N31" s="1"/>
    </row>
    <row r="32" spans="2:14" ht="21" customHeight="1" x14ac:dyDescent="0.25">
      <c r="B32" s="13"/>
      <c r="C32" s="13"/>
      <c r="D32" s="13"/>
      <c r="E32" s="13"/>
      <c r="F32" s="16"/>
      <c r="G32" s="21"/>
      <c r="H32" s="16"/>
      <c r="I32" s="13"/>
      <c r="J32" s="15" t="str">
        <f t="shared" si="0"/>
        <v/>
      </c>
      <c r="K32" s="1" t="str">
        <f t="shared" si="1"/>
        <v/>
      </c>
      <c r="L32" s="17" t="str">
        <f t="shared" si="2"/>
        <v/>
      </c>
      <c r="M32" s="1"/>
      <c r="N32" s="1"/>
    </row>
    <row r="33" spans="2:14" ht="21" customHeight="1" x14ac:dyDescent="0.25">
      <c r="B33" s="13"/>
      <c r="C33" s="13"/>
      <c r="D33" s="13"/>
      <c r="E33" s="13"/>
      <c r="F33" s="16"/>
      <c r="G33" s="21"/>
      <c r="H33" s="16"/>
      <c r="I33" s="13"/>
      <c r="J33" s="15" t="str">
        <f t="shared" si="0"/>
        <v/>
      </c>
      <c r="K33" s="1" t="str">
        <f t="shared" si="1"/>
        <v/>
      </c>
      <c r="L33" s="17" t="str">
        <f t="shared" si="2"/>
        <v/>
      </c>
      <c r="M33" s="1"/>
      <c r="N33" s="1"/>
    </row>
    <row r="34" spans="2:14" ht="21" customHeight="1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ht="21" customHeight="1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2:14" ht="21" customHeight="1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2:14" ht="21" customHeight="1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4" ht="21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2:14" ht="21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 ht="21" customHeigh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 ht="21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2:14" ht="21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2:14" ht="21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2:14" ht="21" customHeight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2:14" ht="21" customHeight="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2:14" ht="21" customHeight="1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2:14" ht="21" customHeight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2:14" ht="21" customHeight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</sheetData>
  <conditionalFormatting sqref="D7">
    <cfRule type="expression" dxfId="5" priority="1">
      <formula>AND(D7&lt;&gt;"",D7&lt;&gt;"Ready")</formula>
    </cfRule>
  </conditionalFormatting>
  <conditionalFormatting sqref="J14:J33">
    <cfRule type="expression" dxfId="4" priority="2">
      <formula>AND(J14&lt;&gt;"",J14&lt;&gt;"Ready")</formula>
    </cfRule>
  </conditionalFormatting>
  <conditionalFormatting sqref="K14:K33">
    <cfRule type="expression" dxfId="3" priority="3">
      <formula>K14="Recorded complete"</formula>
    </cfRule>
    <cfRule type="expression" dxfId="2" priority="4">
      <formula>OR(K14="Overdue",K14="Due soon",K14="Check inputs")</formula>
    </cfRule>
  </conditionalFormatting>
  <dataValidations count="1">
    <dataValidation type="list" sqref="G14:G33" xr:uid="{00000000-0002-0000-1400-000000000000}">
      <formula1>"Yes,No"</formula1>
    </dataValidation>
  </dataValidations>
  <hyperlinks>
    <hyperlink ref="B1" location="'Read me'!B2" display="Contents" xr:uid="{4D45D462-E8C4-4421-ABE1-D30A78B84F01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66023C"/>
  </sheetPr>
  <dimension ref="B1:N48"/>
  <sheetViews>
    <sheetView showGridLines="0" workbookViewId="0"/>
  </sheetViews>
  <sheetFormatPr defaultRowHeight="15" x14ac:dyDescent="0.25"/>
  <cols>
    <col min="2" max="2" width="30" customWidth="1"/>
    <col min="3" max="14" width="15" customWidth="1"/>
  </cols>
  <sheetData>
    <row r="1" spans="2:14" x14ac:dyDescent="0.25">
      <c r="B1" s="24" t="s">
        <v>53</v>
      </c>
    </row>
    <row r="2" spans="2:14" ht="21" customHeight="1" x14ac:dyDescent="0.25">
      <c r="B2" s="3" t="s">
        <v>48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21" customHeight="1" x14ac:dyDescent="0.25"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 ht="2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21" customHeight="1" x14ac:dyDescent="0.25">
      <c r="B5" s="1" t="s">
        <v>513</v>
      </c>
      <c r="C5" s="1"/>
      <c r="D5" s="22">
        <v>2.0802</v>
      </c>
      <c r="E5" s="1"/>
      <c r="F5" s="2" t="s">
        <v>514</v>
      </c>
      <c r="G5" s="1"/>
      <c r="H5" s="1"/>
      <c r="I5" s="1"/>
      <c r="J5" s="1"/>
      <c r="K5" s="1"/>
      <c r="L5" s="1"/>
      <c r="M5" s="1"/>
      <c r="N5" s="1"/>
    </row>
    <row r="6" spans="2:14" ht="21" customHeight="1" x14ac:dyDescent="0.25">
      <c r="B6" s="1" t="s">
        <v>515</v>
      </c>
      <c r="C6" s="1"/>
      <c r="D6" s="22">
        <v>1.8868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2:14" ht="21" customHeight="1" x14ac:dyDescent="0.25">
      <c r="B7" s="1" t="s">
        <v>516</v>
      </c>
      <c r="C7" s="1"/>
      <c r="D7" s="7">
        <v>0.47</v>
      </c>
      <c r="E7" s="1"/>
      <c r="F7" s="2" t="s">
        <v>517</v>
      </c>
      <c r="G7" s="1"/>
      <c r="H7" s="1"/>
      <c r="I7" s="1"/>
      <c r="J7" s="1"/>
      <c r="K7" s="1"/>
      <c r="L7" s="1"/>
      <c r="M7" s="1"/>
      <c r="N7" s="1"/>
    </row>
    <row r="8" spans="2:14" ht="21" customHeight="1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2:14" ht="21" customHeight="1" x14ac:dyDescent="0.25">
      <c r="B9" s="10" t="s">
        <v>518</v>
      </c>
      <c r="C9" s="10"/>
      <c r="D9" s="14" t="str">
        <f>IF(AND(COUNT(D5:D7)=3,MIN(D5:D6)&gt;=1,D7&gt;=0,D7&lt;=1),"Ready","Check rates")</f>
        <v>Ready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 ht="21" customHeight="1" x14ac:dyDescent="0.25">
      <c r="B10" s="10" t="s">
        <v>519</v>
      </c>
      <c r="C10" s="10"/>
      <c r="D10" s="14" t="str">
        <f>IF(AND(COUNTA(B14:B33)&gt;0,COUNTIF(I14:I33,"Ready")=COUNTA(B14:B33),COUNTIF(I14:I33,"Missing name")=0),"Ready","Check rows")</f>
        <v>Ready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ht="21" customHeight="1" x14ac:dyDescent="0.25">
      <c r="B11" s="10" t="s">
        <v>520</v>
      </c>
      <c r="C11" s="10"/>
      <c r="D11" s="12">
        <f>IF(AND(D9="Ready",D10="Ready"),SUM(H14:H33),NA())</f>
        <v>14210.92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2:14" ht="21" customHeight="1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2:14" ht="56.1" customHeight="1" x14ac:dyDescent="0.25">
      <c r="B13" s="5" t="s">
        <v>521</v>
      </c>
      <c r="C13" s="5" t="s">
        <v>522</v>
      </c>
      <c r="D13" s="5" t="s">
        <v>523</v>
      </c>
      <c r="E13" s="5" t="s">
        <v>524</v>
      </c>
      <c r="F13" s="5" t="s">
        <v>525</v>
      </c>
      <c r="G13" s="5" t="s">
        <v>526</v>
      </c>
      <c r="H13" s="5" t="s">
        <v>520</v>
      </c>
      <c r="I13" s="5" t="s">
        <v>67</v>
      </c>
      <c r="J13" s="1"/>
      <c r="K13" s="1"/>
      <c r="L13" s="1"/>
      <c r="M13" s="1"/>
      <c r="N13" s="1"/>
    </row>
    <row r="14" spans="2:14" ht="21" customHeight="1" x14ac:dyDescent="0.25">
      <c r="B14" s="13" t="s">
        <v>527</v>
      </c>
      <c r="C14" s="6">
        <v>10000</v>
      </c>
      <c r="D14" s="6">
        <v>5000</v>
      </c>
      <c r="E14" s="11">
        <f t="shared" ref="E14:E33" si="0">IF(B14="","",IF(AND(I14="Ready",$D$9="Ready"),C14*$D$5,NA()))</f>
        <v>20802</v>
      </c>
      <c r="F14" s="11">
        <f t="shared" ref="F14:F33" si="1">IF(B14="","",IF(AND(I14="Ready",$D$9="Ready"),D14*$D$6,NA()))</f>
        <v>9434</v>
      </c>
      <c r="G14" s="11">
        <f t="shared" ref="G14:G33" si="2">IF(B14="","",IF(AND(I14="Ready",$D$9="Ready"),SUM(E14:F14),NA()))</f>
        <v>30236</v>
      </c>
      <c r="H14" s="11">
        <f t="shared" ref="H14:H33" si="3">IF(B14="","",IF(AND(I14="Ready",$D$9="Ready"),G14*$D$7,NA()))</f>
        <v>14210.92</v>
      </c>
      <c r="I14" s="15" t="str">
        <f t="shared" ref="I14:I33" si="4">IF(B14="",IF(COUNTA(C14:D14)=0,"","Missing name"),IF(COUNT(C14:D14)&lt;&gt;2,"Check inputs",IF(AND(MIN(C14:D14)&gt;=0,SUMPRODUCT(--($B$14:$B$33=B14))=1),"Ready","Check inputs")))</f>
        <v>Ready</v>
      </c>
      <c r="J14" s="1"/>
      <c r="K14" s="1"/>
      <c r="L14" s="1"/>
      <c r="M14" s="1"/>
      <c r="N14" s="1"/>
    </row>
    <row r="15" spans="2:14" ht="21" customHeight="1" x14ac:dyDescent="0.25">
      <c r="B15" s="13"/>
      <c r="C15" s="6"/>
      <c r="D15" s="6"/>
      <c r="E15" s="11" t="str">
        <f t="shared" si="0"/>
        <v/>
      </c>
      <c r="F15" s="11" t="str">
        <f t="shared" si="1"/>
        <v/>
      </c>
      <c r="G15" s="11" t="str">
        <f t="shared" si="2"/>
        <v/>
      </c>
      <c r="H15" s="11" t="str">
        <f t="shared" si="3"/>
        <v/>
      </c>
      <c r="I15" s="15" t="str">
        <f t="shared" si="4"/>
        <v/>
      </c>
      <c r="J15" s="1"/>
      <c r="K15" s="1"/>
      <c r="L15" s="1"/>
      <c r="M15" s="1"/>
      <c r="N15" s="1"/>
    </row>
    <row r="16" spans="2:14" ht="21" customHeight="1" x14ac:dyDescent="0.25">
      <c r="B16" s="13"/>
      <c r="C16" s="6"/>
      <c r="D16" s="6"/>
      <c r="E16" s="11" t="str">
        <f t="shared" si="0"/>
        <v/>
      </c>
      <c r="F16" s="11" t="str">
        <f t="shared" si="1"/>
        <v/>
      </c>
      <c r="G16" s="11" t="str">
        <f t="shared" si="2"/>
        <v/>
      </c>
      <c r="H16" s="11" t="str">
        <f t="shared" si="3"/>
        <v/>
      </c>
      <c r="I16" s="15" t="str">
        <f t="shared" si="4"/>
        <v/>
      </c>
      <c r="J16" s="1"/>
      <c r="K16" s="1"/>
      <c r="L16" s="1"/>
      <c r="M16" s="1"/>
      <c r="N16" s="1"/>
    </row>
    <row r="17" spans="2:14" ht="21" customHeight="1" x14ac:dyDescent="0.25">
      <c r="B17" s="13"/>
      <c r="C17" s="6"/>
      <c r="D17" s="6"/>
      <c r="E17" s="11" t="str">
        <f t="shared" si="0"/>
        <v/>
      </c>
      <c r="F17" s="11" t="str">
        <f t="shared" si="1"/>
        <v/>
      </c>
      <c r="G17" s="11" t="str">
        <f t="shared" si="2"/>
        <v/>
      </c>
      <c r="H17" s="11" t="str">
        <f t="shared" si="3"/>
        <v/>
      </c>
      <c r="I17" s="15" t="str">
        <f t="shared" si="4"/>
        <v/>
      </c>
      <c r="J17" s="1"/>
      <c r="K17" s="1"/>
      <c r="L17" s="1"/>
      <c r="M17" s="1"/>
      <c r="N17" s="1"/>
    </row>
    <row r="18" spans="2:14" ht="21" customHeight="1" x14ac:dyDescent="0.25">
      <c r="B18" s="13"/>
      <c r="C18" s="6"/>
      <c r="D18" s="6"/>
      <c r="E18" s="11" t="str">
        <f t="shared" si="0"/>
        <v/>
      </c>
      <c r="F18" s="11" t="str">
        <f t="shared" si="1"/>
        <v/>
      </c>
      <c r="G18" s="11" t="str">
        <f t="shared" si="2"/>
        <v/>
      </c>
      <c r="H18" s="11" t="str">
        <f t="shared" si="3"/>
        <v/>
      </c>
      <c r="I18" s="15" t="str">
        <f t="shared" si="4"/>
        <v/>
      </c>
      <c r="J18" s="1"/>
      <c r="K18" s="1"/>
      <c r="L18" s="1"/>
      <c r="M18" s="1"/>
      <c r="N18" s="1"/>
    </row>
    <row r="19" spans="2:14" ht="21" customHeight="1" x14ac:dyDescent="0.25">
      <c r="B19" s="13"/>
      <c r="C19" s="6"/>
      <c r="D19" s="6"/>
      <c r="E19" s="11" t="str">
        <f t="shared" si="0"/>
        <v/>
      </c>
      <c r="F19" s="11" t="str">
        <f t="shared" si="1"/>
        <v/>
      </c>
      <c r="G19" s="11" t="str">
        <f t="shared" si="2"/>
        <v/>
      </c>
      <c r="H19" s="11" t="str">
        <f t="shared" si="3"/>
        <v/>
      </c>
      <c r="I19" s="15" t="str">
        <f t="shared" si="4"/>
        <v/>
      </c>
      <c r="J19" s="1"/>
      <c r="K19" s="1"/>
      <c r="L19" s="1"/>
      <c r="M19" s="1"/>
      <c r="N19" s="1"/>
    </row>
    <row r="20" spans="2:14" ht="21" customHeight="1" x14ac:dyDescent="0.25">
      <c r="B20" s="13"/>
      <c r="C20" s="6"/>
      <c r="D20" s="6"/>
      <c r="E20" s="11" t="str">
        <f t="shared" si="0"/>
        <v/>
      </c>
      <c r="F20" s="11" t="str">
        <f t="shared" si="1"/>
        <v/>
      </c>
      <c r="G20" s="11" t="str">
        <f t="shared" si="2"/>
        <v/>
      </c>
      <c r="H20" s="11" t="str">
        <f t="shared" si="3"/>
        <v/>
      </c>
      <c r="I20" s="15" t="str">
        <f t="shared" si="4"/>
        <v/>
      </c>
      <c r="J20" s="1"/>
      <c r="K20" s="1"/>
      <c r="L20" s="1"/>
      <c r="M20" s="1"/>
      <c r="N20" s="1"/>
    </row>
    <row r="21" spans="2:14" ht="21" customHeight="1" x14ac:dyDescent="0.25">
      <c r="B21" s="13"/>
      <c r="C21" s="6"/>
      <c r="D21" s="6"/>
      <c r="E21" s="11" t="str">
        <f t="shared" si="0"/>
        <v/>
      </c>
      <c r="F21" s="11" t="str">
        <f t="shared" si="1"/>
        <v/>
      </c>
      <c r="G21" s="11" t="str">
        <f t="shared" si="2"/>
        <v/>
      </c>
      <c r="H21" s="11" t="str">
        <f t="shared" si="3"/>
        <v/>
      </c>
      <c r="I21" s="15" t="str">
        <f t="shared" si="4"/>
        <v/>
      </c>
      <c r="J21" s="1"/>
      <c r="K21" s="1"/>
      <c r="L21" s="1"/>
      <c r="M21" s="1"/>
      <c r="N21" s="1"/>
    </row>
    <row r="22" spans="2:14" ht="21" customHeight="1" x14ac:dyDescent="0.25">
      <c r="B22" s="13"/>
      <c r="C22" s="6"/>
      <c r="D22" s="6"/>
      <c r="E22" s="11" t="str">
        <f t="shared" si="0"/>
        <v/>
      </c>
      <c r="F22" s="11" t="str">
        <f t="shared" si="1"/>
        <v/>
      </c>
      <c r="G22" s="11" t="str">
        <f t="shared" si="2"/>
        <v/>
      </c>
      <c r="H22" s="11" t="str">
        <f t="shared" si="3"/>
        <v/>
      </c>
      <c r="I22" s="15" t="str">
        <f t="shared" si="4"/>
        <v/>
      </c>
      <c r="J22" s="1"/>
      <c r="K22" s="1"/>
      <c r="L22" s="1"/>
      <c r="M22" s="1"/>
      <c r="N22" s="1"/>
    </row>
    <row r="23" spans="2:14" ht="21" customHeight="1" x14ac:dyDescent="0.25">
      <c r="B23" s="13"/>
      <c r="C23" s="6"/>
      <c r="D23" s="6"/>
      <c r="E23" s="11" t="str">
        <f t="shared" si="0"/>
        <v/>
      </c>
      <c r="F23" s="11" t="str">
        <f t="shared" si="1"/>
        <v/>
      </c>
      <c r="G23" s="11" t="str">
        <f t="shared" si="2"/>
        <v/>
      </c>
      <c r="H23" s="11" t="str">
        <f t="shared" si="3"/>
        <v/>
      </c>
      <c r="I23" s="15" t="str">
        <f t="shared" si="4"/>
        <v/>
      </c>
      <c r="J23" s="1"/>
      <c r="K23" s="1"/>
      <c r="L23" s="1"/>
      <c r="M23" s="1"/>
      <c r="N23" s="1"/>
    </row>
    <row r="24" spans="2:14" ht="21" customHeight="1" x14ac:dyDescent="0.25">
      <c r="B24" s="13"/>
      <c r="C24" s="6"/>
      <c r="D24" s="6"/>
      <c r="E24" s="11" t="str">
        <f t="shared" si="0"/>
        <v/>
      </c>
      <c r="F24" s="11" t="str">
        <f t="shared" si="1"/>
        <v/>
      </c>
      <c r="G24" s="11" t="str">
        <f t="shared" si="2"/>
        <v/>
      </c>
      <c r="H24" s="11" t="str">
        <f t="shared" si="3"/>
        <v/>
      </c>
      <c r="I24" s="15" t="str">
        <f t="shared" si="4"/>
        <v/>
      </c>
      <c r="J24" s="1"/>
      <c r="K24" s="1"/>
      <c r="L24" s="1"/>
      <c r="M24" s="1"/>
      <c r="N24" s="1"/>
    </row>
    <row r="25" spans="2:14" ht="21" customHeight="1" x14ac:dyDescent="0.25">
      <c r="B25" s="13"/>
      <c r="C25" s="6"/>
      <c r="D25" s="6"/>
      <c r="E25" s="11" t="str">
        <f t="shared" si="0"/>
        <v/>
      </c>
      <c r="F25" s="11" t="str">
        <f t="shared" si="1"/>
        <v/>
      </c>
      <c r="G25" s="11" t="str">
        <f t="shared" si="2"/>
        <v/>
      </c>
      <c r="H25" s="11" t="str">
        <f t="shared" si="3"/>
        <v/>
      </c>
      <c r="I25" s="15" t="str">
        <f t="shared" si="4"/>
        <v/>
      </c>
      <c r="J25" s="1"/>
      <c r="K25" s="1"/>
      <c r="L25" s="1"/>
      <c r="M25" s="1"/>
      <c r="N25" s="1"/>
    </row>
    <row r="26" spans="2:14" ht="21" customHeight="1" x14ac:dyDescent="0.25">
      <c r="B26" s="13"/>
      <c r="C26" s="6"/>
      <c r="D26" s="6"/>
      <c r="E26" s="11" t="str">
        <f t="shared" si="0"/>
        <v/>
      </c>
      <c r="F26" s="11" t="str">
        <f t="shared" si="1"/>
        <v/>
      </c>
      <c r="G26" s="11" t="str">
        <f t="shared" si="2"/>
        <v/>
      </c>
      <c r="H26" s="11" t="str">
        <f t="shared" si="3"/>
        <v/>
      </c>
      <c r="I26" s="15" t="str">
        <f t="shared" si="4"/>
        <v/>
      </c>
      <c r="J26" s="1"/>
      <c r="K26" s="1"/>
      <c r="L26" s="1"/>
      <c r="M26" s="1"/>
      <c r="N26" s="1"/>
    </row>
    <row r="27" spans="2:14" ht="21" customHeight="1" x14ac:dyDescent="0.25">
      <c r="B27" s="13"/>
      <c r="C27" s="6"/>
      <c r="D27" s="6"/>
      <c r="E27" s="11" t="str">
        <f t="shared" si="0"/>
        <v/>
      </c>
      <c r="F27" s="11" t="str">
        <f t="shared" si="1"/>
        <v/>
      </c>
      <c r="G27" s="11" t="str">
        <f t="shared" si="2"/>
        <v/>
      </c>
      <c r="H27" s="11" t="str">
        <f t="shared" si="3"/>
        <v/>
      </c>
      <c r="I27" s="15" t="str">
        <f t="shared" si="4"/>
        <v/>
      </c>
      <c r="J27" s="1"/>
      <c r="K27" s="1"/>
      <c r="L27" s="1"/>
      <c r="M27" s="1"/>
      <c r="N27" s="1"/>
    </row>
    <row r="28" spans="2:14" ht="21" customHeight="1" x14ac:dyDescent="0.25">
      <c r="B28" s="13"/>
      <c r="C28" s="6"/>
      <c r="D28" s="6"/>
      <c r="E28" s="11" t="str">
        <f t="shared" si="0"/>
        <v/>
      </c>
      <c r="F28" s="11" t="str">
        <f t="shared" si="1"/>
        <v/>
      </c>
      <c r="G28" s="11" t="str">
        <f t="shared" si="2"/>
        <v/>
      </c>
      <c r="H28" s="11" t="str">
        <f t="shared" si="3"/>
        <v/>
      </c>
      <c r="I28" s="15" t="str">
        <f t="shared" si="4"/>
        <v/>
      </c>
      <c r="J28" s="1"/>
      <c r="K28" s="1"/>
      <c r="L28" s="1"/>
      <c r="M28" s="1"/>
      <c r="N28" s="1"/>
    </row>
    <row r="29" spans="2:14" ht="21" customHeight="1" x14ac:dyDescent="0.25">
      <c r="B29" s="13"/>
      <c r="C29" s="6"/>
      <c r="D29" s="6"/>
      <c r="E29" s="11" t="str">
        <f t="shared" si="0"/>
        <v/>
      </c>
      <c r="F29" s="11" t="str">
        <f t="shared" si="1"/>
        <v/>
      </c>
      <c r="G29" s="11" t="str">
        <f t="shared" si="2"/>
        <v/>
      </c>
      <c r="H29" s="11" t="str">
        <f t="shared" si="3"/>
        <v/>
      </c>
      <c r="I29" s="15" t="str">
        <f t="shared" si="4"/>
        <v/>
      </c>
      <c r="J29" s="1"/>
      <c r="K29" s="1"/>
      <c r="L29" s="1"/>
      <c r="M29" s="1"/>
      <c r="N29" s="1"/>
    </row>
    <row r="30" spans="2:14" ht="21" customHeight="1" x14ac:dyDescent="0.25">
      <c r="B30" s="13"/>
      <c r="C30" s="6"/>
      <c r="D30" s="6"/>
      <c r="E30" s="11" t="str">
        <f t="shared" si="0"/>
        <v/>
      </c>
      <c r="F30" s="11" t="str">
        <f t="shared" si="1"/>
        <v/>
      </c>
      <c r="G30" s="11" t="str">
        <f t="shared" si="2"/>
        <v/>
      </c>
      <c r="H30" s="11" t="str">
        <f t="shared" si="3"/>
        <v/>
      </c>
      <c r="I30" s="15" t="str">
        <f t="shared" si="4"/>
        <v/>
      </c>
      <c r="J30" s="1"/>
      <c r="K30" s="1"/>
      <c r="L30" s="1"/>
      <c r="M30" s="1"/>
      <c r="N30" s="1"/>
    </row>
    <row r="31" spans="2:14" ht="21" customHeight="1" x14ac:dyDescent="0.25">
      <c r="B31" s="13"/>
      <c r="C31" s="6"/>
      <c r="D31" s="6"/>
      <c r="E31" s="11" t="str">
        <f t="shared" si="0"/>
        <v/>
      </c>
      <c r="F31" s="11" t="str">
        <f t="shared" si="1"/>
        <v/>
      </c>
      <c r="G31" s="11" t="str">
        <f t="shared" si="2"/>
        <v/>
      </c>
      <c r="H31" s="11" t="str">
        <f t="shared" si="3"/>
        <v/>
      </c>
      <c r="I31" s="15" t="str">
        <f t="shared" si="4"/>
        <v/>
      </c>
      <c r="J31" s="1"/>
      <c r="K31" s="1"/>
      <c r="L31" s="1"/>
      <c r="M31" s="1"/>
      <c r="N31" s="1"/>
    </row>
    <row r="32" spans="2:14" ht="21" customHeight="1" x14ac:dyDescent="0.25">
      <c r="B32" s="13"/>
      <c r="C32" s="6"/>
      <c r="D32" s="6"/>
      <c r="E32" s="11" t="str">
        <f t="shared" si="0"/>
        <v/>
      </c>
      <c r="F32" s="11" t="str">
        <f t="shared" si="1"/>
        <v/>
      </c>
      <c r="G32" s="11" t="str">
        <f t="shared" si="2"/>
        <v/>
      </c>
      <c r="H32" s="11" t="str">
        <f t="shared" si="3"/>
        <v/>
      </c>
      <c r="I32" s="15" t="str">
        <f t="shared" si="4"/>
        <v/>
      </c>
      <c r="J32" s="1"/>
      <c r="K32" s="1"/>
      <c r="L32" s="1"/>
      <c r="M32" s="1"/>
      <c r="N32" s="1"/>
    </row>
    <row r="33" spans="2:14" ht="21" customHeight="1" x14ac:dyDescent="0.25">
      <c r="B33" s="13"/>
      <c r="C33" s="6"/>
      <c r="D33" s="6"/>
      <c r="E33" s="11" t="str">
        <f t="shared" si="0"/>
        <v/>
      </c>
      <c r="F33" s="11" t="str">
        <f t="shared" si="1"/>
        <v/>
      </c>
      <c r="G33" s="11" t="str">
        <f t="shared" si="2"/>
        <v/>
      </c>
      <c r="H33" s="11" t="str">
        <f t="shared" si="3"/>
        <v/>
      </c>
      <c r="I33" s="15" t="str">
        <f t="shared" si="4"/>
        <v/>
      </c>
      <c r="J33" s="1"/>
      <c r="K33" s="1"/>
      <c r="L33" s="1"/>
      <c r="M33" s="1"/>
      <c r="N33" s="1"/>
    </row>
    <row r="34" spans="2:14" ht="21" customHeight="1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ht="21" customHeight="1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2:14" ht="21" customHeight="1" x14ac:dyDescent="0.25">
      <c r="B36" s="2" t="s">
        <v>528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2:14" ht="21" customHeight="1" x14ac:dyDescent="0.25">
      <c r="B37" s="1" t="s">
        <v>529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4" ht="21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2:14" ht="21" customHeight="1" x14ac:dyDescent="0.25">
      <c r="B39" s="2" t="s">
        <v>530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 ht="21" customHeigh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 ht="21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2:14" ht="21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2:14" ht="21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2:14" ht="21" customHeight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2:14" ht="21" customHeight="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2:14" ht="21" customHeight="1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2:14" ht="21" customHeight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2:14" ht="21" customHeight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</sheetData>
  <conditionalFormatting sqref="D9:D10">
    <cfRule type="expression" dxfId="1" priority="1">
      <formula>AND(D9&lt;&gt;"",D9&lt;&gt;"Ready")</formula>
    </cfRule>
  </conditionalFormatting>
  <conditionalFormatting sqref="I14:I33">
    <cfRule type="expression" dxfId="0" priority="3">
      <formula>AND(I14&lt;&gt;"",I14&lt;&gt;"Ready")</formula>
    </cfRule>
  </conditionalFormatting>
  <hyperlinks>
    <hyperlink ref="B1" location="'Read me'!B2" display="Contents" xr:uid="{726839F3-87D4-4519-BE47-CCF532F938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Read me</vt:lpstr>
      <vt:lpstr>Allocation</vt:lpstr>
      <vt:lpstr>Contractor</vt:lpstr>
      <vt:lpstr>Vendor finance</vt:lpstr>
      <vt:lpstr>Mixed loan</vt:lpstr>
      <vt:lpstr>Rental</vt:lpstr>
      <vt:lpstr>Packaging</vt:lpstr>
      <vt:lpstr>Amortisation</vt:lpstr>
      <vt:lpstr>Timeline</vt:lpstr>
      <vt:lpstr>Deed register</vt:lpstr>
      <vt:lpstr>Carry forward</vt:lpstr>
      <vt:lpstr>Loan offers</vt:lpstr>
      <vt:lpstr>Break even</vt:lpstr>
      <vt:lpstr>Working capital</vt:lpstr>
      <vt:lpstr>Construction WIP</vt:lpstr>
      <vt:lpstr>KPI awards</vt:lpstr>
      <vt:lpstr>Asset disposal</vt:lpstr>
      <vt:lpstr>Exit pay</vt:lpstr>
      <vt:lpstr>Tax cash</vt:lpstr>
      <vt:lpstr>Investment</vt:lpstr>
      <vt:lpstr>Action register</vt:lpstr>
      <vt:lpstr>Benefit 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2026-01-01T00:00:00Z</dcterms:modified>
</cp:coreProperties>
</file>