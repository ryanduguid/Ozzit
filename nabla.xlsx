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62"/>
    <sheet name="FMTs" sheetId="2" state="hidden" r:id="rId4"/>
    <sheet name="nabla.d.CountDOWλ" sheetId="41" r:id="rId5"/>
    <sheet name="nabla.d.IsBetweenλ" sheetId="43" r:id="rId6"/>
    <sheet name="nabla.d.IsOccurrenceDateλ" sheetId="44" r:id="rId7"/>
    <sheet name="nabla.d.OverLapDaysλ" sheetId="45" r:id="rId8"/>
    <sheet name="nabla.d.Periodsλ" sheetId="46" r:id="rId9"/>
    <sheet name="nabla.d.PeriodLabelλ" sheetId="47" r:id="rId10"/>
    <sheet name="nabla.d.ScheduleRatesλ" sheetId="48" r:id="rId11"/>
    <sheet name="nabla.d.ScheduleRatesByItemsλ" sheetId="49" r:id="rId12"/>
    <sheet name="nabla.d.ScheduleValuesλ" sheetId="50" r:id="rId13"/>
    <sheet name="nabla.d.ScheduleValuesByItemsλ" sheetId="51" r:id="rId14"/>
    <sheet name="nabla.d.Timelineλ" sheetId="52" r:id="rId15"/>
    <sheet name="nabla.f.Amortiseλ" sheetId="76" r:id="rId16"/>
    <sheet name="nabla.f.LabelAmortiseλ" sheetId="90" r:id="rId17"/>
    <sheet name="nabla.f.SumAmortiseλ" sheetId="83" r:id="rId18"/>
    <sheet name="nabla.f.Corkscrewλ" sheetId="77" r:id="rId19"/>
    <sheet name="nabla.f.Cumulativeλ" sheetId="99" r:id="rId20"/>
    <sheet name="nabla.f.Depreciateλ" sheetId="78" r:id="rId21"/>
    <sheet name="nabla.f.LabelDepreciateλ" sheetId="106" r:id="rId22"/>
    <sheet name="nabla.f.SumDepreciateλ" sheetId="107" r:id="rId23"/>
    <sheet name="nabla.f.SumContains" sheetId="108" r:id="rId24"/>
    <sheet name="nabla.f.IntOnIntλ" sheetId="80" r:id="rId25"/>
    <sheet name="nabla.f.IRRλ" sheetId="81" r:id="rId26"/>
    <sheet name="nabla.f.Reversalλ" sheetId="128" r:id="rId27"/>
    <sheet name="nabla.f.Movementλ" sheetId="82" r:id="rId28"/>
    <sheet name="nabla.f.RollingSumλ" sheetId="105" r:id="rId29"/>
    <sheet name="nabla.f.SumPeriodsλ" sheetId="89" r:id="rId30"/>
    <sheet name="nabla.f.TimelineOffsetλ" sheetId="96" r:id="rId31"/>
    <sheet name="nabla.f.TimelinePositionλ" sheetId="97" r:id="rId32"/>
    <sheet name="nabla.e.Aboutλ" sheetId="110" r:id="rId33"/>
    <sheet name="nabla.e.CountCλ" sheetId="118" r:id="rId34"/>
    <sheet name="nabla.e.SumRowsλ" sheetId="87" r:id="rId35"/>
    <sheet name="nabla.e.SumColsλ" sheetId="88" r:id="rId36"/>
    <sheet name="nabla.e.AvgRowsλ" sheetId="111" r:id="rId37"/>
    <sheet name="nabla.e.AvgColsλ" sheetId="112" r:id="rId38"/>
    <sheet name="nabla.e.MinRowsλ" sheetId="113" r:id="rId39"/>
    <sheet name="nabla.e.MinColsλ" sheetId="114" r:id="rId40"/>
    <sheet name="nabla.e.MaxRowsλ" sheetId="115" r:id="rId41"/>
    <sheet name="nabla.e.MaxColsλ" sheetId="116" r:id="rId42"/>
    <sheet name="nabla.e.CountRowsλ" sheetId="119" r:id="rId43"/>
    <sheet name="nabla.e.CountColsλ" sheetId="120" r:id="rId44"/>
    <sheet name="nabla.e.CountARowsλ" sheetId="122" r:id="rId45"/>
    <sheet name="nabla.e.CountAColsλ" sheetId="123" r:id="rId46"/>
    <sheet name="nabla.e.IsBetweenλ" sheetId="125" r:id="rId47"/>
    <sheet name="nabla.e.RangeToDAλ" sheetId="126" r:id="rId48"/>
    <sheet name="nabla.r.FinancialRatios" sheetId="131" r:id="rId49"/>
  </sheets>
  <definedNames>
    <definedName name="nabla.d.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(nabla.d is assumed to be the module's name)¶" &amp; "3              →=nabla.d.CountDOWλ(""22/3/2012"",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abla.d.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(nabla.d is assumed to be the module's name)¶" &amp; "FALSE          →=nabla.d.IsBetweenλ(1, 2, 4)¶" &amp; "TRUE           →=nabla.d.IsBetweenλ(Today(), Today(), Today()+1)¶" &amp; "FALSE          →=nabla.d.IsBetweenλ(""B"",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abla.d.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(nabla.d is assumed to be the module's name)¶" &amp; "72             →=SUM(N(nabla.d.IsOccurrenceDateλ(SEQUENCE(,90,""1/1/2025""), ""1/1/2025"", ""13/3/2025"", ""D"")))¶" &amp; "01             →=SUM(N(nabla.d.IsOccurrenceDateλ(SEQUENCE(,90,""1/1/2025""), ""1/1/2025"", ""13/3/2025"", ""O"")))¶" &amp; "11             →=SUM(N(nabla.d.IsOccurrenceDateλ(SEQUENCE(,90,""1/1/2025""),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abla.d.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(nabla.d is assumed to be the module's name)¶" &amp; "5              →=nabla.d.OverLapDaysλ(08, 14, 10, 17)¶" &amp; "8              →=nabla.d.OverLapDaysλ(10, 20, 11, 18)¶" &amp; "12             →=nabla.d.OverLapDaysλ(""17/1/2025"",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abla.d.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(nabla.d is assumed to be the module's name)¶" &amp; "2025-Feb-26    →=nabla.d.PeriodLabelλ(DATEVALUE(""26/2/2025""), ""D"")¶" &amp; "2023-Feb       →=nabla.d.PeriodLabelλ(DATEVALUE(""26/2/2025""), ""M"")¶" &amp; "2025:Q1       →=nabla.d.PeriodLabelλ(DATEVALUE(""26/2/2025""), ""Q"")¶" &amp; "2023           →=nabla.d.PeriodLabelλ(DATEVALUE(""26/2/2025""),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abla.d.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(nabla.d is assumed to be the module's name)¶" &amp; "2              →=nabla.d.Periodsλ(""31/3/2025"", ""15/5/2025"")¶" &amp; "-2             →=nabla.d.Periodsλ(""15/5/2025"", ""31/3/2025"")¶" &amp; "-12            →=nabla.d.Periodsλ(""15/1/2026"", ""16/1/2025"", , FALSE)¶" &amp; "-53            →=nabla.d.Periodsλ(""15/1/2026"",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abla.d.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(nabla.d is assumed to be the module's name)¶" &amp; "→nabla.d.ScheduleRatesByItemsλ(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nabla.d.ScheduleRatesByItemsλ(_xlpm.CvtPrdEnds, _xlpm.ItemFilter, _xlpm.ItemList, _xlpm.CvtEffDates, _xlpm.RateList, _xlpm.DoNotUse + 1))), CHOOSE(_xlpm.Help? + 1, _xlpm.Result, _xlpm.Help)))</definedName>
    <definedName name="nabla.d.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(nabla.d is assumed to be the module's name)¶" &amp; "_,10,20,30,30  →=nabla.d.ScheduleRatesλ(Timelineλ(""1/1/2025"",5,""W""),{45662;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abla.d.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(nabla.d is assumed to be the module's name)¶" &amp; "→nabla.d.ScheduleRatesByItemsλ(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nabla.d.ScheduleValuesByItemsλ(_xlpm.CvtPrdStarts, _xlpm.CvtPrdEnds, _xlpm.ItemFilter, _xlpm.ItemList, _xlpm.CvtEffDates, _xlpm.ValueList, _xlpm.Counter + 1))), CHOOSE(_xlpm.Help? + 1, _xlpm.Result, _xlpm.Help)))</definedName>
    <definedName name="nabla.d.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(nabla.d is assumed to be the module's name)¶" &amp; "→=nabla.d.ScheduleValuesλ(Timelineλ(""1/1/2025""),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abla.d.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(nabla.d is assumed to be the module's name)¶" &amp; "12 mo, starts  →=nabla.d.Timelineλ(TODAY())¶" &amp; "12 qtr, ends   →=nabla.d.Timelineλ(TODAY(),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abla.e.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e.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e.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e.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e.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e.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e.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e.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e.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e.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e.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e.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e.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e.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e.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e.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f.Aboutλ" comment="Displays this module's repository URL and function list">TRIM(_xlfn.TEXTSPLIT("ABOUT:             →nabla's Financial Models module. Suggested module name: nabla.f¶" &amp; "VERSION:           →18 Aug 2026¶" &amp; "REPOSITORY:          →https://github.com/ryanduguid/Nabla ¶" &amp; "WEBSITE:           →https://github.com/ryanduguid/Nabla ¶" &amp; "→¶" &amp; "FUNCTION           →DESCRIPTION¶" &amp; "Aboutλ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writing the residual off in the final period.¶" &amp; "PrimeCostλ         →Prime cost (straight line) depreciation, ATO method, for one asset or asset class.¶"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abla.f.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(nabla.f is assumed to be the module's name)¶" &amp; "→=nabla.f.Allocateλ({999.99,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abla.f.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(nabla.f is assumed to be the module's name)¶" &amp; "→=nabla.f.Amortiseλ(10000,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nabla.f.TimelineOffsetλ(_xlpm.StartDate, _xlpm.Timeline), _xlpm.NewBlock, nabla.f.TimelinePositionλ(_xlpm.AmortisationSched,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abla.f.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abla.f.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abla.f.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nabla.f is assumed to be the module's name¶" &amp; "Formula:       →=nabla.f.Corkscrewλ(0,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abla.f.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abla.f.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(nabla.f is assumed to be the module's name)¶" &amp; "1,3,6          →=nabla.f.Cumulativeλ(Sequence(,3))", "→", "¶")), _xlpm.Help?, _xlfn.ISOMITTED(_xlpm.Totals), _xlpm.Result, _xlfn.SCAN(_xlpm.OpeningBalance, _xlpm.Totals, _xlfn.LAMBDA(_xlpm.PreviousAmount,_xlpm.CurrentAmount, _xlpm.PreviousAmount + _xlpm.CurrentAmount)), CHOOSE(_xlpm.Help? + 1, _xlpm.Result, _xlpm.Help)))</definedName>
    <definedName name="nabla.f.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(nabla.f is assumed to be the module's name)¶" &amp; "→=nabla.f.DBλ(1000,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abla.f.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(nabla.f is assumed to be the module's name)¶" &amp; "→=nabla.f.DDBλ(1000,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abla.f.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nabla.f.PeriodDiffλ(_xlpm.InServiceDate, _xlpm.DisposalDate, "M"), _xlpm.LastPeriod, nabla.f.PeriodDiffλ(_xlpm.InServiceDate, _xlpm.DisposalDate, _xlpm.Interval), _xlpm.Depreciate, CHOOSE(MATCH(_xlfn.SINGLE(_xlpm.Method), _xlpm.MethodArray, 0), nabla.f.SLNλ(_xlpm.InitialValue, _xlpm.SalvageValue, _xlpm.Years), nabla.f.SYDλ(_xlpm.InitialValue, _xlpm.SalvageValue, _xlpm.Years), nabla.f.DBλ(_xlpm.InitialValue, _xlpm.SalvageValue, _xlpm.Years), nabla.f.DDBλ(_xlpm.InitialValue, _xlpm.SalvageValue, _xlpm.Years, _xlpm.Factor), nabla.f.VDBλ(_xlpm.InitialValue, _xlpm.SalvageValue, _xlpm.Years, _xlpm.Factor), nabla.f.DiminishingValueλ(_xlpm.InitialValue, _xlpm.Years), nabla.f.PrimeCostλ(_xlpm.InitialValue, _xlpm.Years), ), _xlpm.Disposal, _xlfn.HSTACK(_xlfn.SEQUENCE(1, _xlpm.LifeInMonths - 1, 0, 0), _xlpm.DisposalCost), _xlpm.Salvage, _xlfn.HSTACK(_xlfn.SEQUENCE(1, _xlpm.LifeInMonths - 1, 0, 0), _xlpm.SalvageValue), _xlpm.Allocate, _xlfn.HSTACK(_xlfn.EXPAND(nabla.f.Allocateλ(_xlpm.Depreciate,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abla.f.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abla.f.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(nabla.f is assumed to be the module's name)¶" &amp; """Cat""        →=nabla.f.FilterContainsλ(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abla.f.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(nabla.f is assumed to be the module's name)¶" &amp; "52.63          →=nabla.f.IntOnIntλ( 1000, 5%)", "→", "¶")), _xlpm.Help?, OR(_xlfn.ISOMITTED(_xlpm.Principal), _xlfn.ISOMITTED(_xlpm.Rate)), _xlpm.Result, _xlpm.Principal / (1 - _xlpm.Rate) - _xlpm.Principal, CHOOSE(_xlpm.Help? + 1, _xlpm.Result, _xlpm.Help)))</definedName>
    <definedName name="nabla.f.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(nabla.f is assumed to be the module's name)¶" &amp; "Dates          →=EDATE(""1/1/2025"", SEQUENCE(,24, 0))¶" &amp; "Values         →={0,0,-150,0,-100,10,20,30,40,50,60,70}¶" &amp; "→¶" &amp; "Result         →Formula¶" &amp; "24%            →=nabla.f.IRRλ(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abla.f.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(nabla.f is assumed to be the module's name)¶" &amp; "→=nabla.f.LabelAmortiseλ(tblLoans[Loan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abla.f.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(nabla.f is assumed to be the module's name)¶" &amp; "→=nabla.f.LabelDepreciateλ(tblAssets[Asset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abla.f.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(nabla.f is assumed to be the module's name)¶" &amp; "100,10,20,-30  →=nabla.f.Movementλ(,{100,110,130,100},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abla.f.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(nabla.f is assumed to be the module's name)¶" &amp; "1              →=nabla.f.PeriodDiffλ(""2026-01-01"",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abla.f.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(nabla.f is assumed to be the module's name)¶" &amp; "2026-04-01     →=nabla.f.PeriodStartλ(""2026-01-01"",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abla.f.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(nabla.f is assumed to be the module's name)¶" &amp; "               →=nabla.f.RangeToDAλ(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abla.f.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(nabla.f is assumed to be the module's name)¶" &amp; "-100,-110,-130 →=nabla.f.Reversalλ(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abla.f.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(nabla.f is assumed to be the module's name)¶" &amp; "1,3,6,9,12     →=nabla.f.RollingAvgλ(SEQUENCE(,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abla.f.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(nabla.f is assumed to be the module's name)¶" &amp; "5,5,5,6,6,7    →=nabla.f.RollingMaxλ({5,3,4,6,3,7},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abla.f.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(nabla.f is assumed to be the module's name)¶" &amp; "5,3,3,3,2,2    →=nabla.f.RollingMaxλ({5,3,4,6,2,7},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abla.f.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(nabla.f is assumed to be the module's name)¶" &amp; "1,3,6,9,12     →=nabla.f.RollingMinλ(SEQUENCE(,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abla.f.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abla.f.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(nabla.f is assumed to be the module's name)¶" &amp; "→=nabla.f.SumAmortiseλ(AmortisationSchedule)",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abla.f.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(nabla.f is assumed to be the module's name)¶" &amp; "               →=nabla.f.SumContainsλ(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abla.f.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(nabla.f is assumed to be the module's name)¶" &amp; "→=nabla.f.SumDepreciateλ(DepreciationSchedule)",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abla.f.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(nabla.f is assumed to be the module's name)¶" &amp; "03, 07         →=nabla.f.SumPeriodsλ({1,2,3,4;4,3,2,1;10,20,30,40},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abla.f.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"→=nabla.f.SYDλ(1000, 100, 5)¶" &amp; "→Result¶" &amp; "→300,240,180,120,60", "→", "¶")), _xlpm.Help?, OR(_xlfn.ISOMITTED(_xlpm.Cost), _xlfn.ISOMITTED(_xlpm.Salvage), _xlfn.ISOMITTED(_xlpm.Life)), _xlpm.Result, SYD(_xlpm.Cost, _xlpm.Salvage, _xlpm.Life, _xlfn.SEQUENCE(, _xlpm.Life)), CHOOSE(_xlpm.Help? + 1, _xlpm.Result, _xlpm.Help)))</definedName>
    <definedName name="nabla.f.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(nabla.f is assumed to be the module's name)¶" &amp; "→=nabla.f.TimelineOffsetλ(""15/2/2024"",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abla.f.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(nabla.f is assumed to be the module's name)¶" &amp; "→=nabla.f.TimelinePositionλ(SEQUENCE(3,3),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abla.f.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(nabla.f is assumed to be the module's name)¶" &amp; "→=nabla.f.VDBλ(1000,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abla.debt.Amortise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[0]!nabla.debt.Amortiseλ(IF(_xlpm.Period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abla.debt.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[0]!nabla.debt.DebtSculptFixedλ(_xlpm.ClosingDebt, _xlpm.Debt, _xlpm.CFADS, _xlpm.DSCR, _xlpm.APR, _xlpm.MonthsPerPeriod, _xlpm.Period + 1))), _xlpm.Return, IF(AND(_xlpm.Errors), 2, IF(OR(_xlpm.Errors), 3, IF(OR(ISERROR(_xlpm.Result)), 2, 1))), CHOOSE(_xlpm.Return, _xlpm.Result, _xlpm.Help, _xlpm.Messages)))</definedName>
    <definedName name="nabla.debt.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[0]!nabla.debt.InterestLRVλ(_xlpm.PeriodCFADS,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[0]!nabla.debt.DebtSculptVariableLRVλ(_xlpm.ClosingDebt, _xlpm.Debt, _xlpm.CFADS, _xlpm.DSCR, _xlpm.APR, _xlpm.MonthsPerPeriod, _xlpm.Period + 1))), _xlpm.Return, IF(AND(_xlpm.Errors), 2, IF(OR(_xlpm.Errors), 3, IF(OR(ISERROR(_xlpm.Result)), 2, 1))), CHOOSE(_xlpm.Return, _xlpm.Result, _xlpm.Help, _xlpm.Messages)))</definedName>
    <definedName name="nabla.debt.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[0]!nabla.debt.DebtSculptVariableλ(_xlpm.ClosingDebt, _xlpm.Debt, _xlpm.CFADS, _xlpm.DSCR, _xlpm.APR, _xlpm.MonthsPerPeriod, _xlpm.Period + 1))), _xlpm.Return, IF(AND(_xlpm.Errors), 2, IF(OR(_xlpm.Errors), 3, IF(OR(ISERROR(_xlpm.Result)), 2, 1))), CHOOSE(_xlpm.Return, _xlpm.Result, _xlpm.Help, _xlpm.Messages)))</definedName>
    <definedName name="nabla.debt.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[0]!nabla.debt.InterestLRVλ(_xlpm.CFADS, _xlpm.DSCR, _xlpm.Principal, _xlpm.InterestRate, -_xlpm.Repayment)), _xlpm.Return, IF(AND(_xlpm.Errors), 2, IF(OR(_xlpm.Errors), 3, IF(OR(ISERROR(_xlpm.Result)), 2, 1))), CHOOSE(_xlpm.Return, _xlpm.Result, _xlpm.Help, _xlpm.Messages)))</definedName>
    <definedName name="nabla.r.About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abla.r.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(nabla.r is assumed to be the module's name)¶" &amp; ".32x           →=nabla.r.AssetTurnoverRatioλ( 171760, 538715 )", "→", "¶")), _xlpm.Help?, OR(_xlfn.ISOMITTED(_xlpm.NetSales), _xlfn.ISOMITTED(_xlpm.TotalAssets)), _xlpm.Result, _xlpm.NetSales / _xlpm.TotalAssets, CHOOSE(_xlpm.Help? + 1, _xlpm.Result, _xlpm.Help)))</definedName>
    <definedName name="nabla.r.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(nabla.r is assumed to be the module's name)¶" &amp; "5                  →=nabla.r.BVPSλ(20.0,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abla.r.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(nabla.r is assumed to be the module's name)¶" &amp; "10             →=nabla.r.CAPERatioλ( 100.0, 10.0  )", "→", "¶")), _xlpm.Help?, OR(_xlfn.ISOMITTED(_xlpm.SharePrice), _xlfn.ISOMITTED(_xlpm.TenYearAverageEarningsInflationAdjusted)), _xlpm.Result, _xlpm.SharePrice / _xlpm.TenYearAverageEarningsInflationAdjusted, CHOOSE(_xlpm.Help? + 1, _xlpm.Result, _xlpm.Help)))</definedName>
    <definedName name="nabla.r.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(nabla.r is assumed to be the module's name)¶" &amp; "50.8%          →=nabla.r.CashFlowMarginλ( 2.695, 5.3 )", "→", "¶")), _xlpm.Help?, OR(_xlfn.ISOMITTED(_xlpm.CashFlowFromOperatingActivities), _xlfn.ISOMITTED(_xlpm.Revenue)), _xlpm.Result, _xlpm.CashFlowFromOperatingActivities / _xlpm.Revenue, CHOOSE(_xlpm.Help? + 1, _xlpm.Result, _xlpm.Help)))</definedName>
    <definedName name="nabla.r.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(nabla.r is assumed to be the module's name)¶" &amp; ".517409        →=nabla.r.CashRatioλ( 63900000, 123500000)", "→", "¶")), _xlpm.Help?, OR(_xlfn.ISOMITTED(_xlpm.Cash), _xlfn.ISOMITTED(_xlpm.Liabilities)), _xlpm.Result, _xlpm.Cash / _xlpm.Liabilities, CHOOSE(_xlpm.Help? + 1, _xlpm.Result, _xlpm.Help)))</definedName>
    <definedName name="nabla.r.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(nabla.r is assumed to be the module's name)¶" &amp; "1.075          →=nabla.r.CurrentRatioλ( 134.836, 125.481)", "→", "¶")), _xlpm.Help?, OR(_xlfn.ISOMITTED(_xlpm.Assets), _xlfn.ISOMITTED(_xlpm.Liabilities)), _xlpm.Result, _xlpm.Assets / _xlpm.Liabilities, CHOOSE(_xlpm.Help? + 1, _xlpm.Result, _xlpm.Help)))</definedName>
    <definedName name="nabla.r.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(nabla.r is assumed to be the module's name)¶" &amp; ".3             →=nabla.r.DebtRatioλ(30.0, 100.0)", "→", "¶")), _xlpm.Help?, OR(_xlfn.ISOMITTED(_xlpm.TotalDebt), _xlfn.ISOMITTED(_xlpm.TotalAssets)), _xlpm.Result, _xlpm.TotalDebt / _xlpm.TotalAssets, CHOOSE(_xlpm.Help? + 1, _xlpm.Result, _xlpm.Help)))</definedName>
    <definedName name="nabla.r.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(nabla.r is assumed to be the module's name)¶" &amp; ".49873             →=nabla.r.DebtToAssetRatioλ(31.845, 63.852 )", "→", "¶")), _xlpm.Help?, OR(_xlfn.ISOMITTED(_xlpm.TotalDebt), _xlfn.ISOMITTED(_xlpm.TotalAssets)), _xlpm.Result, _xlpm.TotalDebt / _xlpm.TotalAssets, CHOOSE(_xlpm.Help? + 1, _xlpm.Result, _xlpm.Help)))</definedName>
    <definedName name="nabla.r.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(nabla.r is assumed to be the module's name)¶" &amp; "26.4%              →=nabla.r.DebtToCapitalRatioλ( 80.0, 223.0 )", "→", "¶")), _xlpm.Help?, OR(_xlfn.ISOMITTED(_xlpm.Debt), _xlfn.ISOMITTED(_xlpm.ShareholdersEquity)), _xlpm.Result, _xlpm.Debt / (_xlpm.Debt + _xlpm.ShareholdersEquity), CHOOSE(_xlpm.Help? + 1, _xlpm.Result, _xlpm.Help)))</definedName>
    <definedName name="nabla.r.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(nabla.r is assumed to be the module's name)¶" &amp; "3.77               →=nabla.r.DebtToEquityRatioλ(279.0, 74.0 )", "→", "¶")), _xlpm.Help?, OR(_xlfn.ISOMITTED(_xlpm.TotalLiabilities), _xlfn.ISOMITTED(_xlpm.ShareholdersEquity), ), _xlpm.Result, _xlpm.TotalLiabilities / _xlpm.ShareholdersEquity, CHOOSE(_xlpm.Help? + 1, _xlpm.Result, _xlpm.Help)))</definedName>
    <definedName name="nabla.r.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(nabla.r is assumed to be the module's name)¶" &amp; "2.6667%        →=nabla.r.DividendYieldRatioλ( 1.2, 45 )", "→", "¶")), _xlpm.Help?, OR(_xlfn.ISOMITTED(_xlpm.AnnualDividendsPerShare), _xlfn.ISOMITTED(_xlpm.SharePrice)), _xlpm.Result, _xlpm.AnnualDividendsPerShare / _xlpm.SharePrice, CHOOSE(_xlpm.Help? + 1, _xlpm.Result, _xlpm.Help)))</definedName>
    <definedName name="nabla.r.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(nabla.r is assumed to be the module's name)¶" &amp; "25%            →=nabla.r.DPRλ( 5.0, 20.0 )", "→", "¶")), _xlpm.Help?, OR(_xlfn.ISOMITTED(_xlpm.DividendsPaid), _xlfn.ISOMITTED(_xlpm.NetIncome)), _xlpm.Result, _xlpm.DividendsPaid / _xlpm.NetIncome, CHOOSE(_xlpm.Help? + 1, _xlpm.Result, _xlpm.Help)))</definedName>
    <definedName name="nabla.r.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(nabla.r is assumed to be the module's name)¶" &amp; "6.142857           →=nabla.r.DSCRλ(2150.0, 350.0)", "→", "¶")), _xlpm.Help?, OR(_xlfn.ISOMITTED(_xlpm.NetOperatingIncome), _xlfn.ISOMITTED(_xlpm.TotalDebtService)), _xlpm.Result, _xlpm.NetOperatingIncome / _xlpm.TotalDebtService, CHOOSE(_xlpm.Help? + 1, _xlpm.Result, _xlpm.Help)))</definedName>
    <definedName name="nabla.r.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(nabla.r is assumed to be the module's name)¶" &amp; "40.8949 days       →=nabla.r.DSIλ(54.9, 490 )", "→", "¶")), _xlpm.Help?, OR(_xlfn.ISOMITTED(_xlpm.AverageInventory), _xlfn.ISOMITTED(_xlpm.CostOfGoodsSold)), _xlpm.DpY, 365, _xlpm.Result, _xlpm.AverageInventory / _xlpm.CostOfGoodsSold * _xlpm.DpY, CHOOSE(_xlpm.Help? + 1, _xlpm.Result, _xlpm.Help)))</definedName>
    <definedName name="nabla.r.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(nabla.r is assumed to be the module's name)¶" &amp; "12%            →=nabla.r.EBITDAMarginλ( 15.0, 125.0 )", "→", "¶")), _xlpm.Help?, OR(_xlfn.ISOMITTED(_xlpm.EBITDA), _xlfn.ISOMITTED(_xlpm.TotalRevenue)), _xlpm.Result, _xlpm.EBITDA / _xlpm.TotalRevenue, CHOOSE(_xlpm.Help? + 1, _xlpm.Result, _xlpm.Help)))</definedName>
    <definedName name="nabla.r.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(nabla.r is assumed to be the module's name)¶" &amp; "1.909548           →=nabla.r.EPSλ( 7.6,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abla.r.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"ShareholdersEquity →(Required) Shareholders' Equity (total assets - total liabilities) ¶" &amp; "EXAMPLES:          →Formula (nabla.r is assumed to be the module's name)¶" &amp; "4.40625            →=nabla.r.EquityMultiplierλ(366.6, 83.2 )", "→", "¶")), _xlpm.Help?, OR(_xlfn.ISOMITTED(_xlpm.TotalAssets), _xlfn.ISOMITTED(_xlpm.TotalShareholdersEquity)), _xlpm.Result, _xlpm.TotalAssets / _xlpm.TotalShareholdersEquity, CHOOSE(_xlpm.Help? + 1, _xlpm.Result, _xlpm.Help)))</definedName>
    <definedName name="nabla.r.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"OperatingIncome    →(Required) Operating Income (EBIT) ¶" &amp; "InterestExpenses   →(Required) Interest Expense ¶" &amp; "EXAMPLES:          →Formula (nabla.r is assumed to be the module's name)¶" &amp; "40%                →=nabla.r.EquityRatioλ( 20.0,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abla.r.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(nabla.r is assumed to be the module's name)¶" &amp; "61.7448%       →=nabla.r.GrossMarginλ( 62.984, 102.007 )", "→", "¶")), _xlpm.Help?, OR(_xlfn.ISOMITTED(_xlpm.GrossProfit), _xlfn.ISOMITTED(_xlpm.NetSales)), _xlpm.Result, _xlpm.GrossProfit / _xlpm.NetSales, CHOOSE(_xlpm.Help? + 1, _xlpm.Result, _xlpm.Help)))</definedName>
    <definedName name="nabla.r.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(nabla.r is assumed to be the module's name)¶" &amp; "6.944444           →=nabla.r.InterestCoverageRatioλ( 625.0, 90.0 )", "→", "¶")), _xlpm.Help?, OR(_xlfn.ISOMITTED(_xlpm.OperatingIncome), _xlfn.ISOMITTED(_xlpm.InterestExpenses)), _xlpm.Result, _xlpm.OperatingIncome / _xlpm.InterestExpenses, CHOOSE(_xlpm.Help? + 1, _xlpm.Result, _xlpm.Help)))</definedName>
    <definedName name="nabla.r.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(nabla.r is assumed to be the module's name)¶" &amp; "8.461538           →=nabla.r.InventoryTurnoverRatioλ( 429, 50.7)", "→", "¶")), _xlpm.Help?, OR(_xlfn.ISOMITTED(_xlpm.CostOfGoodsSold), _xlfn.ISOMITTED(_xlpm.AverageInventory)), _xlpm.Result, _xlpm.CostOfGoodsSold / _xlpm.AverageInventory, CHOOSE(_xlpm.Help? + 1, _xlpm.Result, _xlpm.Help)))</definedName>
    <definedName name="nabla.r.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(nabla.r is assumed to be the module's name)¶" &amp; "56%            →=nabla.r.NetProfitMarginλ( 56.0, 100.0 )", "→", "¶")), _xlpm.Help?, OR(_xlfn.ISOMITTED(_xlpm.NetIncome), _xlfn.ISOMITTED(_xlpm.Revenue)), _xlpm.Result, _xlpm.NetIncome / _xlpm.Revenue, CHOOSE(_xlpm.Help? + 1, _xlpm.Result, _xlpm.Help)))</definedName>
    <definedName name="nabla.r.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(nabla.r is assumed to be the module's name)¶" &amp; "0.35871            →=nabla.r.OperatingCashFlowRatioλ( 27.8, 77.5)", "→", "¶")), _xlpm.Help?, OR(_xlfn.ISOMITTED(_xlpm.OperatingCashFlow), _xlfn.ISOMITTED(_xlpm.Liabilities)), _xlpm.Result, _xlpm.OperatingCashFlow / _xlpm.Liabilities, CHOOSE(_xlpm.Help? + 1, _xlpm.Result, _xlpm.Help)))</definedName>
    <definedName name="nabla.r.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(nabla.r is assumed to be the module's name)¶" &amp; "40%                →=nabla.r.OperatingMarginλ( .8, 2.0 )", "→", "¶")), _xlpm.Help?, OR(_xlfn.ISOMITTED(_xlpm.OperatingEarnings), _xlfn.ISOMITTED(_xlpm.Revenue)), _xlpm.Result, _xlpm.OperatingEarnings / _xlpm.Revenue, CHOOSE(_xlpm.Help? + 1, _xlpm.Result, _xlpm.Help)))</definedName>
    <definedName name="nabla.r.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(nabla.r is assumed to be the module's name)¶" &amp; "69%                →=nabla.r.OperatingRatioλ( 14.37,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abla.r.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(nabla.r is assumed to be the module's name)¶" &amp; "8%             →=nabla.r.PretaxMarginλ( 40.0, 500.0 )", "→", "¶")), _xlpm.Help?, OR(_xlfn.ISOMITTED(_xlpm.PretaxEarnings), _xlfn.ISOMITTED(_xlpm.Revenue)), _xlpm.Result, _xlpm.PretaxEarnings / _xlpm.Revenue, CHOOSE(_xlpm.Help? + 1, _xlpm.Result, _xlpm.Help)))</definedName>
    <definedName name="nabla.r.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(nabla.r is assumed to be the module's name)¶" &amp; "14.39881           →=nabla.r.PriceEarningsRatioλ( 242.62, 16.85)", "→", "¶")), _xlpm.Help?, OR(_xlfn.ISOMITTED(_xlpm.SharePrice), _xlfn.ISOMITTED(_xlpm.EarningsPerShare)), _xlpm.Result, _xlpm.SharePrice / _xlpm.EarningsPerShare, CHOOSE(_xlpm.Help? + 1, _xlpm.Result, _xlpm.Help)))</definedName>
    <definedName name="nabla.r.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(nabla.r is assumed to be the module's name)¶" &amp; "2.0                →=nabla.r.PriceToBookRatioλ( 5, 2.50 )", "→", "¶")), _xlpm.Help?, OR(_xlfn.ISOMITTED(_xlpm.MarketPricePerShare), _xlfn.ISOMITTED(_xlpm.BookValuePerShare)), _xlpm.Result, _xlpm.MarketPricePerShare / _xlpm.BookValuePerShare, CHOOSE(_xlpm.Help? + 1, _xlpm.Result, _xlpm.Help)))</definedName>
    <definedName name="nabla.r.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(nabla.r is assumed to be the module's name)¶" &amp; "2                  →=nabla.r.PriceToCashRatioλ( 200.0, 100.0 )", "→", "¶")), _xlpm.Help?, OR(_xlfn.ISOMITTED(_xlpm.MarketPricePerShare), _xlfn.ISOMITTED(_xlpm.OperatingCashFlowPerShare)), _xlpm.Result, _xlpm.MarketPricePerShare / _xlpm.OperatingCashFlowPerShare, CHOOSE(_xlpm.Help? + 1, _xlpm.Result, _xlpm.Help)))</definedName>
    <definedName name="nabla.r.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(nabla.r is assumed to be the module's name)¶" &amp; "4.55               →=nabla.r.PriceToSalesRatioλ( 455.0, 100.0 )", "→", "¶")), _xlpm.Help?, OR(_xlfn.ISOMITTED(_xlpm.MarketPricePerShare), _xlfn.ISOMITTED(_xlpm.SalesPerShare)), _xlpm.Result, _xlpm.MarketPricePerShare / _xlpm.SalesPerShare, CHOOSE(_xlpm.Help? + 1, _xlpm.Result, _xlpm.Help)))</definedName>
    <definedName name="nabla.r.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(nabla.r is assumed to be the module's name)¶" &amp; "1.2            →=nabla.r.QuickRatioλ( 165000, 137500)", "→", "¶")), _xlpm.Help?, OR(_xlfn.ISOMITTED(_xlpm.QuickAssets), _xlfn.ISOMITTED(_xlpm.Liabilities)), _xlpm.Result, _xlpm.QuickAssets / _xlpm.Liabilities, CHOOSE(_xlpm.Help? + 1, _xlpm.Result, _xlpm.Help)))</definedName>
    <definedName name="nabla.r.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(nabla.r is assumed to be the module's name)¶" &amp; "11.76471       →=nabla.r.ReceivablesTurnoverRatioλ( 800000, 68000 )", "→", "¶")), _xlpm.Help?, OR(_xlfn.ISOMITTED(_xlpm.NetCreditSales), _xlfn.ISOMITTED(_xlpm.AverageAccountsReceivable)), _xlpm.Result, _xlpm.NetCreditSales / _xlpm.AverageAccountsReceivable, CHOOSE(_xlpm.Help? + 1, _xlpm.Result, _xlpm.Help)))</definedName>
    <definedName name="nabla.r.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(nabla.r is assumed to be the module's name)¶" &amp; "189.9%             →=nabla.r.RetentionRatioλ( 41.981, 22.112)", "→", "¶")), _xlpm.Help?, OR(_xlfn.ISOMITTED(_xlpm.RetainedEarnings), _xlfn.ISOMITTED(_xlpm.NetIncome)), _xlpm.Result, _xlpm.RetainedEarnings / _xlpm.NetIncome, CHOOSE(_xlpm.Help? + 1, _xlpm.Result, _xlpm.Help)))</definedName>
    <definedName name="nabla.r.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(nabla.r is assumed to be the module's name)¶" &amp; "8%             →=nabla.r.ROAλ(1200, 15000 )", "→", "¶")), _xlpm.Help?, OR(_xlfn.ISOMITTED(_xlpm.NetIncome), _xlfn.ISOMITTED(_xlpm.TotalAssets)), _xlpm.Result, _xlpm.NetIncome / _xlpm.TotalAssets, CHOOSE(_xlpm.Help? + 1, _xlpm.Result, _xlpm.Help)))</definedName>
    <definedName name="nabla.r.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(nabla.r is assumed to be the module's name)¶" &amp; "23.6213%           →=nabla.r.ROEλ( 59.972, AVERAGE(251.635, 256.144) )", "→", "¶")), _xlpm.Help?, OR(_xlfn.ISOMITTED(_xlpm.NetIncome), _xlfn.ISOMITTED(_xlpm.ShareholdersEquity)), _xlpm.Result, _xlpm.NetIncome / _xlpm.ShareholdersEquity, CHOOSE(_xlpm.Help? + 1, _xlpm.Result, _xlpm.Help)))</definedName>
    <definedName name="nabla.r.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(nabla.r is assumed to be the module's name)¶" &amp; "12.6122%       →=nabla.r.ROICλ( 3245, 25729 )", "→", "¶")), _xlpm.Help?, OR(_xlfn.ISOMITTED(_xlpm.NetOperatingProfitAfterTax), _xlfn.ISOMITTED(_xlpm.InvestedCapital)), _xlpm.Result, _xlpm.NetOperatingProfitAfterTax / _xlpm.InvestedCapital, CHOOSE(_xlpm.Help? + 1, _xlpm.Result, _xlpm.Help)))</definedName>
    <definedName name="nabla.r.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(nabla.r is assumed to be the module's name)¶" &amp; "28.75%                 →=nabla.r.ROIλ( 2875, 10000 )", "→", "¶")), _xlpm.Help?, OR(_xlfn.ISOMITTED(_xlpm.NetReturnonInvestment), _xlfn.ISOMITTED(_xlpm.CostofInvestment)), _xlpm.Result, _xlpm.NetReturnonInvestment / _xlpm.CostofInvestment, CHOOSE(_xlpm.Help? + 1, _xlpm.Result, _xlpm.Help)))</definedName>
    <definedName name="nabla.r.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(nabla.r is assumed to be the module's name)¶" &amp; "6.0               →=nabla.r.WorkingCapitalTurnoverRatioλ( 12.0, 2.0)", "→", "¶")), _xlpm.Help?, OR(_xlfn.ISOMITTED(_xlpm.NetAnnualSales), _xlfn.ISOMITTED(_xlpm.WorkingCapital)), _xlpm.Result, _xlpm.NetAnnualSales / _xlpm.WorkingCapital, CHOOSE(_xlpm.Help? + 1, _xlpm.Result, _xlpm.Help)))</definedName>
    <definedName name="nabla.u.Aboutλ" comment="Displays this module's repository URL and function list">TRIM(_xlfn.TEXTSPLIT("About:                     →Basic functions for working with dynamic arrays. Suggested module name: nabla.u¶"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definedName>
    <definedName name="nabla.u.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u.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u.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u.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u.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u.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u.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u.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u.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u.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u.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u.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u.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u.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u.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u.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Slicer_Type">#N/A</definedName>
    <definedName name="nabla.e.Aboutλ" comment="Displays this module's repository URL and function list">TRIM(_xlfn.TEXTSPLIT( "About: →Basic functions for working with dynamic arrays. Suggested module name: nabla.e¶"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 )</definedName>
    <definedName name="nabla.d.Aboutλ" comment="Displays this module's repository URL and function list">TRIM( _xlfn.TEXTSPLIT( "About: →CBSE compliant LAMBDAs dealing with dates. Suggested module name: nabla.d¶" &amp; "Version: →18 Aug 2026¶" &amp; "Repository: →https://github.com/ryanduguid/Nabla ¶" &amp; "→¶" &amp; "Function →Description¶" &amp; "Aboutλ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abla.f.DiminishingValueλ" comment="Diminishing value depreciation (ATO 200% method), writing the residual off in the final period.">_xlfn.LAMBDA(_xlop.Cost,_xlop.Life, _xlfn.LET(_xlpm.Help, TRIM(_xlfn.TEXTSPLIT("FUNCTION:      →DiminishingValueλ(Cost, Life)¶" &amp; "DESCRIPTION:   →Diminishing value depreciation (ATO 200% method), writing the residual off in the final period.¶" &amp; "WEBPAGE:       →https://github.com/ryanduguid/Nabla¶" &amp; "VERSION:       →18 Aug 2026¶" &amp; "PARAMETERS:    →¶" &amp; "Cost           →(Required) Asset's cost.¶" &amp; "Life           →(Required) Asset's effective life in years.¶" &amp; "EXAMPLES:      →¶" &amp; "→Formula (nabla.f is assumed to be the module's name)¶" &amp; "→=nabla.f.DiminishingValueλ(1000,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abla.f.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(nabla.f is assumed to be the module's name)¶" &amp; "→=nabla.f.PrimeCostλ(1000,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abla.f.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(nabla.f is assumed to be the module's name)¶" &amp; "→=nabla.f.GSTAddλ(100)¶" &amp; "→Result¶" &amp; "→110", "→", "¶")), _xlpm.Help?, _xlfn.ISOMITTED(_xlpm.Amounts), _xlpm.GSTRate, IF(OR(_xlfn.ISOMITTED(_xlpm.Rate), TRIM(_xlpm.Rate &amp; "")=""), 0.1, _xlpm.Rate), _xlpm.Result, IF(TRIM(_xlpm.Amounts &amp; "")="", "", _xlpm.Amounts * (1 + _xlpm.GSTRate)), CHOOSE(_xlpm.Help? + 1, _xlpm.Result, _xlpm.Help)))</definedName>
    <definedName name="nabla.f.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(nabla.f is assumed to be the module's name)¶" &amp; "→=nabla.f.GSTExtractλ(110)¶"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abla.d.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(nabla.d is assumed to be the module's name)¶" &amp; "→=nabla.d.FinancialYearλ(DATE(2026,8,15))¶"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<sst xmlns="http://schemas.openxmlformats.org/spreadsheetml/2006/main" count="1857" uniqueCount="542">
  <si>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</si>
  <si>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</si>
  <si>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</si>
  <si>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</si>
  <si>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</si>
  <si>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</si>
  <si>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</si>
  <si>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</si>
  <si>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</si>
  <si>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</si>
  <si>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</si>
  <si>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</si>
  <si>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</si>
  <si>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</si>
  <si>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</si>
  <si>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</si>
  <si>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</si>
  <si>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</si>
  <si>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</si>
  <si>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</si>
  <si>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</si>
  <si>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</si>
  <si>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</si>
  <si>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</si>
  <si>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</si>
  <si>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</si>
  <si>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</si>
  <si>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</si>
  <si>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</si>
  <si>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</si>
  <si>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</si>
  <si>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</si>
  <si>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</si>
  <si>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</si>
  <si>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</si>
  <si>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</si>
  <si>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</si>
  <si>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</si>
  <si>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</si>
  <si>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</si>
  <si>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</si>
  <si>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</si>
  <si>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</si>
  <si>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</si>
  <si>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</si>
  <si>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</si>
  <si>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</si>
  <si>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</si>
  <si>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</si>
  <si>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</si>
  <si>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</si>
  <si>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</si>
  <si>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</si>
  <si>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</si>
  <si>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</si>
  <si>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</si>
  <si>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</si>
  <si>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</si>
  <si>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</si>
  <si>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</si>
  <si>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</si>
  <si>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</si>
  <si>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</si>
  <si>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</si>
  <si>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</si>
  <si>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</si>
  <si>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</si>
  <si>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</si>
  <si>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</si>
  <si>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</si>
  <si>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</si>
  <si>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</si>
  <si>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</si>
  <si>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</si>
  <si>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</si>
  <si>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</si>
  <si>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</si>
  <si>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</si>
  <si>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</si>
  <si>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</si>
  <si>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</si>
  <si>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</si>
  <si>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</si>
  <si>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</si>
  <si>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</si>
  <si>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</si>
  <si>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</si>
  <si>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</si>
  <si>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</si>
  <si>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</si>
  <si>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</si>
  <si>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</si>
  <si>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</si>
  <si>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</si>
  <si>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</si>
  <si>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</si>
  <si>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</si>
  <si>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</si>
  <si>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</si>
  <si>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</si>
  <si>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</si>
  <si>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</si>
  <si>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</si>
  <si>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</si>
  <si>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</si>
  <si>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</si>
  <si>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</si>
  <si>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</si>
  <si>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</si>
  <si>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</si>
  <si>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</si>
  <si>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</si>
  <si>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</si>
  <si>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</si>
  <si>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</si>
  <si>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</si>
  <si>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</si>
  <si>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</si>
  <si>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</si>
  <si>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</si>
  <si>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</si>
  <si>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</si>
  <si>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</si>
  <si>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</si>
  <si>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</si>
  <si>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</si>
  <si>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</si>
  <si>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</si>
  <si>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</si>
  <si>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</si>
  <si>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</si>
  <si>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</si>
  <si>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</si>
  <si>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</si>
  <si>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</si>
  <si>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</si>
  <si>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</si>
  <si>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</si>
  <si>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</si>
  <si>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</si>
  <si>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</si>
  <si>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</si>
  <si>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</si>
  <si>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</si>
  <si>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</si>
  <si>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</si>
  <si>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</si>
  <si>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</si>
  <si>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</si>
  <si>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</si>
  <si>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</si>
  <si>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</si>
  <si>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</si>
  <si>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</si>
  <si>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</si>
  <si>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</si>
  <si>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</si>
  <si>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</si>
  <si>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</si>
  <si>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</si>
  <si>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</si>
  <si>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</si>
  <si>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</si>
  <si>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</si>
  <si>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</si>
  <si>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</si>
  <si>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</si>
  <si>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</si>
  <si>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nabla.d.CountDOWλ</t>
  </si>
  <si>
    <t>nabla.d.IsBetweenλ</t>
  </si>
  <si>
    <t>nabla.d.IsOccurrenceDateλ</t>
  </si>
  <si>
    <t>nabla.d.OverLapDaysλ</t>
  </si>
  <si>
    <t>nabla.d.Periodsλ</t>
  </si>
  <si>
    <t>nabla.d.PeriodLabelλ</t>
  </si>
  <si>
    <t>nabla.d.ScheduleRatesλ</t>
  </si>
  <si>
    <t>nabla.d.ScheduleRatesByItemsλ</t>
  </si>
  <si>
    <t>nabla.d.ScheduleValuesλ</t>
  </si>
  <si>
    <t>nabla.d.ScheduleValuesByItemsλ</t>
  </si>
  <si>
    <t>nabla.d.Timelineλ</t>
  </si>
  <si>
    <t>Unit Completion Schedule</t>
  </si>
  <si>
    <t>Rental Rate Schedule</t>
  </si>
  <si>
    <t>Timeline Arguments</t>
  </si>
  <si>
    <t>nabla.f.Aboutλ</t>
  </si>
  <si>
    <t>nabla.f.Amortiseλ</t>
  </si>
  <si>
    <t>nabla.f.Corkscrewλ</t>
  </si>
  <si>
    <t>nabla.f.Depreciateλ</t>
  </si>
  <si>
    <t>nabla.f.IntOnIntλ</t>
  </si>
  <si>
    <t>nabla.f.IRRλ</t>
  </si>
  <si>
    <t>nabla.f.Movementλ</t>
  </si>
  <si>
    <t>nabla.f.SumAmortiseλ</t>
  </si>
  <si>
    <t>nabla.f.SumPeriodsλ</t>
  </si>
  <si>
    <t>nabla.f.LabelAmortiseλ</t>
  </si>
  <si>
    <t>nabla.f.LabelDepreciateλ</t>
  </si>
  <si>
    <t>nabla.f.TimelineOffsetλ</t>
  </si>
  <si>
    <t>nabla.f.TimelinePositionλ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</si>
  <si>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</si>
  <si>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</si>
  <si>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</si>
  <si>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</si>
  <si>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</si>
  <si>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</si>
  <si>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</si>
  <si>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</si>
  <si>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</si>
  <si>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</si>
  <si>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</si>
  <si>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</si>
  <si>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</si>
  <si>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</si>
  <si>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</si>
  <si>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</si>
  <si>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</si>
  <si>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</si>
  <si>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</si>
  <si>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</si>
  <si>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</si>
  <si>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</si>
  <si>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</si>
  <si>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</si>
  <si>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</si>
  <si>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</si>
  <si>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</si>
  <si>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</si>
  <si>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</si>
  <si>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</si>
  <si>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</si>
  <si>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</si>
  <si>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</si>
  <si>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</si>
  <si>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</si>
  <si>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</si>
  <si>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</si>
  <si>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</si>
  <si>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</si>
  <si>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</si>
  <si>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</si>
  <si>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</si>
  <si>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</si>
  <si>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</si>
  <si>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</si>
  <si>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</si>
  <si>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</si>
  <si>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</si>
  <si>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</si>
  <si>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</si>
  <si>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</si>
  <si>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</si>
  <si>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</si>
  <si>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</si>
  <si>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</si>
  <si>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</si>
  <si>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</si>
  <si>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</si>
  <si>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</si>
  <si>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</si>
  <si>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</si>
  <si>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</si>
  <si>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</si>
  <si>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</si>
  <si>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</si>
  <si>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</si>
  <si>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</si>
  <si>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</si>
  <si>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</si>
  <si>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</si>
  <si>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</si>
  <si>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</si>
  <si>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</si>
  <si>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</si>
  <si>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</si>
  <si>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</si>
  <si>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</si>
  <si>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</si>
  <si>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</si>
  <si>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</si>
  <si>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</si>
  <si>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</si>
  <si>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</si>
  <si>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</si>
  <si>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</si>
  <si>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</si>
  <si>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</si>
  <si>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</si>
  <si>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</si>
  <si>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</si>
  <si>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</si>
  <si>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</si>
  <si>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</si>
  <si>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</si>
  <si>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</si>
  <si>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</si>
  <si>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</si>
  <si>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</si>
  <si>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</si>
  <si>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</si>
  <si>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</si>
  <si>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</si>
  <si>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</si>
  <si>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</si>
  <si>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</si>
  <si>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</si>
  <si>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</si>
  <si>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</si>
  <si>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</si>
  <si>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</si>
  <si>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</si>
  <si>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</si>
  <si>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</si>
  <si>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nabla.f.Cumulativeλ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</si>
  <si>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</si>
  <si>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</si>
  <si>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</si>
  <si>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</si>
  <si>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</si>
  <si>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</si>
  <si>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</si>
  <si>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</si>
  <si>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</si>
  <si>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</si>
  <si>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</si>
  <si>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</si>
  <si>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</si>
  <si>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</si>
  <si>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</si>
  <si>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</si>
  <si>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</si>
  <si>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</si>
  <si>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</si>
  <si>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</si>
  <si>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</si>
  <si>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</si>
  <si>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</si>
  <si>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</si>
  <si>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</si>
  <si>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</si>
  <si>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</si>
  <si>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</si>
  <si>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</si>
  <si>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</si>
  <si>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</si>
  <si>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</si>
  <si>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</si>
  <si>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</si>
  <si>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</si>
  <si>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</si>
  <si>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</si>
  <si>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</si>
  <si>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</si>
  <si>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</si>
  <si>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</si>
  <si>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</si>
  <si>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</si>
  <si>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</si>
  <si>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</si>
  <si>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</si>
  <si>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</si>
  <si>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</si>
  <si>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</si>
  <si>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</si>
  <si>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</si>
  <si>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</si>
  <si>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</si>
  <si>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nabla.f.SumDepreciateλ</t>
  </si>
  <si>
    <t>tblAssets1112</t>
  </si>
  <si>
    <t>nabla.f.SumContains</t>
  </si>
  <si>
    <t>tblAssets111214</t>
  </si>
  <si>
    <t>tblPhases</t>
  </si>
  <si>
    <t>nabla.f.RollingSumλ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</si>
  <si>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</si>
  <si>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</si>
  <si>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</si>
  <si>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nabla.e.SumColsλ</t>
  </si>
  <si>
    <t>nabla.e.SumRowsλ</t>
  </si>
  <si>
    <t>nabla.e.Aboutλ</t>
  </si>
  <si>
    <t>nabla.e.AvgRowsλ</t>
  </si>
  <si>
    <t>nabla.e.AvgColsλ</t>
  </si>
  <si>
    <t>nabla.e.MinRowsλ</t>
  </si>
  <si>
    <t>nabla.e.MinColsλ</t>
  </si>
  <si>
    <t>nabla.e.MaxRowsλ</t>
  </si>
  <si>
    <t>nabla.e.MaxColsλ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</si>
  <si>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</si>
  <si>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</si>
  <si>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</si>
  <si>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</si>
  <si>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</si>
  <si>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</si>
  <si>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</si>
  <si>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</si>
  <si>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</si>
  <si>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six nabla modules: dates (nabla.d), array essentials (nabla.e), financial functions (nabla.f), financial ratios (nabla.r), utilities (nabla.u) and debt (nabla.debt).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</si>
  <si>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</si>
  <si>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</si>
  <si>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</si>
  <si>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</si>
  <si>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</si>
  <si>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</si>
  <si>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</si>
  <si>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</si>
  <si>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</si>
  <si>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</si>
  <si>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</si>
  <si>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</si>
  <si>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</si>
  <si>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</si>
  <si>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</si>
  <si>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nabla.e.CountCλ</t>
  </si>
  <si>
    <t>nabla.e.CountRowsλ</t>
  </si>
  <si>
    <t>nabla.e.CountColsλ</t>
  </si>
  <si>
    <t>nabla.e.CountARowsλ</t>
  </si>
  <si>
    <t>nabla.e.CountAColsλ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</si>
  <si>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</si>
  <si>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</si>
  <si>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</si>
  <si>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</si>
  <si>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</si>
  <si>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</si>
  <si>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</si>
  <si>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</si>
  <si>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</si>
  <si>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</si>
  <si>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nabla.e.IsBetweenλ</t>
  </si>
  <si>
    <t>tblOnBoarding</t>
  </si>
  <si>
    <t>nabla.e.RangeToDAλ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</si>
  <si>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</si>
  <si>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</si>
  <si>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</si>
  <si>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</si>
  <si>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</si>
  <si>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</si>
  <si>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</si>
  <si>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</si>
  <si>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</si>
  <si>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</si>
  <si>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</si>
  <si>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</si>
  <si>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</si>
  <si>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nabla.f.Reversalλ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</si>
  <si>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</si>
  <si>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</si>
  <si>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</si>
  <si>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</si>
  <si>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</si>
  <si>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</si>
  <si>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</si>
  <si>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</si>
  <si>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</si>
  <si>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</si>
  <si>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</si>
  <si>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</si>
  <si>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</si>
  <si>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</si>
  <si>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</si>
  <si>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</si>
  <si>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</si>
  <si>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</si>
  <si>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</si>
  <si>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</si>
  <si>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nabla.r.FinancialRatios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</si>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</sst>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xf numFmtId="0" fontId="4" fillId="0" borderId="0" xfId="0" applyFont="1"/>
    <xf numFmtId="164" fontId="0" fillId="0" borderId="0" xfId="0" applyNumberFormat="1"/>
    <xf numFmtId="171" fontId="0" fillId="0" borderId="0" xfId="0" applyNumberFormat="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0.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nabla.d.ScheduleValues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=nabla.e.</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nabla.e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nabla.e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tabSelected="1"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5546875" bestFit="1" customWidth="1"/>
    <col min="3" max="3" width="30.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350</v>
      </c>
      <c r="B7" s="108" t="s">
        <v>351</v>
      </c>
      <c r="C7" s="111" t="s">
        <v>136</v>
      </c>
      <c r="D7" s="109" t="s">
        <v>424</v>
      </c>
    </row>
    <row r="8" spans="1:6" x14ac:dyDescent="0.25">
      <c r="A8" s="110" t="s">
        <v>455</v>
      </c>
      <c r="B8" s="108" t="s">
        <v>134</v>
      </c>
      <c r="C8" s="111" t="s">
        <v>455</v>
      </c>
      <c r="D8" s="109"/>
    </row>
    <row r="9" spans="1:6"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352</v>
      </c>
      <c r="B13" s="108" t="s">
        <v>351</v>
      </c>
      <c r="C13" s="111" t="s">
        <v>220</v>
      </c>
      <c r="D13" s="109" t="s">
        <v>221</v>
      </c>
    </row>
    <row r="14" spans="1:6" x14ac:dyDescent="0.25">
      <c r="A14" s="110" t="s">
        <v>171</v>
      </c>
      <c r="B14" s="108" t="s">
        <v>134</v>
      </c>
      <c r="C14" s="111" t="s">
        <v>171</v>
      </c>
      <c r="D14" s="109" t="s">
        <v>198</v>
      </c>
    </row>
    <row r="15" spans="1:6"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354</v>
      </c>
      <c r="B19" s="108" t="s">
        <v>351</v>
      </c>
      <c r="C19" s="111" t="s">
        <v>180</v>
      </c>
      <c r="D19" s="109"/>
    </row>
    <row r="20" spans="1:4" x14ac:dyDescent="0.25">
      <c r="A20" s="237" t="s">
        <v>355</v>
      </c>
      <c r="B20" s="108" t="s">
        <v>351</v>
      </c>
      <c r="C20" s="111" t="s">
        <v>179</v>
      </c>
      <c r="D20" s="109"/>
    </row>
    <row r="21" spans="1:4" x14ac:dyDescent="0.25">
      <c r="A21" s="110" t="s">
        <v>175</v>
      </c>
      <c r="B21" s="108" t="s">
        <v>134</v>
      </c>
      <c r="C21" s="111" t="s">
        <v>175</v>
      </c>
      <c r="D21" s="109" t="s">
        <v>202</v>
      </c>
    </row>
    <row r="22" spans="1:4" x14ac:dyDescent="0.25">
      <c r="A22" s="237" t="s">
        <v>356</v>
      </c>
      <c r="B22" s="108" t="s">
        <v>351</v>
      </c>
      <c r="C22" s="111" t="s">
        <v>356</v>
      </c>
      <c r="D22" s="109"/>
    </row>
    <row r="23" spans="1:4" x14ac:dyDescent="0.25">
      <c r="A23" s="110" t="s">
        <v>176</v>
      </c>
      <c r="B23" s="108" t="s">
        <v>134</v>
      </c>
      <c r="C23" s="111" t="s">
        <v>176</v>
      </c>
      <c r="D23" s="109" t="s">
        <v>203</v>
      </c>
    </row>
    <row r="24" spans="1:4" x14ac:dyDescent="0.25">
      <c r="A24" s="237" t="s">
        <v>358</v>
      </c>
      <c r="B24" s="108" t="s">
        <v>351</v>
      </c>
      <c r="C24" s="111" t="s">
        <v>278</v>
      </c>
      <c r="D24" s="109"/>
    </row>
    <row r="25" spans="1:4"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360</v>
      </c>
      <c r="B36" s="108" t="s">
        <v>351</v>
      </c>
      <c r="C36" s="111" t="s">
        <v>295</v>
      </c>
      <c r="D36" s="109"/>
    </row>
    <row r="37" spans="1:4" x14ac:dyDescent="0.25">
      <c r="A37" s="110" t="s">
        <v>192</v>
      </c>
      <c r="B37" s="108" t="s">
        <v>134</v>
      </c>
      <c r="C37" s="111" t="s">
        <v>192</v>
      </c>
      <c r="D37" s="109" t="s">
        <v>216</v>
      </c>
    </row>
    <row r="38" spans="1:4" x14ac:dyDescent="0.25">
      <c r="A38" s="237" t="s">
        <v>361</v>
      </c>
      <c r="B38" s="108" t="s">
        <v>351</v>
      </c>
      <c r="C38" s="111" t="s">
        <v>295</v>
      </c>
      <c r="D38" s="109"/>
    </row>
    <row r="39" spans="1:4" x14ac:dyDescent="0.25">
      <c r="A39" s="110" t="s">
        <v>362</v>
      </c>
      <c r="B39" s="108" t="s">
        <v>134</v>
      </c>
      <c r="C39" s="111" t="s">
        <v>362</v>
      </c>
      <c r="D39" s="109" t="s">
        <v>368</v>
      </c>
    </row>
    <row r="40" spans="1:4" x14ac:dyDescent="0.25">
      <c r="A40" s="237" t="s">
        <v>363</v>
      </c>
      <c r="B40" s="108" t="s">
        <v>351</v>
      </c>
      <c r="C40" s="111" t="s">
        <v>295</v>
      </c>
      <c r="D40" s="109"/>
    </row>
    <row r="41" spans="1:4" x14ac:dyDescent="0.25">
      <c r="A41" s="110" t="s">
        <v>364</v>
      </c>
      <c r="B41" s="108" t="s">
        <v>134</v>
      </c>
      <c r="C41" s="111" t="s">
        <v>364</v>
      </c>
      <c r="D41" s="109" t="s">
        <v>369</v>
      </c>
    </row>
    <row r="42" spans="1:4" x14ac:dyDescent="0.25">
      <c r="A42" s="237" t="s">
        <v>365</v>
      </c>
      <c r="B42" s="108" t="s">
        <v>351</v>
      </c>
      <c r="C42" s="111" t="s">
        <v>295</v>
      </c>
      <c r="D42" s="109"/>
    </row>
    <row r="43" spans="1:4" x14ac:dyDescent="0.25">
      <c r="A43" s="110" t="s">
        <v>186</v>
      </c>
      <c r="B43" s="108" t="s">
        <v>134</v>
      </c>
      <c r="C43" s="111" t="s">
        <v>186</v>
      </c>
      <c r="D43" s="109" t="s">
        <v>209</v>
      </c>
    </row>
    <row r="44" spans="1:4"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row r="70" spans="1:4">
      <c r="A70" s="110" t="inlineStr">
        <is>
          <t>Australian tax</t>
        </is>
      </c>
      <c r="B70" s="108" t="inlineStr">
        <is>
          <t>Worksheet</t>
        </is>
      </c>
      <c r="C70" s="111" t="inlineStr">
        <is>
          <t>Australian tax</t>
        </is>
      </c>
      <c r="D70" s="109" t="inlineStr">
        <is>
          <t>ATO depreciation, GST and financial-year helpers</t>
        </is>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abla.d.CountDOWλ'!$A$1" display="'nabla.d.CountDOWλ'!$A$1" xr:uid="{1EA85702-180F-4ED3-9514-1F34ABF31551}"/>
    <hyperlink ref="A11" location="'nabla.d.IsBetweenλ'!$A$1" display="'nabla.d.IsBetweenλ'!$A$1" xr:uid="{01A8DB1F-6500-48B8-ACA4-4D3783ACEDE2}"/>
    <hyperlink ref="A12" location="'nabla.d.IsOccurrenceDateλ'!$A$1" display="'nabla.d.IsOccurrenceDateλ'!$A$1" xr:uid="{84D84714-DCFA-4845-A904-4F7B33551932}"/>
    <hyperlink ref="A13" location="'nabla.d.IsOccurrenceDateλ'!$A$34:$E$39" display="'nabla.d.IsOccurrenceDateλ'!$A$34:$E$39" xr:uid="{3EE4710A-0A7D-4C6F-918F-948CB5FCB8CD}"/>
    <hyperlink ref="A14" location="'nabla.d.OverLapDaysλ'!$A$1" display="'nabla.d.OverLapDaysλ'!$A$1" xr:uid="{7B1DDDFE-DD14-49AD-B2D8-A10647832658}"/>
    <hyperlink ref="A15" location="'nabla.d.OverLapDaysλ'!$A$23:$E$25" display="'nabla.d.OverLapDaysλ'!$A$23:$E$25" xr:uid="{E1B731FE-6AE0-440A-9EA1-F0A74F1CF7F3}"/>
    <hyperlink ref="A16" location="'nabla.d.Periodsλ'!$A$1" display="'nabla.d.Periodsλ'!$A$1" xr:uid="{32E4CC23-A361-410B-8E03-EEC7C736F98C}"/>
    <hyperlink ref="A17" location="'nabla.d.PeriodLabelλ'!$A$1" display="'nabla.d.PeriodLabelλ'!$A$1" xr:uid="{A0D0F49B-6801-485A-BF70-D68CC79CD300}"/>
    <hyperlink ref="A18" location="'nabla.d.ScheduleRatesλ'!$A$1" display="'nabla.d.ScheduleRatesλ'!$A$1" xr:uid="{2901AE44-2664-485E-9CAE-28E43B25F0D1}"/>
    <hyperlink ref="A19" location="'nabla.d.ScheduleRatesλ'!$A$36:$B$38" display="'nabla.d.ScheduleRatesλ'!$A$36:$B$38" xr:uid="{9A36584A-9198-4FBF-8E9F-13960F21E62E}"/>
    <hyperlink ref="A20" location="'nabla.d.ScheduleRatesλ'!$A$43:$C$46" display="'nabla.d.ScheduleRatesλ'!$A$43:$C$46" xr:uid="{56FFBDDD-F76C-45ED-A67B-72B79DF7267E}"/>
    <hyperlink ref="A21" location="'nabla.d.ScheduleRatesByItemsλ'!$A$1" display="'nabla.d.ScheduleRatesByItemsλ'!$A$1" xr:uid="{8047904B-5AA7-4787-BA13-A73F5AC51BF6}"/>
    <hyperlink ref="A22" location="'nabla.d.ScheduleRatesByItemsλ'!$D$25:$F$38" display="'nabla.d.ScheduleRatesByItemsλ'!$D$25:$F$38" xr:uid="{3F7F55CD-4BF8-4D14-95DA-FAC04EB82B4A}"/>
    <hyperlink ref="A23" location="'nabla.d.ScheduleValuesλ'!$A$1" display="'nabla.d.ScheduleValuesλ'!$A$1" xr:uid="{EF7BB3C1-2F04-4CD6-9AA6-36AE344C2C5E}"/>
    <hyperlink ref="A25" location="'nabla.d.ScheduleValuesλ'!$A$28:$C$32" display="'nabla.d.ScheduleValuesλ'!$A$28:$C$32" xr:uid="{ED4A702A-5F0C-4C04-8E18-A1161CB1134B}"/>
    <hyperlink ref="A24" location="'nabla.d.ScheduleValuesλ'!$E$20:$I$40" display="'nabla.d.ScheduleValuesλ'!$E$20:$I$40" xr:uid="{FEE54B8C-7E14-4B0A-8B98-4B5A068BE255}"/>
    <hyperlink ref="A26" location="'nabla.d.ScheduleValuesByItemsλ'!$A$1" display="'nabla.d.ScheduleValuesByItemsλ'!$A$1" xr:uid="{C6993DBA-9182-4B59-B338-48D3D4B17DEE}"/>
    <hyperlink ref="A27" location="'nabla.d.Timelineλ'!$A$1" display="'nabla.d.Timelineλ'!$A$1" xr:uid="{A90D165F-C4AF-48D6-8D1D-F204F59625E9}"/>
    <hyperlink ref="A29" location="'nabla.f.Amortiseλ'!$A$1" display="'nabla.f.Amortiseλ'!$A$1" xr:uid="{BEA5B5B6-036F-423C-84EE-FC79FBEEEE69}"/>
    <hyperlink ref="A30" location="'nabla.f.Amortiseλ'!$A$24:$E$26" display="'nabla.f.Amortiseλ'!$A$24:$E$26" xr:uid="{1C636846-E572-463F-A44E-E91B33B0B14C}"/>
    <hyperlink ref="A31" location="'nabla.f.LabelAmortiseλ'!$A$1" display="'nabla.f.LabelAmortiseλ'!$A$1" xr:uid="{8B0E8BCB-C9D1-424F-95A9-EE73BAC3A2F7}"/>
    <hyperlink ref="A32" location="'nabla.f.SumAmortiseλ'!$A$1" display="'nabla.f.SumAmortiseλ'!$A$1" xr:uid="{D66697D1-12A9-407A-95C2-074D70520786}"/>
    <hyperlink ref="A33" location="'nabla.f.Corkscrewλ'!$A$1" display="'nabla.f.Corkscrewλ'!$A$1" xr:uid="{A7FC4DA8-89D6-47EA-A93C-D1A467CD3D18}"/>
    <hyperlink ref="A34" location="'nabla.f.Cumulativeλ'!$A$1" display="'nabla.f.Cumulativeλ'!$A$1" xr:uid="{5C07D413-045B-49AA-84AC-27A446010415}"/>
    <hyperlink ref="A35" location="'nabla.f.Depreciateλ'!$A$1" display="'nabla.f.Depreciateλ'!$A$1" xr:uid="{3010CCB3-7E12-441D-A389-196F03229010}"/>
    <hyperlink ref="A36" location="'nabla.f.Depreciateλ'!$A$46:$H$48" display="'nabla.f.Depreciateλ'!$A$46:$H$48" xr:uid="{1FA20571-FCAD-436A-AD66-6C86FC5A8825}"/>
    <hyperlink ref="A37" location="'nabla.f.LabelDepreciateλ'!$A$1" display="'nabla.f.LabelDepreciateλ'!$A$1" xr:uid="{4A06AA8A-28D9-4C80-9D9E-145EE1ABF538}"/>
    <hyperlink ref="A38" location="'nabla.f.LabelDepreciateλ'!$A$26:$H$28" display="'nabla.f.LabelDepreciateλ'!$A$26:$H$28" xr:uid="{7F51224E-A4FF-41E5-88BA-270AB69788A4}"/>
    <hyperlink ref="A39" location="'nabla.f.SumDepreciateλ'!$A$1" display="'nabla.f.SumDepreciateλ'!$A$1" xr:uid="{C83B5A30-FFC4-4E26-877E-0853E204A7AA}"/>
    <hyperlink ref="A40" location="'nabla.f.SumDepreciateλ'!$A$26:$H$28" display="'nabla.f.SumDepreciateλ'!$A$26:$H$28" xr:uid="{7535EEA8-D1DF-43DB-B564-8FE77209CFD9}"/>
    <hyperlink ref="A41" location="'nabla.f.SumContains'!$A$1" display="'nabla.f.SumContains'!$A$1" xr:uid="{5C8DAB05-8B34-4E16-BE14-BDB67049DC49}"/>
    <hyperlink ref="A42" location="'nabla.f.SumContains'!$A$29:$H$31" display="'nabla.f.SumContains'!$A$29:$H$31" xr:uid="{5D2F3E3F-6E09-48C9-B3C5-548B9CD76174}"/>
    <hyperlink ref="A43" location="'nabla.f.IntOnIntλ'!$A$1" display="'nabla.f.IntOnIntλ'!$A$1" xr:uid="{B5893D36-1849-443B-959D-9B7F1979F92D}"/>
    <hyperlink ref="A44" location="'nabla.f.IntOnIntλ'!$A$28:$D$30" display="'nabla.f.IntOnIntλ'!$A$28:$D$30" xr:uid="{6522888E-9D48-42FA-9B05-39A0CE8CA7DD}"/>
    <hyperlink ref="A45" location="'nabla.f.IRRλ'!$A$1" display="'nabla.f.IRRλ'!$A$1" xr:uid="{4DDD7FA6-DD83-476D-86DC-8F8C7D7B7C92}"/>
    <hyperlink ref="A46" location="'nabla.f.Reversalλ'!$A$1" display="'nabla.f.Reversalλ'!$A$1" xr:uid="{2BC91B08-8F0F-4354-B282-C26A51FDD4F0}"/>
    <hyperlink ref="A47" location="'nabla.f.Movementλ'!$A$1" display="'nabla.f.Movementλ'!$A$1" xr:uid="{84329063-D877-478D-9F9F-E346682DDB5B}"/>
    <hyperlink ref="A48" location="'nabla.f.RollingSumλ'!$A$1" display="'nabla.f.RollingSumλ'!$A$1" xr:uid="{D90BE02E-28EC-4AAB-AFE3-D7DF30270F5D}"/>
    <hyperlink ref="A49" location="'nabla.f.SumPeriodsλ'!$A$1" display="'nabla.f.SumPeriodsλ'!$A$1" xr:uid="{F8F315D9-BD34-4E1F-963D-CBE096B01AA1}"/>
    <hyperlink ref="A50" location="'nabla.f.TimelineOffsetλ'!$A$1" display="'nabla.f.TimelineOffsetλ'!$A$1" xr:uid="{78BD3347-2168-4112-9AC6-FD7758F6870E}"/>
    <hyperlink ref="A51" location="'nabla.f.TimelinePositionλ'!$A$1" display="'nabla.f.TimelinePositionλ'!$A$1" xr:uid="{D54C8264-B700-438A-92DC-0E1238CC7EF6}"/>
    <hyperlink ref="A52" location="'nabla.e.Aboutλ'!$A$1" display="'nabla.e.Aboutλ'!$A$1" xr:uid="{6AFB1077-9092-42FE-9EE3-9F60E6135748}"/>
    <hyperlink ref="A53" location="'nabla.e.CountCλ'!$A$1" display="'nabla.e.CountCλ'!$A$1" xr:uid="{425D1256-FB57-4E2D-9BE1-8E116617FAB0}"/>
    <hyperlink ref="A54" location="'nabla.e.SumRowsλ'!$A$1" display="'nabla.e.SumRowsλ'!$A$1" xr:uid="{9FE8402C-3B5E-44C2-924B-3B7A0AB24753}"/>
    <hyperlink ref="A55" location="'nabla.e.SumColsλ'!$A$1" display="'nabla.e.SumColsλ'!$A$1" xr:uid="{20824F45-B21C-4965-B6E9-9E5026AAF433}"/>
    <hyperlink ref="A56" location="'nabla.e.AvgRowsλ'!$A$1" display="'nabla.e.AvgRowsλ'!$A$1" xr:uid="{90263ED3-F51E-4C7B-9F9C-E16A4A3AA6B3}"/>
    <hyperlink ref="A57" location="'nabla.e.AvgColsλ'!$A$1" display="'nabla.e.AvgColsλ'!$A$1" xr:uid="{28FD9445-0707-4DA8-9318-B31561D7FF42}"/>
    <hyperlink ref="A58" location="'nabla.e.MinRowsλ'!$A$1" display="'nabla.e.MinRowsλ'!$A$1" xr:uid="{AE128D80-3DAD-4F2F-922F-32422BCC1374}"/>
    <hyperlink ref="A59" location="'nabla.e.MinColsλ'!$A$1" display="'nabla.e.MinColsλ'!$A$1" xr:uid="{BEA45A63-4F73-4E9F-966C-499A14E56E4C}"/>
    <hyperlink ref="A60" location="'nabla.e.MaxRowsλ'!$A$1" display="'nabla.e.MaxRowsλ'!$A$1" xr:uid="{A4591831-CBDC-4EAA-AF05-E72122CA1E45}"/>
    <hyperlink ref="A61" location="'nabla.e.MaxColsλ'!$A$1" display="'nabla.e.MaxColsλ'!$A$1" xr:uid="{EE9AD777-5C2F-47F1-9BC8-D481F550D593}"/>
    <hyperlink ref="A62" location="'nabla.e.CountRowsλ'!$A$1" display="'nabla.e.CountRowsλ'!$A$1" xr:uid="{85B0DB09-7E41-43E6-8AC1-401AC777C4E6}"/>
    <hyperlink ref="A63" location="'nabla.e.CountColsλ'!$A$1" display="'nabla.e.CountColsλ'!$A$1" xr:uid="{CD482693-E456-496A-A91A-7BA431261244}"/>
    <hyperlink ref="A64" location="'nabla.e.CountARowsλ'!$A$1" display="'nabla.e.CountARowsλ'!$A$1" xr:uid="{C4E0AD1D-05FC-450C-96BA-56434B0A7764}"/>
    <hyperlink ref="A65" location="'nabla.e.CountAColsλ'!$A$1" display="'nabla.e.CountAColsλ'!$A$1" xr:uid="{BF1CE99C-507A-421E-B5C9-DEFE2C01F553}"/>
    <hyperlink ref="A66" location="'nabla.e.IsBetweenλ'!$A$1" display="'nabla.e.IsBetweenλ'!$A$1" xr:uid="{88489402-EA40-4F69-806D-DA2A57AF77B1}"/>
    <hyperlink ref="A67" location="'nabla.e.IsBetweenλ'!$A$29:$B$33" display="'nabla.e.IsBetweenλ'!$A$29:$B$33" xr:uid="{DCC2715B-CFF8-43EA-B9F0-C1629F554799}"/>
    <hyperlink ref="A68" location="'nabla.e.RangeToDAλ'!$A$1" display="'nabla.e.RangeToDAλ'!$A$1" xr:uid="{4A8420CE-883D-4955-AA6C-068C9DA7572B}"/>
    <hyperlink ref="A69" location="'nabla.r.FinancialRatios'!$A$1" display="'nabla.r.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nabla.d.CountDOWλ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nabla.d.CountDOWλ()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(nabla.d is assumed to be the module's name)</v>
      </c>
    </row>
    <row r="13" spans="1:17" x14ac:dyDescent="0.25">
      <c r="A13" t="str">
        <v>2</v>
      </c>
      <c r="B13" t="str">
        <v>=nabla.d.CountDOWλ("22/3/2012", "10/4/2012", 1)</v>
      </c>
    </row>
    <row r="18" spans="1:17" x14ac:dyDescent="0.25">
      <c r="E18" s="127" t="s">
        <v>150</v>
      </c>
      <c r="F18" s="128" cm="1">
        <f t="array" ref="F18:Q18">nabla.d.Timelineλ($B$21,$B$22,$B$23)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nabla.d.Timelineλ($B$21,$B$22,$B$23,FALSE)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nabla.d.CountDOWλ(_xlfn.ANCHORARRAY(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nabla.d.IsBetweenλ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nabla.d.IsBetweenλ()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(nabla.d is assumed to be the module's name)</v>
      </c>
    </row>
    <row r="14" spans="1:17" x14ac:dyDescent="0.25">
      <c r="A14" t="str">
        <v>FALSE</v>
      </c>
      <c r="B14" t="str">
        <v>=nabla.d.IsBetweenλ(1, 2, 4)</v>
      </c>
    </row>
    <row r="15" spans="1:17" x14ac:dyDescent="0.25">
      <c r="A15" t="str">
        <v>TRUE</v>
      </c>
      <c r="B15" t="str">
        <v>=nabla.d.IsBetweenλ(Today(), Today(), Today()+1)</v>
      </c>
    </row>
    <row r="16" spans="1:17" x14ac:dyDescent="0.25">
      <c r="A16" t="str">
        <v>FALSE</v>
      </c>
      <c r="B16" t="str">
        <v>=nabla.d.IsBetweenλ("B", "B", "D", FALSE)</v>
      </c>
    </row>
    <row r="22" spans="1:17" x14ac:dyDescent="0.25">
      <c r="E22" s="127" t="s">
        <v>150</v>
      </c>
      <c r="F22" s="132" cm="1">
        <f t="array" ref="F22:Q22">nabla.d.Timelineλ($B$25,$B$26,$B$27)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nabla.d.Timelineλ($B$25,$B$26,$B$27,FALSE)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nabla.d.IsBetweenλ(B29,_xlfn.ANCHORARRAY(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nabla.d.IsBetweenλ(B31:B34,_xlfn.ANCHORARRAY(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nabla.d.IsOccurrenceDateλ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nabla.d.IsOccurrenceDateλ()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(nabla.d is assumed to be the module's name)</v>
      </c>
    </row>
    <row r="26" spans="1:372" x14ac:dyDescent="0.25">
      <c r="A26" t="str">
        <v>72</v>
      </c>
      <c r="B26" t="str">
        <v>=SUM(N(nabla.d.IsOccurrenceDateλ(SEQUENCE(,90,"1/1/2025"), "1/1/2025", "13/3/2025", "D")))</v>
      </c>
    </row>
    <row r="27" spans="1:372" x14ac:dyDescent="0.25">
      <c r="A27" t="str">
        <v>01</v>
      </c>
      <c r="B27" t="str">
        <v>=SUM(N(nabla.d.IsOccurrenceDateλ(SEQUENCE(,90,"1/1/2025"), "1/1/2025", "13/3/2025", "O")))</v>
      </c>
    </row>
    <row r="28" spans="1:372" x14ac:dyDescent="0.25">
      <c r="A28" t="str">
        <v>11</v>
      </c>
      <c r="B28" t="str">
        <v>=SUM(N(nabla.d.IsOccurrenceDateλ(SEQUENCE(,90,"1/1/2025"), "1/1/2025", "13/3/2025", "W")))</v>
      </c>
    </row>
    <row r="31" spans="1:372" ht="20.25" x14ac:dyDescent="0.3">
      <c r="A31" s="295" t="s">
        <v>220</v>
      </c>
      <c r="B31" s="296"/>
      <c r="C31" s="296"/>
      <c r="D31" s="296"/>
      <c r="E31" s="296"/>
      <c r="F31" s="153"/>
      <c r="G31" s="135" t="s">
        <v>246</v>
      </c>
      <c r="H31" s="157" cm="1">
        <f t="array" ref="H31:NH31">nabla.f.Cumulativeλ(_xlfn.ANCHORARRAY(H32))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nabla.e.SumColsλ(_xlfn.ANCHORARRAY($H$34))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nabla.d.Timelineλ("1/1/2026",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nabla.e.SumRowsλ(_xlfn.ANCHORARRAY(H34))</f>
        <v>162000</v>
      </c>
      <c r="H34" s="142" cm="1">
        <f t="array" ref="H34:NH39">nabla.d.IsOccurrenceDateλ(_xlfn.ANCHORARRAY(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nabla.d.OverLapDaysλ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nabla.d.OverLapDaysλ()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(nabla.d is assumed to be the module's name)</v>
      </c>
    </row>
    <row r="14" spans="1:15" x14ac:dyDescent="0.25">
      <c r="A14" t="str">
        <v>5</v>
      </c>
      <c r="B14" t="str">
        <v>=nabla.d.OverLapDaysλ(08, 14, 10, 17)</v>
      </c>
    </row>
    <row r="15" spans="1:15" x14ac:dyDescent="0.25">
      <c r="A15" t="str">
        <v>8</v>
      </c>
      <c r="B15" t="str">
        <v>=nabla.d.OverLapDaysλ(10, 20, 11, 18)</v>
      </c>
    </row>
    <row r="16" spans="1:15" x14ac:dyDescent="0.25">
      <c r="A16" t="str">
        <v>12</v>
      </c>
      <c r="B16" t="str">
        <v>=nabla.d.OverLapDaysλ("17/1/2025",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nabla.d.Timelineλ("1/1/2026",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nabla.d.Timelineλ("1/1/2026")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nabla.e.SumRowsλ(_xlfn.ANCHORARRAY(H23))</f>
        <v>2472</v>
      </c>
      <c r="H23" s="142" cm="1">
        <f t="array" ref="H23:S25">nabla.d.OverLapDaysλ(_xlfn.ANCHORARRAY(H22),_xlfn.ANCHORARRAY(H21),tblRent[Start],tblRent[End])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nabla.d.Periodsλ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nabla.d.Periodsλ()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(nabla.d is assumed to be the module's name)</v>
      </c>
    </row>
    <row r="17" spans="1:4" x14ac:dyDescent="0.25">
      <c r="A17" t="str">
        <v>2</v>
      </c>
      <c r="B17" t="str">
        <v>=nabla.d.Periodsλ("31/3/2025", "15/5/2025")</v>
      </c>
    </row>
    <row r="18" spans="1:4" x14ac:dyDescent="0.25">
      <c r="A18" t="str">
        <v>-2</v>
      </c>
      <c r="B18" t="str">
        <v>=nabla.d.Periodsλ("15/5/2025", "31/3/2025")</v>
      </c>
    </row>
    <row r="19" spans="1:4" x14ac:dyDescent="0.25">
      <c r="A19" t="str">
        <v>-12</v>
      </c>
      <c r="B19" t="str">
        <v>=nabla.d.Periodsλ("15/1/2026", "16/1/2025", , FALSE)</v>
      </c>
    </row>
    <row r="20" spans="1:4" x14ac:dyDescent="0.25">
      <c r="A20" t="str">
        <v>-53</v>
      </c>
      <c r="B20" t="str">
        <v>=nabla.d.Periodsλ("15/1/2026",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t="e" cm="1">
        <f t="array" ref="D25:D29">nabla.d.Periodsλ(A25:A29,B25:B29,C25:C29)</f>
        <v>#VALUE!</v>
      </c>
    </row>
    <row r="26" spans="1:4" x14ac:dyDescent="0.25">
      <c r="A26" s="141">
        <v>46203</v>
      </c>
      <c r="B26" s="141">
        <v>46600</v>
      </c>
      <c r="C26" t="inlineStr">
        <is>
          <t>Q</t>
        </is>
      </c>
      <c r="D26" t="e">
        <f/>
        <v>#VALUE!</v>
      </c>
    </row>
    <row r="27" spans="1:4" x14ac:dyDescent="0.25">
      <c r="A27" s="141">
        <v>46023</v>
      </c>
      <c r="B27" s="141">
        <v>47119</v>
      </c>
      <c r="C27" t="inlineStr">
        <is>
          <t>Y</t>
        </is>
      </c>
      <c r="D27" t="e">
        <f/>
        <v>#VALUE!</v>
      </c>
    </row>
    <row r="28" spans="1:4" x14ac:dyDescent="0.25">
      <c r="A28" s="141">
        <v>46142</v>
      </c>
      <c r="B28" s="141">
        <v>46508</v>
      </c>
      <c r="C28" t="inlineStr">
        <is>
          <t>W</t>
        </is>
      </c>
      <c r="D28" t="e">
        <f/>
        <v>#VALUE!</v>
      </c>
    </row>
    <row r="29" spans="1:4" x14ac:dyDescent="0.25">
      <c r="A29" s="141">
        <v>46265</v>
      </c>
      <c r="B29" s="141">
        <v>46630</v>
      </c>
      <c r="C29" t="inlineStr">
        <is>
          <t>D</t>
        </is>
      </c>
      <c r="D29" t="e">
        <f/>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nabla.d.PeriodLabelλ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nabla.d.PeriodLabelλ()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(nabla.d is assumed to be the module's name)</v>
      </c>
    </row>
    <row r="19" spans="1:14" x14ac:dyDescent="0.25">
      <c r="A19" t="str">
        <v>2025-Feb-26</v>
      </c>
      <c r="B19" t="str">
        <v>=nabla.d.PeriodLabelλ(DATEVALUE("26/2/2025"), "D")</v>
      </c>
    </row>
    <row r="20" spans="1:14" x14ac:dyDescent="0.25">
      <c r="A20" t="str">
        <v>2023-Feb</v>
      </c>
      <c r="B20" t="str">
        <v>=nabla.d.PeriodLabelλ(DATEVALUE("26/2/2025"), "M")</v>
      </c>
    </row>
    <row r="21" spans="1:14" x14ac:dyDescent="0.25">
      <c r="A21" t="str">
        <v>2025:Q1</v>
      </c>
      <c r="B21" t="str">
        <v>=nabla.d.PeriodLabelλ(DATEVALUE("26/2/2025"), "Q")</v>
      </c>
    </row>
    <row r="22" spans="1:14" x14ac:dyDescent="0.25">
      <c r="A22" t="str">
        <v>2023</v>
      </c>
      <c r="B22" t="str">
        <v>=nabla.d.PeriodLabelλ(DATEVALUE("26/2/2025"), "Y")</v>
      </c>
    </row>
    <row r="25" spans="1:14" x14ac:dyDescent="0.25">
      <c r="A25" t="s">
        <v>149</v>
      </c>
      <c r="B25" t="s">
        <v>253</v>
      </c>
      <c r="C25" s="1" cm="1">
        <f t="array" ref="C25:N25">nabla.d.Timelineλ("1/1/2026",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nabla.d.PeriodLabelλ(_xlfn.ANCHORARRAY(C25),B26)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nabla.d.ScheduleRatesλ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nabla.d.ScheduleRatesλ()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(nabla.d is assumed to be the module's name)</v>
      </c>
    </row>
    <row r="14" spans="1:15" x14ac:dyDescent="0.25">
      <c r="A14" t="str">
        <v>_,10,20,30,30</v>
      </c>
      <c r="B14" t="str">
        <v>=nabla.d.ScheduleRatesλ(Timelineλ("1/1/2025",5,"W"),{45662; 45670; 45676}, {10; 20; 30})</v>
      </c>
    </row>
    <row r="18" spans="1:17" x14ac:dyDescent="0.25">
      <c r="E18" s="127" t="s">
        <v>150</v>
      </c>
      <c r="F18" s="132" cm="1">
        <f t="array" ref="F18:Q18">nabla.d.Timelineλ($B$21,$B$22,$B$23)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nabla.d.Timelineλ($B$21,$B$22,$B$23,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nabla.d.ScheduleRatesλ(_xlfn.ANCHORARRAY($F$19),$B$26:$B$27,$B$28:$B$29)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nabla.d.ScheduleRatesλ(_xlfn.ANCHORARRAY(F19),tblRents[Rate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nabla.d.ScheduleRatesλ(_xlfn.ANCHORARRAY(F19),tblUnits[Ready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nabla.d.ScheduleRatesByItemsλ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nabla.d.ScheduleRatesByItemsλ()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(nabla.d is assumed to be the module's name)</v>
      </c>
    </row>
    <row r="19" spans="1:20" x14ac:dyDescent="0.25">
      <c r="A19" t="str">
        <v/>
      </c>
      <c r="B19" t="str">
        <v>nabla.d.ScheduleRatesByItemsλ(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nabla.d.Timelineλ(B25,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nabla.d.ScheduleRatesByItemsλ(_xlfn.ANCHORARRAY(I24),_xlfn.ANCHORARRAY(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nabla.d.ScheduleValuesλ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nabla.d.ScheduleValuesλ()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(nabla.d is assumed to be the module's name)</v>
      </c>
    </row>
    <row r="14" spans="1:20" x14ac:dyDescent="0.25">
      <c r="A14" t="str">
        <v/>
      </c>
      <c r="B14" t="str">
        <v>=nabla.d.ScheduleValuesλ(Timelineλ("1/1/2025"),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nabla.d.Timelineλ(B20,B21,B22,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nabla.d.Timelineλ(B20,B21,B22)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nabla.d.ScheduleValuesλ(_xlfn.ANCHORARRAY(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nabla.d.ScheduleValuesλ(_xlfn.ANCHORARRAY(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nabla.f.Cumulativeλ(_xlfn.ANCHORARRAY(M22))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nabla.f.Corkscrewλ(0,-_xlfn.ANCHORARRAY(M20),_xlfn.ANCHORARRAY(M21))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nabla.d.ScheduleValuesByItemsλ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nabla.d.ScheduleValuesByItemsλ()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(nabla.d is assumed to be the module's name)</v>
      </c>
    </row>
    <row r="18" spans="1:24" x14ac:dyDescent="0.25">
      <c r="A18" t="str">
        <v/>
      </c>
      <c r="B18" t="str">
        <v>nabla.d.ScheduleRatesByItemsλ(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nabla.d.Timelineλ($B$25,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nabla.d.Timelineλ($B$25,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nabla.e.SumRowsλ(_xlfn.ANCHORARRAY(M25))</f>
        <v>7202</v>
      </c>
      <c r="M25" s="162" cm="1">
        <f t="array" ref="M25:X29">nabla.d.ScheduleValuesByItemsλ(_xlfn.ANCHORARRAY(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nabla.e.SumColsλ(_xlfn.ANCHORARRAY(M25))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nabla.e.SumRowsλ(_xlfn.ANCHORARRAY(M33))</f>
        <v>7202</v>
      </c>
      <c r="M33" s="162" cm="1">
        <f t="array" ref="M33:X37">nabla.d.ScheduleValuesByItemsλ(_xlfn.ANCHORARRAY(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nabla.e.SumColsλ(_xlfn.ANCHORARRAY(M33))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nabla.f.Cumulativeλ(_xlfn.ANCHORARRAY(M40))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nabla.d.Timelineλ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nabla.d.Timelineλ()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(nabla.d is assumed to be the module's name)</v>
      </c>
    </row>
    <row r="14" spans="1:17" x14ac:dyDescent="0.25">
      <c r="A14" t="str">
        <v>12 mo, starts</v>
      </c>
      <c r="B14" t="str">
        <v>=nabla.d.Timelineλ(TODAY())</v>
      </c>
    </row>
    <row r="15" spans="1:17" x14ac:dyDescent="0.25">
      <c r="A15" t="str">
        <v>12 qtr, ends</v>
      </c>
      <c r="B15" t="str">
        <v>=nabla.d.Timelineλ(TODAY(), , "Q", FALSE)</v>
      </c>
    </row>
    <row r="18" spans="1:16" x14ac:dyDescent="0.25">
      <c r="E18" s="2" t="s">
        <v>149</v>
      </c>
    </row>
    <row r="19" spans="1:16" x14ac:dyDescent="0.25">
      <c r="A19" s="115" t="s">
        <v>137</v>
      </c>
      <c r="B19" s="116" t="s">
        <v>138</v>
      </c>
      <c r="C19" s="115" t="s">
        <v>139</v>
      </c>
      <c r="E19" s="136" cm="1">
        <f t="array" ref="E19:P19">nabla.d.Timelineλ(B20,B21,B22,B23)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nabla.f.Amortiseλ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nabla.f.Amortiseλ()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(nabla.f is assumed to be the module's name)</v>
      </c>
    </row>
    <row r="19" spans="1:127" x14ac:dyDescent="0.25">
      <c r="A19" t="str">
        <v/>
      </c>
      <c r="B19" t="str">
        <v>=nabla.f.Amortiseλ(10000,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nabla.f.LabelAmortiseλ(tblLoans[Description])</f>
        <v>Renovation Debt Issuance</v>
      </c>
      <c r="H24" s="186" cm="1">
        <f t="array" ref="H24:H43">nabla.f.SumAmortiseλ(_xlfn.ANCHORARRAY(I24))</f>
        <v>0</v>
      </c>
      <c r="I24" s="187"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nabla.f.LabelAmortiseλ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(nabla.f is assumed to be the module's name)</v>
      </c>
    </row>
    <row r="15" spans="1:18" x14ac:dyDescent="0.25">
      <c r="A15" t="str">
        <v/>
      </c>
      <c r="B15" t="str">
        <v>=nabla.f.LabelAmortiseλ(tblLoans[Loan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nabla.f.LabelAmortiseλ(tblLoans[Description])</f>
        <v>Renovation Debt Issuance</v>
      </c>
      <c r="H24" s="202"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nabla.f.SumAmortiseλ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nabla.f.SumAmortiseλ()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(nabla.f is assumed to be the module's name)</v>
      </c>
    </row>
    <row r="12" spans="1:17" x14ac:dyDescent="0.25">
      <c r="A12" t="str">
        <v/>
      </c>
      <c r="B12" t="str">
        <v>=nabla.f.SumAmortiseλ(AmortisationSchedule)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nabla.f.LabelAmortiseλ(tblLoans[Description])</f>
        <v>Renovation Debt Issuance</v>
      </c>
      <c r="H24" s="187"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nabla.f.Corkscrewλ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nabla.f.Corkscrewλ()</f>
        <v>FUNCTION:</v>
      </c>
      <c r="B4" t="str">
        <v>Corkscrewλ( Opening, ReversalFlags,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nabla.f is assumed to be the module's name</v>
      </c>
    </row>
    <row r="17" spans="1:18" x14ac:dyDescent="0.25">
      <c r="A17" t="str">
        <v>Formula:</v>
      </c>
      <c r="B17" t="str">
        <v>=nabla.f.Corkscrewλ(0,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nabla.d.Timelineλ($B$25,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nabla.d.Timelineλ($B$25,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nabla.d.ScheduleValuesλ(_xlfn.ANCHORARRAY(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nabla.d.ScheduleValuesλ(_xlfn.ANCHORARRAY(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nabla.e.SumColsλ(_xlfn.ANCHORARRAY(G25)-_xlfn.ANCHORARRAY(G26))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nabla.f.Corkscrewλ(0,_xlfn.ANCHORARRAY(G25),-_xlfn.ANCHORARRAY(G26))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(nabla.f is assumed to be the module's name)</v>
      </c>
    </row>
    <row r="13" spans="1:16" x14ac:dyDescent="0.25">
      <c r="A13" t="str">
        <v>1,3,6</v>
      </c>
      <c r="B13" t="str">
        <v>=nabla.f.Cumulativeλ(Sequence(,3))</v>
      </c>
    </row>
    <row r="16" spans="1:16" ht="20.25" x14ac:dyDescent="0.3">
      <c r="A16" s="302" t="s">
        <v>272</v>
      </c>
      <c r="B16" s="302"/>
      <c r="C16" s="302"/>
    </row>
    <row r="17" spans="1:18" x14ac:dyDescent="0.25">
      <c r="F17" s="191" t="s">
        <v>279</v>
      </c>
      <c r="G17" s="165" cm="1">
        <f t="array" ref="G17:R17">nabla.d.Timelineλ($B$19,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nabla.d.Timelineλ($B$19,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nabla.d.ScheduleValuesλ(_xlfn.ANCHORARRAY(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nabla.d.ScheduleValuesλ(_xlfn.ANCHORARRAY(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nabla.f.Cumulativeλ(_xlfn.ANCHORARRAY(G21))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nabla.f.Depreciateλ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nabla.f.Depreciateλ()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[Factors])</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nabla.d.Timelineλ($B$38,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nabla.f.SumContainsλ(_xlfn.ANCHORARRAY($L$46),_xlfn.ANCHORARRAY($J$46),J38)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nabla.f.SumContainsλ(_xlfn.ANCHORARRAY($L$46),_xlfn.ANCHORARRAY($J$46),J39)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nabla.f.SumContainsλ(_xlfn.ANCHORARRAY($L$46),_xlfn.ANCHORARRAY($J$46),J40)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nabla.f.SumContainsλ(_xlfn.ANCHORARRAY($L$46),_xlfn.ANCHORARRAY($J$46),J41)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nabla.f.SumContainsλ(_xlfn.ANCHORARRAY($L$46),_xlfn.ANCHORARRAY($J$46),J42)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nabla.d.Timelineλ($B$38,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nabla.f.LabelDepreciateλ(tblAssets[Asset])</f>
        <v>Cutter CAPEX</v>
      </c>
      <c r="K46" cm="1">
        <f t="array" ref="K46:K65">nabla.f.SumDepreciateλ(_xlfn.ANCHORARRAY(L46))</f>
        <v>25000</v>
      </c>
      <c r="L46" s="162" cm="1">
        <f t="array" ref="L46:EA65">nabla.f.Depreciateλ(tblAssets[Amount],tblAssets[Acquired],tblAssets[Life],_xlfn.ANCHORARRAY(L45),tblAssets[Salvage],tblAssets[Date],tblAssets[Cost],tblAssets[Method])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nabla.f.LabelDepreciateλ()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(nabla.f is assumed to be the module's name)</v>
      </c>
      <c r="K11" s="233"/>
      <c r="L11" s="233"/>
      <c r="M11" s="316"/>
      <c r="N11" s="316"/>
      <c r="O11" s="316"/>
      <c r="P11" s="316"/>
      <c r="Q11" s="316"/>
      <c r="R11" s="316"/>
      <c r="S11" s="316"/>
      <c r="T11" s="316"/>
    </row>
    <row r="12" spans="1:20" x14ac:dyDescent="0.25">
      <c r="A12" t="str">
        <v/>
      </c>
      <c r="B12" t="str">
        <v>=nabla.f.LabelDepreciateλ(tblAssets[Asset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nabla.f.LabelDepreciateλ(tblAssets11[Asset])</f>
        <v>Cutter CAPEX</v>
      </c>
      <c r="K26" cm="1">
        <f t="array" ref="K26:K45">nabla.f.SumDepreciateλ(_xlfn.ANCHORARRAY(L26))</f>
        <v>0</v>
      </c>
      <c r="L26" s="192" cm="1">
        <f t="array" ref="L26:W45">nabla.f.Depreciateλ(tblAssets11[Amount],tblAssets11[Acquired],tblAssets11[Life],_xlfn.ANCHORARRAY(L25),tblAssets11[Salvage],tblAssets11[Date],tblAssets11[Cost],tblAssets11[Method])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nabla.f.SumDepreciateλ()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(nabla.f is assumed to be the module's name)</v>
      </c>
      <c r="K12" s="233"/>
      <c r="L12" s="233"/>
      <c r="M12" s="316"/>
      <c r="N12" s="316"/>
      <c r="O12" s="316"/>
      <c r="P12" s="316"/>
      <c r="Q12" s="316"/>
      <c r="R12" s="316"/>
      <c r="S12" s="316"/>
      <c r="T12" s="316"/>
    </row>
    <row r="13" spans="1:20" x14ac:dyDescent="0.25">
      <c r="A13" t="str">
        <v/>
      </c>
      <c r="B13" t="str">
        <v>=nabla.f.SumDepreciateλ(DepreciationSchedule)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nabla.f.LabelDepreciateλ(tblAssets1112[Asset])</f>
        <v>Cutter CAPEX</v>
      </c>
      <c r="K26" s="162" cm="1">
        <f t="array" ref="K26:K45">nabla.f.SumDepreciateλ(_xlfn.ANCHORARRAY(L26))</f>
        <v>0</v>
      </c>
      <c r="L26" s="192" cm="1">
        <f t="array" ref="L26:W45">nabla.f.Depreciateλ(tblAssets1112[Amount],tblAssets1112[Acquired],tblAssets1112[Life],_xlfn.ANCHORARRAY(L25),tblAssets1112[Salvage],tblAssets1112[Date],tblAssets1112[Cost],tblAssets1112[Method])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nabla.f.SumContainsλ()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(nabla.f is assumed to be the module's name)</v>
      </c>
      <c r="K15" s="233"/>
      <c r="L15" s="233"/>
      <c r="M15" s="234"/>
      <c r="N15" s="234"/>
      <c r="O15" s="234"/>
      <c r="P15" s="234"/>
      <c r="Q15" s="234"/>
      <c r="R15" s="234"/>
      <c r="S15" s="234"/>
      <c r="T15" s="234"/>
    </row>
    <row r="16" spans="1:20" x14ac:dyDescent="0.25">
      <c r="A16" t="str">
        <v/>
      </c>
      <c r="B16" t="str">
        <v>=nabla.f.SumContainsλ(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nabla.d.Timelineλ($B$21,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nabla.f.SumContainsλ(_xlfn.ANCHORARRAY($L$29),_xlfn.ANCHORARRAY($J$29),J21)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nabla.f.SumContainsλ(_xlfn.ANCHORARRAY($L$29),_xlfn.ANCHORARRAY($J$29),J22)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nabla.f.SumContainsλ(_xlfn.ANCHORARRAY($L$29),_xlfn.ANCHORARRAY($J$29),J23)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nabla.f.SumContainsλ(_xlfn.ANCHORARRAY($L$29),_xlfn.ANCHORARRAY($J$29),J24)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nabla.f.SumContainsλ(_xlfn.ANCHORARRAY($L$29),_xlfn.ANCHORARRAY($J$29),J25)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nabla.d.Timelineλ($B$21,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nabla.f.LabelDepreciateλ(tblAssets111214[Asset])</f>
        <v>Cutter CAPEX</v>
      </c>
      <c r="K29" s="192" cm="1">
        <f t="array" ref="K29:K48">nabla.f.SumDepreciateλ(_xlfn.ANCHORARRAY(L29))</f>
        <v>0</v>
      </c>
      <c r="L29" s="192" cm="1">
        <f t="array" ref="L29:W48">nabla.f.Depreciateλ(tblAssets111214[Amount],tblAssets111214[Acquired],tblAssets111214[Life],_xlfn.ANCHORARRAY(L28),tblAssets111214[Salvage],tblAssets111214[Date],tblAssets111214[Cost],tblAssets111214[Method])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nabla.f.IntOnIntλ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nabla.f.IntOnIntλ()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(nabla.f is assumed to be the module's name)</v>
      </c>
    </row>
    <row r="14" spans="1:17" x14ac:dyDescent="0.25">
      <c r="A14" t="str">
        <v>52.63</v>
      </c>
      <c r="B14" t="str">
        <v>=nabla.f.IntOnIntλ( 1000, 5%)</v>
      </c>
    </row>
    <row r="17" spans="1:21" ht="20.25" x14ac:dyDescent="0.3">
      <c r="A17" s="302" t="s">
        <v>272</v>
      </c>
      <c r="B17" s="302"/>
      <c r="C17" s="302"/>
    </row>
    <row r="18" spans="1:21" x14ac:dyDescent="0.25">
      <c r="I18" s="191" t="s">
        <v>279</v>
      </c>
      <c r="J18" s="165" cm="1">
        <f t="array" ref="J18:U18">nabla.d.Timelineλ($B$20,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nabla.d.Timelineλ($B$20,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nabla.d.IsBetweenλ(G21,_xlfn.ANCHORARRAY(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nabla.f.IntOnIntλ(_xlfn.ANCHORARRAY(J23),G22)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nabla.d.IsBetweenλ(G28,_xlfn.ANCHORARRAY(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nabla.f.IntOnIntλ(_xlfn.ANCHORARRAY(J30),G29)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nabla.d.IsBetweenλ(G35,_xlfn.ANCHORARRAY(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nabla.f.IntOnIntλ(_xlfn.ANCHORARRAY(J37),G36)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nabla.f.IRRλ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nabla.f.IRRλ()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(nabla.f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=nabla.f.IRRλ( Values, Dates)</v>
      </c>
    </row>
    <row r="23" spans="1:17" ht="20.25" x14ac:dyDescent="0.3">
      <c r="A23" s="302" t="s">
        <v>272</v>
      </c>
      <c r="B23" s="302"/>
      <c r="C23" s="302"/>
    </row>
    <row r="25" spans="1:17" x14ac:dyDescent="0.25">
      <c r="A25" s="161" t="s">
        <v>273</v>
      </c>
      <c r="B25" s="161" t="s">
        <v>138</v>
      </c>
      <c r="C25" s="161" t="s">
        <v>139</v>
      </c>
      <c r="E25" s="190" t="s">
        <v>316</v>
      </c>
      <c r="F25" s="1" cm="1">
        <f t="array" ref="F25:Q25">nabla.d.Timelineλ($B$26,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nabla.f.IRRλ(_xlfn.ANCHORARRAY(F26),_xlfn.ANCHORARRAY(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nabla.f.Reversalλ()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(nabla.f is assumed to be the module's name)</v>
      </c>
    </row>
    <row r="13" spans="1:18" x14ac:dyDescent="0.25">
      <c r="A13" t="str">
        <v>-100,-110,-130</v>
      </c>
      <c r="B13" t="str">
        <v>=nabla.f.Reversalλ(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7142.9241912123325</v>
      </c>
      <c r="H20" s="192" cm="1">
        <f t="array" ref="H20:S20">_xlfn.MAKEARRAY(COUNTA(_xlfn.ANCHORARRAY(F20)), COUNTA(_xlfn.ANCHORARRAY(H19)), _xlfn.LAMBDA(_xlpm.r,_xlpm.c, 100 + MOD(_xlpm.r * 7 + _xlpm.c * 13, 1000 - 100 + 1)))</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nabla.e.SumRowsλ(_xlfn.ANCHORARRAY(H21))</f>
        <v>-6297.5288985641391</v>
      </c>
      <c r="H21" s="162" cm="1">
        <f t="array" ref="H21:S21">nabla.f.Reversalλ(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(nabla.f is assumed to be the module's name)</v>
      </c>
    </row>
    <row r="13" spans="1:16" x14ac:dyDescent="0.25">
      <c r="A13" t="str">
        <v>100,10,20,-30</v>
      </c>
      <c r="B13" t="str">
        <v>=nabla.f.Movementλ(,{100,110,130,100},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nabla.d.Timelineλ($B$18,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nabla.e.SumRowsλ(_xlfn.ANCHORARRAY(G18))</f>
        <v>-8</v>
      </c>
      <c r="G18" s="192" cm="1">
        <f t="array" ref="G18:R18">_xlfn.MAKEARRAY(COUNTA(_xlfn.ANCHORARRAY(E18)), COUNTA(_xlfn.ANCHORARRAY(G17)), _xlfn.LAMBDA(_xlpm.r,_xlpm.c, -5 + MOD(_xlpm.r * 7 + _xlpm.c * 13, 5 - -5 + 1)))</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nabla.f.Movementλ(F18,_xlfn.ANCHORARRAY(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(nabla.f is assumed to be the module's name)</v>
      </c>
    </row>
    <row r="15" spans="1:18" x14ac:dyDescent="0.25">
      <c r="A15" t="str">
        <v>1,3,6,9,12</v>
      </c>
      <c r="B15" t="str">
        <v>=nabla.f.RollingMinλ(SEQUENCE(,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6.0281960697663513</v>
      </c>
      <c r="H20" s="192" cm="1">
        <f t="array" ref="H20:S20">_xlfn.MAKEARRAY(COUNTA(_xlfn.ANCHORARRAY(F20)), COUNTA(_xlfn.ANCHORARRAY(H19)), _xlfn.LAMBDA(_xlpm.r,_xlpm.c, MOD(_xlpm.r * 7 + _xlpm.c * 13, 100) / 100))</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nabla.f.RollingSumλ(_xlfn.ANCHORARRAY(H20),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nabla.f.SumPeriodsλ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nabla.f.SumPeriodsλ()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(nabla.f is assumed to be the module's name)</v>
      </c>
    </row>
    <row r="15" spans="1:17" x14ac:dyDescent="0.25">
      <c r="A15" t="str">
        <v>03, 07</v>
      </c>
      <c r="B15" t="str">
        <v>=nabla.f.SumPeriodsλ({1,2,3,4;4,3,2,1;10,20,30,40},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nabla.d.Timelineλ("1/1/2026",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nabla.e.SumRowsλ(_xlfn.ANCHORARRAY(I23))</f>
        <v>162000</v>
      </c>
      <c r="I23" s="192" cm="1">
        <f t="array" ref="I23:NI28">nabla.d.IsOccurrenceDateλ(_xlfn.ANCHORARRAY(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nabla.d.Timelineλ("1/1/2026",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nabla.e.SumRowsλ(_xlfn.ANCHORARRAY(I33))</f>
        <v>162000</v>
      </c>
      <c r="I33" s="162" cm="1">
        <f t="array" ref="I33:T38">nabla.f.SumPeriodsλ(_xlfn.ANCHORARRAY(I23),_xlfn.ANCHORARRAY(I22),_xlfn.ANCHORARRAY(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nabla.f.TimelineOffsetλ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nabla.f.TimelineOffsetλ()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(nabla.f is assumed to be the module's name)</v>
      </c>
    </row>
    <row r="14" spans="1:18" x14ac:dyDescent="0.25">
      <c r="A14" t="str">
        <v/>
      </c>
      <c r="B14" t="str">
        <v>=nabla.f.TimelineOffsetλ("15/2/2024", EDATE("1/1/2025", SEQUENCE( , 12, 0)</v>
      </c>
    </row>
    <row r="17" spans="1:367" x14ac:dyDescent="0.25">
      <c r="C17" s="230" t="s">
        <v>149</v>
      </c>
    </row>
    <row r="18" spans="1:367" x14ac:dyDescent="0.25">
      <c r="A18" s="161" t="s">
        <v>322</v>
      </c>
      <c r="B18" s="155" t="s">
        <v>323</v>
      </c>
      <c r="C18" s="156" cm="1">
        <f t="array" ref="C18:NC18">nabla.d.Timelineλ("1/1/2026",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nabla.f.TimelineOffsetλ(A19,_xlfn.ANCHORARRAY(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nabla.f.TimelineOffsetλ(A20,_xlfn.ANCHORARRAY(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nabla.f.TimelineOffsetλ(A21,_xlfn.ANCHORARRAY(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nabla.f.TimelineOffsetλ(A22,_xlfn.ANCHORARRAY(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nabla.f.TimelineOffsetλ(A23,_xlfn.ANCHORARRAY(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nabla.f.TimelineOffsetλ(A24,_xlfn.ANCHORARRAY(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nabla.f.TimelineOffsetλ(A25,_xlfn.ANCHORARRAY(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nabla.f.TimelinePositionλ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nabla.f.TimelinePositionλ()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(nabla.f is assumed to be the module's name)</v>
      </c>
    </row>
    <row r="16" spans="1:17" x14ac:dyDescent="0.25">
      <c r="A16" t="str">
        <v/>
      </c>
      <c r="B16" t="str">
        <v>=nabla.f.TimelinePositionλ(SEQUENCE(3,3),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nabla.d.Timelineλ(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nabla.f.LabelAmortiseλ(A23)</f>
        <v>Renovation Debt Issuance</v>
      </c>
      <c r="H23" s="202" cm="1">
        <f t="array" ref="H23:H28">nabla.f.SumAmortiseλ(_xlfn.ANCHORARRAY(I23))</f>
        <v>0</v>
      </c>
      <c r="I23" s="202" cm="1">
        <f t="array" ref="I23:R28">nabla.f.Amortiseλ(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nabla.d.Timelineλ("1/1/2026",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nabla.f.LabelAmortiseλ(A23)</f>
        <v>Renovation Debt Issuance</v>
      </c>
      <c r="H33" s="202" cm="1">
        <f t="array" ref="H33:H38">nabla.f.SumAmortiseλ(_xlfn.ANCHORARRAY(I33))</f>
        <v>0</v>
      </c>
      <c r="I33" s="162" cm="1">
        <f t="array" ref="I33:T38">nabla.f.TimelinePositionλ(_xlfn.ANCHORARRAY(I23),_xlfn.ANCHORARRAY(I32), nabla.f.TimelineOffsetλ(E23,_xlfn.ANCHORARRAY($I$32)))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nabla.e.Aboutλ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nabla.e.Aboutλ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nabla.e.CountCλ()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(nabla.e is assumed to be the module's name)</v>
      </c>
    </row>
    <row r="13" spans="1:17" x14ac:dyDescent="0.25">
      <c r="A13" t="str">
        <v/>
      </c>
      <c r="B13" t="str">
        <v>=nabla.e.CountCλ(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nabla.e.CountCλ(B17,C17)</f>
        <v>5</v>
      </c>
      <c r="E17" t="s">
        <v>399</v>
      </c>
    </row>
    <row r="18" spans="2:5" x14ac:dyDescent="0.25">
      <c r="B18" s="121" t="s">
        <v>393</v>
      </c>
      <c r="C18" s="174" t="s">
        <v>144</v>
      </c>
      <c r="D18" s="162" cm="1">
        <f t="array" ref="D18">nabla.e.CountCλ(B18,C18)</f>
        <v>1</v>
      </c>
      <c r="E18" t="s">
        <v>400</v>
      </c>
    </row>
    <row r="19" spans="2:5" x14ac:dyDescent="0.25">
      <c r="B19" s="121" t="s">
        <v>393</v>
      </c>
      <c r="C19" s="174" t="s">
        <v>395</v>
      </c>
      <c r="D19" s="162" cm="1">
        <f t="array" ref="D19">nabla.e.CountCλ(B19,C19)</f>
        <v>2</v>
      </c>
    </row>
    <row r="20" spans="2:5" x14ac:dyDescent="0.25">
      <c r="B20" s="121" t="s">
        <v>393</v>
      </c>
      <c r="C20" s="174" t="s">
        <v>396</v>
      </c>
      <c r="D20" s="162" cm="1">
        <f t="array" ref="D20">nabla.e.CountCλ(B20,C20)</f>
        <v>3</v>
      </c>
    </row>
    <row r="21" spans="2:5" x14ac:dyDescent="0.25">
      <c r="B21" s="121" t="s">
        <v>393</v>
      </c>
      <c r="C21" s="174" t="s">
        <v>397</v>
      </c>
      <c r="D21" s="162" cm="1">
        <f t="array" ref="D21">nabla.e.CountCλ(B21,C21)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nabla.e.SumRowsλ()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(nabla.e is assumed to be the module's name)</v>
      </c>
    </row>
    <row r="11" spans="1:17" x14ac:dyDescent="0.25">
      <c r="A11" t="str">
        <v/>
      </c>
      <c r="B11" t="str">
        <v>=nabla.e.SumRowsλ(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nabla.d.Timelineλ($B$20,$B$21,$B$22)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nabla.e.SumRowsλ(_xlfn.ANCHORARRAY(G20))</f>
        <v>53801.688410351358</v>
      </c>
      <c r="G20" s="235" cm="1">
        <f t="array" ref="G20:R24">_xlfn.MAKEARRAY(COUNTA(_xlfn.ANCHORARRAY( E20)), COUNTA(_xlfn.ANCHORARRAY( G19)), _xlfn.LAMBDA(_xlpm.r,_xlpm.c, 1000 + MOD(_xlpm.r * 7 + _xlpm.c * 13, 10000 - 1000 + 1)))</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nabla.e.SumColsλ(_xlfn.ANCHORARRAY(G20))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(nabla.e is assumed to be the module's name)</v>
      </c>
    </row>
    <row r="11" spans="1:19" x14ac:dyDescent="0.25">
      <c r="A11" t="str">
        <v/>
      </c>
      <c r="B11" t="str">
        <v>=nabla.e.SumColsλ(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65790.082892959283</v>
      </c>
      <c r="H17" s="192" cm="1">
        <f t="array" ref="H17:S21">_xlfn.MAKEARRAY(COUNTA(_xlfn.ANCHORARRAY(F17)), COUNTA(_xlfn.ANCHORARRAY(H16)), _xlfn.LAMBDA(_xlpm.r,_xlpm.c, 1000 + MOD(_xlpm.r * 7 + _xlpm.c * 13, 10000 - 1000 + 1)))</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nabla.e.SumColsλ(_xlfn.ANCHORARRAY(H17))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(nabla.e is assumed to be the module's name)</v>
      </c>
    </row>
    <row r="11" spans="1:18" x14ac:dyDescent="0.25">
      <c r="A11" t="str">
        <v/>
      </c>
      <c r="B11" t="str">
        <v>=nabla.e.AvgRowsλ(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nabla.e.AvgRowsλ(_xlfn.ANCHORARRAY(G17))</f>
        <v>5317.0694354970619</v>
      </c>
      <c r="G17" s="235" cm="1">
        <f t="array" ref="G17:R21">_xlfn.MAKEARRAY(COUNTA(_xlfn.ANCHORARRAY( E17)), COUNTA(_xlfn.ANCHORARRAY( G16)), _xlfn.LAMBDA(_xlpm.r,_xlpm.c, 1000 + MOD(_xlpm.r * 7 + _xlpm.c * 13, 10000 - 1000 + 1)))</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nabla.e.SumColsλ(_xlfn.ANCHORARRAY(G17))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(nabla.e is assumed to be the module's name)</v>
      </c>
    </row>
    <row r="11" spans="1:19" x14ac:dyDescent="0.25">
      <c r="A11" t="str">
        <v/>
      </c>
      <c r="B11" t="str">
        <v>=nabla.e.AvgColsλ(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65523.062848063681</v>
      </c>
      <c r="H17" s="192" cm="1">
        <f t="array" ref="H17:S21">_xlfn.MAKEARRAY(COUNTA(_xlfn.ANCHORARRAY(F17)), COUNTA(_xlfn.ANCHORARRAY(H16)), _xlfn.LAMBDA(_xlpm.r,_xlpm.c, 100 + MOD(_xlpm.r * 7 + _xlpm.c * 13, 10000 - 100 + 1)))</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nabla.e.AvgColsλ(_xlfn.ANCHORARRAY(H17))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(nabla.e is assumed to be the module's name)</v>
      </c>
    </row>
    <row r="11" spans="1:18" x14ac:dyDescent="0.25">
      <c r="A11" t="str">
        <v/>
      </c>
      <c r="B11" t="str">
        <v>=nabla.e.MinRowsλ(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nabla.e.MinRowsλ(_xlfn.ANCHORARRAY(G17))</f>
        <v>1089.8429780705537</v>
      </c>
      <c r="G17" s="235" cm="1">
        <f t="array" ref="G17:R21">_xlfn.MAKEARRAY(COUNTA(_xlfn.ANCHORARRAY(E17)), COUNTA(_xlfn.ANCHORARRAY(G16)), _xlfn.LAMBDA(_xlpm.r,_xlpm.c, 100 + MOD(_xlpm.r * 7 + _xlpm.c * 13, 10000 - 100 + 1)))</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nabla.e.SumColsλ(_xlfn.ANCHORARRAY(G17))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(nabla.e is assumed to be the module's name)</v>
      </c>
    </row>
    <row r="11" spans="1:19" x14ac:dyDescent="0.25">
      <c r="A11" t="str">
        <v/>
      </c>
      <c r="B11" t="str">
        <v>=nabla.e.MinColsλ(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57868.921032785103</v>
      </c>
      <c r="H17" s="192" cm="1">
        <f t="array" ref="H17:S21">_xlfn.MAKEARRAY(COUNTA(_xlfn.ANCHORARRAY(F17)), COUNTA(_xlfn.ANCHORARRAY(H16)), _xlfn.LAMBDA(_xlpm.r,_xlpm.c, 100 + MOD(_xlpm.r * 7 + _xlpm.c * 13, 10000 - 100 + 1)))</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nabla.e.MinColsλ(_xlfn.ANCHORARRAY(H17))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(nabla.e is assumed to be the module's name)</v>
      </c>
    </row>
    <row r="11" spans="1:18" x14ac:dyDescent="0.25">
      <c r="A11" t="str">
        <v/>
      </c>
      <c r="B11" t="str">
        <v>=nabla.e.MaxRowsλ(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nabla.e.MaxRowsλ(_xlfn.ANCHORARRAY(G17))</f>
        <v>9479.686615825216</v>
      </c>
      <c r="G17" s="235" cm="1">
        <f t="array" ref="G17:R21">_xlfn.MAKEARRAY(COUNTA(_xlfn.ANCHORARRAY( E17)), COUNTA(_xlfn.ANCHORARRAY( G16)), _xlfn.LAMBDA(_xlpm.r,_xlpm.c, 100 + MOD(_xlpm.r * 7 + _xlpm.c * 13, 10000 - 100 + 1)))</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nabla.e.SumColsλ(_xlfn.ANCHORARRAY(G17))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(nabla.e is assumed to be the module's name)</v>
      </c>
    </row>
    <row r="11" spans="1:19" x14ac:dyDescent="0.25">
      <c r="A11" t="str">
        <v/>
      </c>
      <c r="B11" t="str">
        <v>=nabla.e.MaxColsλ(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64628.333702562362</v>
      </c>
      <c r="H17" s="192" cm="1">
        <f t="array" ref="H17:S21">_xlfn.MAKEARRAY(COUNTA(_xlfn.ANCHORARRAY(F17)), COUNTA(_xlfn.ANCHORARRAY(H16)), _xlfn.LAMBDA(_xlpm.r,_xlpm.c, 100 + MOD(_xlpm.r * 7 + _xlpm.c * 13, 9999 - 100 + 1)))</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nabla.e.MaxColsλ(_xlfn.ANCHORARRAY(H17))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nabla.e.CountRowsλ(_xlfn.ANCHORARRAY(G17))</f>
        <v>7</v>
      </c>
      <c r="G17" s="235" cm="1">
        <f t="array" ref="G17:R21">CHOOSE(_xlfn.MAKEARRAY(COUNTA(_xlfn.ANCHORARRAY( E17)), COUNTA(_xlfn.ANCHORARRAY( G16)), _xlfn.LAMBDA(_xlpm.r,_xlpm.c, 1 + MOD(_xlpm.r * 7 + _xlpm.c * 13, 10 - 1 + 1))),"A",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nabla.e.CountColsλ(_xlfn.ANCHORARRAY(G17))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nabla.e.CountRowsλ(_xlfn.ANCHORARRAY(G17))</f>
        <v>5</v>
      </c>
      <c r="G17" s="235" t="str" cm="1">
        <f t="array" ref="G17:R21">CHOOSE(_xlfn.MAKEARRAY(COUNTA(_xlfn.ANCHORARRAY( E17)), COUNTA(_xlfn.ANCHORARRAY( G16)), _xlfn.LAMBDA(_xlpm.r,_xlpm.c, 1 + MOD(_xlpm.r * 7 + _xlpm.c * 13, 10 - 1 + 1))),"A",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nabla.e.CountColsλ(_xlfn.ANCHORARRAY(G17))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nabla.e.IsBetweenλ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nabla.e.IsBetweenλ()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v>
      </c>
      <c r="B8" t="str">
        <v>(Required) The lower limit that the value must be greater than</v>
      </c>
    </row>
    <row r="9" spans="1:17" x14ac:dyDescent="0.25">
      <c r="A9" t="str">
        <v>Hi</v>
      </c>
      <c r="B9" t="str">
        <v>(Required) The lower limit that the value must be less than</v>
      </c>
    </row>
    <row r="10" spans="1:17" x14ac:dyDescent="0.25">
      <c r="A10" t="str">
        <v>Inclusive</v>
      </c>
      <c r="B10" t="str">
        <v>(Optional) If set to TRUE (default) the value can be equal to Lo and/or Hi</v>
      </c>
    </row>
    <row r="11" spans="1:17" x14ac:dyDescent="0.25">
      <c r="A11" t="str">
        <v/>
      </c>
      <c r="B11" t="str">
        <v/>
      </c>
    </row>
    <row r="12" spans="1:17" x14ac:dyDescent="0.25">
      <c r="A12" t="str">
        <v>EXAMPLES :</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nabla.e.SumRowsλ(_xlfn.ANCHORARRAY(G21))</f>
        <v>1</v>
      </c>
      <c r="G21" s="162" cm="1">
        <f t="array" ref="G21:R25">N(nabla.d.IsBetweenλ(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nabla.e.SumColsλ(_xlfn.ANCHORARRAY(G21))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+ 365 * (ROW() - ROW(tblOnBoarding[#Headers]))</f>
        <v>45990</v>
      </c>
    </row>
    <row r="30" spans="1:18" x14ac:dyDescent="0.25">
      <c r="A30" s="121" t="str">
        <f t="shared" ref="A30:A33" si="0">E22</f>
        <v>Wool*Art</v>
      </c>
      <c r="B30" s="141" cm="1">
        <f t="array" ref="B30">$B$21 + 365 * (ROW() - ROW(tblOnBoarding[#Headers]))</f>
        <v>49231</v>
      </c>
    </row>
    <row r="31" spans="1:18" x14ac:dyDescent="0.25">
      <c r="A31" s="121" t="str">
        <f t="shared" si="0"/>
        <v>Town Hall</v>
      </c>
      <c r="B31" s="141" cm="1">
        <f t="array" ref="B31">$B$21 + 365 * (ROW() - ROW(tblOnBoarding[#Headers]))</f>
        <v>46281</v>
      </c>
    </row>
    <row r="32" spans="1:18" x14ac:dyDescent="0.25">
      <c r="A32" s="121" t="str">
        <f t="shared" si="0"/>
        <v>Jacqie Penee</v>
      </c>
      <c r="B32" s="141" cm="1">
        <f t="array" ref="B32">$B$21 + 365 * (ROW() - ROW(tblOnBoarding[#Headers]))</f>
        <v>45861</v>
      </c>
    </row>
    <row r="33" spans="1:2" x14ac:dyDescent="0.25">
      <c r="A33" s="121" t="str">
        <f t="shared" si="0"/>
        <v>Amazonia</v>
      </c>
      <c r="B33" s="141" cm="1">
        <f t="array" ref="B33">$B$21 + 365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nabla.e.RangeToDAλ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nabla.e.RangeToDAλ()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nabla.d.Timelineλ($B$21,$B$22,$B$23)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nabla.e.SumRowsλ(_xlfn.ANCHORARRAY(G21))</f>
        <v>0.2525</v>
      </c>
      <c r="G21" s="256" cm="1">
        <f t="array" ref="G21:R21">nabla.e.RangeToDAλ(G15,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nabla.e.RangeToDAλ(G16,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nabla.r.FinancialRatios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nabla.r.CurrentRatioλ( 134.836, 125.481)</f>
        <v>1.0745531195957956</v>
      </c>
      <c r="B14" t="str">
        <f t="shared" ref="B14:B20" si="0">_xlfn.FORMULATEXT(A14)</f>
        <v>=nabla.r.CurrentRatioλ( 134.836, 125.481)</v>
      </c>
      <c r="D14" t="s">
        <v>462</v>
      </c>
      <c r="E14" t="s">
        <v>463</v>
      </c>
    </row>
    <row r="15" spans="1:11" x14ac:dyDescent="0.25">
      <c r="A15" s="269" cm="1">
        <f t="array" ref="A15">nabla.r.QuickRatioλ(165000,137500)</f>
        <v>1.2</v>
      </c>
      <c r="B15" t="str">
        <f t="shared" si="0"/>
        <v>=nabla.r.QuickRatioλ(165000,137500)</v>
      </c>
      <c r="D15" t="s">
        <v>464</v>
      </c>
      <c r="E15" t="s">
        <v>465</v>
      </c>
    </row>
    <row r="16" spans="1:11" x14ac:dyDescent="0.25">
      <c r="A16" s="269" cm="1">
        <f t="array" ref="A16">nabla.r.CashRatioλ( 63900000, 123500000)</f>
        <v>0.51740890688259111</v>
      </c>
      <c r="B16" t="str">
        <f t="shared" si="0"/>
        <v>=nabla.r.CashRatioλ( 63900000, 123500000)</v>
      </c>
      <c r="D16" t="s">
        <v>466</v>
      </c>
      <c r="E16" t="s">
        <v>467</v>
      </c>
    </row>
    <row r="17" spans="1:5" x14ac:dyDescent="0.25">
      <c r="A17" s="269" cm="1">
        <f t="array" ref="A17">nabla.r.OperatingCashFlowRatioλ( 27.8, 77.5)</f>
        <v>0.35870967741935483</v>
      </c>
      <c r="B17" t="str">
        <f t="shared" si="0"/>
        <v>=nabla.r.OperatingCashFlowRatioλ( 27.8, 77.5)</v>
      </c>
      <c r="D17" t="s">
        <v>466</v>
      </c>
      <c r="E17" t="s">
        <v>468</v>
      </c>
    </row>
    <row r="18" spans="1:5" x14ac:dyDescent="0.25">
      <c r="A18" s="269" cm="1">
        <f t="array" ref="A18">nabla.r.ReceivablesTurnoverRatioλ( 800000, 68000 )</f>
        <v>11.764705882352942</v>
      </c>
      <c r="B18" t="str">
        <f t="shared" si="0"/>
        <v>=nabla.r.ReceivablesTurnoverRatioλ( 800000, 68000 )</v>
      </c>
      <c r="D18" t="s">
        <v>469</v>
      </c>
      <c r="E18" t="s">
        <v>470</v>
      </c>
    </row>
    <row r="19" spans="1:5" x14ac:dyDescent="0.25">
      <c r="A19" s="269" cm="1">
        <f t="array" ref="A19">nabla.r.InventoryTurnoverRatioλ( 429, 50.7)</f>
        <v>8.4615384615384617</v>
      </c>
      <c r="B19" t="str">
        <f t="shared" si="0"/>
        <v>=nabla.r.InventoryTurnoverRatioλ( 429, 50.7)</v>
      </c>
      <c r="D19" t="s">
        <v>471</v>
      </c>
      <c r="E19" t="s">
        <v>472</v>
      </c>
    </row>
    <row r="20" spans="1:5" x14ac:dyDescent="0.25">
      <c r="A20" s="269" cm="1">
        <f t="array" ref="A20">nabla.r.WorkingCapitalTurnoverRatioλ( 12, 2)</f>
        <v>6</v>
      </c>
      <c r="B20" t="str">
        <f t="shared" si="0"/>
        <v>=nabla.r.WorkingCapitalTurnoverRatioλ( 12,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nabla.r.DebtRatioλ(30000000, 100000000)</f>
        <v>0.3</v>
      </c>
      <c r="B23" t="str">
        <f>_xlfn.FORMULATEXT(A23)</f>
        <v>=nabla.r.DebtRatioλ(30000000, 100000000)</v>
      </c>
      <c r="D23" t="s">
        <v>475</v>
      </c>
      <c r="E23" t="s">
        <v>476</v>
      </c>
    </row>
    <row r="24" spans="1:5" x14ac:dyDescent="0.25">
      <c r="A24" s="269" cm="1">
        <f t="array" ref="A24">nabla.r.DSCRλ(2150000, 350000)</f>
        <v>6.1428571428571432</v>
      </c>
      <c r="B24" t="str">
        <f>_xlfn.FORMULATEXT(A24)</f>
        <v>=nabla.r.DSCRλ(2150000, 350000)</v>
      </c>
      <c r="D24" t="s">
        <v>477</v>
      </c>
      <c r="E24" t="s">
        <v>478</v>
      </c>
    </row>
    <row r="25" spans="1:5" x14ac:dyDescent="0.25">
      <c r="A25" s="269" cm="1">
        <f t="array" ref="A25">nabla.r.DebtToCapitalRatioλ( 80000000, 223000000 )</f>
        <v>0.264026402640264</v>
      </c>
      <c r="B25" t="str">
        <f>_xlfn.FORMULATEXT(A25)</f>
        <v>=nabla.r.DebtToCapitalRatioλ( 80000000, 223000000 )</v>
      </c>
      <c r="D25" t="s">
        <v>479</v>
      </c>
      <c r="E25" t="s">
        <v>480</v>
      </c>
    </row>
    <row r="26" spans="1:5" x14ac:dyDescent="0.25">
      <c r="A26" s="198" cm="1">
        <f t="array" ref="A26">nabla.r.EquityMultiplierλ(366.6, 83.2 )</f>
        <v>4.40625</v>
      </c>
      <c r="B26" t="str">
        <f>_xlfn.FORMULATEXT(A26)</f>
        <v>=nabla.r.EquityMultiplierλ(366.6,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nabla.r.DebtToEquityRatioλ(279, 74 )</f>
        <v>3.7702702702702702</v>
      </c>
      <c r="B29" t="str">
        <f>_xlfn.FORMULATEXT(A29)</f>
        <v>=nabla.r.DebtToEquityRatioλ(279, 74 )</v>
      </c>
      <c r="D29" t="s">
        <v>483</v>
      </c>
      <c r="E29" t="s">
        <v>484</v>
      </c>
    </row>
    <row r="30" spans="1:5" x14ac:dyDescent="0.25">
      <c r="A30" s="269" cm="1">
        <f t="array" ref="A30">nabla.r.DebtToAssetRatioλ(31.845, 63.852 )</f>
        <v>0.4987314414583725</v>
      </c>
      <c r="B30" t="str">
        <f t="shared" ref="B30:B32" si="1">_xlfn.FORMULATEXT(A30)</f>
        <v>=nabla.r.DebtToAssetRatioλ(31.845, 63.852 )</v>
      </c>
      <c r="D30" t="s">
        <v>485</v>
      </c>
      <c r="E30" t="s">
        <v>486</v>
      </c>
    </row>
    <row r="31" spans="1:5" x14ac:dyDescent="0.25">
      <c r="A31" s="269" cm="1">
        <f t="array" ref="A31">nabla.r.InterestCoverageRatioλ( 625, 90 )</f>
        <v>6.9444444444444446</v>
      </c>
      <c r="B31" t="str">
        <f t="shared" si="1"/>
        <v>=nabla.r.InterestCoverageRatioλ( 625, 90 )</v>
      </c>
      <c r="D31" t="s">
        <v>487</v>
      </c>
      <c r="E31" t="s">
        <v>488</v>
      </c>
    </row>
    <row r="32" spans="1:5" x14ac:dyDescent="0.25">
      <c r="A32" s="269" cm="1">
        <f t="array" ref="A32">nabla.r.EquityRatioλ( 20, 60, 10 )</f>
        <v>0.4</v>
      </c>
      <c r="B32" t="str">
        <f t="shared" si="1"/>
        <v>=nabla.r.EquityRatioλ( 20,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nabla.r.AssetTurnoverRatioλ( 171760, 538715 )</f>
        <v>0.31883277799949883</v>
      </c>
      <c r="B35" t="str">
        <f t="shared" ref="B35:B37" si="2">_xlfn.FORMULATEXT(A35)</f>
        <v>=nabla.r.AssetTurnoverRatioλ( 171760, 538715 )</v>
      </c>
      <c r="D35" t="s">
        <v>491</v>
      </c>
      <c r="E35" t="s">
        <v>492</v>
      </c>
    </row>
    <row r="36" spans="1:5" x14ac:dyDescent="0.25">
      <c r="A36" s="269" cm="1">
        <f t="array" ref="A36">nabla.r.DSIλ(54.9, 490 )</f>
        <v>40.894897959183673</v>
      </c>
      <c r="B36" t="str">
        <f t="shared" si="2"/>
        <v>=nabla.r.DSIλ(54.9, 490 )</v>
      </c>
      <c r="D36" t="s">
        <v>493</v>
      </c>
      <c r="E36" t="s">
        <v>494</v>
      </c>
    </row>
    <row r="37" spans="1:5" x14ac:dyDescent="0.25">
      <c r="A37" s="269" cm="1">
        <f t="array" ref="A37">nabla.r.OperatingRatioλ( 14.37, 48.48, 90.75 )</f>
        <v>0.69256198347107434</v>
      </c>
      <c r="B37" t="str">
        <f t="shared" si="2"/>
        <v>=nabla.r.OperatingRatioλ( 14.37,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nabla.r.GrossMarginλ( 62984, 102007 )</f>
        <v>0.61744782220827987</v>
      </c>
      <c r="B40" t="str">
        <f t="shared" ref="B40:B46" si="3">_xlfn.FORMULATEXT(A40)</f>
        <v>=nabla.r.GrossMarginλ( 62984, 102007 )</v>
      </c>
      <c r="D40" t="s">
        <v>497</v>
      </c>
      <c r="E40" t="s">
        <v>498</v>
      </c>
    </row>
    <row r="41" spans="1:5" x14ac:dyDescent="0.25">
      <c r="A41" s="269" cm="1">
        <f t="array" ref="A41">nabla.r.EBITDAMarginλ( 15, 125 )</f>
        <v>0.12</v>
      </c>
      <c r="B41" t="str">
        <f t="shared" si="3"/>
        <v>=nabla.r.EBITDAMarginλ( 15, 125 )</v>
      </c>
      <c r="D41" t="s">
        <v>499</v>
      </c>
      <c r="E41" t="s">
        <v>500</v>
      </c>
    </row>
    <row r="42" spans="1:5" x14ac:dyDescent="0.25">
      <c r="A42" s="198" cm="1">
        <f t="array" ref="A42">nabla.r.OperatingMarginλ( 0.8, 2 )</f>
        <v>0.4</v>
      </c>
      <c r="B42" t="str">
        <f t="shared" si="3"/>
        <v>=nabla.r.OperatingMarginλ( 0.8, 2 )</v>
      </c>
      <c r="D42" t="s">
        <v>501</v>
      </c>
      <c r="E42" t="s">
        <v>502</v>
      </c>
    </row>
    <row r="43" spans="1:5" x14ac:dyDescent="0.25">
      <c r="A43" s="198" cm="1">
        <f t="array" ref="A43">nabla.r.PretaxMarginλ( 40, 500 )</f>
        <v>0.08</v>
      </c>
      <c r="B43" t="str">
        <f t="shared" si="3"/>
        <v>=nabla.r.PretaxMarginλ( 40, 500 )</v>
      </c>
      <c r="D43" t="s">
        <v>503</v>
      </c>
      <c r="E43" t="s">
        <v>504</v>
      </c>
    </row>
    <row r="44" spans="1:5" x14ac:dyDescent="0.25">
      <c r="A44" s="198" cm="1">
        <f t="array" ref="A44">nabla.r.NetProfitMarginλ( 56, 100 )</f>
        <v>0.56000000000000005</v>
      </c>
      <c r="B44" t="str">
        <f t="shared" si="3"/>
        <v>=nabla.r.NetProfitMarginλ( 56, 100 )</v>
      </c>
      <c r="D44" t="s">
        <v>505</v>
      </c>
      <c r="E44" t="s">
        <v>506</v>
      </c>
    </row>
    <row r="45" spans="1:5" x14ac:dyDescent="0.25">
      <c r="A45" s="198" cm="1">
        <f t="array" ref="A45">nabla.r.CashFlowMarginλ( 2.695, 5.3 )</f>
        <v>0.50849056603773579</v>
      </c>
      <c r="B45" t="str">
        <f t="shared" si="3"/>
        <v>=nabla.r.CashFlowMarginλ( 2.695, 5.3 )</v>
      </c>
      <c r="D45" t="s">
        <v>507</v>
      </c>
      <c r="E45" t="s">
        <v>508</v>
      </c>
    </row>
    <row r="46" spans="1:5" x14ac:dyDescent="0.25">
      <c r="A46" s="198" cm="1">
        <f t="array" ref="A46">nabla.r.ROAλ(1200, 15000 )</f>
        <v>0.08</v>
      </c>
      <c r="B46" t="str">
        <f t="shared" si="3"/>
        <v>=nabla.r.ROAλ(1200, 15000 )</v>
      </c>
      <c r="D46" t="s">
        <v>509</v>
      </c>
      <c r="E46" t="s">
        <v>510</v>
      </c>
    </row>
    <row r="47" spans="1:5" x14ac:dyDescent="0.25">
      <c r="A47" s="198" cm="1">
        <f t="array" ref="A47">nabla.r.ROEλ( 59.972, AVERAGE(251.635, 256.144) )</f>
        <v>0.23621299817440264</v>
      </c>
      <c r="B47" t="str">
        <f>_xlfn.FORMULATEXT(A47)</f>
        <v>=nabla.r.ROEλ( 59.972, AVERAGE(251.635, 256.144) )</v>
      </c>
      <c r="D47" t="s">
        <v>511</v>
      </c>
      <c r="E47" t="s">
        <v>512</v>
      </c>
    </row>
    <row r="48" spans="1:5" x14ac:dyDescent="0.25">
      <c r="A48" s="198" cm="1">
        <f t="array" ref="A48">nabla.r.ROIλ( 2875, 10000 )</f>
        <v>0.28749999999999998</v>
      </c>
      <c r="B48" t="str">
        <f>_xlfn.FORMULATEXT(A48)</f>
        <v>=nabla.r.ROIλ( 2875, 10000 )</v>
      </c>
      <c r="D48" t="s">
        <v>513</v>
      </c>
      <c r="E48" t="s">
        <v>514</v>
      </c>
    </row>
    <row r="49" spans="1:5" x14ac:dyDescent="0.25">
      <c r="A49" s="198" cm="1">
        <f t="array" ref="A49">nabla.r.ROICλ( 3245, 25729 )</f>
        <v>0.12612227447627192</v>
      </c>
      <c r="B49" t="str">
        <f>_xlfn.FORMULATEXT(A49)</f>
        <v>=nabla.r.ROICλ( 3245,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nabla.r.PriceEarningsRatioλ( 242.62, 16.85)</f>
        <v>14.39881305637982</v>
      </c>
      <c r="B52" t="str">
        <f>_xlfn.FORMULATEXT(A52)</f>
        <v>=nabla.r.PriceEarningsRatioλ( 242.62, 16.85)</v>
      </c>
      <c r="D52" t="s">
        <v>517</v>
      </c>
      <c r="E52" t="s">
        <v>518</v>
      </c>
    </row>
    <row r="53" spans="1:5" x14ac:dyDescent="0.25">
      <c r="A53" s="269" cm="1">
        <f t="array" ref="A53">nabla.r.PriceToBookRatioλ( 5, 2.5 )</f>
        <v>2</v>
      </c>
      <c r="B53" t="str">
        <f>_xlfn.FORMULATEXT(A53)</f>
        <v>=nabla.r.PriceToBookRatioλ( 5, 2.5 )</v>
      </c>
      <c r="D53" t="s">
        <v>519</v>
      </c>
      <c r="E53" t="s">
        <v>520</v>
      </c>
    </row>
    <row r="54" spans="1:5" x14ac:dyDescent="0.25">
      <c r="A54" s="269" cm="1">
        <f t="array" ref="A54">nabla.r.PriceToSalesRatioλ( 455, 100 )</f>
        <v>4.55</v>
      </c>
      <c r="B54" t="str">
        <f>_xlfn.FORMULATEXT(A54)</f>
        <v>=nabla.r.PriceToSalesRatioλ( 455, 100 )</v>
      </c>
      <c r="D54" t="s">
        <v>521</v>
      </c>
      <c r="E54" t="s">
        <v>522</v>
      </c>
    </row>
    <row r="55" spans="1:5" x14ac:dyDescent="0.25">
      <c r="A55" s="269" cm="1">
        <f t="array" ref="A55">nabla.r.PriceToCashRatioλ( 200, 100 )</f>
        <v>2</v>
      </c>
      <c r="B55" t="str">
        <f>_xlfn.FORMULATEXT(A55)</f>
        <v>=nabla.r.PriceToCashRatioλ( 200, 100 )</v>
      </c>
      <c r="D55" t="s">
        <v>523</v>
      </c>
      <c r="E55" t="s">
        <v>524</v>
      </c>
    </row>
    <row r="56" spans="1:5" x14ac:dyDescent="0.25">
      <c r="A56" s="268" cm="1">
        <f t="array" ref="A56">nabla.r.BVPSλ(20, 5, AVERAGE( 2.9, 3.1) )</f>
        <v>5</v>
      </c>
      <c r="B56" t="str">
        <f t="shared" ref="B56:B58" si="4">_xlfn.FORMULATEXT(A56)</f>
        <v>=nabla.r.BVPSλ(20, 5, AVERAGE( 2.9, 3.1) )</v>
      </c>
      <c r="D56" t="s">
        <v>525</v>
      </c>
      <c r="E56" t="s">
        <v>526</v>
      </c>
    </row>
    <row r="57" spans="1:5" x14ac:dyDescent="0.25">
      <c r="A57" s="269" cm="1">
        <f t="array" ref="A57">nabla.r.CAPERatioλ( 100, 10  )</f>
        <v>10</v>
      </c>
      <c r="B57" t="str">
        <f t="shared" si="4"/>
        <v>=nabla.r.CAPERatioλ( 100, 10  )</v>
      </c>
      <c r="D57" t="s">
        <v>527</v>
      </c>
      <c r="E57" t="s">
        <v>528</v>
      </c>
    </row>
    <row r="58" spans="1:5" x14ac:dyDescent="0.25">
      <c r="A58" s="269" cm="1">
        <f t="array" ref="A58">nabla.r.DPRλ( 5, 20 )</f>
        <v>0.25</v>
      </c>
      <c r="B58" t="str">
        <f t="shared" si="4"/>
        <v>=nabla.r.DPRλ( 5, 20 )</v>
      </c>
      <c r="D58" t="s">
        <v>529</v>
      </c>
      <c r="E58" t="s">
        <v>530</v>
      </c>
    </row>
    <row r="59" spans="1:5" x14ac:dyDescent="0.25">
      <c r="A59" s="269" cm="1">
        <f t="array" ref="A59">nabla.r.DividendYieldRatioλ( 1.2, 45 )</f>
        <v>2.6666666666666665E-2</v>
      </c>
      <c r="B59" t="str">
        <f>_xlfn.FORMULATEXT(A59)</f>
        <v>=nabla.r.DividendYieldRatioλ( 1.2, 45 )</v>
      </c>
      <c r="D59" t="s">
        <v>531</v>
      </c>
      <c r="E59" t="s">
        <v>532</v>
      </c>
    </row>
    <row r="60" spans="1:5" x14ac:dyDescent="0.25">
      <c r="A60" s="269" cm="1">
        <f t="array" ref="A60">nabla.r.EPSλ( 7.6, 0, 3.98 )</f>
        <v>1.9095477386934672</v>
      </c>
      <c r="B60" t="str">
        <f t="shared" ref="B60:B61" si="5">_xlfn.FORMULATEXT(A60)</f>
        <v>=nabla.r.EPSλ( 7.6, 0, 3.98 )</v>
      </c>
      <c r="D60" t="s">
        <v>533</v>
      </c>
      <c r="E60" t="s">
        <v>534</v>
      </c>
    </row>
    <row r="61" spans="1:5" x14ac:dyDescent="0.25">
      <c r="A61" s="269" cm="1">
        <f t="array" ref="A61">nabla.r.RetentionRatioλ( 41.981, 22.112)</f>
        <v>1.898561866859624</v>
      </c>
      <c r="B61" t="str">
        <f t="shared" si="5"/>
        <v>=nabla.r.RetentionRatioλ( 41.981,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xl/worksheets/sheet50.xml><?xml version="1.0" encoding="utf-8"?>
<worksheet xmlns="http://schemas.openxmlformats.org/spreadsheetml/2006/main" xmlns:r="http://schemas.openxmlformats.org/officeDocument/2006/relationships">
  <sheetPr>
    <tabColor rgb="FF157A5F"/>
  </sheetPr>
  <dimension ref="A1:F26"/>
  <sheetViews>
    <sheetView showGridLines="0" workbookViewId="0">
      <selection activeCell="A1" sqref="A1"/>
    </sheetView>
  </sheetViews>
  <sheetFormatPr defaultRowHeight="15"/>
  <cols>
    <col min="1" max="1" width="34" customWidth="1"/>
    <col min="2" max="6" width="16" customWidth="1"/>
  </cols>
  <sheetData>
    <row r="1">
      <c r="A1" s="270" t="str">
        <f>_xlfn.TEXTAFTER(CELL("filename",A1),"]")</f>
        <v>Australian tax</v>
      </c>
    </row>
    <row r="2">
      <c r="A2" s="0" t="inlineStr">
        <is>
          <t>The Australian additions to this library. Change the input cells and the results follow.</t>
        </is>
      </c>
    </row>
    <row r="4">
      <c r="A4" s="319" t="inlineStr">
        <is>
          <t>DEPRECIATION</t>
        </is>
      </c>
    </row>
    <row r="5">
      <c r="A5" s="319" t="inlineStr">
        <is>
          <t>Cost</t>
        </is>
      </c>
      <c r="B5" s="319" t="inlineStr">
        <is>
          <t>Effective life (years)</t>
        </is>
      </c>
    </row>
    <row r="6">
      <c r="A6" s="320">
        <v>50000</v>
      </c>
      <c r="B6" s="0">
        <v>5</v>
      </c>
    </row>
    <row r="8">
      <c r="A8" s="0" t="inlineStr">
        <is>
          <t>Diminishing value (ATO 200% method)</t>
        </is>
      </c>
      <c r="B8" s="320" cm="1">
        <f t="array" ref="B8:F8">nabla.f.DiminishingValueλ($A$6,$B$6)</f>
      </c>
    </row>
    <row r="9">
      <c r="A9" s="0" t="inlineStr">
        <is>
          <t>Prime cost (ATO straight line)</t>
        </is>
      </c>
      <c r="B9" s="320" cm="1">
        <f t="array" ref="B9:F9">nabla.f.PrimeCostλ($A$6,$B$6)</f>
      </c>
    </row>
    <row r="10">
      <c r="A10" s="0" t="inlineStr">
        <is>
          <t>Total written off, diminishing value</t>
        </is>
      </c>
      <c r="B10" s="320">
        <f>SUM(_xlfn.ANCHORARRAY(B8))</f>
      </c>
    </row>
    <row r="11">
      <c r="A11" s="0" t="inlineStr">
        <is>
          <t>Total written off, prime cost</t>
        </is>
      </c>
      <c r="B11" s="320">
        <f>SUM(_xlfn.ANCHORARRAY(B9))</f>
      </c>
    </row>
    <row r="12">
      <c r="A12" s="0" t="inlineStr">
        <is>
          <t>Both totals equal the cost above for any effective life, including part years such as 6 2/3 and lives under 2 years.</t>
        </is>
      </c>
    </row>
    <row r="14">
      <c r="A14" s="319" t="inlineStr">
        <is>
          <t>GST</t>
        </is>
      </c>
    </row>
    <row r="15">
      <c r="A15" s="319" t="inlineStr">
        <is>
          <t>GST-exclusive amount</t>
        </is>
      </c>
      <c r="B15" s="319" t="inlineStr">
        <is>
          <t>Plus GST</t>
        </is>
      </c>
    </row>
    <row r="16">
      <c r="A16" s="320">
        <v>1000</v>
      </c>
      <c r="B16" s="320" cm="1">
        <f t="array" ref="B16:B16">nabla.f.GSTAddλ(A16)</f>
      </c>
    </row>
    <row r="18">
      <c r="A18" s="319" t="inlineStr">
        <is>
          <t>GST-inclusive amount</t>
        </is>
      </c>
      <c r="B18" s="319" t="inlineStr">
        <is>
          <t>GST included</t>
        </is>
      </c>
    </row>
    <row r="19">
      <c r="A19" s="320">
        <v>1100</v>
      </c>
      <c r="B19" s="320" cm="1">
        <f t="array" ref="B19:B19">nabla.f.GSTExtractλ(A19)</f>
      </c>
    </row>
    <row r="21">
      <c r="A21" s="319" t="inlineStr">
        <is>
          <t>FINANCIAL YEAR</t>
        </is>
      </c>
    </row>
    <row r="22">
      <c r="A22" s="319" t="inlineStr">
        <is>
          <t>Date</t>
        </is>
      </c>
      <c r="B22" s="319" t="inlineStr">
        <is>
          <t>Financial year</t>
        </is>
      </c>
    </row>
    <row r="23">
      <c r="A23" s="321">
        <v>46203</v>
      </c>
      <c r="B23" s="0" cm="1">
        <f t="array" ref="B23:B26">nabla.d.FinancialYearλ(A23:A26)</f>
      </c>
    </row>
    <row r="24">
      <c r="A24" s="321">
        <v>46204</v>
      </c>
    </row>
    <row r="25">
      <c r="A25" s="321">
        <v>46249</v>
      </c>
    </row>
    <row r="26">
      <c r="A26" s="321">
        <v>46387</v>
      </c>
    </row>
  </sheetData>
  <hyperlinks>
    <hyperlink ref="A1" location="'TOC'!$A$1" display="'TOC'!$A$1"/>
  </hyperlink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uAGEAYgBsAGEALgBkACIALAAiAHQAZQB4AHQAIgA6ACIALwAqACAAIABNAG8AZAB1AGwAZQAgAEMAbwBuAHQAYQBpAG4AcwAgAG4AYQBiAGwAYQAgAEMAbwBtAHAAbABpAGEAbgB0ACAATABBAE0AQgBEAEEAcwAgAHQAaABhAHQAIABkAGUAYQBsACAAdwBpAHQAaAAgAGQAYQB0AGU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EEAYgBvAHUAdAC7AyAAPQAgAFQAUgBJAE0AKABcAG4AIAAgACAAIABUAEUAWABUAFMAUABMAEkAVAAoAFwAbgAgACAAIAAgACAAIAAgACAAXAAiAEEAYgBvAHUAdAA6ACAAIAAgACAAIAAgACAAIAAgACAAIAAgACAAIAAgACAAIACSIUMAQgBTAEUAIABjAG8AbQBwAGwAaQBhAG4AdAAgAEwAQQBNAEIARABBAHMAIABkAGUAYQBsAGkAbgBnACAAdwBpAHQAaAAgAGQAYQB0AGUAcwAuACAAUwB1AGcAZwBlAHMAdABlAGQAIABtAG8AZAB1AGwAZQAgAG4AYQBtAGUAOgAgAG4AYQBiAGwAYQAuAGQ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uwMgACAAIAAgACAAIAAgACAAIAAgACAAIAAgACAAIAAgACAAkiFQAHIAbwBkAHUAYwBlAHMAIAB0AGgAaQBzACAAdABhAGIAbABlALYAXAAiACAAJgBcAG4AIAAgACAAIAAgACAAIAAgAFwAIgBDAG8AdQBuAHQARABPAFcAuwMgACAAIAAgACAAIAAgACAAIAAgACAAIAAgACAAkiFDAG8AdQBuAHQAIABpAG4AcwB0AGEAbgBjAGUAcwAgAG8AZgAgAGEAIABzAHAAZQBjAGkAZgBpAGMAIABkAGEAeQAgAG8AZgAgAHQAaABlACAAdwBlAGUAawAgAGIAZQB0AHcAZQBlAG4AIAB0AHcAbwAgAGQAYQB0AGUAcwC2AFwAIgAgACYAXABuACAAIAAgACAAIAAgACAAIABcACIASQBzAEIAZQB0AHcAZQBlAG4AuwMgACAAIAAgACAAIAAgACAAIAAgACAAIAAgAJIhRABlAHQAZQByAG0AaQBuAGUAIABpAGYAIABhACAAdgBhAGwAdQBlACAAaQBzACAAYgBlAHQAdwBlAGUAbgAgAGEAIABsAG8AdwBlAHIAIABhAG4AZAAgAHUAcABwAGUAcgAgAGwAaQBtAGkAdAC2AFwAIgAgACYAXABuACAAIAAgACAAIAAgACAAIABcACIASQBzAE8AYwBjAHUAcgByAGUAbgBjAGUARABhAHQAZQC7AyAAIAAgACAAIAAgAJIhRABlAHQAZQByAG0AaQBuAGUAIABpAGYAIABhACAAZABhAHQAZQAgAHAAYQBzAHMAZQBkACAAaQBzACAAdwBoAGUAbgAgAGEAIABwAG8AdABlAG4AdABpAGEAbABsAHkAIAByAGUAcABlAGEAdABpAG4AZwAgAGUAdgBlAG4AdAAgAGgAYQBwAHAAZQBuAHMAtgBcACIAIAAmAFwAbgAgACAAIAAgACAAIAAgACAAXAAiAE8AdgBlAHIATABhAHAARABhAHkAcwC7AyAAIAAgACAAIAAgACAAIAAgACAAIACSIVIAZQB0AHUAcgBuACAAaABvAHcAIABtAGEAbgB5ACAAZABhAHkAcwAgAG8AdgBlAHIAbABhAHAAIAB0AHcAbwAgAHAAZQByAGkAbwBkACAAcgBhAG4AZwBlAHMALgC2AFwAIgAgACYAXABuACAAIAAgACAAIAAgACAAIABcACIAUABlAHIAaQBvAGQAcwC7AyAAIAAgACAAIAAgACAAIAAgACAAIAAgACAAIAAgAJIhRABlAHQAZQByAG0AaQBuAGUAIAB0AGgAZQAgAG4AdQBtAGIAZQByACAAbwBmACAAcABlAHIAaQBvAGQAcwAgAGYAcgBvAG0AIABTAHQAYQByAHQAcwAgAHQAbwAgAEUAbgBkAHMAIABpAG4AYwBsAHUAcwBpAHYAZQC2AFwAIgAgACYAXABuACAAIAAgACAAIAAgACAAIABcACIAUABlAHIAaQBvAGQATABhAGIAZQBsALsDIAAgACAAIAAgACAAIAAgACAAIAAgAJIhQwByAGUAYQB0AGUAcwAgAGEAIABsAGEAYgBlAGwAIABmAG8AcgAgAGEAIABkAGEAdABlACAAYgBhAHMAZQBkACAAbwBuACAAcABlAHIAaQBvAGQAIABpAG4AdABlAHIAdgBhAGwAtgBcACIAIAAmAFwAbgAgACAAIAAgACAAIAAgACAAXAAiAFMAYwBoAGUAZAB1AGwAZQBSAGEAdABlAHMAuwMgACAAIAAgACAAIAAgACAAIACSIVMAYwBoAGUAZAB1AGwAZQAgAHIAYQB0AGUAcwAgAHQAaABhAHQAIABwAGUAcgBzAGkAcwB0ACAAdQBuAHQAaQBsACAAcgBlAHAAbABhAGMAZQBkACAAaQBuACAAYQAgAHQAaQBtAGUAbABpAG4AZQAuALYAXAAiACAAJgBcAG4AIAAgACAAIAAgACAAIAAgAFwAIgBTAGMAaABlAGQAdQBsAGUAUgBhAHQAZQBzAEIAeQBJAHQAZQBtAHMAuwMgACAAkiFTAGMAaABlAGQAdQBsAGUAIAByAGEAdABlAHMAIAB0AGgAYQB0ACAAcABlAHIAcwBpAHMAdAAgAHUAbgB0AGkAbAAgAHIAZQBwAGwAYQBjAGUAZAAgAGkAbgAgAGEAIAB0AGkAbQBlAGwAaQBuAGUAIABmAG8AcgAgAGUAYQBjAGgAIABpAHQAZQBtACAAaQBuACAAYQAgAGwAaQBzAHQALgC2AFwAIgAgACYAXABuACAAIAAgACAAIAAgACAAIABcACIAUwBjAGgAZQBkAHUAbABlAFYAYQBsAHUAZQBzALsDIAAgACAAIAAgACAAIAAgAJIhUwBjAGgAZQBkAHUAbABlAHMAIAB2AGEAbAB1AGUAcwAgAGkAbgAgAGEAIAB0AGkAbQBlAGwAaQBuAGUALgAgALYAXAAiACAAJgBcAG4AIAAgACAAIAAgACAAIAAgAFwAIgBTAGMAaABlAGQAdQBsAGUAVgBhAGwAdQBlAHMAQgB5AEkAdABlAG0AcwC7AyAAkiFTAGMAaABlAGQAdQBsAGUAcwAgAHYAYQBsAHUAZQBzACAAaQBuACAAYQAgAHQAaQBtAGUAbABpAG4AZQAgAGYAbwByACAAZQBhAGMAaAAgAGkAdABlAG0AIABpAG4AIABhACAAbABpAHMAdAAuALYAXAAiACAAJgBcAG4AIAAgACAAIAAgACAAIAAgAFwAIgBUAGkAbQBlAGwAaQBuAGUAuwMgACAAIAAgACAAIAAgACAAIAAgACAAIAAgACAAkiFDAHIAZQBhAHQAZQBzACAAYQAgAGgAbwByAGkAegBvAG4AdABhAGwAIABsAGkAcwB0ACAAbwBmACAAcwB0AGEAcgB0ACAAbwByACAAZQBuAGQAIABkAGEAdABlAHMAIABmAG8AcgAgAGEAIAB0AGkAbQBlAGwAaQBuAGU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tgBcACIAIAAmAFwAbgAgACAAIAAgACAAIAAgACAAXAAiAEQASQBBAEcATgBPAFMAVABJAEMAUwAgACAAIAAgACAAIAAgACAAIAAgACAAIACSIVQAaABlAHMAZQAgAGYAdQBuAGMAdABpAG8AbgBzACAAZABpAGEAZwBuAG8AcwBlACAAcAByAG8AYgBsAGUAbQBzACAAaQBuACAAdABoAGUAaQByACAAYQBzAHMAbwBjAGkAYQB0AGUAIABmAHUAbgBjAHQAaQBvAG4AJwBzACAAYQByAGcAdQBtAGUAbgB0AHMALgC2AFwAIgAgACYAIABcAG4AIAAgACAAIAAgACAAIAAgACAAIAAgACAAIAAgACAAIAAgACAAIAAgACAAIAAgACAAIAAgACAAIAAgACAAIABcACIAkiFTAGgAbwB1AGwAZAAgAGEAIABmAHUAbgBjAHQAaQBvAG4AIABuAG8AdAAgAHcAbwByAGsALAAgAGkAdAAgAG0AYQB5ACAAYgBlACAAYgBlAGMAYQB1AHMAZQAgAHQAaABlAHIAZQAgAGkAcwAgAGEAIABwAHIAbwBiAGwAZQBtACAAdwBpAHQAaAAgAHQAaABlACAAYQByAGcAdQBtAGUAbgB0AHMALgC2AFwAIgAgACYAIABcAG4AIAAgACAAIAAgACAAIAAgACAAIAAgACAAIAAgACAAIAAgACAAIAAgACAAIAAgACAAIAAgACAAIAAgACAAIABcACIAkiFBAHIAZwB1AG0AZQBuAHQAIABwAHIAbwBiAGwAZQBtAHMAIABjAGEAbgAgAGkAbgBjAGwAdQBkAGUAIAB0AGUAeAB0ACAAdwBoAGUAcgBlACAAbgB1AG0AYgBlAHIAcwAgAHMAaABvAHUAbABkACAAYgBlACwAIABpAG4AdgBhAGwAaQBkACAAZABhAHQAZQBzACwAIABlAHQAYwAuALYAXAAiACAAJgAgAFwAbgAgACAAIAAgACAAIAAgACAAIAAgACAAIAAgACAAIAAgACAAIAAgACAAIAAgACAAIAAgACAAIAAgACAAIAAgAFwAIgCSIVQAbwAgAHMAZQBlACAAaQBmACAAeQBvAHUAIABoAGEAdgBlACAAYQByAGcAdQBtAGUAbgB0ACAAcAByAG8AYgBsAGUAbQBzACwAIABpAG4AcwBlAHIAdAAgACcARABWACcAIABiAGUAdAB3AGUAZQBuACAAJwC7AycAIABhAG4AZAAgACcAKAAnAC4AIAC2AFwAIgAgACYAIABcAG4AIAAgACAAIAAgACAAIAAgACAAIAAgACAAIAAgACAAIAAgACAAIAAgACAAIAAgACAAIAAgACAAIAAgACAAIABcACIAkiFIAGUAcgBlACAAaQBzACAAYQBuACAAZQB4AGEAbQBwAGwAZQA6ACAAQwBvAHUAbgB0AEQATwBXALsDRABWACgAIABTAHQAYQByAHQALAAgAEUAbgBkACwAIAAxACkALgAgAEgAaQB0ACAAZQBuAHQAZQByACAAdABvACAAcgB1AG4AIABkAGkAYQBnAG4AbwBzAHQAaQBjAHMALgC2AFwAIgAgACYAIABcAG4AIAAgACAAIAAgACAAIAAgACAAIAAgACAAIAAgACAAIAAgACAAIAAgACAAIAAgACAAIAAgACAAIAAgACAAIABcACIAkiFXAGgAZQBuACAAZgBpAG4AaQBzAGgAZQBkACwAIAByAGUAbQBvAHYAZQAgACcARABWACcAIAB0AG8AIAByAGUAdAB1AHIAbgAgAHQAaABlACAAZgB1AG4AYwB0AGkAbwBuACAAdABvACAAbgBvAHIAbQBhAGwAIABvAHAAZQByAGEAdABpAG8AbgC2AFwAIgAgACYAIABcAG4AIAAgACAAIAAgACAAIAAgAFwAIgBDAG8AdQBuAHQARABPAFcAuwNEAFYAIAAgACAAIAAgACAAIAAgACAAIAAgACAAkiG2AFwAIgAgACYAXABuACAAIAAgACAAIAAgACAAIABcACIASQBzAEIAZQB0AHcAZQBlAG4AuwNEAFYAIAAgACAAIAAgACAAIAAgACAAIAAgAJIhtgBcACIAIAAmAFwAbgAgACAAIAAgACAAIAAgACAAXAAiAEkAcwBPAGMAYwB1AHIAcgBlAG4AYwBlAEQAYQB0AGUAuwNEAFYAIAAgACAAIACSIbYAXAAiACAAJgBcAG4AIAAgACAAIAAgACAAIAAgAFwAIgBPAHYAZQByAEwAYQBwAEQAYQB5AHMAuwNEAFYAIAAgACAAIAAgACAAIAAgACAAkiG2AFwAIgAgACYAXABuACAAIAAgACAAIAAgACAAIABcACIAUABlAHIAaQBvAGQAcwC7A0QAVgAgACAAIAAgACAAIAAgACAAIAAgACAAIAAgAJIhtgBcACIAIAAmAFwAbgAgACAAIAAgACAAIAAgACAAXAAiAFAAZQByAGkAbwBkAEwAYQBiAGUAbAC7A0QAVgAgACAAIAAgACAAIAAgACAAIACSIbYAXAAiACAAJgBcAG4AIAAgACAAIAAgACAAIAAgAFwAIgBTAGMAaABlAGQAdQBsAGUAUgBhAHQAZQBzALsDRABWACAAIAAgACAAIAAgACAAkiG2AFwAIgAgACYAXABuACAAIAAgACAAIAAgACAAIABcACIAUwBjAGgAZQBkAHUAbABlAFIAYQB0AGUAcwBCAHkASQB0AGUAbQBzALsDRABWAJIhtgBcACIAIAAmAFwAbgAgACAAIAAgACAAIAAgACAAXAAiAFMAYwBoAGUAZAB1AGwAZQBWAGEAbAB1AGUAcwC7A0QAVgAgACAAIAAgACAAIACSIbYAXAAiACAAJgBcAG4AIAAgACAAIAAgACAAIAAgAFwAIgBTAGMAaABlAGQAdQBsAGUAVgBhAGwAdQBlAHMAQgB5AEkAdABlAG0AcwC7A0QAVgCSIbYAXAAiACAAJgBcAG4AIAAgACAAIAAgACAAIAAgAFwAIgBUAGkAbQBlAGwAaQBuAGUAuwMgACAAIAAgACAAIAAgACAAIAAgACAAIAAgACAAkiFcACIALAAgACAAXABuACAAIAAgACAAIAAgACAAIABcACIAkiFcACIALAAgAFwAIgC2AFwAIgBcAG4AIAAgACAAIAApAFwAbgApADsAXABuAFwAbgBcAG4AXABuAC8AKgAgACAARgBVAE4AQwBUAEkATwBOACAATgBBAE0ARQA6ACAAIABDAG8AdQBuAHQARABPAFcAuwNcAG4AIAAgACAAIABEAEUAUwBDAFIASQBQAFQASQBPAE4AOgAqAC8AIAAgAC8AKgAqAEMAbwB1AG4AdAAgAGkAbgBzAHQAYQBuAGMAZQBzACAAbwBmACAAYQAgAHMAcABlAGMAaQBmAGkAYwAgAGQAYQB5ACAAbwBmACAAdABoAGUAIAB3AGUAZQBrACAAYgBlAHQAdwBlAGUAbgAgAHQAdwBvACAAZABhAHQAZQBzAC4AKgAvAFwAbgBDAG8AdQBuAHQARABPAFcAuwMgAD0AIABMAEEATQBCAEQAQQAoACAAIAAgAFwAbgAvAC8AIAAgAFAAYQByAGEAbQBlAHQAZQByACAARABlAGMAbABhAHIAYQB0AGkAbwBuAHMAXABuACAAIAAgACAAWwBTAHQAYQByAHQAcwBdACwAXABuACAAIAAgACAAWwBFAG4AZABzAF0ALABcAG4AIAAgACAAIABbAEQAYQB5AE8AZgBXAGUAZQBrAF0ALAAgACAAXABuAC8ALwAgACAASABlAGwAcABcAG4AIAAgACAAIABMAEUAVAAoAEgAZQBsAHAALAAgACAAIAAgACAAIAAgAFQAUgBJAE0AKABUAEUAWABUAFMAUABMAEkAVAAoACAAXABuACAAIAAgACAAIAAgACAAIAAgACAAIAAgACAAIAAgACAAIAAgACAAIAAgACAAIAAgAFwAIgBGAFUATgBDAFQASQBPAE4AOgAgACAAIAAgACAAIACSIUMAbwB1AG4AdABEAE8AVwC7AygAUwB0AGEAcgB0AHMALAAgAEUAbgBkAHMALAAgAEQAYQB5AE8AZgBXAGUAZQBrACkAtgBcACIAIAAmACAAXABuACAAIAAgACAAIAAgACAAIAAgACAAIAAgACAAIAAgACAAIAAgACAAIAAgACAAIAAgAFwAIgBEAEUAUwBDAFIASQBQAFQASQBPAE4AOgAgACAAIACSIUMAbwB1AG4AdAAgAGkAbgBzAHQAYQBuAGMAZQBzACAAbwBmACAAYQAgAHMAcABlAGMAaQBmAGkAYwAgAGQAYQB5ACAAbwBmACAAdABoAGUAIAB3AGUAZQBrACAAYgBlAHQAdwBlAGUAbgAgAHQAdwBvACAAZABhAHQAZQ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wB0AGEAcgB0AHMAIAAgACAAIAAgACAAIAAgACAAkiEoAFIAZQBxAHUAaQByAGUAZAApACAATwBuAGUAIABvAGYAIABtAG8AcgBlACAAcwB0AGEAcgB0ACAAZABhAHQAZQBzACAAKAB0AGUAeAB0ACAAbwByACAAbgB1AG0AZQByAGkAYwApACAAaQBuACAAYQAgAHIAbwB3ACAAbwByACAAYwBvAGwAdQBtAG4AtgBcACIAIAAmACAAXABuACAAIAAgACAAIAAgACAAIAAgACAAIAAgACAAIAAgACAAIAAgACAAIAAgACAAIAAgAFwAIgBFAG4AZABzACAAIAAgACAAIAAgACAAIAAgACAAIACSISgAUgBlAHEAdQBpAHIAZQBkACkAIABFAG4AZAAgAGQAYQB0AGUAcwAgACgAdABlAHgAdAAgAG8AcgAgAG4AdQBtAGUAcgBpAGMAKQAgAGYAbwByACAAZQBhAGMAaAAgAHMAdABhAHIAdAAgAGQAYQB0AGUAtgBcACIAIAAmACAAXABuACAAIAAgACAAIAAgACAAIAAgACAAIAAgACAAIAAgACAAIAAgACAAIAAgACAAIAAgAFwAIgBEAGEAeQBPAGYAVwBlAGUAawAgACAAIAAgACAAIACSISgAUgBlAHEAdQBpAHIAZQBkACkAIAAxAD0AUwB1AG4AZABhAHkALAAgADcAPQBTAGEAdAB1AHIAZABhAHk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MAIAAgACAAIAAgACAAIAAgACAAIAAgACAAIAAgAJIhPQBuAGEAYgBsAGEALgBkAC4AQwBvAHUAbgB0AEQATwBXALsDKABcACIAXAAiADIAMgAvADMALwAyADAAMQAyAFwAIgBcACIALAAgAFwAIgBcACIAMQAwAC8ANAAvADIAMAAxADI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EYAQQBMAFMARQAgACAAIAAgACAAIAAgACAAIAAgAJIhPQBuAGEAYgBsAGEALgBkAC4ASQBzAEIAZQB0AHcAZQBlAG4AuwMoADEALAAgADIALAAgADQAKQC2AFwAIgAgACYAIABcAG4AIAAgACAAIAAgACAAIAAgACAAIAAgACAAIAAgACAAIAAgACAAIAAgACAAIAAgACAAXAAiAFQAUgBVAEUAIAAgACAAIAAgACAAIAAgACAAIAAgAJIhPQBuAGEAYgBsAGEALgBkAC4ASQBzAEIAZQB0AHcAZQBlAG4AuwMoAFQAbwBkAGEAeQAoACkALAAgAFQAbwBkAGEAeQAoACkALAAgAFQAbwBkAGEAeQAoACkAKwAxACkAtgBcACIAIAAmACAAXABuACAAIAAgACAAIAAgACAAIAAgACAAIAAgACAAIAAgACAAIAAgACAAIAAgACAAIAAgAFwAIgBGAEEATABTAEUAIAAgACAAIAAgACAAIAAgACAAIACSIT0AbgBhAGIAbABhAC4AZAAuAEkAcwBCAGUAdAB3AGUAZQBuALsDKABcACIAXAAiAEIAXAAiAFwAIgAsACAAXAAiAFwAIgBCAFwAIgBcACIALAAgAFwAIgBcACIARABcACIAXAAiACwAIABGAEEATABTAEU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AgAFwAbgAgACAAIAAgACAAIAAgACAASABlAGwAcAA/ACwAIAAgACAAIAAgACAAIAAgACAAIABPAFIAKABcAG4AIAAgACAAIAAgACAAIAAgACAAIAAgACAAIAAgACAAIAAgACAAIAAgACAAIAAgACAAIAAgACAAIABJAFMATwBNAEkAVABUAEUARAAoACAAVgBhAGwAdQBlAHMAKQAsACAAXABuACAAIAAgACAAIAAgACAAIAAgACAAIAAgACAAIAAgACAAIAAgACAAIAAgACAAIAAgACAAIAAgACAASQBTAE8ATQBJAFQAVABFAEQAKAAgAEwAbwB3ACkALABcAG4AIAAgACAAIAAgACAAIAAgACAAIAAgACAAIAAgACAAIAAgACAAIAAgACAAIAAgACAAIAAgACAAIABJAFMATwBNAEkAVABUAEUARAAoACAASABpAGcAaAApAFwAbgAgACAAIAAgACAAIAAgACAAIAAgACAAIAAgACAAIAAgACAAIAAgACAAIAAgACAAIAApACwAIAAgACAAIAAgACAAIAAgAFwAbgAgACAAIAAgAC8ALwAgACAAUAByAG8AYwBlAGQAdQByAGUAXABuACAAIAAgACAAIAAgACAAIABSAGUAcwB1AGwAdAAsACAAIAAgACAAIAAgACAAIAAgAEkARgAoAEkAbgBjAGwAdQBzAGkAdgBlACwAIAAoAFYAYQBsAHUAZQBzACAAPgA9ACAATABvAHcAKQAgACoAIAAoAFYAYQBsAHUAZQBzACAAPAA9ACAASABpAGcAaAApACAAPQAgADEALAAgACgAVgBhAGwAdQBlAHMAIAA+ACAATABvAHcAKQAgACoAIAAoAFYAYQBsAHUAZQBzACAAPAAgAEgAaQBnAGgAKQAgAD0AIA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8AYwBjAHUAcgByAGUAbgBjAGUARABhAHQAZQC7A1wAbgAgACAAIAAgAEQARQBTAEMAUgBJAFAAVABJAE8ATgA6ACoALwAvACoAKgBSAGUAdAB1AHIAbgBzACAAVABSAFUARQAgAGkAZgAgAEQAYQB0AGUAIABwAGEAcwBzAGUAZAAgAGkAcwAgAHcAaABlAG4AIABzAG8AbQBlAHQAaABpAG4AZwAgAGgAYQBwAHAAZQBuAHMALgAgAFQAaABpAHMAIAB3AGEAcwAgAGQAZQB2AGUAbABvAHAAZQBkACAAZgBvAHIAIABiAHUAZABnAGUAdABpAG4AZwAgAHcAaABlAHIAZQAgAHcAZQAgAGgAYQB2AGUAIABlAHgAcABlAG4AcwBlAHMAIAB0AGgAYQB0ACAAcwB0AGEAcgB0ACwAIABhAG4AZAAgAHMAbwBtAGUAdABpAG0AZQBzACAAcgBlAHAAZQBhAHQAIABhAHQAIAByAGUAZwB1AGwAYQByACAAaQBuAHQAZQByAHYAYQBsAHMALgAqAC8AXABuAFwAbgBJAHMATwBjAGMAdQByAHIAZQBuAGMAZQBEAGEAdABlALsDIAA9ACAATABBAE0AQgBEAEEAKABcAG4ALwAvACAAIABQAGEAcgBhAG0AZQB0AGUAcgAgAGQAZQBjAGwAYQByAGEAdABpAG8AbgBzAFwAbgAgACAAIAAgAFsARABhAHQAZQBzAF0ALABcAG4AIAAgACAAIABbAEYAaQByAHMAdABPAGMAYwB1AHIAcgBlAG4AYwBlAF0ALABcAG4AIAAgACAAIABbAEwAYQBzAHQATwBjAGMAdQByAHIAZQBuAGMAZQBdACwAXABuACAAIAAgACAAWwBSAGUAcABlAGEAdABzAF0ALABcAG4ALwAvACAAIABIAGUAbABwAFwAbgAgACAAIAAgAEwARQBUACgAXABuACAAIAAgACAAIAAgACAAIABIAGUAbABwACwAIAAgACAAIAAgACAAIABUAFIASQBNACgAVABFAFgAVABTAFAATABJAFQAKABcAG4AIAAgACAAIAAgACAAIAAgACAAIAAgACAAIAAgACAAIAAgACAAIAAgACAAIAAgACAAXAAiAEYAVQBOAEMAVABJAE8ATgA6ACAAIAAgACAAIAAgAJIhSQBzAE8AYwBjAHUAcgByAGUAbgBjAGUARABhAHQAZQC7AygARABhAHQAZQBzACwAIABGAGkAcgBzAHQATwBjAGMAdQByAHIAZQBuAGMAZQAsACAAWwBMAGEAcwB0AE8AYwBjAHUAcgByAGUAbgBjAGUAXQAsACAAWwBSAGUAcABlAGEAdABzAF0AKQC2AFwAIgAgACYAXABuACAAIAAgACAAIAAgACAAIAAgACAAIAAgACAAIAAgACAAIAAgACAAIAAgACAAIAAgAFwAIgBEAEUAUwBDAFIASQBQAFQASQBPAE4AOgAgACAAIACSIVIAZQB0AHUAcgBuAHMAIABUAFIAVQBFACAAaQBmACAAYQAgAEQAYQB0AGUAIABpAHMAIAB3AGgAZQBuACAAcwBvAG0AZQB0AGgAaQBuAGcAIABoAGEAcABwAGUAbgBzAC4AtgBcACIAIAAmAFwAbgAgACAAIAAgACAAIAAgACAAIAAgACAAIAAgACAAIAAgACAAIAAgACAAIAAgACAAIABcACIAIAAgACAAIAAgACAAIAAgACAAIAAgACAAIAAgACAAkiFUAGgAaQBzACAAdwBhAHMAIABkAGUAdgBlAGwAbwBwAGUAZAAgAGYAbwByACAAYgB1AGQAZwBlAHQAaQBuAGcAIAB3AGgAZQByAGUAIAB3AGUAIABoAGEAdgBlACAAZQB4AHAAZQBuAHMAZQBzACAAdABoAGEAdAAgAHMAdABhAHIAdAAsALYAXAAiACAAJgBcAG4AIAAgACAAIAAgACAAIAAgACAAIAAgACAAIAAgACAAIAAgACAAIAAgACAAIAAgACAAXAAiACAAIAAgACAAIAAgACAAIAAgACAAIAAgACAAIAAgAJIhYQBuAGQAIABzAG8AbQBlAHQAaQBtAGUAcwAgAHIAZQBwAGUAYQB0ACAAYQB0ACAAcgBlAGcAdQBsAGEAcgAgAGkAbgB0AGUAcgB2AGEAbABzAC4AtgBcACIAIAAmACAAIABcAG4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NAG8AbgBkAGEAeQAgAHQAbwAgAEYAcgBpAGQAYQB5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UAWABBAE0AUABMAEUAUwA6ACAAIAAgACAAIAAg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cAMgAgACAAIAAgACAAIAAgACAAIAAgACAAIAAgAJIhPQBTAFUATQAoAE4AKABuAGEAYgBsAGEALgBkAC4ASQBzAE8AYwBjAHUAcgByAGUAbgBjAGUARABhAHQAZQC7AygAUwBFAFEAVQBFAE4AQwBFACgALAA5ADAALABcACIAXAAiADEALwAxAC8AMgAwADIANQBcACIAXAAiACkALAAgAFwAIgBcACIAMQAvADEALwAyADAAMgA1AFwAIgBcACIALAAgAFwAIgBcACIAMQAzAC8AMwAvADIAMAAyADUAXAAiAFwAIgAsACAAXAAiAFwAIgBEAFwAIgBcACIAKQApACkAtgBcACIAIAAmAFwAbgAgACAAIAAgACAAIAAgACAAIAAgACAAIAAgACAAIAAgACAAIAAgACAAIAAgACAAIABcACIAMAAxACAAIAAgACAAIAAgACAAIAAgACAAIAAgACAAkiE9AFMAVQBNACgATgAoAG4AYQBiAGwAYQAuAGQALgBJAHMATwBjAGMAdQByAHIAZQBuAGMAZQBEAGEAdABlALsDKABTAEUAUQBVAEUATgBDAEUAKAAsADkAMAAsAFwAIgBcACIAMQAvADEALwAyADAAMgA1AFwAIgBcACIAKQAsACAAXAAiAFwAIgAxAC8AMQAvADIAMAAyADUAXAAiAFwAIgAsACAAXAAiAFwAIgAxADMALwAzAC8AMgAwADIANQBcACIAXAAiACwAIABcACIAXAAiAE8AXAAiAFwAIgApACkAKQC2AFwAIgAgACYAXABuACAAIAAgACAAIAAgACAAIAAgACAAIAAgACAAIAAgACAAIAAgACAAIAAgACAAIAAgAFwAIgAxADEAIAAgACAAIAAgACAAIAAgACAAIAAgACAAIACSIT0AUwBVAE0AKABOACgAbgBhAGIAbABhAC4AZA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UAIAAgACAAIAAgACAAIAAgACAAIAAgACAAIAAgAJIhPQBuAGEAYgBsAGEALgBkAC4ATwB2AGUAcgBMAGEAcABEAGEAeQBzALsDKAAwADgALAAgADEANAAsACAAMQAwACwAIAAxADcAKQC2AFwAIgAgACYAIABcAG4AIAAgACAAIAAgACAAIAAgACAAIAAgACAAIAAgACAAIAAgACAAIAAgACAAIAAgACAAXAAiADgAIAAgACAAIAAgACAAIAAgACAAIAAgACAAIAAgAJIhPQBuAGEAYgBsAGEALgBkAC4ATwB2AGUAcgBMAGEAcABEAGEAeQBzALsDKAAxADAALAAgADIAMAAsACAAMQAxACwAIAAxADgAKQC2AFwAIgAgACYAIABcAG4AIAAgACAAIAAgACAAIAAgACAAIAAgACAAIAAgACAAIAAgACAAIAAgACAAIAAgACAAXAAiADEAMgAgACAAIAAgACAAIAAgACAAIAAgACAAIAAgAJIhPQBuAGEAYgBsAGEALgBkAC4ATwB2AGUAcgBMAGEAcABEAGEAeQBzALsDKABcACIAXAAiADEANwAvADEALwAyADAAMgA1AFwAIgBcACIALAAgAFwAIgBcACIAMgA1AC8AMQAvADIAMAAyADUAXAAiAFwAIgAsACAAXAAiAFwAIgA3AC8AMQAvADIAMAAyADUAXAAiAFwAIgAsACAAXAAiAFwAIgAxADgALwAxAC8AMgAwADIAN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FAAZQByAGkAbwBkADIARQBuAGQAIAA8AD0AIABQAGUAcgBpAG8AZAAxAEUAbgBkACwAIABQAGUAcgBpAG8AZAAyAEUAbgBkACwAIABQAGUAcgBpAG8AZAAxAEUAbgBkACkALABcAG4AIAAgACAAIAAgACAAIAAgAE0AYQB4AE8AZgBTAHQAYQByAHQALAAgAEkARgAoAFAAZQByAGkAbwBkADIAUwB0AGEAcgB0ACAAPgA9ACAAUABlAHIAaQBvAGQAMQBTAHQAYQByAHQALAAgAFAAZQByAGkAbwBkADIAUwB0AGEAcgB0ACwAIABQAGUAcgBpAG8AZ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MAAyADUALQBGAGUAYgAtADIANgAgACAAIAAgAJIhPQBuAGEAYgBsAGEALgBk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EAYgBsAGEALgBk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EAYgBsAGEALgBkAC4AUABlAHIAaQBvAGQATABhAGIAZQBsALsDKABEAEEAVABFAFYAQQBMAFUARQAoAFwAIgBcACIAMgA2AC8AMgAvADIAMAAyADUAXAAiAFwAIgApACwAIABcACIAXAAiAFEAXAAiAFwAIgApALYAXAAiACAAJgAgAFwAbgAgACAAIAAgACAAIAAgACAAIAAgACAAIAAgACAAIAAgACAAIAAgACAAIAAgACAAIABcACIAMgAwADIAMwAgACAAIAAgACAAIAAgACAAIAAgACAAkiE9AG4AYQBiAGwAYQAuAGQALgBQAGUAcgBpAG8AZABMAGEAYgBlAGwAuwMoAEQAQQBUAEUAVgBBAEwAVQBFACgAXAAiAFwAIgAyADYALwAyAC8AMgAwADIANQBcACIAXAAiACkALAAgAFwAIgBcACIAW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EAGEAdABl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RABhAHQAZQAsACAAIAAgACAAIAAgACAAIABJAEYAKAAgAEkAUwBPAE0ASQBUAFQARQBEACgAIABEAGEAdABlACkALAAgAFwAbgAgACAAIAAgACAAIAAgACAAIAAgACAAIAAgACAAIAAgACAAIAAgACAAIAAgACAAIAAgACAAIAAgAEYAQQBMAFMARQAsAFwAbgAgACAAIAAgACAAIAAgACAAIAAgACAAIAAgACAAIAAgACAAIAAgACAAIAAgACAAIAAgACAAIAAgAEkARgAoACAASQBTAE4AVQBNAEIARQBSACgAIABEAGEAdABlACkALAAgAEQAYQB0AGUALAAgAEQAQQBUAEUAVgBBAEwAVQBFACgAIABEAGEAdABlACkAKQBcAG4AIAAgACAAIAAgACAAIAAgACAAIAAgACAAIAAgACAAIAAgACAAIAAgACAAIAAgACAAKQAsAFwAbgAgACAAIAAgACAAIAAgACAASQBuAHQAZQByAHYAYQBsACwAIAAgACAAIAAgACAAIAAgACAASQBGACgAIABJAFMATwBNAEkAVABUAEUARAAoACAASQBuAHQAZQByAHYAYQBsACkALAAgAFwAIgBNAFwAIgAsACAASQBuAHQAZQByAHYAYQBsACkALABcAG4AIAAgACAAIAAvAC8AIAAgAFAAcgBvAGMAZQBkAHUAcgBlAFwAbgAgACAAIAAgACAAIAAgACAAUgBlAHMAdQBsAHQALAAgACAAIAAgACAAUwBXAEkAVABDAEgAKABJAG4AdABlAHIAdgBhAGwALABcAG4AIAAgACAAIAAgACAAIAAgACAAIAAgACAAIAAgACAAIAAgACAAIAAgACAAIAAgACAAXAAiAEQAXAAiACwAIABUAEUAWABUACgARABhAHQAZQAsACAAXAAiAHkAeQB5AHkALQBtAG0AbQAtAGQAZABcACIAKQAsAFwAbgAgACAAIAAgACAAIAAgACAAIAAgACAAIAAgACAAIAAgACAAIAAgACAAIAAgACAAIABcACIAVwBcACIALAAgAFkARQBBAFIAKABEAGEAdABlACkAIAAmACAAXAAiADoAVwBcACIAIAAmACAAVABFAFgAVAAoAFEAVQBPAFQASQBFAE4AVAAoAEQAYQB0AGUAIAAtACAARABBAFQARQAoAFkARQBBAFIAKABEAGEAdABlACkALAAgADEALAAgADAAKQAgAC0AIAAxACwAIAA3ACkAIAArACAAMQAsACAAXAAiADAAMABcACIAKQAsAFwAbgAgACAAIAAgACAAIAAgACAAIAAgACAAIAAgACAAIAAgACAAIAAgACAAIAAgACAAIABcACIASQBcACIALAAgAFkARQBBAFIAKABEAGEAdABlACkAIAAmACAAXAAiADoAVwBcACIAIAAmACAAVABFAFgAVAAoAEkAUwBPAFcARQBFAEsATgBVAE0AKABEAGEAdABlACkALAAgAFwAIgAwADAAXAAiACkALABcAG4AIAAgACAAIAAgACAAIAAgACAAIAAgACAAIAAgACAAIAAgACAAIAAgACAAIAAgACAAXAAiAE0AXAAiACwAIABUAEUAWABUACgARABhAHQAZQAsACAAXAAiAFkAWQBZAFkALQBNAE0ATQBcACIAKQAsAFwAbgAgACAAIAAgACAAIAAgACAAIAAgACAAIAAgACAAIAAgACAAIAAgACAAIAAgACAAIABcACIAUQBcACIALAAgAFkARQBBAFIAKABEAGEAdABlACkAIAAmACAAXAAiADoAUQBcACIAIAAmACAAUQBVAE8AVABJAEUATgBUACgATQBPAE4AVABIACgARABhAHQAZQApACAALQAgADEALAAgADMAKQAgACsAIAAxACwAXABuACAAIAAgACAAIAAgACAAIAAgACAAIAAgACAAIAAgACAAIAAgACAAIAAgACAAIAAgAFwAIgBTAFwAIgAsACAAWQBFAEEAUgAoAEQAYQB0AGUAKQAgACYAIABcACIAOgBTAFwAIgAgACYAIABRAFUATwBUAEkARQBOAFQAKABNAE8ATgBUAEgAKABEAGEAdABlACkAIAAtACAAMQAsACAANgApACAAKwAgADEALABcAG4AIAAgACAAIAAgACAAIAAgACAAIAAgACAAIAAgACAAIAAgACAAIAAgACAAIAAgACAAXAAiAEEAXAAiACwAIABUAEUAWABUACgARABhAHQAZQAsACAAXAAiAFkAWQBZAFkAXAAiACkALABcAG4AIAAgACAAIAAgACAAIAAgACAAIAAgACAAIAAgACAAIAAgACAAIAAgACAAIAAgACAAXAAiAFkAXAAiACwAIABUAEUAWABUACg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GQAYQB0AGUAMQAgAHQAbwAgAGQAYQB0AGUAIAAyACAAaQBuAGMAbAB1AHMAaQB2AGUALgC2AFwAIgAgACYAXABuACAAIAAgACAAIAAgACAAIAAgACAAIAAgACAAIAAgACAAIAAgACAAIAAgACAAIAAgACAAIAAgACAAIAAgACAAIAAgACAAIAAgACAAIAAgAFwAIgCSIUQAaQBmAGYAZQByAGUAbgBjAGUAcwAgAHQAbwAgAEUAeABjAGUAbAA0AC4AMAAnAHMAIABEAGEAdABlAEQAaQBmACAAYQByAGUAOgC2AFwAIgAgACYAIABcAG4AIAAgACAAIAAgACAAIAAgACAAIAAgACAAIAAgACAAIAAgACAAIAAgACAAIAAgACAAIAAgACAAIAAgACAAIAAgACAAIAAgACAAIAAgACAAXAAiAJIhKgAgAEkAbgB0AGUAcgB2AGEAbAAgAGkAbgBjAGwAdQBkAGUAcwAgAFcAZQBlAGsAcwAgACYAIABRAHUAYQByAHQAZQByAHMAtgBcACIAIAAmACAAXABuACAAIAAgACAAIAAgACAAIAAgACAAIAAgACAAIAAgACAAIAAgACAAIAAgACAAIAAgACAAIAAgACAAIAAgACAAIAAgACAAIAAgACAAIAAgAFwAIgCSISoAIABFAG4AZAAgAEQAYQB0AGUAIABpAHMAIABpAG4AYwBsAHUAcwBpAHYAZQC2AFwAIgAgACYAIABcAG4AIAAgACAAIAAgACAAIAAgACAAIAAgACAAIAAgACAAIAAgACAAIAAgACAAIAAgACAAIAAgACAAIAAgACAAIAAgACAAIAAgACAAIAAgACAAXAAiAJIhKgAgAFIAZQB0AHUAcgBuAHMAIABuAGUAZwBhAHQAaQB2AGUAIAB2AGEAbAB1AGUAcwAgAGkAZgAgAEQAYQB0AGUAMQAgAGkAcwAgAGEAZgB0AGUAcgAgAEQAYQB0AGUAM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UwB0AGEAcgB0AHMAIAAgACAAIAAgACAAIAAgACAAkiEoAFIAZQBxAHUAaQByAGUAZAApACAARgBpAHIAcwB0ACAAZABhAHQAZQAgACgAbgBvAHIAbQBhAGwAbAB5ACAAbwBsAGQAZQByACkALgAgAFQAaABpAHMAIABjAGEAbgAgAGIAZQAgAGEAIABzAGkAbgBnAGwAZQAgAG4AdQBtAGIAZQByACAAbwByACAAYQByAHIAYQB5AC4AtgBcACIAIAAmAFwAbgAgACAAIAAgACAAIAAgACAAIAAgACAAIAAgACAAIAAgACAAIAAgACAAIAAgACAAIABcACIARQBuAGQAcwAgACAAIAAgACAAIAAgACAAIAAgACAAkiEoAFIAZQBxAHUAaQByAGUAZAApACAAUwBlAGMAbwBuAGQAIABkAGEAdABlACAAKABuAG8AcgBtAGEAbABsAHkAIABuAGUAdwBlAHIAKQAuACAAVABoAGkAcwAgAG0AdQBzAHQAIABiAGUAIAB0AGgAZQAgAHMAYQBtAGUAIABzAGgAYQBwAGUAIAAoACMAIABvAGYAIAByAG8AdwBzACAAJgAgAGMAbwBsAHUAbQBuAHMAKQAgAGEAcwAgAEQAYQB0AGUAMQ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IAAgACAAIAAgACAAIAAgACAAIAAgACAAIAAgAJIhPQBuAGEAYgBsAGEALgBkAC4AUABlAHIAaQBvAGQAcwC7AygAXAAiAFwAIgAzADEALwAzAC8AMgAwADIANQBcACIAXAAiACwAIABcACIAXAAiADEANQAvADUALwAyADAAMgA1AFwAIgBcACIAKQC2AFwAIgAgACYAXABuACAAIAAgACAAIAAgACAAIAAgACAAIAAgACAAIAAgACAAIAAgACAAIAAgACAAIAAgAFwAIgAtADIAIAAgACAAIAAgACAAIAAgACAAIAAgACAAIACSIT0AbgBhAGIAbABhAC4AZAAuAFAAZQByAGkAbwBkAHMAuwMoAFwAIgBcACIAMQA1AC8ANQAvADIAMAAyADUAXAAiAFwAIgAsACAAXAAiAFwAIgAzADEALwAzAC8AMgAwADIANQBcACIAXAAiACkAtgBcACIAIAAmAFwAbgAgACAAIAAgACAAIAAgACAAIAAgACAAIAAgACAAIAAgACAAIAAgACAAIAAgACAAIABcACIALQAxADIAIAAgACAAIAAgACAAIAAgACAAIAAgACAAkiE9AG4AYQBiAGwAYQAuAGQALgBQAGUAcgBpAG8AZABzALsDKABcACIAXAAiADEANQAvADEALwAyADAAMgA2AFwAIgBcACIALAAgAFwAIgBcACIAMQA2AC8AMQAvADIAMAAyADUAXAAiAFwAIgAsACAALAAgAEYAQQBMAFMARQApALYAXAAiACAAJgBcAG4AIAAgACAAIAAgACAAIAAgACAAIAAgACAAIAAgACAAIAAgACAAIAAgACAAIAAgACAAXAAiAC0ANQAzACAAIAAgACAAIAAgACAAIAAgACAAIAAgAJIhPQBuAGEAYgBsAGEALgBk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LwAvACAAIABQAHIAbwBjAGUAZAB1AHIAZQBcAG4AIAAgACAAIAAgACAAIAAgAFIAbwB3AHMALAAgACAAIAAgACAAIAAgAE0AQQBYACgAIABSAE8AVwBTACgAIABDAHYAdABTAHQAYQByAHQAcwApACwAIABSAE8AVwBTACgAIABDAHYAdABFAG4AZABzACkAKQAsACAAXABuACAAIAAgACAAIAAgACAAIABDAG8AbABzACwAIAAgACAAIAAgACAAIABNAEEAWAAoACAAQwBPAEwAVQBNAE4AUwAoACAAQwB2AHQAUwB0AGEAcgB0AHMAKQAsACAAQwBPAEwAVQBNAE4AUwAoACAAQwB2AHQARQBuAGQAcwApACkALAAgAFwAbgAgACAAIAAgACAAIAAgACAAUgBlAHMAdQBsAHQALAAgACAAIAAgACAATQBBAEsARQBBAFIAUgBBAFkAKABSAG8AdwBzACwAIABDAG8AbABzACwAIABcAG4AIAAgACAAIAAgACAAIAAgACAAIAAgACAAIAAgACAAIAAgACAAIAAgACAAIAAgACAATABBAE0AQgBEAEEAKABSACwAIABDACwAIABcAG4AIAAgACAAIAAgACAAIAAgACAAIAAgACAAIAAgACAAIAAgACAAIAAgACAAIAAgACAAIAAgACAAIABMAEUAVAAoAEQAYQB0AGUATwBuAGUALAAgACAAIAAgAEkARgAoACAAQwBPAFUATgBUAEEAKAAgAEMAdgB0AFMAdABhAHIAdABzACkAIAA9ACAAMQAsACAAQwB2AHQAUwB0AGEAcgB0AHMALAAgAEkATgBEAEUAWAAoACAAQwB2AHQAUwB0AGEAcgB0AHMALAAgAFIALAAgAEMAKQApACwAIABcAG4AIAAgACAAIAAgACAAIAAgACAAIAAgACAAIAAgACAAIAAgACAAIAAgACAAIAAgACAAIAAgACAAIAAgACAAIAAgAEQAYQB0AGUAVAB3AG8ALAAgACAAIAAgAEkARgAoACAAQwBPAFUATgBUAEEAKAAgAEMAdgB0AEUAbgBkAHMAKQAgAD0AIAAxACwAIABDAHYAdABFAG4AZABzACwAIABJAE4ARABFAFgAKAAgAEMAdgB0AEUAbgBkAHMALAAgAFIALAAgAEMAKQApACwAXABuACAAIAAgACAAIAAgACAAIAAgACAAIAAgACAAIAAgACAAIAAgACAAIAAgACAAIAAgACAAIAAgACAAIAAgACAAIABJAG4AdABlAHIAdgBhAGwALAAgACAAIABJAEYAKAAgAEMATwBVAE4AVABBACgAIABJAG4AdABlAHIAdgBhAGwAcwApACAAPQAgADEALAAgAEkAbgB0AGUAcgB2AGEAbABzACwAIABJAE4ARABFAFgAKAAgAEkAbgB0AGUAcgB2AGEAbABzACwAIABSACwAIABDACkAKQAsAFwAbgAgACAAIAAgACAAIAAgACAAIAAgACAAIAAgACAAIAAgACAAIAAgACAAIAAgACAAIAAgACAAIAAgACAAIAAgACAARQBhAHIAbABpAGUAcwB0ACwAIAAgACAATQBJAE4AKABEAGEAdABlAE8AbgBlACwAIABEAGEAdABlAFQAdwBvACkALABcAG4AIAAgACAAIAAgACAAIAAgACAAIAAgACAAIAAgACAAIAAgACAAIAAgACAAIAAgACAAIAAgACAAIAAgACAAIAAgAEwAYQB0AGUAcwB0ACwAIAAgACAAIAAgAE0AQQBYACgARABhAHQAZQBPAG4AZQAsACAARABhAHQAZQBUAHcAbwApACAALAAgAC8ALwArACAAMQAsAFwAbgAgACAAIAAgACAAIAAgACAAIAAgACAAIAAgACAAIAAgACAAIAAgACAAIAAgACAAIAAgACAAIAAgACAAIAAgACAAUwBpAGcAbgAsACAAIAAgACAAIAAgACAAUwBJAEcATgAoAE0AYQB4ACgARABhAHQAZQBUAHcAbwAgAC0AIABEAGEAdABlAE8AbgBlACwAIAAxACkAKQAsAFwAbgAgACAAIAAgACAAIAAgACAAIAAgACAAIAAgACAAIAAgACAAIAAgACAAIAAgACAAIAAgACAAIAAgACAAIAAgACAAUABlAHIAaQBvAGQAcwAsACAAIAAgACAAUwB3AGkAdABjAGgAKABJAG4AdABlAHIAdgBhAGwALAAgACAAIABcAG4AIAAgACAAIAAgACAAIAAgACAAIAAgACAAIAAgACAAIAAgACAAIAAgACAAIAAgACAAIAAgACAAIAAgACAAIAAgACAAIAAgACAAIAAgACAAIAAgACAAIAAgACAAIAAgACAAXAAiAEQAXAAiACwAIABEAEEAVABFAEQASQBGACgARQBhAHIAbABpAGUAcwB0ACwAIABMAGEAdABlAHMAdAAsACAAXAAiAEQAXAAiACkALABcAG4AIAAgACAAIAAgACAAIAAgACAAIAAgACAAIAAgACAAIAAgACAAIAAgACAAIAAgACAAIAAgACAAIAAgACAAIAAgACAAIAAgACAAIAAgACAAIAAgACAAIAAgACAAIAAgACAAXAAiAFcAXAAiACwAIABJAE4AVAAoAEQAQQBUAEUARABJAEYAKABFAGEAcgBsAGkAZQBzAHQALAAgAEwAYQB0AGUAcwB0ACwAIABcACIARABcACIAKQAvAEQAUABXACkALABcAG4AIAAgACAAIAAgACAAIAAgACAAIAAgACAAIAAgACAAIAAgACAAIAAgACAAIAAgACAAIAAgACAAIAAgACAAIAAgACAAIAAgACAAIAAgACAAIAAgACAAIAAgACAAIAAgACAAXAAiAE0AXAAiACwAIABEAEEAVABFAEQASQBGACgARQBhAHIAbABpAGUAcwB0ACwAIABMAGEAdABlAHMAdAAsACAAXAAiAE0AXAAiACkALABcAG4AIAAgACAAIAAgACAAIAAgACAAIAAgACAAIAAgACAAIAAgACAAIAAgACAAIAAgACAAIAAgACAAIAAgACAAIAAgACAAIAAgACAAIAAgACAAIAAgACAAIAAgACAAIAAgACAAXAAiAFEAXAAiACwAIABJAE4AVAAoAEQAQQBUAEUARABJAEYAKABFAGEAcgBsAGkAZQBzAHQALAAgAEwAYQB0AGUAcwB0ACwAIABcACIATQBcACIAKQAvAE0AUABRACkALABcAG4AIAAgACAAIAAgACAAIAAgACAAIAAgACAAIAAgACAAIAAgACAAIAAgACAAIAAgACAAIAAgACAAIAAgACAAIAAgACAAIAAgACAAIAAgACAAIAAgACAAIAAgACAAIAAgACAAXAAiAFkAXAAiACwAIABEAEEAVABFAEQASQBGACgARQBhAHIAbABpAGUAcwB0ACwAIABMAGEAdABlAHMAdAAsACAAXAAiAFkAXAAiACkAXABuACAAIAAgACAAIAAgACAAIAAgACAAIAAgACAAIAAgACAAIAAgACAAIAAgACAAIAAgACAAIAAgACAAIAAgACAAIAAgACAAIAAgACAAIAAgACAAIAAgACAAIAApACwAXABuACAAIAAgACAAIAAgACAAIAAgACAAIAAgACAAIAAgACAAIAAgACAAIAAgACAAIAAgACAAIAAgACAAIAAgACAAIABTAGkAZwBuACAAKgAgAFAAZQByAGkAbwBkAHMAXABuACAAIAAgACAAIAAgACAAIAAgACAAIAAgACAAIAAgACAAIAAgACAAIAAgACAAIAAgACAAIAAgACAAKQBcAG4AIAAgACAAIAAgACAAIAAgACAAIAAgACAAIAAgACAAIAAgACAAIAAgACAAIAAgACAAK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uwNcAG4AIAAgACAAIABEAEUAUwBDAFIASQBQAFQASQBPAE4AOgAqAC8ALwAqACoAUwBjAGgAZQBkAHUAbABlACAAcgBhAHQAZQBzACAAdABoAGEAdAAgAHAAZQByAHMAaQBzAHQAIAB1AG4AdABpAGwAIAByAGUAcABsAGEAYwBlAGQAIABpAG4AIABhACAAdABpAG0AZQBsAGkAbgBlAC4AIAAqAC8AXABuAFMAYwBoAGUAZAB1AGwAZQBSAGEAdABlAHMAuwMgAD0AIABMAEEATQBCAEQAQQAoAFwAbgAvAC8AIAAgAFAAYQByAGEAbQBlAHQAZQByACAARABlAGMAbABhAHIAYQB0AGkAbwBuAHMAXABuACAAIAAgACAAWwBQAGUAcgBpAG8AZABFAG4AZABzAF0ALABcAG4AIAAgACAAIABbAFIAYQB0AGUAUwB0AGEAcgB0AHMAXQAsAFwAbgAgACAAIAAgAFsAUgBhAHQAZQBz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uwMoAFAAZQByAGkAbwBkAEUAbgBkAHMALAAgAFIAYQB0AGUAUwB0AGEAcgB0AHMALAAgAFIAYQB0AGUAcwApALYAXAAiACAAJgBcAG4AIAAgACAAIAAgACAAIAAgACAAIAAgACAAIAAgACAAIAAgACAAIAAgACAAIAAgACAAXAAiAEQARQBTAEMAUgBJAFAAVABJAE8ATgA6ACAAIAAgAJIhUwBjAGgAZQBkAHUAbABlAHMAIAByAGEAdABlAHMAIAB0AGgAYQB0ACAAcABlAHIAcwBpAHMAdAAgAHUAbgB0AGkAbAAgAHIAZQBwAGwAYQBjAGUAZAAgAGkAbgAgAGEAIAB0AGkAbQBlAGwAaQBuAGUAIABmAHIAbwBtACAAYQAgAHMAYwBoAGUAZAB1AGwAZQAgAGkAbgAgAGEAIAB0AGEAYgBsAGUALgC2AFwAIgAgACYAIABcAG4AIAAgACAAIAAgACAAIAAgACAAIAAgACAAIAAgACAAIAAgACAAIAAgACAAIAAgACAAXAAiAE4ATwBUAEUAIQAgACAAIAAgACAAIAAgACAAIAAgAJIhSQBmACAAMgAgAHIAYQB0AGUAcwAgAGEAcgBlACAAcwBjAGgAZQBkAHUAbABlAGQAIAB3AGkAdABoAGkAbgAgAHQAaABlACAAcwBhAG0AZQAgAHAAZQByAGkAbwBkACwAIAB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SAGEAdABlAFMAdABhAHIAdABzACAAIAAgACAAIACSISgAUgBlAHEAdQBpAHIAZQBkACkAIABBACAAYwBvAGwAdQBtAG4AIABvAHIAIAByAG8AdwAgAG8AZgAgAHIAYQB0AGUAIABlAGYAZgBlAGMAdABpAHYAZQAgAGQAYQB0AGUAcwAgAGkAbgAgAGEAbgB5ACAAbwByAGQAZQByAC4AtgBcACIAIAAmACAAXABuACAAIAAgACAAIAAgACAAIAAgACAAIAAgACAAIAAgACAAIAAgACAAIAAgACAAIAAgAFwAIgBSAGEAdABlAHMAIAAgACAAIAAgACAAIAAgACAAIACSISgAUgBlAHEAdQBpAHIAZQBkACkAIABBACAAYwBvAGwAdQBtAG4AIABvAHIAIAByAG8AdwAgAG8AZgAgAHIAYQB0AGUAcwAgAGEAcwBzAG8AYwBpAGEAdABlAGQAIAB3AGkAdABoACAAUgBhAHQAZQBTAHQAYQByAHQAcw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FwAIgBfACwAMQAwACwAMgAwACwAMwAwACwAMwAwACAAIACSIT0AbgBhAGIAbABhAC4AZAAuAFMAYwBoAGUAZAB1AGwAZQBSAGEAdABlAHMAuwMoAFQAaQBtAGUAbABpAG4AZQC7AygAXAAiAFwAIgAxAC8AMQAvADIAMAAyADUAXAAiAFwAIgAsADUALABcACIAXAAiAFcAXAAiAFwAIgApACwAewA0ADUANgA2ADIAOwAgADQANQA2ADcAMAA7ACAANAA1ADYANwA2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UABlAHIAaQBvAGQARQBuAGQAcwAsACAAUgBhAHQAZQ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bgBhAGIAbABhAC4AZAAuAFMAYwBoAGUAZAB1AGwAZQBSAGEAdABlAHMAQgB5AEkAdABlAG0AcwC7AygAIABUAGkAbQBlAGwAaQBuAGUAuwMoACAAXAAiAFwAIgAxAC8AMQAvADIAMAAyADUAXAAiAFwAIgApACwAIABVAE4ASQBRAFUARQAoACAAdABiAGwAUgBhAHQAZQBzACgAVQBuAGkAdAApACkALAC2AFwAIgAgACYAXABuACAAIAAgACAAIAAgACAAIAAgACAAIAAgACAAIAAgACAAIAAgACAAIAAgACAAIAAgACAAIAAgACAAIAAgACAAIAAgACAAIAAgACAAIAAgAFwAIgCSIXQAYgBsAFIAYQB0AGUAcwBbAFUAbgBpAHQAXQAsACAAdABiAGwAUgBhAHQAZQBzAFsAUgBlAG4AdABdACwAIAB0AGIAbABSAGEAdABlAHMAWwBFAGYAZgBlAGMAdABpAHYAZQBdACkAXAAiACwAIABcAG4AIAAgACAAIAAgACAAIAAgACAAIAAgACAAIAAgACAAIAAgACAAIAAgACAAIAAgACAAXAAiAJIhXAAiACwAIABcACIAtgBcACIAXABuACAAIAAgACAAIAAgACAAIAAgACAAIAAgACAAIAAgACAAIAAgACAAIAAgACAAIAAgACAAIAAgACAAKQBcAG4AIAAgACAAIAAgACAAIAAgACAAIAAgACAAIAAgACAAIAAgACAAIAAgACAAIAAgACAAKQAsAFwAbgAgACAAIAAgACAAIAAgACAAIAAgACAAIAAgACAAIAAgACAAIAAgACAAXABuACAAIAAgACAALwAvACAAIABDAGgAZQBjAGsAIABpAG4AcAB1AHQAcwAgAC0AIABPAG0AaQB0AHQAZQBkACAAcgBlAHEAdQBpAHIAZQBkACAAYQByAGcAdQBtAGUAbgB0AHMAXABuACAAIAAgACAAIAAgACAAIABIAGUAbABwAD8ALAAgACAAIAAgACAAIAAgACAAIAAgAE8AUgAo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SAGEAdA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EAG8ATgBvAHQAVQBzAGUALAAgACAAIAAgACAAIAAgAEkARgAoACAASQBTAE8ATQBJAFQAVABFAEQAKAAgAEQAbwBOAG8AdABVAHMAZQApACwAIAAxACwAIABEAG8ATgBvAHQAVQBzAGU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EAG8ATgBvAHQAVQBzAGUAKQAsAFwAbgAgACAAIAAgACAAIAAgACAASQB0AGUAbQBEAGEAdABlAHMALAAgACAAIAAgACAAIABGAEkATABUAEUAUgAoACAAQwB2AHQARQBmAGYARABhAHQAZQBzACwAIABJAHQAZQBtAEwAaQBzAHQAIAA9ACAASQB0AGUAbQApACwAIABcAG4AIAAgACAAIAAgACAAIAAgAEkAdABlAG0AUgBhAHQAZQBzACwAIAAgACAAIAAgACAARgBJAEwAVABFAFIAKAAgAFIAYQB0AGUATABpAHMAdAAsACAASQB0AGUAbQBMAGkAcwB0ACAAPQAgAEkAdABlAG0AKQAsACAAXABuACAAIAAgACAAIAAgACAAIABOAGUAdwBSAG8AdwAsACAAIAAgACAAIAAgACAAIAAgAFgATABPAE8ASwBVAFAAKAAgAFAAZQByAGkAbwBkAEUAbgBkAHMALAAgAEkAdABlAG0ARABhAHQAZQBzACwAIABJAHQAZQBtAFIAYQB0AGUAcwAsACAAMAAsACAALQAxACkALABcAG4AIAAgACAAIAAgACAAIAAgAFIAZQBzAHUAbAB0ACwAIAAgACAAIAAgACAAIAAgACAASQBGACgAIABEAG8ATgBvAHQAVQBzAGU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SAGEAdABlAHMAQgB5AEkAdABlAG0AcwC7AygAIABDAHYAdABQAHIAZABFAG4AZABzACwAIABJAHQAZQBtAEYAaQBsAHQAZQByACwAIABJAHQAZQBtAEwAaQBzAHQALAAgAEMAdgB0AEUAZgBmAEQAYQB0AGUAcwAsACAAUgBhAHQAZQBMAGkAcwB0ACwAIABEAG8ATgBvAHQAVQBzAGUAIAArACAAMQ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uwNcAG4AIAAgACAAIABEAEUAUwBDAFIASQBQAFQASQBPAE4AOgAqAC8ALwAqACoAUwBjAGgAZQBkAHUAbABlAHMAIAB2AGEAbAB1AGUAcwAgAGkAbgAgAGEAIAB0AGkAbQBlAGwAaQBuAGUAIABmAHIAbwBtACAAYQAgAHMAYwBoAGUAZAB1AGwAZQAgAGkAbgAgAGEAIAB0AGEAYgBsAGUALgAgACoALwBcAG4AUwBjAGgAZQBkAHUAbABlAFYAYQBsAHUAZQBzALsDIAA9ACAATABBAE0AQgBEAEEAKABcAG4ALwAvACAAIABQAGEAcgBhAG0AZQB0AGUAcgAgAEQAZQBjAGwAYQByAGEAdABpAG8AbgBzAFwAbgAgACAAIAAgAFsAUABlAHIAaQBvAGQAUwB0AGEAcgB0AHMAXQAsAFwAbgAgACAAIAAgAFsAUABlAHIAaQBvAGQARQBuAGQAcwBdACwAXABuACAAIAAgACAAWwBWAGEAbAB1AGUAcwBdACwAXABuACAAIAAgACAAWwBFAGYAZgBlAGMAdABpAHYAZQBEAGEAdABl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C7AygAUABlAHIAaQBvAGQAUwB0AGEAcgB0AHMALAAgAFAAZQByAGkAbwBkAEUAbgBkAHMALAAgAFYAYQBsAHUAZQBzACwAIABFAGYAZgBlAGMAdABpAHYAZQBEAGEAdABlAHMAKQC2AFwAIgAgACYAXABuACAAIAAgACAAIAAgACAAIAAgACAAIAAgACAAIAAgACAAIAAgACAAIAAgACAAIAAgAFwAIgBEAEUAUwBDAFIASQBQAFQASQBPAE4AOgAgACAAIACSIVAAbABhAGMAZQAgAHYAYQBsAHUAZQBzACAAZgByAG8AbQAgAGEAIAB0AGEAYgBsAGUAIABpAG4AdABvACAAYQAgAHQAaQBtAGUAbABpAG4AZQAnAHMAIABhAHAAcAByAG8AcAByAGkAYQB0AGUAIABwAGUAcgBpAG8AZ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GMAbwBsAHUAbQBuACAAbwByACAAcgBvAHcAIABvAGYAIABwAGUAcgBpAG8AZAAgAHMAdABhAHIAdAAgAGQAYQB0AGUAcwAgACgAdABpAG0AZQBsAGkAbgBlACkALgC2AFwAIgAgACYAIABcAG4AIAAgACAAIAAgACAAIAAgACAAIAAgACAAIAAgACAAIAAgACAAIAAgACAAIAAgACAAXAAiAFAAZQByAGkAbwBkAEUAbgBkAHMAIAAgACAAIAAgAJIhKABSAGUAcQB1AGkAcgBlAGQAKQAgAEEAIABjAG8AbAB1AG0AbgAgAG8AcgAgAHIAbwB3ACAAbwBmACAAcABlAHIAaQBvAGQAIABlAG4AZABzACAAZABhAHQAZQBzACAAKAB0AGkAbQBlAGwAaQBuAGUAKQAuALYAXAAiACAAJgAgAFwAbgAgACAAIAAgACAAIAAgACAAIAAgACAAIAAgACAAIAAgACAAIAAgACAAIAAgACAAIABcACIAVgBhAGwAdQBlAHMAIAAgACAAIAAgACAAIAAgACAAkiEoAFIAZQBxAHUAaQByAGUAZAApACAAQQAgAGMAbwBsAHUAbQBuACAAbwByACAAcgBvAHcAIABvAGYAIAB2AGEAbAB1AGUAcwAgAHQAbwAgAGIAZQAgAHMAYwBoAGUAZAB1AGwAZQBkAC4AtgBcACIAIAAmACAAXABuACAAIAAgACAAIAAgACAAIAAgACAAIAAgACAAIAAgACAAIAAgACAAIAAgACAAIAAgAFwAIgBFAGYAZgBlAGMAdABpAHYAZQBEAGEAdABlAHMAIACSISgAUgBlAHEAdQBpAHIAZQBkACkAIABBACAAYwBvAGwAdQBtAG4AIABvAHIAIAByAG8AdwAgAG8AZgAgAHcAaABlAG4AIABhACAAdgBhAGwAdQBlACAAaQBzACAAcwBjAGgAZQBkAHUAbABlAGQ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PQBuAGEAYgBsAGEALgBkAC4AUwBjAGgAZQBkAHUAbABlAFYAYQBsAHUAZQBzALsDKABUAGkAbQBlAGwAaQBuAGUAuwMoAFwAIgBcACIAMQAvADEALwAyADAAMgA1AFwAIgBcACIAKQAsACAAVABpAG0AZQBsAGkAbgBlALsDKABcACIAXAAiADEALwAxAC8AMgAwADIANQBcACIAXAAiACwALAAsAEYAQQBMAFMARQApACwAIAB7ADEAOwAzAH0ALAAgAHsAXAAiAFwAIgAxAC8AMQAvADIAMAAyADUAXAAiAFwAIgA7ACAAXAAiAFwAIgAxADUALwAyAC8AMgAwADIANQBcACIAXAAiAH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FwAbgAgACAAIAAgACAAIAAgACAAIAAgACAAIAAgACAAIAAgACAAIAAgACAAIAAgACAAIAAgACAAIAAgAEkAUwBPAE0ASQBUAFQARQBEACgAIABWAGEAbAB1AGUAcwApACwAIABcAG4AIAAgACAAIAAgACAAIAAgACAAIAAgACAAIAAgACAAIAAgACAAIAAgACAAIAAgACAAIAAgACAAIABJAFMATwBNAEkAVABUAEUARAAoACAARQBmAGYAZQBjAHQAaQB2AGUARABhAHQAZQ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RABhAHQAZQBzACkALAAgAFwAbgAgACAAIAAgACAAIAAgACAAIAAgACAAIAAgACAAIAAgACAAIAAgACAAIAAgACAAIAAgACAAIAAgAEYAQQBMAFMARQAsAFwAbgAgACAAIAAgACAAIAAgACAAIAAgACAAIAAgACAAIAAgACAAIAAgACAAIAAgACAAIAAgACAAIAAgAEkARgAoACAASQBTAE4AVQBNAEIARQBSACgAIABFAGYAZgBlAGMAdABpAHYAZQBEAGEAdABlAHMAKQAsACAARQBmAGYAZQBjAHQAaQB2AGUARABhAHQAZQBzACwAIABEAEEAVABFAFYAQQBMAFUARQAoACAARQBmAGYAZQBjAHQAaQB2AGUARABhAHQAZQBzACkAKQBcAG4AIAAgACAAIAAgACAAIAAgACAAIAAgACAAIAAgACAAIAAgACAAIAAgACAAIAAgACAAKQAsAFwAbgAgACAAIAAgAC8ALwAgACAAUAByAG8AYwBlAGQAdQByAGUAXABuACAAIAAgACAAIAAgACAAIABSAGUAcwB1AGwAdAAsACAAIAAgACAAIAAgACAAIAAgAEIAWQBDAE8ATAAoAFwAbgAgACAAIAAgACAAIAAgACAAIAAgACAAIAAgACAAIAAgACAAIAAgACAAIAAgACAAIAAgACAAIAAgAFMARQBRAFUARQBOAEMARQAoACwAIABDAE8ATABVAE0ATgBTACgAUABlAHIAaQBvAGQAUwB0AGEAcgB0AHMAKQApACwAIABcAG4AIAAgACAAIAAgACAAIAAgACAAIAAgACAAIAAgACAAIAAgACAAIAAgACAAIAAgACAAIAAgACAAIABMAEEATQBCAEQAQQAoAFAAZQByAGkAbwBkACwAIABcAG4AIAAgACAAIAAgACAAIAAgACAAIAAgACAAIAAgACAAIAAgACAAIAAgACAAIAAgACAAIAAgACAAIAAgACAAIAAgAEwARQBUACgAUwB0AGEAcgB0AEQAYQB0AGUALAAgACAASQBOAEQARQBYACgAUABlAHIAaQBvAGQAUwB0AGEAcgB0AHMALAAgAFAAZQByAGkAbwBkACkALAAgAFwAbgAgACAAIAAgACAAIAAgACAAIAAgACAAIAAgACAAIAAgACAAIAAgACAAIAAgACAAIAAgACAAIAAgACAAIAAgACAAIAAgACAAIABFAG4AZABEAGEAdABlACwAIAAgACAAIABJAE4ARABFAFgAKABQAGUAcgBpAG8AZABFAG4AZABzACwAIABQAGUAcgBpAG8AZAApACwAXABuACAAIAAgACAAIAAgACAAIAAgACAAIAAgACAAIAAgACAAIAAgACAAIAAgACAAIAAgACAAIAAgACAAIAAgACAAIAAgACAAIAAgAFMAVQBNACgAVgBhAGwAdQBlAHMAIAAqACAAKABDAHYAdABFAGYAZgBEAGEAdABlAHMAIAA+AD0AIABTAHQAYQByAHQARABhAHQAZQApACAAKgAgACgAQwB2AHQARQBmAGYARABhAHQAZQBzACAAPAA9ACAARQBuAGQARABhAHQAZQAp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EIAeQBJAHQAZQBtAHMAuwNcAG4AIAAgACAAIABEAEUAUwBDAFIASQBQAFQASQBPAE4AOgAqAC8ALwAqACoAUwBjAGgAZQBkAHUAbABlACAAYQBuAGQAIABzAHUAbQAgAHYAYQBsAHUAZQBzACAAaQBuACAAYQAgAHQAaQBtAGUAbABpAG4AZQAgAGYAbwByACAAZQBhAGMAaAAgAGkAdABlAG0ALgAqAC8AXABuAFMAYwBoAGUAZAB1AGwAZQBWAGEAbAB1AGUAcwBCAHkASQB0AGUAbQBzALsDIAA9ACAATABBAE0AQgBEAEEAKABcAG4ALwAvACAAIABQAGEAcgBhAG0AZQB0AGUAcgAgAEQAZQBjAGwAYQByAGEAdABpAG8AbgBzAFwAbgAgACAAIAAgAFsAUABlAHIAaQBvAGQAUwB0AGEAcgB0AHMAXQAsAFwAbgAgACAAIAAgAFsAUABlAHIAaQBvAGQARQBuAGQAcwBdACwAXABuACAAIAAgACAAWwBJAHQAZQBtAEYAaQBsAHQAZQByAF0ALABcAG4AIAAgACAAIABbAEkAdABlAG0ATABpAHMAdABdACwAXABuACAAIAAgACAAWwBFAGYAZgBlAGMAdABpAHYAZQBMAGkAcwB0AF0ALABcAG4AIAAgACAAIABbAFYAYQBsAHUAZQBMAGkAcwB0AF0ALABcAG4AIAAgACAAIABbAEQAbwBOAG8AdABVAHMAZQ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EIAeQBJAHQAZQBtAHMAuwMoAFAAZQByAGkAbwBkAFMAdABhAHIAdABzACwAIABQAGUAcgBpAG8AZABFAG4AZABzACwAIABJAHQAZQBtAEYAaQBsAHQAZQByACwAIABJAHQAZQBtAEwAaQBzAHQALAAgAEUAZgBmAGUAYwB0AGkAdgBlAEwAaQBzAHQALAAgAFYAYQBsAHUAZQBMAGkAcwB0ACkAtgBcACIAIAAmAFwAbgAgACAAIAAgACAAIAAgACAAIAAgACAAIAAgACAAIAAgACAAIAAgACAAIAAgACAAIABcACIARABFAFMAQwBSAEkAUABUAEkATwBOADoAIAAgACAAkiFTAGMAaABlAGQAdQBsAGUAIABhAG4AZAAgAHMAdQBtACAAdgBhAGwAdQBlAHMAIABpAG4AIABhACAAdABpAG0AZQBsAGkAbgBlACAAZgBvAHIAIABlAGEAYwBoACAAaQB0AGUAbQ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2AGEAbAB1AGUAIABzAGMAaABlAGQAdQBsAGUAIABiAHkALgAgALYAXAAiACAAJgBcAG4AIAAgACAAIAAgACAAIAAgACAAIAAgACAAIAAgACAAIAAgACAAIAAgACAAIAAgACAAXAAiACAAIAAgACAAIAAgACAAIAAgACAAIAAgACAAIAAgAJIhQQAgACcAdgBhAGwAdQBlACAAcwBjAGgAZQBkAHUAbABlACcAIABpAHMAIABhACAAdABhAGIAbABlAC8AbABpAHMAdAAgAHcAaABlAHIAZQAgAGUAYQBjAGgAIAByAG8AdwAgAGMAbwBuAHQAYQBpAG4AcwAgAGEAIAB1AG4AaQBxAHUAZQAgAGkAdABlAG0ALwBlAGYAZgBlAGMAdABpAHYAZQAgAGQAYQB0AGUAIABwAGEAaQByACAAdwBpAHQAaAAgAGEAIAB2AGEAbAB1AGUALgC2AFwAIgAgACYAXABuACAAIAAgACAAIAAgACAAIAAgACAAIAAgACAAIAAgACAAIAAgACAAIAAgACAAIAAgAFwAIgBJAHQAZQBtAEwAaQBzAHQAIAAgACAAIAAgACAAIACSISgAUgBlAHEAdQBpAHIAZQBkACkAIABJAHQAZQBtAHMAIABpAG4AIABhACAAdgBhAGwAdQBlACAAcwBjAGgAZQBkAHUAbABlAC4AtgBcACIAIAAmACAAXABuACAAIAAgACAAIAAgACAAIAAgACAAIAAgACAAIAAgACAAIAAgACAAIAAgACAAIAAgAFwAIgBFAGYAZgBlAGMAdABpAHYAZQBMAGkAcwB0ACAAIACSISgAUgBlAHEAdQBpAHIAZQBkACkAIABFAGYAZgBlAGMAdABpAHYAZQAgAGQAYQB0AGUAcwAgAGkAbgAgAHQAaABlACAAdgBhAGwAdQBlACAAcwBjAGgAZQBkAHUAbABlAC4AtgBcACIAIAAmACAAXABuACAAIAAgACAAIAAgACAAIAAgACAAIAAgACAAIAAgACAAIAAgACAAIAAgACAAIAAgAFwAIgBWAGEAbAB1AGUATABpAHMAdAAgACAAIAAgACAAIACSISgAUgBlAHEAdQBpAHIAZQBkACkAIABWAGEAbAB1AGUAcwAgAGkAbgAgAGEAIAB2AGEAbAB1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FuAGEAYgBsAGEALgBkAC4AUwBjAGgAZQBkAHUAbABlAFIAYQB0AGUAcwBCAHkASQB0AGUAbQBzALsDKAAgAFQAaQBtAGUAbABpAG4AZQC7AygAIABcACIAXAAiADEALwAxAC8AMgAwADIANQBcACIAXAAiACkALAAgACAAVABpAG0AZQBsAGkAbgBlALsDKAAgAFwAIgBcACIAMQAvADEALwAyADAAMgA1AFwAIgBcACIALAAsACwARgBBAEwAUwBFACkALAAgALYAXAAiACAAJgAgAFwAbgAgACAAIAAgACAAIAAgACAAIAAgACAAIAAgACAAIAAgACAAIAAgACAAIAAgACAAIAAgACAAIAAgACAAIAAgACAAIAAgACAAIAAgACAAIABcACIAkiFVAE4ASQBRAFUARQAoACAAdABiAGwARQB4AHAAKABJAHQAZQBtAHMAKQApACwAIAB0AGIAbABFAHgAcABbAEkAdABlAG0AcwBdACwAIAB0AGIAbABFAHgAcABbAEQAYQB0AGUAcwBdACwAIAB0AGIAbABFAHgAcABbAEEAbQBvAHUAbgB0AF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WAGEAbAB1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bwB1AG4AdABlAHIALAAgACAAIAAgACAAIAAgACAASQBGACgAIABJAFMATwBNAEkAVABUAEUARAAoACAARABvAE4AbwB0AFUAcwBlACkALAAgADEALAAgAEQAbwBOAG8AdABVAHMAZQApACw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CAAIAAg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DAG8AdQBuAHQAZQByACkALABcAG4AIAAgACAAIAAgACAAIAAgAEkAdABlAG0ARABhAHQAZQBzACwAIAAgACAAIAAgACAARgBJAEwAVABFAFIAKAAgAEMAdgB0AEUAZgBmAEQAYQB0AGUAcwAsACAASQB0AGUAbQBMAGkAcwB0ACAAPQAgAEkAdABlAG0AKQAsACAAXABuACAAIAAgACAAIAAgACAAIABJAHQAZQBtAFYAYQBsAHUAZQBzACwAIAAgACAAIAAgAEYASQBMAFQARQBSACgAIABWAGEAbAB1AGUATABpAHMAdAAsACAASQB0AGUAbQBMAGkAcwB0ACAAPQAgAEkAdABlAG0AKQAsACAAXABuACAAIAAgACAAIAAgACAAIABBAHIAcgBhAHkALAAgACAAIAAgACAAIAAgACAAIAAgACgASQB0AGUAbQBEAGEAdABlAHMAIAA+AD0AIABQAGUAcgBpAG8AZABTAHQAYQByAHQAcwApACAAKgAgACgASQB0AGUAbQBEAGEAdABlAHMAIAA8AD0AIABQAGUAcgBpAG8AZABFAG4AZABzACkAIAAqACAASQB0AGUAbQBWAGEAbAB1AGUAcwAsAFwAbgAgACAAIAAgACAAIAAgACAATgBlAHcAUgBvAHcALAAgACAAIAAgACAAIAAgACAAIABCAFkAQwBPAEwAKAAgAEEAcgByAGEAeQAsACAATABBAE0AQgBEAEEAKAAgAEMAbwBsAHUAbQBuACwAIABTAFUATQAoACAAQwBvAGwAdQBtAG4AKQApACkALABcAG4AIAAgACAAIAAgACAAIAAgAFIAZQBzAHUAbAB0ACwAIAAgACAAIAAgACAAIAAgACAASQBGACgAIABDAG8AdQBuAHQAZQBy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VgBhAGwAdQBlAHMAQgB5AEkAdABlAG0AcwC7AygAIABDAHYAdABQAHIAZABTAHQAYQByAHQAcwAsACAAQwB2AHQAUAByAGQARQBuAGQAcwAsACAAXABuACAAIAAgACAAIAAgACAAIAAgACAAIAAgACAAIAAgACAAIAAgACAAIAAgACAAIAAgACAAIAAgACAAIAAgACAAIAAgACAAIAAgAEkAdABlAG0ARgBpAGwAdABlAHIALAAgAEkAdABlAG0ATABpAHMAdAAsACAAQwB2AHQARQBmAGYARABhAHQAZQBzACwAIABWAGEAbAB1AGUATABpAHMAdAAsACAAQwBvAHUAbgB0AGUAcg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QAaQBtAGUAbABpAG4AZQC7A1wAbgAgACAAIAAgAEQARQBTAEMAUgBJAFAAVABJAE8ATgA6ACoALwAvACoAKgBDAHIAZQBhAHQAZQAgAGEAIABoAG8AcgBpAHoAbwBuAHQAYQBsACAAbABpAHMAdAAgAG8AZgAgAHAAZQByAGkAbwBkACAAZABhAHQAZQBz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4AYQBiAGwAYQ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BcACIAMQAyACAAbQBvACwAIABzAHQAYQByAHQAcwAgACAAkiE9AG4AYQBiAGwAYQAuAGQALgBUAGkAbQBlAGwAaQBuAGUAuwMoAFQATwBEAEEAWQAoACkAKQC2AFwAIgAgACYAXABuACAAIAAgACAAIAAgACAAIAAgACAAIAAgACAAIAAgACAAIAAgACAAIAAgACAAIAAgACAAIAAgACAAXAAiADEAMgAgAHEAdAByACwAIABlAG4AZABzACAAIAAgAJIhPQBuAGEAYgBsAGEALgBk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TAHQAYQByAHQARABhAHQAZQAsACAAUwBFAFEAVQBFAE4AQwBFACgAMQAsACAAUABlAHIAaQBvAGQAcwAsACAARQBuAGQARABhAHQAZQBzACAAKgAgAE0AUABZACwAIABNAFAAWQApACkAIAAtACAARQBuAGQARABhAHQAZQBzACwAXABuACAAIAAgACAAIAAgACAAIAAgACAAIAAgACAAIAAgACAAIAAgACAAIAAgACAAIAAgACAAIAAgACAAXAAiAFEAXAAiACwAIABFAEQAQQBUAEUAKABTAHQAYQByAHQARABhAHQAZQAsACAAUwBFAFEAVQBFAE4AQwBFACgAMQAsACAAUABlAHIAaQBvAGQAcwAsACAARQBuAGQARABhAHQAZQBzACAAKgAgAE0AUABRACwAIABNAFAAUQApACkAIAAtACAARQBuAGQARABhAHQAZQBzACwAXABuACAAIAAgACAAIAAgACAAIAAgACAAIAAgACAAIAAgACAAIAAgACAAIAAgACAAIAAgACAAIAAgACAAXAAiAE0AXAAiACwAIABFAEQAQQBUAEUAKABTAHQAYQByAHQARABhAHQAZQ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FMAdABhAHIAdABEAGEAdABlACAAKwAgAEkARgAoAFAAZQByAGkAbwBkAFMAdABhAHIAdABzAD8ALAAgADAALAAgAEQAUABXACAALQAgADEAKQAsACAARABQAFcAKQAsAFwAbgAgACAAIAAgACAAIAAgACAAIAAgACAAIAAgACAAIAAgACAAIAAgACAAIAAgACAAIAAgACAAIAAgAFwAIgBEAFwAIgAsACAAUwBFAFEAVQBFAE4AQwBFACgAMQAsACAAUABlAHIAaQBvAGQAcwAsACAAUwB0AGEAcgB0AEQAYQB0AGUALAAgADEAKQAsAFwAbgAgACAAIAAgACAAIAAgACAAIAAgACAAIAAgACAAIAAgACAAIAAgACAAIAAgACAAIAAgACAAIAAgACMAVgBhAGwAdQBlAC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RgBpAG4AYQBuAGMAaQBhAGwAWQBlAGEAcgC7A1wAbgAgACAAIAAgAEQARQBTAEMAUgBJAFAAVABJAE8ATgA6ACoALwAvACoAKgBMAGEAYgBlAGwAcwAgAGQAYQB0AGUAcwAgAHcAaQB0AGgAIAB0AGgAZQBpAHIAIABBAHUAcwB0AHIAYQBsAGkAYQBuACAAZgBpAG4AYQBuAGMAaQBhAGwAIAB5AGUAYQByACwAIAB3AGgAaQBjAGgAIABzAHQAYQByAHQAcwAgAG8AbgAgADEAIABKAHUAbAB5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QAIABpAHMAIABhAHMAcwB1AG0AZQBkACAAdABvACAAYgBlACAAdABoAGUAIABtAG8AZAB1AGwAZQAnAHMAIABuAGEAbQBlACkAtgBcACIAIAAmAFwAbgAgACAAIAAgACAAIAAgACAAIAAgACAAIAAgACAAIAAgACAAIAAgACAAIAAgACAAIAAgACAAIAAgAFwAIgCSIT0AbgBhAGIAbABhAC4AZAAuAEYAaQBuAGEAbgBjAGkAYQBsAFkAZQBhAHIAuwMoAEQAQQBUAEUAKAAyADAAMgA2ACwAOAAsADEANQApACkAtgBcACIAIAAmAFwAbgAgACAAIAAgACAAIAAgACAAIAAgACAAIAAgACAAIAAgACAAIAAgACAAIAAgACAAIAAgACAAIAAgAFwAIgCSIVIAZQBzAHUAbAB0ALYAXAAiACAAJgBcAG4AIAAgACAAIAAgACAAIAAgACAAIAAgACAAIAAgACAAIAAgACAAIAAgACAAIAAgACAAIAAgACAAIABcACIAkiFGAFkAMgAwADIANw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RABhAHQAZQBzACkALABcAG4AIAAgACAAIAAvAC8AIAAgAFMAZQB0ACAAZABlAGYAYQB1AGwAdABzAFwAbgAgACAAIAAgACAAIAAgACAARgBZAFMAdABhAHIAdAAsACAAIAAgACAAIAAgACAAIABJAEYAKABJAFMATwBNAEkAVABUAEUARAAoAFMAdABhAHIAdABNAG8AbgB0AGgAKQAsACAANwAsACAAUwB0AGEAcgB0AE0AbwBuAHQAaAApACwAXABuACAAIAAgACAALwAvACAAIABNAHUAbAB0AGkAcABsAHkAIAByAGEAdABoAGUAcgAgAHQAaABhAG4AIABBAE4ARAAsACAAdwBoAGkAYwBoACAAdwBvAHUAbABkACAAYwBvAGwAbABhAHAAcwBlACAAYQAgAHIAYQBuAGcAZQAgAG8AZgAgAGQAYQB0AGUAcwAgAHQAbwAgAG8AbgBlACAAYQBuAHMAdwBlAHIAXABuACAAIAAgACAAIAAgACAAIABSAGUAcwB1AGwAdAAsACAAIAAgACAAIAAgACAAIAAgAEkARgAoAE4AKABEAGEAdABlAHMAKQA9ADAALAAgAFwAIgBcACIALAAgAFwAIgBGAFkAXAAiACAAJgAgAFQARQBYAFQAKABZAEUAQQBSACgARABhAHQAZQBzACkAIAArACAAKABGAFkAUwB0AGEAcgB0AD4AMQApACAAKgAgACgATQBPAE4AVABIACgARABhAHQAZQBzACkAIAA+AD0AIABGAFkAUwB0AGEAcgB0ACkALAAgAFwAIgAwADAAMAAwAFwAIg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uAGEAYgBsAGEALgBlACIALAAiAHQAZQB4AHQAIgA6ACI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XABuAEEAYgBvAHUAdA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QBiAGwAYQAuAGU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C7A1wAbgAgACAAIAAgAEQARQBTAEMAUgBJAFAAVABJAE8ATgA6ACoALwAvACoAKgBDAG8AdQBuAHQAIABvAGMAYwB1AHIAcgBlAG4AYwBlAHMAIABvAGYAIABjAGgAYQByAGEAYwB0AGUAcgAoAHMAKQAgAGkAbgAgAGEAIABzAHQAcgBpAG4AZwAqAC8AXABuAEMAbwB1AG4AdABD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HIAbwB3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yAG8Adw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LA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IA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bABvAHc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CAAYQBuAGQALwBvAHIAIABIAGk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uwMoADEALAAgADIALAAgADQAKQC2AFwAIgAgACYAIABcAG4AIAAgACAAIAAgACAAIAAgACAAIAAgACAAIAAgACAAIAAgACAAIAAgACAAIAAgACAAIAAgACAAIABcACIAVABSAFUARQAgACAAIAAgACAAIAAgACAAIAAgACAAkiE9AEkAcwBCAGUAdAB3AGUAZQBuALsDKAAyACwAIAAyACwAIAA0ACkAtgBcACIAIAAmACAAXABuACAAIAAgACAAIAAgACAAIAAgACAAIAAgACAAIAAgACAAIAAgACAAIAAgACAAIAAgACAAIAAgACAAXAAiAEYAQQBMAFMARQAgACAAIAAgACAAIAAgACAAIAAgAJIhPQBJAHMAQgBlAHQAdwBlAGUAbg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aQBmACAAYQAgAHYAYQBsAHUAZQAgAGkAcwAgAGIAZQB0AHcAZQBlAG4AIABhACAAbABvAHcAZQByACAAYQBuAGQAIAB1AHAAcABlAHIAIABsAGkAbQBpAHQAKgAvAFwAbgBJAHMASQBuAEwAaQBzAHQ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gACAAIAAgACAAIAAgADo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AAIAAgACAAUgBlAHMAdQBsAHQALAAgACAAIAAgACAAIAAgACAAIABOAE8AVAAoACAASQBTAE4AQQAoACAATQBBAFQAQwBIACgAIABWAGEAbAB1AGUALAAgAEwAaQBzAHQALAAgADAAKQ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LsDXABuACAAIAAgACAARABFAFMAQwBSAEkAUABUAEkATwBOADoAKgAvAC8AKgAqAEMAbwBuAHYAZQByAHQAIABhACAAcgBhAG4AZwBlACAAcgBlAGYAZQByAGUAbgBjAGUAIAB0AG8AIABhACAAZAB5AG4AYQBtAGkAYwAgAGEAcgByAGEAeQAgAHIAZQBmAGUAcgBlAG4AYwBlACoALwBcAG4AUgBhAG4AZwBlAFQAbwBEAEE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4AYQBiAGwAYQ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G4AYQBiAGwAYQAuAGY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cAG4AQQBiAG8AdQB0ALsDIAA9ACAAVABSAEkATQAoAFQARQBYAFQAUwBQAEwASQBUACgAXABuACAAIAAgACAAXAAiAEEAQgBPAFUAVAA6ACAAIAAgACAAIAAgACAAIAAgACAAIAAgACAAkiFuAGEAYgBsAGEAJwBzACAARgBpAG4AYQBuAGMAaQBhAGwAIABNAG8AZABlAGwAcwAgAG0AbwBkAHUAbABlAC4AIABTAHUAZwBnAGUAcwB0AGUAZAAgAG0AbwBkAHUAbABlACAAbgBhAG0AZQA6ACAAbgBhAGIAbABhAC4AZgC2AFwAIgAgACYAXABuACAAIAAgACAAXAAiAFYARQBSAFMASQBPAE4AOgAgACAAIAAgACAAIAAgACAAIAAgACAAkiExADgAIABBAHUAZwAgADIAMAAyADYAtgBcACIAIAAmAFwAbgAgACAAIAAgAFwAIgBSAEUAUABPAFMASQBUAE8AUgBZADoAIAAgACAAIAAgACAAIAAgACAAIACSIWgAdAB0AHAAcwA6AC8ALwBnAGkAdABoAHUAYgAuAGMAbwBtAC8AcgB5AGEAbgBkAHUAZwB1AGkAZAAvAE4AYQBiAGwAYQAgALYAXAAiACAAJgBcAG4AIAAgACAAIABcACIAVwBFAEIAUwBJAFQARQA6ACAAIAAgACAAIAAgACAAIAAgACAAIACSIWgAdAB0AHAAcwA6AC8ALwBnAGkAdABoAHUAYgAuAGMAbwBtAC8AcgB5AGEAbgBkAHUAZwB1AGkAZAAvAE4AYQBiAGwAYQAgALYAXAAiACAAJgBcAG4AIAAgACAAIABcACIAkiG2AFwAIgAgACYAXABuACAAIAAgACAAXAAiAEYAVQBOAEMAVABJAE8ATgAgACAAIAAgACAAIAAgACAAIAAgACAAkiFEAEUAUwBDAFIASQBQAFQASQBPAE4AtgBcACIAIAAmACAAXABuACAAIAAgACAAXAAiAEEAYgBvAHUAd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YQB4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pAG4AuwMgACAAIAAgACAAIAAgACAAkiFGAGkAbgBkAHMAIAB0AGgAZQAgAG0AaQBu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TAHUAbQC7AyAAIAAgACAAIAAgACAAIACSIUMAcgBlAGEAdABlAHMAIAB0AG8AdABhAGwAcwAgAGYAbwByACAAcAByAGUAYwBlAGQAaQBuAGcAIAB2AGEAbAB1AGUAcwAgAG8AZgAgAGEAIABzAGUAdAAgAHMAaQB6AGUAIABtAG8AdgBpAG4AZwAgAGYAcgBvAG0AIABiAGUAZwBpAG4AbgBpAG4AZwAgAHQAbwAgAGUAbgBkACAAbwB2AGUAcgAgAGEAIAByAG8AdwAgAG8AZgAgAHYAYQBsAHUAZQBzAC4AtgBcACIAIAAmAFwAbgAgACAAIAAgAFwAIgBTAHUAbQBDAG8AbgB0AGEAaQBuAHMAuwMgACAAIAAgACAAIAAgAJIhQwByAGUAYQB0AGUAcwAgAGEAIAByAG8AdwAgAG8AZgAgAHQAbwB0AGEAbABzACAAZgBvAHIAIABlAGEAYwBoACAAcgBvAHcAIABpAG4AIABhAG4AIABhAHIAcgBhAHkAIAB3AGgAZQByAGUAIABpAHQAcwAgAGwAYQBiAGUAbABzACAAYwBvAG4AdABhAGkAbgAgAGEAIAB1AG4AaQBxAHUAZQAgAGwAZQB0AHQAZQByACwAIAB3AG8AcgBkACwAIABvAHIAIABwAGgAcgBhAHMAZQAuALYAXAAiACAAJgAgAFwAbgAgACAAIAAgAFwAIgBTAHUAbQBQAGUAcgBpAG8AZABzALsDIAAgACAAIAAgACAAIAAgAJIhRwByAG8AdQBwAHMAIABhAG4AZAAgAHQAbwB0AGEAbABzACAAYQBsAGwAIABjAG8AbAB1AG0AbgBzACAAaQBuACAAYQAgAFYAYQBsAHUAZQBzACAAYQByAHIAYQB5ACAAYgB5ACAAcABlAHIAaQBvAGQAIAByAGUAcwB1AGwAdABpAG4AZwAgAGkAbgAgAG8AbgBlACAAYwBvAGwAdQBtAG4AIABmAG8AcgAgAGUAYQBjAGgAIABwAGUAcgBpAG8AZAAuALYAXAAiACAAJgAgAFwAbgAgACAAIAAgAFwAIgCSIbYAXAAiACAAJgBcAG4AIAAgACAAIABcACIAQQBNAE8AUgBUAEkAUwBBAFQASQBPAE4AIABTAFUASQBUAEUAkiG2AFwAIgAgACYAIABcAG4AIAAgACAAIABcACIAQQBtAG8AcgB0AGkAcwBlALsDIAAgACAAIAAgACAAIAAgACAAIACSIUMAcgBlAGEAdABlAHMAIABhACAAYwBvAHIAawBzAGMAcgBlAHcAIABhAG0AbwByAHQAaQBzAGEAdABpAG8AbgAgAHMAYwBoAGUAZAB1AGwAZQAuALYAXAAiACAAJgAgAFwAbgAgACAAIAAgAFwAIgBMAGEAYgBlAGwAQQBtAG8AcgB0AGkAcwBlALsDIAAgACAAIAAgAJIhQwByAGUAYQB0AGUAIAByAG8AdwAgAGwAYQBiAGUAbABzACAAZgBvAHIAIABBAG0AbwByAHQAaQBzAGUAuwMgAHIAZQBzAHUAbAB0ALYAXAAiACAAJgAgAFwAbgAgACAAIAAgAFwAIgBTAHUAbQBBAG0AbwByAHQAaQBzAGUAuwMgACAAIAAgACAAIAAgAJIhQwByAGUAYQB0AGUAIAByAG8AdwAgAHQAbwB0AGEAbABzACAAZgBvAHIAIABwAGEAeQBtAGUAbgB0AHMALAAgAGkAbgB0AGUAcgBlAHMAdAAsACAAYQBuAGQAIABwAHIAaQBuAGMAaQBwAGEAbAAgAHAAbwByAHQAaQBvAG4AIABpAG4AIABBAG0AbwByAHQAaQBzAGUAuwMgAHIAZQBzAHUAbAB0AHMAtgBcACIAIAAmACAAXABuACAAIAAgACAAXAAiAJIhtgBcACIAIAAmAFwAbgAgACAAIAAgAFwAIgBEAEUAUABSAEUAQwBJAEEAVABJAE8ATgAgAFMAVQBJAFQARQCSIbYAXAAiACAAJgAgAFwAbgAgACAAIAAgAFwAIgBEAGUAcAByAGUAYwBpAGEAdABlALsDIAAgACAAIAAgACAAIAAgAJIhQwByAGUAYQB0AGUAIABhACAAYgBsAG8AYwBrACAAbwBmACAAQwBBAFAARQBYACwAIABPAHAAZQBuAGkAbgBnACAAQgBhAGwAYQBuAGMAZQAsACAARABlAHAAcgBlAGMAaQBhAHQAaQBvAG4AIABWAGEAbAB1AGUAcwAsACAAYQBuAGQAIABCAG8AbwBrACAAVgBhAGwAdQBlACAAZgBvAHIAIABlAGEAYwBoACAAYQBzAHMAZQB0ALYAXAAiACAAJgAgAFwAbgAgACAAIAAgAFwAIgBMAGEAYgBlAGwARABlAHAAcgBlAGMAaQBhAHQAZQC7AyAAIAAgAJIhQwByAGUAYQB0AGUAIAByAG8AdwAgAGwAYQBiAGUAbABzACAAZgBvAHIAIABEAGUAcAByAGUAYwBpAGEAdABlALsDIAByAGUAcwB1AGwAdAC2AFwAIgAgACYAIABcAG4AIAAgACAAIABcACIAUwB1AG0ARABlAHAAcgBlAGMAaQBhAHQAZQC7AyAAIAAgACAAIACSIUMAcgBlAGEAdABlACAAcgBvAHcAIAB0AG8AdABhAGwAcwAgAGYAbwByACAAQwBBAFAARQBYACwAIABEAGUAcAByAGUAYwBpAGEAdABpAG8AbgAsACAAQgBvAG8AawAgAFYAYQBsAHUAZQAsACAAUwBhAGwAdgBhAGcAZQAgAFYAYQBsAHUAZQAsACAAYQBuAGQAIABEAGkAcwBwAG8AcwBhAGwAIABjAG8AcwB0AHMAIABpAG4AIABEAGUAcAByAGUAYwBpAGEAdABlALsDIAByAGUAcwB1AGwAdABzALYAXAAiACAAJgAgAFwAbgAgACAAIAAgAFwAIgBBAGwAbABvAGMAYQB0AGUAuwMgACAAIAAgACAAIAAgACAAIAAgAJIhRABpAHYAaQBkAGUAIABvAG4AZQAgAG8AcgAgAG0AbwByAGUAIABhAG0AbwB1AG4AdABzACAAZQBxAHUAYQBsAGwAeQAgAGEAYwByAG8AcwBzACAAcwBtAGEAbABsAGUAcgAgAHAAZQByAGkAbwBkAHMAtgBcACIAIAAmACAAXABuACAAIAAgACAAXAAiAFMATABOALsDIAAgACAAIAAgACAAIAAgACAAIAAgACAAIAAgACAAkiFTAHQAcgBhAGkAZwBoAHQAIABMAGkAbgBlACAAZABlAHAAcgBlAGMAaQBhAHQAaQBvAG4AIABtAGUAdABoAG8AZAAgAGYAbwByACAAbwBuAGUAIABhAHMAcwBlAHQAIABvAHIAIABhAHMAcwBlAHQAIABjAGwAYQBzAHMALgC2AFwAIgAgACYAIABcAG4AIAAgACAAIABcACIAUwBZAEQAuwMgACAAIAAgACAAIAAgACAAIAAgACAAIAAgACAAIACSIVMAdQBtAC0AbwBmAC0AeQBlAGEAcgBzACcAIABkAGkAZwBpAHQAcwAgAGQAZQBwAHIAZQBjAGkAYQB0AGkAbwBuACAAbQBlAHQAaABvAGQAIABmAG8AcgAgAG8AbgBlACAAYQBzAHMAZQB0ACAAbwByACAAYQBzAHMAZQB0ACAAYwBsAGEAcwBzAC4AtgBcACIAIAAmACAAXABuACAAIAAgACAAXAAiAEQAQgC7AyAAIAAgACAAIAAgACAAIAAgACAAIAAgACAAIAAgACAAkiFGAGkAeABlAGQAIABkAGUAYwBsAGkAbgBpAG4AZwAgAGIAYQBsAGEAbgBjAGUAIABkAGUAcAByAGUAYwBpAGEAdABpAG8AbgAgAG0AZQB0AGgAbwBkACAAZgBvAHIAIABvAG4AZQAgAGEAcwBzAGUAdAAgAG8AcgAgAGEAcwBzAGUAdAAgAGMAbABhAHMAcwAuALYAXAAiACAAJgAgAFwAbgAgACAAIAAgAFwAIgBEAEQAQgC7AyAAIAAgACAAIAAgACAAIAAgACAAIAAgACAAIAAgAJIhRABvAHUAYgBsAGUALQBkAGUAYwBsAGkAbgBpAG4AZwAgAGIAYQBsAGEAbgBjAGUAIABkAGUAcAByAGUAYwBpAGEAdABpAG8AbgAgAG0AZQB0AGgAbwBkACAAZgBvAHIAIABvAG4AZQAgAGEAcwBzAGUAdAAgAG8AcgAgAGEAcwBzAGUAdAAgAGMAbABhAHMAcwAuALYAXAAiACAAJgAgAFwAbgAgACAAIAAgAFwAIgBWAEQAQgC7AyAAIAAgACAAIAAgACAAIAAgACAAIAAgACAAIAAgAJIhVgBhAHIAaQBhAGIAbABlACAAZABlAGMAbABpAG4AaQBuAGcAIABiAGEAbABhAG4AYwBlACAAZABlAHAAcgBlAGMAaQBhAHQAaQBvAG4AIABtAGUAdABoAG8AZAAgAGYAbwByACAAbwBuAGUAIABhAHMAcwBlAHQAIABvAHIAIABhAHMAcwBlAHQAIABjAGwAYQBzAHMALgC2AFwAIgAgACYAIABcAG4AIAAgACAAIAAgACAAIAAgACAAIAAgACAAIAAgACAAIAAgACAAIAAgACAAIAAgACAAIAAgACAAIAAgACAAIAAgACAAIAAgACAAIAAgACAAIAAgACAAIABcACIARABpAG0AaQBuAGkAcwBoAGkAbgBnAFYAYQBsAHUAZQC7AyAAIACSIUQAaQBtAGkAbgBpAHMAaABpAG4AZwAgAHYAYQBsAHUAZQAgAGQAZQBwAHIAZQBjAGkAYQB0AGkAbwBuACAAKABBAFQATwAgADIAMAAwACUAIABtAGUAdABoAG8AZAApACwAIAB3AHIAaQB0AGkAbgBnACAAdABoAGUAIAByAGUAcwBpAGQAdQBhAGwAIABvAGYAZgAgAGkAbgAgAHQAaABlACAAZgBpAG4AYQBsACAAcABlAHIAaQBvAGQALgC2AFwAIgAgACYAIABcAG4AIAAgACAAIAAgACAAIAAgACAAIAAgACAAIAAgACAAIAAgACAAIAAgACAAIAAgACAAIAAgACAAIAAgACAAIAAgACAAIAAgACAAIAAgACAAIAAgACAAIABcACIAUAByAGkAbQBlAEMAbwBzAHQAuwMgACAAIAAgACAAIAAgACAAIACSIVAAcgBpAG0AZQAgAGMAbwBzAHQAIAAoAHMAdAByAGEAaQBnAGgAdAAgAGwAaQBuAGUAKQAgAGQAZQBwAHIAZQBjAGkAYQB0AGkAbwBuACwAIABBAFQATwAgAG0AZQB0AGgAbwBkACwAIABmAG8AcgAgAG8AbgBlACAAYQBzAHMAZQB0ACAAbwByACAAYQBzAHMAZQB0ACAAYwBsAGEAcwBz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IABcAG4AIAAgACAAIAAgACAAIAAgACAAIAAgACAAIAAgACAAIAAgACAAIAAgACAAIAAgACAAIAAgACAAIAAgACAAIAAgACAAIAAgACAAIAAgACAAIAAgACAAIABcAG4AIAAgACAAIABcACIAkiG2AFwAIgAgACYAXABuACAAIAAgACAAXAAiAFMAVQBCAFIATwBVAFQASQBOAEUAUwAgACAAIAAgACAAIAAgACAAkiFGAHUAbgBjAHQAaQBvAG4AcwAgAHUAcwBlAGQAIABiAHkAIABvAHQAaABlAHIAIABmAHUAbgBjAHQAaQBvAG4AcwAgAG8AcgAgAGcAZQBuAGUAcgBhAGwAIABwAHUAcgBwAG8AcwBlACAAZgB1AG4AYwB0AGkAbwBuAHMALgC2AFwAIgAgACYAIABcAG4AIAAgACAAIABcACIARgBpAGwAdABlAHIAQwBvAG4AdABhAGkAbgBzALsDIAAgACAAIACSIUYAaQBsAHQAZQByACAAYQBuACAAYQByAHIAYQB5ACAAYgB5ACAAYQBuAG8AdABoAGUAcgAgAGEAcgByAGEAeQAgAHQAaABhAHQAIABjAG8AbgB0AGEAaQBuAHMAIABzAHAAZQBjAGkAZgBpAGM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BDAG8AcgBrAHMAYwByAGUAdwC7Ay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gAZQBsAHAAXABuACAAIAAgACAAIAAgACAAIABIAGUAbABwACwAIAAgACAAIAAgACAAIABUAFIASQBNACgAVABFAFgAVABTAFAATABJAFQAKAAgAFwAbgAgACAAIAAgACAAIAAgACAAIAAgACAAIAAgACAAIAAgACAAIAAgACAAIAAgACAAIABcACIARgBVAE4AQwBUAEkATwBOADoAIAAgACAAIAAgACAAkiFDAG8AcgBrAHMAYwByAGUAdwC7AygAIABPAHAAZQBuAGkAbgBnACwAIABGAGwAbwB3ADEALAAgAFsARgBsAG8AdwAyAF0ALAAgAFsARgBsAG8AdwAzAF0ALAAgAFsARgBsAG8AdwA0AF0AKQC2AFwAIgAgACYAXABuACAAIAAgACAAIAAgACAAIAAgACAAIAAgACAAIAAgACAAIAAgACAAIAAgACAAIAAgAFwAIgBEAEUAUwBDAFIASQBQAFQASQBPAE4AOgAgACAAIACSIUMAcgBlAGEAdABlACAAYQAgAGMAbwByAGsAcwBjAHIAZQB3ACAAcwBlAGMAdABpAG8AbgAgAHQAaABhAHQAIABzAHUAbQBzACAAdABoAGUAIABvAHAAZQBuAGkAbgBnACAAYgBhAGwAYQBuAGMAZQAgAGEAbgBkACAAdQBwACAAdABvACAANAAgAGkAbgBkAGUAcABlAG4AZABlAG4AdAAgAGYAbABvAHcAcwC2AFwAIgAgACYAIABcAG4AIAAgACAAIAAgACAAIAAgACAAIAAgACAAIAAgACAAIAAgACAAIAAgACAAIAAgACAAXAAiAFcARQBCAFAAQQBHAEUAOgAgACAAIAAgACAAIAAgAJIhPABDAG8AbQBpAG4AZwAgAFMAbwBvAG4APgC2AFwAIgAgACYAIA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C2AFwAIgAgACYAIABcAG4AIAAgACAAIAAgACAAIAAgACAAIAAgACAAIAAgACAAIAAgACAAIAAgACAAIAAgACAAXAAiAJIhtgBcACIAIAAmAFwAbgAgACAAIAAgACAAIAAgACAAIAAgACAAIAAgACAAIAAgACAAIAAgACAAIAAgACAAIABcACIARQBYAEEATQBQAEwARQBTADoAIAAgACAAIAAgACAAkiFOAE8AVABFACEAIABuAGEAYgBsAGEALgBmACAAaQBzACAAYQBzAHMAdQBtAGUAZAAgAHQAbwAgAGIAZQAgAHQAaABlACAAbQBvAGQAdQBsAGUAJwBzACAAbgBhAG0AZQC2AFwAIgAgACYAIABcAG4AIAAgACAAIAAgACAAIAAgACAAIAAgACAAIAAgACAAIAAgACAAIAAgACAAIAAgACAAXAAiAEYAbwByAG0AdQBsAGEAOgAgACAAIAAgACAAIAAgAJIhPQBuAGEAYgBsAGEALgBm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UwBjAHIAZQB3AFIAZQB2AGUAcgBzAGEAbAC7AygAIABPAHAAZQBuAGkAbgBnACwAIABSAGUAdgBlAHIAcwBhAGwARgBsAGEAZwBzACwAIABGAGwAbwB3ADEALAAgAFsARgBsAG8AdwAyAF0ALAAgAFsARgBsAG8AdwAzAF0ALAAgAFsARgBsAG8AdwA0AF0AKQC2AFwAIgAgACYAIABcAG4AIAAgACAAIAAgACAAIAAgACAAIAAgACAAIAAgACAAIAAgACAAIAAgACAAIAAgACAAXAAiAEQARQBTAEMAUgBJAFAAVABJAE8ATgA6ACAAIAAgAJIhQwByAGUAYQB0AGUAIABhACAAYwBvAHIAawBzAGMAcgBlAHcAIAB3AGgAZQByAGUAIAB0AGgAZQAgAG8AcABlAG4AaQBuAGcAIABiAGEAbABhAG4AYwBlACAAaQBzACAAcgBlAHYAZQByAHMAZQBkACAAaQBuACAAdABoAGUAIABuAGUAeAB0ACAAcABlAHIAaQBvAGQAIABiAGEAcwBlAGQAIABvAG4AIABhACAAdABpAG0AaQBuAGcAIABwAGEAcgBhAG0AZQB0AGUAcgC2AFwAIgAgACYAIABcAG4AIAAgACAAIAAgACAAIAAgACAAIAAgACAAIAAgACAAIAAgACAAIAAgACAAIAAgACAAXAAiAFcARQBCAFAAQQBHAEUAOgAgACAAIAAgACAAIAAgAJIhPABDAG8AbQBpAG4AZwAgAFMAbwBvAG4APgC2AFwAIgAgACYAXABuACAAIAAgACAAIAAgACAAIAAgACAAIAAgACAAIAAgACAAIAAgACAAIAAgACAAIAAgAFwAIgBWAEUAUgBTAEkATwBOADoAIAAgACAAIAAgACAAIACSITEAOAAgAEEAdQBnACAAMgAwADIANgC2AFwAIgAgACYAIA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SAGUAdgBlAHIAcwBhAGwARgBsAGEAZwBzACAAIACSISgAUgBlAHEAdQBpAHIAZQBkACkAIABBACAAcgBvAHcAIABvAGYAIABvAG4AZQBzACAAYQBuAGQAIABiAGwAYQBuAGsAcwAgACgAbwByACAAegBlAHIAbwBzACkAIABpAG4AZABpAGMAYQB0AGkAbgBnACAAdwBoAGUAbgAgAHQAbwAgAHIAZQB2AGUAcgBzAGUAIABwAGUAcgBpAG8AZAAgAHQAbwB0AGEAbABz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BcACIALAAgAFwAbgAgACAAIAAgACAAIAAgACAAIAAgACAAIAAgACAAIAAgACAAIAAgACAAIAAgACAAIABcACIAkiFcACIALAAgAFwAIgC2AFwAIgApACkALAAgAFwAbgAgACAAIAAgAC8ALwAgACAAQwBoAGUAYwBrACAAaQBuAHAAdQB0AHMAIAAtACAATwBtAGkAdAB0AGUAZAAgAHIAZQBxAHUAaQByAGUAZAAgAGEAcgBnAHUAbQBlAG4AdABzAFwAbgAgACAAIAAgACAAIAAgACAASABlAGwAcAA/ACwAIAAgACAAIAAgACAAIAAgACAAIABPAFIAKAAgAEkAUwBPAE0ASQBUAFQARQBEACgAIABPAHAAZQBuAGkAbgBnACkALAAgAFwAbgAgACAAIAAgACAAIAAgACAAIAAgACAAIAAgACAAIAAgACAAIAAgACAAIAAgACAAIAAgACAAIAAgAEkAUwBPAE0ASQBUAFQARQBEACgAIABSAGUAdgBlAHIAcwBhAGwARgBsAGEAZwBzACkALAAgAFwAbgAgACAAIAAgACAAIAAgACAAIAAgACAAIAAgACAAIAAgACAAIAAgACAAIAAgACAAIAAgACAAIAAgAEkAUwBPAE0ASQBUAFQARQBEACgAIABGAGwAbwB3ADEAKQApACwAIABcAG4AIAAgACAAIAAvAC8AIAAgAFMAZQB0ACAAZABlAGYAYQB1AGwAdABzACAAYQBuAGQAIABjAG8AbgBzAHQAYQBuAHQAcwBcAG4AIAAgACAAIAAgACAAIAAgAEMAbwBsAHMALAAgACAAIAAgACAAIAAgACAAIAAgACAAQwBPAEwAVQBNAE4AUwAoAEYAbABvAHcAMQApACwAI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XABuACAAIAAgACAALwAvACAAIABQAHIAbwBjAGUAZAB1AHIAZQBcAG4AIAAgACAAIAAgACAAIAAgAFAAZQByAGkAbwBkAEEAcgByAGEAeQAsACAAIAAgACAAUwBXAEkAVABDAEgAKABSAG8AdwBzACwAIABcAG4AIAAgACAAIAAgACAAIAAgACAAIAAgACAAIAAgACAAIAAgACAAIAAgACAAIAAgACAAIAAgACAAIAAxACwAIABGAGwAbwB3ADEALAAgAFwAbgAgACAAIAAgACAAIAAgACAAIAAgACAAIAAgACAAIAAgACAAIAAgACAAIAAgACAAIAAgACAAIAAgADIALAAgAFYAUwBUAEEAQwBLACgARgBsAG8AdwAxACwAIABGAGwAbwB3ADIAKQAsACAAXABuACAAIAAgACAAIAAgACAAIAAgACAAIAAgACAAIAAgACAAIAAgACAAIAAgACAAIAAgACAAIAAgACAAMwAsACAAVgBTAFQAQQBDAEsAKABGAGwAbwB3ADEALAAgAEYAbABvAHcAMgAsACAARgBsAG8AdwAzACkALAAgAFwAbgAgACAAIAAgACAAIAAgACAAIAAgACAAIAAgACAAIAAgACAAIAAgACAAIAAgACAAIAAgACAAIAAgADQAL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UgBlAHMAdQBsAHQALAAgACAAIAAgACAAIAAgACAAIABSAEUARABVAEMARQAoACAAMAAsACAAUwBFAFEAVQBFAE4AQwBFACgAIABDAE8ATABVAE0ATgBTACgAIABGAGwAbwB3ADEAKQApACwAXABuACAAIAAgACAAIAAgACAAIAAgACAAIAAgACAAIAAgACAAIAAgACAAIAAgACAAIAAgACAAIAAgACAATABBAE0AQgBEAEEAKAAgAEEAYwBjACwAIABDAG8AbAAsAFwAbgAgACAAIAAgACAAIAAgACAAIAAgACAAIAAgACAAIAAgACAAIAAgACAAIAAgACAAIAAgACAAIAAgACAAIAAgACAATABFAFQAKABcAG4AIAAgACAAIAAgACAAIAAgACAAIAAgACAAIAAgACAAIAAgACAAIAAgACAAIAAgACAAIAAgACAAIAAgACAAIAAgACAAIAAgACAATwBwAGUAbgBpAG4AZwAsACAAIAAgACAAIAAgACAAIABJAEYAKABDAG8AbAA9ADEALAAgAE8AcABlAG4AaQBuAGcALAAgAFQAQQBLAEUAKAAgAEEAYwBjACwAIAAtADEALAAgAC0AMQApACkALAAgAFwAbgAgACAAIAAgACAAIAAgACAAIAAgACAAIAAgACAAIAAgACAAIAAgACAAIAAgACAAIAAgACAAIAAgACAAIAAgACAAIAAgACAAIABSAGUAdgBlAHIAcwBhAGwALAAgACAAIAAgACAAIAAgAC0ASQBOAEQARQBYACgAIABSAGUAdgBlAHIAcwBhAGwARgBsAGEAZwBzACwAIAAxACwAIABDAG8AbAApACAAKgAgAE8AcABlAG4AaQBuAGcALAAgAFwAbgAgACAAIAAgACAAIAAgACAAIAAgACAAIAAgACAAIAAgACAAIAAgACAAIAAgACAAIAAgACAAIAAgACAAIAAgACAAIAAgACAAIABBAHIAcgBhAHkAQwBvAGwAdQBtAG4ALAAgACAAIAAgAEMASABPAE8AUwBFAEMATwBMAFMAKAAgAFAAZQByAGkAbwBkAEEAcgByAGEAeQAsACAAQwBvAGwAKQAsAFwAbgAgACAAIAAgACAAIAAgACAAIAAgACAAIAAgACAAIAAgACAAIAAgACAAIAAgACAAIAAgACAAIAAgACAAIAAgACAAIAAgACAAIABTAHQAYQBjAGsALAAgACAAIAAgACAAIAAgACAAIAAgAFYAUwBUAEEAQwBLACgAIABcAG4AIAAgACAAIAAgACAAIAAgACAAIAAgACAAIAAgACAAIAAgACAAIAAgACAAIAAgACAAIAAgACAAIAAgACAAIAAgACAAIAAgACAAIAAgACAAIAAgACAAIAAgACAAIAAgACAAIAAgACAAIAAgACAAIAAgAE8AcABlAG4AaQBuAGcALAAgAFwAbgAgACAAIAAgACAAIAAgACAAIAAgACAAIAAgACAAIAAgACAAIAAgACAAIAAgACAAIAAgACAAIAAgACAAIAAgACAAIAAgACAAIAAgACAAIAAgACAAIAAgACAAIAAgACAAIAAgACAAIAAgACAAIAAgACAAUgBFAHYAZQByAHMAYQBsACwAIABcAG4AIAAgACAAIAAgACAAIAAgACAAIAAgACAAIAAgACAAIAAgACAAIAAgACAAIAAgACAAIAAgACAAIAAgACAAIAAgACAAIAAgACAAIAAgACAAIAAgACAAIAAgACAAIAAgACAAIAAgACAAIAAgACAAIAAgAEEAcgByAGEAeQBDAG8AbAB1AG0AbgAsACAAXABuACAAIAAgACAAIAAgACAAIAAgACAAIAAgACAAIAAgACAAIAAgACAAIAAgACAAIAAgACAAIAAgACAAIAAgACAAIAAgACAAIAAgACAAIAAgACAAIAAgACAAIAAgACAAIAAgACAAIAAgACAAIAAgACAAIABTAFUATQAoAE8AcABlAG4AaQBuAGcALAAgAFIAZQB2AGUAcgBzAGEAbAAsACAAQQByAHIAYQB5AEMAbwBsAHUAbQBuACkAKQAsAFwAbgAgACAAIAAgACAAIAAgACAAIAAgACAAIAAgACAAIAAgACAAIAAgACAAIAAgACAAIAAgACAAIAAgACAAIAAgACAAIAAgACAAIABSAGUAcwB1AGwAdAAsACAAIAAgACAAIAAgACAAIAAgAEkARgAoAEMAbwBsACAAPQAgADEALAAgAFMAdABhAGMAawAsACAASABTAFQAQQBDAEsAKAAgAEEAYwBjACwAIABTAHQAYQBjAGs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uAHQATwBuAEkAbgB0ALsDXAB0AFwAbgAgACAAIAAgAEQARQBTAEMAUgBJAFAAVABJAE8ATgA6ACoALwAgAC8AKgAqAEMAYQBsAGMAdQBsAGEAdABlACAASQBuAHQAZQByAGUAcwB0ACAAbwBuACAASQBuAHQAZQByAGUAcwB0AC4AIABVAHMAZQAgAHQAbwAgAGQAZQB0AGUAcgBtAGkAbgBlACAAYQBtAG8AdQBuAHQAIABuAGUAZQBkAGUAZAAgAHQAbwAgAGMAbwB2AGUAcgAgAGQAZQBiAHQAIABwAGwAdQBzACAAaQBuAHQAZQByAGUAcwB0ACAAbwBuACAAZABlAGIAdAAqAC8AXABuAC8AKgAgACAATgBPAFQARQA6ACAAIAAgACAAIAAgACAAIAAgACAAIABNAGEAdABoACAAcwBvAHUAcgBjAGUAIABmAHIAbwBtACAARABpAGEAcgBtAHUAaQBkACAARQBhAHIAbAB5ACcAcwAgAHAAbwBzAHQAOgAgAGgAdAB0AHAAcwA6AC8ALwB3AHcAdwAuAHkAbwB1AHQAdQBiAGUALgBjAG8AbQAvAHcAYQB0AGMAaAA/AHYAPQBrADUAcgBHAF8ATQB2AEkAVwBXAHMAJgB0AD0ANwA4ADcAcw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yAC4ANgAzACAAIAAgACAAIAAgACAAIAAgACAAkiE9AG4AYQBiAGwAYQAuAGYALgBJAG4AdABPAG4ASQBuAHQAuwMoACAAMQAwADAAMAAsACAANQA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FIAYQB0AGUAKQBcAG4AIAAgACAAIAAgACAAIAAgACAAIAAgACAAIAAgACAAIAAgACAAIAAgACAAIAAgACAAKQAsAFwAbgAgACAAIAAgAC8ALwAgACAAUAByAG8AYwBlAGQAdQByAGUAXABuACAAIAAgACAAIAAgACAAIABSAGUAcwB1AGwAdAAsACAAIAAgACAAIAAgACAAIAAgAFAAcgBpAG4AYwBpAHAAYQBsACAALwAoADEALQBSAGEAdABlACkAIAAtACAAUAByAGkAbgBjAGkAcABhAGw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FIAUgC7A1wAdABcAG4AIAAgACAAIABEAEUAUwBDAFIASQBQAFQASQBPAE4AOgAqAC8AIAAvACoAKgBDAGEAbABjAHUAbABhAHQAZQBzACAASQBSAFIALAAgAGMAbwByAHIAZQBjAHQAaQBuAGcAIABmAG8AcgAgAHcAaABlAG4AIAB0AGgAZQAgAGYAaQByAHMAdAAgAGkAbgB2AGUAcwB0AG0AZQBuAHQAIABpAHMAIABuAG8AdAAgAGkAbgAgAHQAaABlACAAZgBpAHIAcwB0ACAAcABlAHIAaQBvAGQAIAAqAC8AXABuAEkAUgBSALsDIAA9ACAATABBAE0AQgBEAEEAKABcAG4AIAAgACAAIABbAFYAYQBsAHUAZQBzAF0ALABcAG4AIAAgACAAIABbAEQAYQB0AGUAcw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SAFIAuwMoACAAVgBhAGwAdQBlAHMALAAgAEQAYQB0AGUAcwApALYAXAAiACAAJgAgAFwAbgAgACAAIAAgACAAIAAgACAAIAAgACAAIAAgACAAIAAgACAAIAAgACAAIAAgACAAIAAgACAAIAAgAFwAIgBEAEUAUwBDAFIASQBQAFQASQBPAE4AOgAgACAAIACSIUMAYQBsAGMAdQBsAGEAdABlAHMAIABJAFIAUgAsACAAYwBvAHIAcgBlAGMAdABpAG4AZwAgAGYAbwByACAAdwBoAGUAbgAgAHQAaABlACAAZgBpAHIAcwB0ACAAaQBuAHYAZQBzAHQAbQBlAG4AdAAgAGkAcwAgAG4AbwB0ACAAaQBuACAAdABoAGUAIABmAGkAcgBzAHQAIABwAGUAcgBpAG8AZAC2AFwAIgAgACYAIABcAG4AIAAgACAAIA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GkAbgB2AGUAcwB0AG0AZQBuAHQAcwAgACgAbgBlAGcAYQB0AGkAdgBlACkAIABhAG4AZAAgAGQAaQBzAHQAcgBpAGIAdQB0AGkAbwBuAHMAIAAoAHAAbwBzAGkAdABpAHYAZQApALYAXAAiACAAJgAgAFwAbgAgACAAIAAgACAAIAAgACAAIAAgACAAIAAgACAAIAAgACAAIAAgACAAIAAgACAAIAAgACAAIAAgACAAIAAgACAAIAAgACAAIAAgACAAIAAgACAAIAAgAFwAIgCSIVQAaABlACAAZgBpAHIAcwB0ACAAZQBuAHQAcgB5ACwAIAB3AGgAZQB0AGgAZQByACAAMAAgAG8AcgAgAGEAbgAgAGEAbQBvAHUAbgB0ACwAIABtAHUAcwB0ACAAYgBlACAAZgBvAHIAIAB0AGgAZQAgAGYAaQByAHMAdAAgAHAAZQByAGkAbwBkACAAaQBuACAAdABoAGUAIAB0AGkAbQBlAGwAaQBuAGUAtgBcACIAIAAmACAAXABuACAAIAAgACAAIAAgACAAIAAgACAAIAAgACAAIAAgACAAIAAgACAAIAAgACAAIAAgACAAIAAgACAAIAAgACAAIAAgACAAIAAgACAAIAAgACAAIAAgACAAXAAiAJIhYQBuAGQAIABzAHUAYgBzAGUAcQB1AGUAbgB0ACAAZQBuAHQAcgBpAGUAcwAgAG0AdQBzAHQAIABjAG8AcgByAGUAcwBwAG8AbgBkACAAdABvACAAcABlAHIAaQBvAGQAcwAgAGkAbgAgAHQAaABlACAAdABpAG0AZQBsAGkAbgBlADsAIABoAG8AdwBlAHYAZQByACwAtgBcACIAIAAmACAAXABuACAAIAAgACAAIAAgACAAIAAgACAAIAAgACAAIAAgACAAIAAgACAAIAAgACAAIAAgACAAIAAgACAAIAAgACAAIAAgACAAIAAgACAAIAAgACAAIAAgACAAXAAiAJIhdABoAGUAIAB0AGkAbQBlAGwAaQBuAGUAIABtAGEAeQAgAGUAeAB0AGUAbgBkACAAYgBlAHkAbwBuAGQAIAB0AGgAZQAgAGUAbgBkACAAbwBmACAAdgBhAGwAdQBlAHMALgC2AFwAIgAgACYAIABcAG4AIAAgACAAIAAgACAAIAAgACAAIAAgACAAIAAgACAAIAAgACAAIAAgACAAIAAgACAAIAAgACAAIABcACIARABhAHQAZQBzACAAIAAgACAAIAAgACAAIAAgACAAkiEoAFIAZQBxAHUAaQByAGUAZAApACAAQQAgAHQAaQBtAGUAbABpAG4AZQAgAGYAbwByACAAdwBoAGUAbgAgAGUAYQBjAGgAIABpAG4AdgBlAHMAdABtAGUAbgB0ACAAaQBzACAAbQBhAGQAZQC2AFwAIgAgACYAIA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EQAYQB0AGUAcwAgACAAIAAgACAAIAAgACAAIAAgAJIhPQBFAEQAQQBUAEUAKABcACIAXAAiADEALwAxAC8AMgAwADIANQBcACIAXAAiACwAIABTAEUAUQBVAEUATgBDAEUAKAAsADIANAAsACAAMAApACkAtgBcACIAIAAmAFwAbgAgACAAIAAgACAAIAAgACAAIAAgACAAIAAgACAAIAAgACAAIAAgACAAIAAgACAAIAAgACAAIAAgAFwAIgBWAGEAbAB1AGUAcwAgACAAIAAgACAAIAAgACAAIACSIT0AewAwACwAMAAsAC0AMQA1ADAALAAwACwALQAxADAAMAAsADEAMAAsADIAMAAsADMAMAAsADQAMAAsADUAMAAsADYAMAAsADcAMAB9ALYAXAAiACAAJgAgAFwAbgAgACAAIAAgACAAIAAgACAAIAAgACAAIAAgACAAIAAgACAAIAAgACAAIAAgACAAIAAgACAAIAAgAFwAIgCSIbYAXAAiACAAJgBcAG4AIAAgACAAIAAgACAAIAAgACAAIAAgACAAIAAgACAAIAAgACAAIAAgACAAIAAgACAAIAAgACAAIABcACIAUgBlAHMAdQBsAHQAIAAgACAAIAAgACAAIAAgACAAkiFGAG8AcgBtAHUAbABhALYAXAAiACAAJgBcAG4AIAAgACAAIAAgACAAIAAgACAAIAAgACAAIAAgACAAIAAgACAAIAAgACAAIAAgACAAIAAgACAAIABcACIAMgA0ACUAIAAgACAAIAAgACAAIAAgACAAIAAgACAAkiE9AG4AYQBiAGwAYQAuAGYALgBJAFIAUgC7AygAIABWAGEAbAB1AGUAcwAsACAARABhAHQAZQBz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FwAbgAgACAAIAAgACAAIAAgACAAIAAgACAAIAAgACAAIAAgACAAIAAgACAAIAAgACAAIAApACwAXABuACAAIAAgACAALwAvACAAIABTAGUAdAAgAEQAZQBmAGEAdQBsAHQAcwBcAG4AIAAgACAAIAAgACAAIAAgAFYAYQBsAHUAZQBzACwAIAAgACAAIAAgACAAIAAgACAARQBYAFAAQQBOAEQAKABWAEEATABVAEUAUwAsACAAMQAsACAAQwBPAFUATgBUAEEAKABEAGEAdABlAHMAKQAsACAAMAApACwAXABuACAAIAAgACAALwAvACAAIABQAHIAbwBjAGUAZAB1AHIAZQBcAG4AIAAgACAAIAAgACAAIAAgAEYAaQBsAHQAZQByAEIAeQAsACAAIAAgACAAIAAgACAAVgBhAGwAdQBlAHMAIAA8AD4AIAAwACwAXABuACAAIAAgACAAIAAgACAAIABGAGkAbAB0AGUAcgBlAGQAVgBhAGwAdQBlAHMALAAgAEYASQBMAFQARQBSACgAIABWAGEAbAB1AGUAcwAsACAARgBpAGwAdABlAHIAQgB5ACkALAAgAFwAbgAgACAAIAAgACAAIAAgACAARgBpAGwAdABlAHIAZQBkAEQAYQB0AGUAcwAsACAAIABGAEkATABUAEUAUgAoACAARABhAHQAZQBzACwAIABGAGkAbAB0AGUAcgBCAHkAKQAsACAAXABuACAAIAAgACAAIAAgACAAIABSAGUAcwB1AGwAdAAsACAAIAAgACAAIAAgACAAIAAgAFgASQBSAFIAKAAgAEYAaQBsAHQAZQByAGUAZABWAGEAbAB1AGUAcwAsACAARgBpAGwAdABlAHIAZQBkAEQAYQB0AGUAcwApACwAI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QBvAHYAZQBtAGUAbgB0ALsDXABuACAAIAAgACAARABFAFMAQwBSAEkAUABUAEkATwBOADoAKgAvAC8AKgAqAEMAcgBlAGEAdABlACAAYQAgAHIAbwB3ACAAbwBmACAAZABpAGYAZgBlAHIAZQBuAGMAZQBzACAAZgByAG8AbQAgAGMAbwBsAHUAbQBuACAAdABvACAAYwBvAGwAdQBtAG4AKgAvAFwAbgBNAG8AdgBlAG0AZQBuAHQAuwMgAD0AIABMAEEATQBCAEQAQQAoAFwAbgAvAC8AIAAgAFAAYQByAGEAbQBlAHQAZQByACAARABlAGMAbABhAHIAYQB0AGkAbwBuAHMAXABuACAAIAAgACAAWwBCAGUAZwBpAG4AbgBpAG4AZwBWAGEAbAB1AGUAcwBdACwAXABuACAAIAAgACAAWwBWAGEAbAB1AGUAcwBdACwAIAAgACAAIABcAG4ALwAvACAAIABIAGUAbABwAFwAbgAgACAAIAAgAEwARQBUACgASABlAGwAcAAsACAAIAAgACAAIAAgACAAVABSAEkATQAoAFQARQBYAFQAUwBQAEwASQBUACgAIABcAG4AIAAgACAAIAAgACAAIAAgACAAIAAgACAAIAAgACAAIAAgACAAIAAgACAAIAAgACAAIAAgACAAIABcACIARgBVAE4AQwBUAEkATwBOADoAIAAgACAAIAAgACAAkiFNAG8AdgBlAG0AZQBuAHQAuwMoACAAWwBCAGUAZwBpAG4AbgBpAG4AZwBWAGEAbAB1AGUAcw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C2AFwAIgAgACYAIABcAG4AIAAgACAAIAAgACAAIAAgACAAIAAgACAAIAAgACAAIAAgACAAIAAgACAAIAAgACAAIAAgACAAIABcACIAVgBhAGwAdQBlAHMAIAAgACAAIAAgACAAIAAgACAAkiEoAFIAZQBxAHUAaQByAGUAZAApACAAQQAgAHIAbwB3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wADAALAAxADAALAAyADAALAAtADMAMAAgACAAkiE9AG4AYQBiAGwAYQAuAGYALgBNAG8AdgBlAG0AZQBuAHQAuwMoACwAewAxADAAMAAsADEAMQAwACwAMQAzADAALAAxADAAMAB9ACwAIAA0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gBhAGwAdQBlAHMAKQAsAFwAbgAgACAAIAAgAC8ALwAgACAAUwBlAHQAIABEAGUAZgBhAHUAbAB0AHMAXABuACAAIAAgACAAIAAgACAAIABCAGUAZwBpAG4AbgBpAG4AZwBWAGEAbAB1AGUAcwAsACAASQBGACgATwBSACgASQBTAE8ATQBJAFQAVABFAEQAKABCAGUAZwBpAG4AbgBpAG4AZwBWAGEAbAB1AGUAcwApACwAIABCAGUAZwBpAG4AbgBpAG4AZwBWAGEAbAB1AGUAcwA9AFwAIgBcACIAKQAsACAAMAAsACAAQgBlAGcAaQBuAG4AaQBuAGcAVgBhAGwAdQBlAHMAKQAsAFwAbgAgACAAIAAgAC8ALwAgACAAUAByAG8AYwBlAGQAdQByAGUAXABuACAAIAAgACAAIAAgACAAIABSAG8AdwBzACwAIAAgACAAIAAgACAAIAAgACAAIAAgAFIATwBXAFMAKAAgAFYAYQBsAHUAZQBzACkALABcAG4AIAAgACAAIAAgACAAIAAgAEMAbwBsAHMALAAgACAAIAAgACAAIAAgACAAIAAgACAAQwBvAGwAdQBtAG4AcwAoACAAVgBhAGwAdQBlAHMAKQAsAFwAbgAgACAAIAAgACAAIAAgACAAUwBlAHEALAAgACAAIAAgACAAIAAgACAAIAAgACAAIABTAEUAUQBVAEUATgBDAEUAKAAsACAAQwBvAGwAcwApACwAXABuACAAIAAgACAAIAAgACAAIABSAGUAcwB1AGwAdAAsACAAIAAgACAAIAAgACAAIAAgAFIARQBEAFUAQwBFACgAMAAsACAAUwBFAFEAVQBFAE4AQwBFACgAIABSAG8AdwBzACkALAAgAFwAbgAgACAAIAAgACAAIAAgACAAIAAgACAAIAAgACAAIAAgACAAIAAgACAAIAAgACAAIAAgACAAIAAgAEwAQQBNAEIARABBACgAIABBAGMAYwAsACAAUgAsACAAXABuACAAIAAgACAAIAAgACAAIAAgACAAIAAgACAAIAAgACAAIAAgACAAIAAgACAAIAAgACAAIAAgACAAIAAgACAAIABMAEUAVAAoAFwAbgAgACAAIAAgACAAIAAgACAAIAAgACAAIAAgACAAIAAgACAAIAAgACAAIAAgACAAIAAgACAAIAAgACAAIAAgACAAIAAgACAAIABCAGUAZwBpAG4ALAAgACAAIAAgACAAIABJAGYAKAAgAFIATwBXAFMAKABCAGUAZwBpAG4AbgBpAG4AZwBWAGEAbAB1AGUAcwApACAAPQAgADEALAAgAEIAZQBnAGkAbgBuAGkAbgBnAFYAYQBsAHUAZQBzACwAIABJAE4ARABFAFgAKAAgAEIAZQBnAGkAbgBuAGkAbgBnAFYAYQBsAHUAZQBzACwAIABSACkAKQAsAFwAbgAgACAAIAAgACAAIAAgACAAIAAgACAAIAAgACAAIAAgACAAIAAgACAAIAAgACAAIAAgACAAIAAgACAAIAAgACAAIAAgACAAIABSAG8AdwAsACAAIAAgACAAIAAgACAAIABDAEgATwBPAFMARQBSAE8AVwBTACgAIABWAGEAbAB1AGUAcwAsACAAUgApACwAIABcAG4AIAAgACAAIAAgACAAIAAgACAAIAAgACAAIAAgACAAIAAgACAAIAAgACAAIAAgACAAIAAgACAAIAAgACAAIAAgACAAIAAgACAATgBlAHcAUgBvAHcALAAgACAAIAAgACAAUwBDAEEATgAoACAAQgBlAGcAaQBuACwAIABTAGUAcQAsACAAXABuACAAIAAgACAAIAAgACAAIAAgACAAIAAgACAAIAAgACAAIAAgACAAIAAgACAAIAAgACAAIAAgACAAIAAgACAAIAAgACAAIAAgACAAIAAgACAAIAAgACAAIAAgACAAIAAgACAAIAAgACAATABBAE0AQgBEAEEAKAAgAEEALAAgAEMALABcAG4AIAAgACAAIAAgACAAIAAgACAAIAAgACAAIAAgACAAIAAgACAAIAAgACAAIAAgACAAIAAgACAAIAAgACAAIAAgACAAIAAgACAAIAAgACAAIAAgACAAIAAgACAAIAAgACAAIAAgACAAIAAgACAAIAAgAEkATgBEAEUAWAAoACAAUgBvAHcALAAgAEMAIAApACAALQAgAEkARgAoACAAQwAgAD0AIAAxACwAIABBACwAIABJAE4ARABFAFgAKAAgAFIAbwB3ACwAIABDACAALQAgADEAKQ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LABcAG4AIAAgACAAIAAgACAAIAAgACAAIAAgACAAIAAgACAAIAAgACAAIAAgACAAIAAgACAAIAAgACAAIAAgACAAIAAgACAAIAAgACAAUgBlAHMAdQBsAHQALAAgACAAIAAgACAASQBGACgAIABSACAAPQAgADEALAAgAE4AZQB3AFIAbwB3ACwAIABWAFMAVABBAEMASwAoAEEAYwBjACwAIABOAGUAdwBSAG8Ad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0AMQAwADAALAAtADEAMQAwACwALQAxADMAMAAgAJIhPQBuAGEAYgBsAGEALgBm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vAHQAYQBsAHMAIAAgACAAIAAgACAAIAAgACAAkiEoAFIAZQBxAHUAaQByAGUAZAApACAAQQAgAHIAbwB3ACAAbwByACAAYwBvAGwAdQBtAG4AIABvAGYAIAB0AG8AdABhAGwAcwAgAGYAcgBvAG0AIAB3AGgAaQBjAGgAIAB0AG8AIAByAHUAbgAgAGMAdQBtAHUAbABhAHQAaQB2AGUAIAB0AG8AdABhAGwAcwC2AFwAIgAgACYAIABcAG4AIAAgACAAIAAgACAAIAAgACAAIAAgACAAIAAgACAAIAAgACAAIAAgACAAIAAgACAAIAAgACAAIABcACIATwBwAGUAbgBpAG4AZwBCAGEAbABhAG4AYwBlACAAkiEoAE8AcAB0AGkAbwBuAGEAbAApACAAQQAgAHMAdABhAHIAdABpAG4AZwAgAGIAYQBsAGEAbgBjAGUALgAgAFQAaABpAHMAIABkAGUAZgBhAHUAbAB0AHMAIAB0AG8AIAAw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wAMwAsADYAIAAgACAAIAAgACAAIAAgACAAIACSIT0AbgBhAGIAbABhAC4AZ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sADkALAAxADIAIAAgACAAIAAgAJIhPQBuAGEAYgBsAGEALgBm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BAFYARQBSAEEARwBF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CwANQAsADUALAA2ACwANgAsADcAIAAgACAAIACSIT0AbgBhAGIAbABhAC4AZ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BAFg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kAbgBu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sADMALAAzACwAMwAsADIALAAyACAAIAAgACAAkiE9AG4AYQBiAGwAYQAuAGYALgBSAG8AbABsAGkAbgBnAE0AYQB4ALsDKAB7ADUALAAzACwANAAsADYALAAy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SQBO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UwB1AG0AuwNcAG4AIAAgACAAIABEAEUAUwBDAFIASQBQAFQASQBPAE4AOgAqAC8ALwAqACoAQwByAGUAYQB0AGUAcwAgAHQAbwB0AGEAbABzACAAZgBvAHIAIABwAHIAZQBjAGUAZABpAG4AZwAgAHYAYQBsAHUAZQBzACAAbwBmACAAYQAgAHMAZQB0ACAAcwBpAHoAZQAgAG0AbwB2AGkAbgBnACAAZgByAG8AbQAgAGIAZQBnAGkAbgBuAGkAbgBnACAAdABvACAAZQBuAGQAIABvAHYAZQByACAAYQAgAHIAbwB3ACAAbwBmACAAdgBhAGwAdQBlAHMALgAqAC8AXABuAFIAbwBsAGwAaQBuAGcAUwB1AG0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UwB1AG0AuwMoACAAVgBhAGwAdQBlAHMALAAgAFMAaQB6AGUAKQC2AFwAIgAgACYAXABuACAAIAAgACAAIAAgACAAIAAgACAAIAAgACAAIAAgACAAIAAgACAAIAAgACAAIAAgACAAIAAgACAAXAAiAEQARQBTAEMAUgBJAFAAVABJAE8ATgA6ACAAIAAgAJIhQwByAGUAYQB0AGUAcwAgAHQAbwB0AGEAbA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dABvAHQAYQBsAGwAZQBkAC4AtgBcACIAIAAmACAAXABuACAAIAAgACAAIAAgACAAIAAgACAAIAAgACAAIAAgACAAIAAgACAAIAAgACAAIAAgACAAIAAgACAAXAAiAFMAaQB6AGUAIAAgACAAIAAgACAAIAAgACAAIAAgAJIhKABSAGUAcQB1AGkAcgBlAGQAKQAgAFQAaABlACAAbgB1AG0AYgBlAHIAIABvAGYAIAB2AGEAbAB1AGUAcwAgAHQAbwAgAHQAbwB0AGEAbA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sADMALAA2ACwAOQAsADEAMgAgACAAIAAgACAAkiE9AG4AYQBiAGwAYQAuAGYALgBSAG8AbABsAGkAbgBnAE0AaQBu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EwAVQBNAE4AUw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UwBVAE0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kiF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AAIAAgACAAIAAgACAAIAAgACAAIAAgACAAIAAgAJIhPQBuAGEAYgBsAGEALgBmAC4AUwB1AG0AQwBvAG4AdABhAGkAbgBzALsDKAAgAEEAcgByAGEAeQAsACAATABhAGIAZQBsAHMALAAgAFwAIgBcACIAQwBBAFAARQBY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VABvAEYAaQBsAHQAZQByACkALAAgAFwAbgAgACAAIAAgACAAIAAgACAAIAAgACAAIAAgACAAIAAgACAAIAAgACAAIAAgACAAIAAgACAAIAAgAEkAUwBPAE0ASQBUAFQARQBEACgAIABWAGEAbAB1AGUATABhAGIAZQBsAHMAKQAsACAAXABuACAAIAAgACAAIAAgACAAIAAgACAAIAAgACAAIAAgACAAIAAgACAAIAAgACAAIAAgACAAIAAgACAASQBTAE8ATQBJAFQAVABFAEQAKAAgAEYAaQBsAHQAZQByAEIAeQBUAGUAeAB0ACk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AAIAAgACAATABhAGIAZQBsAHMALAAgACAAIAAgACAAIAAgACAAIABDAEgATwBPAFMARQBDAE8ATABTACgAVgBhAGwAdQBlAEwAYQBiAGUAbABzACwAIAAx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MAGEAYgBlAGwAcwApACwAXABuACAAIAAgACAAIAAgACAAIAAgACAAIAAgACAAIAAgACAAIAAgACAAIAAgACAAIAAgACAAIAAgACAARgBJAE4ARAAoACAARgBpAGwAdABlAHIAQgB5AFQAZQB4AHQALAAgAEwAYQBiAGUAbABzACkAXABuACAAIAAgACAAIAAgACAAIAAgACAAIAAgACAAIAAgACAAIAAgACAAIAAgACAAIAAgACkALABcAG4AIAAgACAAIAAgACAAIAAgAEYAaQBsAHQAZQByAGUAZABSAG8AdwBzACwAIAAgACAARgBJAEwAVABFAFIAKAAgAFYAYQBsAHUAZQBzAFQAbwBGAGkAbAB0AGUAcgAsACAASQBTAE4AVQBNAEIARQBSACgAIABNAGEAdABjAGgAZQBzACkAKQAsAFwAbgAgACAAIAAgACAAIAAgACAAUgBlAHMAdQBsAHQALAAgACAAIAAgACAAIAAgACAAIABCAFkAQwBPAEwAKABGAGkAbAB0AGUAcgBlAGQAUgBvAHcAcwAsACAATABBAE0AQgBEAEEAKAAgAEMAbwBsACwAIABTAFUATQAoAEMAbwBsACkAKQApACwAXABuACAAIAAgACAALwAvACAAIABSAGUAdAB1AHIAbgAgAFIAZQBzAHUAbAB0ACAAbwByACAAaABlAGwAcABcAG4AIAAgACAAIAAgACAAIAAgAEMASABPAE8AUwBFACgASABlAGwAcAA/ACAAKwAgADEALAAgAFIAZQBzAHUAbAB0ACwAIABIAGUAbABwACkAXABuACAAIAAgACAAKQAgACAAXABuACkAOwBcAG4AXABuAFwAbgAvACoAIAAgAEYAVQBOAEMAVABJAE8ATgAgAE4AQQBNAEUAOgAgACAAUwB1AG0AUABlAHIAaQBvAGQAcwC7A1wAbgAgACAAIAAgAEQARQBTAEMAUgBJAFAAVABJAE8ATgA6ACoALwAvACoAKgBHAHIAbwB1AHAAcwAgAGEAbgBkACAAdABvAHQAYQBsAHMAIABhAGwAbAAgAGMAbwBsAHUAbQBuAHMAIABpAG4AIABhACAAVgBhAGwAdQBlAHMAIABhAHIAcgBhAHkAIABiAHkAIABwAGUAcgBpAG8AZAAgAHIAZQBzAHUAbAB0AGkAbgBnACAAaQBuACAAbwBuAGUAIABjAG8AbAB1AG0AbgAgAGYAbwByACAAZQBhAGMAaAAgAHAAZQByAGkAbwBk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WAEUAUgBTAEkATwBOADoAIAAgACAAIAAgACAAIACSITEAOAAgAEEAdQBnACAAMgAwADIAN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UABBAFIAQQBNAEUAVABFAFIAUwA6AJIhtgBcACIAIAAmACAAXABuACAAIAAgACAAIAAgACAAIAAgACAAIAAgACAAIAAgACAAIAAgACAAIAAgACAAIAAgACAAIAAgACAAXAAiAFYAYQBsAHUAZQBzACAAIAAgACAAIAAgACAAIAAgAJIhKABSAGUAcQB1AGkAcgBlAGQAKQAgAEEAIAB0AHcAbwAgAGQAaQBtAGUAbgBzAGkAbwBuAGEAbAAgAGEAcgByAGEAeQAvAHIAYQBuAGcAZQAgAGMAbwBuAHQAYQBpAG4AaQBuAGcAIAB2AGEAbAB1AGUAcwAgAHQAbwAgAGIAZQAgAHMAdQBtAG0AZQBkACAAdwBoAGUAcgBlAFwAIgAgACYAIABcAG4AIAAgACAAIAAgACAAIAAgACAAIAAgACAAIAAgACAAIAAgACAAIAAgACAAIAAgACAAIAAgACAAIAAgACAAIAAgACAAIAAgACAAIAAgACAAIAAgACAAIAAgAFwAIgBlAGEAYwBoACAAYwBvAGwAdQBtAG4AIABpAHMAIABmAG8AcgAgAGEAIABzAHAAZQBjAGkAZgBpAGMAIABkAGEAeQC2AFwAIgAgACYAIABcAG4AIAAgACAAIAAgACAAIAAgACAAIAAgACAAIAAgACAAIAAgACAAIAAgACAAIAAgACAAIAAgACAAIABcACIARABhAHQAZQBzACAAIAAgACAAIAAgACAAIAAgACAAkiEoAFIAZQBxAHUAaQByAGUAZAApACAAQQAgAHIAbwB3ACAAbwBmACAAZABhAHQAZQBzACAAcAByAG8AdgBpAGQAaQBuAGcAIAB0AGgAZQAgAGQAYQB0AGUAIABmAG8AcgAgAGUAYQBjAGgAIABWAGEAbAB1AGUAcwAgAGMAbwBsAHUAbQBuALYAXAAiACAAJgBcAG4AIAAgACAAIAAgACAAIAAgACAAIAAgACAAIAAgACAAIAAgACAAIAAgACAAIAAgACAAIAAgACAAIABcACIAUABlAHIAaQBvAGQAUwB0AGEAcgB0AHMAIAAgACAAkiEoAFIAZQBxAHUAaQByAGUAZAApACAAQQAgAHIAbwB3ACAAbwBmACAAcABlAHIAaQBvAGQAIABzAHQAYQByAHQAIABkAGEAdABlAHMAtgBcACIAIAAm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AAzACwAIAAwADcAIAAgACAAIAAgACAAIAAgACAAkiE9AG4AYQBiAGwAYQAuAGYALgBTAHUAbQBQAGUAcgBpAG8AZABzALsDKAB7ADEALAAyACwAMwAsADQAOwA0ACwAMwAsADIALAAxADsAMQAwACwAMgAwACwAMwAwACwANAAwAH0ALAAgAHsAMQAsADIALAAzACwANAB9ACwAIAB7ADEALAAzAH0AKQC2AFwAIgAgACYAIABcAG4AIAAgACAAIAAgACAAIAAgACAAIAAgACAAIAAgACAAIAAgACAAIAAgACAAIAAgACAAIAAgACAAIABcACIAMAA3ACwAIAAwADMAIAAgACAAIAAgACAAIAAgACAAkiG2AFwAIgAgACYAIABcAG4AIAAgACAAIAAgACAAIAAgACAAIAAgACAAIAAgACAAIAAgACAAIAAgACAAIAAgACAAIAAgACAAIABcACIAMwAwACwAIAA3ADAAIAAgACAAIAAgACAAIAAgACAAkiF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LABcAG4AIAAgACAAIAAgACAAIAAgACAAIAAgACAAIAAgACAAIAAgACAAIAAgACAAIAAgACAAIAAgACAAIABJAFMATwBNAEkAVABUAEUARAAoACAAUABlAHIAaQBvAGQAUwB0AGEAcgB0AHMAKQApACwAXABuACAAIAAgACAALwAvACAAIABQAHIAbwBjAGUAZAB1AHIAZQBcAG4AIAAgACAAIAAgACAAIAAgAFAAcgBkAE4AdQBtACwAIAAgACAAIAAgACAAIAAgACAATQBBAFQAQwBIACgARABhAHQAZQBzACwAIABQAGUAcgBpAG8AZABTAHQAYQByAHQAcwAsACAAMQApACwAXABuACAAIAAgACAAIAAgACAAIABSAGUAcwB1AGwAdAAsACAAIAAgACAAIAAgACAAIAAgAE0AQQBLAEUAQQBSAFIAQQBZACgAXABuACAAIAAgACAAIAAgACAAIAAgACAAIAAgACAAIAAgACAAIAAgACAAIAAgACAAIAAgACAAIAAgACAAUgBPAFcAUwAoAFYAYQBsAHUAZQBzACkALABcAG4AIAAgACAAIAAgACAAIAAgACAAIAAgACAAIAAgACAAIAAgACAAIAAgACAAIAAgACAAIAAgACAAIABDAE8ATABVAE0ATgBTACgAUABlAHIAaQBvAGQAUwB0AGEAcgB0AHMAKQAsAFwAbgAgACAAIAAgACAAIAAgACAAIAAgACAAIAAgACAAIAAgACAAIAAgACAAIAAgACAAIAAgACAAIAAgAEwAQQBNAEIARABBACgAXABuACAAIAAgACAAIAAgACAAIAAgACAAIAAgACAAIAAgACAAIAAgACAAIAAgACAAIAAgACAAIAAgACAAIAAgACAAIABSAG8AdwAsACAAXABuACAAIAAgACAAIAAgACAAIAAgACAAIAAgACAAIAAgACAAIAAgACAAIAAgACAAIAAgACAAIAAgACAAIAAgACAAIABDAG8AbAAsACAAXABuACAAIAAgACAAIAAgACAAIAAgACAAIAAgACAAIAAgACAAIAAgACAAIAAgACAAIAAgACAAIAAgACAAIAAgACAAIABTAFUATQAoAEkATgBEAEUAWAAoAFYAYQBsAHUAZQBzACwAIABSAG8AdwAsACAAKQAgACoAIAAoAEMAbwBsACAAPQAgAFAAcgBkAE4AdQBtACkAKQBcAG4AIAAgACAAIAAgACAAIAAgACAAIAAgACAAIAAgACAAIAAgACAAIAAgACAAIAAgACAAIAAgACAAIAAgACAAIAAgACkAXABuACAAIAAgACAAIAAgACAAIAAgACAAIAAgACAAIAAgACAAIAAgACAAIAAgACAAIAAgACkALAAgACAAIAAgACAAIAAgACAAIAAgACAAIABcAG4AIAAgACAAIAAvAC8AIAAgAFIAZQB0AHUAcgBuACAAUgBlAHMAdQBsAHQAXABuACAAIAAgACAAIAAgACAAIABDAEgATwBPAFMARQAoAEgAZQBsAHAAPwAgACsAIAAxACwAIABSAGUAcwB1AGwAdAAsACAASABlAGwAcAApAFwAbgAgACAAIAAgACkAXABuACkAOwBcAG4AXABuAFwAbgBcAG4AXABuAFwAbgAvAC8AIAAgAEEAbQBvAHIAdABpAHMAYQB0AGkAbwBuACAAUwB1AGkAdABlAFwAbgBcAG4ALwAqACAAIABGAFUATgBDAFQASQBPAE4AIABOAEEATQBFADoAIAAgAEEAbQBvAHIAdABpAHMAZQC7A1wAbgAgACAAIAAgAEQARQBTAEMAUgBJAFAAVABJAE8ATgA6ACoALwAvACoAKgBDAHIAZQBhAHQAZQBzACAAYQAgAGMAbwByAGsAcwBjAHIAZQB3ACAAYQBtAG8AcgB0AGkAcwBhAHQAaQBvAG4AIABzAGMAaABlAGQAdQBsAGUAKgAvAFwAbgBBAG0AbwByAHQAaQBzAGUAuwMgAD0AIABMAEEATQBCAEQAQQAoAFwAbgAvAC8AIAAgAFAAYQByAGEAbQBlAHQAZQByACAARABlAGMAbABhAHIAYQB0AGkAbwBuAHMAXABuACAAIAAgACAAWwBQAHIAaQBuAGMAaQBwAGEAbABzAF0ALAAgAFwAbgAgACAAIAAgAFsAQQBQAFIAcwBdACwAIABcAG4AIAAgACAAIABbAFQAZQByAG0AcwBdACwAIABcAG4AIAAgACAAIABbAFMAdABhAHIAdABEAGEAdABlAHMAXQAsAFwAbgAgACAAIAAgAFsAVABpAG0AZQBsAGkAbgBlAF0ALABcAG4AXABuACAAIAAgACAATABFAFQAKABcAG4AIAAgACAAIAAvAC8AIAAgAEgAZQBsAHAAIAAgACAAIAAgACAAIAAgAFwAbgAgACAAIAAgACAAIAAgACAASABlAGwAcAAsACAAIAAgACAAIAAgACAAVABSAEkATQAoAFQARQBYAFQAUwBQAEwASQBUACgAIABcAG4AIAAgACAAIAAgACAAIAAgACAAIAAgACAAIAAgACAAIAAgACAAIAAgACAAIAAgACAAXAAiAEYAVQBOAEMAVABJAE8ATgA6ACAAIAAgACAAIAAgAJIhQQBtAG8AcgB0AGkAcwBlALsDKAAgAFAAcgBpAG4AYwBpAHAAYQBsAHMALAAgAEEAUABSAHMALAAgAFQAZQByAG0AcwAsACAAUwB0AGEAcgB0AEQAYQB0AGUAcwAsACAAWwBUAGkAbQBlAGwAaQBuAGUAXQApALYAXAAiACAAJgBcAG4AIAAgACAAIAAgACAAIAAgACAAIAAgACAAIAAgACAAIAAgACAAIAAgACAAIAAgACAAXAAiAEQARQBTAEMAUgBJAFAAVABJAE8ATgA6ACAAIAAgAJIhQwByAGUAYQB0AGUAcwAgAGEAbgAgAGEAbQBvAHIAdABpAHMAYQB0AGkAbwBuACAAcwBjAGgAZQBkAHUAbABlACAAYQByAHIAYQB5ACAAZgBvAHIAIABvAG4AZQAgAG8AcgAgAG0AbwByAGUAIABsAG8AYQBuAHMALgC2AFwAIgAgACYAXABuACAAIAAgACAAIAAgACAAIAAgACAAIAAgACAAIAAgACAAIAAgACAAIAAgACAAIAAgACAAIAAgACAAIAAgACAAIAAgACAAIAAgACAAIAAgAFwAIgCSIUkAdAAgAGEAcwBzAHUAbQBlAHMAIABhAGwAbAAgAHAAYQB5AG0AZQBuAHQAcwAgAGEAcgBlACAAbQBhAGQAZQAgAG0AbwBuAHQAaABsAHkALgC2AFwAIgAgACYAXABuACAAIAAgACAAIAAgACAAIAAgACAAIAAgACAAIAAgACAAIAAgACAAIAAgACAAIAAgACAAIAAgACAAIAAgACAAIAAgACAAIAAgACAAIAAgAFwAIgCSIVUAcwBlACAATABhAGIAbABlAEEAbQBvAHIAdABpAHMAZQC7AygAKQAgAHQAbwAgAGEAcABwAGwAeQAgAGwAYQBiAGUAbABzACAAdABvACAAdABoAGkAcwAgAGYAdQBuAGMAdABpAG8AbgAnAHMAIAByAGUAcwB1AGwAdABzADoAtgBcACIAIAAmACAAXABuACAAIAAgACAAIAAgACAAIAAgACAAIAAgACAAIAAgACAAIAAgACAAIAAgACAAIAAgACAAIAAgACAAIAAgACAAIAAgACAAIAAgACAAIAAgAFwAIgCSIVUAcwBlACAAUwB1AG0AQQBtAG8AcgB0AGkAcwBlALsDKAApACAAdABvACAAYQBwAHAAbAB5ACAAdABvAHQAYQBsAHMAIAB0AG8AIAB0AGgAaQBzACAAZgB1AG4AYwB0AGkAbwBuACcAcwAgAHIAZQBzAHUAbAB0AHMAO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kAbgBjAGkAcABhAGwAcwAgACAAIAAgACAAkiEoAFIAZQBxAHUAaQByAGUAZAApACAATABvAGEAbgAvAGQAZQBiAHQAIABhAG0AbwB1AG4AdABzAC4AtgBcACIAIAAmACAAXABuACAAIAAgACAAIAAgACAAIAAgACAAIAAgACAAIAAgACAAIAAgACAAIAAgACAAIAAgAFwAIgBBAFAAUgBzACAAIAAgACAAIAAgACAAIAAgACAAIACSISgAUgBlAHEAdQBpAHIAZQBkACkAIABBAG4AbgB1AGEAbAAgAFAAZQByAGMAZQBuAHQAYQBnAGUAIABSAGEAdABlAHMAIABmAG8AcgAgAGkAbgB0AGUAcgBlAHMAdAAuALYAXAAiACAAJgAgAFwAbgAgACAAIAAgACAAIAAgACAAIAAgACAAIAAgACAAIAAgACAAIAAgACAAIAAgACAAIABcACIAVABlAHIAbQBzACAAIAAgACAAIAAgACAAIAAgACAAkiEoAFIAZQBxAHUAaQByAGUAZAApACAATgB1AG0AYgBlAHIAIABvAGYAIABtAG8AbgB0AGgAcwAgAGYAbwByACAAbABvAGEAbgBzAC8AZABlAGIAdABzAC4AtgBcACIAIAAmACAAXABuACAAIAAgACAAIAAgACAAIAAgACAAIAAgACAAIAAgACAAIAAgACAAIAAgACAAIAAgAFwAIgBTAHQAYQByAHQARABhAHQAZQBzACAAIAAgACAAIACSISgAUgBlAHEAdQBpAHIAZQBkACkAIABEAGEAdABlAHMAIABkAGUAYgB0AHMAIABhAHIAZQAgAGkAcwBzAHUAZQBkAC4AtgBcACIAIAAmACAAXABuACAAIAAgACAAIAAgACAAIAAgACAAIAAgACAAIAAgACAAIAAgACAAIAAgACAAIAAgAFwAIgBUAGkAbQBlAGwAaQBuAGUAIAAgACAAIAAgACAAIACSISgATwBwAHQAaQBvAG4AYQBsACkAIABBAG4AIABhAHIAcgBhAHkAIABvAGYAIABkAGEAdABlAHMALgAgAEkAZgAgAG8AbQBpAHQAdABlAGQALAAgAGEAIAByAG8AdwAgAG8AZgAgAG0AbwBuAHQAaABzACAAcwB0AGEAcgB0AGkAbgBnACAAbwBuACAAcwB0AGEAcgB0ACAAZABhAHQAZQAgAHcAaQBsAGwAIABiAGUAIABhAGQAZABlAGQAtgBcACIAIAAmACAAXABuACAAIAAgACAAIAAgACAAIAAgACAAIAAgACAAIAAgACAAIAAgACAAIAAgACAAIAAgAFwAIgBFAFgAQQBNAFAATABFAFMAOgCSIbYAXAAiACAAJgAgAFwAbg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XAAiAJIhPQBuAGEAYgBsAGEALgBmAC4AQQBtAG8AcgB0AGkAcwBlALsDKAAxADAAMAAwADAALAAgADUAJQAsACAANAAgACoAIAAxADIALAAgAFwAIgBcACIAMgAwADIANQAtADAAMQ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NAHAAUAAsACAAIAAgACAAIAAgACAAIAAgACAAIAAgACAAIAAgACAAQABSAE8AVQBOAEQAKAAoACAAUwBlAGMAbwBuAGQAUABlAHIAaQBvAGQAIAAtACAARgBpAHIAcwB0AFAAZQByAGkAbwBkACkAIAAvACAAQQBEAHAATQAsACAAMAApACwAXABuACAAIAAgACAAIAAgACAAIABQAHAAWQAsACAAIAAgACAAIAAgACAAIAAgACAAIAAgACAAIAAgACAATQBwAFkAIAAvACAATQBwAFAALABcAG4AXABuACAAIAAgACAALwAvACAAIABSAGUAYwB1AHIAcwBpAHYAZQAgAGYAdQBuAGMAdABpAG8AbgAgACgAZgBuACkAIABkAGUAZgBpAG4AaQB0AGkAbwBuAFwAbgAgACAAIAAgACAAIAAgACAAUgBlAGMAdQByAHMAaQBvAG4ALAAgAFwAbgAgACAAIAAgACAAIAAgACAAIAAgACAAIABMAEEATQBCAEQAQQAoACAAZgBuACwAIABQAHIAaQBuAGMAaQBwAGEAbABzACwAIABBAFAAUgBzACwAIABUAGUAcgBtAHMALAAgAFMAdABhAHIAdABEAGEAdABlAHMALAAgAFQAaQBtAGUAbABpAG4AZQAsACAAQQBzAHMAZQB0ACwAXABuACAAIAAgACAAIAAgACAAIAAgACAAIAAgACAAIAAgACAATABFAFQAKABcAG4AIAAgACAAIAAgACAAIAAgACAAIAAgACAAIAAgACAAIAAvAC8AIAAgAEMAcgBlAGEAdABlACAAaQBuAGQAaQB2AGkAZAB1AGEAbAAgAFYAYQBsAHUAZQBzACAAZgByAG8AbQAgAGEAcgByAGEAeQBcAG4AIAAgACAAIAAgACAAIAAgACAAIAAgACAAIAAgACAAIAAgACAAIAAgAFAAcgBpAG4AYwBpAHAAYQBsACwAIAAgACAAIAAgACAAIAAgACAAIABJAE4ARABFAFgAKAAgAFAAcgBpAG4AYwBpAHAAYQBsAHMALAAgAEEAcwBzAGUAdAApACwAIABcAG4AIAAgACAAIAAgACAAIAAgACAAIAAgACAAIAAgACAAIAAgACAAIAAgAEEAUABSACwAIAAgACAAIAAgACAAIAAgACAAIAAgACAAIAAgACAAIABJAE4ARABFAFgAKAAgAEEAUABSAHMALAAgAEEAcwBzAGUAdAApACwAIABcAG4AIAAgACAAIAAgACAAIAAgACAAIAAgACAAIAAgACAAIAAgACAAIAAgAFQAZQByAG0ALAAgACAAIAAgACAAIAAgACAAIAAgACAAIAAgACAAIABJAE4ARABFAFgAKAAgAFQAZQByAG0AcwAsACAAQQBzAHMAZQB0ACkALAAgACAAXABuACAAIAAgACAAIAAgACAAIAAgACAAIAAgACAAIAAgACAAIAAgACAAIABTAHQAYQByAHQARABhAHQAZQAsACAAIAAgACAAIAAgACAAIAAgACAASQBOAEQARQBYACgAIABTAHQAYQByAHQARABhAHQAZQ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IAAgACAAIABOAGUAdwBCAGwAbwBjAGsALAAgACAAIAAgACAAIAAgACAAIAAgACAAVABpAG0AZQBsAGkAbgBlAFAAbwBzAGkAdABpAG8AbgC7AygAQQBtAG8AcgB0AGkAcwBhAHQAaQBvAG4AUwBjAGgAZQBkACwAIABUAGkAbQBlAGwAaQBuAGUALAAgAE8AZgBmAHMAZQB0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EwAYQBiAGUAbABBAG0AbwByAHQAaQBzAGUAuwMgAD0AIABMAEEATQBCAEQAQQAoAFwAbgAvAC8AIAAgAFAAYQByAGEAbQBlAHQAZQByACAARABlAGMAbABhAHIAYQB0AGkAbwBuAHMAXABuACAAIAAgACAAWwBMAG8AYQBuAE4AYQBtAGUAcwBdACwAIAAgAFwAbgAgACAAIAAgAFsATABvAGEAbgBBAG0AbwB1AG4AdABzAF0ALAAgACAAXABuACAAIAAgACAAWwBMAG8AYQBuAEEAUABSAHMAXQAsACAAIABcAG4AIAAgACAAIABbAEwAbwBhAG4AVABlAHIAbQBzAF0AL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EAbQBvAHIAdABpAHMAZQC7AygATABvAGEAbgBOAGEAbQBlAHMALAAgAFsATABvAGEAbgBBAG0AbwB1AG4AdABzAF0ALAAgAFsATABvAGEAbgBBAFAAUgBzAF0ALAAgAFsATABvAGEAbgBUAGUAcgBtAHMAXQApALYAXAAiACAAJgBcAG4AIAAgACAAIAAgACAAIAAgACAAIAAgACAAIAAgACAAIAAgACAAIAAgACAAIAAgACAAIAAgACAAIABcACIARABFAFMAQwBSAEkAUABUAEkATwBOADoAIAAgACAAkiFDAHIAZQBhAHQAZQAgAHIAbwB3ACAAbABhAGIAZQBsAHMAIABmAG8AcgAgAHQAaABlACAAYQBtAG8AcgB0AGkAcwBhAHQAaQBvAG4AIABzAGMAaABlAGQAdQBsAGUAIABhAHIAcgBhAHkAIABwAHIAbwBkAHUAYwBlAGQAIABiAHk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ABvAGEAbgBOAGEAbQBlAHMAIAAgACAAIAAgAJIhKABSAGUAcQB1AGkAcgBlAGQAKQAgAE4AYQBtAGUAcwAgAG8AcgAgAGQAZQBzAGMAcgBpAHAAdABpAG8AbgBzACAAbwBmACAAZQBhAGMAaAAgAGwAbwBhAG4AIABpAG4AIAB0AGgAZQAgAGEAbQBvAHIAdABpAHMAYQB0AGkAbwBuACAAcwBjAGgAZQBkAHUAbABlACAAcAByAG8AZAB1AGMAZQBkACAAYgB5ACAAQQBtAG8AcgB0AGkAcwBlALsDtgBcACIAIAAmACAAIAAgACAAIAAgACAAIAAgACAAIAAgACAAIAAgACAAIAAgAFwAbgAgACAAIAAgACAAIAAgACAAIAAgACAAIAAgACAAIAAgACAAIAAgACAAIAAgACAAIAAgACAAIAAgAFwAIgBMAG8AYQBuAEEAbQBvAHUAbgB0AHMAIAAgACAAkiEoAE8AcAB0AGkAbwBuAGEAbAApACAAQQBtAG8AdQBuAHQAIABiAG8AcgByAG8AdwBlAGQAtgBcACIAIAAmACAAIAAgACAAIAAgACAAIAAgACAAIAAgACAAIAAgACAAIAAgAFwAbgAgACAAIAAgACAAIAAgACAAIAAgACAAIAAgACAAIAAgACAAIAAgACAAIAAgACAAIAAgACAAIAAgAFwAIgBMAG8AYQBuAEEAUABSAHMAIAAgACAAIAAgACAAkiEoAE8AcAB0AGkAbwBuAGEAbAApACAAQQBuAG4AdQBhAGwAIABQAGUAcgBjAGUAbgB0AGEAZwBlACAASQBuAHQAZQByAGUAcwB0ACAAUgBhAHQAZQC2AFwAIgAgACYAIAAgACAAIAAgACAAIAAgACAAIAAgACAAIAAgACAAIAAgACAAXABuACAAIAAgACAAIAAgACAAIAAgACAAIAAgACAAIAAgACAAIAAgACAAIAAgACAAIAAgACAAIAAgACAAXAAiAEwAbwBhAG4AVABlAHIAbQBzACAAIAAgACAAIACSISgATwBwAHQAaQBvAG4AYQBsACkAIABOAHUAbQBiAGUAcgAgAG8AZgAgAG0AbwBuAHQAaABzACAAdABvACAAcgBlAHAAYQB5ALYAXAAiACAAJg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BcAG4AIAAgACAAIAAgACAAIAAgAFIAZQBzAHUAbAB0ACwAIAAgACAAIAAgACAAIAAgACAAUgBFAEQAVQBDAEUAKAAgAFwAIgBcACIALAAgAFMARQBRAFUARQBOAEMARQAoACAAIABSAE8AVwBTACgAIABMAG8AYQBuAE4AYQBtAGUAcwApACAAKgAgADcAIAAtACAAMQApACwAIABcAG4AIAAgACAAIAAgACAAIAAgACAAIAAgACAAIAAgACAAIAAgACAAIAAgACAAIAAgACAAIAAgACAAIABMAEEATQBCAEQAQQAoAEEAYwBjACwAIABSAG8AdwAsACAAXABuACAAIAAgACAAIAAgACAAIAAgACAAIAAgACAAIAAgACAAIAAgACAAIAAgACAAIAAgACAAIAAgACAAIAAgACAAIABMAEUAVAAoAEkAZAB4ACwAIAAgACAAIAAgACAAIAAgACAAIAAgACAAUQBVAE8AVABJAEUATgBUACgAIABSAG8AdwAgAC0AIAAxACwAIAA3ACkAIAArACAAMQAsAFwAbgAgACAAIAAgACAAIAAgACAAIAAgACAAIAAgACAAIAAgACAAIAAgACAAIAAgACAAIAAgACAAIAAgACAAIAAgACAAIAAgACAAIABMAGkAbgBlACwAIAAgACAAIAAgACAAIAAgACAAIAAgAE0ATwBEACgAIABSAG8AdwAgAC0AIAAxACwAIAA3ACkAIAArACAAMQAsACAAXABuACAAIAAgACAAIAAgACAAIAAgACAAIAAgACAAIAAgACAAIAAgACAAIAAgACAAIAAgACAAIAAgACAAIAAgACAAIAAgACAAIAAgAEwAbwBhAG4ATgBhAG0AZQAsACAAIAAgACAAIAAgACAASQBOAEQARQBYACgAIABMAG8AYQBuAE4AYQBtAGUAcwAsACAASQBkAHgAKQAsACAAXABuACAAIAAgACAAIAAgACAAIAAgACAAIAAgACAAIAAgACAAIAAgACAAIAAgACAAIAAgACAAIAAgACAAIAAgACAAIAAgACAAIAAgAEwAbwBhAG4AQQBtAG8AdQBuAHQALAAgACAAIAAgACAASQBGACgASQBTAE8ATQBJAFQAVABFAEQAKAAgAEwAbwBhAG4AQQBtAG8AdQBuAHQAcwApACwAIAAwACwAIABJAE4ARABFAFgAKAAgAEwAbwBhAG4AQQBtAG8AdQBuAHQAcwAsACAASQBkAHgAKQApACwAXABuACAAIAAgACAAIAAgACAAIAAgACAAIAAgACAAIAAgACAAIAAgACAAIAAgACAAIAAgACAAIAAgACAAIAAgACAAIAAgACAAIAAgAEwAbwBhAG4AQQBQAFIALAAgACAAIAAgACAAIAAgACAASQBGACgASQBTAE8ATQBJAFQAVABFAEQAKAAgAEwAbwBhAG4AQQBQAFIAcwApACwAIAAwACwAIABJAE4ARABFAFgAKAAgAEwAbwBhAG4AQQBQAFIAcwAsACAASQBkAHgAKQApACwAXABuACAAIAAgACAAIAAgACAAIAAgACAAIAAgACAAIAAgACAAIAAgACAAIAAgACAAIAAgACAAIAAgACAAIAAgACAAIAAgACAAIAAgAEwAbwBhAG4AVABlAHIAbQAsACAAIAAgACAAIAAgACAASQBGACgASQBTAE8ATQBJAFQAVABFAEQAKAAgAEwAbwBhAG4AVABlAHIAbQBzACkALAAgADAALAAgAEkATgBEAEUAWAAoACAATABvAGEAbgBUAGUAcgBtAHMALAAgAEkAZAB4ACkAKQAsAFwAbgAgACAAIAAgACAAIAAgACAAIAAgACAAIAAgACAAIAAgACAAIAAgACAAIAAgACAAIAAgACAAIAAgACAAIAAgACAAIAAgACAAIABEAGUAcwBjAHIAaQBwAHQAaQBvAG4ALAAgACAAIAAgAFMAVwBJAFQAQwBIACgAIABMAGkAbgBlACwAXABuACAAIAAgACAAIAAgACAAIAAgACAAIAAgACAAIAAgACAAIAAgACAAIAAgACAAIAAgACAAIAAgACAAIAAgACAAIAAgACAAIAAgACAAIAAgACAAIAAgACAAIAAgACAAIAAgACAAIAAgACAAIAAgACAAIAAxACwAIAAgAEgAUwBUAEEAQwBLACgATABvAGEAbgBOAGEAbQBlACAAJgAgAFwAIgAgAEQAZQBiAHQAIABJAHMAcwB1AGEAbgBjAGUAXAAiACwAIABMAG8AYQBuAEEAbQBvAHUAbgB0ACwAIABcACIAXAAiACkALABcAG4AIAAgACAAIAAgACAAIAAgACAAIAAgACAAIAAgACAAIAAgACAAIAAgACAAIAAgACAAIAAgACAAIAAgACAAIAAgACAAIAAgACAAIAAgACAAIAAgACAAIAAgACAAIAAgACAAIAAgACAAIAAgACAAIAAgADIALAAgACAASABTAFQAQQBDAEsAKABMAG8AYQBuAE4AYQBtAGUAIAAmACAAXAAiACAARABlAGIAdAAgAEIAYQBsAGEAbgBjAGUAXAAiACwAIABcACIAXAAiACwAXAAiAFwAIgApACwAXABuACAAIAAgACAAIAAgACAAIAAgACAAIAAgACAAIAAgACAAIAAgACAAIAAgACAAIAAgACAAIAAgACAAIAAgACAAIAAgACAAIAAgACAAIAAgACAAIAAgACAAIAAgACAAIAAgACAAIAAgACAAIAAgACAAIAAzACwAIAAgAEgAUwBUAEEAQwBLACgATABvAGEAbgBOAGEAbQBlACAAJgAgAFwAIgAgAEkAbgB0AGUAcgBlAHMAdABcACIALAAgAFQAZQB4AHQAKABMAG8AYQBuAEEAUABSACwAIABcACIAMAAuADAAMAAlAFwAIgApACwAIABcACIAQQBQAFIAXAAiACkALABcAG4AIAAgACAAIAAgACAAIAAgACAAIAAgACAAIAAgACAAIAAgACAAIAAgACAAIAAgACAAIAAgACAAIAAgACAAIAAgACAAIAAgACAAIAAgACAAIAAgACAAIAAgACAAIAAgACAAIAAgACAAIAAgACAAIAAgADQALAAgACAASABTAFQAQQBDAEsAKABMAG8AYQBuAE4AYQBtAGUAIAAmACAAXAAiACAARABlAGIAdAAgAFMAZQByAHYAaQBjAGUAcwBcACIALAAgAEwAbwBhAG4AVABlAHIAbQAsACAAXAAiAE0AbwBuAHQAaABzAFwAIgApACwAXABuACAAIAAgACAAIAAgACAAIAAgACAAIAAgACAAIAAgACAAIAAgACAAIAAgACAAIAAgACAAIAAgACAAIAAgACAAIAAgACAAIAAgACAAIAAgACAAIAAgACAAIAAgACAAIAAgACAAIAAgACAAIAAgACAAIAA1ACwAIAAgAEgAUwBUAEEAQwBLACgATABvAGEAbgBOAGEAbQBlACAAJgAgAFwAIgAgAEMAbABvAHMAaQBuAGcAIABCAGEAbABhAG4AYwBlAFwAIgAsAFwAIgBcACIALABcACIAXAAiACkALABcAG4AIAAgACAAIAAgACAAIAAgACAAIAAgACAAIAAgACAAIAAgACAAIAAgACAAIAAgACAAIAAgACAAIAAgACAAIAAgACAAIAAgACAAIAAgACAAIAAgACAAIAAgACAAIAAgACAAIAAgACAAIAAgACAAIAAgADYALAAgACAASABTAFQAQQBDAEsAKABMAG8AYQBuAE4AYQBtAGUAIAAmACAAXAAiACAARABlAGIAdAAgAFIAZQBwAGEAeQBtAGUAbgB0AFwAIgAsACAAXAAiAFwAIgAsACAAXAAiAFwAIgApACwAXABuACAAIAAgACAAIAAgACAAIAAgACAAIAAgACAAIAAgACAAIAAgACAAIAAgACAAIAAgACAAIAAgACAAIAAgACAAIAAgACAAIAAgACAAIAAgACAAIAAgACAAIAAgACAAIAAgACAAIAAgACAAIAAgACAAIAA3ACwAIAAgAEgAUwBUAEEAQwBLACgAXAAiAFwAIgAsAFwAIgBcACIALABcACIAXAAiACkAXABuACAAIAAgACAAIAAgACAAIAAgACAAIAAgACAAIAAgACAAIAAgACAAIAAgACAAIAAgACAAIAAgACAAIAAgACAAIAAgACAAIAAgACAAIAAgACAAIAAgACAAIAAgACAAIAAgACAAIAAgACAAKQAsAFwAbgAgACAAIAAgACAAIAAgACAAIAAgACAAIAAgACAAIAAgACAAIAAgACAAIAAgACAAIAAgACAAIAAgACAAIAAgACAAIAAgACAAIABWAGEAbAB1AGUAcwAsACAAIAAgACAAIAAgACAAIAAgAEkARgAoACAATwBwAHQAaQBvAG4AYQBsAHMALAAgAEQAZQBzAGMAcgBpAHAAdABpAG8AbgAsACAAVABBAEsARQAoACAARABlAHMAYwByAGkAcAB0AGkAbwBuACwAIAAsACAAMQApACkALABcAG4AIAAgACAAIAAgACAAIAAgACAAIAAgACAAIAAgACAAIAAgACAAIAAgACAAIAAgACAAIAAgACAAIAAgACAAIAAgACAAIAAgACAAUgBlAHMAdQBsAHQALAAgACAAIAAgACAAIAAgACAAIABJAEYAKAAgAFIAbwB3ACAAPQAgADEALAAgAFYAYQBsAHUAZQBzACwAIABWAFMAVABBAEMASwAoAEEAYwBjACwAIABWAGEAbAB1AGUAc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BTAHUAbQBBAG0AbwByAHQAaQBzAGUAuwMgAD0AIABMAEEATQBCAEQAQQAoAFwAbgAvAC8AIAAgAFAAYQByAGEAbQBlAHQAZQByACAARABlAGMAbABhAHIAYQB0AGkAbwBuAHMAXABuACAAIAAgACAAWwBBAG0AbwByAHQAaQBz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BAG0AbwByAHQAaQBzAGUAuwMoAEEAbQBvAHIAdABpAHMAYQB0AGkAbwBuAFMAYwBoAGUAZAB1AGwAZQApALYAXAAiACAAJgBcAG4AIAAgACAAIAAgACAAIAAgACAAIAAgACAAIAAgACAAIAAgACAAIAAgACAAIAAgACAAIAAgACAAIABcACIARABFAFMAQwBSAEkAUABUAEkATwBOADoAIAAgACAAkiFDAHIAZQBhAHQAZQAgAHIAbwB3ACAAdABvAHQAYQBsAHMAIABmAG8AcgAgAEEAbQBvAHIAdABpAHM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yAHQAaQBzAGEAdABpAG8AbgBTAGMAaABlAGQAdQBsAGUAkiEoAFIAZQBxAHUAaQByAGUAZAApACAAQQBuACAAYQByAHIAYQB5ACAAcAByAG8AZAB1AGMAZQBkACAAYgB5ACAAQQBtAG8AcgB0AGkAcwBlALsDtgBcACIAIAAmACAAIAAgACAAIAAgACAAIAAgACAAIAAgACAAIAAgACAAIAAgAFwAbgAgACAAIAAgACAAIAAgACAAIAAgACAAIAAgACAAIAAgACAAIAAgACAAIAAgACAAIAAgACAAIAAgAFwAIgBFAFgAQQBNAFAATABFAFMAOg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dQBtAEEAbQBvAHIAdABpAHMAZQC7AygAQQBtAG8AcgB0AGkAcw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cgB0AGkAcwBhAHQAaQBvAG4AUwBjAGgAZQBkAHUAbABlACkALABcAG4AIAAgACAAIAAvAC8AIAAgAFAAcgBvAGMAZQBkAHUAcgBlAFwAbgAgACAAIAAgACAAIAAgACAAUgBlAHMAdQBsAHQALAAgACAAIAAgACAAIAAgACAAIABNAEEASwBFAEEAUgBSAEEAWQAoAFIATwBXAFMAKABBAG0AbwByAHQAaQBz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MALAAgAFMAVQBNACgAQwBIAE8ATwBTAEUAUgBPAFcAUwAoACAAQQBtAG8AcgB0AGkAcwBhAHQAaQBvAG4AUwBjAGgAZQBkAHUAbABlACwAIABSACkAKQAsAFwAbgAgACAAIAAgACAAIAAgACAAIAAgACAAIAAgACAAIAAgACAAIAAgACAAIAAgACAAIAAgACAAIAAgACAAIAAgACAAIAAgACAAIAA0ACwAIABTAFUATQAoAEMASABPAE8AUwBFAFIATwBXAFMAKAAgAEEAbQBvAHIAdABpAHMAYQB0AGkAbwBuAFMAYwBoAGUAZAB1AGwAZQAsACAAUgApACkALABcAG4AIAAgACAAIAAgACAAIAAgACAAIAAgACAAIAAgACAAIAAgACAAIAAgACAAIAAgACAAIAAgACAAIAAgACAAIAAgACAAIAAgACAANgAsACAAUwBVAE0AKABDAEgATwBPAFMARQBSAE8AVwBTACgAIABBAG0AbwByAHQAaQBz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BcAG4AXABuAC8ALwAgACAARABlAHAAcgBlAGMAaQBhAHQAaQBvAG4AIABTAHUAaQB0AGUAXABuAFwAbgAvACoAIAAgAEYAVQBOAEMAVABJAE8ATgAgAE4AQQBNAEUAOgAgACAARABlAHAAcgBlAGMAaQBhAHQAZQC7A1wAbgAgACAAIAAgAEQARQBTAEMAUgBJAFAAVABJAE8ATgA6ACoALwAvACoAKgBDAHIAZQBhAHQAZQAgAGEAIABiAGwAbwBjAGsAIABvAGYAIABDAEEAUABFAFgALAAgAE8AcABlAG4AaQBuAGcAIABCAGEAbABhAG4AYwBlACwAIABEAGUAcAByAGUAYwBpAGEAdABpAG8AbgAgAFYAYQBsAHUAZQBzACwAIABhAG4AZAAgAEIAbwBvAGsAIABWAGEAbAB1AGUAIABmAG8AcgAgAGUAYQBjAGgAIABhAHMAcwBlAHQAKgAvAFwAbgBEAGUAcAByAGUAYwBpAGEAdABlALsD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XABuACAAIAAgACAAWwBGAGEAYwB0AG8AcgBzAF0ALABcAG4AIAAgACAAIABMAEUAVAAoAFwAbgAvAC8AIAAgAEgAZQBsAHAAXABuACAAIAAgACAAIAAgACAAIABIAGUAbABwACwAIAAgACAAIAAgACAAIAAgACAAIAAgAFQAUgBJAE0AKABUAEUAWABUAFMAUABMAEkAVAAoACAAXABuACAAIAAgACAAIAAgACAAIAAgACAAIAAgACAAIAAgACAAIAAgACAAIAAgACAAIAAgACAAIAAgACAAXAAiAEYAVQBOAEMAVABJAE8ATgA6ACAAIAAgACAAIAAgAJIhRABlAHAAcgBlAGMAaQBhAHQAZQC7AygASQBuAGkAdABpAGEAbABWAGEAbAB1AGUAcwAsACAASQBuAFMAZQByAHYAaQBjAGUARABhAHQAZQBzACwAIABMAGkAZgBlAEkAbgBZAGUAYQByAHMALAAgAFQAaQBtAGUAbABpAG4AZQAsACAAtgBcACIAIAAmAFwAbgAgACAAIAAgACAAIAAgACAAIAAgACAAIAAgACAAIAAgACAAIAAgACAAIAAgACAAIAAgACAAIAAgAFwAIgAgACAAIAAgACAAIAAgACAAIAAgACAAIAAgACAAIACSIVsAUwBhAGwAdgBhAGcAZQBWAGEAbAB1AGUAcwBdACwAIABbAEQAaQBzAHAAbwBzAGEAbABEAGEAdABlAHMAXQAsACAAWwBEAGkAcwBwAG8AcwBhAGwAQwBvAHMAdABzAF0ALAAgAFsATQBlAHQAaABvAGQAcwBdACwAIABbAEYAYQBjAHQAbwByAHMAXQApALYAXAAiACAAJgBcAG4AIAAgACAAIAAgACAAIAAgACAAIAAgACAAIAAgACAAIAAgACAAIAAgACAAIAAgACAAIAAgACAAIABcACIARABFAFMAQwBSAEkAUABUAEkATwBOADoAIAAgACAAkiFDAHIAZQBhAHQAZQBzACAAYQBuACAAYQByAHIAYQB5ACAAbwBmACAAQwBBAFAARQBYACwAIABkAGUAcAByAGUAYwBpAGEAdABpAG8AbgAsACAAYQBuAGQAIABiAG8AbwBrACAAdgBhAGwAdQBlAHMAIABmAG8AcgAgAGEAIABtAG8AZABlAGwAJwBzACAAdABpAG0AZQBsAGkAbgBlALYAXAAiACAAJgAgAFwAbgAgACAAIAAgACAAIAAgACAAIAAgACAAIAAgACAAIAAgACAAIAAgACAAIAAgACAAIAAgACAAIAAgAFwAIgBXAEUAQgBQAEEARwBFADoAIAAgACAAIAAgACAAIACSIWgAdAB0AHAAcwA6AC8ALwBnAGkAdABoAHUAYgAuAGMAbwBtAC8AcgB5AGEAbgBkAHUAZwB1AGkAZAAvAE4AYQBiAGwAYQAgALYAXAAiACAAJgAgAFwAbgAgACAAIAAgACAAIAAgACAAIAAgACAAIAAgACAAIAAgACAAIAAgACAAIAAgACAAIAAgACAAIAAgAFwAIgBWAEUAUgBTAEkATwBOADoAIAAgACAAIAAgACAAIACSITEAOAAgAEEAdQBnACAAMgAwADIANgC2AFwAIgAgACYAXABuACAAIAAgACAAIAAgACAAIAAgACAAIAAgACAAIAAgACAAIAAgACAAIAAgACAAIAAgACAAIAAgACAAXAAiAE4ATwBUAEUAUwA6ACAAIAAgACAAIAAgACAAIAAgAJIhVABoAGUAIABtAGUAdABoAG8AZABzACAAdQBzAGUAZAAgAGgAZQByAGUAIABkAGkAZgBmAGUAcgBzACAAZgByAG8AbQAgAEUAeABjAGUAbAAnAHMAIABmAHUAbgBjAHQAaQBvAG4AcwAgAGkAbgAgAHMAZQB2AGUAcgBhAGwAIAB3AGEAeQBzAC4AIABQAGwAZQBhAHMAZQAgAHMAZQBlACAAdwBlAGIAcABhAGcAZQAgAGYAbwByACAAZABlAHQAYQBpAGwAcwAuALYAXAAiACAAJgBcAG4AIAAgACAAIAAgACAAIAAgACAAIAAgACAAIAAgACAAIAAgACAAIAAgACAAIAAgACAAIAAgACAAIABcACIAUABBAFIAQQBNAEUAVABFAFIAUwA6ACAAIAAgACAAkiG2AFwAIgAgACYAIABcAG4AIAAgACAAIAAgACAAIAAgACAAIAAgACAAIAAgACAAIAAgACAAIAAgACAAIAAgACAAIAAgACAAIABcACIASQBuAGkAdABpAGEAbABWAGEAbAB1AGUAcwAgACAAkiEoAFIAZQBxAHUAaQByAGUAZAApACAAVABoAGUAIABwAHUAcgBjAGgAYQBzAGUAIAB2AGEAbAB1AGUAcwAgAG8AZgAgAGUAYQBjAGgAIABhAHMAcwBlAHQAIAB0AG8AIABkAGUAcAByAGUAYwBpAGEAdABlALYAXAAiACAAJgAgAFwAbgAgACAAIAAgACAAIAAgACAAIAAgACAAIAAgACAAIAAgACAAIAAgACAAIAAgACAAIAAgACAAIAAgAFwAIgBJAG4AUwBlAHIAdgBpAGMAZQBEAGEAdABlAHMAIACSISgAUgBlAHEAdQBpAHIAZQBkACkAIABUAGgAZQAgAGQAYQB0AGUAcwAgAGYAcgBvAG0AIAB3AGgAaQBjAGgAIAB0AG8AIABzAHQAYQByAHQAIABkAGUAcAByAGUAYwBpAGEAdABpAG4AZwAgAGUAYQBjAGgAIABhAHMAcwBlAHQAtgBcACIAIAAmACAAXABuACAAIAAgACAAIAAgACAAIAAgACAAIAAgACAAIAAgACAAIAAgACAAIAAgACAAIAAgACAAIAAgACAAXAAiAEwAaQBmAGUASQBuAFkAZQBhAHIAcwAgACAAIAAgAJIhKABSAGUAcQB1AGkAcgBlAGQAKQAgAFQAaABlACAAbgB1AG0AYgBlAHIAIABvAGYAIAB5AGUAYQByAHMAIAB3AGkAdABoACAAdwBoAGkAYwBoACAAdABvACAAZABlAHAAcgBlAGMAaQBhAHQAZQAgAGUAYQBjAGgAIABhAHMAcwBlAHQAtgBcACIAIAAmACAAXABuACAAIAAgACAAIAAgACAAIAAgACAAIAAgACAAIAAgACAAIAAgACAAIAAgACAAIAAgACAAIAAgACAAXAAiAFQAaQBtAGUAbABpAG4AZQAgACAAIAAgACAAIAAgAJIhKABSAGUAcQB1AGkAcgBlAGQAKQAgAFQAaABlACAAbQBvAGQAZQBsACcAcwAgAHQAaQBtAGUAbABpAG4AZQAgAG8AcgAgAGEAIAByAG8AdwAgAG8AZgAgAHAAZQByAGkAbwBkACAAcwB0AGEAcgB0ACAAZABhAHQAZQBzAC4AIAC2AFwAIgAgACYAIABcAG4AIAAgACAAIAAgACAAIAAgACAAIAAgACAAIAAgACAAIAAgACAAIAAgACAAIAAgACAAIAAgACAAIABcACIAIAAgACAAIAAgACAAIAAgACAAIAAgACAAIAAgACAAkiFUAGkAbQBlAGwAaQBuAGUAIABjAGEAbgAgAGIAZQAgAGkAbgAgAE0AbwBuAHQAaABzACwAIABRAHUAYQByAHQAZQByAHMALAAgAG8AcgAgAFkAZQBhAHIAcwC2AFwAIgAgACYAIABcAG4AIAAgACAAIAAgACAAIAAgACAAIAAgACAAIAAgACAAIAAgACAAIAAgACAAIAAgACAAIAAgACAAIABcACIAUwBhAGwAdgBhAGcAZQBWAGEAbAB1AGU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RABpAHMAcABvAHMAYQBsAEQAYQB0AGUAcwAgACAAkiEoAE8AcAB0AGkAbwBuAGEAbAA6ACAARABlAGYAYQB1AGwAdAAgAD0AIABFAG4AZAAgAG8AZgAgAGwAaQBmAGUAKQAgAFQAaABlACAAZABhAHQAZQBzACAAbwBuACAAdwBoAGkAYwBoACAAdABoAGUAIABhAHMAcwBlAHQAcwAgAGEAcgBlACAAcgBlAG0AbwB2AGUAZAAgAGYAcgBvAG0AIAB0AGgAZQAgAGIAbwBvAGsAcwAuALYAXAAiACAAJgAgAFwAbgAgACAAIAAgACAAIAAgACAAIAAgACAAIAAgACAAIAAgACAAIAAgACAAIAAgACAAIAAgACAAIAAgAFwAIgBEAGkAcwBwAG8AcwBhAGwAQwBvAHMAdA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NAGUAdABoAG8AZABzACAAIAAgACAAIAAgACAAIACSISgATwBwAHQAaQBvAG4AYQBsADoAIABEAGUAZgBhAHUAbAB0ACAAPQAgAFMATABOACkAIABUAGgAZQAgAGQAZQBzAGkAcgBlAGQAIABkAGUAcAByAGUAYwBpAGEAdABpAG8AbgAgAG0AZQB0AGgAbwBkAC4AIABNAHUAcwB0ACAAYgBlACAAbwBuAGUAIABvAGYAIAB0AGgAZQBzAGUAIABtAGUAdABoAG8AZAAgAGMAbwBkAGUAcwA6ACAAtgBcACIAIAAmACAAXABuACAAIAAgACAAIAAgACAAIAAgACAAIAAgACAAIAAgACAAIAAgACAAIAAgACAAIAAgACAAIAAgACAAIAAgACAAIAAgACAAIAAgACAAIAAgACAAIAAgACAAXAAiAJIhUwBMAE4APQBTAHQAcgBhAGkAZwBoAHQAIABMAGkAbgBlACAARABlAHAAcgBlAGMAaQBhAHQAaQBvAG4AtgBcACIAIAAmACAAXABuACAAIAAgACAAIAAgACAAIAAgACAAIAAgACAAIAAgACAAIAAgACAAIAAgACAAIAAgACAAIAAgACAAIAAgACAAIAAgACAAIAAgACAAIAAgACAAIAAgACAAXAAiAJIhUwBZAEQAPQBTAHUAbQAgAG8AZgAgAFkAZQBhAHIAJwBzACAARABpAGcAaQB0AHMAtgBcACIAIAAmACAAXABuACAAIAAgACAAIAAgACAAIAAgACAAIAAgACAAIAAgACAAIAAgACAAIAAgACAAIAAgACAAIAAgACAAIAAgACAAIAAgACAAIAAgACAAIAAgACAAIAAgACAAXAAiAJIhRABCACAAPQBEAGUAYwBsAGkAbgBpAG4AZwAgAEIAYQBsAGEAbgBjAGUAtgBcACIAIAAmACAAXABuACAAIAAgACAAIAAgACAAIAAgACAAIAAgACAAIAAgACAAIAAgACAAIAAgACAAIAAgACAAIAAgACAAIAAgACAAIAAgACAAIAAgACAAIAAgACAAIAAgACAAXAAiAJIhRABEAEIAPQBEAG8AdQBiAGwAZQAgAEQAZQBjAGwAaQBuAGkAbgBnACAAQgBhAGwAYQBuAGMAZQC2AFwAIgAgACYAIABcAG4AIAAgACAAIAAgACAAIAAgACAAIAAgACAAIAAgACAAIAAgACAAIAAgACAAIAAgACAAIAAgACAAIAAgACAAIAAgACAAIAAgACAAIAAgACAAIAAgACAAIABcACIAkiFWAEQAQgA9AFYAYQByAGkAYQBiAGwAZQAgAEQAZQBjAGwAaQBuAGkAbgBnACAAQgBhAGwAYQBuAGMAZQC2AFwAIgAgACYAIABcAG4AIAAgACAAIAAgACAAIAAgACAAIAAgACAAIAAgACAAIAAgACAAIAAgACAAIAAgACAAIAAgACAAIAAgACAAIAAgACAAIAAgACAAIAAgACAAIAAgACAAIABcACIAkiFEAFYAIAA9AEQAaQBtAGkAbgBpAHMAaABpAG4AZwAgAHYAYQBsAHUAZQAgACgAQQBUAE8AIAAyADAAMAAlACAAbQBlAHQAaABvAGQAKQAuACAAUwBhAGwAdgBhAGcAZQAgAHYAYQBsAHUAZQAgAGkAZwBuAG8AcgBlAGQAtgBcACIAIAAmACAAXABuACAAIAAgACAAIAAgACAAIAAgACAAIAAgACAAIAAgACAAIAAgACAAIAAgACAAIAAgACAAIAAgACAAIAAgACAAIAAgACAAIAAgACAAIAAgACAAIAAgACAAXAAiAJIhUABDACAAPQBQAHIAaQBtAGUAIABjAG8AcwB0ACAAKABBAFQATwAgAHMAdAByAGEAaQBnAGgAdAAgAGwAaQBuAGUAKQ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TQBwAFAALAAgACAAIAAgACAAIAAgACAAIAAgACAAIABAAFIATwBVAE4ARAAoACgAIABTAGUAYwBvAG4AZABQAGUAcgBpAG8AZAAgAC0AIABGAGkAcgBzAHQAUABlAHIAaQBvAGQAKQAgAC8AIAAzADAALgA1ACwAIAAwACkALAAgAC8ALwBNAG8AbgB0AGgAcwAgAFAAZQByACAAUABlAHIAaQBvAGQAXABuACAAIAAgACAAIAAgACAAIABJAG4AdABlAHIAdgBhAGwALAAgACAAIAAgACAAIAAgAFMAVwBJAFQAQwBIACgAIABNAHAAUAAsACAAMQAsACAAXAAiAE0AXAAiACwAIAAzACwAIABcACIAUQBcACIALAAgADEAMgAsACAAXAAiAFkAXAAiACkALABcAG4AIAAgACAAIAAgACAAIAAgAFAAcABZACwAIAAgACAAIAAgACAAIAAgACAAIAAgACAAUwBXAEkAVABDAEgAKAAgAE0AcABQACwAIAAxACwAIAAxADIALAAgADMALAAgADQALAAgADEAMgAsACAAMQApACwAIAAgACAAIAAgACAAIAAgACAAIAAgACAAIAAgACAAIAAvAC8AUABlAHIAaQBvAGQAcwAgAFAAZQByACAAWQBlAGEAcg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UARABBAFQARQAoACAATQBBAFgAKAAgAFQAaQBtAGUAbABpAG4AZQApACwAIABNAHAAUAApACAALQAxACA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QABJAE4ARABFAFgAKAAgAEwAaQBmAGUASQBuAFkAZQBhAHIAcwAsACAAQQBzAHMAZQB0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FAAZQByAGkAbwBkAHMALAAgACAAWQBlAGEAcgBzACAAKgAgAFAAcABZ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AAIAAgACAATABhAHMAdABQAGUAcgBpAG8AZAAsACAAIAAgACAAIABQAGUAcgBpAG8AZABEAGkAZgBmALsDKAAgAEkAbgBzAGUAcgB2AGkAYwBlAEQAYQB0AGUALAAgAEQAaQBzAHAAbwBzAGEAbABEAGEAdABlACwAIABJAG4AdABlAHIAdgBhAGw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HYAYQBsAHUAZQAgACgAQQBUAE8AIAAyADAAMAAlACAAbQBlAHQAaABvAGQAK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QAHIAaQBtAGUAIABjAG8AcwB0ACAAKABBAFQATwAgAHMAdAByAGEAaQBnAGgAdAAgAGwAaQBuAGUAKQBcAG4AIAAgACAAIAAgACAAIAAgACAAIAAgACAAIAAgACAAIAAgACAAIAAgACAAIAAgACAAIAAgACAAIAAgACAAIAAgACAAIAAgACAAIAAgACAAIAAgACAAIAAgACAAIAAgACAAIAAgACAAIAAgACAAIAAgAFAAcgBpAG0AZQBDAG8AcwB0ALsDKAAgAEkAbgBpAHQAaQBhAGwAVgBhAGwAdQBlACwAIABZAGUAYQByAHMAKQAsAFwAbgAgACAAIAAgACAAIAAgACAAIAAgACAAIAAgACAAIAAgACAAIAAgACAAIAAgACAAIAAgACAAIAAgACAAIAAgACAAIAAgACAAIAAgACAAIAAgACAAIAAgACAAIAAgACAAIAAgACAAIAAgACkALABcAG4AIAAgACAAIAAgACAAIAAgACAAIAAgACAAIAAgACAAIAAgACAAIAAgACAAIAAgACAAIAAgACAAIAAgACAAIAAgAC8ALwAgACAAUABsAGEAYwBlACAARABpAHMAcABvAHMAYQBsACAAYQBuAGQAIABTAGEAbAB2AGEAZwBlACAAaQBuACAAdABoAGUAIABhAHMAcwBlAHQAJwBzACAAbABhAHMAdAAgAG0AbwBuAHQAaABcAG4AIAAgACAAIAAgACAAIAAgACAAIAAgACAAIAAgACAAIAAgACAAIAAgACAAIAAgACAAIAAgACAAIAAgACAAIAAgACAAIAAgACAARABpAHMAcABvAHMAYQBsACwAIAAgACAAIAAgACAAIABIAFMAVABBAEMASwAoACAAUwBFAFEAVQBFAE4AQwBFACgAIAAxACwAIABMAGkAZgBlAEkAbgBNAG8AbgB0AGgAcwAgAC0AIAAxACwAIAAwACwAIAAwACkAIAAsACAARABpAHMAcABvAHMAYQBsAEMAbwBzAHQAKQAsAFwAbgAgACAAIAAgACAAIAAgACAAIAAgACAAIAAgACAAIAAgACAAIAAgACAAIAAgACAAIAAgACAAIAAgACAAIAAgACAAIAAgACAAIABTAGEAbAB2AGEAZwBlACwAIAAgACAAIAAgACAAIAAgAEgAUwBUAEEAQwBLACgAIABTAEUAUQBVAEUATgBDAEUAKAAgADEALAAgAEwAaQBmAGUASQBuAE0AbwBuAHQAaABzACAALQAgADEALAAgADAALAAgADAAKQAgACwAIABTAGEAbAB2AGEAZwBlAFYAYQBsAHUAZQApACwAXABuACAAIAAgACAAIAAgACAAIAAgACAAIAAgACAAIAAgACAAIAAgACAAIAAgACAAIAAgACAAIAAgACAAIAAgACAAIAAvAC8AIAAgAEEAbABsAG8AYwBhAHQAaQBuAGcAIABhAG4AbgB1AGEAbAAgAHYAYQBsAHUAZQBzACAAdABvACAAbQBvAG4AdABoAHMAXABuACAAIAAgACAAIAAgACAAIAAgACAAIAAgACAAIAAgACAAIAAgACAAIAAgACAAIAAgACAAIAAgACAAIAAgACAAIAAgACAAIAAgAEEAbABsAG8AYwBhAHQAZQAsACAAIAAgACAAIAAgACAASABTAFQAQQBDAEsAKAAgAEUAWABQAEEATgBEACgAIABBAGwAbABvAGMAYQB0AGUAuwMoACAARABlAHAAcgBlAGMAaQBhAHQAZQAsACAAXAAiAFkAXAAiACwAIABcACIATQBcACIAKQAsACAAMQAsACAATABpAGYAZQBJAG4ATQBvAG4AdABoAHMAIAAtACAAMQAsACAAMAApACwAIABTAGEAbAB2AGEAZwBlAFYAYQBsAHUAZQApACwAXABuACAAIAAgACAAIAAgACAAIAAgACAAIAAgACAAIAAgACAAIAAgACAAIAAgACAAIAAgACAAIAAgACAAIAAgACAAIAAgACAAIAAgAE8AcABlAG4AaQBuAGcALAAgACAAIAAgACAAIAAgACAARABSAE8AUAAoACAASABTAFQAQQBDAEsAKAAgAEkAbgBpAHQAaQBhAGwAVgBhAGwAdQBlACwAIABTAEMAQQBOACgAIABJAG4AaQB0AGkAYQBsAFYAYQBsAHUAZQAsACAAQQBsAGwAbwBjAGEAdABlACwAIABMAEEATQBCAEQAQQAoACAAQQBjAGMALAAgAFYAYQBsACwAIABBAGMAYwAgAC0AIABWAGEAbAApACkAKQAsACAAMAAsACAALQAxACkALABcAG4AIAAgACAAIAAgACAAIAAgACAAIAAgACAAIAAgACAAIAAgACAAIAAgACAAIAAgACAAIAAgACAAIAAgACAAIAAgAC8ALwAgACAAQwByAGUAYQB0AGUAIABhACAAbQBvAG4AdABoAGwAeQAgAHQAaQBtAGUAbABpAG4AZQAgAGYAbwByACAAdABoAGUAIABhAHMAcwBlAHQAXABuACAAIAAgACAAIAAgACAAIAAgACAAIAAgACAAIAAgACAAIAAgACAAIAAgACAAIAAgACAAIAAgACAAIAAgACAAIAAgACAAIAAgAEEAcwBzAGUAdABUAGkAbQBlAGwAaQBuAGUALAAgACAARQBEAEEAVABFACgAIABJAG4AUwBlAHIAdgBpAGMAZQBEAGEAdABlACwAIABTAEUAUQBVAEUATgBDAEUAKAAgACwAIABMAGkAZgBlAEkAbgBNAG8AbgB0AGgAcwAsACAAMAApACkALAAgAFwAbgAgACAAIAAgACAAIAAgACAAIAAgACAAIAAgACAAIAAgACAAIAAgACAAIAAgACAAIAAgACAAIAAgACAAIAAgACAALwAvACAAIABBAGcAZwByAGUAZwBhAHQAZQAgAG0AbwBuAHQAaABsAHkAIABhAGwAbABvAGMAYQB0AGkAbwBuAHMAIABiAHkAIABtAG8AZABlAGwAJwBzACAAcABlAHIAaQBvAGQAIABpAG4AdABlAHIAdgBhAGwAcwAgAGEAbgBkACAAcABvAHMAaQB0AGkAbwBuACAAaQBuACAAdABpAG0AZQBsAG4AZQBcAG4AIAAgACAAIAAgACAAIAAgACAAIAAgACAAIAAgACAAIAAgACAAIAAgACAAIAAgACAAIAAgACAAIAAgACAAIAAgACAAIAAgACAARABlAHAAcgBlAGMAaQBhAHQAaQBvAG4ALAAgACAAIABNAEEAUAAoACAAUwBFAFEAVQBFAE4AQwBFACgAIAAsACAAVABpAG0AZQBsAGkAbgBlAEMAbwBsAHMAKQAsACA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FMAVQBNACgAKABBAGwAbABvAGMAYQB0AGUAKQAgACoAIAAoACAAQQBzAHMAZQB0AFQAaQBtAGUAbABpAG4AZQAgADwAPQAgAEkATgBEAEUAWAAoAEUAbgBkAEQAYQB0AGUAcwAsACAAbgApACkAIAAqACAAKAAgAEEAcwBzAGUAdABUAGkAbQBlAGwAaQBuAGUAIAA+AD0AIABJAE4ARABFAFgAKAAgAFQAaQBtAGUAbABpAG4AZQAsACAAbgApACkAKQApACkALABcAG4AIAAgACAAIAAgACAAIAAgACAAIAAgACAAIAAgACAAIAAgACAAIAAgACAAIAAgACAAIAAgACAAIAAgACAAIAAgACAAIAAgACAAQwBBAFAARQBYACwAIAAgACAAIAAgACAAIAAgACAAIABJAG4AaQB0AGkAYQBsAFYAYQBsAHUAZQAgACoAIAAoAFQAaQBtAGUAbABpAG4AZQAgADwAPQAgAEkAbgBTAGUAcgB2AGkAYwBlAEQAYQB0AGUAKQAgACoAIAAoAEUAbgBkAEQAYQB0AGUAcwAgAD4APQAgAEkAbgBTAGUAcgB2AGkAYwBlAEQAYQB0AGUAKQAsACAAXABuACAAIAAgACAAIAAgACAAIAAgACAAIAAgACAAIAAgACAAIAAgACAAIAAgACAAIAAgACAAIAAgACAAIAAgACAAIAAgACAAIAAgAE8AcABlAG4AaQBuAGcAQQBtAG8AdQBuAHQALAAgACAATQBBAFAAKAAgAFMARQBRAFUARQBOAEMARQAoACAALAAgAFQAaQBtAGUAbABpAG4AZQBDAG8AbABzACkALAAgAFwAbgAgACAAIAAgACAAIAAgACAAIAAgACAAIAAgACAAIAAgACAAIAAgACAAIAAgACAAIAAgACAAIAAgACAAIAAgACAAIAAgACAAIAAgACAAIAAgACAAIAAgACAAIAAgACAAIAAgACAAIAAgACAAIAAgACAATABBAE0AQgBEAEEAKAAgAG4ALABcAG4AIAAgACAAIAAgACAAIAAgACAAIAAgACAAIAAgACAAIAAgACAAIAAgACAAIAAgACAAIAAgACAAIAAgACAAIAAgACAAIAAgACAAIAAgACAAIAAgACAAIAAgACAAIAAgACAAIAAgACAAIAAgACAAIAAgACAAIAAgACAASQBGAEUAUgBSAE8AUgAoAEkATgBEAEUAWAAoACAATwBwAGUAbgBpAG4AZwAsACAATQBBAFQAQwBIACgAMQAsACgAQQBzAHMAZQB0AFQAaQBtAGUAbABpAG4AZQAgAD4APQAgAEkATgBEAEUAWAAoACAAVABpAG0AZQBsAGkAbgBlACwAIABuACkAKQAqACgAQQBzAHMAZQB0AFQAaQBtAGUAbABpAG4AZQA8AD0ASQBOAEQARQBYACgAIABFAG4AZABEAGEAdABlAHMALAAgAG4AKQApACwAMAApACkALAAwACkAKQApACwAXABuACAAIAAgACAAIAAgACAAIAAgACAAIAAgACAAIAAgACAAIAAgACAAIAAgACAAIAAgACAAIAAgACAAIAAgACAAIAAgACAAIAAgAEIAbwBvAGsAVgBhAGwAdQBlACwAIAAgACAAIAAgACAATwBwAGUAbgBpAG4AZwBBAG0AbwB1AG4AdAAgAC0AIABEAGUAcAByAGUAYwBpAGEAdABpAG8AbgAsAFwAbgAgACAAIAAgACAAIAAgACAAIAAgACAAIAAgACAAIAAgACAAIAAgACAAIAAgACAAIAAgACAAIAAgACAAIAAgACAAIAAgACAAIABTAGEAbABlAHMAUgBlAHYAZQBuAHUAZQAsACAAIAAgAFMAYQBsAHYAYQBnAGUAVgBhAGwAdQBlACAAKgAgACgAVABpAG0AZQBsAGkAbgBlACAAPAA9ACAARABpAHMAcABvAHMAYQBsAEQAYQB0AGUAKQAgACoAIAAoAEUAbgBkAEQAYQB0AGUAcwAgAD4APQAgAEQAaQBzAHAAbwBzAGEAbABEAGEAdABlACkALAAgAFwAbgAgACAAIAAgACAAIAAgACAAIAAgACAAIAAgACAAIAAgACAAIAAgACAAIAAgACAAIAAgACAAIAAgACAAIAAgACAAIAAgACAAIABEAGkAcwBwAG8AcwBhAGwARQB4AHAALAAgACAAIAAgAEQAaQBzAHAAbwBzAGEAbABDAG8AcwB0ACAAKgAgACgAVABpAG0AZQBsAGkAbgBlACAAPAA9ACAARABpAHMAcABvAHMAYQBsAEQAYQB0AGUAKQAgACoAIAAoAEUAbgBkAEQAYQB0AGUAcwAgAD4APQAgAEQAaQBzAHAAbwBzAGEAbABEAGEAdABlACkALAAgAFwAbgAgACAAIAAgACAAIAAgACAAIAAgACAAIAAgACAAIAAgACAAIAAgACAAIAAgACAAIAAgACAAIAAgACAAIAAgACAALwAvACAAIABBAHMAcwBlAG0AYgBsAGUAIAB0AGgAaQBzACAAYQBzAHMAZQB0AHMAIAByAG8AdwBzACAAaQBuAHQAbwAgAGEAIABiAGwAbwBjAGsAXABuACAAIAAgACAAIAAgACAAIAAgACAAIAAgACAAIAAgACAAIAAgACAAIAAgACAAIAAgACAAIAAgACAAIAAgACAAIAAgACAAIAAgAE4AZQB3AEIAbABvAGMAawAsACAAIAAgACAAIAAgACAAVgBTAFQAQQBDAEsAKAAgAEMAQQBQAEUAWAAsACAATwBwAGUAbgBpAG4AZwBBAG0AbwB1AG4AdAAsACAARABlAHAAcgBlAGMAaQBhAHQAaQBvAG4ALAAgAEIAbwBvAGsAVgBhAGwAdQBlACwAIABTAGEAbABlAHMAUgBlAHYAZQBuAHUAZQAsACAARABpAHMAcABvAHMAYQBsAEUAeABwACkALABcAG4AIAAgACAAIAAgACAAIAAgACAAIAAgACAAIAAgACAAIAAgACAAIAAgACAAIAAgACAAIAAgACAAIAAgACAAIAAgAC8ALwAgACAAQQBkAGQAIAB0AGgAaQBzACAAYgBsAG8AYwBrACAAdABvACAAcAByAGkAbwByACAAYgBsAG8AYwBrAHMAIAAoAGkAZgAgAGEAbgB5ACkAXABuACAAIAAgACAAIAAgACAAIAAgACAAIAAgACAAIAAgACAAIAAgACAAIAAgACAAIAAgACAAIAAgACAAIAAgACAAIAAgACAAIAAgAFIAZQBzAHUAbAB0ACwAIAAgACAAIAAgACAAIAAgACAASQBGACgAIABBAHMAcwBlAHQAIAA9ACAAMQAsACAAXABuACAAIAAgACAAIAAgACAAIAAgACAAIAAgACAAIAAgACAAIAAgACAAIAAgACAAIAAgACAAIAAgACAAIAAgACAAIAAgACAAIAAgACAAIAAgACAAIAAgACAAIAAgACAAIAAgACAAIAAgACAAIAAgACAAIABOAGUAdwBCAGwAbwBjAGsALAAgAFwAbgAgACAAIAAgACAAIAAgACAAIAAgACAAIAAgACAAIAAgACAAIAAgACAAIAAgACAAIAAgACAAIAAgACAAIAAgACAAIAAgACAAIAAgACAAIAAgACAAIAAgACAAIAAgACAAIAAgACAAIAAgACAAIAAgACAAVgBTAFQAQQBDAEsAKABcAG4AIAAgACAAIAAgACAAIAAgACAAIAAgACAAIAAgACAAIAAgACAAIAAgACAAIAAgACAAIAAgACAAIAAgACAAIAAgACAAIAAgACAAIAAgACAAIAAgACAAIAAgACAAIAAgACAAIAAgACAAIAAgACAAIAAgACAAIAAgACAAQgBsAG8AYwBrACwAXABuACAAIAAgACAAIAAgACAAIAAgACAAIAAgACAAIAAgACAAIAAgACAAIAAgACAAIAAgACAAIAAgACAAIAAgACAAIAAgACAAIAAgACAAIAAgACAAIAAgACAAIAAgACAAIAAgACAAIAAgACAAIAAgACAAIAAgACAAIAAgAEUAWABQAEEATgBEACgAXAAiAFwAIgAsACAAMQAsACAAVABpAG0AZQBsAGkAbgBlAEMAbwBsAHMALAAgAFwAIgBcACIAKQAsAFwAbgAgACAAIAAgACAAIAAgACAAIAAgACAAIAAgACAAIAAgACAAIAAgACAAIAAgACAAIAAgACAAIAAgACAAIAAgACAAIAAgACAAIAAgACAAIAAgACAAIAAgACAAIAAgACAAIAAgACAAIAAgACAAIAAgACAAIAAgACAAIABOAGUAdwBCAGwAbwBjAGs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lAGg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TABhAGIAZQBsAEQAZQBwAHIAZQBjAGkAYQB0AGUAuwMoAHQAYgBsAEEAcwBzAGUAdABzAFsAQQBzAHMAZQB0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HMAcwBlAHQATgBhAG0AZQBzACkALABcAG4AIAAgACAAIAAvAC8AIAAgAFAAcgBvAGMAZQBkAHUAcgBlAFwAbgAgACAAIAAgACAAIAAgACAAUgBlAHMAdQBsAHQALAAgACAAIAAgACAAIAAgACAAIABNAEEASwBFAEEAUgBSAEEAWQAoACAAUgBPAFcAUwAoAEEAcwBzAGUAdABOAGEAbQBlAHMAKQAgACoAIAA3ACAALQAgADEALAAgADEALAAgAFwAbgAgACAAIAAgACAAIAAgACAAIAAgACAAIAAgACAAIAAgACAAIAAgACAAIAAgACAAIAAgACAAIAAgAEwAQQBNAEIARABBACgAUgAsACAAQwAsACAAXABuACAAIAAgACAAIAAgACAAIAAgACAAIAAgACAAIAAgACAAIAAgACAAIAAgACAAIAAgACAAIAAgACAAIAAgACAAIABMAEUAVAAoAEEAcwBzAGUAdABOAGEAbQBlACwAIAAgACAASQBOAEQARQBYACgAIABBAHMAcwBlAHQATgBhAG0AZQBzACwAIABRAFUATwBUAEkARQBOAFQAKABSAC0AMQAsACAANwApACAAKwAgADEAKQAsACAAXABuACAAIAAgACAAIAAgACAAIAAgACAAIAAgACAAIAAgACAAIAAgACAAIAAgACAAIAAgACAAIAAgACAAIAAgACAAIAAgACAAIAAgAFMAVwBJAFQAQwBIACgAIABNAE8ARAAoAFIALQAxACwAIAA3ACkAIAArACAAMQAsAFwAbgAgACAAIAAgACAAIAAgACAAIAAgACAAIAAgACAAIAAgACAAIAAgACAAIAAgACAAIAAgACAAIAAgACAAIAAgACAAIAAgACAAIAAgACAAIAAgADEALAAgACAAQQBzAHMAZQB0AE4AYQBtAGUAIAAmACAAXAAiACAAQwBBAFAARQBYAFwAIgAsAFwAbgAgACAAIAAgACAAIAAgACAAIAAgACAAIAAgACAAIAAgACAAIAAgACAAIAAgACAAIAAgACAAIAAgACAAIAAgACAAIAAgACAAIAAgACAAIAAgADIALAAgACAAQQBzAHMAZQB0AE4AYQBtAGUAIAAmACAAXAAiACAATwBwAGUAbgBpAG4AZwAgAFYAYQBsAHUAZQBcACIALABcAG4AIAAgACAAIAAgACAAIAAgACAAIAAgACAAIAAgACAAIAAgACAAIAAgACAAIAAgACAAIAAgACAAIAAgACAAIAAgACAAIAAgACAAIAAgACAAIAAzACwAIAAgAEEAcwBzAGUAdABOAGEAbQBlACAAJgAgAFwAIgAgAEQAZQBwAHIAZQBjAGkAYQB0AGkAbwBuAFwAIgAsAFwAbgAgACAAIAAgACAAIAAgACAAIAAgACAAIAAgACAAIAAgACAAIAAgACAAIAAgACAAIAAgACAAIAAgACAAIAAgACAAIAAgACAAIAAgACAAIAAgADQALAAgACAAQQBzAHMAZQB0AE4AYQBtAGUAIAAmACAAXAAiACAAQgBvAG8AawAgAFYAYQBsAHUAZQBcACIALABcAG4AIAAgACAAIAAgACAAIAAgACAAIAAgACAAIAAgACAAIAAgACAAIAAgACAAIAAgACAAIAAgACAAIAAgACAAIAAgACAAIAAgACAAIAAgACAAIAA1ACwAIAAgAEEAcwBzAGUAdABOAGEAbQBlACAAJgAgAFwAIgAgAFIAZQB2AGUAbgB1AGUAIABmAHIAbwBtACAAUwBhAGwAZQBcACIALABcAG4AIAAgACAAIAAgACAAIAAgACAAIAAgACAAIAAgACAAIAAgACAAIAAgACAAIAAgACAAIAAgACAAIAAgACAAIAAgACAAIAAgACAAIAAgACAAIAA2ACwAIAAgAEEAcwBzAGUAdABOAGEAbQBlACAAJgAgAFwAIgAgAEQAaQBzAHAAbwBzAGEAbAAgAEMAbwBzAHQAcwBcACIALABcAG4AIAAgACAAIAAgACAAIAAgACAAIAAgACAAIAAgACAAIAAgACAAIAAgACAAIAAgACAAIAAgACAAIAAgACAAIAAgACAAIAAgACAAIAAgACAAIAA3ACwAIAAgAFwAIgBcACI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QAZQBwAHIAZQBjAGkAYQB0AGUAuwNcAG4AIAAgACAAIABEAEUAUwBDAFIASQBQAFQASQBPAE4AOgAqAC8ALwAqACoAQwByAGUAYQB0AGUAIAByAG8AdwAgAHQAbwB0AGEAbABzACAAZgBvAHIAIABEAGUAcAByAGUAYwBpAGEAdABlALsDKgAvAFwAbgBTAHUAbQBEAGUAcAByAGUAYwBpAGEAdABlALsDIAA9ACAATABBAE0AQgBEAEEAKABcAG4ALwAvACAAIABQAGEAcgBhAG0AZQB0AGUAcgAgAEQAZQBjAGwAYQByAGEAdABpAG8AbgBzAFwAbgAgACAAIAAgAFsARABlAHAAcgBlAGMAaQ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RABlAHAAcgBlAGMAaQBhAHQAZQC7AygARABlAHAAcgBlAGMAaQBhAHQAaQBvAG4AUwBjAGgAZQBkAHUAbABlACkAtgBcACIAIAAmAFwAbgAgACAAIAAgACAAIAAgACAAIAAgACAAIAAgACAAIAAgACAAIAAgACAAIAAgACAAIAAgACAAIAAgAFwAIgBEAEUAUwBDAFIASQBQAFQASQBPAE4AOgAgACAAIACSIUMAcgBlAGEAdABlACAAcgBvAHcAIAB0AG8AdABhAGwAcwAgAGYAbwBy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UAcAByAGUAYwBpAGEAdABpAG8AbgBTAGMAaABlAGQAdQBsAGUAkiEoAFIAZQBxAHUAaQByAGUAZAApACAAQQBuACAAYQByAHIAYQB5ACAAcAByAG8AZAB1AGMAZQBkACAAYgB5ACAARABlAHAAcgBlAGMAaQBhAHQAZQC7A7YAXAAiACAAJgBcAG4AIAAgACAAIAAgACAAIAAgACAAIAAgACAAIAAgACAAIAAgACAAIAAgACAAIAAgACAAIAAgACAAIABcACIAkiG2AFwAIgAgACY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PAG0AaQB0AHQAZQBkAEEAcgBnAHMALAAgACAAIAAgAFYAUwBUAEEAQwBLACgASQBTAE8ATQBJAFQAVABFAEQAKAAgAEQAZQBwAHIAZQBjAGkAYQB0AGkAbwBuAFMAYwBoAGUAZAB1AGwAZQApACkALABcAG4AIAAgACAAIAAgACAAIAAgAEgAZQBsAHAAPwAsACAAIAAgACAAIAAgACAAIAAgACAAQQBOAEQAKAAgAE8AbQBpAHQAdABlAGQAQQByAGcAcw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FIAZQB0AHUAcgBuACwAIAAgACAAIAAgACAAIAAgACAASQBGACgAIABIAGUAbABwAD8ALAAgADIALAAgADEAKQAsAFwAbgAgACAAIAAgACAAIAAgACAAQwBIAE8ATwBTAEUAKABSAGUAdAB1AHIAbg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UgBFAEQAVQBDAEUAKAAgADAALAAgAFMARQBRAFUARQBOAEMARQAoACAALAAgAEYAcgBvAG0AQwBvAHUAbgB0ACkALABcAG4AIAAgACAAIAAgACAAIAAgACAAIAAgACAAIAAgACAAIAAgACAAIAAgACAAIAAgACAAIAAgACAAIABMAEEATQBCAEQAQQAoACAAQQBjAGMALAAgAG4ALABcAG4AIAAgACAAIAAgACAAIAAgACAAIAAgACAAIAAgACAAIAAgACAAIAAgACAAIAAgACAAIAAgACAAIAAgACAAIAAgAEwARQBUACgAIABcAG4AIAAgACAAIAAgACAAIAAgACAAIAAgACAAIAAgACAAIAAgACAAIAAgACAAIAAgACAAIAAgACAAIAAgACAAIAAgACAAIAAgACAARgByAG8AbQBBAG0AbwB1AG4AdAAsACAAIAAgACAAIABJAE4ARABFAFgAKAAgAEEAbQBvAHUAbgB0AHMALAAgAG4AKQAsACA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AAIAAgACAAQgBhAHMAZQBBAHIAcgBhAHkALAAgACAAIAAgACAAIABFAFgAUABBAE4ARAAoACAAVABvAEEAbQBvAHUAbgB0ACwAIAAxACwAIABUAG8AQwBvAHUAbgB0ACwAIABUAG8AQQBtAG8AdQBuAHQAKQAsAFwAbgAgACAAIAAgACAAIAAgACAAIAAgACAAIAAgACAAIAAgACAAIAAgACAAIAAgACAAIAAgACAAIAAgACAAIAAgACAAIAAgACAAIABUAG8AQQByAHIAYQB5ACwAIAAgACAAIAAgACAAIAAgAEkARgAoACAAVABvAEMAbwB1AG4AdAAgAD0AIAAxACwAIABcAG4AIAAgACAAIAAgACAAIAAgACAAIAAgACAAIAAgACAAIAAgACAAIAAgACAAIAAgACAAIAAgACAAIAAgACAAIAAgACAAIAAgACAAIAAgACAAIAAgACAAIAAgACAAIAAgACAAIAAgACAAIAAgACAAIAAgAEIAYQBzAGUAQQByAHIAYQB5ACwAIABcAG4AIAAgACAAIAAgACAAIAAgACAAIAAgACAAIAAgACAAIAAgACAAIAAgACAAIAAgACAAIAAgACAAIAAgACAAIAAgACAAIAAgACAAIAAgACAAIAAgACAAIAAgACAAIAAgACAAIAAgACAAIAAgACAAIAAgAEgAUwBUAEEAQwBLACgAIABcAG4AIAAgACAAIAAgACAAIAAgACAAIAAgACAAIAAgACAAIAAgACAAIAAgACAAIAAgACAAIAAgACAAIAAgACAAIAAgACAAIAAgACAAIAAgACAAIAAgACAAIAAgACAAIAAgACAAIAAgACAAIAAgACAAIAAgACAAIAAgACAAVABBAEsARQAoAEIAYQBzAGUAQQByAHIAYQB5ACwAIAAxACwAIABUAG8AQwBvAHUAbgB0ACAALQAgADEAKQAsACAAXABuACAAIAAgACAAIAAgACAAIAAgACAAIAAgACAAIAAgACAAIAAgACAAIAAgACAAIAAgACAAIAAgACAAIAAgACAAIAAgACAAIAAgACAAIAAgACAAIAAgACAAIAAgACAAIAAgACAAIAAgACAAIAAgACAAIAAgACAAIAAgAEYAcgBvAG0AQQBtAG8AdQBuAHQAIAAtACAAUwBVAE0AKAAgAFQAQQBLAEUAKABCAGEAcwBlAEEAcgByAGEAeQAsACAAMQAsACAAVABvAEMAbwB1AG4AdAAgAC0AIAAx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AsACAAIAAgACAAIAAgACAAIAAgAEkARgAoACAAbgAgAD0AIAAxACwAIABUAG8AQQByAHIAYQB5ACwAIABIAFMAVABBAEMASwAoACAAQQBjAGMALAAgAFQAbwBBAHIAcgBhAHkAIA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AAIAAgACAAIAAgACAAIAAgACAAIAAgACAAIACSIT0AbgBhAGIAbABhAC4AZgAuAFAAZQByAGkAbwBkAEQAaQBmAGYAuwMoAFwAIgBcACIAMgAwADIANgAtADAAMQAtADAAMQBcACIAXAAiACwAIABcACIAXAAiADIAMAAyADYALQAwADQALQAxADUAXAAiAFwAIgAsACAAXAAiAFwAIgBR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EQAYQB0AGUAKQAsAFwAbgAgACAAIAAgACAAIAAgACAAIAAgACAAIAAgACAAIAAgACAAIAAgACAAIAAgACAAIAAgACAAIAAgAEkAUwBPAE0ASQBUAFQARQBEACgAIABFAG4AZABEAGEAdABlACkALABcAG4AIAAgACAAIAAgACAAIAAgACAAIAAgACAAIAAgACAAIAAgACAAIAAgACAAIAAgACAAIAAgACAAIABJAFMATwBNAEkAVABUAEUARAAoACAASQBuAHQAZQByAHYAYQBsACkAXABuACAAIAAgACAAIAAgACAAIAAgACAAIAAgACAAIAAgACAAIAAgACAAIAAgACAAIAAgACkALABcAG4AIAAgACAAIAAvAC8AIAAgAEMAbwBuAHMAdABhAG4AdABzAFwAbgAgACAAIAAgACAAIAAgACAATQBwAFAALAAgACAAIAAgACAAIAAgACAAIAAgACAAIAAgACAAIAAgAFMAVwBJAFQAQwBIACgAIABJAG4AdABlAHIAdgBhAGwALAAgAFwAIgBNAFwAIgAsACAAMQAsACAAXAAiAFEAXAAiACwAIAAzACwAIABcACIAWQBcACIALAAgADEAMgAsACAAMAApACwAXABuACAAIAAgACAALwAvACAAIABQAHIAbwBjAGUAZAB1AHIAZQBcAG4AIAAgACAAIAAgACAAIAAgAE0AbwBuAHQAaABzACwAIAAgACAAIAAgACAAIAAgACAAIAAgACAAIABEAEEAVABFAEQASQBGACgAIABTAHQAYQByAHQARABhAHQAZQAsACAARQBuAGQARABhAHQAZQAsACAAXAAiAE0AXAAiACkAIAArACAAMQAsAFwAbgAgACAAIAAgACAAIAAgACAAUABlAHIAaQBvAGQAcwAsACAAIAAgACAAIAAgACAAIAAgACAAIAAgAEkATgBUACgAIABNAG8AbgB0AGgAcwAgAC8AIABNAHAAUAApACwAXABuACAAIAAgACAAIAAgACAAIABQAGEAcgB0AGkAYQBsAFAAZQByAGkAbwBkACwAIAAgACAAIAAgACAATgAoACAATQBPAEQAKAAgAE0AbwBuAHQAaABzACwAIABNAHAAUAApACAAPgAgADAAKQAsAFwAbgAgACAAIAAgACAAIAAgACAARQBPAE0AQwBvAHIAcgBlAGMAdABpAG8AbgAsACAAIAAgACAAIAAgAE4AKAAgAEEATgBEACgAIABFAG4AZABEAGEAdABlACAAPQAgAEUATwBNAE8ATgBUAEgAKAAgAEUAbgBkAEQAYQB0AGUALAAgADAAKQAsACAARABBAFkAKAAgAFMAdABhAHIAdABEAGEAdABlACkAIAA+ACAARABhAHkAKAAgAEUAbgBkAEQAYQB0AGUAKQApACkALABcAG4AIAAgACAAIAAgACAAIAAgAFIAZQBzAHUAbAB0ACwAIAAgACAAIAAgACAAIAAgACAAIAAgACAAIABJAEYAKAAgAEkAbgB0AGUAcgB2AGEAbAAgAD0AIABcACIAVwBcACIALAAgAFwAbgAgACAAIAAgACAAIAAgACAAIAAgACAAIAAgACAAIAAgACAAIAAgACAAIAAgACAAIAAgACAAIAAgACAAIAAgACAASQBOAFQAKAAoAEUAbgBkAEQAYQB0AGUAIAAtACAAUwB0AGEAcgB0AEQAYQB0AGUAIAArACAAMQApACAALwAgADcAKQAsAFwAbgAgACAAIAAgACAAIAAgACAAIAAgACAAIAAgACAAIAAgACAAIAAgACAAIAAgACAAIAAgACAAIAAgACAAIAAgACAAUABlAHIAaQBvAGQAcwAgACsAIABPAFIAKABQAGEAcgB0AGkAYQBsAFAAZQByAGkAbwBkACwAIABFAE8ATQBDAG8AcgByAGUAYwB0AGkAbwBu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wBMAE4AuwNcAG4AIAAgACAAIABEAEUAUwBDAFIASQBQAFQASQBPAE4AOgAqAC8ALwAqACoAUwB0AHIAYQBpAGcAaAB0ACAATABpAG4AZQAgAGQAZQBwAHIAZQBjAGkAYQB0AGkAbwBuACAAbQBlAHQAaABvAGQAIABmAG8AcgAgAG8AbgBlACAAYQBzAHMAZQB0ACAAbwByACAAYQBzAHMAZQB0ACAAYwBsAGEAcwBzAC4AKgAvAFwAbgBTAEwATg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TABOALsDKABDAG8AcwB0ACwAIABTAGEAbAB2AGEAZwBlACwAIABMAGkAZgBlACkAtgBcACIAIAAmAFwAbgAgACAAIAAgACAAIAAgACAAIAAgACAAIAAgACAAIAAgACAAIAAgACAAIAAgACAAIAAgACAAIAAgAFwAIgBEAEUAUwBDAFIASQBQAFQASQBPAE4AOgAgACAAIACSIVMAdAByAGEAaQBnAGgAdAAgAEwAaQBuAGUAIABEAGUAcAByAGUAYwBpAGEAdABpAG8AbgAgAE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EQAZQBwAG4ALAAgACAAIAAgACAAIAAgACAAIAAgACAAUwBMAE4AKABDAG8AcwB0ACwAIABTAGEAbAB2AGEAZwBlACwAIABMAGkAZgBlACkALABcAG4AIAAgACAAIAAgACAAIAAgAFIAZQBzAHUAbAB0ACwAIAAgACAAIAAgACAAIAAgACAARQBYAFAAQQBOAEQAKABEAGUAcABuACwAIAAxACwAIABMAGkAZgBlACwAIABEAGUAcABu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ZAEQ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sADIANAAwACwAMQA4ADAALAAxADIAMAAs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UgBlAHMAdQBsAHQALAAgACAAIAAgACAAIAAgACAAUwBZAEQAKABDAG8AcwB0ACwAIABTAGEAbAB2AGEAZwBlACwAIABMAGkAZgBlACwAIABTAEUAUQBVAEUATgBDAEUAKAAgACwAIABMAGkAZg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CALsDXABuACAAIAAgACAARABFAFMAQwBSAEkAUABUAEkATwBOADoAKgAvAC8AKgAqAEYAaQB4AGUAZAAgAGQAZQBjAGwAaQBuAGkAbgBnACAAYgBhAGwAYQBuAGMAZQAgAGQAZQBwAHIAZQBjAGkAYQB0AGkAbwBuACAAbQBlAHQAaABvAGQAIABmAG8AcgAgAG8AbgBlACAAYQBzAHMAZQB0ACAAbwByACAAYQBzAHMAZQB0ACAAYwBsAGEAcwBzAC4AKgAvAFwAbgBEAEIAuwMgAD0AIABMAEEATQBCAEQAQQAoAFwAbgAvAC8AIAAgAFAAYQByAGEAbQBlAHQAZQByACAARABlAGMAbABhAHIAYQB0AGkAbwBuAFwAbgAgACAAIAAgAFsAQwBvAHMAdABdACwAXABuACAAIAAgACAAWwBTAGEAbAB2AGEAZwBlAF0ALAAgAFwAbgAgACAAIAAgAFsATABpAGYAZQBdACwAIABcAG4AIAAgACAAIABbAE0AbwBuAHQAaABz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TQBvAG4AdABoAHMAXQApALYAXAAiACAAJgBcAG4AIAAgACAAIAAgACAAIAAgACAAIAAgACAAIAAgACAAIAAgACAAIAAgACAAIAAgACAAIAAgACAAIABcACIARABFAFMAQwBSAEkAUABUAEkATwBOADoAIAAgACAAkiFGAGkAeABlAGQAIABkAGUAYwBsAGkAbgBpAG4AZwAgAGIAYQBsAGEAbgBjAGUAIABkAGUAcAByAGUAYwBpAGEAdABpAG8AbgAgAG0AZQB0AGgAbwBkACAAZgBvAHIAIABvAG4AZQAgAGEAcwBzAGUAdAAgAG8AcgAgAGEAcwBzAGUAdAAgAGMAbABhAHMAcw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NAG8AbgB0AGgAcwAgACAAIAAgACAAIAAgACAAIACSISgATwBwAHQAaQBvAG4AYQBsACkAIABOAHUAbQBiAGUAcgAgAG8AZgAgAG0AbwBuAHQAaABzACAAaQBuACAAdABoAGUAIABmAGkAcgBzAHQAIAB5AGUAYQByACAAdABvACAAZABlAHAAcgBlAGMAaQBhAHQAZQ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YAOQAuADAAMAAsADIAMwAyAC4AOAA0ACwAMQA0ADYALgA5ADIALAA5ADIALgA3ADEALAA1ADgALgA1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NAG8AbgB0AGgAcwAsACAAIAAgACAAIAAgACAAIAAgAEkARgAoACAASQBTAE8ATQBJAFQAVABFAEQAKAAgAE0AbwBuAHQAaABzACkALAAgADEAMgAsACAATQBvAG4AdABoAHMAKQAsAFwAbgAgACAAIAAgAC8ALwAgACAAUAByAG8AYwBlAGQAdQByAGUAXABuACAAIAAgACAAIAAgACAAIABEAGUAcABuACwAIAAgACAAIAAgACAAIAAgACAAIAAgAEQAQgAoACAAQwBvAHMAdAAsACAAUwBhAGwAdgBhAGcAZQAsACAATABpAGYAZQAsACAAUwBFAFEAVQBFAE4AQwBFACgAIAAsACAATABpAGYAZQAgAC0AIAAxACAAKQAsACAATQBvAG4AdABoAHM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RABCALsDXABuACAAIAAgACAARABFAFMAQwBSAEkAUABUAEkATwBOADoAKgAvAC8AKgAqAEQAbwB1AGIAbABlAC0AZABlAGMAbABpAG4AaQBuAGcAIABiAGEAbABhAG4AYwBlACAAZABlAHAAcgBlAGMAaQBhAHQAaQBvAG4AIABtAGUAdABoAG8AZAAgAGYAbwByACAAbwBuAGUAIABhAHMAcwBlAHQAIABvAHIAIABhAHMAcwBlAHQAIABjAGwAYQBzAHMALgAqAC8AXABuAEQ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EAEIAuwMoAEMAbwBzAHQALAAgAFMAYQBsAHYAYQBnAGUALAAgAEwAaQBmAGUALAAgAFsARgBhAGMAdABvAHIAXQApALYAXAAiACAAJgBcAG4AIAAgACAAIAAgACAAIAAgACAAIAAgACAAIAAgACAAIAAgACAAIAAgACAAIAAgACAAIAAgACAAIABcACIARABFAFMAQwBSAEkAUABUAEkATwBOADoAIAAgACAAkiFEAG8AdQBiAGwAZQAt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YARABCALsDKAAxADAAMAAwACwAIAAxADAAMAAsACAANQAsACAAMQAuADUALAAgAFQAUgBVAE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4AMAAwACwAMgAxADAALgAwADAALAAxADQANwAuADAAMAAsADEAMgAxAC4ANQAwACwAMQAyADEALgA1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gACAAIAAgAE4AbwBfAFMAdwBpAHQAYwBoACwAIAAgACAAIAAgACAASQBGACgAIABJAFMATwBNAEkAVABUAEUARAAoACAATgBvAF8AUwB3AGkAdABjAGgAKQAsACAARgBBAEwAUwBFACwAIABOAG8AXwBTAHcAaQB0AGMAaAApACwAXABuACAAIAAgACAALwAvACAAIABQAHIAbwBjAGUAZAB1AHIAZQBcAG4AIAAgACAAIAAgACAAIAAgAFIAZQBzAHUAbAB0ACwAIAAgACAAIAAgACAAIAAgACAAVgBEAEIAKAAgAEMAbwBzAHQALAAgAFMAYQBsAHYAYQBnAGUALAAgAEwAaQBmAGUALAAgAFMARQBRAFUARQBOAEMARQAoACAALAAgAEwAaQBmAGUALAAgADAAKQAsACAAUwBFAFEAVQBFAE4AQwBFACgAIAAsACAATABpAGYAZQApACwAIABGAGEAYwB0AG8Acg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QAZQBwAHIAZQBjAGkAYQB0AGUAuwM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AgACAAIAAgAFsARABpAGEAZwBuAG8AcwB0AGkAYwBz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EAGkAYQBnAG4AbwBzAHQAaQBjAHMAIAAqACAARQByAHIAbwByAHMASQBuAEEAcgBnAHMALAAgAEQAaQBhAGcAbgBvAHMAdABpAGMAcwAgACo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BEAGUAcAByAGUAYwBpAGEAdABlALsDRABWAC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CAAXABuACAAIAAgACAAWwBGAGEAYwB0AG8AcgBz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SQBuAGkAdABpAGEAbABWAGEAbAB1AGUAcwApACkALABcAG4AIAAgACAAIAAgACAAIAAgACAAIAAgACAAIAAgACAAIAAgACAAIAAgACAAIAAgACAAIAAgACAAIABPAFIAKAAgAEkAUwBFAFIAUgBPAFIAKAAgAEkAbgBTAGUAcgB2AGkAYwBlAEQAYQB0AGUAcwApACkALABcAG4AIAAgACAAIAAgACAAIAAgACAAIAAgACAAIAAgACAAIAAgACAAIAAgACAAIAAgACAAIAAgACAAIABPAFIAKAAgAEkAUwBFAFIAUgBPAFIAKAAgAEwAaQBmAGUASQBuAFkAZQBhAHIAcwApACkALABcAG4AIAAgACAAIAAgACAAIAAgACAAIAAgACAAIAAgACAAIAAgACAAIAAgACAAIAAgACAAIAAgACAAIABPAFIAKAAgAEkAUwBFAFIAUgBPAFIAKAAgAFQAaQBtAGUAbABpAG4AZQApACkALABcAG4AIAAgACAAIAAgACAAIAAgACAAIAAgACAAIAAgACAAIAAgACAAIAAgACAAIAAgACAAIAAgACAAIABPAFIAKAAgAEkAUwBFAFIAUgBPAFIAKAAgAFMAYQBsAHYAYQBnAGUAVgBhAGwAdQBlAHMAKQApACwAXABuACAAIAAgACAAIAAgACAAIAAgACAAIAAgACAAIAAgACAAIAAgACAAIAAgACAAIAAgACAAIAAgACAATwBSACgAIABJAFMARQBSAFIATwBSACgAIABEAGkAcwBwAG8AcwBhAGwARABhAHQAZQBzACkAKQAsAFwAbgAgACAAIAAgACAAIAAgACAAIAAgACAAIAAgACAAIAAgACAAIAAgACAAIAAgACAAIAAgACAAIAAgAE8AUgAoACAASQBTAEUAUgBSAE8AUgAoACAARABpAHMAcABvAHMAYQBsAEMAbwBzAHQAcwApACkALABcAG4AIAAgACAAIAAgACAAIAAgACAAIAAgACAAIAAgACAAIAAgACAAIAAgACAAIAAgACAAIAAgACAAIABPAFIAKAAgAEkAUwBFAFIAUgBPAFIAKAAgAE0AZQB0AGgAbwBkAHMAKQApACwAXABuACAAIAAgACAAIAAgACAAIAAgACAAIAAgACAAIAAgACAAIAAgACAAIAAgACAAIAAgACAAIAAgACAATwBSACgAIABJAFMARQBSAFIATwBSACgAIABGAGEAYwB0AG8AcgBz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RQBSAFIATwBSACgASQBuAGkAdABpAGEAbABWAGEAbAB1AGUAcwApACkALAAgAFwAbgAgACAAIAAgACAAIAAgACAAIAAgACAAIAAgACAAIAAgACAAIAAgACAAIAAgACAAIAAgACAAIAAgAEYAQQBMAFMARQAsACAAXABuACAAIAAgACAAIAAgACAAIAAgACAAIAAgACAAIAAgACAAIAAgACAAIAAgACAAIAAgACAAIAAgACAATwBSACgAIABJAEYARQBSAFIATwBSACgAIABWAEEATABVAEUAKABJAG4AaQB0AGkAYQBsAFYAYQBsAHUAZQBzACkAIAA8ACAAMQAsACAAVABSAFUARQApACkAKQAsAFwAbgAgACAAIAAgACAAIAAgACAARABWAEEAcgBnADIALAAgACAAIAAgACAAIAAgACAAIABJAEYAKAAgAE8AUgAoACAASQBTAEUAUgBSAE8AUgAoACAASQBuAFMAZQByAHYAaQBjAGUARABhAHQAZQBz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JAG4AUwBlAHIAdgBpAGMAZQBEAGEAdABlAHMAKQAgADwAIABNAEkATgAoACAAVABpAG0AZQBsAGkAbgBlACkALAAgAFQAUgBVAEUAKQApACkALABcAG4AIAAgACAAIAAgACAAIAAgAEQAVgBBAHIAZwAzACwAIAAgACAAIAAgACAAIAAgACAASQBGACgAIABPAFIAKAAgAEkAUwBFAFIAUgBPAFIAKAAgAEwAaQBmAGUASQBuAFkAZQBhAHIAcwApACkALAAgAFwAbgAgACAAIAAgACAAIAAgACAAIAAgACAAIAAgACAAIAAgACAAIAAgACAAIAAgACAAIAAgACAAIAAgAEYAQQBMAFMARQAsACAAXABuACAAIAAgACAAIAAgACAAIAAgACAAIAAgACAAIAAgACAAIAAgACAAIAAgACAAIAAgACAAIAAgACAATwBSACgAIABJAEYARQBSAFIATwBSACgAIABWAEEATABVAEUAKABMAGkAZgBlAEkAbgBZAGUAYQByAHMAKQAgADwAIAAxACwAIABUAFIAVQBFACkAKQApACwAXABuACAAIAAgACAAIAAgACAAIABEAFYAQQByAGcANAAsACAAIAAgACAAIAAgACAAIAAgAEkARgAoACAATwBSACgAIABJAFMARQBSAFIATwBSACgAIABUAGkAbQBlAGwAaQBuAGUAKQApACwAIABcAG4AIAAgACAAIAAgACAAIAAgACAAIAAgACAAIAAgACAAIAAgACAAIAAgACAAIAAgACAAIAAgACAAIABGAEEATABTAEUALAAgAFwAbgAgACAAIAAgACAAIAAgACAAIAAgACAAIAAgACAAIAAgACAAIAAgACAAIAAgACAAIAAgACAAIAAgAEMATwBVAE4AVABBACgAIABUAGkAbQBlAGwAaQBuAGUAKQAgADwAIAAyACkALABcAG4AIAAgACAAIAAgACAAIAAgAEQAVgBBAHIAZwA0AGIALAAgACAAIAAgACAAIAAgACAASQBGACgAIABPAFIAKAAgAE8AUgAoAEUAcgByAG8AcgBzAEkAbgBBAHIAZwBzACkALAAgAEQAVgBBAHIAZwA0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IAOAAgACkALABcAG4AIAAgACAAIAAgACAAIAAgAEQAVgBBAHIAZwA1ACwAIAAgACAAIAAgACAAIAAgACAASQBGACgAIABPAFIAKAAgAEkAUwBPAE0ASQBUAFQARQBEACgAIABTAGEAbAB2AGEAZwBlAFYAYQBsAHUAZQBzACkALAAgAE8AUgAoAEkAUwBFAFIAUgBPAFIAKABTAGEAbAB2AGEAZwBlAFYAYQBsAHUAZQBzACkAKQApACwAIABcAG4AIAAgACAAIAAgACAAIAAgACAAIAAgACAAIAAgACAAIAAgACAAIAAgACAAIAAgACAAIAAgACAAIABGAEEATABTAEUALAAgAFwAbgAgACAAIAAgACAAIAAgACAAIAAgACAAIAAgACAAIAAgACAAIAAgACAAIAAgACAAIAAgACAAIAAgAE8AUgAoACAASQBGAEUAUgBSAE8AUgAoACAAVgBBAEwAVQBFACgAUwBhAGwAdgBhAGcAZQBWAGEAbAB1AGUAcwApACAAPAAgADAALAAgAFQAUgBVAEUAKQApACkALABcAG4AIAAgACAAIAAgACAAIAAgAEQAVgBBAHIAZwA2ACwAIAAgACAAIAAgACAAIAAgACAASQBGACgAIABPAFIAKAAgAEkAUwBPAE0ASQBUAFQARQBEACgAIABEAGkAcwBwAG8AcwBhAGwARABhAHQAZQBzACkALAAgAE8AUgAoAEUAcgByAG8AcgBzAEkAbgBBAHIAZwBzACkAKQAsAFwAbgAgACAAIAAgACAAIAAgACAAIAAgACAAIAAgACAAIAAgACAAIAAgACAAIAAgACAAIAAgACAAIAAgAEYAQQBMAFMARQAsACAAXABuACAAIAAgACAAIAAgACAAIAAgACAAIAAgACAAIAAgACAAIAAgACAAIAAgACAAIAAgACAAIAAgACAATwBSACgAIABEAGkAcwBwAG8AcwBhAGwARABhAHQAZQBzACAAPAAgAEkAbgBTAGUAcgB2AGkAYwBlAEQAYQB0AGUAcwApACkALABcAG4AIAAgACAAIAAgACAAIAAgACAAIAAgACAAIAAgACAAIAAgACAAIAAgACAAIAAgACAAIAAgACAAIAAvAC8ATwBSACgAIABJAEYARQBSAFIATwBSACgAIABWAEEATABVAEUAKABEAGkAcwBwAG8AcwBhAGwARABhAHQAZQBzACkAIAA8ACAASQBuAFMAZQByAHYAaQBjAGUARABhAHQAZQBzACwAIABUAFIAVQBFACkAKQApACwAXABuACAAIAAgACAAIAAgACAAIABEAFYAQQByAGcANwAsACAAIAAgACAAIAAgACAAIAAgAEkARgAoACAATwBSACgAIABJAFMATwBNAEkAVABUAEUARAAoACAARABpAHMAcABvAHMAYQBsAEMAbwBzAHQAcwApACwAIABPAFIAKABJAFMARQBSAFIATwBSACgARABpAHMAcABvAHMAYQBsAEMAbwBzAHQAcwApACkAKQAsACAAXABuACAAIAAgACAAIAAgACAAIAAgACAAIAAgACAAIAAgACAAIAAgACAAIAAgACAAIAAgACAAIAAgACAARgBBAEwAUwBFACwAIABcAG4AIAAgACAAIAAgACAAIAAgACAAIAAgACAAIAAgACAAIAAgACAAIAAgACAAIAAgACAAIAAgACAAIABPAFIAKAAgAEkARgBFAFIAUgBPAFIAKAAgAFYAQQBMAFUARQAoAEQAaQBzAHAAbwBzAGEAbABDAG8AcwB0AHMAKQAgADwAIAAwACwAIABUAFIAVQBFACkAKQApACwAXABuACAAIAAgACAAIAAgACAAIABEAFYAQQByAGcAOAAsACAAIAAgACAAIAAgACAAIAAgAEkARgAoACAATwBSACgAIABJAFMATwBNAEkAVABUAEUARAAoACAATQBlAHQAaABvAGQAcwApACwAIAAgAEkAUwBFAFIAUgBPAFIAKAAgAE0AZQB0AGgAbwBkAHMAKQApACwAIABcAG4AIAAgACAAIAAgACAAIAAgACAAIAAgACAAIAAgACAAIAAgACAAIAAgACAAIAAgACAAIAAgACAAIABGAEEATABTAEUALAAgAFwAbgAgACAAIAAgACAAIAAgACAAIAAgACAAIAAgACAAIAAgACAAIAAgACAAIAAgACAAIAAgACAAIAAgAE8AUgAoAEkAUwBFAFIAUgBPAFIAKAAgAFMARQBBAFIAQwBIACgAIABNAGUAdABoAG8AZABzACwAIABcACIAUwBMAE4ALABTAFkARAAsAEQAQgAsAEQARABCACwAVgBEAEIALABEAFYALABQAEMAXAAiACkAKQApACkALABcAG4AIAAgACAAIAAgACAAIAAgAEQAVgBBAHIAZwA5ACwAIAAgACAAIAAgACAAIAAgACAASQBGACgAIABPAFIAKAAgAEkAUwBPAE0ASQBUAFQARQBEACgAIABGAGEAYwB0AG8AcgBzACkALAAgACAASQBTAEUAUgBSAE8AUgAoACAARgBhAGMAdABvAHIAcwApACkALAAgAFwAbgAgACAAIAAgACAAIAAgACAAIAAgACAAIAAgACAAIAAgACAAIAAgACAAIAAgACAAIAAgACAAIAAgAEYAQQBMAFMARQAsACAAXABuACAAIAAgACAAIAAgACAAIAAgACAAIAAgACAAIAAgACAAIAAgACAAIAAgACAAIAAgACAAIAAgACAATwBSACgASQBGAEUAUgBSAE8AUgAoACAAVgBBAEwAVQBFACgAIABGAGEAYwB0AG8AcgBzACkAIAA8ACAAMAAsACAAVABSAFUARQAgACkAKQApACwAXABuACAAIAAgACAAIAAgACAAIABEAFYARQByAHIAbwByAHMALAAgACAAIAAgACAAIAAgAFYAUwBUAEEAQwBLACgAIABEAFYAQQByAGcAMQAsACAARABWAEEAcgBnADIALAAgAEQAVgBBAHIAZwAzACwAIABEAFYAQQByAGcANAAsACAARABWAEEAcgBnADQAYgAsACAARABWAEEAcgBnADUALAAgAEQAVgBBAHIAZwA2ACwAIABEAFYAQQByAGcANwAsACAARABWAEEAcgBnADgALAAgAEQAVgBBAHIAZwA5ACA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CAAXAAiAEkAbgBpAHQAaQBhAGwAVgBhAGwAdQBlAHMAIABjAG8AbgB0AGEAaQBuAHMAIABlAHIAcgBvAHIAcwAgAGkAbgAgAGMAZQBsAGwAcwAuACAAUgBlAHMAbwBsAHYAZQAgAGUAcgByAG8AcgBzACAAZgBpAHIAcwB0AC4AXAAiADsAXABuACAAIAAgACAAIAAgACAAIAAgACAAIAAgACAAIAAgACAAIAAgACAAIAAgACAAIAAgACAAXAAiAEkAbgBTAGUAcgB2AGkAYwBlAEQAYQB0AGUAcwAgAGMAbwBuAHQAYQBpAG4AcwAgAGUAcgByAG8AcgBzACAAaQBuACAAYwBlAGwAbABzAC4AIABSAGUAcwBvAGwAdgBlACAAZQByAHIAbwByAHMAIABmAGkAcgBzAHQALgBcACIAOwBcAG4AIAAgACAAIAAgACAAIAAgACAAIAAgACAAIAAgACAAIAAgACAAIAAgACAAIAAgACAAIABcACIATABpAGYAZQBJAG4AWQBlAGEAcgBzACAAYwBvAG4AdABhAGkAbgBzACAAZQByAHIAbwByAHMAIABpAG4AIABjAGUAbABsAHMALgAgAFIAZQBzAG8AbAB2AGUAIABlAHIAcgBvAHIAcwAgAGYAaQByAHMAdAAuAFwAIgA7AFwAbgAg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CAAXAAiAFMAYQBsAHYAYQBnAGUAVgBhAGwAdQBlAHMAIABjAG8AbgB0AGEAaQBuAHMAIABlAHIAcgBvAHIAcwAgAGkAbgAgAGMAZQBsAGwAcwAuACAAUgBlAHMAbwBsAHYAZQAgAGUAcgByAG8AcgBzACAAZgBpAHIAcwB0AC4AXAAiADsAXABuACAAIAAgACAAIAAgACAAIAAgACAAIAAgACAAIAAgACAAIAAgACAAIAAgACAAIAAgACAAXAAiAEQAaQBzAHAAbwBzAGEAbABEAGEAdABlAHMAIABjAG8AbgB0AGEAaQBuAHMAIABlAHIAcgBvAHIAcwAgAGkAbgAgAGMAZQBsAGwAcwAuACAAUgBlAHMAbwBsAHYAZQAgAGUAcgByAG8AcgBzACAAZgBpAHIAcwB0AC4AXAAiADsAXABuACAAIAAgACAAIAAgACAAIAAgACAAIAAgACAAIAAgACAAIAAgACAAIAAgACAAIAAgACAAXAAiAEQAaQBzAHAAbwBzAGEAbABDAG8AcwB0AHMAIABjAG8AbgB0AGEAaQBuAHMAIABlAHIAcgBvAHIAcwAgAGkAbgAgAGMAZQBsAGwAcwAuACAAUgBlAHMAbwBsAHYAZQAgAGUAcgByAG8AcgBzACAAZgBpAHIAcwB0AC4AXAAiADsAXABuACAAIAAgACAAIAAgACAAIAAgACAAIAAgACAAIAAgACAAIAAgACAAIAAgACAAIAAgACAAXAAiAE0AZQB0AGgAbwBkAHMAIABjAG8AbgB0AGEAaQBuAHMAIABlAHIAcgBvAHIAcwAgAGkAbgAgAGMAZQBsAGwAcwAuACAAUgBlAHMAbwBsAHYAZQAgAGUAcgByAG8AcgBzACAAZgBpAHIAcwB0AC4AXAAiADsAXABuACAAIAAgACAAIAAgACAAIAAgACAAIAAgACAAIAAgACAAIAAgACAAIAAgACAAIAAgACAAXAAiAEYAYQBjAHQAbwByAHM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IABcACIASQBuAGkAdABpAGEAbABWAGEAbAB1AGUAcwAgAG0AdQBzAHQAIABiAGUAIABhAG4AIABhAG0AbwB1AG4AdAAgAGcAcgBlAGEAdABlAHIAIAB0AGgAYQBuACAAMABcACIAOwBcAG4AIAAgACAAIAAgACAAIAAgACAAIAAgACAAIAAgACAAIAAgACAAIAAgACAAIAAgACAAIABcACIASQBuAFMAZQByAHYAaQBjAGUARABhAHQAZQBzACAAbQB1AHMAdAAgAGIAZQAgAHYAYQBsAGkAZAAgAGQAYQB0AGUAcwBcACIAOwBcAG4AIAAgACAAIAAgACAAIAAgACAAIAAgACAAIAAgACAAIAAgACAAIAAgACAAIAAgACAAIABcACIATABpAGYAZQBJAG4AWQBlAGEAcgBzACAAbQB1AHMAdAAgAGIAZQAgAGEAIABuAHUAbQBiAGUAcgAgAGcAcgBlAGEAdABlAHIAIAB0AGgAYQBuACAAMABcACIAOwBcAG4AIAAgACAAIAAgACAAIAAgACAAIAAgACAAIAAgACAAIAAgACAAIAAgACAAIAAgACAAIABcACIAVABpAG0AZQBsAGkAbgBlACAAbQB1AHMAdAAgAGIAZQAgAGEAIAByAG8AdwAgAG8AZgAgAHAAZQByAGkAbwBkACAAcwB0AGEAcgB0ACAAZABhAHQAZQBzACAAdwBpAHQAaAAgAGUAdgBlAHIAeQAgAHAAZQByAGkAbwBkACAAcwBwAGEAbgBuAGkAbgBnACAAbwBuAGUAIABtAG8AbgB0AGgALAAgAHEAdQBhAHIAdABlAHIAIABvAHIAIAB5AGUAYQByAC4AXAAiADsAXABuACAAIAAgACAAIAAgACAAIAAgACAAIAAgACAAIAAgACAAIAAgACAAIAAgACAAIAAgACAAXAAiAEUAYQBjAGgAIABwAGUAcgBpAG8AZAAgAGkAbgAgAHQAaABlACAAdABpAG0AZQBsAGkAbgBlACAAbQB1AHMAdAAgAHMAcABhAG4AIABvAG4AZQAgAG0AbwBuAHQAaAAsACAAcQB1AGEAcgB0AGUAcgAgAG8AcgAgAHkAZQBhAHIALgBcACIAOwBcAG4AIAAgACAAIAAgACAAIAAgACAAIAAgACAAIAAgACAAIAAgACAAIAAgACAAIAAgACAAIABcACIAUwBhAGwAdgBhAGcAZQBWAGEAbAB1AGUAcwAgAG0AdQBzAHQAIABiAGUAIABhAG4AIABhAG0AbwB1AG4AdAAgAG4AbwB0ACAAbABlAHMAcwAgAHQAaABhAG4AIAAwACAAbwByACAAbwBtAGkAdAB0AGUAZABcACIAOwBcAG4AIAAgACAAIAAgACAAIAAgACAAIAAgACAAIAAgACAAIAAgACAAIAAgACAAIAAgACAAIABcACIARABpAHMAcABvAHMAYQBsAEQAYQB0AGUAcwAgAG0AdQBzAHQAIABiAGUAIABhACAAZABhAHQAZQAgAGcAcgBlAGEAdABlAHIAIAB0AGgAYQBuACAASQBuAFMAZQByAHYAaQBjAGUARABhAHQAZQBzACAAbwByACAAbwBtAGkAdAB0AGUAZABcACIAOwBcAG4AIAAgACAAIAAgACAAIAAgACAAIAAgACAAIAAgACAAIAAgACAAIAAgACAAIAAgACAAIABcACIARABpAHMAcABvAHMAYQBsAEMAbwBzAHQAcwAgAG0AdQBzAHQAIABiAGUAIABhAG4AIABhAG0AbwB1AG4AdAAgAG4AbwB0ACAAbABlAHMAcwAgAHQAaABhAG4AIAAwACAAbwByACAAbwBtAGkAdAB0AGUAZABcACIAOwBcAG4AIAAgACAAIAAgACAAIAAgACAAIAAgACAAIAAgACAAIAAgACAAIAAgACAAIAAgACAAIABcACIATQBlAHQAaABvAGQAcwAgAG0AdQBzAHQAIABiAGUAIABvAG0AaQB0AHQAZQBkACAAbwByACAAbwBuAGUAIABvAGYAOgAgAFMATABOACwAIABTAFkARAAsACAARABCACwAIABEAEQAQgAsACAAVgBEAEIALAAgAEQAVgAsACAAbwByACAAUABDAC4AXAAiADsAXABuACAAIAAgACAAIAAgACAAIAAgACAAIAAgACAAIAAgACAAIAAgACAAIAAgACAAIAAgACAAXAAiAEYAYQBjAHQAbwByAHMAIABtAHUAcwB0ACAAYgBlACAAYQAgAHYAYQBsAHUAZQAgAGcAcgBlAGEAdABlAHIAIAB0AGgAYQBuACAAMA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LwAgACAAUwB1AGIAUgBvAHUAdABpAG4AZQBzAFwAbgBcAG4AXABuAC8AKgAgACAARgBVAE4AQwBUAEkATwBOACAATgBBAE0ARQA6ACAAIABUAGkAbQBlAGwAaQBuAGUATwBmAGYAcwBlAHQAuwNcAG4AIAAgACAAIABEAEUAUwBDAFIASQBQAFQASQBPAE4AOgAqAC8ALwAqACoARABlAHQAZQByAG0AaQBuAGUAcwAgAGgAbwB3ACAAbQBhAG4AeQAgAHAAZQByAGkAbwBkAHMAIABvAG4AZQAgAGEAcgByAGEAeQAgAGkAcwAgAG8AZgBmAHMAZQB0ACAAZgByAG8AbQAgAHQAaABlACAAdABpAG0AZQBsAGkAbgBlACoALwBcAG4ALwAqACAAIABEAEkAUwBDAFUAUwBTAEkATwBOADoAIAAgACAAIAAgAFQAaABlACAAcABvAHMAcwBpAGIAaQBsAGkAdAB5ACAAZQB4AGkAcwB0AHMAIAByAGUAcQB1AGkAcgBpAG4AZwAgAGMAYQBsAGMAdQBsAGEAdABpAG8AbgBzACAAYgBlAGYAbwByAGUAIABhACAAbQBvAGQAZQBsACcAcwAgAHQAaQBtAGUAbABpAG4AZQAuACAAQQBuACAAZQB4AGEAbQBwAGwAZQAgAGkAcwBcAG4AIAAgACAAIAAgACAAIAAgACAAIAAgACAAIAAgACAAIAAgACAAIAAgAGQAZQBwAHIAZQBjAGkAYQB0AGkAbwBuACAAbwBmACAAYQBzAHMAZQB0AHMAIABpAG4AIABhAG4AIABlAHgAaQBzAHQAaQBuAGcAIABjAG8AbQBwAGEAbgB5ACAAdwBhAG4AdABpAG4AZwAgAHQAbwAgAGYAbwByAGUAYwBhAHMAdAAgAHMAbwBtAGUAIABhAGMAdABpAHYAaQB0AHkALgAgAFwAbgAgACAAIAAgACAAIAAgACAAIAAgACAAIAAgACAAIAAgACAAIAAgACAASQBuACAAcwB1AGMAaAAgAGMAYQBzAGUAcwAsACAAaQB0ACAAYwBhAG4AIABiAGUAIABhAGQAdgBhAG4AdABhAGcAZQBvAHUAcwAgAHQAbwAgAHAAZQByAGYAbwByAG0AIAB0AGgAZQAgAGMAYQBsAGMAdQBsAGEAdABpAG8AbgBzACAAdwBpAHQAaABpAG4AIAB0AGgAZQBpAHIAIABvAHcAbgAgAHQAaQBtAGUAbABpAG4AZQBcAG4AIAAgACAAIAAgACAAIAAgACAAIAAgACAAIAAgACAAIAAgACAAIAAgAGEAbgBkACAAdABoAGUAbgAgAHAAbABhAGMAZQAgAHQAaABlACAAcgBlAHMAdQBsAHQAcwAgAHAAcgBvAHAAZQByAGwAeQAgAHcAaQB0AGgAaQBuACAAdABoAGUAIABtAG8AZABlAGwAJwBzACAAdABpAG0AZQBsAGkAbgBlAC4AIABcAG4AIAAgACAAIAAgACAAIAAgACAAIAAgACAAIAAgACAAIAAgACAAIAAgAFQAaABpAHMAIAByAG8AdQB0AGkAbgBlACAAZABlAHQAZQByAG0AaQBuAGUAIAB3AGgAZQByAGUAIABzAHUAYwBoACAAYwBhAGwAYwB1AGwAYQB0AGkAbwBuACAAcgBlAHMAdQBsAHQAcwAgAGYAaQB0ACAAdwBpAHQAaABpAG4AIAB0AGgAZQAgAG0AbwBkAGUAbAAnAHMAIAB0AGkAbQBlAGwAaQBuAGUAIABhAG4AZAAgAFwAbgAgACAAIAAgACAAIAAgACAAIAAgACAAIAAgACAAIAAgACAAIAAgACAAYwByAG8AcABzACAAdABoAG8AcwBlACAAcgBlAHMAdQBsAHQAcwAgAHQAaABhAHQAIABkAG8AIABuAG8AdAAgAGIAZQBsAG8AbgBnAC4AIA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RABhAHQAZQ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QAaQBtAGUAbABpAG4AZQBPAGYAZgBzAGUAdAC7AygAXAAiAFwAIgAxADUALwAyAC8AMgAwADIANABcACIAXAAiACwAIABFAEQAQQBUAEUAKABcACIAXAAiADEALwAxAC8AMgAwADIANQBcACIAXAAiACwAIABTAEUAUQBVAEUATgBDAEUAKAAgACwAIAAxADIALAAgADA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hAHQAZQApACwAXABuACAAIAAgACAAIAAgACAAIAAgACAAIAAgACAAIAAgACAAIAAgACAAIAAgACAAIAAgACAAIAAgACAASQBTAE8ATQBJAFQAVABFAEQAKAAgAFQAaQBtAGUAbABpAG4AZQApAFwAbgAgACAAIAAgACAAIAAgACAAIAAgACAAIAAgACAAIAAgACAAIAAgACAAIAAgACAAIAApACwAXABuACAAIAAgACAALwAvACAAIABDAGgAZQBjAGsAIABpAG4AcAB1AHQAcwAgAC0AIABJAGYAIABkAGEAdABlACAAaQBzACAAaQBuACAAdABlAHgAdAAsACAAYwBvAG4AdgBlAHIAdAAgAHQAbwAgAHYAYQBsAHUAZQBcAG4AIAAgACAAIAAgACAAIAAgAEQAYQB0AGUALAAgACAAIAAgACAAIAAgACAAIAAgACAAQABJAEYAKAAgAEkAUwBUAEUAWABUACgAIABEAGEAdABlACkALAAgAEQAQQBUAEUAVgBBAEwAVQBFACgAIABEAGEAdABlACkALAAgAEQAYQB0AGUAKQAsAFwAbgAgACAAIAAgAC8AKgAgACAAUAByAGUAbQBpAHMAZQA6ACAAIAAgACAAIAAgACAAIABDAHIAZQBhAHQAZQAgAGEAIABzAGgAbwByAHQAIAB0AGkAbQBlAGwAaQBuAGUAIAB0AGgAYQB0ACAAaQBzACAAaQBuACAAcwB5AG4AYwAgAHcAaQB0AGgAIAB0AGgAZQAgAG0AbwBkAGUAbAAnAHMAIAB0AGkAbQBlAGwAaQBuAGUAIAB0AGgAYQB0ACAAcwBwAGEAbgBzACAAXABuACAAIAAgACAAIAAgACAAIAAgACAAIAAgACAAIAAgACAAIAAgACAAIAAgACAAIAAgAGYAcgBvAG0AIAB0AGgAZQAgAHQAaQBtAGUAbABpAG4AZQAgAHMAdABhAHIAdAAgAHQAbwAgAHQAaABlACAAZABhAHQAZQAgAGkAbgAgAHEAdQBlAHMAdABpAG8AbgAgAHAAbAB1AHMAIABvAG4AZQAgAHAAZQByAGkAbwBkACAAbwBuACAAZQBpAHQAaABlAHIAIABzAGkAZABlAC4AXABuACAAIAAgACAAIAAgACAAIAAgACAAIAAgACAAIAAgACAAIAAgACAAIAAgACAAIAAgAE4AbwAgAHcAZQAgAGMAYQBuACAAdQBzAGUAIABNAEEAVABDAEgAKAApACAAdABvACAAZgBpAG4AZAAgAHcAaABpAGMAaAAgAHQAaQBtAGUAbABpAG4AZQAgAHAAZQByAGkAbwBkACAAIAAgACAAKgAvAFwAbgAgACAAIAAgAC8ALwAgACAARABlAHQAZQByAG0AaQBuAGUAIAB0AGkAbQBlAGwAaQBuAGUAJwBzACAAaQBuAHQAZQByAHYAYQBsACAAKABsAGUAbgBnAHQAaAAgAG8AZgAgAHAAZQByAGkAbwBkAHMAKQBcAG4AIAAgACAAIAAgACAAIAAgAFAAZQByAGkAbwBkADEALAAgACAAIAAgACAAIAAgACAASQBOAEQARQBYACgAIABUAGkAbQBlAGwAaQBuAGUALAAgADEAKQAsAFwAbgAgACAAIAAgACAAIAAgACAAUABlAHIAaQBvAGQAMgAsACAAIAAgACAAIAAgACAAIABJAE4ARABFAFgAKAAgAFQAaQBtAGUAbABpAG4AZQAsACAAMgApACwAIABcAG4AIAAgACAAIAAgACAAIAAgAE0AcABQACwAIAAgACAAIAAgACAAIAAgACAAIAAgACAAUgBPAFUATgBEACgAIAAoAFAAZQByAGkAbwBkADIAIAAtACAAUABlAHIAaQBvAGQAMQApAC8AMwAwAC4ANQAsACAAMAApACwAIAAvAC8ATQBvAG4AdABoAHMAIABQAGUAcgAgAFAAZQByAGkAbwBkAFwAbgAgACAAIAAgAC8ALwAgACAARABlAHQAZQByAG0AaQBuAGUAIABpAGYAIABQAHIAaQBvAHIAIAB0AG8AIAB0AGkAbQBlAGwAaQBuAGUAIABvAHIAIABhAGYAdABlAHIAXABuACAAIAAgACAAIAAgACAAIABEAGkAcgBlAGMAdABpAG8AbgAsACAAIAAgACAAIAAgAEkARgAoAEQAYQB0AGUAIAA8ACAAUABlAHIAaQBvAGQAMQAsACAALQAxACwAIAAxACkALABcAG4AIAAgACAAIAAvAC8AIAAgAEQAZQB0AGUAcgBtAGkAbgBlACAAdABoAGUAIABuAHUAbQBiAGUAcgAgAG8AZgAgAG0AbwBuAHQAaABzACAAYgBlAHQAdwBlAGUAbgAgAHQAaQBtAGUAbABpAG4AZQAnAHMAIABzAHQAYQByAHQAIABhAG4AZAAgAHQAaABlACAAZABhAHQAZQAnAHMAIABwAGUAcgBpAG8AZAAgAHMAdABhAHIAdABcAG4AIAAgACAAIAAgACAAIAAgAE0AbwBuAHQAaABEAGkAZgBmACwAIAAgACAAIAAgACAAQABEAEEAVABFAEQASQBGACgAIABNAEkATgAoACAAUABlAHIAaQBvAGQAMQAsACAARABhAHQAZQApACwAIABNAEEAWAAoACAAUABlAHIAaQBvAGQAMQAsACAARABhAHQAZQApACwAIABcACIATQBcACIAKQAsAFwAbgAgACAAIAAgAC8ALwAgACAAQwBvAG4AdgBlAHIAdAAgAHQAbwAgAG4AdQBtAGIAZQByACAAbwBmACAAcABlAHIAaQBvAGQAcwBcAG4AIAAgACAAIAAgACAAIAAgAFAAZQByAGkAbwBkAEQAaQBmAGYALAAgACAAIAAgACAAUQBVAE8AVABJAEUATgBUACgAIABNAG8AbgB0AGgARABpAGYAZgAsACAATQBwAFAAKQAsAFwAbgAgACAAIAAgACAAIAAgACAAUABlAHIAaQBvAGQAUwBlAHEALAAgACAAIAAgACAAIABTAEUAUQBVAEUATgBDAEUAKAAgADEALAAgAFAAZQByAGkAbwBkAEQAaQBmAGYAIAArACAAMgAsACAASQBGACgAIABEAGkAcgBlAGMAdABpAG8AbgAgAD0AIAAxACwAIAAwACwAIAAtACgAIABQAGUAcgBpAG8AZABEAGkAZgBmACAAKwAgADEAKQApACkALABcAG4AIAAgACAAIAAgACAAIAAgAFMAZQBhAHIAYwBoAFQAaQBtAGUAbABpAG4AZQAsACAARQBEAEEAVABFACgAIABQAGUAcgBpAG8AZAAxACwAIABQAGUAcgBpAG8AZABTAGUAcQAgACoAIABNAHAAUAApACwAXABuACAAIAAgACAAIAAgACAAIABSAGUAcwB1AGwAdAAsACAAIAAgACAAIAAgACAAIAAgAE0AQQBUAEMASAAoACAARABhAHQAZQAsACAAUwBlAGEAcgBjAGgAVABpAG0AZQBsAGkAbgBlACwAIAAxACkAIAAtACAASQBGACgAIABEAGkAcgBlAGMAdABpAG8AbgAgAD0AIAAxACwAIAAxACwAIABQAGUAcgBpAG8AZABEAGkAZgBmACAAKwAgADIAKQAs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VABoAGUAIABhAHIAcgBhAHkAIAB0AG8AIABiAGUAIABwAG8AcwBpAHQAaQBvAG4AZQBkACAAcgBlAGwAYQB0AGkAdgBlACAAdABvACAAYQAgAG0AbwBkAGUAbAAnAHMAIAB0AGkAbQBlAGwAaQBuAGUAtgBcACIAIAAmACAAXABuACAAIAAgACAAIAAgACAAIAAgACAAIAAgACAAIAAgACAAIAAgACAAIAAgACAAIAAgACAAIAAgACAAXAAiAFQAaQBtAGUAbABpAG4AZQAgACAAIAAgACAAIAAgAJIhKABSAGUAcQB1AGkAcgBlAGQAKQAgAEEAIABtAG8AZABlAGwAJwBzACAAdABpAG0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ABpAG0AZQBsAGkAbgBlAFAAbwBzAGkAdABpAG8AbgC7AygAUwBFAFEAVQBFAE4AQwBFACgAMwAsADMAKQAsACAARQBEAEEAVABFACgAXAAiAFwAIgAxAC8AMQAvADIAMAAyADU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gACAAIAAgAFIAZQBzAHUAbAB0ACwAIAAgACAAIAAgACAAIAAgACAASQBGACgAIABDAE8ATABVAE0ATgBTACgAVABJAE0ARQBMAEkATgBFACkAIAA+ACAAMQAsACAAXABuACAAIAAgACAAIAAgACAAIAAgACAAIAAgACAAIAAgACAAIAAgACAAIAAgACAAIAAgAC8ALwAgACAASABvAHIAaQB6AG8AbgB0AGEAbAAgAFQAaQBtAGUAbABpAG4AZQBcAG4AIAAgACAAIAAgACAAIAAgACAAIAAgACAAIAAgACAAIAAgACAAIAAgACAAIAAgACAAIAAgACAAIABNAEEASwBFAEEAUgBSAEEAWQAoACAAUgBvAHcAcwAsACAAQwBPAEwAVQBNAE4AUwAoACAAVABpAG0AZQBsAGkAbgBlACkALABcAG4AIAAgACAAIAAgACAAIAAgACAAIAAgACAAIAAgACAAIAAgACAAIAAgACAAIAAgACAAIAAgACAAIAAgACAAIAAgAEwAQQBNAEIARABBACgAUgAsACAAQwAsAFwAbgAgACAAIAAgACAAIAAgACAAIAAgACAAIAAgACAAIAAgACAAIAAgACAAIAAgACAAIAAgACAAIAAgACAAIAAgACAAIAAgACAAIABJAEYAKAAgACgAKABDACAALQAgAE8AZgBmAHMAZQB0ACkAIAA+AD0AIAAxACkAIAAqACAAKAAoACAAQwAgAC0AIABPAGYAZgBzAGUAdAApACAAPAA9ACAAQwBvAGwAcwApACAAPQAgADEALABcAG4AIAAgACAAIAAgACAAIAAgACAAIAAgACAAIAAgACAAIAAgACAAIAAgACAAIAAgACAAIAAgACAAIAAgACAAIAAgACAAIAAgACAAIAAgACAAIABJAE4ARABFAFgAKAAgAEEAcgByAGEAeQAsACAAUgAsACAAQwAgAC0AIABPAGYAZgBzAGUAdA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CwAXABuACAAIAAgACAAIAAgACAAIAAgACAAIAAgACAAIAAgACAAIAAgACAAIAAgACAAIAAgAC8ALwAgACAAVgBlAHIAdABpAGMAYQBsACAAVABpAG0AZQBsAGkAbgBlAFwAbgAgACAAIAAgACAAIAAgACAAIAAgACAAIAAgACAAIAAgACAAIAAgACAAIAAgACAAIAAgACAAIAAgAE0AQQBLAEUAQQBSAFIAQQBZACgAIABSAE8AVwBTACgAIABUAGkAbQBlAGwAaQBuAGUAKQAsACAAQwBvAGwAcwAsAFwAbgAgACAAIAAgACAAIAAgACAAIAAgACAAIAAgACAAIAAgACAAIAAgACAAIAAgACAAIAAgACAAIAAgACAAIAAgACAATABBAE0AQgBEAEEAKABSACwAIABDACwAXABuACAAIAAgACAAIAAgACAAIAAgACAAIAAgACAAIAAgACAAIAAgACAAIAAgACAAIAAgACAAIAAgACAAIAAgACAAIAAgACAAIAAgAEkARgAoACAAKAAoAFIAIAAtACAATwBmAGYAcwBlAHQAKQAgAD4APQAgADEAKQAgACoAIAAoACgAIABSACAALQAgAE8AZgBmAHMAZQB0ACkAIAA8AD0AIABSAG8AdwBzACkAIAA9ACAAMQAsAFwAbgAgACAAIAAgACAAIAAgACAAIAAgACAAIAAgACAAIAAgACAAIAAgACAAIAAgACAAIAAgACAAIAAgACAAIAAgACAAIAAgACAAIAAgACAAIAAgAEkATgBEAEUAWAAoACAAQQByAHIAYQB5ACwAIABSACAALQAgAE8AZgBmAHMAZQB0ACwAIABD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YAaQBsAHQAZQByAEMAbwBuAHQAYQBpAG4AcwC7A1wAbgAgACAAIAAgAEQARQBTAEMAUgBJAFAAVABJAE8ATgA6ACoALwAvACoAKgBGAGkAbAB0AGUAcgAgAGEAbgAgAGEAcgByAGEAeQAgAGIAeQAgAGEAbgBvAHQAaABlAHIAIABhAHIAcgBhAHkAIAB0AGgAYQB0ACAAYwBvAG4AdABhAGkAbgBzACAAcwBwAGUAYwBpAGYAaQBjACAAdABlAHgAdA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GAGkAbAB0AGUAcgBDAG8AbgB0AGEAaQBuAHMAuwMoACAAQQByAHIAYQB5AFQAbwBGAGkAbAB0AGUAcgAsACAARgBpAGwAdABlAHIAQgB5AEEAcgByAGEAeQAsACAARgBpAGwAdABlAHIAQgB5AFQAZQB4AHQALAAgAFsASQBnAG4AbwByAGUAQwBhAHMAZQA/AF0AIAApALYAXAAiACAAJgBcAG4AIAAgACAAIAAgACAAIAAgACAAIAAgACAAIAAgACAAIAAgACAAIAAgACAAIAAgACAAIAAgACAAIABcACIARABFAFMAQwBSAEkAUABUAEkATwBOADoAIAAgACAAkiFGAGkAbAB0AGUAcgAgAGEAbgAgAGEAcgByAGEAeQAgAGIAeQAgAGEAbgBvAHQAaABlAHIAIABhAHIAcgBhAHkAIAB0AGgAYQB0ACAAYwBvAG4AdABhAGkAbgBzACAAcwBwAGUAYwBpAGYAaQBjACAAdABlAHgAdAAuALYAXAAiACAAJgAgAFwAbgAgACAAIAAgACAAIAAgACAAIAAgACAAIAAgACAAIAAgACAAIAAgACAAIAAgACAAIAAgACAAIAAgAFwAIgBTAEUARQAgAEEATABTAE8AOgAgACAAIAAgACAAIACSIUUAeABjAGUAbAAgADMANgA1ACAAbgBvAHcAIABoAGEAcwAgAFIARQBHAEUAWABUAEUAUwBUACAAYQBuAGQAIABSAEUARwBFAFgARQBYAFQAUgBBAEMAVAAgAGYAbwByACAAcABhAHQAdABlAHIAbgAgAG0AYQB0AGMAaABpAG4AZ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FQAbwBGAGkAbAB0AGUAcgAgACAAkiEoAFIAZQBxAHUAaQByAGUAZAApACAAQQBuACAAYQByAHIAYQB5ACAAdABvACAAYgBlACAAZgBpAGwAdABlAHIAZQBkALYAXAAiACAAJgAgACAAIAAgACAAIAAgACAAIAAgACAAIAAgACAAIAAgACAAIAAgAFwAbgAgACAAIAAgACAAIAAgACAAIAAgACAAIAAgACAAIAAgACAAIAAgACAAIAAgACAAIAAgACAAIAAgAFwAIgBGAGkAbAB0AGUAcgBCAHkAQQByAHIAYQB5ACAAIACSISgAUgBlAHEAdQBpAHIAZQBkACkAIABBAG4AIABhAHIAcgBhAHkAIABjAG8AbgB0AGEAaQBuAGkAbgBnACAAdABlAHgAdAAgAHQAbwAgAHUAcwBlACAAYQBzACAAYQAgAGYAaQBsAHQAZQByALYAXAAiACAAJgAgACAAIAAgACAAIAAgACAAIAAgACAAIAAgACAAIAAgACAAIAAgAFwAbgAgACAAIAAgACAAIAAgACAAIAAgACAAIAAgACAAIAAgACAAIAAgACAAIAAgACAAIAAgACAAIAAgAFwAIgBGAGkAbAB0AGUAcgBCAHkAVABlAHgAdAAgACAAIACSISgAUgBlAHEAdQBpAHIAZQBkACkAIABBACAAdABlAHgAdAAgAHMAdAByAGkAbgBnACAAdABvACAAZgBpAG4AZAAgAGkAbgAgAEYAaQBsAHQAZQByAEIAeQBBAHIAcgBhAHk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BcACIAXAAiAEMAYQB0AFwAIgBcACIAIAAgACAAIAAgACAAIAAgAJIhPQBuAGEAYgBsAGEALgBmAC4ARgBpAGwAdABlAHIAQwBvAG4AdABhAGkAbgBzALsDKAAgAHsAXAAiAFwAIgBKAG8AZQBcACIAXAAiACwAIABcACIAXAAiAFMAYQBsAGwAeQBcACIAXAAiACwAIABcACIAXAAiAEMAYQB0AFwAIgBcACIAfQAsACAAewBcACIAXAAiAEgAMQBcACIAXAAiACwAIABcACIAXAAiAEgAMgBcACIAXAAiACwAIABcACIAXAAiAEEAMQBcACIAXAAiAH0ALAAgAFwAIgBcACIAQQ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BUAG8ARgBpAGwAdABlAHIAKQAsACAAXABuACAAIAAgACAAIAAgACAAIAAgACAAIAAgACAAIAAgACAAIAAgACAAIAAgACAAIAAgACAAIAAgACAASQBTAE8ATQBJAFQAVABFAEQAKAAgAEYAaQBsAHQAZQByAEIAeQBBAHIAcgBhAHkAKQAsACAAXABuACAAIAAgACAAIAAgACAAIAAgACAAIAAgACAAIAAgACAAIAAgACAAIAAgACAAIAAgACAAIAAgACAASQBTAE8ATQBJAFQAVABFAEQAKAAgAEYAaQBsAHQAZQByAEIAeQBUAGUAeAB0ACkAXABuACAAIAAgACAAIAAgACAAIAAgACAAIAAgACAAIAAgACAAIAAgACAAIAAgACAAIAAg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GAGkAbAB0AGUAcgBCAHkAQQByAHIAYQB5ACkALABcAG4AIAAgACAAIAAgACAAIAAgACAAIAAgACAAIAAgACAAIAAgACAAIAAgACAAIAAgACAAIAAgACAAIABGAEkATgBEACgAIABGAGkAbAB0AGUAcgBCAHkAVABlAHgAdAAsACAARgBpAGwAdABlAHIAQgB5AEEAcgByAGEAeQApAFwAbgAgACAAIAAgACAAIAAgACAAIAAgACAAIAAgACAAIAAgACAAIAAgACAAIAAgACAAIAApACwAXABuACAAIAAgACAAIAAgACAAIABSAGUAcwB1AGwAdAAsACAAIAAgACAAIAAgACAAIAAgAEYASQBMAFQARQBSACgAIABBAHIAcgBhAHkAVABvAEYAaQBsAHQAZQByACwAIABJAFMATgBVAE0AQgBFAFIAKAAgAE0AYQB0AGMAaABlAHM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hAG4AZwBlAFQAbwBEAEEAuwNcAG4AIAAgACAAIABEAEUAUwBDAFIASQBQAFQASQBPAE4AOgAqAC8ALwAqACoAQwByAGUAYQB0AGUAIABhACAAZAB5AG4AYQBtAGkAYwAgAGEAcgByAGEAeQAgAGYAcgBvAG0AIABhACAAcwB0AGEAdABpAGMAIAByAGEAbgBnAGUAKgAvAFwAbgBSAGEAbgBnAGUAVABvAEQAQQC7AyAAPQAgAEwAQQBNAEIARABBACgAXABuAC8ALwAgACAAUABhAHIAYQBtAGUAdABlAHIAIABEAGUAYwBsAGEAcgBhAHQAaQBvAG4AcwBcAG4AIAAgACAAIABbAEMAZQBsAGwAXQAsAFwAbgAgACAAIAAgAFsAUgBvAHcAcwBdACwAIAAgACAAIABcAG4AIAAgACAAIABbAEMAbwBsAHUAbQBuAHMAXQAsACAAIAAgACAAXABuAC8ALwAgACAASABlAGwAcABcAG4AIAAgACAAIABMAEUAVAAoAEgAZQBsAHAALAAgACAAIAAgACAAIAAgAFQAUgBJAE0AKABUAEUAWABUAFMAUABMAEkAVAAoACAAXABuACAAIAAgACAAIAAgACAAIAAgACAAIAAgACAAIAAgACAAIAAgACAAIAAgACAAIAAgACAAIAAgACAAXAAiAEYAVQBOAEMAVABJAE8ATgA6ACAAIAAgACAAIAAgAJIhUgBhAG4AZwBlAFQAbwBEAEEAuwMoACAAQwBlAGwAbAAsACAAWwBSAG8AdwBzAF0ALAAgAFsAQwBvAGwAdQBtAG4AcwBdACkAtgBcACIAIAAmAFwAbgAgACAAIAAgACAAIAAgACAAIAAgACAAIAAgACAAIAAgACAAIAAgACAAIAAgACAAIAAgACAAIAAgAFwAIgBEAEUAUwBDAFIASQBQAFQASQBPAE4AOgAgACAAIACSIUMAcgBlAGEAdABlACAAYQAgAGQAeQBuAGEAbQBpAGMAIABhAHIAcgBhAHkAIABmAHIAbwBtACAAYQAgAHMAdABhAHQAaQBjACAAcgBhAG4AZwBl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ZQBsAGwAIAAgACAAIAAgACAAIAAgACAAIAAgAJIhKABSAGUAcQB1AGkAcgBlAGQAKQAgAFQAaABlACAAdQBwAHAAZQByACAAbABlAGYAdAAgAGMAZQBsAGwAIABvAGYAIABhACAAcgBhAG4AZwBlACAAdABvACAAYwBvAG4AdgBlAHIAdAC2AFwAIgAgACYAIABcAG4AIAAgACAAIAAgACAAIAAgACAAIAAgACAAIAAgACAAIAAgACAAIAAgACAAIAAgACAAIAAgACAAIABcACIAUgBvAHcAcwAgACAAIAAgACAAIAAgACAAIAAgACAAkiEoAE8AcAB0AGkAbwBuAGEAbAApACAAVABoAGUAIABuAHUAbQBiAGUAcgAgAG8AZgAgAHIAbwB3AHMAIABmAG8AcgAgAGQAeQBuAGEAbQBpAGMAIABhAHIAcgBhAHkALgAgAEQAZQBmAGEAdQBsAHQAcwAgAHQAbwAgADEALgC2AFwAIgAgACYAIABcAG4AIAAgACAAIAAgACAAIAAgACAAIAAgACAAIAAgACAAIAAgACAAIAAgACAAIAAgACAAIAAgACAAIABcACIAQwBvAGwAdQBtAG4AcwAgACAAIAAgACAAIAAgACAAkiEoAE8AcAB0AGkAbwBuAGEAbAApACAAVABoAGUAIABuAHUAbQBiAGUAcgAgAG8AZgAgAGMAbwBsAHUAbQBuAHMAIABmAG8AcgAgAGQAeQBuAGEAbQBpAGMAIABhAHIAcgBhAHkALgAgAEQAZQBmAGEAdQBsAHQAcwAgAHQAbwAgADEAL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IAAgACAAIAAgACAAIAAgACAAIAAgACAAIAAgACAAkiE9AG4AYQBiAGwAYQAuAGYALgBSAGEAbgBnAGUAVABvAEQAQQC7AygAIABBADEALAAgACwAIAAxADI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DAGUAbABsACkALABcAG4AIAAgACAAIAAvAC8AIAAgAFMAZQB0ACAARABlAGYAYQB1AGwAdABzAFwAbgAgACAAIAAgACAAIAAgACAAUgBvAHcAcwAsACAAIAAgACAAIAAgACAAIAAgACAAIABJAEYAKABJAFMATwBNAEkAVABUAEUARAAoAFIAbwB3AHMAKQAsACAAMQAsACAASQBGACgAUgBvAHcAcwAgAD0AIAAwACwAIAAxACwAIABSAG8AdwBzACkAKQAsAFwAbgAgACAAIAAgACAAIAAgACAAQwBvAGwAdQBtAG4AcwAsACAAIAAgACAAIAAgACAAIABJAEYAKABJAFMATwBNAEkAVABUAEUARAAoAEMAbwBsAHUAbQBuAHMAKQAsACAAMQAsACAASQBGACgAQwBvAGwAdQBtAG4AcwAgAD0AIAAwACwAIAAxACwAIABDAG8AbAB1AG0AbgBzACkAKQAsAFwAbgAgACAAIAAgAC8ALwAgACAAUAByAG8AYwBlAGQAdQByAGUAXABuACAAIAAgACAAIAAgACAAIABSAGUAcwB1AGwAdAAsACAAIAAgACAAIAAgACAAIAAgAE8ARgBGAFMARQBUACgAQwBlAGwAbAAsACAAMAAsACAAMAAsACAAUgBvAHcAcwAsACAAQwBvAGwAdQBtAG4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ABlAHIAaQBvAGQAUwB0AGEAcgB0ALsDXABuACAAIAAgACAARABFAFMAQwBSAEkAUABUAEkATwBOADoAKgAvAC8AKgAqAEQAZQB0AGUAcgBtAGkAbgBlACAAdwBoAGUAbgAgAHQAaABlACAAcABlAHIAaQBvAGQAIABjAG8AbgB0AGEAaQBuAGkAbgBnACAAYQAgAGQAYQB0AGUAIABvAGYAIABpAG4AdABlAHIAZQBzAHQAIABzAHQAYQByAHQAcwAqAC8AXABuAFAAZQByAGkAbwBkAFMAdABhAHIAdAC7AyAAPQAgAEwAQQBNAEIARABBACgAXABuAC8ALwAgACAAUABhAHIAYQBtAGUAdABlAHIAIABEAGUAYwBsAGEAcgBhAHQAaQBvAG4AXABuACAAIAAgACAAWwBBAG4AeQBQAGUAcgBpAG8AZABTAHQAYQByAHQAXQAsAFwAbgAgACAAIAAgAFsATQBvAG4AdABoAHMAUABlAHIAUABlAHIAaQBvAGQAXQAsACAAXABuACAAIAAgACAAWwBEAGEAdABlAE8AZgBJAG4AdABlAHIAZQBzAHQ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UwB0AGEAcgB0ALsDKABBAG4AeQBQAGUAcgBpAG8AZABTAHQAYQByAHQALAAgAE0AbwBuAHQAaABzAFAAZQByAFAAZQByAGkAbwBkACwAIABEAGEAdABlAE8AZgBJAG4AdABlAHIAZQBzAHQAKQC2AFwAIgAgACYAXABuACAAIAAgACAAIAAgACAAIAAgACAAIAAgACAAIAAgACAAIAAgACAAIAAgACAAIAAgACAAIAAgACAAXAAiAEQARQBTAEMAUgBJAFAAVABJAE8ATgA6ACAAIAAgAJIhRABlAHQAZQByAG0AaQBuAGUAIAB3AGgAZQBuACAAdABoAGUAIABwAGUAcgBpAG8AZAAgAGMAbwBuAHQAYQBpAG4AaQBuAGcAIABhACAAZABhAHQAZQAgAG8AZgAgAGkAbgB0AGUAcgBlAHMAdAAgAHMAdABhAHIAdA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gAwADIANgAtADAANAAtADAAMQAgACAAIAAgACAAkiE9AG4AYQBiAGwAYQAuAGYALgBQAGUAcgBpAG8AZABTAHQAYQByAHQAuwMoAFwAIgBcACIAMgAwADIANgAtADAAMQAtADAAMQBcACIAXAAiACwAIAAzACwAIABcACIAXAAiADIAMAAyADYALQAwADQALQAxADU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G4AeQBQAGUAcgBpAG8AZABTAHQAYQByAHQAKQAsAFwAbgAgACAAIAAgACAAIAAgACAAIAAgACAAIAAgACAAIAAgACAAIAAgACAAIAAgACAAIAAgACAAIAAgAEkAUwBPAE0ASQBUAFQARQBEACgAIABNAG8AbgB0AGgAcwBQAGUAcgBQAGUAcgBpAG8AZAApACwAXABuACAAIAAgACAAIAAgACAAIAAgACAAIAAgACAAIAAgACAAIAAgACAAIAAgACAAIAAgACAAIAAgACAASQBTAE8ATQBJAFQAVABFAEQAKAAgAEQAYQB0AGUATwBmAEkAbgB0AGUAcgBlAHMAdAApAFwAbgAgACAAIAAgACAAIAAgACAAIAAgACAAIAAgACAAIAAgACAAIAAgACAAIAAgACAAIAApACwAXABuACAAIAAgACAALwAvACAAIABDAG8AbgBzAHQAYQBuAHQAcwBcAG4AIAAgACAAIAAgACAAIAAgAE0AcABZACwAIAAgACAAIAAgACAAIAAgACAAIAAgACAAIAAgACAAIAAxADIALAAgAC8ALwBNAG8AbgB0AGgAcwAgAFAAZQByACAAWQBlAGEAcgBcAG4AIAAgACAAIAAgACAAIAAgAE0AcABQACwAIAAgACAAIAAgACAAIAAgACAAIAAgACAAIAAgACAAIABNAG8AbgB0AGgAcwBQAGUAcgBQAGUAcgBpAG8AZAAsAFwAbgAgACAAIAAgAC8ALwAgACAAUAByAG8AYwBlAGQAdQByAGUAXABuACAAIAAgACAAIAAgACAAIABEAGEAdABlAEQAYQB5ACwAIAAgACAAIAAgACAAIAAgACAAIAAgACAARABBAFkAKABEAGEAdABlAE8AZgBJAG4AdABlAHIAZQBzAHQAKQAsACAAXABuACAAIAAgACAAIAAgACAAIABQAGUAcgBpAG8AZABEAGEAeQAsACAAIAAgACAAIAAgACAAIAAgACAARABhAHkAKABBAG4AeQBQAGUAcgBpAG8AZABTAHQAYQByAHQAKQAsAFwAbgAgACAAIAAgACAAIAAgACAARABhAHQAZQBNAG8AbgB0AGgALAAgACAAIAAgACAAIAAgACAAIAAgAE0ATwBOAFQASAAoAEQAYQB0AGUATwBmAEkAbgB0AGUAcgBlAHMAdAApACwAIABcAG4AIAAgACAAIAAgACAAIAAgAFAAZQByAGkAbwBkAE0AbwBuAHQAaAAsACAAIAAgACAAIAAgACAAIABNAE8ATgBUAEgAKABBAG4AeQBQAGUAcgBpAG8AZABTAHQAYQByAHQAKQAsAFwAbgAgACAAIAAgACAAIAAgACAATQBvAG4AdABoAE0AbwBkAEQAaQBmAGYAZQByAGUAbgBjAGUALAAgAE0ATwBEACgARABhAHQAZQBNAG8AbgB0AGgAIAAtACAAUABlAHIAaQBvAGQATQBvAG4AdABoACwAIABNAHAAUAApACwAXABuACAAIAAgACAAIAAgACAAIABOAGUAZQBkAFAAcgBpAG8AcgBQAGUAcgBpAG8AZAA/ACwAIAAgACAAQQBOAEQAKAAgAE0AbwBuAHQAaABNAG8AZABEAGkAZgBmAGUAcgBlAG4AYwBlACAAPQAgADAALAAgAEQAYQB0AGUARABhAHkAIAA8ACAAUABlAHIAaQBvAGQARABhAHkAKQAgACoAIAAtACAATQBwAFAALABcAG4AIAAgACAAIAAgACAAIAAgAE4AZQB3AFAAZQByAGkAbwBkAE0AbwBuAHQAaAAsACAAIAAgACAAIABNAE8ARAAoAEQAYQB0AGUATQBvAG4AdABoACAALQAgAE0AbwBuAHQAaABNAG8AZABEAGkAZgBmAGUAcgBlAG4AYwBlACAAKwAgAE4AZQBlAGQAUAByAGkAbwByAFAAZQByAGkAbwBkAD8AIAAtADEALAAgAE0AcABZACAAKQAgACsAIAAxACwAXABuACAAIAAgACAAIAAgACAAIABZAGUAYQByAEMAbwByAHIAZQBjAHQAaQBvAG4ALAAgACAAIAAgACAALQAoACgARABhAHQAZQBNAG8AbgB0AGgAIAAqACAAMQAwADAAIAArACAARABhAHQAZQBEAGEAeQApACAAPAAgACgATgBlAHcAUABlAHIAaQBvAGQATQBvAG4AdABoACAAKgAgADEAMAAwACAAKwAgAFAAZQByAGkAbwBkAEQAYQB5ACAAKQApACwAXABuACAAIAAgACAAIAAgACAAIABQAGUAcgBpAG8AZABEAGEAdABlACwAIAAgACAAIAAgACAAIAAgACAARABBAFQARQAoAFkARQBBAFIAKABEAGEAdABlAE8AZgBJAG4AdABlAHIAZQBzAHQAKQAgACsAIABZAGUAYQByAEMAbwByAHIAZQBjAHQAaQBvAG4ALAAgACAATgBlAHcAUABlAHIAaQBvAGQATQBvAG4AdABoACwAIABQAGUAcgBpAG8AZABEAGEAeQApACwAXABuACAAIAAgACAAIAAgACAAIABMAGEAcwB0AEQAYQB5AE8AZgBNAG8AbgB0AGgAQQBkAGoALAAgACAAUABlAHIAaQBvAGQARABhAHQAZQAgAC0AIAAoAE0ATwBOAFQASAAoAFAAZQByAGkAbwBkAEQAYQB0AGUAKQAgADwAPgAgAE4AZQB3AFAAZQByAGkAbwBkAE0AbwBuAHQAaAApACwAXABuACAAIAAgACAAIAAgACAAIABSAGUAcwB1AGwAdAAsACAAIAAgACAAIAAgACAAIAAgACAAIAAgACAATABhAHMAdABEAGEAeQBPAGYATQBvAG4AdABoAEEAZABq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gAHYAYQBsAHUAZQAgAGQAZQBwAHIAZQBjAGkAYQB0AGkAbwBuACAAKABBAFQATwAgADIAMAAwACUAIABtAGUAdABoAG8AZAApACwAIAB3AHIAaQB0AGkAbgBnACAAdABoAGUAIAByAGUAcwBpAGQAdQBhAGwAIABvAGYAZgAgAGkAbgAgAHQAaABlACAAZgBpAG4AYQBsACAAcABlAHIAaQBvAGQ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gAHYAYQBsAHUAZQAgAGQAZQBwAHIAZQBjAGkAYQB0AGkAbwBuACAAKABBAFQATwAgADIAMAAwACUAIABtAGUAdABoAG8AZAApACwAIAB3AHIAaQB0AGkAbgBnACAAdABoAGUAIAByAGUAcwBpAGQAdQBhAGwAIABvAGYAZgAgAGkAbgAgAHQAaABlACAAZgBpAG4AYQBsACAAcABlAHIAaQBvAGQ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EQAaQBtAGkAbgBpAHMAaABpAG4AZwBWAGEAbAB1AGUAuwMoADEAMAAwADAALAAgADUAKQC2AFwAIgAgACYAXABuACAAIAAgACAAIAAgACAAIAAgACAAIAAgACAAIAAgACAAIAAgACAAIAAgACAAIAAgACAAIAAgACAAXAAiAJIhUgBlAHMAdQBsAHQAtgBcACIAIAAmAFwAbgAgACAAIAAgACAAIAAgACAAIAAgACAAIAAgACAAIAAgACAAIAAgACAAIAAgACAAIAAgACAAIAAgAFwAIgCSITQAMAAwAC4AMAAwACwAMgA0ADAALgAwADAALAAxADQANAAuADAAMAAsADgANgAuADQAMAAsADEAMgA5AC4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IAYQB0AGUAIABpAHMAIABjAGEAcABwAGUAZAA6ACAAYQAgAGwAaQBmAGUAIAB1AG4AZABlAHIAIAB0AHcAbwAgAHkAZQBhAHIAcwAgAHcAbwB1AGwAZAAgAG8AdABoAGUAcgB3AGkAcwBlACAAZQB4AGMAZQBlAGQAIAAxADAAMAAlAFwAbgAgACAAIAAgACAAIAAgACAAUgBhAHQAZQAsACAAIAAgACAAIAAgACAAIAAgACAAIABNAEkATgAoADIALwBMAGkAZgBlACwAIAAxACk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UwBlAHQAIABDAG8AbgBzAHQAYQBuAHQAcwBcAG4AIAAgACAAIAAgACAAIAAgAFAAZQByAGkAbwBkAHMALAAgACAAIAAgACAAIAAgACAAUwBFAFEAVQBFAE4AQwBFACgALAAgAEMAbwB1AG4AdAApACwAXABuACAAIAAgACAALwAvACAAIABUAGgAZQAgAFAAZQByAGkAbwBkAHMAPQAxACAAZwB1AGEAcgBkACAAYQB2AG8AaQBkAHMAIAAwAF4AMAAsACAAdwBoAGkAYwBoACAARQB4AGMAZQBsACAAcgBlAHQAdQByAG4AcwAgAGEAcwAgACMATgBVAE0AIQAgAG8AbgBjAGUAIABSAGEAdABlACAAcgBlAGEAYwBoAGUAcwAgADEAXABuACAAIAAgACAAIAAgACAAIABSAGEAdwAsACAAIAAgACAAIAAgACAAIAAgACAAIAAgAEMAbwBzAHQAIAAqACAAUgBhAHQAZQAgACoAIABJAEYAKABQAGUAcgBpAG8AZABzACAAPQAgADEALAAgADEALAAgACgAMQAtAFIAYQB0AGUAKQBeACgAUABlAHIAaQBvAGQAcwAtADEAKQApACwAXABuACAAIAAgACAALwAvACAAIABXAHIAaQB0AGUAIAB0AGgAZQAgAHUAbgBkAGUAZAB1AGMAdABlAGQAIAByAGUAcwBpAGQAdQBhAGwAIABvAGYAZgAgAGkAbgAgAHQAaABlACAAZgBpAG4AYQBsACAAcABlAHIAaQBvAGQAXABuACAAIAAgACAAIAAgACAAIABSAGUAcwB1AGwAdAAsACAAIAAgACAAIAAgACAAIAAgAFIAYQB3ACAAKwAgACgAUABlAHIAaQBvAGQAcwAgAD0AIABDAG8AdQBuAHQAKQAgACoAIAAoAEMAbwBzAHQAIAAtACAAUwBVAE0AKABSAGEAdw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cgBpAG0AZQBDAG8AcwB0ALsDXABuACAAIAAgACAARABFAFMAQwBSAEkAUABUAEkATwBOADoAKgAvAC8AKgAqAFAAcgBpAG0AZQAgAGMAbwBzAHQAIAAoAHMAdAByAGEAaQBnAGgAdAAgAGwAaQBuAGUAKQAgAGQAZQBwAHIAZQBjAGkAYQB0AGkAbwBuACwAIABBAFQATwAgAG0AZQB0AGgAbwBkACwAIABmAG8AcgAgAG8AbgBlACAAYQBzAHMAZQB0ACAAbwByACAAYQBzAHMAZQB0ACAAYwBsAGEAcwBzACoALwBcAG4AXABuAFAAcgBpAG0AZQBDAG8AcwB0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cgBpAG0AZQBDAG8AcwB0ALsDKABDAG8AcwB0ACwAIABMAGkAZgBlACkAtgBcACIAIAAmAFwAbgAgACAAIAAgACAAIAAgACAAIAAgACAAIAAgACAAIAAgACAAIAAgACAAIAAgACAAIAAgACAAIAAgAFwAIgBEAEUAUwBDAFIASQBQAFQASQBPAE4AOgAgACAAIACSIVAAcgBpAG0AZQAgAGMAbwBzAHQAIAAoAHMAdAByAGEAaQBnAGgAdAAgAGwAaQBuAGUAKQAgAGQAZQBwAHIAZQBjAGkAYQB0AGkAbwBuACwAIABBAFQATwAgAG0AZQB0AGgAbwBkACw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TAGUAdAAgAEMAbwBuAHMAdABhAG4AdABzAFwAbgAgACAAIAAgACAAIAAgACAAQQBuAG4AdQBhAGwALAAgACAAIAAgACAAIAAgACAAIABDAG8AcwB0AC8ATABpAGYAZ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UAGgAZQAgAGYAaQBuAGEAbAAgAHAAZQByAGkAbwBkACAAYwBhAHIAcgBpAGUAcwAgAHQAaABlACAAcABhAHIAdAAtAHkAZQBhAHIAIAByAGUAbQBhAGkAbgBkAGUAcgAsACAAcwBvACAAdABoAGUAIABzAGMAaABlAGQAdQBsAGUAIABzAHUAbQBzACAAdABvACAAYwBvAHMAdABcAG4AIAAgACAAIAAgACAAIAAgAFIAZQBzAHUAbAB0ACwAIAAgACAAIAAgACAAIAAgACAASQBGACgAUwBFAFEAVQBFAE4AQwBFACgALAAgAEMAbwB1AG4AdAApACAAPQAgAEMAbwB1AG4AdAAsACAAQwBvAHMAdAAgAC0AIABBAG4AbgB1AGEAbAAgACoAIAAoAEMAbwB1AG4AdAAgAC0AIAAxACkALAAgAEEAbgBuAHUAYQBs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oALwBcAG4AXABuAEcAUwBUAEEAZABk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EAZABkALsDKABBAG0AbwB1AG4AdABzACwAIABbAFIAYQB0AGUAXQApALYAXAAiACAAJgBcAG4AIAAgACAAIAAgACAAIAAgACAAIAAgACAAIAAgACAAIAAgACAAIAAgACAAIAAgACAAIAAgACAAIABcACIARABFAFMAQwBSAEkAUABUAEkATwBOADoAIAAgACAAkiFBAGQAZABzACAARwBTAFQAIAB0AG8AIABvAG4AZQAgAG8AcgAgAG0AbwByAGUAIABHAFMAVAAtAGUAeA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UAeA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wBTAFQAQQBkAGQAuwMoADEAMAAwACkAtgBcACIAIAAmAFwAbgAgACAAIAAgACAAIAAgACAAIAAgACAAIAAgACAAIAAgACAAIAAgACAAIAAgACAAIAAgACAAIAAgAFwAIgCSIVIAZQBzAHUAbAB0ALYAXAAiACAAJgBcAG4AIAAgACAAIAAgACAAIAAgACAAIAAgACAAIAAgACAAIAAgACAAIAAgACAAIAAgACAAIAAgACAAIABcACIAkiExAD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CgAMQAgACsAIABHAFMAVABSAGEAdA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RQB4AHQAcgBhAGMAdAC7A1wAbgAgACAAIAAgAEQARQBTAEMAUgBJAFAAVABJAE8ATgA6ACoALwAvACoAKgBSAGUAdAB1AHIAbgBzACAAdABoAGUAIABHAFMAVAAgAGMAbwBuAHQAYQBpAG4AZQBkACAAaQBuACAAbwBuAGUAIABvAHIAIABtAG8AcgBlACAARwBTAFQALQBpAG4AYwBsAHUAcwBpAHYAZQAgAGEAbQBvAHUAbgB0AHMAKgAvAFwAbgBcAG4ARwBTAFQARQB4AHQAcgBhAGMAd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FAHgAdAByAGEAYwB0ALsDKABBAG0AbwB1AG4AdABzACwAIABbAFIAYQB0AGUAXQApALYAXAAiACAAJgBcAG4AIAAgACAAIAAgACAAIAAgACAAIAAgACAAIAAgACAAIAAgACAAIAAgACAAIAAgACAAIAAgACAAIABcACIARABFAFMAQwBSAEkAUABUAEkATwBOADoAIAAgACAAkiFSAGUAdAB1AHIAbgBzACAAdABoAGUAIABHAFMAVAAgAGMAbwBuAHQAYQBpAG4AZQBkACAAaQBuACAAbwBuAGUAIABvAHIAIABtAG8AcgBlACAARwBTAFQALQBpAG4AYwBsAHUAcwBpAHYAZQAgAGEAbQBvAHUAbgB0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pAG4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EcAUwBUAEUAeAB0AHIAYQBjAHQAuwMoADEAMQAwACkAtgBcACIAIAAmAFwAbgAgACAAIAAgACAAIAAgACAAIAAgACAAIAAgACAAIAAgACAAIAAgACAAIAAgACAAIAAgACAAIAAgAFwAIgCSIVIAZQBzAHUAbAB0ALYAXAAiACAAJgBcAG4AIAAgACAAIAAgACAAIAAgACAAIAAgACAAIAAgACAAIAAgACAAIAAgACAAIAAgACAAIAAgACAAIABcACIAkiE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BHAFMAVABSAGEAdABlACAALwAgACgAMQAgACsAIABHAFMAVABSAGEAdABl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G4AYQBiAGwAYQAuAHIAIgAsACIAdABlAHgAdAAiADoAIgAvACoAIAAgAE0AbwBkAHUAbABlACAAQwBvAG4AdABhAGkAbgBzACAAYQAgAGwAaQBiAHIAYQByAHkAIABvAGYAIABGAGkAbgBhAG4AYwBpAGEAbAAgAFIAYQB0AGkAbwBzACAAKgAvAFwAbgBcAG4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QQBiAG8AdQB0ALsDIAA9ACAAVABSAEkATQAoAFwAbgAgACAAIAAgAFQARQBYAFQAUwBQAEwASQBUACgAXABuACAAIAAgACAAIAAgACAAIABcACIAQQBiAG8AdQB0ADoAIAAgACAAIAAgACAAIAAgACAAIAAgACAAIAAgACAAIAAgACAAIAAgACAAkiFBACAAbABpAGIAcgBhAHIAeQAgAG8AZgAgAEYAaQBuAGEAbgBjAGkAYQBsACAAUgBhAHQAaQBvAHMAtgBcACIAIAAmAFwAbgAgACAAIAAgACAAIAAgACAAXAAiAFYAZQByAHMAaQBvAG4AOgAgACAAIAAgACAAIAAgACAAIAAgACAAIAAgACAAIAAgACAAIAAgAJIhMQA4ACAAQQB1AGcAIAAyADAAMgA2ALYAXAAiACAAJgBcAG4AIAAgACAAIAAgACAAIAAgAFwAIgBSAGUAcABvAHMAaQB0AG8AcgB5ADoAIAAgACAAIAAgACAAIAAgACAAIAAgACAAIAAgACAAIAAgACAAkiFoAHQAdABwAHMAOgAvAC8AZwBpAHQAaAB1AGIALgBjAG8AbQAvAHIAeQBhAG4AZAB1AGcAdQBpAGQALwBOAGEAYgBsAGEAIAC2AFwAIgAgACYAXABuACAAIAAgACAAIAAgACAAIABcACIATgBvAHQAZQBzADoAIAAgACAAIAAgACAAIAAgACAAIAAgACAAIAAgACAAIAAgACAAIAAgACAAkiFTAG8AdQByAGMAZQBzACAAaQBuAGMAbAB1AGQAZQAgAEkAbgB2AGUAcwB0AG8AcABlAGQAaQBhAC4AYwBvAG0ALAAgAEMAbwByAHAAbwByAGEAdABlACAARgBpAG4AYQBuAGMAZQAgAGEAbgBkACAAVwBhAGwAbABTAHQAcgBlAGUAdABQAHIAZQBwAC4AYwBvAG0ALgC2AFwAIgAgACYAXABuACAAIAAgACAAIAAgACAAIAAgACAAIAAgACAAIAAgACAAIAAgACAAIAAgACAAIAAgACAAIAAgACAAIAAgACAAIAAgACAAIABcACIAkiFDAG8AcAB5AHIAaQBnAGgAdAAgAGEAcABwAGwAaQBlAHMAIAB0AG8AIABMAEEATQBCAEQAQQAgAGMAbwBkAGkAbgBnALYAXAAiACAAJgBcAG4AIAAgACAAIAAgACAAIAAgAFwAIgCSIbYAXAAiACAAJgAgAFwAbgAgACAAIAAgACAAIAAgACAAXAAiAEYAdQBuAGMAdABpAG8AbgAgACAAIAAgACAAIAAgACAAIAAgACAAIAAgACAAIAAgACAAIAAgAJIhRABlAHMAYwByAGkAcAB0AGkAbwBuALYAXAAiACAAJgAgAFwAbgAgACAAIAAgACAAIAAgACAAXAAiAEEAYgBvAHUAdAC7AyAAIAAgACAAIAAgACAAIAAgACAAIAAgACAAIAAgACAAIAAgACAAIAAgAJIhUAByAG8AZAB1AGMAZQBzACAAdABoAGkAcwAgAHQAYQBiAGwAZQC2AFwAIgAgACYAXABuACAAIAAgACAAIAAgACAAIABcACIAkiG2AFwAIgAgACYAIABcAG4AIAAgACAAIAAgACAAIAAgAFwAIgBMAGkAcQB1AGkAZABpAHQAeQAgAFIAYQB0AGkAbwBzAJIhtgBcACIAIAAmAFwAbgAgACAAIAAgACAAIAAgACAAXAAiAEMAdQByAHIAZQBuAHQAUgBhAHQAaQBvALsDIAAgACAAIAAgACAAIAAgACAAIAAgACAAIAAgAJIhTQBlAGEAcwB1AHIAZQBzACAAYQBiAGkAbABpAHQAeQAgAHQAbwAgAHAAYQB5ACAAcwBoAG8AcgB0AC0AdABlAHIAbQAgAG8AYgBsAGkAZwBhAHQAaQBvAG4AcwC2AFwAIgAgACYAXABuACAAIAAgACAAIAAgACAAIABcACIAUQB1AGkAYwBrAFIAYQB0AGkAbwC7AyAAIAAgACAAIAAgACAAIAAgACAAIAAgACAAIAAgACAAkiFNAGUAYQBzAHUAcgBlAHMAIABhAGIAaQBsAGkAdAB5ACAAdABvACAAbQBlAGUAdAAgAHMAaABvAHIAdAAtAHQAZQByAG0AIABvAGIAbABpAGcAYQB0AGkAbwBuAHMAtgBcACIAIAAmAFwAbgAgACAAIAAgACAAIAAgACAAXAAiAEMAYQBzAGgAUgBhAHQAaQBvALsDIAAgACAAIAAgACAAIAAgACAAIAAgACAAIAAgACAAIAAgAJIhRQB2AGEAbAB1AGEAdABlAHMAIABhAGIAaQBsAGkAdAB5ACAAdABvACAAcgBlAHAAYQB5ACAAcwBoAG8AcgB0AC0AdABlAHIAbQAgAGQAZQBiAHQAIAB3AC8AYwBhAHMAaAAgAG8AcgAgAG4AZQBhAHIALQBjAGEAcwBoACAAcgBlAHMAbwB1AHIAYwBlAHMAtgBcACIAIAAmAFwAbgAgACAAIAAgACAAIAAgACAAXAAiAE8AcABlAHIAYQB0AGkAbgBnAEMAYQBzAGgARgBsAG8AdwBSAGEAdABpAG8AuwMgACAAIAAgAJIhTQBlAGEAcwB1AHIAZQBzACAAaABvAHcAIAByAGUAYQBkAGkAbAB5ACAAYwB1AHIAcgBlAG4AdAAgAGwAaQBhAGIAaQBsAGkAdABpAGUAcwAgAGEAcgBlACAAYwBvAHYAZQByAGUAZAAgAGIAeQAgAGMAYQBzAGgAIABmAGwAbwB3AHMAIABnAGUAbgBlAHIAYQB0AGUAZAAgAGYAcgBvAG0AIABvAHAAZQByAGEAdABpAG8AbgBzAC4AIAC2AFwAIgAgACYAXABuACAAIAAgACAAIAAgACAAIABcACIAUgBlAGMAZQBpAHYAYQBiAGwAZQBzAFQAdQByAG4AbwB2AGUAcgBSAGEAdABpAG8AuwMgACAAkiFJAG4AZABpAGMAYQB0AGUAcwAgAGUAZgBmAGUAYwB0AGkAdgBlAG4AZQBzAHMAIABpAG4AIABjAG8AbABsAGUAYwB0AGkAbgBnACAAbwB1AHQAcwB0AGEAbgBkAGkAbgBnACAAYgBhAGwAYQBuAGMAZQBzACAAZgByAG8AbQAgAGMAbABpAGUAbgB0AHMAIABhAG4AZAAgAG0AYQBuAGEAZwBpAG4AZwAgAGwAaQBuAGUAIABvAGYAIABjAHIAZQBkAGkAdAAgAHAAcgBvAGMAZQBzAHMAtgBcACIAIAAmAFwAbgAgACAAIAAgACAAIAAgACAAXAAiAEkAbgB2AGUAbgB0AG8AcgB5AFQAdQByAG4AbwB2AGUAcgBSAGEAdABpAG8AuwMgACAAIAAgAJIhUwBoAG8AdwBzACAAaABvAHcAIABtAGEAbgB5ACAAdABpAG0AZQBzACAAYQAgAGMAbwBtAHAAYQBuAHkAIAB0AHUAcgBuAGUAZAAgAG8AdgBlAHIAIABpAHQAcwAgAGkAbgB2AGUAbgB0AG8AcgB5ACAAcgBlAGwAYQB0AGkAdgBlACAAIAB0AG8AIABpAHQAcwAgAGMAbwBzAHQAIABvAGYAIABnAG8AbwBkAHMAIABzAG8AbABkALYAXAAiACAAJgBcAG4AIAAgACAAIAAgACAAIAAgAFwAIgBXAG8AcgBrAGkAbgBnAEMAYQBwAGkAdABhAGwAVAB1AHIAbgBvAHYAZQByAFIAYQB0AGkAbwC7A5IhVwBvAHIAawBpAG4AZwAgAEMAYQBwAGkAdABhAGwAIABUAHUAcgBuAG8AdgBlAHIAIABSAGEAdABpAG8AIABtAGUAYQBzAHUAcgBlAHMAIABoAG8AdwAgAGUAZgBmAGkAYwBpAGUAbgB0AGwAeQAgAGEAIABjAG8AbQBwAGEAbgB5ACAAaQBzACAAdQBzAGkAbgBnACAAaQB0AHMAIAB3AG8AcgBrAGkAbgBnACAAYwBhAHAAaQB0AGEAbAAgAHQAbwAgAHMAdQBwAHAAbwByAHQAIABzAGEAbABlAHMAIABhAG4AZAAgAGcAcgBvAHcAdABoALYAXAAiACAAJgBcAG4AIAAgACAAIAAgACAAIAAgAFwAIgCSIbYAXAAiACAAJgAgAFwAbgAgACAAIAAgACAAIAAgACAAXAAiAEwAZQB2AGUAcgBhAGcAZQAgAFIAYQB0AGkAbwBzAJIhtgBcACIAIAAmAFwAbgAgACAAIAAgACAAIAAgACAAXAAiAEQAZQBiAHQAUgBhAHQAaQBvALsDIAAgACAAIAAgACAAIAAgACAAIAAgACAAIAAgACAAIAAgAJIhTQBlAGEAcwB1AHIAZQBzACAAdABoAGUAIABlAHgAdABlAG4AdAAgAG8AZgAgAGEAIABjAG8AbQBwAGEAbgB5ACcAcwAgAGwAZQB2AGUAcgBhAGcAZQC2AFwAIgAgACYAXABuACAAIAAgACAAIAAgACAAIABcACIARABTAEMAUgC7AyAAIAAgACAAIAAgACAAIAAgACAAIAAgACAAIAAgACAAIAAgACAAIAAgACAAkiFEAGUAYgB0ACAAcwBlAHIAdgBpAGMAZQAgAGMAbwB2AGUAcgBhAGcAZQAgAFIAYQB0AGkAbwAgAG0AZQBhAHMAdQByAGUAcwAgAGEAIABmAGkAcgBtABkgcwAgAGEAdgBhAGkAbABhAGIAbABlACAAYwBhAHMAaAAgAGYAbABvAHcAIAB0AG8AIABwAGEAeQAgAGkAdABzACAAYwB1AHIAcgBlAG4AdAAgAGQAZQBiAHQAIABvAGIAbABpAGcAYQB0AGkAbwBuAHMAtgBcACIAIAAmAFwAbgAgACAAIAAgACAAIAAgACAAXAAiAEQAZQBiAHQAVABvAEMAYQBwAGkAdABhAGwAUgBhAHQAaQBvALsDIAAgACAAIAAgACAAIAAgAJIhRwBpAHYAZQBzACAAYQBuAGEAbAB5AHMAdABzACAAYQBuAGQAIABpAG4AdgBlAHMAdABvAHIAcwAgAGEAIABiAGUAdAB0AGUAcgAgAGkAZABlAGEAIABvAGYAIABhACAAYwBvAG0AcABhAG4AeQAnAHMAIABmAGkAbgBhAG4AYwBpAGEAbAAgAHMAdAByAHUAYwB0AHUAcgBlACAAYQBuAGQAIAB3AGgAZQB0AGgAZQByACAAbwByACAAbgBvAHQAIAB0AGgAZQAgAGMAbwBtAHAAYQBuAHkAIABpAHMAIABhACAAcwB1AGkAdABhAGIAbABlACAAaQBuAHYAZQBzAHQAbQBlAG4AdAC2AFwAIgAgACYAXABuACAAIAAgACAAIAAgACAAIABcACIARQBxAHUAaQB0AHkATQB1AGwAdABpAHAAbABpAGUAcgC7AyAAIAAgACAAIAAgACAAIAAgACAAkiFNAGUAYQBzAHUAcgBlAHMAIAB0AGgAZQAgAHAAbwByAHQAaQBvAG4AIABvAGYAIABhACAAYwBvAG0AcABhAG4AeQAZIHMAIABhAHMAcwBlAHQAcwAgAGYAaQBuAGEAbgBjAGUAZAAgAGIAeQAgAHMAaABhAHIAZQBoAG8AbABkAGUAcgBzACcAZQBxAHUAaQB0AHkAIAByAGEAdABoAGUAcgAgAHQAaABhAG4AIABiAHkAIABkAGUAYgB0ALYAXAAiACAAJgBcAG4AIAAgACAAIAAgACAAIAAgAFwAIgCSIbYAXAAiACAAJgAgAFwAbgAgACAAIAAgACAAIAAgACAAXAAiAFMAbwBsAHYAZQBuAGMAeQAgAFIAYQB0AGkAbwBzAJIhtgBcACIAIAAmAFwAbgAgACAAIAAgACAAIAAgACAAXAAiAEQAZQBiAHQAVABvAEUAcQB1AGkAdAB5AFIAYQB0AGkAbwC7AyAAIAAgACAAIAAgACAAIAAgAJIhTQBlAGEAcwB1AHIAZQBzACAAdABoAGUAIABkAGUAZwByAGUAZQAgAHQAbwAgAHcAaABpAGMAaAAgAGEAIABjAG8AbQBwAGEAbgB5ACAAaQBzACAAZgBpAG4AYQBuAGMAaQBuAGcAIABvAHAAZQByAGEAdABpAG8AbgBzACAAdwBpAHQAaAAgAGQAZQBiAHQAIAByAGEAdABoAGUAcgAgAHQAaABhAG4AIABpAHQAcwAgAG8AdwBuACAAcgBlAHMAbwB1AHIAYwBlAHMALgC2AFwAIgAgACYAXABuACAAIAAgACAAIAAgACAAIABcACIARABlAGIAdABUAG8AQQBzAHMAZQB0AFIAYQB0AGkAbwC7AyAAIAAgACAAIAAgACAAIAAgACAAkiFBAG4AYQBsAHkAcwB0AHMAIABjAGEAbgAgAGMAbwBtAHAAYQByAGUAIABvAG4AZQAgAGMAbwBtAHAAYQBuAHkAJwBzACAAbABlAHYAZQByAGEAZwBlACAAdwBpAHQAaAAgAHQAaABhAHQAIABvAGYAIABvAHQAaABlAHIAIABjAG8AbQBwAGEAbgBpAGUAcwAgAGkAbgAgAHQAaABlACAAcwBhAG0AZQAgAGkAbgBkAHUAcwB0AHIAeQAuALYAXAAiACAAJgBcAG4AIAAgACAAIAAgACAAIAAgAFwAIgBJAG4AdABlAHIAZQBzAHQAQwBvAHYAZQByAGEAZwBlAFIAYQB0AGkAbwC7AyAAIAAgACAAIACSIUQAZQB0AGUAcgBtAGkAbgBlAHMAIABoAG8AdwAgAGUAYQBzAGkAbAB5ACAAYQAgAGMAbwBtAHAAYQBuAHkAIABjAGEAbgAgAHAAYQB5ACAAaQBuAHQAZQByAGUAcwB0ACAAbwBuACAAaQB0AHMAIABvAHUAdABzAHQAYQBuAGQAaQBuAGcAIABkAGUAYgB0ALYAXAAiACAAJgBcAG4AIAAgACAAIAAgACAAIAAgAFwAIgBFAHEAdQBpAHQAeQBSAGEAdABpAG8AuwMgACAAIAAgACAAIAAgACAAIAAgACAAIAAgACAAIACSIU0AZQBhAHMAdQByAGUAcwAgAHQAaABlACAAbABvAG4AZwAtAHQAZQByAG0AIABzAG8AbAB2AGUAbgBjAHkAIABvAGYAIABhACAAYwBvAG0AcABhAG4AeQAgAGIAeQAgAGMAbwBtAHAAYQByAGkAbgBnACAAaQB0AHMAIABzAGgAYQByAGUAaABvAGwAZABlAHIAcwAZICAAZQBxAHUAaQB0AHkAIAB0AG8AIABpAHQAcwAgAHQAbwB0AGEAbAAgAGEAcwBzAGUAdABzALYAXAAiACAAJgBcAG4AIAAgACAAIAAgACAAIAAgAFwAIgCSIbYAXAAiACAAJgAgAFwAbgAgACAAIAAgACAAIAAgACAAXAAiAEUAZgBmAGkAYwBpAGUAbgBjAHkAIABSAGEAdABpAG8AcwCSIbYAXAAiACAAJgBcAG4AIAAgACAAIAAgACAAIAAgAFwAIgBBAHMAcwBlAHQAVAB1AHIAbgBvAHYAZQByAFIAYQB0AGkAbwC7AyAAIAAgACAAIA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XAAiAEQAUwBJAFIAYQB0AGkAbwC7AyAAIAAgACAAIAAgACAAIAAgACAAIAAgACAAIAAgACAAIAAgAJIhRABhAHkAcwAgAFMAYQBsAGUAcwAgAGkAbgAgAEkAbgB2AGUAbgB0AG8AcgB5ACAAUgBhAHQAaQBvACAAKABhAGsAYQAgAEEAdgBlAHIAYQBnAGUAIABhAGcAZQAgAG8AZgAgAGkAbgB2AGUAbgB0AG8AcgB5ACAAaQBuAGQAaQBjAGEAdABlAHMAIAB0AGgAZQAgAGEAdgBlAHIAYQBnAGUAIAB0AGkAbQBlACAAaQBuACAAZABhAHkAcwAgAHQAaABhAHQAIABhACAAYwBvAG0AcABhAG4AeQAgAHQAYQBrAGUAcwAgAHQAbwAgAHQAdQByAG4AIABpAHQAcwAgAGkAbgB2AGUAbgB0AG8AcgB5ALYAXAAiACAAJgBcAG4AIAAgACAAIAAgACAAIAAgAFwAIgBPAHAAZQByAGEAdABpAG4AZwBSAGEAdABpAG8AuwMgACAAIAAgACAAIAAgACAAIAAgACAAIACSIVMAaABvAHcAcwAgAGgAbwB3ACAAZQBmAGYAaQBjAGkAZQBuAHQAIABtAGEAbgBhAGcAZQBtAGUAbgB0ACAAaQBzACAAYQB0ACAAawBlAGUAcABpAG4AZwAgAGMAbwBzAHQAcwAgAGwAbwB3ACAAdwBoAGkAbABlACAAZwBlAG4AZQByAGEAdABpAG4AZwAgAHIAZQB2AGUAbgB1AGUAtgBcACIAIAAmAFwAbgAgACAAIAAgACAAIAAgACAAXAAiAJIhtgBcACIAIAAmACAAXABuACAAIAAgACAAIAAgACAAIABcACIAUAByAG8AZgBpAHQAYQBiAGkAbABpAHQAeQAgAE0AYQByAGcAaQBuAHMAIAAmACAAUgBhAHQAaQBvAHMAkiG2AFwAIgAgACYAXABuACAAIAAgACAAIAAgACAAIABcACIARwByAG8AcwBzAE0AYQByAGcAaQBuALsDIAAgACAAIAAgACAAIAAgACAAIAAgACAAIAAgACAAkiFTAGgAbwB3AHMAIABoAG8AdwAgAG0AdQBjAGgAIABwAHIAbwBmAGkAdAAgAGEAIABjAG8AbQBwAGEAbgB5ACAAbQBhAGsAZQBzACAAYQBmAHQAZQByACAAcABhAHkAaQBuAGcAIABvAGYAZgAgAGkAdABzACAAQwBvAHMAdAAgAG8AZgAgAEcAbwBvAGQAcwAgAFMAbwBsAGQAtgBcACIAIAAmAFwAbgAgACAAIAAgACAAIAAgACAAXAAiAEUAQgBJAFQARABBAE0AYQByAGcAaQBuALsDIAAgACAAIAAgACAAIAAgACAAIAAgACAAIAAgAJIhTQBlAGEAcwB1AHIAZQBzACAAYQAgAGMAbwBtAHAAYQBuAHkAJwBzACAAbwBwAGUAcgBhAHQAaQBuAGcAIABwAHIAbwBmAGkAdAAgAGEAcwAgAGEAIABwAGUAcgBjAGUAbgB0AGEAZwBlACAAbwBmACAAaQB0AHMAIAByAGUAdgBlAG4AdQBlALYAXAAiACAAJgBcAG4AIAAgACAAIAAgACAAIAAgAFwAIgBPAHAAZQByAGEAdABpAG4AZwBNAGEAcgBnAGkAbgC7AyAAIAAgACAAIAAgACAAIAAgACAAIACSIU0AZQBhAHMAdQByAGUAcwAgAGgAbwB3ACAAbQB1AGMAaAAgAHAAcgBvAGYAaQB0ACAAYQAgAGMAbwBtAHAAYQBuAHkAIABtAGEAawBlAHMAIABvAG4AIABhACAAZABvAGwAbABhAHIAIABvAGYAIABzAGEAbABlAHMAIABhAGYAdABlAHIAIABwAGEAeQBpAG4AZwAgAGYAbwByACAAdgBhAHIAaQBhAGIAbABlACAAYwBvAHMAdABzACAAbwBmACAAcAByAG8AZAB1AGMAdABpAG8AbgAsACAAcwB1AGMAaAAgAGEAcwAgAHcAYQBnAGUAcwAgAGEAbgBkACAAcgBhAHcAIABtAGEAdABlAHIAaQBhAGwAcwAsACAAYgB1AHQAIABiAGUAZgBvAHIAZQAgAHAAYQB5AGkAbgBnACAAaQBuAHQAZQByAGUAcwB0ACAAbwByACAAdABhAHgAtgBcACIAIAAmAFwAbgAgACAAIAAgACAAIAAgACAAXAAiAFAAcgBlAHQAYQB4AE0AYQByAGcAaQBuALsDIAAgACAAIAAgACAAIAAgACAAIAAgACAAIAAgAJIhTQBlAGEAcwB1AHIAZQBzACAAdABoAGUAIABvAHAAZQByAGEAdABpAG4AZwAgAGUAZgBmAGkAYwBpAGUAbgBjAHkAIABvAGYAIABhACAAYwBvAG0AcABhAG4AeQAgALYAXAAiACAAJgBcAG4AIAAgACAAIAAgACAAIAAgAFwAIgBOAGUAdABQAHIAbwBmAGkAdABNAGEAcgBnAGkAbgC7AyAAIAAgACAAIAAgACAAIAAgACAAIACSIU0AZQBhAHMAdQByAGUAcwAgAGgAbwB3ACAAbQB1AGMAaAAgAG4AZQB0ACAAaQBuAGMAbwBtAGUAIABvAHIAIABwAHIAbwBmAGkAdAAgAGEAIABjAG8AbQBwAGEAbgB5ACAAZwBlAG4AZQByAGEAdABlAHMAIABhAHMAIABhACAAcABlAHIAYwBlAG4AdABhAGcAZQAgAG8AZgAgAGkAdABzACAAcgBlAHYAZQBuAHUAZQAuALYAXAAiACAAJgBcAG4AIAAgACAAIAAgACAAIAAgAFwAIgBDAGEAcwBoAEYAbABvAHcATQBhAHIAZwBpAG4AuwMgACAAIAAgACAAIAAgACAAIAAgACAAIACSIUMAYQBzAGgAIABGAGwAbwB3ACAATQBhAHIAZwBpAG4AIABpAHMAIABhACAAdAByAHUAcwB0AGUAZAAgAG0AZQB0AHIAaQBjACAAbwBmACAAYQAgAGMAbwBtAHAAYQBuAHkAGSBzACAAcAByAG8AZgBpAHQAYQBiAGkAbABpAHQAeQAgAGEAbgBkACAAZQBmAGYAaQBjAGkAZQBuAGMAeQAgAGEAbgBkACAAaQB0AHMAIABlAGEAcgBuAGkAbgBnAHMAIABxAHUAYQBsAGkAdAB5ALYAXAAiACAAJgBcAG4AIAAgACAAIAAgACAAIAAgAFwAIgBSAE8AQQC7AyAAIAAgACAAIAAgACAAIAAgACAAIAAgACAAIAAgACAAIAAgACAAIAAgACAAIACSISoAUgBlAHQAdQByAG4AIABvAG4AIABBAHMAcwBlAHQAcwAgAEkAbgBkAGkAYwBhAHQAZQBzACAAaABvAHcAIABwAHIAbwBmAGkAdABhAGIAbABlACAAYQAgAGMAbwBtAHAAYQBuAHkAIABpAHMAIABpAG4AIAByAGUAbABhAHQAaQBvAG4AIAB0AG8AIABpAHQAcwAgAHQAbwB0AGEAbAAgAGEAcwBzAGUAdABzALYAXAAiACAAJgBcAG4AIAAgACAAIAAgACAAIAAgAFwAIgBSAE8ARQC7AyAAIAAgACAAIAAgACAAIAAgACAAIAAgACAAIAAgACAAIAAgACAAIAAgACAAIACSISoAUgBlAHQAdQByAG4AIABvAG4AIABlAHEAdQBpAHQAeQAgAGkAcwAgAGEAIABtAGUAYQBzAHUAcgBlACAAbwBmACAAZgBpAG4AYQBuAGMAaQBhAGwAIABwAGUAcgBmAG8AcgBtAGEAbgBjAGUAIAC2AFwAIgAgACYAXABuACAAIAAgACAAIAAgACAAIABcACIAUgBPAEkAuwMgACAAIAAgACAAIAAgACAAIAAgACAAIAAgACAAIAAgACAAIAAgACAAIAAgACAAkiFSAGUAdAB1AHIAbgAgAG8AbgAgAEkAbgB2AGUAcwB0AG0AZQBuAHQAIAByAGEAdABpAG8AIAAgAG0AZQBhAHMAdQByAGUAcwAgAHQAaABlACAAcAByAG8AZgBpAHQAYQBiAGkAbABpAHQAeQAgAG8AZgAgAGEAbgAgAGkAbgB2AGUAcwB0AG0AZQBuAHQAIABiAHkAIABjAG8AbQBwAGEAcgBpAG4AZwAgAHQAaABlACAAZwBhAGkAbgAgAG8AcgAgAGwAbwBzAHMAIAB0AG8AIABpAHQAcwAgAGMAbwBzAHQAtgBcACIAIAAmAFwAbgAgACAAIAAgACAAIAAgACAAXAAiAFIATwBJAEMAuwMgACAAIAAgACAAIAAgACAAIAAgACAAIAAgACAAIAAgACAAIAAgACAAIAAgAJIhUgBlAHQAdQByAG4AIABvAG4AIABJAG4AdgBlAHMAdABlAGQAIABjAGEAcABpAHQAYQBsACAAIABhAHMAcwBlAHMAcwBlAHMAIABhACAAYwBvAG0AcABhAG4AeQAZIHMAIABlAGYAZgBpAGMAaQBlAG4AYwB5ACAAaQBuACAAYQBsAGwAbwBjAGEAdABpAG4AZwAgAGMAYQBwAGkAdABhAGwAIAB0AG8AIABwAHIAbwBmAGkAdABhAGIAbABlACAAaQBuAHYAZQBzAHQAbQBlAG4AdABzALYAXAAiACAAJgBcAG4AIAAgACAAIAAgACAAIAAgAFwAIgCSIbYAXAAiACAAJgAgAFwAbgAgACAAIAAgACAAIAAgACAAXAAiAE0AYQByAGsAZQB0ACAAVgBhAGwAdQBlACAAUgBhAHQAaQBvAHMAkiG2AFwAIgAgACYAXABuACAAIAAgACAAIAAgACAAIABcACIAUAByAGkAYwBlAEUAYQByAG4AaQBuAGcAcwBSAGEAdABpAG8AuwMgACAAIAAgACAAIAAgACAAkiEqAFAAcgBpAGMAZQAtAGUAYQByAG4AaQBuAGcAcwAgAFIAYQB0AGkAbwAgAG0AZQBhAHMAdQByAGUAcwAgAGEAIABjAG8AbQBwAGEAbgB5ACcAcwAgAHMAaABhAHIAZQAgAHAAcgBpAGMAZQAgAHIAZQBsAGEAdABpAHYAZQAgAHQAbwAgAGkAdABzACAAZQBhAHIAbgBpAG4AZwBzACAAcABlAHIAIABzAGgAYQByAGUAtgBcACIAIAAmAFwAbgAgACAAIAAgACAAIAAgACAAXAAiAFAAcgBpAGMAZQBUAG8AQgBvAG8AawBSAGEAdABpAG8AuwMgACAAIAAgACAAIAAgACAAIAAgAJIhTQBhAG4AeQAgAGkAbgB2AGUAcwB0AG8AcgBzACAAdQBzAGUAIAB0AGgAZQAgAHAAcgBpAGMAZQAtAHQAbwAtAGIAbwBvAGsAIAByAGEAdABpAG8AIAAoAFAALwBCACAAcgBhAHQAaQBvACkAIAB0AG8AIABjAG8AbQBwAGEAcgBlACAAYQAgAGYAaQByAG0AJwBzACAAbQBhAHIAawBlAHQAIABjAGEAcABpAHQAYQBsAGkAcwBhAHQAaQBvAG4AIAB0AG8AIABpAHQAcwAgAGIAbwBvAGsAIAB2AGEAbAB1AGUAIABhAG4AZAAgAGwAbwBjAGEAdABlACAAdQBuAGQAZQByAHYAYQBsAHUAZQBkACAAYwBvAG0AcABhAG4AaQBlAHMALgC2AFwAIgAgACYAXABuACAAIAAgACAAIAAgACAAIABcACIAUAByAGkAYwBlAFQAbwBTAGEAbABlAHMAUgBhAHQAaQBvALsDIAAgACAAIAAgACAAIAAgACAAkiFQAHIAaQBjAGUAIAB0AG8AIABTAGEAbABlAHMAIAAoAFAALwBTACkAIABSAGEAdABpAG8AIABpAHMAIABhAG4AIABpAG4AZABpAGMAYQB0AG8AcgAgAG8AZgAgAHQAaABlACAAdgBhAGwAdQBlACAAdABoAGEAdAAgAGYAaQBuAGEAbgBjAGkAYQBsACAAbQBhAHIAawBlAHQAcwAgAGgAYQB2AGUAIABwAGwAYQBjAGUAZAAgAG8AbgAgAGUAYQBjAGgAIABkAG8AbABsAGEAcgAgAG8AZgAgAGEAIABjAG8AbQBwAGEAbgB5ACcAcwAgAHMAYQBsAGUAcwAgAG8AcgAgAHIAZQB2AGUAbgB1AGUAcwC2AFwAIgAgACYAXABuACAAIAAgACAAIAAgACAAIABcACIAUAByAGkAYwBlAFQAbwBDAGEAcwBoAFIAYQB0AGkAbwC7AyAAIAAgACAAIAAgACAAIAAgACAAkiFQAHIAaQBjAGUAIAB0AG8AIABDAGEAcwBoACAAKABQAC8AQwBGACkAIABSAGEAdABpAG8AIABpAHMAIABhACAAcwB0AG8AYwBrACAAdgBhAGwAdQBhAHQAaQBvAG4AIABpAG4AZABpAGMAYQB0AG8AcgAgAG8AcgAgAG0AdQBsAHQAaQBwAGwAZQAgAHQAaABhAHQAIABtAGUAYQBzAHUAcgBlAHMAIAB0AGgAZQAgAHYAYQBsAHUAZQAgAG8AZgAgAGEAIABzAHQAbwBjAGsAGSBzACAAcAByAGkAYwBlACAAcgBlAGwAYQB0AGkAdgBlACAAdABvACAAaQB0AHMAIABvAHAAZQByAGEAdABpAG4AZwAgAGMAYQBzAGgAIABmAGwAbwB3ACAAcABlAHIAIABzAGgAYQByAGUAtgBcACIAIAAmAFwAbgAgACAAIAAgACAAIAAgACAAXAAiAEIAVgBQAFMAuwMgACAAIAAgACAAIAAgACAAIAAgACAAIAAgACAAIAAgACAAIAAgACAAIAAgAJIhQgBvAG8AawAgAHYAYQBsAHUAZQAgAHAAZQByACAAcwBoAGEAcgBlACAAcgBhAHQAaQBvACAAaQBzACAAYQBuACAAaQBuAGQAaQBjAGEAdABvAHIAIABvAGYAIAB0AGgAZQAgAHYAYQBsAHUAZQAgAG8AZgAgAGEAIABjAG8AbQBwAGEAbgB5ABkgcwAgAHMAdABvAGMAawC2AFwAIgAgACYAXABuACAAIAAgACAAIAAgACAAIABcACIAQwBBAFAARQBSAGEAdABpAG8AuwMgACAAIAAgACAAIAAgACAAIAAgACAAIAAgACAAIAAgACAAkiFNAGUAYQBzAHUAcgBlACAAdABoAGEAdAAgAHUAcwBlAHMAIAByAGUAYQBsACAAZQBhAHIAbgBpAG4AZwBzACAAcABlAHIAIABzAGgAYQByAGUAIAAoAEUAUABTACkAIABvAHYAZQByACAAYQAgADEAMAAtAHkAZQBhAHIAIABwAGUAcgBpAG8AZAAgAHQAbwAgAHMAbQBvAG8AdABoACAAbwB1AHQAIABmAGwAdQBjAHQAdQBhAHQAaQBvAG4AcwAgAGkAbgAgAGMAbwByAHAAbwByAGEAdABlACAAcAByAG8AZgBpAHQAcwAgAHQAaABhAHQAIABvAGMAYwB1AHIAIABvAHYAZQByACAAZABpAGYAZgBlAHIAZQBuAHQAIABwAGUAcgBpAG8AZABzACAAbwBmACAAYQAgAGIAdQBzAGkAbgBlAHMAcwAgAGMAeQBjAGwAZQAgACgAYQBrAGEAIABTAGgAaQBsAGwAZQByACAAUABFACAAUgBhAHQAaQBvACkAtgBcACIAIAAmAFwAbgAgACAAIAAgACAAIAAgACAAXAAiAEQAaQB2AGkAZABlAG4AZABQAGEAeQBvAHUAdABSAGEAdABpAG8AuwMgACAAIAAgACAAIAAgAJIhRABpAHYAaQBkAGUAbgBkACAAUABhAHkAbwB1AHQAIABSAGEAdABpAG8AIABpAHMAIAB0AGgAZQAgAHAAZQByAGMAZQBuAHQAYQBnAGUAIABvAGYAIABlAGEAcgBuAGkAbgBnAHMAIABwAGEAaQBkACAAdABvACAAcwBoAGEAcgBlAGgAbwBsAGQAZQByAHMAIAB2AGkAYQAgAGQAaQB2AGkAZABlAG4AZABzALYAXAAiACAAJgBcAG4AIAAgACAAIAAgACAAIAAgAFwAIgBEAGkAdgBpAGQAZQBuAGQAWQBpAGUAbABkAFIAYQB0AGkAbwC7AyAAIAAgACAAIAAgACAAIACSIUQAaQB2AGkAZABlAG4AZAAgAHkAaQBlAGwAZAAgAHIAYQB0AGkAbwAgAHMAaABvAHcAcwAgAGgAbwB3ACAAbQB1AGMAaAAgAGEAIABjAG8AbQBwAGEAbgB5ACAAcABhAHkAcwAgAG8AdQB0ACAAaQBuACAAZABpAHYAaQBkAGUAbgBkAHMAtgBcACIAIAAmAFwAbgAgACAAIAAgACAAIAAgACAAXAAiAEUAUABTALsDIAAgACAAIAAgACAAIAAgACAAIAAgACAAIAAgACAAIAAgACAAIAAgACAAIAAgAJIhRQBhAHIAbgBpAG4AZwBzACAAcABlAHIAIABzAGgAYQByAGUAIABtAGUAYQBzAHUAcgBlAHMAIABwAHIAbwBmAGkAdABhAGIAaQBsAGkAdAB5ACAAaQBuAGQAaQBjAGEAdABpAG4AZwAgAGgAbwB3ACAAbQB1AGMAaAAgAHAAcgBvAGYAaQB0ACAAZQBhAGMAaAAgAG8AdQB0AHMAdABhAG4AZABpAG4AZwAgAHMAaABhAHIAZQAgAG8AZgAgAGMAbwBtAG0AbwBuACAAcwB0AG8AYwBrACAAaABhAHMAIABlAGEAcgBuAGUAZAAgALYAXAAiACAAJgBcAG4AIAAgACAAIAAgACAAIAAgAFwAIgBSAGUAdABlAG4AdABpAG8AbgBSAGEAdABpAG8AuwMgACAAIAAgACAAIAAgACAAIAAgACAAIACSIVIAZQB0AGUAbgB0AGkAbwBuACAAUgBhAHQAaQBvACAAaQBzACAAdABoAGUAIABwAHIAbwBwAG8AcgB0AGkAbwBuACAAbwBmACAAZQBhAHIAbgBpAG4AZwBzACAAawBlAHAAdAAgAGIAYQBjAGsAIABpAG4AIAB0AGgAZQAgAGIAdQBzAGkAbgBlAHMAcwAgAGEAcwAgAHIAZQB0AGEAaQBuAGUAZAAgAGUAYQByAG4AaQBuAGcAcwC2AFwAIgAgACYAXABuACAAIAAgACAAIAAgACAAIABcACIAkiG2AFwAIgAgACYAIABcAG4AIAAgACAAIAAgACAAIAAgAFwAIgAqACAAIAAgACAAIAAgACAAIAAgACAAIAAgACAAIAAgACAAIAAgACAAIAAgACAAIAAgACAAIACSIVQAaABlAHMAZQAgAGEAcgBlACAAYwBvAG4AcwBpAGQAZQByAGUAZAAgACcASwBlAHkAIABSAGEAdABpAG8AcwAnALYAXAAiACAAJgBcAG4AIAAgACAAIAAgACAAIAAgAFwAIgCSIVwAIgAsACAAXAAiAJIhXAAiACwAIABcACIAtgBcACIAXABuACAAIAAgACAAKQBcAG4AKQA7AFwAbgBcAG4AXABuAFwAbgAvACoAIAAgAEYAVQBOAEMAVABJAE8ATgAgAE4AQQBNAEUAOgAgACAAQwB1AHIAcgBlAG4AdABSAGEAdABpAG8AuwNcAG4AIAAgACAAIABEAEUAUwBDAFIASQBQAFQASQBPAE4AOgAqAC8ALwAqACoATQBlAGEAcwB1AHIAZQBzACAAYQAgAGMAbwBtAHAAYQBuAHkAGSBzACAAYQBiAGkAbABpAHQAeQAgAHQAbwAgAHAAYQB5ACAAcwBoAG8AcgB0AC0AdABlAHIAbQAgAG8AYgBsAGkAZwBhAHQAaQBvAG4AcwAgACgAQwB1AHIAcgBlAG4AdAAgAEEAcwBzAGUAdABzAC8ATABpAGEAYgBpAGwAaQB0AGkAZQBzACkAKgAvAFwAbgBDAHUAcgByAGUAbgB0AFIAYQB0AGkAbwC7AyAAPQAgAEwAQQBNAEIARABBACgAXABuAC8ALwAgACAAUABhAHIAYQBtAGUAdABlAHIAIABEAGUAYwBsAGEAcgBhAHQAaQBvAG4AcwBcAG4AIAAgACAAIAAgACAAIAAgAFsAQQBzAHMAZQB0AHM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1AHIAcgBlAG4AdABSAGEAdABpAG8AuwMoACAAQQBzAHMAZQB0AHMALAAgAEwAaQBhAGIAaQBsAGkAdABpAGUAcwApALYAXAAiACAAJgAgAFwAbgAgACAAIAAgACAAIAAgACAAIAAgACAAIAAgACAAIAAgACAAIAAgACAAIAAgACAAIABcACIARABFAFMAQwBSAEkAUABUAEkATwBOADoAIAAgACAAkiFNAGUAYQBzAHUAcgBlAHMAIABhACAAYwBvAG0AcABhAG4AeQAZIHMAIABhAGIAaQBsAGkAdAB5ACAAdABvACAAcABhAHkAIABzAGgAbwByAHQALQB0AGUAcgBtACAAbwBiAGwAaQBnAGEAdABpAG8AbgBzACAAIAC2AFwAIgAgACYAIABcAG4AIAAgACAAIAAgACAAIAAgACAAIAAgACAAIAAgACAAIAAgACAAIAAgACAAIAAgACAAIAAgACAAIAAgACAAIAAgACAAIAAgACAAIAAgACAAXAAiAJIhKABDAHUAcgByAGUAbgB0ACAAQQBzAHMAZQB0AHMALw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EAcwBzAGUAdABzACAAIAAgACAAIAAgACAAIAAgAJIhKABSAGUAcQB1AGkAcgBlAGQAKQAgAEMAdQByAHIAZQBuAHQAIABBAHMAcwBlAHQAcwAuACAASQBuAGMAbAB1AGMAZQBzADoAIAC2AFwAIgAgACYAIABcAG4AIAAgACAAIAAgACAAIAAgACAAIAAgACAAIAAgACAAIAAgACAAIAAgACAAIAAgACAAIAAgACAAIAAgACAAIAAgACAAIAAgACAAIAAgACAAXAAiAJIhQwBhAHMAaAAgALYAXAAiACAAJgAgAFwAbgAgACAAIAAgACAAIAAgACAAIAAgACAAIAAgACAAIAAgACAAIAAgACAAIAAgACAAIAAgACAAIAAgACAAIAAgACAAIAAgACAAIAAgACAAIABcACIAkiFBAGMAYwBvAHUAbgB0AHMAIAByAGUAYwBlAGkAdgBhAGIAbABlACAAtgBcACIAIAAmACAAXABuACAAIAAgACAAIAAgACAAIAAgACAAIAAgACAAIAAgACAAIAAgACAAIAAgACAAIAAgACAAIAAgACAAIAAgACAAIAAgACAAIAAgACAAIAAgAFwAIgCSIUkAbgB2AGUAbgB0AG8AcgB5ACAAtgBcACIAIAAmACAAXABuACAAIAAgACAAIAAgACAAIAAgACAAIAAgACAAIAAgACAAIAAgACAAIAAgACAAIAAgACAAIAAgACAAIAAgACAAIAAgACAAIAAgACAAIAAgAFwAIgCSIVYAZQBuAGQAbwByACAAbQBwAG0ALQB0AHIAYQBkAGUAIAByAGUAYwBlAG8AdgBhAGIAbA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QAHIAbwBwAGUAcgB0AHkALAAgAFAAbABhAG4AdAAgAGEAbgBkACAAZQBxAHUAaQBwAG0AZQBuAHQAIAAoAFAAUABFACk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C4AMAA3ADUAIAAgACAAIAAgACAAIAAgACAAIACSIT0AbgBhAGIAbABhAC4AcgAuAEMAdQByAHIAZQBuAHQAUgBhAHQAaQBvALsDKAAgADEAMwA0AC4AOAAzADYALAAgADEAMgA1AC4ANA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RAHUAaQBjAGsAUgBhAHQAaQBvALsDXABuACAAIAAgACAARABFAFMAQwBSAEkAUABUAEkATwBOADoAKgAvAC8AKgAqAE0AZQBhAHMAdQByAGUAcwAgAGEAYgBpAGwAaQB0AHkAIAB0AG8AIABtAGUAZQB0ACAAcwBoAG8AcgB0AC0AdABlAHIAbQAgAG8AYgBsAGkAZwBhAHQAaQBvAG4AcwAgACgAUQB1AGkAYwBrACAAQQBzAHMAZQB0AHMALwBDAHUAcgByAGUAbgB0ACAATABpAGEAYgBpAGwAaQB0AGkAZQBzACkAKgAvAFwAbgBRAHUAaQBjAGsAUgBhAHQAaQBvALsDIAA9ACAATABBAE0AQgBEAEEAKABcAG4ALwAvACAAIABQAGEAcgBhAG0AZQB0AGUAcgAgAEQAZQBjAGwAYQByAGEAdABpAG8AbgBzAFwAbgAgACAAIAAgACAAIAAgACAAWwBRAHUAaQBjAGsAQQBzAHMAZQB0AHMAXQAsACAAIABcAG4AIAAgACAAIAAgACAAIAAgAFsATABpAGEAYgBpAGwAaQB0AGkAZQBzAF0ALAAgACAAIAAgACAAIAAgAFwAbgAvAC8AIAAgAEgAZQBsAHAAXABuACAAIAAgACAATABFAFQAKABIAGUAbABwACwAIAAgACAAVABSAEkATQAoAFQARQBYAFQAUwBQAEwASQBUACgAIABcAG4AIAAgACAAIAAgACAAIAAgACAAIAAgACAAIAAgACAAIAAgACAAIAAgACAAIAAgACAAXAAiAEYAVQBOAEMAVABJAE8ATgA6ACAAIAAgACAAIAAgAJIhUQB1AGkAYwBrAFIAYQB0AGkAbwC7AygAIABRAHUAaQBjAGsAQQBzAHMAZQB0AHMALAAgAEwAaQBhAGIAaQBsAGkAdABpAGUAcwApALYAXAAiACAAJgAgAFwAbgAgACAAIAAgACAAIAAgACAAIAAgACAAIAAgACAAIAAgACAAIAAgACAAIAAgACAAIABcACIARABFAFMAQwBSAEkAUABUAEkATwBOADoAIAAgACAAkiFNAGUAYQBzAHUAcgBlAHMAIABhAGIAaQBsAGkAdAB5ACAAdABvACAAbQBlAGUAdAAgAHMAaABvAHIAdAAtAHQAZQByAG0AIABvAGIAbABpAGcAYQB0AGkAbwBuAHMAtgBcACIAIAAmACAAXABuACAAIAAgACAAIAAgACAAIAAgACAAIAAgACAAIAAgACAAIAAgACAAIAAgACAAIAAgACAAIAAgACAAIAAgACAAIAAgACAAIAAgACAAIAAgAFwAIgCSISgAUQB1AGkAYwBrACAAQQBzAHMAZQB0AHMALw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xAC8AcQB1AGkAYwBr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RAHUAaQBjAGsAQQBzAHMAZQB0AHMAIAAgAJIhKABSAGUAcQB1AGkAcgBlAGQAKQAgAFEAdQBpAGMAawAgAEEAcwBzAGUAdABzAC4AIABJAG4AYwBsAHUAZABlAHMAOgAgALYAXAAiACAAJgAgAFwAbgAgACAAIAAgACAAIAAgACAAIAAgACAAIAAgACAAIAAgACAAIAAgACAAIAAgACAAIAAgACAAIAAgACAAIAAgACAAIAAgACAAIAAgACAAIABcACIAkiEiICAAQwBhAHMAaAAgACYAIABDAGEAcwBoACAAZQBxAHUAaQB2AGEAbABlAG4AdABzACAAtgBcACIAIAAmACAAXABuACAAIAAgACAAIAAgACAAIAAgACAAIAAgACAAIAAgACAAIAAgACAAIAAgACAAIAAgACAAIAAgACAAIAAgACAAIAAgACAAIAAgACAAIAAgAFwAIgCSISIgIABNAGEAcgBrAGUAdABhAGIAbABlACAAcwBlAGMAdQByAGkAdABpAGUAcwAgALYAXAAiACAAJgAgAFwAbgAgACAAIAAgACAAIAAgACAAIAAgACAAIAAgACAAIAAgACAAIAAgACAAIAAgACAAIAAgACAAIAAgACAAIAAgACAAIAAgACAAIAAgACAAIABcACIAkiEiICAAQQBjAGMAbwB1AG4AdABzACAAcgBlAGMAZQBpAHYAYQBiAGwAZQAgALYAXAAiACAAJgAgAFwAbgAgACAAIAAgACAAIAAgACAAIAAgACAAIAAgACAAIAAgACAAIAAgACAAIAAgACAAIAAgACAAIAAgACAAIAAgACAAIAAgACAAIAAgACAAIABcACIAkiFBAGwAdABlAHIAYQBuAHQAaQB2AGUAbAB5ACAAaQB0ACAAaQBuAGMAbAB1AGQAZQBzADoAIAC2AFwAIgAgACYAIABcAG4AIAAgACAAIAAgACAAIAAgACAAIAAgACAAIAAgACAAIAAgACAAIAAgACAAIAAgACAAIAAgACAAIAAgACAAIAAgACAAIAAgACAAIAAgACAAXAAiAJIhIiAgAEMAdQByAHIAZQBuAHQAIABhAHMAcwBlAHQAcwAgALYAXAAiACAAJgAgAFwAbgAgACAAIAAgACAAIAAgACAAIAAgACAAIAAgACAAIAAgACAAIAAgACAAIAAgACAAIAAgACAAIAAgACAAIAAgACAAIAAgACAAIAAgACAAIABcACIAkiEiICAATABlAHMAcwAgAGkAbgB2AGUAbgB0AG8AcgB5ACAAtgBcACIAIAAmACAAXABuACAAIAAgACAAIAAgACAAIAAgACAAIAAgACAAIAAgACAAIAAgACAAIAAgACAAIAAgACAAIAAgACAAIAAgACAAIAAgACAAIAAgACAAIAAgAFwAIgCSISIgIABMAGUAcwBzACAAcAByAGUAcABhAGkAZAAgAGUAeABwAGUAbgBzAGUAcw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C4AMgAgACAAIAAgACAAIAAgACAAIAAgACAAIACSIT0AbgBhAGIAbABhAC4Ac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1ADEANwA0ADAAOQAgACAAIAAgACAAIAAgACAAkiE9AG4AYQBiAGwAYQAuAHI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wBhAHMAaA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8AcABlAHIAYQB0AGkAbgBnAEMAYQBzAGgARgBsAG8AdwBSAGEAdABpAG8AuwNcAG4AIAAgACAAIABEAEUAUwBDAFIASQBQAFQASQBPAE4AOgAqAC8ALwAqACoATQBlAGEAcwB1AHIAZQBzACAAYQAgAGMAbwBtAHAAYQBuAHkAGSBzACAAYQBiAGkAbABpAHQAeQAgAHQAbwAgAHAAYQB5ACAAcwBoAG8AcgB0AC0AdABlAHIAbQAgAG8AYgBsAGkAZwBhAHQAaQBvAG4AcwAqAC8AXABuAE8AcABlAHIAYQB0AGkAbgBnAEMAYQBzAGgARgBsAG8AdwBSAGEAdABpAG8AuwMgAD0AIABMAEEATQBCAEQAQQAoAFwAbgAvAC8AIAAgAFAAYQByAGEAbQBlAHQAZQByACAARABlAGMAbABhAHIAYQB0AGkAbwBuAHMAXABuACAAIAAgACAAIAAgACAAIABbAE8AcABlAHIAYQB0AGkAbgBnAEMAYQBzAGgARgBsAG8Ad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aQ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pAGUAcwApALYAXAAiACAAJgAgAFwAbgAgACAAIAAgACAAIAAgACAAIAAgACAAIAAgACAAIAAgACAAIAAgACAAIAAgACAAIABcACIAVwBFAEIAUABBAEcARQA6ACAAIAAgACAAIAAgACAAIAAgACAAIACSIWgAdAB0AHAAcwA6AC8ALwB3AHcAdwAuAGkAbgB2AGUAcwB0AG8AcABlAGQAaQBhAC4AYwBvAG0ALwB0AGUAcgBtAHMALwBvAC8AbwBjAGY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MAYQBzAGgARgBsAG8AdwAgACAAkiEoAFIAZQBxAHUAaQByAGUAZAApACAATwBwAGUAcgBhAHQAaQBuAGcAIABjAGEAcwBoACAAZgBsAG8AdwAuACAAtgBcACIAIAAmACAAXABuACAAIAAgACAAIAAgACAAIAAgACAAIAAgACAAIAAgACAAIAAgACAAIAAgACAAIAAgACAAIAAgACAAIAAgACAAIAAgACAAIAAgACAAIAAgACAAIAAgACAAXAAiAJIhSQBuAGQAaQByAGUAYwB0ACAAbQBlAHQAaABvAGQAIABpAG4AYwBsAHUAZABlAHMAOgAgALYAXAAiACAAJgAgAFwAbgAgACAAIAAgACAAIAAgACAAIAAgACAAIAAgACAAIAAgACAAIAAgACAAIAAgACAAIAAgACAAIAAgACAAIAAgACAAIAAgACAAIAAgACAAIAAgACAAIAAgAFwAIgCSISIgIABOAGUAdAAgAEkAbgBjAG8AbQBlACAAtgBcACIAIAAmACAAXABuACAAIAAgACAAIAAgACAAIAAgACAAIAAgACAAIAAgACAAIAAgACAAIAAgACAAIAAgACAAIAAgACAAIAAgACAAIAAgACAAIAAgACAAIAAgACAAIAAgACAAXAAiAJIhIiAgAFAAbAB1AHMAIABkAGUAcAByAGUAYwBpAGEAdABpAG8AbgAgAGEAbgBkACAAYQBtAG8AcgB0AGkAcwBhAHQAaQBvAG4AIAC2AFwAIgAgACYAIABcAG4AIAAgACAAIAAgACAAIAAgACAAIAAgACAAIAAgACAAIAAgACAAIAAgACAAIAAgACAAIAAgACAAIAAgACAAIAAgACAAIAAgACAAIAAgACAAIAAgACAAIABcACIAkiEiICAATABlAHMAcwAgAGkAbgBjAHIAZQBhAHMAZQAgAGkAbgAgAG4AZQB0ACAAdwBvAHIAawBpAG4AZwAgAGMAYQBwAGkAdABhAGwAIAC2AFwAIgAgACYAIABcAG4AIAAgACAAIAAgACAAIAAgACAAIAAgACAAIAAgACAAIAAgACAAIAAgACAAIAAgACAAIAAgACAAIAAgACAAIAAgACAAIAAgACAAIAAgACAAIAAgACAAIABcACIAkiFEAGkAcgBlAGMAdAAgAG0AZQB0AGgAbwBkACAAaQBuAGMAbAB1AGQAZQBzADoAIAC2AFwAIgAgACYAIABcAG4AIAAgACAAIAAgACAAIAAgACAAIAAgACAAIAAgACAAIAAgACAAIAAgACAAIAAgACAAIAAgACAAIAAgACAAIAAgACAAIAAgACAAIAAgACAAIAAgACAAIABcACIAkiEiICAAQwBhAHMAaAAgAHIAZQB2AGUAbgB1AGUAIAC2AFwAIgAgACYAIABcAG4AIAAgACAAIAAgACAAIAAgACAAIAAgACAAIAAgACAAIAAgACAAIAAgACAAIAAgACAAIAAgACAAIAAgACAAIAAgACAAIAAgACAAIAAgACAAIAAgACAAIABcACIAkiEiICAATABlAHMAcwAgAE8AcABlAHIAYQB0AGkAbgBnACAAZQB4AHAAZQBuAHMAZQBzACAAcABhAGkAZAAgAGkAbgAgAGMAYQBzAGgAtgBcACIAIAAmACAAXABuACAAIAAgACAAIAAgACAAIAAgACAAIAAgACAAIAAgACAAIAAgACAAIAAgACAAIAAgAFwAIgBMAGkAYQBiAGkAbABpAHQAaQBlAHMAIAAgACAAIAAgACAAIAAgACAAkiEoAFIAZQBxAHUAaQByAGUAZAApACAAQwB1AHIAcgBlAG4AdAAgAEwAaQBhAGIAaQBsAGkAdABp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AAuADMANQA4ADcAMQAgACAAIAAgACAAIAAgACAAIAAgACAAIACSIT0AbgBhAGIAbABhAC4AcgAuAE8AcABlAHIAYQB0AGkAbgBnAEMAYQBzAGgARgBsAG8AdwBSAGEAdABpAG8AuwMoACAAMgA3AC4AOAAsACAANwA3AC4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DAGEAcwBoAEYAbABvAHc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TwBwAGUAcgBhAHQAaQBuAGcAQwBhAHMAaABGAGwAbwB3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gBlAGMAZQBpAHYAYQBiAGwAZQBzAFQAdQByAG4AbwB2AGUAcgBSAGEAdABpAG8AuwNcAG4AIAAgACAAIABEAEUAUwBDAFIASQBQAFQASQBPAE4AOgAqAC8ALwAqACoASQBuAGQAaQBjAGEAdABlAHMAIABlAGYAZgBlAGMAdABpAHYAZQBuAGUAcwBzACAAaQBuACAAYwBvAGwAbABlAGMAdABpAG4AZwAgAG8AdQB0AHMAdABhAG4AZABpAG4AZwAgAGIAYQBsAGEAbgBjAGUAcwAgAGYAcgBvAG0AIABjAGwAaQBlAG4AdABzACAAYQBuAGQAIABcAG4AbQBhAG4AYQBnAGkAbgBnACAAbABpAG4AZQAgAG8AZgAgAGMAcgBlAGQAaQB0ACAAcAByAG8AYwBlAHMAcwAgACgATgBlAHQAIABDAHIAZQBkAGkAdAAgAFMAYQBsAGUAcwAvAEEAdgBlAHIAYQBnAGUAIABBAGMAYwBvAHUAbgB0AHMAIABSAGUAYwBlAGkAdgBhAGIAbABlACkAIAAqAC8AXABuAFIAZQBjAGUAaQB2AGEAYgBsAGUAcwBUAHUAcgBuAG8AdgBlAHIAUgBhAHQAaQBvALsDIAA9ACAATABBAE0AQgBEAEEAKABcAG4ALwAvACAAIABQAGEAcgBhAG0AZQB0AGUAcgAgAEQAZQBjAGwAYQByAGEAdABpAG8AbgBzAFwAbgAgACAAIAAgACAAIAAgACAAWwBOAGUAdABDAHIAZQBkAGkAdABTAGEAbABlAHMAXQAsACAAIABcAG4AIAAgACAAIAAgACAAIAAgAFsAQQB2AGUAcgBhAGcAZQBBAGMAYwBvAHUAbgB0AHMAUgBlAGMAZQBpAHYAYQBiAGwAZQBdACwAIAAgACAAIABcAG4ALwAvACAAIABIAGUAbABwAFwAbgAgACAAIAAgAEwARQBUACgASABlAGwAcAAsACAAIAAgAFQAUgBJAE0AKABUAEUAWABUAFMAUABMAEkAVAAoACAAXABuACAAIAAgACAAIAAgACAAIAAgACAAIAAgACAAIAAgACAAIAAgACAAIAAgACAAIAAgAFwAIgBGAFUATgBDAFQASQBPAE4AOgAgACAAIAAgACAAIACSIVIAZQBjAGUAaQB2AGEAYgBsAGUAcwBUAHUAcgBuAG8AdgBlAHIAUgBhAHQAaQBvALsDKAAgAE4AZQB0AEMAcgBlAGQAaQB0AFMAYQBsAGUAcwAsACAAQQB2AGUAcgBhAGcAZQBBAGMAYwBvAHUAbgB0AHMAUgBlAGMAZQBpAHYAYQBiAGwAZQApALYAXAAiACAAJgAgAFwAbgAgACAAIAAgACAAIAAgACAAIAAgACAAIAAgACAAIAAgACAAIAAgACAAIAAgACAAIABcACIARABFAFMAQwBSAEkAUABUAEkATwBOADoAIAAgACAAkiFJAG4AZABpAGMAYQB0AGUAcwAgAGUAZgBmAGUAYwB0AGkAdgBlAG4AZQBzAHMAIABpAG4AIABjAG8AbABsAGUAYwB0AGkAbgBnACAAbwB1AHQAcwB0AGEAbgBkAGkAbgBnACAAYgBhAGwAYQBuAGMAZQBzACAAZgByAG8AbQAgAGMAbABpAGUAbgB0AHMAIABhAG4AZAAgALYAXAAiACAAJgBcAG4AIAAgACAAIAAgACAAIAAgACAAIAAgACAAIAAgACAAIAAgACAAIAAgACAAIAAgACAAIAAgACAAIAAgACAAIAAgACAAIAAgACAAIAAgACAAXAAiAJIhbQBhAG4AYQBnAGkAbgBnACAAbABpAG4AZQAgAG8AZgAgAGMAcgBlAGQAaQB0ACAAcAByAG8AYwBlAHMAcwAgACgATgBlAHQAIABDAHIAZQBkAGkAdAAgAFMAYQBsAGUAcwAvAEEAdgBlAHIAYQBnAGUAIABBAGMAYwBvAHUAbgB0AHMAIABSAGUAYwBlAGkAdgBhAGIAbABlACkAtgBcACIAIAAmACAAXABuACAAIAAgACAAIAAgACAAIAAgACAAIAAgACAAIAAgACAAIAAgACAAIAAgACAAIAAgAFwAIgBXAEUAQgBQAEEARwBFADoAIAAgACAAIAAgACAAIACSIWgAdAB0AHAAcwA6AC8ALwB3AHcAdwAuAGkAbgB2AGUAcwB0AG8AcABlAGQAaQBhAC4AYwBvAG0ALwB0AGUAcgBtAHMALwByAC8AcgBlAGMAZQBpAHYAYQBiAGwAZQB0AHUAcgBuAG8AdgBlAHI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MAcgBlAGQAaQB0AFMAYQBsAGUAcwAgAJIhKABSAGUAcQB1AGkAcgBlAGQAKQAgAE4AZQB0ACAAQwByAGUAZABpAHQAIABTAGEAbABlAHMALgAgAEEAbQBvAHUAbgB0ACAAbwBmACAAcgBlAHYAZQBuAHUAZQAgAGUAYQByAG4AZQBkACAAYgB5ACAAYQAgAGMAbwBtAHAAYQBuAHkAIABwAGEAaQBkACAAdgBpAGEAIABjAHIAZQBkAGkAdAC2AFwAIgAgACYAIABcAG4AIAAgACAAIAAgACAAIAAgACAAIAAgACAAIAAgACAAIAAgACAAIAAgACAAIAAgACAAXAAiAEEAdgBlAHIAYQBnAGUAQQBjAGMAbwB1AG4AdABzAFIAZQBjAGUAaQB2AGEAYgBsAGUAkiEoAFIAZQBxAHUAaQByAGUAZAApACAAQQB2AGUAcgBhAGcAZQAgAEEAYwBjAG8AdQBuAHQAcwAgAFIAZQBjAGUAaQB2AGEAYgBsAGUALgAgAEEAdgBlAHIAYQBnAGUAIABvAGYAIABwAGUAcgBpAG8AZAAgAG8AcABlAG4AaQBuAGcAIABhAG4AZAAgAGMAbABvAHMAaQBuAGcAIABiAGEAbABhAG4AYw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QAuADcANgA0ADcAMQAgACAAIAAgACAAIAAgAJIhPQBuAGEAYgBsAGEALgBy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4AC4ANAA2ADEANQAzADgAIAAgACAAIAAgACAAIAAgACAAIAAgAJIhPQBuAGEAYgBsAGEALgBy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TgBlAHQAQQBuAG4AdQBhAGwAUwBhAGwAZQBzACwAIABXAG8AcgBrAGkAbgBnAEMAYQBwAGkAdABhAGw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xADg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uAGEAYgBsAGEALgByACAAaQBzACAAYQBzAHMAdQBtAGUAZAAgAHQAbwAgAGIAZQAgAHQAaABlACAAbQBvAGQAdQBsAGUAJwBzACAAbgBhAG0AZQApALYAXAAiACAAJgBcAG4AIAAgACAAIAAgACAAIAAgACAAIAAgACAAIAAgACAAIAAgACAAIAAgACAAIAAgACAAXAAiADYALgAwACAAIAAgACAAIAAgACAAIAAgACAAIAAgACAAIAAgAJIhPQBuAGEAYgBsAGEALgByAC4AVwBvAHIAawBpAG4AZwBDAGEAcABpAHQAYQBsAFQAdQByAG4AbwB2AGUAcgBSAGEAdABpAG8AuwMoACAAMQAyAC4AMAAsACAAMg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QBuAG4AdQBhAGwAUwBhAGwAZQBzACkALABcAG4AIAAgACAAIAAgACAAIAAgACAAIAAgACAAIAAgACAAIAAgACAAIAAgACAAIAAgACAAIAAgACAAIABJAFMATwBNAEkAVABUAEUARAAoACAAVwBvAHIAawBpAG4AZwBDAGEAcABpAHQAYQBsACkAXABuACAAIAAgACAAIAAgACAAIAAgACAAIAAgACAAIAAgACAAIAAgACAAIAAgACAAIAAgACkALABcAG4AIAAgACAAIAAvAC8AIAAgAFAAcgBvAGMAZQBkAHUAcgBlAFwAbgAgACAAIAAgACAAIAAgACAAUgBlAHMAdQBsAHQALAAgACAAIAAgACAAIAAgACAAIABOAGUAdABBAG4AbgB1AGEAbABTAGEAbABlAHMALwBXAG8AcgBrAGkAbgBn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ABlAHYAZQByAGEAZwBlACAAUgBhAHQAaQBvAHMAIAAoAGEAawBhACAAUwBvAGwAdgBlAG4AYwB5ACAAUgBhAHQAaQBvAHMAKQBcAG4AXABuAFwAbgBcAG4ALwAqACAAIABGAFUATgBDAFQASQBPAE4AIABOAEEATQBFADoAIAAgAEQAZQBiAHQAUgBhAHQAaQBvALsDXABuACAAIAAgACAARABFAFMAQwBSAEkAUABUAEkATwBOADoAKgAvAC8AKgAqAE0AZQBhAHMAdQByAGUAcwAgAHQAaABlACAAZQB4AHQAZQBuAHQAIABvAGYAIABhACAAYwBvAG0AcABhAG4AeQAZIHMAIABsAGUAdgBlAHIAYQBnAGUAIAAqAC8AXABuAEQAZQBi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EAGUAYgB0AFIAYQB0AGkAbwC7AygAIABUAG8AdABhAGwARABlAGIAdAAsACAAVABvAHQAYQBsAEEAcwBzAGUAdABzACkAtgBcACIAIAAmACAAXABuACAAIAAgACAAIAAgACAAIAAgACAAIAAgACAAIAAgACAAIAAgACAAIAAgACAAIAAgAFwAIgBEAEUAUwBDAFIASQBQAFQASQBPAE4AOgAgACAAIACSIU0AZQBhAHMAdQByAGUAcwAgAHQAaABlACAAZQB4AHQAZQBuAHQAIABvAGYAIABhACAAYwBvAG0AcABhAG4AeQAZIHMAIABsAGUAdgBlAHIAYQBnAGUAIAAoAFQAbwB0AGEAbABEAGUAYgB0AC8AVABvAHQAYQBsAEEAcwBzAGUAdABzACkAtgBcACIAIAAmACAAXABuACAAIAAgACAAIAAgACAAIAAgACAAIAAgACAAIAAgACAAIAAgACAAIAAgACAAIAAgAFwAIgBXAEUAQgBQAEEARwBFADoAIAAgACAAIAAgACAAIACSIWgAdAB0AHAAcwA6AC8ALwB3AHcAdwAuAGkAbgB2AGUAcwB0AG8AcABlAGQAaQBhAC4AYwBvAG0ALwB0AGUAcgBtAHMALwBkAC8AZABlAGIAdAByAGEAdABpAG8ALgBhAHMAcAAj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UAG8AdABhAGwARABlAGIAdAAgACAAIAAgACAAIACSISgAUgBlAHEAdQBpAHIAZQBkACkAIABUAG8AdABhAGwAIABEAGUAYgB0ACAAtgBcACIAIAAmACAAXABuACAAIAAgACAAIAAgACAAIAAgACAAIAAgACAAIAAgACAAIAAgACAAIAAgACAAIAAgAFwAIgBUAG8AdABhAGwAQQBzAHMAZQB0AHMAIAAgACAAIACSISgAUgBlAHEAdQBpAHIAZQBkACkAIABUAG8AdABhAGwAIABBAHMAcwBlAHQAcw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C4AMwAgACAAIAAgACAAIAAgACAAIAAgACAAIAAgAJIhPQBuAGEAYgBsAGEALgBy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EAGUAYgB0AF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E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gAuADEANAAyADgANQA3ACAAIAAgACAAIAAgACAAIAAgACAAIACSIT0AbgBhAGIAbABhAC4AcgAuAEQAUwBDAFIAuwMoADIAMQA1ADAALgAwACwAIAAzADU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SQBuAGMAbwBtAGUAKQAsAFwAbgAgACAAIAAgACAAIAAgACAAIAAgACAAIAAgACAAIAAgACAAIAAgACAAIAAgACAAIAAgACAAIAAgAEkAUwBPAE0ASQBUAFQARQBEACgAIABUAG8AdABhAGwAZABlAGIAdABzAGUAcgB2AGkAYwBlACkAXABuACAAIAAgACAAIAAgACAAIAAgACAAIAAgACAAIAAgACAAIAAgACAAIAAgACAAIAAgACkALABcAG4AIAAgACAAIAAvAC8AIAAgAFAAcgBvAGMAZQBkAHUAcgBlAFwAbgAgACAAIAAgACAAIAAgACAAUgBlAHMAdQBsAHQALAAgACAAIAAgACAAIAAgACAAIABOAGUAdABPAHAAZQByAGEAdABpAG4AZwBJAG4AYwBvAG0AZQAvAFQAbwB0AGEAbABEAGUAYgB0AFMAZQByAHYAaQBj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MAYQBwAGkAdABhAGwAUgBhAHQAaQBvALsDXABuACAAIAAgACAARABFAFMAQwBSAEkAUABUAEkATwBOADoAKgAvAC8AKgAqAEcAaQB2AGUAcwAgAGEAbgBhAGwAeQBzAHQAcwAgAGEAbgBkACAAaQBuAHYAZQBzAHQAbwByAHMAIABhACAAYgBlAHQAdABlAHIAIABpAGQAZQBhACAAbwBmACAAYQAgAGMAbwBtAHAAYQBuAHkAJwBzACAAZgBpAG4AYQBuAGMAaQBhAGwAIABzAHQAcgB1AGMAdAB1AHIAZQBcAG4AYQBuAGQAIAB3AGgAZQB0AGgAZQByACAAbwByACAAbgBvAHQAIAB0AGgAZQAgAGMAbwBtAHAAYQBuAHkAIABpAHMAIABhACAAcwB1AGkAdABhAGIAbABlACAAaQBuAHYAZQBzAHQAbQBlAG4AdAAgACgARABlAGIAdAAvACgARABlAGIAdAAgACsAIABTAGgAYQByAGUAaABvAGwAZABlAHIAcwAnACAAZQBxAHUAaQB0AHkAKQAgACoALwBcAG4ARABlAGIAdABUAG8AQwBhAHAAaQB0AGEAbABSAGEAdABpAG8AuwMgAD0AIABMAEEATQBCAEQAQQAoAFwAbgAvAC8AIAAgAFAAYQByAGEAbQBlAHQAZQByACAARABlAGMAbABhAFIAYQB0AGkAbwBuAHMAXABuACAAIAAgACAAIAAgACAAIABbAEQAZQBiAHQ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MAYQBwAGkAdABhAGwAUgBhAHQAaQBvALsDKAAgAEQAZQBiAHQALAAgAFMAaABhAHIAZQBoAG8AbABkAGUAcgBzAEUAcQB1AGkAdAB5ACkAtgBcACIAIAAmACAAXABuACAAIAAgACAAIAAgACAAIAAgACAAIAAgACAAIAAgACAAIAAgACAAIAAgACAAIAAgAFwAIgBEAEUAUwBDAFIASQBQAFQASQBPAE4AOgAgACAAIAAgACAAIAAgAJIhRwBpAHYAZQBzACAAYQBuAGEAbAB5AHMAdABzACAAYQBuAGQAIABpAG4AdgBlAHMAdABvAHIAcwAgAGEAIABiAGUAdAB0AGUAcgAgAGkAZABlAGEAIABvAGYAIABhACAAYwBvAG0AcABhAG4AeQAnAHMAIABmAGkAbgBhAG4AYwBpAGEAbAAgAHMAdAByAHUAYwB0AHUAcgBlALYAXAAiACAAJgBcAG4AIAAgACAAIAAgACAAIAAgACAAIAAgACAAIAAgACAAIAAgACAAIAAgACAAIAAgACAAIAAgACAAIAAgACAAIAAgACAAIAAgACAAIAAgACAAIAAgACAAIABcACIAkiFhAG4AZAAgAHcAaABlAHQAaABlAHIAIABvAHIAIABuAG8AdAAgAHQAaABlACAAYwBvAG0AcABhAG4AeQAgAGkAcwAgAGEAIABzAHUAaQB0AGEAYgBsAGUAIABpAG4AdgBlAHMAdABtAGUAbgB0AC4AtgBcACIAIAAmACAAXABuACAAIAAgACAAIAAgACAAIAAgACAAIAAgACAAIAAgACAAIAAgACAAIAAgACAAIAAgACAAIAAgACAAIAAgACAAIAAgACAAIAAgACAAIAAgACAAIAAgACAAXAAiAJIhKABEAGUAYgB0AC8AKABEAGUAYgB0ACAAKwAgAFMAaABhAHIAZQBoAG8AbABkAGUAcgBzACcAIABlAHEAdQBpAHQAeQApALYAXAAiACAAJgAgAFwAbgAgACAAIAAgACAAIAAgACAAIAAgACAAIAAgACAAIAAgACAAIAAgACAAIAAgACAAIABcACIAVwBFAEIAUABBAEcARQA6ACAAIAAgACAAIAAgACAAIAAgACAAIACSIWgAdAB0AHAAcwA6AC8ALwB3AHcAdwAuAGkAbgB2AGUAcwB0AG8AcABlAGQAaQBhAC4AYwBvAG0ALwB0AGUAcgBtAHMALwBkAC8AZABlAGIAdAAtAHQAbwAtAGMAYQBwAGkAdABhAGw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RABlAGIAdAAgACAAIAAgACAAIAAgACAAIAAgACAAIAAgACAAIACSISgAUgBlAHEAdQBpAHIAZQBkACkAIABUAG8AdABhAGwAIABEAGUAYgB0ACAAdwBoAGkAYwBoACAAYwBhAG4AIABpAG4AYwBsAHUAZABlADoAIAC2AFwAIgAgACYAXABuACAAIAAgACAAIAAgACAAIAAgACAAIAAgACAAIAAgACAAIAAgACAAIAAgACAAIAAgACAAIAAgACAAIAAgACAAIAAgACAAIAAgACAAIAAgACAAIAAgACAAXAAiAJIhTgBvAHQAZQBzACAAcABhAHkAYQBiAGwAZQC2AFwAIgAgACYAXABuACAAIAAgACAAIAAgACAAIAAgACAAIAAgACAAIAAgACAAIAAgACAAIAAgACAAIAAgACAAIAAgACAAIAAgACAAIAAgACAAIAAgACAAIAAgACAAIAAgACAAXAAiAJIhQgBvAG4AZABzACAAcABhAHkAYQBiAGwAZQC2AFwAIgAgACYAXABuACAAIAAgACAAIAAgACAAIAAgACAAIAAgACAAIAAgACAAIAAgACAAIAAgACAAIAAgACAAIAAgACAAIAAgACAAIAAgACAAIAAgACAAIAAgACAAIAAgACAAXAAiAJIhTABvAG4AZwAtAHQAZQByAG0AIABsAGkAYQBiAGkAbABpAHQAaQBlAHMAtgBcACIAIAAm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DYALgA0ACUAIAAgACAAIAAgACAAIAAgACAAIAAgACAAIAAgAJIhPQBuAGEAYgBsAGEALgByAC4ARABlAGIAdABUAG8AQwBhAHAAaQB0AGEAbABSAGEAdABpAG8AuwMoACAAOAAwAC4AMAAsACAAMgAyADM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lAGIAdA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EAGUAYgB0AC8AKABEAGUAYgB0ACsAUwBoAGEAcgBlAGgAbwBsAGQAZQByAHMARQBxAHUAaQB0AHk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TQB1AGwAdABpAHAAbABpAGUAcgC7A1wAbgAgACAAIAAgAEQARQBTAEMAUgBJAFAAVABJAE8ATgA6ACoALwAvACoAKgBNAGUAYQBzAHUAcgBlAHMAIAB0AGgAZQAgAHAAbwByAHQAaQBvAG4AIABvAGYAIABhACAAYwBvAG0AcABhAG4AeQAZIHMAIABhAHMAcwBlAHQAcwAgAGYAaQBuAGEAbgBjAGUAZAAgAGIAeQAgAHMAaABhAHIAZQBoAG8AbABkAGUAcgBzACcAXABuAGUAcQB1AGkAdAB5ACAAcgBhAHQAaABlAHIAIAB0AGgAYQBuACAAYgB5ACAAZABlAGIAdAAgACgAVABvAHQAYQBsAEEAcwBzAGUAdABzAC8AVABvAHQAYQBsAFMAaABhAHIAZQBoAG8AbABkAGUAcgBzAEUAcQB1AGkAdAB5ACkAIAAqAC8AXABuAEUAcQB1AGkAdAB5AE0AdQBsAHQAaQBwAGwAaQBlAHIAuwMgAD0AIABMAEEATQBCAEQAQQAoAFwAbgAvAC8AIAAgAFAAYQByAGEAbQBlAHQAZQByACAARABlAGMAbABhAFIAYQB0AGkAbwBuAHMAXABuACAAIAAgACAAIAAgACAAIABbAFQAbwB0AGEAbABBAHMAcwBlAHQAcwBdACwAIAAgAFwAbgAgACAAIAAgACAAIAAgACAAWwBUAG8AdABhAGw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UAcQB1AGkAdAB5AE0AdQBsAHQAaQBwAGwAaQBlAHIAuwMoACAAVABvAHQAYQBsAEEAcwBzAGUAdABzACwAIABUAG8AdABhAGwAUwBoAGEAcgBlAGgAbwBsAGQAZQByAHMARQBxAHUAaQB0AHkAKQC2AFwAIgAgACYAIABcAG4AIAAgACAAIAAgACAAIAAgACAAIAAgACAAIAAgACAAIAAgACAAIAAgACAAIAAgACAAXAAiAEQARQBTAEMAUgBJAFAAVABJAE8ATgA6ACAAIAAgACAAIAAgACAAkiFNAGUAYQBzAHUAcgBlAHMAIAB0AGgAZQAgAHAAbwByAHQAaQBvAG4AIABvAGYAIABhACAAYwBvAG0AcABhAG4AeQAZIHMAIABhAHMAcwBlAHQAcwAgAGYAaQBuAGEAbgBjAGUAZAAgAGIAeQAgAHMAaABhAHIAZQBoAG8AbABkAGUAcgBzACcAIAC2AFwAIgAgACYAXABuACAAIAAgACAAIAAgACAAIAAgACAAIAAgACAAIAAgACAAIAAgACAAIAAgACAAIAAgACAAIAAgACAAIAAgACAAIAAgACAAIAAgACAAIAAgACAAIAAgACAAXAAiAJIhZQBxAHUAaQB0AHkAIAByAGEAdABoAGUAcgAgAHQAaABhAG4AIABiAHkAIABkAGUAYgB0ACAAKABUAG8AdABhAGwAQQBzAHMAZQB0AHMALwBUAG8AdABhAGwAUwBoAGEAcgBlAGgAbwBsAGQAZQByAHMARQBxAHUAaQB0AHkAKQC2AFwAIgAgACYAIABcAG4AIAAgACAAIAAgACAAIAAgACAAIAAgACAAIAAgACAAIAAgACAAIAAgACAAIAAgACAAXAAiAFcARQBCAFAAQQBHAEUAOgAgACAAIAAgACAAIAAgACAAIAAgACAAkiFoAHQAdABwAHMAOgAvAC8AdwB3AHcALgBpAG4AdgBlAHMAdABvAHAAZQBkAGkAYQAuAGMAbwBtAC8AdABlAHIAbQBzAC8AZQAvAGUAcQB1AGkAdAB5AG0AdQBsAHQAaQBwAGwAaQ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uADQAMAA2ADIANQAgACAAIAAgACAAIAAgACAAIAAgACAAIACSIT0AbgBhAGIAbABhAC4AcgAuAEUAcQB1AGkAdAB5AE0AdQBsAHQAaQBwAGwAaQBlAHIAuwMoADMANgA2AC4ANgAsACAAOAAzAC4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BAHMAcwBlAHQAcwApACwAXABuACAAIAAgACAAIAAgACAAIAAgACAAIAAgACAAIAAgACAAIAAgACAAIAAgACAAIAAgACAAIAAgACAASQBTAE8ATQBJAFQAVABFAEQAKAAgAFQAbwB0AGEAbABTAGgAYQByAGUAaABvAGwAZABlAHIAcwBFAHEAdQBpAHQAeQApAFwAbgAgACAAIAAgACAAIAAgACAAIAAgACAAIAAgACAAIAAgACAAIAAgACAAIAAgACAAIAApACwAXABuACAAIAAgACAALwAvACAAIABQAHIAbwBjAGUAZAB1AHIAZQBcAG4AIAAgACAAIAAgACAAIAAgAFIAZQBzAHUAbAB0ACwAIAAgACAAIAAgACAAIAAgACAAVABvAHQAYQBsAEEAcwBzAGUAdABzAC8AVABvAHQAYQBs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FwAbgBcAG4AXABuAFwAbgAvAC8AIAAgAFMAbwBsAHYAZQBuAGMAeQAgAFIAYQB0AGkAbwBzAFwAbgBcAG4AIABcAG4ALwAqACAAIABGAFUATgBDAFQASQBPAE4AIABOAEEATQBFADoAIAAgAEQAZQBiAHQAVABvAEUAcQB1AGkAdAB5AFIAYQB0AGkAbwC7A1wAbgAgACAAIAAgAEQARQBTAEMAUgBJAFAAVABJAE8ATgA6ACoALwAvACoAKgBNAGUAYQBzAHUAcgBlAHMAIAB0AGgAZQAgAGQAZQBnAHIAZQBlACAAdABvACAAdwBoAGkAYwBoACAAYQAgAGMAbwBtAHAAYQBuAHkAIABpAHMAIABmAGkAbgBhAG4AYwBpAG4AZwAgAG8AcABlAHIAYQB0AGkAbwBuAHMAXABuAHcAaQB0AGgAIABkAGUAYgB0ACAAcgBhAHQAaABlAHIAIAB0AGgAYQBuACAAaQB0AHMAIABvAHcAbgAgAHIAZQBzAG8AdQByAGMAZQBzAC4AIAAoAFQAbwB0AGEAbAAgAEwAaQBhAGIAaQBsAGkAdABpAGUAcwAvAFMAaABhAHIAZQBoAG8AbABkAGUAcgBzACcAIABFAHEAdQBpAHQAeQApACAAKgAvAFwAbgBEAGUAYgB0AFQAbwBFAHEAdQBpAHQAeQBSAGEAdABpAG8AuwMgAD0AIABMAEEATQBCAEQAQQAoAFwAbgAvAC8AIAAgAFAAYQByAGEAbQBlAHQAZQByACAARABlAGMAbABhAFIAYQB0AGkAbwBuAHMAXABuACAAIAAgACAAIAAgACAAIABbAFQAbwB0AGEAbABMAGkAYQBiAGkAbABpAHQAaQBlAHM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UAcQB1AGkAdAB5AFIAYQB0AGkAbwC7AygAIABUAG8AdABhAGwATABpAGEAYgBpAGwAaQB0AGkAZQBzACwAIABTAGgAYQByAGUAaABvAGwAZABlAHIAcwBFAHEAdQBpAHQAeQApALYAXAAiACAAJgAgAFwAbgAgACAAIAAgACAAIAAgACAAIAAgACAAIAAgACAAIAAgACAAIAAgACAAIAAgACAAIABcACIARABFAFMAQwBSAEkAUABUAEkATwBOADoAIAAgACAAIAAgACAAIACSIU0AZQBhAHMAdQByAGUAcwAgAHQAaABlACAAZABlAGcAcgBlAGUAIAB0AG8AIAB3AGgAaQBjAGgAIABhACAAYwBvAG0AcABhAG4AeQAgAGkAcwAgAGYAaQBuAGEAbgBjAGkAbgBnACAAbwBwAGUAcgBhAHQAaQBvAG4AcwC2AFwAIgAgACYAXABuACAAIAAgACAAIAAgACAAIAAgACAAIAAgACAAIAAgACAAIAAgACAAIAAgACAAIAAgACAAIAAgACAAIAAgACAAIAAgACAAIAAgACAAIAAgACAAIAAgACAAXAAiAJIhdwBpAHQAaAAgAGQAZQBiAHQAIAByAGEAdABoAGUAcgAgAHQAaABhAG4AIABpAHQAcwAgAG8AdwBuACAAcgBlAHMAbwB1AHIAYwBlAHMALgAgACgAVABvAHQAYQBsACAATABpAGEAYgBpAGwAaQB0AGkAZQBzAC8AUwBoAGEAcgBlAGgAbwBsAGQAZQByAHMAJwAgAEUAcQB1AGkAdAB5ACkAtgBcACIAIAAmACAAXABuACAAIAAgACAAIAAgACAAIAAgACAAIAAgACAAIAAgACAAIAAgACAAIAAgACAAIAAgAFwAIgBXAEUAQgBQAEEARwBFADoAIAAgACAAIAAgACAAIAAgACAAIAAgAJIhaAB0AHQAcABzADoALwAvAHcAdwB3AC4AaQBuAHYAZQBzAHQAbwBwAGUAZABpAGEALgBjAG8AbQAvAHQAZQByAG0AcwAvAGQALwBkAGUAYgB0AGUAcQB1AGkAdAB5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TABpAGEAYgBpAGwAaQB0AGkAZQBzACAAIAAgAJIhKABSAGUAcQB1AGkAcgBlAGQAKQAgAFQAbwB0AGEAbAAgAEwAaQBhAGIAaQBsAGkAdABpAGU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wAuADcANwAgACAAIAAgACAAIAAgACAAIAAgACAAIAAgACAAIACSIT0AbgBhAGIAbABhAC4AcgAuAEQAZQBiAHQAVABvAEUAcQB1AGkAdAB5AFIAYQB0AGkAbwC7AygAMgA3ADkALgAwACwAIAA3ADQ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wAaQBhAGIAaQBsAGkAdABpAGUAcwApACwAXABuACAAIAAgACAAIAAgACAAIAAgACAAIAAgACAAIAAgACAAIAAgACAAIAAgACAAIAAgACAAIAAgACAASQBTAE8ATQBJAFQAVABFAEQAKAAgAFMAaABhAHIAZQBoAG8AbABkAGUAcgBzAEUAcQB1AGkAdAB5ACkALA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bABlAHYAZQByAGEAZwBlACAAdwBpAHQAaAAgAHQAaABhAHQAIABvAGYAIABvAHQAaABlAHIAIABcAG4AYwBvAG0AcABhAG4AaQBlAHMAIABpAG4AIAB0AGgAZQAgAHMAYQBtAGUAIABpAG4AZAB1AHMAdAByAHkALgAgACgAVABvAHQAYQBsACAARABlAGIAdAAvAFQAbwB0AGEAbAAgAEEAcwBzAGUAdABzACkAIAAqAC8AXABuAEQAZQBiAHQAVABvAEEAcwBzAGU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AgACAAIAAgAJIhRABlAGIAdABUAG8AQQBzAHMAZQB0AFIAYQB0AGkAbwC7AygAIABUAG8AdABhAGwARABlAGIAdAAsACAAVABvAHQAYQBsAEEAcwBzAGUAdABzACkAtgBcACIAIAAmACAAXABuACAAIAAgACAAIAAgACAAIAAgACAAIAAgACAAIAAgACAAIAAgACAAIAAgACAAIAAgAFwAIgBEAEUAUwBDAFIASQBQAFQASQBPAE4AOgAgACAAIAAgACAAIAAgAJIhQQBuAGEAbAB5AHMAdABzACAAYwBhAG4AIABjAG8AbQBwAGEAcgBlACAAbwBuAGUAIABjAG8AbQBwAGEAbgB5ACcAcwAgAGwAZQB2AGUAcgBhAGcAZQAgAHcAaQB0AGgAIAB0AGgAYQB0ACAAbwBmACAAbwB0AGgAZQByACAAeQC2AFwAIgAgACYAXABuACAAIAAgACAAIAAgACAAIAAgACAAIAAgACAAIAAgACAAIAAgACAAIAAgACAAIAAgACAAIAAgACAAIAAgACAAIAAgACAAIAAgACAAIAAgACAAIAAgACAAXAAiAJIhYwBvAG0AcABhAG4AaQBlAHMAIABpAG4AIAB0AGgAZQAgAHMAYQBtAGUAIABpAG4AZAB1AHMAdAByAHkAIAAoAFQAbwB0AGEAbAAgAEQAZQBiAHQALwBUAG8AdABhAGwAIABBAHMAcwBlAHQAcwApALYAXAAiACAAJgBcAG4AIAAgACAAIAAgACAAIAAgACAAIAAgACAAIAAgACAAIAAgACAAIAAgACAAIAAgACAAXAAiAFcARQBCAFAAQQBHAEUAOgAgACAAIAAgACAAIAAgACAAIAAgACAAkiFoAHQAdABwAHMAOgAvAC8AdwB3AHcALgBpAG4AdgBlAHMAdABvAHAAZQBkAGkAYQAuAGMAbwBtAC8AdABlAHIAbQBzAC8AdAAvAHQAbwB0AGEAbABkAGUAYgB0AHQAbwB0AG8AdABhAGwAYQBzAHMAZQB0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QAZQBiAHQAIAAgACAAIAAgACAAIAAgACAAIACSISgAUgBlAHEAdQBpAHIAZQBkACkAIABUAG8AdABhAGwAIABkAGUAYgB0ACAAaQBuAGMAbAB1AGQAZQBzACAAcwBoAG8AcgB0AHQAZQByAG0AIABhAG4AZAAgAGwAbwBuAGcAdABlAHIAbQAgAGQAZQBiAHQAtgBcACIAIAAmACAAXABuACAAIAAgACAAIAAgACAAIAAgACAAIAAgACAAIAAgACAAIAAgACAAIAAgACAAIAAgAFwAIgBUAG8AdABhAGwAQQBzAHMAZQB0AHMAIAAgACAAIAAgACAAIA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C4ANAA5ADgANwAzACAAIAAgACAAIAAgACAAIAAgACAAIAAgACAAkiE9AG4AYQBiAGwAYQAuAHI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HQ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C4AOQA0ADQANAA0ADQAIAAgACAAIAAgACAAIAAgACAAIAAgAJIhPQBuAGEAYgBsAGEALgByAC4ASQBuAHQAZQByAGUAcwB0AEMAbwB2AGUAcgBhAGcAZQBSAGEAdABpAG8AuwMoACAANgAyADUALgAwACwAIAA5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SQBuAGMAbwBtAGUAKQAsAFwAbgAgACAAIAAgACAAIAAgACAAIAAgACAAIAAgACAAIAAgACAAIAAgACAAIAAgACAAIAAgACAAIAAgAEkAUwBPAE0ASQBUAFQARQBEACgAIABJAG4AdABlAHIAZQBzAHQARQB4AHAAZQBuAHMAZQBzACkAXABuACAAIAAgACAAIAAgACAAIAAgACAAIAAgACAAIAAgACAAIAAgACAAIAAgACAAIAAgACkALABcAG4AIAAgACAAIAAvAC8AIAAgAFAAcgBvAGMAZQBkAHUAcgBlAFwAbgAgACAAIAAgACAAIAAgACAAUgBlAHMAdQBsAHQALAAgACAAIAAgACAAIAAgACAAIABPAHAAZQByAGEAdABpAG4AZwBJAG4AYwBvAG0AZQAvAEkAbgB0AGUAcgBlAHMAdABFAHgAcABlAG4Acw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FIAYQB0AGkAbwC7A1wAbgAgACAAIAAgAEQARQBTAEMAUgBJAFAAVABJAE8ATgA6ACoALwAvACoAKgBNAGUAYQBzAHUAcgBlAHMAIAB0AGgAZQAgAGwAbwBuAGcALQB0AGUAcgBtACAAcwBvAGwAdgBlAG4AYwB5ACAAbwBmACAAYQAgAGMAbwBtAHAAYQBuAHkAIABiAHkAIABjAG8AbQBwAGEAcgBpAG4AZwAgAGkAdABzACAAcwBoAGEAcgBlAGgAbwBsAGQAZQByAHMAGSAgAGUAcQB1AGkAdAB5ACAAdABvACAAaQB0AHMAIABcAG4AdABvAHQAYQBsACAAYQBzAHMAZQB0AHMAIAAoAFMAaABhAHIAZQBoAG8AbABkAGUAcgAnAHMAIABFAHEAdQBpAHQAeQAvACgAVABvAHQAYQBsACAAQQBzAHMAZQB0AHMAIAAtACAASQBuAHQAYQBuAGcAaQBiAGwAZQAgAEEAcwBzAGUAdABzACkAKQAuACAAKgAvAFwAbgBFAHEAdQBpAHQAeQBSAGEAdABpAG8AuwMgAD0AIABMAEEATQBCAEQAQQAoAFwAbgAvAC8AIAAgAFAAYQByAGEAbQBlAHQAZQByACAARABlAGMAbABhAFIAYQB0AGkAbwBuAHMAXABuACAAIAAgACAAIAAgACAAIABbAFMAaABhAHIAZQBoAG8AbABkAGUAcgBzAEUAcQB1AGkAdAB5AF0ALAAgACAAXABuACAAIAAgACAAIAAgACAAIABbAFQAbwB0AGEAbABBAHMAcwBlAHQAcwBdACwAXABuACAAIAAgACAAIAAgACAAIABbAEkAbgB0AGEAbgBnAGkAYgBsAGUAQQBzAHMAZQB0AHMAXQAsAFwAbgAvAC8AIAAgAEgAZQBsAHAAXABuACAAIAAgACAATABFAFQAKABIAGUAbABwACwAIAAgACAAVABSAEkATQAoAFQARQBYAFQAUwBQAEwASQBUACgAIABcAG4AIAAgACAAIAAgACAAIAAgACAAIAAgACAAIAAgACAAIAAgACAAIAAgACAAIAAgACAAXAAiAEYAVQBOAEMAVABJAE8ATgA6ACAAIAAgACAAIAAgACAAIAAgACAAkiFFAHEAdQBpAHQAeQBSAGEAdABpAG8AuwMoACAAUwBoAGEAcgBlAGgAbwBsAGQAZQByAHMARQBxAHUAaQB0AHkALAAgAFQAbwB0AGEAbABBAHMAcwBlAHQAcwAsACAASQBuAHQAYQBuAGcAaQBiAGwAZQBBAHMAcwBlAHQAcwApALYAXAAiACAAJgAgAFwAbgAgACAAIAAgACAAIAAgACAAIAAgACAAIAAgACAAIAAgACAAIAAgACAAIAAgACAAIABcACIARABFAFMAQwBSAEkAUABUAEkATwBOADoAIAAgACAAIAAgACAAIACSIU0AZQBhAHMAdQByAGUAcwAgAHQAaABlACAAbABvAG4AZwAtAHQAZQByAG0AIABzAG8AbAB2AGUAbgBjAHkAIABvAGYAIABhACAAYwBvAG0AcABhAG4AeQAgAGIAeQAgAGMAbwBtAHAAYQByAGkAbgBnACAAaQB0AHMAIABzAGgAYQByAGUAaABvAGwAZABlAHIAcwAZICAAtgBcACIAIAAmAFwAbgAgACAAIAAgACAAIAAgACAAIAAgACAAIAAgACAAIAAgACAAIAAgACAAIAAgACAAIAAgACAAIAAgACAAIAAgACAAIAAgACAAIAAgACAAIAAgACAAIAAgAFwAIgCSIWUAcQB1AGkAdAB5ACAAdABvACAAaQB0AHMAIAB0AG8AdABhAGwAIABhAHMAcwBlAHQAcwAgACgAUwBoAGEAcgBlAGgAbwBsAGQAZQByACcAcwAgAEUAcQB1AGkAdAB5AC8AKABUAG8AdABhAGwAIABBAHMAcwBlAHQAcwAgAC0AIABJAG4AdABhAG4AZwBpAGIAbABlACAAQQBzAHMAZQB0AHMAKQApALYAXAAiACAAJgBcAG4AIAAgACAAIAAgACAAIAAgACAAIAAgACAAIAAgACAAIAAgACAAIAAgACAAIAAgACAAXAAiAFcARQBCAFAAQQBHAEUAOgAgACAAIAAgACAAIAAgACAAIAAgACAAkiFoAHQAdABwAHMAOgAvAC8AdwB3AHcALgB3AGEAbABsAHMAdAByAGUAZQB0AHAAcgBlAHAALgBjAG8AbQAvAGsAbgBvAHcAbABlAGQAZwBlAC8AZQBxAHUAaQB0AHkALQByAGEAdABpAG8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wACUAIAAgACAAIAAgACAAIAAgACAAIAAgACAAIAAgACAAIACSIT0AbgBhAGIAbABhAC4Ac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uADMAMgB4ACAAIAAgACAAIAAgACAAIAAgACAAIACSIT0AbgBhAGIAbABhAC4AcgAuAEEAcwBzAGUAdABUAHUAcgBuAG8AdgBlAHIAUgBhAHQAaQBvALsDKAAgADEANwAxADcANgAwACwAIAA1ADMAOAA3ADE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MAYQBsAGUAcw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UwBhAGwAZQBz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SQC7A1wAbgAgACAAIAAgAEQARQBTAEMAUgBJAFAAVABJAE8ATgA6ACoALwAvACoAKgBEAGEAeQBzACAAUwBhAGwAZQBzACAAaQBuACAASQBuAHYAZQBuAHQAbwByAHkAIABSAGEAdABpAG8AIAAoAGEAawBhACAAQQB2AGUAcgBhAGcAZQAgAGEAZwBlACAAbwBmACAAaQBuAHYAZQBuAHQAbwByAHkAIABcAG4AaQBuAGQAaQBjAGEAdABlAHMAIAB0AGgAZQAgAGEAdgBlAHIAYQBnAGUAIAB0AGkAbQBlACAAaQBuACAAZABhAHkAcwAgAHQAaABhAHQAIABhACAAYwBvAG0AcABhAG4AeQAgAHQAYQBrAGUAcwAgAHQAbwAgAHQAdQByAG4AIABpAHQAcwAgAGkAbgB2AGUAbgB0AG8AcgB5ACAAXABuACgAQQB2AGUAcgBhAGcAZQAgAEkAbgB2AGUAbgB0AG8AcgB5AC8AIABDAG8AcwB0ACAAbwBmACAARwBvAG8AZABzACAAUwBvAGwAZAApACAAKgAvAFwAbgBEAFMASQC7AyAAPQAgAEwAQQBNAEIARABBACgAXABuAC8ALwAgACAAUABhAHIAYQBtAGUAdABlAHIAIABEAGUAYwBsAGEAUgBhAHQAaQBvAG4AcwBcAG4AIAAgACAAIAAgACAAIAAgAFsAQQB2AGUAcgBhAGcAZQBJAG4AdgBlAG4AdABvAHIAeQBdACwAIAAgAFwAbgAgACAAIAAgACAAIAAgACAAWwBDAG8AcwB0AE8AZgBHAG8AbwBkAHMAUwBvAGwAZABdACwAIAAgACAAIABcAG4ALwAvACAAIABIAGUAbABwAFwAbgAgACAAIAAgAEwARQBUACgASABlAGwAcAAsACAAIAAgAFQAUgBJAE0AKABUAEUAWABUAFMAUABMAEkAVAAoACAAXABuACAAIAAgACAAIAAgACAAIAAgACAAIAAgACAAIAAgACAAIAAgACAAIAAgACAAIAAgAFwAIgBGAFUATgBDAFQASQBPAE4AOgAgACAAIAAgACAAIAAgACAAIAAgAJIhRABTAEkAuwMoACAAQQB2AGUAcgBhAGcAZQBJAG4AdgBlAG4AdABvAHIAeQAsACAAQwBvAHMAdABPAGYARwBvAG8AZABzAFMAbwBsAGQAKQC2AFwAIgAgACYAIABcAG4AIAAgACAAIAAgACAAIAAgACAAIAAgACAAIAAgACAAIAAgACAAIAAgACAAIAAgACAAXAAiAEQARQBTAEMAUgBJAFAAVABJAE8ATgA6ACAAIAAgACAAIAAgACAAkiFEAGEAeQBzACAAUwBhAGwAZQBzACAAaQBuACAASQBuAHYAZQBuAHQAbwByAHkAIABSAGEAdABpAG8AIAAoAGEAawBhACAAQQB2AGUAcgBhAGcAZQAgAGEAZwBlACAAbwBmACAAaQBuAHYAZQBuAHQAbwByAHkAKQC2AFwAIgAgACYAIABcAG4AIAAgACAAIAAgACAAIAAgACAAIAAgACAAIAAgACAAIAAgACAAIAAgACAAIAAgACAAIAAgACAAIAAgACAAIAAgACAAIAAgACAAIAAgACAAIAAgACAAIABcACIAkiFpAG4AZABpAGMAYQB0AGUAcwAgAHQAaABlACAAYQB2AGUAcgBhAGcAZQAgAHQAaQBtAGUAIABpAG4AIABkAGEAeQBzACAAdABoAGEAdAAgAGEAIABjAG8AbQBwAGEAbgB5ACAAdABhAGsAZQBzACAAdABvACAAdAB1AHIAbgAgAGkAdABzACAAaQBuAHYAZQBuAHQAbwByAHkAtgBcACIAIAAmACAAXABuACAAIAAgACAAIAAgACAAIAAgACAAIAAgACAAIAAgACAAIAAgACAAIAAgACAAIAAgACAAIAAgACAAIAAgACAAIAAgACAAIAAgACAAIAAgACAAIAAgACAAXAAiAJIhKABBAHYAZQByAGEAZwBlACAASQBuAHYAZQBuAHQAbwByAHkALwAgAEMAbwBzAHQAIABvAGYAIABHAG8AbwBkAHMAIABTAG8AbABk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wAC4AOAA5ADQAOQAgAGQAYQB5AHMAIAAgACAAIAAgACAAIACSIT0AbgBhAGIAbABhAC4AcgAuAEQAUwBJALsDKAA1ADQALgA5ACwAIAA0ADk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dgBlAHIAYQBnAGUASQBuAHYAZQBuAHQAbwByAHkAKQAsAFwAbgAgACAAIAAgACAAIAAgACAAIAAgACAAIAAgACAAIAAgACAAIAAgACAAIAAgACAAIAAgACAAIAAgAEkAUwBPAE0ASQBUAFQARQBEACgAIABDAG8AcwB0AE8AZgBHAG8AbwBkAHMAUwBvAGwAZAApAFwAbgAgACAAIAAgACAAIAAgACAAIAAgACAAIAAgACAAIAAgACAAIAAgACAAIAAgACAAIAApACwAXABuACAAIAAgACAALwAvACAAIABDAG8AbgBzAHQAYQBuAHQAcwBcAG4AIAAgACAAIAAgACAAIAAgAEQAcABZACwAIAAgACAAIAAgACAAIAAgACAAIAAgACAAMwA2ADUALAAgAC8ALwBEAGEAeQBzACAAcABlAHIAIABZAGUAYQByAFwAbgAgACAAIAAgAC8ALwAgACAAUAByAG8AYwBlAGQAdQByAGUAXABuACAAIAAgACAAIAAgACAAIABSAGUAcwB1AGwAdAAsACAAIAAgACAAIAAgACAAIAAgAEEAdgBlAHIAYQBnAGUASQBuAHYAZQBuAHQAbwByAHkALwBDAG8AcwB0AE8AZgBHAG8AbwBkAHMAUwBvAGwAZAAgACoAIABEAHAAW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UgBhAHQAaQBvALsDXABuACAAIAAgACAARABFAFMAQwBSAEkAUABUAEkATwBOADoAKgAvAC8AKgAqAFMAaABvAHcAcwAgAGgAbwB3ACAAZQBmAGYAaQBjAGkAZQBuAHQAIABtAGEAbgBhAGcAZQBtAGUAbgB0ACAAaQBzACAAYQB0ACAAawBlAGUAcABpAG4AZwAgAGMAbwBzAHQAcwAgAGwAbwB3ACAAdwBoAGkAbABlACAAZwBlAG4AZQByAGEAdABpAG4AZwAgAHIAZQB2AGUAbgB1AGUAIABcAG4AKABPAHAAZQByAGEAdABpAG4AZwAgAEUAeABwAGUAbgBzAGUAcwAgACsAIABDAG8AcwB0ACAATwBmACAARwBvAG8AZABzACAAUwBvAGwAZAApAC8ATgBlAHQAIABTAGEAbABlAHMAKQAqAC8AXABuAE8AcABlAHIAYQB0AGkAbgBnAFIAYQB0AGkAbwC7AyAAPQAgAEwAQQBNAEIARABBACgAXABuAC8ALwAgACAAUABhAHIAYQBtAGUAdABlAHIAIABEAGUAYwBsAGEAUgBhAHQAaQBvAG4AcwBcAG4AIAAgACAAIAAgACAAIAAgAFsATwBwAGUAcgBhAHQAaQBuAGcARQB4AHAAZQBuAHMAZQBzAF0ALAAgACAAXABuACAAIAAgACAAIAAgACAAIABbAEMAbwBzAHQATwBmAEcAbwBvAGQAcwBTAG8AbABkAF0ALAAgACA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FIAYQB0AGkAbwC7AygAIABPAHAAZQByAGEAdABpAG4AZwBFAHgAcABlAG4AcwBlAHMALAAgAEMAbwBzAHQATwBmAEcAbwBvAGQAcwBTAG8AbABkACwAIABOAGUAdABTAGEAbABlAHMAKQC2AFwAIgAgACYAIABcAG4AIAAgACAAIAAgACAAIAAgACAAIAAgACAAIAAgACAAIAAgACAAIAAgACAAIAAgACAAXAAiAEQARQBTAEMAUgBJAFAAVABJAE8ATgA6ACAAIAAgACAAIAAgACAAkiFTAGgAbwB3AHMAIABoAG8AdwAgAGUAZgBmAGkAYwBpAGUAbgB0ACAAbQBhAG4AYQBnAGUAbQBlAG4AdAAgAGkAcwAgAGEAdAAgAGsAZQBlAHAAaQBuAGcAIABjAG8AcwB0AHMAIABsAG8AdwAgALYAXAAiACAAJgBcAG4AIAAgACAAIAAgACAAIAAgACAAIAAgACAAIAAgACAAIAAgACAAIAAgACAAIAAgACAAIAAgACAAIAAgACAAIAAgACAAIAAgACAAIAAgACAAIAAgACAAIABcACIAkiF3AGgAaQBsAGUAIABnAGUAbgBlAHIAYQB0AGkAbgBnACAAcgBlAHYAZQBuAHUAZQC2AFwAIgAgACYAIABcAG4AIAAgACAAIAAgACAAIAAgACAAIAAgACAAIAAgACAAIAAgACAAIAAgACAAIAAgACAAIAAgACAAIAAgACAAIAAgACAAIAAgACAAIAAgACAAIAAgACAAIABcACIAkiEoAE8AcABlAHIAYQB0AGkAbgBnACAARQB4AHAAZQBuAHMAZQBzACAAKwAgAEMAbwBzAHQAIABPAGYAIABHAG8AbwBkAHMAIABTAG8AbABkACkALwBOAGUAdAAgAFMAYQBsAGUAcwApALYAXAAiACAAJgAgAFwAbgAgACAAIAAgACAAIAAgACAAIAAgACAAIAAgACAAIAAgACAAIAAgACAAIAAgACAAIABcACIAVwBFAEIAUABBAEcARQA6ACAAIAAgACAAIAAgACAAIAAgACAAIACSIWgAdAB0AHAAcwA6AC8ALwB3AHcAdwAuAGkAbgB2AGUAcwB0AG8AcABlAGQAaQBhAC4AYwBvAG0ALwB0AGUAcgBtAHMALwBvAC8AbwBwAGUAcgBhAHQAaQBuAGc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4AHAAZQBuAHMAZQBzACAAIACSISgAUgBlAHEAdQBpAHIAZQBkACkAIABPAHAAZQByAGEAdABpAG4AZwAgAEUAeABwAGUAbgBzAGUAcwAgAHcAaABpAGMAaAAgAGMAYQBuACAAaQBuAGMAbAB1AGQAZQA6ALYAXAAiACAAJgBcAG4AIAAgACAAIAAgACAAIAAgACAAIAAgACAAIAAgACAAIAAgACAAIAAgACAAIAAgACAAIAAgACAAIAAgACAAIAAgACAAIAAgACAAIAAgACAAIAAgACAAIABcACIAkiFBAGMAYwBvAHUAbgB0AGkAbgBnACAAYQBuAGQAIABsAGUAZwBhAGwAIABmAGUAZQBzALYAXAAiACAAJgBcAG4AIAAgACAAIAAgACAAIAAgACAAIAAgACAAIAAgACAAIAAgACAAIAAgACAAIAAgACAAIAAgACAAIAAgACAAIAAgACAAIAAgACAAIAAgACAAIAAgACAAIABcACIAkiFCAGEAbgBrACAAYwBoAGEAcgBnAGUAcwC2AFwAIgAgACYAXABuACAAIAAgACAAIAAgACAAIAAgACAAIAAgACAAIAAgACAAIAAgACAAIAAgACAAIAAgACAAIAAgACAAIAAgACAAIAAgACAAIAAgACAAIAAgACAAIAAgACAAXAAiAJIhUwBhAGwAZQBzACAAYQBuAGQAIABtAGEAcgBrAGUAdABpAG4AZwAgAGMAbwBzAHQAcwC2AFwAIgAgACYAXABuACAAIAAgACAAIAAgACAAIAAgACAAIAAgACAAIAAgACAAIAAgACAAIAAgACAAIAAgACAAIAAgACAAIAAgACAAIAAgACAAIAAgACAAIAAgACAAIAAgACAAXAAiAJIhTgBvAG4ALQBjAGEAcABpAHQAYQBsAGkAcwBlAGQAIAByAGUAcwBlAGEAcgBjAGgAtgBcACIAIAAmAFwAbgAgACAAIAAgACAAIAAgACAAIAAgACAAIAAgACAAIAAgACAAIAAgACAAIAAgACAAIAAgACAAIAAgACAAIAAgACAAIAAgACAAIAAgACAAIAAgACAAIAAgAFwAIgCSIWQAZQB2AGUAbABvAHAAbQBlAG4AdAAgACgAUgAmAEQAKQAgAGUAeABwAGUAbgBzAGUAcwC2AFwAIgAgACYAXABuACAAIAAgACAAIAAgACAAIAAgACAAIAAgACAAIAAgACAAIAAgACAAIAAgACAAIAAgACAAIAAgACAAIAAgACAAIAAgACAAIAAgACAAIAAgACAAIAAgACAAXAAiAJIhQwBvAHMAdAAgAG8AZgAgAEcAbwBvAGQAcwAgAFMAbwBsAGQAIAAoAEMATwBHAFMAKQC2AFwAIgAgACY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OAGUAdABTAGEAbABlAHMAIAAgACAAIAAgACAAIAAgACAAIAAgAJIhKABSAGUAcQB1AGkAcgBlAGQAKQAgAE4AZQB0ACAAUwBhAGwAZQBzACAAbwByACAAUgBlAHYAZQBuAHUAZQAu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gA5ACUAIAAgACAAIAAgACAAIAAgACAAIAAgACAAIAAgACAAIACSIT0AbgBhAGIAbABhAC4Ac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YAMQAuADcANAA0ADgAJQAgACAAIAAgACAAIAAgAJIhPQBuAGEAYgBsAGEALgByAC4ARwByAG8AcwBzAE0AYQByAGcAaQBuALsDKAAgADYAMgAuADkAOAA0ACwAIAAxADAAMgAuADAAMAA3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wByAG8AcwBzAFAAcgBvAGYAaQB0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BHAHIAbwBzAHMAUAByAG8AZgBpAHQALwBOAGUAdABTAGEAbA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QgBJAFQARABBAE0AYQByAGcAaQBuALsDXABuACAAIAAgACAARABFAFMAQwBSAEkAUABUAEkATwBOADoAKgAvAC8AKgAqAE0AZQBhAHMAdQByAGUAcwAgAGEAIABjAG8AbQBwAGEAbgB5ACcAcwAgAG8AcABlAHIAYQB0AGkAbgBnACAAcAByAG8AZgBpAHQAIABhAHMAIABhACAAcABlAHIAYwBlAG4AdABhAGcAZQAgAG8AZgAgAGkAdABzACAAcgBlAHYAZQBuAHUAZQAgACgARQBCAEkAVABEAEEALwBUAG8AdABhAGwAIABSAGUAdgBlAG4AdQBlACkALgAqAC8AXABuAEUAQgBJAFQARABBAE0AYQByAGcAaQBuALsDIAA9ACAATABBAE0AQgBEAEEAKABcAG4ALwAvACAAIABQAGEAcgBhAG0AZQB0AGUAcgAgAEQAZQBjAGwAYQByAGEAdABpAG8AbgBzAFwAbgAgACAAIAAgACAAIAAgACAAWwBFAEIASQBUAEQAQQBdACwAIAAgAFwAbgAgACAAIAAgACAAIAAgACAAWwBUAG8AdABhAGwAUgBlAHYAZQBuAHUAZQBdACwAIAAgACAAIABcAG4ALwAvACAAIABIAGUAbABwAFwAbgAgACAAIAAgAEwARQBUACgASABlAGwAcAAsACAAIAAgAFQAUgBJAE0AKABUAEUAWABUAFMAUABMAEkAVAAoACAAXABuACAAIAAgACAAIAAgACAAIAAgACAAIAAgACAAIAAgACAAIAAgACAAIAAgACAAIAAgAFwAIgBGAFUATgBDAFQASQBPAE4AOgAgACAAIAAgACAAIACSIUUAQgBJAFQARABBAE0AYQByAGcAaQBuALsDKAAgAEUAQgBJAFQARABBACwAIABUAG8AdABhAGwAUgBlAHYAZQBuAHUAZQApALYAXAAiACAAJgAgAFwAbgAgACAAIAAgACAAIAAgACAAIAAgACAAIAAgACAAIAAgACAAIAAgACAAIAAgACAAIABcACIARABFAFMAQwBSAEkAUABUAEkATwBOADoAIAAgACAAkiFNAGUAYQBzAHUAcgBlAHMAIABhACAAYwBvAG0AcABhAG4AeQAnAHMAIABvAHAAZQByAGEAdABpAG4AZwAgAHAAcgBvAGYAaQB0ACAAYQBzACAAYQAgAHAAZQByAGMAZQBuAHQAYQBnAGUAIABvAGYAIABpAHQAcwAgAHIAZQB2AGUAbgB1AGUALgC2AFwAIgAgACYAIABcAG4AIAAgACAAIAAgACAAIAAgACAAIAAgACAAIAAgACAAIAAgACAAIAAgACAAIAAgACAAIAAgACAAIAAgACAAIAAgACAAIAAgACAAIAAgACAAXAAiAJIhKABFAEIASQBUAEQAQQAvAFQAbwB0AGEAbAAgAFIAZQB2AGUAbgB1AGUAKQC2AFwAIgAgACYAIABcAG4AIAAgACAAIAAgACAAIAAgACAAIAAgACAAIAAgACAAIAAgACAAIAAgACAAIAAgACAAXAAiAFcARQBCAFAAQQBHAEUAOgAgACAAIAAgACAAIAAgAJIhaAB0AHQAcABzADoALwAvAHcAdwB3AC4AaQBuAHYAZQBzAHQAbwBwAGUAZABpAGEALgBjAG8AbQAvAHQAZQByAG0AcwAvAGUALwBlAGIAaQB0AGQAYQ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UAQgBJAFQARABBACAAIAAgACAAIAAgACAAIAAgAJIhKABSAGUAcQB1AGkAcgBlAGQAKQAgAEUAYQByAG4AaQBuAGcAcwAgAEIAZQBmAG8AcgBlACAASQBuAHQAZQByAGUAcwB0ACwAIAB0AGEAeAAsACAAZABlAHAAcgBlAGMAaQBhAHQAaQBvAG4ALAAgAGEAbgBkACAAYQBtAG8AcgB0AGkAcwBhAHQAaQBvAG4AtgBcACIAIAAmACAAXABuACAAIAAgACAAIAAgACAAIAAgACAAIAAgACAAIAAgACAAIAAgACAAIAAgACAAIAAgAFwAIgBUAG8AdABhAGwAUgBlAHYAZQBuAHUAZQAgACAAIACSISgAUgBlAHEAdQBpAHIAZQBkACkAIABUAG8AdABhAGw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gAlACAAIAAgACAAIAAgACAAIAAgACAAIAAgAJIhPQBuAGEAYgBsAGEALgByAC4ARQBCAEkAVABEAEEATQBhAHIAZwBpAG4AuwMoACAAMQA1AC4AMAAsACAAMQAyADU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QBCAEkAVABEAEEAKQAsAFwAbgAgACAAIAAgACAAIAAgACAAIAAgACAAIAAgACAAIAAgACAAIAAgACAAIAAgACAAIAAgACAAIAAgAEkAUwBPAE0ASQBUAFQARQBEACgAIABUAG8AdABhAGwAUgBlAHYAZQBuAHUAZQApAFwAbgAgACAAIAAgACAAIAAgACAAIAAgACAAIAAgACAAIAAgACAAIAAgACAAIAAgACAAIAApACwAXABuACAAIAAgACAALwAvACAAIABQAHIAbwBjAGUAZAB1AHIAZQBcAG4AIAAgACAAIAAgACAAIAAgAFIAZQBzAHUAbAB0ACwAIAAgACAAIAAgACAAIAAgACAARQBCAEkAVABEAEEALwBUAG8AdABhAGw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TQBhAHIAZwBpAG4AuwNcAG4AIAAgACAAIABEAEUAUwBDAFIASQBQAFQASQBPAE4AOgAqAC8ALwAqACoAIABNAGUAYQBzAHUAcgBlAHMAIABoAG8AdwAgAG0AdQBjAGgAIABwAHIAbwBmAGkAdAAgAGEAIABjAG8AbQBwAGEAbgB5ACAAbQBhAGsAZQBzACAAbwBuACAAYQAgAGQAbwBsAGwAYQByACAAbwBmACAAcwBhAGwAZQBzACAAYQBmAHQAZQByACAAcABhAHkAaQBuAGcAIABmAG8AcgAgAHYAYQByAGkAYQBiAGwAZQAgAGMAbwBzAHQAcwAgAFwAbgBvAGYAIABwAHIAbwBkAHUAYwB0AGkAbwBuACwAIABzAHUAYwBoACAAYQBzACAAdwBhAGcAZQBzACAAYQBuAGQAIAByAGEAdwAgAG0AYQB0AGUAcgBpAGEAbABzACwAIABiAHUAdAAgAGIAZQBmAG8AcgBlACAAcABhAHkAaQBuAGcAIABpAG4AdABlAHIAZQBzAHQAIABvAHIAIAB0AGEAeAAgACgATwBwAGUAcgBhAHQAaQBuAGcAIABFAGEAcgBuAGkAbgBnAHMALwBSAGUAdgBlAG4AdQBlACkALgAqAC8AXABuAE8AcABlAHIAYQB0AGkAbgBnAE0AYQByAGcAaQBuALsDIAA9ACAATABBAE0AQgBEAEEAKABcAG4ALwAvACAAIABQAGEAcgBhAG0AZQB0AGUAcgAgAEQAZQBjAGwAYQByAGEAdABpAG8AbgBzAFwAbgAgACAAIAAgACAAIAAgACAAWwBPAHAAZQByAGEAdABpAG4AZw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TQBhAHIAZwBpAG4AuwMoACAATwBwAGUAcgBhAHQAaQBuAGcARQBhAHIAbgBpAG4AZwBzACwAIABSAGUAdgBlAG4AdQBlACkAtgBcACIAIAAmACAAXABuACAAIAAgACAAIAAgACAAIAAgACAAIAAgACAAIAAgACAAIAAgACAAIAAgACAAIAAgAFwAIgBEAEUAUwBDAFIASQBQAFQASQBPAE4AOgAgACAAIAAgACAAIAAgAJIhTQBlAGEAcwB1AHIAZQBzACAAaABvAHcAIABtAHUAYwBoACAAcAByAG8AZgBpAHQAIABhACAAYwBvAG0AcABhAG4AeQAgAG0AYQBrAGUAcwAgAG8AbgAgAGEAIABkAG8AbABsAGEAcgAgAG8AZgAgAHMAYQBsAGUAcwAgAGEAZgB0AGUAcgAgAHAAYQB5AGkAbgBnALYAXAAiACAAJgAgAFwAbgAgACAAIAAgACAAIAAgACAAIAAgACAAIAAgACAAIAAgACAAIAAgACAAIAAgACAAIAAgACAAIAAgACAAIAAgACAAIAAgACAAIAAgACAAIAAgACAAIAAgAFwAIgCSIWYAbwByACAAdgBhAHIAaQBhAGIAbABlACAAYwBvAHMAdABzACAAbwBmACAAcAByAG8AZAB1AGMAdABpAG8AbgAsACAAcwB1AGMAaAAgAGEAcwAgAHcAYQBnAGUAcwAgAGEAbgBkACAAcgBhAHcAIABtAGEAdABlAHIAaQBhAGwAcwAsACAAYgB1AHQAIAC2AFwAIgAgACYAIABcAG4AIAAgACAAIAAgACAAIAAgACAAIAAgACAAIAAgACAAIAAgACAAIAAgACAAIAAgACAAIAAgACAAIAAgACAAIAAgACAAIAAgACAAIAAgACAAIAAgACAAIABcACIAkiFiAGUAZgBvAHIAZQAgAHAAYQB5AGkAbgBnACAAaQBuAHQAZQByAGUAcwB0ACAAbwByACAAdABhAHgAIAAoAE8AcABlAHIAYQB0AGkAbgBnACAARQBhAHIAbgBpAG4AZwBzAC8AUgBlAHYAZQBuAHUAZQApAC4AtgBcACIAIAAmACAAXABuACAAIAAgACAAIAAgACAAIAAgACAAIAAgACAAIAAgACAAIAAgACAAIAAgACAAIAAgAFwAIgBXAEUAQgBQAEEARwBFADoAIAAgACAAIAAgACAAIAAgACAAIAAgAJIhaAB0AHQAcABzADoALwAvAHcAdwB3AC4AaQBuAHYAZQBzAHQAbwBwAGUAZABpAGEALgBjAG8AbQAvAHQAZQByAG0AcwAvAG8ALwBvAHAAZQByAGEAdABpAG4AZwBtAGEAcgBnAGkAb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YQByAG4AaQBuAGcAcwAgACAAkiEoAFIAZQBxAHUAaQByAGUAZAApACAARQBhAHIAbgBpAG4AZwBzACAAQgBlAGYAbwByAGUAIABJAG4AdABlAHIAZQBzAHQAIABhAG4AZAAgAHQAYQB4ACAAKABFAEIASQBUACkAIAB3AGgAaQBjAGgAIABpAHMAIAByAGUAdgBlAG4AdQBlACAALQAgAEMATwBHAFMAtgBcACIAIAAmACAAXABuACAAIAAgACAAIAAgACAAIAAgACAAIAAgACAAIAAgACAAIAAgACAAIAAgACAAIAAgAFwAIgBSAGUAdgBlAG4AdQBlACAAIAAgACAAIAAgACAAIAAgACAAIAAgAJIhKABSAGUAcQB1AGkAcgBlAGQAKQAgAFIAZQB2AGUAbgB1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DAAJQAgACAAIAAgACAAIAAgACAAIAAgACAAIAAgACAAIAAgAJIhPQBuAGEAYgBsAGEALgBy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gAJQAgACAAIAAgACAAIAAgACAAIAAgACAAIAAgAJIhPQBuAGEAYgBsAGEALgByAC4AUAByAGUAdABhAHgATQBhAHIAZwBpAG4AuwMoACAANAAwAC4AMAAsACAAN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AByAGUAdABhAHg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UAByAGUAdABhAHg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gBlAHQAUAByAG8AZgBpAHQATQBhAHIAZwBpAG4AuwNcAG4AIAAgACAAIABEAEUAUwBDAFIASQBQAFQASQBPAE4AOgAqAC8ALwAqACoATQBlAGEAcwB1AHIAZQBzACAAaABvAHcAIABtAHUAYwBoACAAbgBlAHQAIABpAG4AYwBvAG0AZQAgAG8AcgAgAHAAcgBvAGYAaQB0ACAAYQAgAGMAbwBtAHAAYQBuAHkAIABnAGUAbgBlAHIAYQB0AGUAcwAgAGEAcwAgAGEAIABwAGUAcgBjAGUAbgB0AGEAZwBlACAAbwBmACAAaQB0AHMAIAByAGUAdgBlAG4AdQBlAC4AIABcAG4AKABOAGUAdAAgAEkAbgBjAG8AbQBlAC8AUgBlAHYAZQBuAHUAZQApAC4AKgAvAFwAbgBOAGUAdABQAHIAbwBmAGkAdABNAGEAcgBnAGkAbgC7AyAAPQAgAEwAQQBNAEIARABBACgAXABuAC8ALwAgACAAUABhAHIAYQBtAGUAdABlAHIAIABEAGUAYwBsAGEAcgBhAHQAaQBvAG4AcwBcAG4AIAAgACAAIAAgACAAIAAgAFsATgBlAHQASQBuAGMAbwBtAGU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4AZQB0AFAAcgBvAGYAaQB0AE0AYQByAGcAaQBuALsDKAAgAE4AZQB0AEkAbgBjAG8AbQBlACwAIABSAGUAdgBlAG4AdQBlACkAtgBcACIAIAAmACAAXABuACAAIAAgACAAIAAgACAAIAAgACAAIAAgACAAIAAgACAAIAAgACAAIAAgACAAIAAgAFwAIgBEAEUAUwBDAFIASQBQAFQASQBPAE4AOgAgACAAIACSIU0AZQBhAHMAdQByAGUAcwAgAGgAbwB3ACAAbQB1AGMAaAAgAG4AZQB0ACAAaQBuAGMAbwBtAGUAIABvAHIAIABwAHIAbwBmAGkAdAAgAGEAIABjAG8AbQBwAGEAbgB5ACAAZwBlAG4AZQByAGEAdABlAHMAIABhAHMAIABhACAAtgBcACIAIAAmACAAXABuACAAIAAgACAAIAAgACAAIAAgACAAIAAgACAAIAAgACAAIAAgACAAIAAgACAAIAAgACAAIAAgACAAIAAgACAAIAAgACAAIAAgACAAIAAgAFwAIgCSIXAAZQByAGMAZQBuAHQAYQBnAGUAIABvAGYAIABpAHQAcwAgAHIAZQB2AGUAbgB1AGUALgAgACgATgBlAHQAIABJAG4AYwBvAG0AZQAvAFIAZQB2AGUAbgB1AGUAKQC2AFwAIgAgACYAIABcAG4AIAAgACAAIAAgACAAIAAgACAAIAAgACAAIAAgACAAIAAgACAAIAAgACAAIAAgACAAXAAiAFcARQBCAFAAQQBHAEUAOgAgACAAIAAgACAAIAAgAJIhaAB0AHQAcABzADoALwAvAHcAdwB3AC4AaQBuAHYAZQBzAHQAbwBwAGUAZABpAGEALgBjAG8AbQAvAHQAZQByAG0AcwAvAG4ALwBuAGUAdABf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IABpAG4AYwBsAHUAZABlAHMAOgC2AFwAIgAgACYAIABcAG4AIAAgACAAIAAgACAAIAAgACAAIAAgACAAIAAgACAAIAAgACAAIAAgACAAIAAgACAAIAAgACAAIAAgACAAIAAgACAAIAAgACAAIAAgACAAXAAiAJIhUgBlAHYAZQBuAHUAZQC2AFwAIgAgACYAIABcAG4AIAAgACAAIAAgACAAIAAgACAAIAAgACAAIAAgACAAIAAgACAAIAAgACAAIAAgACAAIAAgACAAIAAgACAAIAAgACAAIAAgACAAIAAgACAAXAAiAJIhTABlAHMAcwAgAEMATwBHAFMAtgBcACIAIAAmACAAXABuACAAIAAgACAAIAAgACAAIAAgACAAIAAgACAAIAAgACAAIAAgACAAIAAgACAAIAAgACAAIAAgACAAIAAgACAAIAAgACAAIAAgACAAIAAgAFwAIgCSIUwAZQBzAHMAIABPAHAAZQByAGEAdABpAG4AZwAgAGEAbgBkACAAbwB0AGgAZQByACAAZQB4AHAAZQBuAHMAZQBzALYAXAAiACAAJgAgAFwAbgAgACAAIAAgACAAIAAgACAAIAAgACAAIAAgACAAIAAgACAAIAAgACAAIAAgACAAIAAgACAAIAAgACAAIAAgACAAIAAgACAAIAAgACAAIABcACIAkiFMAGUAcwBzACAASQBuAHQAZQByAGUAcwB0ALYAXAAiACAAJgAgAFwAbgAgACAAIAAgACAAIAAgACAAIAAgACAAIAAgACAAIAAgACAAIAAgACAAIAAgACAAIAAgACAAIAAgACAAIAAgACAAIAAgACAAIAAgACAAIABcACIAkiFMAGUAcwBzACAAVABhAHgAZQBz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1ADYAJQAgACAAIAAgACAAIAAgACAAIAAgACAAIACSIT0AbgBhAGIAbABhAC4AcgAuAE4AZQB0AFAAcgBvAGYAaQB0AE0AYQByAGcAaQBuALsDKAAgADUANg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gBlAHQASQBuAGMAbwBtAGU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QwBhAHMAaABGAGwAbwB3AE0AYQByAGcAaQBuALsDXABuACAAIAAgACAARABFAFMAQwBSAEkAUABUAEkATwBOADoAKgAvAC8AKgAqAEMAYQBzAGgAIABGAGwAbwB3ACAATQBhAHIAZwBpAG4AIABpAHMAIABhACAAdAByAHUAcwB0AGUAZAAgAG0AZQB0AHIAaQBjACAAbwBmACAAYQAgAGMAbwBtAHAAYQBuAHkAGSBzACAAcAByAG8AZgBpAHQAYQBiAGkAbABpAHQAeQAgAGEAbgBkACAAZQBmAGYAaQBjAGkAZQBuAGMAeQAgAFwAbgBhAG4AZAAgAGkAdABzACAAZQBhAHIAbgBpAG4AZwBzACAAcQB1AGEAbABpAHQAeQAgACgAQwBhAHMAaAAgAEYAbABvAHcAIABGAHIAbwBtACAATwBwAGUAcgBhAHQAaQBuAGcAIABBAGMAdABpAHYAaQB0AGkAZQBzAC8AUgBlAHYAZQBuAHUAZQApAC4AKgAvAFwAbgBDAGEAcwBoAEYAbABvAHcATQBhAHIAZwBpAG4AuwMgAD0AIABMAEEATQBCAEQAQQAoAFwAbgAvAC8AIAAgAFAAYQByAGEAbQBlAHQAZQByACAARABlAGMAbABhAHIAYQB0AGkAbwBuAHMAXABuACAAIAAgACAAIAAgACAAIABbAEMAYQBzAGgARgBsAG8AdwBGAHIAbwBtAE8AcABlAHIAYQB0AGkAbgBnAEEAYwB0AGkAdgBpAHQAaQBl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MAYQBzAGgARgBsAG8AdwBNAGEAcgBnAGkAbgC7AygAIABDAGEAcwBoAEYAbABvAHcARgByAG8AbQBPAHAAZQByAGEAdABpAG4AZwBBAGMAdABpAHYAaQB0AGkAZQBzACwAIABSAGUAdgBlAG4AdQBlACkAtgBcACIAIAAmACAAXABuACAAIAAgACAAIAAgACAAIAAgACAAIAAgACAAIAAgACAAIAAgACAAIAAgACAAIAAgAFwAIgBEAEUAUwBDAFIASQBQAFQASQBPAE4AOgAgACAAIACSIUMAYQBzAGgAIABGAGwAbwB3ACAATQBhAHIAZwBpAG4AIABpAHMAIABhACAAdAByAHUAcwB0AGUAZAAgAG0AZQB0AHIAaQBjACAAbwBmACAAYQAgAGMAbwBtAHAAYQBuAHkAGSBzACAAcAByAG8AZgBpAHQAYQBiAGkAbABpAHQAeQAgALYAXAAiACAAJgAgAFwAbgAgACAAIAAgACAAIAAgACAAIAAgACAAIAAgACAAIAAgACAAIAAgACAAIAAgACAAIAAgACAAIAAgACAAIAAgACAAIAAgACAAIAAgACAAIABcACIAkiFhAG4AZAAgAGUAZgBmAGkAYwBpAGUAbgBjAHkAIABhAG4AZAAgAGkAdABzACAAZQBhAHIAbgBpAG4AZwBzACAAcQB1AGEAbABpAHQAeQAgALYAXAAiACAAJgAgAFwAbgAgACAAIAAgACAAIAAgACAAIAAgACAAIAAgACAAIAAgACAAIAAgACAAIAAgACAAIAAgACAAIAAgACAAIAAgACAAIAAgACAAIAAgACAAIABcACIAkiEoAEMAYQBzAGgAIABGAGwAbwB3ACAARgByAG8AbQAgAE8AcABlAHIAYQB0AGkAbgBnACAAQQBjAHQAaQB2AGkAdABpAGUAcwAvAFIAZQB2AGUAbgB1AGUAKQAuALYAXAAiACAAJgAgAFwAbgAgACAAIAAgACAAIAAgACAAIAAgACAAIAAgACAAIAAgACAAIAAgACAAIAAgACAAIABcACIAVwBFAEIAUABBAEcARQA6ACAAIAAgACAAIAAgACAAkiFoAHQAdABwAHMAOgAvAC8AdwB3AHcALgBpAG4AdgBlAHMAdABvAHAAZQBkAGkAYQAuAGMAbwBtAC8AdABlAHIAbQBzAC8AbwAvAG8AcABlAHIAYQB0AGkAbgBnAC0AYwBhAHMAaAAtAGYAbABvAHc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DAGEAcwBoAEYAbABvAHcARgByAG8AbQBPAHAAZQByAGEAdABpAG4AZwBBAGMAdABpAHYAaQB0AGkAZQBzAJIhKABSAGUAcQB1AGkAcgBlAGQAKQAgAEMAYQBzAGgAIABGAGwAbwB3ACAARgByAG8AbQAgAE8AcABlAHIAYQB0AGkAbgBnACAAQQBjAHQAaQB2AGkAdABpAGUAcwAgAGkAbgBjAGwAdQBkAGUAcwA6ALYAXAAiACAAJgAgAFwAbgAgACAAIAAgACAAIAAgACAAIAAgACAAIAAgACAAIAAgACAAIAAgACAAIAAgACAAIAAgACAAIAAgACAAIAAgACAAIAAgACAAIAAgACAAIABcACIAkiFOAGUAdAAgAEkAbgBjAG8AbQBlALYAXAAiACAAJgAgAFwAbgAgACAAIAAgACAAIAAgACAAIAAgACAAIAAgACAAIAAgACAAIAAgACAAIAAgACAAIAAgACAAIAAgACAAIAAgACAAIAAgACAAIAAgACAAIABcACIAkiFOAG8AbgAtAGMAYQBzAGgAIABFAHgAcABlAG4AcwBlAHMAIAAoAEQAZQBwAHIAZQBjAGkAYQB0AGkAbwBuACAAYQBuAGQAIABBAG0AbwByAHQAaQBzAGEAdABpAG8AbgApALYAXAAiACAAJgAgAFwAbgAgACAAIAAgACAAIAAgACAAIAAgACAAIAAgACAAIAAgACAAIAAgACAAIAAgACAAIAAgACAAIAAgACAAIAAgACAAIAAgACAAIAAgACAAIABcACIAkiFDAGgAYQBuAGcAZQAgAGkAbgAgAFcAbwByAGsAaQBuAGcAIABDAGEAcABpAHQAYQBs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1ADAALgA4ACUAIAAgACAAIAAgACAAIAAgACAAIACSIT0AbgBhAGIAbABhAC4Ac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4ACUAIAAgACAAIAAgACAAIAAgACAAIAAgACAAIACSIT0AbgBhAGIAbABhAC4AcgAuAFIATwBBALsDKAAxADIAMAAwACwAIAAxADU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SQBuAGMAbwBtAGU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FALsDXABuACAAIAAgACAARABFAFMAQwBSAEkAUABUAEkATwBOADoAKgAvAC8AKgAqAFIAZQB0AHUAcgBuACAAbwBuACAAZQBxAHUAaQB0AHkAIAAoAFIATwBFACkAIAByAGEAdABpAG8AIABpAHMAIABhACAAbQBlAGEAcwB1AHIAZQAgAG8AZgAgAGYAaQBuAGEAbgBjAGkAYQBsACAAcABlAHIAZgBvAHIAbQBhAG4AYwBlACAAKABOAGUAdAAgAEkAbgBjAG8AbQBlAC8AUwBoAGEAcgBlAGgAbwBsAGQAZQByAHMAIABFAHEAdQBpAHQAeQApACoALwBcAG4AUgBPAEUAuwMgAD0AIABMAEEATQBCAEQAQQAoAFwAbgAvAC8AIAAgAFAAYQByAGEAbQBlAHQAZQByACAARABlAGMAbABhAHIAYQB0AGkAbwBuAHMAXABuACAAIAAgACAAIAAgACAAIABbAE4AZQB0AEkAbgBjAG8AbQBl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SAE8ARQC7AygAIABOAGUAdABJAG4AYwBvAG0AZQAsACAAUwBoAGEAcgBlAGgAbwBsAGQAZQByAHMARQBxAHUAaQB0AHkAKQC2AFwAIgAgACYAIABcAG4AIAAgACAAIAAgACAAIAAgACAAIAAgACAAIAAgACAAIAAgACAAIAAgACAAIAAgACAAXAAiAEQARQBTAEMAUgBJAFAAVABJAE8ATgA6ACAAIAAgACAAIAAgACAAkiFSAGUAdAB1AHIAbgAgAG8AbgAgAGUAcQB1AGkAdAB5ACAAcgBhAHQAaQBvACAAaQBzACAAYwBvAG4AcwBpAGQAZQByAGUAZAAgAGEAIABnAGEAdQBnAGUAIABvAGYAIABhACAAYwBvAHIAcABvAHIAYQB0AGkAbwBuACcAcwAgALYAXAAiACAAJgAgAFwAbgAgACAAIAAgACAAIAAgACAAIAAgACAAIAAgACAAIAAgACAAIAAgACAAIAAgACAAIAAgACAAIAAgACAAIAAgACAAIAAgACAAIAAgACAAIAAgACAAIAAgAFwAIgCSIXAAcgBvAGYAaQB0AGEAYgBpAGwAaQB0AHkAIABhAG4AZAAgAGgAbwB3ACAAZQBmAGYAaQBjAGkAZQBuAHQAIABpAHQAIABpAHMAIABpAG4AIABnAGUAbgBlAHIAYQB0AGkAbgBnACAAcAByAG8AZgBpAHQAcwC2AFwAIgAgACYAIABcAG4AIAAgACAAIAAgACAAIAAgACAAIAAgACAAIAAgACAAIAAgACAAIAAgACAAIAAgACAAIAAgACAAIAAgACAAIAAgACAAIAAgACAAIAAgACAAIAAgACAAIABcACIAkiEoAE4AZQB0ACAASQBuAGMAbwBtAGUALwAgAEEAdgBlAHIAYQBnAGUAIABTAGgAYQByAGUAaABvAGwAZABlAHIAcwAnACAARQBxAHUAaQB0AHkAKQC2AFwAIgAgACYAXABuACAAIAAgACAAIAAgACAAIAAgACAAIAAgACAAIAAgACAAIAAgACAAIAAgACAAIAAgAFwAIgBXAEUAQgBQAEEARwBFADo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TAGgAYQByAGUAaABvAGwAZABlAHIAcwBFAHEAdQBpAHQAeQAgAJIhKABSAGUAcQB1AGkAcgBlAGQAKQAgAEEAdgBlAHIAYQBnAGUAIABTAGgAYQByAGUAaABvAGwAZABlAHIAcwAnACAARQBxAHUAaQB0AHkAIABmAHIAbwBtACAAcABlAHIAaQBvAGQAIABvAHAAZQBuACAAYQBuAGQAIABjAGwAbwBzAGU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MwAuADYAMgAxADMAJQAgACAAIAAgACAAIAAgACAAIAAgACAAkiE9AG4AYQBiAGwAYQAuAHIALgBSAE8ARQC7AygAIAA1ADkALgA5ADcAMgAsACAAQQBWAEUAUgBBAEcARQAoADIANQAxAC4ANgAzADUALAAgADIANQA2AC4AMQA0ADQ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4AZQB0AEkAbgBjAG8AbQBl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LsDXABuACAAIAAgACAARABFAFMAQwBSAEkAUABUAEkATwBOADoAKgAvAC8AKgAqAFIAZQB0AHUAcgBuACAAbwBuACAASQBuAHYAZQBzAHQAbQBlAG4AdAAgACgAUgBPAEkAKQAgAHIAYQB0AGkAbwAgACAAbQBlAGEAcwB1AHIAZQBzACAAdABoAGUAIABwAHIAbwBmAGkAdABhAGIAaQBsAGkAdAB5ACAAbwBmACAAYQBuACAAaQBuAHYAZQBzAHQAbQBlAG4AdAAgAGIAeQAgAGMAbwBtAHAAYQByAGkAbgBnACAAXABuAHQAaABlACAAZwBhAGkAbgAgAG8AcgAgAGwAbwBzAHMAIAB0AG8AIABpAHQAcwAgAGMAbwBzAHQAIAAoAE4AZQB0ACAAUgBlAHQAdQByAG4AIABvAG4AIABJAG4AdgBlAHMAdABtAGUAbgB0AC8AQwBvAHMAdAAgAG8AZgAgAEkAbgB2AGUAcwB0AG0AZQBuAHQAKQAuACoALwBcAG4AUgBPAEkAuwMgAD0AIABMAEEATQBCAEQAQQAoAFwAbgAvAC8AIAAgAFAAYQByAGEAbQBlAHQAZQByACAARABlAGMAbABhAHIAYQB0AGkAbwBuAHMAXABuACAAIAAgACAAIAAgACAAIABbAE4AZQB0AFIAZQB0AHUAcgBuAG8AbgBJAG4AdgBlAHMAdABtAGUAbgB0AF0ALAAgACAAXABuACAAIAAgACAAIAAgACAAIABbAEMAbwBzAHQAbwBmAEkAbgB2AGUAcwB0AG0AZQBuAHQAXQAsACAAIAAgACAAXABuAC8ALwAgACAASABlAGwAcABcAG4AIAAgACAAIABMAEUAVAAoAEgAZQBsAHAALAAgACAAIABUAFIASQBNACgAVABFAFgAVABTAFAATABJAFQAKAAgAFwAbgAgACAAIAAgACAAIAAgACAAIAAgACAAIAAgACAAIAAgACAAIAAgACAAIAAgACAAIABcACIARgBVAE4AQwBUAEkATwBOADoAIAAgACAAIAAgACAAIAAgACAAIAAgACAAIAAgAJIhUgBPAEkAuwMoACAATgBlAHQAUgBlAHQAdQByAG4AbwBuAEkAbgB2AGUAcwB0AG0AZQBuAHQALAAgAEMAbwBzAHQAbwBmAEkAbgB2AGUAcwB0AG0AZQBuAHQAKQC2AFwAIgAgACYAIABcAG4AIAAgACAAIAAgACAAIAAgACAAIAAgACAAIAAgACAAIAAgACAAIAAgACAAIAAgACAAXAAiAEQARQBTAEMAUgBJAFAAVABJAE8ATgA6ACAAIAAgACAAIAAgACAAIAAgACAAIACSIVIAZQB0AHUAcgBuACAAbwBuACAASQBuAHYAZQBzAHQAbQBlAG4AdAAgACgAUgBPAEkAKQAgAHIAYQB0AGkAbwAgACAAbQBlAGEAcwB1AHIAZQBzACAAdABoAGUAIABwAHIAbwBmAGkAdABhAGIAaQBsAGkAdAB5ACAAbwBmALYAXAAiACAAJgAgAFwAbgAgACAAIAAgACAAIAAgACAAIAAgACAAIAAgACAAIAAgACAAIAAgACAAIAAgACAAIAAgACAAIAAgACAAIAAgACAAIAAgACAAIAAgACAAIAAgACAAIAAgACAAIAAgACAAXAAiAJIhYQBuACAAaQBuAHYAZQBzAHQAbQBlAG4AdAAgAGIAeQAgAGMAbwBtAHAAYQByAGkAbgBnACAAdABoAGUAIABnAGEAaQBuACAAbwByACAAbABvAHMAcwAgAHQAbwAgAGkAdABzACAAYwBvAHMAdAAuACAAtgBcACIAIAAmACAAXABuACAAIAAgACAAIAAgACAAIAAgACAAIAAgACAAIAAgACAAIAAgACAAIAAgACAAIAAgACAAIAAgACAAIAAgACAAIAAgACAAIAAgACAAIAAgACAAIAAgACAAIAAgACAAIABcACIAkiEoAE4AZQB0ACAAUgBlAHQAdQByAG4AIABvAG4AIABJAG4AdgBlAHMAdABtAGUAbgB0AC8AQwBvAHMAdAAgAG8AZgAgAEkAbgB2AGUAcwB0AG0AZQBuAHQAKQC2AFwAIgAgACYAIABcAG4AIAAgACAAIAAgACAAIAAgACAAIAAgACAAIAAgACAAIAAgACAAIAAgACAAIAAgACAAXAAiAFcARQBCAFAAQQBHAEUAOgAgACAAIAAg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SAGUAdAB1AHIAbgBvAG4ASQBuAHYAZQBzAHQAbQBlAG4AdAAgACAAkiEoAFIAZQBxAHUAaQByAGUAZAApACAATgBlAHQAIABSAGUAdAB1AHIAbgAgAG8AbgAgAEkAbgB2AGUAcwB0AG0AZQBuAHQAIABpAHMAIAB0AGgAZQAgALYAXAAiACAAJgAgAFwAbgAgACAAIAAgACAAIAAgACAAIAAgACAAIAAgACAAIAAgACAAIAAgACAAIAAgACAAIAAgACAAIAAgACAAIAAgACAAIAAgACAAIAAgACAAIAAgACAAIAAgACAAIAAgACAAXAAiAJIhZgBpAG4AYQBsACAAdgBhAGwAdQBlACAAbwBmACAAaQBuAHYAZQBzAHQAbQBlAG4AdAAgAC0AIABpAG4AaQB0AGkAYQBsACAAdgBhAGwAdQBlACAAbwBmACAAaQBuAHYAZQBzAHQAbQBlAG4AdAC2AFwAIgAgACYAIABcAG4AIAAgACAAIAAgACAAIAAgACAAIAAgACAAIAAgACAAIAAgACAAIAAgACAAIAAgACAAXAAiAEMAbwBzAHQAbwBmAEkAbgB2AGUAcwB0AG0AZQBuAHQAIAAgACAAIAAgACAAIACSISgAUgBlAHEAdQBpAHIAZQBkACkAIABDAG8AcwB0ACAAbwBmACAASQBuAHYAZQBzAHQAbQBlAG4AdAAgALYAXAAiACAAJgAgAFwAbgAgACAAIAAgACAAIAAgACAAIAAgACAAIAAgACAAIAAgACAAIAAgACAAIAAgACAAIABcACIARQBYAEEATQBQAEwARQBTADoAIAAgACAAIAAgACAAIAAgACAAIAAgACAAIAAgAJIhRgBvAHIAbQB1AGwAYQAgACgAbgBhAGIAbABhAC4AcgAgAGkAcwAgAGEAcwBzAHUAbQBlAGQAIAB0AG8AIABiAGUAIAB0AGgAZQAgAG0AbwBkAHUAbABlACcAcwAgAG4AYQBtAGUAKQC2AFwAIgAgACYAXABuACAAIAAgACAAIAAgACAAIAAgACAAIAAgACAAIAAgACAAIAAgACAAIAAgACAAIAAgAFwAIgAyADgALgA3ADUAJQAgACAAIAAgACAAIAAgACAAIAAgACAAIAAgACAAIAAgACAAkiE9AG4AYQBiAGwAYQAuAHI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yAC4ANgAxADIAMgAlACAAIAAgACAAIAAgACAAkiE9AG4AYQBiAGwAYQAuAHIALgBSAE8ASQBDALsDKAAgADMAMgA0ADUALAAgADIANQA3ADIAO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FAAcgBvAGYAaQB0AEEAZgB0AGUAcgBUAGEAeAApACwAXABuACAAIAAgACAAIAAgACAAIAAgACAAIAAgACAAIAAgACAAIAAgACAAIAAgACAAIAAgACAAIAAgACAASQBTAE8ATQBJAFQAVABFAEQAKAAgAEkAbgB2AGUAcwB0AGUAZABDAGEAcABpAHQAYQBsACkAXABuACAAIAAgACAAIAAgACAAIAAgACAAIAAgACAAIAAgACAAIAAgACAAIAAgACAAIAAgACkALABcAG4AIAAgACAAIAAvAC8AIAAgAFAAcgBvAGMAZQBkAHUAcgBlAFwAbgAgACAAIAAgACAAIAAgACAAUgBlAHMAdQBsAHQALAAgACAAIAAgACAAIAAgACAAIABOAGUAdABPAHAAZQByAGEAdABpAG4AZwBQAHIAbwBmAGkAdABBAGYAdABlAHIAVABhAHgALwBJAG4AdgBlAHMAdABlAGQ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NAGEAcgBrAGUAdAAgAFYAYQBsAHUAZQAgAFIAYQB0AGkAbwBzAFwAbgBcAG4AXABuACAAXABuAC8AKgAgACAARgBVAE4AQwBUAEkATwBOACAATgBBAE0ARQA6ACAAIABQAHIAaQBjAGUARQBhAHIAbgBpAG4AZwBzAFIAYQB0AGkAbwC7A1wAbgAgACAAIAAgAEQARQBTAEMAUgBJAFAAVABJAE8ATgA6ACoALwAvACoAKgBQAHIAaQBjAGUALQBlAGEAcgBuAGkAbgBnAHMAIABSAGEAdABpAG8AIABtAGUAYQBzAHUAcgBlAHMAIABhACAAYwBvAG0AcABhAG4AeQAnAHMAIABzAGgAYQByAGUAIABwAHIAaQBjAGUAIAByAGUAbABhAHQAaQB2AGUAIAB0AG8AIABcAG4AaQB0AHMAIABlAGEAcgBuAGkAbgBnAHMAIABwAGUAcgAgAHMAaABhAHIAZQAgACgAUwBoAGEAcgBlACAAUAByAGkAYwBlAC8ARQBhAHIAbgBpAG4AZwBzACAAUABlAHIAIABTAGgAYQByAGUAKQAuACoALwBcAG4AUAByAGkAYwBlAEUAYQByAG4AaQBuAGcAcwBSAGEAdABpAG8AuwMgAD0AIABMAEEATQBCAEQAQQAoAFwAbgAvAC8AIAAgAFAAYQByAGEAbQBlAHQAZQByACAARABlAGMAbABhAHIAYQB0AGkAbwBuAHMAXABuACAAIAAgACAAIAAgACAAIABbAFMAaABhAHIAZQBQAHIAaQBjAGUAXQAsACAAIABcAG4AIAAgACAAIAAgACAAIAAgAFsARQBhAHIAbgBpAG4AZw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EUAYQByAG4AaQBuAGcAcwBSAGEAdABpAG8AuwMoACAAUwBoAGEAcgBlAFAAcgBpAGMAZQAsACAARQBhAHIAbgBpAG4AZwBzAFAAZQByAFMAaABhAHIAZQApALYAXAAiACAAJgAgAFwAbgAgACAAIAAgACAAIAAgACAAIAAgACAAIAAgACAAIAAgACAAIAAgACAAIAAgACAAIABcACIARABFAFMAQwBSAEkAUABUAEkATwBOADoAIAAgACAAIAAgACAAIACSIVAAcgBpAGMAZQAtAGUAYQByAG4AaQBuAGcAcwAgAFIAYQB0AGkAbwAgAG0AZQBhAHMAdQByAGUAcwAgAGEAIABjAG8AbQBwAGEAbgB5ACcAcwAgAHMAaABhAHIAZQAgAHAAcgBpAGMAZQAgAHIAZQBsAGEAdABpAHYAZQAgAHQAbwAgALYAXAAiACAAJgAgAFwAbgAgACAAIAAgACAAIAAgACAAIAAgACAAIAAgACAAIAAgACAAIAAgACAAIAAgACAAIAAgACAAIAAgACAAIAAgACAAIAAgACAAIAAgACAAIAAgACAAIAAgAFwAIgCSIWkAdABzACAAZQBhAHIAbgBpAG4AZwBzACAAcABlAHIAIABzAGgAYQByAGUAIAAoAFMAaABhAHIAZQAgAFAAcgBpAGMAZQAvAEUAYQByAG4AaQBuAGc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GUAYQByAG4AaQBuAGc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AgACAAIAAgAJIhKABSAGUAcQB1AGkAcgBlAGQAKQAgAFMAaABhAHIAZQAgAFAAcgBpAGMAZQAgACgATQBhAHIAawBlAHQAIABWAGEAbAB1AGUAIABQAGUAcgAgAFMAaABhAHIAZQApACAAtgBcACIAIAAmACAAXABuACAAIAAgACAAIAAgACAAIAAgACAAIAAgACAAIAAgACAAIAAgACAAIAAgACAAIAAgAFwAIgBFAGEAcgBuAGkAbgBnAHMAUABlAHIAUwBoAGEAcgBlACAAIAAgAJIhKABSAGUAcQB1AGkAcgBlAGQAKQAgAEUAYQByAG4AaQBuAGcAcwAgAFAAZQByACAAUwBoAGEAcgBl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QA0AC4AMwA5ADgAOAAxACAAIAAgACAAIAAgACAAIAAgACAAIACSIT0AbgBhAGIAbABhAC4AcgAuAFAAcgBpAGMAZQBFAGEAcgBuAGkAbgBnAHMAUgBhAHQAaQBvALsDKAAgADIANAAyAC4ANgAyACwAIAAxADYALgA4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EUAYQByAG4AaQBuAGcAcwBQAGUAcgBTAGgAYQByAGUAKQBcAG4AIAAgACAAIAAgACAAIAAgACAAIAAgACAAIAAgACAAIAAgACAAIAAgACAAIAAgACAAKQAsAFwAbgAgACAAIAAgAC8ALwAgACAAUAByAG8AYwBlAGQAdQByAGUAXABuACAAIAAgACAAIAAgACAAIABSAGUAcwB1AGwAdAAsACAAIAAgACAAIAAgACAAIAAgAFMAaABhAHIAZQBQAHIAaQBjAGUALwBFAGEAcgBuAGkAbgBnAHMAUABlAHIAUwBoAGEAcg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aQBjAGUAVABvAEIAbwBvAGsAUgBhAHQAaQBvALsDXABuACAAIAAgACAARABFAFMAQwBSAEkAUABUAEkATwBOADoAKgAvAC8AKgAqAE0AYQBuAHkAIABpAG4AdgBlAHMAdABvAHIAcwAgAHUAcwBlACAAdABoAGUAIABwAHIAaQBjAGUALQB0AG8ALQBiAG8AbwBrACAAcgBhAHQAaQBvACAAKABQAC8AQgAgAHIAYQB0AGkAbwApACAAdABvACAAYwBvAG0AcABhAHIAZQAgAGEAIABmAGkAcgBtACcAcwAgAG0AYQByAGsAZQB0ACAAXABuAGMAYQBwAGkAdABhAGwAaQBzAGEAdABpAG8AbgAgAHQAbwAgAGkAdABzACAAYgBvAG8AawAgAHYAYQBsAHUAZQAgAGEAbgBkACAAbABvAGMAYQB0AGUAIAB1AG4AZABlAHIAdgBhAGwAdQBlAGQAIABjAG8AbQBwAGEAbgBpAGUAcwAuACAAKgAvAFwAbgBQAHIAaQBjAGUAVABvAEIAbwBvAGsAUgBhAHQAaQBvALsDIAA9ACAATABBAE0AQgBEAEEAKABcAG4ALwAvACAAIABQAGEAcgBhAG0AZQB0AGUAcgAgAEQAZQBjAGwAYQByAGEAdABpAG8AbgBzAFwAbgAgACAAIAAgACAAIAAgACAAWwBNAGEAcgBrAGUAdABQAHIAaQBjAGUAUABlAHIAUwBoAGEAcgBlAF0ALAAgACAAXABuACAAIAAgACAAIAAgACAAIABbAEIAbwBvAGsAVgBhAGwAdQBl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CAG8AbwBrAFIAYQB0AGkAbwC7AygAIABNAGEAcgBrAGUAdABQAHIAaQBjAGUAUABlAHIAUwBoAGEAcgBlACwAIABCAG8AbwBrAFYAYQBsAHUAZQBQAGUAcgBTAGgAYQByAGUAKQC2AFwAIgAgACYAIABcAG4AIAAgACAAIAAgACAAIAAgACAAIAAgACAAIAAgACAAIAAgACAAIAAgACAAIAAgACAAXAAiAEQARQBTAEMAUgBJAFAAVABJAE8ATgA6ACAAIAAgACAAIAAgACAAkiFNAGEAbgB5ACAAaQBuAHYAZQBzAHQAbwByAHMAIAB1AHMAZQAgAHQAaABlACAAcAByAGkAYwBlAC0AdABvAC0AYgBvAG8AawAgAHIAYQB0AGkAbwAgACgAUAAvAEIAIAByAGEAdABpAG8AKQAgAHQAbwAgAGMAbwBtAHAAYQByAGUAIABhACAAtgBcACIAIAAmACAAXABuACAAIAAgACAAIAAgACAAIAAgACAAIAAgACAAIAAgACAAIAAgACAAIAAgACAAIAAgACAAIAAgACAAIAAgACAAIAAgACAAIAAgACAAIAAgACAAIAAgACAAXAAiAJIhZgBpAHIAbQAnAHMAIABtAGEAcgBrAGUAdAAgAGMAYQBwAGkAdABhAGwAaQBzAGEAdABpAG8AbgAgAHQAbwAgAGkAdABzACAAYgBvAG8AawAgAHYAYQBsAHUAZQAgAGEAbgBkACAAbABvAGMAYQB0AGUAIAB1AG4AZABlAHIAdgBhAGwAdQBlAGQAIABjAG8AbQBwAGEAbgBpAGUAcwAuALYAXAAiACAAJgAgAFwAbgAgACAAIAAgACAAIAAgACAAIAAgACAAIAAgACAAIAAgACAAIAAgACAAIAAgACAAIAAgACAAIAAgACAAIAAgACAAIAAgACAAIAAgACAAIAAgACAAIAAgAFwAIgCSISgATQBhAHIAawBlAHQAIABQAHIAaQBjAGUAIABQAGUAcgAgAFMAaABhAHIAZQAvAEIAbwBvAGsAIABWAGEAbAB1AGUAIABQAGUAcgAgAFMAaABhAHIAZQApALYAXAAiACAAJgAgAFwAbgAgACAAIAAgACAAIAAgACAAIAAgACAAIAAgACAAIAAgACAAIAAgACAAIAAgACAAIABcACIAVwBFAEIAUABBAEcARQA6ACAAIAAgACAAIAAgACAAIAAgACAAIACSIWgAdAB0AHAAcwA6AC8ALwB3AHcAdwAuAGkAbgB2AGUAcwB0AG8AcABlAGQAaQBhAC4AYwBvAG0ALwB0AGUAcgBtAHMALwBwAC8AcAByAGkAYwBlAC0AdABvAC0AYgBvAG8Aa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CAG8AbwBrAFYAYQBsAHUAZQBQAGUAcgBTAGgAYQByAGUAIAAgAJIhKABSAGUAcQB1AGkAcgBlAGQAKQAgAEIAbwBvAGsAIABWAGEAbAB1AGUAIABQAGUAcgAgAHMAaABhAHIAZQAgALYAXAAiACAAJgAgAFwAbgAgACAAIAAgACAAIAAgACAAIAAgACAAIAAgACAAIAAgACAAIAAgACAAIAAgACAAIAAgACAAIAAgACAAIAAgACAAIAAgACAAIAAgACAAIAAgACAAIAAgAFwAIgCSISgAVABvAHQAYQBsACAAYQBzAHMAZQB0AHMAIAAtACAAaQBuAHQAYQBuAGcAaQBiAGwAZQAgAGEAcwBzAGUAdABzACAALQAgAHQAbwB0AGEAbAAgAGwAaQBhAGIAaQBsAGkAdABpAGUAcwApACAA9wAgAG4AdQBtAGIAZQByACAAbwBmACAAbwB1AHQAcwB0AGEAbgBkAGkAbgBnACAAcwBoAGEAcgBlAHM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LgAwACAAIAAgACAAIAAgACAAIAAgACAAIAAgACAAIAAgACAAkiE9AG4AYQBiAGwAYQAuAHI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LgA1ADUAIAAgACAAIAAgACAAIAAgACAAIAAgACAAIAAgACAAkiE9AG4AYQBiAGwAYQAuAHIALgBQAHIAaQBjAGUAVABvAFMAYQBsAGUAcwBSAGEAdABpAG8AuwMoACAANAA1ADU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UwBhAGwAZQBzAFAAZQByAFMAaABhAHIAZQApAFwAbgAgACAAIAAgACAAIAAgACAAIAAgACAAIAAgACAAIAAgACAAIAAgACAAIAAgACAAIAApACwAXABuACAAIAAgACAALwAvACAAIABQAHIAbwBjAGUAZAB1AHIAZQBcAG4AIAAgACAAIAAgACAAIAAgAFIAZQBzAHUAbAB0ACwAIAAgACAAIAAgACAAIAAgACAATQBhAHIAawBlAHQAUAByAGkAYwBlAFAAZQByAFMAaABhAHIAZQAvAFMAYQBsAGUAc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EMAYQBzAGgAcw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TwBwAGUAcgBhAHQAaQBuAGcAQwBhAHMAaABGAGwAbwB3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gACAAIAAgACAAIAAgACAAIAAgACAAIAAgACAAIAAgACAAIACSIT0AbgBhAGIAbABhAC4AcgAuAFAAcgBpAGMAZQBUAG8AQwBhAHMAaABSAGEAdABpAG8AuwMoACAAMgAwADA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TwBwAGUAcgBhAHQAaQBuAGcAQwBhAHMAaABGAGwAbwB3AFAAZQByAFMAaABhAHIAZQApAFwAbgAgACAAIAAgACAAIAAgACAAIAAgACAAIAAgACAAIAAgACAAIAAgACAAIAAgACAAIAApACwAXABuACAAIAAgACAALwAvACAAIABQAHIAbwBjAGUAZAB1AHIAZQBcAG4AIAAgACAAIAAgACAAIAAgAFIAZQBzAHUAbAB0ACwAIAAgACAAIAAgACAAIAAgACAATQBhAHIAawBlAHQAUAByAGkAYwBlAFAAZQByAFMAaABhAHIAZQAvAE8AcABlAHIAYQB0AGkAbgBnAEMAYQBzAGgARgBsAG8Ad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CAFYAUABTALsDXABuACAAIAAgACAARABFAFMAQwBSAEkAUABUAEkATwBOADoAKgAvAC8AKgAqAEIAbwBvAGsAIAB2AGEAbAB1AGUAIABwAGUAcgAgAHMAaABhAHIAZQAgAHIAYQB0AGkAbwAgAGkAcwAgAGEAbgAgAGkAbgBkAGkAYwBhAHQAbwByACAAbwBmACAAdABoAGUAIAB2AGEAbAB1AGUAIABvAGYAIABhACAAYwBvAG0AcABhAG4AeQAZIHMAIABzAHQAbwBjAGsAIABcAG4AKABTAGgAYQByAGUAaABvAGwAZABlAHIAcwAnACAARQBxAHUAaQB0AHkAIAAtACAAUAByAGUAZgBlAHIAcgBlAGQAIABTAHQAbwBjAGsAKQAvAEEAdgBlAHIAYQBnAGUAIABTAGgAYQByAGUAcwAgAE8AdQB0AHMAdABhAG4AZABpAG4AZwApACAAKgAvAFwAbgBCAFYAUABTALsDIAA9ACAATABBAE0AQgBEAEEAKABcAG4ALwAvACAAIABQAGEAcgBhAG0AZQB0AGUAcgAgAEQAZQBjAGwAYQByAGEAdABpAG8AbgBzAFwAbgAgACAAIAAgACAAIAAgACAAWwBTAGgAYQByAGUAaABvAGwAZABlAHIAcwBFAHEAdQBpAHQAeQBdACwAIABcAG4AIAAgACAAIAAgACAAIAAgAFsAUAByAGUAZgBlAHIAcgBlAGQAUwB0AG8AYwBrAF0AIAAsAFwAbgAgACAAIAAgACAAIAAgACAAWwBBAHYAZQByAGEAZwBl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QgBWAFAAUwC7AygAIABTAGgAYQByAGUAaABvAGwAZABlAHIAcwBFAHEAdQBpAHQAeQAsACAAUAByAGUAZgBlAHIAcgBlAGQAUwB0AG8AYwBrACwAIABBAHYAZQByAGEAZwBlAFMAaABhAHIAZQBzAE8AdQB0AHMAdABhAG4AZABpAG4AZwAgACkAtgBcACIAIAAmACAAXABuACAAIAAgACAAIAAgACAAIAAgACAAIAAgACAAIAAgACAAIAAgACAAIAAgACAAIAAgAFwAIgBEAEUAUwBDAFIASQBQAFQASQBPAE4AOgAgACAAIAAgACAAIAAgAJIhQgBvAG8AawAgAHYAYQBsAHUAZQAgAHAAZQByACAAcwBoAGEAcgBlACAAcgBhAHQAaQBvACAAaQBzACAAYQBuACAAaQBuAGQAaQBjAGEAdABvAHIAIABvAGYAIAB0AGgAZQAgAHYAYQBsAHUAZQAgAG8AZgAgAGEAIABjAG8AbQBwAGEAbgB5ABkgcwAgAHMAdABvAGMAawC2AFwAIgAgACYAIABcAG4AIAAgACAAIAAgACAAIAAgACAAIAAgACAAIAAgACAAIAAgACAAIAAgACAAIAAgACAAIAAgACAAIAAgACAAIAAgACAAIAAgACAAIAAgACAAIAAgACAAIABcACIAkiEoAFMAaABhAHIAZQBoAG8AbABkAGUAcgBzACcAIABFAHEAdQBpAHQAeQAgAC0AIABQAHIAZQBmAGUAcgByAGUAZAAgAFMAdABvAGMAawApAC8AQQB2AGUAcgBhAGcAZQAgAFMAaABhAHIAZQBzACAATwB1AHQAcwB0AGEAbgBkAGkAbgBnACkAtgBcACIAIAAmACAAXABuACAAIAAgACAAIAAgACAAIAAgACAAIAAgACAAIAAgACAAIAAgACAAIAAgACAAIAAgAFwAIgBXAEUAQgBQAEEARwBFADoAIAAgACAAIAAgACAAIAAgACAAIAAgAJIhaAB0AHQAcABzADoALwAvAGMAbwByAHAAbwByAGEAdABlAGYAaQBuAGEAbgBjAGUAaQBuAHMAdABpAHQAdQB0AGUALgBjAG8AbQAvAHIAZQBzAG8AdQByAGMAZQBzAC8AdgBhAGwAdQBhAHQAaQBvAG4ALwBiAG8AbwBrAC0AdgBhAGwAdQBlAC0AcABlAHIALQBzAGgAYQByAGUALQBiAHYAcABz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QAHIAZQBmAGUAcgByAGUAZABTAHQAbwBjAGsAIAAgACAAIAAgAJIhKABSAGUAcQB1AGkAcgBlAGQAKQAgAFAAcgBlAGYAZQByAHIAZQBkACAAUwB0AG8AYwBrACAAKABzAGUAYwB1AHIAaQB0AGkAZQBzACAAdABoAGEAdAAgAHIAZQBwAHIAZQBzAGUAbgB0ACAAbwB3AG4AZQByAHMAaABpAHAAIABpAG4AIABhACAAYwBvAHIAcABvAHIAYQB0AGkAbwBuACkALgC2AFwAIgAgACYAIABcAG4AIAAgACAAIAAgACAAIAAgACAAIAAgACAAIAAgACAAIAAgACAAIAAgACAAIAAgACAAXAAiAEEAdgBlAHIAYQBnAGUAUwBoAGEAcgBlAHMATwB1AHQAcwB0AGEAbgBkAGkAbgBnAJIhKABSAGUAcQB1AGkAcgBlAGQAKQAgAEEAdgBlAHIAYQBnAGUAIABTAGgAYQByAGUAcwAgAE8AdQB0ACAAUwB0AGEAbgBkAGkAbgBn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1ACAAIAAgACAAIAAgACAAIAAgACAAIAAgACAAIAAgACAAIAAgAJIhPQBuAGEAYgBsAGEALgByAC4AQgBWAFAAUwC7AygAMgAwAC4AMAAsACAANQAuADAALAAgAEEAVgBFAFIAQQBHAEUAKAAgADIALgA5ACwAIAAzAC4AMQ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BAHYAZQByAGEAZwBlAFMAaABhAHIAZQBzAE8AdQB0AHMAdABhAG4AZABpAG4AZwApAFwAbgAgACAAIAAgACAAIAAgACAAIAAgACAAIAAgACAAIAAgACAAIAAgACAAIAAgACAAIAApACwAXABuACAAIAAgACAALwAvACAAIABQAHIAbwBjAGUAZAB1AHIAZQBcAG4AIAAgACAAIAAgACAAIAAgAFIAZQBzAHUAbAB0ACwAIAAgACAAIAAgACAAIAAgACAAKABTAGgAYQByAGUAaABvAGwAZABlAHIAcwBFAHEAdQBpAHQAeQAgAC0AIABQAHIAZQBmAGUAcgByAGUAZABTAHQAbwBjAGsAKQAvAEEAdgBlAHIAYQBnAGU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DAEEAUABFAFIAYQB0AGkAbwC7A1wAbgAgACAAIAAgAEQARQBTAEMAUgBJAFAAVABJAE8ATgA6ACoALwAvACoAKgBDAEEAUABFACAAUgBhAHQAaQBvACAAaQBzACAAYQAgAHYAYQBsAHUAYQB0AGkAbwBuACAAbQBlAGEAcwB1AHIAZQAgAHQAaABhAHQAIAB1AHMAZQBzACAAcgBlAGEAbAAgAGUAYQByAG4AaQBuAGcAcwAgAHAAZQByACAAcwBoAGEAcgBlACAAKABFAFAAUwApACAAbwB2AGUAcgAgAGEAIAAxADAALQB5AGUAYQByACAAcABlAHIAaQBvAGQAXABuAHQAbwAgAHMAbQBvAG8AdABoACAAbwB1AHQAIABmAGwAdQBjAHQAdQBhAHQAaQBvAG4AcwAgAGkAbgAgAGMAbwByAHAAbwByAGEAdABlACAAcAByAG8AZgBpAHQAcwAgAHQAaABhAHQAIABvAGMAYwB1AHIAIABvAHYAZQByACAAZABpAGYAZgBlAHIAZQBuAHQAIABwAGUAcgBpAG8AZABzACAAbwBmACAAYQAgAGIAdQBzAGkAbgBlAHMAcwBcAG4AYwB5AGMAbABlACAAKABhAGsAYQAgAFMAaABpAGwAbABlAHIAIABQAEUAIABSAGEAdABpAG8AKQAgACgAUwBoAGEAcgBlACAAUAByAGkAYwBlAC8AVABlAG4AIABZAGUAYQByACAAQQB2AGUAcgBhAGcAZQAgAEUAYQByAG4AaQBuAGcAcwAgAEkAbgBmAGwAYQB0AGkAbwBuACAAQQBkAGoAdQBzAHQAZQBkACkAIAAqAC8AXABuAEMAQQBQAEUAUgBhAHQAaQBvALsDIAA9ACAATABBAE0AQgBEAEEAKABcAG4ALwAvACAAIABQAGEAcgBhAG0AZQB0AGUAcgAgAEQAZQBjAGwAYQByAGEAdABpAG8AbgBzAFwAbgAgACAAIAAgACAAIAAgACAAWwBTAGgAYQByAGUAUAByAGkAYwBlAF0ALAAgACAAXABuACAAIAAgACAAIAAgACAAIABbAFQAZQBuAFkAZQBhAHIAQQB2AGUAcgBhAGcAZQBFAGEAcgBuAGkAbgBnAHMASQBuAGYAbABhAHQAaQBvAG4AQQBkAGoAdQBzAHQAZQBkAF0ALAAgACAAIAAgAFwAbgAvAC8AIAAgAEgAZQBsAHAAXABuACAAIAAgACAATABFAFQAKABIAGUAbABwACwAIAAgACAAVABSAEkATQAoAFQARQBYAFQAUwBQAEwASQBUACgAIABcAG4AIAAgACAAIAAgACAAIAAgACAAIAAgACAAIAAgACAAIAAgACAAIAAgACAAIAAgACAAXAAiAEYAVQBOAEMAVABJAE8ATgA6ACAAIAAgACAAIAAgAJIhQwBBAFAARQBSAGEAdABpAG8AuwMoACAAUwBoAGEAcgBlAFAAcgBpAGMAZQAsACAAVABlAG4AWQBlAGEAcgBBAHYAZQByAGEAZwBlAEUAYQByAG4AaQBuAGcAcwBJAG4AZgBsAGEAdABpAG8AbgBBAGQAagB1AHMAdABlAGQAIAApALYAXAAiACAAJgAgAFwAbgAgACAAIAAgACAAIAAgACAAIAAgACAAIAAgACAAIAAgACAAIAAgACAAIAAgACAAIABcACIARABFAFMAQwBSAEkAUABUAEkATwBOADoAIAAgACAAkiFDAEEAUABFACAAUgBhAHQAaQBvACAAaQBzACAAYQAgAHYAYQBsAHUAYQB0AGkAbwBuACAAbQBlAGEAcwB1AHIAZQAgAHQAaABhAHQAIAB1AHMAZQBzACAAcgBlAGEAbAAgAGUAYQByAG4AaQBuAGcAcwAgAHAAZQByACAAcwBoAGEAcgBlACAAKABFAFAAUwApACAAbwB2AGUAcgAgAGEAIAAxADAALQB5AGUAYQByACAAcABlAHIAaQBvAGQAIAC2AFwAIgAgACYAIABcAG4AIAAgACAAIAAgACAAIAAgACAAIAAgACAAIAAgACAAIAAgACAAIAAgACAAIAAgACAAIAAgACAAIAAgACAAIAAgACAAIAAgACAAIAAgACAAIABcACIAkiF0AG8AIABzAG0AbwBvAHQAaAAgAG8AdQB0ACAAZgBsAHUAYwB0AHUAYQB0AGkAbwBuAHMAIABpAG4AIABjAG8AcgBwAG8AcgBhAHQAZQAgAHAAcgBvAGYAaQB0AHMAIAB0AGgAYQB0ACAAbwBjAGMAdQByACAAbwB2AGUAcgAgAGQAaQBmAGYAZQByAGUAbgB0ACAAcABlAHIAaQBvAGQAcwAgAG8AZgAgAGEAIABiAHUAcwBpAG4AZQBzAHMAIAC2AFwAIgAgACYAIABcAG4AIAAgACAAIAAgACAAIAAgACAAIAAgACAAIAAgACAAIAAgACAAIAAgACAAIAAgACAAIAAgACAAIAAgACAAIAAgACAAIAAgACAAIAAgACAAIABcACIAkiFjAHkAYwBsAGUAIAAoAGEAawBhACAAUwBoAGkAbABsAGUAcgAgAFAARQAgAFIAYQB0AGkAbwApACAAKABTAGgAYQByAGUAIABQAHIAaQBjAGUALwBUAGUAbgAgAFkAZQBhAHIAIABBAHYAZQByAGEAZwBlACAARQBhAHIAbgBpAG4AZwBzACAASQBuAGYAbABhAHQAaQBvAG4AIABBAGQAagB1AHMAdABlAGQAKQC2AFwAIgAgACYAIABcAG4AIAAgACAAIAAgACAAIAAgACAAIAAgACAAIAAgACAAIAAgACAAIAAgACAAIAAgACAAXAAiAFcARQBCAFAAQQBHAEUAOgAgACAAIAAgACAAIAAgAJIhaAB0AHQAcABzADoALwAvAHcAdwB3AC4AaQBuAHYAZQBzAHQAbwBwAGUAZABpAGEALgBjAG8AbQAvAHQAZQByAG0AcwAvAGMALwBjAGEAcABl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JIhKABSAGUAcQB1AGkAcgBlAGQAKQAgAEMAdQByAHIAZQBuAHQAIABzAHQAbwBjAGsAIABwAHIAaQBjAGUAIAC2AFwAIgAgACYAIABcAG4AIAAgACAAIAAgACAAIAAgACAAIAAgACAAIAAgACAAIAAgACAAIAAgACAAIAAgACAAXAAiAFQAZQBuAFkAZQBhAHIAQQB2AGUAcgBhAGcAZQBFAGEAcgBuAGkAbgBnAHMASQBuAGYAbABhAHQAaQBvAG4AQQBkAGoAdQBzAHQAZQBkAJIhKABSAGUAcQB1AGkAcgBlAGQAKQAgAEEAdgBlAHIAYQBnAGUAIABlAGEAcgBuAGkAbgBnAHMAIABwAGUAcgAgAHMAaABhAHIAZQAgAGYAbwByACAAMQAwACAAeQBlAGEAcgBzACAAYQBkAGoAdQBzAHQAZQBkACAAZgBvAHIAIABpAG4AZgBsAGEAdABpAG8Abg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AAgACAAIAAgACAAIAAgACAAIAAgACAAIAAgAJIhPQBuAGEAYgBsAGEALgBy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gA1ACUAIAAgACAAIAAgACAAIAAgACAAIAAgACAAkiE9AG4AYQBiAGwAYQAuAHIALgBEAFAAUgC7AygAIAA1AC4AMAAsACAAMg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aQB2AGkAZABlAG4AZABzAFAAYQBpAGQ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RABpAHYAaQBkAGUAbgBkAHMAUABhAGkAZAAvAE4AZQB0AEkAbgBjAG8Ab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kAdgBpAGQAZQBuAGQAWQBpAGUAbABkAFIAYQB0AGkAbwC7A1wAbgAgACAAIAAgAEQARQBTAEMAUgBJAFAAVABJAE8ATgA6ACoALwAvACoAKgBEAGkAdgBpAGQAZQBuAGQAIAB5AGkAZQBsAGQAIAByAGEAdABpAG8AIABzAGgAbwB3AHMAIABoAG8AdwAgAG0AdQBjAGgAIABhACAAYwBvAG0AcABhAG4AeQAgAHAAYQB5AHMAIABvAHUAdAAgAGkAbgAgAGQAaQB2AGkAZABlAG4AZABzACAAXABuAGUAYQBjAGgAIAB5AGUAYQByACAAcgBlAGwAYQB0AGkAdgBlACAAdABvACAAaQB0AHMAIABzAHQAbwBjAGsAIABwAHIAaQBjAGUAIAAoAEEAbgBuAHUAYQBsACAARABpAHYAaQBkAGUAbgBkAHMAIABQAGUAIAByAFMAaABhAHIAZQAvAFMAaABhAHIAZQAgAFAAcgBpAGMAZQApACAAKgAvAFwAbgBEAGkAdgBpAGQAZQBuAGQAWQBpAGUAbABkAFIAYQB0AGkAbwC7AyAAPQAgAEwAQQBNAEIARABBACgAXABuAC8ALwAgACAAUABhAHIAYQBtAGUAdABlAHIAIABEAGUAYwBsAGEAcgBhAHQAaQBvAG4AcwBcAG4AIAAgACAAIAAgACAAIAAgAFsAQQBuAG4AdQBhAGwARABpAHYAaQBkAGUAbgBkAHMAUABlAHIAUwBoAGEAcgBlAF0ALAAgACAAXABuACAAIAAgACAAIAAgACAAIABbAFMAaABhAHIAZQBQAHIAaQBjAGUAXQAsACAAIAAgACAAXABuAC8ALwAgACAASABlAGwAcABcAG4AIAAgACAAIABMAEUAVAAoAEgAZQBsAHAALAAgACAAIABUAFIASQBNACgAVABFAFgAVABTAFAATABJAFQAKAAgAFwAbgAgACAAIAAgACAAIAAgACAAIAAgACAAIAAgACAAIAAgACAAIAAgACAAIAAgACAAIABcACIARgBVAE4AQwBUAEkATwBOADoAIAAgACAAIAAgACAAkiFEAGkAdgBpAGQAZQBuAGQAWQBpAGUAbABkAFIAYQB0AGkAbwC7AygAIABBAG4AbgB1AGEAbABEAGkAdgBpAGQAZQBuAGQAcwBQAGUAcgBTAGgAYQByAGUALAAgAFMAaABhAHIAZQBQAHIAaQBjAGUAKQC2AFwAIgAgACYAIABcAG4AIAAgACAAIAAgACAAIAAgACAAIAAgACAAIAAgACAAIAAgACAAIAAgACAAIAAgACAAXAAiAEQARQBTAEMAUgBJAFAAVABJAE8ATgA6ACAAIAAgAJIhRABpAHYAaQBkAGUAbgBkACAAeQBpAGUAbABkACAAcgBhAHQAaQBvACAAcwBoAG8AdwBzACAAaABvAHcAIABtAHUAYwBoACAAYQAgAGMAbwBtAHAAYQBuAHkAIABwAGEAeQBzACAAbwB1AHQAIABpAG4AIABkAGkAdgBpAGQAZQBuAGQAcwAgALYAXAAiACAAJgAgAFwAbgAgACAAIAAgACAAIAAgACAAIAAgACAAIAAgACAAIAAgACAAIAAgACAAIAAgACAAIAAgACAAIAAgACAAIAAgACAAIAAgACAAIAAgACAAIABcACIAkiFlAGEAYwBoACAAeQBlAGEAcgAgAHIAZQBsAGEAdABpAHYAZQAgAHQAbwAgAGkAdABzACAAcwB0AG8AYwBrACAAcAByAGkAYwBlACAAKABBAG4AbgB1AGEAbAAgAEQAaQB2AGkAZABlAG4AZABzACAAUABlACAAcgBTAGgAYQByAGUALwBTAGgAYQByAGUAIABQAHIAaQBjAGUAKQC2AFwAIgAgACYAIABcAG4AIAAgACAAIAAgACAAIAAgACAAIAAgACAAIAAgACAAIAAgACAAIAAgACAAIAAgACAAXAAiAFcARQBCAFAAQQBHAEUAOgAgACAAIAAgACAAIAAgAJIhaAB0AHQAcABzADoALwAvAHcAdwB3AC4AaQBuAHYAZQBzAHQAbwBwAGUAZABpAGEALgBjAG8AbQAvAHQAZQByAG0AcwAvAGQALwBkAGkAdgBpAGQAZQBuAGQAeQBpAGUAbABk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EAbgBuAHUAYQBsAEQAaQB2AGkAZABlAG4AZABzAFAAZQByAFMAaABhAHIAZQCSISgAUgBlAHEAdQBpAHIAZQBkACkAIABBAG4AbgB1AGEAbAAgAEQAaQB2AGkAZABlAG4AZABzACAAUABlAHIAIABTAGgAYQByAGUAIAC2AFwAIgAgACYAIABcAG4AIAAgACAAIAAgACAAIAAgACAAIAAgACAAIAAgACAAIAAgACAAIAAgACAAIAAgACAAXAAiAFMAaABhAHIAZQBQAHIAaQBjAGUAIAAgACAAIAAgAJIhKABSAGUAcQB1AGkAcgBlAGQAKQAgAE0AYQByAGsAZQB0ACAAdgBhAGwAdQBlACAAcABlAHIAIABzAGgAYQByAGU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yAC4ANgA2ADYANwAlACAAIAAgACAAIAAgACAAIACSIT0AbgBhAGIAbABhAC4AcgAuAEQAaQB2AGkAZABlAG4AZABZAGkAZQBsAGQAUgBhAHQAaQBvALsDKAAgADEALgAyACwAIAA0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G4AbgB1AGEAbABEAGkAdgBpAGQAZQBuAGQAcwBQAGUAcgBTAGgAYQByAGUAKQAsAFwAbgAgACAAIAAgACAAIAAgACAAIAAgACAAIAAgACAAIAAgACAAIAAgACAAIAAgACAAIAAgACAAIAAgAEkAUwBPAE0ASQBUAFQARQBEACgAIABTAGgAYQByAGUAUAByAGkAYwBlACkAXABuACAAIAAgACAAIAAgACAAIAAgACAAIAAgACAAIAAgACAAIAAgACAAIAAgACAAIAAgACkALABcAG4AIAAgACAAIAAvAC8AIAAgAFAAcgBvAGMAZQBkAHUAcgBlAFwAbgAgACAAIAAgACAAIAAgACAAUgBlAHMAdQBsAHQALAAgACAAIAAgACAAIAAgACAAIABBAG4AbgB1AGEAbABEAGkAdgBpAGQAZQBuAGQAcwBQAGUAcgBTAGgAYQByAGUALwBTAGgAYQByAGUAUAByAGkAYw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RQBQAFMAuwNcAG4AIAAgACAAIABEAEUAUwBDAFIASQBQAFQASQBPAE4AOgAqAC8ALwAqACoARQBhAHIAbgBpAG4AZwBzACAAcABlAHIAIABzAGgAYQByAGUAIABtAGUAYQBzAHUAcgBlAHMAIABwAHIAbwBmAGkAdABhAGIAaQBsAGkAdAB5ACAAaQBuAGQAaQBjAGEAdABpAG4AZwAgAGgAbwB3ACAAbQB1AGMAaAAgAHAAcgBvAGYAaQB0ACAAZQBhAGMAaAAgAFwAbgBvAHUAdABzAHQAYQBuAGQAaQBuAGcAIABzAGgAYQByAGUAIABvAGYAIABjAG8AbQBtAG8AbgAgAHMAdABvAGMAawAgAGgAYQBzACAAZQBhAHIAbgBlAGQAIABcAG4AIAAgACAAIAAoAE4AZQB0ACAASQBuAGMAbwBtAGUAIAAtACAAUAByAGUAZgBlAHIAcgBlAGQAIABEAGkAdgBpAGQAZQBuAGQAcwApAC8ARQBuAGQAIABPAGYAIABQAGUAcgBpAG8AZAAgAEMAbwBtAG0AbwBuACAAUwBoAGEAcgBlAHMAIABPAHUAdABzAHQAYQBuAGQAaQBuAGcAKQAgACoALwBcAG4ARQBQAFMAuwMgAD0AIABMAEEATQBCAEQAQQAoAFwAbgAvAC8AIAAgAFAAYQByAGEAbQBlAHQAZQByACAARABlAGMAbABhAHIAYQB0AGkAbwBuAHMAXABuACAAIAAgACAAIAAgACAAIABbAE4AZQB0AEkAbgBjAG8AbQBlAF0ALAAgACAAXABuACAAIAAgACAAIAAgACAAIABbAFAAcgBlAGYAZQByAHIAZQBkAEQAaQB2AGkAZABlAG4AZABzAF0ALAAgACAAIAAgAFwAbgAgACAAIAAgACAAIAAgACAAWwBFAG4AZABPAGYAUABlAHIAaQBvAGQAQwBvAG0AbQBvAG4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FAFAAUwC7AygAIABOAGUAdABJAG4AYwBvAG0AZQAsACAAUAByAGUAZgBlAHIAcgBlAGQARABpAHYAaQBkAGUAbgBkAHMALAAgAEUAbgBkAE8AZgBQAGUAcgBpAG8AZABDAG8AbQBtAG8AbgBTAGgAYQByAGUAcwBPAHUAdABzAHQAYQBuAGQAaQBuAGcAKQC2AFwAIgAgACYAIABcAG4AIAAgACAAIAAgACAAIAAgACAAIAAgACAAIAAgACAAIAAgACAAIAAgACAAIAAgACAAXAAiAEQARQBTAEMAUgBJAFAAVABJAE8ATgA6ACAAIAAgACAAIAAgACAAkiFFAGEAcgBuAGkAbgBnAHMAIABwAGUAcgAgAHMAaABhAHIAZQAgAG0AZQBhAHMAdQByAGUAcwAgAHAAcgBvAGYAaQB0AGEAYgBpAGwAaQB0AHkAIABpAG4AZABpAGMAYQB0AGkAbgBnACAAaABvAHcAIABtAHUAYwBoACAAcAByAG8AZgBpAHQAIABlAGEAYwBoACAAtgBcACIAIAAmACAAXABuACAAIAAgACAAIAAgACAAIAAgACAAIAAgACAAIAAgACAAIAAgACAAIAAgACAAIAAgACAAIAAgACAAIAAgACAAIAAgACAAIAAgACAAIAAgACAAIAAgACAAXAAiAJIhbwB1AHQAcwB0AGEAbgBkAGkAbgBnACAAcwBoAGEAcgBlACAAbwBmACAAYwBvAG0AbQBvAG4AIABzAHQAbwBjAGsAIABoAGEAcwAgAGUAYQByAG4AZQBkACAAtgBcACIAIAAmACAAXABuACAAIAAgACAAIAAgACAAIAAgACAAIAAgACAAIAAgACAAIAAgACAAIAAgACAAIAAgACAAIAAgACAAIAAgACAAIAAgACAAIAAgACAAIAAgACAAIAAgACAAXAAiAJIhKABOAGUAdAAgAEkAbgBjAG8AbQBlACAALQAgAFAAcgBlAGYAZQByAHIAZQBkACAARABpAHYAaQBkAGUAbgBkAHMAKQAvAEUAbgBkACAATwBmACAAUABlAHIAaQBvAGQAIABDAG8AbQBtAG8AbgAgAFMAaABhAHIAZQBzACAATwB1AHQAcwB0AGEAbgBkAGkAbgBnACkAtgBcACIAIAAmACAAXABuACAAIAAgACAAIAAgACAAIAAgACAAIAAgACAAIAAgACAAIAAgACAAIAAgACAAIAAgAFwAIgBXAEUAQgBQAEEARwBFADoAIAAgACAAIAAgACAAIAAgACAAIAAgAJIhaAB0AHQAcABzADoALwAvAHcAdwB3AC4AaQBuAHYAZQBzAHQAbwBwAGUAZABpAGEALgBjAG8AbQAvAHQAZQByAG0AcwAvAGUALwBlAHA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AgALYAXAAiACAAJgAgAFwAbgAgACAAIAAgACAAIAAgACAAIAAgACAAIAAgACAAIAAgACAAIAAgACAAIAAgACAAIABcACIAUAByAGUAZgBlAHIAcgBlAGQARABpAHYAaQBkAGUAbgBkAHMAIACSISgAUgBlAHEAdQBpAHIAZQBkACkAIABEAGkAdgBpAGQAZQBuAGQAcwAgAHAAYQBpAGQAIABvAG4AIABwAHIAZQBmAGUAcgBlAGQAIABzAHQAbwBjAGsAtgBcACIAIAAmACAAXABuACAAIAAgACAAIAAgACAAIAAgACAAIAAgACAAIAAgACAAIAAgACAAIAAgACAAIAAgAFwAIgBFAG4AZABPAGYAUABlAHIAaQBvAGQAQwBvAG0AbQBvAG4AUwBoAGEAcgBlAHMATwB1AHQAcwB0AGEAbgBkAGkAbgBnAJIhKABSAGUAcQB1AGkAcgBlAGQAKQAgAEUAbgBkACAAbwBmACAAUABlAHIAaQBvAGQAcwAgAEMAbwBtAG0AbwBuACAAUwBoAGEAcgBlAHMAIABvAHUAdABzAHQAYQBuAGQAaQBuAGcAIABvAHIAIAC2AFwAIgAgACYAIABcAG4AIAAgACAAIAAgACAAIAAgACAAIAAgACAAIAAgACAAIAAgACAAIAAgACAAIAAgACAAIAAgACAAIAAgACAAIAAgACAAIAAgACAAIAAgACAAIAAgACAAIABcACIAkiFXAGUAaQBnAGgAdABlAGQAIABhAHYAZQByAGEAZwBlACAAbgB1AG0AYgBlAHIAIABvAGYAIABzAGgAYQByAGUAcwAgAG8AdQB0AHMAdABhAG4AZABpAG4AZw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EALgA5ADAAOQA1ADQAOAAgACAAIAAgACAAIAAgACAAIAAgACAAkiE9AG4AYQBiAGwAYQAuAHI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EAOAA5AC4AOQAlACAAIAAgACAAIAAgACAAIAAgACAAIAAgACAAkiE9AG4AYQBiAGwAYQAuAHIALgBSAGUAdABlAG4AdABpAG8AbgBSAGEAdABpAG8AuwMoACAANAAxAC4AOQA4ADEALAAgADIAMgAuADEAMQAy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IAZQB0AGEAaQBuAGUAZABFAGEAcgBuAGkAbgBnAHM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UgBlAHQAYQBpAG4AZQBkAEUAYQByAG4AaQBuAGcAcwAvAE4AZQB0AEkAbgBjAG8AbQBlACwAXABuACAAIAAgACAALwAvACAAIABSAGUAdAB1AHIAbgAgAFIAZQBzAHUAbAB0AFwAbgAgACAAIAAgACAAIAAgACAAQwBIAE8ATwBTAEUAKABIAGUAbABwAD8AIAArACAAMQAsACAAUgBlAHMAdQBsAHQALAAgAEgAZQBsAHAAKQAgACAAIAAgACAAIAAgACAAXABuACAAIAAgACAAKQBcAG4AKQA7ACIAfQAsAHsAIgBwAGEAdABoACIAOgAiAC8AcAByAG8AagBlAGMAdABzAC8AbgBhAGIAbABhAC4AdQAiACwAIgB0AGUAeAB0ACIAOgAi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FwAbgBBAGIAbwB1AHQ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uAGEAYgBsAGEALgB1ALYAXAAiACAAJgBcAG4AIAAgACAAIABcACIAVgBlAHIAcwBpAG8AbgA6ACAAIAAgACAAIAAgACAAIAAgACAAIAAgACAAIAAgACAAIAAgACAAkiExADgAIABBAHUAZwAgADIAMAAyADYAtgBcACIAIAAmAFwAbgAgACAAIAAgAFwAIgBSAGUAcABvAHMAaQB0AG8AcgB5ADo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uwMgACAAIAAgACAAIAAgACAAIAAgACAAIAAgACAAIAAgACAAkiFEAGUAdABlAHIAbQBpAG4AZQAgAGkAZgAgAGEAIAB2AGEAbAB1AGUAIABpAHMAIABiAGUAdAB3AGUAZQBuACAAYQAgAGwAbwB3AGUAcgAgAGEAbgBkACAAdQBwAHAAZQByACAAbABpAG0AaQB0AC4AtgBcACIAIAAmACAAXABuACAAIAAgACAAXAAiAEkAcwBJAG4ATABpAHMAdAC7AyAAIAAgACAAIAAgACAAIAAgACAAIAAgACAAIAAgACAAIAAgAJIhRABlAHQAZQByAG0AaQBuAGUAIABpAGYAIABhACAAdgBhAGwAdQBlACAAaQBzACAAbwBuAGUAIABvAGYAIABhACAAbABpAHMAdAAgAG8AZgAgAGkAdABlAG0AcwAuALYAXAAiACAAJgBcAG4AIAAgACAAIABcACIAUgBhAG4AZwBlAFQAbwBEAEE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uwNcAG4AIAAgACAAIABEAEUAUwBDAFIASQBQAFQASQBPAE4AOgAqAC8ALwAqACoARwBlAHQAIAB0AGgAZQAgAHQAbwB0AGEAbAAgAGYAbwByACAAZQBhAGMAaAAgAHIAbwB3ACoALwBcAG4AUwB1AG0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LsDXABuACAAIAAgACAARABFAFMAQwBSAEkAUABUAEkATwBOADoAKgAvAC8AKgAqAEcAZQB0ACAAdABoAGUAIABhAHYAZQByAGEAZwBlACAAZgBvAHIAIABlAGEAYwBoACAAQwBvAGwAdQBtAG4AKgAvAFwAbgBBAHYAZw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uwNcAG4AIAAgACAAIABEAEUAUwBDAFIASQBQAFQASQBPAE4AOgAqAC8ALwAqACoARwBlAHQAIAB0AGgAZQAgAG0AYQB4AGkAbQB1AG0AIABmAG8AcgAgAGUAYQBjAGgAIAByAG8AdwAqAC8AXABuAE0AYQB4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uwNcAG4AIAAgACAAIABEAEUAUwBDAFIASQBQAFQASQBPAE4AOgAqAC8ALwAqACoAQwBvAHUAbgB0ACAAZQB2AGUAcgB5AHQAaABpAG4AZwAgAGkAbgAgAGUAYQBjAGgAIAByAG8AdwAqAC8AXABuAEMAbwB1AG4AdABB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cgBvAHc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w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CA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wAbwB3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AgAGEAbgBkAC8AbwByACAASABpALYAXAAiACAAJgBcAG4AIAAgACAAIAAgACAAIAAgACAAIAAgACAAIAAgACAAIAAgACAAIAAgACAAIAAgACAAIAAgACAAIABcACIAkiG2AFwAIgAgACYAXABuACAAIAAgACAAIAAgACAAIAAgACAAIAAgACAAIAAgACAAIAAgACAAIAAgACAAIAAgACAAIAAgACAAXAAiAEUAWABBAE0AUABMAEUAUwAgACAAIAAgACAAIAAgADo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LsDKAAxACwAIAAyACwAIAA0ACkAtgBcACIAIAAmACAAXABuACAAIAAgACAAIAAgACAAIAAgACAAIAAgACAAIAAgACAAIAAgACAAIAAgACAAIAAgACAAIAAgACAAXAAiAFQAUgBVAEUAIAAgACAAIAAgACAAIAAgACAAIAAgAJIhPQBJAHMAQgBlAHQAdwBlAGUAbgC7AygAMgAsACAAMgAsACAANAApALYAXAAiACAAJgAgAFwAbgAgACAAIAAgACAAIAAgACAAIAAgACAAIAAgACAAIAAgACAAIAAgACAAIAAgACAAIAAgACAAIAAgAFwAIgBGAEEATABTAEUAIAAgACAAIAAgACAAIAAgACAAIACSIT0ASQBzAEIAZQB0AHcAZQBlAG4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C7A1wAbgAgACAAIAAgAEQARQBTAEMAUgBJAFAAVABJAE8ATgA6ACoALwAvACoAKgBEAGUAdABlAHIAbQBpAG4AZQAgAGkAZgAgAGEAIAB2AGEAbAB1AGUAIABpAHMAIABiAGUAdAB3AGUAZQBuACAAYQAgAGwAbwB3AGUAcgAgAGEAbgBkACAAdQBwAHAAZQByACAAbABpAG0AaQB0ACoALwBcAG4ASQBzAEkAbgBMAGkAcwB0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C7A1wAbgAgACAAIAAgAEQARQBTAEMAUgBJAFAAVABJAE8ATgA6ACoALwAvACoAKgBDAG8AbgB2AGUAcgB0ACAAYQAgAHIAYQBuAGcAZQAgAHIAZQBmAGUAcgBlAG4AYwBlACAAdABvACAAYQAgAGQAeQBuAGEAbQBpAGMAIABhAHIAcgBhAHkAIAByAGUAZgBlAHIAZQBuAGMAZQAqAC8AXABuAFIAYQBuAGcAZQBUAG8ARABB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gBhAGIAbABhAC4AZAAuAEEAYgBvAHUAdAC7AyIALAAiAG4AYQBiAGwAYQAuAGQALgBDAG8AdQBuAHQARABPAFcAuwMiACwAIgBuAGEAYgBsAGEALgBkAC4ASQBzAEIAZQB0AHcAZQBlAG4AuwMiACwAIgBuAGEAYgBsAGEALgBkAC4ASQBzAE8AYwBjAHUAcgByAGUAbgBjAGUARABhAHQAZQC7AyIALAAiAG4AYQBiAGwAYQAuAGQALgBPAHYAZQByAEwAYQBwAEQAYQB5AHMAuwMiACwAIgBuAGEAYgBsAGEALgBkAC4AUABlAHIAaQBvAGQATABhAGIAZQBsALsDIgAsACIAbgBhAGIAbABhAC4AZAAuAFAAZQByAGkAbwBkAHMAuwMiACwAIgBuAGEAYgBsAGEALgBkAC4AUwBjAGgAZQBkAHUAbABlAFIAYQB0AGUAcwC7AyIALAAiAG4AYQBiAGwAYQAuAGQALgBTAGMAaABlAGQAdQBsAGUAUgBhAHQAZQBzAEIAeQBJAHQAZQBtAHMAuwMiACwAIgBuAGEAYgBsAGEALgBkAC4AUwBjAGgAZQBkAHUAbABlAFYAYQBsAHUAZQBzALsDIgAsACIAbgBhAGIAbABhAC4AZAAuAFMAYwBoAGUAZAB1AGwAZQBWAGEAbAB1AGUAcwBCAHkASQB0AGUAbQBzALsDIgAsACIAbgBhAGIAbABhAC4AZAAuAFQAaQBtAGUAbABpAG4AZQC7AyIALAAiAG4AYQBiAGwAYQAuAGUALgBBAGIAbwB1AHQAuwMiACwAIgBuAGEAYgBsAGEALgBlAC4AQwBvAHUAbgB0AEMAuwMiACwAIgBuAGEAYgBsAGEALgBlAC4AUwB1AG0AUgBvAHcAcwC7AyIALAAiAG4AYQBiAGwAYQAuAGUALgBTAHUAbQBDAG8AbABzALsDIgAsACIAbgBhAGIAbABhAC4AZQAuAEEAdgBnAFIAbwB3AHMAuwMiACwAIgBuAGEAYgBsAGEALgBlAC4AQQB2AGcAQwBvAGwAcwC7AyIALAAiAG4AYQBiAGwAYQAuAGUALgBNAGkAbgBSAG8AdwBzALsDIgAsACIAbgBhAGIAbABhAC4AZQAuAE0AaQBuAEMAbwBsAHMAuwMiACwAIgBuAGEAYgBsAGEALgBlAC4ATQBhAHgAUgBvAHcAcwC7AyIALAAiAG4AYQBiAGwAYQAuAGUALgBNAGEAeABDAG8AbABzALsDIgAsACIAbgBhAGIAbABhAC4AZQAuAEMAbwB1AG4AdABBAFIAbwB3AHMAuwMiACwAIgBuAGEAYgBsAGEALgBlAC4AQwBvAHUAbgB0AEEAQwBvAGwAcwC7AyIALAAiAG4AYQBiAGwAYQAuAGUALgBDAG8AdQBuAHQAUgBvAHcAcwC7AyIALAAiAG4AYQBiAGwAYQAuAGUALgBDAG8AdQBuAHQAQwBvAGwAcwC7AyIALAAiAG4AYQBiAGwAYQAuAGUALgBJAHMAQgBlAHQAdwBlAGUAbgC7AyIALAAiAG4AYQBiAGwAYQAuAGUALgBJAHMASQBuAEwAaQBzAHQAuwMiACwAIgBuAGEAYgBsAGEALgBlAC4AUgBhAG4AZwBlAFQAbwBEAEEAuwMiACwAIgBuAGEAYgBsAGEALgBmAC4AQQBiAG8AdQB0ALsDIgAsACIAbgBhAGIAbABhAC4AZgAuAEMAbwByAGsAcwBjAHIAZQB3ALsDIgAsACIAbgBhAGIAbABhAC4AZgAuAEMAbwByAGsAUwBjAHIAZQB3AFIAZQB2AGUAcgBzAGEAbAC7AyIALAAiAG4AYQBiAGwAYQAuAGYALgBJAG4AdABPAG4ASQBuAHQAuwMiACwAIgBuAGEAYgBsAGEALgBmAC4ASQBSAFIAuwMiACwAIgBuAGEAYgBsAGEALgBmAC4ATQBvAHYAZQBtAGUAbgB0ALsDIgAsACIAbgBhAGIAbABhAC4AZgAuAFIAZQB2AGUAcgBzAGEAbAC7AyIALAAiAG4AYQBiAGwAYQAuAGYALgBDAHUAbQB1AGwAYQB0AGkAdgBlALsDIgAsACIAbgBhAGIAbABhAC4AZgAuAFIAbwBsAGwAaQBuAGcAQQB2AGcAuwMiACwAIgBuAGEAYgBsAGEALgBmAC4AUgBvAGwAbABpAG4AZwBNAGEAeAC7AyIALAAiAG4AYQBiAGwAYQAuAGYALgBSAG8AbABsAGkAbgBnAE0AaQBuALsDIgAsACIAbgBhAGIAbABhAC4AZgAuAFIAbwBsAGwAaQBuAGcAUwB1AG0AuwMiACwAIgBuAGEAYgBsAGEALgBmAC4AUwB1AG0AQwBvAG4AdABhAGkAbgBzALsDIgAsACIAbgBhAGIAbABhAC4AZgAuAFMAdQBtAFAAZQByAGkAbwBkAHMAuwMiACwAIgBuAGEAYgBsAGEALgBmAC4AQQBtAG8AcgB0AGkAcwBlALsDIgAsACIAbgBhAGIAbABhAC4AZgAuAEwAYQBiAGUAbABBAG0AbwByAHQAaQBzAGUAuwMiACwAIgBuAGEAYgBsAGEALgBmAC4AUwB1AG0AQQBtAG8AcgB0AGkAcwBlALsDIgAsACIAbgBhAGIAbABhAC4AZgAuAEQAZQBwAHIAZQBjAGkAYQB0AGUAuwMiACwAIgBuAGEAYgBsAGEALgBmAC4ATABhAGIAZQBsAEQAZQBwAHIAZQBjAGkAYQB0AGUAuwMiACwAIgBuAGEAYgBsAGEALgBmAC4AQQBsAGwAbwBjAGEAdABlALsDIgAsACIAbgBhAGIAbABhAC4AZgAuAFAAZQByAGkAbwBkAEQAaQBmAGYAuwMiACwAIgBuAGEAYgBsAGEALgBmAC4AUwBMAE4AuwMiACwAIgBuAGEAYgBsAGEALgBmAC4AUwBZAEQAuwMiACwAIgBuAGEAYgBsAGEALgBmAC4ARABCALsDIgAsACIAbgBhAGIAbABhAC4AZgAuAEQARABCALsDIgAsACIAbgBhAGIAbABhAC4AZgAuAFYARABCALsDIgAsACIAbgBhAGIAbABhAC4AZgAuAEEAbQBvAHIAdABpAHMAZQC7A0QAVgAiACwAIgBuAGEAYgBsAGEALgBmAC4AQwBvAHIAawBzAGMAcgBlAHcAuwNEAFYAIgAsACIAbgBhAGIAbABhAC4AZgAuAEQAZQBwAHIAZQBjAGkAYQB0AGUAuwNEAFYAIgAsACIAbgBhAGIAbABhAC4AZgAuAFQAaQBtAGUAbABpAG4AZQBPAGYAZgBzAGUAdAC7AyIALAAiAG4AYQBiAGwAYQAuAGYALgBUAGkAbQBlAGwAaQBuAGUAUABvAHMAaQB0AGkAbwBuALsDIgAsACIAbgBhAGIAbABhAC4AZgAuAEYAaQBsAHQAZQByAEMAbwBuAHQAYQBpAG4AcwC7AyIALAAiAG4AYQBiAGwAYQAuAGYALgBSAGEAbgBnAGUAVABvAEQAQQC7AyIALAAiAG4AYQBiAGwAYQAuAGYALgBQAGUAcgBpAG8AZABTAHQAYQByAHQAuwMiACwAIgBuAGEAYgBsAGEALgByAC4AQQBiAG8AdQB0ALsDIgAsACIAbgBhAGIAbABhAC4AcgAuAEMAdQByAHIAZQBuAHQAUgBhAHQAaQBvALsDIgAsACIAbgBhAGIAbABhAC4AcgAuAFEAdQBpAGMAawBSAGEAdABpAG8AuwMiACwAIgBuAGEAYgBsAGEALgByAC4AQwBhAHMAaABSAGEAdABpAG8AuwMiACwAIgBuAGEAYgBsAGEALgByAC4ATwBwAGUAcgBhAHQAaQBuAGcAQwBhAHMAaABGAGwAbwB3AFIAYQB0AGkAbwC7AyIALAAiAG4AYQBiAGwAYQAuAHIALgBSAGUAYwBlAGkAdgBhAGIAbABlAHMAVAB1AHIAbgBvAHYAZQByAFIAYQB0AGkAbwC7AyIALAAiAG4AYQBiAGwAYQAuAHIALgBJAG4AdgBlAG4AdABvAHIAeQBUAHUAcgBuAG8AdgBlAHIAUgBhAHQAaQBvALsDIgAsACIAbgBhAGIAbABhAC4AcgAuAFcAbwByAGsAaQBuAGcAQwBhAHAAaQB0AGEAbABUAHUAcgBuAG8AdgBlAHIAUgBhAHQAaQBvALsDIgAsACIAbgBhAGIAbABhAC4AcgAuAEQAZQBiAHQAUgBhAHQAaQBvALsDIgAsACIAbgBhAGIAbABhAC4AcgAuAEQAUwBDAFIAuwMiACwAIgBuAGEAYgBsAGEALgByAC4ARABlAGIAdABUAG8AQwBhAHAAaQB0AGEAbABSAGEAdABpAG8AuwMiACwAIgBuAGEAYgBsAGEALgByAC4ARQBxAHUAaQB0AHkATQB1AGwAdABpAHAAbABpAGUAcgC7AyIALAAiAG4AYQBiAGwAYQAuAHIALgBEAGUAYgB0AFQAbwBFAHEAdQBpAHQAeQBSAGEAdABpAG8AuwMiACwAIgBuAGEAYgBsAGEALgByAC4ARABlAGIAdABUAG8AQQBzAHMAZQB0AFIAYQB0AGkAbwC7AyIALAAiAG4AYQBiAGwAYQAuAHIALgBJAG4AdABlAHIAZQBzAHQAQwBvAHYAZQByAGEAZwBlAFIAYQB0AGkAbwC7AyIALAAiAG4AYQBiAGwAYQAuAHIALgBFAHEAdQBpAHQAeQBSAGEAdABpAG8AuwMiACwAIgBuAGEAYgBsAGEALgByAC4AQQBzAHMAZQB0AFQAdQByAG4AbwB2AGUAcgBSAGEAdABpAG8AuwMiACwAIgBuAGEAYgBsAGEALgByAC4ARABTAEkAuwMiACwAIgBuAGEAYgBsAGEALgByAC4ATwBwAGUAcgBhAHQAaQBuAGcAUgBhAHQAaQBvALsDIgAsACIAbgBhAGIAbABhAC4AcgAuAEcAcgBvAHMAcwBNAGEAcgBnAGkAbgC7AyIALAAiAG4AYQBiAGwAYQAuAHIALgBFAEIASQBUAEQAQQBNAGEAcgBnAGkAbgC7AyIALAAiAG4AYQBiAGwAYQAuAHIALgBPAHAAZQByAGEAdABpAG4AZwBNAGEAcgBnAGkAbgC7AyIALAAiAG4AYQBiAGwAYQAuAHIALgBQAHIAZQB0AGEAeABNAGEAcgBnAGkAbgC7AyIALAAiAG4AYQBiAGwAYQAuAHIALgBOAGUAdABQAHIAbwBmAGkAdABNAGEAcgBnAGkAbgC7AyIALAAiAG4AYQBiAGwAYQAuAHIALgBDAGEAcwBoAEYAbABvAHcATQBhAHIAZwBpAG4AuwMiACwAIgBuAGEAYgBsAGEALgByAC4AUgBPAEEAuwMiACwAIgBuAGEAYgBsAGEALgByAC4AUgBPAEUAuwMiACwAIgBuAGEAYgBsAGEALgByAC4AUgBPAEkAuwMiACwAIgBuAGEAYgBsAGEALgByAC4AUgBPAEkAQwC7AyIALAAiAG4AYQBiAGwAYQAuAHIALgBQAHIAaQBjAGUARQBhAHIAbgBpAG4AZwBzAFIAYQB0AGkAbwC7AyIALAAiAG4AYQBiAGwAYQAuAHIALgBQAHIAaQBjAGUAVABvAEIAbwBvAGsAUgBhAHQAaQBvALsDIgAsACIAbgBhAGIAbABhAC4AcgAuAFAAcgBpAGMAZQBUAG8AUwBhAGwAZQBzAFIAYQB0AGkAbwC7AyIALAAiAG4AYQBiAGwAYQAuAHIALgBQAHIAaQBjAGUAVABvAEMAYQBzAGgAUgBhAHQAaQBvALsDIgAsACIAbgBhAGIAbABhAC4AcgAuAEIAVgBQAFMAuwMiACwAIgBuAGEAYgBsAGEALgByAC4AQwBBAFAARQBSAGEAdABpAG8AuwMiACwAIgBuAGEAYgBsAGEALgByAC4ARABQAFIAuwMiACwAIgBuAGEAYgBsAGEALgByAC4ARABpAHYAaQBkAGUAbgBkAFkAaQBlAGwAZABSAGEAdABpAG8AuwMiACwAIgBuAGEAYgBsAGEALgByAC4ARQBQAFMAuwMiACwAIgBuAGEAYgBsAGEALgByAC4AUgBlAHQAZQBuAHQAaQBvAG4AUgBhAHQAaQBvALsDIgAsACIAbgBhAGIAbABhAC4AdQAuAEEAYgBvAHUAdAC7AyIALAAiAG4AYQBiAGwAYQAuAHUALgBDAG8AdQBuAHQAQwC7AyIALAAiAG4AYQBiAGwAYQAuAHUALgBTAHUAbQBSAG8AdwBzALsDIgAsACIAbgBhAGIAbABhAC4AdQAuAFMAdQBtAEMAbwBsAHMAuwMiACwAIgBuAGEAYgBsAGEALgB1AC4AQQB2AGcAUgBvAHcAcwC7AyIALAAiAG4AYQBiAGwAYQAuAHUALgBBAHYAZwBDAG8AbABzALsDIgAsACIAbgBhAGIAbABhAC4AdQAuAE0AaQBuAFIAbwB3AHMAuwMiACwAIgBuAGEAYgBsAGEALgB1AC4ATQBpAG4AQwBvAGwAcwC7AyIALAAiAG4AYQBiAGwAYQAuAHUALgBNAGEAeABSAG8AdwBzALsDIgAsACIAbgBhAGIAbABhAC4AdQAuAE0AYQB4AEMAbwBsAHMAuwMiACwAIgBuAGEAYgBsAGEALgB1AC4AQwBvAHUAbgB0AEEAUgBvAHcAcwC7AyIALAAiAG4AYQBiAGwAYQAuAHUALgBDAG8AdQBuAHQAQQBDAG8AbABzALsDIgAsACIAbgBhAGIAbABhAC4AdQAuAEMAbwB1AG4AdABSAG8AdwBzALsDIgAsACIAbgBhAGIAbABhAC4AdQAuAEMAbwB1AG4AdABDAG8AbABzALsDIgAsACIAbgBhAGIAbABhAC4AdQAuAEkAcwBCAGUAdAB3AGUAZQBuALsDIgAsACIAbgBhAGIAbABhAC4AdQAuAEkAcwBJAG4ATABpAHMAdAC7AyIALAAiAG4AYQBiAGwAYQAuAHUALgBSAGEAbgBnAGUAVABvAEQAQQC7AyIALAAiAG4AYQBiAGwAYQAuAGYALgBTAHUAbQBEAGUAcAByAGUAYwBpAGEAdABlALsDIgAsACIAbgBhAGIAbABhAC4AZgAuAEQAaQBtAGkAbgBpAHMAaABpAG4AZwBWAGEAbAB1AGUAuwMiACwAIgBuAGEAYgBsAGEALgBmAC4AUAByAGkAbQBlAEMAbwBzAHQAuwMiACwAIgBuAGEAYgBsAGEALgBmAC4ARwBTAFQAQQBkAGQAuwMiACwAIgBuAGEAYgBsAGEALgBmAC4ARwBTAFQARQB4AHQAcgBhAGMAdAC7AyIALAAiAG4AYQBiAGwAYQAuAGQALgBGAGkAbgBhAG4AYwBpAGEAbABZAGUAYQBy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nabla.d.CountDOWλ</vt:lpstr>
      <vt:lpstr>nabla.d.IsBetweenλ</vt:lpstr>
      <vt:lpstr>nabla.d.IsOccurrenceDateλ</vt:lpstr>
      <vt:lpstr>nabla.d.OverLapDaysλ</vt:lpstr>
      <vt:lpstr>nabla.d.Periodsλ</vt:lpstr>
      <vt:lpstr>nabla.d.PeriodLabelλ</vt:lpstr>
      <vt:lpstr>nabla.d.ScheduleRatesλ</vt:lpstr>
      <vt:lpstr>nabla.d.ScheduleRatesByItemsλ</vt:lpstr>
      <vt:lpstr>nabla.d.ScheduleValuesλ</vt:lpstr>
      <vt:lpstr>nabla.d.ScheduleValuesByItemsλ</vt:lpstr>
      <vt:lpstr>nabla.d.Timelineλ</vt:lpstr>
      <vt:lpstr>nabla.f.Amortiseλ</vt:lpstr>
      <vt:lpstr>nabla.f.LabelAmortiseλ</vt:lpstr>
      <vt:lpstr>nabla.f.SumAmortiseλ</vt:lpstr>
      <vt:lpstr>nabla.f.Corkscrewλ</vt:lpstr>
      <vt:lpstr>nabla.f.Cumulativeλ</vt:lpstr>
      <vt:lpstr>nabla.f.Depreciateλ</vt:lpstr>
      <vt:lpstr>nabla.f.LabelDepreciateλ</vt:lpstr>
      <vt:lpstr>nabla.f.SumDepreciateλ</vt:lpstr>
      <vt:lpstr>nabla.f.SumContains</vt:lpstr>
      <vt:lpstr>nabla.f.IntOnIntλ</vt:lpstr>
      <vt:lpstr>nabla.f.IRRλ</vt:lpstr>
      <vt:lpstr>nabla.f.Reversalλ</vt:lpstr>
      <vt:lpstr>nabla.f.Movementλ</vt:lpstr>
      <vt:lpstr>nabla.f.RollingSumλ</vt:lpstr>
      <vt:lpstr>nabla.f.SumPeriodsλ</vt:lpstr>
      <vt:lpstr>nabla.f.TimelineOffsetλ</vt:lpstr>
      <vt:lpstr>nabla.f.TimelinePositionλ</vt:lpstr>
      <vt:lpstr>nabla.e.Aboutλ</vt:lpstr>
      <vt:lpstr>nabla.e.CountCλ</vt:lpstr>
      <vt:lpstr>nabla.e.SumRowsλ</vt:lpstr>
      <vt:lpstr>nabla.e.SumColsλ</vt:lpstr>
      <vt:lpstr>nabla.e.AvgRowsλ</vt:lpstr>
      <vt:lpstr>nabla.e.AvgColsλ</vt:lpstr>
      <vt:lpstr>nabla.e.MinRowsλ</vt:lpstr>
      <vt:lpstr>nabla.e.MinColsλ</vt:lpstr>
      <vt:lpstr>nabla.e.MaxRowsλ</vt:lpstr>
      <vt:lpstr>nabla.e.MaxColsλ</vt:lpstr>
      <vt:lpstr>nabla.e.CountRowsλ</vt:lpstr>
      <vt:lpstr>nabla.e.CountColsλ</vt:lpstr>
      <vt:lpstr>nabla.e.CountARowsλ</vt:lpstr>
      <vt:lpstr>nabla.e.CountAColsλ</vt:lpstr>
      <vt:lpstr>nabla.e.IsBetweenλ</vt:lpstr>
      <vt:lpstr>nabla.e.RangeToDAλ</vt:lpstr>
      <vt:lpstr>nabla.r.FinancialRatios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the upstream author (original library); nabla project (derivative)</dc:creator>
  <cp:lastModifiedBy>Ryan Duguid</cp:lastModifiedBy>
  <dcterms:created xsi:type="dcterms:W3CDTF">2023-08-10T15:46:16Z</dcterms:created>
  <dcterms:modified xsi:type="dcterms:W3CDTF">2026-08-18T00:00:00Z</dcterms:modified>
</cp:coreProperties>
</file>