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b.CountDOWλ" sheetId="41" r:id="rId5"/>
    <sheet name="nb.IsBetweenλ" sheetId="43" r:id="rId6"/>
    <sheet name="nb.IsOccurrenceDateλ" sheetId="44" r:id="rId7"/>
    <sheet name="nb.OverLapDaysλ" sheetId="45" r:id="rId8"/>
    <sheet name="nb.Periodsλ" sheetId="46" r:id="rId9"/>
    <sheet name="nb.PeriodLabelλ" sheetId="47" r:id="rId10"/>
    <sheet name="nb.ScheduleRatesλ" sheetId="48" r:id="rId11"/>
    <sheet name="nb.ScheduleRatesByItemsλ" sheetId="49" r:id="rId12"/>
    <sheet name="nb.ScheduleValuesλ" sheetId="50" r:id="rId13"/>
    <sheet name="nb.ScheduleValuesByItemsλ" sheetId="51" r:id="rId14"/>
    <sheet name="nb.Timelineλ" sheetId="52" r:id="rId15"/>
    <sheet name="nb.Amortiseλ" sheetId="76" r:id="rId16"/>
    <sheet name="nb.LabelAmortiseλ" sheetId="90" r:id="rId17"/>
    <sheet name="nb.SumAmortiseλ" sheetId="83" r:id="rId18"/>
    <sheet name="nb.Corkscrewλ" sheetId="77" r:id="rId19"/>
    <sheet name="nb.Cumulativeλ" sheetId="99" r:id="rId20"/>
    <sheet name="nb.Depreciateλ" sheetId="78" r:id="rId21"/>
    <sheet name="nb.LabelDepreciateλ" sheetId="106" r:id="rId22"/>
    <sheet name="nb.SumDepreciateλ" sheetId="107" r:id="rId23"/>
    <sheet name="nb.SumContains" sheetId="108" r:id="rId24"/>
    <sheet name="nb.IntOnIntλ" sheetId="80" r:id="rId25"/>
    <sheet name="nb.IRRλ" sheetId="81" r:id="rId26"/>
    <sheet name="nb.Reversalλ" sheetId="128" r:id="rId27"/>
    <sheet name="nb.Movementλ" sheetId="82" r:id="rId28"/>
    <sheet name="nb.RollingSumλ" sheetId="105" r:id="rId29"/>
    <sheet name="nb.SumPeriodsλ" sheetId="89" r:id="rId30"/>
    <sheet name="nb.TimelineOffsetλ" sheetId="96" r:id="rId31"/>
    <sheet name="nb.TimelinePositionλ" sheetId="97" r:id="rId32"/>
    <sheet name="nb.AboutEssentialsλ" sheetId="110" r:id="rId33"/>
    <sheet name="nb.CountCλ" sheetId="118" r:id="rId34"/>
    <sheet name="nb.SumRowsλ" sheetId="87" r:id="rId35"/>
    <sheet name="nb.SumColsλ" sheetId="88" r:id="rId36"/>
    <sheet name="nb.AvgRowsλ" sheetId="111" r:id="rId37"/>
    <sheet name="nb.AvgColsλ" sheetId="112" r:id="rId38"/>
    <sheet name="nb.MinRowsλ" sheetId="113" r:id="rId39"/>
    <sheet name="nb.MinColsλ" sheetId="114" r:id="rId40"/>
    <sheet name="nb.MaxRowsλ" sheetId="115" r:id="rId41"/>
    <sheet name="nb.MaxColsλ" sheetId="116" r:id="rId42"/>
    <sheet name="nb.CountRowsλ" sheetId="119" r:id="rId43"/>
    <sheet name="nb.CountColsλ" sheetId="120" r:id="rId44"/>
    <sheet name="nb.CountARowsλ" sheetId="122" r:id="rId45"/>
    <sheet name="nb.CountAColsλ" sheetId="123" r:id="rId46"/>
    <sheet name="nb.IsBetweenEλ" sheetId="125" r:id="rId47"/>
    <sheet name="nb.RangeToDAEλ" sheetId="126" r:id="rId48"/>
    <sheet name="nb.FinancialRatios" sheetId="131" r:id="rId49"/>
  </sheets>
  <definedNames>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 FALSE)¶"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MaxColsUλ" comment="Get the maximum for each Column">_xlfn.LAMBDA(_xlop.Array, _xlfn.LET(_xlpm.Help, TRIM(_xlfn.TEXTSPLIT("FUNCTION:      →MaxColsUλ(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Slicer_Type">#N/A</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<sst xmlns="http://schemas.openxmlformats.org/spreadsheetml/2006/main" count="1857" uniqueCount="542">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</sst>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nb.CountDOWλ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2</v>
      </c>
      <c r="B13" t="str">
        <v>=nb.CountDOWλ("22/3/2012", "10/4/2012", 1)</v>
      </c>
    </row>
    <row r="18" spans="1:17" x14ac:dyDescent="0.25">
      <c r="E18" s="127" t="s">
        <v>150</v>
      </c>
      <c r="F18" s="128" cm="1">
        <f t="array" ref="F18:Q18">nb.Timelineλ($B$21,$B$22,$B$23)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nb.IsBetweenλ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nb.IsOccurrenceDateλ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5" t="s">
        <v>220</v>
      </c>
      <c r="B31" s="296"/>
      <c r="C31" s="296"/>
      <c r="D31" s="296"/>
      <c r="E31" s="296"/>
      <c r="F31" s="153"/>
      <c r="G31" s="135" t="s">
        <v>246</v>
      </c>
      <c r="H31" s="157" cm="1">
        <f t="array" ref="H31:NH31">nb.Cumulativeλ(_xlfn.ANCHORARRAY(H32))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nb.SumColsλ(_xlfn.ANCHORARRAY($H$34))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nb.Timelineλ("1/1/2026",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nb.OverLapDaysλ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nb.Timelineλ("1/1/2026",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2472</v>
      </c>
      <c r="H23" s="142" cm="1">
        <f t="array" ref="H23:S25">nb.OverLapDaysλ(_xlfn.ANCHORARRAY(H22),_xlfn.ANCHORARRAY(H21),tblRent[Start],tblRent[End])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nb.Periodsλ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 , FALSE)</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nb.Periodsλ(A25:A29,B25:B29,C25:C29)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nb.PeriodLabelλ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nb.ScheduleRatesλ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nb.ScheduleRatesByItemsλ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ScheduleValuesByItemsλ(PeriodEnds,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nb.ScheduleValuesByItemsλ(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nb.Timelineλ(B25,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nb.ScheduleValuesλ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nb.Timelineλ(B20,B21,B22,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nb.ScheduleValuesλ(_xlfn.ANCHORARRAY(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nb.ScheduleValuesλ(_xlfn.ANCHORARRAY(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nb.Cumulativeλ(_xlfn.ANCHORARRAY(M22))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nb.Corkscrewλ(0,-_xlfn.ANCHORARRAY(M20),_xlfn.ANCHORARRAY(M21))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nb.ScheduleValuesByItemsλ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nb.Timelineλ($B$25,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nb.SumRowsλ(_xlfn.ANCHORARRAY(M25))</f>
        <v>7202</v>
      </c>
      <c r="M25" s="162" cm="1">
        <f t="array" ref="M25:X29">nb.ScheduleValuesByItemsλ(_xlfn.ANCHORARRAY(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nb.SumColsλ(_xlfn.ANCHORARRAY(M25))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nb.SumRowsλ(_xlfn.ANCHORARRAY(M33))</f>
        <v>7202</v>
      </c>
      <c r="M33" s="162" cm="1">
        <f t="array" ref="M33:X37">nb.ScheduleValuesByItemsλ(_xlfn.ANCHORARRAY(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nb.SumColsλ(_xlfn.ANCHORARRAY(M33))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nb.Cumulativeλ(_xlfn.ANCHORARRAY(M40))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nb.Timelineλ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nb.Amortiseλ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nb.Amortiseλ()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LabelAmortiseλ()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nb.LabelAmortiseλ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nb.SumAmortiseλ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nb.Timelineλ($B$25,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nb.ScheduleValuesλ(_xlfn.ANCHORARRAY(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nb.ScheduleValuesλ(_xlfn.ANCHORARRAY(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nb.SumColsλ(_xlfn.ANCHORARRAY(G25)-_xlfn.ANCHORARRAY(G26))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nb.Corkscrewλ(0,_xlfn.ANCHORARRAY(G25),-_xlfn.ANCHORARRAY(G26))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2" t="s">
        <v>272</v>
      </c>
      <c r="B16" s="302"/>
      <c r="C16" s="302"/>
    </row>
    <row r="17" spans="1:18" x14ac:dyDescent="0.25">
      <c r="F17" s="191" t="s">
        <v>279</v>
      </c>
      <c r="G17" s="165" cm="1">
        <f t="array" ref="G17:R17">nb.Timelineλ($B$19,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nb.ScheduleValuesλ(_xlfn.ANCHORARRAY(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nb.ScheduleValuesλ(_xlfn.ANCHORARRAY(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nb.Cumulativeλ(_xlfn.ANCHORARRAY(G21))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nb.Depreciateλ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nb.Depreciateλ()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balance at 200% of straight line.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nb.Timelineλ($B$38,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nb.SumContainsλ(_xlfn.ANCHORARRAY($L$46),_xlfn.ANCHORARRAY($J$46),J39)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nb.SumContainsλ(_xlfn.ANCHORARRAY($L$46),_xlfn.ANCHORARRAY($J$46),J40)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(nb is assumed to be the module's name)</v>
      </c>
      <c r="K11" s="233"/>
      <c r="L11" s="233"/>
      <c r="M11" s="316"/>
      <c r="N11" s="316"/>
      <c r="O11" s="316"/>
      <c r="P11" s="316"/>
      <c r="Q11" s="316"/>
      <c r="R11" s="316"/>
      <c r="S11" s="316"/>
      <c r="T11" s="316"/>
    </row>
    <row r="12" spans="1:20" x14ac:dyDescent="0.25">
      <c r="A12" t="str">
        <v/>
      </c>
      <c r="B12" t="str">
        <v>=nb.LabelDepreciateλ(tblAssets[Asset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(nb is assumed to be the module's name)</v>
      </c>
      <c r="K12" s="233"/>
      <c r="L12" s="233"/>
      <c r="M12" s="316"/>
      <c r="N12" s="316"/>
      <c r="O12" s="316"/>
      <c r="P12" s="316"/>
      <c r="Q12" s="316"/>
      <c r="R12" s="316"/>
      <c r="S12" s="316"/>
      <c r="T12" s="316"/>
    </row>
    <row r="13" spans="1:20" x14ac:dyDescent="0.25">
      <c r="A13" t="str">
        <v/>
      </c>
      <c r="B13" t="str">
        <v>=nb.SumDepreciateλ(DepreciationSchedule)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nb.SumContainsλ()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(nb is assumed to be the module's name)</v>
      </c>
      <c r="K15" s="233"/>
      <c r="L15" s="233"/>
      <c r="M15" s="234"/>
      <c r="N15" s="234"/>
      <c r="O15" s="234"/>
      <c r="P15" s="234"/>
      <c r="Q15" s="234"/>
      <c r="R15" s="234"/>
      <c r="S15" s="234"/>
      <c r="T15" s="234"/>
    </row>
    <row r="16" spans="1:20" x14ac:dyDescent="0.25">
      <c r="A16" t="str">
        <v/>
      </c>
      <c r="B16" t="str">
        <v>=nb.SumContainsλ(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nb.Timelineλ($B$21,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nb.SumContainsλ(_xlfn.ANCHORARRAY($L$29),_xlfn.ANCHORARRAY($J$29),J22)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nb.SumContainsλ(_xlfn.ANCHORARRAY($L$29),_xlfn.ANCHORARRAY($J$29),J23)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nb.IntOnIntλ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2" t="s">
        <v>272</v>
      </c>
      <c r="B17" s="302"/>
      <c r="C17" s="302"/>
    </row>
    <row r="18" spans="1:21" x14ac:dyDescent="0.25">
      <c r="I18" s="191" t="s">
        <v>279</v>
      </c>
      <c r="J18" s="165" cm="1">
        <f t="array" ref="J18:U18">nb.Timelineλ($B$20,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nb.IRRλ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2" t="s">
        <v>272</v>
      </c>
      <c r="B23" s="302"/>
      <c r="C23" s="302"/>
    </row>
    <row r="25" spans="1:17" x14ac:dyDescent="0.25">
      <c r="A25" s="161" t="s">
        <v>273</v>
      </c>
      <c r="B25" s="161" t="s">
        <v>138</v>
      </c>
      <c r="C25" s="161" t="s">
        <v>139</v>
      </c>
      <c r="E25" s="190" t="s">
        <v>316</v>
      </c>
      <c r="F25" s="1" cm="1">
        <f t="array" ref="F25:Q25">nb.Timelineλ($B$26,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nb.SumRowsλ(_xlfn.ANCHORARRAY(H21))</f>
        <v>-6297.5288985641391</v>
      </c>
      <c r="H21" s="162" cm="1">
        <f t="array" ref="H21:S21">nb.Reversalλ(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nb.Timelineλ($B$18,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nb.Movementλ(F18,_xlfn.ANCHORARRAY(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1,1.5,2,3,4</v>
      </c>
      <c r="B15" t="str">
        <v>=nb.RollingSumλ(SEQUENCE(,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nb.RollingSumλ(_xlfn.ANCHORARRAY(H20),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nb.SumPeriodsλ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(nb is assumed to be the module's name)</v>
      </c>
    </row>
    <row r="15" spans="1:17" x14ac:dyDescent="0.25">
      <c r="A15" t="str">
        <v>03, 07</v>
      </c>
      <c r="B15" t="str">
        <v>=nb.SumPeriodsλ({1,2,3,4;4,3,2,1;10,20,30,40},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nb.Timelineλ("1/1/2026",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nb.TimelineOffsetλ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nb.TimelineOffsetλ(A20,_xlfn.ANCHORARRAY(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nb.TimelineOffsetλ(A21,_xlfn.ANCHORARRAY(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nb.TimelineOffsetλ(A22,_xlfn.ANCHORARRAY(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nb.TimelineOffsetλ(A23,_xlfn.ANCHORARRAY(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nb.TimelineOffsetλ(A24,_xlfn.ANCHORARRAY(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nb.TimelineOffsetλ(A25,_xlfn.ANCHORARRAY(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nb.TimelinePositionλ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nb.Timelineλ("1/1/2026",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nb.AboutEssentialsλ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nb.AboutEssentialsλ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nb.CountCλ(B17,C17)</f>
        <v>5</v>
      </c>
      <c r="E17" t="s">
        <v>399</v>
      </c>
    </row>
    <row r="18" spans="2:5" x14ac:dyDescent="0.25">
      <c r="B18" s="121" t="s">
        <v>393</v>
      </c>
      <c r="C18" s="174" t="s">
        <v>144</v>
      </c>
      <c r="D18" s="162" cm="1">
        <f t="array" ref="D18">nb.CountCλ(B18,C18)</f>
        <v>1</v>
      </c>
      <c r="E18" t="s">
        <v>400</v>
      </c>
    </row>
    <row r="19" spans="2:5" x14ac:dyDescent="0.25">
      <c r="B19" s="121" t="s">
        <v>393</v>
      </c>
      <c r="C19" s="174" t="s">
        <v>395</v>
      </c>
      <c r="D19" s="162" cm="1">
        <f t="array" ref="D19">nb.CountCλ(B19,C19)</f>
        <v>2</v>
      </c>
    </row>
    <row r="20" spans="2:5" x14ac:dyDescent="0.25">
      <c r="B20" s="121" t="s">
        <v>393</v>
      </c>
      <c r="C20" s="174" t="s">
        <v>396</v>
      </c>
      <c r="D20" s="162" cm="1">
        <f t="array" ref="D20">nb.CountCλ(B20,C20)</f>
        <v>3</v>
      </c>
    </row>
    <row r="21" spans="2:5" x14ac:dyDescent="0.25">
      <c r="B21" s="121" t="s">
        <v>393</v>
      </c>
      <c r="C21" s="174" t="s">
        <v>397</v>
      </c>
      <c r="D21" s="162" cm="1">
        <f t="array" ref="D21">nb.CountCλ(B21,C21)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nb.Timelineλ($B$20,$B$21,$B$22)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nb.SumColsλ(_xlfn.ANCHORARRAY(G20))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nb.SumColsλ(_xlfn.ANCHORARRAY(H17))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nb.SumColsλ(_xlfn.ANCHORARRAY(G17))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nb.AvgColsλ(_xlfn.ANCHORARRAY(H17))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nb.SumColsλ(_xlfn.ANCHORARRAY(G17))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nb.MinColsλ(_xlfn.ANCHORARRAY(H17))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nb.SumColsλ(_xlfn.ANCHORARRAY(G17))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nb.MaxColsλ(_xlfn.ANCHORARRAY(H17))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nb.CountColsλ(_xlfn.ANCHORARRAY(G17))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nb.CountColsλ(_xlfn.ANCHORARRAY(G17))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nb.IsBetweenEλ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nb.SumColsλ(_xlfn.ANCHORARRAY(G21))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nb.RangeToDAEλ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nb.RangeToDAEλ()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nb.Timelineλ($B$21,$B$22,$B$23)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nb.FinancialRatios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nb.CurrentRatioλ( 134.836, 125.481)</f>
        <v>1.0745531195957956</v>
      </c>
      <c r="B14" t="str">
        <f t="shared" ref="B14:B20" si="0">_xlfn.FORMULATEXT(A14)</f>
        <v>=nb.CurrentRatioλ( 134.836, 125.481)</v>
      </c>
      <c r="D14" t="s">
        <v>462</v>
      </c>
      <c r="E14" t="s">
        <v>463</v>
      </c>
    </row>
    <row r="15" spans="1:11" x14ac:dyDescent="0.25">
      <c r="A15" s="269" cm="1">
        <f t="array" ref="A15">nb.QuickRatioλ(165000,137500)</f>
        <v>1.2</v>
      </c>
      <c r="B15" t="str">
        <f t="shared" si="0"/>
        <v>=nb.QuickRatioλ(165000,137500)</v>
      </c>
      <c r="D15" t="s">
        <v>464</v>
      </c>
      <c r="E15" t="s">
        <v>465</v>
      </c>
    </row>
    <row r="16" spans="1:11" x14ac:dyDescent="0.25">
      <c r="A16" s="269" cm="1">
        <f t="array" ref="A16">nb.CashRatioλ( 63900000, 123500000)</f>
        <v>0.51740890688259111</v>
      </c>
      <c r="B16" t="str">
        <f t="shared" si="0"/>
        <v>=nb.CashRatioλ( 63900000, 123500000)</v>
      </c>
      <c r="D16" t="s">
        <v>466</v>
      </c>
      <c r="E16" t="s">
        <v>467</v>
      </c>
    </row>
    <row r="17" spans="1:5" x14ac:dyDescent="0.25">
      <c r="A17" s="269" cm="1">
        <f t="array" ref="A17">nb.OperatingCashFlowRatioλ( 27.8, 77.5)</f>
        <v>0.35870967741935483</v>
      </c>
      <c r="B17" t="str">
        <f t="shared" si="0"/>
        <v>=nb.OperatingCashFlowRatioλ( 27.8, 77.5)</v>
      </c>
      <c r="D17" t="s">
        <v>466</v>
      </c>
      <c r="E17" t="s">
        <v>468</v>
      </c>
    </row>
    <row r="18" spans="1:5" x14ac:dyDescent="0.25">
      <c r="A18" s="269" cm="1">
        <f t="array" ref="A18">nb.ReceivablesTurnoverRatioλ( 800000, 68000 )</f>
        <v>11.764705882352942</v>
      </c>
      <c r="B18" t="str">
        <f t="shared" si="0"/>
        <v>=nb.ReceivablesTurnoverRatioλ( 800000, 68000 )</v>
      </c>
      <c r="D18" t="s">
        <v>469</v>
      </c>
      <c r="E18" t="s">
        <v>470</v>
      </c>
    </row>
    <row r="19" spans="1:5" x14ac:dyDescent="0.25">
      <c r="A19" s="269" cm="1">
        <f t="array" ref="A19">nb.InventoryTurnoverRatioλ( 429, 50.7)</f>
        <v>8.4615384615384617</v>
      </c>
      <c r="B19" t="str">
        <f t="shared" si="0"/>
        <v>=nb.InventoryTurnoverRatioλ( 429, 50.7)</v>
      </c>
      <c r="D19" t="s">
        <v>471</v>
      </c>
      <c r="E19" t="s">
        <v>472</v>
      </c>
    </row>
    <row r="20" spans="1:5" x14ac:dyDescent="0.25">
      <c r="A20" s="269" cm="1">
        <f t="array" ref="A20">nb.WorkingCapitalTurnoverRatioλ( 12, 2)</f>
        <v>6</v>
      </c>
      <c r="B20" t="str">
        <f t="shared" si="0"/>
        <v>=nb.WorkingCapitalTurnoverRatioλ( 12,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nb.DebtRatioλ(30000000, 100000000)</f>
        <v>0.3</v>
      </c>
      <c r="B23" t="str">
        <f>_xlfn.FORMULATEXT(A23)</f>
        <v>=nb.DebtRatioλ(30000000, 100000000)</v>
      </c>
      <c r="D23" t="s">
        <v>475</v>
      </c>
      <c r="E23" t="s">
        <v>476</v>
      </c>
    </row>
    <row r="24" spans="1:5" x14ac:dyDescent="0.25">
      <c r="A24" s="269" cm="1">
        <f t="array" ref="A24">nb.DSCRλ(2150000, 350000)</f>
        <v>6.1428571428571432</v>
      </c>
      <c r="B24" t="str">
        <f>_xlfn.FORMULATEXT(A24)</f>
        <v>=nb.DSCRλ(2150000, 350000)</v>
      </c>
      <c r="D24" t="s">
        <v>477</v>
      </c>
      <c r="E24" t="s">
        <v>478</v>
      </c>
    </row>
    <row r="25" spans="1:5" x14ac:dyDescent="0.25">
      <c r="A25" s="269" cm="1">
        <f t="array" ref="A25">nb.DebtToCapitalRatioλ( 80000000, 223000000 )</f>
        <v>0.264026402640264</v>
      </c>
      <c r="B25" t="str">
        <f>_xlfn.FORMULATEXT(A25)</f>
        <v>=nb.DebtToCapitalRatioλ( 80000000, 223000000 )</v>
      </c>
      <c r="D25" t="s">
        <v>479</v>
      </c>
      <c r="E25" t="s">
        <v>480</v>
      </c>
    </row>
    <row r="26" spans="1:5" x14ac:dyDescent="0.25">
      <c r="A26" s="198" cm="1">
        <f t="array" ref="A26">nb.EquityMultiplierλ(366.6, 83.2 )</f>
        <v>4.40625</v>
      </c>
      <c r="B26" t="str">
        <f>_xlfn.FORMULATEXT(A26)</f>
        <v>=nb.EquityMultiplierλ(366.6,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nb.DebtToEquityRatioλ(279, 74 )</f>
        <v>3.7702702702702702</v>
      </c>
      <c r="B29" t="str">
        <f>_xlfn.FORMULATEXT(A29)</f>
        <v>=nb.DebtToEquityRatioλ(279, 74 )</v>
      </c>
      <c r="D29" t="s">
        <v>483</v>
      </c>
      <c r="E29" t="s">
        <v>484</v>
      </c>
    </row>
    <row r="30" spans="1:5" x14ac:dyDescent="0.25">
      <c r="A30" s="269" cm="1">
        <f t="array" ref="A30">nb.DebtToAssetRatioλ(31.845, 63.852 )</f>
        <v>0.4987314414583725</v>
      </c>
      <c r="B30" t="str">
        <f t="shared" ref="B30:B32" si="1">_xlfn.FORMULATEXT(A30)</f>
        <v>=nb.DebtToAssetRatioλ(31.845, 63.852 )</v>
      </c>
      <c r="D30" t="s">
        <v>485</v>
      </c>
      <c r="E30" t="s">
        <v>486</v>
      </c>
    </row>
    <row r="31" spans="1:5" x14ac:dyDescent="0.25">
      <c r="A31" s="269" cm="1">
        <f t="array" ref="A31">nb.InterestCoverageRatioλ( 625, 90 )</f>
        <v>6.9444444444444446</v>
      </c>
      <c r="B31" t="str">
        <f t="shared" si="1"/>
        <v>=nb.InterestCoverageRatioλ( 625, 90 )</v>
      </c>
      <c r="D31" t="s">
        <v>487</v>
      </c>
      <c r="E31" t="s">
        <v>488</v>
      </c>
    </row>
    <row r="32" spans="1:5" x14ac:dyDescent="0.25">
      <c r="A32" s="269" cm="1">
        <f t="array" ref="A32">nb.EquityRatioλ( 20, 60, 10 )</f>
        <v>0.4</v>
      </c>
      <c r="B32" t="str">
        <f t="shared" si="1"/>
        <v>=nb.EquityRatioλ( 20,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nb.AssetTurnoverRatioλ( 171760, 538715 )</f>
        <v>0.31883277799949883</v>
      </c>
      <c r="B35" t="str">
        <f t="shared" ref="B35:B37" si="2">_xlfn.FORMULATEXT(A35)</f>
        <v>=nb.AssetTurnoverRatioλ( 171760, 538715 )</v>
      </c>
      <c r="D35" t="s">
        <v>491</v>
      </c>
      <c r="E35" t="s">
        <v>492</v>
      </c>
    </row>
    <row r="36" spans="1:5" x14ac:dyDescent="0.25">
      <c r="A36" s="269" cm="1">
        <f t="array" ref="A36">nb.DSIλ(54.9, 490 )</f>
        <v>40.894897959183673</v>
      </c>
      <c r="B36" t="str">
        <f t="shared" si="2"/>
        <v>=nb.DSIλ(54.9, 490 )</v>
      </c>
      <c r="D36" t="s">
        <v>493</v>
      </c>
      <c r="E36" t="s">
        <v>494</v>
      </c>
    </row>
    <row r="37" spans="1:5" x14ac:dyDescent="0.25">
      <c r="A37" s="269" cm="1">
        <f t="array" ref="A37">nb.OperatingRatioλ( 14.37, 48.48, 90.75 )</f>
        <v>0.69256198347107434</v>
      </c>
      <c r="B37" t="str">
        <f t="shared" si="2"/>
        <v>=nb.OperatingRatioλ( 14.37,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nb.GrossMarginλ( 62984, 102007 )</f>
        <v>0.61744782220827987</v>
      </c>
      <c r="B40" t="str">
        <f t="shared" ref="B40:B46" si="3">_xlfn.FORMULATEXT(A40)</f>
        <v>=nb.GrossMarginλ( 62984, 102007 )</v>
      </c>
      <c r="D40" t="s">
        <v>497</v>
      </c>
      <c r="E40" t="s">
        <v>498</v>
      </c>
    </row>
    <row r="41" spans="1:5" x14ac:dyDescent="0.25">
      <c r="A41" s="269" cm="1">
        <f t="array" ref="A41">nb.EBITDAMarginλ( 15, 125 )</f>
        <v>0.12</v>
      </c>
      <c r="B41" t="str">
        <f t="shared" si="3"/>
        <v>=nb.EBITDAMarginλ( 15, 125 )</v>
      </c>
      <c r="D41" t="s">
        <v>499</v>
      </c>
      <c r="E41" t="s">
        <v>500</v>
      </c>
    </row>
    <row r="42" spans="1:5" x14ac:dyDescent="0.25">
      <c r="A42" s="198" cm="1">
        <f t="array" ref="A42">nb.OperatingMarginλ( 0.8, 2 )</f>
        <v>0.4</v>
      </c>
      <c r="B42" t="str">
        <f t="shared" si="3"/>
        <v>=nb.OperatingMarginλ( 0.8, 2 )</v>
      </c>
      <c r="D42" t="s">
        <v>501</v>
      </c>
      <c r="E42" t="s">
        <v>502</v>
      </c>
    </row>
    <row r="43" spans="1:5" x14ac:dyDescent="0.25">
      <c r="A43" s="198" cm="1">
        <f t="array" ref="A43">nb.PretaxMarginλ( 40, 500 )</f>
        <v>0.08</v>
      </c>
      <c r="B43" t="str">
        <f t="shared" si="3"/>
        <v>=nb.PretaxMarginλ( 40, 500 )</v>
      </c>
      <c r="D43" t="s">
        <v>503</v>
      </c>
      <c r="E43" t="s">
        <v>504</v>
      </c>
    </row>
    <row r="44" spans="1:5" x14ac:dyDescent="0.25">
      <c r="A44" s="198" cm="1">
        <f t="array" ref="A44">nb.NetProfitMarginλ( 56, 100 )</f>
        <v>0.56000000000000005</v>
      </c>
      <c r="B44" t="str">
        <f t="shared" si="3"/>
        <v>=nb.NetProfitMarginλ( 56, 100 )</v>
      </c>
      <c r="D44" t="s">
        <v>505</v>
      </c>
      <c r="E44" t="s">
        <v>506</v>
      </c>
    </row>
    <row r="45" spans="1:5" x14ac:dyDescent="0.25">
      <c r="A45" s="198" cm="1">
        <f t="array" ref="A45">nb.CashFlowMarginλ( 2.695, 5.3 )</f>
        <v>0.50849056603773579</v>
      </c>
      <c r="B45" t="str">
        <f t="shared" si="3"/>
        <v>=nb.CashFlowMarginλ( 2.695, 5.3 )</v>
      </c>
      <c r="D45" t="s">
        <v>507</v>
      </c>
      <c r="E45" t="s">
        <v>508</v>
      </c>
    </row>
    <row r="46" spans="1:5" x14ac:dyDescent="0.25">
      <c r="A46" s="198" cm="1">
        <f t="array" ref="A46">nb.ROAλ(1200, 15000 )</f>
        <v>0.08</v>
      </c>
      <c r="B46" t="str">
        <f t="shared" si="3"/>
        <v>=nb.ROAλ(1200, 15000 )</v>
      </c>
      <c r="D46" t="s">
        <v>509</v>
      </c>
      <c r="E46" t="s">
        <v>510</v>
      </c>
    </row>
    <row r="47" spans="1:5" x14ac:dyDescent="0.25">
      <c r="A47" s="198" cm="1">
        <f t="array" ref="A47">nb.ROEλ( 59.972, AVERAGE(251.635, 256.144) )</f>
        <v>0.23621299817440264</v>
      </c>
      <c r="B47" t="str">
        <f>_xlfn.FORMULATEXT(A47)</f>
        <v>=nb.ROEλ( 59.972, AVERAGE(251.635, 256.144) )</v>
      </c>
      <c r="D47" t="s">
        <v>511</v>
      </c>
      <c r="E47" t="s">
        <v>512</v>
      </c>
    </row>
    <row r="48" spans="1:5" x14ac:dyDescent="0.25">
      <c r="A48" s="198" cm="1">
        <f t="array" ref="A48">nb.ROIλ( 2875, 10000 )</f>
        <v>0.28749999999999998</v>
      </c>
      <c r="B48" t="str">
        <f>_xlfn.FORMULATEXT(A48)</f>
        <v>=nb.ROIλ( 2875, 10000 )</v>
      </c>
      <c r="D48" t="s">
        <v>513</v>
      </c>
      <c r="E48" t="s">
        <v>514</v>
      </c>
    </row>
    <row r="49" spans="1:5" x14ac:dyDescent="0.25">
      <c r="A49" s="198" cm="1">
        <f t="array" ref="A49">nb.ROICλ( 3245, 25729 )</f>
        <v>0.12612227447627192</v>
      </c>
      <c r="B49" t="str">
        <f>_xlfn.FORMULATEXT(A49)</f>
        <v>=nb.ROICλ( 3245,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nb.PriceEarningsRatioλ( 242.62, 16.85)</f>
        <v>14.39881305637982</v>
      </c>
      <c r="B52" t="str">
        <f>_xlfn.FORMULATEXT(A52)</f>
        <v>=nb.PriceEarningsRatioλ( 242.62, 16.85)</v>
      </c>
      <c r="D52" t="s">
        <v>517</v>
      </c>
      <c r="E52" t="s">
        <v>518</v>
      </c>
    </row>
    <row r="53" spans="1:5" x14ac:dyDescent="0.25">
      <c r="A53" s="269" cm="1">
        <f t="array" ref="A53">nb.PriceToBookRatioλ( 5, 2.5 )</f>
        <v>2</v>
      </c>
      <c r="B53" t="str">
        <f>_xlfn.FORMULATEXT(A53)</f>
        <v>=nb.PriceToBookRatioλ( 5, 2.5 )</v>
      </c>
      <c r="D53" t="s">
        <v>519</v>
      </c>
      <c r="E53" t="s">
        <v>520</v>
      </c>
    </row>
    <row r="54" spans="1:5" x14ac:dyDescent="0.25">
      <c r="A54" s="269" cm="1">
        <f t="array" ref="A54">nb.PriceToSalesRatioλ( 455, 100 )</f>
        <v>4.55</v>
      </c>
      <c r="B54" t="str">
        <f>_xlfn.FORMULATEXT(A54)</f>
        <v>=nb.PriceToSalesRatioλ( 455, 100 )</v>
      </c>
      <c r="D54" t="s">
        <v>521</v>
      </c>
      <c r="E54" t="s">
        <v>522</v>
      </c>
    </row>
    <row r="55" spans="1:5" x14ac:dyDescent="0.25">
      <c r="A55" s="269" cm="1">
        <f t="array" ref="A55">nb.PriceToCashRatioλ( 200, 100 )</f>
        <v>2</v>
      </c>
      <c r="B55" t="str">
        <f>_xlfn.FORMULATEXT(A55)</f>
        <v>=nb.PriceToCashRatioλ( 200, 100 )</v>
      </c>
      <c r="D55" t="s">
        <v>523</v>
      </c>
      <c r="E55" t="s">
        <v>524</v>
      </c>
    </row>
    <row r="56" spans="1:5" x14ac:dyDescent="0.25">
      <c r="A56" s="268" cm="1">
        <f t="array" ref="A56">nb.BVPSλ(20, 5, AVERAGE( 2.9, 3.1) )</f>
        <v>5</v>
      </c>
      <c r="B56" t="str">
        <f t="shared" ref="B56:B58" si="4">_xlfn.FORMULATEXT(A56)</f>
        <v>=nb.BVPSλ(20, 5, AVERAGE( 2.9, 3.1) )</v>
      </c>
      <c r="D56" t="s">
        <v>525</v>
      </c>
      <c r="E56" t="s">
        <v>526</v>
      </c>
    </row>
    <row r="57" spans="1:5" x14ac:dyDescent="0.25">
      <c r="A57" s="269" cm="1">
        <f t="array" ref="A57">nb.CAPERatioλ( 100, 10  )</f>
        <v>10</v>
      </c>
      <c r="B57" t="str">
        <f t="shared" si="4"/>
        <v>=nb.CAPERatioλ( 100, 10  )</v>
      </c>
      <c r="D57" t="s">
        <v>527</v>
      </c>
      <c r="E57" t="s">
        <v>528</v>
      </c>
    </row>
    <row r="58" spans="1:5" x14ac:dyDescent="0.25">
      <c r="A58" s="269" cm="1">
        <f t="array" ref="A58">nb.DPRλ( 5, 20 )</f>
        <v>0.25</v>
      </c>
      <c r="B58" t="str">
        <f t="shared" si="4"/>
        <v>=nb.DPRλ( 5, 20 )</v>
      </c>
      <c r="D58" t="s">
        <v>529</v>
      </c>
      <c r="E58" t="s">
        <v>530</v>
      </c>
    </row>
    <row r="59" spans="1:5" x14ac:dyDescent="0.25">
      <c r="A59" s="269" cm="1">
        <f t="array" ref="A59">nb.DividendYieldRatioλ( 1.2, 45 )</f>
        <v>2.6666666666666665E-2</v>
      </c>
      <c r="B59" t="str">
        <f>_xlfn.FORMULATEXT(A59)</f>
        <v>=nb.DividendYieldRatioλ( 1.2, 45 )</v>
      </c>
      <c r="D59" t="s">
        <v>531</v>
      </c>
      <c r="E59" t="s">
        <v>532</v>
      </c>
    </row>
    <row r="60" spans="1:5" x14ac:dyDescent="0.25">
      <c r="A60" s="269" cm="1">
        <f t="array" ref="A60">nb.EPSλ( 7.6, 0, 3.98 )</f>
        <v>1.9095477386934672</v>
      </c>
      <c r="B60" t="str">
        <f t="shared" ref="B60:B61" si="5">_xlfn.FORMULATEXT(A60)</f>
        <v>=nb.EPSλ( 7.6, 0, 3.98 )</v>
      </c>
      <c r="D60" t="s">
        <v>533</v>
      </c>
      <c r="E60" t="s">
        <v>534</v>
      </c>
    </row>
    <row r="61" spans="1:5" x14ac:dyDescent="0.25">
      <c r="A61" s="269" cm="1">
        <f t="array" ref="A61">nb.RetentionRatioλ( 41.981, 22.112)</f>
        <v>1.898561866859624</v>
      </c>
      <c r="B61" t="str">
        <f t="shared" si="5"/>
        <v>=nb.RetentionRatioλ( 41.981,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balance at 200% of straight line</t>
        </is>
      </c>
      <c r="B8" s="320" cm="1">
        <f t="array" ref="B8:F8">nb.DiminishingValueλ($A$6,$B$6)</f>
      </c>
    </row>
    <row r="9">
      <c r="A9" s="0" t="inlineStr">
        <is>
          <t>Straight line, whole years</t>
        </is>
      </c>
      <c r="B9" s="320" cm="1">
        <f t="array" ref="B9:F9">nb.PrimeCostλ($A$6,$B$6)</f>
      </c>
    </row>
    <row r="10">
      <c r="A10" s="0" t="inlineStr">
        <is>
          <t>Total written off, diminishing balance</t>
        </is>
      </c>
      <c r="B10" s="320">
        <f>SUM(_xlfn.ANCHORARRAY(B8))</f>
      </c>
    </row>
    <row r="11">
      <c r="A11" s="0" t="inlineStr">
        <is>
          <t>Total written off, straight line</t>
        </is>
      </c>
      <c r="B11" s="320">
        <f>SUM(_xlfn.ANCHORARRAY(B9))</f>
      </c>
    </row>
    <row r="12">
      <c r="A12" s="0" t="inlineStr">
        <is>
          <t>Both totals equal the cost above for any effective life, including part years such as 6 2/3 and lives under 2 years, because the diminishing-balance schedule writes its residual off in the final period.</t>
        </is>
      </c>
    </row>
    <row r="13">
      <c r="A13" s="0" t="inlineStr">
        <is>
          <t>Modelling schedules, not tax calculations: no acquisition date, no income year, no days held, no disposal. Do not use them to prepare a return.</t>
        </is>
      </c>
    </row>
    <row r="14">
      <c r="A14" s="319" t="inlineStr">
        <is>
          <t>GST</t>
        </is>
      </c>
    </row>
    <row r="15">
      <c r="A15" s="319" t="inlineStr">
        <is>
          <t>GST-exclusive amount</t>
        </is>
      </c>
      <c r="B15" s="319" t="inlineStr">
        <is>
          <t>Plus GST</t>
        </is>
      </c>
    </row>
    <row r="16">
      <c r="A16" s="320">
        <v>1000</v>
      </c>
      <c r="B16" s="320" cm="1">
        <f t="array" ref="B16:B16">nb.GSTAddλ(A16)</f>
      </c>
    </row>
    <row r="18">
      <c r="A18" s="319" t="inlineStr">
        <is>
          <t>GST-inclusive amount</t>
        </is>
      </c>
      <c r="B18" s="319" t="inlineStr">
        <is>
          <t>GST included</t>
        </is>
      </c>
    </row>
    <row r="19">
      <c r="A19" s="320">
        <v>1100</v>
      </c>
      <c r="B19" s="320" cm="1">
        <f t="array" ref="B19:B19">nb.GSTExtractλ(A19)</f>
      </c>
    </row>
    <row r="21">
      <c r="A21" s="319" t="inlineStr">
        <is>
          <t>FINANCIAL YEAR</t>
        </is>
      </c>
    </row>
    <row r="22">
      <c r="A22" s="319" t="inlineStr">
        <is>
          <t>Date</t>
        </is>
      </c>
      <c r="B22" s="319" t="inlineStr">
        <is>
          <t>Financial year</t>
        </is>
      </c>
    </row>
    <row r="23">
      <c r="A23" s="321">
        <v>46203</v>
      </c>
      <c r="B23" s="0" cm="1">
        <f t="array" ref="B23:B26">nb.FinancialYearλ(A23:A26)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QAYQB0AGUALAAgAFwAIgB5AHkAeQB5AC0AbQBtAG0ALQBkAGQAXAAiACkALABcAG4AIAAgACAAIAAgACAAIAAgACAAIAAgACAAIAAgACAAIAAgACAAIAAgACAAIAAgACAAXAAiAFcAXAAiACwAIABZAEUAQQBSACgARABhAHQAZQApACAAJgAgAFwAIgA6AFcAXAAiACAAJgAgAFQARQBYAFQAKABRAFUATwBUAEkARQBOAFQAKABEAGEAdABlACAALQAgAEQAQQBUAEUAKABZAEUAQQBSACgARABhAHQAZQApACwAIAAxACwAIAAwACkAIAAtACAAMQAsACAANwApACAAKwAgADEALAAgAFwAIgAwADAAXAAiACkALABcAG4AIAAgACAAIAAgACAAIAAgACAAIAAgACAAIAAgACAAIAAgACAAIAAgACAAIAAgACAAXAAiAEkAXAAiACwAIABZAEUAQQBSACgARABhAHQAZQApACAAJgAgAFwAIgA6AFcAXAAiACAAJgAgAFQARQBYAFQAKABJAFMATwBXAEUARQBLAE4AVQBNACgARABhAHQAZQApACwAIABcACIAMAAwAFwAIgApACwAXABuACAAIAAgACAAIAAgACAAIAAgACAAIAAgACAAIAAgACAAIAAgACAAIAAgACAAIAAgAFwAIgBNAFwAIgAsACAAVABFAFgAVAAoAEQAYQB0AGUALAAgAFwAIgBZAFkAWQBZAC0ATQBNAE0AXAAiACkALABcAG4AIAAgACAAIAAgACAAIAAgACAAIAAgACAAIAAgACAAIAAgACAAIAAgACAAIAAgACAAXAAiAFEAXAAiACwAIABZAEUAQQBSACgARABhAHQAZQApACAAJgAgAFwAIgA6AFEAXAAiACAAJgAgAFEAVQBPAFQASQBFAE4AVAAoAE0ATwBOAFQASAAoAEQAYQB0AGUAKQAgAC0AIAAxACwAIAAzACkAIAArACAAMQAsAFwAbgAgACAAIAAgACAAIAAgACAAIAAgACAAIAAgACAAIAAgACAAIAAgACAAIAAgACAAIABcACIAUwBcACIALAAgAFkARQBBAFIAKABEAGEAdABlACkAIAAmACAAXAAiADoAUwBcACIAIAAmACAAUQBVAE8AVABJAEUATgBUACgATQBPAE4AVABIACgARABhAHQAZQApACAALQAgADEALAAgADYAKQAgACsAIAAxACwAXABuACAAIAAgACAAIAAgACAAIAAgACAAIAAgACAAIAAgACAAIAAgACAAIAAgACAAIAAgAFwAIgBBAFwAIgAsACAAVABFAFgAVAAoAEQAYQB0AGUALAAgAFwAIgBZAFkAWQBZAFwAIgApACwAXABuACAAIAAgACAAIAAgACAAIAAgACAAIAAgACAAIAAgACAAIAAgACAAIAAgACAAIAAgAFwAIgBZAFwAIgAsACAAVABFAFgAVAAo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RQBuAGQAIABEAGEAdABlACAAaQBzACAAaQBuAGMAbAB1AHMAaQB2AGUAtgBcACIAIAAmACAAXABuACAAIAAgACAAIAAgACAAIAAgACAAIAAgACAAIAAgACAAIAAgACAAIAAgACAAIAAgACAAIAAgACAAIAAgACAAIAAgACAAIAAgACAAIAAgAFwAIgCSISoAIABSAGUAdAB1AHIAbgBzACAAbgBlAGcAYQB0AGkAdgBlACAAdgBhAGwAdQBlAHMAIABpAGYAIABEAGEAdABlADEAIABpAHMAIABhAGYAdABlAHIAIABEAGEAdABlADIAtgBcACIAIAAmACAAXABu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FMAdABhAHIAdABzACAAIAAgACAAIAAgACAAIAAgAJIhKABSAGUAcQB1AGkAcgBlAGQAKQAgAEYAaQByAHMAdAAgAGQAYQB0AGUAIAAoAG4AbwByAG0AYQBsAGwAeQAgAG8AbABkAGUAcgApAC4AIABUAGgAaQBzACAAYwBhAG4AIABiAGUAIABhACAAcwBpAG4AZwBsAGUAIABuAHUAbQBiAGUAcgAgAG8AcgAgAGEAcgByAGEAeQAuALYAXAAiACAAJgBcAG4AIAAgACAAIAAgACAAIAAgACAAIAAgACAAIAAgACAAIAAgACAAIAAgACAAIAAgACAAXAAiAEUAbgBkAHMAIAAgACAAIAAgACAAIAAgACAAIAAgAJIhKABSAGUAcQB1AGkAcgBlAGQAKQAgAFMAZQBjAG8AbgBkACAAZABhAHQAZQAgACgAbgBvAHIAbQBhAGwAbAB5ACAAbgBlAHcAZQByACkALgAgAFQAaABpAHMAIABtAHUAcwB0ACAAYgBlACAAdABoAGUAIABzAGEAbQBlACAAcwBoAGEAcABlACAAKAAjACAAbwBmACAAcgBvAHcAcwAgACYAIABjAG8AbAB1AG0AbgBzACkAIABhAHMAIABEAGEAdABlADEALgC2AFwAIgAgACYAXABuACAAIAAgACAAIAAgACAAIAAgACAAIAAgACAAIAAgACAAIAAgACAAIAAgACAAIAAgAFwAIgBJAG4AdABlAHIAdgBhAGwAcwAgACAAIAAgACAAIACSISgATwBwAHQAaQBvAG4AYQBsACkAIABEAGEAeQBzACwAIABXAGUAZQBrAHMALAAgAE0AbwBuAHQAaABzACAAKABkAGUAZgBhAHUAbAB0ACkALAAgAFEAdQBhAHIAdABlAHIAcwAsACAAbwByACAAWQBlAGEAcgBzACAAKABEACwAIABXACwAIABNACwAIABRACwAIABZACk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IAIAAgACAAIAAgACAAIAAgACAAIAAgACAAIAAgAJIhPQBuAGIALgBQAGUAcgBpAG8AZABzALsDKABcACIAXAAiADMAMQAvADMALwAyADAAMgA1AFwAIgBcACIALAAgAFwAIgBcACIAMQA1AC8ANQAvADIAMAAyADUAXAAiAFwAIgApALYAXAAiACAAJgBcAG4AIAAgACAAIAAgACAAIAAgACAAIAAgACAAIAAgACAAIAAgACAAIAAgACAAIAAgACAAXAAiAC0AMgAgACAAIAAgACAAIAAgACAAIAAgACAAIAAgAJIhPQBuAGIALgBQAGUAcgBpAG8AZABzALsDKABcACIAXAAiADEANQAvADUALwAyADAAMgA1AFwAIgBcACIALAAgAFwAIgBcACIAMwAxAC8AMwAvADIAMAAyADUAXAAiAFwAIgApALYAXAAiACAAJgBcAG4AIAAgACAAIAAgACAAIAAgACAAIAAgACAAIAAgACAAIAAgACAAIAAgACAAIAAgACAAXAAiAC0AMQAyACAAIAAgACAAIAAgACAAIAAgACAAIAAgAJIhPQBuAGI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IALgBQAGUAcgBpAG8AZABzALsDKABcACIAXAAiADEANQAvADEALwAyADAAMgA2AFwAIgBcACIALAAgAFwAIgBcACIAMQA2AC8AMQAvADIAMAAyADU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vAC8AIAAgAFAAcgBvAGMAZQBkAHUAcgBlAFwAbgAgACAAIAAgACAAIAAgACAAUgBvAHcAcwAsACAAIAAgACAAIAAgACAATQBBAFgAKAAgAFIATwBXAFMAKAAgAEMAdgB0AFMAdABhAHIAdABzACkALAAgAFIATwBXAFMAKAAgAEMAdgB0AEUAbgBkAHMAKQApACwAIABcAG4AIAAgACAAIAAgACAAIAAgAEMAbwBsAHMALAAgACAAIAAgACAAIAAgAE0AQQBYACgAIABDAE8ATABVAE0ATgBTACgAIABDAHYAdABTAHQAYQByAHQAcwApACwAIABDAE8ATABVAE0ATgBTACgAIABDAHYAdABFAG4AZABzACkAKQAsACAAXABuACAAIAAgACAAIAAgACAAIABSAGUAcwB1AGwAdAAsACAAIAAgACAAIABNAEEASwBFAEEAUgBSAEEAWQAoAFIAbwB3AHMALAAgAEMAbwBsAHMALAAgAFwAbgAgACAAIAAgACAAIAAgACAAIAAgACAAIAAgACAAIAAgACAAIAAgACAAIAAgACAAIABMAEEATQBCAEQAQQAoAFIALAAgAEMALAAgAFwAbgAgACAAIAAgACAAIAAgACAAIAAgACAAIAAgACAAIAAgACAAIAAgACAAIAAgACAAIAAgACAAIAAgAEwARQBUACgARABhAHQAZQBPAG4AZQAsACAAIAAgACAASQBGACgAIABDAE8AVQBOAFQAQQAoACAAQwB2AHQAUwB0AGEAcgB0AHMAKQAgAD0AIAAxACwAIABDAHYAdABTAHQAYQByAHQAcwAsACAASQBOAEQARQBYACgAIABDAHYAdABTAHQAYQByAHQAcwAsACAAUgAsACAAQwApACkALAAgAFwAbgAgACAAIAAgACAAIAAgACAAIAAgACAAIAAgACAAIAAgACAAIAAgACAAIAAgACAAIAAgACAAIAAgACAAIAAgACAARABhAHQAZQBUAHcAbwAsACAAIAAgACAASQBGACgAIABDAE8AVQBOAFQAQQAoACAAQwB2AHQARQBuAGQAcwApACAAPQAgADEALAAgAEMAdgB0AEUAbgBkAHMALAAgAEkATgBEAEUAWAAoACAAQwB2AHQARQBuAGQAcwAsACAAUgAsACAAQwApACkALABcAG4AIAAgACAAIAAgACAAIAAgACAAIAAgACAAIAAgACAAIAAgACAAIAAgACAAIAAgACAAIAAgACAAIAAgACAAIAAgAEkAbgB0AGUAcgB2AGEAbAAsACAAIAAgAEkARgAoACAAQwBPAFUATgBUAEEAKAAgAEkAbgB0AGUAcgB2AGEAbABzACkAIAA9ACAAMQAsACAASQBuAHQAZQByAHYAYQBsAHMALAAgAEkATgBEAEUAWAAoACAASQBuAHQAZQByAHYAYQBsAHMALAAgAFIALAAgAEMAKQApACwAXABuACAAIAAgACAAIAAgACAAIAAgACAAIAAgACAAIAAgACAAIAAgACAAIAAgACAAIAAgACAAIAAgACAAIAAgACAAIABFAGEAcgBsAGkAZQBzAHQALAAgACAAIABNAEkATgAoAEQAYQB0AGUATwBuAGUALAAgAEQAYQB0AGUAVAB3AG8AKQAsAFwAbgAgACAAIAAgACAAIAAgACAAIAAgACAAIAAgACAAIAAgACAAIAAgACAAIAAgACAAIAAgACAAIAAgACAAIAAgACAATABhAHQAZQBzAHQALAAgACAAIAAgACAATQBBAFgAKABEAGEAdABlAE8AbgBlACwAIABEAGEAdABlAFQAdwBvACkAIAAsACAALwAvACsAIAAxACwAXABuACAAIAAgACAAIAAgACAAIAAgACAAIAAgACAAIAAgACAAIAAgACAAIAAgACAAIAAgACAAIAAgACAAIAAgACAAIABTAGkAZwBuACwAIAAgACAAIAAgACAAIABTAEkARwBOACgARABhAHQAZQBUAHcAbwAgAC0AIABEAGEAdABlAE8AbgBlACkALABcAG4AIAAgACAAIAAgACAAIAAgACAAIAAgACAAIAAgACAAIAAgACAAIAAgACAAIAAgACAAIAAgACAAIAAgACAAIAAgAFAAZQByAGkAbwBkAHMALAAgACAAIAAgAFMAdwBpAHQAYwBoACgASQBuAHQAZQByAHYAYQBsACwAIAAgACAAXABuACAAIAAgACAAIAAgACAAIAAgACAAIAAgACAAIAAgACAAIAAgACAAIAAgACAAIAAgACAAIAAgACAAIAAgACAAIAAgACAAIAAgACAAIAAgACAAIAAgACAAIAAgACAAIAAgAFwAIgBEAFwAIgAsACAARABBAFQARQBEAEkARgAoAEUAYQByAGwAaQBlAHMAdAAsACAATABhAHQAZQBzAHQALAAgAFwAIgBEAFwAIgApACwAXABuACAAIAAgACAAIAAgACAAIAAgACAAIAAgACAAIAAgACAAIAAgACAAIAAgACAAIAAgACAAIAAgACAAIAAgACAAIAAgACAAIAAgACAAIAAgACAAIAAgACAAIAAgACAAIAAgAFwAIgBXAFwAIgAsACAASQBOAFQAKABEAEEAVABFAEQASQBGACgARQBhAHIAbABpAGUAcwB0ACwAIABMAGEAdABlAHMAdAAsACAAXAAiAEQAXAAiACkALwBEAFAAVwApACwAXABuACAAIAAgACAAIAAgACAAIAAgACAAIAAgACAAIAAgACAAIAAgACAAIAAgACAAIAAgACAAIAAgACAAIAAgACAAIAAgACAAIAAgACAAIAAgACAAIAAgACAAIAAgACAAIAAgAFwAIgBNAFwAIgAsACAARABBAFQARQBEAEkARgAoAEUAYQByAGwAaQBlAHMAdAAsACAATABhAHQAZQBzAHQALAAgAFwAIgBNAFwAIgApACwAXABuACAAIAAgACAAIAAgACAAIAAgACAAIAAgACAAIAAgACAAIAAgACAAIAAgACAAIAAgACAAIAAgACAAIAAgACAAIAAgACAAIAAgACAAIAAgACAAIAAgACAAIAAgACAAIAAgAFwAIgBRAFwAIgAsACAASQBOAFQAKABEAEEAVABFAEQASQBGACgARQBhAHIAbABpAGUAcwB0ACwAIABMAGEAdABlAHMAdAAsACAAXAAiAE0AXAAiACkALwBNAFAAUQApACwAXABuACAAIAAgACAAIAAgACAAIAAgACAAIAAgACAAIAAgACAAIAAgACAAIAAgACAAIAAgACAAIAAgACAAIAAgACAAIAAgACAAIAAgACAAIAAgACAAIAAgACAAIAAgACAAIAAgAFwAIgBZAFwAIgAsACAARABBAFQARQBEAEkARgAoAEUAYQByAGwAaQBlAHMAdAAsACAATABhAHQAZQBzAHQALAAgAFwAIgBZAFwAIg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AAIAAgACAAWwBEAG8ATgBvAHQAVQBzAGUAXQAs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HIAIABjAG8AbAB1AG0AbgAgAG8AZgAgAHAAZQByAGkAbwBkACAAZQBuAGQAIABkAGEAdABlAHMAIAAoAHQAaQBtAGUAbABpAG4AZQApAC4AtgBcACIAIAAmACAAXABuACAAIAAgACAAIAAgACAAIAAgACAAIAAgACAAIAAgACAAIAAgACAAIAAgACAAIAAgAFwAIgBJAHQAZQBtAEYAaQBsAHQAZQByACAAIAAgACAAIACSISgAUgBlAHEAdQBpAHIAZQBkACk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W4AYg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FMAYwBoAGUAZAB1AGwAZQBWAGEAbAB1AGUAcwC7AygAVABpAG0AZQBsAGkAbgBlALsDKABcACIAXAAiADEALwAxAC8AMgAwADIANQBcACIAXAAiACkALAAgAFQAaQBtAGUAbABpAG4AZQC7AygAXAAiAFwAIgAxAC8AMQAvADIAMAAyADUAXAAiAFwAIgAsACwALABGAEEATABTAEUAKQAsACAAewAxADsAMwB9ACwAIAB7AFwAIgBcACIAMQAvADEALwAyADAAMgA1AFwAIgBcACIAOwAgAFwAIgBcACIAMQA1AC8AMgAvADIAMAAyADU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FAAZQByAGkAbw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FAAZQByAGkAbwBkAFMAdABhAHIAdABzACwAIABQAGUAcgBpAG8AZAApACwAIABcAG4AIAAgACAAIAAgACAAIAAgACAAIAAgACAAIAAgACAAIAAgACAAIAAgACAAIAAgACAAIAAgACAAIAAgACAAIAAgACAAIAAgACAARQBuAGQARABhAHQAZQAsACAAIAAgACAASQBOAEQARQBYACgAUABlAHIAaQBv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WwBEAG8ATgBvAHQAVQBzAGU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VgBhAGwAdQBlAHMAQgB5AEkAdABlAG0AcwC7AygAIABUAGkAbQBlAGwAaQBuAGUAuwMoACAAXAAiAFwAIgAxAC8AMQAvADIAMAAyADUAXAAiAFwAIgApACwAIAAgAFQAaQBtAGUAbABpAG4AZQC7AygAIABcACIAXAAiADEALwAxAC8AMgAwADIANQBcACIAXAAiACwALAAsAEYAQQBMAFMARQApACwAIAC2AFwAIgAgACYAIABcAG4AIAAgACAAIAAgACAAIAAgACAAIAAgACAAIAAgACAAIAAgACAAIAAgACAAIAAgACAAIAAgACAAIAAgACAAIAAgACAAIAAgACAAIAAgACAAXAAiAJIhVQBOAEkAUQBVAEUAKAAgAHQAYgBsAEUAeABwACgASQB0AGUAbQBzACk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G8AdQBuAHQAZQByACwAIAAgACAAIAAgACAAIAAgAEkARgAoACAASQBTAE8ATQBJAFQAVABFAEQAKAAgAEQAbwBOAG8AdABVAHMAZQApACwAIAAxACwAIABEAG8ATgBvAHQAVQBzAGUAKQAs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QwBvAHUAbgB0AGUAcgApACwAXABuACAAIAAgACAAIAAgACAAIABJAHQAZQBtAEQAYQB0AGUAcwAsACAAIAAgACAAIAAgAEYASQBMAFQARQBSACgAIABDAHYAdABFAGYAZgBEAGEAdABlAHMALAAgAEkAdABlAG0ATABpAHMAdAAgAD0AIABJAHQAZQBtACkALAAgAFwAbgAgACAAIAAgACAAIAAgACAASQB0AGUAbQBWAGEAbAB1AGUAcwAsACAAIAAgACAAIABGAEkATABUAEUAUgAoACAAVgBhAGwAdQBlAEwAaQBzAHQALAAgAEkAdABlAG0ATABpAHMAdAAgAD0AIABJAHQAZQBtACkALAAgAFwAbgAgACAAIAAgACAAIAAgACAAQQByAHIAYQB5ACwAIAAgACAAIAAgACAAIAAgACAAIAAoAEkAdABlAG0ARABhAHQAZQBzACAAPgA9ACAAUABlAHIAaQBvAGQAUwB0AGEAcgB0AHMAKQAgACoAIAAoAEkAdABlAG0ARABhAHQAZQBzACAAPAA9ACAAUABlAHIAaQBvAGQARQBuAGQAcwApACAAKgAgAEkAdABlAG0AVgBhAGwAdQBlAHMALABcAG4AIAAgACAAIAAgACAAIAAgAE4AZQB3AFIAbwB3ACwAIAAgACAAIAAgACAAIAAgACAAQgBZAEMATwBMACgAIABBAHIAcgBhAHkALAAgAEwAQQBNAEIARABBACgAIABDAG8AbAB1AG0AbgAsACAAUwBVAE0AKAAgAEMAbwBsAHUAbQBuACkAKQApACwAXABuACAAIAAgACAAIAAgACAAIABSAGUAcwB1AGwAdAAsACAAIAAgACAAIAAgACAAIAAgAEkARgAoACAAQwBvAHUAbgB0AGUAcg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YAYQBsAHUAZQBzAEIAeQBJAHQAZQBtAHMAuwMoACAAQwB2AHQAUAByAGQAUwB0AGEAcgB0AHMALAAgAEMAdgB0AFAAcgBkAEUAbgBkAHMALAAgAFwAbgAgACAAIAAgACAAIAAgACAAIAAgACAAIAAgACAAIAAgACAAIAAgACAAIAAgACAAIAAgACAAIAAgACAAIAAgACAAIAAgACAAIABJAHQAZQBtAEYAaQBsAHQAZQByACwAIABJAHQAZQBtAEwAaQBzAHQALAAgAEMAdgB0AEUAZgBmAEQAYQB0AGUAcwAsACAAVgBhAGwAdQBlAEwAaQBzAHQALAAgAEMAbwB1AG4AdABlAHI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OAGEAYgBsAGE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yACAAbQBvACwAIABzAHQAYQByAHQAcwAgACAAkiE9AG4AYgAuAFQAaQBtAGUAbABpAG4AZQC7AygAVABPAEQAQQBZACgAKQApALYAXAAiACAAJgBcAG4AIAAgACAAIAAgACAAIAAgACAAIAAgACAAIAAgACAAIAAgACAAIAAgACAAIAAgACAAIAAgACAAIABcACIAMQAyACAAcQB0AHIALAAgAGUAbgBkAHMAIAAgACAAkiE9AG4AY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UwB0AGEAcgB0AEQAYQB0AGUALAAgAFMARQBRAFUARQBOAEMARQAoADEALAAgAFAAZQByAGkAbwBkAHMALAAgAEUAbgBkAEQAYQB0AGUAcwAgACoAIABNAFAAWQAsACAATQBQAFkAKQApACAALQAgAEUAbgBkAEQAYQB0AGUAcwAsAFwAbgAgACAAIAAgACAAIAAgACAAIAAgACAAIAAgACAAIAAgACAAIAAgACAAIAAgACAAIAAgACAAIAAgAFwAIgBRAFwAIgAsACAARQBEAEEAVABFACgAUwB0AGEAcgB0AEQAYQB0AGUALAAgAFMARQBRAFUARQBOAEMARQAoADEALAAgAFAAZQByAGkAbwBkAHMALAAgAEUAbgBkAEQAYQB0AGUAcwAgACoAIABNAFAAUQAsACAATQBQAFEAKQApACAALQAgAEUAbgBkAEQAYQB0AGUAcwAsAFwAbgAgACAAIAAgACAAIAAgACAAIAAgACAAIAAgACAAIAAgACAAIAAgACAAIAAgACAAIAAgACAAIAAgAFwAIgBNAFwAIgAsACAARQBEAEEAVABFACgAUwB0AGEAcgB0AEQAYQB0AGU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TAHQAYQByAHQARABhAHQAZQAgACsAIABJAEYAKABQAGUAcgBpAG8AZABTAHQAYQByAHQAcwA/ACwAIAAwACwAIABEAFAAVwAgAC0AIAAxACkALAAgAEQAUABXACkALABcAG4AIAAgACAAIAAgACAAIAAgACAAIAAgACAAIAAgACAAIAAgACAAIAAgACAAIAAgACAAIAAgACAAIABcACIARABcACIALAAgAFMARQBRAFUARQBOAEMARQAoADEALAAgAFAAZQByAGkAbwBkAHMALAAgAFMAdABhAHIAdABEAGEAdABl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FIAYQBuAGcAZQBUAG8ARABBAE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F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F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GAGkAbgBhAG4AYwBpAGEAbAAiACwAIgB0AGUAeAB0ACIAOgAiAC8AKgAgACAARgBVAE4AQwBUAEkATwBOACAATgBBAE0ARQA6ACAAIABBAGIAbwB1AHQARgBpAG4AYQBuAGMAaQBhAGwAuwNcAG4AIAAgACAAIABEAEUAUwBDAFIASQBQAFQASQBPAE4AOgAqAC8ALwAqACoARABpAHMAcABsAGEAeQBzACAAdABoAGkAcwAgAG0AbwBkAHUAbABlACcAcwAgAHIAZQBwAG8AcwBpAHQAbwByAHkAIABVAFIATAAgAGEAbgBkACAAZgB1AG4AYwB0AGkAbwBuACAAbABpAHMAdAAqAC8AXABuAFwAbgBBAGIAbwB1AHQARgBpAG4AYQBuAGMAaQBhAGwAuwMgAD0AIABUAFIASQBNACgAVABFAFgAVABTAFAATABJAFQAKABcAG4AIAAgACAAIABcACIAQQBCAE8AVQBUADoAIAAgACAAIAAgACAAIAAgACAAIAAgACAAIACSIU4AYQBiAGwAYQAnAHMAIABGAGkAbgBhAG4AYwBpAGEAbAAgAE0AbwBkAGUAbABzACAAbQBvAGQAdQBsAGUALgAgAFMAdQBnAGcAZQBzAHQAZQBkACAAbQBvAGQAdQBsAGUAIABuAGEAbQBlADoAIABuAGI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gAgAGkAcwAgAGEAcwBzAHUAbQBlAGQAIAB0AG8AIABiAGUAIAB0AGgAZQAgAG0AbwBkAHUAbABlACcAcwAgAG4AYQBtAGUAtgBcACIAIAAmACAAXABuACAAIAAgACAAIAAgACAAIAAgACAAIAAgACAAIAAgACAAIAAgACAAIAAgACAAIAAgAFwAIgBGAG8AcgBtAHUAbABhADoAIAAgACAAIAAgACAAIACSIT0AbgBi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PABDAG8AbQBpAG4AZwAgAFMAbwBvAG4APgC2AFwAIgAgACYAXABuACAAIAAgACAAIAAgACAAIAAgACAAIAAgACAAIAAgACAAIAAgACAAIAAgACAAIAAgAFwAIgBWAEUAUgBTAEkATwBOADoAIAAgACAAIAAgACAAIACSITEAO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DIALgA2ADMAIAAgACAAIAAgACAAIAAgACAAIACSIT0AbgBi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EQAYQB0AGUAcwAgACAAIAAgACAAIAAgACAAIAAgAJIhPQBFAEQAQQBUAEUAKABcACIAXAAiADEALwAxAC8AMgAwADIANQ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0ACUAIAAgACAAIAAgACAAIAAgACAAIAAgACAAkiE9AG4AY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AAwACwAMQAwACwAMgAwACwALQAzADAAIAAgAJIhPQBuAGI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LQAxADAAMAAsAC0AMQAxADAALAAtADEAMwAwACAAkiE9AG4AY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wAsADYAIAAgACAAIAAgACAAIAAgACAAIACSIT0AbgBi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wAMQAuADUALAAyACwAMwAsADQAIAAgACAAIACSIT0AbgBi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LAA1ACwANQAsADYALAA2ACwANwAgACAAIAAgAJIhPQBuAGI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MALAAzACwAMwAsADIALAAyACAAIAAgACAAkiE9AG4AYgAuAFIAbwBsAGwAaQBuAGcATQBpAG4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sADkALAAxADIAIAAgACAAIAAgAJIhPQBuAGIALgBSAG8AbABsAGkAbgBnAFMAdQBt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AAzACwAIAAwADcAIAAgACAAIAAgACAAIAAgACAAkiE9AG4AY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AAIAAgACAAIAAgACAAIAAgACAAIAAgACAAIACSIT0AbgBi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TwBmAGYAcwBlAHQAuwMoAFwAIgBcACIAMQA1AC8AMgAvADIAMAAyADQAXAAiAFwAIgAsACAARQBEAEEAVABFACgAXAAiAFwAIgAxAC8AMQAvADIAMAAyADUAXAAiAFwAIgAsACAAUwBFAFEAVQBFAE4AQwBFACgAIAAsACAAMQAyACwAIAAw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NAHAAUAAsACAAIAAgACAAIAAgACAAIAAgACAAIAAgAFIATwBVAE4ARAAoACAAKABQAGUAcgBpAG8AZAAyACAALQAgAFAAZQByAGkAbwBkADEAKQAvADMAMAAuADUALAAgADAAKQAsACAALwAvAE0AbwBuAHQAaABzACAAUABlAHIAIABQAGUAcgBpAG8AZ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UgBlAHMAdQBsAHQALAAgACAAIAAgACAAIAAgACAAIABNAEEAVABDAEgAKAAgAEQAYQB0AGUALAAgAFMAZQBhAHIAYwBoAFQAaQBtAGUAbABpAG4AZQAsACAAMQApACAALQAgAEkARgAoACAARABpAHIAZQBjAHQAaQBvAG4AIAA9ACAAMQAsACAAMQAsACAAUABlAHIAaQBvAGQARABpAGYAZgAgACsAIAAyACkALA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XAAiAFwAIgBDAGEAdABcACIAXAAiACAAIAAgACAAIAAgACAAIACSIT0AbgBi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gACAAIAAgACAAIAAgACAAIAAgACAAIAAgACAAIACSIT0AbgBi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gAwADIANgAtADAANAAtADAAMQAgACAAIAAgACAAkiE9AG4AY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LgAwADcANQAgACAAIAAgACAAIAAgACAAIAAgAJIhPQBuAG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gAgACAAIAAgACAAIAAgACAAIAAgACAAIACSIT0AbgBi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NQAxADcANAAwADkAIAAgACAAIAAgACAAIAAgAJIhPQBuAG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wAC4AMwA1ADgANwAxACAAIAAgACAAIAAgACAAIAAgACAAIAAgAJIhPQBuAG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QAuADcANgA0ADcAMQAgACAAIAAgACAAIAAgAJIhPQBuAG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OAAuADQANgAxADUAMwA4ACAAIAAgACAAIAAgACAAIAAgACAAIACSIT0AbgBi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IAIABpAHMAIABhAHMAcwB1AG0AZQBkACAAdABvACAAYgBlACAAdABoAGUAIABtAG8AZAB1AGwAZQAnAHMAIABuAGEAbQBlACkAtgBcACIAIAAmAFwAbgAgACAAIAAgACAAIAAgACAAIAAgACAAIAAgACAAIAAgACAAIAAgACAAIAAgACAAIABcACIANgAuADAAIAAgACAAIAAgACAAIAAgACAAIAAgACAAIAAgACAAkiE9AG4AY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gACAAIAAgACAAIAAgACAAIAAgACAAIAAgAJIhPQBuAG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xADQAMgA4ADUANwAgACAAIAAgACAAIAAgACAAIAAgACAAkiE9AG4AY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NgAuADQAJQAgACAAIAAgACAAIAAgACAAIAAgACAAIAAgACAAkiE9AG4AY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LgA0ADAANgAyADUAIAAgACAAIAAgACAAIAAgACAAIAAgACAAkiE9AG4AY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zAC4ANwA3ACAAIAAgACAAIAAgACAAIAAgACAAIAAgACAAIAAgAJIhPQBuAG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C4ANAA5ADgANwAzACAAIAAgACAAIAAgACAAIAAgACAAIAAgACAAkiE9AG4AY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uADkANAA0ADQANAA0ACAAIAAgACAAIAAgACAAIAAgACAAIACSIT0AbgBi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zADIAeAAgACAAIAAgACAAIAAgACAAIAAgACAAkiE9AG4AY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LgA4ADkANAA5ACAAZABhAHkAcwAgACAAIAAgACAAIAAgAJIhPQBuAG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5ACUAIAAgACAAIAAgACAAIAAgACAAIAAgACAAIAAgACAAIACSIT0AbgBi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2ADEALgA3ADQANAA4ACUAIAAgACAAIAAgACAAIACSIT0AbgBi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yACUAIAAgACAAIAAgACAAIAAgACAAIAAgACAAkiE9AG4AY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JQAgACAAIAAgACAAIAAgACAAIAAgACAAIAAgACAAIAAgAJIhPQBuAG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4ACUAIAAgACAAIAAgACAAIAAgACAAIAAgACAAIACSIT0AbgBi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UANgAlACAAIAAgACAAIAAgACAAIAAgACAAIAAgAJIhPQBuAG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AALgA4ACUAIAAgACAAIAAgACAAIAAgACAAIACSIT0AbgBi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zAC4ANgAyADEAMwAlACAAIAAgACAAIAAgACAAIAAgACAAIACSIT0AbgBi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gAgAGkAcwAgAGEAcwBzAHUAbQBlAGQAIAB0AG8AIABiAGUAIAB0AGgAZQAgAG0AbwBkAHUAbABlACcAcwAgAG4AYQBtAGUAKQC2AFwAIgAgACYAXABuACAAIAAgACAAIAAgACAAIAAgACAAIAAgACAAIAAgACAAIAAgACAAIAAgACAAIAAgAFwAIgAyADgALgA3ADUAJQAgACAAIAAgACAAIAAgACAAIAAgACAAIAAgACAAIAAgACAAkiE9AG4AY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uADYAMQAyADIAJQAgACAAIAAgACAAIAAgAJIhPQBuAG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QALgAzADkAOAA4ADEAIAAgACAAIAAgACAAIAAgACAAIAAgAJIhPQBuAG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LgAwACAAIAAgACAAIAAgACAAIAAgACAAIAAgACAAIAAgACAAkiE9AG4AY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QA1ACAAIAAgACAAIAAgACAAIAAgACAAIAAgACAAIAAgAJIhPQBuAG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AgACAAIAAgAJIhPQBuAG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1ACAAIAAgACAAIAAgACAAIAAgACAAIAAgACAAIAAgACAAIAAgAJIhPQBuAG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AAIAAgACAAIAAgACAAIAAgACAAIAAgACAAIACSIT0AbgBi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DUAJQAgACAAIAAgACAAIAAgACAAIAAgACAAIACSIT0AbgBi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yAC4ANgA2ADYANwAlACAAIAAgACAAIAAgACAAIACSIT0AbgBi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C4AOQAwADkANQA0ADgAIAAgACAAIAAgACAAIAAgACAAIAAgAJIhPQBuAG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4ADkALgA5ACUAIAAgACAAIAAgACAAIAAgACAAIAAgACAAIACSIT0AbgBi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HIAbwB3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yAG8Adw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pAGYAIABhACAAdgBhAGwAdQBlACAAaQBzACAAYgBlAHQAdwBlAGUAbgAgAGEAIABsAG8AdwBlAHIAIABhAG4AZAAgAHUAcABwAGUAcgAgAGwAaQBtAGkAdA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uAGIALgBBAGIAbwB1AHQARABhAHQAZQBzALsDIgAsACIAbgBiAC4AQwBvAHUAbgB0AEQATwBXALsDIgAsACIAbgBiAC4ASQBzAEIAZQB0AHcAZQBlAG4AuwMiACwAIgBuAGIALgBJAHMATwBjAGMAdQByAHIAZQBuAGMAZQBEAGEAdABlALsDIgAsACIAbgBiAC4ATwB2AGUAcgBMAGEAcABEAGEAeQBzALsDIgAsACIAbgBiAC4AUABlAHIAaQBvAGQATABhAGIAZQBsALsDIgAsACIAbgBiAC4AUABlAHIAaQBvAGQAcwC7AyIALAAiAG4AYgAuAFMAYwBoAGUAZAB1AGwAZQBSAGEAdABlAHMAuwMiACwAIgBuAGIALgBTAGMAaABlAGQAdQBsAGUAUgBhAHQAZQBzAEIAeQBJAHQAZQBtAHMAuwMiACwAIgBuAGIALgBTAGMAaABlAGQAdQBsAGUAVgBhAGwAdQBlAHMAuwMiACwAIgBuAGIALgBTAGMAaABlAGQAdQBsAGUAVgBhAGwAdQBlAHMAQgB5AEkAdABlAG0AcwC7AyIALAAiAG4AYgAuAFQAaQBtAGUAbABpAG4AZQC7AyIALAAiAG4AYgAuAEEAYgBvAHUAdABFAHMAcwBlAG4AdABpAGEAbABzALsDIgAsACIAbgBiAC4AQwBvAHUAbgB0AEMAuwMiACwAIgBuAGIALgBTAHUAbQBSAG8AdwBzALsDIgAsACIAbgBiAC4AUwB1AG0AQwBvAGwAcwC7AyIALAAiAG4AYgAuAEEAdgBnAFIAbwB3AHMAuwMiACwAIgBuAGIALgBBAHYAZwBDAG8AbABzALsDIgAsACIAbgBiAC4ATQBpAG4AUgBvAHcAcwC7AyIALAAiAG4AYgAuAE0AaQBuAEMAbwBsAHMAuwMiACwAIgBuAGIALgBNAGEAeABSAG8AdwBzALsDIgAsACIAbgBiAC4ATQBhAHgAQwBvAGwAcwC7AyIALAAiAG4AYgAuAEMAbwB1AG4AdABBAFIAbwB3AHMAuwMiACwAIgBuAGIALgBDAG8AdQBuAHQAQQBDAG8AbABzALsDIgAsACIAbgBiAC4AQwBvAHUAbgB0AFIAbwB3AHMAuwMiACwAIgBuAGIALgBDAG8AdQBuAHQAQwBvAGwAcwC7AyIALAAiAG4AYgAuAEkAcwBCAGUAdAB3AGUAZQBuAEUAuwMiACwAIgBuAGIALgBJAHMASQBuAEwAaQBzAHQAuwMiACwAIgBuAGIALgBSAGEAbgBnAGUAVABvAEQAQQBFALsDIgAsACIAbgBiAC4AQQBiAG8AdQB0AEYAaQBuAGEAbgBjAGkAYQBsALsDIgAsACIAbgBiAC4AQwBvAHIAawBzAGMAcgBlAHcAuwMiACwAIgBuAGIALgBDAG8AcgBrAFMAYwByAGUAdwBSAGUAdgBlAHIAcwBhAGwAuwMiACwAIgBuAGIALgBJAG4AdABPAG4ASQBuAHQAuwMiACwAIgBuAGIALgBJAFIAUgC7AyIALAAiAG4AYgAuAE0AbwB2AGUAbQBlAG4AdAC7AyIALAAiAG4AYgAuAFIAZQB2AGUAcgBzAGEAbAC7AyIALAAiAG4AYgAuAEMAdQBtAHUAbABhAHQAaQB2AGUAuwMiACwAIgBuAGIALgBSAG8AbABsAGkAbgBnAEEAdgBnALsDIgAsACIAbgBiAC4AUgBvAGwAbABpAG4AZwBNAGEAeAC7AyIALAAiAG4AYgAuAFIAbwBsAGwAaQBuAGcATQBpAG4AuwMiACwAIgBuAGIALgBSAG8AbABsAGkAbgBnAFMAdQBtALsDIgAsACIAbgBiAC4AUwB1AG0AQwBvAG4AdABhAGkAbgBzALsDIgAsACIAbgBiAC4AUwB1AG0AUABlAHIAaQBvAGQAcwC7AyIALAAiAG4AYgAuAEEAbQBvAHIAdABpAHMAZQC7AyIALAAiAG4AYgAuAEwAYQBiAGUAbABBAG0AbwByAHQAaQBzAGUAuwMiACwAIgBuAGIALgBTAHUAbQBBAG0AbwByAHQAaQBzAGUAuwMiACwAIgBuAGIALgBEAGUAcAByAGUAYwBpAGEAdABlALsDIgAsACIAbgBiAC4ATABhAGIAZQBsAEQAZQBwAHIAZQBjAGkAYQB0AGUAuwMiACwAIgBuAGIALgBBAGwAbABvAGMAYQB0AGUAuwMiACwAIgBuAGIALgBQAGUAcgBpAG8AZABEAGkAZgBmALsDIgAsACIAbgBiAC4AUwBMAE4AuwMiACwAIgBuAGIALgBTAFkARAC7AyIALAAiAG4AYgAuAEQAQgC7AyIALAAiAG4AYgAuAEQARABCALsDIgAsACIAbgBiAC4AVgBEAEIAuwMiACwAIgBuAGIALgBBAG0AbwByAHQAaQBzAGUAuwNEAFYAIgAsACIAbgBiAC4AQwBvAHIAawBzAGMAcgBlAHcAuwNEAFYAIgAsACIAbgBiAC4ARABlAHAAcgBlAGMAaQBhAHQAZQC7A0QAVgAiACwAIgBuAGIALgBUAGkAbQBlAGwAaQBuAGUATwBmAGYAcwBlAHQAuwMiACwAIgBuAGIALgBUAGkAbQBlAGwAaQBuAGUAUABvAHMAaQB0AGkAbwBuALsDIgAsACIAbgBiAC4ARgBpAGwAdABlAHIAQwBvAG4AdABhAGkAbgBzALsDIgAsACIAbgBiAC4AUgBhAG4AZwBlAFQAbwBEAEEAuwMiACwAIgBuAGIALgBQAGUAcgBpAG8AZABTAHQAYQByAHQAuwMiACwAIgBuAGIALgBBAGIAbwB1AHQAUgBhAHQAaQBvAHMAuwMiACwAIgBuAGIALgBDAHUAcgByAGUAbgB0AFIAYQB0AGkAbwC7AyIALAAiAG4AYgAuAFEAdQBpAGMAawBSAGEAdABpAG8AuwMiACwAIgBuAGIALgBDAGEAcwBoAFIAYQB0AGkAbwC7AyIALAAiAG4AYgAuAE8AcABlAHIAYQB0AGkAbgBnAEMAYQBzAGgARgBsAG8AdwBSAGEAdABpAG8AuwMiACwAIgBuAGIALgBSAGUAYwBlAGkAdgBhAGIAbABlAHMAVAB1AHIAbgBvAHYAZQByAFIAYQB0AGkAbwC7AyIALAAiAG4AYgAuAEkAbgB2AGUAbgB0AG8AcgB5AFQAdQByAG4AbwB2AGUAcgBSAGEAdABpAG8AuwMiACwAIgBuAGIALgBXAG8AcgBrAGkAbgBnAEMAYQBwAGkAdABhAGwAVAB1AHIAbgBvAHYAZQByAFIAYQB0AGkAbwC7AyIALAAiAG4AYgAuAEQAZQBiAHQAUgBhAHQAaQBvALsDIgAsACIAbgBiAC4ARABTAEMAUgC7AyIALAAiAG4AYgAuAEQAZQBiAHQAVABvAEMAYQBwAGkAdABhAGwAUgBhAHQAaQBvALsDIgAsACIAbgBiAC4ARQBxAHUAaQB0AHkATQB1AGwAdABpAHAAbABpAGUAcgC7AyIALAAiAG4AYgAuAEQAZQBiAHQAVABvAEUAcQB1AGkAdAB5AFIAYQB0AGkAbwC7AyIALAAiAG4AYgAuAEQAZQBiAHQAVABvAEEAcwBzAGUAdABSAGEAdABpAG8AuwMiACwAIgBuAGIALgBJAG4AdABlAHIAZQBzAHQAQwBvAHYAZQByAGEAZwBlAFIAYQB0AGkAbwC7AyIALAAiAG4AYgAuAEUAcQB1AGkAdAB5AFIAYQB0AGkAbwC7AyIALAAiAG4AYgAuAEEAcwBzAGUAdABUAHUAcgBuAG8AdgBlAHIAUgBhAHQAaQBvALsDIgAsACIAbgBiAC4ARABTAEkAuwMiACwAIgBuAGIALgBPAHAAZQByAGEAdABpAG4AZwBSAGEAdABpAG8AuwMiACwAIgBuAGIALgBHAHIAbwBzAHMATQBhAHIAZwBpAG4AuwMiACwAIgBuAGIALgBFAEIASQBUAEQAQQBNAGEAcgBnAGkAbgC7AyIALAAiAG4AYgAuAE8AcABlAHIAYQB0AGkAbgBnAE0AYQByAGcAaQBuALsDIgAsACIAbgBiAC4AUAByAGUAdABhAHgATQBhAHIAZwBpAG4AuwMiACwAIgBuAGIALgBOAGUAdABQAHIAbwBmAGkAdABNAGEAcgBnAGkAbgC7AyIALAAiAG4AYgAuAEMAYQBzAGgARgBsAG8AdwBNAGEAcgBnAGkAbgC7AyIALAAiAG4AYgAuAFIATwBBALsDIgAsACIAbgBiAC4AUgBPAEUAuwMiACwAIgBuAGIALgBSAE8ASQC7AyIALAAiAG4AYgAuAFIATwBJAEMAuwMiACwAIgBuAGIALgBQAHIAaQBjAGUARQBhAHIAbgBpAG4AZwBzAFIAYQB0AGkAbwC7AyIALAAiAG4AYgAuAFAAcgBpAGMAZQBUAG8AQgBvAG8AawBSAGEAdABpAG8AuwMiACwAIgBuAGIALgBQAHIAaQBjAGUAVABvAFMAYQBsAGUAcwBSAGEAdABpAG8AuwMiACwAIgBuAGIALgBQAHIAaQBjAGUAVABvAEMAYQBzAGgAUgBhAHQAaQBvALsDIgAsACIAbgBiAC4AQgBWAFAAUwC7AyIALAAiAG4AYgAuAEMAQQBQAEUAUgBhAHQAaQBvALsDIgAsACIAbgBiAC4ARABQAFIAuwMiACwAIgBuAGIALgBEAGkAdgBpAGQAZQBuAGQAWQBpAGUAbABkAFIAYQB0AGkAbwC7AyIALAAiAG4AYgAuAEUAUABTALsDIgAsACIAbgBiAC4AUgBlAHQAZQBuAHQAaQBvAG4AUgBhAHQAaQBvALsDIgAsACIAbgBiAC4AQQBiAG8AdQB0AFUAdABpAGwAaQB0AGkAZQBzALsDIgAsACIAbgBiAC4AQwBvAHUAbgB0AEMAVQC7AyIALAAiAG4AYgAuAFMAdQBtAFIAbwB3AHMAVQC7AyIALAAiAG4AYgAuAFMAdQBtAEMAbwBsAHMAVQC7AyIALAAiAG4AYgAuAEEAdgBnAFIAbwB3AHMAVQC7AyIALAAiAG4AYgAuAEEAdgBnAEMAbwBsAHMAVQC7AyIALAAiAG4AYgAuAE0AaQBuAFIAbwB3AHMAVQC7AyIALAAiAG4AYgAuAE0AaQBuAEMAbwBsAHMAVQC7AyIALAAiAG4AYgAuAE0AYQB4AFIAbwB3AHMAVQC7AyIALAAiAG4AYgAuAE0AYQB4AEMAbwBsAHMAVQC7AyIALAAiAG4AYgAuAEMAbwB1AG4AdABBAFIAbwB3AHMAVQC7AyIALAAiAG4AYgAuAEMAbwB1AG4AdABBAEMAbwBsAHMAVQC7AyIALAAiAG4AYgAuAEMAbwB1AG4AdABSAG8AdwBzAFUAuwMiACwAIgBuAGIALgBDAG8AdQBuAHQAQwBvAGwAcwBVALsDIgAsACIAbgBiAC4ASQBzAEIAZQB0AHcAZQBlAG4AVQC7AyIALAAiAG4AYgAuAEkAcwBJAG4ATABpAHMAdABVALsDIgAsACIAbgBiAC4AUgBhAG4AZwBlAFQAbwBEAEEAVQC7AyIALAAiAG4AYgAuAFMAdQBtAEQAZQBwAHIAZQBjAGkAYQB0AGUAuwMiACwAIgBuAGIALgBEAGkAbQBpAG4AaQBzAGgAaQBuAGcAVgBhAGwAdQBlALsDIgAsACIAbgBiAC4AUAByAGkAbQBlAEMAbwBzAHQAuwMiACwAIgBuAGIALgBHAFMAVABBAGQAZAC7AyIALAAiAG4AYgAuAEcAUwBUAEUAeAB0AHIAYQBjAHQAuwMiACwAIgBuAGI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2026-08-18T00:00:00Z</dcterms:modified>
</cp:coreProperties>
</file>