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<sst xmlns="http://schemas.openxmlformats.org/spreadsheetml/2006/main" count="1857" uniqueCount="542">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</sst>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+ 30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tabSelected="1"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46387</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Amazonia</t>
        </is>
      </c>
      <c r="G23" s="141">
        <v>46047</v>
      </c>
      <c r="H23" s="141">
        <f>tblCO[[#This Row],[Issued]]+_xlfn.XLOOKUP(tblCO[[#This Row],[Customer]],tblCT[Customer], tblCT[Terms])</f>
        <v>45323</v>
      </c>
      <c r="I23">
        <v>1591</v>
      </c>
      <c r="K23" s="2"/>
    </row>
    <row r="24" spans="1:24" x14ac:dyDescent="0.25">
      <c r="E24" cm="1">
        <f t="array" ref="E24">100 + ROW() - ROW(tblCO[#Headers])</f>
        <v>105</v>
      </c>
      <c r="F24" t="inlineStr">
        <is>
          <t>Jacqie Pens</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Amazonia</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Jacqie Pens</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Amazonia</t>
        </is>
      </c>
      <c r="G33" s="141">
        <v>46117</v>
      </c>
      <c r="H33" s="141">
        <f>tblCO[[#This Row],[Issued]]+_xlfn.XLOOKUP(tblCO[[#This Row],[Customer]],tblCT[Customer], tblCT[Terms])</f>
        <v>45352</v>
      </c>
      <c r="I33">
        <v>3561</v>
      </c>
    </row>
    <row r="34" spans="5:9" x14ac:dyDescent="0.25">
      <c r="E34" cm="1">
        <f t="array" ref="E34">100 + ROW() - ROW(tblCO[#Headers])</f>
        <v>115</v>
      </c>
      <c r="F34" t="inlineStr">
        <is>
          <t>Jacqie Pens</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Amazonia</t>
        </is>
      </c>
      <c r="G38" s="141">
        <v>46152</v>
      </c>
      <c r="H38" s="141">
        <f>tblCO[[#This Row],[Issued]]+_xlfn.XLOOKUP(tblCO[[#This Row],[Customer]],tblCT[Customer], tblCT[Terms])</f>
        <v>45356</v>
      </c>
      <c r="I38">
        <v>4546</v>
      </c>
    </row>
    <row r="39" spans="5:9" x14ac:dyDescent="0.25">
      <c r="E39" cm="1">
        <f t="array" ref="E39">100 + ROW() - ROW(tblCO[#Headers])</f>
        <v>120</v>
      </c>
      <c r="F39" t="inlineStr">
        <is>
          <t>Jacqie Pens</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_xlfn.RANDARRAY(COUNTA(_xlfn.ANCHORARRAY(F20)), COUNTA(_xlfn.ANCHORARRAY(H19)), 100, 1000)</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_xlfn.RANDARRAY(COUNTA(_xlfn.ANCHORARRAY(E18)), COUNTA(_xlfn.ANCHORARRAY(G17)), -5, 5, TRUE)</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_xlfn.RANDARRAY(COUNTA(_xlfn.ANCHORARRAY(F20)), COUNTA(_xlfn.ANCHORARRAY(H19)))</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_xlfn.RANDARRAY( COUNTA(_xlfn.ANCHORARRAY( E20)), COUNTA(_xlfn.ANCHORARRAY( G19)), 1000, 10000)</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_xlfn.RANDARRAY(COUNTA(_xlfn.ANCHORARRAY(F17)), COUNTA(_xlfn.ANCHORARRAY(H16)), 1000, 10000)</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_xlfn.RANDARRAY( COUNTA(_xlfn.ANCHORARRAY( E17)), COUNTA(_xlfn.ANCHORARRAY( G16)), 1000, 10000)</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_xlfn.RANDARRAY(COUNTA(_xlfn.ANCHORARRAY(F17)), COUNTA(_xlfn.ANCHORARRAY(H16)), 100, 10000)</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_xlfn.RANDARRAY(COUNTA(_xlfn.ANCHORARRAY(E17)),COUNTA(_xlfn.ANCHORARRAY(G16)),100,10000)</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_xlfn.RANDARRAY(COUNTA(_xlfn.ANCHORARRAY(F17)), COUNTA(_xlfn.ANCHORARRAY(H16)), 100, 10000)</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_xlfn.RANDARRAY( COUNTA(_xlfn.ANCHORARRAY( E17)), COUNTA(_xlfn.ANCHORARRAY( G16)), 100, 10000)</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_xlfn.RANDARRAY(COUNTA(_xlfn.ANCHORARRAY(F17)), COUNTA(_xlfn.ANCHORARRAY(H16)), 100,9999)</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CHOOSE(_xlfn.RANDARRAY( COUNTA(_xlfn.ANCHORARRAY( E17)), COUNTA(_xlfn.ANCHORARRAY( G16)), 1, 10),"A",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CHOOSE(_xlfn.RANDARRAY( COUNTA(_xlfn.ANCHORARRAY( E17)), COUNTA(_xlfn.ANCHORARRAY( G16)), 1, 10),"A",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+ 30 * (ROW() - ROW(tblOnBoarding[#Headers]))</f>
        <v>45990</v>
      </c>
    </row>
    <row r="30" spans="1:18" x14ac:dyDescent="0.25">
      <c r="A30" s="121" t="str">
        <f t="shared" ref="A30:A33" si="0">E22</f>
        <v>Wool*Art</v>
      </c>
      <c r="B30" s="141" cm="1">
        <f t="array" ref="B30">$B$21 + 30 * (ROW() - ROW(tblOnBoarding[#Headers]))</f>
        <v>49231</v>
      </c>
    </row>
    <row r="31" spans="1:18" x14ac:dyDescent="0.25">
      <c r="A31" s="121" t="str">
        <f t="shared" si="0"/>
        <v>Town Hall</v>
      </c>
      <c r="B31" s="141" cm="1">
        <f t="array" ref="B31">$B$21 + 30 * (ROW() - ROW(tblOnBoarding[#Headers]))</f>
        <v>46281</v>
      </c>
    </row>
    <row r="32" spans="1:18" x14ac:dyDescent="0.25">
      <c r="A32" s="121" t="str">
        <f t="shared" si="0"/>
        <v>Jacqie Penee</v>
      </c>
      <c r="B32" s="141" cm="1">
        <f t="array" ref="B32">$B$21 + 30 * (ROW() - ROW(tblOnBoarding[#Headers]))</f>
        <v>45861</v>
      </c>
    </row>
    <row r="33" spans="1:2" x14ac:dyDescent="0.25">
      <c r="A33" s="121" t="str">
        <f t="shared" si="0"/>
        <v>Amazonia</v>
      </c>
      <c r="B33" s="141" cm="1">
        <f t="array" ref="B33">$B$21 + 30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