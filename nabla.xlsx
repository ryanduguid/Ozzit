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"2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"2023-Feb-26    →=nabla.d.PeriodLabelλ(DATEVALUE(""26/2/2025""), ""D"")¶" &amp; "2023-Feb       →=nabla.d.PeriodLabelλ(DATEVALUE(""26/2/2025""), ""M"")¶" &amp; "2023:Q01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for one asset or asset class.¶" &amp; "PrimeCostλ         →Prime cost (straight line) depreciation, ATO method, for one asset or asset class.¶"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_xlfn.LAMBDA(_xlop.Cash,_xlop.Liabilites, _xlfn.LET(_xlpm.Help, TRIM(_xlfn.TEXTSPLIT("FUNCTION:      →CashRatioλ( Cash, Liabilites)¶"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"Liabilites     →(Required) Current Liabilites.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_xlfn.ISOMITTED(_xlpm.Liabilites)), _xlpm.Result, _xlpm.Cash / _xlpm.Liabilites, CHOOSE(_xlpm.Help? + 1, _xlpm.Result, _xlpm.Help)))</definedName>
    <definedName name="nabla.r.CurrentRatioλ" comment="Measures a company’s ability to pay short-term obligations (Current Assets/Liabilities)">_xlfn.LAMBDA(_xlop.Assets,_xlop.Liabilites, _xlfn.LET(_xlpm.Help, TRIM(_xlfn.TEXTSPLIT("FUNCTION:      →CurrentRatioλ( Assets, Liabilites)¶"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"Liabilites     →(Required) Current Liabilites.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_xlfn.ISOMITTED(_xlpm.Liabilites)), _xlpm.Result, _xlpm.Assets / _xlpm.Liabilites,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_xlfn.LAMBDA(_xlop.OperatingCashFlow,_xlop.Liabilites, _xlfn.LET(_xlpm.Help, TRIM(_xlfn.TEXTSPLIT("FUNCTION:          →OperatingCashFlowRatioλ( OperatingCashFlow, Liabilites)¶" &amp; "DESCRIPTION:       →Measures how readily current liabilities are covered by cash flows generated from operations.¶" &amp; "→(OperatingCashFlow/Liabilites)¶"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"Liabilites         →(Required) Current Liabilites.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_xlfn.ISOMITTED(_xlpm.Liabilites)), _xlpm.Result, _xlpm.OperatingCashFlow / _xlpm.Liabilites,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_xlfn.LAMBDA(_xlop.QuickAssets,_xlop.Liabilites, _xlfn.LET(_xlpm.Help, TRIM(_xlfn.TEXTSPLIT("FUNCTION:      →QuickRatioλ( LiquidAssets, Liabilites)¶"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"Liabilites     →(Required) Current Liabilites.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_xlfn.ISOMITTED(_xlpm.Liabilites)), _xlpm.Result, _xlpm.QuickAssets / _xlpm.Liabilites,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for one asset or asset class.">_xlfn.LAMBDA(_xlop.Cost,_xlop.Life, _xlfn.LET(_xlpm.Help, TRIM(_xlfn.TEXTSPLIT("FUNCTION:      →DiminishingValueλ(Cost, Life)¶" &amp; "DESCRIPTION:   →Diminishing value depreciation (ATO 200% method) for one asset or asset class.¶"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"→400.00,240.00,144.00,86.40,51.84", "→", "¶")), _xlpm.Help?, OR(_xlfn.ISOMITTED(_xlpm.Cost), _xlfn.ISOMITTED(_xlpm.Life)), _xlpm.Rate, 2/_xlpm.Life, _xlpm.Result, _xlpm.Cost * _xlpm.Rate * (1-_xlpm.Rate)^(_xlfn.SEQUENCE(, _xlpm.Life)-1),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_xlpm.Result, _xlfn.EXPAND(_xlpm.Annual, 1, _xlpm.Life,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IF(_xlfn.ISOMITTED(_xlpm.Rate), 0.1, _xlpm.Rate), _xlpm.Result,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IF(_xlfn.ISOMITTED(_xlpm.Rate), 0.1, _xlpm.Rate), _xlpm.Result,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"FY" &amp; TEXT(YEAR(_xlpm.Dates) + N(MONTH(_xlpm.Dates)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<sst xmlns="http://schemas.openxmlformats.org/spreadsheetml/2006/main" count="1857" uniqueCount="542">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</sst>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19">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69" totalsRowShown="0" headerRowDxfId="125" headerRowBorderDxfId="124" tableBorderDxfId="123" totalsRowBorderDxfId="122" dataCellStyle="Normal">
  <autoFilter ref="A4:D69"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+ 30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69"/>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26.42578125" bestFit="1" customWidth="1"/>
    <col min="2" max="2" width="9.85546875" bestFit="1" customWidth="1"/>
    <col min="3" max="3" width="25.2851562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sheetData>
  <mergeCells count="3">
    <mergeCell ref="A3:D3"/>
    <mergeCell ref="A2:D2"/>
    <mergeCell ref="A1:F1"/>
  </mergeCells>
  <conditionalFormatting sqref="C5:C69">
    <cfRule type="expression" dxfId="23" priority="1">
      <formula>LEN(C5)&gt;32</formula>
    </cfRule>
  </conditionalFormatting>
  <hyperlinks>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tabSelected="1"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46387</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2023-Feb-26</v>
      </c>
      <c r="B19" t="str">
        <v>=nabla.d.PeriodLabelλ(DATEVALUE("26/2/2025"), "D")</v>
      </c>
    </row>
    <row r="20" spans="1:14" x14ac:dyDescent="0.25">
      <c r="A20" t="str">
        <v>2023-Feb</v>
      </c>
      <c r="B20" t="str">
        <v>=nabla.d.PeriodLabelλ(DATEVALUE("26/2/2025"), "M")</v>
      </c>
    </row>
    <row r="21" spans="1:14" x14ac:dyDescent="0.25">
      <c r="A21" t="str">
        <v>2023:Q01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Amazonia</t>
        </is>
      </c>
      <c r="G23" s="141">
        <v>46047</v>
      </c>
      <c r="H23" s="141">
        <f>tblCO[[#This Row],[Issued]]+_xlfn.XLOOKUP(tblCO[[#This Row],[Customer]],tblCT[Customer], tblCT[Terms])</f>
        <v>45323</v>
      </c>
      <c r="I23">
        <v>1591</v>
      </c>
      <c r="K23" s="2"/>
    </row>
    <row r="24" spans="1:24" x14ac:dyDescent="0.25">
      <c r="E24" cm="1">
        <f t="array" ref="E24">100 + ROW() - ROW(tblCO[#Headers])</f>
        <v>105</v>
      </c>
      <c r="F24" t="inlineStr">
        <is>
          <t>Jacqie Pens</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Amazonia</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Jacqie Pens</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Amazonia</t>
        </is>
      </c>
      <c r="G33" s="141">
        <v>46117</v>
      </c>
      <c r="H33" s="141">
        <f>tblCO[[#This Row],[Issued]]+_xlfn.XLOOKUP(tblCO[[#This Row],[Customer]],tblCT[Customer], tblCT[Terms])</f>
        <v>45352</v>
      </c>
      <c r="I33">
        <v>3561</v>
      </c>
    </row>
    <row r="34" spans="5:9" x14ac:dyDescent="0.25">
      <c r="E34" cm="1">
        <f t="array" ref="E34">100 + ROW() - ROW(tblCO[#Headers])</f>
        <v>115</v>
      </c>
      <c r="F34" t="inlineStr">
        <is>
          <t>Jacqie Pens</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Amazonia</t>
        </is>
      </c>
      <c r="G38" s="141">
        <v>46152</v>
      </c>
      <c r="H38" s="141">
        <f>tblCO[[#This Row],[Issued]]+_xlfn.XLOOKUP(tblCO[[#This Row],[Customer]],tblCT[Customer], tblCT[Terms])</f>
        <v>45356</v>
      </c>
      <c r="I38">
        <v>4546</v>
      </c>
    </row>
    <row r="39" spans="5:9" x14ac:dyDescent="0.25">
      <c r="E39" cm="1">
        <f t="array" ref="E39">100 + ROW() - ROW(tblCO[#Headers])</f>
        <v>120</v>
      </c>
      <c r="F39" t="inlineStr">
        <is>
          <t>Jacqie Pens</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_xlfn.RANDARRAY(COUNTA(_xlfn.ANCHORARRAY(F20)), COUNTA(_xlfn.ANCHORARRAY(H19)), 100, 1000)</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_xlfn.RANDARRAY(COUNTA(_xlfn.ANCHORARRAY(E18)), COUNTA(_xlfn.ANCHORARRAY(G17)), -5, 5, TRUE)</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_xlfn.RANDARRAY(COUNTA(_xlfn.ANCHORARRAY(F20)), COUNTA(_xlfn.ANCHORARRAY(H19)))</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_xlfn.RANDARRAY( COUNTA(_xlfn.ANCHORARRAY( E20)), COUNTA(_xlfn.ANCHORARRAY( G19)), 1000, 10000)</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_xlfn.RANDARRAY(COUNTA(_xlfn.ANCHORARRAY(F17)), COUNTA(_xlfn.ANCHORARRAY(H16)), 1000, 10000)</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_xlfn.RANDARRAY( COUNTA(_xlfn.ANCHORARRAY( E17)), COUNTA(_xlfn.ANCHORARRAY( G16)), 1000, 10000)</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_xlfn.RANDARRAY(COUNTA(_xlfn.ANCHORARRAY(F17)), COUNTA(_xlfn.ANCHORARRAY(H16)), 100, 10000)</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_xlfn.RANDARRAY(COUNTA(_xlfn.ANCHORARRAY(E17)),COUNTA(_xlfn.ANCHORARRAY(G16)),100,10000)</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_xlfn.RANDARRAY(COUNTA(_xlfn.ANCHORARRAY(F17)), COUNTA(_xlfn.ANCHORARRAY(H16)), 100, 10000)</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_xlfn.RANDARRAY( COUNTA(_xlfn.ANCHORARRAY( E17)), COUNTA(_xlfn.ANCHORARRAY( G16)), 100, 10000)</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_xlfn.RANDARRAY(COUNTA(_xlfn.ANCHORARRAY(F17)), COUNTA(_xlfn.ANCHORARRAY(H16)), 100,9999)</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CHOOSE(_xlfn.RANDARRAY( COUNTA(_xlfn.ANCHORARRAY( E17)), COUNTA(_xlfn.ANCHORARRAY( G16)), 1, 10),"A",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CHOOSE(_xlfn.RANDARRAY( COUNTA(_xlfn.ANCHORARRAY( E17)), COUNTA(_xlfn.ANCHORARRAY( G16)), 1, 10),"A",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+ 30 * (ROW() - ROW(tblOnBoarding[#Headers]))</f>
        <v>45990</v>
      </c>
    </row>
    <row r="30" spans="1:18" x14ac:dyDescent="0.25">
      <c r="A30" s="121" t="str">
        <f t="shared" ref="A30:A33" si="0">E22</f>
        <v>Wool*Art</v>
      </c>
      <c r="B30" s="141" cm="1">
        <f t="array" ref="B30">$B$21 + 30 * (ROW() - ROW(tblOnBoarding[#Headers]))</f>
        <v>49231</v>
      </c>
    </row>
    <row r="31" spans="1:18" x14ac:dyDescent="0.25">
      <c r="A31" s="121" t="str">
        <f t="shared" si="0"/>
        <v>Town Hall</v>
      </c>
      <c r="B31" s="141" cm="1">
        <f t="array" ref="B31">$B$21 + 30 * (ROW() - ROW(tblOnBoarding[#Headers]))</f>
        <v>46281</v>
      </c>
    </row>
    <row r="32" spans="1:18" x14ac:dyDescent="0.25">
      <c r="A32" s="121" t="str">
        <f t="shared" si="0"/>
        <v>Jacqie Penee</v>
      </c>
      <c r="B32" s="141" cm="1">
        <f t="array" ref="B32">$B$21 + 30 * (ROW() - ROW(tblOnBoarding[#Headers]))</f>
        <v>45861</v>
      </c>
    </row>
    <row r="33" spans="1:2" x14ac:dyDescent="0.25">
      <c r="A33" s="121" t="str">
        <f t="shared" si="0"/>
        <v>Amazonia</v>
      </c>
      <c r="B33" s="141" cm="1">
        <f t="array" ref="B33">$B$21 + 30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M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MwA6AFEAMAAxACAAIAAgACAAIAAgACAAkiE9AG4AYQBiAGwAYQAuAGQ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hAGIAbABhAC4AZAAuAFAAZQByAGkAbwBkAEwAYQBiAGUAbAC7AygARABBAFQARQBWAEEATABVAEUAKABcACIAXAAiADIANgAvADIALwAyADAAMgA1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EAGEAdABlACwAIABcACIAeQB5AHkAeQAtAG0AbQBtAC0AZABkAFwAIgApACwAXABuACAAIAAgACAAIAAgACAAIAAgACAAIAAgACAAIAAgACAAIAAgACAAIAAgACAAIAAgAFwAIgBXAFwAIgAsACAAWQBFAEEAUgAoAEQAYQB0AGUAKQAgACYAIABcACIAOgBXAFwAIgAgACYAIABUAEUAWABUACgAUQBVAE8AVABJAEUATgBUACgARABhAHQAZQAgAC0AIABEAEEAVABFACgAWQBFAEEAUgAoAEQAYQB0AGUAKQAsACAAMQAsACAAMAApACAALQAgADEALAAgADcAKQAgACsAIAAxACwAIABcACIAMAAwAFwAIgApACwAXABuACAAIAAgACAAIAAgACAAIAAgACAAIAAgACAAIAAgACAAIAAgACAAIAAgACAAIAAgAFwAIgBJAFwAIgAsACAAWQBFAEEAUgAoAEQAYQB0AGUAKQAgACYAIABcACIAOgBXAFwAIgAgACYAIABUAEUAWABUACgASQBTAE8AVwBFAEUASwBOAFUATQAoAEQAYQB0AGUAKQAsACAAXAAiADAAMABcACIAKQAsAFwAbgAgACAAIAAgACAAIAAgACAAIAAgACAAIAAgACAAIAAgACAAIAAgACAAIAAgACAAIABcACIATQBcACIALAAgAFQARQBYAFQAKABEAGEAdABlACwAIABcACIAWQBZAFkAWQAtAE0ATQBNAFwAIgApACwAXABuACAAIAAgACAAIAAgACAAIAAgACAAIAAgACAAIAAgACAAIAAgACAAIAAgACAAIAAgAFwAIgBRAFwAIgAsACAAWQBFAEEAUgAoAEQAYQB0AGUAKQAgACYAIABcACIAOgBRAFwAIgAgACYAIABRAFUATwBUAEkARQBOAFQAKABNAE8ATgBUAEgAKABEAGEAdABlACkAIAAtACAAMQAsACAAMwApACAAKwAgADEALABcAG4AIAAgACAAIAAgACAAIAAgACAAIAAgACAAIAAgACAAIAAgACAAIAAgACAAIAAgACAAXAAiAFMAXAAiACwAIABZAEUAQQBSACgARABhAHQAZQApACAAJgAgAFwAIgA6AFMAXAAiACAAJgAgAFEAVQBPAFQASQBFAE4AVAAoAE0ATwBOAFQASAAoAEQAYQB0AGUAKQAgAC0AIAAxACwAIAA2ACkAIAArACAAMQAsAFwAbgAgACAAIAAgACAAIAAgACAAIAAgACAAIAAgACAAIAAgACAAIAAgACAAIAAgACAAIABcACIAQQBcACIALAAgAFQARQBYAFQAKABEAGEAdABlACwAIABcACIAWQBZAFkAWQBcACIAKQAsAFwAbgAgACAAIAAgACAAIAAgACAAIAAgACAAIAAgACAAIAAgACAAIAAgACAAIAAgACAAIABcACIAWQBcACIALAAgAFQARQBYAFQAK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ZABhAHQAZQAxACAAdABvACAAZABhAHQAZQAgADIAIABpAG4AYwBsAHUAcwBpAHYAZQAuALYAXAAiACAAJgBcAG4AIAAgACAAIAAgACAAIAAgACAAIAAgACAAIAAgACAAIAAgACAAIAAgACAAIAAgACAAIAAgACAAIAAgACAAIAAgACAAIAAgACAAIAAgACAAXAAiAJIhRABpAGYAZgBlAHIAZQBuAGMAZQBzACAAdABvACAARQB4AGMAZQBsADQALgAwACcAcwAgAEQAYQB0AGUARABpAG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UAbgBkACAARABhAHQAZQAgAGkAcwAgAGkAbgBjAGwAdQBzAGkAdgBl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gACAAIAAgACAAIAAgACAAIAAgACAAIAAgACAAkiE9AG4AYQBiAGwAYQAuAGQALgBQAGUAcgBpAG8AZABzALsDKABcACIAXAAiADMAMQAvADMALwAyADAAMgA1AFwAIgBcACIALAAgAFwAIgBcACIAMQA1AC8ANQAvADIAMAAyADUAXAAiAFwAIgApALYAXAAiACAAJgBcAG4AIAAgACAAIAAgACAAIAAgACAAIAAgACAAIAAgACAAIAAgACAAIAAgACAAIAAgACAAXAAiAC0AMgAgACAAIAAgACAAIAAgACAAIAAgACAAIAAgAJIhPQBuAGEAYgBsAGEALgBkAC4AUABlAHIAaQBvAGQAcwC7AygAXAAiAFwAIgAxADUALwA1AC8AMgAwADIANQBcACIAXAAiACwAIABcACIAXAAiADMAMQAvADMALwAyADAAMgA1AFwAIgBcACIAKQC2AFwAIgAgACYAXABuACAAIAAgACAAIAAgACAAIAAgACAAIAAgACAAIAAgACAAIAAgACAAIAAgACAAIAAgAFwAIgAtADEAMgAgACAAIAAgACAAIAAgACAAIAAgACAAIACSIT0AbgBhAGIAbABhAC4AZA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QBiAGwAYQAuAGQ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TQBhAHgAKABEAGEAdABlAFQAdwBvACAALQAgAEQAYQB0AGUATwBuAGUALAAgADEAK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QAQQBUAEUARABJAEYAKABFAGEAcgBsAGkAZQBzAHQALAAgAEwAYQB0AGUAcwB0ACwAIABcACIARABcACIAKQAsAFwAbgAgACAAIAAgACAAIAAgACAAIAAgACAAIAAgACAAIAAgACAAIAAgACAAIAAgACAAIAAgACAAIAAgACAAIAAgACAAIAAgACAAIAAgACAAIAAgACAAIAAgACAAIAAgACAAIABcACIAVwBcACIALAAgAEkATgBUACgARABBAFQARQBEAEkARgAoAEUAYQByAGwAaQBlAHMAdAAsACAATABhAHQAZQBzAHQALAAgAFwAIgBEAFwAIgApAC8ARABQAFcAKQAsAFwAbgAgACAAIAAgACAAIAAgACAAIAAgACAAIAAgACAAIAAgACAAIAAgACAAIAAgACAAIAAgACAAIAAgACAAIAAgACAAIAAgACAAIAAgACAAIAAgACAAIAAgACAAIAAgACAAIABcACIATQBcACIALAAgAEQAQQBUAEUARABJAEYAKABFAGEAcgBsAGkAZQBzAHQALAAgAEwAYQB0AGUAcwB0ACwAIABcACIATQBcACIAKQAsAFwAbgAgACAAIAAgACAAIAAgACAAIAAgACAAIAAgACAAIAAgACAAIAAgACAAIAAgACAAIAAgACAAIAAgACAAIAAgACAAIAAgACAAIAAgACAAIAAgACAAIAAgACAAIAAgACAAIABcACIAUQBcACIALAAgAEkATgBUACgARABBAFQARQBEAEkARgAoAEUAYQByAGwAaQBlAHMAdAAsACAATABhAHQAZQBzAHQALAAgAFwAIgBNAFwAIgApAC8ATQBQAFEAKQAsAFwAbgAgACAAIAAgACAAIAAgACAAIAAgACAAIAAgACAAIAAgACAAIAAgACAAIAAgACAAIAAgACAAIAAgACAAIAAgACAAIAAgACAAIAAgACAAIAAgACAAIAAgACAAIAAgACAAIABcACIAWQBcACIALAAgAEQAQQBUAEUARABJAEYAKABFAGEAcgBsAGkAZQBzAHQALAAgAEwAYQB0AGUAcwB0ACwAIABcACIAWQBcACIAKQBcAG4AIAAgACAAIAAgACAAIAAgACAAIAAgACAAIAAgACAAIAAgACAAIAAgACAAIAAgACAAIAAgACAAIAAgACAAIAAgACAAIAAgACAAIAAgACAAIAAgACAAIAAgACkALABcAG4AIAAgACAAIAAgACAAIAAgACAAIAAgACAAIAAgACAAIAAgACAAIAAgACAAIAAgACAAIAAgACAAIAAgACAAIAAgAFMAaQBnAG4AIAAqACAAUABlAHIAaQBvAGQAcwBcAG4AIAAgACAAIAAgACAAIAAgACAAIAAgACAAIAAgACAAIAAgACAAIAAgACAAIAAgACAAIAAgACAAIAApAFwAbgAgACAAIAAgACAAIAAgACAAIAAgACAAIAAgACAAIAAgACAAIAAgACAAIAAgACAAIAAp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F8ALAAxADAALAAyADAALAAzADAALAAzADAAIAAgAJIhPQBuAGEAYgBsAGEALgBk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UABlAHIAaQBv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FwAIgAxADIAIABtAG8ALAAgAHMAdABhAHIAdABzACAAIACSIT0AbgBhAGIAbABhAC4AZAAuAFQAaQBtAGUAbABpAG4AZQC7AygAVABPAEQAQQBZACgAKQApALYAXAAiACAAJgBcAG4AIAAgACAAIAAgACAAIAAgACAAIAAgACAAIAAgACAAIAAgACAAIAAgACAAIAAgACAAIAAgACAAIABcACIAMQAyACAAcQB0AHIALAAgAGUAbgBkAHMAIAAgACAAkiE9AG4AYQBiAGwAYQAuAGQ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FMAdABhAHIAdABEAGEAdABlACwAIABTAEUAUQBVAEUATgBDAEUAKAAxACwAIABQAGUAcgBpAG8AZABzACwAIABFAG4AZABEAGEAdABlAHMAIAAqACAATQBQAFkALAAgAE0AUABZACkAKQAgAC0AIABFAG4AZABEAGEAdABlAHMALABcAG4AIAAgACAAIAAgACAAIAAgACAAIAAgACAAIAAgACAAIAAgACAAIAAgACAAIAAgACAAIAAgACAAIABcACIAUQBcACIALAAgAEUARABBAFQARQAoAFMAdABhAHIAdABEAGEAdABlACwAIABTAEUAUQBVAEUATgBDAEUAKAAxACwAIABQAGUAcgBpAG8AZABzACwAIABFAG4AZABEAGEAdABlAHMAIAAqACAATQBQAFEALAAgAE0AUABRACkAKQAgAC0AIABFAG4AZABEAGEAdABlAHMALABcAG4AIAAgACAAIAAgACAAIAAgACAAIAAgACAAIAAgACAAIAAgACAAIAAgACAAIAAgACAAIAAgACAAIABcACIATQBcACIALAAgAEUARABBAFQARQAoAFMAdABhAHIAdABEAGEAdABl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UwB0AGEAcgB0AEQAYQB0AGUAIAArACAASQBGACgAUABlAHIAaQBvAGQAUwB0AGEAcgB0AHMAPwAsACAAMAAsACAARABQAFcAIAAtACAAMQApACwAIABEAFAAVwApACwAXABuACAAIAAgACAAIAAgACAAIAAgACAAIAAgACAAIAAgACAAIAAgACAAIAAgACAAIAAgACAAIAAgACAAXAAiAEQAXAAiACwAIABTAEUAUQBVAEUATgBDAEUAKAAxACwAIABQAGUAcgBpAG8AZABzACwAIABTAHQAYQByAHQARABhAHQAZQ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QAYQB0AGUAcwApACwAXABuACAAIAAgACAALwAvACAAIABTAGUAdAAgAGQAZQBmAGEAdQBsAHQAcwBcAG4AIAAgACAAIAAgACAAIAAgAEYAWQBTAHQAYQByAHQALAAgACAAIAAgACAAIAAgACAASQBGACgAIABJAFMATwBNAEkAVABUAEUARAAoACAAUwB0AGEAcgB0AE0AbwBuAHQAaAApACwAIAA3ACwAIABTAHQAYQByAHQATQBvAG4AdABoACkALABcAG4AIAAgACAAIAAvAC8AIAAgAFAAcgBvAGMAZQBkAHUAcgBlAFwAbgAgACAAIAAgACAAIAAgACAAUgBlAHMAdQBsAHQALAAgACAAIAAgACAAIAAgACAAIABcACIARgBZAFwAIgAgACYAIABUAEUAWABUACgAIABZAEUAQQBSACgAIABEAGEAdABlAHMAKQAgACsAIABOACgAIABNAE8ATgBUAEgAKAAgAEQAYQB0AGUAcwApACAAPgA9ACAARgBZAFMAdABhAHIAdAApACwAIABcACIAMAAwADAAMABcACI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Z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l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AAZgBvAHIAIABvAG4AZQAgAGEAcwBzAGUAdAAgAG8AcgAgAGEAcwBzAGUAdAAgAGMAbABhAHMAcw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cwBjAHIAZQB3ALsDKAAgAE8AcABlAG4AaQBuAGcALAAgAEYAT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B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zACwAMwAsADMALAAyACwAMgAgACAAIAAgAJIhPQBuAGEAYgBsAGEALgBmAC4AUgBvAGwAbABpAG4AZwBNAGEAeA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BcACIAkiE9AG4AYQBiAGwAYQAuAGY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bAEwAbwBhAG4ATgBhAG0AZ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Ag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IA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lAHAAcgBlAGMAaQBhAHQAaQBvAG4AUwBjAGgAZQBkAHUAbABl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F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RgBpAGwAdABlAHIAQwBvAG4AdABhAGkAbgBzALsDKAAgAEEAcgByAGEAeQBUAG8ARgBpAGwAdABlAHIALAAgAEYAaQBsAHQAZQByAEIAeQBBAHIAcgBhAHkALAAg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gAGYAbwByACAAbwBuAGUAIABhAHMAcwBlAHQAIABvAHIAIABhAHMAcwBlAHQAIABjAGwAYQBzAHM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NQAxAC4AOA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IABJAFMATwBNAEkAVABUAEUARAAoACAAQwBvAHMAdAApACwAIABJAFMATwBNAEkAVABUAEUARAAoACAATABpAGYAZQApACkALABcAG4AIAAgACAAIAAvAC8AIAAgAFMAZQB0ACAAQwBvAG4AcwB0AGEAbgB0AHMAXABuACAAIAAgACAAIAAgACAAIABSAGEAdABlACwAIAAgACAAIAAgACAAIAAgACAAIAAgADIAIAAvACAATABpAGYAZQAsAFwAbgAgACAAIAAgAC8ALwAgACAAUAByAG8AYwBlAGQAdQByAGUAXABuACAAIAAgACAAIAAgACAAIABSAGUAcwB1AGwAdAAsACAAIAAgACAAIAAgACAAIAAgAEMAbwBzAHQAIAAqACAAUgBhAHQAZQAgACoAIAAoADEAIAAtACAAUgBhAHQAZQApAF4AKABTAEUAUQBVAEUATgBDAEUAKAAgACwAIABMAGkAZgBlACkAIAAtACAAMQApACw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AAcgBpAG0AZQAgAGMAbwBzAHQAIAAoAHMAdAByAGEAaQBnAGgAdAAgAGwAaQBuAGUAKQAgAGQAZQBwAHIAZQBjAGkAYQB0AGkAbwBuACwAIABBAFQATwAgAG0AZQB0AGgAbwBkACwAIABmAG8AcgAgAG8AbgBlACAAYQBzAHMAZQB0ACAAbwByACAAYQBzAHMAZQB0ACAAYwBsAGEAcwBz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AAcgBpAG0AZQAgAGMAbwBzAHQAIAAoAHMAdAByAGEAaQBnAGgAdAAgAGwAaQBuAGUAKQAgAGQAZQBwAHIAZQBjAGkAYQB0AGkAbwBuACwAIABBAFQATwAgAG0AZQB0AGgAbwBkACw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CAASQBTAE8ATQBJAFQAVABFAEQAKAAgAEMAbwBzAHQAKQAsACAASQBTAE8ATQBJAFQAVABFAEQAKAAgAEwAaQBmAGUAKQApACwAXABuACAAIAAgACAALwAvACAAIABTAGUAdAAgAEMAbwBuAHMAdABhAG4AdABzAFwAbgAgACAAIAAgACAAIAAgACAAQQBuAG4AdQBhAGwALAAgACAAIAAgACAAIAAgACAAIABDAG8AcwB0ACAALwAgAEwAaQBmAGUALABcAG4AIAAgACAAIAAvAC8AIAAgAFAAcgBvAGMAZQBkAHUAcgBlAFwAbgAgACAAIAAgACAAIAAgACAAUgBlAHMAdQBsAHQALAAgACAAIAAgACAAIAAgACAAIABFAFgAUABBAE4ARAAoACAAQQBuAG4AdQBhAGwALAAgADEALAAgAEwAaQBmAGUALAAgAEEAbgBuAHUAYQBsACkAL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XABuACAAIAAgACAAIAAgACAAIABHAFMAVABSAGEAdABlACwAIAAgACAAIAAgACAAIAAgAEkARgAoACAASQBTAE8ATQBJAFQAVABFAEQAKAAgAFIAYQB0AGUAKQAsACAAMAAuADEALAAgAFIAYQB0AGUAKQAsAFwAbgAgACAAIAAgAC8ALwAgACAAUAByAG8AYwBlAGQAdQByAGUAXABuACAAIAAgACAAIAAgACAAIABSAGUAcwB1AGwAdAAsACAAIAAgACAAIAAgACAAIAAgAEEAbQBvAHUAbgB0AHMAIAAqACAAKAAxACAAKwAgAEcAUwBUAFIAYQB0AGU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FwAbgAgACAAIAAgACAAIAAgACAARwBTAFQAUgBhAHQAZQAsACAAIAAgACAAIAAgACAAIABJAEYAKAAgAEkAUwBPAE0ASQBUAFQARQBEACgAIABSAGEAdABlACkALAAgADAALgAxACwAIABSAGEAdABlACkALABcAG4AIAAgACAAIAAvAC8AIAAgAFAAcgBvAGMAZQBkAHUAcgBlAFwAbgAgACAAIAAgACAAIAAgACAAUgBlAHMAdQBsAHQALAAgACAAIAAgACAAIAAgACAAIABBAG0AbwB1AG4AdABzACAAKgAgAEcAUwBUAFIAYQB0AGUAIAAvACAAKAAxACAAKwAgAEcAUwBUAFIAYQB0AGU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AA3ADUAIAAgACAAIAAgACAAIAAgACAAIACSIT0AbgBhAGIAbABhAC4Ac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EAcwBzAGUAdABzAC8ATABpAGEAYgBpAGwAaQB0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MAGkAcQB1AGkAZABBAHMAcwBlAHQAcwAsACAATABpAGEAYgBpAGwAaQB0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UAcwAgACAAIAAgACAAkiEoAFIAZQBxAHUAaQByAGUAZAApACAAQwB1AHIAcgBlAG4AdAAgAEwAaQBhAGIAaQBsAGkAdA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RAHUAaQBjAGsAQQBzAHMAZQB0AHM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lAHMAIAApAFwAbgAgACAAIAAgACAAIAAgACAAIAAgACAAIAAgACAAIAAgACAAIAAgACAAIAAgACAAIAApACwAXABuACAAIAAgACAALwAvACAAIABQAHIAbwBjAGUAZAB1AHIAZQBcAG4AIAAgACAAIAAgACAAIAAgAFIAZQBzAHUAbAB0ACwAIAAgACAAIAAgACAAIAAgACAAQwBhAHMAaA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UAcwAgACAAIAAgACAAIAAgACAAIACSISgAUgBlAHEAdQBpAHIAZQBkACkAIABDAHUAcgByAGUAbgB0ACAATABpAGEAYgBpAGwAaQB0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8AcABlAHIAYQB0AGkAbgBnAEMAYQBzAGgARgBsAG8Adw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DAG8AcwB0AE8AZgBHAG8AbwBkAHMAUwBvAGwAZAAsACAAQQB2AGUAcgBhAGcAZQBJAG4AdgBlAG4AdABvAHIAeQ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GQAZQBiAHQAc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G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AAwADYAMgA1ACAAIAAgACAAIAAgACAAIAAgACAAIAAgAJIhPQBuAGEAYgBsAGEALgBy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zAC4ANwA3ACAAIAAgACAAIAAgACAAIAAgACAAIAAgACAAIAAgAJIhPQBuAGEAYgBsAGEALgBy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LgA0ADkAOAA3ADMAIAAgACAAIAAgACAAIAAgACAAIAAgACAAIACSIT0AbgBhAGIAbABhAC4Ac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5ADQANAA0ADQANAAgACAAIAAgACAAIAAgACAAIAAgACAAkiE9AG4AYQBiAGwAYQAuAH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TgBlAHQASQBuAGMAbwBtAGU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BCAHYAcABz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